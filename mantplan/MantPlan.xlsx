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tables/table6.xml" ContentType="application/vnd.openxmlformats-officedocument.spreadsheetml.table+xml"/>
  <Override PartName="/xl/worksheets/sheet17.xml" ContentType="application/vnd.openxmlformats-officedocument.spreadsheetml.worksheet+xml"/>
  <Override PartName="/xl/tables/table7.xml" ContentType="application/vnd.openxmlformats-officedocument.spreadsheetml.table+xml"/>
  <Override PartName="/xl/worksheets/sheet18.xml" ContentType="application/vnd.openxmlformats-officedocument.spreadsheetml.worksheet+xml"/>
  <Override PartName="/xl/tables/table8.xml" ContentType="application/vnd.openxmlformats-officedocument.spreadsheetml.table+xml"/>
  <Override PartName="/xl/worksheets/sheet19.xml" ContentType="application/vnd.openxmlformats-officedocument.spreadsheetml.worksheet+xml"/>
  <Override PartName="/xl/tables/table9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PARAMETROS" sheetId="2" state="visible" r:id="rId2"/>
    <sheet name="1_IMPORTAR_ORDENES" sheetId="3" state="visible" r:id="rId3"/>
    <sheet name="2_IMPORTAR_EJECUCION" sheetId="4" state="visible" r:id="rId4"/>
    <sheet name="ORDENES" sheetId="5" state="visible" r:id="rId5"/>
    <sheet name="TECNICOS" sheetId="6" state="visible" r:id="rId6"/>
    <sheet name="ASIGNACIONES" sheetId="7" state="visible" r:id="rId7"/>
    <sheet name="PERFIL_HH" sheetId="8" state="visible" r:id="rId8"/>
    <sheet name="PLAN_SEMANAL" sheetId="9" state="visible" r:id="rId9"/>
    <sheet name="ADHERENCIA" sheetId="10" state="visible" r:id="rId10"/>
    <sheet name="COSTOS" sheetId="11" state="visible" r:id="rId11"/>
    <sheet name="BACKLOG" sheetId="12" state="visible" r:id="rId12"/>
    <sheet name="EQUIPOS_CRITICOS" sheetId="13" state="visible" r:id="rId13"/>
    <sheet name="VALIDACION" sheetId="14" state="visible" r:id="rId14"/>
    <sheet name="CAT_CENTROS_COSTO" sheetId="15" state="visible" r:id="rId15"/>
    <sheet name="CAT_PUESTOS" sheetId="16" state="visible" r:id="rId16"/>
    <sheet name="CAT_ACTIVIDADES" sheetId="17" state="visible" r:id="rId17"/>
    <sheet name="CAT_TIPOS_OT" sheetId="18" state="visible" r:id="rId18"/>
    <sheet name="CAT_ESTADOS_ERP" sheetId="19" state="visible" r:id="rId19"/>
    <sheet name="EXPORTAR" sheetId="20" state="visible" r:id="rId20"/>
    <sheet name="_COMPATIBILIDAD" sheetId="21" state="visible" r:id="rId21"/>
  </sheets>
  <definedNames>
    <definedName name="p_moneda">PARAMETROS!$B$6</definedName>
    <definedName name="p_horas_jornada">PARAMETROS!$B$7</definedName>
    <definedName name="p_factor_productividad">PARAMETROS!$B$8</definedName>
    <definedName name="p_dias_backlog_max">PARAMETROS!$B$11</definedName>
    <definedName name="p_dias_backlog_min">PARAMETROS!$B$12</definedName>
    <definedName name="p_meta_adherencia">PARAMETROS!$B$13</definedName>
    <definedName name="p_meta_ratio_prev_corr">PARAMETROS!$B$14</definedName>
    <definedName name="p_ruta_base_checklists">PARAMETROS!$B$16</definedName>
    <definedName name="lista_turnos">PARAMETROS!$E$5:$E$10</definedName>
    <definedName name="lista_no_disponible">PARAMETROS!$G$5:$G$6</definedName>
    <definedName name="lista_dias">PARAMETROS!$I$5:$I$11</definedName>
    <definedName name="lista_tecnicos">TECNICOS!$B$4:$B$15</definedName>
    <definedName name="_xlnm._FilterDatabase" localSheetId="8" hidden="1">'PLAN_SEMANAL'!$A$25:$M$1225</definedName>
    <definedName name="_xlnm.Print_Area" localSheetId="8">'PLAN_SEMANAL'!$A$1:$M$225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2" fontId="6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3" fontId="3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2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6" fillId="3" borderId="0" pivotButton="0" quotePrefix="0" xfId="0"/>
    <xf numFmtId="9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Carga por técnico vs capacidad (según selectores)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'PLAN_SEMANAL'!T3</f>
            </strRef>
          </tx>
          <spPr>
            <a:solidFill>
              <a:srgbClr val="63BE7B"/>
            </a:solidFill>
            <a:ln>
              <a:prstDash val="solid"/>
            </a:ln>
          </spPr>
          <dLbls>
            <showVal val="1"/>
          </dLbls>
          <cat>
            <numRef>
              <f>'PLAN_SEMANAL'!$R$4:$R$15</f>
            </numRef>
          </cat>
          <val>
            <numRef>
              <f>'PLAN_SEMANAL'!$T$4:$T$15</f>
            </numRef>
          </val>
        </ser>
        <ser>
          <idx val="1"/>
          <order val="1"/>
          <tx>
            <strRef>
              <f>'PLAN_SEMANAL'!U3</f>
            </strRef>
          </tx>
          <spPr>
            <a:solidFill>
              <a:srgbClr val="F8696B"/>
            </a:solidFill>
            <a:ln>
              <a:prstDash val="solid"/>
            </a:ln>
          </spPr>
          <dLbls>
            <showVal val="1"/>
          </dLbls>
          <cat>
            <numRef>
              <f>'PLAN_SEMANAL'!$R$4:$R$15</f>
            </numRef>
          </cat>
          <val>
            <numRef>
              <f>'PLAN_SEMANAL'!$U$4:$U$15</f>
            </numRef>
          </val>
        </ser>
        <gapWidth val="60"/>
        <overlap val="100"/>
        <axId val="10"/>
        <axId val="100"/>
      </barChart>
      <lineChart>
        <grouping val="standard"/>
        <ser>
          <idx val="2"/>
          <order val="2"/>
          <tx>
            <strRef>
              <f>'PLAN_SEMANAL'!V3</f>
            </strRef>
          </tx>
          <spPr>
            <a:ln w="25000">
              <a:solidFill>
                <a:srgbClr val="1F4E78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'PLAN_SEMANAL'!$R$4:$R$15</f>
            </numRef>
          </cat>
          <val>
            <numRef>
              <f>'PLAN_SEMANAL'!$V$4:$V$15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Adherencia semanal vs meta</a:t>
            </a:r>
          </a:p>
        </rich>
      </tx>
    </title>
    <plotArea>
      <lineChart>
        <grouping val="standard"/>
        <ser>
          <idx val="0"/>
          <order val="0"/>
          <tx>
            <strRef>
              <f>'ADHERENCIA'!D4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'ADHERENCIA'!$A$5:$A$64</f>
            </numRef>
          </cat>
          <val>
            <numRef>
              <f>'ADHERENCIA'!$D$5:$D$64</f>
            </numRef>
          </val>
        </ser>
        <ser>
          <idx val="1"/>
          <order val="1"/>
          <tx>
            <strRef>
              <f>'ADHERENCIA'!H4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'ADHERENCIA'!$A$5:$A$64</f>
            </numRef>
          </cat>
          <val>
            <numRef>
              <f>'ADHERENCIA'!$H$5:$H$64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 vs real por mes (todas las áreas)</a:t>
            </a:r>
          </a:p>
        </rich>
      </tx>
    </title>
    <plotArea>
      <barChart>
        <barDir val="col"/>
        <grouping val="clustered"/>
        <ser>
          <idx val="0"/>
          <order val="0"/>
          <tx>
            <v>Plan</v>
          </tx>
          <spPr>
            <a:ln>
              <a:prstDash val="solid"/>
            </a:ln>
          </spPr>
          <cat>
            <numRef>
              <f>'COSTOS'!$B$5:$K$5</f>
            </numRef>
          </cat>
          <val>
            <numRef>
              <f>'COSTOS'!$B$9:$K$9</f>
            </numRef>
          </val>
        </ser>
        <ser>
          <idx val="1"/>
          <order val="1"/>
          <tx>
            <v>Real</v>
          </tx>
          <spPr>
            <a:ln>
              <a:prstDash val="solid"/>
            </a:ln>
          </spPr>
          <cat>
            <numRef>
              <f>'COSTOS'!$B$5:$K$5</f>
            </numRef>
          </cat>
          <val>
            <numRef>
              <f>'COSTOS'!$B$17:$K$17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108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jecucion" displayName="tblEjecucion" ref="A8:J1208" headerRowCount="1">
  <autoFilter ref="A8:J1208"/>
  <tableColumns count="10">
    <tableColumn id="1" name="orden"/>
    <tableColumn id="2" name="operacion"/>
    <tableColumn id="3" name="estado_sistema"/>
    <tableColumn id="4" name="prioridad"/>
    <tableColumn id="5" name="estado_instalacion"/>
    <tableColumn id="6" name="precio"/>
    <tableColumn id="7" name="costo_real"/>
    <tableColumn id="8" name="costo_plan_total"/>
    <tableColumn id="9" name="estado_usuario"/>
    <tableColumn id="10" name="id_oper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Ordenes" displayName="tblOrdenes" ref="A3:AO1203" headerRowCount="1">
  <autoFilter ref="A3:AO1203"/>
  <tableColumns count="41">
    <tableColumn id="1" name="orden"/>
    <tableColumn id="2" name="operacion"/>
    <tableColumn id="3" name="descripcion_general"/>
    <tableColumn id="4" name="descripcion_operacion"/>
    <tableColumn id="5" name="equipo"/>
    <tableColumn id="6" name="centro_costo"/>
    <tableColumn id="7" name="puesto_trabajo"/>
    <tableColumn id="8" name="cod_actividad"/>
    <tableColumn id="9" name="tipo_ot"/>
    <tableColumn id="10" name="fecha_inicio"/>
    <tableColumn id="11" name="horas_estimadas"/>
    <tableColumn id="12" name="costo_plan"/>
    <tableColumn id="13" name="horas_ajustadas"/>
    <tableColumn id="14" name="horas_efectivas"/>
    <tableColumn id="15" name="estado"/>
    <tableColumn id="16" name="semana"/>
    <tableColumn id="17" name="anio"/>
    <tableColumn id="18" name="mes"/>
    <tableColumn id="19" name="dia_semana"/>
    <tableColumn id="20" name="clasificacion"/>
    <tableColumn id="21" name="linea"/>
    <tableColumn id="22" name="area"/>
    <tableColumn id="23" name="coordinador"/>
    <tableColumn id="24" name="especialidad"/>
    <tableColumn id="25" name="actividad"/>
    <tableColumn id="26" name="backlog_dias"/>
    <tableColumn id="27" name="estado_backlog"/>
    <tableColumn id="28" name="en_plan"/>
    <tableColumn id="29" name="tecnico_asignado"/>
    <tableColumn id="30" name="turno_asignado"/>
    <tableColumn id="31" name="HHA"/>
    <tableColumn id="32" name="HHD"/>
    <tableColumn id="33" name="costo_servicio"/>
    <tableColumn id="34" name="costo_materiales"/>
    <tableColumn id="35" name="costo_total"/>
    <tableColumn id="36" name="permiso_requerido"/>
    <tableColumn id="37" name="bloqueo_energia"/>
    <tableColumn id="38" name="link_checklist"/>
    <tableColumn id="39" name="abrir_checklist"/>
    <tableColumn id="40" name="observaciones"/>
    <tableColumn id="41" name="id_oper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Tecnicos" displayName="tblTecnicos" ref="A3:F15" headerRowCount="1">
  <autoFilter ref="A3:F15"/>
  <tableColumns count="6">
    <tableColumn id="1" name="id"/>
    <tableColumn id="2" name="nombre"/>
    <tableColumn id="3" name="especialidad"/>
    <tableColumn id="4" name="area"/>
    <tableColumn id="5" name="coordinador"/>
    <tableColumn id="6" name="ac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signaciones" displayName="tblAsignaciones" ref="A3:I339" headerRowCount="1">
  <autoFilter ref="A3:I339"/>
  <tableColumns count="9">
    <tableColumn id="1" name="semana"/>
    <tableColumn id="2" name="dia"/>
    <tableColumn id="3" name="tecnico"/>
    <tableColumn id="4" name="area"/>
    <tableColumn id="5" name="especialidad"/>
    <tableColumn id="6" name="turno"/>
    <tableColumn id="7" name="coordinador"/>
    <tableColumn id="8" name="horas_disponibles"/>
    <tableColumn id="9" name="cla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ECO" displayName="tblCECO" ref="A3:F9" headerRowCount="1">
  <autoFilter ref="A3:F9"/>
  <tableColumns count="6">
    <tableColumn id="1" name="codigo"/>
    <tableColumn id="2" name="descripcion"/>
    <tableColumn id="3" name="planta"/>
    <tableColumn id="4" name="area"/>
    <tableColumn id="5" name="linea"/>
    <tableColumn id="6" name="coordinad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uestos" displayName="tblPuestos" ref="A3:C8" headerRowCount="1">
  <autoFilter ref="A3:C8"/>
  <tableColumns count="3">
    <tableColumn id="1" name="codigo"/>
    <tableColumn id="2" name="especialidad"/>
    <tableColumn id="3" name="descrip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ctividades" displayName="tblActividades" ref="A3:C8" headerRowCount="1">
  <autoFilter ref="A3:C8"/>
  <tableColumns count="3">
    <tableColumn id="1" name="codigo"/>
    <tableColumn id="2" name="descripcion"/>
    <tableColumn id="3" name="tip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iposOT" displayName="tblTiposOT" ref="A3:C7" headerRowCount="1">
  <autoFilter ref="A3:C7"/>
  <tableColumns count="3">
    <tableColumn id="1" name="codigo"/>
    <tableColumn id="2" name="descripcion"/>
    <tableColumn id="3" name="clasifica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Estados" displayName="tblEstados" ref="A3:B7" headerRowCount="1">
  <autoFilter ref="A3:B7"/>
  <tableColumns count="2">
    <tableColumn id="1" name="estado_sistema"/>
    <tableColumn id="2" name="estado_normaliz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MantPlan — Planificador semanal de mantenimiento</t>
        </is>
      </c>
    </row>
    <row r="2">
      <c r="A2" s="2" t="inlineStr">
        <is>
          <t>Versión 2.0.0 · generado 2026-07-20 · datos 100 % sintéticos de ejemplo</t>
        </is>
      </c>
    </row>
    <row r="3">
      <c r="A3" s="3" t="inlineStr"/>
    </row>
    <row r="4">
      <c r="A4" s="4" t="inlineStr">
        <is>
          <t>PRINCIPIO RECTOR — separación entre lógica y datos:</t>
        </is>
      </c>
    </row>
    <row r="5">
      <c r="A5" s="3" t="inlineStr">
        <is>
          <t xml:space="preserve">  · MOTOR: las 10 reglas de negocio viven en las fórmulas de este libro y nunca cambian.</t>
        </is>
      </c>
    </row>
    <row r="6">
      <c r="A6" s="3" t="inlineStr">
        <is>
          <t xml:space="preserve">  · CATÁLOGOS: centros de costo, puestos, actividades, tipos de OT y estados se cargan por empresa.</t>
        </is>
      </c>
    </row>
    <row r="7">
      <c r="A7" s="3" t="inlineStr">
        <is>
          <t xml:space="preserve">  · PARÁMETROS: jornada, productividad, ventanas de backlog y metas se ajustan en PARAMETROS.</t>
        </is>
      </c>
    </row>
    <row r="8">
      <c r="A8" s="3" t="inlineStr">
        <is>
          <t xml:space="preserve">  · No hay macros, ni enlaces externos, ni códigos de empresa dentro de ninguna fórmula.</t>
        </is>
      </c>
    </row>
    <row r="9">
      <c r="A9" s="3" t="inlineStr"/>
    </row>
    <row r="10">
      <c r="A10" s="4" t="inlineStr">
        <is>
          <t>FLUJO DE USO EN 5 PASOS:</t>
        </is>
      </c>
    </row>
    <row r="11">
      <c r="A11" s="3" t="inlineStr">
        <is>
          <t xml:space="preserve">  1. Ajuste PARAMETROS y cargue los catálogos de su empresa (hojas CAT_*).</t>
        </is>
      </c>
    </row>
    <row r="12">
      <c r="A12" s="4" t="inlineStr">
        <is>
          <t xml:space="preserve">  2. Pegue la exportación de órdenes (12 columnas, en este orden) directamente en ORDENES!A4:</t>
        </is>
      </c>
    </row>
    <row r="13">
      <c r="A13" s="3" t="inlineStr">
        <is>
          <t xml:space="preserve">     un solo bloque contiguo A:L. Hay 1.200 filas provisionadas con las fórmulas ya escritas.</t>
        </is>
      </c>
    </row>
    <row r="14">
      <c r="A14" s="3" t="inlineStr">
        <is>
          <t xml:space="preserve">  3. Pegue la segunda exportación (estados y costos) en 2_IMPORTAR_EJECUCION.</t>
        </is>
      </c>
    </row>
    <row r="15">
      <c r="A15" s="3" t="inlineStr">
        <is>
          <t xml:space="preserve">  4. Complete TECNICOS y los turnos de ASIGNACIONES; asigne técnicos en ORDENES.</t>
        </is>
      </c>
    </row>
    <row r="16">
      <c r="A16" s="3" t="inlineStr">
        <is>
          <t xml:space="preserve">  5. Revise VALIDACION y trabaje con PERFIL_HH, PLAN_SEMANAL, ADHERENCIA, COSTOS y BACKLOG.</t>
        </is>
      </c>
    </row>
    <row r="17">
      <c r="A17" s="3" t="inlineStr"/>
    </row>
    <row r="18">
      <c r="A18" s="4" t="inlineStr">
        <is>
          <t>CONVENCIONES:</t>
        </is>
      </c>
    </row>
    <row r="19">
      <c r="A19" s="3" t="inlineStr">
        <is>
          <t xml:space="preserve">  · Celdas de texto azul = editables por el usuario. El resto se calcula solo.</t>
        </is>
      </c>
    </row>
    <row r="20">
      <c r="A20" s="3" t="inlineStr">
        <is>
          <t xml:space="preserve">  · El libro recalcula automáticamente al abrir (sin macros).</t>
        </is>
      </c>
    </row>
    <row r="21">
      <c r="A21" s="3" t="inlineStr">
        <is>
          <t xml:space="preserve">  · Las fórmulas usan XLOOKUP (Excel 2021/365). Para Excel 2016 vea la hoja _COMPATIBILIDAD.</t>
        </is>
      </c>
    </row>
    <row r="22">
      <c r="A22" s="3" t="inlineStr">
        <is>
          <t xml:space="preserve">  · Los filtros se hacen con los autofiltros de cada tabla y con los selectores de PLAN_SEMANAL.</t>
        </is>
      </c>
    </row>
    <row r="23">
      <c r="A23" s="3" t="inlineStr">
        <is>
          <t xml:space="preserve">  · ORDENES: HHA/HHD agregan las horas del técnico en ese día; HHD negativo (rojo) = sobreasignado.</t>
        </is>
      </c>
    </row>
    <row r="24">
      <c r="A24" s="3" t="inlineStr">
        <is>
          <t xml:space="preserve">  · PLAN_SEMANAL: el gráfico de carga por técnico responde a los mismos selectores que la grilla.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66" customWidth="1" min="3" max="3"/>
    <col width="26" customWidth="1" min="5" max="5"/>
    <col width="14" customWidth="1" min="7" max="7"/>
    <col width="14" customWidth="1" min="9" max="9"/>
  </cols>
  <sheetData>
    <row r="1">
      <c r="A1" s="1" t="inlineStr">
        <is>
          <t>PARÁMETROS DEL MOTOR (Tabla 10)</t>
        </is>
      </c>
    </row>
    <row r="3">
      <c r="A3" s="5" t="inlineStr">
        <is>
          <t>parametro</t>
        </is>
      </c>
      <c r="B3" s="5" t="inlineStr">
        <is>
          <t>valor</t>
        </is>
      </c>
      <c r="C3" s="5" t="inlineStr">
        <is>
          <t>descripcion</t>
        </is>
      </c>
      <c r="E3" s="4" t="inlineStr">
        <is>
          <t>listas auxiliares</t>
        </is>
      </c>
    </row>
    <row r="4">
      <c r="A4" s="3" t="inlineStr">
        <is>
          <t>nombre_empresa</t>
        </is>
      </c>
      <c r="B4" s="6" t="inlineStr">
        <is>
          <t>Empresa Ejemplo S.A.</t>
        </is>
      </c>
      <c r="C4" s="2" t="inlineStr">
        <is>
          <t>Editable. Solo informativo, no participa en cálculos.</t>
        </is>
      </c>
      <c r="E4" s="2" t="inlineStr">
        <is>
          <t>turnos y códigos de ausencia:</t>
        </is>
      </c>
      <c r="G4" s="2" t="inlineStr">
        <is>
          <t>no disponible:</t>
        </is>
      </c>
      <c r="I4" s="2" t="inlineStr">
        <is>
          <t>días (1 = lunes):</t>
        </is>
      </c>
    </row>
    <row r="5">
      <c r="A5" s="3" t="inlineStr">
        <is>
          <t>nombre_planta</t>
        </is>
      </c>
      <c r="B5" s="6" t="inlineStr">
        <is>
          <t>Planta Ejemplo</t>
        </is>
      </c>
      <c r="C5" s="2" t="inlineStr">
        <is>
          <t>Editable. Solo informativo.</t>
        </is>
      </c>
      <c r="E5" s="3" t="inlineStr">
        <is>
          <t>B1</t>
        </is>
      </c>
      <c r="G5" s="3" t="inlineStr">
        <is>
          <t>VAC</t>
        </is>
      </c>
      <c r="I5" s="3" t="inlineStr">
        <is>
          <t>lunes</t>
        </is>
      </c>
    </row>
    <row r="6">
      <c r="A6" s="3" t="inlineStr">
        <is>
          <t>moneda</t>
        </is>
      </c>
      <c r="B6" s="6" t="inlineStr">
        <is>
          <t>USD</t>
        </is>
      </c>
      <c r="C6" s="2" t="inlineStr">
        <is>
          <t>Moneda de los costos.</t>
        </is>
      </c>
      <c r="E6" s="3" t="inlineStr">
        <is>
          <t>T1</t>
        </is>
      </c>
      <c r="G6" s="3" t="inlineStr">
        <is>
          <t>X</t>
        </is>
      </c>
      <c r="I6" s="3" t="inlineStr">
        <is>
          <t>martes</t>
        </is>
      </c>
    </row>
    <row r="7">
      <c r="A7" s="3" t="inlineStr">
        <is>
          <t>horas_jornada</t>
        </is>
      </c>
      <c r="B7" s="6" t="n">
        <v>7</v>
      </c>
      <c r="C7" s="2" t="inlineStr">
        <is>
          <t>Horas de trabajo por técnico y día (REGLA-5).</t>
        </is>
      </c>
      <c r="E7" s="3" t="inlineStr">
        <is>
          <t>T2</t>
        </is>
      </c>
      <c r="I7" s="3" t="inlineStr">
        <is>
          <t>miércoles</t>
        </is>
      </c>
    </row>
    <row r="8">
      <c r="A8" s="3" t="inlineStr">
        <is>
          <t>factor_productividad</t>
        </is>
      </c>
      <c r="B8" s="7" t="n">
        <v>0.87</v>
      </c>
      <c r="C8" s="2" t="inlineStr">
        <is>
          <t>Fracción productiva de la jornada (REGLA-6).</t>
        </is>
      </c>
      <c r="E8" s="3" t="inlineStr">
        <is>
          <t>T3</t>
        </is>
      </c>
      <c r="I8" s="3" t="inlineStr">
        <is>
          <t>jueves</t>
        </is>
      </c>
    </row>
    <row r="9">
      <c r="A9" s="3" t="inlineStr">
        <is>
          <t>turnos</t>
        </is>
      </c>
      <c r="B9" s="6" t="inlineStr">
        <is>
          <t>B1,T1,T2,T3</t>
        </is>
      </c>
      <c r="C9" s="2" t="inlineStr">
        <is>
          <t>Códigos de turno válidos (lista auxiliar a la derecha).</t>
        </is>
      </c>
      <c r="E9" s="3" t="inlineStr">
        <is>
          <t>VAC</t>
        </is>
      </c>
      <c r="I9" s="3" t="inlineStr">
        <is>
          <t>viernes</t>
        </is>
      </c>
    </row>
    <row r="10">
      <c r="A10" s="3" t="inlineStr">
        <is>
          <t>codigos_no_disponible</t>
        </is>
      </c>
      <c r="B10" s="6" t="inlineStr">
        <is>
          <t>VAC,X</t>
        </is>
      </c>
      <c r="C10" s="2" t="inlineStr">
        <is>
          <t>Códigos que anulan la disponibilidad (REGLA-5).</t>
        </is>
      </c>
      <c r="E10" s="3" t="inlineStr">
        <is>
          <t>X</t>
        </is>
      </c>
      <c r="I10" s="3" t="inlineStr">
        <is>
          <t>sábado</t>
        </is>
      </c>
    </row>
    <row r="11">
      <c r="A11" s="3" t="inlineStr">
        <is>
          <t>dias_backlog_max</t>
        </is>
      </c>
      <c r="B11" s="6" t="n">
        <v>30</v>
      </c>
      <c r="C11" s="2" t="inlineStr">
        <is>
          <t>Días hacia atrás que siguen siendo plan (REGLAS 3 y 4).</t>
        </is>
      </c>
      <c r="I11" s="3" t="inlineStr">
        <is>
          <t>domingo</t>
        </is>
      </c>
    </row>
    <row r="12">
      <c r="A12" s="3" t="inlineStr">
        <is>
          <t>dias_backlog_min</t>
        </is>
      </c>
      <c r="B12" s="6" t="n">
        <v>-92</v>
      </c>
      <c r="C12" s="2" t="inlineStr">
        <is>
          <t>Días hacia adelante (negativo) que entran al plan (REGLA-4).</t>
        </is>
      </c>
    </row>
    <row r="13">
      <c r="A13" s="3" t="inlineStr">
        <is>
          <t>meta_adherencia</t>
        </is>
      </c>
      <c r="B13" s="7" t="n">
        <v>0.95</v>
      </c>
      <c r="C13" s="2" t="inlineStr">
        <is>
          <t>Meta de adherencia semanal (REGLA-7).</t>
        </is>
      </c>
    </row>
    <row r="14">
      <c r="A14" s="3" t="inlineStr">
        <is>
          <t>meta_ratio_prev_corr</t>
        </is>
      </c>
      <c r="B14" s="7" t="n">
        <v>0.8</v>
      </c>
      <c r="C14" s="2" t="inlineStr">
        <is>
          <t>Meta: fracción preventiva mínima de las HH (REGLA-9).</t>
        </is>
      </c>
    </row>
    <row r="15">
      <c r="A15" s="3" t="inlineStr">
        <is>
          <t>primer_dia_semana</t>
        </is>
      </c>
      <c r="B15" s="6" t="inlineStr">
        <is>
          <t>lunes</t>
        </is>
      </c>
      <c r="C15" s="2" t="inlineStr">
        <is>
          <t>Inicio de semana. La semana ISO (REGLA-2) empieza en lunes.</t>
        </is>
      </c>
    </row>
    <row r="16">
      <c r="A16" s="3" t="inlineStr">
        <is>
          <t>ruta_base_checklists</t>
        </is>
      </c>
      <c r="B16" s="6" t="inlineStr">
        <is>
          <t>C:\MANTPLAN\checklists\</t>
        </is>
      </c>
      <c r="C16" s="2" t="inlineStr">
        <is>
          <t>Base para los hipervínculos de la columna link_checklist.</t>
        </is>
      </c>
    </row>
  </sheetData>
  <dataValidations count="3">
    <dataValidation sqref="B15" showDropDown="0" showInputMessage="0" showErrorMessage="0" allowBlank="0" type="list">
      <formula1>"lunes,domingo"</formula1>
    </dataValidation>
    <dataValidation sqref="B8 B13 B14" showDropDown="0" showInputMessage="0" showErrorMessage="0" allowBlank="0" type="decimal" operator="between">
      <formula1>0</formula1>
      <formula2>1</formula2>
    </dataValidation>
    <dataValidation sqref="B7" showDropDown="0" showInputMessage="0" showErrorMessage="0" allowBlank="0" type="decimal" operator="between">
      <formula1>1</formula1>
      <formula2>24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ZONA DE PEGADO — exportación de órdenes del ERP</t>
        </is>
      </c>
    </row>
    <row r="3">
      <c r="A3" s="2" t="inlineStr">
        <is>
          <t>Ordene la exportación de su ERP con estas 12 cabeceras exactas (misma disposición que ORDENES!A:L)</t>
        </is>
      </c>
    </row>
    <row r="4">
      <c r="A4" s="2" t="inlineStr">
        <is>
          <t>y péguela EN UN SOLO PASO en ORDENES!A4 (o desde la primera fila libre). Nada más que hacer:</t>
        </is>
      </c>
    </row>
    <row r="5">
      <c r="A5" s="2" t="inlineStr">
        <is>
          <t>las columnas calculadas ya están escritas en las 1.200 filas provisionadas de la tabla.</t>
        </is>
      </c>
    </row>
    <row r="6">
      <c r="A6" s="2" t="inlineStr">
        <is>
          <t>operacion es opcional: si su ERP no maneja operaciones, déjela vacía y el sistema asume "0010".</t>
        </is>
      </c>
    </row>
    <row r="7">
      <c r="A7" s="2" t="inlineStr">
        <is>
          <t>horas_ajustadas (columna M de ORDENES) es del planificador y NO se pega: sobrevive a la re-importación.</t>
        </is>
      </c>
    </row>
    <row r="8">
      <c r="A8" s="5" t="inlineStr">
        <is>
          <t>orden</t>
        </is>
      </c>
      <c r="B8" s="5" t="inlineStr">
        <is>
          <t>operacion</t>
        </is>
      </c>
      <c r="C8" s="5" t="inlineStr">
        <is>
          <t>descripcion_general</t>
        </is>
      </c>
      <c r="D8" s="5" t="inlineStr">
        <is>
          <t>descripcion_operacion</t>
        </is>
      </c>
      <c r="E8" s="5" t="inlineStr">
        <is>
          <t>equipo</t>
        </is>
      </c>
      <c r="F8" s="5" t="inlineStr">
        <is>
          <t>centro_costo</t>
        </is>
      </c>
      <c r="G8" s="5" t="inlineStr">
        <is>
          <t>puesto_trabajo</t>
        </is>
      </c>
      <c r="H8" s="5" t="inlineStr">
        <is>
          <t>cod_actividad</t>
        </is>
      </c>
      <c r="I8" s="5" t="inlineStr">
        <is>
          <t>tipo_ot</t>
        </is>
      </c>
      <c r="J8" s="5" t="inlineStr">
        <is>
          <t>fecha_inicio</t>
        </is>
      </c>
      <c r="K8" s="5" t="inlineStr">
        <is>
          <t>horas_estimadas</t>
        </is>
      </c>
      <c r="L8" s="5" t="inlineStr">
        <is>
          <t>costo_plan</t>
        </is>
      </c>
    </row>
    <row r="9">
      <c r="A9" s="8" t="inlineStr">
        <is>
          <t>OT-000001</t>
        </is>
      </c>
      <c r="B9" s="8" t="inlineStr">
        <is>
          <t>0010</t>
        </is>
      </c>
      <c r="C9" s="8" t="inlineStr">
        <is>
          <t>Lubricación programada — EQ-102</t>
        </is>
      </c>
      <c r="D9" s="8" t="inlineStr">
        <is>
          <t>Lubricación programada en EQ-102</t>
        </is>
      </c>
      <c r="E9" s="8" t="inlineStr">
        <is>
          <t>EQ-102</t>
        </is>
      </c>
      <c r="F9" s="8" t="inlineStr">
        <is>
          <t>CC-110</t>
        </is>
      </c>
      <c r="G9" s="8" t="inlineStr">
        <is>
          <t>PU-MEC</t>
        </is>
      </c>
      <c r="H9" s="8" t="inlineStr">
        <is>
          <t>ACT-02</t>
        </is>
      </c>
      <c r="I9" s="8" t="inlineStr">
        <is>
          <t>TIPO-P2</t>
        </is>
      </c>
      <c r="J9" s="9" t="n">
        <v>46216</v>
      </c>
      <c r="K9" s="8" t="n">
        <v>10</v>
      </c>
      <c r="L9" s="8" t="n">
        <v>250</v>
      </c>
    </row>
    <row r="10">
      <c r="A10" s="8" t="inlineStr">
        <is>
          <t>OT-000002</t>
        </is>
      </c>
      <c r="B10" s="8" t="inlineStr">
        <is>
          <t>0010</t>
        </is>
      </c>
      <c r="C10" s="8" t="inlineStr">
        <is>
          <t>Análisis predictivo — EQ-108</t>
        </is>
      </c>
      <c r="D10" s="8" t="inlineStr">
        <is>
          <t>Análisis predictivo en EQ-108</t>
        </is>
      </c>
      <c r="E10" s="8" t="inlineStr">
        <is>
          <t>EQ-108</t>
        </is>
      </c>
      <c r="F10" s="8" t="inlineStr">
        <is>
          <t>CC-210</t>
        </is>
      </c>
      <c r="G10" s="8" t="inlineStr">
        <is>
          <t>PU-MEC</t>
        </is>
      </c>
      <c r="H10" s="8" t="inlineStr">
        <is>
          <t>ACT-04</t>
        </is>
      </c>
      <c r="I10" s="8" t="inlineStr">
        <is>
          <t>TIPO-P1</t>
        </is>
      </c>
      <c r="J10" s="9" t="n">
        <v>46217</v>
      </c>
      <c r="K10" s="8" t="n">
        <v>8</v>
      </c>
      <c r="L10" s="8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J1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6" customWidth="1" min="5" max="5"/>
    <col width="10" customWidth="1" min="6" max="6"/>
    <col width="10" customWidth="1" min="7" max="7"/>
    <col width="15" customWidth="1" min="8" max="8"/>
    <col width="14" customWidth="1" min="9" max="9"/>
    <col width="16" customWidth="1" min="10" max="10"/>
  </cols>
  <sheetData>
    <row r="1">
      <c r="A1" s="1" t="inlineStr">
        <is>
          <t>ZONA DE PEGADO — segunda exportación: estados y costos (tblEjecucion)</t>
        </is>
      </c>
    </row>
    <row r="3">
      <c r="A3" s="2" t="inlineStr">
        <is>
          <t>Pegue aquí los estados y costos reales del ERP, con estas cabeceras exactas, desde la primera fila vacía.</t>
        </is>
      </c>
    </row>
    <row r="4">
      <c r="A4" s="2" t="inlineStr">
        <is>
          <t>id_operacion se calcula solo. El catálogo CAT_ESTADOS_ERP traduce estado_sistema a Cerrada/Pendiente.</t>
        </is>
      </c>
    </row>
    <row r="5">
      <c r="A5" s="2" t="inlineStr">
        <is>
          <t>Las órdenes sin par en esta tabla quedan como "Pendiente" (REGLA-10).</t>
        </is>
      </c>
    </row>
    <row r="8">
      <c r="A8" s="5" t="inlineStr">
        <is>
          <t>orden</t>
        </is>
      </c>
      <c r="B8" s="5" t="inlineStr">
        <is>
          <t>operacion</t>
        </is>
      </c>
      <c r="C8" s="5" t="inlineStr">
        <is>
          <t>estado_sistema</t>
        </is>
      </c>
      <c r="D8" s="5" t="inlineStr">
        <is>
          <t>prioridad</t>
        </is>
      </c>
      <c r="E8" s="5" t="inlineStr">
        <is>
          <t>estado_instalacion</t>
        </is>
      </c>
      <c r="F8" s="5" t="inlineStr">
        <is>
          <t>precio</t>
        </is>
      </c>
      <c r="G8" s="5" t="inlineStr">
        <is>
          <t>costo_real</t>
        </is>
      </c>
      <c r="H8" s="5" t="inlineStr">
        <is>
          <t>costo_plan_total</t>
        </is>
      </c>
      <c r="I8" s="5" t="inlineStr">
        <is>
          <t>estado_usuario</t>
        </is>
      </c>
      <c r="J8" s="5" t="inlineStr">
        <is>
          <t>id_operacion</t>
        </is>
      </c>
    </row>
    <row r="9">
      <c r="A9" s="3" t="inlineStr">
        <is>
          <t>OT-000001</t>
        </is>
      </c>
      <c r="B9" s="3" t="inlineStr">
        <is>
          <t>0010</t>
        </is>
      </c>
      <c r="C9" s="3" t="inlineStr">
        <is>
          <t>LIB</t>
        </is>
      </c>
      <c r="D9" s="3" t="inlineStr">
        <is>
          <t>1-ALTA</t>
        </is>
      </c>
      <c r="E9" s="3" t="inlineStr">
        <is>
          <t>OPERATIVO</t>
        </is>
      </c>
      <c r="F9" s="10" t="n">
        <v>100</v>
      </c>
      <c r="G9" s="10" t="n">
        <v>0</v>
      </c>
      <c r="H9" s="10" t="n">
        <v>250</v>
      </c>
      <c r="I9" s="3" t="inlineStr">
        <is>
          <t>LIBERADA</t>
        </is>
      </c>
      <c r="J9" s="3">
        <f>IF(tblEjecucion[[#This Row],[orden]]="","",tblEjecucion[[#This Row],[orden]]&amp;IF(tblEjecucion[[#This Row],[operacion]]="","0010",tblEjecucion[[#This Row],[operacion]]))</f>
        <v/>
      </c>
    </row>
    <row r="10">
      <c r="A10" s="3" t="inlineStr">
        <is>
          <t>OT-000002</t>
        </is>
      </c>
      <c r="B10" s="3" t="inlineStr">
        <is>
          <t>0010</t>
        </is>
      </c>
      <c r="C10" s="3" t="inlineStr">
        <is>
          <t>CERR</t>
        </is>
      </c>
      <c r="D10" s="3" t="inlineStr">
        <is>
          <t>2-MEDIA</t>
        </is>
      </c>
      <c r="E10" s="3" t="inlineStr">
        <is>
          <t>PARADO</t>
        </is>
      </c>
      <c r="F10" s="10" t="n">
        <v>80</v>
      </c>
      <c r="G10" s="10" t="n">
        <v>200</v>
      </c>
      <c r="H10" s="10" t="n">
        <v>200</v>
      </c>
      <c r="I10" s="3" t="inlineStr">
        <is>
          <t>CERRADA</t>
        </is>
      </c>
      <c r="J10" s="3">
        <f>IF(tblEjecucion[[#This Row],[orden]]="","",tblEjecucion[[#This Row],[orden]]&amp;IF(tblEjecucion[[#This Row],[operacion]]="","0010",tblEjecucion[[#This Row],[operacion]]))</f>
        <v/>
      </c>
    </row>
    <row r="11">
      <c r="A11" s="3" t="inlineStr">
        <is>
          <t>OT-000003</t>
        </is>
      </c>
      <c r="B11" s="3" t="inlineStr">
        <is>
          <t>0010</t>
        </is>
      </c>
      <c r="C11" s="3" t="inlineStr">
        <is>
          <t>CERR</t>
        </is>
      </c>
      <c r="D11" s="3" t="inlineStr">
        <is>
          <t>3-BAJA</t>
        </is>
      </c>
      <c r="E11" s="3" t="inlineStr">
        <is>
          <t>OPERATIVO</t>
        </is>
      </c>
      <c r="F11" s="10" t="n">
        <v>60</v>
      </c>
      <c r="G11" s="10" t="n">
        <v>150</v>
      </c>
      <c r="H11" s="10" t="n">
        <v>150</v>
      </c>
      <c r="I11" s="3" t="inlineStr">
        <is>
          <t>CERRADA</t>
        </is>
      </c>
      <c r="J11" s="3">
        <f>IF(tblEjecucion[[#This Row],[orden]]="","",tblEjecucion[[#This Row],[orden]]&amp;IF(tblEjecucion[[#This Row],[operacion]]="","0010",tblEjecucion[[#This Row],[operacion]]))</f>
        <v/>
      </c>
    </row>
    <row r="12">
      <c r="A12" s="3" t="inlineStr">
        <is>
          <t>OT-000004</t>
        </is>
      </c>
      <c r="B12" s="3" t="inlineStr">
        <is>
          <t>0010</t>
        </is>
      </c>
      <c r="C12" s="3" t="inlineStr">
        <is>
          <t>CERR</t>
        </is>
      </c>
      <c r="D12" s="3" t="inlineStr">
        <is>
          <t>1-ALTA</t>
        </is>
      </c>
      <c r="E12" s="3" t="inlineStr">
        <is>
          <t>PARADO</t>
        </is>
      </c>
      <c r="F12" s="10" t="n">
        <v>100</v>
      </c>
      <c r="G12" s="10" t="n">
        <v>250</v>
      </c>
      <c r="H12" s="10" t="n">
        <v>250</v>
      </c>
      <c r="I12" s="3" t="inlineStr">
        <is>
          <t>CERRADA</t>
        </is>
      </c>
      <c r="J12" s="3">
        <f>IF(tblEjecucion[[#This Row],[orden]]="","",tblEjecucion[[#This Row],[orden]]&amp;IF(tblEjecucion[[#This Row],[operacion]]="","0010",tblEjecucion[[#This Row],[operacion]]))</f>
        <v/>
      </c>
    </row>
    <row r="13">
      <c r="A13" s="3" t="inlineStr">
        <is>
          <t>OT-000005</t>
        </is>
      </c>
      <c r="B13" s="3" t="inlineStr">
        <is>
          <t>0010</t>
        </is>
      </c>
      <c r="C13" s="3" t="inlineStr">
        <is>
          <t>CERR</t>
        </is>
      </c>
      <c r="D13" s="3" t="inlineStr">
        <is>
          <t>2-MEDIA</t>
        </is>
      </c>
      <c r="E13" s="3" t="inlineStr">
        <is>
          <t>OPERATIVO</t>
        </is>
      </c>
      <c r="F13" s="10" t="n">
        <v>80</v>
      </c>
      <c r="G13" s="10" t="n">
        <v>200</v>
      </c>
      <c r="H13" s="10" t="n">
        <v>200</v>
      </c>
      <c r="I13" s="3" t="inlineStr">
        <is>
          <t>CERRADA</t>
        </is>
      </c>
      <c r="J13" s="3">
        <f>IF(tblEjecucion[[#This Row],[orden]]="","",tblEjecucion[[#This Row],[orden]]&amp;IF(tblEjecucion[[#This Row],[operacion]]="","0010",tblEjecucion[[#This Row],[operacion]]))</f>
        <v/>
      </c>
    </row>
    <row r="14">
      <c r="A14" s="3" t="inlineStr">
        <is>
          <t>OT-000006</t>
        </is>
      </c>
      <c r="B14" s="3" t="inlineStr">
        <is>
          <t>0010</t>
        </is>
      </c>
      <c r="C14" s="3" t="inlineStr">
        <is>
          <t>CERR</t>
        </is>
      </c>
      <c r="D14" s="3" t="inlineStr">
        <is>
          <t>3-BAJA</t>
        </is>
      </c>
      <c r="E14" s="3" t="inlineStr">
        <is>
          <t>PARADO</t>
        </is>
      </c>
      <c r="F14" s="10" t="n">
        <v>60</v>
      </c>
      <c r="G14" s="10" t="n">
        <v>150</v>
      </c>
      <c r="H14" s="10" t="n">
        <v>150</v>
      </c>
      <c r="I14" s="3" t="inlineStr">
        <is>
          <t>CERRADA</t>
        </is>
      </c>
      <c r="J14" s="3">
        <f>IF(tblEjecucion[[#This Row],[orden]]="","",tblEjecucion[[#This Row],[orden]]&amp;IF(tblEjecucion[[#This Row],[operacion]]="","0010",tblEjecucion[[#This Row],[operacion]]))</f>
        <v/>
      </c>
    </row>
    <row r="15">
      <c r="A15" s="3" t="inlineStr">
        <is>
          <t>OT-000007</t>
        </is>
      </c>
      <c r="B15" s="3" t="inlineStr">
        <is>
          <t>0010</t>
        </is>
      </c>
      <c r="C15" s="3" t="inlineStr">
        <is>
          <t>CERR</t>
        </is>
      </c>
      <c r="D15" s="3" t="inlineStr">
        <is>
          <t>1-ALTA</t>
        </is>
      </c>
      <c r="E15" s="3" t="inlineStr">
        <is>
          <t>OPERATIVO</t>
        </is>
      </c>
      <c r="F15" s="10" t="n">
        <v>100</v>
      </c>
      <c r="G15" s="10" t="n">
        <v>250</v>
      </c>
      <c r="H15" s="10" t="n">
        <v>250</v>
      </c>
      <c r="I15" s="3" t="inlineStr">
        <is>
          <t>CERRADA</t>
        </is>
      </c>
      <c r="J15" s="3">
        <f>IF(tblEjecucion[[#This Row],[orden]]="","",tblEjecucion[[#This Row],[orden]]&amp;IF(tblEjecucion[[#This Row],[operacion]]="","0010",tblEjecucion[[#This Row],[operacion]]))</f>
        <v/>
      </c>
    </row>
    <row r="16">
      <c r="A16" s="3" t="inlineStr">
        <is>
          <t>OT-000008</t>
        </is>
      </c>
      <c r="B16" s="3" t="inlineStr">
        <is>
          <t>0010</t>
        </is>
      </c>
      <c r="C16" s="3" t="inlineStr">
        <is>
          <t>CERR</t>
        </is>
      </c>
      <c r="D16" s="3" t="inlineStr">
        <is>
          <t>2-MEDIA</t>
        </is>
      </c>
      <c r="E16" s="3" t="inlineStr">
        <is>
          <t>PARADO</t>
        </is>
      </c>
      <c r="F16" s="10" t="n">
        <v>80</v>
      </c>
      <c r="G16" s="10" t="n">
        <v>200</v>
      </c>
      <c r="H16" s="10" t="n">
        <v>200</v>
      </c>
      <c r="I16" s="3" t="inlineStr">
        <is>
          <t>CERRADA</t>
        </is>
      </c>
      <c r="J16" s="3">
        <f>IF(tblEjecucion[[#This Row],[orden]]="","",tblEjecucion[[#This Row],[orden]]&amp;IF(tblEjecucion[[#This Row],[operacion]]="","0010",tblEjecucion[[#This Row],[operacion]]))</f>
        <v/>
      </c>
    </row>
    <row r="17">
      <c r="A17" s="3" t="inlineStr">
        <is>
          <t>OT-000009</t>
        </is>
      </c>
      <c r="B17" s="3" t="inlineStr">
        <is>
          <t>0010</t>
        </is>
      </c>
      <c r="C17" s="3" t="inlineStr">
        <is>
          <t>CERR</t>
        </is>
      </c>
      <c r="D17" s="3" t="inlineStr">
        <is>
          <t>3-BAJA</t>
        </is>
      </c>
      <c r="E17" s="3" t="inlineStr">
        <is>
          <t>OPERATIVO</t>
        </is>
      </c>
      <c r="F17" s="10" t="n">
        <v>60</v>
      </c>
      <c r="G17" s="10" t="n">
        <v>150</v>
      </c>
      <c r="H17" s="10" t="n">
        <v>150</v>
      </c>
      <c r="I17" s="3" t="inlineStr">
        <is>
          <t>CERRADA</t>
        </is>
      </c>
      <c r="J17" s="3">
        <f>IF(tblEjecucion[[#This Row],[orden]]="","",tblEjecucion[[#This Row],[orden]]&amp;IF(tblEjecucion[[#This Row],[operacion]]="","0010",tblEjecucion[[#This Row],[operacion]]))</f>
        <v/>
      </c>
    </row>
    <row r="18">
      <c r="A18" s="3" t="inlineStr">
        <is>
          <t>OT-000010</t>
        </is>
      </c>
      <c r="B18" s="3" t="inlineStr">
        <is>
          <t>0010</t>
        </is>
      </c>
      <c r="C18" s="3" t="inlineStr">
        <is>
          <t>CERR</t>
        </is>
      </c>
      <c r="D18" s="3" t="inlineStr">
        <is>
          <t>1-ALTA</t>
        </is>
      </c>
      <c r="E18" s="3" t="inlineStr">
        <is>
          <t>PARADO</t>
        </is>
      </c>
      <c r="F18" s="10" t="n">
        <v>80</v>
      </c>
      <c r="G18" s="10" t="n">
        <v>200</v>
      </c>
      <c r="H18" s="10" t="n">
        <v>200</v>
      </c>
      <c r="I18" s="3" t="inlineStr">
        <is>
          <t>CERRADA</t>
        </is>
      </c>
      <c r="J18" s="3">
        <f>IF(tblEjecucion[[#This Row],[orden]]="","",tblEjecucion[[#This Row],[orden]]&amp;IF(tblEjecucion[[#This Row],[operacion]]="","0010",tblEjecucion[[#This Row],[operacion]]))</f>
        <v/>
      </c>
    </row>
    <row r="19">
      <c r="A19" s="3" t="inlineStr">
        <is>
          <t>OT-000011</t>
        </is>
      </c>
      <c r="B19" s="3" t="inlineStr">
        <is>
          <t>0010</t>
        </is>
      </c>
      <c r="C19" s="3" t="inlineStr">
        <is>
          <t>CERR</t>
        </is>
      </c>
      <c r="D19" s="3" t="inlineStr">
        <is>
          <t>2-MEDIA</t>
        </is>
      </c>
      <c r="E19" s="3" t="inlineStr">
        <is>
          <t>OPERATIVO</t>
        </is>
      </c>
      <c r="F19" s="10" t="n">
        <v>160</v>
      </c>
      <c r="G19" s="10" t="n">
        <v>400</v>
      </c>
      <c r="H19" s="10" t="n">
        <v>400</v>
      </c>
      <c r="I19" s="3" t="inlineStr">
        <is>
          <t>CERRADA</t>
        </is>
      </c>
      <c r="J19" s="3">
        <f>IF(tblEjecucion[[#This Row],[orden]]="","",tblEjecucion[[#This Row],[orden]]&amp;IF(tblEjecucion[[#This Row],[operacion]]="","0010",tblEjecucion[[#This Row],[operacion]]))</f>
        <v/>
      </c>
    </row>
    <row r="20">
      <c r="A20" s="3" t="inlineStr">
        <is>
          <t>OT-000012</t>
        </is>
      </c>
      <c r="B20" s="3" t="inlineStr">
        <is>
          <t>0010</t>
        </is>
      </c>
      <c r="C20" s="3" t="inlineStr">
        <is>
          <t>CERR</t>
        </is>
      </c>
      <c r="D20" s="3" t="inlineStr">
        <is>
          <t>3-BAJA</t>
        </is>
      </c>
      <c r="E20" s="3" t="inlineStr">
        <is>
          <t>PARADO</t>
        </is>
      </c>
      <c r="F20" s="10" t="n">
        <v>160</v>
      </c>
      <c r="G20" s="10" t="n">
        <v>400</v>
      </c>
      <c r="H20" s="10" t="n">
        <v>400</v>
      </c>
      <c r="I20" s="3" t="inlineStr">
        <is>
          <t>CERRADA</t>
        </is>
      </c>
      <c r="J20" s="3">
        <f>IF(tblEjecucion[[#This Row],[orden]]="","",tblEjecucion[[#This Row],[orden]]&amp;IF(tblEjecucion[[#This Row],[operacion]]="","0010",tblEjecucion[[#This Row],[operacion]]))</f>
        <v/>
      </c>
    </row>
    <row r="21">
      <c r="A21" s="3" t="inlineStr">
        <is>
          <t>OT-000013</t>
        </is>
      </c>
      <c r="B21" s="3" t="inlineStr">
        <is>
          <t>0010</t>
        </is>
      </c>
      <c r="C21" s="3" t="inlineStr">
        <is>
          <t>CERR</t>
        </is>
      </c>
      <c r="D21" s="3" t="inlineStr">
        <is>
          <t>1-ALTA</t>
        </is>
      </c>
      <c r="E21" s="3" t="inlineStr">
        <is>
          <t>OPERATIVO</t>
        </is>
      </c>
      <c r="F21" s="10" t="n">
        <v>100</v>
      </c>
      <c r="G21" s="10" t="n">
        <v>250</v>
      </c>
      <c r="H21" s="10" t="n">
        <v>250</v>
      </c>
      <c r="I21" s="3" t="inlineStr">
        <is>
          <t>CERRADA</t>
        </is>
      </c>
      <c r="J21" s="3">
        <f>IF(tblEjecucion[[#This Row],[orden]]="","",tblEjecucion[[#This Row],[orden]]&amp;IF(tblEjecucion[[#This Row],[operacion]]="","0010",tblEjecucion[[#This Row],[operacion]]))</f>
        <v/>
      </c>
    </row>
    <row r="22">
      <c r="A22" s="3" t="inlineStr">
        <is>
          <t>OT-000014</t>
        </is>
      </c>
      <c r="B22" s="3" t="inlineStr">
        <is>
          <t>0010</t>
        </is>
      </c>
      <c r="C22" s="3" t="inlineStr">
        <is>
          <t>EJEC</t>
        </is>
      </c>
      <c r="D22" s="3" t="inlineStr">
        <is>
          <t>2-MEDIA</t>
        </is>
      </c>
      <c r="E22" s="3" t="inlineStr">
        <is>
          <t>PARADO</t>
        </is>
      </c>
      <c r="F22" s="10" t="n">
        <v>80</v>
      </c>
      <c r="G22" s="10" t="n">
        <v>0</v>
      </c>
      <c r="H22" s="10" t="n">
        <v>200</v>
      </c>
      <c r="I22" s="3" t="inlineStr">
        <is>
          <t>EN EJECUCION</t>
        </is>
      </c>
      <c r="J22" s="3">
        <f>IF(tblEjecucion[[#This Row],[orden]]="","",tblEjecucion[[#This Row],[orden]]&amp;IF(tblEjecucion[[#This Row],[operacion]]="","0010",tblEjecucion[[#This Row],[operacion]]))</f>
        <v/>
      </c>
    </row>
    <row r="23">
      <c r="A23" s="3" t="inlineStr">
        <is>
          <t>OT-000015</t>
        </is>
      </c>
      <c r="B23" s="3" t="inlineStr">
        <is>
          <t>0010</t>
        </is>
      </c>
      <c r="C23" s="3" t="inlineStr">
        <is>
          <t>CERR</t>
        </is>
      </c>
      <c r="D23" s="3" t="inlineStr">
        <is>
          <t>3-BAJA</t>
        </is>
      </c>
      <c r="E23" s="3" t="inlineStr">
        <is>
          <t>OPERATIVO</t>
        </is>
      </c>
      <c r="F23" s="10" t="n">
        <v>60</v>
      </c>
      <c r="G23" s="10" t="n">
        <v>150</v>
      </c>
      <c r="H23" s="10" t="n">
        <v>150</v>
      </c>
      <c r="I23" s="3" t="inlineStr">
        <is>
          <t>CERRADA</t>
        </is>
      </c>
      <c r="J23" s="3">
        <f>IF(tblEjecucion[[#This Row],[orden]]="","",tblEjecucion[[#This Row],[orden]]&amp;IF(tblEjecucion[[#This Row],[operacion]]="","0010",tblEjecucion[[#This Row],[operacion]]))</f>
        <v/>
      </c>
    </row>
    <row r="24">
      <c r="A24" s="3" t="inlineStr">
        <is>
          <t>OT-000016</t>
        </is>
      </c>
      <c r="B24" s="3" t="inlineStr">
        <is>
          <t>0010</t>
        </is>
      </c>
      <c r="C24" s="3" t="inlineStr">
        <is>
          <t>EJEC</t>
        </is>
      </c>
      <c r="D24" s="3" t="inlineStr">
        <is>
          <t>1-ALTA</t>
        </is>
      </c>
      <c r="E24" s="3" t="inlineStr">
        <is>
          <t>PARADO</t>
        </is>
      </c>
      <c r="F24" s="10" t="n">
        <v>100</v>
      </c>
      <c r="G24" s="10" t="n">
        <v>0</v>
      </c>
      <c r="H24" s="10" t="n">
        <v>250</v>
      </c>
      <c r="I24" s="3" t="inlineStr">
        <is>
          <t>EN EJECUCION</t>
        </is>
      </c>
      <c r="J24" s="3">
        <f>IF(tblEjecucion[[#This Row],[orden]]="","",tblEjecucion[[#This Row],[orden]]&amp;IF(tblEjecucion[[#This Row],[operacion]]="","0010",tblEjecucion[[#This Row],[operacion]]))</f>
        <v/>
      </c>
    </row>
    <row r="25">
      <c r="A25" s="3" t="inlineStr">
        <is>
          <t>OT-000017</t>
        </is>
      </c>
      <c r="B25" s="3" t="inlineStr">
        <is>
          <t>0010</t>
        </is>
      </c>
      <c r="C25" s="3" t="inlineStr">
        <is>
          <t>CERR</t>
        </is>
      </c>
      <c r="D25" s="3" t="inlineStr">
        <is>
          <t>2-MEDIA</t>
        </is>
      </c>
      <c r="E25" s="3" t="inlineStr">
        <is>
          <t>OPERATIVO</t>
        </is>
      </c>
      <c r="F25" s="10" t="n">
        <v>80</v>
      </c>
      <c r="G25" s="10" t="n">
        <v>200</v>
      </c>
      <c r="H25" s="10" t="n">
        <v>200</v>
      </c>
      <c r="I25" s="3" t="inlineStr">
        <is>
          <t>CERRADA</t>
        </is>
      </c>
      <c r="J25" s="3">
        <f>IF(tblEjecucion[[#This Row],[orden]]="","",tblEjecucion[[#This Row],[orden]]&amp;IF(tblEjecucion[[#This Row],[operacion]]="","0010",tblEjecucion[[#This Row],[operacion]]))</f>
        <v/>
      </c>
    </row>
    <row r="26">
      <c r="A26" s="3" t="inlineStr">
        <is>
          <t>OT-000018</t>
        </is>
      </c>
      <c r="B26" s="3" t="inlineStr">
        <is>
          <t>0010</t>
        </is>
      </c>
      <c r="C26" s="3" t="inlineStr">
        <is>
          <t>EJEC</t>
        </is>
      </c>
      <c r="D26" s="3" t="inlineStr">
        <is>
          <t>3-BAJA</t>
        </is>
      </c>
      <c r="E26" s="3" t="inlineStr">
        <is>
          <t>PARADO</t>
        </is>
      </c>
      <c r="F26" s="10" t="n">
        <v>60</v>
      </c>
      <c r="G26" s="10" t="n">
        <v>0</v>
      </c>
      <c r="H26" s="10" t="n">
        <v>150</v>
      </c>
      <c r="I26" s="3" t="inlineStr">
        <is>
          <t>EN EJECUCION</t>
        </is>
      </c>
      <c r="J26" s="3">
        <f>IF(tblEjecucion[[#This Row],[orden]]="","",tblEjecucion[[#This Row],[orden]]&amp;IF(tblEjecucion[[#This Row],[operacion]]="","0010",tblEjecucion[[#This Row],[operacion]]))</f>
        <v/>
      </c>
    </row>
    <row r="27">
      <c r="A27" s="3" t="inlineStr">
        <is>
          <t>OT-000019</t>
        </is>
      </c>
      <c r="B27" s="3" t="inlineStr">
        <is>
          <t>0010</t>
        </is>
      </c>
      <c r="C27" s="3" t="inlineStr">
        <is>
          <t>CERR</t>
        </is>
      </c>
      <c r="D27" s="3" t="inlineStr">
        <is>
          <t>1-ALTA</t>
        </is>
      </c>
      <c r="E27" s="3" t="inlineStr">
        <is>
          <t>OPERATIVO</t>
        </is>
      </c>
      <c r="F27" s="10" t="n">
        <v>100</v>
      </c>
      <c r="G27" s="10" t="n">
        <v>250</v>
      </c>
      <c r="H27" s="10" t="n">
        <v>250</v>
      </c>
      <c r="I27" s="3" t="inlineStr">
        <is>
          <t>CERRADA</t>
        </is>
      </c>
      <c r="J27" s="3">
        <f>IF(tblEjecucion[[#This Row],[orden]]="","",tblEjecucion[[#This Row],[orden]]&amp;IF(tblEjecucion[[#This Row],[operacion]]="","0010",tblEjecucion[[#This Row],[operacion]]))</f>
        <v/>
      </c>
    </row>
    <row r="28">
      <c r="A28" s="3" t="inlineStr">
        <is>
          <t>OT-000020</t>
        </is>
      </c>
      <c r="B28" s="3" t="inlineStr">
        <is>
          <t>0010</t>
        </is>
      </c>
      <c r="C28" s="3" t="inlineStr">
        <is>
          <t>EJEC</t>
        </is>
      </c>
      <c r="D28" s="3" t="inlineStr">
        <is>
          <t>2-MEDIA</t>
        </is>
      </c>
      <c r="E28" s="3" t="inlineStr">
        <is>
          <t>PARADO</t>
        </is>
      </c>
      <c r="F28" s="10" t="n">
        <v>80</v>
      </c>
      <c r="G28" s="10" t="n">
        <v>0</v>
      </c>
      <c r="H28" s="10" t="n">
        <v>200</v>
      </c>
      <c r="I28" s="3" t="inlineStr">
        <is>
          <t>EN EJECUCION</t>
        </is>
      </c>
      <c r="J28" s="3">
        <f>IF(tblEjecucion[[#This Row],[orden]]="","",tblEjecucion[[#This Row],[orden]]&amp;IF(tblEjecucion[[#This Row],[operacion]]="","0010",tblEjecucion[[#This Row],[operacion]]))</f>
        <v/>
      </c>
    </row>
    <row r="29">
      <c r="A29" s="3" t="inlineStr">
        <is>
          <t>OT-000021</t>
        </is>
      </c>
      <c r="B29" s="3" t="inlineStr">
        <is>
          <t>0010</t>
        </is>
      </c>
      <c r="C29" s="3" t="inlineStr">
        <is>
          <t>CERR</t>
        </is>
      </c>
      <c r="D29" s="3" t="inlineStr">
        <is>
          <t>3-BAJA</t>
        </is>
      </c>
      <c r="E29" s="3" t="inlineStr">
        <is>
          <t>OPERATIVO</t>
        </is>
      </c>
      <c r="F29" s="10" t="n">
        <v>60</v>
      </c>
      <c r="G29" s="10" t="n">
        <v>150</v>
      </c>
      <c r="H29" s="10" t="n">
        <v>150</v>
      </c>
      <c r="I29" s="3" t="inlineStr">
        <is>
          <t>CERRADA</t>
        </is>
      </c>
      <c r="J29" s="3">
        <f>IF(tblEjecucion[[#This Row],[orden]]="","",tblEjecucion[[#This Row],[orden]]&amp;IF(tblEjecucion[[#This Row],[operacion]]="","0010",tblEjecucion[[#This Row],[operacion]]))</f>
        <v/>
      </c>
    </row>
    <row r="30">
      <c r="A30" s="3" t="inlineStr">
        <is>
          <t>OT-000022</t>
        </is>
      </c>
      <c r="B30" s="3" t="inlineStr">
        <is>
          <t>0010</t>
        </is>
      </c>
      <c r="C30" s="3" t="inlineStr">
        <is>
          <t>EJEC</t>
        </is>
      </c>
      <c r="D30" s="3" t="inlineStr">
        <is>
          <t>1-ALTA</t>
        </is>
      </c>
      <c r="E30" s="3" t="inlineStr">
        <is>
          <t>PARADO</t>
        </is>
      </c>
      <c r="F30" s="10" t="n">
        <v>80</v>
      </c>
      <c r="G30" s="10" t="n">
        <v>0</v>
      </c>
      <c r="H30" s="10" t="n">
        <v>200</v>
      </c>
      <c r="I30" s="3" t="inlineStr">
        <is>
          <t>EN EJECUCION</t>
        </is>
      </c>
      <c r="J30" s="3">
        <f>IF(tblEjecucion[[#This Row],[orden]]="","",tblEjecucion[[#This Row],[orden]]&amp;IF(tblEjecucion[[#This Row],[operacion]]="","0010",tblEjecucion[[#This Row],[operacion]]))</f>
        <v/>
      </c>
    </row>
    <row r="31">
      <c r="A31" s="3" t="inlineStr">
        <is>
          <t>OT-000023</t>
        </is>
      </c>
      <c r="B31" s="3" t="inlineStr">
        <is>
          <t>0010</t>
        </is>
      </c>
      <c r="C31" s="3" t="inlineStr">
        <is>
          <t>CERR</t>
        </is>
      </c>
      <c r="D31" s="3" t="inlineStr">
        <is>
          <t>2-MEDIA</t>
        </is>
      </c>
      <c r="E31" s="3" t="inlineStr">
        <is>
          <t>OPERATIVO</t>
        </is>
      </c>
      <c r="F31" s="10" t="n">
        <v>160</v>
      </c>
      <c r="G31" s="10" t="n">
        <v>400</v>
      </c>
      <c r="H31" s="10" t="n">
        <v>400</v>
      </c>
      <c r="I31" s="3" t="inlineStr">
        <is>
          <t>CERRADA</t>
        </is>
      </c>
      <c r="J31" s="3">
        <f>IF(tblEjecucion[[#This Row],[orden]]="","",tblEjecucion[[#This Row],[orden]]&amp;IF(tblEjecucion[[#This Row],[operacion]]="","0010",tblEjecucion[[#This Row],[operacion]]))</f>
        <v/>
      </c>
    </row>
    <row r="32">
      <c r="A32" s="3" t="inlineStr">
        <is>
          <t>OT-000024</t>
        </is>
      </c>
      <c r="B32" s="3" t="inlineStr">
        <is>
          <t>0010</t>
        </is>
      </c>
      <c r="C32" s="3" t="inlineStr">
        <is>
          <t>EJEC</t>
        </is>
      </c>
      <c r="D32" s="3" t="inlineStr">
        <is>
          <t>3-BAJA</t>
        </is>
      </c>
      <c r="E32" s="3" t="inlineStr">
        <is>
          <t>PARADO</t>
        </is>
      </c>
      <c r="F32" s="10" t="n">
        <v>128</v>
      </c>
      <c r="G32" s="10" t="n">
        <v>0</v>
      </c>
      <c r="H32" s="10" t="n">
        <v>320</v>
      </c>
      <c r="I32" s="3" t="inlineStr">
        <is>
          <t>EN EJECUCION</t>
        </is>
      </c>
      <c r="J32" s="3">
        <f>IF(tblEjecucion[[#This Row],[orden]]="","",tblEjecucion[[#This Row],[orden]]&amp;IF(tblEjecucion[[#This Row],[operacion]]="","0010",tblEjecucion[[#This Row],[operacion]]))</f>
        <v/>
      </c>
    </row>
    <row r="33">
      <c r="A33" s="3" t="inlineStr">
        <is>
          <t>OT-000025</t>
        </is>
      </c>
      <c r="B33" s="3" t="inlineStr">
        <is>
          <t>0010</t>
        </is>
      </c>
      <c r="C33" s="3" t="inlineStr">
        <is>
          <t>CERR</t>
        </is>
      </c>
      <c r="D33" s="3" t="inlineStr">
        <is>
          <t>1-ALTA</t>
        </is>
      </c>
      <c r="E33" s="3" t="inlineStr">
        <is>
          <t>OPERATIVO</t>
        </is>
      </c>
      <c r="F33" s="10" t="n">
        <v>112</v>
      </c>
      <c r="G33" s="10" t="n">
        <v>280</v>
      </c>
      <c r="H33" s="10" t="n">
        <v>280</v>
      </c>
      <c r="I33" s="3" t="inlineStr">
        <is>
          <t>CERRADA</t>
        </is>
      </c>
      <c r="J33" s="3">
        <f>IF(tblEjecucion[[#This Row],[orden]]="","",tblEjecucion[[#This Row],[orden]]&amp;IF(tblEjecucion[[#This Row],[operacion]]="","0010",tblEjecucion[[#This Row],[operacion]]))</f>
        <v/>
      </c>
    </row>
    <row r="34">
      <c r="A34" s="3" t="inlineStr">
        <is>
          <t>OT-000027</t>
        </is>
      </c>
      <c r="B34" s="3" t="inlineStr">
        <is>
          <t>0010</t>
        </is>
      </c>
      <c r="C34" s="3" t="inlineStr">
        <is>
          <t>LIB</t>
        </is>
      </c>
      <c r="D34" s="3" t="inlineStr">
        <is>
          <t>3-BAJA</t>
        </is>
      </c>
      <c r="E34" s="3" t="inlineStr">
        <is>
          <t>OPERATIVO</t>
        </is>
      </c>
      <c r="F34" s="10" t="n">
        <v>80</v>
      </c>
      <c r="G34" s="10" t="n">
        <v>0</v>
      </c>
      <c r="H34" s="10" t="n">
        <v>200</v>
      </c>
      <c r="I34" s="3" t="inlineStr">
        <is>
          <t>LIBERADA</t>
        </is>
      </c>
      <c r="J34" s="3">
        <f>IF(tblEjecucion[[#This Row],[orden]]="","",tblEjecucion[[#This Row],[orden]]&amp;IF(tblEjecucion[[#This Row],[operacion]]="","0010",tblEjecucion[[#This Row],[operacion]]))</f>
        <v/>
      </c>
    </row>
    <row r="35">
      <c r="A35" s="3" t="inlineStr">
        <is>
          <t>OT-000029</t>
        </is>
      </c>
      <c r="B35" s="3" t="inlineStr">
        <is>
          <t>0010</t>
        </is>
      </c>
      <c r="C35" s="3" t="inlineStr">
        <is>
          <t>LIB</t>
        </is>
      </c>
      <c r="D35" s="3" t="inlineStr">
        <is>
          <t>2-MEDIA</t>
        </is>
      </c>
      <c r="E35" s="3" t="inlineStr">
        <is>
          <t>OPERATIVO</t>
        </is>
      </c>
      <c r="F35" s="10" t="n">
        <v>100</v>
      </c>
      <c r="G35" s="10" t="n">
        <v>0</v>
      </c>
      <c r="H35" s="10" t="n">
        <v>250</v>
      </c>
      <c r="I35" s="3" t="inlineStr">
        <is>
          <t>LIBERADA</t>
        </is>
      </c>
      <c r="J35" s="3">
        <f>IF(tblEjecucion[[#This Row],[orden]]="","",tblEjecucion[[#This Row],[orden]]&amp;IF(tblEjecucion[[#This Row],[operacion]]="","0010",tblEjecucion[[#This Row],[operacion]]))</f>
        <v/>
      </c>
    </row>
    <row r="36">
      <c r="A36" s="3" t="inlineStr">
        <is>
          <t>OT-000031</t>
        </is>
      </c>
      <c r="B36" s="3" t="inlineStr">
        <is>
          <t>0010</t>
        </is>
      </c>
      <c r="C36" s="3" t="inlineStr">
        <is>
          <t>LIB</t>
        </is>
      </c>
      <c r="D36" s="3" t="inlineStr">
        <is>
          <t>1-ALTA</t>
        </is>
      </c>
      <c r="E36" s="3" t="inlineStr">
        <is>
          <t>OPERATIVO</t>
        </is>
      </c>
      <c r="F36" s="10" t="n">
        <v>60</v>
      </c>
      <c r="G36" s="10" t="n">
        <v>0</v>
      </c>
      <c r="H36" s="10" t="n">
        <v>150</v>
      </c>
      <c r="I36" s="3" t="inlineStr">
        <is>
          <t>LIBERADA</t>
        </is>
      </c>
      <c r="J36" s="3">
        <f>IF(tblEjecucion[[#This Row],[orden]]="","",tblEjecucion[[#This Row],[orden]]&amp;IF(tblEjecucion[[#This Row],[operacion]]="","0010",tblEjecucion[[#This Row],[operacion]]))</f>
        <v/>
      </c>
    </row>
    <row r="37">
      <c r="A37" s="3" t="inlineStr">
        <is>
          <t>OT-000033</t>
        </is>
      </c>
      <c r="B37" s="3" t="inlineStr">
        <is>
          <t>0010</t>
        </is>
      </c>
      <c r="C37" s="3" t="inlineStr">
        <is>
          <t>LIB</t>
        </is>
      </c>
      <c r="D37" s="3" t="inlineStr">
        <is>
          <t>3-BAJA</t>
        </is>
      </c>
      <c r="E37" s="3" t="inlineStr">
        <is>
          <t>OPERATIVO</t>
        </is>
      </c>
      <c r="F37" s="10" t="n">
        <v>80</v>
      </c>
      <c r="G37" s="10" t="n">
        <v>0</v>
      </c>
      <c r="H37" s="10" t="n">
        <v>200</v>
      </c>
      <c r="I37" s="3" t="inlineStr">
        <is>
          <t>LIBERADA</t>
        </is>
      </c>
      <c r="J37" s="3">
        <f>IF(tblEjecucion[[#This Row],[orden]]="","",tblEjecucion[[#This Row],[orden]]&amp;IF(tblEjecucion[[#This Row],[operacion]]="","0010",tblEjecucion[[#This Row],[operacion]]))</f>
        <v/>
      </c>
    </row>
    <row r="38">
      <c r="A38" s="3" t="inlineStr">
        <is>
          <t>OT-000035</t>
        </is>
      </c>
      <c r="B38" s="3" t="inlineStr">
        <is>
          <t>0010</t>
        </is>
      </c>
      <c r="C38" s="3" t="inlineStr">
        <is>
          <t>LIB</t>
        </is>
      </c>
      <c r="D38" s="3" t="inlineStr">
        <is>
          <t>2-MEDIA</t>
        </is>
      </c>
      <c r="E38" s="3" t="inlineStr">
        <is>
          <t>OPERATIVO</t>
        </is>
      </c>
      <c r="F38" s="10" t="n">
        <v>80</v>
      </c>
      <c r="G38" s="10" t="n">
        <v>0</v>
      </c>
      <c r="H38" s="10" t="n">
        <v>200</v>
      </c>
      <c r="I38" s="3" t="inlineStr">
        <is>
          <t>LIBERADA</t>
        </is>
      </c>
      <c r="J38" s="3">
        <f>IF(tblEjecucion[[#This Row],[orden]]="","",tblEjecucion[[#This Row],[orden]]&amp;IF(tblEjecucion[[#This Row],[operacion]]="","0010",tblEjecucion[[#This Row],[operacion]]))</f>
        <v/>
      </c>
    </row>
    <row r="39">
      <c r="A39" s="3" t="inlineStr">
        <is>
          <t>OT-000037</t>
        </is>
      </c>
      <c r="B39" s="3" t="inlineStr">
        <is>
          <t>0010</t>
        </is>
      </c>
      <c r="C39" s="3" t="inlineStr">
        <is>
          <t>LIB</t>
        </is>
      </c>
      <c r="D39" s="3" t="inlineStr">
        <is>
          <t>1-ALTA</t>
        </is>
      </c>
      <c r="E39" s="3" t="inlineStr">
        <is>
          <t>OPERATIVO</t>
        </is>
      </c>
      <c r="F39" s="10" t="n">
        <v>160</v>
      </c>
      <c r="G39" s="10" t="n">
        <v>0</v>
      </c>
      <c r="H39" s="10" t="n">
        <v>400</v>
      </c>
      <c r="I39" s="3" t="inlineStr">
        <is>
          <t>LIBERADA</t>
        </is>
      </c>
      <c r="J39" s="3">
        <f>IF(tblEjecucion[[#This Row],[orden]]="","",tblEjecucion[[#This Row],[orden]]&amp;IF(tblEjecucion[[#This Row],[operacion]]="","0010",tblEjecucion[[#This Row],[operacion]]))</f>
        <v/>
      </c>
    </row>
    <row r="40">
      <c r="A40" s="3" t="inlineStr">
        <is>
          <t>OT-000039</t>
        </is>
      </c>
      <c r="B40" s="3" t="inlineStr">
        <is>
          <t>0010</t>
        </is>
      </c>
      <c r="C40" s="3" t="inlineStr">
        <is>
          <t>LIB</t>
        </is>
      </c>
      <c r="D40" s="3" t="inlineStr">
        <is>
          <t>3-BAJA</t>
        </is>
      </c>
      <c r="E40" s="3" t="inlineStr">
        <is>
          <t>OPERATIVO</t>
        </is>
      </c>
      <c r="F40" s="10" t="n">
        <v>80</v>
      </c>
      <c r="G40" s="10" t="n">
        <v>0</v>
      </c>
      <c r="H40" s="10" t="n">
        <v>200</v>
      </c>
      <c r="I40" s="3" t="inlineStr">
        <is>
          <t>LIBERADA</t>
        </is>
      </c>
      <c r="J40" s="3">
        <f>IF(tblEjecucion[[#This Row],[orden]]="","",tblEjecucion[[#This Row],[orden]]&amp;IF(tblEjecucion[[#This Row],[operacion]]="","0010",tblEjecucion[[#This Row],[operacion]]))</f>
        <v/>
      </c>
    </row>
    <row r="41">
      <c r="A41" s="3" t="inlineStr">
        <is>
          <t>OT-000041</t>
        </is>
      </c>
      <c r="B41" s="3" t="inlineStr">
        <is>
          <t>0010</t>
        </is>
      </c>
      <c r="C41" s="3" t="inlineStr">
        <is>
          <t>LIB</t>
        </is>
      </c>
      <c r="D41" s="3" t="inlineStr">
        <is>
          <t>2-MEDIA</t>
        </is>
      </c>
      <c r="E41" s="3" t="inlineStr">
        <is>
          <t>OPERATIVO</t>
        </is>
      </c>
      <c r="F41" s="10" t="n">
        <v>100</v>
      </c>
      <c r="G41" s="10" t="n">
        <v>0</v>
      </c>
      <c r="H41" s="10" t="n">
        <v>250</v>
      </c>
      <c r="I41" s="3" t="inlineStr">
        <is>
          <t>LIBERADA</t>
        </is>
      </c>
      <c r="J41" s="3">
        <f>IF(tblEjecucion[[#This Row],[orden]]="","",tblEjecucion[[#This Row],[orden]]&amp;IF(tblEjecucion[[#This Row],[operacion]]="","0010",tblEjecucion[[#This Row],[operacion]]))</f>
        <v/>
      </c>
    </row>
    <row r="42">
      <c r="A42" s="3" t="inlineStr">
        <is>
          <t>OT-000043</t>
        </is>
      </c>
      <c r="B42" s="3" t="inlineStr">
        <is>
          <t>0010</t>
        </is>
      </c>
      <c r="C42" s="3" t="inlineStr">
        <is>
          <t>LIB</t>
        </is>
      </c>
      <c r="D42" s="3" t="inlineStr">
        <is>
          <t>1-ALTA</t>
        </is>
      </c>
      <c r="E42" s="3" t="inlineStr">
        <is>
          <t>OPERATIVO</t>
        </is>
      </c>
      <c r="F42" s="10" t="n">
        <v>60</v>
      </c>
      <c r="G42" s="10" t="n">
        <v>0</v>
      </c>
      <c r="H42" s="10" t="n">
        <v>150</v>
      </c>
      <c r="I42" s="3" t="inlineStr">
        <is>
          <t>LIBERADA</t>
        </is>
      </c>
      <c r="J42" s="3">
        <f>IF(tblEjecucion[[#This Row],[orden]]="","",tblEjecucion[[#This Row],[orden]]&amp;IF(tblEjecucion[[#This Row],[operacion]]="","0010",tblEjecucion[[#This Row],[operacion]]))</f>
        <v/>
      </c>
    </row>
    <row r="43">
      <c r="A43" s="3" t="inlineStr">
        <is>
          <t>OT-000045</t>
        </is>
      </c>
      <c r="B43" s="3" t="inlineStr">
        <is>
          <t>0010</t>
        </is>
      </c>
      <c r="C43" s="3" t="inlineStr">
        <is>
          <t>LIB</t>
        </is>
      </c>
      <c r="D43" s="3" t="inlineStr">
        <is>
          <t>3-BAJA</t>
        </is>
      </c>
      <c r="E43" s="3" t="inlineStr">
        <is>
          <t>OPERATIVO</t>
        </is>
      </c>
      <c r="F43" s="10" t="n">
        <v>80</v>
      </c>
      <c r="G43" s="10" t="n">
        <v>0</v>
      </c>
      <c r="H43" s="10" t="n">
        <v>200</v>
      </c>
      <c r="I43" s="3" t="inlineStr">
        <is>
          <t>LIBERADA</t>
        </is>
      </c>
      <c r="J43" s="3">
        <f>IF(tblEjecucion[[#This Row],[orden]]="","",tblEjecucion[[#This Row],[orden]]&amp;IF(tblEjecucion[[#This Row],[operacion]]="","0010",tblEjecucion[[#This Row],[operacion]]))</f>
        <v/>
      </c>
    </row>
    <row r="44">
      <c r="A44" s="3" t="inlineStr">
        <is>
          <t>OT-000047</t>
        </is>
      </c>
      <c r="B44" s="3" t="inlineStr">
        <is>
          <t>0010</t>
        </is>
      </c>
      <c r="C44" s="3" t="inlineStr">
        <is>
          <t>LIB</t>
        </is>
      </c>
      <c r="D44" s="3" t="inlineStr">
        <is>
          <t>2-MEDIA</t>
        </is>
      </c>
      <c r="E44" s="3" t="inlineStr">
        <is>
          <t>OPERATIVO</t>
        </is>
      </c>
      <c r="F44" s="10" t="n">
        <v>160</v>
      </c>
      <c r="G44" s="10" t="n">
        <v>0</v>
      </c>
      <c r="H44" s="10" t="n">
        <v>400</v>
      </c>
      <c r="I44" s="3" t="inlineStr">
        <is>
          <t>LIBERADA</t>
        </is>
      </c>
      <c r="J44" s="3">
        <f>IF(tblEjecucion[[#This Row],[orden]]="","",tblEjecucion[[#This Row],[orden]]&amp;IF(tblEjecucion[[#This Row],[operacion]]="","0010",tblEjecucion[[#This Row],[operacion]]))</f>
        <v/>
      </c>
    </row>
    <row r="45">
      <c r="A45" s="3" t="inlineStr">
        <is>
          <t>OT-000049</t>
        </is>
      </c>
      <c r="B45" s="3" t="inlineStr">
        <is>
          <t>0010</t>
        </is>
      </c>
      <c r="C45" s="3" t="inlineStr">
        <is>
          <t>LIB</t>
        </is>
      </c>
      <c r="D45" s="3" t="inlineStr">
        <is>
          <t>1-ALTA</t>
        </is>
      </c>
      <c r="E45" s="3" t="inlineStr">
        <is>
          <t>OPERATIVO</t>
        </is>
      </c>
      <c r="F45" s="10" t="n">
        <v>100</v>
      </c>
      <c r="G45" s="10" t="n">
        <v>0</v>
      </c>
      <c r="H45" s="10" t="n">
        <v>250</v>
      </c>
      <c r="I45" s="3" t="inlineStr">
        <is>
          <t>LIBERADA</t>
        </is>
      </c>
      <c r="J45" s="3">
        <f>IF(tblEjecucion[[#This Row],[orden]]="","",tblEjecucion[[#This Row],[orden]]&amp;IF(tblEjecucion[[#This Row],[operacion]]="","0010",tblEjecucion[[#This Row],[operacion]]))</f>
        <v/>
      </c>
    </row>
    <row r="46">
      <c r="A46" s="3" t="inlineStr">
        <is>
          <t>OT-000050</t>
        </is>
      </c>
      <c r="B46" s="3" t="inlineStr">
        <is>
          <t>0010</t>
        </is>
      </c>
      <c r="C46" s="3" t="inlineStr">
        <is>
          <t>CERR</t>
        </is>
      </c>
      <c r="D46" s="3" t="inlineStr">
        <is>
          <t>2-MEDIA</t>
        </is>
      </c>
      <c r="E46" s="3" t="inlineStr">
        <is>
          <t>PARADO</t>
        </is>
      </c>
      <c r="F46" s="10" t="n">
        <v>80</v>
      </c>
      <c r="G46" s="10" t="n">
        <v>200</v>
      </c>
      <c r="H46" s="10" t="n">
        <v>200</v>
      </c>
      <c r="I46" s="3" t="inlineStr">
        <is>
          <t>CERRADA</t>
        </is>
      </c>
      <c r="J46" s="3">
        <f>IF(tblEjecucion[[#This Row],[orden]]="","",tblEjecucion[[#This Row],[orden]]&amp;IF(tblEjecucion[[#This Row],[operacion]]="","0010",tblEjecucion[[#This Row],[operacion]]))</f>
        <v/>
      </c>
    </row>
    <row r="47">
      <c r="A47" s="3" t="inlineStr">
        <is>
          <t>OT-000051</t>
        </is>
      </c>
      <c r="B47" s="3" t="inlineStr">
        <is>
          <t>0010</t>
        </is>
      </c>
      <c r="C47" s="3" t="inlineStr">
        <is>
          <t>CERR</t>
        </is>
      </c>
      <c r="D47" s="3" t="inlineStr">
        <is>
          <t>3-BAJA</t>
        </is>
      </c>
      <c r="E47" s="3" t="inlineStr">
        <is>
          <t>OPERATIVO</t>
        </is>
      </c>
      <c r="F47" s="10" t="n">
        <v>60</v>
      </c>
      <c r="G47" s="10" t="n">
        <v>150</v>
      </c>
      <c r="H47" s="10" t="n">
        <v>150</v>
      </c>
      <c r="I47" s="3" t="inlineStr">
        <is>
          <t>CERRADA</t>
        </is>
      </c>
      <c r="J47" s="3">
        <f>IF(tblEjecucion[[#This Row],[orden]]="","",tblEjecucion[[#This Row],[orden]]&amp;IF(tblEjecucion[[#This Row],[operacion]]="","0010",tblEjecucion[[#This Row],[operacion]]))</f>
        <v/>
      </c>
    </row>
    <row r="48">
      <c r="A48" s="3" t="inlineStr">
        <is>
          <t>OT-000052</t>
        </is>
      </c>
      <c r="B48" s="3" t="inlineStr">
        <is>
          <t>0010</t>
        </is>
      </c>
      <c r="C48" s="3" t="inlineStr">
        <is>
          <t>CERR</t>
        </is>
      </c>
      <c r="D48" s="3" t="inlineStr">
        <is>
          <t>1-ALTA</t>
        </is>
      </c>
      <c r="E48" s="3" t="inlineStr">
        <is>
          <t>PARADO</t>
        </is>
      </c>
      <c r="F48" s="10" t="n">
        <v>100</v>
      </c>
      <c r="G48" s="10" t="n">
        <v>250</v>
      </c>
      <c r="H48" s="10" t="n">
        <v>250</v>
      </c>
      <c r="I48" s="3" t="inlineStr">
        <is>
          <t>CERRADA</t>
        </is>
      </c>
      <c r="J48" s="3">
        <f>IF(tblEjecucion[[#This Row],[orden]]="","",tblEjecucion[[#This Row],[orden]]&amp;IF(tblEjecucion[[#This Row],[operacion]]="","0010",tblEjecucion[[#This Row],[operacion]]))</f>
        <v/>
      </c>
    </row>
    <row r="49">
      <c r="A49" s="3" t="inlineStr">
        <is>
          <t>OT-000053</t>
        </is>
      </c>
      <c r="B49" s="3" t="inlineStr">
        <is>
          <t>0010</t>
        </is>
      </c>
      <c r="C49" s="3" t="inlineStr">
        <is>
          <t>CERR</t>
        </is>
      </c>
      <c r="D49" s="3" t="inlineStr">
        <is>
          <t>2-MEDIA</t>
        </is>
      </c>
      <c r="E49" s="3" t="inlineStr">
        <is>
          <t>OPERATIVO</t>
        </is>
      </c>
      <c r="F49" s="10" t="n">
        <v>80</v>
      </c>
      <c r="G49" s="10" t="n">
        <v>200</v>
      </c>
      <c r="H49" s="10" t="n">
        <v>200</v>
      </c>
      <c r="I49" s="3" t="inlineStr">
        <is>
          <t>CERRADA</t>
        </is>
      </c>
      <c r="J49" s="3">
        <f>IF(tblEjecucion[[#This Row],[orden]]="","",tblEjecucion[[#This Row],[orden]]&amp;IF(tblEjecucion[[#This Row],[operacion]]="","0010",tblEjecucion[[#This Row],[operacion]]))</f>
        <v/>
      </c>
    </row>
    <row r="50">
      <c r="A50" s="3" t="inlineStr">
        <is>
          <t>OT-000054</t>
        </is>
      </c>
      <c r="B50" s="3" t="inlineStr">
        <is>
          <t>0010</t>
        </is>
      </c>
      <c r="C50" s="3" t="inlineStr">
        <is>
          <t>CERR</t>
        </is>
      </c>
      <c r="D50" s="3" t="inlineStr">
        <is>
          <t>3-BAJA</t>
        </is>
      </c>
      <c r="E50" s="3" t="inlineStr">
        <is>
          <t>PARADO</t>
        </is>
      </c>
      <c r="F50" s="10" t="n">
        <v>60</v>
      </c>
      <c r="G50" s="10" t="n">
        <v>150</v>
      </c>
      <c r="H50" s="10" t="n">
        <v>150</v>
      </c>
      <c r="I50" s="3" t="inlineStr">
        <is>
          <t>CERRADA</t>
        </is>
      </c>
      <c r="J50" s="3">
        <f>IF(tblEjecucion[[#This Row],[orden]]="","",tblEjecucion[[#This Row],[orden]]&amp;IF(tblEjecucion[[#This Row],[operacion]]="","0010",tblEjecucion[[#This Row],[operacion]]))</f>
        <v/>
      </c>
    </row>
    <row r="51">
      <c r="A51" s="3" t="inlineStr">
        <is>
          <t>OT-000055</t>
        </is>
      </c>
      <c r="B51" s="3" t="inlineStr">
        <is>
          <t>0010</t>
        </is>
      </c>
      <c r="C51" s="3" t="inlineStr">
        <is>
          <t>CERR</t>
        </is>
      </c>
      <c r="D51" s="3" t="inlineStr">
        <is>
          <t>1-ALTA</t>
        </is>
      </c>
      <c r="E51" s="3" t="inlineStr">
        <is>
          <t>OPERATIVO</t>
        </is>
      </c>
      <c r="F51" s="10" t="n">
        <v>100</v>
      </c>
      <c r="G51" s="10" t="n">
        <v>250</v>
      </c>
      <c r="H51" s="10" t="n">
        <v>250</v>
      </c>
      <c r="I51" s="3" t="inlineStr">
        <is>
          <t>CERRADA</t>
        </is>
      </c>
      <c r="J51" s="3">
        <f>IF(tblEjecucion[[#This Row],[orden]]="","",tblEjecucion[[#This Row],[orden]]&amp;IF(tblEjecucion[[#This Row],[operacion]]="","0010",tblEjecucion[[#This Row],[operacion]]))</f>
        <v/>
      </c>
    </row>
    <row r="52">
      <c r="A52" s="3" t="inlineStr">
        <is>
          <t>OT-000056</t>
        </is>
      </c>
      <c r="B52" s="3" t="inlineStr">
        <is>
          <t>0010</t>
        </is>
      </c>
      <c r="C52" s="3" t="inlineStr">
        <is>
          <t>CERR</t>
        </is>
      </c>
      <c r="D52" s="3" t="inlineStr">
        <is>
          <t>2-MEDIA</t>
        </is>
      </c>
      <c r="E52" s="3" t="inlineStr">
        <is>
          <t>PARADO</t>
        </is>
      </c>
      <c r="F52" s="10" t="n">
        <v>20</v>
      </c>
      <c r="G52" s="10" t="n">
        <v>50</v>
      </c>
      <c r="H52" s="10" t="n">
        <v>50</v>
      </c>
      <c r="I52" s="3" t="inlineStr">
        <is>
          <t>CERRADA</t>
        </is>
      </c>
      <c r="J52" s="3">
        <f>IF(tblEjecucion[[#This Row],[orden]]="","",tblEjecucion[[#This Row],[orden]]&amp;IF(tblEjecucion[[#This Row],[operacion]]="","0010",tblEjecucion[[#This Row],[operacion]]))</f>
        <v/>
      </c>
    </row>
    <row r="53">
      <c r="A53" s="3" t="inlineStr">
        <is>
          <t>OT-000057</t>
        </is>
      </c>
      <c r="B53" s="3" t="inlineStr">
        <is>
          <t>0010</t>
        </is>
      </c>
      <c r="C53" s="3" t="inlineStr">
        <is>
          <t>CERR</t>
        </is>
      </c>
      <c r="D53" s="3" t="inlineStr">
        <is>
          <t>3-BAJA</t>
        </is>
      </c>
      <c r="E53" s="3" t="inlineStr">
        <is>
          <t>OPERATIVO</t>
        </is>
      </c>
      <c r="F53" s="10" t="n">
        <v>160</v>
      </c>
      <c r="G53" s="10" t="n">
        <v>400</v>
      </c>
      <c r="H53" s="10" t="n">
        <v>400</v>
      </c>
      <c r="I53" s="3" t="inlineStr">
        <is>
          <t>CERRADA</t>
        </is>
      </c>
      <c r="J53" s="3">
        <f>IF(tblEjecucion[[#This Row],[orden]]="","",tblEjecucion[[#This Row],[orden]]&amp;IF(tblEjecucion[[#This Row],[operacion]]="","0010",tblEjecucion[[#This Row],[operacion]]))</f>
        <v/>
      </c>
    </row>
    <row r="54">
      <c r="A54" s="3" t="inlineStr">
        <is>
          <t>OT-000058</t>
        </is>
      </c>
      <c r="B54" s="3" t="inlineStr">
        <is>
          <t>0010</t>
        </is>
      </c>
      <c r="C54" s="3" t="inlineStr">
        <is>
          <t>CERR</t>
        </is>
      </c>
      <c r="D54" s="3" t="inlineStr">
        <is>
          <t>1-ALTA</t>
        </is>
      </c>
      <c r="E54" s="3" t="inlineStr">
        <is>
          <t>PARADO</t>
        </is>
      </c>
      <c r="F54" s="10" t="n">
        <v>80</v>
      </c>
      <c r="G54" s="10" t="n">
        <v>200</v>
      </c>
      <c r="H54" s="10" t="n">
        <v>200</v>
      </c>
      <c r="I54" s="3" t="inlineStr">
        <is>
          <t>CERRADA</t>
        </is>
      </c>
      <c r="J54" s="3">
        <f>IF(tblEjecucion[[#This Row],[orden]]="","",tblEjecucion[[#This Row],[orden]]&amp;IF(tblEjecucion[[#This Row],[operacion]]="","0010",tblEjecucion[[#This Row],[operacion]]))</f>
        <v/>
      </c>
    </row>
    <row r="55">
      <c r="A55" s="3" t="inlineStr">
        <is>
          <t>OT-000059</t>
        </is>
      </c>
      <c r="B55" s="3" t="inlineStr">
        <is>
          <t>0010</t>
        </is>
      </c>
      <c r="C55" s="3" t="inlineStr">
        <is>
          <t>CERR</t>
        </is>
      </c>
      <c r="D55" s="3" t="inlineStr">
        <is>
          <t>2-MEDIA</t>
        </is>
      </c>
      <c r="E55" s="3" t="inlineStr">
        <is>
          <t>OPERATIVO</t>
        </is>
      </c>
      <c r="F55" s="10" t="n">
        <v>100</v>
      </c>
      <c r="G55" s="10" t="n">
        <v>250</v>
      </c>
      <c r="H55" s="10" t="n">
        <v>250</v>
      </c>
      <c r="I55" s="3" t="inlineStr">
        <is>
          <t>CERRADA</t>
        </is>
      </c>
      <c r="J55" s="3">
        <f>IF(tblEjecucion[[#This Row],[orden]]="","",tblEjecucion[[#This Row],[orden]]&amp;IF(tblEjecucion[[#This Row],[operacion]]="","0010",tblEjecucion[[#This Row],[operacion]]))</f>
        <v/>
      </c>
    </row>
    <row r="56">
      <c r="A56" s="3" t="inlineStr">
        <is>
          <t>OT-000060</t>
        </is>
      </c>
      <c r="B56" s="3" t="inlineStr">
        <is>
          <t>0010</t>
        </is>
      </c>
      <c r="C56" s="3" t="inlineStr">
        <is>
          <t>EJEC</t>
        </is>
      </c>
      <c r="D56" s="3" t="inlineStr">
        <is>
          <t>3-BAJA</t>
        </is>
      </c>
      <c r="E56" s="3" t="inlineStr">
        <is>
          <t>PARADO</t>
        </is>
      </c>
      <c r="F56" s="10" t="n">
        <v>80</v>
      </c>
      <c r="G56" s="10" t="n">
        <v>0</v>
      </c>
      <c r="H56" s="10" t="n">
        <v>200</v>
      </c>
      <c r="I56" s="3" t="inlineStr">
        <is>
          <t>EN EJECUCION</t>
        </is>
      </c>
      <c r="J56" s="3">
        <f>IF(tblEjecucion[[#This Row],[orden]]="","",tblEjecucion[[#This Row],[orden]]&amp;IF(tblEjecucion[[#This Row],[operacion]]="","0010",tblEjecucion[[#This Row],[operacion]]))</f>
        <v/>
      </c>
    </row>
    <row r="57">
      <c r="A57" s="3" t="inlineStr">
        <is>
          <t>OT-000061</t>
        </is>
      </c>
      <c r="B57" s="3" t="inlineStr">
        <is>
          <t>0010</t>
        </is>
      </c>
      <c r="C57" s="3" t="inlineStr">
        <is>
          <t>CERR</t>
        </is>
      </c>
      <c r="D57" s="3" t="inlineStr">
        <is>
          <t>1-ALTA</t>
        </is>
      </c>
      <c r="E57" s="3" t="inlineStr">
        <is>
          <t>OPERATIVO</t>
        </is>
      </c>
      <c r="F57" s="10" t="n">
        <v>60</v>
      </c>
      <c r="G57" s="10" t="n">
        <v>150</v>
      </c>
      <c r="H57" s="10" t="n">
        <v>150</v>
      </c>
      <c r="I57" s="3" t="inlineStr">
        <is>
          <t>CERRADA</t>
        </is>
      </c>
      <c r="J57" s="3">
        <f>IF(tblEjecucion[[#This Row],[orden]]="","",tblEjecucion[[#This Row],[orden]]&amp;IF(tblEjecucion[[#This Row],[operacion]]="","0010",tblEjecucion[[#This Row],[operacion]]))</f>
        <v/>
      </c>
    </row>
    <row r="58">
      <c r="A58" s="3" t="inlineStr">
        <is>
          <t>OT-000062</t>
        </is>
      </c>
      <c r="B58" s="3" t="inlineStr">
        <is>
          <t>0010</t>
        </is>
      </c>
      <c r="C58" s="3" t="inlineStr">
        <is>
          <t>EJEC</t>
        </is>
      </c>
      <c r="D58" s="3" t="inlineStr">
        <is>
          <t>2-MEDIA</t>
        </is>
      </c>
      <c r="E58" s="3" t="inlineStr">
        <is>
          <t>PARADO</t>
        </is>
      </c>
      <c r="F58" s="10" t="n">
        <v>100</v>
      </c>
      <c r="G58" s="10" t="n">
        <v>0</v>
      </c>
      <c r="H58" s="10" t="n">
        <v>250</v>
      </c>
      <c r="I58" s="3" t="inlineStr">
        <is>
          <t>EN EJECUCION</t>
        </is>
      </c>
      <c r="J58" s="3">
        <f>IF(tblEjecucion[[#This Row],[orden]]="","",tblEjecucion[[#This Row],[orden]]&amp;IF(tblEjecucion[[#This Row],[operacion]]="","0010",tblEjecucion[[#This Row],[operacion]]))</f>
        <v/>
      </c>
    </row>
    <row r="59">
      <c r="A59" s="3" t="inlineStr">
        <is>
          <t>OT-000063</t>
        </is>
      </c>
      <c r="B59" s="3" t="inlineStr">
        <is>
          <t>0010</t>
        </is>
      </c>
      <c r="C59" s="3" t="inlineStr">
        <is>
          <t>CERR</t>
        </is>
      </c>
      <c r="D59" s="3" t="inlineStr">
        <is>
          <t>3-BAJA</t>
        </is>
      </c>
      <c r="E59" s="3" t="inlineStr">
        <is>
          <t>OPERATIVO</t>
        </is>
      </c>
      <c r="F59" s="10" t="n">
        <v>80</v>
      </c>
      <c r="G59" s="10" t="n">
        <v>200</v>
      </c>
      <c r="H59" s="10" t="n">
        <v>200</v>
      </c>
      <c r="I59" s="3" t="inlineStr">
        <is>
          <t>CERRADA</t>
        </is>
      </c>
      <c r="J59" s="3">
        <f>IF(tblEjecucion[[#This Row],[orden]]="","",tblEjecucion[[#This Row],[orden]]&amp;IF(tblEjecucion[[#This Row],[operacion]]="","0010",tblEjecucion[[#This Row],[operacion]]))</f>
        <v/>
      </c>
    </row>
    <row r="60">
      <c r="A60" s="3" t="inlineStr">
        <is>
          <t>OT-000064</t>
        </is>
      </c>
      <c r="B60" s="3" t="inlineStr">
        <is>
          <t>0010</t>
        </is>
      </c>
      <c r="C60" s="3" t="inlineStr">
        <is>
          <t>EJEC</t>
        </is>
      </c>
      <c r="D60" s="3" t="inlineStr">
        <is>
          <t>1-ALTA</t>
        </is>
      </c>
      <c r="E60" s="3" t="inlineStr">
        <is>
          <t>PARADO</t>
        </is>
      </c>
      <c r="F60" s="10" t="n">
        <v>60</v>
      </c>
      <c r="G60" s="10" t="n">
        <v>0</v>
      </c>
      <c r="H60" s="10" t="n">
        <v>150</v>
      </c>
      <c r="I60" s="3" t="inlineStr">
        <is>
          <t>EN EJECUCION</t>
        </is>
      </c>
      <c r="J60" s="3">
        <f>IF(tblEjecucion[[#This Row],[orden]]="","",tblEjecucion[[#This Row],[orden]]&amp;IF(tblEjecucion[[#This Row],[operacion]]="","0010",tblEjecucion[[#This Row],[operacion]]))</f>
        <v/>
      </c>
    </row>
    <row r="61">
      <c r="A61" s="3" t="inlineStr">
        <is>
          <t>OT-000065</t>
        </is>
      </c>
      <c r="B61" s="3" t="inlineStr">
        <is>
          <t>0010</t>
        </is>
      </c>
      <c r="C61" s="3" t="inlineStr">
        <is>
          <t>CERR</t>
        </is>
      </c>
      <c r="D61" s="3" t="inlineStr">
        <is>
          <t>2-MEDIA</t>
        </is>
      </c>
      <c r="E61" s="3" t="inlineStr">
        <is>
          <t>OPERATIVO</t>
        </is>
      </c>
      <c r="F61" s="10" t="n">
        <v>100</v>
      </c>
      <c r="G61" s="10" t="n">
        <v>250</v>
      </c>
      <c r="H61" s="10" t="n">
        <v>250</v>
      </c>
      <c r="I61" s="3" t="inlineStr">
        <is>
          <t>CERRADA</t>
        </is>
      </c>
      <c r="J61" s="3">
        <f>IF(tblEjecucion[[#This Row],[orden]]="","",tblEjecucion[[#This Row],[orden]]&amp;IF(tblEjecucion[[#This Row],[operacion]]="","0010",tblEjecucion[[#This Row],[operacion]]))</f>
        <v/>
      </c>
    </row>
    <row r="62">
      <c r="A62" s="3" t="inlineStr">
        <is>
          <t>OT-000066</t>
        </is>
      </c>
      <c r="B62" s="3" t="inlineStr">
        <is>
          <t>0010</t>
        </is>
      </c>
      <c r="C62" s="3" t="inlineStr">
        <is>
          <t>EJEC</t>
        </is>
      </c>
      <c r="D62" s="3" t="inlineStr">
        <is>
          <t>3-BAJA</t>
        </is>
      </c>
      <c r="E62" s="3" t="inlineStr">
        <is>
          <t>PARADO</t>
        </is>
      </c>
      <c r="F62" s="10" t="n">
        <v>70</v>
      </c>
      <c r="G62" s="10" t="n">
        <v>0</v>
      </c>
      <c r="H62" s="10" t="n">
        <v>175</v>
      </c>
      <c r="I62" s="3" t="inlineStr">
        <is>
          <t>EN EJECUCION</t>
        </is>
      </c>
      <c r="J62" s="3">
        <f>IF(tblEjecucion[[#This Row],[orden]]="","",tblEjecucion[[#This Row],[orden]]&amp;IF(tblEjecucion[[#This Row],[operacion]]="","0010",tblEjecucion[[#This Row],[operacion]]))</f>
        <v/>
      </c>
    </row>
    <row r="63">
      <c r="A63" s="3" t="inlineStr">
        <is>
          <t>OT-000067</t>
        </is>
      </c>
      <c r="B63" s="3" t="inlineStr">
        <is>
          <t>0010</t>
        </is>
      </c>
      <c r="C63" s="3" t="inlineStr">
        <is>
          <t>CERR</t>
        </is>
      </c>
      <c r="D63" s="3" t="inlineStr">
        <is>
          <t>1-ALTA</t>
        </is>
      </c>
      <c r="E63" s="3" t="inlineStr">
        <is>
          <t>OPERATIVO</t>
        </is>
      </c>
      <c r="F63" s="10" t="n">
        <v>160</v>
      </c>
      <c r="G63" s="10" t="n">
        <v>400</v>
      </c>
      <c r="H63" s="10" t="n">
        <v>400</v>
      </c>
      <c r="I63" s="3" t="inlineStr">
        <is>
          <t>CERRADA</t>
        </is>
      </c>
      <c r="J63" s="3">
        <f>IF(tblEjecucion[[#This Row],[orden]]="","",tblEjecucion[[#This Row],[orden]]&amp;IF(tblEjecucion[[#This Row],[operacion]]="","0010",tblEjecucion[[#This Row],[operacion]]))</f>
        <v/>
      </c>
    </row>
    <row r="64">
      <c r="A64" s="3" t="inlineStr">
        <is>
          <t>OT-000068</t>
        </is>
      </c>
      <c r="B64" s="3" t="inlineStr">
        <is>
          <t>0010</t>
        </is>
      </c>
      <c r="C64" s="3" t="inlineStr">
        <is>
          <t>EJEC</t>
        </is>
      </c>
      <c r="D64" s="3" t="inlineStr">
        <is>
          <t>2-MEDIA</t>
        </is>
      </c>
      <c r="E64" s="3" t="inlineStr">
        <is>
          <t>PARADO</t>
        </is>
      </c>
      <c r="F64" s="10" t="n">
        <v>160</v>
      </c>
      <c r="G64" s="10" t="n">
        <v>0</v>
      </c>
      <c r="H64" s="10" t="n">
        <v>400</v>
      </c>
      <c r="I64" s="3" t="inlineStr">
        <is>
          <t>EN EJECUCION</t>
        </is>
      </c>
      <c r="J64" s="3">
        <f>IF(tblEjecucion[[#This Row],[orden]]="","",tblEjecucion[[#This Row],[orden]]&amp;IF(tblEjecucion[[#This Row],[operacion]]="","0010",tblEjecucion[[#This Row],[operacion]]))</f>
        <v/>
      </c>
    </row>
    <row r="65">
      <c r="A65" s="3" t="inlineStr">
        <is>
          <t>OT-000069</t>
        </is>
      </c>
      <c r="B65" s="3" t="inlineStr">
        <is>
          <t>0010</t>
        </is>
      </c>
      <c r="C65" s="3" t="inlineStr">
        <is>
          <t>LIB</t>
        </is>
      </c>
      <c r="D65" s="3" t="inlineStr">
        <is>
          <t>3-BAJA</t>
        </is>
      </c>
      <c r="E65" s="3" t="inlineStr">
        <is>
          <t>OPERATIVO</t>
        </is>
      </c>
      <c r="F65" s="10" t="n">
        <v>100</v>
      </c>
      <c r="G65" s="10" t="n">
        <v>0</v>
      </c>
      <c r="H65" s="10" t="n">
        <v>250</v>
      </c>
      <c r="I65" s="3" t="inlineStr">
        <is>
          <t>LIBERADA</t>
        </is>
      </c>
      <c r="J65" s="3">
        <f>IF(tblEjecucion[[#This Row],[orden]]="","",tblEjecucion[[#This Row],[orden]]&amp;IF(tblEjecucion[[#This Row],[operacion]]="","0010",tblEjecucion[[#This Row],[operacion]]))</f>
        <v/>
      </c>
    </row>
    <row r="66">
      <c r="A66" s="3" t="inlineStr">
        <is>
          <t>OT-000071</t>
        </is>
      </c>
      <c r="B66" s="3" t="inlineStr">
        <is>
          <t>0010</t>
        </is>
      </c>
      <c r="C66" s="3" t="inlineStr">
        <is>
          <t>LIB</t>
        </is>
      </c>
      <c r="D66" s="3" t="inlineStr">
        <is>
          <t>2-MEDIA</t>
        </is>
      </c>
      <c r="E66" s="3" t="inlineStr">
        <is>
          <t>OPERATIVO</t>
        </is>
      </c>
      <c r="F66" s="10" t="n">
        <v>60</v>
      </c>
      <c r="G66" s="10" t="n">
        <v>0</v>
      </c>
      <c r="H66" s="10" t="n">
        <v>150</v>
      </c>
      <c r="I66" s="3" t="inlineStr">
        <is>
          <t>LIBERADA</t>
        </is>
      </c>
      <c r="J66" s="3">
        <f>IF(tblEjecucion[[#This Row],[orden]]="","",tblEjecucion[[#This Row],[orden]]&amp;IF(tblEjecucion[[#This Row],[operacion]]="","0010",tblEjecucion[[#This Row],[operacion]]))</f>
        <v/>
      </c>
    </row>
    <row r="67">
      <c r="A67" s="3" t="inlineStr">
        <is>
          <t>OT-000073</t>
        </is>
      </c>
      <c r="B67" s="3" t="inlineStr">
        <is>
          <t>0010</t>
        </is>
      </c>
      <c r="C67" s="3" t="inlineStr">
        <is>
          <t>LIB</t>
        </is>
      </c>
      <c r="D67" s="3" t="inlineStr">
        <is>
          <t>1-ALTA</t>
        </is>
      </c>
      <c r="E67" s="3" t="inlineStr">
        <is>
          <t>OPERATIVO</t>
        </is>
      </c>
      <c r="F67" s="10" t="n">
        <v>80</v>
      </c>
      <c r="G67" s="10" t="n">
        <v>0</v>
      </c>
      <c r="H67" s="10" t="n">
        <v>200</v>
      </c>
      <c r="I67" s="3" t="inlineStr">
        <is>
          <t>LIBERADA</t>
        </is>
      </c>
      <c r="J67" s="3">
        <f>IF(tblEjecucion[[#This Row],[orden]]="","",tblEjecucion[[#This Row],[orden]]&amp;IF(tblEjecucion[[#This Row],[operacion]]="","0010",tblEjecucion[[#This Row],[operacion]]))</f>
        <v/>
      </c>
    </row>
    <row r="68">
      <c r="A68" s="3" t="inlineStr">
        <is>
          <t>OT-000075</t>
        </is>
      </c>
      <c r="B68" s="3" t="inlineStr">
        <is>
          <t>0010</t>
        </is>
      </c>
      <c r="C68" s="3" t="inlineStr">
        <is>
          <t>LIB</t>
        </is>
      </c>
      <c r="D68" s="3" t="inlineStr">
        <is>
          <t>3-BAJA</t>
        </is>
      </c>
      <c r="E68" s="3" t="inlineStr">
        <is>
          <t>OPERATIVO</t>
        </is>
      </c>
      <c r="F68" s="10" t="n">
        <v>100</v>
      </c>
      <c r="G68" s="10" t="n">
        <v>0</v>
      </c>
      <c r="H68" s="10" t="n">
        <v>250</v>
      </c>
      <c r="I68" s="3" t="inlineStr">
        <is>
          <t>LIBERADA</t>
        </is>
      </c>
      <c r="J68" s="3">
        <f>IF(tblEjecucion[[#This Row],[orden]]="","",tblEjecucion[[#This Row],[orden]]&amp;IF(tblEjecucion[[#This Row],[operacion]]="","0010",tblEjecucion[[#This Row],[operacion]]))</f>
        <v/>
      </c>
    </row>
    <row r="69">
      <c r="A69" s="3" t="inlineStr">
        <is>
          <t>OT-000077</t>
        </is>
      </c>
      <c r="B69" s="3" t="inlineStr">
        <is>
          <t>0010</t>
        </is>
      </c>
      <c r="C69" s="3" t="inlineStr">
        <is>
          <t>LIB</t>
        </is>
      </c>
      <c r="D69" s="3" t="inlineStr">
        <is>
          <t>2-MEDIA</t>
        </is>
      </c>
      <c r="E69" s="3" t="inlineStr">
        <is>
          <t>OPERATIVO</t>
        </is>
      </c>
      <c r="F69" s="10" t="n">
        <v>160</v>
      </c>
      <c r="G69" s="10" t="n">
        <v>0</v>
      </c>
      <c r="H69" s="10" t="n">
        <v>400</v>
      </c>
      <c r="I69" s="3" t="inlineStr">
        <is>
          <t>LIBERADA</t>
        </is>
      </c>
      <c r="J69" s="3">
        <f>IF(tblEjecucion[[#This Row],[orden]]="","",tblEjecucion[[#This Row],[orden]]&amp;IF(tblEjecucion[[#This Row],[operacion]]="","0010",tblEjecucion[[#This Row],[operacion]]))</f>
        <v/>
      </c>
    </row>
    <row r="70">
      <c r="A70" s="3" t="inlineStr">
        <is>
          <t>OT-000079</t>
        </is>
      </c>
      <c r="B70" s="3" t="inlineStr">
        <is>
          <t>0010</t>
        </is>
      </c>
      <c r="C70" s="3" t="inlineStr">
        <is>
          <t>LIB</t>
        </is>
      </c>
      <c r="D70" s="3" t="inlineStr">
        <is>
          <t>1-ALTA</t>
        </is>
      </c>
      <c r="E70" s="3" t="inlineStr">
        <is>
          <t>OPERATIVO</t>
        </is>
      </c>
      <c r="F70" s="10" t="n">
        <v>80</v>
      </c>
      <c r="G70" s="10" t="n">
        <v>0</v>
      </c>
      <c r="H70" s="10" t="n">
        <v>200</v>
      </c>
      <c r="I70" s="3" t="inlineStr">
        <is>
          <t>LIBERADA</t>
        </is>
      </c>
      <c r="J70" s="3">
        <f>IF(tblEjecucion[[#This Row],[orden]]="","",tblEjecucion[[#This Row],[orden]]&amp;IF(tblEjecucion[[#This Row],[operacion]]="","0010",tblEjecucion[[#This Row],[operacion]]))</f>
        <v/>
      </c>
    </row>
    <row r="71">
      <c r="A71" s="3" t="inlineStr">
        <is>
          <t>OT-000081</t>
        </is>
      </c>
      <c r="B71" s="3" t="inlineStr">
        <is>
          <t>0010</t>
        </is>
      </c>
      <c r="C71" s="3" t="inlineStr">
        <is>
          <t>LIB</t>
        </is>
      </c>
      <c r="D71" s="3" t="inlineStr">
        <is>
          <t>3-BAJA</t>
        </is>
      </c>
      <c r="E71" s="3" t="inlineStr">
        <is>
          <t>OPERATIVO</t>
        </is>
      </c>
      <c r="F71" s="10" t="n">
        <v>100</v>
      </c>
      <c r="G71" s="10" t="n">
        <v>0</v>
      </c>
      <c r="H71" s="10" t="n">
        <v>250</v>
      </c>
      <c r="I71" s="3" t="inlineStr">
        <is>
          <t>LIBERADA</t>
        </is>
      </c>
      <c r="J71" s="3">
        <f>IF(tblEjecucion[[#This Row],[orden]]="","",tblEjecucion[[#This Row],[orden]]&amp;IF(tblEjecucion[[#This Row],[operacion]]="","0010",tblEjecucion[[#This Row],[operacion]]))</f>
        <v/>
      </c>
    </row>
    <row r="72">
      <c r="A72" s="3" t="inlineStr">
        <is>
          <t>OT-000083</t>
        </is>
      </c>
      <c r="B72" s="3" t="inlineStr">
        <is>
          <t>0010</t>
        </is>
      </c>
      <c r="C72" s="3" t="inlineStr">
        <is>
          <t>LIB</t>
        </is>
      </c>
      <c r="D72" s="3" t="inlineStr">
        <is>
          <t>2-MEDIA</t>
        </is>
      </c>
      <c r="E72" s="3" t="inlineStr">
        <is>
          <t>OPERATIVO</t>
        </is>
      </c>
      <c r="F72" s="10" t="n">
        <v>80</v>
      </c>
      <c r="G72" s="10" t="n">
        <v>0</v>
      </c>
      <c r="H72" s="10" t="n">
        <v>200</v>
      </c>
      <c r="I72" s="3" t="inlineStr">
        <is>
          <t>LIBERADA</t>
        </is>
      </c>
      <c r="J72" s="3">
        <f>IF(tblEjecucion[[#This Row],[orden]]="","",tblEjecucion[[#This Row],[orden]]&amp;IF(tblEjecucion[[#This Row],[operacion]]="","0010",tblEjecucion[[#This Row],[operacion]]))</f>
        <v/>
      </c>
    </row>
    <row r="73">
      <c r="A73" s="3" t="inlineStr">
        <is>
          <t>OT-000085</t>
        </is>
      </c>
      <c r="B73" s="3" t="inlineStr">
        <is>
          <t>0010</t>
        </is>
      </c>
      <c r="C73" s="3" t="inlineStr">
        <is>
          <t>LIB</t>
        </is>
      </c>
      <c r="D73" s="3" t="inlineStr">
        <is>
          <t>1-ALTA</t>
        </is>
      </c>
      <c r="E73" s="3" t="inlineStr">
        <is>
          <t>OPERATIVO</t>
        </is>
      </c>
      <c r="F73" s="10" t="n">
        <v>100</v>
      </c>
      <c r="G73" s="10" t="n">
        <v>0</v>
      </c>
      <c r="H73" s="10" t="n">
        <v>250</v>
      </c>
      <c r="I73" s="3" t="inlineStr">
        <is>
          <t>LIBERADA</t>
        </is>
      </c>
      <c r="J73" s="3">
        <f>IF(tblEjecucion[[#This Row],[orden]]="","",tblEjecucion[[#This Row],[orden]]&amp;IF(tblEjecucion[[#This Row],[operacion]]="","0010",tblEjecucion[[#This Row],[operacion]]))</f>
        <v/>
      </c>
    </row>
    <row r="74">
      <c r="A74" s="3" t="inlineStr">
        <is>
          <t>OT-000086</t>
        </is>
      </c>
      <c r="B74" s="3" t="inlineStr">
        <is>
          <t>0010</t>
        </is>
      </c>
      <c r="C74" s="3" t="inlineStr">
        <is>
          <t>CERR</t>
        </is>
      </c>
      <c r="D74" s="3" t="inlineStr">
        <is>
          <t>2-MEDIA</t>
        </is>
      </c>
      <c r="E74" s="3" t="inlineStr">
        <is>
          <t>PARADO</t>
        </is>
      </c>
      <c r="F74" s="10" t="n">
        <v>80</v>
      </c>
      <c r="G74" s="10" t="n">
        <v>200</v>
      </c>
      <c r="H74" s="10" t="n">
        <v>200</v>
      </c>
      <c r="I74" s="3" t="inlineStr">
        <is>
          <t>CERRADA</t>
        </is>
      </c>
      <c r="J74" s="3">
        <f>IF(tblEjecucion[[#This Row],[orden]]="","",tblEjecucion[[#This Row],[orden]]&amp;IF(tblEjecucion[[#This Row],[operacion]]="","0010",tblEjecucion[[#This Row],[operacion]]))</f>
        <v/>
      </c>
    </row>
    <row r="75">
      <c r="A75" s="3" t="inlineStr">
        <is>
          <t>OT-000087</t>
        </is>
      </c>
      <c r="B75" s="3" t="inlineStr">
        <is>
          <t>0010</t>
        </is>
      </c>
      <c r="C75" s="3" t="inlineStr">
        <is>
          <t>CERR</t>
        </is>
      </c>
      <c r="D75" s="3" t="inlineStr">
        <is>
          <t>3-BAJA</t>
        </is>
      </c>
      <c r="E75" s="3" t="inlineStr">
        <is>
          <t>OPERATIVO</t>
        </is>
      </c>
      <c r="F75" s="10" t="n">
        <v>60</v>
      </c>
      <c r="G75" s="10" t="n">
        <v>150</v>
      </c>
      <c r="H75" s="10" t="n">
        <v>150</v>
      </c>
      <c r="I75" s="3" t="inlineStr">
        <is>
          <t>CERRADA</t>
        </is>
      </c>
      <c r="J75" s="3">
        <f>IF(tblEjecucion[[#This Row],[orden]]="","",tblEjecucion[[#This Row],[orden]]&amp;IF(tblEjecucion[[#This Row],[operacion]]="","0010",tblEjecucion[[#This Row],[operacion]]))</f>
        <v/>
      </c>
    </row>
    <row r="76">
      <c r="A76" s="3" t="inlineStr">
        <is>
          <t>OT-000088</t>
        </is>
      </c>
      <c r="B76" s="3" t="inlineStr">
        <is>
          <t>0010</t>
        </is>
      </c>
      <c r="C76" s="3" t="inlineStr">
        <is>
          <t>CERR</t>
        </is>
      </c>
      <c r="D76" s="3" t="inlineStr">
        <is>
          <t>1-ALTA</t>
        </is>
      </c>
      <c r="E76" s="3" t="inlineStr">
        <is>
          <t>PARADO</t>
        </is>
      </c>
      <c r="F76" s="10" t="n">
        <v>100</v>
      </c>
      <c r="G76" s="10" t="n">
        <v>250</v>
      </c>
      <c r="H76" s="10" t="n">
        <v>250</v>
      </c>
      <c r="I76" s="3" t="inlineStr">
        <is>
          <t>CERRADA</t>
        </is>
      </c>
      <c r="J76" s="3">
        <f>IF(tblEjecucion[[#This Row],[orden]]="","",tblEjecucion[[#This Row],[orden]]&amp;IF(tblEjecucion[[#This Row],[operacion]]="","0010",tblEjecucion[[#This Row],[operacion]]))</f>
        <v/>
      </c>
    </row>
    <row r="77">
      <c r="A77" s="3" t="inlineStr">
        <is>
          <t>OT-000089</t>
        </is>
      </c>
      <c r="B77" s="3" t="inlineStr">
        <is>
          <t>0010</t>
        </is>
      </c>
      <c r="C77" s="3" t="inlineStr">
        <is>
          <t>CERR</t>
        </is>
      </c>
      <c r="D77" s="3" t="inlineStr">
        <is>
          <t>2-MEDIA</t>
        </is>
      </c>
      <c r="E77" s="3" t="inlineStr">
        <is>
          <t>OPERATIVO</t>
        </is>
      </c>
      <c r="F77" s="10" t="n">
        <v>60</v>
      </c>
      <c r="G77" s="10" t="n">
        <v>150</v>
      </c>
      <c r="H77" s="10" t="n">
        <v>150</v>
      </c>
      <c r="I77" s="3" t="inlineStr">
        <is>
          <t>CERRADA</t>
        </is>
      </c>
      <c r="J77" s="3">
        <f>IF(tblEjecucion[[#This Row],[orden]]="","",tblEjecucion[[#This Row],[orden]]&amp;IF(tblEjecucion[[#This Row],[operacion]]="","0010",tblEjecucion[[#This Row],[operacion]]))</f>
        <v/>
      </c>
    </row>
    <row r="78">
      <c r="A78" s="3" t="inlineStr">
        <is>
          <t>OT-000090</t>
        </is>
      </c>
      <c r="B78" s="3" t="inlineStr">
        <is>
          <t>0010</t>
        </is>
      </c>
      <c r="C78" s="3" t="inlineStr">
        <is>
          <t>CERR</t>
        </is>
      </c>
      <c r="D78" s="3" t="inlineStr">
        <is>
          <t>3-BAJA</t>
        </is>
      </c>
      <c r="E78" s="3" t="inlineStr">
        <is>
          <t>PARADO</t>
        </is>
      </c>
      <c r="F78" s="10" t="n">
        <v>160</v>
      </c>
      <c r="G78" s="10" t="n">
        <v>400</v>
      </c>
      <c r="H78" s="10" t="n">
        <v>400</v>
      </c>
      <c r="I78" s="3" t="inlineStr">
        <is>
          <t>CERRADA</t>
        </is>
      </c>
      <c r="J78" s="3">
        <f>IF(tblEjecucion[[#This Row],[orden]]="","",tblEjecucion[[#This Row],[orden]]&amp;IF(tblEjecucion[[#This Row],[operacion]]="","0010",tblEjecucion[[#This Row],[operacion]]))</f>
        <v/>
      </c>
    </row>
    <row r="79">
      <c r="A79" s="3" t="inlineStr">
        <is>
          <t>OT-000091</t>
        </is>
      </c>
      <c r="B79" s="3" t="inlineStr">
        <is>
          <t>0010</t>
        </is>
      </c>
      <c r="C79" s="3" t="inlineStr">
        <is>
          <t>CERR</t>
        </is>
      </c>
      <c r="D79" s="3" t="inlineStr">
        <is>
          <t>1-ALTA</t>
        </is>
      </c>
      <c r="E79" s="3" t="inlineStr">
        <is>
          <t>OPERATIVO</t>
        </is>
      </c>
      <c r="F79" s="10" t="n">
        <v>100</v>
      </c>
      <c r="G79" s="10" t="n">
        <v>250</v>
      </c>
      <c r="H79" s="10" t="n">
        <v>250</v>
      </c>
      <c r="I79" s="3" t="inlineStr">
        <is>
          <t>CERRADA</t>
        </is>
      </c>
      <c r="J79" s="3">
        <f>IF(tblEjecucion[[#This Row],[orden]]="","",tblEjecucion[[#This Row],[orden]]&amp;IF(tblEjecucion[[#This Row],[operacion]]="","0010",tblEjecucion[[#This Row],[operacion]]))</f>
        <v/>
      </c>
    </row>
    <row r="80">
      <c r="A80" s="3" t="inlineStr">
        <is>
          <t>OT-000092</t>
        </is>
      </c>
      <c r="B80" s="3" t="inlineStr">
        <is>
          <t>0010</t>
        </is>
      </c>
      <c r="C80" s="3" t="inlineStr">
        <is>
          <t>EJEC</t>
        </is>
      </c>
      <c r="D80" s="3" t="inlineStr">
        <is>
          <t>2-MEDIA</t>
        </is>
      </c>
      <c r="E80" s="3" t="inlineStr">
        <is>
          <t>PARADO</t>
        </is>
      </c>
      <c r="F80" s="10" t="n">
        <v>80</v>
      </c>
      <c r="G80" s="10" t="n">
        <v>0</v>
      </c>
      <c r="H80" s="10" t="n">
        <v>200</v>
      </c>
      <c r="I80" s="3" t="inlineStr">
        <is>
          <t>EN EJECUCION</t>
        </is>
      </c>
      <c r="J80" s="3">
        <f>IF(tblEjecucion[[#This Row],[orden]]="","",tblEjecucion[[#This Row],[orden]]&amp;IF(tblEjecucion[[#This Row],[operacion]]="","0010",tblEjecucion[[#This Row],[operacion]]))</f>
        <v/>
      </c>
    </row>
    <row r="81">
      <c r="A81" s="3" t="inlineStr">
        <is>
          <t>OT-000093</t>
        </is>
      </c>
      <c r="B81" s="3" t="inlineStr">
        <is>
          <t>0010</t>
        </is>
      </c>
      <c r="C81" s="3" t="inlineStr">
        <is>
          <t>CERR</t>
        </is>
      </c>
      <c r="D81" s="3" t="inlineStr">
        <is>
          <t>3-BAJA</t>
        </is>
      </c>
      <c r="E81" s="3" t="inlineStr">
        <is>
          <t>OPERATIVO</t>
        </is>
      </c>
      <c r="F81" s="10" t="n">
        <v>60</v>
      </c>
      <c r="G81" s="10" t="n">
        <v>150</v>
      </c>
      <c r="H81" s="10" t="n">
        <v>150</v>
      </c>
      <c r="I81" s="3" t="inlineStr">
        <is>
          <t>CERRADA</t>
        </is>
      </c>
      <c r="J81" s="3">
        <f>IF(tblEjecucion[[#This Row],[orden]]="","",tblEjecucion[[#This Row],[orden]]&amp;IF(tblEjecucion[[#This Row],[operacion]]="","0010",tblEjecucion[[#This Row],[operacion]]))</f>
        <v/>
      </c>
    </row>
    <row r="82">
      <c r="A82" s="3" t="inlineStr">
        <is>
          <t>OT-000094</t>
        </is>
      </c>
      <c r="B82" s="3" t="inlineStr">
        <is>
          <t>0010</t>
        </is>
      </c>
      <c r="C82" s="3" t="inlineStr">
        <is>
          <t>EJEC</t>
        </is>
      </c>
      <c r="D82" s="3" t="inlineStr">
        <is>
          <t>1-ALTA</t>
        </is>
      </c>
      <c r="E82" s="3" t="inlineStr">
        <is>
          <t>PARADO</t>
        </is>
      </c>
      <c r="F82" s="10" t="n">
        <v>100</v>
      </c>
      <c r="G82" s="10" t="n">
        <v>0</v>
      </c>
      <c r="H82" s="10" t="n">
        <v>250</v>
      </c>
      <c r="I82" s="3" t="inlineStr">
        <is>
          <t>EN EJECUCION</t>
        </is>
      </c>
      <c r="J82" s="3">
        <f>IF(tblEjecucion[[#This Row],[orden]]="","",tblEjecucion[[#This Row],[orden]]&amp;IF(tblEjecucion[[#This Row],[operacion]]="","0010",tblEjecucion[[#This Row],[operacion]]))</f>
        <v/>
      </c>
    </row>
    <row r="83">
      <c r="A83" s="3" t="inlineStr">
        <is>
          <t>OT-000095</t>
        </is>
      </c>
      <c r="B83" s="3" t="inlineStr">
        <is>
          <t>0010</t>
        </is>
      </c>
      <c r="C83" s="3" t="inlineStr">
        <is>
          <t>CERR</t>
        </is>
      </c>
      <c r="D83" s="3" t="inlineStr">
        <is>
          <t>2-MEDIA</t>
        </is>
      </c>
      <c r="E83" s="3" t="inlineStr">
        <is>
          <t>OPERATIVO</t>
        </is>
      </c>
      <c r="F83" s="10" t="n">
        <v>110</v>
      </c>
      <c r="G83" s="10" t="n">
        <v>275</v>
      </c>
      <c r="H83" s="10" t="n">
        <v>275</v>
      </c>
      <c r="I83" s="3" t="inlineStr">
        <is>
          <t>CERRADA</t>
        </is>
      </c>
      <c r="J83" s="3">
        <f>IF(tblEjecucion[[#This Row],[orden]]="","",tblEjecucion[[#This Row],[orden]]&amp;IF(tblEjecucion[[#This Row],[operacion]]="","0010",tblEjecucion[[#This Row],[operacion]]))</f>
        <v/>
      </c>
    </row>
    <row r="84">
      <c r="A84" s="3" t="inlineStr">
        <is>
          <t>OT-000096</t>
        </is>
      </c>
      <c r="B84" s="3" t="inlineStr">
        <is>
          <t>0010</t>
        </is>
      </c>
      <c r="C84" s="3" t="inlineStr">
        <is>
          <t>EJEC</t>
        </is>
      </c>
      <c r="D84" s="3" t="inlineStr">
        <is>
          <t>3-BAJA</t>
        </is>
      </c>
      <c r="E84" s="3" t="inlineStr">
        <is>
          <t>PARADO</t>
        </is>
      </c>
      <c r="F84" s="10" t="n">
        <v>160</v>
      </c>
      <c r="G84" s="10" t="n">
        <v>0</v>
      </c>
      <c r="H84" s="10" t="n">
        <v>400</v>
      </c>
      <c r="I84" s="3" t="inlineStr">
        <is>
          <t>EN EJECUCION</t>
        </is>
      </c>
      <c r="J84" s="3">
        <f>IF(tblEjecucion[[#This Row],[orden]]="","",tblEjecucion[[#This Row],[orden]]&amp;IF(tblEjecucion[[#This Row],[operacion]]="","0010",tblEjecucion[[#This Row],[operacion]]))</f>
        <v/>
      </c>
    </row>
    <row r="85">
      <c r="A85" s="3" t="inlineStr">
        <is>
          <t>OT-000097</t>
        </is>
      </c>
      <c r="B85" s="3" t="inlineStr">
        <is>
          <t>0010</t>
        </is>
      </c>
      <c r="C85" s="3" t="inlineStr">
        <is>
          <t>LIB</t>
        </is>
      </c>
      <c r="D85" s="3" t="inlineStr">
        <is>
          <t>1-ALTA</t>
        </is>
      </c>
      <c r="E85" s="3" t="inlineStr">
        <is>
          <t>OPERATIVO</t>
        </is>
      </c>
      <c r="F85" s="10" t="n">
        <v>100</v>
      </c>
      <c r="G85" s="10" t="n">
        <v>0</v>
      </c>
      <c r="H85" s="10" t="n">
        <v>250</v>
      </c>
      <c r="I85" s="3" t="inlineStr">
        <is>
          <t>LIBERADA</t>
        </is>
      </c>
      <c r="J85" s="3">
        <f>IF(tblEjecucion[[#This Row],[orden]]="","",tblEjecucion[[#This Row],[orden]]&amp;IF(tblEjecucion[[#This Row],[operacion]]="","0010",tblEjecucion[[#This Row],[operacion]]))</f>
        <v/>
      </c>
    </row>
    <row r="86">
      <c r="A86" s="3" t="inlineStr">
        <is>
          <t>OT-000099</t>
        </is>
      </c>
      <c r="B86" s="3" t="inlineStr">
        <is>
          <t>0010</t>
        </is>
      </c>
      <c r="C86" s="3" t="inlineStr">
        <is>
          <t>LIB</t>
        </is>
      </c>
      <c r="D86" s="3" t="inlineStr">
        <is>
          <t>3-BAJA</t>
        </is>
      </c>
      <c r="E86" s="3" t="inlineStr">
        <is>
          <t>OPERATIVO</t>
        </is>
      </c>
      <c r="F86" s="10" t="n">
        <v>60</v>
      </c>
      <c r="G86" s="10" t="n">
        <v>0</v>
      </c>
      <c r="H86" s="10" t="n">
        <v>150</v>
      </c>
      <c r="I86" s="3" t="inlineStr">
        <is>
          <t>LIBERADA</t>
        </is>
      </c>
      <c r="J86" s="3">
        <f>IF(tblEjecucion[[#This Row],[orden]]="","",tblEjecucion[[#This Row],[orden]]&amp;IF(tblEjecucion[[#This Row],[operacion]]="","0010",tblEjecucion[[#This Row],[operacion]]))</f>
        <v/>
      </c>
    </row>
    <row r="87">
      <c r="A87" s="3" t="inlineStr">
        <is>
          <t>OT-000101</t>
        </is>
      </c>
      <c r="B87" s="3" t="inlineStr">
        <is>
          <t>0010</t>
        </is>
      </c>
      <c r="C87" s="3" t="inlineStr">
        <is>
          <t>LIB</t>
        </is>
      </c>
      <c r="D87" s="3" t="inlineStr">
        <is>
          <t>2-MEDIA</t>
        </is>
      </c>
      <c r="E87" s="3" t="inlineStr">
        <is>
          <t>OPERATIVO</t>
        </is>
      </c>
      <c r="F87" s="10" t="n">
        <v>112</v>
      </c>
      <c r="G87" s="10" t="n">
        <v>0</v>
      </c>
      <c r="H87" s="10" t="n">
        <v>280</v>
      </c>
      <c r="I87" s="3" t="inlineStr">
        <is>
          <t>LIBERADA</t>
        </is>
      </c>
      <c r="J87" s="3">
        <f>IF(tblEjecucion[[#This Row],[orden]]="","",tblEjecucion[[#This Row],[orden]]&amp;IF(tblEjecucion[[#This Row],[operacion]]="","0010",tblEjecucion[[#This Row],[operacion]]))</f>
        <v/>
      </c>
    </row>
    <row r="88">
      <c r="A88" s="3" t="inlineStr">
        <is>
          <t>OT-000103</t>
        </is>
      </c>
      <c r="B88" s="3" t="inlineStr">
        <is>
          <t>0010</t>
        </is>
      </c>
      <c r="C88" s="3" t="inlineStr">
        <is>
          <t>LIB</t>
        </is>
      </c>
      <c r="D88" s="3" t="inlineStr">
        <is>
          <t>1-ALTA</t>
        </is>
      </c>
      <c r="E88" s="3" t="inlineStr">
        <is>
          <t>OPERATIVO</t>
        </is>
      </c>
      <c r="F88" s="10" t="n">
        <v>80</v>
      </c>
      <c r="G88" s="10" t="n">
        <v>0</v>
      </c>
      <c r="H88" s="10" t="n">
        <v>200</v>
      </c>
      <c r="I88" s="3" t="inlineStr">
        <is>
          <t>LIBERADA</t>
        </is>
      </c>
      <c r="J88" s="3">
        <f>IF(tblEjecucion[[#This Row],[orden]]="","",tblEjecucion[[#This Row],[orden]]&amp;IF(tblEjecucion[[#This Row],[operacion]]="","0010",tblEjecucion[[#This Row],[operacion]]))</f>
        <v/>
      </c>
    </row>
    <row r="89">
      <c r="A89" s="3" t="inlineStr">
        <is>
          <t>OT-000105</t>
        </is>
      </c>
      <c r="B89" s="3" t="inlineStr">
        <is>
          <t>0010</t>
        </is>
      </c>
      <c r="C89" s="3" t="inlineStr">
        <is>
          <t>LIB</t>
        </is>
      </c>
      <c r="D89" s="3" t="inlineStr">
        <is>
          <t>3-BAJA</t>
        </is>
      </c>
      <c r="E89" s="3" t="inlineStr">
        <is>
          <t>OPERATIVO</t>
        </is>
      </c>
      <c r="F89" s="10" t="n">
        <v>60</v>
      </c>
      <c r="G89" s="10" t="n">
        <v>0</v>
      </c>
      <c r="H89" s="10" t="n">
        <v>150</v>
      </c>
      <c r="I89" s="3" t="inlineStr">
        <is>
          <t>LIBERADA</t>
        </is>
      </c>
      <c r="J89" s="3">
        <f>IF(tblEjecucion[[#This Row],[orden]]="","",tblEjecucion[[#This Row],[orden]]&amp;IF(tblEjecucion[[#This Row],[operacion]]="","0010",tblEjecucion[[#This Row],[operacion]]))</f>
        <v/>
      </c>
    </row>
    <row r="90">
      <c r="A90" s="3" t="inlineStr">
        <is>
          <t>OT-000107</t>
        </is>
      </c>
      <c r="B90" s="3" t="inlineStr">
        <is>
          <t>0010</t>
        </is>
      </c>
      <c r="C90" s="3" t="inlineStr">
        <is>
          <t>CERR</t>
        </is>
      </c>
      <c r="D90" s="3" t="inlineStr">
        <is>
          <t>2-MEDIA</t>
        </is>
      </c>
      <c r="E90" s="3" t="inlineStr">
        <is>
          <t>OPERATIVO</t>
        </is>
      </c>
      <c r="F90" s="10" t="n">
        <v>100</v>
      </c>
      <c r="G90" s="10" t="n">
        <v>250</v>
      </c>
      <c r="H90" s="10" t="n">
        <v>250</v>
      </c>
      <c r="I90" s="3" t="inlineStr">
        <is>
          <t>CERRADA</t>
        </is>
      </c>
      <c r="J90" s="3">
        <f>IF(tblEjecucion[[#This Row],[orden]]="","",tblEjecucion[[#This Row],[orden]]&amp;IF(tblEjecucion[[#This Row],[operacion]]="","0010",tblEjecucion[[#This Row],[operacion]]))</f>
        <v/>
      </c>
    </row>
    <row r="91">
      <c r="A91" s="3" t="inlineStr">
        <is>
          <t>OT-000108</t>
        </is>
      </c>
      <c r="B91" s="3" t="inlineStr">
        <is>
          <t>0010</t>
        </is>
      </c>
      <c r="C91" s="3" t="inlineStr">
        <is>
          <t>CERR</t>
        </is>
      </c>
      <c r="D91" s="3" t="inlineStr">
        <is>
          <t>3-BAJA</t>
        </is>
      </c>
      <c r="E91" s="3" t="inlineStr">
        <is>
          <t>PARADO</t>
        </is>
      </c>
      <c r="F91" s="10" t="n">
        <v>80</v>
      </c>
      <c r="G91" s="10" t="n">
        <v>200</v>
      </c>
      <c r="H91" s="10" t="n">
        <v>200</v>
      </c>
      <c r="I91" s="3" t="inlineStr">
        <is>
          <t>CERRADA</t>
        </is>
      </c>
      <c r="J91" s="3">
        <f>IF(tblEjecucion[[#This Row],[orden]]="","",tblEjecucion[[#This Row],[orden]]&amp;IF(tblEjecucion[[#This Row],[operacion]]="","0010",tblEjecucion[[#This Row],[operacion]]))</f>
        <v/>
      </c>
    </row>
    <row r="92">
      <c r="A92" s="3" t="inlineStr">
        <is>
          <t>OT-000109</t>
        </is>
      </c>
      <c r="B92" s="3" t="inlineStr">
        <is>
          <t>0010</t>
        </is>
      </c>
      <c r="C92" s="3" t="inlineStr">
        <is>
          <t>LIB</t>
        </is>
      </c>
      <c r="D92" s="3" t="inlineStr">
        <is>
          <t>1-ALTA</t>
        </is>
      </c>
      <c r="E92" s="3" t="inlineStr">
        <is>
          <t>OPERATIVO</t>
        </is>
      </c>
      <c r="F92" s="10" t="n">
        <v>60</v>
      </c>
      <c r="G92" s="10" t="n">
        <v>0</v>
      </c>
      <c r="H92" s="10" t="n">
        <v>150</v>
      </c>
      <c r="I92" s="3" t="inlineStr">
        <is>
          <t>LIBERADA</t>
        </is>
      </c>
      <c r="J92" s="3">
        <f>IF(tblEjecucion[[#This Row],[orden]]="","",tblEjecucion[[#This Row],[orden]]&amp;IF(tblEjecucion[[#This Row],[operacion]]="","0010",tblEjecucion[[#This Row],[operacion]]))</f>
        <v/>
      </c>
    </row>
    <row r="93">
      <c r="A93" s="3" t="inlineStr">
        <is>
          <t>OT-000110</t>
        </is>
      </c>
      <c r="B93" s="3" t="inlineStr">
        <is>
          <t>0010</t>
        </is>
      </c>
      <c r="C93" s="3" t="inlineStr">
        <is>
          <t>CERR</t>
        </is>
      </c>
      <c r="D93" s="3" t="inlineStr">
        <is>
          <t>2-MEDIA</t>
        </is>
      </c>
      <c r="E93" s="3" t="inlineStr">
        <is>
          <t>PARADO</t>
        </is>
      </c>
      <c r="F93" s="10" t="n">
        <v>60</v>
      </c>
      <c r="G93" s="10" t="n">
        <v>150</v>
      </c>
      <c r="H93" s="10" t="n">
        <v>150</v>
      </c>
      <c r="I93" s="3" t="inlineStr">
        <is>
          <t>CERRADA</t>
        </is>
      </c>
      <c r="J93" s="3">
        <f>IF(tblEjecucion[[#This Row],[orden]]="","",tblEjecucion[[#This Row],[orden]]&amp;IF(tblEjecucion[[#This Row],[operacion]]="","0010",tblEjecucion[[#This Row],[operacion]]))</f>
        <v/>
      </c>
    </row>
    <row r="94">
      <c r="A94" s="3" t="inlineStr">
        <is>
          <t>OT-000111</t>
        </is>
      </c>
      <c r="B94" s="3" t="inlineStr">
        <is>
          <t>0010</t>
        </is>
      </c>
      <c r="C94" s="3" t="inlineStr">
        <is>
          <t>CERR</t>
        </is>
      </c>
      <c r="D94" s="3" t="inlineStr">
        <is>
          <t>3-BAJA</t>
        </is>
      </c>
      <c r="E94" s="3" t="inlineStr">
        <is>
          <t>OPERATIVO</t>
        </is>
      </c>
      <c r="F94" s="10" t="n">
        <v>128</v>
      </c>
      <c r="G94" s="10" t="n">
        <v>320</v>
      </c>
      <c r="H94" s="10" t="n">
        <v>320</v>
      </c>
      <c r="I94" s="3" t="inlineStr">
        <is>
          <t>CERRADA</t>
        </is>
      </c>
      <c r="J94" s="3">
        <f>IF(tblEjecucion[[#This Row],[orden]]="","",tblEjecucion[[#This Row],[orden]]&amp;IF(tblEjecucion[[#This Row],[operacion]]="","0010",tblEjecucion[[#This Row],[operacion]]))</f>
        <v/>
      </c>
    </row>
    <row r="95">
      <c r="A95" s="3" t="inlineStr">
        <is>
          <t>OT-000112</t>
        </is>
      </c>
      <c r="B95" s="3" t="inlineStr">
        <is>
          <t>0010</t>
        </is>
      </c>
      <c r="C95" s="3" t="inlineStr">
        <is>
          <t>EJEC</t>
        </is>
      </c>
      <c r="D95" s="3" t="inlineStr">
        <is>
          <t>1-ALTA</t>
        </is>
      </c>
      <c r="E95" s="3" t="inlineStr">
        <is>
          <t>PARADO</t>
        </is>
      </c>
      <c r="F95" s="10" t="n">
        <v>100</v>
      </c>
      <c r="G95" s="10" t="n">
        <v>0</v>
      </c>
      <c r="H95" s="10" t="n">
        <v>250</v>
      </c>
      <c r="I95" s="3" t="inlineStr">
        <is>
          <t>EN EJECUCION</t>
        </is>
      </c>
      <c r="J95" s="3">
        <f>IF(tblEjecucion[[#This Row],[orden]]="","",tblEjecucion[[#This Row],[orden]]&amp;IF(tblEjecucion[[#This Row],[operacion]]="","0010",tblEjecucion[[#This Row],[operacion]]))</f>
        <v/>
      </c>
    </row>
    <row r="96">
      <c r="A96" s="3" t="inlineStr">
        <is>
          <t>OT-000113</t>
        </is>
      </c>
      <c r="B96" s="3" t="inlineStr">
        <is>
          <t>0010</t>
        </is>
      </c>
      <c r="C96" s="3" t="inlineStr">
        <is>
          <t>CERR</t>
        </is>
      </c>
      <c r="D96" s="3" t="inlineStr">
        <is>
          <t>2-MEDIA</t>
        </is>
      </c>
      <c r="E96" s="3" t="inlineStr">
        <is>
          <t>OPERATIVO</t>
        </is>
      </c>
      <c r="F96" s="10" t="n">
        <v>80</v>
      </c>
      <c r="G96" s="10" t="n">
        <v>200</v>
      </c>
      <c r="H96" s="10" t="n">
        <v>200</v>
      </c>
      <c r="I96" s="3" t="inlineStr">
        <is>
          <t>CERRADA</t>
        </is>
      </c>
      <c r="J96" s="3">
        <f>IF(tblEjecucion[[#This Row],[orden]]="","",tblEjecucion[[#This Row],[orden]]&amp;IF(tblEjecucion[[#This Row],[operacion]]="","0010",tblEjecucion[[#This Row],[operacion]]))</f>
        <v/>
      </c>
    </row>
    <row r="97">
      <c r="A97" s="3" t="inlineStr">
        <is>
          <t>OT-000114</t>
        </is>
      </c>
      <c r="B97" s="3" t="inlineStr">
        <is>
          <t>0010</t>
        </is>
      </c>
      <c r="C97" s="3" t="inlineStr">
        <is>
          <t>EJEC</t>
        </is>
      </c>
      <c r="D97" s="3" t="inlineStr">
        <is>
          <t>3-BAJA</t>
        </is>
      </c>
      <c r="E97" s="3" t="inlineStr">
        <is>
          <t>PARADO</t>
        </is>
      </c>
      <c r="F97" s="10" t="n">
        <v>60</v>
      </c>
      <c r="G97" s="10" t="n">
        <v>0</v>
      </c>
      <c r="H97" s="10" t="n">
        <v>150</v>
      </c>
      <c r="I97" s="3" t="inlineStr">
        <is>
          <t>EN EJECUCION</t>
        </is>
      </c>
      <c r="J97" s="3">
        <f>IF(tblEjecucion[[#This Row],[orden]]="","",tblEjecucion[[#This Row],[orden]]&amp;IF(tblEjecucion[[#This Row],[operacion]]="","0010",tblEjecucion[[#This Row],[operacion]]))</f>
        <v/>
      </c>
    </row>
    <row r="98">
      <c r="A98" s="3" t="inlineStr">
        <is>
          <t>OT-000115</t>
        </is>
      </c>
      <c r="B98" s="3" t="inlineStr">
        <is>
          <t>0010</t>
        </is>
      </c>
      <c r="C98" s="3" t="inlineStr">
        <is>
          <t>CERR</t>
        </is>
      </c>
      <c r="D98" s="3" t="inlineStr">
        <is>
          <t>1-ALTA</t>
        </is>
      </c>
      <c r="E98" s="3" t="inlineStr">
        <is>
          <t>OPERATIVO</t>
        </is>
      </c>
      <c r="F98" s="10" t="n">
        <v>100</v>
      </c>
      <c r="G98" s="10" t="n">
        <v>250</v>
      </c>
      <c r="H98" s="10" t="n">
        <v>250</v>
      </c>
      <c r="I98" s="3" t="inlineStr">
        <is>
          <t>CERRADA</t>
        </is>
      </c>
      <c r="J98" s="3">
        <f>IF(tblEjecucion[[#This Row],[orden]]="","",tblEjecucion[[#This Row],[orden]]&amp;IF(tblEjecucion[[#This Row],[operacion]]="","0010",tblEjecucion[[#This Row],[operacion]]))</f>
        <v/>
      </c>
    </row>
    <row r="99">
      <c r="A99" s="3" t="inlineStr">
        <is>
          <t>OT-000116</t>
        </is>
      </c>
      <c r="B99" s="3" t="inlineStr">
        <is>
          <t>0010</t>
        </is>
      </c>
      <c r="C99" s="3" t="inlineStr">
        <is>
          <t>EJEC</t>
        </is>
      </c>
      <c r="D99" s="3" t="inlineStr">
        <is>
          <t>2-MEDIA</t>
        </is>
      </c>
      <c r="E99" s="3" t="inlineStr">
        <is>
          <t>PARADO</t>
        </is>
      </c>
      <c r="F99" s="10" t="n">
        <v>20</v>
      </c>
      <c r="G99" s="10" t="n">
        <v>0</v>
      </c>
      <c r="H99" s="10" t="n">
        <v>50</v>
      </c>
      <c r="I99" s="3" t="inlineStr">
        <is>
          <t>EN EJECUCION</t>
        </is>
      </c>
      <c r="J99" s="3">
        <f>IF(tblEjecucion[[#This Row],[orden]]="","",tblEjecucion[[#This Row],[orden]]&amp;IF(tblEjecucion[[#This Row],[operacion]]="","0010",tblEjecucion[[#This Row],[operacion]]))</f>
        <v/>
      </c>
    </row>
    <row r="100">
      <c r="A100" s="3" t="inlineStr">
        <is>
          <t>OT-000117</t>
        </is>
      </c>
      <c r="B100" s="3" t="inlineStr">
        <is>
          <t>0010</t>
        </is>
      </c>
      <c r="C100" s="3" t="inlineStr">
        <is>
          <t>CERR</t>
        </is>
      </c>
      <c r="D100" s="3" t="inlineStr">
        <is>
          <t>3-BAJA</t>
        </is>
      </c>
      <c r="E100" s="3" t="inlineStr">
        <is>
          <t>OPERATIVO</t>
        </is>
      </c>
      <c r="F100" s="10" t="n">
        <v>144</v>
      </c>
      <c r="G100" s="10" t="n">
        <v>360</v>
      </c>
      <c r="H100" s="10" t="n">
        <v>360</v>
      </c>
      <c r="I100" s="3" t="inlineStr">
        <is>
          <t>CERRADA</t>
        </is>
      </c>
      <c r="J100" s="3">
        <f>IF(tblEjecucion[[#This Row],[orden]]="","",tblEjecucion[[#This Row],[orden]]&amp;IF(tblEjecucion[[#This Row],[operacion]]="","0010",tblEjecucion[[#This Row],[operacion]]))</f>
        <v/>
      </c>
    </row>
    <row r="101">
      <c r="A101" s="3" t="inlineStr">
        <is>
          <t>OT-000119</t>
        </is>
      </c>
      <c r="B101" s="3" t="inlineStr">
        <is>
          <t>0010</t>
        </is>
      </c>
      <c r="C101" s="3" t="inlineStr">
        <is>
          <t>LIB</t>
        </is>
      </c>
      <c r="D101" s="3" t="inlineStr">
        <is>
          <t>2-MEDIA</t>
        </is>
      </c>
      <c r="E101" s="3" t="inlineStr">
        <is>
          <t>OPERATIVO</t>
        </is>
      </c>
      <c r="F101" s="10" t="n">
        <v>80</v>
      </c>
      <c r="G101" s="10" t="n">
        <v>0</v>
      </c>
      <c r="H101" s="10" t="n">
        <v>200</v>
      </c>
      <c r="I101" s="3" t="inlineStr">
        <is>
          <t>LIBERADA</t>
        </is>
      </c>
      <c r="J101" s="3">
        <f>IF(tblEjecucion[[#This Row],[orden]]="","",tblEjecucion[[#This Row],[orden]]&amp;IF(tblEjecucion[[#This Row],[operacion]]="","0010",tblEjecucion[[#This Row],[operacion]]))</f>
        <v/>
      </c>
    </row>
    <row r="102">
      <c r="A102" s="3" t="inlineStr">
        <is>
          <t>OT-000121</t>
        </is>
      </c>
      <c r="B102" s="3" t="inlineStr">
        <is>
          <t>0010</t>
        </is>
      </c>
      <c r="C102" s="3" t="inlineStr">
        <is>
          <t>LIB</t>
        </is>
      </c>
      <c r="D102" s="3" t="inlineStr">
        <is>
          <t>1-ALTA</t>
        </is>
      </c>
      <c r="E102" s="3" t="inlineStr">
        <is>
          <t>OPERATIVO</t>
        </is>
      </c>
      <c r="F102" s="10" t="n">
        <v>112</v>
      </c>
      <c r="G102" s="10" t="n">
        <v>0</v>
      </c>
      <c r="H102" s="10" t="n">
        <v>280</v>
      </c>
      <c r="I102" s="3" t="inlineStr">
        <is>
          <t>LIBERADA</t>
        </is>
      </c>
      <c r="J102" s="3">
        <f>IF(tblEjecucion[[#This Row],[orden]]="","",tblEjecucion[[#This Row],[orden]]&amp;IF(tblEjecucion[[#This Row],[operacion]]="","0010",tblEjecucion[[#This Row],[operacion]]))</f>
        <v/>
      </c>
    </row>
    <row r="103">
      <c r="A103" s="3" t="inlineStr">
        <is>
          <t>OT-000123</t>
        </is>
      </c>
      <c r="B103" s="3" t="inlineStr">
        <is>
          <t>0010</t>
        </is>
      </c>
      <c r="C103" s="3" t="inlineStr">
        <is>
          <t>LIB</t>
        </is>
      </c>
      <c r="D103" s="3" t="inlineStr">
        <is>
          <t>3-BAJA</t>
        </is>
      </c>
      <c r="E103" s="3" t="inlineStr">
        <is>
          <t>OPERATIVO</t>
        </is>
      </c>
      <c r="F103" s="10" t="n">
        <v>80</v>
      </c>
      <c r="G103" s="10" t="n">
        <v>0</v>
      </c>
      <c r="H103" s="10" t="n">
        <v>200</v>
      </c>
      <c r="I103" s="3" t="inlineStr">
        <is>
          <t>LIBERADA</t>
        </is>
      </c>
      <c r="J103" s="3">
        <f>IF(tblEjecucion[[#This Row],[orden]]="","",tblEjecucion[[#This Row],[orden]]&amp;IF(tblEjecucion[[#This Row],[operacion]]="","0010",tblEjecucion[[#This Row],[operacion]]))</f>
        <v/>
      </c>
    </row>
    <row r="104">
      <c r="A104" s="3" t="inlineStr">
        <is>
          <t>OT-000125</t>
        </is>
      </c>
      <c r="B104" s="3" t="inlineStr">
        <is>
          <t>0010</t>
        </is>
      </c>
      <c r="C104" s="3" t="inlineStr">
        <is>
          <t>LIB</t>
        </is>
      </c>
      <c r="D104" s="3" t="inlineStr">
        <is>
          <t>2-MEDIA</t>
        </is>
      </c>
      <c r="E104" s="3" t="inlineStr">
        <is>
          <t>OPERATIVO</t>
        </is>
      </c>
      <c r="F104" s="10" t="n">
        <v>96</v>
      </c>
      <c r="G104" s="10" t="n">
        <v>0</v>
      </c>
      <c r="H104" s="10" t="n">
        <v>240</v>
      </c>
      <c r="I104" s="3" t="inlineStr">
        <is>
          <t>LIBERADA</t>
        </is>
      </c>
      <c r="J104" s="3">
        <f>IF(tblEjecucion[[#This Row],[orden]]="","",tblEjecucion[[#This Row],[orden]]&amp;IF(tblEjecucion[[#This Row],[operacion]]="","0010",tblEjecucion[[#This Row],[operacion]]))</f>
        <v/>
      </c>
    </row>
    <row r="105">
      <c r="A105" s="3" t="inlineStr">
        <is>
          <t>OT-000126</t>
        </is>
      </c>
      <c r="B105" s="3" t="inlineStr">
        <is>
          <t>0010</t>
        </is>
      </c>
      <c r="C105" s="3" t="inlineStr">
        <is>
          <t>EJEC</t>
        </is>
      </c>
      <c r="D105" s="3" t="inlineStr">
        <is>
          <t>3-BAJA</t>
        </is>
      </c>
      <c r="E105" s="3" t="inlineStr">
        <is>
          <t>PARADO</t>
        </is>
      </c>
      <c r="F105" s="10" t="n">
        <v>100</v>
      </c>
      <c r="G105" s="10" t="n">
        <v>0</v>
      </c>
      <c r="H105" s="10" t="n">
        <v>250</v>
      </c>
      <c r="I105" s="3" t="inlineStr">
        <is>
          <t>EN EJECUCION</t>
        </is>
      </c>
      <c r="J105" s="3">
        <f>IF(tblEjecucion[[#This Row],[orden]]="","",tblEjecucion[[#This Row],[orden]]&amp;IF(tblEjecucion[[#This Row],[operacion]]="","0010",tblEjecucion[[#This Row],[operacion]]))</f>
        <v/>
      </c>
    </row>
    <row r="106">
      <c r="A106" s="3" t="inlineStr">
        <is>
          <t>OT-000127</t>
        </is>
      </c>
      <c r="B106" s="3" t="inlineStr">
        <is>
          <t>0010</t>
        </is>
      </c>
      <c r="C106" s="3" t="inlineStr">
        <is>
          <t>CERR</t>
        </is>
      </c>
      <c r="D106" s="3" t="inlineStr">
        <is>
          <t>1-ALTA</t>
        </is>
      </c>
      <c r="E106" s="3" t="inlineStr">
        <is>
          <t>OPERATIVO</t>
        </is>
      </c>
      <c r="F106" s="10" t="n">
        <v>60</v>
      </c>
      <c r="G106" s="10" t="n">
        <v>150</v>
      </c>
      <c r="H106" s="10" t="n">
        <v>150</v>
      </c>
      <c r="I106" s="3" t="inlineStr">
        <is>
          <t>CERRADA</t>
        </is>
      </c>
      <c r="J106" s="3">
        <f>IF(tblEjecucion[[#This Row],[orden]]="","",tblEjecucion[[#This Row],[orden]]&amp;IF(tblEjecucion[[#This Row],[operacion]]="","0010",tblEjecucion[[#This Row],[operacion]]))</f>
        <v/>
      </c>
    </row>
    <row r="107">
      <c r="A107" s="3" t="inlineStr">
        <is>
          <t>OT-000129</t>
        </is>
      </c>
      <c r="B107" s="3" t="inlineStr">
        <is>
          <t>0010</t>
        </is>
      </c>
      <c r="C107" s="3" t="inlineStr">
        <is>
          <t>LIB</t>
        </is>
      </c>
      <c r="D107" s="3" t="inlineStr">
        <is>
          <t>3-BAJA</t>
        </is>
      </c>
      <c r="E107" s="3" t="inlineStr">
        <is>
          <t>OPERATIVO</t>
        </is>
      </c>
      <c r="F107" s="10" t="n">
        <v>20</v>
      </c>
      <c r="G107" s="10" t="n">
        <v>0</v>
      </c>
      <c r="H107" s="10" t="n">
        <v>50</v>
      </c>
      <c r="I107" s="3" t="inlineStr">
        <is>
          <t>LIBERADA</t>
        </is>
      </c>
      <c r="J107" s="3">
        <f>IF(tblEjecucion[[#This Row],[orden]]="","",tblEjecucion[[#This Row],[orden]]&amp;IF(tblEjecucion[[#This Row],[operacion]]="","0010",tblEjecucion[[#This Row],[operacion]]))</f>
        <v/>
      </c>
    </row>
    <row r="108">
      <c r="A108" s="3" t="inlineStr">
        <is>
          <t>OT-000001</t>
        </is>
      </c>
      <c r="B108" s="3" t="inlineStr">
        <is>
          <t>0020</t>
        </is>
      </c>
      <c r="C108" s="3" t="inlineStr">
        <is>
          <t>CERR</t>
        </is>
      </c>
      <c r="D108" s="3" t="inlineStr">
        <is>
          <t>1-ALTA</t>
        </is>
      </c>
      <c r="E108" s="3" t="inlineStr">
        <is>
          <t>PARADO</t>
        </is>
      </c>
      <c r="F108" s="10" t="n">
        <v>20</v>
      </c>
      <c r="G108" s="10" t="n">
        <v>50</v>
      </c>
      <c r="H108" s="10" t="n">
        <v>50</v>
      </c>
      <c r="I108" s="3" t="inlineStr">
        <is>
          <t>CERRADA</t>
        </is>
      </c>
      <c r="J108" s="3">
        <f>IF(tblEjecucion[[#This Row],[orden]]="","",tblEjecucion[[#This Row],[orden]]&amp;IF(tblEjecucion[[#This Row],[operacion]]="","0010",tblEjecucion[[#This Row],[operacion]]))</f>
        <v/>
      </c>
    </row>
    <row r="109">
      <c r="A109" s="3" t="inlineStr">
        <is>
          <t>OT-000041</t>
        </is>
      </c>
      <c r="B109" s="3" t="inlineStr">
        <is>
          <t>0020</t>
        </is>
      </c>
      <c r="C109" s="3" t="inlineStr">
        <is>
          <t>LIB</t>
        </is>
      </c>
      <c r="D109" s="3" t="inlineStr">
        <is>
          <t>2-MEDIA</t>
        </is>
      </c>
      <c r="E109" s="3" t="inlineStr">
        <is>
          <t>OPERATIVO</t>
        </is>
      </c>
      <c r="F109" s="10" t="n">
        <v>20</v>
      </c>
      <c r="G109" s="10" t="n">
        <v>0</v>
      </c>
      <c r="H109" s="10" t="n">
        <v>50</v>
      </c>
      <c r="I109" s="3" t="inlineStr">
        <is>
          <t>LIBERADA</t>
        </is>
      </c>
      <c r="J109" s="3">
        <f>IF(tblEjecucion[[#This Row],[orden]]="","",tblEjecucion[[#This Row],[orden]]&amp;IF(tblEjecucion[[#This Row],[operacion]]="","0010",tblEjecucion[[#This Row],[operacion]]))</f>
        <v/>
      </c>
    </row>
    <row r="110">
      <c r="A110" s="3" t="inlineStr">
        <is>
          <t>OT-000121</t>
        </is>
      </c>
      <c r="B110" s="3" t="inlineStr">
        <is>
          <t>0020</t>
        </is>
      </c>
      <c r="C110" s="3" t="inlineStr">
        <is>
          <t>LIB</t>
        </is>
      </c>
      <c r="D110" s="3" t="inlineStr">
        <is>
          <t>1-ALTA</t>
        </is>
      </c>
      <c r="E110" s="3" t="inlineStr">
        <is>
          <t>OPERATIVO</t>
        </is>
      </c>
      <c r="F110" s="10" t="n">
        <v>32</v>
      </c>
      <c r="G110" s="10" t="n">
        <v>0</v>
      </c>
      <c r="H110" s="10" t="n">
        <v>80</v>
      </c>
      <c r="I110" s="3" t="inlineStr">
        <is>
          <t>LIBERADA</t>
        </is>
      </c>
      <c r="J110" s="3">
        <f>IF(tblEjecucion[[#This Row],[orden]]="","",tblEjecucion[[#This Row],[orden]]&amp;IF(tblEjecucion[[#This Row],[operacion]]="","0010",tblEjecucion[[#This Row],[operacion]]))</f>
        <v/>
      </c>
    </row>
    <row r="111">
      <c r="A111" s="3" t="inlineStr">
        <is>
          <t>OT-000134</t>
        </is>
      </c>
      <c r="B111" s="3" t="inlineStr">
        <is>
          <t>0010</t>
        </is>
      </c>
      <c r="C111" s="3" t="inlineStr">
        <is>
          <t>ABIE</t>
        </is>
      </c>
      <c r="D111" s="3" t="inlineStr">
        <is>
          <t>2-MEDIA</t>
        </is>
      </c>
      <c r="E111" s="3" t="inlineStr">
        <is>
          <t>PARADO</t>
        </is>
      </c>
      <c r="F111" s="10" t="n">
        <v>64</v>
      </c>
      <c r="G111" s="10" t="n">
        <v>0</v>
      </c>
      <c r="H111" s="10" t="n">
        <v>160</v>
      </c>
      <c r="I111" s="3" t="inlineStr">
        <is>
          <t>ABIERTA</t>
        </is>
      </c>
      <c r="J111" s="3">
        <f>IF(tblEjecucion[[#This Row],[orden]]="","",tblEjecucion[[#This Row],[orden]]&amp;IF(tblEjecucion[[#This Row],[operacion]]="","0010",tblEjecucion[[#This Row],[operacion]]))</f>
        <v/>
      </c>
    </row>
    <row r="112">
      <c r="A112" s="3" t="inlineStr">
        <is>
          <t>OT-000135</t>
        </is>
      </c>
      <c r="B112" s="3" t="inlineStr">
        <is>
          <t>0010</t>
        </is>
      </c>
      <c r="C112" s="3" t="inlineStr">
        <is>
          <t>EJEC</t>
        </is>
      </c>
      <c r="D112" s="3" t="inlineStr">
        <is>
          <t>3-BAJA</t>
        </is>
      </c>
      <c r="E112" s="3" t="inlineStr">
        <is>
          <t>OPERATIVO</t>
        </is>
      </c>
      <c r="F112" s="10" t="n">
        <v>96</v>
      </c>
      <c r="G112" s="10" t="n">
        <v>0</v>
      </c>
      <c r="H112" s="10" t="n">
        <v>240</v>
      </c>
      <c r="I112" s="3" t="inlineStr">
        <is>
          <t>EN EJECUCION</t>
        </is>
      </c>
      <c r="J112" s="3">
        <f>IF(tblEjecucion[[#This Row],[orden]]="","",tblEjecucion[[#This Row],[orden]]&amp;IF(tblEjecucion[[#This Row],[operacion]]="","0010",tblEjecucion[[#This Row],[operacion]]))</f>
        <v/>
      </c>
    </row>
    <row r="113">
      <c r="A113" s="3" t="inlineStr">
        <is>
          <t>OT-000136</t>
        </is>
      </c>
      <c r="B113" s="3" t="inlineStr">
        <is>
          <t>0010</t>
        </is>
      </c>
      <c r="C113" s="3" t="inlineStr">
        <is>
          <t>ABIE</t>
        </is>
      </c>
      <c r="D113" s="3" t="inlineStr">
        <is>
          <t>1-ALTA</t>
        </is>
      </c>
      <c r="E113" s="3" t="inlineStr">
        <is>
          <t>PARADO</t>
        </is>
      </c>
      <c r="F113" s="10" t="n">
        <v>128</v>
      </c>
      <c r="G113" s="10" t="n">
        <v>0</v>
      </c>
      <c r="H113" s="10" t="n">
        <v>320</v>
      </c>
      <c r="I113" s="3" t="inlineStr">
        <is>
          <t>ABIERTA</t>
        </is>
      </c>
      <c r="J113" s="3">
        <f>IF(tblEjecucion[[#This Row],[orden]]="","",tblEjecucion[[#This Row],[orden]]&amp;IF(tblEjecucion[[#This Row],[operacion]]="","0010",tblEjecucion[[#This Row],[operacion]]))</f>
        <v/>
      </c>
    </row>
    <row r="114">
      <c r="A114" s="3" t="inlineStr">
        <is>
          <t>OT-000137</t>
        </is>
      </c>
      <c r="B114" s="3" t="inlineStr">
        <is>
          <t>0010</t>
        </is>
      </c>
      <c r="C114" s="3" t="inlineStr">
        <is>
          <t>EJEC</t>
        </is>
      </c>
      <c r="D114" s="3" t="inlineStr">
        <is>
          <t>2-MEDIA</t>
        </is>
      </c>
      <c r="E114" s="3" t="inlineStr">
        <is>
          <t>OPERATIVO</t>
        </is>
      </c>
      <c r="F114" s="10" t="n">
        <v>40</v>
      </c>
      <c r="G114" s="10" t="n">
        <v>0</v>
      </c>
      <c r="H114" s="10" t="n">
        <v>100</v>
      </c>
      <c r="I114" s="3" t="inlineStr">
        <is>
          <t>EN EJECUCION</t>
        </is>
      </c>
      <c r="J114" s="3">
        <f>IF(tblEjecucion[[#This Row],[orden]]="","",tblEjecucion[[#This Row],[orden]]&amp;IF(tblEjecucion[[#This Row],[operacion]]="","0010",tblEjecucion[[#This Row],[operacion]]))</f>
        <v/>
      </c>
    </row>
    <row r="115">
      <c r="A115" s="3" t="inlineStr">
        <is>
          <t>OT-000138</t>
        </is>
      </c>
      <c r="B115" s="3" t="inlineStr">
        <is>
          <t>0010</t>
        </is>
      </c>
      <c r="C115" s="3" t="inlineStr">
        <is>
          <t>ABIE</t>
        </is>
      </c>
      <c r="D115" s="3" t="inlineStr">
        <is>
          <t>3-BAJA</t>
        </is>
      </c>
      <c r="E115" s="3" t="inlineStr">
        <is>
          <t>PARADO</t>
        </is>
      </c>
      <c r="F115" s="10" t="n">
        <v>96</v>
      </c>
      <c r="G115" s="10" t="n">
        <v>0</v>
      </c>
      <c r="H115" s="10" t="n">
        <v>240</v>
      </c>
      <c r="I115" s="3" t="inlineStr">
        <is>
          <t>ABIERTA</t>
        </is>
      </c>
      <c r="J115" s="3">
        <f>IF(tblEjecucion[[#This Row],[orden]]="","",tblEjecucion[[#This Row],[orden]]&amp;IF(tblEjecucion[[#This Row],[operacion]]="","0010",tblEjecucion[[#This Row],[operacion]]))</f>
        <v/>
      </c>
    </row>
    <row r="116">
      <c r="A116" s="3" t="inlineStr">
        <is>
          <t>OT-000139</t>
        </is>
      </c>
      <c r="B116" s="3" t="inlineStr">
        <is>
          <t>0010</t>
        </is>
      </c>
      <c r="C116" s="3" t="inlineStr">
        <is>
          <t>EJEC</t>
        </is>
      </c>
      <c r="D116" s="3" t="inlineStr">
        <is>
          <t>1-ALTA</t>
        </is>
      </c>
      <c r="E116" s="3" t="inlineStr">
        <is>
          <t>OPERATIVO</t>
        </is>
      </c>
      <c r="F116" s="10" t="n">
        <v>128</v>
      </c>
      <c r="G116" s="10" t="n">
        <v>0</v>
      </c>
      <c r="H116" s="10" t="n">
        <v>320</v>
      </c>
      <c r="I116" s="3" t="inlineStr">
        <is>
          <t>EN EJECUCION</t>
        </is>
      </c>
      <c r="J116" s="3">
        <f>IF(tblEjecucion[[#This Row],[orden]]="","",tblEjecucion[[#This Row],[orden]]&amp;IF(tblEjecucion[[#This Row],[operacion]]="","0010",tblEjecucion[[#This Row],[operacion]]))</f>
        <v/>
      </c>
    </row>
    <row r="117">
      <c r="A117" s="3" t="inlineStr">
        <is>
          <t>OT-000140</t>
        </is>
      </c>
      <c r="B117" s="3" t="inlineStr">
        <is>
          <t>0010</t>
        </is>
      </c>
      <c r="C117" s="3" t="inlineStr">
        <is>
          <t>ABIE</t>
        </is>
      </c>
      <c r="D117" s="3" t="inlineStr">
        <is>
          <t>2-MEDIA</t>
        </is>
      </c>
      <c r="E117" s="3" t="inlineStr">
        <is>
          <t>PARADO</t>
        </is>
      </c>
      <c r="F117" s="10" t="n">
        <v>64</v>
      </c>
      <c r="G117" s="10" t="n">
        <v>0</v>
      </c>
      <c r="H117" s="10" t="n">
        <v>160</v>
      </c>
      <c r="I117" s="3" t="inlineStr">
        <is>
          <t>ABIERTA</t>
        </is>
      </c>
      <c r="J117" s="3">
        <f>IF(tblEjecucion[[#This Row],[orden]]="","",tblEjecucion[[#This Row],[orden]]&amp;IF(tblEjecucion[[#This Row],[operacion]]="","0010",tblEjecucion[[#This Row],[operacion]]))</f>
        <v/>
      </c>
    </row>
    <row r="118">
      <c r="A118" s="3" t="inlineStr">
        <is>
          <t>OT-000141</t>
        </is>
      </c>
      <c r="B118" s="3" t="inlineStr">
        <is>
          <t>0010</t>
        </is>
      </c>
      <c r="C118" s="3" t="inlineStr">
        <is>
          <t>EJEC</t>
        </is>
      </c>
      <c r="D118" s="3" t="inlineStr">
        <is>
          <t>3-BAJA</t>
        </is>
      </c>
      <c r="E118" s="3" t="inlineStr">
        <is>
          <t>OPERATIVO</t>
        </is>
      </c>
      <c r="F118" s="10" t="n">
        <v>60</v>
      </c>
      <c r="G118" s="10" t="n">
        <v>0</v>
      </c>
      <c r="H118" s="10" t="n">
        <v>150</v>
      </c>
      <c r="I118" s="3" t="inlineStr">
        <is>
          <t>EN EJECUCION</t>
        </is>
      </c>
      <c r="J118" s="3">
        <f>IF(tblEjecucion[[#This Row],[orden]]="","",tblEjecucion[[#This Row],[orden]]&amp;IF(tblEjecucion[[#This Row],[operacion]]="","0010",tblEjecucion[[#This Row],[operacion]]))</f>
        <v/>
      </c>
    </row>
    <row r="119">
      <c r="A119" s="3" t="inlineStr">
        <is>
          <t>OT-000142</t>
        </is>
      </c>
      <c r="B119" s="3" t="inlineStr">
        <is>
          <t>0010</t>
        </is>
      </c>
      <c r="C119" s="3" t="inlineStr">
        <is>
          <t>ABIE</t>
        </is>
      </c>
      <c r="D119" s="3" t="inlineStr">
        <is>
          <t>1-ALTA</t>
        </is>
      </c>
      <c r="E119" s="3" t="inlineStr">
        <is>
          <t>PARADO</t>
        </is>
      </c>
      <c r="F119" s="10" t="n">
        <v>64</v>
      </c>
      <c r="G119" s="10" t="n">
        <v>0</v>
      </c>
      <c r="H119" s="10" t="n">
        <v>160</v>
      </c>
      <c r="I119" s="3" t="inlineStr">
        <is>
          <t>ABIERTA</t>
        </is>
      </c>
      <c r="J119" s="3">
        <f>IF(tblEjecucion[[#This Row],[orden]]="","",tblEjecucion[[#This Row],[orden]]&amp;IF(tblEjecucion[[#This Row],[operacion]]="","0010",tblEjecucion[[#This Row],[operacion]]))</f>
        <v/>
      </c>
    </row>
    <row r="120">
      <c r="A120" s="3" t="inlineStr">
        <is>
          <t>OT-000143</t>
        </is>
      </c>
      <c r="B120" s="3" t="inlineStr">
        <is>
          <t>0010</t>
        </is>
      </c>
      <c r="C120" s="3" t="inlineStr">
        <is>
          <t>EJEC</t>
        </is>
      </c>
      <c r="D120" s="3" t="inlineStr">
        <is>
          <t>2-MEDIA</t>
        </is>
      </c>
      <c r="E120" s="3" t="inlineStr">
        <is>
          <t>OPERATIVO</t>
        </is>
      </c>
      <c r="F120" s="10" t="n">
        <v>96</v>
      </c>
      <c r="G120" s="10" t="n">
        <v>0</v>
      </c>
      <c r="H120" s="10" t="n">
        <v>240</v>
      </c>
      <c r="I120" s="3" t="inlineStr">
        <is>
          <t>EN EJECUCION</t>
        </is>
      </c>
      <c r="J120" s="3">
        <f>IF(tblEjecucion[[#This Row],[orden]]="","",tblEjecucion[[#This Row],[orden]]&amp;IF(tblEjecucion[[#This Row],[operacion]]="","0010",tblEjecucion[[#This Row],[operacion]]))</f>
        <v/>
      </c>
    </row>
    <row r="121">
      <c r="A121" s="3" t="inlineStr">
        <is>
          <t>OT-000144</t>
        </is>
      </c>
      <c r="B121" s="3" t="inlineStr">
        <is>
          <t>0010</t>
        </is>
      </c>
      <c r="C121" s="3" t="inlineStr">
        <is>
          <t>ABIE</t>
        </is>
      </c>
      <c r="D121" s="3" t="inlineStr">
        <is>
          <t>3-BAJA</t>
        </is>
      </c>
      <c r="E121" s="3" t="inlineStr">
        <is>
          <t>PARADO</t>
        </is>
      </c>
      <c r="F121" s="10" t="n">
        <v>128</v>
      </c>
      <c r="G121" s="10" t="n">
        <v>0</v>
      </c>
      <c r="H121" s="10" t="n">
        <v>320</v>
      </c>
      <c r="I121" s="3" t="inlineStr">
        <is>
          <t>ABIERTA</t>
        </is>
      </c>
      <c r="J121" s="3">
        <f>IF(tblEjecucion[[#This Row],[orden]]="","",tblEjecucion[[#This Row],[orden]]&amp;IF(tblEjecucion[[#This Row],[operacion]]="","0010",tblEjecucion[[#This Row],[operacion]]))</f>
        <v/>
      </c>
    </row>
    <row r="122">
      <c r="A122" s="3" t="inlineStr">
        <is>
          <t>OT-000145</t>
        </is>
      </c>
      <c r="B122" s="3" t="inlineStr">
        <is>
          <t>0010</t>
        </is>
      </c>
      <c r="C122" s="3" t="inlineStr">
        <is>
          <t>EJEC</t>
        </is>
      </c>
      <c r="D122" s="3" t="inlineStr">
        <is>
          <t>1-ALTA</t>
        </is>
      </c>
      <c r="E122" s="3" t="inlineStr">
        <is>
          <t>OPERATIVO</t>
        </is>
      </c>
      <c r="F122" s="10" t="n">
        <v>40</v>
      </c>
      <c r="G122" s="10" t="n">
        <v>0</v>
      </c>
      <c r="H122" s="10" t="n">
        <v>100</v>
      </c>
      <c r="I122" s="3" t="inlineStr">
        <is>
          <t>EN EJECUCION</t>
        </is>
      </c>
      <c r="J122" s="3">
        <f>IF(tblEjecucion[[#This Row],[orden]]="","",tblEjecucion[[#This Row],[orden]]&amp;IF(tblEjecucion[[#This Row],[operacion]]="","0010",tblEjecucion[[#This Row],[operacion]]))</f>
        <v/>
      </c>
    </row>
    <row r="123">
      <c r="A123" s="3" t="inlineStr">
        <is>
          <t>OT-000146</t>
        </is>
      </c>
      <c r="B123" s="3" t="inlineStr">
        <is>
          <t>0010</t>
        </is>
      </c>
      <c r="C123" s="3" t="inlineStr">
        <is>
          <t>ABIE</t>
        </is>
      </c>
      <c r="D123" s="3" t="inlineStr">
        <is>
          <t>2-MEDIA</t>
        </is>
      </c>
      <c r="E123" s="3" t="inlineStr">
        <is>
          <t>PARADO</t>
        </is>
      </c>
      <c r="F123" s="10" t="n">
        <v>96</v>
      </c>
      <c r="G123" s="10" t="n">
        <v>0</v>
      </c>
      <c r="H123" s="10" t="n">
        <v>240</v>
      </c>
      <c r="I123" s="3" t="inlineStr">
        <is>
          <t>ABIERTA</t>
        </is>
      </c>
      <c r="J123" s="3">
        <f>IF(tblEjecucion[[#This Row],[orden]]="","",tblEjecucion[[#This Row],[orden]]&amp;IF(tblEjecucion[[#This Row],[operacion]]="","0010",tblEjecucion[[#This Row],[operacion]]))</f>
        <v/>
      </c>
    </row>
    <row r="124">
      <c r="A124" s="3" t="inlineStr">
        <is>
          <t>OT-000147</t>
        </is>
      </c>
      <c r="B124" s="3" t="inlineStr">
        <is>
          <t>0010</t>
        </is>
      </c>
      <c r="C124" s="3" t="inlineStr">
        <is>
          <t>EJEC</t>
        </is>
      </c>
      <c r="D124" s="3" t="inlineStr">
        <is>
          <t>3-BAJA</t>
        </is>
      </c>
      <c r="E124" s="3" t="inlineStr">
        <is>
          <t>OPERATIVO</t>
        </is>
      </c>
      <c r="F124" s="10" t="n">
        <v>128</v>
      </c>
      <c r="G124" s="10" t="n">
        <v>0</v>
      </c>
      <c r="H124" s="10" t="n">
        <v>320</v>
      </c>
      <c r="I124" s="3" t="inlineStr">
        <is>
          <t>EN EJECUCION</t>
        </is>
      </c>
      <c r="J124" s="3">
        <f>IF(tblEjecucion[[#This Row],[orden]]="","",tblEjecucion[[#This Row],[orden]]&amp;IF(tblEjecucion[[#This Row],[operacion]]="","0010",tblEjecucion[[#This Row],[operacion]]))</f>
        <v/>
      </c>
    </row>
    <row r="125">
      <c r="A125" s="3" t="inlineStr">
        <is>
          <t>OT-000148</t>
        </is>
      </c>
      <c r="B125" s="3" t="inlineStr">
        <is>
          <t>0010</t>
        </is>
      </c>
      <c r="C125" s="3" t="inlineStr">
        <is>
          <t>ABIE</t>
        </is>
      </c>
      <c r="D125" s="3" t="inlineStr">
        <is>
          <t>1-ALTA</t>
        </is>
      </c>
      <c r="E125" s="3" t="inlineStr">
        <is>
          <t>PARADO</t>
        </is>
      </c>
      <c r="F125" s="10" t="n">
        <v>64</v>
      </c>
      <c r="G125" s="10" t="n">
        <v>0</v>
      </c>
      <c r="H125" s="10" t="n">
        <v>160</v>
      </c>
      <c r="I125" s="3" t="inlineStr">
        <is>
          <t>ABIERTA</t>
        </is>
      </c>
      <c r="J125" s="3">
        <f>IF(tblEjecucion[[#This Row],[orden]]="","",tblEjecucion[[#This Row],[orden]]&amp;IF(tblEjecucion[[#This Row],[operacion]]="","0010",tblEjecucion[[#This Row],[operacion]]))</f>
        <v/>
      </c>
    </row>
    <row r="126">
      <c r="A126" s="3" t="inlineStr">
        <is>
          <t>OT-000149</t>
        </is>
      </c>
      <c r="B126" s="3" t="inlineStr">
        <is>
          <t>0010</t>
        </is>
      </c>
      <c r="C126" s="3" t="inlineStr">
        <is>
          <t>EJEC</t>
        </is>
      </c>
      <c r="D126" s="3" t="inlineStr">
        <is>
          <t>2-MEDIA</t>
        </is>
      </c>
      <c r="E126" s="3" t="inlineStr">
        <is>
          <t>OPERATIVO</t>
        </is>
      </c>
      <c r="F126" s="10" t="n">
        <v>96</v>
      </c>
      <c r="G126" s="10" t="n">
        <v>0</v>
      </c>
      <c r="H126" s="10" t="n">
        <v>240</v>
      </c>
      <c r="I126" s="3" t="inlineStr">
        <is>
          <t>EN EJECUCION</t>
        </is>
      </c>
      <c r="J126" s="3">
        <f>IF(tblEjecucion[[#This Row],[orden]]="","",tblEjecucion[[#This Row],[orden]]&amp;IF(tblEjecucion[[#This Row],[operacion]]="","0010",tblEjecucion[[#This Row],[operacion]]))</f>
        <v/>
      </c>
    </row>
    <row r="127">
      <c r="A127" s="3" t="inlineStr">
        <is>
          <t>OT-000150</t>
        </is>
      </c>
      <c r="B127" s="3" t="inlineStr">
        <is>
          <t>0010</t>
        </is>
      </c>
      <c r="C127" s="3" t="inlineStr">
        <is>
          <t>ABIE</t>
        </is>
      </c>
      <c r="D127" s="3" t="inlineStr">
        <is>
          <t>3-BAJA</t>
        </is>
      </c>
      <c r="E127" s="3" t="inlineStr">
        <is>
          <t>PARADO</t>
        </is>
      </c>
      <c r="F127" s="10" t="n">
        <v>128</v>
      </c>
      <c r="G127" s="10" t="n">
        <v>0</v>
      </c>
      <c r="H127" s="10" t="n">
        <v>320</v>
      </c>
      <c r="I127" s="3" t="inlineStr">
        <is>
          <t>ABIERTA</t>
        </is>
      </c>
      <c r="J127" s="3">
        <f>IF(tblEjecucion[[#This Row],[orden]]="","",tblEjecucion[[#This Row],[orden]]&amp;IF(tblEjecucion[[#This Row],[operacion]]="","0010",tblEjecucion[[#This Row],[operacion]]))</f>
        <v/>
      </c>
    </row>
    <row r="128">
      <c r="A128" s="3" t="inlineStr">
        <is>
          <t>OT-000151</t>
        </is>
      </c>
      <c r="B128" s="3" t="inlineStr">
        <is>
          <t>0010</t>
        </is>
      </c>
      <c r="C128" s="3" t="inlineStr">
        <is>
          <t>EJEC</t>
        </is>
      </c>
      <c r="D128" s="3" t="inlineStr">
        <is>
          <t>1-ALTA</t>
        </is>
      </c>
      <c r="E128" s="3" t="inlineStr">
        <is>
          <t>OPERATIVO</t>
        </is>
      </c>
      <c r="F128" s="10" t="n">
        <v>40</v>
      </c>
      <c r="G128" s="10" t="n">
        <v>0</v>
      </c>
      <c r="H128" s="10" t="n">
        <v>100</v>
      </c>
      <c r="I128" s="3" t="inlineStr">
        <is>
          <t>EN EJECUCION</t>
        </is>
      </c>
      <c r="J128" s="3">
        <f>IF(tblEjecucion[[#This Row],[orden]]="","",tblEjecucion[[#This Row],[orden]]&amp;IF(tblEjecucion[[#This Row],[operacion]]="","0010",tblEjecucion[[#This Row],[operacion]]))</f>
        <v/>
      </c>
    </row>
    <row r="129">
      <c r="A129" s="3" t="inlineStr">
        <is>
          <t>OT-000152</t>
        </is>
      </c>
      <c r="B129" s="3" t="inlineStr">
        <is>
          <t>0010</t>
        </is>
      </c>
      <c r="C129" s="3" t="inlineStr">
        <is>
          <t>ABIE</t>
        </is>
      </c>
      <c r="D129" s="3" t="inlineStr">
        <is>
          <t>2-MEDIA</t>
        </is>
      </c>
      <c r="E129" s="3" t="inlineStr">
        <is>
          <t>PARADO</t>
        </is>
      </c>
      <c r="F129" s="10" t="n">
        <v>96</v>
      </c>
      <c r="G129" s="10" t="n">
        <v>0</v>
      </c>
      <c r="H129" s="10" t="n">
        <v>240</v>
      </c>
      <c r="I129" s="3" t="inlineStr">
        <is>
          <t>ABIERTA</t>
        </is>
      </c>
      <c r="J129" s="3">
        <f>IF(tblEjecucion[[#This Row],[orden]]="","",tblEjecucion[[#This Row],[orden]]&amp;IF(tblEjecucion[[#This Row],[operacion]]="","0010",tblEjecucion[[#This Row],[operacion]]))</f>
        <v/>
      </c>
    </row>
    <row r="130">
      <c r="A130" s="3" t="inlineStr">
        <is>
          <t>OT-000153</t>
        </is>
      </c>
      <c r="B130" s="3" t="inlineStr">
        <is>
          <t>0010</t>
        </is>
      </c>
      <c r="C130" s="3" t="inlineStr">
        <is>
          <t>EJEC</t>
        </is>
      </c>
      <c r="D130" s="3" t="inlineStr">
        <is>
          <t>3-BAJA</t>
        </is>
      </c>
      <c r="E130" s="3" t="inlineStr">
        <is>
          <t>OPERATIVO</t>
        </is>
      </c>
      <c r="F130" s="10" t="n">
        <v>128</v>
      </c>
      <c r="G130" s="10" t="n">
        <v>0</v>
      </c>
      <c r="H130" s="10" t="n">
        <v>320</v>
      </c>
      <c r="I130" s="3" t="inlineStr">
        <is>
          <t>EN EJECUCION</t>
        </is>
      </c>
      <c r="J130" s="3">
        <f>IF(tblEjecucion[[#This Row],[orden]]="","",tblEjecucion[[#This Row],[orden]]&amp;IF(tblEjecucion[[#This Row],[operacion]]="","0010",tblEjecucion[[#This Row],[operacion]]))</f>
        <v/>
      </c>
    </row>
    <row r="131">
      <c r="A131" s="3" t="inlineStr">
        <is>
          <t>OT-000154</t>
        </is>
      </c>
      <c r="B131" s="3" t="inlineStr">
        <is>
          <t>0010</t>
        </is>
      </c>
      <c r="C131" s="3" t="inlineStr">
        <is>
          <t>ABIE</t>
        </is>
      </c>
      <c r="D131" s="3" t="inlineStr">
        <is>
          <t>1-ALTA</t>
        </is>
      </c>
      <c r="E131" s="3" t="inlineStr">
        <is>
          <t>PARADO</t>
        </is>
      </c>
      <c r="F131" s="10" t="n">
        <v>64</v>
      </c>
      <c r="G131" s="10" t="n">
        <v>0</v>
      </c>
      <c r="H131" s="10" t="n">
        <v>160</v>
      </c>
      <c r="I131" s="3" t="inlineStr">
        <is>
          <t>ABIERTA</t>
        </is>
      </c>
      <c r="J131" s="3">
        <f>IF(tblEjecucion[[#This Row],[orden]]="","",tblEjecucion[[#This Row],[orden]]&amp;IF(tblEjecucion[[#This Row],[operacion]]="","0010",tblEjecucion[[#This Row],[operacion]]))</f>
        <v/>
      </c>
    </row>
    <row r="132">
      <c r="A132" s="3" t="inlineStr">
        <is>
          <t>OT-000155</t>
        </is>
      </c>
      <c r="B132" s="3" t="inlineStr">
        <is>
          <t>0010</t>
        </is>
      </c>
      <c r="C132" s="3" t="inlineStr">
        <is>
          <t>EJEC</t>
        </is>
      </c>
      <c r="D132" s="3" t="inlineStr">
        <is>
          <t>2-MEDIA</t>
        </is>
      </c>
      <c r="E132" s="3" t="inlineStr">
        <is>
          <t>OPERATIVO</t>
        </is>
      </c>
      <c r="F132" s="10" t="n">
        <v>96</v>
      </c>
      <c r="G132" s="10" t="n">
        <v>0</v>
      </c>
      <c r="H132" s="10" t="n">
        <v>240</v>
      </c>
      <c r="I132" s="3" t="inlineStr">
        <is>
          <t>EN EJECUCION</t>
        </is>
      </c>
      <c r="J132" s="3">
        <f>IF(tblEjecucion[[#This Row],[orden]]="","",tblEjecucion[[#This Row],[orden]]&amp;IF(tblEjecucion[[#This Row],[operacion]]="","0010",tblEjecucion[[#This Row],[operacion]]))</f>
        <v/>
      </c>
    </row>
    <row r="133">
      <c r="A133" s="3" t="inlineStr">
        <is>
          <t>OT-000156</t>
        </is>
      </c>
      <c r="B133" s="3" t="inlineStr">
        <is>
          <t>0010</t>
        </is>
      </c>
      <c r="C133" s="3" t="inlineStr">
        <is>
          <t>ABIE</t>
        </is>
      </c>
      <c r="D133" s="3" t="inlineStr">
        <is>
          <t>3-BAJA</t>
        </is>
      </c>
      <c r="E133" s="3" t="inlineStr">
        <is>
          <t>PARADO</t>
        </is>
      </c>
      <c r="F133" s="10" t="n">
        <v>128</v>
      </c>
      <c r="G133" s="10" t="n">
        <v>0</v>
      </c>
      <c r="H133" s="10" t="n">
        <v>320</v>
      </c>
      <c r="I133" s="3" t="inlineStr">
        <is>
          <t>ABIERTA</t>
        </is>
      </c>
      <c r="J133" s="3">
        <f>IF(tblEjecucion[[#This Row],[orden]]="","",tblEjecucion[[#This Row],[orden]]&amp;IF(tblEjecucion[[#This Row],[operacion]]="","0010",tblEjecucion[[#This Row],[operacion]]))</f>
        <v/>
      </c>
    </row>
    <row r="134">
      <c r="A134" s="3" t="inlineStr">
        <is>
          <t>OT-000157</t>
        </is>
      </c>
      <c r="B134" s="3" t="inlineStr">
        <is>
          <t>0010</t>
        </is>
      </c>
      <c r="C134" s="3" t="inlineStr">
        <is>
          <t>EJEC</t>
        </is>
      </c>
      <c r="D134" s="3" t="inlineStr">
        <is>
          <t>1-ALTA</t>
        </is>
      </c>
      <c r="E134" s="3" t="inlineStr">
        <is>
          <t>OPERATIVO</t>
        </is>
      </c>
      <c r="F134" s="10" t="n">
        <v>40</v>
      </c>
      <c r="G134" s="10" t="n">
        <v>0</v>
      </c>
      <c r="H134" s="10" t="n">
        <v>100</v>
      </c>
      <c r="I134" s="3" t="inlineStr">
        <is>
          <t>EN EJECUCION</t>
        </is>
      </c>
      <c r="J134" s="3">
        <f>IF(tblEjecucion[[#This Row],[orden]]="","",tblEjecucion[[#This Row],[orden]]&amp;IF(tblEjecucion[[#This Row],[operacion]]="","0010",tblEjecucion[[#This Row],[operacion]]))</f>
        <v/>
      </c>
    </row>
    <row r="135">
      <c r="A135" s="3" t="inlineStr">
        <is>
          <t>OT-000158</t>
        </is>
      </c>
      <c r="B135" s="3" t="inlineStr">
        <is>
          <t>0010</t>
        </is>
      </c>
      <c r="C135" s="3" t="inlineStr">
        <is>
          <t>ABIE</t>
        </is>
      </c>
      <c r="D135" s="3" t="inlineStr">
        <is>
          <t>2-MEDIA</t>
        </is>
      </c>
      <c r="E135" s="3" t="inlineStr">
        <is>
          <t>PARADO</t>
        </is>
      </c>
      <c r="F135" s="10" t="n">
        <v>64</v>
      </c>
      <c r="G135" s="10" t="n">
        <v>0</v>
      </c>
      <c r="H135" s="10" t="n">
        <v>160</v>
      </c>
      <c r="I135" s="3" t="inlineStr">
        <is>
          <t>ABIERTA</t>
        </is>
      </c>
      <c r="J135" s="3">
        <f>IF(tblEjecucion[[#This Row],[orden]]="","",tblEjecucion[[#This Row],[orden]]&amp;IF(tblEjecucion[[#This Row],[operacion]]="","0010",tblEjecucion[[#This Row],[operacion]]))</f>
        <v/>
      </c>
    </row>
    <row r="136">
      <c r="A136" s="3" t="inlineStr">
        <is>
          <t>OT-000159</t>
        </is>
      </c>
      <c r="B136" s="3" t="inlineStr">
        <is>
          <t>0010</t>
        </is>
      </c>
      <c r="C136" s="3" t="inlineStr">
        <is>
          <t>EJEC</t>
        </is>
      </c>
      <c r="D136" s="3" t="inlineStr">
        <is>
          <t>3-BAJA</t>
        </is>
      </c>
      <c r="E136" s="3" t="inlineStr">
        <is>
          <t>OPERATIVO</t>
        </is>
      </c>
      <c r="F136" s="10" t="n">
        <v>96</v>
      </c>
      <c r="G136" s="10" t="n">
        <v>0</v>
      </c>
      <c r="H136" s="10" t="n">
        <v>240</v>
      </c>
      <c r="I136" s="3" t="inlineStr">
        <is>
          <t>EN EJECUCION</t>
        </is>
      </c>
      <c r="J136" s="3">
        <f>IF(tblEjecucion[[#This Row],[orden]]="","",tblEjecucion[[#This Row],[orden]]&amp;IF(tblEjecucion[[#This Row],[operacion]]="","0010",tblEjecucion[[#This Row],[operacion]]))</f>
        <v/>
      </c>
    </row>
    <row r="137">
      <c r="A137" s="3" t="inlineStr">
        <is>
          <t>OT-000160</t>
        </is>
      </c>
      <c r="B137" s="3" t="inlineStr">
        <is>
          <t>0010</t>
        </is>
      </c>
      <c r="C137" s="3" t="inlineStr">
        <is>
          <t>ABIE</t>
        </is>
      </c>
      <c r="D137" s="3" t="inlineStr">
        <is>
          <t>1-ALTA</t>
        </is>
      </c>
      <c r="E137" s="3" t="inlineStr">
        <is>
          <t>PARADO</t>
        </is>
      </c>
      <c r="F137" s="10" t="n">
        <v>128</v>
      </c>
      <c r="G137" s="10" t="n">
        <v>0</v>
      </c>
      <c r="H137" s="10" t="n">
        <v>320</v>
      </c>
      <c r="I137" s="3" t="inlineStr">
        <is>
          <t>ABIERTA</t>
        </is>
      </c>
      <c r="J137" s="3">
        <f>IF(tblEjecucion[[#This Row],[orden]]="","",tblEjecucion[[#This Row],[orden]]&amp;IF(tblEjecucion[[#This Row],[operacion]]="","0010",tblEjecucion[[#This Row],[operacion]]))</f>
        <v/>
      </c>
    </row>
    <row r="138">
      <c r="A138" s="3" t="inlineStr">
        <is>
          <t>OT-000161</t>
        </is>
      </c>
      <c r="B138" s="3" t="inlineStr">
        <is>
          <t>0010</t>
        </is>
      </c>
      <c r="C138" s="3" t="inlineStr">
        <is>
          <t>EJEC</t>
        </is>
      </c>
      <c r="D138" s="3" t="inlineStr">
        <is>
          <t>2-MEDIA</t>
        </is>
      </c>
      <c r="E138" s="3" t="inlineStr">
        <is>
          <t>OPERATIVO</t>
        </is>
      </c>
      <c r="F138" s="10" t="n">
        <v>40</v>
      </c>
      <c r="G138" s="10" t="n">
        <v>0</v>
      </c>
      <c r="H138" s="10" t="n">
        <v>100</v>
      </c>
      <c r="I138" s="3" t="inlineStr">
        <is>
          <t>EN EJECUCION</t>
        </is>
      </c>
      <c r="J138" s="3">
        <f>IF(tblEjecucion[[#This Row],[orden]]="","",tblEjecucion[[#This Row],[orden]]&amp;IF(tblEjecucion[[#This Row],[operacion]]="","0010",tblEjecucion[[#This Row],[operacion]]))</f>
        <v/>
      </c>
    </row>
    <row r="139">
      <c r="A139" s="3" t="inlineStr">
        <is>
          <t>OT-000162</t>
        </is>
      </c>
      <c r="B139" s="3" t="inlineStr">
        <is>
          <t>0010</t>
        </is>
      </c>
      <c r="C139" s="3" t="inlineStr">
        <is>
          <t>CERR</t>
        </is>
      </c>
      <c r="D139" s="3" t="inlineStr">
        <is>
          <t>3-BAJA</t>
        </is>
      </c>
      <c r="E139" s="3" t="inlineStr">
        <is>
          <t>PARADO</t>
        </is>
      </c>
      <c r="F139" s="10" t="n">
        <v>200</v>
      </c>
      <c r="G139" s="10" t="n">
        <v>100</v>
      </c>
      <c r="H139" s="10" t="n">
        <v>100</v>
      </c>
      <c r="I139" s="3" t="inlineStr">
        <is>
          <t>CERRADA</t>
        </is>
      </c>
      <c r="J139" s="3">
        <f>IF(tblEjecucion[[#This Row],[orden]]="","",tblEjecucion[[#This Row],[orden]]&amp;IF(tblEjecucion[[#This Row],[operacion]]="","0010",tblEjecucion[[#This Row],[operacion]]))</f>
        <v/>
      </c>
    </row>
    <row r="140">
      <c r="A140" s="3" t="inlineStr">
        <is>
          <t>OT-000163</t>
        </is>
      </c>
      <c r="B140" s="3" t="inlineStr">
        <is>
          <t>0010</t>
        </is>
      </c>
      <c r="C140" s="3" t="inlineStr">
        <is>
          <t>CERR</t>
        </is>
      </c>
      <c r="D140" s="3" t="inlineStr">
        <is>
          <t>1-ALTA</t>
        </is>
      </c>
      <c r="E140" s="3" t="inlineStr">
        <is>
          <t>OPERATIVO</t>
        </is>
      </c>
      <c r="F140" s="10" t="n">
        <v>96</v>
      </c>
      <c r="G140" s="10" t="n">
        <v>240</v>
      </c>
      <c r="H140" s="10" t="n">
        <v>240</v>
      </c>
      <c r="I140" s="3" t="inlineStr">
        <is>
          <t>CERRADA</t>
        </is>
      </c>
      <c r="J140" s="3">
        <f>IF(tblEjecucion[[#This Row],[orden]]="","",tblEjecucion[[#This Row],[orden]]&amp;IF(tblEjecucion[[#This Row],[operacion]]="","0010",tblEjecucion[[#This Row],[operacion]]))</f>
        <v/>
      </c>
    </row>
    <row r="141">
      <c r="A141" s="3" t="inlineStr">
        <is>
          <t>OT-000164</t>
        </is>
      </c>
      <c r="B141" s="3" t="inlineStr">
        <is>
          <t>0010</t>
        </is>
      </c>
      <c r="C141" s="3" t="inlineStr">
        <is>
          <t>CERR</t>
        </is>
      </c>
      <c r="D141" s="3" t="inlineStr">
        <is>
          <t>2-MEDIA</t>
        </is>
      </c>
      <c r="E141" s="3" t="inlineStr">
        <is>
          <t>PARADO</t>
        </is>
      </c>
      <c r="F141" s="10" t="n">
        <v>80</v>
      </c>
      <c r="G141" s="10" t="n">
        <v>200</v>
      </c>
      <c r="H141" s="10" t="n">
        <v>200</v>
      </c>
      <c r="I141" s="3" t="inlineStr">
        <is>
          <t>CERRADA</t>
        </is>
      </c>
      <c r="J141" s="3">
        <f>IF(tblEjecucion[[#This Row],[orden]]="","",tblEjecucion[[#This Row],[orden]]&amp;IF(tblEjecucion[[#This Row],[operacion]]="","0010",tblEjecucion[[#This Row],[operacion]]))</f>
        <v/>
      </c>
    </row>
    <row r="142">
      <c r="A142" s="3" t="inlineStr">
        <is>
          <t>OT-000165</t>
        </is>
      </c>
      <c r="B142" s="3" t="inlineStr">
        <is>
          <t>0010</t>
        </is>
      </c>
      <c r="C142" s="3" t="inlineStr">
        <is>
          <t>CERR</t>
        </is>
      </c>
      <c r="D142" s="3" t="inlineStr">
        <is>
          <t>3-BAJA</t>
        </is>
      </c>
      <c r="E142" s="3" t="inlineStr">
        <is>
          <t>OPERATIVO</t>
        </is>
      </c>
      <c r="F142" s="10" t="n">
        <v>64</v>
      </c>
      <c r="G142" s="10" t="n">
        <v>160</v>
      </c>
      <c r="H142" s="10" t="n">
        <v>160</v>
      </c>
      <c r="I142" s="3" t="inlineStr">
        <is>
          <t>CERRADA</t>
        </is>
      </c>
      <c r="J142" s="3">
        <f>IF(tblEjecucion[[#This Row],[orden]]="","",tblEjecucion[[#This Row],[orden]]&amp;IF(tblEjecucion[[#This Row],[operacion]]="","0010",tblEjecucion[[#This Row],[operacion]]))</f>
        <v/>
      </c>
    </row>
    <row r="143">
      <c r="A143" s="3" t="inlineStr">
        <is>
          <t>OT-000166</t>
        </is>
      </c>
      <c r="B143" s="3" t="inlineStr">
        <is>
          <t>0010</t>
        </is>
      </c>
      <c r="C143" s="3" t="inlineStr">
        <is>
          <t>CERR</t>
        </is>
      </c>
      <c r="D143" s="3" t="inlineStr">
        <is>
          <t>1-ALTA</t>
        </is>
      </c>
      <c r="E143" s="3" t="inlineStr">
        <is>
          <t>PARADO</t>
        </is>
      </c>
      <c r="F143" s="10" t="n">
        <v>60</v>
      </c>
      <c r="G143" s="10" t="n">
        <v>150</v>
      </c>
      <c r="H143" s="10" t="n">
        <v>150</v>
      </c>
      <c r="I143" s="3" t="inlineStr">
        <is>
          <t>CERRADA</t>
        </is>
      </c>
      <c r="J143" s="3">
        <f>IF(tblEjecucion[[#This Row],[orden]]="","",tblEjecucion[[#This Row],[orden]]&amp;IF(tblEjecucion[[#This Row],[operacion]]="","0010",tblEjecucion[[#This Row],[operacion]]))</f>
        <v/>
      </c>
    </row>
    <row r="144">
      <c r="A144" s="3" t="inlineStr">
        <is>
          <t>OT-000167</t>
        </is>
      </c>
      <c r="B144" s="3" t="inlineStr">
        <is>
          <t>0010</t>
        </is>
      </c>
      <c r="C144" s="3" t="inlineStr">
        <is>
          <t>CERR</t>
        </is>
      </c>
      <c r="D144" s="3" t="inlineStr">
        <is>
          <t>2-MEDIA</t>
        </is>
      </c>
      <c r="E144" s="3" t="inlineStr">
        <is>
          <t>OPERATIVO</t>
        </is>
      </c>
      <c r="F144" s="10" t="n">
        <v>128</v>
      </c>
      <c r="G144" s="10" t="n">
        <v>320</v>
      </c>
      <c r="H144" s="10" t="n">
        <v>320</v>
      </c>
      <c r="I144" s="3" t="inlineStr">
        <is>
          <t>CERRADA</t>
        </is>
      </c>
      <c r="J144" s="3">
        <f>IF(tblEjecucion[[#This Row],[orden]]="","",tblEjecucion[[#This Row],[orden]]&amp;IF(tblEjecucion[[#This Row],[operacion]]="","0010",tblEjecucion[[#This Row],[operacion]]))</f>
        <v/>
      </c>
    </row>
    <row r="145">
      <c r="A145" s="3" t="inlineStr">
        <is>
          <t>OT-000168</t>
        </is>
      </c>
      <c r="B145" s="3" t="inlineStr">
        <is>
          <t>0010</t>
        </is>
      </c>
      <c r="C145" s="3" t="inlineStr">
        <is>
          <t>CERR</t>
        </is>
      </c>
      <c r="D145" s="3" t="inlineStr">
        <is>
          <t>3-BAJA</t>
        </is>
      </c>
      <c r="E145" s="3" t="inlineStr">
        <is>
          <t>PARADO</t>
        </is>
      </c>
      <c r="F145" s="10" t="n">
        <v>40</v>
      </c>
      <c r="G145" s="10" t="n">
        <v>100</v>
      </c>
      <c r="H145" s="10" t="n">
        <v>100</v>
      </c>
      <c r="I145" s="3" t="inlineStr">
        <is>
          <t>CERRADA</t>
        </is>
      </c>
      <c r="J145" s="3">
        <f>IF(tblEjecucion[[#This Row],[orden]]="","",tblEjecucion[[#This Row],[orden]]&amp;IF(tblEjecucion[[#This Row],[operacion]]="","0010",tblEjecucion[[#This Row],[operacion]]))</f>
        <v/>
      </c>
    </row>
    <row r="146">
      <c r="A146" s="3" t="inlineStr">
        <is>
          <t>OT-000169</t>
        </is>
      </c>
      <c r="B146" s="3" t="inlineStr">
        <is>
          <t>0010</t>
        </is>
      </c>
      <c r="C146" s="3" t="inlineStr">
        <is>
          <t>CERR</t>
        </is>
      </c>
      <c r="D146" s="3" t="inlineStr">
        <is>
          <t>1-ALTA</t>
        </is>
      </c>
      <c r="E146" s="3" t="inlineStr">
        <is>
          <t>OPERATIVO</t>
        </is>
      </c>
      <c r="F146" s="10" t="n">
        <v>340</v>
      </c>
      <c r="G146" s="10" t="n">
        <v>240</v>
      </c>
      <c r="H146" s="10" t="n">
        <v>240</v>
      </c>
      <c r="I146" s="3" t="inlineStr">
        <is>
          <t>CERRADA</t>
        </is>
      </c>
      <c r="J146" s="3">
        <f>IF(tblEjecucion[[#This Row],[orden]]="","",tblEjecucion[[#This Row],[orden]]&amp;IF(tblEjecucion[[#This Row],[operacion]]="","0010",tblEjecucion[[#This Row],[operacion]]))</f>
        <v/>
      </c>
    </row>
    <row r="147">
      <c r="A147" s="3" t="inlineStr">
        <is>
          <t>OT-000170</t>
        </is>
      </c>
      <c r="B147" s="3" t="inlineStr">
        <is>
          <t>0010</t>
        </is>
      </c>
      <c r="C147" s="3" t="inlineStr">
        <is>
          <t>CERR</t>
        </is>
      </c>
      <c r="D147" s="3" t="inlineStr">
        <is>
          <t>2-MEDIA</t>
        </is>
      </c>
      <c r="E147" s="3" t="inlineStr">
        <is>
          <t>PARADO</t>
        </is>
      </c>
      <c r="F147" s="10" t="n">
        <v>80</v>
      </c>
      <c r="G147" s="10" t="n">
        <v>200</v>
      </c>
      <c r="H147" s="10" t="n">
        <v>200</v>
      </c>
      <c r="I147" s="3" t="inlineStr">
        <is>
          <t>CERRADA</t>
        </is>
      </c>
      <c r="J147" s="3">
        <f>IF(tblEjecucion[[#This Row],[orden]]="","",tblEjecucion[[#This Row],[orden]]&amp;IF(tblEjecucion[[#This Row],[operacion]]="","0010",tblEjecucion[[#This Row],[operacion]]))</f>
        <v/>
      </c>
    </row>
    <row r="148">
      <c r="A148" s="3" t="inlineStr">
        <is>
          <t>OT-000171</t>
        </is>
      </c>
      <c r="B148" s="3" t="inlineStr">
        <is>
          <t>0010</t>
        </is>
      </c>
      <c r="C148" s="3" t="inlineStr">
        <is>
          <t>CERR</t>
        </is>
      </c>
      <c r="D148" s="3" t="inlineStr">
        <is>
          <t>3-BAJA</t>
        </is>
      </c>
      <c r="E148" s="3" t="inlineStr">
        <is>
          <t>OPERATIVO</t>
        </is>
      </c>
      <c r="F148" s="10" t="n">
        <v>64</v>
      </c>
      <c r="G148" s="10" t="n">
        <v>160</v>
      </c>
      <c r="H148" s="10" t="n">
        <v>160</v>
      </c>
      <c r="I148" s="3" t="inlineStr">
        <is>
          <t>CERRADA</t>
        </is>
      </c>
      <c r="J148" s="3">
        <f>IF(tblEjecucion[[#This Row],[orden]]="","",tblEjecucion[[#This Row],[orden]]&amp;IF(tblEjecucion[[#This Row],[operacion]]="","0010",tblEjecucion[[#This Row],[operacion]]))</f>
        <v/>
      </c>
    </row>
    <row r="149">
      <c r="A149" s="3" t="inlineStr">
        <is>
          <t>OT-000172</t>
        </is>
      </c>
      <c r="B149" s="3" t="inlineStr">
        <is>
          <t>0010</t>
        </is>
      </c>
      <c r="C149" s="3" t="inlineStr">
        <is>
          <t>CERR</t>
        </is>
      </c>
      <c r="D149" s="3" t="inlineStr">
        <is>
          <t>1-ALTA</t>
        </is>
      </c>
      <c r="E149" s="3" t="inlineStr">
        <is>
          <t>PARADO</t>
        </is>
      </c>
      <c r="F149" s="10" t="n">
        <v>60</v>
      </c>
      <c r="G149" s="10" t="n">
        <v>150</v>
      </c>
      <c r="H149" s="10" t="n">
        <v>150</v>
      </c>
      <c r="I149" s="3" t="inlineStr">
        <is>
          <t>CERRADA</t>
        </is>
      </c>
      <c r="J149" s="3">
        <f>IF(tblEjecucion[[#This Row],[orden]]="","",tblEjecucion[[#This Row],[orden]]&amp;IF(tblEjecucion[[#This Row],[operacion]]="","0010",tblEjecucion[[#This Row],[operacion]]))</f>
        <v/>
      </c>
    </row>
    <row r="150">
      <c r="A150" s="3" t="inlineStr">
        <is>
          <t>OT-000173</t>
        </is>
      </c>
      <c r="B150" s="3" t="inlineStr">
        <is>
          <t>0010</t>
        </is>
      </c>
      <c r="C150" s="3" t="inlineStr">
        <is>
          <t>CERR</t>
        </is>
      </c>
      <c r="D150" s="3" t="inlineStr">
        <is>
          <t>2-MEDIA</t>
        </is>
      </c>
      <c r="E150" s="3" t="inlineStr">
        <is>
          <t>OPERATIVO</t>
        </is>
      </c>
      <c r="F150" s="10" t="n">
        <v>128</v>
      </c>
      <c r="G150" s="10" t="n">
        <v>320</v>
      </c>
      <c r="H150" s="10" t="n">
        <v>320</v>
      </c>
      <c r="I150" s="3" t="inlineStr">
        <is>
          <t>CERRADA</t>
        </is>
      </c>
      <c r="J150" s="3">
        <f>IF(tblEjecucion[[#This Row],[orden]]="","",tblEjecucion[[#This Row],[orden]]&amp;IF(tblEjecucion[[#This Row],[operacion]]="","0010",tblEjecucion[[#This Row],[operacion]]))</f>
        <v/>
      </c>
    </row>
    <row r="151">
      <c r="A151" s="3" t="inlineStr">
        <is>
          <t>OT-000174</t>
        </is>
      </c>
      <c r="B151" s="3" t="inlineStr">
        <is>
          <t>0010</t>
        </is>
      </c>
      <c r="C151" s="3" t="inlineStr">
        <is>
          <t>CERR</t>
        </is>
      </c>
      <c r="D151" s="3" t="inlineStr">
        <is>
          <t>3-BAJA</t>
        </is>
      </c>
      <c r="E151" s="3" t="inlineStr">
        <is>
          <t>PARADO</t>
        </is>
      </c>
      <c r="F151" s="10" t="n">
        <v>40</v>
      </c>
      <c r="G151" s="10" t="n">
        <v>100</v>
      </c>
      <c r="H151" s="10" t="n">
        <v>100</v>
      </c>
      <c r="I151" s="3" t="inlineStr">
        <is>
          <t>CERRADA</t>
        </is>
      </c>
      <c r="J151" s="3">
        <f>IF(tblEjecucion[[#This Row],[orden]]="","",tblEjecucion[[#This Row],[orden]]&amp;IF(tblEjecucion[[#This Row],[operacion]]="","0010",tblEjecucion[[#This Row],[operacion]]))</f>
        <v/>
      </c>
    </row>
    <row r="152">
      <c r="A152" s="3" t="inlineStr">
        <is>
          <t>OT-000175</t>
        </is>
      </c>
      <c r="B152" s="3" t="inlineStr">
        <is>
          <t>0010</t>
        </is>
      </c>
      <c r="C152" s="3" t="inlineStr">
        <is>
          <t>CERR</t>
        </is>
      </c>
      <c r="D152" s="3" t="inlineStr">
        <is>
          <t>1-ALTA</t>
        </is>
      </c>
      <c r="E152" s="3" t="inlineStr">
        <is>
          <t>OPERATIVO</t>
        </is>
      </c>
      <c r="F152" s="10" t="n">
        <v>96</v>
      </c>
      <c r="G152" s="10" t="n">
        <v>240</v>
      </c>
      <c r="H152" s="10" t="n">
        <v>240</v>
      </c>
      <c r="I152" s="3" t="inlineStr">
        <is>
          <t>CERRADA</t>
        </is>
      </c>
      <c r="J152" s="3">
        <f>IF(tblEjecucion[[#This Row],[orden]]="","",tblEjecucion[[#This Row],[orden]]&amp;IF(tblEjecucion[[#This Row],[operacion]]="","0010",tblEjecucion[[#This Row],[operacion]]))</f>
        <v/>
      </c>
    </row>
    <row r="153">
      <c r="A153" s="3" t="inlineStr">
        <is>
          <t>OT-000176</t>
        </is>
      </c>
      <c r="B153" s="3" t="inlineStr">
        <is>
          <t>0010</t>
        </is>
      </c>
      <c r="C153" s="3" t="inlineStr">
        <is>
          <t>CERR</t>
        </is>
      </c>
      <c r="D153" s="3" t="inlineStr">
        <is>
          <t>2-MEDIA</t>
        </is>
      </c>
      <c r="E153" s="3" t="inlineStr">
        <is>
          <t>PARADO</t>
        </is>
      </c>
      <c r="F153" s="10" t="n">
        <v>80</v>
      </c>
      <c r="G153" s="10" t="n">
        <v>200</v>
      </c>
      <c r="H153" s="10" t="n">
        <v>200</v>
      </c>
      <c r="I153" s="3" t="inlineStr">
        <is>
          <t>CERRADA</t>
        </is>
      </c>
      <c r="J153" s="3">
        <f>IF(tblEjecucion[[#This Row],[orden]]="","",tblEjecucion[[#This Row],[orden]]&amp;IF(tblEjecucion[[#This Row],[operacion]]="","0010",tblEjecucion[[#This Row],[operacion]]))</f>
        <v/>
      </c>
    </row>
    <row r="154">
      <c r="A154" s="3" t="inlineStr">
        <is>
          <t>OT-000900</t>
        </is>
      </c>
      <c r="B154" s="3" t="inlineStr">
        <is>
          <t>0010</t>
        </is>
      </c>
      <c r="C154" s="3" t="inlineStr">
        <is>
          <t>EJEC</t>
        </is>
      </c>
      <c r="D154" s="3" t="inlineStr">
        <is>
          <t>2-MEDIA</t>
        </is>
      </c>
      <c r="E154" s="3" t="inlineStr">
        <is>
          <t>OPERATIVO</t>
        </is>
      </c>
      <c r="F154" s="10" t="n">
        <v>96</v>
      </c>
      <c r="G154" s="10" t="n">
        <v>0</v>
      </c>
      <c r="H154" s="10" t="n">
        <v>240</v>
      </c>
      <c r="I154" s="3" t="inlineStr">
        <is>
          <t>EN EJECUCION</t>
        </is>
      </c>
      <c r="J154" s="3">
        <f>IF(tblEjecucion[[#This Row],[orden]]="","",tblEjecucion[[#This Row],[orden]]&amp;IF(tblEjecucion[[#This Row],[operacion]]="","0010",tblEjecucion[[#This Row],[operacion]]))</f>
        <v/>
      </c>
    </row>
    <row r="155">
      <c r="A155" s="3" t="inlineStr">
        <is>
          <t>OT-000903</t>
        </is>
      </c>
      <c r="B155" s="3" t="inlineStr">
        <is>
          <t>0010</t>
        </is>
      </c>
      <c r="C155" s="3" t="inlineStr">
        <is>
          <t>EJEC</t>
        </is>
      </c>
      <c r="D155" s="3" t="inlineStr">
        <is>
          <t>3-BAJA</t>
        </is>
      </c>
      <c r="E155" s="3" t="inlineStr">
        <is>
          <t>OPERATIVO</t>
        </is>
      </c>
      <c r="F155" s="10" t="n">
        <v>0</v>
      </c>
      <c r="G155" s="10" t="n">
        <v>0</v>
      </c>
      <c r="H155" s="10" t="n">
        <v>0</v>
      </c>
      <c r="I155" s="3" t="inlineStr">
        <is>
          <t>EN EJECUCION</t>
        </is>
      </c>
      <c r="J155" s="3">
        <f>IF(tblEjecucion[[#This Row],[orden]]="","",tblEjecucion[[#This Row],[orden]]&amp;IF(tblEjecucion[[#This Row],[operacion]]="","0010",tblEjecucion[[#This Row],[operacion]]))</f>
        <v/>
      </c>
    </row>
    <row r="156">
      <c r="A156" s="3" t="inlineStr">
        <is>
          <t>OT-000904</t>
        </is>
      </c>
      <c r="B156" s="3" t="inlineStr">
        <is>
          <t>0010</t>
        </is>
      </c>
      <c r="C156" s="3" t="inlineStr">
        <is>
          <t>EJEC</t>
        </is>
      </c>
      <c r="D156" s="3" t="inlineStr">
        <is>
          <t>1-ALTA</t>
        </is>
      </c>
      <c r="E156" s="3" t="inlineStr">
        <is>
          <t>PARADO</t>
        </is>
      </c>
      <c r="F156" s="10" t="n">
        <v>0</v>
      </c>
      <c r="G156" s="10" t="n">
        <v>0</v>
      </c>
      <c r="H156" s="10" t="n">
        <v>0</v>
      </c>
      <c r="I156" s="3" t="inlineStr">
        <is>
          <t>EN EJECUCION</t>
        </is>
      </c>
      <c r="J156" s="3">
        <f>IF(tblEjecucion[[#This Row],[orden]]="","",tblEjecucion[[#This Row],[orden]]&amp;IF(tblEjecucion[[#This Row],[operacion]]="","0010",tblEjecucion[[#This Row],[operacion]]))</f>
        <v/>
      </c>
    </row>
    <row r="157">
      <c r="A157" s="3" t="inlineStr">
        <is>
          <t>OT-000905</t>
        </is>
      </c>
      <c r="B157" s="3" t="inlineStr">
        <is>
          <t>0010</t>
        </is>
      </c>
      <c r="C157" s="3" t="inlineStr">
        <is>
          <t>EJEC</t>
        </is>
      </c>
      <c r="D157" s="3" t="inlineStr">
        <is>
          <t>2-MEDIA</t>
        </is>
      </c>
      <c r="E157" s="3" t="inlineStr">
        <is>
          <t>OPERATIVO</t>
        </is>
      </c>
      <c r="F157" s="10" t="n">
        <v>64</v>
      </c>
      <c r="G157" s="10" t="n">
        <v>0</v>
      </c>
      <c r="H157" s="10" t="n">
        <v>160</v>
      </c>
      <c r="I157" s="3" t="inlineStr">
        <is>
          <t>EN EJECUCION</t>
        </is>
      </c>
      <c r="J157" s="3">
        <f>IF(tblEjecucion[[#This Row],[orden]]="","",tblEjecucion[[#This Row],[orden]]&amp;IF(tblEjecucion[[#This Row],[operacion]]="","0010",tblEjecucion[[#This Row],[operacion]]))</f>
        <v/>
      </c>
    </row>
    <row r="158">
      <c r="A158" s="3" t="inlineStr">
        <is>
          <t>OT-000906</t>
        </is>
      </c>
      <c r="B158" s="3" t="inlineStr">
        <is>
          <t>0010</t>
        </is>
      </c>
      <c r="C158" s="3" t="inlineStr">
        <is>
          <t>EJEC</t>
        </is>
      </c>
      <c r="D158" s="3" t="inlineStr">
        <is>
          <t>3-BAJA</t>
        </is>
      </c>
      <c r="E158" s="3" t="inlineStr">
        <is>
          <t>PARADO</t>
        </is>
      </c>
      <c r="F158" s="10" t="n">
        <v>64</v>
      </c>
      <c r="G158" s="10" t="n">
        <v>0</v>
      </c>
      <c r="H158" s="10" t="n">
        <v>160</v>
      </c>
      <c r="I158" s="3" t="inlineStr">
        <is>
          <t>EN EJECUCION</t>
        </is>
      </c>
      <c r="J158" s="3">
        <f>IF(tblEjecucion[[#This Row],[orden]]="","",tblEjecucion[[#This Row],[orden]]&amp;IF(tblEjecucion[[#This Row],[operacion]]="","0010",tblEjecucion[[#This Row],[operacion]]))</f>
        <v/>
      </c>
    </row>
    <row r="159">
      <c r="A159" s="3" t="inlineStr">
        <is>
          <t>OT-000907</t>
        </is>
      </c>
      <c r="B159" s="3" t="inlineStr">
        <is>
          <t>0010</t>
        </is>
      </c>
      <c r="C159" s="3" t="inlineStr">
        <is>
          <t>EJEC</t>
        </is>
      </c>
      <c r="D159" s="3" t="inlineStr">
        <is>
          <t>1-ALTA</t>
        </is>
      </c>
      <c r="E159" s="3" t="inlineStr">
        <is>
          <t>OPERATIVO</t>
        </is>
      </c>
      <c r="F159" s="10" t="n">
        <v>64</v>
      </c>
      <c r="G159" s="10" t="n">
        <v>0</v>
      </c>
      <c r="H159" s="10" t="n">
        <v>160</v>
      </c>
      <c r="I159" s="3" t="inlineStr">
        <is>
          <t>EN EJECUCION</t>
        </is>
      </c>
      <c r="J159" s="3">
        <f>IF(tblEjecucion[[#This Row],[orden]]="","",tblEjecucion[[#This Row],[orden]]&amp;IF(tblEjecucion[[#This Row],[operacion]]="","0010",tblEjecucion[[#This Row],[operacion]]))</f>
        <v/>
      </c>
    </row>
    <row r="160">
      <c r="A160" s="3" t="inlineStr">
        <is>
          <t>OT-000908</t>
        </is>
      </c>
      <c r="B160" s="3" t="inlineStr">
        <is>
          <t>0010</t>
        </is>
      </c>
      <c r="C160" s="3" t="inlineStr">
        <is>
          <t>EJEC</t>
        </is>
      </c>
      <c r="D160" s="3" t="inlineStr">
        <is>
          <t>2-MEDIA</t>
        </is>
      </c>
      <c r="E160" s="3" t="inlineStr">
        <is>
          <t>PARADO</t>
        </is>
      </c>
      <c r="F160" s="10" t="n">
        <v>64</v>
      </c>
      <c r="G160" s="10" t="n">
        <v>0</v>
      </c>
      <c r="H160" s="10" t="n">
        <v>160</v>
      </c>
      <c r="I160" s="3" t="inlineStr">
        <is>
          <t>EN EJECUCION</t>
        </is>
      </c>
      <c r="J160" s="3">
        <f>IF(tblEjecucion[[#This Row],[orden]]="","",tblEjecucion[[#This Row],[orden]]&amp;IF(tblEjecucion[[#This Row],[operacion]]="","0010",tblEjecucion[[#This Row],[operacion]]))</f>
        <v/>
      </c>
    </row>
    <row r="161">
      <c r="A161" s="3" t="inlineStr">
        <is>
          <t>OT-000909</t>
        </is>
      </c>
      <c r="B161" s="3" t="inlineStr">
        <is>
          <t>0010</t>
        </is>
      </c>
      <c r="C161" s="3" t="inlineStr">
        <is>
          <t>EJEC</t>
        </is>
      </c>
      <c r="D161" s="3" t="inlineStr">
        <is>
          <t>3-BAJA</t>
        </is>
      </c>
      <c r="E161" s="3" t="inlineStr">
        <is>
          <t>OPERATIVO</t>
        </is>
      </c>
      <c r="F161" s="10" t="n">
        <v>64</v>
      </c>
      <c r="G161" s="10" t="n">
        <v>0</v>
      </c>
      <c r="H161" s="10" t="n">
        <v>160</v>
      </c>
      <c r="I161" s="3" t="inlineStr">
        <is>
          <t>EN EJECUCION</t>
        </is>
      </c>
      <c r="J161" s="3">
        <f>IF(tblEjecucion[[#This Row],[orden]]="","",tblEjecucion[[#This Row],[orden]]&amp;IF(tblEjecucion[[#This Row],[operacion]]="","0010",tblEjecucion[[#This Row],[operacion]]))</f>
        <v/>
      </c>
    </row>
    <row r="162">
      <c r="A162" s="3" t="inlineStr">
        <is>
          <t>OT-000196</t>
        </is>
      </c>
      <c r="B162" s="3" t="inlineStr">
        <is>
          <t>0010</t>
        </is>
      </c>
      <c r="C162" s="3" t="inlineStr">
        <is>
          <t>ABIE</t>
        </is>
      </c>
      <c r="D162" s="3" t="inlineStr">
        <is>
          <t>1-ALTA</t>
        </is>
      </c>
      <c r="E162" s="3" t="inlineStr">
        <is>
          <t>PARADO</t>
        </is>
      </c>
      <c r="F162" s="10" t="n">
        <v>32</v>
      </c>
      <c r="G162" s="10" t="n">
        <v>0</v>
      </c>
      <c r="H162" s="10" t="n">
        <v>80</v>
      </c>
      <c r="I162" s="3" t="inlineStr">
        <is>
          <t>ABIERTA</t>
        </is>
      </c>
      <c r="J162" s="3">
        <f>IF(tblEjecucion[[#This Row],[orden]]="","",tblEjecucion[[#This Row],[orden]]&amp;IF(tblEjecucion[[#This Row],[operacion]]="","0010",tblEjecucion[[#This Row],[operacion]]))</f>
        <v/>
      </c>
    </row>
    <row r="163">
      <c r="A163" s="3" t="inlineStr">
        <is>
          <t>OT-000197</t>
        </is>
      </c>
      <c r="B163" s="3" t="inlineStr">
        <is>
          <t>0010</t>
        </is>
      </c>
      <c r="C163" s="3" t="inlineStr">
        <is>
          <t>EJEC</t>
        </is>
      </c>
      <c r="D163" s="3" t="inlineStr">
        <is>
          <t>2-MEDIA</t>
        </is>
      </c>
      <c r="E163" s="3" t="inlineStr">
        <is>
          <t>OPERATIVO</t>
        </is>
      </c>
      <c r="F163" s="10" t="n">
        <v>32</v>
      </c>
      <c r="G163" s="10" t="n">
        <v>0</v>
      </c>
      <c r="H163" s="10" t="n">
        <v>80</v>
      </c>
      <c r="I163" s="3" t="inlineStr">
        <is>
          <t>EN EJECUCION</t>
        </is>
      </c>
      <c r="J163" s="3">
        <f>IF(tblEjecucion[[#This Row],[orden]]="","",tblEjecucion[[#This Row],[orden]]&amp;IF(tblEjecucion[[#This Row],[operacion]]="","0010",tblEjecucion[[#This Row],[operacion]]))</f>
        <v/>
      </c>
    </row>
    <row r="164">
      <c r="A164" s="3" t="inlineStr">
        <is>
          <t>OT-000198</t>
        </is>
      </c>
      <c r="B164" s="3" t="inlineStr">
        <is>
          <t>0010</t>
        </is>
      </c>
      <c r="C164" s="3" t="inlineStr">
        <is>
          <t>ABIE</t>
        </is>
      </c>
      <c r="D164" s="3" t="inlineStr">
        <is>
          <t>3-BAJA</t>
        </is>
      </c>
      <c r="E164" s="3" t="inlineStr">
        <is>
          <t>PARADO</t>
        </is>
      </c>
      <c r="F164" s="10" t="n">
        <v>32</v>
      </c>
      <c r="G164" s="10" t="n">
        <v>0</v>
      </c>
      <c r="H164" s="10" t="n">
        <v>80</v>
      </c>
      <c r="I164" s="3" t="inlineStr">
        <is>
          <t>ABIERTA</t>
        </is>
      </c>
      <c r="J164" s="3">
        <f>IF(tblEjecucion[[#This Row],[orden]]="","",tblEjecucion[[#This Row],[orden]]&amp;IF(tblEjecucion[[#This Row],[operacion]]="","0010",tblEjecucion[[#This Row],[operacion]]))</f>
        <v/>
      </c>
    </row>
    <row r="165">
      <c r="A165" s="3" t="inlineStr">
        <is>
          <t>OT-000199</t>
        </is>
      </c>
      <c r="B165" s="3" t="inlineStr">
        <is>
          <t>0010</t>
        </is>
      </c>
      <c r="C165" s="3" t="inlineStr">
        <is>
          <t>EJEC</t>
        </is>
      </c>
      <c r="D165" s="3" t="inlineStr">
        <is>
          <t>1-ALTA</t>
        </is>
      </c>
      <c r="E165" s="3" t="inlineStr">
        <is>
          <t>OPERATIVO</t>
        </is>
      </c>
      <c r="F165" s="10" t="n">
        <v>32</v>
      </c>
      <c r="G165" s="10" t="n">
        <v>0</v>
      </c>
      <c r="H165" s="10" t="n">
        <v>80</v>
      </c>
      <c r="I165" s="3" t="inlineStr">
        <is>
          <t>EN EJECUCION</t>
        </is>
      </c>
      <c r="J165" s="3">
        <f>IF(tblEjecucion[[#This Row],[orden]]="","",tblEjecucion[[#This Row],[orden]]&amp;IF(tblEjecucion[[#This Row],[operacion]]="","0010",tblEjecucion[[#This Row],[operacion]]))</f>
        <v/>
      </c>
    </row>
    <row r="166">
      <c r="A166" s="3" t="inlineStr">
        <is>
          <t>OT-000200</t>
        </is>
      </c>
      <c r="B166" s="3" t="inlineStr">
        <is>
          <t>0010</t>
        </is>
      </c>
      <c r="C166" s="3" t="inlineStr">
        <is>
          <t>ABIE</t>
        </is>
      </c>
      <c r="D166" s="3" t="inlineStr">
        <is>
          <t>2-MEDIA</t>
        </is>
      </c>
      <c r="E166" s="3" t="inlineStr">
        <is>
          <t>PARADO</t>
        </is>
      </c>
      <c r="F166" s="10" t="n">
        <v>32</v>
      </c>
      <c r="G166" s="10" t="n">
        <v>0</v>
      </c>
      <c r="H166" s="10" t="n">
        <v>80</v>
      </c>
      <c r="I166" s="3" t="inlineStr">
        <is>
          <t>ABIERTA</t>
        </is>
      </c>
      <c r="J166" s="3">
        <f>IF(tblEjecucion[[#This Row],[orden]]="","",tblEjecucion[[#This Row],[orden]]&amp;IF(tblEjecucion[[#This Row],[operacion]]="","0010",tblEjecucion[[#This Row],[operacion]]))</f>
        <v/>
      </c>
    </row>
    <row r="167">
      <c r="A167" s="3" t="inlineStr">
        <is>
          <t>OT-000990</t>
        </is>
      </c>
      <c r="B167" s="3" t="inlineStr">
        <is>
          <t>0010</t>
        </is>
      </c>
      <c r="C167" s="3" t="inlineStr">
        <is>
          <t>LIB</t>
        </is>
      </c>
      <c r="D167" s="3" t="inlineStr">
        <is>
          <t>2-MEDIA</t>
        </is>
      </c>
      <c r="E167" s="3" t="inlineStr">
        <is>
          <t>OPERATIVO</t>
        </is>
      </c>
      <c r="F167" s="10" t="n">
        <v>50</v>
      </c>
      <c r="G167" s="10" t="n">
        <v>0</v>
      </c>
      <c r="H167" s="10" t="n">
        <v>150</v>
      </c>
      <c r="I167" s="3" t="inlineStr">
        <is>
          <t>LIBERADA</t>
        </is>
      </c>
      <c r="J167" s="3">
        <f>IF(tblEjecucion[[#This Row],[orden]]="","",tblEjecucion[[#This Row],[orden]]&amp;IF(tblEjecucion[[#This Row],[operacion]]="","0010",tblEjecucion[[#This Row],[operacion]]))</f>
        <v/>
      </c>
    </row>
    <row r="168">
      <c r="A168" s="3" t="inlineStr">
        <is>
          <t>OT-000991</t>
        </is>
      </c>
      <c r="B168" s="3" t="inlineStr">
        <is>
          <t>0010</t>
        </is>
      </c>
      <c r="C168" s="3" t="inlineStr">
        <is>
          <t>LIB</t>
        </is>
      </c>
      <c r="D168" s="3" t="inlineStr">
        <is>
          <t>2-MEDIA</t>
        </is>
      </c>
      <c r="E168" s="3" t="inlineStr">
        <is>
          <t>OPERATIVO</t>
        </is>
      </c>
      <c r="F168" s="10" t="n">
        <v>50</v>
      </c>
      <c r="G168" s="10" t="n">
        <v>0</v>
      </c>
      <c r="H168" s="10" t="n">
        <v>150</v>
      </c>
      <c r="I168" s="3" t="inlineStr">
        <is>
          <t>LIBERADA</t>
        </is>
      </c>
      <c r="J168" s="3">
        <f>IF(tblEjecucion[[#This Row],[orden]]="","",tblEjecucion[[#This Row],[orden]]&amp;IF(tblEjecucion[[#This Row],[operacion]]="","0010",tblEjecucion[[#This Row],[operacion]]))</f>
        <v/>
      </c>
    </row>
    <row r="169">
      <c r="A169" s="3" t="inlineStr">
        <is>
          <t>OT-000992</t>
        </is>
      </c>
      <c r="B169" s="3" t="inlineStr">
        <is>
          <t>0010</t>
        </is>
      </c>
      <c r="C169" s="3" t="inlineStr">
        <is>
          <t>LIB</t>
        </is>
      </c>
      <c r="D169" s="3" t="inlineStr">
        <is>
          <t>2-MEDIA</t>
        </is>
      </c>
      <c r="E169" s="3" t="inlineStr">
        <is>
          <t>OPERATIVO</t>
        </is>
      </c>
      <c r="F169" s="10" t="n">
        <v>50</v>
      </c>
      <c r="G169" s="10" t="n">
        <v>0</v>
      </c>
      <c r="H169" s="10" t="n">
        <v>150</v>
      </c>
      <c r="I169" s="3" t="inlineStr">
        <is>
          <t>LIBERADA</t>
        </is>
      </c>
      <c r="J169" s="3">
        <f>IF(tblEjecucion[[#This Row],[orden]]="","",tblEjecucion[[#This Row],[orden]]&amp;IF(tblEjecucion[[#This Row],[operacion]]="","0010",tblEjecucion[[#This Row],[operacion]]))</f>
        <v/>
      </c>
    </row>
    <row r="170">
      <c r="A170" s="3" t="n"/>
      <c r="B170" s="3" t="n"/>
      <c r="C170" s="3" t="n"/>
      <c r="D170" s="3" t="n"/>
      <c r="E170" s="3" t="n"/>
      <c r="F170" s="10" t="n"/>
      <c r="G170" s="10" t="n"/>
      <c r="H170" s="10" t="n"/>
      <c r="I170" s="3" t="n"/>
      <c r="J170" s="3">
        <f>IF(tblEjecucion[[#This Row],[orden]]="","",tblEjecucion[[#This Row],[orden]]&amp;IF(tblEjecucion[[#This Row],[operacion]]="","0010",tblEjecucion[[#This Row],[operacion]]))</f>
        <v/>
      </c>
    </row>
    <row r="171">
      <c r="A171" s="3" t="n"/>
      <c r="B171" s="3" t="n"/>
      <c r="C171" s="3" t="n"/>
      <c r="D171" s="3" t="n"/>
      <c r="E171" s="3" t="n"/>
      <c r="F171" s="10" t="n"/>
      <c r="G171" s="10" t="n"/>
      <c r="H171" s="10" t="n"/>
      <c r="I171" s="3" t="n"/>
      <c r="J171" s="3">
        <f>IF(tblEjecucion[[#This Row],[orden]]="","",tblEjecucion[[#This Row],[orden]]&amp;IF(tblEjecucion[[#This Row],[operacion]]="","0010",tblEjecucion[[#This Row],[operacion]]))</f>
        <v/>
      </c>
    </row>
    <row r="172">
      <c r="A172" s="3" t="n"/>
      <c r="B172" s="3" t="n"/>
      <c r="C172" s="3" t="n"/>
      <c r="D172" s="3" t="n"/>
      <c r="E172" s="3" t="n"/>
      <c r="F172" s="10" t="n"/>
      <c r="G172" s="10" t="n"/>
      <c r="H172" s="10" t="n"/>
      <c r="I172" s="3" t="n"/>
      <c r="J172" s="3">
        <f>IF(tblEjecucion[[#This Row],[orden]]="","",tblEjecucion[[#This Row],[orden]]&amp;IF(tblEjecucion[[#This Row],[operacion]]="","0010",tblEjecucion[[#This Row],[operacion]]))</f>
        <v/>
      </c>
    </row>
    <row r="173">
      <c r="A173" s="3" t="n"/>
      <c r="B173" s="3" t="n"/>
      <c r="C173" s="3" t="n"/>
      <c r="D173" s="3" t="n"/>
      <c r="E173" s="3" t="n"/>
      <c r="F173" s="10" t="n"/>
      <c r="G173" s="10" t="n"/>
      <c r="H173" s="10" t="n"/>
      <c r="I173" s="3" t="n"/>
      <c r="J173" s="3">
        <f>IF(tblEjecucion[[#This Row],[orden]]="","",tblEjecucion[[#This Row],[orden]]&amp;IF(tblEjecucion[[#This Row],[operacion]]="","0010",tblEjecucion[[#This Row],[operacion]]))</f>
        <v/>
      </c>
    </row>
    <row r="174">
      <c r="A174" s="3" t="n"/>
      <c r="B174" s="3" t="n"/>
      <c r="C174" s="3" t="n"/>
      <c r="D174" s="3" t="n"/>
      <c r="E174" s="3" t="n"/>
      <c r="F174" s="10" t="n"/>
      <c r="G174" s="10" t="n"/>
      <c r="H174" s="10" t="n"/>
      <c r="I174" s="3" t="n"/>
      <c r="J174" s="3">
        <f>IF(tblEjecucion[[#This Row],[orden]]="","",tblEjecucion[[#This Row],[orden]]&amp;IF(tblEjecucion[[#This Row],[operacion]]="","0010",tblEjecucion[[#This Row],[operacion]]))</f>
        <v/>
      </c>
    </row>
    <row r="175">
      <c r="A175" s="3" t="n"/>
      <c r="B175" s="3" t="n"/>
      <c r="C175" s="3" t="n"/>
      <c r="D175" s="3" t="n"/>
      <c r="E175" s="3" t="n"/>
      <c r="F175" s="10" t="n"/>
      <c r="G175" s="10" t="n"/>
      <c r="H175" s="10" t="n"/>
      <c r="I175" s="3" t="n"/>
      <c r="J175" s="3">
        <f>IF(tblEjecucion[[#This Row],[orden]]="","",tblEjecucion[[#This Row],[orden]]&amp;IF(tblEjecucion[[#This Row],[operacion]]="","0010",tblEjecucion[[#This Row],[operacion]]))</f>
        <v/>
      </c>
    </row>
    <row r="176">
      <c r="A176" s="3" t="n"/>
      <c r="B176" s="3" t="n"/>
      <c r="C176" s="3" t="n"/>
      <c r="D176" s="3" t="n"/>
      <c r="E176" s="3" t="n"/>
      <c r="F176" s="10" t="n"/>
      <c r="G176" s="10" t="n"/>
      <c r="H176" s="10" t="n"/>
      <c r="I176" s="3" t="n"/>
      <c r="J176" s="3">
        <f>IF(tblEjecucion[[#This Row],[orden]]="","",tblEjecucion[[#This Row],[orden]]&amp;IF(tblEjecucion[[#This Row],[operacion]]="","0010",tblEjecucion[[#This Row],[operacion]]))</f>
        <v/>
      </c>
    </row>
    <row r="177">
      <c r="A177" s="3" t="n"/>
      <c r="B177" s="3" t="n"/>
      <c r="C177" s="3" t="n"/>
      <c r="D177" s="3" t="n"/>
      <c r="E177" s="3" t="n"/>
      <c r="F177" s="10" t="n"/>
      <c r="G177" s="10" t="n"/>
      <c r="H177" s="10" t="n"/>
      <c r="I177" s="3" t="n"/>
      <c r="J177" s="3">
        <f>IF(tblEjecucion[[#This Row],[orden]]="","",tblEjecucion[[#This Row],[orden]]&amp;IF(tblEjecucion[[#This Row],[operacion]]="","0010",tblEjecucion[[#This Row],[operacion]]))</f>
        <v/>
      </c>
    </row>
    <row r="178">
      <c r="A178" s="3" t="n"/>
      <c r="B178" s="3" t="n"/>
      <c r="C178" s="3" t="n"/>
      <c r="D178" s="3" t="n"/>
      <c r="E178" s="3" t="n"/>
      <c r="F178" s="10" t="n"/>
      <c r="G178" s="10" t="n"/>
      <c r="H178" s="10" t="n"/>
      <c r="I178" s="3" t="n"/>
      <c r="J178" s="3">
        <f>IF(tblEjecucion[[#This Row],[orden]]="","",tblEjecucion[[#This Row],[orden]]&amp;IF(tblEjecucion[[#This Row],[operacion]]="","0010",tblEjecucion[[#This Row],[operacion]]))</f>
        <v/>
      </c>
    </row>
    <row r="179">
      <c r="A179" s="3" t="n"/>
      <c r="B179" s="3" t="n"/>
      <c r="C179" s="3" t="n"/>
      <c r="D179" s="3" t="n"/>
      <c r="E179" s="3" t="n"/>
      <c r="F179" s="10" t="n"/>
      <c r="G179" s="10" t="n"/>
      <c r="H179" s="10" t="n"/>
      <c r="I179" s="3" t="n"/>
      <c r="J179" s="3">
        <f>IF(tblEjecucion[[#This Row],[orden]]="","",tblEjecucion[[#This Row],[orden]]&amp;IF(tblEjecucion[[#This Row],[operacion]]="","0010",tblEjecucion[[#This Row],[operacion]]))</f>
        <v/>
      </c>
    </row>
    <row r="180">
      <c r="A180" s="3" t="n"/>
      <c r="B180" s="3" t="n"/>
      <c r="C180" s="3" t="n"/>
      <c r="D180" s="3" t="n"/>
      <c r="E180" s="3" t="n"/>
      <c r="F180" s="10" t="n"/>
      <c r="G180" s="10" t="n"/>
      <c r="H180" s="10" t="n"/>
      <c r="I180" s="3" t="n"/>
      <c r="J180" s="3">
        <f>IF(tblEjecucion[[#This Row],[orden]]="","",tblEjecucion[[#This Row],[orden]]&amp;IF(tblEjecucion[[#This Row],[operacion]]="","0010",tblEjecucion[[#This Row],[operacion]]))</f>
        <v/>
      </c>
    </row>
    <row r="181">
      <c r="A181" s="3" t="n"/>
      <c r="B181" s="3" t="n"/>
      <c r="C181" s="3" t="n"/>
      <c r="D181" s="3" t="n"/>
      <c r="E181" s="3" t="n"/>
      <c r="F181" s="10" t="n"/>
      <c r="G181" s="10" t="n"/>
      <c r="H181" s="10" t="n"/>
      <c r="I181" s="3" t="n"/>
      <c r="J181" s="3">
        <f>IF(tblEjecucion[[#This Row],[orden]]="","",tblEjecucion[[#This Row],[orden]]&amp;IF(tblEjecucion[[#This Row],[operacion]]="","0010",tblEjecucion[[#This Row],[operacion]]))</f>
        <v/>
      </c>
    </row>
    <row r="182">
      <c r="A182" s="3" t="n"/>
      <c r="B182" s="3" t="n"/>
      <c r="C182" s="3" t="n"/>
      <c r="D182" s="3" t="n"/>
      <c r="E182" s="3" t="n"/>
      <c r="F182" s="10" t="n"/>
      <c r="G182" s="10" t="n"/>
      <c r="H182" s="10" t="n"/>
      <c r="I182" s="3" t="n"/>
      <c r="J182" s="3">
        <f>IF(tblEjecucion[[#This Row],[orden]]="","",tblEjecucion[[#This Row],[orden]]&amp;IF(tblEjecucion[[#This Row],[operacion]]="","0010",tblEjecucion[[#This Row],[operacion]]))</f>
        <v/>
      </c>
    </row>
    <row r="183">
      <c r="A183" s="3" t="n"/>
      <c r="B183" s="3" t="n"/>
      <c r="C183" s="3" t="n"/>
      <c r="D183" s="3" t="n"/>
      <c r="E183" s="3" t="n"/>
      <c r="F183" s="10" t="n"/>
      <c r="G183" s="10" t="n"/>
      <c r="H183" s="10" t="n"/>
      <c r="I183" s="3" t="n"/>
      <c r="J183" s="3">
        <f>IF(tblEjecucion[[#This Row],[orden]]="","",tblEjecucion[[#This Row],[orden]]&amp;IF(tblEjecucion[[#This Row],[operacion]]="","0010",tblEjecucion[[#This Row],[operacion]]))</f>
        <v/>
      </c>
    </row>
    <row r="184">
      <c r="A184" s="3" t="n"/>
      <c r="B184" s="3" t="n"/>
      <c r="C184" s="3" t="n"/>
      <c r="D184" s="3" t="n"/>
      <c r="E184" s="3" t="n"/>
      <c r="F184" s="10" t="n"/>
      <c r="G184" s="10" t="n"/>
      <c r="H184" s="10" t="n"/>
      <c r="I184" s="3" t="n"/>
      <c r="J184" s="3">
        <f>IF(tblEjecucion[[#This Row],[orden]]="","",tblEjecucion[[#This Row],[orden]]&amp;IF(tblEjecucion[[#This Row],[operacion]]="","0010",tblEjecucion[[#This Row],[operacion]]))</f>
        <v/>
      </c>
    </row>
    <row r="185">
      <c r="A185" s="3" t="n"/>
      <c r="B185" s="3" t="n"/>
      <c r="C185" s="3" t="n"/>
      <c r="D185" s="3" t="n"/>
      <c r="E185" s="3" t="n"/>
      <c r="F185" s="10" t="n"/>
      <c r="G185" s="10" t="n"/>
      <c r="H185" s="10" t="n"/>
      <c r="I185" s="3" t="n"/>
      <c r="J185" s="3">
        <f>IF(tblEjecucion[[#This Row],[orden]]="","",tblEjecucion[[#This Row],[orden]]&amp;IF(tblEjecucion[[#This Row],[operacion]]="","0010",tblEjecucion[[#This Row],[operacion]]))</f>
        <v/>
      </c>
    </row>
    <row r="186">
      <c r="A186" s="3" t="n"/>
      <c r="B186" s="3" t="n"/>
      <c r="C186" s="3" t="n"/>
      <c r="D186" s="3" t="n"/>
      <c r="E186" s="3" t="n"/>
      <c r="F186" s="10" t="n"/>
      <c r="G186" s="10" t="n"/>
      <c r="H186" s="10" t="n"/>
      <c r="I186" s="3" t="n"/>
      <c r="J186" s="3">
        <f>IF(tblEjecucion[[#This Row],[orden]]="","",tblEjecucion[[#This Row],[orden]]&amp;IF(tblEjecucion[[#This Row],[operacion]]="","0010",tblEjecucion[[#This Row],[operacion]]))</f>
        <v/>
      </c>
    </row>
    <row r="187">
      <c r="A187" s="3" t="n"/>
      <c r="B187" s="3" t="n"/>
      <c r="C187" s="3" t="n"/>
      <c r="D187" s="3" t="n"/>
      <c r="E187" s="3" t="n"/>
      <c r="F187" s="10" t="n"/>
      <c r="G187" s="10" t="n"/>
      <c r="H187" s="10" t="n"/>
      <c r="I187" s="3" t="n"/>
      <c r="J187" s="3">
        <f>IF(tblEjecucion[[#This Row],[orden]]="","",tblEjecucion[[#This Row],[orden]]&amp;IF(tblEjecucion[[#This Row],[operacion]]="","0010",tblEjecucion[[#This Row],[operacion]]))</f>
        <v/>
      </c>
    </row>
    <row r="188">
      <c r="A188" s="3" t="n"/>
      <c r="B188" s="3" t="n"/>
      <c r="C188" s="3" t="n"/>
      <c r="D188" s="3" t="n"/>
      <c r="E188" s="3" t="n"/>
      <c r="F188" s="10" t="n"/>
      <c r="G188" s="10" t="n"/>
      <c r="H188" s="10" t="n"/>
      <c r="I188" s="3" t="n"/>
      <c r="J188" s="3">
        <f>IF(tblEjecucion[[#This Row],[orden]]="","",tblEjecucion[[#This Row],[orden]]&amp;IF(tblEjecucion[[#This Row],[operacion]]="","0010",tblEjecucion[[#This Row],[operacion]]))</f>
        <v/>
      </c>
    </row>
    <row r="189">
      <c r="A189" s="3" t="n"/>
      <c r="B189" s="3" t="n"/>
      <c r="C189" s="3" t="n"/>
      <c r="D189" s="3" t="n"/>
      <c r="E189" s="3" t="n"/>
      <c r="F189" s="10" t="n"/>
      <c r="G189" s="10" t="n"/>
      <c r="H189" s="10" t="n"/>
      <c r="I189" s="3" t="n"/>
      <c r="J189" s="3">
        <f>IF(tblEjecucion[[#This Row],[orden]]="","",tblEjecucion[[#This Row],[orden]]&amp;IF(tblEjecucion[[#This Row],[operacion]]="","0010",tblEjecucion[[#This Row],[operacion]]))</f>
        <v/>
      </c>
    </row>
    <row r="190">
      <c r="A190" s="3" t="n"/>
      <c r="B190" s="3" t="n"/>
      <c r="C190" s="3" t="n"/>
      <c r="D190" s="3" t="n"/>
      <c r="E190" s="3" t="n"/>
      <c r="F190" s="10" t="n"/>
      <c r="G190" s="10" t="n"/>
      <c r="H190" s="10" t="n"/>
      <c r="I190" s="3" t="n"/>
      <c r="J190" s="3">
        <f>IF(tblEjecucion[[#This Row],[orden]]="","",tblEjecucion[[#This Row],[orden]]&amp;IF(tblEjecucion[[#This Row],[operacion]]="","0010",tblEjecucion[[#This Row],[operacion]]))</f>
        <v/>
      </c>
    </row>
    <row r="191">
      <c r="A191" s="3" t="n"/>
      <c r="B191" s="3" t="n"/>
      <c r="C191" s="3" t="n"/>
      <c r="D191" s="3" t="n"/>
      <c r="E191" s="3" t="n"/>
      <c r="F191" s="10" t="n"/>
      <c r="G191" s="10" t="n"/>
      <c r="H191" s="10" t="n"/>
      <c r="I191" s="3" t="n"/>
      <c r="J191" s="3">
        <f>IF(tblEjecucion[[#This Row],[orden]]="","",tblEjecucion[[#This Row],[orden]]&amp;IF(tblEjecucion[[#This Row],[operacion]]="","0010",tblEjecucion[[#This Row],[operacion]]))</f>
        <v/>
      </c>
    </row>
    <row r="192">
      <c r="A192" s="3" t="n"/>
      <c r="B192" s="3" t="n"/>
      <c r="C192" s="3" t="n"/>
      <c r="D192" s="3" t="n"/>
      <c r="E192" s="3" t="n"/>
      <c r="F192" s="10" t="n"/>
      <c r="G192" s="10" t="n"/>
      <c r="H192" s="10" t="n"/>
      <c r="I192" s="3" t="n"/>
      <c r="J192" s="3">
        <f>IF(tblEjecucion[[#This Row],[orden]]="","",tblEjecucion[[#This Row],[orden]]&amp;IF(tblEjecucion[[#This Row],[operacion]]="","0010",tblEjecucion[[#This Row],[operacion]]))</f>
        <v/>
      </c>
    </row>
    <row r="193">
      <c r="A193" s="3" t="n"/>
      <c r="B193" s="3" t="n"/>
      <c r="C193" s="3" t="n"/>
      <c r="D193" s="3" t="n"/>
      <c r="E193" s="3" t="n"/>
      <c r="F193" s="10" t="n"/>
      <c r="G193" s="10" t="n"/>
      <c r="H193" s="10" t="n"/>
      <c r="I193" s="3" t="n"/>
      <c r="J193" s="3">
        <f>IF(tblEjecucion[[#This Row],[orden]]="","",tblEjecucion[[#This Row],[orden]]&amp;IF(tblEjecucion[[#This Row],[operacion]]="","0010",tblEjecucion[[#This Row],[operacion]]))</f>
        <v/>
      </c>
    </row>
    <row r="194">
      <c r="A194" s="3" t="n"/>
      <c r="B194" s="3" t="n"/>
      <c r="C194" s="3" t="n"/>
      <c r="D194" s="3" t="n"/>
      <c r="E194" s="3" t="n"/>
      <c r="F194" s="10" t="n"/>
      <c r="G194" s="10" t="n"/>
      <c r="H194" s="10" t="n"/>
      <c r="I194" s="3" t="n"/>
      <c r="J194" s="3">
        <f>IF(tblEjecucion[[#This Row],[orden]]="","",tblEjecucion[[#This Row],[orden]]&amp;IF(tblEjecucion[[#This Row],[operacion]]="","0010",tblEjecucion[[#This Row],[operacion]]))</f>
        <v/>
      </c>
    </row>
    <row r="195">
      <c r="A195" s="3" t="n"/>
      <c r="B195" s="3" t="n"/>
      <c r="C195" s="3" t="n"/>
      <c r="D195" s="3" t="n"/>
      <c r="E195" s="3" t="n"/>
      <c r="F195" s="10" t="n"/>
      <c r="G195" s="10" t="n"/>
      <c r="H195" s="10" t="n"/>
      <c r="I195" s="3" t="n"/>
      <c r="J195" s="3">
        <f>IF(tblEjecucion[[#This Row],[orden]]="","",tblEjecucion[[#This Row],[orden]]&amp;IF(tblEjecucion[[#This Row],[operacion]]="","0010",tblEjecucion[[#This Row],[operacion]]))</f>
        <v/>
      </c>
    </row>
    <row r="196">
      <c r="A196" s="3" t="n"/>
      <c r="B196" s="3" t="n"/>
      <c r="C196" s="3" t="n"/>
      <c r="D196" s="3" t="n"/>
      <c r="E196" s="3" t="n"/>
      <c r="F196" s="10" t="n"/>
      <c r="G196" s="10" t="n"/>
      <c r="H196" s="10" t="n"/>
      <c r="I196" s="3" t="n"/>
      <c r="J196" s="3">
        <f>IF(tblEjecucion[[#This Row],[orden]]="","",tblEjecucion[[#This Row],[orden]]&amp;IF(tblEjecucion[[#This Row],[operacion]]="","0010",tblEjecucion[[#This Row],[operacion]]))</f>
        <v/>
      </c>
    </row>
    <row r="197">
      <c r="A197" s="3" t="n"/>
      <c r="B197" s="3" t="n"/>
      <c r="C197" s="3" t="n"/>
      <c r="D197" s="3" t="n"/>
      <c r="E197" s="3" t="n"/>
      <c r="F197" s="10" t="n"/>
      <c r="G197" s="10" t="n"/>
      <c r="H197" s="10" t="n"/>
      <c r="I197" s="3" t="n"/>
      <c r="J197" s="3">
        <f>IF(tblEjecucion[[#This Row],[orden]]="","",tblEjecucion[[#This Row],[orden]]&amp;IF(tblEjecucion[[#This Row],[operacion]]="","0010",tblEjecucion[[#This Row],[operacion]]))</f>
        <v/>
      </c>
    </row>
    <row r="198">
      <c r="A198" s="3" t="n"/>
      <c r="B198" s="3" t="n"/>
      <c r="C198" s="3" t="n"/>
      <c r="D198" s="3" t="n"/>
      <c r="E198" s="3" t="n"/>
      <c r="F198" s="10" t="n"/>
      <c r="G198" s="10" t="n"/>
      <c r="H198" s="10" t="n"/>
      <c r="I198" s="3" t="n"/>
      <c r="J198" s="3">
        <f>IF(tblEjecucion[[#This Row],[orden]]="","",tblEjecucion[[#This Row],[orden]]&amp;IF(tblEjecucion[[#This Row],[operacion]]="","0010",tblEjecucion[[#This Row],[operacion]]))</f>
        <v/>
      </c>
    </row>
    <row r="199">
      <c r="A199" s="3" t="n"/>
      <c r="B199" s="3" t="n"/>
      <c r="C199" s="3" t="n"/>
      <c r="D199" s="3" t="n"/>
      <c r="E199" s="3" t="n"/>
      <c r="F199" s="10" t="n"/>
      <c r="G199" s="10" t="n"/>
      <c r="H199" s="10" t="n"/>
      <c r="I199" s="3" t="n"/>
      <c r="J199" s="3">
        <f>IF(tblEjecucion[[#This Row],[orden]]="","",tblEjecucion[[#This Row],[orden]]&amp;IF(tblEjecucion[[#This Row],[operacion]]="","0010",tblEjecucion[[#This Row],[operacion]]))</f>
        <v/>
      </c>
    </row>
    <row r="200">
      <c r="A200" s="3" t="n"/>
      <c r="B200" s="3" t="n"/>
      <c r="C200" s="3" t="n"/>
      <c r="D200" s="3" t="n"/>
      <c r="E200" s="3" t="n"/>
      <c r="F200" s="10" t="n"/>
      <c r="G200" s="10" t="n"/>
      <c r="H200" s="10" t="n"/>
      <c r="I200" s="3" t="n"/>
      <c r="J200" s="3">
        <f>IF(tblEjecucion[[#This Row],[orden]]="","",tblEjecucion[[#This Row],[orden]]&amp;IF(tblEjecucion[[#This Row],[operacion]]="","0010",tblEjecucion[[#This Row],[operacion]]))</f>
        <v/>
      </c>
    </row>
    <row r="201">
      <c r="A201" s="3" t="n"/>
      <c r="B201" s="3" t="n"/>
      <c r="C201" s="3" t="n"/>
      <c r="D201" s="3" t="n"/>
      <c r="E201" s="3" t="n"/>
      <c r="F201" s="10" t="n"/>
      <c r="G201" s="10" t="n"/>
      <c r="H201" s="10" t="n"/>
      <c r="I201" s="3" t="n"/>
      <c r="J201" s="3">
        <f>IF(tblEjecucion[[#This Row],[orden]]="","",tblEjecucion[[#This Row],[orden]]&amp;IF(tblEjecucion[[#This Row],[operacion]]="","0010",tblEjecucion[[#This Row],[operacion]]))</f>
        <v/>
      </c>
    </row>
    <row r="202">
      <c r="A202" s="3" t="n"/>
      <c r="B202" s="3" t="n"/>
      <c r="C202" s="3" t="n"/>
      <c r="D202" s="3" t="n"/>
      <c r="E202" s="3" t="n"/>
      <c r="F202" s="10" t="n"/>
      <c r="G202" s="10" t="n"/>
      <c r="H202" s="10" t="n"/>
      <c r="I202" s="3" t="n"/>
      <c r="J202" s="3">
        <f>IF(tblEjecucion[[#This Row],[orden]]="","",tblEjecucion[[#This Row],[orden]]&amp;IF(tblEjecucion[[#This Row],[operacion]]="","0010",tblEjecucion[[#This Row],[operacion]]))</f>
        <v/>
      </c>
    </row>
    <row r="203">
      <c r="A203" s="3" t="n"/>
      <c r="B203" s="3" t="n"/>
      <c r="C203" s="3" t="n"/>
      <c r="D203" s="3" t="n"/>
      <c r="E203" s="3" t="n"/>
      <c r="F203" s="10" t="n"/>
      <c r="G203" s="10" t="n"/>
      <c r="H203" s="10" t="n"/>
      <c r="I203" s="3" t="n"/>
      <c r="J203" s="3">
        <f>IF(tblEjecucion[[#This Row],[orden]]="","",tblEjecucion[[#This Row],[orden]]&amp;IF(tblEjecucion[[#This Row],[operacion]]="","0010",tblEjecucion[[#This Row],[operacion]]))</f>
        <v/>
      </c>
    </row>
    <row r="204">
      <c r="A204" s="3" t="n"/>
      <c r="B204" s="3" t="n"/>
      <c r="C204" s="3" t="n"/>
      <c r="D204" s="3" t="n"/>
      <c r="E204" s="3" t="n"/>
      <c r="F204" s="10" t="n"/>
      <c r="G204" s="10" t="n"/>
      <c r="H204" s="10" t="n"/>
      <c r="I204" s="3" t="n"/>
      <c r="J204" s="3">
        <f>IF(tblEjecucion[[#This Row],[orden]]="","",tblEjecucion[[#This Row],[orden]]&amp;IF(tblEjecucion[[#This Row],[operacion]]="","0010",tblEjecucion[[#This Row],[operacion]]))</f>
        <v/>
      </c>
    </row>
    <row r="205">
      <c r="A205" s="3" t="n"/>
      <c r="B205" s="3" t="n"/>
      <c r="C205" s="3" t="n"/>
      <c r="D205" s="3" t="n"/>
      <c r="E205" s="3" t="n"/>
      <c r="F205" s="10" t="n"/>
      <c r="G205" s="10" t="n"/>
      <c r="H205" s="10" t="n"/>
      <c r="I205" s="3" t="n"/>
      <c r="J205" s="3">
        <f>IF(tblEjecucion[[#This Row],[orden]]="","",tblEjecucion[[#This Row],[orden]]&amp;IF(tblEjecucion[[#This Row],[operacion]]="","0010",tblEjecucion[[#This Row],[operacion]]))</f>
        <v/>
      </c>
    </row>
    <row r="206">
      <c r="A206" s="3" t="n"/>
      <c r="B206" s="3" t="n"/>
      <c r="C206" s="3" t="n"/>
      <c r="D206" s="3" t="n"/>
      <c r="E206" s="3" t="n"/>
      <c r="F206" s="10" t="n"/>
      <c r="G206" s="10" t="n"/>
      <c r="H206" s="10" t="n"/>
      <c r="I206" s="3" t="n"/>
      <c r="J206" s="3">
        <f>IF(tblEjecucion[[#This Row],[orden]]="","",tblEjecucion[[#This Row],[orden]]&amp;IF(tblEjecucion[[#This Row],[operacion]]="","0010",tblEjecucion[[#This Row],[operacion]]))</f>
        <v/>
      </c>
    </row>
    <row r="207">
      <c r="A207" s="3" t="n"/>
      <c r="B207" s="3" t="n"/>
      <c r="C207" s="3" t="n"/>
      <c r="D207" s="3" t="n"/>
      <c r="E207" s="3" t="n"/>
      <c r="F207" s="10" t="n"/>
      <c r="G207" s="10" t="n"/>
      <c r="H207" s="10" t="n"/>
      <c r="I207" s="3" t="n"/>
      <c r="J207" s="3">
        <f>IF(tblEjecucion[[#This Row],[orden]]="","",tblEjecucion[[#This Row],[orden]]&amp;IF(tblEjecucion[[#This Row],[operacion]]="","0010",tblEjecucion[[#This Row],[operacion]]))</f>
        <v/>
      </c>
    </row>
    <row r="208">
      <c r="A208" s="3" t="n"/>
      <c r="B208" s="3" t="n"/>
      <c r="C208" s="3" t="n"/>
      <c r="D208" s="3" t="n"/>
      <c r="E208" s="3" t="n"/>
      <c r="F208" s="10" t="n"/>
      <c r="G208" s="10" t="n"/>
      <c r="H208" s="10" t="n"/>
      <c r="I208" s="3" t="n"/>
      <c r="J208" s="3">
        <f>IF(tblEjecucion[[#This Row],[orden]]="","",tblEjecucion[[#This Row],[orden]]&amp;IF(tblEjecucion[[#This Row],[operacion]]="","0010",tblEjecucion[[#This Row],[operacion]]))</f>
        <v/>
      </c>
    </row>
    <row r="209">
      <c r="A209" s="3" t="n"/>
      <c r="B209" s="3" t="n"/>
      <c r="C209" s="3" t="n"/>
      <c r="D209" s="3" t="n"/>
      <c r="E209" s="3" t="n"/>
      <c r="F209" s="10" t="n"/>
      <c r="G209" s="10" t="n"/>
      <c r="H209" s="10" t="n"/>
      <c r="I209" s="3" t="n"/>
      <c r="J209" s="3">
        <f>IF(tblEjecucion[[#This Row],[orden]]="","",tblEjecucion[[#This Row],[orden]]&amp;IF(tblEjecucion[[#This Row],[operacion]]="","0010",tblEjecucion[[#This Row],[operacion]]))</f>
        <v/>
      </c>
    </row>
    <row r="210">
      <c r="A210" s="3" t="n"/>
      <c r="B210" s="3" t="n"/>
      <c r="C210" s="3" t="n"/>
      <c r="D210" s="3" t="n"/>
      <c r="E210" s="3" t="n"/>
      <c r="F210" s="10" t="n"/>
      <c r="G210" s="10" t="n"/>
      <c r="H210" s="10" t="n"/>
      <c r="I210" s="3" t="n"/>
      <c r="J210" s="3">
        <f>IF(tblEjecucion[[#This Row],[orden]]="","",tblEjecucion[[#This Row],[orden]]&amp;IF(tblEjecucion[[#This Row],[operacion]]="","0010",tblEjecucion[[#This Row],[operacion]]))</f>
        <v/>
      </c>
    </row>
    <row r="211">
      <c r="A211" s="3" t="n"/>
      <c r="B211" s="3" t="n"/>
      <c r="C211" s="3" t="n"/>
      <c r="D211" s="3" t="n"/>
      <c r="E211" s="3" t="n"/>
      <c r="F211" s="10" t="n"/>
      <c r="G211" s="10" t="n"/>
      <c r="H211" s="10" t="n"/>
      <c r="I211" s="3" t="n"/>
      <c r="J211" s="3">
        <f>IF(tblEjecucion[[#This Row],[orden]]="","",tblEjecucion[[#This Row],[orden]]&amp;IF(tblEjecucion[[#This Row],[operacion]]="","0010",tblEjecucion[[#This Row],[operacion]]))</f>
        <v/>
      </c>
    </row>
    <row r="212">
      <c r="A212" s="3" t="n"/>
      <c r="B212" s="3" t="n"/>
      <c r="C212" s="3" t="n"/>
      <c r="D212" s="3" t="n"/>
      <c r="E212" s="3" t="n"/>
      <c r="F212" s="10" t="n"/>
      <c r="G212" s="10" t="n"/>
      <c r="H212" s="10" t="n"/>
      <c r="I212" s="3" t="n"/>
      <c r="J212" s="3">
        <f>IF(tblEjecucion[[#This Row],[orden]]="","",tblEjecucion[[#This Row],[orden]]&amp;IF(tblEjecucion[[#This Row],[operacion]]="","0010",tblEjecucion[[#This Row],[operacion]]))</f>
        <v/>
      </c>
    </row>
    <row r="213">
      <c r="A213" s="3" t="n"/>
      <c r="B213" s="3" t="n"/>
      <c r="C213" s="3" t="n"/>
      <c r="D213" s="3" t="n"/>
      <c r="E213" s="3" t="n"/>
      <c r="F213" s="10" t="n"/>
      <c r="G213" s="10" t="n"/>
      <c r="H213" s="10" t="n"/>
      <c r="I213" s="3" t="n"/>
      <c r="J213" s="3">
        <f>IF(tblEjecucion[[#This Row],[orden]]="","",tblEjecucion[[#This Row],[orden]]&amp;IF(tblEjecucion[[#This Row],[operacion]]="","0010",tblEjecucion[[#This Row],[operacion]]))</f>
        <v/>
      </c>
    </row>
    <row r="214">
      <c r="A214" s="3" t="n"/>
      <c r="B214" s="3" t="n"/>
      <c r="C214" s="3" t="n"/>
      <c r="D214" s="3" t="n"/>
      <c r="E214" s="3" t="n"/>
      <c r="F214" s="10" t="n"/>
      <c r="G214" s="10" t="n"/>
      <c r="H214" s="10" t="n"/>
      <c r="I214" s="3" t="n"/>
      <c r="J214" s="3">
        <f>IF(tblEjecucion[[#This Row],[orden]]="","",tblEjecucion[[#This Row],[orden]]&amp;IF(tblEjecucion[[#This Row],[operacion]]="","0010",tblEjecucion[[#This Row],[operacion]]))</f>
        <v/>
      </c>
    </row>
    <row r="215">
      <c r="A215" s="3" t="n"/>
      <c r="B215" s="3" t="n"/>
      <c r="C215" s="3" t="n"/>
      <c r="D215" s="3" t="n"/>
      <c r="E215" s="3" t="n"/>
      <c r="F215" s="10" t="n"/>
      <c r="G215" s="10" t="n"/>
      <c r="H215" s="10" t="n"/>
      <c r="I215" s="3" t="n"/>
      <c r="J215" s="3">
        <f>IF(tblEjecucion[[#This Row],[orden]]="","",tblEjecucion[[#This Row],[orden]]&amp;IF(tblEjecucion[[#This Row],[operacion]]="","0010",tblEjecucion[[#This Row],[operacion]]))</f>
        <v/>
      </c>
    </row>
    <row r="216">
      <c r="A216" s="3" t="n"/>
      <c r="B216" s="3" t="n"/>
      <c r="C216" s="3" t="n"/>
      <c r="D216" s="3" t="n"/>
      <c r="E216" s="3" t="n"/>
      <c r="F216" s="10" t="n"/>
      <c r="G216" s="10" t="n"/>
      <c r="H216" s="10" t="n"/>
      <c r="I216" s="3" t="n"/>
      <c r="J216" s="3">
        <f>IF(tblEjecucion[[#This Row],[orden]]="","",tblEjecucion[[#This Row],[orden]]&amp;IF(tblEjecucion[[#This Row],[operacion]]="","0010",tblEjecucion[[#This Row],[operacion]]))</f>
        <v/>
      </c>
    </row>
    <row r="217">
      <c r="A217" s="3" t="n"/>
      <c r="B217" s="3" t="n"/>
      <c r="C217" s="3" t="n"/>
      <c r="D217" s="3" t="n"/>
      <c r="E217" s="3" t="n"/>
      <c r="F217" s="10" t="n"/>
      <c r="G217" s="10" t="n"/>
      <c r="H217" s="10" t="n"/>
      <c r="I217" s="3" t="n"/>
      <c r="J217" s="3">
        <f>IF(tblEjecucion[[#This Row],[orden]]="","",tblEjecucion[[#This Row],[orden]]&amp;IF(tblEjecucion[[#This Row],[operacion]]="","0010",tblEjecucion[[#This Row],[operacion]]))</f>
        <v/>
      </c>
    </row>
    <row r="218">
      <c r="A218" s="3" t="n"/>
      <c r="B218" s="3" t="n"/>
      <c r="C218" s="3" t="n"/>
      <c r="D218" s="3" t="n"/>
      <c r="E218" s="3" t="n"/>
      <c r="F218" s="10" t="n"/>
      <c r="G218" s="10" t="n"/>
      <c r="H218" s="10" t="n"/>
      <c r="I218" s="3" t="n"/>
      <c r="J218" s="3">
        <f>IF(tblEjecucion[[#This Row],[orden]]="","",tblEjecucion[[#This Row],[orden]]&amp;IF(tblEjecucion[[#This Row],[operacion]]="","0010",tblEjecucion[[#This Row],[operacion]]))</f>
        <v/>
      </c>
    </row>
    <row r="219">
      <c r="A219" s="3" t="n"/>
      <c r="B219" s="3" t="n"/>
      <c r="C219" s="3" t="n"/>
      <c r="D219" s="3" t="n"/>
      <c r="E219" s="3" t="n"/>
      <c r="F219" s="10" t="n"/>
      <c r="G219" s="10" t="n"/>
      <c r="H219" s="10" t="n"/>
      <c r="I219" s="3" t="n"/>
      <c r="J219" s="3">
        <f>IF(tblEjecucion[[#This Row],[orden]]="","",tblEjecucion[[#This Row],[orden]]&amp;IF(tblEjecucion[[#This Row],[operacion]]="","0010",tblEjecucion[[#This Row],[operacion]]))</f>
        <v/>
      </c>
    </row>
    <row r="220">
      <c r="A220" s="3" t="n"/>
      <c r="B220" s="3" t="n"/>
      <c r="C220" s="3" t="n"/>
      <c r="D220" s="3" t="n"/>
      <c r="E220" s="3" t="n"/>
      <c r="F220" s="10" t="n"/>
      <c r="G220" s="10" t="n"/>
      <c r="H220" s="10" t="n"/>
      <c r="I220" s="3" t="n"/>
      <c r="J220" s="3">
        <f>IF(tblEjecucion[[#This Row],[orden]]="","",tblEjecucion[[#This Row],[orden]]&amp;IF(tblEjecucion[[#This Row],[operacion]]="","0010",tblEjecucion[[#This Row],[operacion]]))</f>
        <v/>
      </c>
    </row>
    <row r="221">
      <c r="A221" s="3" t="n"/>
      <c r="B221" s="3" t="n"/>
      <c r="C221" s="3" t="n"/>
      <c r="D221" s="3" t="n"/>
      <c r="E221" s="3" t="n"/>
      <c r="F221" s="10" t="n"/>
      <c r="G221" s="10" t="n"/>
      <c r="H221" s="10" t="n"/>
      <c r="I221" s="3" t="n"/>
      <c r="J221" s="3">
        <f>IF(tblEjecucion[[#This Row],[orden]]="","",tblEjecucion[[#This Row],[orden]]&amp;IF(tblEjecucion[[#This Row],[operacion]]="","0010",tblEjecucion[[#This Row],[operacion]]))</f>
        <v/>
      </c>
    </row>
    <row r="222">
      <c r="A222" s="3" t="n"/>
      <c r="B222" s="3" t="n"/>
      <c r="C222" s="3" t="n"/>
      <c r="D222" s="3" t="n"/>
      <c r="E222" s="3" t="n"/>
      <c r="F222" s="10" t="n"/>
      <c r="G222" s="10" t="n"/>
      <c r="H222" s="10" t="n"/>
      <c r="I222" s="3" t="n"/>
      <c r="J222" s="3">
        <f>IF(tblEjecucion[[#This Row],[orden]]="","",tblEjecucion[[#This Row],[orden]]&amp;IF(tblEjecucion[[#This Row],[operacion]]="","0010",tblEjecucion[[#This Row],[operacion]]))</f>
        <v/>
      </c>
    </row>
    <row r="223">
      <c r="A223" s="3" t="n"/>
      <c r="B223" s="3" t="n"/>
      <c r="C223" s="3" t="n"/>
      <c r="D223" s="3" t="n"/>
      <c r="E223" s="3" t="n"/>
      <c r="F223" s="10" t="n"/>
      <c r="G223" s="10" t="n"/>
      <c r="H223" s="10" t="n"/>
      <c r="I223" s="3" t="n"/>
      <c r="J223" s="3">
        <f>IF(tblEjecucion[[#This Row],[orden]]="","",tblEjecucion[[#This Row],[orden]]&amp;IF(tblEjecucion[[#This Row],[operacion]]="","0010",tblEjecucion[[#This Row],[operacion]]))</f>
        <v/>
      </c>
    </row>
    <row r="224">
      <c r="A224" s="3" t="n"/>
      <c r="B224" s="3" t="n"/>
      <c r="C224" s="3" t="n"/>
      <c r="D224" s="3" t="n"/>
      <c r="E224" s="3" t="n"/>
      <c r="F224" s="10" t="n"/>
      <c r="G224" s="10" t="n"/>
      <c r="H224" s="10" t="n"/>
      <c r="I224" s="3" t="n"/>
      <c r="J224" s="3">
        <f>IF(tblEjecucion[[#This Row],[orden]]="","",tblEjecucion[[#This Row],[orden]]&amp;IF(tblEjecucion[[#This Row],[operacion]]="","0010",tblEjecucion[[#This Row],[operacion]]))</f>
        <v/>
      </c>
    </row>
    <row r="225">
      <c r="A225" s="3" t="n"/>
      <c r="B225" s="3" t="n"/>
      <c r="C225" s="3" t="n"/>
      <c r="D225" s="3" t="n"/>
      <c r="E225" s="3" t="n"/>
      <c r="F225" s="10" t="n"/>
      <c r="G225" s="10" t="n"/>
      <c r="H225" s="10" t="n"/>
      <c r="I225" s="3" t="n"/>
      <c r="J225" s="3">
        <f>IF(tblEjecucion[[#This Row],[orden]]="","",tblEjecucion[[#This Row],[orden]]&amp;IF(tblEjecucion[[#This Row],[operacion]]="","0010",tblEjecucion[[#This Row],[operacion]]))</f>
        <v/>
      </c>
    </row>
    <row r="226">
      <c r="A226" s="3" t="n"/>
      <c r="B226" s="3" t="n"/>
      <c r="C226" s="3" t="n"/>
      <c r="D226" s="3" t="n"/>
      <c r="E226" s="3" t="n"/>
      <c r="F226" s="10" t="n"/>
      <c r="G226" s="10" t="n"/>
      <c r="H226" s="10" t="n"/>
      <c r="I226" s="3" t="n"/>
      <c r="J226" s="3">
        <f>IF(tblEjecucion[[#This Row],[orden]]="","",tblEjecucion[[#This Row],[orden]]&amp;IF(tblEjecucion[[#This Row],[operacion]]="","0010",tblEjecucion[[#This Row],[operacion]]))</f>
        <v/>
      </c>
    </row>
    <row r="227">
      <c r="A227" s="3" t="n"/>
      <c r="B227" s="3" t="n"/>
      <c r="C227" s="3" t="n"/>
      <c r="D227" s="3" t="n"/>
      <c r="E227" s="3" t="n"/>
      <c r="F227" s="10" t="n"/>
      <c r="G227" s="10" t="n"/>
      <c r="H227" s="10" t="n"/>
      <c r="I227" s="3" t="n"/>
      <c r="J227" s="3">
        <f>IF(tblEjecucion[[#This Row],[orden]]="","",tblEjecucion[[#This Row],[orden]]&amp;IF(tblEjecucion[[#This Row],[operacion]]="","0010",tblEjecucion[[#This Row],[operacion]]))</f>
        <v/>
      </c>
    </row>
    <row r="228">
      <c r="A228" s="3" t="n"/>
      <c r="B228" s="3" t="n"/>
      <c r="C228" s="3" t="n"/>
      <c r="D228" s="3" t="n"/>
      <c r="E228" s="3" t="n"/>
      <c r="F228" s="10" t="n"/>
      <c r="G228" s="10" t="n"/>
      <c r="H228" s="10" t="n"/>
      <c r="I228" s="3" t="n"/>
      <c r="J228" s="3">
        <f>IF(tblEjecucion[[#This Row],[orden]]="","",tblEjecucion[[#This Row],[orden]]&amp;IF(tblEjecucion[[#This Row],[operacion]]="","0010",tblEjecucion[[#This Row],[operacion]]))</f>
        <v/>
      </c>
    </row>
    <row r="229">
      <c r="A229" s="3" t="n"/>
      <c r="B229" s="3" t="n"/>
      <c r="C229" s="3" t="n"/>
      <c r="D229" s="3" t="n"/>
      <c r="E229" s="3" t="n"/>
      <c r="F229" s="10" t="n"/>
      <c r="G229" s="10" t="n"/>
      <c r="H229" s="10" t="n"/>
      <c r="I229" s="3" t="n"/>
      <c r="J229" s="3">
        <f>IF(tblEjecucion[[#This Row],[orden]]="","",tblEjecucion[[#This Row],[orden]]&amp;IF(tblEjecucion[[#This Row],[operacion]]="","0010",tblEjecucion[[#This Row],[operacion]]))</f>
        <v/>
      </c>
    </row>
    <row r="230">
      <c r="A230" s="3" t="n"/>
      <c r="B230" s="3" t="n"/>
      <c r="C230" s="3" t="n"/>
      <c r="D230" s="3" t="n"/>
      <c r="E230" s="3" t="n"/>
      <c r="F230" s="10" t="n"/>
      <c r="G230" s="10" t="n"/>
      <c r="H230" s="10" t="n"/>
      <c r="I230" s="3" t="n"/>
      <c r="J230" s="3">
        <f>IF(tblEjecucion[[#This Row],[orden]]="","",tblEjecucion[[#This Row],[orden]]&amp;IF(tblEjecucion[[#This Row],[operacion]]="","0010",tblEjecucion[[#This Row],[operacion]]))</f>
        <v/>
      </c>
    </row>
    <row r="231">
      <c r="A231" s="3" t="n"/>
      <c r="B231" s="3" t="n"/>
      <c r="C231" s="3" t="n"/>
      <c r="D231" s="3" t="n"/>
      <c r="E231" s="3" t="n"/>
      <c r="F231" s="10" t="n"/>
      <c r="G231" s="10" t="n"/>
      <c r="H231" s="10" t="n"/>
      <c r="I231" s="3" t="n"/>
      <c r="J231" s="3">
        <f>IF(tblEjecucion[[#This Row],[orden]]="","",tblEjecucion[[#This Row],[orden]]&amp;IF(tblEjecucion[[#This Row],[operacion]]="","0010",tblEjecucion[[#This Row],[operacion]]))</f>
        <v/>
      </c>
    </row>
    <row r="232">
      <c r="A232" s="3" t="n"/>
      <c r="B232" s="3" t="n"/>
      <c r="C232" s="3" t="n"/>
      <c r="D232" s="3" t="n"/>
      <c r="E232" s="3" t="n"/>
      <c r="F232" s="10" t="n"/>
      <c r="G232" s="10" t="n"/>
      <c r="H232" s="10" t="n"/>
      <c r="I232" s="3" t="n"/>
      <c r="J232" s="3">
        <f>IF(tblEjecucion[[#This Row],[orden]]="","",tblEjecucion[[#This Row],[orden]]&amp;IF(tblEjecucion[[#This Row],[operacion]]="","0010",tblEjecucion[[#This Row],[operacion]]))</f>
        <v/>
      </c>
    </row>
    <row r="233">
      <c r="A233" s="3" t="n"/>
      <c r="B233" s="3" t="n"/>
      <c r="C233" s="3" t="n"/>
      <c r="D233" s="3" t="n"/>
      <c r="E233" s="3" t="n"/>
      <c r="F233" s="10" t="n"/>
      <c r="G233" s="10" t="n"/>
      <c r="H233" s="10" t="n"/>
      <c r="I233" s="3" t="n"/>
      <c r="J233" s="3">
        <f>IF(tblEjecucion[[#This Row],[orden]]="","",tblEjecucion[[#This Row],[orden]]&amp;IF(tblEjecucion[[#This Row],[operacion]]="","0010",tblEjecucion[[#This Row],[operacion]]))</f>
        <v/>
      </c>
    </row>
    <row r="234">
      <c r="A234" s="3" t="n"/>
      <c r="B234" s="3" t="n"/>
      <c r="C234" s="3" t="n"/>
      <c r="D234" s="3" t="n"/>
      <c r="E234" s="3" t="n"/>
      <c r="F234" s="10" t="n"/>
      <c r="G234" s="10" t="n"/>
      <c r="H234" s="10" t="n"/>
      <c r="I234" s="3" t="n"/>
      <c r="J234" s="3">
        <f>IF(tblEjecucion[[#This Row],[orden]]="","",tblEjecucion[[#This Row],[orden]]&amp;IF(tblEjecucion[[#This Row],[operacion]]="","0010",tblEjecucion[[#This Row],[operacion]]))</f>
        <v/>
      </c>
    </row>
    <row r="235">
      <c r="A235" s="3" t="n"/>
      <c r="B235" s="3" t="n"/>
      <c r="C235" s="3" t="n"/>
      <c r="D235" s="3" t="n"/>
      <c r="E235" s="3" t="n"/>
      <c r="F235" s="10" t="n"/>
      <c r="G235" s="10" t="n"/>
      <c r="H235" s="10" t="n"/>
      <c r="I235" s="3" t="n"/>
      <c r="J235" s="3">
        <f>IF(tblEjecucion[[#This Row],[orden]]="","",tblEjecucion[[#This Row],[orden]]&amp;IF(tblEjecucion[[#This Row],[operacion]]="","0010",tblEjecucion[[#This Row],[operacion]]))</f>
        <v/>
      </c>
    </row>
    <row r="236">
      <c r="A236" s="3" t="n"/>
      <c r="B236" s="3" t="n"/>
      <c r="C236" s="3" t="n"/>
      <c r="D236" s="3" t="n"/>
      <c r="E236" s="3" t="n"/>
      <c r="F236" s="10" t="n"/>
      <c r="G236" s="10" t="n"/>
      <c r="H236" s="10" t="n"/>
      <c r="I236" s="3" t="n"/>
      <c r="J236" s="3">
        <f>IF(tblEjecucion[[#This Row],[orden]]="","",tblEjecucion[[#This Row],[orden]]&amp;IF(tblEjecucion[[#This Row],[operacion]]="","0010",tblEjecucion[[#This Row],[operacion]]))</f>
        <v/>
      </c>
    </row>
    <row r="237">
      <c r="A237" s="3" t="n"/>
      <c r="B237" s="3" t="n"/>
      <c r="C237" s="3" t="n"/>
      <c r="D237" s="3" t="n"/>
      <c r="E237" s="3" t="n"/>
      <c r="F237" s="10" t="n"/>
      <c r="G237" s="10" t="n"/>
      <c r="H237" s="10" t="n"/>
      <c r="I237" s="3" t="n"/>
      <c r="J237" s="3">
        <f>IF(tblEjecucion[[#This Row],[orden]]="","",tblEjecucion[[#This Row],[orden]]&amp;IF(tblEjecucion[[#This Row],[operacion]]="","0010",tblEjecucion[[#This Row],[operacion]]))</f>
        <v/>
      </c>
    </row>
    <row r="238">
      <c r="A238" s="3" t="n"/>
      <c r="B238" s="3" t="n"/>
      <c r="C238" s="3" t="n"/>
      <c r="D238" s="3" t="n"/>
      <c r="E238" s="3" t="n"/>
      <c r="F238" s="10" t="n"/>
      <c r="G238" s="10" t="n"/>
      <c r="H238" s="10" t="n"/>
      <c r="I238" s="3" t="n"/>
      <c r="J238" s="3">
        <f>IF(tblEjecucion[[#This Row],[orden]]="","",tblEjecucion[[#This Row],[orden]]&amp;IF(tblEjecucion[[#This Row],[operacion]]="","0010",tblEjecucion[[#This Row],[operacion]]))</f>
        <v/>
      </c>
    </row>
    <row r="239">
      <c r="A239" s="3" t="n"/>
      <c r="B239" s="3" t="n"/>
      <c r="C239" s="3" t="n"/>
      <c r="D239" s="3" t="n"/>
      <c r="E239" s="3" t="n"/>
      <c r="F239" s="10" t="n"/>
      <c r="G239" s="10" t="n"/>
      <c r="H239" s="10" t="n"/>
      <c r="I239" s="3" t="n"/>
      <c r="J239" s="3">
        <f>IF(tblEjecucion[[#This Row],[orden]]="","",tblEjecucion[[#This Row],[orden]]&amp;IF(tblEjecucion[[#This Row],[operacion]]="","0010",tblEjecucion[[#This Row],[operacion]]))</f>
        <v/>
      </c>
    </row>
    <row r="240">
      <c r="A240" s="3" t="n"/>
      <c r="B240" s="3" t="n"/>
      <c r="C240" s="3" t="n"/>
      <c r="D240" s="3" t="n"/>
      <c r="E240" s="3" t="n"/>
      <c r="F240" s="10" t="n"/>
      <c r="G240" s="10" t="n"/>
      <c r="H240" s="10" t="n"/>
      <c r="I240" s="3" t="n"/>
      <c r="J240" s="3">
        <f>IF(tblEjecucion[[#This Row],[orden]]="","",tblEjecucion[[#This Row],[orden]]&amp;IF(tblEjecucion[[#This Row],[operacion]]="","0010",tblEjecucion[[#This Row],[operacion]]))</f>
        <v/>
      </c>
    </row>
    <row r="241">
      <c r="A241" s="3" t="n"/>
      <c r="B241" s="3" t="n"/>
      <c r="C241" s="3" t="n"/>
      <c r="D241" s="3" t="n"/>
      <c r="E241" s="3" t="n"/>
      <c r="F241" s="10" t="n"/>
      <c r="G241" s="10" t="n"/>
      <c r="H241" s="10" t="n"/>
      <c r="I241" s="3" t="n"/>
      <c r="J241" s="3">
        <f>IF(tblEjecucion[[#This Row],[orden]]="","",tblEjecucion[[#This Row],[orden]]&amp;IF(tblEjecucion[[#This Row],[operacion]]="","0010",tblEjecucion[[#This Row],[operacion]]))</f>
        <v/>
      </c>
    </row>
    <row r="242">
      <c r="A242" s="3" t="n"/>
      <c r="B242" s="3" t="n"/>
      <c r="C242" s="3" t="n"/>
      <c r="D242" s="3" t="n"/>
      <c r="E242" s="3" t="n"/>
      <c r="F242" s="10" t="n"/>
      <c r="G242" s="10" t="n"/>
      <c r="H242" s="10" t="n"/>
      <c r="I242" s="3" t="n"/>
      <c r="J242" s="3">
        <f>IF(tblEjecucion[[#This Row],[orden]]="","",tblEjecucion[[#This Row],[orden]]&amp;IF(tblEjecucion[[#This Row],[operacion]]="","0010",tblEjecucion[[#This Row],[operacion]]))</f>
        <v/>
      </c>
    </row>
    <row r="243">
      <c r="A243" s="3" t="n"/>
      <c r="B243" s="3" t="n"/>
      <c r="C243" s="3" t="n"/>
      <c r="D243" s="3" t="n"/>
      <c r="E243" s="3" t="n"/>
      <c r="F243" s="10" t="n"/>
      <c r="G243" s="10" t="n"/>
      <c r="H243" s="10" t="n"/>
      <c r="I243" s="3" t="n"/>
      <c r="J243" s="3">
        <f>IF(tblEjecucion[[#This Row],[orden]]="","",tblEjecucion[[#This Row],[orden]]&amp;IF(tblEjecucion[[#This Row],[operacion]]="","0010",tblEjecucion[[#This Row],[operacion]]))</f>
        <v/>
      </c>
    </row>
    <row r="244">
      <c r="A244" s="3" t="n"/>
      <c r="B244" s="3" t="n"/>
      <c r="C244" s="3" t="n"/>
      <c r="D244" s="3" t="n"/>
      <c r="E244" s="3" t="n"/>
      <c r="F244" s="10" t="n"/>
      <c r="G244" s="10" t="n"/>
      <c r="H244" s="10" t="n"/>
      <c r="I244" s="3" t="n"/>
      <c r="J244" s="3">
        <f>IF(tblEjecucion[[#This Row],[orden]]="","",tblEjecucion[[#This Row],[orden]]&amp;IF(tblEjecucion[[#This Row],[operacion]]="","0010",tblEjecucion[[#This Row],[operacion]]))</f>
        <v/>
      </c>
    </row>
    <row r="245">
      <c r="A245" s="3" t="n"/>
      <c r="B245" s="3" t="n"/>
      <c r="C245" s="3" t="n"/>
      <c r="D245" s="3" t="n"/>
      <c r="E245" s="3" t="n"/>
      <c r="F245" s="10" t="n"/>
      <c r="G245" s="10" t="n"/>
      <c r="H245" s="10" t="n"/>
      <c r="I245" s="3" t="n"/>
      <c r="J245" s="3">
        <f>IF(tblEjecucion[[#This Row],[orden]]="","",tblEjecucion[[#This Row],[orden]]&amp;IF(tblEjecucion[[#This Row],[operacion]]="","0010",tblEjecucion[[#This Row],[operacion]]))</f>
        <v/>
      </c>
    </row>
    <row r="246">
      <c r="A246" s="3" t="n"/>
      <c r="B246" s="3" t="n"/>
      <c r="C246" s="3" t="n"/>
      <c r="D246" s="3" t="n"/>
      <c r="E246" s="3" t="n"/>
      <c r="F246" s="10" t="n"/>
      <c r="G246" s="10" t="n"/>
      <c r="H246" s="10" t="n"/>
      <c r="I246" s="3" t="n"/>
      <c r="J246" s="3">
        <f>IF(tblEjecucion[[#This Row],[orden]]="","",tblEjecucion[[#This Row],[orden]]&amp;IF(tblEjecucion[[#This Row],[operacion]]="","0010",tblEjecucion[[#This Row],[operacion]]))</f>
        <v/>
      </c>
    </row>
    <row r="247">
      <c r="A247" s="3" t="n"/>
      <c r="B247" s="3" t="n"/>
      <c r="C247" s="3" t="n"/>
      <c r="D247" s="3" t="n"/>
      <c r="E247" s="3" t="n"/>
      <c r="F247" s="10" t="n"/>
      <c r="G247" s="10" t="n"/>
      <c r="H247" s="10" t="n"/>
      <c r="I247" s="3" t="n"/>
      <c r="J247" s="3">
        <f>IF(tblEjecucion[[#This Row],[orden]]="","",tblEjecucion[[#This Row],[orden]]&amp;IF(tblEjecucion[[#This Row],[operacion]]="","0010",tblEjecucion[[#This Row],[operacion]]))</f>
        <v/>
      </c>
    </row>
    <row r="248">
      <c r="A248" s="3" t="n"/>
      <c r="B248" s="3" t="n"/>
      <c r="C248" s="3" t="n"/>
      <c r="D248" s="3" t="n"/>
      <c r="E248" s="3" t="n"/>
      <c r="F248" s="10" t="n"/>
      <c r="G248" s="10" t="n"/>
      <c r="H248" s="10" t="n"/>
      <c r="I248" s="3" t="n"/>
      <c r="J248" s="3">
        <f>IF(tblEjecucion[[#This Row],[orden]]="","",tblEjecucion[[#This Row],[orden]]&amp;IF(tblEjecucion[[#This Row],[operacion]]="","0010",tblEjecucion[[#This Row],[operacion]]))</f>
        <v/>
      </c>
    </row>
    <row r="249">
      <c r="A249" s="3" t="n"/>
      <c r="B249" s="3" t="n"/>
      <c r="C249" s="3" t="n"/>
      <c r="D249" s="3" t="n"/>
      <c r="E249" s="3" t="n"/>
      <c r="F249" s="10" t="n"/>
      <c r="G249" s="10" t="n"/>
      <c r="H249" s="10" t="n"/>
      <c r="I249" s="3" t="n"/>
      <c r="J249" s="3">
        <f>IF(tblEjecucion[[#This Row],[orden]]="","",tblEjecucion[[#This Row],[orden]]&amp;IF(tblEjecucion[[#This Row],[operacion]]="","0010",tblEjecucion[[#This Row],[operacion]]))</f>
        <v/>
      </c>
    </row>
    <row r="250">
      <c r="A250" s="3" t="n"/>
      <c r="B250" s="3" t="n"/>
      <c r="C250" s="3" t="n"/>
      <c r="D250" s="3" t="n"/>
      <c r="E250" s="3" t="n"/>
      <c r="F250" s="10" t="n"/>
      <c r="G250" s="10" t="n"/>
      <c r="H250" s="10" t="n"/>
      <c r="I250" s="3" t="n"/>
      <c r="J250" s="3">
        <f>IF(tblEjecucion[[#This Row],[orden]]="","",tblEjecucion[[#This Row],[orden]]&amp;IF(tblEjecucion[[#This Row],[operacion]]="","0010",tblEjecucion[[#This Row],[operacion]]))</f>
        <v/>
      </c>
    </row>
    <row r="251">
      <c r="A251" s="3" t="n"/>
      <c r="B251" s="3" t="n"/>
      <c r="C251" s="3" t="n"/>
      <c r="D251" s="3" t="n"/>
      <c r="E251" s="3" t="n"/>
      <c r="F251" s="10" t="n"/>
      <c r="G251" s="10" t="n"/>
      <c r="H251" s="10" t="n"/>
      <c r="I251" s="3" t="n"/>
      <c r="J251" s="3">
        <f>IF(tblEjecucion[[#This Row],[orden]]="","",tblEjecucion[[#This Row],[orden]]&amp;IF(tblEjecucion[[#This Row],[operacion]]="","0010",tblEjecucion[[#This Row],[operacion]]))</f>
        <v/>
      </c>
    </row>
    <row r="252">
      <c r="A252" s="3" t="n"/>
      <c r="B252" s="3" t="n"/>
      <c r="C252" s="3" t="n"/>
      <c r="D252" s="3" t="n"/>
      <c r="E252" s="3" t="n"/>
      <c r="F252" s="10" t="n"/>
      <c r="G252" s="10" t="n"/>
      <c r="H252" s="10" t="n"/>
      <c r="I252" s="3" t="n"/>
      <c r="J252" s="3">
        <f>IF(tblEjecucion[[#This Row],[orden]]="","",tblEjecucion[[#This Row],[orden]]&amp;IF(tblEjecucion[[#This Row],[operacion]]="","0010",tblEjecucion[[#This Row],[operacion]]))</f>
        <v/>
      </c>
    </row>
    <row r="253">
      <c r="A253" s="3" t="n"/>
      <c r="B253" s="3" t="n"/>
      <c r="C253" s="3" t="n"/>
      <c r="D253" s="3" t="n"/>
      <c r="E253" s="3" t="n"/>
      <c r="F253" s="10" t="n"/>
      <c r="G253" s="10" t="n"/>
      <c r="H253" s="10" t="n"/>
      <c r="I253" s="3" t="n"/>
      <c r="J253" s="3">
        <f>IF(tblEjecucion[[#This Row],[orden]]="","",tblEjecucion[[#This Row],[orden]]&amp;IF(tblEjecucion[[#This Row],[operacion]]="","0010",tblEjecucion[[#This Row],[operacion]]))</f>
        <v/>
      </c>
    </row>
    <row r="254">
      <c r="A254" s="3" t="n"/>
      <c r="B254" s="3" t="n"/>
      <c r="C254" s="3" t="n"/>
      <c r="D254" s="3" t="n"/>
      <c r="E254" s="3" t="n"/>
      <c r="F254" s="10" t="n"/>
      <c r="G254" s="10" t="n"/>
      <c r="H254" s="10" t="n"/>
      <c r="I254" s="3" t="n"/>
      <c r="J254" s="3">
        <f>IF(tblEjecucion[[#This Row],[orden]]="","",tblEjecucion[[#This Row],[orden]]&amp;IF(tblEjecucion[[#This Row],[operacion]]="","0010",tblEjecucion[[#This Row],[operacion]]))</f>
        <v/>
      </c>
    </row>
    <row r="255">
      <c r="A255" s="3" t="n"/>
      <c r="B255" s="3" t="n"/>
      <c r="C255" s="3" t="n"/>
      <c r="D255" s="3" t="n"/>
      <c r="E255" s="3" t="n"/>
      <c r="F255" s="10" t="n"/>
      <c r="G255" s="10" t="n"/>
      <c r="H255" s="10" t="n"/>
      <c r="I255" s="3" t="n"/>
      <c r="J255" s="3">
        <f>IF(tblEjecucion[[#This Row],[orden]]="","",tblEjecucion[[#This Row],[orden]]&amp;IF(tblEjecucion[[#This Row],[operacion]]="","0010",tblEjecucion[[#This Row],[operacion]]))</f>
        <v/>
      </c>
    </row>
    <row r="256">
      <c r="A256" s="3" t="n"/>
      <c r="B256" s="3" t="n"/>
      <c r="C256" s="3" t="n"/>
      <c r="D256" s="3" t="n"/>
      <c r="E256" s="3" t="n"/>
      <c r="F256" s="10" t="n"/>
      <c r="G256" s="10" t="n"/>
      <c r="H256" s="10" t="n"/>
      <c r="I256" s="3" t="n"/>
      <c r="J256" s="3">
        <f>IF(tblEjecucion[[#This Row],[orden]]="","",tblEjecucion[[#This Row],[orden]]&amp;IF(tblEjecucion[[#This Row],[operacion]]="","0010",tblEjecucion[[#This Row],[operacion]]))</f>
        <v/>
      </c>
    </row>
    <row r="257">
      <c r="A257" s="3" t="n"/>
      <c r="B257" s="3" t="n"/>
      <c r="C257" s="3" t="n"/>
      <c r="D257" s="3" t="n"/>
      <c r="E257" s="3" t="n"/>
      <c r="F257" s="10" t="n"/>
      <c r="G257" s="10" t="n"/>
      <c r="H257" s="10" t="n"/>
      <c r="I257" s="3" t="n"/>
      <c r="J257" s="3">
        <f>IF(tblEjecucion[[#This Row],[orden]]="","",tblEjecucion[[#This Row],[orden]]&amp;IF(tblEjecucion[[#This Row],[operacion]]="","0010",tblEjecucion[[#This Row],[operacion]]))</f>
        <v/>
      </c>
    </row>
    <row r="258">
      <c r="A258" s="3" t="n"/>
      <c r="B258" s="3" t="n"/>
      <c r="C258" s="3" t="n"/>
      <c r="D258" s="3" t="n"/>
      <c r="E258" s="3" t="n"/>
      <c r="F258" s="10" t="n"/>
      <c r="G258" s="10" t="n"/>
      <c r="H258" s="10" t="n"/>
      <c r="I258" s="3" t="n"/>
      <c r="J258" s="3">
        <f>IF(tblEjecucion[[#This Row],[orden]]="","",tblEjecucion[[#This Row],[orden]]&amp;IF(tblEjecucion[[#This Row],[operacion]]="","0010",tblEjecucion[[#This Row],[operacion]]))</f>
        <v/>
      </c>
    </row>
    <row r="259">
      <c r="A259" s="3" t="n"/>
      <c r="B259" s="3" t="n"/>
      <c r="C259" s="3" t="n"/>
      <c r="D259" s="3" t="n"/>
      <c r="E259" s="3" t="n"/>
      <c r="F259" s="10" t="n"/>
      <c r="G259" s="10" t="n"/>
      <c r="H259" s="10" t="n"/>
      <c r="I259" s="3" t="n"/>
      <c r="J259" s="3">
        <f>IF(tblEjecucion[[#This Row],[orden]]="","",tblEjecucion[[#This Row],[orden]]&amp;IF(tblEjecucion[[#This Row],[operacion]]="","0010",tblEjecucion[[#This Row],[operacion]]))</f>
        <v/>
      </c>
    </row>
    <row r="260">
      <c r="A260" s="3" t="n"/>
      <c r="B260" s="3" t="n"/>
      <c r="C260" s="3" t="n"/>
      <c r="D260" s="3" t="n"/>
      <c r="E260" s="3" t="n"/>
      <c r="F260" s="10" t="n"/>
      <c r="G260" s="10" t="n"/>
      <c r="H260" s="10" t="n"/>
      <c r="I260" s="3" t="n"/>
      <c r="J260" s="3">
        <f>IF(tblEjecucion[[#This Row],[orden]]="","",tblEjecucion[[#This Row],[orden]]&amp;IF(tblEjecucion[[#This Row],[operacion]]="","0010",tblEjecucion[[#This Row],[operacion]]))</f>
        <v/>
      </c>
    </row>
    <row r="261">
      <c r="A261" s="3" t="n"/>
      <c r="B261" s="3" t="n"/>
      <c r="C261" s="3" t="n"/>
      <c r="D261" s="3" t="n"/>
      <c r="E261" s="3" t="n"/>
      <c r="F261" s="10" t="n"/>
      <c r="G261" s="10" t="n"/>
      <c r="H261" s="10" t="n"/>
      <c r="I261" s="3" t="n"/>
      <c r="J261" s="3">
        <f>IF(tblEjecucion[[#This Row],[orden]]="","",tblEjecucion[[#This Row],[orden]]&amp;IF(tblEjecucion[[#This Row],[operacion]]="","0010",tblEjecucion[[#This Row],[operacion]]))</f>
        <v/>
      </c>
    </row>
    <row r="262">
      <c r="A262" s="3" t="n"/>
      <c r="B262" s="3" t="n"/>
      <c r="C262" s="3" t="n"/>
      <c r="D262" s="3" t="n"/>
      <c r="E262" s="3" t="n"/>
      <c r="F262" s="10" t="n"/>
      <c r="G262" s="10" t="n"/>
      <c r="H262" s="10" t="n"/>
      <c r="I262" s="3" t="n"/>
      <c r="J262" s="3">
        <f>IF(tblEjecucion[[#This Row],[orden]]="","",tblEjecucion[[#This Row],[orden]]&amp;IF(tblEjecucion[[#This Row],[operacion]]="","0010",tblEjecucion[[#This Row],[operacion]]))</f>
        <v/>
      </c>
    </row>
    <row r="263">
      <c r="A263" s="3" t="n"/>
      <c r="B263" s="3" t="n"/>
      <c r="C263" s="3" t="n"/>
      <c r="D263" s="3" t="n"/>
      <c r="E263" s="3" t="n"/>
      <c r="F263" s="10" t="n"/>
      <c r="G263" s="10" t="n"/>
      <c r="H263" s="10" t="n"/>
      <c r="I263" s="3" t="n"/>
      <c r="J263" s="3">
        <f>IF(tblEjecucion[[#This Row],[orden]]="","",tblEjecucion[[#This Row],[orden]]&amp;IF(tblEjecucion[[#This Row],[operacion]]="","0010",tblEjecucion[[#This Row],[operacion]]))</f>
        <v/>
      </c>
    </row>
    <row r="264">
      <c r="A264" s="3" t="n"/>
      <c r="B264" s="3" t="n"/>
      <c r="C264" s="3" t="n"/>
      <c r="D264" s="3" t="n"/>
      <c r="E264" s="3" t="n"/>
      <c r="F264" s="10" t="n"/>
      <c r="G264" s="10" t="n"/>
      <c r="H264" s="10" t="n"/>
      <c r="I264" s="3" t="n"/>
      <c r="J264" s="3">
        <f>IF(tblEjecucion[[#This Row],[orden]]="","",tblEjecucion[[#This Row],[orden]]&amp;IF(tblEjecucion[[#This Row],[operacion]]="","0010",tblEjecucion[[#This Row],[operacion]]))</f>
        <v/>
      </c>
    </row>
    <row r="265">
      <c r="A265" s="3" t="n"/>
      <c r="B265" s="3" t="n"/>
      <c r="C265" s="3" t="n"/>
      <c r="D265" s="3" t="n"/>
      <c r="E265" s="3" t="n"/>
      <c r="F265" s="10" t="n"/>
      <c r="G265" s="10" t="n"/>
      <c r="H265" s="10" t="n"/>
      <c r="I265" s="3" t="n"/>
      <c r="J265" s="3">
        <f>IF(tblEjecucion[[#This Row],[orden]]="","",tblEjecucion[[#This Row],[orden]]&amp;IF(tblEjecucion[[#This Row],[operacion]]="","0010",tblEjecucion[[#This Row],[operacion]]))</f>
        <v/>
      </c>
    </row>
    <row r="266">
      <c r="A266" s="3" t="n"/>
      <c r="B266" s="3" t="n"/>
      <c r="C266" s="3" t="n"/>
      <c r="D266" s="3" t="n"/>
      <c r="E266" s="3" t="n"/>
      <c r="F266" s="10" t="n"/>
      <c r="G266" s="10" t="n"/>
      <c r="H266" s="10" t="n"/>
      <c r="I266" s="3" t="n"/>
      <c r="J266" s="3">
        <f>IF(tblEjecucion[[#This Row],[orden]]="","",tblEjecucion[[#This Row],[orden]]&amp;IF(tblEjecucion[[#This Row],[operacion]]="","0010",tblEjecucion[[#This Row],[operacion]]))</f>
        <v/>
      </c>
    </row>
    <row r="267">
      <c r="A267" s="3" t="n"/>
      <c r="B267" s="3" t="n"/>
      <c r="C267" s="3" t="n"/>
      <c r="D267" s="3" t="n"/>
      <c r="E267" s="3" t="n"/>
      <c r="F267" s="10" t="n"/>
      <c r="G267" s="10" t="n"/>
      <c r="H267" s="10" t="n"/>
      <c r="I267" s="3" t="n"/>
      <c r="J267" s="3">
        <f>IF(tblEjecucion[[#This Row],[orden]]="","",tblEjecucion[[#This Row],[orden]]&amp;IF(tblEjecucion[[#This Row],[operacion]]="","0010",tblEjecucion[[#This Row],[operacion]]))</f>
        <v/>
      </c>
    </row>
    <row r="268">
      <c r="A268" s="3" t="n"/>
      <c r="B268" s="3" t="n"/>
      <c r="C268" s="3" t="n"/>
      <c r="D268" s="3" t="n"/>
      <c r="E268" s="3" t="n"/>
      <c r="F268" s="10" t="n"/>
      <c r="G268" s="10" t="n"/>
      <c r="H268" s="10" t="n"/>
      <c r="I268" s="3" t="n"/>
      <c r="J268" s="3">
        <f>IF(tblEjecucion[[#This Row],[orden]]="","",tblEjecucion[[#This Row],[orden]]&amp;IF(tblEjecucion[[#This Row],[operacion]]="","0010",tblEjecucion[[#This Row],[operacion]]))</f>
        <v/>
      </c>
    </row>
    <row r="269">
      <c r="A269" s="3" t="n"/>
      <c r="B269" s="3" t="n"/>
      <c r="C269" s="3" t="n"/>
      <c r="D269" s="3" t="n"/>
      <c r="E269" s="3" t="n"/>
      <c r="F269" s="10" t="n"/>
      <c r="G269" s="10" t="n"/>
      <c r="H269" s="10" t="n"/>
      <c r="I269" s="3" t="n"/>
      <c r="J269" s="3">
        <f>IF(tblEjecucion[[#This Row],[orden]]="","",tblEjecucion[[#This Row],[orden]]&amp;IF(tblEjecucion[[#This Row],[operacion]]="","0010",tblEjecucion[[#This Row],[operacion]]))</f>
        <v/>
      </c>
    </row>
    <row r="270">
      <c r="A270" s="3" t="n"/>
      <c r="B270" s="3" t="n"/>
      <c r="C270" s="3" t="n"/>
      <c r="D270" s="3" t="n"/>
      <c r="E270" s="3" t="n"/>
      <c r="F270" s="10" t="n"/>
      <c r="G270" s="10" t="n"/>
      <c r="H270" s="10" t="n"/>
      <c r="I270" s="3" t="n"/>
      <c r="J270" s="3">
        <f>IF(tblEjecucion[[#This Row],[orden]]="","",tblEjecucion[[#This Row],[orden]]&amp;IF(tblEjecucion[[#This Row],[operacion]]="","0010",tblEjecucion[[#This Row],[operacion]]))</f>
        <v/>
      </c>
    </row>
    <row r="271">
      <c r="A271" s="3" t="n"/>
      <c r="B271" s="3" t="n"/>
      <c r="C271" s="3" t="n"/>
      <c r="D271" s="3" t="n"/>
      <c r="E271" s="3" t="n"/>
      <c r="F271" s="10" t="n"/>
      <c r="G271" s="10" t="n"/>
      <c r="H271" s="10" t="n"/>
      <c r="I271" s="3" t="n"/>
      <c r="J271" s="3">
        <f>IF(tblEjecucion[[#This Row],[orden]]="","",tblEjecucion[[#This Row],[orden]]&amp;IF(tblEjecucion[[#This Row],[operacion]]="","0010",tblEjecucion[[#This Row],[operacion]]))</f>
        <v/>
      </c>
    </row>
    <row r="272">
      <c r="A272" s="3" t="n"/>
      <c r="B272" s="3" t="n"/>
      <c r="C272" s="3" t="n"/>
      <c r="D272" s="3" t="n"/>
      <c r="E272" s="3" t="n"/>
      <c r="F272" s="10" t="n"/>
      <c r="G272" s="10" t="n"/>
      <c r="H272" s="10" t="n"/>
      <c r="I272" s="3" t="n"/>
      <c r="J272" s="3">
        <f>IF(tblEjecucion[[#This Row],[orden]]="","",tblEjecucion[[#This Row],[orden]]&amp;IF(tblEjecucion[[#This Row],[operacion]]="","0010",tblEjecucion[[#This Row],[operacion]]))</f>
        <v/>
      </c>
    </row>
    <row r="273">
      <c r="A273" s="3" t="n"/>
      <c r="B273" s="3" t="n"/>
      <c r="C273" s="3" t="n"/>
      <c r="D273" s="3" t="n"/>
      <c r="E273" s="3" t="n"/>
      <c r="F273" s="10" t="n"/>
      <c r="G273" s="10" t="n"/>
      <c r="H273" s="10" t="n"/>
      <c r="I273" s="3" t="n"/>
      <c r="J273" s="3">
        <f>IF(tblEjecucion[[#This Row],[orden]]="","",tblEjecucion[[#This Row],[orden]]&amp;IF(tblEjecucion[[#This Row],[operacion]]="","0010",tblEjecucion[[#This Row],[operacion]]))</f>
        <v/>
      </c>
    </row>
    <row r="274">
      <c r="A274" s="3" t="n"/>
      <c r="B274" s="3" t="n"/>
      <c r="C274" s="3" t="n"/>
      <c r="D274" s="3" t="n"/>
      <c r="E274" s="3" t="n"/>
      <c r="F274" s="10" t="n"/>
      <c r="G274" s="10" t="n"/>
      <c r="H274" s="10" t="n"/>
      <c r="I274" s="3" t="n"/>
      <c r="J274" s="3">
        <f>IF(tblEjecucion[[#This Row],[orden]]="","",tblEjecucion[[#This Row],[orden]]&amp;IF(tblEjecucion[[#This Row],[operacion]]="","0010",tblEjecucion[[#This Row],[operacion]]))</f>
        <v/>
      </c>
    </row>
    <row r="275">
      <c r="A275" s="3" t="n"/>
      <c r="B275" s="3" t="n"/>
      <c r="C275" s="3" t="n"/>
      <c r="D275" s="3" t="n"/>
      <c r="E275" s="3" t="n"/>
      <c r="F275" s="10" t="n"/>
      <c r="G275" s="10" t="n"/>
      <c r="H275" s="10" t="n"/>
      <c r="I275" s="3" t="n"/>
      <c r="J275" s="3">
        <f>IF(tblEjecucion[[#This Row],[orden]]="","",tblEjecucion[[#This Row],[orden]]&amp;IF(tblEjecucion[[#This Row],[operacion]]="","0010",tblEjecucion[[#This Row],[operacion]]))</f>
        <v/>
      </c>
    </row>
    <row r="276">
      <c r="A276" s="3" t="n"/>
      <c r="B276" s="3" t="n"/>
      <c r="C276" s="3" t="n"/>
      <c r="D276" s="3" t="n"/>
      <c r="E276" s="3" t="n"/>
      <c r="F276" s="10" t="n"/>
      <c r="G276" s="10" t="n"/>
      <c r="H276" s="10" t="n"/>
      <c r="I276" s="3" t="n"/>
      <c r="J276" s="3">
        <f>IF(tblEjecucion[[#This Row],[orden]]="","",tblEjecucion[[#This Row],[orden]]&amp;IF(tblEjecucion[[#This Row],[operacion]]="","0010",tblEjecucion[[#This Row],[operacion]]))</f>
        <v/>
      </c>
    </row>
    <row r="277">
      <c r="A277" s="3" t="n"/>
      <c r="B277" s="3" t="n"/>
      <c r="C277" s="3" t="n"/>
      <c r="D277" s="3" t="n"/>
      <c r="E277" s="3" t="n"/>
      <c r="F277" s="10" t="n"/>
      <c r="G277" s="10" t="n"/>
      <c r="H277" s="10" t="n"/>
      <c r="I277" s="3" t="n"/>
      <c r="J277" s="3">
        <f>IF(tblEjecucion[[#This Row],[orden]]="","",tblEjecucion[[#This Row],[orden]]&amp;IF(tblEjecucion[[#This Row],[operacion]]="","0010",tblEjecucion[[#This Row],[operacion]]))</f>
        <v/>
      </c>
    </row>
    <row r="278">
      <c r="A278" s="3" t="n"/>
      <c r="B278" s="3" t="n"/>
      <c r="C278" s="3" t="n"/>
      <c r="D278" s="3" t="n"/>
      <c r="E278" s="3" t="n"/>
      <c r="F278" s="10" t="n"/>
      <c r="G278" s="10" t="n"/>
      <c r="H278" s="10" t="n"/>
      <c r="I278" s="3" t="n"/>
      <c r="J278" s="3">
        <f>IF(tblEjecucion[[#This Row],[orden]]="","",tblEjecucion[[#This Row],[orden]]&amp;IF(tblEjecucion[[#This Row],[operacion]]="","0010",tblEjecucion[[#This Row],[operacion]]))</f>
        <v/>
      </c>
    </row>
    <row r="279">
      <c r="A279" s="3" t="n"/>
      <c r="B279" s="3" t="n"/>
      <c r="C279" s="3" t="n"/>
      <c r="D279" s="3" t="n"/>
      <c r="E279" s="3" t="n"/>
      <c r="F279" s="10" t="n"/>
      <c r="G279" s="10" t="n"/>
      <c r="H279" s="10" t="n"/>
      <c r="I279" s="3" t="n"/>
      <c r="J279" s="3">
        <f>IF(tblEjecucion[[#This Row],[orden]]="","",tblEjecucion[[#This Row],[orden]]&amp;IF(tblEjecucion[[#This Row],[operacion]]="","0010",tblEjecucion[[#This Row],[operacion]]))</f>
        <v/>
      </c>
    </row>
    <row r="280">
      <c r="A280" s="3" t="n"/>
      <c r="B280" s="3" t="n"/>
      <c r="C280" s="3" t="n"/>
      <c r="D280" s="3" t="n"/>
      <c r="E280" s="3" t="n"/>
      <c r="F280" s="10" t="n"/>
      <c r="G280" s="10" t="n"/>
      <c r="H280" s="10" t="n"/>
      <c r="I280" s="3" t="n"/>
      <c r="J280" s="3">
        <f>IF(tblEjecucion[[#This Row],[orden]]="","",tblEjecucion[[#This Row],[orden]]&amp;IF(tblEjecucion[[#This Row],[operacion]]="","0010",tblEjecucion[[#This Row],[operacion]]))</f>
        <v/>
      </c>
    </row>
    <row r="281">
      <c r="A281" s="3" t="n"/>
      <c r="B281" s="3" t="n"/>
      <c r="C281" s="3" t="n"/>
      <c r="D281" s="3" t="n"/>
      <c r="E281" s="3" t="n"/>
      <c r="F281" s="10" t="n"/>
      <c r="G281" s="10" t="n"/>
      <c r="H281" s="10" t="n"/>
      <c r="I281" s="3" t="n"/>
      <c r="J281" s="3">
        <f>IF(tblEjecucion[[#This Row],[orden]]="","",tblEjecucion[[#This Row],[orden]]&amp;IF(tblEjecucion[[#This Row],[operacion]]="","0010",tblEjecucion[[#This Row],[operacion]]))</f>
        <v/>
      </c>
    </row>
    <row r="282">
      <c r="A282" s="3" t="n"/>
      <c r="B282" s="3" t="n"/>
      <c r="C282" s="3" t="n"/>
      <c r="D282" s="3" t="n"/>
      <c r="E282" s="3" t="n"/>
      <c r="F282" s="10" t="n"/>
      <c r="G282" s="10" t="n"/>
      <c r="H282" s="10" t="n"/>
      <c r="I282" s="3" t="n"/>
      <c r="J282" s="3">
        <f>IF(tblEjecucion[[#This Row],[orden]]="","",tblEjecucion[[#This Row],[orden]]&amp;IF(tblEjecucion[[#This Row],[operacion]]="","0010",tblEjecucion[[#This Row],[operacion]]))</f>
        <v/>
      </c>
    </row>
    <row r="283">
      <c r="A283" s="3" t="n"/>
      <c r="B283" s="3" t="n"/>
      <c r="C283" s="3" t="n"/>
      <c r="D283" s="3" t="n"/>
      <c r="E283" s="3" t="n"/>
      <c r="F283" s="10" t="n"/>
      <c r="G283" s="10" t="n"/>
      <c r="H283" s="10" t="n"/>
      <c r="I283" s="3" t="n"/>
      <c r="J283" s="3">
        <f>IF(tblEjecucion[[#This Row],[orden]]="","",tblEjecucion[[#This Row],[orden]]&amp;IF(tblEjecucion[[#This Row],[operacion]]="","0010",tblEjecucion[[#This Row],[operacion]]))</f>
        <v/>
      </c>
    </row>
    <row r="284">
      <c r="A284" s="3" t="n"/>
      <c r="B284" s="3" t="n"/>
      <c r="C284" s="3" t="n"/>
      <c r="D284" s="3" t="n"/>
      <c r="E284" s="3" t="n"/>
      <c r="F284" s="10" t="n"/>
      <c r="G284" s="10" t="n"/>
      <c r="H284" s="10" t="n"/>
      <c r="I284" s="3" t="n"/>
      <c r="J284" s="3">
        <f>IF(tblEjecucion[[#This Row],[orden]]="","",tblEjecucion[[#This Row],[orden]]&amp;IF(tblEjecucion[[#This Row],[operacion]]="","0010",tblEjecucion[[#This Row],[operacion]]))</f>
        <v/>
      </c>
    </row>
    <row r="285">
      <c r="A285" s="3" t="n"/>
      <c r="B285" s="3" t="n"/>
      <c r="C285" s="3" t="n"/>
      <c r="D285" s="3" t="n"/>
      <c r="E285" s="3" t="n"/>
      <c r="F285" s="10" t="n"/>
      <c r="G285" s="10" t="n"/>
      <c r="H285" s="10" t="n"/>
      <c r="I285" s="3" t="n"/>
      <c r="J285" s="3">
        <f>IF(tblEjecucion[[#This Row],[orden]]="","",tblEjecucion[[#This Row],[orden]]&amp;IF(tblEjecucion[[#This Row],[operacion]]="","0010",tblEjecucion[[#This Row],[operacion]]))</f>
        <v/>
      </c>
    </row>
    <row r="286">
      <c r="A286" s="3" t="n"/>
      <c r="B286" s="3" t="n"/>
      <c r="C286" s="3" t="n"/>
      <c r="D286" s="3" t="n"/>
      <c r="E286" s="3" t="n"/>
      <c r="F286" s="10" t="n"/>
      <c r="G286" s="10" t="n"/>
      <c r="H286" s="10" t="n"/>
      <c r="I286" s="3" t="n"/>
      <c r="J286" s="3">
        <f>IF(tblEjecucion[[#This Row],[orden]]="","",tblEjecucion[[#This Row],[orden]]&amp;IF(tblEjecucion[[#This Row],[operacion]]="","0010",tblEjecucion[[#This Row],[operacion]]))</f>
        <v/>
      </c>
    </row>
    <row r="287">
      <c r="A287" s="3" t="n"/>
      <c r="B287" s="3" t="n"/>
      <c r="C287" s="3" t="n"/>
      <c r="D287" s="3" t="n"/>
      <c r="E287" s="3" t="n"/>
      <c r="F287" s="10" t="n"/>
      <c r="G287" s="10" t="n"/>
      <c r="H287" s="10" t="n"/>
      <c r="I287" s="3" t="n"/>
      <c r="J287" s="3">
        <f>IF(tblEjecucion[[#This Row],[orden]]="","",tblEjecucion[[#This Row],[orden]]&amp;IF(tblEjecucion[[#This Row],[operacion]]="","0010",tblEjecucion[[#This Row],[operacion]]))</f>
        <v/>
      </c>
    </row>
    <row r="288">
      <c r="A288" s="3" t="n"/>
      <c r="B288" s="3" t="n"/>
      <c r="C288" s="3" t="n"/>
      <c r="D288" s="3" t="n"/>
      <c r="E288" s="3" t="n"/>
      <c r="F288" s="10" t="n"/>
      <c r="G288" s="10" t="n"/>
      <c r="H288" s="10" t="n"/>
      <c r="I288" s="3" t="n"/>
      <c r="J288" s="3">
        <f>IF(tblEjecucion[[#This Row],[orden]]="","",tblEjecucion[[#This Row],[orden]]&amp;IF(tblEjecucion[[#This Row],[operacion]]="","0010",tblEjecucion[[#This Row],[operacion]]))</f>
        <v/>
      </c>
    </row>
    <row r="289">
      <c r="A289" s="3" t="n"/>
      <c r="B289" s="3" t="n"/>
      <c r="C289" s="3" t="n"/>
      <c r="D289" s="3" t="n"/>
      <c r="E289" s="3" t="n"/>
      <c r="F289" s="10" t="n"/>
      <c r="G289" s="10" t="n"/>
      <c r="H289" s="10" t="n"/>
      <c r="I289" s="3" t="n"/>
      <c r="J289" s="3">
        <f>IF(tblEjecucion[[#This Row],[orden]]="","",tblEjecucion[[#This Row],[orden]]&amp;IF(tblEjecucion[[#This Row],[operacion]]="","0010",tblEjecucion[[#This Row],[operacion]]))</f>
        <v/>
      </c>
    </row>
    <row r="290">
      <c r="A290" s="3" t="n"/>
      <c r="B290" s="3" t="n"/>
      <c r="C290" s="3" t="n"/>
      <c r="D290" s="3" t="n"/>
      <c r="E290" s="3" t="n"/>
      <c r="F290" s="10" t="n"/>
      <c r="G290" s="10" t="n"/>
      <c r="H290" s="10" t="n"/>
      <c r="I290" s="3" t="n"/>
      <c r="J290" s="3">
        <f>IF(tblEjecucion[[#This Row],[orden]]="","",tblEjecucion[[#This Row],[orden]]&amp;IF(tblEjecucion[[#This Row],[operacion]]="","0010",tblEjecucion[[#This Row],[operacion]]))</f>
        <v/>
      </c>
    </row>
    <row r="291">
      <c r="A291" s="3" t="n"/>
      <c r="B291" s="3" t="n"/>
      <c r="C291" s="3" t="n"/>
      <c r="D291" s="3" t="n"/>
      <c r="E291" s="3" t="n"/>
      <c r="F291" s="10" t="n"/>
      <c r="G291" s="10" t="n"/>
      <c r="H291" s="10" t="n"/>
      <c r="I291" s="3" t="n"/>
      <c r="J291" s="3">
        <f>IF(tblEjecucion[[#This Row],[orden]]="","",tblEjecucion[[#This Row],[orden]]&amp;IF(tblEjecucion[[#This Row],[operacion]]="","0010",tblEjecucion[[#This Row],[operacion]]))</f>
        <v/>
      </c>
    </row>
    <row r="292">
      <c r="A292" s="3" t="n"/>
      <c r="B292" s="3" t="n"/>
      <c r="C292" s="3" t="n"/>
      <c r="D292" s="3" t="n"/>
      <c r="E292" s="3" t="n"/>
      <c r="F292" s="10" t="n"/>
      <c r="G292" s="10" t="n"/>
      <c r="H292" s="10" t="n"/>
      <c r="I292" s="3" t="n"/>
      <c r="J292" s="3">
        <f>IF(tblEjecucion[[#This Row],[orden]]="","",tblEjecucion[[#This Row],[orden]]&amp;IF(tblEjecucion[[#This Row],[operacion]]="","0010",tblEjecucion[[#This Row],[operacion]]))</f>
        <v/>
      </c>
    </row>
    <row r="293">
      <c r="A293" s="3" t="n"/>
      <c r="B293" s="3" t="n"/>
      <c r="C293" s="3" t="n"/>
      <c r="D293" s="3" t="n"/>
      <c r="E293" s="3" t="n"/>
      <c r="F293" s="10" t="n"/>
      <c r="G293" s="10" t="n"/>
      <c r="H293" s="10" t="n"/>
      <c r="I293" s="3" t="n"/>
      <c r="J293" s="3">
        <f>IF(tblEjecucion[[#This Row],[orden]]="","",tblEjecucion[[#This Row],[orden]]&amp;IF(tblEjecucion[[#This Row],[operacion]]="","0010",tblEjecucion[[#This Row],[operacion]]))</f>
        <v/>
      </c>
    </row>
    <row r="294">
      <c r="A294" s="3" t="n"/>
      <c r="B294" s="3" t="n"/>
      <c r="C294" s="3" t="n"/>
      <c r="D294" s="3" t="n"/>
      <c r="E294" s="3" t="n"/>
      <c r="F294" s="10" t="n"/>
      <c r="G294" s="10" t="n"/>
      <c r="H294" s="10" t="n"/>
      <c r="I294" s="3" t="n"/>
      <c r="J294" s="3">
        <f>IF(tblEjecucion[[#This Row],[orden]]="","",tblEjecucion[[#This Row],[orden]]&amp;IF(tblEjecucion[[#This Row],[operacion]]="","0010",tblEjecucion[[#This Row],[operacion]]))</f>
        <v/>
      </c>
    </row>
    <row r="295">
      <c r="A295" s="3" t="n"/>
      <c r="B295" s="3" t="n"/>
      <c r="C295" s="3" t="n"/>
      <c r="D295" s="3" t="n"/>
      <c r="E295" s="3" t="n"/>
      <c r="F295" s="10" t="n"/>
      <c r="G295" s="10" t="n"/>
      <c r="H295" s="10" t="n"/>
      <c r="I295" s="3" t="n"/>
      <c r="J295" s="3">
        <f>IF(tblEjecucion[[#This Row],[orden]]="","",tblEjecucion[[#This Row],[orden]]&amp;IF(tblEjecucion[[#This Row],[operacion]]="","0010",tblEjecucion[[#This Row],[operacion]]))</f>
        <v/>
      </c>
    </row>
    <row r="296">
      <c r="A296" s="3" t="n"/>
      <c r="B296" s="3" t="n"/>
      <c r="C296" s="3" t="n"/>
      <c r="D296" s="3" t="n"/>
      <c r="E296" s="3" t="n"/>
      <c r="F296" s="10" t="n"/>
      <c r="G296" s="10" t="n"/>
      <c r="H296" s="10" t="n"/>
      <c r="I296" s="3" t="n"/>
      <c r="J296" s="3">
        <f>IF(tblEjecucion[[#This Row],[orden]]="","",tblEjecucion[[#This Row],[orden]]&amp;IF(tblEjecucion[[#This Row],[operacion]]="","0010",tblEjecucion[[#This Row],[operacion]]))</f>
        <v/>
      </c>
    </row>
    <row r="297">
      <c r="A297" s="3" t="n"/>
      <c r="B297" s="3" t="n"/>
      <c r="C297" s="3" t="n"/>
      <c r="D297" s="3" t="n"/>
      <c r="E297" s="3" t="n"/>
      <c r="F297" s="10" t="n"/>
      <c r="G297" s="10" t="n"/>
      <c r="H297" s="10" t="n"/>
      <c r="I297" s="3" t="n"/>
      <c r="J297" s="3">
        <f>IF(tblEjecucion[[#This Row],[orden]]="","",tblEjecucion[[#This Row],[orden]]&amp;IF(tblEjecucion[[#This Row],[operacion]]="","0010",tblEjecucion[[#This Row],[operacion]]))</f>
        <v/>
      </c>
    </row>
    <row r="298">
      <c r="A298" s="3" t="n"/>
      <c r="B298" s="3" t="n"/>
      <c r="C298" s="3" t="n"/>
      <c r="D298" s="3" t="n"/>
      <c r="E298" s="3" t="n"/>
      <c r="F298" s="10" t="n"/>
      <c r="G298" s="10" t="n"/>
      <c r="H298" s="10" t="n"/>
      <c r="I298" s="3" t="n"/>
      <c r="J298" s="3">
        <f>IF(tblEjecucion[[#This Row],[orden]]="","",tblEjecucion[[#This Row],[orden]]&amp;IF(tblEjecucion[[#This Row],[operacion]]="","0010",tblEjecucion[[#This Row],[operacion]]))</f>
        <v/>
      </c>
    </row>
    <row r="299">
      <c r="A299" s="3" t="n"/>
      <c r="B299" s="3" t="n"/>
      <c r="C299" s="3" t="n"/>
      <c r="D299" s="3" t="n"/>
      <c r="E299" s="3" t="n"/>
      <c r="F299" s="10" t="n"/>
      <c r="G299" s="10" t="n"/>
      <c r="H299" s="10" t="n"/>
      <c r="I299" s="3" t="n"/>
      <c r="J299" s="3">
        <f>IF(tblEjecucion[[#This Row],[orden]]="","",tblEjecucion[[#This Row],[orden]]&amp;IF(tblEjecucion[[#This Row],[operacion]]="","0010",tblEjecucion[[#This Row],[operacion]]))</f>
        <v/>
      </c>
    </row>
    <row r="300">
      <c r="A300" s="3" t="n"/>
      <c r="B300" s="3" t="n"/>
      <c r="C300" s="3" t="n"/>
      <c r="D300" s="3" t="n"/>
      <c r="E300" s="3" t="n"/>
      <c r="F300" s="10" t="n"/>
      <c r="G300" s="10" t="n"/>
      <c r="H300" s="10" t="n"/>
      <c r="I300" s="3" t="n"/>
      <c r="J300" s="3">
        <f>IF(tblEjecucion[[#This Row],[orden]]="","",tblEjecucion[[#This Row],[orden]]&amp;IF(tblEjecucion[[#This Row],[operacion]]="","0010",tblEjecucion[[#This Row],[operacion]]))</f>
        <v/>
      </c>
    </row>
    <row r="301">
      <c r="A301" s="3" t="n"/>
      <c r="B301" s="3" t="n"/>
      <c r="C301" s="3" t="n"/>
      <c r="D301" s="3" t="n"/>
      <c r="E301" s="3" t="n"/>
      <c r="F301" s="10" t="n"/>
      <c r="G301" s="10" t="n"/>
      <c r="H301" s="10" t="n"/>
      <c r="I301" s="3" t="n"/>
      <c r="J301" s="3">
        <f>IF(tblEjecucion[[#This Row],[orden]]="","",tblEjecucion[[#This Row],[orden]]&amp;IF(tblEjecucion[[#This Row],[operacion]]="","0010",tblEjecucion[[#This Row],[operacion]]))</f>
        <v/>
      </c>
    </row>
    <row r="302">
      <c r="A302" s="3" t="n"/>
      <c r="B302" s="3" t="n"/>
      <c r="C302" s="3" t="n"/>
      <c r="D302" s="3" t="n"/>
      <c r="E302" s="3" t="n"/>
      <c r="F302" s="10" t="n"/>
      <c r="G302" s="10" t="n"/>
      <c r="H302" s="10" t="n"/>
      <c r="I302" s="3" t="n"/>
      <c r="J302" s="3">
        <f>IF(tblEjecucion[[#This Row],[orden]]="","",tblEjecucion[[#This Row],[orden]]&amp;IF(tblEjecucion[[#This Row],[operacion]]="","0010",tblEjecucion[[#This Row],[operacion]]))</f>
        <v/>
      </c>
    </row>
    <row r="303">
      <c r="A303" s="3" t="n"/>
      <c r="B303" s="3" t="n"/>
      <c r="C303" s="3" t="n"/>
      <c r="D303" s="3" t="n"/>
      <c r="E303" s="3" t="n"/>
      <c r="F303" s="10" t="n"/>
      <c r="G303" s="10" t="n"/>
      <c r="H303" s="10" t="n"/>
      <c r="I303" s="3" t="n"/>
      <c r="J303" s="3">
        <f>IF(tblEjecucion[[#This Row],[orden]]="","",tblEjecucion[[#This Row],[orden]]&amp;IF(tblEjecucion[[#This Row],[operacion]]="","0010",tblEjecucion[[#This Row],[operacion]]))</f>
        <v/>
      </c>
    </row>
    <row r="304">
      <c r="A304" s="3" t="n"/>
      <c r="B304" s="3" t="n"/>
      <c r="C304" s="3" t="n"/>
      <c r="D304" s="3" t="n"/>
      <c r="E304" s="3" t="n"/>
      <c r="F304" s="10" t="n"/>
      <c r="G304" s="10" t="n"/>
      <c r="H304" s="10" t="n"/>
      <c r="I304" s="3" t="n"/>
      <c r="J304" s="3">
        <f>IF(tblEjecucion[[#This Row],[orden]]="","",tblEjecucion[[#This Row],[orden]]&amp;IF(tblEjecucion[[#This Row],[operacion]]="","0010",tblEjecucion[[#This Row],[operacion]]))</f>
        <v/>
      </c>
    </row>
    <row r="305">
      <c r="A305" s="3" t="n"/>
      <c r="B305" s="3" t="n"/>
      <c r="C305" s="3" t="n"/>
      <c r="D305" s="3" t="n"/>
      <c r="E305" s="3" t="n"/>
      <c r="F305" s="10" t="n"/>
      <c r="G305" s="10" t="n"/>
      <c r="H305" s="10" t="n"/>
      <c r="I305" s="3" t="n"/>
      <c r="J305" s="3">
        <f>IF(tblEjecucion[[#This Row],[orden]]="","",tblEjecucion[[#This Row],[orden]]&amp;IF(tblEjecucion[[#This Row],[operacion]]="","0010",tblEjecucion[[#This Row],[operacion]]))</f>
        <v/>
      </c>
    </row>
    <row r="306">
      <c r="A306" s="3" t="n"/>
      <c r="B306" s="3" t="n"/>
      <c r="C306" s="3" t="n"/>
      <c r="D306" s="3" t="n"/>
      <c r="E306" s="3" t="n"/>
      <c r="F306" s="10" t="n"/>
      <c r="G306" s="10" t="n"/>
      <c r="H306" s="10" t="n"/>
      <c r="I306" s="3" t="n"/>
      <c r="J306" s="3">
        <f>IF(tblEjecucion[[#This Row],[orden]]="","",tblEjecucion[[#This Row],[orden]]&amp;IF(tblEjecucion[[#This Row],[operacion]]="","0010",tblEjecucion[[#This Row],[operacion]]))</f>
        <v/>
      </c>
    </row>
    <row r="307">
      <c r="A307" s="3" t="n"/>
      <c r="B307" s="3" t="n"/>
      <c r="C307" s="3" t="n"/>
      <c r="D307" s="3" t="n"/>
      <c r="E307" s="3" t="n"/>
      <c r="F307" s="10" t="n"/>
      <c r="G307" s="10" t="n"/>
      <c r="H307" s="10" t="n"/>
      <c r="I307" s="3" t="n"/>
      <c r="J307" s="3">
        <f>IF(tblEjecucion[[#This Row],[orden]]="","",tblEjecucion[[#This Row],[orden]]&amp;IF(tblEjecucion[[#This Row],[operacion]]="","0010",tblEjecucion[[#This Row],[operacion]]))</f>
        <v/>
      </c>
    </row>
    <row r="308">
      <c r="A308" s="3" t="n"/>
      <c r="B308" s="3" t="n"/>
      <c r="C308" s="3" t="n"/>
      <c r="D308" s="3" t="n"/>
      <c r="E308" s="3" t="n"/>
      <c r="F308" s="10" t="n"/>
      <c r="G308" s="10" t="n"/>
      <c r="H308" s="10" t="n"/>
      <c r="I308" s="3" t="n"/>
      <c r="J308" s="3">
        <f>IF(tblEjecucion[[#This Row],[orden]]="","",tblEjecucion[[#This Row],[orden]]&amp;IF(tblEjecucion[[#This Row],[operacion]]="","0010",tblEjecucion[[#This Row],[operacion]]))</f>
        <v/>
      </c>
    </row>
    <row r="309">
      <c r="A309" s="3" t="n"/>
      <c r="B309" s="3" t="n"/>
      <c r="C309" s="3" t="n"/>
      <c r="D309" s="3" t="n"/>
      <c r="E309" s="3" t="n"/>
      <c r="F309" s="10" t="n"/>
      <c r="G309" s="10" t="n"/>
      <c r="H309" s="10" t="n"/>
      <c r="I309" s="3" t="n"/>
      <c r="J309" s="3">
        <f>IF(tblEjecucion[[#This Row],[orden]]="","",tblEjecucion[[#This Row],[orden]]&amp;IF(tblEjecucion[[#This Row],[operacion]]="","0010",tblEjecucion[[#This Row],[operacion]]))</f>
        <v/>
      </c>
    </row>
    <row r="310">
      <c r="A310" s="3" t="n"/>
      <c r="B310" s="3" t="n"/>
      <c r="C310" s="3" t="n"/>
      <c r="D310" s="3" t="n"/>
      <c r="E310" s="3" t="n"/>
      <c r="F310" s="10" t="n"/>
      <c r="G310" s="10" t="n"/>
      <c r="H310" s="10" t="n"/>
      <c r="I310" s="3" t="n"/>
      <c r="J310" s="3">
        <f>IF(tblEjecucion[[#This Row],[orden]]="","",tblEjecucion[[#This Row],[orden]]&amp;IF(tblEjecucion[[#This Row],[operacion]]="","0010",tblEjecucion[[#This Row],[operacion]]))</f>
        <v/>
      </c>
    </row>
    <row r="311">
      <c r="A311" s="3" t="n"/>
      <c r="B311" s="3" t="n"/>
      <c r="C311" s="3" t="n"/>
      <c r="D311" s="3" t="n"/>
      <c r="E311" s="3" t="n"/>
      <c r="F311" s="10" t="n"/>
      <c r="G311" s="10" t="n"/>
      <c r="H311" s="10" t="n"/>
      <c r="I311" s="3" t="n"/>
      <c r="J311" s="3">
        <f>IF(tblEjecucion[[#This Row],[orden]]="","",tblEjecucion[[#This Row],[orden]]&amp;IF(tblEjecucion[[#This Row],[operacion]]="","0010",tblEjecucion[[#This Row],[operacion]]))</f>
        <v/>
      </c>
    </row>
    <row r="312">
      <c r="A312" s="3" t="n"/>
      <c r="B312" s="3" t="n"/>
      <c r="C312" s="3" t="n"/>
      <c r="D312" s="3" t="n"/>
      <c r="E312" s="3" t="n"/>
      <c r="F312" s="10" t="n"/>
      <c r="G312" s="10" t="n"/>
      <c r="H312" s="10" t="n"/>
      <c r="I312" s="3" t="n"/>
      <c r="J312" s="3">
        <f>IF(tblEjecucion[[#This Row],[orden]]="","",tblEjecucion[[#This Row],[orden]]&amp;IF(tblEjecucion[[#This Row],[operacion]]="","0010",tblEjecucion[[#This Row],[operacion]]))</f>
        <v/>
      </c>
    </row>
    <row r="313">
      <c r="A313" s="3" t="n"/>
      <c r="B313" s="3" t="n"/>
      <c r="C313" s="3" t="n"/>
      <c r="D313" s="3" t="n"/>
      <c r="E313" s="3" t="n"/>
      <c r="F313" s="10" t="n"/>
      <c r="G313" s="10" t="n"/>
      <c r="H313" s="10" t="n"/>
      <c r="I313" s="3" t="n"/>
      <c r="J313" s="3">
        <f>IF(tblEjecucion[[#This Row],[orden]]="","",tblEjecucion[[#This Row],[orden]]&amp;IF(tblEjecucion[[#This Row],[operacion]]="","0010",tblEjecucion[[#This Row],[operacion]]))</f>
        <v/>
      </c>
    </row>
    <row r="314">
      <c r="A314" s="3" t="n"/>
      <c r="B314" s="3" t="n"/>
      <c r="C314" s="3" t="n"/>
      <c r="D314" s="3" t="n"/>
      <c r="E314" s="3" t="n"/>
      <c r="F314" s="10" t="n"/>
      <c r="G314" s="10" t="n"/>
      <c r="H314" s="10" t="n"/>
      <c r="I314" s="3" t="n"/>
      <c r="J314" s="3">
        <f>IF(tblEjecucion[[#This Row],[orden]]="","",tblEjecucion[[#This Row],[orden]]&amp;IF(tblEjecucion[[#This Row],[operacion]]="","0010",tblEjecucion[[#This Row],[operacion]]))</f>
        <v/>
      </c>
    </row>
    <row r="315">
      <c r="A315" s="3" t="n"/>
      <c r="B315" s="3" t="n"/>
      <c r="C315" s="3" t="n"/>
      <c r="D315" s="3" t="n"/>
      <c r="E315" s="3" t="n"/>
      <c r="F315" s="10" t="n"/>
      <c r="G315" s="10" t="n"/>
      <c r="H315" s="10" t="n"/>
      <c r="I315" s="3" t="n"/>
      <c r="J315" s="3">
        <f>IF(tblEjecucion[[#This Row],[orden]]="","",tblEjecucion[[#This Row],[orden]]&amp;IF(tblEjecucion[[#This Row],[operacion]]="","0010",tblEjecucion[[#This Row],[operacion]]))</f>
        <v/>
      </c>
    </row>
    <row r="316">
      <c r="A316" s="3" t="n"/>
      <c r="B316" s="3" t="n"/>
      <c r="C316" s="3" t="n"/>
      <c r="D316" s="3" t="n"/>
      <c r="E316" s="3" t="n"/>
      <c r="F316" s="10" t="n"/>
      <c r="G316" s="10" t="n"/>
      <c r="H316" s="10" t="n"/>
      <c r="I316" s="3" t="n"/>
      <c r="J316" s="3">
        <f>IF(tblEjecucion[[#This Row],[orden]]="","",tblEjecucion[[#This Row],[orden]]&amp;IF(tblEjecucion[[#This Row],[operacion]]="","0010",tblEjecucion[[#This Row],[operacion]]))</f>
        <v/>
      </c>
    </row>
    <row r="317">
      <c r="A317" s="3" t="n"/>
      <c r="B317" s="3" t="n"/>
      <c r="C317" s="3" t="n"/>
      <c r="D317" s="3" t="n"/>
      <c r="E317" s="3" t="n"/>
      <c r="F317" s="10" t="n"/>
      <c r="G317" s="10" t="n"/>
      <c r="H317" s="10" t="n"/>
      <c r="I317" s="3" t="n"/>
      <c r="J317" s="3">
        <f>IF(tblEjecucion[[#This Row],[orden]]="","",tblEjecucion[[#This Row],[orden]]&amp;IF(tblEjecucion[[#This Row],[operacion]]="","0010",tblEjecucion[[#This Row],[operacion]]))</f>
        <v/>
      </c>
    </row>
    <row r="318">
      <c r="A318" s="3" t="n"/>
      <c r="B318" s="3" t="n"/>
      <c r="C318" s="3" t="n"/>
      <c r="D318" s="3" t="n"/>
      <c r="E318" s="3" t="n"/>
      <c r="F318" s="10" t="n"/>
      <c r="G318" s="10" t="n"/>
      <c r="H318" s="10" t="n"/>
      <c r="I318" s="3" t="n"/>
      <c r="J318" s="3">
        <f>IF(tblEjecucion[[#This Row],[orden]]="","",tblEjecucion[[#This Row],[orden]]&amp;IF(tblEjecucion[[#This Row],[operacion]]="","0010",tblEjecucion[[#This Row],[operacion]]))</f>
        <v/>
      </c>
    </row>
    <row r="319">
      <c r="A319" s="3" t="n"/>
      <c r="B319" s="3" t="n"/>
      <c r="C319" s="3" t="n"/>
      <c r="D319" s="3" t="n"/>
      <c r="E319" s="3" t="n"/>
      <c r="F319" s="10" t="n"/>
      <c r="G319" s="10" t="n"/>
      <c r="H319" s="10" t="n"/>
      <c r="I319" s="3" t="n"/>
      <c r="J319" s="3">
        <f>IF(tblEjecucion[[#This Row],[orden]]="","",tblEjecucion[[#This Row],[orden]]&amp;IF(tblEjecucion[[#This Row],[operacion]]="","0010",tblEjecucion[[#This Row],[operacion]]))</f>
        <v/>
      </c>
    </row>
    <row r="320">
      <c r="A320" s="3" t="n"/>
      <c r="B320" s="3" t="n"/>
      <c r="C320" s="3" t="n"/>
      <c r="D320" s="3" t="n"/>
      <c r="E320" s="3" t="n"/>
      <c r="F320" s="10" t="n"/>
      <c r="G320" s="10" t="n"/>
      <c r="H320" s="10" t="n"/>
      <c r="I320" s="3" t="n"/>
      <c r="J320" s="3">
        <f>IF(tblEjecucion[[#This Row],[orden]]="","",tblEjecucion[[#This Row],[orden]]&amp;IF(tblEjecucion[[#This Row],[operacion]]="","0010",tblEjecucion[[#This Row],[operacion]]))</f>
        <v/>
      </c>
    </row>
    <row r="321">
      <c r="A321" s="3" t="n"/>
      <c r="B321" s="3" t="n"/>
      <c r="C321" s="3" t="n"/>
      <c r="D321" s="3" t="n"/>
      <c r="E321" s="3" t="n"/>
      <c r="F321" s="10" t="n"/>
      <c r="G321" s="10" t="n"/>
      <c r="H321" s="10" t="n"/>
      <c r="I321" s="3" t="n"/>
      <c r="J321" s="3">
        <f>IF(tblEjecucion[[#This Row],[orden]]="","",tblEjecucion[[#This Row],[orden]]&amp;IF(tblEjecucion[[#This Row],[operacion]]="","0010",tblEjecucion[[#This Row],[operacion]]))</f>
        <v/>
      </c>
    </row>
    <row r="322">
      <c r="A322" s="3" t="n"/>
      <c r="B322" s="3" t="n"/>
      <c r="C322" s="3" t="n"/>
      <c r="D322" s="3" t="n"/>
      <c r="E322" s="3" t="n"/>
      <c r="F322" s="10" t="n"/>
      <c r="G322" s="10" t="n"/>
      <c r="H322" s="10" t="n"/>
      <c r="I322" s="3" t="n"/>
      <c r="J322" s="3">
        <f>IF(tblEjecucion[[#This Row],[orden]]="","",tblEjecucion[[#This Row],[orden]]&amp;IF(tblEjecucion[[#This Row],[operacion]]="","0010",tblEjecucion[[#This Row],[operacion]]))</f>
        <v/>
      </c>
    </row>
    <row r="323">
      <c r="A323" s="3" t="n"/>
      <c r="B323" s="3" t="n"/>
      <c r="C323" s="3" t="n"/>
      <c r="D323" s="3" t="n"/>
      <c r="E323" s="3" t="n"/>
      <c r="F323" s="10" t="n"/>
      <c r="G323" s="10" t="n"/>
      <c r="H323" s="10" t="n"/>
      <c r="I323" s="3" t="n"/>
      <c r="J323" s="3">
        <f>IF(tblEjecucion[[#This Row],[orden]]="","",tblEjecucion[[#This Row],[orden]]&amp;IF(tblEjecucion[[#This Row],[operacion]]="","0010",tblEjecucion[[#This Row],[operacion]]))</f>
        <v/>
      </c>
    </row>
    <row r="324">
      <c r="A324" s="3" t="n"/>
      <c r="B324" s="3" t="n"/>
      <c r="C324" s="3" t="n"/>
      <c r="D324" s="3" t="n"/>
      <c r="E324" s="3" t="n"/>
      <c r="F324" s="10" t="n"/>
      <c r="G324" s="10" t="n"/>
      <c r="H324" s="10" t="n"/>
      <c r="I324" s="3" t="n"/>
      <c r="J324" s="3">
        <f>IF(tblEjecucion[[#This Row],[orden]]="","",tblEjecucion[[#This Row],[orden]]&amp;IF(tblEjecucion[[#This Row],[operacion]]="","0010",tblEjecucion[[#This Row],[operacion]]))</f>
        <v/>
      </c>
    </row>
    <row r="325">
      <c r="A325" s="3" t="n"/>
      <c r="B325" s="3" t="n"/>
      <c r="C325" s="3" t="n"/>
      <c r="D325" s="3" t="n"/>
      <c r="E325" s="3" t="n"/>
      <c r="F325" s="10" t="n"/>
      <c r="G325" s="10" t="n"/>
      <c r="H325" s="10" t="n"/>
      <c r="I325" s="3" t="n"/>
      <c r="J325" s="3">
        <f>IF(tblEjecucion[[#This Row],[orden]]="","",tblEjecucion[[#This Row],[orden]]&amp;IF(tblEjecucion[[#This Row],[operacion]]="","0010",tblEjecucion[[#This Row],[operacion]]))</f>
        <v/>
      </c>
    </row>
    <row r="326">
      <c r="A326" s="3" t="n"/>
      <c r="B326" s="3" t="n"/>
      <c r="C326" s="3" t="n"/>
      <c r="D326" s="3" t="n"/>
      <c r="E326" s="3" t="n"/>
      <c r="F326" s="10" t="n"/>
      <c r="G326" s="10" t="n"/>
      <c r="H326" s="10" t="n"/>
      <c r="I326" s="3" t="n"/>
      <c r="J326" s="3">
        <f>IF(tblEjecucion[[#This Row],[orden]]="","",tblEjecucion[[#This Row],[orden]]&amp;IF(tblEjecucion[[#This Row],[operacion]]="","0010",tblEjecucion[[#This Row],[operacion]]))</f>
        <v/>
      </c>
    </row>
    <row r="327">
      <c r="A327" s="3" t="n"/>
      <c r="B327" s="3" t="n"/>
      <c r="C327" s="3" t="n"/>
      <c r="D327" s="3" t="n"/>
      <c r="E327" s="3" t="n"/>
      <c r="F327" s="10" t="n"/>
      <c r="G327" s="10" t="n"/>
      <c r="H327" s="10" t="n"/>
      <c r="I327" s="3" t="n"/>
      <c r="J327" s="3">
        <f>IF(tblEjecucion[[#This Row],[orden]]="","",tblEjecucion[[#This Row],[orden]]&amp;IF(tblEjecucion[[#This Row],[operacion]]="","0010",tblEjecucion[[#This Row],[operacion]]))</f>
        <v/>
      </c>
    </row>
    <row r="328">
      <c r="A328" s="3" t="n"/>
      <c r="B328" s="3" t="n"/>
      <c r="C328" s="3" t="n"/>
      <c r="D328" s="3" t="n"/>
      <c r="E328" s="3" t="n"/>
      <c r="F328" s="10" t="n"/>
      <c r="G328" s="10" t="n"/>
      <c r="H328" s="10" t="n"/>
      <c r="I328" s="3" t="n"/>
      <c r="J328" s="3">
        <f>IF(tblEjecucion[[#This Row],[orden]]="","",tblEjecucion[[#This Row],[orden]]&amp;IF(tblEjecucion[[#This Row],[operacion]]="","0010",tblEjecucion[[#This Row],[operacion]]))</f>
        <v/>
      </c>
    </row>
    <row r="329">
      <c r="A329" s="3" t="n"/>
      <c r="B329" s="3" t="n"/>
      <c r="C329" s="3" t="n"/>
      <c r="D329" s="3" t="n"/>
      <c r="E329" s="3" t="n"/>
      <c r="F329" s="10" t="n"/>
      <c r="G329" s="10" t="n"/>
      <c r="H329" s="10" t="n"/>
      <c r="I329" s="3" t="n"/>
      <c r="J329" s="3">
        <f>IF(tblEjecucion[[#This Row],[orden]]="","",tblEjecucion[[#This Row],[orden]]&amp;IF(tblEjecucion[[#This Row],[operacion]]="","0010",tblEjecucion[[#This Row],[operacion]]))</f>
        <v/>
      </c>
    </row>
    <row r="330">
      <c r="A330" s="3" t="n"/>
      <c r="B330" s="3" t="n"/>
      <c r="C330" s="3" t="n"/>
      <c r="D330" s="3" t="n"/>
      <c r="E330" s="3" t="n"/>
      <c r="F330" s="10" t="n"/>
      <c r="G330" s="10" t="n"/>
      <c r="H330" s="10" t="n"/>
      <c r="I330" s="3" t="n"/>
      <c r="J330" s="3">
        <f>IF(tblEjecucion[[#This Row],[orden]]="","",tblEjecucion[[#This Row],[orden]]&amp;IF(tblEjecucion[[#This Row],[operacion]]="","0010",tblEjecucion[[#This Row],[operacion]]))</f>
        <v/>
      </c>
    </row>
    <row r="331">
      <c r="A331" s="3" t="n"/>
      <c r="B331" s="3" t="n"/>
      <c r="C331" s="3" t="n"/>
      <c r="D331" s="3" t="n"/>
      <c r="E331" s="3" t="n"/>
      <c r="F331" s="10" t="n"/>
      <c r="G331" s="10" t="n"/>
      <c r="H331" s="10" t="n"/>
      <c r="I331" s="3" t="n"/>
      <c r="J331" s="3">
        <f>IF(tblEjecucion[[#This Row],[orden]]="","",tblEjecucion[[#This Row],[orden]]&amp;IF(tblEjecucion[[#This Row],[operacion]]="","0010",tblEjecucion[[#This Row],[operacion]]))</f>
        <v/>
      </c>
    </row>
    <row r="332">
      <c r="A332" s="3" t="n"/>
      <c r="B332" s="3" t="n"/>
      <c r="C332" s="3" t="n"/>
      <c r="D332" s="3" t="n"/>
      <c r="E332" s="3" t="n"/>
      <c r="F332" s="10" t="n"/>
      <c r="G332" s="10" t="n"/>
      <c r="H332" s="10" t="n"/>
      <c r="I332" s="3" t="n"/>
      <c r="J332" s="3">
        <f>IF(tblEjecucion[[#This Row],[orden]]="","",tblEjecucion[[#This Row],[orden]]&amp;IF(tblEjecucion[[#This Row],[operacion]]="","0010",tblEjecucion[[#This Row],[operacion]]))</f>
        <v/>
      </c>
    </row>
    <row r="333">
      <c r="A333" s="3" t="n"/>
      <c r="B333" s="3" t="n"/>
      <c r="C333" s="3" t="n"/>
      <c r="D333" s="3" t="n"/>
      <c r="E333" s="3" t="n"/>
      <c r="F333" s="10" t="n"/>
      <c r="G333" s="10" t="n"/>
      <c r="H333" s="10" t="n"/>
      <c r="I333" s="3" t="n"/>
      <c r="J333" s="3">
        <f>IF(tblEjecucion[[#This Row],[orden]]="","",tblEjecucion[[#This Row],[orden]]&amp;IF(tblEjecucion[[#This Row],[operacion]]="","0010",tblEjecucion[[#This Row],[operacion]]))</f>
        <v/>
      </c>
    </row>
    <row r="334">
      <c r="A334" s="3" t="n"/>
      <c r="B334" s="3" t="n"/>
      <c r="C334" s="3" t="n"/>
      <c r="D334" s="3" t="n"/>
      <c r="E334" s="3" t="n"/>
      <c r="F334" s="10" t="n"/>
      <c r="G334" s="10" t="n"/>
      <c r="H334" s="10" t="n"/>
      <c r="I334" s="3" t="n"/>
      <c r="J334" s="3">
        <f>IF(tblEjecucion[[#This Row],[orden]]="","",tblEjecucion[[#This Row],[orden]]&amp;IF(tblEjecucion[[#This Row],[operacion]]="","0010",tblEjecucion[[#This Row],[operacion]]))</f>
        <v/>
      </c>
    </row>
    <row r="335">
      <c r="A335" s="3" t="n"/>
      <c r="B335" s="3" t="n"/>
      <c r="C335" s="3" t="n"/>
      <c r="D335" s="3" t="n"/>
      <c r="E335" s="3" t="n"/>
      <c r="F335" s="10" t="n"/>
      <c r="G335" s="10" t="n"/>
      <c r="H335" s="10" t="n"/>
      <c r="I335" s="3" t="n"/>
      <c r="J335" s="3">
        <f>IF(tblEjecucion[[#This Row],[orden]]="","",tblEjecucion[[#This Row],[orden]]&amp;IF(tblEjecucion[[#This Row],[operacion]]="","0010",tblEjecucion[[#This Row],[operacion]]))</f>
        <v/>
      </c>
    </row>
    <row r="336">
      <c r="A336" s="3" t="n"/>
      <c r="B336" s="3" t="n"/>
      <c r="C336" s="3" t="n"/>
      <c r="D336" s="3" t="n"/>
      <c r="E336" s="3" t="n"/>
      <c r="F336" s="10" t="n"/>
      <c r="G336" s="10" t="n"/>
      <c r="H336" s="10" t="n"/>
      <c r="I336" s="3" t="n"/>
      <c r="J336" s="3">
        <f>IF(tblEjecucion[[#This Row],[orden]]="","",tblEjecucion[[#This Row],[orden]]&amp;IF(tblEjecucion[[#This Row],[operacion]]="","0010",tblEjecucion[[#This Row],[operacion]]))</f>
        <v/>
      </c>
    </row>
    <row r="337">
      <c r="A337" s="3" t="n"/>
      <c r="B337" s="3" t="n"/>
      <c r="C337" s="3" t="n"/>
      <c r="D337" s="3" t="n"/>
      <c r="E337" s="3" t="n"/>
      <c r="F337" s="10" t="n"/>
      <c r="G337" s="10" t="n"/>
      <c r="H337" s="10" t="n"/>
      <c r="I337" s="3" t="n"/>
      <c r="J337" s="3">
        <f>IF(tblEjecucion[[#This Row],[orden]]="","",tblEjecucion[[#This Row],[orden]]&amp;IF(tblEjecucion[[#This Row],[operacion]]="","0010",tblEjecucion[[#This Row],[operacion]]))</f>
        <v/>
      </c>
    </row>
    <row r="338">
      <c r="A338" s="3" t="n"/>
      <c r="B338" s="3" t="n"/>
      <c r="C338" s="3" t="n"/>
      <c r="D338" s="3" t="n"/>
      <c r="E338" s="3" t="n"/>
      <c r="F338" s="10" t="n"/>
      <c r="G338" s="10" t="n"/>
      <c r="H338" s="10" t="n"/>
      <c r="I338" s="3" t="n"/>
      <c r="J338" s="3">
        <f>IF(tblEjecucion[[#This Row],[orden]]="","",tblEjecucion[[#This Row],[orden]]&amp;IF(tblEjecucion[[#This Row],[operacion]]="","0010",tblEjecucion[[#This Row],[operacion]]))</f>
        <v/>
      </c>
    </row>
    <row r="339">
      <c r="A339" s="3" t="n"/>
      <c r="B339" s="3" t="n"/>
      <c r="C339" s="3" t="n"/>
      <c r="D339" s="3" t="n"/>
      <c r="E339" s="3" t="n"/>
      <c r="F339" s="10" t="n"/>
      <c r="G339" s="10" t="n"/>
      <c r="H339" s="10" t="n"/>
      <c r="I339" s="3" t="n"/>
      <c r="J339" s="3">
        <f>IF(tblEjecucion[[#This Row],[orden]]="","",tblEjecucion[[#This Row],[orden]]&amp;IF(tblEjecucion[[#This Row],[operacion]]="","0010",tblEjecucion[[#This Row],[operacion]]))</f>
        <v/>
      </c>
    </row>
    <row r="340">
      <c r="A340" s="3" t="n"/>
      <c r="B340" s="3" t="n"/>
      <c r="C340" s="3" t="n"/>
      <c r="D340" s="3" t="n"/>
      <c r="E340" s="3" t="n"/>
      <c r="F340" s="10" t="n"/>
      <c r="G340" s="10" t="n"/>
      <c r="H340" s="10" t="n"/>
      <c r="I340" s="3" t="n"/>
      <c r="J340" s="3">
        <f>IF(tblEjecucion[[#This Row],[orden]]="","",tblEjecucion[[#This Row],[orden]]&amp;IF(tblEjecucion[[#This Row],[operacion]]="","0010",tblEjecucion[[#This Row],[operacion]]))</f>
        <v/>
      </c>
    </row>
    <row r="341">
      <c r="A341" s="3" t="n"/>
      <c r="B341" s="3" t="n"/>
      <c r="C341" s="3" t="n"/>
      <c r="D341" s="3" t="n"/>
      <c r="E341" s="3" t="n"/>
      <c r="F341" s="10" t="n"/>
      <c r="G341" s="10" t="n"/>
      <c r="H341" s="10" t="n"/>
      <c r="I341" s="3" t="n"/>
      <c r="J341" s="3">
        <f>IF(tblEjecucion[[#This Row],[orden]]="","",tblEjecucion[[#This Row],[orden]]&amp;IF(tblEjecucion[[#This Row],[operacion]]="","0010",tblEjecucion[[#This Row],[operacion]]))</f>
        <v/>
      </c>
    </row>
    <row r="342">
      <c r="A342" s="3" t="n"/>
      <c r="B342" s="3" t="n"/>
      <c r="C342" s="3" t="n"/>
      <c r="D342" s="3" t="n"/>
      <c r="E342" s="3" t="n"/>
      <c r="F342" s="10" t="n"/>
      <c r="G342" s="10" t="n"/>
      <c r="H342" s="10" t="n"/>
      <c r="I342" s="3" t="n"/>
      <c r="J342" s="3">
        <f>IF(tblEjecucion[[#This Row],[orden]]="","",tblEjecucion[[#This Row],[orden]]&amp;IF(tblEjecucion[[#This Row],[operacion]]="","0010",tblEjecucion[[#This Row],[operacion]]))</f>
        <v/>
      </c>
    </row>
    <row r="343">
      <c r="A343" s="3" t="n"/>
      <c r="B343" s="3" t="n"/>
      <c r="C343" s="3" t="n"/>
      <c r="D343" s="3" t="n"/>
      <c r="E343" s="3" t="n"/>
      <c r="F343" s="10" t="n"/>
      <c r="G343" s="10" t="n"/>
      <c r="H343" s="10" t="n"/>
      <c r="I343" s="3" t="n"/>
      <c r="J343" s="3">
        <f>IF(tblEjecucion[[#This Row],[orden]]="","",tblEjecucion[[#This Row],[orden]]&amp;IF(tblEjecucion[[#This Row],[operacion]]="","0010",tblEjecucion[[#This Row],[operacion]]))</f>
        <v/>
      </c>
    </row>
    <row r="344">
      <c r="A344" s="3" t="n"/>
      <c r="B344" s="3" t="n"/>
      <c r="C344" s="3" t="n"/>
      <c r="D344" s="3" t="n"/>
      <c r="E344" s="3" t="n"/>
      <c r="F344" s="10" t="n"/>
      <c r="G344" s="10" t="n"/>
      <c r="H344" s="10" t="n"/>
      <c r="I344" s="3" t="n"/>
      <c r="J344" s="3">
        <f>IF(tblEjecucion[[#This Row],[orden]]="","",tblEjecucion[[#This Row],[orden]]&amp;IF(tblEjecucion[[#This Row],[operacion]]="","0010",tblEjecucion[[#This Row],[operacion]]))</f>
        <v/>
      </c>
    </row>
    <row r="345">
      <c r="A345" s="3" t="n"/>
      <c r="B345" s="3" t="n"/>
      <c r="C345" s="3" t="n"/>
      <c r="D345" s="3" t="n"/>
      <c r="E345" s="3" t="n"/>
      <c r="F345" s="10" t="n"/>
      <c r="G345" s="10" t="n"/>
      <c r="H345" s="10" t="n"/>
      <c r="I345" s="3" t="n"/>
      <c r="J345" s="3">
        <f>IF(tblEjecucion[[#This Row],[orden]]="","",tblEjecucion[[#This Row],[orden]]&amp;IF(tblEjecucion[[#This Row],[operacion]]="","0010",tblEjecucion[[#This Row],[operacion]]))</f>
        <v/>
      </c>
    </row>
    <row r="346">
      <c r="A346" s="3" t="n"/>
      <c r="B346" s="3" t="n"/>
      <c r="C346" s="3" t="n"/>
      <c r="D346" s="3" t="n"/>
      <c r="E346" s="3" t="n"/>
      <c r="F346" s="10" t="n"/>
      <c r="G346" s="10" t="n"/>
      <c r="H346" s="10" t="n"/>
      <c r="I346" s="3" t="n"/>
      <c r="J346" s="3">
        <f>IF(tblEjecucion[[#This Row],[orden]]="","",tblEjecucion[[#This Row],[orden]]&amp;IF(tblEjecucion[[#This Row],[operacion]]="","0010",tblEjecucion[[#This Row],[operacion]]))</f>
        <v/>
      </c>
    </row>
    <row r="347">
      <c r="A347" s="3" t="n"/>
      <c r="B347" s="3" t="n"/>
      <c r="C347" s="3" t="n"/>
      <c r="D347" s="3" t="n"/>
      <c r="E347" s="3" t="n"/>
      <c r="F347" s="10" t="n"/>
      <c r="G347" s="10" t="n"/>
      <c r="H347" s="10" t="n"/>
      <c r="I347" s="3" t="n"/>
      <c r="J347" s="3">
        <f>IF(tblEjecucion[[#This Row],[orden]]="","",tblEjecucion[[#This Row],[orden]]&amp;IF(tblEjecucion[[#This Row],[operacion]]="","0010",tblEjecucion[[#This Row],[operacion]]))</f>
        <v/>
      </c>
    </row>
    <row r="348">
      <c r="A348" s="3" t="n"/>
      <c r="B348" s="3" t="n"/>
      <c r="C348" s="3" t="n"/>
      <c r="D348" s="3" t="n"/>
      <c r="E348" s="3" t="n"/>
      <c r="F348" s="10" t="n"/>
      <c r="G348" s="10" t="n"/>
      <c r="H348" s="10" t="n"/>
      <c r="I348" s="3" t="n"/>
      <c r="J348" s="3">
        <f>IF(tblEjecucion[[#This Row],[orden]]="","",tblEjecucion[[#This Row],[orden]]&amp;IF(tblEjecucion[[#This Row],[operacion]]="","0010",tblEjecucion[[#This Row],[operacion]]))</f>
        <v/>
      </c>
    </row>
    <row r="349">
      <c r="A349" s="3" t="n"/>
      <c r="B349" s="3" t="n"/>
      <c r="C349" s="3" t="n"/>
      <c r="D349" s="3" t="n"/>
      <c r="E349" s="3" t="n"/>
      <c r="F349" s="10" t="n"/>
      <c r="G349" s="10" t="n"/>
      <c r="H349" s="10" t="n"/>
      <c r="I349" s="3" t="n"/>
      <c r="J349" s="3">
        <f>IF(tblEjecucion[[#This Row],[orden]]="","",tblEjecucion[[#This Row],[orden]]&amp;IF(tblEjecucion[[#This Row],[operacion]]="","0010",tblEjecucion[[#This Row],[operacion]]))</f>
        <v/>
      </c>
    </row>
    <row r="350">
      <c r="A350" s="3" t="n"/>
      <c r="B350" s="3" t="n"/>
      <c r="C350" s="3" t="n"/>
      <c r="D350" s="3" t="n"/>
      <c r="E350" s="3" t="n"/>
      <c r="F350" s="10" t="n"/>
      <c r="G350" s="10" t="n"/>
      <c r="H350" s="10" t="n"/>
      <c r="I350" s="3" t="n"/>
      <c r="J350" s="3">
        <f>IF(tblEjecucion[[#This Row],[orden]]="","",tblEjecucion[[#This Row],[orden]]&amp;IF(tblEjecucion[[#This Row],[operacion]]="","0010",tblEjecucion[[#This Row],[operacion]]))</f>
        <v/>
      </c>
    </row>
    <row r="351">
      <c r="A351" s="3" t="n"/>
      <c r="B351" s="3" t="n"/>
      <c r="C351" s="3" t="n"/>
      <c r="D351" s="3" t="n"/>
      <c r="E351" s="3" t="n"/>
      <c r="F351" s="10" t="n"/>
      <c r="G351" s="10" t="n"/>
      <c r="H351" s="10" t="n"/>
      <c r="I351" s="3" t="n"/>
      <c r="J351" s="3">
        <f>IF(tblEjecucion[[#This Row],[orden]]="","",tblEjecucion[[#This Row],[orden]]&amp;IF(tblEjecucion[[#This Row],[operacion]]="","0010",tblEjecucion[[#This Row],[operacion]]))</f>
        <v/>
      </c>
    </row>
    <row r="352">
      <c r="A352" s="3" t="n"/>
      <c r="B352" s="3" t="n"/>
      <c r="C352" s="3" t="n"/>
      <c r="D352" s="3" t="n"/>
      <c r="E352" s="3" t="n"/>
      <c r="F352" s="10" t="n"/>
      <c r="G352" s="10" t="n"/>
      <c r="H352" s="10" t="n"/>
      <c r="I352" s="3" t="n"/>
      <c r="J352" s="3">
        <f>IF(tblEjecucion[[#This Row],[orden]]="","",tblEjecucion[[#This Row],[orden]]&amp;IF(tblEjecucion[[#This Row],[operacion]]="","0010",tblEjecucion[[#This Row],[operacion]]))</f>
        <v/>
      </c>
    </row>
    <row r="353">
      <c r="A353" s="3" t="n"/>
      <c r="B353" s="3" t="n"/>
      <c r="C353" s="3" t="n"/>
      <c r="D353" s="3" t="n"/>
      <c r="E353" s="3" t="n"/>
      <c r="F353" s="10" t="n"/>
      <c r="G353" s="10" t="n"/>
      <c r="H353" s="10" t="n"/>
      <c r="I353" s="3" t="n"/>
      <c r="J353" s="3">
        <f>IF(tblEjecucion[[#This Row],[orden]]="","",tblEjecucion[[#This Row],[orden]]&amp;IF(tblEjecucion[[#This Row],[operacion]]="","0010",tblEjecucion[[#This Row],[operacion]]))</f>
        <v/>
      </c>
    </row>
    <row r="354">
      <c r="A354" s="3" t="n"/>
      <c r="B354" s="3" t="n"/>
      <c r="C354" s="3" t="n"/>
      <c r="D354" s="3" t="n"/>
      <c r="E354" s="3" t="n"/>
      <c r="F354" s="10" t="n"/>
      <c r="G354" s="10" t="n"/>
      <c r="H354" s="10" t="n"/>
      <c r="I354" s="3" t="n"/>
      <c r="J354" s="3">
        <f>IF(tblEjecucion[[#This Row],[orden]]="","",tblEjecucion[[#This Row],[orden]]&amp;IF(tblEjecucion[[#This Row],[operacion]]="","0010",tblEjecucion[[#This Row],[operacion]]))</f>
        <v/>
      </c>
    </row>
    <row r="355">
      <c r="A355" s="3" t="n"/>
      <c r="B355" s="3" t="n"/>
      <c r="C355" s="3" t="n"/>
      <c r="D355" s="3" t="n"/>
      <c r="E355" s="3" t="n"/>
      <c r="F355" s="10" t="n"/>
      <c r="G355" s="10" t="n"/>
      <c r="H355" s="10" t="n"/>
      <c r="I355" s="3" t="n"/>
      <c r="J355" s="3">
        <f>IF(tblEjecucion[[#This Row],[orden]]="","",tblEjecucion[[#This Row],[orden]]&amp;IF(tblEjecucion[[#This Row],[operacion]]="","0010",tblEjecucion[[#This Row],[operacion]]))</f>
        <v/>
      </c>
    </row>
    <row r="356">
      <c r="A356" s="3" t="n"/>
      <c r="B356" s="3" t="n"/>
      <c r="C356" s="3" t="n"/>
      <c r="D356" s="3" t="n"/>
      <c r="E356" s="3" t="n"/>
      <c r="F356" s="10" t="n"/>
      <c r="G356" s="10" t="n"/>
      <c r="H356" s="10" t="n"/>
      <c r="I356" s="3" t="n"/>
      <c r="J356" s="3">
        <f>IF(tblEjecucion[[#This Row],[orden]]="","",tblEjecucion[[#This Row],[orden]]&amp;IF(tblEjecucion[[#This Row],[operacion]]="","0010",tblEjecucion[[#This Row],[operacion]]))</f>
        <v/>
      </c>
    </row>
    <row r="357">
      <c r="A357" s="3" t="n"/>
      <c r="B357" s="3" t="n"/>
      <c r="C357" s="3" t="n"/>
      <c r="D357" s="3" t="n"/>
      <c r="E357" s="3" t="n"/>
      <c r="F357" s="10" t="n"/>
      <c r="G357" s="10" t="n"/>
      <c r="H357" s="10" t="n"/>
      <c r="I357" s="3" t="n"/>
      <c r="J357" s="3">
        <f>IF(tblEjecucion[[#This Row],[orden]]="","",tblEjecucion[[#This Row],[orden]]&amp;IF(tblEjecucion[[#This Row],[operacion]]="","0010",tblEjecucion[[#This Row],[operacion]]))</f>
        <v/>
      </c>
    </row>
    <row r="358">
      <c r="A358" s="3" t="n"/>
      <c r="B358" s="3" t="n"/>
      <c r="C358" s="3" t="n"/>
      <c r="D358" s="3" t="n"/>
      <c r="E358" s="3" t="n"/>
      <c r="F358" s="10" t="n"/>
      <c r="G358" s="10" t="n"/>
      <c r="H358" s="10" t="n"/>
      <c r="I358" s="3" t="n"/>
      <c r="J358" s="3">
        <f>IF(tblEjecucion[[#This Row],[orden]]="","",tblEjecucion[[#This Row],[orden]]&amp;IF(tblEjecucion[[#This Row],[operacion]]="","0010",tblEjecucion[[#This Row],[operacion]]))</f>
        <v/>
      </c>
    </row>
    <row r="359">
      <c r="A359" s="3" t="n"/>
      <c r="B359" s="3" t="n"/>
      <c r="C359" s="3" t="n"/>
      <c r="D359" s="3" t="n"/>
      <c r="E359" s="3" t="n"/>
      <c r="F359" s="10" t="n"/>
      <c r="G359" s="10" t="n"/>
      <c r="H359" s="10" t="n"/>
      <c r="I359" s="3" t="n"/>
      <c r="J359" s="3">
        <f>IF(tblEjecucion[[#This Row],[orden]]="","",tblEjecucion[[#This Row],[orden]]&amp;IF(tblEjecucion[[#This Row],[operacion]]="","0010",tblEjecucion[[#This Row],[operacion]]))</f>
        <v/>
      </c>
    </row>
    <row r="360">
      <c r="A360" s="3" t="n"/>
      <c r="B360" s="3" t="n"/>
      <c r="C360" s="3" t="n"/>
      <c r="D360" s="3" t="n"/>
      <c r="E360" s="3" t="n"/>
      <c r="F360" s="10" t="n"/>
      <c r="G360" s="10" t="n"/>
      <c r="H360" s="10" t="n"/>
      <c r="I360" s="3" t="n"/>
      <c r="J360" s="3">
        <f>IF(tblEjecucion[[#This Row],[orden]]="","",tblEjecucion[[#This Row],[orden]]&amp;IF(tblEjecucion[[#This Row],[operacion]]="","0010",tblEjecucion[[#This Row],[operacion]]))</f>
        <v/>
      </c>
    </row>
    <row r="361">
      <c r="A361" s="3" t="n"/>
      <c r="B361" s="3" t="n"/>
      <c r="C361" s="3" t="n"/>
      <c r="D361" s="3" t="n"/>
      <c r="E361" s="3" t="n"/>
      <c r="F361" s="10" t="n"/>
      <c r="G361" s="10" t="n"/>
      <c r="H361" s="10" t="n"/>
      <c r="I361" s="3" t="n"/>
      <c r="J361" s="3">
        <f>IF(tblEjecucion[[#This Row],[orden]]="","",tblEjecucion[[#This Row],[orden]]&amp;IF(tblEjecucion[[#This Row],[operacion]]="","0010",tblEjecucion[[#This Row],[operacion]]))</f>
        <v/>
      </c>
    </row>
    <row r="362">
      <c r="A362" s="3" t="n"/>
      <c r="B362" s="3" t="n"/>
      <c r="C362" s="3" t="n"/>
      <c r="D362" s="3" t="n"/>
      <c r="E362" s="3" t="n"/>
      <c r="F362" s="10" t="n"/>
      <c r="G362" s="10" t="n"/>
      <c r="H362" s="10" t="n"/>
      <c r="I362" s="3" t="n"/>
      <c r="J362" s="3">
        <f>IF(tblEjecucion[[#This Row],[orden]]="","",tblEjecucion[[#This Row],[orden]]&amp;IF(tblEjecucion[[#This Row],[operacion]]="","0010",tblEjecucion[[#This Row],[operacion]]))</f>
        <v/>
      </c>
    </row>
    <row r="363">
      <c r="A363" s="3" t="n"/>
      <c r="B363" s="3" t="n"/>
      <c r="C363" s="3" t="n"/>
      <c r="D363" s="3" t="n"/>
      <c r="E363" s="3" t="n"/>
      <c r="F363" s="10" t="n"/>
      <c r="G363" s="10" t="n"/>
      <c r="H363" s="10" t="n"/>
      <c r="I363" s="3" t="n"/>
      <c r="J363" s="3">
        <f>IF(tblEjecucion[[#This Row],[orden]]="","",tblEjecucion[[#This Row],[orden]]&amp;IF(tblEjecucion[[#This Row],[operacion]]="","0010",tblEjecucion[[#This Row],[operacion]]))</f>
        <v/>
      </c>
    </row>
    <row r="364">
      <c r="A364" s="3" t="n"/>
      <c r="B364" s="3" t="n"/>
      <c r="C364" s="3" t="n"/>
      <c r="D364" s="3" t="n"/>
      <c r="E364" s="3" t="n"/>
      <c r="F364" s="10" t="n"/>
      <c r="G364" s="10" t="n"/>
      <c r="H364" s="10" t="n"/>
      <c r="I364" s="3" t="n"/>
      <c r="J364" s="3">
        <f>IF(tblEjecucion[[#This Row],[orden]]="","",tblEjecucion[[#This Row],[orden]]&amp;IF(tblEjecucion[[#This Row],[operacion]]="","0010",tblEjecucion[[#This Row],[operacion]]))</f>
        <v/>
      </c>
    </row>
    <row r="365">
      <c r="A365" s="3" t="n"/>
      <c r="B365" s="3" t="n"/>
      <c r="C365" s="3" t="n"/>
      <c r="D365" s="3" t="n"/>
      <c r="E365" s="3" t="n"/>
      <c r="F365" s="10" t="n"/>
      <c r="G365" s="10" t="n"/>
      <c r="H365" s="10" t="n"/>
      <c r="I365" s="3" t="n"/>
      <c r="J365" s="3">
        <f>IF(tblEjecucion[[#This Row],[orden]]="","",tblEjecucion[[#This Row],[orden]]&amp;IF(tblEjecucion[[#This Row],[operacion]]="","0010",tblEjecucion[[#This Row],[operacion]]))</f>
        <v/>
      </c>
    </row>
    <row r="366">
      <c r="A366" s="3" t="n"/>
      <c r="B366" s="3" t="n"/>
      <c r="C366" s="3" t="n"/>
      <c r="D366" s="3" t="n"/>
      <c r="E366" s="3" t="n"/>
      <c r="F366" s="10" t="n"/>
      <c r="G366" s="10" t="n"/>
      <c r="H366" s="10" t="n"/>
      <c r="I366" s="3" t="n"/>
      <c r="J366" s="3">
        <f>IF(tblEjecucion[[#This Row],[orden]]="","",tblEjecucion[[#This Row],[orden]]&amp;IF(tblEjecucion[[#This Row],[operacion]]="","0010",tblEjecucion[[#This Row],[operacion]]))</f>
        <v/>
      </c>
    </row>
    <row r="367">
      <c r="A367" s="3" t="n"/>
      <c r="B367" s="3" t="n"/>
      <c r="C367" s="3" t="n"/>
      <c r="D367" s="3" t="n"/>
      <c r="E367" s="3" t="n"/>
      <c r="F367" s="10" t="n"/>
      <c r="G367" s="10" t="n"/>
      <c r="H367" s="10" t="n"/>
      <c r="I367" s="3" t="n"/>
      <c r="J367" s="3">
        <f>IF(tblEjecucion[[#This Row],[orden]]="","",tblEjecucion[[#This Row],[orden]]&amp;IF(tblEjecucion[[#This Row],[operacion]]="","0010",tblEjecucion[[#This Row],[operacion]]))</f>
        <v/>
      </c>
    </row>
    <row r="368">
      <c r="A368" s="3" t="n"/>
      <c r="B368" s="3" t="n"/>
      <c r="C368" s="3" t="n"/>
      <c r="D368" s="3" t="n"/>
      <c r="E368" s="3" t="n"/>
      <c r="F368" s="10" t="n"/>
      <c r="G368" s="10" t="n"/>
      <c r="H368" s="10" t="n"/>
      <c r="I368" s="3" t="n"/>
      <c r="J368" s="3">
        <f>IF(tblEjecucion[[#This Row],[orden]]="","",tblEjecucion[[#This Row],[orden]]&amp;IF(tblEjecucion[[#This Row],[operacion]]="","0010",tblEjecucion[[#This Row],[operacion]]))</f>
        <v/>
      </c>
    </row>
    <row r="369">
      <c r="A369" s="3" t="n"/>
      <c r="B369" s="3" t="n"/>
      <c r="C369" s="3" t="n"/>
      <c r="D369" s="3" t="n"/>
      <c r="E369" s="3" t="n"/>
      <c r="F369" s="10" t="n"/>
      <c r="G369" s="10" t="n"/>
      <c r="H369" s="10" t="n"/>
      <c r="I369" s="3" t="n"/>
      <c r="J369" s="3">
        <f>IF(tblEjecucion[[#This Row],[orden]]="","",tblEjecucion[[#This Row],[orden]]&amp;IF(tblEjecucion[[#This Row],[operacion]]="","0010",tblEjecucion[[#This Row],[operacion]]))</f>
        <v/>
      </c>
    </row>
    <row r="370">
      <c r="A370" s="3" t="n"/>
      <c r="B370" s="3" t="n"/>
      <c r="C370" s="3" t="n"/>
      <c r="D370" s="3" t="n"/>
      <c r="E370" s="3" t="n"/>
      <c r="F370" s="10" t="n"/>
      <c r="G370" s="10" t="n"/>
      <c r="H370" s="10" t="n"/>
      <c r="I370" s="3" t="n"/>
      <c r="J370" s="3">
        <f>IF(tblEjecucion[[#This Row],[orden]]="","",tblEjecucion[[#This Row],[orden]]&amp;IF(tblEjecucion[[#This Row],[operacion]]="","0010",tblEjecucion[[#This Row],[operacion]]))</f>
        <v/>
      </c>
    </row>
    <row r="371">
      <c r="A371" s="3" t="n"/>
      <c r="B371" s="3" t="n"/>
      <c r="C371" s="3" t="n"/>
      <c r="D371" s="3" t="n"/>
      <c r="E371" s="3" t="n"/>
      <c r="F371" s="10" t="n"/>
      <c r="G371" s="10" t="n"/>
      <c r="H371" s="10" t="n"/>
      <c r="I371" s="3" t="n"/>
      <c r="J371" s="3">
        <f>IF(tblEjecucion[[#This Row],[orden]]="","",tblEjecucion[[#This Row],[orden]]&amp;IF(tblEjecucion[[#This Row],[operacion]]="","0010",tblEjecucion[[#This Row],[operacion]]))</f>
        <v/>
      </c>
    </row>
    <row r="372">
      <c r="A372" s="3" t="n"/>
      <c r="B372" s="3" t="n"/>
      <c r="C372" s="3" t="n"/>
      <c r="D372" s="3" t="n"/>
      <c r="E372" s="3" t="n"/>
      <c r="F372" s="10" t="n"/>
      <c r="G372" s="10" t="n"/>
      <c r="H372" s="10" t="n"/>
      <c r="I372" s="3" t="n"/>
      <c r="J372" s="3">
        <f>IF(tblEjecucion[[#This Row],[orden]]="","",tblEjecucion[[#This Row],[orden]]&amp;IF(tblEjecucion[[#This Row],[operacion]]="","0010",tblEjecucion[[#This Row],[operacion]]))</f>
        <v/>
      </c>
    </row>
    <row r="373">
      <c r="A373" s="3" t="n"/>
      <c r="B373" s="3" t="n"/>
      <c r="C373" s="3" t="n"/>
      <c r="D373" s="3" t="n"/>
      <c r="E373" s="3" t="n"/>
      <c r="F373" s="10" t="n"/>
      <c r="G373" s="10" t="n"/>
      <c r="H373" s="10" t="n"/>
      <c r="I373" s="3" t="n"/>
      <c r="J373" s="3">
        <f>IF(tblEjecucion[[#This Row],[orden]]="","",tblEjecucion[[#This Row],[orden]]&amp;IF(tblEjecucion[[#This Row],[operacion]]="","0010",tblEjecucion[[#This Row],[operacion]]))</f>
        <v/>
      </c>
    </row>
    <row r="374">
      <c r="A374" s="3" t="n"/>
      <c r="B374" s="3" t="n"/>
      <c r="C374" s="3" t="n"/>
      <c r="D374" s="3" t="n"/>
      <c r="E374" s="3" t="n"/>
      <c r="F374" s="10" t="n"/>
      <c r="G374" s="10" t="n"/>
      <c r="H374" s="10" t="n"/>
      <c r="I374" s="3" t="n"/>
      <c r="J374" s="3">
        <f>IF(tblEjecucion[[#This Row],[orden]]="","",tblEjecucion[[#This Row],[orden]]&amp;IF(tblEjecucion[[#This Row],[operacion]]="","0010",tblEjecucion[[#This Row],[operacion]]))</f>
        <v/>
      </c>
    </row>
    <row r="375">
      <c r="A375" s="3" t="n"/>
      <c r="B375" s="3" t="n"/>
      <c r="C375" s="3" t="n"/>
      <c r="D375" s="3" t="n"/>
      <c r="E375" s="3" t="n"/>
      <c r="F375" s="10" t="n"/>
      <c r="G375" s="10" t="n"/>
      <c r="H375" s="10" t="n"/>
      <c r="I375" s="3" t="n"/>
      <c r="J375" s="3">
        <f>IF(tblEjecucion[[#This Row],[orden]]="","",tblEjecucion[[#This Row],[orden]]&amp;IF(tblEjecucion[[#This Row],[operacion]]="","0010",tblEjecucion[[#This Row],[operacion]]))</f>
        <v/>
      </c>
    </row>
    <row r="376">
      <c r="A376" s="3" t="n"/>
      <c r="B376" s="3" t="n"/>
      <c r="C376" s="3" t="n"/>
      <c r="D376" s="3" t="n"/>
      <c r="E376" s="3" t="n"/>
      <c r="F376" s="10" t="n"/>
      <c r="G376" s="10" t="n"/>
      <c r="H376" s="10" t="n"/>
      <c r="I376" s="3" t="n"/>
      <c r="J376" s="3">
        <f>IF(tblEjecucion[[#This Row],[orden]]="","",tblEjecucion[[#This Row],[orden]]&amp;IF(tblEjecucion[[#This Row],[operacion]]="","0010",tblEjecucion[[#This Row],[operacion]]))</f>
        <v/>
      </c>
    </row>
    <row r="377">
      <c r="A377" s="3" t="n"/>
      <c r="B377" s="3" t="n"/>
      <c r="C377" s="3" t="n"/>
      <c r="D377" s="3" t="n"/>
      <c r="E377" s="3" t="n"/>
      <c r="F377" s="10" t="n"/>
      <c r="G377" s="10" t="n"/>
      <c r="H377" s="10" t="n"/>
      <c r="I377" s="3" t="n"/>
      <c r="J377" s="3">
        <f>IF(tblEjecucion[[#This Row],[orden]]="","",tblEjecucion[[#This Row],[orden]]&amp;IF(tblEjecucion[[#This Row],[operacion]]="","0010",tblEjecucion[[#This Row],[operacion]]))</f>
        <v/>
      </c>
    </row>
    <row r="378">
      <c r="A378" s="3" t="n"/>
      <c r="B378" s="3" t="n"/>
      <c r="C378" s="3" t="n"/>
      <c r="D378" s="3" t="n"/>
      <c r="E378" s="3" t="n"/>
      <c r="F378" s="10" t="n"/>
      <c r="G378" s="10" t="n"/>
      <c r="H378" s="10" t="n"/>
      <c r="I378" s="3" t="n"/>
      <c r="J378" s="3">
        <f>IF(tblEjecucion[[#This Row],[orden]]="","",tblEjecucion[[#This Row],[orden]]&amp;IF(tblEjecucion[[#This Row],[operacion]]="","0010",tblEjecucion[[#This Row],[operacion]]))</f>
        <v/>
      </c>
    </row>
    <row r="379">
      <c r="A379" s="3" t="n"/>
      <c r="B379" s="3" t="n"/>
      <c r="C379" s="3" t="n"/>
      <c r="D379" s="3" t="n"/>
      <c r="E379" s="3" t="n"/>
      <c r="F379" s="10" t="n"/>
      <c r="G379" s="10" t="n"/>
      <c r="H379" s="10" t="n"/>
      <c r="I379" s="3" t="n"/>
      <c r="J379" s="3">
        <f>IF(tblEjecucion[[#This Row],[orden]]="","",tblEjecucion[[#This Row],[orden]]&amp;IF(tblEjecucion[[#This Row],[operacion]]="","0010",tblEjecucion[[#This Row],[operacion]]))</f>
        <v/>
      </c>
    </row>
    <row r="380">
      <c r="A380" s="3" t="n"/>
      <c r="B380" s="3" t="n"/>
      <c r="C380" s="3" t="n"/>
      <c r="D380" s="3" t="n"/>
      <c r="E380" s="3" t="n"/>
      <c r="F380" s="10" t="n"/>
      <c r="G380" s="10" t="n"/>
      <c r="H380" s="10" t="n"/>
      <c r="I380" s="3" t="n"/>
      <c r="J380" s="3">
        <f>IF(tblEjecucion[[#This Row],[orden]]="","",tblEjecucion[[#This Row],[orden]]&amp;IF(tblEjecucion[[#This Row],[operacion]]="","0010",tblEjecucion[[#This Row],[operacion]]))</f>
        <v/>
      </c>
    </row>
    <row r="381">
      <c r="A381" s="3" t="n"/>
      <c r="B381" s="3" t="n"/>
      <c r="C381" s="3" t="n"/>
      <c r="D381" s="3" t="n"/>
      <c r="E381" s="3" t="n"/>
      <c r="F381" s="10" t="n"/>
      <c r="G381" s="10" t="n"/>
      <c r="H381" s="10" t="n"/>
      <c r="I381" s="3" t="n"/>
      <c r="J381" s="3">
        <f>IF(tblEjecucion[[#This Row],[orden]]="","",tblEjecucion[[#This Row],[orden]]&amp;IF(tblEjecucion[[#This Row],[operacion]]="","0010",tblEjecucion[[#This Row],[operacion]]))</f>
        <v/>
      </c>
    </row>
    <row r="382">
      <c r="A382" s="3" t="n"/>
      <c r="B382" s="3" t="n"/>
      <c r="C382" s="3" t="n"/>
      <c r="D382" s="3" t="n"/>
      <c r="E382" s="3" t="n"/>
      <c r="F382" s="10" t="n"/>
      <c r="G382" s="10" t="n"/>
      <c r="H382" s="10" t="n"/>
      <c r="I382" s="3" t="n"/>
      <c r="J382" s="3">
        <f>IF(tblEjecucion[[#This Row],[orden]]="","",tblEjecucion[[#This Row],[orden]]&amp;IF(tblEjecucion[[#This Row],[operacion]]="","0010",tblEjecucion[[#This Row],[operacion]]))</f>
        <v/>
      </c>
    </row>
    <row r="383">
      <c r="A383" s="3" t="n"/>
      <c r="B383" s="3" t="n"/>
      <c r="C383" s="3" t="n"/>
      <c r="D383" s="3" t="n"/>
      <c r="E383" s="3" t="n"/>
      <c r="F383" s="10" t="n"/>
      <c r="G383" s="10" t="n"/>
      <c r="H383" s="10" t="n"/>
      <c r="I383" s="3" t="n"/>
      <c r="J383" s="3">
        <f>IF(tblEjecucion[[#This Row],[orden]]="","",tblEjecucion[[#This Row],[orden]]&amp;IF(tblEjecucion[[#This Row],[operacion]]="","0010",tblEjecucion[[#This Row],[operacion]]))</f>
        <v/>
      </c>
    </row>
    <row r="384">
      <c r="A384" s="3" t="n"/>
      <c r="B384" s="3" t="n"/>
      <c r="C384" s="3" t="n"/>
      <c r="D384" s="3" t="n"/>
      <c r="E384" s="3" t="n"/>
      <c r="F384" s="10" t="n"/>
      <c r="G384" s="10" t="n"/>
      <c r="H384" s="10" t="n"/>
      <c r="I384" s="3" t="n"/>
      <c r="J384" s="3">
        <f>IF(tblEjecucion[[#This Row],[orden]]="","",tblEjecucion[[#This Row],[orden]]&amp;IF(tblEjecucion[[#This Row],[operacion]]="","0010",tblEjecucion[[#This Row],[operacion]]))</f>
        <v/>
      </c>
    </row>
    <row r="385">
      <c r="A385" s="3" t="n"/>
      <c r="B385" s="3" t="n"/>
      <c r="C385" s="3" t="n"/>
      <c r="D385" s="3" t="n"/>
      <c r="E385" s="3" t="n"/>
      <c r="F385" s="10" t="n"/>
      <c r="G385" s="10" t="n"/>
      <c r="H385" s="10" t="n"/>
      <c r="I385" s="3" t="n"/>
      <c r="J385" s="3">
        <f>IF(tblEjecucion[[#This Row],[orden]]="","",tblEjecucion[[#This Row],[orden]]&amp;IF(tblEjecucion[[#This Row],[operacion]]="","0010",tblEjecucion[[#This Row],[operacion]]))</f>
        <v/>
      </c>
    </row>
    <row r="386">
      <c r="A386" s="3" t="n"/>
      <c r="B386" s="3" t="n"/>
      <c r="C386" s="3" t="n"/>
      <c r="D386" s="3" t="n"/>
      <c r="E386" s="3" t="n"/>
      <c r="F386" s="10" t="n"/>
      <c r="G386" s="10" t="n"/>
      <c r="H386" s="10" t="n"/>
      <c r="I386" s="3" t="n"/>
      <c r="J386" s="3">
        <f>IF(tblEjecucion[[#This Row],[orden]]="","",tblEjecucion[[#This Row],[orden]]&amp;IF(tblEjecucion[[#This Row],[operacion]]="","0010",tblEjecucion[[#This Row],[operacion]]))</f>
        <v/>
      </c>
    </row>
    <row r="387">
      <c r="A387" s="3" t="n"/>
      <c r="B387" s="3" t="n"/>
      <c r="C387" s="3" t="n"/>
      <c r="D387" s="3" t="n"/>
      <c r="E387" s="3" t="n"/>
      <c r="F387" s="10" t="n"/>
      <c r="G387" s="10" t="n"/>
      <c r="H387" s="10" t="n"/>
      <c r="I387" s="3" t="n"/>
      <c r="J387" s="3">
        <f>IF(tblEjecucion[[#This Row],[orden]]="","",tblEjecucion[[#This Row],[orden]]&amp;IF(tblEjecucion[[#This Row],[operacion]]="","0010",tblEjecucion[[#This Row],[operacion]]))</f>
        <v/>
      </c>
    </row>
    <row r="388">
      <c r="A388" s="3" t="n"/>
      <c r="B388" s="3" t="n"/>
      <c r="C388" s="3" t="n"/>
      <c r="D388" s="3" t="n"/>
      <c r="E388" s="3" t="n"/>
      <c r="F388" s="10" t="n"/>
      <c r="G388" s="10" t="n"/>
      <c r="H388" s="10" t="n"/>
      <c r="I388" s="3" t="n"/>
      <c r="J388" s="3">
        <f>IF(tblEjecucion[[#This Row],[orden]]="","",tblEjecucion[[#This Row],[orden]]&amp;IF(tblEjecucion[[#This Row],[operacion]]="","0010",tblEjecucion[[#This Row],[operacion]]))</f>
        <v/>
      </c>
    </row>
    <row r="389">
      <c r="A389" s="3" t="n"/>
      <c r="B389" s="3" t="n"/>
      <c r="C389" s="3" t="n"/>
      <c r="D389" s="3" t="n"/>
      <c r="E389" s="3" t="n"/>
      <c r="F389" s="10" t="n"/>
      <c r="G389" s="10" t="n"/>
      <c r="H389" s="10" t="n"/>
      <c r="I389" s="3" t="n"/>
      <c r="J389" s="3">
        <f>IF(tblEjecucion[[#This Row],[orden]]="","",tblEjecucion[[#This Row],[orden]]&amp;IF(tblEjecucion[[#This Row],[operacion]]="","0010",tblEjecucion[[#This Row],[operacion]]))</f>
        <v/>
      </c>
    </row>
    <row r="390">
      <c r="A390" s="3" t="n"/>
      <c r="B390" s="3" t="n"/>
      <c r="C390" s="3" t="n"/>
      <c r="D390" s="3" t="n"/>
      <c r="E390" s="3" t="n"/>
      <c r="F390" s="10" t="n"/>
      <c r="G390" s="10" t="n"/>
      <c r="H390" s="10" t="n"/>
      <c r="I390" s="3" t="n"/>
      <c r="J390" s="3">
        <f>IF(tblEjecucion[[#This Row],[orden]]="","",tblEjecucion[[#This Row],[orden]]&amp;IF(tblEjecucion[[#This Row],[operacion]]="","0010",tblEjecucion[[#This Row],[operacion]]))</f>
        <v/>
      </c>
    </row>
    <row r="391">
      <c r="A391" s="3" t="n"/>
      <c r="B391" s="3" t="n"/>
      <c r="C391" s="3" t="n"/>
      <c r="D391" s="3" t="n"/>
      <c r="E391" s="3" t="n"/>
      <c r="F391" s="10" t="n"/>
      <c r="G391" s="10" t="n"/>
      <c r="H391" s="10" t="n"/>
      <c r="I391" s="3" t="n"/>
      <c r="J391" s="3">
        <f>IF(tblEjecucion[[#This Row],[orden]]="","",tblEjecucion[[#This Row],[orden]]&amp;IF(tblEjecucion[[#This Row],[operacion]]="","0010",tblEjecucion[[#This Row],[operacion]]))</f>
        <v/>
      </c>
    </row>
    <row r="392">
      <c r="A392" s="3" t="n"/>
      <c r="B392" s="3" t="n"/>
      <c r="C392" s="3" t="n"/>
      <c r="D392" s="3" t="n"/>
      <c r="E392" s="3" t="n"/>
      <c r="F392" s="10" t="n"/>
      <c r="G392" s="10" t="n"/>
      <c r="H392" s="10" t="n"/>
      <c r="I392" s="3" t="n"/>
      <c r="J392" s="3">
        <f>IF(tblEjecucion[[#This Row],[orden]]="","",tblEjecucion[[#This Row],[orden]]&amp;IF(tblEjecucion[[#This Row],[operacion]]="","0010",tblEjecucion[[#This Row],[operacion]]))</f>
        <v/>
      </c>
    </row>
    <row r="393">
      <c r="A393" s="3" t="n"/>
      <c r="B393" s="3" t="n"/>
      <c r="C393" s="3" t="n"/>
      <c r="D393" s="3" t="n"/>
      <c r="E393" s="3" t="n"/>
      <c r="F393" s="10" t="n"/>
      <c r="G393" s="10" t="n"/>
      <c r="H393" s="10" t="n"/>
      <c r="I393" s="3" t="n"/>
      <c r="J393" s="3">
        <f>IF(tblEjecucion[[#This Row],[orden]]="","",tblEjecucion[[#This Row],[orden]]&amp;IF(tblEjecucion[[#This Row],[operacion]]="","0010",tblEjecucion[[#This Row],[operacion]]))</f>
        <v/>
      </c>
    </row>
    <row r="394">
      <c r="A394" s="3" t="n"/>
      <c r="B394" s="3" t="n"/>
      <c r="C394" s="3" t="n"/>
      <c r="D394" s="3" t="n"/>
      <c r="E394" s="3" t="n"/>
      <c r="F394" s="10" t="n"/>
      <c r="G394" s="10" t="n"/>
      <c r="H394" s="10" t="n"/>
      <c r="I394" s="3" t="n"/>
      <c r="J394" s="3">
        <f>IF(tblEjecucion[[#This Row],[orden]]="","",tblEjecucion[[#This Row],[orden]]&amp;IF(tblEjecucion[[#This Row],[operacion]]="","0010",tblEjecucion[[#This Row],[operacion]]))</f>
        <v/>
      </c>
    </row>
    <row r="395">
      <c r="A395" s="3" t="n"/>
      <c r="B395" s="3" t="n"/>
      <c r="C395" s="3" t="n"/>
      <c r="D395" s="3" t="n"/>
      <c r="E395" s="3" t="n"/>
      <c r="F395" s="10" t="n"/>
      <c r="G395" s="10" t="n"/>
      <c r="H395" s="10" t="n"/>
      <c r="I395" s="3" t="n"/>
      <c r="J395" s="3">
        <f>IF(tblEjecucion[[#This Row],[orden]]="","",tblEjecucion[[#This Row],[orden]]&amp;IF(tblEjecucion[[#This Row],[operacion]]="","0010",tblEjecucion[[#This Row],[operacion]]))</f>
        <v/>
      </c>
    </row>
    <row r="396">
      <c r="A396" s="3" t="n"/>
      <c r="B396" s="3" t="n"/>
      <c r="C396" s="3" t="n"/>
      <c r="D396" s="3" t="n"/>
      <c r="E396" s="3" t="n"/>
      <c r="F396" s="10" t="n"/>
      <c r="G396" s="10" t="n"/>
      <c r="H396" s="10" t="n"/>
      <c r="I396" s="3" t="n"/>
      <c r="J396" s="3">
        <f>IF(tblEjecucion[[#This Row],[orden]]="","",tblEjecucion[[#This Row],[orden]]&amp;IF(tblEjecucion[[#This Row],[operacion]]="","0010",tblEjecucion[[#This Row],[operacion]]))</f>
        <v/>
      </c>
    </row>
    <row r="397">
      <c r="A397" s="3" t="n"/>
      <c r="B397" s="3" t="n"/>
      <c r="C397" s="3" t="n"/>
      <c r="D397" s="3" t="n"/>
      <c r="E397" s="3" t="n"/>
      <c r="F397" s="10" t="n"/>
      <c r="G397" s="10" t="n"/>
      <c r="H397" s="10" t="n"/>
      <c r="I397" s="3" t="n"/>
      <c r="J397" s="3">
        <f>IF(tblEjecucion[[#This Row],[orden]]="","",tblEjecucion[[#This Row],[orden]]&amp;IF(tblEjecucion[[#This Row],[operacion]]="","0010",tblEjecucion[[#This Row],[operacion]]))</f>
        <v/>
      </c>
    </row>
    <row r="398">
      <c r="A398" s="3" t="n"/>
      <c r="B398" s="3" t="n"/>
      <c r="C398" s="3" t="n"/>
      <c r="D398" s="3" t="n"/>
      <c r="E398" s="3" t="n"/>
      <c r="F398" s="10" t="n"/>
      <c r="G398" s="10" t="n"/>
      <c r="H398" s="10" t="n"/>
      <c r="I398" s="3" t="n"/>
      <c r="J398" s="3">
        <f>IF(tblEjecucion[[#This Row],[orden]]="","",tblEjecucion[[#This Row],[orden]]&amp;IF(tblEjecucion[[#This Row],[operacion]]="","0010",tblEjecucion[[#This Row],[operacion]]))</f>
        <v/>
      </c>
    </row>
    <row r="399">
      <c r="A399" s="3" t="n"/>
      <c r="B399" s="3" t="n"/>
      <c r="C399" s="3" t="n"/>
      <c r="D399" s="3" t="n"/>
      <c r="E399" s="3" t="n"/>
      <c r="F399" s="10" t="n"/>
      <c r="G399" s="10" t="n"/>
      <c r="H399" s="10" t="n"/>
      <c r="I399" s="3" t="n"/>
      <c r="J399" s="3">
        <f>IF(tblEjecucion[[#This Row],[orden]]="","",tblEjecucion[[#This Row],[orden]]&amp;IF(tblEjecucion[[#This Row],[operacion]]="","0010",tblEjecucion[[#This Row],[operacion]]))</f>
        <v/>
      </c>
    </row>
    <row r="400">
      <c r="A400" s="3" t="n"/>
      <c r="B400" s="3" t="n"/>
      <c r="C400" s="3" t="n"/>
      <c r="D400" s="3" t="n"/>
      <c r="E400" s="3" t="n"/>
      <c r="F400" s="10" t="n"/>
      <c r="G400" s="10" t="n"/>
      <c r="H400" s="10" t="n"/>
      <c r="I400" s="3" t="n"/>
      <c r="J400" s="3">
        <f>IF(tblEjecucion[[#This Row],[orden]]="","",tblEjecucion[[#This Row],[orden]]&amp;IF(tblEjecucion[[#This Row],[operacion]]="","0010",tblEjecucion[[#This Row],[operacion]]))</f>
        <v/>
      </c>
    </row>
    <row r="401">
      <c r="A401" s="3" t="n"/>
      <c r="B401" s="3" t="n"/>
      <c r="C401" s="3" t="n"/>
      <c r="D401" s="3" t="n"/>
      <c r="E401" s="3" t="n"/>
      <c r="F401" s="10" t="n"/>
      <c r="G401" s="10" t="n"/>
      <c r="H401" s="10" t="n"/>
      <c r="I401" s="3" t="n"/>
      <c r="J401" s="3">
        <f>IF(tblEjecucion[[#This Row],[orden]]="","",tblEjecucion[[#This Row],[orden]]&amp;IF(tblEjecucion[[#This Row],[operacion]]="","0010",tblEjecucion[[#This Row],[operacion]]))</f>
        <v/>
      </c>
    </row>
    <row r="402">
      <c r="A402" s="3" t="n"/>
      <c r="B402" s="3" t="n"/>
      <c r="C402" s="3" t="n"/>
      <c r="D402" s="3" t="n"/>
      <c r="E402" s="3" t="n"/>
      <c r="F402" s="10" t="n"/>
      <c r="G402" s="10" t="n"/>
      <c r="H402" s="10" t="n"/>
      <c r="I402" s="3" t="n"/>
      <c r="J402" s="3">
        <f>IF(tblEjecucion[[#This Row],[orden]]="","",tblEjecucion[[#This Row],[orden]]&amp;IF(tblEjecucion[[#This Row],[operacion]]="","0010",tblEjecucion[[#This Row],[operacion]]))</f>
        <v/>
      </c>
    </row>
    <row r="403">
      <c r="A403" s="3" t="n"/>
      <c r="B403" s="3" t="n"/>
      <c r="C403" s="3" t="n"/>
      <c r="D403" s="3" t="n"/>
      <c r="E403" s="3" t="n"/>
      <c r="F403" s="10" t="n"/>
      <c r="G403" s="10" t="n"/>
      <c r="H403" s="10" t="n"/>
      <c r="I403" s="3" t="n"/>
      <c r="J403" s="3">
        <f>IF(tblEjecucion[[#This Row],[orden]]="","",tblEjecucion[[#This Row],[orden]]&amp;IF(tblEjecucion[[#This Row],[operacion]]="","0010",tblEjecucion[[#This Row],[operacion]]))</f>
        <v/>
      </c>
    </row>
    <row r="404">
      <c r="A404" s="3" t="n"/>
      <c r="B404" s="3" t="n"/>
      <c r="C404" s="3" t="n"/>
      <c r="D404" s="3" t="n"/>
      <c r="E404" s="3" t="n"/>
      <c r="F404" s="10" t="n"/>
      <c r="G404" s="10" t="n"/>
      <c r="H404" s="10" t="n"/>
      <c r="I404" s="3" t="n"/>
      <c r="J404" s="3">
        <f>IF(tblEjecucion[[#This Row],[orden]]="","",tblEjecucion[[#This Row],[orden]]&amp;IF(tblEjecucion[[#This Row],[operacion]]="","0010",tblEjecucion[[#This Row],[operacion]]))</f>
        <v/>
      </c>
    </row>
    <row r="405">
      <c r="A405" s="3" t="n"/>
      <c r="B405" s="3" t="n"/>
      <c r="C405" s="3" t="n"/>
      <c r="D405" s="3" t="n"/>
      <c r="E405" s="3" t="n"/>
      <c r="F405" s="10" t="n"/>
      <c r="G405" s="10" t="n"/>
      <c r="H405" s="10" t="n"/>
      <c r="I405" s="3" t="n"/>
      <c r="J405" s="3">
        <f>IF(tblEjecucion[[#This Row],[orden]]="","",tblEjecucion[[#This Row],[orden]]&amp;IF(tblEjecucion[[#This Row],[operacion]]="","0010",tblEjecucion[[#This Row],[operacion]]))</f>
        <v/>
      </c>
    </row>
    <row r="406">
      <c r="A406" s="3" t="n"/>
      <c r="B406" s="3" t="n"/>
      <c r="C406" s="3" t="n"/>
      <c r="D406" s="3" t="n"/>
      <c r="E406" s="3" t="n"/>
      <c r="F406" s="10" t="n"/>
      <c r="G406" s="10" t="n"/>
      <c r="H406" s="10" t="n"/>
      <c r="I406" s="3" t="n"/>
      <c r="J406" s="3">
        <f>IF(tblEjecucion[[#This Row],[orden]]="","",tblEjecucion[[#This Row],[orden]]&amp;IF(tblEjecucion[[#This Row],[operacion]]="","0010",tblEjecucion[[#This Row],[operacion]]))</f>
        <v/>
      </c>
    </row>
    <row r="407">
      <c r="A407" s="3" t="n"/>
      <c r="B407" s="3" t="n"/>
      <c r="C407" s="3" t="n"/>
      <c r="D407" s="3" t="n"/>
      <c r="E407" s="3" t="n"/>
      <c r="F407" s="10" t="n"/>
      <c r="G407" s="10" t="n"/>
      <c r="H407" s="10" t="n"/>
      <c r="I407" s="3" t="n"/>
      <c r="J407" s="3">
        <f>IF(tblEjecucion[[#This Row],[orden]]="","",tblEjecucion[[#This Row],[orden]]&amp;IF(tblEjecucion[[#This Row],[operacion]]="","0010",tblEjecucion[[#This Row],[operacion]]))</f>
        <v/>
      </c>
    </row>
    <row r="408">
      <c r="A408" s="3" t="n"/>
      <c r="B408" s="3" t="n"/>
      <c r="C408" s="3" t="n"/>
      <c r="D408" s="3" t="n"/>
      <c r="E408" s="3" t="n"/>
      <c r="F408" s="10" t="n"/>
      <c r="G408" s="10" t="n"/>
      <c r="H408" s="10" t="n"/>
      <c r="I408" s="3" t="n"/>
      <c r="J408" s="3">
        <f>IF(tblEjecucion[[#This Row],[orden]]="","",tblEjecucion[[#This Row],[orden]]&amp;IF(tblEjecucion[[#This Row],[operacion]]="","0010",tblEjecucion[[#This Row],[operacion]]))</f>
        <v/>
      </c>
    </row>
    <row r="409">
      <c r="A409" s="3" t="n"/>
      <c r="B409" s="3" t="n"/>
      <c r="C409" s="3" t="n"/>
      <c r="D409" s="3" t="n"/>
      <c r="E409" s="3" t="n"/>
      <c r="F409" s="10" t="n"/>
      <c r="G409" s="10" t="n"/>
      <c r="H409" s="10" t="n"/>
      <c r="I409" s="3" t="n"/>
      <c r="J409" s="3">
        <f>IF(tblEjecucion[[#This Row],[orden]]="","",tblEjecucion[[#This Row],[orden]]&amp;IF(tblEjecucion[[#This Row],[operacion]]="","0010",tblEjecucion[[#This Row],[operacion]]))</f>
        <v/>
      </c>
    </row>
    <row r="410">
      <c r="A410" s="3" t="n"/>
      <c r="B410" s="3" t="n"/>
      <c r="C410" s="3" t="n"/>
      <c r="D410" s="3" t="n"/>
      <c r="E410" s="3" t="n"/>
      <c r="F410" s="10" t="n"/>
      <c r="G410" s="10" t="n"/>
      <c r="H410" s="10" t="n"/>
      <c r="I410" s="3" t="n"/>
      <c r="J410" s="3">
        <f>IF(tblEjecucion[[#This Row],[orden]]="","",tblEjecucion[[#This Row],[orden]]&amp;IF(tblEjecucion[[#This Row],[operacion]]="","0010",tblEjecucion[[#This Row],[operacion]]))</f>
        <v/>
      </c>
    </row>
    <row r="411">
      <c r="A411" s="3" t="n"/>
      <c r="B411" s="3" t="n"/>
      <c r="C411" s="3" t="n"/>
      <c r="D411" s="3" t="n"/>
      <c r="E411" s="3" t="n"/>
      <c r="F411" s="10" t="n"/>
      <c r="G411" s="10" t="n"/>
      <c r="H411" s="10" t="n"/>
      <c r="I411" s="3" t="n"/>
      <c r="J411" s="3">
        <f>IF(tblEjecucion[[#This Row],[orden]]="","",tblEjecucion[[#This Row],[orden]]&amp;IF(tblEjecucion[[#This Row],[operacion]]="","0010",tblEjecucion[[#This Row],[operacion]]))</f>
        <v/>
      </c>
    </row>
    <row r="412">
      <c r="A412" s="3" t="n"/>
      <c r="B412" s="3" t="n"/>
      <c r="C412" s="3" t="n"/>
      <c r="D412" s="3" t="n"/>
      <c r="E412" s="3" t="n"/>
      <c r="F412" s="10" t="n"/>
      <c r="G412" s="10" t="n"/>
      <c r="H412" s="10" t="n"/>
      <c r="I412" s="3" t="n"/>
      <c r="J412" s="3">
        <f>IF(tblEjecucion[[#This Row],[orden]]="","",tblEjecucion[[#This Row],[orden]]&amp;IF(tblEjecucion[[#This Row],[operacion]]="","0010",tblEjecucion[[#This Row],[operacion]]))</f>
        <v/>
      </c>
    </row>
    <row r="413">
      <c r="A413" s="3" t="n"/>
      <c r="B413" s="3" t="n"/>
      <c r="C413" s="3" t="n"/>
      <c r="D413" s="3" t="n"/>
      <c r="E413" s="3" t="n"/>
      <c r="F413" s="10" t="n"/>
      <c r="G413" s="10" t="n"/>
      <c r="H413" s="10" t="n"/>
      <c r="I413" s="3" t="n"/>
      <c r="J413" s="3">
        <f>IF(tblEjecucion[[#This Row],[orden]]="","",tblEjecucion[[#This Row],[orden]]&amp;IF(tblEjecucion[[#This Row],[operacion]]="","0010",tblEjecucion[[#This Row],[operacion]]))</f>
        <v/>
      </c>
    </row>
    <row r="414">
      <c r="A414" s="3" t="n"/>
      <c r="B414" s="3" t="n"/>
      <c r="C414" s="3" t="n"/>
      <c r="D414" s="3" t="n"/>
      <c r="E414" s="3" t="n"/>
      <c r="F414" s="10" t="n"/>
      <c r="G414" s="10" t="n"/>
      <c r="H414" s="10" t="n"/>
      <c r="I414" s="3" t="n"/>
      <c r="J414" s="3">
        <f>IF(tblEjecucion[[#This Row],[orden]]="","",tblEjecucion[[#This Row],[orden]]&amp;IF(tblEjecucion[[#This Row],[operacion]]="","0010",tblEjecucion[[#This Row],[operacion]]))</f>
        <v/>
      </c>
    </row>
    <row r="415">
      <c r="A415" s="3" t="n"/>
      <c r="B415" s="3" t="n"/>
      <c r="C415" s="3" t="n"/>
      <c r="D415" s="3" t="n"/>
      <c r="E415" s="3" t="n"/>
      <c r="F415" s="10" t="n"/>
      <c r="G415" s="10" t="n"/>
      <c r="H415" s="10" t="n"/>
      <c r="I415" s="3" t="n"/>
      <c r="J415" s="3">
        <f>IF(tblEjecucion[[#This Row],[orden]]="","",tblEjecucion[[#This Row],[orden]]&amp;IF(tblEjecucion[[#This Row],[operacion]]="","0010",tblEjecucion[[#This Row],[operacion]]))</f>
        <v/>
      </c>
    </row>
    <row r="416">
      <c r="A416" s="3" t="n"/>
      <c r="B416" s="3" t="n"/>
      <c r="C416" s="3" t="n"/>
      <c r="D416" s="3" t="n"/>
      <c r="E416" s="3" t="n"/>
      <c r="F416" s="10" t="n"/>
      <c r="G416" s="10" t="n"/>
      <c r="H416" s="10" t="n"/>
      <c r="I416" s="3" t="n"/>
      <c r="J416" s="3">
        <f>IF(tblEjecucion[[#This Row],[orden]]="","",tblEjecucion[[#This Row],[orden]]&amp;IF(tblEjecucion[[#This Row],[operacion]]="","0010",tblEjecucion[[#This Row],[operacion]]))</f>
        <v/>
      </c>
    </row>
    <row r="417">
      <c r="A417" s="3" t="n"/>
      <c r="B417" s="3" t="n"/>
      <c r="C417" s="3" t="n"/>
      <c r="D417" s="3" t="n"/>
      <c r="E417" s="3" t="n"/>
      <c r="F417" s="10" t="n"/>
      <c r="G417" s="10" t="n"/>
      <c r="H417" s="10" t="n"/>
      <c r="I417" s="3" t="n"/>
      <c r="J417" s="3">
        <f>IF(tblEjecucion[[#This Row],[orden]]="","",tblEjecucion[[#This Row],[orden]]&amp;IF(tblEjecucion[[#This Row],[operacion]]="","0010",tblEjecucion[[#This Row],[operacion]]))</f>
        <v/>
      </c>
    </row>
    <row r="418">
      <c r="A418" s="3" t="n"/>
      <c r="B418" s="3" t="n"/>
      <c r="C418" s="3" t="n"/>
      <c r="D418" s="3" t="n"/>
      <c r="E418" s="3" t="n"/>
      <c r="F418" s="10" t="n"/>
      <c r="G418" s="10" t="n"/>
      <c r="H418" s="10" t="n"/>
      <c r="I418" s="3" t="n"/>
      <c r="J418" s="3">
        <f>IF(tblEjecucion[[#This Row],[orden]]="","",tblEjecucion[[#This Row],[orden]]&amp;IF(tblEjecucion[[#This Row],[operacion]]="","0010",tblEjecucion[[#This Row],[operacion]]))</f>
        <v/>
      </c>
    </row>
    <row r="419">
      <c r="A419" s="3" t="n"/>
      <c r="B419" s="3" t="n"/>
      <c r="C419" s="3" t="n"/>
      <c r="D419" s="3" t="n"/>
      <c r="E419" s="3" t="n"/>
      <c r="F419" s="10" t="n"/>
      <c r="G419" s="10" t="n"/>
      <c r="H419" s="10" t="n"/>
      <c r="I419" s="3" t="n"/>
      <c r="J419" s="3">
        <f>IF(tblEjecucion[[#This Row],[orden]]="","",tblEjecucion[[#This Row],[orden]]&amp;IF(tblEjecucion[[#This Row],[operacion]]="","0010",tblEjecucion[[#This Row],[operacion]]))</f>
        <v/>
      </c>
    </row>
    <row r="420">
      <c r="A420" s="3" t="n"/>
      <c r="B420" s="3" t="n"/>
      <c r="C420" s="3" t="n"/>
      <c r="D420" s="3" t="n"/>
      <c r="E420" s="3" t="n"/>
      <c r="F420" s="10" t="n"/>
      <c r="G420" s="10" t="n"/>
      <c r="H420" s="10" t="n"/>
      <c r="I420" s="3" t="n"/>
      <c r="J420" s="3">
        <f>IF(tblEjecucion[[#This Row],[orden]]="","",tblEjecucion[[#This Row],[orden]]&amp;IF(tblEjecucion[[#This Row],[operacion]]="","0010",tblEjecucion[[#This Row],[operacion]]))</f>
        <v/>
      </c>
    </row>
    <row r="421">
      <c r="A421" s="3" t="n"/>
      <c r="B421" s="3" t="n"/>
      <c r="C421" s="3" t="n"/>
      <c r="D421" s="3" t="n"/>
      <c r="E421" s="3" t="n"/>
      <c r="F421" s="10" t="n"/>
      <c r="G421" s="10" t="n"/>
      <c r="H421" s="10" t="n"/>
      <c r="I421" s="3" t="n"/>
      <c r="J421" s="3">
        <f>IF(tblEjecucion[[#This Row],[orden]]="","",tblEjecucion[[#This Row],[orden]]&amp;IF(tblEjecucion[[#This Row],[operacion]]="","0010",tblEjecucion[[#This Row],[operacion]]))</f>
        <v/>
      </c>
    </row>
    <row r="422">
      <c r="A422" s="3" t="n"/>
      <c r="B422" s="3" t="n"/>
      <c r="C422" s="3" t="n"/>
      <c r="D422" s="3" t="n"/>
      <c r="E422" s="3" t="n"/>
      <c r="F422" s="10" t="n"/>
      <c r="G422" s="10" t="n"/>
      <c r="H422" s="10" t="n"/>
      <c r="I422" s="3" t="n"/>
      <c r="J422" s="3">
        <f>IF(tblEjecucion[[#This Row],[orden]]="","",tblEjecucion[[#This Row],[orden]]&amp;IF(tblEjecucion[[#This Row],[operacion]]="","0010",tblEjecucion[[#This Row],[operacion]]))</f>
        <v/>
      </c>
    </row>
    <row r="423">
      <c r="A423" s="3" t="n"/>
      <c r="B423" s="3" t="n"/>
      <c r="C423" s="3" t="n"/>
      <c r="D423" s="3" t="n"/>
      <c r="E423" s="3" t="n"/>
      <c r="F423" s="10" t="n"/>
      <c r="G423" s="10" t="n"/>
      <c r="H423" s="10" t="n"/>
      <c r="I423" s="3" t="n"/>
      <c r="J423" s="3">
        <f>IF(tblEjecucion[[#This Row],[orden]]="","",tblEjecucion[[#This Row],[orden]]&amp;IF(tblEjecucion[[#This Row],[operacion]]="","0010",tblEjecucion[[#This Row],[operacion]]))</f>
        <v/>
      </c>
    </row>
    <row r="424">
      <c r="A424" s="3" t="n"/>
      <c r="B424" s="3" t="n"/>
      <c r="C424" s="3" t="n"/>
      <c r="D424" s="3" t="n"/>
      <c r="E424" s="3" t="n"/>
      <c r="F424" s="10" t="n"/>
      <c r="G424" s="10" t="n"/>
      <c r="H424" s="10" t="n"/>
      <c r="I424" s="3" t="n"/>
      <c r="J424" s="3">
        <f>IF(tblEjecucion[[#This Row],[orden]]="","",tblEjecucion[[#This Row],[orden]]&amp;IF(tblEjecucion[[#This Row],[operacion]]="","0010",tblEjecucion[[#This Row],[operacion]]))</f>
        <v/>
      </c>
    </row>
    <row r="425">
      <c r="A425" s="3" t="n"/>
      <c r="B425" s="3" t="n"/>
      <c r="C425" s="3" t="n"/>
      <c r="D425" s="3" t="n"/>
      <c r="E425" s="3" t="n"/>
      <c r="F425" s="10" t="n"/>
      <c r="G425" s="10" t="n"/>
      <c r="H425" s="10" t="n"/>
      <c r="I425" s="3" t="n"/>
      <c r="J425" s="3">
        <f>IF(tblEjecucion[[#This Row],[orden]]="","",tblEjecucion[[#This Row],[orden]]&amp;IF(tblEjecucion[[#This Row],[operacion]]="","0010",tblEjecucion[[#This Row],[operacion]]))</f>
        <v/>
      </c>
    </row>
    <row r="426">
      <c r="A426" s="3" t="n"/>
      <c r="B426" s="3" t="n"/>
      <c r="C426" s="3" t="n"/>
      <c r="D426" s="3" t="n"/>
      <c r="E426" s="3" t="n"/>
      <c r="F426" s="10" t="n"/>
      <c r="G426" s="10" t="n"/>
      <c r="H426" s="10" t="n"/>
      <c r="I426" s="3" t="n"/>
      <c r="J426" s="3">
        <f>IF(tblEjecucion[[#This Row],[orden]]="","",tblEjecucion[[#This Row],[orden]]&amp;IF(tblEjecucion[[#This Row],[operacion]]="","0010",tblEjecucion[[#This Row],[operacion]]))</f>
        <v/>
      </c>
    </row>
    <row r="427">
      <c r="A427" s="3" t="n"/>
      <c r="B427" s="3" t="n"/>
      <c r="C427" s="3" t="n"/>
      <c r="D427" s="3" t="n"/>
      <c r="E427" s="3" t="n"/>
      <c r="F427" s="10" t="n"/>
      <c r="G427" s="10" t="n"/>
      <c r="H427" s="10" t="n"/>
      <c r="I427" s="3" t="n"/>
      <c r="J427" s="3">
        <f>IF(tblEjecucion[[#This Row],[orden]]="","",tblEjecucion[[#This Row],[orden]]&amp;IF(tblEjecucion[[#This Row],[operacion]]="","0010",tblEjecucion[[#This Row],[operacion]]))</f>
        <v/>
      </c>
    </row>
    <row r="428">
      <c r="A428" s="3" t="n"/>
      <c r="B428" s="3" t="n"/>
      <c r="C428" s="3" t="n"/>
      <c r="D428" s="3" t="n"/>
      <c r="E428" s="3" t="n"/>
      <c r="F428" s="10" t="n"/>
      <c r="G428" s="10" t="n"/>
      <c r="H428" s="10" t="n"/>
      <c r="I428" s="3" t="n"/>
      <c r="J428" s="3">
        <f>IF(tblEjecucion[[#This Row],[orden]]="","",tblEjecucion[[#This Row],[orden]]&amp;IF(tblEjecucion[[#This Row],[operacion]]="","0010",tblEjecucion[[#This Row],[operacion]]))</f>
        <v/>
      </c>
    </row>
    <row r="429">
      <c r="A429" s="3" t="n"/>
      <c r="B429" s="3" t="n"/>
      <c r="C429" s="3" t="n"/>
      <c r="D429" s="3" t="n"/>
      <c r="E429" s="3" t="n"/>
      <c r="F429" s="10" t="n"/>
      <c r="G429" s="10" t="n"/>
      <c r="H429" s="10" t="n"/>
      <c r="I429" s="3" t="n"/>
      <c r="J429" s="3">
        <f>IF(tblEjecucion[[#This Row],[orden]]="","",tblEjecucion[[#This Row],[orden]]&amp;IF(tblEjecucion[[#This Row],[operacion]]="","0010",tblEjecucion[[#This Row],[operacion]]))</f>
        <v/>
      </c>
    </row>
    <row r="430">
      <c r="A430" s="3" t="n"/>
      <c r="B430" s="3" t="n"/>
      <c r="C430" s="3" t="n"/>
      <c r="D430" s="3" t="n"/>
      <c r="E430" s="3" t="n"/>
      <c r="F430" s="10" t="n"/>
      <c r="G430" s="10" t="n"/>
      <c r="H430" s="10" t="n"/>
      <c r="I430" s="3" t="n"/>
      <c r="J430" s="3">
        <f>IF(tblEjecucion[[#This Row],[orden]]="","",tblEjecucion[[#This Row],[orden]]&amp;IF(tblEjecucion[[#This Row],[operacion]]="","0010",tblEjecucion[[#This Row],[operacion]]))</f>
        <v/>
      </c>
    </row>
    <row r="431">
      <c r="A431" s="3" t="n"/>
      <c r="B431" s="3" t="n"/>
      <c r="C431" s="3" t="n"/>
      <c r="D431" s="3" t="n"/>
      <c r="E431" s="3" t="n"/>
      <c r="F431" s="10" t="n"/>
      <c r="G431" s="10" t="n"/>
      <c r="H431" s="10" t="n"/>
      <c r="I431" s="3" t="n"/>
      <c r="J431" s="3">
        <f>IF(tblEjecucion[[#This Row],[orden]]="","",tblEjecucion[[#This Row],[orden]]&amp;IF(tblEjecucion[[#This Row],[operacion]]="","0010",tblEjecucion[[#This Row],[operacion]]))</f>
        <v/>
      </c>
    </row>
    <row r="432">
      <c r="A432" s="3" t="n"/>
      <c r="B432" s="3" t="n"/>
      <c r="C432" s="3" t="n"/>
      <c r="D432" s="3" t="n"/>
      <c r="E432" s="3" t="n"/>
      <c r="F432" s="10" t="n"/>
      <c r="G432" s="10" t="n"/>
      <c r="H432" s="10" t="n"/>
      <c r="I432" s="3" t="n"/>
      <c r="J432" s="3">
        <f>IF(tblEjecucion[[#This Row],[orden]]="","",tblEjecucion[[#This Row],[orden]]&amp;IF(tblEjecucion[[#This Row],[operacion]]="","0010",tblEjecucion[[#This Row],[operacion]]))</f>
        <v/>
      </c>
    </row>
    <row r="433">
      <c r="A433" s="3" t="n"/>
      <c r="B433" s="3" t="n"/>
      <c r="C433" s="3" t="n"/>
      <c r="D433" s="3" t="n"/>
      <c r="E433" s="3" t="n"/>
      <c r="F433" s="10" t="n"/>
      <c r="G433" s="10" t="n"/>
      <c r="H433" s="10" t="n"/>
      <c r="I433" s="3" t="n"/>
      <c r="J433" s="3">
        <f>IF(tblEjecucion[[#This Row],[orden]]="","",tblEjecucion[[#This Row],[orden]]&amp;IF(tblEjecucion[[#This Row],[operacion]]="","0010",tblEjecucion[[#This Row],[operacion]]))</f>
        <v/>
      </c>
    </row>
    <row r="434">
      <c r="A434" s="3" t="n"/>
      <c r="B434" s="3" t="n"/>
      <c r="C434" s="3" t="n"/>
      <c r="D434" s="3" t="n"/>
      <c r="E434" s="3" t="n"/>
      <c r="F434" s="10" t="n"/>
      <c r="G434" s="10" t="n"/>
      <c r="H434" s="10" t="n"/>
      <c r="I434" s="3" t="n"/>
      <c r="J434" s="3">
        <f>IF(tblEjecucion[[#This Row],[orden]]="","",tblEjecucion[[#This Row],[orden]]&amp;IF(tblEjecucion[[#This Row],[operacion]]="","0010",tblEjecucion[[#This Row],[operacion]]))</f>
        <v/>
      </c>
    </row>
    <row r="435">
      <c r="A435" s="3" t="n"/>
      <c r="B435" s="3" t="n"/>
      <c r="C435" s="3" t="n"/>
      <c r="D435" s="3" t="n"/>
      <c r="E435" s="3" t="n"/>
      <c r="F435" s="10" t="n"/>
      <c r="G435" s="10" t="n"/>
      <c r="H435" s="10" t="n"/>
      <c r="I435" s="3" t="n"/>
      <c r="J435" s="3">
        <f>IF(tblEjecucion[[#This Row],[orden]]="","",tblEjecucion[[#This Row],[orden]]&amp;IF(tblEjecucion[[#This Row],[operacion]]="","0010",tblEjecucion[[#This Row],[operacion]]))</f>
        <v/>
      </c>
    </row>
    <row r="436">
      <c r="A436" s="3" t="n"/>
      <c r="B436" s="3" t="n"/>
      <c r="C436" s="3" t="n"/>
      <c r="D436" s="3" t="n"/>
      <c r="E436" s="3" t="n"/>
      <c r="F436" s="10" t="n"/>
      <c r="G436" s="10" t="n"/>
      <c r="H436" s="10" t="n"/>
      <c r="I436" s="3" t="n"/>
      <c r="J436" s="3">
        <f>IF(tblEjecucion[[#This Row],[orden]]="","",tblEjecucion[[#This Row],[orden]]&amp;IF(tblEjecucion[[#This Row],[operacion]]="","0010",tblEjecucion[[#This Row],[operacion]]))</f>
        <v/>
      </c>
    </row>
    <row r="437">
      <c r="A437" s="3" t="n"/>
      <c r="B437" s="3" t="n"/>
      <c r="C437" s="3" t="n"/>
      <c r="D437" s="3" t="n"/>
      <c r="E437" s="3" t="n"/>
      <c r="F437" s="10" t="n"/>
      <c r="G437" s="10" t="n"/>
      <c r="H437" s="10" t="n"/>
      <c r="I437" s="3" t="n"/>
      <c r="J437" s="3">
        <f>IF(tblEjecucion[[#This Row],[orden]]="","",tblEjecucion[[#This Row],[orden]]&amp;IF(tblEjecucion[[#This Row],[operacion]]="","0010",tblEjecucion[[#This Row],[operacion]]))</f>
        <v/>
      </c>
    </row>
    <row r="438">
      <c r="A438" s="3" t="n"/>
      <c r="B438" s="3" t="n"/>
      <c r="C438" s="3" t="n"/>
      <c r="D438" s="3" t="n"/>
      <c r="E438" s="3" t="n"/>
      <c r="F438" s="10" t="n"/>
      <c r="G438" s="10" t="n"/>
      <c r="H438" s="10" t="n"/>
      <c r="I438" s="3" t="n"/>
      <c r="J438" s="3">
        <f>IF(tblEjecucion[[#This Row],[orden]]="","",tblEjecucion[[#This Row],[orden]]&amp;IF(tblEjecucion[[#This Row],[operacion]]="","0010",tblEjecucion[[#This Row],[operacion]]))</f>
        <v/>
      </c>
    </row>
    <row r="439">
      <c r="A439" s="3" t="n"/>
      <c r="B439" s="3" t="n"/>
      <c r="C439" s="3" t="n"/>
      <c r="D439" s="3" t="n"/>
      <c r="E439" s="3" t="n"/>
      <c r="F439" s="10" t="n"/>
      <c r="G439" s="10" t="n"/>
      <c r="H439" s="10" t="n"/>
      <c r="I439" s="3" t="n"/>
      <c r="J439" s="3">
        <f>IF(tblEjecucion[[#This Row],[orden]]="","",tblEjecucion[[#This Row],[orden]]&amp;IF(tblEjecucion[[#This Row],[operacion]]="","0010",tblEjecucion[[#This Row],[operacion]]))</f>
        <v/>
      </c>
    </row>
    <row r="440">
      <c r="A440" s="3" t="n"/>
      <c r="B440" s="3" t="n"/>
      <c r="C440" s="3" t="n"/>
      <c r="D440" s="3" t="n"/>
      <c r="E440" s="3" t="n"/>
      <c r="F440" s="10" t="n"/>
      <c r="G440" s="10" t="n"/>
      <c r="H440" s="10" t="n"/>
      <c r="I440" s="3" t="n"/>
      <c r="J440" s="3">
        <f>IF(tblEjecucion[[#This Row],[orden]]="","",tblEjecucion[[#This Row],[orden]]&amp;IF(tblEjecucion[[#This Row],[operacion]]="","0010",tblEjecucion[[#This Row],[operacion]]))</f>
        <v/>
      </c>
    </row>
    <row r="441">
      <c r="A441" s="3" t="n"/>
      <c r="B441" s="3" t="n"/>
      <c r="C441" s="3" t="n"/>
      <c r="D441" s="3" t="n"/>
      <c r="E441" s="3" t="n"/>
      <c r="F441" s="10" t="n"/>
      <c r="G441" s="10" t="n"/>
      <c r="H441" s="10" t="n"/>
      <c r="I441" s="3" t="n"/>
      <c r="J441" s="3">
        <f>IF(tblEjecucion[[#This Row],[orden]]="","",tblEjecucion[[#This Row],[orden]]&amp;IF(tblEjecucion[[#This Row],[operacion]]="","0010",tblEjecucion[[#This Row],[operacion]]))</f>
        <v/>
      </c>
    </row>
    <row r="442">
      <c r="A442" s="3" t="n"/>
      <c r="B442" s="3" t="n"/>
      <c r="C442" s="3" t="n"/>
      <c r="D442" s="3" t="n"/>
      <c r="E442" s="3" t="n"/>
      <c r="F442" s="10" t="n"/>
      <c r="G442" s="10" t="n"/>
      <c r="H442" s="10" t="n"/>
      <c r="I442" s="3" t="n"/>
      <c r="J442" s="3">
        <f>IF(tblEjecucion[[#This Row],[orden]]="","",tblEjecucion[[#This Row],[orden]]&amp;IF(tblEjecucion[[#This Row],[operacion]]="","0010",tblEjecucion[[#This Row],[operacion]]))</f>
        <v/>
      </c>
    </row>
    <row r="443">
      <c r="A443" s="3" t="n"/>
      <c r="B443" s="3" t="n"/>
      <c r="C443" s="3" t="n"/>
      <c r="D443" s="3" t="n"/>
      <c r="E443" s="3" t="n"/>
      <c r="F443" s="10" t="n"/>
      <c r="G443" s="10" t="n"/>
      <c r="H443" s="10" t="n"/>
      <c r="I443" s="3" t="n"/>
      <c r="J443" s="3">
        <f>IF(tblEjecucion[[#This Row],[orden]]="","",tblEjecucion[[#This Row],[orden]]&amp;IF(tblEjecucion[[#This Row],[operacion]]="","0010",tblEjecucion[[#This Row],[operacion]]))</f>
        <v/>
      </c>
    </row>
    <row r="444">
      <c r="A444" s="3" t="n"/>
      <c r="B444" s="3" t="n"/>
      <c r="C444" s="3" t="n"/>
      <c r="D444" s="3" t="n"/>
      <c r="E444" s="3" t="n"/>
      <c r="F444" s="10" t="n"/>
      <c r="G444" s="10" t="n"/>
      <c r="H444" s="10" t="n"/>
      <c r="I444" s="3" t="n"/>
      <c r="J444" s="3">
        <f>IF(tblEjecucion[[#This Row],[orden]]="","",tblEjecucion[[#This Row],[orden]]&amp;IF(tblEjecucion[[#This Row],[operacion]]="","0010",tblEjecucion[[#This Row],[operacion]]))</f>
        <v/>
      </c>
    </row>
    <row r="445">
      <c r="A445" s="3" t="n"/>
      <c r="B445" s="3" t="n"/>
      <c r="C445" s="3" t="n"/>
      <c r="D445" s="3" t="n"/>
      <c r="E445" s="3" t="n"/>
      <c r="F445" s="10" t="n"/>
      <c r="G445" s="10" t="n"/>
      <c r="H445" s="10" t="n"/>
      <c r="I445" s="3" t="n"/>
      <c r="J445" s="3">
        <f>IF(tblEjecucion[[#This Row],[orden]]="","",tblEjecucion[[#This Row],[orden]]&amp;IF(tblEjecucion[[#This Row],[operacion]]="","0010",tblEjecucion[[#This Row],[operacion]]))</f>
        <v/>
      </c>
    </row>
    <row r="446">
      <c r="A446" s="3" t="n"/>
      <c r="B446" s="3" t="n"/>
      <c r="C446" s="3" t="n"/>
      <c r="D446" s="3" t="n"/>
      <c r="E446" s="3" t="n"/>
      <c r="F446" s="10" t="n"/>
      <c r="G446" s="10" t="n"/>
      <c r="H446" s="10" t="n"/>
      <c r="I446" s="3" t="n"/>
      <c r="J446" s="3">
        <f>IF(tblEjecucion[[#This Row],[orden]]="","",tblEjecucion[[#This Row],[orden]]&amp;IF(tblEjecucion[[#This Row],[operacion]]="","0010",tblEjecucion[[#This Row],[operacion]]))</f>
        <v/>
      </c>
    </row>
    <row r="447">
      <c r="A447" s="3" t="n"/>
      <c r="B447" s="3" t="n"/>
      <c r="C447" s="3" t="n"/>
      <c r="D447" s="3" t="n"/>
      <c r="E447" s="3" t="n"/>
      <c r="F447" s="10" t="n"/>
      <c r="G447" s="10" t="n"/>
      <c r="H447" s="10" t="n"/>
      <c r="I447" s="3" t="n"/>
      <c r="J447" s="3">
        <f>IF(tblEjecucion[[#This Row],[orden]]="","",tblEjecucion[[#This Row],[orden]]&amp;IF(tblEjecucion[[#This Row],[operacion]]="","0010",tblEjecucion[[#This Row],[operacion]]))</f>
        <v/>
      </c>
    </row>
    <row r="448">
      <c r="A448" s="3" t="n"/>
      <c r="B448" s="3" t="n"/>
      <c r="C448" s="3" t="n"/>
      <c r="D448" s="3" t="n"/>
      <c r="E448" s="3" t="n"/>
      <c r="F448" s="10" t="n"/>
      <c r="G448" s="10" t="n"/>
      <c r="H448" s="10" t="n"/>
      <c r="I448" s="3" t="n"/>
      <c r="J448" s="3">
        <f>IF(tblEjecucion[[#This Row],[orden]]="","",tblEjecucion[[#This Row],[orden]]&amp;IF(tblEjecucion[[#This Row],[operacion]]="","0010",tblEjecucion[[#This Row],[operacion]]))</f>
        <v/>
      </c>
    </row>
    <row r="449">
      <c r="A449" s="3" t="n"/>
      <c r="B449" s="3" t="n"/>
      <c r="C449" s="3" t="n"/>
      <c r="D449" s="3" t="n"/>
      <c r="E449" s="3" t="n"/>
      <c r="F449" s="10" t="n"/>
      <c r="G449" s="10" t="n"/>
      <c r="H449" s="10" t="n"/>
      <c r="I449" s="3" t="n"/>
      <c r="J449" s="3">
        <f>IF(tblEjecucion[[#This Row],[orden]]="","",tblEjecucion[[#This Row],[orden]]&amp;IF(tblEjecucion[[#This Row],[operacion]]="","0010",tblEjecucion[[#This Row],[operacion]]))</f>
        <v/>
      </c>
    </row>
    <row r="450">
      <c r="A450" s="3" t="n"/>
      <c r="B450" s="3" t="n"/>
      <c r="C450" s="3" t="n"/>
      <c r="D450" s="3" t="n"/>
      <c r="E450" s="3" t="n"/>
      <c r="F450" s="10" t="n"/>
      <c r="G450" s="10" t="n"/>
      <c r="H450" s="10" t="n"/>
      <c r="I450" s="3" t="n"/>
      <c r="J450" s="3">
        <f>IF(tblEjecucion[[#This Row],[orden]]="","",tblEjecucion[[#This Row],[orden]]&amp;IF(tblEjecucion[[#This Row],[operacion]]="","0010",tblEjecucion[[#This Row],[operacion]]))</f>
        <v/>
      </c>
    </row>
    <row r="451">
      <c r="A451" s="3" t="n"/>
      <c r="B451" s="3" t="n"/>
      <c r="C451" s="3" t="n"/>
      <c r="D451" s="3" t="n"/>
      <c r="E451" s="3" t="n"/>
      <c r="F451" s="10" t="n"/>
      <c r="G451" s="10" t="n"/>
      <c r="H451" s="10" t="n"/>
      <c r="I451" s="3" t="n"/>
      <c r="J451" s="3">
        <f>IF(tblEjecucion[[#This Row],[orden]]="","",tblEjecucion[[#This Row],[orden]]&amp;IF(tblEjecucion[[#This Row],[operacion]]="","0010",tblEjecucion[[#This Row],[operacion]]))</f>
        <v/>
      </c>
    </row>
    <row r="452">
      <c r="A452" s="3" t="n"/>
      <c r="B452" s="3" t="n"/>
      <c r="C452" s="3" t="n"/>
      <c r="D452" s="3" t="n"/>
      <c r="E452" s="3" t="n"/>
      <c r="F452" s="10" t="n"/>
      <c r="G452" s="10" t="n"/>
      <c r="H452" s="10" t="n"/>
      <c r="I452" s="3" t="n"/>
      <c r="J452" s="3">
        <f>IF(tblEjecucion[[#This Row],[orden]]="","",tblEjecucion[[#This Row],[orden]]&amp;IF(tblEjecucion[[#This Row],[operacion]]="","0010",tblEjecucion[[#This Row],[operacion]]))</f>
        <v/>
      </c>
    </row>
    <row r="453">
      <c r="A453" s="3" t="n"/>
      <c r="B453" s="3" t="n"/>
      <c r="C453" s="3" t="n"/>
      <c r="D453" s="3" t="n"/>
      <c r="E453" s="3" t="n"/>
      <c r="F453" s="10" t="n"/>
      <c r="G453" s="10" t="n"/>
      <c r="H453" s="10" t="n"/>
      <c r="I453" s="3" t="n"/>
      <c r="J453" s="3">
        <f>IF(tblEjecucion[[#This Row],[orden]]="","",tblEjecucion[[#This Row],[orden]]&amp;IF(tblEjecucion[[#This Row],[operacion]]="","0010",tblEjecucion[[#This Row],[operacion]]))</f>
        <v/>
      </c>
    </row>
    <row r="454">
      <c r="A454" s="3" t="n"/>
      <c r="B454" s="3" t="n"/>
      <c r="C454" s="3" t="n"/>
      <c r="D454" s="3" t="n"/>
      <c r="E454" s="3" t="n"/>
      <c r="F454" s="10" t="n"/>
      <c r="G454" s="10" t="n"/>
      <c r="H454" s="10" t="n"/>
      <c r="I454" s="3" t="n"/>
      <c r="J454" s="3">
        <f>IF(tblEjecucion[[#This Row],[orden]]="","",tblEjecucion[[#This Row],[orden]]&amp;IF(tblEjecucion[[#This Row],[operacion]]="","0010",tblEjecucion[[#This Row],[operacion]]))</f>
        <v/>
      </c>
    </row>
    <row r="455">
      <c r="A455" s="3" t="n"/>
      <c r="B455" s="3" t="n"/>
      <c r="C455" s="3" t="n"/>
      <c r="D455" s="3" t="n"/>
      <c r="E455" s="3" t="n"/>
      <c r="F455" s="10" t="n"/>
      <c r="G455" s="10" t="n"/>
      <c r="H455" s="10" t="n"/>
      <c r="I455" s="3" t="n"/>
      <c r="J455" s="3">
        <f>IF(tblEjecucion[[#This Row],[orden]]="","",tblEjecucion[[#This Row],[orden]]&amp;IF(tblEjecucion[[#This Row],[operacion]]="","0010",tblEjecucion[[#This Row],[operacion]]))</f>
        <v/>
      </c>
    </row>
    <row r="456">
      <c r="A456" s="3" t="n"/>
      <c r="B456" s="3" t="n"/>
      <c r="C456" s="3" t="n"/>
      <c r="D456" s="3" t="n"/>
      <c r="E456" s="3" t="n"/>
      <c r="F456" s="10" t="n"/>
      <c r="G456" s="10" t="n"/>
      <c r="H456" s="10" t="n"/>
      <c r="I456" s="3" t="n"/>
      <c r="J456" s="3">
        <f>IF(tblEjecucion[[#This Row],[orden]]="","",tblEjecucion[[#This Row],[orden]]&amp;IF(tblEjecucion[[#This Row],[operacion]]="","0010",tblEjecucion[[#This Row],[operacion]]))</f>
        <v/>
      </c>
    </row>
    <row r="457">
      <c r="A457" s="3" t="n"/>
      <c r="B457" s="3" t="n"/>
      <c r="C457" s="3" t="n"/>
      <c r="D457" s="3" t="n"/>
      <c r="E457" s="3" t="n"/>
      <c r="F457" s="10" t="n"/>
      <c r="G457" s="10" t="n"/>
      <c r="H457" s="10" t="n"/>
      <c r="I457" s="3" t="n"/>
      <c r="J457" s="3">
        <f>IF(tblEjecucion[[#This Row],[orden]]="","",tblEjecucion[[#This Row],[orden]]&amp;IF(tblEjecucion[[#This Row],[operacion]]="","0010",tblEjecucion[[#This Row],[operacion]]))</f>
        <v/>
      </c>
    </row>
    <row r="458">
      <c r="A458" s="3" t="n"/>
      <c r="B458" s="3" t="n"/>
      <c r="C458" s="3" t="n"/>
      <c r="D458" s="3" t="n"/>
      <c r="E458" s="3" t="n"/>
      <c r="F458" s="10" t="n"/>
      <c r="G458" s="10" t="n"/>
      <c r="H458" s="10" t="n"/>
      <c r="I458" s="3" t="n"/>
      <c r="J458" s="3">
        <f>IF(tblEjecucion[[#This Row],[orden]]="","",tblEjecucion[[#This Row],[orden]]&amp;IF(tblEjecucion[[#This Row],[operacion]]="","0010",tblEjecucion[[#This Row],[operacion]]))</f>
        <v/>
      </c>
    </row>
    <row r="459">
      <c r="A459" s="3" t="n"/>
      <c r="B459" s="3" t="n"/>
      <c r="C459" s="3" t="n"/>
      <c r="D459" s="3" t="n"/>
      <c r="E459" s="3" t="n"/>
      <c r="F459" s="10" t="n"/>
      <c r="G459" s="10" t="n"/>
      <c r="H459" s="10" t="n"/>
      <c r="I459" s="3" t="n"/>
      <c r="J459" s="3">
        <f>IF(tblEjecucion[[#This Row],[orden]]="","",tblEjecucion[[#This Row],[orden]]&amp;IF(tblEjecucion[[#This Row],[operacion]]="","0010",tblEjecucion[[#This Row],[operacion]]))</f>
        <v/>
      </c>
    </row>
    <row r="460">
      <c r="A460" s="3" t="n"/>
      <c r="B460" s="3" t="n"/>
      <c r="C460" s="3" t="n"/>
      <c r="D460" s="3" t="n"/>
      <c r="E460" s="3" t="n"/>
      <c r="F460" s="10" t="n"/>
      <c r="G460" s="10" t="n"/>
      <c r="H460" s="10" t="n"/>
      <c r="I460" s="3" t="n"/>
      <c r="J460" s="3">
        <f>IF(tblEjecucion[[#This Row],[orden]]="","",tblEjecucion[[#This Row],[orden]]&amp;IF(tblEjecucion[[#This Row],[operacion]]="","0010",tblEjecucion[[#This Row],[operacion]]))</f>
        <v/>
      </c>
    </row>
    <row r="461">
      <c r="A461" s="3" t="n"/>
      <c r="B461" s="3" t="n"/>
      <c r="C461" s="3" t="n"/>
      <c r="D461" s="3" t="n"/>
      <c r="E461" s="3" t="n"/>
      <c r="F461" s="10" t="n"/>
      <c r="G461" s="10" t="n"/>
      <c r="H461" s="10" t="n"/>
      <c r="I461" s="3" t="n"/>
      <c r="J461" s="3">
        <f>IF(tblEjecucion[[#This Row],[orden]]="","",tblEjecucion[[#This Row],[orden]]&amp;IF(tblEjecucion[[#This Row],[operacion]]="","0010",tblEjecucion[[#This Row],[operacion]]))</f>
        <v/>
      </c>
    </row>
    <row r="462">
      <c r="A462" s="3" t="n"/>
      <c r="B462" s="3" t="n"/>
      <c r="C462" s="3" t="n"/>
      <c r="D462" s="3" t="n"/>
      <c r="E462" s="3" t="n"/>
      <c r="F462" s="10" t="n"/>
      <c r="G462" s="10" t="n"/>
      <c r="H462" s="10" t="n"/>
      <c r="I462" s="3" t="n"/>
      <c r="J462" s="3">
        <f>IF(tblEjecucion[[#This Row],[orden]]="","",tblEjecucion[[#This Row],[orden]]&amp;IF(tblEjecucion[[#This Row],[operacion]]="","0010",tblEjecucion[[#This Row],[operacion]]))</f>
        <v/>
      </c>
    </row>
    <row r="463">
      <c r="A463" s="3" t="n"/>
      <c r="B463" s="3" t="n"/>
      <c r="C463" s="3" t="n"/>
      <c r="D463" s="3" t="n"/>
      <c r="E463" s="3" t="n"/>
      <c r="F463" s="10" t="n"/>
      <c r="G463" s="10" t="n"/>
      <c r="H463" s="10" t="n"/>
      <c r="I463" s="3" t="n"/>
      <c r="J463" s="3">
        <f>IF(tblEjecucion[[#This Row],[orden]]="","",tblEjecucion[[#This Row],[orden]]&amp;IF(tblEjecucion[[#This Row],[operacion]]="","0010",tblEjecucion[[#This Row],[operacion]]))</f>
        <v/>
      </c>
    </row>
    <row r="464">
      <c r="A464" s="3" t="n"/>
      <c r="B464" s="3" t="n"/>
      <c r="C464" s="3" t="n"/>
      <c r="D464" s="3" t="n"/>
      <c r="E464" s="3" t="n"/>
      <c r="F464" s="10" t="n"/>
      <c r="G464" s="10" t="n"/>
      <c r="H464" s="10" t="n"/>
      <c r="I464" s="3" t="n"/>
      <c r="J464" s="3">
        <f>IF(tblEjecucion[[#This Row],[orden]]="","",tblEjecucion[[#This Row],[orden]]&amp;IF(tblEjecucion[[#This Row],[operacion]]="","0010",tblEjecucion[[#This Row],[operacion]]))</f>
        <v/>
      </c>
    </row>
    <row r="465">
      <c r="A465" s="3" t="n"/>
      <c r="B465" s="3" t="n"/>
      <c r="C465" s="3" t="n"/>
      <c r="D465" s="3" t="n"/>
      <c r="E465" s="3" t="n"/>
      <c r="F465" s="10" t="n"/>
      <c r="G465" s="10" t="n"/>
      <c r="H465" s="10" t="n"/>
      <c r="I465" s="3" t="n"/>
      <c r="J465" s="3">
        <f>IF(tblEjecucion[[#This Row],[orden]]="","",tblEjecucion[[#This Row],[orden]]&amp;IF(tblEjecucion[[#This Row],[operacion]]="","0010",tblEjecucion[[#This Row],[operacion]]))</f>
        <v/>
      </c>
    </row>
    <row r="466">
      <c r="A466" s="3" t="n"/>
      <c r="B466" s="3" t="n"/>
      <c r="C466" s="3" t="n"/>
      <c r="D466" s="3" t="n"/>
      <c r="E466" s="3" t="n"/>
      <c r="F466" s="10" t="n"/>
      <c r="G466" s="10" t="n"/>
      <c r="H466" s="10" t="n"/>
      <c r="I466" s="3" t="n"/>
      <c r="J466" s="3">
        <f>IF(tblEjecucion[[#This Row],[orden]]="","",tblEjecucion[[#This Row],[orden]]&amp;IF(tblEjecucion[[#This Row],[operacion]]="","0010",tblEjecucion[[#This Row],[operacion]]))</f>
        <v/>
      </c>
    </row>
    <row r="467">
      <c r="A467" s="3" t="n"/>
      <c r="B467" s="3" t="n"/>
      <c r="C467" s="3" t="n"/>
      <c r="D467" s="3" t="n"/>
      <c r="E467" s="3" t="n"/>
      <c r="F467" s="10" t="n"/>
      <c r="G467" s="10" t="n"/>
      <c r="H467" s="10" t="n"/>
      <c r="I467" s="3" t="n"/>
      <c r="J467" s="3">
        <f>IF(tblEjecucion[[#This Row],[orden]]="","",tblEjecucion[[#This Row],[orden]]&amp;IF(tblEjecucion[[#This Row],[operacion]]="","0010",tblEjecucion[[#This Row],[operacion]]))</f>
        <v/>
      </c>
    </row>
    <row r="468">
      <c r="A468" s="3" t="n"/>
      <c r="B468" s="3" t="n"/>
      <c r="C468" s="3" t="n"/>
      <c r="D468" s="3" t="n"/>
      <c r="E468" s="3" t="n"/>
      <c r="F468" s="10" t="n"/>
      <c r="G468" s="10" t="n"/>
      <c r="H468" s="10" t="n"/>
      <c r="I468" s="3" t="n"/>
      <c r="J468" s="3">
        <f>IF(tblEjecucion[[#This Row],[orden]]="","",tblEjecucion[[#This Row],[orden]]&amp;IF(tblEjecucion[[#This Row],[operacion]]="","0010",tblEjecucion[[#This Row],[operacion]]))</f>
        <v/>
      </c>
    </row>
    <row r="469">
      <c r="A469" s="3" t="n"/>
      <c r="B469" s="3" t="n"/>
      <c r="C469" s="3" t="n"/>
      <c r="D469" s="3" t="n"/>
      <c r="E469" s="3" t="n"/>
      <c r="F469" s="10" t="n"/>
      <c r="G469" s="10" t="n"/>
      <c r="H469" s="10" t="n"/>
      <c r="I469" s="3" t="n"/>
      <c r="J469" s="3">
        <f>IF(tblEjecucion[[#This Row],[orden]]="","",tblEjecucion[[#This Row],[orden]]&amp;IF(tblEjecucion[[#This Row],[operacion]]="","0010",tblEjecucion[[#This Row],[operacion]]))</f>
        <v/>
      </c>
    </row>
    <row r="470">
      <c r="A470" s="3" t="n"/>
      <c r="B470" s="3" t="n"/>
      <c r="C470" s="3" t="n"/>
      <c r="D470" s="3" t="n"/>
      <c r="E470" s="3" t="n"/>
      <c r="F470" s="10" t="n"/>
      <c r="G470" s="10" t="n"/>
      <c r="H470" s="10" t="n"/>
      <c r="I470" s="3" t="n"/>
      <c r="J470" s="3">
        <f>IF(tblEjecucion[[#This Row],[orden]]="","",tblEjecucion[[#This Row],[orden]]&amp;IF(tblEjecucion[[#This Row],[operacion]]="","0010",tblEjecucion[[#This Row],[operacion]]))</f>
        <v/>
      </c>
    </row>
    <row r="471">
      <c r="A471" s="3" t="n"/>
      <c r="B471" s="3" t="n"/>
      <c r="C471" s="3" t="n"/>
      <c r="D471" s="3" t="n"/>
      <c r="E471" s="3" t="n"/>
      <c r="F471" s="10" t="n"/>
      <c r="G471" s="10" t="n"/>
      <c r="H471" s="10" t="n"/>
      <c r="I471" s="3" t="n"/>
      <c r="J471" s="3">
        <f>IF(tblEjecucion[[#This Row],[orden]]="","",tblEjecucion[[#This Row],[orden]]&amp;IF(tblEjecucion[[#This Row],[operacion]]="","0010",tblEjecucion[[#This Row],[operacion]]))</f>
        <v/>
      </c>
    </row>
    <row r="472">
      <c r="A472" s="3" t="n"/>
      <c r="B472" s="3" t="n"/>
      <c r="C472" s="3" t="n"/>
      <c r="D472" s="3" t="n"/>
      <c r="E472" s="3" t="n"/>
      <c r="F472" s="10" t="n"/>
      <c r="G472" s="10" t="n"/>
      <c r="H472" s="10" t="n"/>
      <c r="I472" s="3" t="n"/>
      <c r="J472" s="3">
        <f>IF(tblEjecucion[[#This Row],[orden]]="","",tblEjecucion[[#This Row],[orden]]&amp;IF(tblEjecucion[[#This Row],[operacion]]="","0010",tblEjecucion[[#This Row],[operacion]]))</f>
        <v/>
      </c>
    </row>
    <row r="473">
      <c r="A473" s="3" t="n"/>
      <c r="B473" s="3" t="n"/>
      <c r="C473" s="3" t="n"/>
      <c r="D473" s="3" t="n"/>
      <c r="E473" s="3" t="n"/>
      <c r="F473" s="10" t="n"/>
      <c r="G473" s="10" t="n"/>
      <c r="H473" s="10" t="n"/>
      <c r="I473" s="3" t="n"/>
      <c r="J473" s="3">
        <f>IF(tblEjecucion[[#This Row],[orden]]="","",tblEjecucion[[#This Row],[orden]]&amp;IF(tblEjecucion[[#This Row],[operacion]]="","0010",tblEjecucion[[#This Row],[operacion]]))</f>
        <v/>
      </c>
    </row>
    <row r="474">
      <c r="A474" s="3" t="n"/>
      <c r="B474" s="3" t="n"/>
      <c r="C474" s="3" t="n"/>
      <c r="D474" s="3" t="n"/>
      <c r="E474" s="3" t="n"/>
      <c r="F474" s="10" t="n"/>
      <c r="G474" s="10" t="n"/>
      <c r="H474" s="10" t="n"/>
      <c r="I474" s="3" t="n"/>
      <c r="J474" s="3">
        <f>IF(tblEjecucion[[#This Row],[orden]]="","",tblEjecucion[[#This Row],[orden]]&amp;IF(tblEjecucion[[#This Row],[operacion]]="","0010",tblEjecucion[[#This Row],[operacion]]))</f>
        <v/>
      </c>
    </row>
    <row r="475">
      <c r="A475" s="3" t="n"/>
      <c r="B475" s="3" t="n"/>
      <c r="C475" s="3" t="n"/>
      <c r="D475" s="3" t="n"/>
      <c r="E475" s="3" t="n"/>
      <c r="F475" s="10" t="n"/>
      <c r="G475" s="10" t="n"/>
      <c r="H475" s="10" t="n"/>
      <c r="I475" s="3" t="n"/>
      <c r="J475" s="3">
        <f>IF(tblEjecucion[[#This Row],[orden]]="","",tblEjecucion[[#This Row],[orden]]&amp;IF(tblEjecucion[[#This Row],[operacion]]="","0010",tblEjecucion[[#This Row],[operacion]]))</f>
        <v/>
      </c>
    </row>
    <row r="476">
      <c r="A476" s="3" t="n"/>
      <c r="B476" s="3" t="n"/>
      <c r="C476" s="3" t="n"/>
      <c r="D476" s="3" t="n"/>
      <c r="E476" s="3" t="n"/>
      <c r="F476" s="10" t="n"/>
      <c r="G476" s="10" t="n"/>
      <c r="H476" s="10" t="n"/>
      <c r="I476" s="3" t="n"/>
      <c r="J476" s="3">
        <f>IF(tblEjecucion[[#This Row],[orden]]="","",tblEjecucion[[#This Row],[orden]]&amp;IF(tblEjecucion[[#This Row],[operacion]]="","0010",tblEjecucion[[#This Row],[operacion]]))</f>
        <v/>
      </c>
    </row>
    <row r="477">
      <c r="A477" s="3" t="n"/>
      <c r="B477" s="3" t="n"/>
      <c r="C477" s="3" t="n"/>
      <c r="D477" s="3" t="n"/>
      <c r="E477" s="3" t="n"/>
      <c r="F477" s="10" t="n"/>
      <c r="G477" s="10" t="n"/>
      <c r="H477" s="10" t="n"/>
      <c r="I477" s="3" t="n"/>
      <c r="J477" s="3">
        <f>IF(tblEjecucion[[#This Row],[orden]]="","",tblEjecucion[[#This Row],[orden]]&amp;IF(tblEjecucion[[#This Row],[operacion]]="","0010",tblEjecucion[[#This Row],[operacion]]))</f>
        <v/>
      </c>
    </row>
    <row r="478">
      <c r="A478" s="3" t="n"/>
      <c r="B478" s="3" t="n"/>
      <c r="C478" s="3" t="n"/>
      <c r="D478" s="3" t="n"/>
      <c r="E478" s="3" t="n"/>
      <c r="F478" s="10" t="n"/>
      <c r="G478" s="10" t="n"/>
      <c r="H478" s="10" t="n"/>
      <c r="I478" s="3" t="n"/>
      <c r="J478" s="3">
        <f>IF(tblEjecucion[[#This Row],[orden]]="","",tblEjecucion[[#This Row],[orden]]&amp;IF(tblEjecucion[[#This Row],[operacion]]="","0010",tblEjecucion[[#This Row],[operacion]]))</f>
        <v/>
      </c>
    </row>
    <row r="479">
      <c r="A479" s="3" t="n"/>
      <c r="B479" s="3" t="n"/>
      <c r="C479" s="3" t="n"/>
      <c r="D479" s="3" t="n"/>
      <c r="E479" s="3" t="n"/>
      <c r="F479" s="10" t="n"/>
      <c r="G479" s="10" t="n"/>
      <c r="H479" s="10" t="n"/>
      <c r="I479" s="3" t="n"/>
      <c r="J479" s="3">
        <f>IF(tblEjecucion[[#This Row],[orden]]="","",tblEjecucion[[#This Row],[orden]]&amp;IF(tblEjecucion[[#This Row],[operacion]]="","0010",tblEjecucion[[#This Row],[operacion]]))</f>
        <v/>
      </c>
    </row>
    <row r="480">
      <c r="A480" s="3" t="n"/>
      <c r="B480" s="3" t="n"/>
      <c r="C480" s="3" t="n"/>
      <c r="D480" s="3" t="n"/>
      <c r="E480" s="3" t="n"/>
      <c r="F480" s="10" t="n"/>
      <c r="G480" s="10" t="n"/>
      <c r="H480" s="10" t="n"/>
      <c r="I480" s="3" t="n"/>
      <c r="J480" s="3">
        <f>IF(tblEjecucion[[#This Row],[orden]]="","",tblEjecucion[[#This Row],[orden]]&amp;IF(tblEjecucion[[#This Row],[operacion]]="","0010",tblEjecucion[[#This Row],[operacion]]))</f>
        <v/>
      </c>
    </row>
    <row r="481">
      <c r="A481" s="3" t="n"/>
      <c r="B481" s="3" t="n"/>
      <c r="C481" s="3" t="n"/>
      <c r="D481" s="3" t="n"/>
      <c r="E481" s="3" t="n"/>
      <c r="F481" s="10" t="n"/>
      <c r="G481" s="10" t="n"/>
      <c r="H481" s="10" t="n"/>
      <c r="I481" s="3" t="n"/>
      <c r="J481" s="3">
        <f>IF(tblEjecucion[[#This Row],[orden]]="","",tblEjecucion[[#This Row],[orden]]&amp;IF(tblEjecucion[[#This Row],[operacion]]="","0010",tblEjecucion[[#This Row],[operacion]]))</f>
        <v/>
      </c>
    </row>
    <row r="482">
      <c r="A482" s="3" t="n"/>
      <c r="B482" s="3" t="n"/>
      <c r="C482" s="3" t="n"/>
      <c r="D482" s="3" t="n"/>
      <c r="E482" s="3" t="n"/>
      <c r="F482" s="10" t="n"/>
      <c r="G482" s="10" t="n"/>
      <c r="H482" s="10" t="n"/>
      <c r="I482" s="3" t="n"/>
      <c r="J482" s="3">
        <f>IF(tblEjecucion[[#This Row],[orden]]="","",tblEjecucion[[#This Row],[orden]]&amp;IF(tblEjecucion[[#This Row],[operacion]]="","0010",tblEjecucion[[#This Row],[operacion]]))</f>
        <v/>
      </c>
    </row>
    <row r="483">
      <c r="A483" s="3" t="n"/>
      <c r="B483" s="3" t="n"/>
      <c r="C483" s="3" t="n"/>
      <c r="D483" s="3" t="n"/>
      <c r="E483" s="3" t="n"/>
      <c r="F483" s="10" t="n"/>
      <c r="G483" s="10" t="n"/>
      <c r="H483" s="10" t="n"/>
      <c r="I483" s="3" t="n"/>
      <c r="J483" s="3">
        <f>IF(tblEjecucion[[#This Row],[orden]]="","",tblEjecucion[[#This Row],[orden]]&amp;IF(tblEjecucion[[#This Row],[operacion]]="","0010",tblEjecucion[[#This Row],[operacion]]))</f>
        <v/>
      </c>
    </row>
    <row r="484">
      <c r="A484" s="3" t="n"/>
      <c r="B484" s="3" t="n"/>
      <c r="C484" s="3" t="n"/>
      <c r="D484" s="3" t="n"/>
      <c r="E484" s="3" t="n"/>
      <c r="F484" s="10" t="n"/>
      <c r="G484" s="10" t="n"/>
      <c r="H484" s="10" t="n"/>
      <c r="I484" s="3" t="n"/>
      <c r="J484" s="3">
        <f>IF(tblEjecucion[[#This Row],[orden]]="","",tblEjecucion[[#This Row],[orden]]&amp;IF(tblEjecucion[[#This Row],[operacion]]="","0010",tblEjecucion[[#This Row],[operacion]]))</f>
        <v/>
      </c>
    </row>
    <row r="485">
      <c r="A485" s="3" t="n"/>
      <c r="B485" s="3" t="n"/>
      <c r="C485" s="3" t="n"/>
      <c r="D485" s="3" t="n"/>
      <c r="E485" s="3" t="n"/>
      <c r="F485" s="10" t="n"/>
      <c r="G485" s="10" t="n"/>
      <c r="H485" s="10" t="n"/>
      <c r="I485" s="3" t="n"/>
      <c r="J485" s="3">
        <f>IF(tblEjecucion[[#This Row],[orden]]="","",tblEjecucion[[#This Row],[orden]]&amp;IF(tblEjecucion[[#This Row],[operacion]]="","0010",tblEjecucion[[#This Row],[operacion]]))</f>
        <v/>
      </c>
    </row>
    <row r="486">
      <c r="A486" s="3" t="n"/>
      <c r="B486" s="3" t="n"/>
      <c r="C486" s="3" t="n"/>
      <c r="D486" s="3" t="n"/>
      <c r="E486" s="3" t="n"/>
      <c r="F486" s="10" t="n"/>
      <c r="G486" s="10" t="n"/>
      <c r="H486" s="10" t="n"/>
      <c r="I486" s="3" t="n"/>
      <c r="J486" s="3">
        <f>IF(tblEjecucion[[#This Row],[orden]]="","",tblEjecucion[[#This Row],[orden]]&amp;IF(tblEjecucion[[#This Row],[operacion]]="","0010",tblEjecucion[[#This Row],[operacion]]))</f>
        <v/>
      </c>
    </row>
    <row r="487">
      <c r="A487" s="3" t="n"/>
      <c r="B487" s="3" t="n"/>
      <c r="C487" s="3" t="n"/>
      <c r="D487" s="3" t="n"/>
      <c r="E487" s="3" t="n"/>
      <c r="F487" s="10" t="n"/>
      <c r="G487" s="10" t="n"/>
      <c r="H487" s="10" t="n"/>
      <c r="I487" s="3" t="n"/>
      <c r="J487" s="3">
        <f>IF(tblEjecucion[[#This Row],[orden]]="","",tblEjecucion[[#This Row],[orden]]&amp;IF(tblEjecucion[[#This Row],[operacion]]="","0010",tblEjecucion[[#This Row],[operacion]]))</f>
        <v/>
      </c>
    </row>
    <row r="488">
      <c r="A488" s="3" t="n"/>
      <c r="B488" s="3" t="n"/>
      <c r="C488" s="3" t="n"/>
      <c r="D488" s="3" t="n"/>
      <c r="E488" s="3" t="n"/>
      <c r="F488" s="10" t="n"/>
      <c r="G488" s="10" t="n"/>
      <c r="H488" s="10" t="n"/>
      <c r="I488" s="3" t="n"/>
      <c r="J488" s="3">
        <f>IF(tblEjecucion[[#This Row],[orden]]="","",tblEjecucion[[#This Row],[orden]]&amp;IF(tblEjecucion[[#This Row],[operacion]]="","0010",tblEjecucion[[#This Row],[operacion]]))</f>
        <v/>
      </c>
    </row>
    <row r="489">
      <c r="A489" s="3" t="n"/>
      <c r="B489" s="3" t="n"/>
      <c r="C489" s="3" t="n"/>
      <c r="D489" s="3" t="n"/>
      <c r="E489" s="3" t="n"/>
      <c r="F489" s="10" t="n"/>
      <c r="G489" s="10" t="n"/>
      <c r="H489" s="10" t="n"/>
      <c r="I489" s="3" t="n"/>
      <c r="J489" s="3">
        <f>IF(tblEjecucion[[#This Row],[orden]]="","",tblEjecucion[[#This Row],[orden]]&amp;IF(tblEjecucion[[#This Row],[operacion]]="","0010",tblEjecucion[[#This Row],[operacion]]))</f>
        <v/>
      </c>
    </row>
    <row r="490">
      <c r="A490" s="3" t="n"/>
      <c r="B490" s="3" t="n"/>
      <c r="C490" s="3" t="n"/>
      <c r="D490" s="3" t="n"/>
      <c r="E490" s="3" t="n"/>
      <c r="F490" s="10" t="n"/>
      <c r="G490" s="10" t="n"/>
      <c r="H490" s="10" t="n"/>
      <c r="I490" s="3" t="n"/>
      <c r="J490" s="3">
        <f>IF(tblEjecucion[[#This Row],[orden]]="","",tblEjecucion[[#This Row],[orden]]&amp;IF(tblEjecucion[[#This Row],[operacion]]="","0010",tblEjecucion[[#This Row],[operacion]]))</f>
        <v/>
      </c>
    </row>
    <row r="491">
      <c r="A491" s="3" t="n"/>
      <c r="B491" s="3" t="n"/>
      <c r="C491" s="3" t="n"/>
      <c r="D491" s="3" t="n"/>
      <c r="E491" s="3" t="n"/>
      <c r="F491" s="10" t="n"/>
      <c r="G491" s="10" t="n"/>
      <c r="H491" s="10" t="n"/>
      <c r="I491" s="3" t="n"/>
      <c r="J491" s="3">
        <f>IF(tblEjecucion[[#This Row],[orden]]="","",tblEjecucion[[#This Row],[orden]]&amp;IF(tblEjecucion[[#This Row],[operacion]]="","0010",tblEjecucion[[#This Row],[operacion]]))</f>
        <v/>
      </c>
    </row>
    <row r="492">
      <c r="A492" s="3" t="n"/>
      <c r="B492" s="3" t="n"/>
      <c r="C492" s="3" t="n"/>
      <c r="D492" s="3" t="n"/>
      <c r="E492" s="3" t="n"/>
      <c r="F492" s="10" t="n"/>
      <c r="G492" s="10" t="n"/>
      <c r="H492" s="10" t="n"/>
      <c r="I492" s="3" t="n"/>
      <c r="J492" s="3">
        <f>IF(tblEjecucion[[#This Row],[orden]]="","",tblEjecucion[[#This Row],[orden]]&amp;IF(tblEjecucion[[#This Row],[operacion]]="","0010",tblEjecucion[[#This Row],[operacion]]))</f>
        <v/>
      </c>
    </row>
    <row r="493">
      <c r="A493" s="3" t="n"/>
      <c r="B493" s="3" t="n"/>
      <c r="C493" s="3" t="n"/>
      <c r="D493" s="3" t="n"/>
      <c r="E493" s="3" t="n"/>
      <c r="F493" s="10" t="n"/>
      <c r="G493" s="10" t="n"/>
      <c r="H493" s="10" t="n"/>
      <c r="I493" s="3" t="n"/>
      <c r="J493" s="3">
        <f>IF(tblEjecucion[[#This Row],[orden]]="","",tblEjecucion[[#This Row],[orden]]&amp;IF(tblEjecucion[[#This Row],[operacion]]="","0010",tblEjecucion[[#This Row],[operacion]]))</f>
        <v/>
      </c>
    </row>
    <row r="494">
      <c r="A494" s="3" t="n"/>
      <c r="B494" s="3" t="n"/>
      <c r="C494" s="3" t="n"/>
      <c r="D494" s="3" t="n"/>
      <c r="E494" s="3" t="n"/>
      <c r="F494" s="10" t="n"/>
      <c r="G494" s="10" t="n"/>
      <c r="H494" s="10" t="n"/>
      <c r="I494" s="3" t="n"/>
      <c r="J494" s="3">
        <f>IF(tblEjecucion[[#This Row],[orden]]="","",tblEjecucion[[#This Row],[orden]]&amp;IF(tblEjecucion[[#This Row],[operacion]]="","0010",tblEjecucion[[#This Row],[operacion]]))</f>
        <v/>
      </c>
    </row>
    <row r="495">
      <c r="A495" s="3" t="n"/>
      <c r="B495" s="3" t="n"/>
      <c r="C495" s="3" t="n"/>
      <c r="D495" s="3" t="n"/>
      <c r="E495" s="3" t="n"/>
      <c r="F495" s="10" t="n"/>
      <c r="G495" s="10" t="n"/>
      <c r="H495" s="10" t="n"/>
      <c r="I495" s="3" t="n"/>
      <c r="J495" s="3">
        <f>IF(tblEjecucion[[#This Row],[orden]]="","",tblEjecucion[[#This Row],[orden]]&amp;IF(tblEjecucion[[#This Row],[operacion]]="","0010",tblEjecucion[[#This Row],[operacion]]))</f>
        <v/>
      </c>
    </row>
    <row r="496">
      <c r="A496" s="3" t="n"/>
      <c r="B496" s="3" t="n"/>
      <c r="C496" s="3" t="n"/>
      <c r="D496" s="3" t="n"/>
      <c r="E496" s="3" t="n"/>
      <c r="F496" s="10" t="n"/>
      <c r="G496" s="10" t="n"/>
      <c r="H496" s="10" t="n"/>
      <c r="I496" s="3" t="n"/>
      <c r="J496" s="3">
        <f>IF(tblEjecucion[[#This Row],[orden]]="","",tblEjecucion[[#This Row],[orden]]&amp;IF(tblEjecucion[[#This Row],[operacion]]="","0010",tblEjecucion[[#This Row],[operacion]]))</f>
        <v/>
      </c>
    </row>
    <row r="497">
      <c r="A497" s="3" t="n"/>
      <c r="B497" s="3" t="n"/>
      <c r="C497" s="3" t="n"/>
      <c r="D497" s="3" t="n"/>
      <c r="E497" s="3" t="n"/>
      <c r="F497" s="10" t="n"/>
      <c r="G497" s="10" t="n"/>
      <c r="H497" s="10" t="n"/>
      <c r="I497" s="3" t="n"/>
      <c r="J497" s="3">
        <f>IF(tblEjecucion[[#This Row],[orden]]="","",tblEjecucion[[#This Row],[orden]]&amp;IF(tblEjecucion[[#This Row],[operacion]]="","0010",tblEjecucion[[#This Row],[operacion]]))</f>
        <v/>
      </c>
    </row>
    <row r="498">
      <c r="A498" s="3" t="n"/>
      <c r="B498" s="3" t="n"/>
      <c r="C498" s="3" t="n"/>
      <c r="D498" s="3" t="n"/>
      <c r="E498" s="3" t="n"/>
      <c r="F498" s="10" t="n"/>
      <c r="G498" s="10" t="n"/>
      <c r="H498" s="10" t="n"/>
      <c r="I498" s="3" t="n"/>
      <c r="J498" s="3">
        <f>IF(tblEjecucion[[#This Row],[orden]]="","",tblEjecucion[[#This Row],[orden]]&amp;IF(tblEjecucion[[#This Row],[operacion]]="","0010",tblEjecucion[[#This Row],[operacion]]))</f>
        <v/>
      </c>
    </row>
    <row r="499">
      <c r="A499" s="3" t="n"/>
      <c r="B499" s="3" t="n"/>
      <c r="C499" s="3" t="n"/>
      <c r="D499" s="3" t="n"/>
      <c r="E499" s="3" t="n"/>
      <c r="F499" s="10" t="n"/>
      <c r="G499" s="10" t="n"/>
      <c r="H499" s="10" t="n"/>
      <c r="I499" s="3" t="n"/>
      <c r="J499" s="3">
        <f>IF(tblEjecucion[[#This Row],[orden]]="","",tblEjecucion[[#This Row],[orden]]&amp;IF(tblEjecucion[[#This Row],[operacion]]="","0010",tblEjecucion[[#This Row],[operacion]]))</f>
        <v/>
      </c>
    </row>
    <row r="500">
      <c r="A500" s="3" t="n"/>
      <c r="B500" s="3" t="n"/>
      <c r="C500" s="3" t="n"/>
      <c r="D500" s="3" t="n"/>
      <c r="E500" s="3" t="n"/>
      <c r="F500" s="10" t="n"/>
      <c r="G500" s="10" t="n"/>
      <c r="H500" s="10" t="n"/>
      <c r="I500" s="3" t="n"/>
      <c r="J500" s="3">
        <f>IF(tblEjecucion[[#This Row],[orden]]="","",tblEjecucion[[#This Row],[orden]]&amp;IF(tblEjecucion[[#This Row],[operacion]]="","0010",tblEjecucion[[#This Row],[operacion]]))</f>
        <v/>
      </c>
    </row>
    <row r="501">
      <c r="A501" s="3" t="n"/>
      <c r="B501" s="3" t="n"/>
      <c r="C501" s="3" t="n"/>
      <c r="D501" s="3" t="n"/>
      <c r="E501" s="3" t="n"/>
      <c r="F501" s="10" t="n"/>
      <c r="G501" s="10" t="n"/>
      <c r="H501" s="10" t="n"/>
      <c r="I501" s="3" t="n"/>
      <c r="J501" s="3">
        <f>IF(tblEjecucion[[#This Row],[orden]]="","",tblEjecucion[[#This Row],[orden]]&amp;IF(tblEjecucion[[#This Row],[operacion]]="","0010",tblEjecucion[[#This Row],[operacion]]))</f>
        <v/>
      </c>
    </row>
    <row r="502">
      <c r="A502" s="3" t="n"/>
      <c r="B502" s="3" t="n"/>
      <c r="C502" s="3" t="n"/>
      <c r="D502" s="3" t="n"/>
      <c r="E502" s="3" t="n"/>
      <c r="F502" s="10" t="n"/>
      <c r="G502" s="10" t="n"/>
      <c r="H502" s="10" t="n"/>
      <c r="I502" s="3" t="n"/>
      <c r="J502" s="3">
        <f>IF(tblEjecucion[[#This Row],[orden]]="","",tblEjecucion[[#This Row],[orden]]&amp;IF(tblEjecucion[[#This Row],[operacion]]="","0010",tblEjecucion[[#This Row],[operacion]]))</f>
        <v/>
      </c>
    </row>
    <row r="503">
      <c r="A503" s="3" t="n"/>
      <c r="B503" s="3" t="n"/>
      <c r="C503" s="3" t="n"/>
      <c r="D503" s="3" t="n"/>
      <c r="E503" s="3" t="n"/>
      <c r="F503" s="10" t="n"/>
      <c r="G503" s="10" t="n"/>
      <c r="H503" s="10" t="n"/>
      <c r="I503" s="3" t="n"/>
      <c r="J503" s="3">
        <f>IF(tblEjecucion[[#This Row],[orden]]="","",tblEjecucion[[#This Row],[orden]]&amp;IF(tblEjecucion[[#This Row],[operacion]]="","0010",tblEjecucion[[#This Row],[operacion]]))</f>
        <v/>
      </c>
    </row>
    <row r="504">
      <c r="A504" s="3" t="n"/>
      <c r="B504" s="3" t="n"/>
      <c r="C504" s="3" t="n"/>
      <c r="D504" s="3" t="n"/>
      <c r="E504" s="3" t="n"/>
      <c r="F504" s="10" t="n"/>
      <c r="G504" s="10" t="n"/>
      <c r="H504" s="10" t="n"/>
      <c r="I504" s="3" t="n"/>
      <c r="J504" s="3">
        <f>IF(tblEjecucion[[#This Row],[orden]]="","",tblEjecucion[[#This Row],[orden]]&amp;IF(tblEjecucion[[#This Row],[operacion]]="","0010",tblEjecucion[[#This Row],[operacion]]))</f>
        <v/>
      </c>
    </row>
    <row r="505">
      <c r="A505" s="3" t="n"/>
      <c r="B505" s="3" t="n"/>
      <c r="C505" s="3" t="n"/>
      <c r="D505" s="3" t="n"/>
      <c r="E505" s="3" t="n"/>
      <c r="F505" s="10" t="n"/>
      <c r="G505" s="10" t="n"/>
      <c r="H505" s="10" t="n"/>
      <c r="I505" s="3" t="n"/>
      <c r="J505" s="3">
        <f>IF(tblEjecucion[[#This Row],[orden]]="","",tblEjecucion[[#This Row],[orden]]&amp;IF(tblEjecucion[[#This Row],[operacion]]="","0010",tblEjecucion[[#This Row],[operacion]]))</f>
        <v/>
      </c>
    </row>
    <row r="506">
      <c r="A506" s="3" t="n"/>
      <c r="B506" s="3" t="n"/>
      <c r="C506" s="3" t="n"/>
      <c r="D506" s="3" t="n"/>
      <c r="E506" s="3" t="n"/>
      <c r="F506" s="10" t="n"/>
      <c r="G506" s="10" t="n"/>
      <c r="H506" s="10" t="n"/>
      <c r="I506" s="3" t="n"/>
      <c r="J506" s="3">
        <f>IF(tblEjecucion[[#This Row],[orden]]="","",tblEjecucion[[#This Row],[orden]]&amp;IF(tblEjecucion[[#This Row],[operacion]]="","0010",tblEjecucion[[#This Row],[operacion]]))</f>
        <v/>
      </c>
    </row>
    <row r="507">
      <c r="A507" s="3" t="n"/>
      <c r="B507" s="3" t="n"/>
      <c r="C507" s="3" t="n"/>
      <c r="D507" s="3" t="n"/>
      <c r="E507" s="3" t="n"/>
      <c r="F507" s="10" t="n"/>
      <c r="G507" s="10" t="n"/>
      <c r="H507" s="10" t="n"/>
      <c r="I507" s="3" t="n"/>
      <c r="J507" s="3">
        <f>IF(tblEjecucion[[#This Row],[orden]]="","",tblEjecucion[[#This Row],[orden]]&amp;IF(tblEjecucion[[#This Row],[operacion]]="","0010",tblEjecucion[[#This Row],[operacion]]))</f>
        <v/>
      </c>
    </row>
    <row r="508">
      <c r="A508" s="3" t="n"/>
      <c r="B508" s="3" t="n"/>
      <c r="C508" s="3" t="n"/>
      <c r="D508" s="3" t="n"/>
      <c r="E508" s="3" t="n"/>
      <c r="F508" s="10" t="n"/>
      <c r="G508" s="10" t="n"/>
      <c r="H508" s="10" t="n"/>
      <c r="I508" s="3" t="n"/>
      <c r="J508" s="3">
        <f>IF(tblEjecucion[[#This Row],[orden]]="","",tblEjecucion[[#This Row],[orden]]&amp;IF(tblEjecucion[[#This Row],[operacion]]="","0010",tblEjecucion[[#This Row],[operacion]]))</f>
        <v/>
      </c>
    </row>
    <row r="509">
      <c r="A509" s="3" t="n"/>
      <c r="B509" s="3" t="n"/>
      <c r="C509" s="3" t="n"/>
      <c r="D509" s="3" t="n"/>
      <c r="E509" s="3" t="n"/>
      <c r="F509" s="10" t="n"/>
      <c r="G509" s="10" t="n"/>
      <c r="H509" s="10" t="n"/>
      <c r="I509" s="3" t="n"/>
      <c r="J509" s="3">
        <f>IF(tblEjecucion[[#This Row],[orden]]="","",tblEjecucion[[#This Row],[orden]]&amp;IF(tblEjecucion[[#This Row],[operacion]]="","0010",tblEjecucion[[#This Row],[operacion]]))</f>
        <v/>
      </c>
    </row>
    <row r="510">
      <c r="A510" s="3" t="n"/>
      <c r="B510" s="3" t="n"/>
      <c r="C510" s="3" t="n"/>
      <c r="D510" s="3" t="n"/>
      <c r="E510" s="3" t="n"/>
      <c r="F510" s="10" t="n"/>
      <c r="G510" s="10" t="n"/>
      <c r="H510" s="10" t="n"/>
      <c r="I510" s="3" t="n"/>
      <c r="J510" s="3">
        <f>IF(tblEjecucion[[#This Row],[orden]]="","",tblEjecucion[[#This Row],[orden]]&amp;IF(tblEjecucion[[#This Row],[operacion]]="","0010",tblEjecucion[[#This Row],[operacion]]))</f>
        <v/>
      </c>
    </row>
    <row r="511">
      <c r="A511" s="3" t="n"/>
      <c r="B511" s="3" t="n"/>
      <c r="C511" s="3" t="n"/>
      <c r="D511" s="3" t="n"/>
      <c r="E511" s="3" t="n"/>
      <c r="F511" s="10" t="n"/>
      <c r="G511" s="10" t="n"/>
      <c r="H511" s="10" t="n"/>
      <c r="I511" s="3" t="n"/>
      <c r="J511" s="3">
        <f>IF(tblEjecucion[[#This Row],[orden]]="","",tblEjecucion[[#This Row],[orden]]&amp;IF(tblEjecucion[[#This Row],[operacion]]="","0010",tblEjecucion[[#This Row],[operacion]]))</f>
        <v/>
      </c>
    </row>
    <row r="512">
      <c r="A512" s="3" t="n"/>
      <c r="B512" s="3" t="n"/>
      <c r="C512" s="3" t="n"/>
      <c r="D512" s="3" t="n"/>
      <c r="E512" s="3" t="n"/>
      <c r="F512" s="10" t="n"/>
      <c r="G512" s="10" t="n"/>
      <c r="H512" s="10" t="n"/>
      <c r="I512" s="3" t="n"/>
      <c r="J512" s="3">
        <f>IF(tblEjecucion[[#This Row],[orden]]="","",tblEjecucion[[#This Row],[orden]]&amp;IF(tblEjecucion[[#This Row],[operacion]]="","0010",tblEjecucion[[#This Row],[operacion]]))</f>
        <v/>
      </c>
    </row>
    <row r="513">
      <c r="A513" s="3" t="n"/>
      <c r="B513" s="3" t="n"/>
      <c r="C513" s="3" t="n"/>
      <c r="D513" s="3" t="n"/>
      <c r="E513" s="3" t="n"/>
      <c r="F513" s="10" t="n"/>
      <c r="G513" s="10" t="n"/>
      <c r="H513" s="10" t="n"/>
      <c r="I513" s="3" t="n"/>
      <c r="J513" s="3">
        <f>IF(tblEjecucion[[#This Row],[orden]]="","",tblEjecucion[[#This Row],[orden]]&amp;IF(tblEjecucion[[#This Row],[operacion]]="","0010",tblEjecucion[[#This Row],[operacion]]))</f>
        <v/>
      </c>
    </row>
    <row r="514">
      <c r="A514" s="3" t="n"/>
      <c r="B514" s="3" t="n"/>
      <c r="C514" s="3" t="n"/>
      <c r="D514" s="3" t="n"/>
      <c r="E514" s="3" t="n"/>
      <c r="F514" s="10" t="n"/>
      <c r="G514" s="10" t="n"/>
      <c r="H514" s="10" t="n"/>
      <c r="I514" s="3" t="n"/>
      <c r="J514" s="3">
        <f>IF(tblEjecucion[[#This Row],[orden]]="","",tblEjecucion[[#This Row],[orden]]&amp;IF(tblEjecucion[[#This Row],[operacion]]="","0010",tblEjecucion[[#This Row],[operacion]]))</f>
        <v/>
      </c>
    </row>
    <row r="515">
      <c r="A515" s="3" t="n"/>
      <c r="B515" s="3" t="n"/>
      <c r="C515" s="3" t="n"/>
      <c r="D515" s="3" t="n"/>
      <c r="E515" s="3" t="n"/>
      <c r="F515" s="10" t="n"/>
      <c r="G515" s="10" t="n"/>
      <c r="H515" s="10" t="n"/>
      <c r="I515" s="3" t="n"/>
      <c r="J515" s="3">
        <f>IF(tblEjecucion[[#This Row],[orden]]="","",tblEjecucion[[#This Row],[orden]]&amp;IF(tblEjecucion[[#This Row],[operacion]]="","0010",tblEjecucion[[#This Row],[operacion]]))</f>
        <v/>
      </c>
    </row>
    <row r="516">
      <c r="A516" s="3" t="n"/>
      <c r="B516" s="3" t="n"/>
      <c r="C516" s="3" t="n"/>
      <c r="D516" s="3" t="n"/>
      <c r="E516" s="3" t="n"/>
      <c r="F516" s="10" t="n"/>
      <c r="G516" s="10" t="n"/>
      <c r="H516" s="10" t="n"/>
      <c r="I516" s="3" t="n"/>
      <c r="J516" s="3">
        <f>IF(tblEjecucion[[#This Row],[orden]]="","",tblEjecucion[[#This Row],[orden]]&amp;IF(tblEjecucion[[#This Row],[operacion]]="","0010",tblEjecucion[[#This Row],[operacion]]))</f>
        <v/>
      </c>
    </row>
    <row r="517">
      <c r="A517" s="3" t="n"/>
      <c r="B517" s="3" t="n"/>
      <c r="C517" s="3" t="n"/>
      <c r="D517" s="3" t="n"/>
      <c r="E517" s="3" t="n"/>
      <c r="F517" s="10" t="n"/>
      <c r="G517" s="10" t="n"/>
      <c r="H517" s="10" t="n"/>
      <c r="I517" s="3" t="n"/>
      <c r="J517" s="3">
        <f>IF(tblEjecucion[[#This Row],[orden]]="","",tblEjecucion[[#This Row],[orden]]&amp;IF(tblEjecucion[[#This Row],[operacion]]="","0010",tblEjecucion[[#This Row],[operacion]]))</f>
        <v/>
      </c>
    </row>
    <row r="518">
      <c r="A518" s="3" t="n"/>
      <c r="B518" s="3" t="n"/>
      <c r="C518" s="3" t="n"/>
      <c r="D518" s="3" t="n"/>
      <c r="E518" s="3" t="n"/>
      <c r="F518" s="10" t="n"/>
      <c r="G518" s="10" t="n"/>
      <c r="H518" s="10" t="n"/>
      <c r="I518" s="3" t="n"/>
      <c r="J518" s="3">
        <f>IF(tblEjecucion[[#This Row],[orden]]="","",tblEjecucion[[#This Row],[orden]]&amp;IF(tblEjecucion[[#This Row],[operacion]]="","0010",tblEjecucion[[#This Row],[operacion]]))</f>
        <v/>
      </c>
    </row>
    <row r="519">
      <c r="A519" s="3" t="n"/>
      <c r="B519" s="3" t="n"/>
      <c r="C519" s="3" t="n"/>
      <c r="D519" s="3" t="n"/>
      <c r="E519" s="3" t="n"/>
      <c r="F519" s="10" t="n"/>
      <c r="G519" s="10" t="n"/>
      <c r="H519" s="10" t="n"/>
      <c r="I519" s="3" t="n"/>
      <c r="J519" s="3">
        <f>IF(tblEjecucion[[#This Row],[orden]]="","",tblEjecucion[[#This Row],[orden]]&amp;IF(tblEjecucion[[#This Row],[operacion]]="","0010",tblEjecucion[[#This Row],[operacion]]))</f>
        <v/>
      </c>
    </row>
    <row r="520">
      <c r="A520" s="3" t="n"/>
      <c r="B520" s="3" t="n"/>
      <c r="C520" s="3" t="n"/>
      <c r="D520" s="3" t="n"/>
      <c r="E520" s="3" t="n"/>
      <c r="F520" s="10" t="n"/>
      <c r="G520" s="10" t="n"/>
      <c r="H520" s="10" t="n"/>
      <c r="I520" s="3" t="n"/>
      <c r="J520" s="3">
        <f>IF(tblEjecucion[[#This Row],[orden]]="","",tblEjecucion[[#This Row],[orden]]&amp;IF(tblEjecucion[[#This Row],[operacion]]="","0010",tblEjecucion[[#This Row],[operacion]]))</f>
        <v/>
      </c>
    </row>
    <row r="521">
      <c r="A521" s="3" t="n"/>
      <c r="B521" s="3" t="n"/>
      <c r="C521" s="3" t="n"/>
      <c r="D521" s="3" t="n"/>
      <c r="E521" s="3" t="n"/>
      <c r="F521" s="10" t="n"/>
      <c r="G521" s="10" t="n"/>
      <c r="H521" s="10" t="n"/>
      <c r="I521" s="3" t="n"/>
      <c r="J521" s="3">
        <f>IF(tblEjecucion[[#This Row],[orden]]="","",tblEjecucion[[#This Row],[orden]]&amp;IF(tblEjecucion[[#This Row],[operacion]]="","0010",tblEjecucion[[#This Row],[operacion]]))</f>
        <v/>
      </c>
    </row>
    <row r="522">
      <c r="A522" s="3" t="n"/>
      <c r="B522" s="3" t="n"/>
      <c r="C522" s="3" t="n"/>
      <c r="D522" s="3" t="n"/>
      <c r="E522" s="3" t="n"/>
      <c r="F522" s="10" t="n"/>
      <c r="G522" s="10" t="n"/>
      <c r="H522" s="10" t="n"/>
      <c r="I522" s="3" t="n"/>
      <c r="J522" s="3">
        <f>IF(tblEjecucion[[#This Row],[orden]]="","",tblEjecucion[[#This Row],[orden]]&amp;IF(tblEjecucion[[#This Row],[operacion]]="","0010",tblEjecucion[[#This Row],[operacion]]))</f>
        <v/>
      </c>
    </row>
    <row r="523">
      <c r="A523" s="3" t="n"/>
      <c r="B523" s="3" t="n"/>
      <c r="C523" s="3" t="n"/>
      <c r="D523" s="3" t="n"/>
      <c r="E523" s="3" t="n"/>
      <c r="F523" s="10" t="n"/>
      <c r="G523" s="10" t="n"/>
      <c r="H523" s="10" t="n"/>
      <c r="I523" s="3" t="n"/>
      <c r="J523" s="3">
        <f>IF(tblEjecucion[[#This Row],[orden]]="","",tblEjecucion[[#This Row],[orden]]&amp;IF(tblEjecucion[[#This Row],[operacion]]="","0010",tblEjecucion[[#This Row],[operacion]]))</f>
        <v/>
      </c>
    </row>
    <row r="524">
      <c r="A524" s="3" t="n"/>
      <c r="B524" s="3" t="n"/>
      <c r="C524" s="3" t="n"/>
      <c r="D524" s="3" t="n"/>
      <c r="E524" s="3" t="n"/>
      <c r="F524" s="10" t="n"/>
      <c r="G524" s="10" t="n"/>
      <c r="H524" s="10" t="n"/>
      <c r="I524" s="3" t="n"/>
      <c r="J524" s="3">
        <f>IF(tblEjecucion[[#This Row],[orden]]="","",tblEjecucion[[#This Row],[orden]]&amp;IF(tblEjecucion[[#This Row],[operacion]]="","0010",tblEjecucion[[#This Row],[operacion]]))</f>
        <v/>
      </c>
    </row>
    <row r="525">
      <c r="A525" s="3" t="n"/>
      <c r="B525" s="3" t="n"/>
      <c r="C525" s="3" t="n"/>
      <c r="D525" s="3" t="n"/>
      <c r="E525" s="3" t="n"/>
      <c r="F525" s="10" t="n"/>
      <c r="G525" s="10" t="n"/>
      <c r="H525" s="10" t="n"/>
      <c r="I525" s="3" t="n"/>
      <c r="J525" s="3">
        <f>IF(tblEjecucion[[#This Row],[orden]]="","",tblEjecucion[[#This Row],[orden]]&amp;IF(tblEjecucion[[#This Row],[operacion]]="","0010",tblEjecucion[[#This Row],[operacion]]))</f>
        <v/>
      </c>
    </row>
    <row r="526">
      <c r="A526" s="3" t="n"/>
      <c r="B526" s="3" t="n"/>
      <c r="C526" s="3" t="n"/>
      <c r="D526" s="3" t="n"/>
      <c r="E526" s="3" t="n"/>
      <c r="F526" s="10" t="n"/>
      <c r="G526" s="10" t="n"/>
      <c r="H526" s="10" t="n"/>
      <c r="I526" s="3" t="n"/>
      <c r="J526" s="3">
        <f>IF(tblEjecucion[[#This Row],[orden]]="","",tblEjecucion[[#This Row],[orden]]&amp;IF(tblEjecucion[[#This Row],[operacion]]="","0010",tblEjecucion[[#This Row],[operacion]]))</f>
        <v/>
      </c>
    </row>
    <row r="527">
      <c r="A527" s="3" t="n"/>
      <c r="B527" s="3" t="n"/>
      <c r="C527" s="3" t="n"/>
      <c r="D527" s="3" t="n"/>
      <c r="E527" s="3" t="n"/>
      <c r="F527" s="10" t="n"/>
      <c r="G527" s="10" t="n"/>
      <c r="H527" s="10" t="n"/>
      <c r="I527" s="3" t="n"/>
      <c r="J527" s="3">
        <f>IF(tblEjecucion[[#This Row],[orden]]="","",tblEjecucion[[#This Row],[orden]]&amp;IF(tblEjecucion[[#This Row],[operacion]]="","0010",tblEjecucion[[#This Row],[operacion]]))</f>
        <v/>
      </c>
    </row>
    <row r="528">
      <c r="A528" s="3" t="n"/>
      <c r="B528" s="3" t="n"/>
      <c r="C528" s="3" t="n"/>
      <c r="D528" s="3" t="n"/>
      <c r="E528" s="3" t="n"/>
      <c r="F528" s="10" t="n"/>
      <c r="G528" s="10" t="n"/>
      <c r="H528" s="10" t="n"/>
      <c r="I528" s="3" t="n"/>
      <c r="J528" s="3">
        <f>IF(tblEjecucion[[#This Row],[orden]]="","",tblEjecucion[[#This Row],[orden]]&amp;IF(tblEjecucion[[#This Row],[operacion]]="","0010",tblEjecucion[[#This Row],[operacion]]))</f>
        <v/>
      </c>
    </row>
    <row r="529">
      <c r="A529" s="3" t="n"/>
      <c r="B529" s="3" t="n"/>
      <c r="C529" s="3" t="n"/>
      <c r="D529" s="3" t="n"/>
      <c r="E529" s="3" t="n"/>
      <c r="F529" s="10" t="n"/>
      <c r="G529" s="10" t="n"/>
      <c r="H529" s="10" t="n"/>
      <c r="I529" s="3" t="n"/>
      <c r="J529" s="3">
        <f>IF(tblEjecucion[[#This Row],[orden]]="","",tblEjecucion[[#This Row],[orden]]&amp;IF(tblEjecucion[[#This Row],[operacion]]="","0010",tblEjecucion[[#This Row],[operacion]]))</f>
        <v/>
      </c>
    </row>
    <row r="530">
      <c r="A530" s="3" t="n"/>
      <c r="B530" s="3" t="n"/>
      <c r="C530" s="3" t="n"/>
      <c r="D530" s="3" t="n"/>
      <c r="E530" s="3" t="n"/>
      <c r="F530" s="10" t="n"/>
      <c r="G530" s="10" t="n"/>
      <c r="H530" s="10" t="n"/>
      <c r="I530" s="3" t="n"/>
      <c r="J530" s="3">
        <f>IF(tblEjecucion[[#This Row],[orden]]="","",tblEjecucion[[#This Row],[orden]]&amp;IF(tblEjecucion[[#This Row],[operacion]]="","0010",tblEjecucion[[#This Row],[operacion]]))</f>
        <v/>
      </c>
    </row>
    <row r="531">
      <c r="A531" s="3" t="n"/>
      <c r="B531" s="3" t="n"/>
      <c r="C531" s="3" t="n"/>
      <c r="D531" s="3" t="n"/>
      <c r="E531" s="3" t="n"/>
      <c r="F531" s="10" t="n"/>
      <c r="G531" s="10" t="n"/>
      <c r="H531" s="10" t="n"/>
      <c r="I531" s="3" t="n"/>
      <c r="J531" s="3">
        <f>IF(tblEjecucion[[#This Row],[orden]]="","",tblEjecucion[[#This Row],[orden]]&amp;IF(tblEjecucion[[#This Row],[operacion]]="","0010",tblEjecucion[[#This Row],[operacion]]))</f>
        <v/>
      </c>
    </row>
    <row r="532">
      <c r="A532" s="3" t="n"/>
      <c r="B532" s="3" t="n"/>
      <c r="C532" s="3" t="n"/>
      <c r="D532" s="3" t="n"/>
      <c r="E532" s="3" t="n"/>
      <c r="F532" s="10" t="n"/>
      <c r="G532" s="10" t="n"/>
      <c r="H532" s="10" t="n"/>
      <c r="I532" s="3" t="n"/>
      <c r="J532" s="3">
        <f>IF(tblEjecucion[[#This Row],[orden]]="","",tblEjecucion[[#This Row],[orden]]&amp;IF(tblEjecucion[[#This Row],[operacion]]="","0010",tblEjecucion[[#This Row],[operacion]]))</f>
        <v/>
      </c>
    </row>
    <row r="533">
      <c r="A533" s="3" t="n"/>
      <c r="B533" s="3" t="n"/>
      <c r="C533" s="3" t="n"/>
      <c r="D533" s="3" t="n"/>
      <c r="E533" s="3" t="n"/>
      <c r="F533" s="10" t="n"/>
      <c r="G533" s="10" t="n"/>
      <c r="H533" s="10" t="n"/>
      <c r="I533" s="3" t="n"/>
      <c r="J533" s="3">
        <f>IF(tblEjecucion[[#This Row],[orden]]="","",tblEjecucion[[#This Row],[orden]]&amp;IF(tblEjecucion[[#This Row],[operacion]]="","0010",tblEjecucion[[#This Row],[operacion]]))</f>
        <v/>
      </c>
    </row>
    <row r="534">
      <c r="A534" s="3" t="n"/>
      <c r="B534" s="3" t="n"/>
      <c r="C534" s="3" t="n"/>
      <c r="D534" s="3" t="n"/>
      <c r="E534" s="3" t="n"/>
      <c r="F534" s="10" t="n"/>
      <c r="G534" s="10" t="n"/>
      <c r="H534" s="10" t="n"/>
      <c r="I534" s="3" t="n"/>
      <c r="J534" s="3">
        <f>IF(tblEjecucion[[#This Row],[orden]]="","",tblEjecucion[[#This Row],[orden]]&amp;IF(tblEjecucion[[#This Row],[operacion]]="","0010",tblEjecucion[[#This Row],[operacion]]))</f>
        <v/>
      </c>
    </row>
    <row r="535">
      <c r="A535" s="3" t="n"/>
      <c r="B535" s="3" t="n"/>
      <c r="C535" s="3" t="n"/>
      <c r="D535" s="3" t="n"/>
      <c r="E535" s="3" t="n"/>
      <c r="F535" s="10" t="n"/>
      <c r="G535" s="10" t="n"/>
      <c r="H535" s="10" t="n"/>
      <c r="I535" s="3" t="n"/>
      <c r="J535" s="3">
        <f>IF(tblEjecucion[[#This Row],[orden]]="","",tblEjecucion[[#This Row],[orden]]&amp;IF(tblEjecucion[[#This Row],[operacion]]="","0010",tblEjecucion[[#This Row],[operacion]]))</f>
        <v/>
      </c>
    </row>
    <row r="536">
      <c r="A536" s="3" t="n"/>
      <c r="B536" s="3" t="n"/>
      <c r="C536" s="3" t="n"/>
      <c r="D536" s="3" t="n"/>
      <c r="E536" s="3" t="n"/>
      <c r="F536" s="10" t="n"/>
      <c r="G536" s="10" t="n"/>
      <c r="H536" s="10" t="n"/>
      <c r="I536" s="3" t="n"/>
      <c r="J536" s="3">
        <f>IF(tblEjecucion[[#This Row],[orden]]="","",tblEjecucion[[#This Row],[orden]]&amp;IF(tblEjecucion[[#This Row],[operacion]]="","0010",tblEjecucion[[#This Row],[operacion]]))</f>
        <v/>
      </c>
    </row>
    <row r="537">
      <c r="A537" s="3" t="n"/>
      <c r="B537" s="3" t="n"/>
      <c r="C537" s="3" t="n"/>
      <c r="D537" s="3" t="n"/>
      <c r="E537" s="3" t="n"/>
      <c r="F537" s="10" t="n"/>
      <c r="G537" s="10" t="n"/>
      <c r="H537" s="10" t="n"/>
      <c r="I537" s="3" t="n"/>
      <c r="J537" s="3">
        <f>IF(tblEjecucion[[#This Row],[orden]]="","",tblEjecucion[[#This Row],[orden]]&amp;IF(tblEjecucion[[#This Row],[operacion]]="","0010",tblEjecucion[[#This Row],[operacion]]))</f>
        <v/>
      </c>
    </row>
    <row r="538">
      <c r="A538" s="3" t="n"/>
      <c r="B538" s="3" t="n"/>
      <c r="C538" s="3" t="n"/>
      <c r="D538" s="3" t="n"/>
      <c r="E538" s="3" t="n"/>
      <c r="F538" s="10" t="n"/>
      <c r="G538" s="10" t="n"/>
      <c r="H538" s="10" t="n"/>
      <c r="I538" s="3" t="n"/>
      <c r="J538" s="3">
        <f>IF(tblEjecucion[[#This Row],[orden]]="","",tblEjecucion[[#This Row],[orden]]&amp;IF(tblEjecucion[[#This Row],[operacion]]="","0010",tblEjecucion[[#This Row],[operacion]]))</f>
        <v/>
      </c>
    </row>
    <row r="539">
      <c r="A539" s="3" t="n"/>
      <c r="B539" s="3" t="n"/>
      <c r="C539" s="3" t="n"/>
      <c r="D539" s="3" t="n"/>
      <c r="E539" s="3" t="n"/>
      <c r="F539" s="10" t="n"/>
      <c r="G539" s="10" t="n"/>
      <c r="H539" s="10" t="n"/>
      <c r="I539" s="3" t="n"/>
      <c r="J539" s="3">
        <f>IF(tblEjecucion[[#This Row],[orden]]="","",tblEjecucion[[#This Row],[orden]]&amp;IF(tblEjecucion[[#This Row],[operacion]]="","0010",tblEjecucion[[#This Row],[operacion]]))</f>
        <v/>
      </c>
    </row>
    <row r="540">
      <c r="A540" s="3" t="n"/>
      <c r="B540" s="3" t="n"/>
      <c r="C540" s="3" t="n"/>
      <c r="D540" s="3" t="n"/>
      <c r="E540" s="3" t="n"/>
      <c r="F540" s="10" t="n"/>
      <c r="G540" s="10" t="n"/>
      <c r="H540" s="10" t="n"/>
      <c r="I540" s="3" t="n"/>
      <c r="J540" s="3">
        <f>IF(tblEjecucion[[#This Row],[orden]]="","",tblEjecucion[[#This Row],[orden]]&amp;IF(tblEjecucion[[#This Row],[operacion]]="","0010",tblEjecucion[[#This Row],[operacion]]))</f>
        <v/>
      </c>
    </row>
    <row r="541">
      <c r="A541" s="3" t="n"/>
      <c r="B541" s="3" t="n"/>
      <c r="C541" s="3" t="n"/>
      <c r="D541" s="3" t="n"/>
      <c r="E541" s="3" t="n"/>
      <c r="F541" s="10" t="n"/>
      <c r="G541" s="10" t="n"/>
      <c r="H541" s="10" t="n"/>
      <c r="I541" s="3" t="n"/>
      <c r="J541" s="3">
        <f>IF(tblEjecucion[[#This Row],[orden]]="","",tblEjecucion[[#This Row],[orden]]&amp;IF(tblEjecucion[[#This Row],[operacion]]="","0010",tblEjecucion[[#This Row],[operacion]]))</f>
        <v/>
      </c>
    </row>
    <row r="542">
      <c r="A542" s="3" t="n"/>
      <c r="B542" s="3" t="n"/>
      <c r="C542" s="3" t="n"/>
      <c r="D542" s="3" t="n"/>
      <c r="E542" s="3" t="n"/>
      <c r="F542" s="10" t="n"/>
      <c r="G542" s="10" t="n"/>
      <c r="H542" s="10" t="n"/>
      <c r="I542" s="3" t="n"/>
      <c r="J542" s="3">
        <f>IF(tblEjecucion[[#This Row],[orden]]="","",tblEjecucion[[#This Row],[orden]]&amp;IF(tblEjecucion[[#This Row],[operacion]]="","0010",tblEjecucion[[#This Row],[operacion]]))</f>
        <v/>
      </c>
    </row>
    <row r="543">
      <c r="A543" s="3" t="n"/>
      <c r="B543" s="3" t="n"/>
      <c r="C543" s="3" t="n"/>
      <c r="D543" s="3" t="n"/>
      <c r="E543" s="3" t="n"/>
      <c r="F543" s="10" t="n"/>
      <c r="G543" s="10" t="n"/>
      <c r="H543" s="10" t="n"/>
      <c r="I543" s="3" t="n"/>
      <c r="J543" s="3">
        <f>IF(tblEjecucion[[#This Row],[orden]]="","",tblEjecucion[[#This Row],[orden]]&amp;IF(tblEjecucion[[#This Row],[operacion]]="","0010",tblEjecucion[[#This Row],[operacion]]))</f>
        <v/>
      </c>
    </row>
    <row r="544">
      <c r="A544" s="3" t="n"/>
      <c r="B544" s="3" t="n"/>
      <c r="C544" s="3" t="n"/>
      <c r="D544" s="3" t="n"/>
      <c r="E544" s="3" t="n"/>
      <c r="F544" s="10" t="n"/>
      <c r="G544" s="10" t="n"/>
      <c r="H544" s="10" t="n"/>
      <c r="I544" s="3" t="n"/>
      <c r="J544" s="3">
        <f>IF(tblEjecucion[[#This Row],[orden]]="","",tblEjecucion[[#This Row],[orden]]&amp;IF(tblEjecucion[[#This Row],[operacion]]="","0010",tblEjecucion[[#This Row],[operacion]]))</f>
        <v/>
      </c>
    </row>
    <row r="545">
      <c r="A545" s="3" t="n"/>
      <c r="B545" s="3" t="n"/>
      <c r="C545" s="3" t="n"/>
      <c r="D545" s="3" t="n"/>
      <c r="E545" s="3" t="n"/>
      <c r="F545" s="10" t="n"/>
      <c r="G545" s="10" t="n"/>
      <c r="H545" s="10" t="n"/>
      <c r="I545" s="3" t="n"/>
      <c r="J545" s="3">
        <f>IF(tblEjecucion[[#This Row],[orden]]="","",tblEjecucion[[#This Row],[orden]]&amp;IF(tblEjecucion[[#This Row],[operacion]]="","0010",tblEjecucion[[#This Row],[operacion]]))</f>
        <v/>
      </c>
    </row>
    <row r="546">
      <c r="A546" s="3" t="n"/>
      <c r="B546" s="3" t="n"/>
      <c r="C546" s="3" t="n"/>
      <c r="D546" s="3" t="n"/>
      <c r="E546" s="3" t="n"/>
      <c r="F546" s="10" t="n"/>
      <c r="G546" s="10" t="n"/>
      <c r="H546" s="10" t="n"/>
      <c r="I546" s="3" t="n"/>
      <c r="J546" s="3">
        <f>IF(tblEjecucion[[#This Row],[orden]]="","",tblEjecucion[[#This Row],[orden]]&amp;IF(tblEjecucion[[#This Row],[operacion]]="","0010",tblEjecucion[[#This Row],[operacion]]))</f>
        <v/>
      </c>
    </row>
    <row r="547">
      <c r="A547" s="3" t="n"/>
      <c r="B547" s="3" t="n"/>
      <c r="C547" s="3" t="n"/>
      <c r="D547" s="3" t="n"/>
      <c r="E547" s="3" t="n"/>
      <c r="F547" s="10" t="n"/>
      <c r="G547" s="10" t="n"/>
      <c r="H547" s="10" t="n"/>
      <c r="I547" s="3" t="n"/>
      <c r="J547" s="3">
        <f>IF(tblEjecucion[[#This Row],[orden]]="","",tblEjecucion[[#This Row],[orden]]&amp;IF(tblEjecucion[[#This Row],[operacion]]="","0010",tblEjecucion[[#This Row],[operacion]]))</f>
        <v/>
      </c>
    </row>
    <row r="548">
      <c r="A548" s="3" t="n"/>
      <c r="B548" s="3" t="n"/>
      <c r="C548" s="3" t="n"/>
      <c r="D548" s="3" t="n"/>
      <c r="E548" s="3" t="n"/>
      <c r="F548" s="10" t="n"/>
      <c r="G548" s="10" t="n"/>
      <c r="H548" s="10" t="n"/>
      <c r="I548" s="3" t="n"/>
      <c r="J548" s="3">
        <f>IF(tblEjecucion[[#This Row],[orden]]="","",tblEjecucion[[#This Row],[orden]]&amp;IF(tblEjecucion[[#This Row],[operacion]]="","0010",tblEjecucion[[#This Row],[operacion]]))</f>
        <v/>
      </c>
    </row>
    <row r="549">
      <c r="A549" s="3" t="n"/>
      <c r="B549" s="3" t="n"/>
      <c r="C549" s="3" t="n"/>
      <c r="D549" s="3" t="n"/>
      <c r="E549" s="3" t="n"/>
      <c r="F549" s="10" t="n"/>
      <c r="G549" s="10" t="n"/>
      <c r="H549" s="10" t="n"/>
      <c r="I549" s="3" t="n"/>
      <c r="J549" s="3">
        <f>IF(tblEjecucion[[#This Row],[orden]]="","",tblEjecucion[[#This Row],[orden]]&amp;IF(tblEjecucion[[#This Row],[operacion]]="","0010",tblEjecucion[[#This Row],[operacion]]))</f>
        <v/>
      </c>
    </row>
    <row r="550">
      <c r="A550" s="3" t="n"/>
      <c r="B550" s="3" t="n"/>
      <c r="C550" s="3" t="n"/>
      <c r="D550" s="3" t="n"/>
      <c r="E550" s="3" t="n"/>
      <c r="F550" s="10" t="n"/>
      <c r="G550" s="10" t="n"/>
      <c r="H550" s="10" t="n"/>
      <c r="I550" s="3" t="n"/>
      <c r="J550" s="3">
        <f>IF(tblEjecucion[[#This Row],[orden]]="","",tblEjecucion[[#This Row],[orden]]&amp;IF(tblEjecucion[[#This Row],[operacion]]="","0010",tblEjecucion[[#This Row],[operacion]]))</f>
        <v/>
      </c>
    </row>
    <row r="551">
      <c r="A551" s="3" t="n"/>
      <c r="B551" s="3" t="n"/>
      <c r="C551" s="3" t="n"/>
      <c r="D551" s="3" t="n"/>
      <c r="E551" s="3" t="n"/>
      <c r="F551" s="10" t="n"/>
      <c r="G551" s="10" t="n"/>
      <c r="H551" s="10" t="n"/>
      <c r="I551" s="3" t="n"/>
      <c r="J551" s="3">
        <f>IF(tblEjecucion[[#This Row],[orden]]="","",tblEjecucion[[#This Row],[orden]]&amp;IF(tblEjecucion[[#This Row],[operacion]]="","0010",tblEjecucion[[#This Row],[operacion]]))</f>
        <v/>
      </c>
    </row>
    <row r="552">
      <c r="A552" s="3" t="n"/>
      <c r="B552" s="3" t="n"/>
      <c r="C552" s="3" t="n"/>
      <c r="D552" s="3" t="n"/>
      <c r="E552" s="3" t="n"/>
      <c r="F552" s="10" t="n"/>
      <c r="G552" s="10" t="n"/>
      <c r="H552" s="10" t="n"/>
      <c r="I552" s="3" t="n"/>
      <c r="J552" s="3">
        <f>IF(tblEjecucion[[#This Row],[orden]]="","",tblEjecucion[[#This Row],[orden]]&amp;IF(tblEjecucion[[#This Row],[operacion]]="","0010",tblEjecucion[[#This Row],[operacion]]))</f>
        <v/>
      </c>
    </row>
    <row r="553">
      <c r="A553" s="3" t="n"/>
      <c r="B553" s="3" t="n"/>
      <c r="C553" s="3" t="n"/>
      <c r="D553" s="3" t="n"/>
      <c r="E553" s="3" t="n"/>
      <c r="F553" s="10" t="n"/>
      <c r="G553" s="10" t="n"/>
      <c r="H553" s="10" t="n"/>
      <c r="I553" s="3" t="n"/>
      <c r="J553" s="3">
        <f>IF(tblEjecucion[[#This Row],[orden]]="","",tblEjecucion[[#This Row],[orden]]&amp;IF(tblEjecucion[[#This Row],[operacion]]="","0010",tblEjecucion[[#This Row],[operacion]]))</f>
        <v/>
      </c>
    </row>
    <row r="554">
      <c r="A554" s="3" t="n"/>
      <c r="B554" s="3" t="n"/>
      <c r="C554" s="3" t="n"/>
      <c r="D554" s="3" t="n"/>
      <c r="E554" s="3" t="n"/>
      <c r="F554" s="10" t="n"/>
      <c r="G554" s="10" t="n"/>
      <c r="H554" s="10" t="n"/>
      <c r="I554" s="3" t="n"/>
      <c r="J554" s="3">
        <f>IF(tblEjecucion[[#This Row],[orden]]="","",tblEjecucion[[#This Row],[orden]]&amp;IF(tblEjecucion[[#This Row],[operacion]]="","0010",tblEjecucion[[#This Row],[operacion]]))</f>
        <v/>
      </c>
    </row>
    <row r="555">
      <c r="A555" s="3" t="n"/>
      <c r="B555" s="3" t="n"/>
      <c r="C555" s="3" t="n"/>
      <c r="D555" s="3" t="n"/>
      <c r="E555" s="3" t="n"/>
      <c r="F555" s="10" t="n"/>
      <c r="G555" s="10" t="n"/>
      <c r="H555" s="10" t="n"/>
      <c r="I555" s="3" t="n"/>
      <c r="J555" s="3">
        <f>IF(tblEjecucion[[#This Row],[orden]]="","",tblEjecucion[[#This Row],[orden]]&amp;IF(tblEjecucion[[#This Row],[operacion]]="","0010",tblEjecucion[[#This Row],[operacion]]))</f>
        <v/>
      </c>
    </row>
    <row r="556">
      <c r="A556" s="3" t="n"/>
      <c r="B556" s="3" t="n"/>
      <c r="C556" s="3" t="n"/>
      <c r="D556" s="3" t="n"/>
      <c r="E556" s="3" t="n"/>
      <c r="F556" s="10" t="n"/>
      <c r="G556" s="10" t="n"/>
      <c r="H556" s="10" t="n"/>
      <c r="I556" s="3" t="n"/>
      <c r="J556" s="3">
        <f>IF(tblEjecucion[[#This Row],[orden]]="","",tblEjecucion[[#This Row],[orden]]&amp;IF(tblEjecucion[[#This Row],[operacion]]="","0010",tblEjecucion[[#This Row],[operacion]]))</f>
        <v/>
      </c>
    </row>
    <row r="557">
      <c r="A557" s="3" t="n"/>
      <c r="B557" s="3" t="n"/>
      <c r="C557" s="3" t="n"/>
      <c r="D557" s="3" t="n"/>
      <c r="E557" s="3" t="n"/>
      <c r="F557" s="10" t="n"/>
      <c r="G557" s="10" t="n"/>
      <c r="H557" s="10" t="n"/>
      <c r="I557" s="3" t="n"/>
      <c r="J557" s="3">
        <f>IF(tblEjecucion[[#This Row],[orden]]="","",tblEjecucion[[#This Row],[orden]]&amp;IF(tblEjecucion[[#This Row],[operacion]]="","0010",tblEjecucion[[#This Row],[operacion]]))</f>
        <v/>
      </c>
    </row>
    <row r="558">
      <c r="A558" s="3" t="n"/>
      <c r="B558" s="3" t="n"/>
      <c r="C558" s="3" t="n"/>
      <c r="D558" s="3" t="n"/>
      <c r="E558" s="3" t="n"/>
      <c r="F558" s="10" t="n"/>
      <c r="G558" s="10" t="n"/>
      <c r="H558" s="10" t="n"/>
      <c r="I558" s="3" t="n"/>
      <c r="J558" s="3">
        <f>IF(tblEjecucion[[#This Row],[orden]]="","",tblEjecucion[[#This Row],[orden]]&amp;IF(tblEjecucion[[#This Row],[operacion]]="","0010",tblEjecucion[[#This Row],[operacion]]))</f>
        <v/>
      </c>
    </row>
    <row r="559">
      <c r="A559" s="3" t="n"/>
      <c r="B559" s="3" t="n"/>
      <c r="C559" s="3" t="n"/>
      <c r="D559" s="3" t="n"/>
      <c r="E559" s="3" t="n"/>
      <c r="F559" s="10" t="n"/>
      <c r="G559" s="10" t="n"/>
      <c r="H559" s="10" t="n"/>
      <c r="I559" s="3" t="n"/>
      <c r="J559" s="3">
        <f>IF(tblEjecucion[[#This Row],[orden]]="","",tblEjecucion[[#This Row],[orden]]&amp;IF(tblEjecucion[[#This Row],[operacion]]="","0010",tblEjecucion[[#This Row],[operacion]]))</f>
        <v/>
      </c>
    </row>
    <row r="560">
      <c r="A560" s="3" t="n"/>
      <c r="B560" s="3" t="n"/>
      <c r="C560" s="3" t="n"/>
      <c r="D560" s="3" t="n"/>
      <c r="E560" s="3" t="n"/>
      <c r="F560" s="10" t="n"/>
      <c r="G560" s="10" t="n"/>
      <c r="H560" s="10" t="n"/>
      <c r="I560" s="3" t="n"/>
      <c r="J560" s="3">
        <f>IF(tblEjecucion[[#This Row],[orden]]="","",tblEjecucion[[#This Row],[orden]]&amp;IF(tblEjecucion[[#This Row],[operacion]]="","0010",tblEjecucion[[#This Row],[operacion]]))</f>
        <v/>
      </c>
    </row>
    <row r="561">
      <c r="A561" s="3" t="n"/>
      <c r="B561" s="3" t="n"/>
      <c r="C561" s="3" t="n"/>
      <c r="D561" s="3" t="n"/>
      <c r="E561" s="3" t="n"/>
      <c r="F561" s="10" t="n"/>
      <c r="G561" s="10" t="n"/>
      <c r="H561" s="10" t="n"/>
      <c r="I561" s="3" t="n"/>
      <c r="J561" s="3">
        <f>IF(tblEjecucion[[#This Row],[orden]]="","",tblEjecucion[[#This Row],[orden]]&amp;IF(tblEjecucion[[#This Row],[operacion]]="","0010",tblEjecucion[[#This Row],[operacion]]))</f>
        <v/>
      </c>
    </row>
    <row r="562">
      <c r="A562" s="3" t="n"/>
      <c r="B562" s="3" t="n"/>
      <c r="C562" s="3" t="n"/>
      <c r="D562" s="3" t="n"/>
      <c r="E562" s="3" t="n"/>
      <c r="F562" s="10" t="n"/>
      <c r="G562" s="10" t="n"/>
      <c r="H562" s="10" t="n"/>
      <c r="I562" s="3" t="n"/>
      <c r="J562" s="3">
        <f>IF(tblEjecucion[[#This Row],[orden]]="","",tblEjecucion[[#This Row],[orden]]&amp;IF(tblEjecucion[[#This Row],[operacion]]="","0010",tblEjecucion[[#This Row],[operacion]]))</f>
        <v/>
      </c>
    </row>
    <row r="563">
      <c r="A563" s="3" t="n"/>
      <c r="B563" s="3" t="n"/>
      <c r="C563" s="3" t="n"/>
      <c r="D563" s="3" t="n"/>
      <c r="E563" s="3" t="n"/>
      <c r="F563" s="10" t="n"/>
      <c r="G563" s="10" t="n"/>
      <c r="H563" s="10" t="n"/>
      <c r="I563" s="3" t="n"/>
      <c r="J563" s="3">
        <f>IF(tblEjecucion[[#This Row],[orden]]="","",tblEjecucion[[#This Row],[orden]]&amp;IF(tblEjecucion[[#This Row],[operacion]]="","0010",tblEjecucion[[#This Row],[operacion]]))</f>
        <v/>
      </c>
    </row>
    <row r="564">
      <c r="A564" s="3" t="n"/>
      <c r="B564" s="3" t="n"/>
      <c r="C564" s="3" t="n"/>
      <c r="D564" s="3" t="n"/>
      <c r="E564" s="3" t="n"/>
      <c r="F564" s="10" t="n"/>
      <c r="G564" s="10" t="n"/>
      <c r="H564" s="10" t="n"/>
      <c r="I564" s="3" t="n"/>
      <c r="J564" s="3">
        <f>IF(tblEjecucion[[#This Row],[orden]]="","",tblEjecucion[[#This Row],[orden]]&amp;IF(tblEjecucion[[#This Row],[operacion]]="","0010",tblEjecucion[[#This Row],[operacion]]))</f>
        <v/>
      </c>
    </row>
    <row r="565">
      <c r="A565" s="3" t="n"/>
      <c r="B565" s="3" t="n"/>
      <c r="C565" s="3" t="n"/>
      <c r="D565" s="3" t="n"/>
      <c r="E565" s="3" t="n"/>
      <c r="F565" s="10" t="n"/>
      <c r="G565" s="10" t="n"/>
      <c r="H565" s="10" t="n"/>
      <c r="I565" s="3" t="n"/>
      <c r="J565" s="3">
        <f>IF(tblEjecucion[[#This Row],[orden]]="","",tblEjecucion[[#This Row],[orden]]&amp;IF(tblEjecucion[[#This Row],[operacion]]="","0010",tblEjecucion[[#This Row],[operacion]]))</f>
        <v/>
      </c>
    </row>
    <row r="566">
      <c r="A566" s="3" t="n"/>
      <c r="B566" s="3" t="n"/>
      <c r="C566" s="3" t="n"/>
      <c r="D566" s="3" t="n"/>
      <c r="E566" s="3" t="n"/>
      <c r="F566" s="10" t="n"/>
      <c r="G566" s="10" t="n"/>
      <c r="H566" s="10" t="n"/>
      <c r="I566" s="3" t="n"/>
      <c r="J566" s="3">
        <f>IF(tblEjecucion[[#This Row],[orden]]="","",tblEjecucion[[#This Row],[orden]]&amp;IF(tblEjecucion[[#This Row],[operacion]]="","0010",tblEjecucion[[#This Row],[operacion]]))</f>
        <v/>
      </c>
    </row>
    <row r="567">
      <c r="A567" s="3" t="n"/>
      <c r="B567" s="3" t="n"/>
      <c r="C567" s="3" t="n"/>
      <c r="D567" s="3" t="n"/>
      <c r="E567" s="3" t="n"/>
      <c r="F567" s="10" t="n"/>
      <c r="G567" s="10" t="n"/>
      <c r="H567" s="10" t="n"/>
      <c r="I567" s="3" t="n"/>
      <c r="J567" s="3">
        <f>IF(tblEjecucion[[#This Row],[orden]]="","",tblEjecucion[[#This Row],[orden]]&amp;IF(tblEjecucion[[#This Row],[operacion]]="","0010",tblEjecucion[[#This Row],[operacion]]))</f>
        <v/>
      </c>
    </row>
    <row r="568">
      <c r="A568" s="3" t="n"/>
      <c r="B568" s="3" t="n"/>
      <c r="C568" s="3" t="n"/>
      <c r="D568" s="3" t="n"/>
      <c r="E568" s="3" t="n"/>
      <c r="F568" s="10" t="n"/>
      <c r="G568" s="10" t="n"/>
      <c r="H568" s="10" t="n"/>
      <c r="I568" s="3" t="n"/>
      <c r="J568" s="3">
        <f>IF(tblEjecucion[[#This Row],[orden]]="","",tblEjecucion[[#This Row],[orden]]&amp;IF(tblEjecucion[[#This Row],[operacion]]="","0010",tblEjecucion[[#This Row],[operacion]]))</f>
        <v/>
      </c>
    </row>
    <row r="569">
      <c r="A569" s="3" t="n"/>
      <c r="B569" s="3" t="n"/>
      <c r="C569" s="3" t="n"/>
      <c r="D569" s="3" t="n"/>
      <c r="E569" s="3" t="n"/>
      <c r="F569" s="10" t="n"/>
      <c r="G569" s="10" t="n"/>
      <c r="H569" s="10" t="n"/>
      <c r="I569" s="3" t="n"/>
      <c r="J569" s="3">
        <f>IF(tblEjecucion[[#This Row],[orden]]="","",tblEjecucion[[#This Row],[orden]]&amp;IF(tblEjecucion[[#This Row],[operacion]]="","0010",tblEjecucion[[#This Row],[operacion]]))</f>
        <v/>
      </c>
    </row>
    <row r="570">
      <c r="A570" s="3" t="n"/>
      <c r="B570" s="3" t="n"/>
      <c r="C570" s="3" t="n"/>
      <c r="D570" s="3" t="n"/>
      <c r="E570" s="3" t="n"/>
      <c r="F570" s="10" t="n"/>
      <c r="G570" s="10" t="n"/>
      <c r="H570" s="10" t="n"/>
      <c r="I570" s="3" t="n"/>
      <c r="J570" s="3">
        <f>IF(tblEjecucion[[#This Row],[orden]]="","",tblEjecucion[[#This Row],[orden]]&amp;IF(tblEjecucion[[#This Row],[operacion]]="","0010",tblEjecucion[[#This Row],[operacion]]))</f>
        <v/>
      </c>
    </row>
    <row r="571">
      <c r="A571" s="3" t="n"/>
      <c r="B571" s="3" t="n"/>
      <c r="C571" s="3" t="n"/>
      <c r="D571" s="3" t="n"/>
      <c r="E571" s="3" t="n"/>
      <c r="F571" s="10" t="n"/>
      <c r="G571" s="10" t="n"/>
      <c r="H571" s="10" t="n"/>
      <c r="I571" s="3" t="n"/>
      <c r="J571" s="3">
        <f>IF(tblEjecucion[[#This Row],[orden]]="","",tblEjecucion[[#This Row],[orden]]&amp;IF(tblEjecucion[[#This Row],[operacion]]="","0010",tblEjecucion[[#This Row],[operacion]]))</f>
        <v/>
      </c>
    </row>
    <row r="572">
      <c r="A572" s="3" t="n"/>
      <c r="B572" s="3" t="n"/>
      <c r="C572" s="3" t="n"/>
      <c r="D572" s="3" t="n"/>
      <c r="E572" s="3" t="n"/>
      <c r="F572" s="10" t="n"/>
      <c r="G572" s="10" t="n"/>
      <c r="H572" s="10" t="n"/>
      <c r="I572" s="3" t="n"/>
      <c r="J572" s="3">
        <f>IF(tblEjecucion[[#This Row],[orden]]="","",tblEjecucion[[#This Row],[orden]]&amp;IF(tblEjecucion[[#This Row],[operacion]]="","0010",tblEjecucion[[#This Row],[operacion]]))</f>
        <v/>
      </c>
    </row>
    <row r="573">
      <c r="A573" s="3" t="n"/>
      <c r="B573" s="3" t="n"/>
      <c r="C573" s="3" t="n"/>
      <c r="D573" s="3" t="n"/>
      <c r="E573" s="3" t="n"/>
      <c r="F573" s="10" t="n"/>
      <c r="G573" s="10" t="n"/>
      <c r="H573" s="10" t="n"/>
      <c r="I573" s="3" t="n"/>
      <c r="J573" s="3">
        <f>IF(tblEjecucion[[#This Row],[orden]]="","",tblEjecucion[[#This Row],[orden]]&amp;IF(tblEjecucion[[#This Row],[operacion]]="","0010",tblEjecucion[[#This Row],[operacion]]))</f>
        <v/>
      </c>
    </row>
    <row r="574">
      <c r="A574" s="3" t="n"/>
      <c r="B574" s="3" t="n"/>
      <c r="C574" s="3" t="n"/>
      <c r="D574" s="3" t="n"/>
      <c r="E574" s="3" t="n"/>
      <c r="F574" s="10" t="n"/>
      <c r="G574" s="10" t="n"/>
      <c r="H574" s="10" t="n"/>
      <c r="I574" s="3" t="n"/>
      <c r="J574" s="3">
        <f>IF(tblEjecucion[[#This Row],[orden]]="","",tblEjecucion[[#This Row],[orden]]&amp;IF(tblEjecucion[[#This Row],[operacion]]="","0010",tblEjecucion[[#This Row],[operacion]]))</f>
        <v/>
      </c>
    </row>
    <row r="575">
      <c r="A575" s="3" t="n"/>
      <c r="B575" s="3" t="n"/>
      <c r="C575" s="3" t="n"/>
      <c r="D575" s="3" t="n"/>
      <c r="E575" s="3" t="n"/>
      <c r="F575" s="10" t="n"/>
      <c r="G575" s="10" t="n"/>
      <c r="H575" s="10" t="n"/>
      <c r="I575" s="3" t="n"/>
      <c r="J575" s="3">
        <f>IF(tblEjecucion[[#This Row],[orden]]="","",tblEjecucion[[#This Row],[orden]]&amp;IF(tblEjecucion[[#This Row],[operacion]]="","0010",tblEjecucion[[#This Row],[operacion]]))</f>
        <v/>
      </c>
    </row>
    <row r="576">
      <c r="A576" s="3" t="n"/>
      <c r="B576" s="3" t="n"/>
      <c r="C576" s="3" t="n"/>
      <c r="D576" s="3" t="n"/>
      <c r="E576" s="3" t="n"/>
      <c r="F576" s="10" t="n"/>
      <c r="G576" s="10" t="n"/>
      <c r="H576" s="10" t="n"/>
      <c r="I576" s="3" t="n"/>
      <c r="J576" s="3">
        <f>IF(tblEjecucion[[#This Row],[orden]]="","",tblEjecucion[[#This Row],[orden]]&amp;IF(tblEjecucion[[#This Row],[operacion]]="","0010",tblEjecucion[[#This Row],[operacion]]))</f>
        <v/>
      </c>
    </row>
    <row r="577">
      <c r="A577" s="3" t="n"/>
      <c r="B577" s="3" t="n"/>
      <c r="C577" s="3" t="n"/>
      <c r="D577" s="3" t="n"/>
      <c r="E577" s="3" t="n"/>
      <c r="F577" s="10" t="n"/>
      <c r="G577" s="10" t="n"/>
      <c r="H577" s="10" t="n"/>
      <c r="I577" s="3" t="n"/>
      <c r="J577" s="3">
        <f>IF(tblEjecucion[[#This Row],[orden]]="","",tblEjecucion[[#This Row],[orden]]&amp;IF(tblEjecucion[[#This Row],[operacion]]="","0010",tblEjecucion[[#This Row],[operacion]]))</f>
        <v/>
      </c>
    </row>
    <row r="578">
      <c r="A578" s="3" t="n"/>
      <c r="B578" s="3" t="n"/>
      <c r="C578" s="3" t="n"/>
      <c r="D578" s="3" t="n"/>
      <c r="E578" s="3" t="n"/>
      <c r="F578" s="10" t="n"/>
      <c r="G578" s="10" t="n"/>
      <c r="H578" s="10" t="n"/>
      <c r="I578" s="3" t="n"/>
      <c r="J578" s="3">
        <f>IF(tblEjecucion[[#This Row],[orden]]="","",tblEjecucion[[#This Row],[orden]]&amp;IF(tblEjecucion[[#This Row],[operacion]]="","0010",tblEjecucion[[#This Row],[operacion]]))</f>
        <v/>
      </c>
    </row>
    <row r="579">
      <c r="A579" s="3" t="n"/>
      <c r="B579" s="3" t="n"/>
      <c r="C579" s="3" t="n"/>
      <c r="D579" s="3" t="n"/>
      <c r="E579" s="3" t="n"/>
      <c r="F579" s="10" t="n"/>
      <c r="G579" s="10" t="n"/>
      <c r="H579" s="10" t="n"/>
      <c r="I579" s="3" t="n"/>
      <c r="J579" s="3">
        <f>IF(tblEjecucion[[#This Row],[orden]]="","",tblEjecucion[[#This Row],[orden]]&amp;IF(tblEjecucion[[#This Row],[operacion]]="","0010",tblEjecucion[[#This Row],[operacion]]))</f>
        <v/>
      </c>
    </row>
    <row r="580">
      <c r="A580" s="3" t="n"/>
      <c r="B580" s="3" t="n"/>
      <c r="C580" s="3" t="n"/>
      <c r="D580" s="3" t="n"/>
      <c r="E580" s="3" t="n"/>
      <c r="F580" s="10" t="n"/>
      <c r="G580" s="10" t="n"/>
      <c r="H580" s="10" t="n"/>
      <c r="I580" s="3" t="n"/>
      <c r="J580" s="3">
        <f>IF(tblEjecucion[[#This Row],[orden]]="","",tblEjecucion[[#This Row],[orden]]&amp;IF(tblEjecucion[[#This Row],[operacion]]="","0010",tblEjecucion[[#This Row],[operacion]]))</f>
        <v/>
      </c>
    </row>
    <row r="581">
      <c r="A581" s="3" t="n"/>
      <c r="B581" s="3" t="n"/>
      <c r="C581" s="3" t="n"/>
      <c r="D581" s="3" t="n"/>
      <c r="E581" s="3" t="n"/>
      <c r="F581" s="10" t="n"/>
      <c r="G581" s="10" t="n"/>
      <c r="H581" s="10" t="n"/>
      <c r="I581" s="3" t="n"/>
      <c r="J581" s="3">
        <f>IF(tblEjecucion[[#This Row],[orden]]="","",tblEjecucion[[#This Row],[orden]]&amp;IF(tblEjecucion[[#This Row],[operacion]]="","0010",tblEjecucion[[#This Row],[operacion]]))</f>
        <v/>
      </c>
    </row>
    <row r="582">
      <c r="A582" s="3" t="n"/>
      <c r="B582" s="3" t="n"/>
      <c r="C582" s="3" t="n"/>
      <c r="D582" s="3" t="n"/>
      <c r="E582" s="3" t="n"/>
      <c r="F582" s="10" t="n"/>
      <c r="G582" s="10" t="n"/>
      <c r="H582" s="10" t="n"/>
      <c r="I582" s="3" t="n"/>
      <c r="J582" s="3">
        <f>IF(tblEjecucion[[#This Row],[orden]]="","",tblEjecucion[[#This Row],[orden]]&amp;IF(tblEjecucion[[#This Row],[operacion]]="","0010",tblEjecucion[[#This Row],[operacion]]))</f>
        <v/>
      </c>
    </row>
    <row r="583">
      <c r="A583" s="3" t="n"/>
      <c r="B583" s="3" t="n"/>
      <c r="C583" s="3" t="n"/>
      <c r="D583" s="3" t="n"/>
      <c r="E583" s="3" t="n"/>
      <c r="F583" s="10" t="n"/>
      <c r="G583" s="10" t="n"/>
      <c r="H583" s="10" t="n"/>
      <c r="I583" s="3" t="n"/>
      <c r="J583" s="3">
        <f>IF(tblEjecucion[[#This Row],[orden]]="","",tblEjecucion[[#This Row],[orden]]&amp;IF(tblEjecucion[[#This Row],[operacion]]="","0010",tblEjecucion[[#This Row],[operacion]]))</f>
        <v/>
      </c>
    </row>
    <row r="584">
      <c r="A584" s="3" t="n"/>
      <c r="B584" s="3" t="n"/>
      <c r="C584" s="3" t="n"/>
      <c r="D584" s="3" t="n"/>
      <c r="E584" s="3" t="n"/>
      <c r="F584" s="10" t="n"/>
      <c r="G584" s="10" t="n"/>
      <c r="H584" s="10" t="n"/>
      <c r="I584" s="3" t="n"/>
      <c r="J584" s="3">
        <f>IF(tblEjecucion[[#This Row],[orden]]="","",tblEjecucion[[#This Row],[orden]]&amp;IF(tblEjecucion[[#This Row],[operacion]]="","0010",tblEjecucion[[#This Row],[operacion]]))</f>
        <v/>
      </c>
    </row>
    <row r="585">
      <c r="A585" s="3" t="n"/>
      <c r="B585" s="3" t="n"/>
      <c r="C585" s="3" t="n"/>
      <c r="D585" s="3" t="n"/>
      <c r="E585" s="3" t="n"/>
      <c r="F585" s="10" t="n"/>
      <c r="G585" s="10" t="n"/>
      <c r="H585" s="10" t="n"/>
      <c r="I585" s="3" t="n"/>
      <c r="J585" s="3">
        <f>IF(tblEjecucion[[#This Row],[orden]]="","",tblEjecucion[[#This Row],[orden]]&amp;IF(tblEjecucion[[#This Row],[operacion]]="","0010",tblEjecucion[[#This Row],[operacion]]))</f>
        <v/>
      </c>
    </row>
    <row r="586">
      <c r="A586" s="3" t="n"/>
      <c r="B586" s="3" t="n"/>
      <c r="C586" s="3" t="n"/>
      <c r="D586" s="3" t="n"/>
      <c r="E586" s="3" t="n"/>
      <c r="F586" s="10" t="n"/>
      <c r="G586" s="10" t="n"/>
      <c r="H586" s="10" t="n"/>
      <c r="I586" s="3" t="n"/>
      <c r="J586" s="3">
        <f>IF(tblEjecucion[[#This Row],[orden]]="","",tblEjecucion[[#This Row],[orden]]&amp;IF(tblEjecucion[[#This Row],[operacion]]="","0010",tblEjecucion[[#This Row],[operacion]]))</f>
        <v/>
      </c>
    </row>
    <row r="587">
      <c r="A587" s="3" t="n"/>
      <c r="B587" s="3" t="n"/>
      <c r="C587" s="3" t="n"/>
      <c r="D587" s="3" t="n"/>
      <c r="E587" s="3" t="n"/>
      <c r="F587" s="10" t="n"/>
      <c r="G587" s="10" t="n"/>
      <c r="H587" s="10" t="n"/>
      <c r="I587" s="3" t="n"/>
      <c r="J587" s="3">
        <f>IF(tblEjecucion[[#This Row],[orden]]="","",tblEjecucion[[#This Row],[orden]]&amp;IF(tblEjecucion[[#This Row],[operacion]]="","0010",tblEjecucion[[#This Row],[operacion]]))</f>
        <v/>
      </c>
    </row>
    <row r="588">
      <c r="A588" s="3" t="n"/>
      <c r="B588" s="3" t="n"/>
      <c r="C588" s="3" t="n"/>
      <c r="D588" s="3" t="n"/>
      <c r="E588" s="3" t="n"/>
      <c r="F588" s="10" t="n"/>
      <c r="G588" s="10" t="n"/>
      <c r="H588" s="10" t="n"/>
      <c r="I588" s="3" t="n"/>
      <c r="J588" s="3">
        <f>IF(tblEjecucion[[#This Row],[orden]]="","",tblEjecucion[[#This Row],[orden]]&amp;IF(tblEjecucion[[#This Row],[operacion]]="","0010",tblEjecucion[[#This Row],[operacion]]))</f>
        <v/>
      </c>
    </row>
    <row r="589">
      <c r="A589" s="3" t="n"/>
      <c r="B589" s="3" t="n"/>
      <c r="C589" s="3" t="n"/>
      <c r="D589" s="3" t="n"/>
      <c r="E589" s="3" t="n"/>
      <c r="F589" s="10" t="n"/>
      <c r="G589" s="10" t="n"/>
      <c r="H589" s="10" t="n"/>
      <c r="I589" s="3" t="n"/>
      <c r="J589" s="3">
        <f>IF(tblEjecucion[[#This Row],[orden]]="","",tblEjecucion[[#This Row],[orden]]&amp;IF(tblEjecucion[[#This Row],[operacion]]="","0010",tblEjecucion[[#This Row],[operacion]]))</f>
        <v/>
      </c>
    </row>
    <row r="590">
      <c r="A590" s="3" t="n"/>
      <c r="B590" s="3" t="n"/>
      <c r="C590" s="3" t="n"/>
      <c r="D590" s="3" t="n"/>
      <c r="E590" s="3" t="n"/>
      <c r="F590" s="10" t="n"/>
      <c r="G590" s="10" t="n"/>
      <c r="H590" s="10" t="n"/>
      <c r="I590" s="3" t="n"/>
      <c r="J590" s="3">
        <f>IF(tblEjecucion[[#This Row],[orden]]="","",tblEjecucion[[#This Row],[orden]]&amp;IF(tblEjecucion[[#This Row],[operacion]]="","0010",tblEjecucion[[#This Row],[operacion]]))</f>
        <v/>
      </c>
    </row>
    <row r="591">
      <c r="A591" s="3" t="n"/>
      <c r="B591" s="3" t="n"/>
      <c r="C591" s="3" t="n"/>
      <c r="D591" s="3" t="n"/>
      <c r="E591" s="3" t="n"/>
      <c r="F591" s="10" t="n"/>
      <c r="G591" s="10" t="n"/>
      <c r="H591" s="10" t="n"/>
      <c r="I591" s="3" t="n"/>
      <c r="J591" s="3">
        <f>IF(tblEjecucion[[#This Row],[orden]]="","",tblEjecucion[[#This Row],[orden]]&amp;IF(tblEjecucion[[#This Row],[operacion]]="","0010",tblEjecucion[[#This Row],[operacion]]))</f>
        <v/>
      </c>
    </row>
    <row r="592">
      <c r="A592" s="3" t="n"/>
      <c r="B592" s="3" t="n"/>
      <c r="C592" s="3" t="n"/>
      <c r="D592" s="3" t="n"/>
      <c r="E592" s="3" t="n"/>
      <c r="F592" s="10" t="n"/>
      <c r="G592" s="10" t="n"/>
      <c r="H592" s="10" t="n"/>
      <c r="I592" s="3" t="n"/>
      <c r="J592" s="3">
        <f>IF(tblEjecucion[[#This Row],[orden]]="","",tblEjecucion[[#This Row],[orden]]&amp;IF(tblEjecucion[[#This Row],[operacion]]="","0010",tblEjecucion[[#This Row],[operacion]]))</f>
        <v/>
      </c>
    </row>
    <row r="593">
      <c r="A593" s="3" t="n"/>
      <c r="B593" s="3" t="n"/>
      <c r="C593" s="3" t="n"/>
      <c r="D593" s="3" t="n"/>
      <c r="E593" s="3" t="n"/>
      <c r="F593" s="10" t="n"/>
      <c r="G593" s="10" t="n"/>
      <c r="H593" s="10" t="n"/>
      <c r="I593" s="3" t="n"/>
      <c r="J593" s="3">
        <f>IF(tblEjecucion[[#This Row],[orden]]="","",tblEjecucion[[#This Row],[orden]]&amp;IF(tblEjecucion[[#This Row],[operacion]]="","0010",tblEjecucion[[#This Row],[operacion]]))</f>
        <v/>
      </c>
    </row>
    <row r="594">
      <c r="A594" s="3" t="n"/>
      <c r="B594" s="3" t="n"/>
      <c r="C594" s="3" t="n"/>
      <c r="D594" s="3" t="n"/>
      <c r="E594" s="3" t="n"/>
      <c r="F594" s="10" t="n"/>
      <c r="G594" s="10" t="n"/>
      <c r="H594" s="10" t="n"/>
      <c r="I594" s="3" t="n"/>
      <c r="J594" s="3">
        <f>IF(tblEjecucion[[#This Row],[orden]]="","",tblEjecucion[[#This Row],[orden]]&amp;IF(tblEjecucion[[#This Row],[operacion]]="","0010",tblEjecucion[[#This Row],[operacion]]))</f>
        <v/>
      </c>
    </row>
    <row r="595">
      <c r="A595" s="3" t="n"/>
      <c r="B595" s="3" t="n"/>
      <c r="C595" s="3" t="n"/>
      <c r="D595" s="3" t="n"/>
      <c r="E595" s="3" t="n"/>
      <c r="F595" s="10" t="n"/>
      <c r="G595" s="10" t="n"/>
      <c r="H595" s="10" t="n"/>
      <c r="I595" s="3" t="n"/>
      <c r="J595" s="3">
        <f>IF(tblEjecucion[[#This Row],[orden]]="","",tblEjecucion[[#This Row],[orden]]&amp;IF(tblEjecucion[[#This Row],[operacion]]="","0010",tblEjecucion[[#This Row],[operacion]]))</f>
        <v/>
      </c>
    </row>
    <row r="596">
      <c r="A596" s="3" t="n"/>
      <c r="B596" s="3" t="n"/>
      <c r="C596" s="3" t="n"/>
      <c r="D596" s="3" t="n"/>
      <c r="E596" s="3" t="n"/>
      <c r="F596" s="10" t="n"/>
      <c r="G596" s="10" t="n"/>
      <c r="H596" s="10" t="n"/>
      <c r="I596" s="3" t="n"/>
      <c r="J596" s="3">
        <f>IF(tblEjecucion[[#This Row],[orden]]="","",tblEjecucion[[#This Row],[orden]]&amp;IF(tblEjecucion[[#This Row],[operacion]]="","0010",tblEjecucion[[#This Row],[operacion]]))</f>
        <v/>
      </c>
    </row>
    <row r="597">
      <c r="A597" s="3" t="n"/>
      <c r="B597" s="3" t="n"/>
      <c r="C597" s="3" t="n"/>
      <c r="D597" s="3" t="n"/>
      <c r="E597" s="3" t="n"/>
      <c r="F597" s="10" t="n"/>
      <c r="G597" s="10" t="n"/>
      <c r="H597" s="10" t="n"/>
      <c r="I597" s="3" t="n"/>
      <c r="J597" s="3">
        <f>IF(tblEjecucion[[#This Row],[orden]]="","",tblEjecucion[[#This Row],[orden]]&amp;IF(tblEjecucion[[#This Row],[operacion]]="","0010",tblEjecucion[[#This Row],[operacion]]))</f>
        <v/>
      </c>
    </row>
    <row r="598">
      <c r="A598" s="3" t="n"/>
      <c r="B598" s="3" t="n"/>
      <c r="C598" s="3" t="n"/>
      <c r="D598" s="3" t="n"/>
      <c r="E598" s="3" t="n"/>
      <c r="F598" s="10" t="n"/>
      <c r="G598" s="10" t="n"/>
      <c r="H598" s="10" t="n"/>
      <c r="I598" s="3" t="n"/>
      <c r="J598" s="3">
        <f>IF(tblEjecucion[[#This Row],[orden]]="","",tblEjecucion[[#This Row],[orden]]&amp;IF(tblEjecucion[[#This Row],[operacion]]="","0010",tblEjecucion[[#This Row],[operacion]]))</f>
        <v/>
      </c>
    </row>
    <row r="599">
      <c r="A599" s="3" t="n"/>
      <c r="B599" s="3" t="n"/>
      <c r="C599" s="3" t="n"/>
      <c r="D599" s="3" t="n"/>
      <c r="E599" s="3" t="n"/>
      <c r="F599" s="10" t="n"/>
      <c r="G599" s="10" t="n"/>
      <c r="H599" s="10" t="n"/>
      <c r="I599" s="3" t="n"/>
      <c r="J599" s="3">
        <f>IF(tblEjecucion[[#This Row],[orden]]="","",tblEjecucion[[#This Row],[orden]]&amp;IF(tblEjecucion[[#This Row],[operacion]]="","0010",tblEjecucion[[#This Row],[operacion]]))</f>
        <v/>
      </c>
    </row>
    <row r="600">
      <c r="A600" s="3" t="n"/>
      <c r="B600" s="3" t="n"/>
      <c r="C600" s="3" t="n"/>
      <c r="D600" s="3" t="n"/>
      <c r="E600" s="3" t="n"/>
      <c r="F600" s="10" t="n"/>
      <c r="G600" s="10" t="n"/>
      <c r="H600" s="10" t="n"/>
      <c r="I600" s="3" t="n"/>
      <c r="J600" s="3">
        <f>IF(tblEjecucion[[#This Row],[orden]]="","",tblEjecucion[[#This Row],[orden]]&amp;IF(tblEjecucion[[#This Row],[operacion]]="","0010",tblEjecucion[[#This Row],[operacion]]))</f>
        <v/>
      </c>
    </row>
    <row r="601">
      <c r="A601" s="3" t="n"/>
      <c r="B601" s="3" t="n"/>
      <c r="C601" s="3" t="n"/>
      <c r="D601" s="3" t="n"/>
      <c r="E601" s="3" t="n"/>
      <c r="F601" s="10" t="n"/>
      <c r="G601" s="10" t="n"/>
      <c r="H601" s="10" t="n"/>
      <c r="I601" s="3" t="n"/>
      <c r="J601" s="3">
        <f>IF(tblEjecucion[[#This Row],[orden]]="","",tblEjecucion[[#This Row],[orden]]&amp;IF(tblEjecucion[[#This Row],[operacion]]="","0010",tblEjecucion[[#This Row],[operacion]]))</f>
        <v/>
      </c>
    </row>
    <row r="602">
      <c r="A602" s="3" t="n"/>
      <c r="B602" s="3" t="n"/>
      <c r="C602" s="3" t="n"/>
      <c r="D602" s="3" t="n"/>
      <c r="E602" s="3" t="n"/>
      <c r="F602" s="10" t="n"/>
      <c r="G602" s="10" t="n"/>
      <c r="H602" s="10" t="n"/>
      <c r="I602" s="3" t="n"/>
      <c r="J602" s="3">
        <f>IF(tblEjecucion[[#This Row],[orden]]="","",tblEjecucion[[#This Row],[orden]]&amp;IF(tblEjecucion[[#This Row],[operacion]]="","0010",tblEjecucion[[#This Row],[operacion]]))</f>
        <v/>
      </c>
    </row>
    <row r="603">
      <c r="A603" s="3" t="n"/>
      <c r="B603" s="3" t="n"/>
      <c r="C603" s="3" t="n"/>
      <c r="D603" s="3" t="n"/>
      <c r="E603" s="3" t="n"/>
      <c r="F603" s="10" t="n"/>
      <c r="G603" s="10" t="n"/>
      <c r="H603" s="10" t="n"/>
      <c r="I603" s="3" t="n"/>
      <c r="J603" s="3">
        <f>IF(tblEjecucion[[#This Row],[orden]]="","",tblEjecucion[[#This Row],[orden]]&amp;IF(tblEjecucion[[#This Row],[operacion]]="","0010",tblEjecucion[[#This Row],[operacion]]))</f>
        <v/>
      </c>
    </row>
    <row r="604">
      <c r="A604" s="3" t="n"/>
      <c r="B604" s="3" t="n"/>
      <c r="C604" s="3" t="n"/>
      <c r="D604" s="3" t="n"/>
      <c r="E604" s="3" t="n"/>
      <c r="F604" s="10" t="n"/>
      <c r="G604" s="10" t="n"/>
      <c r="H604" s="10" t="n"/>
      <c r="I604" s="3" t="n"/>
      <c r="J604" s="3">
        <f>IF(tblEjecucion[[#This Row],[orden]]="","",tblEjecucion[[#This Row],[orden]]&amp;IF(tblEjecucion[[#This Row],[operacion]]="","0010",tblEjecucion[[#This Row],[operacion]]))</f>
        <v/>
      </c>
    </row>
    <row r="605">
      <c r="A605" s="3" t="n"/>
      <c r="B605" s="3" t="n"/>
      <c r="C605" s="3" t="n"/>
      <c r="D605" s="3" t="n"/>
      <c r="E605" s="3" t="n"/>
      <c r="F605" s="10" t="n"/>
      <c r="G605" s="10" t="n"/>
      <c r="H605" s="10" t="n"/>
      <c r="I605" s="3" t="n"/>
      <c r="J605" s="3">
        <f>IF(tblEjecucion[[#This Row],[orden]]="","",tblEjecucion[[#This Row],[orden]]&amp;IF(tblEjecucion[[#This Row],[operacion]]="","0010",tblEjecucion[[#This Row],[operacion]]))</f>
        <v/>
      </c>
    </row>
    <row r="606">
      <c r="A606" s="3" t="n"/>
      <c r="B606" s="3" t="n"/>
      <c r="C606" s="3" t="n"/>
      <c r="D606" s="3" t="n"/>
      <c r="E606" s="3" t="n"/>
      <c r="F606" s="10" t="n"/>
      <c r="G606" s="10" t="n"/>
      <c r="H606" s="10" t="n"/>
      <c r="I606" s="3" t="n"/>
      <c r="J606" s="3">
        <f>IF(tblEjecucion[[#This Row],[orden]]="","",tblEjecucion[[#This Row],[orden]]&amp;IF(tblEjecucion[[#This Row],[operacion]]="","0010",tblEjecucion[[#This Row],[operacion]]))</f>
        <v/>
      </c>
    </row>
    <row r="607">
      <c r="A607" s="3" t="n"/>
      <c r="B607" s="3" t="n"/>
      <c r="C607" s="3" t="n"/>
      <c r="D607" s="3" t="n"/>
      <c r="E607" s="3" t="n"/>
      <c r="F607" s="10" t="n"/>
      <c r="G607" s="10" t="n"/>
      <c r="H607" s="10" t="n"/>
      <c r="I607" s="3" t="n"/>
      <c r="J607" s="3">
        <f>IF(tblEjecucion[[#This Row],[orden]]="","",tblEjecucion[[#This Row],[orden]]&amp;IF(tblEjecucion[[#This Row],[operacion]]="","0010",tblEjecucion[[#This Row],[operacion]]))</f>
        <v/>
      </c>
    </row>
    <row r="608">
      <c r="A608" s="3" t="n"/>
      <c r="B608" s="3" t="n"/>
      <c r="C608" s="3" t="n"/>
      <c r="D608" s="3" t="n"/>
      <c r="E608" s="3" t="n"/>
      <c r="F608" s="10" t="n"/>
      <c r="G608" s="10" t="n"/>
      <c r="H608" s="10" t="n"/>
      <c r="I608" s="3" t="n"/>
      <c r="J608" s="3">
        <f>IF(tblEjecucion[[#This Row],[orden]]="","",tblEjecucion[[#This Row],[orden]]&amp;IF(tblEjecucion[[#This Row],[operacion]]="","0010",tblEjecucion[[#This Row],[operacion]]))</f>
        <v/>
      </c>
    </row>
    <row r="609">
      <c r="A609" s="3" t="n"/>
      <c r="B609" s="3" t="n"/>
      <c r="C609" s="3" t="n"/>
      <c r="D609" s="3" t="n"/>
      <c r="E609" s="3" t="n"/>
      <c r="F609" s="10" t="n"/>
      <c r="G609" s="10" t="n"/>
      <c r="H609" s="10" t="n"/>
      <c r="I609" s="3" t="n"/>
      <c r="J609" s="3">
        <f>IF(tblEjecucion[[#This Row],[orden]]="","",tblEjecucion[[#This Row],[orden]]&amp;IF(tblEjecucion[[#This Row],[operacion]]="","0010",tblEjecucion[[#This Row],[operacion]]))</f>
        <v/>
      </c>
    </row>
    <row r="610">
      <c r="A610" s="3" t="n"/>
      <c r="B610" s="3" t="n"/>
      <c r="C610" s="3" t="n"/>
      <c r="D610" s="3" t="n"/>
      <c r="E610" s="3" t="n"/>
      <c r="F610" s="10" t="n"/>
      <c r="G610" s="10" t="n"/>
      <c r="H610" s="10" t="n"/>
      <c r="I610" s="3" t="n"/>
      <c r="J610" s="3">
        <f>IF(tblEjecucion[[#This Row],[orden]]="","",tblEjecucion[[#This Row],[orden]]&amp;IF(tblEjecucion[[#This Row],[operacion]]="","0010",tblEjecucion[[#This Row],[operacion]]))</f>
        <v/>
      </c>
    </row>
    <row r="611">
      <c r="A611" s="3" t="n"/>
      <c r="B611" s="3" t="n"/>
      <c r="C611" s="3" t="n"/>
      <c r="D611" s="3" t="n"/>
      <c r="E611" s="3" t="n"/>
      <c r="F611" s="10" t="n"/>
      <c r="G611" s="10" t="n"/>
      <c r="H611" s="10" t="n"/>
      <c r="I611" s="3" t="n"/>
      <c r="J611" s="3">
        <f>IF(tblEjecucion[[#This Row],[orden]]="","",tblEjecucion[[#This Row],[orden]]&amp;IF(tblEjecucion[[#This Row],[operacion]]="","0010",tblEjecucion[[#This Row],[operacion]]))</f>
        <v/>
      </c>
    </row>
    <row r="612">
      <c r="A612" s="3" t="n"/>
      <c r="B612" s="3" t="n"/>
      <c r="C612" s="3" t="n"/>
      <c r="D612" s="3" t="n"/>
      <c r="E612" s="3" t="n"/>
      <c r="F612" s="10" t="n"/>
      <c r="G612" s="10" t="n"/>
      <c r="H612" s="10" t="n"/>
      <c r="I612" s="3" t="n"/>
      <c r="J612" s="3">
        <f>IF(tblEjecucion[[#This Row],[orden]]="","",tblEjecucion[[#This Row],[orden]]&amp;IF(tblEjecucion[[#This Row],[operacion]]="","0010",tblEjecucion[[#This Row],[operacion]]))</f>
        <v/>
      </c>
    </row>
    <row r="613">
      <c r="A613" s="3" t="n"/>
      <c r="B613" s="3" t="n"/>
      <c r="C613" s="3" t="n"/>
      <c r="D613" s="3" t="n"/>
      <c r="E613" s="3" t="n"/>
      <c r="F613" s="10" t="n"/>
      <c r="G613" s="10" t="n"/>
      <c r="H613" s="10" t="n"/>
      <c r="I613" s="3" t="n"/>
      <c r="J613" s="3">
        <f>IF(tblEjecucion[[#This Row],[orden]]="","",tblEjecucion[[#This Row],[orden]]&amp;IF(tblEjecucion[[#This Row],[operacion]]="","0010",tblEjecucion[[#This Row],[operacion]]))</f>
        <v/>
      </c>
    </row>
    <row r="614">
      <c r="A614" s="3" t="n"/>
      <c r="B614" s="3" t="n"/>
      <c r="C614" s="3" t="n"/>
      <c r="D614" s="3" t="n"/>
      <c r="E614" s="3" t="n"/>
      <c r="F614" s="10" t="n"/>
      <c r="G614" s="10" t="n"/>
      <c r="H614" s="10" t="n"/>
      <c r="I614" s="3" t="n"/>
      <c r="J614" s="3">
        <f>IF(tblEjecucion[[#This Row],[orden]]="","",tblEjecucion[[#This Row],[orden]]&amp;IF(tblEjecucion[[#This Row],[operacion]]="","0010",tblEjecucion[[#This Row],[operacion]]))</f>
        <v/>
      </c>
    </row>
    <row r="615">
      <c r="A615" s="3" t="n"/>
      <c r="B615" s="3" t="n"/>
      <c r="C615" s="3" t="n"/>
      <c r="D615" s="3" t="n"/>
      <c r="E615" s="3" t="n"/>
      <c r="F615" s="10" t="n"/>
      <c r="G615" s="10" t="n"/>
      <c r="H615" s="10" t="n"/>
      <c r="I615" s="3" t="n"/>
      <c r="J615" s="3">
        <f>IF(tblEjecucion[[#This Row],[orden]]="","",tblEjecucion[[#This Row],[orden]]&amp;IF(tblEjecucion[[#This Row],[operacion]]="","0010",tblEjecucion[[#This Row],[operacion]]))</f>
        <v/>
      </c>
    </row>
    <row r="616">
      <c r="A616" s="3" t="n"/>
      <c r="B616" s="3" t="n"/>
      <c r="C616" s="3" t="n"/>
      <c r="D616" s="3" t="n"/>
      <c r="E616" s="3" t="n"/>
      <c r="F616" s="10" t="n"/>
      <c r="G616" s="10" t="n"/>
      <c r="H616" s="10" t="n"/>
      <c r="I616" s="3" t="n"/>
      <c r="J616" s="3">
        <f>IF(tblEjecucion[[#This Row],[orden]]="","",tblEjecucion[[#This Row],[orden]]&amp;IF(tblEjecucion[[#This Row],[operacion]]="","0010",tblEjecucion[[#This Row],[operacion]]))</f>
        <v/>
      </c>
    </row>
    <row r="617">
      <c r="A617" s="3" t="n"/>
      <c r="B617" s="3" t="n"/>
      <c r="C617" s="3" t="n"/>
      <c r="D617" s="3" t="n"/>
      <c r="E617" s="3" t="n"/>
      <c r="F617" s="10" t="n"/>
      <c r="G617" s="10" t="n"/>
      <c r="H617" s="10" t="n"/>
      <c r="I617" s="3" t="n"/>
      <c r="J617" s="3">
        <f>IF(tblEjecucion[[#This Row],[orden]]="","",tblEjecucion[[#This Row],[orden]]&amp;IF(tblEjecucion[[#This Row],[operacion]]="","0010",tblEjecucion[[#This Row],[operacion]]))</f>
        <v/>
      </c>
    </row>
    <row r="618">
      <c r="A618" s="3" t="n"/>
      <c r="B618" s="3" t="n"/>
      <c r="C618" s="3" t="n"/>
      <c r="D618" s="3" t="n"/>
      <c r="E618" s="3" t="n"/>
      <c r="F618" s="10" t="n"/>
      <c r="G618" s="10" t="n"/>
      <c r="H618" s="10" t="n"/>
      <c r="I618" s="3" t="n"/>
      <c r="J618" s="3">
        <f>IF(tblEjecucion[[#This Row],[orden]]="","",tblEjecucion[[#This Row],[orden]]&amp;IF(tblEjecucion[[#This Row],[operacion]]="","0010",tblEjecucion[[#This Row],[operacion]]))</f>
        <v/>
      </c>
    </row>
    <row r="619">
      <c r="A619" s="3" t="n"/>
      <c r="B619" s="3" t="n"/>
      <c r="C619" s="3" t="n"/>
      <c r="D619" s="3" t="n"/>
      <c r="E619" s="3" t="n"/>
      <c r="F619" s="10" t="n"/>
      <c r="G619" s="10" t="n"/>
      <c r="H619" s="10" t="n"/>
      <c r="I619" s="3" t="n"/>
      <c r="J619" s="3">
        <f>IF(tblEjecucion[[#This Row],[orden]]="","",tblEjecucion[[#This Row],[orden]]&amp;IF(tblEjecucion[[#This Row],[operacion]]="","0010",tblEjecucion[[#This Row],[operacion]]))</f>
        <v/>
      </c>
    </row>
    <row r="620">
      <c r="A620" s="3" t="n"/>
      <c r="B620" s="3" t="n"/>
      <c r="C620" s="3" t="n"/>
      <c r="D620" s="3" t="n"/>
      <c r="E620" s="3" t="n"/>
      <c r="F620" s="10" t="n"/>
      <c r="G620" s="10" t="n"/>
      <c r="H620" s="10" t="n"/>
      <c r="I620" s="3" t="n"/>
      <c r="J620" s="3">
        <f>IF(tblEjecucion[[#This Row],[orden]]="","",tblEjecucion[[#This Row],[orden]]&amp;IF(tblEjecucion[[#This Row],[operacion]]="","0010",tblEjecucion[[#This Row],[operacion]]))</f>
        <v/>
      </c>
    </row>
    <row r="621">
      <c r="A621" s="3" t="n"/>
      <c r="B621" s="3" t="n"/>
      <c r="C621" s="3" t="n"/>
      <c r="D621" s="3" t="n"/>
      <c r="E621" s="3" t="n"/>
      <c r="F621" s="10" t="n"/>
      <c r="G621" s="10" t="n"/>
      <c r="H621" s="10" t="n"/>
      <c r="I621" s="3" t="n"/>
      <c r="J621" s="3">
        <f>IF(tblEjecucion[[#This Row],[orden]]="","",tblEjecucion[[#This Row],[orden]]&amp;IF(tblEjecucion[[#This Row],[operacion]]="","0010",tblEjecucion[[#This Row],[operacion]]))</f>
        <v/>
      </c>
    </row>
    <row r="622">
      <c r="A622" s="3" t="n"/>
      <c r="B622" s="3" t="n"/>
      <c r="C622" s="3" t="n"/>
      <c r="D622" s="3" t="n"/>
      <c r="E622" s="3" t="n"/>
      <c r="F622" s="10" t="n"/>
      <c r="G622" s="10" t="n"/>
      <c r="H622" s="10" t="n"/>
      <c r="I622" s="3" t="n"/>
      <c r="J622" s="3">
        <f>IF(tblEjecucion[[#This Row],[orden]]="","",tblEjecucion[[#This Row],[orden]]&amp;IF(tblEjecucion[[#This Row],[operacion]]="","0010",tblEjecucion[[#This Row],[operacion]]))</f>
        <v/>
      </c>
    </row>
    <row r="623">
      <c r="A623" s="3" t="n"/>
      <c r="B623" s="3" t="n"/>
      <c r="C623" s="3" t="n"/>
      <c r="D623" s="3" t="n"/>
      <c r="E623" s="3" t="n"/>
      <c r="F623" s="10" t="n"/>
      <c r="G623" s="10" t="n"/>
      <c r="H623" s="10" t="n"/>
      <c r="I623" s="3" t="n"/>
      <c r="J623" s="3">
        <f>IF(tblEjecucion[[#This Row],[orden]]="","",tblEjecucion[[#This Row],[orden]]&amp;IF(tblEjecucion[[#This Row],[operacion]]="","0010",tblEjecucion[[#This Row],[operacion]]))</f>
        <v/>
      </c>
    </row>
    <row r="624">
      <c r="A624" s="3" t="n"/>
      <c r="B624" s="3" t="n"/>
      <c r="C624" s="3" t="n"/>
      <c r="D624" s="3" t="n"/>
      <c r="E624" s="3" t="n"/>
      <c r="F624" s="10" t="n"/>
      <c r="G624" s="10" t="n"/>
      <c r="H624" s="10" t="n"/>
      <c r="I624" s="3" t="n"/>
      <c r="J624" s="3">
        <f>IF(tblEjecucion[[#This Row],[orden]]="","",tblEjecucion[[#This Row],[orden]]&amp;IF(tblEjecucion[[#This Row],[operacion]]="","0010",tblEjecucion[[#This Row],[operacion]]))</f>
        <v/>
      </c>
    </row>
    <row r="625">
      <c r="A625" s="3" t="n"/>
      <c r="B625" s="3" t="n"/>
      <c r="C625" s="3" t="n"/>
      <c r="D625" s="3" t="n"/>
      <c r="E625" s="3" t="n"/>
      <c r="F625" s="10" t="n"/>
      <c r="G625" s="10" t="n"/>
      <c r="H625" s="10" t="n"/>
      <c r="I625" s="3" t="n"/>
      <c r="J625" s="3">
        <f>IF(tblEjecucion[[#This Row],[orden]]="","",tblEjecucion[[#This Row],[orden]]&amp;IF(tblEjecucion[[#This Row],[operacion]]="","0010",tblEjecucion[[#This Row],[operacion]]))</f>
        <v/>
      </c>
    </row>
    <row r="626">
      <c r="A626" s="3" t="n"/>
      <c r="B626" s="3" t="n"/>
      <c r="C626" s="3" t="n"/>
      <c r="D626" s="3" t="n"/>
      <c r="E626" s="3" t="n"/>
      <c r="F626" s="10" t="n"/>
      <c r="G626" s="10" t="n"/>
      <c r="H626" s="10" t="n"/>
      <c r="I626" s="3" t="n"/>
      <c r="J626" s="3">
        <f>IF(tblEjecucion[[#This Row],[orden]]="","",tblEjecucion[[#This Row],[orden]]&amp;IF(tblEjecucion[[#This Row],[operacion]]="","0010",tblEjecucion[[#This Row],[operacion]]))</f>
        <v/>
      </c>
    </row>
    <row r="627">
      <c r="A627" s="3" t="n"/>
      <c r="B627" s="3" t="n"/>
      <c r="C627" s="3" t="n"/>
      <c r="D627" s="3" t="n"/>
      <c r="E627" s="3" t="n"/>
      <c r="F627" s="10" t="n"/>
      <c r="G627" s="10" t="n"/>
      <c r="H627" s="10" t="n"/>
      <c r="I627" s="3" t="n"/>
      <c r="J627" s="3">
        <f>IF(tblEjecucion[[#This Row],[orden]]="","",tblEjecucion[[#This Row],[orden]]&amp;IF(tblEjecucion[[#This Row],[operacion]]="","0010",tblEjecucion[[#This Row],[operacion]]))</f>
        <v/>
      </c>
    </row>
    <row r="628">
      <c r="A628" s="3" t="n"/>
      <c r="B628" s="3" t="n"/>
      <c r="C628" s="3" t="n"/>
      <c r="D628" s="3" t="n"/>
      <c r="E628" s="3" t="n"/>
      <c r="F628" s="10" t="n"/>
      <c r="G628" s="10" t="n"/>
      <c r="H628" s="10" t="n"/>
      <c r="I628" s="3" t="n"/>
      <c r="J628" s="3">
        <f>IF(tblEjecucion[[#This Row],[orden]]="","",tblEjecucion[[#This Row],[orden]]&amp;IF(tblEjecucion[[#This Row],[operacion]]="","0010",tblEjecucion[[#This Row],[operacion]]))</f>
        <v/>
      </c>
    </row>
    <row r="629">
      <c r="A629" s="3" t="n"/>
      <c r="B629" s="3" t="n"/>
      <c r="C629" s="3" t="n"/>
      <c r="D629" s="3" t="n"/>
      <c r="E629" s="3" t="n"/>
      <c r="F629" s="10" t="n"/>
      <c r="G629" s="10" t="n"/>
      <c r="H629" s="10" t="n"/>
      <c r="I629" s="3" t="n"/>
      <c r="J629" s="3">
        <f>IF(tblEjecucion[[#This Row],[orden]]="","",tblEjecucion[[#This Row],[orden]]&amp;IF(tblEjecucion[[#This Row],[operacion]]="","0010",tblEjecucion[[#This Row],[operacion]]))</f>
        <v/>
      </c>
    </row>
    <row r="630">
      <c r="A630" s="3" t="n"/>
      <c r="B630" s="3" t="n"/>
      <c r="C630" s="3" t="n"/>
      <c r="D630" s="3" t="n"/>
      <c r="E630" s="3" t="n"/>
      <c r="F630" s="10" t="n"/>
      <c r="G630" s="10" t="n"/>
      <c r="H630" s="10" t="n"/>
      <c r="I630" s="3" t="n"/>
      <c r="J630" s="3">
        <f>IF(tblEjecucion[[#This Row],[orden]]="","",tblEjecucion[[#This Row],[orden]]&amp;IF(tblEjecucion[[#This Row],[operacion]]="","0010",tblEjecucion[[#This Row],[operacion]]))</f>
        <v/>
      </c>
    </row>
    <row r="631">
      <c r="A631" s="3" t="n"/>
      <c r="B631" s="3" t="n"/>
      <c r="C631" s="3" t="n"/>
      <c r="D631" s="3" t="n"/>
      <c r="E631" s="3" t="n"/>
      <c r="F631" s="10" t="n"/>
      <c r="G631" s="10" t="n"/>
      <c r="H631" s="10" t="n"/>
      <c r="I631" s="3" t="n"/>
      <c r="J631" s="3">
        <f>IF(tblEjecucion[[#This Row],[orden]]="","",tblEjecucion[[#This Row],[orden]]&amp;IF(tblEjecucion[[#This Row],[operacion]]="","0010",tblEjecucion[[#This Row],[operacion]]))</f>
        <v/>
      </c>
    </row>
    <row r="632">
      <c r="A632" s="3" t="n"/>
      <c r="B632" s="3" t="n"/>
      <c r="C632" s="3" t="n"/>
      <c r="D632" s="3" t="n"/>
      <c r="E632" s="3" t="n"/>
      <c r="F632" s="10" t="n"/>
      <c r="G632" s="10" t="n"/>
      <c r="H632" s="10" t="n"/>
      <c r="I632" s="3" t="n"/>
      <c r="J632" s="3">
        <f>IF(tblEjecucion[[#This Row],[orden]]="","",tblEjecucion[[#This Row],[orden]]&amp;IF(tblEjecucion[[#This Row],[operacion]]="","0010",tblEjecucion[[#This Row],[operacion]]))</f>
        <v/>
      </c>
    </row>
    <row r="633">
      <c r="A633" s="3" t="n"/>
      <c r="B633" s="3" t="n"/>
      <c r="C633" s="3" t="n"/>
      <c r="D633" s="3" t="n"/>
      <c r="E633" s="3" t="n"/>
      <c r="F633" s="10" t="n"/>
      <c r="G633" s="10" t="n"/>
      <c r="H633" s="10" t="n"/>
      <c r="I633" s="3" t="n"/>
      <c r="J633" s="3">
        <f>IF(tblEjecucion[[#This Row],[orden]]="","",tblEjecucion[[#This Row],[orden]]&amp;IF(tblEjecucion[[#This Row],[operacion]]="","0010",tblEjecucion[[#This Row],[operacion]]))</f>
        <v/>
      </c>
    </row>
    <row r="634">
      <c r="A634" s="3" t="n"/>
      <c r="B634" s="3" t="n"/>
      <c r="C634" s="3" t="n"/>
      <c r="D634" s="3" t="n"/>
      <c r="E634" s="3" t="n"/>
      <c r="F634" s="10" t="n"/>
      <c r="G634" s="10" t="n"/>
      <c r="H634" s="10" t="n"/>
      <c r="I634" s="3" t="n"/>
      <c r="J634" s="3">
        <f>IF(tblEjecucion[[#This Row],[orden]]="","",tblEjecucion[[#This Row],[orden]]&amp;IF(tblEjecucion[[#This Row],[operacion]]="","0010",tblEjecucion[[#This Row],[operacion]]))</f>
        <v/>
      </c>
    </row>
    <row r="635">
      <c r="A635" s="3" t="n"/>
      <c r="B635" s="3" t="n"/>
      <c r="C635" s="3" t="n"/>
      <c r="D635" s="3" t="n"/>
      <c r="E635" s="3" t="n"/>
      <c r="F635" s="10" t="n"/>
      <c r="G635" s="10" t="n"/>
      <c r="H635" s="10" t="n"/>
      <c r="I635" s="3" t="n"/>
      <c r="J635" s="3">
        <f>IF(tblEjecucion[[#This Row],[orden]]="","",tblEjecucion[[#This Row],[orden]]&amp;IF(tblEjecucion[[#This Row],[operacion]]="","0010",tblEjecucion[[#This Row],[operacion]]))</f>
        <v/>
      </c>
    </row>
    <row r="636">
      <c r="A636" s="3" t="n"/>
      <c r="B636" s="3" t="n"/>
      <c r="C636" s="3" t="n"/>
      <c r="D636" s="3" t="n"/>
      <c r="E636" s="3" t="n"/>
      <c r="F636" s="10" t="n"/>
      <c r="G636" s="10" t="n"/>
      <c r="H636" s="10" t="n"/>
      <c r="I636" s="3" t="n"/>
      <c r="J636" s="3">
        <f>IF(tblEjecucion[[#This Row],[orden]]="","",tblEjecucion[[#This Row],[orden]]&amp;IF(tblEjecucion[[#This Row],[operacion]]="","0010",tblEjecucion[[#This Row],[operacion]]))</f>
        <v/>
      </c>
    </row>
    <row r="637">
      <c r="A637" s="3" t="n"/>
      <c r="B637" s="3" t="n"/>
      <c r="C637" s="3" t="n"/>
      <c r="D637" s="3" t="n"/>
      <c r="E637" s="3" t="n"/>
      <c r="F637" s="10" t="n"/>
      <c r="G637" s="10" t="n"/>
      <c r="H637" s="10" t="n"/>
      <c r="I637" s="3" t="n"/>
      <c r="J637" s="3">
        <f>IF(tblEjecucion[[#This Row],[orden]]="","",tblEjecucion[[#This Row],[orden]]&amp;IF(tblEjecucion[[#This Row],[operacion]]="","0010",tblEjecucion[[#This Row],[operacion]]))</f>
        <v/>
      </c>
    </row>
    <row r="638">
      <c r="A638" s="3" t="n"/>
      <c r="B638" s="3" t="n"/>
      <c r="C638" s="3" t="n"/>
      <c r="D638" s="3" t="n"/>
      <c r="E638" s="3" t="n"/>
      <c r="F638" s="10" t="n"/>
      <c r="G638" s="10" t="n"/>
      <c r="H638" s="10" t="n"/>
      <c r="I638" s="3" t="n"/>
      <c r="J638" s="3">
        <f>IF(tblEjecucion[[#This Row],[orden]]="","",tblEjecucion[[#This Row],[orden]]&amp;IF(tblEjecucion[[#This Row],[operacion]]="","0010",tblEjecucion[[#This Row],[operacion]]))</f>
        <v/>
      </c>
    </row>
    <row r="639">
      <c r="A639" s="3" t="n"/>
      <c r="B639" s="3" t="n"/>
      <c r="C639" s="3" t="n"/>
      <c r="D639" s="3" t="n"/>
      <c r="E639" s="3" t="n"/>
      <c r="F639" s="10" t="n"/>
      <c r="G639" s="10" t="n"/>
      <c r="H639" s="10" t="n"/>
      <c r="I639" s="3" t="n"/>
      <c r="J639" s="3">
        <f>IF(tblEjecucion[[#This Row],[orden]]="","",tblEjecucion[[#This Row],[orden]]&amp;IF(tblEjecucion[[#This Row],[operacion]]="","0010",tblEjecucion[[#This Row],[operacion]]))</f>
        <v/>
      </c>
    </row>
    <row r="640">
      <c r="A640" s="3" t="n"/>
      <c r="B640" s="3" t="n"/>
      <c r="C640" s="3" t="n"/>
      <c r="D640" s="3" t="n"/>
      <c r="E640" s="3" t="n"/>
      <c r="F640" s="10" t="n"/>
      <c r="G640" s="10" t="n"/>
      <c r="H640" s="10" t="n"/>
      <c r="I640" s="3" t="n"/>
      <c r="J640" s="3">
        <f>IF(tblEjecucion[[#This Row],[orden]]="","",tblEjecucion[[#This Row],[orden]]&amp;IF(tblEjecucion[[#This Row],[operacion]]="","0010",tblEjecucion[[#This Row],[operacion]]))</f>
        <v/>
      </c>
    </row>
    <row r="641">
      <c r="A641" s="3" t="n"/>
      <c r="B641" s="3" t="n"/>
      <c r="C641" s="3" t="n"/>
      <c r="D641" s="3" t="n"/>
      <c r="E641" s="3" t="n"/>
      <c r="F641" s="10" t="n"/>
      <c r="G641" s="10" t="n"/>
      <c r="H641" s="10" t="n"/>
      <c r="I641" s="3" t="n"/>
      <c r="J641" s="3">
        <f>IF(tblEjecucion[[#This Row],[orden]]="","",tblEjecucion[[#This Row],[orden]]&amp;IF(tblEjecucion[[#This Row],[operacion]]="","0010",tblEjecucion[[#This Row],[operacion]]))</f>
        <v/>
      </c>
    </row>
    <row r="642">
      <c r="A642" s="3" t="n"/>
      <c r="B642" s="3" t="n"/>
      <c r="C642" s="3" t="n"/>
      <c r="D642" s="3" t="n"/>
      <c r="E642" s="3" t="n"/>
      <c r="F642" s="10" t="n"/>
      <c r="G642" s="10" t="n"/>
      <c r="H642" s="10" t="n"/>
      <c r="I642" s="3" t="n"/>
      <c r="J642" s="3">
        <f>IF(tblEjecucion[[#This Row],[orden]]="","",tblEjecucion[[#This Row],[orden]]&amp;IF(tblEjecucion[[#This Row],[operacion]]="","0010",tblEjecucion[[#This Row],[operacion]]))</f>
        <v/>
      </c>
    </row>
    <row r="643">
      <c r="A643" s="3" t="n"/>
      <c r="B643" s="3" t="n"/>
      <c r="C643" s="3" t="n"/>
      <c r="D643" s="3" t="n"/>
      <c r="E643" s="3" t="n"/>
      <c r="F643" s="10" t="n"/>
      <c r="G643" s="10" t="n"/>
      <c r="H643" s="10" t="n"/>
      <c r="I643" s="3" t="n"/>
      <c r="J643" s="3">
        <f>IF(tblEjecucion[[#This Row],[orden]]="","",tblEjecucion[[#This Row],[orden]]&amp;IF(tblEjecucion[[#This Row],[operacion]]="","0010",tblEjecucion[[#This Row],[operacion]]))</f>
        <v/>
      </c>
    </row>
    <row r="644">
      <c r="A644" s="3" t="n"/>
      <c r="B644" s="3" t="n"/>
      <c r="C644" s="3" t="n"/>
      <c r="D644" s="3" t="n"/>
      <c r="E644" s="3" t="n"/>
      <c r="F644" s="10" t="n"/>
      <c r="G644" s="10" t="n"/>
      <c r="H644" s="10" t="n"/>
      <c r="I644" s="3" t="n"/>
      <c r="J644" s="3">
        <f>IF(tblEjecucion[[#This Row],[orden]]="","",tblEjecucion[[#This Row],[orden]]&amp;IF(tblEjecucion[[#This Row],[operacion]]="","0010",tblEjecucion[[#This Row],[operacion]]))</f>
        <v/>
      </c>
    </row>
    <row r="645">
      <c r="A645" s="3" t="n"/>
      <c r="B645" s="3" t="n"/>
      <c r="C645" s="3" t="n"/>
      <c r="D645" s="3" t="n"/>
      <c r="E645" s="3" t="n"/>
      <c r="F645" s="10" t="n"/>
      <c r="G645" s="10" t="n"/>
      <c r="H645" s="10" t="n"/>
      <c r="I645" s="3" t="n"/>
      <c r="J645" s="3">
        <f>IF(tblEjecucion[[#This Row],[orden]]="","",tblEjecucion[[#This Row],[orden]]&amp;IF(tblEjecucion[[#This Row],[operacion]]="","0010",tblEjecucion[[#This Row],[operacion]]))</f>
        <v/>
      </c>
    </row>
    <row r="646">
      <c r="A646" s="3" t="n"/>
      <c r="B646" s="3" t="n"/>
      <c r="C646" s="3" t="n"/>
      <c r="D646" s="3" t="n"/>
      <c r="E646" s="3" t="n"/>
      <c r="F646" s="10" t="n"/>
      <c r="G646" s="10" t="n"/>
      <c r="H646" s="10" t="n"/>
      <c r="I646" s="3" t="n"/>
      <c r="J646" s="3">
        <f>IF(tblEjecucion[[#This Row],[orden]]="","",tblEjecucion[[#This Row],[orden]]&amp;IF(tblEjecucion[[#This Row],[operacion]]="","0010",tblEjecucion[[#This Row],[operacion]]))</f>
        <v/>
      </c>
    </row>
    <row r="647">
      <c r="A647" s="3" t="n"/>
      <c r="B647" s="3" t="n"/>
      <c r="C647" s="3" t="n"/>
      <c r="D647" s="3" t="n"/>
      <c r="E647" s="3" t="n"/>
      <c r="F647" s="10" t="n"/>
      <c r="G647" s="10" t="n"/>
      <c r="H647" s="10" t="n"/>
      <c r="I647" s="3" t="n"/>
      <c r="J647" s="3">
        <f>IF(tblEjecucion[[#This Row],[orden]]="","",tblEjecucion[[#This Row],[orden]]&amp;IF(tblEjecucion[[#This Row],[operacion]]="","0010",tblEjecucion[[#This Row],[operacion]]))</f>
        <v/>
      </c>
    </row>
    <row r="648">
      <c r="A648" s="3" t="n"/>
      <c r="B648" s="3" t="n"/>
      <c r="C648" s="3" t="n"/>
      <c r="D648" s="3" t="n"/>
      <c r="E648" s="3" t="n"/>
      <c r="F648" s="10" t="n"/>
      <c r="G648" s="10" t="n"/>
      <c r="H648" s="10" t="n"/>
      <c r="I648" s="3" t="n"/>
      <c r="J648" s="3">
        <f>IF(tblEjecucion[[#This Row],[orden]]="","",tblEjecucion[[#This Row],[orden]]&amp;IF(tblEjecucion[[#This Row],[operacion]]="","0010",tblEjecucion[[#This Row],[operacion]]))</f>
        <v/>
      </c>
    </row>
    <row r="649">
      <c r="A649" s="3" t="n"/>
      <c r="B649" s="3" t="n"/>
      <c r="C649" s="3" t="n"/>
      <c r="D649" s="3" t="n"/>
      <c r="E649" s="3" t="n"/>
      <c r="F649" s="10" t="n"/>
      <c r="G649" s="10" t="n"/>
      <c r="H649" s="10" t="n"/>
      <c r="I649" s="3" t="n"/>
      <c r="J649" s="3">
        <f>IF(tblEjecucion[[#This Row],[orden]]="","",tblEjecucion[[#This Row],[orden]]&amp;IF(tblEjecucion[[#This Row],[operacion]]="","0010",tblEjecucion[[#This Row],[operacion]]))</f>
        <v/>
      </c>
    </row>
    <row r="650">
      <c r="A650" s="3" t="n"/>
      <c r="B650" s="3" t="n"/>
      <c r="C650" s="3" t="n"/>
      <c r="D650" s="3" t="n"/>
      <c r="E650" s="3" t="n"/>
      <c r="F650" s="10" t="n"/>
      <c r="G650" s="10" t="n"/>
      <c r="H650" s="10" t="n"/>
      <c r="I650" s="3" t="n"/>
      <c r="J650" s="3">
        <f>IF(tblEjecucion[[#This Row],[orden]]="","",tblEjecucion[[#This Row],[orden]]&amp;IF(tblEjecucion[[#This Row],[operacion]]="","0010",tblEjecucion[[#This Row],[operacion]]))</f>
        <v/>
      </c>
    </row>
    <row r="651">
      <c r="A651" s="3" t="n"/>
      <c r="B651" s="3" t="n"/>
      <c r="C651" s="3" t="n"/>
      <c r="D651" s="3" t="n"/>
      <c r="E651" s="3" t="n"/>
      <c r="F651" s="10" t="n"/>
      <c r="G651" s="10" t="n"/>
      <c r="H651" s="10" t="n"/>
      <c r="I651" s="3" t="n"/>
      <c r="J651" s="3">
        <f>IF(tblEjecucion[[#This Row],[orden]]="","",tblEjecucion[[#This Row],[orden]]&amp;IF(tblEjecucion[[#This Row],[operacion]]="","0010",tblEjecucion[[#This Row],[operacion]]))</f>
        <v/>
      </c>
    </row>
    <row r="652">
      <c r="A652" s="3" t="n"/>
      <c r="B652" s="3" t="n"/>
      <c r="C652" s="3" t="n"/>
      <c r="D652" s="3" t="n"/>
      <c r="E652" s="3" t="n"/>
      <c r="F652" s="10" t="n"/>
      <c r="G652" s="10" t="n"/>
      <c r="H652" s="10" t="n"/>
      <c r="I652" s="3" t="n"/>
      <c r="J652" s="3">
        <f>IF(tblEjecucion[[#This Row],[orden]]="","",tblEjecucion[[#This Row],[orden]]&amp;IF(tblEjecucion[[#This Row],[operacion]]="","0010",tblEjecucion[[#This Row],[operacion]]))</f>
        <v/>
      </c>
    </row>
    <row r="653">
      <c r="A653" s="3" t="n"/>
      <c r="B653" s="3" t="n"/>
      <c r="C653" s="3" t="n"/>
      <c r="D653" s="3" t="n"/>
      <c r="E653" s="3" t="n"/>
      <c r="F653" s="10" t="n"/>
      <c r="G653" s="10" t="n"/>
      <c r="H653" s="10" t="n"/>
      <c r="I653" s="3" t="n"/>
      <c r="J653" s="3">
        <f>IF(tblEjecucion[[#This Row],[orden]]="","",tblEjecucion[[#This Row],[orden]]&amp;IF(tblEjecucion[[#This Row],[operacion]]="","0010",tblEjecucion[[#This Row],[operacion]]))</f>
        <v/>
      </c>
    </row>
    <row r="654">
      <c r="A654" s="3" t="n"/>
      <c r="B654" s="3" t="n"/>
      <c r="C654" s="3" t="n"/>
      <c r="D654" s="3" t="n"/>
      <c r="E654" s="3" t="n"/>
      <c r="F654" s="10" t="n"/>
      <c r="G654" s="10" t="n"/>
      <c r="H654" s="10" t="n"/>
      <c r="I654" s="3" t="n"/>
      <c r="J654" s="3">
        <f>IF(tblEjecucion[[#This Row],[orden]]="","",tblEjecucion[[#This Row],[orden]]&amp;IF(tblEjecucion[[#This Row],[operacion]]="","0010",tblEjecucion[[#This Row],[operacion]]))</f>
        <v/>
      </c>
    </row>
    <row r="655">
      <c r="A655" s="3" t="n"/>
      <c r="B655" s="3" t="n"/>
      <c r="C655" s="3" t="n"/>
      <c r="D655" s="3" t="n"/>
      <c r="E655" s="3" t="n"/>
      <c r="F655" s="10" t="n"/>
      <c r="G655" s="10" t="n"/>
      <c r="H655" s="10" t="n"/>
      <c r="I655" s="3" t="n"/>
      <c r="J655" s="3">
        <f>IF(tblEjecucion[[#This Row],[orden]]="","",tblEjecucion[[#This Row],[orden]]&amp;IF(tblEjecucion[[#This Row],[operacion]]="","0010",tblEjecucion[[#This Row],[operacion]]))</f>
        <v/>
      </c>
    </row>
    <row r="656">
      <c r="A656" s="3" t="n"/>
      <c r="B656" s="3" t="n"/>
      <c r="C656" s="3" t="n"/>
      <c r="D656" s="3" t="n"/>
      <c r="E656" s="3" t="n"/>
      <c r="F656" s="10" t="n"/>
      <c r="G656" s="10" t="n"/>
      <c r="H656" s="10" t="n"/>
      <c r="I656" s="3" t="n"/>
      <c r="J656" s="3">
        <f>IF(tblEjecucion[[#This Row],[orden]]="","",tblEjecucion[[#This Row],[orden]]&amp;IF(tblEjecucion[[#This Row],[operacion]]="","0010",tblEjecucion[[#This Row],[operacion]]))</f>
        <v/>
      </c>
    </row>
    <row r="657">
      <c r="A657" s="3" t="n"/>
      <c r="B657" s="3" t="n"/>
      <c r="C657" s="3" t="n"/>
      <c r="D657" s="3" t="n"/>
      <c r="E657" s="3" t="n"/>
      <c r="F657" s="10" t="n"/>
      <c r="G657" s="10" t="n"/>
      <c r="H657" s="10" t="n"/>
      <c r="I657" s="3" t="n"/>
      <c r="J657" s="3">
        <f>IF(tblEjecucion[[#This Row],[orden]]="","",tblEjecucion[[#This Row],[orden]]&amp;IF(tblEjecucion[[#This Row],[operacion]]="","0010",tblEjecucion[[#This Row],[operacion]]))</f>
        <v/>
      </c>
    </row>
    <row r="658">
      <c r="A658" s="3" t="n"/>
      <c r="B658" s="3" t="n"/>
      <c r="C658" s="3" t="n"/>
      <c r="D658" s="3" t="n"/>
      <c r="E658" s="3" t="n"/>
      <c r="F658" s="10" t="n"/>
      <c r="G658" s="10" t="n"/>
      <c r="H658" s="10" t="n"/>
      <c r="I658" s="3" t="n"/>
      <c r="J658" s="3">
        <f>IF(tblEjecucion[[#This Row],[orden]]="","",tblEjecucion[[#This Row],[orden]]&amp;IF(tblEjecucion[[#This Row],[operacion]]="","0010",tblEjecucion[[#This Row],[operacion]]))</f>
        <v/>
      </c>
    </row>
    <row r="659">
      <c r="A659" s="3" t="n"/>
      <c r="B659" s="3" t="n"/>
      <c r="C659" s="3" t="n"/>
      <c r="D659" s="3" t="n"/>
      <c r="E659" s="3" t="n"/>
      <c r="F659" s="10" t="n"/>
      <c r="G659" s="10" t="n"/>
      <c r="H659" s="10" t="n"/>
      <c r="I659" s="3" t="n"/>
      <c r="J659" s="3">
        <f>IF(tblEjecucion[[#This Row],[orden]]="","",tblEjecucion[[#This Row],[orden]]&amp;IF(tblEjecucion[[#This Row],[operacion]]="","0010",tblEjecucion[[#This Row],[operacion]]))</f>
        <v/>
      </c>
    </row>
    <row r="660">
      <c r="A660" s="3" t="n"/>
      <c r="B660" s="3" t="n"/>
      <c r="C660" s="3" t="n"/>
      <c r="D660" s="3" t="n"/>
      <c r="E660" s="3" t="n"/>
      <c r="F660" s="10" t="n"/>
      <c r="G660" s="10" t="n"/>
      <c r="H660" s="10" t="n"/>
      <c r="I660" s="3" t="n"/>
      <c r="J660" s="3">
        <f>IF(tblEjecucion[[#This Row],[orden]]="","",tblEjecucion[[#This Row],[orden]]&amp;IF(tblEjecucion[[#This Row],[operacion]]="","0010",tblEjecucion[[#This Row],[operacion]]))</f>
        <v/>
      </c>
    </row>
    <row r="661">
      <c r="A661" s="3" t="n"/>
      <c r="B661" s="3" t="n"/>
      <c r="C661" s="3" t="n"/>
      <c r="D661" s="3" t="n"/>
      <c r="E661" s="3" t="n"/>
      <c r="F661" s="10" t="n"/>
      <c r="G661" s="10" t="n"/>
      <c r="H661" s="10" t="n"/>
      <c r="I661" s="3" t="n"/>
      <c r="J661" s="3">
        <f>IF(tblEjecucion[[#This Row],[orden]]="","",tblEjecucion[[#This Row],[orden]]&amp;IF(tblEjecucion[[#This Row],[operacion]]="","0010",tblEjecucion[[#This Row],[operacion]]))</f>
        <v/>
      </c>
    </row>
    <row r="662">
      <c r="A662" s="3" t="n"/>
      <c r="B662" s="3" t="n"/>
      <c r="C662" s="3" t="n"/>
      <c r="D662" s="3" t="n"/>
      <c r="E662" s="3" t="n"/>
      <c r="F662" s="10" t="n"/>
      <c r="G662" s="10" t="n"/>
      <c r="H662" s="10" t="n"/>
      <c r="I662" s="3" t="n"/>
      <c r="J662" s="3">
        <f>IF(tblEjecucion[[#This Row],[orden]]="","",tblEjecucion[[#This Row],[orden]]&amp;IF(tblEjecucion[[#This Row],[operacion]]="","0010",tblEjecucion[[#This Row],[operacion]]))</f>
        <v/>
      </c>
    </row>
    <row r="663">
      <c r="A663" s="3" t="n"/>
      <c r="B663" s="3" t="n"/>
      <c r="C663" s="3" t="n"/>
      <c r="D663" s="3" t="n"/>
      <c r="E663" s="3" t="n"/>
      <c r="F663" s="10" t="n"/>
      <c r="G663" s="10" t="n"/>
      <c r="H663" s="10" t="n"/>
      <c r="I663" s="3" t="n"/>
      <c r="J663" s="3">
        <f>IF(tblEjecucion[[#This Row],[orden]]="","",tblEjecucion[[#This Row],[orden]]&amp;IF(tblEjecucion[[#This Row],[operacion]]="","0010",tblEjecucion[[#This Row],[operacion]]))</f>
        <v/>
      </c>
    </row>
    <row r="664">
      <c r="A664" s="3" t="n"/>
      <c r="B664" s="3" t="n"/>
      <c r="C664" s="3" t="n"/>
      <c r="D664" s="3" t="n"/>
      <c r="E664" s="3" t="n"/>
      <c r="F664" s="10" t="n"/>
      <c r="G664" s="10" t="n"/>
      <c r="H664" s="10" t="n"/>
      <c r="I664" s="3" t="n"/>
      <c r="J664" s="3">
        <f>IF(tblEjecucion[[#This Row],[orden]]="","",tblEjecucion[[#This Row],[orden]]&amp;IF(tblEjecucion[[#This Row],[operacion]]="","0010",tblEjecucion[[#This Row],[operacion]]))</f>
        <v/>
      </c>
    </row>
    <row r="665">
      <c r="A665" s="3" t="n"/>
      <c r="B665" s="3" t="n"/>
      <c r="C665" s="3" t="n"/>
      <c r="D665" s="3" t="n"/>
      <c r="E665" s="3" t="n"/>
      <c r="F665" s="10" t="n"/>
      <c r="G665" s="10" t="n"/>
      <c r="H665" s="10" t="n"/>
      <c r="I665" s="3" t="n"/>
      <c r="J665" s="3">
        <f>IF(tblEjecucion[[#This Row],[orden]]="","",tblEjecucion[[#This Row],[orden]]&amp;IF(tblEjecucion[[#This Row],[operacion]]="","0010",tblEjecucion[[#This Row],[operacion]]))</f>
        <v/>
      </c>
    </row>
    <row r="666">
      <c r="A666" s="3" t="n"/>
      <c r="B666" s="3" t="n"/>
      <c r="C666" s="3" t="n"/>
      <c r="D666" s="3" t="n"/>
      <c r="E666" s="3" t="n"/>
      <c r="F666" s="10" t="n"/>
      <c r="G666" s="10" t="n"/>
      <c r="H666" s="10" t="n"/>
      <c r="I666" s="3" t="n"/>
      <c r="J666" s="3">
        <f>IF(tblEjecucion[[#This Row],[orden]]="","",tblEjecucion[[#This Row],[orden]]&amp;IF(tblEjecucion[[#This Row],[operacion]]="","0010",tblEjecucion[[#This Row],[operacion]]))</f>
        <v/>
      </c>
    </row>
    <row r="667">
      <c r="A667" s="3" t="n"/>
      <c r="B667" s="3" t="n"/>
      <c r="C667" s="3" t="n"/>
      <c r="D667" s="3" t="n"/>
      <c r="E667" s="3" t="n"/>
      <c r="F667" s="10" t="n"/>
      <c r="G667" s="10" t="n"/>
      <c r="H667" s="10" t="n"/>
      <c r="I667" s="3" t="n"/>
      <c r="J667" s="3">
        <f>IF(tblEjecucion[[#This Row],[orden]]="","",tblEjecucion[[#This Row],[orden]]&amp;IF(tblEjecucion[[#This Row],[operacion]]="","0010",tblEjecucion[[#This Row],[operacion]]))</f>
        <v/>
      </c>
    </row>
    <row r="668">
      <c r="A668" s="3" t="n"/>
      <c r="B668" s="3" t="n"/>
      <c r="C668" s="3" t="n"/>
      <c r="D668" s="3" t="n"/>
      <c r="E668" s="3" t="n"/>
      <c r="F668" s="10" t="n"/>
      <c r="G668" s="10" t="n"/>
      <c r="H668" s="10" t="n"/>
      <c r="I668" s="3" t="n"/>
      <c r="J668" s="3">
        <f>IF(tblEjecucion[[#This Row],[orden]]="","",tblEjecucion[[#This Row],[orden]]&amp;IF(tblEjecucion[[#This Row],[operacion]]="","0010",tblEjecucion[[#This Row],[operacion]]))</f>
        <v/>
      </c>
    </row>
    <row r="669">
      <c r="A669" s="3" t="n"/>
      <c r="B669" s="3" t="n"/>
      <c r="C669" s="3" t="n"/>
      <c r="D669" s="3" t="n"/>
      <c r="E669" s="3" t="n"/>
      <c r="F669" s="10" t="n"/>
      <c r="G669" s="10" t="n"/>
      <c r="H669" s="10" t="n"/>
      <c r="I669" s="3" t="n"/>
      <c r="J669" s="3">
        <f>IF(tblEjecucion[[#This Row],[orden]]="","",tblEjecucion[[#This Row],[orden]]&amp;IF(tblEjecucion[[#This Row],[operacion]]="","0010",tblEjecucion[[#This Row],[operacion]]))</f>
        <v/>
      </c>
    </row>
    <row r="670">
      <c r="A670" s="3" t="n"/>
      <c r="B670" s="3" t="n"/>
      <c r="C670" s="3" t="n"/>
      <c r="D670" s="3" t="n"/>
      <c r="E670" s="3" t="n"/>
      <c r="F670" s="10" t="n"/>
      <c r="G670" s="10" t="n"/>
      <c r="H670" s="10" t="n"/>
      <c r="I670" s="3" t="n"/>
      <c r="J670" s="3">
        <f>IF(tblEjecucion[[#This Row],[orden]]="","",tblEjecucion[[#This Row],[orden]]&amp;IF(tblEjecucion[[#This Row],[operacion]]="","0010",tblEjecucion[[#This Row],[operacion]]))</f>
        <v/>
      </c>
    </row>
    <row r="671">
      <c r="A671" s="3" t="n"/>
      <c r="B671" s="3" t="n"/>
      <c r="C671" s="3" t="n"/>
      <c r="D671" s="3" t="n"/>
      <c r="E671" s="3" t="n"/>
      <c r="F671" s="10" t="n"/>
      <c r="G671" s="10" t="n"/>
      <c r="H671" s="10" t="n"/>
      <c r="I671" s="3" t="n"/>
      <c r="J671" s="3">
        <f>IF(tblEjecucion[[#This Row],[orden]]="","",tblEjecucion[[#This Row],[orden]]&amp;IF(tblEjecucion[[#This Row],[operacion]]="","0010",tblEjecucion[[#This Row],[operacion]]))</f>
        <v/>
      </c>
    </row>
    <row r="672">
      <c r="A672" s="3" t="n"/>
      <c r="B672" s="3" t="n"/>
      <c r="C672" s="3" t="n"/>
      <c r="D672" s="3" t="n"/>
      <c r="E672" s="3" t="n"/>
      <c r="F672" s="10" t="n"/>
      <c r="G672" s="10" t="n"/>
      <c r="H672" s="10" t="n"/>
      <c r="I672" s="3" t="n"/>
      <c r="J672" s="3">
        <f>IF(tblEjecucion[[#This Row],[orden]]="","",tblEjecucion[[#This Row],[orden]]&amp;IF(tblEjecucion[[#This Row],[operacion]]="","0010",tblEjecucion[[#This Row],[operacion]]))</f>
        <v/>
      </c>
    </row>
    <row r="673">
      <c r="A673" s="3" t="n"/>
      <c r="B673" s="3" t="n"/>
      <c r="C673" s="3" t="n"/>
      <c r="D673" s="3" t="n"/>
      <c r="E673" s="3" t="n"/>
      <c r="F673" s="10" t="n"/>
      <c r="G673" s="10" t="n"/>
      <c r="H673" s="10" t="n"/>
      <c r="I673" s="3" t="n"/>
      <c r="J673" s="3">
        <f>IF(tblEjecucion[[#This Row],[orden]]="","",tblEjecucion[[#This Row],[orden]]&amp;IF(tblEjecucion[[#This Row],[operacion]]="","0010",tblEjecucion[[#This Row],[operacion]]))</f>
        <v/>
      </c>
    </row>
    <row r="674">
      <c r="A674" s="3" t="n"/>
      <c r="B674" s="3" t="n"/>
      <c r="C674" s="3" t="n"/>
      <c r="D674" s="3" t="n"/>
      <c r="E674" s="3" t="n"/>
      <c r="F674" s="10" t="n"/>
      <c r="G674" s="10" t="n"/>
      <c r="H674" s="10" t="n"/>
      <c r="I674" s="3" t="n"/>
      <c r="J674" s="3">
        <f>IF(tblEjecucion[[#This Row],[orden]]="","",tblEjecucion[[#This Row],[orden]]&amp;IF(tblEjecucion[[#This Row],[operacion]]="","0010",tblEjecucion[[#This Row],[operacion]]))</f>
        <v/>
      </c>
    </row>
    <row r="675">
      <c r="A675" s="3" t="n"/>
      <c r="B675" s="3" t="n"/>
      <c r="C675" s="3" t="n"/>
      <c r="D675" s="3" t="n"/>
      <c r="E675" s="3" t="n"/>
      <c r="F675" s="10" t="n"/>
      <c r="G675" s="10" t="n"/>
      <c r="H675" s="10" t="n"/>
      <c r="I675" s="3" t="n"/>
      <c r="J675" s="3">
        <f>IF(tblEjecucion[[#This Row],[orden]]="","",tblEjecucion[[#This Row],[orden]]&amp;IF(tblEjecucion[[#This Row],[operacion]]="","0010",tblEjecucion[[#This Row],[operacion]]))</f>
        <v/>
      </c>
    </row>
    <row r="676">
      <c r="A676" s="3" t="n"/>
      <c r="B676" s="3" t="n"/>
      <c r="C676" s="3" t="n"/>
      <c r="D676" s="3" t="n"/>
      <c r="E676" s="3" t="n"/>
      <c r="F676" s="10" t="n"/>
      <c r="G676" s="10" t="n"/>
      <c r="H676" s="10" t="n"/>
      <c r="I676" s="3" t="n"/>
      <c r="J676" s="3">
        <f>IF(tblEjecucion[[#This Row],[orden]]="","",tblEjecucion[[#This Row],[orden]]&amp;IF(tblEjecucion[[#This Row],[operacion]]="","0010",tblEjecucion[[#This Row],[operacion]]))</f>
        <v/>
      </c>
    </row>
    <row r="677">
      <c r="A677" s="3" t="n"/>
      <c r="B677" s="3" t="n"/>
      <c r="C677" s="3" t="n"/>
      <c r="D677" s="3" t="n"/>
      <c r="E677" s="3" t="n"/>
      <c r="F677" s="10" t="n"/>
      <c r="G677" s="10" t="n"/>
      <c r="H677" s="10" t="n"/>
      <c r="I677" s="3" t="n"/>
      <c r="J677" s="3">
        <f>IF(tblEjecucion[[#This Row],[orden]]="","",tblEjecucion[[#This Row],[orden]]&amp;IF(tblEjecucion[[#This Row],[operacion]]="","0010",tblEjecucion[[#This Row],[operacion]]))</f>
        <v/>
      </c>
    </row>
    <row r="678">
      <c r="A678" s="3" t="n"/>
      <c r="B678" s="3" t="n"/>
      <c r="C678" s="3" t="n"/>
      <c r="D678" s="3" t="n"/>
      <c r="E678" s="3" t="n"/>
      <c r="F678" s="10" t="n"/>
      <c r="G678" s="10" t="n"/>
      <c r="H678" s="10" t="n"/>
      <c r="I678" s="3" t="n"/>
      <c r="J678" s="3">
        <f>IF(tblEjecucion[[#This Row],[orden]]="","",tblEjecucion[[#This Row],[orden]]&amp;IF(tblEjecucion[[#This Row],[operacion]]="","0010",tblEjecucion[[#This Row],[operacion]]))</f>
        <v/>
      </c>
    </row>
    <row r="679">
      <c r="A679" s="3" t="n"/>
      <c r="B679" s="3" t="n"/>
      <c r="C679" s="3" t="n"/>
      <c r="D679" s="3" t="n"/>
      <c r="E679" s="3" t="n"/>
      <c r="F679" s="10" t="n"/>
      <c r="G679" s="10" t="n"/>
      <c r="H679" s="10" t="n"/>
      <c r="I679" s="3" t="n"/>
      <c r="J679" s="3">
        <f>IF(tblEjecucion[[#This Row],[orden]]="","",tblEjecucion[[#This Row],[orden]]&amp;IF(tblEjecucion[[#This Row],[operacion]]="","0010",tblEjecucion[[#This Row],[operacion]]))</f>
        <v/>
      </c>
    </row>
    <row r="680">
      <c r="A680" s="3" t="n"/>
      <c r="B680" s="3" t="n"/>
      <c r="C680" s="3" t="n"/>
      <c r="D680" s="3" t="n"/>
      <c r="E680" s="3" t="n"/>
      <c r="F680" s="10" t="n"/>
      <c r="G680" s="10" t="n"/>
      <c r="H680" s="10" t="n"/>
      <c r="I680" s="3" t="n"/>
      <c r="J680" s="3">
        <f>IF(tblEjecucion[[#This Row],[orden]]="","",tblEjecucion[[#This Row],[orden]]&amp;IF(tblEjecucion[[#This Row],[operacion]]="","0010",tblEjecucion[[#This Row],[operacion]]))</f>
        <v/>
      </c>
    </row>
    <row r="681">
      <c r="A681" s="3" t="n"/>
      <c r="B681" s="3" t="n"/>
      <c r="C681" s="3" t="n"/>
      <c r="D681" s="3" t="n"/>
      <c r="E681" s="3" t="n"/>
      <c r="F681" s="10" t="n"/>
      <c r="G681" s="10" t="n"/>
      <c r="H681" s="10" t="n"/>
      <c r="I681" s="3" t="n"/>
      <c r="J681" s="3">
        <f>IF(tblEjecucion[[#This Row],[orden]]="","",tblEjecucion[[#This Row],[orden]]&amp;IF(tblEjecucion[[#This Row],[operacion]]="","0010",tblEjecucion[[#This Row],[operacion]]))</f>
        <v/>
      </c>
    </row>
    <row r="682">
      <c r="A682" s="3" t="n"/>
      <c r="B682" s="3" t="n"/>
      <c r="C682" s="3" t="n"/>
      <c r="D682" s="3" t="n"/>
      <c r="E682" s="3" t="n"/>
      <c r="F682" s="10" t="n"/>
      <c r="G682" s="10" t="n"/>
      <c r="H682" s="10" t="n"/>
      <c r="I682" s="3" t="n"/>
      <c r="J682" s="3">
        <f>IF(tblEjecucion[[#This Row],[orden]]="","",tblEjecucion[[#This Row],[orden]]&amp;IF(tblEjecucion[[#This Row],[operacion]]="","0010",tblEjecucion[[#This Row],[operacion]]))</f>
        <v/>
      </c>
    </row>
    <row r="683">
      <c r="A683" s="3" t="n"/>
      <c r="B683" s="3" t="n"/>
      <c r="C683" s="3" t="n"/>
      <c r="D683" s="3" t="n"/>
      <c r="E683" s="3" t="n"/>
      <c r="F683" s="10" t="n"/>
      <c r="G683" s="10" t="n"/>
      <c r="H683" s="10" t="n"/>
      <c r="I683" s="3" t="n"/>
      <c r="J683" s="3">
        <f>IF(tblEjecucion[[#This Row],[orden]]="","",tblEjecucion[[#This Row],[orden]]&amp;IF(tblEjecucion[[#This Row],[operacion]]="","0010",tblEjecucion[[#This Row],[operacion]]))</f>
        <v/>
      </c>
    </row>
    <row r="684">
      <c r="A684" s="3" t="n"/>
      <c r="B684" s="3" t="n"/>
      <c r="C684" s="3" t="n"/>
      <c r="D684" s="3" t="n"/>
      <c r="E684" s="3" t="n"/>
      <c r="F684" s="10" t="n"/>
      <c r="G684" s="10" t="n"/>
      <c r="H684" s="10" t="n"/>
      <c r="I684" s="3" t="n"/>
      <c r="J684" s="3">
        <f>IF(tblEjecucion[[#This Row],[orden]]="","",tblEjecucion[[#This Row],[orden]]&amp;IF(tblEjecucion[[#This Row],[operacion]]="","0010",tblEjecucion[[#This Row],[operacion]]))</f>
        <v/>
      </c>
    </row>
    <row r="685">
      <c r="A685" s="3" t="n"/>
      <c r="B685" s="3" t="n"/>
      <c r="C685" s="3" t="n"/>
      <c r="D685" s="3" t="n"/>
      <c r="E685" s="3" t="n"/>
      <c r="F685" s="10" t="n"/>
      <c r="G685" s="10" t="n"/>
      <c r="H685" s="10" t="n"/>
      <c r="I685" s="3" t="n"/>
      <c r="J685" s="3">
        <f>IF(tblEjecucion[[#This Row],[orden]]="","",tblEjecucion[[#This Row],[orden]]&amp;IF(tblEjecucion[[#This Row],[operacion]]="","0010",tblEjecucion[[#This Row],[operacion]]))</f>
        <v/>
      </c>
    </row>
    <row r="686">
      <c r="A686" s="3" t="n"/>
      <c r="B686" s="3" t="n"/>
      <c r="C686" s="3" t="n"/>
      <c r="D686" s="3" t="n"/>
      <c r="E686" s="3" t="n"/>
      <c r="F686" s="10" t="n"/>
      <c r="G686" s="10" t="n"/>
      <c r="H686" s="10" t="n"/>
      <c r="I686" s="3" t="n"/>
      <c r="J686" s="3">
        <f>IF(tblEjecucion[[#This Row],[orden]]="","",tblEjecucion[[#This Row],[orden]]&amp;IF(tblEjecucion[[#This Row],[operacion]]="","0010",tblEjecucion[[#This Row],[operacion]]))</f>
        <v/>
      </c>
    </row>
    <row r="687">
      <c r="A687" s="3" t="n"/>
      <c r="B687" s="3" t="n"/>
      <c r="C687" s="3" t="n"/>
      <c r="D687" s="3" t="n"/>
      <c r="E687" s="3" t="n"/>
      <c r="F687" s="10" t="n"/>
      <c r="G687" s="10" t="n"/>
      <c r="H687" s="10" t="n"/>
      <c r="I687" s="3" t="n"/>
      <c r="J687" s="3">
        <f>IF(tblEjecucion[[#This Row],[orden]]="","",tblEjecucion[[#This Row],[orden]]&amp;IF(tblEjecucion[[#This Row],[operacion]]="","0010",tblEjecucion[[#This Row],[operacion]]))</f>
        <v/>
      </c>
    </row>
    <row r="688">
      <c r="A688" s="3" t="n"/>
      <c r="B688" s="3" t="n"/>
      <c r="C688" s="3" t="n"/>
      <c r="D688" s="3" t="n"/>
      <c r="E688" s="3" t="n"/>
      <c r="F688" s="10" t="n"/>
      <c r="G688" s="10" t="n"/>
      <c r="H688" s="10" t="n"/>
      <c r="I688" s="3" t="n"/>
      <c r="J688" s="3">
        <f>IF(tblEjecucion[[#This Row],[orden]]="","",tblEjecucion[[#This Row],[orden]]&amp;IF(tblEjecucion[[#This Row],[operacion]]="","0010",tblEjecucion[[#This Row],[operacion]]))</f>
        <v/>
      </c>
    </row>
    <row r="689">
      <c r="A689" s="3" t="n"/>
      <c r="B689" s="3" t="n"/>
      <c r="C689" s="3" t="n"/>
      <c r="D689" s="3" t="n"/>
      <c r="E689" s="3" t="n"/>
      <c r="F689" s="10" t="n"/>
      <c r="G689" s="10" t="n"/>
      <c r="H689" s="10" t="n"/>
      <c r="I689" s="3" t="n"/>
      <c r="J689" s="3">
        <f>IF(tblEjecucion[[#This Row],[orden]]="","",tblEjecucion[[#This Row],[orden]]&amp;IF(tblEjecucion[[#This Row],[operacion]]="","0010",tblEjecucion[[#This Row],[operacion]]))</f>
        <v/>
      </c>
    </row>
    <row r="690">
      <c r="A690" s="3" t="n"/>
      <c r="B690" s="3" t="n"/>
      <c r="C690" s="3" t="n"/>
      <c r="D690" s="3" t="n"/>
      <c r="E690" s="3" t="n"/>
      <c r="F690" s="10" t="n"/>
      <c r="G690" s="10" t="n"/>
      <c r="H690" s="10" t="n"/>
      <c r="I690" s="3" t="n"/>
      <c r="J690" s="3">
        <f>IF(tblEjecucion[[#This Row],[orden]]="","",tblEjecucion[[#This Row],[orden]]&amp;IF(tblEjecucion[[#This Row],[operacion]]="","0010",tblEjecucion[[#This Row],[operacion]]))</f>
        <v/>
      </c>
    </row>
    <row r="691">
      <c r="A691" s="3" t="n"/>
      <c r="B691" s="3" t="n"/>
      <c r="C691" s="3" t="n"/>
      <c r="D691" s="3" t="n"/>
      <c r="E691" s="3" t="n"/>
      <c r="F691" s="10" t="n"/>
      <c r="G691" s="10" t="n"/>
      <c r="H691" s="10" t="n"/>
      <c r="I691" s="3" t="n"/>
      <c r="J691" s="3">
        <f>IF(tblEjecucion[[#This Row],[orden]]="","",tblEjecucion[[#This Row],[orden]]&amp;IF(tblEjecucion[[#This Row],[operacion]]="","0010",tblEjecucion[[#This Row],[operacion]]))</f>
        <v/>
      </c>
    </row>
    <row r="692">
      <c r="A692" s="3" t="n"/>
      <c r="B692" s="3" t="n"/>
      <c r="C692" s="3" t="n"/>
      <c r="D692" s="3" t="n"/>
      <c r="E692" s="3" t="n"/>
      <c r="F692" s="10" t="n"/>
      <c r="G692" s="10" t="n"/>
      <c r="H692" s="10" t="n"/>
      <c r="I692" s="3" t="n"/>
      <c r="J692" s="3">
        <f>IF(tblEjecucion[[#This Row],[orden]]="","",tblEjecucion[[#This Row],[orden]]&amp;IF(tblEjecucion[[#This Row],[operacion]]="","0010",tblEjecucion[[#This Row],[operacion]]))</f>
        <v/>
      </c>
    </row>
    <row r="693">
      <c r="A693" s="3" t="n"/>
      <c r="B693" s="3" t="n"/>
      <c r="C693" s="3" t="n"/>
      <c r="D693" s="3" t="n"/>
      <c r="E693" s="3" t="n"/>
      <c r="F693" s="10" t="n"/>
      <c r="G693" s="10" t="n"/>
      <c r="H693" s="10" t="n"/>
      <c r="I693" s="3" t="n"/>
      <c r="J693" s="3">
        <f>IF(tblEjecucion[[#This Row],[orden]]="","",tblEjecucion[[#This Row],[orden]]&amp;IF(tblEjecucion[[#This Row],[operacion]]="","0010",tblEjecucion[[#This Row],[operacion]]))</f>
        <v/>
      </c>
    </row>
    <row r="694">
      <c r="A694" s="3" t="n"/>
      <c r="B694" s="3" t="n"/>
      <c r="C694" s="3" t="n"/>
      <c r="D694" s="3" t="n"/>
      <c r="E694" s="3" t="n"/>
      <c r="F694" s="10" t="n"/>
      <c r="G694" s="10" t="n"/>
      <c r="H694" s="10" t="n"/>
      <c r="I694" s="3" t="n"/>
      <c r="J694" s="3">
        <f>IF(tblEjecucion[[#This Row],[orden]]="","",tblEjecucion[[#This Row],[orden]]&amp;IF(tblEjecucion[[#This Row],[operacion]]="","0010",tblEjecucion[[#This Row],[operacion]]))</f>
        <v/>
      </c>
    </row>
    <row r="695">
      <c r="A695" s="3" t="n"/>
      <c r="B695" s="3" t="n"/>
      <c r="C695" s="3" t="n"/>
      <c r="D695" s="3" t="n"/>
      <c r="E695" s="3" t="n"/>
      <c r="F695" s="10" t="n"/>
      <c r="G695" s="10" t="n"/>
      <c r="H695" s="10" t="n"/>
      <c r="I695" s="3" t="n"/>
      <c r="J695" s="3">
        <f>IF(tblEjecucion[[#This Row],[orden]]="","",tblEjecucion[[#This Row],[orden]]&amp;IF(tblEjecucion[[#This Row],[operacion]]="","0010",tblEjecucion[[#This Row],[operacion]]))</f>
        <v/>
      </c>
    </row>
    <row r="696">
      <c r="A696" s="3" t="n"/>
      <c r="B696" s="3" t="n"/>
      <c r="C696" s="3" t="n"/>
      <c r="D696" s="3" t="n"/>
      <c r="E696" s="3" t="n"/>
      <c r="F696" s="10" t="n"/>
      <c r="G696" s="10" t="n"/>
      <c r="H696" s="10" t="n"/>
      <c r="I696" s="3" t="n"/>
      <c r="J696" s="3">
        <f>IF(tblEjecucion[[#This Row],[orden]]="","",tblEjecucion[[#This Row],[orden]]&amp;IF(tblEjecucion[[#This Row],[operacion]]="","0010",tblEjecucion[[#This Row],[operacion]]))</f>
        <v/>
      </c>
    </row>
    <row r="697">
      <c r="A697" s="3" t="n"/>
      <c r="B697" s="3" t="n"/>
      <c r="C697" s="3" t="n"/>
      <c r="D697" s="3" t="n"/>
      <c r="E697" s="3" t="n"/>
      <c r="F697" s="10" t="n"/>
      <c r="G697" s="10" t="n"/>
      <c r="H697" s="10" t="n"/>
      <c r="I697" s="3" t="n"/>
      <c r="J697" s="3">
        <f>IF(tblEjecucion[[#This Row],[orden]]="","",tblEjecucion[[#This Row],[orden]]&amp;IF(tblEjecucion[[#This Row],[operacion]]="","0010",tblEjecucion[[#This Row],[operacion]]))</f>
        <v/>
      </c>
    </row>
    <row r="698">
      <c r="A698" s="3" t="n"/>
      <c r="B698" s="3" t="n"/>
      <c r="C698" s="3" t="n"/>
      <c r="D698" s="3" t="n"/>
      <c r="E698" s="3" t="n"/>
      <c r="F698" s="10" t="n"/>
      <c r="G698" s="10" t="n"/>
      <c r="H698" s="10" t="n"/>
      <c r="I698" s="3" t="n"/>
      <c r="J698" s="3">
        <f>IF(tblEjecucion[[#This Row],[orden]]="","",tblEjecucion[[#This Row],[orden]]&amp;IF(tblEjecucion[[#This Row],[operacion]]="","0010",tblEjecucion[[#This Row],[operacion]]))</f>
        <v/>
      </c>
    </row>
    <row r="699">
      <c r="A699" s="3" t="n"/>
      <c r="B699" s="3" t="n"/>
      <c r="C699" s="3" t="n"/>
      <c r="D699" s="3" t="n"/>
      <c r="E699" s="3" t="n"/>
      <c r="F699" s="10" t="n"/>
      <c r="G699" s="10" t="n"/>
      <c r="H699" s="10" t="n"/>
      <c r="I699" s="3" t="n"/>
      <c r="J699" s="3">
        <f>IF(tblEjecucion[[#This Row],[orden]]="","",tblEjecucion[[#This Row],[orden]]&amp;IF(tblEjecucion[[#This Row],[operacion]]="","0010",tblEjecucion[[#This Row],[operacion]]))</f>
        <v/>
      </c>
    </row>
    <row r="700">
      <c r="A700" s="3" t="n"/>
      <c r="B700" s="3" t="n"/>
      <c r="C700" s="3" t="n"/>
      <c r="D700" s="3" t="n"/>
      <c r="E700" s="3" t="n"/>
      <c r="F700" s="10" t="n"/>
      <c r="G700" s="10" t="n"/>
      <c r="H700" s="10" t="n"/>
      <c r="I700" s="3" t="n"/>
      <c r="J700" s="3">
        <f>IF(tblEjecucion[[#This Row],[orden]]="","",tblEjecucion[[#This Row],[orden]]&amp;IF(tblEjecucion[[#This Row],[operacion]]="","0010",tblEjecucion[[#This Row],[operacion]]))</f>
        <v/>
      </c>
    </row>
    <row r="701">
      <c r="A701" s="3" t="n"/>
      <c r="B701" s="3" t="n"/>
      <c r="C701" s="3" t="n"/>
      <c r="D701" s="3" t="n"/>
      <c r="E701" s="3" t="n"/>
      <c r="F701" s="10" t="n"/>
      <c r="G701" s="10" t="n"/>
      <c r="H701" s="10" t="n"/>
      <c r="I701" s="3" t="n"/>
      <c r="J701" s="3">
        <f>IF(tblEjecucion[[#This Row],[orden]]="","",tblEjecucion[[#This Row],[orden]]&amp;IF(tblEjecucion[[#This Row],[operacion]]="","0010",tblEjecucion[[#This Row],[operacion]]))</f>
        <v/>
      </c>
    </row>
    <row r="702">
      <c r="A702" s="3" t="n"/>
      <c r="B702" s="3" t="n"/>
      <c r="C702" s="3" t="n"/>
      <c r="D702" s="3" t="n"/>
      <c r="E702" s="3" t="n"/>
      <c r="F702" s="10" t="n"/>
      <c r="G702" s="10" t="n"/>
      <c r="H702" s="10" t="n"/>
      <c r="I702" s="3" t="n"/>
      <c r="J702" s="3">
        <f>IF(tblEjecucion[[#This Row],[orden]]="","",tblEjecucion[[#This Row],[orden]]&amp;IF(tblEjecucion[[#This Row],[operacion]]="","0010",tblEjecucion[[#This Row],[operacion]]))</f>
        <v/>
      </c>
    </row>
    <row r="703">
      <c r="A703" s="3" t="n"/>
      <c r="B703" s="3" t="n"/>
      <c r="C703" s="3" t="n"/>
      <c r="D703" s="3" t="n"/>
      <c r="E703" s="3" t="n"/>
      <c r="F703" s="10" t="n"/>
      <c r="G703" s="10" t="n"/>
      <c r="H703" s="10" t="n"/>
      <c r="I703" s="3" t="n"/>
      <c r="J703" s="3">
        <f>IF(tblEjecucion[[#This Row],[orden]]="","",tblEjecucion[[#This Row],[orden]]&amp;IF(tblEjecucion[[#This Row],[operacion]]="","0010",tblEjecucion[[#This Row],[operacion]]))</f>
        <v/>
      </c>
    </row>
    <row r="704">
      <c r="A704" s="3" t="n"/>
      <c r="B704" s="3" t="n"/>
      <c r="C704" s="3" t="n"/>
      <c r="D704" s="3" t="n"/>
      <c r="E704" s="3" t="n"/>
      <c r="F704" s="10" t="n"/>
      <c r="G704" s="10" t="n"/>
      <c r="H704" s="10" t="n"/>
      <c r="I704" s="3" t="n"/>
      <c r="J704" s="3">
        <f>IF(tblEjecucion[[#This Row],[orden]]="","",tblEjecucion[[#This Row],[orden]]&amp;IF(tblEjecucion[[#This Row],[operacion]]="","0010",tblEjecucion[[#This Row],[operacion]]))</f>
        <v/>
      </c>
    </row>
    <row r="705">
      <c r="A705" s="3" t="n"/>
      <c r="B705" s="3" t="n"/>
      <c r="C705" s="3" t="n"/>
      <c r="D705" s="3" t="n"/>
      <c r="E705" s="3" t="n"/>
      <c r="F705" s="10" t="n"/>
      <c r="G705" s="10" t="n"/>
      <c r="H705" s="10" t="n"/>
      <c r="I705" s="3" t="n"/>
      <c r="J705" s="3">
        <f>IF(tblEjecucion[[#This Row],[orden]]="","",tblEjecucion[[#This Row],[orden]]&amp;IF(tblEjecucion[[#This Row],[operacion]]="","0010",tblEjecucion[[#This Row],[operacion]]))</f>
        <v/>
      </c>
    </row>
    <row r="706">
      <c r="A706" s="3" t="n"/>
      <c r="B706" s="3" t="n"/>
      <c r="C706" s="3" t="n"/>
      <c r="D706" s="3" t="n"/>
      <c r="E706" s="3" t="n"/>
      <c r="F706" s="10" t="n"/>
      <c r="G706" s="10" t="n"/>
      <c r="H706" s="10" t="n"/>
      <c r="I706" s="3" t="n"/>
      <c r="J706" s="3">
        <f>IF(tblEjecucion[[#This Row],[orden]]="","",tblEjecucion[[#This Row],[orden]]&amp;IF(tblEjecucion[[#This Row],[operacion]]="","0010",tblEjecucion[[#This Row],[operacion]]))</f>
        <v/>
      </c>
    </row>
    <row r="707">
      <c r="A707" s="3" t="n"/>
      <c r="B707" s="3" t="n"/>
      <c r="C707" s="3" t="n"/>
      <c r="D707" s="3" t="n"/>
      <c r="E707" s="3" t="n"/>
      <c r="F707" s="10" t="n"/>
      <c r="G707" s="10" t="n"/>
      <c r="H707" s="10" t="n"/>
      <c r="I707" s="3" t="n"/>
      <c r="J707" s="3">
        <f>IF(tblEjecucion[[#This Row],[orden]]="","",tblEjecucion[[#This Row],[orden]]&amp;IF(tblEjecucion[[#This Row],[operacion]]="","0010",tblEjecucion[[#This Row],[operacion]]))</f>
        <v/>
      </c>
    </row>
    <row r="708">
      <c r="A708" s="3" t="n"/>
      <c r="B708" s="3" t="n"/>
      <c r="C708" s="3" t="n"/>
      <c r="D708" s="3" t="n"/>
      <c r="E708" s="3" t="n"/>
      <c r="F708" s="10" t="n"/>
      <c r="G708" s="10" t="n"/>
      <c r="H708" s="10" t="n"/>
      <c r="I708" s="3" t="n"/>
      <c r="J708" s="3">
        <f>IF(tblEjecucion[[#This Row],[orden]]="","",tblEjecucion[[#This Row],[orden]]&amp;IF(tblEjecucion[[#This Row],[operacion]]="","0010",tblEjecucion[[#This Row],[operacion]]))</f>
        <v/>
      </c>
    </row>
    <row r="709">
      <c r="A709" s="3" t="n"/>
      <c r="B709" s="3" t="n"/>
      <c r="C709" s="3" t="n"/>
      <c r="D709" s="3" t="n"/>
      <c r="E709" s="3" t="n"/>
      <c r="F709" s="10" t="n"/>
      <c r="G709" s="10" t="n"/>
      <c r="H709" s="10" t="n"/>
      <c r="I709" s="3" t="n"/>
      <c r="J709" s="3">
        <f>IF(tblEjecucion[[#This Row],[orden]]="","",tblEjecucion[[#This Row],[orden]]&amp;IF(tblEjecucion[[#This Row],[operacion]]="","0010",tblEjecucion[[#This Row],[operacion]]))</f>
        <v/>
      </c>
    </row>
    <row r="710">
      <c r="A710" s="3" t="n"/>
      <c r="B710" s="3" t="n"/>
      <c r="C710" s="3" t="n"/>
      <c r="D710" s="3" t="n"/>
      <c r="E710" s="3" t="n"/>
      <c r="F710" s="10" t="n"/>
      <c r="G710" s="10" t="n"/>
      <c r="H710" s="10" t="n"/>
      <c r="I710" s="3" t="n"/>
      <c r="J710" s="3">
        <f>IF(tblEjecucion[[#This Row],[orden]]="","",tblEjecucion[[#This Row],[orden]]&amp;IF(tblEjecucion[[#This Row],[operacion]]="","0010",tblEjecucion[[#This Row],[operacion]]))</f>
        <v/>
      </c>
    </row>
    <row r="711">
      <c r="A711" s="3" t="n"/>
      <c r="B711" s="3" t="n"/>
      <c r="C711" s="3" t="n"/>
      <c r="D711" s="3" t="n"/>
      <c r="E711" s="3" t="n"/>
      <c r="F711" s="10" t="n"/>
      <c r="G711" s="10" t="n"/>
      <c r="H711" s="10" t="n"/>
      <c r="I711" s="3" t="n"/>
      <c r="J711" s="3">
        <f>IF(tblEjecucion[[#This Row],[orden]]="","",tblEjecucion[[#This Row],[orden]]&amp;IF(tblEjecucion[[#This Row],[operacion]]="","0010",tblEjecucion[[#This Row],[operacion]]))</f>
        <v/>
      </c>
    </row>
    <row r="712">
      <c r="A712" s="3" t="n"/>
      <c r="B712" s="3" t="n"/>
      <c r="C712" s="3" t="n"/>
      <c r="D712" s="3" t="n"/>
      <c r="E712" s="3" t="n"/>
      <c r="F712" s="10" t="n"/>
      <c r="G712" s="10" t="n"/>
      <c r="H712" s="10" t="n"/>
      <c r="I712" s="3" t="n"/>
      <c r="J712" s="3">
        <f>IF(tblEjecucion[[#This Row],[orden]]="","",tblEjecucion[[#This Row],[orden]]&amp;IF(tblEjecucion[[#This Row],[operacion]]="","0010",tblEjecucion[[#This Row],[operacion]]))</f>
        <v/>
      </c>
    </row>
    <row r="713">
      <c r="A713" s="3" t="n"/>
      <c r="B713" s="3" t="n"/>
      <c r="C713" s="3" t="n"/>
      <c r="D713" s="3" t="n"/>
      <c r="E713" s="3" t="n"/>
      <c r="F713" s="10" t="n"/>
      <c r="G713" s="10" t="n"/>
      <c r="H713" s="10" t="n"/>
      <c r="I713" s="3" t="n"/>
      <c r="J713" s="3">
        <f>IF(tblEjecucion[[#This Row],[orden]]="","",tblEjecucion[[#This Row],[orden]]&amp;IF(tblEjecucion[[#This Row],[operacion]]="","0010",tblEjecucion[[#This Row],[operacion]]))</f>
        <v/>
      </c>
    </row>
    <row r="714">
      <c r="A714" s="3" t="n"/>
      <c r="B714" s="3" t="n"/>
      <c r="C714" s="3" t="n"/>
      <c r="D714" s="3" t="n"/>
      <c r="E714" s="3" t="n"/>
      <c r="F714" s="10" t="n"/>
      <c r="G714" s="10" t="n"/>
      <c r="H714" s="10" t="n"/>
      <c r="I714" s="3" t="n"/>
      <c r="J714" s="3">
        <f>IF(tblEjecucion[[#This Row],[orden]]="","",tblEjecucion[[#This Row],[orden]]&amp;IF(tblEjecucion[[#This Row],[operacion]]="","0010",tblEjecucion[[#This Row],[operacion]]))</f>
        <v/>
      </c>
    </row>
    <row r="715">
      <c r="A715" s="3" t="n"/>
      <c r="B715" s="3" t="n"/>
      <c r="C715" s="3" t="n"/>
      <c r="D715" s="3" t="n"/>
      <c r="E715" s="3" t="n"/>
      <c r="F715" s="10" t="n"/>
      <c r="G715" s="10" t="n"/>
      <c r="H715" s="10" t="n"/>
      <c r="I715" s="3" t="n"/>
      <c r="J715" s="3">
        <f>IF(tblEjecucion[[#This Row],[orden]]="","",tblEjecucion[[#This Row],[orden]]&amp;IF(tblEjecucion[[#This Row],[operacion]]="","0010",tblEjecucion[[#This Row],[operacion]]))</f>
        <v/>
      </c>
    </row>
    <row r="716">
      <c r="A716" s="3" t="n"/>
      <c r="B716" s="3" t="n"/>
      <c r="C716" s="3" t="n"/>
      <c r="D716" s="3" t="n"/>
      <c r="E716" s="3" t="n"/>
      <c r="F716" s="10" t="n"/>
      <c r="G716" s="10" t="n"/>
      <c r="H716" s="10" t="n"/>
      <c r="I716" s="3" t="n"/>
      <c r="J716" s="3">
        <f>IF(tblEjecucion[[#This Row],[orden]]="","",tblEjecucion[[#This Row],[orden]]&amp;IF(tblEjecucion[[#This Row],[operacion]]="","0010",tblEjecucion[[#This Row],[operacion]]))</f>
        <v/>
      </c>
    </row>
    <row r="717">
      <c r="A717" s="3" t="n"/>
      <c r="B717" s="3" t="n"/>
      <c r="C717" s="3" t="n"/>
      <c r="D717" s="3" t="n"/>
      <c r="E717" s="3" t="n"/>
      <c r="F717" s="10" t="n"/>
      <c r="G717" s="10" t="n"/>
      <c r="H717" s="10" t="n"/>
      <c r="I717" s="3" t="n"/>
      <c r="J717" s="3">
        <f>IF(tblEjecucion[[#This Row],[orden]]="","",tblEjecucion[[#This Row],[orden]]&amp;IF(tblEjecucion[[#This Row],[operacion]]="","0010",tblEjecucion[[#This Row],[operacion]]))</f>
        <v/>
      </c>
    </row>
    <row r="718">
      <c r="A718" s="3" t="n"/>
      <c r="B718" s="3" t="n"/>
      <c r="C718" s="3" t="n"/>
      <c r="D718" s="3" t="n"/>
      <c r="E718" s="3" t="n"/>
      <c r="F718" s="10" t="n"/>
      <c r="G718" s="10" t="n"/>
      <c r="H718" s="10" t="n"/>
      <c r="I718" s="3" t="n"/>
      <c r="J718" s="3">
        <f>IF(tblEjecucion[[#This Row],[orden]]="","",tblEjecucion[[#This Row],[orden]]&amp;IF(tblEjecucion[[#This Row],[operacion]]="","0010",tblEjecucion[[#This Row],[operacion]]))</f>
        <v/>
      </c>
    </row>
    <row r="719">
      <c r="A719" s="3" t="n"/>
      <c r="B719" s="3" t="n"/>
      <c r="C719" s="3" t="n"/>
      <c r="D719" s="3" t="n"/>
      <c r="E719" s="3" t="n"/>
      <c r="F719" s="10" t="n"/>
      <c r="G719" s="10" t="n"/>
      <c r="H719" s="10" t="n"/>
      <c r="I719" s="3" t="n"/>
      <c r="J719" s="3">
        <f>IF(tblEjecucion[[#This Row],[orden]]="","",tblEjecucion[[#This Row],[orden]]&amp;IF(tblEjecucion[[#This Row],[operacion]]="","0010",tblEjecucion[[#This Row],[operacion]]))</f>
        <v/>
      </c>
    </row>
    <row r="720">
      <c r="A720" s="3" t="n"/>
      <c r="B720" s="3" t="n"/>
      <c r="C720" s="3" t="n"/>
      <c r="D720" s="3" t="n"/>
      <c r="E720" s="3" t="n"/>
      <c r="F720" s="10" t="n"/>
      <c r="G720" s="10" t="n"/>
      <c r="H720" s="10" t="n"/>
      <c r="I720" s="3" t="n"/>
      <c r="J720" s="3">
        <f>IF(tblEjecucion[[#This Row],[orden]]="","",tblEjecucion[[#This Row],[orden]]&amp;IF(tblEjecucion[[#This Row],[operacion]]="","0010",tblEjecucion[[#This Row],[operacion]]))</f>
        <v/>
      </c>
    </row>
    <row r="721">
      <c r="A721" s="3" t="n"/>
      <c r="B721" s="3" t="n"/>
      <c r="C721" s="3" t="n"/>
      <c r="D721" s="3" t="n"/>
      <c r="E721" s="3" t="n"/>
      <c r="F721" s="10" t="n"/>
      <c r="G721" s="10" t="n"/>
      <c r="H721" s="10" t="n"/>
      <c r="I721" s="3" t="n"/>
      <c r="J721" s="3">
        <f>IF(tblEjecucion[[#This Row],[orden]]="","",tblEjecucion[[#This Row],[orden]]&amp;IF(tblEjecucion[[#This Row],[operacion]]="","0010",tblEjecucion[[#This Row],[operacion]]))</f>
        <v/>
      </c>
    </row>
    <row r="722">
      <c r="A722" s="3" t="n"/>
      <c r="B722" s="3" t="n"/>
      <c r="C722" s="3" t="n"/>
      <c r="D722" s="3" t="n"/>
      <c r="E722" s="3" t="n"/>
      <c r="F722" s="10" t="n"/>
      <c r="G722" s="10" t="n"/>
      <c r="H722" s="10" t="n"/>
      <c r="I722" s="3" t="n"/>
      <c r="J722" s="3">
        <f>IF(tblEjecucion[[#This Row],[orden]]="","",tblEjecucion[[#This Row],[orden]]&amp;IF(tblEjecucion[[#This Row],[operacion]]="","0010",tblEjecucion[[#This Row],[operacion]]))</f>
        <v/>
      </c>
    </row>
    <row r="723">
      <c r="A723" s="3" t="n"/>
      <c r="B723" s="3" t="n"/>
      <c r="C723" s="3" t="n"/>
      <c r="D723" s="3" t="n"/>
      <c r="E723" s="3" t="n"/>
      <c r="F723" s="10" t="n"/>
      <c r="G723" s="10" t="n"/>
      <c r="H723" s="10" t="n"/>
      <c r="I723" s="3" t="n"/>
      <c r="J723" s="3">
        <f>IF(tblEjecucion[[#This Row],[orden]]="","",tblEjecucion[[#This Row],[orden]]&amp;IF(tblEjecucion[[#This Row],[operacion]]="","0010",tblEjecucion[[#This Row],[operacion]]))</f>
        <v/>
      </c>
    </row>
    <row r="724">
      <c r="A724" s="3" t="n"/>
      <c r="B724" s="3" t="n"/>
      <c r="C724" s="3" t="n"/>
      <c r="D724" s="3" t="n"/>
      <c r="E724" s="3" t="n"/>
      <c r="F724" s="10" t="n"/>
      <c r="G724" s="10" t="n"/>
      <c r="H724" s="10" t="n"/>
      <c r="I724" s="3" t="n"/>
      <c r="J724" s="3">
        <f>IF(tblEjecucion[[#This Row],[orden]]="","",tblEjecucion[[#This Row],[orden]]&amp;IF(tblEjecucion[[#This Row],[operacion]]="","0010",tblEjecucion[[#This Row],[operacion]]))</f>
        <v/>
      </c>
    </row>
    <row r="725">
      <c r="A725" s="3" t="n"/>
      <c r="B725" s="3" t="n"/>
      <c r="C725" s="3" t="n"/>
      <c r="D725" s="3" t="n"/>
      <c r="E725" s="3" t="n"/>
      <c r="F725" s="10" t="n"/>
      <c r="G725" s="10" t="n"/>
      <c r="H725" s="10" t="n"/>
      <c r="I725" s="3" t="n"/>
      <c r="J725" s="3">
        <f>IF(tblEjecucion[[#This Row],[orden]]="","",tblEjecucion[[#This Row],[orden]]&amp;IF(tblEjecucion[[#This Row],[operacion]]="","0010",tblEjecucion[[#This Row],[operacion]]))</f>
        <v/>
      </c>
    </row>
    <row r="726">
      <c r="A726" s="3" t="n"/>
      <c r="B726" s="3" t="n"/>
      <c r="C726" s="3" t="n"/>
      <c r="D726" s="3" t="n"/>
      <c r="E726" s="3" t="n"/>
      <c r="F726" s="10" t="n"/>
      <c r="G726" s="10" t="n"/>
      <c r="H726" s="10" t="n"/>
      <c r="I726" s="3" t="n"/>
      <c r="J726" s="3">
        <f>IF(tblEjecucion[[#This Row],[orden]]="","",tblEjecucion[[#This Row],[orden]]&amp;IF(tblEjecucion[[#This Row],[operacion]]="","0010",tblEjecucion[[#This Row],[operacion]]))</f>
        <v/>
      </c>
    </row>
    <row r="727">
      <c r="A727" s="3" t="n"/>
      <c r="B727" s="3" t="n"/>
      <c r="C727" s="3" t="n"/>
      <c r="D727" s="3" t="n"/>
      <c r="E727" s="3" t="n"/>
      <c r="F727" s="10" t="n"/>
      <c r="G727" s="10" t="n"/>
      <c r="H727" s="10" t="n"/>
      <c r="I727" s="3" t="n"/>
      <c r="J727" s="3">
        <f>IF(tblEjecucion[[#This Row],[orden]]="","",tblEjecucion[[#This Row],[orden]]&amp;IF(tblEjecucion[[#This Row],[operacion]]="","0010",tblEjecucion[[#This Row],[operacion]]))</f>
        <v/>
      </c>
    </row>
    <row r="728">
      <c r="A728" s="3" t="n"/>
      <c r="B728" s="3" t="n"/>
      <c r="C728" s="3" t="n"/>
      <c r="D728" s="3" t="n"/>
      <c r="E728" s="3" t="n"/>
      <c r="F728" s="10" t="n"/>
      <c r="G728" s="10" t="n"/>
      <c r="H728" s="10" t="n"/>
      <c r="I728" s="3" t="n"/>
      <c r="J728" s="3">
        <f>IF(tblEjecucion[[#This Row],[orden]]="","",tblEjecucion[[#This Row],[orden]]&amp;IF(tblEjecucion[[#This Row],[operacion]]="","0010",tblEjecucion[[#This Row],[operacion]]))</f>
        <v/>
      </c>
    </row>
    <row r="729">
      <c r="A729" s="3" t="n"/>
      <c r="B729" s="3" t="n"/>
      <c r="C729" s="3" t="n"/>
      <c r="D729" s="3" t="n"/>
      <c r="E729" s="3" t="n"/>
      <c r="F729" s="10" t="n"/>
      <c r="G729" s="10" t="n"/>
      <c r="H729" s="10" t="n"/>
      <c r="I729" s="3" t="n"/>
      <c r="J729" s="3">
        <f>IF(tblEjecucion[[#This Row],[orden]]="","",tblEjecucion[[#This Row],[orden]]&amp;IF(tblEjecucion[[#This Row],[operacion]]="","0010",tblEjecucion[[#This Row],[operacion]]))</f>
        <v/>
      </c>
    </row>
    <row r="730">
      <c r="A730" s="3" t="n"/>
      <c r="B730" s="3" t="n"/>
      <c r="C730" s="3" t="n"/>
      <c r="D730" s="3" t="n"/>
      <c r="E730" s="3" t="n"/>
      <c r="F730" s="10" t="n"/>
      <c r="G730" s="10" t="n"/>
      <c r="H730" s="10" t="n"/>
      <c r="I730" s="3" t="n"/>
      <c r="J730" s="3">
        <f>IF(tblEjecucion[[#This Row],[orden]]="","",tblEjecucion[[#This Row],[orden]]&amp;IF(tblEjecucion[[#This Row],[operacion]]="","0010",tblEjecucion[[#This Row],[operacion]]))</f>
        <v/>
      </c>
    </row>
    <row r="731">
      <c r="A731" s="3" t="n"/>
      <c r="B731" s="3" t="n"/>
      <c r="C731" s="3" t="n"/>
      <c r="D731" s="3" t="n"/>
      <c r="E731" s="3" t="n"/>
      <c r="F731" s="10" t="n"/>
      <c r="G731" s="10" t="n"/>
      <c r="H731" s="10" t="n"/>
      <c r="I731" s="3" t="n"/>
      <c r="J731" s="3">
        <f>IF(tblEjecucion[[#This Row],[orden]]="","",tblEjecucion[[#This Row],[orden]]&amp;IF(tblEjecucion[[#This Row],[operacion]]="","0010",tblEjecucion[[#This Row],[operacion]]))</f>
        <v/>
      </c>
    </row>
    <row r="732">
      <c r="A732" s="3" t="n"/>
      <c r="B732" s="3" t="n"/>
      <c r="C732" s="3" t="n"/>
      <c r="D732" s="3" t="n"/>
      <c r="E732" s="3" t="n"/>
      <c r="F732" s="10" t="n"/>
      <c r="G732" s="10" t="n"/>
      <c r="H732" s="10" t="n"/>
      <c r="I732" s="3" t="n"/>
      <c r="J732" s="3">
        <f>IF(tblEjecucion[[#This Row],[orden]]="","",tblEjecucion[[#This Row],[orden]]&amp;IF(tblEjecucion[[#This Row],[operacion]]="","0010",tblEjecucion[[#This Row],[operacion]]))</f>
        <v/>
      </c>
    </row>
    <row r="733">
      <c r="A733" s="3" t="n"/>
      <c r="B733" s="3" t="n"/>
      <c r="C733" s="3" t="n"/>
      <c r="D733" s="3" t="n"/>
      <c r="E733" s="3" t="n"/>
      <c r="F733" s="10" t="n"/>
      <c r="G733" s="10" t="n"/>
      <c r="H733" s="10" t="n"/>
      <c r="I733" s="3" t="n"/>
      <c r="J733" s="3">
        <f>IF(tblEjecucion[[#This Row],[orden]]="","",tblEjecucion[[#This Row],[orden]]&amp;IF(tblEjecucion[[#This Row],[operacion]]="","0010",tblEjecucion[[#This Row],[operacion]]))</f>
        <v/>
      </c>
    </row>
    <row r="734">
      <c r="A734" s="3" t="n"/>
      <c r="B734" s="3" t="n"/>
      <c r="C734" s="3" t="n"/>
      <c r="D734" s="3" t="n"/>
      <c r="E734" s="3" t="n"/>
      <c r="F734" s="10" t="n"/>
      <c r="G734" s="10" t="n"/>
      <c r="H734" s="10" t="n"/>
      <c r="I734" s="3" t="n"/>
      <c r="J734" s="3">
        <f>IF(tblEjecucion[[#This Row],[orden]]="","",tblEjecucion[[#This Row],[orden]]&amp;IF(tblEjecucion[[#This Row],[operacion]]="","0010",tblEjecucion[[#This Row],[operacion]]))</f>
        <v/>
      </c>
    </row>
    <row r="735">
      <c r="A735" s="3" t="n"/>
      <c r="B735" s="3" t="n"/>
      <c r="C735" s="3" t="n"/>
      <c r="D735" s="3" t="n"/>
      <c r="E735" s="3" t="n"/>
      <c r="F735" s="10" t="n"/>
      <c r="G735" s="10" t="n"/>
      <c r="H735" s="10" t="n"/>
      <c r="I735" s="3" t="n"/>
      <c r="J735" s="3">
        <f>IF(tblEjecucion[[#This Row],[orden]]="","",tblEjecucion[[#This Row],[orden]]&amp;IF(tblEjecucion[[#This Row],[operacion]]="","0010",tblEjecucion[[#This Row],[operacion]]))</f>
        <v/>
      </c>
    </row>
    <row r="736">
      <c r="A736" s="3" t="n"/>
      <c r="B736" s="3" t="n"/>
      <c r="C736" s="3" t="n"/>
      <c r="D736" s="3" t="n"/>
      <c r="E736" s="3" t="n"/>
      <c r="F736" s="10" t="n"/>
      <c r="G736" s="10" t="n"/>
      <c r="H736" s="10" t="n"/>
      <c r="I736" s="3" t="n"/>
      <c r="J736" s="3">
        <f>IF(tblEjecucion[[#This Row],[orden]]="","",tblEjecucion[[#This Row],[orden]]&amp;IF(tblEjecucion[[#This Row],[operacion]]="","0010",tblEjecucion[[#This Row],[operacion]]))</f>
        <v/>
      </c>
    </row>
    <row r="737">
      <c r="A737" s="3" t="n"/>
      <c r="B737" s="3" t="n"/>
      <c r="C737" s="3" t="n"/>
      <c r="D737" s="3" t="n"/>
      <c r="E737" s="3" t="n"/>
      <c r="F737" s="10" t="n"/>
      <c r="G737" s="10" t="n"/>
      <c r="H737" s="10" t="n"/>
      <c r="I737" s="3" t="n"/>
      <c r="J737" s="3">
        <f>IF(tblEjecucion[[#This Row],[orden]]="","",tblEjecucion[[#This Row],[orden]]&amp;IF(tblEjecucion[[#This Row],[operacion]]="","0010",tblEjecucion[[#This Row],[operacion]]))</f>
        <v/>
      </c>
    </row>
    <row r="738">
      <c r="A738" s="3" t="n"/>
      <c r="B738" s="3" t="n"/>
      <c r="C738" s="3" t="n"/>
      <c r="D738" s="3" t="n"/>
      <c r="E738" s="3" t="n"/>
      <c r="F738" s="10" t="n"/>
      <c r="G738" s="10" t="n"/>
      <c r="H738" s="10" t="n"/>
      <c r="I738" s="3" t="n"/>
      <c r="J738" s="3">
        <f>IF(tblEjecucion[[#This Row],[orden]]="","",tblEjecucion[[#This Row],[orden]]&amp;IF(tblEjecucion[[#This Row],[operacion]]="","0010",tblEjecucion[[#This Row],[operacion]]))</f>
        <v/>
      </c>
    </row>
    <row r="739">
      <c r="A739" s="3" t="n"/>
      <c r="B739" s="3" t="n"/>
      <c r="C739" s="3" t="n"/>
      <c r="D739" s="3" t="n"/>
      <c r="E739" s="3" t="n"/>
      <c r="F739" s="10" t="n"/>
      <c r="G739" s="10" t="n"/>
      <c r="H739" s="10" t="n"/>
      <c r="I739" s="3" t="n"/>
      <c r="J739" s="3">
        <f>IF(tblEjecucion[[#This Row],[orden]]="","",tblEjecucion[[#This Row],[orden]]&amp;IF(tblEjecucion[[#This Row],[operacion]]="","0010",tblEjecucion[[#This Row],[operacion]]))</f>
        <v/>
      </c>
    </row>
    <row r="740">
      <c r="A740" s="3" t="n"/>
      <c r="B740" s="3" t="n"/>
      <c r="C740" s="3" t="n"/>
      <c r="D740" s="3" t="n"/>
      <c r="E740" s="3" t="n"/>
      <c r="F740" s="10" t="n"/>
      <c r="G740" s="10" t="n"/>
      <c r="H740" s="10" t="n"/>
      <c r="I740" s="3" t="n"/>
      <c r="J740" s="3">
        <f>IF(tblEjecucion[[#This Row],[orden]]="","",tblEjecucion[[#This Row],[orden]]&amp;IF(tblEjecucion[[#This Row],[operacion]]="","0010",tblEjecucion[[#This Row],[operacion]]))</f>
        <v/>
      </c>
    </row>
    <row r="741">
      <c r="A741" s="3" t="n"/>
      <c r="B741" s="3" t="n"/>
      <c r="C741" s="3" t="n"/>
      <c r="D741" s="3" t="n"/>
      <c r="E741" s="3" t="n"/>
      <c r="F741" s="10" t="n"/>
      <c r="G741" s="10" t="n"/>
      <c r="H741" s="10" t="n"/>
      <c r="I741" s="3" t="n"/>
      <c r="J741" s="3">
        <f>IF(tblEjecucion[[#This Row],[orden]]="","",tblEjecucion[[#This Row],[orden]]&amp;IF(tblEjecucion[[#This Row],[operacion]]="","0010",tblEjecucion[[#This Row],[operacion]]))</f>
        <v/>
      </c>
    </row>
    <row r="742">
      <c r="A742" s="3" t="n"/>
      <c r="B742" s="3" t="n"/>
      <c r="C742" s="3" t="n"/>
      <c r="D742" s="3" t="n"/>
      <c r="E742" s="3" t="n"/>
      <c r="F742" s="10" t="n"/>
      <c r="G742" s="10" t="n"/>
      <c r="H742" s="10" t="n"/>
      <c r="I742" s="3" t="n"/>
      <c r="J742" s="3">
        <f>IF(tblEjecucion[[#This Row],[orden]]="","",tblEjecucion[[#This Row],[orden]]&amp;IF(tblEjecucion[[#This Row],[operacion]]="","0010",tblEjecucion[[#This Row],[operacion]]))</f>
        <v/>
      </c>
    </row>
    <row r="743">
      <c r="A743" s="3" t="n"/>
      <c r="B743" s="3" t="n"/>
      <c r="C743" s="3" t="n"/>
      <c r="D743" s="3" t="n"/>
      <c r="E743" s="3" t="n"/>
      <c r="F743" s="10" t="n"/>
      <c r="G743" s="10" t="n"/>
      <c r="H743" s="10" t="n"/>
      <c r="I743" s="3" t="n"/>
      <c r="J743" s="3">
        <f>IF(tblEjecucion[[#This Row],[orden]]="","",tblEjecucion[[#This Row],[orden]]&amp;IF(tblEjecucion[[#This Row],[operacion]]="","0010",tblEjecucion[[#This Row],[operacion]]))</f>
        <v/>
      </c>
    </row>
    <row r="744">
      <c r="A744" s="3" t="n"/>
      <c r="B744" s="3" t="n"/>
      <c r="C744" s="3" t="n"/>
      <c r="D744" s="3" t="n"/>
      <c r="E744" s="3" t="n"/>
      <c r="F744" s="10" t="n"/>
      <c r="G744" s="10" t="n"/>
      <c r="H744" s="10" t="n"/>
      <c r="I744" s="3" t="n"/>
      <c r="J744" s="3">
        <f>IF(tblEjecucion[[#This Row],[orden]]="","",tblEjecucion[[#This Row],[orden]]&amp;IF(tblEjecucion[[#This Row],[operacion]]="","0010",tblEjecucion[[#This Row],[operacion]]))</f>
        <v/>
      </c>
    </row>
    <row r="745">
      <c r="A745" s="3" t="n"/>
      <c r="B745" s="3" t="n"/>
      <c r="C745" s="3" t="n"/>
      <c r="D745" s="3" t="n"/>
      <c r="E745" s="3" t="n"/>
      <c r="F745" s="10" t="n"/>
      <c r="G745" s="10" t="n"/>
      <c r="H745" s="10" t="n"/>
      <c r="I745" s="3" t="n"/>
      <c r="J745" s="3">
        <f>IF(tblEjecucion[[#This Row],[orden]]="","",tblEjecucion[[#This Row],[orden]]&amp;IF(tblEjecucion[[#This Row],[operacion]]="","0010",tblEjecucion[[#This Row],[operacion]]))</f>
        <v/>
      </c>
    </row>
    <row r="746">
      <c r="A746" s="3" t="n"/>
      <c r="B746" s="3" t="n"/>
      <c r="C746" s="3" t="n"/>
      <c r="D746" s="3" t="n"/>
      <c r="E746" s="3" t="n"/>
      <c r="F746" s="10" t="n"/>
      <c r="G746" s="10" t="n"/>
      <c r="H746" s="10" t="n"/>
      <c r="I746" s="3" t="n"/>
      <c r="J746" s="3">
        <f>IF(tblEjecucion[[#This Row],[orden]]="","",tblEjecucion[[#This Row],[orden]]&amp;IF(tblEjecucion[[#This Row],[operacion]]="","0010",tblEjecucion[[#This Row],[operacion]]))</f>
        <v/>
      </c>
    </row>
    <row r="747">
      <c r="A747" s="3" t="n"/>
      <c r="B747" s="3" t="n"/>
      <c r="C747" s="3" t="n"/>
      <c r="D747" s="3" t="n"/>
      <c r="E747" s="3" t="n"/>
      <c r="F747" s="10" t="n"/>
      <c r="G747" s="10" t="n"/>
      <c r="H747" s="10" t="n"/>
      <c r="I747" s="3" t="n"/>
      <c r="J747" s="3">
        <f>IF(tblEjecucion[[#This Row],[orden]]="","",tblEjecucion[[#This Row],[orden]]&amp;IF(tblEjecucion[[#This Row],[operacion]]="","0010",tblEjecucion[[#This Row],[operacion]]))</f>
        <v/>
      </c>
    </row>
    <row r="748">
      <c r="A748" s="3" t="n"/>
      <c r="B748" s="3" t="n"/>
      <c r="C748" s="3" t="n"/>
      <c r="D748" s="3" t="n"/>
      <c r="E748" s="3" t="n"/>
      <c r="F748" s="10" t="n"/>
      <c r="G748" s="10" t="n"/>
      <c r="H748" s="10" t="n"/>
      <c r="I748" s="3" t="n"/>
      <c r="J748" s="3">
        <f>IF(tblEjecucion[[#This Row],[orden]]="","",tblEjecucion[[#This Row],[orden]]&amp;IF(tblEjecucion[[#This Row],[operacion]]="","0010",tblEjecucion[[#This Row],[operacion]]))</f>
        <v/>
      </c>
    </row>
    <row r="749">
      <c r="A749" s="3" t="n"/>
      <c r="B749" s="3" t="n"/>
      <c r="C749" s="3" t="n"/>
      <c r="D749" s="3" t="n"/>
      <c r="E749" s="3" t="n"/>
      <c r="F749" s="10" t="n"/>
      <c r="G749" s="10" t="n"/>
      <c r="H749" s="10" t="n"/>
      <c r="I749" s="3" t="n"/>
      <c r="J749" s="3">
        <f>IF(tblEjecucion[[#This Row],[orden]]="","",tblEjecucion[[#This Row],[orden]]&amp;IF(tblEjecucion[[#This Row],[operacion]]="","0010",tblEjecucion[[#This Row],[operacion]]))</f>
        <v/>
      </c>
    </row>
    <row r="750">
      <c r="A750" s="3" t="n"/>
      <c r="B750" s="3" t="n"/>
      <c r="C750" s="3" t="n"/>
      <c r="D750" s="3" t="n"/>
      <c r="E750" s="3" t="n"/>
      <c r="F750" s="10" t="n"/>
      <c r="G750" s="10" t="n"/>
      <c r="H750" s="10" t="n"/>
      <c r="I750" s="3" t="n"/>
      <c r="J750" s="3">
        <f>IF(tblEjecucion[[#This Row],[orden]]="","",tblEjecucion[[#This Row],[orden]]&amp;IF(tblEjecucion[[#This Row],[operacion]]="","0010",tblEjecucion[[#This Row],[operacion]]))</f>
        <v/>
      </c>
    </row>
    <row r="751">
      <c r="A751" s="3" t="n"/>
      <c r="B751" s="3" t="n"/>
      <c r="C751" s="3" t="n"/>
      <c r="D751" s="3" t="n"/>
      <c r="E751" s="3" t="n"/>
      <c r="F751" s="10" t="n"/>
      <c r="G751" s="10" t="n"/>
      <c r="H751" s="10" t="n"/>
      <c r="I751" s="3" t="n"/>
      <c r="J751" s="3">
        <f>IF(tblEjecucion[[#This Row],[orden]]="","",tblEjecucion[[#This Row],[orden]]&amp;IF(tblEjecucion[[#This Row],[operacion]]="","0010",tblEjecucion[[#This Row],[operacion]]))</f>
        <v/>
      </c>
    </row>
    <row r="752">
      <c r="A752" s="3" t="n"/>
      <c r="B752" s="3" t="n"/>
      <c r="C752" s="3" t="n"/>
      <c r="D752" s="3" t="n"/>
      <c r="E752" s="3" t="n"/>
      <c r="F752" s="10" t="n"/>
      <c r="G752" s="10" t="n"/>
      <c r="H752" s="10" t="n"/>
      <c r="I752" s="3" t="n"/>
      <c r="J752" s="3">
        <f>IF(tblEjecucion[[#This Row],[orden]]="","",tblEjecucion[[#This Row],[orden]]&amp;IF(tblEjecucion[[#This Row],[operacion]]="","0010",tblEjecucion[[#This Row],[operacion]]))</f>
        <v/>
      </c>
    </row>
    <row r="753">
      <c r="A753" s="3" t="n"/>
      <c r="B753" s="3" t="n"/>
      <c r="C753" s="3" t="n"/>
      <c r="D753" s="3" t="n"/>
      <c r="E753" s="3" t="n"/>
      <c r="F753" s="10" t="n"/>
      <c r="G753" s="10" t="n"/>
      <c r="H753" s="10" t="n"/>
      <c r="I753" s="3" t="n"/>
      <c r="J753" s="3">
        <f>IF(tblEjecucion[[#This Row],[orden]]="","",tblEjecucion[[#This Row],[orden]]&amp;IF(tblEjecucion[[#This Row],[operacion]]="","0010",tblEjecucion[[#This Row],[operacion]]))</f>
        <v/>
      </c>
    </row>
    <row r="754">
      <c r="A754" s="3" t="n"/>
      <c r="B754" s="3" t="n"/>
      <c r="C754" s="3" t="n"/>
      <c r="D754" s="3" t="n"/>
      <c r="E754" s="3" t="n"/>
      <c r="F754" s="10" t="n"/>
      <c r="G754" s="10" t="n"/>
      <c r="H754" s="10" t="n"/>
      <c r="I754" s="3" t="n"/>
      <c r="J754" s="3">
        <f>IF(tblEjecucion[[#This Row],[orden]]="","",tblEjecucion[[#This Row],[orden]]&amp;IF(tblEjecucion[[#This Row],[operacion]]="","0010",tblEjecucion[[#This Row],[operacion]]))</f>
        <v/>
      </c>
    </row>
    <row r="755">
      <c r="A755" s="3" t="n"/>
      <c r="B755" s="3" t="n"/>
      <c r="C755" s="3" t="n"/>
      <c r="D755" s="3" t="n"/>
      <c r="E755" s="3" t="n"/>
      <c r="F755" s="10" t="n"/>
      <c r="G755" s="10" t="n"/>
      <c r="H755" s="10" t="n"/>
      <c r="I755" s="3" t="n"/>
      <c r="J755" s="3">
        <f>IF(tblEjecucion[[#This Row],[orden]]="","",tblEjecucion[[#This Row],[orden]]&amp;IF(tblEjecucion[[#This Row],[operacion]]="","0010",tblEjecucion[[#This Row],[operacion]]))</f>
        <v/>
      </c>
    </row>
    <row r="756">
      <c r="A756" s="3" t="n"/>
      <c r="B756" s="3" t="n"/>
      <c r="C756" s="3" t="n"/>
      <c r="D756" s="3" t="n"/>
      <c r="E756" s="3" t="n"/>
      <c r="F756" s="10" t="n"/>
      <c r="G756" s="10" t="n"/>
      <c r="H756" s="10" t="n"/>
      <c r="I756" s="3" t="n"/>
      <c r="J756" s="3">
        <f>IF(tblEjecucion[[#This Row],[orden]]="","",tblEjecucion[[#This Row],[orden]]&amp;IF(tblEjecucion[[#This Row],[operacion]]="","0010",tblEjecucion[[#This Row],[operacion]]))</f>
        <v/>
      </c>
    </row>
    <row r="757">
      <c r="A757" s="3" t="n"/>
      <c r="B757" s="3" t="n"/>
      <c r="C757" s="3" t="n"/>
      <c r="D757" s="3" t="n"/>
      <c r="E757" s="3" t="n"/>
      <c r="F757" s="10" t="n"/>
      <c r="G757" s="10" t="n"/>
      <c r="H757" s="10" t="n"/>
      <c r="I757" s="3" t="n"/>
      <c r="J757" s="3">
        <f>IF(tblEjecucion[[#This Row],[orden]]="","",tblEjecucion[[#This Row],[orden]]&amp;IF(tblEjecucion[[#This Row],[operacion]]="","0010",tblEjecucion[[#This Row],[operacion]]))</f>
        <v/>
      </c>
    </row>
    <row r="758">
      <c r="A758" s="3" t="n"/>
      <c r="B758" s="3" t="n"/>
      <c r="C758" s="3" t="n"/>
      <c r="D758" s="3" t="n"/>
      <c r="E758" s="3" t="n"/>
      <c r="F758" s="10" t="n"/>
      <c r="G758" s="10" t="n"/>
      <c r="H758" s="10" t="n"/>
      <c r="I758" s="3" t="n"/>
      <c r="J758" s="3">
        <f>IF(tblEjecucion[[#This Row],[orden]]="","",tblEjecucion[[#This Row],[orden]]&amp;IF(tblEjecucion[[#This Row],[operacion]]="","0010",tblEjecucion[[#This Row],[operacion]]))</f>
        <v/>
      </c>
    </row>
    <row r="759">
      <c r="A759" s="3" t="n"/>
      <c r="B759" s="3" t="n"/>
      <c r="C759" s="3" t="n"/>
      <c r="D759" s="3" t="n"/>
      <c r="E759" s="3" t="n"/>
      <c r="F759" s="10" t="n"/>
      <c r="G759" s="10" t="n"/>
      <c r="H759" s="10" t="n"/>
      <c r="I759" s="3" t="n"/>
      <c r="J759" s="3">
        <f>IF(tblEjecucion[[#This Row],[orden]]="","",tblEjecucion[[#This Row],[orden]]&amp;IF(tblEjecucion[[#This Row],[operacion]]="","0010",tblEjecucion[[#This Row],[operacion]]))</f>
        <v/>
      </c>
    </row>
    <row r="760">
      <c r="A760" s="3" t="n"/>
      <c r="B760" s="3" t="n"/>
      <c r="C760" s="3" t="n"/>
      <c r="D760" s="3" t="n"/>
      <c r="E760" s="3" t="n"/>
      <c r="F760" s="10" t="n"/>
      <c r="G760" s="10" t="n"/>
      <c r="H760" s="10" t="n"/>
      <c r="I760" s="3" t="n"/>
      <c r="J760" s="3">
        <f>IF(tblEjecucion[[#This Row],[orden]]="","",tblEjecucion[[#This Row],[orden]]&amp;IF(tblEjecucion[[#This Row],[operacion]]="","0010",tblEjecucion[[#This Row],[operacion]]))</f>
        <v/>
      </c>
    </row>
    <row r="761">
      <c r="A761" s="3" t="n"/>
      <c r="B761" s="3" t="n"/>
      <c r="C761" s="3" t="n"/>
      <c r="D761" s="3" t="n"/>
      <c r="E761" s="3" t="n"/>
      <c r="F761" s="10" t="n"/>
      <c r="G761" s="10" t="n"/>
      <c r="H761" s="10" t="n"/>
      <c r="I761" s="3" t="n"/>
      <c r="J761" s="3">
        <f>IF(tblEjecucion[[#This Row],[orden]]="","",tblEjecucion[[#This Row],[orden]]&amp;IF(tblEjecucion[[#This Row],[operacion]]="","0010",tblEjecucion[[#This Row],[operacion]]))</f>
        <v/>
      </c>
    </row>
    <row r="762">
      <c r="A762" s="3" t="n"/>
      <c r="B762" s="3" t="n"/>
      <c r="C762" s="3" t="n"/>
      <c r="D762" s="3" t="n"/>
      <c r="E762" s="3" t="n"/>
      <c r="F762" s="10" t="n"/>
      <c r="G762" s="10" t="n"/>
      <c r="H762" s="10" t="n"/>
      <c r="I762" s="3" t="n"/>
      <c r="J762" s="3">
        <f>IF(tblEjecucion[[#This Row],[orden]]="","",tblEjecucion[[#This Row],[orden]]&amp;IF(tblEjecucion[[#This Row],[operacion]]="","0010",tblEjecucion[[#This Row],[operacion]]))</f>
        <v/>
      </c>
    </row>
    <row r="763">
      <c r="A763" s="3" t="n"/>
      <c r="B763" s="3" t="n"/>
      <c r="C763" s="3" t="n"/>
      <c r="D763" s="3" t="n"/>
      <c r="E763" s="3" t="n"/>
      <c r="F763" s="10" t="n"/>
      <c r="G763" s="10" t="n"/>
      <c r="H763" s="10" t="n"/>
      <c r="I763" s="3" t="n"/>
      <c r="J763" s="3">
        <f>IF(tblEjecucion[[#This Row],[orden]]="","",tblEjecucion[[#This Row],[orden]]&amp;IF(tblEjecucion[[#This Row],[operacion]]="","0010",tblEjecucion[[#This Row],[operacion]]))</f>
        <v/>
      </c>
    </row>
    <row r="764">
      <c r="A764" s="3" t="n"/>
      <c r="B764" s="3" t="n"/>
      <c r="C764" s="3" t="n"/>
      <c r="D764" s="3" t="n"/>
      <c r="E764" s="3" t="n"/>
      <c r="F764" s="10" t="n"/>
      <c r="G764" s="10" t="n"/>
      <c r="H764" s="10" t="n"/>
      <c r="I764" s="3" t="n"/>
      <c r="J764" s="3">
        <f>IF(tblEjecucion[[#This Row],[orden]]="","",tblEjecucion[[#This Row],[orden]]&amp;IF(tblEjecucion[[#This Row],[operacion]]="","0010",tblEjecucion[[#This Row],[operacion]]))</f>
        <v/>
      </c>
    </row>
    <row r="765">
      <c r="A765" s="3" t="n"/>
      <c r="B765" s="3" t="n"/>
      <c r="C765" s="3" t="n"/>
      <c r="D765" s="3" t="n"/>
      <c r="E765" s="3" t="n"/>
      <c r="F765" s="10" t="n"/>
      <c r="G765" s="10" t="n"/>
      <c r="H765" s="10" t="n"/>
      <c r="I765" s="3" t="n"/>
      <c r="J765" s="3">
        <f>IF(tblEjecucion[[#This Row],[orden]]="","",tblEjecucion[[#This Row],[orden]]&amp;IF(tblEjecucion[[#This Row],[operacion]]="","0010",tblEjecucion[[#This Row],[operacion]]))</f>
        <v/>
      </c>
    </row>
    <row r="766">
      <c r="A766" s="3" t="n"/>
      <c r="B766" s="3" t="n"/>
      <c r="C766" s="3" t="n"/>
      <c r="D766" s="3" t="n"/>
      <c r="E766" s="3" t="n"/>
      <c r="F766" s="10" t="n"/>
      <c r="G766" s="10" t="n"/>
      <c r="H766" s="10" t="n"/>
      <c r="I766" s="3" t="n"/>
      <c r="J766" s="3">
        <f>IF(tblEjecucion[[#This Row],[orden]]="","",tblEjecucion[[#This Row],[orden]]&amp;IF(tblEjecucion[[#This Row],[operacion]]="","0010",tblEjecucion[[#This Row],[operacion]]))</f>
        <v/>
      </c>
    </row>
    <row r="767">
      <c r="A767" s="3" t="n"/>
      <c r="B767" s="3" t="n"/>
      <c r="C767" s="3" t="n"/>
      <c r="D767" s="3" t="n"/>
      <c r="E767" s="3" t="n"/>
      <c r="F767" s="10" t="n"/>
      <c r="G767" s="10" t="n"/>
      <c r="H767" s="10" t="n"/>
      <c r="I767" s="3" t="n"/>
      <c r="J767" s="3">
        <f>IF(tblEjecucion[[#This Row],[orden]]="","",tblEjecucion[[#This Row],[orden]]&amp;IF(tblEjecucion[[#This Row],[operacion]]="","0010",tblEjecucion[[#This Row],[operacion]]))</f>
        <v/>
      </c>
    </row>
    <row r="768">
      <c r="A768" s="3" t="n"/>
      <c r="B768" s="3" t="n"/>
      <c r="C768" s="3" t="n"/>
      <c r="D768" s="3" t="n"/>
      <c r="E768" s="3" t="n"/>
      <c r="F768" s="10" t="n"/>
      <c r="G768" s="10" t="n"/>
      <c r="H768" s="10" t="n"/>
      <c r="I768" s="3" t="n"/>
      <c r="J768" s="3">
        <f>IF(tblEjecucion[[#This Row],[orden]]="","",tblEjecucion[[#This Row],[orden]]&amp;IF(tblEjecucion[[#This Row],[operacion]]="","0010",tblEjecucion[[#This Row],[operacion]]))</f>
        <v/>
      </c>
    </row>
    <row r="769">
      <c r="A769" s="3" t="n"/>
      <c r="B769" s="3" t="n"/>
      <c r="C769" s="3" t="n"/>
      <c r="D769" s="3" t="n"/>
      <c r="E769" s="3" t="n"/>
      <c r="F769" s="10" t="n"/>
      <c r="G769" s="10" t="n"/>
      <c r="H769" s="10" t="n"/>
      <c r="I769" s="3" t="n"/>
      <c r="J769" s="3">
        <f>IF(tblEjecucion[[#This Row],[orden]]="","",tblEjecucion[[#This Row],[orden]]&amp;IF(tblEjecucion[[#This Row],[operacion]]="","0010",tblEjecucion[[#This Row],[operacion]]))</f>
        <v/>
      </c>
    </row>
    <row r="770">
      <c r="A770" s="3" t="n"/>
      <c r="B770" s="3" t="n"/>
      <c r="C770" s="3" t="n"/>
      <c r="D770" s="3" t="n"/>
      <c r="E770" s="3" t="n"/>
      <c r="F770" s="10" t="n"/>
      <c r="G770" s="10" t="n"/>
      <c r="H770" s="10" t="n"/>
      <c r="I770" s="3" t="n"/>
      <c r="J770" s="3">
        <f>IF(tblEjecucion[[#This Row],[orden]]="","",tblEjecucion[[#This Row],[orden]]&amp;IF(tblEjecucion[[#This Row],[operacion]]="","0010",tblEjecucion[[#This Row],[operacion]]))</f>
        <v/>
      </c>
    </row>
    <row r="771">
      <c r="A771" s="3" t="n"/>
      <c r="B771" s="3" t="n"/>
      <c r="C771" s="3" t="n"/>
      <c r="D771" s="3" t="n"/>
      <c r="E771" s="3" t="n"/>
      <c r="F771" s="10" t="n"/>
      <c r="G771" s="10" t="n"/>
      <c r="H771" s="10" t="n"/>
      <c r="I771" s="3" t="n"/>
      <c r="J771" s="3">
        <f>IF(tblEjecucion[[#This Row],[orden]]="","",tblEjecucion[[#This Row],[orden]]&amp;IF(tblEjecucion[[#This Row],[operacion]]="","0010",tblEjecucion[[#This Row],[operacion]]))</f>
        <v/>
      </c>
    </row>
    <row r="772">
      <c r="A772" s="3" t="n"/>
      <c r="B772" s="3" t="n"/>
      <c r="C772" s="3" t="n"/>
      <c r="D772" s="3" t="n"/>
      <c r="E772" s="3" t="n"/>
      <c r="F772" s="10" t="n"/>
      <c r="G772" s="10" t="n"/>
      <c r="H772" s="10" t="n"/>
      <c r="I772" s="3" t="n"/>
      <c r="J772" s="3">
        <f>IF(tblEjecucion[[#This Row],[orden]]="","",tblEjecucion[[#This Row],[orden]]&amp;IF(tblEjecucion[[#This Row],[operacion]]="","0010",tblEjecucion[[#This Row],[operacion]]))</f>
        <v/>
      </c>
    </row>
    <row r="773">
      <c r="A773" s="3" t="n"/>
      <c r="B773" s="3" t="n"/>
      <c r="C773" s="3" t="n"/>
      <c r="D773" s="3" t="n"/>
      <c r="E773" s="3" t="n"/>
      <c r="F773" s="10" t="n"/>
      <c r="G773" s="10" t="n"/>
      <c r="H773" s="10" t="n"/>
      <c r="I773" s="3" t="n"/>
      <c r="J773" s="3">
        <f>IF(tblEjecucion[[#This Row],[orden]]="","",tblEjecucion[[#This Row],[orden]]&amp;IF(tblEjecucion[[#This Row],[operacion]]="","0010",tblEjecucion[[#This Row],[operacion]]))</f>
        <v/>
      </c>
    </row>
    <row r="774">
      <c r="A774" s="3" t="n"/>
      <c r="B774" s="3" t="n"/>
      <c r="C774" s="3" t="n"/>
      <c r="D774" s="3" t="n"/>
      <c r="E774" s="3" t="n"/>
      <c r="F774" s="10" t="n"/>
      <c r="G774" s="10" t="n"/>
      <c r="H774" s="10" t="n"/>
      <c r="I774" s="3" t="n"/>
      <c r="J774" s="3">
        <f>IF(tblEjecucion[[#This Row],[orden]]="","",tblEjecucion[[#This Row],[orden]]&amp;IF(tblEjecucion[[#This Row],[operacion]]="","0010",tblEjecucion[[#This Row],[operacion]]))</f>
        <v/>
      </c>
    </row>
    <row r="775">
      <c r="A775" s="3" t="n"/>
      <c r="B775" s="3" t="n"/>
      <c r="C775" s="3" t="n"/>
      <c r="D775" s="3" t="n"/>
      <c r="E775" s="3" t="n"/>
      <c r="F775" s="10" t="n"/>
      <c r="G775" s="10" t="n"/>
      <c r="H775" s="10" t="n"/>
      <c r="I775" s="3" t="n"/>
      <c r="J775" s="3">
        <f>IF(tblEjecucion[[#This Row],[orden]]="","",tblEjecucion[[#This Row],[orden]]&amp;IF(tblEjecucion[[#This Row],[operacion]]="","0010",tblEjecucion[[#This Row],[operacion]]))</f>
        <v/>
      </c>
    </row>
    <row r="776">
      <c r="A776" s="3" t="n"/>
      <c r="B776" s="3" t="n"/>
      <c r="C776" s="3" t="n"/>
      <c r="D776" s="3" t="n"/>
      <c r="E776" s="3" t="n"/>
      <c r="F776" s="10" t="n"/>
      <c r="G776" s="10" t="n"/>
      <c r="H776" s="10" t="n"/>
      <c r="I776" s="3" t="n"/>
      <c r="J776" s="3">
        <f>IF(tblEjecucion[[#This Row],[orden]]="","",tblEjecucion[[#This Row],[orden]]&amp;IF(tblEjecucion[[#This Row],[operacion]]="","0010",tblEjecucion[[#This Row],[operacion]]))</f>
        <v/>
      </c>
    </row>
    <row r="777">
      <c r="A777" s="3" t="n"/>
      <c r="B777" s="3" t="n"/>
      <c r="C777" s="3" t="n"/>
      <c r="D777" s="3" t="n"/>
      <c r="E777" s="3" t="n"/>
      <c r="F777" s="10" t="n"/>
      <c r="G777" s="10" t="n"/>
      <c r="H777" s="10" t="n"/>
      <c r="I777" s="3" t="n"/>
      <c r="J777" s="3">
        <f>IF(tblEjecucion[[#This Row],[orden]]="","",tblEjecucion[[#This Row],[orden]]&amp;IF(tblEjecucion[[#This Row],[operacion]]="","0010",tblEjecucion[[#This Row],[operacion]]))</f>
        <v/>
      </c>
    </row>
    <row r="778">
      <c r="A778" s="3" t="n"/>
      <c r="B778" s="3" t="n"/>
      <c r="C778" s="3" t="n"/>
      <c r="D778" s="3" t="n"/>
      <c r="E778" s="3" t="n"/>
      <c r="F778" s="10" t="n"/>
      <c r="G778" s="10" t="n"/>
      <c r="H778" s="10" t="n"/>
      <c r="I778" s="3" t="n"/>
      <c r="J778" s="3">
        <f>IF(tblEjecucion[[#This Row],[orden]]="","",tblEjecucion[[#This Row],[orden]]&amp;IF(tblEjecucion[[#This Row],[operacion]]="","0010",tblEjecucion[[#This Row],[operacion]]))</f>
        <v/>
      </c>
    </row>
    <row r="779">
      <c r="A779" s="3" t="n"/>
      <c r="B779" s="3" t="n"/>
      <c r="C779" s="3" t="n"/>
      <c r="D779" s="3" t="n"/>
      <c r="E779" s="3" t="n"/>
      <c r="F779" s="10" t="n"/>
      <c r="G779" s="10" t="n"/>
      <c r="H779" s="10" t="n"/>
      <c r="I779" s="3" t="n"/>
      <c r="J779" s="3">
        <f>IF(tblEjecucion[[#This Row],[orden]]="","",tblEjecucion[[#This Row],[orden]]&amp;IF(tblEjecucion[[#This Row],[operacion]]="","0010",tblEjecucion[[#This Row],[operacion]]))</f>
        <v/>
      </c>
    </row>
    <row r="780">
      <c r="A780" s="3" t="n"/>
      <c r="B780" s="3" t="n"/>
      <c r="C780" s="3" t="n"/>
      <c r="D780" s="3" t="n"/>
      <c r="E780" s="3" t="n"/>
      <c r="F780" s="10" t="n"/>
      <c r="G780" s="10" t="n"/>
      <c r="H780" s="10" t="n"/>
      <c r="I780" s="3" t="n"/>
      <c r="J780" s="3">
        <f>IF(tblEjecucion[[#This Row],[orden]]="","",tblEjecucion[[#This Row],[orden]]&amp;IF(tblEjecucion[[#This Row],[operacion]]="","0010",tblEjecucion[[#This Row],[operacion]]))</f>
        <v/>
      </c>
    </row>
    <row r="781">
      <c r="A781" s="3" t="n"/>
      <c r="B781" s="3" t="n"/>
      <c r="C781" s="3" t="n"/>
      <c r="D781" s="3" t="n"/>
      <c r="E781" s="3" t="n"/>
      <c r="F781" s="10" t="n"/>
      <c r="G781" s="10" t="n"/>
      <c r="H781" s="10" t="n"/>
      <c r="I781" s="3" t="n"/>
      <c r="J781" s="3">
        <f>IF(tblEjecucion[[#This Row],[orden]]="","",tblEjecucion[[#This Row],[orden]]&amp;IF(tblEjecucion[[#This Row],[operacion]]="","0010",tblEjecucion[[#This Row],[operacion]]))</f>
        <v/>
      </c>
    </row>
    <row r="782">
      <c r="A782" s="3" t="n"/>
      <c r="B782" s="3" t="n"/>
      <c r="C782" s="3" t="n"/>
      <c r="D782" s="3" t="n"/>
      <c r="E782" s="3" t="n"/>
      <c r="F782" s="10" t="n"/>
      <c r="G782" s="10" t="n"/>
      <c r="H782" s="10" t="n"/>
      <c r="I782" s="3" t="n"/>
      <c r="J782" s="3">
        <f>IF(tblEjecucion[[#This Row],[orden]]="","",tblEjecucion[[#This Row],[orden]]&amp;IF(tblEjecucion[[#This Row],[operacion]]="","0010",tblEjecucion[[#This Row],[operacion]]))</f>
        <v/>
      </c>
    </row>
    <row r="783">
      <c r="A783" s="3" t="n"/>
      <c r="B783" s="3" t="n"/>
      <c r="C783" s="3" t="n"/>
      <c r="D783" s="3" t="n"/>
      <c r="E783" s="3" t="n"/>
      <c r="F783" s="10" t="n"/>
      <c r="G783" s="10" t="n"/>
      <c r="H783" s="10" t="n"/>
      <c r="I783" s="3" t="n"/>
      <c r="J783" s="3">
        <f>IF(tblEjecucion[[#This Row],[orden]]="","",tblEjecucion[[#This Row],[orden]]&amp;IF(tblEjecucion[[#This Row],[operacion]]="","0010",tblEjecucion[[#This Row],[operacion]]))</f>
        <v/>
      </c>
    </row>
    <row r="784">
      <c r="A784" s="3" t="n"/>
      <c r="B784" s="3" t="n"/>
      <c r="C784" s="3" t="n"/>
      <c r="D784" s="3" t="n"/>
      <c r="E784" s="3" t="n"/>
      <c r="F784" s="10" t="n"/>
      <c r="G784" s="10" t="n"/>
      <c r="H784" s="10" t="n"/>
      <c r="I784" s="3" t="n"/>
      <c r="J784" s="3">
        <f>IF(tblEjecucion[[#This Row],[orden]]="","",tblEjecucion[[#This Row],[orden]]&amp;IF(tblEjecucion[[#This Row],[operacion]]="","0010",tblEjecucion[[#This Row],[operacion]]))</f>
        <v/>
      </c>
    </row>
    <row r="785">
      <c r="A785" s="3" t="n"/>
      <c r="B785" s="3" t="n"/>
      <c r="C785" s="3" t="n"/>
      <c r="D785" s="3" t="n"/>
      <c r="E785" s="3" t="n"/>
      <c r="F785" s="10" t="n"/>
      <c r="G785" s="10" t="n"/>
      <c r="H785" s="10" t="n"/>
      <c r="I785" s="3" t="n"/>
      <c r="J785" s="3">
        <f>IF(tblEjecucion[[#This Row],[orden]]="","",tblEjecucion[[#This Row],[orden]]&amp;IF(tblEjecucion[[#This Row],[operacion]]="","0010",tblEjecucion[[#This Row],[operacion]]))</f>
        <v/>
      </c>
    </row>
    <row r="786">
      <c r="A786" s="3" t="n"/>
      <c r="B786" s="3" t="n"/>
      <c r="C786" s="3" t="n"/>
      <c r="D786" s="3" t="n"/>
      <c r="E786" s="3" t="n"/>
      <c r="F786" s="10" t="n"/>
      <c r="G786" s="10" t="n"/>
      <c r="H786" s="10" t="n"/>
      <c r="I786" s="3" t="n"/>
      <c r="J786" s="3">
        <f>IF(tblEjecucion[[#This Row],[orden]]="","",tblEjecucion[[#This Row],[orden]]&amp;IF(tblEjecucion[[#This Row],[operacion]]="","0010",tblEjecucion[[#This Row],[operacion]]))</f>
        <v/>
      </c>
    </row>
    <row r="787">
      <c r="A787" s="3" t="n"/>
      <c r="B787" s="3" t="n"/>
      <c r="C787" s="3" t="n"/>
      <c r="D787" s="3" t="n"/>
      <c r="E787" s="3" t="n"/>
      <c r="F787" s="10" t="n"/>
      <c r="G787" s="10" t="n"/>
      <c r="H787" s="10" t="n"/>
      <c r="I787" s="3" t="n"/>
      <c r="J787" s="3">
        <f>IF(tblEjecucion[[#This Row],[orden]]="","",tblEjecucion[[#This Row],[orden]]&amp;IF(tblEjecucion[[#This Row],[operacion]]="","0010",tblEjecucion[[#This Row],[operacion]]))</f>
        <v/>
      </c>
    </row>
    <row r="788">
      <c r="A788" s="3" t="n"/>
      <c r="B788" s="3" t="n"/>
      <c r="C788" s="3" t="n"/>
      <c r="D788" s="3" t="n"/>
      <c r="E788" s="3" t="n"/>
      <c r="F788" s="10" t="n"/>
      <c r="G788" s="10" t="n"/>
      <c r="H788" s="10" t="n"/>
      <c r="I788" s="3" t="n"/>
      <c r="J788" s="3">
        <f>IF(tblEjecucion[[#This Row],[orden]]="","",tblEjecucion[[#This Row],[orden]]&amp;IF(tblEjecucion[[#This Row],[operacion]]="","0010",tblEjecucion[[#This Row],[operacion]]))</f>
        <v/>
      </c>
    </row>
    <row r="789">
      <c r="A789" s="3" t="n"/>
      <c r="B789" s="3" t="n"/>
      <c r="C789" s="3" t="n"/>
      <c r="D789" s="3" t="n"/>
      <c r="E789" s="3" t="n"/>
      <c r="F789" s="10" t="n"/>
      <c r="G789" s="10" t="n"/>
      <c r="H789" s="10" t="n"/>
      <c r="I789" s="3" t="n"/>
      <c r="J789" s="3">
        <f>IF(tblEjecucion[[#This Row],[orden]]="","",tblEjecucion[[#This Row],[orden]]&amp;IF(tblEjecucion[[#This Row],[operacion]]="","0010",tblEjecucion[[#This Row],[operacion]]))</f>
        <v/>
      </c>
    </row>
    <row r="790">
      <c r="A790" s="3" t="n"/>
      <c r="B790" s="3" t="n"/>
      <c r="C790" s="3" t="n"/>
      <c r="D790" s="3" t="n"/>
      <c r="E790" s="3" t="n"/>
      <c r="F790" s="10" t="n"/>
      <c r="G790" s="10" t="n"/>
      <c r="H790" s="10" t="n"/>
      <c r="I790" s="3" t="n"/>
      <c r="J790" s="3">
        <f>IF(tblEjecucion[[#This Row],[orden]]="","",tblEjecucion[[#This Row],[orden]]&amp;IF(tblEjecucion[[#This Row],[operacion]]="","0010",tblEjecucion[[#This Row],[operacion]]))</f>
        <v/>
      </c>
    </row>
    <row r="791">
      <c r="A791" s="3" t="n"/>
      <c r="B791" s="3" t="n"/>
      <c r="C791" s="3" t="n"/>
      <c r="D791" s="3" t="n"/>
      <c r="E791" s="3" t="n"/>
      <c r="F791" s="10" t="n"/>
      <c r="G791" s="10" t="n"/>
      <c r="H791" s="10" t="n"/>
      <c r="I791" s="3" t="n"/>
      <c r="J791" s="3">
        <f>IF(tblEjecucion[[#This Row],[orden]]="","",tblEjecucion[[#This Row],[orden]]&amp;IF(tblEjecucion[[#This Row],[operacion]]="","0010",tblEjecucion[[#This Row],[operacion]]))</f>
        <v/>
      </c>
    </row>
    <row r="792">
      <c r="A792" s="3" t="n"/>
      <c r="B792" s="3" t="n"/>
      <c r="C792" s="3" t="n"/>
      <c r="D792" s="3" t="n"/>
      <c r="E792" s="3" t="n"/>
      <c r="F792" s="10" t="n"/>
      <c r="G792" s="10" t="n"/>
      <c r="H792" s="10" t="n"/>
      <c r="I792" s="3" t="n"/>
      <c r="J792" s="3">
        <f>IF(tblEjecucion[[#This Row],[orden]]="","",tblEjecucion[[#This Row],[orden]]&amp;IF(tblEjecucion[[#This Row],[operacion]]="","0010",tblEjecucion[[#This Row],[operacion]]))</f>
        <v/>
      </c>
    </row>
    <row r="793">
      <c r="A793" s="3" t="n"/>
      <c r="B793" s="3" t="n"/>
      <c r="C793" s="3" t="n"/>
      <c r="D793" s="3" t="n"/>
      <c r="E793" s="3" t="n"/>
      <c r="F793" s="10" t="n"/>
      <c r="G793" s="10" t="n"/>
      <c r="H793" s="10" t="n"/>
      <c r="I793" s="3" t="n"/>
      <c r="J793" s="3">
        <f>IF(tblEjecucion[[#This Row],[orden]]="","",tblEjecucion[[#This Row],[orden]]&amp;IF(tblEjecucion[[#This Row],[operacion]]="","0010",tblEjecucion[[#This Row],[operacion]]))</f>
        <v/>
      </c>
    </row>
    <row r="794">
      <c r="A794" s="3" t="n"/>
      <c r="B794" s="3" t="n"/>
      <c r="C794" s="3" t="n"/>
      <c r="D794" s="3" t="n"/>
      <c r="E794" s="3" t="n"/>
      <c r="F794" s="10" t="n"/>
      <c r="G794" s="10" t="n"/>
      <c r="H794" s="10" t="n"/>
      <c r="I794" s="3" t="n"/>
      <c r="J794" s="3">
        <f>IF(tblEjecucion[[#This Row],[orden]]="","",tblEjecucion[[#This Row],[orden]]&amp;IF(tblEjecucion[[#This Row],[operacion]]="","0010",tblEjecucion[[#This Row],[operacion]]))</f>
        <v/>
      </c>
    </row>
    <row r="795">
      <c r="A795" s="3" t="n"/>
      <c r="B795" s="3" t="n"/>
      <c r="C795" s="3" t="n"/>
      <c r="D795" s="3" t="n"/>
      <c r="E795" s="3" t="n"/>
      <c r="F795" s="10" t="n"/>
      <c r="G795" s="10" t="n"/>
      <c r="H795" s="10" t="n"/>
      <c r="I795" s="3" t="n"/>
      <c r="J795" s="3">
        <f>IF(tblEjecucion[[#This Row],[orden]]="","",tblEjecucion[[#This Row],[orden]]&amp;IF(tblEjecucion[[#This Row],[operacion]]="","0010",tblEjecucion[[#This Row],[operacion]]))</f>
        <v/>
      </c>
    </row>
    <row r="796">
      <c r="A796" s="3" t="n"/>
      <c r="B796" s="3" t="n"/>
      <c r="C796" s="3" t="n"/>
      <c r="D796" s="3" t="n"/>
      <c r="E796" s="3" t="n"/>
      <c r="F796" s="10" t="n"/>
      <c r="G796" s="10" t="n"/>
      <c r="H796" s="10" t="n"/>
      <c r="I796" s="3" t="n"/>
      <c r="J796" s="3">
        <f>IF(tblEjecucion[[#This Row],[orden]]="","",tblEjecucion[[#This Row],[orden]]&amp;IF(tblEjecucion[[#This Row],[operacion]]="","0010",tblEjecucion[[#This Row],[operacion]]))</f>
        <v/>
      </c>
    </row>
    <row r="797">
      <c r="A797" s="3" t="n"/>
      <c r="B797" s="3" t="n"/>
      <c r="C797" s="3" t="n"/>
      <c r="D797" s="3" t="n"/>
      <c r="E797" s="3" t="n"/>
      <c r="F797" s="10" t="n"/>
      <c r="G797" s="10" t="n"/>
      <c r="H797" s="10" t="n"/>
      <c r="I797" s="3" t="n"/>
      <c r="J797" s="3">
        <f>IF(tblEjecucion[[#This Row],[orden]]="","",tblEjecucion[[#This Row],[orden]]&amp;IF(tblEjecucion[[#This Row],[operacion]]="","0010",tblEjecucion[[#This Row],[operacion]]))</f>
        <v/>
      </c>
    </row>
    <row r="798">
      <c r="A798" s="3" t="n"/>
      <c r="B798" s="3" t="n"/>
      <c r="C798" s="3" t="n"/>
      <c r="D798" s="3" t="n"/>
      <c r="E798" s="3" t="n"/>
      <c r="F798" s="10" t="n"/>
      <c r="G798" s="10" t="n"/>
      <c r="H798" s="10" t="n"/>
      <c r="I798" s="3" t="n"/>
      <c r="J798" s="3">
        <f>IF(tblEjecucion[[#This Row],[orden]]="","",tblEjecucion[[#This Row],[orden]]&amp;IF(tblEjecucion[[#This Row],[operacion]]="","0010",tblEjecucion[[#This Row],[operacion]]))</f>
        <v/>
      </c>
    </row>
    <row r="799">
      <c r="A799" s="3" t="n"/>
      <c r="B799" s="3" t="n"/>
      <c r="C799" s="3" t="n"/>
      <c r="D799" s="3" t="n"/>
      <c r="E799" s="3" t="n"/>
      <c r="F799" s="10" t="n"/>
      <c r="G799" s="10" t="n"/>
      <c r="H799" s="10" t="n"/>
      <c r="I799" s="3" t="n"/>
      <c r="J799" s="3">
        <f>IF(tblEjecucion[[#This Row],[orden]]="","",tblEjecucion[[#This Row],[orden]]&amp;IF(tblEjecucion[[#This Row],[operacion]]="","0010",tblEjecucion[[#This Row],[operacion]]))</f>
        <v/>
      </c>
    </row>
    <row r="800">
      <c r="A800" s="3" t="n"/>
      <c r="B800" s="3" t="n"/>
      <c r="C800" s="3" t="n"/>
      <c r="D800" s="3" t="n"/>
      <c r="E800" s="3" t="n"/>
      <c r="F800" s="10" t="n"/>
      <c r="G800" s="10" t="n"/>
      <c r="H800" s="10" t="n"/>
      <c r="I800" s="3" t="n"/>
      <c r="J800" s="3">
        <f>IF(tblEjecucion[[#This Row],[orden]]="","",tblEjecucion[[#This Row],[orden]]&amp;IF(tblEjecucion[[#This Row],[operacion]]="","0010",tblEjecucion[[#This Row],[operacion]]))</f>
        <v/>
      </c>
    </row>
    <row r="801">
      <c r="A801" s="3" t="n"/>
      <c r="B801" s="3" t="n"/>
      <c r="C801" s="3" t="n"/>
      <c r="D801" s="3" t="n"/>
      <c r="E801" s="3" t="n"/>
      <c r="F801" s="10" t="n"/>
      <c r="G801" s="10" t="n"/>
      <c r="H801" s="10" t="n"/>
      <c r="I801" s="3" t="n"/>
      <c r="J801" s="3">
        <f>IF(tblEjecucion[[#This Row],[orden]]="","",tblEjecucion[[#This Row],[orden]]&amp;IF(tblEjecucion[[#This Row],[operacion]]="","0010",tblEjecucion[[#This Row],[operacion]]))</f>
        <v/>
      </c>
    </row>
    <row r="802">
      <c r="A802" s="3" t="n"/>
      <c r="B802" s="3" t="n"/>
      <c r="C802" s="3" t="n"/>
      <c r="D802" s="3" t="n"/>
      <c r="E802" s="3" t="n"/>
      <c r="F802" s="10" t="n"/>
      <c r="G802" s="10" t="n"/>
      <c r="H802" s="10" t="n"/>
      <c r="I802" s="3" t="n"/>
      <c r="J802" s="3">
        <f>IF(tblEjecucion[[#This Row],[orden]]="","",tblEjecucion[[#This Row],[orden]]&amp;IF(tblEjecucion[[#This Row],[operacion]]="","0010",tblEjecucion[[#This Row],[operacion]]))</f>
        <v/>
      </c>
    </row>
    <row r="803">
      <c r="A803" s="3" t="n"/>
      <c r="B803" s="3" t="n"/>
      <c r="C803" s="3" t="n"/>
      <c r="D803" s="3" t="n"/>
      <c r="E803" s="3" t="n"/>
      <c r="F803" s="10" t="n"/>
      <c r="G803" s="10" t="n"/>
      <c r="H803" s="10" t="n"/>
      <c r="I803" s="3" t="n"/>
      <c r="J803" s="3">
        <f>IF(tblEjecucion[[#This Row],[orden]]="","",tblEjecucion[[#This Row],[orden]]&amp;IF(tblEjecucion[[#This Row],[operacion]]="","0010",tblEjecucion[[#This Row],[operacion]]))</f>
        <v/>
      </c>
    </row>
    <row r="804">
      <c r="A804" s="3" t="n"/>
      <c r="B804" s="3" t="n"/>
      <c r="C804" s="3" t="n"/>
      <c r="D804" s="3" t="n"/>
      <c r="E804" s="3" t="n"/>
      <c r="F804" s="10" t="n"/>
      <c r="G804" s="10" t="n"/>
      <c r="H804" s="10" t="n"/>
      <c r="I804" s="3" t="n"/>
      <c r="J804" s="3">
        <f>IF(tblEjecucion[[#This Row],[orden]]="","",tblEjecucion[[#This Row],[orden]]&amp;IF(tblEjecucion[[#This Row],[operacion]]="","0010",tblEjecucion[[#This Row],[operacion]]))</f>
        <v/>
      </c>
    </row>
    <row r="805">
      <c r="A805" s="3" t="n"/>
      <c r="B805" s="3" t="n"/>
      <c r="C805" s="3" t="n"/>
      <c r="D805" s="3" t="n"/>
      <c r="E805" s="3" t="n"/>
      <c r="F805" s="10" t="n"/>
      <c r="G805" s="10" t="n"/>
      <c r="H805" s="10" t="n"/>
      <c r="I805" s="3" t="n"/>
      <c r="J805" s="3">
        <f>IF(tblEjecucion[[#This Row],[orden]]="","",tblEjecucion[[#This Row],[orden]]&amp;IF(tblEjecucion[[#This Row],[operacion]]="","0010",tblEjecucion[[#This Row],[operacion]]))</f>
        <v/>
      </c>
    </row>
    <row r="806">
      <c r="A806" s="3" t="n"/>
      <c r="B806" s="3" t="n"/>
      <c r="C806" s="3" t="n"/>
      <c r="D806" s="3" t="n"/>
      <c r="E806" s="3" t="n"/>
      <c r="F806" s="10" t="n"/>
      <c r="G806" s="10" t="n"/>
      <c r="H806" s="10" t="n"/>
      <c r="I806" s="3" t="n"/>
      <c r="J806" s="3">
        <f>IF(tblEjecucion[[#This Row],[orden]]="","",tblEjecucion[[#This Row],[orden]]&amp;IF(tblEjecucion[[#This Row],[operacion]]="","0010",tblEjecucion[[#This Row],[operacion]]))</f>
        <v/>
      </c>
    </row>
    <row r="807">
      <c r="A807" s="3" t="n"/>
      <c r="B807" s="3" t="n"/>
      <c r="C807" s="3" t="n"/>
      <c r="D807" s="3" t="n"/>
      <c r="E807" s="3" t="n"/>
      <c r="F807" s="10" t="n"/>
      <c r="G807" s="10" t="n"/>
      <c r="H807" s="10" t="n"/>
      <c r="I807" s="3" t="n"/>
      <c r="J807" s="3">
        <f>IF(tblEjecucion[[#This Row],[orden]]="","",tblEjecucion[[#This Row],[orden]]&amp;IF(tblEjecucion[[#This Row],[operacion]]="","0010",tblEjecucion[[#This Row],[operacion]]))</f>
        <v/>
      </c>
    </row>
    <row r="808">
      <c r="A808" s="3" t="n"/>
      <c r="B808" s="3" t="n"/>
      <c r="C808" s="3" t="n"/>
      <c r="D808" s="3" t="n"/>
      <c r="E808" s="3" t="n"/>
      <c r="F808" s="10" t="n"/>
      <c r="G808" s="10" t="n"/>
      <c r="H808" s="10" t="n"/>
      <c r="I808" s="3" t="n"/>
      <c r="J808" s="3">
        <f>IF(tblEjecucion[[#This Row],[orden]]="","",tblEjecucion[[#This Row],[orden]]&amp;IF(tblEjecucion[[#This Row],[operacion]]="","0010",tblEjecucion[[#This Row],[operacion]]))</f>
        <v/>
      </c>
    </row>
    <row r="809">
      <c r="A809" s="3" t="n"/>
      <c r="B809" s="3" t="n"/>
      <c r="C809" s="3" t="n"/>
      <c r="D809" s="3" t="n"/>
      <c r="E809" s="3" t="n"/>
      <c r="F809" s="10" t="n"/>
      <c r="G809" s="10" t="n"/>
      <c r="H809" s="10" t="n"/>
      <c r="I809" s="3" t="n"/>
      <c r="J809" s="3">
        <f>IF(tblEjecucion[[#This Row],[orden]]="","",tblEjecucion[[#This Row],[orden]]&amp;IF(tblEjecucion[[#This Row],[operacion]]="","0010",tblEjecucion[[#This Row],[operacion]]))</f>
        <v/>
      </c>
    </row>
    <row r="810">
      <c r="A810" s="3" t="n"/>
      <c r="B810" s="3" t="n"/>
      <c r="C810" s="3" t="n"/>
      <c r="D810" s="3" t="n"/>
      <c r="E810" s="3" t="n"/>
      <c r="F810" s="10" t="n"/>
      <c r="G810" s="10" t="n"/>
      <c r="H810" s="10" t="n"/>
      <c r="I810" s="3" t="n"/>
      <c r="J810" s="3">
        <f>IF(tblEjecucion[[#This Row],[orden]]="","",tblEjecucion[[#This Row],[orden]]&amp;IF(tblEjecucion[[#This Row],[operacion]]="","0010",tblEjecucion[[#This Row],[operacion]]))</f>
        <v/>
      </c>
    </row>
    <row r="811">
      <c r="A811" s="3" t="n"/>
      <c r="B811" s="3" t="n"/>
      <c r="C811" s="3" t="n"/>
      <c r="D811" s="3" t="n"/>
      <c r="E811" s="3" t="n"/>
      <c r="F811" s="10" t="n"/>
      <c r="G811" s="10" t="n"/>
      <c r="H811" s="10" t="n"/>
      <c r="I811" s="3" t="n"/>
      <c r="J811" s="3">
        <f>IF(tblEjecucion[[#This Row],[orden]]="","",tblEjecucion[[#This Row],[orden]]&amp;IF(tblEjecucion[[#This Row],[operacion]]="","0010",tblEjecucion[[#This Row],[operacion]]))</f>
        <v/>
      </c>
    </row>
    <row r="812">
      <c r="A812" s="3" t="n"/>
      <c r="B812" s="3" t="n"/>
      <c r="C812" s="3" t="n"/>
      <c r="D812" s="3" t="n"/>
      <c r="E812" s="3" t="n"/>
      <c r="F812" s="10" t="n"/>
      <c r="G812" s="10" t="n"/>
      <c r="H812" s="10" t="n"/>
      <c r="I812" s="3" t="n"/>
      <c r="J812" s="3">
        <f>IF(tblEjecucion[[#This Row],[orden]]="","",tblEjecucion[[#This Row],[orden]]&amp;IF(tblEjecucion[[#This Row],[operacion]]="","0010",tblEjecucion[[#This Row],[operacion]]))</f>
        <v/>
      </c>
    </row>
    <row r="813">
      <c r="A813" s="3" t="n"/>
      <c r="B813" s="3" t="n"/>
      <c r="C813" s="3" t="n"/>
      <c r="D813" s="3" t="n"/>
      <c r="E813" s="3" t="n"/>
      <c r="F813" s="10" t="n"/>
      <c r="G813" s="10" t="n"/>
      <c r="H813" s="10" t="n"/>
      <c r="I813" s="3" t="n"/>
      <c r="J813" s="3">
        <f>IF(tblEjecucion[[#This Row],[orden]]="","",tblEjecucion[[#This Row],[orden]]&amp;IF(tblEjecucion[[#This Row],[operacion]]="","0010",tblEjecucion[[#This Row],[operacion]]))</f>
        <v/>
      </c>
    </row>
    <row r="814">
      <c r="A814" s="3" t="n"/>
      <c r="B814" s="3" t="n"/>
      <c r="C814" s="3" t="n"/>
      <c r="D814" s="3" t="n"/>
      <c r="E814" s="3" t="n"/>
      <c r="F814" s="10" t="n"/>
      <c r="G814" s="10" t="n"/>
      <c r="H814" s="10" t="n"/>
      <c r="I814" s="3" t="n"/>
      <c r="J814" s="3">
        <f>IF(tblEjecucion[[#This Row],[orden]]="","",tblEjecucion[[#This Row],[orden]]&amp;IF(tblEjecucion[[#This Row],[operacion]]="","0010",tblEjecucion[[#This Row],[operacion]]))</f>
        <v/>
      </c>
    </row>
    <row r="815">
      <c r="A815" s="3" t="n"/>
      <c r="B815" s="3" t="n"/>
      <c r="C815" s="3" t="n"/>
      <c r="D815" s="3" t="n"/>
      <c r="E815" s="3" t="n"/>
      <c r="F815" s="10" t="n"/>
      <c r="G815" s="10" t="n"/>
      <c r="H815" s="10" t="n"/>
      <c r="I815" s="3" t="n"/>
      <c r="J815" s="3">
        <f>IF(tblEjecucion[[#This Row],[orden]]="","",tblEjecucion[[#This Row],[orden]]&amp;IF(tblEjecucion[[#This Row],[operacion]]="","0010",tblEjecucion[[#This Row],[operacion]]))</f>
        <v/>
      </c>
    </row>
    <row r="816">
      <c r="A816" s="3" t="n"/>
      <c r="B816" s="3" t="n"/>
      <c r="C816" s="3" t="n"/>
      <c r="D816" s="3" t="n"/>
      <c r="E816" s="3" t="n"/>
      <c r="F816" s="10" t="n"/>
      <c r="G816" s="10" t="n"/>
      <c r="H816" s="10" t="n"/>
      <c r="I816" s="3" t="n"/>
      <c r="J816" s="3">
        <f>IF(tblEjecucion[[#This Row],[orden]]="","",tblEjecucion[[#This Row],[orden]]&amp;IF(tblEjecucion[[#This Row],[operacion]]="","0010",tblEjecucion[[#This Row],[operacion]]))</f>
        <v/>
      </c>
    </row>
    <row r="817">
      <c r="A817" s="3" t="n"/>
      <c r="B817" s="3" t="n"/>
      <c r="C817" s="3" t="n"/>
      <c r="D817" s="3" t="n"/>
      <c r="E817" s="3" t="n"/>
      <c r="F817" s="10" t="n"/>
      <c r="G817" s="10" t="n"/>
      <c r="H817" s="10" t="n"/>
      <c r="I817" s="3" t="n"/>
      <c r="J817" s="3">
        <f>IF(tblEjecucion[[#This Row],[orden]]="","",tblEjecucion[[#This Row],[orden]]&amp;IF(tblEjecucion[[#This Row],[operacion]]="","0010",tblEjecucion[[#This Row],[operacion]]))</f>
        <v/>
      </c>
    </row>
    <row r="818">
      <c r="A818" s="3" t="n"/>
      <c r="B818" s="3" t="n"/>
      <c r="C818" s="3" t="n"/>
      <c r="D818" s="3" t="n"/>
      <c r="E818" s="3" t="n"/>
      <c r="F818" s="10" t="n"/>
      <c r="G818" s="10" t="n"/>
      <c r="H818" s="10" t="n"/>
      <c r="I818" s="3" t="n"/>
      <c r="J818" s="3">
        <f>IF(tblEjecucion[[#This Row],[orden]]="","",tblEjecucion[[#This Row],[orden]]&amp;IF(tblEjecucion[[#This Row],[operacion]]="","0010",tblEjecucion[[#This Row],[operacion]]))</f>
        <v/>
      </c>
    </row>
    <row r="819">
      <c r="A819" s="3" t="n"/>
      <c r="B819" s="3" t="n"/>
      <c r="C819" s="3" t="n"/>
      <c r="D819" s="3" t="n"/>
      <c r="E819" s="3" t="n"/>
      <c r="F819" s="10" t="n"/>
      <c r="G819" s="10" t="n"/>
      <c r="H819" s="10" t="n"/>
      <c r="I819" s="3" t="n"/>
      <c r="J819" s="3">
        <f>IF(tblEjecucion[[#This Row],[orden]]="","",tblEjecucion[[#This Row],[orden]]&amp;IF(tblEjecucion[[#This Row],[operacion]]="","0010",tblEjecucion[[#This Row],[operacion]]))</f>
        <v/>
      </c>
    </row>
    <row r="820">
      <c r="A820" s="3" t="n"/>
      <c r="B820" s="3" t="n"/>
      <c r="C820" s="3" t="n"/>
      <c r="D820" s="3" t="n"/>
      <c r="E820" s="3" t="n"/>
      <c r="F820" s="10" t="n"/>
      <c r="G820" s="10" t="n"/>
      <c r="H820" s="10" t="n"/>
      <c r="I820" s="3" t="n"/>
      <c r="J820" s="3">
        <f>IF(tblEjecucion[[#This Row],[orden]]="","",tblEjecucion[[#This Row],[orden]]&amp;IF(tblEjecucion[[#This Row],[operacion]]="","0010",tblEjecucion[[#This Row],[operacion]]))</f>
        <v/>
      </c>
    </row>
    <row r="821">
      <c r="A821" s="3" t="n"/>
      <c r="B821" s="3" t="n"/>
      <c r="C821" s="3" t="n"/>
      <c r="D821" s="3" t="n"/>
      <c r="E821" s="3" t="n"/>
      <c r="F821" s="10" t="n"/>
      <c r="G821" s="10" t="n"/>
      <c r="H821" s="10" t="n"/>
      <c r="I821" s="3" t="n"/>
      <c r="J821" s="3">
        <f>IF(tblEjecucion[[#This Row],[orden]]="","",tblEjecucion[[#This Row],[orden]]&amp;IF(tblEjecucion[[#This Row],[operacion]]="","0010",tblEjecucion[[#This Row],[operacion]]))</f>
        <v/>
      </c>
    </row>
    <row r="822">
      <c r="A822" s="3" t="n"/>
      <c r="B822" s="3" t="n"/>
      <c r="C822" s="3" t="n"/>
      <c r="D822" s="3" t="n"/>
      <c r="E822" s="3" t="n"/>
      <c r="F822" s="10" t="n"/>
      <c r="G822" s="10" t="n"/>
      <c r="H822" s="10" t="n"/>
      <c r="I822" s="3" t="n"/>
      <c r="J822" s="3">
        <f>IF(tblEjecucion[[#This Row],[orden]]="","",tblEjecucion[[#This Row],[orden]]&amp;IF(tblEjecucion[[#This Row],[operacion]]="","0010",tblEjecucion[[#This Row],[operacion]]))</f>
        <v/>
      </c>
    </row>
    <row r="823">
      <c r="A823" s="3" t="n"/>
      <c r="B823" s="3" t="n"/>
      <c r="C823" s="3" t="n"/>
      <c r="D823" s="3" t="n"/>
      <c r="E823" s="3" t="n"/>
      <c r="F823" s="10" t="n"/>
      <c r="G823" s="10" t="n"/>
      <c r="H823" s="10" t="n"/>
      <c r="I823" s="3" t="n"/>
      <c r="J823" s="3">
        <f>IF(tblEjecucion[[#This Row],[orden]]="","",tblEjecucion[[#This Row],[orden]]&amp;IF(tblEjecucion[[#This Row],[operacion]]="","0010",tblEjecucion[[#This Row],[operacion]]))</f>
        <v/>
      </c>
    </row>
    <row r="824">
      <c r="A824" s="3" t="n"/>
      <c r="B824" s="3" t="n"/>
      <c r="C824" s="3" t="n"/>
      <c r="D824" s="3" t="n"/>
      <c r="E824" s="3" t="n"/>
      <c r="F824" s="10" t="n"/>
      <c r="G824" s="10" t="n"/>
      <c r="H824" s="10" t="n"/>
      <c r="I824" s="3" t="n"/>
      <c r="J824" s="3">
        <f>IF(tblEjecucion[[#This Row],[orden]]="","",tblEjecucion[[#This Row],[orden]]&amp;IF(tblEjecucion[[#This Row],[operacion]]="","0010",tblEjecucion[[#This Row],[operacion]]))</f>
        <v/>
      </c>
    </row>
    <row r="825">
      <c r="A825" s="3" t="n"/>
      <c r="B825" s="3" t="n"/>
      <c r="C825" s="3" t="n"/>
      <c r="D825" s="3" t="n"/>
      <c r="E825" s="3" t="n"/>
      <c r="F825" s="10" t="n"/>
      <c r="G825" s="10" t="n"/>
      <c r="H825" s="10" t="n"/>
      <c r="I825" s="3" t="n"/>
      <c r="J825" s="3">
        <f>IF(tblEjecucion[[#This Row],[orden]]="","",tblEjecucion[[#This Row],[orden]]&amp;IF(tblEjecucion[[#This Row],[operacion]]="","0010",tblEjecucion[[#This Row],[operacion]]))</f>
        <v/>
      </c>
    </row>
    <row r="826">
      <c r="A826" s="3" t="n"/>
      <c r="B826" s="3" t="n"/>
      <c r="C826" s="3" t="n"/>
      <c r="D826" s="3" t="n"/>
      <c r="E826" s="3" t="n"/>
      <c r="F826" s="10" t="n"/>
      <c r="G826" s="10" t="n"/>
      <c r="H826" s="10" t="n"/>
      <c r="I826" s="3" t="n"/>
      <c r="J826" s="3">
        <f>IF(tblEjecucion[[#This Row],[orden]]="","",tblEjecucion[[#This Row],[orden]]&amp;IF(tblEjecucion[[#This Row],[operacion]]="","0010",tblEjecucion[[#This Row],[operacion]]))</f>
        <v/>
      </c>
    </row>
    <row r="827">
      <c r="A827" s="3" t="n"/>
      <c r="B827" s="3" t="n"/>
      <c r="C827" s="3" t="n"/>
      <c r="D827" s="3" t="n"/>
      <c r="E827" s="3" t="n"/>
      <c r="F827" s="10" t="n"/>
      <c r="G827" s="10" t="n"/>
      <c r="H827" s="10" t="n"/>
      <c r="I827" s="3" t="n"/>
      <c r="J827" s="3">
        <f>IF(tblEjecucion[[#This Row],[orden]]="","",tblEjecucion[[#This Row],[orden]]&amp;IF(tblEjecucion[[#This Row],[operacion]]="","0010",tblEjecucion[[#This Row],[operacion]]))</f>
        <v/>
      </c>
    </row>
    <row r="828">
      <c r="A828" s="3" t="n"/>
      <c r="B828" s="3" t="n"/>
      <c r="C828" s="3" t="n"/>
      <c r="D828" s="3" t="n"/>
      <c r="E828" s="3" t="n"/>
      <c r="F828" s="10" t="n"/>
      <c r="G828" s="10" t="n"/>
      <c r="H828" s="10" t="n"/>
      <c r="I828" s="3" t="n"/>
      <c r="J828" s="3">
        <f>IF(tblEjecucion[[#This Row],[orden]]="","",tblEjecucion[[#This Row],[orden]]&amp;IF(tblEjecucion[[#This Row],[operacion]]="","0010",tblEjecucion[[#This Row],[operacion]]))</f>
        <v/>
      </c>
    </row>
    <row r="829">
      <c r="A829" s="3" t="n"/>
      <c r="B829" s="3" t="n"/>
      <c r="C829" s="3" t="n"/>
      <c r="D829" s="3" t="n"/>
      <c r="E829" s="3" t="n"/>
      <c r="F829" s="10" t="n"/>
      <c r="G829" s="10" t="n"/>
      <c r="H829" s="10" t="n"/>
      <c r="I829" s="3" t="n"/>
      <c r="J829" s="3">
        <f>IF(tblEjecucion[[#This Row],[orden]]="","",tblEjecucion[[#This Row],[orden]]&amp;IF(tblEjecucion[[#This Row],[operacion]]="","0010",tblEjecucion[[#This Row],[operacion]]))</f>
        <v/>
      </c>
    </row>
    <row r="830">
      <c r="A830" s="3" t="n"/>
      <c r="B830" s="3" t="n"/>
      <c r="C830" s="3" t="n"/>
      <c r="D830" s="3" t="n"/>
      <c r="E830" s="3" t="n"/>
      <c r="F830" s="10" t="n"/>
      <c r="G830" s="10" t="n"/>
      <c r="H830" s="10" t="n"/>
      <c r="I830" s="3" t="n"/>
      <c r="J830" s="3">
        <f>IF(tblEjecucion[[#This Row],[orden]]="","",tblEjecucion[[#This Row],[orden]]&amp;IF(tblEjecucion[[#This Row],[operacion]]="","0010",tblEjecucion[[#This Row],[operacion]]))</f>
        <v/>
      </c>
    </row>
    <row r="831">
      <c r="A831" s="3" t="n"/>
      <c r="B831" s="3" t="n"/>
      <c r="C831" s="3" t="n"/>
      <c r="D831" s="3" t="n"/>
      <c r="E831" s="3" t="n"/>
      <c r="F831" s="10" t="n"/>
      <c r="G831" s="10" t="n"/>
      <c r="H831" s="10" t="n"/>
      <c r="I831" s="3" t="n"/>
      <c r="J831" s="3">
        <f>IF(tblEjecucion[[#This Row],[orden]]="","",tblEjecucion[[#This Row],[orden]]&amp;IF(tblEjecucion[[#This Row],[operacion]]="","0010",tblEjecucion[[#This Row],[operacion]]))</f>
        <v/>
      </c>
    </row>
    <row r="832">
      <c r="A832" s="3" t="n"/>
      <c r="B832" s="3" t="n"/>
      <c r="C832" s="3" t="n"/>
      <c r="D832" s="3" t="n"/>
      <c r="E832" s="3" t="n"/>
      <c r="F832" s="10" t="n"/>
      <c r="G832" s="10" t="n"/>
      <c r="H832" s="10" t="n"/>
      <c r="I832" s="3" t="n"/>
      <c r="J832" s="3">
        <f>IF(tblEjecucion[[#This Row],[orden]]="","",tblEjecucion[[#This Row],[orden]]&amp;IF(tblEjecucion[[#This Row],[operacion]]="","0010",tblEjecucion[[#This Row],[operacion]]))</f>
        <v/>
      </c>
    </row>
    <row r="833">
      <c r="A833" s="3" t="n"/>
      <c r="B833" s="3" t="n"/>
      <c r="C833" s="3" t="n"/>
      <c r="D833" s="3" t="n"/>
      <c r="E833" s="3" t="n"/>
      <c r="F833" s="10" t="n"/>
      <c r="G833" s="10" t="n"/>
      <c r="H833" s="10" t="n"/>
      <c r="I833" s="3" t="n"/>
      <c r="J833" s="3">
        <f>IF(tblEjecucion[[#This Row],[orden]]="","",tblEjecucion[[#This Row],[orden]]&amp;IF(tblEjecucion[[#This Row],[operacion]]="","0010",tblEjecucion[[#This Row],[operacion]]))</f>
        <v/>
      </c>
    </row>
    <row r="834">
      <c r="A834" s="3" t="n"/>
      <c r="B834" s="3" t="n"/>
      <c r="C834" s="3" t="n"/>
      <c r="D834" s="3" t="n"/>
      <c r="E834" s="3" t="n"/>
      <c r="F834" s="10" t="n"/>
      <c r="G834" s="10" t="n"/>
      <c r="H834" s="10" t="n"/>
      <c r="I834" s="3" t="n"/>
      <c r="J834" s="3">
        <f>IF(tblEjecucion[[#This Row],[orden]]="","",tblEjecucion[[#This Row],[orden]]&amp;IF(tblEjecucion[[#This Row],[operacion]]="","0010",tblEjecucion[[#This Row],[operacion]]))</f>
        <v/>
      </c>
    </row>
    <row r="835">
      <c r="A835" s="3" t="n"/>
      <c r="B835" s="3" t="n"/>
      <c r="C835" s="3" t="n"/>
      <c r="D835" s="3" t="n"/>
      <c r="E835" s="3" t="n"/>
      <c r="F835" s="10" t="n"/>
      <c r="G835" s="10" t="n"/>
      <c r="H835" s="10" t="n"/>
      <c r="I835" s="3" t="n"/>
      <c r="J835" s="3">
        <f>IF(tblEjecucion[[#This Row],[orden]]="","",tblEjecucion[[#This Row],[orden]]&amp;IF(tblEjecucion[[#This Row],[operacion]]="","0010",tblEjecucion[[#This Row],[operacion]]))</f>
        <v/>
      </c>
    </row>
    <row r="836">
      <c r="A836" s="3" t="n"/>
      <c r="B836" s="3" t="n"/>
      <c r="C836" s="3" t="n"/>
      <c r="D836" s="3" t="n"/>
      <c r="E836" s="3" t="n"/>
      <c r="F836" s="10" t="n"/>
      <c r="G836" s="10" t="n"/>
      <c r="H836" s="10" t="n"/>
      <c r="I836" s="3" t="n"/>
      <c r="J836" s="3">
        <f>IF(tblEjecucion[[#This Row],[orden]]="","",tblEjecucion[[#This Row],[orden]]&amp;IF(tblEjecucion[[#This Row],[operacion]]="","0010",tblEjecucion[[#This Row],[operacion]]))</f>
        <v/>
      </c>
    </row>
    <row r="837">
      <c r="A837" s="3" t="n"/>
      <c r="B837" s="3" t="n"/>
      <c r="C837" s="3" t="n"/>
      <c r="D837" s="3" t="n"/>
      <c r="E837" s="3" t="n"/>
      <c r="F837" s="10" t="n"/>
      <c r="G837" s="10" t="n"/>
      <c r="H837" s="10" t="n"/>
      <c r="I837" s="3" t="n"/>
      <c r="J837" s="3">
        <f>IF(tblEjecucion[[#This Row],[orden]]="","",tblEjecucion[[#This Row],[orden]]&amp;IF(tblEjecucion[[#This Row],[operacion]]="","0010",tblEjecucion[[#This Row],[operacion]]))</f>
        <v/>
      </c>
    </row>
    <row r="838">
      <c r="A838" s="3" t="n"/>
      <c r="B838" s="3" t="n"/>
      <c r="C838" s="3" t="n"/>
      <c r="D838" s="3" t="n"/>
      <c r="E838" s="3" t="n"/>
      <c r="F838" s="10" t="n"/>
      <c r="G838" s="10" t="n"/>
      <c r="H838" s="10" t="n"/>
      <c r="I838" s="3" t="n"/>
      <c r="J838" s="3">
        <f>IF(tblEjecucion[[#This Row],[orden]]="","",tblEjecucion[[#This Row],[orden]]&amp;IF(tblEjecucion[[#This Row],[operacion]]="","0010",tblEjecucion[[#This Row],[operacion]]))</f>
        <v/>
      </c>
    </row>
    <row r="839">
      <c r="A839" s="3" t="n"/>
      <c r="B839" s="3" t="n"/>
      <c r="C839" s="3" t="n"/>
      <c r="D839" s="3" t="n"/>
      <c r="E839" s="3" t="n"/>
      <c r="F839" s="10" t="n"/>
      <c r="G839" s="10" t="n"/>
      <c r="H839" s="10" t="n"/>
      <c r="I839" s="3" t="n"/>
      <c r="J839" s="3">
        <f>IF(tblEjecucion[[#This Row],[orden]]="","",tblEjecucion[[#This Row],[orden]]&amp;IF(tblEjecucion[[#This Row],[operacion]]="","0010",tblEjecucion[[#This Row],[operacion]]))</f>
        <v/>
      </c>
    </row>
    <row r="840">
      <c r="A840" s="3" t="n"/>
      <c r="B840" s="3" t="n"/>
      <c r="C840" s="3" t="n"/>
      <c r="D840" s="3" t="n"/>
      <c r="E840" s="3" t="n"/>
      <c r="F840" s="10" t="n"/>
      <c r="G840" s="10" t="n"/>
      <c r="H840" s="10" t="n"/>
      <c r="I840" s="3" t="n"/>
      <c r="J840" s="3">
        <f>IF(tblEjecucion[[#This Row],[orden]]="","",tblEjecucion[[#This Row],[orden]]&amp;IF(tblEjecucion[[#This Row],[operacion]]="","0010",tblEjecucion[[#This Row],[operacion]]))</f>
        <v/>
      </c>
    </row>
    <row r="841">
      <c r="A841" s="3" t="n"/>
      <c r="B841" s="3" t="n"/>
      <c r="C841" s="3" t="n"/>
      <c r="D841" s="3" t="n"/>
      <c r="E841" s="3" t="n"/>
      <c r="F841" s="10" t="n"/>
      <c r="G841" s="10" t="n"/>
      <c r="H841" s="10" t="n"/>
      <c r="I841" s="3" t="n"/>
      <c r="J841" s="3">
        <f>IF(tblEjecucion[[#This Row],[orden]]="","",tblEjecucion[[#This Row],[orden]]&amp;IF(tblEjecucion[[#This Row],[operacion]]="","0010",tblEjecucion[[#This Row],[operacion]]))</f>
        <v/>
      </c>
    </row>
    <row r="842">
      <c r="A842" s="3" t="n"/>
      <c r="B842" s="3" t="n"/>
      <c r="C842" s="3" t="n"/>
      <c r="D842" s="3" t="n"/>
      <c r="E842" s="3" t="n"/>
      <c r="F842" s="10" t="n"/>
      <c r="G842" s="10" t="n"/>
      <c r="H842" s="10" t="n"/>
      <c r="I842" s="3" t="n"/>
      <c r="J842" s="3">
        <f>IF(tblEjecucion[[#This Row],[orden]]="","",tblEjecucion[[#This Row],[orden]]&amp;IF(tblEjecucion[[#This Row],[operacion]]="","0010",tblEjecucion[[#This Row],[operacion]]))</f>
        <v/>
      </c>
    </row>
    <row r="843">
      <c r="A843" s="3" t="n"/>
      <c r="B843" s="3" t="n"/>
      <c r="C843" s="3" t="n"/>
      <c r="D843" s="3" t="n"/>
      <c r="E843" s="3" t="n"/>
      <c r="F843" s="10" t="n"/>
      <c r="G843" s="10" t="n"/>
      <c r="H843" s="10" t="n"/>
      <c r="I843" s="3" t="n"/>
      <c r="J843" s="3">
        <f>IF(tblEjecucion[[#This Row],[orden]]="","",tblEjecucion[[#This Row],[orden]]&amp;IF(tblEjecucion[[#This Row],[operacion]]="","0010",tblEjecucion[[#This Row],[operacion]]))</f>
        <v/>
      </c>
    </row>
    <row r="844">
      <c r="A844" s="3" t="n"/>
      <c r="B844" s="3" t="n"/>
      <c r="C844" s="3" t="n"/>
      <c r="D844" s="3" t="n"/>
      <c r="E844" s="3" t="n"/>
      <c r="F844" s="10" t="n"/>
      <c r="G844" s="10" t="n"/>
      <c r="H844" s="10" t="n"/>
      <c r="I844" s="3" t="n"/>
      <c r="J844" s="3">
        <f>IF(tblEjecucion[[#This Row],[orden]]="","",tblEjecucion[[#This Row],[orden]]&amp;IF(tblEjecucion[[#This Row],[operacion]]="","0010",tblEjecucion[[#This Row],[operacion]]))</f>
        <v/>
      </c>
    </row>
    <row r="845">
      <c r="A845" s="3" t="n"/>
      <c r="B845" s="3" t="n"/>
      <c r="C845" s="3" t="n"/>
      <c r="D845" s="3" t="n"/>
      <c r="E845" s="3" t="n"/>
      <c r="F845" s="10" t="n"/>
      <c r="G845" s="10" t="n"/>
      <c r="H845" s="10" t="n"/>
      <c r="I845" s="3" t="n"/>
      <c r="J845" s="3">
        <f>IF(tblEjecucion[[#This Row],[orden]]="","",tblEjecucion[[#This Row],[orden]]&amp;IF(tblEjecucion[[#This Row],[operacion]]="","0010",tblEjecucion[[#This Row],[operacion]]))</f>
        <v/>
      </c>
    </row>
    <row r="846">
      <c r="A846" s="3" t="n"/>
      <c r="B846" s="3" t="n"/>
      <c r="C846" s="3" t="n"/>
      <c r="D846" s="3" t="n"/>
      <c r="E846" s="3" t="n"/>
      <c r="F846" s="10" t="n"/>
      <c r="G846" s="10" t="n"/>
      <c r="H846" s="10" t="n"/>
      <c r="I846" s="3" t="n"/>
      <c r="J846" s="3">
        <f>IF(tblEjecucion[[#This Row],[orden]]="","",tblEjecucion[[#This Row],[orden]]&amp;IF(tblEjecucion[[#This Row],[operacion]]="","0010",tblEjecucion[[#This Row],[operacion]]))</f>
        <v/>
      </c>
    </row>
    <row r="847">
      <c r="A847" s="3" t="n"/>
      <c r="B847" s="3" t="n"/>
      <c r="C847" s="3" t="n"/>
      <c r="D847" s="3" t="n"/>
      <c r="E847" s="3" t="n"/>
      <c r="F847" s="10" t="n"/>
      <c r="G847" s="10" t="n"/>
      <c r="H847" s="10" t="n"/>
      <c r="I847" s="3" t="n"/>
      <c r="J847" s="3">
        <f>IF(tblEjecucion[[#This Row],[orden]]="","",tblEjecucion[[#This Row],[orden]]&amp;IF(tblEjecucion[[#This Row],[operacion]]="","0010",tblEjecucion[[#This Row],[operacion]]))</f>
        <v/>
      </c>
    </row>
    <row r="848">
      <c r="A848" s="3" t="n"/>
      <c r="B848" s="3" t="n"/>
      <c r="C848" s="3" t="n"/>
      <c r="D848" s="3" t="n"/>
      <c r="E848" s="3" t="n"/>
      <c r="F848" s="10" t="n"/>
      <c r="G848" s="10" t="n"/>
      <c r="H848" s="10" t="n"/>
      <c r="I848" s="3" t="n"/>
      <c r="J848" s="3">
        <f>IF(tblEjecucion[[#This Row],[orden]]="","",tblEjecucion[[#This Row],[orden]]&amp;IF(tblEjecucion[[#This Row],[operacion]]="","0010",tblEjecucion[[#This Row],[operacion]]))</f>
        <v/>
      </c>
    </row>
    <row r="849">
      <c r="A849" s="3" t="n"/>
      <c r="B849" s="3" t="n"/>
      <c r="C849" s="3" t="n"/>
      <c r="D849" s="3" t="n"/>
      <c r="E849" s="3" t="n"/>
      <c r="F849" s="10" t="n"/>
      <c r="G849" s="10" t="n"/>
      <c r="H849" s="10" t="n"/>
      <c r="I849" s="3" t="n"/>
      <c r="J849" s="3">
        <f>IF(tblEjecucion[[#This Row],[orden]]="","",tblEjecucion[[#This Row],[orden]]&amp;IF(tblEjecucion[[#This Row],[operacion]]="","0010",tblEjecucion[[#This Row],[operacion]]))</f>
        <v/>
      </c>
    </row>
    <row r="850">
      <c r="A850" s="3" t="n"/>
      <c r="B850" s="3" t="n"/>
      <c r="C850" s="3" t="n"/>
      <c r="D850" s="3" t="n"/>
      <c r="E850" s="3" t="n"/>
      <c r="F850" s="10" t="n"/>
      <c r="G850" s="10" t="n"/>
      <c r="H850" s="10" t="n"/>
      <c r="I850" s="3" t="n"/>
      <c r="J850" s="3">
        <f>IF(tblEjecucion[[#This Row],[orden]]="","",tblEjecucion[[#This Row],[orden]]&amp;IF(tblEjecucion[[#This Row],[operacion]]="","0010",tblEjecucion[[#This Row],[operacion]]))</f>
        <v/>
      </c>
    </row>
    <row r="851">
      <c r="A851" s="3" t="n"/>
      <c r="B851" s="3" t="n"/>
      <c r="C851" s="3" t="n"/>
      <c r="D851" s="3" t="n"/>
      <c r="E851" s="3" t="n"/>
      <c r="F851" s="10" t="n"/>
      <c r="G851" s="10" t="n"/>
      <c r="H851" s="10" t="n"/>
      <c r="I851" s="3" t="n"/>
      <c r="J851" s="3">
        <f>IF(tblEjecucion[[#This Row],[orden]]="","",tblEjecucion[[#This Row],[orden]]&amp;IF(tblEjecucion[[#This Row],[operacion]]="","0010",tblEjecucion[[#This Row],[operacion]]))</f>
        <v/>
      </c>
    </row>
    <row r="852">
      <c r="A852" s="3" t="n"/>
      <c r="B852" s="3" t="n"/>
      <c r="C852" s="3" t="n"/>
      <c r="D852" s="3" t="n"/>
      <c r="E852" s="3" t="n"/>
      <c r="F852" s="10" t="n"/>
      <c r="G852" s="10" t="n"/>
      <c r="H852" s="10" t="n"/>
      <c r="I852" s="3" t="n"/>
      <c r="J852" s="3">
        <f>IF(tblEjecucion[[#This Row],[orden]]="","",tblEjecucion[[#This Row],[orden]]&amp;IF(tblEjecucion[[#This Row],[operacion]]="","0010",tblEjecucion[[#This Row],[operacion]]))</f>
        <v/>
      </c>
    </row>
    <row r="853">
      <c r="A853" s="3" t="n"/>
      <c r="B853" s="3" t="n"/>
      <c r="C853" s="3" t="n"/>
      <c r="D853" s="3" t="n"/>
      <c r="E853" s="3" t="n"/>
      <c r="F853" s="10" t="n"/>
      <c r="G853" s="10" t="n"/>
      <c r="H853" s="10" t="n"/>
      <c r="I853" s="3" t="n"/>
      <c r="J853" s="3">
        <f>IF(tblEjecucion[[#This Row],[orden]]="","",tblEjecucion[[#This Row],[orden]]&amp;IF(tblEjecucion[[#This Row],[operacion]]="","0010",tblEjecucion[[#This Row],[operacion]]))</f>
        <v/>
      </c>
    </row>
    <row r="854">
      <c r="A854" s="3" t="n"/>
      <c r="B854" s="3" t="n"/>
      <c r="C854" s="3" t="n"/>
      <c r="D854" s="3" t="n"/>
      <c r="E854" s="3" t="n"/>
      <c r="F854" s="10" t="n"/>
      <c r="G854" s="10" t="n"/>
      <c r="H854" s="10" t="n"/>
      <c r="I854" s="3" t="n"/>
      <c r="J854" s="3">
        <f>IF(tblEjecucion[[#This Row],[orden]]="","",tblEjecucion[[#This Row],[orden]]&amp;IF(tblEjecucion[[#This Row],[operacion]]="","0010",tblEjecucion[[#This Row],[operacion]]))</f>
        <v/>
      </c>
    </row>
    <row r="855">
      <c r="A855" s="3" t="n"/>
      <c r="B855" s="3" t="n"/>
      <c r="C855" s="3" t="n"/>
      <c r="D855" s="3" t="n"/>
      <c r="E855" s="3" t="n"/>
      <c r="F855" s="10" t="n"/>
      <c r="G855" s="10" t="n"/>
      <c r="H855" s="10" t="n"/>
      <c r="I855" s="3" t="n"/>
      <c r="J855" s="3">
        <f>IF(tblEjecucion[[#This Row],[orden]]="","",tblEjecucion[[#This Row],[orden]]&amp;IF(tblEjecucion[[#This Row],[operacion]]="","0010",tblEjecucion[[#This Row],[operacion]]))</f>
        <v/>
      </c>
    </row>
    <row r="856">
      <c r="A856" s="3" t="n"/>
      <c r="B856" s="3" t="n"/>
      <c r="C856" s="3" t="n"/>
      <c r="D856" s="3" t="n"/>
      <c r="E856" s="3" t="n"/>
      <c r="F856" s="10" t="n"/>
      <c r="G856" s="10" t="n"/>
      <c r="H856" s="10" t="n"/>
      <c r="I856" s="3" t="n"/>
      <c r="J856" s="3">
        <f>IF(tblEjecucion[[#This Row],[orden]]="","",tblEjecucion[[#This Row],[orden]]&amp;IF(tblEjecucion[[#This Row],[operacion]]="","0010",tblEjecucion[[#This Row],[operacion]]))</f>
        <v/>
      </c>
    </row>
    <row r="857">
      <c r="A857" s="3" t="n"/>
      <c r="B857" s="3" t="n"/>
      <c r="C857" s="3" t="n"/>
      <c r="D857" s="3" t="n"/>
      <c r="E857" s="3" t="n"/>
      <c r="F857" s="10" t="n"/>
      <c r="G857" s="10" t="n"/>
      <c r="H857" s="10" t="n"/>
      <c r="I857" s="3" t="n"/>
      <c r="J857" s="3">
        <f>IF(tblEjecucion[[#This Row],[orden]]="","",tblEjecucion[[#This Row],[orden]]&amp;IF(tblEjecucion[[#This Row],[operacion]]="","0010",tblEjecucion[[#This Row],[operacion]]))</f>
        <v/>
      </c>
    </row>
    <row r="858">
      <c r="A858" s="3" t="n"/>
      <c r="B858" s="3" t="n"/>
      <c r="C858" s="3" t="n"/>
      <c r="D858" s="3" t="n"/>
      <c r="E858" s="3" t="n"/>
      <c r="F858" s="10" t="n"/>
      <c r="G858" s="10" t="n"/>
      <c r="H858" s="10" t="n"/>
      <c r="I858" s="3" t="n"/>
      <c r="J858" s="3">
        <f>IF(tblEjecucion[[#This Row],[orden]]="","",tblEjecucion[[#This Row],[orden]]&amp;IF(tblEjecucion[[#This Row],[operacion]]="","0010",tblEjecucion[[#This Row],[operacion]]))</f>
        <v/>
      </c>
    </row>
    <row r="859">
      <c r="A859" s="3" t="n"/>
      <c r="B859" s="3" t="n"/>
      <c r="C859" s="3" t="n"/>
      <c r="D859" s="3" t="n"/>
      <c r="E859" s="3" t="n"/>
      <c r="F859" s="10" t="n"/>
      <c r="G859" s="10" t="n"/>
      <c r="H859" s="10" t="n"/>
      <c r="I859" s="3" t="n"/>
      <c r="J859" s="3">
        <f>IF(tblEjecucion[[#This Row],[orden]]="","",tblEjecucion[[#This Row],[orden]]&amp;IF(tblEjecucion[[#This Row],[operacion]]="","0010",tblEjecucion[[#This Row],[operacion]]))</f>
        <v/>
      </c>
    </row>
    <row r="860">
      <c r="A860" s="3" t="n"/>
      <c r="B860" s="3" t="n"/>
      <c r="C860" s="3" t="n"/>
      <c r="D860" s="3" t="n"/>
      <c r="E860" s="3" t="n"/>
      <c r="F860" s="10" t="n"/>
      <c r="G860" s="10" t="n"/>
      <c r="H860" s="10" t="n"/>
      <c r="I860" s="3" t="n"/>
      <c r="J860" s="3">
        <f>IF(tblEjecucion[[#This Row],[orden]]="","",tblEjecucion[[#This Row],[orden]]&amp;IF(tblEjecucion[[#This Row],[operacion]]="","0010",tblEjecucion[[#This Row],[operacion]]))</f>
        <v/>
      </c>
    </row>
    <row r="861">
      <c r="A861" s="3" t="n"/>
      <c r="B861" s="3" t="n"/>
      <c r="C861" s="3" t="n"/>
      <c r="D861" s="3" t="n"/>
      <c r="E861" s="3" t="n"/>
      <c r="F861" s="10" t="n"/>
      <c r="G861" s="10" t="n"/>
      <c r="H861" s="10" t="n"/>
      <c r="I861" s="3" t="n"/>
      <c r="J861" s="3">
        <f>IF(tblEjecucion[[#This Row],[orden]]="","",tblEjecucion[[#This Row],[orden]]&amp;IF(tblEjecucion[[#This Row],[operacion]]="","0010",tblEjecucion[[#This Row],[operacion]]))</f>
        <v/>
      </c>
    </row>
    <row r="862">
      <c r="A862" s="3" t="n"/>
      <c r="B862" s="3" t="n"/>
      <c r="C862" s="3" t="n"/>
      <c r="D862" s="3" t="n"/>
      <c r="E862" s="3" t="n"/>
      <c r="F862" s="10" t="n"/>
      <c r="G862" s="10" t="n"/>
      <c r="H862" s="10" t="n"/>
      <c r="I862" s="3" t="n"/>
      <c r="J862" s="3">
        <f>IF(tblEjecucion[[#This Row],[orden]]="","",tblEjecucion[[#This Row],[orden]]&amp;IF(tblEjecucion[[#This Row],[operacion]]="","0010",tblEjecucion[[#This Row],[operacion]]))</f>
        <v/>
      </c>
    </row>
    <row r="863">
      <c r="A863" s="3" t="n"/>
      <c r="B863" s="3" t="n"/>
      <c r="C863" s="3" t="n"/>
      <c r="D863" s="3" t="n"/>
      <c r="E863" s="3" t="n"/>
      <c r="F863" s="10" t="n"/>
      <c r="G863" s="10" t="n"/>
      <c r="H863" s="10" t="n"/>
      <c r="I863" s="3" t="n"/>
      <c r="J863" s="3">
        <f>IF(tblEjecucion[[#This Row],[orden]]="","",tblEjecucion[[#This Row],[orden]]&amp;IF(tblEjecucion[[#This Row],[operacion]]="","0010",tblEjecucion[[#This Row],[operacion]]))</f>
        <v/>
      </c>
    </row>
    <row r="864">
      <c r="A864" s="3" t="n"/>
      <c r="B864" s="3" t="n"/>
      <c r="C864" s="3" t="n"/>
      <c r="D864" s="3" t="n"/>
      <c r="E864" s="3" t="n"/>
      <c r="F864" s="10" t="n"/>
      <c r="G864" s="10" t="n"/>
      <c r="H864" s="10" t="n"/>
      <c r="I864" s="3" t="n"/>
      <c r="J864" s="3">
        <f>IF(tblEjecucion[[#This Row],[orden]]="","",tblEjecucion[[#This Row],[orden]]&amp;IF(tblEjecucion[[#This Row],[operacion]]="","0010",tblEjecucion[[#This Row],[operacion]]))</f>
        <v/>
      </c>
    </row>
    <row r="865">
      <c r="A865" s="3" t="n"/>
      <c r="B865" s="3" t="n"/>
      <c r="C865" s="3" t="n"/>
      <c r="D865" s="3" t="n"/>
      <c r="E865" s="3" t="n"/>
      <c r="F865" s="10" t="n"/>
      <c r="G865" s="10" t="n"/>
      <c r="H865" s="10" t="n"/>
      <c r="I865" s="3" t="n"/>
      <c r="J865" s="3">
        <f>IF(tblEjecucion[[#This Row],[orden]]="","",tblEjecucion[[#This Row],[orden]]&amp;IF(tblEjecucion[[#This Row],[operacion]]="","0010",tblEjecucion[[#This Row],[operacion]]))</f>
        <v/>
      </c>
    </row>
    <row r="866">
      <c r="A866" s="3" t="n"/>
      <c r="B866" s="3" t="n"/>
      <c r="C866" s="3" t="n"/>
      <c r="D866" s="3" t="n"/>
      <c r="E866" s="3" t="n"/>
      <c r="F866" s="10" t="n"/>
      <c r="G866" s="10" t="n"/>
      <c r="H866" s="10" t="n"/>
      <c r="I866" s="3" t="n"/>
      <c r="J866" s="3">
        <f>IF(tblEjecucion[[#This Row],[orden]]="","",tblEjecucion[[#This Row],[orden]]&amp;IF(tblEjecucion[[#This Row],[operacion]]="","0010",tblEjecucion[[#This Row],[operacion]]))</f>
        <v/>
      </c>
    </row>
    <row r="867">
      <c r="A867" s="3" t="n"/>
      <c r="B867" s="3" t="n"/>
      <c r="C867" s="3" t="n"/>
      <c r="D867" s="3" t="n"/>
      <c r="E867" s="3" t="n"/>
      <c r="F867" s="10" t="n"/>
      <c r="G867" s="10" t="n"/>
      <c r="H867" s="10" t="n"/>
      <c r="I867" s="3" t="n"/>
      <c r="J867" s="3">
        <f>IF(tblEjecucion[[#This Row],[orden]]="","",tblEjecucion[[#This Row],[orden]]&amp;IF(tblEjecucion[[#This Row],[operacion]]="","0010",tblEjecucion[[#This Row],[operacion]]))</f>
        <v/>
      </c>
    </row>
    <row r="868">
      <c r="A868" s="3" t="n"/>
      <c r="B868" s="3" t="n"/>
      <c r="C868" s="3" t="n"/>
      <c r="D868" s="3" t="n"/>
      <c r="E868" s="3" t="n"/>
      <c r="F868" s="10" t="n"/>
      <c r="G868" s="10" t="n"/>
      <c r="H868" s="10" t="n"/>
      <c r="I868" s="3" t="n"/>
      <c r="J868" s="3">
        <f>IF(tblEjecucion[[#This Row],[orden]]="","",tblEjecucion[[#This Row],[orden]]&amp;IF(tblEjecucion[[#This Row],[operacion]]="","0010",tblEjecucion[[#This Row],[operacion]]))</f>
        <v/>
      </c>
    </row>
    <row r="869">
      <c r="A869" s="3" t="n"/>
      <c r="B869" s="3" t="n"/>
      <c r="C869" s="3" t="n"/>
      <c r="D869" s="3" t="n"/>
      <c r="E869" s="3" t="n"/>
      <c r="F869" s="10" t="n"/>
      <c r="G869" s="10" t="n"/>
      <c r="H869" s="10" t="n"/>
      <c r="I869" s="3" t="n"/>
      <c r="J869" s="3">
        <f>IF(tblEjecucion[[#This Row],[orden]]="","",tblEjecucion[[#This Row],[orden]]&amp;IF(tblEjecucion[[#This Row],[operacion]]="","0010",tblEjecucion[[#This Row],[operacion]]))</f>
        <v/>
      </c>
    </row>
    <row r="870">
      <c r="A870" s="3" t="n"/>
      <c r="B870" s="3" t="n"/>
      <c r="C870" s="3" t="n"/>
      <c r="D870" s="3" t="n"/>
      <c r="E870" s="3" t="n"/>
      <c r="F870" s="10" t="n"/>
      <c r="G870" s="10" t="n"/>
      <c r="H870" s="10" t="n"/>
      <c r="I870" s="3" t="n"/>
      <c r="J870" s="3">
        <f>IF(tblEjecucion[[#This Row],[orden]]="","",tblEjecucion[[#This Row],[orden]]&amp;IF(tblEjecucion[[#This Row],[operacion]]="","0010",tblEjecucion[[#This Row],[operacion]]))</f>
        <v/>
      </c>
    </row>
    <row r="871">
      <c r="A871" s="3" t="n"/>
      <c r="B871" s="3" t="n"/>
      <c r="C871" s="3" t="n"/>
      <c r="D871" s="3" t="n"/>
      <c r="E871" s="3" t="n"/>
      <c r="F871" s="10" t="n"/>
      <c r="G871" s="10" t="n"/>
      <c r="H871" s="10" t="n"/>
      <c r="I871" s="3" t="n"/>
      <c r="J871" s="3">
        <f>IF(tblEjecucion[[#This Row],[orden]]="","",tblEjecucion[[#This Row],[orden]]&amp;IF(tblEjecucion[[#This Row],[operacion]]="","0010",tblEjecucion[[#This Row],[operacion]]))</f>
        <v/>
      </c>
    </row>
    <row r="872">
      <c r="A872" s="3" t="n"/>
      <c r="B872" s="3" t="n"/>
      <c r="C872" s="3" t="n"/>
      <c r="D872" s="3" t="n"/>
      <c r="E872" s="3" t="n"/>
      <c r="F872" s="10" t="n"/>
      <c r="G872" s="10" t="n"/>
      <c r="H872" s="10" t="n"/>
      <c r="I872" s="3" t="n"/>
      <c r="J872" s="3">
        <f>IF(tblEjecucion[[#This Row],[orden]]="","",tblEjecucion[[#This Row],[orden]]&amp;IF(tblEjecucion[[#This Row],[operacion]]="","0010",tblEjecucion[[#This Row],[operacion]]))</f>
        <v/>
      </c>
    </row>
    <row r="873">
      <c r="A873" s="3" t="n"/>
      <c r="B873" s="3" t="n"/>
      <c r="C873" s="3" t="n"/>
      <c r="D873" s="3" t="n"/>
      <c r="E873" s="3" t="n"/>
      <c r="F873" s="10" t="n"/>
      <c r="G873" s="10" t="n"/>
      <c r="H873" s="10" t="n"/>
      <c r="I873" s="3" t="n"/>
      <c r="J873" s="3">
        <f>IF(tblEjecucion[[#This Row],[orden]]="","",tblEjecucion[[#This Row],[orden]]&amp;IF(tblEjecucion[[#This Row],[operacion]]="","0010",tblEjecucion[[#This Row],[operacion]]))</f>
        <v/>
      </c>
    </row>
    <row r="874">
      <c r="A874" s="3" t="n"/>
      <c r="B874" s="3" t="n"/>
      <c r="C874" s="3" t="n"/>
      <c r="D874" s="3" t="n"/>
      <c r="E874" s="3" t="n"/>
      <c r="F874" s="10" t="n"/>
      <c r="G874" s="10" t="n"/>
      <c r="H874" s="10" t="n"/>
      <c r="I874" s="3" t="n"/>
      <c r="J874" s="3">
        <f>IF(tblEjecucion[[#This Row],[orden]]="","",tblEjecucion[[#This Row],[orden]]&amp;IF(tblEjecucion[[#This Row],[operacion]]="","0010",tblEjecucion[[#This Row],[operacion]]))</f>
        <v/>
      </c>
    </row>
    <row r="875">
      <c r="A875" s="3" t="n"/>
      <c r="B875" s="3" t="n"/>
      <c r="C875" s="3" t="n"/>
      <c r="D875" s="3" t="n"/>
      <c r="E875" s="3" t="n"/>
      <c r="F875" s="10" t="n"/>
      <c r="G875" s="10" t="n"/>
      <c r="H875" s="10" t="n"/>
      <c r="I875" s="3" t="n"/>
      <c r="J875" s="3">
        <f>IF(tblEjecucion[[#This Row],[orden]]="","",tblEjecucion[[#This Row],[orden]]&amp;IF(tblEjecucion[[#This Row],[operacion]]="","0010",tblEjecucion[[#This Row],[operacion]]))</f>
        <v/>
      </c>
    </row>
    <row r="876">
      <c r="A876" s="3" t="n"/>
      <c r="B876" s="3" t="n"/>
      <c r="C876" s="3" t="n"/>
      <c r="D876" s="3" t="n"/>
      <c r="E876" s="3" t="n"/>
      <c r="F876" s="10" t="n"/>
      <c r="G876" s="10" t="n"/>
      <c r="H876" s="10" t="n"/>
      <c r="I876" s="3" t="n"/>
      <c r="J876" s="3">
        <f>IF(tblEjecucion[[#This Row],[orden]]="","",tblEjecucion[[#This Row],[orden]]&amp;IF(tblEjecucion[[#This Row],[operacion]]="","0010",tblEjecucion[[#This Row],[operacion]]))</f>
        <v/>
      </c>
    </row>
    <row r="877">
      <c r="A877" s="3" t="n"/>
      <c r="B877" s="3" t="n"/>
      <c r="C877" s="3" t="n"/>
      <c r="D877" s="3" t="n"/>
      <c r="E877" s="3" t="n"/>
      <c r="F877" s="10" t="n"/>
      <c r="G877" s="10" t="n"/>
      <c r="H877" s="10" t="n"/>
      <c r="I877" s="3" t="n"/>
      <c r="J877" s="3">
        <f>IF(tblEjecucion[[#This Row],[orden]]="","",tblEjecucion[[#This Row],[orden]]&amp;IF(tblEjecucion[[#This Row],[operacion]]="","0010",tblEjecucion[[#This Row],[operacion]]))</f>
        <v/>
      </c>
    </row>
    <row r="878">
      <c r="A878" s="3" t="n"/>
      <c r="B878" s="3" t="n"/>
      <c r="C878" s="3" t="n"/>
      <c r="D878" s="3" t="n"/>
      <c r="E878" s="3" t="n"/>
      <c r="F878" s="10" t="n"/>
      <c r="G878" s="10" t="n"/>
      <c r="H878" s="10" t="n"/>
      <c r="I878" s="3" t="n"/>
      <c r="J878" s="3">
        <f>IF(tblEjecucion[[#This Row],[orden]]="","",tblEjecucion[[#This Row],[orden]]&amp;IF(tblEjecucion[[#This Row],[operacion]]="","0010",tblEjecucion[[#This Row],[operacion]]))</f>
        <v/>
      </c>
    </row>
    <row r="879">
      <c r="A879" s="3" t="n"/>
      <c r="B879" s="3" t="n"/>
      <c r="C879" s="3" t="n"/>
      <c r="D879" s="3" t="n"/>
      <c r="E879" s="3" t="n"/>
      <c r="F879" s="10" t="n"/>
      <c r="G879" s="10" t="n"/>
      <c r="H879" s="10" t="n"/>
      <c r="I879" s="3" t="n"/>
      <c r="J879" s="3">
        <f>IF(tblEjecucion[[#This Row],[orden]]="","",tblEjecucion[[#This Row],[orden]]&amp;IF(tblEjecucion[[#This Row],[operacion]]="","0010",tblEjecucion[[#This Row],[operacion]]))</f>
        <v/>
      </c>
    </row>
    <row r="880">
      <c r="A880" s="3" t="n"/>
      <c r="B880" s="3" t="n"/>
      <c r="C880" s="3" t="n"/>
      <c r="D880" s="3" t="n"/>
      <c r="E880" s="3" t="n"/>
      <c r="F880" s="10" t="n"/>
      <c r="G880" s="10" t="n"/>
      <c r="H880" s="10" t="n"/>
      <c r="I880" s="3" t="n"/>
      <c r="J880" s="3">
        <f>IF(tblEjecucion[[#This Row],[orden]]="","",tblEjecucion[[#This Row],[orden]]&amp;IF(tblEjecucion[[#This Row],[operacion]]="","0010",tblEjecucion[[#This Row],[operacion]]))</f>
        <v/>
      </c>
    </row>
    <row r="881">
      <c r="A881" s="3" t="n"/>
      <c r="B881" s="3" t="n"/>
      <c r="C881" s="3" t="n"/>
      <c r="D881" s="3" t="n"/>
      <c r="E881" s="3" t="n"/>
      <c r="F881" s="10" t="n"/>
      <c r="G881" s="10" t="n"/>
      <c r="H881" s="10" t="n"/>
      <c r="I881" s="3" t="n"/>
      <c r="J881" s="3">
        <f>IF(tblEjecucion[[#This Row],[orden]]="","",tblEjecucion[[#This Row],[orden]]&amp;IF(tblEjecucion[[#This Row],[operacion]]="","0010",tblEjecucion[[#This Row],[operacion]]))</f>
        <v/>
      </c>
    </row>
    <row r="882">
      <c r="A882" s="3" t="n"/>
      <c r="B882" s="3" t="n"/>
      <c r="C882" s="3" t="n"/>
      <c r="D882" s="3" t="n"/>
      <c r="E882" s="3" t="n"/>
      <c r="F882" s="10" t="n"/>
      <c r="G882" s="10" t="n"/>
      <c r="H882" s="10" t="n"/>
      <c r="I882" s="3" t="n"/>
      <c r="J882" s="3">
        <f>IF(tblEjecucion[[#This Row],[orden]]="","",tblEjecucion[[#This Row],[orden]]&amp;IF(tblEjecucion[[#This Row],[operacion]]="","0010",tblEjecucion[[#This Row],[operacion]]))</f>
        <v/>
      </c>
    </row>
    <row r="883">
      <c r="A883" s="3" t="n"/>
      <c r="B883" s="3" t="n"/>
      <c r="C883" s="3" t="n"/>
      <c r="D883" s="3" t="n"/>
      <c r="E883" s="3" t="n"/>
      <c r="F883" s="10" t="n"/>
      <c r="G883" s="10" t="n"/>
      <c r="H883" s="10" t="n"/>
      <c r="I883" s="3" t="n"/>
      <c r="J883" s="3">
        <f>IF(tblEjecucion[[#This Row],[orden]]="","",tblEjecucion[[#This Row],[orden]]&amp;IF(tblEjecucion[[#This Row],[operacion]]="","0010",tblEjecucion[[#This Row],[operacion]]))</f>
        <v/>
      </c>
    </row>
    <row r="884">
      <c r="A884" s="3" t="n"/>
      <c r="B884" s="3" t="n"/>
      <c r="C884" s="3" t="n"/>
      <c r="D884" s="3" t="n"/>
      <c r="E884" s="3" t="n"/>
      <c r="F884" s="10" t="n"/>
      <c r="G884" s="10" t="n"/>
      <c r="H884" s="10" t="n"/>
      <c r="I884" s="3" t="n"/>
      <c r="J884" s="3">
        <f>IF(tblEjecucion[[#This Row],[orden]]="","",tblEjecucion[[#This Row],[orden]]&amp;IF(tblEjecucion[[#This Row],[operacion]]="","0010",tblEjecucion[[#This Row],[operacion]]))</f>
        <v/>
      </c>
    </row>
    <row r="885">
      <c r="A885" s="3" t="n"/>
      <c r="B885" s="3" t="n"/>
      <c r="C885" s="3" t="n"/>
      <c r="D885" s="3" t="n"/>
      <c r="E885" s="3" t="n"/>
      <c r="F885" s="10" t="n"/>
      <c r="G885" s="10" t="n"/>
      <c r="H885" s="10" t="n"/>
      <c r="I885" s="3" t="n"/>
      <c r="J885" s="3">
        <f>IF(tblEjecucion[[#This Row],[orden]]="","",tblEjecucion[[#This Row],[orden]]&amp;IF(tblEjecucion[[#This Row],[operacion]]="","0010",tblEjecucion[[#This Row],[operacion]]))</f>
        <v/>
      </c>
    </row>
    <row r="886">
      <c r="A886" s="3" t="n"/>
      <c r="B886" s="3" t="n"/>
      <c r="C886" s="3" t="n"/>
      <c r="D886" s="3" t="n"/>
      <c r="E886" s="3" t="n"/>
      <c r="F886" s="10" t="n"/>
      <c r="G886" s="10" t="n"/>
      <c r="H886" s="10" t="n"/>
      <c r="I886" s="3" t="n"/>
      <c r="J886" s="3">
        <f>IF(tblEjecucion[[#This Row],[orden]]="","",tblEjecucion[[#This Row],[orden]]&amp;IF(tblEjecucion[[#This Row],[operacion]]="","0010",tblEjecucion[[#This Row],[operacion]]))</f>
        <v/>
      </c>
    </row>
    <row r="887">
      <c r="A887" s="3" t="n"/>
      <c r="B887" s="3" t="n"/>
      <c r="C887" s="3" t="n"/>
      <c r="D887" s="3" t="n"/>
      <c r="E887" s="3" t="n"/>
      <c r="F887" s="10" t="n"/>
      <c r="G887" s="10" t="n"/>
      <c r="H887" s="10" t="n"/>
      <c r="I887" s="3" t="n"/>
      <c r="J887" s="3">
        <f>IF(tblEjecucion[[#This Row],[orden]]="","",tblEjecucion[[#This Row],[orden]]&amp;IF(tblEjecucion[[#This Row],[operacion]]="","0010",tblEjecucion[[#This Row],[operacion]]))</f>
        <v/>
      </c>
    </row>
    <row r="888">
      <c r="A888" s="3" t="n"/>
      <c r="B888" s="3" t="n"/>
      <c r="C888" s="3" t="n"/>
      <c r="D888" s="3" t="n"/>
      <c r="E888" s="3" t="n"/>
      <c r="F888" s="10" t="n"/>
      <c r="G888" s="10" t="n"/>
      <c r="H888" s="10" t="n"/>
      <c r="I888" s="3" t="n"/>
      <c r="J888" s="3">
        <f>IF(tblEjecucion[[#This Row],[orden]]="","",tblEjecucion[[#This Row],[orden]]&amp;IF(tblEjecucion[[#This Row],[operacion]]="","0010",tblEjecucion[[#This Row],[operacion]]))</f>
        <v/>
      </c>
    </row>
    <row r="889">
      <c r="A889" s="3" t="n"/>
      <c r="B889" s="3" t="n"/>
      <c r="C889" s="3" t="n"/>
      <c r="D889" s="3" t="n"/>
      <c r="E889" s="3" t="n"/>
      <c r="F889" s="10" t="n"/>
      <c r="G889" s="10" t="n"/>
      <c r="H889" s="10" t="n"/>
      <c r="I889" s="3" t="n"/>
      <c r="J889" s="3">
        <f>IF(tblEjecucion[[#This Row],[orden]]="","",tblEjecucion[[#This Row],[orden]]&amp;IF(tblEjecucion[[#This Row],[operacion]]="","0010",tblEjecucion[[#This Row],[operacion]]))</f>
        <v/>
      </c>
    </row>
    <row r="890">
      <c r="A890" s="3" t="n"/>
      <c r="B890" s="3" t="n"/>
      <c r="C890" s="3" t="n"/>
      <c r="D890" s="3" t="n"/>
      <c r="E890" s="3" t="n"/>
      <c r="F890" s="10" t="n"/>
      <c r="G890" s="10" t="n"/>
      <c r="H890" s="10" t="n"/>
      <c r="I890" s="3" t="n"/>
      <c r="J890" s="3">
        <f>IF(tblEjecucion[[#This Row],[orden]]="","",tblEjecucion[[#This Row],[orden]]&amp;IF(tblEjecucion[[#This Row],[operacion]]="","0010",tblEjecucion[[#This Row],[operacion]]))</f>
        <v/>
      </c>
    </row>
    <row r="891">
      <c r="A891" s="3" t="n"/>
      <c r="B891" s="3" t="n"/>
      <c r="C891" s="3" t="n"/>
      <c r="D891" s="3" t="n"/>
      <c r="E891" s="3" t="n"/>
      <c r="F891" s="10" t="n"/>
      <c r="G891" s="10" t="n"/>
      <c r="H891" s="10" t="n"/>
      <c r="I891" s="3" t="n"/>
      <c r="J891" s="3">
        <f>IF(tblEjecucion[[#This Row],[orden]]="","",tblEjecucion[[#This Row],[orden]]&amp;IF(tblEjecucion[[#This Row],[operacion]]="","0010",tblEjecucion[[#This Row],[operacion]]))</f>
        <v/>
      </c>
    </row>
    <row r="892">
      <c r="A892" s="3" t="n"/>
      <c r="B892" s="3" t="n"/>
      <c r="C892" s="3" t="n"/>
      <c r="D892" s="3" t="n"/>
      <c r="E892" s="3" t="n"/>
      <c r="F892" s="10" t="n"/>
      <c r="G892" s="10" t="n"/>
      <c r="H892" s="10" t="n"/>
      <c r="I892" s="3" t="n"/>
      <c r="J892" s="3">
        <f>IF(tblEjecucion[[#This Row],[orden]]="","",tblEjecucion[[#This Row],[orden]]&amp;IF(tblEjecucion[[#This Row],[operacion]]="","0010",tblEjecucion[[#This Row],[operacion]]))</f>
        <v/>
      </c>
    </row>
    <row r="893">
      <c r="A893" s="3" t="n"/>
      <c r="B893" s="3" t="n"/>
      <c r="C893" s="3" t="n"/>
      <c r="D893" s="3" t="n"/>
      <c r="E893" s="3" t="n"/>
      <c r="F893" s="10" t="n"/>
      <c r="G893" s="10" t="n"/>
      <c r="H893" s="10" t="n"/>
      <c r="I893" s="3" t="n"/>
      <c r="J893" s="3">
        <f>IF(tblEjecucion[[#This Row],[orden]]="","",tblEjecucion[[#This Row],[orden]]&amp;IF(tblEjecucion[[#This Row],[operacion]]="","0010",tblEjecucion[[#This Row],[operacion]]))</f>
        <v/>
      </c>
    </row>
    <row r="894">
      <c r="A894" s="3" t="n"/>
      <c r="B894" s="3" t="n"/>
      <c r="C894" s="3" t="n"/>
      <c r="D894" s="3" t="n"/>
      <c r="E894" s="3" t="n"/>
      <c r="F894" s="10" t="n"/>
      <c r="G894" s="10" t="n"/>
      <c r="H894" s="10" t="n"/>
      <c r="I894" s="3" t="n"/>
      <c r="J894" s="3">
        <f>IF(tblEjecucion[[#This Row],[orden]]="","",tblEjecucion[[#This Row],[orden]]&amp;IF(tblEjecucion[[#This Row],[operacion]]="","0010",tblEjecucion[[#This Row],[operacion]]))</f>
        <v/>
      </c>
    </row>
    <row r="895">
      <c r="A895" s="3" t="n"/>
      <c r="B895" s="3" t="n"/>
      <c r="C895" s="3" t="n"/>
      <c r="D895" s="3" t="n"/>
      <c r="E895" s="3" t="n"/>
      <c r="F895" s="10" t="n"/>
      <c r="G895" s="10" t="n"/>
      <c r="H895" s="10" t="n"/>
      <c r="I895" s="3" t="n"/>
      <c r="J895" s="3">
        <f>IF(tblEjecucion[[#This Row],[orden]]="","",tblEjecucion[[#This Row],[orden]]&amp;IF(tblEjecucion[[#This Row],[operacion]]="","0010",tblEjecucion[[#This Row],[operacion]]))</f>
        <v/>
      </c>
    </row>
    <row r="896">
      <c r="A896" s="3" t="n"/>
      <c r="B896" s="3" t="n"/>
      <c r="C896" s="3" t="n"/>
      <c r="D896" s="3" t="n"/>
      <c r="E896" s="3" t="n"/>
      <c r="F896" s="10" t="n"/>
      <c r="G896" s="10" t="n"/>
      <c r="H896" s="10" t="n"/>
      <c r="I896" s="3" t="n"/>
      <c r="J896" s="3">
        <f>IF(tblEjecucion[[#This Row],[orden]]="","",tblEjecucion[[#This Row],[orden]]&amp;IF(tblEjecucion[[#This Row],[operacion]]="","0010",tblEjecucion[[#This Row],[operacion]]))</f>
        <v/>
      </c>
    </row>
    <row r="897">
      <c r="A897" s="3" t="n"/>
      <c r="B897" s="3" t="n"/>
      <c r="C897" s="3" t="n"/>
      <c r="D897" s="3" t="n"/>
      <c r="E897" s="3" t="n"/>
      <c r="F897" s="10" t="n"/>
      <c r="G897" s="10" t="n"/>
      <c r="H897" s="10" t="n"/>
      <c r="I897" s="3" t="n"/>
      <c r="J897" s="3">
        <f>IF(tblEjecucion[[#This Row],[orden]]="","",tblEjecucion[[#This Row],[orden]]&amp;IF(tblEjecucion[[#This Row],[operacion]]="","0010",tblEjecucion[[#This Row],[operacion]]))</f>
        <v/>
      </c>
    </row>
    <row r="898">
      <c r="A898" s="3" t="n"/>
      <c r="B898" s="3" t="n"/>
      <c r="C898" s="3" t="n"/>
      <c r="D898" s="3" t="n"/>
      <c r="E898" s="3" t="n"/>
      <c r="F898" s="10" t="n"/>
      <c r="G898" s="10" t="n"/>
      <c r="H898" s="10" t="n"/>
      <c r="I898" s="3" t="n"/>
      <c r="J898" s="3">
        <f>IF(tblEjecucion[[#This Row],[orden]]="","",tblEjecucion[[#This Row],[orden]]&amp;IF(tblEjecucion[[#This Row],[operacion]]="","0010",tblEjecucion[[#This Row],[operacion]]))</f>
        <v/>
      </c>
    </row>
    <row r="899">
      <c r="A899" s="3" t="n"/>
      <c r="B899" s="3" t="n"/>
      <c r="C899" s="3" t="n"/>
      <c r="D899" s="3" t="n"/>
      <c r="E899" s="3" t="n"/>
      <c r="F899" s="10" t="n"/>
      <c r="G899" s="10" t="n"/>
      <c r="H899" s="10" t="n"/>
      <c r="I899" s="3" t="n"/>
      <c r="J899" s="3">
        <f>IF(tblEjecucion[[#This Row],[orden]]="","",tblEjecucion[[#This Row],[orden]]&amp;IF(tblEjecucion[[#This Row],[operacion]]="","0010",tblEjecucion[[#This Row],[operacion]]))</f>
        <v/>
      </c>
    </row>
    <row r="900">
      <c r="A900" s="3" t="n"/>
      <c r="B900" s="3" t="n"/>
      <c r="C900" s="3" t="n"/>
      <c r="D900" s="3" t="n"/>
      <c r="E900" s="3" t="n"/>
      <c r="F900" s="10" t="n"/>
      <c r="G900" s="10" t="n"/>
      <c r="H900" s="10" t="n"/>
      <c r="I900" s="3" t="n"/>
      <c r="J900" s="3">
        <f>IF(tblEjecucion[[#This Row],[orden]]="","",tblEjecucion[[#This Row],[orden]]&amp;IF(tblEjecucion[[#This Row],[operacion]]="","0010",tblEjecucion[[#This Row],[operacion]]))</f>
        <v/>
      </c>
    </row>
    <row r="901">
      <c r="A901" s="3" t="n"/>
      <c r="B901" s="3" t="n"/>
      <c r="C901" s="3" t="n"/>
      <c r="D901" s="3" t="n"/>
      <c r="E901" s="3" t="n"/>
      <c r="F901" s="10" t="n"/>
      <c r="G901" s="10" t="n"/>
      <c r="H901" s="10" t="n"/>
      <c r="I901" s="3" t="n"/>
      <c r="J901" s="3">
        <f>IF(tblEjecucion[[#This Row],[orden]]="","",tblEjecucion[[#This Row],[orden]]&amp;IF(tblEjecucion[[#This Row],[operacion]]="","0010",tblEjecucion[[#This Row],[operacion]]))</f>
        <v/>
      </c>
    </row>
    <row r="902">
      <c r="A902" s="3" t="n"/>
      <c r="B902" s="3" t="n"/>
      <c r="C902" s="3" t="n"/>
      <c r="D902" s="3" t="n"/>
      <c r="E902" s="3" t="n"/>
      <c r="F902" s="10" t="n"/>
      <c r="G902" s="10" t="n"/>
      <c r="H902" s="10" t="n"/>
      <c r="I902" s="3" t="n"/>
      <c r="J902" s="3">
        <f>IF(tblEjecucion[[#This Row],[orden]]="","",tblEjecucion[[#This Row],[orden]]&amp;IF(tblEjecucion[[#This Row],[operacion]]="","0010",tblEjecucion[[#This Row],[operacion]]))</f>
        <v/>
      </c>
    </row>
    <row r="903">
      <c r="A903" s="3" t="n"/>
      <c r="B903" s="3" t="n"/>
      <c r="C903" s="3" t="n"/>
      <c r="D903" s="3" t="n"/>
      <c r="E903" s="3" t="n"/>
      <c r="F903" s="10" t="n"/>
      <c r="G903" s="10" t="n"/>
      <c r="H903" s="10" t="n"/>
      <c r="I903" s="3" t="n"/>
      <c r="J903" s="3">
        <f>IF(tblEjecucion[[#This Row],[orden]]="","",tblEjecucion[[#This Row],[orden]]&amp;IF(tblEjecucion[[#This Row],[operacion]]="","0010",tblEjecucion[[#This Row],[operacion]]))</f>
        <v/>
      </c>
    </row>
    <row r="904">
      <c r="A904" s="3" t="n"/>
      <c r="B904" s="3" t="n"/>
      <c r="C904" s="3" t="n"/>
      <c r="D904" s="3" t="n"/>
      <c r="E904" s="3" t="n"/>
      <c r="F904" s="10" t="n"/>
      <c r="G904" s="10" t="n"/>
      <c r="H904" s="10" t="n"/>
      <c r="I904" s="3" t="n"/>
      <c r="J904" s="3">
        <f>IF(tblEjecucion[[#This Row],[orden]]="","",tblEjecucion[[#This Row],[orden]]&amp;IF(tblEjecucion[[#This Row],[operacion]]="","0010",tblEjecucion[[#This Row],[operacion]]))</f>
        <v/>
      </c>
    </row>
    <row r="905">
      <c r="A905" s="3" t="n"/>
      <c r="B905" s="3" t="n"/>
      <c r="C905" s="3" t="n"/>
      <c r="D905" s="3" t="n"/>
      <c r="E905" s="3" t="n"/>
      <c r="F905" s="10" t="n"/>
      <c r="G905" s="10" t="n"/>
      <c r="H905" s="10" t="n"/>
      <c r="I905" s="3" t="n"/>
      <c r="J905" s="3">
        <f>IF(tblEjecucion[[#This Row],[orden]]="","",tblEjecucion[[#This Row],[orden]]&amp;IF(tblEjecucion[[#This Row],[operacion]]="","0010",tblEjecucion[[#This Row],[operacion]]))</f>
        <v/>
      </c>
    </row>
    <row r="906">
      <c r="A906" s="3" t="n"/>
      <c r="B906" s="3" t="n"/>
      <c r="C906" s="3" t="n"/>
      <c r="D906" s="3" t="n"/>
      <c r="E906" s="3" t="n"/>
      <c r="F906" s="10" t="n"/>
      <c r="G906" s="10" t="n"/>
      <c r="H906" s="10" t="n"/>
      <c r="I906" s="3" t="n"/>
      <c r="J906" s="3">
        <f>IF(tblEjecucion[[#This Row],[orden]]="","",tblEjecucion[[#This Row],[orden]]&amp;IF(tblEjecucion[[#This Row],[operacion]]="","0010",tblEjecucion[[#This Row],[operacion]]))</f>
        <v/>
      </c>
    </row>
    <row r="907">
      <c r="A907" s="3" t="n"/>
      <c r="B907" s="3" t="n"/>
      <c r="C907" s="3" t="n"/>
      <c r="D907" s="3" t="n"/>
      <c r="E907" s="3" t="n"/>
      <c r="F907" s="10" t="n"/>
      <c r="G907" s="10" t="n"/>
      <c r="H907" s="10" t="n"/>
      <c r="I907" s="3" t="n"/>
      <c r="J907" s="3">
        <f>IF(tblEjecucion[[#This Row],[orden]]="","",tblEjecucion[[#This Row],[orden]]&amp;IF(tblEjecucion[[#This Row],[operacion]]="","0010",tblEjecucion[[#This Row],[operacion]]))</f>
        <v/>
      </c>
    </row>
    <row r="908">
      <c r="A908" s="3" t="n"/>
      <c r="B908" s="3" t="n"/>
      <c r="C908" s="3" t="n"/>
      <c r="D908" s="3" t="n"/>
      <c r="E908" s="3" t="n"/>
      <c r="F908" s="10" t="n"/>
      <c r="G908" s="10" t="n"/>
      <c r="H908" s="10" t="n"/>
      <c r="I908" s="3" t="n"/>
      <c r="J908" s="3">
        <f>IF(tblEjecucion[[#This Row],[orden]]="","",tblEjecucion[[#This Row],[orden]]&amp;IF(tblEjecucion[[#This Row],[operacion]]="","0010",tblEjecucion[[#This Row],[operacion]]))</f>
        <v/>
      </c>
    </row>
    <row r="909">
      <c r="A909" s="3" t="n"/>
      <c r="B909" s="3" t="n"/>
      <c r="C909" s="3" t="n"/>
      <c r="D909" s="3" t="n"/>
      <c r="E909" s="3" t="n"/>
      <c r="F909" s="10" t="n"/>
      <c r="G909" s="10" t="n"/>
      <c r="H909" s="10" t="n"/>
      <c r="I909" s="3" t="n"/>
      <c r="J909" s="3">
        <f>IF(tblEjecucion[[#This Row],[orden]]="","",tblEjecucion[[#This Row],[orden]]&amp;IF(tblEjecucion[[#This Row],[operacion]]="","0010",tblEjecucion[[#This Row],[operacion]]))</f>
        <v/>
      </c>
    </row>
    <row r="910">
      <c r="A910" s="3" t="n"/>
      <c r="B910" s="3" t="n"/>
      <c r="C910" s="3" t="n"/>
      <c r="D910" s="3" t="n"/>
      <c r="E910" s="3" t="n"/>
      <c r="F910" s="10" t="n"/>
      <c r="G910" s="10" t="n"/>
      <c r="H910" s="10" t="n"/>
      <c r="I910" s="3" t="n"/>
      <c r="J910" s="3">
        <f>IF(tblEjecucion[[#This Row],[orden]]="","",tblEjecucion[[#This Row],[orden]]&amp;IF(tblEjecucion[[#This Row],[operacion]]="","0010",tblEjecucion[[#This Row],[operacion]]))</f>
        <v/>
      </c>
    </row>
    <row r="911">
      <c r="A911" s="3" t="n"/>
      <c r="B911" s="3" t="n"/>
      <c r="C911" s="3" t="n"/>
      <c r="D911" s="3" t="n"/>
      <c r="E911" s="3" t="n"/>
      <c r="F911" s="10" t="n"/>
      <c r="G911" s="10" t="n"/>
      <c r="H911" s="10" t="n"/>
      <c r="I911" s="3" t="n"/>
      <c r="J911" s="3">
        <f>IF(tblEjecucion[[#This Row],[orden]]="","",tblEjecucion[[#This Row],[orden]]&amp;IF(tblEjecucion[[#This Row],[operacion]]="","0010",tblEjecucion[[#This Row],[operacion]]))</f>
        <v/>
      </c>
    </row>
    <row r="912">
      <c r="A912" s="3" t="n"/>
      <c r="B912" s="3" t="n"/>
      <c r="C912" s="3" t="n"/>
      <c r="D912" s="3" t="n"/>
      <c r="E912" s="3" t="n"/>
      <c r="F912" s="10" t="n"/>
      <c r="G912" s="10" t="n"/>
      <c r="H912" s="10" t="n"/>
      <c r="I912" s="3" t="n"/>
      <c r="J912" s="3">
        <f>IF(tblEjecucion[[#This Row],[orden]]="","",tblEjecucion[[#This Row],[orden]]&amp;IF(tblEjecucion[[#This Row],[operacion]]="","0010",tblEjecucion[[#This Row],[operacion]]))</f>
        <v/>
      </c>
    </row>
    <row r="913">
      <c r="A913" s="3" t="n"/>
      <c r="B913" s="3" t="n"/>
      <c r="C913" s="3" t="n"/>
      <c r="D913" s="3" t="n"/>
      <c r="E913" s="3" t="n"/>
      <c r="F913" s="10" t="n"/>
      <c r="G913" s="10" t="n"/>
      <c r="H913" s="10" t="n"/>
      <c r="I913" s="3" t="n"/>
      <c r="J913" s="3">
        <f>IF(tblEjecucion[[#This Row],[orden]]="","",tblEjecucion[[#This Row],[orden]]&amp;IF(tblEjecucion[[#This Row],[operacion]]="","0010",tblEjecucion[[#This Row],[operacion]]))</f>
        <v/>
      </c>
    </row>
    <row r="914">
      <c r="A914" s="3" t="n"/>
      <c r="B914" s="3" t="n"/>
      <c r="C914" s="3" t="n"/>
      <c r="D914" s="3" t="n"/>
      <c r="E914" s="3" t="n"/>
      <c r="F914" s="10" t="n"/>
      <c r="G914" s="10" t="n"/>
      <c r="H914" s="10" t="n"/>
      <c r="I914" s="3" t="n"/>
      <c r="J914" s="3">
        <f>IF(tblEjecucion[[#This Row],[orden]]="","",tblEjecucion[[#This Row],[orden]]&amp;IF(tblEjecucion[[#This Row],[operacion]]="","0010",tblEjecucion[[#This Row],[operacion]]))</f>
        <v/>
      </c>
    </row>
    <row r="915">
      <c r="A915" s="3" t="n"/>
      <c r="B915" s="3" t="n"/>
      <c r="C915" s="3" t="n"/>
      <c r="D915" s="3" t="n"/>
      <c r="E915" s="3" t="n"/>
      <c r="F915" s="10" t="n"/>
      <c r="G915" s="10" t="n"/>
      <c r="H915" s="10" t="n"/>
      <c r="I915" s="3" t="n"/>
      <c r="J915" s="3">
        <f>IF(tblEjecucion[[#This Row],[orden]]="","",tblEjecucion[[#This Row],[orden]]&amp;IF(tblEjecucion[[#This Row],[operacion]]="","0010",tblEjecucion[[#This Row],[operacion]]))</f>
        <v/>
      </c>
    </row>
    <row r="916">
      <c r="A916" s="3" t="n"/>
      <c r="B916" s="3" t="n"/>
      <c r="C916" s="3" t="n"/>
      <c r="D916" s="3" t="n"/>
      <c r="E916" s="3" t="n"/>
      <c r="F916" s="10" t="n"/>
      <c r="G916" s="10" t="n"/>
      <c r="H916" s="10" t="n"/>
      <c r="I916" s="3" t="n"/>
      <c r="J916" s="3">
        <f>IF(tblEjecucion[[#This Row],[orden]]="","",tblEjecucion[[#This Row],[orden]]&amp;IF(tblEjecucion[[#This Row],[operacion]]="","0010",tblEjecucion[[#This Row],[operacion]]))</f>
        <v/>
      </c>
    </row>
    <row r="917">
      <c r="A917" s="3" t="n"/>
      <c r="B917" s="3" t="n"/>
      <c r="C917" s="3" t="n"/>
      <c r="D917" s="3" t="n"/>
      <c r="E917" s="3" t="n"/>
      <c r="F917" s="10" t="n"/>
      <c r="G917" s="10" t="n"/>
      <c r="H917" s="10" t="n"/>
      <c r="I917" s="3" t="n"/>
      <c r="J917" s="3">
        <f>IF(tblEjecucion[[#This Row],[orden]]="","",tblEjecucion[[#This Row],[orden]]&amp;IF(tblEjecucion[[#This Row],[operacion]]="","0010",tblEjecucion[[#This Row],[operacion]]))</f>
        <v/>
      </c>
    </row>
    <row r="918">
      <c r="A918" s="3" t="n"/>
      <c r="B918" s="3" t="n"/>
      <c r="C918" s="3" t="n"/>
      <c r="D918" s="3" t="n"/>
      <c r="E918" s="3" t="n"/>
      <c r="F918" s="10" t="n"/>
      <c r="G918" s="10" t="n"/>
      <c r="H918" s="10" t="n"/>
      <c r="I918" s="3" t="n"/>
      <c r="J918" s="3">
        <f>IF(tblEjecucion[[#This Row],[orden]]="","",tblEjecucion[[#This Row],[orden]]&amp;IF(tblEjecucion[[#This Row],[operacion]]="","0010",tblEjecucion[[#This Row],[operacion]]))</f>
        <v/>
      </c>
    </row>
    <row r="919">
      <c r="A919" s="3" t="n"/>
      <c r="B919" s="3" t="n"/>
      <c r="C919" s="3" t="n"/>
      <c r="D919" s="3" t="n"/>
      <c r="E919" s="3" t="n"/>
      <c r="F919" s="10" t="n"/>
      <c r="G919" s="10" t="n"/>
      <c r="H919" s="10" t="n"/>
      <c r="I919" s="3" t="n"/>
      <c r="J919" s="3">
        <f>IF(tblEjecucion[[#This Row],[orden]]="","",tblEjecucion[[#This Row],[orden]]&amp;IF(tblEjecucion[[#This Row],[operacion]]="","0010",tblEjecucion[[#This Row],[operacion]]))</f>
        <v/>
      </c>
    </row>
    <row r="920">
      <c r="A920" s="3" t="n"/>
      <c r="B920" s="3" t="n"/>
      <c r="C920" s="3" t="n"/>
      <c r="D920" s="3" t="n"/>
      <c r="E920" s="3" t="n"/>
      <c r="F920" s="10" t="n"/>
      <c r="G920" s="10" t="n"/>
      <c r="H920" s="10" t="n"/>
      <c r="I920" s="3" t="n"/>
      <c r="J920" s="3">
        <f>IF(tblEjecucion[[#This Row],[orden]]="","",tblEjecucion[[#This Row],[orden]]&amp;IF(tblEjecucion[[#This Row],[operacion]]="","0010",tblEjecucion[[#This Row],[operacion]]))</f>
        <v/>
      </c>
    </row>
    <row r="921">
      <c r="A921" s="3" t="n"/>
      <c r="B921" s="3" t="n"/>
      <c r="C921" s="3" t="n"/>
      <c r="D921" s="3" t="n"/>
      <c r="E921" s="3" t="n"/>
      <c r="F921" s="10" t="n"/>
      <c r="G921" s="10" t="n"/>
      <c r="H921" s="10" t="n"/>
      <c r="I921" s="3" t="n"/>
      <c r="J921" s="3">
        <f>IF(tblEjecucion[[#This Row],[orden]]="","",tblEjecucion[[#This Row],[orden]]&amp;IF(tblEjecucion[[#This Row],[operacion]]="","0010",tblEjecucion[[#This Row],[operacion]]))</f>
        <v/>
      </c>
    </row>
    <row r="922">
      <c r="A922" s="3" t="n"/>
      <c r="B922" s="3" t="n"/>
      <c r="C922" s="3" t="n"/>
      <c r="D922" s="3" t="n"/>
      <c r="E922" s="3" t="n"/>
      <c r="F922" s="10" t="n"/>
      <c r="G922" s="10" t="n"/>
      <c r="H922" s="10" t="n"/>
      <c r="I922" s="3" t="n"/>
      <c r="J922" s="3">
        <f>IF(tblEjecucion[[#This Row],[orden]]="","",tblEjecucion[[#This Row],[orden]]&amp;IF(tblEjecucion[[#This Row],[operacion]]="","0010",tblEjecucion[[#This Row],[operacion]]))</f>
        <v/>
      </c>
    </row>
    <row r="923">
      <c r="A923" s="3" t="n"/>
      <c r="B923" s="3" t="n"/>
      <c r="C923" s="3" t="n"/>
      <c r="D923" s="3" t="n"/>
      <c r="E923" s="3" t="n"/>
      <c r="F923" s="10" t="n"/>
      <c r="G923" s="10" t="n"/>
      <c r="H923" s="10" t="n"/>
      <c r="I923" s="3" t="n"/>
      <c r="J923" s="3">
        <f>IF(tblEjecucion[[#This Row],[orden]]="","",tblEjecucion[[#This Row],[orden]]&amp;IF(tblEjecucion[[#This Row],[operacion]]="","0010",tblEjecucion[[#This Row],[operacion]]))</f>
        <v/>
      </c>
    </row>
    <row r="924">
      <c r="A924" s="3" t="n"/>
      <c r="B924" s="3" t="n"/>
      <c r="C924" s="3" t="n"/>
      <c r="D924" s="3" t="n"/>
      <c r="E924" s="3" t="n"/>
      <c r="F924" s="10" t="n"/>
      <c r="G924" s="10" t="n"/>
      <c r="H924" s="10" t="n"/>
      <c r="I924" s="3" t="n"/>
      <c r="J924" s="3">
        <f>IF(tblEjecucion[[#This Row],[orden]]="","",tblEjecucion[[#This Row],[orden]]&amp;IF(tblEjecucion[[#This Row],[operacion]]="","0010",tblEjecucion[[#This Row],[operacion]]))</f>
        <v/>
      </c>
    </row>
    <row r="925">
      <c r="A925" s="3" t="n"/>
      <c r="B925" s="3" t="n"/>
      <c r="C925" s="3" t="n"/>
      <c r="D925" s="3" t="n"/>
      <c r="E925" s="3" t="n"/>
      <c r="F925" s="10" t="n"/>
      <c r="G925" s="10" t="n"/>
      <c r="H925" s="10" t="n"/>
      <c r="I925" s="3" t="n"/>
      <c r="J925" s="3">
        <f>IF(tblEjecucion[[#This Row],[orden]]="","",tblEjecucion[[#This Row],[orden]]&amp;IF(tblEjecucion[[#This Row],[operacion]]="","0010",tblEjecucion[[#This Row],[operacion]]))</f>
        <v/>
      </c>
    </row>
    <row r="926">
      <c r="A926" s="3" t="n"/>
      <c r="B926" s="3" t="n"/>
      <c r="C926" s="3" t="n"/>
      <c r="D926" s="3" t="n"/>
      <c r="E926" s="3" t="n"/>
      <c r="F926" s="10" t="n"/>
      <c r="G926" s="10" t="n"/>
      <c r="H926" s="10" t="n"/>
      <c r="I926" s="3" t="n"/>
      <c r="J926" s="3">
        <f>IF(tblEjecucion[[#This Row],[orden]]="","",tblEjecucion[[#This Row],[orden]]&amp;IF(tblEjecucion[[#This Row],[operacion]]="","0010",tblEjecucion[[#This Row],[operacion]]))</f>
        <v/>
      </c>
    </row>
    <row r="927">
      <c r="A927" s="3" t="n"/>
      <c r="B927" s="3" t="n"/>
      <c r="C927" s="3" t="n"/>
      <c r="D927" s="3" t="n"/>
      <c r="E927" s="3" t="n"/>
      <c r="F927" s="10" t="n"/>
      <c r="G927" s="10" t="n"/>
      <c r="H927" s="10" t="n"/>
      <c r="I927" s="3" t="n"/>
      <c r="J927" s="3">
        <f>IF(tblEjecucion[[#This Row],[orden]]="","",tblEjecucion[[#This Row],[orden]]&amp;IF(tblEjecucion[[#This Row],[operacion]]="","0010",tblEjecucion[[#This Row],[operacion]]))</f>
        <v/>
      </c>
    </row>
    <row r="928">
      <c r="A928" s="3" t="n"/>
      <c r="B928" s="3" t="n"/>
      <c r="C928" s="3" t="n"/>
      <c r="D928" s="3" t="n"/>
      <c r="E928" s="3" t="n"/>
      <c r="F928" s="10" t="n"/>
      <c r="G928" s="10" t="n"/>
      <c r="H928" s="10" t="n"/>
      <c r="I928" s="3" t="n"/>
      <c r="J928" s="3">
        <f>IF(tblEjecucion[[#This Row],[orden]]="","",tblEjecucion[[#This Row],[orden]]&amp;IF(tblEjecucion[[#This Row],[operacion]]="","0010",tblEjecucion[[#This Row],[operacion]]))</f>
        <v/>
      </c>
    </row>
    <row r="929">
      <c r="A929" s="3" t="n"/>
      <c r="B929" s="3" t="n"/>
      <c r="C929" s="3" t="n"/>
      <c r="D929" s="3" t="n"/>
      <c r="E929" s="3" t="n"/>
      <c r="F929" s="10" t="n"/>
      <c r="G929" s="10" t="n"/>
      <c r="H929" s="10" t="n"/>
      <c r="I929" s="3" t="n"/>
      <c r="J929" s="3">
        <f>IF(tblEjecucion[[#This Row],[orden]]="","",tblEjecucion[[#This Row],[orden]]&amp;IF(tblEjecucion[[#This Row],[operacion]]="","0010",tblEjecucion[[#This Row],[operacion]]))</f>
        <v/>
      </c>
    </row>
    <row r="930">
      <c r="A930" s="3" t="n"/>
      <c r="B930" s="3" t="n"/>
      <c r="C930" s="3" t="n"/>
      <c r="D930" s="3" t="n"/>
      <c r="E930" s="3" t="n"/>
      <c r="F930" s="10" t="n"/>
      <c r="G930" s="10" t="n"/>
      <c r="H930" s="10" t="n"/>
      <c r="I930" s="3" t="n"/>
      <c r="J930" s="3">
        <f>IF(tblEjecucion[[#This Row],[orden]]="","",tblEjecucion[[#This Row],[orden]]&amp;IF(tblEjecucion[[#This Row],[operacion]]="","0010",tblEjecucion[[#This Row],[operacion]]))</f>
        <v/>
      </c>
    </row>
    <row r="931">
      <c r="A931" s="3" t="n"/>
      <c r="B931" s="3" t="n"/>
      <c r="C931" s="3" t="n"/>
      <c r="D931" s="3" t="n"/>
      <c r="E931" s="3" t="n"/>
      <c r="F931" s="10" t="n"/>
      <c r="G931" s="10" t="n"/>
      <c r="H931" s="10" t="n"/>
      <c r="I931" s="3" t="n"/>
      <c r="J931" s="3">
        <f>IF(tblEjecucion[[#This Row],[orden]]="","",tblEjecucion[[#This Row],[orden]]&amp;IF(tblEjecucion[[#This Row],[operacion]]="","0010",tblEjecucion[[#This Row],[operacion]]))</f>
        <v/>
      </c>
    </row>
    <row r="932">
      <c r="A932" s="3" t="n"/>
      <c r="B932" s="3" t="n"/>
      <c r="C932" s="3" t="n"/>
      <c r="D932" s="3" t="n"/>
      <c r="E932" s="3" t="n"/>
      <c r="F932" s="10" t="n"/>
      <c r="G932" s="10" t="n"/>
      <c r="H932" s="10" t="n"/>
      <c r="I932" s="3" t="n"/>
      <c r="J932" s="3">
        <f>IF(tblEjecucion[[#This Row],[orden]]="","",tblEjecucion[[#This Row],[orden]]&amp;IF(tblEjecucion[[#This Row],[operacion]]="","0010",tblEjecucion[[#This Row],[operacion]]))</f>
        <v/>
      </c>
    </row>
    <row r="933">
      <c r="A933" s="3" t="n"/>
      <c r="B933" s="3" t="n"/>
      <c r="C933" s="3" t="n"/>
      <c r="D933" s="3" t="n"/>
      <c r="E933" s="3" t="n"/>
      <c r="F933" s="10" t="n"/>
      <c r="G933" s="10" t="n"/>
      <c r="H933" s="10" t="n"/>
      <c r="I933" s="3" t="n"/>
      <c r="J933" s="3">
        <f>IF(tblEjecucion[[#This Row],[orden]]="","",tblEjecucion[[#This Row],[orden]]&amp;IF(tblEjecucion[[#This Row],[operacion]]="","0010",tblEjecucion[[#This Row],[operacion]]))</f>
        <v/>
      </c>
    </row>
    <row r="934">
      <c r="A934" s="3" t="n"/>
      <c r="B934" s="3" t="n"/>
      <c r="C934" s="3" t="n"/>
      <c r="D934" s="3" t="n"/>
      <c r="E934" s="3" t="n"/>
      <c r="F934" s="10" t="n"/>
      <c r="G934" s="10" t="n"/>
      <c r="H934" s="10" t="n"/>
      <c r="I934" s="3" t="n"/>
      <c r="J934" s="3">
        <f>IF(tblEjecucion[[#This Row],[orden]]="","",tblEjecucion[[#This Row],[orden]]&amp;IF(tblEjecucion[[#This Row],[operacion]]="","0010",tblEjecucion[[#This Row],[operacion]]))</f>
        <v/>
      </c>
    </row>
    <row r="935">
      <c r="A935" s="3" t="n"/>
      <c r="B935" s="3" t="n"/>
      <c r="C935" s="3" t="n"/>
      <c r="D935" s="3" t="n"/>
      <c r="E935" s="3" t="n"/>
      <c r="F935" s="10" t="n"/>
      <c r="G935" s="10" t="n"/>
      <c r="H935" s="10" t="n"/>
      <c r="I935" s="3" t="n"/>
      <c r="J935" s="3">
        <f>IF(tblEjecucion[[#This Row],[orden]]="","",tblEjecucion[[#This Row],[orden]]&amp;IF(tblEjecucion[[#This Row],[operacion]]="","0010",tblEjecucion[[#This Row],[operacion]]))</f>
        <v/>
      </c>
    </row>
    <row r="936">
      <c r="A936" s="3" t="n"/>
      <c r="B936" s="3" t="n"/>
      <c r="C936" s="3" t="n"/>
      <c r="D936" s="3" t="n"/>
      <c r="E936" s="3" t="n"/>
      <c r="F936" s="10" t="n"/>
      <c r="G936" s="10" t="n"/>
      <c r="H936" s="10" t="n"/>
      <c r="I936" s="3" t="n"/>
      <c r="J936" s="3">
        <f>IF(tblEjecucion[[#This Row],[orden]]="","",tblEjecucion[[#This Row],[orden]]&amp;IF(tblEjecucion[[#This Row],[operacion]]="","0010",tblEjecucion[[#This Row],[operacion]]))</f>
        <v/>
      </c>
    </row>
    <row r="937">
      <c r="A937" s="3" t="n"/>
      <c r="B937" s="3" t="n"/>
      <c r="C937" s="3" t="n"/>
      <c r="D937" s="3" t="n"/>
      <c r="E937" s="3" t="n"/>
      <c r="F937" s="10" t="n"/>
      <c r="G937" s="10" t="n"/>
      <c r="H937" s="10" t="n"/>
      <c r="I937" s="3" t="n"/>
      <c r="J937" s="3">
        <f>IF(tblEjecucion[[#This Row],[orden]]="","",tblEjecucion[[#This Row],[orden]]&amp;IF(tblEjecucion[[#This Row],[operacion]]="","0010",tblEjecucion[[#This Row],[operacion]]))</f>
        <v/>
      </c>
    </row>
    <row r="938">
      <c r="A938" s="3" t="n"/>
      <c r="B938" s="3" t="n"/>
      <c r="C938" s="3" t="n"/>
      <c r="D938" s="3" t="n"/>
      <c r="E938" s="3" t="n"/>
      <c r="F938" s="10" t="n"/>
      <c r="G938" s="10" t="n"/>
      <c r="H938" s="10" t="n"/>
      <c r="I938" s="3" t="n"/>
      <c r="J938" s="3">
        <f>IF(tblEjecucion[[#This Row],[orden]]="","",tblEjecucion[[#This Row],[orden]]&amp;IF(tblEjecucion[[#This Row],[operacion]]="","0010",tblEjecucion[[#This Row],[operacion]]))</f>
        <v/>
      </c>
    </row>
    <row r="939">
      <c r="A939" s="3" t="n"/>
      <c r="B939" s="3" t="n"/>
      <c r="C939" s="3" t="n"/>
      <c r="D939" s="3" t="n"/>
      <c r="E939" s="3" t="n"/>
      <c r="F939" s="10" t="n"/>
      <c r="G939" s="10" t="n"/>
      <c r="H939" s="10" t="n"/>
      <c r="I939" s="3" t="n"/>
      <c r="J939" s="3">
        <f>IF(tblEjecucion[[#This Row],[orden]]="","",tblEjecucion[[#This Row],[orden]]&amp;IF(tblEjecucion[[#This Row],[operacion]]="","0010",tblEjecucion[[#This Row],[operacion]]))</f>
        <v/>
      </c>
    </row>
    <row r="940">
      <c r="A940" s="3" t="n"/>
      <c r="B940" s="3" t="n"/>
      <c r="C940" s="3" t="n"/>
      <c r="D940" s="3" t="n"/>
      <c r="E940" s="3" t="n"/>
      <c r="F940" s="10" t="n"/>
      <c r="G940" s="10" t="n"/>
      <c r="H940" s="10" t="n"/>
      <c r="I940" s="3" t="n"/>
      <c r="J940" s="3">
        <f>IF(tblEjecucion[[#This Row],[orden]]="","",tblEjecucion[[#This Row],[orden]]&amp;IF(tblEjecucion[[#This Row],[operacion]]="","0010",tblEjecucion[[#This Row],[operacion]]))</f>
        <v/>
      </c>
    </row>
    <row r="941">
      <c r="A941" s="3" t="n"/>
      <c r="B941" s="3" t="n"/>
      <c r="C941" s="3" t="n"/>
      <c r="D941" s="3" t="n"/>
      <c r="E941" s="3" t="n"/>
      <c r="F941" s="10" t="n"/>
      <c r="G941" s="10" t="n"/>
      <c r="H941" s="10" t="n"/>
      <c r="I941" s="3" t="n"/>
      <c r="J941" s="3">
        <f>IF(tblEjecucion[[#This Row],[orden]]="","",tblEjecucion[[#This Row],[orden]]&amp;IF(tblEjecucion[[#This Row],[operacion]]="","0010",tblEjecucion[[#This Row],[operacion]]))</f>
        <v/>
      </c>
    </row>
    <row r="942">
      <c r="A942" s="3" t="n"/>
      <c r="B942" s="3" t="n"/>
      <c r="C942" s="3" t="n"/>
      <c r="D942" s="3" t="n"/>
      <c r="E942" s="3" t="n"/>
      <c r="F942" s="10" t="n"/>
      <c r="G942" s="10" t="n"/>
      <c r="H942" s="10" t="n"/>
      <c r="I942" s="3" t="n"/>
      <c r="J942" s="3">
        <f>IF(tblEjecucion[[#This Row],[orden]]="","",tblEjecucion[[#This Row],[orden]]&amp;IF(tblEjecucion[[#This Row],[operacion]]="","0010",tblEjecucion[[#This Row],[operacion]]))</f>
        <v/>
      </c>
    </row>
    <row r="943">
      <c r="A943" s="3" t="n"/>
      <c r="B943" s="3" t="n"/>
      <c r="C943" s="3" t="n"/>
      <c r="D943" s="3" t="n"/>
      <c r="E943" s="3" t="n"/>
      <c r="F943" s="10" t="n"/>
      <c r="G943" s="10" t="n"/>
      <c r="H943" s="10" t="n"/>
      <c r="I943" s="3" t="n"/>
      <c r="J943" s="3">
        <f>IF(tblEjecucion[[#This Row],[orden]]="","",tblEjecucion[[#This Row],[orden]]&amp;IF(tblEjecucion[[#This Row],[operacion]]="","0010",tblEjecucion[[#This Row],[operacion]]))</f>
        <v/>
      </c>
    </row>
    <row r="944">
      <c r="A944" s="3" t="n"/>
      <c r="B944" s="3" t="n"/>
      <c r="C944" s="3" t="n"/>
      <c r="D944" s="3" t="n"/>
      <c r="E944" s="3" t="n"/>
      <c r="F944" s="10" t="n"/>
      <c r="G944" s="10" t="n"/>
      <c r="H944" s="10" t="n"/>
      <c r="I944" s="3" t="n"/>
      <c r="J944" s="3">
        <f>IF(tblEjecucion[[#This Row],[orden]]="","",tblEjecucion[[#This Row],[orden]]&amp;IF(tblEjecucion[[#This Row],[operacion]]="","0010",tblEjecucion[[#This Row],[operacion]]))</f>
        <v/>
      </c>
    </row>
    <row r="945">
      <c r="A945" s="3" t="n"/>
      <c r="B945" s="3" t="n"/>
      <c r="C945" s="3" t="n"/>
      <c r="D945" s="3" t="n"/>
      <c r="E945" s="3" t="n"/>
      <c r="F945" s="10" t="n"/>
      <c r="G945" s="10" t="n"/>
      <c r="H945" s="10" t="n"/>
      <c r="I945" s="3" t="n"/>
      <c r="J945" s="3">
        <f>IF(tblEjecucion[[#This Row],[orden]]="","",tblEjecucion[[#This Row],[orden]]&amp;IF(tblEjecucion[[#This Row],[operacion]]="","0010",tblEjecucion[[#This Row],[operacion]]))</f>
        <v/>
      </c>
    </row>
    <row r="946">
      <c r="A946" s="3" t="n"/>
      <c r="B946" s="3" t="n"/>
      <c r="C946" s="3" t="n"/>
      <c r="D946" s="3" t="n"/>
      <c r="E946" s="3" t="n"/>
      <c r="F946" s="10" t="n"/>
      <c r="G946" s="10" t="n"/>
      <c r="H946" s="10" t="n"/>
      <c r="I946" s="3" t="n"/>
      <c r="J946" s="3">
        <f>IF(tblEjecucion[[#This Row],[orden]]="","",tblEjecucion[[#This Row],[orden]]&amp;IF(tblEjecucion[[#This Row],[operacion]]="","0010",tblEjecucion[[#This Row],[operacion]]))</f>
        <v/>
      </c>
    </row>
    <row r="947">
      <c r="A947" s="3" t="n"/>
      <c r="B947" s="3" t="n"/>
      <c r="C947" s="3" t="n"/>
      <c r="D947" s="3" t="n"/>
      <c r="E947" s="3" t="n"/>
      <c r="F947" s="10" t="n"/>
      <c r="G947" s="10" t="n"/>
      <c r="H947" s="10" t="n"/>
      <c r="I947" s="3" t="n"/>
      <c r="J947" s="3">
        <f>IF(tblEjecucion[[#This Row],[orden]]="","",tblEjecucion[[#This Row],[orden]]&amp;IF(tblEjecucion[[#This Row],[operacion]]="","0010",tblEjecucion[[#This Row],[operacion]]))</f>
        <v/>
      </c>
    </row>
    <row r="948">
      <c r="A948" s="3" t="n"/>
      <c r="B948" s="3" t="n"/>
      <c r="C948" s="3" t="n"/>
      <c r="D948" s="3" t="n"/>
      <c r="E948" s="3" t="n"/>
      <c r="F948" s="10" t="n"/>
      <c r="G948" s="10" t="n"/>
      <c r="H948" s="10" t="n"/>
      <c r="I948" s="3" t="n"/>
      <c r="J948" s="3">
        <f>IF(tblEjecucion[[#This Row],[orden]]="","",tblEjecucion[[#This Row],[orden]]&amp;IF(tblEjecucion[[#This Row],[operacion]]="","0010",tblEjecucion[[#This Row],[operacion]]))</f>
        <v/>
      </c>
    </row>
    <row r="949">
      <c r="A949" s="3" t="n"/>
      <c r="B949" s="3" t="n"/>
      <c r="C949" s="3" t="n"/>
      <c r="D949" s="3" t="n"/>
      <c r="E949" s="3" t="n"/>
      <c r="F949" s="10" t="n"/>
      <c r="G949" s="10" t="n"/>
      <c r="H949" s="10" t="n"/>
      <c r="I949" s="3" t="n"/>
      <c r="J949" s="3">
        <f>IF(tblEjecucion[[#This Row],[orden]]="","",tblEjecucion[[#This Row],[orden]]&amp;IF(tblEjecucion[[#This Row],[operacion]]="","0010",tblEjecucion[[#This Row],[operacion]]))</f>
        <v/>
      </c>
    </row>
    <row r="950">
      <c r="A950" s="3" t="n"/>
      <c r="B950" s="3" t="n"/>
      <c r="C950" s="3" t="n"/>
      <c r="D950" s="3" t="n"/>
      <c r="E950" s="3" t="n"/>
      <c r="F950" s="10" t="n"/>
      <c r="G950" s="10" t="n"/>
      <c r="H950" s="10" t="n"/>
      <c r="I950" s="3" t="n"/>
      <c r="J950" s="3">
        <f>IF(tblEjecucion[[#This Row],[orden]]="","",tblEjecucion[[#This Row],[orden]]&amp;IF(tblEjecucion[[#This Row],[operacion]]="","0010",tblEjecucion[[#This Row],[operacion]]))</f>
        <v/>
      </c>
    </row>
    <row r="951">
      <c r="A951" s="3" t="n"/>
      <c r="B951" s="3" t="n"/>
      <c r="C951" s="3" t="n"/>
      <c r="D951" s="3" t="n"/>
      <c r="E951" s="3" t="n"/>
      <c r="F951" s="10" t="n"/>
      <c r="G951" s="10" t="n"/>
      <c r="H951" s="10" t="n"/>
      <c r="I951" s="3" t="n"/>
      <c r="J951" s="3">
        <f>IF(tblEjecucion[[#This Row],[orden]]="","",tblEjecucion[[#This Row],[orden]]&amp;IF(tblEjecucion[[#This Row],[operacion]]="","0010",tblEjecucion[[#This Row],[operacion]]))</f>
        <v/>
      </c>
    </row>
    <row r="952">
      <c r="A952" s="3" t="n"/>
      <c r="B952" s="3" t="n"/>
      <c r="C952" s="3" t="n"/>
      <c r="D952" s="3" t="n"/>
      <c r="E952" s="3" t="n"/>
      <c r="F952" s="10" t="n"/>
      <c r="G952" s="10" t="n"/>
      <c r="H952" s="10" t="n"/>
      <c r="I952" s="3" t="n"/>
      <c r="J952" s="3">
        <f>IF(tblEjecucion[[#This Row],[orden]]="","",tblEjecucion[[#This Row],[orden]]&amp;IF(tblEjecucion[[#This Row],[operacion]]="","0010",tblEjecucion[[#This Row],[operacion]]))</f>
        <v/>
      </c>
    </row>
    <row r="953">
      <c r="A953" s="3" t="n"/>
      <c r="B953" s="3" t="n"/>
      <c r="C953" s="3" t="n"/>
      <c r="D953" s="3" t="n"/>
      <c r="E953" s="3" t="n"/>
      <c r="F953" s="10" t="n"/>
      <c r="G953" s="10" t="n"/>
      <c r="H953" s="10" t="n"/>
      <c r="I953" s="3" t="n"/>
      <c r="J953" s="3">
        <f>IF(tblEjecucion[[#This Row],[orden]]="","",tblEjecucion[[#This Row],[orden]]&amp;IF(tblEjecucion[[#This Row],[operacion]]="","0010",tblEjecucion[[#This Row],[operacion]]))</f>
        <v/>
      </c>
    </row>
    <row r="954">
      <c r="A954" s="3" t="n"/>
      <c r="B954" s="3" t="n"/>
      <c r="C954" s="3" t="n"/>
      <c r="D954" s="3" t="n"/>
      <c r="E954" s="3" t="n"/>
      <c r="F954" s="10" t="n"/>
      <c r="G954" s="10" t="n"/>
      <c r="H954" s="10" t="n"/>
      <c r="I954" s="3" t="n"/>
      <c r="J954" s="3">
        <f>IF(tblEjecucion[[#This Row],[orden]]="","",tblEjecucion[[#This Row],[orden]]&amp;IF(tblEjecucion[[#This Row],[operacion]]="","0010",tblEjecucion[[#This Row],[operacion]]))</f>
        <v/>
      </c>
    </row>
    <row r="955">
      <c r="A955" s="3" t="n"/>
      <c r="B955" s="3" t="n"/>
      <c r="C955" s="3" t="n"/>
      <c r="D955" s="3" t="n"/>
      <c r="E955" s="3" t="n"/>
      <c r="F955" s="10" t="n"/>
      <c r="G955" s="10" t="n"/>
      <c r="H955" s="10" t="n"/>
      <c r="I955" s="3" t="n"/>
      <c r="J955" s="3">
        <f>IF(tblEjecucion[[#This Row],[orden]]="","",tblEjecucion[[#This Row],[orden]]&amp;IF(tblEjecucion[[#This Row],[operacion]]="","0010",tblEjecucion[[#This Row],[operacion]]))</f>
        <v/>
      </c>
    </row>
    <row r="956">
      <c r="A956" s="3" t="n"/>
      <c r="B956" s="3" t="n"/>
      <c r="C956" s="3" t="n"/>
      <c r="D956" s="3" t="n"/>
      <c r="E956" s="3" t="n"/>
      <c r="F956" s="10" t="n"/>
      <c r="G956" s="10" t="n"/>
      <c r="H956" s="10" t="n"/>
      <c r="I956" s="3" t="n"/>
      <c r="J956" s="3">
        <f>IF(tblEjecucion[[#This Row],[orden]]="","",tblEjecucion[[#This Row],[orden]]&amp;IF(tblEjecucion[[#This Row],[operacion]]="","0010",tblEjecucion[[#This Row],[operacion]]))</f>
        <v/>
      </c>
    </row>
    <row r="957">
      <c r="A957" s="3" t="n"/>
      <c r="B957" s="3" t="n"/>
      <c r="C957" s="3" t="n"/>
      <c r="D957" s="3" t="n"/>
      <c r="E957" s="3" t="n"/>
      <c r="F957" s="10" t="n"/>
      <c r="G957" s="10" t="n"/>
      <c r="H957" s="10" t="n"/>
      <c r="I957" s="3" t="n"/>
      <c r="J957" s="3">
        <f>IF(tblEjecucion[[#This Row],[orden]]="","",tblEjecucion[[#This Row],[orden]]&amp;IF(tblEjecucion[[#This Row],[operacion]]="","0010",tblEjecucion[[#This Row],[operacion]]))</f>
        <v/>
      </c>
    </row>
    <row r="958">
      <c r="A958" s="3" t="n"/>
      <c r="B958" s="3" t="n"/>
      <c r="C958" s="3" t="n"/>
      <c r="D958" s="3" t="n"/>
      <c r="E958" s="3" t="n"/>
      <c r="F958" s="10" t="n"/>
      <c r="G958" s="10" t="n"/>
      <c r="H958" s="10" t="n"/>
      <c r="I958" s="3" t="n"/>
      <c r="J958" s="3">
        <f>IF(tblEjecucion[[#This Row],[orden]]="","",tblEjecucion[[#This Row],[orden]]&amp;IF(tblEjecucion[[#This Row],[operacion]]="","0010",tblEjecucion[[#This Row],[operacion]]))</f>
        <v/>
      </c>
    </row>
    <row r="959">
      <c r="A959" s="3" t="n"/>
      <c r="B959" s="3" t="n"/>
      <c r="C959" s="3" t="n"/>
      <c r="D959" s="3" t="n"/>
      <c r="E959" s="3" t="n"/>
      <c r="F959" s="10" t="n"/>
      <c r="G959" s="10" t="n"/>
      <c r="H959" s="10" t="n"/>
      <c r="I959" s="3" t="n"/>
      <c r="J959" s="3">
        <f>IF(tblEjecucion[[#This Row],[orden]]="","",tblEjecucion[[#This Row],[orden]]&amp;IF(tblEjecucion[[#This Row],[operacion]]="","0010",tblEjecucion[[#This Row],[operacion]]))</f>
        <v/>
      </c>
    </row>
    <row r="960">
      <c r="A960" s="3" t="n"/>
      <c r="B960" s="3" t="n"/>
      <c r="C960" s="3" t="n"/>
      <c r="D960" s="3" t="n"/>
      <c r="E960" s="3" t="n"/>
      <c r="F960" s="10" t="n"/>
      <c r="G960" s="10" t="n"/>
      <c r="H960" s="10" t="n"/>
      <c r="I960" s="3" t="n"/>
      <c r="J960" s="3">
        <f>IF(tblEjecucion[[#This Row],[orden]]="","",tblEjecucion[[#This Row],[orden]]&amp;IF(tblEjecucion[[#This Row],[operacion]]="","0010",tblEjecucion[[#This Row],[operacion]]))</f>
        <v/>
      </c>
    </row>
    <row r="961">
      <c r="A961" s="3" t="n"/>
      <c r="B961" s="3" t="n"/>
      <c r="C961" s="3" t="n"/>
      <c r="D961" s="3" t="n"/>
      <c r="E961" s="3" t="n"/>
      <c r="F961" s="10" t="n"/>
      <c r="G961" s="10" t="n"/>
      <c r="H961" s="10" t="n"/>
      <c r="I961" s="3" t="n"/>
      <c r="J961" s="3">
        <f>IF(tblEjecucion[[#This Row],[orden]]="","",tblEjecucion[[#This Row],[orden]]&amp;IF(tblEjecucion[[#This Row],[operacion]]="","0010",tblEjecucion[[#This Row],[operacion]]))</f>
        <v/>
      </c>
    </row>
    <row r="962">
      <c r="A962" s="3" t="n"/>
      <c r="B962" s="3" t="n"/>
      <c r="C962" s="3" t="n"/>
      <c r="D962" s="3" t="n"/>
      <c r="E962" s="3" t="n"/>
      <c r="F962" s="10" t="n"/>
      <c r="G962" s="10" t="n"/>
      <c r="H962" s="10" t="n"/>
      <c r="I962" s="3" t="n"/>
      <c r="J962" s="3">
        <f>IF(tblEjecucion[[#This Row],[orden]]="","",tblEjecucion[[#This Row],[orden]]&amp;IF(tblEjecucion[[#This Row],[operacion]]="","0010",tblEjecucion[[#This Row],[operacion]]))</f>
        <v/>
      </c>
    </row>
    <row r="963">
      <c r="A963" s="3" t="n"/>
      <c r="B963" s="3" t="n"/>
      <c r="C963" s="3" t="n"/>
      <c r="D963" s="3" t="n"/>
      <c r="E963" s="3" t="n"/>
      <c r="F963" s="10" t="n"/>
      <c r="G963" s="10" t="n"/>
      <c r="H963" s="10" t="n"/>
      <c r="I963" s="3" t="n"/>
      <c r="J963" s="3">
        <f>IF(tblEjecucion[[#This Row],[orden]]="","",tblEjecucion[[#This Row],[orden]]&amp;IF(tblEjecucion[[#This Row],[operacion]]="","0010",tblEjecucion[[#This Row],[operacion]]))</f>
        <v/>
      </c>
    </row>
    <row r="964">
      <c r="A964" s="3" t="n"/>
      <c r="B964" s="3" t="n"/>
      <c r="C964" s="3" t="n"/>
      <c r="D964" s="3" t="n"/>
      <c r="E964" s="3" t="n"/>
      <c r="F964" s="10" t="n"/>
      <c r="G964" s="10" t="n"/>
      <c r="H964" s="10" t="n"/>
      <c r="I964" s="3" t="n"/>
      <c r="J964" s="3">
        <f>IF(tblEjecucion[[#This Row],[orden]]="","",tblEjecucion[[#This Row],[orden]]&amp;IF(tblEjecucion[[#This Row],[operacion]]="","0010",tblEjecucion[[#This Row],[operacion]]))</f>
        <v/>
      </c>
    </row>
    <row r="965">
      <c r="A965" s="3" t="n"/>
      <c r="B965" s="3" t="n"/>
      <c r="C965" s="3" t="n"/>
      <c r="D965" s="3" t="n"/>
      <c r="E965" s="3" t="n"/>
      <c r="F965" s="10" t="n"/>
      <c r="G965" s="10" t="n"/>
      <c r="H965" s="10" t="n"/>
      <c r="I965" s="3" t="n"/>
      <c r="J965" s="3">
        <f>IF(tblEjecucion[[#This Row],[orden]]="","",tblEjecucion[[#This Row],[orden]]&amp;IF(tblEjecucion[[#This Row],[operacion]]="","0010",tblEjecucion[[#This Row],[operacion]]))</f>
        <v/>
      </c>
    </row>
    <row r="966">
      <c r="A966" s="3" t="n"/>
      <c r="B966" s="3" t="n"/>
      <c r="C966" s="3" t="n"/>
      <c r="D966" s="3" t="n"/>
      <c r="E966" s="3" t="n"/>
      <c r="F966" s="10" t="n"/>
      <c r="G966" s="10" t="n"/>
      <c r="H966" s="10" t="n"/>
      <c r="I966" s="3" t="n"/>
      <c r="J966" s="3">
        <f>IF(tblEjecucion[[#This Row],[orden]]="","",tblEjecucion[[#This Row],[orden]]&amp;IF(tblEjecucion[[#This Row],[operacion]]="","0010",tblEjecucion[[#This Row],[operacion]]))</f>
        <v/>
      </c>
    </row>
    <row r="967">
      <c r="A967" s="3" t="n"/>
      <c r="B967" s="3" t="n"/>
      <c r="C967" s="3" t="n"/>
      <c r="D967" s="3" t="n"/>
      <c r="E967" s="3" t="n"/>
      <c r="F967" s="10" t="n"/>
      <c r="G967" s="10" t="n"/>
      <c r="H967" s="10" t="n"/>
      <c r="I967" s="3" t="n"/>
      <c r="J967" s="3">
        <f>IF(tblEjecucion[[#This Row],[orden]]="","",tblEjecucion[[#This Row],[orden]]&amp;IF(tblEjecucion[[#This Row],[operacion]]="","0010",tblEjecucion[[#This Row],[operacion]]))</f>
        <v/>
      </c>
    </row>
    <row r="968">
      <c r="A968" s="3" t="n"/>
      <c r="B968" s="3" t="n"/>
      <c r="C968" s="3" t="n"/>
      <c r="D968" s="3" t="n"/>
      <c r="E968" s="3" t="n"/>
      <c r="F968" s="10" t="n"/>
      <c r="G968" s="10" t="n"/>
      <c r="H968" s="10" t="n"/>
      <c r="I968" s="3" t="n"/>
      <c r="J968" s="3">
        <f>IF(tblEjecucion[[#This Row],[orden]]="","",tblEjecucion[[#This Row],[orden]]&amp;IF(tblEjecucion[[#This Row],[operacion]]="","0010",tblEjecucion[[#This Row],[operacion]]))</f>
        <v/>
      </c>
    </row>
    <row r="969">
      <c r="A969" s="3" t="n"/>
      <c r="B969" s="3" t="n"/>
      <c r="C969" s="3" t="n"/>
      <c r="D969" s="3" t="n"/>
      <c r="E969" s="3" t="n"/>
      <c r="F969" s="10" t="n"/>
      <c r="G969" s="10" t="n"/>
      <c r="H969" s="10" t="n"/>
      <c r="I969" s="3" t="n"/>
      <c r="J969" s="3">
        <f>IF(tblEjecucion[[#This Row],[orden]]="","",tblEjecucion[[#This Row],[orden]]&amp;IF(tblEjecucion[[#This Row],[operacion]]="","0010",tblEjecucion[[#This Row],[operacion]]))</f>
        <v/>
      </c>
    </row>
    <row r="970">
      <c r="A970" s="3" t="n"/>
      <c r="B970" s="3" t="n"/>
      <c r="C970" s="3" t="n"/>
      <c r="D970" s="3" t="n"/>
      <c r="E970" s="3" t="n"/>
      <c r="F970" s="10" t="n"/>
      <c r="G970" s="10" t="n"/>
      <c r="H970" s="10" t="n"/>
      <c r="I970" s="3" t="n"/>
      <c r="J970" s="3">
        <f>IF(tblEjecucion[[#This Row],[orden]]="","",tblEjecucion[[#This Row],[orden]]&amp;IF(tblEjecucion[[#This Row],[operacion]]="","0010",tblEjecucion[[#This Row],[operacion]]))</f>
        <v/>
      </c>
    </row>
    <row r="971">
      <c r="A971" s="3" t="n"/>
      <c r="B971" s="3" t="n"/>
      <c r="C971" s="3" t="n"/>
      <c r="D971" s="3" t="n"/>
      <c r="E971" s="3" t="n"/>
      <c r="F971" s="10" t="n"/>
      <c r="G971" s="10" t="n"/>
      <c r="H971" s="10" t="n"/>
      <c r="I971" s="3" t="n"/>
      <c r="J971" s="3">
        <f>IF(tblEjecucion[[#This Row],[orden]]="","",tblEjecucion[[#This Row],[orden]]&amp;IF(tblEjecucion[[#This Row],[operacion]]="","0010",tblEjecucion[[#This Row],[operacion]]))</f>
        <v/>
      </c>
    </row>
    <row r="972">
      <c r="A972" s="3" t="n"/>
      <c r="B972" s="3" t="n"/>
      <c r="C972" s="3" t="n"/>
      <c r="D972" s="3" t="n"/>
      <c r="E972" s="3" t="n"/>
      <c r="F972" s="10" t="n"/>
      <c r="G972" s="10" t="n"/>
      <c r="H972" s="10" t="n"/>
      <c r="I972" s="3" t="n"/>
      <c r="J972" s="3">
        <f>IF(tblEjecucion[[#This Row],[orden]]="","",tblEjecucion[[#This Row],[orden]]&amp;IF(tblEjecucion[[#This Row],[operacion]]="","0010",tblEjecucion[[#This Row],[operacion]]))</f>
        <v/>
      </c>
    </row>
    <row r="973">
      <c r="A973" s="3" t="n"/>
      <c r="B973" s="3" t="n"/>
      <c r="C973" s="3" t="n"/>
      <c r="D973" s="3" t="n"/>
      <c r="E973" s="3" t="n"/>
      <c r="F973" s="10" t="n"/>
      <c r="G973" s="10" t="n"/>
      <c r="H973" s="10" t="n"/>
      <c r="I973" s="3" t="n"/>
      <c r="J973" s="3">
        <f>IF(tblEjecucion[[#This Row],[orden]]="","",tblEjecucion[[#This Row],[orden]]&amp;IF(tblEjecucion[[#This Row],[operacion]]="","0010",tblEjecucion[[#This Row],[operacion]]))</f>
        <v/>
      </c>
    </row>
    <row r="974">
      <c r="A974" s="3" t="n"/>
      <c r="B974" s="3" t="n"/>
      <c r="C974" s="3" t="n"/>
      <c r="D974" s="3" t="n"/>
      <c r="E974" s="3" t="n"/>
      <c r="F974" s="10" t="n"/>
      <c r="G974" s="10" t="n"/>
      <c r="H974" s="10" t="n"/>
      <c r="I974" s="3" t="n"/>
      <c r="J974" s="3">
        <f>IF(tblEjecucion[[#This Row],[orden]]="","",tblEjecucion[[#This Row],[orden]]&amp;IF(tblEjecucion[[#This Row],[operacion]]="","0010",tblEjecucion[[#This Row],[operacion]]))</f>
        <v/>
      </c>
    </row>
    <row r="975">
      <c r="A975" s="3" t="n"/>
      <c r="B975" s="3" t="n"/>
      <c r="C975" s="3" t="n"/>
      <c r="D975" s="3" t="n"/>
      <c r="E975" s="3" t="n"/>
      <c r="F975" s="10" t="n"/>
      <c r="G975" s="10" t="n"/>
      <c r="H975" s="10" t="n"/>
      <c r="I975" s="3" t="n"/>
      <c r="J975" s="3">
        <f>IF(tblEjecucion[[#This Row],[orden]]="","",tblEjecucion[[#This Row],[orden]]&amp;IF(tblEjecucion[[#This Row],[operacion]]="","0010",tblEjecucion[[#This Row],[operacion]]))</f>
        <v/>
      </c>
    </row>
    <row r="976">
      <c r="A976" s="3" t="n"/>
      <c r="B976" s="3" t="n"/>
      <c r="C976" s="3" t="n"/>
      <c r="D976" s="3" t="n"/>
      <c r="E976" s="3" t="n"/>
      <c r="F976" s="10" t="n"/>
      <c r="G976" s="10" t="n"/>
      <c r="H976" s="10" t="n"/>
      <c r="I976" s="3" t="n"/>
      <c r="J976" s="3">
        <f>IF(tblEjecucion[[#This Row],[orden]]="","",tblEjecucion[[#This Row],[orden]]&amp;IF(tblEjecucion[[#This Row],[operacion]]="","0010",tblEjecucion[[#This Row],[operacion]]))</f>
        <v/>
      </c>
    </row>
    <row r="977">
      <c r="A977" s="3" t="n"/>
      <c r="B977" s="3" t="n"/>
      <c r="C977" s="3" t="n"/>
      <c r="D977" s="3" t="n"/>
      <c r="E977" s="3" t="n"/>
      <c r="F977" s="10" t="n"/>
      <c r="G977" s="10" t="n"/>
      <c r="H977" s="10" t="n"/>
      <c r="I977" s="3" t="n"/>
      <c r="J977" s="3">
        <f>IF(tblEjecucion[[#This Row],[orden]]="","",tblEjecucion[[#This Row],[orden]]&amp;IF(tblEjecucion[[#This Row],[operacion]]="","0010",tblEjecucion[[#This Row],[operacion]]))</f>
        <v/>
      </c>
    </row>
    <row r="978">
      <c r="A978" s="3" t="n"/>
      <c r="B978" s="3" t="n"/>
      <c r="C978" s="3" t="n"/>
      <c r="D978" s="3" t="n"/>
      <c r="E978" s="3" t="n"/>
      <c r="F978" s="10" t="n"/>
      <c r="G978" s="10" t="n"/>
      <c r="H978" s="10" t="n"/>
      <c r="I978" s="3" t="n"/>
      <c r="J978" s="3">
        <f>IF(tblEjecucion[[#This Row],[orden]]="","",tblEjecucion[[#This Row],[orden]]&amp;IF(tblEjecucion[[#This Row],[operacion]]="","0010",tblEjecucion[[#This Row],[operacion]]))</f>
        <v/>
      </c>
    </row>
    <row r="979">
      <c r="A979" s="3" t="n"/>
      <c r="B979" s="3" t="n"/>
      <c r="C979" s="3" t="n"/>
      <c r="D979" s="3" t="n"/>
      <c r="E979" s="3" t="n"/>
      <c r="F979" s="10" t="n"/>
      <c r="G979" s="10" t="n"/>
      <c r="H979" s="10" t="n"/>
      <c r="I979" s="3" t="n"/>
      <c r="J979" s="3">
        <f>IF(tblEjecucion[[#This Row],[orden]]="","",tblEjecucion[[#This Row],[orden]]&amp;IF(tblEjecucion[[#This Row],[operacion]]="","0010",tblEjecucion[[#This Row],[operacion]]))</f>
        <v/>
      </c>
    </row>
    <row r="980">
      <c r="A980" s="3" t="n"/>
      <c r="B980" s="3" t="n"/>
      <c r="C980" s="3" t="n"/>
      <c r="D980" s="3" t="n"/>
      <c r="E980" s="3" t="n"/>
      <c r="F980" s="10" t="n"/>
      <c r="G980" s="10" t="n"/>
      <c r="H980" s="10" t="n"/>
      <c r="I980" s="3" t="n"/>
      <c r="J980" s="3">
        <f>IF(tblEjecucion[[#This Row],[orden]]="","",tblEjecucion[[#This Row],[orden]]&amp;IF(tblEjecucion[[#This Row],[operacion]]="","0010",tblEjecucion[[#This Row],[operacion]]))</f>
        <v/>
      </c>
    </row>
    <row r="981">
      <c r="A981" s="3" t="n"/>
      <c r="B981" s="3" t="n"/>
      <c r="C981" s="3" t="n"/>
      <c r="D981" s="3" t="n"/>
      <c r="E981" s="3" t="n"/>
      <c r="F981" s="10" t="n"/>
      <c r="G981" s="10" t="n"/>
      <c r="H981" s="10" t="n"/>
      <c r="I981" s="3" t="n"/>
      <c r="J981" s="3">
        <f>IF(tblEjecucion[[#This Row],[orden]]="","",tblEjecucion[[#This Row],[orden]]&amp;IF(tblEjecucion[[#This Row],[operacion]]="","0010",tblEjecucion[[#This Row],[operacion]]))</f>
        <v/>
      </c>
    </row>
    <row r="982">
      <c r="A982" s="3" t="n"/>
      <c r="B982" s="3" t="n"/>
      <c r="C982" s="3" t="n"/>
      <c r="D982" s="3" t="n"/>
      <c r="E982" s="3" t="n"/>
      <c r="F982" s="10" t="n"/>
      <c r="G982" s="10" t="n"/>
      <c r="H982" s="10" t="n"/>
      <c r="I982" s="3" t="n"/>
      <c r="J982" s="3">
        <f>IF(tblEjecucion[[#This Row],[orden]]="","",tblEjecucion[[#This Row],[orden]]&amp;IF(tblEjecucion[[#This Row],[operacion]]="","0010",tblEjecucion[[#This Row],[operacion]]))</f>
        <v/>
      </c>
    </row>
    <row r="983">
      <c r="A983" s="3" t="n"/>
      <c r="B983" s="3" t="n"/>
      <c r="C983" s="3" t="n"/>
      <c r="D983" s="3" t="n"/>
      <c r="E983" s="3" t="n"/>
      <c r="F983" s="10" t="n"/>
      <c r="G983" s="10" t="n"/>
      <c r="H983" s="10" t="n"/>
      <c r="I983" s="3" t="n"/>
      <c r="J983" s="3">
        <f>IF(tblEjecucion[[#This Row],[orden]]="","",tblEjecucion[[#This Row],[orden]]&amp;IF(tblEjecucion[[#This Row],[operacion]]="","0010",tblEjecucion[[#This Row],[operacion]]))</f>
        <v/>
      </c>
    </row>
    <row r="984">
      <c r="A984" s="3" t="n"/>
      <c r="B984" s="3" t="n"/>
      <c r="C984" s="3" t="n"/>
      <c r="D984" s="3" t="n"/>
      <c r="E984" s="3" t="n"/>
      <c r="F984" s="10" t="n"/>
      <c r="G984" s="10" t="n"/>
      <c r="H984" s="10" t="n"/>
      <c r="I984" s="3" t="n"/>
      <c r="J984" s="3">
        <f>IF(tblEjecucion[[#This Row],[orden]]="","",tblEjecucion[[#This Row],[orden]]&amp;IF(tblEjecucion[[#This Row],[operacion]]="","0010",tblEjecucion[[#This Row],[operacion]]))</f>
        <v/>
      </c>
    </row>
    <row r="985">
      <c r="A985" s="3" t="n"/>
      <c r="B985" s="3" t="n"/>
      <c r="C985" s="3" t="n"/>
      <c r="D985" s="3" t="n"/>
      <c r="E985" s="3" t="n"/>
      <c r="F985" s="10" t="n"/>
      <c r="G985" s="10" t="n"/>
      <c r="H985" s="10" t="n"/>
      <c r="I985" s="3" t="n"/>
      <c r="J985" s="3">
        <f>IF(tblEjecucion[[#This Row],[orden]]="","",tblEjecucion[[#This Row],[orden]]&amp;IF(tblEjecucion[[#This Row],[operacion]]="","0010",tblEjecucion[[#This Row],[operacion]]))</f>
        <v/>
      </c>
    </row>
    <row r="986">
      <c r="A986" s="3" t="n"/>
      <c r="B986" s="3" t="n"/>
      <c r="C986" s="3" t="n"/>
      <c r="D986" s="3" t="n"/>
      <c r="E986" s="3" t="n"/>
      <c r="F986" s="10" t="n"/>
      <c r="G986" s="10" t="n"/>
      <c r="H986" s="10" t="n"/>
      <c r="I986" s="3" t="n"/>
      <c r="J986" s="3">
        <f>IF(tblEjecucion[[#This Row],[orden]]="","",tblEjecucion[[#This Row],[orden]]&amp;IF(tblEjecucion[[#This Row],[operacion]]="","0010",tblEjecucion[[#This Row],[operacion]]))</f>
        <v/>
      </c>
    </row>
    <row r="987">
      <c r="A987" s="3" t="n"/>
      <c r="B987" s="3" t="n"/>
      <c r="C987" s="3" t="n"/>
      <c r="D987" s="3" t="n"/>
      <c r="E987" s="3" t="n"/>
      <c r="F987" s="10" t="n"/>
      <c r="G987" s="10" t="n"/>
      <c r="H987" s="10" t="n"/>
      <c r="I987" s="3" t="n"/>
      <c r="J987" s="3">
        <f>IF(tblEjecucion[[#This Row],[orden]]="","",tblEjecucion[[#This Row],[orden]]&amp;IF(tblEjecucion[[#This Row],[operacion]]="","0010",tblEjecucion[[#This Row],[operacion]]))</f>
        <v/>
      </c>
    </row>
    <row r="988">
      <c r="A988" s="3" t="n"/>
      <c r="B988" s="3" t="n"/>
      <c r="C988" s="3" t="n"/>
      <c r="D988" s="3" t="n"/>
      <c r="E988" s="3" t="n"/>
      <c r="F988" s="10" t="n"/>
      <c r="G988" s="10" t="n"/>
      <c r="H988" s="10" t="n"/>
      <c r="I988" s="3" t="n"/>
      <c r="J988" s="3">
        <f>IF(tblEjecucion[[#This Row],[orden]]="","",tblEjecucion[[#This Row],[orden]]&amp;IF(tblEjecucion[[#This Row],[operacion]]="","0010",tblEjecucion[[#This Row],[operacion]]))</f>
        <v/>
      </c>
    </row>
    <row r="989">
      <c r="A989" s="3" t="n"/>
      <c r="B989" s="3" t="n"/>
      <c r="C989" s="3" t="n"/>
      <c r="D989" s="3" t="n"/>
      <c r="E989" s="3" t="n"/>
      <c r="F989" s="10" t="n"/>
      <c r="G989" s="10" t="n"/>
      <c r="H989" s="10" t="n"/>
      <c r="I989" s="3" t="n"/>
      <c r="J989" s="3">
        <f>IF(tblEjecucion[[#This Row],[orden]]="","",tblEjecucion[[#This Row],[orden]]&amp;IF(tblEjecucion[[#This Row],[operacion]]="","0010",tblEjecucion[[#This Row],[operacion]]))</f>
        <v/>
      </c>
    </row>
    <row r="990">
      <c r="A990" s="3" t="n"/>
      <c r="B990" s="3" t="n"/>
      <c r="C990" s="3" t="n"/>
      <c r="D990" s="3" t="n"/>
      <c r="E990" s="3" t="n"/>
      <c r="F990" s="10" t="n"/>
      <c r="G990" s="10" t="n"/>
      <c r="H990" s="10" t="n"/>
      <c r="I990" s="3" t="n"/>
      <c r="J990" s="3">
        <f>IF(tblEjecucion[[#This Row],[orden]]="","",tblEjecucion[[#This Row],[orden]]&amp;IF(tblEjecucion[[#This Row],[operacion]]="","0010",tblEjecucion[[#This Row],[operacion]]))</f>
        <v/>
      </c>
    </row>
    <row r="991">
      <c r="A991" s="3" t="n"/>
      <c r="B991" s="3" t="n"/>
      <c r="C991" s="3" t="n"/>
      <c r="D991" s="3" t="n"/>
      <c r="E991" s="3" t="n"/>
      <c r="F991" s="10" t="n"/>
      <c r="G991" s="10" t="n"/>
      <c r="H991" s="10" t="n"/>
      <c r="I991" s="3" t="n"/>
      <c r="J991" s="3">
        <f>IF(tblEjecucion[[#This Row],[orden]]="","",tblEjecucion[[#This Row],[orden]]&amp;IF(tblEjecucion[[#This Row],[operacion]]="","0010",tblEjecucion[[#This Row],[operacion]]))</f>
        <v/>
      </c>
    </row>
    <row r="992">
      <c r="A992" s="3" t="n"/>
      <c r="B992" s="3" t="n"/>
      <c r="C992" s="3" t="n"/>
      <c r="D992" s="3" t="n"/>
      <c r="E992" s="3" t="n"/>
      <c r="F992" s="10" t="n"/>
      <c r="G992" s="10" t="n"/>
      <c r="H992" s="10" t="n"/>
      <c r="I992" s="3" t="n"/>
      <c r="J992" s="3">
        <f>IF(tblEjecucion[[#This Row],[orden]]="","",tblEjecucion[[#This Row],[orden]]&amp;IF(tblEjecucion[[#This Row],[operacion]]="","0010",tblEjecucion[[#This Row],[operacion]]))</f>
        <v/>
      </c>
    </row>
    <row r="993">
      <c r="A993" s="3" t="n"/>
      <c r="B993" s="3" t="n"/>
      <c r="C993" s="3" t="n"/>
      <c r="D993" s="3" t="n"/>
      <c r="E993" s="3" t="n"/>
      <c r="F993" s="10" t="n"/>
      <c r="G993" s="10" t="n"/>
      <c r="H993" s="10" t="n"/>
      <c r="I993" s="3" t="n"/>
      <c r="J993" s="3">
        <f>IF(tblEjecucion[[#This Row],[orden]]="","",tblEjecucion[[#This Row],[orden]]&amp;IF(tblEjecucion[[#This Row],[operacion]]="","0010",tblEjecucion[[#This Row],[operacion]]))</f>
        <v/>
      </c>
    </row>
    <row r="994">
      <c r="A994" s="3" t="n"/>
      <c r="B994" s="3" t="n"/>
      <c r="C994" s="3" t="n"/>
      <c r="D994" s="3" t="n"/>
      <c r="E994" s="3" t="n"/>
      <c r="F994" s="10" t="n"/>
      <c r="G994" s="10" t="n"/>
      <c r="H994" s="10" t="n"/>
      <c r="I994" s="3" t="n"/>
      <c r="J994" s="3">
        <f>IF(tblEjecucion[[#This Row],[orden]]="","",tblEjecucion[[#This Row],[orden]]&amp;IF(tblEjecucion[[#This Row],[operacion]]="","0010",tblEjecucion[[#This Row],[operacion]]))</f>
        <v/>
      </c>
    </row>
    <row r="995">
      <c r="A995" s="3" t="n"/>
      <c r="B995" s="3" t="n"/>
      <c r="C995" s="3" t="n"/>
      <c r="D995" s="3" t="n"/>
      <c r="E995" s="3" t="n"/>
      <c r="F995" s="10" t="n"/>
      <c r="G995" s="10" t="n"/>
      <c r="H995" s="10" t="n"/>
      <c r="I995" s="3" t="n"/>
      <c r="J995" s="3">
        <f>IF(tblEjecucion[[#This Row],[orden]]="","",tblEjecucion[[#This Row],[orden]]&amp;IF(tblEjecucion[[#This Row],[operacion]]="","0010",tblEjecucion[[#This Row],[operacion]]))</f>
        <v/>
      </c>
    </row>
    <row r="996">
      <c r="A996" s="3" t="n"/>
      <c r="B996" s="3" t="n"/>
      <c r="C996" s="3" t="n"/>
      <c r="D996" s="3" t="n"/>
      <c r="E996" s="3" t="n"/>
      <c r="F996" s="10" t="n"/>
      <c r="G996" s="10" t="n"/>
      <c r="H996" s="10" t="n"/>
      <c r="I996" s="3" t="n"/>
      <c r="J996" s="3">
        <f>IF(tblEjecucion[[#This Row],[orden]]="","",tblEjecucion[[#This Row],[orden]]&amp;IF(tblEjecucion[[#This Row],[operacion]]="","0010",tblEjecucion[[#This Row],[operacion]]))</f>
        <v/>
      </c>
    </row>
    <row r="997">
      <c r="A997" s="3" t="n"/>
      <c r="B997" s="3" t="n"/>
      <c r="C997" s="3" t="n"/>
      <c r="D997" s="3" t="n"/>
      <c r="E997" s="3" t="n"/>
      <c r="F997" s="10" t="n"/>
      <c r="G997" s="10" t="n"/>
      <c r="H997" s="10" t="n"/>
      <c r="I997" s="3" t="n"/>
      <c r="J997" s="3">
        <f>IF(tblEjecucion[[#This Row],[orden]]="","",tblEjecucion[[#This Row],[orden]]&amp;IF(tblEjecucion[[#This Row],[operacion]]="","0010",tblEjecucion[[#This Row],[operacion]]))</f>
        <v/>
      </c>
    </row>
    <row r="998">
      <c r="A998" s="3" t="n"/>
      <c r="B998" s="3" t="n"/>
      <c r="C998" s="3" t="n"/>
      <c r="D998" s="3" t="n"/>
      <c r="E998" s="3" t="n"/>
      <c r="F998" s="10" t="n"/>
      <c r="G998" s="10" t="n"/>
      <c r="H998" s="10" t="n"/>
      <c r="I998" s="3" t="n"/>
      <c r="J998" s="3">
        <f>IF(tblEjecucion[[#This Row],[orden]]="","",tblEjecucion[[#This Row],[orden]]&amp;IF(tblEjecucion[[#This Row],[operacion]]="","0010",tblEjecucion[[#This Row],[operacion]]))</f>
        <v/>
      </c>
    </row>
    <row r="999">
      <c r="A999" s="3" t="n"/>
      <c r="B999" s="3" t="n"/>
      <c r="C999" s="3" t="n"/>
      <c r="D999" s="3" t="n"/>
      <c r="E999" s="3" t="n"/>
      <c r="F999" s="10" t="n"/>
      <c r="G999" s="10" t="n"/>
      <c r="H999" s="10" t="n"/>
      <c r="I999" s="3" t="n"/>
      <c r="J999" s="3">
        <f>IF(tblEjecucion[[#This Row],[orden]]="","",tblEjecucion[[#This Row],[orden]]&amp;IF(tblEjecucion[[#This Row],[operacion]]="","0010",tblEjecucion[[#This Row],[operacion]]))</f>
        <v/>
      </c>
    </row>
    <row r="1000">
      <c r="A1000" s="3" t="n"/>
      <c r="B1000" s="3" t="n"/>
      <c r="C1000" s="3" t="n"/>
      <c r="D1000" s="3" t="n"/>
      <c r="E1000" s="3" t="n"/>
      <c r="F1000" s="10" t="n"/>
      <c r="G1000" s="10" t="n"/>
      <c r="H1000" s="10" t="n"/>
      <c r="I1000" s="3" t="n"/>
      <c r="J1000" s="3">
        <f>IF(tblEjecucion[[#This Row],[orden]]="","",tblEjecucion[[#This Row],[orden]]&amp;IF(tblEjecucion[[#This Row],[operacion]]="","0010",tblEjecucion[[#This Row],[operacion]]))</f>
        <v/>
      </c>
    </row>
    <row r="1001">
      <c r="A1001" s="3" t="n"/>
      <c r="B1001" s="3" t="n"/>
      <c r="C1001" s="3" t="n"/>
      <c r="D1001" s="3" t="n"/>
      <c r="E1001" s="3" t="n"/>
      <c r="F1001" s="10" t="n"/>
      <c r="G1001" s="10" t="n"/>
      <c r="H1001" s="10" t="n"/>
      <c r="I1001" s="3" t="n"/>
      <c r="J1001" s="3">
        <f>IF(tblEjecucion[[#This Row],[orden]]="","",tblEjecucion[[#This Row],[orden]]&amp;IF(tblEjecucion[[#This Row],[operacion]]="","0010",tblEjecucion[[#This Row],[operacion]]))</f>
        <v/>
      </c>
    </row>
    <row r="1002">
      <c r="A1002" s="3" t="n"/>
      <c r="B1002" s="3" t="n"/>
      <c r="C1002" s="3" t="n"/>
      <c r="D1002" s="3" t="n"/>
      <c r="E1002" s="3" t="n"/>
      <c r="F1002" s="10" t="n"/>
      <c r="G1002" s="10" t="n"/>
      <c r="H1002" s="10" t="n"/>
      <c r="I1002" s="3" t="n"/>
      <c r="J1002" s="3">
        <f>IF(tblEjecucion[[#This Row],[orden]]="","",tblEjecucion[[#This Row],[orden]]&amp;IF(tblEjecucion[[#This Row],[operacion]]="","0010",tblEjecucion[[#This Row],[operacion]]))</f>
        <v/>
      </c>
    </row>
    <row r="1003">
      <c r="A1003" s="3" t="n"/>
      <c r="B1003" s="3" t="n"/>
      <c r="C1003" s="3" t="n"/>
      <c r="D1003" s="3" t="n"/>
      <c r="E1003" s="3" t="n"/>
      <c r="F1003" s="10" t="n"/>
      <c r="G1003" s="10" t="n"/>
      <c r="H1003" s="10" t="n"/>
      <c r="I1003" s="3" t="n"/>
      <c r="J1003" s="3">
        <f>IF(tblEjecucion[[#This Row],[orden]]="","",tblEjecucion[[#This Row],[orden]]&amp;IF(tblEjecucion[[#This Row],[operacion]]="","0010",tblEjecucion[[#This Row],[operacion]]))</f>
        <v/>
      </c>
    </row>
    <row r="1004">
      <c r="A1004" s="3" t="n"/>
      <c r="B1004" s="3" t="n"/>
      <c r="C1004" s="3" t="n"/>
      <c r="D1004" s="3" t="n"/>
      <c r="E1004" s="3" t="n"/>
      <c r="F1004" s="10" t="n"/>
      <c r="G1004" s="10" t="n"/>
      <c r="H1004" s="10" t="n"/>
      <c r="I1004" s="3" t="n"/>
      <c r="J1004" s="3">
        <f>IF(tblEjecucion[[#This Row],[orden]]="","",tblEjecucion[[#This Row],[orden]]&amp;IF(tblEjecucion[[#This Row],[operacion]]="","0010",tblEjecucion[[#This Row],[operacion]]))</f>
        <v/>
      </c>
    </row>
    <row r="1005">
      <c r="A1005" s="3" t="n"/>
      <c r="B1005" s="3" t="n"/>
      <c r="C1005" s="3" t="n"/>
      <c r="D1005" s="3" t="n"/>
      <c r="E1005" s="3" t="n"/>
      <c r="F1005" s="10" t="n"/>
      <c r="G1005" s="10" t="n"/>
      <c r="H1005" s="10" t="n"/>
      <c r="I1005" s="3" t="n"/>
      <c r="J1005" s="3">
        <f>IF(tblEjecucion[[#This Row],[orden]]="","",tblEjecucion[[#This Row],[orden]]&amp;IF(tblEjecucion[[#This Row],[operacion]]="","0010",tblEjecucion[[#This Row],[operacion]]))</f>
        <v/>
      </c>
    </row>
    <row r="1006">
      <c r="A1006" s="3" t="n"/>
      <c r="B1006" s="3" t="n"/>
      <c r="C1006" s="3" t="n"/>
      <c r="D1006" s="3" t="n"/>
      <c r="E1006" s="3" t="n"/>
      <c r="F1006" s="10" t="n"/>
      <c r="G1006" s="10" t="n"/>
      <c r="H1006" s="10" t="n"/>
      <c r="I1006" s="3" t="n"/>
      <c r="J1006" s="3">
        <f>IF(tblEjecucion[[#This Row],[orden]]="","",tblEjecucion[[#This Row],[orden]]&amp;IF(tblEjecucion[[#This Row],[operacion]]="","0010",tblEjecucion[[#This Row],[operacion]]))</f>
        <v/>
      </c>
    </row>
    <row r="1007">
      <c r="A1007" s="3" t="n"/>
      <c r="B1007" s="3" t="n"/>
      <c r="C1007" s="3" t="n"/>
      <c r="D1007" s="3" t="n"/>
      <c r="E1007" s="3" t="n"/>
      <c r="F1007" s="10" t="n"/>
      <c r="G1007" s="10" t="n"/>
      <c r="H1007" s="10" t="n"/>
      <c r="I1007" s="3" t="n"/>
      <c r="J1007" s="3">
        <f>IF(tblEjecucion[[#This Row],[orden]]="","",tblEjecucion[[#This Row],[orden]]&amp;IF(tblEjecucion[[#This Row],[operacion]]="","0010",tblEjecucion[[#This Row],[operacion]]))</f>
        <v/>
      </c>
    </row>
    <row r="1008">
      <c r="A1008" s="3" t="n"/>
      <c r="B1008" s="3" t="n"/>
      <c r="C1008" s="3" t="n"/>
      <c r="D1008" s="3" t="n"/>
      <c r="E1008" s="3" t="n"/>
      <c r="F1008" s="10" t="n"/>
      <c r="G1008" s="10" t="n"/>
      <c r="H1008" s="10" t="n"/>
      <c r="I1008" s="3" t="n"/>
      <c r="J1008" s="3">
        <f>IF(tblEjecucion[[#This Row],[orden]]="","",tblEjecucion[[#This Row],[orden]]&amp;IF(tblEjecucion[[#This Row],[operacion]]="","0010",tblEjecucion[[#This Row],[operacion]]))</f>
        <v/>
      </c>
    </row>
    <row r="1009">
      <c r="A1009" s="3" t="n"/>
      <c r="B1009" s="3" t="n"/>
      <c r="C1009" s="3" t="n"/>
      <c r="D1009" s="3" t="n"/>
      <c r="E1009" s="3" t="n"/>
      <c r="F1009" s="10" t="n"/>
      <c r="G1009" s="10" t="n"/>
      <c r="H1009" s="10" t="n"/>
      <c r="I1009" s="3" t="n"/>
      <c r="J1009" s="3">
        <f>IF(tblEjecucion[[#This Row],[orden]]="","",tblEjecucion[[#This Row],[orden]]&amp;IF(tblEjecucion[[#This Row],[operacion]]="","0010",tblEjecucion[[#This Row],[operacion]]))</f>
        <v/>
      </c>
    </row>
    <row r="1010">
      <c r="A1010" s="3" t="n"/>
      <c r="B1010" s="3" t="n"/>
      <c r="C1010" s="3" t="n"/>
      <c r="D1010" s="3" t="n"/>
      <c r="E1010" s="3" t="n"/>
      <c r="F1010" s="10" t="n"/>
      <c r="G1010" s="10" t="n"/>
      <c r="H1010" s="10" t="n"/>
      <c r="I1010" s="3" t="n"/>
      <c r="J1010" s="3">
        <f>IF(tblEjecucion[[#This Row],[orden]]="","",tblEjecucion[[#This Row],[orden]]&amp;IF(tblEjecucion[[#This Row],[operacion]]="","0010",tblEjecucion[[#This Row],[operacion]]))</f>
        <v/>
      </c>
    </row>
    <row r="1011">
      <c r="A1011" s="3" t="n"/>
      <c r="B1011" s="3" t="n"/>
      <c r="C1011" s="3" t="n"/>
      <c r="D1011" s="3" t="n"/>
      <c r="E1011" s="3" t="n"/>
      <c r="F1011" s="10" t="n"/>
      <c r="G1011" s="10" t="n"/>
      <c r="H1011" s="10" t="n"/>
      <c r="I1011" s="3" t="n"/>
      <c r="J1011" s="3">
        <f>IF(tblEjecucion[[#This Row],[orden]]="","",tblEjecucion[[#This Row],[orden]]&amp;IF(tblEjecucion[[#This Row],[operacion]]="","0010",tblEjecucion[[#This Row],[operacion]]))</f>
        <v/>
      </c>
    </row>
    <row r="1012">
      <c r="A1012" s="3" t="n"/>
      <c r="B1012" s="3" t="n"/>
      <c r="C1012" s="3" t="n"/>
      <c r="D1012" s="3" t="n"/>
      <c r="E1012" s="3" t="n"/>
      <c r="F1012" s="10" t="n"/>
      <c r="G1012" s="10" t="n"/>
      <c r="H1012" s="10" t="n"/>
      <c r="I1012" s="3" t="n"/>
      <c r="J1012" s="3">
        <f>IF(tblEjecucion[[#This Row],[orden]]="","",tblEjecucion[[#This Row],[orden]]&amp;IF(tblEjecucion[[#This Row],[operacion]]="","0010",tblEjecucion[[#This Row],[operacion]]))</f>
        <v/>
      </c>
    </row>
    <row r="1013">
      <c r="A1013" s="3" t="n"/>
      <c r="B1013" s="3" t="n"/>
      <c r="C1013" s="3" t="n"/>
      <c r="D1013" s="3" t="n"/>
      <c r="E1013" s="3" t="n"/>
      <c r="F1013" s="10" t="n"/>
      <c r="G1013" s="10" t="n"/>
      <c r="H1013" s="10" t="n"/>
      <c r="I1013" s="3" t="n"/>
      <c r="J1013" s="3">
        <f>IF(tblEjecucion[[#This Row],[orden]]="","",tblEjecucion[[#This Row],[orden]]&amp;IF(tblEjecucion[[#This Row],[operacion]]="","0010",tblEjecucion[[#This Row],[operacion]]))</f>
        <v/>
      </c>
    </row>
    <row r="1014">
      <c r="A1014" s="3" t="n"/>
      <c r="B1014" s="3" t="n"/>
      <c r="C1014" s="3" t="n"/>
      <c r="D1014" s="3" t="n"/>
      <c r="E1014" s="3" t="n"/>
      <c r="F1014" s="10" t="n"/>
      <c r="G1014" s="10" t="n"/>
      <c r="H1014" s="10" t="n"/>
      <c r="I1014" s="3" t="n"/>
      <c r="J1014" s="3">
        <f>IF(tblEjecucion[[#This Row],[orden]]="","",tblEjecucion[[#This Row],[orden]]&amp;IF(tblEjecucion[[#This Row],[operacion]]="","0010",tblEjecucion[[#This Row],[operacion]]))</f>
        <v/>
      </c>
    </row>
    <row r="1015">
      <c r="A1015" s="3" t="n"/>
      <c r="B1015" s="3" t="n"/>
      <c r="C1015" s="3" t="n"/>
      <c r="D1015" s="3" t="n"/>
      <c r="E1015" s="3" t="n"/>
      <c r="F1015" s="10" t="n"/>
      <c r="G1015" s="10" t="n"/>
      <c r="H1015" s="10" t="n"/>
      <c r="I1015" s="3" t="n"/>
      <c r="J1015" s="3">
        <f>IF(tblEjecucion[[#This Row],[orden]]="","",tblEjecucion[[#This Row],[orden]]&amp;IF(tblEjecucion[[#This Row],[operacion]]="","0010",tblEjecucion[[#This Row],[operacion]]))</f>
        <v/>
      </c>
    </row>
    <row r="1016">
      <c r="A1016" s="3" t="n"/>
      <c r="B1016" s="3" t="n"/>
      <c r="C1016" s="3" t="n"/>
      <c r="D1016" s="3" t="n"/>
      <c r="E1016" s="3" t="n"/>
      <c r="F1016" s="10" t="n"/>
      <c r="G1016" s="10" t="n"/>
      <c r="H1016" s="10" t="n"/>
      <c r="I1016" s="3" t="n"/>
      <c r="J1016" s="3">
        <f>IF(tblEjecucion[[#This Row],[orden]]="","",tblEjecucion[[#This Row],[orden]]&amp;IF(tblEjecucion[[#This Row],[operacion]]="","0010",tblEjecucion[[#This Row],[operacion]]))</f>
        <v/>
      </c>
    </row>
    <row r="1017">
      <c r="A1017" s="3" t="n"/>
      <c r="B1017" s="3" t="n"/>
      <c r="C1017" s="3" t="n"/>
      <c r="D1017" s="3" t="n"/>
      <c r="E1017" s="3" t="n"/>
      <c r="F1017" s="10" t="n"/>
      <c r="G1017" s="10" t="n"/>
      <c r="H1017" s="10" t="n"/>
      <c r="I1017" s="3" t="n"/>
      <c r="J1017" s="3">
        <f>IF(tblEjecucion[[#This Row],[orden]]="","",tblEjecucion[[#This Row],[orden]]&amp;IF(tblEjecucion[[#This Row],[operacion]]="","0010",tblEjecucion[[#This Row],[operacion]]))</f>
        <v/>
      </c>
    </row>
    <row r="1018">
      <c r="A1018" s="3" t="n"/>
      <c r="B1018" s="3" t="n"/>
      <c r="C1018" s="3" t="n"/>
      <c r="D1018" s="3" t="n"/>
      <c r="E1018" s="3" t="n"/>
      <c r="F1018" s="10" t="n"/>
      <c r="G1018" s="10" t="n"/>
      <c r="H1018" s="10" t="n"/>
      <c r="I1018" s="3" t="n"/>
      <c r="J1018" s="3">
        <f>IF(tblEjecucion[[#This Row],[orden]]="","",tblEjecucion[[#This Row],[orden]]&amp;IF(tblEjecucion[[#This Row],[operacion]]="","0010",tblEjecucion[[#This Row],[operacion]]))</f>
        <v/>
      </c>
    </row>
    <row r="1019">
      <c r="A1019" s="3" t="n"/>
      <c r="B1019" s="3" t="n"/>
      <c r="C1019" s="3" t="n"/>
      <c r="D1019" s="3" t="n"/>
      <c r="E1019" s="3" t="n"/>
      <c r="F1019" s="10" t="n"/>
      <c r="G1019" s="10" t="n"/>
      <c r="H1019" s="10" t="n"/>
      <c r="I1019" s="3" t="n"/>
      <c r="J1019" s="3">
        <f>IF(tblEjecucion[[#This Row],[orden]]="","",tblEjecucion[[#This Row],[orden]]&amp;IF(tblEjecucion[[#This Row],[operacion]]="","0010",tblEjecucion[[#This Row],[operacion]]))</f>
        <v/>
      </c>
    </row>
    <row r="1020">
      <c r="A1020" s="3" t="n"/>
      <c r="B1020" s="3" t="n"/>
      <c r="C1020" s="3" t="n"/>
      <c r="D1020" s="3" t="n"/>
      <c r="E1020" s="3" t="n"/>
      <c r="F1020" s="10" t="n"/>
      <c r="G1020" s="10" t="n"/>
      <c r="H1020" s="10" t="n"/>
      <c r="I1020" s="3" t="n"/>
      <c r="J1020" s="3">
        <f>IF(tblEjecucion[[#This Row],[orden]]="","",tblEjecucion[[#This Row],[orden]]&amp;IF(tblEjecucion[[#This Row],[operacion]]="","0010",tblEjecucion[[#This Row],[operacion]]))</f>
        <v/>
      </c>
    </row>
    <row r="1021">
      <c r="A1021" s="3" t="n"/>
      <c r="B1021" s="3" t="n"/>
      <c r="C1021" s="3" t="n"/>
      <c r="D1021" s="3" t="n"/>
      <c r="E1021" s="3" t="n"/>
      <c r="F1021" s="10" t="n"/>
      <c r="G1021" s="10" t="n"/>
      <c r="H1021" s="10" t="n"/>
      <c r="I1021" s="3" t="n"/>
      <c r="J1021" s="3">
        <f>IF(tblEjecucion[[#This Row],[orden]]="","",tblEjecucion[[#This Row],[orden]]&amp;IF(tblEjecucion[[#This Row],[operacion]]="","0010",tblEjecucion[[#This Row],[operacion]]))</f>
        <v/>
      </c>
    </row>
    <row r="1022">
      <c r="A1022" s="3" t="n"/>
      <c r="B1022" s="3" t="n"/>
      <c r="C1022" s="3" t="n"/>
      <c r="D1022" s="3" t="n"/>
      <c r="E1022" s="3" t="n"/>
      <c r="F1022" s="10" t="n"/>
      <c r="G1022" s="10" t="n"/>
      <c r="H1022" s="10" t="n"/>
      <c r="I1022" s="3" t="n"/>
      <c r="J1022" s="3">
        <f>IF(tblEjecucion[[#This Row],[orden]]="","",tblEjecucion[[#This Row],[orden]]&amp;IF(tblEjecucion[[#This Row],[operacion]]="","0010",tblEjecucion[[#This Row],[operacion]]))</f>
        <v/>
      </c>
    </row>
    <row r="1023">
      <c r="A1023" s="3" t="n"/>
      <c r="B1023" s="3" t="n"/>
      <c r="C1023" s="3" t="n"/>
      <c r="D1023" s="3" t="n"/>
      <c r="E1023" s="3" t="n"/>
      <c r="F1023" s="10" t="n"/>
      <c r="G1023" s="10" t="n"/>
      <c r="H1023" s="10" t="n"/>
      <c r="I1023" s="3" t="n"/>
      <c r="J1023" s="3">
        <f>IF(tblEjecucion[[#This Row],[orden]]="","",tblEjecucion[[#This Row],[orden]]&amp;IF(tblEjecucion[[#This Row],[operacion]]="","0010",tblEjecucion[[#This Row],[operacion]]))</f>
        <v/>
      </c>
    </row>
    <row r="1024">
      <c r="A1024" s="3" t="n"/>
      <c r="B1024" s="3" t="n"/>
      <c r="C1024" s="3" t="n"/>
      <c r="D1024" s="3" t="n"/>
      <c r="E1024" s="3" t="n"/>
      <c r="F1024" s="10" t="n"/>
      <c r="G1024" s="10" t="n"/>
      <c r="H1024" s="10" t="n"/>
      <c r="I1024" s="3" t="n"/>
      <c r="J1024" s="3">
        <f>IF(tblEjecucion[[#This Row],[orden]]="","",tblEjecucion[[#This Row],[orden]]&amp;IF(tblEjecucion[[#This Row],[operacion]]="","0010",tblEjecucion[[#This Row],[operacion]]))</f>
        <v/>
      </c>
    </row>
    <row r="1025">
      <c r="A1025" s="3" t="n"/>
      <c r="B1025" s="3" t="n"/>
      <c r="C1025" s="3" t="n"/>
      <c r="D1025" s="3" t="n"/>
      <c r="E1025" s="3" t="n"/>
      <c r="F1025" s="10" t="n"/>
      <c r="G1025" s="10" t="n"/>
      <c r="H1025" s="10" t="n"/>
      <c r="I1025" s="3" t="n"/>
      <c r="J1025" s="3">
        <f>IF(tblEjecucion[[#This Row],[orden]]="","",tblEjecucion[[#This Row],[orden]]&amp;IF(tblEjecucion[[#This Row],[operacion]]="","0010",tblEjecucion[[#This Row],[operacion]]))</f>
        <v/>
      </c>
    </row>
    <row r="1026">
      <c r="A1026" s="3" t="n"/>
      <c r="B1026" s="3" t="n"/>
      <c r="C1026" s="3" t="n"/>
      <c r="D1026" s="3" t="n"/>
      <c r="E1026" s="3" t="n"/>
      <c r="F1026" s="10" t="n"/>
      <c r="G1026" s="10" t="n"/>
      <c r="H1026" s="10" t="n"/>
      <c r="I1026" s="3" t="n"/>
      <c r="J1026" s="3">
        <f>IF(tblEjecucion[[#This Row],[orden]]="","",tblEjecucion[[#This Row],[orden]]&amp;IF(tblEjecucion[[#This Row],[operacion]]="","0010",tblEjecucion[[#This Row],[operacion]]))</f>
        <v/>
      </c>
    </row>
    <row r="1027">
      <c r="A1027" s="3" t="n"/>
      <c r="B1027" s="3" t="n"/>
      <c r="C1027" s="3" t="n"/>
      <c r="D1027" s="3" t="n"/>
      <c r="E1027" s="3" t="n"/>
      <c r="F1027" s="10" t="n"/>
      <c r="G1027" s="10" t="n"/>
      <c r="H1027" s="10" t="n"/>
      <c r="I1027" s="3" t="n"/>
      <c r="J1027" s="3">
        <f>IF(tblEjecucion[[#This Row],[orden]]="","",tblEjecucion[[#This Row],[orden]]&amp;IF(tblEjecucion[[#This Row],[operacion]]="","0010",tblEjecucion[[#This Row],[operacion]]))</f>
        <v/>
      </c>
    </row>
    <row r="1028">
      <c r="A1028" s="3" t="n"/>
      <c r="B1028" s="3" t="n"/>
      <c r="C1028" s="3" t="n"/>
      <c r="D1028" s="3" t="n"/>
      <c r="E1028" s="3" t="n"/>
      <c r="F1028" s="10" t="n"/>
      <c r="G1028" s="10" t="n"/>
      <c r="H1028" s="10" t="n"/>
      <c r="I1028" s="3" t="n"/>
      <c r="J1028" s="3">
        <f>IF(tblEjecucion[[#This Row],[orden]]="","",tblEjecucion[[#This Row],[orden]]&amp;IF(tblEjecucion[[#This Row],[operacion]]="","0010",tblEjecucion[[#This Row],[operacion]]))</f>
        <v/>
      </c>
    </row>
    <row r="1029">
      <c r="A1029" s="3" t="n"/>
      <c r="B1029" s="3" t="n"/>
      <c r="C1029" s="3" t="n"/>
      <c r="D1029" s="3" t="n"/>
      <c r="E1029" s="3" t="n"/>
      <c r="F1029" s="10" t="n"/>
      <c r="G1029" s="10" t="n"/>
      <c r="H1029" s="10" t="n"/>
      <c r="I1029" s="3" t="n"/>
      <c r="J1029" s="3">
        <f>IF(tblEjecucion[[#This Row],[orden]]="","",tblEjecucion[[#This Row],[orden]]&amp;IF(tblEjecucion[[#This Row],[operacion]]="","0010",tblEjecucion[[#This Row],[operacion]]))</f>
        <v/>
      </c>
    </row>
    <row r="1030">
      <c r="A1030" s="3" t="n"/>
      <c r="B1030" s="3" t="n"/>
      <c r="C1030" s="3" t="n"/>
      <c r="D1030" s="3" t="n"/>
      <c r="E1030" s="3" t="n"/>
      <c r="F1030" s="10" t="n"/>
      <c r="G1030" s="10" t="n"/>
      <c r="H1030" s="10" t="n"/>
      <c r="I1030" s="3" t="n"/>
      <c r="J1030" s="3">
        <f>IF(tblEjecucion[[#This Row],[orden]]="","",tblEjecucion[[#This Row],[orden]]&amp;IF(tblEjecucion[[#This Row],[operacion]]="","0010",tblEjecucion[[#This Row],[operacion]]))</f>
        <v/>
      </c>
    </row>
    <row r="1031">
      <c r="A1031" s="3" t="n"/>
      <c r="B1031" s="3" t="n"/>
      <c r="C1031" s="3" t="n"/>
      <c r="D1031" s="3" t="n"/>
      <c r="E1031" s="3" t="n"/>
      <c r="F1031" s="10" t="n"/>
      <c r="G1031" s="10" t="n"/>
      <c r="H1031" s="10" t="n"/>
      <c r="I1031" s="3" t="n"/>
      <c r="J1031" s="3">
        <f>IF(tblEjecucion[[#This Row],[orden]]="","",tblEjecucion[[#This Row],[orden]]&amp;IF(tblEjecucion[[#This Row],[operacion]]="","0010",tblEjecucion[[#This Row],[operacion]]))</f>
        <v/>
      </c>
    </row>
    <row r="1032">
      <c r="A1032" s="3" t="n"/>
      <c r="B1032" s="3" t="n"/>
      <c r="C1032" s="3" t="n"/>
      <c r="D1032" s="3" t="n"/>
      <c r="E1032" s="3" t="n"/>
      <c r="F1032" s="10" t="n"/>
      <c r="G1032" s="10" t="n"/>
      <c r="H1032" s="10" t="n"/>
      <c r="I1032" s="3" t="n"/>
      <c r="J1032" s="3">
        <f>IF(tblEjecucion[[#This Row],[orden]]="","",tblEjecucion[[#This Row],[orden]]&amp;IF(tblEjecucion[[#This Row],[operacion]]="","0010",tblEjecucion[[#This Row],[operacion]]))</f>
        <v/>
      </c>
    </row>
    <row r="1033">
      <c r="A1033" s="3" t="n"/>
      <c r="B1033" s="3" t="n"/>
      <c r="C1033" s="3" t="n"/>
      <c r="D1033" s="3" t="n"/>
      <c r="E1033" s="3" t="n"/>
      <c r="F1033" s="10" t="n"/>
      <c r="G1033" s="10" t="n"/>
      <c r="H1033" s="10" t="n"/>
      <c r="I1033" s="3" t="n"/>
      <c r="J1033" s="3">
        <f>IF(tblEjecucion[[#This Row],[orden]]="","",tblEjecucion[[#This Row],[orden]]&amp;IF(tblEjecucion[[#This Row],[operacion]]="","0010",tblEjecucion[[#This Row],[operacion]]))</f>
        <v/>
      </c>
    </row>
    <row r="1034">
      <c r="A1034" s="3" t="n"/>
      <c r="B1034" s="3" t="n"/>
      <c r="C1034" s="3" t="n"/>
      <c r="D1034" s="3" t="n"/>
      <c r="E1034" s="3" t="n"/>
      <c r="F1034" s="10" t="n"/>
      <c r="G1034" s="10" t="n"/>
      <c r="H1034" s="10" t="n"/>
      <c r="I1034" s="3" t="n"/>
      <c r="J1034" s="3">
        <f>IF(tblEjecucion[[#This Row],[orden]]="","",tblEjecucion[[#This Row],[orden]]&amp;IF(tblEjecucion[[#This Row],[operacion]]="","0010",tblEjecucion[[#This Row],[operacion]]))</f>
        <v/>
      </c>
    </row>
    <row r="1035">
      <c r="A1035" s="3" t="n"/>
      <c r="B1035" s="3" t="n"/>
      <c r="C1035" s="3" t="n"/>
      <c r="D1035" s="3" t="n"/>
      <c r="E1035" s="3" t="n"/>
      <c r="F1035" s="10" t="n"/>
      <c r="G1035" s="10" t="n"/>
      <c r="H1035" s="10" t="n"/>
      <c r="I1035" s="3" t="n"/>
      <c r="J1035" s="3">
        <f>IF(tblEjecucion[[#This Row],[orden]]="","",tblEjecucion[[#This Row],[orden]]&amp;IF(tblEjecucion[[#This Row],[operacion]]="","0010",tblEjecucion[[#This Row],[operacion]]))</f>
        <v/>
      </c>
    </row>
    <row r="1036">
      <c r="A1036" s="3" t="n"/>
      <c r="B1036" s="3" t="n"/>
      <c r="C1036" s="3" t="n"/>
      <c r="D1036" s="3" t="n"/>
      <c r="E1036" s="3" t="n"/>
      <c r="F1036" s="10" t="n"/>
      <c r="G1036" s="10" t="n"/>
      <c r="H1036" s="10" t="n"/>
      <c r="I1036" s="3" t="n"/>
      <c r="J1036" s="3">
        <f>IF(tblEjecucion[[#This Row],[orden]]="","",tblEjecucion[[#This Row],[orden]]&amp;IF(tblEjecucion[[#This Row],[operacion]]="","0010",tblEjecucion[[#This Row],[operacion]]))</f>
        <v/>
      </c>
    </row>
    <row r="1037">
      <c r="A1037" s="3" t="n"/>
      <c r="B1037" s="3" t="n"/>
      <c r="C1037" s="3" t="n"/>
      <c r="D1037" s="3" t="n"/>
      <c r="E1037" s="3" t="n"/>
      <c r="F1037" s="10" t="n"/>
      <c r="G1037" s="10" t="n"/>
      <c r="H1037" s="10" t="n"/>
      <c r="I1037" s="3" t="n"/>
      <c r="J1037" s="3">
        <f>IF(tblEjecucion[[#This Row],[orden]]="","",tblEjecucion[[#This Row],[orden]]&amp;IF(tblEjecucion[[#This Row],[operacion]]="","0010",tblEjecucion[[#This Row],[operacion]]))</f>
        <v/>
      </c>
    </row>
    <row r="1038">
      <c r="A1038" s="3" t="n"/>
      <c r="B1038" s="3" t="n"/>
      <c r="C1038" s="3" t="n"/>
      <c r="D1038" s="3" t="n"/>
      <c r="E1038" s="3" t="n"/>
      <c r="F1038" s="10" t="n"/>
      <c r="G1038" s="10" t="n"/>
      <c r="H1038" s="10" t="n"/>
      <c r="I1038" s="3" t="n"/>
      <c r="J1038" s="3">
        <f>IF(tblEjecucion[[#This Row],[orden]]="","",tblEjecucion[[#This Row],[orden]]&amp;IF(tblEjecucion[[#This Row],[operacion]]="","0010",tblEjecucion[[#This Row],[operacion]]))</f>
        <v/>
      </c>
    </row>
    <row r="1039">
      <c r="A1039" s="3" t="n"/>
      <c r="B1039" s="3" t="n"/>
      <c r="C1039" s="3" t="n"/>
      <c r="D1039" s="3" t="n"/>
      <c r="E1039" s="3" t="n"/>
      <c r="F1039" s="10" t="n"/>
      <c r="G1039" s="10" t="n"/>
      <c r="H1039" s="10" t="n"/>
      <c r="I1039" s="3" t="n"/>
      <c r="J1039" s="3">
        <f>IF(tblEjecucion[[#This Row],[orden]]="","",tblEjecucion[[#This Row],[orden]]&amp;IF(tblEjecucion[[#This Row],[operacion]]="","0010",tblEjecucion[[#This Row],[operacion]]))</f>
        <v/>
      </c>
    </row>
    <row r="1040">
      <c r="A1040" s="3" t="n"/>
      <c r="B1040" s="3" t="n"/>
      <c r="C1040" s="3" t="n"/>
      <c r="D1040" s="3" t="n"/>
      <c r="E1040" s="3" t="n"/>
      <c r="F1040" s="10" t="n"/>
      <c r="G1040" s="10" t="n"/>
      <c r="H1040" s="10" t="n"/>
      <c r="I1040" s="3" t="n"/>
      <c r="J1040" s="3">
        <f>IF(tblEjecucion[[#This Row],[orden]]="","",tblEjecucion[[#This Row],[orden]]&amp;IF(tblEjecucion[[#This Row],[operacion]]="","0010",tblEjecucion[[#This Row],[operacion]]))</f>
        <v/>
      </c>
    </row>
    <row r="1041">
      <c r="A1041" s="3" t="n"/>
      <c r="B1041" s="3" t="n"/>
      <c r="C1041" s="3" t="n"/>
      <c r="D1041" s="3" t="n"/>
      <c r="E1041" s="3" t="n"/>
      <c r="F1041" s="10" t="n"/>
      <c r="G1041" s="10" t="n"/>
      <c r="H1041" s="10" t="n"/>
      <c r="I1041" s="3" t="n"/>
      <c r="J1041" s="3">
        <f>IF(tblEjecucion[[#This Row],[orden]]="","",tblEjecucion[[#This Row],[orden]]&amp;IF(tblEjecucion[[#This Row],[operacion]]="","0010",tblEjecucion[[#This Row],[operacion]]))</f>
        <v/>
      </c>
    </row>
    <row r="1042">
      <c r="A1042" s="3" t="n"/>
      <c r="B1042" s="3" t="n"/>
      <c r="C1042" s="3" t="n"/>
      <c r="D1042" s="3" t="n"/>
      <c r="E1042" s="3" t="n"/>
      <c r="F1042" s="10" t="n"/>
      <c r="G1042" s="10" t="n"/>
      <c r="H1042" s="10" t="n"/>
      <c r="I1042" s="3" t="n"/>
      <c r="J1042" s="3">
        <f>IF(tblEjecucion[[#This Row],[orden]]="","",tblEjecucion[[#This Row],[orden]]&amp;IF(tblEjecucion[[#This Row],[operacion]]="","0010",tblEjecucion[[#This Row],[operacion]]))</f>
        <v/>
      </c>
    </row>
    <row r="1043">
      <c r="A1043" s="3" t="n"/>
      <c r="B1043" s="3" t="n"/>
      <c r="C1043" s="3" t="n"/>
      <c r="D1043" s="3" t="n"/>
      <c r="E1043" s="3" t="n"/>
      <c r="F1043" s="10" t="n"/>
      <c r="G1043" s="10" t="n"/>
      <c r="H1043" s="10" t="n"/>
      <c r="I1043" s="3" t="n"/>
      <c r="J1043" s="3">
        <f>IF(tblEjecucion[[#This Row],[orden]]="","",tblEjecucion[[#This Row],[orden]]&amp;IF(tblEjecucion[[#This Row],[operacion]]="","0010",tblEjecucion[[#This Row],[operacion]]))</f>
        <v/>
      </c>
    </row>
    <row r="1044">
      <c r="A1044" s="3" t="n"/>
      <c r="B1044" s="3" t="n"/>
      <c r="C1044" s="3" t="n"/>
      <c r="D1044" s="3" t="n"/>
      <c r="E1044" s="3" t="n"/>
      <c r="F1044" s="10" t="n"/>
      <c r="G1044" s="10" t="n"/>
      <c r="H1044" s="10" t="n"/>
      <c r="I1044" s="3" t="n"/>
      <c r="J1044" s="3">
        <f>IF(tblEjecucion[[#This Row],[orden]]="","",tblEjecucion[[#This Row],[orden]]&amp;IF(tblEjecucion[[#This Row],[operacion]]="","0010",tblEjecucion[[#This Row],[operacion]]))</f>
        <v/>
      </c>
    </row>
    <row r="1045">
      <c r="A1045" s="3" t="n"/>
      <c r="B1045" s="3" t="n"/>
      <c r="C1045" s="3" t="n"/>
      <c r="D1045" s="3" t="n"/>
      <c r="E1045" s="3" t="n"/>
      <c r="F1045" s="10" t="n"/>
      <c r="G1045" s="10" t="n"/>
      <c r="H1045" s="10" t="n"/>
      <c r="I1045" s="3" t="n"/>
      <c r="J1045" s="3">
        <f>IF(tblEjecucion[[#This Row],[orden]]="","",tblEjecucion[[#This Row],[orden]]&amp;IF(tblEjecucion[[#This Row],[operacion]]="","0010",tblEjecucion[[#This Row],[operacion]]))</f>
        <v/>
      </c>
    </row>
    <row r="1046">
      <c r="A1046" s="3" t="n"/>
      <c r="B1046" s="3" t="n"/>
      <c r="C1046" s="3" t="n"/>
      <c r="D1046" s="3" t="n"/>
      <c r="E1046" s="3" t="n"/>
      <c r="F1046" s="10" t="n"/>
      <c r="G1046" s="10" t="n"/>
      <c r="H1046" s="10" t="n"/>
      <c r="I1046" s="3" t="n"/>
      <c r="J1046" s="3">
        <f>IF(tblEjecucion[[#This Row],[orden]]="","",tblEjecucion[[#This Row],[orden]]&amp;IF(tblEjecucion[[#This Row],[operacion]]="","0010",tblEjecucion[[#This Row],[operacion]]))</f>
        <v/>
      </c>
    </row>
    <row r="1047">
      <c r="A1047" s="3" t="n"/>
      <c r="B1047" s="3" t="n"/>
      <c r="C1047" s="3" t="n"/>
      <c r="D1047" s="3" t="n"/>
      <c r="E1047" s="3" t="n"/>
      <c r="F1047" s="10" t="n"/>
      <c r="G1047" s="10" t="n"/>
      <c r="H1047" s="10" t="n"/>
      <c r="I1047" s="3" t="n"/>
      <c r="J1047" s="3">
        <f>IF(tblEjecucion[[#This Row],[orden]]="","",tblEjecucion[[#This Row],[orden]]&amp;IF(tblEjecucion[[#This Row],[operacion]]="","0010",tblEjecucion[[#This Row],[operacion]]))</f>
        <v/>
      </c>
    </row>
    <row r="1048">
      <c r="A1048" s="3" t="n"/>
      <c r="B1048" s="3" t="n"/>
      <c r="C1048" s="3" t="n"/>
      <c r="D1048" s="3" t="n"/>
      <c r="E1048" s="3" t="n"/>
      <c r="F1048" s="10" t="n"/>
      <c r="G1048" s="10" t="n"/>
      <c r="H1048" s="10" t="n"/>
      <c r="I1048" s="3" t="n"/>
      <c r="J1048" s="3">
        <f>IF(tblEjecucion[[#This Row],[orden]]="","",tblEjecucion[[#This Row],[orden]]&amp;IF(tblEjecucion[[#This Row],[operacion]]="","0010",tblEjecucion[[#This Row],[operacion]]))</f>
        <v/>
      </c>
    </row>
    <row r="1049">
      <c r="A1049" s="3" t="n"/>
      <c r="B1049" s="3" t="n"/>
      <c r="C1049" s="3" t="n"/>
      <c r="D1049" s="3" t="n"/>
      <c r="E1049" s="3" t="n"/>
      <c r="F1049" s="10" t="n"/>
      <c r="G1049" s="10" t="n"/>
      <c r="H1049" s="10" t="n"/>
      <c r="I1049" s="3" t="n"/>
      <c r="J1049" s="3">
        <f>IF(tblEjecucion[[#This Row],[orden]]="","",tblEjecucion[[#This Row],[orden]]&amp;IF(tblEjecucion[[#This Row],[operacion]]="","0010",tblEjecucion[[#This Row],[operacion]]))</f>
        <v/>
      </c>
    </row>
    <row r="1050">
      <c r="A1050" s="3" t="n"/>
      <c r="B1050" s="3" t="n"/>
      <c r="C1050" s="3" t="n"/>
      <c r="D1050" s="3" t="n"/>
      <c r="E1050" s="3" t="n"/>
      <c r="F1050" s="10" t="n"/>
      <c r="G1050" s="10" t="n"/>
      <c r="H1050" s="10" t="n"/>
      <c r="I1050" s="3" t="n"/>
      <c r="J1050" s="3">
        <f>IF(tblEjecucion[[#This Row],[orden]]="","",tblEjecucion[[#This Row],[orden]]&amp;IF(tblEjecucion[[#This Row],[operacion]]="","0010",tblEjecucion[[#This Row],[operacion]]))</f>
        <v/>
      </c>
    </row>
    <row r="1051">
      <c r="A1051" s="3" t="n"/>
      <c r="B1051" s="3" t="n"/>
      <c r="C1051" s="3" t="n"/>
      <c r="D1051" s="3" t="n"/>
      <c r="E1051" s="3" t="n"/>
      <c r="F1051" s="10" t="n"/>
      <c r="G1051" s="10" t="n"/>
      <c r="H1051" s="10" t="n"/>
      <c r="I1051" s="3" t="n"/>
      <c r="J1051" s="3">
        <f>IF(tblEjecucion[[#This Row],[orden]]="","",tblEjecucion[[#This Row],[orden]]&amp;IF(tblEjecucion[[#This Row],[operacion]]="","0010",tblEjecucion[[#This Row],[operacion]]))</f>
        <v/>
      </c>
    </row>
    <row r="1052">
      <c r="A1052" s="3" t="n"/>
      <c r="B1052" s="3" t="n"/>
      <c r="C1052" s="3" t="n"/>
      <c r="D1052" s="3" t="n"/>
      <c r="E1052" s="3" t="n"/>
      <c r="F1052" s="10" t="n"/>
      <c r="G1052" s="10" t="n"/>
      <c r="H1052" s="10" t="n"/>
      <c r="I1052" s="3" t="n"/>
      <c r="J1052" s="3">
        <f>IF(tblEjecucion[[#This Row],[orden]]="","",tblEjecucion[[#This Row],[orden]]&amp;IF(tblEjecucion[[#This Row],[operacion]]="","0010",tblEjecucion[[#This Row],[operacion]]))</f>
        <v/>
      </c>
    </row>
    <row r="1053">
      <c r="A1053" s="3" t="n"/>
      <c r="B1053" s="3" t="n"/>
      <c r="C1053" s="3" t="n"/>
      <c r="D1053" s="3" t="n"/>
      <c r="E1053" s="3" t="n"/>
      <c r="F1053" s="10" t="n"/>
      <c r="G1053" s="10" t="n"/>
      <c r="H1053" s="10" t="n"/>
      <c r="I1053" s="3" t="n"/>
      <c r="J1053" s="3">
        <f>IF(tblEjecucion[[#This Row],[orden]]="","",tblEjecucion[[#This Row],[orden]]&amp;IF(tblEjecucion[[#This Row],[operacion]]="","0010",tblEjecucion[[#This Row],[operacion]]))</f>
        <v/>
      </c>
    </row>
    <row r="1054">
      <c r="A1054" s="3" t="n"/>
      <c r="B1054" s="3" t="n"/>
      <c r="C1054" s="3" t="n"/>
      <c r="D1054" s="3" t="n"/>
      <c r="E1054" s="3" t="n"/>
      <c r="F1054" s="10" t="n"/>
      <c r="G1054" s="10" t="n"/>
      <c r="H1054" s="10" t="n"/>
      <c r="I1054" s="3" t="n"/>
      <c r="J1054" s="3">
        <f>IF(tblEjecucion[[#This Row],[orden]]="","",tblEjecucion[[#This Row],[orden]]&amp;IF(tblEjecucion[[#This Row],[operacion]]="","0010",tblEjecucion[[#This Row],[operacion]]))</f>
        <v/>
      </c>
    </row>
    <row r="1055">
      <c r="A1055" s="3" t="n"/>
      <c r="B1055" s="3" t="n"/>
      <c r="C1055" s="3" t="n"/>
      <c r="D1055" s="3" t="n"/>
      <c r="E1055" s="3" t="n"/>
      <c r="F1055" s="10" t="n"/>
      <c r="G1055" s="10" t="n"/>
      <c r="H1055" s="10" t="n"/>
      <c r="I1055" s="3" t="n"/>
      <c r="J1055" s="3">
        <f>IF(tblEjecucion[[#This Row],[orden]]="","",tblEjecucion[[#This Row],[orden]]&amp;IF(tblEjecucion[[#This Row],[operacion]]="","0010",tblEjecucion[[#This Row],[operacion]]))</f>
        <v/>
      </c>
    </row>
    <row r="1056">
      <c r="A1056" s="3" t="n"/>
      <c r="B1056" s="3" t="n"/>
      <c r="C1056" s="3" t="n"/>
      <c r="D1056" s="3" t="n"/>
      <c r="E1056" s="3" t="n"/>
      <c r="F1056" s="10" t="n"/>
      <c r="G1056" s="10" t="n"/>
      <c r="H1056" s="10" t="n"/>
      <c r="I1056" s="3" t="n"/>
      <c r="J1056" s="3">
        <f>IF(tblEjecucion[[#This Row],[orden]]="","",tblEjecucion[[#This Row],[orden]]&amp;IF(tblEjecucion[[#This Row],[operacion]]="","0010",tblEjecucion[[#This Row],[operacion]]))</f>
        <v/>
      </c>
    </row>
    <row r="1057">
      <c r="A1057" s="3" t="n"/>
      <c r="B1057" s="3" t="n"/>
      <c r="C1057" s="3" t="n"/>
      <c r="D1057" s="3" t="n"/>
      <c r="E1057" s="3" t="n"/>
      <c r="F1057" s="10" t="n"/>
      <c r="G1057" s="10" t="n"/>
      <c r="H1057" s="10" t="n"/>
      <c r="I1057" s="3" t="n"/>
      <c r="J1057" s="3">
        <f>IF(tblEjecucion[[#This Row],[orden]]="","",tblEjecucion[[#This Row],[orden]]&amp;IF(tblEjecucion[[#This Row],[operacion]]="","0010",tblEjecucion[[#This Row],[operacion]]))</f>
        <v/>
      </c>
    </row>
    <row r="1058">
      <c r="A1058" s="3" t="n"/>
      <c r="B1058" s="3" t="n"/>
      <c r="C1058" s="3" t="n"/>
      <c r="D1058" s="3" t="n"/>
      <c r="E1058" s="3" t="n"/>
      <c r="F1058" s="10" t="n"/>
      <c r="G1058" s="10" t="n"/>
      <c r="H1058" s="10" t="n"/>
      <c r="I1058" s="3" t="n"/>
      <c r="J1058" s="3">
        <f>IF(tblEjecucion[[#This Row],[orden]]="","",tblEjecucion[[#This Row],[orden]]&amp;IF(tblEjecucion[[#This Row],[operacion]]="","0010",tblEjecucion[[#This Row],[operacion]]))</f>
        <v/>
      </c>
    </row>
    <row r="1059">
      <c r="A1059" s="3" t="n"/>
      <c r="B1059" s="3" t="n"/>
      <c r="C1059" s="3" t="n"/>
      <c r="D1059" s="3" t="n"/>
      <c r="E1059" s="3" t="n"/>
      <c r="F1059" s="10" t="n"/>
      <c r="G1059" s="10" t="n"/>
      <c r="H1059" s="10" t="n"/>
      <c r="I1059" s="3" t="n"/>
      <c r="J1059" s="3">
        <f>IF(tblEjecucion[[#This Row],[orden]]="","",tblEjecucion[[#This Row],[orden]]&amp;IF(tblEjecucion[[#This Row],[operacion]]="","0010",tblEjecucion[[#This Row],[operacion]]))</f>
        <v/>
      </c>
    </row>
    <row r="1060">
      <c r="A1060" s="3" t="n"/>
      <c r="B1060" s="3" t="n"/>
      <c r="C1060" s="3" t="n"/>
      <c r="D1060" s="3" t="n"/>
      <c r="E1060" s="3" t="n"/>
      <c r="F1060" s="10" t="n"/>
      <c r="G1060" s="10" t="n"/>
      <c r="H1060" s="10" t="n"/>
      <c r="I1060" s="3" t="n"/>
      <c r="J1060" s="3">
        <f>IF(tblEjecucion[[#This Row],[orden]]="","",tblEjecucion[[#This Row],[orden]]&amp;IF(tblEjecucion[[#This Row],[operacion]]="","0010",tblEjecucion[[#This Row],[operacion]]))</f>
        <v/>
      </c>
    </row>
    <row r="1061">
      <c r="A1061" s="3" t="n"/>
      <c r="B1061" s="3" t="n"/>
      <c r="C1061" s="3" t="n"/>
      <c r="D1061" s="3" t="n"/>
      <c r="E1061" s="3" t="n"/>
      <c r="F1061" s="10" t="n"/>
      <c r="G1061" s="10" t="n"/>
      <c r="H1061" s="10" t="n"/>
      <c r="I1061" s="3" t="n"/>
      <c r="J1061" s="3">
        <f>IF(tblEjecucion[[#This Row],[orden]]="","",tblEjecucion[[#This Row],[orden]]&amp;IF(tblEjecucion[[#This Row],[operacion]]="","0010",tblEjecucion[[#This Row],[operacion]]))</f>
        <v/>
      </c>
    </row>
    <row r="1062">
      <c r="A1062" s="3" t="n"/>
      <c r="B1062" s="3" t="n"/>
      <c r="C1062" s="3" t="n"/>
      <c r="D1062" s="3" t="n"/>
      <c r="E1062" s="3" t="n"/>
      <c r="F1062" s="10" t="n"/>
      <c r="G1062" s="10" t="n"/>
      <c r="H1062" s="10" t="n"/>
      <c r="I1062" s="3" t="n"/>
      <c r="J1062" s="3">
        <f>IF(tblEjecucion[[#This Row],[orden]]="","",tblEjecucion[[#This Row],[orden]]&amp;IF(tblEjecucion[[#This Row],[operacion]]="","0010",tblEjecucion[[#This Row],[operacion]]))</f>
        <v/>
      </c>
    </row>
    <row r="1063">
      <c r="A1063" s="3" t="n"/>
      <c r="B1063" s="3" t="n"/>
      <c r="C1063" s="3" t="n"/>
      <c r="D1063" s="3" t="n"/>
      <c r="E1063" s="3" t="n"/>
      <c r="F1063" s="10" t="n"/>
      <c r="G1063" s="10" t="n"/>
      <c r="H1063" s="10" t="n"/>
      <c r="I1063" s="3" t="n"/>
      <c r="J1063" s="3">
        <f>IF(tblEjecucion[[#This Row],[orden]]="","",tblEjecucion[[#This Row],[orden]]&amp;IF(tblEjecucion[[#This Row],[operacion]]="","0010",tblEjecucion[[#This Row],[operacion]]))</f>
        <v/>
      </c>
    </row>
    <row r="1064">
      <c r="A1064" s="3" t="n"/>
      <c r="B1064" s="3" t="n"/>
      <c r="C1064" s="3" t="n"/>
      <c r="D1064" s="3" t="n"/>
      <c r="E1064" s="3" t="n"/>
      <c r="F1064" s="10" t="n"/>
      <c r="G1064" s="10" t="n"/>
      <c r="H1064" s="10" t="n"/>
      <c r="I1064" s="3" t="n"/>
      <c r="J1064" s="3">
        <f>IF(tblEjecucion[[#This Row],[orden]]="","",tblEjecucion[[#This Row],[orden]]&amp;IF(tblEjecucion[[#This Row],[operacion]]="","0010",tblEjecucion[[#This Row],[operacion]]))</f>
        <v/>
      </c>
    </row>
    <row r="1065">
      <c r="A1065" s="3" t="n"/>
      <c r="B1065" s="3" t="n"/>
      <c r="C1065" s="3" t="n"/>
      <c r="D1065" s="3" t="n"/>
      <c r="E1065" s="3" t="n"/>
      <c r="F1065" s="10" t="n"/>
      <c r="G1065" s="10" t="n"/>
      <c r="H1065" s="10" t="n"/>
      <c r="I1065" s="3" t="n"/>
      <c r="J1065" s="3">
        <f>IF(tblEjecucion[[#This Row],[orden]]="","",tblEjecucion[[#This Row],[orden]]&amp;IF(tblEjecucion[[#This Row],[operacion]]="","0010",tblEjecucion[[#This Row],[operacion]]))</f>
        <v/>
      </c>
    </row>
    <row r="1066">
      <c r="A1066" s="3" t="n"/>
      <c r="B1066" s="3" t="n"/>
      <c r="C1066" s="3" t="n"/>
      <c r="D1066" s="3" t="n"/>
      <c r="E1066" s="3" t="n"/>
      <c r="F1066" s="10" t="n"/>
      <c r="G1066" s="10" t="n"/>
      <c r="H1066" s="10" t="n"/>
      <c r="I1066" s="3" t="n"/>
      <c r="J1066" s="3">
        <f>IF(tblEjecucion[[#This Row],[orden]]="","",tblEjecucion[[#This Row],[orden]]&amp;IF(tblEjecucion[[#This Row],[operacion]]="","0010",tblEjecucion[[#This Row],[operacion]]))</f>
        <v/>
      </c>
    </row>
    <row r="1067">
      <c r="A1067" s="3" t="n"/>
      <c r="B1067" s="3" t="n"/>
      <c r="C1067" s="3" t="n"/>
      <c r="D1067" s="3" t="n"/>
      <c r="E1067" s="3" t="n"/>
      <c r="F1067" s="10" t="n"/>
      <c r="G1067" s="10" t="n"/>
      <c r="H1067" s="10" t="n"/>
      <c r="I1067" s="3" t="n"/>
      <c r="J1067" s="3">
        <f>IF(tblEjecucion[[#This Row],[orden]]="","",tblEjecucion[[#This Row],[orden]]&amp;IF(tblEjecucion[[#This Row],[operacion]]="","0010",tblEjecucion[[#This Row],[operacion]]))</f>
        <v/>
      </c>
    </row>
    <row r="1068">
      <c r="A1068" s="3" t="n"/>
      <c r="B1068" s="3" t="n"/>
      <c r="C1068" s="3" t="n"/>
      <c r="D1068" s="3" t="n"/>
      <c r="E1068" s="3" t="n"/>
      <c r="F1068" s="10" t="n"/>
      <c r="G1068" s="10" t="n"/>
      <c r="H1068" s="10" t="n"/>
      <c r="I1068" s="3" t="n"/>
      <c r="J1068" s="3">
        <f>IF(tblEjecucion[[#This Row],[orden]]="","",tblEjecucion[[#This Row],[orden]]&amp;IF(tblEjecucion[[#This Row],[operacion]]="","0010",tblEjecucion[[#This Row],[operacion]]))</f>
        <v/>
      </c>
    </row>
    <row r="1069">
      <c r="A1069" s="3" t="n"/>
      <c r="B1069" s="3" t="n"/>
      <c r="C1069" s="3" t="n"/>
      <c r="D1069" s="3" t="n"/>
      <c r="E1069" s="3" t="n"/>
      <c r="F1069" s="10" t="n"/>
      <c r="G1069" s="10" t="n"/>
      <c r="H1069" s="10" t="n"/>
      <c r="I1069" s="3" t="n"/>
      <c r="J1069" s="3">
        <f>IF(tblEjecucion[[#This Row],[orden]]="","",tblEjecucion[[#This Row],[orden]]&amp;IF(tblEjecucion[[#This Row],[operacion]]="","0010",tblEjecucion[[#This Row],[operacion]]))</f>
        <v/>
      </c>
    </row>
    <row r="1070">
      <c r="A1070" s="3" t="n"/>
      <c r="B1070" s="3" t="n"/>
      <c r="C1070" s="3" t="n"/>
      <c r="D1070" s="3" t="n"/>
      <c r="E1070" s="3" t="n"/>
      <c r="F1070" s="10" t="n"/>
      <c r="G1070" s="10" t="n"/>
      <c r="H1070" s="10" t="n"/>
      <c r="I1070" s="3" t="n"/>
      <c r="J1070" s="3">
        <f>IF(tblEjecucion[[#This Row],[orden]]="","",tblEjecucion[[#This Row],[orden]]&amp;IF(tblEjecucion[[#This Row],[operacion]]="","0010",tblEjecucion[[#This Row],[operacion]]))</f>
        <v/>
      </c>
    </row>
    <row r="1071">
      <c r="A1071" s="3" t="n"/>
      <c r="B1071" s="3" t="n"/>
      <c r="C1071" s="3" t="n"/>
      <c r="D1071" s="3" t="n"/>
      <c r="E1071" s="3" t="n"/>
      <c r="F1071" s="10" t="n"/>
      <c r="G1071" s="10" t="n"/>
      <c r="H1071" s="10" t="n"/>
      <c r="I1071" s="3" t="n"/>
      <c r="J1071" s="3">
        <f>IF(tblEjecucion[[#This Row],[orden]]="","",tblEjecucion[[#This Row],[orden]]&amp;IF(tblEjecucion[[#This Row],[operacion]]="","0010",tblEjecucion[[#This Row],[operacion]]))</f>
        <v/>
      </c>
    </row>
    <row r="1072">
      <c r="A1072" s="3" t="n"/>
      <c r="B1072" s="3" t="n"/>
      <c r="C1072" s="3" t="n"/>
      <c r="D1072" s="3" t="n"/>
      <c r="E1072" s="3" t="n"/>
      <c r="F1072" s="10" t="n"/>
      <c r="G1072" s="10" t="n"/>
      <c r="H1072" s="10" t="n"/>
      <c r="I1072" s="3" t="n"/>
      <c r="J1072" s="3">
        <f>IF(tblEjecucion[[#This Row],[orden]]="","",tblEjecucion[[#This Row],[orden]]&amp;IF(tblEjecucion[[#This Row],[operacion]]="","0010",tblEjecucion[[#This Row],[operacion]]))</f>
        <v/>
      </c>
    </row>
    <row r="1073">
      <c r="A1073" s="3" t="n"/>
      <c r="B1073" s="3" t="n"/>
      <c r="C1073" s="3" t="n"/>
      <c r="D1073" s="3" t="n"/>
      <c r="E1073" s="3" t="n"/>
      <c r="F1073" s="10" t="n"/>
      <c r="G1073" s="10" t="n"/>
      <c r="H1073" s="10" t="n"/>
      <c r="I1073" s="3" t="n"/>
      <c r="J1073" s="3">
        <f>IF(tblEjecucion[[#This Row],[orden]]="","",tblEjecucion[[#This Row],[orden]]&amp;IF(tblEjecucion[[#This Row],[operacion]]="","0010",tblEjecucion[[#This Row],[operacion]]))</f>
        <v/>
      </c>
    </row>
    <row r="1074">
      <c r="A1074" s="3" t="n"/>
      <c r="B1074" s="3" t="n"/>
      <c r="C1074" s="3" t="n"/>
      <c r="D1074" s="3" t="n"/>
      <c r="E1074" s="3" t="n"/>
      <c r="F1074" s="10" t="n"/>
      <c r="G1074" s="10" t="n"/>
      <c r="H1074" s="10" t="n"/>
      <c r="I1074" s="3" t="n"/>
      <c r="J1074" s="3">
        <f>IF(tblEjecucion[[#This Row],[orden]]="","",tblEjecucion[[#This Row],[orden]]&amp;IF(tblEjecucion[[#This Row],[operacion]]="","0010",tblEjecucion[[#This Row],[operacion]]))</f>
        <v/>
      </c>
    </row>
    <row r="1075">
      <c r="A1075" s="3" t="n"/>
      <c r="B1075" s="3" t="n"/>
      <c r="C1075" s="3" t="n"/>
      <c r="D1075" s="3" t="n"/>
      <c r="E1075" s="3" t="n"/>
      <c r="F1075" s="10" t="n"/>
      <c r="G1075" s="10" t="n"/>
      <c r="H1075" s="10" t="n"/>
      <c r="I1075" s="3" t="n"/>
      <c r="J1075" s="3">
        <f>IF(tblEjecucion[[#This Row],[orden]]="","",tblEjecucion[[#This Row],[orden]]&amp;IF(tblEjecucion[[#This Row],[operacion]]="","0010",tblEjecucion[[#This Row],[operacion]]))</f>
        <v/>
      </c>
    </row>
    <row r="1076">
      <c r="A1076" s="3" t="n"/>
      <c r="B1076" s="3" t="n"/>
      <c r="C1076" s="3" t="n"/>
      <c r="D1076" s="3" t="n"/>
      <c r="E1076" s="3" t="n"/>
      <c r="F1076" s="10" t="n"/>
      <c r="G1076" s="10" t="n"/>
      <c r="H1076" s="10" t="n"/>
      <c r="I1076" s="3" t="n"/>
      <c r="J1076" s="3">
        <f>IF(tblEjecucion[[#This Row],[orden]]="","",tblEjecucion[[#This Row],[orden]]&amp;IF(tblEjecucion[[#This Row],[operacion]]="","0010",tblEjecucion[[#This Row],[operacion]]))</f>
        <v/>
      </c>
    </row>
    <row r="1077">
      <c r="A1077" s="3" t="n"/>
      <c r="B1077" s="3" t="n"/>
      <c r="C1077" s="3" t="n"/>
      <c r="D1077" s="3" t="n"/>
      <c r="E1077" s="3" t="n"/>
      <c r="F1077" s="10" t="n"/>
      <c r="G1077" s="10" t="n"/>
      <c r="H1077" s="10" t="n"/>
      <c r="I1077" s="3" t="n"/>
      <c r="J1077" s="3">
        <f>IF(tblEjecucion[[#This Row],[orden]]="","",tblEjecucion[[#This Row],[orden]]&amp;IF(tblEjecucion[[#This Row],[operacion]]="","0010",tblEjecucion[[#This Row],[operacion]]))</f>
        <v/>
      </c>
    </row>
    <row r="1078">
      <c r="A1078" s="3" t="n"/>
      <c r="B1078" s="3" t="n"/>
      <c r="C1078" s="3" t="n"/>
      <c r="D1078" s="3" t="n"/>
      <c r="E1078" s="3" t="n"/>
      <c r="F1078" s="10" t="n"/>
      <c r="G1078" s="10" t="n"/>
      <c r="H1078" s="10" t="n"/>
      <c r="I1078" s="3" t="n"/>
      <c r="J1078" s="3">
        <f>IF(tblEjecucion[[#This Row],[orden]]="","",tblEjecucion[[#This Row],[orden]]&amp;IF(tblEjecucion[[#This Row],[operacion]]="","0010",tblEjecucion[[#This Row],[operacion]]))</f>
        <v/>
      </c>
    </row>
    <row r="1079">
      <c r="A1079" s="3" t="n"/>
      <c r="B1079" s="3" t="n"/>
      <c r="C1079" s="3" t="n"/>
      <c r="D1079" s="3" t="n"/>
      <c r="E1079" s="3" t="n"/>
      <c r="F1079" s="10" t="n"/>
      <c r="G1079" s="10" t="n"/>
      <c r="H1079" s="10" t="n"/>
      <c r="I1079" s="3" t="n"/>
      <c r="J1079" s="3">
        <f>IF(tblEjecucion[[#This Row],[orden]]="","",tblEjecucion[[#This Row],[orden]]&amp;IF(tblEjecucion[[#This Row],[operacion]]="","0010",tblEjecucion[[#This Row],[operacion]]))</f>
        <v/>
      </c>
    </row>
    <row r="1080">
      <c r="A1080" s="3" t="n"/>
      <c r="B1080" s="3" t="n"/>
      <c r="C1080" s="3" t="n"/>
      <c r="D1080" s="3" t="n"/>
      <c r="E1080" s="3" t="n"/>
      <c r="F1080" s="10" t="n"/>
      <c r="G1080" s="10" t="n"/>
      <c r="H1080" s="10" t="n"/>
      <c r="I1080" s="3" t="n"/>
      <c r="J1080" s="3">
        <f>IF(tblEjecucion[[#This Row],[orden]]="","",tblEjecucion[[#This Row],[orden]]&amp;IF(tblEjecucion[[#This Row],[operacion]]="","0010",tblEjecucion[[#This Row],[operacion]]))</f>
        <v/>
      </c>
    </row>
    <row r="1081">
      <c r="A1081" s="3" t="n"/>
      <c r="B1081" s="3" t="n"/>
      <c r="C1081" s="3" t="n"/>
      <c r="D1081" s="3" t="n"/>
      <c r="E1081" s="3" t="n"/>
      <c r="F1081" s="10" t="n"/>
      <c r="G1081" s="10" t="n"/>
      <c r="H1081" s="10" t="n"/>
      <c r="I1081" s="3" t="n"/>
      <c r="J1081" s="3">
        <f>IF(tblEjecucion[[#This Row],[orden]]="","",tblEjecucion[[#This Row],[orden]]&amp;IF(tblEjecucion[[#This Row],[operacion]]="","0010",tblEjecucion[[#This Row],[operacion]]))</f>
        <v/>
      </c>
    </row>
    <row r="1082">
      <c r="A1082" s="3" t="n"/>
      <c r="B1082" s="3" t="n"/>
      <c r="C1082" s="3" t="n"/>
      <c r="D1082" s="3" t="n"/>
      <c r="E1082" s="3" t="n"/>
      <c r="F1082" s="10" t="n"/>
      <c r="G1082" s="10" t="n"/>
      <c r="H1082" s="10" t="n"/>
      <c r="I1082" s="3" t="n"/>
      <c r="J1082" s="3">
        <f>IF(tblEjecucion[[#This Row],[orden]]="","",tblEjecucion[[#This Row],[orden]]&amp;IF(tblEjecucion[[#This Row],[operacion]]="","0010",tblEjecucion[[#This Row],[operacion]]))</f>
        <v/>
      </c>
    </row>
    <row r="1083">
      <c r="A1083" s="3" t="n"/>
      <c r="B1083" s="3" t="n"/>
      <c r="C1083" s="3" t="n"/>
      <c r="D1083" s="3" t="n"/>
      <c r="E1083" s="3" t="n"/>
      <c r="F1083" s="10" t="n"/>
      <c r="G1083" s="10" t="n"/>
      <c r="H1083" s="10" t="n"/>
      <c r="I1083" s="3" t="n"/>
      <c r="J1083" s="3">
        <f>IF(tblEjecucion[[#This Row],[orden]]="","",tblEjecucion[[#This Row],[orden]]&amp;IF(tblEjecucion[[#This Row],[operacion]]="","0010",tblEjecucion[[#This Row],[operacion]]))</f>
        <v/>
      </c>
    </row>
    <row r="1084">
      <c r="A1084" s="3" t="n"/>
      <c r="B1084" s="3" t="n"/>
      <c r="C1084" s="3" t="n"/>
      <c r="D1084" s="3" t="n"/>
      <c r="E1084" s="3" t="n"/>
      <c r="F1084" s="10" t="n"/>
      <c r="G1084" s="10" t="n"/>
      <c r="H1084" s="10" t="n"/>
      <c r="I1084" s="3" t="n"/>
      <c r="J1084" s="3">
        <f>IF(tblEjecucion[[#This Row],[orden]]="","",tblEjecucion[[#This Row],[orden]]&amp;IF(tblEjecucion[[#This Row],[operacion]]="","0010",tblEjecucion[[#This Row],[operacion]]))</f>
        <v/>
      </c>
    </row>
    <row r="1085">
      <c r="A1085" s="3" t="n"/>
      <c r="B1085" s="3" t="n"/>
      <c r="C1085" s="3" t="n"/>
      <c r="D1085" s="3" t="n"/>
      <c r="E1085" s="3" t="n"/>
      <c r="F1085" s="10" t="n"/>
      <c r="G1085" s="10" t="n"/>
      <c r="H1085" s="10" t="n"/>
      <c r="I1085" s="3" t="n"/>
      <c r="J1085" s="3">
        <f>IF(tblEjecucion[[#This Row],[orden]]="","",tblEjecucion[[#This Row],[orden]]&amp;IF(tblEjecucion[[#This Row],[operacion]]="","0010",tblEjecucion[[#This Row],[operacion]]))</f>
        <v/>
      </c>
    </row>
    <row r="1086">
      <c r="A1086" s="3" t="n"/>
      <c r="B1086" s="3" t="n"/>
      <c r="C1086" s="3" t="n"/>
      <c r="D1086" s="3" t="n"/>
      <c r="E1086" s="3" t="n"/>
      <c r="F1086" s="10" t="n"/>
      <c r="G1086" s="10" t="n"/>
      <c r="H1086" s="10" t="n"/>
      <c r="I1086" s="3" t="n"/>
      <c r="J1086" s="3">
        <f>IF(tblEjecucion[[#This Row],[orden]]="","",tblEjecucion[[#This Row],[orden]]&amp;IF(tblEjecucion[[#This Row],[operacion]]="","0010",tblEjecucion[[#This Row],[operacion]]))</f>
        <v/>
      </c>
    </row>
    <row r="1087">
      <c r="A1087" s="3" t="n"/>
      <c r="B1087" s="3" t="n"/>
      <c r="C1087" s="3" t="n"/>
      <c r="D1087" s="3" t="n"/>
      <c r="E1087" s="3" t="n"/>
      <c r="F1087" s="10" t="n"/>
      <c r="G1087" s="10" t="n"/>
      <c r="H1087" s="10" t="n"/>
      <c r="I1087" s="3" t="n"/>
      <c r="J1087" s="3">
        <f>IF(tblEjecucion[[#This Row],[orden]]="","",tblEjecucion[[#This Row],[orden]]&amp;IF(tblEjecucion[[#This Row],[operacion]]="","0010",tblEjecucion[[#This Row],[operacion]]))</f>
        <v/>
      </c>
    </row>
    <row r="1088">
      <c r="A1088" s="3" t="n"/>
      <c r="B1088" s="3" t="n"/>
      <c r="C1088" s="3" t="n"/>
      <c r="D1088" s="3" t="n"/>
      <c r="E1088" s="3" t="n"/>
      <c r="F1088" s="10" t="n"/>
      <c r="G1088" s="10" t="n"/>
      <c r="H1088" s="10" t="n"/>
      <c r="I1088" s="3" t="n"/>
      <c r="J1088" s="3">
        <f>IF(tblEjecucion[[#This Row],[orden]]="","",tblEjecucion[[#This Row],[orden]]&amp;IF(tblEjecucion[[#This Row],[operacion]]="","0010",tblEjecucion[[#This Row],[operacion]]))</f>
        <v/>
      </c>
    </row>
    <row r="1089">
      <c r="A1089" s="3" t="n"/>
      <c r="B1089" s="3" t="n"/>
      <c r="C1089" s="3" t="n"/>
      <c r="D1089" s="3" t="n"/>
      <c r="E1089" s="3" t="n"/>
      <c r="F1089" s="10" t="n"/>
      <c r="G1089" s="10" t="n"/>
      <c r="H1089" s="10" t="n"/>
      <c r="I1089" s="3" t="n"/>
      <c r="J1089" s="3">
        <f>IF(tblEjecucion[[#This Row],[orden]]="","",tblEjecucion[[#This Row],[orden]]&amp;IF(tblEjecucion[[#This Row],[operacion]]="","0010",tblEjecucion[[#This Row],[operacion]]))</f>
        <v/>
      </c>
    </row>
    <row r="1090">
      <c r="A1090" s="3" t="n"/>
      <c r="B1090" s="3" t="n"/>
      <c r="C1090" s="3" t="n"/>
      <c r="D1090" s="3" t="n"/>
      <c r="E1090" s="3" t="n"/>
      <c r="F1090" s="10" t="n"/>
      <c r="G1090" s="10" t="n"/>
      <c r="H1090" s="10" t="n"/>
      <c r="I1090" s="3" t="n"/>
      <c r="J1090" s="3">
        <f>IF(tblEjecucion[[#This Row],[orden]]="","",tblEjecucion[[#This Row],[orden]]&amp;IF(tblEjecucion[[#This Row],[operacion]]="","0010",tblEjecucion[[#This Row],[operacion]]))</f>
        <v/>
      </c>
    </row>
    <row r="1091">
      <c r="A1091" s="3" t="n"/>
      <c r="B1091" s="3" t="n"/>
      <c r="C1091" s="3" t="n"/>
      <c r="D1091" s="3" t="n"/>
      <c r="E1091" s="3" t="n"/>
      <c r="F1091" s="10" t="n"/>
      <c r="G1091" s="10" t="n"/>
      <c r="H1091" s="10" t="n"/>
      <c r="I1091" s="3" t="n"/>
      <c r="J1091" s="3">
        <f>IF(tblEjecucion[[#This Row],[orden]]="","",tblEjecucion[[#This Row],[orden]]&amp;IF(tblEjecucion[[#This Row],[operacion]]="","0010",tblEjecucion[[#This Row],[operacion]]))</f>
        <v/>
      </c>
    </row>
    <row r="1092">
      <c r="A1092" s="3" t="n"/>
      <c r="B1092" s="3" t="n"/>
      <c r="C1092" s="3" t="n"/>
      <c r="D1092" s="3" t="n"/>
      <c r="E1092" s="3" t="n"/>
      <c r="F1092" s="10" t="n"/>
      <c r="G1092" s="10" t="n"/>
      <c r="H1092" s="10" t="n"/>
      <c r="I1092" s="3" t="n"/>
      <c r="J1092" s="3">
        <f>IF(tblEjecucion[[#This Row],[orden]]="","",tblEjecucion[[#This Row],[orden]]&amp;IF(tblEjecucion[[#This Row],[operacion]]="","0010",tblEjecucion[[#This Row],[operacion]]))</f>
        <v/>
      </c>
    </row>
    <row r="1093">
      <c r="A1093" s="3" t="n"/>
      <c r="B1093" s="3" t="n"/>
      <c r="C1093" s="3" t="n"/>
      <c r="D1093" s="3" t="n"/>
      <c r="E1093" s="3" t="n"/>
      <c r="F1093" s="10" t="n"/>
      <c r="G1093" s="10" t="n"/>
      <c r="H1093" s="10" t="n"/>
      <c r="I1093" s="3" t="n"/>
      <c r="J1093" s="3">
        <f>IF(tblEjecucion[[#This Row],[orden]]="","",tblEjecucion[[#This Row],[orden]]&amp;IF(tblEjecucion[[#This Row],[operacion]]="","0010",tblEjecucion[[#This Row],[operacion]]))</f>
        <v/>
      </c>
    </row>
    <row r="1094">
      <c r="A1094" s="3" t="n"/>
      <c r="B1094" s="3" t="n"/>
      <c r="C1094" s="3" t="n"/>
      <c r="D1094" s="3" t="n"/>
      <c r="E1094" s="3" t="n"/>
      <c r="F1094" s="10" t="n"/>
      <c r="G1094" s="10" t="n"/>
      <c r="H1094" s="10" t="n"/>
      <c r="I1094" s="3" t="n"/>
      <c r="J1094" s="3">
        <f>IF(tblEjecucion[[#This Row],[orden]]="","",tblEjecucion[[#This Row],[orden]]&amp;IF(tblEjecucion[[#This Row],[operacion]]="","0010",tblEjecucion[[#This Row],[operacion]]))</f>
        <v/>
      </c>
    </row>
    <row r="1095">
      <c r="A1095" s="3" t="n"/>
      <c r="B1095" s="3" t="n"/>
      <c r="C1095" s="3" t="n"/>
      <c r="D1095" s="3" t="n"/>
      <c r="E1095" s="3" t="n"/>
      <c r="F1095" s="10" t="n"/>
      <c r="G1095" s="10" t="n"/>
      <c r="H1095" s="10" t="n"/>
      <c r="I1095" s="3" t="n"/>
      <c r="J1095" s="3">
        <f>IF(tblEjecucion[[#This Row],[orden]]="","",tblEjecucion[[#This Row],[orden]]&amp;IF(tblEjecucion[[#This Row],[operacion]]="","0010",tblEjecucion[[#This Row],[operacion]]))</f>
        <v/>
      </c>
    </row>
    <row r="1096">
      <c r="A1096" s="3" t="n"/>
      <c r="B1096" s="3" t="n"/>
      <c r="C1096" s="3" t="n"/>
      <c r="D1096" s="3" t="n"/>
      <c r="E1096" s="3" t="n"/>
      <c r="F1096" s="10" t="n"/>
      <c r="G1096" s="10" t="n"/>
      <c r="H1096" s="10" t="n"/>
      <c r="I1096" s="3" t="n"/>
      <c r="J1096" s="3">
        <f>IF(tblEjecucion[[#This Row],[orden]]="","",tblEjecucion[[#This Row],[orden]]&amp;IF(tblEjecucion[[#This Row],[operacion]]="","0010",tblEjecucion[[#This Row],[operacion]]))</f>
        <v/>
      </c>
    </row>
    <row r="1097">
      <c r="A1097" s="3" t="n"/>
      <c r="B1097" s="3" t="n"/>
      <c r="C1097" s="3" t="n"/>
      <c r="D1097" s="3" t="n"/>
      <c r="E1097" s="3" t="n"/>
      <c r="F1097" s="10" t="n"/>
      <c r="G1097" s="10" t="n"/>
      <c r="H1097" s="10" t="n"/>
      <c r="I1097" s="3" t="n"/>
      <c r="J1097" s="3">
        <f>IF(tblEjecucion[[#This Row],[orden]]="","",tblEjecucion[[#This Row],[orden]]&amp;IF(tblEjecucion[[#This Row],[operacion]]="","0010",tblEjecucion[[#This Row],[operacion]]))</f>
        <v/>
      </c>
    </row>
    <row r="1098">
      <c r="A1098" s="3" t="n"/>
      <c r="B1098" s="3" t="n"/>
      <c r="C1098" s="3" t="n"/>
      <c r="D1098" s="3" t="n"/>
      <c r="E1098" s="3" t="n"/>
      <c r="F1098" s="10" t="n"/>
      <c r="G1098" s="10" t="n"/>
      <c r="H1098" s="10" t="n"/>
      <c r="I1098" s="3" t="n"/>
      <c r="J1098" s="3">
        <f>IF(tblEjecucion[[#This Row],[orden]]="","",tblEjecucion[[#This Row],[orden]]&amp;IF(tblEjecucion[[#This Row],[operacion]]="","0010",tblEjecucion[[#This Row],[operacion]]))</f>
        <v/>
      </c>
    </row>
    <row r="1099">
      <c r="A1099" s="3" t="n"/>
      <c r="B1099" s="3" t="n"/>
      <c r="C1099" s="3" t="n"/>
      <c r="D1099" s="3" t="n"/>
      <c r="E1099" s="3" t="n"/>
      <c r="F1099" s="10" t="n"/>
      <c r="G1099" s="10" t="n"/>
      <c r="H1099" s="10" t="n"/>
      <c r="I1099" s="3" t="n"/>
      <c r="J1099" s="3">
        <f>IF(tblEjecucion[[#This Row],[orden]]="","",tblEjecucion[[#This Row],[orden]]&amp;IF(tblEjecucion[[#This Row],[operacion]]="","0010",tblEjecucion[[#This Row],[operacion]]))</f>
        <v/>
      </c>
    </row>
    <row r="1100">
      <c r="A1100" s="3" t="n"/>
      <c r="B1100" s="3" t="n"/>
      <c r="C1100" s="3" t="n"/>
      <c r="D1100" s="3" t="n"/>
      <c r="E1100" s="3" t="n"/>
      <c r="F1100" s="10" t="n"/>
      <c r="G1100" s="10" t="n"/>
      <c r="H1100" s="10" t="n"/>
      <c r="I1100" s="3" t="n"/>
      <c r="J1100" s="3">
        <f>IF(tblEjecucion[[#This Row],[orden]]="","",tblEjecucion[[#This Row],[orden]]&amp;IF(tblEjecucion[[#This Row],[operacion]]="","0010",tblEjecucion[[#This Row],[operacion]]))</f>
        <v/>
      </c>
    </row>
    <row r="1101">
      <c r="A1101" s="3" t="n"/>
      <c r="B1101" s="3" t="n"/>
      <c r="C1101" s="3" t="n"/>
      <c r="D1101" s="3" t="n"/>
      <c r="E1101" s="3" t="n"/>
      <c r="F1101" s="10" t="n"/>
      <c r="G1101" s="10" t="n"/>
      <c r="H1101" s="10" t="n"/>
      <c r="I1101" s="3" t="n"/>
      <c r="J1101" s="3">
        <f>IF(tblEjecucion[[#This Row],[orden]]="","",tblEjecucion[[#This Row],[orden]]&amp;IF(tblEjecucion[[#This Row],[operacion]]="","0010",tblEjecucion[[#This Row],[operacion]]))</f>
        <v/>
      </c>
    </row>
    <row r="1102">
      <c r="A1102" s="3" t="n"/>
      <c r="B1102" s="3" t="n"/>
      <c r="C1102" s="3" t="n"/>
      <c r="D1102" s="3" t="n"/>
      <c r="E1102" s="3" t="n"/>
      <c r="F1102" s="10" t="n"/>
      <c r="G1102" s="10" t="n"/>
      <c r="H1102" s="10" t="n"/>
      <c r="I1102" s="3" t="n"/>
      <c r="J1102" s="3">
        <f>IF(tblEjecucion[[#This Row],[orden]]="","",tblEjecucion[[#This Row],[orden]]&amp;IF(tblEjecucion[[#This Row],[operacion]]="","0010",tblEjecucion[[#This Row],[operacion]]))</f>
        <v/>
      </c>
    </row>
    <row r="1103">
      <c r="A1103" s="3" t="n"/>
      <c r="B1103" s="3" t="n"/>
      <c r="C1103" s="3" t="n"/>
      <c r="D1103" s="3" t="n"/>
      <c r="E1103" s="3" t="n"/>
      <c r="F1103" s="10" t="n"/>
      <c r="G1103" s="10" t="n"/>
      <c r="H1103" s="10" t="n"/>
      <c r="I1103" s="3" t="n"/>
      <c r="J1103" s="3">
        <f>IF(tblEjecucion[[#This Row],[orden]]="","",tblEjecucion[[#This Row],[orden]]&amp;IF(tblEjecucion[[#This Row],[operacion]]="","0010",tblEjecucion[[#This Row],[operacion]]))</f>
        <v/>
      </c>
    </row>
    <row r="1104">
      <c r="A1104" s="3" t="n"/>
      <c r="B1104" s="3" t="n"/>
      <c r="C1104" s="3" t="n"/>
      <c r="D1104" s="3" t="n"/>
      <c r="E1104" s="3" t="n"/>
      <c r="F1104" s="10" t="n"/>
      <c r="G1104" s="10" t="n"/>
      <c r="H1104" s="10" t="n"/>
      <c r="I1104" s="3" t="n"/>
      <c r="J1104" s="3">
        <f>IF(tblEjecucion[[#This Row],[orden]]="","",tblEjecucion[[#This Row],[orden]]&amp;IF(tblEjecucion[[#This Row],[operacion]]="","0010",tblEjecucion[[#This Row],[operacion]]))</f>
        <v/>
      </c>
    </row>
    <row r="1105">
      <c r="A1105" s="3" t="n"/>
      <c r="B1105" s="3" t="n"/>
      <c r="C1105" s="3" t="n"/>
      <c r="D1105" s="3" t="n"/>
      <c r="E1105" s="3" t="n"/>
      <c r="F1105" s="10" t="n"/>
      <c r="G1105" s="10" t="n"/>
      <c r="H1105" s="10" t="n"/>
      <c r="I1105" s="3" t="n"/>
      <c r="J1105" s="3">
        <f>IF(tblEjecucion[[#This Row],[orden]]="","",tblEjecucion[[#This Row],[orden]]&amp;IF(tblEjecucion[[#This Row],[operacion]]="","0010",tblEjecucion[[#This Row],[operacion]]))</f>
        <v/>
      </c>
    </row>
    <row r="1106">
      <c r="A1106" s="3" t="n"/>
      <c r="B1106" s="3" t="n"/>
      <c r="C1106" s="3" t="n"/>
      <c r="D1106" s="3" t="n"/>
      <c r="E1106" s="3" t="n"/>
      <c r="F1106" s="10" t="n"/>
      <c r="G1106" s="10" t="n"/>
      <c r="H1106" s="10" t="n"/>
      <c r="I1106" s="3" t="n"/>
      <c r="J1106" s="3">
        <f>IF(tblEjecucion[[#This Row],[orden]]="","",tblEjecucion[[#This Row],[orden]]&amp;IF(tblEjecucion[[#This Row],[operacion]]="","0010",tblEjecucion[[#This Row],[operacion]]))</f>
        <v/>
      </c>
    </row>
    <row r="1107">
      <c r="A1107" s="3" t="n"/>
      <c r="B1107" s="3" t="n"/>
      <c r="C1107" s="3" t="n"/>
      <c r="D1107" s="3" t="n"/>
      <c r="E1107" s="3" t="n"/>
      <c r="F1107" s="10" t="n"/>
      <c r="G1107" s="10" t="n"/>
      <c r="H1107" s="10" t="n"/>
      <c r="I1107" s="3" t="n"/>
      <c r="J1107" s="3">
        <f>IF(tblEjecucion[[#This Row],[orden]]="","",tblEjecucion[[#This Row],[orden]]&amp;IF(tblEjecucion[[#This Row],[operacion]]="","0010",tblEjecucion[[#This Row],[operacion]]))</f>
        <v/>
      </c>
    </row>
    <row r="1108">
      <c r="A1108" s="3" t="n"/>
      <c r="B1108" s="3" t="n"/>
      <c r="C1108" s="3" t="n"/>
      <c r="D1108" s="3" t="n"/>
      <c r="E1108" s="3" t="n"/>
      <c r="F1108" s="10" t="n"/>
      <c r="G1108" s="10" t="n"/>
      <c r="H1108" s="10" t="n"/>
      <c r="I1108" s="3" t="n"/>
      <c r="J1108" s="3">
        <f>IF(tblEjecucion[[#This Row],[orden]]="","",tblEjecucion[[#This Row],[orden]]&amp;IF(tblEjecucion[[#This Row],[operacion]]="","0010",tblEjecucion[[#This Row],[operacion]]))</f>
        <v/>
      </c>
    </row>
    <row r="1109">
      <c r="A1109" s="3" t="n"/>
      <c r="B1109" s="3" t="n"/>
      <c r="C1109" s="3" t="n"/>
      <c r="D1109" s="3" t="n"/>
      <c r="E1109" s="3" t="n"/>
      <c r="F1109" s="10" t="n"/>
      <c r="G1109" s="10" t="n"/>
      <c r="H1109" s="10" t="n"/>
      <c r="I1109" s="3" t="n"/>
      <c r="J1109" s="3">
        <f>IF(tblEjecucion[[#This Row],[orden]]="","",tblEjecucion[[#This Row],[orden]]&amp;IF(tblEjecucion[[#This Row],[operacion]]="","0010",tblEjecucion[[#This Row],[operacion]]))</f>
        <v/>
      </c>
    </row>
    <row r="1110">
      <c r="A1110" s="3" t="n"/>
      <c r="B1110" s="3" t="n"/>
      <c r="C1110" s="3" t="n"/>
      <c r="D1110" s="3" t="n"/>
      <c r="E1110" s="3" t="n"/>
      <c r="F1110" s="10" t="n"/>
      <c r="G1110" s="10" t="n"/>
      <c r="H1110" s="10" t="n"/>
      <c r="I1110" s="3" t="n"/>
      <c r="J1110" s="3">
        <f>IF(tblEjecucion[[#This Row],[orden]]="","",tblEjecucion[[#This Row],[orden]]&amp;IF(tblEjecucion[[#This Row],[operacion]]="","0010",tblEjecucion[[#This Row],[operacion]]))</f>
        <v/>
      </c>
    </row>
    <row r="1111">
      <c r="A1111" s="3" t="n"/>
      <c r="B1111" s="3" t="n"/>
      <c r="C1111" s="3" t="n"/>
      <c r="D1111" s="3" t="n"/>
      <c r="E1111" s="3" t="n"/>
      <c r="F1111" s="10" t="n"/>
      <c r="G1111" s="10" t="n"/>
      <c r="H1111" s="10" t="n"/>
      <c r="I1111" s="3" t="n"/>
      <c r="J1111" s="3">
        <f>IF(tblEjecucion[[#This Row],[orden]]="","",tblEjecucion[[#This Row],[orden]]&amp;IF(tblEjecucion[[#This Row],[operacion]]="","0010",tblEjecucion[[#This Row],[operacion]]))</f>
        <v/>
      </c>
    </row>
    <row r="1112">
      <c r="A1112" s="3" t="n"/>
      <c r="B1112" s="3" t="n"/>
      <c r="C1112" s="3" t="n"/>
      <c r="D1112" s="3" t="n"/>
      <c r="E1112" s="3" t="n"/>
      <c r="F1112" s="10" t="n"/>
      <c r="G1112" s="10" t="n"/>
      <c r="H1112" s="10" t="n"/>
      <c r="I1112" s="3" t="n"/>
      <c r="J1112" s="3">
        <f>IF(tblEjecucion[[#This Row],[orden]]="","",tblEjecucion[[#This Row],[orden]]&amp;IF(tblEjecucion[[#This Row],[operacion]]="","0010",tblEjecucion[[#This Row],[operacion]]))</f>
        <v/>
      </c>
    </row>
    <row r="1113">
      <c r="A1113" s="3" t="n"/>
      <c r="B1113" s="3" t="n"/>
      <c r="C1113" s="3" t="n"/>
      <c r="D1113" s="3" t="n"/>
      <c r="E1113" s="3" t="n"/>
      <c r="F1113" s="10" t="n"/>
      <c r="G1113" s="10" t="n"/>
      <c r="H1113" s="10" t="n"/>
      <c r="I1113" s="3" t="n"/>
      <c r="J1113" s="3">
        <f>IF(tblEjecucion[[#This Row],[orden]]="","",tblEjecucion[[#This Row],[orden]]&amp;IF(tblEjecucion[[#This Row],[operacion]]="","0010",tblEjecucion[[#This Row],[operacion]]))</f>
        <v/>
      </c>
    </row>
    <row r="1114">
      <c r="A1114" s="3" t="n"/>
      <c r="B1114" s="3" t="n"/>
      <c r="C1114" s="3" t="n"/>
      <c r="D1114" s="3" t="n"/>
      <c r="E1114" s="3" t="n"/>
      <c r="F1114" s="10" t="n"/>
      <c r="G1114" s="10" t="n"/>
      <c r="H1114" s="10" t="n"/>
      <c r="I1114" s="3" t="n"/>
      <c r="J1114" s="3">
        <f>IF(tblEjecucion[[#This Row],[orden]]="","",tblEjecucion[[#This Row],[orden]]&amp;IF(tblEjecucion[[#This Row],[operacion]]="","0010",tblEjecucion[[#This Row],[operacion]]))</f>
        <v/>
      </c>
    </row>
    <row r="1115">
      <c r="A1115" s="3" t="n"/>
      <c r="B1115" s="3" t="n"/>
      <c r="C1115" s="3" t="n"/>
      <c r="D1115" s="3" t="n"/>
      <c r="E1115" s="3" t="n"/>
      <c r="F1115" s="10" t="n"/>
      <c r="G1115" s="10" t="n"/>
      <c r="H1115" s="10" t="n"/>
      <c r="I1115" s="3" t="n"/>
      <c r="J1115" s="3">
        <f>IF(tblEjecucion[[#This Row],[orden]]="","",tblEjecucion[[#This Row],[orden]]&amp;IF(tblEjecucion[[#This Row],[operacion]]="","0010",tblEjecucion[[#This Row],[operacion]]))</f>
        <v/>
      </c>
    </row>
    <row r="1116">
      <c r="A1116" s="3" t="n"/>
      <c r="B1116" s="3" t="n"/>
      <c r="C1116" s="3" t="n"/>
      <c r="D1116" s="3" t="n"/>
      <c r="E1116" s="3" t="n"/>
      <c r="F1116" s="10" t="n"/>
      <c r="G1116" s="10" t="n"/>
      <c r="H1116" s="10" t="n"/>
      <c r="I1116" s="3" t="n"/>
      <c r="J1116" s="3">
        <f>IF(tblEjecucion[[#This Row],[orden]]="","",tblEjecucion[[#This Row],[orden]]&amp;IF(tblEjecucion[[#This Row],[operacion]]="","0010",tblEjecucion[[#This Row],[operacion]]))</f>
        <v/>
      </c>
    </row>
    <row r="1117">
      <c r="A1117" s="3" t="n"/>
      <c r="B1117" s="3" t="n"/>
      <c r="C1117" s="3" t="n"/>
      <c r="D1117" s="3" t="n"/>
      <c r="E1117" s="3" t="n"/>
      <c r="F1117" s="10" t="n"/>
      <c r="G1117" s="10" t="n"/>
      <c r="H1117" s="10" t="n"/>
      <c r="I1117" s="3" t="n"/>
      <c r="J1117" s="3">
        <f>IF(tblEjecucion[[#This Row],[orden]]="","",tblEjecucion[[#This Row],[orden]]&amp;IF(tblEjecucion[[#This Row],[operacion]]="","0010",tblEjecucion[[#This Row],[operacion]]))</f>
        <v/>
      </c>
    </row>
    <row r="1118">
      <c r="A1118" s="3" t="n"/>
      <c r="B1118" s="3" t="n"/>
      <c r="C1118" s="3" t="n"/>
      <c r="D1118" s="3" t="n"/>
      <c r="E1118" s="3" t="n"/>
      <c r="F1118" s="10" t="n"/>
      <c r="G1118" s="10" t="n"/>
      <c r="H1118" s="10" t="n"/>
      <c r="I1118" s="3" t="n"/>
      <c r="J1118" s="3">
        <f>IF(tblEjecucion[[#This Row],[orden]]="","",tblEjecucion[[#This Row],[orden]]&amp;IF(tblEjecucion[[#This Row],[operacion]]="","0010",tblEjecucion[[#This Row],[operacion]]))</f>
        <v/>
      </c>
    </row>
    <row r="1119">
      <c r="A1119" s="3" t="n"/>
      <c r="B1119" s="3" t="n"/>
      <c r="C1119" s="3" t="n"/>
      <c r="D1119" s="3" t="n"/>
      <c r="E1119" s="3" t="n"/>
      <c r="F1119" s="10" t="n"/>
      <c r="G1119" s="10" t="n"/>
      <c r="H1119" s="10" t="n"/>
      <c r="I1119" s="3" t="n"/>
      <c r="J1119" s="3">
        <f>IF(tblEjecucion[[#This Row],[orden]]="","",tblEjecucion[[#This Row],[orden]]&amp;IF(tblEjecucion[[#This Row],[operacion]]="","0010",tblEjecucion[[#This Row],[operacion]]))</f>
        <v/>
      </c>
    </row>
    <row r="1120">
      <c r="A1120" s="3" t="n"/>
      <c r="B1120" s="3" t="n"/>
      <c r="C1120" s="3" t="n"/>
      <c r="D1120" s="3" t="n"/>
      <c r="E1120" s="3" t="n"/>
      <c r="F1120" s="10" t="n"/>
      <c r="G1120" s="10" t="n"/>
      <c r="H1120" s="10" t="n"/>
      <c r="I1120" s="3" t="n"/>
      <c r="J1120" s="3">
        <f>IF(tblEjecucion[[#This Row],[orden]]="","",tblEjecucion[[#This Row],[orden]]&amp;IF(tblEjecucion[[#This Row],[operacion]]="","0010",tblEjecucion[[#This Row],[operacion]]))</f>
        <v/>
      </c>
    </row>
    <row r="1121">
      <c r="A1121" s="3" t="n"/>
      <c r="B1121" s="3" t="n"/>
      <c r="C1121" s="3" t="n"/>
      <c r="D1121" s="3" t="n"/>
      <c r="E1121" s="3" t="n"/>
      <c r="F1121" s="10" t="n"/>
      <c r="G1121" s="10" t="n"/>
      <c r="H1121" s="10" t="n"/>
      <c r="I1121" s="3" t="n"/>
      <c r="J1121" s="3">
        <f>IF(tblEjecucion[[#This Row],[orden]]="","",tblEjecucion[[#This Row],[orden]]&amp;IF(tblEjecucion[[#This Row],[operacion]]="","0010",tblEjecucion[[#This Row],[operacion]]))</f>
        <v/>
      </c>
    </row>
    <row r="1122">
      <c r="A1122" s="3" t="n"/>
      <c r="B1122" s="3" t="n"/>
      <c r="C1122" s="3" t="n"/>
      <c r="D1122" s="3" t="n"/>
      <c r="E1122" s="3" t="n"/>
      <c r="F1122" s="10" t="n"/>
      <c r="G1122" s="10" t="n"/>
      <c r="H1122" s="10" t="n"/>
      <c r="I1122" s="3" t="n"/>
      <c r="J1122" s="3">
        <f>IF(tblEjecucion[[#This Row],[orden]]="","",tblEjecucion[[#This Row],[orden]]&amp;IF(tblEjecucion[[#This Row],[operacion]]="","0010",tblEjecucion[[#This Row],[operacion]]))</f>
        <v/>
      </c>
    </row>
    <row r="1123">
      <c r="A1123" s="3" t="n"/>
      <c r="B1123" s="3" t="n"/>
      <c r="C1123" s="3" t="n"/>
      <c r="D1123" s="3" t="n"/>
      <c r="E1123" s="3" t="n"/>
      <c r="F1123" s="10" t="n"/>
      <c r="G1123" s="10" t="n"/>
      <c r="H1123" s="10" t="n"/>
      <c r="I1123" s="3" t="n"/>
      <c r="J1123" s="3">
        <f>IF(tblEjecucion[[#This Row],[orden]]="","",tblEjecucion[[#This Row],[orden]]&amp;IF(tblEjecucion[[#This Row],[operacion]]="","0010",tblEjecucion[[#This Row],[operacion]]))</f>
        <v/>
      </c>
    </row>
    <row r="1124">
      <c r="A1124" s="3" t="n"/>
      <c r="B1124" s="3" t="n"/>
      <c r="C1124" s="3" t="n"/>
      <c r="D1124" s="3" t="n"/>
      <c r="E1124" s="3" t="n"/>
      <c r="F1124" s="10" t="n"/>
      <c r="G1124" s="10" t="n"/>
      <c r="H1124" s="10" t="n"/>
      <c r="I1124" s="3" t="n"/>
      <c r="J1124" s="3">
        <f>IF(tblEjecucion[[#This Row],[orden]]="","",tblEjecucion[[#This Row],[orden]]&amp;IF(tblEjecucion[[#This Row],[operacion]]="","0010",tblEjecucion[[#This Row],[operacion]]))</f>
        <v/>
      </c>
    </row>
    <row r="1125">
      <c r="A1125" s="3" t="n"/>
      <c r="B1125" s="3" t="n"/>
      <c r="C1125" s="3" t="n"/>
      <c r="D1125" s="3" t="n"/>
      <c r="E1125" s="3" t="n"/>
      <c r="F1125" s="10" t="n"/>
      <c r="G1125" s="10" t="n"/>
      <c r="H1125" s="10" t="n"/>
      <c r="I1125" s="3" t="n"/>
      <c r="J1125" s="3">
        <f>IF(tblEjecucion[[#This Row],[orden]]="","",tblEjecucion[[#This Row],[orden]]&amp;IF(tblEjecucion[[#This Row],[operacion]]="","0010",tblEjecucion[[#This Row],[operacion]]))</f>
        <v/>
      </c>
    </row>
    <row r="1126">
      <c r="A1126" s="3" t="n"/>
      <c r="B1126" s="3" t="n"/>
      <c r="C1126" s="3" t="n"/>
      <c r="D1126" s="3" t="n"/>
      <c r="E1126" s="3" t="n"/>
      <c r="F1126" s="10" t="n"/>
      <c r="G1126" s="10" t="n"/>
      <c r="H1126" s="10" t="n"/>
      <c r="I1126" s="3" t="n"/>
      <c r="J1126" s="3">
        <f>IF(tblEjecucion[[#This Row],[orden]]="","",tblEjecucion[[#This Row],[orden]]&amp;IF(tblEjecucion[[#This Row],[operacion]]="","0010",tblEjecucion[[#This Row],[operacion]]))</f>
        <v/>
      </c>
    </row>
    <row r="1127">
      <c r="A1127" s="3" t="n"/>
      <c r="B1127" s="3" t="n"/>
      <c r="C1127" s="3" t="n"/>
      <c r="D1127" s="3" t="n"/>
      <c r="E1127" s="3" t="n"/>
      <c r="F1127" s="10" t="n"/>
      <c r="G1127" s="10" t="n"/>
      <c r="H1127" s="10" t="n"/>
      <c r="I1127" s="3" t="n"/>
      <c r="J1127" s="3">
        <f>IF(tblEjecucion[[#This Row],[orden]]="","",tblEjecucion[[#This Row],[orden]]&amp;IF(tblEjecucion[[#This Row],[operacion]]="","0010",tblEjecucion[[#This Row],[operacion]]))</f>
        <v/>
      </c>
    </row>
    <row r="1128">
      <c r="A1128" s="3" t="n"/>
      <c r="B1128" s="3" t="n"/>
      <c r="C1128" s="3" t="n"/>
      <c r="D1128" s="3" t="n"/>
      <c r="E1128" s="3" t="n"/>
      <c r="F1128" s="10" t="n"/>
      <c r="G1128" s="10" t="n"/>
      <c r="H1128" s="10" t="n"/>
      <c r="I1128" s="3" t="n"/>
      <c r="J1128" s="3">
        <f>IF(tblEjecucion[[#This Row],[orden]]="","",tblEjecucion[[#This Row],[orden]]&amp;IF(tblEjecucion[[#This Row],[operacion]]="","0010",tblEjecucion[[#This Row],[operacion]]))</f>
        <v/>
      </c>
    </row>
    <row r="1129">
      <c r="A1129" s="3" t="n"/>
      <c r="B1129" s="3" t="n"/>
      <c r="C1129" s="3" t="n"/>
      <c r="D1129" s="3" t="n"/>
      <c r="E1129" s="3" t="n"/>
      <c r="F1129" s="10" t="n"/>
      <c r="G1129" s="10" t="n"/>
      <c r="H1129" s="10" t="n"/>
      <c r="I1129" s="3" t="n"/>
      <c r="J1129" s="3">
        <f>IF(tblEjecucion[[#This Row],[orden]]="","",tblEjecucion[[#This Row],[orden]]&amp;IF(tblEjecucion[[#This Row],[operacion]]="","0010",tblEjecucion[[#This Row],[operacion]]))</f>
        <v/>
      </c>
    </row>
    <row r="1130">
      <c r="A1130" s="3" t="n"/>
      <c r="B1130" s="3" t="n"/>
      <c r="C1130" s="3" t="n"/>
      <c r="D1130" s="3" t="n"/>
      <c r="E1130" s="3" t="n"/>
      <c r="F1130" s="10" t="n"/>
      <c r="G1130" s="10" t="n"/>
      <c r="H1130" s="10" t="n"/>
      <c r="I1130" s="3" t="n"/>
      <c r="J1130" s="3">
        <f>IF(tblEjecucion[[#This Row],[orden]]="","",tblEjecucion[[#This Row],[orden]]&amp;IF(tblEjecucion[[#This Row],[operacion]]="","0010",tblEjecucion[[#This Row],[operacion]]))</f>
        <v/>
      </c>
    </row>
    <row r="1131">
      <c r="A1131" s="3" t="n"/>
      <c r="B1131" s="3" t="n"/>
      <c r="C1131" s="3" t="n"/>
      <c r="D1131" s="3" t="n"/>
      <c r="E1131" s="3" t="n"/>
      <c r="F1131" s="10" t="n"/>
      <c r="G1131" s="10" t="n"/>
      <c r="H1131" s="10" t="n"/>
      <c r="I1131" s="3" t="n"/>
      <c r="J1131" s="3">
        <f>IF(tblEjecucion[[#This Row],[orden]]="","",tblEjecucion[[#This Row],[orden]]&amp;IF(tblEjecucion[[#This Row],[operacion]]="","0010",tblEjecucion[[#This Row],[operacion]]))</f>
        <v/>
      </c>
    </row>
    <row r="1132">
      <c r="A1132" s="3" t="n"/>
      <c r="B1132" s="3" t="n"/>
      <c r="C1132" s="3" t="n"/>
      <c r="D1132" s="3" t="n"/>
      <c r="E1132" s="3" t="n"/>
      <c r="F1132" s="10" t="n"/>
      <c r="G1132" s="10" t="n"/>
      <c r="H1132" s="10" t="n"/>
      <c r="I1132" s="3" t="n"/>
      <c r="J1132" s="3">
        <f>IF(tblEjecucion[[#This Row],[orden]]="","",tblEjecucion[[#This Row],[orden]]&amp;IF(tblEjecucion[[#This Row],[operacion]]="","0010",tblEjecucion[[#This Row],[operacion]]))</f>
        <v/>
      </c>
    </row>
    <row r="1133">
      <c r="A1133" s="3" t="n"/>
      <c r="B1133" s="3" t="n"/>
      <c r="C1133" s="3" t="n"/>
      <c r="D1133" s="3" t="n"/>
      <c r="E1133" s="3" t="n"/>
      <c r="F1133" s="10" t="n"/>
      <c r="G1133" s="10" t="n"/>
      <c r="H1133" s="10" t="n"/>
      <c r="I1133" s="3" t="n"/>
      <c r="J1133" s="3">
        <f>IF(tblEjecucion[[#This Row],[orden]]="","",tblEjecucion[[#This Row],[orden]]&amp;IF(tblEjecucion[[#This Row],[operacion]]="","0010",tblEjecucion[[#This Row],[operacion]]))</f>
        <v/>
      </c>
    </row>
    <row r="1134">
      <c r="A1134" s="3" t="n"/>
      <c r="B1134" s="3" t="n"/>
      <c r="C1134" s="3" t="n"/>
      <c r="D1134" s="3" t="n"/>
      <c r="E1134" s="3" t="n"/>
      <c r="F1134" s="10" t="n"/>
      <c r="G1134" s="10" t="n"/>
      <c r="H1134" s="10" t="n"/>
      <c r="I1134" s="3" t="n"/>
      <c r="J1134" s="3">
        <f>IF(tblEjecucion[[#This Row],[orden]]="","",tblEjecucion[[#This Row],[orden]]&amp;IF(tblEjecucion[[#This Row],[operacion]]="","0010",tblEjecucion[[#This Row],[operacion]]))</f>
        <v/>
      </c>
    </row>
    <row r="1135">
      <c r="A1135" s="3" t="n"/>
      <c r="B1135" s="3" t="n"/>
      <c r="C1135" s="3" t="n"/>
      <c r="D1135" s="3" t="n"/>
      <c r="E1135" s="3" t="n"/>
      <c r="F1135" s="10" t="n"/>
      <c r="G1135" s="10" t="n"/>
      <c r="H1135" s="10" t="n"/>
      <c r="I1135" s="3" t="n"/>
      <c r="J1135" s="3">
        <f>IF(tblEjecucion[[#This Row],[orden]]="","",tblEjecucion[[#This Row],[orden]]&amp;IF(tblEjecucion[[#This Row],[operacion]]="","0010",tblEjecucion[[#This Row],[operacion]]))</f>
        <v/>
      </c>
    </row>
    <row r="1136">
      <c r="A1136" s="3" t="n"/>
      <c r="B1136" s="3" t="n"/>
      <c r="C1136" s="3" t="n"/>
      <c r="D1136" s="3" t="n"/>
      <c r="E1136" s="3" t="n"/>
      <c r="F1136" s="10" t="n"/>
      <c r="G1136" s="10" t="n"/>
      <c r="H1136" s="10" t="n"/>
      <c r="I1136" s="3" t="n"/>
      <c r="J1136" s="3">
        <f>IF(tblEjecucion[[#This Row],[orden]]="","",tblEjecucion[[#This Row],[orden]]&amp;IF(tblEjecucion[[#This Row],[operacion]]="","0010",tblEjecucion[[#This Row],[operacion]]))</f>
        <v/>
      </c>
    </row>
    <row r="1137">
      <c r="A1137" s="3" t="n"/>
      <c r="B1137" s="3" t="n"/>
      <c r="C1137" s="3" t="n"/>
      <c r="D1137" s="3" t="n"/>
      <c r="E1137" s="3" t="n"/>
      <c r="F1137" s="10" t="n"/>
      <c r="G1137" s="10" t="n"/>
      <c r="H1137" s="10" t="n"/>
      <c r="I1137" s="3" t="n"/>
      <c r="J1137" s="3">
        <f>IF(tblEjecucion[[#This Row],[orden]]="","",tblEjecucion[[#This Row],[orden]]&amp;IF(tblEjecucion[[#This Row],[operacion]]="","0010",tblEjecucion[[#This Row],[operacion]]))</f>
        <v/>
      </c>
    </row>
    <row r="1138">
      <c r="A1138" s="3" t="n"/>
      <c r="B1138" s="3" t="n"/>
      <c r="C1138" s="3" t="n"/>
      <c r="D1138" s="3" t="n"/>
      <c r="E1138" s="3" t="n"/>
      <c r="F1138" s="10" t="n"/>
      <c r="G1138" s="10" t="n"/>
      <c r="H1138" s="10" t="n"/>
      <c r="I1138" s="3" t="n"/>
      <c r="J1138" s="3">
        <f>IF(tblEjecucion[[#This Row],[orden]]="","",tblEjecucion[[#This Row],[orden]]&amp;IF(tblEjecucion[[#This Row],[operacion]]="","0010",tblEjecucion[[#This Row],[operacion]]))</f>
        <v/>
      </c>
    </row>
    <row r="1139">
      <c r="A1139" s="3" t="n"/>
      <c r="B1139" s="3" t="n"/>
      <c r="C1139" s="3" t="n"/>
      <c r="D1139" s="3" t="n"/>
      <c r="E1139" s="3" t="n"/>
      <c r="F1139" s="10" t="n"/>
      <c r="G1139" s="10" t="n"/>
      <c r="H1139" s="10" t="n"/>
      <c r="I1139" s="3" t="n"/>
      <c r="J1139" s="3">
        <f>IF(tblEjecucion[[#This Row],[orden]]="","",tblEjecucion[[#This Row],[orden]]&amp;IF(tblEjecucion[[#This Row],[operacion]]="","0010",tblEjecucion[[#This Row],[operacion]]))</f>
        <v/>
      </c>
    </row>
    <row r="1140">
      <c r="A1140" s="3" t="n"/>
      <c r="B1140" s="3" t="n"/>
      <c r="C1140" s="3" t="n"/>
      <c r="D1140" s="3" t="n"/>
      <c r="E1140" s="3" t="n"/>
      <c r="F1140" s="10" t="n"/>
      <c r="G1140" s="10" t="n"/>
      <c r="H1140" s="10" t="n"/>
      <c r="I1140" s="3" t="n"/>
      <c r="J1140" s="3">
        <f>IF(tblEjecucion[[#This Row],[orden]]="","",tblEjecucion[[#This Row],[orden]]&amp;IF(tblEjecucion[[#This Row],[operacion]]="","0010",tblEjecucion[[#This Row],[operacion]]))</f>
        <v/>
      </c>
    </row>
    <row r="1141">
      <c r="A1141" s="3" t="n"/>
      <c r="B1141" s="3" t="n"/>
      <c r="C1141" s="3" t="n"/>
      <c r="D1141" s="3" t="n"/>
      <c r="E1141" s="3" t="n"/>
      <c r="F1141" s="10" t="n"/>
      <c r="G1141" s="10" t="n"/>
      <c r="H1141" s="10" t="n"/>
      <c r="I1141" s="3" t="n"/>
      <c r="J1141" s="3">
        <f>IF(tblEjecucion[[#This Row],[orden]]="","",tblEjecucion[[#This Row],[orden]]&amp;IF(tblEjecucion[[#This Row],[operacion]]="","0010",tblEjecucion[[#This Row],[operacion]]))</f>
        <v/>
      </c>
    </row>
    <row r="1142">
      <c r="A1142" s="3" t="n"/>
      <c r="B1142" s="3" t="n"/>
      <c r="C1142" s="3" t="n"/>
      <c r="D1142" s="3" t="n"/>
      <c r="E1142" s="3" t="n"/>
      <c r="F1142" s="10" t="n"/>
      <c r="G1142" s="10" t="n"/>
      <c r="H1142" s="10" t="n"/>
      <c r="I1142" s="3" t="n"/>
      <c r="J1142" s="3">
        <f>IF(tblEjecucion[[#This Row],[orden]]="","",tblEjecucion[[#This Row],[orden]]&amp;IF(tblEjecucion[[#This Row],[operacion]]="","0010",tblEjecucion[[#This Row],[operacion]]))</f>
        <v/>
      </c>
    </row>
    <row r="1143">
      <c r="A1143" s="3" t="n"/>
      <c r="B1143" s="3" t="n"/>
      <c r="C1143" s="3" t="n"/>
      <c r="D1143" s="3" t="n"/>
      <c r="E1143" s="3" t="n"/>
      <c r="F1143" s="10" t="n"/>
      <c r="G1143" s="10" t="n"/>
      <c r="H1143" s="10" t="n"/>
      <c r="I1143" s="3" t="n"/>
      <c r="J1143" s="3">
        <f>IF(tblEjecucion[[#This Row],[orden]]="","",tblEjecucion[[#This Row],[orden]]&amp;IF(tblEjecucion[[#This Row],[operacion]]="","0010",tblEjecucion[[#This Row],[operacion]]))</f>
        <v/>
      </c>
    </row>
    <row r="1144">
      <c r="A1144" s="3" t="n"/>
      <c r="B1144" s="3" t="n"/>
      <c r="C1144" s="3" t="n"/>
      <c r="D1144" s="3" t="n"/>
      <c r="E1144" s="3" t="n"/>
      <c r="F1144" s="10" t="n"/>
      <c r="G1144" s="10" t="n"/>
      <c r="H1144" s="10" t="n"/>
      <c r="I1144" s="3" t="n"/>
      <c r="J1144" s="3">
        <f>IF(tblEjecucion[[#This Row],[orden]]="","",tblEjecucion[[#This Row],[orden]]&amp;IF(tblEjecucion[[#This Row],[operacion]]="","0010",tblEjecucion[[#This Row],[operacion]]))</f>
        <v/>
      </c>
    </row>
    <row r="1145">
      <c r="A1145" s="3" t="n"/>
      <c r="B1145" s="3" t="n"/>
      <c r="C1145" s="3" t="n"/>
      <c r="D1145" s="3" t="n"/>
      <c r="E1145" s="3" t="n"/>
      <c r="F1145" s="10" t="n"/>
      <c r="G1145" s="10" t="n"/>
      <c r="H1145" s="10" t="n"/>
      <c r="I1145" s="3" t="n"/>
      <c r="J1145" s="3">
        <f>IF(tblEjecucion[[#This Row],[orden]]="","",tblEjecucion[[#This Row],[orden]]&amp;IF(tblEjecucion[[#This Row],[operacion]]="","0010",tblEjecucion[[#This Row],[operacion]]))</f>
        <v/>
      </c>
    </row>
    <row r="1146">
      <c r="A1146" s="3" t="n"/>
      <c r="B1146" s="3" t="n"/>
      <c r="C1146" s="3" t="n"/>
      <c r="D1146" s="3" t="n"/>
      <c r="E1146" s="3" t="n"/>
      <c r="F1146" s="10" t="n"/>
      <c r="G1146" s="10" t="n"/>
      <c r="H1146" s="10" t="n"/>
      <c r="I1146" s="3" t="n"/>
      <c r="J1146" s="3">
        <f>IF(tblEjecucion[[#This Row],[orden]]="","",tblEjecucion[[#This Row],[orden]]&amp;IF(tblEjecucion[[#This Row],[operacion]]="","0010",tblEjecucion[[#This Row],[operacion]]))</f>
        <v/>
      </c>
    </row>
    <row r="1147">
      <c r="A1147" s="3" t="n"/>
      <c r="B1147" s="3" t="n"/>
      <c r="C1147" s="3" t="n"/>
      <c r="D1147" s="3" t="n"/>
      <c r="E1147" s="3" t="n"/>
      <c r="F1147" s="10" t="n"/>
      <c r="G1147" s="10" t="n"/>
      <c r="H1147" s="10" t="n"/>
      <c r="I1147" s="3" t="n"/>
      <c r="J1147" s="3">
        <f>IF(tblEjecucion[[#This Row],[orden]]="","",tblEjecucion[[#This Row],[orden]]&amp;IF(tblEjecucion[[#This Row],[operacion]]="","0010",tblEjecucion[[#This Row],[operacion]]))</f>
        <v/>
      </c>
    </row>
    <row r="1148">
      <c r="A1148" s="3" t="n"/>
      <c r="B1148" s="3" t="n"/>
      <c r="C1148" s="3" t="n"/>
      <c r="D1148" s="3" t="n"/>
      <c r="E1148" s="3" t="n"/>
      <c r="F1148" s="10" t="n"/>
      <c r="G1148" s="10" t="n"/>
      <c r="H1148" s="10" t="n"/>
      <c r="I1148" s="3" t="n"/>
      <c r="J1148" s="3">
        <f>IF(tblEjecucion[[#This Row],[orden]]="","",tblEjecucion[[#This Row],[orden]]&amp;IF(tblEjecucion[[#This Row],[operacion]]="","0010",tblEjecucion[[#This Row],[operacion]]))</f>
        <v/>
      </c>
    </row>
    <row r="1149">
      <c r="A1149" s="3" t="n"/>
      <c r="B1149" s="3" t="n"/>
      <c r="C1149" s="3" t="n"/>
      <c r="D1149" s="3" t="n"/>
      <c r="E1149" s="3" t="n"/>
      <c r="F1149" s="10" t="n"/>
      <c r="G1149" s="10" t="n"/>
      <c r="H1149" s="10" t="n"/>
      <c r="I1149" s="3" t="n"/>
      <c r="J1149" s="3">
        <f>IF(tblEjecucion[[#This Row],[orden]]="","",tblEjecucion[[#This Row],[orden]]&amp;IF(tblEjecucion[[#This Row],[operacion]]="","0010",tblEjecucion[[#This Row],[operacion]]))</f>
        <v/>
      </c>
    </row>
    <row r="1150">
      <c r="A1150" s="3" t="n"/>
      <c r="B1150" s="3" t="n"/>
      <c r="C1150" s="3" t="n"/>
      <c r="D1150" s="3" t="n"/>
      <c r="E1150" s="3" t="n"/>
      <c r="F1150" s="10" t="n"/>
      <c r="G1150" s="10" t="n"/>
      <c r="H1150" s="10" t="n"/>
      <c r="I1150" s="3" t="n"/>
      <c r="J1150" s="3">
        <f>IF(tblEjecucion[[#This Row],[orden]]="","",tblEjecucion[[#This Row],[orden]]&amp;IF(tblEjecucion[[#This Row],[operacion]]="","0010",tblEjecucion[[#This Row],[operacion]]))</f>
        <v/>
      </c>
    </row>
    <row r="1151">
      <c r="A1151" s="3" t="n"/>
      <c r="B1151" s="3" t="n"/>
      <c r="C1151" s="3" t="n"/>
      <c r="D1151" s="3" t="n"/>
      <c r="E1151" s="3" t="n"/>
      <c r="F1151" s="10" t="n"/>
      <c r="G1151" s="10" t="n"/>
      <c r="H1151" s="10" t="n"/>
      <c r="I1151" s="3" t="n"/>
      <c r="J1151" s="3">
        <f>IF(tblEjecucion[[#This Row],[orden]]="","",tblEjecucion[[#This Row],[orden]]&amp;IF(tblEjecucion[[#This Row],[operacion]]="","0010",tblEjecucion[[#This Row],[operacion]]))</f>
        <v/>
      </c>
    </row>
    <row r="1152">
      <c r="A1152" s="3" t="n"/>
      <c r="B1152" s="3" t="n"/>
      <c r="C1152" s="3" t="n"/>
      <c r="D1152" s="3" t="n"/>
      <c r="E1152" s="3" t="n"/>
      <c r="F1152" s="10" t="n"/>
      <c r="G1152" s="10" t="n"/>
      <c r="H1152" s="10" t="n"/>
      <c r="I1152" s="3" t="n"/>
      <c r="J1152" s="3">
        <f>IF(tblEjecucion[[#This Row],[orden]]="","",tblEjecucion[[#This Row],[orden]]&amp;IF(tblEjecucion[[#This Row],[operacion]]="","0010",tblEjecucion[[#This Row],[operacion]]))</f>
        <v/>
      </c>
    </row>
    <row r="1153">
      <c r="A1153" s="3" t="n"/>
      <c r="B1153" s="3" t="n"/>
      <c r="C1153" s="3" t="n"/>
      <c r="D1153" s="3" t="n"/>
      <c r="E1153" s="3" t="n"/>
      <c r="F1153" s="10" t="n"/>
      <c r="G1153" s="10" t="n"/>
      <c r="H1153" s="10" t="n"/>
      <c r="I1153" s="3" t="n"/>
      <c r="J1153" s="3">
        <f>IF(tblEjecucion[[#This Row],[orden]]="","",tblEjecucion[[#This Row],[orden]]&amp;IF(tblEjecucion[[#This Row],[operacion]]="","0010",tblEjecucion[[#This Row],[operacion]]))</f>
        <v/>
      </c>
    </row>
    <row r="1154">
      <c r="A1154" s="3" t="n"/>
      <c r="B1154" s="3" t="n"/>
      <c r="C1154" s="3" t="n"/>
      <c r="D1154" s="3" t="n"/>
      <c r="E1154" s="3" t="n"/>
      <c r="F1154" s="10" t="n"/>
      <c r="G1154" s="10" t="n"/>
      <c r="H1154" s="10" t="n"/>
      <c r="I1154" s="3" t="n"/>
      <c r="J1154" s="3">
        <f>IF(tblEjecucion[[#This Row],[orden]]="","",tblEjecucion[[#This Row],[orden]]&amp;IF(tblEjecucion[[#This Row],[operacion]]="","0010",tblEjecucion[[#This Row],[operacion]]))</f>
        <v/>
      </c>
    </row>
    <row r="1155">
      <c r="A1155" s="3" t="n"/>
      <c r="B1155" s="3" t="n"/>
      <c r="C1155" s="3" t="n"/>
      <c r="D1155" s="3" t="n"/>
      <c r="E1155" s="3" t="n"/>
      <c r="F1155" s="10" t="n"/>
      <c r="G1155" s="10" t="n"/>
      <c r="H1155" s="10" t="n"/>
      <c r="I1155" s="3" t="n"/>
      <c r="J1155" s="3">
        <f>IF(tblEjecucion[[#This Row],[orden]]="","",tblEjecucion[[#This Row],[orden]]&amp;IF(tblEjecucion[[#This Row],[operacion]]="","0010",tblEjecucion[[#This Row],[operacion]]))</f>
        <v/>
      </c>
    </row>
    <row r="1156">
      <c r="A1156" s="3" t="n"/>
      <c r="B1156" s="3" t="n"/>
      <c r="C1156" s="3" t="n"/>
      <c r="D1156" s="3" t="n"/>
      <c r="E1156" s="3" t="n"/>
      <c r="F1156" s="10" t="n"/>
      <c r="G1156" s="10" t="n"/>
      <c r="H1156" s="10" t="n"/>
      <c r="I1156" s="3" t="n"/>
      <c r="J1156" s="3">
        <f>IF(tblEjecucion[[#This Row],[orden]]="","",tblEjecucion[[#This Row],[orden]]&amp;IF(tblEjecucion[[#This Row],[operacion]]="","0010",tblEjecucion[[#This Row],[operacion]]))</f>
        <v/>
      </c>
    </row>
    <row r="1157">
      <c r="A1157" s="3" t="n"/>
      <c r="B1157" s="3" t="n"/>
      <c r="C1157" s="3" t="n"/>
      <c r="D1157" s="3" t="n"/>
      <c r="E1157" s="3" t="n"/>
      <c r="F1157" s="10" t="n"/>
      <c r="G1157" s="10" t="n"/>
      <c r="H1157" s="10" t="n"/>
      <c r="I1157" s="3" t="n"/>
      <c r="J1157" s="3">
        <f>IF(tblEjecucion[[#This Row],[orden]]="","",tblEjecucion[[#This Row],[orden]]&amp;IF(tblEjecucion[[#This Row],[operacion]]="","0010",tblEjecucion[[#This Row],[operacion]]))</f>
        <v/>
      </c>
    </row>
    <row r="1158">
      <c r="A1158" s="3" t="n"/>
      <c r="B1158" s="3" t="n"/>
      <c r="C1158" s="3" t="n"/>
      <c r="D1158" s="3" t="n"/>
      <c r="E1158" s="3" t="n"/>
      <c r="F1158" s="10" t="n"/>
      <c r="G1158" s="10" t="n"/>
      <c r="H1158" s="10" t="n"/>
      <c r="I1158" s="3" t="n"/>
      <c r="J1158" s="3">
        <f>IF(tblEjecucion[[#This Row],[orden]]="","",tblEjecucion[[#This Row],[orden]]&amp;IF(tblEjecucion[[#This Row],[operacion]]="","0010",tblEjecucion[[#This Row],[operacion]]))</f>
        <v/>
      </c>
    </row>
    <row r="1159">
      <c r="A1159" s="3" t="n"/>
      <c r="B1159" s="3" t="n"/>
      <c r="C1159" s="3" t="n"/>
      <c r="D1159" s="3" t="n"/>
      <c r="E1159" s="3" t="n"/>
      <c r="F1159" s="10" t="n"/>
      <c r="G1159" s="10" t="n"/>
      <c r="H1159" s="10" t="n"/>
      <c r="I1159" s="3" t="n"/>
      <c r="J1159" s="3">
        <f>IF(tblEjecucion[[#This Row],[orden]]="","",tblEjecucion[[#This Row],[orden]]&amp;IF(tblEjecucion[[#This Row],[operacion]]="","0010",tblEjecucion[[#This Row],[operacion]]))</f>
        <v/>
      </c>
    </row>
    <row r="1160">
      <c r="A1160" s="3" t="n"/>
      <c r="B1160" s="3" t="n"/>
      <c r="C1160" s="3" t="n"/>
      <c r="D1160" s="3" t="n"/>
      <c r="E1160" s="3" t="n"/>
      <c r="F1160" s="10" t="n"/>
      <c r="G1160" s="10" t="n"/>
      <c r="H1160" s="10" t="n"/>
      <c r="I1160" s="3" t="n"/>
      <c r="J1160" s="3">
        <f>IF(tblEjecucion[[#This Row],[orden]]="","",tblEjecucion[[#This Row],[orden]]&amp;IF(tblEjecucion[[#This Row],[operacion]]="","0010",tblEjecucion[[#This Row],[operacion]]))</f>
        <v/>
      </c>
    </row>
    <row r="1161">
      <c r="A1161" s="3" t="n"/>
      <c r="B1161" s="3" t="n"/>
      <c r="C1161" s="3" t="n"/>
      <c r="D1161" s="3" t="n"/>
      <c r="E1161" s="3" t="n"/>
      <c r="F1161" s="10" t="n"/>
      <c r="G1161" s="10" t="n"/>
      <c r="H1161" s="10" t="n"/>
      <c r="I1161" s="3" t="n"/>
      <c r="J1161" s="3">
        <f>IF(tblEjecucion[[#This Row],[orden]]="","",tblEjecucion[[#This Row],[orden]]&amp;IF(tblEjecucion[[#This Row],[operacion]]="","0010",tblEjecucion[[#This Row],[operacion]]))</f>
        <v/>
      </c>
    </row>
    <row r="1162">
      <c r="A1162" s="3" t="n"/>
      <c r="B1162" s="3" t="n"/>
      <c r="C1162" s="3" t="n"/>
      <c r="D1162" s="3" t="n"/>
      <c r="E1162" s="3" t="n"/>
      <c r="F1162" s="10" t="n"/>
      <c r="G1162" s="10" t="n"/>
      <c r="H1162" s="10" t="n"/>
      <c r="I1162" s="3" t="n"/>
      <c r="J1162" s="3">
        <f>IF(tblEjecucion[[#This Row],[orden]]="","",tblEjecucion[[#This Row],[orden]]&amp;IF(tblEjecucion[[#This Row],[operacion]]="","0010",tblEjecucion[[#This Row],[operacion]]))</f>
        <v/>
      </c>
    </row>
    <row r="1163">
      <c r="A1163" s="3" t="n"/>
      <c r="B1163" s="3" t="n"/>
      <c r="C1163" s="3" t="n"/>
      <c r="D1163" s="3" t="n"/>
      <c r="E1163" s="3" t="n"/>
      <c r="F1163" s="10" t="n"/>
      <c r="G1163" s="10" t="n"/>
      <c r="H1163" s="10" t="n"/>
      <c r="I1163" s="3" t="n"/>
      <c r="J1163" s="3">
        <f>IF(tblEjecucion[[#This Row],[orden]]="","",tblEjecucion[[#This Row],[orden]]&amp;IF(tblEjecucion[[#This Row],[operacion]]="","0010",tblEjecucion[[#This Row],[operacion]]))</f>
        <v/>
      </c>
    </row>
    <row r="1164">
      <c r="A1164" s="3" t="n"/>
      <c r="B1164" s="3" t="n"/>
      <c r="C1164" s="3" t="n"/>
      <c r="D1164" s="3" t="n"/>
      <c r="E1164" s="3" t="n"/>
      <c r="F1164" s="10" t="n"/>
      <c r="G1164" s="10" t="n"/>
      <c r="H1164" s="10" t="n"/>
      <c r="I1164" s="3" t="n"/>
      <c r="J1164" s="3">
        <f>IF(tblEjecucion[[#This Row],[orden]]="","",tblEjecucion[[#This Row],[orden]]&amp;IF(tblEjecucion[[#This Row],[operacion]]="","0010",tblEjecucion[[#This Row],[operacion]]))</f>
        <v/>
      </c>
    </row>
    <row r="1165">
      <c r="A1165" s="3" t="n"/>
      <c r="B1165" s="3" t="n"/>
      <c r="C1165" s="3" t="n"/>
      <c r="D1165" s="3" t="n"/>
      <c r="E1165" s="3" t="n"/>
      <c r="F1165" s="10" t="n"/>
      <c r="G1165" s="10" t="n"/>
      <c r="H1165" s="10" t="n"/>
      <c r="I1165" s="3" t="n"/>
      <c r="J1165" s="3">
        <f>IF(tblEjecucion[[#This Row],[orden]]="","",tblEjecucion[[#This Row],[orden]]&amp;IF(tblEjecucion[[#This Row],[operacion]]="","0010",tblEjecucion[[#This Row],[operacion]]))</f>
        <v/>
      </c>
    </row>
    <row r="1166">
      <c r="A1166" s="3" t="n"/>
      <c r="B1166" s="3" t="n"/>
      <c r="C1166" s="3" t="n"/>
      <c r="D1166" s="3" t="n"/>
      <c r="E1166" s="3" t="n"/>
      <c r="F1166" s="10" t="n"/>
      <c r="G1166" s="10" t="n"/>
      <c r="H1166" s="10" t="n"/>
      <c r="I1166" s="3" t="n"/>
      <c r="J1166" s="3">
        <f>IF(tblEjecucion[[#This Row],[orden]]="","",tblEjecucion[[#This Row],[orden]]&amp;IF(tblEjecucion[[#This Row],[operacion]]="","0010",tblEjecucion[[#This Row],[operacion]]))</f>
        <v/>
      </c>
    </row>
    <row r="1167">
      <c r="A1167" s="3" t="n"/>
      <c r="B1167" s="3" t="n"/>
      <c r="C1167" s="3" t="n"/>
      <c r="D1167" s="3" t="n"/>
      <c r="E1167" s="3" t="n"/>
      <c r="F1167" s="10" t="n"/>
      <c r="G1167" s="10" t="n"/>
      <c r="H1167" s="10" t="n"/>
      <c r="I1167" s="3" t="n"/>
      <c r="J1167" s="3">
        <f>IF(tblEjecucion[[#This Row],[orden]]="","",tblEjecucion[[#This Row],[orden]]&amp;IF(tblEjecucion[[#This Row],[operacion]]="","0010",tblEjecucion[[#This Row],[operacion]]))</f>
        <v/>
      </c>
    </row>
    <row r="1168">
      <c r="A1168" s="3" t="n"/>
      <c r="B1168" s="3" t="n"/>
      <c r="C1168" s="3" t="n"/>
      <c r="D1168" s="3" t="n"/>
      <c r="E1168" s="3" t="n"/>
      <c r="F1168" s="10" t="n"/>
      <c r="G1168" s="10" t="n"/>
      <c r="H1168" s="10" t="n"/>
      <c r="I1168" s="3" t="n"/>
      <c r="J1168" s="3">
        <f>IF(tblEjecucion[[#This Row],[orden]]="","",tblEjecucion[[#This Row],[orden]]&amp;IF(tblEjecucion[[#This Row],[operacion]]="","0010",tblEjecucion[[#This Row],[operacion]]))</f>
        <v/>
      </c>
    </row>
    <row r="1169">
      <c r="A1169" s="3" t="n"/>
      <c r="B1169" s="3" t="n"/>
      <c r="C1169" s="3" t="n"/>
      <c r="D1169" s="3" t="n"/>
      <c r="E1169" s="3" t="n"/>
      <c r="F1169" s="10" t="n"/>
      <c r="G1169" s="10" t="n"/>
      <c r="H1169" s="10" t="n"/>
      <c r="I1169" s="3" t="n"/>
      <c r="J1169" s="3">
        <f>IF(tblEjecucion[[#This Row],[orden]]="","",tblEjecucion[[#This Row],[orden]]&amp;IF(tblEjecucion[[#This Row],[operacion]]="","0010",tblEjecucion[[#This Row],[operacion]]))</f>
        <v/>
      </c>
    </row>
    <row r="1170">
      <c r="A1170" s="3" t="n"/>
      <c r="B1170" s="3" t="n"/>
      <c r="C1170" s="3" t="n"/>
      <c r="D1170" s="3" t="n"/>
      <c r="E1170" s="3" t="n"/>
      <c r="F1170" s="10" t="n"/>
      <c r="G1170" s="10" t="n"/>
      <c r="H1170" s="10" t="n"/>
      <c r="I1170" s="3" t="n"/>
      <c r="J1170" s="3">
        <f>IF(tblEjecucion[[#This Row],[orden]]="","",tblEjecucion[[#This Row],[orden]]&amp;IF(tblEjecucion[[#This Row],[operacion]]="","0010",tblEjecucion[[#This Row],[operacion]]))</f>
        <v/>
      </c>
    </row>
    <row r="1171">
      <c r="A1171" s="3" t="n"/>
      <c r="B1171" s="3" t="n"/>
      <c r="C1171" s="3" t="n"/>
      <c r="D1171" s="3" t="n"/>
      <c r="E1171" s="3" t="n"/>
      <c r="F1171" s="10" t="n"/>
      <c r="G1171" s="10" t="n"/>
      <c r="H1171" s="10" t="n"/>
      <c r="I1171" s="3" t="n"/>
      <c r="J1171" s="3">
        <f>IF(tblEjecucion[[#This Row],[orden]]="","",tblEjecucion[[#This Row],[orden]]&amp;IF(tblEjecucion[[#This Row],[operacion]]="","0010",tblEjecucion[[#This Row],[operacion]]))</f>
        <v/>
      </c>
    </row>
    <row r="1172">
      <c r="A1172" s="3" t="n"/>
      <c r="B1172" s="3" t="n"/>
      <c r="C1172" s="3" t="n"/>
      <c r="D1172" s="3" t="n"/>
      <c r="E1172" s="3" t="n"/>
      <c r="F1172" s="10" t="n"/>
      <c r="G1172" s="10" t="n"/>
      <c r="H1172" s="10" t="n"/>
      <c r="I1172" s="3" t="n"/>
      <c r="J1172" s="3">
        <f>IF(tblEjecucion[[#This Row],[orden]]="","",tblEjecucion[[#This Row],[orden]]&amp;IF(tblEjecucion[[#This Row],[operacion]]="","0010",tblEjecucion[[#This Row],[operacion]]))</f>
        <v/>
      </c>
    </row>
    <row r="1173">
      <c r="A1173" s="3" t="n"/>
      <c r="B1173" s="3" t="n"/>
      <c r="C1173" s="3" t="n"/>
      <c r="D1173" s="3" t="n"/>
      <c r="E1173" s="3" t="n"/>
      <c r="F1173" s="10" t="n"/>
      <c r="G1173" s="10" t="n"/>
      <c r="H1173" s="10" t="n"/>
      <c r="I1173" s="3" t="n"/>
      <c r="J1173" s="3">
        <f>IF(tblEjecucion[[#This Row],[orden]]="","",tblEjecucion[[#This Row],[orden]]&amp;IF(tblEjecucion[[#This Row],[operacion]]="","0010",tblEjecucion[[#This Row],[operacion]]))</f>
        <v/>
      </c>
    </row>
    <row r="1174">
      <c r="A1174" s="3" t="n"/>
      <c r="B1174" s="3" t="n"/>
      <c r="C1174" s="3" t="n"/>
      <c r="D1174" s="3" t="n"/>
      <c r="E1174" s="3" t="n"/>
      <c r="F1174" s="10" t="n"/>
      <c r="G1174" s="10" t="n"/>
      <c r="H1174" s="10" t="n"/>
      <c r="I1174" s="3" t="n"/>
      <c r="J1174" s="3">
        <f>IF(tblEjecucion[[#This Row],[orden]]="","",tblEjecucion[[#This Row],[orden]]&amp;IF(tblEjecucion[[#This Row],[operacion]]="","0010",tblEjecucion[[#This Row],[operacion]]))</f>
        <v/>
      </c>
    </row>
    <row r="1175">
      <c r="A1175" s="3" t="n"/>
      <c r="B1175" s="3" t="n"/>
      <c r="C1175" s="3" t="n"/>
      <c r="D1175" s="3" t="n"/>
      <c r="E1175" s="3" t="n"/>
      <c r="F1175" s="10" t="n"/>
      <c r="G1175" s="10" t="n"/>
      <c r="H1175" s="10" t="n"/>
      <c r="I1175" s="3" t="n"/>
      <c r="J1175" s="3">
        <f>IF(tblEjecucion[[#This Row],[orden]]="","",tblEjecucion[[#This Row],[orden]]&amp;IF(tblEjecucion[[#This Row],[operacion]]="","0010",tblEjecucion[[#This Row],[operacion]]))</f>
        <v/>
      </c>
    </row>
    <row r="1176">
      <c r="A1176" s="3" t="n"/>
      <c r="B1176" s="3" t="n"/>
      <c r="C1176" s="3" t="n"/>
      <c r="D1176" s="3" t="n"/>
      <c r="E1176" s="3" t="n"/>
      <c r="F1176" s="10" t="n"/>
      <c r="G1176" s="10" t="n"/>
      <c r="H1176" s="10" t="n"/>
      <c r="I1176" s="3" t="n"/>
      <c r="J1176" s="3">
        <f>IF(tblEjecucion[[#This Row],[orden]]="","",tblEjecucion[[#This Row],[orden]]&amp;IF(tblEjecucion[[#This Row],[operacion]]="","0010",tblEjecucion[[#This Row],[operacion]]))</f>
        <v/>
      </c>
    </row>
    <row r="1177">
      <c r="A1177" s="3" t="n"/>
      <c r="B1177" s="3" t="n"/>
      <c r="C1177" s="3" t="n"/>
      <c r="D1177" s="3" t="n"/>
      <c r="E1177" s="3" t="n"/>
      <c r="F1177" s="10" t="n"/>
      <c r="G1177" s="10" t="n"/>
      <c r="H1177" s="10" t="n"/>
      <c r="I1177" s="3" t="n"/>
      <c r="J1177" s="3">
        <f>IF(tblEjecucion[[#This Row],[orden]]="","",tblEjecucion[[#This Row],[orden]]&amp;IF(tblEjecucion[[#This Row],[operacion]]="","0010",tblEjecucion[[#This Row],[operacion]]))</f>
        <v/>
      </c>
    </row>
    <row r="1178">
      <c r="A1178" s="3" t="n"/>
      <c r="B1178" s="3" t="n"/>
      <c r="C1178" s="3" t="n"/>
      <c r="D1178" s="3" t="n"/>
      <c r="E1178" s="3" t="n"/>
      <c r="F1178" s="10" t="n"/>
      <c r="G1178" s="10" t="n"/>
      <c r="H1178" s="10" t="n"/>
      <c r="I1178" s="3" t="n"/>
      <c r="J1178" s="3">
        <f>IF(tblEjecucion[[#This Row],[orden]]="","",tblEjecucion[[#This Row],[orden]]&amp;IF(tblEjecucion[[#This Row],[operacion]]="","0010",tblEjecucion[[#This Row],[operacion]]))</f>
        <v/>
      </c>
    </row>
    <row r="1179">
      <c r="A1179" s="3" t="n"/>
      <c r="B1179" s="3" t="n"/>
      <c r="C1179" s="3" t="n"/>
      <c r="D1179" s="3" t="n"/>
      <c r="E1179" s="3" t="n"/>
      <c r="F1179" s="10" t="n"/>
      <c r="G1179" s="10" t="n"/>
      <c r="H1179" s="10" t="n"/>
      <c r="I1179" s="3" t="n"/>
      <c r="J1179" s="3">
        <f>IF(tblEjecucion[[#This Row],[orden]]="","",tblEjecucion[[#This Row],[orden]]&amp;IF(tblEjecucion[[#This Row],[operacion]]="","0010",tblEjecucion[[#This Row],[operacion]]))</f>
        <v/>
      </c>
    </row>
    <row r="1180">
      <c r="A1180" s="3" t="n"/>
      <c r="B1180" s="3" t="n"/>
      <c r="C1180" s="3" t="n"/>
      <c r="D1180" s="3" t="n"/>
      <c r="E1180" s="3" t="n"/>
      <c r="F1180" s="10" t="n"/>
      <c r="G1180" s="10" t="n"/>
      <c r="H1180" s="10" t="n"/>
      <c r="I1180" s="3" t="n"/>
      <c r="J1180" s="3">
        <f>IF(tblEjecucion[[#This Row],[orden]]="","",tblEjecucion[[#This Row],[orden]]&amp;IF(tblEjecucion[[#This Row],[operacion]]="","0010",tblEjecucion[[#This Row],[operacion]]))</f>
        <v/>
      </c>
    </row>
    <row r="1181">
      <c r="A1181" s="3" t="n"/>
      <c r="B1181" s="3" t="n"/>
      <c r="C1181" s="3" t="n"/>
      <c r="D1181" s="3" t="n"/>
      <c r="E1181" s="3" t="n"/>
      <c r="F1181" s="10" t="n"/>
      <c r="G1181" s="10" t="n"/>
      <c r="H1181" s="10" t="n"/>
      <c r="I1181" s="3" t="n"/>
      <c r="J1181" s="3">
        <f>IF(tblEjecucion[[#This Row],[orden]]="","",tblEjecucion[[#This Row],[orden]]&amp;IF(tblEjecucion[[#This Row],[operacion]]="","0010",tblEjecucion[[#This Row],[operacion]]))</f>
        <v/>
      </c>
    </row>
    <row r="1182">
      <c r="A1182" s="3" t="n"/>
      <c r="B1182" s="3" t="n"/>
      <c r="C1182" s="3" t="n"/>
      <c r="D1182" s="3" t="n"/>
      <c r="E1182" s="3" t="n"/>
      <c r="F1182" s="10" t="n"/>
      <c r="G1182" s="10" t="n"/>
      <c r="H1182" s="10" t="n"/>
      <c r="I1182" s="3" t="n"/>
      <c r="J1182" s="3">
        <f>IF(tblEjecucion[[#This Row],[orden]]="","",tblEjecucion[[#This Row],[orden]]&amp;IF(tblEjecucion[[#This Row],[operacion]]="","0010",tblEjecucion[[#This Row],[operacion]]))</f>
        <v/>
      </c>
    </row>
    <row r="1183">
      <c r="A1183" s="3" t="n"/>
      <c r="B1183" s="3" t="n"/>
      <c r="C1183" s="3" t="n"/>
      <c r="D1183" s="3" t="n"/>
      <c r="E1183" s="3" t="n"/>
      <c r="F1183" s="10" t="n"/>
      <c r="G1183" s="10" t="n"/>
      <c r="H1183" s="10" t="n"/>
      <c r="I1183" s="3" t="n"/>
      <c r="J1183" s="3">
        <f>IF(tblEjecucion[[#This Row],[orden]]="","",tblEjecucion[[#This Row],[orden]]&amp;IF(tblEjecucion[[#This Row],[operacion]]="","0010",tblEjecucion[[#This Row],[operacion]]))</f>
        <v/>
      </c>
    </row>
    <row r="1184">
      <c r="A1184" s="3" t="n"/>
      <c r="B1184" s="3" t="n"/>
      <c r="C1184" s="3" t="n"/>
      <c r="D1184" s="3" t="n"/>
      <c r="E1184" s="3" t="n"/>
      <c r="F1184" s="10" t="n"/>
      <c r="G1184" s="10" t="n"/>
      <c r="H1184" s="10" t="n"/>
      <c r="I1184" s="3" t="n"/>
      <c r="J1184" s="3">
        <f>IF(tblEjecucion[[#This Row],[orden]]="","",tblEjecucion[[#This Row],[orden]]&amp;IF(tblEjecucion[[#This Row],[operacion]]="","0010",tblEjecucion[[#This Row],[operacion]]))</f>
        <v/>
      </c>
    </row>
    <row r="1185">
      <c r="A1185" s="3" t="n"/>
      <c r="B1185" s="3" t="n"/>
      <c r="C1185" s="3" t="n"/>
      <c r="D1185" s="3" t="n"/>
      <c r="E1185" s="3" t="n"/>
      <c r="F1185" s="10" t="n"/>
      <c r="G1185" s="10" t="n"/>
      <c r="H1185" s="10" t="n"/>
      <c r="I1185" s="3" t="n"/>
      <c r="J1185" s="3">
        <f>IF(tblEjecucion[[#This Row],[orden]]="","",tblEjecucion[[#This Row],[orden]]&amp;IF(tblEjecucion[[#This Row],[operacion]]="","0010",tblEjecucion[[#This Row],[operacion]]))</f>
        <v/>
      </c>
    </row>
    <row r="1186">
      <c r="A1186" s="3" t="n"/>
      <c r="B1186" s="3" t="n"/>
      <c r="C1186" s="3" t="n"/>
      <c r="D1186" s="3" t="n"/>
      <c r="E1186" s="3" t="n"/>
      <c r="F1186" s="10" t="n"/>
      <c r="G1186" s="10" t="n"/>
      <c r="H1186" s="10" t="n"/>
      <c r="I1186" s="3" t="n"/>
      <c r="J1186" s="3">
        <f>IF(tblEjecucion[[#This Row],[orden]]="","",tblEjecucion[[#This Row],[orden]]&amp;IF(tblEjecucion[[#This Row],[operacion]]="","0010",tblEjecucion[[#This Row],[operacion]]))</f>
        <v/>
      </c>
    </row>
    <row r="1187">
      <c r="A1187" s="3" t="n"/>
      <c r="B1187" s="3" t="n"/>
      <c r="C1187" s="3" t="n"/>
      <c r="D1187" s="3" t="n"/>
      <c r="E1187" s="3" t="n"/>
      <c r="F1187" s="10" t="n"/>
      <c r="G1187" s="10" t="n"/>
      <c r="H1187" s="10" t="n"/>
      <c r="I1187" s="3" t="n"/>
      <c r="J1187" s="3">
        <f>IF(tblEjecucion[[#This Row],[orden]]="","",tblEjecucion[[#This Row],[orden]]&amp;IF(tblEjecucion[[#This Row],[operacion]]="","0010",tblEjecucion[[#This Row],[operacion]]))</f>
        <v/>
      </c>
    </row>
    <row r="1188">
      <c r="A1188" s="3" t="n"/>
      <c r="B1188" s="3" t="n"/>
      <c r="C1188" s="3" t="n"/>
      <c r="D1188" s="3" t="n"/>
      <c r="E1188" s="3" t="n"/>
      <c r="F1188" s="10" t="n"/>
      <c r="G1188" s="10" t="n"/>
      <c r="H1188" s="10" t="n"/>
      <c r="I1188" s="3" t="n"/>
      <c r="J1188" s="3">
        <f>IF(tblEjecucion[[#This Row],[orden]]="","",tblEjecucion[[#This Row],[orden]]&amp;IF(tblEjecucion[[#This Row],[operacion]]="","0010",tblEjecucion[[#This Row],[operacion]]))</f>
        <v/>
      </c>
    </row>
    <row r="1189">
      <c r="A1189" s="3" t="n"/>
      <c r="B1189" s="3" t="n"/>
      <c r="C1189" s="3" t="n"/>
      <c r="D1189" s="3" t="n"/>
      <c r="E1189" s="3" t="n"/>
      <c r="F1189" s="10" t="n"/>
      <c r="G1189" s="10" t="n"/>
      <c r="H1189" s="10" t="n"/>
      <c r="I1189" s="3" t="n"/>
      <c r="J1189" s="3">
        <f>IF(tblEjecucion[[#This Row],[orden]]="","",tblEjecucion[[#This Row],[orden]]&amp;IF(tblEjecucion[[#This Row],[operacion]]="","0010",tblEjecucion[[#This Row],[operacion]]))</f>
        <v/>
      </c>
    </row>
    <row r="1190">
      <c r="A1190" s="3" t="n"/>
      <c r="B1190" s="3" t="n"/>
      <c r="C1190" s="3" t="n"/>
      <c r="D1190" s="3" t="n"/>
      <c r="E1190" s="3" t="n"/>
      <c r="F1190" s="10" t="n"/>
      <c r="G1190" s="10" t="n"/>
      <c r="H1190" s="10" t="n"/>
      <c r="I1190" s="3" t="n"/>
      <c r="J1190" s="3">
        <f>IF(tblEjecucion[[#This Row],[orden]]="","",tblEjecucion[[#This Row],[orden]]&amp;IF(tblEjecucion[[#This Row],[operacion]]="","0010",tblEjecucion[[#This Row],[operacion]]))</f>
        <v/>
      </c>
    </row>
    <row r="1191">
      <c r="A1191" s="3" t="n"/>
      <c r="B1191" s="3" t="n"/>
      <c r="C1191" s="3" t="n"/>
      <c r="D1191" s="3" t="n"/>
      <c r="E1191" s="3" t="n"/>
      <c r="F1191" s="10" t="n"/>
      <c r="G1191" s="10" t="n"/>
      <c r="H1191" s="10" t="n"/>
      <c r="I1191" s="3" t="n"/>
      <c r="J1191" s="3">
        <f>IF(tblEjecucion[[#This Row],[orden]]="","",tblEjecucion[[#This Row],[orden]]&amp;IF(tblEjecucion[[#This Row],[operacion]]="","0010",tblEjecucion[[#This Row],[operacion]]))</f>
        <v/>
      </c>
    </row>
    <row r="1192">
      <c r="A1192" s="3" t="n"/>
      <c r="B1192" s="3" t="n"/>
      <c r="C1192" s="3" t="n"/>
      <c r="D1192" s="3" t="n"/>
      <c r="E1192" s="3" t="n"/>
      <c r="F1192" s="10" t="n"/>
      <c r="G1192" s="10" t="n"/>
      <c r="H1192" s="10" t="n"/>
      <c r="I1192" s="3" t="n"/>
      <c r="J1192" s="3">
        <f>IF(tblEjecucion[[#This Row],[orden]]="","",tblEjecucion[[#This Row],[orden]]&amp;IF(tblEjecucion[[#This Row],[operacion]]="","0010",tblEjecucion[[#This Row],[operacion]]))</f>
        <v/>
      </c>
    </row>
    <row r="1193">
      <c r="A1193" s="3" t="n"/>
      <c r="B1193" s="3" t="n"/>
      <c r="C1193" s="3" t="n"/>
      <c r="D1193" s="3" t="n"/>
      <c r="E1193" s="3" t="n"/>
      <c r="F1193" s="10" t="n"/>
      <c r="G1193" s="10" t="n"/>
      <c r="H1193" s="10" t="n"/>
      <c r="I1193" s="3" t="n"/>
      <c r="J1193" s="3">
        <f>IF(tblEjecucion[[#This Row],[orden]]="","",tblEjecucion[[#This Row],[orden]]&amp;IF(tblEjecucion[[#This Row],[operacion]]="","0010",tblEjecucion[[#This Row],[operacion]]))</f>
        <v/>
      </c>
    </row>
    <row r="1194">
      <c r="A1194" s="3" t="n"/>
      <c r="B1194" s="3" t="n"/>
      <c r="C1194" s="3" t="n"/>
      <c r="D1194" s="3" t="n"/>
      <c r="E1194" s="3" t="n"/>
      <c r="F1194" s="10" t="n"/>
      <c r="G1194" s="10" t="n"/>
      <c r="H1194" s="10" t="n"/>
      <c r="I1194" s="3" t="n"/>
      <c r="J1194" s="3">
        <f>IF(tblEjecucion[[#This Row],[orden]]="","",tblEjecucion[[#This Row],[orden]]&amp;IF(tblEjecucion[[#This Row],[operacion]]="","0010",tblEjecucion[[#This Row],[operacion]]))</f>
        <v/>
      </c>
    </row>
    <row r="1195">
      <c r="A1195" s="3" t="n"/>
      <c r="B1195" s="3" t="n"/>
      <c r="C1195" s="3" t="n"/>
      <c r="D1195" s="3" t="n"/>
      <c r="E1195" s="3" t="n"/>
      <c r="F1195" s="10" t="n"/>
      <c r="G1195" s="10" t="n"/>
      <c r="H1195" s="10" t="n"/>
      <c r="I1195" s="3" t="n"/>
      <c r="J1195" s="3">
        <f>IF(tblEjecucion[[#This Row],[orden]]="","",tblEjecucion[[#This Row],[orden]]&amp;IF(tblEjecucion[[#This Row],[operacion]]="","0010",tblEjecucion[[#This Row],[operacion]]))</f>
        <v/>
      </c>
    </row>
    <row r="1196">
      <c r="A1196" s="3" t="n"/>
      <c r="B1196" s="3" t="n"/>
      <c r="C1196" s="3" t="n"/>
      <c r="D1196" s="3" t="n"/>
      <c r="E1196" s="3" t="n"/>
      <c r="F1196" s="10" t="n"/>
      <c r="G1196" s="10" t="n"/>
      <c r="H1196" s="10" t="n"/>
      <c r="I1196" s="3" t="n"/>
      <c r="J1196" s="3">
        <f>IF(tblEjecucion[[#This Row],[orden]]="","",tblEjecucion[[#This Row],[orden]]&amp;IF(tblEjecucion[[#This Row],[operacion]]="","0010",tblEjecucion[[#This Row],[operacion]]))</f>
        <v/>
      </c>
    </row>
    <row r="1197">
      <c r="A1197" s="3" t="n"/>
      <c r="B1197" s="3" t="n"/>
      <c r="C1197" s="3" t="n"/>
      <c r="D1197" s="3" t="n"/>
      <c r="E1197" s="3" t="n"/>
      <c r="F1197" s="10" t="n"/>
      <c r="G1197" s="10" t="n"/>
      <c r="H1197" s="10" t="n"/>
      <c r="I1197" s="3" t="n"/>
      <c r="J1197" s="3">
        <f>IF(tblEjecucion[[#This Row],[orden]]="","",tblEjecucion[[#This Row],[orden]]&amp;IF(tblEjecucion[[#This Row],[operacion]]="","0010",tblEjecucion[[#This Row],[operacion]]))</f>
        <v/>
      </c>
    </row>
    <row r="1198">
      <c r="A1198" s="3" t="n"/>
      <c r="B1198" s="3" t="n"/>
      <c r="C1198" s="3" t="n"/>
      <c r="D1198" s="3" t="n"/>
      <c r="E1198" s="3" t="n"/>
      <c r="F1198" s="10" t="n"/>
      <c r="G1198" s="10" t="n"/>
      <c r="H1198" s="10" t="n"/>
      <c r="I1198" s="3" t="n"/>
      <c r="J1198" s="3">
        <f>IF(tblEjecucion[[#This Row],[orden]]="","",tblEjecucion[[#This Row],[orden]]&amp;IF(tblEjecucion[[#This Row],[operacion]]="","0010",tblEjecucion[[#This Row],[operacion]]))</f>
        <v/>
      </c>
    </row>
    <row r="1199">
      <c r="A1199" s="3" t="n"/>
      <c r="B1199" s="3" t="n"/>
      <c r="C1199" s="3" t="n"/>
      <c r="D1199" s="3" t="n"/>
      <c r="E1199" s="3" t="n"/>
      <c r="F1199" s="10" t="n"/>
      <c r="G1199" s="10" t="n"/>
      <c r="H1199" s="10" t="n"/>
      <c r="I1199" s="3" t="n"/>
      <c r="J1199" s="3">
        <f>IF(tblEjecucion[[#This Row],[orden]]="","",tblEjecucion[[#This Row],[orden]]&amp;IF(tblEjecucion[[#This Row],[operacion]]="","0010",tblEjecucion[[#This Row],[operacion]]))</f>
        <v/>
      </c>
    </row>
    <row r="1200">
      <c r="A1200" s="3" t="n"/>
      <c r="B1200" s="3" t="n"/>
      <c r="C1200" s="3" t="n"/>
      <c r="D1200" s="3" t="n"/>
      <c r="E1200" s="3" t="n"/>
      <c r="F1200" s="10" t="n"/>
      <c r="G1200" s="10" t="n"/>
      <c r="H1200" s="10" t="n"/>
      <c r="I1200" s="3" t="n"/>
      <c r="J1200" s="3">
        <f>IF(tblEjecucion[[#This Row],[orden]]="","",tblEjecucion[[#This Row],[orden]]&amp;IF(tblEjecucion[[#This Row],[operacion]]="","0010",tblEjecucion[[#This Row],[operacion]]))</f>
        <v/>
      </c>
    </row>
    <row r="1201">
      <c r="A1201" s="3" t="n"/>
      <c r="B1201" s="3" t="n"/>
      <c r="C1201" s="3" t="n"/>
      <c r="D1201" s="3" t="n"/>
      <c r="E1201" s="3" t="n"/>
      <c r="F1201" s="10" t="n"/>
      <c r="G1201" s="10" t="n"/>
      <c r="H1201" s="10" t="n"/>
      <c r="I1201" s="3" t="n"/>
      <c r="J1201" s="3">
        <f>IF(tblEjecucion[[#This Row],[orden]]="","",tblEjecucion[[#This Row],[orden]]&amp;IF(tblEjecucion[[#This Row],[operacion]]="","0010",tblEjecucion[[#This Row],[operacion]]))</f>
        <v/>
      </c>
    </row>
    <row r="1202">
      <c r="A1202" s="3" t="n"/>
      <c r="B1202" s="3" t="n"/>
      <c r="C1202" s="3" t="n"/>
      <c r="D1202" s="3" t="n"/>
      <c r="E1202" s="3" t="n"/>
      <c r="F1202" s="10" t="n"/>
      <c r="G1202" s="10" t="n"/>
      <c r="H1202" s="10" t="n"/>
      <c r="I1202" s="3" t="n"/>
      <c r="J1202" s="3">
        <f>IF(tblEjecucion[[#This Row],[orden]]="","",tblEjecucion[[#This Row],[orden]]&amp;IF(tblEjecucion[[#This Row],[operacion]]="","0010",tblEjecucion[[#This Row],[operacion]]))</f>
        <v/>
      </c>
    </row>
    <row r="1203">
      <c r="A1203" s="3" t="n"/>
      <c r="B1203" s="3" t="n"/>
      <c r="C1203" s="3" t="n"/>
      <c r="D1203" s="3" t="n"/>
      <c r="E1203" s="3" t="n"/>
      <c r="F1203" s="10" t="n"/>
      <c r="G1203" s="10" t="n"/>
      <c r="H1203" s="10" t="n"/>
      <c r="I1203" s="3" t="n"/>
      <c r="J1203" s="3">
        <f>IF(tblEjecucion[[#This Row],[orden]]="","",tblEjecucion[[#This Row],[orden]]&amp;IF(tblEjecucion[[#This Row],[operacion]]="","0010",tblEjecucion[[#This Row],[operacion]]))</f>
        <v/>
      </c>
    </row>
    <row r="1204">
      <c r="A1204" s="3" t="n"/>
      <c r="B1204" s="3" t="n"/>
      <c r="C1204" s="3" t="n"/>
      <c r="D1204" s="3" t="n"/>
      <c r="E1204" s="3" t="n"/>
      <c r="F1204" s="10" t="n"/>
      <c r="G1204" s="10" t="n"/>
      <c r="H1204" s="10" t="n"/>
      <c r="I1204" s="3" t="n"/>
      <c r="J1204" s="3">
        <f>IF(tblEjecucion[[#This Row],[orden]]="","",tblEjecucion[[#This Row],[orden]]&amp;IF(tblEjecucion[[#This Row],[operacion]]="","0010",tblEjecucion[[#This Row],[operacion]]))</f>
        <v/>
      </c>
    </row>
    <row r="1205">
      <c r="A1205" s="3" t="n"/>
      <c r="B1205" s="3" t="n"/>
      <c r="C1205" s="3" t="n"/>
      <c r="D1205" s="3" t="n"/>
      <c r="E1205" s="3" t="n"/>
      <c r="F1205" s="10" t="n"/>
      <c r="G1205" s="10" t="n"/>
      <c r="H1205" s="10" t="n"/>
      <c r="I1205" s="3" t="n"/>
      <c r="J1205" s="3">
        <f>IF(tblEjecucion[[#This Row],[orden]]="","",tblEjecucion[[#This Row],[orden]]&amp;IF(tblEjecucion[[#This Row],[operacion]]="","0010",tblEjecucion[[#This Row],[operacion]]))</f>
        <v/>
      </c>
    </row>
    <row r="1206">
      <c r="A1206" s="3" t="n"/>
      <c r="B1206" s="3" t="n"/>
      <c r="C1206" s="3" t="n"/>
      <c r="D1206" s="3" t="n"/>
      <c r="E1206" s="3" t="n"/>
      <c r="F1206" s="10" t="n"/>
      <c r="G1206" s="10" t="n"/>
      <c r="H1206" s="10" t="n"/>
      <c r="I1206" s="3" t="n"/>
      <c r="J1206" s="3">
        <f>IF(tblEjecucion[[#This Row],[orden]]="","",tblEjecucion[[#This Row],[orden]]&amp;IF(tblEjecucion[[#This Row],[operacion]]="","0010",tblEjecucion[[#This Row],[operacion]]))</f>
        <v/>
      </c>
    </row>
    <row r="1207">
      <c r="A1207" s="3" t="n"/>
      <c r="B1207" s="3" t="n"/>
      <c r="C1207" s="3" t="n"/>
      <c r="D1207" s="3" t="n"/>
      <c r="E1207" s="3" t="n"/>
      <c r="F1207" s="10" t="n"/>
      <c r="G1207" s="10" t="n"/>
      <c r="H1207" s="10" t="n"/>
      <c r="I1207" s="3" t="n"/>
      <c r="J1207" s="3">
        <f>IF(tblEjecucion[[#This Row],[orden]]="","",tblEjecucion[[#This Row],[orden]]&amp;IF(tblEjecucion[[#This Row],[operacion]]="","0010",tblEjecucion[[#This Row],[operacion]]))</f>
        <v/>
      </c>
    </row>
    <row r="1208">
      <c r="A1208" s="3" t="n"/>
      <c r="B1208" s="3" t="n"/>
      <c r="C1208" s="3" t="n"/>
      <c r="D1208" s="3" t="n"/>
      <c r="E1208" s="3" t="n"/>
      <c r="F1208" s="10" t="n"/>
      <c r="G1208" s="10" t="n"/>
      <c r="H1208" s="10" t="n"/>
      <c r="I1208" s="3" t="n"/>
      <c r="J1208" s="3">
        <f>IF(tblEjecucion[[#This Row],[orden]]="","",tblEjecucion[[#This Row],[orden]]&amp;IF(tblEjecucion[[#This Row],[operacion]]="","0010",tblEjecucion[[#This Row],[operacion]]))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AO12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12" customWidth="1" min="28" max="28"/>
    <col width="14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5" customWidth="1" min="41" max="41"/>
  </cols>
  <sheetData>
    <row r="1">
      <c r="A1" s="4" t="inlineStr">
        <is>
          <t>ORDENES — tabla madre (tblOrdenes). Azul = editable; el resto se calcula solo.</t>
        </is>
      </c>
    </row>
    <row r="3">
      <c r="A3" s="5" t="inlineStr">
        <is>
          <t>orden</t>
        </is>
      </c>
      <c r="B3" s="5" t="inlineStr">
        <is>
          <t>operacion</t>
        </is>
      </c>
      <c r="C3" s="5" t="inlineStr">
        <is>
          <t>descripcion_general</t>
        </is>
      </c>
      <c r="D3" s="5" t="inlineStr">
        <is>
          <t>descripcion_operacion</t>
        </is>
      </c>
      <c r="E3" s="5" t="inlineStr">
        <is>
          <t>equipo</t>
        </is>
      </c>
      <c r="F3" s="5" t="inlineStr">
        <is>
          <t>centro_costo</t>
        </is>
      </c>
      <c r="G3" s="5" t="inlineStr">
        <is>
          <t>puesto_trabajo</t>
        </is>
      </c>
      <c r="H3" s="5" t="inlineStr">
        <is>
          <t>cod_actividad</t>
        </is>
      </c>
      <c r="I3" s="5" t="inlineStr">
        <is>
          <t>tipo_ot</t>
        </is>
      </c>
      <c r="J3" s="5" t="inlineStr">
        <is>
          <t>fecha_inicio</t>
        </is>
      </c>
      <c r="K3" s="5" t="inlineStr">
        <is>
          <t>horas_estimadas</t>
        </is>
      </c>
      <c r="L3" s="5" t="inlineStr">
        <is>
          <t>costo_plan</t>
        </is>
      </c>
      <c r="M3" s="5" t="inlineStr">
        <is>
          <t>horas_ajustadas</t>
        </is>
      </c>
      <c r="N3" s="5" t="inlineStr">
        <is>
          <t>horas_efectivas</t>
        </is>
      </c>
      <c r="O3" s="5" t="inlineStr">
        <is>
          <t>estado</t>
        </is>
      </c>
      <c r="P3" s="5" t="inlineStr">
        <is>
          <t>semana</t>
        </is>
      </c>
      <c r="Q3" s="5" t="inlineStr">
        <is>
          <t>anio</t>
        </is>
      </c>
      <c r="R3" s="5" t="inlineStr">
        <is>
          <t>mes</t>
        </is>
      </c>
      <c r="S3" s="5" t="inlineStr">
        <is>
          <t>dia_semana</t>
        </is>
      </c>
      <c r="T3" s="5" t="inlineStr">
        <is>
          <t>clasificacion</t>
        </is>
      </c>
      <c r="U3" s="5" t="inlineStr">
        <is>
          <t>linea</t>
        </is>
      </c>
      <c r="V3" s="5" t="inlineStr">
        <is>
          <t>area</t>
        </is>
      </c>
      <c r="W3" s="5" t="inlineStr">
        <is>
          <t>coordinador</t>
        </is>
      </c>
      <c r="X3" s="5" t="inlineStr">
        <is>
          <t>especialidad</t>
        </is>
      </c>
      <c r="Y3" s="5" t="inlineStr">
        <is>
          <t>actividad</t>
        </is>
      </c>
      <c r="Z3" s="5" t="inlineStr">
        <is>
          <t>backlog_dias</t>
        </is>
      </c>
      <c r="AA3" s="5" t="inlineStr">
        <is>
          <t>estado_backlog</t>
        </is>
      </c>
      <c r="AB3" s="5" t="inlineStr">
        <is>
          <t>en_plan</t>
        </is>
      </c>
      <c r="AC3" s="5" t="inlineStr">
        <is>
          <t>tecnico_asignado</t>
        </is>
      </c>
      <c r="AD3" s="5" t="inlineStr">
        <is>
          <t>turno_asignado</t>
        </is>
      </c>
      <c r="AE3" s="5" t="inlineStr">
        <is>
          <t>HHA</t>
        </is>
      </c>
      <c r="AF3" s="5" t="inlineStr">
        <is>
          <t>HHD</t>
        </is>
      </c>
      <c r="AG3" s="5" t="inlineStr">
        <is>
          <t>costo_servicio</t>
        </is>
      </c>
      <c r="AH3" s="5" t="inlineStr">
        <is>
          <t>costo_materiales</t>
        </is>
      </c>
      <c r="AI3" s="5" t="inlineStr">
        <is>
          <t>costo_total</t>
        </is>
      </c>
      <c r="AJ3" s="5" t="inlineStr">
        <is>
          <t>permiso_requerido</t>
        </is>
      </c>
      <c r="AK3" s="5" t="inlineStr">
        <is>
          <t>bloqueo_energia</t>
        </is>
      </c>
      <c r="AL3" s="5" t="inlineStr">
        <is>
          <t>link_checklist</t>
        </is>
      </c>
      <c r="AM3" s="5" t="inlineStr">
        <is>
          <t>abrir_checklist</t>
        </is>
      </c>
      <c r="AN3" s="5" t="inlineStr">
        <is>
          <t>observaciones</t>
        </is>
      </c>
      <c r="AO3" s="5" t="inlineStr">
        <is>
          <t>id_operacion</t>
        </is>
      </c>
    </row>
    <row r="4">
      <c r="A4" s="3" t="inlineStr">
        <is>
          <t>OT-000001</t>
        </is>
      </c>
      <c r="B4" s="3" t="inlineStr">
        <is>
          <t>0010</t>
        </is>
      </c>
      <c r="C4" s="3" t="inlineStr">
        <is>
          <t>Lubricación programada — EQ-102</t>
        </is>
      </c>
      <c r="D4" s="3" t="inlineStr">
        <is>
          <t>Lubricación programada en EQ-102</t>
        </is>
      </c>
      <c r="E4" s="3" t="inlineStr">
        <is>
          <t>EQ-102</t>
        </is>
      </c>
      <c r="F4" s="3" t="inlineStr">
        <is>
          <t>CC-110</t>
        </is>
      </c>
      <c r="G4" s="3" t="inlineStr">
        <is>
          <t>PU-MEC</t>
        </is>
      </c>
      <c r="H4" s="3" t="inlineStr">
        <is>
          <t>ACT-02</t>
        </is>
      </c>
      <c r="I4" s="3" t="inlineStr">
        <is>
          <t>TIPO-P2</t>
        </is>
      </c>
      <c r="J4" s="11" t="n">
        <v>46216</v>
      </c>
      <c r="K4" s="3" t="n">
        <v>10</v>
      </c>
      <c r="L4" s="10" t="n">
        <v>250</v>
      </c>
      <c r="M4" s="6" t="n"/>
      <c r="N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" s="3">
        <f>IF(tblOrdenes[[#This Row],[fecha_inicio]]="","",YEAR(tblOrdenes[[#This Row],[fecha_inicio]]))</f>
        <v/>
      </c>
      <c r="R4" s="3">
        <f>IF(tblOrdenes[[#This Row],[fecha_inicio]]="","",MONTH(tblOrdenes[[#This Row],[fecha_inicio]]))</f>
        <v/>
      </c>
      <c r="S4" s="3">
        <f>IF(tblOrdenes[[#This Row],[fecha_inicio]]="","",INDEX(lista_dias,WEEKDAY(tblOrdenes[[#This Row],[fecha_inicio]],2)))</f>
        <v/>
      </c>
      <c r="T4" s="3">
        <f>IF(tblOrdenes[[#This Row],[tipo_ot]]="","",_xlfn.XLOOKUP(tblOrdenes[[#This Row],[tipo_ot]],tblTiposOT[codigo],tblTiposOT[clasificacion],"sin_clasificar"))</f>
        <v/>
      </c>
      <c r="U4" s="3">
        <f>IF(tblOrdenes[[#This Row],[centro_costo]]="","",_xlfn.XLOOKUP(tblOrdenes[[#This Row],[centro_costo]],tblCECO[codigo],tblCECO[linea],"(sin catálogo)"))</f>
        <v/>
      </c>
      <c r="V4" s="3">
        <f>IF(tblOrdenes[[#This Row],[centro_costo]]="","",_xlfn.XLOOKUP(tblOrdenes[[#This Row],[centro_costo]],tblCECO[codigo],tblCECO[area],"(sin catálogo)"))</f>
        <v/>
      </c>
      <c r="W4" s="3">
        <f>IF(tblOrdenes[[#This Row],[centro_costo]]="","",_xlfn.XLOOKUP(tblOrdenes[[#This Row],[centro_costo]],tblCECO[codigo],tblCECO[coordinador],"(sin catálogo)"))</f>
        <v/>
      </c>
      <c r="X4" s="3">
        <f>IF(tblOrdenes[[#This Row],[puesto_trabajo]]="","",_xlfn.XLOOKUP(tblOrdenes[[#This Row],[puesto_trabajo]],tblPuestos[codigo],tblPuestos[especialidad],"(sin catálogo)"))</f>
        <v/>
      </c>
      <c r="Y4" s="3">
        <f>IF(tblOrdenes[[#This Row],[cod_actividad]]="","",_xlfn.XLOOKUP(tblOrdenes[[#This Row],[cod_actividad]],tblActividades[codigo],tblActividades[descripcion],"(sin catálogo)"))</f>
        <v/>
      </c>
      <c r="Z4" s="12">
        <f>IF(tblOrdenes[[#This Row],[fecha_inicio]]="","",TODAY()-tblOrdenes[[#This Row],[fecha_inicio]])</f>
        <v/>
      </c>
      <c r="AA4" s="3">
        <f>IF(tblOrdenes[[#This Row],[backlog_dias]]="","",IF(tblOrdenes[[#This Row],[backlog_dias]]&lt;0,"FUTURO",IF(tblOrdenes[[#This Row],[backlog_dias]]&gt;p_dias_backlog_max,"BACKLOG","MES CORRIENTE")))</f>
        <v/>
      </c>
      <c r="AB4" s="3">
        <f>IF(tblOrdenes[[#This Row],[backlog_dias]]="",FALSE,AND(tblOrdenes[[#This Row],[backlog_dias]]&gt;p_dias_backlog_min,tblOrdenes[[#This Row],[backlog_dias]]&lt;=p_dias_backlog_max))</f>
        <v/>
      </c>
      <c r="AC4" s="6" t="inlineStr">
        <is>
          <t>Técnico 01</t>
        </is>
      </c>
      <c r="AD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" s="10">
        <f>IF(tblOrdenes[[#This Row],[orden]]="","",_xlfn.XLOOKUP(tblOrdenes[[#This Row],[id_operacion]],tblEjecucion[id_operacion],tblEjecucion[precio],0))</f>
        <v/>
      </c>
      <c r="AH4" s="10">
        <f>IF(tblOrdenes[[#This Row],[orden]]="","",MAX(0,_xlfn.XLOOKUP(tblOrdenes[[#This Row],[id_operacion]],tblEjecucion[id_operacion],tblEjecucion[costo_plan_total],0)-tblOrdenes[[#This Row],[costo_servicio]]))</f>
        <v/>
      </c>
      <c r="AI4" s="10">
        <f>IF(tblOrdenes[[#This Row],[orden]]="","",tblOrdenes[[#This Row],[costo_servicio]]+tblOrdenes[[#This Row],[costo_materiales]])</f>
        <v/>
      </c>
      <c r="AJ4" s="6" t="inlineStr"/>
      <c r="AK4" s="6" t="inlineStr"/>
      <c r="AL4" s="6" t="inlineStr">
        <is>
          <t>ACT-02.pdf</t>
        </is>
      </c>
      <c r="AM4" s="3">
        <f>IF(tblOrdenes[[#This Row],[link_checklist]]="","",HYPERLINK(p_ruta_base_checklists&amp;tblOrdenes[[#This Row],[link_checklist]],"abrir"))</f>
        <v/>
      </c>
      <c r="AN4" s="6" t="inlineStr"/>
      <c r="AO4" s="3">
        <f>IF(tblOrdenes[[#This Row],[orden]]="","",tblOrdenes[[#This Row],[orden]]&amp;IF(tblOrdenes[[#This Row],[operacion]]="","0010",tblOrdenes[[#This Row],[operacion]]))</f>
        <v/>
      </c>
    </row>
    <row r="5">
      <c r="A5" s="3" t="inlineStr">
        <is>
          <t>OT-000002</t>
        </is>
      </c>
      <c r="B5" s="3" t="inlineStr">
        <is>
          <t>0010</t>
        </is>
      </c>
      <c r="C5" s="3" t="inlineStr">
        <is>
          <t>Análisis predictivo — EQ-108</t>
        </is>
      </c>
      <c r="D5" s="3" t="inlineStr">
        <is>
          <t>Análisis predictivo en EQ-108</t>
        </is>
      </c>
      <c r="E5" s="3" t="inlineStr">
        <is>
          <t>EQ-108</t>
        </is>
      </c>
      <c r="F5" s="3" t="inlineStr">
        <is>
          <t>CC-210</t>
        </is>
      </c>
      <c r="G5" s="3" t="inlineStr">
        <is>
          <t>PU-MEC</t>
        </is>
      </c>
      <c r="H5" s="3" t="inlineStr">
        <is>
          <t>ACT-04</t>
        </is>
      </c>
      <c r="I5" s="3" t="inlineStr">
        <is>
          <t>TIPO-P1</t>
        </is>
      </c>
      <c r="J5" s="11" t="n">
        <v>46217</v>
      </c>
      <c r="K5" s="3" t="n">
        <v>8</v>
      </c>
      <c r="L5" s="10" t="n">
        <v>200</v>
      </c>
      <c r="M5" s="6" t="n"/>
      <c r="N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" s="3">
        <f>IF(tblOrdenes[[#This Row],[fecha_inicio]]="","",YEAR(tblOrdenes[[#This Row],[fecha_inicio]]))</f>
        <v/>
      </c>
      <c r="R5" s="3">
        <f>IF(tblOrdenes[[#This Row],[fecha_inicio]]="","",MONTH(tblOrdenes[[#This Row],[fecha_inicio]]))</f>
        <v/>
      </c>
      <c r="S5" s="3">
        <f>IF(tblOrdenes[[#This Row],[fecha_inicio]]="","",INDEX(lista_dias,WEEKDAY(tblOrdenes[[#This Row],[fecha_inicio]],2)))</f>
        <v/>
      </c>
      <c r="T5" s="3">
        <f>IF(tblOrdenes[[#This Row],[tipo_ot]]="","",_xlfn.XLOOKUP(tblOrdenes[[#This Row],[tipo_ot]],tblTiposOT[codigo],tblTiposOT[clasificacion],"sin_clasificar"))</f>
        <v/>
      </c>
      <c r="U5" s="3">
        <f>IF(tblOrdenes[[#This Row],[centro_costo]]="","",_xlfn.XLOOKUP(tblOrdenes[[#This Row],[centro_costo]],tblCECO[codigo],tblCECO[linea],"(sin catálogo)"))</f>
        <v/>
      </c>
      <c r="V5" s="3">
        <f>IF(tblOrdenes[[#This Row],[centro_costo]]="","",_xlfn.XLOOKUP(tblOrdenes[[#This Row],[centro_costo]],tblCECO[codigo],tblCECO[area],"(sin catálogo)"))</f>
        <v/>
      </c>
      <c r="W5" s="3">
        <f>IF(tblOrdenes[[#This Row],[centro_costo]]="","",_xlfn.XLOOKUP(tblOrdenes[[#This Row],[centro_costo]],tblCECO[codigo],tblCECO[coordinador],"(sin catálogo)"))</f>
        <v/>
      </c>
      <c r="X5" s="3">
        <f>IF(tblOrdenes[[#This Row],[puesto_trabajo]]="","",_xlfn.XLOOKUP(tblOrdenes[[#This Row],[puesto_trabajo]],tblPuestos[codigo],tblPuestos[especialidad],"(sin catálogo)"))</f>
        <v/>
      </c>
      <c r="Y5" s="3">
        <f>IF(tblOrdenes[[#This Row],[cod_actividad]]="","",_xlfn.XLOOKUP(tblOrdenes[[#This Row],[cod_actividad]],tblActividades[codigo],tblActividades[descripcion],"(sin catálogo)"))</f>
        <v/>
      </c>
      <c r="Z5" s="12">
        <f>IF(tblOrdenes[[#This Row],[fecha_inicio]]="","",TODAY()-tblOrdenes[[#This Row],[fecha_inicio]])</f>
        <v/>
      </c>
      <c r="AA5" s="3">
        <f>IF(tblOrdenes[[#This Row],[backlog_dias]]="","",IF(tblOrdenes[[#This Row],[backlog_dias]]&lt;0,"FUTURO",IF(tblOrdenes[[#This Row],[backlog_dias]]&gt;p_dias_backlog_max,"BACKLOG","MES CORRIENTE")))</f>
        <v/>
      </c>
      <c r="AB5" s="3">
        <f>IF(tblOrdenes[[#This Row],[backlog_dias]]="",FALSE,AND(tblOrdenes[[#This Row],[backlog_dias]]&gt;p_dias_backlog_min,tblOrdenes[[#This Row],[backlog_dias]]&lt;=p_dias_backlog_max))</f>
        <v/>
      </c>
      <c r="AC5" s="6" t="inlineStr">
        <is>
          <t>Técnico 02</t>
        </is>
      </c>
      <c r="AD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" s="10">
        <f>IF(tblOrdenes[[#This Row],[orden]]="","",_xlfn.XLOOKUP(tblOrdenes[[#This Row],[id_operacion]],tblEjecucion[id_operacion],tblEjecucion[precio],0))</f>
        <v/>
      </c>
      <c r="AH5" s="10">
        <f>IF(tblOrdenes[[#This Row],[orden]]="","",MAX(0,_xlfn.XLOOKUP(tblOrdenes[[#This Row],[id_operacion]],tblEjecucion[id_operacion],tblEjecucion[costo_plan_total],0)-tblOrdenes[[#This Row],[costo_servicio]]))</f>
        <v/>
      </c>
      <c r="AI5" s="10">
        <f>IF(tblOrdenes[[#This Row],[orden]]="","",tblOrdenes[[#This Row],[costo_servicio]]+tblOrdenes[[#This Row],[costo_materiales]])</f>
        <v/>
      </c>
      <c r="AJ5" s="6" t="inlineStr"/>
      <c r="AK5" s="6" t="inlineStr"/>
      <c r="AL5" s="6" t="inlineStr">
        <is>
          <t>ACT-04.pdf</t>
        </is>
      </c>
      <c r="AM5" s="3">
        <f>IF(tblOrdenes[[#This Row],[link_checklist]]="","",HYPERLINK(p_ruta_base_checklists&amp;tblOrdenes[[#This Row],[link_checklist]],"abrir"))</f>
        <v/>
      </c>
      <c r="AN5" s="6" t="inlineStr"/>
      <c r="AO5" s="3">
        <f>IF(tblOrdenes[[#This Row],[orden]]="","",tblOrdenes[[#This Row],[orden]]&amp;IF(tblOrdenes[[#This Row],[operacion]]="","0010",tblOrdenes[[#This Row],[operacion]]))</f>
        <v/>
      </c>
    </row>
    <row r="6">
      <c r="A6" s="3" t="inlineStr">
        <is>
          <t>OT-000003</t>
        </is>
      </c>
      <c r="B6" s="3" t="inlineStr">
        <is>
          <t>0010</t>
        </is>
      </c>
      <c r="C6" s="3" t="inlineStr">
        <is>
          <t>Inspección de rutina — EQ-110</t>
        </is>
      </c>
      <c r="D6" s="3" t="inlineStr">
        <is>
          <t>Inspección de rutina en EQ-110</t>
        </is>
      </c>
      <c r="E6" s="3" t="inlineStr">
        <is>
          <t>EQ-110</t>
        </is>
      </c>
      <c r="F6" s="3" t="inlineStr">
        <is>
          <t>CC-310</t>
        </is>
      </c>
      <c r="G6" s="3" t="inlineStr">
        <is>
          <t>PU-MEC</t>
        </is>
      </c>
      <c r="H6" s="3" t="inlineStr">
        <is>
          <t>ACT-01</t>
        </is>
      </c>
      <c r="I6" s="3" t="inlineStr">
        <is>
          <t>TIPO-P2</t>
        </is>
      </c>
      <c r="J6" s="11" t="n">
        <v>46218</v>
      </c>
      <c r="K6" s="3" t="n">
        <v>6</v>
      </c>
      <c r="L6" s="10" t="n">
        <v>150</v>
      </c>
      <c r="M6" s="6" t="n"/>
      <c r="N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" s="3">
        <f>IF(tblOrdenes[[#This Row],[fecha_inicio]]="","",YEAR(tblOrdenes[[#This Row],[fecha_inicio]]))</f>
        <v/>
      </c>
      <c r="R6" s="3">
        <f>IF(tblOrdenes[[#This Row],[fecha_inicio]]="","",MONTH(tblOrdenes[[#This Row],[fecha_inicio]]))</f>
        <v/>
      </c>
      <c r="S6" s="3">
        <f>IF(tblOrdenes[[#This Row],[fecha_inicio]]="","",INDEX(lista_dias,WEEKDAY(tblOrdenes[[#This Row],[fecha_inicio]],2)))</f>
        <v/>
      </c>
      <c r="T6" s="3">
        <f>IF(tblOrdenes[[#This Row],[tipo_ot]]="","",_xlfn.XLOOKUP(tblOrdenes[[#This Row],[tipo_ot]],tblTiposOT[codigo],tblTiposOT[clasificacion],"sin_clasificar"))</f>
        <v/>
      </c>
      <c r="U6" s="3">
        <f>IF(tblOrdenes[[#This Row],[centro_costo]]="","",_xlfn.XLOOKUP(tblOrdenes[[#This Row],[centro_costo]],tblCECO[codigo],tblCECO[linea],"(sin catálogo)"))</f>
        <v/>
      </c>
      <c r="V6" s="3">
        <f>IF(tblOrdenes[[#This Row],[centro_costo]]="","",_xlfn.XLOOKUP(tblOrdenes[[#This Row],[centro_costo]],tblCECO[codigo],tblCECO[area],"(sin catálogo)"))</f>
        <v/>
      </c>
      <c r="W6" s="3">
        <f>IF(tblOrdenes[[#This Row],[centro_costo]]="","",_xlfn.XLOOKUP(tblOrdenes[[#This Row],[centro_costo]],tblCECO[codigo],tblCECO[coordinador],"(sin catálogo)"))</f>
        <v/>
      </c>
      <c r="X6" s="3">
        <f>IF(tblOrdenes[[#This Row],[puesto_trabajo]]="","",_xlfn.XLOOKUP(tblOrdenes[[#This Row],[puesto_trabajo]],tblPuestos[codigo],tblPuestos[especialidad],"(sin catálogo)"))</f>
        <v/>
      </c>
      <c r="Y6" s="3">
        <f>IF(tblOrdenes[[#This Row],[cod_actividad]]="","",_xlfn.XLOOKUP(tblOrdenes[[#This Row],[cod_actividad]],tblActividades[codigo],tblActividades[descripcion],"(sin catálogo)"))</f>
        <v/>
      </c>
      <c r="Z6" s="12">
        <f>IF(tblOrdenes[[#This Row],[fecha_inicio]]="","",TODAY()-tblOrdenes[[#This Row],[fecha_inicio]])</f>
        <v/>
      </c>
      <c r="AA6" s="3">
        <f>IF(tblOrdenes[[#This Row],[backlog_dias]]="","",IF(tblOrdenes[[#This Row],[backlog_dias]]&lt;0,"FUTURO",IF(tblOrdenes[[#This Row],[backlog_dias]]&gt;p_dias_backlog_max,"BACKLOG","MES CORRIENTE")))</f>
        <v/>
      </c>
      <c r="AB6" s="3">
        <f>IF(tblOrdenes[[#This Row],[backlog_dias]]="",FALSE,AND(tblOrdenes[[#This Row],[backlog_dias]]&gt;p_dias_backlog_min,tblOrdenes[[#This Row],[backlog_dias]]&lt;=p_dias_backlog_max))</f>
        <v/>
      </c>
      <c r="AC6" s="6" t="inlineStr">
        <is>
          <t>Técnico 03</t>
        </is>
      </c>
      <c r="AD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" s="10">
        <f>IF(tblOrdenes[[#This Row],[orden]]="","",_xlfn.XLOOKUP(tblOrdenes[[#This Row],[id_operacion]],tblEjecucion[id_operacion],tblEjecucion[precio],0))</f>
        <v/>
      </c>
      <c r="AH6" s="10">
        <f>IF(tblOrdenes[[#This Row],[orden]]="","",MAX(0,_xlfn.XLOOKUP(tblOrdenes[[#This Row],[id_operacion]],tblEjecucion[id_operacion],tblEjecucion[costo_plan_total],0)-tblOrdenes[[#This Row],[costo_servicio]]))</f>
        <v/>
      </c>
      <c r="AI6" s="10">
        <f>IF(tblOrdenes[[#This Row],[orden]]="","",tblOrdenes[[#This Row],[costo_servicio]]+tblOrdenes[[#This Row],[costo_materiales]])</f>
        <v/>
      </c>
      <c r="AJ6" s="6" t="inlineStr"/>
      <c r="AK6" s="6" t="inlineStr"/>
      <c r="AL6" s="6" t="inlineStr">
        <is>
          <t>ACT-01.pdf</t>
        </is>
      </c>
      <c r="AM6" s="3">
        <f>IF(tblOrdenes[[#This Row],[link_checklist]]="","",HYPERLINK(p_ruta_base_checklists&amp;tblOrdenes[[#This Row],[link_checklist]],"abrir"))</f>
        <v/>
      </c>
      <c r="AN6" s="6" t="inlineStr"/>
      <c r="AO6" s="3">
        <f>IF(tblOrdenes[[#This Row],[orden]]="","",tblOrdenes[[#This Row],[orden]]&amp;IF(tblOrdenes[[#This Row],[operacion]]="","0010",tblOrdenes[[#This Row],[operacion]]))</f>
        <v/>
      </c>
    </row>
    <row r="7">
      <c r="A7" s="3" t="inlineStr">
        <is>
          <t>OT-000004</t>
        </is>
      </c>
      <c r="B7" s="3" t="inlineStr">
        <is>
          <t>0010</t>
        </is>
      </c>
      <c r="C7" s="3" t="inlineStr">
        <is>
          <t>Lubricación programada — EQ-105</t>
        </is>
      </c>
      <c r="D7" s="3" t="inlineStr">
        <is>
          <t>Lubricación programada en EQ-105</t>
        </is>
      </c>
      <c r="E7" s="3" t="inlineStr">
        <is>
          <t>EQ-105</t>
        </is>
      </c>
      <c r="F7" s="3" t="inlineStr">
        <is>
          <t>CC-110</t>
        </is>
      </c>
      <c r="G7" s="3" t="inlineStr">
        <is>
          <t>PU-MEC</t>
        </is>
      </c>
      <c r="H7" s="3" t="inlineStr">
        <is>
          <t>ACT-02</t>
        </is>
      </c>
      <c r="I7" s="3" t="inlineStr">
        <is>
          <t>TIPO-P1</t>
        </is>
      </c>
      <c r="J7" s="11" t="n">
        <v>46219</v>
      </c>
      <c r="K7" s="3" t="n">
        <v>10</v>
      </c>
      <c r="L7" s="10" t="n">
        <v>250</v>
      </c>
      <c r="M7" s="6" t="n"/>
      <c r="N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" s="3">
        <f>IF(tblOrdenes[[#This Row],[fecha_inicio]]="","",YEAR(tblOrdenes[[#This Row],[fecha_inicio]]))</f>
        <v/>
      </c>
      <c r="R7" s="3">
        <f>IF(tblOrdenes[[#This Row],[fecha_inicio]]="","",MONTH(tblOrdenes[[#This Row],[fecha_inicio]]))</f>
        <v/>
      </c>
      <c r="S7" s="3">
        <f>IF(tblOrdenes[[#This Row],[fecha_inicio]]="","",INDEX(lista_dias,WEEKDAY(tblOrdenes[[#This Row],[fecha_inicio]],2)))</f>
        <v/>
      </c>
      <c r="T7" s="3">
        <f>IF(tblOrdenes[[#This Row],[tipo_ot]]="","",_xlfn.XLOOKUP(tblOrdenes[[#This Row],[tipo_ot]],tblTiposOT[codigo],tblTiposOT[clasificacion],"sin_clasificar"))</f>
        <v/>
      </c>
      <c r="U7" s="3">
        <f>IF(tblOrdenes[[#This Row],[centro_costo]]="","",_xlfn.XLOOKUP(tblOrdenes[[#This Row],[centro_costo]],tblCECO[codigo],tblCECO[linea],"(sin catálogo)"))</f>
        <v/>
      </c>
      <c r="V7" s="3">
        <f>IF(tblOrdenes[[#This Row],[centro_costo]]="","",_xlfn.XLOOKUP(tblOrdenes[[#This Row],[centro_costo]],tblCECO[codigo],tblCECO[area],"(sin catálogo)"))</f>
        <v/>
      </c>
      <c r="W7" s="3">
        <f>IF(tblOrdenes[[#This Row],[centro_costo]]="","",_xlfn.XLOOKUP(tblOrdenes[[#This Row],[centro_costo]],tblCECO[codigo],tblCECO[coordinador],"(sin catálogo)"))</f>
        <v/>
      </c>
      <c r="X7" s="3">
        <f>IF(tblOrdenes[[#This Row],[puesto_trabajo]]="","",_xlfn.XLOOKUP(tblOrdenes[[#This Row],[puesto_trabajo]],tblPuestos[codigo],tblPuestos[especialidad],"(sin catálogo)"))</f>
        <v/>
      </c>
      <c r="Y7" s="3">
        <f>IF(tblOrdenes[[#This Row],[cod_actividad]]="","",_xlfn.XLOOKUP(tblOrdenes[[#This Row],[cod_actividad]],tblActividades[codigo],tblActividades[descripcion],"(sin catálogo)"))</f>
        <v/>
      </c>
      <c r="Z7" s="12">
        <f>IF(tblOrdenes[[#This Row],[fecha_inicio]]="","",TODAY()-tblOrdenes[[#This Row],[fecha_inicio]])</f>
        <v/>
      </c>
      <c r="AA7" s="3">
        <f>IF(tblOrdenes[[#This Row],[backlog_dias]]="","",IF(tblOrdenes[[#This Row],[backlog_dias]]&lt;0,"FUTURO",IF(tblOrdenes[[#This Row],[backlog_dias]]&gt;p_dias_backlog_max,"BACKLOG","MES CORRIENTE")))</f>
        <v/>
      </c>
      <c r="AB7" s="3">
        <f>IF(tblOrdenes[[#This Row],[backlog_dias]]="",FALSE,AND(tblOrdenes[[#This Row],[backlog_dias]]&gt;p_dias_backlog_min,tblOrdenes[[#This Row],[backlog_dias]]&lt;=p_dias_backlog_max))</f>
        <v/>
      </c>
      <c r="AC7" s="6" t="inlineStr">
        <is>
          <t>Técnico 04</t>
        </is>
      </c>
      <c r="AD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" s="10">
        <f>IF(tblOrdenes[[#This Row],[orden]]="","",_xlfn.XLOOKUP(tblOrdenes[[#This Row],[id_operacion]],tblEjecucion[id_operacion],tblEjecucion[precio],0))</f>
        <v/>
      </c>
      <c r="AH7" s="10">
        <f>IF(tblOrdenes[[#This Row],[orden]]="","",MAX(0,_xlfn.XLOOKUP(tblOrdenes[[#This Row],[id_operacion]],tblEjecucion[id_operacion],tblEjecucion[costo_plan_total],0)-tblOrdenes[[#This Row],[costo_servicio]]))</f>
        <v/>
      </c>
      <c r="AI7" s="10">
        <f>IF(tblOrdenes[[#This Row],[orden]]="","",tblOrdenes[[#This Row],[costo_servicio]]+tblOrdenes[[#This Row],[costo_materiales]])</f>
        <v/>
      </c>
      <c r="AJ7" s="6" t="inlineStr"/>
      <c r="AK7" s="6" t="inlineStr"/>
      <c r="AL7" s="6" t="inlineStr">
        <is>
          <t>ACT-02.pdf</t>
        </is>
      </c>
      <c r="AM7" s="3">
        <f>IF(tblOrdenes[[#This Row],[link_checklist]]="","",HYPERLINK(p_ruta_base_checklists&amp;tblOrdenes[[#This Row],[link_checklist]],"abrir"))</f>
        <v/>
      </c>
      <c r="AN7" s="6" t="inlineStr"/>
      <c r="AO7" s="3">
        <f>IF(tblOrdenes[[#This Row],[orden]]="","",tblOrdenes[[#This Row],[orden]]&amp;IF(tblOrdenes[[#This Row],[operacion]]="","0010",tblOrdenes[[#This Row],[operacion]]))</f>
        <v/>
      </c>
    </row>
    <row r="8">
      <c r="A8" s="3" t="inlineStr">
        <is>
          <t>OT-000005</t>
        </is>
      </c>
      <c r="B8" s="3" t="inlineStr">
        <is>
          <t>0010</t>
        </is>
      </c>
      <c r="C8" s="3" t="inlineStr">
        <is>
          <t>Análisis predictivo — EQ-107</t>
        </is>
      </c>
      <c r="D8" s="3" t="inlineStr">
        <is>
          <t>Análisis predictivo en EQ-107</t>
        </is>
      </c>
      <c r="E8" s="3" t="inlineStr">
        <is>
          <t>EQ-107</t>
        </is>
      </c>
      <c r="F8" s="3" t="inlineStr">
        <is>
          <t>CC-210</t>
        </is>
      </c>
      <c r="G8" s="3" t="inlineStr">
        <is>
          <t>PU-MEC</t>
        </is>
      </c>
      <c r="H8" s="3" t="inlineStr">
        <is>
          <t>ACT-04</t>
        </is>
      </c>
      <c r="I8" s="3" t="inlineStr">
        <is>
          <t>TIPO-P2</t>
        </is>
      </c>
      <c r="J8" s="11" t="n">
        <v>46220</v>
      </c>
      <c r="K8" s="3" t="n">
        <v>8</v>
      </c>
      <c r="L8" s="10" t="n">
        <v>200</v>
      </c>
      <c r="M8" s="6" t="n"/>
      <c r="N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" s="3">
        <f>IF(tblOrdenes[[#This Row],[fecha_inicio]]="","",YEAR(tblOrdenes[[#This Row],[fecha_inicio]]))</f>
        <v/>
      </c>
      <c r="R8" s="3">
        <f>IF(tblOrdenes[[#This Row],[fecha_inicio]]="","",MONTH(tblOrdenes[[#This Row],[fecha_inicio]]))</f>
        <v/>
      </c>
      <c r="S8" s="3">
        <f>IF(tblOrdenes[[#This Row],[fecha_inicio]]="","",INDEX(lista_dias,WEEKDAY(tblOrdenes[[#This Row],[fecha_inicio]],2)))</f>
        <v/>
      </c>
      <c r="T8" s="3">
        <f>IF(tblOrdenes[[#This Row],[tipo_ot]]="","",_xlfn.XLOOKUP(tblOrdenes[[#This Row],[tipo_ot]],tblTiposOT[codigo],tblTiposOT[clasificacion],"sin_clasificar"))</f>
        <v/>
      </c>
      <c r="U8" s="3">
        <f>IF(tblOrdenes[[#This Row],[centro_costo]]="","",_xlfn.XLOOKUP(tblOrdenes[[#This Row],[centro_costo]],tblCECO[codigo],tblCECO[linea],"(sin catálogo)"))</f>
        <v/>
      </c>
      <c r="V8" s="3">
        <f>IF(tblOrdenes[[#This Row],[centro_costo]]="","",_xlfn.XLOOKUP(tblOrdenes[[#This Row],[centro_costo]],tblCECO[codigo],tblCECO[area],"(sin catálogo)"))</f>
        <v/>
      </c>
      <c r="W8" s="3">
        <f>IF(tblOrdenes[[#This Row],[centro_costo]]="","",_xlfn.XLOOKUP(tblOrdenes[[#This Row],[centro_costo]],tblCECO[codigo],tblCECO[coordinador],"(sin catálogo)"))</f>
        <v/>
      </c>
      <c r="X8" s="3">
        <f>IF(tblOrdenes[[#This Row],[puesto_trabajo]]="","",_xlfn.XLOOKUP(tblOrdenes[[#This Row],[puesto_trabajo]],tblPuestos[codigo],tblPuestos[especialidad],"(sin catálogo)"))</f>
        <v/>
      </c>
      <c r="Y8" s="3">
        <f>IF(tblOrdenes[[#This Row],[cod_actividad]]="","",_xlfn.XLOOKUP(tblOrdenes[[#This Row],[cod_actividad]],tblActividades[codigo],tblActividades[descripcion],"(sin catálogo)"))</f>
        <v/>
      </c>
      <c r="Z8" s="12">
        <f>IF(tblOrdenes[[#This Row],[fecha_inicio]]="","",TODAY()-tblOrdenes[[#This Row],[fecha_inicio]])</f>
        <v/>
      </c>
      <c r="AA8" s="3">
        <f>IF(tblOrdenes[[#This Row],[backlog_dias]]="","",IF(tblOrdenes[[#This Row],[backlog_dias]]&lt;0,"FUTURO",IF(tblOrdenes[[#This Row],[backlog_dias]]&gt;p_dias_backlog_max,"BACKLOG","MES CORRIENTE")))</f>
        <v/>
      </c>
      <c r="AB8" s="3">
        <f>IF(tblOrdenes[[#This Row],[backlog_dias]]="",FALSE,AND(tblOrdenes[[#This Row],[backlog_dias]]&gt;p_dias_backlog_min,tblOrdenes[[#This Row],[backlog_dias]]&lt;=p_dias_backlog_max))</f>
        <v/>
      </c>
      <c r="AC8" s="6" t="inlineStr">
        <is>
          <t>Técnico 01</t>
        </is>
      </c>
      <c r="AD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" s="10">
        <f>IF(tblOrdenes[[#This Row],[orden]]="","",_xlfn.XLOOKUP(tblOrdenes[[#This Row],[id_operacion]],tblEjecucion[id_operacion],tblEjecucion[precio],0))</f>
        <v/>
      </c>
      <c r="AH8" s="10">
        <f>IF(tblOrdenes[[#This Row],[orden]]="","",MAX(0,_xlfn.XLOOKUP(tblOrdenes[[#This Row],[id_operacion]],tblEjecucion[id_operacion],tblEjecucion[costo_plan_total],0)-tblOrdenes[[#This Row],[costo_servicio]]))</f>
        <v/>
      </c>
      <c r="AI8" s="10">
        <f>IF(tblOrdenes[[#This Row],[orden]]="","",tblOrdenes[[#This Row],[costo_servicio]]+tblOrdenes[[#This Row],[costo_materiales]])</f>
        <v/>
      </c>
      <c r="AJ8" s="6" t="inlineStr"/>
      <c r="AK8" s="6" t="inlineStr"/>
      <c r="AL8" s="6" t="inlineStr">
        <is>
          <t>ACT-04.pdf</t>
        </is>
      </c>
      <c r="AM8" s="3">
        <f>IF(tblOrdenes[[#This Row],[link_checklist]]="","",HYPERLINK(p_ruta_base_checklists&amp;tblOrdenes[[#This Row],[link_checklist]],"abrir"))</f>
        <v/>
      </c>
      <c r="AN8" s="6" t="inlineStr"/>
      <c r="AO8" s="3">
        <f>IF(tblOrdenes[[#This Row],[orden]]="","",tblOrdenes[[#This Row],[orden]]&amp;IF(tblOrdenes[[#This Row],[operacion]]="","0010",tblOrdenes[[#This Row],[operacion]]))</f>
        <v/>
      </c>
    </row>
    <row r="9">
      <c r="A9" s="3" t="inlineStr">
        <is>
          <t>OT-000006</t>
        </is>
      </c>
      <c r="B9" s="3" t="inlineStr">
        <is>
          <t>0010</t>
        </is>
      </c>
      <c r="C9" s="3" t="inlineStr">
        <is>
          <t>Inspección de rutina — EQ-110</t>
        </is>
      </c>
      <c r="D9" s="3" t="inlineStr">
        <is>
          <t>Inspección de rutina en EQ-110</t>
        </is>
      </c>
      <c r="E9" s="3" t="inlineStr">
        <is>
          <t>EQ-110</t>
        </is>
      </c>
      <c r="F9" s="3" t="inlineStr">
        <is>
          <t>CC-310</t>
        </is>
      </c>
      <c r="G9" s="3" t="inlineStr">
        <is>
          <t>PU-MEC</t>
        </is>
      </c>
      <c r="H9" s="3" t="inlineStr">
        <is>
          <t>ACT-01</t>
        </is>
      </c>
      <c r="I9" s="3" t="inlineStr">
        <is>
          <t>TIPO-P1</t>
        </is>
      </c>
      <c r="J9" s="11" t="n">
        <v>46216</v>
      </c>
      <c r="K9" s="3" t="n">
        <v>6</v>
      </c>
      <c r="L9" s="10" t="n">
        <v>150</v>
      </c>
      <c r="M9" s="6" t="n"/>
      <c r="N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" s="3">
        <f>IF(tblOrdenes[[#This Row],[fecha_inicio]]="","",YEAR(tblOrdenes[[#This Row],[fecha_inicio]]))</f>
        <v/>
      </c>
      <c r="R9" s="3">
        <f>IF(tblOrdenes[[#This Row],[fecha_inicio]]="","",MONTH(tblOrdenes[[#This Row],[fecha_inicio]]))</f>
        <v/>
      </c>
      <c r="S9" s="3">
        <f>IF(tblOrdenes[[#This Row],[fecha_inicio]]="","",INDEX(lista_dias,WEEKDAY(tblOrdenes[[#This Row],[fecha_inicio]],2)))</f>
        <v/>
      </c>
      <c r="T9" s="3">
        <f>IF(tblOrdenes[[#This Row],[tipo_ot]]="","",_xlfn.XLOOKUP(tblOrdenes[[#This Row],[tipo_ot]],tblTiposOT[codigo],tblTiposOT[clasificacion],"sin_clasificar"))</f>
        <v/>
      </c>
      <c r="U9" s="3">
        <f>IF(tblOrdenes[[#This Row],[centro_costo]]="","",_xlfn.XLOOKUP(tblOrdenes[[#This Row],[centro_costo]],tblCECO[codigo],tblCECO[linea],"(sin catálogo)"))</f>
        <v/>
      </c>
      <c r="V9" s="3">
        <f>IF(tblOrdenes[[#This Row],[centro_costo]]="","",_xlfn.XLOOKUP(tblOrdenes[[#This Row],[centro_costo]],tblCECO[codigo],tblCECO[area],"(sin catálogo)"))</f>
        <v/>
      </c>
      <c r="W9" s="3">
        <f>IF(tblOrdenes[[#This Row],[centro_costo]]="","",_xlfn.XLOOKUP(tblOrdenes[[#This Row],[centro_costo]],tblCECO[codigo],tblCECO[coordinador],"(sin catálogo)"))</f>
        <v/>
      </c>
      <c r="X9" s="3">
        <f>IF(tblOrdenes[[#This Row],[puesto_trabajo]]="","",_xlfn.XLOOKUP(tblOrdenes[[#This Row],[puesto_trabajo]],tblPuestos[codigo],tblPuestos[especialidad],"(sin catálogo)"))</f>
        <v/>
      </c>
      <c r="Y9" s="3">
        <f>IF(tblOrdenes[[#This Row],[cod_actividad]]="","",_xlfn.XLOOKUP(tblOrdenes[[#This Row],[cod_actividad]],tblActividades[codigo],tblActividades[descripcion],"(sin catálogo)"))</f>
        <v/>
      </c>
      <c r="Z9" s="12">
        <f>IF(tblOrdenes[[#This Row],[fecha_inicio]]="","",TODAY()-tblOrdenes[[#This Row],[fecha_inicio]])</f>
        <v/>
      </c>
      <c r="AA9" s="3">
        <f>IF(tblOrdenes[[#This Row],[backlog_dias]]="","",IF(tblOrdenes[[#This Row],[backlog_dias]]&lt;0,"FUTURO",IF(tblOrdenes[[#This Row],[backlog_dias]]&gt;p_dias_backlog_max,"BACKLOG","MES CORRIENTE")))</f>
        <v/>
      </c>
      <c r="AB9" s="3">
        <f>IF(tblOrdenes[[#This Row],[backlog_dias]]="",FALSE,AND(tblOrdenes[[#This Row],[backlog_dias]]&gt;p_dias_backlog_min,tblOrdenes[[#This Row],[backlog_dias]]&lt;=p_dias_backlog_max))</f>
        <v/>
      </c>
      <c r="AC9" s="6" t="inlineStr">
        <is>
          <t>Técnico 02</t>
        </is>
      </c>
      <c r="AD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" s="10">
        <f>IF(tblOrdenes[[#This Row],[orden]]="","",_xlfn.XLOOKUP(tblOrdenes[[#This Row],[id_operacion]],tblEjecucion[id_operacion],tblEjecucion[precio],0))</f>
        <v/>
      </c>
      <c r="AH9" s="10">
        <f>IF(tblOrdenes[[#This Row],[orden]]="","",MAX(0,_xlfn.XLOOKUP(tblOrdenes[[#This Row],[id_operacion]],tblEjecucion[id_operacion],tblEjecucion[costo_plan_total],0)-tblOrdenes[[#This Row],[costo_servicio]]))</f>
        <v/>
      </c>
      <c r="AI9" s="10">
        <f>IF(tblOrdenes[[#This Row],[orden]]="","",tblOrdenes[[#This Row],[costo_servicio]]+tblOrdenes[[#This Row],[costo_materiales]])</f>
        <v/>
      </c>
      <c r="AJ9" s="6" t="inlineStr"/>
      <c r="AK9" s="6" t="inlineStr"/>
      <c r="AL9" s="6" t="inlineStr">
        <is>
          <t>ACT-01.pdf</t>
        </is>
      </c>
      <c r="AM9" s="3">
        <f>IF(tblOrdenes[[#This Row],[link_checklist]]="","",HYPERLINK(p_ruta_base_checklists&amp;tblOrdenes[[#This Row],[link_checklist]],"abrir"))</f>
        <v/>
      </c>
      <c r="AN9" s="6" t="inlineStr"/>
      <c r="AO9" s="3">
        <f>IF(tblOrdenes[[#This Row],[orden]]="","",tblOrdenes[[#This Row],[orden]]&amp;IF(tblOrdenes[[#This Row],[operacion]]="","0010",tblOrdenes[[#This Row],[operacion]]))</f>
        <v/>
      </c>
    </row>
    <row r="10">
      <c r="A10" s="3" t="inlineStr">
        <is>
          <t>OT-000007</t>
        </is>
      </c>
      <c r="B10" s="3" t="inlineStr">
        <is>
          <t>0010</t>
        </is>
      </c>
      <c r="C10" s="3" t="inlineStr">
        <is>
          <t>Lubricación programada — EQ-103</t>
        </is>
      </c>
      <c r="D10" s="3" t="inlineStr">
        <is>
          <t>Lubricación programada en EQ-103</t>
        </is>
      </c>
      <c r="E10" s="3" t="inlineStr">
        <is>
          <t>EQ-103</t>
        </is>
      </c>
      <c r="F10" s="3" t="inlineStr">
        <is>
          <t>CC-110</t>
        </is>
      </c>
      <c r="G10" s="3" t="inlineStr">
        <is>
          <t>PU-MEC</t>
        </is>
      </c>
      <c r="H10" s="3" t="inlineStr">
        <is>
          <t>ACT-02</t>
        </is>
      </c>
      <c r="I10" s="3" t="inlineStr">
        <is>
          <t>TIPO-P2</t>
        </is>
      </c>
      <c r="J10" s="11" t="n">
        <v>46217</v>
      </c>
      <c r="K10" s="3" t="n">
        <v>10</v>
      </c>
      <c r="L10" s="10" t="n">
        <v>250</v>
      </c>
      <c r="M10" s="6" t="n"/>
      <c r="N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" s="3">
        <f>IF(tblOrdenes[[#This Row],[fecha_inicio]]="","",YEAR(tblOrdenes[[#This Row],[fecha_inicio]]))</f>
        <v/>
      </c>
      <c r="R10" s="3">
        <f>IF(tblOrdenes[[#This Row],[fecha_inicio]]="","",MONTH(tblOrdenes[[#This Row],[fecha_inicio]]))</f>
        <v/>
      </c>
      <c r="S10" s="3">
        <f>IF(tblOrdenes[[#This Row],[fecha_inicio]]="","",INDEX(lista_dias,WEEKDAY(tblOrdenes[[#This Row],[fecha_inicio]],2)))</f>
        <v/>
      </c>
      <c r="T10" s="3">
        <f>IF(tblOrdenes[[#This Row],[tipo_ot]]="","",_xlfn.XLOOKUP(tblOrdenes[[#This Row],[tipo_ot]],tblTiposOT[codigo],tblTiposOT[clasificacion],"sin_clasificar"))</f>
        <v/>
      </c>
      <c r="U10" s="3">
        <f>IF(tblOrdenes[[#This Row],[centro_costo]]="","",_xlfn.XLOOKUP(tblOrdenes[[#This Row],[centro_costo]],tblCECO[codigo],tblCECO[linea],"(sin catálogo)"))</f>
        <v/>
      </c>
      <c r="V10" s="3">
        <f>IF(tblOrdenes[[#This Row],[centro_costo]]="","",_xlfn.XLOOKUP(tblOrdenes[[#This Row],[centro_costo]],tblCECO[codigo],tblCECO[area],"(sin catálogo)"))</f>
        <v/>
      </c>
      <c r="W10" s="3">
        <f>IF(tblOrdenes[[#This Row],[centro_costo]]="","",_xlfn.XLOOKUP(tblOrdenes[[#This Row],[centro_costo]],tblCECO[codigo],tblCECO[coordinador],"(sin catálogo)"))</f>
        <v/>
      </c>
      <c r="X10" s="3">
        <f>IF(tblOrdenes[[#This Row],[puesto_trabajo]]="","",_xlfn.XLOOKUP(tblOrdenes[[#This Row],[puesto_trabajo]],tblPuestos[codigo],tblPuestos[especialidad],"(sin catálogo)"))</f>
        <v/>
      </c>
      <c r="Y10" s="3">
        <f>IF(tblOrdenes[[#This Row],[cod_actividad]]="","",_xlfn.XLOOKUP(tblOrdenes[[#This Row],[cod_actividad]],tblActividades[codigo],tblActividades[descripcion],"(sin catálogo)"))</f>
        <v/>
      </c>
      <c r="Z10" s="12">
        <f>IF(tblOrdenes[[#This Row],[fecha_inicio]]="","",TODAY()-tblOrdenes[[#This Row],[fecha_inicio]])</f>
        <v/>
      </c>
      <c r="AA10" s="3">
        <f>IF(tblOrdenes[[#This Row],[backlog_dias]]="","",IF(tblOrdenes[[#This Row],[backlog_dias]]&lt;0,"FUTURO",IF(tblOrdenes[[#This Row],[backlog_dias]]&gt;p_dias_backlog_max,"BACKLOG","MES CORRIENTE")))</f>
        <v/>
      </c>
      <c r="AB10" s="3">
        <f>IF(tblOrdenes[[#This Row],[backlog_dias]]="",FALSE,AND(tblOrdenes[[#This Row],[backlog_dias]]&gt;p_dias_backlog_min,tblOrdenes[[#This Row],[backlog_dias]]&lt;=p_dias_backlog_max))</f>
        <v/>
      </c>
      <c r="AC10" s="6" t="inlineStr">
        <is>
          <t>Técnico 03</t>
        </is>
      </c>
      <c r="AD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" s="10">
        <f>IF(tblOrdenes[[#This Row],[orden]]="","",_xlfn.XLOOKUP(tblOrdenes[[#This Row],[id_operacion]],tblEjecucion[id_operacion],tblEjecucion[precio],0))</f>
        <v/>
      </c>
      <c r="AH10" s="10">
        <f>IF(tblOrdenes[[#This Row],[orden]]="","",MAX(0,_xlfn.XLOOKUP(tblOrdenes[[#This Row],[id_operacion]],tblEjecucion[id_operacion],tblEjecucion[costo_plan_total],0)-tblOrdenes[[#This Row],[costo_servicio]]))</f>
        <v/>
      </c>
      <c r="AI10" s="10">
        <f>IF(tblOrdenes[[#This Row],[orden]]="","",tblOrdenes[[#This Row],[costo_servicio]]+tblOrdenes[[#This Row],[costo_materiales]])</f>
        <v/>
      </c>
      <c r="AJ10" s="6" t="inlineStr"/>
      <c r="AK10" s="6" t="inlineStr"/>
      <c r="AL10" s="6" t="inlineStr">
        <is>
          <t>ACT-02.pdf</t>
        </is>
      </c>
      <c r="AM10" s="3">
        <f>IF(tblOrdenes[[#This Row],[link_checklist]]="","",HYPERLINK(p_ruta_base_checklists&amp;tblOrdenes[[#This Row],[link_checklist]],"abrir"))</f>
        <v/>
      </c>
      <c r="AN10" s="6" t="inlineStr"/>
      <c r="AO10" s="3">
        <f>IF(tblOrdenes[[#This Row],[orden]]="","",tblOrdenes[[#This Row],[orden]]&amp;IF(tblOrdenes[[#This Row],[operacion]]="","0010",tblOrdenes[[#This Row],[operacion]]))</f>
        <v/>
      </c>
    </row>
    <row r="11">
      <c r="A11" s="3" t="inlineStr">
        <is>
          <t>OT-000008</t>
        </is>
      </c>
      <c r="B11" s="3" t="inlineStr">
        <is>
          <t>0010</t>
        </is>
      </c>
      <c r="C11" s="3" t="inlineStr">
        <is>
          <t>Análisis predictivo — EQ-106</t>
        </is>
      </c>
      <c r="D11" s="3" t="inlineStr">
        <is>
          <t>Análisis predictivo en EQ-106</t>
        </is>
      </c>
      <c r="E11" s="3" t="inlineStr">
        <is>
          <t>EQ-106</t>
        </is>
      </c>
      <c r="F11" s="3" t="inlineStr">
        <is>
          <t>CC-210</t>
        </is>
      </c>
      <c r="G11" s="3" t="inlineStr">
        <is>
          <t>PU-MEC</t>
        </is>
      </c>
      <c r="H11" s="3" t="inlineStr">
        <is>
          <t>ACT-04</t>
        </is>
      </c>
      <c r="I11" s="3" t="inlineStr">
        <is>
          <t>TIPO-P1</t>
        </is>
      </c>
      <c r="J11" s="11" t="n">
        <v>46218</v>
      </c>
      <c r="K11" s="3" t="n">
        <v>8</v>
      </c>
      <c r="L11" s="10" t="n">
        <v>200</v>
      </c>
      <c r="M11" s="6" t="n"/>
      <c r="N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" s="3">
        <f>IF(tblOrdenes[[#This Row],[fecha_inicio]]="","",YEAR(tblOrdenes[[#This Row],[fecha_inicio]]))</f>
        <v/>
      </c>
      <c r="R11" s="3">
        <f>IF(tblOrdenes[[#This Row],[fecha_inicio]]="","",MONTH(tblOrdenes[[#This Row],[fecha_inicio]]))</f>
        <v/>
      </c>
      <c r="S11" s="3">
        <f>IF(tblOrdenes[[#This Row],[fecha_inicio]]="","",INDEX(lista_dias,WEEKDAY(tblOrdenes[[#This Row],[fecha_inicio]],2)))</f>
        <v/>
      </c>
      <c r="T11" s="3">
        <f>IF(tblOrdenes[[#This Row],[tipo_ot]]="","",_xlfn.XLOOKUP(tblOrdenes[[#This Row],[tipo_ot]],tblTiposOT[codigo],tblTiposOT[clasificacion],"sin_clasificar"))</f>
        <v/>
      </c>
      <c r="U11" s="3">
        <f>IF(tblOrdenes[[#This Row],[centro_costo]]="","",_xlfn.XLOOKUP(tblOrdenes[[#This Row],[centro_costo]],tblCECO[codigo],tblCECO[linea],"(sin catálogo)"))</f>
        <v/>
      </c>
      <c r="V11" s="3">
        <f>IF(tblOrdenes[[#This Row],[centro_costo]]="","",_xlfn.XLOOKUP(tblOrdenes[[#This Row],[centro_costo]],tblCECO[codigo],tblCECO[area],"(sin catálogo)"))</f>
        <v/>
      </c>
      <c r="W11" s="3">
        <f>IF(tblOrdenes[[#This Row],[centro_costo]]="","",_xlfn.XLOOKUP(tblOrdenes[[#This Row],[centro_costo]],tblCECO[codigo],tblCECO[coordinador],"(sin catálogo)"))</f>
        <v/>
      </c>
      <c r="X11" s="3">
        <f>IF(tblOrdenes[[#This Row],[puesto_trabajo]]="","",_xlfn.XLOOKUP(tblOrdenes[[#This Row],[puesto_trabajo]],tblPuestos[codigo],tblPuestos[especialidad],"(sin catálogo)"))</f>
        <v/>
      </c>
      <c r="Y11" s="3">
        <f>IF(tblOrdenes[[#This Row],[cod_actividad]]="","",_xlfn.XLOOKUP(tblOrdenes[[#This Row],[cod_actividad]],tblActividades[codigo],tblActividades[descripcion],"(sin catálogo)"))</f>
        <v/>
      </c>
      <c r="Z11" s="12">
        <f>IF(tblOrdenes[[#This Row],[fecha_inicio]]="","",TODAY()-tblOrdenes[[#This Row],[fecha_inicio]])</f>
        <v/>
      </c>
      <c r="AA11" s="3">
        <f>IF(tblOrdenes[[#This Row],[backlog_dias]]="","",IF(tblOrdenes[[#This Row],[backlog_dias]]&lt;0,"FUTURO",IF(tblOrdenes[[#This Row],[backlog_dias]]&gt;p_dias_backlog_max,"BACKLOG","MES CORRIENTE")))</f>
        <v/>
      </c>
      <c r="AB11" s="3">
        <f>IF(tblOrdenes[[#This Row],[backlog_dias]]="",FALSE,AND(tblOrdenes[[#This Row],[backlog_dias]]&gt;p_dias_backlog_min,tblOrdenes[[#This Row],[backlog_dias]]&lt;=p_dias_backlog_max))</f>
        <v/>
      </c>
      <c r="AC11" s="6" t="inlineStr">
        <is>
          <t>Técnico 04</t>
        </is>
      </c>
      <c r="AD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" s="10">
        <f>IF(tblOrdenes[[#This Row],[orden]]="","",_xlfn.XLOOKUP(tblOrdenes[[#This Row],[id_operacion]],tblEjecucion[id_operacion],tblEjecucion[precio],0))</f>
        <v/>
      </c>
      <c r="AH11" s="10">
        <f>IF(tblOrdenes[[#This Row],[orden]]="","",MAX(0,_xlfn.XLOOKUP(tblOrdenes[[#This Row],[id_operacion]],tblEjecucion[id_operacion],tblEjecucion[costo_plan_total],0)-tblOrdenes[[#This Row],[costo_servicio]]))</f>
        <v/>
      </c>
      <c r="AI11" s="10">
        <f>IF(tblOrdenes[[#This Row],[orden]]="","",tblOrdenes[[#This Row],[costo_servicio]]+tblOrdenes[[#This Row],[costo_materiales]])</f>
        <v/>
      </c>
      <c r="AJ11" s="6" t="inlineStr"/>
      <c r="AK11" s="6" t="inlineStr"/>
      <c r="AL11" s="6" t="inlineStr">
        <is>
          <t>ACT-04.pdf</t>
        </is>
      </c>
      <c r="AM11" s="3">
        <f>IF(tblOrdenes[[#This Row],[link_checklist]]="","",HYPERLINK(p_ruta_base_checklists&amp;tblOrdenes[[#This Row],[link_checklist]],"abrir"))</f>
        <v/>
      </c>
      <c r="AN11" s="6" t="inlineStr"/>
      <c r="AO11" s="3">
        <f>IF(tblOrdenes[[#This Row],[orden]]="","",tblOrdenes[[#This Row],[orden]]&amp;IF(tblOrdenes[[#This Row],[operacion]]="","0010",tblOrdenes[[#This Row],[operacion]]))</f>
        <v/>
      </c>
    </row>
    <row r="12">
      <c r="A12" s="3" t="inlineStr">
        <is>
          <t>OT-000009</t>
        </is>
      </c>
      <c r="B12" s="3" t="inlineStr">
        <is>
          <t>0010</t>
        </is>
      </c>
      <c r="C12" s="3" t="inlineStr">
        <is>
          <t>Inspección de rutina — EQ-110</t>
        </is>
      </c>
      <c r="D12" s="3" t="inlineStr">
        <is>
          <t>Inspección de rutina en EQ-110</t>
        </is>
      </c>
      <c r="E12" s="3" t="inlineStr">
        <is>
          <t>EQ-110</t>
        </is>
      </c>
      <c r="F12" s="3" t="inlineStr">
        <is>
          <t>CC-310</t>
        </is>
      </c>
      <c r="G12" s="3" t="inlineStr">
        <is>
          <t>PU-MEC</t>
        </is>
      </c>
      <c r="H12" s="3" t="inlineStr">
        <is>
          <t>ACT-01</t>
        </is>
      </c>
      <c r="I12" s="3" t="inlineStr">
        <is>
          <t>TIPO-P2</t>
        </is>
      </c>
      <c r="J12" s="11" t="n">
        <v>46219</v>
      </c>
      <c r="K12" s="3" t="n">
        <v>6</v>
      </c>
      <c r="L12" s="10" t="n">
        <v>150</v>
      </c>
      <c r="M12" s="6" t="n"/>
      <c r="N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" s="3">
        <f>IF(tblOrdenes[[#This Row],[fecha_inicio]]="","",YEAR(tblOrdenes[[#This Row],[fecha_inicio]]))</f>
        <v/>
      </c>
      <c r="R12" s="3">
        <f>IF(tblOrdenes[[#This Row],[fecha_inicio]]="","",MONTH(tblOrdenes[[#This Row],[fecha_inicio]]))</f>
        <v/>
      </c>
      <c r="S12" s="3">
        <f>IF(tblOrdenes[[#This Row],[fecha_inicio]]="","",INDEX(lista_dias,WEEKDAY(tblOrdenes[[#This Row],[fecha_inicio]],2)))</f>
        <v/>
      </c>
      <c r="T12" s="3">
        <f>IF(tblOrdenes[[#This Row],[tipo_ot]]="","",_xlfn.XLOOKUP(tblOrdenes[[#This Row],[tipo_ot]],tblTiposOT[codigo],tblTiposOT[clasificacion],"sin_clasificar"))</f>
        <v/>
      </c>
      <c r="U12" s="3">
        <f>IF(tblOrdenes[[#This Row],[centro_costo]]="","",_xlfn.XLOOKUP(tblOrdenes[[#This Row],[centro_costo]],tblCECO[codigo],tblCECO[linea],"(sin catálogo)"))</f>
        <v/>
      </c>
      <c r="V12" s="3">
        <f>IF(tblOrdenes[[#This Row],[centro_costo]]="","",_xlfn.XLOOKUP(tblOrdenes[[#This Row],[centro_costo]],tblCECO[codigo],tblCECO[area],"(sin catálogo)"))</f>
        <v/>
      </c>
      <c r="W12" s="3">
        <f>IF(tblOrdenes[[#This Row],[centro_costo]]="","",_xlfn.XLOOKUP(tblOrdenes[[#This Row],[centro_costo]],tblCECO[codigo],tblCECO[coordinador],"(sin catálogo)"))</f>
        <v/>
      </c>
      <c r="X12" s="3">
        <f>IF(tblOrdenes[[#This Row],[puesto_trabajo]]="","",_xlfn.XLOOKUP(tblOrdenes[[#This Row],[puesto_trabajo]],tblPuestos[codigo],tblPuestos[especialidad],"(sin catálogo)"))</f>
        <v/>
      </c>
      <c r="Y12" s="3">
        <f>IF(tblOrdenes[[#This Row],[cod_actividad]]="","",_xlfn.XLOOKUP(tblOrdenes[[#This Row],[cod_actividad]],tblActividades[codigo],tblActividades[descripcion],"(sin catálogo)"))</f>
        <v/>
      </c>
      <c r="Z12" s="12">
        <f>IF(tblOrdenes[[#This Row],[fecha_inicio]]="","",TODAY()-tblOrdenes[[#This Row],[fecha_inicio]])</f>
        <v/>
      </c>
      <c r="AA12" s="3">
        <f>IF(tblOrdenes[[#This Row],[backlog_dias]]="","",IF(tblOrdenes[[#This Row],[backlog_dias]]&lt;0,"FUTURO",IF(tblOrdenes[[#This Row],[backlog_dias]]&gt;p_dias_backlog_max,"BACKLOG","MES CORRIENTE")))</f>
        <v/>
      </c>
      <c r="AB12" s="3">
        <f>IF(tblOrdenes[[#This Row],[backlog_dias]]="",FALSE,AND(tblOrdenes[[#This Row],[backlog_dias]]&gt;p_dias_backlog_min,tblOrdenes[[#This Row],[backlog_dias]]&lt;=p_dias_backlog_max))</f>
        <v/>
      </c>
      <c r="AC12" s="6" t="inlineStr">
        <is>
          <t>Técnico 01</t>
        </is>
      </c>
      <c r="AD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" s="10">
        <f>IF(tblOrdenes[[#This Row],[orden]]="","",_xlfn.XLOOKUP(tblOrdenes[[#This Row],[id_operacion]],tblEjecucion[id_operacion],tblEjecucion[precio],0))</f>
        <v/>
      </c>
      <c r="AH12" s="10">
        <f>IF(tblOrdenes[[#This Row],[orden]]="","",MAX(0,_xlfn.XLOOKUP(tblOrdenes[[#This Row],[id_operacion]],tblEjecucion[id_operacion],tblEjecucion[costo_plan_total],0)-tblOrdenes[[#This Row],[costo_servicio]]))</f>
        <v/>
      </c>
      <c r="AI12" s="10">
        <f>IF(tblOrdenes[[#This Row],[orden]]="","",tblOrdenes[[#This Row],[costo_servicio]]+tblOrdenes[[#This Row],[costo_materiales]])</f>
        <v/>
      </c>
      <c r="AJ12" s="6" t="inlineStr"/>
      <c r="AK12" s="6" t="inlineStr"/>
      <c r="AL12" s="6" t="inlineStr">
        <is>
          <t>ACT-01.pdf</t>
        </is>
      </c>
      <c r="AM12" s="3">
        <f>IF(tblOrdenes[[#This Row],[link_checklist]]="","",HYPERLINK(p_ruta_base_checklists&amp;tblOrdenes[[#This Row],[link_checklist]],"abrir"))</f>
        <v/>
      </c>
      <c r="AN12" s="6" t="inlineStr"/>
      <c r="AO12" s="3">
        <f>IF(tblOrdenes[[#This Row],[orden]]="","",tblOrdenes[[#This Row],[orden]]&amp;IF(tblOrdenes[[#This Row],[operacion]]="","0010",tblOrdenes[[#This Row],[operacion]]))</f>
        <v/>
      </c>
    </row>
    <row r="13">
      <c r="A13" s="3" t="inlineStr">
        <is>
          <t>OT-000010</t>
        </is>
      </c>
      <c r="B13" s="3" t="inlineStr">
        <is>
          <t>0010</t>
        </is>
      </c>
      <c r="C13" s="3" t="inlineStr">
        <is>
          <t>Lubricación programada — EQ-101</t>
        </is>
      </c>
      <c r="D13" s="3" t="inlineStr">
        <is>
          <t>Lubricación programada en EQ-101</t>
        </is>
      </c>
      <c r="E13" s="3" t="inlineStr">
        <is>
          <t>EQ-101</t>
        </is>
      </c>
      <c r="F13" s="3" t="inlineStr">
        <is>
          <t>CC-110</t>
        </is>
      </c>
      <c r="G13" s="3" t="inlineStr">
        <is>
          <t>PU-MEC</t>
        </is>
      </c>
      <c r="H13" s="3" t="inlineStr">
        <is>
          <t>ACT-02</t>
        </is>
      </c>
      <c r="I13" s="3" t="inlineStr">
        <is>
          <t>TIPO-P1</t>
        </is>
      </c>
      <c r="J13" s="11" t="n">
        <v>46220</v>
      </c>
      <c r="K13" s="3" t="n">
        <v>8</v>
      </c>
      <c r="L13" s="10" t="n">
        <v>200</v>
      </c>
      <c r="M13" s="6" t="n"/>
      <c r="N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3" s="3">
        <f>IF(tblOrdenes[[#This Row],[fecha_inicio]]="","",YEAR(tblOrdenes[[#This Row],[fecha_inicio]]))</f>
        <v/>
      </c>
      <c r="R13" s="3">
        <f>IF(tblOrdenes[[#This Row],[fecha_inicio]]="","",MONTH(tblOrdenes[[#This Row],[fecha_inicio]]))</f>
        <v/>
      </c>
      <c r="S13" s="3">
        <f>IF(tblOrdenes[[#This Row],[fecha_inicio]]="","",INDEX(lista_dias,WEEKDAY(tblOrdenes[[#This Row],[fecha_inicio]],2)))</f>
        <v/>
      </c>
      <c r="T13" s="3">
        <f>IF(tblOrdenes[[#This Row],[tipo_ot]]="","",_xlfn.XLOOKUP(tblOrdenes[[#This Row],[tipo_ot]],tblTiposOT[codigo],tblTiposOT[clasificacion],"sin_clasificar"))</f>
        <v/>
      </c>
      <c r="U13" s="3">
        <f>IF(tblOrdenes[[#This Row],[centro_costo]]="","",_xlfn.XLOOKUP(tblOrdenes[[#This Row],[centro_costo]],tblCECO[codigo],tblCECO[linea],"(sin catálogo)"))</f>
        <v/>
      </c>
      <c r="V13" s="3">
        <f>IF(tblOrdenes[[#This Row],[centro_costo]]="","",_xlfn.XLOOKUP(tblOrdenes[[#This Row],[centro_costo]],tblCECO[codigo],tblCECO[area],"(sin catálogo)"))</f>
        <v/>
      </c>
      <c r="W13" s="3">
        <f>IF(tblOrdenes[[#This Row],[centro_costo]]="","",_xlfn.XLOOKUP(tblOrdenes[[#This Row],[centro_costo]],tblCECO[codigo],tblCECO[coordinador],"(sin catálogo)"))</f>
        <v/>
      </c>
      <c r="X13" s="3">
        <f>IF(tblOrdenes[[#This Row],[puesto_trabajo]]="","",_xlfn.XLOOKUP(tblOrdenes[[#This Row],[puesto_trabajo]],tblPuestos[codigo],tblPuestos[especialidad],"(sin catálogo)"))</f>
        <v/>
      </c>
      <c r="Y13" s="3">
        <f>IF(tblOrdenes[[#This Row],[cod_actividad]]="","",_xlfn.XLOOKUP(tblOrdenes[[#This Row],[cod_actividad]],tblActividades[codigo],tblActividades[descripcion],"(sin catálogo)"))</f>
        <v/>
      </c>
      <c r="Z13" s="12">
        <f>IF(tblOrdenes[[#This Row],[fecha_inicio]]="","",TODAY()-tblOrdenes[[#This Row],[fecha_inicio]])</f>
        <v/>
      </c>
      <c r="AA13" s="3">
        <f>IF(tblOrdenes[[#This Row],[backlog_dias]]="","",IF(tblOrdenes[[#This Row],[backlog_dias]]&lt;0,"FUTURO",IF(tblOrdenes[[#This Row],[backlog_dias]]&gt;p_dias_backlog_max,"BACKLOG","MES CORRIENTE")))</f>
        <v/>
      </c>
      <c r="AB13" s="3">
        <f>IF(tblOrdenes[[#This Row],[backlog_dias]]="",FALSE,AND(tblOrdenes[[#This Row],[backlog_dias]]&gt;p_dias_backlog_min,tblOrdenes[[#This Row],[backlog_dias]]&lt;=p_dias_backlog_max))</f>
        <v/>
      </c>
      <c r="AC13" s="6" t="inlineStr">
        <is>
          <t>Técnico 02</t>
        </is>
      </c>
      <c r="AD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3" s="10">
        <f>IF(tblOrdenes[[#This Row],[orden]]="","",_xlfn.XLOOKUP(tblOrdenes[[#This Row],[id_operacion]],tblEjecucion[id_operacion],tblEjecucion[precio],0))</f>
        <v/>
      </c>
      <c r="AH13" s="10">
        <f>IF(tblOrdenes[[#This Row],[orden]]="","",MAX(0,_xlfn.XLOOKUP(tblOrdenes[[#This Row],[id_operacion]],tblEjecucion[id_operacion],tblEjecucion[costo_plan_total],0)-tblOrdenes[[#This Row],[costo_servicio]]))</f>
        <v/>
      </c>
      <c r="AI13" s="10">
        <f>IF(tblOrdenes[[#This Row],[orden]]="","",tblOrdenes[[#This Row],[costo_servicio]]+tblOrdenes[[#This Row],[costo_materiales]])</f>
        <v/>
      </c>
      <c r="AJ13" s="6" t="inlineStr"/>
      <c r="AK13" s="6" t="inlineStr"/>
      <c r="AL13" s="6" t="inlineStr">
        <is>
          <t>ACT-02.pdf</t>
        </is>
      </c>
      <c r="AM13" s="3">
        <f>IF(tblOrdenes[[#This Row],[link_checklist]]="","",HYPERLINK(p_ruta_base_checklists&amp;tblOrdenes[[#This Row],[link_checklist]],"abrir"))</f>
        <v/>
      </c>
      <c r="AN13" s="6" t="inlineStr"/>
      <c r="AO13" s="3">
        <f>IF(tblOrdenes[[#This Row],[orden]]="","",tblOrdenes[[#This Row],[orden]]&amp;IF(tblOrdenes[[#This Row],[operacion]]="","0010",tblOrdenes[[#This Row],[operacion]]))</f>
        <v/>
      </c>
    </row>
    <row r="14">
      <c r="A14" s="3" t="inlineStr">
        <is>
          <t>OT-000011</t>
        </is>
      </c>
      <c r="B14" s="3" t="inlineStr">
        <is>
          <t>0010</t>
        </is>
      </c>
      <c r="C14" s="3" t="inlineStr">
        <is>
          <t>Reparación de falla — EQ-109</t>
        </is>
      </c>
      <c r="D14" s="3" t="inlineStr">
        <is>
          <t>Reparación de falla en EQ-109</t>
        </is>
      </c>
      <c r="E14" s="3" t="inlineStr">
        <is>
          <t>EQ-109</t>
        </is>
      </c>
      <c r="F14" s="3" t="inlineStr">
        <is>
          <t>CC-210</t>
        </is>
      </c>
      <c r="G14" s="3" t="inlineStr">
        <is>
          <t>PU-MEC</t>
        </is>
      </c>
      <c r="H14" s="3" t="inlineStr">
        <is>
          <t>ACT-03</t>
        </is>
      </c>
      <c r="I14" s="3" t="inlineStr">
        <is>
          <t>TIPO-C2</t>
        </is>
      </c>
      <c r="J14" s="11" t="n">
        <v>46216</v>
      </c>
      <c r="K14" s="3" t="n">
        <v>10</v>
      </c>
      <c r="L14" s="10" t="n">
        <v>400</v>
      </c>
      <c r="M14" s="6" t="n"/>
      <c r="N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4" s="3">
        <f>IF(tblOrdenes[[#This Row],[fecha_inicio]]="","",YEAR(tblOrdenes[[#This Row],[fecha_inicio]]))</f>
        <v/>
      </c>
      <c r="R14" s="3">
        <f>IF(tblOrdenes[[#This Row],[fecha_inicio]]="","",MONTH(tblOrdenes[[#This Row],[fecha_inicio]]))</f>
        <v/>
      </c>
      <c r="S14" s="3">
        <f>IF(tblOrdenes[[#This Row],[fecha_inicio]]="","",INDEX(lista_dias,WEEKDAY(tblOrdenes[[#This Row],[fecha_inicio]],2)))</f>
        <v/>
      </c>
      <c r="T14" s="3">
        <f>IF(tblOrdenes[[#This Row],[tipo_ot]]="","",_xlfn.XLOOKUP(tblOrdenes[[#This Row],[tipo_ot]],tblTiposOT[codigo],tblTiposOT[clasificacion],"sin_clasificar"))</f>
        <v/>
      </c>
      <c r="U14" s="3">
        <f>IF(tblOrdenes[[#This Row],[centro_costo]]="","",_xlfn.XLOOKUP(tblOrdenes[[#This Row],[centro_costo]],tblCECO[codigo],tblCECO[linea],"(sin catálogo)"))</f>
        <v/>
      </c>
      <c r="V14" s="3">
        <f>IF(tblOrdenes[[#This Row],[centro_costo]]="","",_xlfn.XLOOKUP(tblOrdenes[[#This Row],[centro_costo]],tblCECO[codigo],tblCECO[area],"(sin catálogo)"))</f>
        <v/>
      </c>
      <c r="W14" s="3">
        <f>IF(tblOrdenes[[#This Row],[centro_costo]]="","",_xlfn.XLOOKUP(tblOrdenes[[#This Row],[centro_costo]],tblCECO[codigo],tblCECO[coordinador],"(sin catálogo)"))</f>
        <v/>
      </c>
      <c r="X14" s="3">
        <f>IF(tblOrdenes[[#This Row],[puesto_trabajo]]="","",_xlfn.XLOOKUP(tblOrdenes[[#This Row],[puesto_trabajo]],tblPuestos[codigo],tblPuestos[especialidad],"(sin catálogo)"))</f>
        <v/>
      </c>
      <c r="Y14" s="3">
        <f>IF(tblOrdenes[[#This Row],[cod_actividad]]="","",_xlfn.XLOOKUP(tblOrdenes[[#This Row],[cod_actividad]],tblActividades[codigo],tblActividades[descripcion],"(sin catálogo)"))</f>
        <v/>
      </c>
      <c r="Z14" s="12">
        <f>IF(tblOrdenes[[#This Row],[fecha_inicio]]="","",TODAY()-tblOrdenes[[#This Row],[fecha_inicio]])</f>
        <v/>
      </c>
      <c r="AA14" s="3">
        <f>IF(tblOrdenes[[#This Row],[backlog_dias]]="","",IF(tblOrdenes[[#This Row],[backlog_dias]]&lt;0,"FUTURO",IF(tblOrdenes[[#This Row],[backlog_dias]]&gt;p_dias_backlog_max,"BACKLOG","MES CORRIENTE")))</f>
        <v/>
      </c>
      <c r="AB14" s="3">
        <f>IF(tblOrdenes[[#This Row],[backlog_dias]]="",FALSE,AND(tblOrdenes[[#This Row],[backlog_dias]]&gt;p_dias_backlog_min,tblOrdenes[[#This Row],[backlog_dias]]&lt;=p_dias_backlog_max))</f>
        <v/>
      </c>
      <c r="AC14" s="6" t="inlineStr">
        <is>
          <t>Técnico 03</t>
        </is>
      </c>
      <c r="AD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4" s="10">
        <f>IF(tblOrdenes[[#This Row],[orden]]="","",_xlfn.XLOOKUP(tblOrdenes[[#This Row],[id_operacion]],tblEjecucion[id_operacion],tblEjecucion[precio],0))</f>
        <v/>
      </c>
      <c r="AH14" s="10">
        <f>IF(tblOrdenes[[#This Row],[orden]]="","",MAX(0,_xlfn.XLOOKUP(tblOrdenes[[#This Row],[id_operacion]],tblEjecucion[id_operacion],tblEjecucion[costo_plan_total],0)-tblOrdenes[[#This Row],[costo_servicio]]))</f>
        <v/>
      </c>
      <c r="AI14" s="10">
        <f>IF(tblOrdenes[[#This Row],[orden]]="","",tblOrdenes[[#This Row],[costo_servicio]]+tblOrdenes[[#This Row],[costo_materiales]])</f>
        <v/>
      </c>
      <c r="AJ14" s="6" t="inlineStr"/>
      <c r="AK14" s="6" t="inlineStr"/>
      <c r="AL14" s="6" t="inlineStr"/>
      <c r="AM14" s="3">
        <f>IF(tblOrdenes[[#This Row],[link_checklist]]="","",HYPERLINK(p_ruta_base_checklists&amp;tblOrdenes[[#This Row],[link_checklist]],"abrir"))</f>
        <v/>
      </c>
      <c r="AN14" s="6" t="inlineStr"/>
      <c r="AO14" s="3">
        <f>IF(tblOrdenes[[#This Row],[orden]]="","",tblOrdenes[[#This Row],[orden]]&amp;IF(tblOrdenes[[#This Row],[operacion]]="","0010",tblOrdenes[[#This Row],[operacion]]))</f>
        <v/>
      </c>
    </row>
    <row r="15">
      <c r="A15" s="3" t="inlineStr">
        <is>
          <t>OT-000012</t>
        </is>
      </c>
      <c r="B15" s="3" t="inlineStr">
        <is>
          <t>0010</t>
        </is>
      </c>
      <c r="C15" s="3" t="inlineStr">
        <is>
          <t>Reparación de falla — EQ-110</t>
        </is>
      </c>
      <c r="D15" s="3" t="inlineStr">
        <is>
          <t>Reparación de falla en EQ-110</t>
        </is>
      </c>
      <c r="E15" s="3" t="inlineStr">
        <is>
          <t>EQ-110</t>
        </is>
      </c>
      <c r="F15" s="3" t="inlineStr">
        <is>
          <t>CC-310</t>
        </is>
      </c>
      <c r="G15" s="3" t="inlineStr">
        <is>
          <t>PU-MEC</t>
        </is>
      </c>
      <c r="H15" s="3" t="inlineStr">
        <is>
          <t>ACT-03</t>
        </is>
      </c>
      <c r="I15" s="3" t="inlineStr">
        <is>
          <t>TIPO-C1</t>
        </is>
      </c>
      <c r="J15" s="11" t="n">
        <v>46217</v>
      </c>
      <c r="K15" s="3" t="n">
        <v>10</v>
      </c>
      <c r="L15" s="10" t="n">
        <v>400</v>
      </c>
      <c r="M15" s="6" t="n"/>
      <c r="N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5" s="3">
        <f>IF(tblOrdenes[[#This Row],[fecha_inicio]]="","",YEAR(tblOrdenes[[#This Row],[fecha_inicio]]))</f>
        <v/>
      </c>
      <c r="R15" s="3">
        <f>IF(tblOrdenes[[#This Row],[fecha_inicio]]="","",MONTH(tblOrdenes[[#This Row],[fecha_inicio]]))</f>
        <v/>
      </c>
      <c r="S15" s="3">
        <f>IF(tblOrdenes[[#This Row],[fecha_inicio]]="","",INDEX(lista_dias,WEEKDAY(tblOrdenes[[#This Row],[fecha_inicio]],2)))</f>
        <v/>
      </c>
      <c r="T15" s="3">
        <f>IF(tblOrdenes[[#This Row],[tipo_ot]]="","",_xlfn.XLOOKUP(tblOrdenes[[#This Row],[tipo_ot]],tblTiposOT[codigo],tblTiposOT[clasificacion],"sin_clasificar"))</f>
        <v/>
      </c>
      <c r="U15" s="3">
        <f>IF(tblOrdenes[[#This Row],[centro_costo]]="","",_xlfn.XLOOKUP(tblOrdenes[[#This Row],[centro_costo]],tblCECO[codigo],tblCECO[linea],"(sin catálogo)"))</f>
        <v/>
      </c>
      <c r="V15" s="3">
        <f>IF(tblOrdenes[[#This Row],[centro_costo]]="","",_xlfn.XLOOKUP(tblOrdenes[[#This Row],[centro_costo]],tblCECO[codigo],tblCECO[area],"(sin catálogo)"))</f>
        <v/>
      </c>
      <c r="W15" s="3">
        <f>IF(tblOrdenes[[#This Row],[centro_costo]]="","",_xlfn.XLOOKUP(tblOrdenes[[#This Row],[centro_costo]],tblCECO[codigo],tblCECO[coordinador],"(sin catálogo)"))</f>
        <v/>
      </c>
      <c r="X15" s="3">
        <f>IF(tblOrdenes[[#This Row],[puesto_trabajo]]="","",_xlfn.XLOOKUP(tblOrdenes[[#This Row],[puesto_trabajo]],tblPuestos[codigo],tblPuestos[especialidad],"(sin catálogo)"))</f>
        <v/>
      </c>
      <c r="Y15" s="3">
        <f>IF(tblOrdenes[[#This Row],[cod_actividad]]="","",_xlfn.XLOOKUP(tblOrdenes[[#This Row],[cod_actividad]],tblActividades[codigo],tblActividades[descripcion],"(sin catálogo)"))</f>
        <v/>
      </c>
      <c r="Z15" s="12">
        <f>IF(tblOrdenes[[#This Row],[fecha_inicio]]="","",TODAY()-tblOrdenes[[#This Row],[fecha_inicio]])</f>
        <v/>
      </c>
      <c r="AA15" s="3">
        <f>IF(tblOrdenes[[#This Row],[backlog_dias]]="","",IF(tblOrdenes[[#This Row],[backlog_dias]]&lt;0,"FUTURO",IF(tblOrdenes[[#This Row],[backlog_dias]]&gt;p_dias_backlog_max,"BACKLOG","MES CORRIENTE")))</f>
        <v/>
      </c>
      <c r="AB15" s="3">
        <f>IF(tblOrdenes[[#This Row],[backlog_dias]]="",FALSE,AND(tblOrdenes[[#This Row],[backlog_dias]]&gt;p_dias_backlog_min,tblOrdenes[[#This Row],[backlog_dias]]&lt;=p_dias_backlog_max))</f>
        <v/>
      </c>
      <c r="AC15" s="6" t="inlineStr"/>
      <c r="AD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5" s="10">
        <f>IF(tblOrdenes[[#This Row],[orden]]="","",_xlfn.XLOOKUP(tblOrdenes[[#This Row],[id_operacion]],tblEjecucion[id_operacion],tblEjecucion[precio],0))</f>
        <v/>
      </c>
      <c r="AH15" s="10">
        <f>IF(tblOrdenes[[#This Row],[orden]]="","",MAX(0,_xlfn.XLOOKUP(tblOrdenes[[#This Row],[id_operacion]],tblEjecucion[id_operacion],tblEjecucion[costo_plan_total],0)-tblOrdenes[[#This Row],[costo_servicio]]))</f>
        <v/>
      </c>
      <c r="AI15" s="10">
        <f>IF(tblOrdenes[[#This Row],[orden]]="","",tblOrdenes[[#This Row],[costo_servicio]]+tblOrdenes[[#This Row],[costo_materiales]])</f>
        <v/>
      </c>
      <c r="AJ15" s="6" t="inlineStr">
        <is>
          <t>PT-CALIENTE</t>
        </is>
      </c>
      <c r="AK15" s="6" t="inlineStr">
        <is>
          <t>LOTO</t>
        </is>
      </c>
      <c r="AL15" s="6" t="inlineStr"/>
      <c r="AM15" s="3">
        <f>IF(tblOrdenes[[#This Row],[link_checklist]]="","",HYPERLINK(p_ruta_base_checklists&amp;tblOrdenes[[#This Row],[link_checklist]],"abrir"))</f>
        <v/>
      </c>
      <c r="AN15" s="6" t="inlineStr"/>
      <c r="AO15" s="3">
        <f>IF(tblOrdenes[[#This Row],[orden]]="","",tblOrdenes[[#This Row],[orden]]&amp;IF(tblOrdenes[[#This Row],[operacion]]="","0010",tblOrdenes[[#This Row],[operacion]]))</f>
        <v/>
      </c>
    </row>
    <row r="16">
      <c r="A16" s="3" t="inlineStr">
        <is>
          <t>OT-000013</t>
        </is>
      </c>
      <c r="B16" s="3" t="inlineStr">
        <is>
          <t>0010</t>
        </is>
      </c>
      <c r="C16" s="3" t="inlineStr">
        <is>
          <t>Lubricación programada — EQ-104</t>
        </is>
      </c>
      <c r="D16" s="3" t="inlineStr">
        <is>
          <t>Lubricación programada en EQ-104</t>
        </is>
      </c>
      <c r="E16" s="3" t="inlineStr">
        <is>
          <t>EQ-104</t>
        </is>
      </c>
      <c r="F16" s="3" t="inlineStr">
        <is>
          <t>CC-110</t>
        </is>
      </c>
      <c r="G16" s="3" t="inlineStr">
        <is>
          <t>PU-MEC</t>
        </is>
      </c>
      <c r="H16" s="3" t="inlineStr">
        <is>
          <t>ACT-02</t>
        </is>
      </c>
      <c r="I16" s="3" t="inlineStr">
        <is>
          <t>TIPO-P2</t>
        </is>
      </c>
      <c r="J16" s="11" t="n">
        <v>46225</v>
      </c>
      <c r="K16" s="3" t="n">
        <v>10</v>
      </c>
      <c r="L16" s="10" t="n">
        <v>250</v>
      </c>
      <c r="M16" s="6" t="n"/>
      <c r="N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6" s="3">
        <f>IF(tblOrdenes[[#This Row],[fecha_inicio]]="","",YEAR(tblOrdenes[[#This Row],[fecha_inicio]]))</f>
        <v/>
      </c>
      <c r="R16" s="3">
        <f>IF(tblOrdenes[[#This Row],[fecha_inicio]]="","",MONTH(tblOrdenes[[#This Row],[fecha_inicio]]))</f>
        <v/>
      </c>
      <c r="S16" s="3">
        <f>IF(tblOrdenes[[#This Row],[fecha_inicio]]="","",INDEX(lista_dias,WEEKDAY(tblOrdenes[[#This Row],[fecha_inicio]],2)))</f>
        <v/>
      </c>
      <c r="T16" s="3">
        <f>IF(tblOrdenes[[#This Row],[tipo_ot]]="","",_xlfn.XLOOKUP(tblOrdenes[[#This Row],[tipo_ot]],tblTiposOT[codigo],tblTiposOT[clasificacion],"sin_clasificar"))</f>
        <v/>
      </c>
      <c r="U16" s="3">
        <f>IF(tblOrdenes[[#This Row],[centro_costo]]="","",_xlfn.XLOOKUP(tblOrdenes[[#This Row],[centro_costo]],tblCECO[codigo],tblCECO[linea],"(sin catálogo)"))</f>
        <v/>
      </c>
      <c r="V16" s="3">
        <f>IF(tblOrdenes[[#This Row],[centro_costo]]="","",_xlfn.XLOOKUP(tblOrdenes[[#This Row],[centro_costo]],tblCECO[codigo],tblCECO[area],"(sin catálogo)"))</f>
        <v/>
      </c>
      <c r="W16" s="3">
        <f>IF(tblOrdenes[[#This Row],[centro_costo]]="","",_xlfn.XLOOKUP(tblOrdenes[[#This Row],[centro_costo]],tblCECO[codigo],tblCECO[coordinador],"(sin catálogo)"))</f>
        <v/>
      </c>
      <c r="X16" s="3">
        <f>IF(tblOrdenes[[#This Row],[puesto_trabajo]]="","",_xlfn.XLOOKUP(tblOrdenes[[#This Row],[puesto_trabajo]],tblPuestos[codigo],tblPuestos[especialidad],"(sin catálogo)"))</f>
        <v/>
      </c>
      <c r="Y16" s="3">
        <f>IF(tblOrdenes[[#This Row],[cod_actividad]]="","",_xlfn.XLOOKUP(tblOrdenes[[#This Row],[cod_actividad]],tblActividades[codigo],tblActividades[descripcion],"(sin catálogo)"))</f>
        <v/>
      </c>
      <c r="Z16" s="12">
        <f>IF(tblOrdenes[[#This Row],[fecha_inicio]]="","",TODAY()-tblOrdenes[[#This Row],[fecha_inicio]])</f>
        <v/>
      </c>
      <c r="AA16" s="3">
        <f>IF(tblOrdenes[[#This Row],[backlog_dias]]="","",IF(tblOrdenes[[#This Row],[backlog_dias]]&lt;0,"FUTURO",IF(tblOrdenes[[#This Row],[backlog_dias]]&gt;p_dias_backlog_max,"BACKLOG","MES CORRIENTE")))</f>
        <v/>
      </c>
      <c r="AB16" s="3">
        <f>IF(tblOrdenes[[#This Row],[backlog_dias]]="",FALSE,AND(tblOrdenes[[#This Row],[backlog_dias]]&gt;p_dias_backlog_min,tblOrdenes[[#This Row],[backlog_dias]]&lt;=p_dias_backlog_max))</f>
        <v/>
      </c>
      <c r="AC16" s="6" t="inlineStr">
        <is>
          <t>Técnico 01</t>
        </is>
      </c>
      <c r="AD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6" s="10">
        <f>IF(tblOrdenes[[#This Row],[orden]]="","",_xlfn.XLOOKUP(tblOrdenes[[#This Row],[id_operacion]],tblEjecucion[id_operacion],tblEjecucion[precio],0))</f>
        <v/>
      </c>
      <c r="AH16" s="10">
        <f>IF(tblOrdenes[[#This Row],[orden]]="","",MAX(0,_xlfn.XLOOKUP(tblOrdenes[[#This Row],[id_operacion]],tblEjecucion[id_operacion],tblEjecucion[costo_plan_total],0)-tblOrdenes[[#This Row],[costo_servicio]]))</f>
        <v/>
      </c>
      <c r="AI16" s="10">
        <f>IF(tblOrdenes[[#This Row],[orden]]="","",tblOrdenes[[#This Row],[costo_servicio]]+tblOrdenes[[#This Row],[costo_materiales]])</f>
        <v/>
      </c>
      <c r="AJ16" s="6" t="inlineStr"/>
      <c r="AK16" s="6" t="inlineStr"/>
      <c r="AL16" s="6" t="inlineStr">
        <is>
          <t>ACT-02.pdf</t>
        </is>
      </c>
      <c r="AM16" s="3">
        <f>IF(tblOrdenes[[#This Row],[link_checklist]]="","",HYPERLINK(p_ruta_base_checklists&amp;tblOrdenes[[#This Row],[link_checklist]],"abrir"))</f>
        <v/>
      </c>
      <c r="AN16" s="6" t="inlineStr"/>
      <c r="AO16" s="3">
        <f>IF(tblOrdenes[[#This Row],[orden]]="","",tblOrdenes[[#This Row],[orden]]&amp;IF(tblOrdenes[[#This Row],[operacion]]="","0010",tblOrdenes[[#This Row],[operacion]]))</f>
        <v/>
      </c>
    </row>
    <row r="17">
      <c r="A17" s="3" t="inlineStr">
        <is>
          <t>OT-000014</t>
        </is>
      </c>
      <c r="B17" s="3" t="inlineStr">
        <is>
          <t>0010</t>
        </is>
      </c>
      <c r="C17" s="3" t="inlineStr">
        <is>
          <t>Análisis predictivo — EQ-108</t>
        </is>
      </c>
      <c r="D17" s="3" t="inlineStr">
        <is>
          <t>Análisis predictivo en EQ-108</t>
        </is>
      </c>
      <c r="E17" s="3" t="inlineStr">
        <is>
          <t>EQ-108</t>
        </is>
      </c>
      <c r="F17" s="3" t="inlineStr">
        <is>
          <t>CC-210</t>
        </is>
      </c>
      <c r="G17" s="3" t="inlineStr">
        <is>
          <t>PU-MEC</t>
        </is>
      </c>
      <c r="H17" s="3" t="inlineStr">
        <is>
          <t>ACT-04</t>
        </is>
      </c>
      <c r="I17" s="3" t="inlineStr">
        <is>
          <t>TIPO-P1</t>
        </is>
      </c>
      <c r="J17" s="11" t="n">
        <v>46226</v>
      </c>
      <c r="K17" s="3" t="n">
        <v>8</v>
      </c>
      <c r="L17" s="10" t="n">
        <v>200</v>
      </c>
      <c r="M17" s="6" t="n"/>
      <c r="N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7" s="3">
        <f>IF(tblOrdenes[[#This Row],[fecha_inicio]]="","",YEAR(tblOrdenes[[#This Row],[fecha_inicio]]))</f>
        <v/>
      </c>
      <c r="R17" s="3">
        <f>IF(tblOrdenes[[#This Row],[fecha_inicio]]="","",MONTH(tblOrdenes[[#This Row],[fecha_inicio]]))</f>
        <v/>
      </c>
      <c r="S17" s="3">
        <f>IF(tblOrdenes[[#This Row],[fecha_inicio]]="","",INDEX(lista_dias,WEEKDAY(tblOrdenes[[#This Row],[fecha_inicio]],2)))</f>
        <v/>
      </c>
      <c r="T17" s="3">
        <f>IF(tblOrdenes[[#This Row],[tipo_ot]]="","",_xlfn.XLOOKUP(tblOrdenes[[#This Row],[tipo_ot]],tblTiposOT[codigo],tblTiposOT[clasificacion],"sin_clasificar"))</f>
        <v/>
      </c>
      <c r="U17" s="3">
        <f>IF(tblOrdenes[[#This Row],[centro_costo]]="","",_xlfn.XLOOKUP(tblOrdenes[[#This Row],[centro_costo]],tblCECO[codigo],tblCECO[linea],"(sin catálogo)"))</f>
        <v/>
      </c>
      <c r="V17" s="3">
        <f>IF(tblOrdenes[[#This Row],[centro_costo]]="","",_xlfn.XLOOKUP(tblOrdenes[[#This Row],[centro_costo]],tblCECO[codigo],tblCECO[area],"(sin catálogo)"))</f>
        <v/>
      </c>
      <c r="W17" s="3">
        <f>IF(tblOrdenes[[#This Row],[centro_costo]]="","",_xlfn.XLOOKUP(tblOrdenes[[#This Row],[centro_costo]],tblCECO[codigo],tblCECO[coordinador],"(sin catálogo)"))</f>
        <v/>
      </c>
      <c r="X17" s="3">
        <f>IF(tblOrdenes[[#This Row],[puesto_trabajo]]="","",_xlfn.XLOOKUP(tblOrdenes[[#This Row],[puesto_trabajo]],tblPuestos[codigo],tblPuestos[especialidad],"(sin catálogo)"))</f>
        <v/>
      </c>
      <c r="Y17" s="3">
        <f>IF(tblOrdenes[[#This Row],[cod_actividad]]="","",_xlfn.XLOOKUP(tblOrdenes[[#This Row],[cod_actividad]],tblActividades[codigo],tblActividades[descripcion],"(sin catálogo)"))</f>
        <v/>
      </c>
      <c r="Z17" s="12">
        <f>IF(tblOrdenes[[#This Row],[fecha_inicio]]="","",TODAY()-tblOrdenes[[#This Row],[fecha_inicio]])</f>
        <v/>
      </c>
      <c r="AA17" s="3">
        <f>IF(tblOrdenes[[#This Row],[backlog_dias]]="","",IF(tblOrdenes[[#This Row],[backlog_dias]]&lt;0,"FUTURO",IF(tblOrdenes[[#This Row],[backlog_dias]]&gt;p_dias_backlog_max,"BACKLOG","MES CORRIENTE")))</f>
        <v/>
      </c>
      <c r="AB17" s="3">
        <f>IF(tblOrdenes[[#This Row],[backlog_dias]]="",FALSE,AND(tblOrdenes[[#This Row],[backlog_dias]]&gt;p_dias_backlog_min,tblOrdenes[[#This Row],[backlog_dias]]&lt;=p_dias_backlog_max))</f>
        <v/>
      </c>
      <c r="AC17" s="6" t="inlineStr">
        <is>
          <t>Técnico 02</t>
        </is>
      </c>
      <c r="AD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7" s="10">
        <f>IF(tblOrdenes[[#This Row],[orden]]="","",_xlfn.XLOOKUP(tblOrdenes[[#This Row],[id_operacion]],tblEjecucion[id_operacion],tblEjecucion[precio],0))</f>
        <v/>
      </c>
      <c r="AH17" s="10">
        <f>IF(tblOrdenes[[#This Row],[orden]]="","",MAX(0,_xlfn.XLOOKUP(tblOrdenes[[#This Row],[id_operacion]],tblEjecucion[id_operacion],tblEjecucion[costo_plan_total],0)-tblOrdenes[[#This Row],[costo_servicio]]))</f>
        <v/>
      </c>
      <c r="AI17" s="10">
        <f>IF(tblOrdenes[[#This Row],[orden]]="","",tblOrdenes[[#This Row],[costo_servicio]]+tblOrdenes[[#This Row],[costo_materiales]])</f>
        <v/>
      </c>
      <c r="AJ17" s="6" t="inlineStr"/>
      <c r="AK17" s="6" t="inlineStr"/>
      <c r="AL17" s="6" t="inlineStr">
        <is>
          <t>ACT-04.pdf</t>
        </is>
      </c>
      <c r="AM17" s="3">
        <f>IF(tblOrdenes[[#This Row],[link_checklist]]="","",HYPERLINK(p_ruta_base_checklists&amp;tblOrdenes[[#This Row],[link_checklist]],"abrir"))</f>
        <v/>
      </c>
      <c r="AN17" s="6" t="inlineStr"/>
      <c r="AO17" s="3">
        <f>IF(tblOrdenes[[#This Row],[orden]]="","",tblOrdenes[[#This Row],[orden]]&amp;IF(tblOrdenes[[#This Row],[operacion]]="","0010",tblOrdenes[[#This Row],[operacion]]))</f>
        <v/>
      </c>
    </row>
    <row r="18">
      <c r="A18" s="3" t="inlineStr">
        <is>
          <t>OT-000015</t>
        </is>
      </c>
      <c r="B18" s="3" t="inlineStr">
        <is>
          <t>0010</t>
        </is>
      </c>
      <c r="C18" s="3" t="inlineStr">
        <is>
          <t>Inspección de rutina — EQ-110</t>
        </is>
      </c>
      <c r="D18" s="3" t="inlineStr">
        <is>
          <t>Inspección de rutina en EQ-110</t>
        </is>
      </c>
      <c r="E18" s="3" t="inlineStr">
        <is>
          <t>EQ-110</t>
        </is>
      </c>
      <c r="F18" s="3" t="inlineStr">
        <is>
          <t>CC-310</t>
        </is>
      </c>
      <c r="G18" s="3" t="inlineStr">
        <is>
          <t>PU-MEC</t>
        </is>
      </c>
      <c r="H18" s="3" t="inlineStr">
        <is>
          <t>ACT-01</t>
        </is>
      </c>
      <c r="I18" s="3" t="inlineStr">
        <is>
          <t>TIPO-P2</t>
        </is>
      </c>
      <c r="J18" s="11" t="n">
        <v>46227</v>
      </c>
      <c r="K18" s="3" t="n">
        <v>6</v>
      </c>
      <c r="L18" s="10" t="n">
        <v>150</v>
      </c>
      <c r="M18" s="6" t="n"/>
      <c r="N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8" s="3">
        <f>IF(tblOrdenes[[#This Row],[fecha_inicio]]="","",YEAR(tblOrdenes[[#This Row],[fecha_inicio]]))</f>
        <v/>
      </c>
      <c r="R18" s="3">
        <f>IF(tblOrdenes[[#This Row],[fecha_inicio]]="","",MONTH(tblOrdenes[[#This Row],[fecha_inicio]]))</f>
        <v/>
      </c>
      <c r="S18" s="3">
        <f>IF(tblOrdenes[[#This Row],[fecha_inicio]]="","",INDEX(lista_dias,WEEKDAY(tblOrdenes[[#This Row],[fecha_inicio]],2)))</f>
        <v/>
      </c>
      <c r="T18" s="3">
        <f>IF(tblOrdenes[[#This Row],[tipo_ot]]="","",_xlfn.XLOOKUP(tblOrdenes[[#This Row],[tipo_ot]],tblTiposOT[codigo],tblTiposOT[clasificacion],"sin_clasificar"))</f>
        <v/>
      </c>
      <c r="U18" s="3">
        <f>IF(tblOrdenes[[#This Row],[centro_costo]]="","",_xlfn.XLOOKUP(tblOrdenes[[#This Row],[centro_costo]],tblCECO[codigo],tblCECO[linea],"(sin catálogo)"))</f>
        <v/>
      </c>
      <c r="V18" s="3">
        <f>IF(tblOrdenes[[#This Row],[centro_costo]]="","",_xlfn.XLOOKUP(tblOrdenes[[#This Row],[centro_costo]],tblCECO[codigo],tblCECO[area],"(sin catálogo)"))</f>
        <v/>
      </c>
      <c r="W18" s="3">
        <f>IF(tblOrdenes[[#This Row],[centro_costo]]="","",_xlfn.XLOOKUP(tblOrdenes[[#This Row],[centro_costo]],tblCECO[codigo],tblCECO[coordinador],"(sin catálogo)"))</f>
        <v/>
      </c>
      <c r="X18" s="3">
        <f>IF(tblOrdenes[[#This Row],[puesto_trabajo]]="","",_xlfn.XLOOKUP(tblOrdenes[[#This Row],[puesto_trabajo]],tblPuestos[codigo],tblPuestos[especialidad],"(sin catálogo)"))</f>
        <v/>
      </c>
      <c r="Y18" s="3">
        <f>IF(tblOrdenes[[#This Row],[cod_actividad]]="","",_xlfn.XLOOKUP(tblOrdenes[[#This Row],[cod_actividad]],tblActividades[codigo],tblActividades[descripcion],"(sin catálogo)"))</f>
        <v/>
      </c>
      <c r="Z18" s="12">
        <f>IF(tblOrdenes[[#This Row],[fecha_inicio]]="","",TODAY()-tblOrdenes[[#This Row],[fecha_inicio]])</f>
        <v/>
      </c>
      <c r="AA18" s="3">
        <f>IF(tblOrdenes[[#This Row],[backlog_dias]]="","",IF(tblOrdenes[[#This Row],[backlog_dias]]&lt;0,"FUTURO",IF(tblOrdenes[[#This Row],[backlog_dias]]&gt;p_dias_backlog_max,"BACKLOG","MES CORRIENTE")))</f>
        <v/>
      </c>
      <c r="AB18" s="3">
        <f>IF(tblOrdenes[[#This Row],[backlog_dias]]="",FALSE,AND(tblOrdenes[[#This Row],[backlog_dias]]&gt;p_dias_backlog_min,tblOrdenes[[#This Row],[backlog_dias]]&lt;=p_dias_backlog_max))</f>
        <v/>
      </c>
      <c r="AC18" s="6" t="inlineStr">
        <is>
          <t>Técnico 03</t>
        </is>
      </c>
      <c r="AD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8" s="10">
        <f>IF(tblOrdenes[[#This Row],[orden]]="","",_xlfn.XLOOKUP(tblOrdenes[[#This Row],[id_operacion]],tblEjecucion[id_operacion],tblEjecucion[precio],0))</f>
        <v/>
      </c>
      <c r="AH18" s="10">
        <f>IF(tblOrdenes[[#This Row],[orden]]="","",MAX(0,_xlfn.XLOOKUP(tblOrdenes[[#This Row],[id_operacion]],tblEjecucion[id_operacion],tblEjecucion[costo_plan_total],0)-tblOrdenes[[#This Row],[costo_servicio]]))</f>
        <v/>
      </c>
      <c r="AI18" s="10">
        <f>IF(tblOrdenes[[#This Row],[orden]]="","",tblOrdenes[[#This Row],[costo_servicio]]+tblOrdenes[[#This Row],[costo_materiales]])</f>
        <v/>
      </c>
      <c r="AJ18" s="6" t="inlineStr"/>
      <c r="AK18" s="6" t="inlineStr"/>
      <c r="AL18" s="6" t="inlineStr">
        <is>
          <t>ACT-01.pdf</t>
        </is>
      </c>
      <c r="AM18" s="3">
        <f>IF(tblOrdenes[[#This Row],[link_checklist]]="","",HYPERLINK(p_ruta_base_checklists&amp;tblOrdenes[[#This Row],[link_checklist]],"abrir"))</f>
        <v/>
      </c>
      <c r="AN18" s="6" t="inlineStr"/>
      <c r="AO18" s="3">
        <f>IF(tblOrdenes[[#This Row],[orden]]="","",tblOrdenes[[#This Row],[orden]]&amp;IF(tblOrdenes[[#This Row],[operacion]]="","0010",tblOrdenes[[#This Row],[operacion]]))</f>
        <v/>
      </c>
    </row>
    <row r="19">
      <c r="A19" s="3" t="inlineStr">
        <is>
          <t>OT-000016</t>
        </is>
      </c>
      <c r="B19" s="3" t="inlineStr">
        <is>
          <t>0010</t>
        </is>
      </c>
      <c r="C19" s="3" t="inlineStr">
        <is>
          <t>Lubricación programada — EQ-102</t>
        </is>
      </c>
      <c r="D19" s="3" t="inlineStr">
        <is>
          <t>Lubricación programada en EQ-102</t>
        </is>
      </c>
      <c r="E19" s="3" t="inlineStr">
        <is>
          <t>EQ-102</t>
        </is>
      </c>
      <c r="F19" s="3" t="inlineStr">
        <is>
          <t>CC-110</t>
        </is>
      </c>
      <c r="G19" s="3" t="inlineStr">
        <is>
          <t>PU-MEC</t>
        </is>
      </c>
      <c r="H19" s="3" t="inlineStr">
        <is>
          <t>ACT-02</t>
        </is>
      </c>
      <c r="I19" s="3" t="inlineStr">
        <is>
          <t>TIPO-P1</t>
        </is>
      </c>
      <c r="J19" s="11" t="n">
        <v>46223</v>
      </c>
      <c r="K19" s="3" t="n">
        <v>10</v>
      </c>
      <c r="L19" s="10" t="n">
        <v>250</v>
      </c>
      <c r="M19" s="6" t="n"/>
      <c r="N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9" s="3">
        <f>IF(tblOrdenes[[#This Row],[fecha_inicio]]="","",YEAR(tblOrdenes[[#This Row],[fecha_inicio]]))</f>
        <v/>
      </c>
      <c r="R19" s="3">
        <f>IF(tblOrdenes[[#This Row],[fecha_inicio]]="","",MONTH(tblOrdenes[[#This Row],[fecha_inicio]]))</f>
        <v/>
      </c>
      <c r="S19" s="3">
        <f>IF(tblOrdenes[[#This Row],[fecha_inicio]]="","",INDEX(lista_dias,WEEKDAY(tblOrdenes[[#This Row],[fecha_inicio]],2)))</f>
        <v/>
      </c>
      <c r="T19" s="3">
        <f>IF(tblOrdenes[[#This Row],[tipo_ot]]="","",_xlfn.XLOOKUP(tblOrdenes[[#This Row],[tipo_ot]],tblTiposOT[codigo],tblTiposOT[clasificacion],"sin_clasificar"))</f>
        <v/>
      </c>
      <c r="U19" s="3">
        <f>IF(tblOrdenes[[#This Row],[centro_costo]]="","",_xlfn.XLOOKUP(tblOrdenes[[#This Row],[centro_costo]],tblCECO[codigo],tblCECO[linea],"(sin catálogo)"))</f>
        <v/>
      </c>
      <c r="V19" s="3">
        <f>IF(tblOrdenes[[#This Row],[centro_costo]]="","",_xlfn.XLOOKUP(tblOrdenes[[#This Row],[centro_costo]],tblCECO[codigo],tblCECO[area],"(sin catálogo)"))</f>
        <v/>
      </c>
      <c r="W19" s="3">
        <f>IF(tblOrdenes[[#This Row],[centro_costo]]="","",_xlfn.XLOOKUP(tblOrdenes[[#This Row],[centro_costo]],tblCECO[codigo],tblCECO[coordinador],"(sin catálogo)"))</f>
        <v/>
      </c>
      <c r="X19" s="3">
        <f>IF(tblOrdenes[[#This Row],[puesto_trabajo]]="","",_xlfn.XLOOKUP(tblOrdenes[[#This Row],[puesto_trabajo]],tblPuestos[codigo],tblPuestos[especialidad],"(sin catálogo)"))</f>
        <v/>
      </c>
      <c r="Y19" s="3">
        <f>IF(tblOrdenes[[#This Row],[cod_actividad]]="","",_xlfn.XLOOKUP(tblOrdenes[[#This Row],[cod_actividad]],tblActividades[codigo],tblActividades[descripcion],"(sin catálogo)"))</f>
        <v/>
      </c>
      <c r="Z19" s="12">
        <f>IF(tblOrdenes[[#This Row],[fecha_inicio]]="","",TODAY()-tblOrdenes[[#This Row],[fecha_inicio]])</f>
        <v/>
      </c>
      <c r="AA19" s="3">
        <f>IF(tblOrdenes[[#This Row],[backlog_dias]]="","",IF(tblOrdenes[[#This Row],[backlog_dias]]&lt;0,"FUTURO",IF(tblOrdenes[[#This Row],[backlog_dias]]&gt;p_dias_backlog_max,"BACKLOG","MES CORRIENTE")))</f>
        <v/>
      </c>
      <c r="AB19" s="3">
        <f>IF(tblOrdenes[[#This Row],[backlog_dias]]="",FALSE,AND(tblOrdenes[[#This Row],[backlog_dias]]&gt;p_dias_backlog_min,tblOrdenes[[#This Row],[backlog_dias]]&lt;=p_dias_backlog_max))</f>
        <v/>
      </c>
      <c r="AC19" s="6" t="inlineStr">
        <is>
          <t>Técnico 04</t>
        </is>
      </c>
      <c r="AD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9" s="10">
        <f>IF(tblOrdenes[[#This Row],[orden]]="","",_xlfn.XLOOKUP(tblOrdenes[[#This Row],[id_operacion]],tblEjecucion[id_operacion],tblEjecucion[precio],0))</f>
        <v/>
      </c>
      <c r="AH19" s="10">
        <f>IF(tblOrdenes[[#This Row],[orden]]="","",MAX(0,_xlfn.XLOOKUP(tblOrdenes[[#This Row],[id_operacion]],tblEjecucion[id_operacion],tblEjecucion[costo_plan_total],0)-tblOrdenes[[#This Row],[costo_servicio]]))</f>
        <v/>
      </c>
      <c r="AI19" s="10">
        <f>IF(tblOrdenes[[#This Row],[orden]]="","",tblOrdenes[[#This Row],[costo_servicio]]+tblOrdenes[[#This Row],[costo_materiales]])</f>
        <v/>
      </c>
      <c r="AJ19" s="6" t="inlineStr"/>
      <c r="AK19" s="6" t="inlineStr"/>
      <c r="AL19" s="6" t="inlineStr">
        <is>
          <t>ACT-02.pdf</t>
        </is>
      </c>
      <c r="AM19" s="3">
        <f>IF(tblOrdenes[[#This Row],[link_checklist]]="","",HYPERLINK(p_ruta_base_checklists&amp;tblOrdenes[[#This Row],[link_checklist]],"abrir"))</f>
        <v/>
      </c>
      <c r="AN19" s="6" t="inlineStr"/>
      <c r="AO19" s="3">
        <f>IF(tblOrdenes[[#This Row],[orden]]="","",tblOrdenes[[#This Row],[orden]]&amp;IF(tblOrdenes[[#This Row],[operacion]]="","0010",tblOrdenes[[#This Row],[operacion]]))</f>
        <v/>
      </c>
    </row>
    <row r="20">
      <c r="A20" s="3" t="inlineStr">
        <is>
          <t>OT-000017</t>
        </is>
      </c>
      <c r="B20" s="3" t="inlineStr">
        <is>
          <t>0010</t>
        </is>
      </c>
      <c r="C20" s="3" t="inlineStr">
        <is>
          <t>Análisis predictivo — EQ-107</t>
        </is>
      </c>
      <c r="D20" s="3" t="inlineStr">
        <is>
          <t>Análisis predictivo en EQ-107</t>
        </is>
      </c>
      <c r="E20" s="3" t="inlineStr">
        <is>
          <t>EQ-107</t>
        </is>
      </c>
      <c r="F20" s="3" t="inlineStr">
        <is>
          <t>CC-210</t>
        </is>
      </c>
      <c r="G20" s="3" t="inlineStr">
        <is>
          <t>PU-MEC</t>
        </is>
      </c>
      <c r="H20" s="3" t="inlineStr">
        <is>
          <t>ACT-04</t>
        </is>
      </c>
      <c r="I20" s="3" t="inlineStr">
        <is>
          <t>TIPO-P2</t>
        </is>
      </c>
      <c r="J20" s="11" t="n">
        <v>46224</v>
      </c>
      <c r="K20" s="3" t="n">
        <v>8</v>
      </c>
      <c r="L20" s="10" t="n">
        <v>200</v>
      </c>
      <c r="M20" s="6" t="n">
        <v>12</v>
      </c>
      <c r="N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0" s="3">
        <f>IF(tblOrdenes[[#This Row],[fecha_inicio]]="","",YEAR(tblOrdenes[[#This Row],[fecha_inicio]]))</f>
        <v/>
      </c>
      <c r="R20" s="3">
        <f>IF(tblOrdenes[[#This Row],[fecha_inicio]]="","",MONTH(tblOrdenes[[#This Row],[fecha_inicio]]))</f>
        <v/>
      </c>
      <c r="S20" s="3">
        <f>IF(tblOrdenes[[#This Row],[fecha_inicio]]="","",INDEX(lista_dias,WEEKDAY(tblOrdenes[[#This Row],[fecha_inicio]],2)))</f>
        <v/>
      </c>
      <c r="T20" s="3">
        <f>IF(tblOrdenes[[#This Row],[tipo_ot]]="","",_xlfn.XLOOKUP(tblOrdenes[[#This Row],[tipo_ot]],tblTiposOT[codigo],tblTiposOT[clasificacion],"sin_clasificar"))</f>
        <v/>
      </c>
      <c r="U20" s="3">
        <f>IF(tblOrdenes[[#This Row],[centro_costo]]="","",_xlfn.XLOOKUP(tblOrdenes[[#This Row],[centro_costo]],tblCECO[codigo],tblCECO[linea],"(sin catálogo)"))</f>
        <v/>
      </c>
      <c r="V20" s="3">
        <f>IF(tblOrdenes[[#This Row],[centro_costo]]="","",_xlfn.XLOOKUP(tblOrdenes[[#This Row],[centro_costo]],tblCECO[codigo],tblCECO[area],"(sin catálogo)"))</f>
        <v/>
      </c>
      <c r="W20" s="3">
        <f>IF(tblOrdenes[[#This Row],[centro_costo]]="","",_xlfn.XLOOKUP(tblOrdenes[[#This Row],[centro_costo]],tblCECO[codigo],tblCECO[coordinador],"(sin catálogo)"))</f>
        <v/>
      </c>
      <c r="X20" s="3">
        <f>IF(tblOrdenes[[#This Row],[puesto_trabajo]]="","",_xlfn.XLOOKUP(tblOrdenes[[#This Row],[puesto_trabajo]],tblPuestos[codigo],tblPuestos[especialidad],"(sin catálogo)"))</f>
        <v/>
      </c>
      <c r="Y20" s="3">
        <f>IF(tblOrdenes[[#This Row],[cod_actividad]]="","",_xlfn.XLOOKUP(tblOrdenes[[#This Row],[cod_actividad]],tblActividades[codigo],tblActividades[descripcion],"(sin catálogo)"))</f>
        <v/>
      </c>
      <c r="Z20" s="12">
        <f>IF(tblOrdenes[[#This Row],[fecha_inicio]]="","",TODAY()-tblOrdenes[[#This Row],[fecha_inicio]])</f>
        <v/>
      </c>
      <c r="AA20" s="3">
        <f>IF(tblOrdenes[[#This Row],[backlog_dias]]="","",IF(tblOrdenes[[#This Row],[backlog_dias]]&lt;0,"FUTURO",IF(tblOrdenes[[#This Row],[backlog_dias]]&gt;p_dias_backlog_max,"BACKLOG","MES CORRIENTE")))</f>
        <v/>
      </c>
      <c r="AB20" s="3">
        <f>IF(tblOrdenes[[#This Row],[backlog_dias]]="",FALSE,AND(tblOrdenes[[#This Row],[backlog_dias]]&gt;p_dias_backlog_min,tblOrdenes[[#This Row],[backlog_dias]]&lt;=p_dias_backlog_max))</f>
        <v/>
      </c>
      <c r="AC20" s="6" t="inlineStr">
        <is>
          <t>Técnico 01</t>
        </is>
      </c>
      <c r="AD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0" s="10">
        <f>IF(tblOrdenes[[#This Row],[orden]]="","",_xlfn.XLOOKUP(tblOrdenes[[#This Row],[id_operacion]],tblEjecucion[id_operacion],tblEjecucion[precio],0))</f>
        <v/>
      </c>
      <c r="AH20" s="10">
        <f>IF(tblOrdenes[[#This Row],[orden]]="","",MAX(0,_xlfn.XLOOKUP(tblOrdenes[[#This Row],[id_operacion]],tblEjecucion[id_operacion],tblEjecucion[costo_plan_total],0)-tblOrdenes[[#This Row],[costo_servicio]]))</f>
        <v/>
      </c>
      <c r="AI20" s="10">
        <f>IF(tblOrdenes[[#This Row],[orden]]="","",tblOrdenes[[#This Row],[costo_servicio]]+tblOrdenes[[#This Row],[costo_materiales]])</f>
        <v/>
      </c>
      <c r="AJ20" s="6" t="inlineStr"/>
      <c r="AK20" s="6" t="inlineStr"/>
      <c r="AL20" s="6" t="inlineStr">
        <is>
          <t>ACT-04.pdf</t>
        </is>
      </c>
      <c r="AM20" s="3">
        <f>IF(tblOrdenes[[#This Row],[link_checklist]]="","",HYPERLINK(p_ruta_base_checklists&amp;tblOrdenes[[#This Row],[link_checklist]],"abrir"))</f>
        <v/>
      </c>
      <c r="AN20" s="6" t="inlineStr">
        <is>
          <t>Ajuste: 8 → 12 h por alcance real</t>
        </is>
      </c>
      <c r="AO20" s="3">
        <f>IF(tblOrdenes[[#This Row],[orden]]="","",tblOrdenes[[#This Row],[orden]]&amp;IF(tblOrdenes[[#This Row],[operacion]]="","0010",tblOrdenes[[#This Row],[operacion]]))</f>
        <v/>
      </c>
    </row>
    <row r="21">
      <c r="A21" s="3" t="inlineStr">
        <is>
          <t>OT-000018</t>
        </is>
      </c>
      <c r="B21" s="3" t="inlineStr">
        <is>
          <t>0010</t>
        </is>
      </c>
      <c r="C21" s="3" t="inlineStr">
        <is>
          <t>Inspección de rutina — EQ-110</t>
        </is>
      </c>
      <c r="D21" s="3" t="inlineStr">
        <is>
          <t>Inspección de rutina en EQ-110</t>
        </is>
      </c>
      <c r="E21" s="3" t="inlineStr">
        <is>
          <t>EQ-110</t>
        </is>
      </c>
      <c r="F21" s="3" t="inlineStr">
        <is>
          <t>CC-310</t>
        </is>
      </c>
      <c r="G21" s="3" t="inlineStr">
        <is>
          <t>PU-MEC</t>
        </is>
      </c>
      <c r="H21" s="3" t="inlineStr">
        <is>
          <t>ACT-01</t>
        </is>
      </c>
      <c r="I21" s="3" t="inlineStr">
        <is>
          <t>TIPO-P1</t>
        </is>
      </c>
      <c r="J21" s="11" t="n">
        <v>46225</v>
      </c>
      <c r="K21" s="3" t="n">
        <v>6</v>
      </c>
      <c r="L21" s="10" t="n">
        <v>150</v>
      </c>
      <c r="M21" s="6" t="n"/>
      <c r="N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1" s="3">
        <f>IF(tblOrdenes[[#This Row],[fecha_inicio]]="","",YEAR(tblOrdenes[[#This Row],[fecha_inicio]]))</f>
        <v/>
      </c>
      <c r="R21" s="3">
        <f>IF(tblOrdenes[[#This Row],[fecha_inicio]]="","",MONTH(tblOrdenes[[#This Row],[fecha_inicio]]))</f>
        <v/>
      </c>
      <c r="S21" s="3">
        <f>IF(tblOrdenes[[#This Row],[fecha_inicio]]="","",INDEX(lista_dias,WEEKDAY(tblOrdenes[[#This Row],[fecha_inicio]],2)))</f>
        <v/>
      </c>
      <c r="T21" s="3">
        <f>IF(tblOrdenes[[#This Row],[tipo_ot]]="","",_xlfn.XLOOKUP(tblOrdenes[[#This Row],[tipo_ot]],tblTiposOT[codigo],tblTiposOT[clasificacion],"sin_clasificar"))</f>
        <v/>
      </c>
      <c r="U21" s="3">
        <f>IF(tblOrdenes[[#This Row],[centro_costo]]="","",_xlfn.XLOOKUP(tblOrdenes[[#This Row],[centro_costo]],tblCECO[codigo],tblCECO[linea],"(sin catálogo)"))</f>
        <v/>
      </c>
      <c r="V21" s="3">
        <f>IF(tblOrdenes[[#This Row],[centro_costo]]="","",_xlfn.XLOOKUP(tblOrdenes[[#This Row],[centro_costo]],tblCECO[codigo],tblCECO[area],"(sin catálogo)"))</f>
        <v/>
      </c>
      <c r="W21" s="3">
        <f>IF(tblOrdenes[[#This Row],[centro_costo]]="","",_xlfn.XLOOKUP(tblOrdenes[[#This Row],[centro_costo]],tblCECO[codigo],tblCECO[coordinador],"(sin catálogo)"))</f>
        <v/>
      </c>
      <c r="X21" s="3">
        <f>IF(tblOrdenes[[#This Row],[puesto_trabajo]]="","",_xlfn.XLOOKUP(tblOrdenes[[#This Row],[puesto_trabajo]],tblPuestos[codigo],tblPuestos[especialidad],"(sin catálogo)"))</f>
        <v/>
      </c>
      <c r="Y21" s="3">
        <f>IF(tblOrdenes[[#This Row],[cod_actividad]]="","",_xlfn.XLOOKUP(tblOrdenes[[#This Row],[cod_actividad]],tblActividades[codigo],tblActividades[descripcion],"(sin catálogo)"))</f>
        <v/>
      </c>
      <c r="Z21" s="12">
        <f>IF(tblOrdenes[[#This Row],[fecha_inicio]]="","",TODAY()-tblOrdenes[[#This Row],[fecha_inicio]])</f>
        <v/>
      </c>
      <c r="AA21" s="3">
        <f>IF(tblOrdenes[[#This Row],[backlog_dias]]="","",IF(tblOrdenes[[#This Row],[backlog_dias]]&lt;0,"FUTURO",IF(tblOrdenes[[#This Row],[backlog_dias]]&gt;p_dias_backlog_max,"BACKLOG","MES CORRIENTE")))</f>
        <v/>
      </c>
      <c r="AB21" s="3">
        <f>IF(tblOrdenes[[#This Row],[backlog_dias]]="",FALSE,AND(tblOrdenes[[#This Row],[backlog_dias]]&gt;p_dias_backlog_min,tblOrdenes[[#This Row],[backlog_dias]]&lt;=p_dias_backlog_max))</f>
        <v/>
      </c>
      <c r="AC21" s="6" t="inlineStr">
        <is>
          <t>Técnico 02</t>
        </is>
      </c>
      <c r="AD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1" s="10">
        <f>IF(tblOrdenes[[#This Row],[orden]]="","",_xlfn.XLOOKUP(tblOrdenes[[#This Row],[id_operacion]],tblEjecucion[id_operacion],tblEjecucion[precio],0))</f>
        <v/>
      </c>
      <c r="AH21" s="10">
        <f>IF(tblOrdenes[[#This Row],[orden]]="","",MAX(0,_xlfn.XLOOKUP(tblOrdenes[[#This Row],[id_operacion]],tblEjecucion[id_operacion],tblEjecucion[costo_plan_total],0)-tblOrdenes[[#This Row],[costo_servicio]]))</f>
        <v/>
      </c>
      <c r="AI21" s="10">
        <f>IF(tblOrdenes[[#This Row],[orden]]="","",tblOrdenes[[#This Row],[costo_servicio]]+tblOrdenes[[#This Row],[costo_materiales]])</f>
        <v/>
      </c>
      <c r="AJ21" s="6" t="inlineStr"/>
      <c r="AK21" s="6" t="inlineStr"/>
      <c r="AL21" s="6" t="inlineStr">
        <is>
          <t>ACT-01.pdf</t>
        </is>
      </c>
      <c r="AM21" s="3">
        <f>IF(tblOrdenes[[#This Row],[link_checklist]]="","",HYPERLINK(p_ruta_base_checklists&amp;tblOrdenes[[#This Row],[link_checklist]],"abrir"))</f>
        <v/>
      </c>
      <c r="AN21" s="6" t="inlineStr"/>
      <c r="AO21" s="3">
        <f>IF(tblOrdenes[[#This Row],[orden]]="","",tblOrdenes[[#This Row],[orden]]&amp;IF(tblOrdenes[[#This Row],[operacion]]="","0010",tblOrdenes[[#This Row],[operacion]]))</f>
        <v/>
      </c>
    </row>
    <row r="22">
      <c r="A22" s="3" t="inlineStr">
        <is>
          <t>OT-000019</t>
        </is>
      </c>
      <c r="B22" s="3" t="inlineStr">
        <is>
          <t>0010</t>
        </is>
      </c>
      <c r="C22" s="3" t="inlineStr">
        <is>
          <t>Lubricación programada — EQ-105</t>
        </is>
      </c>
      <c r="D22" s="3" t="inlineStr">
        <is>
          <t>Lubricación programada en EQ-105</t>
        </is>
      </c>
      <c r="E22" s="3" t="inlineStr">
        <is>
          <t>EQ-105</t>
        </is>
      </c>
      <c r="F22" s="3" t="inlineStr">
        <is>
          <t>CC-110</t>
        </is>
      </c>
      <c r="G22" s="3" t="inlineStr">
        <is>
          <t>PU-MEC</t>
        </is>
      </c>
      <c r="H22" s="3" t="inlineStr">
        <is>
          <t>ACT-02</t>
        </is>
      </c>
      <c r="I22" s="3" t="inlineStr">
        <is>
          <t>TIPO-P2</t>
        </is>
      </c>
      <c r="J22" s="11" t="n">
        <v>46226</v>
      </c>
      <c r="K22" s="3" t="n">
        <v>10</v>
      </c>
      <c r="L22" s="10" t="n">
        <v>250</v>
      </c>
      <c r="M22" s="6" t="n"/>
      <c r="N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2" s="3">
        <f>IF(tblOrdenes[[#This Row],[fecha_inicio]]="","",YEAR(tblOrdenes[[#This Row],[fecha_inicio]]))</f>
        <v/>
      </c>
      <c r="R22" s="3">
        <f>IF(tblOrdenes[[#This Row],[fecha_inicio]]="","",MONTH(tblOrdenes[[#This Row],[fecha_inicio]]))</f>
        <v/>
      </c>
      <c r="S22" s="3">
        <f>IF(tblOrdenes[[#This Row],[fecha_inicio]]="","",INDEX(lista_dias,WEEKDAY(tblOrdenes[[#This Row],[fecha_inicio]],2)))</f>
        <v/>
      </c>
      <c r="T22" s="3">
        <f>IF(tblOrdenes[[#This Row],[tipo_ot]]="","",_xlfn.XLOOKUP(tblOrdenes[[#This Row],[tipo_ot]],tblTiposOT[codigo],tblTiposOT[clasificacion],"sin_clasificar"))</f>
        <v/>
      </c>
      <c r="U22" s="3">
        <f>IF(tblOrdenes[[#This Row],[centro_costo]]="","",_xlfn.XLOOKUP(tblOrdenes[[#This Row],[centro_costo]],tblCECO[codigo],tblCECO[linea],"(sin catálogo)"))</f>
        <v/>
      </c>
      <c r="V22" s="3">
        <f>IF(tblOrdenes[[#This Row],[centro_costo]]="","",_xlfn.XLOOKUP(tblOrdenes[[#This Row],[centro_costo]],tblCECO[codigo],tblCECO[area],"(sin catálogo)"))</f>
        <v/>
      </c>
      <c r="W22" s="3">
        <f>IF(tblOrdenes[[#This Row],[centro_costo]]="","",_xlfn.XLOOKUP(tblOrdenes[[#This Row],[centro_costo]],tblCECO[codigo],tblCECO[coordinador],"(sin catálogo)"))</f>
        <v/>
      </c>
      <c r="X22" s="3">
        <f>IF(tblOrdenes[[#This Row],[puesto_trabajo]]="","",_xlfn.XLOOKUP(tblOrdenes[[#This Row],[puesto_trabajo]],tblPuestos[codigo],tblPuestos[especialidad],"(sin catálogo)"))</f>
        <v/>
      </c>
      <c r="Y22" s="3">
        <f>IF(tblOrdenes[[#This Row],[cod_actividad]]="","",_xlfn.XLOOKUP(tblOrdenes[[#This Row],[cod_actividad]],tblActividades[codigo],tblActividades[descripcion],"(sin catálogo)"))</f>
        <v/>
      </c>
      <c r="Z22" s="12">
        <f>IF(tblOrdenes[[#This Row],[fecha_inicio]]="","",TODAY()-tblOrdenes[[#This Row],[fecha_inicio]])</f>
        <v/>
      </c>
      <c r="AA22" s="3">
        <f>IF(tblOrdenes[[#This Row],[backlog_dias]]="","",IF(tblOrdenes[[#This Row],[backlog_dias]]&lt;0,"FUTURO",IF(tblOrdenes[[#This Row],[backlog_dias]]&gt;p_dias_backlog_max,"BACKLOG","MES CORRIENTE")))</f>
        <v/>
      </c>
      <c r="AB22" s="3">
        <f>IF(tblOrdenes[[#This Row],[backlog_dias]]="",FALSE,AND(tblOrdenes[[#This Row],[backlog_dias]]&gt;p_dias_backlog_min,tblOrdenes[[#This Row],[backlog_dias]]&lt;=p_dias_backlog_max))</f>
        <v/>
      </c>
      <c r="AC22" s="6" t="inlineStr">
        <is>
          <t>Técnico 03</t>
        </is>
      </c>
      <c r="AD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2" s="10">
        <f>IF(tblOrdenes[[#This Row],[orden]]="","",_xlfn.XLOOKUP(tblOrdenes[[#This Row],[id_operacion]],tblEjecucion[id_operacion],tblEjecucion[precio],0))</f>
        <v/>
      </c>
      <c r="AH22" s="10">
        <f>IF(tblOrdenes[[#This Row],[orden]]="","",MAX(0,_xlfn.XLOOKUP(tblOrdenes[[#This Row],[id_operacion]],tblEjecucion[id_operacion],tblEjecucion[costo_plan_total],0)-tblOrdenes[[#This Row],[costo_servicio]]))</f>
        <v/>
      </c>
      <c r="AI22" s="10">
        <f>IF(tblOrdenes[[#This Row],[orden]]="","",tblOrdenes[[#This Row],[costo_servicio]]+tblOrdenes[[#This Row],[costo_materiales]])</f>
        <v/>
      </c>
      <c r="AJ22" s="6" t="inlineStr"/>
      <c r="AK22" s="6" t="inlineStr"/>
      <c r="AL22" s="6" t="inlineStr">
        <is>
          <t>ACT-02.pdf</t>
        </is>
      </c>
      <c r="AM22" s="3">
        <f>IF(tblOrdenes[[#This Row],[link_checklist]]="","",HYPERLINK(p_ruta_base_checklists&amp;tblOrdenes[[#This Row],[link_checklist]],"abrir"))</f>
        <v/>
      </c>
      <c r="AN22" s="6" t="inlineStr"/>
      <c r="AO22" s="3">
        <f>IF(tblOrdenes[[#This Row],[orden]]="","",tblOrdenes[[#This Row],[orden]]&amp;IF(tblOrdenes[[#This Row],[operacion]]="","0010",tblOrdenes[[#This Row],[operacion]]))</f>
        <v/>
      </c>
    </row>
    <row r="23">
      <c r="A23" s="3" t="inlineStr">
        <is>
          <t>OT-000020</t>
        </is>
      </c>
      <c r="B23" s="3" t="inlineStr">
        <is>
          <t>0010</t>
        </is>
      </c>
      <c r="C23" s="3" t="inlineStr">
        <is>
          <t>Análisis predictivo — EQ-106</t>
        </is>
      </c>
      <c r="D23" s="3" t="inlineStr">
        <is>
          <t>Análisis predictivo en EQ-106</t>
        </is>
      </c>
      <c r="E23" s="3" t="inlineStr">
        <is>
          <t>EQ-106</t>
        </is>
      </c>
      <c r="F23" s="3" t="inlineStr">
        <is>
          <t>CC-210</t>
        </is>
      </c>
      <c r="G23" s="3" t="inlineStr">
        <is>
          <t>PU-MEC</t>
        </is>
      </c>
      <c r="H23" s="3" t="inlineStr">
        <is>
          <t>ACT-04</t>
        </is>
      </c>
      <c r="I23" s="3" t="inlineStr">
        <is>
          <t>TIPO-P1</t>
        </is>
      </c>
      <c r="J23" s="11" t="n">
        <v>46227</v>
      </c>
      <c r="K23" s="3" t="n">
        <v>8</v>
      </c>
      <c r="L23" s="10" t="n">
        <v>200</v>
      </c>
      <c r="M23" s="6" t="n"/>
      <c r="N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3" s="3">
        <f>IF(tblOrdenes[[#This Row],[fecha_inicio]]="","",YEAR(tblOrdenes[[#This Row],[fecha_inicio]]))</f>
        <v/>
      </c>
      <c r="R23" s="3">
        <f>IF(tblOrdenes[[#This Row],[fecha_inicio]]="","",MONTH(tblOrdenes[[#This Row],[fecha_inicio]]))</f>
        <v/>
      </c>
      <c r="S23" s="3">
        <f>IF(tblOrdenes[[#This Row],[fecha_inicio]]="","",INDEX(lista_dias,WEEKDAY(tblOrdenes[[#This Row],[fecha_inicio]],2)))</f>
        <v/>
      </c>
      <c r="T23" s="3">
        <f>IF(tblOrdenes[[#This Row],[tipo_ot]]="","",_xlfn.XLOOKUP(tblOrdenes[[#This Row],[tipo_ot]],tblTiposOT[codigo],tblTiposOT[clasificacion],"sin_clasificar"))</f>
        <v/>
      </c>
      <c r="U23" s="3">
        <f>IF(tblOrdenes[[#This Row],[centro_costo]]="","",_xlfn.XLOOKUP(tblOrdenes[[#This Row],[centro_costo]],tblCECO[codigo],tblCECO[linea],"(sin catálogo)"))</f>
        <v/>
      </c>
      <c r="V23" s="3">
        <f>IF(tblOrdenes[[#This Row],[centro_costo]]="","",_xlfn.XLOOKUP(tblOrdenes[[#This Row],[centro_costo]],tblCECO[codigo],tblCECO[area],"(sin catálogo)"))</f>
        <v/>
      </c>
      <c r="W23" s="3">
        <f>IF(tblOrdenes[[#This Row],[centro_costo]]="","",_xlfn.XLOOKUP(tblOrdenes[[#This Row],[centro_costo]],tblCECO[codigo],tblCECO[coordinador],"(sin catálogo)"))</f>
        <v/>
      </c>
      <c r="X23" s="3">
        <f>IF(tblOrdenes[[#This Row],[puesto_trabajo]]="","",_xlfn.XLOOKUP(tblOrdenes[[#This Row],[puesto_trabajo]],tblPuestos[codigo],tblPuestos[especialidad],"(sin catálogo)"))</f>
        <v/>
      </c>
      <c r="Y23" s="3">
        <f>IF(tblOrdenes[[#This Row],[cod_actividad]]="","",_xlfn.XLOOKUP(tblOrdenes[[#This Row],[cod_actividad]],tblActividades[codigo],tblActividades[descripcion],"(sin catálogo)"))</f>
        <v/>
      </c>
      <c r="Z23" s="12">
        <f>IF(tblOrdenes[[#This Row],[fecha_inicio]]="","",TODAY()-tblOrdenes[[#This Row],[fecha_inicio]])</f>
        <v/>
      </c>
      <c r="AA23" s="3">
        <f>IF(tblOrdenes[[#This Row],[backlog_dias]]="","",IF(tblOrdenes[[#This Row],[backlog_dias]]&lt;0,"FUTURO",IF(tblOrdenes[[#This Row],[backlog_dias]]&gt;p_dias_backlog_max,"BACKLOG","MES CORRIENTE")))</f>
        <v/>
      </c>
      <c r="AB23" s="3">
        <f>IF(tblOrdenes[[#This Row],[backlog_dias]]="",FALSE,AND(tblOrdenes[[#This Row],[backlog_dias]]&gt;p_dias_backlog_min,tblOrdenes[[#This Row],[backlog_dias]]&lt;=p_dias_backlog_max))</f>
        <v/>
      </c>
      <c r="AC23" s="6" t="inlineStr">
        <is>
          <t>Técnico 04</t>
        </is>
      </c>
      <c r="AD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3" s="10">
        <f>IF(tblOrdenes[[#This Row],[orden]]="","",_xlfn.XLOOKUP(tblOrdenes[[#This Row],[id_operacion]],tblEjecucion[id_operacion],tblEjecucion[precio],0))</f>
        <v/>
      </c>
      <c r="AH23" s="10">
        <f>IF(tblOrdenes[[#This Row],[orden]]="","",MAX(0,_xlfn.XLOOKUP(tblOrdenes[[#This Row],[id_operacion]],tblEjecucion[id_operacion],tblEjecucion[costo_plan_total],0)-tblOrdenes[[#This Row],[costo_servicio]]))</f>
        <v/>
      </c>
      <c r="AI23" s="10">
        <f>IF(tblOrdenes[[#This Row],[orden]]="","",tblOrdenes[[#This Row],[costo_servicio]]+tblOrdenes[[#This Row],[costo_materiales]])</f>
        <v/>
      </c>
      <c r="AJ23" s="6" t="inlineStr"/>
      <c r="AK23" s="6" t="inlineStr"/>
      <c r="AL23" s="6" t="inlineStr">
        <is>
          <t>ACT-04.pdf</t>
        </is>
      </c>
      <c r="AM23" s="3">
        <f>IF(tblOrdenes[[#This Row],[link_checklist]]="","",HYPERLINK(p_ruta_base_checklists&amp;tblOrdenes[[#This Row],[link_checklist]],"abrir"))</f>
        <v/>
      </c>
      <c r="AN23" s="6" t="inlineStr"/>
      <c r="AO23" s="3">
        <f>IF(tblOrdenes[[#This Row],[orden]]="","",tblOrdenes[[#This Row],[orden]]&amp;IF(tblOrdenes[[#This Row],[operacion]]="","0010",tblOrdenes[[#This Row],[operacion]]))</f>
        <v/>
      </c>
    </row>
    <row r="24">
      <c r="A24" s="3" t="inlineStr">
        <is>
          <t>OT-000021</t>
        </is>
      </c>
      <c r="B24" s="3" t="inlineStr">
        <is>
          <t>0010</t>
        </is>
      </c>
      <c r="C24" s="3" t="inlineStr">
        <is>
          <t>Inspección de rutina — EQ-110</t>
        </is>
      </c>
      <c r="D24" s="3" t="inlineStr">
        <is>
          <t>Inspección de rutina en EQ-110</t>
        </is>
      </c>
      <c r="E24" s="3" t="inlineStr">
        <is>
          <t>EQ-110</t>
        </is>
      </c>
      <c r="F24" s="3" t="inlineStr">
        <is>
          <t>CC-310</t>
        </is>
      </c>
      <c r="G24" s="3" t="inlineStr">
        <is>
          <t>PU-MEC</t>
        </is>
      </c>
      <c r="H24" s="3" t="inlineStr">
        <is>
          <t>ACT-01</t>
        </is>
      </c>
      <c r="I24" s="3" t="inlineStr">
        <is>
          <t>TIPO-P2</t>
        </is>
      </c>
      <c r="J24" s="11" t="n">
        <v>46223</v>
      </c>
      <c r="K24" s="3" t="n">
        <v>6</v>
      </c>
      <c r="L24" s="10" t="n">
        <v>150</v>
      </c>
      <c r="M24" s="6" t="n"/>
      <c r="N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4" s="3">
        <f>IF(tblOrdenes[[#This Row],[fecha_inicio]]="","",YEAR(tblOrdenes[[#This Row],[fecha_inicio]]))</f>
        <v/>
      </c>
      <c r="R24" s="3">
        <f>IF(tblOrdenes[[#This Row],[fecha_inicio]]="","",MONTH(tblOrdenes[[#This Row],[fecha_inicio]]))</f>
        <v/>
      </c>
      <c r="S24" s="3">
        <f>IF(tblOrdenes[[#This Row],[fecha_inicio]]="","",INDEX(lista_dias,WEEKDAY(tblOrdenes[[#This Row],[fecha_inicio]],2)))</f>
        <v/>
      </c>
      <c r="T24" s="3">
        <f>IF(tblOrdenes[[#This Row],[tipo_ot]]="","",_xlfn.XLOOKUP(tblOrdenes[[#This Row],[tipo_ot]],tblTiposOT[codigo],tblTiposOT[clasificacion],"sin_clasificar"))</f>
        <v/>
      </c>
      <c r="U24" s="3">
        <f>IF(tblOrdenes[[#This Row],[centro_costo]]="","",_xlfn.XLOOKUP(tblOrdenes[[#This Row],[centro_costo]],tblCECO[codigo],tblCECO[linea],"(sin catálogo)"))</f>
        <v/>
      </c>
      <c r="V24" s="3">
        <f>IF(tblOrdenes[[#This Row],[centro_costo]]="","",_xlfn.XLOOKUP(tblOrdenes[[#This Row],[centro_costo]],tblCECO[codigo],tblCECO[area],"(sin catálogo)"))</f>
        <v/>
      </c>
      <c r="W24" s="3">
        <f>IF(tblOrdenes[[#This Row],[centro_costo]]="","",_xlfn.XLOOKUP(tblOrdenes[[#This Row],[centro_costo]],tblCECO[codigo],tblCECO[coordinador],"(sin catálogo)"))</f>
        <v/>
      </c>
      <c r="X24" s="3">
        <f>IF(tblOrdenes[[#This Row],[puesto_trabajo]]="","",_xlfn.XLOOKUP(tblOrdenes[[#This Row],[puesto_trabajo]],tblPuestos[codigo],tblPuestos[especialidad],"(sin catálogo)"))</f>
        <v/>
      </c>
      <c r="Y24" s="3">
        <f>IF(tblOrdenes[[#This Row],[cod_actividad]]="","",_xlfn.XLOOKUP(tblOrdenes[[#This Row],[cod_actividad]],tblActividades[codigo],tblActividades[descripcion],"(sin catálogo)"))</f>
        <v/>
      </c>
      <c r="Z24" s="12">
        <f>IF(tblOrdenes[[#This Row],[fecha_inicio]]="","",TODAY()-tblOrdenes[[#This Row],[fecha_inicio]])</f>
        <v/>
      </c>
      <c r="AA24" s="3">
        <f>IF(tblOrdenes[[#This Row],[backlog_dias]]="","",IF(tblOrdenes[[#This Row],[backlog_dias]]&lt;0,"FUTURO",IF(tblOrdenes[[#This Row],[backlog_dias]]&gt;p_dias_backlog_max,"BACKLOG","MES CORRIENTE")))</f>
        <v/>
      </c>
      <c r="AB24" s="3">
        <f>IF(tblOrdenes[[#This Row],[backlog_dias]]="",FALSE,AND(tblOrdenes[[#This Row],[backlog_dias]]&gt;p_dias_backlog_min,tblOrdenes[[#This Row],[backlog_dias]]&lt;=p_dias_backlog_max))</f>
        <v/>
      </c>
      <c r="AC24" s="6" t="inlineStr">
        <is>
          <t>Técnico 01</t>
        </is>
      </c>
      <c r="AD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4" s="10">
        <f>IF(tblOrdenes[[#This Row],[orden]]="","",_xlfn.XLOOKUP(tblOrdenes[[#This Row],[id_operacion]],tblEjecucion[id_operacion],tblEjecucion[precio],0))</f>
        <v/>
      </c>
      <c r="AH24" s="10">
        <f>IF(tblOrdenes[[#This Row],[orden]]="","",MAX(0,_xlfn.XLOOKUP(tblOrdenes[[#This Row],[id_operacion]],tblEjecucion[id_operacion],tblEjecucion[costo_plan_total],0)-tblOrdenes[[#This Row],[costo_servicio]]))</f>
        <v/>
      </c>
      <c r="AI24" s="10">
        <f>IF(tblOrdenes[[#This Row],[orden]]="","",tblOrdenes[[#This Row],[costo_servicio]]+tblOrdenes[[#This Row],[costo_materiales]])</f>
        <v/>
      </c>
      <c r="AJ24" s="6" t="inlineStr"/>
      <c r="AK24" s="6" t="inlineStr"/>
      <c r="AL24" s="6" t="inlineStr">
        <is>
          <t>ACT-01.pdf</t>
        </is>
      </c>
      <c r="AM24" s="3">
        <f>IF(tblOrdenes[[#This Row],[link_checklist]]="","",HYPERLINK(p_ruta_base_checklists&amp;tblOrdenes[[#This Row],[link_checklist]],"abrir"))</f>
        <v/>
      </c>
      <c r="AN24" s="6" t="inlineStr"/>
      <c r="AO24" s="3">
        <f>IF(tblOrdenes[[#This Row],[orden]]="","",tblOrdenes[[#This Row],[orden]]&amp;IF(tblOrdenes[[#This Row],[operacion]]="","0010",tblOrdenes[[#This Row],[operacion]]))</f>
        <v/>
      </c>
    </row>
    <row r="25">
      <c r="A25" s="3" t="inlineStr">
        <is>
          <t>OT-000022</t>
        </is>
      </c>
      <c r="B25" s="3" t="inlineStr">
        <is>
          <t>0010</t>
        </is>
      </c>
      <c r="C25" s="3" t="inlineStr">
        <is>
          <t>Lubricación programada — EQ-103</t>
        </is>
      </c>
      <c r="D25" s="3" t="inlineStr">
        <is>
          <t>Lubricación programada en EQ-103</t>
        </is>
      </c>
      <c r="E25" s="3" t="inlineStr">
        <is>
          <t>EQ-103</t>
        </is>
      </c>
      <c r="F25" s="3" t="inlineStr">
        <is>
          <t>CC-110</t>
        </is>
      </c>
      <c r="G25" s="3" t="inlineStr">
        <is>
          <t>PU-MEC</t>
        </is>
      </c>
      <c r="H25" s="3" t="inlineStr">
        <is>
          <t>ACT-02</t>
        </is>
      </c>
      <c r="I25" s="3" t="inlineStr">
        <is>
          <t>TIPO-P1</t>
        </is>
      </c>
      <c r="J25" s="11" t="n">
        <v>46224</v>
      </c>
      <c r="K25" s="3" t="n">
        <v>8</v>
      </c>
      <c r="L25" s="10" t="n">
        <v>200</v>
      </c>
      <c r="M25" s="6" t="n"/>
      <c r="N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5" s="3">
        <f>IF(tblOrdenes[[#This Row],[fecha_inicio]]="","",YEAR(tblOrdenes[[#This Row],[fecha_inicio]]))</f>
        <v/>
      </c>
      <c r="R25" s="3">
        <f>IF(tblOrdenes[[#This Row],[fecha_inicio]]="","",MONTH(tblOrdenes[[#This Row],[fecha_inicio]]))</f>
        <v/>
      </c>
      <c r="S25" s="3">
        <f>IF(tblOrdenes[[#This Row],[fecha_inicio]]="","",INDEX(lista_dias,WEEKDAY(tblOrdenes[[#This Row],[fecha_inicio]],2)))</f>
        <v/>
      </c>
      <c r="T25" s="3">
        <f>IF(tblOrdenes[[#This Row],[tipo_ot]]="","",_xlfn.XLOOKUP(tblOrdenes[[#This Row],[tipo_ot]],tblTiposOT[codigo],tblTiposOT[clasificacion],"sin_clasificar"))</f>
        <v/>
      </c>
      <c r="U25" s="3">
        <f>IF(tblOrdenes[[#This Row],[centro_costo]]="","",_xlfn.XLOOKUP(tblOrdenes[[#This Row],[centro_costo]],tblCECO[codigo],tblCECO[linea],"(sin catálogo)"))</f>
        <v/>
      </c>
      <c r="V25" s="3">
        <f>IF(tblOrdenes[[#This Row],[centro_costo]]="","",_xlfn.XLOOKUP(tblOrdenes[[#This Row],[centro_costo]],tblCECO[codigo],tblCECO[area],"(sin catálogo)"))</f>
        <v/>
      </c>
      <c r="W25" s="3">
        <f>IF(tblOrdenes[[#This Row],[centro_costo]]="","",_xlfn.XLOOKUP(tblOrdenes[[#This Row],[centro_costo]],tblCECO[codigo],tblCECO[coordinador],"(sin catálogo)"))</f>
        <v/>
      </c>
      <c r="X25" s="3">
        <f>IF(tblOrdenes[[#This Row],[puesto_trabajo]]="","",_xlfn.XLOOKUP(tblOrdenes[[#This Row],[puesto_trabajo]],tblPuestos[codigo],tblPuestos[especialidad],"(sin catálogo)"))</f>
        <v/>
      </c>
      <c r="Y25" s="3">
        <f>IF(tblOrdenes[[#This Row],[cod_actividad]]="","",_xlfn.XLOOKUP(tblOrdenes[[#This Row],[cod_actividad]],tblActividades[codigo],tblActividades[descripcion],"(sin catálogo)"))</f>
        <v/>
      </c>
      <c r="Z25" s="12">
        <f>IF(tblOrdenes[[#This Row],[fecha_inicio]]="","",TODAY()-tblOrdenes[[#This Row],[fecha_inicio]])</f>
        <v/>
      </c>
      <c r="AA25" s="3">
        <f>IF(tblOrdenes[[#This Row],[backlog_dias]]="","",IF(tblOrdenes[[#This Row],[backlog_dias]]&lt;0,"FUTURO",IF(tblOrdenes[[#This Row],[backlog_dias]]&gt;p_dias_backlog_max,"BACKLOG","MES CORRIENTE")))</f>
        <v/>
      </c>
      <c r="AB25" s="3">
        <f>IF(tblOrdenes[[#This Row],[backlog_dias]]="",FALSE,AND(tblOrdenes[[#This Row],[backlog_dias]]&gt;p_dias_backlog_min,tblOrdenes[[#This Row],[backlog_dias]]&lt;=p_dias_backlog_max))</f>
        <v/>
      </c>
      <c r="AC25" s="6" t="inlineStr">
        <is>
          <t>Técnico 02</t>
        </is>
      </c>
      <c r="AD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5" s="10">
        <f>IF(tblOrdenes[[#This Row],[orden]]="","",_xlfn.XLOOKUP(tblOrdenes[[#This Row],[id_operacion]],tblEjecucion[id_operacion],tblEjecucion[precio],0))</f>
        <v/>
      </c>
      <c r="AH25" s="10">
        <f>IF(tblOrdenes[[#This Row],[orden]]="","",MAX(0,_xlfn.XLOOKUP(tblOrdenes[[#This Row],[id_operacion]],tblEjecucion[id_operacion],tblEjecucion[costo_plan_total],0)-tblOrdenes[[#This Row],[costo_servicio]]))</f>
        <v/>
      </c>
      <c r="AI25" s="10">
        <f>IF(tblOrdenes[[#This Row],[orden]]="","",tblOrdenes[[#This Row],[costo_servicio]]+tblOrdenes[[#This Row],[costo_materiales]])</f>
        <v/>
      </c>
      <c r="AJ25" s="6" t="inlineStr"/>
      <c r="AK25" s="6" t="inlineStr"/>
      <c r="AL25" s="6" t="inlineStr">
        <is>
          <t>ACT-02.pdf</t>
        </is>
      </c>
      <c r="AM25" s="3">
        <f>IF(tblOrdenes[[#This Row],[link_checklist]]="","",HYPERLINK(p_ruta_base_checklists&amp;tblOrdenes[[#This Row],[link_checklist]],"abrir"))</f>
        <v/>
      </c>
      <c r="AN25" s="6" t="inlineStr"/>
      <c r="AO25" s="3">
        <f>IF(tblOrdenes[[#This Row],[orden]]="","",tblOrdenes[[#This Row],[orden]]&amp;IF(tblOrdenes[[#This Row],[operacion]]="","0010",tblOrdenes[[#This Row],[operacion]]))</f>
        <v/>
      </c>
    </row>
    <row r="26">
      <c r="A26" s="3" t="inlineStr">
        <is>
          <t>OT-000023</t>
        </is>
      </c>
      <c r="B26" s="3" t="inlineStr">
        <is>
          <t>0010</t>
        </is>
      </c>
      <c r="C26" s="3" t="inlineStr">
        <is>
          <t>Reparación de falla — EQ-109</t>
        </is>
      </c>
      <c r="D26" s="3" t="inlineStr">
        <is>
          <t>Reparación de falla en EQ-109</t>
        </is>
      </c>
      <c r="E26" s="3" t="inlineStr">
        <is>
          <t>EQ-109</t>
        </is>
      </c>
      <c r="F26" s="3" t="inlineStr">
        <is>
          <t>CC-210</t>
        </is>
      </c>
      <c r="G26" s="3" t="inlineStr">
        <is>
          <t>PU-MEC</t>
        </is>
      </c>
      <c r="H26" s="3" t="inlineStr">
        <is>
          <t>ACT-03</t>
        </is>
      </c>
      <c r="I26" s="3" t="inlineStr">
        <is>
          <t>TIPO-C2</t>
        </is>
      </c>
      <c r="J26" s="11" t="n">
        <v>46225</v>
      </c>
      <c r="K26" s="3" t="n">
        <v>10</v>
      </c>
      <c r="L26" s="10" t="n">
        <v>400</v>
      </c>
      <c r="M26" s="6" t="n"/>
      <c r="N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6" s="3">
        <f>IF(tblOrdenes[[#This Row],[fecha_inicio]]="","",YEAR(tblOrdenes[[#This Row],[fecha_inicio]]))</f>
        <v/>
      </c>
      <c r="R26" s="3">
        <f>IF(tblOrdenes[[#This Row],[fecha_inicio]]="","",MONTH(tblOrdenes[[#This Row],[fecha_inicio]]))</f>
        <v/>
      </c>
      <c r="S26" s="3">
        <f>IF(tblOrdenes[[#This Row],[fecha_inicio]]="","",INDEX(lista_dias,WEEKDAY(tblOrdenes[[#This Row],[fecha_inicio]],2)))</f>
        <v/>
      </c>
      <c r="T26" s="3">
        <f>IF(tblOrdenes[[#This Row],[tipo_ot]]="","",_xlfn.XLOOKUP(tblOrdenes[[#This Row],[tipo_ot]],tblTiposOT[codigo],tblTiposOT[clasificacion],"sin_clasificar"))</f>
        <v/>
      </c>
      <c r="U26" s="3">
        <f>IF(tblOrdenes[[#This Row],[centro_costo]]="","",_xlfn.XLOOKUP(tblOrdenes[[#This Row],[centro_costo]],tblCECO[codigo],tblCECO[linea],"(sin catálogo)"))</f>
        <v/>
      </c>
      <c r="V26" s="3">
        <f>IF(tblOrdenes[[#This Row],[centro_costo]]="","",_xlfn.XLOOKUP(tblOrdenes[[#This Row],[centro_costo]],tblCECO[codigo],tblCECO[area],"(sin catálogo)"))</f>
        <v/>
      </c>
      <c r="W26" s="3">
        <f>IF(tblOrdenes[[#This Row],[centro_costo]]="","",_xlfn.XLOOKUP(tblOrdenes[[#This Row],[centro_costo]],tblCECO[codigo],tblCECO[coordinador],"(sin catálogo)"))</f>
        <v/>
      </c>
      <c r="X26" s="3">
        <f>IF(tblOrdenes[[#This Row],[puesto_trabajo]]="","",_xlfn.XLOOKUP(tblOrdenes[[#This Row],[puesto_trabajo]],tblPuestos[codigo],tblPuestos[especialidad],"(sin catálogo)"))</f>
        <v/>
      </c>
      <c r="Y26" s="3">
        <f>IF(tblOrdenes[[#This Row],[cod_actividad]]="","",_xlfn.XLOOKUP(tblOrdenes[[#This Row],[cod_actividad]],tblActividades[codigo],tblActividades[descripcion],"(sin catálogo)"))</f>
        <v/>
      </c>
      <c r="Z26" s="12">
        <f>IF(tblOrdenes[[#This Row],[fecha_inicio]]="","",TODAY()-tblOrdenes[[#This Row],[fecha_inicio]])</f>
        <v/>
      </c>
      <c r="AA26" s="3">
        <f>IF(tblOrdenes[[#This Row],[backlog_dias]]="","",IF(tblOrdenes[[#This Row],[backlog_dias]]&lt;0,"FUTURO",IF(tblOrdenes[[#This Row],[backlog_dias]]&gt;p_dias_backlog_max,"BACKLOG","MES CORRIENTE")))</f>
        <v/>
      </c>
      <c r="AB26" s="3">
        <f>IF(tblOrdenes[[#This Row],[backlog_dias]]="",FALSE,AND(tblOrdenes[[#This Row],[backlog_dias]]&gt;p_dias_backlog_min,tblOrdenes[[#This Row],[backlog_dias]]&lt;=p_dias_backlog_max))</f>
        <v/>
      </c>
      <c r="AC26" s="6" t="inlineStr">
        <is>
          <t>Técnico 03</t>
        </is>
      </c>
      <c r="AD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6" s="10">
        <f>IF(tblOrdenes[[#This Row],[orden]]="","",_xlfn.XLOOKUP(tblOrdenes[[#This Row],[id_operacion]],tblEjecucion[id_operacion],tblEjecucion[precio],0))</f>
        <v/>
      </c>
      <c r="AH26" s="10">
        <f>IF(tblOrdenes[[#This Row],[orden]]="","",MAX(0,_xlfn.XLOOKUP(tblOrdenes[[#This Row],[id_operacion]],tblEjecucion[id_operacion],tblEjecucion[costo_plan_total],0)-tblOrdenes[[#This Row],[costo_servicio]]))</f>
        <v/>
      </c>
      <c r="AI26" s="10">
        <f>IF(tblOrdenes[[#This Row],[orden]]="","",tblOrdenes[[#This Row],[costo_servicio]]+tblOrdenes[[#This Row],[costo_materiales]])</f>
        <v/>
      </c>
      <c r="AJ26" s="6" t="inlineStr"/>
      <c r="AK26" s="6" t="inlineStr"/>
      <c r="AL26" s="6" t="inlineStr"/>
      <c r="AM26" s="3">
        <f>IF(tblOrdenes[[#This Row],[link_checklist]]="","",HYPERLINK(p_ruta_base_checklists&amp;tblOrdenes[[#This Row],[link_checklist]],"abrir"))</f>
        <v/>
      </c>
      <c r="AN26" s="6" t="inlineStr"/>
      <c r="AO26" s="3">
        <f>IF(tblOrdenes[[#This Row],[orden]]="","",tblOrdenes[[#This Row],[orden]]&amp;IF(tblOrdenes[[#This Row],[operacion]]="","0010",tblOrdenes[[#This Row],[operacion]]))</f>
        <v/>
      </c>
    </row>
    <row r="27">
      <c r="A27" s="3" t="inlineStr">
        <is>
          <t>OT-000024</t>
        </is>
      </c>
      <c r="B27" s="3" t="inlineStr">
        <is>
          <t>0010</t>
        </is>
      </c>
      <c r="C27" s="3" t="inlineStr">
        <is>
          <t>Reparación de falla — EQ-110</t>
        </is>
      </c>
      <c r="D27" s="3" t="inlineStr">
        <is>
          <t>Reparación de falla en EQ-110</t>
        </is>
      </c>
      <c r="E27" s="3" t="inlineStr">
        <is>
          <t>EQ-110</t>
        </is>
      </c>
      <c r="F27" s="3" t="inlineStr">
        <is>
          <t>CC-310</t>
        </is>
      </c>
      <c r="G27" s="3" t="inlineStr">
        <is>
          <t>PU-MEC</t>
        </is>
      </c>
      <c r="H27" s="3" t="inlineStr">
        <is>
          <t>ACT-03</t>
        </is>
      </c>
      <c r="I27" s="3" t="inlineStr">
        <is>
          <t>TIPO-C1</t>
        </is>
      </c>
      <c r="J27" s="11" t="n">
        <v>46226</v>
      </c>
      <c r="K27" s="3" t="n">
        <v>8</v>
      </c>
      <c r="L27" s="10" t="n">
        <v>320</v>
      </c>
      <c r="M27" s="6" t="n"/>
      <c r="N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7" s="3">
        <f>IF(tblOrdenes[[#This Row],[fecha_inicio]]="","",YEAR(tblOrdenes[[#This Row],[fecha_inicio]]))</f>
        <v/>
      </c>
      <c r="R27" s="3">
        <f>IF(tblOrdenes[[#This Row],[fecha_inicio]]="","",MONTH(tblOrdenes[[#This Row],[fecha_inicio]]))</f>
        <v/>
      </c>
      <c r="S27" s="3">
        <f>IF(tblOrdenes[[#This Row],[fecha_inicio]]="","",INDEX(lista_dias,WEEKDAY(tblOrdenes[[#This Row],[fecha_inicio]],2)))</f>
        <v/>
      </c>
      <c r="T27" s="3">
        <f>IF(tblOrdenes[[#This Row],[tipo_ot]]="","",_xlfn.XLOOKUP(tblOrdenes[[#This Row],[tipo_ot]],tblTiposOT[codigo],tblTiposOT[clasificacion],"sin_clasificar"))</f>
        <v/>
      </c>
      <c r="U27" s="3">
        <f>IF(tblOrdenes[[#This Row],[centro_costo]]="","",_xlfn.XLOOKUP(tblOrdenes[[#This Row],[centro_costo]],tblCECO[codigo],tblCECO[linea],"(sin catálogo)"))</f>
        <v/>
      </c>
      <c r="V27" s="3">
        <f>IF(tblOrdenes[[#This Row],[centro_costo]]="","",_xlfn.XLOOKUP(tblOrdenes[[#This Row],[centro_costo]],tblCECO[codigo],tblCECO[area],"(sin catálogo)"))</f>
        <v/>
      </c>
      <c r="W27" s="3">
        <f>IF(tblOrdenes[[#This Row],[centro_costo]]="","",_xlfn.XLOOKUP(tblOrdenes[[#This Row],[centro_costo]],tblCECO[codigo],tblCECO[coordinador],"(sin catálogo)"))</f>
        <v/>
      </c>
      <c r="X27" s="3">
        <f>IF(tblOrdenes[[#This Row],[puesto_trabajo]]="","",_xlfn.XLOOKUP(tblOrdenes[[#This Row],[puesto_trabajo]],tblPuestos[codigo],tblPuestos[especialidad],"(sin catálogo)"))</f>
        <v/>
      </c>
      <c r="Y27" s="3">
        <f>IF(tblOrdenes[[#This Row],[cod_actividad]]="","",_xlfn.XLOOKUP(tblOrdenes[[#This Row],[cod_actividad]],tblActividades[codigo],tblActividades[descripcion],"(sin catálogo)"))</f>
        <v/>
      </c>
      <c r="Z27" s="12">
        <f>IF(tblOrdenes[[#This Row],[fecha_inicio]]="","",TODAY()-tblOrdenes[[#This Row],[fecha_inicio]])</f>
        <v/>
      </c>
      <c r="AA27" s="3">
        <f>IF(tblOrdenes[[#This Row],[backlog_dias]]="","",IF(tblOrdenes[[#This Row],[backlog_dias]]&lt;0,"FUTURO",IF(tblOrdenes[[#This Row],[backlog_dias]]&gt;p_dias_backlog_max,"BACKLOG","MES CORRIENTE")))</f>
        <v/>
      </c>
      <c r="AB27" s="3">
        <f>IF(tblOrdenes[[#This Row],[backlog_dias]]="",FALSE,AND(tblOrdenes[[#This Row],[backlog_dias]]&gt;p_dias_backlog_min,tblOrdenes[[#This Row],[backlog_dias]]&lt;=p_dias_backlog_max))</f>
        <v/>
      </c>
      <c r="AC27" s="6" t="inlineStr"/>
      <c r="AD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7" s="10">
        <f>IF(tblOrdenes[[#This Row],[orden]]="","",_xlfn.XLOOKUP(tblOrdenes[[#This Row],[id_operacion]],tblEjecucion[id_operacion],tblEjecucion[precio],0))</f>
        <v/>
      </c>
      <c r="AH27" s="10">
        <f>IF(tblOrdenes[[#This Row],[orden]]="","",MAX(0,_xlfn.XLOOKUP(tblOrdenes[[#This Row],[id_operacion]],tblEjecucion[id_operacion],tblEjecucion[costo_plan_total],0)-tblOrdenes[[#This Row],[costo_servicio]]))</f>
        <v/>
      </c>
      <c r="AI27" s="10">
        <f>IF(tblOrdenes[[#This Row],[orden]]="","",tblOrdenes[[#This Row],[costo_servicio]]+tblOrdenes[[#This Row],[costo_materiales]])</f>
        <v/>
      </c>
      <c r="AJ27" s="6" t="inlineStr">
        <is>
          <t>PT-CALIENTE</t>
        </is>
      </c>
      <c r="AK27" s="6" t="inlineStr">
        <is>
          <t>LOTO</t>
        </is>
      </c>
      <c r="AL27" s="6" t="inlineStr"/>
      <c r="AM27" s="3">
        <f>IF(tblOrdenes[[#This Row],[link_checklist]]="","",HYPERLINK(p_ruta_base_checklists&amp;tblOrdenes[[#This Row],[link_checklist]],"abrir"))</f>
        <v/>
      </c>
      <c r="AN27" s="6" t="inlineStr"/>
      <c r="AO27" s="3">
        <f>IF(tblOrdenes[[#This Row],[orden]]="","",tblOrdenes[[#This Row],[orden]]&amp;IF(tblOrdenes[[#This Row],[operacion]]="","0010",tblOrdenes[[#This Row],[operacion]]))</f>
        <v/>
      </c>
    </row>
    <row r="28">
      <c r="A28" s="3" t="inlineStr">
        <is>
          <t>OT-000025</t>
        </is>
      </c>
      <c r="B28" s="3" t="inlineStr">
        <is>
          <t>0010</t>
        </is>
      </c>
      <c r="C28" s="3" t="inlineStr">
        <is>
          <t>Reparación de falla — EQ-101</t>
        </is>
      </c>
      <c r="D28" s="3" t="inlineStr">
        <is>
          <t>Reparación de falla en EQ-101</t>
        </is>
      </c>
      <c r="E28" s="3" t="inlineStr">
        <is>
          <t>EQ-101</t>
        </is>
      </c>
      <c r="F28" s="3" t="inlineStr">
        <is>
          <t>CC-110</t>
        </is>
      </c>
      <c r="G28" s="3" t="inlineStr">
        <is>
          <t>PU-MEC</t>
        </is>
      </c>
      <c r="H28" s="3" t="inlineStr">
        <is>
          <t>ACT-03</t>
        </is>
      </c>
      <c r="I28" s="3" t="inlineStr">
        <is>
          <t>TIPO-C2</t>
        </is>
      </c>
      <c r="J28" s="11" t="n">
        <v>46227</v>
      </c>
      <c r="K28" s="3" t="n">
        <v>7</v>
      </c>
      <c r="L28" s="10" t="n">
        <v>280</v>
      </c>
      <c r="M28" s="6" t="n"/>
      <c r="N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8" s="3">
        <f>IF(tblOrdenes[[#This Row],[fecha_inicio]]="","",YEAR(tblOrdenes[[#This Row],[fecha_inicio]]))</f>
        <v/>
      </c>
      <c r="R28" s="3">
        <f>IF(tblOrdenes[[#This Row],[fecha_inicio]]="","",MONTH(tblOrdenes[[#This Row],[fecha_inicio]]))</f>
        <v/>
      </c>
      <c r="S28" s="3">
        <f>IF(tblOrdenes[[#This Row],[fecha_inicio]]="","",INDEX(lista_dias,WEEKDAY(tblOrdenes[[#This Row],[fecha_inicio]],2)))</f>
        <v/>
      </c>
      <c r="T28" s="3">
        <f>IF(tblOrdenes[[#This Row],[tipo_ot]]="","",_xlfn.XLOOKUP(tblOrdenes[[#This Row],[tipo_ot]],tblTiposOT[codigo],tblTiposOT[clasificacion],"sin_clasificar"))</f>
        <v/>
      </c>
      <c r="U28" s="3">
        <f>IF(tblOrdenes[[#This Row],[centro_costo]]="","",_xlfn.XLOOKUP(tblOrdenes[[#This Row],[centro_costo]],tblCECO[codigo],tblCECO[linea],"(sin catálogo)"))</f>
        <v/>
      </c>
      <c r="V28" s="3">
        <f>IF(tblOrdenes[[#This Row],[centro_costo]]="","",_xlfn.XLOOKUP(tblOrdenes[[#This Row],[centro_costo]],tblCECO[codigo],tblCECO[area],"(sin catálogo)"))</f>
        <v/>
      </c>
      <c r="W28" s="3">
        <f>IF(tblOrdenes[[#This Row],[centro_costo]]="","",_xlfn.XLOOKUP(tblOrdenes[[#This Row],[centro_costo]],tblCECO[codigo],tblCECO[coordinador],"(sin catálogo)"))</f>
        <v/>
      </c>
      <c r="X28" s="3">
        <f>IF(tblOrdenes[[#This Row],[puesto_trabajo]]="","",_xlfn.XLOOKUP(tblOrdenes[[#This Row],[puesto_trabajo]],tblPuestos[codigo],tblPuestos[especialidad],"(sin catálogo)"))</f>
        <v/>
      </c>
      <c r="Y28" s="3">
        <f>IF(tblOrdenes[[#This Row],[cod_actividad]]="","",_xlfn.XLOOKUP(tblOrdenes[[#This Row],[cod_actividad]],tblActividades[codigo],tblActividades[descripcion],"(sin catálogo)"))</f>
        <v/>
      </c>
      <c r="Z28" s="12">
        <f>IF(tblOrdenes[[#This Row],[fecha_inicio]]="","",TODAY()-tblOrdenes[[#This Row],[fecha_inicio]])</f>
        <v/>
      </c>
      <c r="AA28" s="3">
        <f>IF(tblOrdenes[[#This Row],[backlog_dias]]="","",IF(tblOrdenes[[#This Row],[backlog_dias]]&lt;0,"FUTURO",IF(tblOrdenes[[#This Row],[backlog_dias]]&gt;p_dias_backlog_max,"BACKLOG","MES CORRIENTE")))</f>
        <v/>
      </c>
      <c r="AB28" s="3">
        <f>IF(tblOrdenes[[#This Row],[backlog_dias]]="",FALSE,AND(tblOrdenes[[#This Row],[backlog_dias]]&gt;p_dias_backlog_min,tblOrdenes[[#This Row],[backlog_dias]]&lt;=p_dias_backlog_max))</f>
        <v/>
      </c>
      <c r="AC28" s="6" t="inlineStr">
        <is>
          <t>Técnico 01</t>
        </is>
      </c>
      <c r="AD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8" s="10">
        <f>IF(tblOrdenes[[#This Row],[orden]]="","",_xlfn.XLOOKUP(tblOrdenes[[#This Row],[id_operacion]],tblEjecucion[id_operacion],tblEjecucion[precio],0))</f>
        <v/>
      </c>
      <c r="AH28" s="10">
        <f>IF(tblOrdenes[[#This Row],[orden]]="","",MAX(0,_xlfn.XLOOKUP(tblOrdenes[[#This Row],[id_operacion]],tblEjecucion[id_operacion],tblEjecucion[costo_plan_total],0)-tblOrdenes[[#This Row],[costo_servicio]]))</f>
        <v/>
      </c>
      <c r="AI28" s="10">
        <f>IF(tblOrdenes[[#This Row],[orden]]="","",tblOrdenes[[#This Row],[costo_servicio]]+tblOrdenes[[#This Row],[costo_materiales]])</f>
        <v/>
      </c>
      <c r="AJ28" s="6" t="inlineStr"/>
      <c r="AK28" s="6" t="inlineStr"/>
      <c r="AL28" s="6" t="inlineStr"/>
      <c r="AM28" s="3">
        <f>IF(tblOrdenes[[#This Row],[link_checklist]]="","",HYPERLINK(p_ruta_base_checklists&amp;tblOrdenes[[#This Row],[link_checklist]],"abrir"))</f>
        <v/>
      </c>
      <c r="AN28" s="6" t="inlineStr"/>
      <c r="AO28" s="3">
        <f>IF(tblOrdenes[[#This Row],[orden]]="","",tblOrdenes[[#This Row],[orden]]&amp;IF(tblOrdenes[[#This Row],[operacion]]="","0010",tblOrdenes[[#This Row],[operacion]]))</f>
        <v/>
      </c>
    </row>
    <row r="29">
      <c r="A29" s="3" t="inlineStr">
        <is>
          <t>OT-000026</t>
        </is>
      </c>
      <c r="B29" s="3" t="inlineStr">
        <is>
          <t>0010</t>
        </is>
      </c>
      <c r="C29" s="3" t="inlineStr">
        <is>
          <t>Análisis predictivo — EQ-108</t>
        </is>
      </c>
      <c r="D29" s="3" t="inlineStr">
        <is>
          <t>Análisis predictivo en EQ-108</t>
        </is>
      </c>
      <c r="E29" s="3" t="inlineStr">
        <is>
          <t>EQ-108</t>
        </is>
      </c>
      <c r="F29" s="3" t="inlineStr">
        <is>
          <t>CC-210</t>
        </is>
      </c>
      <c r="G29" s="3" t="inlineStr">
        <is>
          <t>PU-MEC</t>
        </is>
      </c>
      <c r="H29" s="3" t="inlineStr">
        <is>
          <t>ACT-04</t>
        </is>
      </c>
      <c r="I29" s="3" t="inlineStr">
        <is>
          <t>TIPO-P1</t>
        </is>
      </c>
      <c r="J29" s="11" t="n">
        <v>46230</v>
      </c>
      <c r="K29" s="3" t="n">
        <v>10</v>
      </c>
      <c r="L29" s="10" t="n">
        <v>250</v>
      </c>
      <c r="M29" s="6" t="n"/>
      <c r="N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9" s="3">
        <f>IF(tblOrdenes[[#This Row],[fecha_inicio]]="","",YEAR(tblOrdenes[[#This Row],[fecha_inicio]]))</f>
        <v/>
      </c>
      <c r="R29" s="3">
        <f>IF(tblOrdenes[[#This Row],[fecha_inicio]]="","",MONTH(tblOrdenes[[#This Row],[fecha_inicio]]))</f>
        <v/>
      </c>
      <c r="S29" s="3">
        <f>IF(tblOrdenes[[#This Row],[fecha_inicio]]="","",INDEX(lista_dias,WEEKDAY(tblOrdenes[[#This Row],[fecha_inicio]],2)))</f>
        <v/>
      </c>
      <c r="T29" s="3">
        <f>IF(tblOrdenes[[#This Row],[tipo_ot]]="","",_xlfn.XLOOKUP(tblOrdenes[[#This Row],[tipo_ot]],tblTiposOT[codigo],tblTiposOT[clasificacion],"sin_clasificar"))</f>
        <v/>
      </c>
      <c r="U29" s="3">
        <f>IF(tblOrdenes[[#This Row],[centro_costo]]="","",_xlfn.XLOOKUP(tblOrdenes[[#This Row],[centro_costo]],tblCECO[codigo],tblCECO[linea],"(sin catálogo)"))</f>
        <v/>
      </c>
      <c r="V29" s="3">
        <f>IF(tblOrdenes[[#This Row],[centro_costo]]="","",_xlfn.XLOOKUP(tblOrdenes[[#This Row],[centro_costo]],tblCECO[codigo],tblCECO[area],"(sin catálogo)"))</f>
        <v/>
      </c>
      <c r="W29" s="3">
        <f>IF(tblOrdenes[[#This Row],[centro_costo]]="","",_xlfn.XLOOKUP(tblOrdenes[[#This Row],[centro_costo]],tblCECO[codigo],tblCECO[coordinador],"(sin catálogo)"))</f>
        <v/>
      </c>
      <c r="X29" s="3">
        <f>IF(tblOrdenes[[#This Row],[puesto_trabajo]]="","",_xlfn.XLOOKUP(tblOrdenes[[#This Row],[puesto_trabajo]],tblPuestos[codigo],tblPuestos[especialidad],"(sin catálogo)"))</f>
        <v/>
      </c>
      <c r="Y29" s="3">
        <f>IF(tblOrdenes[[#This Row],[cod_actividad]]="","",_xlfn.XLOOKUP(tblOrdenes[[#This Row],[cod_actividad]],tblActividades[codigo],tblActividades[descripcion],"(sin catálogo)"))</f>
        <v/>
      </c>
      <c r="Z29" s="12">
        <f>IF(tblOrdenes[[#This Row],[fecha_inicio]]="","",TODAY()-tblOrdenes[[#This Row],[fecha_inicio]])</f>
        <v/>
      </c>
      <c r="AA29" s="3">
        <f>IF(tblOrdenes[[#This Row],[backlog_dias]]="","",IF(tblOrdenes[[#This Row],[backlog_dias]]&lt;0,"FUTURO",IF(tblOrdenes[[#This Row],[backlog_dias]]&gt;p_dias_backlog_max,"BACKLOG","MES CORRIENTE")))</f>
        <v/>
      </c>
      <c r="AB29" s="3">
        <f>IF(tblOrdenes[[#This Row],[backlog_dias]]="",FALSE,AND(tblOrdenes[[#This Row],[backlog_dias]]&gt;p_dias_backlog_min,tblOrdenes[[#This Row],[backlog_dias]]&lt;=p_dias_backlog_max))</f>
        <v/>
      </c>
      <c r="AC29" s="6" t="inlineStr">
        <is>
          <t>Técnico 04</t>
        </is>
      </c>
      <c r="AD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9" s="10">
        <f>IF(tblOrdenes[[#This Row],[orden]]="","",_xlfn.XLOOKUP(tblOrdenes[[#This Row],[id_operacion]],tblEjecucion[id_operacion],tblEjecucion[precio],0))</f>
        <v/>
      </c>
      <c r="AH29" s="10">
        <f>IF(tblOrdenes[[#This Row],[orden]]="","",MAX(0,_xlfn.XLOOKUP(tblOrdenes[[#This Row],[id_operacion]],tblEjecucion[id_operacion],tblEjecucion[costo_plan_total],0)-tblOrdenes[[#This Row],[costo_servicio]]))</f>
        <v/>
      </c>
      <c r="AI29" s="10">
        <f>IF(tblOrdenes[[#This Row],[orden]]="","",tblOrdenes[[#This Row],[costo_servicio]]+tblOrdenes[[#This Row],[costo_materiales]])</f>
        <v/>
      </c>
      <c r="AJ29" s="6" t="inlineStr"/>
      <c r="AK29" s="6" t="inlineStr"/>
      <c r="AL29" s="6" t="inlineStr">
        <is>
          <t>ACT-04.pdf</t>
        </is>
      </c>
      <c r="AM29" s="3">
        <f>IF(tblOrdenes[[#This Row],[link_checklist]]="","",HYPERLINK(p_ruta_base_checklists&amp;tblOrdenes[[#This Row],[link_checklist]],"abrir"))</f>
        <v/>
      </c>
      <c r="AN29" s="6" t="inlineStr">
        <is>
          <t>Demo: asignada a técnico de vacaciones (HHD = −HHA)</t>
        </is>
      </c>
      <c r="AO29" s="3">
        <f>IF(tblOrdenes[[#This Row],[orden]]="","",tblOrdenes[[#This Row],[orden]]&amp;IF(tblOrdenes[[#This Row],[operacion]]="","0010",tblOrdenes[[#This Row],[operacion]]))</f>
        <v/>
      </c>
    </row>
    <row r="30">
      <c r="A30" s="3" t="inlineStr">
        <is>
          <t>OT-000027</t>
        </is>
      </c>
      <c r="B30" s="3" t="inlineStr">
        <is>
          <t>0010</t>
        </is>
      </c>
      <c r="C30" s="3" t="inlineStr">
        <is>
          <t>Inspección de rutina — EQ-110</t>
        </is>
      </c>
      <c r="D30" s="3" t="inlineStr">
        <is>
          <t>Inspección de rutina en EQ-110</t>
        </is>
      </c>
      <c r="E30" s="3" t="inlineStr">
        <is>
          <t>EQ-110</t>
        </is>
      </c>
      <c r="F30" s="3" t="inlineStr">
        <is>
          <t>CC-310</t>
        </is>
      </c>
      <c r="G30" s="3" t="inlineStr">
        <is>
          <t>PU-MEC</t>
        </is>
      </c>
      <c r="H30" s="3" t="inlineStr">
        <is>
          <t>ACT-01</t>
        </is>
      </c>
      <c r="I30" s="3" t="inlineStr">
        <is>
          <t>TIPO-P2</t>
        </is>
      </c>
      <c r="J30" s="11" t="n">
        <v>46231</v>
      </c>
      <c r="K30" s="3" t="n">
        <v>8</v>
      </c>
      <c r="L30" s="10" t="n">
        <v>200</v>
      </c>
      <c r="M30" s="6" t="n"/>
      <c r="N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0" s="3">
        <f>IF(tblOrdenes[[#This Row],[fecha_inicio]]="","",YEAR(tblOrdenes[[#This Row],[fecha_inicio]]))</f>
        <v/>
      </c>
      <c r="R30" s="3">
        <f>IF(tblOrdenes[[#This Row],[fecha_inicio]]="","",MONTH(tblOrdenes[[#This Row],[fecha_inicio]]))</f>
        <v/>
      </c>
      <c r="S30" s="3">
        <f>IF(tblOrdenes[[#This Row],[fecha_inicio]]="","",INDEX(lista_dias,WEEKDAY(tblOrdenes[[#This Row],[fecha_inicio]],2)))</f>
        <v/>
      </c>
      <c r="T30" s="3">
        <f>IF(tblOrdenes[[#This Row],[tipo_ot]]="","",_xlfn.XLOOKUP(tblOrdenes[[#This Row],[tipo_ot]],tblTiposOT[codigo],tblTiposOT[clasificacion],"sin_clasificar"))</f>
        <v/>
      </c>
      <c r="U30" s="3">
        <f>IF(tblOrdenes[[#This Row],[centro_costo]]="","",_xlfn.XLOOKUP(tblOrdenes[[#This Row],[centro_costo]],tblCECO[codigo],tblCECO[linea],"(sin catálogo)"))</f>
        <v/>
      </c>
      <c r="V30" s="3">
        <f>IF(tblOrdenes[[#This Row],[centro_costo]]="","",_xlfn.XLOOKUP(tblOrdenes[[#This Row],[centro_costo]],tblCECO[codigo],tblCECO[area],"(sin catálogo)"))</f>
        <v/>
      </c>
      <c r="W30" s="3">
        <f>IF(tblOrdenes[[#This Row],[centro_costo]]="","",_xlfn.XLOOKUP(tblOrdenes[[#This Row],[centro_costo]],tblCECO[codigo],tblCECO[coordinador],"(sin catálogo)"))</f>
        <v/>
      </c>
      <c r="X30" s="3">
        <f>IF(tblOrdenes[[#This Row],[puesto_trabajo]]="","",_xlfn.XLOOKUP(tblOrdenes[[#This Row],[puesto_trabajo]],tblPuestos[codigo],tblPuestos[especialidad],"(sin catálogo)"))</f>
        <v/>
      </c>
      <c r="Y30" s="3">
        <f>IF(tblOrdenes[[#This Row],[cod_actividad]]="","",_xlfn.XLOOKUP(tblOrdenes[[#This Row],[cod_actividad]],tblActividades[codigo],tblActividades[descripcion],"(sin catálogo)"))</f>
        <v/>
      </c>
      <c r="Z30" s="12">
        <f>IF(tblOrdenes[[#This Row],[fecha_inicio]]="","",TODAY()-tblOrdenes[[#This Row],[fecha_inicio]])</f>
        <v/>
      </c>
      <c r="AA30" s="3">
        <f>IF(tblOrdenes[[#This Row],[backlog_dias]]="","",IF(tblOrdenes[[#This Row],[backlog_dias]]&lt;0,"FUTURO",IF(tblOrdenes[[#This Row],[backlog_dias]]&gt;p_dias_backlog_max,"BACKLOG","MES CORRIENTE")))</f>
        <v/>
      </c>
      <c r="AB30" s="3">
        <f>IF(tblOrdenes[[#This Row],[backlog_dias]]="",FALSE,AND(tblOrdenes[[#This Row],[backlog_dias]]&gt;p_dias_backlog_min,tblOrdenes[[#This Row],[backlog_dias]]&lt;=p_dias_backlog_max))</f>
        <v/>
      </c>
      <c r="AC30" s="6" t="inlineStr">
        <is>
          <t>Técnico 03</t>
        </is>
      </c>
      <c r="AD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0" s="10">
        <f>IF(tblOrdenes[[#This Row],[orden]]="","",_xlfn.XLOOKUP(tblOrdenes[[#This Row],[id_operacion]],tblEjecucion[id_operacion],tblEjecucion[precio],0))</f>
        <v/>
      </c>
      <c r="AH30" s="10">
        <f>IF(tblOrdenes[[#This Row],[orden]]="","",MAX(0,_xlfn.XLOOKUP(tblOrdenes[[#This Row],[id_operacion]],tblEjecucion[id_operacion],tblEjecucion[costo_plan_total],0)-tblOrdenes[[#This Row],[costo_servicio]]))</f>
        <v/>
      </c>
      <c r="AI30" s="10">
        <f>IF(tblOrdenes[[#This Row],[orden]]="","",tblOrdenes[[#This Row],[costo_servicio]]+tblOrdenes[[#This Row],[costo_materiales]])</f>
        <v/>
      </c>
      <c r="AJ30" s="6" t="inlineStr"/>
      <c r="AK30" s="6" t="inlineStr"/>
      <c r="AL30" s="6" t="inlineStr">
        <is>
          <t>ACT-01.pdf</t>
        </is>
      </c>
      <c r="AM30" s="3">
        <f>IF(tblOrdenes[[#This Row],[link_checklist]]="","",HYPERLINK(p_ruta_base_checklists&amp;tblOrdenes[[#This Row],[link_checklist]],"abrir"))</f>
        <v/>
      </c>
      <c r="AN30" s="6" t="inlineStr"/>
      <c r="AO30" s="3">
        <f>IF(tblOrdenes[[#This Row],[orden]]="","",tblOrdenes[[#This Row],[orden]]&amp;IF(tblOrdenes[[#This Row],[operacion]]="","0010",tblOrdenes[[#This Row],[operacion]]))</f>
        <v/>
      </c>
    </row>
    <row r="31">
      <c r="A31" s="3" t="inlineStr">
        <is>
          <t>OT-000028</t>
        </is>
      </c>
      <c r="B31" s="3" t="inlineStr">
        <is>
          <t>0010</t>
        </is>
      </c>
      <c r="C31" s="3" t="inlineStr">
        <is>
          <t>Lubricación programada — EQ-104</t>
        </is>
      </c>
      <c r="D31" s="3" t="inlineStr">
        <is>
          <t>Lubricación programada en EQ-104</t>
        </is>
      </c>
      <c r="E31" s="3" t="inlineStr">
        <is>
          <t>EQ-104</t>
        </is>
      </c>
      <c r="F31" s="3" t="inlineStr">
        <is>
          <t>CC-110</t>
        </is>
      </c>
      <c r="G31" s="3" t="inlineStr">
        <is>
          <t>PU-MEC</t>
        </is>
      </c>
      <c r="H31" s="3" t="inlineStr">
        <is>
          <t>ACT-02</t>
        </is>
      </c>
      <c r="I31" s="3" t="inlineStr">
        <is>
          <t>TIPO-P1</t>
        </is>
      </c>
      <c r="J31" s="11" t="n">
        <v>46232</v>
      </c>
      <c r="K31" s="3" t="n">
        <v>6</v>
      </c>
      <c r="L31" s="10" t="n">
        <v>150</v>
      </c>
      <c r="M31" s="6" t="n"/>
      <c r="N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1" s="3">
        <f>IF(tblOrdenes[[#This Row],[fecha_inicio]]="","",YEAR(tblOrdenes[[#This Row],[fecha_inicio]]))</f>
        <v/>
      </c>
      <c r="R31" s="3">
        <f>IF(tblOrdenes[[#This Row],[fecha_inicio]]="","",MONTH(tblOrdenes[[#This Row],[fecha_inicio]]))</f>
        <v/>
      </c>
      <c r="S31" s="3">
        <f>IF(tblOrdenes[[#This Row],[fecha_inicio]]="","",INDEX(lista_dias,WEEKDAY(tblOrdenes[[#This Row],[fecha_inicio]],2)))</f>
        <v/>
      </c>
      <c r="T31" s="3">
        <f>IF(tblOrdenes[[#This Row],[tipo_ot]]="","",_xlfn.XLOOKUP(tblOrdenes[[#This Row],[tipo_ot]],tblTiposOT[codigo],tblTiposOT[clasificacion],"sin_clasificar"))</f>
        <v/>
      </c>
      <c r="U31" s="3">
        <f>IF(tblOrdenes[[#This Row],[centro_costo]]="","",_xlfn.XLOOKUP(tblOrdenes[[#This Row],[centro_costo]],tblCECO[codigo],tblCECO[linea],"(sin catálogo)"))</f>
        <v/>
      </c>
      <c r="V31" s="3">
        <f>IF(tblOrdenes[[#This Row],[centro_costo]]="","",_xlfn.XLOOKUP(tblOrdenes[[#This Row],[centro_costo]],tblCECO[codigo],tblCECO[area],"(sin catálogo)"))</f>
        <v/>
      </c>
      <c r="W31" s="3">
        <f>IF(tblOrdenes[[#This Row],[centro_costo]]="","",_xlfn.XLOOKUP(tblOrdenes[[#This Row],[centro_costo]],tblCECO[codigo],tblCECO[coordinador],"(sin catálogo)"))</f>
        <v/>
      </c>
      <c r="X31" s="3">
        <f>IF(tblOrdenes[[#This Row],[puesto_trabajo]]="","",_xlfn.XLOOKUP(tblOrdenes[[#This Row],[puesto_trabajo]],tblPuestos[codigo],tblPuestos[especialidad],"(sin catálogo)"))</f>
        <v/>
      </c>
      <c r="Y31" s="3">
        <f>IF(tblOrdenes[[#This Row],[cod_actividad]]="","",_xlfn.XLOOKUP(tblOrdenes[[#This Row],[cod_actividad]],tblActividades[codigo],tblActividades[descripcion],"(sin catálogo)"))</f>
        <v/>
      </c>
      <c r="Z31" s="12">
        <f>IF(tblOrdenes[[#This Row],[fecha_inicio]]="","",TODAY()-tblOrdenes[[#This Row],[fecha_inicio]])</f>
        <v/>
      </c>
      <c r="AA31" s="3">
        <f>IF(tblOrdenes[[#This Row],[backlog_dias]]="","",IF(tblOrdenes[[#This Row],[backlog_dias]]&lt;0,"FUTURO",IF(tblOrdenes[[#This Row],[backlog_dias]]&gt;p_dias_backlog_max,"BACKLOG","MES CORRIENTE")))</f>
        <v/>
      </c>
      <c r="AB31" s="3">
        <f>IF(tblOrdenes[[#This Row],[backlog_dias]]="",FALSE,AND(tblOrdenes[[#This Row],[backlog_dias]]&gt;p_dias_backlog_min,tblOrdenes[[#This Row],[backlog_dias]]&lt;=p_dias_backlog_max))</f>
        <v/>
      </c>
      <c r="AC31" s="6" t="inlineStr">
        <is>
          <t>Técnico 01</t>
        </is>
      </c>
      <c r="AD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1" s="10">
        <f>IF(tblOrdenes[[#This Row],[orden]]="","",_xlfn.XLOOKUP(tblOrdenes[[#This Row],[id_operacion]],tblEjecucion[id_operacion],tblEjecucion[precio],0))</f>
        <v/>
      </c>
      <c r="AH31" s="10">
        <f>IF(tblOrdenes[[#This Row],[orden]]="","",MAX(0,_xlfn.XLOOKUP(tblOrdenes[[#This Row],[id_operacion]],tblEjecucion[id_operacion],tblEjecucion[costo_plan_total],0)-tblOrdenes[[#This Row],[costo_servicio]]))</f>
        <v/>
      </c>
      <c r="AI31" s="10">
        <f>IF(tblOrdenes[[#This Row],[orden]]="","",tblOrdenes[[#This Row],[costo_servicio]]+tblOrdenes[[#This Row],[costo_materiales]])</f>
        <v/>
      </c>
      <c r="AJ31" s="6" t="inlineStr"/>
      <c r="AK31" s="6" t="inlineStr"/>
      <c r="AL31" s="6" t="inlineStr">
        <is>
          <t>ACT-02.pdf</t>
        </is>
      </c>
      <c r="AM31" s="3">
        <f>IF(tblOrdenes[[#This Row],[link_checklist]]="","",HYPERLINK(p_ruta_base_checklists&amp;tblOrdenes[[#This Row],[link_checklist]],"abrir"))</f>
        <v/>
      </c>
      <c r="AN31" s="6" t="inlineStr"/>
      <c r="AO31" s="3">
        <f>IF(tblOrdenes[[#This Row],[orden]]="","",tblOrdenes[[#This Row],[orden]]&amp;IF(tblOrdenes[[#This Row],[operacion]]="","0010",tblOrdenes[[#This Row],[operacion]]))</f>
        <v/>
      </c>
    </row>
    <row r="32">
      <c r="A32" s="3" t="inlineStr">
        <is>
          <t>OT-000029</t>
        </is>
      </c>
      <c r="B32" s="3" t="inlineStr">
        <is>
          <t>0010</t>
        </is>
      </c>
      <c r="C32" s="3" t="inlineStr">
        <is>
          <t>Análisis predictivo — EQ-107</t>
        </is>
      </c>
      <c r="D32" s="3" t="inlineStr">
        <is>
          <t>Análisis predictivo en EQ-107</t>
        </is>
      </c>
      <c r="E32" s="3" t="inlineStr">
        <is>
          <t>EQ-107</t>
        </is>
      </c>
      <c r="F32" s="3" t="inlineStr">
        <is>
          <t>CC-210</t>
        </is>
      </c>
      <c r="G32" s="3" t="inlineStr">
        <is>
          <t>PU-MEC</t>
        </is>
      </c>
      <c r="H32" s="3" t="inlineStr">
        <is>
          <t>ACT-04</t>
        </is>
      </c>
      <c r="I32" s="3" t="inlineStr">
        <is>
          <t>TIPO-P2</t>
        </is>
      </c>
      <c r="J32" s="11" t="n">
        <v>46233</v>
      </c>
      <c r="K32" s="3" t="n">
        <v>10</v>
      </c>
      <c r="L32" s="10" t="n">
        <v>250</v>
      </c>
      <c r="M32" s="6" t="n"/>
      <c r="N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2" s="3">
        <f>IF(tblOrdenes[[#This Row],[fecha_inicio]]="","",YEAR(tblOrdenes[[#This Row],[fecha_inicio]]))</f>
        <v/>
      </c>
      <c r="R32" s="3">
        <f>IF(tblOrdenes[[#This Row],[fecha_inicio]]="","",MONTH(tblOrdenes[[#This Row],[fecha_inicio]]))</f>
        <v/>
      </c>
      <c r="S32" s="3">
        <f>IF(tblOrdenes[[#This Row],[fecha_inicio]]="","",INDEX(lista_dias,WEEKDAY(tblOrdenes[[#This Row],[fecha_inicio]],2)))</f>
        <v/>
      </c>
      <c r="T32" s="3">
        <f>IF(tblOrdenes[[#This Row],[tipo_ot]]="","",_xlfn.XLOOKUP(tblOrdenes[[#This Row],[tipo_ot]],tblTiposOT[codigo],tblTiposOT[clasificacion],"sin_clasificar"))</f>
        <v/>
      </c>
      <c r="U32" s="3">
        <f>IF(tblOrdenes[[#This Row],[centro_costo]]="","",_xlfn.XLOOKUP(tblOrdenes[[#This Row],[centro_costo]],tblCECO[codigo],tblCECO[linea],"(sin catálogo)"))</f>
        <v/>
      </c>
      <c r="V32" s="3">
        <f>IF(tblOrdenes[[#This Row],[centro_costo]]="","",_xlfn.XLOOKUP(tblOrdenes[[#This Row],[centro_costo]],tblCECO[codigo],tblCECO[area],"(sin catálogo)"))</f>
        <v/>
      </c>
      <c r="W32" s="3">
        <f>IF(tblOrdenes[[#This Row],[centro_costo]]="","",_xlfn.XLOOKUP(tblOrdenes[[#This Row],[centro_costo]],tblCECO[codigo],tblCECO[coordinador],"(sin catálogo)"))</f>
        <v/>
      </c>
      <c r="X32" s="3">
        <f>IF(tblOrdenes[[#This Row],[puesto_trabajo]]="","",_xlfn.XLOOKUP(tblOrdenes[[#This Row],[puesto_trabajo]],tblPuestos[codigo],tblPuestos[especialidad],"(sin catálogo)"))</f>
        <v/>
      </c>
      <c r="Y32" s="3">
        <f>IF(tblOrdenes[[#This Row],[cod_actividad]]="","",_xlfn.XLOOKUP(tblOrdenes[[#This Row],[cod_actividad]],tblActividades[codigo],tblActividades[descripcion],"(sin catálogo)"))</f>
        <v/>
      </c>
      <c r="Z32" s="12">
        <f>IF(tblOrdenes[[#This Row],[fecha_inicio]]="","",TODAY()-tblOrdenes[[#This Row],[fecha_inicio]])</f>
        <v/>
      </c>
      <c r="AA32" s="3">
        <f>IF(tblOrdenes[[#This Row],[backlog_dias]]="","",IF(tblOrdenes[[#This Row],[backlog_dias]]&lt;0,"FUTURO",IF(tblOrdenes[[#This Row],[backlog_dias]]&gt;p_dias_backlog_max,"BACKLOG","MES CORRIENTE")))</f>
        <v/>
      </c>
      <c r="AB32" s="3">
        <f>IF(tblOrdenes[[#This Row],[backlog_dias]]="",FALSE,AND(tblOrdenes[[#This Row],[backlog_dias]]&gt;p_dias_backlog_min,tblOrdenes[[#This Row],[backlog_dias]]&lt;=p_dias_backlog_max))</f>
        <v/>
      </c>
      <c r="AC32" s="6" t="inlineStr">
        <is>
          <t>Técnico 02</t>
        </is>
      </c>
      <c r="AD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2" s="10">
        <f>IF(tblOrdenes[[#This Row],[orden]]="","",_xlfn.XLOOKUP(tblOrdenes[[#This Row],[id_operacion]],tblEjecucion[id_operacion],tblEjecucion[precio],0))</f>
        <v/>
      </c>
      <c r="AH32" s="10">
        <f>IF(tblOrdenes[[#This Row],[orden]]="","",MAX(0,_xlfn.XLOOKUP(tblOrdenes[[#This Row],[id_operacion]],tblEjecucion[id_operacion],tblEjecucion[costo_plan_total],0)-tblOrdenes[[#This Row],[costo_servicio]]))</f>
        <v/>
      </c>
      <c r="AI32" s="10">
        <f>IF(tblOrdenes[[#This Row],[orden]]="","",tblOrdenes[[#This Row],[costo_servicio]]+tblOrdenes[[#This Row],[costo_materiales]])</f>
        <v/>
      </c>
      <c r="AJ32" s="6" t="inlineStr"/>
      <c r="AK32" s="6" t="inlineStr"/>
      <c r="AL32" s="6" t="inlineStr">
        <is>
          <t>ACT-04.pdf</t>
        </is>
      </c>
      <c r="AM32" s="3">
        <f>IF(tblOrdenes[[#This Row],[link_checklist]]="","",HYPERLINK(p_ruta_base_checklists&amp;tblOrdenes[[#This Row],[link_checklist]],"abrir"))</f>
        <v/>
      </c>
      <c r="AN32" s="6" t="inlineStr"/>
      <c r="AO32" s="3">
        <f>IF(tblOrdenes[[#This Row],[orden]]="","",tblOrdenes[[#This Row],[orden]]&amp;IF(tblOrdenes[[#This Row],[operacion]]="","0010",tblOrdenes[[#This Row],[operacion]]))</f>
        <v/>
      </c>
    </row>
    <row r="33">
      <c r="A33" s="3" t="inlineStr">
        <is>
          <t>OT-000030</t>
        </is>
      </c>
      <c r="B33" s="3" t="inlineStr">
        <is>
          <t>0010</t>
        </is>
      </c>
      <c r="C33" s="3" t="inlineStr">
        <is>
          <t>Inspección de rutina — EQ-110</t>
        </is>
      </c>
      <c r="D33" s="3" t="inlineStr">
        <is>
          <t>Inspección de rutina en EQ-110</t>
        </is>
      </c>
      <c r="E33" s="3" t="inlineStr">
        <is>
          <t>EQ-110</t>
        </is>
      </c>
      <c r="F33" s="3" t="inlineStr">
        <is>
          <t>CC-310</t>
        </is>
      </c>
      <c r="G33" s="3" t="inlineStr">
        <is>
          <t>PU-MEC</t>
        </is>
      </c>
      <c r="H33" s="3" t="inlineStr">
        <is>
          <t>ACT-01</t>
        </is>
      </c>
      <c r="I33" s="3" t="inlineStr">
        <is>
          <t>TIPO-P1</t>
        </is>
      </c>
      <c r="J33" s="11" t="n">
        <v>46234</v>
      </c>
      <c r="K33" s="3" t="n">
        <v>8</v>
      </c>
      <c r="L33" s="10" t="n">
        <v>200</v>
      </c>
      <c r="M33" s="6" t="n"/>
      <c r="N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3" s="3">
        <f>IF(tblOrdenes[[#This Row],[fecha_inicio]]="","",YEAR(tblOrdenes[[#This Row],[fecha_inicio]]))</f>
        <v/>
      </c>
      <c r="R33" s="3">
        <f>IF(tblOrdenes[[#This Row],[fecha_inicio]]="","",MONTH(tblOrdenes[[#This Row],[fecha_inicio]]))</f>
        <v/>
      </c>
      <c r="S33" s="3">
        <f>IF(tblOrdenes[[#This Row],[fecha_inicio]]="","",INDEX(lista_dias,WEEKDAY(tblOrdenes[[#This Row],[fecha_inicio]],2)))</f>
        <v/>
      </c>
      <c r="T33" s="3">
        <f>IF(tblOrdenes[[#This Row],[tipo_ot]]="","",_xlfn.XLOOKUP(tblOrdenes[[#This Row],[tipo_ot]],tblTiposOT[codigo],tblTiposOT[clasificacion],"sin_clasificar"))</f>
        <v/>
      </c>
      <c r="U33" s="3">
        <f>IF(tblOrdenes[[#This Row],[centro_costo]]="","",_xlfn.XLOOKUP(tblOrdenes[[#This Row],[centro_costo]],tblCECO[codigo],tblCECO[linea],"(sin catálogo)"))</f>
        <v/>
      </c>
      <c r="V33" s="3">
        <f>IF(tblOrdenes[[#This Row],[centro_costo]]="","",_xlfn.XLOOKUP(tblOrdenes[[#This Row],[centro_costo]],tblCECO[codigo],tblCECO[area],"(sin catálogo)"))</f>
        <v/>
      </c>
      <c r="W33" s="3">
        <f>IF(tblOrdenes[[#This Row],[centro_costo]]="","",_xlfn.XLOOKUP(tblOrdenes[[#This Row],[centro_costo]],tblCECO[codigo],tblCECO[coordinador],"(sin catálogo)"))</f>
        <v/>
      </c>
      <c r="X33" s="3">
        <f>IF(tblOrdenes[[#This Row],[puesto_trabajo]]="","",_xlfn.XLOOKUP(tblOrdenes[[#This Row],[puesto_trabajo]],tblPuestos[codigo],tblPuestos[especialidad],"(sin catálogo)"))</f>
        <v/>
      </c>
      <c r="Y33" s="3">
        <f>IF(tblOrdenes[[#This Row],[cod_actividad]]="","",_xlfn.XLOOKUP(tblOrdenes[[#This Row],[cod_actividad]],tblActividades[codigo],tblActividades[descripcion],"(sin catálogo)"))</f>
        <v/>
      </c>
      <c r="Z33" s="12">
        <f>IF(tblOrdenes[[#This Row],[fecha_inicio]]="","",TODAY()-tblOrdenes[[#This Row],[fecha_inicio]])</f>
        <v/>
      </c>
      <c r="AA33" s="3">
        <f>IF(tblOrdenes[[#This Row],[backlog_dias]]="","",IF(tblOrdenes[[#This Row],[backlog_dias]]&lt;0,"FUTURO",IF(tblOrdenes[[#This Row],[backlog_dias]]&gt;p_dias_backlog_max,"BACKLOG","MES CORRIENTE")))</f>
        <v/>
      </c>
      <c r="AB33" s="3">
        <f>IF(tblOrdenes[[#This Row],[backlog_dias]]="",FALSE,AND(tblOrdenes[[#This Row],[backlog_dias]]&gt;p_dias_backlog_min,tblOrdenes[[#This Row],[backlog_dias]]&lt;=p_dias_backlog_max))</f>
        <v/>
      </c>
      <c r="AC33" s="6" t="inlineStr">
        <is>
          <t>Técnico 03</t>
        </is>
      </c>
      <c r="AD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3" s="10">
        <f>IF(tblOrdenes[[#This Row],[orden]]="","",_xlfn.XLOOKUP(tblOrdenes[[#This Row],[id_operacion]],tblEjecucion[id_operacion],tblEjecucion[precio],0))</f>
        <v/>
      </c>
      <c r="AH33" s="10">
        <f>IF(tblOrdenes[[#This Row],[orden]]="","",MAX(0,_xlfn.XLOOKUP(tblOrdenes[[#This Row],[id_operacion]],tblEjecucion[id_operacion],tblEjecucion[costo_plan_total],0)-tblOrdenes[[#This Row],[costo_servicio]]))</f>
        <v/>
      </c>
      <c r="AI33" s="10">
        <f>IF(tblOrdenes[[#This Row],[orden]]="","",tblOrdenes[[#This Row],[costo_servicio]]+tblOrdenes[[#This Row],[costo_materiales]])</f>
        <v/>
      </c>
      <c r="AJ33" s="6" t="inlineStr"/>
      <c r="AK33" s="6" t="inlineStr"/>
      <c r="AL33" s="6" t="inlineStr">
        <is>
          <t>ACT-01.pdf</t>
        </is>
      </c>
      <c r="AM33" s="3">
        <f>IF(tblOrdenes[[#This Row],[link_checklist]]="","",HYPERLINK(p_ruta_base_checklists&amp;tblOrdenes[[#This Row],[link_checklist]],"abrir"))</f>
        <v/>
      </c>
      <c r="AN33" s="6" t="inlineStr"/>
      <c r="AO33" s="3">
        <f>IF(tblOrdenes[[#This Row],[orden]]="","",tblOrdenes[[#This Row],[orden]]&amp;IF(tblOrdenes[[#This Row],[operacion]]="","0010",tblOrdenes[[#This Row],[operacion]]))</f>
        <v/>
      </c>
    </row>
    <row r="34">
      <c r="A34" s="3" t="inlineStr">
        <is>
          <t>OT-000031</t>
        </is>
      </c>
      <c r="B34" s="3" t="inlineStr">
        <is>
          <t>0010</t>
        </is>
      </c>
      <c r="C34" s="3" t="inlineStr">
        <is>
          <t>Lubricación programada — EQ-102</t>
        </is>
      </c>
      <c r="D34" s="3" t="inlineStr">
        <is>
          <t>Lubricación programada en EQ-102</t>
        </is>
      </c>
      <c r="E34" s="3" t="inlineStr">
        <is>
          <t>EQ-102</t>
        </is>
      </c>
      <c r="F34" s="3" t="inlineStr">
        <is>
          <t>CC-110</t>
        </is>
      </c>
      <c r="G34" s="3" t="inlineStr">
        <is>
          <t>PU-MEC</t>
        </is>
      </c>
      <c r="H34" s="3" t="inlineStr">
        <is>
          <t>ACT-02</t>
        </is>
      </c>
      <c r="I34" s="3" t="inlineStr">
        <is>
          <t>TIPO-P2</t>
        </is>
      </c>
      <c r="J34" s="11" t="n">
        <v>46230</v>
      </c>
      <c r="K34" s="3" t="n">
        <v>6</v>
      </c>
      <c r="L34" s="10" t="n">
        <v>150</v>
      </c>
      <c r="M34" s="6" t="n"/>
      <c r="N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4" s="3">
        <f>IF(tblOrdenes[[#This Row],[fecha_inicio]]="","",YEAR(tblOrdenes[[#This Row],[fecha_inicio]]))</f>
        <v/>
      </c>
      <c r="R34" s="3">
        <f>IF(tblOrdenes[[#This Row],[fecha_inicio]]="","",MONTH(tblOrdenes[[#This Row],[fecha_inicio]]))</f>
        <v/>
      </c>
      <c r="S34" s="3">
        <f>IF(tblOrdenes[[#This Row],[fecha_inicio]]="","",INDEX(lista_dias,WEEKDAY(tblOrdenes[[#This Row],[fecha_inicio]],2)))</f>
        <v/>
      </c>
      <c r="T34" s="3">
        <f>IF(tblOrdenes[[#This Row],[tipo_ot]]="","",_xlfn.XLOOKUP(tblOrdenes[[#This Row],[tipo_ot]],tblTiposOT[codigo],tblTiposOT[clasificacion],"sin_clasificar"))</f>
        <v/>
      </c>
      <c r="U34" s="3">
        <f>IF(tblOrdenes[[#This Row],[centro_costo]]="","",_xlfn.XLOOKUP(tblOrdenes[[#This Row],[centro_costo]],tblCECO[codigo],tblCECO[linea],"(sin catálogo)"))</f>
        <v/>
      </c>
      <c r="V34" s="3">
        <f>IF(tblOrdenes[[#This Row],[centro_costo]]="","",_xlfn.XLOOKUP(tblOrdenes[[#This Row],[centro_costo]],tblCECO[codigo],tblCECO[area],"(sin catálogo)"))</f>
        <v/>
      </c>
      <c r="W34" s="3">
        <f>IF(tblOrdenes[[#This Row],[centro_costo]]="","",_xlfn.XLOOKUP(tblOrdenes[[#This Row],[centro_costo]],tblCECO[codigo],tblCECO[coordinador],"(sin catálogo)"))</f>
        <v/>
      </c>
      <c r="X34" s="3">
        <f>IF(tblOrdenes[[#This Row],[puesto_trabajo]]="","",_xlfn.XLOOKUP(tblOrdenes[[#This Row],[puesto_trabajo]],tblPuestos[codigo],tblPuestos[especialidad],"(sin catálogo)"))</f>
        <v/>
      </c>
      <c r="Y34" s="3">
        <f>IF(tblOrdenes[[#This Row],[cod_actividad]]="","",_xlfn.XLOOKUP(tblOrdenes[[#This Row],[cod_actividad]],tblActividades[codigo],tblActividades[descripcion],"(sin catálogo)"))</f>
        <v/>
      </c>
      <c r="Z34" s="12">
        <f>IF(tblOrdenes[[#This Row],[fecha_inicio]]="","",TODAY()-tblOrdenes[[#This Row],[fecha_inicio]])</f>
        <v/>
      </c>
      <c r="AA34" s="3">
        <f>IF(tblOrdenes[[#This Row],[backlog_dias]]="","",IF(tblOrdenes[[#This Row],[backlog_dias]]&lt;0,"FUTURO",IF(tblOrdenes[[#This Row],[backlog_dias]]&gt;p_dias_backlog_max,"BACKLOG","MES CORRIENTE")))</f>
        <v/>
      </c>
      <c r="AB34" s="3">
        <f>IF(tblOrdenes[[#This Row],[backlog_dias]]="",FALSE,AND(tblOrdenes[[#This Row],[backlog_dias]]&gt;p_dias_backlog_min,tblOrdenes[[#This Row],[backlog_dias]]&lt;=p_dias_backlog_max))</f>
        <v/>
      </c>
      <c r="AC34" s="6" t="inlineStr">
        <is>
          <t>Técnico 01</t>
        </is>
      </c>
      <c r="AD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4" s="10">
        <f>IF(tblOrdenes[[#This Row],[orden]]="","",_xlfn.XLOOKUP(tblOrdenes[[#This Row],[id_operacion]],tblEjecucion[id_operacion],tblEjecucion[precio],0))</f>
        <v/>
      </c>
      <c r="AH34" s="10">
        <f>IF(tblOrdenes[[#This Row],[orden]]="","",MAX(0,_xlfn.XLOOKUP(tblOrdenes[[#This Row],[id_operacion]],tblEjecucion[id_operacion],tblEjecucion[costo_plan_total],0)-tblOrdenes[[#This Row],[costo_servicio]]))</f>
        <v/>
      </c>
      <c r="AI34" s="10">
        <f>IF(tblOrdenes[[#This Row],[orden]]="","",tblOrdenes[[#This Row],[costo_servicio]]+tblOrdenes[[#This Row],[costo_materiales]])</f>
        <v/>
      </c>
      <c r="AJ34" s="6" t="inlineStr"/>
      <c r="AK34" s="6" t="inlineStr"/>
      <c r="AL34" s="6" t="inlineStr">
        <is>
          <t>ACT-02.pdf</t>
        </is>
      </c>
      <c r="AM34" s="3">
        <f>IF(tblOrdenes[[#This Row],[link_checklist]]="","",HYPERLINK(p_ruta_base_checklists&amp;tblOrdenes[[#This Row],[link_checklist]],"abrir"))</f>
        <v/>
      </c>
      <c r="AN34" s="6" t="inlineStr"/>
      <c r="AO34" s="3">
        <f>IF(tblOrdenes[[#This Row],[orden]]="","",tblOrdenes[[#This Row],[orden]]&amp;IF(tblOrdenes[[#This Row],[operacion]]="","0010",tblOrdenes[[#This Row],[operacion]]))</f>
        <v/>
      </c>
    </row>
    <row r="35">
      <c r="A35" s="3" t="inlineStr">
        <is>
          <t>OT-000032</t>
        </is>
      </c>
      <c r="B35" s="3" t="inlineStr">
        <is>
          <t>0010</t>
        </is>
      </c>
      <c r="C35" s="3" t="inlineStr">
        <is>
          <t>Análisis predictivo — EQ-106</t>
        </is>
      </c>
      <c r="D35" s="3" t="inlineStr">
        <is>
          <t>Análisis predictivo en EQ-106</t>
        </is>
      </c>
      <c r="E35" s="3" t="inlineStr">
        <is>
          <t>EQ-106</t>
        </is>
      </c>
      <c r="F35" s="3" t="inlineStr">
        <is>
          <t>CC-210</t>
        </is>
      </c>
      <c r="G35" s="3" t="inlineStr">
        <is>
          <t>PU-MEC</t>
        </is>
      </c>
      <c r="H35" s="3" t="inlineStr">
        <is>
          <t>ACT-04</t>
        </is>
      </c>
      <c r="I35" s="3" t="inlineStr">
        <is>
          <t>TIPO-P1</t>
        </is>
      </c>
      <c r="J35" s="11" t="n">
        <v>46231</v>
      </c>
      <c r="K35" s="3" t="n">
        <v>10</v>
      </c>
      <c r="L35" s="10" t="n">
        <v>250</v>
      </c>
      <c r="M35" s="6" t="n"/>
      <c r="N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5" s="3">
        <f>IF(tblOrdenes[[#This Row],[fecha_inicio]]="","",YEAR(tblOrdenes[[#This Row],[fecha_inicio]]))</f>
        <v/>
      </c>
      <c r="R35" s="3">
        <f>IF(tblOrdenes[[#This Row],[fecha_inicio]]="","",MONTH(tblOrdenes[[#This Row],[fecha_inicio]]))</f>
        <v/>
      </c>
      <c r="S35" s="3">
        <f>IF(tblOrdenes[[#This Row],[fecha_inicio]]="","",INDEX(lista_dias,WEEKDAY(tblOrdenes[[#This Row],[fecha_inicio]],2)))</f>
        <v/>
      </c>
      <c r="T35" s="3">
        <f>IF(tblOrdenes[[#This Row],[tipo_ot]]="","",_xlfn.XLOOKUP(tblOrdenes[[#This Row],[tipo_ot]],tblTiposOT[codigo],tblTiposOT[clasificacion],"sin_clasificar"))</f>
        <v/>
      </c>
      <c r="U35" s="3">
        <f>IF(tblOrdenes[[#This Row],[centro_costo]]="","",_xlfn.XLOOKUP(tblOrdenes[[#This Row],[centro_costo]],tblCECO[codigo],tblCECO[linea],"(sin catálogo)"))</f>
        <v/>
      </c>
      <c r="V35" s="3">
        <f>IF(tblOrdenes[[#This Row],[centro_costo]]="","",_xlfn.XLOOKUP(tblOrdenes[[#This Row],[centro_costo]],tblCECO[codigo],tblCECO[area],"(sin catálogo)"))</f>
        <v/>
      </c>
      <c r="W35" s="3">
        <f>IF(tblOrdenes[[#This Row],[centro_costo]]="","",_xlfn.XLOOKUP(tblOrdenes[[#This Row],[centro_costo]],tblCECO[codigo],tblCECO[coordinador],"(sin catálogo)"))</f>
        <v/>
      </c>
      <c r="X35" s="3">
        <f>IF(tblOrdenes[[#This Row],[puesto_trabajo]]="","",_xlfn.XLOOKUP(tblOrdenes[[#This Row],[puesto_trabajo]],tblPuestos[codigo],tblPuestos[especialidad],"(sin catálogo)"))</f>
        <v/>
      </c>
      <c r="Y35" s="3">
        <f>IF(tblOrdenes[[#This Row],[cod_actividad]]="","",_xlfn.XLOOKUP(tblOrdenes[[#This Row],[cod_actividad]],tblActividades[codigo],tblActividades[descripcion],"(sin catálogo)"))</f>
        <v/>
      </c>
      <c r="Z35" s="12">
        <f>IF(tblOrdenes[[#This Row],[fecha_inicio]]="","",TODAY()-tblOrdenes[[#This Row],[fecha_inicio]])</f>
        <v/>
      </c>
      <c r="AA35" s="3">
        <f>IF(tblOrdenes[[#This Row],[backlog_dias]]="","",IF(tblOrdenes[[#This Row],[backlog_dias]]&lt;0,"FUTURO",IF(tblOrdenes[[#This Row],[backlog_dias]]&gt;p_dias_backlog_max,"BACKLOG","MES CORRIENTE")))</f>
        <v/>
      </c>
      <c r="AB35" s="3">
        <f>IF(tblOrdenes[[#This Row],[backlog_dias]]="",FALSE,AND(tblOrdenes[[#This Row],[backlog_dias]]&gt;p_dias_backlog_min,tblOrdenes[[#This Row],[backlog_dias]]&lt;=p_dias_backlog_max))</f>
        <v/>
      </c>
      <c r="AC35" s="6" t="inlineStr">
        <is>
          <t>Técnico 02</t>
        </is>
      </c>
      <c r="AD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5" s="10">
        <f>IF(tblOrdenes[[#This Row],[orden]]="","",_xlfn.XLOOKUP(tblOrdenes[[#This Row],[id_operacion]],tblEjecucion[id_operacion],tblEjecucion[precio],0))</f>
        <v/>
      </c>
      <c r="AH35" s="10">
        <f>IF(tblOrdenes[[#This Row],[orden]]="","",MAX(0,_xlfn.XLOOKUP(tblOrdenes[[#This Row],[id_operacion]],tblEjecucion[id_operacion],tblEjecucion[costo_plan_total],0)-tblOrdenes[[#This Row],[costo_servicio]]))</f>
        <v/>
      </c>
      <c r="AI35" s="10">
        <f>IF(tblOrdenes[[#This Row],[orden]]="","",tblOrdenes[[#This Row],[costo_servicio]]+tblOrdenes[[#This Row],[costo_materiales]])</f>
        <v/>
      </c>
      <c r="AJ35" s="6" t="inlineStr"/>
      <c r="AK35" s="6" t="inlineStr"/>
      <c r="AL35" s="6" t="inlineStr">
        <is>
          <t>ACT-04.pdf</t>
        </is>
      </c>
      <c r="AM35" s="3">
        <f>IF(tblOrdenes[[#This Row],[link_checklist]]="","",HYPERLINK(p_ruta_base_checklists&amp;tblOrdenes[[#This Row],[link_checklist]],"abrir"))</f>
        <v/>
      </c>
      <c r="AN35" s="6" t="inlineStr"/>
      <c r="AO35" s="3">
        <f>IF(tblOrdenes[[#This Row],[orden]]="","",tblOrdenes[[#This Row],[orden]]&amp;IF(tblOrdenes[[#This Row],[operacion]]="","0010",tblOrdenes[[#This Row],[operacion]]))</f>
        <v/>
      </c>
    </row>
    <row r="36">
      <c r="A36" s="3" t="inlineStr">
        <is>
          <t>OT-000033</t>
        </is>
      </c>
      <c r="B36" s="3" t="inlineStr">
        <is>
          <t>0010</t>
        </is>
      </c>
      <c r="C36" s="3" t="inlineStr">
        <is>
          <t>Inspección de rutina — EQ-110</t>
        </is>
      </c>
      <c r="D36" s="3" t="inlineStr">
        <is>
          <t>Inspección de rutina en EQ-110</t>
        </is>
      </c>
      <c r="E36" s="3" t="inlineStr">
        <is>
          <t>EQ-110</t>
        </is>
      </c>
      <c r="F36" s="3" t="inlineStr">
        <is>
          <t>CC-310</t>
        </is>
      </c>
      <c r="G36" s="3" t="inlineStr">
        <is>
          <t>PU-MEC</t>
        </is>
      </c>
      <c r="H36" s="3" t="inlineStr">
        <is>
          <t>ACT-01</t>
        </is>
      </c>
      <c r="I36" s="3" t="inlineStr">
        <is>
          <t>TIPO-P2</t>
        </is>
      </c>
      <c r="J36" s="11" t="n">
        <v>46232</v>
      </c>
      <c r="K36" s="3" t="n">
        <v>8</v>
      </c>
      <c r="L36" s="10" t="n">
        <v>200</v>
      </c>
      <c r="M36" s="6" t="n"/>
      <c r="N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6" s="3">
        <f>IF(tblOrdenes[[#This Row],[fecha_inicio]]="","",YEAR(tblOrdenes[[#This Row],[fecha_inicio]]))</f>
        <v/>
      </c>
      <c r="R36" s="3">
        <f>IF(tblOrdenes[[#This Row],[fecha_inicio]]="","",MONTH(tblOrdenes[[#This Row],[fecha_inicio]]))</f>
        <v/>
      </c>
      <c r="S36" s="3">
        <f>IF(tblOrdenes[[#This Row],[fecha_inicio]]="","",INDEX(lista_dias,WEEKDAY(tblOrdenes[[#This Row],[fecha_inicio]],2)))</f>
        <v/>
      </c>
      <c r="T36" s="3">
        <f>IF(tblOrdenes[[#This Row],[tipo_ot]]="","",_xlfn.XLOOKUP(tblOrdenes[[#This Row],[tipo_ot]],tblTiposOT[codigo],tblTiposOT[clasificacion],"sin_clasificar"))</f>
        <v/>
      </c>
      <c r="U36" s="3">
        <f>IF(tblOrdenes[[#This Row],[centro_costo]]="","",_xlfn.XLOOKUP(tblOrdenes[[#This Row],[centro_costo]],tblCECO[codigo],tblCECO[linea],"(sin catálogo)"))</f>
        <v/>
      </c>
      <c r="V36" s="3">
        <f>IF(tblOrdenes[[#This Row],[centro_costo]]="","",_xlfn.XLOOKUP(tblOrdenes[[#This Row],[centro_costo]],tblCECO[codigo],tblCECO[area],"(sin catálogo)"))</f>
        <v/>
      </c>
      <c r="W36" s="3">
        <f>IF(tblOrdenes[[#This Row],[centro_costo]]="","",_xlfn.XLOOKUP(tblOrdenes[[#This Row],[centro_costo]],tblCECO[codigo],tblCECO[coordinador],"(sin catálogo)"))</f>
        <v/>
      </c>
      <c r="X36" s="3">
        <f>IF(tblOrdenes[[#This Row],[puesto_trabajo]]="","",_xlfn.XLOOKUP(tblOrdenes[[#This Row],[puesto_trabajo]],tblPuestos[codigo],tblPuestos[especialidad],"(sin catálogo)"))</f>
        <v/>
      </c>
      <c r="Y36" s="3">
        <f>IF(tblOrdenes[[#This Row],[cod_actividad]]="","",_xlfn.XLOOKUP(tblOrdenes[[#This Row],[cod_actividad]],tblActividades[codigo],tblActividades[descripcion],"(sin catálogo)"))</f>
        <v/>
      </c>
      <c r="Z36" s="12">
        <f>IF(tblOrdenes[[#This Row],[fecha_inicio]]="","",TODAY()-tblOrdenes[[#This Row],[fecha_inicio]])</f>
        <v/>
      </c>
      <c r="AA36" s="3">
        <f>IF(tblOrdenes[[#This Row],[backlog_dias]]="","",IF(tblOrdenes[[#This Row],[backlog_dias]]&lt;0,"FUTURO",IF(tblOrdenes[[#This Row],[backlog_dias]]&gt;p_dias_backlog_max,"BACKLOG","MES CORRIENTE")))</f>
        <v/>
      </c>
      <c r="AB36" s="3">
        <f>IF(tblOrdenes[[#This Row],[backlog_dias]]="",FALSE,AND(tblOrdenes[[#This Row],[backlog_dias]]&gt;p_dias_backlog_min,tblOrdenes[[#This Row],[backlog_dias]]&lt;=p_dias_backlog_max))</f>
        <v/>
      </c>
      <c r="AC36" s="6" t="inlineStr">
        <is>
          <t>Técnico 03</t>
        </is>
      </c>
      <c r="AD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6" s="10">
        <f>IF(tblOrdenes[[#This Row],[orden]]="","",_xlfn.XLOOKUP(tblOrdenes[[#This Row],[id_operacion]],tblEjecucion[id_operacion],tblEjecucion[precio],0))</f>
        <v/>
      </c>
      <c r="AH36" s="10">
        <f>IF(tblOrdenes[[#This Row],[orden]]="","",MAX(0,_xlfn.XLOOKUP(tblOrdenes[[#This Row],[id_operacion]],tblEjecucion[id_operacion],tblEjecucion[costo_plan_total],0)-tblOrdenes[[#This Row],[costo_servicio]]))</f>
        <v/>
      </c>
      <c r="AI36" s="10">
        <f>IF(tblOrdenes[[#This Row],[orden]]="","",tblOrdenes[[#This Row],[costo_servicio]]+tblOrdenes[[#This Row],[costo_materiales]])</f>
        <v/>
      </c>
      <c r="AJ36" s="6" t="inlineStr"/>
      <c r="AK36" s="6" t="inlineStr"/>
      <c r="AL36" s="6" t="inlineStr">
        <is>
          <t>ACT-01.pdf</t>
        </is>
      </c>
      <c r="AM36" s="3">
        <f>IF(tblOrdenes[[#This Row],[link_checklist]]="","",HYPERLINK(p_ruta_base_checklists&amp;tblOrdenes[[#This Row],[link_checklist]],"abrir"))</f>
        <v/>
      </c>
      <c r="AN36" s="6" t="inlineStr"/>
      <c r="AO36" s="3">
        <f>IF(tblOrdenes[[#This Row],[orden]]="","",tblOrdenes[[#This Row],[orden]]&amp;IF(tblOrdenes[[#This Row],[operacion]]="","0010",tblOrdenes[[#This Row],[operacion]]))</f>
        <v/>
      </c>
    </row>
    <row r="37">
      <c r="A37" s="3" t="inlineStr">
        <is>
          <t>OT-000034</t>
        </is>
      </c>
      <c r="B37" s="3" t="inlineStr">
        <is>
          <t>0010</t>
        </is>
      </c>
      <c r="C37" s="3" t="inlineStr">
        <is>
          <t>Lubricación programada — EQ-105</t>
        </is>
      </c>
      <c r="D37" s="3" t="inlineStr">
        <is>
          <t>Lubricación programada en EQ-105</t>
        </is>
      </c>
      <c r="E37" s="3" t="inlineStr">
        <is>
          <t>EQ-105</t>
        </is>
      </c>
      <c r="F37" s="3" t="inlineStr">
        <is>
          <t>CC-110</t>
        </is>
      </c>
      <c r="G37" s="3" t="inlineStr">
        <is>
          <t>PU-MEC</t>
        </is>
      </c>
      <c r="H37" s="3" t="inlineStr">
        <is>
          <t>ACT-02</t>
        </is>
      </c>
      <c r="I37" s="3" t="inlineStr">
        <is>
          <t>TIPO-P1</t>
        </is>
      </c>
      <c r="J37" s="11" t="n">
        <v>46233</v>
      </c>
      <c r="K37" s="3" t="n">
        <v>6</v>
      </c>
      <c r="L37" s="10" t="n">
        <v>150</v>
      </c>
      <c r="M37" s="6" t="n"/>
      <c r="N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7" s="3">
        <f>IF(tblOrdenes[[#This Row],[fecha_inicio]]="","",YEAR(tblOrdenes[[#This Row],[fecha_inicio]]))</f>
        <v/>
      </c>
      <c r="R37" s="3">
        <f>IF(tblOrdenes[[#This Row],[fecha_inicio]]="","",MONTH(tblOrdenes[[#This Row],[fecha_inicio]]))</f>
        <v/>
      </c>
      <c r="S37" s="3">
        <f>IF(tblOrdenes[[#This Row],[fecha_inicio]]="","",INDEX(lista_dias,WEEKDAY(tblOrdenes[[#This Row],[fecha_inicio]],2)))</f>
        <v/>
      </c>
      <c r="T37" s="3">
        <f>IF(tblOrdenes[[#This Row],[tipo_ot]]="","",_xlfn.XLOOKUP(tblOrdenes[[#This Row],[tipo_ot]],tblTiposOT[codigo],tblTiposOT[clasificacion],"sin_clasificar"))</f>
        <v/>
      </c>
      <c r="U37" s="3">
        <f>IF(tblOrdenes[[#This Row],[centro_costo]]="","",_xlfn.XLOOKUP(tblOrdenes[[#This Row],[centro_costo]],tblCECO[codigo],tblCECO[linea],"(sin catálogo)"))</f>
        <v/>
      </c>
      <c r="V37" s="3">
        <f>IF(tblOrdenes[[#This Row],[centro_costo]]="","",_xlfn.XLOOKUP(tblOrdenes[[#This Row],[centro_costo]],tblCECO[codigo],tblCECO[area],"(sin catálogo)"))</f>
        <v/>
      </c>
      <c r="W37" s="3">
        <f>IF(tblOrdenes[[#This Row],[centro_costo]]="","",_xlfn.XLOOKUP(tblOrdenes[[#This Row],[centro_costo]],tblCECO[codigo],tblCECO[coordinador],"(sin catálogo)"))</f>
        <v/>
      </c>
      <c r="X37" s="3">
        <f>IF(tblOrdenes[[#This Row],[puesto_trabajo]]="","",_xlfn.XLOOKUP(tblOrdenes[[#This Row],[puesto_trabajo]],tblPuestos[codigo],tblPuestos[especialidad],"(sin catálogo)"))</f>
        <v/>
      </c>
      <c r="Y37" s="3">
        <f>IF(tblOrdenes[[#This Row],[cod_actividad]]="","",_xlfn.XLOOKUP(tblOrdenes[[#This Row],[cod_actividad]],tblActividades[codigo],tblActividades[descripcion],"(sin catálogo)"))</f>
        <v/>
      </c>
      <c r="Z37" s="12">
        <f>IF(tblOrdenes[[#This Row],[fecha_inicio]]="","",TODAY()-tblOrdenes[[#This Row],[fecha_inicio]])</f>
        <v/>
      </c>
      <c r="AA37" s="3">
        <f>IF(tblOrdenes[[#This Row],[backlog_dias]]="","",IF(tblOrdenes[[#This Row],[backlog_dias]]&lt;0,"FUTURO",IF(tblOrdenes[[#This Row],[backlog_dias]]&gt;p_dias_backlog_max,"BACKLOG","MES CORRIENTE")))</f>
        <v/>
      </c>
      <c r="AB37" s="3">
        <f>IF(tblOrdenes[[#This Row],[backlog_dias]]="",FALSE,AND(tblOrdenes[[#This Row],[backlog_dias]]&gt;p_dias_backlog_min,tblOrdenes[[#This Row],[backlog_dias]]&lt;=p_dias_backlog_max))</f>
        <v/>
      </c>
      <c r="AC37" s="6" t="inlineStr">
        <is>
          <t>Técnico 01</t>
        </is>
      </c>
      <c r="AD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7" s="10">
        <f>IF(tblOrdenes[[#This Row],[orden]]="","",_xlfn.XLOOKUP(tblOrdenes[[#This Row],[id_operacion]],tblEjecucion[id_operacion],tblEjecucion[precio],0))</f>
        <v/>
      </c>
      <c r="AH37" s="10">
        <f>IF(tblOrdenes[[#This Row],[orden]]="","",MAX(0,_xlfn.XLOOKUP(tblOrdenes[[#This Row],[id_operacion]],tblEjecucion[id_operacion],tblEjecucion[costo_plan_total],0)-tblOrdenes[[#This Row],[costo_servicio]]))</f>
        <v/>
      </c>
      <c r="AI37" s="10">
        <f>IF(tblOrdenes[[#This Row],[orden]]="","",tblOrdenes[[#This Row],[costo_servicio]]+tblOrdenes[[#This Row],[costo_materiales]])</f>
        <v/>
      </c>
      <c r="AJ37" s="6" t="inlineStr"/>
      <c r="AK37" s="6" t="inlineStr"/>
      <c r="AL37" s="6" t="inlineStr">
        <is>
          <t>ACT-02.pdf</t>
        </is>
      </c>
      <c r="AM37" s="3">
        <f>IF(tblOrdenes[[#This Row],[link_checklist]]="","",HYPERLINK(p_ruta_base_checklists&amp;tblOrdenes[[#This Row],[link_checklist]],"abrir"))</f>
        <v/>
      </c>
      <c r="AN37" s="6" t="inlineStr"/>
      <c r="AO37" s="3">
        <f>IF(tblOrdenes[[#This Row],[orden]]="","",tblOrdenes[[#This Row],[orden]]&amp;IF(tblOrdenes[[#This Row],[operacion]]="","0010",tblOrdenes[[#This Row],[operacion]]))</f>
        <v/>
      </c>
    </row>
    <row r="38">
      <c r="A38" s="3" t="inlineStr">
        <is>
          <t>OT-000035</t>
        </is>
      </c>
      <c r="B38" s="3" t="inlineStr">
        <is>
          <t>0010</t>
        </is>
      </c>
      <c r="C38" s="3" t="inlineStr">
        <is>
          <t>Análisis predictivo — EQ-109</t>
        </is>
      </c>
      <c r="D38" s="3" t="inlineStr">
        <is>
          <t>Análisis predictivo en EQ-109</t>
        </is>
      </c>
      <c r="E38" s="3" t="inlineStr">
        <is>
          <t>EQ-109</t>
        </is>
      </c>
      <c r="F38" s="3" t="inlineStr">
        <is>
          <t>CC-210</t>
        </is>
      </c>
      <c r="G38" s="3" t="inlineStr">
        <is>
          <t>PU-MEC</t>
        </is>
      </c>
      <c r="H38" s="3" t="inlineStr">
        <is>
          <t>ACT-04</t>
        </is>
      </c>
      <c r="I38" s="3" t="inlineStr">
        <is>
          <t>TIPO-P2</t>
        </is>
      </c>
      <c r="J38" s="11" t="n">
        <v>46234</v>
      </c>
      <c r="K38" s="3" t="n">
        <v>8</v>
      </c>
      <c r="L38" s="10" t="n">
        <v>200</v>
      </c>
      <c r="M38" s="6" t="n"/>
      <c r="N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8" s="3">
        <f>IF(tblOrdenes[[#This Row],[fecha_inicio]]="","",YEAR(tblOrdenes[[#This Row],[fecha_inicio]]))</f>
        <v/>
      </c>
      <c r="R38" s="3">
        <f>IF(tblOrdenes[[#This Row],[fecha_inicio]]="","",MONTH(tblOrdenes[[#This Row],[fecha_inicio]]))</f>
        <v/>
      </c>
      <c r="S38" s="3">
        <f>IF(tblOrdenes[[#This Row],[fecha_inicio]]="","",INDEX(lista_dias,WEEKDAY(tblOrdenes[[#This Row],[fecha_inicio]],2)))</f>
        <v/>
      </c>
      <c r="T38" s="3">
        <f>IF(tblOrdenes[[#This Row],[tipo_ot]]="","",_xlfn.XLOOKUP(tblOrdenes[[#This Row],[tipo_ot]],tblTiposOT[codigo],tblTiposOT[clasificacion],"sin_clasificar"))</f>
        <v/>
      </c>
      <c r="U38" s="3">
        <f>IF(tblOrdenes[[#This Row],[centro_costo]]="","",_xlfn.XLOOKUP(tblOrdenes[[#This Row],[centro_costo]],tblCECO[codigo],tblCECO[linea],"(sin catálogo)"))</f>
        <v/>
      </c>
      <c r="V38" s="3">
        <f>IF(tblOrdenes[[#This Row],[centro_costo]]="","",_xlfn.XLOOKUP(tblOrdenes[[#This Row],[centro_costo]],tblCECO[codigo],tblCECO[area],"(sin catálogo)"))</f>
        <v/>
      </c>
      <c r="W38" s="3">
        <f>IF(tblOrdenes[[#This Row],[centro_costo]]="","",_xlfn.XLOOKUP(tblOrdenes[[#This Row],[centro_costo]],tblCECO[codigo],tblCECO[coordinador],"(sin catálogo)"))</f>
        <v/>
      </c>
      <c r="X38" s="3">
        <f>IF(tblOrdenes[[#This Row],[puesto_trabajo]]="","",_xlfn.XLOOKUP(tblOrdenes[[#This Row],[puesto_trabajo]],tblPuestos[codigo],tblPuestos[especialidad],"(sin catálogo)"))</f>
        <v/>
      </c>
      <c r="Y38" s="3">
        <f>IF(tblOrdenes[[#This Row],[cod_actividad]]="","",_xlfn.XLOOKUP(tblOrdenes[[#This Row],[cod_actividad]],tblActividades[codigo],tblActividades[descripcion],"(sin catálogo)"))</f>
        <v/>
      </c>
      <c r="Z38" s="12">
        <f>IF(tblOrdenes[[#This Row],[fecha_inicio]]="","",TODAY()-tblOrdenes[[#This Row],[fecha_inicio]])</f>
        <v/>
      </c>
      <c r="AA38" s="3">
        <f>IF(tblOrdenes[[#This Row],[backlog_dias]]="","",IF(tblOrdenes[[#This Row],[backlog_dias]]&lt;0,"FUTURO",IF(tblOrdenes[[#This Row],[backlog_dias]]&gt;p_dias_backlog_max,"BACKLOG","MES CORRIENTE")))</f>
        <v/>
      </c>
      <c r="AB38" s="3">
        <f>IF(tblOrdenes[[#This Row],[backlog_dias]]="",FALSE,AND(tblOrdenes[[#This Row],[backlog_dias]]&gt;p_dias_backlog_min,tblOrdenes[[#This Row],[backlog_dias]]&lt;=p_dias_backlog_max))</f>
        <v/>
      </c>
      <c r="AC38" s="6" t="inlineStr">
        <is>
          <t>Técnico 02</t>
        </is>
      </c>
      <c r="AD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8" s="10">
        <f>IF(tblOrdenes[[#This Row],[orden]]="","",_xlfn.XLOOKUP(tblOrdenes[[#This Row],[id_operacion]],tblEjecucion[id_operacion],tblEjecucion[precio],0))</f>
        <v/>
      </c>
      <c r="AH38" s="10">
        <f>IF(tblOrdenes[[#This Row],[orden]]="","",MAX(0,_xlfn.XLOOKUP(tblOrdenes[[#This Row],[id_operacion]],tblEjecucion[id_operacion],tblEjecucion[costo_plan_total],0)-tblOrdenes[[#This Row],[costo_servicio]]))</f>
        <v/>
      </c>
      <c r="AI38" s="10">
        <f>IF(tblOrdenes[[#This Row],[orden]]="","",tblOrdenes[[#This Row],[costo_servicio]]+tblOrdenes[[#This Row],[costo_materiales]])</f>
        <v/>
      </c>
      <c r="AJ38" s="6" t="inlineStr"/>
      <c r="AK38" s="6" t="inlineStr"/>
      <c r="AL38" s="6" t="inlineStr">
        <is>
          <t>ACT-04.pdf</t>
        </is>
      </c>
      <c r="AM38" s="3">
        <f>IF(tblOrdenes[[#This Row],[link_checklist]]="","",HYPERLINK(p_ruta_base_checklists&amp;tblOrdenes[[#This Row],[link_checklist]],"abrir"))</f>
        <v/>
      </c>
      <c r="AN38" s="6" t="inlineStr"/>
      <c r="AO38" s="3">
        <f>IF(tblOrdenes[[#This Row],[orden]]="","",tblOrdenes[[#This Row],[orden]]&amp;IF(tblOrdenes[[#This Row],[operacion]]="","0010",tblOrdenes[[#This Row],[operacion]]))</f>
        <v/>
      </c>
    </row>
    <row r="39">
      <c r="A39" s="3" t="inlineStr">
        <is>
          <t>OT-000036</t>
        </is>
      </c>
      <c r="B39" s="3" t="inlineStr">
        <is>
          <t>0010</t>
        </is>
      </c>
      <c r="C39" s="3" t="inlineStr">
        <is>
          <t>Reparación de falla — EQ-110</t>
        </is>
      </c>
      <c r="D39" s="3" t="inlineStr">
        <is>
          <t>Reparación de falla en EQ-110</t>
        </is>
      </c>
      <c r="E39" s="3" t="inlineStr">
        <is>
          <t>EQ-110</t>
        </is>
      </c>
      <c r="F39" s="3" t="inlineStr">
        <is>
          <t>CC-310</t>
        </is>
      </c>
      <c r="G39" s="3" t="inlineStr">
        <is>
          <t>PU-MEC</t>
        </is>
      </c>
      <c r="H39" s="3" t="inlineStr">
        <is>
          <t>ACT-03</t>
        </is>
      </c>
      <c r="I39" s="3" t="inlineStr">
        <is>
          <t>TIPO-C1</t>
        </is>
      </c>
      <c r="J39" s="11" t="n">
        <v>46230</v>
      </c>
      <c r="K39" s="3" t="n">
        <v>10</v>
      </c>
      <c r="L39" s="10" t="n">
        <v>400</v>
      </c>
      <c r="M39" s="6" t="n"/>
      <c r="N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9" s="3">
        <f>IF(tblOrdenes[[#This Row],[fecha_inicio]]="","",YEAR(tblOrdenes[[#This Row],[fecha_inicio]]))</f>
        <v/>
      </c>
      <c r="R39" s="3">
        <f>IF(tblOrdenes[[#This Row],[fecha_inicio]]="","",MONTH(tblOrdenes[[#This Row],[fecha_inicio]]))</f>
        <v/>
      </c>
      <c r="S39" s="3">
        <f>IF(tblOrdenes[[#This Row],[fecha_inicio]]="","",INDEX(lista_dias,WEEKDAY(tblOrdenes[[#This Row],[fecha_inicio]],2)))</f>
        <v/>
      </c>
      <c r="T39" s="3">
        <f>IF(tblOrdenes[[#This Row],[tipo_ot]]="","",_xlfn.XLOOKUP(tblOrdenes[[#This Row],[tipo_ot]],tblTiposOT[codigo],tblTiposOT[clasificacion],"sin_clasificar"))</f>
        <v/>
      </c>
      <c r="U39" s="3">
        <f>IF(tblOrdenes[[#This Row],[centro_costo]]="","",_xlfn.XLOOKUP(tblOrdenes[[#This Row],[centro_costo]],tblCECO[codigo],tblCECO[linea],"(sin catálogo)"))</f>
        <v/>
      </c>
      <c r="V39" s="3">
        <f>IF(tblOrdenes[[#This Row],[centro_costo]]="","",_xlfn.XLOOKUP(tblOrdenes[[#This Row],[centro_costo]],tblCECO[codigo],tblCECO[area],"(sin catálogo)"))</f>
        <v/>
      </c>
      <c r="W39" s="3">
        <f>IF(tblOrdenes[[#This Row],[centro_costo]]="","",_xlfn.XLOOKUP(tblOrdenes[[#This Row],[centro_costo]],tblCECO[codigo],tblCECO[coordinador],"(sin catálogo)"))</f>
        <v/>
      </c>
      <c r="X39" s="3">
        <f>IF(tblOrdenes[[#This Row],[puesto_trabajo]]="","",_xlfn.XLOOKUP(tblOrdenes[[#This Row],[puesto_trabajo]],tblPuestos[codigo],tblPuestos[especialidad],"(sin catálogo)"))</f>
        <v/>
      </c>
      <c r="Y39" s="3">
        <f>IF(tblOrdenes[[#This Row],[cod_actividad]]="","",_xlfn.XLOOKUP(tblOrdenes[[#This Row],[cod_actividad]],tblActividades[codigo],tblActividades[descripcion],"(sin catálogo)"))</f>
        <v/>
      </c>
      <c r="Z39" s="12">
        <f>IF(tblOrdenes[[#This Row],[fecha_inicio]]="","",TODAY()-tblOrdenes[[#This Row],[fecha_inicio]])</f>
        <v/>
      </c>
      <c r="AA39" s="3">
        <f>IF(tblOrdenes[[#This Row],[backlog_dias]]="","",IF(tblOrdenes[[#This Row],[backlog_dias]]&lt;0,"FUTURO",IF(tblOrdenes[[#This Row],[backlog_dias]]&gt;p_dias_backlog_max,"BACKLOG","MES CORRIENTE")))</f>
        <v/>
      </c>
      <c r="AB39" s="3">
        <f>IF(tblOrdenes[[#This Row],[backlog_dias]]="",FALSE,AND(tblOrdenes[[#This Row],[backlog_dias]]&gt;p_dias_backlog_min,tblOrdenes[[#This Row],[backlog_dias]]&lt;=p_dias_backlog_max))</f>
        <v/>
      </c>
      <c r="AC39" s="6" t="inlineStr"/>
      <c r="AD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9" s="10">
        <f>IF(tblOrdenes[[#This Row],[orden]]="","",_xlfn.XLOOKUP(tblOrdenes[[#This Row],[id_operacion]],tblEjecucion[id_operacion],tblEjecucion[precio],0))</f>
        <v/>
      </c>
      <c r="AH39" s="10">
        <f>IF(tblOrdenes[[#This Row],[orden]]="","",MAX(0,_xlfn.XLOOKUP(tblOrdenes[[#This Row],[id_operacion]],tblEjecucion[id_operacion],tblEjecucion[costo_plan_total],0)-tblOrdenes[[#This Row],[costo_servicio]]))</f>
        <v/>
      </c>
      <c r="AI39" s="10">
        <f>IF(tblOrdenes[[#This Row],[orden]]="","",tblOrdenes[[#This Row],[costo_servicio]]+tblOrdenes[[#This Row],[costo_materiales]])</f>
        <v/>
      </c>
      <c r="AJ39" s="6" t="inlineStr">
        <is>
          <t>PT-CALIENTE</t>
        </is>
      </c>
      <c r="AK39" s="6" t="inlineStr">
        <is>
          <t>LOTO</t>
        </is>
      </c>
      <c r="AL39" s="6" t="inlineStr"/>
      <c r="AM39" s="3">
        <f>IF(tblOrdenes[[#This Row],[link_checklist]]="","",HYPERLINK(p_ruta_base_checklists&amp;tblOrdenes[[#This Row],[link_checklist]],"abrir"))</f>
        <v/>
      </c>
      <c r="AN39" s="6" t="inlineStr"/>
      <c r="AO39" s="3">
        <f>IF(tblOrdenes[[#This Row],[orden]]="","",tblOrdenes[[#This Row],[orden]]&amp;IF(tblOrdenes[[#This Row],[operacion]]="","0010",tblOrdenes[[#This Row],[operacion]]))</f>
        <v/>
      </c>
    </row>
    <row r="40">
      <c r="A40" s="3" t="inlineStr">
        <is>
          <t>OT-000037</t>
        </is>
      </c>
      <c r="B40" s="3" t="inlineStr">
        <is>
          <t>0010</t>
        </is>
      </c>
      <c r="C40" s="3" t="inlineStr">
        <is>
          <t>Reparación de falla — EQ-103</t>
        </is>
      </c>
      <c r="D40" s="3" t="inlineStr">
        <is>
          <t>Reparación de falla en EQ-103</t>
        </is>
      </c>
      <c r="E40" s="3" t="inlineStr">
        <is>
          <t>EQ-103</t>
        </is>
      </c>
      <c r="F40" s="3" t="inlineStr">
        <is>
          <t>CC-110</t>
        </is>
      </c>
      <c r="G40" s="3" t="inlineStr">
        <is>
          <t>PU-MEC</t>
        </is>
      </c>
      <c r="H40" s="3" t="inlineStr">
        <is>
          <t>ACT-03</t>
        </is>
      </c>
      <c r="I40" s="3" t="inlineStr">
        <is>
          <t>TIPO-C2</t>
        </is>
      </c>
      <c r="J40" s="11" t="n">
        <v>46231</v>
      </c>
      <c r="K40" s="3" t="n">
        <v>10</v>
      </c>
      <c r="L40" s="10" t="n">
        <v>400</v>
      </c>
      <c r="M40" s="6" t="n"/>
      <c r="N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0" s="3">
        <f>IF(tblOrdenes[[#This Row],[fecha_inicio]]="","",YEAR(tblOrdenes[[#This Row],[fecha_inicio]]))</f>
        <v/>
      </c>
      <c r="R40" s="3">
        <f>IF(tblOrdenes[[#This Row],[fecha_inicio]]="","",MONTH(tblOrdenes[[#This Row],[fecha_inicio]]))</f>
        <v/>
      </c>
      <c r="S40" s="3">
        <f>IF(tblOrdenes[[#This Row],[fecha_inicio]]="","",INDEX(lista_dias,WEEKDAY(tblOrdenes[[#This Row],[fecha_inicio]],2)))</f>
        <v/>
      </c>
      <c r="T40" s="3">
        <f>IF(tblOrdenes[[#This Row],[tipo_ot]]="","",_xlfn.XLOOKUP(tblOrdenes[[#This Row],[tipo_ot]],tblTiposOT[codigo],tblTiposOT[clasificacion],"sin_clasificar"))</f>
        <v/>
      </c>
      <c r="U40" s="3">
        <f>IF(tblOrdenes[[#This Row],[centro_costo]]="","",_xlfn.XLOOKUP(tblOrdenes[[#This Row],[centro_costo]],tblCECO[codigo],tblCECO[linea],"(sin catálogo)"))</f>
        <v/>
      </c>
      <c r="V40" s="3">
        <f>IF(tblOrdenes[[#This Row],[centro_costo]]="","",_xlfn.XLOOKUP(tblOrdenes[[#This Row],[centro_costo]],tblCECO[codigo],tblCECO[area],"(sin catálogo)"))</f>
        <v/>
      </c>
      <c r="W40" s="3">
        <f>IF(tblOrdenes[[#This Row],[centro_costo]]="","",_xlfn.XLOOKUP(tblOrdenes[[#This Row],[centro_costo]],tblCECO[codigo],tblCECO[coordinador],"(sin catálogo)"))</f>
        <v/>
      </c>
      <c r="X40" s="3">
        <f>IF(tblOrdenes[[#This Row],[puesto_trabajo]]="","",_xlfn.XLOOKUP(tblOrdenes[[#This Row],[puesto_trabajo]],tblPuestos[codigo],tblPuestos[especialidad],"(sin catálogo)"))</f>
        <v/>
      </c>
      <c r="Y40" s="3">
        <f>IF(tblOrdenes[[#This Row],[cod_actividad]]="","",_xlfn.XLOOKUP(tblOrdenes[[#This Row],[cod_actividad]],tblActividades[codigo],tblActividades[descripcion],"(sin catálogo)"))</f>
        <v/>
      </c>
      <c r="Z40" s="12">
        <f>IF(tblOrdenes[[#This Row],[fecha_inicio]]="","",TODAY()-tblOrdenes[[#This Row],[fecha_inicio]])</f>
        <v/>
      </c>
      <c r="AA40" s="3">
        <f>IF(tblOrdenes[[#This Row],[backlog_dias]]="","",IF(tblOrdenes[[#This Row],[backlog_dias]]&lt;0,"FUTURO",IF(tblOrdenes[[#This Row],[backlog_dias]]&gt;p_dias_backlog_max,"BACKLOG","MES CORRIENTE")))</f>
        <v/>
      </c>
      <c r="AB40" s="3">
        <f>IF(tblOrdenes[[#This Row],[backlog_dias]]="",FALSE,AND(tblOrdenes[[#This Row],[backlog_dias]]&gt;p_dias_backlog_min,tblOrdenes[[#This Row],[backlog_dias]]&lt;=p_dias_backlog_max))</f>
        <v/>
      </c>
      <c r="AC40" s="6" t="inlineStr">
        <is>
          <t>Técnico 01</t>
        </is>
      </c>
      <c r="AD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0" s="10">
        <f>IF(tblOrdenes[[#This Row],[orden]]="","",_xlfn.XLOOKUP(tblOrdenes[[#This Row],[id_operacion]],tblEjecucion[id_operacion],tblEjecucion[precio],0))</f>
        <v/>
      </c>
      <c r="AH40" s="10">
        <f>IF(tblOrdenes[[#This Row],[orden]]="","",MAX(0,_xlfn.XLOOKUP(tblOrdenes[[#This Row],[id_operacion]],tblEjecucion[id_operacion],tblEjecucion[costo_plan_total],0)-tblOrdenes[[#This Row],[costo_servicio]]))</f>
        <v/>
      </c>
      <c r="AI40" s="10">
        <f>IF(tblOrdenes[[#This Row],[orden]]="","",tblOrdenes[[#This Row],[costo_servicio]]+tblOrdenes[[#This Row],[costo_materiales]])</f>
        <v/>
      </c>
      <c r="AJ40" s="6" t="inlineStr"/>
      <c r="AK40" s="6" t="inlineStr"/>
      <c r="AL40" s="6" t="inlineStr"/>
      <c r="AM40" s="3">
        <f>IF(tblOrdenes[[#This Row],[link_checklist]]="","",HYPERLINK(p_ruta_base_checklists&amp;tblOrdenes[[#This Row],[link_checklist]],"abrir"))</f>
        <v/>
      </c>
      <c r="AN40" s="6" t="inlineStr"/>
      <c r="AO40" s="3">
        <f>IF(tblOrdenes[[#This Row],[orden]]="","",tblOrdenes[[#This Row],[orden]]&amp;IF(tblOrdenes[[#This Row],[operacion]]="","0010",tblOrdenes[[#This Row],[operacion]]))</f>
        <v/>
      </c>
    </row>
    <row r="41">
      <c r="A41" s="3" t="inlineStr">
        <is>
          <t>OT-000038</t>
        </is>
      </c>
      <c r="B41" s="3" t="inlineStr">
        <is>
          <t>0010</t>
        </is>
      </c>
      <c r="C41" s="3" t="inlineStr">
        <is>
          <t>Análisis predictivo — EQ-108</t>
        </is>
      </c>
      <c r="D41" s="3" t="inlineStr">
        <is>
          <t>Análisis predictivo en EQ-108</t>
        </is>
      </c>
      <c r="E41" s="3" t="inlineStr">
        <is>
          <t>EQ-108</t>
        </is>
      </c>
      <c r="F41" s="3" t="inlineStr">
        <is>
          <t>CC-210</t>
        </is>
      </c>
      <c r="G41" s="3" t="inlineStr">
        <is>
          <t>PU-MEC</t>
        </is>
      </c>
      <c r="H41" s="3" t="inlineStr">
        <is>
          <t>ACT-04</t>
        </is>
      </c>
      <c r="I41" s="3" t="inlineStr">
        <is>
          <t>TIPO-P1</t>
        </is>
      </c>
      <c r="J41" s="11" t="n">
        <v>46239</v>
      </c>
      <c r="K41" s="3" t="n">
        <v>10</v>
      </c>
      <c r="L41" s="10" t="n">
        <v>250</v>
      </c>
      <c r="M41" s="6" t="n"/>
      <c r="N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1" s="3">
        <f>IF(tblOrdenes[[#This Row],[fecha_inicio]]="","",YEAR(tblOrdenes[[#This Row],[fecha_inicio]]))</f>
        <v/>
      </c>
      <c r="R41" s="3">
        <f>IF(tblOrdenes[[#This Row],[fecha_inicio]]="","",MONTH(tblOrdenes[[#This Row],[fecha_inicio]]))</f>
        <v/>
      </c>
      <c r="S41" s="3">
        <f>IF(tblOrdenes[[#This Row],[fecha_inicio]]="","",INDEX(lista_dias,WEEKDAY(tblOrdenes[[#This Row],[fecha_inicio]],2)))</f>
        <v/>
      </c>
      <c r="T41" s="3">
        <f>IF(tblOrdenes[[#This Row],[tipo_ot]]="","",_xlfn.XLOOKUP(tblOrdenes[[#This Row],[tipo_ot]],tblTiposOT[codigo],tblTiposOT[clasificacion],"sin_clasificar"))</f>
        <v/>
      </c>
      <c r="U41" s="3">
        <f>IF(tblOrdenes[[#This Row],[centro_costo]]="","",_xlfn.XLOOKUP(tblOrdenes[[#This Row],[centro_costo]],tblCECO[codigo],tblCECO[linea],"(sin catálogo)"))</f>
        <v/>
      </c>
      <c r="V41" s="3">
        <f>IF(tblOrdenes[[#This Row],[centro_costo]]="","",_xlfn.XLOOKUP(tblOrdenes[[#This Row],[centro_costo]],tblCECO[codigo],tblCECO[area],"(sin catálogo)"))</f>
        <v/>
      </c>
      <c r="W41" s="3">
        <f>IF(tblOrdenes[[#This Row],[centro_costo]]="","",_xlfn.XLOOKUP(tblOrdenes[[#This Row],[centro_costo]],tblCECO[codigo],tblCECO[coordinador],"(sin catálogo)"))</f>
        <v/>
      </c>
      <c r="X41" s="3">
        <f>IF(tblOrdenes[[#This Row],[puesto_trabajo]]="","",_xlfn.XLOOKUP(tblOrdenes[[#This Row],[puesto_trabajo]],tblPuestos[codigo],tblPuestos[especialidad],"(sin catálogo)"))</f>
        <v/>
      </c>
      <c r="Y41" s="3">
        <f>IF(tblOrdenes[[#This Row],[cod_actividad]]="","",_xlfn.XLOOKUP(tblOrdenes[[#This Row],[cod_actividad]],tblActividades[codigo],tblActividades[descripcion],"(sin catálogo)"))</f>
        <v/>
      </c>
      <c r="Z41" s="12">
        <f>IF(tblOrdenes[[#This Row],[fecha_inicio]]="","",TODAY()-tblOrdenes[[#This Row],[fecha_inicio]])</f>
        <v/>
      </c>
      <c r="AA41" s="3">
        <f>IF(tblOrdenes[[#This Row],[backlog_dias]]="","",IF(tblOrdenes[[#This Row],[backlog_dias]]&lt;0,"FUTURO",IF(tblOrdenes[[#This Row],[backlog_dias]]&gt;p_dias_backlog_max,"BACKLOG","MES CORRIENTE")))</f>
        <v/>
      </c>
      <c r="AB41" s="3">
        <f>IF(tblOrdenes[[#This Row],[backlog_dias]]="",FALSE,AND(tblOrdenes[[#This Row],[backlog_dias]]&gt;p_dias_backlog_min,tblOrdenes[[#This Row],[backlog_dias]]&lt;=p_dias_backlog_max))</f>
        <v/>
      </c>
      <c r="AC41" s="6" t="inlineStr">
        <is>
          <t>Técnico 02</t>
        </is>
      </c>
      <c r="AD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1" s="10">
        <f>IF(tblOrdenes[[#This Row],[orden]]="","",_xlfn.XLOOKUP(tblOrdenes[[#This Row],[id_operacion]],tblEjecucion[id_operacion],tblEjecucion[precio],0))</f>
        <v/>
      </c>
      <c r="AH41" s="10">
        <f>IF(tblOrdenes[[#This Row],[orden]]="","",MAX(0,_xlfn.XLOOKUP(tblOrdenes[[#This Row],[id_operacion]],tblEjecucion[id_operacion],tblEjecucion[costo_plan_total],0)-tblOrdenes[[#This Row],[costo_servicio]]))</f>
        <v/>
      </c>
      <c r="AI41" s="10">
        <f>IF(tblOrdenes[[#This Row],[orden]]="","",tblOrdenes[[#This Row],[costo_servicio]]+tblOrdenes[[#This Row],[costo_materiales]])</f>
        <v/>
      </c>
      <c r="AJ41" s="6" t="inlineStr"/>
      <c r="AK41" s="6" t="inlineStr"/>
      <c r="AL41" s="6" t="inlineStr">
        <is>
          <t>ACT-04.pdf</t>
        </is>
      </c>
      <c r="AM41" s="3">
        <f>IF(tblOrdenes[[#This Row],[link_checklist]]="","",HYPERLINK(p_ruta_base_checklists&amp;tblOrdenes[[#This Row],[link_checklist]],"abrir"))</f>
        <v/>
      </c>
      <c r="AN41" s="6" t="inlineStr"/>
      <c r="AO41" s="3">
        <f>IF(tblOrdenes[[#This Row],[orden]]="","",tblOrdenes[[#This Row],[orden]]&amp;IF(tblOrdenes[[#This Row],[operacion]]="","0010",tblOrdenes[[#This Row],[operacion]]))</f>
        <v/>
      </c>
    </row>
    <row r="42">
      <c r="A42" s="3" t="inlineStr">
        <is>
          <t>OT-000039</t>
        </is>
      </c>
      <c r="B42" s="3" t="inlineStr">
        <is>
          <t>0010</t>
        </is>
      </c>
      <c r="C42" s="3" t="inlineStr">
        <is>
          <t>Inspección de rutina — EQ-110</t>
        </is>
      </c>
      <c r="D42" s="3" t="inlineStr">
        <is>
          <t>Inspección de rutina en EQ-110</t>
        </is>
      </c>
      <c r="E42" s="3" t="inlineStr">
        <is>
          <t>EQ-110</t>
        </is>
      </c>
      <c r="F42" s="3" t="inlineStr">
        <is>
          <t>CC-310</t>
        </is>
      </c>
      <c r="G42" s="3" t="inlineStr">
        <is>
          <t>PU-MEC</t>
        </is>
      </c>
      <c r="H42" s="3" t="inlineStr">
        <is>
          <t>ACT-01</t>
        </is>
      </c>
      <c r="I42" s="3" t="inlineStr">
        <is>
          <t>TIPO-P2</t>
        </is>
      </c>
      <c r="J42" s="11" t="n">
        <v>46240</v>
      </c>
      <c r="K42" s="3" t="n">
        <v>8</v>
      </c>
      <c r="L42" s="10" t="n">
        <v>200</v>
      </c>
      <c r="M42" s="6" t="n"/>
      <c r="N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2" s="3">
        <f>IF(tblOrdenes[[#This Row],[fecha_inicio]]="","",YEAR(tblOrdenes[[#This Row],[fecha_inicio]]))</f>
        <v/>
      </c>
      <c r="R42" s="3">
        <f>IF(tblOrdenes[[#This Row],[fecha_inicio]]="","",MONTH(tblOrdenes[[#This Row],[fecha_inicio]]))</f>
        <v/>
      </c>
      <c r="S42" s="3">
        <f>IF(tblOrdenes[[#This Row],[fecha_inicio]]="","",INDEX(lista_dias,WEEKDAY(tblOrdenes[[#This Row],[fecha_inicio]],2)))</f>
        <v/>
      </c>
      <c r="T42" s="3">
        <f>IF(tblOrdenes[[#This Row],[tipo_ot]]="","",_xlfn.XLOOKUP(tblOrdenes[[#This Row],[tipo_ot]],tblTiposOT[codigo],tblTiposOT[clasificacion],"sin_clasificar"))</f>
        <v/>
      </c>
      <c r="U42" s="3">
        <f>IF(tblOrdenes[[#This Row],[centro_costo]]="","",_xlfn.XLOOKUP(tblOrdenes[[#This Row],[centro_costo]],tblCECO[codigo],tblCECO[linea],"(sin catálogo)"))</f>
        <v/>
      </c>
      <c r="V42" s="3">
        <f>IF(tblOrdenes[[#This Row],[centro_costo]]="","",_xlfn.XLOOKUP(tblOrdenes[[#This Row],[centro_costo]],tblCECO[codigo],tblCECO[area],"(sin catálogo)"))</f>
        <v/>
      </c>
      <c r="W42" s="3">
        <f>IF(tblOrdenes[[#This Row],[centro_costo]]="","",_xlfn.XLOOKUP(tblOrdenes[[#This Row],[centro_costo]],tblCECO[codigo],tblCECO[coordinador],"(sin catálogo)"))</f>
        <v/>
      </c>
      <c r="X42" s="3">
        <f>IF(tblOrdenes[[#This Row],[puesto_trabajo]]="","",_xlfn.XLOOKUP(tblOrdenes[[#This Row],[puesto_trabajo]],tblPuestos[codigo],tblPuestos[especialidad],"(sin catálogo)"))</f>
        <v/>
      </c>
      <c r="Y42" s="3">
        <f>IF(tblOrdenes[[#This Row],[cod_actividad]]="","",_xlfn.XLOOKUP(tblOrdenes[[#This Row],[cod_actividad]],tblActividades[codigo],tblActividades[descripcion],"(sin catálogo)"))</f>
        <v/>
      </c>
      <c r="Z42" s="12">
        <f>IF(tblOrdenes[[#This Row],[fecha_inicio]]="","",TODAY()-tblOrdenes[[#This Row],[fecha_inicio]])</f>
        <v/>
      </c>
      <c r="AA42" s="3">
        <f>IF(tblOrdenes[[#This Row],[backlog_dias]]="","",IF(tblOrdenes[[#This Row],[backlog_dias]]&lt;0,"FUTURO",IF(tblOrdenes[[#This Row],[backlog_dias]]&gt;p_dias_backlog_max,"BACKLOG","MES CORRIENTE")))</f>
        <v/>
      </c>
      <c r="AB42" s="3">
        <f>IF(tblOrdenes[[#This Row],[backlog_dias]]="",FALSE,AND(tblOrdenes[[#This Row],[backlog_dias]]&gt;p_dias_backlog_min,tblOrdenes[[#This Row],[backlog_dias]]&lt;=p_dias_backlog_max))</f>
        <v/>
      </c>
      <c r="AC42" s="6" t="inlineStr">
        <is>
          <t>Técnico 03</t>
        </is>
      </c>
      <c r="AD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2" s="10">
        <f>IF(tblOrdenes[[#This Row],[orden]]="","",_xlfn.XLOOKUP(tblOrdenes[[#This Row],[id_operacion]],tblEjecucion[id_operacion],tblEjecucion[precio],0))</f>
        <v/>
      </c>
      <c r="AH42" s="10">
        <f>IF(tblOrdenes[[#This Row],[orden]]="","",MAX(0,_xlfn.XLOOKUP(tblOrdenes[[#This Row],[id_operacion]],tblEjecucion[id_operacion],tblEjecucion[costo_plan_total],0)-tblOrdenes[[#This Row],[costo_servicio]]))</f>
        <v/>
      </c>
      <c r="AI42" s="10">
        <f>IF(tblOrdenes[[#This Row],[orden]]="","",tblOrdenes[[#This Row],[costo_servicio]]+tblOrdenes[[#This Row],[costo_materiales]])</f>
        <v/>
      </c>
      <c r="AJ42" s="6" t="inlineStr"/>
      <c r="AK42" s="6" t="inlineStr"/>
      <c r="AL42" s="6" t="inlineStr">
        <is>
          <t>ACT-01.pdf</t>
        </is>
      </c>
      <c r="AM42" s="3">
        <f>IF(tblOrdenes[[#This Row],[link_checklist]]="","",HYPERLINK(p_ruta_base_checklists&amp;tblOrdenes[[#This Row],[link_checklist]],"abrir"))</f>
        <v/>
      </c>
      <c r="AN42" s="6" t="inlineStr"/>
      <c r="AO42" s="3">
        <f>IF(tblOrdenes[[#This Row],[orden]]="","",tblOrdenes[[#This Row],[orden]]&amp;IF(tblOrdenes[[#This Row],[operacion]]="","0010",tblOrdenes[[#This Row],[operacion]]))</f>
        <v/>
      </c>
    </row>
    <row r="43">
      <c r="A43" s="3" t="inlineStr">
        <is>
          <t>OT-000040</t>
        </is>
      </c>
      <c r="B43" s="3" t="inlineStr">
        <is>
          <t>0010</t>
        </is>
      </c>
      <c r="C43" s="3" t="inlineStr">
        <is>
          <t>Lubricación programada — EQ-101</t>
        </is>
      </c>
      <c r="D43" s="3" t="inlineStr">
        <is>
          <t>Lubricación programada en EQ-101</t>
        </is>
      </c>
      <c r="E43" s="3" t="inlineStr">
        <is>
          <t>EQ-101</t>
        </is>
      </c>
      <c r="F43" s="3" t="inlineStr">
        <is>
          <t>CC-110</t>
        </is>
      </c>
      <c r="G43" s="3" t="inlineStr">
        <is>
          <t>PU-MEC</t>
        </is>
      </c>
      <c r="H43" s="3" t="inlineStr">
        <is>
          <t>ACT-02</t>
        </is>
      </c>
      <c r="I43" s="3" t="inlineStr">
        <is>
          <t>TIPO-P1</t>
        </is>
      </c>
      <c r="J43" s="11" t="n">
        <v>46241</v>
      </c>
      <c r="K43" s="3" t="n">
        <v>6</v>
      </c>
      <c r="L43" s="10" t="n">
        <v>150</v>
      </c>
      <c r="M43" s="6" t="n"/>
      <c r="N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3" s="3">
        <f>IF(tblOrdenes[[#This Row],[fecha_inicio]]="","",YEAR(tblOrdenes[[#This Row],[fecha_inicio]]))</f>
        <v/>
      </c>
      <c r="R43" s="3">
        <f>IF(tblOrdenes[[#This Row],[fecha_inicio]]="","",MONTH(tblOrdenes[[#This Row],[fecha_inicio]]))</f>
        <v/>
      </c>
      <c r="S43" s="3">
        <f>IF(tblOrdenes[[#This Row],[fecha_inicio]]="","",INDEX(lista_dias,WEEKDAY(tblOrdenes[[#This Row],[fecha_inicio]],2)))</f>
        <v/>
      </c>
      <c r="T43" s="3">
        <f>IF(tblOrdenes[[#This Row],[tipo_ot]]="","",_xlfn.XLOOKUP(tblOrdenes[[#This Row],[tipo_ot]],tblTiposOT[codigo],tblTiposOT[clasificacion],"sin_clasificar"))</f>
        <v/>
      </c>
      <c r="U43" s="3">
        <f>IF(tblOrdenes[[#This Row],[centro_costo]]="","",_xlfn.XLOOKUP(tblOrdenes[[#This Row],[centro_costo]],tblCECO[codigo],tblCECO[linea],"(sin catálogo)"))</f>
        <v/>
      </c>
      <c r="V43" s="3">
        <f>IF(tblOrdenes[[#This Row],[centro_costo]]="","",_xlfn.XLOOKUP(tblOrdenes[[#This Row],[centro_costo]],tblCECO[codigo],tblCECO[area],"(sin catálogo)"))</f>
        <v/>
      </c>
      <c r="W43" s="3">
        <f>IF(tblOrdenes[[#This Row],[centro_costo]]="","",_xlfn.XLOOKUP(tblOrdenes[[#This Row],[centro_costo]],tblCECO[codigo],tblCECO[coordinador],"(sin catálogo)"))</f>
        <v/>
      </c>
      <c r="X43" s="3">
        <f>IF(tblOrdenes[[#This Row],[puesto_trabajo]]="","",_xlfn.XLOOKUP(tblOrdenes[[#This Row],[puesto_trabajo]],tblPuestos[codigo],tblPuestos[especialidad],"(sin catálogo)"))</f>
        <v/>
      </c>
      <c r="Y43" s="3">
        <f>IF(tblOrdenes[[#This Row],[cod_actividad]]="","",_xlfn.XLOOKUP(tblOrdenes[[#This Row],[cod_actividad]],tblActividades[codigo],tblActividades[descripcion],"(sin catálogo)"))</f>
        <v/>
      </c>
      <c r="Z43" s="12">
        <f>IF(tblOrdenes[[#This Row],[fecha_inicio]]="","",TODAY()-tblOrdenes[[#This Row],[fecha_inicio]])</f>
        <v/>
      </c>
      <c r="AA43" s="3">
        <f>IF(tblOrdenes[[#This Row],[backlog_dias]]="","",IF(tblOrdenes[[#This Row],[backlog_dias]]&lt;0,"FUTURO",IF(tblOrdenes[[#This Row],[backlog_dias]]&gt;p_dias_backlog_max,"BACKLOG","MES CORRIENTE")))</f>
        <v/>
      </c>
      <c r="AB43" s="3">
        <f>IF(tblOrdenes[[#This Row],[backlog_dias]]="",FALSE,AND(tblOrdenes[[#This Row],[backlog_dias]]&gt;p_dias_backlog_min,tblOrdenes[[#This Row],[backlog_dias]]&lt;=p_dias_backlog_max))</f>
        <v/>
      </c>
      <c r="AC43" s="6" t="inlineStr">
        <is>
          <t>Técnico 04</t>
        </is>
      </c>
      <c r="AD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3" s="10">
        <f>IF(tblOrdenes[[#This Row],[orden]]="","",_xlfn.XLOOKUP(tblOrdenes[[#This Row],[id_operacion]],tblEjecucion[id_operacion],tblEjecucion[precio],0))</f>
        <v/>
      </c>
      <c r="AH43" s="10">
        <f>IF(tblOrdenes[[#This Row],[orden]]="","",MAX(0,_xlfn.XLOOKUP(tblOrdenes[[#This Row],[id_operacion]],tblEjecucion[id_operacion],tblEjecucion[costo_plan_total],0)-tblOrdenes[[#This Row],[costo_servicio]]))</f>
        <v/>
      </c>
      <c r="AI43" s="10">
        <f>IF(tblOrdenes[[#This Row],[orden]]="","",tblOrdenes[[#This Row],[costo_servicio]]+tblOrdenes[[#This Row],[costo_materiales]])</f>
        <v/>
      </c>
      <c r="AJ43" s="6" t="inlineStr"/>
      <c r="AK43" s="6" t="inlineStr"/>
      <c r="AL43" s="6" t="inlineStr">
        <is>
          <t>ACT-02.pdf</t>
        </is>
      </c>
      <c r="AM43" s="3">
        <f>IF(tblOrdenes[[#This Row],[link_checklist]]="","",HYPERLINK(p_ruta_base_checklists&amp;tblOrdenes[[#This Row],[link_checklist]],"abrir"))</f>
        <v/>
      </c>
      <c r="AN43" s="6" t="inlineStr"/>
      <c r="AO43" s="3">
        <f>IF(tblOrdenes[[#This Row],[orden]]="","",tblOrdenes[[#This Row],[orden]]&amp;IF(tblOrdenes[[#This Row],[operacion]]="","0010",tblOrdenes[[#This Row],[operacion]]))</f>
        <v/>
      </c>
    </row>
    <row r="44">
      <c r="A44" s="3" t="inlineStr">
        <is>
          <t>OT-000041</t>
        </is>
      </c>
      <c r="B44" s="3" t="inlineStr">
        <is>
          <t>0010</t>
        </is>
      </c>
      <c r="C44" s="3" t="inlineStr">
        <is>
          <t>Análisis predictivo — EQ-107</t>
        </is>
      </c>
      <c r="D44" s="3" t="inlineStr">
        <is>
          <t>Análisis predictivo en EQ-107</t>
        </is>
      </c>
      <c r="E44" s="3" t="inlineStr">
        <is>
          <t>EQ-107</t>
        </is>
      </c>
      <c r="F44" s="3" t="inlineStr">
        <is>
          <t>CC-210</t>
        </is>
      </c>
      <c r="G44" s="3" t="inlineStr">
        <is>
          <t>PU-MEC</t>
        </is>
      </c>
      <c r="H44" s="3" t="inlineStr">
        <is>
          <t>ACT-04</t>
        </is>
      </c>
      <c r="I44" s="3" t="inlineStr">
        <is>
          <t>TIPO-P2</t>
        </is>
      </c>
      <c r="J44" s="11" t="n">
        <v>46237</v>
      </c>
      <c r="K44" s="3" t="n">
        <v>10</v>
      </c>
      <c r="L44" s="10" t="n">
        <v>250</v>
      </c>
      <c r="M44" s="6" t="n"/>
      <c r="N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4" s="3">
        <f>IF(tblOrdenes[[#This Row],[fecha_inicio]]="","",YEAR(tblOrdenes[[#This Row],[fecha_inicio]]))</f>
        <v/>
      </c>
      <c r="R44" s="3">
        <f>IF(tblOrdenes[[#This Row],[fecha_inicio]]="","",MONTH(tblOrdenes[[#This Row],[fecha_inicio]]))</f>
        <v/>
      </c>
      <c r="S44" s="3">
        <f>IF(tblOrdenes[[#This Row],[fecha_inicio]]="","",INDEX(lista_dias,WEEKDAY(tblOrdenes[[#This Row],[fecha_inicio]],2)))</f>
        <v/>
      </c>
      <c r="T44" s="3">
        <f>IF(tblOrdenes[[#This Row],[tipo_ot]]="","",_xlfn.XLOOKUP(tblOrdenes[[#This Row],[tipo_ot]],tblTiposOT[codigo],tblTiposOT[clasificacion],"sin_clasificar"))</f>
        <v/>
      </c>
      <c r="U44" s="3">
        <f>IF(tblOrdenes[[#This Row],[centro_costo]]="","",_xlfn.XLOOKUP(tblOrdenes[[#This Row],[centro_costo]],tblCECO[codigo],tblCECO[linea],"(sin catálogo)"))</f>
        <v/>
      </c>
      <c r="V44" s="3">
        <f>IF(tblOrdenes[[#This Row],[centro_costo]]="","",_xlfn.XLOOKUP(tblOrdenes[[#This Row],[centro_costo]],tblCECO[codigo],tblCECO[area],"(sin catálogo)"))</f>
        <v/>
      </c>
      <c r="W44" s="3">
        <f>IF(tblOrdenes[[#This Row],[centro_costo]]="","",_xlfn.XLOOKUP(tblOrdenes[[#This Row],[centro_costo]],tblCECO[codigo],tblCECO[coordinador],"(sin catálogo)"))</f>
        <v/>
      </c>
      <c r="X44" s="3">
        <f>IF(tblOrdenes[[#This Row],[puesto_trabajo]]="","",_xlfn.XLOOKUP(tblOrdenes[[#This Row],[puesto_trabajo]],tblPuestos[codigo],tblPuestos[especialidad],"(sin catálogo)"))</f>
        <v/>
      </c>
      <c r="Y44" s="3">
        <f>IF(tblOrdenes[[#This Row],[cod_actividad]]="","",_xlfn.XLOOKUP(tblOrdenes[[#This Row],[cod_actividad]],tblActividades[codigo],tblActividades[descripcion],"(sin catálogo)"))</f>
        <v/>
      </c>
      <c r="Z44" s="12">
        <f>IF(tblOrdenes[[#This Row],[fecha_inicio]]="","",TODAY()-tblOrdenes[[#This Row],[fecha_inicio]])</f>
        <v/>
      </c>
      <c r="AA44" s="3">
        <f>IF(tblOrdenes[[#This Row],[backlog_dias]]="","",IF(tblOrdenes[[#This Row],[backlog_dias]]&lt;0,"FUTURO",IF(tblOrdenes[[#This Row],[backlog_dias]]&gt;p_dias_backlog_max,"BACKLOG","MES CORRIENTE")))</f>
        <v/>
      </c>
      <c r="AB44" s="3">
        <f>IF(tblOrdenes[[#This Row],[backlog_dias]]="",FALSE,AND(tblOrdenes[[#This Row],[backlog_dias]]&gt;p_dias_backlog_min,tblOrdenes[[#This Row],[backlog_dias]]&lt;=p_dias_backlog_max))</f>
        <v/>
      </c>
      <c r="AC44" s="6" t="inlineStr">
        <is>
          <t>Técnico 01</t>
        </is>
      </c>
      <c r="AD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4" s="10">
        <f>IF(tblOrdenes[[#This Row],[orden]]="","",_xlfn.XLOOKUP(tblOrdenes[[#This Row],[id_operacion]],tblEjecucion[id_operacion],tblEjecucion[precio],0))</f>
        <v/>
      </c>
      <c r="AH44" s="10">
        <f>IF(tblOrdenes[[#This Row],[orden]]="","",MAX(0,_xlfn.XLOOKUP(tblOrdenes[[#This Row],[id_operacion]],tblEjecucion[id_operacion],tblEjecucion[costo_plan_total],0)-tblOrdenes[[#This Row],[costo_servicio]]))</f>
        <v/>
      </c>
      <c r="AI44" s="10">
        <f>IF(tblOrdenes[[#This Row],[orden]]="","",tblOrdenes[[#This Row],[costo_servicio]]+tblOrdenes[[#This Row],[costo_materiales]])</f>
        <v/>
      </c>
      <c r="AJ44" s="6" t="inlineStr"/>
      <c r="AK44" s="6" t="inlineStr"/>
      <c r="AL44" s="6" t="inlineStr">
        <is>
          <t>ACT-04.pdf</t>
        </is>
      </c>
      <c r="AM44" s="3">
        <f>IF(tblOrdenes[[#This Row],[link_checklist]]="","",HYPERLINK(p_ruta_base_checklists&amp;tblOrdenes[[#This Row],[link_checklist]],"abrir"))</f>
        <v/>
      </c>
      <c r="AN44" s="6" t="inlineStr"/>
      <c r="AO44" s="3">
        <f>IF(tblOrdenes[[#This Row],[orden]]="","",tblOrdenes[[#This Row],[orden]]&amp;IF(tblOrdenes[[#This Row],[operacion]]="","0010",tblOrdenes[[#This Row],[operacion]]))</f>
        <v/>
      </c>
    </row>
    <row r="45">
      <c r="A45" s="3" t="inlineStr">
        <is>
          <t>OT-000042</t>
        </is>
      </c>
      <c r="B45" s="3" t="inlineStr">
        <is>
          <t>0010</t>
        </is>
      </c>
      <c r="C45" s="3" t="inlineStr">
        <is>
          <t>Inspección de rutina — EQ-110</t>
        </is>
      </c>
      <c r="D45" s="3" t="inlineStr">
        <is>
          <t>Inspección de rutina en EQ-110</t>
        </is>
      </c>
      <c r="E45" s="3" t="inlineStr">
        <is>
          <t>EQ-110</t>
        </is>
      </c>
      <c r="F45" s="3" t="inlineStr">
        <is>
          <t>CC-310</t>
        </is>
      </c>
      <c r="G45" s="3" t="inlineStr">
        <is>
          <t>PU-MEC</t>
        </is>
      </c>
      <c r="H45" s="3" t="inlineStr">
        <is>
          <t>ACT-01</t>
        </is>
      </c>
      <c r="I45" s="3" t="inlineStr">
        <is>
          <t>TIPO-P1</t>
        </is>
      </c>
      <c r="J45" s="11" t="n">
        <v>46238</v>
      </c>
      <c r="K45" s="3" t="n">
        <v>8</v>
      </c>
      <c r="L45" s="10" t="n">
        <v>200</v>
      </c>
      <c r="M45" s="6" t="n"/>
      <c r="N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5" s="3">
        <f>IF(tblOrdenes[[#This Row],[fecha_inicio]]="","",YEAR(tblOrdenes[[#This Row],[fecha_inicio]]))</f>
        <v/>
      </c>
      <c r="R45" s="3">
        <f>IF(tblOrdenes[[#This Row],[fecha_inicio]]="","",MONTH(tblOrdenes[[#This Row],[fecha_inicio]]))</f>
        <v/>
      </c>
      <c r="S45" s="3">
        <f>IF(tblOrdenes[[#This Row],[fecha_inicio]]="","",INDEX(lista_dias,WEEKDAY(tblOrdenes[[#This Row],[fecha_inicio]],2)))</f>
        <v/>
      </c>
      <c r="T45" s="3">
        <f>IF(tblOrdenes[[#This Row],[tipo_ot]]="","",_xlfn.XLOOKUP(tblOrdenes[[#This Row],[tipo_ot]],tblTiposOT[codigo],tblTiposOT[clasificacion],"sin_clasificar"))</f>
        <v/>
      </c>
      <c r="U45" s="3">
        <f>IF(tblOrdenes[[#This Row],[centro_costo]]="","",_xlfn.XLOOKUP(tblOrdenes[[#This Row],[centro_costo]],tblCECO[codigo],tblCECO[linea],"(sin catálogo)"))</f>
        <v/>
      </c>
      <c r="V45" s="3">
        <f>IF(tblOrdenes[[#This Row],[centro_costo]]="","",_xlfn.XLOOKUP(tblOrdenes[[#This Row],[centro_costo]],tblCECO[codigo],tblCECO[area],"(sin catálogo)"))</f>
        <v/>
      </c>
      <c r="W45" s="3">
        <f>IF(tblOrdenes[[#This Row],[centro_costo]]="","",_xlfn.XLOOKUP(tblOrdenes[[#This Row],[centro_costo]],tblCECO[codigo],tblCECO[coordinador],"(sin catálogo)"))</f>
        <v/>
      </c>
      <c r="X45" s="3">
        <f>IF(tblOrdenes[[#This Row],[puesto_trabajo]]="","",_xlfn.XLOOKUP(tblOrdenes[[#This Row],[puesto_trabajo]],tblPuestos[codigo],tblPuestos[especialidad],"(sin catálogo)"))</f>
        <v/>
      </c>
      <c r="Y45" s="3">
        <f>IF(tblOrdenes[[#This Row],[cod_actividad]]="","",_xlfn.XLOOKUP(tblOrdenes[[#This Row],[cod_actividad]],tblActividades[codigo],tblActividades[descripcion],"(sin catálogo)"))</f>
        <v/>
      </c>
      <c r="Z45" s="12">
        <f>IF(tblOrdenes[[#This Row],[fecha_inicio]]="","",TODAY()-tblOrdenes[[#This Row],[fecha_inicio]])</f>
        <v/>
      </c>
      <c r="AA45" s="3">
        <f>IF(tblOrdenes[[#This Row],[backlog_dias]]="","",IF(tblOrdenes[[#This Row],[backlog_dias]]&lt;0,"FUTURO",IF(tblOrdenes[[#This Row],[backlog_dias]]&gt;p_dias_backlog_max,"BACKLOG","MES CORRIENTE")))</f>
        <v/>
      </c>
      <c r="AB45" s="3">
        <f>IF(tblOrdenes[[#This Row],[backlog_dias]]="",FALSE,AND(tblOrdenes[[#This Row],[backlog_dias]]&gt;p_dias_backlog_min,tblOrdenes[[#This Row],[backlog_dias]]&lt;=p_dias_backlog_max))</f>
        <v/>
      </c>
      <c r="AC45" s="6" t="inlineStr">
        <is>
          <t>Técnico 02</t>
        </is>
      </c>
      <c r="AD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5" s="10">
        <f>IF(tblOrdenes[[#This Row],[orden]]="","",_xlfn.XLOOKUP(tblOrdenes[[#This Row],[id_operacion]],tblEjecucion[id_operacion],tblEjecucion[precio],0))</f>
        <v/>
      </c>
      <c r="AH45" s="10">
        <f>IF(tblOrdenes[[#This Row],[orden]]="","",MAX(0,_xlfn.XLOOKUP(tblOrdenes[[#This Row],[id_operacion]],tblEjecucion[id_operacion],tblEjecucion[costo_plan_total],0)-tblOrdenes[[#This Row],[costo_servicio]]))</f>
        <v/>
      </c>
      <c r="AI45" s="10">
        <f>IF(tblOrdenes[[#This Row],[orden]]="","",tblOrdenes[[#This Row],[costo_servicio]]+tblOrdenes[[#This Row],[costo_materiales]])</f>
        <v/>
      </c>
      <c r="AJ45" s="6" t="inlineStr"/>
      <c r="AK45" s="6" t="inlineStr"/>
      <c r="AL45" s="6" t="inlineStr">
        <is>
          <t>ACT-01.pdf</t>
        </is>
      </c>
      <c r="AM45" s="3">
        <f>IF(tblOrdenes[[#This Row],[link_checklist]]="","",HYPERLINK(p_ruta_base_checklists&amp;tblOrdenes[[#This Row],[link_checklist]],"abrir"))</f>
        <v/>
      </c>
      <c r="AN45" s="6" t="inlineStr"/>
      <c r="AO45" s="3">
        <f>IF(tblOrdenes[[#This Row],[orden]]="","",tblOrdenes[[#This Row],[orden]]&amp;IF(tblOrdenes[[#This Row],[operacion]]="","0010",tblOrdenes[[#This Row],[operacion]]))</f>
        <v/>
      </c>
    </row>
    <row r="46">
      <c r="A46" s="3" t="inlineStr">
        <is>
          <t>OT-000043</t>
        </is>
      </c>
      <c r="B46" s="3" t="inlineStr">
        <is>
          <t>0010</t>
        </is>
      </c>
      <c r="C46" s="3" t="inlineStr">
        <is>
          <t>Lubricación programada — EQ-104</t>
        </is>
      </c>
      <c r="D46" s="3" t="inlineStr">
        <is>
          <t>Lubricación programada en EQ-104</t>
        </is>
      </c>
      <c r="E46" s="3" t="inlineStr">
        <is>
          <t>EQ-104</t>
        </is>
      </c>
      <c r="F46" s="3" t="inlineStr">
        <is>
          <t>CC-110</t>
        </is>
      </c>
      <c r="G46" s="3" t="inlineStr">
        <is>
          <t>PU-MEC</t>
        </is>
      </c>
      <c r="H46" s="3" t="inlineStr">
        <is>
          <t>ACT-02</t>
        </is>
      </c>
      <c r="I46" s="3" t="inlineStr">
        <is>
          <t>TIPO-P2</t>
        </is>
      </c>
      <c r="J46" s="11" t="n">
        <v>46239</v>
      </c>
      <c r="K46" s="3" t="n">
        <v>6</v>
      </c>
      <c r="L46" s="10" t="n">
        <v>150</v>
      </c>
      <c r="M46" s="6" t="n"/>
      <c r="N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6" s="3">
        <f>IF(tblOrdenes[[#This Row],[fecha_inicio]]="","",YEAR(tblOrdenes[[#This Row],[fecha_inicio]]))</f>
        <v/>
      </c>
      <c r="R46" s="3">
        <f>IF(tblOrdenes[[#This Row],[fecha_inicio]]="","",MONTH(tblOrdenes[[#This Row],[fecha_inicio]]))</f>
        <v/>
      </c>
      <c r="S46" s="3">
        <f>IF(tblOrdenes[[#This Row],[fecha_inicio]]="","",INDEX(lista_dias,WEEKDAY(tblOrdenes[[#This Row],[fecha_inicio]],2)))</f>
        <v/>
      </c>
      <c r="T46" s="3">
        <f>IF(tblOrdenes[[#This Row],[tipo_ot]]="","",_xlfn.XLOOKUP(tblOrdenes[[#This Row],[tipo_ot]],tblTiposOT[codigo],tblTiposOT[clasificacion],"sin_clasificar"))</f>
        <v/>
      </c>
      <c r="U46" s="3">
        <f>IF(tblOrdenes[[#This Row],[centro_costo]]="","",_xlfn.XLOOKUP(tblOrdenes[[#This Row],[centro_costo]],tblCECO[codigo],tblCECO[linea],"(sin catálogo)"))</f>
        <v/>
      </c>
      <c r="V46" s="3">
        <f>IF(tblOrdenes[[#This Row],[centro_costo]]="","",_xlfn.XLOOKUP(tblOrdenes[[#This Row],[centro_costo]],tblCECO[codigo],tblCECO[area],"(sin catálogo)"))</f>
        <v/>
      </c>
      <c r="W46" s="3">
        <f>IF(tblOrdenes[[#This Row],[centro_costo]]="","",_xlfn.XLOOKUP(tblOrdenes[[#This Row],[centro_costo]],tblCECO[codigo],tblCECO[coordinador],"(sin catálogo)"))</f>
        <v/>
      </c>
      <c r="X46" s="3">
        <f>IF(tblOrdenes[[#This Row],[puesto_trabajo]]="","",_xlfn.XLOOKUP(tblOrdenes[[#This Row],[puesto_trabajo]],tblPuestos[codigo],tblPuestos[especialidad],"(sin catálogo)"))</f>
        <v/>
      </c>
      <c r="Y46" s="3">
        <f>IF(tblOrdenes[[#This Row],[cod_actividad]]="","",_xlfn.XLOOKUP(tblOrdenes[[#This Row],[cod_actividad]],tblActividades[codigo],tblActividades[descripcion],"(sin catálogo)"))</f>
        <v/>
      </c>
      <c r="Z46" s="12">
        <f>IF(tblOrdenes[[#This Row],[fecha_inicio]]="","",TODAY()-tblOrdenes[[#This Row],[fecha_inicio]])</f>
        <v/>
      </c>
      <c r="AA46" s="3">
        <f>IF(tblOrdenes[[#This Row],[backlog_dias]]="","",IF(tblOrdenes[[#This Row],[backlog_dias]]&lt;0,"FUTURO",IF(tblOrdenes[[#This Row],[backlog_dias]]&gt;p_dias_backlog_max,"BACKLOG","MES CORRIENTE")))</f>
        <v/>
      </c>
      <c r="AB46" s="3">
        <f>IF(tblOrdenes[[#This Row],[backlog_dias]]="",FALSE,AND(tblOrdenes[[#This Row],[backlog_dias]]&gt;p_dias_backlog_min,tblOrdenes[[#This Row],[backlog_dias]]&lt;=p_dias_backlog_max))</f>
        <v/>
      </c>
      <c r="AC46" s="6" t="inlineStr">
        <is>
          <t>Técnico 03</t>
        </is>
      </c>
      <c r="AD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6" s="10">
        <f>IF(tblOrdenes[[#This Row],[orden]]="","",_xlfn.XLOOKUP(tblOrdenes[[#This Row],[id_operacion]],tblEjecucion[id_operacion],tblEjecucion[precio],0))</f>
        <v/>
      </c>
      <c r="AH46" s="10">
        <f>IF(tblOrdenes[[#This Row],[orden]]="","",MAX(0,_xlfn.XLOOKUP(tblOrdenes[[#This Row],[id_operacion]],tblEjecucion[id_operacion],tblEjecucion[costo_plan_total],0)-tblOrdenes[[#This Row],[costo_servicio]]))</f>
        <v/>
      </c>
      <c r="AI46" s="10">
        <f>IF(tblOrdenes[[#This Row],[orden]]="","",tblOrdenes[[#This Row],[costo_servicio]]+tblOrdenes[[#This Row],[costo_materiales]])</f>
        <v/>
      </c>
      <c r="AJ46" s="6" t="inlineStr"/>
      <c r="AK46" s="6" t="inlineStr"/>
      <c r="AL46" s="6" t="inlineStr">
        <is>
          <t>ACT-02.pdf</t>
        </is>
      </c>
      <c r="AM46" s="3">
        <f>IF(tblOrdenes[[#This Row],[link_checklist]]="","",HYPERLINK(p_ruta_base_checklists&amp;tblOrdenes[[#This Row],[link_checklist]],"abrir"))</f>
        <v/>
      </c>
      <c r="AN46" s="6" t="inlineStr"/>
      <c r="AO46" s="3">
        <f>IF(tblOrdenes[[#This Row],[orden]]="","",tblOrdenes[[#This Row],[orden]]&amp;IF(tblOrdenes[[#This Row],[operacion]]="","0010",tblOrdenes[[#This Row],[operacion]]))</f>
        <v/>
      </c>
    </row>
    <row r="47">
      <c r="A47" s="3" t="inlineStr">
        <is>
          <t>OT-000044</t>
        </is>
      </c>
      <c r="B47" s="3" t="inlineStr">
        <is>
          <t>0010</t>
        </is>
      </c>
      <c r="C47" s="3" t="inlineStr">
        <is>
          <t>Análisis predictivo — EQ-106</t>
        </is>
      </c>
      <c r="D47" s="3" t="inlineStr">
        <is>
          <t>Análisis predictivo en EQ-106</t>
        </is>
      </c>
      <c r="E47" s="3" t="inlineStr">
        <is>
          <t>EQ-106</t>
        </is>
      </c>
      <c r="F47" s="3" t="inlineStr">
        <is>
          <t>CC-210</t>
        </is>
      </c>
      <c r="G47" s="3" t="inlineStr">
        <is>
          <t>PU-MEC</t>
        </is>
      </c>
      <c r="H47" s="3" t="inlineStr">
        <is>
          <t>ACT-04</t>
        </is>
      </c>
      <c r="I47" s="3" t="inlineStr">
        <is>
          <t>TIPO-P1</t>
        </is>
      </c>
      <c r="J47" s="11" t="n">
        <v>46240</v>
      </c>
      <c r="K47" s="3" t="n">
        <v>10</v>
      </c>
      <c r="L47" s="10" t="n">
        <v>250</v>
      </c>
      <c r="M47" s="6" t="n"/>
      <c r="N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7" s="3">
        <f>IF(tblOrdenes[[#This Row],[fecha_inicio]]="","",YEAR(tblOrdenes[[#This Row],[fecha_inicio]]))</f>
        <v/>
      </c>
      <c r="R47" s="3">
        <f>IF(tblOrdenes[[#This Row],[fecha_inicio]]="","",MONTH(tblOrdenes[[#This Row],[fecha_inicio]]))</f>
        <v/>
      </c>
      <c r="S47" s="3">
        <f>IF(tblOrdenes[[#This Row],[fecha_inicio]]="","",INDEX(lista_dias,WEEKDAY(tblOrdenes[[#This Row],[fecha_inicio]],2)))</f>
        <v/>
      </c>
      <c r="T47" s="3">
        <f>IF(tblOrdenes[[#This Row],[tipo_ot]]="","",_xlfn.XLOOKUP(tblOrdenes[[#This Row],[tipo_ot]],tblTiposOT[codigo],tblTiposOT[clasificacion],"sin_clasificar"))</f>
        <v/>
      </c>
      <c r="U47" s="3">
        <f>IF(tblOrdenes[[#This Row],[centro_costo]]="","",_xlfn.XLOOKUP(tblOrdenes[[#This Row],[centro_costo]],tblCECO[codigo],tblCECO[linea],"(sin catálogo)"))</f>
        <v/>
      </c>
      <c r="V47" s="3">
        <f>IF(tblOrdenes[[#This Row],[centro_costo]]="","",_xlfn.XLOOKUP(tblOrdenes[[#This Row],[centro_costo]],tblCECO[codigo],tblCECO[area],"(sin catálogo)"))</f>
        <v/>
      </c>
      <c r="W47" s="3">
        <f>IF(tblOrdenes[[#This Row],[centro_costo]]="","",_xlfn.XLOOKUP(tblOrdenes[[#This Row],[centro_costo]],tblCECO[codigo],tblCECO[coordinador],"(sin catálogo)"))</f>
        <v/>
      </c>
      <c r="X47" s="3">
        <f>IF(tblOrdenes[[#This Row],[puesto_trabajo]]="","",_xlfn.XLOOKUP(tblOrdenes[[#This Row],[puesto_trabajo]],tblPuestos[codigo],tblPuestos[especialidad],"(sin catálogo)"))</f>
        <v/>
      </c>
      <c r="Y47" s="3">
        <f>IF(tblOrdenes[[#This Row],[cod_actividad]]="","",_xlfn.XLOOKUP(tblOrdenes[[#This Row],[cod_actividad]],tblActividades[codigo],tblActividades[descripcion],"(sin catálogo)"))</f>
        <v/>
      </c>
      <c r="Z47" s="12">
        <f>IF(tblOrdenes[[#This Row],[fecha_inicio]]="","",TODAY()-tblOrdenes[[#This Row],[fecha_inicio]])</f>
        <v/>
      </c>
      <c r="AA47" s="3">
        <f>IF(tblOrdenes[[#This Row],[backlog_dias]]="","",IF(tblOrdenes[[#This Row],[backlog_dias]]&lt;0,"FUTURO",IF(tblOrdenes[[#This Row],[backlog_dias]]&gt;p_dias_backlog_max,"BACKLOG","MES CORRIENTE")))</f>
        <v/>
      </c>
      <c r="AB47" s="3">
        <f>IF(tblOrdenes[[#This Row],[backlog_dias]]="",FALSE,AND(tblOrdenes[[#This Row],[backlog_dias]]&gt;p_dias_backlog_min,tblOrdenes[[#This Row],[backlog_dias]]&lt;=p_dias_backlog_max))</f>
        <v/>
      </c>
      <c r="AC47" s="6" t="inlineStr">
        <is>
          <t>Técnico 04</t>
        </is>
      </c>
      <c r="AD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7" s="10">
        <f>IF(tblOrdenes[[#This Row],[orden]]="","",_xlfn.XLOOKUP(tblOrdenes[[#This Row],[id_operacion]],tblEjecucion[id_operacion],tblEjecucion[precio],0))</f>
        <v/>
      </c>
      <c r="AH47" s="10">
        <f>IF(tblOrdenes[[#This Row],[orden]]="","",MAX(0,_xlfn.XLOOKUP(tblOrdenes[[#This Row],[id_operacion]],tblEjecucion[id_operacion],tblEjecucion[costo_plan_total],0)-tblOrdenes[[#This Row],[costo_servicio]]))</f>
        <v/>
      </c>
      <c r="AI47" s="10">
        <f>IF(tblOrdenes[[#This Row],[orden]]="","",tblOrdenes[[#This Row],[costo_servicio]]+tblOrdenes[[#This Row],[costo_materiales]])</f>
        <v/>
      </c>
      <c r="AJ47" s="6" t="inlineStr"/>
      <c r="AK47" s="6" t="inlineStr"/>
      <c r="AL47" s="6" t="inlineStr">
        <is>
          <t>ACT-04.pdf</t>
        </is>
      </c>
      <c r="AM47" s="3">
        <f>IF(tblOrdenes[[#This Row],[link_checklist]]="","",HYPERLINK(p_ruta_base_checklists&amp;tblOrdenes[[#This Row],[link_checklist]],"abrir"))</f>
        <v/>
      </c>
      <c r="AN47" s="6" t="inlineStr"/>
      <c r="AO47" s="3">
        <f>IF(tblOrdenes[[#This Row],[orden]]="","",tblOrdenes[[#This Row],[orden]]&amp;IF(tblOrdenes[[#This Row],[operacion]]="","0010",tblOrdenes[[#This Row],[operacion]]))</f>
        <v/>
      </c>
    </row>
    <row r="48">
      <c r="A48" s="3" t="inlineStr">
        <is>
          <t>OT-000045</t>
        </is>
      </c>
      <c r="B48" s="3" t="inlineStr">
        <is>
          <t>0010</t>
        </is>
      </c>
      <c r="C48" s="3" t="inlineStr">
        <is>
          <t>Inspección de rutina — EQ-110</t>
        </is>
      </c>
      <c r="D48" s="3" t="inlineStr">
        <is>
          <t>Inspección de rutina en EQ-110</t>
        </is>
      </c>
      <c r="E48" s="3" t="inlineStr">
        <is>
          <t>EQ-110</t>
        </is>
      </c>
      <c r="F48" s="3" t="inlineStr">
        <is>
          <t>CC-310</t>
        </is>
      </c>
      <c r="G48" s="3" t="inlineStr">
        <is>
          <t>PU-MEC</t>
        </is>
      </c>
      <c r="H48" s="3" t="inlineStr">
        <is>
          <t>ACT-01</t>
        </is>
      </c>
      <c r="I48" s="3" t="inlineStr">
        <is>
          <t>TIPO-P2</t>
        </is>
      </c>
      <c r="J48" s="11" t="n">
        <v>46241</v>
      </c>
      <c r="K48" s="3" t="n">
        <v>8</v>
      </c>
      <c r="L48" s="10" t="n">
        <v>200</v>
      </c>
      <c r="M48" s="6" t="n"/>
      <c r="N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8" s="3">
        <f>IF(tblOrdenes[[#This Row],[fecha_inicio]]="","",YEAR(tblOrdenes[[#This Row],[fecha_inicio]]))</f>
        <v/>
      </c>
      <c r="R48" s="3">
        <f>IF(tblOrdenes[[#This Row],[fecha_inicio]]="","",MONTH(tblOrdenes[[#This Row],[fecha_inicio]]))</f>
        <v/>
      </c>
      <c r="S48" s="3">
        <f>IF(tblOrdenes[[#This Row],[fecha_inicio]]="","",INDEX(lista_dias,WEEKDAY(tblOrdenes[[#This Row],[fecha_inicio]],2)))</f>
        <v/>
      </c>
      <c r="T48" s="3">
        <f>IF(tblOrdenes[[#This Row],[tipo_ot]]="","",_xlfn.XLOOKUP(tblOrdenes[[#This Row],[tipo_ot]],tblTiposOT[codigo],tblTiposOT[clasificacion],"sin_clasificar"))</f>
        <v/>
      </c>
      <c r="U48" s="3">
        <f>IF(tblOrdenes[[#This Row],[centro_costo]]="","",_xlfn.XLOOKUP(tblOrdenes[[#This Row],[centro_costo]],tblCECO[codigo],tblCECO[linea],"(sin catálogo)"))</f>
        <v/>
      </c>
      <c r="V48" s="3">
        <f>IF(tblOrdenes[[#This Row],[centro_costo]]="","",_xlfn.XLOOKUP(tblOrdenes[[#This Row],[centro_costo]],tblCECO[codigo],tblCECO[area],"(sin catálogo)"))</f>
        <v/>
      </c>
      <c r="W48" s="3">
        <f>IF(tblOrdenes[[#This Row],[centro_costo]]="","",_xlfn.XLOOKUP(tblOrdenes[[#This Row],[centro_costo]],tblCECO[codigo],tblCECO[coordinador],"(sin catálogo)"))</f>
        <v/>
      </c>
      <c r="X48" s="3">
        <f>IF(tblOrdenes[[#This Row],[puesto_trabajo]]="","",_xlfn.XLOOKUP(tblOrdenes[[#This Row],[puesto_trabajo]],tblPuestos[codigo],tblPuestos[especialidad],"(sin catálogo)"))</f>
        <v/>
      </c>
      <c r="Y48" s="3">
        <f>IF(tblOrdenes[[#This Row],[cod_actividad]]="","",_xlfn.XLOOKUP(tblOrdenes[[#This Row],[cod_actividad]],tblActividades[codigo],tblActividades[descripcion],"(sin catálogo)"))</f>
        <v/>
      </c>
      <c r="Z48" s="12">
        <f>IF(tblOrdenes[[#This Row],[fecha_inicio]]="","",TODAY()-tblOrdenes[[#This Row],[fecha_inicio]])</f>
        <v/>
      </c>
      <c r="AA48" s="3">
        <f>IF(tblOrdenes[[#This Row],[backlog_dias]]="","",IF(tblOrdenes[[#This Row],[backlog_dias]]&lt;0,"FUTURO",IF(tblOrdenes[[#This Row],[backlog_dias]]&gt;p_dias_backlog_max,"BACKLOG","MES CORRIENTE")))</f>
        <v/>
      </c>
      <c r="AB48" s="3">
        <f>IF(tblOrdenes[[#This Row],[backlog_dias]]="",FALSE,AND(tblOrdenes[[#This Row],[backlog_dias]]&gt;p_dias_backlog_min,tblOrdenes[[#This Row],[backlog_dias]]&lt;=p_dias_backlog_max))</f>
        <v/>
      </c>
      <c r="AC48" s="6" t="inlineStr">
        <is>
          <t>Técnico 01</t>
        </is>
      </c>
      <c r="AD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8" s="10">
        <f>IF(tblOrdenes[[#This Row],[orden]]="","",_xlfn.XLOOKUP(tblOrdenes[[#This Row],[id_operacion]],tblEjecucion[id_operacion],tblEjecucion[precio],0))</f>
        <v/>
      </c>
      <c r="AH48" s="10">
        <f>IF(tblOrdenes[[#This Row],[orden]]="","",MAX(0,_xlfn.XLOOKUP(tblOrdenes[[#This Row],[id_operacion]],tblEjecucion[id_operacion],tblEjecucion[costo_plan_total],0)-tblOrdenes[[#This Row],[costo_servicio]]))</f>
        <v/>
      </c>
      <c r="AI48" s="10">
        <f>IF(tblOrdenes[[#This Row],[orden]]="","",tblOrdenes[[#This Row],[costo_servicio]]+tblOrdenes[[#This Row],[costo_materiales]])</f>
        <v/>
      </c>
      <c r="AJ48" s="6" t="inlineStr"/>
      <c r="AK48" s="6" t="inlineStr"/>
      <c r="AL48" s="6" t="inlineStr">
        <is>
          <t>ACT-01.pdf</t>
        </is>
      </c>
      <c r="AM48" s="3">
        <f>IF(tblOrdenes[[#This Row],[link_checklist]]="","",HYPERLINK(p_ruta_base_checklists&amp;tblOrdenes[[#This Row],[link_checklist]],"abrir"))</f>
        <v/>
      </c>
      <c r="AN48" s="6" t="inlineStr"/>
      <c r="AO48" s="3">
        <f>IF(tblOrdenes[[#This Row],[orden]]="","",tblOrdenes[[#This Row],[orden]]&amp;IF(tblOrdenes[[#This Row],[operacion]]="","0010",tblOrdenes[[#This Row],[operacion]]))</f>
        <v/>
      </c>
    </row>
    <row r="49">
      <c r="A49" s="3" t="inlineStr">
        <is>
          <t>OT-000046</t>
        </is>
      </c>
      <c r="B49" s="3" t="inlineStr">
        <is>
          <t>0010</t>
        </is>
      </c>
      <c r="C49" s="3" t="inlineStr">
        <is>
          <t>Lubricación programada — EQ-102</t>
        </is>
      </c>
      <c r="D49" s="3" t="inlineStr">
        <is>
          <t>Lubricación programada en EQ-102</t>
        </is>
      </c>
      <c r="E49" s="3" t="inlineStr">
        <is>
          <t>EQ-102</t>
        </is>
      </c>
      <c r="F49" s="3" t="inlineStr">
        <is>
          <t>CC-110</t>
        </is>
      </c>
      <c r="G49" s="3" t="inlineStr">
        <is>
          <t>PU-MEC</t>
        </is>
      </c>
      <c r="H49" s="3" t="inlineStr">
        <is>
          <t>ACT-02</t>
        </is>
      </c>
      <c r="I49" s="3" t="inlineStr">
        <is>
          <t>TIPO-P1</t>
        </is>
      </c>
      <c r="J49" s="11" t="n">
        <v>46237</v>
      </c>
      <c r="K49" s="3" t="n">
        <v>4</v>
      </c>
      <c r="L49" s="10" t="n">
        <v>100</v>
      </c>
      <c r="M49" s="6" t="n"/>
      <c r="N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9" s="3">
        <f>IF(tblOrdenes[[#This Row],[fecha_inicio]]="","",YEAR(tblOrdenes[[#This Row],[fecha_inicio]]))</f>
        <v/>
      </c>
      <c r="R49" s="3">
        <f>IF(tblOrdenes[[#This Row],[fecha_inicio]]="","",MONTH(tblOrdenes[[#This Row],[fecha_inicio]]))</f>
        <v/>
      </c>
      <c r="S49" s="3">
        <f>IF(tblOrdenes[[#This Row],[fecha_inicio]]="","",INDEX(lista_dias,WEEKDAY(tblOrdenes[[#This Row],[fecha_inicio]],2)))</f>
        <v/>
      </c>
      <c r="T49" s="3">
        <f>IF(tblOrdenes[[#This Row],[tipo_ot]]="","",_xlfn.XLOOKUP(tblOrdenes[[#This Row],[tipo_ot]],tblTiposOT[codigo],tblTiposOT[clasificacion],"sin_clasificar"))</f>
        <v/>
      </c>
      <c r="U49" s="3">
        <f>IF(tblOrdenes[[#This Row],[centro_costo]]="","",_xlfn.XLOOKUP(tblOrdenes[[#This Row],[centro_costo]],tblCECO[codigo],tblCECO[linea],"(sin catálogo)"))</f>
        <v/>
      </c>
      <c r="V49" s="3">
        <f>IF(tblOrdenes[[#This Row],[centro_costo]]="","",_xlfn.XLOOKUP(tblOrdenes[[#This Row],[centro_costo]],tblCECO[codigo],tblCECO[area],"(sin catálogo)"))</f>
        <v/>
      </c>
      <c r="W49" s="3">
        <f>IF(tblOrdenes[[#This Row],[centro_costo]]="","",_xlfn.XLOOKUP(tblOrdenes[[#This Row],[centro_costo]],tblCECO[codigo],tblCECO[coordinador],"(sin catálogo)"))</f>
        <v/>
      </c>
      <c r="X49" s="3">
        <f>IF(tblOrdenes[[#This Row],[puesto_trabajo]]="","",_xlfn.XLOOKUP(tblOrdenes[[#This Row],[puesto_trabajo]],tblPuestos[codigo],tblPuestos[especialidad],"(sin catálogo)"))</f>
        <v/>
      </c>
      <c r="Y49" s="3">
        <f>IF(tblOrdenes[[#This Row],[cod_actividad]]="","",_xlfn.XLOOKUP(tblOrdenes[[#This Row],[cod_actividad]],tblActividades[codigo],tblActividades[descripcion],"(sin catálogo)"))</f>
        <v/>
      </c>
      <c r="Z49" s="12">
        <f>IF(tblOrdenes[[#This Row],[fecha_inicio]]="","",TODAY()-tblOrdenes[[#This Row],[fecha_inicio]])</f>
        <v/>
      </c>
      <c r="AA49" s="3">
        <f>IF(tblOrdenes[[#This Row],[backlog_dias]]="","",IF(tblOrdenes[[#This Row],[backlog_dias]]&lt;0,"FUTURO",IF(tblOrdenes[[#This Row],[backlog_dias]]&gt;p_dias_backlog_max,"BACKLOG","MES CORRIENTE")))</f>
        <v/>
      </c>
      <c r="AB49" s="3">
        <f>IF(tblOrdenes[[#This Row],[backlog_dias]]="",FALSE,AND(tblOrdenes[[#This Row],[backlog_dias]]&gt;p_dias_backlog_min,tblOrdenes[[#This Row],[backlog_dias]]&lt;=p_dias_backlog_max))</f>
        <v/>
      </c>
      <c r="AC49" s="6" t="inlineStr">
        <is>
          <t>Técnico 02</t>
        </is>
      </c>
      <c r="AD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9" s="10">
        <f>IF(tblOrdenes[[#This Row],[orden]]="","",_xlfn.XLOOKUP(tblOrdenes[[#This Row],[id_operacion]],tblEjecucion[id_operacion],tblEjecucion[precio],0))</f>
        <v/>
      </c>
      <c r="AH49" s="10">
        <f>IF(tblOrdenes[[#This Row],[orden]]="","",MAX(0,_xlfn.XLOOKUP(tblOrdenes[[#This Row],[id_operacion]],tblEjecucion[id_operacion],tblEjecucion[costo_plan_total],0)-tblOrdenes[[#This Row],[costo_servicio]]))</f>
        <v/>
      </c>
      <c r="AI49" s="10">
        <f>IF(tblOrdenes[[#This Row],[orden]]="","",tblOrdenes[[#This Row],[costo_servicio]]+tblOrdenes[[#This Row],[costo_materiales]])</f>
        <v/>
      </c>
      <c r="AJ49" s="6" t="inlineStr"/>
      <c r="AK49" s="6" t="inlineStr"/>
      <c r="AL49" s="6" t="inlineStr">
        <is>
          <t>ACT-02.pdf</t>
        </is>
      </c>
      <c r="AM49" s="3">
        <f>IF(tblOrdenes[[#This Row],[link_checklist]]="","",HYPERLINK(p_ruta_base_checklists&amp;tblOrdenes[[#This Row],[link_checklist]],"abrir"))</f>
        <v/>
      </c>
      <c r="AN49" s="6" t="inlineStr"/>
      <c r="AO49" s="3">
        <f>IF(tblOrdenes[[#This Row],[orden]]="","",tblOrdenes[[#This Row],[orden]]&amp;IF(tblOrdenes[[#This Row],[operacion]]="","0010",tblOrdenes[[#This Row],[operacion]]))</f>
        <v/>
      </c>
    </row>
    <row r="50">
      <c r="A50" s="3" t="inlineStr">
        <is>
          <t>OT-000047</t>
        </is>
      </c>
      <c r="B50" s="3" t="inlineStr">
        <is>
          <t>0010</t>
        </is>
      </c>
      <c r="C50" s="3" t="inlineStr">
        <is>
          <t>Reparación de falla — EQ-109</t>
        </is>
      </c>
      <c r="D50" s="3" t="inlineStr">
        <is>
          <t>Reparación de falla en EQ-109</t>
        </is>
      </c>
      <c r="E50" s="3" t="inlineStr">
        <is>
          <t>EQ-109</t>
        </is>
      </c>
      <c r="F50" s="3" t="inlineStr">
        <is>
          <t>CC-210</t>
        </is>
      </c>
      <c r="G50" s="3" t="inlineStr">
        <is>
          <t>PU-MEC</t>
        </is>
      </c>
      <c r="H50" s="3" t="inlineStr">
        <is>
          <t>ACT-03</t>
        </is>
      </c>
      <c r="I50" s="3" t="inlineStr">
        <is>
          <t>TIPO-C2</t>
        </is>
      </c>
      <c r="J50" s="11" t="n">
        <v>46238</v>
      </c>
      <c r="K50" s="3" t="n">
        <v>10</v>
      </c>
      <c r="L50" s="10" t="n">
        <v>400</v>
      </c>
      <c r="M50" s="6" t="n"/>
      <c r="N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0" s="3">
        <f>IF(tblOrdenes[[#This Row],[fecha_inicio]]="","",YEAR(tblOrdenes[[#This Row],[fecha_inicio]]))</f>
        <v/>
      </c>
      <c r="R50" s="3">
        <f>IF(tblOrdenes[[#This Row],[fecha_inicio]]="","",MONTH(tblOrdenes[[#This Row],[fecha_inicio]]))</f>
        <v/>
      </c>
      <c r="S50" s="3">
        <f>IF(tblOrdenes[[#This Row],[fecha_inicio]]="","",INDEX(lista_dias,WEEKDAY(tblOrdenes[[#This Row],[fecha_inicio]],2)))</f>
        <v/>
      </c>
      <c r="T50" s="3">
        <f>IF(tblOrdenes[[#This Row],[tipo_ot]]="","",_xlfn.XLOOKUP(tblOrdenes[[#This Row],[tipo_ot]],tblTiposOT[codigo],tblTiposOT[clasificacion],"sin_clasificar"))</f>
        <v/>
      </c>
      <c r="U50" s="3">
        <f>IF(tblOrdenes[[#This Row],[centro_costo]]="","",_xlfn.XLOOKUP(tblOrdenes[[#This Row],[centro_costo]],tblCECO[codigo],tblCECO[linea],"(sin catálogo)"))</f>
        <v/>
      </c>
      <c r="V50" s="3">
        <f>IF(tblOrdenes[[#This Row],[centro_costo]]="","",_xlfn.XLOOKUP(tblOrdenes[[#This Row],[centro_costo]],tblCECO[codigo],tblCECO[area],"(sin catálogo)"))</f>
        <v/>
      </c>
      <c r="W50" s="3">
        <f>IF(tblOrdenes[[#This Row],[centro_costo]]="","",_xlfn.XLOOKUP(tblOrdenes[[#This Row],[centro_costo]],tblCECO[codigo],tblCECO[coordinador],"(sin catálogo)"))</f>
        <v/>
      </c>
      <c r="X50" s="3">
        <f>IF(tblOrdenes[[#This Row],[puesto_trabajo]]="","",_xlfn.XLOOKUP(tblOrdenes[[#This Row],[puesto_trabajo]],tblPuestos[codigo],tblPuestos[especialidad],"(sin catálogo)"))</f>
        <v/>
      </c>
      <c r="Y50" s="3">
        <f>IF(tblOrdenes[[#This Row],[cod_actividad]]="","",_xlfn.XLOOKUP(tblOrdenes[[#This Row],[cod_actividad]],tblActividades[codigo],tblActividades[descripcion],"(sin catálogo)"))</f>
        <v/>
      </c>
      <c r="Z50" s="12">
        <f>IF(tblOrdenes[[#This Row],[fecha_inicio]]="","",TODAY()-tblOrdenes[[#This Row],[fecha_inicio]])</f>
        <v/>
      </c>
      <c r="AA50" s="3">
        <f>IF(tblOrdenes[[#This Row],[backlog_dias]]="","",IF(tblOrdenes[[#This Row],[backlog_dias]]&lt;0,"FUTURO",IF(tblOrdenes[[#This Row],[backlog_dias]]&gt;p_dias_backlog_max,"BACKLOG","MES CORRIENTE")))</f>
        <v/>
      </c>
      <c r="AB50" s="3">
        <f>IF(tblOrdenes[[#This Row],[backlog_dias]]="",FALSE,AND(tblOrdenes[[#This Row],[backlog_dias]]&gt;p_dias_backlog_min,tblOrdenes[[#This Row],[backlog_dias]]&lt;=p_dias_backlog_max))</f>
        <v/>
      </c>
      <c r="AC50" s="6" t="inlineStr">
        <is>
          <t>Técnico 03</t>
        </is>
      </c>
      <c r="AD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0" s="10">
        <f>IF(tblOrdenes[[#This Row],[orden]]="","",_xlfn.XLOOKUP(tblOrdenes[[#This Row],[id_operacion]],tblEjecucion[id_operacion],tblEjecucion[precio],0))</f>
        <v/>
      </c>
      <c r="AH50" s="10">
        <f>IF(tblOrdenes[[#This Row],[orden]]="","",MAX(0,_xlfn.XLOOKUP(tblOrdenes[[#This Row],[id_operacion]],tblEjecucion[id_operacion],tblEjecucion[costo_plan_total],0)-tblOrdenes[[#This Row],[costo_servicio]]))</f>
        <v/>
      </c>
      <c r="AI50" s="10">
        <f>IF(tblOrdenes[[#This Row],[orden]]="","",tblOrdenes[[#This Row],[costo_servicio]]+tblOrdenes[[#This Row],[costo_materiales]])</f>
        <v/>
      </c>
      <c r="AJ50" s="6" t="inlineStr"/>
      <c r="AK50" s="6" t="inlineStr"/>
      <c r="AL50" s="6" t="inlineStr"/>
      <c r="AM50" s="3">
        <f>IF(tblOrdenes[[#This Row],[link_checklist]]="","",HYPERLINK(p_ruta_base_checklists&amp;tblOrdenes[[#This Row],[link_checklist]],"abrir"))</f>
        <v/>
      </c>
      <c r="AN50" s="6" t="inlineStr"/>
      <c r="AO50" s="3">
        <f>IF(tblOrdenes[[#This Row],[orden]]="","",tblOrdenes[[#This Row],[orden]]&amp;IF(tblOrdenes[[#This Row],[operacion]]="","0010",tblOrdenes[[#This Row],[operacion]]))</f>
        <v/>
      </c>
    </row>
    <row r="51">
      <c r="A51" s="3" t="inlineStr">
        <is>
          <t>OT-000048</t>
        </is>
      </c>
      <c r="B51" s="3" t="inlineStr">
        <is>
          <t>0010</t>
        </is>
      </c>
      <c r="C51" s="3" t="inlineStr">
        <is>
          <t>Reparación de falla — EQ-110</t>
        </is>
      </c>
      <c r="D51" s="3" t="inlineStr">
        <is>
          <t>Reparación de falla en EQ-110</t>
        </is>
      </c>
      <c r="E51" s="3" t="inlineStr">
        <is>
          <t>EQ-110</t>
        </is>
      </c>
      <c r="F51" s="3" t="inlineStr">
        <is>
          <t>CC-310</t>
        </is>
      </c>
      <c r="G51" s="3" t="inlineStr">
        <is>
          <t>PU-MEC</t>
        </is>
      </c>
      <c r="H51" s="3" t="inlineStr">
        <is>
          <t>ACT-03</t>
        </is>
      </c>
      <c r="I51" s="3" t="inlineStr">
        <is>
          <t>TIPO-C1</t>
        </is>
      </c>
      <c r="J51" s="11" t="n">
        <v>46239</v>
      </c>
      <c r="K51" s="3" t="n">
        <v>4</v>
      </c>
      <c r="L51" s="10" t="n">
        <v>160</v>
      </c>
      <c r="M51" s="6" t="n"/>
      <c r="N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1" s="3">
        <f>IF(tblOrdenes[[#This Row],[fecha_inicio]]="","",YEAR(tblOrdenes[[#This Row],[fecha_inicio]]))</f>
        <v/>
      </c>
      <c r="R51" s="3">
        <f>IF(tblOrdenes[[#This Row],[fecha_inicio]]="","",MONTH(tblOrdenes[[#This Row],[fecha_inicio]]))</f>
        <v/>
      </c>
      <c r="S51" s="3">
        <f>IF(tblOrdenes[[#This Row],[fecha_inicio]]="","",INDEX(lista_dias,WEEKDAY(tblOrdenes[[#This Row],[fecha_inicio]],2)))</f>
        <v/>
      </c>
      <c r="T51" s="3">
        <f>IF(tblOrdenes[[#This Row],[tipo_ot]]="","",_xlfn.XLOOKUP(tblOrdenes[[#This Row],[tipo_ot]],tblTiposOT[codigo],tblTiposOT[clasificacion],"sin_clasificar"))</f>
        <v/>
      </c>
      <c r="U51" s="3">
        <f>IF(tblOrdenes[[#This Row],[centro_costo]]="","",_xlfn.XLOOKUP(tblOrdenes[[#This Row],[centro_costo]],tblCECO[codigo],tblCECO[linea],"(sin catálogo)"))</f>
        <v/>
      </c>
      <c r="V51" s="3">
        <f>IF(tblOrdenes[[#This Row],[centro_costo]]="","",_xlfn.XLOOKUP(tblOrdenes[[#This Row],[centro_costo]],tblCECO[codigo],tblCECO[area],"(sin catálogo)"))</f>
        <v/>
      </c>
      <c r="W51" s="3">
        <f>IF(tblOrdenes[[#This Row],[centro_costo]]="","",_xlfn.XLOOKUP(tblOrdenes[[#This Row],[centro_costo]],tblCECO[codigo],tblCECO[coordinador],"(sin catálogo)"))</f>
        <v/>
      </c>
      <c r="X51" s="3">
        <f>IF(tblOrdenes[[#This Row],[puesto_trabajo]]="","",_xlfn.XLOOKUP(tblOrdenes[[#This Row],[puesto_trabajo]],tblPuestos[codigo],tblPuestos[especialidad],"(sin catálogo)"))</f>
        <v/>
      </c>
      <c r="Y51" s="3">
        <f>IF(tblOrdenes[[#This Row],[cod_actividad]]="","",_xlfn.XLOOKUP(tblOrdenes[[#This Row],[cod_actividad]],tblActividades[codigo],tblActividades[descripcion],"(sin catálogo)"))</f>
        <v/>
      </c>
      <c r="Z51" s="12">
        <f>IF(tblOrdenes[[#This Row],[fecha_inicio]]="","",TODAY()-tblOrdenes[[#This Row],[fecha_inicio]])</f>
        <v/>
      </c>
      <c r="AA51" s="3">
        <f>IF(tblOrdenes[[#This Row],[backlog_dias]]="","",IF(tblOrdenes[[#This Row],[backlog_dias]]&lt;0,"FUTURO",IF(tblOrdenes[[#This Row],[backlog_dias]]&gt;p_dias_backlog_max,"BACKLOG","MES CORRIENTE")))</f>
        <v/>
      </c>
      <c r="AB51" s="3">
        <f>IF(tblOrdenes[[#This Row],[backlog_dias]]="",FALSE,AND(tblOrdenes[[#This Row],[backlog_dias]]&gt;p_dias_backlog_min,tblOrdenes[[#This Row],[backlog_dias]]&lt;=p_dias_backlog_max))</f>
        <v/>
      </c>
      <c r="AC51" s="6" t="inlineStr"/>
      <c r="AD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1" s="10">
        <f>IF(tblOrdenes[[#This Row],[orden]]="","",_xlfn.XLOOKUP(tblOrdenes[[#This Row],[id_operacion]],tblEjecucion[id_operacion],tblEjecucion[precio],0))</f>
        <v/>
      </c>
      <c r="AH51" s="10">
        <f>IF(tblOrdenes[[#This Row],[orden]]="","",MAX(0,_xlfn.XLOOKUP(tblOrdenes[[#This Row],[id_operacion]],tblEjecucion[id_operacion],tblEjecucion[costo_plan_total],0)-tblOrdenes[[#This Row],[costo_servicio]]))</f>
        <v/>
      </c>
      <c r="AI51" s="10">
        <f>IF(tblOrdenes[[#This Row],[orden]]="","",tblOrdenes[[#This Row],[costo_servicio]]+tblOrdenes[[#This Row],[costo_materiales]])</f>
        <v/>
      </c>
      <c r="AJ51" s="6" t="inlineStr">
        <is>
          <t>PT-CALIENTE</t>
        </is>
      </c>
      <c r="AK51" s="6" t="inlineStr">
        <is>
          <t>LOTO</t>
        </is>
      </c>
      <c r="AL51" s="6" t="inlineStr"/>
      <c r="AM51" s="3">
        <f>IF(tblOrdenes[[#This Row],[link_checklist]]="","",HYPERLINK(p_ruta_base_checklists&amp;tblOrdenes[[#This Row],[link_checklist]],"abrir"))</f>
        <v/>
      </c>
      <c r="AN51" s="6" t="inlineStr"/>
      <c r="AO51" s="3">
        <f>IF(tblOrdenes[[#This Row],[orden]]="","",tblOrdenes[[#This Row],[orden]]&amp;IF(tblOrdenes[[#This Row],[operacion]]="","0010",tblOrdenes[[#This Row],[operacion]]))</f>
        <v/>
      </c>
    </row>
    <row r="52">
      <c r="A52" s="3" t="inlineStr">
        <is>
          <t>OT-000049</t>
        </is>
      </c>
      <c r="B52" s="3" t="inlineStr">
        <is>
          <t>0010</t>
        </is>
      </c>
      <c r="C52" s="3" t="inlineStr">
        <is>
          <t>Lubricación programada — EQ-105</t>
        </is>
      </c>
      <c r="D52" s="3" t="inlineStr">
        <is>
          <t>Lubricación programada en EQ-105</t>
        </is>
      </c>
      <c r="E52" s="3" t="inlineStr">
        <is>
          <t>EQ-105</t>
        </is>
      </c>
      <c r="F52" s="3" t="inlineStr">
        <is>
          <t>CC-120</t>
        </is>
      </c>
      <c r="G52" s="3" t="inlineStr">
        <is>
          <t>PU-ELE</t>
        </is>
      </c>
      <c r="H52" s="3" t="inlineStr">
        <is>
          <t>ACT-02</t>
        </is>
      </c>
      <c r="I52" s="3" t="inlineStr">
        <is>
          <t>TIPO-P2</t>
        </is>
      </c>
      <c r="J52" s="11" t="n">
        <v>46219</v>
      </c>
      <c r="K52" s="3" t="n">
        <v>10</v>
      </c>
      <c r="L52" s="10" t="n">
        <v>250</v>
      </c>
      <c r="M52" s="6" t="n"/>
      <c r="N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2" s="3">
        <f>IF(tblOrdenes[[#This Row],[fecha_inicio]]="","",YEAR(tblOrdenes[[#This Row],[fecha_inicio]]))</f>
        <v/>
      </c>
      <c r="R52" s="3">
        <f>IF(tblOrdenes[[#This Row],[fecha_inicio]]="","",MONTH(tblOrdenes[[#This Row],[fecha_inicio]]))</f>
        <v/>
      </c>
      <c r="S52" s="3">
        <f>IF(tblOrdenes[[#This Row],[fecha_inicio]]="","",INDEX(lista_dias,WEEKDAY(tblOrdenes[[#This Row],[fecha_inicio]],2)))</f>
        <v/>
      </c>
      <c r="T52" s="3">
        <f>IF(tblOrdenes[[#This Row],[tipo_ot]]="","",_xlfn.XLOOKUP(tblOrdenes[[#This Row],[tipo_ot]],tblTiposOT[codigo],tblTiposOT[clasificacion],"sin_clasificar"))</f>
        <v/>
      </c>
      <c r="U52" s="3">
        <f>IF(tblOrdenes[[#This Row],[centro_costo]]="","",_xlfn.XLOOKUP(tblOrdenes[[#This Row],[centro_costo]],tblCECO[codigo],tblCECO[linea],"(sin catálogo)"))</f>
        <v/>
      </c>
      <c r="V52" s="3">
        <f>IF(tblOrdenes[[#This Row],[centro_costo]]="","",_xlfn.XLOOKUP(tblOrdenes[[#This Row],[centro_costo]],tblCECO[codigo],tblCECO[area],"(sin catálogo)"))</f>
        <v/>
      </c>
      <c r="W52" s="3">
        <f>IF(tblOrdenes[[#This Row],[centro_costo]]="","",_xlfn.XLOOKUP(tblOrdenes[[#This Row],[centro_costo]],tblCECO[codigo],tblCECO[coordinador],"(sin catálogo)"))</f>
        <v/>
      </c>
      <c r="X52" s="3">
        <f>IF(tblOrdenes[[#This Row],[puesto_trabajo]]="","",_xlfn.XLOOKUP(tblOrdenes[[#This Row],[puesto_trabajo]],tblPuestos[codigo],tblPuestos[especialidad],"(sin catálogo)"))</f>
        <v/>
      </c>
      <c r="Y52" s="3">
        <f>IF(tblOrdenes[[#This Row],[cod_actividad]]="","",_xlfn.XLOOKUP(tblOrdenes[[#This Row],[cod_actividad]],tblActividades[codigo],tblActividades[descripcion],"(sin catálogo)"))</f>
        <v/>
      </c>
      <c r="Z52" s="12">
        <f>IF(tblOrdenes[[#This Row],[fecha_inicio]]="","",TODAY()-tblOrdenes[[#This Row],[fecha_inicio]])</f>
        <v/>
      </c>
      <c r="AA52" s="3">
        <f>IF(tblOrdenes[[#This Row],[backlog_dias]]="","",IF(tblOrdenes[[#This Row],[backlog_dias]]&lt;0,"FUTURO",IF(tblOrdenes[[#This Row],[backlog_dias]]&gt;p_dias_backlog_max,"BACKLOG","MES CORRIENTE")))</f>
        <v/>
      </c>
      <c r="AB52" s="3">
        <f>IF(tblOrdenes[[#This Row],[backlog_dias]]="",FALSE,AND(tblOrdenes[[#This Row],[backlog_dias]]&gt;p_dias_backlog_min,tblOrdenes[[#This Row],[backlog_dias]]&lt;=p_dias_backlog_max))</f>
        <v/>
      </c>
      <c r="AC52" s="6" t="inlineStr">
        <is>
          <t>Técnico 05</t>
        </is>
      </c>
      <c r="AD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2" s="10">
        <f>IF(tblOrdenes[[#This Row],[orden]]="","",_xlfn.XLOOKUP(tblOrdenes[[#This Row],[id_operacion]],tblEjecucion[id_operacion],tblEjecucion[precio],0))</f>
        <v/>
      </c>
      <c r="AH52" s="10">
        <f>IF(tblOrdenes[[#This Row],[orden]]="","",MAX(0,_xlfn.XLOOKUP(tblOrdenes[[#This Row],[id_operacion]],tblEjecucion[id_operacion],tblEjecucion[costo_plan_total],0)-tblOrdenes[[#This Row],[costo_servicio]]))</f>
        <v/>
      </c>
      <c r="AI52" s="10">
        <f>IF(tblOrdenes[[#This Row],[orden]]="","",tblOrdenes[[#This Row],[costo_servicio]]+tblOrdenes[[#This Row],[costo_materiales]])</f>
        <v/>
      </c>
      <c r="AJ52" s="6" t="inlineStr"/>
      <c r="AK52" s="6" t="inlineStr"/>
      <c r="AL52" s="6" t="inlineStr">
        <is>
          <t>ACT-02.pdf</t>
        </is>
      </c>
      <c r="AM52" s="3">
        <f>IF(tblOrdenes[[#This Row],[link_checklist]]="","",HYPERLINK(p_ruta_base_checklists&amp;tblOrdenes[[#This Row],[link_checklist]],"abrir"))</f>
        <v/>
      </c>
      <c r="AN52" s="6" t="inlineStr"/>
      <c r="AO52" s="3">
        <f>IF(tblOrdenes[[#This Row],[orden]]="","",tblOrdenes[[#This Row],[orden]]&amp;IF(tblOrdenes[[#This Row],[operacion]]="","0010",tblOrdenes[[#This Row],[operacion]]))</f>
        <v/>
      </c>
    </row>
    <row r="53">
      <c r="A53" s="3" t="inlineStr">
        <is>
          <t>OT-000050</t>
        </is>
      </c>
      <c r="B53" s="3" t="inlineStr">
        <is>
          <t>0010</t>
        </is>
      </c>
      <c r="C53" s="3" t="inlineStr">
        <is>
          <t>Análisis predictivo — EQ-108</t>
        </is>
      </c>
      <c r="D53" s="3" t="inlineStr">
        <is>
          <t>Análisis predictivo en EQ-108</t>
        </is>
      </c>
      <c r="E53" s="3" t="inlineStr">
        <is>
          <t>EQ-108</t>
        </is>
      </c>
      <c r="F53" s="3" t="inlineStr">
        <is>
          <t>CC-220</t>
        </is>
      </c>
      <c r="G53" s="3" t="inlineStr">
        <is>
          <t>PU-ELE</t>
        </is>
      </c>
      <c r="H53" s="3" t="inlineStr">
        <is>
          <t>ACT-04</t>
        </is>
      </c>
      <c r="I53" s="3" t="inlineStr">
        <is>
          <t>TIPO-P1</t>
        </is>
      </c>
      <c r="J53" s="11" t="n">
        <v>46220</v>
      </c>
      <c r="K53" s="3" t="n">
        <v>8</v>
      </c>
      <c r="L53" s="10" t="n">
        <v>200</v>
      </c>
      <c r="M53" s="6" t="n"/>
      <c r="N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3" s="3">
        <f>IF(tblOrdenes[[#This Row],[fecha_inicio]]="","",YEAR(tblOrdenes[[#This Row],[fecha_inicio]]))</f>
        <v/>
      </c>
      <c r="R53" s="3">
        <f>IF(tblOrdenes[[#This Row],[fecha_inicio]]="","",MONTH(tblOrdenes[[#This Row],[fecha_inicio]]))</f>
        <v/>
      </c>
      <c r="S53" s="3">
        <f>IF(tblOrdenes[[#This Row],[fecha_inicio]]="","",INDEX(lista_dias,WEEKDAY(tblOrdenes[[#This Row],[fecha_inicio]],2)))</f>
        <v/>
      </c>
      <c r="T53" s="3">
        <f>IF(tblOrdenes[[#This Row],[tipo_ot]]="","",_xlfn.XLOOKUP(tblOrdenes[[#This Row],[tipo_ot]],tblTiposOT[codigo],tblTiposOT[clasificacion],"sin_clasificar"))</f>
        <v/>
      </c>
      <c r="U53" s="3">
        <f>IF(tblOrdenes[[#This Row],[centro_costo]]="","",_xlfn.XLOOKUP(tblOrdenes[[#This Row],[centro_costo]],tblCECO[codigo],tblCECO[linea],"(sin catálogo)"))</f>
        <v/>
      </c>
      <c r="V53" s="3">
        <f>IF(tblOrdenes[[#This Row],[centro_costo]]="","",_xlfn.XLOOKUP(tblOrdenes[[#This Row],[centro_costo]],tblCECO[codigo],tblCECO[area],"(sin catálogo)"))</f>
        <v/>
      </c>
      <c r="W53" s="3">
        <f>IF(tblOrdenes[[#This Row],[centro_costo]]="","",_xlfn.XLOOKUP(tblOrdenes[[#This Row],[centro_costo]],tblCECO[codigo],tblCECO[coordinador],"(sin catálogo)"))</f>
        <v/>
      </c>
      <c r="X53" s="3">
        <f>IF(tblOrdenes[[#This Row],[puesto_trabajo]]="","",_xlfn.XLOOKUP(tblOrdenes[[#This Row],[puesto_trabajo]],tblPuestos[codigo],tblPuestos[especialidad],"(sin catálogo)"))</f>
        <v/>
      </c>
      <c r="Y53" s="3">
        <f>IF(tblOrdenes[[#This Row],[cod_actividad]]="","",_xlfn.XLOOKUP(tblOrdenes[[#This Row],[cod_actividad]],tblActividades[codigo],tblActividades[descripcion],"(sin catálogo)"))</f>
        <v/>
      </c>
      <c r="Z53" s="12">
        <f>IF(tblOrdenes[[#This Row],[fecha_inicio]]="","",TODAY()-tblOrdenes[[#This Row],[fecha_inicio]])</f>
        <v/>
      </c>
      <c r="AA53" s="3">
        <f>IF(tblOrdenes[[#This Row],[backlog_dias]]="","",IF(tblOrdenes[[#This Row],[backlog_dias]]&lt;0,"FUTURO",IF(tblOrdenes[[#This Row],[backlog_dias]]&gt;p_dias_backlog_max,"BACKLOG","MES CORRIENTE")))</f>
        <v/>
      </c>
      <c r="AB53" s="3">
        <f>IF(tblOrdenes[[#This Row],[backlog_dias]]="",FALSE,AND(tblOrdenes[[#This Row],[backlog_dias]]&gt;p_dias_backlog_min,tblOrdenes[[#This Row],[backlog_dias]]&lt;=p_dias_backlog_max))</f>
        <v/>
      </c>
      <c r="AC53" s="6" t="inlineStr">
        <is>
          <t>Técnico 06</t>
        </is>
      </c>
      <c r="AD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3" s="10">
        <f>IF(tblOrdenes[[#This Row],[orden]]="","",_xlfn.XLOOKUP(tblOrdenes[[#This Row],[id_operacion]],tblEjecucion[id_operacion],tblEjecucion[precio],0))</f>
        <v/>
      </c>
      <c r="AH53" s="10">
        <f>IF(tblOrdenes[[#This Row],[orden]]="","",MAX(0,_xlfn.XLOOKUP(tblOrdenes[[#This Row],[id_operacion]],tblEjecucion[id_operacion],tblEjecucion[costo_plan_total],0)-tblOrdenes[[#This Row],[costo_servicio]]))</f>
        <v/>
      </c>
      <c r="AI53" s="10">
        <f>IF(tblOrdenes[[#This Row],[orden]]="","",tblOrdenes[[#This Row],[costo_servicio]]+tblOrdenes[[#This Row],[costo_materiales]])</f>
        <v/>
      </c>
      <c r="AJ53" s="6" t="inlineStr"/>
      <c r="AK53" s="6" t="inlineStr"/>
      <c r="AL53" s="6" t="inlineStr">
        <is>
          <t>ACT-04.pdf</t>
        </is>
      </c>
      <c r="AM53" s="3">
        <f>IF(tblOrdenes[[#This Row],[link_checklist]]="","",HYPERLINK(p_ruta_base_checklists&amp;tblOrdenes[[#This Row],[link_checklist]],"abrir"))</f>
        <v/>
      </c>
      <c r="AN53" s="6" t="inlineStr"/>
      <c r="AO53" s="3">
        <f>IF(tblOrdenes[[#This Row],[orden]]="","",tblOrdenes[[#This Row],[orden]]&amp;IF(tblOrdenes[[#This Row],[operacion]]="","0010",tblOrdenes[[#This Row],[operacion]]))</f>
        <v/>
      </c>
    </row>
    <row r="54">
      <c r="A54" s="3" t="inlineStr">
        <is>
          <t>OT-000051</t>
        </is>
      </c>
      <c r="B54" s="3" t="inlineStr">
        <is>
          <t>0010</t>
        </is>
      </c>
      <c r="C54" s="3" t="inlineStr">
        <is>
          <t>Inspección de rutina — EQ-102</t>
        </is>
      </c>
      <c r="D54" s="3" t="inlineStr">
        <is>
          <t>Inspección de rutina en EQ-102</t>
        </is>
      </c>
      <c r="E54" s="3" t="inlineStr">
        <is>
          <t>EQ-102</t>
        </is>
      </c>
      <c r="F54" s="3" t="inlineStr">
        <is>
          <t>CC-120</t>
        </is>
      </c>
      <c r="G54" s="3" t="inlineStr">
        <is>
          <t>PU-ELE</t>
        </is>
      </c>
      <c r="H54" s="3" t="inlineStr">
        <is>
          <t>ACT-01</t>
        </is>
      </c>
      <c r="I54" s="3" t="inlineStr">
        <is>
          <t>TIPO-P2</t>
        </is>
      </c>
      <c r="J54" s="11" t="n">
        <v>46216</v>
      </c>
      <c r="K54" s="3" t="n">
        <v>6</v>
      </c>
      <c r="L54" s="10" t="n">
        <v>150</v>
      </c>
      <c r="M54" s="6" t="n"/>
      <c r="N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4" s="3">
        <f>IF(tblOrdenes[[#This Row],[fecha_inicio]]="","",YEAR(tblOrdenes[[#This Row],[fecha_inicio]]))</f>
        <v/>
      </c>
      <c r="R54" s="3">
        <f>IF(tblOrdenes[[#This Row],[fecha_inicio]]="","",MONTH(tblOrdenes[[#This Row],[fecha_inicio]]))</f>
        <v/>
      </c>
      <c r="S54" s="3">
        <f>IF(tblOrdenes[[#This Row],[fecha_inicio]]="","",INDEX(lista_dias,WEEKDAY(tblOrdenes[[#This Row],[fecha_inicio]],2)))</f>
        <v/>
      </c>
      <c r="T54" s="3">
        <f>IF(tblOrdenes[[#This Row],[tipo_ot]]="","",_xlfn.XLOOKUP(tblOrdenes[[#This Row],[tipo_ot]],tblTiposOT[codigo],tblTiposOT[clasificacion],"sin_clasificar"))</f>
        <v/>
      </c>
      <c r="U54" s="3">
        <f>IF(tblOrdenes[[#This Row],[centro_costo]]="","",_xlfn.XLOOKUP(tblOrdenes[[#This Row],[centro_costo]],tblCECO[codigo],tblCECO[linea],"(sin catálogo)"))</f>
        <v/>
      </c>
      <c r="V54" s="3">
        <f>IF(tblOrdenes[[#This Row],[centro_costo]]="","",_xlfn.XLOOKUP(tblOrdenes[[#This Row],[centro_costo]],tblCECO[codigo],tblCECO[area],"(sin catálogo)"))</f>
        <v/>
      </c>
      <c r="W54" s="3">
        <f>IF(tblOrdenes[[#This Row],[centro_costo]]="","",_xlfn.XLOOKUP(tblOrdenes[[#This Row],[centro_costo]],tblCECO[codigo],tblCECO[coordinador],"(sin catálogo)"))</f>
        <v/>
      </c>
      <c r="X54" s="3">
        <f>IF(tblOrdenes[[#This Row],[puesto_trabajo]]="","",_xlfn.XLOOKUP(tblOrdenes[[#This Row],[puesto_trabajo]],tblPuestos[codigo],tblPuestos[especialidad],"(sin catálogo)"))</f>
        <v/>
      </c>
      <c r="Y54" s="3">
        <f>IF(tblOrdenes[[#This Row],[cod_actividad]]="","",_xlfn.XLOOKUP(tblOrdenes[[#This Row],[cod_actividad]],tblActividades[codigo],tblActividades[descripcion],"(sin catálogo)"))</f>
        <v/>
      </c>
      <c r="Z54" s="12">
        <f>IF(tblOrdenes[[#This Row],[fecha_inicio]]="","",TODAY()-tblOrdenes[[#This Row],[fecha_inicio]])</f>
        <v/>
      </c>
      <c r="AA54" s="3">
        <f>IF(tblOrdenes[[#This Row],[backlog_dias]]="","",IF(tblOrdenes[[#This Row],[backlog_dias]]&lt;0,"FUTURO",IF(tblOrdenes[[#This Row],[backlog_dias]]&gt;p_dias_backlog_max,"BACKLOG","MES CORRIENTE")))</f>
        <v/>
      </c>
      <c r="AB54" s="3">
        <f>IF(tblOrdenes[[#This Row],[backlog_dias]]="",FALSE,AND(tblOrdenes[[#This Row],[backlog_dias]]&gt;p_dias_backlog_min,tblOrdenes[[#This Row],[backlog_dias]]&lt;=p_dias_backlog_max))</f>
        <v/>
      </c>
      <c r="AC54" s="6" t="inlineStr">
        <is>
          <t>Técnico 07</t>
        </is>
      </c>
      <c r="AD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4" s="10">
        <f>IF(tblOrdenes[[#This Row],[orden]]="","",_xlfn.XLOOKUP(tblOrdenes[[#This Row],[id_operacion]],tblEjecucion[id_operacion],tblEjecucion[precio],0))</f>
        <v/>
      </c>
      <c r="AH54" s="10">
        <f>IF(tblOrdenes[[#This Row],[orden]]="","",MAX(0,_xlfn.XLOOKUP(tblOrdenes[[#This Row],[id_operacion]],tblEjecucion[id_operacion],tblEjecucion[costo_plan_total],0)-tblOrdenes[[#This Row],[costo_servicio]]))</f>
        <v/>
      </c>
      <c r="AI54" s="10">
        <f>IF(tblOrdenes[[#This Row],[orden]]="","",tblOrdenes[[#This Row],[costo_servicio]]+tblOrdenes[[#This Row],[costo_materiales]])</f>
        <v/>
      </c>
      <c r="AJ54" s="6" t="inlineStr"/>
      <c r="AK54" s="6" t="inlineStr"/>
      <c r="AL54" s="6" t="inlineStr">
        <is>
          <t>ACT-01.pdf</t>
        </is>
      </c>
      <c r="AM54" s="3">
        <f>IF(tblOrdenes[[#This Row],[link_checklist]]="","",HYPERLINK(p_ruta_base_checklists&amp;tblOrdenes[[#This Row],[link_checklist]],"abrir"))</f>
        <v/>
      </c>
      <c r="AN54" s="6" t="inlineStr"/>
      <c r="AO54" s="3">
        <f>IF(tblOrdenes[[#This Row],[orden]]="","",tblOrdenes[[#This Row],[orden]]&amp;IF(tblOrdenes[[#This Row],[operacion]]="","0010",tblOrdenes[[#This Row],[operacion]]))</f>
        <v/>
      </c>
    </row>
    <row r="55">
      <c r="A55" s="3" t="inlineStr">
        <is>
          <t>OT-000052</t>
        </is>
      </c>
      <c r="B55" s="3" t="inlineStr">
        <is>
          <t>0010</t>
        </is>
      </c>
      <c r="C55" s="3" t="inlineStr">
        <is>
          <t>Lubricación programada — EQ-106</t>
        </is>
      </c>
      <c r="D55" s="3" t="inlineStr">
        <is>
          <t>Lubricación programada en EQ-106</t>
        </is>
      </c>
      <c r="E55" s="3" t="inlineStr">
        <is>
          <t>EQ-106</t>
        </is>
      </c>
      <c r="F55" s="3" t="inlineStr">
        <is>
          <t>CC-220</t>
        </is>
      </c>
      <c r="G55" s="3" t="inlineStr">
        <is>
          <t>PU-ELE</t>
        </is>
      </c>
      <c r="H55" s="3" t="inlineStr">
        <is>
          <t>ACT-02</t>
        </is>
      </c>
      <c r="I55" s="3" t="inlineStr">
        <is>
          <t>TIPO-P1</t>
        </is>
      </c>
      <c r="J55" s="11" t="n">
        <v>46217</v>
      </c>
      <c r="K55" s="3" t="n">
        <v>10</v>
      </c>
      <c r="L55" s="10" t="n">
        <v>250</v>
      </c>
      <c r="M55" s="6" t="n"/>
      <c r="N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5" s="3">
        <f>IF(tblOrdenes[[#This Row],[fecha_inicio]]="","",YEAR(tblOrdenes[[#This Row],[fecha_inicio]]))</f>
        <v/>
      </c>
      <c r="R55" s="3">
        <f>IF(tblOrdenes[[#This Row],[fecha_inicio]]="","",MONTH(tblOrdenes[[#This Row],[fecha_inicio]]))</f>
        <v/>
      </c>
      <c r="S55" s="3">
        <f>IF(tblOrdenes[[#This Row],[fecha_inicio]]="","",INDEX(lista_dias,WEEKDAY(tblOrdenes[[#This Row],[fecha_inicio]],2)))</f>
        <v/>
      </c>
      <c r="T55" s="3">
        <f>IF(tblOrdenes[[#This Row],[tipo_ot]]="","",_xlfn.XLOOKUP(tblOrdenes[[#This Row],[tipo_ot]],tblTiposOT[codigo],tblTiposOT[clasificacion],"sin_clasificar"))</f>
        <v/>
      </c>
      <c r="U55" s="3">
        <f>IF(tblOrdenes[[#This Row],[centro_costo]]="","",_xlfn.XLOOKUP(tblOrdenes[[#This Row],[centro_costo]],tblCECO[codigo],tblCECO[linea],"(sin catálogo)"))</f>
        <v/>
      </c>
      <c r="V55" s="3">
        <f>IF(tblOrdenes[[#This Row],[centro_costo]]="","",_xlfn.XLOOKUP(tblOrdenes[[#This Row],[centro_costo]],tblCECO[codigo],tblCECO[area],"(sin catálogo)"))</f>
        <v/>
      </c>
      <c r="W55" s="3">
        <f>IF(tblOrdenes[[#This Row],[centro_costo]]="","",_xlfn.XLOOKUP(tblOrdenes[[#This Row],[centro_costo]],tblCECO[codigo],tblCECO[coordinador],"(sin catálogo)"))</f>
        <v/>
      </c>
      <c r="X55" s="3">
        <f>IF(tblOrdenes[[#This Row],[puesto_trabajo]]="","",_xlfn.XLOOKUP(tblOrdenes[[#This Row],[puesto_trabajo]],tblPuestos[codigo],tblPuestos[especialidad],"(sin catálogo)"))</f>
        <v/>
      </c>
      <c r="Y55" s="3">
        <f>IF(tblOrdenes[[#This Row],[cod_actividad]]="","",_xlfn.XLOOKUP(tblOrdenes[[#This Row],[cod_actividad]],tblActividades[codigo],tblActividades[descripcion],"(sin catálogo)"))</f>
        <v/>
      </c>
      <c r="Z55" s="12">
        <f>IF(tblOrdenes[[#This Row],[fecha_inicio]]="","",TODAY()-tblOrdenes[[#This Row],[fecha_inicio]])</f>
        <v/>
      </c>
      <c r="AA55" s="3">
        <f>IF(tblOrdenes[[#This Row],[backlog_dias]]="","",IF(tblOrdenes[[#This Row],[backlog_dias]]&lt;0,"FUTURO",IF(tblOrdenes[[#This Row],[backlog_dias]]&gt;p_dias_backlog_max,"BACKLOG","MES CORRIENTE")))</f>
        <v/>
      </c>
      <c r="AB55" s="3">
        <f>IF(tblOrdenes[[#This Row],[backlog_dias]]="",FALSE,AND(tblOrdenes[[#This Row],[backlog_dias]]&gt;p_dias_backlog_min,tblOrdenes[[#This Row],[backlog_dias]]&lt;=p_dias_backlog_max))</f>
        <v/>
      </c>
      <c r="AC55" s="6" t="inlineStr">
        <is>
          <t>Técnico 05</t>
        </is>
      </c>
      <c r="AD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5" s="10">
        <f>IF(tblOrdenes[[#This Row],[orden]]="","",_xlfn.XLOOKUP(tblOrdenes[[#This Row],[id_operacion]],tblEjecucion[id_operacion],tblEjecucion[precio],0))</f>
        <v/>
      </c>
      <c r="AH55" s="10">
        <f>IF(tblOrdenes[[#This Row],[orden]]="","",MAX(0,_xlfn.XLOOKUP(tblOrdenes[[#This Row],[id_operacion]],tblEjecucion[id_operacion],tblEjecucion[costo_plan_total],0)-tblOrdenes[[#This Row],[costo_servicio]]))</f>
        <v/>
      </c>
      <c r="AI55" s="10">
        <f>IF(tblOrdenes[[#This Row],[orden]]="","",tblOrdenes[[#This Row],[costo_servicio]]+tblOrdenes[[#This Row],[costo_materiales]])</f>
        <v/>
      </c>
      <c r="AJ55" s="6" t="inlineStr"/>
      <c r="AK55" s="6" t="inlineStr"/>
      <c r="AL55" s="6" t="inlineStr">
        <is>
          <t>ACT-02.pdf</t>
        </is>
      </c>
      <c r="AM55" s="3">
        <f>IF(tblOrdenes[[#This Row],[link_checklist]]="","",HYPERLINK(p_ruta_base_checklists&amp;tblOrdenes[[#This Row],[link_checklist]],"abrir"))</f>
        <v/>
      </c>
      <c r="AN55" s="6" t="inlineStr"/>
      <c r="AO55" s="3">
        <f>IF(tblOrdenes[[#This Row],[orden]]="","",tblOrdenes[[#This Row],[orden]]&amp;IF(tblOrdenes[[#This Row],[operacion]]="","0010",tblOrdenes[[#This Row],[operacion]]))</f>
        <v/>
      </c>
    </row>
    <row r="56">
      <c r="A56" s="3" t="inlineStr">
        <is>
          <t>OT-000053</t>
        </is>
      </c>
      <c r="B56" s="3" t="inlineStr">
        <is>
          <t>0010</t>
        </is>
      </c>
      <c r="C56" s="3" t="inlineStr">
        <is>
          <t>Análisis predictivo — EQ-104</t>
        </is>
      </c>
      <c r="D56" s="3" t="inlineStr">
        <is>
          <t>Análisis predictivo en EQ-104</t>
        </is>
      </c>
      <c r="E56" s="3" t="inlineStr">
        <is>
          <t>EQ-104</t>
        </is>
      </c>
      <c r="F56" s="3" t="inlineStr">
        <is>
          <t>CC-120</t>
        </is>
      </c>
      <c r="G56" s="3" t="inlineStr">
        <is>
          <t>PU-ELE</t>
        </is>
      </c>
      <c r="H56" s="3" t="inlineStr">
        <is>
          <t>ACT-04</t>
        </is>
      </c>
      <c r="I56" s="3" t="inlineStr">
        <is>
          <t>TIPO-P2</t>
        </is>
      </c>
      <c r="J56" s="11" t="n">
        <v>46218</v>
      </c>
      <c r="K56" s="3" t="n">
        <v>8</v>
      </c>
      <c r="L56" s="10" t="n">
        <v>200</v>
      </c>
      <c r="M56" s="6" t="n"/>
      <c r="N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6" s="3">
        <f>IF(tblOrdenes[[#This Row],[fecha_inicio]]="","",YEAR(tblOrdenes[[#This Row],[fecha_inicio]]))</f>
        <v/>
      </c>
      <c r="R56" s="3">
        <f>IF(tblOrdenes[[#This Row],[fecha_inicio]]="","",MONTH(tblOrdenes[[#This Row],[fecha_inicio]]))</f>
        <v/>
      </c>
      <c r="S56" s="3">
        <f>IF(tblOrdenes[[#This Row],[fecha_inicio]]="","",INDEX(lista_dias,WEEKDAY(tblOrdenes[[#This Row],[fecha_inicio]],2)))</f>
        <v/>
      </c>
      <c r="T56" s="3">
        <f>IF(tblOrdenes[[#This Row],[tipo_ot]]="","",_xlfn.XLOOKUP(tblOrdenes[[#This Row],[tipo_ot]],tblTiposOT[codigo],tblTiposOT[clasificacion],"sin_clasificar"))</f>
        <v/>
      </c>
      <c r="U56" s="3">
        <f>IF(tblOrdenes[[#This Row],[centro_costo]]="","",_xlfn.XLOOKUP(tblOrdenes[[#This Row],[centro_costo]],tblCECO[codigo],tblCECO[linea],"(sin catálogo)"))</f>
        <v/>
      </c>
      <c r="V56" s="3">
        <f>IF(tblOrdenes[[#This Row],[centro_costo]]="","",_xlfn.XLOOKUP(tblOrdenes[[#This Row],[centro_costo]],tblCECO[codigo],tblCECO[area],"(sin catálogo)"))</f>
        <v/>
      </c>
      <c r="W56" s="3">
        <f>IF(tblOrdenes[[#This Row],[centro_costo]]="","",_xlfn.XLOOKUP(tblOrdenes[[#This Row],[centro_costo]],tblCECO[codigo],tblCECO[coordinador],"(sin catálogo)"))</f>
        <v/>
      </c>
      <c r="X56" s="3">
        <f>IF(tblOrdenes[[#This Row],[puesto_trabajo]]="","",_xlfn.XLOOKUP(tblOrdenes[[#This Row],[puesto_trabajo]],tblPuestos[codigo],tblPuestos[especialidad],"(sin catálogo)"))</f>
        <v/>
      </c>
      <c r="Y56" s="3">
        <f>IF(tblOrdenes[[#This Row],[cod_actividad]]="","",_xlfn.XLOOKUP(tblOrdenes[[#This Row],[cod_actividad]],tblActividades[codigo],tblActividades[descripcion],"(sin catálogo)"))</f>
        <v/>
      </c>
      <c r="Z56" s="12">
        <f>IF(tblOrdenes[[#This Row],[fecha_inicio]]="","",TODAY()-tblOrdenes[[#This Row],[fecha_inicio]])</f>
        <v/>
      </c>
      <c r="AA56" s="3">
        <f>IF(tblOrdenes[[#This Row],[backlog_dias]]="","",IF(tblOrdenes[[#This Row],[backlog_dias]]&lt;0,"FUTURO",IF(tblOrdenes[[#This Row],[backlog_dias]]&gt;p_dias_backlog_max,"BACKLOG","MES CORRIENTE")))</f>
        <v/>
      </c>
      <c r="AB56" s="3">
        <f>IF(tblOrdenes[[#This Row],[backlog_dias]]="",FALSE,AND(tblOrdenes[[#This Row],[backlog_dias]]&gt;p_dias_backlog_min,tblOrdenes[[#This Row],[backlog_dias]]&lt;=p_dias_backlog_max))</f>
        <v/>
      </c>
      <c r="AC56" s="6" t="inlineStr">
        <is>
          <t>Técnico 06</t>
        </is>
      </c>
      <c r="AD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6" s="10">
        <f>IF(tblOrdenes[[#This Row],[orden]]="","",_xlfn.XLOOKUP(tblOrdenes[[#This Row],[id_operacion]],tblEjecucion[id_operacion],tblEjecucion[precio],0))</f>
        <v/>
      </c>
      <c r="AH56" s="10">
        <f>IF(tblOrdenes[[#This Row],[orden]]="","",MAX(0,_xlfn.XLOOKUP(tblOrdenes[[#This Row],[id_operacion]],tblEjecucion[id_operacion],tblEjecucion[costo_plan_total],0)-tblOrdenes[[#This Row],[costo_servicio]]))</f>
        <v/>
      </c>
      <c r="AI56" s="10">
        <f>IF(tblOrdenes[[#This Row],[orden]]="","",tblOrdenes[[#This Row],[costo_servicio]]+tblOrdenes[[#This Row],[costo_materiales]])</f>
        <v/>
      </c>
      <c r="AJ56" s="6" t="inlineStr"/>
      <c r="AK56" s="6" t="inlineStr"/>
      <c r="AL56" s="6" t="inlineStr">
        <is>
          <t>ACT-04.pdf</t>
        </is>
      </c>
      <c r="AM56" s="3">
        <f>IF(tblOrdenes[[#This Row],[link_checklist]]="","",HYPERLINK(p_ruta_base_checklists&amp;tblOrdenes[[#This Row],[link_checklist]],"abrir"))</f>
        <v/>
      </c>
      <c r="AN56" s="6" t="inlineStr"/>
      <c r="AO56" s="3">
        <f>IF(tblOrdenes[[#This Row],[orden]]="","",tblOrdenes[[#This Row],[orden]]&amp;IF(tblOrdenes[[#This Row],[operacion]]="","0010",tblOrdenes[[#This Row],[operacion]]))</f>
        <v/>
      </c>
    </row>
    <row r="57">
      <c r="A57" s="3" t="inlineStr">
        <is>
          <t>OT-000054</t>
        </is>
      </c>
      <c r="B57" s="3" t="inlineStr">
        <is>
          <t>0010</t>
        </is>
      </c>
      <c r="C57" s="3" t="inlineStr">
        <is>
          <t>Inspección de rutina — EQ-108</t>
        </is>
      </c>
      <c r="D57" s="3" t="inlineStr">
        <is>
          <t>Inspección de rutina en EQ-108</t>
        </is>
      </c>
      <c r="E57" s="3" t="inlineStr">
        <is>
          <t>EQ-108</t>
        </is>
      </c>
      <c r="F57" s="3" t="inlineStr">
        <is>
          <t>CC-220</t>
        </is>
      </c>
      <c r="G57" s="3" t="inlineStr">
        <is>
          <t>PU-ELE</t>
        </is>
      </c>
      <c r="H57" s="3" t="inlineStr">
        <is>
          <t>ACT-01</t>
        </is>
      </c>
      <c r="I57" s="3" t="inlineStr">
        <is>
          <t>TIPO-P1</t>
        </is>
      </c>
      <c r="J57" s="11" t="n">
        <v>46219</v>
      </c>
      <c r="K57" s="3" t="n">
        <v>6</v>
      </c>
      <c r="L57" s="10" t="n">
        <v>150</v>
      </c>
      <c r="M57" s="6" t="n"/>
      <c r="N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7" s="3">
        <f>IF(tblOrdenes[[#This Row],[fecha_inicio]]="","",YEAR(tblOrdenes[[#This Row],[fecha_inicio]]))</f>
        <v/>
      </c>
      <c r="R57" s="3">
        <f>IF(tblOrdenes[[#This Row],[fecha_inicio]]="","",MONTH(tblOrdenes[[#This Row],[fecha_inicio]]))</f>
        <v/>
      </c>
      <c r="S57" s="3">
        <f>IF(tblOrdenes[[#This Row],[fecha_inicio]]="","",INDEX(lista_dias,WEEKDAY(tblOrdenes[[#This Row],[fecha_inicio]],2)))</f>
        <v/>
      </c>
      <c r="T57" s="3">
        <f>IF(tblOrdenes[[#This Row],[tipo_ot]]="","",_xlfn.XLOOKUP(tblOrdenes[[#This Row],[tipo_ot]],tblTiposOT[codigo],tblTiposOT[clasificacion],"sin_clasificar"))</f>
        <v/>
      </c>
      <c r="U57" s="3">
        <f>IF(tblOrdenes[[#This Row],[centro_costo]]="","",_xlfn.XLOOKUP(tblOrdenes[[#This Row],[centro_costo]],tblCECO[codigo],tblCECO[linea],"(sin catálogo)"))</f>
        <v/>
      </c>
      <c r="V57" s="3">
        <f>IF(tblOrdenes[[#This Row],[centro_costo]]="","",_xlfn.XLOOKUP(tblOrdenes[[#This Row],[centro_costo]],tblCECO[codigo],tblCECO[area],"(sin catálogo)"))</f>
        <v/>
      </c>
      <c r="W57" s="3">
        <f>IF(tblOrdenes[[#This Row],[centro_costo]]="","",_xlfn.XLOOKUP(tblOrdenes[[#This Row],[centro_costo]],tblCECO[codigo],tblCECO[coordinador],"(sin catálogo)"))</f>
        <v/>
      </c>
      <c r="X57" s="3">
        <f>IF(tblOrdenes[[#This Row],[puesto_trabajo]]="","",_xlfn.XLOOKUP(tblOrdenes[[#This Row],[puesto_trabajo]],tblPuestos[codigo],tblPuestos[especialidad],"(sin catálogo)"))</f>
        <v/>
      </c>
      <c r="Y57" s="3">
        <f>IF(tblOrdenes[[#This Row],[cod_actividad]]="","",_xlfn.XLOOKUP(tblOrdenes[[#This Row],[cod_actividad]],tblActividades[codigo],tblActividades[descripcion],"(sin catálogo)"))</f>
        <v/>
      </c>
      <c r="Z57" s="12">
        <f>IF(tblOrdenes[[#This Row],[fecha_inicio]]="","",TODAY()-tblOrdenes[[#This Row],[fecha_inicio]])</f>
        <v/>
      </c>
      <c r="AA57" s="3">
        <f>IF(tblOrdenes[[#This Row],[backlog_dias]]="","",IF(tblOrdenes[[#This Row],[backlog_dias]]&lt;0,"FUTURO",IF(tblOrdenes[[#This Row],[backlog_dias]]&gt;p_dias_backlog_max,"BACKLOG","MES CORRIENTE")))</f>
        <v/>
      </c>
      <c r="AB57" s="3">
        <f>IF(tblOrdenes[[#This Row],[backlog_dias]]="",FALSE,AND(tblOrdenes[[#This Row],[backlog_dias]]&gt;p_dias_backlog_min,tblOrdenes[[#This Row],[backlog_dias]]&lt;=p_dias_backlog_max))</f>
        <v/>
      </c>
      <c r="AC57" s="6" t="inlineStr">
        <is>
          <t>Técnico 07</t>
        </is>
      </c>
      <c r="AD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7" s="10">
        <f>IF(tblOrdenes[[#This Row],[orden]]="","",_xlfn.XLOOKUP(tblOrdenes[[#This Row],[id_operacion]],tblEjecucion[id_operacion],tblEjecucion[precio],0))</f>
        <v/>
      </c>
      <c r="AH57" s="10">
        <f>IF(tblOrdenes[[#This Row],[orden]]="","",MAX(0,_xlfn.XLOOKUP(tblOrdenes[[#This Row],[id_operacion]],tblEjecucion[id_operacion],tblEjecucion[costo_plan_total],0)-tblOrdenes[[#This Row],[costo_servicio]]))</f>
        <v/>
      </c>
      <c r="AI57" s="10">
        <f>IF(tblOrdenes[[#This Row],[orden]]="","",tblOrdenes[[#This Row],[costo_servicio]]+tblOrdenes[[#This Row],[costo_materiales]])</f>
        <v/>
      </c>
      <c r="AJ57" s="6" t="inlineStr"/>
      <c r="AK57" s="6" t="inlineStr"/>
      <c r="AL57" s="6" t="inlineStr">
        <is>
          <t>ACT-01.pdf</t>
        </is>
      </c>
      <c r="AM57" s="3">
        <f>IF(tblOrdenes[[#This Row],[link_checklist]]="","",HYPERLINK(p_ruta_base_checklists&amp;tblOrdenes[[#This Row],[link_checklist]],"abrir"))</f>
        <v/>
      </c>
      <c r="AN57" s="6" t="inlineStr"/>
      <c r="AO57" s="3">
        <f>IF(tblOrdenes[[#This Row],[orden]]="","",tblOrdenes[[#This Row],[orden]]&amp;IF(tblOrdenes[[#This Row],[operacion]]="","0010",tblOrdenes[[#This Row],[operacion]]))</f>
        <v/>
      </c>
    </row>
    <row r="58">
      <c r="A58" s="3" t="inlineStr">
        <is>
          <t>OT-000055</t>
        </is>
      </c>
      <c r="B58" s="3" t="inlineStr">
        <is>
          <t>0010</t>
        </is>
      </c>
      <c r="C58" s="3" t="inlineStr">
        <is>
          <t>Lubricación programada — EQ-101</t>
        </is>
      </c>
      <c r="D58" s="3" t="inlineStr">
        <is>
          <t>Lubricación programada en EQ-101</t>
        </is>
      </c>
      <c r="E58" s="3" t="inlineStr">
        <is>
          <t>EQ-101</t>
        </is>
      </c>
      <c r="F58" s="3" t="inlineStr">
        <is>
          <t>CC-120</t>
        </is>
      </c>
      <c r="G58" s="3" t="inlineStr">
        <is>
          <t>PU-ELE</t>
        </is>
      </c>
      <c r="H58" s="3" t="inlineStr">
        <is>
          <t>ACT-02</t>
        </is>
      </c>
      <c r="I58" s="3" t="inlineStr">
        <is>
          <t>TIPO-P2</t>
        </is>
      </c>
      <c r="J58" s="11" t="n">
        <v>46220</v>
      </c>
      <c r="K58" s="3" t="n">
        <v>10</v>
      </c>
      <c r="L58" s="10" t="n">
        <v>250</v>
      </c>
      <c r="M58" s="6" t="n"/>
      <c r="N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8" s="3">
        <f>IF(tblOrdenes[[#This Row],[fecha_inicio]]="","",YEAR(tblOrdenes[[#This Row],[fecha_inicio]]))</f>
        <v/>
      </c>
      <c r="R58" s="3">
        <f>IF(tblOrdenes[[#This Row],[fecha_inicio]]="","",MONTH(tblOrdenes[[#This Row],[fecha_inicio]]))</f>
        <v/>
      </c>
      <c r="S58" s="3">
        <f>IF(tblOrdenes[[#This Row],[fecha_inicio]]="","",INDEX(lista_dias,WEEKDAY(tblOrdenes[[#This Row],[fecha_inicio]],2)))</f>
        <v/>
      </c>
      <c r="T58" s="3">
        <f>IF(tblOrdenes[[#This Row],[tipo_ot]]="","",_xlfn.XLOOKUP(tblOrdenes[[#This Row],[tipo_ot]],tblTiposOT[codigo],tblTiposOT[clasificacion],"sin_clasificar"))</f>
        <v/>
      </c>
      <c r="U58" s="3">
        <f>IF(tblOrdenes[[#This Row],[centro_costo]]="","",_xlfn.XLOOKUP(tblOrdenes[[#This Row],[centro_costo]],tblCECO[codigo],tblCECO[linea],"(sin catálogo)"))</f>
        <v/>
      </c>
      <c r="V58" s="3">
        <f>IF(tblOrdenes[[#This Row],[centro_costo]]="","",_xlfn.XLOOKUP(tblOrdenes[[#This Row],[centro_costo]],tblCECO[codigo],tblCECO[area],"(sin catálogo)"))</f>
        <v/>
      </c>
      <c r="W58" s="3">
        <f>IF(tblOrdenes[[#This Row],[centro_costo]]="","",_xlfn.XLOOKUP(tblOrdenes[[#This Row],[centro_costo]],tblCECO[codigo],tblCECO[coordinador],"(sin catálogo)"))</f>
        <v/>
      </c>
      <c r="X58" s="3">
        <f>IF(tblOrdenes[[#This Row],[puesto_trabajo]]="","",_xlfn.XLOOKUP(tblOrdenes[[#This Row],[puesto_trabajo]],tblPuestos[codigo],tblPuestos[especialidad],"(sin catálogo)"))</f>
        <v/>
      </c>
      <c r="Y58" s="3">
        <f>IF(tblOrdenes[[#This Row],[cod_actividad]]="","",_xlfn.XLOOKUP(tblOrdenes[[#This Row],[cod_actividad]],tblActividades[codigo],tblActividades[descripcion],"(sin catálogo)"))</f>
        <v/>
      </c>
      <c r="Z58" s="12">
        <f>IF(tblOrdenes[[#This Row],[fecha_inicio]]="","",TODAY()-tblOrdenes[[#This Row],[fecha_inicio]])</f>
        <v/>
      </c>
      <c r="AA58" s="3">
        <f>IF(tblOrdenes[[#This Row],[backlog_dias]]="","",IF(tblOrdenes[[#This Row],[backlog_dias]]&lt;0,"FUTURO",IF(tblOrdenes[[#This Row],[backlog_dias]]&gt;p_dias_backlog_max,"BACKLOG","MES CORRIENTE")))</f>
        <v/>
      </c>
      <c r="AB58" s="3">
        <f>IF(tblOrdenes[[#This Row],[backlog_dias]]="",FALSE,AND(tblOrdenes[[#This Row],[backlog_dias]]&gt;p_dias_backlog_min,tblOrdenes[[#This Row],[backlog_dias]]&lt;=p_dias_backlog_max))</f>
        <v/>
      </c>
      <c r="AC58" s="6" t="inlineStr">
        <is>
          <t>Técnico 05</t>
        </is>
      </c>
      <c r="AD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8" s="10">
        <f>IF(tblOrdenes[[#This Row],[orden]]="","",_xlfn.XLOOKUP(tblOrdenes[[#This Row],[id_operacion]],tblEjecucion[id_operacion],tblEjecucion[precio],0))</f>
        <v/>
      </c>
      <c r="AH58" s="10">
        <f>IF(tblOrdenes[[#This Row],[orden]]="","",MAX(0,_xlfn.XLOOKUP(tblOrdenes[[#This Row],[id_operacion]],tblEjecucion[id_operacion],tblEjecucion[costo_plan_total],0)-tblOrdenes[[#This Row],[costo_servicio]]))</f>
        <v/>
      </c>
      <c r="AI58" s="10">
        <f>IF(tblOrdenes[[#This Row],[orden]]="","",tblOrdenes[[#This Row],[costo_servicio]]+tblOrdenes[[#This Row],[costo_materiales]])</f>
        <v/>
      </c>
      <c r="AJ58" s="6" t="inlineStr"/>
      <c r="AK58" s="6" t="inlineStr"/>
      <c r="AL58" s="6" t="inlineStr">
        <is>
          <t>ACT-02.pdf</t>
        </is>
      </c>
      <c r="AM58" s="3">
        <f>IF(tblOrdenes[[#This Row],[link_checklist]]="","",HYPERLINK(p_ruta_base_checklists&amp;tblOrdenes[[#This Row],[link_checklist]],"abrir"))</f>
        <v/>
      </c>
      <c r="AN58" s="6" t="inlineStr"/>
      <c r="AO58" s="3">
        <f>IF(tblOrdenes[[#This Row],[orden]]="","",tblOrdenes[[#This Row],[orden]]&amp;IF(tblOrdenes[[#This Row],[operacion]]="","0010",tblOrdenes[[#This Row],[operacion]]))</f>
        <v/>
      </c>
    </row>
    <row r="59">
      <c r="A59" s="3" t="inlineStr">
        <is>
          <t>OT-000056</t>
        </is>
      </c>
      <c r="B59" s="3" t="inlineStr">
        <is>
          <t>0010</t>
        </is>
      </c>
      <c r="C59" s="3" t="inlineStr">
        <is>
          <t>Análisis predictivo — EQ-106</t>
        </is>
      </c>
      <c r="D59" s="3" t="inlineStr">
        <is>
          <t>Análisis predictivo en EQ-106</t>
        </is>
      </c>
      <c r="E59" s="3" t="inlineStr">
        <is>
          <t>EQ-106</t>
        </is>
      </c>
      <c r="F59" s="3" t="inlineStr">
        <is>
          <t>CC-220</t>
        </is>
      </c>
      <c r="G59" s="3" t="inlineStr">
        <is>
          <t>PU-ELE</t>
        </is>
      </c>
      <c r="H59" s="3" t="inlineStr">
        <is>
          <t>ACT-04</t>
        </is>
      </c>
      <c r="I59" s="3" t="inlineStr">
        <is>
          <t>TIPO-P1</t>
        </is>
      </c>
      <c r="J59" s="11" t="n">
        <v>46216</v>
      </c>
      <c r="K59" s="3" t="n">
        <v>2</v>
      </c>
      <c r="L59" s="10" t="n">
        <v>50</v>
      </c>
      <c r="M59" s="6" t="n"/>
      <c r="N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9" s="3">
        <f>IF(tblOrdenes[[#This Row],[fecha_inicio]]="","",YEAR(tblOrdenes[[#This Row],[fecha_inicio]]))</f>
        <v/>
      </c>
      <c r="R59" s="3">
        <f>IF(tblOrdenes[[#This Row],[fecha_inicio]]="","",MONTH(tblOrdenes[[#This Row],[fecha_inicio]]))</f>
        <v/>
      </c>
      <c r="S59" s="3">
        <f>IF(tblOrdenes[[#This Row],[fecha_inicio]]="","",INDEX(lista_dias,WEEKDAY(tblOrdenes[[#This Row],[fecha_inicio]],2)))</f>
        <v/>
      </c>
      <c r="T59" s="3">
        <f>IF(tblOrdenes[[#This Row],[tipo_ot]]="","",_xlfn.XLOOKUP(tblOrdenes[[#This Row],[tipo_ot]],tblTiposOT[codigo],tblTiposOT[clasificacion],"sin_clasificar"))</f>
        <v/>
      </c>
      <c r="U59" s="3">
        <f>IF(tblOrdenes[[#This Row],[centro_costo]]="","",_xlfn.XLOOKUP(tblOrdenes[[#This Row],[centro_costo]],tblCECO[codigo],tblCECO[linea],"(sin catálogo)"))</f>
        <v/>
      </c>
      <c r="V59" s="3">
        <f>IF(tblOrdenes[[#This Row],[centro_costo]]="","",_xlfn.XLOOKUP(tblOrdenes[[#This Row],[centro_costo]],tblCECO[codigo],tblCECO[area],"(sin catálogo)"))</f>
        <v/>
      </c>
      <c r="W59" s="3">
        <f>IF(tblOrdenes[[#This Row],[centro_costo]]="","",_xlfn.XLOOKUP(tblOrdenes[[#This Row],[centro_costo]],tblCECO[codigo],tblCECO[coordinador],"(sin catálogo)"))</f>
        <v/>
      </c>
      <c r="X59" s="3">
        <f>IF(tblOrdenes[[#This Row],[puesto_trabajo]]="","",_xlfn.XLOOKUP(tblOrdenes[[#This Row],[puesto_trabajo]],tblPuestos[codigo],tblPuestos[especialidad],"(sin catálogo)"))</f>
        <v/>
      </c>
      <c r="Y59" s="3">
        <f>IF(tblOrdenes[[#This Row],[cod_actividad]]="","",_xlfn.XLOOKUP(tblOrdenes[[#This Row],[cod_actividad]],tblActividades[codigo],tblActividades[descripcion],"(sin catálogo)"))</f>
        <v/>
      </c>
      <c r="Z59" s="12">
        <f>IF(tblOrdenes[[#This Row],[fecha_inicio]]="","",TODAY()-tblOrdenes[[#This Row],[fecha_inicio]])</f>
        <v/>
      </c>
      <c r="AA59" s="3">
        <f>IF(tblOrdenes[[#This Row],[backlog_dias]]="","",IF(tblOrdenes[[#This Row],[backlog_dias]]&lt;0,"FUTURO",IF(tblOrdenes[[#This Row],[backlog_dias]]&gt;p_dias_backlog_max,"BACKLOG","MES CORRIENTE")))</f>
        <v/>
      </c>
      <c r="AB59" s="3">
        <f>IF(tblOrdenes[[#This Row],[backlog_dias]]="",FALSE,AND(tblOrdenes[[#This Row],[backlog_dias]]&gt;p_dias_backlog_min,tblOrdenes[[#This Row],[backlog_dias]]&lt;=p_dias_backlog_max))</f>
        <v/>
      </c>
      <c r="AC59" s="6" t="inlineStr">
        <is>
          <t>Técnico 06</t>
        </is>
      </c>
      <c r="AD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9" s="10">
        <f>IF(tblOrdenes[[#This Row],[orden]]="","",_xlfn.XLOOKUP(tblOrdenes[[#This Row],[id_operacion]],tblEjecucion[id_operacion],tblEjecucion[precio],0))</f>
        <v/>
      </c>
      <c r="AH59" s="10">
        <f>IF(tblOrdenes[[#This Row],[orden]]="","",MAX(0,_xlfn.XLOOKUP(tblOrdenes[[#This Row],[id_operacion]],tblEjecucion[id_operacion],tblEjecucion[costo_plan_total],0)-tblOrdenes[[#This Row],[costo_servicio]]))</f>
        <v/>
      </c>
      <c r="AI59" s="10">
        <f>IF(tblOrdenes[[#This Row],[orden]]="","",tblOrdenes[[#This Row],[costo_servicio]]+tblOrdenes[[#This Row],[costo_materiales]])</f>
        <v/>
      </c>
      <c r="AJ59" s="6" t="inlineStr"/>
      <c r="AK59" s="6" t="inlineStr"/>
      <c r="AL59" s="6" t="inlineStr">
        <is>
          <t>ACT-04.pdf</t>
        </is>
      </c>
      <c r="AM59" s="3">
        <f>IF(tblOrdenes[[#This Row],[link_checklist]]="","",HYPERLINK(p_ruta_base_checklists&amp;tblOrdenes[[#This Row],[link_checklist]],"abrir"))</f>
        <v/>
      </c>
      <c r="AN59" s="6" t="inlineStr"/>
      <c r="AO59" s="3">
        <f>IF(tblOrdenes[[#This Row],[orden]]="","",tblOrdenes[[#This Row],[orden]]&amp;IF(tblOrdenes[[#This Row],[operacion]]="","0010",tblOrdenes[[#This Row],[operacion]]))</f>
        <v/>
      </c>
    </row>
    <row r="60">
      <c r="A60" s="3" t="inlineStr">
        <is>
          <t>OT-000057</t>
        </is>
      </c>
      <c r="B60" s="3" t="inlineStr">
        <is>
          <t>0010</t>
        </is>
      </c>
      <c r="C60" s="3" t="inlineStr">
        <is>
          <t>Reparación de falla — EQ-103</t>
        </is>
      </c>
      <c r="D60" s="3" t="inlineStr">
        <is>
          <t>Reparación de falla en EQ-103</t>
        </is>
      </c>
      <c r="E60" s="3" t="inlineStr">
        <is>
          <t>EQ-103</t>
        </is>
      </c>
      <c r="F60" s="3" t="inlineStr">
        <is>
          <t>CC-120</t>
        </is>
      </c>
      <c r="G60" s="3" t="inlineStr">
        <is>
          <t>PU-ELE</t>
        </is>
      </c>
      <c r="H60" s="3" t="inlineStr">
        <is>
          <t>ACT-03</t>
        </is>
      </c>
      <c r="I60" s="3" t="inlineStr">
        <is>
          <t>TIPO-C2</t>
        </is>
      </c>
      <c r="J60" s="11" t="n">
        <v>46217</v>
      </c>
      <c r="K60" s="3" t="n">
        <v>10</v>
      </c>
      <c r="L60" s="10" t="n">
        <v>400</v>
      </c>
      <c r="M60" s="6" t="n"/>
      <c r="N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0" s="3">
        <f>IF(tblOrdenes[[#This Row],[fecha_inicio]]="","",YEAR(tblOrdenes[[#This Row],[fecha_inicio]]))</f>
        <v/>
      </c>
      <c r="R60" s="3">
        <f>IF(tblOrdenes[[#This Row],[fecha_inicio]]="","",MONTH(tblOrdenes[[#This Row],[fecha_inicio]]))</f>
        <v/>
      </c>
      <c r="S60" s="3">
        <f>IF(tblOrdenes[[#This Row],[fecha_inicio]]="","",INDEX(lista_dias,WEEKDAY(tblOrdenes[[#This Row],[fecha_inicio]],2)))</f>
        <v/>
      </c>
      <c r="T60" s="3">
        <f>IF(tblOrdenes[[#This Row],[tipo_ot]]="","",_xlfn.XLOOKUP(tblOrdenes[[#This Row],[tipo_ot]],tblTiposOT[codigo],tblTiposOT[clasificacion],"sin_clasificar"))</f>
        <v/>
      </c>
      <c r="U60" s="3">
        <f>IF(tblOrdenes[[#This Row],[centro_costo]]="","",_xlfn.XLOOKUP(tblOrdenes[[#This Row],[centro_costo]],tblCECO[codigo],tblCECO[linea],"(sin catálogo)"))</f>
        <v/>
      </c>
      <c r="V60" s="3">
        <f>IF(tblOrdenes[[#This Row],[centro_costo]]="","",_xlfn.XLOOKUP(tblOrdenes[[#This Row],[centro_costo]],tblCECO[codigo],tblCECO[area],"(sin catálogo)"))</f>
        <v/>
      </c>
      <c r="W60" s="3">
        <f>IF(tblOrdenes[[#This Row],[centro_costo]]="","",_xlfn.XLOOKUP(tblOrdenes[[#This Row],[centro_costo]],tblCECO[codigo],tblCECO[coordinador],"(sin catálogo)"))</f>
        <v/>
      </c>
      <c r="X60" s="3">
        <f>IF(tblOrdenes[[#This Row],[puesto_trabajo]]="","",_xlfn.XLOOKUP(tblOrdenes[[#This Row],[puesto_trabajo]],tblPuestos[codigo],tblPuestos[especialidad],"(sin catálogo)"))</f>
        <v/>
      </c>
      <c r="Y60" s="3">
        <f>IF(tblOrdenes[[#This Row],[cod_actividad]]="","",_xlfn.XLOOKUP(tblOrdenes[[#This Row],[cod_actividad]],tblActividades[codigo],tblActividades[descripcion],"(sin catálogo)"))</f>
        <v/>
      </c>
      <c r="Z60" s="12">
        <f>IF(tblOrdenes[[#This Row],[fecha_inicio]]="","",TODAY()-tblOrdenes[[#This Row],[fecha_inicio]])</f>
        <v/>
      </c>
      <c r="AA60" s="3">
        <f>IF(tblOrdenes[[#This Row],[backlog_dias]]="","",IF(tblOrdenes[[#This Row],[backlog_dias]]&lt;0,"FUTURO",IF(tblOrdenes[[#This Row],[backlog_dias]]&gt;p_dias_backlog_max,"BACKLOG","MES CORRIENTE")))</f>
        <v/>
      </c>
      <c r="AB60" s="3">
        <f>IF(tblOrdenes[[#This Row],[backlog_dias]]="",FALSE,AND(tblOrdenes[[#This Row],[backlog_dias]]&gt;p_dias_backlog_min,tblOrdenes[[#This Row],[backlog_dias]]&lt;=p_dias_backlog_max))</f>
        <v/>
      </c>
      <c r="AC60" s="6" t="inlineStr">
        <is>
          <t>Técnico 07</t>
        </is>
      </c>
      <c r="AD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0" s="10">
        <f>IF(tblOrdenes[[#This Row],[orden]]="","",_xlfn.XLOOKUP(tblOrdenes[[#This Row],[id_operacion]],tblEjecucion[id_operacion],tblEjecucion[precio],0))</f>
        <v/>
      </c>
      <c r="AH60" s="10">
        <f>IF(tblOrdenes[[#This Row],[orden]]="","",MAX(0,_xlfn.XLOOKUP(tblOrdenes[[#This Row],[id_operacion]],tblEjecucion[id_operacion],tblEjecucion[costo_plan_total],0)-tblOrdenes[[#This Row],[costo_servicio]]))</f>
        <v/>
      </c>
      <c r="AI60" s="10">
        <f>IF(tblOrdenes[[#This Row],[orden]]="","",tblOrdenes[[#This Row],[costo_servicio]]+tblOrdenes[[#This Row],[costo_materiales]])</f>
        <v/>
      </c>
      <c r="AJ60" s="6" t="inlineStr"/>
      <c r="AK60" s="6" t="inlineStr"/>
      <c r="AL60" s="6" t="inlineStr"/>
      <c r="AM60" s="3">
        <f>IF(tblOrdenes[[#This Row],[link_checklist]]="","",HYPERLINK(p_ruta_base_checklists&amp;tblOrdenes[[#This Row],[link_checklist]],"abrir"))</f>
        <v/>
      </c>
      <c r="AN60" s="6" t="inlineStr"/>
      <c r="AO60" s="3">
        <f>IF(tblOrdenes[[#This Row],[orden]]="","",tblOrdenes[[#This Row],[orden]]&amp;IF(tblOrdenes[[#This Row],[operacion]]="","0010",tblOrdenes[[#This Row],[operacion]]))</f>
        <v/>
      </c>
    </row>
    <row r="61">
      <c r="A61" s="3" t="inlineStr">
        <is>
          <t>OT-000058</t>
        </is>
      </c>
      <c r="B61" s="3" t="inlineStr">
        <is>
          <t>0010</t>
        </is>
      </c>
      <c r="C61" s="3" t="inlineStr">
        <is>
          <t>Reparación de falla — EQ-108</t>
        </is>
      </c>
      <c r="D61" s="3" t="inlineStr">
        <is>
          <t>Reparación de falla en EQ-108</t>
        </is>
      </c>
      <c r="E61" s="3" t="inlineStr">
        <is>
          <t>EQ-108</t>
        </is>
      </c>
      <c r="F61" s="3" t="inlineStr">
        <is>
          <t>CC-220</t>
        </is>
      </c>
      <c r="G61" s="3" t="inlineStr">
        <is>
          <t>PU-ELE</t>
        </is>
      </c>
      <c r="H61" s="3" t="inlineStr">
        <is>
          <t>ACT-03</t>
        </is>
      </c>
      <c r="I61" s="3" t="inlineStr">
        <is>
          <t>TIPO-C1</t>
        </is>
      </c>
      <c r="J61" s="11" t="n">
        <v>46218</v>
      </c>
      <c r="K61" s="3" t="n">
        <v>5</v>
      </c>
      <c r="L61" s="10" t="n">
        <v>200</v>
      </c>
      <c r="M61" s="6" t="n"/>
      <c r="N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1" s="3">
        <f>IF(tblOrdenes[[#This Row],[fecha_inicio]]="","",YEAR(tblOrdenes[[#This Row],[fecha_inicio]]))</f>
        <v/>
      </c>
      <c r="R61" s="3">
        <f>IF(tblOrdenes[[#This Row],[fecha_inicio]]="","",MONTH(tblOrdenes[[#This Row],[fecha_inicio]]))</f>
        <v/>
      </c>
      <c r="S61" s="3">
        <f>IF(tblOrdenes[[#This Row],[fecha_inicio]]="","",INDEX(lista_dias,WEEKDAY(tblOrdenes[[#This Row],[fecha_inicio]],2)))</f>
        <v/>
      </c>
      <c r="T61" s="3">
        <f>IF(tblOrdenes[[#This Row],[tipo_ot]]="","",_xlfn.XLOOKUP(tblOrdenes[[#This Row],[tipo_ot]],tblTiposOT[codigo],tblTiposOT[clasificacion],"sin_clasificar"))</f>
        <v/>
      </c>
      <c r="U61" s="3">
        <f>IF(tblOrdenes[[#This Row],[centro_costo]]="","",_xlfn.XLOOKUP(tblOrdenes[[#This Row],[centro_costo]],tblCECO[codigo],tblCECO[linea],"(sin catálogo)"))</f>
        <v/>
      </c>
      <c r="V61" s="3">
        <f>IF(tblOrdenes[[#This Row],[centro_costo]]="","",_xlfn.XLOOKUP(tblOrdenes[[#This Row],[centro_costo]],tblCECO[codigo],tblCECO[area],"(sin catálogo)"))</f>
        <v/>
      </c>
      <c r="W61" s="3">
        <f>IF(tblOrdenes[[#This Row],[centro_costo]]="","",_xlfn.XLOOKUP(tblOrdenes[[#This Row],[centro_costo]],tblCECO[codigo],tblCECO[coordinador],"(sin catálogo)"))</f>
        <v/>
      </c>
      <c r="X61" s="3">
        <f>IF(tblOrdenes[[#This Row],[puesto_trabajo]]="","",_xlfn.XLOOKUP(tblOrdenes[[#This Row],[puesto_trabajo]],tblPuestos[codigo],tblPuestos[especialidad],"(sin catálogo)"))</f>
        <v/>
      </c>
      <c r="Y61" s="3">
        <f>IF(tblOrdenes[[#This Row],[cod_actividad]]="","",_xlfn.XLOOKUP(tblOrdenes[[#This Row],[cod_actividad]],tblActividades[codigo],tblActividades[descripcion],"(sin catálogo)"))</f>
        <v/>
      </c>
      <c r="Z61" s="12">
        <f>IF(tblOrdenes[[#This Row],[fecha_inicio]]="","",TODAY()-tblOrdenes[[#This Row],[fecha_inicio]])</f>
        <v/>
      </c>
      <c r="AA61" s="3">
        <f>IF(tblOrdenes[[#This Row],[backlog_dias]]="","",IF(tblOrdenes[[#This Row],[backlog_dias]]&lt;0,"FUTURO",IF(tblOrdenes[[#This Row],[backlog_dias]]&gt;p_dias_backlog_max,"BACKLOG","MES CORRIENTE")))</f>
        <v/>
      </c>
      <c r="AB61" s="3">
        <f>IF(tblOrdenes[[#This Row],[backlog_dias]]="",FALSE,AND(tblOrdenes[[#This Row],[backlog_dias]]&gt;p_dias_backlog_min,tblOrdenes[[#This Row],[backlog_dias]]&lt;=p_dias_backlog_max))</f>
        <v/>
      </c>
      <c r="AC61" s="6" t="inlineStr">
        <is>
          <t>Técnico 05</t>
        </is>
      </c>
      <c r="AD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1" s="10">
        <f>IF(tblOrdenes[[#This Row],[orden]]="","",_xlfn.XLOOKUP(tblOrdenes[[#This Row],[id_operacion]],tblEjecucion[id_operacion],tblEjecucion[precio],0))</f>
        <v/>
      </c>
      <c r="AH61" s="10">
        <f>IF(tblOrdenes[[#This Row],[orden]]="","",MAX(0,_xlfn.XLOOKUP(tblOrdenes[[#This Row],[id_operacion]],tblEjecucion[id_operacion],tblEjecucion[costo_plan_total],0)-tblOrdenes[[#This Row],[costo_servicio]]))</f>
        <v/>
      </c>
      <c r="AI61" s="10">
        <f>IF(tblOrdenes[[#This Row],[orden]]="","",tblOrdenes[[#This Row],[costo_servicio]]+tblOrdenes[[#This Row],[costo_materiales]])</f>
        <v/>
      </c>
      <c r="AJ61" s="6" t="inlineStr"/>
      <c r="AK61" s="6" t="inlineStr"/>
      <c r="AL61" s="6" t="inlineStr"/>
      <c r="AM61" s="3">
        <f>IF(tblOrdenes[[#This Row],[link_checklist]]="","",HYPERLINK(p_ruta_base_checklists&amp;tblOrdenes[[#This Row],[link_checklist]],"abrir"))</f>
        <v/>
      </c>
      <c r="AN61" s="6" t="inlineStr"/>
      <c r="AO61" s="3">
        <f>IF(tblOrdenes[[#This Row],[orden]]="","",tblOrdenes[[#This Row],[orden]]&amp;IF(tblOrdenes[[#This Row],[operacion]]="","0010",tblOrdenes[[#This Row],[operacion]]))</f>
        <v/>
      </c>
    </row>
    <row r="62">
      <c r="A62" s="3" t="inlineStr">
        <is>
          <t>OT-000059</t>
        </is>
      </c>
      <c r="B62" s="3" t="inlineStr">
        <is>
          <t>0010</t>
        </is>
      </c>
      <c r="C62" s="3" t="inlineStr">
        <is>
          <t>Análisis predictivo — EQ-105</t>
        </is>
      </c>
      <c r="D62" s="3" t="inlineStr">
        <is>
          <t>Análisis predictivo en EQ-105</t>
        </is>
      </c>
      <c r="E62" s="3" t="inlineStr">
        <is>
          <t>EQ-105</t>
        </is>
      </c>
      <c r="F62" s="3" t="inlineStr">
        <is>
          <t>CC-120</t>
        </is>
      </c>
      <c r="G62" s="3" t="inlineStr">
        <is>
          <t>PU-ELE</t>
        </is>
      </c>
      <c r="H62" s="3" t="inlineStr">
        <is>
          <t>ACT-04</t>
        </is>
      </c>
      <c r="I62" s="3" t="inlineStr">
        <is>
          <t>TIPO-P2</t>
        </is>
      </c>
      <c r="J62" s="11" t="n">
        <v>46226</v>
      </c>
      <c r="K62" s="3" t="n">
        <v>10</v>
      </c>
      <c r="L62" s="10" t="n">
        <v>250</v>
      </c>
      <c r="M62" s="6" t="n"/>
      <c r="N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2" s="3">
        <f>IF(tblOrdenes[[#This Row],[fecha_inicio]]="","",YEAR(tblOrdenes[[#This Row],[fecha_inicio]]))</f>
        <v/>
      </c>
      <c r="R62" s="3">
        <f>IF(tblOrdenes[[#This Row],[fecha_inicio]]="","",MONTH(tblOrdenes[[#This Row],[fecha_inicio]]))</f>
        <v/>
      </c>
      <c r="S62" s="3">
        <f>IF(tblOrdenes[[#This Row],[fecha_inicio]]="","",INDEX(lista_dias,WEEKDAY(tblOrdenes[[#This Row],[fecha_inicio]],2)))</f>
        <v/>
      </c>
      <c r="T62" s="3">
        <f>IF(tblOrdenes[[#This Row],[tipo_ot]]="","",_xlfn.XLOOKUP(tblOrdenes[[#This Row],[tipo_ot]],tblTiposOT[codigo],tblTiposOT[clasificacion],"sin_clasificar"))</f>
        <v/>
      </c>
      <c r="U62" s="3">
        <f>IF(tblOrdenes[[#This Row],[centro_costo]]="","",_xlfn.XLOOKUP(tblOrdenes[[#This Row],[centro_costo]],tblCECO[codigo],tblCECO[linea],"(sin catálogo)"))</f>
        <v/>
      </c>
      <c r="V62" s="3">
        <f>IF(tblOrdenes[[#This Row],[centro_costo]]="","",_xlfn.XLOOKUP(tblOrdenes[[#This Row],[centro_costo]],tblCECO[codigo],tblCECO[area],"(sin catálogo)"))</f>
        <v/>
      </c>
      <c r="W62" s="3">
        <f>IF(tblOrdenes[[#This Row],[centro_costo]]="","",_xlfn.XLOOKUP(tblOrdenes[[#This Row],[centro_costo]],tblCECO[codigo],tblCECO[coordinador],"(sin catálogo)"))</f>
        <v/>
      </c>
      <c r="X62" s="3">
        <f>IF(tblOrdenes[[#This Row],[puesto_trabajo]]="","",_xlfn.XLOOKUP(tblOrdenes[[#This Row],[puesto_trabajo]],tblPuestos[codigo],tblPuestos[especialidad],"(sin catálogo)"))</f>
        <v/>
      </c>
      <c r="Y62" s="3">
        <f>IF(tblOrdenes[[#This Row],[cod_actividad]]="","",_xlfn.XLOOKUP(tblOrdenes[[#This Row],[cod_actividad]],tblActividades[codigo],tblActividades[descripcion],"(sin catálogo)"))</f>
        <v/>
      </c>
      <c r="Z62" s="12">
        <f>IF(tblOrdenes[[#This Row],[fecha_inicio]]="","",TODAY()-tblOrdenes[[#This Row],[fecha_inicio]])</f>
        <v/>
      </c>
      <c r="AA62" s="3">
        <f>IF(tblOrdenes[[#This Row],[backlog_dias]]="","",IF(tblOrdenes[[#This Row],[backlog_dias]]&lt;0,"FUTURO",IF(tblOrdenes[[#This Row],[backlog_dias]]&gt;p_dias_backlog_max,"BACKLOG","MES CORRIENTE")))</f>
        <v/>
      </c>
      <c r="AB62" s="3">
        <f>IF(tblOrdenes[[#This Row],[backlog_dias]]="",FALSE,AND(tblOrdenes[[#This Row],[backlog_dias]]&gt;p_dias_backlog_min,tblOrdenes[[#This Row],[backlog_dias]]&lt;=p_dias_backlog_max))</f>
        <v/>
      </c>
      <c r="AC62" s="6" t="inlineStr">
        <is>
          <t>Técnico 06</t>
        </is>
      </c>
      <c r="AD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2" s="10">
        <f>IF(tblOrdenes[[#This Row],[orden]]="","",_xlfn.XLOOKUP(tblOrdenes[[#This Row],[id_operacion]],tblEjecucion[id_operacion],tblEjecucion[precio],0))</f>
        <v/>
      </c>
      <c r="AH62" s="10">
        <f>IF(tblOrdenes[[#This Row],[orden]]="","",MAX(0,_xlfn.XLOOKUP(tblOrdenes[[#This Row],[id_operacion]],tblEjecucion[id_operacion],tblEjecucion[costo_plan_total],0)-tblOrdenes[[#This Row],[costo_servicio]]))</f>
        <v/>
      </c>
      <c r="AI62" s="10">
        <f>IF(tblOrdenes[[#This Row],[orden]]="","",tblOrdenes[[#This Row],[costo_servicio]]+tblOrdenes[[#This Row],[costo_materiales]])</f>
        <v/>
      </c>
      <c r="AJ62" s="6" t="inlineStr"/>
      <c r="AK62" s="6" t="inlineStr"/>
      <c r="AL62" s="6" t="inlineStr">
        <is>
          <t>ACT-04.pdf</t>
        </is>
      </c>
      <c r="AM62" s="3">
        <f>IF(tblOrdenes[[#This Row],[link_checklist]]="","",HYPERLINK(p_ruta_base_checklists&amp;tblOrdenes[[#This Row],[link_checklist]],"abrir"))</f>
        <v/>
      </c>
      <c r="AN62" s="6" t="inlineStr"/>
      <c r="AO62" s="3">
        <f>IF(tblOrdenes[[#This Row],[orden]]="","",tblOrdenes[[#This Row],[orden]]&amp;IF(tblOrdenes[[#This Row],[operacion]]="","0010",tblOrdenes[[#This Row],[operacion]]))</f>
        <v/>
      </c>
    </row>
    <row r="63">
      <c r="A63" s="3" t="inlineStr">
        <is>
          <t>OT-000060</t>
        </is>
      </c>
      <c r="B63" s="3" t="inlineStr">
        <is>
          <t>0010</t>
        </is>
      </c>
      <c r="C63" s="3" t="inlineStr">
        <is>
          <t>Inspección de rutina — EQ-106</t>
        </is>
      </c>
      <c r="D63" s="3" t="inlineStr">
        <is>
          <t>Inspección de rutina en EQ-106</t>
        </is>
      </c>
      <c r="E63" s="3" t="inlineStr">
        <is>
          <t>EQ-106</t>
        </is>
      </c>
      <c r="F63" s="3" t="inlineStr">
        <is>
          <t>CC-220</t>
        </is>
      </c>
      <c r="G63" s="3" t="inlineStr">
        <is>
          <t>PU-ELE</t>
        </is>
      </c>
      <c r="H63" s="3" t="inlineStr">
        <is>
          <t>ACT-01</t>
        </is>
      </c>
      <c r="I63" s="3" t="inlineStr">
        <is>
          <t>TIPO-P1</t>
        </is>
      </c>
      <c r="J63" s="11" t="n">
        <v>46226</v>
      </c>
      <c r="K63" s="3" t="n">
        <v>8</v>
      </c>
      <c r="L63" s="10" t="n">
        <v>200</v>
      </c>
      <c r="M63" s="6" t="n"/>
      <c r="N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3" s="3">
        <f>IF(tblOrdenes[[#This Row],[fecha_inicio]]="","",YEAR(tblOrdenes[[#This Row],[fecha_inicio]]))</f>
        <v/>
      </c>
      <c r="R63" s="3">
        <f>IF(tblOrdenes[[#This Row],[fecha_inicio]]="","",MONTH(tblOrdenes[[#This Row],[fecha_inicio]]))</f>
        <v/>
      </c>
      <c r="S63" s="3">
        <f>IF(tblOrdenes[[#This Row],[fecha_inicio]]="","",INDEX(lista_dias,WEEKDAY(tblOrdenes[[#This Row],[fecha_inicio]],2)))</f>
        <v/>
      </c>
      <c r="T63" s="3">
        <f>IF(tblOrdenes[[#This Row],[tipo_ot]]="","",_xlfn.XLOOKUP(tblOrdenes[[#This Row],[tipo_ot]],tblTiposOT[codigo],tblTiposOT[clasificacion],"sin_clasificar"))</f>
        <v/>
      </c>
      <c r="U63" s="3">
        <f>IF(tblOrdenes[[#This Row],[centro_costo]]="","",_xlfn.XLOOKUP(tblOrdenes[[#This Row],[centro_costo]],tblCECO[codigo],tblCECO[linea],"(sin catálogo)"))</f>
        <v/>
      </c>
      <c r="V63" s="3">
        <f>IF(tblOrdenes[[#This Row],[centro_costo]]="","",_xlfn.XLOOKUP(tblOrdenes[[#This Row],[centro_costo]],tblCECO[codigo],tblCECO[area],"(sin catálogo)"))</f>
        <v/>
      </c>
      <c r="W63" s="3">
        <f>IF(tblOrdenes[[#This Row],[centro_costo]]="","",_xlfn.XLOOKUP(tblOrdenes[[#This Row],[centro_costo]],tblCECO[codigo],tblCECO[coordinador],"(sin catálogo)"))</f>
        <v/>
      </c>
      <c r="X63" s="3">
        <f>IF(tblOrdenes[[#This Row],[puesto_trabajo]]="","",_xlfn.XLOOKUP(tblOrdenes[[#This Row],[puesto_trabajo]],tblPuestos[codigo],tblPuestos[especialidad],"(sin catálogo)"))</f>
        <v/>
      </c>
      <c r="Y63" s="3">
        <f>IF(tblOrdenes[[#This Row],[cod_actividad]]="","",_xlfn.XLOOKUP(tblOrdenes[[#This Row],[cod_actividad]],tblActividades[codigo],tblActividades[descripcion],"(sin catálogo)"))</f>
        <v/>
      </c>
      <c r="Z63" s="12">
        <f>IF(tblOrdenes[[#This Row],[fecha_inicio]]="","",TODAY()-tblOrdenes[[#This Row],[fecha_inicio]])</f>
        <v/>
      </c>
      <c r="AA63" s="3">
        <f>IF(tblOrdenes[[#This Row],[backlog_dias]]="","",IF(tblOrdenes[[#This Row],[backlog_dias]]&lt;0,"FUTURO",IF(tblOrdenes[[#This Row],[backlog_dias]]&gt;p_dias_backlog_max,"BACKLOG","MES CORRIENTE")))</f>
        <v/>
      </c>
      <c r="AB63" s="3">
        <f>IF(tblOrdenes[[#This Row],[backlog_dias]]="",FALSE,AND(tblOrdenes[[#This Row],[backlog_dias]]&gt;p_dias_backlog_min,tblOrdenes[[#This Row],[backlog_dias]]&lt;=p_dias_backlog_max))</f>
        <v/>
      </c>
      <c r="AC63" s="6" t="inlineStr"/>
      <c r="AD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3" s="10">
        <f>IF(tblOrdenes[[#This Row],[orden]]="","",_xlfn.XLOOKUP(tblOrdenes[[#This Row],[id_operacion]],tblEjecucion[id_operacion],tblEjecucion[precio],0))</f>
        <v/>
      </c>
      <c r="AH63" s="10">
        <f>IF(tblOrdenes[[#This Row],[orden]]="","",MAX(0,_xlfn.XLOOKUP(tblOrdenes[[#This Row],[id_operacion]],tblEjecucion[id_operacion],tblEjecucion[costo_plan_total],0)-tblOrdenes[[#This Row],[costo_servicio]]))</f>
        <v/>
      </c>
      <c r="AI63" s="10">
        <f>IF(tblOrdenes[[#This Row],[orden]]="","",tblOrdenes[[#This Row],[costo_servicio]]+tblOrdenes[[#This Row],[costo_materiales]])</f>
        <v/>
      </c>
      <c r="AJ63" s="6" t="inlineStr"/>
      <c r="AK63" s="6" t="inlineStr"/>
      <c r="AL63" s="6" t="inlineStr">
        <is>
          <t>ACT-01.pdf</t>
        </is>
      </c>
      <c r="AM63" s="3">
        <f>IF(tblOrdenes[[#This Row],[link_checklist]]="","",HYPERLINK(p_ruta_base_checklists&amp;tblOrdenes[[#This Row],[link_checklist]],"abrir"))</f>
        <v/>
      </c>
      <c r="AN63" s="6" t="inlineStr"/>
      <c r="AO63" s="3">
        <f>IF(tblOrdenes[[#This Row],[orden]]="","",tblOrdenes[[#This Row],[orden]]&amp;IF(tblOrdenes[[#This Row],[operacion]]="","0010",tblOrdenes[[#This Row],[operacion]]))</f>
        <v/>
      </c>
    </row>
    <row r="64">
      <c r="A64" s="3" t="inlineStr">
        <is>
          <t>OT-000061</t>
        </is>
      </c>
      <c r="B64" s="3" t="inlineStr">
        <is>
          <t>0010</t>
        </is>
      </c>
      <c r="C64" s="3" t="inlineStr">
        <is>
          <t>Lubricación programada — EQ-102</t>
        </is>
      </c>
      <c r="D64" s="3" t="inlineStr">
        <is>
          <t>Lubricación programada en EQ-102</t>
        </is>
      </c>
      <c r="E64" s="3" t="inlineStr">
        <is>
          <t>EQ-102</t>
        </is>
      </c>
      <c r="F64" s="3" t="inlineStr">
        <is>
          <t>CC-120</t>
        </is>
      </c>
      <c r="G64" s="3" t="inlineStr">
        <is>
          <t>PU-ELE</t>
        </is>
      </c>
      <c r="H64" s="3" t="inlineStr">
        <is>
          <t>ACT-02</t>
        </is>
      </c>
      <c r="I64" s="3" t="inlineStr">
        <is>
          <t>TIPO-P2</t>
        </is>
      </c>
      <c r="J64" s="11" t="n">
        <v>46223</v>
      </c>
      <c r="K64" s="3" t="n">
        <v>6</v>
      </c>
      <c r="L64" s="10" t="n">
        <v>150</v>
      </c>
      <c r="M64" s="6" t="n">
        <v>4</v>
      </c>
      <c r="N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4" s="3">
        <f>IF(tblOrdenes[[#This Row],[fecha_inicio]]="","",YEAR(tblOrdenes[[#This Row],[fecha_inicio]]))</f>
        <v/>
      </c>
      <c r="R64" s="3">
        <f>IF(tblOrdenes[[#This Row],[fecha_inicio]]="","",MONTH(tblOrdenes[[#This Row],[fecha_inicio]]))</f>
        <v/>
      </c>
      <c r="S64" s="3">
        <f>IF(tblOrdenes[[#This Row],[fecha_inicio]]="","",INDEX(lista_dias,WEEKDAY(tblOrdenes[[#This Row],[fecha_inicio]],2)))</f>
        <v/>
      </c>
      <c r="T64" s="3">
        <f>IF(tblOrdenes[[#This Row],[tipo_ot]]="","",_xlfn.XLOOKUP(tblOrdenes[[#This Row],[tipo_ot]],tblTiposOT[codigo],tblTiposOT[clasificacion],"sin_clasificar"))</f>
        <v/>
      </c>
      <c r="U64" s="3">
        <f>IF(tblOrdenes[[#This Row],[centro_costo]]="","",_xlfn.XLOOKUP(tblOrdenes[[#This Row],[centro_costo]],tblCECO[codigo],tblCECO[linea],"(sin catálogo)"))</f>
        <v/>
      </c>
      <c r="V64" s="3">
        <f>IF(tblOrdenes[[#This Row],[centro_costo]]="","",_xlfn.XLOOKUP(tblOrdenes[[#This Row],[centro_costo]],tblCECO[codigo],tblCECO[area],"(sin catálogo)"))</f>
        <v/>
      </c>
      <c r="W64" s="3">
        <f>IF(tblOrdenes[[#This Row],[centro_costo]]="","",_xlfn.XLOOKUP(tblOrdenes[[#This Row],[centro_costo]],tblCECO[codigo],tblCECO[coordinador],"(sin catálogo)"))</f>
        <v/>
      </c>
      <c r="X64" s="3">
        <f>IF(tblOrdenes[[#This Row],[puesto_trabajo]]="","",_xlfn.XLOOKUP(tblOrdenes[[#This Row],[puesto_trabajo]],tblPuestos[codigo],tblPuestos[especialidad],"(sin catálogo)"))</f>
        <v/>
      </c>
      <c r="Y64" s="3">
        <f>IF(tblOrdenes[[#This Row],[cod_actividad]]="","",_xlfn.XLOOKUP(tblOrdenes[[#This Row],[cod_actividad]],tblActividades[codigo],tblActividades[descripcion],"(sin catálogo)"))</f>
        <v/>
      </c>
      <c r="Z64" s="12">
        <f>IF(tblOrdenes[[#This Row],[fecha_inicio]]="","",TODAY()-tblOrdenes[[#This Row],[fecha_inicio]])</f>
        <v/>
      </c>
      <c r="AA64" s="3">
        <f>IF(tblOrdenes[[#This Row],[backlog_dias]]="","",IF(tblOrdenes[[#This Row],[backlog_dias]]&lt;0,"FUTURO",IF(tblOrdenes[[#This Row],[backlog_dias]]&gt;p_dias_backlog_max,"BACKLOG","MES CORRIENTE")))</f>
        <v/>
      </c>
      <c r="AB64" s="3">
        <f>IF(tblOrdenes[[#This Row],[backlog_dias]]="",FALSE,AND(tblOrdenes[[#This Row],[backlog_dias]]&gt;p_dias_backlog_min,tblOrdenes[[#This Row],[backlog_dias]]&lt;=p_dias_backlog_max))</f>
        <v/>
      </c>
      <c r="AC64" s="6" t="inlineStr">
        <is>
          <t>Técnico 05</t>
        </is>
      </c>
      <c r="AD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4" s="10">
        <f>IF(tblOrdenes[[#This Row],[orden]]="","",_xlfn.XLOOKUP(tblOrdenes[[#This Row],[id_operacion]],tblEjecucion[id_operacion],tblEjecucion[precio],0))</f>
        <v/>
      </c>
      <c r="AH64" s="10">
        <f>IF(tblOrdenes[[#This Row],[orden]]="","",MAX(0,_xlfn.XLOOKUP(tblOrdenes[[#This Row],[id_operacion]],tblEjecucion[id_operacion],tblEjecucion[costo_plan_total],0)-tblOrdenes[[#This Row],[costo_servicio]]))</f>
        <v/>
      </c>
      <c r="AI64" s="10">
        <f>IF(tblOrdenes[[#This Row],[orden]]="","",tblOrdenes[[#This Row],[costo_servicio]]+tblOrdenes[[#This Row],[costo_materiales]])</f>
        <v/>
      </c>
      <c r="AJ64" s="6" t="inlineStr"/>
      <c r="AK64" s="6" t="inlineStr"/>
      <c r="AL64" s="6" t="inlineStr">
        <is>
          <t>ACT-02.pdf</t>
        </is>
      </c>
      <c r="AM64" s="3">
        <f>IF(tblOrdenes[[#This Row],[link_checklist]]="","",HYPERLINK(p_ruta_base_checklists&amp;tblOrdenes[[#This Row],[link_checklist]],"abrir"))</f>
        <v/>
      </c>
      <c r="AN64" s="6" t="inlineStr">
        <is>
          <t>Ajuste: 6 → 4 h por alcance real</t>
        </is>
      </c>
      <c r="AO64" s="3">
        <f>IF(tblOrdenes[[#This Row],[orden]]="","",tblOrdenes[[#This Row],[orden]]&amp;IF(tblOrdenes[[#This Row],[operacion]]="","0010",tblOrdenes[[#This Row],[operacion]]))</f>
        <v/>
      </c>
    </row>
    <row r="65">
      <c r="A65" s="3" t="inlineStr">
        <is>
          <t>OT-000062</t>
        </is>
      </c>
      <c r="B65" s="3" t="inlineStr">
        <is>
          <t>0010</t>
        </is>
      </c>
      <c r="C65" s="3" t="inlineStr">
        <is>
          <t>Análisis predictivo — EQ-108</t>
        </is>
      </c>
      <c r="D65" s="3" t="inlineStr">
        <is>
          <t>Análisis predictivo en EQ-108</t>
        </is>
      </c>
      <c r="E65" s="3" t="inlineStr">
        <is>
          <t>EQ-108</t>
        </is>
      </c>
      <c r="F65" s="3" t="inlineStr">
        <is>
          <t>CC-220</t>
        </is>
      </c>
      <c r="G65" s="3" t="inlineStr">
        <is>
          <t>PU-ELE</t>
        </is>
      </c>
      <c r="H65" s="3" t="inlineStr">
        <is>
          <t>ACT-04</t>
        </is>
      </c>
      <c r="I65" s="3" t="inlineStr">
        <is>
          <t>TIPO-P1</t>
        </is>
      </c>
      <c r="J65" s="11" t="n">
        <v>46224</v>
      </c>
      <c r="K65" s="3" t="n">
        <v>10</v>
      </c>
      <c r="L65" s="10" t="n">
        <v>250</v>
      </c>
      <c r="M65" s="6" t="n"/>
      <c r="N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5" s="3">
        <f>IF(tblOrdenes[[#This Row],[fecha_inicio]]="","",YEAR(tblOrdenes[[#This Row],[fecha_inicio]]))</f>
        <v/>
      </c>
      <c r="R65" s="3">
        <f>IF(tblOrdenes[[#This Row],[fecha_inicio]]="","",MONTH(tblOrdenes[[#This Row],[fecha_inicio]]))</f>
        <v/>
      </c>
      <c r="S65" s="3">
        <f>IF(tblOrdenes[[#This Row],[fecha_inicio]]="","",INDEX(lista_dias,WEEKDAY(tblOrdenes[[#This Row],[fecha_inicio]],2)))</f>
        <v/>
      </c>
      <c r="T65" s="3">
        <f>IF(tblOrdenes[[#This Row],[tipo_ot]]="","",_xlfn.XLOOKUP(tblOrdenes[[#This Row],[tipo_ot]],tblTiposOT[codigo],tblTiposOT[clasificacion],"sin_clasificar"))</f>
        <v/>
      </c>
      <c r="U65" s="3">
        <f>IF(tblOrdenes[[#This Row],[centro_costo]]="","",_xlfn.XLOOKUP(tblOrdenes[[#This Row],[centro_costo]],tblCECO[codigo],tblCECO[linea],"(sin catálogo)"))</f>
        <v/>
      </c>
      <c r="V65" s="3">
        <f>IF(tblOrdenes[[#This Row],[centro_costo]]="","",_xlfn.XLOOKUP(tblOrdenes[[#This Row],[centro_costo]],tblCECO[codigo],tblCECO[area],"(sin catálogo)"))</f>
        <v/>
      </c>
      <c r="W65" s="3">
        <f>IF(tblOrdenes[[#This Row],[centro_costo]]="","",_xlfn.XLOOKUP(tblOrdenes[[#This Row],[centro_costo]],tblCECO[codigo],tblCECO[coordinador],"(sin catálogo)"))</f>
        <v/>
      </c>
      <c r="X65" s="3">
        <f>IF(tblOrdenes[[#This Row],[puesto_trabajo]]="","",_xlfn.XLOOKUP(tblOrdenes[[#This Row],[puesto_trabajo]],tblPuestos[codigo],tblPuestos[especialidad],"(sin catálogo)"))</f>
        <v/>
      </c>
      <c r="Y65" s="3">
        <f>IF(tblOrdenes[[#This Row],[cod_actividad]]="","",_xlfn.XLOOKUP(tblOrdenes[[#This Row],[cod_actividad]],tblActividades[codigo],tblActividades[descripcion],"(sin catálogo)"))</f>
        <v/>
      </c>
      <c r="Z65" s="12">
        <f>IF(tblOrdenes[[#This Row],[fecha_inicio]]="","",TODAY()-tblOrdenes[[#This Row],[fecha_inicio]])</f>
        <v/>
      </c>
      <c r="AA65" s="3">
        <f>IF(tblOrdenes[[#This Row],[backlog_dias]]="","",IF(tblOrdenes[[#This Row],[backlog_dias]]&lt;0,"FUTURO",IF(tblOrdenes[[#This Row],[backlog_dias]]&gt;p_dias_backlog_max,"BACKLOG","MES CORRIENTE")))</f>
        <v/>
      </c>
      <c r="AB65" s="3">
        <f>IF(tblOrdenes[[#This Row],[backlog_dias]]="",FALSE,AND(tblOrdenes[[#This Row],[backlog_dias]]&gt;p_dias_backlog_min,tblOrdenes[[#This Row],[backlog_dias]]&lt;=p_dias_backlog_max))</f>
        <v/>
      </c>
      <c r="AC65" s="6" t="inlineStr">
        <is>
          <t>Técnico 06</t>
        </is>
      </c>
      <c r="AD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5" s="10">
        <f>IF(tblOrdenes[[#This Row],[orden]]="","",_xlfn.XLOOKUP(tblOrdenes[[#This Row],[id_operacion]],tblEjecucion[id_operacion],tblEjecucion[precio],0))</f>
        <v/>
      </c>
      <c r="AH65" s="10">
        <f>IF(tblOrdenes[[#This Row],[orden]]="","",MAX(0,_xlfn.XLOOKUP(tblOrdenes[[#This Row],[id_operacion]],tblEjecucion[id_operacion],tblEjecucion[costo_plan_total],0)-tblOrdenes[[#This Row],[costo_servicio]]))</f>
        <v/>
      </c>
      <c r="AI65" s="10">
        <f>IF(tblOrdenes[[#This Row],[orden]]="","",tblOrdenes[[#This Row],[costo_servicio]]+tblOrdenes[[#This Row],[costo_materiales]])</f>
        <v/>
      </c>
      <c r="AJ65" s="6" t="inlineStr"/>
      <c r="AK65" s="6" t="inlineStr"/>
      <c r="AL65" s="6" t="inlineStr">
        <is>
          <t>ACT-04.pdf</t>
        </is>
      </c>
      <c r="AM65" s="3">
        <f>IF(tblOrdenes[[#This Row],[link_checklist]]="","",HYPERLINK(p_ruta_base_checklists&amp;tblOrdenes[[#This Row],[link_checklist]],"abrir"))</f>
        <v/>
      </c>
      <c r="AN65" s="6" t="inlineStr"/>
      <c r="AO65" s="3">
        <f>IF(tblOrdenes[[#This Row],[orden]]="","",tblOrdenes[[#This Row],[orden]]&amp;IF(tblOrdenes[[#This Row],[operacion]]="","0010",tblOrdenes[[#This Row],[operacion]]))</f>
        <v/>
      </c>
    </row>
    <row r="66">
      <c r="A66" s="3" t="inlineStr">
        <is>
          <t>OT-000063</t>
        </is>
      </c>
      <c r="B66" s="3" t="inlineStr">
        <is>
          <t>0010</t>
        </is>
      </c>
      <c r="C66" s="3" t="inlineStr">
        <is>
          <t>Inspección de rutina — EQ-104</t>
        </is>
      </c>
      <c r="D66" s="3" t="inlineStr">
        <is>
          <t>Inspección de rutina en EQ-104</t>
        </is>
      </c>
      <c r="E66" s="3" t="inlineStr">
        <is>
          <t>EQ-104</t>
        </is>
      </c>
      <c r="F66" s="3" t="inlineStr">
        <is>
          <t>CC-120</t>
        </is>
      </c>
      <c r="G66" s="3" t="inlineStr">
        <is>
          <t>PU-ELE</t>
        </is>
      </c>
      <c r="H66" s="3" t="inlineStr">
        <is>
          <t>ACT-01</t>
        </is>
      </c>
      <c r="I66" s="3" t="inlineStr">
        <is>
          <t>TIPO-P2</t>
        </is>
      </c>
      <c r="J66" s="11" t="n">
        <v>46225</v>
      </c>
      <c r="K66" s="3" t="n">
        <v>8</v>
      </c>
      <c r="L66" s="10" t="n">
        <v>200</v>
      </c>
      <c r="M66" s="6" t="n"/>
      <c r="N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6" s="3">
        <f>IF(tblOrdenes[[#This Row],[fecha_inicio]]="","",YEAR(tblOrdenes[[#This Row],[fecha_inicio]]))</f>
        <v/>
      </c>
      <c r="R66" s="3">
        <f>IF(tblOrdenes[[#This Row],[fecha_inicio]]="","",MONTH(tblOrdenes[[#This Row],[fecha_inicio]]))</f>
        <v/>
      </c>
      <c r="S66" s="3">
        <f>IF(tblOrdenes[[#This Row],[fecha_inicio]]="","",INDEX(lista_dias,WEEKDAY(tblOrdenes[[#This Row],[fecha_inicio]],2)))</f>
        <v/>
      </c>
      <c r="T66" s="3">
        <f>IF(tblOrdenes[[#This Row],[tipo_ot]]="","",_xlfn.XLOOKUP(tblOrdenes[[#This Row],[tipo_ot]],tblTiposOT[codigo],tblTiposOT[clasificacion],"sin_clasificar"))</f>
        <v/>
      </c>
      <c r="U66" s="3">
        <f>IF(tblOrdenes[[#This Row],[centro_costo]]="","",_xlfn.XLOOKUP(tblOrdenes[[#This Row],[centro_costo]],tblCECO[codigo],tblCECO[linea],"(sin catálogo)"))</f>
        <v/>
      </c>
      <c r="V66" s="3">
        <f>IF(tblOrdenes[[#This Row],[centro_costo]]="","",_xlfn.XLOOKUP(tblOrdenes[[#This Row],[centro_costo]],tblCECO[codigo],tblCECO[area],"(sin catálogo)"))</f>
        <v/>
      </c>
      <c r="W66" s="3">
        <f>IF(tblOrdenes[[#This Row],[centro_costo]]="","",_xlfn.XLOOKUP(tblOrdenes[[#This Row],[centro_costo]],tblCECO[codigo],tblCECO[coordinador],"(sin catálogo)"))</f>
        <v/>
      </c>
      <c r="X66" s="3">
        <f>IF(tblOrdenes[[#This Row],[puesto_trabajo]]="","",_xlfn.XLOOKUP(tblOrdenes[[#This Row],[puesto_trabajo]],tblPuestos[codigo],tblPuestos[especialidad],"(sin catálogo)"))</f>
        <v/>
      </c>
      <c r="Y66" s="3">
        <f>IF(tblOrdenes[[#This Row],[cod_actividad]]="","",_xlfn.XLOOKUP(tblOrdenes[[#This Row],[cod_actividad]],tblActividades[codigo],tblActividades[descripcion],"(sin catálogo)"))</f>
        <v/>
      </c>
      <c r="Z66" s="12">
        <f>IF(tblOrdenes[[#This Row],[fecha_inicio]]="","",TODAY()-tblOrdenes[[#This Row],[fecha_inicio]])</f>
        <v/>
      </c>
      <c r="AA66" s="3">
        <f>IF(tblOrdenes[[#This Row],[backlog_dias]]="","",IF(tblOrdenes[[#This Row],[backlog_dias]]&lt;0,"FUTURO",IF(tblOrdenes[[#This Row],[backlog_dias]]&gt;p_dias_backlog_max,"BACKLOG","MES CORRIENTE")))</f>
        <v/>
      </c>
      <c r="AB66" s="3">
        <f>IF(tblOrdenes[[#This Row],[backlog_dias]]="",FALSE,AND(tblOrdenes[[#This Row],[backlog_dias]]&gt;p_dias_backlog_min,tblOrdenes[[#This Row],[backlog_dias]]&lt;=p_dias_backlog_max))</f>
        <v/>
      </c>
      <c r="AC66" s="6" t="inlineStr">
        <is>
          <t>Técnico 07</t>
        </is>
      </c>
      <c r="AD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6" s="10">
        <f>IF(tblOrdenes[[#This Row],[orden]]="","",_xlfn.XLOOKUP(tblOrdenes[[#This Row],[id_operacion]],tblEjecucion[id_operacion],tblEjecucion[precio],0))</f>
        <v/>
      </c>
      <c r="AH66" s="10">
        <f>IF(tblOrdenes[[#This Row],[orden]]="","",MAX(0,_xlfn.XLOOKUP(tblOrdenes[[#This Row],[id_operacion]],tblEjecucion[id_operacion],tblEjecucion[costo_plan_total],0)-tblOrdenes[[#This Row],[costo_servicio]]))</f>
        <v/>
      </c>
      <c r="AI66" s="10">
        <f>IF(tblOrdenes[[#This Row],[orden]]="","",tblOrdenes[[#This Row],[costo_servicio]]+tblOrdenes[[#This Row],[costo_materiales]])</f>
        <v/>
      </c>
      <c r="AJ66" s="6" t="inlineStr"/>
      <c r="AK66" s="6" t="inlineStr"/>
      <c r="AL66" s="6" t="inlineStr">
        <is>
          <t>ACT-01.pdf</t>
        </is>
      </c>
      <c r="AM66" s="3">
        <f>IF(tblOrdenes[[#This Row],[link_checklist]]="","",HYPERLINK(p_ruta_base_checklists&amp;tblOrdenes[[#This Row],[link_checklist]],"abrir"))</f>
        <v/>
      </c>
      <c r="AN66" s="6" t="inlineStr"/>
      <c r="AO66" s="3">
        <f>IF(tblOrdenes[[#This Row],[orden]]="","",tblOrdenes[[#This Row],[orden]]&amp;IF(tblOrdenes[[#This Row],[operacion]]="","0010",tblOrdenes[[#This Row],[operacion]]))</f>
        <v/>
      </c>
    </row>
    <row r="67">
      <c r="A67" s="3" t="inlineStr">
        <is>
          <t>OT-000064</t>
        </is>
      </c>
      <c r="B67" s="3" t="inlineStr">
        <is>
          <t>0010</t>
        </is>
      </c>
      <c r="C67" s="3" t="inlineStr">
        <is>
          <t>Lubricación programada — EQ-106</t>
        </is>
      </c>
      <c r="D67" s="3" t="inlineStr">
        <is>
          <t>Lubricación programada en EQ-106</t>
        </is>
      </c>
      <c r="E67" s="3" t="inlineStr">
        <is>
          <t>EQ-106</t>
        </is>
      </c>
      <c r="F67" s="3" t="inlineStr">
        <is>
          <t>CC-220</t>
        </is>
      </c>
      <c r="G67" s="3" t="inlineStr">
        <is>
          <t>PU-ELE</t>
        </is>
      </c>
      <c r="H67" s="3" t="inlineStr">
        <is>
          <t>ACT-02</t>
        </is>
      </c>
      <c r="I67" s="3" t="inlineStr">
        <is>
          <t>TIPO-P1</t>
        </is>
      </c>
      <c r="J67" s="11" t="n">
        <v>46226</v>
      </c>
      <c r="K67" s="3" t="n">
        <v>6</v>
      </c>
      <c r="L67" s="10" t="n">
        <v>150</v>
      </c>
      <c r="M67" s="6" t="n"/>
      <c r="N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7" s="3">
        <f>IF(tblOrdenes[[#This Row],[fecha_inicio]]="","",YEAR(tblOrdenes[[#This Row],[fecha_inicio]]))</f>
        <v/>
      </c>
      <c r="R67" s="3">
        <f>IF(tblOrdenes[[#This Row],[fecha_inicio]]="","",MONTH(tblOrdenes[[#This Row],[fecha_inicio]]))</f>
        <v/>
      </c>
      <c r="S67" s="3">
        <f>IF(tblOrdenes[[#This Row],[fecha_inicio]]="","",INDEX(lista_dias,WEEKDAY(tblOrdenes[[#This Row],[fecha_inicio]],2)))</f>
        <v/>
      </c>
      <c r="T67" s="3">
        <f>IF(tblOrdenes[[#This Row],[tipo_ot]]="","",_xlfn.XLOOKUP(tblOrdenes[[#This Row],[tipo_ot]],tblTiposOT[codigo],tblTiposOT[clasificacion],"sin_clasificar"))</f>
        <v/>
      </c>
      <c r="U67" s="3">
        <f>IF(tblOrdenes[[#This Row],[centro_costo]]="","",_xlfn.XLOOKUP(tblOrdenes[[#This Row],[centro_costo]],tblCECO[codigo],tblCECO[linea],"(sin catálogo)"))</f>
        <v/>
      </c>
      <c r="V67" s="3">
        <f>IF(tblOrdenes[[#This Row],[centro_costo]]="","",_xlfn.XLOOKUP(tblOrdenes[[#This Row],[centro_costo]],tblCECO[codigo],tblCECO[area],"(sin catálogo)"))</f>
        <v/>
      </c>
      <c r="W67" s="3">
        <f>IF(tblOrdenes[[#This Row],[centro_costo]]="","",_xlfn.XLOOKUP(tblOrdenes[[#This Row],[centro_costo]],tblCECO[codigo],tblCECO[coordinador],"(sin catálogo)"))</f>
        <v/>
      </c>
      <c r="X67" s="3">
        <f>IF(tblOrdenes[[#This Row],[puesto_trabajo]]="","",_xlfn.XLOOKUP(tblOrdenes[[#This Row],[puesto_trabajo]],tblPuestos[codigo],tblPuestos[especialidad],"(sin catálogo)"))</f>
        <v/>
      </c>
      <c r="Y67" s="3">
        <f>IF(tblOrdenes[[#This Row],[cod_actividad]]="","",_xlfn.XLOOKUP(tblOrdenes[[#This Row],[cod_actividad]],tblActividades[codigo],tblActividades[descripcion],"(sin catálogo)"))</f>
        <v/>
      </c>
      <c r="Z67" s="12">
        <f>IF(tblOrdenes[[#This Row],[fecha_inicio]]="","",TODAY()-tblOrdenes[[#This Row],[fecha_inicio]])</f>
        <v/>
      </c>
      <c r="AA67" s="3">
        <f>IF(tblOrdenes[[#This Row],[backlog_dias]]="","",IF(tblOrdenes[[#This Row],[backlog_dias]]&lt;0,"FUTURO",IF(tblOrdenes[[#This Row],[backlog_dias]]&gt;p_dias_backlog_max,"BACKLOG","MES CORRIENTE")))</f>
        <v/>
      </c>
      <c r="AB67" s="3">
        <f>IF(tblOrdenes[[#This Row],[backlog_dias]]="",FALSE,AND(tblOrdenes[[#This Row],[backlog_dias]]&gt;p_dias_backlog_min,tblOrdenes[[#This Row],[backlog_dias]]&lt;=p_dias_backlog_max))</f>
        <v/>
      </c>
      <c r="AC67" s="6" t="inlineStr">
        <is>
          <t>Técnico 05</t>
        </is>
      </c>
      <c r="AD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7" s="10">
        <f>IF(tblOrdenes[[#This Row],[orden]]="","",_xlfn.XLOOKUP(tblOrdenes[[#This Row],[id_operacion]],tblEjecucion[id_operacion],tblEjecucion[precio],0))</f>
        <v/>
      </c>
      <c r="AH67" s="10">
        <f>IF(tblOrdenes[[#This Row],[orden]]="","",MAX(0,_xlfn.XLOOKUP(tblOrdenes[[#This Row],[id_operacion]],tblEjecucion[id_operacion],tblEjecucion[costo_plan_total],0)-tblOrdenes[[#This Row],[costo_servicio]]))</f>
        <v/>
      </c>
      <c r="AI67" s="10">
        <f>IF(tblOrdenes[[#This Row],[orden]]="","",tblOrdenes[[#This Row],[costo_servicio]]+tblOrdenes[[#This Row],[costo_materiales]])</f>
        <v/>
      </c>
      <c r="AJ67" s="6" t="inlineStr"/>
      <c r="AK67" s="6" t="inlineStr"/>
      <c r="AL67" s="6" t="inlineStr">
        <is>
          <t>ACT-02.pdf</t>
        </is>
      </c>
      <c r="AM67" s="3">
        <f>IF(tblOrdenes[[#This Row],[link_checklist]]="","",HYPERLINK(p_ruta_base_checklists&amp;tblOrdenes[[#This Row],[link_checklist]],"abrir"))</f>
        <v/>
      </c>
      <c r="AN67" s="6" t="inlineStr"/>
      <c r="AO67" s="3">
        <f>IF(tblOrdenes[[#This Row],[orden]]="","",tblOrdenes[[#This Row],[orden]]&amp;IF(tblOrdenes[[#This Row],[operacion]]="","0010",tblOrdenes[[#This Row],[operacion]]))</f>
        <v/>
      </c>
    </row>
    <row r="68">
      <c r="A68" s="3" t="inlineStr">
        <is>
          <t>OT-000065</t>
        </is>
      </c>
      <c r="B68" s="3" t="inlineStr">
        <is>
          <t>0010</t>
        </is>
      </c>
      <c r="C68" s="3" t="inlineStr">
        <is>
          <t>Análisis predictivo — EQ-101</t>
        </is>
      </c>
      <c r="D68" s="3" t="inlineStr">
        <is>
          <t>Análisis predictivo en EQ-101</t>
        </is>
      </c>
      <c r="E68" s="3" t="inlineStr">
        <is>
          <t>EQ-101</t>
        </is>
      </c>
      <c r="F68" s="3" t="inlineStr">
        <is>
          <t>CC-120</t>
        </is>
      </c>
      <c r="G68" s="3" t="inlineStr">
        <is>
          <t>PU-ELE</t>
        </is>
      </c>
      <c r="H68" s="3" t="inlineStr">
        <is>
          <t>ACT-04</t>
        </is>
      </c>
      <c r="I68" s="3" t="inlineStr">
        <is>
          <t>TIPO-P2</t>
        </is>
      </c>
      <c r="J68" s="11" t="n">
        <v>46227</v>
      </c>
      <c r="K68" s="3" t="n">
        <v>10</v>
      </c>
      <c r="L68" s="10" t="n">
        <v>250</v>
      </c>
      <c r="M68" s="6" t="n"/>
      <c r="N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8" s="3">
        <f>IF(tblOrdenes[[#This Row],[fecha_inicio]]="","",YEAR(tblOrdenes[[#This Row],[fecha_inicio]]))</f>
        <v/>
      </c>
      <c r="R68" s="3">
        <f>IF(tblOrdenes[[#This Row],[fecha_inicio]]="","",MONTH(tblOrdenes[[#This Row],[fecha_inicio]]))</f>
        <v/>
      </c>
      <c r="S68" s="3">
        <f>IF(tblOrdenes[[#This Row],[fecha_inicio]]="","",INDEX(lista_dias,WEEKDAY(tblOrdenes[[#This Row],[fecha_inicio]],2)))</f>
        <v/>
      </c>
      <c r="T68" s="3">
        <f>IF(tblOrdenes[[#This Row],[tipo_ot]]="","",_xlfn.XLOOKUP(tblOrdenes[[#This Row],[tipo_ot]],tblTiposOT[codigo],tblTiposOT[clasificacion],"sin_clasificar"))</f>
        <v/>
      </c>
      <c r="U68" s="3">
        <f>IF(tblOrdenes[[#This Row],[centro_costo]]="","",_xlfn.XLOOKUP(tblOrdenes[[#This Row],[centro_costo]],tblCECO[codigo],tblCECO[linea],"(sin catálogo)"))</f>
        <v/>
      </c>
      <c r="V68" s="3">
        <f>IF(tblOrdenes[[#This Row],[centro_costo]]="","",_xlfn.XLOOKUP(tblOrdenes[[#This Row],[centro_costo]],tblCECO[codigo],tblCECO[area],"(sin catálogo)"))</f>
        <v/>
      </c>
      <c r="W68" s="3">
        <f>IF(tblOrdenes[[#This Row],[centro_costo]]="","",_xlfn.XLOOKUP(tblOrdenes[[#This Row],[centro_costo]],tblCECO[codigo],tblCECO[coordinador],"(sin catálogo)"))</f>
        <v/>
      </c>
      <c r="X68" s="3">
        <f>IF(tblOrdenes[[#This Row],[puesto_trabajo]]="","",_xlfn.XLOOKUP(tblOrdenes[[#This Row],[puesto_trabajo]],tblPuestos[codigo],tblPuestos[especialidad],"(sin catálogo)"))</f>
        <v/>
      </c>
      <c r="Y68" s="3">
        <f>IF(tblOrdenes[[#This Row],[cod_actividad]]="","",_xlfn.XLOOKUP(tblOrdenes[[#This Row],[cod_actividad]],tblActividades[codigo],tblActividades[descripcion],"(sin catálogo)"))</f>
        <v/>
      </c>
      <c r="Z68" s="12">
        <f>IF(tblOrdenes[[#This Row],[fecha_inicio]]="","",TODAY()-tblOrdenes[[#This Row],[fecha_inicio]])</f>
        <v/>
      </c>
      <c r="AA68" s="3">
        <f>IF(tblOrdenes[[#This Row],[backlog_dias]]="","",IF(tblOrdenes[[#This Row],[backlog_dias]]&lt;0,"FUTURO",IF(tblOrdenes[[#This Row],[backlog_dias]]&gt;p_dias_backlog_max,"BACKLOG","MES CORRIENTE")))</f>
        <v/>
      </c>
      <c r="AB68" s="3">
        <f>IF(tblOrdenes[[#This Row],[backlog_dias]]="",FALSE,AND(tblOrdenes[[#This Row],[backlog_dias]]&gt;p_dias_backlog_min,tblOrdenes[[#This Row],[backlog_dias]]&lt;=p_dias_backlog_max))</f>
        <v/>
      </c>
      <c r="AC68" s="6" t="inlineStr">
        <is>
          <t>Técnico 06</t>
        </is>
      </c>
      <c r="AD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8" s="10">
        <f>IF(tblOrdenes[[#This Row],[orden]]="","",_xlfn.XLOOKUP(tblOrdenes[[#This Row],[id_operacion]],tblEjecucion[id_operacion],tblEjecucion[precio],0))</f>
        <v/>
      </c>
      <c r="AH68" s="10">
        <f>IF(tblOrdenes[[#This Row],[orden]]="","",MAX(0,_xlfn.XLOOKUP(tblOrdenes[[#This Row],[id_operacion]],tblEjecucion[id_operacion],tblEjecucion[costo_plan_total],0)-tblOrdenes[[#This Row],[costo_servicio]]))</f>
        <v/>
      </c>
      <c r="AI68" s="10">
        <f>IF(tblOrdenes[[#This Row],[orden]]="","",tblOrdenes[[#This Row],[costo_servicio]]+tblOrdenes[[#This Row],[costo_materiales]])</f>
        <v/>
      </c>
      <c r="AJ68" s="6" t="inlineStr"/>
      <c r="AK68" s="6" t="inlineStr"/>
      <c r="AL68" s="6" t="inlineStr">
        <is>
          <t>ACT-04.pdf</t>
        </is>
      </c>
      <c r="AM68" s="3">
        <f>IF(tblOrdenes[[#This Row],[link_checklist]]="","",HYPERLINK(p_ruta_base_checklists&amp;tblOrdenes[[#This Row],[link_checklist]],"abrir"))</f>
        <v/>
      </c>
      <c r="AN68" s="6" t="inlineStr"/>
      <c r="AO68" s="3">
        <f>IF(tblOrdenes[[#This Row],[orden]]="","",tblOrdenes[[#This Row],[orden]]&amp;IF(tblOrdenes[[#This Row],[operacion]]="","0010",tblOrdenes[[#This Row],[operacion]]))</f>
        <v/>
      </c>
    </row>
    <row r="69">
      <c r="A69" s="3" t="inlineStr">
        <is>
          <t>OT-000066</t>
        </is>
      </c>
      <c r="B69" s="3" t="inlineStr">
        <is>
          <t>0010</t>
        </is>
      </c>
      <c r="C69" s="3" t="inlineStr">
        <is>
          <t>Inspección de rutina — EQ-108</t>
        </is>
      </c>
      <c r="D69" s="3" t="inlineStr">
        <is>
          <t>Inspección de rutina en EQ-108</t>
        </is>
      </c>
      <c r="E69" s="3" t="inlineStr">
        <is>
          <t>EQ-108</t>
        </is>
      </c>
      <c r="F69" s="3" t="inlineStr">
        <is>
          <t>CC-220</t>
        </is>
      </c>
      <c r="G69" s="3" t="inlineStr">
        <is>
          <t>PU-ELE</t>
        </is>
      </c>
      <c r="H69" s="3" t="inlineStr">
        <is>
          <t>ACT-01</t>
        </is>
      </c>
      <c r="I69" s="3" t="inlineStr">
        <is>
          <t>TIPO-P1</t>
        </is>
      </c>
      <c r="J69" s="11" t="n">
        <v>46223</v>
      </c>
      <c r="K69" s="3" t="n">
        <v>7</v>
      </c>
      <c r="L69" s="10" t="n">
        <v>175</v>
      </c>
      <c r="M69" s="6" t="n"/>
      <c r="N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9" s="3">
        <f>IF(tblOrdenes[[#This Row],[fecha_inicio]]="","",YEAR(tblOrdenes[[#This Row],[fecha_inicio]]))</f>
        <v/>
      </c>
      <c r="R69" s="3">
        <f>IF(tblOrdenes[[#This Row],[fecha_inicio]]="","",MONTH(tblOrdenes[[#This Row],[fecha_inicio]]))</f>
        <v/>
      </c>
      <c r="S69" s="3">
        <f>IF(tblOrdenes[[#This Row],[fecha_inicio]]="","",INDEX(lista_dias,WEEKDAY(tblOrdenes[[#This Row],[fecha_inicio]],2)))</f>
        <v/>
      </c>
      <c r="T69" s="3">
        <f>IF(tblOrdenes[[#This Row],[tipo_ot]]="","",_xlfn.XLOOKUP(tblOrdenes[[#This Row],[tipo_ot]],tblTiposOT[codigo],tblTiposOT[clasificacion],"sin_clasificar"))</f>
        <v/>
      </c>
      <c r="U69" s="3">
        <f>IF(tblOrdenes[[#This Row],[centro_costo]]="","",_xlfn.XLOOKUP(tblOrdenes[[#This Row],[centro_costo]],tblCECO[codigo],tblCECO[linea],"(sin catálogo)"))</f>
        <v/>
      </c>
      <c r="V69" s="3">
        <f>IF(tblOrdenes[[#This Row],[centro_costo]]="","",_xlfn.XLOOKUP(tblOrdenes[[#This Row],[centro_costo]],tblCECO[codigo],tblCECO[area],"(sin catálogo)"))</f>
        <v/>
      </c>
      <c r="W69" s="3">
        <f>IF(tblOrdenes[[#This Row],[centro_costo]]="","",_xlfn.XLOOKUP(tblOrdenes[[#This Row],[centro_costo]],tblCECO[codigo],tblCECO[coordinador],"(sin catálogo)"))</f>
        <v/>
      </c>
      <c r="X69" s="3">
        <f>IF(tblOrdenes[[#This Row],[puesto_trabajo]]="","",_xlfn.XLOOKUP(tblOrdenes[[#This Row],[puesto_trabajo]],tblPuestos[codigo],tblPuestos[especialidad],"(sin catálogo)"))</f>
        <v/>
      </c>
      <c r="Y69" s="3">
        <f>IF(tblOrdenes[[#This Row],[cod_actividad]]="","",_xlfn.XLOOKUP(tblOrdenes[[#This Row],[cod_actividad]],tblActividades[codigo],tblActividades[descripcion],"(sin catálogo)"))</f>
        <v/>
      </c>
      <c r="Z69" s="12">
        <f>IF(tblOrdenes[[#This Row],[fecha_inicio]]="","",TODAY()-tblOrdenes[[#This Row],[fecha_inicio]])</f>
        <v/>
      </c>
      <c r="AA69" s="3">
        <f>IF(tblOrdenes[[#This Row],[backlog_dias]]="","",IF(tblOrdenes[[#This Row],[backlog_dias]]&lt;0,"FUTURO",IF(tblOrdenes[[#This Row],[backlog_dias]]&gt;p_dias_backlog_max,"BACKLOG","MES CORRIENTE")))</f>
        <v/>
      </c>
      <c r="AB69" s="3">
        <f>IF(tblOrdenes[[#This Row],[backlog_dias]]="",FALSE,AND(tblOrdenes[[#This Row],[backlog_dias]]&gt;p_dias_backlog_min,tblOrdenes[[#This Row],[backlog_dias]]&lt;=p_dias_backlog_max))</f>
        <v/>
      </c>
      <c r="AC69" s="6" t="inlineStr">
        <is>
          <t>Técnico 07</t>
        </is>
      </c>
      <c r="AD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9" s="10">
        <f>IF(tblOrdenes[[#This Row],[orden]]="","",_xlfn.XLOOKUP(tblOrdenes[[#This Row],[id_operacion]],tblEjecucion[id_operacion],tblEjecucion[precio],0))</f>
        <v/>
      </c>
      <c r="AH69" s="10">
        <f>IF(tblOrdenes[[#This Row],[orden]]="","",MAX(0,_xlfn.XLOOKUP(tblOrdenes[[#This Row],[id_operacion]],tblEjecucion[id_operacion],tblEjecucion[costo_plan_total],0)-tblOrdenes[[#This Row],[costo_servicio]]))</f>
        <v/>
      </c>
      <c r="AI69" s="10">
        <f>IF(tblOrdenes[[#This Row],[orden]]="","",tblOrdenes[[#This Row],[costo_servicio]]+tblOrdenes[[#This Row],[costo_materiales]])</f>
        <v/>
      </c>
      <c r="AJ69" s="6" t="inlineStr"/>
      <c r="AK69" s="6" t="inlineStr"/>
      <c r="AL69" s="6" t="inlineStr">
        <is>
          <t>ACT-01.pdf</t>
        </is>
      </c>
      <c r="AM69" s="3">
        <f>IF(tblOrdenes[[#This Row],[link_checklist]]="","",HYPERLINK(p_ruta_base_checklists&amp;tblOrdenes[[#This Row],[link_checklist]],"abrir"))</f>
        <v/>
      </c>
      <c r="AN69" s="6" t="inlineStr"/>
      <c r="AO69" s="3">
        <f>IF(tblOrdenes[[#This Row],[orden]]="","",tblOrdenes[[#This Row],[orden]]&amp;IF(tblOrdenes[[#This Row],[operacion]]="","0010",tblOrdenes[[#This Row],[operacion]]))</f>
        <v/>
      </c>
    </row>
    <row r="70">
      <c r="A70" s="3" t="inlineStr">
        <is>
          <t>OT-000067</t>
        </is>
      </c>
      <c r="B70" s="3" t="inlineStr">
        <is>
          <t>0010</t>
        </is>
      </c>
      <c r="C70" s="3" t="inlineStr">
        <is>
          <t>Reparación de falla — EQ-103</t>
        </is>
      </c>
      <c r="D70" s="3" t="inlineStr">
        <is>
          <t>Reparación de falla en EQ-103</t>
        </is>
      </c>
      <c r="E70" s="3" t="inlineStr">
        <is>
          <t>EQ-103</t>
        </is>
      </c>
      <c r="F70" s="3" t="inlineStr">
        <is>
          <t>CC-120</t>
        </is>
      </c>
      <c r="G70" s="3" t="inlineStr">
        <is>
          <t>PU-ELE</t>
        </is>
      </c>
      <c r="H70" s="3" t="inlineStr">
        <is>
          <t>ACT-03</t>
        </is>
      </c>
      <c r="I70" s="3" t="inlineStr">
        <is>
          <t>TIPO-C2</t>
        </is>
      </c>
      <c r="J70" s="11" t="n">
        <v>46224</v>
      </c>
      <c r="K70" s="3" t="n">
        <v>10</v>
      </c>
      <c r="L70" s="10" t="n">
        <v>400</v>
      </c>
      <c r="M70" s="6" t="n"/>
      <c r="N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0" s="3">
        <f>IF(tblOrdenes[[#This Row],[fecha_inicio]]="","",YEAR(tblOrdenes[[#This Row],[fecha_inicio]]))</f>
        <v/>
      </c>
      <c r="R70" s="3">
        <f>IF(tblOrdenes[[#This Row],[fecha_inicio]]="","",MONTH(tblOrdenes[[#This Row],[fecha_inicio]]))</f>
        <v/>
      </c>
      <c r="S70" s="3">
        <f>IF(tblOrdenes[[#This Row],[fecha_inicio]]="","",INDEX(lista_dias,WEEKDAY(tblOrdenes[[#This Row],[fecha_inicio]],2)))</f>
        <v/>
      </c>
      <c r="T70" s="3">
        <f>IF(tblOrdenes[[#This Row],[tipo_ot]]="","",_xlfn.XLOOKUP(tblOrdenes[[#This Row],[tipo_ot]],tblTiposOT[codigo],tblTiposOT[clasificacion],"sin_clasificar"))</f>
        <v/>
      </c>
      <c r="U70" s="3">
        <f>IF(tblOrdenes[[#This Row],[centro_costo]]="","",_xlfn.XLOOKUP(tblOrdenes[[#This Row],[centro_costo]],tblCECO[codigo],tblCECO[linea],"(sin catálogo)"))</f>
        <v/>
      </c>
      <c r="V70" s="3">
        <f>IF(tblOrdenes[[#This Row],[centro_costo]]="","",_xlfn.XLOOKUP(tblOrdenes[[#This Row],[centro_costo]],tblCECO[codigo],tblCECO[area],"(sin catálogo)"))</f>
        <v/>
      </c>
      <c r="W70" s="3">
        <f>IF(tblOrdenes[[#This Row],[centro_costo]]="","",_xlfn.XLOOKUP(tblOrdenes[[#This Row],[centro_costo]],tblCECO[codigo],tblCECO[coordinador],"(sin catálogo)"))</f>
        <v/>
      </c>
      <c r="X70" s="3">
        <f>IF(tblOrdenes[[#This Row],[puesto_trabajo]]="","",_xlfn.XLOOKUP(tblOrdenes[[#This Row],[puesto_trabajo]],tblPuestos[codigo],tblPuestos[especialidad],"(sin catálogo)"))</f>
        <v/>
      </c>
      <c r="Y70" s="3">
        <f>IF(tblOrdenes[[#This Row],[cod_actividad]]="","",_xlfn.XLOOKUP(tblOrdenes[[#This Row],[cod_actividad]],tblActividades[codigo],tblActividades[descripcion],"(sin catálogo)"))</f>
        <v/>
      </c>
      <c r="Z70" s="12">
        <f>IF(tblOrdenes[[#This Row],[fecha_inicio]]="","",TODAY()-tblOrdenes[[#This Row],[fecha_inicio]])</f>
        <v/>
      </c>
      <c r="AA70" s="3">
        <f>IF(tblOrdenes[[#This Row],[backlog_dias]]="","",IF(tblOrdenes[[#This Row],[backlog_dias]]&lt;0,"FUTURO",IF(tblOrdenes[[#This Row],[backlog_dias]]&gt;p_dias_backlog_max,"BACKLOG","MES CORRIENTE")))</f>
        <v/>
      </c>
      <c r="AB70" s="3">
        <f>IF(tblOrdenes[[#This Row],[backlog_dias]]="",FALSE,AND(tblOrdenes[[#This Row],[backlog_dias]]&gt;p_dias_backlog_min,tblOrdenes[[#This Row],[backlog_dias]]&lt;=p_dias_backlog_max))</f>
        <v/>
      </c>
      <c r="AC70" s="6" t="inlineStr">
        <is>
          <t>Técnico 05</t>
        </is>
      </c>
      <c r="AD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0" s="10">
        <f>IF(tblOrdenes[[#This Row],[orden]]="","",_xlfn.XLOOKUP(tblOrdenes[[#This Row],[id_operacion]],tblEjecucion[id_operacion],tblEjecucion[precio],0))</f>
        <v/>
      </c>
      <c r="AH70" s="10">
        <f>IF(tblOrdenes[[#This Row],[orden]]="","",MAX(0,_xlfn.XLOOKUP(tblOrdenes[[#This Row],[id_operacion]],tblEjecucion[id_operacion],tblEjecucion[costo_plan_total],0)-tblOrdenes[[#This Row],[costo_servicio]]))</f>
        <v/>
      </c>
      <c r="AI70" s="10">
        <f>IF(tblOrdenes[[#This Row],[orden]]="","",tblOrdenes[[#This Row],[costo_servicio]]+tblOrdenes[[#This Row],[costo_materiales]])</f>
        <v/>
      </c>
      <c r="AJ70" s="6" t="inlineStr"/>
      <c r="AK70" s="6" t="inlineStr"/>
      <c r="AL70" s="6" t="inlineStr"/>
      <c r="AM70" s="3">
        <f>IF(tblOrdenes[[#This Row],[link_checklist]]="","",HYPERLINK(p_ruta_base_checklists&amp;tblOrdenes[[#This Row],[link_checklist]],"abrir"))</f>
        <v/>
      </c>
      <c r="AN70" s="6" t="inlineStr"/>
      <c r="AO70" s="3">
        <f>IF(tblOrdenes[[#This Row],[orden]]="","",tblOrdenes[[#This Row],[orden]]&amp;IF(tblOrdenes[[#This Row],[operacion]]="","0010",tblOrdenes[[#This Row],[operacion]]))</f>
        <v/>
      </c>
    </row>
    <row r="71">
      <c r="A71" s="3" t="inlineStr">
        <is>
          <t>OT-000068</t>
        </is>
      </c>
      <c r="B71" s="3" t="inlineStr">
        <is>
          <t>0010</t>
        </is>
      </c>
      <c r="C71" s="3" t="inlineStr">
        <is>
          <t>Reparación de falla — EQ-106</t>
        </is>
      </c>
      <c r="D71" s="3" t="inlineStr">
        <is>
          <t>Reparación de falla en EQ-106</t>
        </is>
      </c>
      <c r="E71" s="3" t="inlineStr">
        <is>
          <t>EQ-106</t>
        </is>
      </c>
      <c r="F71" s="3" t="inlineStr">
        <is>
          <t>CC-220</t>
        </is>
      </c>
      <c r="G71" s="3" t="inlineStr">
        <is>
          <t>PU-ELE</t>
        </is>
      </c>
      <c r="H71" s="3" t="inlineStr">
        <is>
          <t>ACT-03</t>
        </is>
      </c>
      <c r="I71" s="3" t="inlineStr">
        <is>
          <t>TIPO-C1</t>
        </is>
      </c>
      <c r="J71" s="11" t="n">
        <v>46225</v>
      </c>
      <c r="K71" s="3" t="n">
        <v>10</v>
      </c>
      <c r="L71" s="10" t="n">
        <v>400</v>
      </c>
      <c r="M71" s="6" t="n"/>
      <c r="N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1" s="3">
        <f>IF(tblOrdenes[[#This Row],[fecha_inicio]]="","",YEAR(tblOrdenes[[#This Row],[fecha_inicio]]))</f>
        <v/>
      </c>
      <c r="R71" s="3">
        <f>IF(tblOrdenes[[#This Row],[fecha_inicio]]="","",MONTH(tblOrdenes[[#This Row],[fecha_inicio]]))</f>
        <v/>
      </c>
      <c r="S71" s="3">
        <f>IF(tblOrdenes[[#This Row],[fecha_inicio]]="","",INDEX(lista_dias,WEEKDAY(tblOrdenes[[#This Row],[fecha_inicio]],2)))</f>
        <v/>
      </c>
      <c r="T71" s="3">
        <f>IF(tblOrdenes[[#This Row],[tipo_ot]]="","",_xlfn.XLOOKUP(tblOrdenes[[#This Row],[tipo_ot]],tblTiposOT[codigo],tblTiposOT[clasificacion],"sin_clasificar"))</f>
        <v/>
      </c>
      <c r="U71" s="3">
        <f>IF(tblOrdenes[[#This Row],[centro_costo]]="","",_xlfn.XLOOKUP(tblOrdenes[[#This Row],[centro_costo]],tblCECO[codigo],tblCECO[linea],"(sin catálogo)"))</f>
        <v/>
      </c>
      <c r="V71" s="3">
        <f>IF(tblOrdenes[[#This Row],[centro_costo]]="","",_xlfn.XLOOKUP(tblOrdenes[[#This Row],[centro_costo]],tblCECO[codigo],tblCECO[area],"(sin catálogo)"))</f>
        <v/>
      </c>
      <c r="W71" s="3">
        <f>IF(tblOrdenes[[#This Row],[centro_costo]]="","",_xlfn.XLOOKUP(tblOrdenes[[#This Row],[centro_costo]],tblCECO[codigo],tblCECO[coordinador],"(sin catálogo)"))</f>
        <v/>
      </c>
      <c r="X71" s="3">
        <f>IF(tblOrdenes[[#This Row],[puesto_trabajo]]="","",_xlfn.XLOOKUP(tblOrdenes[[#This Row],[puesto_trabajo]],tblPuestos[codigo],tblPuestos[especialidad],"(sin catálogo)"))</f>
        <v/>
      </c>
      <c r="Y71" s="3">
        <f>IF(tblOrdenes[[#This Row],[cod_actividad]]="","",_xlfn.XLOOKUP(tblOrdenes[[#This Row],[cod_actividad]],tblActividades[codigo],tblActividades[descripcion],"(sin catálogo)"))</f>
        <v/>
      </c>
      <c r="Z71" s="12">
        <f>IF(tblOrdenes[[#This Row],[fecha_inicio]]="","",TODAY()-tblOrdenes[[#This Row],[fecha_inicio]])</f>
        <v/>
      </c>
      <c r="AA71" s="3">
        <f>IF(tblOrdenes[[#This Row],[backlog_dias]]="","",IF(tblOrdenes[[#This Row],[backlog_dias]]&lt;0,"FUTURO",IF(tblOrdenes[[#This Row],[backlog_dias]]&gt;p_dias_backlog_max,"BACKLOG","MES CORRIENTE")))</f>
        <v/>
      </c>
      <c r="AB71" s="3">
        <f>IF(tblOrdenes[[#This Row],[backlog_dias]]="",FALSE,AND(tblOrdenes[[#This Row],[backlog_dias]]&gt;p_dias_backlog_min,tblOrdenes[[#This Row],[backlog_dias]]&lt;=p_dias_backlog_max))</f>
        <v/>
      </c>
      <c r="AC71" s="6" t="inlineStr">
        <is>
          <t>Técnico 06</t>
        </is>
      </c>
      <c r="AD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1" s="10">
        <f>IF(tblOrdenes[[#This Row],[orden]]="","",_xlfn.XLOOKUP(tblOrdenes[[#This Row],[id_operacion]],tblEjecucion[id_operacion],tblEjecucion[precio],0))</f>
        <v/>
      </c>
      <c r="AH71" s="10">
        <f>IF(tblOrdenes[[#This Row],[orden]]="","",MAX(0,_xlfn.XLOOKUP(tblOrdenes[[#This Row],[id_operacion]],tblEjecucion[id_operacion],tblEjecucion[costo_plan_total],0)-tblOrdenes[[#This Row],[costo_servicio]]))</f>
        <v/>
      </c>
      <c r="AI71" s="10">
        <f>IF(tblOrdenes[[#This Row],[orden]]="","",tblOrdenes[[#This Row],[costo_servicio]]+tblOrdenes[[#This Row],[costo_materiales]])</f>
        <v/>
      </c>
      <c r="AJ71" s="6" t="inlineStr">
        <is>
          <t>PT-CALIENTE</t>
        </is>
      </c>
      <c r="AK71" s="6" t="inlineStr">
        <is>
          <t>LOTO</t>
        </is>
      </c>
      <c r="AL71" s="6" t="inlineStr"/>
      <c r="AM71" s="3">
        <f>IF(tblOrdenes[[#This Row],[link_checklist]]="","",HYPERLINK(p_ruta_base_checklists&amp;tblOrdenes[[#This Row],[link_checklist]],"abrir"))</f>
        <v/>
      </c>
      <c r="AN71" s="6" t="inlineStr"/>
      <c r="AO71" s="3">
        <f>IF(tblOrdenes[[#This Row],[orden]]="","",tblOrdenes[[#This Row],[orden]]&amp;IF(tblOrdenes[[#This Row],[operacion]]="","0010",tblOrdenes[[#This Row],[operacion]]))</f>
        <v/>
      </c>
    </row>
    <row r="72">
      <c r="A72" s="3" t="inlineStr">
        <is>
          <t>OT-000069</t>
        </is>
      </c>
      <c r="B72" s="3" t="inlineStr">
        <is>
          <t>0010</t>
        </is>
      </c>
      <c r="C72" s="3" t="inlineStr">
        <is>
          <t>Inspección de rutina — EQ-105</t>
        </is>
      </c>
      <c r="D72" s="3" t="inlineStr">
        <is>
          <t>Inspección de rutina en EQ-105</t>
        </is>
      </c>
      <c r="E72" s="3" t="inlineStr">
        <is>
          <t>EQ-105</t>
        </is>
      </c>
      <c r="F72" s="3" t="inlineStr">
        <is>
          <t>CC-120</t>
        </is>
      </c>
      <c r="G72" s="3" t="inlineStr">
        <is>
          <t>PU-ELE</t>
        </is>
      </c>
      <c r="H72" s="3" t="inlineStr">
        <is>
          <t>ACT-01</t>
        </is>
      </c>
      <c r="I72" s="3" t="inlineStr">
        <is>
          <t>TIPO-P2</t>
        </is>
      </c>
      <c r="J72" s="11" t="n">
        <v>46233</v>
      </c>
      <c r="K72" s="3" t="n">
        <v>10</v>
      </c>
      <c r="L72" s="10" t="n">
        <v>250</v>
      </c>
      <c r="M72" s="6" t="n"/>
      <c r="N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2" s="3">
        <f>IF(tblOrdenes[[#This Row],[fecha_inicio]]="","",YEAR(tblOrdenes[[#This Row],[fecha_inicio]]))</f>
        <v/>
      </c>
      <c r="R72" s="3">
        <f>IF(tblOrdenes[[#This Row],[fecha_inicio]]="","",MONTH(tblOrdenes[[#This Row],[fecha_inicio]]))</f>
        <v/>
      </c>
      <c r="S72" s="3">
        <f>IF(tblOrdenes[[#This Row],[fecha_inicio]]="","",INDEX(lista_dias,WEEKDAY(tblOrdenes[[#This Row],[fecha_inicio]],2)))</f>
        <v/>
      </c>
      <c r="T72" s="3">
        <f>IF(tblOrdenes[[#This Row],[tipo_ot]]="","",_xlfn.XLOOKUP(tblOrdenes[[#This Row],[tipo_ot]],tblTiposOT[codigo],tblTiposOT[clasificacion],"sin_clasificar"))</f>
        <v/>
      </c>
      <c r="U72" s="3">
        <f>IF(tblOrdenes[[#This Row],[centro_costo]]="","",_xlfn.XLOOKUP(tblOrdenes[[#This Row],[centro_costo]],tblCECO[codigo],tblCECO[linea],"(sin catálogo)"))</f>
        <v/>
      </c>
      <c r="V72" s="3">
        <f>IF(tblOrdenes[[#This Row],[centro_costo]]="","",_xlfn.XLOOKUP(tblOrdenes[[#This Row],[centro_costo]],tblCECO[codigo],tblCECO[area],"(sin catálogo)"))</f>
        <v/>
      </c>
      <c r="W72" s="3">
        <f>IF(tblOrdenes[[#This Row],[centro_costo]]="","",_xlfn.XLOOKUP(tblOrdenes[[#This Row],[centro_costo]],tblCECO[codigo],tblCECO[coordinador],"(sin catálogo)"))</f>
        <v/>
      </c>
      <c r="X72" s="3">
        <f>IF(tblOrdenes[[#This Row],[puesto_trabajo]]="","",_xlfn.XLOOKUP(tblOrdenes[[#This Row],[puesto_trabajo]],tblPuestos[codigo],tblPuestos[especialidad],"(sin catálogo)"))</f>
        <v/>
      </c>
      <c r="Y72" s="3">
        <f>IF(tblOrdenes[[#This Row],[cod_actividad]]="","",_xlfn.XLOOKUP(tblOrdenes[[#This Row],[cod_actividad]],tblActividades[codigo],tblActividades[descripcion],"(sin catálogo)"))</f>
        <v/>
      </c>
      <c r="Z72" s="12">
        <f>IF(tblOrdenes[[#This Row],[fecha_inicio]]="","",TODAY()-tblOrdenes[[#This Row],[fecha_inicio]])</f>
        <v/>
      </c>
      <c r="AA72" s="3">
        <f>IF(tblOrdenes[[#This Row],[backlog_dias]]="","",IF(tblOrdenes[[#This Row],[backlog_dias]]&lt;0,"FUTURO",IF(tblOrdenes[[#This Row],[backlog_dias]]&gt;p_dias_backlog_max,"BACKLOG","MES CORRIENTE")))</f>
        <v/>
      </c>
      <c r="AB72" s="3">
        <f>IF(tblOrdenes[[#This Row],[backlog_dias]]="",FALSE,AND(tblOrdenes[[#This Row],[backlog_dias]]&gt;p_dias_backlog_min,tblOrdenes[[#This Row],[backlog_dias]]&lt;=p_dias_backlog_max))</f>
        <v/>
      </c>
      <c r="AC72" s="6" t="inlineStr">
        <is>
          <t>Técnico 07</t>
        </is>
      </c>
      <c r="AD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2" s="10">
        <f>IF(tblOrdenes[[#This Row],[orden]]="","",_xlfn.XLOOKUP(tblOrdenes[[#This Row],[id_operacion]],tblEjecucion[id_operacion],tblEjecucion[precio],0))</f>
        <v/>
      </c>
      <c r="AH72" s="10">
        <f>IF(tblOrdenes[[#This Row],[orden]]="","",MAX(0,_xlfn.XLOOKUP(tblOrdenes[[#This Row],[id_operacion]],tblEjecucion[id_operacion],tblEjecucion[costo_plan_total],0)-tblOrdenes[[#This Row],[costo_servicio]]))</f>
        <v/>
      </c>
      <c r="AI72" s="10">
        <f>IF(tblOrdenes[[#This Row],[orden]]="","",tblOrdenes[[#This Row],[costo_servicio]]+tblOrdenes[[#This Row],[costo_materiales]])</f>
        <v/>
      </c>
      <c r="AJ72" s="6" t="inlineStr"/>
      <c r="AK72" s="6" t="inlineStr"/>
      <c r="AL72" s="6" t="inlineStr">
        <is>
          <t>ACT-01.pdf</t>
        </is>
      </c>
      <c r="AM72" s="3">
        <f>IF(tblOrdenes[[#This Row],[link_checklist]]="","",HYPERLINK(p_ruta_base_checklists&amp;tblOrdenes[[#This Row],[link_checklist]],"abrir"))</f>
        <v/>
      </c>
      <c r="AN72" s="6" t="inlineStr"/>
      <c r="AO72" s="3">
        <f>IF(tblOrdenes[[#This Row],[orden]]="","",tblOrdenes[[#This Row],[orden]]&amp;IF(tblOrdenes[[#This Row],[operacion]]="","0010",tblOrdenes[[#This Row],[operacion]]))</f>
        <v/>
      </c>
    </row>
    <row r="73">
      <c r="A73" s="3" t="inlineStr">
        <is>
          <t>OT-000070</t>
        </is>
      </c>
      <c r="B73" s="3" t="inlineStr">
        <is>
          <t>0010</t>
        </is>
      </c>
      <c r="C73" s="3" t="inlineStr">
        <is>
          <t>Lubricación programada — EQ-108</t>
        </is>
      </c>
      <c r="D73" s="3" t="inlineStr">
        <is>
          <t>Lubricación programada en EQ-108</t>
        </is>
      </c>
      <c r="E73" s="3" t="inlineStr">
        <is>
          <t>EQ-108</t>
        </is>
      </c>
      <c r="F73" s="3" t="inlineStr">
        <is>
          <t>CC-220</t>
        </is>
      </c>
      <c r="G73" s="3" t="inlineStr">
        <is>
          <t>PU-ELE</t>
        </is>
      </c>
      <c r="H73" s="3" t="inlineStr">
        <is>
          <t>ACT-02</t>
        </is>
      </c>
      <c r="I73" s="3" t="inlineStr">
        <is>
          <t>TIPO-P1</t>
        </is>
      </c>
      <c r="J73" s="11" t="n">
        <v>46234</v>
      </c>
      <c r="K73" s="3" t="n">
        <v>8</v>
      </c>
      <c r="L73" s="10" t="n">
        <v>200</v>
      </c>
      <c r="M73" s="6" t="n"/>
      <c r="N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3" s="3">
        <f>IF(tblOrdenes[[#This Row],[fecha_inicio]]="","",YEAR(tblOrdenes[[#This Row],[fecha_inicio]]))</f>
        <v/>
      </c>
      <c r="R73" s="3">
        <f>IF(tblOrdenes[[#This Row],[fecha_inicio]]="","",MONTH(tblOrdenes[[#This Row],[fecha_inicio]]))</f>
        <v/>
      </c>
      <c r="S73" s="3">
        <f>IF(tblOrdenes[[#This Row],[fecha_inicio]]="","",INDEX(lista_dias,WEEKDAY(tblOrdenes[[#This Row],[fecha_inicio]],2)))</f>
        <v/>
      </c>
      <c r="T73" s="3">
        <f>IF(tblOrdenes[[#This Row],[tipo_ot]]="","",_xlfn.XLOOKUP(tblOrdenes[[#This Row],[tipo_ot]],tblTiposOT[codigo],tblTiposOT[clasificacion],"sin_clasificar"))</f>
        <v/>
      </c>
      <c r="U73" s="3">
        <f>IF(tblOrdenes[[#This Row],[centro_costo]]="","",_xlfn.XLOOKUP(tblOrdenes[[#This Row],[centro_costo]],tblCECO[codigo],tblCECO[linea],"(sin catálogo)"))</f>
        <v/>
      </c>
      <c r="V73" s="3">
        <f>IF(tblOrdenes[[#This Row],[centro_costo]]="","",_xlfn.XLOOKUP(tblOrdenes[[#This Row],[centro_costo]],tblCECO[codigo],tblCECO[area],"(sin catálogo)"))</f>
        <v/>
      </c>
      <c r="W73" s="3">
        <f>IF(tblOrdenes[[#This Row],[centro_costo]]="","",_xlfn.XLOOKUP(tblOrdenes[[#This Row],[centro_costo]],tblCECO[codigo],tblCECO[coordinador],"(sin catálogo)"))</f>
        <v/>
      </c>
      <c r="X73" s="3">
        <f>IF(tblOrdenes[[#This Row],[puesto_trabajo]]="","",_xlfn.XLOOKUP(tblOrdenes[[#This Row],[puesto_trabajo]],tblPuestos[codigo],tblPuestos[especialidad],"(sin catálogo)"))</f>
        <v/>
      </c>
      <c r="Y73" s="3">
        <f>IF(tblOrdenes[[#This Row],[cod_actividad]]="","",_xlfn.XLOOKUP(tblOrdenes[[#This Row],[cod_actividad]],tblActividades[codigo],tblActividades[descripcion],"(sin catálogo)"))</f>
        <v/>
      </c>
      <c r="Z73" s="12">
        <f>IF(tblOrdenes[[#This Row],[fecha_inicio]]="","",TODAY()-tblOrdenes[[#This Row],[fecha_inicio]])</f>
        <v/>
      </c>
      <c r="AA73" s="3">
        <f>IF(tblOrdenes[[#This Row],[backlog_dias]]="","",IF(tblOrdenes[[#This Row],[backlog_dias]]&lt;0,"FUTURO",IF(tblOrdenes[[#This Row],[backlog_dias]]&gt;p_dias_backlog_max,"BACKLOG","MES CORRIENTE")))</f>
        <v/>
      </c>
      <c r="AB73" s="3">
        <f>IF(tblOrdenes[[#This Row],[backlog_dias]]="",FALSE,AND(tblOrdenes[[#This Row],[backlog_dias]]&gt;p_dias_backlog_min,tblOrdenes[[#This Row],[backlog_dias]]&lt;=p_dias_backlog_max))</f>
        <v/>
      </c>
      <c r="AC73" s="6" t="inlineStr">
        <is>
          <t>Técnico 05</t>
        </is>
      </c>
      <c r="AD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3" s="10">
        <f>IF(tblOrdenes[[#This Row],[orden]]="","",_xlfn.XLOOKUP(tblOrdenes[[#This Row],[id_operacion]],tblEjecucion[id_operacion],tblEjecucion[precio],0))</f>
        <v/>
      </c>
      <c r="AH73" s="10">
        <f>IF(tblOrdenes[[#This Row],[orden]]="","",MAX(0,_xlfn.XLOOKUP(tblOrdenes[[#This Row],[id_operacion]],tblEjecucion[id_operacion],tblEjecucion[costo_plan_total],0)-tblOrdenes[[#This Row],[costo_servicio]]))</f>
        <v/>
      </c>
      <c r="AI73" s="10">
        <f>IF(tblOrdenes[[#This Row],[orden]]="","",tblOrdenes[[#This Row],[costo_servicio]]+tblOrdenes[[#This Row],[costo_materiales]])</f>
        <v/>
      </c>
      <c r="AJ73" s="6" t="inlineStr"/>
      <c r="AK73" s="6" t="inlineStr"/>
      <c r="AL73" s="6" t="inlineStr">
        <is>
          <t>ACT-02.pdf</t>
        </is>
      </c>
      <c r="AM73" s="3">
        <f>IF(tblOrdenes[[#This Row],[link_checklist]]="","",HYPERLINK(p_ruta_base_checklists&amp;tblOrdenes[[#This Row],[link_checklist]],"abrir"))</f>
        <v/>
      </c>
      <c r="AN73" s="6" t="inlineStr"/>
      <c r="AO73" s="3">
        <f>IF(tblOrdenes[[#This Row],[orden]]="","",tblOrdenes[[#This Row],[orden]]&amp;IF(tblOrdenes[[#This Row],[operacion]]="","0010",tblOrdenes[[#This Row],[operacion]]))</f>
        <v/>
      </c>
    </row>
    <row r="74">
      <c r="A74" s="3" t="inlineStr">
        <is>
          <t>OT-000071</t>
        </is>
      </c>
      <c r="B74" s="3" t="inlineStr">
        <is>
          <t>0010</t>
        </is>
      </c>
      <c r="C74" s="3" t="inlineStr">
        <is>
          <t>Análisis predictivo — EQ-102</t>
        </is>
      </c>
      <c r="D74" s="3" t="inlineStr">
        <is>
          <t>Análisis predictivo en EQ-102</t>
        </is>
      </c>
      <c r="E74" s="3" t="inlineStr">
        <is>
          <t>EQ-102</t>
        </is>
      </c>
      <c r="F74" s="3" t="inlineStr">
        <is>
          <t>CC-120</t>
        </is>
      </c>
      <c r="G74" s="3" t="inlineStr">
        <is>
          <t>PU-ELE</t>
        </is>
      </c>
      <c r="H74" s="3" t="inlineStr">
        <is>
          <t>ACT-04</t>
        </is>
      </c>
      <c r="I74" s="3" t="inlineStr">
        <is>
          <t>TIPO-P2</t>
        </is>
      </c>
      <c r="J74" s="11" t="n">
        <v>46230</v>
      </c>
      <c r="K74" s="3" t="n">
        <v>6</v>
      </c>
      <c r="L74" s="10" t="n">
        <v>150</v>
      </c>
      <c r="M74" s="6" t="n"/>
      <c r="N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4" s="3">
        <f>IF(tblOrdenes[[#This Row],[fecha_inicio]]="","",YEAR(tblOrdenes[[#This Row],[fecha_inicio]]))</f>
        <v/>
      </c>
      <c r="R74" s="3">
        <f>IF(tblOrdenes[[#This Row],[fecha_inicio]]="","",MONTH(tblOrdenes[[#This Row],[fecha_inicio]]))</f>
        <v/>
      </c>
      <c r="S74" s="3">
        <f>IF(tblOrdenes[[#This Row],[fecha_inicio]]="","",INDEX(lista_dias,WEEKDAY(tblOrdenes[[#This Row],[fecha_inicio]],2)))</f>
        <v/>
      </c>
      <c r="T74" s="3">
        <f>IF(tblOrdenes[[#This Row],[tipo_ot]]="","",_xlfn.XLOOKUP(tblOrdenes[[#This Row],[tipo_ot]],tblTiposOT[codigo],tblTiposOT[clasificacion],"sin_clasificar"))</f>
        <v/>
      </c>
      <c r="U74" s="3">
        <f>IF(tblOrdenes[[#This Row],[centro_costo]]="","",_xlfn.XLOOKUP(tblOrdenes[[#This Row],[centro_costo]],tblCECO[codigo],tblCECO[linea],"(sin catálogo)"))</f>
        <v/>
      </c>
      <c r="V74" s="3">
        <f>IF(tblOrdenes[[#This Row],[centro_costo]]="","",_xlfn.XLOOKUP(tblOrdenes[[#This Row],[centro_costo]],tblCECO[codigo],tblCECO[area],"(sin catálogo)"))</f>
        <v/>
      </c>
      <c r="W74" s="3">
        <f>IF(tblOrdenes[[#This Row],[centro_costo]]="","",_xlfn.XLOOKUP(tblOrdenes[[#This Row],[centro_costo]],tblCECO[codigo],tblCECO[coordinador],"(sin catálogo)"))</f>
        <v/>
      </c>
      <c r="X74" s="3">
        <f>IF(tblOrdenes[[#This Row],[puesto_trabajo]]="","",_xlfn.XLOOKUP(tblOrdenes[[#This Row],[puesto_trabajo]],tblPuestos[codigo],tblPuestos[especialidad],"(sin catálogo)"))</f>
        <v/>
      </c>
      <c r="Y74" s="3">
        <f>IF(tblOrdenes[[#This Row],[cod_actividad]]="","",_xlfn.XLOOKUP(tblOrdenes[[#This Row],[cod_actividad]],tblActividades[codigo],tblActividades[descripcion],"(sin catálogo)"))</f>
        <v/>
      </c>
      <c r="Z74" s="12">
        <f>IF(tblOrdenes[[#This Row],[fecha_inicio]]="","",TODAY()-tblOrdenes[[#This Row],[fecha_inicio]])</f>
        <v/>
      </c>
      <c r="AA74" s="3">
        <f>IF(tblOrdenes[[#This Row],[backlog_dias]]="","",IF(tblOrdenes[[#This Row],[backlog_dias]]&lt;0,"FUTURO",IF(tblOrdenes[[#This Row],[backlog_dias]]&gt;p_dias_backlog_max,"BACKLOG","MES CORRIENTE")))</f>
        <v/>
      </c>
      <c r="AB74" s="3">
        <f>IF(tblOrdenes[[#This Row],[backlog_dias]]="",FALSE,AND(tblOrdenes[[#This Row],[backlog_dias]]&gt;p_dias_backlog_min,tblOrdenes[[#This Row],[backlog_dias]]&lt;=p_dias_backlog_max))</f>
        <v/>
      </c>
      <c r="AC74" s="6" t="inlineStr">
        <is>
          <t>Técnico 06</t>
        </is>
      </c>
      <c r="AD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4" s="10">
        <f>IF(tblOrdenes[[#This Row],[orden]]="","",_xlfn.XLOOKUP(tblOrdenes[[#This Row],[id_operacion]],tblEjecucion[id_operacion],tblEjecucion[precio],0))</f>
        <v/>
      </c>
      <c r="AH74" s="10">
        <f>IF(tblOrdenes[[#This Row],[orden]]="","",MAX(0,_xlfn.XLOOKUP(tblOrdenes[[#This Row],[id_operacion]],tblEjecucion[id_operacion],tblEjecucion[costo_plan_total],0)-tblOrdenes[[#This Row],[costo_servicio]]))</f>
        <v/>
      </c>
      <c r="AI74" s="10">
        <f>IF(tblOrdenes[[#This Row],[orden]]="","",tblOrdenes[[#This Row],[costo_servicio]]+tblOrdenes[[#This Row],[costo_materiales]])</f>
        <v/>
      </c>
      <c r="AJ74" s="6" t="inlineStr"/>
      <c r="AK74" s="6" t="inlineStr"/>
      <c r="AL74" s="6" t="inlineStr">
        <is>
          <t>ACT-04.pdf</t>
        </is>
      </c>
      <c r="AM74" s="3">
        <f>IF(tblOrdenes[[#This Row],[link_checklist]]="","",HYPERLINK(p_ruta_base_checklists&amp;tblOrdenes[[#This Row],[link_checklist]],"abrir"))</f>
        <v/>
      </c>
      <c r="AN74" s="6" t="inlineStr"/>
      <c r="AO74" s="3">
        <f>IF(tblOrdenes[[#This Row],[orden]]="","",tblOrdenes[[#This Row],[orden]]&amp;IF(tblOrdenes[[#This Row],[operacion]]="","0010",tblOrdenes[[#This Row],[operacion]]))</f>
        <v/>
      </c>
    </row>
    <row r="75">
      <c r="A75" s="3" t="inlineStr">
        <is>
          <t>OT-000072</t>
        </is>
      </c>
      <c r="B75" s="3" t="inlineStr">
        <is>
          <t>0010</t>
        </is>
      </c>
      <c r="C75" s="3" t="inlineStr">
        <is>
          <t>Inspección de rutina — EQ-106</t>
        </is>
      </c>
      <c r="D75" s="3" t="inlineStr">
        <is>
          <t>Inspección de rutina en EQ-106</t>
        </is>
      </c>
      <c r="E75" s="3" t="inlineStr">
        <is>
          <t>EQ-106</t>
        </is>
      </c>
      <c r="F75" s="3" t="inlineStr">
        <is>
          <t>CC-220</t>
        </is>
      </c>
      <c r="G75" s="3" t="inlineStr">
        <is>
          <t>PU-ELE</t>
        </is>
      </c>
      <c r="H75" s="3" t="inlineStr">
        <is>
          <t>ACT-01</t>
        </is>
      </c>
      <c r="I75" s="3" t="inlineStr">
        <is>
          <t>TIPO-P1</t>
        </is>
      </c>
      <c r="J75" s="11" t="n">
        <v>46231</v>
      </c>
      <c r="K75" s="3" t="n">
        <v>10</v>
      </c>
      <c r="L75" s="10" t="n">
        <v>250</v>
      </c>
      <c r="M75" s="6" t="n"/>
      <c r="N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5" s="3">
        <f>IF(tblOrdenes[[#This Row],[fecha_inicio]]="","",YEAR(tblOrdenes[[#This Row],[fecha_inicio]]))</f>
        <v/>
      </c>
      <c r="R75" s="3">
        <f>IF(tblOrdenes[[#This Row],[fecha_inicio]]="","",MONTH(tblOrdenes[[#This Row],[fecha_inicio]]))</f>
        <v/>
      </c>
      <c r="S75" s="3">
        <f>IF(tblOrdenes[[#This Row],[fecha_inicio]]="","",INDEX(lista_dias,WEEKDAY(tblOrdenes[[#This Row],[fecha_inicio]],2)))</f>
        <v/>
      </c>
      <c r="T75" s="3">
        <f>IF(tblOrdenes[[#This Row],[tipo_ot]]="","",_xlfn.XLOOKUP(tblOrdenes[[#This Row],[tipo_ot]],tblTiposOT[codigo],tblTiposOT[clasificacion],"sin_clasificar"))</f>
        <v/>
      </c>
      <c r="U75" s="3">
        <f>IF(tblOrdenes[[#This Row],[centro_costo]]="","",_xlfn.XLOOKUP(tblOrdenes[[#This Row],[centro_costo]],tblCECO[codigo],tblCECO[linea],"(sin catálogo)"))</f>
        <v/>
      </c>
      <c r="V75" s="3">
        <f>IF(tblOrdenes[[#This Row],[centro_costo]]="","",_xlfn.XLOOKUP(tblOrdenes[[#This Row],[centro_costo]],tblCECO[codigo],tblCECO[area],"(sin catálogo)"))</f>
        <v/>
      </c>
      <c r="W75" s="3">
        <f>IF(tblOrdenes[[#This Row],[centro_costo]]="","",_xlfn.XLOOKUP(tblOrdenes[[#This Row],[centro_costo]],tblCECO[codigo],tblCECO[coordinador],"(sin catálogo)"))</f>
        <v/>
      </c>
      <c r="X75" s="3">
        <f>IF(tblOrdenes[[#This Row],[puesto_trabajo]]="","",_xlfn.XLOOKUP(tblOrdenes[[#This Row],[puesto_trabajo]],tblPuestos[codigo],tblPuestos[especialidad],"(sin catálogo)"))</f>
        <v/>
      </c>
      <c r="Y75" s="3">
        <f>IF(tblOrdenes[[#This Row],[cod_actividad]]="","",_xlfn.XLOOKUP(tblOrdenes[[#This Row],[cod_actividad]],tblActividades[codigo],tblActividades[descripcion],"(sin catálogo)"))</f>
        <v/>
      </c>
      <c r="Z75" s="12">
        <f>IF(tblOrdenes[[#This Row],[fecha_inicio]]="","",TODAY()-tblOrdenes[[#This Row],[fecha_inicio]])</f>
        <v/>
      </c>
      <c r="AA75" s="3">
        <f>IF(tblOrdenes[[#This Row],[backlog_dias]]="","",IF(tblOrdenes[[#This Row],[backlog_dias]]&lt;0,"FUTURO",IF(tblOrdenes[[#This Row],[backlog_dias]]&gt;p_dias_backlog_max,"BACKLOG","MES CORRIENTE")))</f>
        <v/>
      </c>
      <c r="AB75" s="3">
        <f>IF(tblOrdenes[[#This Row],[backlog_dias]]="",FALSE,AND(tblOrdenes[[#This Row],[backlog_dias]]&gt;p_dias_backlog_min,tblOrdenes[[#This Row],[backlog_dias]]&lt;=p_dias_backlog_max))</f>
        <v/>
      </c>
      <c r="AC75" s="6" t="inlineStr"/>
      <c r="AD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5" s="10">
        <f>IF(tblOrdenes[[#This Row],[orden]]="","",_xlfn.XLOOKUP(tblOrdenes[[#This Row],[id_operacion]],tblEjecucion[id_operacion],tblEjecucion[precio],0))</f>
        <v/>
      </c>
      <c r="AH75" s="10">
        <f>IF(tblOrdenes[[#This Row],[orden]]="","",MAX(0,_xlfn.XLOOKUP(tblOrdenes[[#This Row],[id_operacion]],tblEjecucion[id_operacion],tblEjecucion[costo_plan_total],0)-tblOrdenes[[#This Row],[costo_servicio]]))</f>
        <v/>
      </c>
      <c r="AI75" s="10">
        <f>IF(tblOrdenes[[#This Row],[orden]]="","",tblOrdenes[[#This Row],[costo_servicio]]+tblOrdenes[[#This Row],[costo_materiales]])</f>
        <v/>
      </c>
      <c r="AJ75" s="6" t="inlineStr"/>
      <c r="AK75" s="6" t="inlineStr"/>
      <c r="AL75" s="6" t="inlineStr">
        <is>
          <t>ACT-01.pdf</t>
        </is>
      </c>
      <c r="AM75" s="3">
        <f>IF(tblOrdenes[[#This Row],[link_checklist]]="","",HYPERLINK(p_ruta_base_checklists&amp;tblOrdenes[[#This Row],[link_checklist]],"abrir"))</f>
        <v/>
      </c>
      <c r="AN75" s="6" t="inlineStr"/>
      <c r="AO75" s="3">
        <f>IF(tblOrdenes[[#This Row],[orden]]="","",tblOrdenes[[#This Row],[orden]]&amp;IF(tblOrdenes[[#This Row],[operacion]]="","0010",tblOrdenes[[#This Row],[operacion]]))</f>
        <v/>
      </c>
    </row>
    <row r="76">
      <c r="A76" s="3" t="inlineStr">
        <is>
          <t>OT-000073</t>
        </is>
      </c>
      <c r="B76" s="3" t="inlineStr">
        <is>
          <t>0010</t>
        </is>
      </c>
      <c r="C76" s="3" t="inlineStr">
        <is>
          <t>Lubricación programada — EQ-104</t>
        </is>
      </c>
      <c r="D76" s="3" t="inlineStr">
        <is>
          <t>Lubricación programada en EQ-104</t>
        </is>
      </c>
      <c r="E76" s="3" t="inlineStr">
        <is>
          <t>EQ-104</t>
        </is>
      </c>
      <c r="F76" s="3" t="inlineStr">
        <is>
          <t>CC-120</t>
        </is>
      </c>
      <c r="G76" s="3" t="inlineStr">
        <is>
          <t>PU-ELE</t>
        </is>
      </c>
      <c r="H76" s="3" t="inlineStr">
        <is>
          <t>ACT-02</t>
        </is>
      </c>
      <c r="I76" s="3" t="inlineStr">
        <is>
          <t>TIPO-P2</t>
        </is>
      </c>
      <c r="J76" s="11" t="n">
        <v>46232</v>
      </c>
      <c r="K76" s="3" t="n">
        <v>8</v>
      </c>
      <c r="L76" s="10" t="n">
        <v>200</v>
      </c>
      <c r="M76" s="6" t="n"/>
      <c r="N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6" s="3">
        <f>IF(tblOrdenes[[#This Row],[fecha_inicio]]="","",YEAR(tblOrdenes[[#This Row],[fecha_inicio]]))</f>
        <v/>
      </c>
      <c r="R76" s="3">
        <f>IF(tblOrdenes[[#This Row],[fecha_inicio]]="","",MONTH(tblOrdenes[[#This Row],[fecha_inicio]]))</f>
        <v/>
      </c>
      <c r="S76" s="3">
        <f>IF(tblOrdenes[[#This Row],[fecha_inicio]]="","",INDEX(lista_dias,WEEKDAY(tblOrdenes[[#This Row],[fecha_inicio]],2)))</f>
        <v/>
      </c>
      <c r="T76" s="3">
        <f>IF(tblOrdenes[[#This Row],[tipo_ot]]="","",_xlfn.XLOOKUP(tblOrdenes[[#This Row],[tipo_ot]],tblTiposOT[codigo],tblTiposOT[clasificacion],"sin_clasificar"))</f>
        <v/>
      </c>
      <c r="U76" s="3">
        <f>IF(tblOrdenes[[#This Row],[centro_costo]]="","",_xlfn.XLOOKUP(tblOrdenes[[#This Row],[centro_costo]],tblCECO[codigo],tblCECO[linea],"(sin catálogo)"))</f>
        <v/>
      </c>
      <c r="V76" s="3">
        <f>IF(tblOrdenes[[#This Row],[centro_costo]]="","",_xlfn.XLOOKUP(tblOrdenes[[#This Row],[centro_costo]],tblCECO[codigo],tblCECO[area],"(sin catálogo)"))</f>
        <v/>
      </c>
      <c r="W76" s="3">
        <f>IF(tblOrdenes[[#This Row],[centro_costo]]="","",_xlfn.XLOOKUP(tblOrdenes[[#This Row],[centro_costo]],tblCECO[codigo],tblCECO[coordinador],"(sin catálogo)"))</f>
        <v/>
      </c>
      <c r="X76" s="3">
        <f>IF(tblOrdenes[[#This Row],[puesto_trabajo]]="","",_xlfn.XLOOKUP(tblOrdenes[[#This Row],[puesto_trabajo]],tblPuestos[codigo],tblPuestos[especialidad],"(sin catálogo)"))</f>
        <v/>
      </c>
      <c r="Y76" s="3">
        <f>IF(tblOrdenes[[#This Row],[cod_actividad]]="","",_xlfn.XLOOKUP(tblOrdenes[[#This Row],[cod_actividad]],tblActividades[codigo],tblActividades[descripcion],"(sin catálogo)"))</f>
        <v/>
      </c>
      <c r="Z76" s="12">
        <f>IF(tblOrdenes[[#This Row],[fecha_inicio]]="","",TODAY()-tblOrdenes[[#This Row],[fecha_inicio]])</f>
        <v/>
      </c>
      <c r="AA76" s="3">
        <f>IF(tblOrdenes[[#This Row],[backlog_dias]]="","",IF(tblOrdenes[[#This Row],[backlog_dias]]&lt;0,"FUTURO",IF(tblOrdenes[[#This Row],[backlog_dias]]&gt;p_dias_backlog_max,"BACKLOG","MES CORRIENTE")))</f>
        <v/>
      </c>
      <c r="AB76" s="3">
        <f>IF(tblOrdenes[[#This Row],[backlog_dias]]="",FALSE,AND(tblOrdenes[[#This Row],[backlog_dias]]&gt;p_dias_backlog_min,tblOrdenes[[#This Row],[backlog_dias]]&lt;=p_dias_backlog_max))</f>
        <v/>
      </c>
      <c r="AC76" s="6" t="inlineStr">
        <is>
          <t>Técnico 05</t>
        </is>
      </c>
      <c r="AD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6" s="10">
        <f>IF(tblOrdenes[[#This Row],[orden]]="","",_xlfn.XLOOKUP(tblOrdenes[[#This Row],[id_operacion]],tblEjecucion[id_operacion],tblEjecucion[precio],0))</f>
        <v/>
      </c>
      <c r="AH76" s="10">
        <f>IF(tblOrdenes[[#This Row],[orden]]="","",MAX(0,_xlfn.XLOOKUP(tblOrdenes[[#This Row],[id_operacion]],tblEjecucion[id_operacion],tblEjecucion[costo_plan_total],0)-tblOrdenes[[#This Row],[costo_servicio]]))</f>
        <v/>
      </c>
      <c r="AI76" s="10">
        <f>IF(tblOrdenes[[#This Row],[orden]]="","",tblOrdenes[[#This Row],[costo_servicio]]+tblOrdenes[[#This Row],[costo_materiales]])</f>
        <v/>
      </c>
      <c r="AJ76" s="6" t="inlineStr"/>
      <c r="AK76" s="6" t="inlineStr"/>
      <c r="AL76" s="6" t="inlineStr">
        <is>
          <t>ACT-02.pdf</t>
        </is>
      </c>
      <c r="AM76" s="3">
        <f>IF(tblOrdenes[[#This Row],[link_checklist]]="","",HYPERLINK(p_ruta_base_checklists&amp;tblOrdenes[[#This Row],[link_checklist]],"abrir"))</f>
        <v/>
      </c>
      <c r="AN76" s="6" t="inlineStr"/>
      <c r="AO76" s="3">
        <f>IF(tblOrdenes[[#This Row],[orden]]="","",tblOrdenes[[#This Row],[orden]]&amp;IF(tblOrdenes[[#This Row],[operacion]]="","0010",tblOrdenes[[#This Row],[operacion]]))</f>
        <v/>
      </c>
    </row>
    <row r="77">
      <c r="A77" s="3" t="inlineStr">
        <is>
          <t>OT-000074</t>
        </is>
      </c>
      <c r="B77" s="3" t="inlineStr">
        <is>
          <t>0010</t>
        </is>
      </c>
      <c r="C77" s="3" t="inlineStr">
        <is>
          <t>Análisis predictivo — EQ-108</t>
        </is>
      </c>
      <c r="D77" s="3" t="inlineStr">
        <is>
          <t>Análisis predictivo en EQ-108</t>
        </is>
      </c>
      <c r="E77" s="3" t="inlineStr">
        <is>
          <t>EQ-108</t>
        </is>
      </c>
      <c r="F77" s="3" t="inlineStr">
        <is>
          <t>CC-220</t>
        </is>
      </c>
      <c r="G77" s="3" t="inlineStr">
        <is>
          <t>PU-ELE</t>
        </is>
      </c>
      <c r="H77" s="3" t="inlineStr">
        <is>
          <t>ACT-04</t>
        </is>
      </c>
      <c r="I77" s="3" t="inlineStr">
        <is>
          <t>TIPO-P1</t>
        </is>
      </c>
      <c r="J77" s="11" t="n">
        <v>46233</v>
      </c>
      <c r="K77" s="3" t="n">
        <v>6</v>
      </c>
      <c r="L77" s="10" t="n">
        <v>150</v>
      </c>
      <c r="M77" s="6" t="n"/>
      <c r="N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7" s="3">
        <f>IF(tblOrdenes[[#This Row],[fecha_inicio]]="","",YEAR(tblOrdenes[[#This Row],[fecha_inicio]]))</f>
        <v/>
      </c>
      <c r="R77" s="3">
        <f>IF(tblOrdenes[[#This Row],[fecha_inicio]]="","",MONTH(tblOrdenes[[#This Row],[fecha_inicio]]))</f>
        <v/>
      </c>
      <c r="S77" s="3">
        <f>IF(tblOrdenes[[#This Row],[fecha_inicio]]="","",INDEX(lista_dias,WEEKDAY(tblOrdenes[[#This Row],[fecha_inicio]],2)))</f>
        <v/>
      </c>
      <c r="T77" s="3">
        <f>IF(tblOrdenes[[#This Row],[tipo_ot]]="","",_xlfn.XLOOKUP(tblOrdenes[[#This Row],[tipo_ot]],tblTiposOT[codigo],tblTiposOT[clasificacion],"sin_clasificar"))</f>
        <v/>
      </c>
      <c r="U77" s="3">
        <f>IF(tblOrdenes[[#This Row],[centro_costo]]="","",_xlfn.XLOOKUP(tblOrdenes[[#This Row],[centro_costo]],tblCECO[codigo],tblCECO[linea],"(sin catálogo)"))</f>
        <v/>
      </c>
      <c r="V77" s="3">
        <f>IF(tblOrdenes[[#This Row],[centro_costo]]="","",_xlfn.XLOOKUP(tblOrdenes[[#This Row],[centro_costo]],tblCECO[codigo],tblCECO[area],"(sin catálogo)"))</f>
        <v/>
      </c>
      <c r="W77" s="3">
        <f>IF(tblOrdenes[[#This Row],[centro_costo]]="","",_xlfn.XLOOKUP(tblOrdenes[[#This Row],[centro_costo]],tblCECO[codigo],tblCECO[coordinador],"(sin catálogo)"))</f>
        <v/>
      </c>
      <c r="X77" s="3">
        <f>IF(tblOrdenes[[#This Row],[puesto_trabajo]]="","",_xlfn.XLOOKUP(tblOrdenes[[#This Row],[puesto_trabajo]],tblPuestos[codigo],tblPuestos[especialidad],"(sin catálogo)"))</f>
        <v/>
      </c>
      <c r="Y77" s="3">
        <f>IF(tblOrdenes[[#This Row],[cod_actividad]]="","",_xlfn.XLOOKUP(tblOrdenes[[#This Row],[cod_actividad]],tblActividades[codigo],tblActividades[descripcion],"(sin catálogo)"))</f>
        <v/>
      </c>
      <c r="Z77" s="12">
        <f>IF(tblOrdenes[[#This Row],[fecha_inicio]]="","",TODAY()-tblOrdenes[[#This Row],[fecha_inicio]])</f>
        <v/>
      </c>
      <c r="AA77" s="3">
        <f>IF(tblOrdenes[[#This Row],[backlog_dias]]="","",IF(tblOrdenes[[#This Row],[backlog_dias]]&lt;0,"FUTURO",IF(tblOrdenes[[#This Row],[backlog_dias]]&gt;p_dias_backlog_max,"BACKLOG","MES CORRIENTE")))</f>
        <v/>
      </c>
      <c r="AB77" s="3">
        <f>IF(tblOrdenes[[#This Row],[backlog_dias]]="",FALSE,AND(tblOrdenes[[#This Row],[backlog_dias]]&gt;p_dias_backlog_min,tblOrdenes[[#This Row],[backlog_dias]]&lt;=p_dias_backlog_max))</f>
        <v/>
      </c>
      <c r="AC77" s="6" t="inlineStr">
        <is>
          <t>Técnico 06</t>
        </is>
      </c>
      <c r="AD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7" s="10">
        <f>IF(tblOrdenes[[#This Row],[orden]]="","",_xlfn.XLOOKUP(tblOrdenes[[#This Row],[id_operacion]],tblEjecucion[id_operacion],tblEjecucion[precio],0))</f>
        <v/>
      </c>
      <c r="AH77" s="10">
        <f>IF(tblOrdenes[[#This Row],[orden]]="","",MAX(0,_xlfn.XLOOKUP(tblOrdenes[[#This Row],[id_operacion]],tblEjecucion[id_operacion],tblEjecucion[costo_plan_total],0)-tblOrdenes[[#This Row],[costo_servicio]]))</f>
        <v/>
      </c>
      <c r="AI77" s="10">
        <f>IF(tblOrdenes[[#This Row],[orden]]="","",tblOrdenes[[#This Row],[costo_servicio]]+tblOrdenes[[#This Row],[costo_materiales]])</f>
        <v/>
      </c>
      <c r="AJ77" s="6" t="inlineStr"/>
      <c r="AK77" s="6" t="inlineStr"/>
      <c r="AL77" s="6" t="inlineStr">
        <is>
          <t>ACT-04.pdf</t>
        </is>
      </c>
      <c r="AM77" s="3">
        <f>IF(tblOrdenes[[#This Row],[link_checklist]]="","",HYPERLINK(p_ruta_base_checklists&amp;tblOrdenes[[#This Row],[link_checklist]],"abrir"))</f>
        <v/>
      </c>
      <c r="AN77" s="6" t="inlineStr"/>
      <c r="AO77" s="3">
        <f>IF(tblOrdenes[[#This Row],[orden]]="","",tblOrdenes[[#This Row],[orden]]&amp;IF(tblOrdenes[[#This Row],[operacion]]="","0010",tblOrdenes[[#This Row],[operacion]]))</f>
        <v/>
      </c>
    </row>
    <row r="78">
      <c r="A78" s="3" t="inlineStr">
        <is>
          <t>OT-000075</t>
        </is>
      </c>
      <c r="B78" s="3" t="inlineStr">
        <is>
          <t>0010</t>
        </is>
      </c>
      <c r="C78" s="3" t="inlineStr">
        <is>
          <t>Inspección de rutina — EQ-101</t>
        </is>
      </c>
      <c r="D78" s="3" t="inlineStr">
        <is>
          <t>Inspección de rutina en EQ-101</t>
        </is>
      </c>
      <c r="E78" s="3" t="inlineStr">
        <is>
          <t>EQ-101</t>
        </is>
      </c>
      <c r="F78" s="3" t="inlineStr">
        <is>
          <t>CC-120</t>
        </is>
      </c>
      <c r="G78" s="3" t="inlineStr">
        <is>
          <t>PU-ELE</t>
        </is>
      </c>
      <c r="H78" s="3" t="inlineStr">
        <is>
          <t>ACT-01</t>
        </is>
      </c>
      <c r="I78" s="3" t="inlineStr">
        <is>
          <t>TIPO-P2</t>
        </is>
      </c>
      <c r="J78" s="11" t="n">
        <v>46234</v>
      </c>
      <c r="K78" s="3" t="n">
        <v>10</v>
      </c>
      <c r="L78" s="10" t="n">
        <v>250</v>
      </c>
      <c r="M78" s="6" t="n"/>
      <c r="N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8" s="3">
        <f>IF(tblOrdenes[[#This Row],[fecha_inicio]]="","",YEAR(tblOrdenes[[#This Row],[fecha_inicio]]))</f>
        <v/>
      </c>
      <c r="R78" s="3">
        <f>IF(tblOrdenes[[#This Row],[fecha_inicio]]="","",MONTH(tblOrdenes[[#This Row],[fecha_inicio]]))</f>
        <v/>
      </c>
      <c r="S78" s="3">
        <f>IF(tblOrdenes[[#This Row],[fecha_inicio]]="","",INDEX(lista_dias,WEEKDAY(tblOrdenes[[#This Row],[fecha_inicio]],2)))</f>
        <v/>
      </c>
      <c r="T78" s="3">
        <f>IF(tblOrdenes[[#This Row],[tipo_ot]]="","",_xlfn.XLOOKUP(tblOrdenes[[#This Row],[tipo_ot]],tblTiposOT[codigo],tblTiposOT[clasificacion],"sin_clasificar"))</f>
        <v/>
      </c>
      <c r="U78" s="3">
        <f>IF(tblOrdenes[[#This Row],[centro_costo]]="","",_xlfn.XLOOKUP(tblOrdenes[[#This Row],[centro_costo]],tblCECO[codigo],tblCECO[linea],"(sin catálogo)"))</f>
        <v/>
      </c>
      <c r="V78" s="3">
        <f>IF(tblOrdenes[[#This Row],[centro_costo]]="","",_xlfn.XLOOKUP(tblOrdenes[[#This Row],[centro_costo]],tblCECO[codigo],tblCECO[area],"(sin catálogo)"))</f>
        <v/>
      </c>
      <c r="W78" s="3">
        <f>IF(tblOrdenes[[#This Row],[centro_costo]]="","",_xlfn.XLOOKUP(tblOrdenes[[#This Row],[centro_costo]],tblCECO[codigo],tblCECO[coordinador],"(sin catálogo)"))</f>
        <v/>
      </c>
      <c r="X78" s="3">
        <f>IF(tblOrdenes[[#This Row],[puesto_trabajo]]="","",_xlfn.XLOOKUP(tblOrdenes[[#This Row],[puesto_trabajo]],tblPuestos[codigo],tblPuestos[especialidad],"(sin catálogo)"))</f>
        <v/>
      </c>
      <c r="Y78" s="3">
        <f>IF(tblOrdenes[[#This Row],[cod_actividad]]="","",_xlfn.XLOOKUP(tblOrdenes[[#This Row],[cod_actividad]],tblActividades[codigo],tblActividades[descripcion],"(sin catálogo)"))</f>
        <v/>
      </c>
      <c r="Z78" s="12">
        <f>IF(tblOrdenes[[#This Row],[fecha_inicio]]="","",TODAY()-tblOrdenes[[#This Row],[fecha_inicio]])</f>
        <v/>
      </c>
      <c r="AA78" s="3">
        <f>IF(tblOrdenes[[#This Row],[backlog_dias]]="","",IF(tblOrdenes[[#This Row],[backlog_dias]]&lt;0,"FUTURO",IF(tblOrdenes[[#This Row],[backlog_dias]]&gt;p_dias_backlog_max,"BACKLOG","MES CORRIENTE")))</f>
        <v/>
      </c>
      <c r="AB78" s="3">
        <f>IF(tblOrdenes[[#This Row],[backlog_dias]]="",FALSE,AND(tblOrdenes[[#This Row],[backlog_dias]]&gt;p_dias_backlog_min,tblOrdenes[[#This Row],[backlog_dias]]&lt;=p_dias_backlog_max))</f>
        <v/>
      </c>
      <c r="AC78" s="6" t="inlineStr">
        <is>
          <t>Técnico 07</t>
        </is>
      </c>
      <c r="AD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8" s="10">
        <f>IF(tblOrdenes[[#This Row],[orden]]="","",_xlfn.XLOOKUP(tblOrdenes[[#This Row],[id_operacion]],tblEjecucion[id_operacion],tblEjecucion[precio],0))</f>
        <v/>
      </c>
      <c r="AH78" s="10">
        <f>IF(tblOrdenes[[#This Row],[orden]]="","",MAX(0,_xlfn.XLOOKUP(tblOrdenes[[#This Row],[id_operacion]],tblEjecucion[id_operacion],tblEjecucion[costo_plan_total],0)-tblOrdenes[[#This Row],[costo_servicio]]))</f>
        <v/>
      </c>
      <c r="AI78" s="10">
        <f>IF(tblOrdenes[[#This Row],[orden]]="","",tblOrdenes[[#This Row],[costo_servicio]]+tblOrdenes[[#This Row],[costo_materiales]])</f>
        <v/>
      </c>
      <c r="AJ78" s="6" t="inlineStr"/>
      <c r="AK78" s="6" t="inlineStr"/>
      <c r="AL78" s="6" t="inlineStr">
        <is>
          <t>ACT-01.pdf</t>
        </is>
      </c>
      <c r="AM78" s="3">
        <f>IF(tblOrdenes[[#This Row],[link_checklist]]="","",HYPERLINK(p_ruta_base_checklists&amp;tblOrdenes[[#This Row],[link_checklist]],"abrir"))</f>
        <v/>
      </c>
      <c r="AN78" s="6" t="inlineStr"/>
      <c r="AO78" s="3">
        <f>IF(tblOrdenes[[#This Row],[orden]]="","",tblOrdenes[[#This Row],[orden]]&amp;IF(tblOrdenes[[#This Row],[operacion]]="","0010",tblOrdenes[[#This Row],[operacion]]))</f>
        <v/>
      </c>
    </row>
    <row r="79">
      <c r="A79" s="3" t="inlineStr">
        <is>
          <t>OT-000076</t>
        </is>
      </c>
      <c r="B79" s="3" t="inlineStr">
        <is>
          <t>0010</t>
        </is>
      </c>
      <c r="C79" s="3" t="inlineStr">
        <is>
          <t>Lubricación programada — EQ-106</t>
        </is>
      </c>
      <c r="D79" s="3" t="inlineStr">
        <is>
          <t>Lubricación programada en EQ-106</t>
        </is>
      </c>
      <c r="E79" s="3" t="inlineStr">
        <is>
          <t>EQ-106</t>
        </is>
      </c>
      <c r="F79" s="3" t="inlineStr">
        <is>
          <t>CC-220</t>
        </is>
      </c>
      <c r="G79" s="3" t="inlineStr">
        <is>
          <t>PU-ELE</t>
        </is>
      </c>
      <c r="H79" s="3" t="inlineStr">
        <is>
          <t>ACT-02</t>
        </is>
      </c>
      <c r="I79" s="3" t="inlineStr">
        <is>
          <t>TIPO-P1</t>
        </is>
      </c>
      <c r="J79" s="11" t="n">
        <v>46230</v>
      </c>
      <c r="K79" s="3" t="n">
        <v>2</v>
      </c>
      <c r="L79" s="10" t="n">
        <v>50</v>
      </c>
      <c r="M79" s="6" t="n"/>
      <c r="N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9" s="3">
        <f>IF(tblOrdenes[[#This Row],[fecha_inicio]]="","",YEAR(tblOrdenes[[#This Row],[fecha_inicio]]))</f>
        <v/>
      </c>
      <c r="R79" s="3">
        <f>IF(tblOrdenes[[#This Row],[fecha_inicio]]="","",MONTH(tblOrdenes[[#This Row],[fecha_inicio]]))</f>
        <v/>
      </c>
      <c r="S79" s="3">
        <f>IF(tblOrdenes[[#This Row],[fecha_inicio]]="","",INDEX(lista_dias,WEEKDAY(tblOrdenes[[#This Row],[fecha_inicio]],2)))</f>
        <v/>
      </c>
      <c r="T79" s="3">
        <f>IF(tblOrdenes[[#This Row],[tipo_ot]]="","",_xlfn.XLOOKUP(tblOrdenes[[#This Row],[tipo_ot]],tblTiposOT[codigo],tblTiposOT[clasificacion],"sin_clasificar"))</f>
        <v/>
      </c>
      <c r="U79" s="3">
        <f>IF(tblOrdenes[[#This Row],[centro_costo]]="","",_xlfn.XLOOKUP(tblOrdenes[[#This Row],[centro_costo]],tblCECO[codigo],tblCECO[linea],"(sin catálogo)"))</f>
        <v/>
      </c>
      <c r="V79" s="3">
        <f>IF(tblOrdenes[[#This Row],[centro_costo]]="","",_xlfn.XLOOKUP(tblOrdenes[[#This Row],[centro_costo]],tblCECO[codigo],tblCECO[area],"(sin catálogo)"))</f>
        <v/>
      </c>
      <c r="W79" s="3">
        <f>IF(tblOrdenes[[#This Row],[centro_costo]]="","",_xlfn.XLOOKUP(tblOrdenes[[#This Row],[centro_costo]],tblCECO[codigo],tblCECO[coordinador],"(sin catálogo)"))</f>
        <v/>
      </c>
      <c r="X79" s="3">
        <f>IF(tblOrdenes[[#This Row],[puesto_trabajo]]="","",_xlfn.XLOOKUP(tblOrdenes[[#This Row],[puesto_trabajo]],tblPuestos[codigo],tblPuestos[especialidad],"(sin catálogo)"))</f>
        <v/>
      </c>
      <c r="Y79" s="3">
        <f>IF(tblOrdenes[[#This Row],[cod_actividad]]="","",_xlfn.XLOOKUP(tblOrdenes[[#This Row],[cod_actividad]],tblActividades[codigo],tblActividades[descripcion],"(sin catálogo)"))</f>
        <v/>
      </c>
      <c r="Z79" s="12">
        <f>IF(tblOrdenes[[#This Row],[fecha_inicio]]="","",TODAY()-tblOrdenes[[#This Row],[fecha_inicio]])</f>
        <v/>
      </c>
      <c r="AA79" s="3">
        <f>IF(tblOrdenes[[#This Row],[backlog_dias]]="","",IF(tblOrdenes[[#This Row],[backlog_dias]]&lt;0,"FUTURO",IF(tblOrdenes[[#This Row],[backlog_dias]]&gt;p_dias_backlog_max,"BACKLOG","MES CORRIENTE")))</f>
        <v/>
      </c>
      <c r="AB79" s="3">
        <f>IF(tblOrdenes[[#This Row],[backlog_dias]]="",FALSE,AND(tblOrdenes[[#This Row],[backlog_dias]]&gt;p_dias_backlog_min,tblOrdenes[[#This Row],[backlog_dias]]&lt;=p_dias_backlog_max))</f>
        <v/>
      </c>
      <c r="AC79" s="6" t="inlineStr">
        <is>
          <t>Técnico 05</t>
        </is>
      </c>
      <c r="AD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9" s="10">
        <f>IF(tblOrdenes[[#This Row],[orden]]="","",_xlfn.XLOOKUP(tblOrdenes[[#This Row],[id_operacion]],tblEjecucion[id_operacion],tblEjecucion[precio],0))</f>
        <v/>
      </c>
      <c r="AH79" s="10">
        <f>IF(tblOrdenes[[#This Row],[orden]]="","",MAX(0,_xlfn.XLOOKUP(tblOrdenes[[#This Row],[id_operacion]],tblEjecucion[id_operacion],tblEjecucion[costo_plan_total],0)-tblOrdenes[[#This Row],[costo_servicio]]))</f>
        <v/>
      </c>
      <c r="AI79" s="10">
        <f>IF(tblOrdenes[[#This Row],[orden]]="","",tblOrdenes[[#This Row],[costo_servicio]]+tblOrdenes[[#This Row],[costo_materiales]])</f>
        <v/>
      </c>
      <c r="AJ79" s="6" t="inlineStr"/>
      <c r="AK79" s="6" t="inlineStr"/>
      <c r="AL79" s="6" t="inlineStr">
        <is>
          <t>ACT-02.pdf</t>
        </is>
      </c>
      <c r="AM79" s="3">
        <f>IF(tblOrdenes[[#This Row],[link_checklist]]="","",HYPERLINK(p_ruta_base_checklists&amp;tblOrdenes[[#This Row],[link_checklist]],"abrir"))</f>
        <v/>
      </c>
      <c r="AN79" s="6" t="inlineStr"/>
      <c r="AO79" s="3">
        <f>IF(tblOrdenes[[#This Row],[orden]]="","",tblOrdenes[[#This Row],[orden]]&amp;IF(tblOrdenes[[#This Row],[operacion]]="","0010",tblOrdenes[[#This Row],[operacion]]))</f>
        <v/>
      </c>
    </row>
    <row r="80">
      <c r="A80" s="3" t="inlineStr">
        <is>
          <t>OT-000077</t>
        </is>
      </c>
      <c r="B80" s="3" t="inlineStr">
        <is>
          <t>0010</t>
        </is>
      </c>
      <c r="C80" s="3" t="inlineStr">
        <is>
          <t>Reparación de falla — EQ-103</t>
        </is>
      </c>
      <c r="D80" s="3" t="inlineStr">
        <is>
          <t>Reparación de falla en EQ-103</t>
        </is>
      </c>
      <c r="E80" s="3" t="inlineStr">
        <is>
          <t>EQ-103</t>
        </is>
      </c>
      <c r="F80" s="3" t="inlineStr">
        <is>
          <t>CC-120</t>
        </is>
      </c>
      <c r="G80" s="3" t="inlineStr">
        <is>
          <t>PU-ELE</t>
        </is>
      </c>
      <c r="H80" s="3" t="inlineStr">
        <is>
          <t>ACT-03</t>
        </is>
      </c>
      <c r="I80" s="3" t="inlineStr">
        <is>
          <t>TIPO-C2</t>
        </is>
      </c>
      <c r="J80" s="11" t="n">
        <v>46231</v>
      </c>
      <c r="K80" s="3" t="n">
        <v>10</v>
      </c>
      <c r="L80" s="10" t="n">
        <v>400</v>
      </c>
      <c r="M80" s="6" t="n"/>
      <c r="N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0" s="3">
        <f>IF(tblOrdenes[[#This Row],[fecha_inicio]]="","",YEAR(tblOrdenes[[#This Row],[fecha_inicio]]))</f>
        <v/>
      </c>
      <c r="R80" s="3">
        <f>IF(tblOrdenes[[#This Row],[fecha_inicio]]="","",MONTH(tblOrdenes[[#This Row],[fecha_inicio]]))</f>
        <v/>
      </c>
      <c r="S80" s="3">
        <f>IF(tblOrdenes[[#This Row],[fecha_inicio]]="","",INDEX(lista_dias,WEEKDAY(tblOrdenes[[#This Row],[fecha_inicio]],2)))</f>
        <v/>
      </c>
      <c r="T80" s="3">
        <f>IF(tblOrdenes[[#This Row],[tipo_ot]]="","",_xlfn.XLOOKUP(tblOrdenes[[#This Row],[tipo_ot]],tblTiposOT[codigo],tblTiposOT[clasificacion],"sin_clasificar"))</f>
        <v/>
      </c>
      <c r="U80" s="3">
        <f>IF(tblOrdenes[[#This Row],[centro_costo]]="","",_xlfn.XLOOKUP(tblOrdenes[[#This Row],[centro_costo]],tblCECO[codigo],tblCECO[linea],"(sin catálogo)"))</f>
        <v/>
      </c>
      <c r="V80" s="3">
        <f>IF(tblOrdenes[[#This Row],[centro_costo]]="","",_xlfn.XLOOKUP(tblOrdenes[[#This Row],[centro_costo]],tblCECO[codigo],tblCECO[area],"(sin catálogo)"))</f>
        <v/>
      </c>
      <c r="W80" s="3">
        <f>IF(tblOrdenes[[#This Row],[centro_costo]]="","",_xlfn.XLOOKUP(tblOrdenes[[#This Row],[centro_costo]],tblCECO[codigo],tblCECO[coordinador],"(sin catálogo)"))</f>
        <v/>
      </c>
      <c r="X80" s="3">
        <f>IF(tblOrdenes[[#This Row],[puesto_trabajo]]="","",_xlfn.XLOOKUP(tblOrdenes[[#This Row],[puesto_trabajo]],tblPuestos[codigo],tblPuestos[especialidad],"(sin catálogo)"))</f>
        <v/>
      </c>
      <c r="Y80" s="3">
        <f>IF(tblOrdenes[[#This Row],[cod_actividad]]="","",_xlfn.XLOOKUP(tblOrdenes[[#This Row],[cod_actividad]],tblActividades[codigo],tblActividades[descripcion],"(sin catálogo)"))</f>
        <v/>
      </c>
      <c r="Z80" s="12">
        <f>IF(tblOrdenes[[#This Row],[fecha_inicio]]="","",TODAY()-tblOrdenes[[#This Row],[fecha_inicio]])</f>
        <v/>
      </c>
      <c r="AA80" s="3">
        <f>IF(tblOrdenes[[#This Row],[backlog_dias]]="","",IF(tblOrdenes[[#This Row],[backlog_dias]]&lt;0,"FUTURO",IF(tblOrdenes[[#This Row],[backlog_dias]]&gt;p_dias_backlog_max,"BACKLOG","MES CORRIENTE")))</f>
        <v/>
      </c>
      <c r="AB80" s="3">
        <f>IF(tblOrdenes[[#This Row],[backlog_dias]]="",FALSE,AND(tblOrdenes[[#This Row],[backlog_dias]]&gt;p_dias_backlog_min,tblOrdenes[[#This Row],[backlog_dias]]&lt;=p_dias_backlog_max))</f>
        <v/>
      </c>
      <c r="AC80" s="6" t="inlineStr">
        <is>
          <t>Técnico 06</t>
        </is>
      </c>
      <c r="AD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0" s="10">
        <f>IF(tblOrdenes[[#This Row],[orden]]="","",_xlfn.XLOOKUP(tblOrdenes[[#This Row],[id_operacion]],tblEjecucion[id_operacion],tblEjecucion[precio],0))</f>
        <v/>
      </c>
      <c r="AH80" s="10">
        <f>IF(tblOrdenes[[#This Row],[orden]]="","",MAX(0,_xlfn.XLOOKUP(tblOrdenes[[#This Row],[id_operacion]],tblEjecucion[id_operacion],tblEjecucion[costo_plan_total],0)-tblOrdenes[[#This Row],[costo_servicio]]))</f>
        <v/>
      </c>
      <c r="AI80" s="10">
        <f>IF(tblOrdenes[[#This Row],[orden]]="","",tblOrdenes[[#This Row],[costo_servicio]]+tblOrdenes[[#This Row],[costo_materiales]])</f>
        <v/>
      </c>
      <c r="AJ80" s="6" t="inlineStr"/>
      <c r="AK80" s="6" t="inlineStr"/>
      <c r="AL80" s="6" t="inlineStr"/>
      <c r="AM80" s="3">
        <f>IF(tblOrdenes[[#This Row],[link_checklist]]="","",HYPERLINK(p_ruta_base_checklists&amp;tblOrdenes[[#This Row],[link_checklist]],"abrir"))</f>
        <v/>
      </c>
      <c r="AN80" s="6" t="inlineStr"/>
      <c r="AO80" s="3">
        <f>IF(tblOrdenes[[#This Row],[orden]]="","",tblOrdenes[[#This Row],[orden]]&amp;IF(tblOrdenes[[#This Row],[operacion]]="","0010",tblOrdenes[[#This Row],[operacion]]))</f>
        <v/>
      </c>
    </row>
    <row r="81">
      <c r="A81" s="3" t="inlineStr">
        <is>
          <t>OT-000078</t>
        </is>
      </c>
      <c r="B81" s="3" t="inlineStr">
        <is>
          <t>0010</t>
        </is>
      </c>
      <c r="C81" s="3" t="inlineStr">
        <is>
          <t>Inspección de rutina — EQ-108</t>
        </is>
      </c>
      <c r="D81" s="3" t="inlineStr">
        <is>
          <t>Inspección de rutina en EQ-108</t>
        </is>
      </c>
      <c r="E81" s="3" t="inlineStr">
        <is>
          <t>EQ-108</t>
        </is>
      </c>
      <c r="F81" s="3" t="inlineStr">
        <is>
          <t>CC-220</t>
        </is>
      </c>
      <c r="G81" s="3" t="inlineStr">
        <is>
          <t>PU-ELE</t>
        </is>
      </c>
      <c r="H81" s="3" t="inlineStr">
        <is>
          <t>ACT-01</t>
        </is>
      </c>
      <c r="I81" s="3" t="inlineStr">
        <is>
          <t>TIPO-P1</t>
        </is>
      </c>
      <c r="J81" s="11" t="n">
        <v>46239</v>
      </c>
      <c r="K81" s="3" t="n">
        <v>10</v>
      </c>
      <c r="L81" s="10" t="n">
        <v>250</v>
      </c>
      <c r="M81" s="6" t="n"/>
      <c r="N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1" s="3">
        <f>IF(tblOrdenes[[#This Row],[fecha_inicio]]="","",YEAR(tblOrdenes[[#This Row],[fecha_inicio]]))</f>
        <v/>
      </c>
      <c r="R81" s="3">
        <f>IF(tblOrdenes[[#This Row],[fecha_inicio]]="","",MONTH(tblOrdenes[[#This Row],[fecha_inicio]]))</f>
        <v/>
      </c>
      <c r="S81" s="3">
        <f>IF(tblOrdenes[[#This Row],[fecha_inicio]]="","",INDEX(lista_dias,WEEKDAY(tblOrdenes[[#This Row],[fecha_inicio]],2)))</f>
        <v/>
      </c>
      <c r="T81" s="3">
        <f>IF(tblOrdenes[[#This Row],[tipo_ot]]="","",_xlfn.XLOOKUP(tblOrdenes[[#This Row],[tipo_ot]],tblTiposOT[codigo],tblTiposOT[clasificacion],"sin_clasificar"))</f>
        <v/>
      </c>
      <c r="U81" s="3">
        <f>IF(tblOrdenes[[#This Row],[centro_costo]]="","",_xlfn.XLOOKUP(tblOrdenes[[#This Row],[centro_costo]],tblCECO[codigo],tblCECO[linea],"(sin catálogo)"))</f>
        <v/>
      </c>
      <c r="V81" s="3">
        <f>IF(tblOrdenes[[#This Row],[centro_costo]]="","",_xlfn.XLOOKUP(tblOrdenes[[#This Row],[centro_costo]],tblCECO[codigo],tblCECO[area],"(sin catálogo)"))</f>
        <v/>
      </c>
      <c r="W81" s="3">
        <f>IF(tblOrdenes[[#This Row],[centro_costo]]="","",_xlfn.XLOOKUP(tblOrdenes[[#This Row],[centro_costo]],tblCECO[codigo],tblCECO[coordinador],"(sin catálogo)"))</f>
        <v/>
      </c>
      <c r="X81" s="3">
        <f>IF(tblOrdenes[[#This Row],[puesto_trabajo]]="","",_xlfn.XLOOKUP(tblOrdenes[[#This Row],[puesto_trabajo]],tblPuestos[codigo],tblPuestos[especialidad],"(sin catálogo)"))</f>
        <v/>
      </c>
      <c r="Y81" s="3">
        <f>IF(tblOrdenes[[#This Row],[cod_actividad]]="","",_xlfn.XLOOKUP(tblOrdenes[[#This Row],[cod_actividad]],tblActividades[codigo],tblActividades[descripcion],"(sin catálogo)"))</f>
        <v/>
      </c>
      <c r="Z81" s="12">
        <f>IF(tblOrdenes[[#This Row],[fecha_inicio]]="","",TODAY()-tblOrdenes[[#This Row],[fecha_inicio]])</f>
        <v/>
      </c>
      <c r="AA81" s="3">
        <f>IF(tblOrdenes[[#This Row],[backlog_dias]]="","",IF(tblOrdenes[[#This Row],[backlog_dias]]&lt;0,"FUTURO",IF(tblOrdenes[[#This Row],[backlog_dias]]&gt;p_dias_backlog_max,"BACKLOG","MES CORRIENTE")))</f>
        <v/>
      </c>
      <c r="AB81" s="3">
        <f>IF(tblOrdenes[[#This Row],[backlog_dias]]="",FALSE,AND(tblOrdenes[[#This Row],[backlog_dias]]&gt;p_dias_backlog_min,tblOrdenes[[#This Row],[backlog_dias]]&lt;=p_dias_backlog_max))</f>
        <v/>
      </c>
      <c r="AC81" s="6" t="inlineStr">
        <is>
          <t>Técnico 07</t>
        </is>
      </c>
      <c r="AD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1" s="10">
        <f>IF(tblOrdenes[[#This Row],[orden]]="","",_xlfn.XLOOKUP(tblOrdenes[[#This Row],[id_operacion]],tblEjecucion[id_operacion],tblEjecucion[precio],0))</f>
        <v/>
      </c>
      <c r="AH81" s="10">
        <f>IF(tblOrdenes[[#This Row],[orden]]="","",MAX(0,_xlfn.XLOOKUP(tblOrdenes[[#This Row],[id_operacion]],tblEjecucion[id_operacion],tblEjecucion[costo_plan_total],0)-tblOrdenes[[#This Row],[costo_servicio]]))</f>
        <v/>
      </c>
      <c r="AI81" s="10">
        <f>IF(tblOrdenes[[#This Row],[orden]]="","",tblOrdenes[[#This Row],[costo_servicio]]+tblOrdenes[[#This Row],[costo_materiales]])</f>
        <v/>
      </c>
      <c r="AJ81" s="6" t="inlineStr"/>
      <c r="AK81" s="6" t="inlineStr"/>
      <c r="AL81" s="6" t="inlineStr">
        <is>
          <t>ACT-01.pdf</t>
        </is>
      </c>
      <c r="AM81" s="3">
        <f>IF(tblOrdenes[[#This Row],[link_checklist]]="","",HYPERLINK(p_ruta_base_checklists&amp;tblOrdenes[[#This Row],[link_checklist]],"abrir"))</f>
        <v/>
      </c>
      <c r="AN81" s="6" t="inlineStr"/>
      <c r="AO81" s="3">
        <f>IF(tblOrdenes[[#This Row],[orden]]="","",tblOrdenes[[#This Row],[orden]]&amp;IF(tblOrdenes[[#This Row],[operacion]]="","0010",tblOrdenes[[#This Row],[operacion]]))</f>
        <v/>
      </c>
    </row>
    <row r="82">
      <c r="A82" s="3" t="inlineStr">
        <is>
          <t>OT-000079</t>
        </is>
      </c>
      <c r="B82" s="3" t="inlineStr">
        <is>
          <t>0010</t>
        </is>
      </c>
      <c r="C82" s="3" t="inlineStr">
        <is>
          <t>Lubricación programada — EQ-105</t>
        </is>
      </c>
      <c r="D82" s="3" t="inlineStr">
        <is>
          <t>Lubricación programada en EQ-105</t>
        </is>
      </c>
      <c r="E82" s="3" t="inlineStr">
        <is>
          <t>EQ-105</t>
        </is>
      </c>
      <c r="F82" s="3" t="inlineStr">
        <is>
          <t>CC-120</t>
        </is>
      </c>
      <c r="G82" s="3" t="inlineStr">
        <is>
          <t>PU-ELE</t>
        </is>
      </c>
      <c r="H82" s="3" t="inlineStr">
        <is>
          <t>ACT-02</t>
        </is>
      </c>
      <c r="I82" s="3" t="inlineStr">
        <is>
          <t>TIPO-P2</t>
        </is>
      </c>
      <c r="J82" s="11" t="n">
        <v>46240</v>
      </c>
      <c r="K82" s="3" t="n">
        <v>8</v>
      </c>
      <c r="L82" s="10" t="n">
        <v>200</v>
      </c>
      <c r="M82" s="6" t="n"/>
      <c r="N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2" s="3">
        <f>IF(tblOrdenes[[#This Row],[fecha_inicio]]="","",YEAR(tblOrdenes[[#This Row],[fecha_inicio]]))</f>
        <v/>
      </c>
      <c r="R82" s="3">
        <f>IF(tblOrdenes[[#This Row],[fecha_inicio]]="","",MONTH(tblOrdenes[[#This Row],[fecha_inicio]]))</f>
        <v/>
      </c>
      <c r="S82" s="3">
        <f>IF(tblOrdenes[[#This Row],[fecha_inicio]]="","",INDEX(lista_dias,WEEKDAY(tblOrdenes[[#This Row],[fecha_inicio]],2)))</f>
        <v/>
      </c>
      <c r="T82" s="3">
        <f>IF(tblOrdenes[[#This Row],[tipo_ot]]="","",_xlfn.XLOOKUP(tblOrdenes[[#This Row],[tipo_ot]],tblTiposOT[codigo],tblTiposOT[clasificacion],"sin_clasificar"))</f>
        <v/>
      </c>
      <c r="U82" s="3">
        <f>IF(tblOrdenes[[#This Row],[centro_costo]]="","",_xlfn.XLOOKUP(tblOrdenes[[#This Row],[centro_costo]],tblCECO[codigo],tblCECO[linea],"(sin catálogo)"))</f>
        <v/>
      </c>
      <c r="V82" s="3">
        <f>IF(tblOrdenes[[#This Row],[centro_costo]]="","",_xlfn.XLOOKUP(tblOrdenes[[#This Row],[centro_costo]],tblCECO[codigo],tblCECO[area],"(sin catálogo)"))</f>
        <v/>
      </c>
      <c r="W82" s="3">
        <f>IF(tblOrdenes[[#This Row],[centro_costo]]="","",_xlfn.XLOOKUP(tblOrdenes[[#This Row],[centro_costo]],tblCECO[codigo],tblCECO[coordinador],"(sin catálogo)"))</f>
        <v/>
      </c>
      <c r="X82" s="3">
        <f>IF(tblOrdenes[[#This Row],[puesto_trabajo]]="","",_xlfn.XLOOKUP(tblOrdenes[[#This Row],[puesto_trabajo]],tblPuestos[codigo],tblPuestos[especialidad],"(sin catálogo)"))</f>
        <v/>
      </c>
      <c r="Y82" s="3">
        <f>IF(tblOrdenes[[#This Row],[cod_actividad]]="","",_xlfn.XLOOKUP(tblOrdenes[[#This Row],[cod_actividad]],tblActividades[codigo],tblActividades[descripcion],"(sin catálogo)"))</f>
        <v/>
      </c>
      <c r="Z82" s="12">
        <f>IF(tblOrdenes[[#This Row],[fecha_inicio]]="","",TODAY()-tblOrdenes[[#This Row],[fecha_inicio]])</f>
        <v/>
      </c>
      <c r="AA82" s="3">
        <f>IF(tblOrdenes[[#This Row],[backlog_dias]]="","",IF(tblOrdenes[[#This Row],[backlog_dias]]&lt;0,"FUTURO",IF(tblOrdenes[[#This Row],[backlog_dias]]&gt;p_dias_backlog_max,"BACKLOG","MES CORRIENTE")))</f>
        <v/>
      </c>
      <c r="AB82" s="3">
        <f>IF(tblOrdenes[[#This Row],[backlog_dias]]="",FALSE,AND(tblOrdenes[[#This Row],[backlog_dias]]&gt;p_dias_backlog_min,tblOrdenes[[#This Row],[backlog_dias]]&lt;=p_dias_backlog_max))</f>
        <v/>
      </c>
      <c r="AC82" s="6" t="inlineStr">
        <is>
          <t>Técnico 05</t>
        </is>
      </c>
      <c r="AD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2" s="10">
        <f>IF(tblOrdenes[[#This Row],[orden]]="","",_xlfn.XLOOKUP(tblOrdenes[[#This Row],[id_operacion]],tblEjecucion[id_operacion],tblEjecucion[precio],0))</f>
        <v/>
      </c>
      <c r="AH82" s="10">
        <f>IF(tblOrdenes[[#This Row],[orden]]="","",MAX(0,_xlfn.XLOOKUP(tblOrdenes[[#This Row],[id_operacion]],tblEjecucion[id_operacion],tblEjecucion[costo_plan_total],0)-tblOrdenes[[#This Row],[costo_servicio]]))</f>
        <v/>
      </c>
      <c r="AI82" s="10">
        <f>IF(tblOrdenes[[#This Row],[orden]]="","",tblOrdenes[[#This Row],[costo_servicio]]+tblOrdenes[[#This Row],[costo_materiales]])</f>
        <v/>
      </c>
      <c r="AJ82" s="6" t="inlineStr"/>
      <c r="AK82" s="6" t="inlineStr"/>
      <c r="AL82" s="6" t="inlineStr">
        <is>
          <t>ACT-02.pdf</t>
        </is>
      </c>
      <c r="AM82" s="3">
        <f>IF(tblOrdenes[[#This Row],[link_checklist]]="","",HYPERLINK(p_ruta_base_checklists&amp;tblOrdenes[[#This Row],[link_checklist]],"abrir"))</f>
        <v/>
      </c>
      <c r="AN82" s="6" t="inlineStr"/>
      <c r="AO82" s="3">
        <f>IF(tblOrdenes[[#This Row],[orden]]="","",tblOrdenes[[#This Row],[orden]]&amp;IF(tblOrdenes[[#This Row],[operacion]]="","0010",tblOrdenes[[#This Row],[operacion]]))</f>
        <v/>
      </c>
    </row>
    <row r="83">
      <c r="A83" s="3" t="inlineStr">
        <is>
          <t>OT-000080</t>
        </is>
      </c>
      <c r="B83" s="3" t="inlineStr">
        <is>
          <t>0010</t>
        </is>
      </c>
      <c r="C83" s="3" t="inlineStr">
        <is>
          <t>Análisis predictivo — EQ-106</t>
        </is>
      </c>
      <c r="D83" s="3" t="inlineStr">
        <is>
          <t>Análisis predictivo en EQ-106</t>
        </is>
      </c>
      <c r="E83" s="3" t="inlineStr">
        <is>
          <t>EQ-106</t>
        </is>
      </c>
      <c r="F83" s="3" t="inlineStr">
        <is>
          <t>CC-220</t>
        </is>
      </c>
      <c r="G83" s="3" t="inlineStr">
        <is>
          <t>PU-ELE</t>
        </is>
      </c>
      <c r="H83" s="3" t="inlineStr">
        <is>
          <t>ACT-04</t>
        </is>
      </c>
      <c r="I83" s="3" t="inlineStr">
        <is>
          <t>TIPO-P1</t>
        </is>
      </c>
      <c r="J83" s="11" t="n">
        <v>46241</v>
      </c>
      <c r="K83" s="3" t="n">
        <v>6</v>
      </c>
      <c r="L83" s="10" t="n">
        <v>150</v>
      </c>
      <c r="M83" s="6" t="n"/>
      <c r="N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3" s="3">
        <f>IF(tblOrdenes[[#This Row],[fecha_inicio]]="","",YEAR(tblOrdenes[[#This Row],[fecha_inicio]]))</f>
        <v/>
      </c>
      <c r="R83" s="3">
        <f>IF(tblOrdenes[[#This Row],[fecha_inicio]]="","",MONTH(tblOrdenes[[#This Row],[fecha_inicio]]))</f>
        <v/>
      </c>
      <c r="S83" s="3">
        <f>IF(tblOrdenes[[#This Row],[fecha_inicio]]="","",INDEX(lista_dias,WEEKDAY(tblOrdenes[[#This Row],[fecha_inicio]],2)))</f>
        <v/>
      </c>
      <c r="T83" s="3">
        <f>IF(tblOrdenes[[#This Row],[tipo_ot]]="","",_xlfn.XLOOKUP(tblOrdenes[[#This Row],[tipo_ot]],tblTiposOT[codigo],tblTiposOT[clasificacion],"sin_clasificar"))</f>
        <v/>
      </c>
      <c r="U83" s="3">
        <f>IF(tblOrdenes[[#This Row],[centro_costo]]="","",_xlfn.XLOOKUP(tblOrdenes[[#This Row],[centro_costo]],tblCECO[codigo],tblCECO[linea],"(sin catálogo)"))</f>
        <v/>
      </c>
      <c r="V83" s="3">
        <f>IF(tblOrdenes[[#This Row],[centro_costo]]="","",_xlfn.XLOOKUP(tblOrdenes[[#This Row],[centro_costo]],tblCECO[codigo],tblCECO[area],"(sin catálogo)"))</f>
        <v/>
      </c>
      <c r="W83" s="3">
        <f>IF(tblOrdenes[[#This Row],[centro_costo]]="","",_xlfn.XLOOKUP(tblOrdenes[[#This Row],[centro_costo]],tblCECO[codigo],tblCECO[coordinador],"(sin catálogo)"))</f>
        <v/>
      </c>
      <c r="X83" s="3">
        <f>IF(tblOrdenes[[#This Row],[puesto_trabajo]]="","",_xlfn.XLOOKUP(tblOrdenes[[#This Row],[puesto_trabajo]],tblPuestos[codigo],tblPuestos[especialidad],"(sin catálogo)"))</f>
        <v/>
      </c>
      <c r="Y83" s="3">
        <f>IF(tblOrdenes[[#This Row],[cod_actividad]]="","",_xlfn.XLOOKUP(tblOrdenes[[#This Row],[cod_actividad]],tblActividades[codigo],tblActividades[descripcion],"(sin catálogo)"))</f>
        <v/>
      </c>
      <c r="Z83" s="12">
        <f>IF(tblOrdenes[[#This Row],[fecha_inicio]]="","",TODAY()-tblOrdenes[[#This Row],[fecha_inicio]])</f>
        <v/>
      </c>
      <c r="AA83" s="3">
        <f>IF(tblOrdenes[[#This Row],[backlog_dias]]="","",IF(tblOrdenes[[#This Row],[backlog_dias]]&lt;0,"FUTURO",IF(tblOrdenes[[#This Row],[backlog_dias]]&gt;p_dias_backlog_max,"BACKLOG","MES CORRIENTE")))</f>
        <v/>
      </c>
      <c r="AB83" s="3">
        <f>IF(tblOrdenes[[#This Row],[backlog_dias]]="",FALSE,AND(tblOrdenes[[#This Row],[backlog_dias]]&gt;p_dias_backlog_min,tblOrdenes[[#This Row],[backlog_dias]]&lt;=p_dias_backlog_max))</f>
        <v/>
      </c>
      <c r="AC83" s="6" t="inlineStr">
        <is>
          <t>Técnico 06</t>
        </is>
      </c>
      <c r="AD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3" s="10">
        <f>IF(tblOrdenes[[#This Row],[orden]]="","",_xlfn.XLOOKUP(tblOrdenes[[#This Row],[id_operacion]],tblEjecucion[id_operacion],tblEjecucion[precio],0))</f>
        <v/>
      </c>
      <c r="AH83" s="10">
        <f>IF(tblOrdenes[[#This Row],[orden]]="","",MAX(0,_xlfn.XLOOKUP(tblOrdenes[[#This Row],[id_operacion]],tblEjecucion[id_operacion],tblEjecucion[costo_plan_total],0)-tblOrdenes[[#This Row],[costo_servicio]]))</f>
        <v/>
      </c>
      <c r="AI83" s="10">
        <f>IF(tblOrdenes[[#This Row],[orden]]="","",tblOrdenes[[#This Row],[costo_servicio]]+tblOrdenes[[#This Row],[costo_materiales]])</f>
        <v/>
      </c>
      <c r="AJ83" s="6" t="inlineStr"/>
      <c r="AK83" s="6" t="inlineStr"/>
      <c r="AL83" s="6" t="inlineStr">
        <is>
          <t>ACT-04.pdf</t>
        </is>
      </c>
      <c r="AM83" s="3">
        <f>IF(tblOrdenes[[#This Row],[link_checklist]]="","",HYPERLINK(p_ruta_base_checklists&amp;tblOrdenes[[#This Row],[link_checklist]],"abrir"))</f>
        <v/>
      </c>
      <c r="AN83" s="6" t="inlineStr"/>
      <c r="AO83" s="3">
        <f>IF(tblOrdenes[[#This Row],[orden]]="","",tblOrdenes[[#This Row],[orden]]&amp;IF(tblOrdenes[[#This Row],[operacion]]="","0010",tblOrdenes[[#This Row],[operacion]]))</f>
        <v/>
      </c>
    </row>
    <row r="84">
      <c r="A84" s="3" t="inlineStr">
        <is>
          <t>OT-000081</t>
        </is>
      </c>
      <c r="B84" s="3" t="inlineStr">
        <is>
          <t>0010</t>
        </is>
      </c>
      <c r="C84" s="3" t="inlineStr">
        <is>
          <t>Inspección de rutina — EQ-102</t>
        </is>
      </c>
      <c r="D84" s="3" t="inlineStr">
        <is>
          <t>Inspección de rutina en EQ-102</t>
        </is>
      </c>
      <c r="E84" s="3" t="inlineStr">
        <is>
          <t>EQ-102</t>
        </is>
      </c>
      <c r="F84" s="3" t="inlineStr">
        <is>
          <t>CC-120</t>
        </is>
      </c>
      <c r="G84" s="3" t="inlineStr">
        <is>
          <t>PU-ELE</t>
        </is>
      </c>
      <c r="H84" s="3" t="inlineStr">
        <is>
          <t>ACT-01</t>
        </is>
      </c>
      <c r="I84" s="3" t="inlineStr">
        <is>
          <t>TIPO-P2</t>
        </is>
      </c>
      <c r="J84" s="11" t="n">
        <v>46237</v>
      </c>
      <c r="K84" s="3" t="n">
        <v>10</v>
      </c>
      <c r="L84" s="10" t="n">
        <v>250</v>
      </c>
      <c r="M84" s="6" t="n"/>
      <c r="N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4" s="3">
        <f>IF(tblOrdenes[[#This Row],[fecha_inicio]]="","",YEAR(tblOrdenes[[#This Row],[fecha_inicio]]))</f>
        <v/>
      </c>
      <c r="R84" s="3">
        <f>IF(tblOrdenes[[#This Row],[fecha_inicio]]="","",MONTH(tblOrdenes[[#This Row],[fecha_inicio]]))</f>
        <v/>
      </c>
      <c r="S84" s="3">
        <f>IF(tblOrdenes[[#This Row],[fecha_inicio]]="","",INDEX(lista_dias,WEEKDAY(tblOrdenes[[#This Row],[fecha_inicio]],2)))</f>
        <v/>
      </c>
      <c r="T84" s="3">
        <f>IF(tblOrdenes[[#This Row],[tipo_ot]]="","",_xlfn.XLOOKUP(tblOrdenes[[#This Row],[tipo_ot]],tblTiposOT[codigo],tblTiposOT[clasificacion],"sin_clasificar"))</f>
        <v/>
      </c>
      <c r="U84" s="3">
        <f>IF(tblOrdenes[[#This Row],[centro_costo]]="","",_xlfn.XLOOKUP(tblOrdenes[[#This Row],[centro_costo]],tblCECO[codigo],tblCECO[linea],"(sin catálogo)"))</f>
        <v/>
      </c>
      <c r="V84" s="3">
        <f>IF(tblOrdenes[[#This Row],[centro_costo]]="","",_xlfn.XLOOKUP(tblOrdenes[[#This Row],[centro_costo]],tblCECO[codigo],tblCECO[area],"(sin catálogo)"))</f>
        <v/>
      </c>
      <c r="W84" s="3">
        <f>IF(tblOrdenes[[#This Row],[centro_costo]]="","",_xlfn.XLOOKUP(tblOrdenes[[#This Row],[centro_costo]],tblCECO[codigo],tblCECO[coordinador],"(sin catálogo)"))</f>
        <v/>
      </c>
      <c r="X84" s="3">
        <f>IF(tblOrdenes[[#This Row],[puesto_trabajo]]="","",_xlfn.XLOOKUP(tblOrdenes[[#This Row],[puesto_trabajo]],tblPuestos[codigo],tblPuestos[especialidad],"(sin catálogo)"))</f>
        <v/>
      </c>
      <c r="Y84" s="3">
        <f>IF(tblOrdenes[[#This Row],[cod_actividad]]="","",_xlfn.XLOOKUP(tblOrdenes[[#This Row],[cod_actividad]],tblActividades[codigo],tblActividades[descripcion],"(sin catálogo)"))</f>
        <v/>
      </c>
      <c r="Z84" s="12">
        <f>IF(tblOrdenes[[#This Row],[fecha_inicio]]="","",TODAY()-tblOrdenes[[#This Row],[fecha_inicio]])</f>
        <v/>
      </c>
      <c r="AA84" s="3">
        <f>IF(tblOrdenes[[#This Row],[backlog_dias]]="","",IF(tblOrdenes[[#This Row],[backlog_dias]]&lt;0,"FUTURO",IF(tblOrdenes[[#This Row],[backlog_dias]]&gt;p_dias_backlog_max,"BACKLOG","MES CORRIENTE")))</f>
        <v/>
      </c>
      <c r="AB84" s="3">
        <f>IF(tblOrdenes[[#This Row],[backlog_dias]]="",FALSE,AND(tblOrdenes[[#This Row],[backlog_dias]]&gt;p_dias_backlog_min,tblOrdenes[[#This Row],[backlog_dias]]&lt;=p_dias_backlog_max))</f>
        <v/>
      </c>
      <c r="AC84" s="6" t="inlineStr">
        <is>
          <t>Técnico 07</t>
        </is>
      </c>
      <c r="AD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4" s="10">
        <f>IF(tblOrdenes[[#This Row],[orden]]="","",_xlfn.XLOOKUP(tblOrdenes[[#This Row],[id_operacion]],tblEjecucion[id_operacion],tblEjecucion[precio],0))</f>
        <v/>
      </c>
      <c r="AH84" s="10">
        <f>IF(tblOrdenes[[#This Row],[orden]]="","",MAX(0,_xlfn.XLOOKUP(tblOrdenes[[#This Row],[id_operacion]],tblEjecucion[id_operacion],tblEjecucion[costo_plan_total],0)-tblOrdenes[[#This Row],[costo_servicio]]))</f>
        <v/>
      </c>
      <c r="AI84" s="10">
        <f>IF(tblOrdenes[[#This Row],[orden]]="","",tblOrdenes[[#This Row],[costo_servicio]]+tblOrdenes[[#This Row],[costo_materiales]])</f>
        <v/>
      </c>
      <c r="AJ84" s="6" t="inlineStr"/>
      <c r="AK84" s="6" t="inlineStr"/>
      <c r="AL84" s="6" t="inlineStr">
        <is>
          <t>ACT-01.pdf</t>
        </is>
      </c>
      <c r="AM84" s="3">
        <f>IF(tblOrdenes[[#This Row],[link_checklist]]="","",HYPERLINK(p_ruta_base_checklists&amp;tblOrdenes[[#This Row],[link_checklist]],"abrir"))</f>
        <v/>
      </c>
      <c r="AN84" s="6" t="inlineStr"/>
      <c r="AO84" s="3">
        <f>IF(tblOrdenes[[#This Row],[orden]]="","",tblOrdenes[[#This Row],[orden]]&amp;IF(tblOrdenes[[#This Row],[operacion]]="","0010",tblOrdenes[[#This Row],[operacion]]))</f>
        <v/>
      </c>
    </row>
    <row r="85">
      <c r="A85" s="3" t="inlineStr">
        <is>
          <t>OT-000082</t>
        </is>
      </c>
      <c r="B85" s="3" t="inlineStr">
        <is>
          <t>0010</t>
        </is>
      </c>
      <c r="C85" s="3" t="inlineStr">
        <is>
          <t>Lubricación programada — EQ-108</t>
        </is>
      </c>
      <c r="D85" s="3" t="inlineStr">
        <is>
          <t>Lubricación programada en EQ-108</t>
        </is>
      </c>
      <c r="E85" s="3" t="inlineStr">
        <is>
          <t>EQ-108</t>
        </is>
      </c>
      <c r="F85" s="3" t="inlineStr">
        <is>
          <t>CC-220</t>
        </is>
      </c>
      <c r="G85" s="3" t="inlineStr">
        <is>
          <t>PU-ELE</t>
        </is>
      </c>
      <c r="H85" s="3" t="inlineStr">
        <is>
          <t>ACT-02</t>
        </is>
      </c>
      <c r="I85" s="3" t="inlineStr">
        <is>
          <t>TIPO-P1</t>
        </is>
      </c>
      <c r="J85" s="11" t="n">
        <v>46238</v>
      </c>
      <c r="K85" s="3" t="n">
        <v>8</v>
      </c>
      <c r="L85" s="10" t="n">
        <v>200</v>
      </c>
      <c r="M85" s="6" t="n"/>
      <c r="N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5" s="3">
        <f>IF(tblOrdenes[[#This Row],[fecha_inicio]]="","",YEAR(tblOrdenes[[#This Row],[fecha_inicio]]))</f>
        <v/>
      </c>
      <c r="R85" s="3">
        <f>IF(tblOrdenes[[#This Row],[fecha_inicio]]="","",MONTH(tblOrdenes[[#This Row],[fecha_inicio]]))</f>
        <v/>
      </c>
      <c r="S85" s="3">
        <f>IF(tblOrdenes[[#This Row],[fecha_inicio]]="","",INDEX(lista_dias,WEEKDAY(tblOrdenes[[#This Row],[fecha_inicio]],2)))</f>
        <v/>
      </c>
      <c r="T85" s="3">
        <f>IF(tblOrdenes[[#This Row],[tipo_ot]]="","",_xlfn.XLOOKUP(tblOrdenes[[#This Row],[tipo_ot]],tblTiposOT[codigo],tblTiposOT[clasificacion],"sin_clasificar"))</f>
        <v/>
      </c>
      <c r="U85" s="3">
        <f>IF(tblOrdenes[[#This Row],[centro_costo]]="","",_xlfn.XLOOKUP(tblOrdenes[[#This Row],[centro_costo]],tblCECO[codigo],tblCECO[linea],"(sin catálogo)"))</f>
        <v/>
      </c>
      <c r="V85" s="3">
        <f>IF(tblOrdenes[[#This Row],[centro_costo]]="","",_xlfn.XLOOKUP(tblOrdenes[[#This Row],[centro_costo]],tblCECO[codigo],tblCECO[area],"(sin catálogo)"))</f>
        <v/>
      </c>
      <c r="W85" s="3">
        <f>IF(tblOrdenes[[#This Row],[centro_costo]]="","",_xlfn.XLOOKUP(tblOrdenes[[#This Row],[centro_costo]],tblCECO[codigo],tblCECO[coordinador],"(sin catálogo)"))</f>
        <v/>
      </c>
      <c r="X85" s="3">
        <f>IF(tblOrdenes[[#This Row],[puesto_trabajo]]="","",_xlfn.XLOOKUP(tblOrdenes[[#This Row],[puesto_trabajo]],tblPuestos[codigo],tblPuestos[especialidad],"(sin catálogo)"))</f>
        <v/>
      </c>
      <c r="Y85" s="3">
        <f>IF(tblOrdenes[[#This Row],[cod_actividad]]="","",_xlfn.XLOOKUP(tblOrdenes[[#This Row],[cod_actividad]],tblActividades[codigo],tblActividades[descripcion],"(sin catálogo)"))</f>
        <v/>
      </c>
      <c r="Z85" s="12">
        <f>IF(tblOrdenes[[#This Row],[fecha_inicio]]="","",TODAY()-tblOrdenes[[#This Row],[fecha_inicio]])</f>
        <v/>
      </c>
      <c r="AA85" s="3">
        <f>IF(tblOrdenes[[#This Row],[backlog_dias]]="","",IF(tblOrdenes[[#This Row],[backlog_dias]]&lt;0,"FUTURO",IF(tblOrdenes[[#This Row],[backlog_dias]]&gt;p_dias_backlog_max,"BACKLOG","MES CORRIENTE")))</f>
        <v/>
      </c>
      <c r="AB85" s="3">
        <f>IF(tblOrdenes[[#This Row],[backlog_dias]]="",FALSE,AND(tblOrdenes[[#This Row],[backlog_dias]]&gt;p_dias_backlog_min,tblOrdenes[[#This Row],[backlog_dias]]&lt;=p_dias_backlog_max))</f>
        <v/>
      </c>
      <c r="AC85" s="6" t="inlineStr">
        <is>
          <t>Técnico 05</t>
        </is>
      </c>
      <c r="AD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5" s="10">
        <f>IF(tblOrdenes[[#This Row],[orden]]="","",_xlfn.XLOOKUP(tblOrdenes[[#This Row],[id_operacion]],tblEjecucion[id_operacion],tblEjecucion[precio],0))</f>
        <v/>
      </c>
      <c r="AH85" s="10">
        <f>IF(tblOrdenes[[#This Row],[orden]]="","",MAX(0,_xlfn.XLOOKUP(tblOrdenes[[#This Row],[id_operacion]],tblEjecucion[id_operacion],tblEjecucion[costo_plan_total],0)-tblOrdenes[[#This Row],[costo_servicio]]))</f>
        <v/>
      </c>
      <c r="AI85" s="10">
        <f>IF(tblOrdenes[[#This Row],[orden]]="","",tblOrdenes[[#This Row],[costo_servicio]]+tblOrdenes[[#This Row],[costo_materiales]])</f>
        <v/>
      </c>
      <c r="AJ85" s="6" t="inlineStr"/>
      <c r="AK85" s="6" t="inlineStr"/>
      <c r="AL85" s="6" t="inlineStr">
        <is>
          <t>ACT-02.pdf</t>
        </is>
      </c>
      <c r="AM85" s="3">
        <f>IF(tblOrdenes[[#This Row],[link_checklist]]="","",HYPERLINK(p_ruta_base_checklists&amp;tblOrdenes[[#This Row],[link_checklist]],"abrir"))</f>
        <v/>
      </c>
      <c r="AN85" s="6" t="inlineStr"/>
      <c r="AO85" s="3">
        <f>IF(tblOrdenes[[#This Row],[orden]]="","",tblOrdenes[[#This Row],[orden]]&amp;IF(tblOrdenes[[#This Row],[operacion]]="","0010",tblOrdenes[[#This Row],[operacion]]))</f>
        <v/>
      </c>
    </row>
    <row r="86">
      <c r="A86" s="3" t="inlineStr">
        <is>
          <t>OT-000083</t>
        </is>
      </c>
      <c r="B86" s="3" t="inlineStr">
        <is>
          <t>0010</t>
        </is>
      </c>
      <c r="C86" s="3" t="inlineStr">
        <is>
          <t>Análisis predictivo — EQ-104</t>
        </is>
      </c>
      <c r="D86" s="3" t="inlineStr">
        <is>
          <t>Análisis predictivo en EQ-104</t>
        </is>
      </c>
      <c r="E86" s="3" t="inlineStr">
        <is>
          <t>EQ-104</t>
        </is>
      </c>
      <c r="F86" s="3" t="inlineStr">
        <is>
          <t>CC-120</t>
        </is>
      </c>
      <c r="G86" s="3" t="inlineStr">
        <is>
          <t>PU-ELE</t>
        </is>
      </c>
      <c r="H86" s="3" t="inlineStr">
        <is>
          <t>ACT-04</t>
        </is>
      </c>
      <c r="I86" s="3" t="inlineStr">
        <is>
          <t>TIPO-P2</t>
        </is>
      </c>
      <c r="J86" s="11" t="n">
        <v>46239</v>
      </c>
      <c r="K86" s="3" t="n">
        <v>8</v>
      </c>
      <c r="L86" s="10" t="n">
        <v>200</v>
      </c>
      <c r="M86" s="6" t="n"/>
      <c r="N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6" s="3">
        <f>IF(tblOrdenes[[#This Row],[fecha_inicio]]="","",YEAR(tblOrdenes[[#This Row],[fecha_inicio]]))</f>
        <v/>
      </c>
      <c r="R86" s="3">
        <f>IF(tblOrdenes[[#This Row],[fecha_inicio]]="","",MONTH(tblOrdenes[[#This Row],[fecha_inicio]]))</f>
        <v/>
      </c>
      <c r="S86" s="3">
        <f>IF(tblOrdenes[[#This Row],[fecha_inicio]]="","",INDEX(lista_dias,WEEKDAY(tblOrdenes[[#This Row],[fecha_inicio]],2)))</f>
        <v/>
      </c>
      <c r="T86" s="3">
        <f>IF(tblOrdenes[[#This Row],[tipo_ot]]="","",_xlfn.XLOOKUP(tblOrdenes[[#This Row],[tipo_ot]],tblTiposOT[codigo],tblTiposOT[clasificacion],"sin_clasificar"))</f>
        <v/>
      </c>
      <c r="U86" s="3">
        <f>IF(tblOrdenes[[#This Row],[centro_costo]]="","",_xlfn.XLOOKUP(tblOrdenes[[#This Row],[centro_costo]],tblCECO[codigo],tblCECO[linea],"(sin catálogo)"))</f>
        <v/>
      </c>
      <c r="V86" s="3">
        <f>IF(tblOrdenes[[#This Row],[centro_costo]]="","",_xlfn.XLOOKUP(tblOrdenes[[#This Row],[centro_costo]],tblCECO[codigo],tblCECO[area],"(sin catálogo)"))</f>
        <v/>
      </c>
      <c r="W86" s="3">
        <f>IF(tblOrdenes[[#This Row],[centro_costo]]="","",_xlfn.XLOOKUP(tblOrdenes[[#This Row],[centro_costo]],tblCECO[codigo],tblCECO[coordinador],"(sin catálogo)"))</f>
        <v/>
      </c>
      <c r="X86" s="3">
        <f>IF(tblOrdenes[[#This Row],[puesto_trabajo]]="","",_xlfn.XLOOKUP(tblOrdenes[[#This Row],[puesto_trabajo]],tblPuestos[codigo],tblPuestos[especialidad],"(sin catálogo)"))</f>
        <v/>
      </c>
      <c r="Y86" s="3">
        <f>IF(tblOrdenes[[#This Row],[cod_actividad]]="","",_xlfn.XLOOKUP(tblOrdenes[[#This Row],[cod_actividad]],tblActividades[codigo],tblActividades[descripcion],"(sin catálogo)"))</f>
        <v/>
      </c>
      <c r="Z86" s="12">
        <f>IF(tblOrdenes[[#This Row],[fecha_inicio]]="","",TODAY()-tblOrdenes[[#This Row],[fecha_inicio]])</f>
        <v/>
      </c>
      <c r="AA86" s="3">
        <f>IF(tblOrdenes[[#This Row],[backlog_dias]]="","",IF(tblOrdenes[[#This Row],[backlog_dias]]&lt;0,"FUTURO",IF(tblOrdenes[[#This Row],[backlog_dias]]&gt;p_dias_backlog_max,"BACKLOG","MES CORRIENTE")))</f>
        <v/>
      </c>
      <c r="AB86" s="3">
        <f>IF(tblOrdenes[[#This Row],[backlog_dias]]="",FALSE,AND(tblOrdenes[[#This Row],[backlog_dias]]&gt;p_dias_backlog_min,tblOrdenes[[#This Row],[backlog_dias]]&lt;=p_dias_backlog_max))</f>
        <v/>
      </c>
      <c r="AC86" s="6" t="inlineStr">
        <is>
          <t>Técnico 06</t>
        </is>
      </c>
      <c r="AD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6" s="10">
        <f>IF(tblOrdenes[[#This Row],[orden]]="","",_xlfn.XLOOKUP(tblOrdenes[[#This Row],[id_operacion]],tblEjecucion[id_operacion],tblEjecucion[precio],0))</f>
        <v/>
      </c>
      <c r="AH86" s="10">
        <f>IF(tblOrdenes[[#This Row],[orden]]="","",MAX(0,_xlfn.XLOOKUP(tblOrdenes[[#This Row],[id_operacion]],tblEjecucion[id_operacion],tblEjecucion[costo_plan_total],0)-tblOrdenes[[#This Row],[costo_servicio]]))</f>
        <v/>
      </c>
      <c r="AI86" s="10">
        <f>IF(tblOrdenes[[#This Row],[orden]]="","",tblOrdenes[[#This Row],[costo_servicio]]+tblOrdenes[[#This Row],[costo_materiales]])</f>
        <v/>
      </c>
      <c r="AJ86" s="6" t="inlineStr"/>
      <c r="AK86" s="6" t="inlineStr"/>
      <c r="AL86" s="6" t="inlineStr">
        <is>
          <t>ACT-04.pdf</t>
        </is>
      </c>
      <c r="AM86" s="3">
        <f>IF(tblOrdenes[[#This Row],[link_checklist]]="","",HYPERLINK(p_ruta_base_checklists&amp;tblOrdenes[[#This Row],[link_checklist]],"abrir"))</f>
        <v/>
      </c>
      <c r="AN86" s="6" t="inlineStr"/>
      <c r="AO86" s="3">
        <f>IF(tblOrdenes[[#This Row],[orden]]="","",tblOrdenes[[#This Row],[orden]]&amp;IF(tblOrdenes[[#This Row],[operacion]]="","0010",tblOrdenes[[#This Row],[operacion]]))</f>
        <v/>
      </c>
    </row>
    <row r="87">
      <c r="A87" s="3" t="inlineStr">
        <is>
          <t>OT-000084</t>
        </is>
      </c>
      <c r="B87" s="3" t="inlineStr">
        <is>
          <t>0010</t>
        </is>
      </c>
      <c r="C87" s="3" t="inlineStr">
        <is>
          <t>Reparación de falla — EQ-106</t>
        </is>
      </c>
      <c r="D87" s="3" t="inlineStr">
        <is>
          <t>Reparación de falla en EQ-106</t>
        </is>
      </c>
      <c r="E87" s="3" t="inlineStr">
        <is>
          <t>EQ-106</t>
        </is>
      </c>
      <c r="F87" s="3" t="inlineStr">
        <is>
          <t>CC-220</t>
        </is>
      </c>
      <c r="G87" s="3" t="inlineStr">
        <is>
          <t>PU-ELE</t>
        </is>
      </c>
      <c r="H87" s="3" t="inlineStr">
        <is>
          <t>ACT-03</t>
        </is>
      </c>
      <c r="I87" s="3" t="inlineStr">
        <is>
          <t>TIPO-C1</t>
        </is>
      </c>
      <c r="J87" s="11" t="n">
        <v>46240</v>
      </c>
      <c r="K87" s="3" t="n">
        <v>10</v>
      </c>
      <c r="L87" s="10" t="n">
        <v>400</v>
      </c>
      <c r="M87" s="6" t="n"/>
      <c r="N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7" s="3">
        <f>IF(tblOrdenes[[#This Row],[fecha_inicio]]="","",YEAR(tblOrdenes[[#This Row],[fecha_inicio]]))</f>
        <v/>
      </c>
      <c r="R87" s="3">
        <f>IF(tblOrdenes[[#This Row],[fecha_inicio]]="","",MONTH(tblOrdenes[[#This Row],[fecha_inicio]]))</f>
        <v/>
      </c>
      <c r="S87" s="3">
        <f>IF(tblOrdenes[[#This Row],[fecha_inicio]]="","",INDEX(lista_dias,WEEKDAY(tblOrdenes[[#This Row],[fecha_inicio]],2)))</f>
        <v/>
      </c>
      <c r="T87" s="3">
        <f>IF(tblOrdenes[[#This Row],[tipo_ot]]="","",_xlfn.XLOOKUP(tblOrdenes[[#This Row],[tipo_ot]],tblTiposOT[codigo],tblTiposOT[clasificacion],"sin_clasificar"))</f>
        <v/>
      </c>
      <c r="U87" s="3">
        <f>IF(tblOrdenes[[#This Row],[centro_costo]]="","",_xlfn.XLOOKUP(tblOrdenes[[#This Row],[centro_costo]],tblCECO[codigo],tblCECO[linea],"(sin catálogo)"))</f>
        <v/>
      </c>
      <c r="V87" s="3">
        <f>IF(tblOrdenes[[#This Row],[centro_costo]]="","",_xlfn.XLOOKUP(tblOrdenes[[#This Row],[centro_costo]],tblCECO[codigo],tblCECO[area],"(sin catálogo)"))</f>
        <v/>
      </c>
      <c r="W87" s="3">
        <f>IF(tblOrdenes[[#This Row],[centro_costo]]="","",_xlfn.XLOOKUP(tblOrdenes[[#This Row],[centro_costo]],tblCECO[codigo],tblCECO[coordinador],"(sin catálogo)"))</f>
        <v/>
      </c>
      <c r="X87" s="3">
        <f>IF(tblOrdenes[[#This Row],[puesto_trabajo]]="","",_xlfn.XLOOKUP(tblOrdenes[[#This Row],[puesto_trabajo]],tblPuestos[codigo],tblPuestos[especialidad],"(sin catálogo)"))</f>
        <v/>
      </c>
      <c r="Y87" s="3">
        <f>IF(tblOrdenes[[#This Row],[cod_actividad]]="","",_xlfn.XLOOKUP(tblOrdenes[[#This Row],[cod_actividad]],tblActividades[codigo],tblActividades[descripcion],"(sin catálogo)"))</f>
        <v/>
      </c>
      <c r="Z87" s="12">
        <f>IF(tblOrdenes[[#This Row],[fecha_inicio]]="","",TODAY()-tblOrdenes[[#This Row],[fecha_inicio]])</f>
        <v/>
      </c>
      <c r="AA87" s="3">
        <f>IF(tblOrdenes[[#This Row],[backlog_dias]]="","",IF(tblOrdenes[[#This Row],[backlog_dias]]&lt;0,"FUTURO",IF(tblOrdenes[[#This Row],[backlog_dias]]&gt;p_dias_backlog_max,"BACKLOG","MES CORRIENTE")))</f>
        <v/>
      </c>
      <c r="AB87" s="3">
        <f>IF(tblOrdenes[[#This Row],[backlog_dias]]="",FALSE,AND(tblOrdenes[[#This Row],[backlog_dias]]&gt;p_dias_backlog_min,tblOrdenes[[#This Row],[backlog_dias]]&lt;=p_dias_backlog_max))</f>
        <v/>
      </c>
      <c r="AC87" s="6" t="inlineStr"/>
      <c r="AD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7" s="10">
        <f>IF(tblOrdenes[[#This Row],[orden]]="","",_xlfn.XLOOKUP(tblOrdenes[[#This Row],[id_operacion]],tblEjecucion[id_operacion],tblEjecucion[precio],0))</f>
        <v/>
      </c>
      <c r="AH87" s="10">
        <f>IF(tblOrdenes[[#This Row],[orden]]="","",MAX(0,_xlfn.XLOOKUP(tblOrdenes[[#This Row],[id_operacion]],tblEjecucion[id_operacion],tblEjecucion[costo_plan_total],0)-tblOrdenes[[#This Row],[costo_servicio]]))</f>
        <v/>
      </c>
      <c r="AI87" s="10">
        <f>IF(tblOrdenes[[#This Row],[orden]]="","",tblOrdenes[[#This Row],[costo_servicio]]+tblOrdenes[[#This Row],[costo_materiales]])</f>
        <v/>
      </c>
      <c r="AJ87" s="6" t="inlineStr">
        <is>
          <t>PT-CALIENTE</t>
        </is>
      </c>
      <c r="AK87" s="6" t="inlineStr">
        <is>
          <t>LOTO</t>
        </is>
      </c>
      <c r="AL87" s="6" t="inlineStr"/>
      <c r="AM87" s="3">
        <f>IF(tblOrdenes[[#This Row],[link_checklist]]="","",HYPERLINK(p_ruta_base_checklists&amp;tblOrdenes[[#This Row],[link_checklist]],"abrir"))</f>
        <v/>
      </c>
      <c r="AN87" s="6" t="inlineStr"/>
      <c r="AO87" s="3">
        <f>IF(tblOrdenes[[#This Row],[orden]]="","",tblOrdenes[[#This Row],[orden]]&amp;IF(tblOrdenes[[#This Row],[operacion]]="","0010",tblOrdenes[[#This Row],[operacion]]))</f>
        <v/>
      </c>
    </row>
    <row r="88">
      <c r="A88" s="3" t="inlineStr">
        <is>
          <t>OT-000085</t>
        </is>
      </c>
      <c r="B88" s="3" t="inlineStr">
        <is>
          <t>0010</t>
        </is>
      </c>
      <c r="C88" s="3" t="inlineStr">
        <is>
          <t>Lubricación programada — EQ-101</t>
        </is>
      </c>
      <c r="D88" s="3" t="inlineStr">
        <is>
          <t>Lubricación programada en EQ-101</t>
        </is>
      </c>
      <c r="E88" s="3" t="inlineStr">
        <is>
          <t>EQ-101</t>
        </is>
      </c>
      <c r="F88" s="3" t="inlineStr">
        <is>
          <t>CC-110</t>
        </is>
      </c>
      <c r="G88" s="3" t="inlineStr">
        <is>
          <t>PU-AUT</t>
        </is>
      </c>
      <c r="H88" s="3" t="inlineStr">
        <is>
          <t>ACT-02</t>
        </is>
      </c>
      <c r="I88" s="3" t="inlineStr">
        <is>
          <t>TIPO-P2</t>
        </is>
      </c>
      <c r="J88" s="11" t="n">
        <v>46220</v>
      </c>
      <c r="K88" s="3" t="n">
        <v>10</v>
      </c>
      <c r="L88" s="10" t="n">
        <v>250</v>
      </c>
      <c r="M88" s="6" t="n"/>
      <c r="N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8" s="3">
        <f>IF(tblOrdenes[[#This Row],[fecha_inicio]]="","",YEAR(tblOrdenes[[#This Row],[fecha_inicio]]))</f>
        <v/>
      </c>
      <c r="R88" s="3">
        <f>IF(tblOrdenes[[#This Row],[fecha_inicio]]="","",MONTH(tblOrdenes[[#This Row],[fecha_inicio]]))</f>
        <v/>
      </c>
      <c r="S88" s="3">
        <f>IF(tblOrdenes[[#This Row],[fecha_inicio]]="","",INDEX(lista_dias,WEEKDAY(tblOrdenes[[#This Row],[fecha_inicio]],2)))</f>
        <v/>
      </c>
      <c r="T88" s="3">
        <f>IF(tblOrdenes[[#This Row],[tipo_ot]]="","",_xlfn.XLOOKUP(tblOrdenes[[#This Row],[tipo_ot]],tblTiposOT[codigo],tblTiposOT[clasificacion],"sin_clasificar"))</f>
        <v/>
      </c>
      <c r="U88" s="3">
        <f>IF(tblOrdenes[[#This Row],[centro_costo]]="","",_xlfn.XLOOKUP(tblOrdenes[[#This Row],[centro_costo]],tblCECO[codigo],tblCECO[linea],"(sin catálogo)"))</f>
        <v/>
      </c>
      <c r="V88" s="3">
        <f>IF(tblOrdenes[[#This Row],[centro_costo]]="","",_xlfn.XLOOKUP(tblOrdenes[[#This Row],[centro_costo]],tblCECO[codigo],tblCECO[area],"(sin catálogo)"))</f>
        <v/>
      </c>
      <c r="W88" s="3">
        <f>IF(tblOrdenes[[#This Row],[centro_costo]]="","",_xlfn.XLOOKUP(tblOrdenes[[#This Row],[centro_costo]],tblCECO[codigo],tblCECO[coordinador],"(sin catálogo)"))</f>
        <v/>
      </c>
      <c r="X88" s="3">
        <f>IF(tblOrdenes[[#This Row],[puesto_trabajo]]="","",_xlfn.XLOOKUP(tblOrdenes[[#This Row],[puesto_trabajo]],tblPuestos[codigo],tblPuestos[especialidad],"(sin catálogo)"))</f>
        <v/>
      </c>
      <c r="Y88" s="3">
        <f>IF(tblOrdenes[[#This Row],[cod_actividad]]="","",_xlfn.XLOOKUP(tblOrdenes[[#This Row],[cod_actividad]],tblActividades[codigo],tblActividades[descripcion],"(sin catálogo)"))</f>
        <v/>
      </c>
      <c r="Z88" s="12">
        <f>IF(tblOrdenes[[#This Row],[fecha_inicio]]="","",TODAY()-tblOrdenes[[#This Row],[fecha_inicio]])</f>
        <v/>
      </c>
      <c r="AA88" s="3">
        <f>IF(tblOrdenes[[#This Row],[backlog_dias]]="","",IF(tblOrdenes[[#This Row],[backlog_dias]]&lt;0,"FUTURO",IF(tblOrdenes[[#This Row],[backlog_dias]]&gt;p_dias_backlog_max,"BACKLOG","MES CORRIENTE")))</f>
        <v/>
      </c>
      <c r="AB88" s="3">
        <f>IF(tblOrdenes[[#This Row],[backlog_dias]]="",FALSE,AND(tblOrdenes[[#This Row],[backlog_dias]]&gt;p_dias_backlog_min,tblOrdenes[[#This Row],[backlog_dias]]&lt;=p_dias_backlog_max))</f>
        <v/>
      </c>
      <c r="AC88" s="6" t="inlineStr">
        <is>
          <t>Técnico 08</t>
        </is>
      </c>
      <c r="AD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8" s="10">
        <f>IF(tblOrdenes[[#This Row],[orden]]="","",_xlfn.XLOOKUP(tblOrdenes[[#This Row],[id_operacion]],tblEjecucion[id_operacion],tblEjecucion[precio],0))</f>
        <v/>
      </c>
      <c r="AH88" s="10">
        <f>IF(tblOrdenes[[#This Row],[orden]]="","",MAX(0,_xlfn.XLOOKUP(tblOrdenes[[#This Row],[id_operacion]],tblEjecucion[id_operacion],tblEjecucion[costo_plan_total],0)-tblOrdenes[[#This Row],[costo_servicio]]))</f>
        <v/>
      </c>
      <c r="AI88" s="10">
        <f>IF(tblOrdenes[[#This Row],[orden]]="","",tblOrdenes[[#This Row],[costo_servicio]]+tblOrdenes[[#This Row],[costo_materiales]])</f>
        <v/>
      </c>
      <c r="AJ88" s="6" t="inlineStr"/>
      <c r="AK88" s="6" t="inlineStr"/>
      <c r="AL88" s="6" t="inlineStr">
        <is>
          <t>ACT-02.pdf</t>
        </is>
      </c>
      <c r="AM88" s="3">
        <f>IF(tblOrdenes[[#This Row],[link_checklist]]="","",HYPERLINK(p_ruta_base_checklists&amp;tblOrdenes[[#This Row],[link_checklist]],"abrir"))</f>
        <v/>
      </c>
      <c r="AN88" s="6" t="inlineStr"/>
      <c r="AO88" s="3">
        <f>IF(tblOrdenes[[#This Row],[orden]]="","",tblOrdenes[[#This Row],[orden]]&amp;IF(tblOrdenes[[#This Row],[operacion]]="","0010",tblOrdenes[[#This Row],[operacion]]))</f>
        <v/>
      </c>
    </row>
    <row r="89">
      <c r="A89" s="3" t="inlineStr">
        <is>
          <t>OT-000086</t>
        </is>
      </c>
      <c r="B89" s="3" t="inlineStr">
        <is>
          <t>0010</t>
        </is>
      </c>
      <c r="C89" s="3" t="inlineStr">
        <is>
          <t>Análisis predictivo — EQ-108</t>
        </is>
      </c>
      <c r="D89" s="3" t="inlineStr">
        <is>
          <t>Análisis predictivo en EQ-108</t>
        </is>
      </c>
      <c r="E89" s="3" t="inlineStr">
        <is>
          <t>EQ-108</t>
        </is>
      </c>
      <c r="F89" s="3" t="inlineStr">
        <is>
          <t>CC-220</t>
        </is>
      </c>
      <c r="G89" s="3" t="inlineStr">
        <is>
          <t>PU-AUT</t>
        </is>
      </c>
      <c r="H89" s="3" t="inlineStr">
        <is>
          <t>ACT-04</t>
        </is>
      </c>
      <c r="I89" s="3" t="inlineStr">
        <is>
          <t>TIPO-P1</t>
        </is>
      </c>
      <c r="J89" s="11" t="n">
        <v>46216</v>
      </c>
      <c r="K89" s="3" t="n">
        <v>8</v>
      </c>
      <c r="L89" s="10" t="n">
        <v>200</v>
      </c>
      <c r="M89" s="6" t="n"/>
      <c r="N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9" s="3">
        <f>IF(tblOrdenes[[#This Row],[fecha_inicio]]="","",YEAR(tblOrdenes[[#This Row],[fecha_inicio]]))</f>
        <v/>
      </c>
      <c r="R89" s="3">
        <f>IF(tblOrdenes[[#This Row],[fecha_inicio]]="","",MONTH(tblOrdenes[[#This Row],[fecha_inicio]]))</f>
        <v/>
      </c>
      <c r="S89" s="3">
        <f>IF(tblOrdenes[[#This Row],[fecha_inicio]]="","",INDEX(lista_dias,WEEKDAY(tblOrdenes[[#This Row],[fecha_inicio]],2)))</f>
        <v/>
      </c>
      <c r="T89" s="3">
        <f>IF(tblOrdenes[[#This Row],[tipo_ot]]="","",_xlfn.XLOOKUP(tblOrdenes[[#This Row],[tipo_ot]],tblTiposOT[codigo],tblTiposOT[clasificacion],"sin_clasificar"))</f>
        <v/>
      </c>
      <c r="U89" s="3">
        <f>IF(tblOrdenes[[#This Row],[centro_costo]]="","",_xlfn.XLOOKUP(tblOrdenes[[#This Row],[centro_costo]],tblCECO[codigo],tblCECO[linea],"(sin catálogo)"))</f>
        <v/>
      </c>
      <c r="V89" s="3">
        <f>IF(tblOrdenes[[#This Row],[centro_costo]]="","",_xlfn.XLOOKUP(tblOrdenes[[#This Row],[centro_costo]],tblCECO[codigo],tblCECO[area],"(sin catálogo)"))</f>
        <v/>
      </c>
      <c r="W89" s="3">
        <f>IF(tblOrdenes[[#This Row],[centro_costo]]="","",_xlfn.XLOOKUP(tblOrdenes[[#This Row],[centro_costo]],tblCECO[codigo],tblCECO[coordinador],"(sin catálogo)"))</f>
        <v/>
      </c>
      <c r="X89" s="3">
        <f>IF(tblOrdenes[[#This Row],[puesto_trabajo]]="","",_xlfn.XLOOKUP(tblOrdenes[[#This Row],[puesto_trabajo]],tblPuestos[codigo],tblPuestos[especialidad],"(sin catálogo)"))</f>
        <v/>
      </c>
      <c r="Y89" s="3">
        <f>IF(tblOrdenes[[#This Row],[cod_actividad]]="","",_xlfn.XLOOKUP(tblOrdenes[[#This Row],[cod_actividad]],tblActividades[codigo],tblActividades[descripcion],"(sin catálogo)"))</f>
        <v/>
      </c>
      <c r="Z89" s="12">
        <f>IF(tblOrdenes[[#This Row],[fecha_inicio]]="","",TODAY()-tblOrdenes[[#This Row],[fecha_inicio]])</f>
        <v/>
      </c>
      <c r="AA89" s="3">
        <f>IF(tblOrdenes[[#This Row],[backlog_dias]]="","",IF(tblOrdenes[[#This Row],[backlog_dias]]&lt;0,"FUTURO",IF(tblOrdenes[[#This Row],[backlog_dias]]&gt;p_dias_backlog_max,"BACKLOG","MES CORRIENTE")))</f>
        <v/>
      </c>
      <c r="AB89" s="3">
        <f>IF(tblOrdenes[[#This Row],[backlog_dias]]="",FALSE,AND(tblOrdenes[[#This Row],[backlog_dias]]&gt;p_dias_backlog_min,tblOrdenes[[#This Row],[backlog_dias]]&lt;=p_dias_backlog_max))</f>
        <v/>
      </c>
      <c r="AC89" s="6" t="inlineStr">
        <is>
          <t>Técnico 09</t>
        </is>
      </c>
      <c r="AD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9" s="10">
        <f>IF(tblOrdenes[[#This Row],[orden]]="","",_xlfn.XLOOKUP(tblOrdenes[[#This Row],[id_operacion]],tblEjecucion[id_operacion],tblEjecucion[precio],0))</f>
        <v/>
      </c>
      <c r="AH89" s="10">
        <f>IF(tblOrdenes[[#This Row],[orden]]="","",MAX(0,_xlfn.XLOOKUP(tblOrdenes[[#This Row],[id_operacion]],tblEjecucion[id_operacion],tblEjecucion[costo_plan_total],0)-tblOrdenes[[#This Row],[costo_servicio]]))</f>
        <v/>
      </c>
      <c r="AI89" s="10">
        <f>IF(tblOrdenes[[#This Row],[orden]]="","",tblOrdenes[[#This Row],[costo_servicio]]+tblOrdenes[[#This Row],[costo_materiales]])</f>
        <v/>
      </c>
      <c r="AJ89" s="6" t="inlineStr"/>
      <c r="AK89" s="6" t="inlineStr"/>
      <c r="AL89" s="6" t="inlineStr">
        <is>
          <t>ACT-04.pdf</t>
        </is>
      </c>
      <c r="AM89" s="3">
        <f>IF(tblOrdenes[[#This Row],[link_checklist]]="","",HYPERLINK(p_ruta_base_checklists&amp;tblOrdenes[[#This Row],[link_checklist]],"abrir"))</f>
        <v/>
      </c>
      <c r="AN89" s="6" t="inlineStr"/>
      <c r="AO89" s="3">
        <f>IF(tblOrdenes[[#This Row],[orden]]="","",tblOrdenes[[#This Row],[orden]]&amp;IF(tblOrdenes[[#This Row],[operacion]]="","0010",tblOrdenes[[#This Row],[operacion]]))</f>
        <v/>
      </c>
    </row>
    <row r="90">
      <c r="A90" s="3" t="inlineStr">
        <is>
          <t>OT-000087</t>
        </is>
      </c>
      <c r="B90" s="3" t="inlineStr">
        <is>
          <t>0010</t>
        </is>
      </c>
      <c r="C90" s="3" t="inlineStr">
        <is>
          <t>Inspección de rutina — EQ-103</t>
        </is>
      </c>
      <c r="D90" s="3" t="inlineStr">
        <is>
          <t>Inspección de rutina en EQ-103</t>
        </is>
      </c>
      <c r="E90" s="3" t="inlineStr">
        <is>
          <t>EQ-103</t>
        </is>
      </c>
      <c r="F90" s="3" t="inlineStr">
        <is>
          <t>CC-110</t>
        </is>
      </c>
      <c r="G90" s="3" t="inlineStr">
        <is>
          <t>PU-AUT</t>
        </is>
      </c>
      <c r="H90" s="3" t="inlineStr">
        <is>
          <t>ACT-01</t>
        </is>
      </c>
      <c r="I90" s="3" t="inlineStr">
        <is>
          <t>TIPO-P2</t>
        </is>
      </c>
      <c r="J90" s="11" t="n">
        <v>46217</v>
      </c>
      <c r="K90" s="3" t="n">
        <v>6</v>
      </c>
      <c r="L90" s="10" t="n">
        <v>150</v>
      </c>
      <c r="M90" s="6" t="n"/>
      <c r="N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0" s="3">
        <f>IF(tblOrdenes[[#This Row],[fecha_inicio]]="","",YEAR(tblOrdenes[[#This Row],[fecha_inicio]]))</f>
        <v/>
      </c>
      <c r="R90" s="3">
        <f>IF(tblOrdenes[[#This Row],[fecha_inicio]]="","",MONTH(tblOrdenes[[#This Row],[fecha_inicio]]))</f>
        <v/>
      </c>
      <c r="S90" s="3">
        <f>IF(tblOrdenes[[#This Row],[fecha_inicio]]="","",INDEX(lista_dias,WEEKDAY(tblOrdenes[[#This Row],[fecha_inicio]],2)))</f>
        <v/>
      </c>
      <c r="T90" s="3">
        <f>IF(tblOrdenes[[#This Row],[tipo_ot]]="","",_xlfn.XLOOKUP(tblOrdenes[[#This Row],[tipo_ot]],tblTiposOT[codigo],tblTiposOT[clasificacion],"sin_clasificar"))</f>
        <v/>
      </c>
      <c r="U90" s="3">
        <f>IF(tblOrdenes[[#This Row],[centro_costo]]="","",_xlfn.XLOOKUP(tblOrdenes[[#This Row],[centro_costo]],tblCECO[codigo],tblCECO[linea],"(sin catálogo)"))</f>
        <v/>
      </c>
      <c r="V90" s="3">
        <f>IF(tblOrdenes[[#This Row],[centro_costo]]="","",_xlfn.XLOOKUP(tblOrdenes[[#This Row],[centro_costo]],tblCECO[codigo],tblCECO[area],"(sin catálogo)"))</f>
        <v/>
      </c>
      <c r="W90" s="3">
        <f>IF(tblOrdenes[[#This Row],[centro_costo]]="","",_xlfn.XLOOKUP(tblOrdenes[[#This Row],[centro_costo]],tblCECO[codigo],tblCECO[coordinador],"(sin catálogo)"))</f>
        <v/>
      </c>
      <c r="X90" s="3">
        <f>IF(tblOrdenes[[#This Row],[puesto_trabajo]]="","",_xlfn.XLOOKUP(tblOrdenes[[#This Row],[puesto_trabajo]],tblPuestos[codigo],tblPuestos[especialidad],"(sin catálogo)"))</f>
        <v/>
      </c>
      <c r="Y90" s="3">
        <f>IF(tblOrdenes[[#This Row],[cod_actividad]]="","",_xlfn.XLOOKUP(tblOrdenes[[#This Row],[cod_actividad]],tblActividades[codigo],tblActividades[descripcion],"(sin catálogo)"))</f>
        <v/>
      </c>
      <c r="Z90" s="12">
        <f>IF(tblOrdenes[[#This Row],[fecha_inicio]]="","",TODAY()-tblOrdenes[[#This Row],[fecha_inicio]])</f>
        <v/>
      </c>
      <c r="AA90" s="3">
        <f>IF(tblOrdenes[[#This Row],[backlog_dias]]="","",IF(tblOrdenes[[#This Row],[backlog_dias]]&lt;0,"FUTURO",IF(tblOrdenes[[#This Row],[backlog_dias]]&gt;p_dias_backlog_max,"BACKLOG","MES CORRIENTE")))</f>
        <v/>
      </c>
      <c r="AB90" s="3">
        <f>IF(tblOrdenes[[#This Row],[backlog_dias]]="",FALSE,AND(tblOrdenes[[#This Row],[backlog_dias]]&gt;p_dias_backlog_min,tblOrdenes[[#This Row],[backlog_dias]]&lt;=p_dias_backlog_max))</f>
        <v/>
      </c>
      <c r="AC90" s="6" t="inlineStr">
        <is>
          <t>Técnico 08</t>
        </is>
      </c>
      <c r="AD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0" s="10">
        <f>IF(tblOrdenes[[#This Row],[orden]]="","",_xlfn.XLOOKUP(tblOrdenes[[#This Row],[id_operacion]],tblEjecucion[id_operacion],tblEjecucion[precio],0))</f>
        <v/>
      </c>
      <c r="AH90" s="10">
        <f>IF(tblOrdenes[[#This Row],[orden]]="","",MAX(0,_xlfn.XLOOKUP(tblOrdenes[[#This Row],[id_operacion]],tblEjecucion[id_operacion],tblEjecucion[costo_plan_total],0)-tblOrdenes[[#This Row],[costo_servicio]]))</f>
        <v/>
      </c>
      <c r="AI90" s="10">
        <f>IF(tblOrdenes[[#This Row],[orden]]="","",tblOrdenes[[#This Row],[costo_servicio]]+tblOrdenes[[#This Row],[costo_materiales]])</f>
        <v/>
      </c>
      <c r="AJ90" s="6" t="inlineStr"/>
      <c r="AK90" s="6" t="inlineStr"/>
      <c r="AL90" s="6" t="inlineStr">
        <is>
          <t>ACT-01.pdf</t>
        </is>
      </c>
      <c r="AM90" s="3">
        <f>IF(tblOrdenes[[#This Row],[link_checklist]]="","",HYPERLINK(p_ruta_base_checklists&amp;tblOrdenes[[#This Row],[link_checklist]],"abrir"))</f>
        <v/>
      </c>
      <c r="AN90" s="6" t="inlineStr"/>
      <c r="AO90" s="3">
        <f>IF(tblOrdenes[[#This Row],[orden]]="","",tblOrdenes[[#This Row],[orden]]&amp;IF(tblOrdenes[[#This Row],[operacion]]="","0010",tblOrdenes[[#This Row],[operacion]]))</f>
        <v/>
      </c>
    </row>
    <row r="91">
      <c r="A91" s="3" t="inlineStr">
        <is>
          <t>OT-000088</t>
        </is>
      </c>
      <c r="B91" s="3" t="inlineStr">
        <is>
          <t>0010</t>
        </is>
      </c>
      <c r="C91" s="3" t="inlineStr">
        <is>
          <t>Lubricación programada — EQ-106</t>
        </is>
      </c>
      <c r="D91" s="3" t="inlineStr">
        <is>
          <t>Lubricación programada en EQ-106</t>
        </is>
      </c>
      <c r="E91" s="3" t="inlineStr">
        <is>
          <t>EQ-106</t>
        </is>
      </c>
      <c r="F91" s="3" t="inlineStr">
        <is>
          <t>CC-220</t>
        </is>
      </c>
      <c r="G91" s="3" t="inlineStr">
        <is>
          <t>PU-AUT</t>
        </is>
      </c>
      <c r="H91" s="3" t="inlineStr">
        <is>
          <t>ACT-02</t>
        </is>
      </c>
      <c r="I91" s="3" t="inlineStr">
        <is>
          <t>TIPO-P1</t>
        </is>
      </c>
      <c r="J91" s="11" t="n">
        <v>46218</v>
      </c>
      <c r="K91" s="3" t="n">
        <v>10</v>
      </c>
      <c r="L91" s="10" t="n">
        <v>250</v>
      </c>
      <c r="M91" s="6" t="n"/>
      <c r="N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1" s="3">
        <f>IF(tblOrdenes[[#This Row],[fecha_inicio]]="","",YEAR(tblOrdenes[[#This Row],[fecha_inicio]]))</f>
        <v/>
      </c>
      <c r="R91" s="3">
        <f>IF(tblOrdenes[[#This Row],[fecha_inicio]]="","",MONTH(tblOrdenes[[#This Row],[fecha_inicio]]))</f>
        <v/>
      </c>
      <c r="S91" s="3">
        <f>IF(tblOrdenes[[#This Row],[fecha_inicio]]="","",INDEX(lista_dias,WEEKDAY(tblOrdenes[[#This Row],[fecha_inicio]],2)))</f>
        <v/>
      </c>
      <c r="T91" s="3">
        <f>IF(tblOrdenes[[#This Row],[tipo_ot]]="","",_xlfn.XLOOKUP(tblOrdenes[[#This Row],[tipo_ot]],tblTiposOT[codigo],tblTiposOT[clasificacion],"sin_clasificar"))</f>
        <v/>
      </c>
      <c r="U91" s="3">
        <f>IF(tblOrdenes[[#This Row],[centro_costo]]="","",_xlfn.XLOOKUP(tblOrdenes[[#This Row],[centro_costo]],tblCECO[codigo],tblCECO[linea],"(sin catálogo)"))</f>
        <v/>
      </c>
      <c r="V91" s="3">
        <f>IF(tblOrdenes[[#This Row],[centro_costo]]="","",_xlfn.XLOOKUP(tblOrdenes[[#This Row],[centro_costo]],tblCECO[codigo],tblCECO[area],"(sin catálogo)"))</f>
        <v/>
      </c>
      <c r="W91" s="3">
        <f>IF(tblOrdenes[[#This Row],[centro_costo]]="","",_xlfn.XLOOKUP(tblOrdenes[[#This Row],[centro_costo]],tblCECO[codigo],tblCECO[coordinador],"(sin catálogo)"))</f>
        <v/>
      </c>
      <c r="X91" s="3">
        <f>IF(tblOrdenes[[#This Row],[puesto_trabajo]]="","",_xlfn.XLOOKUP(tblOrdenes[[#This Row],[puesto_trabajo]],tblPuestos[codigo],tblPuestos[especialidad],"(sin catálogo)"))</f>
        <v/>
      </c>
      <c r="Y91" s="3">
        <f>IF(tblOrdenes[[#This Row],[cod_actividad]]="","",_xlfn.XLOOKUP(tblOrdenes[[#This Row],[cod_actividad]],tblActividades[codigo],tblActividades[descripcion],"(sin catálogo)"))</f>
        <v/>
      </c>
      <c r="Z91" s="12">
        <f>IF(tblOrdenes[[#This Row],[fecha_inicio]]="","",TODAY()-tblOrdenes[[#This Row],[fecha_inicio]])</f>
        <v/>
      </c>
      <c r="AA91" s="3">
        <f>IF(tblOrdenes[[#This Row],[backlog_dias]]="","",IF(tblOrdenes[[#This Row],[backlog_dias]]&lt;0,"FUTURO",IF(tblOrdenes[[#This Row],[backlog_dias]]&gt;p_dias_backlog_max,"BACKLOG","MES CORRIENTE")))</f>
        <v/>
      </c>
      <c r="AB91" s="3">
        <f>IF(tblOrdenes[[#This Row],[backlog_dias]]="",FALSE,AND(tblOrdenes[[#This Row],[backlog_dias]]&gt;p_dias_backlog_min,tblOrdenes[[#This Row],[backlog_dias]]&lt;=p_dias_backlog_max))</f>
        <v/>
      </c>
      <c r="AC91" s="6" t="inlineStr">
        <is>
          <t>Técnico 09</t>
        </is>
      </c>
      <c r="AD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1" s="10">
        <f>IF(tblOrdenes[[#This Row],[orden]]="","",_xlfn.XLOOKUP(tblOrdenes[[#This Row],[id_operacion]],tblEjecucion[id_operacion],tblEjecucion[precio],0))</f>
        <v/>
      </c>
      <c r="AH91" s="10">
        <f>IF(tblOrdenes[[#This Row],[orden]]="","",MAX(0,_xlfn.XLOOKUP(tblOrdenes[[#This Row],[id_operacion]],tblEjecucion[id_operacion],tblEjecucion[costo_plan_total],0)-tblOrdenes[[#This Row],[costo_servicio]]))</f>
        <v/>
      </c>
      <c r="AI91" s="10">
        <f>IF(tblOrdenes[[#This Row],[orden]]="","",tblOrdenes[[#This Row],[costo_servicio]]+tblOrdenes[[#This Row],[costo_materiales]])</f>
        <v/>
      </c>
      <c r="AJ91" s="6" t="inlineStr"/>
      <c r="AK91" s="6" t="inlineStr"/>
      <c r="AL91" s="6" t="inlineStr">
        <is>
          <t>ACT-02.pdf</t>
        </is>
      </c>
      <c r="AM91" s="3">
        <f>IF(tblOrdenes[[#This Row],[link_checklist]]="","",HYPERLINK(p_ruta_base_checklists&amp;tblOrdenes[[#This Row],[link_checklist]],"abrir"))</f>
        <v/>
      </c>
      <c r="AN91" s="6" t="inlineStr"/>
      <c r="AO91" s="3">
        <f>IF(tblOrdenes[[#This Row],[orden]]="","",tblOrdenes[[#This Row],[orden]]&amp;IF(tblOrdenes[[#This Row],[operacion]]="","0010",tblOrdenes[[#This Row],[operacion]]))</f>
        <v/>
      </c>
    </row>
    <row r="92">
      <c r="A92" s="3" t="inlineStr">
        <is>
          <t>OT-000089</t>
        </is>
      </c>
      <c r="B92" s="3" t="inlineStr">
        <is>
          <t>0010</t>
        </is>
      </c>
      <c r="C92" s="3" t="inlineStr">
        <is>
          <t>Análisis predictivo — EQ-105</t>
        </is>
      </c>
      <c r="D92" s="3" t="inlineStr">
        <is>
          <t>Análisis predictivo en EQ-105</t>
        </is>
      </c>
      <c r="E92" s="3" t="inlineStr">
        <is>
          <t>EQ-105</t>
        </is>
      </c>
      <c r="F92" s="3" t="inlineStr">
        <is>
          <t>CC-110</t>
        </is>
      </c>
      <c r="G92" s="3" t="inlineStr">
        <is>
          <t>PU-AUT</t>
        </is>
      </c>
      <c r="H92" s="3" t="inlineStr">
        <is>
          <t>ACT-04</t>
        </is>
      </c>
      <c r="I92" s="3" t="inlineStr">
        <is>
          <t>TIPO-P2</t>
        </is>
      </c>
      <c r="J92" s="11" t="n">
        <v>46219</v>
      </c>
      <c r="K92" s="3" t="n">
        <v>6</v>
      </c>
      <c r="L92" s="10" t="n">
        <v>150</v>
      </c>
      <c r="M92" s="6" t="n"/>
      <c r="N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2" s="3">
        <f>IF(tblOrdenes[[#This Row],[fecha_inicio]]="","",YEAR(tblOrdenes[[#This Row],[fecha_inicio]]))</f>
        <v/>
      </c>
      <c r="R92" s="3">
        <f>IF(tblOrdenes[[#This Row],[fecha_inicio]]="","",MONTH(tblOrdenes[[#This Row],[fecha_inicio]]))</f>
        <v/>
      </c>
      <c r="S92" s="3">
        <f>IF(tblOrdenes[[#This Row],[fecha_inicio]]="","",INDEX(lista_dias,WEEKDAY(tblOrdenes[[#This Row],[fecha_inicio]],2)))</f>
        <v/>
      </c>
      <c r="T92" s="3">
        <f>IF(tblOrdenes[[#This Row],[tipo_ot]]="","",_xlfn.XLOOKUP(tblOrdenes[[#This Row],[tipo_ot]],tblTiposOT[codigo],tblTiposOT[clasificacion],"sin_clasificar"))</f>
        <v/>
      </c>
      <c r="U92" s="3">
        <f>IF(tblOrdenes[[#This Row],[centro_costo]]="","",_xlfn.XLOOKUP(tblOrdenes[[#This Row],[centro_costo]],tblCECO[codigo],tblCECO[linea],"(sin catálogo)"))</f>
        <v/>
      </c>
      <c r="V92" s="3">
        <f>IF(tblOrdenes[[#This Row],[centro_costo]]="","",_xlfn.XLOOKUP(tblOrdenes[[#This Row],[centro_costo]],tblCECO[codigo],tblCECO[area],"(sin catálogo)"))</f>
        <v/>
      </c>
      <c r="W92" s="3">
        <f>IF(tblOrdenes[[#This Row],[centro_costo]]="","",_xlfn.XLOOKUP(tblOrdenes[[#This Row],[centro_costo]],tblCECO[codigo],tblCECO[coordinador],"(sin catálogo)"))</f>
        <v/>
      </c>
      <c r="X92" s="3">
        <f>IF(tblOrdenes[[#This Row],[puesto_trabajo]]="","",_xlfn.XLOOKUP(tblOrdenes[[#This Row],[puesto_trabajo]],tblPuestos[codigo],tblPuestos[especialidad],"(sin catálogo)"))</f>
        <v/>
      </c>
      <c r="Y92" s="3">
        <f>IF(tblOrdenes[[#This Row],[cod_actividad]]="","",_xlfn.XLOOKUP(tblOrdenes[[#This Row],[cod_actividad]],tblActividades[codigo],tblActividades[descripcion],"(sin catálogo)"))</f>
        <v/>
      </c>
      <c r="Z92" s="12">
        <f>IF(tblOrdenes[[#This Row],[fecha_inicio]]="","",TODAY()-tblOrdenes[[#This Row],[fecha_inicio]])</f>
        <v/>
      </c>
      <c r="AA92" s="3">
        <f>IF(tblOrdenes[[#This Row],[backlog_dias]]="","",IF(tblOrdenes[[#This Row],[backlog_dias]]&lt;0,"FUTURO",IF(tblOrdenes[[#This Row],[backlog_dias]]&gt;p_dias_backlog_max,"BACKLOG","MES CORRIENTE")))</f>
        <v/>
      </c>
      <c r="AB92" s="3">
        <f>IF(tblOrdenes[[#This Row],[backlog_dias]]="",FALSE,AND(tblOrdenes[[#This Row],[backlog_dias]]&gt;p_dias_backlog_min,tblOrdenes[[#This Row],[backlog_dias]]&lt;=p_dias_backlog_max))</f>
        <v/>
      </c>
      <c r="AC92" s="6" t="inlineStr">
        <is>
          <t>Técnico 08</t>
        </is>
      </c>
      <c r="AD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2" s="10">
        <f>IF(tblOrdenes[[#This Row],[orden]]="","",_xlfn.XLOOKUP(tblOrdenes[[#This Row],[id_operacion]],tblEjecucion[id_operacion],tblEjecucion[precio],0))</f>
        <v/>
      </c>
      <c r="AH92" s="10">
        <f>IF(tblOrdenes[[#This Row],[orden]]="","",MAX(0,_xlfn.XLOOKUP(tblOrdenes[[#This Row],[id_operacion]],tblEjecucion[id_operacion],tblEjecucion[costo_plan_total],0)-tblOrdenes[[#This Row],[costo_servicio]]))</f>
        <v/>
      </c>
      <c r="AI92" s="10">
        <f>IF(tblOrdenes[[#This Row],[orden]]="","",tblOrdenes[[#This Row],[costo_servicio]]+tblOrdenes[[#This Row],[costo_materiales]])</f>
        <v/>
      </c>
      <c r="AJ92" s="6" t="inlineStr"/>
      <c r="AK92" s="6" t="inlineStr"/>
      <c r="AL92" s="6" t="inlineStr">
        <is>
          <t>ACT-04.pdf</t>
        </is>
      </c>
      <c r="AM92" s="3">
        <f>IF(tblOrdenes[[#This Row],[link_checklist]]="","",HYPERLINK(p_ruta_base_checklists&amp;tblOrdenes[[#This Row],[link_checklist]],"abrir"))</f>
        <v/>
      </c>
      <c r="AN92" s="6" t="inlineStr"/>
      <c r="AO92" s="3">
        <f>IF(tblOrdenes[[#This Row],[orden]]="","",tblOrdenes[[#This Row],[orden]]&amp;IF(tblOrdenes[[#This Row],[operacion]]="","0010",tblOrdenes[[#This Row],[operacion]]))</f>
        <v/>
      </c>
    </row>
    <row r="93">
      <c r="A93" s="3" t="inlineStr">
        <is>
          <t>OT-000090</t>
        </is>
      </c>
      <c r="B93" s="3" t="inlineStr">
        <is>
          <t>0010</t>
        </is>
      </c>
      <c r="C93" s="3" t="inlineStr">
        <is>
          <t>Reparación de falla — EQ-108</t>
        </is>
      </c>
      <c r="D93" s="3" t="inlineStr">
        <is>
          <t>Reparación de falla en EQ-108</t>
        </is>
      </c>
      <c r="E93" s="3" t="inlineStr">
        <is>
          <t>EQ-108</t>
        </is>
      </c>
      <c r="F93" s="3" t="inlineStr">
        <is>
          <t>CC-220</t>
        </is>
      </c>
      <c r="G93" s="3" t="inlineStr">
        <is>
          <t>PU-AUT</t>
        </is>
      </c>
      <c r="H93" s="3" t="inlineStr">
        <is>
          <t>ACT-03</t>
        </is>
      </c>
      <c r="I93" s="3" t="inlineStr">
        <is>
          <t>TIPO-C1</t>
        </is>
      </c>
      <c r="J93" s="11" t="n">
        <v>46220</v>
      </c>
      <c r="K93" s="3" t="n">
        <v>10</v>
      </c>
      <c r="L93" s="10" t="n">
        <v>400</v>
      </c>
      <c r="M93" s="6" t="n"/>
      <c r="N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3" s="3">
        <f>IF(tblOrdenes[[#This Row],[fecha_inicio]]="","",YEAR(tblOrdenes[[#This Row],[fecha_inicio]]))</f>
        <v/>
      </c>
      <c r="R93" s="3">
        <f>IF(tblOrdenes[[#This Row],[fecha_inicio]]="","",MONTH(tblOrdenes[[#This Row],[fecha_inicio]]))</f>
        <v/>
      </c>
      <c r="S93" s="3">
        <f>IF(tblOrdenes[[#This Row],[fecha_inicio]]="","",INDEX(lista_dias,WEEKDAY(tblOrdenes[[#This Row],[fecha_inicio]],2)))</f>
        <v/>
      </c>
      <c r="T93" s="3">
        <f>IF(tblOrdenes[[#This Row],[tipo_ot]]="","",_xlfn.XLOOKUP(tblOrdenes[[#This Row],[tipo_ot]],tblTiposOT[codigo],tblTiposOT[clasificacion],"sin_clasificar"))</f>
        <v/>
      </c>
      <c r="U93" s="3">
        <f>IF(tblOrdenes[[#This Row],[centro_costo]]="","",_xlfn.XLOOKUP(tblOrdenes[[#This Row],[centro_costo]],tblCECO[codigo],tblCECO[linea],"(sin catálogo)"))</f>
        <v/>
      </c>
      <c r="V93" s="3">
        <f>IF(tblOrdenes[[#This Row],[centro_costo]]="","",_xlfn.XLOOKUP(tblOrdenes[[#This Row],[centro_costo]],tblCECO[codigo],tblCECO[area],"(sin catálogo)"))</f>
        <v/>
      </c>
      <c r="W93" s="3">
        <f>IF(tblOrdenes[[#This Row],[centro_costo]]="","",_xlfn.XLOOKUP(tblOrdenes[[#This Row],[centro_costo]],tblCECO[codigo],tblCECO[coordinador],"(sin catálogo)"))</f>
        <v/>
      </c>
      <c r="X93" s="3">
        <f>IF(tblOrdenes[[#This Row],[puesto_trabajo]]="","",_xlfn.XLOOKUP(tblOrdenes[[#This Row],[puesto_trabajo]],tblPuestos[codigo],tblPuestos[especialidad],"(sin catálogo)"))</f>
        <v/>
      </c>
      <c r="Y93" s="3">
        <f>IF(tblOrdenes[[#This Row],[cod_actividad]]="","",_xlfn.XLOOKUP(tblOrdenes[[#This Row],[cod_actividad]],tblActividades[codigo],tblActividades[descripcion],"(sin catálogo)"))</f>
        <v/>
      </c>
      <c r="Z93" s="12">
        <f>IF(tblOrdenes[[#This Row],[fecha_inicio]]="","",TODAY()-tblOrdenes[[#This Row],[fecha_inicio]])</f>
        <v/>
      </c>
      <c r="AA93" s="3">
        <f>IF(tblOrdenes[[#This Row],[backlog_dias]]="","",IF(tblOrdenes[[#This Row],[backlog_dias]]&lt;0,"FUTURO",IF(tblOrdenes[[#This Row],[backlog_dias]]&gt;p_dias_backlog_max,"BACKLOG","MES CORRIENTE")))</f>
        <v/>
      </c>
      <c r="AB93" s="3">
        <f>IF(tblOrdenes[[#This Row],[backlog_dias]]="",FALSE,AND(tblOrdenes[[#This Row],[backlog_dias]]&gt;p_dias_backlog_min,tblOrdenes[[#This Row],[backlog_dias]]&lt;=p_dias_backlog_max))</f>
        <v/>
      </c>
      <c r="AC93" s="6" t="inlineStr">
        <is>
          <t>Técnico 09</t>
        </is>
      </c>
      <c r="AD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3" s="10">
        <f>IF(tblOrdenes[[#This Row],[orden]]="","",_xlfn.XLOOKUP(tblOrdenes[[#This Row],[id_operacion]],tblEjecucion[id_operacion],tblEjecucion[precio],0))</f>
        <v/>
      </c>
      <c r="AH93" s="10">
        <f>IF(tblOrdenes[[#This Row],[orden]]="","",MAX(0,_xlfn.XLOOKUP(tblOrdenes[[#This Row],[id_operacion]],tblEjecucion[id_operacion],tblEjecucion[costo_plan_total],0)-tblOrdenes[[#This Row],[costo_servicio]]))</f>
        <v/>
      </c>
      <c r="AI93" s="10">
        <f>IF(tblOrdenes[[#This Row],[orden]]="","",tblOrdenes[[#This Row],[costo_servicio]]+tblOrdenes[[#This Row],[costo_materiales]])</f>
        <v/>
      </c>
      <c r="AJ93" s="6" t="inlineStr"/>
      <c r="AK93" s="6" t="inlineStr"/>
      <c r="AL93" s="6" t="inlineStr"/>
      <c r="AM93" s="3">
        <f>IF(tblOrdenes[[#This Row],[link_checklist]]="","",HYPERLINK(p_ruta_base_checklists&amp;tblOrdenes[[#This Row],[link_checklist]],"abrir"))</f>
        <v/>
      </c>
      <c r="AN93" s="6" t="inlineStr"/>
      <c r="AO93" s="3">
        <f>IF(tblOrdenes[[#This Row],[orden]]="","",tblOrdenes[[#This Row],[orden]]&amp;IF(tblOrdenes[[#This Row],[operacion]]="","0010",tblOrdenes[[#This Row],[operacion]]))</f>
        <v/>
      </c>
    </row>
    <row r="94">
      <c r="A94" s="3" t="inlineStr">
        <is>
          <t>OT-000091</t>
        </is>
      </c>
      <c r="B94" s="3" t="inlineStr">
        <is>
          <t>0010</t>
        </is>
      </c>
      <c r="C94" s="3" t="inlineStr">
        <is>
          <t>Lubricación programada — EQ-102</t>
        </is>
      </c>
      <c r="D94" s="3" t="inlineStr">
        <is>
          <t>Lubricación programada en EQ-102</t>
        </is>
      </c>
      <c r="E94" s="3" t="inlineStr">
        <is>
          <t>EQ-102</t>
        </is>
      </c>
      <c r="F94" s="3" t="inlineStr">
        <is>
          <t>CC-110</t>
        </is>
      </c>
      <c r="G94" s="3" t="inlineStr">
        <is>
          <t>PU-AUT</t>
        </is>
      </c>
      <c r="H94" s="3" t="inlineStr">
        <is>
          <t>ACT-02</t>
        </is>
      </c>
      <c r="I94" s="3" t="inlineStr">
        <is>
          <t>TIPO-P2</t>
        </is>
      </c>
      <c r="J94" s="11" t="n">
        <v>46223</v>
      </c>
      <c r="K94" s="3" t="n">
        <v>10</v>
      </c>
      <c r="L94" s="10" t="n">
        <v>250</v>
      </c>
      <c r="M94" s="6" t="n"/>
      <c r="N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4" s="3">
        <f>IF(tblOrdenes[[#This Row],[fecha_inicio]]="","",YEAR(tblOrdenes[[#This Row],[fecha_inicio]]))</f>
        <v/>
      </c>
      <c r="R94" s="3">
        <f>IF(tblOrdenes[[#This Row],[fecha_inicio]]="","",MONTH(tblOrdenes[[#This Row],[fecha_inicio]]))</f>
        <v/>
      </c>
      <c r="S94" s="3">
        <f>IF(tblOrdenes[[#This Row],[fecha_inicio]]="","",INDEX(lista_dias,WEEKDAY(tblOrdenes[[#This Row],[fecha_inicio]],2)))</f>
        <v/>
      </c>
      <c r="T94" s="3">
        <f>IF(tblOrdenes[[#This Row],[tipo_ot]]="","",_xlfn.XLOOKUP(tblOrdenes[[#This Row],[tipo_ot]],tblTiposOT[codigo],tblTiposOT[clasificacion],"sin_clasificar"))</f>
        <v/>
      </c>
      <c r="U94" s="3">
        <f>IF(tblOrdenes[[#This Row],[centro_costo]]="","",_xlfn.XLOOKUP(tblOrdenes[[#This Row],[centro_costo]],tblCECO[codigo],tblCECO[linea],"(sin catálogo)"))</f>
        <v/>
      </c>
      <c r="V94" s="3">
        <f>IF(tblOrdenes[[#This Row],[centro_costo]]="","",_xlfn.XLOOKUP(tblOrdenes[[#This Row],[centro_costo]],tblCECO[codigo],tblCECO[area],"(sin catálogo)"))</f>
        <v/>
      </c>
      <c r="W94" s="3">
        <f>IF(tblOrdenes[[#This Row],[centro_costo]]="","",_xlfn.XLOOKUP(tblOrdenes[[#This Row],[centro_costo]],tblCECO[codigo],tblCECO[coordinador],"(sin catálogo)"))</f>
        <v/>
      </c>
      <c r="X94" s="3">
        <f>IF(tblOrdenes[[#This Row],[puesto_trabajo]]="","",_xlfn.XLOOKUP(tblOrdenes[[#This Row],[puesto_trabajo]],tblPuestos[codigo],tblPuestos[especialidad],"(sin catálogo)"))</f>
        <v/>
      </c>
      <c r="Y94" s="3">
        <f>IF(tblOrdenes[[#This Row],[cod_actividad]]="","",_xlfn.XLOOKUP(tblOrdenes[[#This Row],[cod_actividad]],tblActividades[codigo],tblActividades[descripcion],"(sin catálogo)"))</f>
        <v/>
      </c>
      <c r="Z94" s="12">
        <f>IF(tblOrdenes[[#This Row],[fecha_inicio]]="","",TODAY()-tblOrdenes[[#This Row],[fecha_inicio]])</f>
        <v/>
      </c>
      <c r="AA94" s="3">
        <f>IF(tblOrdenes[[#This Row],[backlog_dias]]="","",IF(tblOrdenes[[#This Row],[backlog_dias]]&lt;0,"FUTURO",IF(tblOrdenes[[#This Row],[backlog_dias]]&gt;p_dias_backlog_max,"BACKLOG","MES CORRIENTE")))</f>
        <v/>
      </c>
      <c r="AB94" s="3">
        <f>IF(tblOrdenes[[#This Row],[backlog_dias]]="",FALSE,AND(tblOrdenes[[#This Row],[backlog_dias]]&gt;p_dias_backlog_min,tblOrdenes[[#This Row],[backlog_dias]]&lt;=p_dias_backlog_max))</f>
        <v/>
      </c>
      <c r="AC94" s="6" t="inlineStr">
        <is>
          <t>Técnico 08</t>
        </is>
      </c>
      <c r="AD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4" s="10">
        <f>IF(tblOrdenes[[#This Row],[orden]]="","",_xlfn.XLOOKUP(tblOrdenes[[#This Row],[id_operacion]],tblEjecucion[id_operacion],tblEjecucion[precio],0))</f>
        <v/>
      </c>
      <c r="AH94" s="10">
        <f>IF(tblOrdenes[[#This Row],[orden]]="","",MAX(0,_xlfn.XLOOKUP(tblOrdenes[[#This Row],[id_operacion]],tblEjecucion[id_operacion],tblEjecucion[costo_plan_total],0)-tblOrdenes[[#This Row],[costo_servicio]]))</f>
        <v/>
      </c>
      <c r="AI94" s="10">
        <f>IF(tblOrdenes[[#This Row],[orden]]="","",tblOrdenes[[#This Row],[costo_servicio]]+tblOrdenes[[#This Row],[costo_materiales]])</f>
        <v/>
      </c>
      <c r="AJ94" s="6" t="inlineStr"/>
      <c r="AK94" s="6" t="inlineStr"/>
      <c r="AL94" s="6" t="inlineStr">
        <is>
          <t>ACT-02.pdf</t>
        </is>
      </c>
      <c r="AM94" s="3">
        <f>IF(tblOrdenes[[#This Row],[link_checklist]]="","",HYPERLINK(p_ruta_base_checklists&amp;tblOrdenes[[#This Row],[link_checklist]],"abrir"))</f>
        <v/>
      </c>
      <c r="AN94" s="6" t="inlineStr"/>
      <c r="AO94" s="3">
        <f>IF(tblOrdenes[[#This Row],[orden]]="","",tblOrdenes[[#This Row],[orden]]&amp;IF(tblOrdenes[[#This Row],[operacion]]="","0010",tblOrdenes[[#This Row],[operacion]]))</f>
        <v/>
      </c>
    </row>
    <row r="95">
      <c r="A95" s="3" t="inlineStr">
        <is>
          <t>OT-000092</t>
        </is>
      </c>
      <c r="B95" s="3" t="inlineStr">
        <is>
          <t>0010</t>
        </is>
      </c>
      <c r="C95" s="3" t="inlineStr">
        <is>
          <t>Análisis predictivo — EQ-106</t>
        </is>
      </c>
      <c r="D95" s="3" t="inlineStr">
        <is>
          <t>Análisis predictivo en EQ-106</t>
        </is>
      </c>
      <c r="E95" s="3" t="inlineStr">
        <is>
          <t>EQ-106</t>
        </is>
      </c>
      <c r="F95" s="3" t="inlineStr">
        <is>
          <t>CC-220</t>
        </is>
      </c>
      <c r="G95" s="3" t="inlineStr">
        <is>
          <t>PU-AUT</t>
        </is>
      </c>
      <c r="H95" s="3" t="inlineStr">
        <is>
          <t>ACT-04</t>
        </is>
      </c>
      <c r="I95" s="3" t="inlineStr">
        <is>
          <t>TIPO-P1</t>
        </is>
      </c>
      <c r="J95" s="11" t="n">
        <v>46224</v>
      </c>
      <c r="K95" s="3" t="n">
        <v>8</v>
      </c>
      <c r="L95" s="10" t="n">
        <v>200</v>
      </c>
      <c r="M95" s="6" t="n"/>
      <c r="N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5" s="3">
        <f>IF(tblOrdenes[[#This Row],[fecha_inicio]]="","",YEAR(tblOrdenes[[#This Row],[fecha_inicio]]))</f>
        <v/>
      </c>
      <c r="R95" s="3">
        <f>IF(tblOrdenes[[#This Row],[fecha_inicio]]="","",MONTH(tblOrdenes[[#This Row],[fecha_inicio]]))</f>
        <v/>
      </c>
      <c r="S95" s="3">
        <f>IF(tblOrdenes[[#This Row],[fecha_inicio]]="","",INDEX(lista_dias,WEEKDAY(tblOrdenes[[#This Row],[fecha_inicio]],2)))</f>
        <v/>
      </c>
      <c r="T95" s="3">
        <f>IF(tblOrdenes[[#This Row],[tipo_ot]]="","",_xlfn.XLOOKUP(tblOrdenes[[#This Row],[tipo_ot]],tblTiposOT[codigo],tblTiposOT[clasificacion],"sin_clasificar"))</f>
        <v/>
      </c>
      <c r="U95" s="3">
        <f>IF(tblOrdenes[[#This Row],[centro_costo]]="","",_xlfn.XLOOKUP(tblOrdenes[[#This Row],[centro_costo]],tblCECO[codigo],tblCECO[linea],"(sin catálogo)"))</f>
        <v/>
      </c>
      <c r="V95" s="3">
        <f>IF(tblOrdenes[[#This Row],[centro_costo]]="","",_xlfn.XLOOKUP(tblOrdenes[[#This Row],[centro_costo]],tblCECO[codigo],tblCECO[area],"(sin catálogo)"))</f>
        <v/>
      </c>
      <c r="W95" s="3">
        <f>IF(tblOrdenes[[#This Row],[centro_costo]]="","",_xlfn.XLOOKUP(tblOrdenes[[#This Row],[centro_costo]],tblCECO[codigo],tblCECO[coordinador],"(sin catálogo)"))</f>
        <v/>
      </c>
      <c r="X95" s="3">
        <f>IF(tblOrdenes[[#This Row],[puesto_trabajo]]="","",_xlfn.XLOOKUP(tblOrdenes[[#This Row],[puesto_trabajo]],tblPuestos[codigo],tblPuestos[especialidad],"(sin catálogo)"))</f>
        <v/>
      </c>
      <c r="Y95" s="3">
        <f>IF(tblOrdenes[[#This Row],[cod_actividad]]="","",_xlfn.XLOOKUP(tblOrdenes[[#This Row],[cod_actividad]],tblActividades[codigo],tblActividades[descripcion],"(sin catálogo)"))</f>
        <v/>
      </c>
      <c r="Z95" s="12">
        <f>IF(tblOrdenes[[#This Row],[fecha_inicio]]="","",TODAY()-tblOrdenes[[#This Row],[fecha_inicio]])</f>
        <v/>
      </c>
      <c r="AA95" s="3">
        <f>IF(tblOrdenes[[#This Row],[backlog_dias]]="","",IF(tblOrdenes[[#This Row],[backlog_dias]]&lt;0,"FUTURO",IF(tblOrdenes[[#This Row],[backlog_dias]]&gt;p_dias_backlog_max,"BACKLOG","MES CORRIENTE")))</f>
        <v/>
      </c>
      <c r="AB95" s="3">
        <f>IF(tblOrdenes[[#This Row],[backlog_dias]]="",FALSE,AND(tblOrdenes[[#This Row],[backlog_dias]]&gt;p_dias_backlog_min,tblOrdenes[[#This Row],[backlog_dias]]&lt;=p_dias_backlog_max))</f>
        <v/>
      </c>
      <c r="AC95" s="6" t="inlineStr">
        <is>
          <t>Técnico 09</t>
        </is>
      </c>
      <c r="AD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5" s="10">
        <f>IF(tblOrdenes[[#This Row],[orden]]="","",_xlfn.XLOOKUP(tblOrdenes[[#This Row],[id_operacion]],tblEjecucion[id_operacion],tblEjecucion[precio],0))</f>
        <v/>
      </c>
      <c r="AH95" s="10">
        <f>IF(tblOrdenes[[#This Row],[orden]]="","",MAX(0,_xlfn.XLOOKUP(tblOrdenes[[#This Row],[id_operacion]],tblEjecucion[id_operacion],tblEjecucion[costo_plan_total],0)-tblOrdenes[[#This Row],[costo_servicio]]))</f>
        <v/>
      </c>
      <c r="AI95" s="10">
        <f>IF(tblOrdenes[[#This Row],[orden]]="","",tblOrdenes[[#This Row],[costo_servicio]]+tblOrdenes[[#This Row],[costo_materiales]])</f>
        <v/>
      </c>
      <c r="AJ95" s="6" t="inlineStr"/>
      <c r="AK95" s="6" t="inlineStr"/>
      <c r="AL95" s="6" t="inlineStr">
        <is>
          <t>ACT-04.pdf</t>
        </is>
      </c>
      <c r="AM95" s="3">
        <f>IF(tblOrdenes[[#This Row],[link_checklist]]="","",HYPERLINK(p_ruta_base_checklists&amp;tblOrdenes[[#This Row],[link_checklist]],"abrir"))</f>
        <v/>
      </c>
      <c r="AN95" s="6" t="inlineStr"/>
      <c r="AO95" s="3">
        <f>IF(tblOrdenes[[#This Row],[orden]]="","",tblOrdenes[[#This Row],[orden]]&amp;IF(tblOrdenes[[#This Row],[operacion]]="","0010",tblOrdenes[[#This Row],[operacion]]))</f>
        <v/>
      </c>
    </row>
    <row r="96">
      <c r="A96" s="3" t="inlineStr">
        <is>
          <t>OT-000093</t>
        </is>
      </c>
      <c r="B96" s="3" t="inlineStr">
        <is>
          <t>0010</t>
        </is>
      </c>
      <c r="C96" s="3" t="inlineStr">
        <is>
          <t>Inspección de rutina — EQ-104</t>
        </is>
      </c>
      <c r="D96" s="3" t="inlineStr">
        <is>
          <t>Inspección de rutina en EQ-104</t>
        </is>
      </c>
      <c r="E96" s="3" t="inlineStr">
        <is>
          <t>EQ-104</t>
        </is>
      </c>
      <c r="F96" s="3" t="inlineStr">
        <is>
          <t>CC-110</t>
        </is>
      </c>
      <c r="G96" s="3" t="inlineStr">
        <is>
          <t>PU-AUT</t>
        </is>
      </c>
      <c r="H96" s="3" t="inlineStr">
        <is>
          <t>ACT-01</t>
        </is>
      </c>
      <c r="I96" s="3" t="inlineStr">
        <is>
          <t>TIPO-P2</t>
        </is>
      </c>
      <c r="J96" s="11" t="n">
        <v>46225</v>
      </c>
      <c r="K96" s="3" t="n">
        <v>6</v>
      </c>
      <c r="L96" s="10" t="n">
        <v>150</v>
      </c>
      <c r="M96" s="6" t="n"/>
      <c r="N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6" s="3">
        <f>IF(tblOrdenes[[#This Row],[fecha_inicio]]="","",YEAR(tblOrdenes[[#This Row],[fecha_inicio]]))</f>
        <v/>
      </c>
      <c r="R96" s="3">
        <f>IF(tblOrdenes[[#This Row],[fecha_inicio]]="","",MONTH(tblOrdenes[[#This Row],[fecha_inicio]]))</f>
        <v/>
      </c>
      <c r="S96" s="3">
        <f>IF(tblOrdenes[[#This Row],[fecha_inicio]]="","",INDEX(lista_dias,WEEKDAY(tblOrdenes[[#This Row],[fecha_inicio]],2)))</f>
        <v/>
      </c>
      <c r="T96" s="3">
        <f>IF(tblOrdenes[[#This Row],[tipo_ot]]="","",_xlfn.XLOOKUP(tblOrdenes[[#This Row],[tipo_ot]],tblTiposOT[codigo],tblTiposOT[clasificacion],"sin_clasificar"))</f>
        <v/>
      </c>
      <c r="U96" s="3">
        <f>IF(tblOrdenes[[#This Row],[centro_costo]]="","",_xlfn.XLOOKUP(tblOrdenes[[#This Row],[centro_costo]],tblCECO[codigo],tblCECO[linea],"(sin catálogo)"))</f>
        <v/>
      </c>
      <c r="V96" s="3">
        <f>IF(tblOrdenes[[#This Row],[centro_costo]]="","",_xlfn.XLOOKUP(tblOrdenes[[#This Row],[centro_costo]],tblCECO[codigo],tblCECO[area],"(sin catálogo)"))</f>
        <v/>
      </c>
      <c r="W96" s="3">
        <f>IF(tblOrdenes[[#This Row],[centro_costo]]="","",_xlfn.XLOOKUP(tblOrdenes[[#This Row],[centro_costo]],tblCECO[codigo],tblCECO[coordinador],"(sin catálogo)"))</f>
        <v/>
      </c>
      <c r="X96" s="3">
        <f>IF(tblOrdenes[[#This Row],[puesto_trabajo]]="","",_xlfn.XLOOKUP(tblOrdenes[[#This Row],[puesto_trabajo]],tblPuestos[codigo],tblPuestos[especialidad],"(sin catálogo)"))</f>
        <v/>
      </c>
      <c r="Y96" s="3">
        <f>IF(tblOrdenes[[#This Row],[cod_actividad]]="","",_xlfn.XLOOKUP(tblOrdenes[[#This Row],[cod_actividad]],tblActividades[codigo],tblActividades[descripcion],"(sin catálogo)"))</f>
        <v/>
      </c>
      <c r="Z96" s="12">
        <f>IF(tblOrdenes[[#This Row],[fecha_inicio]]="","",TODAY()-tblOrdenes[[#This Row],[fecha_inicio]])</f>
        <v/>
      </c>
      <c r="AA96" s="3">
        <f>IF(tblOrdenes[[#This Row],[backlog_dias]]="","",IF(tblOrdenes[[#This Row],[backlog_dias]]&lt;0,"FUTURO",IF(tblOrdenes[[#This Row],[backlog_dias]]&gt;p_dias_backlog_max,"BACKLOG","MES CORRIENTE")))</f>
        <v/>
      </c>
      <c r="AB96" s="3">
        <f>IF(tblOrdenes[[#This Row],[backlog_dias]]="",FALSE,AND(tblOrdenes[[#This Row],[backlog_dias]]&gt;p_dias_backlog_min,tblOrdenes[[#This Row],[backlog_dias]]&lt;=p_dias_backlog_max))</f>
        <v/>
      </c>
      <c r="AC96" s="6" t="inlineStr">
        <is>
          <t>Técnico 08</t>
        </is>
      </c>
      <c r="AD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6" s="10">
        <f>IF(tblOrdenes[[#This Row],[orden]]="","",_xlfn.XLOOKUP(tblOrdenes[[#This Row],[id_operacion]],tblEjecucion[id_operacion],tblEjecucion[precio],0))</f>
        <v/>
      </c>
      <c r="AH96" s="10">
        <f>IF(tblOrdenes[[#This Row],[orden]]="","",MAX(0,_xlfn.XLOOKUP(tblOrdenes[[#This Row],[id_operacion]],tblEjecucion[id_operacion],tblEjecucion[costo_plan_total],0)-tblOrdenes[[#This Row],[costo_servicio]]))</f>
        <v/>
      </c>
      <c r="AI96" s="10">
        <f>IF(tblOrdenes[[#This Row],[orden]]="","",tblOrdenes[[#This Row],[costo_servicio]]+tblOrdenes[[#This Row],[costo_materiales]])</f>
        <v/>
      </c>
      <c r="AJ96" s="6" t="inlineStr"/>
      <c r="AK96" s="6" t="inlineStr"/>
      <c r="AL96" s="6" t="inlineStr">
        <is>
          <t>ACT-01.pdf</t>
        </is>
      </c>
      <c r="AM96" s="3">
        <f>IF(tblOrdenes[[#This Row],[link_checklist]]="","",HYPERLINK(p_ruta_base_checklists&amp;tblOrdenes[[#This Row],[link_checklist]],"abrir"))</f>
        <v/>
      </c>
      <c r="AN96" s="6" t="inlineStr"/>
      <c r="AO96" s="3">
        <f>IF(tblOrdenes[[#This Row],[orden]]="","",tblOrdenes[[#This Row],[orden]]&amp;IF(tblOrdenes[[#This Row],[operacion]]="","0010",tblOrdenes[[#This Row],[operacion]]))</f>
        <v/>
      </c>
    </row>
    <row r="97">
      <c r="A97" s="3" t="inlineStr">
        <is>
          <t>OT-000094</t>
        </is>
      </c>
      <c r="B97" s="3" t="inlineStr">
        <is>
          <t>0010</t>
        </is>
      </c>
      <c r="C97" s="3" t="inlineStr">
        <is>
          <t>Lubricación programada — EQ-108</t>
        </is>
      </c>
      <c r="D97" s="3" t="inlineStr">
        <is>
          <t>Lubricación programada en EQ-108</t>
        </is>
      </c>
      <c r="E97" s="3" t="inlineStr">
        <is>
          <t>EQ-108</t>
        </is>
      </c>
      <c r="F97" s="3" t="inlineStr">
        <is>
          <t>CC-220</t>
        </is>
      </c>
      <c r="G97" s="3" t="inlineStr">
        <is>
          <t>PU-AUT</t>
        </is>
      </c>
      <c r="H97" s="3" t="inlineStr">
        <is>
          <t>ACT-02</t>
        </is>
      </c>
      <c r="I97" s="3" t="inlineStr">
        <is>
          <t>TIPO-P1</t>
        </is>
      </c>
      <c r="J97" s="11" t="n">
        <v>46226</v>
      </c>
      <c r="K97" s="3" t="n">
        <v>10</v>
      </c>
      <c r="L97" s="10" t="n">
        <v>250</v>
      </c>
      <c r="M97" s="6" t="n"/>
      <c r="N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7" s="3">
        <f>IF(tblOrdenes[[#This Row],[fecha_inicio]]="","",YEAR(tblOrdenes[[#This Row],[fecha_inicio]]))</f>
        <v/>
      </c>
      <c r="R97" s="3">
        <f>IF(tblOrdenes[[#This Row],[fecha_inicio]]="","",MONTH(tblOrdenes[[#This Row],[fecha_inicio]]))</f>
        <v/>
      </c>
      <c r="S97" s="3">
        <f>IF(tblOrdenes[[#This Row],[fecha_inicio]]="","",INDEX(lista_dias,WEEKDAY(tblOrdenes[[#This Row],[fecha_inicio]],2)))</f>
        <v/>
      </c>
      <c r="T97" s="3">
        <f>IF(tblOrdenes[[#This Row],[tipo_ot]]="","",_xlfn.XLOOKUP(tblOrdenes[[#This Row],[tipo_ot]],tblTiposOT[codigo],tblTiposOT[clasificacion],"sin_clasificar"))</f>
        <v/>
      </c>
      <c r="U97" s="3">
        <f>IF(tblOrdenes[[#This Row],[centro_costo]]="","",_xlfn.XLOOKUP(tblOrdenes[[#This Row],[centro_costo]],tblCECO[codigo],tblCECO[linea],"(sin catálogo)"))</f>
        <v/>
      </c>
      <c r="V97" s="3">
        <f>IF(tblOrdenes[[#This Row],[centro_costo]]="","",_xlfn.XLOOKUP(tblOrdenes[[#This Row],[centro_costo]],tblCECO[codigo],tblCECO[area],"(sin catálogo)"))</f>
        <v/>
      </c>
      <c r="W97" s="3">
        <f>IF(tblOrdenes[[#This Row],[centro_costo]]="","",_xlfn.XLOOKUP(tblOrdenes[[#This Row],[centro_costo]],tblCECO[codigo],tblCECO[coordinador],"(sin catálogo)"))</f>
        <v/>
      </c>
      <c r="X97" s="3">
        <f>IF(tblOrdenes[[#This Row],[puesto_trabajo]]="","",_xlfn.XLOOKUP(tblOrdenes[[#This Row],[puesto_trabajo]],tblPuestos[codigo],tblPuestos[especialidad],"(sin catálogo)"))</f>
        <v/>
      </c>
      <c r="Y97" s="3">
        <f>IF(tblOrdenes[[#This Row],[cod_actividad]]="","",_xlfn.XLOOKUP(tblOrdenes[[#This Row],[cod_actividad]],tblActividades[codigo],tblActividades[descripcion],"(sin catálogo)"))</f>
        <v/>
      </c>
      <c r="Z97" s="12">
        <f>IF(tblOrdenes[[#This Row],[fecha_inicio]]="","",TODAY()-tblOrdenes[[#This Row],[fecha_inicio]])</f>
        <v/>
      </c>
      <c r="AA97" s="3">
        <f>IF(tblOrdenes[[#This Row],[backlog_dias]]="","",IF(tblOrdenes[[#This Row],[backlog_dias]]&lt;0,"FUTURO",IF(tblOrdenes[[#This Row],[backlog_dias]]&gt;p_dias_backlog_max,"BACKLOG","MES CORRIENTE")))</f>
        <v/>
      </c>
      <c r="AB97" s="3">
        <f>IF(tblOrdenes[[#This Row],[backlog_dias]]="",FALSE,AND(tblOrdenes[[#This Row],[backlog_dias]]&gt;p_dias_backlog_min,tblOrdenes[[#This Row],[backlog_dias]]&lt;=p_dias_backlog_max))</f>
        <v/>
      </c>
      <c r="AC97" s="6" t="inlineStr">
        <is>
          <t>Técnico 09</t>
        </is>
      </c>
      <c r="AD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7" s="10">
        <f>IF(tblOrdenes[[#This Row],[orden]]="","",_xlfn.XLOOKUP(tblOrdenes[[#This Row],[id_operacion]],tblEjecucion[id_operacion],tblEjecucion[precio],0))</f>
        <v/>
      </c>
      <c r="AH97" s="10">
        <f>IF(tblOrdenes[[#This Row],[orden]]="","",MAX(0,_xlfn.XLOOKUP(tblOrdenes[[#This Row],[id_operacion]],tblEjecucion[id_operacion],tblEjecucion[costo_plan_total],0)-tblOrdenes[[#This Row],[costo_servicio]]))</f>
        <v/>
      </c>
      <c r="AI97" s="10">
        <f>IF(tblOrdenes[[#This Row],[orden]]="","",tblOrdenes[[#This Row],[costo_servicio]]+tblOrdenes[[#This Row],[costo_materiales]])</f>
        <v/>
      </c>
      <c r="AJ97" s="6" t="inlineStr"/>
      <c r="AK97" s="6" t="inlineStr"/>
      <c r="AL97" s="6" t="inlineStr">
        <is>
          <t>ACT-02.pdf</t>
        </is>
      </c>
      <c r="AM97" s="3">
        <f>IF(tblOrdenes[[#This Row],[link_checklist]]="","",HYPERLINK(p_ruta_base_checklists&amp;tblOrdenes[[#This Row],[link_checklist]],"abrir"))</f>
        <v/>
      </c>
      <c r="AN97" s="6" t="inlineStr"/>
      <c r="AO97" s="3">
        <f>IF(tblOrdenes[[#This Row],[orden]]="","",tblOrdenes[[#This Row],[orden]]&amp;IF(tblOrdenes[[#This Row],[operacion]]="","0010",tblOrdenes[[#This Row],[operacion]]))</f>
        <v/>
      </c>
    </row>
    <row r="98">
      <c r="A98" s="3" t="inlineStr">
        <is>
          <t>OT-000095</t>
        </is>
      </c>
      <c r="B98" s="3" t="inlineStr">
        <is>
          <t>0010</t>
        </is>
      </c>
      <c r="C98" s="3" t="inlineStr">
        <is>
          <t>Análisis predictivo — EQ-101</t>
        </is>
      </c>
      <c r="D98" s="3" t="inlineStr">
        <is>
          <t>Análisis predictivo en EQ-101</t>
        </is>
      </c>
      <c r="E98" s="3" t="inlineStr">
        <is>
          <t>EQ-101</t>
        </is>
      </c>
      <c r="F98" s="3" t="inlineStr">
        <is>
          <t>CC-110</t>
        </is>
      </c>
      <c r="G98" s="3" t="inlineStr">
        <is>
          <t>PU-AUT</t>
        </is>
      </c>
      <c r="H98" s="3" t="inlineStr">
        <is>
          <t>ACT-04</t>
        </is>
      </c>
      <c r="I98" s="3" t="inlineStr">
        <is>
          <t>TIPO-P2</t>
        </is>
      </c>
      <c r="J98" s="11" t="n">
        <v>46227</v>
      </c>
      <c r="K98" s="3" t="n">
        <v>11</v>
      </c>
      <c r="L98" s="10" t="n">
        <v>275</v>
      </c>
      <c r="M98" s="6" t="n"/>
      <c r="N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8" s="3">
        <f>IF(tblOrdenes[[#This Row],[fecha_inicio]]="","",YEAR(tblOrdenes[[#This Row],[fecha_inicio]]))</f>
        <v/>
      </c>
      <c r="R98" s="3">
        <f>IF(tblOrdenes[[#This Row],[fecha_inicio]]="","",MONTH(tblOrdenes[[#This Row],[fecha_inicio]]))</f>
        <v/>
      </c>
      <c r="S98" s="3">
        <f>IF(tblOrdenes[[#This Row],[fecha_inicio]]="","",INDEX(lista_dias,WEEKDAY(tblOrdenes[[#This Row],[fecha_inicio]],2)))</f>
        <v/>
      </c>
      <c r="T98" s="3">
        <f>IF(tblOrdenes[[#This Row],[tipo_ot]]="","",_xlfn.XLOOKUP(tblOrdenes[[#This Row],[tipo_ot]],tblTiposOT[codigo],tblTiposOT[clasificacion],"sin_clasificar"))</f>
        <v/>
      </c>
      <c r="U98" s="3">
        <f>IF(tblOrdenes[[#This Row],[centro_costo]]="","",_xlfn.XLOOKUP(tblOrdenes[[#This Row],[centro_costo]],tblCECO[codigo],tblCECO[linea],"(sin catálogo)"))</f>
        <v/>
      </c>
      <c r="V98" s="3">
        <f>IF(tblOrdenes[[#This Row],[centro_costo]]="","",_xlfn.XLOOKUP(tblOrdenes[[#This Row],[centro_costo]],tblCECO[codigo],tblCECO[area],"(sin catálogo)"))</f>
        <v/>
      </c>
      <c r="W98" s="3">
        <f>IF(tblOrdenes[[#This Row],[centro_costo]]="","",_xlfn.XLOOKUP(tblOrdenes[[#This Row],[centro_costo]],tblCECO[codigo],tblCECO[coordinador],"(sin catálogo)"))</f>
        <v/>
      </c>
      <c r="X98" s="3">
        <f>IF(tblOrdenes[[#This Row],[puesto_trabajo]]="","",_xlfn.XLOOKUP(tblOrdenes[[#This Row],[puesto_trabajo]],tblPuestos[codigo],tblPuestos[especialidad],"(sin catálogo)"))</f>
        <v/>
      </c>
      <c r="Y98" s="3">
        <f>IF(tblOrdenes[[#This Row],[cod_actividad]]="","",_xlfn.XLOOKUP(tblOrdenes[[#This Row],[cod_actividad]],tblActividades[codigo],tblActividades[descripcion],"(sin catálogo)"))</f>
        <v/>
      </c>
      <c r="Z98" s="12">
        <f>IF(tblOrdenes[[#This Row],[fecha_inicio]]="","",TODAY()-tblOrdenes[[#This Row],[fecha_inicio]])</f>
        <v/>
      </c>
      <c r="AA98" s="3">
        <f>IF(tblOrdenes[[#This Row],[backlog_dias]]="","",IF(tblOrdenes[[#This Row],[backlog_dias]]&lt;0,"FUTURO",IF(tblOrdenes[[#This Row],[backlog_dias]]&gt;p_dias_backlog_max,"BACKLOG","MES CORRIENTE")))</f>
        <v/>
      </c>
      <c r="AB98" s="3">
        <f>IF(tblOrdenes[[#This Row],[backlog_dias]]="",FALSE,AND(tblOrdenes[[#This Row],[backlog_dias]]&gt;p_dias_backlog_min,tblOrdenes[[#This Row],[backlog_dias]]&lt;=p_dias_backlog_max))</f>
        <v/>
      </c>
      <c r="AC98" s="6" t="inlineStr">
        <is>
          <t>Técnico 08</t>
        </is>
      </c>
      <c r="AD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8" s="10">
        <f>IF(tblOrdenes[[#This Row],[orden]]="","",_xlfn.XLOOKUP(tblOrdenes[[#This Row],[id_operacion]],tblEjecucion[id_operacion],tblEjecucion[precio],0))</f>
        <v/>
      </c>
      <c r="AH98" s="10">
        <f>IF(tblOrdenes[[#This Row],[orden]]="","",MAX(0,_xlfn.XLOOKUP(tblOrdenes[[#This Row],[id_operacion]],tblEjecucion[id_operacion],tblEjecucion[costo_plan_total],0)-tblOrdenes[[#This Row],[costo_servicio]]))</f>
        <v/>
      </c>
      <c r="AI98" s="10">
        <f>IF(tblOrdenes[[#This Row],[orden]]="","",tblOrdenes[[#This Row],[costo_servicio]]+tblOrdenes[[#This Row],[costo_materiales]])</f>
        <v/>
      </c>
      <c r="AJ98" s="6" t="inlineStr"/>
      <c r="AK98" s="6" t="inlineStr"/>
      <c r="AL98" s="6" t="inlineStr">
        <is>
          <t>ACT-04.pdf</t>
        </is>
      </c>
      <c r="AM98" s="3">
        <f>IF(tblOrdenes[[#This Row],[link_checklist]]="","",HYPERLINK(p_ruta_base_checklists&amp;tblOrdenes[[#This Row],[link_checklist]],"abrir"))</f>
        <v/>
      </c>
      <c r="AN98" s="6" t="inlineStr"/>
      <c r="AO98" s="3">
        <f>IF(tblOrdenes[[#This Row],[orden]]="","",tblOrdenes[[#This Row],[orden]]&amp;IF(tblOrdenes[[#This Row],[operacion]]="","0010",tblOrdenes[[#This Row],[operacion]]))</f>
        <v/>
      </c>
    </row>
    <row r="99">
      <c r="A99" s="3" t="inlineStr">
        <is>
          <t>OT-000096</t>
        </is>
      </c>
      <c r="B99" s="3" t="inlineStr">
        <is>
          <t>0010</t>
        </is>
      </c>
      <c r="C99" s="3" t="inlineStr">
        <is>
          <t>Reparación de falla — EQ-106</t>
        </is>
      </c>
      <c r="D99" s="3" t="inlineStr">
        <is>
          <t>Reparación de falla en EQ-106</t>
        </is>
      </c>
      <c r="E99" s="3" t="inlineStr">
        <is>
          <t>EQ-106</t>
        </is>
      </c>
      <c r="F99" s="3" t="inlineStr">
        <is>
          <t>CC-220</t>
        </is>
      </c>
      <c r="G99" s="3" t="inlineStr">
        <is>
          <t>PU-AUT</t>
        </is>
      </c>
      <c r="H99" s="3" t="inlineStr">
        <is>
          <t>ACT-03</t>
        </is>
      </c>
      <c r="I99" s="3" t="inlineStr">
        <is>
          <t>TIPO-C1</t>
        </is>
      </c>
      <c r="J99" s="11" t="n">
        <v>46223</v>
      </c>
      <c r="K99" s="3" t="n">
        <v>10</v>
      </c>
      <c r="L99" s="10" t="n">
        <v>400</v>
      </c>
      <c r="M99" s="6" t="n"/>
      <c r="N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9" s="3">
        <f>IF(tblOrdenes[[#This Row],[fecha_inicio]]="","",YEAR(tblOrdenes[[#This Row],[fecha_inicio]]))</f>
        <v/>
      </c>
      <c r="R99" s="3">
        <f>IF(tblOrdenes[[#This Row],[fecha_inicio]]="","",MONTH(tblOrdenes[[#This Row],[fecha_inicio]]))</f>
        <v/>
      </c>
      <c r="S99" s="3">
        <f>IF(tblOrdenes[[#This Row],[fecha_inicio]]="","",INDEX(lista_dias,WEEKDAY(tblOrdenes[[#This Row],[fecha_inicio]],2)))</f>
        <v/>
      </c>
      <c r="T99" s="3">
        <f>IF(tblOrdenes[[#This Row],[tipo_ot]]="","",_xlfn.XLOOKUP(tblOrdenes[[#This Row],[tipo_ot]],tblTiposOT[codigo],tblTiposOT[clasificacion],"sin_clasificar"))</f>
        <v/>
      </c>
      <c r="U99" s="3">
        <f>IF(tblOrdenes[[#This Row],[centro_costo]]="","",_xlfn.XLOOKUP(tblOrdenes[[#This Row],[centro_costo]],tblCECO[codigo],tblCECO[linea],"(sin catálogo)"))</f>
        <v/>
      </c>
      <c r="V99" s="3">
        <f>IF(tblOrdenes[[#This Row],[centro_costo]]="","",_xlfn.XLOOKUP(tblOrdenes[[#This Row],[centro_costo]],tblCECO[codigo],tblCECO[area],"(sin catálogo)"))</f>
        <v/>
      </c>
      <c r="W99" s="3">
        <f>IF(tblOrdenes[[#This Row],[centro_costo]]="","",_xlfn.XLOOKUP(tblOrdenes[[#This Row],[centro_costo]],tblCECO[codigo],tblCECO[coordinador],"(sin catálogo)"))</f>
        <v/>
      </c>
      <c r="X99" s="3">
        <f>IF(tblOrdenes[[#This Row],[puesto_trabajo]]="","",_xlfn.XLOOKUP(tblOrdenes[[#This Row],[puesto_trabajo]],tblPuestos[codigo],tblPuestos[especialidad],"(sin catálogo)"))</f>
        <v/>
      </c>
      <c r="Y99" s="3">
        <f>IF(tblOrdenes[[#This Row],[cod_actividad]]="","",_xlfn.XLOOKUP(tblOrdenes[[#This Row],[cod_actividad]],tblActividades[codigo],tblActividades[descripcion],"(sin catálogo)"))</f>
        <v/>
      </c>
      <c r="Z99" s="12">
        <f>IF(tblOrdenes[[#This Row],[fecha_inicio]]="","",TODAY()-tblOrdenes[[#This Row],[fecha_inicio]])</f>
        <v/>
      </c>
      <c r="AA99" s="3">
        <f>IF(tblOrdenes[[#This Row],[backlog_dias]]="","",IF(tblOrdenes[[#This Row],[backlog_dias]]&lt;0,"FUTURO",IF(tblOrdenes[[#This Row],[backlog_dias]]&gt;p_dias_backlog_max,"BACKLOG","MES CORRIENTE")))</f>
        <v/>
      </c>
      <c r="AB99" s="3">
        <f>IF(tblOrdenes[[#This Row],[backlog_dias]]="",FALSE,AND(tblOrdenes[[#This Row],[backlog_dias]]&gt;p_dias_backlog_min,tblOrdenes[[#This Row],[backlog_dias]]&lt;=p_dias_backlog_max))</f>
        <v/>
      </c>
      <c r="AC99" s="6" t="inlineStr"/>
      <c r="AD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9" s="10">
        <f>IF(tblOrdenes[[#This Row],[orden]]="","",_xlfn.XLOOKUP(tblOrdenes[[#This Row],[id_operacion]],tblEjecucion[id_operacion],tblEjecucion[precio],0))</f>
        <v/>
      </c>
      <c r="AH99" s="10">
        <f>IF(tblOrdenes[[#This Row],[orden]]="","",MAX(0,_xlfn.XLOOKUP(tblOrdenes[[#This Row],[id_operacion]],tblEjecucion[id_operacion],tblEjecucion[costo_plan_total],0)-tblOrdenes[[#This Row],[costo_servicio]]))</f>
        <v/>
      </c>
      <c r="AI99" s="10">
        <f>IF(tblOrdenes[[#This Row],[orden]]="","",tblOrdenes[[#This Row],[costo_servicio]]+tblOrdenes[[#This Row],[costo_materiales]])</f>
        <v/>
      </c>
      <c r="AJ99" s="6" t="inlineStr">
        <is>
          <t>PT-CALIENTE</t>
        </is>
      </c>
      <c r="AK99" s="6" t="inlineStr">
        <is>
          <t>LOTO</t>
        </is>
      </c>
      <c r="AL99" s="6" t="inlineStr"/>
      <c r="AM99" s="3">
        <f>IF(tblOrdenes[[#This Row],[link_checklist]]="","",HYPERLINK(p_ruta_base_checklists&amp;tblOrdenes[[#This Row],[link_checklist]],"abrir"))</f>
        <v/>
      </c>
      <c r="AN99" s="6" t="inlineStr"/>
      <c r="AO99" s="3">
        <f>IF(tblOrdenes[[#This Row],[orden]]="","",tblOrdenes[[#This Row],[orden]]&amp;IF(tblOrdenes[[#This Row],[operacion]]="","0010",tblOrdenes[[#This Row],[operacion]]))</f>
        <v/>
      </c>
    </row>
    <row r="100">
      <c r="A100" s="3" t="inlineStr">
        <is>
          <t>OT-000097</t>
        </is>
      </c>
      <c r="B100" s="3" t="inlineStr">
        <is>
          <t>0010</t>
        </is>
      </c>
      <c r="C100" s="3" t="inlineStr">
        <is>
          <t>Lubricación programada — EQ-103</t>
        </is>
      </c>
      <c r="D100" s="3" t="inlineStr">
        <is>
          <t>Lubricación programada en EQ-103</t>
        </is>
      </c>
      <c r="E100" s="3" t="inlineStr">
        <is>
          <t>EQ-103</t>
        </is>
      </c>
      <c r="F100" s="3" t="inlineStr">
        <is>
          <t>CC-110</t>
        </is>
      </c>
      <c r="G100" s="3" t="inlineStr">
        <is>
          <t>PU-AUT</t>
        </is>
      </c>
      <c r="H100" s="3" t="inlineStr">
        <is>
          <t>ACT-02</t>
        </is>
      </c>
      <c r="I100" s="3" t="inlineStr">
        <is>
          <t>TIPO-P2</t>
        </is>
      </c>
      <c r="J100" s="11" t="n">
        <v>46231</v>
      </c>
      <c r="K100" s="3" t="n">
        <v>10</v>
      </c>
      <c r="L100" s="10" t="n">
        <v>250</v>
      </c>
      <c r="M100" s="6" t="n"/>
      <c r="N1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0" s="3">
        <f>IF(tblOrdenes[[#This Row],[fecha_inicio]]="","",YEAR(tblOrdenes[[#This Row],[fecha_inicio]]))</f>
        <v/>
      </c>
      <c r="R100" s="3">
        <f>IF(tblOrdenes[[#This Row],[fecha_inicio]]="","",MONTH(tblOrdenes[[#This Row],[fecha_inicio]]))</f>
        <v/>
      </c>
      <c r="S100" s="3">
        <f>IF(tblOrdenes[[#This Row],[fecha_inicio]]="","",INDEX(lista_dias,WEEKDAY(tblOrdenes[[#This Row],[fecha_inicio]],2)))</f>
        <v/>
      </c>
      <c r="T100" s="3">
        <f>IF(tblOrdenes[[#This Row],[tipo_ot]]="","",_xlfn.XLOOKUP(tblOrdenes[[#This Row],[tipo_ot]],tblTiposOT[codigo],tblTiposOT[clasificacion],"sin_clasificar"))</f>
        <v/>
      </c>
      <c r="U100" s="3">
        <f>IF(tblOrdenes[[#This Row],[centro_costo]]="","",_xlfn.XLOOKUP(tblOrdenes[[#This Row],[centro_costo]],tblCECO[codigo],tblCECO[linea],"(sin catálogo)"))</f>
        <v/>
      </c>
      <c r="V100" s="3">
        <f>IF(tblOrdenes[[#This Row],[centro_costo]]="","",_xlfn.XLOOKUP(tblOrdenes[[#This Row],[centro_costo]],tblCECO[codigo],tblCECO[area],"(sin catálogo)"))</f>
        <v/>
      </c>
      <c r="W100" s="3">
        <f>IF(tblOrdenes[[#This Row],[centro_costo]]="","",_xlfn.XLOOKUP(tblOrdenes[[#This Row],[centro_costo]],tblCECO[codigo],tblCECO[coordinador],"(sin catálogo)"))</f>
        <v/>
      </c>
      <c r="X100" s="3">
        <f>IF(tblOrdenes[[#This Row],[puesto_trabajo]]="","",_xlfn.XLOOKUP(tblOrdenes[[#This Row],[puesto_trabajo]],tblPuestos[codigo],tblPuestos[especialidad],"(sin catálogo)"))</f>
        <v/>
      </c>
      <c r="Y100" s="3">
        <f>IF(tblOrdenes[[#This Row],[cod_actividad]]="","",_xlfn.XLOOKUP(tblOrdenes[[#This Row],[cod_actividad]],tblActividades[codigo],tblActividades[descripcion],"(sin catálogo)"))</f>
        <v/>
      </c>
      <c r="Z100" s="12">
        <f>IF(tblOrdenes[[#This Row],[fecha_inicio]]="","",TODAY()-tblOrdenes[[#This Row],[fecha_inicio]])</f>
        <v/>
      </c>
      <c r="AA100" s="3">
        <f>IF(tblOrdenes[[#This Row],[backlog_dias]]="","",IF(tblOrdenes[[#This Row],[backlog_dias]]&lt;0,"FUTURO",IF(tblOrdenes[[#This Row],[backlog_dias]]&gt;p_dias_backlog_max,"BACKLOG","MES CORRIENTE")))</f>
        <v/>
      </c>
      <c r="AB100" s="3">
        <f>IF(tblOrdenes[[#This Row],[backlog_dias]]="",FALSE,AND(tblOrdenes[[#This Row],[backlog_dias]]&gt;p_dias_backlog_min,tblOrdenes[[#This Row],[backlog_dias]]&lt;=p_dias_backlog_max))</f>
        <v/>
      </c>
      <c r="AC100" s="6" t="inlineStr">
        <is>
          <t>Técnico 08</t>
        </is>
      </c>
      <c r="AD1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0" s="10">
        <f>IF(tblOrdenes[[#This Row],[orden]]="","",_xlfn.XLOOKUP(tblOrdenes[[#This Row],[id_operacion]],tblEjecucion[id_operacion],tblEjecucion[precio],0))</f>
        <v/>
      </c>
      <c r="AH100" s="10">
        <f>IF(tblOrdenes[[#This Row],[orden]]="","",MAX(0,_xlfn.XLOOKUP(tblOrdenes[[#This Row],[id_operacion]],tblEjecucion[id_operacion],tblEjecucion[costo_plan_total],0)-tblOrdenes[[#This Row],[costo_servicio]]))</f>
        <v/>
      </c>
      <c r="AI100" s="10">
        <f>IF(tblOrdenes[[#This Row],[orden]]="","",tblOrdenes[[#This Row],[costo_servicio]]+tblOrdenes[[#This Row],[costo_materiales]])</f>
        <v/>
      </c>
      <c r="AJ100" s="6" t="inlineStr"/>
      <c r="AK100" s="6" t="inlineStr"/>
      <c r="AL100" s="6" t="inlineStr">
        <is>
          <t>ACT-02.pdf</t>
        </is>
      </c>
      <c r="AM100" s="3">
        <f>IF(tblOrdenes[[#This Row],[link_checklist]]="","",HYPERLINK(p_ruta_base_checklists&amp;tblOrdenes[[#This Row],[link_checklist]],"abrir"))</f>
        <v/>
      </c>
      <c r="AN100" s="6" t="inlineStr"/>
      <c r="AO100" s="3">
        <f>IF(tblOrdenes[[#This Row],[orden]]="","",tblOrdenes[[#This Row],[orden]]&amp;IF(tblOrdenes[[#This Row],[operacion]]="","0010",tblOrdenes[[#This Row],[operacion]]))</f>
        <v/>
      </c>
    </row>
    <row r="101">
      <c r="A101" s="3" t="inlineStr">
        <is>
          <t>OT-000098</t>
        </is>
      </c>
      <c r="B101" s="3" t="inlineStr">
        <is>
          <t>0010</t>
        </is>
      </c>
      <c r="C101" s="3" t="inlineStr">
        <is>
          <t>Análisis predictivo — EQ-108</t>
        </is>
      </c>
      <c r="D101" s="3" t="inlineStr">
        <is>
          <t>Análisis predictivo en EQ-108</t>
        </is>
      </c>
      <c r="E101" s="3" t="inlineStr">
        <is>
          <t>EQ-108</t>
        </is>
      </c>
      <c r="F101" s="3" t="inlineStr">
        <is>
          <t>CC-220</t>
        </is>
      </c>
      <c r="G101" s="3" t="inlineStr">
        <is>
          <t>PU-AUT</t>
        </is>
      </c>
      <c r="H101" s="3" t="inlineStr">
        <is>
          <t>ACT-04</t>
        </is>
      </c>
      <c r="I101" s="3" t="inlineStr">
        <is>
          <t>TIPO-P1</t>
        </is>
      </c>
      <c r="J101" s="11" t="n">
        <v>46232</v>
      </c>
      <c r="K101" s="3" t="n">
        <v>8</v>
      </c>
      <c r="L101" s="10" t="n">
        <v>200</v>
      </c>
      <c r="M101" s="6" t="n"/>
      <c r="N1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1" s="3">
        <f>IF(tblOrdenes[[#This Row],[fecha_inicio]]="","",YEAR(tblOrdenes[[#This Row],[fecha_inicio]]))</f>
        <v/>
      </c>
      <c r="R101" s="3">
        <f>IF(tblOrdenes[[#This Row],[fecha_inicio]]="","",MONTH(tblOrdenes[[#This Row],[fecha_inicio]]))</f>
        <v/>
      </c>
      <c r="S101" s="3">
        <f>IF(tblOrdenes[[#This Row],[fecha_inicio]]="","",INDEX(lista_dias,WEEKDAY(tblOrdenes[[#This Row],[fecha_inicio]],2)))</f>
        <v/>
      </c>
      <c r="T101" s="3">
        <f>IF(tblOrdenes[[#This Row],[tipo_ot]]="","",_xlfn.XLOOKUP(tblOrdenes[[#This Row],[tipo_ot]],tblTiposOT[codigo],tblTiposOT[clasificacion],"sin_clasificar"))</f>
        <v/>
      </c>
      <c r="U101" s="3">
        <f>IF(tblOrdenes[[#This Row],[centro_costo]]="","",_xlfn.XLOOKUP(tblOrdenes[[#This Row],[centro_costo]],tblCECO[codigo],tblCECO[linea],"(sin catálogo)"))</f>
        <v/>
      </c>
      <c r="V101" s="3">
        <f>IF(tblOrdenes[[#This Row],[centro_costo]]="","",_xlfn.XLOOKUP(tblOrdenes[[#This Row],[centro_costo]],tblCECO[codigo],tblCECO[area],"(sin catálogo)"))</f>
        <v/>
      </c>
      <c r="W101" s="3">
        <f>IF(tblOrdenes[[#This Row],[centro_costo]]="","",_xlfn.XLOOKUP(tblOrdenes[[#This Row],[centro_costo]],tblCECO[codigo],tblCECO[coordinador],"(sin catálogo)"))</f>
        <v/>
      </c>
      <c r="X101" s="3">
        <f>IF(tblOrdenes[[#This Row],[puesto_trabajo]]="","",_xlfn.XLOOKUP(tblOrdenes[[#This Row],[puesto_trabajo]],tblPuestos[codigo],tblPuestos[especialidad],"(sin catálogo)"))</f>
        <v/>
      </c>
      <c r="Y101" s="3">
        <f>IF(tblOrdenes[[#This Row],[cod_actividad]]="","",_xlfn.XLOOKUP(tblOrdenes[[#This Row],[cod_actividad]],tblActividades[codigo],tblActividades[descripcion],"(sin catálogo)"))</f>
        <v/>
      </c>
      <c r="Z101" s="12">
        <f>IF(tblOrdenes[[#This Row],[fecha_inicio]]="","",TODAY()-tblOrdenes[[#This Row],[fecha_inicio]])</f>
        <v/>
      </c>
      <c r="AA101" s="3">
        <f>IF(tblOrdenes[[#This Row],[backlog_dias]]="","",IF(tblOrdenes[[#This Row],[backlog_dias]]&lt;0,"FUTURO",IF(tblOrdenes[[#This Row],[backlog_dias]]&gt;p_dias_backlog_max,"BACKLOG","MES CORRIENTE")))</f>
        <v/>
      </c>
      <c r="AB101" s="3">
        <f>IF(tblOrdenes[[#This Row],[backlog_dias]]="",FALSE,AND(tblOrdenes[[#This Row],[backlog_dias]]&gt;p_dias_backlog_min,tblOrdenes[[#This Row],[backlog_dias]]&lt;=p_dias_backlog_max))</f>
        <v/>
      </c>
      <c r="AC101" s="6" t="inlineStr">
        <is>
          <t>Técnico 09</t>
        </is>
      </c>
      <c r="AD1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1" s="10">
        <f>IF(tblOrdenes[[#This Row],[orden]]="","",_xlfn.XLOOKUP(tblOrdenes[[#This Row],[id_operacion]],tblEjecucion[id_operacion],tblEjecucion[precio],0))</f>
        <v/>
      </c>
      <c r="AH101" s="10">
        <f>IF(tblOrdenes[[#This Row],[orden]]="","",MAX(0,_xlfn.XLOOKUP(tblOrdenes[[#This Row],[id_operacion]],tblEjecucion[id_operacion],tblEjecucion[costo_plan_total],0)-tblOrdenes[[#This Row],[costo_servicio]]))</f>
        <v/>
      </c>
      <c r="AI101" s="10">
        <f>IF(tblOrdenes[[#This Row],[orden]]="","",tblOrdenes[[#This Row],[costo_servicio]]+tblOrdenes[[#This Row],[costo_materiales]])</f>
        <v/>
      </c>
      <c r="AJ101" s="6" t="inlineStr"/>
      <c r="AK101" s="6" t="inlineStr"/>
      <c r="AL101" s="6" t="inlineStr">
        <is>
          <t>ACT-04.pdf</t>
        </is>
      </c>
      <c r="AM101" s="3">
        <f>IF(tblOrdenes[[#This Row],[link_checklist]]="","",HYPERLINK(p_ruta_base_checklists&amp;tblOrdenes[[#This Row],[link_checklist]],"abrir"))</f>
        <v/>
      </c>
      <c r="AN101" s="6" t="inlineStr"/>
      <c r="AO101" s="3">
        <f>IF(tblOrdenes[[#This Row],[orden]]="","",tblOrdenes[[#This Row],[orden]]&amp;IF(tblOrdenes[[#This Row],[operacion]]="","0010",tblOrdenes[[#This Row],[operacion]]))</f>
        <v/>
      </c>
    </row>
    <row r="102">
      <c r="A102" s="3" t="inlineStr">
        <is>
          <t>OT-000099</t>
        </is>
      </c>
      <c r="B102" s="3" t="inlineStr">
        <is>
          <t>0010</t>
        </is>
      </c>
      <c r="C102" s="3" t="inlineStr">
        <is>
          <t>Inspección de rutina — EQ-105</t>
        </is>
      </c>
      <c r="D102" s="3" t="inlineStr">
        <is>
          <t>Inspección de rutina en EQ-105</t>
        </is>
      </c>
      <c r="E102" s="3" t="inlineStr">
        <is>
          <t>EQ-105</t>
        </is>
      </c>
      <c r="F102" s="3" t="inlineStr">
        <is>
          <t>CC-110</t>
        </is>
      </c>
      <c r="G102" s="3" t="inlineStr">
        <is>
          <t>PU-AUT</t>
        </is>
      </c>
      <c r="H102" s="3" t="inlineStr">
        <is>
          <t>ACT-01</t>
        </is>
      </c>
      <c r="I102" s="3" t="inlineStr">
        <is>
          <t>TIPO-P2</t>
        </is>
      </c>
      <c r="J102" s="11" t="n">
        <v>46233</v>
      </c>
      <c r="K102" s="3" t="n">
        <v>6</v>
      </c>
      <c r="L102" s="10" t="n">
        <v>150</v>
      </c>
      <c r="M102" s="6" t="n"/>
      <c r="N1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2" s="3">
        <f>IF(tblOrdenes[[#This Row],[fecha_inicio]]="","",YEAR(tblOrdenes[[#This Row],[fecha_inicio]]))</f>
        <v/>
      </c>
      <c r="R102" s="3">
        <f>IF(tblOrdenes[[#This Row],[fecha_inicio]]="","",MONTH(tblOrdenes[[#This Row],[fecha_inicio]]))</f>
        <v/>
      </c>
      <c r="S102" s="3">
        <f>IF(tblOrdenes[[#This Row],[fecha_inicio]]="","",INDEX(lista_dias,WEEKDAY(tblOrdenes[[#This Row],[fecha_inicio]],2)))</f>
        <v/>
      </c>
      <c r="T102" s="3">
        <f>IF(tblOrdenes[[#This Row],[tipo_ot]]="","",_xlfn.XLOOKUP(tblOrdenes[[#This Row],[tipo_ot]],tblTiposOT[codigo],tblTiposOT[clasificacion],"sin_clasificar"))</f>
        <v/>
      </c>
      <c r="U102" s="3">
        <f>IF(tblOrdenes[[#This Row],[centro_costo]]="","",_xlfn.XLOOKUP(tblOrdenes[[#This Row],[centro_costo]],tblCECO[codigo],tblCECO[linea],"(sin catálogo)"))</f>
        <v/>
      </c>
      <c r="V102" s="3">
        <f>IF(tblOrdenes[[#This Row],[centro_costo]]="","",_xlfn.XLOOKUP(tblOrdenes[[#This Row],[centro_costo]],tblCECO[codigo],tblCECO[area],"(sin catálogo)"))</f>
        <v/>
      </c>
      <c r="W102" s="3">
        <f>IF(tblOrdenes[[#This Row],[centro_costo]]="","",_xlfn.XLOOKUP(tblOrdenes[[#This Row],[centro_costo]],tblCECO[codigo],tblCECO[coordinador],"(sin catálogo)"))</f>
        <v/>
      </c>
      <c r="X102" s="3">
        <f>IF(tblOrdenes[[#This Row],[puesto_trabajo]]="","",_xlfn.XLOOKUP(tblOrdenes[[#This Row],[puesto_trabajo]],tblPuestos[codigo],tblPuestos[especialidad],"(sin catálogo)"))</f>
        <v/>
      </c>
      <c r="Y102" s="3">
        <f>IF(tblOrdenes[[#This Row],[cod_actividad]]="","",_xlfn.XLOOKUP(tblOrdenes[[#This Row],[cod_actividad]],tblActividades[codigo],tblActividades[descripcion],"(sin catálogo)"))</f>
        <v/>
      </c>
      <c r="Z102" s="12">
        <f>IF(tblOrdenes[[#This Row],[fecha_inicio]]="","",TODAY()-tblOrdenes[[#This Row],[fecha_inicio]])</f>
        <v/>
      </c>
      <c r="AA102" s="3">
        <f>IF(tblOrdenes[[#This Row],[backlog_dias]]="","",IF(tblOrdenes[[#This Row],[backlog_dias]]&lt;0,"FUTURO",IF(tblOrdenes[[#This Row],[backlog_dias]]&gt;p_dias_backlog_max,"BACKLOG","MES CORRIENTE")))</f>
        <v/>
      </c>
      <c r="AB102" s="3">
        <f>IF(tblOrdenes[[#This Row],[backlog_dias]]="",FALSE,AND(tblOrdenes[[#This Row],[backlog_dias]]&gt;p_dias_backlog_min,tblOrdenes[[#This Row],[backlog_dias]]&lt;=p_dias_backlog_max))</f>
        <v/>
      </c>
      <c r="AC102" s="6" t="inlineStr">
        <is>
          <t>Técnico 08</t>
        </is>
      </c>
      <c r="AD1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2" s="10">
        <f>IF(tblOrdenes[[#This Row],[orden]]="","",_xlfn.XLOOKUP(tblOrdenes[[#This Row],[id_operacion]],tblEjecucion[id_operacion],tblEjecucion[precio],0))</f>
        <v/>
      </c>
      <c r="AH102" s="10">
        <f>IF(tblOrdenes[[#This Row],[orden]]="","",MAX(0,_xlfn.XLOOKUP(tblOrdenes[[#This Row],[id_operacion]],tblEjecucion[id_operacion],tblEjecucion[costo_plan_total],0)-tblOrdenes[[#This Row],[costo_servicio]]))</f>
        <v/>
      </c>
      <c r="AI102" s="10">
        <f>IF(tblOrdenes[[#This Row],[orden]]="","",tblOrdenes[[#This Row],[costo_servicio]]+tblOrdenes[[#This Row],[costo_materiales]])</f>
        <v/>
      </c>
      <c r="AJ102" s="6" t="inlineStr"/>
      <c r="AK102" s="6" t="inlineStr"/>
      <c r="AL102" s="6" t="inlineStr">
        <is>
          <t>ACT-01.pdf</t>
        </is>
      </c>
      <c r="AM102" s="3">
        <f>IF(tblOrdenes[[#This Row],[link_checklist]]="","",HYPERLINK(p_ruta_base_checklists&amp;tblOrdenes[[#This Row],[link_checklist]],"abrir"))</f>
        <v/>
      </c>
      <c r="AN102" s="6" t="inlineStr"/>
      <c r="AO102" s="3">
        <f>IF(tblOrdenes[[#This Row],[orden]]="","",tblOrdenes[[#This Row],[orden]]&amp;IF(tblOrdenes[[#This Row],[operacion]]="","0010",tblOrdenes[[#This Row],[operacion]]))</f>
        <v/>
      </c>
    </row>
    <row r="103">
      <c r="A103" s="3" t="inlineStr">
        <is>
          <t>OT-000100</t>
        </is>
      </c>
      <c r="B103" s="3" t="inlineStr">
        <is>
          <t>0010</t>
        </is>
      </c>
      <c r="C103" s="3" t="inlineStr">
        <is>
          <t>Lubricación programada — EQ-106</t>
        </is>
      </c>
      <c r="D103" s="3" t="inlineStr">
        <is>
          <t>Lubricación programada en EQ-106</t>
        </is>
      </c>
      <c r="E103" s="3" t="inlineStr">
        <is>
          <t>EQ-106</t>
        </is>
      </c>
      <c r="F103" s="3" t="inlineStr">
        <is>
          <t>CC-220</t>
        </is>
      </c>
      <c r="G103" s="3" t="inlineStr">
        <is>
          <t>PU-AUT</t>
        </is>
      </c>
      <c r="H103" s="3" t="inlineStr">
        <is>
          <t>ACT-02</t>
        </is>
      </c>
      <c r="I103" s="3" t="inlineStr">
        <is>
          <t>TIPO-P1</t>
        </is>
      </c>
      <c r="J103" s="11" t="n">
        <v>46234</v>
      </c>
      <c r="K103" s="3" t="n">
        <v>11</v>
      </c>
      <c r="L103" s="10" t="n">
        <v>275</v>
      </c>
      <c r="M103" s="6" t="n"/>
      <c r="N1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3" s="3">
        <f>IF(tblOrdenes[[#This Row],[fecha_inicio]]="","",YEAR(tblOrdenes[[#This Row],[fecha_inicio]]))</f>
        <v/>
      </c>
      <c r="R103" s="3">
        <f>IF(tblOrdenes[[#This Row],[fecha_inicio]]="","",MONTH(tblOrdenes[[#This Row],[fecha_inicio]]))</f>
        <v/>
      </c>
      <c r="S103" s="3">
        <f>IF(tblOrdenes[[#This Row],[fecha_inicio]]="","",INDEX(lista_dias,WEEKDAY(tblOrdenes[[#This Row],[fecha_inicio]],2)))</f>
        <v/>
      </c>
      <c r="T103" s="3">
        <f>IF(tblOrdenes[[#This Row],[tipo_ot]]="","",_xlfn.XLOOKUP(tblOrdenes[[#This Row],[tipo_ot]],tblTiposOT[codigo],tblTiposOT[clasificacion],"sin_clasificar"))</f>
        <v/>
      </c>
      <c r="U103" s="3">
        <f>IF(tblOrdenes[[#This Row],[centro_costo]]="","",_xlfn.XLOOKUP(tblOrdenes[[#This Row],[centro_costo]],tblCECO[codigo],tblCECO[linea],"(sin catálogo)"))</f>
        <v/>
      </c>
      <c r="V103" s="3">
        <f>IF(tblOrdenes[[#This Row],[centro_costo]]="","",_xlfn.XLOOKUP(tblOrdenes[[#This Row],[centro_costo]],tblCECO[codigo],tblCECO[area],"(sin catálogo)"))</f>
        <v/>
      </c>
      <c r="W103" s="3">
        <f>IF(tblOrdenes[[#This Row],[centro_costo]]="","",_xlfn.XLOOKUP(tblOrdenes[[#This Row],[centro_costo]],tblCECO[codigo],tblCECO[coordinador],"(sin catálogo)"))</f>
        <v/>
      </c>
      <c r="X103" s="3">
        <f>IF(tblOrdenes[[#This Row],[puesto_trabajo]]="","",_xlfn.XLOOKUP(tblOrdenes[[#This Row],[puesto_trabajo]],tblPuestos[codigo],tblPuestos[especialidad],"(sin catálogo)"))</f>
        <v/>
      </c>
      <c r="Y103" s="3">
        <f>IF(tblOrdenes[[#This Row],[cod_actividad]]="","",_xlfn.XLOOKUP(tblOrdenes[[#This Row],[cod_actividad]],tblActividades[codigo],tblActividades[descripcion],"(sin catálogo)"))</f>
        <v/>
      </c>
      <c r="Z103" s="12">
        <f>IF(tblOrdenes[[#This Row],[fecha_inicio]]="","",TODAY()-tblOrdenes[[#This Row],[fecha_inicio]])</f>
        <v/>
      </c>
      <c r="AA103" s="3">
        <f>IF(tblOrdenes[[#This Row],[backlog_dias]]="","",IF(tblOrdenes[[#This Row],[backlog_dias]]&lt;0,"FUTURO",IF(tblOrdenes[[#This Row],[backlog_dias]]&gt;p_dias_backlog_max,"BACKLOG","MES CORRIENTE")))</f>
        <v/>
      </c>
      <c r="AB103" s="3">
        <f>IF(tblOrdenes[[#This Row],[backlog_dias]]="",FALSE,AND(tblOrdenes[[#This Row],[backlog_dias]]&gt;p_dias_backlog_min,tblOrdenes[[#This Row],[backlog_dias]]&lt;=p_dias_backlog_max))</f>
        <v/>
      </c>
      <c r="AC103" s="6" t="inlineStr">
        <is>
          <t>Técnico 09</t>
        </is>
      </c>
      <c r="AD1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3" s="10">
        <f>IF(tblOrdenes[[#This Row],[orden]]="","",_xlfn.XLOOKUP(tblOrdenes[[#This Row],[id_operacion]],tblEjecucion[id_operacion],tblEjecucion[precio],0))</f>
        <v/>
      </c>
      <c r="AH103" s="10">
        <f>IF(tblOrdenes[[#This Row],[orden]]="","",MAX(0,_xlfn.XLOOKUP(tblOrdenes[[#This Row],[id_operacion]],tblEjecucion[id_operacion],tblEjecucion[costo_plan_total],0)-tblOrdenes[[#This Row],[costo_servicio]]))</f>
        <v/>
      </c>
      <c r="AI103" s="10">
        <f>IF(tblOrdenes[[#This Row],[orden]]="","",tblOrdenes[[#This Row],[costo_servicio]]+tblOrdenes[[#This Row],[costo_materiales]])</f>
        <v/>
      </c>
      <c r="AJ103" s="6" t="inlineStr"/>
      <c r="AK103" s="6" t="inlineStr"/>
      <c r="AL103" s="6" t="inlineStr">
        <is>
          <t>ACT-02.pdf</t>
        </is>
      </c>
      <c r="AM103" s="3">
        <f>IF(tblOrdenes[[#This Row],[link_checklist]]="","",HYPERLINK(p_ruta_base_checklists&amp;tblOrdenes[[#This Row],[link_checklist]],"abrir"))</f>
        <v/>
      </c>
      <c r="AN103" s="6" t="inlineStr"/>
      <c r="AO103" s="3">
        <f>IF(tblOrdenes[[#This Row],[orden]]="","",tblOrdenes[[#This Row],[orden]]&amp;IF(tblOrdenes[[#This Row],[operacion]]="","0010",tblOrdenes[[#This Row],[operacion]]))</f>
        <v/>
      </c>
    </row>
    <row r="104">
      <c r="A104" s="3" t="inlineStr">
        <is>
          <t>OT-000101</t>
        </is>
      </c>
      <c r="B104" s="3" t="inlineStr">
        <is>
          <t>0010</t>
        </is>
      </c>
      <c r="C104" s="3" t="inlineStr">
        <is>
          <t>Reparación de falla — EQ-102</t>
        </is>
      </c>
      <c r="D104" s="3" t="inlineStr">
        <is>
          <t>Reparación de falla en EQ-102</t>
        </is>
      </c>
      <c r="E104" s="3" t="inlineStr">
        <is>
          <t>EQ-102</t>
        </is>
      </c>
      <c r="F104" s="3" t="inlineStr">
        <is>
          <t>CC-110</t>
        </is>
      </c>
      <c r="G104" s="3" t="inlineStr">
        <is>
          <t>PU-AUT</t>
        </is>
      </c>
      <c r="H104" s="3" t="inlineStr">
        <is>
          <t>ACT-03</t>
        </is>
      </c>
      <c r="I104" s="3" t="inlineStr">
        <is>
          <t>TIPO-C2</t>
        </is>
      </c>
      <c r="J104" s="11" t="n">
        <v>46230</v>
      </c>
      <c r="K104" s="3" t="n">
        <v>7</v>
      </c>
      <c r="L104" s="10" t="n">
        <v>280</v>
      </c>
      <c r="M104" s="6" t="n"/>
      <c r="N10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4" s="3">
        <f>IF(tblOrdenes[[#This Row],[fecha_inicio]]="","",YEAR(tblOrdenes[[#This Row],[fecha_inicio]]))</f>
        <v/>
      </c>
      <c r="R104" s="3">
        <f>IF(tblOrdenes[[#This Row],[fecha_inicio]]="","",MONTH(tblOrdenes[[#This Row],[fecha_inicio]]))</f>
        <v/>
      </c>
      <c r="S104" s="3">
        <f>IF(tblOrdenes[[#This Row],[fecha_inicio]]="","",INDEX(lista_dias,WEEKDAY(tblOrdenes[[#This Row],[fecha_inicio]],2)))</f>
        <v/>
      </c>
      <c r="T104" s="3">
        <f>IF(tblOrdenes[[#This Row],[tipo_ot]]="","",_xlfn.XLOOKUP(tblOrdenes[[#This Row],[tipo_ot]],tblTiposOT[codigo],tblTiposOT[clasificacion],"sin_clasificar"))</f>
        <v/>
      </c>
      <c r="U104" s="3">
        <f>IF(tblOrdenes[[#This Row],[centro_costo]]="","",_xlfn.XLOOKUP(tblOrdenes[[#This Row],[centro_costo]],tblCECO[codigo],tblCECO[linea],"(sin catálogo)"))</f>
        <v/>
      </c>
      <c r="V104" s="3">
        <f>IF(tblOrdenes[[#This Row],[centro_costo]]="","",_xlfn.XLOOKUP(tblOrdenes[[#This Row],[centro_costo]],tblCECO[codigo],tblCECO[area],"(sin catálogo)"))</f>
        <v/>
      </c>
      <c r="W104" s="3">
        <f>IF(tblOrdenes[[#This Row],[centro_costo]]="","",_xlfn.XLOOKUP(tblOrdenes[[#This Row],[centro_costo]],tblCECO[codigo],tblCECO[coordinador],"(sin catálogo)"))</f>
        <v/>
      </c>
      <c r="X104" s="3">
        <f>IF(tblOrdenes[[#This Row],[puesto_trabajo]]="","",_xlfn.XLOOKUP(tblOrdenes[[#This Row],[puesto_trabajo]],tblPuestos[codigo],tblPuestos[especialidad],"(sin catálogo)"))</f>
        <v/>
      </c>
      <c r="Y104" s="3">
        <f>IF(tblOrdenes[[#This Row],[cod_actividad]]="","",_xlfn.XLOOKUP(tblOrdenes[[#This Row],[cod_actividad]],tblActividades[codigo],tblActividades[descripcion],"(sin catálogo)"))</f>
        <v/>
      </c>
      <c r="Z104" s="12">
        <f>IF(tblOrdenes[[#This Row],[fecha_inicio]]="","",TODAY()-tblOrdenes[[#This Row],[fecha_inicio]])</f>
        <v/>
      </c>
      <c r="AA104" s="3">
        <f>IF(tblOrdenes[[#This Row],[backlog_dias]]="","",IF(tblOrdenes[[#This Row],[backlog_dias]]&lt;0,"FUTURO",IF(tblOrdenes[[#This Row],[backlog_dias]]&gt;p_dias_backlog_max,"BACKLOG","MES CORRIENTE")))</f>
        <v/>
      </c>
      <c r="AB104" s="3">
        <f>IF(tblOrdenes[[#This Row],[backlog_dias]]="",FALSE,AND(tblOrdenes[[#This Row],[backlog_dias]]&gt;p_dias_backlog_min,tblOrdenes[[#This Row],[backlog_dias]]&lt;=p_dias_backlog_max))</f>
        <v/>
      </c>
      <c r="AC104" s="6" t="inlineStr">
        <is>
          <t>Técnico 08</t>
        </is>
      </c>
      <c r="AD10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4" s="10">
        <f>IF(tblOrdenes[[#This Row],[orden]]="","",_xlfn.XLOOKUP(tblOrdenes[[#This Row],[id_operacion]],tblEjecucion[id_operacion],tblEjecucion[precio],0))</f>
        <v/>
      </c>
      <c r="AH104" s="10">
        <f>IF(tblOrdenes[[#This Row],[orden]]="","",MAX(0,_xlfn.XLOOKUP(tblOrdenes[[#This Row],[id_operacion]],tblEjecucion[id_operacion],tblEjecucion[costo_plan_total],0)-tblOrdenes[[#This Row],[costo_servicio]]))</f>
        <v/>
      </c>
      <c r="AI104" s="10">
        <f>IF(tblOrdenes[[#This Row],[orden]]="","",tblOrdenes[[#This Row],[costo_servicio]]+tblOrdenes[[#This Row],[costo_materiales]])</f>
        <v/>
      </c>
      <c r="AJ104" s="6" t="inlineStr"/>
      <c r="AK104" s="6" t="inlineStr"/>
      <c r="AL104" s="6" t="inlineStr"/>
      <c r="AM104" s="3">
        <f>IF(tblOrdenes[[#This Row],[link_checklist]]="","",HYPERLINK(p_ruta_base_checklists&amp;tblOrdenes[[#This Row],[link_checklist]],"abrir"))</f>
        <v/>
      </c>
      <c r="AN104" s="6" t="inlineStr"/>
      <c r="AO104" s="3">
        <f>IF(tblOrdenes[[#This Row],[orden]]="","",tblOrdenes[[#This Row],[orden]]&amp;IF(tblOrdenes[[#This Row],[operacion]]="","0010",tblOrdenes[[#This Row],[operacion]]))</f>
        <v/>
      </c>
    </row>
    <row r="105">
      <c r="A105" s="3" t="inlineStr">
        <is>
          <t>OT-000102</t>
        </is>
      </c>
      <c r="B105" s="3" t="inlineStr">
        <is>
          <t>0010</t>
        </is>
      </c>
      <c r="C105" s="3" t="inlineStr">
        <is>
          <t>Inspección de rutina — EQ-108</t>
        </is>
      </c>
      <c r="D105" s="3" t="inlineStr">
        <is>
          <t>Inspección de rutina en EQ-108</t>
        </is>
      </c>
      <c r="E105" s="3" t="inlineStr">
        <is>
          <t>EQ-108</t>
        </is>
      </c>
      <c r="F105" s="3" t="inlineStr">
        <is>
          <t>CC-220</t>
        </is>
      </c>
      <c r="G105" s="3" t="inlineStr">
        <is>
          <t>PU-AUT</t>
        </is>
      </c>
      <c r="H105" s="3" t="inlineStr">
        <is>
          <t>ACT-01</t>
        </is>
      </c>
      <c r="I105" s="3" t="inlineStr">
        <is>
          <t>TIPO-P1</t>
        </is>
      </c>
      <c r="J105" s="11" t="n">
        <v>46238</v>
      </c>
      <c r="K105" s="3" t="n">
        <v>10</v>
      </c>
      <c r="L105" s="10" t="n">
        <v>250</v>
      </c>
      <c r="M105" s="6" t="n"/>
      <c r="N10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5" s="3">
        <f>IF(tblOrdenes[[#This Row],[fecha_inicio]]="","",YEAR(tblOrdenes[[#This Row],[fecha_inicio]]))</f>
        <v/>
      </c>
      <c r="R105" s="3">
        <f>IF(tblOrdenes[[#This Row],[fecha_inicio]]="","",MONTH(tblOrdenes[[#This Row],[fecha_inicio]]))</f>
        <v/>
      </c>
      <c r="S105" s="3">
        <f>IF(tblOrdenes[[#This Row],[fecha_inicio]]="","",INDEX(lista_dias,WEEKDAY(tblOrdenes[[#This Row],[fecha_inicio]],2)))</f>
        <v/>
      </c>
      <c r="T105" s="3">
        <f>IF(tblOrdenes[[#This Row],[tipo_ot]]="","",_xlfn.XLOOKUP(tblOrdenes[[#This Row],[tipo_ot]],tblTiposOT[codigo],tblTiposOT[clasificacion],"sin_clasificar"))</f>
        <v/>
      </c>
      <c r="U105" s="3">
        <f>IF(tblOrdenes[[#This Row],[centro_costo]]="","",_xlfn.XLOOKUP(tblOrdenes[[#This Row],[centro_costo]],tblCECO[codigo],tblCECO[linea],"(sin catálogo)"))</f>
        <v/>
      </c>
      <c r="V105" s="3">
        <f>IF(tblOrdenes[[#This Row],[centro_costo]]="","",_xlfn.XLOOKUP(tblOrdenes[[#This Row],[centro_costo]],tblCECO[codigo],tblCECO[area],"(sin catálogo)"))</f>
        <v/>
      </c>
      <c r="W105" s="3">
        <f>IF(tblOrdenes[[#This Row],[centro_costo]]="","",_xlfn.XLOOKUP(tblOrdenes[[#This Row],[centro_costo]],tblCECO[codigo],tblCECO[coordinador],"(sin catálogo)"))</f>
        <v/>
      </c>
      <c r="X105" s="3">
        <f>IF(tblOrdenes[[#This Row],[puesto_trabajo]]="","",_xlfn.XLOOKUP(tblOrdenes[[#This Row],[puesto_trabajo]],tblPuestos[codigo],tblPuestos[especialidad],"(sin catálogo)"))</f>
        <v/>
      </c>
      <c r="Y105" s="3">
        <f>IF(tblOrdenes[[#This Row],[cod_actividad]]="","",_xlfn.XLOOKUP(tblOrdenes[[#This Row],[cod_actividad]],tblActividades[codigo],tblActividades[descripcion],"(sin catálogo)"))</f>
        <v/>
      </c>
      <c r="Z105" s="12">
        <f>IF(tblOrdenes[[#This Row],[fecha_inicio]]="","",TODAY()-tblOrdenes[[#This Row],[fecha_inicio]])</f>
        <v/>
      </c>
      <c r="AA105" s="3">
        <f>IF(tblOrdenes[[#This Row],[backlog_dias]]="","",IF(tblOrdenes[[#This Row],[backlog_dias]]&lt;0,"FUTURO",IF(tblOrdenes[[#This Row],[backlog_dias]]&gt;p_dias_backlog_max,"BACKLOG","MES CORRIENTE")))</f>
        <v/>
      </c>
      <c r="AB105" s="3">
        <f>IF(tblOrdenes[[#This Row],[backlog_dias]]="",FALSE,AND(tblOrdenes[[#This Row],[backlog_dias]]&gt;p_dias_backlog_min,tblOrdenes[[#This Row],[backlog_dias]]&lt;=p_dias_backlog_max))</f>
        <v/>
      </c>
      <c r="AC105" s="6" t="inlineStr">
        <is>
          <t>Técnico 09</t>
        </is>
      </c>
      <c r="AD10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5" s="10">
        <f>IF(tblOrdenes[[#This Row],[orden]]="","",_xlfn.XLOOKUP(tblOrdenes[[#This Row],[id_operacion]],tblEjecucion[id_operacion],tblEjecucion[precio],0))</f>
        <v/>
      </c>
      <c r="AH105" s="10">
        <f>IF(tblOrdenes[[#This Row],[orden]]="","",MAX(0,_xlfn.XLOOKUP(tblOrdenes[[#This Row],[id_operacion]],tblEjecucion[id_operacion],tblEjecucion[costo_plan_total],0)-tblOrdenes[[#This Row],[costo_servicio]]))</f>
        <v/>
      </c>
      <c r="AI105" s="10">
        <f>IF(tblOrdenes[[#This Row],[orden]]="","",tblOrdenes[[#This Row],[costo_servicio]]+tblOrdenes[[#This Row],[costo_materiales]])</f>
        <v/>
      </c>
      <c r="AJ105" s="6" t="inlineStr"/>
      <c r="AK105" s="6" t="inlineStr"/>
      <c r="AL105" s="6" t="inlineStr">
        <is>
          <t>ACT-01.pdf</t>
        </is>
      </c>
      <c r="AM105" s="3">
        <f>IF(tblOrdenes[[#This Row],[link_checklist]]="","",HYPERLINK(p_ruta_base_checklists&amp;tblOrdenes[[#This Row],[link_checklist]],"abrir"))</f>
        <v/>
      </c>
      <c r="AN105" s="6" t="inlineStr"/>
      <c r="AO105" s="3">
        <f>IF(tblOrdenes[[#This Row],[orden]]="","",tblOrdenes[[#This Row],[orden]]&amp;IF(tblOrdenes[[#This Row],[operacion]]="","0010",tblOrdenes[[#This Row],[operacion]]))</f>
        <v/>
      </c>
    </row>
    <row r="106">
      <c r="A106" s="3" t="inlineStr">
        <is>
          <t>OT-000103</t>
        </is>
      </c>
      <c r="B106" s="3" t="inlineStr">
        <is>
          <t>0010</t>
        </is>
      </c>
      <c r="C106" s="3" t="inlineStr">
        <is>
          <t>Lubricación programada — EQ-104</t>
        </is>
      </c>
      <c r="D106" s="3" t="inlineStr">
        <is>
          <t>Lubricación programada en EQ-104</t>
        </is>
      </c>
      <c r="E106" s="3" t="inlineStr">
        <is>
          <t>EQ-104</t>
        </is>
      </c>
      <c r="F106" s="3" t="inlineStr">
        <is>
          <t>CC-110</t>
        </is>
      </c>
      <c r="G106" s="3" t="inlineStr">
        <is>
          <t>PU-AUT</t>
        </is>
      </c>
      <c r="H106" s="3" t="inlineStr">
        <is>
          <t>ACT-02</t>
        </is>
      </c>
      <c r="I106" s="3" t="inlineStr">
        <is>
          <t>TIPO-P2</t>
        </is>
      </c>
      <c r="J106" s="11" t="n">
        <v>46239</v>
      </c>
      <c r="K106" s="3" t="n">
        <v>8</v>
      </c>
      <c r="L106" s="10" t="n">
        <v>200</v>
      </c>
      <c r="M106" s="6" t="n"/>
      <c r="N10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6" s="3">
        <f>IF(tblOrdenes[[#This Row],[fecha_inicio]]="","",YEAR(tblOrdenes[[#This Row],[fecha_inicio]]))</f>
        <v/>
      </c>
      <c r="R106" s="3">
        <f>IF(tblOrdenes[[#This Row],[fecha_inicio]]="","",MONTH(tblOrdenes[[#This Row],[fecha_inicio]]))</f>
        <v/>
      </c>
      <c r="S106" s="3">
        <f>IF(tblOrdenes[[#This Row],[fecha_inicio]]="","",INDEX(lista_dias,WEEKDAY(tblOrdenes[[#This Row],[fecha_inicio]],2)))</f>
        <v/>
      </c>
      <c r="T106" s="3">
        <f>IF(tblOrdenes[[#This Row],[tipo_ot]]="","",_xlfn.XLOOKUP(tblOrdenes[[#This Row],[tipo_ot]],tblTiposOT[codigo],tblTiposOT[clasificacion],"sin_clasificar"))</f>
        <v/>
      </c>
      <c r="U106" s="3">
        <f>IF(tblOrdenes[[#This Row],[centro_costo]]="","",_xlfn.XLOOKUP(tblOrdenes[[#This Row],[centro_costo]],tblCECO[codigo],tblCECO[linea],"(sin catálogo)"))</f>
        <v/>
      </c>
      <c r="V106" s="3">
        <f>IF(tblOrdenes[[#This Row],[centro_costo]]="","",_xlfn.XLOOKUP(tblOrdenes[[#This Row],[centro_costo]],tblCECO[codigo],tblCECO[area],"(sin catálogo)"))</f>
        <v/>
      </c>
      <c r="W106" s="3">
        <f>IF(tblOrdenes[[#This Row],[centro_costo]]="","",_xlfn.XLOOKUP(tblOrdenes[[#This Row],[centro_costo]],tblCECO[codigo],tblCECO[coordinador],"(sin catálogo)"))</f>
        <v/>
      </c>
      <c r="X106" s="3">
        <f>IF(tblOrdenes[[#This Row],[puesto_trabajo]]="","",_xlfn.XLOOKUP(tblOrdenes[[#This Row],[puesto_trabajo]],tblPuestos[codigo],tblPuestos[especialidad],"(sin catálogo)"))</f>
        <v/>
      </c>
      <c r="Y106" s="3">
        <f>IF(tblOrdenes[[#This Row],[cod_actividad]]="","",_xlfn.XLOOKUP(tblOrdenes[[#This Row],[cod_actividad]],tblActividades[codigo],tblActividades[descripcion],"(sin catálogo)"))</f>
        <v/>
      </c>
      <c r="Z106" s="12">
        <f>IF(tblOrdenes[[#This Row],[fecha_inicio]]="","",TODAY()-tblOrdenes[[#This Row],[fecha_inicio]])</f>
        <v/>
      </c>
      <c r="AA106" s="3">
        <f>IF(tblOrdenes[[#This Row],[backlog_dias]]="","",IF(tblOrdenes[[#This Row],[backlog_dias]]&lt;0,"FUTURO",IF(tblOrdenes[[#This Row],[backlog_dias]]&gt;p_dias_backlog_max,"BACKLOG","MES CORRIENTE")))</f>
        <v/>
      </c>
      <c r="AB106" s="3">
        <f>IF(tblOrdenes[[#This Row],[backlog_dias]]="",FALSE,AND(tblOrdenes[[#This Row],[backlog_dias]]&gt;p_dias_backlog_min,tblOrdenes[[#This Row],[backlog_dias]]&lt;=p_dias_backlog_max))</f>
        <v/>
      </c>
      <c r="AC106" s="6" t="inlineStr">
        <is>
          <t>Técnico 08</t>
        </is>
      </c>
      <c r="AD10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6" s="10">
        <f>IF(tblOrdenes[[#This Row],[orden]]="","",_xlfn.XLOOKUP(tblOrdenes[[#This Row],[id_operacion]],tblEjecucion[id_operacion],tblEjecucion[precio],0))</f>
        <v/>
      </c>
      <c r="AH106" s="10">
        <f>IF(tblOrdenes[[#This Row],[orden]]="","",MAX(0,_xlfn.XLOOKUP(tblOrdenes[[#This Row],[id_operacion]],tblEjecucion[id_operacion],tblEjecucion[costo_plan_total],0)-tblOrdenes[[#This Row],[costo_servicio]]))</f>
        <v/>
      </c>
      <c r="AI106" s="10">
        <f>IF(tblOrdenes[[#This Row],[orden]]="","",tblOrdenes[[#This Row],[costo_servicio]]+tblOrdenes[[#This Row],[costo_materiales]])</f>
        <v/>
      </c>
      <c r="AJ106" s="6" t="inlineStr"/>
      <c r="AK106" s="6" t="inlineStr"/>
      <c r="AL106" s="6" t="inlineStr">
        <is>
          <t>ACT-02.pdf</t>
        </is>
      </c>
      <c r="AM106" s="3">
        <f>IF(tblOrdenes[[#This Row],[link_checklist]]="","",HYPERLINK(p_ruta_base_checklists&amp;tblOrdenes[[#This Row],[link_checklist]],"abrir"))</f>
        <v/>
      </c>
      <c r="AN106" s="6" t="inlineStr"/>
      <c r="AO106" s="3">
        <f>IF(tblOrdenes[[#This Row],[orden]]="","",tblOrdenes[[#This Row],[orden]]&amp;IF(tblOrdenes[[#This Row],[operacion]]="","0010",tblOrdenes[[#This Row],[operacion]]))</f>
        <v/>
      </c>
    </row>
    <row r="107">
      <c r="A107" s="3" t="inlineStr">
        <is>
          <t>OT-000104</t>
        </is>
      </c>
      <c r="B107" s="3" t="inlineStr">
        <is>
          <t>0010</t>
        </is>
      </c>
      <c r="C107" s="3" t="inlineStr">
        <is>
          <t>Análisis predictivo — EQ-106</t>
        </is>
      </c>
      <c r="D107" s="3" t="inlineStr">
        <is>
          <t>Análisis predictivo en EQ-106</t>
        </is>
      </c>
      <c r="E107" s="3" t="inlineStr">
        <is>
          <t>EQ-106</t>
        </is>
      </c>
      <c r="F107" s="3" t="inlineStr">
        <is>
          <t>CC-220</t>
        </is>
      </c>
      <c r="G107" s="3" t="inlineStr">
        <is>
          <t>PU-AUT</t>
        </is>
      </c>
      <c r="H107" s="3" t="inlineStr">
        <is>
          <t>ACT-04</t>
        </is>
      </c>
      <c r="I107" s="3" t="inlineStr">
        <is>
          <t>TIPO-P1</t>
        </is>
      </c>
      <c r="J107" s="11" t="n">
        <v>46240</v>
      </c>
      <c r="K107" s="3" t="n">
        <v>6</v>
      </c>
      <c r="L107" s="10" t="n">
        <v>150</v>
      </c>
      <c r="M107" s="6" t="n"/>
      <c r="N10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7" s="3">
        <f>IF(tblOrdenes[[#This Row],[fecha_inicio]]="","",YEAR(tblOrdenes[[#This Row],[fecha_inicio]]))</f>
        <v/>
      </c>
      <c r="R107" s="3">
        <f>IF(tblOrdenes[[#This Row],[fecha_inicio]]="","",MONTH(tblOrdenes[[#This Row],[fecha_inicio]]))</f>
        <v/>
      </c>
      <c r="S107" s="3">
        <f>IF(tblOrdenes[[#This Row],[fecha_inicio]]="","",INDEX(lista_dias,WEEKDAY(tblOrdenes[[#This Row],[fecha_inicio]],2)))</f>
        <v/>
      </c>
      <c r="T107" s="3">
        <f>IF(tblOrdenes[[#This Row],[tipo_ot]]="","",_xlfn.XLOOKUP(tblOrdenes[[#This Row],[tipo_ot]],tblTiposOT[codigo],tblTiposOT[clasificacion],"sin_clasificar"))</f>
        <v/>
      </c>
      <c r="U107" s="3">
        <f>IF(tblOrdenes[[#This Row],[centro_costo]]="","",_xlfn.XLOOKUP(tblOrdenes[[#This Row],[centro_costo]],tblCECO[codigo],tblCECO[linea],"(sin catálogo)"))</f>
        <v/>
      </c>
      <c r="V107" s="3">
        <f>IF(tblOrdenes[[#This Row],[centro_costo]]="","",_xlfn.XLOOKUP(tblOrdenes[[#This Row],[centro_costo]],tblCECO[codigo],tblCECO[area],"(sin catálogo)"))</f>
        <v/>
      </c>
      <c r="W107" s="3">
        <f>IF(tblOrdenes[[#This Row],[centro_costo]]="","",_xlfn.XLOOKUP(tblOrdenes[[#This Row],[centro_costo]],tblCECO[codigo],tblCECO[coordinador],"(sin catálogo)"))</f>
        <v/>
      </c>
      <c r="X107" s="3">
        <f>IF(tblOrdenes[[#This Row],[puesto_trabajo]]="","",_xlfn.XLOOKUP(tblOrdenes[[#This Row],[puesto_trabajo]],tblPuestos[codigo],tblPuestos[especialidad],"(sin catálogo)"))</f>
        <v/>
      </c>
      <c r="Y107" s="3">
        <f>IF(tblOrdenes[[#This Row],[cod_actividad]]="","",_xlfn.XLOOKUP(tblOrdenes[[#This Row],[cod_actividad]],tblActividades[codigo],tblActividades[descripcion],"(sin catálogo)"))</f>
        <v/>
      </c>
      <c r="Z107" s="12">
        <f>IF(tblOrdenes[[#This Row],[fecha_inicio]]="","",TODAY()-tblOrdenes[[#This Row],[fecha_inicio]])</f>
        <v/>
      </c>
      <c r="AA107" s="3">
        <f>IF(tblOrdenes[[#This Row],[backlog_dias]]="","",IF(tblOrdenes[[#This Row],[backlog_dias]]&lt;0,"FUTURO",IF(tblOrdenes[[#This Row],[backlog_dias]]&gt;p_dias_backlog_max,"BACKLOG","MES CORRIENTE")))</f>
        <v/>
      </c>
      <c r="AB107" s="3">
        <f>IF(tblOrdenes[[#This Row],[backlog_dias]]="",FALSE,AND(tblOrdenes[[#This Row],[backlog_dias]]&gt;p_dias_backlog_min,tblOrdenes[[#This Row],[backlog_dias]]&lt;=p_dias_backlog_max))</f>
        <v/>
      </c>
      <c r="AC107" s="6" t="inlineStr">
        <is>
          <t>Técnico 09</t>
        </is>
      </c>
      <c r="AD10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7" s="10">
        <f>IF(tblOrdenes[[#This Row],[orden]]="","",_xlfn.XLOOKUP(tblOrdenes[[#This Row],[id_operacion]],tblEjecucion[id_operacion],tblEjecucion[precio],0))</f>
        <v/>
      </c>
      <c r="AH107" s="10">
        <f>IF(tblOrdenes[[#This Row],[orden]]="","",MAX(0,_xlfn.XLOOKUP(tblOrdenes[[#This Row],[id_operacion]],tblEjecucion[id_operacion],tblEjecucion[costo_plan_total],0)-tblOrdenes[[#This Row],[costo_servicio]]))</f>
        <v/>
      </c>
      <c r="AI107" s="10">
        <f>IF(tblOrdenes[[#This Row],[orden]]="","",tblOrdenes[[#This Row],[costo_servicio]]+tblOrdenes[[#This Row],[costo_materiales]])</f>
        <v/>
      </c>
      <c r="AJ107" s="6" t="inlineStr"/>
      <c r="AK107" s="6" t="inlineStr"/>
      <c r="AL107" s="6" t="inlineStr">
        <is>
          <t>ACT-04.pdf</t>
        </is>
      </c>
      <c r="AM107" s="3">
        <f>IF(tblOrdenes[[#This Row],[link_checklist]]="","",HYPERLINK(p_ruta_base_checklists&amp;tblOrdenes[[#This Row],[link_checklist]],"abrir"))</f>
        <v/>
      </c>
      <c r="AN107" s="6" t="inlineStr"/>
      <c r="AO107" s="3">
        <f>IF(tblOrdenes[[#This Row],[orden]]="","",tblOrdenes[[#This Row],[orden]]&amp;IF(tblOrdenes[[#This Row],[operacion]]="","0010",tblOrdenes[[#This Row],[operacion]]))</f>
        <v/>
      </c>
    </row>
    <row r="108">
      <c r="A108" s="3" t="inlineStr">
        <is>
          <t>OT-000105</t>
        </is>
      </c>
      <c r="B108" s="3" t="inlineStr">
        <is>
          <t>0010</t>
        </is>
      </c>
      <c r="C108" s="3" t="inlineStr">
        <is>
          <t>Inspección de rutina — EQ-101</t>
        </is>
      </c>
      <c r="D108" s="3" t="inlineStr">
        <is>
          <t>Inspección de rutina en EQ-101</t>
        </is>
      </c>
      <c r="E108" s="3" t="inlineStr">
        <is>
          <t>EQ-101</t>
        </is>
      </c>
      <c r="F108" s="3" t="inlineStr">
        <is>
          <t>CC-110</t>
        </is>
      </c>
      <c r="G108" s="3" t="inlineStr">
        <is>
          <t>PU-AUT</t>
        </is>
      </c>
      <c r="H108" s="3" t="inlineStr">
        <is>
          <t>ACT-01</t>
        </is>
      </c>
      <c r="I108" s="3" t="inlineStr">
        <is>
          <t>TIPO-P2</t>
        </is>
      </c>
      <c r="J108" s="11" t="n">
        <v>46241</v>
      </c>
      <c r="K108" s="3" t="n">
        <v>6</v>
      </c>
      <c r="L108" s="10" t="n">
        <v>150</v>
      </c>
      <c r="M108" s="6" t="n"/>
      <c r="N10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8" s="3">
        <f>IF(tblOrdenes[[#This Row],[fecha_inicio]]="","",YEAR(tblOrdenes[[#This Row],[fecha_inicio]]))</f>
        <v/>
      </c>
      <c r="R108" s="3">
        <f>IF(tblOrdenes[[#This Row],[fecha_inicio]]="","",MONTH(tblOrdenes[[#This Row],[fecha_inicio]]))</f>
        <v/>
      </c>
      <c r="S108" s="3">
        <f>IF(tblOrdenes[[#This Row],[fecha_inicio]]="","",INDEX(lista_dias,WEEKDAY(tblOrdenes[[#This Row],[fecha_inicio]],2)))</f>
        <v/>
      </c>
      <c r="T108" s="3">
        <f>IF(tblOrdenes[[#This Row],[tipo_ot]]="","",_xlfn.XLOOKUP(tblOrdenes[[#This Row],[tipo_ot]],tblTiposOT[codigo],tblTiposOT[clasificacion],"sin_clasificar"))</f>
        <v/>
      </c>
      <c r="U108" s="3">
        <f>IF(tblOrdenes[[#This Row],[centro_costo]]="","",_xlfn.XLOOKUP(tblOrdenes[[#This Row],[centro_costo]],tblCECO[codigo],tblCECO[linea],"(sin catálogo)"))</f>
        <v/>
      </c>
      <c r="V108" s="3">
        <f>IF(tblOrdenes[[#This Row],[centro_costo]]="","",_xlfn.XLOOKUP(tblOrdenes[[#This Row],[centro_costo]],tblCECO[codigo],tblCECO[area],"(sin catálogo)"))</f>
        <v/>
      </c>
      <c r="W108" s="3">
        <f>IF(tblOrdenes[[#This Row],[centro_costo]]="","",_xlfn.XLOOKUP(tblOrdenes[[#This Row],[centro_costo]],tblCECO[codigo],tblCECO[coordinador],"(sin catálogo)"))</f>
        <v/>
      </c>
      <c r="X108" s="3">
        <f>IF(tblOrdenes[[#This Row],[puesto_trabajo]]="","",_xlfn.XLOOKUP(tblOrdenes[[#This Row],[puesto_trabajo]],tblPuestos[codigo],tblPuestos[especialidad],"(sin catálogo)"))</f>
        <v/>
      </c>
      <c r="Y108" s="3">
        <f>IF(tblOrdenes[[#This Row],[cod_actividad]]="","",_xlfn.XLOOKUP(tblOrdenes[[#This Row],[cod_actividad]],tblActividades[codigo],tblActividades[descripcion],"(sin catálogo)"))</f>
        <v/>
      </c>
      <c r="Z108" s="12">
        <f>IF(tblOrdenes[[#This Row],[fecha_inicio]]="","",TODAY()-tblOrdenes[[#This Row],[fecha_inicio]])</f>
        <v/>
      </c>
      <c r="AA108" s="3">
        <f>IF(tblOrdenes[[#This Row],[backlog_dias]]="","",IF(tblOrdenes[[#This Row],[backlog_dias]]&lt;0,"FUTURO",IF(tblOrdenes[[#This Row],[backlog_dias]]&gt;p_dias_backlog_max,"BACKLOG","MES CORRIENTE")))</f>
        <v/>
      </c>
      <c r="AB108" s="3">
        <f>IF(tblOrdenes[[#This Row],[backlog_dias]]="",FALSE,AND(tblOrdenes[[#This Row],[backlog_dias]]&gt;p_dias_backlog_min,tblOrdenes[[#This Row],[backlog_dias]]&lt;=p_dias_backlog_max))</f>
        <v/>
      </c>
      <c r="AC108" s="6" t="inlineStr">
        <is>
          <t>Técnico 08</t>
        </is>
      </c>
      <c r="AD10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8" s="10">
        <f>IF(tblOrdenes[[#This Row],[orden]]="","",_xlfn.XLOOKUP(tblOrdenes[[#This Row],[id_operacion]],tblEjecucion[id_operacion],tblEjecucion[precio],0))</f>
        <v/>
      </c>
      <c r="AH108" s="10">
        <f>IF(tblOrdenes[[#This Row],[orden]]="","",MAX(0,_xlfn.XLOOKUP(tblOrdenes[[#This Row],[id_operacion]],tblEjecucion[id_operacion],tblEjecucion[costo_plan_total],0)-tblOrdenes[[#This Row],[costo_servicio]]))</f>
        <v/>
      </c>
      <c r="AI108" s="10">
        <f>IF(tblOrdenes[[#This Row],[orden]]="","",tblOrdenes[[#This Row],[costo_servicio]]+tblOrdenes[[#This Row],[costo_materiales]])</f>
        <v/>
      </c>
      <c r="AJ108" s="6" t="inlineStr"/>
      <c r="AK108" s="6" t="inlineStr"/>
      <c r="AL108" s="6" t="inlineStr">
        <is>
          <t>ACT-01.pdf</t>
        </is>
      </c>
      <c r="AM108" s="3">
        <f>IF(tblOrdenes[[#This Row],[link_checklist]]="","",HYPERLINK(p_ruta_base_checklists&amp;tblOrdenes[[#This Row],[link_checklist]],"abrir"))</f>
        <v/>
      </c>
      <c r="AN108" s="6" t="inlineStr"/>
      <c r="AO108" s="3">
        <f>IF(tblOrdenes[[#This Row],[orden]]="","",tblOrdenes[[#This Row],[orden]]&amp;IF(tblOrdenes[[#This Row],[operacion]]="","0010",tblOrdenes[[#This Row],[operacion]]))</f>
        <v/>
      </c>
    </row>
    <row r="109">
      <c r="A109" s="3" t="inlineStr">
        <is>
          <t>OT-000106</t>
        </is>
      </c>
      <c r="B109" s="3" t="inlineStr">
        <is>
          <t>0010</t>
        </is>
      </c>
      <c r="C109" s="3" t="inlineStr">
        <is>
          <t>Reparación de falla — EQ-108</t>
        </is>
      </c>
      <c r="D109" s="3" t="inlineStr">
        <is>
          <t>Reparación de falla en EQ-108</t>
        </is>
      </c>
      <c r="E109" s="3" t="inlineStr">
        <is>
          <t>EQ-108</t>
        </is>
      </c>
      <c r="F109" s="3" t="inlineStr">
        <is>
          <t>CC-220</t>
        </is>
      </c>
      <c r="G109" s="3" t="inlineStr">
        <is>
          <t>PU-AUT</t>
        </is>
      </c>
      <c r="H109" s="3" t="inlineStr">
        <is>
          <t>ACT-03</t>
        </is>
      </c>
      <c r="I109" s="3" t="inlineStr">
        <is>
          <t>TIPO-C1</t>
        </is>
      </c>
      <c r="J109" s="11" t="n">
        <v>46237</v>
      </c>
      <c r="K109" s="3" t="n">
        <v>6</v>
      </c>
      <c r="L109" s="10" t="n">
        <v>240</v>
      </c>
      <c r="M109" s="6" t="n"/>
      <c r="N10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9" s="3">
        <f>IF(tblOrdenes[[#This Row],[fecha_inicio]]="","",YEAR(tblOrdenes[[#This Row],[fecha_inicio]]))</f>
        <v/>
      </c>
      <c r="R109" s="3">
        <f>IF(tblOrdenes[[#This Row],[fecha_inicio]]="","",MONTH(tblOrdenes[[#This Row],[fecha_inicio]]))</f>
        <v/>
      </c>
      <c r="S109" s="3">
        <f>IF(tblOrdenes[[#This Row],[fecha_inicio]]="","",INDEX(lista_dias,WEEKDAY(tblOrdenes[[#This Row],[fecha_inicio]],2)))</f>
        <v/>
      </c>
      <c r="T109" s="3">
        <f>IF(tblOrdenes[[#This Row],[tipo_ot]]="","",_xlfn.XLOOKUP(tblOrdenes[[#This Row],[tipo_ot]],tblTiposOT[codigo],tblTiposOT[clasificacion],"sin_clasificar"))</f>
        <v/>
      </c>
      <c r="U109" s="3">
        <f>IF(tblOrdenes[[#This Row],[centro_costo]]="","",_xlfn.XLOOKUP(tblOrdenes[[#This Row],[centro_costo]],tblCECO[codigo],tblCECO[linea],"(sin catálogo)"))</f>
        <v/>
      </c>
      <c r="V109" s="3">
        <f>IF(tblOrdenes[[#This Row],[centro_costo]]="","",_xlfn.XLOOKUP(tblOrdenes[[#This Row],[centro_costo]],tblCECO[codigo],tblCECO[area],"(sin catálogo)"))</f>
        <v/>
      </c>
      <c r="W109" s="3">
        <f>IF(tblOrdenes[[#This Row],[centro_costo]]="","",_xlfn.XLOOKUP(tblOrdenes[[#This Row],[centro_costo]],tblCECO[codigo],tblCECO[coordinador],"(sin catálogo)"))</f>
        <v/>
      </c>
      <c r="X109" s="3">
        <f>IF(tblOrdenes[[#This Row],[puesto_trabajo]]="","",_xlfn.XLOOKUP(tblOrdenes[[#This Row],[puesto_trabajo]],tblPuestos[codigo],tblPuestos[especialidad],"(sin catálogo)"))</f>
        <v/>
      </c>
      <c r="Y109" s="3">
        <f>IF(tblOrdenes[[#This Row],[cod_actividad]]="","",_xlfn.XLOOKUP(tblOrdenes[[#This Row],[cod_actividad]],tblActividades[codigo],tblActividades[descripcion],"(sin catálogo)"))</f>
        <v/>
      </c>
      <c r="Z109" s="12">
        <f>IF(tblOrdenes[[#This Row],[fecha_inicio]]="","",TODAY()-tblOrdenes[[#This Row],[fecha_inicio]])</f>
        <v/>
      </c>
      <c r="AA109" s="3">
        <f>IF(tblOrdenes[[#This Row],[backlog_dias]]="","",IF(tblOrdenes[[#This Row],[backlog_dias]]&lt;0,"FUTURO",IF(tblOrdenes[[#This Row],[backlog_dias]]&gt;p_dias_backlog_max,"BACKLOG","MES CORRIENTE")))</f>
        <v/>
      </c>
      <c r="AB109" s="3">
        <f>IF(tblOrdenes[[#This Row],[backlog_dias]]="",FALSE,AND(tblOrdenes[[#This Row],[backlog_dias]]&gt;p_dias_backlog_min,tblOrdenes[[#This Row],[backlog_dias]]&lt;=p_dias_backlog_max))</f>
        <v/>
      </c>
      <c r="AC109" s="6" t="inlineStr">
        <is>
          <t>Técnico 09</t>
        </is>
      </c>
      <c r="AD10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9" s="10">
        <f>IF(tblOrdenes[[#This Row],[orden]]="","",_xlfn.XLOOKUP(tblOrdenes[[#This Row],[id_operacion]],tblEjecucion[id_operacion],tblEjecucion[precio],0))</f>
        <v/>
      </c>
      <c r="AH109" s="10">
        <f>IF(tblOrdenes[[#This Row],[orden]]="","",MAX(0,_xlfn.XLOOKUP(tblOrdenes[[#This Row],[id_operacion]],tblEjecucion[id_operacion],tblEjecucion[costo_plan_total],0)-tblOrdenes[[#This Row],[costo_servicio]]))</f>
        <v/>
      </c>
      <c r="AI109" s="10">
        <f>IF(tblOrdenes[[#This Row],[orden]]="","",tblOrdenes[[#This Row],[costo_servicio]]+tblOrdenes[[#This Row],[costo_materiales]])</f>
        <v/>
      </c>
      <c r="AJ109" s="6" t="inlineStr"/>
      <c r="AK109" s="6" t="inlineStr"/>
      <c r="AL109" s="6" t="inlineStr"/>
      <c r="AM109" s="3">
        <f>IF(tblOrdenes[[#This Row],[link_checklist]]="","",HYPERLINK(p_ruta_base_checklists&amp;tblOrdenes[[#This Row],[link_checklist]],"abrir"))</f>
        <v/>
      </c>
      <c r="AN109" s="6" t="inlineStr"/>
      <c r="AO109" s="3">
        <f>IF(tblOrdenes[[#This Row],[orden]]="","",tblOrdenes[[#This Row],[orden]]&amp;IF(tblOrdenes[[#This Row],[operacion]]="","0010",tblOrdenes[[#This Row],[operacion]]))</f>
        <v/>
      </c>
    </row>
    <row r="110">
      <c r="A110" s="3" t="inlineStr">
        <is>
          <t>OT-000107</t>
        </is>
      </c>
      <c r="B110" s="3" t="inlineStr">
        <is>
          <t>0010</t>
        </is>
      </c>
      <c r="C110" s="3" t="inlineStr">
        <is>
          <t>Análisis predictivo — EQ-109</t>
        </is>
      </c>
      <c r="D110" s="3" t="inlineStr">
        <is>
          <t>Análisis predictivo en EQ-109</t>
        </is>
      </c>
      <c r="E110" s="3" t="inlineStr">
        <is>
          <t>EQ-109</t>
        </is>
      </c>
      <c r="F110" s="3" t="inlineStr">
        <is>
          <t>CC-210</t>
        </is>
      </c>
      <c r="G110" s="3" t="inlineStr">
        <is>
          <t>PU-OP</t>
        </is>
      </c>
      <c r="H110" s="3" t="inlineStr">
        <is>
          <t>ACT-04</t>
        </is>
      </c>
      <c r="I110" s="3" t="inlineStr">
        <is>
          <t>TIPO-P2</t>
        </is>
      </c>
      <c r="J110" s="11" t="n">
        <v>46217</v>
      </c>
      <c r="K110" s="3" t="n">
        <v>10</v>
      </c>
      <c r="L110" s="10" t="n">
        <v>250</v>
      </c>
      <c r="M110" s="6" t="n"/>
      <c r="N1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0" s="3">
        <f>IF(tblOrdenes[[#This Row],[fecha_inicio]]="","",YEAR(tblOrdenes[[#This Row],[fecha_inicio]]))</f>
        <v/>
      </c>
      <c r="R110" s="3">
        <f>IF(tblOrdenes[[#This Row],[fecha_inicio]]="","",MONTH(tblOrdenes[[#This Row],[fecha_inicio]]))</f>
        <v/>
      </c>
      <c r="S110" s="3">
        <f>IF(tblOrdenes[[#This Row],[fecha_inicio]]="","",INDEX(lista_dias,WEEKDAY(tblOrdenes[[#This Row],[fecha_inicio]],2)))</f>
        <v/>
      </c>
      <c r="T110" s="3">
        <f>IF(tblOrdenes[[#This Row],[tipo_ot]]="","",_xlfn.XLOOKUP(tblOrdenes[[#This Row],[tipo_ot]],tblTiposOT[codigo],tblTiposOT[clasificacion],"sin_clasificar"))</f>
        <v/>
      </c>
      <c r="U110" s="3">
        <f>IF(tblOrdenes[[#This Row],[centro_costo]]="","",_xlfn.XLOOKUP(tblOrdenes[[#This Row],[centro_costo]],tblCECO[codigo],tblCECO[linea],"(sin catálogo)"))</f>
        <v/>
      </c>
      <c r="V110" s="3">
        <f>IF(tblOrdenes[[#This Row],[centro_costo]]="","",_xlfn.XLOOKUP(tblOrdenes[[#This Row],[centro_costo]],tblCECO[codigo],tblCECO[area],"(sin catálogo)"))</f>
        <v/>
      </c>
      <c r="W110" s="3">
        <f>IF(tblOrdenes[[#This Row],[centro_costo]]="","",_xlfn.XLOOKUP(tblOrdenes[[#This Row],[centro_costo]],tblCECO[codigo],tblCECO[coordinador],"(sin catálogo)"))</f>
        <v/>
      </c>
      <c r="X110" s="3">
        <f>IF(tblOrdenes[[#This Row],[puesto_trabajo]]="","",_xlfn.XLOOKUP(tblOrdenes[[#This Row],[puesto_trabajo]],tblPuestos[codigo],tblPuestos[especialidad],"(sin catálogo)"))</f>
        <v/>
      </c>
      <c r="Y110" s="3">
        <f>IF(tblOrdenes[[#This Row],[cod_actividad]]="","",_xlfn.XLOOKUP(tblOrdenes[[#This Row],[cod_actividad]],tblActividades[codigo],tblActividades[descripcion],"(sin catálogo)"))</f>
        <v/>
      </c>
      <c r="Z110" s="12">
        <f>IF(tblOrdenes[[#This Row],[fecha_inicio]]="","",TODAY()-tblOrdenes[[#This Row],[fecha_inicio]])</f>
        <v/>
      </c>
      <c r="AA110" s="3">
        <f>IF(tblOrdenes[[#This Row],[backlog_dias]]="","",IF(tblOrdenes[[#This Row],[backlog_dias]]&lt;0,"FUTURO",IF(tblOrdenes[[#This Row],[backlog_dias]]&gt;p_dias_backlog_max,"BACKLOG","MES CORRIENTE")))</f>
        <v/>
      </c>
      <c r="AB110" s="3">
        <f>IF(tblOrdenes[[#This Row],[backlog_dias]]="",FALSE,AND(tblOrdenes[[#This Row],[backlog_dias]]&gt;p_dias_backlog_min,tblOrdenes[[#This Row],[backlog_dias]]&lt;=p_dias_backlog_max))</f>
        <v/>
      </c>
      <c r="AC110" s="6" t="inlineStr">
        <is>
          <t>Técnico 11</t>
        </is>
      </c>
      <c r="AD1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0" s="10">
        <f>IF(tblOrdenes[[#This Row],[orden]]="","",_xlfn.XLOOKUP(tblOrdenes[[#This Row],[id_operacion]],tblEjecucion[id_operacion],tblEjecucion[precio],0))</f>
        <v/>
      </c>
      <c r="AH110" s="10">
        <f>IF(tblOrdenes[[#This Row],[orden]]="","",MAX(0,_xlfn.XLOOKUP(tblOrdenes[[#This Row],[id_operacion]],tblEjecucion[id_operacion],tblEjecucion[costo_plan_total],0)-tblOrdenes[[#This Row],[costo_servicio]]))</f>
        <v/>
      </c>
      <c r="AI110" s="10">
        <f>IF(tblOrdenes[[#This Row],[orden]]="","",tblOrdenes[[#This Row],[costo_servicio]]+tblOrdenes[[#This Row],[costo_materiales]])</f>
        <v/>
      </c>
      <c r="AJ110" s="6" t="inlineStr"/>
      <c r="AK110" s="6" t="inlineStr"/>
      <c r="AL110" s="6" t="inlineStr">
        <is>
          <t>ACT-04.pdf</t>
        </is>
      </c>
      <c r="AM110" s="3">
        <f>IF(tblOrdenes[[#This Row],[link_checklist]]="","",HYPERLINK(p_ruta_base_checklists&amp;tblOrdenes[[#This Row],[link_checklist]],"abrir"))</f>
        <v/>
      </c>
      <c r="AN110" s="6" t="inlineStr"/>
      <c r="AO110" s="3">
        <f>IF(tblOrdenes[[#This Row],[orden]]="","",tblOrdenes[[#This Row],[orden]]&amp;IF(tblOrdenes[[#This Row],[operacion]]="","0010",tblOrdenes[[#This Row],[operacion]]))</f>
        <v/>
      </c>
    </row>
    <row r="111">
      <c r="A111" s="3" t="inlineStr">
        <is>
          <t>OT-000108</t>
        </is>
      </c>
      <c r="B111" s="3" t="inlineStr">
        <is>
          <t>0010</t>
        </is>
      </c>
      <c r="C111" s="3" t="inlineStr">
        <is>
          <t>Inspección de rutina — EQ-110</t>
        </is>
      </c>
      <c r="D111" s="3" t="inlineStr">
        <is>
          <t>Inspección de rutina en EQ-110</t>
        </is>
      </c>
      <c r="E111" s="3" t="inlineStr">
        <is>
          <t>EQ-110</t>
        </is>
      </c>
      <c r="F111" s="3" t="inlineStr">
        <is>
          <t>CC-320</t>
        </is>
      </c>
      <c r="G111" s="3" t="inlineStr">
        <is>
          <t>PU-OP</t>
        </is>
      </c>
      <c r="H111" s="3" t="inlineStr">
        <is>
          <t>ACT-01</t>
        </is>
      </c>
      <c r="I111" s="3" t="inlineStr">
        <is>
          <t>TIPO-P1</t>
        </is>
      </c>
      <c r="J111" s="11" t="n">
        <v>46218</v>
      </c>
      <c r="K111" s="3" t="n">
        <v>8</v>
      </c>
      <c r="L111" s="10" t="n">
        <v>200</v>
      </c>
      <c r="M111" s="6" t="n"/>
      <c r="N1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1" s="3">
        <f>IF(tblOrdenes[[#This Row],[fecha_inicio]]="","",YEAR(tblOrdenes[[#This Row],[fecha_inicio]]))</f>
        <v/>
      </c>
      <c r="R111" s="3">
        <f>IF(tblOrdenes[[#This Row],[fecha_inicio]]="","",MONTH(tblOrdenes[[#This Row],[fecha_inicio]]))</f>
        <v/>
      </c>
      <c r="S111" s="3">
        <f>IF(tblOrdenes[[#This Row],[fecha_inicio]]="","",INDEX(lista_dias,WEEKDAY(tblOrdenes[[#This Row],[fecha_inicio]],2)))</f>
        <v/>
      </c>
      <c r="T111" s="3">
        <f>IF(tblOrdenes[[#This Row],[tipo_ot]]="","",_xlfn.XLOOKUP(tblOrdenes[[#This Row],[tipo_ot]],tblTiposOT[codigo],tblTiposOT[clasificacion],"sin_clasificar"))</f>
        <v/>
      </c>
      <c r="U111" s="3">
        <f>IF(tblOrdenes[[#This Row],[centro_costo]]="","",_xlfn.XLOOKUP(tblOrdenes[[#This Row],[centro_costo]],tblCECO[codigo],tblCECO[linea],"(sin catálogo)"))</f>
        <v/>
      </c>
      <c r="V111" s="3">
        <f>IF(tblOrdenes[[#This Row],[centro_costo]]="","",_xlfn.XLOOKUP(tblOrdenes[[#This Row],[centro_costo]],tblCECO[codigo],tblCECO[area],"(sin catálogo)"))</f>
        <v/>
      </c>
      <c r="W111" s="3">
        <f>IF(tblOrdenes[[#This Row],[centro_costo]]="","",_xlfn.XLOOKUP(tblOrdenes[[#This Row],[centro_costo]],tblCECO[codigo],tblCECO[coordinador],"(sin catálogo)"))</f>
        <v/>
      </c>
      <c r="X111" s="3">
        <f>IF(tblOrdenes[[#This Row],[puesto_trabajo]]="","",_xlfn.XLOOKUP(tblOrdenes[[#This Row],[puesto_trabajo]],tblPuestos[codigo],tblPuestos[especialidad],"(sin catálogo)"))</f>
        <v/>
      </c>
      <c r="Y111" s="3">
        <f>IF(tblOrdenes[[#This Row],[cod_actividad]]="","",_xlfn.XLOOKUP(tblOrdenes[[#This Row],[cod_actividad]],tblActividades[codigo],tblActividades[descripcion],"(sin catálogo)"))</f>
        <v/>
      </c>
      <c r="Z111" s="12">
        <f>IF(tblOrdenes[[#This Row],[fecha_inicio]]="","",TODAY()-tblOrdenes[[#This Row],[fecha_inicio]])</f>
        <v/>
      </c>
      <c r="AA111" s="3">
        <f>IF(tblOrdenes[[#This Row],[backlog_dias]]="","",IF(tblOrdenes[[#This Row],[backlog_dias]]&lt;0,"FUTURO",IF(tblOrdenes[[#This Row],[backlog_dias]]&gt;p_dias_backlog_max,"BACKLOG","MES CORRIENTE")))</f>
        <v/>
      </c>
      <c r="AB111" s="3">
        <f>IF(tblOrdenes[[#This Row],[backlog_dias]]="",FALSE,AND(tblOrdenes[[#This Row],[backlog_dias]]&gt;p_dias_backlog_min,tblOrdenes[[#This Row],[backlog_dias]]&lt;=p_dias_backlog_max))</f>
        <v/>
      </c>
      <c r="AC111" s="6" t="inlineStr"/>
      <c r="AD1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1" s="10">
        <f>IF(tblOrdenes[[#This Row],[orden]]="","",_xlfn.XLOOKUP(tblOrdenes[[#This Row],[id_operacion]],tblEjecucion[id_operacion],tblEjecucion[precio],0))</f>
        <v/>
      </c>
      <c r="AH111" s="10">
        <f>IF(tblOrdenes[[#This Row],[orden]]="","",MAX(0,_xlfn.XLOOKUP(tblOrdenes[[#This Row],[id_operacion]],tblEjecucion[id_operacion],tblEjecucion[costo_plan_total],0)-tblOrdenes[[#This Row],[costo_servicio]]))</f>
        <v/>
      </c>
      <c r="AI111" s="10">
        <f>IF(tblOrdenes[[#This Row],[orden]]="","",tblOrdenes[[#This Row],[costo_servicio]]+tblOrdenes[[#This Row],[costo_materiales]])</f>
        <v/>
      </c>
      <c r="AJ111" s="6" t="inlineStr"/>
      <c r="AK111" s="6" t="inlineStr"/>
      <c r="AL111" s="6" t="inlineStr">
        <is>
          <t>ACT-01.pdf</t>
        </is>
      </c>
      <c r="AM111" s="3">
        <f>IF(tblOrdenes[[#This Row],[link_checklist]]="","",HYPERLINK(p_ruta_base_checklists&amp;tblOrdenes[[#This Row],[link_checklist]],"abrir"))</f>
        <v/>
      </c>
      <c r="AN111" s="6" t="inlineStr"/>
      <c r="AO111" s="3">
        <f>IF(tblOrdenes[[#This Row],[orden]]="","",tblOrdenes[[#This Row],[orden]]&amp;IF(tblOrdenes[[#This Row],[operacion]]="","0010",tblOrdenes[[#This Row],[operacion]]))</f>
        <v/>
      </c>
    </row>
    <row r="112">
      <c r="A112" s="3" t="inlineStr">
        <is>
          <t>OT-000109</t>
        </is>
      </c>
      <c r="B112" s="3" t="inlineStr">
        <is>
          <t>0010</t>
        </is>
      </c>
      <c r="C112" s="3" t="inlineStr">
        <is>
          <t>Lubricación programada — EQ-105</t>
        </is>
      </c>
      <c r="D112" s="3" t="inlineStr">
        <is>
          <t>Lubricación programada en EQ-105</t>
        </is>
      </c>
      <c r="E112" s="3" t="inlineStr">
        <is>
          <t>EQ-105</t>
        </is>
      </c>
      <c r="F112" s="3" t="inlineStr">
        <is>
          <t>CC-120</t>
        </is>
      </c>
      <c r="G112" s="3" t="inlineStr">
        <is>
          <t>PU-OP</t>
        </is>
      </c>
      <c r="H112" s="3" t="inlineStr">
        <is>
          <t>ACT-02</t>
        </is>
      </c>
      <c r="I112" s="3" t="inlineStr">
        <is>
          <t>TIPO-P2</t>
        </is>
      </c>
      <c r="J112" s="11" t="n">
        <v>46219</v>
      </c>
      <c r="K112" s="3" t="n">
        <v>6</v>
      </c>
      <c r="L112" s="10" t="n">
        <v>150</v>
      </c>
      <c r="M112" s="6" t="n"/>
      <c r="N1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2" s="3">
        <f>IF(tblOrdenes[[#This Row],[fecha_inicio]]="","",YEAR(tblOrdenes[[#This Row],[fecha_inicio]]))</f>
        <v/>
      </c>
      <c r="R112" s="3">
        <f>IF(tblOrdenes[[#This Row],[fecha_inicio]]="","",MONTH(tblOrdenes[[#This Row],[fecha_inicio]]))</f>
        <v/>
      </c>
      <c r="S112" s="3">
        <f>IF(tblOrdenes[[#This Row],[fecha_inicio]]="","",INDEX(lista_dias,WEEKDAY(tblOrdenes[[#This Row],[fecha_inicio]],2)))</f>
        <v/>
      </c>
      <c r="T112" s="3">
        <f>IF(tblOrdenes[[#This Row],[tipo_ot]]="","",_xlfn.XLOOKUP(tblOrdenes[[#This Row],[tipo_ot]],tblTiposOT[codigo],tblTiposOT[clasificacion],"sin_clasificar"))</f>
        <v/>
      </c>
      <c r="U112" s="3">
        <f>IF(tblOrdenes[[#This Row],[centro_costo]]="","",_xlfn.XLOOKUP(tblOrdenes[[#This Row],[centro_costo]],tblCECO[codigo],tblCECO[linea],"(sin catálogo)"))</f>
        <v/>
      </c>
      <c r="V112" s="3">
        <f>IF(tblOrdenes[[#This Row],[centro_costo]]="","",_xlfn.XLOOKUP(tblOrdenes[[#This Row],[centro_costo]],tblCECO[codigo],tblCECO[area],"(sin catálogo)"))</f>
        <v/>
      </c>
      <c r="W112" s="3">
        <f>IF(tblOrdenes[[#This Row],[centro_costo]]="","",_xlfn.XLOOKUP(tblOrdenes[[#This Row],[centro_costo]],tblCECO[codigo],tblCECO[coordinador],"(sin catálogo)"))</f>
        <v/>
      </c>
      <c r="X112" s="3">
        <f>IF(tblOrdenes[[#This Row],[puesto_trabajo]]="","",_xlfn.XLOOKUP(tblOrdenes[[#This Row],[puesto_trabajo]],tblPuestos[codigo],tblPuestos[especialidad],"(sin catálogo)"))</f>
        <v/>
      </c>
      <c r="Y112" s="3">
        <f>IF(tblOrdenes[[#This Row],[cod_actividad]]="","",_xlfn.XLOOKUP(tblOrdenes[[#This Row],[cod_actividad]],tblActividades[codigo],tblActividades[descripcion],"(sin catálogo)"))</f>
        <v/>
      </c>
      <c r="Z112" s="12">
        <f>IF(tblOrdenes[[#This Row],[fecha_inicio]]="","",TODAY()-tblOrdenes[[#This Row],[fecha_inicio]])</f>
        <v/>
      </c>
      <c r="AA112" s="3">
        <f>IF(tblOrdenes[[#This Row],[backlog_dias]]="","",IF(tblOrdenes[[#This Row],[backlog_dias]]&lt;0,"FUTURO",IF(tblOrdenes[[#This Row],[backlog_dias]]&gt;p_dias_backlog_max,"BACKLOG","MES CORRIENTE")))</f>
        <v/>
      </c>
      <c r="AB112" s="3">
        <f>IF(tblOrdenes[[#This Row],[backlog_dias]]="",FALSE,AND(tblOrdenes[[#This Row],[backlog_dias]]&gt;p_dias_backlog_min,tblOrdenes[[#This Row],[backlog_dias]]&lt;=p_dias_backlog_max))</f>
        <v/>
      </c>
      <c r="AC112" s="6" t="inlineStr">
        <is>
          <t>Técnico 10</t>
        </is>
      </c>
      <c r="AD1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2" s="10">
        <f>IF(tblOrdenes[[#This Row],[orden]]="","",_xlfn.XLOOKUP(tblOrdenes[[#This Row],[id_operacion]],tblEjecucion[id_operacion],tblEjecucion[precio],0))</f>
        <v/>
      </c>
      <c r="AH112" s="10">
        <f>IF(tblOrdenes[[#This Row],[orden]]="","",MAX(0,_xlfn.XLOOKUP(tblOrdenes[[#This Row],[id_operacion]],tblEjecucion[id_operacion],tblEjecucion[costo_plan_total],0)-tblOrdenes[[#This Row],[costo_servicio]]))</f>
        <v/>
      </c>
      <c r="AI112" s="10">
        <f>IF(tblOrdenes[[#This Row],[orden]]="","",tblOrdenes[[#This Row],[costo_servicio]]+tblOrdenes[[#This Row],[costo_materiales]])</f>
        <v/>
      </c>
      <c r="AJ112" s="6" t="inlineStr"/>
      <c r="AK112" s="6" t="inlineStr"/>
      <c r="AL112" s="6" t="inlineStr">
        <is>
          <t>ACT-02.pdf</t>
        </is>
      </c>
      <c r="AM112" s="3">
        <f>IF(tblOrdenes[[#This Row],[link_checklist]]="","",HYPERLINK(p_ruta_base_checklists&amp;tblOrdenes[[#This Row],[link_checklist]],"abrir"))</f>
        <v/>
      </c>
      <c r="AN112" s="6" t="inlineStr"/>
      <c r="AO112" s="3">
        <f>IF(tblOrdenes[[#This Row],[orden]]="","",tblOrdenes[[#This Row],[orden]]&amp;IF(tblOrdenes[[#This Row],[operacion]]="","0010",tblOrdenes[[#This Row],[operacion]]))</f>
        <v/>
      </c>
    </row>
    <row r="113">
      <c r="A113" s="3" t="inlineStr">
        <is>
          <t>OT-000110</t>
        </is>
      </c>
      <c r="B113" s="3" t="inlineStr">
        <is>
          <t>0010</t>
        </is>
      </c>
      <c r="C113" s="3" t="inlineStr">
        <is>
          <t>Análisis predictivo — EQ-108</t>
        </is>
      </c>
      <c r="D113" s="3" t="inlineStr">
        <is>
          <t>Análisis predictivo en EQ-108</t>
        </is>
      </c>
      <c r="E113" s="3" t="inlineStr">
        <is>
          <t>EQ-108</t>
        </is>
      </c>
      <c r="F113" s="3" t="inlineStr">
        <is>
          <t>CC-210</t>
        </is>
      </c>
      <c r="G113" s="3" t="inlineStr">
        <is>
          <t>PU-OP</t>
        </is>
      </c>
      <c r="H113" s="3" t="inlineStr">
        <is>
          <t>ACT-04</t>
        </is>
      </c>
      <c r="I113" s="3" t="inlineStr">
        <is>
          <t>TIPO-P1</t>
        </is>
      </c>
      <c r="J113" s="11" t="n">
        <v>46220</v>
      </c>
      <c r="K113" s="3" t="n">
        <v>6</v>
      </c>
      <c r="L113" s="10" t="n">
        <v>150</v>
      </c>
      <c r="M113" s="6" t="n"/>
      <c r="N1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3" s="3">
        <f>IF(tblOrdenes[[#This Row],[fecha_inicio]]="","",YEAR(tblOrdenes[[#This Row],[fecha_inicio]]))</f>
        <v/>
      </c>
      <c r="R113" s="3">
        <f>IF(tblOrdenes[[#This Row],[fecha_inicio]]="","",MONTH(tblOrdenes[[#This Row],[fecha_inicio]]))</f>
        <v/>
      </c>
      <c r="S113" s="3">
        <f>IF(tblOrdenes[[#This Row],[fecha_inicio]]="","",INDEX(lista_dias,WEEKDAY(tblOrdenes[[#This Row],[fecha_inicio]],2)))</f>
        <v/>
      </c>
      <c r="T113" s="3">
        <f>IF(tblOrdenes[[#This Row],[tipo_ot]]="","",_xlfn.XLOOKUP(tblOrdenes[[#This Row],[tipo_ot]],tblTiposOT[codigo],tblTiposOT[clasificacion],"sin_clasificar"))</f>
        <v/>
      </c>
      <c r="U113" s="3">
        <f>IF(tblOrdenes[[#This Row],[centro_costo]]="","",_xlfn.XLOOKUP(tblOrdenes[[#This Row],[centro_costo]],tblCECO[codigo],tblCECO[linea],"(sin catálogo)"))</f>
        <v/>
      </c>
      <c r="V113" s="3">
        <f>IF(tblOrdenes[[#This Row],[centro_costo]]="","",_xlfn.XLOOKUP(tblOrdenes[[#This Row],[centro_costo]],tblCECO[codigo],tblCECO[area],"(sin catálogo)"))</f>
        <v/>
      </c>
      <c r="W113" s="3">
        <f>IF(tblOrdenes[[#This Row],[centro_costo]]="","",_xlfn.XLOOKUP(tblOrdenes[[#This Row],[centro_costo]],tblCECO[codigo],tblCECO[coordinador],"(sin catálogo)"))</f>
        <v/>
      </c>
      <c r="X113" s="3">
        <f>IF(tblOrdenes[[#This Row],[puesto_trabajo]]="","",_xlfn.XLOOKUP(tblOrdenes[[#This Row],[puesto_trabajo]],tblPuestos[codigo],tblPuestos[especialidad],"(sin catálogo)"))</f>
        <v/>
      </c>
      <c r="Y113" s="3">
        <f>IF(tblOrdenes[[#This Row],[cod_actividad]]="","",_xlfn.XLOOKUP(tblOrdenes[[#This Row],[cod_actividad]],tblActividades[codigo],tblActividades[descripcion],"(sin catálogo)"))</f>
        <v/>
      </c>
      <c r="Z113" s="12">
        <f>IF(tblOrdenes[[#This Row],[fecha_inicio]]="","",TODAY()-tblOrdenes[[#This Row],[fecha_inicio]])</f>
        <v/>
      </c>
      <c r="AA113" s="3">
        <f>IF(tblOrdenes[[#This Row],[backlog_dias]]="","",IF(tblOrdenes[[#This Row],[backlog_dias]]&lt;0,"FUTURO",IF(tblOrdenes[[#This Row],[backlog_dias]]&gt;p_dias_backlog_max,"BACKLOG","MES CORRIENTE")))</f>
        <v/>
      </c>
      <c r="AB113" s="3">
        <f>IF(tblOrdenes[[#This Row],[backlog_dias]]="",FALSE,AND(tblOrdenes[[#This Row],[backlog_dias]]&gt;p_dias_backlog_min,tblOrdenes[[#This Row],[backlog_dias]]&lt;=p_dias_backlog_max))</f>
        <v/>
      </c>
      <c r="AC113" s="6" t="inlineStr">
        <is>
          <t>Técnico 11</t>
        </is>
      </c>
      <c r="AD1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3" s="10">
        <f>IF(tblOrdenes[[#This Row],[orden]]="","",_xlfn.XLOOKUP(tblOrdenes[[#This Row],[id_operacion]],tblEjecucion[id_operacion],tblEjecucion[precio],0))</f>
        <v/>
      </c>
      <c r="AH113" s="10">
        <f>IF(tblOrdenes[[#This Row],[orden]]="","",MAX(0,_xlfn.XLOOKUP(tblOrdenes[[#This Row],[id_operacion]],tblEjecucion[id_operacion],tblEjecucion[costo_plan_total],0)-tblOrdenes[[#This Row],[costo_servicio]]))</f>
        <v/>
      </c>
      <c r="AI113" s="10">
        <f>IF(tblOrdenes[[#This Row],[orden]]="","",tblOrdenes[[#This Row],[costo_servicio]]+tblOrdenes[[#This Row],[costo_materiales]])</f>
        <v/>
      </c>
      <c r="AJ113" s="6" t="inlineStr"/>
      <c r="AK113" s="6" t="inlineStr"/>
      <c r="AL113" s="6" t="inlineStr">
        <is>
          <t>ACT-04.pdf</t>
        </is>
      </c>
      <c r="AM113" s="3">
        <f>IF(tblOrdenes[[#This Row],[link_checklist]]="","",HYPERLINK(p_ruta_base_checklists&amp;tblOrdenes[[#This Row],[link_checklist]],"abrir"))</f>
        <v/>
      </c>
      <c r="AN113" s="6" t="inlineStr"/>
      <c r="AO113" s="3">
        <f>IF(tblOrdenes[[#This Row],[orden]]="","",tblOrdenes[[#This Row],[orden]]&amp;IF(tblOrdenes[[#This Row],[operacion]]="","0010",tblOrdenes[[#This Row],[operacion]]))</f>
        <v/>
      </c>
    </row>
    <row r="114">
      <c r="A114" s="3" t="inlineStr">
        <is>
          <t>OT-000111</t>
        </is>
      </c>
      <c r="B114" s="3" t="inlineStr">
        <is>
          <t>0010</t>
        </is>
      </c>
      <c r="C114" s="3" t="inlineStr">
        <is>
          <t>Reparación de falla — EQ-110</t>
        </is>
      </c>
      <c r="D114" s="3" t="inlineStr">
        <is>
          <t>Reparación de falla en EQ-110</t>
        </is>
      </c>
      <c r="E114" s="3" t="inlineStr">
        <is>
          <t>EQ-110</t>
        </is>
      </c>
      <c r="F114" s="3" t="inlineStr">
        <is>
          <t>CC-320</t>
        </is>
      </c>
      <c r="G114" s="3" t="inlineStr">
        <is>
          <t>PU-OP</t>
        </is>
      </c>
      <c r="H114" s="3" t="inlineStr">
        <is>
          <t>ACT-03</t>
        </is>
      </c>
      <c r="I114" s="3" t="inlineStr">
        <is>
          <t>TIPO-C2</t>
        </is>
      </c>
      <c r="J114" s="11" t="n">
        <v>46216</v>
      </c>
      <c r="K114" s="3" t="n">
        <v>8</v>
      </c>
      <c r="L114" s="10" t="n">
        <v>320</v>
      </c>
      <c r="M114" s="6" t="n"/>
      <c r="N1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4" s="3">
        <f>IF(tblOrdenes[[#This Row],[fecha_inicio]]="","",YEAR(tblOrdenes[[#This Row],[fecha_inicio]]))</f>
        <v/>
      </c>
      <c r="R114" s="3">
        <f>IF(tblOrdenes[[#This Row],[fecha_inicio]]="","",MONTH(tblOrdenes[[#This Row],[fecha_inicio]]))</f>
        <v/>
      </c>
      <c r="S114" s="3">
        <f>IF(tblOrdenes[[#This Row],[fecha_inicio]]="","",INDEX(lista_dias,WEEKDAY(tblOrdenes[[#This Row],[fecha_inicio]],2)))</f>
        <v/>
      </c>
      <c r="T114" s="3">
        <f>IF(tblOrdenes[[#This Row],[tipo_ot]]="","",_xlfn.XLOOKUP(tblOrdenes[[#This Row],[tipo_ot]],tblTiposOT[codigo],tblTiposOT[clasificacion],"sin_clasificar"))</f>
        <v/>
      </c>
      <c r="U114" s="3">
        <f>IF(tblOrdenes[[#This Row],[centro_costo]]="","",_xlfn.XLOOKUP(tblOrdenes[[#This Row],[centro_costo]],tblCECO[codigo],tblCECO[linea],"(sin catálogo)"))</f>
        <v/>
      </c>
      <c r="V114" s="3">
        <f>IF(tblOrdenes[[#This Row],[centro_costo]]="","",_xlfn.XLOOKUP(tblOrdenes[[#This Row],[centro_costo]],tblCECO[codigo],tblCECO[area],"(sin catálogo)"))</f>
        <v/>
      </c>
      <c r="W114" s="3">
        <f>IF(tblOrdenes[[#This Row],[centro_costo]]="","",_xlfn.XLOOKUP(tblOrdenes[[#This Row],[centro_costo]],tblCECO[codigo],tblCECO[coordinador],"(sin catálogo)"))</f>
        <v/>
      </c>
      <c r="X114" s="3">
        <f>IF(tblOrdenes[[#This Row],[puesto_trabajo]]="","",_xlfn.XLOOKUP(tblOrdenes[[#This Row],[puesto_trabajo]],tblPuestos[codigo],tblPuestos[especialidad],"(sin catálogo)"))</f>
        <v/>
      </c>
      <c r="Y114" s="3">
        <f>IF(tblOrdenes[[#This Row],[cod_actividad]]="","",_xlfn.XLOOKUP(tblOrdenes[[#This Row],[cod_actividad]],tblActividades[codigo],tblActividades[descripcion],"(sin catálogo)"))</f>
        <v/>
      </c>
      <c r="Z114" s="12">
        <f>IF(tblOrdenes[[#This Row],[fecha_inicio]]="","",TODAY()-tblOrdenes[[#This Row],[fecha_inicio]])</f>
        <v/>
      </c>
      <c r="AA114" s="3">
        <f>IF(tblOrdenes[[#This Row],[backlog_dias]]="","",IF(tblOrdenes[[#This Row],[backlog_dias]]&lt;0,"FUTURO",IF(tblOrdenes[[#This Row],[backlog_dias]]&gt;p_dias_backlog_max,"BACKLOG","MES CORRIENTE")))</f>
        <v/>
      </c>
      <c r="AB114" s="3">
        <f>IF(tblOrdenes[[#This Row],[backlog_dias]]="",FALSE,AND(tblOrdenes[[#This Row],[backlog_dias]]&gt;p_dias_backlog_min,tblOrdenes[[#This Row],[backlog_dias]]&lt;=p_dias_backlog_max))</f>
        <v/>
      </c>
      <c r="AC114" s="6" t="inlineStr">
        <is>
          <t>Técnico 12</t>
        </is>
      </c>
      <c r="AD1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4" s="10">
        <f>IF(tblOrdenes[[#This Row],[orden]]="","",_xlfn.XLOOKUP(tblOrdenes[[#This Row],[id_operacion]],tblEjecucion[id_operacion],tblEjecucion[precio],0))</f>
        <v/>
      </c>
      <c r="AH114" s="10">
        <f>IF(tblOrdenes[[#This Row],[orden]]="","",MAX(0,_xlfn.XLOOKUP(tblOrdenes[[#This Row],[id_operacion]],tblEjecucion[id_operacion],tblEjecucion[costo_plan_total],0)-tblOrdenes[[#This Row],[costo_servicio]]))</f>
        <v/>
      </c>
      <c r="AI114" s="10">
        <f>IF(tblOrdenes[[#This Row],[orden]]="","",tblOrdenes[[#This Row],[costo_servicio]]+tblOrdenes[[#This Row],[costo_materiales]])</f>
        <v/>
      </c>
      <c r="AJ114" s="6" t="inlineStr"/>
      <c r="AK114" s="6" t="inlineStr"/>
      <c r="AL114" s="6" t="inlineStr"/>
      <c r="AM114" s="3">
        <f>IF(tblOrdenes[[#This Row],[link_checklist]]="","",HYPERLINK(p_ruta_base_checklists&amp;tblOrdenes[[#This Row],[link_checklist]],"abrir"))</f>
        <v/>
      </c>
      <c r="AN114" s="6" t="inlineStr"/>
      <c r="AO114" s="3">
        <f>IF(tblOrdenes[[#This Row],[orden]]="","",tblOrdenes[[#This Row],[orden]]&amp;IF(tblOrdenes[[#This Row],[operacion]]="","0010",tblOrdenes[[#This Row],[operacion]]))</f>
        <v/>
      </c>
    </row>
    <row r="115">
      <c r="A115" s="3" t="inlineStr">
        <is>
          <t>OT-000112</t>
        </is>
      </c>
      <c r="B115" s="3" t="inlineStr">
        <is>
          <t>0010</t>
        </is>
      </c>
      <c r="C115" s="3" t="inlineStr">
        <is>
          <t>Lubricación programada — EQ-103</t>
        </is>
      </c>
      <c r="D115" s="3" t="inlineStr">
        <is>
          <t>Lubricación programada en EQ-103</t>
        </is>
      </c>
      <c r="E115" s="3" t="inlineStr">
        <is>
          <t>EQ-103</t>
        </is>
      </c>
      <c r="F115" s="3" t="inlineStr">
        <is>
          <t>CC-120</t>
        </is>
      </c>
      <c r="G115" s="3" t="inlineStr">
        <is>
          <t>PU-OP</t>
        </is>
      </c>
      <c r="H115" s="3" t="inlineStr">
        <is>
          <t>ACT-02</t>
        </is>
      </c>
      <c r="I115" s="3" t="inlineStr">
        <is>
          <t>TIPO-P1</t>
        </is>
      </c>
      <c r="J115" s="11" t="n">
        <v>46224</v>
      </c>
      <c r="K115" s="3" t="n">
        <v>10</v>
      </c>
      <c r="L115" s="10" t="n">
        <v>250</v>
      </c>
      <c r="M115" s="6" t="n"/>
      <c r="N1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5" s="3">
        <f>IF(tblOrdenes[[#This Row],[fecha_inicio]]="","",YEAR(tblOrdenes[[#This Row],[fecha_inicio]]))</f>
        <v/>
      </c>
      <c r="R115" s="3">
        <f>IF(tblOrdenes[[#This Row],[fecha_inicio]]="","",MONTH(tblOrdenes[[#This Row],[fecha_inicio]]))</f>
        <v/>
      </c>
      <c r="S115" s="3">
        <f>IF(tblOrdenes[[#This Row],[fecha_inicio]]="","",INDEX(lista_dias,WEEKDAY(tblOrdenes[[#This Row],[fecha_inicio]],2)))</f>
        <v/>
      </c>
      <c r="T115" s="3">
        <f>IF(tblOrdenes[[#This Row],[tipo_ot]]="","",_xlfn.XLOOKUP(tblOrdenes[[#This Row],[tipo_ot]],tblTiposOT[codigo],tblTiposOT[clasificacion],"sin_clasificar"))</f>
        <v/>
      </c>
      <c r="U115" s="3">
        <f>IF(tblOrdenes[[#This Row],[centro_costo]]="","",_xlfn.XLOOKUP(tblOrdenes[[#This Row],[centro_costo]],tblCECO[codigo],tblCECO[linea],"(sin catálogo)"))</f>
        <v/>
      </c>
      <c r="V115" s="3">
        <f>IF(tblOrdenes[[#This Row],[centro_costo]]="","",_xlfn.XLOOKUP(tblOrdenes[[#This Row],[centro_costo]],tblCECO[codigo],tblCECO[area],"(sin catálogo)"))</f>
        <v/>
      </c>
      <c r="W115" s="3">
        <f>IF(tblOrdenes[[#This Row],[centro_costo]]="","",_xlfn.XLOOKUP(tblOrdenes[[#This Row],[centro_costo]],tblCECO[codigo],tblCECO[coordinador],"(sin catálogo)"))</f>
        <v/>
      </c>
      <c r="X115" s="3">
        <f>IF(tblOrdenes[[#This Row],[puesto_trabajo]]="","",_xlfn.XLOOKUP(tblOrdenes[[#This Row],[puesto_trabajo]],tblPuestos[codigo],tblPuestos[especialidad],"(sin catálogo)"))</f>
        <v/>
      </c>
      <c r="Y115" s="3">
        <f>IF(tblOrdenes[[#This Row],[cod_actividad]]="","",_xlfn.XLOOKUP(tblOrdenes[[#This Row],[cod_actividad]],tblActividades[codigo],tblActividades[descripcion],"(sin catálogo)"))</f>
        <v/>
      </c>
      <c r="Z115" s="12">
        <f>IF(tblOrdenes[[#This Row],[fecha_inicio]]="","",TODAY()-tblOrdenes[[#This Row],[fecha_inicio]])</f>
        <v/>
      </c>
      <c r="AA115" s="3">
        <f>IF(tblOrdenes[[#This Row],[backlog_dias]]="","",IF(tblOrdenes[[#This Row],[backlog_dias]]&lt;0,"FUTURO",IF(tblOrdenes[[#This Row],[backlog_dias]]&gt;p_dias_backlog_max,"BACKLOG","MES CORRIENTE")))</f>
        <v/>
      </c>
      <c r="AB115" s="3">
        <f>IF(tblOrdenes[[#This Row],[backlog_dias]]="",FALSE,AND(tblOrdenes[[#This Row],[backlog_dias]]&gt;p_dias_backlog_min,tblOrdenes[[#This Row],[backlog_dias]]&lt;=p_dias_backlog_max))</f>
        <v/>
      </c>
      <c r="AC115" s="6" t="inlineStr">
        <is>
          <t>Técnico 10</t>
        </is>
      </c>
      <c r="AD1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5" s="10">
        <f>IF(tblOrdenes[[#This Row],[orden]]="","",_xlfn.XLOOKUP(tblOrdenes[[#This Row],[id_operacion]],tblEjecucion[id_operacion],tblEjecucion[precio],0))</f>
        <v/>
      </c>
      <c r="AH115" s="10">
        <f>IF(tblOrdenes[[#This Row],[orden]]="","",MAX(0,_xlfn.XLOOKUP(tblOrdenes[[#This Row],[id_operacion]],tblEjecucion[id_operacion],tblEjecucion[costo_plan_total],0)-tblOrdenes[[#This Row],[costo_servicio]]))</f>
        <v/>
      </c>
      <c r="AI115" s="10">
        <f>IF(tblOrdenes[[#This Row],[orden]]="","",tblOrdenes[[#This Row],[costo_servicio]]+tblOrdenes[[#This Row],[costo_materiales]])</f>
        <v/>
      </c>
      <c r="AJ115" s="6" t="inlineStr"/>
      <c r="AK115" s="6" t="inlineStr"/>
      <c r="AL115" s="6" t="inlineStr">
        <is>
          <t>ACT-02.pdf</t>
        </is>
      </c>
      <c r="AM115" s="3">
        <f>IF(tblOrdenes[[#This Row],[link_checklist]]="","",HYPERLINK(p_ruta_base_checklists&amp;tblOrdenes[[#This Row],[link_checklist]],"abrir"))</f>
        <v/>
      </c>
      <c r="AN115" s="6" t="inlineStr"/>
      <c r="AO115" s="3">
        <f>IF(tblOrdenes[[#This Row],[orden]]="","",tblOrdenes[[#This Row],[orden]]&amp;IF(tblOrdenes[[#This Row],[operacion]]="","0010",tblOrdenes[[#This Row],[operacion]]))</f>
        <v/>
      </c>
    </row>
    <row r="116">
      <c r="A116" s="3" t="inlineStr">
        <is>
          <t>OT-000113</t>
        </is>
      </c>
      <c r="B116" s="3" t="inlineStr">
        <is>
          <t>0010</t>
        </is>
      </c>
      <c r="C116" s="3" t="inlineStr">
        <is>
          <t>Análisis predictivo — EQ-107</t>
        </is>
      </c>
      <c r="D116" s="3" t="inlineStr">
        <is>
          <t>Análisis predictivo en EQ-107</t>
        </is>
      </c>
      <c r="E116" s="3" t="inlineStr">
        <is>
          <t>EQ-107</t>
        </is>
      </c>
      <c r="F116" s="3" t="inlineStr">
        <is>
          <t>CC-210</t>
        </is>
      </c>
      <c r="G116" s="3" t="inlineStr">
        <is>
          <t>PU-OP</t>
        </is>
      </c>
      <c r="H116" s="3" t="inlineStr">
        <is>
          <t>ACT-04</t>
        </is>
      </c>
      <c r="I116" s="3" t="inlineStr">
        <is>
          <t>TIPO-P2</t>
        </is>
      </c>
      <c r="J116" s="11" t="n">
        <v>46225</v>
      </c>
      <c r="K116" s="3" t="n">
        <v>8</v>
      </c>
      <c r="L116" s="10" t="n">
        <v>200</v>
      </c>
      <c r="M116" s="6" t="n"/>
      <c r="N1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6" s="3">
        <f>IF(tblOrdenes[[#This Row],[fecha_inicio]]="","",YEAR(tblOrdenes[[#This Row],[fecha_inicio]]))</f>
        <v/>
      </c>
      <c r="R116" s="3">
        <f>IF(tblOrdenes[[#This Row],[fecha_inicio]]="","",MONTH(tblOrdenes[[#This Row],[fecha_inicio]]))</f>
        <v/>
      </c>
      <c r="S116" s="3">
        <f>IF(tblOrdenes[[#This Row],[fecha_inicio]]="","",INDEX(lista_dias,WEEKDAY(tblOrdenes[[#This Row],[fecha_inicio]],2)))</f>
        <v/>
      </c>
      <c r="T116" s="3">
        <f>IF(tblOrdenes[[#This Row],[tipo_ot]]="","",_xlfn.XLOOKUP(tblOrdenes[[#This Row],[tipo_ot]],tblTiposOT[codigo],tblTiposOT[clasificacion],"sin_clasificar"))</f>
        <v/>
      </c>
      <c r="U116" s="3">
        <f>IF(tblOrdenes[[#This Row],[centro_costo]]="","",_xlfn.XLOOKUP(tblOrdenes[[#This Row],[centro_costo]],tblCECO[codigo],tblCECO[linea],"(sin catálogo)"))</f>
        <v/>
      </c>
      <c r="V116" s="3">
        <f>IF(tblOrdenes[[#This Row],[centro_costo]]="","",_xlfn.XLOOKUP(tblOrdenes[[#This Row],[centro_costo]],tblCECO[codigo],tblCECO[area],"(sin catálogo)"))</f>
        <v/>
      </c>
      <c r="W116" s="3">
        <f>IF(tblOrdenes[[#This Row],[centro_costo]]="","",_xlfn.XLOOKUP(tblOrdenes[[#This Row],[centro_costo]],tblCECO[codigo],tblCECO[coordinador],"(sin catálogo)"))</f>
        <v/>
      </c>
      <c r="X116" s="3">
        <f>IF(tblOrdenes[[#This Row],[puesto_trabajo]]="","",_xlfn.XLOOKUP(tblOrdenes[[#This Row],[puesto_trabajo]],tblPuestos[codigo],tblPuestos[especialidad],"(sin catálogo)"))</f>
        <v/>
      </c>
      <c r="Y116" s="3">
        <f>IF(tblOrdenes[[#This Row],[cod_actividad]]="","",_xlfn.XLOOKUP(tblOrdenes[[#This Row],[cod_actividad]],tblActividades[codigo],tblActividades[descripcion],"(sin catálogo)"))</f>
        <v/>
      </c>
      <c r="Z116" s="12">
        <f>IF(tblOrdenes[[#This Row],[fecha_inicio]]="","",TODAY()-tblOrdenes[[#This Row],[fecha_inicio]])</f>
        <v/>
      </c>
      <c r="AA116" s="3">
        <f>IF(tblOrdenes[[#This Row],[backlog_dias]]="","",IF(tblOrdenes[[#This Row],[backlog_dias]]&lt;0,"FUTURO",IF(tblOrdenes[[#This Row],[backlog_dias]]&gt;p_dias_backlog_max,"BACKLOG","MES CORRIENTE")))</f>
        <v/>
      </c>
      <c r="AB116" s="3">
        <f>IF(tblOrdenes[[#This Row],[backlog_dias]]="",FALSE,AND(tblOrdenes[[#This Row],[backlog_dias]]&gt;p_dias_backlog_min,tblOrdenes[[#This Row],[backlog_dias]]&lt;=p_dias_backlog_max))</f>
        <v/>
      </c>
      <c r="AC116" s="6" t="inlineStr">
        <is>
          <t>Técnico 11</t>
        </is>
      </c>
      <c r="AD1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6" s="10">
        <f>IF(tblOrdenes[[#This Row],[orden]]="","",_xlfn.XLOOKUP(tblOrdenes[[#This Row],[id_operacion]],tblEjecucion[id_operacion],tblEjecucion[precio],0))</f>
        <v/>
      </c>
      <c r="AH116" s="10">
        <f>IF(tblOrdenes[[#This Row],[orden]]="","",MAX(0,_xlfn.XLOOKUP(tblOrdenes[[#This Row],[id_operacion]],tblEjecucion[id_operacion],tblEjecucion[costo_plan_total],0)-tblOrdenes[[#This Row],[costo_servicio]]))</f>
        <v/>
      </c>
      <c r="AI116" s="10">
        <f>IF(tblOrdenes[[#This Row],[orden]]="","",tblOrdenes[[#This Row],[costo_servicio]]+tblOrdenes[[#This Row],[costo_materiales]])</f>
        <v/>
      </c>
      <c r="AJ116" s="6" t="inlineStr"/>
      <c r="AK116" s="6" t="inlineStr"/>
      <c r="AL116" s="6" t="inlineStr">
        <is>
          <t>ACT-04.pdf</t>
        </is>
      </c>
      <c r="AM116" s="3">
        <f>IF(tblOrdenes[[#This Row],[link_checklist]]="","",HYPERLINK(p_ruta_base_checklists&amp;tblOrdenes[[#This Row],[link_checklist]],"abrir"))</f>
        <v/>
      </c>
      <c r="AN116" s="6" t="inlineStr"/>
      <c r="AO116" s="3">
        <f>IF(tblOrdenes[[#This Row],[orden]]="","",tblOrdenes[[#This Row],[orden]]&amp;IF(tblOrdenes[[#This Row],[operacion]]="","0010",tblOrdenes[[#This Row],[operacion]]))</f>
        <v/>
      </c>
    </row>
    <row r="117">
      <c r="A117" s="3" t="inlineStr">
        <is>
          <t>OT-000114</t>
        </is>
      </c>
      <c r="B117" s="3" t="inlineStr">
        <is>
          <t>0010</t>
        </is>
      </c>
      <c r="C117" s="3" t="inlineStr">
        <is>
          <t>Inspección de rutina — EQ-110</t>
        </is>
      </c>
      <c r="D117" s="3" t="inlineStr">
        <is>
          <t>Inspección de rutina en EQ-110</t>
        </is>
      </c>
      <c r="E117" s="3" t="inlineStr">
        <is>
          <t>EQ-110</t>
        </is>
      </c>
      <c r="F117" s="3" t="inlineStr">
        <is>
          <t>CC-320</t>
        </is>
      </c>
      <c r="G117" s="3" t="inlineStr">
        <is>
          <t>PU-OP</t>
        </is>
      </c>
      <c r="H117" s="3" t="inlineStr">
        <is>
          <t>ACT-01</t>
        </is>
      </c>
      <c r="I117" s="3" t="inlineStr">
        <is>
          <t>TIPO-P1</t>
        </is>
      </c>
      <c r="J117" s="11" t="n">
        <v>46226</v>
      </c>
      <c r="K117" s="3" t="n">
        <v>6</v>
      </c>
      <c r="L117" s="10" t="n">
        <v>150</v>
      </c>
      <c r="M117" s="6" t="n"/>
      <c r="N1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7" s="3">
        <f>IF(tblOrdenes[[#This Row],[fecha_inicio]]="","",YEAR(tblOrdenes[[#This Row],[fecha_inicio]]))</f>
        <v/>
      </c>
      <c r="R117" s="3">
        <f>IF(tblOrdenes[[#This Row],[fecha_inicio]]="","",MONTH(tblOrdenes[[#This Row],[fecha_inicio]]))</f>
        <v/>
      </c>
      <c r="S117" s="3">
        <f>IF(tblOrdenes[[#This Row],[fecha_inicio]]="","",INDEX(lista_dias,WEEKDAY(tblOrdenes[[#This Row],[fecha_inicio]],2)))</f>
        <v/>
      </c>
      <c r="T117" s="3">
        <f>IF(tblOrdenes[[#This Row],[tipo_ot]]="","",_xlfn.XLOOKUP(tblOrdenes[[#This Row],[tipo_ot]],tblTiposOT[codigo],tblTiposOT[clasificacion],"sin_clasificar"))</f>
        <v/>
      </c>
      <c r="U117" s="3">
        <f>IF(tblOrdenes[[#This Row],[centro_costo]]="","",_xlfn.XLOOKUP(tblOrdenes[[#This Row],[centro_costo]],tblCECO[codigo],tblCECO[linea],"(sin catálogo)"))</f>
        <v/>
      </c>
      <c r="V117" s="3">
        <f>IF(tblOrdenes[[#This Row],[centro_costo]]="","",_xlfn.XLOOKUP(tblOrdenes[[#This Row],[centro_costo]],tblCECO[codigo],tblCECO[area],"(sin catálogo)"))</f>
        <v/>
      </c>
      <c r="W117" s="3">
        <f>IF(tblOrdenes[[#This Row],[centro_costo]]="","",_xlfn.XLOOKUP(tblOrdenes[[#This Row],[centro_costo]],tblCECO[codigo],tblCECO[coordinador],"(sin catálogo)"))</f>
        <v/>
      </c>
      <c r="X117" s="3">
        <f>IF(tblOrdenes[[#This Row],[puesto_trabajo]]="","",_xlfn.XLOOKUP(tblOrdenes[[#This Row],[puesto_trabajo]],tblPuestos[codigo],tblPuestos[especialidad],"(sin catálogo)"))</f>
        <v/>
      </c>
      <c r="Y117" s="3">
        <f>IF(tblOrdenes[[#This Row],[cod_actividad]]="","",_xlfn.XLOOKUP(tblOrdenes[[#This Row],[cod_actividad]],tblActividades[codigo],tblActividades[descripcion],"(sin catálogo)"))</f>
        <v/>
      </c>
      <c r="Z117" s="12">
        <f>IF(tblOrdenes[[#This Row],[fecha_inicio]]="","",TODAY()-tblOrdenes[[#This Row],[fecha_inicio]])</f>
        <v/>
      </c>
      <c r="AA117" s="3">
        <f>IF(tblOrdenes[[#This Row],[backlog_dias]]="","",IF(tblOrdenes[[#This Row],[backlog_dias]]&lt;0,"FUTURO",IF(tblOrdenes[[#This Row],[backlog_dias]]&gt;p_dias_backlog_max,"BACKLOG","MES CORRIENTE")))</f>
        <v/>
      </c>
      <c r="AB117" s="3">
        <f>IF(tblOrdenes[[#This Row],[backlog_dias]]="",FALSE,AND(tblOrdenes[[#This Row],[backlog_dias]]&gt;p_dias_backlog_min,tblOrdenes[[#This Row],[backlog_dias]]&lt;=p_dias_backlog_max))</f>
        <v/>
      </c>
      <c r="AC117" s="6" t="inlineStr">
        <is>
          <t>Técnico 12</t>
        </is>
      </c>
      <c r="AD1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7" s="10">
        <f>IF(tblOrdenes[[#This Row],[orden]]="","",_xlfn.XLOOKUP(tblOrdenes[[#This Row],[id_operacion]],tblEjecucion[id_operacion],tblEjecucion[precio],0))</f>
        <v/>
      </c>
      <c r="AH117" s="10">
        <f>IF(tblOrdenes[[#This Row],[orden]]="","",MAX(0,_xlfn.XLOOKUP(tblOrdenes[[#This Row],[id_operacion]],tblEjecucion[id_operacion],tblEjecucion[costo_plan_total],0)-tblOrdenes[[#This Row],[costo_servicio]]))</f>
        <v/>
      </c>
      <c r="AI117" s="10">
        <f>IF(tblOrdenes[[#This Row],[orden]]="","",tblOrdenes[[#This Row],[costo_servicio]]+tblOrdenes[[#This Row],[costo_materiales]])</f>
        <v/>
      </c>
      <c r="AJ117" s="6" t="inlineStr"/>
      <c r="AK117" s="6" t="inlineStr"/>
      <c r="AL117" s="6" t="inlineStr">
        <is>
          <t>ACT-01.pdf</t>
        </is>
      </c>
      <c r="AM117" s="3">
        <f>IF(tblOrdenes[[#This Row],[link_checklist]]="","",HYPERLINK(p_ruta_base_checklists&amp;tblOrdenes[[#This Row],[link_checklist]],"abrir"))</f>
        <v/>
      </c>
      <c r="AN117" s="6" t="inlineStr"/>
      <c r="AO117" s="3">
        <f>IF(tblOrdenes[[#This Row],[orden]]="","",tblOrdenes[[#This Row],[orden]]&amp;IF(tblOrdenes[[#This Row],[operacion]]="","0010",tblOrdenes[[#This Row],[operacion]]))</f>
        <v/>
      </c>
    </row>
    <row r="118">
      <c r="A118" s="3" t="inlineStr">
        <is>
          <t>OT-000115</t>
        </is>
      </c>
      <c r="B118" s="3" t="inlineStr">
        <is>
          <t>0010</t>
        </is>
      </c>
      <c r="C118" s="3" t="inlineStr">
        <is>
          <t>Lubricación programada — EQ-101</t>
        </is>
      </c>
      <c r="D118" s="3" t="inlineStr">
        <is>
          <t>Lubricación programada en EQ-101</t>
        </is>
      </c>
      <c r="E118" s="3" t="inlineStr">
        <is>
          <t>EQ-101</t>
        </is>
      </c>
      <c r="F118" s="3" t="inlineStr">
        <is>
          <t>CC-120</t>
        </is>
      </c>
      <c r="G118" s="3" t="inlineStr">
        <is>
          <t>PU-OP</t>
        </is>
      </c>
      <c r="H118" s="3" t="inlineStr">
        <is>
          <t>ACT-02</t>
        </is>
      </c>
      <c r="I118" s="3" t="inlineStr">
        <is>
          <t>TIPO-P2</t>
        </is>
      </c>
      <c r="J118" s="11" t="n">
        <v>46227</v>
      </c>
      <c r="K118" s="3" t="n">
        <v>10</v>
      </c>
      <c r="L118" s="10" t="n">
        <v>250</v>
      </c>
      <c r="M118" s="6" t="n"/>
      <c r="N1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8" s="3">
        <f>IF(tblOrdenes[[#This Row],[fecha_inicio]]="","",YEAR(tblOrdenes[[#This Row],[fecha_inicio]]))</f>
        <v/>
      </c>
      <c r="R118" s="3">
        <f>IF(tblOrdenes[[#This Row],[fecha_inicio]]="","",MONTH(tblOrdenes[[#This Row],[fecha_inicio]]))</f>
        <v/>
      </c>
      <c r="S118" s="3">
        <f>IF(tblOrdenes[[#This Row],[fecha_inicio]]="","",INDEX(lista_dias,WEEKDAY(tblOrdenes[[#This Row],[fecha_inicio]],2)))</f>
        <v/>
      </c>
      <c r="T118" s="3">
        <f>IF(tblOrdenes[[#This Row],[tipo_ot]]="","",_xlfn.XLOOKUP(tblOrdenes[[#This Row],[tipo_ot]],tblTiposOT[codigo],tblTiposOT[clasificacion],"sin_clasificar"))</f>
        <v/>
      </c>
      <c r="U118" s="3">
        <f>IF(tblOrdenes[[#This Row],[centro_costo]]="","",_xlfn.XLOOKUP(tblOrdenes[[#This Row],[centro_costo]],tblCECO[codigo],tblCECO[linea],"(sin catálogo)"))</f>
        <v/>
      </c>
      <c r="V118" s="3">
        <f>IF(tblOrdenes[[#This Row],[centro_costo]]="","",_xlfn.XLOOKUP(tblOrdenes[[#This Row],[centro_costo]],tblCECO[codigo],tblCECO[area],"(sin catálogo)"))</f>
        <v/>
      </c>
      <c r="W118" s="3">
        <f>IF(tblOrdenes[[#This Row],[centro_costo]]="","",_xlfn.XLOOKUP(tblOrdenes[[#This Row],[centro_costo]],tblCECO[codigo],tblCECO[coordinador],"(sin catálogo)"))</f>
        <v/>
      </c>
      <c r="X118" s="3">
        <f>IF(tblOrdenes[[#This Row],[puesto_trabajo]]="","",_xlfn.XLOOKUP(tblOrdenes[[#This Row],[puesto_trabajo]],tblPuestos[codigo],tblPuestos[especialidad],"(sin catálogo)"))</f>
        <v/>
      </c>
      <c r="Y118" s="3">
        <f>IF(tblOrdenes[[#This Row],[cod_actividad]]="","",_xlfn.XLOOKUP(tblOrdenes[[#This Row],[cod_actividad]],tblActividades[codigo],tblActividades[descripcion],"(sin catálogo)"))</f>
        <v/>
      </c>
      <c r="Z118" s="12">
        <f>IF(tblOrdenes[[#This Row],[fecha_inicio]]="","",TODAY()-tblOrdenes[[#This Row],[fecha_inicio]])</f>
        <v/>
      </c>
      <c r="AA118" s="3">
        <f>IF(tblOrdenes[[#This Row],[backlog_dias]]="","",IF(tblOrdenes[[#This Row],[backlog_dias]]&lt;0,"FUTURO",IF(tblOrdenes[[#This Row],[backlog_dias]]&gt;p_dias_backlog_max,"BACKLOG","MES CORRIENTE")))</f>
        <v/>
      </c>
      <c r="AB118" s="3">
        <f>IF(tblOrdenes[[#This Row],[backlog_dias]]="",FALSE,AND(tblOrdenes[[#This Row],[backlog_dias]]&gt;p_dias_backlog_min,tblOrdenes[[#This Row],[backlog_dias]]&lt;=p_dias_backlog_max))</f>
        <v/>
      </c>
      <c r="AC118" s="6" t="inlineStr">
        <is>
          <t>Técnico 10</t>
        </is>
      </c>
      <c r="AD1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8" s="10">
        <f>IF(tblOrdenes[[#This Row],[orden]]="","",_xlfn.XLOOKUP(tblOrdenes[[#This Row],[id_operacion]],tblEjecucion[id_operacion],tblEjecucion[precio],0))</f>
        <v/>
      </c>
      <c r="AH118" s="10">
        <f>IF(tblOrdenes[[#This Row],[orden]]="","",MAX(0,_xlfn.XLOOKUP(tblOrdenes[[#This Row],[id_operacion]],tblEjecucion[id_operacion],tblEjecucion[costo_plan_total],0)-tblOrdenes[[#This Row],[costo_servicio]]))</f>
        <v/>
      </c>
      <c r="AI118" s="10">
        <f>IF(tblOrdenes[[#This Row],[orden]]="","",tblOrdenes[[#This Row],[costo_servicio]]+tblOrdenes[[#This Row],[costo_materiales]])</f>
        <v/>
      </c>
      <c r="AJ118" s="6" t="inlineStr"/>
      <c r="AK118" s="6" t="inlineStr"/>
      <c r="AL118" s="6" t="inlineStr">
        <is>
          <t>ACT-02.pdf</t>
        </is>
      </c>
      <c r="AM118" s="3">
        <f>IF(tblOrdenes[[#This Row],[link_checklist]]="","",HYPERLINK(p_ruta_base_checklists&amp;tblOrdenes[[#This Row],[link_checklist]],"abrir"))</f>
        <v/>
      </c>
      <c r="AN118" s="6" t="inlineStr"/>
      <c r="AO118" s="3">
        <f>IF(tblOrdenes[[#This Row],[orden]]="","",tblOrdenes[[#This Row],[orden]]&amp;IF(tblOrdenes[[#This Row],[operacion]]="","0010",tblOrdenes[[#This Row],[operacion]]))</f>
        <v/>
      </c>
    </row>
    <row r="119">
      <c r="A119" s="3" t="inlineStr">
        <is>
          <t>OT-000116</t>
        </is>
      </c>
      <c r="B119" s="3" t="inlineStr">
        <is>
          <t>0010</t>
        </is>
      </c>
      <c r="C119" s="3" t="inlineStr">
        <is>
          <t>Análisis predictivo — EQ-106</t>
        </is>
      </c>
      <c r="D119" s="3" t="inlineStr">
        <is>
          <t>Análisis predictivo en EQ-106</t>
        </is>
      </c>
      <c r="E119" s="3" t="inlineStr">
        <is>
          <t>EQ-106</t>
        </is>
      </c>
      <c r="F119" s="3" t="inlineStr">
        <is>
          <t>CC-210</t>
        </is>
      </c>
      <c r="G119" s="3" t="inlineStr">
        <is>
          <t>PU-OP</t>
        </is>
      </c>
      <c r="H119" s="3" t="inlineStr">
        <is>
          <t>ACT-04</t>
        </is>
      </c>
      <c r="I119" s="3" t="inlineStr">
        <is>
          <t>TIPO-P1</t>
        </is>
      </c>
      <c r="J119" s="11" t="n">
        <v>46223</v>
      </c>
      <c r="K119" s="3" t="n">
        <v>2</v>
      </c>
      <c r="L119" s="10" t="n">
        <v>50</v>
      </c>
      <c r="M119" s="6" t="n"/>
      <c r="N1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9" s="3">
        <f>IF(tblOrdenes[[#This Row],[fecha_inicio]]="","",YEAR(tblOrdenes[[#This Row],[fecha_inicio]]))</f>
        <v/>
      </c>
      <c r="R119" s="3">
        <f>IF(tblOrdenes[[#This Row],[fecha_inicio]]="","",MONTH(tblOrdenes[[#This Row],[fecha_inicio]]))</f>
        <v/>
      </c>
      <c r="S119" s="3">
        <f>IF(tblOrdenes[[#This Row],[fecha_inicio]]="","",INDEX(lista_dias,WEEKDAY(tblOrdenes[[#This Row],[fecha_inicio]],2)))</f>
        <v/>
      </c>
      <c r="T119" s="3">
        <f>IF(tblOrdenes[[#This Row],[tipo_ot]]="","",_xlfn.XLOOKUP(tblOrdenes[[#This Row],[tipo_ot]],tblTiposOT[codigo],tblTiposOT[clasificacion],"sin_clasificar"))</f>
        <v/>
      </c>
      <c r="U119" s="3">
        <f>IF(tblOrdenes[[#This Row],[centro_costo]]="","",_xlfn.XLOOKUP(tblOrdenes[[#This Row],[centro_costo]],tblCECO[codigo],tblCECO[linea],"(sin catálogo)"))</f>
        <v/>
      </c>
      <c r="V119" s="3">
        <f>IF(tblOrdenes[[#This Row],[centro_costo]]="","",_xlfn.XLOOKUP(tblOrdenes[[#This Row],[centro_costo]],tblCECO[codigo],tblCECO[area],"(sin catálogo)"))</f>
        <v/>
      </c>
      <c r="W119" s="3">
        <f>IF(tblOrdenes[[#This Row],[centro_costo]]="","",_xlfn.XLOOKUP(tblOrdenes[[#This Row],[centro_costo]],tblCECO[codigo],tblCECO[coordinador],"(sin catálogo)"))</f>
        <v/>
      </c>
      <c r="X119" s="3">
        <f>IF(tblOrdenes[[#This Row],[puesto_trabajo]]="","",_xlfn.XLOOKUP(tblOrdenes[[#This Row],[puesto_trabajo]],tblPuestos[codigo],tblPuestos[especialidad],"(sin catálogo)"))</f>
        <v/>
      </c>
      <c r="Y119" s="3">
        <f>IF(tblOrdenes[[#This Row],[cod_actividad]]="","",_xlfn.XLOOKUP(tblOrdenes[[#This Row],[cod_actividad]],tblActividades[codigo],tblActividades[descripcion],"(sin catálogo)"))</f>
        <v/>
      </c>
      <c r="Z119" s="12">
        <f>IF(tblOrdenes[[#This Row],[fecha_inicio]]="","",TODAY()-tblOrdenes[[#This Row],[fecha_inicio]])</f>
        <v/>
      </c>
      <c r="AA119" s="3">
        <f>IF(tblOrdenes[[#This Row],[backlog_dias]]="","",IF(tblOrdenes[[#This Row],[backlog_dias]]&lt;0,"FUTURO",IF(tblOrdenes[[#This Row],[backlog_dias]]&gt;p_dias_backlog_max,"BACKLOG","MES CORRIENTE")))</f>
        <v/>
      </c>
      <c r="AB119" s="3">
        <f>IF(tblOrdenes[[#This Row],[backlog_dias]]="",FALSE,AND(tblOrdenes[[#This Row],[backlog_dias]]&gt;p_dias_backlog_min,tblOrdenes[[#This Row],[backlog_dias]]&lt;=p_dias_backlog_max))</f>
        <v/>
      </c>
      <c r="AC119" s="6" t="inlineStr">
        <is>
          <t>Técnico 11</t>
        </is>
      </c>
      <c r="AD1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9" s="10">
        <f>IF(tblOrdenes[[#This Row],[orden]]="","",_xlfn.XLOOKUP(tblOrdenes[[#This Row],[id_operacion]],tblEjecucion[id_operacion],tblEjecucion[precio],0))</f>
        <v/>
      </c>
      <c r="AH119" s="10">
        <f>IF(tblOrdenes[[#This Row],[orden]]="","",MAX(0,_xlfn.XLOOKUP(tblOrdenes[[#This Row],[id_operacion]],tblEjecucion[id_operacion],tblEjecucion[costo_plan_total],0)-tblOrdenes[[#This Row],[costo_servicio]]))</f>
        <v/>
      </c>
      <c r="AI119" s="10">
        <f>IF(tblOrdenes[[#This Row],[orden]]="","",tblOrdenes[[#This Row],[costo_servicio]]+tblOrdenes[[#This Row],[costo_materiales]])</f>
        <v/>
      </c>
      <c r="AJ119" s="6" t="inlineStr"/>
      <c r="AK119" s="6" t="inlineStr"/>
      <c r="AL119" s="6" t="inlineStr">
        <is>
          <t>ACT-04.pdf</t>
        </is>
      </c>
      <c r="AM119" s="3">
        <f>IF(tblOrdenes[[#This Row],[link_checklist]]="","",HYPERLINK(p_ruta_base_checklists&amp;tblOrdenes[[#This Row],[link_checklist]],"abrir"))</f>
        <v/>
      </c>
      <c r="AN119" s="6" t="inlineStr"/>
      <c r="AO119" s="3">
        <f>IF(tblOrdenes[[#This Row],[orden]]="","",tblOrdenes[[#This Row],[orden]]&amp;IF(tblOrdenes[[#This Row],[operacion]]="","0010",tblOrdenes[[#This Row],[operacion]]))</f>
        <v/>
      </c>
    </row>
    <row r="120">
      <c r="A120" s="3" t="inlineStr">
        <is>
          <t>OT-000117</t>
        </is>
      </c>
      <c r="B120" s="3" t="inlineStr">
        <is>
          <t>0010</t>
        </is>
      </c>
      <c r="C120" s="3" t="inlineStr">
        <is>
          <t>Reparación de falla — EQ-110</t>
        </is>
      </c>
      <c r="D120" s="3" t="inlineStr">
        <is>
          <t>Reparación de falla en EQ-110</t>
        </is>
      </c>
      <c r="E120" s="3" t="inlineStr">
        <is>
          <t>EQ-110</t>
        </is>
      </c>
      <c r="F120" s="3" t="inlineStr">
        <is>
          <t>CC-320</t>
        </is>
      </c>
      <c r="G120" s="3" t="inlineStr">
        <is>
          <t>PU-OP</t>
        </is>
      </c>
      <c r="H120" s="3" t="inlineStr">
        <is>
          <t>ACT-03</t>
        </is>
      </c>
      <c r="I120" s="3" t="inlineStr">
        <is>
          <t>TIPO-C2</t>
        </is>
      </c>
      <c r="J120" s="11" t="n">
        <v>46224</v>
      </c>
      <c r="K120" s="3" t="n">
        <v>9</v>
      </c>
      <c r="L120" s="10" t="n">
        <v>360</v>
      </c>
      <c r="M120" s="6" t="n"/>
      <c r="N1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0" s="3">
        <f>IF(tblOrdenes[[#This Row],[fecha_inicio]]="","",YEAR(tblOrdenes[[#This Row],[fecha_inicio]]))</f>
        <v/>
      </c>
      <c r="R120" s="3">
        <f>IF(tblOrdenes[[#This Row],[fecha_inicio]]="","",MONTH(tblOrdenes[[#This Row],[fecha_inicio]]))</f>
        <v/>
      </c>
      <c r="S120" s="3">
        <f>IF(tblOrdenes[[#This Row],[fecha_inicio]]="","",INDEX(lista_dias,WEEKDAY(tblOrdenes[[#This Row],[fecha_inicio]],2)))</f>
        <v/>
      </c>
      <c r="T120" s="3">
        <f>IF(tblOrdenes[[#This Row],[tipo_ot]]="","",_xlfn.XLOOKUP(tblOrdenes[[#This Row],[tipo_ot]],tblTiposOT[codigo],tblTiposOT[clasificacion],"sin_clasificar"))</f>
        <v/>
      </c>
      <c r="U120" s="3">
        <f>IF(tblOrdenes[[#This Row],[centro_costo]]="","",_xlfn.XLOOKUP(tblOrdenes[[#This Row],[centro_costo]],tblCECO[codigo],tblCECO[linea],"(sin catálogo)"))</f>
        <v/>
      </c>
      <c r="V120" s="3">
        <f>IF(tblOrdenes[[#This Row],[centro_costo]]="","",_xlfn.XLOOKUP(tblOrdenes[[#This Row],[centro_costo]],tblCECO[codigo],tblCECO[area],"(sin catálogo)"))</f>
        <v/>
      </c>
      <c r="W120" s="3">
        <f>IF(tblOrdenes[[#This Row],[centro_costo]]="","",_xlfn.XLOOKUP(tblOrdenes[[#This Row],[centro_costo]],tblCECO[codigo],tblCECO[coordinador],"(sin catálogo)"))</f>
        <v/>
      </c>
      <c r="X120" s="3">
        <f>IF(tblOrdenes[[#This Row],[puesto_trabajo]]="","",_xlfn.XLOOKUP(tblOrdenes[[#This Row],[puesto_trabajo]],tblPuestos[codigo],tblPuestos[especialidad],"(sin catálogo)"))</f>
        <v/>
      </c>
      <c r="Y120" s="3">
        <f>IF(tblOrdenes[[#This Row],[cod_actividad]]="","",_xlfn.XLOOKUP(tblOrdenes[[#This Row],[cod_actividad]],tblActividades[codigo],tblActividades[descripcion],"(sin catálogo)"))</f>
        <v/>
      </c>
      <c r="Z120" s="12">
        <f>IF(tblOrdenes[[#This Row],[fecha_inicio]]="","",TODAY()-tblOrdenes[[#This Row],[fecha_inicio]])</f>
        <v/>
      </c>
      <c r="AA120" s="3">
        <f>IF(tblOrdenes[[#This Row],[backlog_dias]]="","",IF(tblOrdenes[[#This Row],[backlog_dias]]&lt;0,"FUTURO",IF(tblOrdenes[[#This Row],[backlog_dias]]&gt;p_dias_backlog_max,"BACKLOG","MES CORRIENTE")))</f>
        <v/>
      </c>
      <c r="AB120" s="3">
        <f>IF(tblOrdenes[[#This Row],[backlog_dias]]="",FALSE,AND(tblOrdenes[[#This Row],[backlog_dias]]&gt;p_dias_backlog_min,tblOrdenes[[#This Row],[backlog_dias]]&lt;=p_dias_backlog_max))</f>
        <v/>
      </c>
      <c r="AC120" s="6" t="inlineStr">
        <is>
          <t>Técnico 12</t>
        </is>
      </c>
      <c r="AD1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0" s="10">
        <f>IF(tblOrdenes[[#This Row],[orden]]="","",_xlfn.XLOOKUP(tblOrdenes[[#This Row],[id_operacion]],tblEjecucion[id_operacion],tblEjecucion[precio],0))</f>
        <v/>
      </c>
      <c r="AH120" s="10">
        <f>IF(tblOrdenes[[#This Row],[orden]]="","",MAX(0,_xlfn.XLOOKUP(tblOrdenes[[#This Row],[id_operacion]],tblEjecucion[id_operacion],tblEjecucion[costo_plan_total],0)-tblOrdenes[[#This Row],[costo_servicio]]))</f>
        <v/>
      </c>
      <c r="AI120" s="10">
        <f>IF(tblOrdenes[[#This Row],[orden]]="","",tblOrdenes[[#This Row],[costo_servicio]]+tblOrdenes[[#This Row],[costo_materiales]])</f>
        <v/>
      </c>
      <c r="AJ120" s="6" t="inlineStr"/>
      <c r="AK120" s="6" t="inlineStr"/>
      <c r="AL120" s="6" t="inlineStr"/>
      <c r="AM120" s="3">
        <f>IF(tblOrdenes[[#This Row],[link_checklist]]="","",HYPERLINK(p_ruta_base_checklists&amp;tblOrdenes[[#This Row],[link_checklist]],"abrir"))</f>
        <v/>
      </c>
      <c r="AN120" s="6" t="inlineStr"/>
      <c r="AO120" s="3">
        <f>IF(tblOrdenes[[#This Row],[orden]]="","",tblOrdenes[[#This Row],[orden]]&amp;IF(tblOrdenes[[#This Row],[operacion]]="","0010",tblOrdenes[[#This Row],[operacion]]))</f>
        <v/>
      </c>
    </row>
    <row r="121">
      <c r="A121" s="3" t="inlineStr">
        <is>
          <t>OT-000118</t>
        </is>
      </c>
      <c r="B121" s="3" t="inlineStr">
        <is>
          <t>0010</t>
        </is>
      </c>
      <c r="C121" s="3" t="inlineStr">
        <is>
          <t>Lubricación programada — EQ-104</t>
        </is>
      </c>
      <c r="D121" s="3" t="inlineStr">
        <is>
          <t>Lubricación programada en EQ-104</t>
        </is>
      </c>
      <c r="E121" s="3" t="inlineStr">
        <is>
          <t>EQ-104</t>
        </is>
      </c>
      <c r="F121" s="3" t="inlineStr">
        <is>
          <t>CC-120</t>
        </is>
      </c>
      <c r="G121" s="3" t="inlineStr">
        <is>
          <t>PU-OP</t>
        </is>
      </c>
      <c r="H121" s="3" t="inlineStr">
        <is>
          <t>ACT-02</t>
        </is>
      </c>
      <c r="I121" s="3" t="inlineStr">
        <is>
          <t>TIPO-P1</t>
        </is>
      </c>
      <c r="J121" s="11" t="n">
        <v>46232</v>
      </c>
      <c r="K121" s="3" t="n">
        <v>10</v>
      </c>
      <c r="L121" s="10" t="n">
        <v>250</v>
      </c>
      <c r="M121" s="6" t="n"/>
      <c r="N1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1" s="3">
        <f>IF(tblOrdenes[[#This Row],[fecha_inicio]]="","",YEAR(tblOrdenes[[#This Row],[fecha_inicio]]))</f>
        <v/>
      </c>
      <c r="R121" s="3">
        <f>IF(tblOrdenes[[#This Row],[fecha_inicio]]="","",MONTH(tblOrdenes[[#This Row],[fecha_inicio]]))</f>
        <v/>
      </c>
      <c r="S121" s="3">
        <f>IF(tblOrdenes[[#This Row],[fecha_inicio]]="","",INDEX(lista_dias,WEEKDAY(tblOrdenes[[#This Row],[fecha_inicio]],2)))</f>
        <v/>
      </c>
      <c r="T121" s="3">
        <f>IF(tblOrdenes[[#This Row],[tipo_ot]]="","",_xlfn.XLOOKUP(tblOrdenes[[#This Row],[tipo_ot]],tblTiposOT[codigo],tblTiposOT[clasificacion],"sin_clasificar"))</f>
        <v/>
      </c>
      <c r="U121" s="3">
        <f>IF(tblOrdenes[[#This Row],[centro_costo]]="","",_xlfn.XLOOKUP(tblOrdenes[[#This Row],[centro_costo]],tblCECO[codigo],tblCECO[linea],"(sin catálogo)"))</f>
        <v/>
      </c>
      <c r="V121" s="3">
        <f>IF(tblOrdenes[[#This Row],[centro_costo]]="","",_xlfn.XLOOKUP(tblOrdenes[[#This Row],[centro_costo]],tblCECO[codigo],tblCECO[area],"(sin catálogo)"))</f>
        <v/>
      </c>
      <c r="W121" s="3">
        <f>IF(tblOrdenes[[#This Row],[centro_costo]]="","",_xlfn.XLOOKUP(tblOrdenes[[#This Row],[centro_costo]],tblCECO[codigo],tblCECO[coordinador],"(sin catálogo)"))</f>
        <v/>
      </c>
      <c r="X121" s="3">
        <f>IF(tblOrdenes[[#This Row],[puesto_trabajo]]="","",_xlfn.XLOOKUP(tblOrdenes[[#This Row],[puesto_trabajo]],tblPuestos[codigo],tblPuestos[especialidad],"(sin catálogo)"))</f>
        <v/>
      </c>
      <c r="Y121" s="3">
        <f>IF(tblOrdenes[[#This Row],[cod_actividad]]="","",_xlfn.XLOOKUP(tblOrdenes[[#This Row],[cod_actividad]],tblActividades[codigo],tblActividades[descripcion],"(sin catálogo)"))</f>
        <v/>
      </c>
      <c r="Z121" s="12">
        <f>IF(tblOrdenes[[#This Row],[fecha_inicio]]="","",TODAY()-tblOrdenes[[#This Row],[fecha_inicio]])</f>
        <v/>
      </c>
      <c r="AA121" s="3">
        <f>IF(tblOrdenes[[#This Row],[backlog_dias]]="","",IF(tblOrdenes[[#This Row],[backlog_dias]]&lt;0,"FUTURO",IF(tblOrdenes[[#This Row],[backlog_dias]]&gt;p_dias_backlog_max,"BACKLOG","MES CORRIENTE")))</f>
        <v/>
      </c>
      <c r="AB121" s="3">
        <f>IF(tblOrdenes[[#This Row],[backlog_dias]]="",FALSE,AND(tblOrdenes[[#This Row],[backlog_dias]]&gt;p_dias_backlog_min,tblOrdenes[[#This Row],[backlog_dias]]&lt;=p_dias_backlog_max))</f>
        <v/>
      </c>
      <c r="AC121" s="6" t="inlineStr">
        <is>
          <t>Técnico 10</t>
        </is>
      </c>
      <c r="AD1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1" s="10">
        <f>IF(tblOrdenes[[#This Row],[orden]]="","",_xlfn.XLOOKUP(tblOrdenes[[#This Row],[id_operacion]],tblEjecucion[id_operacion],tblEjecucion[precio],0))</f>
        <v/>
      </c>
      <c r="AH121" s="10">
        <f>IF(tblOrdenes[[#This Row],[orden]]="","",MAX(0,_xlfn.XLOOKUP(tblOrdenes[[#This Row],[id_operacion]],tblEjecucion[id_operacion],tblEjecucion[costo_plan_total],0)-tblOrdenes[[#This Row],[costo_servicio]]))</f>
        <v/>
      </c>
      <c r="AI121" s="10">
        <f>IF(tblOrdenes[[#This Row],[orden]]="","",tblOrdenes[[#This Row],[costo_servicio]]+tblOrdenes[[#This Row],[costo_materiales]])</f>
        <v/>
      </c>
      <c r="AJ121" s="6" t="inlineStr"/>
      <c r="AK121" s="6" t="inlineStr"/>
      <c r="AL121" s="6" t="inlineStr">
        <is>
          <t>ACT-02.pdf</t>
        </is>
      </c>
      <c r="AM121" s="3">
        <f>IF(tblOrdenes[[#This Row],[link_checklist]]="","",HYPERLINK(p_ruta_base_checklists&amp;tblOrdenes[[#This Row],[link_checklist]],"abrir"))</f>
        <v/>
      </c>
      <c r="AN121" s="6" t="inlineStr"/>
      <c r="AO121" s="3">
        <f>IF(tblOrdenes[[#This Row],[orden]]="","",tblOrdenes[[#This Row],[orden]]&amp;IF(tblOrdenes[[#This Row],[operacion]]="","0010",tblOrdenes[[#This Row],[operacion]]))</f>
        <v/>
      </c>
    </row>
    <row r="122">
      <c r="A122" s="3" t="inlineStr">
        <is>
          <t>OT-000119</t>
        </is>
      </c>
      <c r="B122" s="3" t="inlineStr">
        <is>
          <t>0010</t>
        </is>
      </c>
      <c r="C122" s="3" t="inlineStr">
        <is>
          <t>Análisis predictivo — EQ-109</t>
        </is>
      </c>
      <c r="D122" s="3" t="inlineStr">
        <is>
          <t>Análisis predictivo en EQ-109</t>
        </is>
      </c>
      <c r="E122" s="3" t="inlineStr">
        <is>
          <t>EQ-109</t>
        </is>
      </c>
      <c r="F122" s="3" t="inlineStr">
        <is>
          <t>CC-210</t>
        </is>
      </c>
      <c r="G122" s="3" t="inlineStr">
        <is>
          <t>PU-OP</t>
        </is>
      </c>
      <c r="H122" s="3" t="inlineStr">
        <is>
          <t>ACT-04</t>
        </is>
      </c>
      <c r="I122" s="3" t="inlineStr">
        <is>
          <t>TIPO-P2</t>
        </is>
      </c>
      <c r="J122" s="11" t="n">
        <v>46233</v>
      </c>
      <c r="K122" s="3" t="n">
        <v>8</v>
      </c>
      <c r="L122" s="10" t="n">
        <v>200</v>
      </c>
      <c r="M122" s="6" t="n"/>
      <c r="N1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2" s="3">
        <f>IF(tblOrdenes[[#This Row],[fecha_inicio]]="","",YEAR(tblOrdenes[[#This Row],[fecha_inicio]]))</f>
        <v/>
      </c>
      <c r="R122" s="3">
        <f>IF(tblOrdenes[[#This Row],[fecha_inicio]]="","",MONTH(tblOrdenes[[#This Row],[fecha_inicio]]))</f>
        <v/>
      </c>
      <c r="S122" s="3">
        <f>IF(tblOrdenes[[#This Row],[fecha_inicio]]="","",INDEX(lista_dias,WEEKDAY(tblOrdenes[[#This Row],[fecha_inicio]],2)))</f>
        <v/>
      </c>
      <c r="T122" s="3">
        <f>IF(tblOrdenes[[#This Row],[tipo_ot]]="","",_xlfn.XLOOKUP(tblOrdenes[[#This Row],[tipo_ot]],tblTiposOT[codigo],tblTiposOT[clasificacion],"sin_clasificar"))</f>
        <v/>
      </c>
      <c r="U122" s="3">
        <f>IF(tblOrdenes[[#This Row],[centro_costo]]="","",_xlfn.XLOOKUP(tblOrdenes[[#This Row],[centro_costo]],tblCECO[codigo],tblCECO[linea],"(sin catálogo)"))</f>
        <v/>
      </c>
      <c r="V122" s="3">
        <f>IF(tblOrdenes[[#This Row],[centro_costo]]="","",_xlfn.XLOOKUP(tblOrdenes[[#This Row],[centro_costo]],tblCECO[codigo],tblCECO[area],"(sin catálogo)"))</f>
        <v/>
      </c>
      <c r="W122" s="3">
        <f>IF(tblOrdenes[[#This Row],[centro_costo]]="","",_xlfn.XLOOKUP(tblOrdenes[[#This Row],[centro_costo]],tblCECO[codigo],tblCECO[coordinador],"(sin catálogo)"))</f>
        <v/>
      </c>
      <c r="X122" s="3">
        <f>IF(tblOrdenes[[#This Row],[puesto_trabajo]]="","",_xlfn.XLOOKUP(tblOrdenes[[#This Row],[puesto_trabajo]],tblPuestos[codigo],tblPuestos[especialidad],"(sin catálogo)"))</f>
        <v/>
      </c>
      <c r="Y122" s="3">
        <f>IF(tblOrdenes[[#This Row],[cod_actividad]]="","",_xlfn.XLOOKUP(tblOrdenes[[#This Row],[cod_actividad]],tblActividades[codigo],tblActividades[descripcion],"(sin catálogo)"))</f>
        <v/>
      </c>
      <c r="Z122" s="12">
        <f>IF(tblOrdenes[[#This Row],[fecha_inicio]]="","",TODAY()-tblOrdenes[[#This Row],[fecha_inicio]])</f>
        <v/>
      </c>
      <c r="AA122" s="3">
        <f>IF(tblOrdenes[[#This Row],[backlog_dias]]="","",IF(tblOrdenes[[#This Row],[backlog_dias]]&lt;0,"FUTURO",IF(tblOrdenes[[#This Row],[backlog_dias]]&gt;p_dias_backlog_max,"BACKLOG","MES CORRIENTE")))</f>
        <v/>
      </c>
      <c r="AB122" s="3">
        <f>IF(tblOrdenes[[#This Row],[backlog_dias]]="",FALSE,AND(tblOrdenes[[#This Row],[backlog_dias]]&gt;p_dias_backlog_min,tblOrdenes[[#This Row],[backlog_dias]]&lt;=p_dias_backlog_max))</f>
        <v/>
      </c>
      <c r="AC122" s="6" t="inlineStr">
        <is>
          <t>Técnico 11</t>
        </is>
      </c>
      <c r="AD1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2" s="10">
        <f>IF(tblOrdenes[[#This Row],[orden]]="","",_xlfn.XLOOKUP(tblOrdenes[[#This Row],[id_operacion]],tblEjecucion[id_operacion],tblEjecucion[precio],0))</f>
        <v/>
      </c>
      <c r="AH122" s="10">
        <f>IF(tblOrdenes[[#This Row],[orden]]="","",MAX(0,_xlfn.XLOOKUP(tblOrdenes[[#This Row],[id_operacion]],tblEjecucion[id_operacion],tblEjecucion[costo_plan_total],0)-tblOrdenes[[#This Row],[costo_servicio]]))</f>
        <v/>
      </c>
      <c r="AI122" s="10">
        <f>IF(tblOrdenes[[#This Row],[orden]]="","",tblOrdenes[[#This Row],[costo_servicio]]+tblOrdenes[[#This Row],[costo_materiales]])</f>
        <v/>
      </c>
      <c r="AJ122" s="6" t="inlineStr"/>
      <c r="AK122" s="6" t="inlineStr"/>
      <c r="AL122" s="6" t="inlineStr">
        <is>
          <t>ACT-04.pdf</t>
        </is>
      </c>
      <c r="AM122" s="3">
        <f>IF(tblOrdenes[[#This Row],[link_checklist]]="","",HYPERLINK(p_ruta_base_checklists&amp;tblOrdenes[[#This Row],[link_checklist]],"abrir"))</f>
        <v/>
      </c>
      <c r="AN122" s="6" t="inlineStr"/>
      <c r="AO122" s="3">
        <f>IF(tblOrdenes[[#This Row],[orden]]="","",tblOrdenes[[#This Row],[orden]]&amp;IF(tblOrdenes[[#This Row],[operacion]]="","0010",tblOrdenes[[#This Row],[operacion]]))</f>
        <v/>
      </c>
    </row>
    <row r="123">
      <c r="A123" s="3" t="inlineStr">
        <is>
          <t>OT-000120</t>
        </is>
      </c>
      <c r="B123" s="3" t="inlineStr">
        <is>
          <t>0010</t>
        </is>
      </c>
      <c r="C123" s="3" t="inlineStr">
        <is>
          <t>Inspección de rutina — EQ-110</t>
        </is>
      </c>
      <c r="D123" s="3" t="inlineStr">
        <is>
          <t>Inspección de rutina en EQ-110</t>
        </is>
      </c>
      <c r="E123" s="3" t="inlineStr">
        <is>
          <t>EQ-110</t>
        </is>
      </c>
      <c r="F123" s="3" t="inlineStr">
        <is>
          <t>CC-320</t>
        </is>
      </c>
      <c r="G123" s="3" t="inlineStr">
        <is>
          <t>PU-OP</t>
        </is>
      </c>
      <c r="H123" s="3" t="inlineStr">
        <is>
          <t>ACT-01</t>
        </is>
      </c>
      <c r="I123" s="3" t="inlineStr">
        <is>
          <t>TIPO-P1</t>
        </is>
      </c>
      <c r="J123" s="11" t="n">
        <v>46234</v>
      </c>
      <c r="K123" s="3" t="n">
        <v>10</v>
      </c>
      <c r="L123" s="10" t="n">
        <v>250</v>
      </c>
      <c r="M123" s="6" t="n"/>
      <c r="N1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3" s="3">
        <f>IF(tblOrdenes[[#This Row],[fecha_inicio]]="","",YEAR(tblOrdenes[[#This Row],[fecha_inicio]]))</f>
        <v/>
      </c>
      <c r="R123" s="3">
        <f>IF(tblOrdenes[[#This Row],[fecha_inicio]]="","",MONTH(tblOrdenes[[#This Row],[fecha_inicio]]))</f>
        <v/>
      </c>
      <c r="S123" s="3">
        <f>IF(tblOrdenes[[#This Row],[fecha_inicio]]="","",INDEX(lista_dias,WEEKDAY(tblOrdenes[[#This Row],[fecha_inicio]],2)))</f>
        <v/>
      </c>
      <c r="T123" s="3">
        <f>IF(tblOrdenes[[#This Row],[tipo_ot]]="","",_xlfn.XLOOKUP(tblOrdenes[[#This Row],[tipo_ot]],tblTiposOT[codigo],tblTiposOT[clasificacion],"sin_clasificar"))</f>
        <v/>
      </c>
      <c r="U123" s="3">
        <f>IF(tblOrdenes[[#This Row],[centro_costo]]="","",_xlfn.XLOOKUP(tblOrdenes[[#This Row],[centro_costo]],tblCECO[codigo],tblCECO[linea],"(sin catálogo)"))</f>
        <v/>
      </c>
      <c r="V123" s="3">
        <f>IF(tblOrdenes[[#This Row],[centro_costo]]="","",_xlfn.XLOOKUP(tblOrdenes[[#This Row],[centro_costo]],tblCECO[codigo],tblCECO[area],"(sin catálogo)"))</f>
        <v/>
      </c>
      <c r="W123" s="3">
        <f>IF(tblOrdenes[[#This Row],[centro_costo]]="","",_xlfn.XLOOKUP(tblOrdenes[[#This Row],[centro_costo]],tblCECO[codigo],tblCECO[coordinador],"(sin catálogo)"))</f>
        <v/>
      </c>
      <c r="X123" s="3">
        <f>IF(tblOrdenes[[#This Row],[puesto_trabajo]]="","",_xlfn.XLOOKUP(tblOrdenes[[#This Row],[puesto_trabajo]],tblPuestos[codigo],tblPuestos[especialidad],"(sin catálogo)"))</f>
        <v/>
      </c>
      <c r="Y123" s="3">
        <f>IF(tblOrdenes[[#This Row],[cod_actividad]]="","",_xlfn.XLOOKUP(tblOrdenes[[#This Row],[cod_actividad]],tblActividades[codigo],tblActividades[descripcion],"(sin catálogo)"))</f>
        <v/>
      </c>
      <c r="Z123" s="12">
        <f>IF(tblOrdenes[[#This Row],[fecha_inicio]]="","",TODAY()-tblOrdenes[[#This Row],[fecha_inicio]])</f>
        <v/>
      </c>
      <c r="AA123" s="3">
        <f>IF(tblOrdenes[[#This Row],[backlog_dias]]="","",IF(tblOrdenes[[#This Row],[backlog_dias]]&lt;0,"FUTURO",IF(tblOrdenes[[#This Row],[backlog_dias]]&gt;p_dias_backlog_max,"BACKLOG","MES CORRIENTE")))</f>
        <v/>
      </c>
      <c r="AB123" s="3">
        <f>IF(tblOrdenes[[#This Row],[backlog_dias]]="",FALSE,AND(tblOrdenes[[#This Row],[backlog_dias]]&gt;p_dias_backlog_min,tblOrdenes[[#This Row],[backlog_dias]]&lt;=p_dias_backlog_max))</f>
        <v/>
      </c>
      <c r="AC123" s="6" t="inlineStr"/>
      <c r="AD1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3" s="10">
        <f>IF(tblOrdenes[[#This Row],[orden]]="","",_xlfn.XLOOKUP(tblOrdenes[[#This Row],[id_operacion]],tblEjecucion[id_operacion],tblEjecucion[precio],0))</f>
        <v/>
      </c>
      <c r="AH123" s="10">
        <f>IF(tblOrdenes[[#This Row],[orden]]="","",MAX(0,_xlfn.XLOOKUP(tblOrdenes[[#This Row],[id_operacion]],tblEjecucion[id_operacion],tblEjecucion[costo_plan_total],0)-tblOrdenes[[#This Row],[costo_servicio]]))</f>
        <v/>
      </c>
      <c r="AI123" s="10">
        <f>IF(tblOrdenes[[#This Row],[orden]]="","",tblOrdenes[[#This Row],[costo_servicio]]+tblOrdenes[[#This Row],[costo_materiales]])</f>
        <v/>
      </c>
      <c r="AJ123" s="6" t="inlineStr"/>
      <c r="AK123" s="6" t="inlineStr"/>
      <c r="AL123" s="6" t="inlineStr">
        <is>
          <t>ACT-01.pdf</t>
        </is>
      </c>
      <c r="AM123" s="3">
        <f>IF(tblOrdenes[[#This Row],[link_checklist]]="","",HYPERLINK(p_ruta_base_checklists&amp;tblOrdenes[[#This Row],[link_checklist]],"abrir"))</f>
        <v/>
      </c>
      <c r="AN123" s="6" t="inlineStr"/>
      <c r="AO123" s="3">
        <f>IF(tblOrdenes[[#This Row],[orden]]="","",tblOrdenes[[#This Row],[orden]]&amp;IF(tblOrdenes[[#This Row],[operacion]]="","0010",tblOrdenes[[#This Row],[operacion]]))</f>
        <v/>
      </c>
    </row>
    <row r="124">
      <c r="A124" s="3" t="inlineStr">
        <is>
          <t>OT-000121</t>
        </is>
      </c>
      <c r="B124" s="3" t="inlineStr">
        <is>
          <t>0010</t>
        </is>
      </c>
      <c r="C124" s="3" t="inlineStr">
        <is>
          <t>Reparación de falla — EQ-102</t>
        </is>
      </c>
      <c r="D124" s="3" t="inlineStr">
        <is>
          <t>Reparación de falla en EQ-102</t>
        </is>
      </c>
      <c r="E124" s="3" t="inlineStr">
        <is>
          <t>EQ-102</t>
        </is>
      </c>
      <c r="F124" s="3" t="inlineStr">
        <is>
          <t>CC-120</t>
        </is>
      </c>
      <c r="G124" s="3" t="inlineStr">
        <is>
          <t>PU-OP</t>
        </is>
      </c>
      <c r="H124" s="3" t="inlineStr">
        <is>
          <t>ACT-03</t>
        </is>
      </c>
      <c r="I124" s="3" t="inlineStr">
        <is>
          <t>TIPO-C2</t>
        </is>
      </c>
      <c r="J124" s="11" t="n">
        <v>46230</v>
      </c>
      <c r="K124" s="3" t="n">
        <v>7</v>
      </c>
      <c r="L124" s="10" t="n">
        <v>280</v>
      </c>
      <c r="M124" s="6" t="n"/>
      <c r="N1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4" s="3">
        <f>IF(tblOrdenes[[#This Row],[fecha_inicio]]="","",YEAR(tblOrdenes[[#This Row],[fecha_inicio]]))</f>
        <v/>
      </c>
      <c r="R124" s="3">
        <f>IF(tblOrdenes[[#This Row],[fecha_inicio]]="","",MONTH(tblOrdenes[[#This Row],[fecha_inicio]]))</f>
        <v/>
      </c>
      <c r="S124" s="3">
        <f>IF(tblOrdenes[[#This Row],[fecha_inicio]]="","",INDEX(lista_dias,WEEKDAY(tblOrdenes[[#This Row],[fecha_inicio]],2)))</f>
        <v/>
      </c>
      <c r="T124" s="3">
        <f>IF(tblOrdenes[[#This Row],[tipo_ot]]="","",_xlfn.XLOOKUP(tblOrdenes[[#This Row],[tipo_ot]],tblTiposOT[codigo],tblTiposOT[clasificacion],"sin_clasificar"))</f>
        <v/>
      </c>
      <c r="U124" s="3">
        <f>IF(tblOrdenes[[#This Row],[centro_costo]]="","",_xlfn.XLOOKUP(tblOrdenes[[#This Row],[centro_costo]],tblCECO[codigo],tblCECO[linea],"(sin catálogo)"))</f>
        <v/>
      </c>
      <c r="V124" s="3">
        <f>IF(tblOrdenes[[#This Row],[centro_costo]]="","",_xlfn.XLOOKUP(tblOrdenes[[#This Row],[centro_costo]],tblCECO[codigo],tblCECO[area],"(sin catálogo)"))</f>
        <v/>
      </c>
      <c r="W124" s="3">
        <f>IF(tblOrdenes[[#This Row],[centro_costo]]="","",_xlfn.XLOOKUP(tblOrdenes[[#This Row],[centro_costo]],tblCECO[codigo],tblCECO[coordinador],"(sin catálogo)"))</f>
        <v/>
      </c>
      <c r="X124" s="3">
        <f>IF(tblOrdenes[[#This Row],[puesto_trabajo]]="","",_xlfn.XLOOKUP(tblOrdenes[[#This Row],[puesto_trabajo]],tblPuestos[codigo],tblPuestos[especialidad],"(sin catálogo)"))</f>
        <v/>
      </c>
      <c r="Y124" s="3">
        <f>IF(tblOrdenes[[#This Row],[cod_actividad]]="","",_xlfn.XLOOKUP(tblOrdenes[[#This Row],[cod_actividad]],tblActividades[codigo],tblActividades[descripcion],"(sin catálogo)"))</f>
        <v/>
      </c>
      <c r="Z124" s="12">
        <f>IF(tblOrdenes[[#This Row],[fecha_inicio]]="","",TODAY()-tblOrdenes[[#This Row],[fecha_inicio]])</f>
        <v/>
      </c>
      <c r="AA124" s="3">
        <f>IF(tblOrdenes[[#This Row],[backlog_dias]]="","",IF(tblOrdenes[[#This Row],[backlog_dias]]&lt;0,"FUTURO",IF(tblOrdenes[[#This Row],[backlog_dias]]&gt;p_dias_backlog_max,"BACKLOG","MES CORRIENTE")))</f>
        <v/>
      </c>
      <c r="AB124" s="3">
        <f>IF(tblOrdenes[[#This Row],[backlog_dias]]="",FALSE,AND(tblOrdenes[[#This Row],[backlog_dias]]&gt;p_dias_backlog_min,tblOrdenes[[#This Row],[backlog_dias]]&lt;=p_dias_backlog_max))</f>
        <v/>
      </c>
      <c r="AC124" s="6" t="inlineStr">
        <is>
          <t>Técnico 10</t>
        </is>
      </c>
      <c r="AD1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4" s="10">
        <f>IF(tblOrdenes[[#This Row],[orden]]="","",_xlfn.XLOOKUP(tblOrdenes[[#This Row],[id_operacion]],tblEjecucion[id_operacion],tblEjecucion[precio],0))</f>
        <v/>
      </c>
      <c r="AH124" s="10">
        <f>IF(tblOrdenes[[#This Row],[orden]]="","",MAX(0,_xlfn.XLOOKUP(tblOrdenes[[#This Row],[id_operacion]],tblEjecucion[id_operacion],tblEjecucion[costo_plan_total],0)-tblOrdenes[[#This Row],[costo_servicio]]))</f>
        <v/>
      </c>
      <c r="AI124" s="10">
        <f>IF(tblOrdenes[[#This Row],[orden]]="","",tblOrdenes[[#This Row],[costo_servicio]]+tblOrdenes[[#This Row],[costo_materiales]])</f>
        <v/>
      </c>
      <c r="AJ124" s="6" t="inlineStr"/>
      <c r="AK124" s="6" t="inlineStr"/>
      <c r="AL124" s="6" t="inlineStr"/>
      <c r="AM124" s="3">
        <f>IF(tblOrdenes[[#This Row],[link_checklist]]="","",HYPERLINK(p_ruta_base_checklists&amp;tblOrdenes[[#This Row],[link_checklist]],"abrir"))</f>
        <v/>
      </c>
      <c r="AN124" s="6" t="inlineStr"/>
      <c r="AO124" s="3">
        <f>IF(tblOrdenes[[#This Row],[orden]]="","",tblOrdenes[[#This Row],[orden]]&amp;IF(tblOrdenes[[#This Row],[operacion]]="","0010",tblOrdenes[[#This Row],[operacion]]))</f>
        <v/>
      </c>
    </row>
    <row r="125">
      <c r="A125" s="3" t="inlineStr">
        <is>
          <t>OT-000122</t>
        </is>
      </c>
      <c r="B125" s="3" t="inlineStr">
        <is>
          <t>0010</t>
        </is>
      </c>
      <c r="C125" s="3" t="inlineStr">
        <is>
          <t>Análisis predictivo — EQ-108</t>
        </is>
      </c>
      <c r="D125" s="3" t="inlineStr">
        <is>
          <t>Análisis predictivo en EQ-108</t>
        </is>
      </c>
      <c r="E125" s="3" t="inlineStr">
        <is>
          <t>EQ-108</t>
        </is>
      </c>
      <c r="F125" s="3" t="inlineStr">
        <is>
          <t>CC-210</t>
        </is>
      </c>
      <c r="G125" s="3" t="inlineStr">
        <is>
          <t>PU-OP</t>
        </is>
      </c>
      <c r="H125" s="3" t="inlineStr">
        <is>
          <t>ACT-04</t>
        </is>
      </c>
      <c r="I125" s="3" t="inlineStr">
        <is>
          <t>TIPO-P1</t>
        </is>
      </c>
      <c r="J125" s="11" t="n">
        <v>46238</v>
      </c>
      <c r="K125" s="3" t="n">
        <v>10</v>
      </c>
      <c r="L125" s="10" t="n">
        <v>250</v>
      </c>
      <c r="M125" s="6" t="n"/>
      <c r="N1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5" s="3">
        <f>IF(tblOrdenes[[#This Row],[fecha_inicio]]="","",YEAR(tblOrdenes[[#This Row],[fecha_inicio]]))</f>
        <v/>
      </c>
      <c r="R125" s="3">
        <f>IF(tblOrdenes[[#This Row],[fecha_inicio]]="","",MONTH(tblOrdenes[[#This Row],[fecha_inicio]]))</f>
        <v/>
      </c>
      <c r="S125" s="3">
        <f>IF(tblOrdenes[[#This Row],[fecha_inicio]]="","",INDEX(lista_dias,WEEKDAY(tblOrdenes[[#This Row],[fecha_inicio]],2)))</f>
        <v/>
      </c>
      <c r="T125" s="3">
        <f>IF(tblOrdenes[[#This Row],[tipo_ot]]="","",_xlfn.XLOOKUP(tblOrdenes[[#This Row],[tipo_ot]],tblTiposOT[codigo],tblTiposOT[clasificacion],"sin_clasificar"))</f>
        <v/>
      </c>
      <c r="U125" s="3">
        <f>IF(tblOrdenes[[#This Row],[centro_costo]]="","",_xlfn.XLOOKUP(tblOrdenes[[#This Row],[centro_costo]],tblCECO[codigo],tblCECO[linea],"(sin catálogo)"))</f>
        <v/>
      </c>
      <c r="V125" s="3">
        <f>IF(tblOrdenes[[#This Row],[centro_costo]]="","",_xlfn.XLOOKUP(tblOrdenes[[#This Row],[centro_costo]],tblCECO[codigo],tblCECO[area],"(sin catálogo)"))</f>
        <v/>
      </c>
      <c r="W125" s="3">
        <f>IF(tblOrdenes[[#This Row],[centro_costo]]="","",_xlfn.XLOOKUP(tblOrdenes[[#This Row],[centro_costo]],tblCECO[codigo],tblCECO[coordinador],"(sin catálogo)"))</f>
        <v/>
      </c>
      <c r="X125" s="3">
        <f>IF(tblOrdenes[[#This Row],[puesto_trabajo]]="","",_xlfn.XLOOKUP(tblOrdenes[[#This Row],[puesto_trabajo]],tblPuestos[codigo],tblPuestos[especialidad],"(sin catálogo)"))</f>
        <v/>
      </c>
      <c r="Y125" s="3">
        <f>IF(tblOrdenes[[#This Row],[cod_actividad]]="","",_xlfn.XLOOKUP(tblOrdenes[[#This Row],[cod_actividad]],tblActividades[codigo],tblActividades[descripcion],"(sin catálogo)"))</f>
        <v/>
      </c>
      <c r="Z125" s="12">
        <f>IF(tblOrdenes[[#This Row],[fecha_inicio]]="","",TODAY()-tblOrdenes[[#This Row],[fecha_inicio]])</f>
        <v/>
      </c>
      <c r="AA125" s="3">
        <f>IF(tblOrdenes[[#This Row],[backlog_dias]]="","",IF(tblOrdenes[[#This Row],[backlog_dias]]&lt;0,"FUTURO",IF(tblOrdenes[[#This Row],[backlog_dias]]&gt;p_dias_backlog_max,"BACKLOG","MES CORRIENTE")))</f>
        <v/>
      </c>
      <c r="AB125" s="3">
        <f>IF(tblOrdenes[[#This Row],[backlog_dias]]="",FALSE,AND(tblOrdenes[[#This Row],[backlog_dias]]&gt;p_dias_backlog_min,tblOrdenes[[#This Row],[backlog_dias]]&lt;=p_dias_backlog_max))</f>
        <v/>
      </c>
      <c r="AC125" s="6" t="inlineStr">
        <is>
          <t>Técnico 11</t>
        </is>
      </c>
      <c r="AD1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5" s="10">
        <f>IF(tblOrdenes[[#This Row],[orden]]="","",_xlfn.XLOOKUP(tblOrdenes[[#This Row],[id_operacion]],tblEjecucion[id_operacion],tblEjecucion[precio],0))</f>
        <v/>
      </c>
      <c r="AH125" s="10">
        <f>IF(tblOrdenes[[#This Row],[orden]]="","",MAX(0,_xlfn.XLOOKUP(tblOrdenes[[#This Row],[id_operacion]],tblEjecucion[id_operacion],tblEjecucion[costo_plan_total],0)-tblOrdenes[[#This Row],[costo_servicio]]))</f>
        <v/>
      </c>
      <c r="AI125" s="10">
        <f>IF(tblOrdenes[[#This Row],[orden]]="","",tblOrdenes[[#This Row],[costo_servicio]]+tblOrdenes[[#This Row],[costo_materiales]])</f>
        <v/>
      </c>
      <c r="AJ125" s="6" t="inlineStr"/>
      <c r="AK125" s="6" t="inlineStr"/>
      <c r="AL125" s="6" t="inlineStr">
        <is>
          <t>ACT-04.pdf</t>
        </is>
      </c>
      <c r="AM125" s="3">
        <f>IF(tblOrdenes[[#This Row],[link_checklist]]="","",HYPERLINK(p_ruta_base_checklists&amp;tblOrdenes[[#This Row],[link_checklist]],"abrir"))</f>
        <v/>
      </c>
      <c r="AN125" s="6" t="inlineStr"/>
      <c r="AO125" s="3">
        <f>IF(tblOrdenes[[#This Row],[orden]]="","",tblOrdenes[[#This Row],[orden]]&amp;IF(tblOrdenes[[#This Row],[operacion]]="","0010",tblOrdenes[[#This Row],[operacion]]))</f>
        <v/>
      </c>
    </row>
    <row r="126">
      <c r="A126" s="3" t="inlineStr">
        <is>
          <t>OT-000123</t>
        </is>
      </c>
      <c r="B126" s="3" t="inlineStr">
        <is>
          <t>0010</t>
        </is>
      </c>
      <c r="C126" s="3" t="inlineStr">
        <is>
          <t>Inspección de rutina — EQ-110</t>
        </is>
      </c>
      <c r="D126" s="3" t="inlineStr">
        <is>
          <t>Inspección de rutina en EQ-110</t>
        </is>
      </c>
      <c r="E126" s="3" t="inlineStr">
        <is>
          <t>EQ-110</t>
        </is>
      </c>
      <c r="F126" s="3" t="inlineStr">
        <is>
          <t>CC-320</t>
        </is>
      </c>
      <c r="G126" s="3" t="inlineStr">
        <is>
          <t>PU-OP</t>
        </is>
      </c>
      <c r="H126" s="3" t="inlineStr">
        <is>
          <t>ACT-01</t>
        </is>
      </c>
      <c r="I126" s="3" t="inlineStr">
        <is>
          <t>TIPO-P2</t>
        </is>
      </c>
      <c r="J126" s="11" t="n">
        <v>46239</v>
      </c>
      <c r="K126" s="3" t="n">
        <v>8</v>
      </c>
      <c r="L126" s="10" t="n">
        <v>200</v>
      </c>
      <c r="M126" s="6" t="n"/>
      <c r="N1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6" s="3">
        <f>IF(tblOrdenes[[#This Row],[fecha_inicio]]="","",YEAR(tblOrdenes[[#This Row],[fecha_inicio]]))</f>
        <v/>
      </c>
      <c r="R126" s="3">
        <f>IF(tblOrdenes[[#This Row],[fecha_inicio]]="","",MONTH(tblOrdenes[[#This Row],[fecha_inicio]]))</f>
        <v/>
      </c>
      <c r="S126" s="3">
        <f>IF(tblOrdenes[[#This Row],[fecha_inicio]]="","",INDEX(lista_dias,WEEKDAY(tblOrdenes[[#This Row],[fecha_inicio]],2)))</f>
        <v/>
      </c>
      <c r="T126" s="3">
        <f>IF(tblOrdenes[[#This Row],[tipo_ot]]="","",_xlfn.XLOOKUP(tblOrdenes[[#This Row],[tipo_ot]],tblTiposOT[codigo],tblTiposOT[clasificacion],"sin_clasificar"))</f>
        <v/>
      </c>
      <c r="U126" s="3">
        <f>IF(tblOrdenes[[#This Row],[centro_costo]]="","",_xlfn.XLOOKUP(tblOrdenes[[#This Row],[centro_costo]],tblCECO[codigo],tblCECO[linea],"(sin catálogo)"))</f>
        <v/>
      </c>
      <c r="V126" s="3">
        <f>IF(tblOrdenes[[#This Row],[centro_costo]]="","",_xlfn.XLOOKUP(tblOrdenes[[#This Row],[centro_costo]],tblCECO[codigo],tblCECO[area],"(sin catálogo)"))</f>
        <v/>
      </c>
      <c r="W126" s="3">
        <f>IF(tblOrdenes[[#This Row],[centro_costo]]="","",_xlfn.XLOOKUP(tblOrdenes[[#This Row],[centro_costo]],tblCECO[codigo],tblCECO[coordinador],"(sin catálogo)"))</f>
        <v/>
      </c>
      <c r="X126" s="3">
        <f>IF(tblOrdenes[[#This Row],[puesto_trabajo]]="","",_xlfn.XLOOKUP(tblOrdenes[[#This Row],[puesto_trabajo]],tblPuestos[codigo],tblPuestos[especialidad],"(sin catálogo)"))</f>
        <v/>
      </c>
      <c r="Y126" s="3">
        <f>IF(tblOrdenes[[#This Row],[cod_actividad]]="","",_xlfn.XLOOKUP(tblOrdenes[[#This Row],[cod_actividad]],tblActividades[codigo],tblActividades[descripcion],"(sin catálogo)"))</f>
        <v/>
      </c>
      <c r="Z126" s="12">
        <f>IF(tblOrdenes[[#This Row],[fecha_inicio]]="","",TODAY()-tblOrdenes[[#This Row],[fecha_inicio]])</f>
        <v/>
      </c>
      <c r="AA126" s="3">
        <f>IF(tblOrdenes[[#This Row],[backlog_dias]]="","",IF(tblOrdenes[[#This Row],[backlog_dias]]&lt;0,"FUTURO",IF(tblOrdenes[[#This Row],[backlog_dias]]&gt;p_dias_backlog_max,"BACKLOG","MES CORRIENTE")))</f>
        <v/>
      </c>
      <c r="AB126" s="3">
        <f>IF(tblOrdenes[[#This Row],[backlog_dias]]="",FALSE,AND(tblOrdenes[[#This Row],[backlog_dias]]&gt;p_dias_backlog_min,tblOrdenes[[#This Row],[backlog_dias]]&lt;=p_dias_backlog_max))</f>
        <v/>
      </c>
      <c r="AC126" s="6" t="inlineStr">
        <is>
          <t>Técnico 12</t>
        </is>
      </c>
      <c r="AD1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6" s="10">
        <f>IF(tblOrdenes[[#This Row],[orden]]="","",_xlfn.XLOOKUP(tblOrdenes[[#This Row],[id_operacion]],tblEjecucion[id_operacion],tblEjecucion[precio],0))</f>
        <v/>
      </c>
      <c r="AH126" s="10">
        <f>IF(tblOrdenes[[#This Row],[orden]]="","",MAX(0,_xlfn.XLOOKUP(tblOrdenes[[#This Row],[id_operacion]],tblEjecucion[id_operacion],tblEjecucion[costo_plan_total],0)-tblOrdenes[[#This Row],[costo_servicio]]))</f>
        <v/>
      </c>
      <c r="AI126" s="10">
        <f>IF(tblOrdenes[[#This Row],[orden]]="","",tblOrdenes[[#This Row],[costo_servicio]]+tblOrdenes[[#This Row],[costo_materiales]])</f>
        <v/>
      </c>
      <c r="AJ126" s="6" t="inlineStr"/>
      <c r="AK126" s="6" t="inlineStr"/>
      <c r="AL126" s="6" t="inlineStr">
        <is>
          <t>ACT-01.pdf</t>
        </is>
      </c>
      <c r="AM126" s="3">
        <f>IF(tblOrdenes[[#This Row],[link_checklist]]="","",HYPERLINK(p_ruta_base_checklists&amp;tblOrdenes[[#This Row],[link_checklist]],"abrir"))</f>
        <v/>
      </c>
      <c r="AN126" s="6" t="inlineStr"/>
      <c r="AO126" s="3">
        <f>IF(tblOrdenes[[#This Row],[orden]]="","",tblOrdenes[[#This Row],[orden]]&amp;IF(tblOrdenes[[#This Row],[operacion]]="","0010",tblOrdenes[[#This Row],[operacion]]))</f>
        <v/>
      </c>
    </row>
    <row r="127">
      <c r="A127" s="3" t="inlineStr">
        <is>
          <t>OT-000124</t>
        </is>
      </c>
      <c r="B127" s="3" t="inlineStr">
        <is>
          <t>0010</t>
        </is>
      </c>
      <c r="C127" s="3" t="inlineStr">
        <is>
          <t>Lubricación programada — EQ-105</t>
        </is>
      </c>
      <c r="D127" s="3" t="inlineStr">
        <is>
          <t>Lubricación programada en EQ-105</t>
        </is>
      </c>
      <c r="E127" s="3" t="inlineStr">
        <is>
          <t>EQ-105</t>
        </is>
      </c>
      <c r="F127" s="3" t="inlineStr">
        <is>
          <t>CC-120</t>
        </is>
      </c>
      <c r="G127" s="3" t="inlineStr">
        <is>
          <t>PU-OP</t>
        </is>
      </c>
      <c r="H127" s="3" t="inlineStr">
        <is>
          <t>ACT-02</t>
        </is>
      </c>
      <c r="I127" s="3" t="inlineStr">
        <is>
          <t>TIPO-P1</t>
        </is>
      </c>
      <c r="J127" s="11" t="n">
        <v>46240</v>
      </c>
      <c r="K127" s="3" t="n">
        <v>6</v>
      </c>
      <c r="L127" s="10" t="n">
        <v>150</v>
      </c>
      <c r="M127" s="6" t="n"/>
      <c r="N1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7" s="3">
        <f>IF(tblOrdenes[[#This Row],[fecha_inicio]]="","",YEAR(tblOrdenes[[#This Row],[fecha_inicio]]))</f>
        <v/>
      </c>
      <c r="R127" s="3">
        <f>IF(tblOrdenes[[#This Row],[fecha_inicio]]="","",MONTH(tblOrdenes[[#This Row],[fecha_inicio]]))</f>
        <v/>
      </c>
      <c r="S127" s="3">
        <f>IF(tblOrdenes[[#This Row],[fecha_inicio]]="","",INDEX(lista_dias,WEEKDAY(tblOrdenes[[#This Row],[fecha_inicio]],2)))</f>
        <v/>
      </c>
      <c r="T127" s="3">
        <f>IF(tblOrdenes[[#This Row],[tipo_ot]]="","",_xlfn.XLOOKUP(tblOrdenes[[#This Row],[tipo_ot]],tblTiposOT[codigo],tblTiposOT[clasificacion],"sin_clasificar"))</f>
        <v/>
      </c>
      <c r="U127" s="3">
        <f>IF(tblOrdenes[[#This Row],[centro_costo]]="","",_xlfn.XLOOKUP(tblOrdenes[[#This Row],[centro_costo]],tblCECO[codigo],tblCECO[linea],"(sin catálogo)"))</f>
        <v/>
      </c>
      <c r="V127" s="3">
        <f>IF(tblOrdenes[[#This Row],[centro_costo]]="","",_xlfn.XLOOKUP(tblOrdenes[[#This Row],[centro_costo]],tblCECO[codigo],tblCECO[area],"(sin catálogo)"))</f>
        <v/>
      </c>
      <c r="W127" s="3">
        <f>IF(tblOrdenes[[#This Row],[centro_costo]]="","",_xlfn.XLOOKUP(tblOrdenes[[#This Row],[centro_costo]],tblCECO[codigo],tblCECO[coordinador],"(sin catálogo)"))</f>
        <v/>
      </c>
      <c r="X127" s="3">
        <f>IF(tblOrdenes[[#This Row],[puesto_trabajo]]="","",_xlfn.XLOOKUP(tblOrdenes[[#This Row],[puesto_trabajo]],tblPuestos[codigo],tblPuestos[especialidad],"(sin catálogo)"))</f>
        <v/>
      </c>
      <c r="Y127" s="3">
        <f>IF(tblOrdenes[[#This Row],[cod_actividad]]="","",_xlfn.XLOOKUP(tblOrdenes[[#This Row],[cod_actividad]],tblActividades[codigo],tblActividades[descripcion],"(sin catálogo)"))</f>
        <v/>
      </c>
      <c r="Z127" s="12">
        <f>IF(tblOrdenes[[#This Row],[fecha_inicio]]="","",TODAY()-tblOrdenes[[#This Row],[fecha_inicio]])</f>
        <v/>
      </c>
      <c r="AA127" s="3">
        <f>IF(tblOrdenes[[#This Row],[backlog_dias]]="","",IF(tblOrdenes[[#This Row],[backlog_dias]]&lt;0,"FUTURO",IF(tblOrdenes[[#This Row],[backlog_dias]]&gt;p_dias_backlog_max,"BACKLOG","MES CORRIENTE")))</f>
        <v/>
      </c>
      <c r="AB127" s="3">
        <f>IF(tblOrdenes[[#This Row],[backlog_dias]]="",FALSE,AND(tblOrdenes[[#This Row],[backlog_dias]]&gt;p_dias_backlog_min,tblOrdenes[[#This Row],[backlog_dias]]&lt;=p_dias_backlog_max))</f>
        <v/>
      </c>
      <c r="AC127" s="6" t="inlineStr">
        <is>
          <t>Técnico 10</t>
        </is>
      </c>
      <c r="AD1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7" s="10">
        <f>IF(tblOrdenes[[#This Row],[orden]]="","",_xlfn.XLOOKUP(tblOrdenes[[#This Row],[id_operacion]],tblEjecucion[id_operacion],tblEjecucion[precio],0))</f>
        <v/>
      </c>
      <c r="AH127" s="10">
        <f>IF(tblOrdenes[[#This Row],[orden]]="","",MAX(0,_xlfn.XLOOKUP(tblOrdenes[[#This Row],[id_operacion]],tblEjecucion[id_operacion],tblEjecucion[costo_plan_total],0)-tblOrdenes[[#This Row],[costo_servicio]]))</f>
        <v/>
      </c>
      <c r="AI127" s="10">
        <f>IF(tblOrdenes[[#This Row],[orden]]="","",tblOrdenes[[#This Row],[costo_servicio]]+tblOrdenes[[#This Row],[costo_materiales]])</f>
        <v/>
      </c>
      <c r="AJ127" s="6" t="inlineStr"/>
      <c r="AK127" s="6" t="inlineStr"/>
      <c r="AL127" s="6" t="inlineStr">
        <is>
          <t>ACT-02.pdf</t>
        </is>
      </c>
      <c r="AM127" s="3">
        <f>IF(tblOrdenes[[#This Row],[link_checklist]]="","",HYPERLINK(p_ruta_base_checklists&amp;tblOrdenes[[#This Row],[link_checklist]],"abrir"))</f>
        <v/>
      </c>
      <c r="AN127" s="6" t="inlineStr"/>
      <c r="AO127" s="3">
        <f>IF(tblOrdenes[[#This Row],[orden]]="","",tblOrdenes[[#This Row],[orden]]&amp;IF(tblOrdenes[[#This Row],[operacion]]="","0010",tblOrdenes[[#This Row],[operacion]]))</f>
        <v/>
      </c>
    </row>
    <row r="128">
      <c r="A128" s="3" t="inlineStr">
        <is>
          <t>OT-000125</t>
        </is>
      </c>
      <c r="B128" s="3" t="inlineStr">
        <is>
          <t>0010</t>
        </is>
      </c>
      <c r="C128" s="3" t="inlineStr">
        <is>
          <t>Reparación de falla — EQ-107</t>
        </is>
      </c>
      <c r="D128" s="3" t="inlineStr">
        <is>
          <t>Reparación de falla en EQ-107</t>
        </is>
      </c>
      <c r="E128" s="3" t="inlineStr">
        <is>
          <t>EQ-107</t>
        </is>
      </c>
      <c r="F128" s="3" t="inlineStr">
        <is>
          <t>CC-210</t>
        </is>
      </c>
      <c r="G128" s="3" t="inlineStr">
        <is>
          <t>PU-OP</t>
        </is>
      </c>
      <c r="H128" s="3" t="inlineStr">
        <is>
          <t>ACT-03</t>
        </is>
      </c>
      <c r="I128" s="3" t="inlineStr">
        <is>
          <t>TIPO-C2</t>
        </is>
      </c>
      <c r="J128" s="11" t="n">
        <v>46241</v>
      </c>
      <c r="K128" s="3" t="n">
        <v>6</v>
      </c>
      <c r="L128" s="10" t="n">
        <v>240</v>
      </c>
      <c r="M128" s="6" t="n"/>
      <c r="N1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8" s="3">
        <f>IF(tblOrdenes[[#This Row],[fecha_inicio]]="","",YEAR(tblOrdenes[[#This Row],[fecha_inicio]]))</f>
        <v/>
      </c>
      <c r="R128" s="3">
        <f>IF(tblOrdenes[[#This Row],[fecha_inicio]]="","",MONTH(tblOrdenes[[#This Row],[fecha_inicio]]))</f>
        <v/>
      </c>
      <c r="S128" s="3">
        <f>IF(tblOrdenes[[#This Row],[fecha_inicio]]="","",INDEX(lista_dias,WEEKDAY(tblOrdenes[[#This Row],[fecha_inicio]],2)))</f>
        <v/>
      </c>
      <c r="T128" s="3">
        <f>IF(tblOrdenes[[#This Row],[tipo_ot]]="","",_xlfn.XLOOKUP(tblOrdenes[[#This Row],[tipo_ot]],tblTiposOT[codigo],tblTiposOT[clasificacion],"sin_clasificar"))</f>
        <v/>
      </c>
      <c r="U128" s="3">
        <f>IF(tblOrdenes[[#This Row],[centro_costo]]="","",_xlfn.XLOOKUP(tblOrdenes[[#This Row],[centro_costo]],tblCECO[codigo],tblCECO[linea],"(sin catálogo)"))</f>
        <v/>
      </c>
      <c r="V128" s="3">
        <f>IF(tblOrdenes[[#This Row],[centro_costo]]="","",_xlfn.XLOOKUP(tblOrdenes[[#This Row],[centro_costo]],tblCECO[codigo],tblCECO[area],"(sin catálogo)"))</f>
        <v/>
      </c>
      <c r="W128" s="3">
        <f>IF(tblOrdenes[[#This Row],[centro_costo]]="","",_xlfn.XLOOKUP(tblOrdenes[[#This Row],[centro_costo]],tblCECO[codigo],tblCECO[coordinador],"(sin catálogo)"))</f>
        <v/>
      </c>
      <c r="X128" s="3">
        <f>IF(tblOrdenes[[#This Row],[puesto_trabajo]]="","",_xlfn.XLOOKUP(tblOrdenes[[#This Row],[puesto_trabajo]],tblPuestos[codigo],tblPuestos[especialidad],"(sin catálogo)"))</f>
        <v/>
      </c>
      <c r="Y128" s="3">
        <f>IF(tblOrdenes[[#This Row],[cod_actividad]]="","",_xlfn.XLOOKUP(tblOrdenes[[#This Row],[cod_actividad]],tblActividades[codigo],tblActividades[descripcion],"(sin catálogo)"))</f>
        <v/>
      </c>
      <c r="Z128" s="12">
        <f>IF(tblOrdenes[[#This Row],[fecha_inicio]]="","",TODAY()-tblOrdenes[[#This Row],[fecha_inicio]])</f>
        <v/>
      </c>
      <c r="AA128" s="3">
        <f>IF(tblOrdenes[[#This Row],[backlog_dias]]="","",IF(tblOrdenes[[#This Row],[backlog_dias]]&lt;0,"FUTURO",IF(tblOrdenes[[#This Row],[backlog_dias]]&gt;p_dias_backlog_max,"BACKLOG","MES CORRIENTE")))</f>
        <v/>
      </c>
      <c r="AB128" s="3">
        <f>IF(tblOrdenes[[#This Row],[backlog_dias]]="",FALSE,AND(tblOrdenes[[#This Row],[backlog_dias]]&gt;p_dias_backlog_min,tblOrdenes[[#This Row],[backlog_dias]]&lt;=p_dias_backlog_max))</f>
        <v/>
      </c>
      <c r="AC128" s="6" t="inlineStr">
        <is>
          <t>Técnico 11</t>
        </is>
      </c>
      <c r="AD1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8" s="10">
        <f>IF(tblOrdenes[[#This Row],[orden]]="","",_xlfn.XLOOKUP(tblOrdenes[[#This Row],[id_operacion]],tblEjecucion[id_operacion],tblEjecucion[precio],0))</f>
        <v/>
      </c>
      <c r="AH128" s="10">
        <f>IF(tblOrdenes[[#This Row],[orden]]="","",MAX(0,_xlfn.XLOOKUP(tblOrdenes[[#This Row],[id_operacion]],tblEjecucion[id_operacion],tblEjecucion[costo_plan_total],0)-tblOrdenes[[#This Row],[costo_servicio]]))</f>
        <v/>
      </c>
      <c r="AI128" s="10">
        <f>IF(tblOrdenes[[#This Row],[orden]]="","",tblOrdenes[[#This Row],[costo_servicio]]+tblOrdenes[[#This Row],[costo_materiales]])</f>
        <v/>
      </c>
      <c r="AJ128" s="6" t="inlineStr"/>
      <c r="AK128" s="6" t="inlineStr"/>
      <c r="AL128" s="6" t="inlineStr"/>
      <c r="AM128" s="3">
        <f>IF(tblOrdenes[[#This Row],[link_checklist]]="","",HYPERLINK(p_ruta_base_checklists&amp;tblOrdenes[[#This Row],[link_checklist]],"abrir"))</f>
        <v/>
      </c>
      <c r="AN128" s="6" t="inlineStr"/>
      <c r="AO128" s="3">
        <f>IF(tblOrdenes[[#This Row],[orden]]="","",tblOrdenes[[#This Row],[orden]]&amp;IF(tblOrdenes[[#This Row],[operacion]]="","0010",tblOrdenes[[#This Row],[operacion]]))</f>
        <v/>
      </c>
    </row>
    <row r="129">
      <c r="A129" s="3" t="inlineStr">
        <is>
          <t>OT-000126</t>
        </is>
      </c>
      <c r="B129" s="3" t="inlineStr">
        <is>
          <t>0010</t>
        </is>
      </c>
      <c r="C129" s="3" t="inlineStr">
        <is>
          <t>Certificación legal — EQ-110</t>
        </is>
      </c>
      <c r="D129" s="3" t="inlineStr">
        <is>
          <t>Certificación legal en EQ-110</t>
        </is>
      </c>
      <c r="E129" s="3" t="inlineStr">
        <is>
          <t>EQ-110</t>
        </is>
      </c>
      <c r="F129" s="3" t="inlineStr">
        <is>
          <t>CC-310</t>
        </is>
      </c>
      <c r="G129" s="3" t="inlineStr">
        <is>
          <t>PU-TER</t>
        </is>
      </c>
      <c r="H129" s="3" t="inlineStr">
        <is>
          <t>ACT-05</t>
        </is>
      </c>
      <c r="I129" s="3" t="inlineStr">
        <is>
          <t>TIPO-P2</t>
        </is>
      </c>
      <c r="J129" s="11" t="n">
        <v>46223</v>
      </c>
      <c r="K129" s="3" t="n">
        <v>10</v>
      </c>
      <c r="L129" s="10" t="n">
        <v>250</v>
      </c>
      <c r="M129" s="6" t="n"/>
      <c r="N1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9" s="3">
        <f>IF(tblOrdenes[[#This Row],[fecha_inicio]]="","",YEAR(tblOrdenes[[#This Row],[fecha_inicio]]))</f>
        <v/>
      </c>
      <c r="R129" s="3">
        <f>IF(tblOrdenes[[#This Row],[fecha_inicio]]="","",MONTH(tblOrdenes[[#This Row],[fecha_inicio]]))</f>
        <v/>
      </c>
      <c r="S129" s="3">
        <f>IF(tblOrdenes[[#This Row],[fecha_inicio]]="","",INDEX(lista_dias,WEEKDAY(tblOrdenes[[#This Row],[fecha_inicio]],2)))</f>
        <v/>
      </c>
      <c r="T129" s="3">
        <f>IF(tblOrdenes[[#This Row],[tipo_ot]]="","",_xlfn.XLOOKUP(tblOrdenes[[#This Row],[tipo_ot]],tblTiposOT[codigo],tblTiposOT[clasificacion],"sin_clasificar"))</f>
        <v/>
      </c>
      <c r="U129" s="3">
        <f>IF(tblOrdenes[[#This Row],[centro_costo]]="","",_xlfn.XLOOKUP(tblOrdenes[[#This Row],[centro_costo]],tblCECO[codigo],tblCECO[linea],"(sin catálogo)"))</f>
        <v/>
      </c>
      <c r="V129" s="3">
        <f>IF(tblOrdenes[[#This Row],[centro_costo]]="","",_xlfn.XLOOKUP(tblOrdenes[[#This Row],[centro_costo]],tblCECO[codigo],tblCECO[area],"(sin catálogo)"))</f>
        <v/>
      </c>
      <c r="W129" s="3">
        <f>IF(tblOrdenes[[#This Row],[centro_costo]]="","",_xlfn.XLOOKUP(tblOrdenes[[#This Row],[centro_costo]],tblCECO[codigo],tblCECO[coordinador],"(sin catálogo)"))</f>
        <v/>
      </c>
      <c r="X129" s="3">
        <f>IF(tblOrdenes[[#This Row],[puesto_trabajo]]="","",_xlfn.XLOOKUP(tblOrdenes[[#This Row],[puesto_trabajo]],tblPuestos[codigo],tblPuestos[especialidad],"(sin catálogo)"))</f>
        <v/>
      </c>
      <c r="Y129" s="3">
        <f>IF(tblOrdenes[[#This Row],[cod_actividad]]="","",_xlfn.XLOOKUP(tblOrdenes[[#This Row],[cod_actividad]],tblActividades[codigo],tblActividades[descripcion],"(sin catálogo)"))</f>
        <v/>
      </c>
      <c r="Z129" s="12">
        <f>IF(tblOrdenes[[#This Row],[fecha_inicio]]="","",TODAY()-tblOrdenes[[#This Row],[fecha_inicio]])</f>
        <v/>
      </c>
      <c r="AA129" s="3">
        <f>IF(tblOrdenes[[#This Row],[backlog_dias]]="","",IF(tblOrdenes[[#This Row],[backlog_dias]]&lt;0,"FUTURO",IF(tblOrdenes[[#This Row],[backlog_dias]]&gt;p_dias_backlog_max,"BACKLOG","MES CORRIENTE")))</f>
        <v/>
      </c>
      <c r="AB129" s="3">
        <f>IF(tblOrdenes[[#This Row],[backlog_dias]]="",FALSE,AND(tblOrdenes[[#This Row],[backlog_dias]]&gt;p_dias_backlog_min,tblOrdenes[[#This Row],[backlog_dias]]&lt;=p_dias_backlog_max))</f>
        <v/>
      </c>
      <c r="AC129" s="6" t="inlineStr"/>
      <c r="AD1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9" s="10">
        <f>IF(tblOrdenes[[#This Row],[orden]]="","",_xlfn.XLOOKUP(tblOrdenes[[#This Row],[id_operacion]],tblEjecucion[id_operacion],tblEjecucion[precio],0))</f>
        <v/>
      </c>
      <c r="AH129" s="10">
        <f>IF(tblOrdenes[[#This Row],[orden]]="","",MAX(0,_xlfn.XLOOKUP(tblOrdenes[[#This Row],[id_operacion]],tblEjecucion[id_operacion],tblEjecucion[costo_plan_total],0)-tblOrdenes[[#This Row],[costo_servicio]]))</f>
        <v/>
      </c>
      <c r="AI129" s="10">
        <f>IF(tblOrdenes[[#This Row],[orden]]="","",tblOrdenes[[#This Row],[costo_servicio]]+tblOrdenes[[#This Row],[costo_materiales]])</f>
        <v/>
      </c>
      <c r="AJ129" s="6" t="inlineStr"/>
      <c r="AK129" s="6" t="inlineStr"/>
      <c r="AL129" s="6" t="inlineStr"/>
      <c r="AM129" s="3">
        <f>IF(tblOrdenes[[#This Row],[link_checklist]]="","",HYPERLINK(p_ruta_base_checklists&amp;tblOrdenes[[#This Row],[link_checklist]],"abrir"))</f>
        <v/>
      </c>
      <c r="AN129" s="6" t="inlineStr"/>
      <c r="AO129" s="3">
        <f>IF(tblOrdenes[[#This Row],[orden]]="","",tblOrdenes[[#This Row],[orden]]&amp;IF(tblOrdenes[[#This Row],[operacion]]="","0010",tblOrdenes[[#This Row],[operacion]]))</f>
        <v/>
      </c>
    </row>
    <row r="130">
      <c r="A130" s="3" t="inlineStr">
        <is>
          <t>OT-000127</t>
        </is>
      </c>
      <c r="B130" s="3" t="inlineStr">
        <is>
          <t>0010</t>
        </is>
      </c>
      <c r="C130" s="3" t="inlineStr">
        <is>
          <t>Certificación legal — EQ-111</t>
        </is>
      </c>
      <c r="D130" s="3" t="inlineStr">
        <is>
          <t>Certificación legal en EQ-111</t>
        </is>
      </c>
      <c r="E130" s="3" t="inlineStr">
        <is>
          <t>EQ-111</t>
        </is>
      </c>
      <c r="F130" s="3" t="inlineStr">
        <is>
          <t>CC-310</t>
        </is>
      </c>
      <c r="G130" s="3" t="inlineStr">
        <is>
          <t>PU-TER</t>
        </is>
      </c>
      <c r="H130" s="3" t="inlineStr">
        <is>
          <t>ACT-05</t>
        </is>
      </c>
      <c r="I130" s="3" t="inlineStr">
        <is>
          <t>TIPO-P2</t>
        </is>
      </c>
      <c r="J130" s="11" t="n">
        <v>46224</v>
      </c>
      <c r="K130" s="3" t="n">
        <v>6</v>
      </c>
      <c r="L130" s="10" t="n">
        <v>150</v>
      </c>
      <c r="M130" s="6" t="n"/>
      <c r="N1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30" s="3">
        <f>IF(tblOrdenes[[#This Row],[fecha_inicio]]="","",YEAR(tblOrdenes[[#This Row],[fecha_inicio]]))</f>
        <v/>
      </c>
      <c r="R130" s="3">
        <f>IF(tblOrdenes[[#This Row],[fecha_inicio]]="","",MONTH(tblOrdenes[[#This Row],[fecha_inicio]]))</f>
        <v/>
      </c>
      <c r="S130" s="3">
        <f>IF(tblOrdenes[[#This Row],[fecha_inicio]]="","",INDEX(lista_dias,WEEKDAY(tblOrdenes[[#This Row],[fecha_inicio]],2)))</f>
        <v/>
      </c>
      <c r="T130" s="3">
        <f>IF(tblOrdenes[[#This Row],[tipo_ot]]="","",_xlfn.XLOOKUP(tblOrdenes[[#This Row],[tipo_ot]],tblTiposOT[codigo],tblTiposOT[clasificacion],"sin_clasificar"))</f>
        <v/>
      </c>
      <c r="U130" s="3">
        <f>IF(tblOrdenes[[#This Row],[centro_costo]]="","",_xlfn.XLOOKUP(tblOrdenes[[#This Row],[centro_costo]],tblCECO[codigo],tblCECO[linea],"(sin catálogo)"))</f>
        <v/>
      </c>
      <c r="V130" s="3">
        <f>IF(tblOrdenes[[#This Row],[centro_costo]]="","",_xlfn.XLOOKUP(tblOrdenes[[#This Row],[centro_costo]],tblCECO[codigo],tblCECO[area],"(sin catálogo)"))</f>
        <v/>
      </c>
      <c r="W130" s="3">
        <f>IF(tblOrdenes[[#This Row],[centro_costo]]="","",_xlfn.XLOOKUP(tblOrdenes[[#This Row],[centro_costo]],tblCECO[codigo],tblCECO[coordinador],"(sin catálogo)"))</f>
        <v/>
      </c>
      <c r="X130" s="3">
        <f>IF(tblOrdenes[[#This Row],[puesto_trabajo]]="","",_xlfn.XLOOKUP(tblOrdenes[[#This Row],[puesto_trabajo]],tblPuestos[codigo],tblPuestos[especialidad],"(sin catálogo)"))</f>
        <v/>
      </c>
      <c r="Y130" s="3">
        <f>IF(tblOrdenes[[#This Row],[cod_actividad]]="","",_xlfn.XLOOKUP(tblOrdenes[[#This Row],[cod_actividad]],tblActividades[codigo],tblActividades[descripcion],"(sin catálogo)"))</f>
        <v/>
      </c>
      <c r="Z130" s="12">
        <f>IF(tblOrdenes[[#This Row],[fecha_inicio]]="","",TODAY()-tblOrdenes[[#This Row],[fecha_inicio]])</f>
        <v/>
      </c>
      <c r="AA130" s="3">
        <f>IF(tblOrdenes[[#This Row],[backlog_dias]]="","",IF(tblOrdenes[[#This Row],[backlog_dias]]&lt;0,"FUTURO",IF(tblOrdenes[[#This Row],[backlog_dias]]&gt;p_dias_backlog_max,"BACKLOG","MES CORRIENTE")))</f>
        <v/>
      </c>
      <c r="AB130" s="3">
        <f>IF(tblOrdenes[[#This Row],[backlog_dias]]="",FALSE,AND(tblOrdenes[[#This Row],[backlog_dias]]&gt;p_dias_backlog_min,tblOrdenes[[#This Row],[backlog_dias]]&lt;=p_dias_backlog_max))</f>
        <v/>
      </c>
      <c r="AC130" s="6" t="inlineStr"/>
      <c r="AD1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30" s="10">
        <f>IF(tblOrdenes[[#This Row],[orden]]="","",_xlfn.XLOOKUP(tblOrdenes[[#This Row],[id_operacion]],tblEjecucion[id_operacion],tblEjecucion[precio],0))</f>
        <v/>
      </c>
      <c r="AH130" s="10">
        <f>IF(tblOrdenes[[#This Row],[orden]]="","",MAX(0,_xlfn.XLOOKUP(tblOrdenes[[#This Row],[id_operacion]],tblEjecucion[id_operacion],tblEjecucion[costo_plan_total],0)-tblOrdenes[[#This Row],[costo_servicio]]))</f>
        <v/>
      </c>
      <c r="AI130" s="10">
        <f>IF(tblOrdenes[[#This Row],[orden]]="","",tblOrdenes[[#This Row],[costo_servicio]]+tblOrdenes[[#This Row],[costo_materiales]])</f>
        <v/>
      </c>
      <c r="AJ130" s="6" t="inlineStr"/>
      <c r="AK130" s="6" t="inlineStr"/>
      <c r="AL130" s="6" t="inlineStr"/>
      <c r="AM130" s="3">
        <f>IF(tblOrdenes[[#This Row],[link_checklist]]="","",HYPERLINK(p_ruta_base_checklists&amp;tblOrdenes[[#This Row],[link_checklist]],"abrir"))</f>
        <v/>
      </c>
      <c r="AN130" s="6" t="inlineStr"/>
      <c r="AO130" s="3">
        <f>IF(tblOrdenes[[#This Row],[orden]]="","",tblOrdenes[[#This Row],[orden]]&amp;IF(tblOrdenes[[#This Row],[operacion]]="","0010",tblOrdenes[[#This Row],[operacion]]))</f>
        <v/>
      </c>
    </row>
    <row r="131">
      <c r="A131" s="3" t="inlineStr">
        <is>
          <t>OT-000128</t>
        </is>
      </c>
      <c r="B131" s="3" t="inlineStr">
        <is>
          <t>0010</t>
        </is>
      </c>
      <c r="C131" s="3" t="inlineStr">
        <is>
          <t>Certificación legal — EQ-112</t>
        </is>
      </c>
      <c r="D131" s="3" t="inlineStr">
        <is>
          <t>Certificación legal en EQ-112</t>
        </is>
      </c>
      <c r="E131" s="3" t="inlineStr">
        <is>
          <t>EQ-112</t>
        </is>
      </c>
      <c r="F131" s="3" t="inlineStr">
        <is>
          <t>CC-310</t>
        </is>
      </c>
      <c r="G131" s="3" t="inlineStr">
        <is>
          <t>PU-TER</t>
        </is>
      </c>
      <c r="H131" s="3" t="inlineStr">
        <is>
          <t>ACT-05</t>
        </is>
      </c>
      <c r="I131" s="3" t="inlineStr">
        <is>
          <t>TIPO-P2</t>
        </is>
      </c>
      <c r="J131" s="11" t="n">
        <v>46230</v>
      </c>
      <c r="K131" s="3" t="n">
        <v>10</v>
      </c>
      <c r="L131" s="10" t="n">
        <v>250</v>
      </c>
      <c r="M131" s="6" t="n"/>
      <c r="N1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31" s="3">
        <f>IF(tblOrdenes[[#This Row],[fecha_inicio]]="","",YEAR(tblOrdenes[[#This Row],[fecha_inicio]]))</f>
        <v/>
      </c>
      <c r="R131" s="3">
        <f>IF(tblOrdenes[[#This Row],[fecha_inicio]]="","",MONTH(tblOrdenes[[#This Row],[fecha_inicio]]))</f>
        <v/>
      </c>
      <c r="S131" s="3">
        <f>IF(tblOrdenes[[#This Row],[fecha_inicio]]="","",INDEX(lista_dias,WEEKDAY(tblOrdenes[[#This Row],[fecha_inicio]],2)))</f>
        <v/>
      </c>
      <c r="T131" s="3">
        <f>IF(tblOrdenes[[#This Row],[tipo_ot]]="","",_xlfn.XLOOKUP(tblOrdenes[[#This Row],[tipo_ot]],tblTiposOT[codigo],tblTiposOT[clasificacion],"sin_clasificar"))</f>
        <v/>
      </c>
      <c r="U131" s="3">
        <f>IF(tblOrdenes[[#This Row],[centro_costo]]="","",_xlfn.XLOOKUP(tblOrdenes[[#This Row],[centro_costo]],tblCECO[codigo],tblCECO[linea],"(sin catálogo)"))</f>
        <v/>
      </c>
      <c r="V131" s="3">
        <f>IF(tblOrdenes[[#This Row],[centro_costo]]="","",_xlfn.XLOOKUP(tblOrdenes[[#This Row],[centro_costo]],tblCECO[codigo],tblCECO[area],"(sin catálogo)"))</f>
        <v/>
      </c>
      <c r="W131" s="3">
        <f>IF(tblOrdenes[[#This Row],[centro_costo]]="","",_xlfn.XLOOKUP(tblOrdenes[[#This Row],[centro_costo]],tblCECO[codigo],tblCECO[coordinador],"(sin catálogo)"))</f>
        <v/>
      </c>
      <c r="X131" s="3">
        <f>IF(tblOrdenes[[#This Row],[puesto_trabajo]]="","",_xlfn.XLOOKUP(tblOrdenes[[#This Row],[puesto_trabajo]],tblPuestos[codigo],tblPuestos[especialidad],"(sin catálogo)"))</f>
        <v/>
      </c>
      <c r="Y131" s="3">
        <f>IF(tblOrdenes[[#This Row],[cod_actividad]]="","",_xlfn.XLOOKUP(tblOrdenes[[#This Row],[cod_actividad]],tblActividades[codigo],tblActividades[descripcion],"(sin catálogo)"))</f>
        <v/>
      </c>
      <c r="Z131" s="12">
        <f>IF(tblOrdenes[[#This Row],[fecha_inicio]]="","",TODAY()-tblOrdenes[[#This Row],[fecha_inicio]])</f>
        <v/>
      </c>
      <c r="AA131" s="3">
        <f>IF(tblOrdenes[[#This Row],[backlog_dias]]="","",IF(tblOrdenes[[#This Row],[backlog_dias]]&lt;0,"FUTURO",IF(tblOrdenes[[#This Row],[backlog_dias]]&gt;p_dias_backlog_max,"BACKLOG","MES CORRIENTE")))</f>
        <v/>
      </c>
      <c r="AB131" s="3">
        <f>IF(tblOrdenes[[#This Row],[backlog_dias]]="",FALSE,AND(tblOrdenes[[#This Row],[backlog_dias]]&gt;p_dias_backlog_min,tblOrdenes[[#This Row],[backlog_dias]]&lt;=p_dias_backlog_max))</f>
        <v/>
      </c>
      <c r="AC131" s="6" t="inlineStr"/>
      <c r="AD1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31" s="10">
        <f>IF(tblOrdenes[[#This Row],[orden]]="","",_xlfn.XLOOKUP(tblOrdenes[[#This Row],[id_operacion]],tblEjecucion[id_operacion],tblEjecucion[precio],0))</f>
        <v/>
      </c>
      <c r="AH131" s="10">
        <f>IF(tblOrdenes[[#This Row],[orden]]="","",MAX(0,_xlfn.XLOOKUP(tblOrdenes[[#This Row],[id_operacion]],tblEjecucion[id_operacion],tblEjecucion[costo_plan_total],0)-tblOrdenes[[#This Row],[costo_servicio]]))</f>
        <v/>
      </c>
      <c r="AI131" s="10">
        <f>IF(tblOrdenes[[#This Row],[orden]]="","",tblOrdenes[[#This Row],[costo_servicio]]+tblOrdenes[[#This Row],[costo_materiales]])</f>
        <v/>
      </c>
      <c r="AJ131" s="6" t="inlineStr"/>
      <c r="AK131" s="6" t="inlineStr"/>
      <c r="AL131" s="6" t="inlineStr"/>
      <c r="AM131" s="3">
        <f>IF(tblOrdenes[[#This Row],[link_checklist]]="","",HYPERLINK(p_ruta_base_checklists&amp;tblOrdenes[[#This Row],[link_checklist]],"abrir"))</f>
        <v/>
      </c>
      <c r="AN131" s="6" t="inlineStr"/>
      <c r="AO131" s="3">
        <f>IF(tblOrdenes[[#This Row],[orden]]="","",tblOrdenes[[#This Row],[orden]]&amp;IF(tblOrdenes[[#This Row],[operacion]]="","0010",tblOrdenes[[#This Row],[operacion]]))</f>
        <v/>
      </c>
    </row>
    <row r="132">
      <c r="A132" s="3" t="inlineStr">
        <is>
          <t>OT-000129</t>
        </is>
      </c>
      <c r="B132" s="3" t="inlineStr">
        <is>
          <t>0010</t>
        </is>
      </c>
      <c r="C132" s="3" t="inlineStr">
        <is>
          <t>Certificación legal — EQ-110</t>
        </is>
      </c>
      <c r="D132" s="3" t="inlineStr">
        <is>
          <t>Certificación legal en EQ-110</t>
        </is>
      </c>
      <c r="E132" s="3" t="inlineStr">
        <is>
          <t>EQ-110</t>
        </is>
      </c>
      <c r="F132" s="3" t="inlineStr">
        <is>
          <t>CC-310</t>
        </is>
      </c>
      <c r="G132" s="3" t="inlineStr">
        <is>
          <t>PU-TER</t>
        </is>
      </c>
      <c r="H132" s="3" t="inlineStr">
        <is>
          <t>ACT-05</t>
        </is>
      </c>
      <c r="I132" s="3" t="inlineStr">
        <is>
          <t>TIPO-P2</t>
        </is>
      </c>
      <c r="J132" s="11" t="n">
        <v>46231</v>
      </c>
      <c r="K132" s="3" t="n">
        <v>2</v>
      </c>
      <c r="L132" s="10" t="n">
        <v>50</v>
      </c>
      <c r="M132" s="6" t="n"/>
      <c r="N1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32" s="3">
        <f>IF(tblOrdenes[[#This Row],[fecha_inicio]]="","",YEAR(tblOrdenes[[#This Row],[fecha_inicio]]))</f>
        <v/>
      </c>
      <c r="R132" s="3">
        <f>IF(tblOrdenes[[#This Row],[fecha_inicio]]="","",MONTH(tblOrdenes[[#This Row],[fecha_inicio]]))</f>
        <v/>
      </c>
      <c r="S132" s="3">
        <f>IF(tblOrdenes[[#This Row],[fecha_inicio]]="","",INDEX(lista_dias,WEEKDAY(tblOrdenes[[#This Row],[fecha_inicio]],2)))</f>
        <v/>
      </c>
      <c r="T132" s="3">
        <f>IF(tblOrdenes[[#This Row],[tipo_ot]]="","",_xlfn.XLOOKUP(tblOrdenes[[#This Row],[tipo_ot]],tblTiposOT[codigo],tblTiposOT[clasificacion],"sin_clasificar"))</f>
        <v/>
      </c>
      <c r="U132" s="3">
        <f>IF(tblOrdenes[[#This Row],[centro_costo]]="","",_xlfn.XLOOKUP(tblOrdenes[[#This Row],[centro_costo]],tblCECO[codigo],tblCECO[linea],"(sin catálogo)"))</f>
        <v/>
      </c>
      <c r="V132" s="3">
        <f>IF(tblOrdenes[[#This Row],[centro_costo]]="","",_xlfn.XLOOKUP(tblOrdenes[[#This Row],[centro_costo]],tblCECO[codigo],tblCECO[area],"(sin catálogo)"))</f>
        <v/>
      </c>
      <c r="W132" s="3">
        <f>IF(tblOrdenes[[#This Row],[centro_costo]]="","",_xlfn.XLOOKUP(tblOrdenes[[#This Row],[centro_costo]],tblCECO[codigo],tblCECO[coordinador],"(sin catálogo)"))</f>
        <v/>
      </c>
      <c r="X132" s="3">
        <f>IF(tblOrdenes[[#This Row],[puesto_trabajo]]="","",_xlfn.XLOOKUP(tblOrdenes[[#This Row],[puesto_trabajo]],tblPuestos[codigo],tblPuestos[especialidad],"(sin catálogo)"))</f>
        <v/>
      </c>
      <c r="Y132" s="3">
        <f>IF(tblOrdenes[[#This Row],[cod_actividad]]="","",_xlfn.XLOOKUP(tblOrdenes[[#This Row],[cod_actividad]],tblActividades[codigo],tblActividades[descripcion],"(sin catálogo)"))</f>
        <v/>
      </c>
      <c r="Z132" s="12">
        <f>IF(tblOrdenes[[#This Row],[fecha_inicio]]="","",TODAY()-tblOrdenes[[#This Row],[fecha_inicio]])</f>
        <v/>
      </c>
      <c r="AA132" s="3">
        <f>IF(tblOrdenes[[#This Row],[backlog_dias]]="","",IF(tblOrdenes[[#This Row],[backlog_dias]]&lt;0,"FUTURO",IF(tblOrdenes[[#This Row],[backlog_dias]]&gt;p_dias_backlog_max,"BACKLOG","MES CORRIENTE")))</f>
        <v/>
      </c>
      <c r="AB132" s="3">
        <f>IF(tblOrdenes[[#This Row],[backlog_dias]]="",FALSE,AND(tblOrdenes[[#This Row],[backlog_dias]]&gt;p_dias_backlog_min,tblOrdenes[[#This Row],[backlog_dias]]&lt;=p_dias_backlog_max))</f>
        <v/>
      </c>
      <c r="AC132" s="6" t="inlineStr"/>
      <c r="AD1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32" s="10">
        <f>IF(tblOrdenes[[#This Row],[orden]]="","",_xlfn.XLOOKUP(tblOrdenes[[#This Row],[id_operacion]],tblEjecucion[id_operacion],tblEjecucion[precio],0))</f>
        <v/>
      </c>
      <c r="AH132" s="10">
        <f>IF(tblOrdenes[[#This Row],[orden]]="","",MAX(0,_xlfn.XLOOKUP(tblOrdenes[[#This Row],[id_operacion]],tblEjecucion[id_operacion],tblEjecucion[costo_plan_total],0)-tblOrdenes[[#This Row],[costo_servicio]]))</f>
        <v/>
      </c>
      <c r="AI132" s="10">
        <f>IF(tblOrdenes[[#This Row],[orden]]="","",tblOrdenes[[#This Row],[costo_servicio]]+tblOrdenes[[#This Row],[costo_materiales]])</f>
        <v/>
      </c>
      <c r="AJ132" s="6" t="inlineStr"/>
      <c r="AK132" s="6" t="inlineStr"/>
      <c r="AL132" s="6" t="inlineStr"/>
      <c r="AM132" s="3">
        <f>IF(tblOrdenes[[#This Row],[link_checklist]]="","",HYPERLINK(p_ruta_base_checklists&amp;tblOrdenes[[#This Row],[link_checklist]],"abrir"))</f>
        <v/>
      </c>
      <c r="AN132" s="6" t="inlineStr"/>
      <c r="AO132" s="3">
        <f>IF(tblOrdenes[[#This Row],[orden]]="","",tblOrdenes[[#This Row],[orden]]&amp;IF(tblOrdenes[[#This Row],[operacion]]="","0010",tblOrdenes[[#This Row],[operacion]]))</f>
        <v/>
      </c>
    </row>
    <row r="133">
      <c r="A133" s="3" t="inlineStr">
        <is>
          <t>OT-000001</t>
        </is>
      </c>
      <c r="B133" s="3" t="inlineStr">
        <is>
          <t>0020</t>
        </is>
      </c>
      <c r="C133" s="3" t="inlineStr">
        <is>
          <t>Lubricación programada — EQ-102</t>
        </is>
      </c>
      <c r="D133" s="3" t="inlineStr">
        <is>
          <t>Segunda operación — EQ-102</t>
        </is>
      </c>
      <c r="E133" s="3" t="inlineStr">
        <is>
          <t>EQ-102</t>
        </is>
      </c>
      <c r="F133" s="3" t="inlineStr">
        <is>
          <t>CC-110</t>
        </is>
      </c>
      <c r="G133" s="3" t="inlineStr">
        <is>
          <t>PU-MEC</t>
        </is>
      </c>
      <c r="H133" s="3" t="inlineStr">
        <is>
          <t>ACT-02</t>
        </is>
      </c>
      <c r="I133" s="3" t="inlineStr">
        <is>
          <t>TIPO-P2</t>
        </is>
      </c>
      <c r="J133" s="11" t="n">
        <v>46216</v>
      </c>
      <c r="K133" s="3" t="n">
        <v>2</v>
      </c>
      <c r="L133" s="10" t="n">
        <v>50</v>
      </c>
      <c r="M133" s="6" t="n"/>
      <c r="N1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33" s="3">
        <f>IF(tblOrdenes[[#This Row],[fecha_inicio]]="","",YEAR(tblOrdenes[[#This Row],[fecha_inicio]]))</f>
        <v/>
      </c>
      <c r="R133" s="3">
        <f>IF(tblOrdenes[[#This Row],[fecha_inicio]]="","",MONTH(tblOrdenes[[#This Row],[fecha_inicio]]))</f>
        <v/>
      </c>
      <c r="S133" s="3">
        <f>IF(tblOrdenes[[#This Row],[fecha_inicio]]="","",INDEX(lista_dias,WEEKDAY(tblOrdenes[[#This Row],[fecha_inicio]],2)))</f>
        <v/>
      </c>
      <c r="T133" s="3">
        <f>IF(tblOrdenes[[#This Row],[tipo_ot]]="","",_xlfn.XLOOKUP(tblOrdenes[[#This Row],[tipo_ot]],tblTiposOT[codigo],tblTiposOT[clasificacion],"sin_clasificar"))</f>
        <v/>
      </c>
      <c r="U133" s="3">
        <f>IF(tblOrdenes[[#This Row],[centro_costo]]="","",_xlfn.XLOOKUP(tblOrdenes[[#This Row],[centro_costo]],tblCECO[codigo],tblCECO[linea],"(sin catálogo)"))</f>
        <v/>
      </c>
      <c r="V133" s="3">
        <f>IF(tblOrdenes[[#This Row],[centro_costo]]="","",_xlfn.XLOOKUP(tblOrdenes[[#This Row],[centro_costo]],tblCECO[codigo],tblCECO[area],"(sin catálogo)"))</f>
        <v/>
      </c>
      <c r="W133" s="3">
        <f>IF(tblOrdenes[[#This Row],[centro_costo]]="","",_xlfn.XLOOKUP(tblOrdenes[[#This Row],[centro_costo]],tblCECO[codigo],tblCECO[coordinador],"(sin catálogo)"))</f>
        <v/>
      </c>
      <c r="X133" s="3">
        <f>IF(tblOrdenes[[#This Row],[puesto_trabajo]]="","",_xlfn.XLOOKUP(tblOrdenes[[#This Row],[puesto_trabajo]],tblPuestos[codigo],tblPuestos[especialidad],"(sin catálogo)"))</f>
        <v/>
      </c>
      <c r="Y133" s="3">
        <f>IF(tblOrdenes[[#This Row],[cod_actividad]]="","",_xlfn.XLOOKUP(tblOrdenes[[#This Row],[cod_actividad]],tblActividades[codigo],tblActividades[descripcion],"(sin catálogo)"))</f>
        <v/>
      </c>
      <c r="Z133" s="12">
        <f>IF(tblOrdenes[[#This Row],[fecha_inicio]]="","",TODAY()-tblOrdenes[[#This Row],[fecha_inicio]])</f>
        <v/>
      </c>
      <c r="AA133" s="3">
        <f>IF(tblOrdenes[[#This Row],[backlog_dias]]="","",IF(tblOrdenes[[#This Row],[backlog_dias]]&lt;0,"FUTURO",IF(tblOrdenes[[#This Row],[backlog_dias]]&gt;p_dias_backlog_max,"BACKLOG","MES CORRIENTE")))</f>
        <v/>
      </c>
      <c r="AB133" s="3">
        <f>IF(tblOrdenes[[#This Row],[backlog_dias]]="",FALSE,AND(tblOrdenes[[#This Row],[backlog_dias]]&gt;p_dias_backlog_min,tblOrdenes[[#This Row],[backlog_dias]]&lt;=p_dias_backlog_max))</f>
        <v/>
      </c>
      <c r="AC133" s="6" t="inlineStr">
        <is>
          <t>Técnico 01</t>
        </is>
      </c>
      <c r="AD1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33" s="10">
        <f>IF(tblOrdenes[[#This Row],[orden]]="","",_xlfn.XLOOKUP(tblOrdenes[[#This Row],[id_operacion]],tblEjecucion[id_operacion],tblEjecucion[precio],0))</f>
        <v/>
      </c>
      <c r="AH133" s="10">
        <f>IF(tblOrdenes[[#This Row],[orden]]="","",MAX(0,_xlfn.XLOOKUP(tblOrdenes[[#This Row],[id_operacion]],tblEjecucion[id_operacion],tblEjecucion[costo_plan_total],0)-tblOrdenes[[#This Row],[costo_servicio]]))</f>
        <v/>
      </c>
      <c r="AI133" s="10">
        <f>IF(tblOrdenes[[#This Row],[orden]]="","",tblOrdenes[[#This Row],[costo_servicio]]+tblOrdenes[[#This Row],[costo_materiales]])</f>
        <v/>
      </c>
      <c r="AJ133" s="6" t="inlineStr"/>
      <c r="AK133" s="6" t="inlineStr"/>
      <c r="AL133" s="6" t="inlineStr"/>
      <c r="AM133" s="3">
        <f>IF(tblOrdenes[[#This Row],[link_checklist]]="","",HYPERLINK(p_ruta_base_checklists&amp;tblOrdenes[[#This Row],[link_checklist]],"abrir"))</f>
        <v/>
      </c>
      <c r="AN133" s="6" t="inlineStr"/>
      <c r="AO133" s="3">
        <f>IF(tblOrdenes[[#This Row],[orden]]="","",tblOrdenes[[#This Row],[orden]]&amp;IF(tblOrdenes[[#This Row],[operacion]]="","0010",tblOrdenes[[#This Row],[operacion]]))</f>
        <v/>
      </c>
    </row>
    <row r="134">
      <c r="A134" s="3" t="inlineStr">
        <is>
          <t>OT-000041</t>
        </is>
      </c>
      <c r="B134" s="3" t="inlineStr">
        <is>
          <t>0020</t>
        </is>
      </c>
      <c r="C134" s="3" t="inlineStr">
        <is>
          <t>Análisis predictivo — EQ-107</t>
        </is>
      </c>
      <c r="D134" s="3" t="inlineStr">
        <is>
          <t>Segunda operación — EQ-107</t>
        </is>
      </c>
      <c r="E134" s="3" t="inlineStr">
        <is>
          <t>EQ-107</t>
        </is>
      </c>
      <c r="F134" s="3" t="inlineStr">
        <is>
          <t>CC-210</t>
        </is>
      </c>
      <c r="G134" s="3" t="inlineStr">
        <is>
          <t>PU-MEC</t>
        </is>
      </c>
      <c r="H134" s="3" t="inlineStr">
        <is>
          <t>ACT-04</t>
        </is>
      </c>
      <c r="I134" s="3" t="inlineStr">
        <is>
          <t>TIPO-P2</t>
        </is>
      </c>
      <c r="J134" s="11" t="n">
        <v>46237</v>
      </c>
      <c r="K134" s="3" t="n">
        <v>2</v>
      </c>
      <c r="L134" s="10" t="n">
        <v>50</v>
      </c>
      <c r="M134" s="6" t="n"/>
      <c r="N1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34" s="3">
        <f>IF(tblOrdenes[[#This Row],[fecha_inicio]]="","",YEAR(tblOrdenes[[#This Row],[fecha_inicio]]))</f>
        <v/>
      </c>
      <c r="R134" s="3">
        <f>IF(tblOrdenes[[#This Row],[fecha_inicio]]="","",MONTH(tblOrdenes[[#This Row],[fecha_inicio]]))</f>
        <v/>
      </c>
      <c r="S134" s="3">
        <f>IF(tblOrdenes[[#This Row],[fecha_inicio]]="","",INDEX(lista_dias,WEEKDAY(tblOrdenes[[#This Row],[fecha_inicio]],2)))</f>
        <v/>
      </c>
      <c r="T134" s="3">
        <f>IF(tblOrdenes[[#This Row],[tipo_ot]]="","",_xlfn.XLOOKUP(tblOrdenes[[#This Row],[tipo_ot]],tblTiposOT[codigo],tblTiposOT[clasificacion],"sin_clasificar"))</f>
        <v/>
      </c>
      <c r="U134" s="3">
        <f>IF(tblOrdenes[[#This Row],[centro_costo]]="","",_xlfn.XLOOKUP(tblOrdenes[[#This Row],[centro_costo]],tblCECO[codigo],tblCECO[linea],"(sin catálogo)"))</f>
        <v/>
      </c>
      <c r="V134" s="3">
        <f>IF(tblOrdenes[[#This Row],[centro_costo]]="","",_xlfn.XLOOKUP(tblOrdenes[[#This Row],[centro_costo]],tblCECO[codigo],tblCECO[area],"(sin catálogo)"))</f>
        <v/>
      </c>
      <c r="W134" s="3">
        <f>IF(tblOrdenes[[#This Row],[centro_costo]]="","",_xlfn.XLOOKUP(tblOrdenes[[#This Row],[centro_costo]],tblCECO[codigo],tblCECO[coordinador],"(sin catálogo)"))</f>
        <v/>
      </c>
      <c r="X134" s="3">
        <f>IF(tblOrdenes[[#This Row],[puesto_trabajo]]="","",_xlfn.XLOOKUP(tblOrdenes[[#This Row],[puesto_trabajo]],tblPuestos[codigo],tblPuestos[especialidad],"(sin catálogo)"))</f>
        <v/>
      </c>
      <c r="Y134" s="3">
        <f>IF(tblOrdenes[[#This Row],[cod_actividad]]="","",_xlfn.XLOOKUP(tblOrdenes[[#This Row],[cod_actividad]],tblActividades[codigo],tblActividades[descripcion],"(sin catálogo)"))</f>
        <v/>
      </c>
      <c r="Z134" s="12">
        <f>IF(tblOrdenes[[#This Row],[fecha_inicio]]="","",TODAY()-tblOrdenes[[#This Row],[fecha_inicio]])</f>
        <v/>
      </c>
      <c r="AA134" s="3">
        <f>IF(tblOrdenes[[#This Row],[backlog_dias]]="","",IF(tblOrdenes[[#This Row],[backlog_dias]]&lt;0,"FUTURO",IF(tblOrdenes[[#This Row],[backlog_dias]]&gt;p_dias_backlog_max,"BACKLOG","MES CORRIENTE")))</f>
        <v/>
      </c>
      <c r="AB134" s="3">
        <f>IF(tblOrdenes[[#This Row],[backlog_dias]]="",FALSE,AND(tblOrdenes[[#This Row],[backlog_dias]]&gt;p_dias_backlog_min,tblOrdenes[[#This Row],[backlog_dias]]&lt;=p_dias_backlog_max))</f>
        <v/>
      </c>
      <c r="AC134" s="6" t="inlineStr">
        <is>
          <t>Técnico 01</t>
        </is>
      </c>
      <c r="AD1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34" s="10">
        <f>IF(tblOrdenes[[#This Row],[orden]]="","",_xlfn.XLOOKUP(tblOrdenes[[#This Row],[id_operacion]],tblEjecucion[id_operacion],tblEjecucion[precio],0))</f>
        <v/>
      </c>
      <c r="AH134" s="10">
        <f>IF(tblOrdenes[[#This Row],[orden]]="","",MAX(0,_xlfn.XLOOKUP(tblOrdenes[[#This Row],[id_operacion]],tblEjecucion[id_operacion],tblEjecucion[costo_plan_total],0)-tblOrdenes[[#This Row],[costo_servicio]]))</f>
        <v/>
      </c>
      <c r="AI134" s="10">
        <f>IF(tblOrdenes[[#This Row],[orden]]="","",tblOrdenes[[#This Row],[costo_servicio]]+tblOrdenes[[#This Row],[costo_materiales]])</f>
        <v/>
      </c>
      <c r="AJ134" s="6" t="inlineStr"/>
      <c r="AK134" s="6" t="inlineStr"/>
      <c r="AL134" s="6" t="inlineStr"/>
      <c r="AM134" s="3">
        <f>IF(tblOrdenes[[#This Row],[link_checklist]]="","",HYPERLINK(p_ruta_base_checklists&amp;tblOrdenes[[#This Row],[link_checklist]],"abrir"))</f>
        <v/>
      </c>
      <c r="AN134" s="6" t="inlineStr"/>
      <c r="AO134" s="3">
        <f>IF(tblOrdenes[[#This Row],[orden]]="","",tblOrdenes[[#This Row],[orden]]&amp;IF(tblOrdenes[[#This Row],[operacion]]="","0010",tblOrdenes[[#This Row],[operacion]]))</f>
        <v/>
      </c>
    </row>
    <row r="135">
      <c r="A135" s="3" t="inlineStr">
        <is>
          <t>OT-000081</t>
        </is>
      </c>
      <c r="B135" s="3" t="inlineStr">
        <is>
          <t>0020</t>
        </is>
      </c>
      <c r="C135" s="3" t="inlineStr">
        <is>
          <t>Inspección de rutina — EQ-102</t>
        </is>
      </c>
      <c r="D135" s="3" t="inlineStr">
        <is>
          <t>Segunda operación — EQ-102</t>
        </is>
      </c>
      <c r="E135" s="3" t="inlineStr">
        <is>
          <t>EQ-102</t>
        </is>
      </c>
      <c r="F135" s="3" t="inlineStr">
        <is>
          <t>CC-120</t>
        </is>
      </c>
      <c r="G135" s="3" t="inlineStr">
        <is>
          <t>PU-ELE</t>
        </is>
      </c>
      <c r="H135" s="3" t="inlineStr">
        <is>
          <t>ACT-01</t>
        </is>
      </c>
      <c r="I135" s="3" t="inlineStr">
        <is>
          <t>TIPO-P2</t>
        </is>
      </c>
      <c r="J135" s="11" t="n">
        <v>46237</v>
      </c>
      <c r="K135" s="3" t="n">
        <v>2</v>
      </c>
      <c r="L135" s="10" t="n">
        <v>50</v>
      </c>
      <c r="M135" s="6" t="n"/>
      <c r="N1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35" s="3">
        <f>IF(tblOrdenes[[#This Row],[fecha_inicio]]="","",YEAR(tblOrdenes[[#This Row],[fecha_inicio]]))</f>
        <v/>
      </c>
      <c r="R135" s="3">
        <f>IF(tblOrdenes[[#This Row],[fecha_inicio]]="","",MONTH(tblOrdenes[[#This Row],[fecha_inicio]]))</f>
        <v/>
      </c>
      <c r="S135" s="3">
        <f>IF(tblOrdenes[[#This Row],[fecha_inicio]]="","",INDEX(lista_dias,WEEKDAY(tblOrdenes[[#This Row],[fecha_inicio]],2)))</f>
        <v/>
      </c>
      <c r="T135" s="3">
        <f>IF(tblOrdenes[[#This Row],[tipo_ot]]="","",_xlfn.XLOOKUP(tblOrdenes[[#This Row],[tipo_ot]],tblTiposOT[codigo],tblTiposOT[clasificacion],"sin_clasificar"))</f>
        <v/>
      </c>
      <c r="U135" s="3">
        <f>IF(tblOrdenes[[#This Row],[centro_costo]]="","",_xlfn.XLOOKUP(tblOrdenes[[#This Row],[centro_costo]],tblCECO[codigo],tblCECO[linea],"(sin catálogo)"))</f>
        <v/>
      </c>
      <c r="V135" s="3">
        <f>IF(tblOrdenes[[#This Row],[centro_costo]]="","",_xlfn.XLOOKUP(tblOrdenes[[#This Row],[centro_costo]],tblCECO[codigo],tblCECO[area],"(sin catálogo)"))</f>
        <v/>
      </c>
      <c r="W135" s="3">
        <f>IF(tblOrdenes[[#This Row],[centro_costo]]="","",_xlfn.XLOOKUP(tblOrdenes[[#This Row],[centro_costo]],tblCECO[codigo],tblCECO[coordinador],"(sin catálogo)"))</f>
        <v/>
      </c>
      <c r="X135" s="3">
        <f>IF(tblOrdenes[[#This Row],[puesto_trabajo]]="","",_xlfn.XLOOKUP(tblOrdenes[[#This Row],[puesto_trabajo]],tblPuestos[codigo],tblPuestos[especialidad],"(sin catálogo)"))</f>
        <v/>
      </c>
      <c r="Y135" s="3">
        <f>IF(tblOrdenes[[#This Row],[cod_actividad]]="","",_xlfn.XLOOKUP(tblOrdenes[[#This Row],[cod_actividad]],tblActividades[codigo],tblActividades[descripcion],"(sin catálogo)"))</f>
        <v/>
      </c>
      <c r="Z135" s="12">
        <f>IF(tblOrdenes[[#This Row],[fecha_inicio]]="","",TODAY()-tblOrdenes[[#This Row],[fecha_inicio]])</f>
        <v/>
      </c>
      <c r="AA135" s="3">
        <f>IF(tblOrdenes[[#This Row],[backlog_dias]]="","",IF(tblOrdenes[[#This Row],[backlog_dias]]&lt;0,"FUTURO",IF(tblOrdenes[[#This Row],[backlog_dias]]&gt;p_dias_backlog_max,"BACKLOG","MES CORRIENTE")))</f>
        <v/>
      </c>
      <c r="AB135" s="3">
        <f>IF(tblOrdenes[[#This Row],[backlog_dias]]="",FALSE,AND(tblOrdenes[[#This Row],[backlog_dias]]&gt;p_dias_backlog_min,tblOrdenes[[#This Row],[backlog_dias]]&lt;=p_dias_backlog_max))</f>
        <v/>
      </c>
      <c r="AC135" s="6" t="inlineStr">
        <is>
          <t>Técnico 07</t>
        </is>
      </c>
      <c r="AD1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35" s="10">
        <f>IF(tblOrdenes[[#This Row],[orden]]="","",_xlfn.XLOOKUP(tblOrdenes[[#This Row],[id_operacion]],tblEjecucion[id_operacion],tblEjecucion[precio],0))</f>
        <v/>
      </c>
      <c r="AH135" s="10">
        <f>IF(tblOrdenes[[#This Row],[orden]]="","",MAX(0,_xlfn.XLOOKUP(tblOrdenes[[#This Row],[id_operacion]],tblEjecucion[id_operacion],tblEjecucion[costo_plan_total],0)-tblOrdenes[[#This Row],[costo_servicio]]))</f>
        <v/>
      </c>
      <c r="AI135" s="10">
        <f>IF(tblOrdenes[[#This Row],[orden]]="","",tblOrdenes[[#This Row],[costo_servicio]]+tblOrdenes[[#This Row],[costo_materiales]])</f>
        <v/>
      </c>
      <c r="AJ135" s="6" t="inlineStr"/>
      <c r="AK135" s="6" t="inlineStr"/>
      <c r="AL135" s="6" t="inlineStr"/>
      <c r="AM135" s="3">
        <f>IF(tblOrdenes[[#This Row],[link_checklist]]="","",HYPERLINK(p_ruta_base_checklists&amp;tblOrdenes[[#This Row],[link_checklist]],"abrir"))</f>
        <v/>
      </c>
      <c r="AN135" s="6" t="inlineStr"/>
      <c r="AO135" s="3">
        <f>IF(tblOrdenes[[#This Row],[orden]]="","",tblOrdenes[[#This Row],[orden]]&amp;IF(tblOrdenes[[#This Row],[operacion]]="","0010",tblOrdenes[[#This Row],[operacion]]))</f>
        <v/>
      </c>
    </row>
    <row r="136">
      <c r="A136" s="3" t="inlineStr">
        <is>
          <t>OT-000121</t>
        </is>
      </c>
      <c r="B136" s="3" t="inlineStr">
        <is>
          <t>0020</t>
        </is>
      </c>
      <c r="C136" s="3" t="inlineStr">
        <is>
          <t>Reparación de falla — EQ-102</t>
        </is>
      </c>
      <c r="D136" s="3" t="inlineStr">
        <is>
          <t>Segunda operación — EQ-102</t>
        </is>
      </c>
      <c r="E136" s="3" t="inlineStr">
        <is>
          <t>EQ-102</t>
        </is>
      </c>
      <c r="F136" s="3" t="inlineStr">
        <is>
          <t>CC-120</t>
        </is>
      </c>
      <c r="G136" s="3" t="inlineStr">
        <is>
          <t>PU-OP</t>
        </is>
      </c>
      <c r="H136" s="3" t="inlineStr">
        <is>
          <t>ACT-03</t>
        </is>
      </c>
      <c r="I136" s="3" t="inlineStr">
        <is>
          <t>TIPO-C2</t>
        </is>
      </c>
      <c r="J136" s="11" t="n">
        <v>46230</v>
      </c>
      <c r="K136" s="3" t="n">
        <v>2</v>
      </c>
      <c r="L136" s="10" t="n">
        <v>80</v>
      </c>
      <c r="M136" s="6" t="n"/>
      <c r="N1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36" s="3">
        <f>IF(tblOrdenes[[#This Row],[fecha_inicio]]="","",YEAR(tblOrdenes[[#This Row],[fecha_inicio]]))</f>
        <v/>
      </c>
      <c r="R136" s="3">
        <f>IF(tblOrdenes[[#This Row],[fecha_inicio]]="","",MONTH(tblOrdenes[[#This Row],[fecha_inicio]]))</f>
        <v/>
      </c>
      <c r="S136" s="3">
        <f>IF(tblOrdenes[[#This Row],[fecha_inicio]]="","",INDEX(lista_dias,WEEKDAY(tblOrdenes[[#This Row],[fecha_inicio]],2)))</f>
        <v/>
      </c>
      <c r="T136" s="3">
        <f>IF(tblOrdenes[[#This Row],[tipo_ot]]="","",_xlfn.XLOOKUP(tblOrdenes[[#This Row],[tipo_ot]],tblTiposOT[codigo],tblTiposOT[clasificacion],"sin_clasificar"))</f>
        <v/>
      </c>
      <c r="U136" s="3">
        <f>IF(tblOrdenes[[#This Row],[centro_costo]]="","",_xlfn.XLOOKUP(tblOrdenes[[#This Row],[centro_costo]],tblCECO[codigo],tblCECO[linea],"(sin catálogo)"))</f>
        <v/>
      </c>
      <c r="V136" s="3">
        <f>IF(tblOrdenes[[#This Row],[centro_costo]]="","",_xlfn.XLOOKUP(tblOrdenes[[#This Row],[centro_costo]],tblCECO[codigo],tblCECO[area],"(sin catálogo)"))</f>
        <v/>
      </c>
      <c r="W136" s="3">
        <f>IF(tblOrdenes[[#This Row],[centro_costo]]="","",_xlfn.XLOOKUP(tblOrdenes[[#This Row],[centro_costo]],tblCECO[codigo],tblCECO[coordinador],"(sin catálogo)"))</f>
        <v/>
      </c>
      <c r="X136" s="3">
        <f>IF(tblOrdenes[[#This Row],[puesto_trabajo]]="","",_xlfn.XLOOKUP(tblOrdenes[[#This Row],[puesto_trabajo]],tblPuestos[codigo],tblPuestos[especialidad],"(sin catálogo)"))</f>
        <v/>
      </c>
      <c r="Y136" s="3">
        <f>IF(tblOrdenes[[#This Row],[cod_actividad]]="","",_xlfn.XLOOKUP(tblOrdenes[[#This Row],[cod_actividad]],tblActividades[codigo],tblActividades[descripcion],"(sin catálogo)"))</f>
        <v/>
      </c>
      <c r="Z136" s="12">
        <f>IF(tblOrdenes[[#This Row],[fecha_inicio]]="","",TODAY()-tblOrdenes[[#This Row],[fecha_inicio]])</f>
        <v/>
      </c>
      <c r="AA136" s="3">
        <f>IF(tblOrdenes[[#This Row],[backlog_dias]]="","",IF(tblOrdenes[[#This Row],[backlog_dias]]&lt;0,"FUTURO",IF(tblOrdenes[[#This Row],[backlog_dias]]&gt;p_dias_backlog_max,"BACKLOG","MES CORRIENTE")))</f>
        <v/>
      </c>
      <c r="AB136" s="3">
        <f>IF(tblOrdenes[[#This Row],[backlog_dias]]="",FALSE,AND(tblOrdenes[[#This Row],[backlog_dias]]&gt;p_dias_backlog_min,tblOrdenes[[#This Row],[backlog_dias]]&lt;=p_dias_backlog_max))</f>
        <v/>
      </c>
      <c r="AC136" s="6" t="inlineStr">
        <is>
          <t>Técnico 10</t>
        </is>
      </c>
      <c r="AD1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36" s="10">
        <f>IF(tblOrdenes[[#This Row],[orden]]="","",_xlfn.XLOOKUP(tblOrdenes[[#This Row],[id_operacion]],tblEjecucion[id_operacion],tblEjecucion[precio],0))</f>
        <v/>
      </c>
      <c r="AH136" s="10">
        <f>IF(tblOrdenes[[#This Row],[orden]]="","",MAX(0,_xlfn.XLOOKUP(tblOrdenes[[#This Row],[id_operacion]],tblEjecucion[id_operacion],tblEjecucion[costo_plan_total],0)-tblOrdenes[[#This Row],[costo_servicio]]))</f>
        <v/>
      </c>
      <c r="AI136" s="10">
        <f>IF(tblOrdenes[[#This Row],[orden]]="","",tblOrdenes[[#This Row],[costo_servicio]]+tblOrdenes[[#This Row],[costo_materiales]])</f>
        <v/>
      </c>
      <c r="AJ136" s="6" t="inlineStr"/>
      <c r="AK136" s="6" t="inlineStr"/>
      <c r="AL136" s="6" t="inlineStr"/>
      <c r="AM136" s="3">
        <f>IF(tblOrdenes[[#This Row],[link_checklist]]="","",HYPERLINK(p_ruta_base_checklists&amp;tblOrdenes[[#This Row],[link_checklist]],"abrir"))</f>
        <v/>
      </c>
      <c r="AN136" s="6" t="inlineStr"/>
      <c r="AO136" s="3">
        <f>IF(tblOrdenes[[#This Row],[orden]]="","",tblOrdenes[[#This Row],[orden]]&amp;IF(tblOrdenes[[#This Row],[operacion]]="","0010",tblOrdenes[[#This Row],[operacion]]))</f>
        <v/>
      </c>
    </row>
    <row r="137">
      <c r="A137" s="3" t="inlineStr">
        <is>
          <t>OT-000134</t>
        </is>
      </c>
      <c r="B137" s="3" t="inlineStr">
        <is>
          <t>0010</t>
        </is>
      </c>
      <c r="C137" s="3" t="inlineStr">
        <is>
          <t>Reparación de falla — EQ-105</t>
        </is>
      </c>
      <c r="D137" s="3" t="inlineStr">
        <is>
          <t>Reparación de falla en EQ-105</t>
        </is>
      </c>
      <c r="E137" s="3" t="inlineStr">
        <is>
          <t>EQ-105</t>
        </is>
      </c>
      <c r="F137" s="3" t="inlineStr">
        <is>
          <t>CC-110</t>
        </is>
      </c>
      <c r="G137" s="3" t="inlineStr">
        <is>
          <t>PU-MEC</t>
        </is>
      </c>
      <c r="H137" s="3" t="inlineStr">
        <is>
          <t>ACT-03</t>
        </is>
      </c>
      <c r="I137" s="3" t="inlineStr">
        <is>
          <t>TIPO-C1</t>
        </is>
      </c>
      <c r="J137" s="11" t="n">
        <v>46178</v>
      </c>
      <c r="K137" s="3" t="n">
        <v>4</v>
      </c>
      <c r="L137" s="10" t="n">
        <v>160</v>
      </c>
      <c r="M137" s="6" t="n"/>
      <c r="N1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37" s="3">
        <f>IF(tblOrdenes[[#This Row],[fecha_inicio]]="","",YEAR(tblOrdenes[[#This Row],[fecha_inicio]]))</f>
        <v/>
      </c>
      <c r="R137" s="3">
        <f>IF(tblOrdenes[[#This Row],[fecha_inicio]]="","",MONTH(tblOrdenes[[#This Row],[fecha_inicio]]))</f>
        <v/>
      </c>
      <c r="S137" s="3">
        <f>IF(tblOrdenes[[#This Row],[fecha_inicio]]="","",INDEX(lista_dias,WEEKDAY(tblOrdenes[[#This Row],[fecha_inicio]],2)))</f>
        <v/>
      </c>
      <c r="T137" s="3">
        <f>IF(tblOrdenes[[#This Row],[tipo_ot]]="","",_xlfn.XLOOKUP(tblOrdenes[[#This Row],[tipo_ot]],tblTiposOT[codigo],tblTiposOT[clasificacion],"sin_clasificar"))</f>
        <v/>
      </c>
      <c r="U137" s="3">
        <f>IF(tblOrdenes[[#This Row],[centro_costo]]="","",_xlfn.XLOOKUP(tblOrdenes[[#This Row],[centro_costo]],tblCECO[codigo],tblCECO[linea],"(sin catálogo)"))</f>
        <v/>
      </c>
      <c r="V137" s="3">
        <f>IF(tblOrdenes[[#This Row],[centro_costo]]="","",_xlfn.XLOOKUP(tblOrdenes[[#This Row],[centro_costo]],tblCECO[codigo],tblCECO[area],"(sin catálogo)"))</f>
        <v/>
      </c>
      <c r="W137" s="3">
        <f>IF(tblOrdenes[[#This Row],[centro_costo]]="","",_xlfn.XLOOKUP(tblOrdenes[[#This Row],[centro_costo]],tblCECO[codigo],tblCECO[coordinador],"(sin catálogo)"))</f>
        <v/>
      </c>
      <c r="X137" s="3">
        <f>IF(tblOrdenes[[#This Row],[puesto_trabajo]]="","",_xlfn.XLOOKUP(tblOrdenes[[#This Row],[puesto_trabajo]],tblPuestos[codigo],tblPuestos[especialidad],"(sin catálogo)"))</f>
        <v/>
      </c>
      <c r="Y137" s="3">
        <f>IF(tblOrdenes[[#This Row],[cod_actividad]]="","",_xlfn.XLOOKUP(tblOrdenes[[#This Row],[cod_actividad]],tblActividades[codigo],tblActividades[descripcion],"(sin catálogo)"))</f>
        <v/>
      </c>
      <c r="Z137" s="12">
        <f>IF(tblOrdenes[[#This Row],[fecha_inicio]]="","",TODAY()-tblOrdenes[[#This Row],[fecha_inicio]])</f>
        <v/>
      </c>
      <c r="AA137" s="3">
        <f>IF(tblOrdenes[[#This Row],[backlog_dias]]="","",IF(tblOrdenes[[#This Row],[backlog_dias]]&lt;0,"FUTURO",IF(tblOrdenes[[#This Row],[backlog_dias]]&gt;p_dias_backlog_max,"BACKLOG","MES CORRIENTE")))</f>
        <v/>
      </c>
      <c r="AB137" s="3">
        <f>IF(tblOrdenes[[#This Row],[backlog_dias]]="",FALSE,AND(tblOrdenes[[#This Row],[backlog_dias]]&gt;p_dias_backlog_min,tblOrdenes[[#This Row],[backlog_dias]]&lt;=p_dias_backlog_max))</f>
        <v/>
      </c>
      <c r="AC137" s="6" t="inlineStr"/>
      <c r="AD1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37" s="10">
        <f>IF(tblOrdenes[[#This Row],[orden]]="","",_xlfn.XLOOKUP(tblOrdenes[[#This Row],[id_operacion]],tblEjecucion[id_operacion],tblEjecucion[precio],0))</f>
        <v/>
      </c>
      <c r="AH137" s="10">
        <f>IF(tblOrdenes[[#This Row],[orden]]="","",MAX(0,_xlfn.XLOOKUP(tblOrdenes[[#This Row],[id_operacion]],tblEjecucion[id_operacion],tblEjecucion[costo_plan_total],0)-tblOrdenes[[#This Row],[costo_servicio]]))</f>
        <v/>
      </c>
      <c r="AI137" s="10">
        <f>IF(tblOrdenes[[#This Row],[orden]]="","",tblOrdenes[[#This Row],[costo_servicio]]+tblOrdenes[[#This Row],[costo_materiales]])</f>
        <v/>
      </c>
      <c r="AJ137" s="6" t="inlineStr"/>
      <c r="AK137" s="6" t="inlineStr"/>
      <c r="AL137" s="6" t="inlineStr"/>
      <c r="AM137" s="3">
        <f>IF(tblOrdenes[[#This Row],[link_checklist]]="","",HYPERLINK(p_ruta_base_checklists&amp;tblOrdenes[[#This Row],[link_checklist]],"abrir"))</f>
        <v/>
      </c>
      <c r="AN137" s="6" t="inlineStr"/>
      <c r="AO137" s="3">
        <f>IF(tblOrdenes[[#This Row],[orden]]="","",tblOrdenes[[#This Row],[orden]]&amp;IF(tblOrdenes[[#This Row],[operacion]]="","0010",tblOrdenes[[#This Row],[operacion]]))</f>
        <v/>
      </c>
    </row>
    <row r="138">
      <c r="A138" s="3" t="inlineStr">
        <is>
          <t>OT-000135</t>
        </is>
      </c>
      <c r="B138" s="3" t="inlineStr">
        <is>
          <t>0010</t>
        </is>
      </c>
      <c r="C138" s="3" t="inlineStr">
        <is>
          <t>Reparación de falla — EQ-101</t>
        </is>
      </c>
      <c r="D138" s="3" t="inlineStr">
        <is>
          <t>Reparación de falla en EQ-101</t>
        </is>
      </c>
      <c r="E138" s="3" t="inlineStr">
        <is>
          <t>EQ-101</t>
        </is>
      </c>
      <c r="F138" s="3" t="inlineStr">
        <is>
          <t>CC-120</t>
        </is>
      </c>
      <c r="G138" s="3" t="inlineStr">
        <is>
          <t>PU-ELE</t>
        </is>
      </c>
      <c r="H138" s="3" t="inlineStr">
        <is>
          <t>ACT-03</t>
        </is>
      </c>
      <c r="I138" s="3" t="inlineStr">
        <is>
          <t>TIPO-C2</t>
        </is>
      </c>
      <c r="J138" s="11" t="n">
        <v>46178</v>
      </c>
      <c r="K138" s="3" t="n">
        <v>6</v>
      </c>
      <c r="L138" s="10" t="n">
        <v>240</v>
      </c>
      <c r="M138" s="6" t="n"/>
      <c r="N1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38" s="3">
        <f>IF(tblOrdenes[[#This Row],[fecha_inicio]]="","",YEAR(tblOrdenes[[#This Row],[fecha_inicio]]))</f>
        <v/>
      </c>
      <c r="R138" s="3">
        <f>IF(tblOrdenes[[#This Row],[fecha_inicio]]="","",MONTH(tblOrdenes[[#This Row],[fecha_inicio]]))</f>
        <v/>
      </c>
      <c r="S138" s="3">
        <f>IF(tblOrdenes[[#This Row],[fecha_inicio]]="","",INDEX(lista_dias,WEEKDAY(tblOrdenes[[#This Row],[fecha_inicio]],2)))</f>
        <v/>
      </c>
      <c r="T138" s="3">
        <f>IF(tblOrdenes[[#This Row],[tipo_ot]]="","",_xlfn.XLOOKUP(tblOrdenes[[#This Row],[tipo_ot]],tblTiposOT[codigo],tblTiposOT[clasificacion],"sin_clasificar"))</f>
        <v/>
      </c>
      <c r="U138" s="3">
        <f>IF(tblOrdenes[[#This Row],[centro_costo]]="","",_xlfn.XLOOKUP(tblOrdenes[[#This Row],[centro_costo]],tblCECO[codigo],tblCECO[linea],"(sin catálogo)"))</f>
        <v/>
      </c>
      <c r="V138" s="3">
        <f>IF(tblOrdenes[[#This Row],[centro_costo]]="","",_xlfn.XLOOKUP(tblOrdenes[[#This Row],[centro_costo]],tblCECO[codigo],tblCECO[area],"(sin catálogo)"))</f>
        <v/>
      </c>
      <c r="W138" s="3">
        <f>IF(tblOrdenes[[#This Row],[centro_costo]]="","",_xlfn.XLOOKUP(tblOrdenes[[#This Row],[centro_costo]],tblCECO[codigo],tblCECO[coordinador],"(sin catálogo)"))</f>
        <v/>
      </c>
      <c r="X138" s="3">
        <f>IF(tblOrdenes[[#This Row],[puesto_trabajo]]="","",_xlfn.XLOOKUP(tblOrdenes[[#This Row],[puesto_trabajo]],tblPuestos[codigo],tblPuestos[especialidad],"(sin catálogo)"))</f>
        <v/>
      </c>
      <c r="Y138" s="3">
        <f>IF(tblOrdenes[[#This Row],[cod_actividad]]="","",_xlfn.XLOOKUP(tblOrdenes[[#This Row],[cod_actividad]],tblActividades[codigo],tblActividades[descripcion],"(sin catálogo)"))</f>
        <v/>
      </c>
      <c r="Z138" s="12">
        <f>IF(tblOrdenes[[#This Row],[fecha_inicio]]="","",TODAY()-tblOrdenes[[#This Row],[fecha_inicio]])</f>
        <v/>
      </c>
      <c r="AA138" s="3">
        <f>IF(tblOrdenes[[#This Row],[backlog_dias]]="","",IF(tblOrdenes[[#This Row],[backlog_dias]]&lt;0,"FUTURO",IF(tblOrdenes[[#This Row],[backlog_dias]]&gt;p_dias_backlog_max,"BACKLOG","MES CORRIENTE")))</f>
        <v/>
      </c>
      <c r="AB138" s="3">
        <f>IF(tblOrdenes[[#This Row],[backlog_dias]]="",FALSE,AND(tblOrdenes[[#This Row],[backlog_dias]]&gt;p_dias_backlog_min,tblOrdenes[[#This Row],[backlog_dias]]&lt;=p_dias_backlog_max))</f>
        <v/>
      </c>
      <c r="AC138" s="6" t="inlineStr"/>
      <c r="AD1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38" s="10">
        <f>IF(tblOrdenes[[#This Row],[orden]]="","",_xlfn.XLOOKUP(tblOrdenes[[#This Row],[id_operacion]],tblEjecucion[id_operacion],tblEjecucion[precio],0))</f>
        <v/>
      </c>
      <c r="AH138" s="10">
        <f>IF(tblOrdenes[[#This Row],[orden]]="","",MAX(0,_xlfn.XLOOKUP(tblOrdenes[[#This Row],[id_operacion]],tblEjecucion[id_operacion],tblEjecucion[costo_plan_total],0)-tblOrdenes[[#This Row],[costo_servicio]]))</f>
        <v/>
      </c>
      <c r="AI138" s="10">
        <f>IF(tblOrdenes[[#This Row],[orden]]="","",tblOrdenes[[#This Row],[costo_servicio]]+tblOrdenes[[#This Row],[costo_materiales]])</f>
        <v/>
      </c>
      <c r="AJ138" s="6" t="inlineStr"/>
      <c r="AK138" s="6" t="inlineStr"/>
      <c r="AL138" s="6" t="inlineStr"/>
      <c r="AM138" s="3">
        <f>IF(tblOrdenes[[#This Row],[link_checklist]]="","",HYPERLINK(p_ruta_base_checklists&amp;tblOrdenes[[#This Row],[link_checklist]],"abrir"))</f>
        <v/>
      </c>
      <c r="AN138" s="6" t="inlineStr"/>
      <c r="AO138" s="3">
        <f>IF(tblOrdenes[[#This Row],[orden]]="","",tblOrdenes[[#This Row],[orden]]&amp;IF(tblOrdenes[[#This Row],[operacion]]="","0010",tblOrdenes[[#This Row],[operacion]]))</f>
        <v/>
      </c>
    </row>
    <row r="139">
      <c r="A139" s="3" t="inlineStr">
        <is>
          <t>OT-000136</t>
        </is>
      </c>
      <c r="B139" s="3" t="inlineStr">
        <is>
          <t>0010</t>
        </is>
      </c>
      <c r="C139" s="3" t="inlineStr">
        <is>
          <t>Reparación de falla — EQ-106</t>
        </is>
      </c>
      <c r="D139" s="3" t="inlineStr">
        <is>
          <t>Reparación de falla en EQ-106</t>
        </is>
      </c>
      <c r="E139" s="3" t="inlineStr">
        <is>
          <t>EQ-106</t>
        </is>
      </c>
      <c r="F139" s="3" t="inlineStr">
        <is>
          <t>CC-210</t>
        </is>
      </c>
      <c r="G139" s="3" t="inlineStr">
        <is>
          <t>PU-AUT</t>
        </is>
      </c>
      <c r="H139" s="3" t="inlineStr">
        <is>
          <t>ACT-03</t>
        </is>
      </c>
      <c r="I139" s="3" t="inlineStr">
        <is>
          <t>TIPO-C1</t>
        </is>
      </c>
      <c r="J139" s="11" t="n">
        <v>46178</v>
      </c>
      <c r="K139" s="3" t="n">
        <v>8</v>
      </c>
      <c r="L139" s="10" t="n">
        <v>320</v>
      </c>
      <c r="M139" s="6" t="n"/>
      <c r="N1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39" s="3">
        <f>IF(tblOrdenes[[#This Row],[fecha_inicio]]="","",YEAR(tblOrdenes[[#This Row],[fecha_inicio]]))</f>
        <v/>
      </c>
      <c r="R139" s="3">
        <f>IF(tblOrdenes[[#This Row],[fecha_inicio]]="","",MONTH(tblOrdenes[[#This Row],[fecha_inicio]]))</f>
        <v/>
      </c>
      <c r="S139" s="3">
        <f>IF(tblOrdenes[[#This Row],[fecha_inicio]]="","",INDEX(lista_dias,WEEKDAY(tblOrdenes[[#This Row],[fecha_inicio]],2)))</f>
        <v/>
      </c>
      <c r="T139" s="3">
        <f>IF(tblOrdenes[[#This Row],[tipo_ot]]="","",_xlfn.XLOOKUP(tblOrdenes[[#This Row],[tipo_ot]],tblTiposOT[codigo],tblTiposOT[clasificacion],"sin_clasificar"))</f>
        <v/>
      </c>
      <c r="U139" s="3">
        <f>IF(tblOrdenes[[#This Row],[centro_costo]]="","",_xlfn.XLOOKUP(tblOrdenes[[#This Row],[centro_costo]],tblCECO[codigo],tblCECO[linea],"(sin catálogo)"))</f>
        <v/>
      </c>
      <c r="V139" s="3">
        <f>IF(tblOrdenes[[#This Row],[centro_costo]]="","",_xlfn.XLOOKUP(tblOrdenes[[#This Row],[centro_costo]],tblCECO[codigo],tblCECO[area],"(sin catálogo)"))</f>
        <v/>
      </c>
      <c r="W139" s="3">
        <f>IF(tblOrdenes[[#This Row],[centro_costo]]="","",_xlfn.XLOOKUP(tblOrdenes[[#This Row],[centro_costo]],tblCECO[codigo],tblCECO[coordinador],"(sin catálogo)"))</f>
        <v/>
      </c>
      <c r="X139" s="3">
        <f>IF(tblOrdenes[[#This Row],[puesto_trabajo]]="","",_xlfn.XLOOKUP(tblOrdenes[[#This Row],[puesto_trabajo]],tblPuestos[codigo],tblPuestos[especialidad],"(sin catálogo)"))</f>
        <v/>
      </c>
      <c r="Y139" s="3">
        <f>IF(tblOrdenes[[#This Row],[cod_actividad]]="","",_xlfn.XLOOKUP(tblOrdenes[[#This Row],[cod_actividad]],tblActividades[codigo],tblActividades[descripcion],"(sin catálogo)"))</f>
        <v/>
      </c>
      <c r="Z139" s="12">
        <f>IF(tblOrdenes[[#This Row],[fecha_inicio]]="","",TODAY()-tblOrdenes[[#This Row],[fecha_inicio]])</f>
        <v/>
      </c>
      <c r="AA139" s="3">
        <f>IF(tblOrdenes[[#This Row],[backlog_dias]]="","",IF(tblOrdenes[[#This Row],[backlog_dias]]&lt;0,"FUTURO",IF(tblOrdenes[[#This Row],[backlog_dias]]&gt;p_dias_backlog_max,"BACKLOG","MES CORRIENTE")))</f>
        <v/>
      </c>
      <c r="AB139" s="3">
        <f>IF(tblOrdenes[[#This Row],[backlog_dias]]="",FALSE,AND(tblOrdenes[[#This Row],[backlog_dias]]&gt;p_dias_backlog_min,tblOrdenes[[#This Row],[backlog_dias]]&lt;=p_dias_backlog_max))</f>
        <v/>
      </c>
      <c r="AC139" s="6" t="inlineStr"/>
      <c r="AD1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39" s="10">
        <f>IF(tblOrdenes[[#This Row],[orden]]="","",_xlfn.XLOOKUP(tblOrdenes[[#This Row],[id_operacion]],tblEjecucion[id_operacion],tblEjecucion[precio],0))</f>
        <v/>
      </c>
      <c r="AH139" s="10">
        <f>IF(tblOrdenes[[#This Row],[orden]]="","",MAX(0,_xlfn.XLOOKUP(tblOrdenes[[#This Row],[id_operacion]],tblEjecucion[id_operacion],tblEjecucion[costo_plan_total],0)-tblOrdenes[[#This Row],[costo_servicio]]))</f>
        <v/>
      </c>
      <c r="AI139" s="10">
        <f>IF(tblOrdenes[[#This Row],[orden]]="","",tblOrdenes[[#This Row],[costo_servicio]]+tblOrdenes[[#This Row],[costo_materiales]])</f>
        <v/>
      </c>
      <c r="AJ139" s="6" t="inlineStr"/>
      <c r="AK139" s="6" t="inlineStr"/>
      <c r="AL139" s="6" t="inlineStr"/>
      <c r="AM139" s="3">
        <f>IF(tblOrdenes[[#This Row],[link_checklist]]="","",HYPERLINK(p_ruta_base_checklists&amp;tblOrdenes[[#This Row],[link_checklist]],"abrir"))</f>
        <v/>
      </c>
      <c r="AN139" s="6" t="inlineStr"/>
      <c r="AO139" s="3">
        <f>IF(tblOrdenes[[#This Row],[orden]]="","",tblOrdenes[[#This Row],[orden]]&amp;IF(tblOrdenes[[#This Row],[operacion]]="","0010",tblOrdenes[[#This Row],[operacion]]))</f>
        <v/>
      </c>
    </row>
    <row r="140">
      <c r="A140" s="3" t="inlineStr">
        <is>
          <t>OT-000137</t>
        </is>
      </c>
      <c r="B140" s="3" t="inlineStr">
        <is>
          <t>0010</t>
        </is>
      </c>
      <c r="C140" s="3" t="inlineStr">
        <is>
          <t>Análisis predictivo — EQ-107</t>
        </is>
      </c>
      <c r="D140" s="3" t="inlineStr">
        <is>
          <t>Análisis predictivo en EQ-107</t>
        </is>
      </c>
      <c r="E140" s="3" t="inlineStr">
        <is>
          <t>EQ-107</t>
        </is>
      </c>
      <c r="F140" s="3" t="inlineStr">
        <is>
          <t>CC-220</t>
        </is>
      </c>
      <c r="G140" s="3" t="inlineStr">
        <is>
          <t>PU-OP</t>
        </is>
      </c>
      <c r="H140" s="3" t="inlineStr">
        <is>
          <t>ACT-04</t>
        </is>
      </c>
      <c r="I140" s="3" t="inlineStr">
        <is>
          <t>TIPO-P2</t>
        </is>
      </c>
      <c r="J140" s="11" t="n">
        <v>46178</v>
      </c>
      <c r="K140" s="3" t="n">
        <v>4</v>
      </c>
      <c r="L140" s="10" t="n">
        <v>100</v>
      </c>
      <c r="M140" s="6" t="n"/>
      <c r="N1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40" s="3">
        <f>IF(tblOrdenes[[#This Row],[fecha_inicio]]="","",YEAR(tblOrdenes[[#This Row],[fecha_inicio]]))</f>
        <v/>
      </c>
      <c r="R140" s="3">
        <f>IF(tblOrdenes[[#This Row],[fecha_inicio]]="","",MONTH(tblOrdenes[[#This Row],[fecha_inicio]]))</f>
        <v/>
      </c>
      <c r="S140" s="3">
        <f>IF(tblOrdenes[[#This Row],[fecha_inicio]]="","",INDEX(lista_dias,WEEKDAY(tblOrdenes[[#This Row],[fecha_inicio]],2)))</f>
        <v/>
      </c>
      <c r="T140" s="3">
        <f>IF(tblOrdenes[[#This Row],[tipo_ot]]="","",_xlfn.XLOOKUP(tblOrdenes[[#This Row],[tipo_ot]],tblTiposOT[codigo],tblTiposOT[clasificacion],"sin_clasificar"))</f>
        <v/>
      </c>
      <c r="U140" s="3">
        <f>IF(tblOrdenes[[#This Row],[centro_costo]]="","",_xlfn.XLOOKUP(tblOrdenes[[#This Row],[centro_costo]],tblCECO[codigo],tblCECO[linea],"(sin catálogo)"))</f>
        <v/>
      </c>
      <c r="V140" s="3">
        <f>IF(tblOrdenes[[#This Row],[centro_costo]]="","",_xlfn.XLOOKUP(tblOrdenes[[#This Row],[centro_costo]],tblCECO[codigo],tblCECO[area],"(sin catálogo)"))</f>
        <v/>
      </c>
      <c r="W140" s="3">
        <f>IF(tblOrdenes[[#This Row],[centro_costo]]="","",_xlfn.XLOOKUP(tblOrdenes[[#This Row],[centro_costo]],tblCECO[codigo],tblCECO[coordinador],"(sin catálogo)"))</f>
        <v/>
      </c>
      <c r="X140" s="3">
        <f>IF(tblOrdenes[[#This Row],[puesto_trabajo]]="","",_xlfn.XLOOKUP(tblOrdenes[[#This Row],[puesto_trabajo]],tblPuestos[codigo],tblPuestos[especialidad],"(sin catálogo)"))</f>
        <v/>
      </c>
      <c r="Y140" s="3">
        <f>IF(tblOrdenes[[#This Row],[cod_actividad]]="","",_xlfn.XLOOKUP(tblOrdenes[[#This Row],[cod_actividad]],tblActividades[codigo],tblActividades[descripcion],"(sin catálogo)"))</f>
        <v/>
      </c>
      <c r="Z140" s="12">
        <f>IF(tblOrdenes[[#This Row],[fecha_inicio]]="","",TODAY()-tblOrdenes[[#This Row],[fecha_inicio]])</f>
        <v/>
      </c>
      <c r="AA140" s="3">
        <f>IF(tblOrdenes[[#This Row],[backlog_dias]]="","",IF(tblOrdenes[[#This Row],[backlog_dias]]&lt;0,"FUTURO",IF(tblOrdenes[[#This Row],[backlog_dias]]&gt;p_dias_backlog_max,"BACKLOG","MES CORRIENTE")))</f>
        <v/>
      </c>
      <c r="AB140" s="3">
        <f>IF(tblOrdenes[[#This Row],[backlog_dias]]="",FALSE,AND(tblOrdenes[[#This Row],[backlog_dias]]&gt;p_dias_backlog_min,tblOrdenes[[#This Row],[backlog_dias]]&lt;=p_dias_backlog_max))</f>
        <v/>
      </c>
      <c r="AC140" s="6" t="inlineStr"/>
      <c r="AD1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40" s="10">
        <f>IF(tblOrdenes[[#This Row],[orden]]="","",_xlfn.XLOOKUP(tblOrdenes[[#This Row],[id_operacion]],tblEjecucion[id_operacion],tblEjecucion[precio],0))</f>
        <v/>
      </c>
      <c r="AH140" s="10">
        <f>IF(tblOrdenes[[#This Row],[orden]]="","",MAX(0,_xlfn.XLOOKUP(tblOrdenes[[#This Row],[id_operacion]],tblEjecucion[id_operacion],tblEjecucion[costo_plan_total],0)-tblOrdenes[[#This Row],[costo_servicio]]))</f>
        <v/>
      </c>
      <c r="AI140" s="10">
        <f>IF(tblOrdenes[[#This Row],[orden]]="","",tblOrdenes[[#This Row],[costo_servicio]]+tblOrdenes[[#This Row],[costo_materiales]])</f>
        <v/>
      </c>
      <c r="AJ140" s="6" t="inlineStr"/>
      <c r="AK140" s="6" t="inlineStr"/>
      <c r="AL140" s="6" t="inlineStr"/>
      <c r="AM140" s="3">
        <f>IF(tblOrdenes[[#This Row],[link_checklist]]="","",HYPERLINK(p_ruta_base_checklists&amp;tblOrdenes[[#This Row],[link_checklist]],"abrir"))</f>
        <v/>
      </c>
      <c r="AN140" s="6" t="inlineStr"/>
      <c r="AO140" s="3">
        <f>IF(tblOrdenes[[#This Row],[orden]]="","",tblOrdenes[[#This Row],[orden]]&amp;IF(tblOrdenes[[#This Row],[operacion]]="","0010",tblOrdenes[[#This Row],[operacion]]))</f>
        <v/>
      </c>
    </row>
    <row r="141">
      <c r="A141" s="3" t="inlineStr">
        <is>
          <t>OT-000138</t>
        </is>
      </c>
      <c r="B141" s="3" t="inlineStr">
        <is>
          <t>0010</t>
        </is>
      </c>
      <c r="C141" s="3" t="inlineStr">
        <is>
          <t>Reparación de falla — EQ-110</t>
        </is>
      </c>
      <c r="D141" s="3" t="inlineStr">
        <is>
          <t>Reparación de falla en EQ-110</t>
        </is>
      </c>
      <c r="E141" s="3" t="inlineStr">
        <is>
          <t>EQ-110</t>
        </is>
      </c>
      <c r="F141" s="3" t="inlineStr">
        <is>
          <t>CC-310</t>
        </is>
      </c>
      <c r="G141" s="3" t="inlineStr">
        <is>
          <t>PU-MEC</t>
        </is>
      </c>
      <c r="H141" s="3" t="inlineStr">
        <is>
          <t>ACT-03</t>
        </is>
      </c>
      <c r="I141" s="3" t="inlineStr">
        <is>
          <t>TIPO-C1</t>
        </is>
      </c>
      <c r="J141" s="11" t="n">
        <v>46178</v>
      </c>
      <c r="K141" s="3" t="n">
        <v>6</v>
      </c>
      <c r="L141" s="10" t="n">
        <v>240</v>
      </c>
      <c r="M141" s="6" t="n"/>
      <c r="N1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41" s="3">
        <f>IF(tblOrdenes[[#This Row],[fecha_inicio]]="","",YEAR(tblOrdenes[[#This Row],[fecha_inicio]]))</f>
        <v/>
      </c>
      <c r="R141" s="3">
        <f>IF(tblOrdenes[[#This Row],[fecha_inicio]]="","",MONTH(tblOrdenes[[#This Row],[fecha_inicio]]))</f>
        <v/>
      </c>
      <c r="S141" s="3">
        <f>IF(tblOrdenes[[#This Row],[fecha_inicio]]="","",INDEX(lista_dias,WEEKDAY(tblOrdenes[[#This Row],[fecha_inicio]],2)))</f>
        <v/>
      </c>
      <c r="T141" s="3">
        <f>IF(tblOrdenes[[#This Row],[tipo_ot]]="","",_xlfn.XLOOKUP(tblOrdenes[[#This Row],[tipo_ot]],tblTiposOT[codigo],tblTiposOT[clasificacion],"sin_clasificar"))</f>
        <v/>
      </c>
      <c r="U141" s="3">
        <f>IF(tblOrdenes[[#This Row],[centro_costo]]="","",_xlfn.XLOOKUP(tblOrdenes[[#This Row],[centro_costo]],tblCECO[codigo],tblCECO[linea],"(sin catálogo)"))</f>
        <v/>
      </c>
      <c r="V141" s="3">
        <f>IF(tblOrdenes[[#This Row],[centro_costo]]="","",_xlfn.XLOOKUP(tblOrdenes[[#This Row],[centro_costo]],tblCECO[codigo],tblCECO[area],"(sin catálogo)"))</f>
        <v/>
      </c>
      <c r="W141" s="3">
        <f>IF(tblOrdenes[[#This Row],[centro_costo]]="","",_xlfn.XLOOKUP(tblOrdenes[[#This Row],[centro_costo]],tblCECO[codigo],tblCECO[coordinador],"(sin catálogo)"))</f>
        <v/>
      </c>
      <c r="X141" s="3">
        <f>IF(tblOrdenes[[#This Row],[puesto_trabajo]]="","",_xlfn.XLOOKUP(tblOrdenes[[#This Row],[puesto_trabajo]],tblPuestos[codigo],tblPuestos[especialidad],"(sin catálogo)"))</f>
        <v/>
      </c>
      <c r="Y141" s="3">
        <f>IF(tblOrdenes[[#This Row],[cod_actividad]]="","",_xlfn.XLOOKUP(tblOrdenes[[#This Row],[cod_actividad]],tblActividades[codigo],tblActividades[descripcion],"(sin catálogo)"))</f>
        <v/>
      </c>
      <c r="Z141" s="12">
        <f>IF(tblOrdenes[[#This Row],[fecha_inicio]]="","",TODAY()-tblOrdenes[[#This Row],[fecha_inicio]])</f>
        <v/>
      </c>
      <c r="AA141" s="3">
        <f>IF(tblOrdenes[[#This Row],[backlog_dias]]="","",IF(tblOrdenes[[#This Row],[backlog_dias]]&lt;0,"FUTURO",IF(tblOrdenes[[#This Row],[backlog_dias]]&gt;p_dias_backlog_max,"BACKLOG","MES CORRIENTE")))</f>
        <v/>
      </c>
      <c r="AB141" s="3">
        <f>IF(tblOrdenes[[#This Row],[backlog_dias]]="",FALSE,AND(tblOrdenes[[#This Row],[backlog_dias]]&gt;p_dias_backlog_min,tblOrdenes[[#This Row],[backlog_dias]]&lt;=p_dias_backlog_max))</f>
        <v/>
      </c>
      <c r="AC141" s="6" t="inlineStr"/>
      <c r="AD1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41" s="10">
        <f>IF(tblOrdenes[[#This Row],[orden]]="","",_xlfn.XLOOKUP(tblOrdenes[[#This Row],[id_operacion]],tblEjecucion[id_operacion],tblEjecucion[precio],0))</f>
        <v/>
      </c>
      <c r="AH141" s="10">
        <f>IF(tblOrdenes[[#This Row],[orden]]="","",MAX(0,_xlfn.XLOOKUP(tblOrdenes[[#This Row],[id_operacion]],tblEjecucion[id_operacion],tblEjecucion[costo_plan_total],0)-tblOrdenes[[#This Row],[costo_servicio]]))</f>
        <v/>
      </c>
      <c r="AI141" s="10">
        <f>IF(tblOrdenes[[#This Row],[orden]]="","",tblOrdenes[[#This Row],[costo_servicio]]+tblOrdenes[[#This Row],[costo_materiales]])</f>
        <v/>
      </c>
      <c r="AJ141" s="6" t="inlineStr"/>
      <c r="AK141" s="6" t="inlineStr"/>
      <c r="AL141" s="6" t="inlineStr"/>
      <c r="AM141" s="3">
        <f>IF(tblOrdenes[[#This Row],[link_checklist]]="","",HYPERLINK(p_ruta_base_checklists&amp;tblOrdenes[[#This Row],[link_checklist]],"abrir"))</f>
        <v/>
      </c>
      <c r="AN141" s="6" t="inlineStr"/>
      <c r="AO141" s="3">
        <f>IF(tblOrdenes[[#This Row],[orden]]="","",tblOrdenes[[#This Row],[orden]]&amp;IF(tblOrdenes[[#This Row],[operacion]]="","0010",tblOrdenes[[#This Row],[operacion]]))</f>
        <v/>
      </c>
    </row>
    <row r="142">
      <c r="A142" s="3" t="inlineStr">
        <is>
          <t>OT-000139</t>
        </is>
      </c>
      <c r="B142" s="3" t="inlineStr">
        <is>
          <t>0010</t>
        </is>
      </c>
      <c r="C142" s="3" t="inlineStr">
        <is>
          <t>Reparación de falla — EQ-111</t>
        </is>
      </c>
      <c r="D142" s="3" t="inlineStr">
        <is>
          <t>Reparación de falla en EQ-111</t>
        </is>
      </c>
      <c r="E142" s="3" t="inlineStr">
        <is>
          <t>EQ-111</t>
        </is>
      </c>
      <c r="F142" s="3" t="inlineStr">
        <is>
          <t>CC-320</t>
        </is>
      </c>
      <c r="G142" s="3" t="inlineStr">
        <is>
          <t>PU-ELE</t>
        </is>
      </c>
      <c r="H142" s="3" t="inlineStr">
        <is>
          <t>ACT-03</t>
        </is>
      </c>
      <c r="I142" s="3" t="inlineStr">
        <is>
          <t>TIPO-C2</t>
        </is>
      </c>
      <c r="J142" s="11" t="n">
        <v>46178</v>
      </c>
      <c r="K142" s="3" t="n">
        <v>8</v>
      </c>
      <c r="L142" s="10" t="n">
        <v>320</v>
      </c>
      <c r="M142" s="6" t="n"/>
      <c r="N1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42" s="3">
        <f>IF(tblOrdenes[[#This Row],[fecha_inicio]]="","",YEAR(tblOrdenes[[#This Row],[fecha_inicio]]))</f>
        <v/>
      </c>
      <c r="R142" s="3">
        <f>IF(tblOrdenes[[#This Row],[fecha_inicio]]="","",MONTH(tblOrdenes[[#This Row],[fecha_inicio]]))</f>
        <v/>
      </c>
      <c r="S142" s="3">
        <f>IF(tblOrdenes[[#This Row],[fecha_inicio]]="","",INDEX(lista_dias,WEEKDAY(tblOrdenes[[#This Row],[fecha_inicio]],2)))</f>
        <v/>
      </c>
      <c r="T142" s="3">
        <f>IF(tblOrdenes[[#This Row],[tipo_ot]]="","",_xlfn.XLOOKUP(tblOrdenes[[#This Row],[tipo_ot]],tblTiposOT[codigo],tblTiposOT[clasificacion],"sin_clasificar"))</f>
        <v/>
      </c>
      <c r="U142" s="3">
        <f>IF(tblOrdenes[[#This Row],[centro_costo]]="","",_xlfn.XLOOKUP(tblOrdenes[[#This Row],[centro_costo]],tblCECO[codigo],tblCECO[linea],"(sin catálogo)"))</f>
        <v/>
      </c>
      <c r="V142" s="3">
        <f>IF(tblOrdenes[[#This Row],[centro_costo]]="","",_xlfn.XLOOKUP(tblOrdenes[[#This Row],[centro_costo]],tblCECO[codigo],tblCECO[area],"(sin catálogo)"))</f>
        <v/>
      </c>
      <c r="W142" s="3">
        <f>IF(tblOrdenes[[#This Row],[centro_costo]]="","",_xlfn.XLOOKUP(tblOrdenes[[#This Row],[centro_costo]],tblCECO[codigo],tblCECO[coordinador],"(sin catálogo)"))</f>
        <v/>
      </c>
      <c r="X142" s="3">
        <f>IF(tblOrdenes[[#This Row],[puesto_trabajo]]="","",_xlfn.XLOOKUP(tblOrdenes[[#This Row],[puesto_trabajo]],tblPuestos[codigo],tblPuestos[especialidad],"(sin catálogo)"))</f>
        <v/>
      </c>
      <c r="Y142" s="3">
        <f>IF(tblOrdenes[[#This Row],[cod_actividad]]="","",_xlfn.XLOOKUP(tblOrdenes[[#This Row],[cod_actividad]],tblActividades[codigo],tblActividades[descripcion],"(sin catálogo)"))</f>
        <v/>
      </c>
      <c r="Z142" s="12">
        <f>IF(tblOrdenes[[#This Row],[fecha_inicio]]="","",TODAY()-tblOrdenes[[#This Row],[fecha_inicio]])</f>
        <v/>
      </c>
      <c r="AA142" s="3">
        <f>IF(tblOrdenes[[#This Row],[backlog_dias]]="","",IF(tblOrdenes[[#This Row],[backlog_dias]]&lt;0,"FUTURO",IF(tblOrdenes[[#This Row],[backlog_dias]]&gt;p_dias_backlog_max,"BACKLOG","MES CORRIENTE")))</f>
        <v/>
      </c>
      <c r="AB142" s="3">
        <f>IF(tblOrdenes[[#This Row],[backlog_dias]]="",FALSE,AND(tblOrdenes[[#This Row],[backlog_dias]]&gt;p_dias_backlog_min,tblOrdenes[[#This Row],[backlog_dias]]&lt;=p_dias_backlog_max))</f>
        <v/>
      </c>
      <c r="AC142" s="6" t="inlineStr"/>
      <c r="AD1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42" s="10">
        <f>IF(tblOrdenes[[#This Row],[orden]]="","",_xlfn.XLOOKUP(tblOrdenes[[#This Row],[id_operacion]],tblEjecucion[id_operacion],tblEjecucion[precio],0))</f>
        <v/>
      </c>
      <c r="AH142" s="10">
        <f>IF(tblOrdenes[[#This Row],[orden]]="","",MAX(0,_xlfn.XLOOKUP(tblOrdenes[[#This Row],[id_operacion]],tblEjecucion[id_operacion],tblEjecucion[costo_plan_total],0)-tblOrdenes[[#This Row],[costo_servicio]]))</f>
        <v/>
      </c>
      <c r="AI142" s="10">
        <f>IF(tblOrdenes[[#This Row],[orden]]="","",tblOrdenes[[#This Row],[costo_servicio]]+tblOrdenes[[#This Row],[costo_materiales]])</f>
        <v/>
      </c>
      <c r="AJ142" s="6" t="inlineStr"/>
      <c r="AK142" s="6" t="inlineStr"/>
      <c r="AL142" s="6" t="inlineStr"/>
      <c r="AM142" s="3">
        <f>IF(tblOrdenes[[#This Row],[link_checklist]]="","",HYPERLINK(p_ruta_base_checklists&amp;tblOrdenes[[#This Row],[link_checklist]],"abrir"))</f>
        <v/>
      </c>
      <c r="AN142" s="6" t="inlineStr"/>
      <c r="AO142" s="3">
        <f>IF(tblOrdenes[[#This Row],[orden]]="","",tblOrdenes[[#This Row],[orden]]&amp;IF(tblOrdenes[[#This Row],[operacion]]="","0010",tblOrdenes[[#This Row],[operacion]]))</f>
        <v/>
      </c>
    </row>
    <row r="143">
      <c r="A143" s="3" t="inlineStr">
        <is>
          <t>OT-000140</t>
        </is>
      </c>
      <c r="B143" s="3" t="inlineStr">
        <is>
          <t>0010</t>
        </is>
      </c>
      <c r="C143" s="3" t="inlineStr">
        <is>
          <t>Reparación de falla — EQ-101</t>
        </is>
      </c>
      <c r="D143" s="3" t="inlineStr">
        <is>
          <t>Reparación de falla en EQ-101</t>
        </is>
      </c>
      <c r="E143" s="3" t="inlineStr">
        <is>
          <t>EQ-101</t>
        </is>
      </c>
      <c r="F143" s="3" t="inlineStr">
        <is>
          <t>CC-110</t>
        </is>
      </c>
      <c r="G143" s="3" t="inlineStr">
        <is>
          <t>PU-AUT</t>
        </is>
      </c>
      <c r="H143" s="3" t="inlineStr">
        <is>
          <t>ACT-03</t>
        </is>
      </c>
      <c r="I143" s="3" t="inlineStr">
        <is>
          <t>TIPO-C1</t>
        </is>
      </c>
      <c r="J143" s="11" t="n">
        <v>46178</v>
      </c>
      <c r="K143" s="3" t="n">
        <v>4</v>
      </c>
      <c r="L143" s="10" t="n">
        <v>160</v>
      </c>
      <c r="M143" s="6" t="n"/>
      <c r="N1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43" s="3">
        <f>IF(tblOrdenes[[#This Row],[fecha_inicio]]="","",YEAR(tblOrdenes[[#This Row],[fecha_inicio]]))</f>
        <v/>
      </c>
      <c r="R143" s="3">
        <f>IF(tblOrdenes[[#This Row],[fecha_inicio]]="","",MONTH(tblOrdenes[[#This Row],[fecha_inicio]]))</f>
        <v/>
      </c>
      <c r="S143" s="3">
        <f>IF(tblOrdenes[[#This Row],[fecha_inicio]]="","",INDEX(lista_dias,WEEKDAY(tblOrdenes[[#This Row],[fecha_inicio]],2)))</f>
        <v/>
      </c>
      <c r="T143" s="3">
        <f>IF(tblOrdenes[[#This Row],[tipo_ot]]="","",_xlfn.XLOOKUP(tblOrdenes[[#This Row],[tipo_ot]],tblTiposOT[codigo],tblTiposOT[clasificacion],"sin_clasificar"))</f>
        <v/>
      </c>
      <c r="U143" s="3">
        <f>IF(tblOrdenes[[#This Row],[centro_costo]]="","",_xlfn.XLOOKUP(tblOrdenes[[#This Row],[centro_costo]],tblCECO[codigo],tblCECO[linea],"(sin catálogo)"))</f>
        <v/>
      </c>
      <c r="V143" s="3">
        <f>IF(tblOrdenes[[#This Row],[centro_costo]]="","",_xlfn.XLOOKUP(tblOrdenes[[#This Row],[centro_costo]],tblCECO[codigo],tblCECO[area],"(sin catálogo)"))</f>
        <v/>
      </c>
      <c r="W143" s="3">
        <f>IF(tblOrdenes[[#This Row],[centro_costo]]="","",_xlfn.XLOOKUP(tblOrdenes[[#This Row],[centro_costo]],tblCECO[codigo],tblCECO[coordinador],"(sin catálogo)"))</f>
        <v/>
      </c>
      <c r="X143" s="3">
        <f>IF(tblOrdenes[[#This Row],[puesto_trabajo]]="","",_xlfn.XLOOKUP(tblOrdenes[[#This Row],[puesto_trabajo]],tblPuestos[codigo],tblPuestos[especialidad],"(sin catálogo)"))</f>
        <v/>
      </c>
      <c r="Y143" s="3">
        <f>IF(tblOrdenes[[#This Row],[cod_actividad]]="","",_xlfn.XLOOKUP(tblOrdenes[[#This Row],[cod_actividad]],tblActividades[codigo],tblActividades[descripcion],"(sin catálogo)"))</f>
        <v/>
      </c>
      <c r="Z143" s="12">
        <f>IF(tblOrdenes[[#This Row],[fecha_inicio]]="","",TODAY()-tblOrdenes[[#This Row],[fecha_inicio]])</f>
        <v/>
      </c>
      <c r="AA143" s="3">
        <f>IF(tblOrdenes[[#This Row],[backlog_dias]]="","",IF(tblOrdenes[[#This Row],[backlog_dias]]&lt;0,"FUTURO",IF(tblOrdenes[[#This Row],[backlog_dias]]&gt;p_dias_backlog_max,"BACKLOG","MES CORRIENTE")))</f>
        <v/>
      </c>
      <c r="AB143" s="3">
        <f>IF(tblOrdenes[[#This Row],[backlog_dias]]="",FALSE,AND(tblOrdenes[[#This Row],[backlog_dias]]&gt;p_dias_backlog_min,tblOrdenes[[#This Row],[backlog_dias]]&lt;=p_dias_backlog_max))</f>
        <v/>
      </c>
      <c r="AC143" s="6" t="inlineStr"/>
      <c r="AD1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43" s="10">
        <f>IF(tblOrdenes[[#This Row],[orden]]="","",_xlfn.XLOOKUP(tblOrdenes[[#This Row],[id_operacion]],tblEjecucion[id_operacion],tblEjecucion[precio],0))</f>
        <v/>
      </c>
      <c r="AH143" s="10">
        <f>IF(tblOrdenes[[#This Row],[orden]]="","",MAX(0,_xlfn.XLOOKUP(tblOrdenes[[#This Row],[id_operacion]],tblEjecucion[id_operacion],tblEjecucion[costo_plan_total],0)-tblOrdenes[[#This Row],[costo_servicio]]))</f>
        <v/>
      </c>
      <c r="AI143" s="10">
        <f>IF(tblOrdenes[[#This Row],[orden]]="","",tblOrdenes[[#This Row],[costo_servicio]]+tblOrdenes[[#This Row],[costo_materiales]])</f>
        <v/>
      </c>
      <c r="AJ143" s="6" t="inlineStr"/>
      <c r="AK143" s="6" t="inlineStr"/>
      <c r="AL143" s="6" t="inlineStr"/>
      <c r="AM143" s="3">
        <f>IF(tblOrdenes[[#This Row],[link_checklist]]="","",HYPERLINK(p_ruta_base_checklists&amp;tblOrdenes[[#This Row],[link_checklist]],"abrir"))</f>
        <v/>
      </c>
      <c r="AN143" s="6" t="inlineStr"/>
      <c r="AO143" s="3">
        <f>IF(tblOrdenes[[#This Row],[orden]]="","",tblOrdenes[[#This Row],[orden]]&amp;IF(tblOrdenes[[#This Row],[operacion]]="","0010",tblOrdenes[[#This Row],[operacion]]))</f>
        <v/>
      </c>
    </row>
    <row r="144">
      <c r="A144" s="3" t="inlineStr">
        <is>
          <t>OT-000141</t>
        </is>
      </c>
      <c r="B144" s="3" t="inlineStr">
        <is>
          <t>0010</t>
        </is>
      </c>
      <c r="C144" s="3" t="inlineStr">
        <is>
          <t>Inspección de rutina — EQ-102</t>
        </is>
      </c>
      <c r="D144" s="3" t="inlineStr">
        <is>
          <t>Inspección de rutina en EQ-102</t>
        </is>
      </c>
      <c r="E144" s="3" t="inlineStr">
        <is>
          <t>EQ-102</t>
        </is>
      </c>
      <c r="F144" s="3" t="inlineStr">
        <is>
          <t>CC-120</t>
        </is>
      </c>
      <c r="G144" s="3" t="inlineStr">
        <is>
          <t>PU-OP</t>
        </is>
      </c>
      <c r="H144" s="3" t="inlineStr">
        <is>
          <t>ACT-01</t>
        </is>
      </c>
      <c r="I144" s="3" t="inlineStr">
        <is>
          <t>TIPO-P2</t>
        </is>
      </c>
      <c r="J144" s="11" t="n">
        <v>46178</v>
      </c>
      <c r="K144" s="3" t="n">
        <v>6</v>
      </c>
      <c r="L144" s="10" t="n">
        <v>150</v>
      </c>
      <c r="M144" s="6" t="n"/>
      <c r="N1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44" s="3">
        <f>IF(tblOrdenes[[#This Row],[fecha_inicio]]="","",YEAR(tblOrdenes[[#This Row],[fecha_inicio]]))</f>
        <v/>
      </c>
      <c r="R144" s="3">
        <f>IF(tblOrdenes[[#This Row],[fecha_inicio]]="","",MONTH(tblOrdenes[[#This Row],[fecha_inicio]]))</f>
        <v/>
      </c>
      <c r="S144" s="3">
        <f>IF(tblOrdenes[[#This Row],[fecha_inicio]]="","",INDEX(lista_dias,WEEKDAY(tblOrdenes[[#This Row],[fecha_inicio]],2)))</f>
        <v/>
      </c>
      <c r="T144" s="3">
        <f>IF(tblOrdenes[[#This Row],[tipo_ot]]="","",_xlfn.XLOOKUP(tblOrdenes[[#This Row],[tipo_ot]],tblTiposOT[codigo],tblTiposOT[clasificacion],"sin_clasificar"))</f>
        <v/>
      </c>
      <c r="U144" s="3">
        <f>IF(tblOrdenes[[#This Row],[centro_costo]]="","",_xlfn.XLOOKUP(tblOrdenes[[#This Row],[centro_costo]],tblCECO[codigo],tblCECO[linea],"(sin catálogo)"))</f>
        <v/>
      </c>
      <c r="V144" s="3">
        <f>IF(tblOrdenes[[#This Row],[centro_costo]]="","",_xlfn.XLOOKUP(tblOrdenes[[#This Row],[centro_costo]],tblCECO[codigo],tblCECO[area],"(sin catálogo)"))</f>
        <v/>
      </c>
      <c r="W144" s="3">
        <f>IF(tblOrdenes[[#This Row],[centro_costo]]="","",_xlfn.XLOOKUP(tblOrdenes[[#This Row],[centro_costo]],tblCECO[codigo],tblCECO[coordinador],"(sin catálogo)"))</f>
        <v/>
      </c>
      <c r="X144" s="3">
        <f>IF(tblOrdenes[[#This Row],[puesto_trabajo]]="","",_xlfn.XLOOKUP(tblOrdenes[[#This Row],[puesto_trabajo]],tblPuestos[codigo],tblPuestos[especialidad],"(sin catálogo)"))</f>
        <v/>
      </c>
      <c r="Y144" s="3">
        <f>IF(tblOrdenes[[#This Row],[cod_actividad]]="","",_xlfn.XLOOKUP(tblOrdenes[[#This Row],[cod_actividad]],tblActividades[codigo],tblActividades[descripcion],"(sin catálogo)"))</f>
        <v/>
      </c>
      <c r="Z144" s="12">
        <f>IF(tblOrdenes[[#This Row],[fecha_inicio]]="","",TODAY()-tblOrdenes[[#This Row],[fecha_inicio]])</f>
        <v/>
      </c>
      <c r="AA144" s="3">
        <f>IF(tblOrdenes[[#This Row],[backlog_dias]]="","",IF(tblOrdenes[[#This Row],[backlog_dias]]&lt;0,"FUTURO",IF(tblOrdenes[[#This Row],[backlog_dias]]&gt;p_dias_backlog_max,"BACKLOG","MES CORRIENTE")))</f>
        <v/>
      </c>
      <c r="AB144" s="3">
        <f>IF(tblOrdenes[[#This Row],[backlog_dias]]="",FALSE,AND(tblOrdenes[[#This Row],[backlog_dias]]&gt;p_dias_backlog_min,tblOrdenes[[#This Row],[backlog_dias]]&lt;=p_dias_backlog_max))</f>
        <v/>
      </c>
      <c r="AC144" s="6" t="inlineStr"/>
      <c r="AD1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44" s="10">
        <f>IF(tblOrdenes[[#This Row],[orden]]="","",_xlfn.XLOOKUP(tblOrdenes[[#This Row],[id_operacion]],tblEjecucion[id_operacion],tblEjecucion[precio],0))</f>
        <v/>
      </c>
      <c r="AH144" s="10">
        <f>IF(tblOrdenes[[#This Row],[orden]]="","",MAX(0,_xlfn.XLOOKUP(tblOrdenes[[#This Row],[id_operacion]],tblEjecucion[id_operacion],tblEjecucion[costo_plan_total],0)-tblOrdenes[[#This Row],[costo_servicio]]))</f>
        <v/>
      </c>
      <c r="AI144" s="10">
        <f>IF(tblOrdenes[[#This Row],[orden]]="","",tblOrdenes[[#This Row],[costo_servicio]]+tblOrdenes[[#This Row],[costo_materiales]])</f>
        <v/>
      </c>
      <c r="AJ144" s="6" t="inlineStr"/>
      <c r="AK144" s="6" t="inlineStr"/>
      <c r="AL144" s="6" t="inlineStr"/>
      <c r="AM144" s="3">
        <f>IF(tblOrdenes[[#This Row],[link_checklist]]="","",HYPERLINK(p_ruta_base_checklists&amp;tblOrdenes[[#This Row],[link_checklist]],"abrir"))</f>
        <v/>
      </c>
      <c r="AN144" s="6" t="inlineStr"/>
      <c r="AO144" s="3">
        <f>IF(tblOrdenes[[#This Row],[orden]]="","",tblOrdenes[[#This Row],[orden]]&amp;IF(tblOrdenes[[#This Row],[operacion]]="","0010",tblOrdenes[[#This Row],[operacion]]))</f>
        <v/>
      </c>
    </row>
    <row r="145">
      <c r="A145" s="3" t="inlineStr">
        <is>
          <t>OT-000142</t>
        </is>
      </c>
      <c r="B145" s="3" t="inlineStr">
        <is>
          <t>0010</t>
        </is>
      </c>
      <c r="C145" s="3" t="inlineStr">
        <is>
          <t>Reparación de falla — EQ-103</t>
        </is>
      </c>
      <c r="D145" s="3" t="inlineStr">
        <is>
          <t>Reparación de falla en EQ-103</t>
        </is>
      </c>
      <c r="E145" s="3" t="inlineStr">
        <is>
          <t>EQ-103</t>
        </is>
      </c>
      <c r="F145" s="3" t="inlineStr">
        <is>
          <t>CC-120</t>
        </is>
      </c>
      <c r="G145" s="3" t="inlineStr">
        <is>
          <t>PU-ELE</t>
        </is>
      </c>
      <c r="H145" s="3" t="inlineStr">
        <is>
          <t>ACT-03</t>
        </is>
      </c>
      <c r="I145" s="3" t="inlineStr">
        <is>
          <t>TIPO-C1</t>
        </is>
      </c>
      <c r="J145" s="11" t="n">
        <v>46148</v>
      </c>
      <c r="K145" s="3" t="n">
        <v>4</v>
      </c>
      <c r="L145" s="10" t="n">
        <v>160</v>
      </c>
      <c r="M145" s="6" t="n"/>
      <c r="N1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45" s="3">
        <f>IF(tblOrdenes[[#This Row],[fecha_inicio]]="","",YEAR(tblOrdenes[[#This Row],[fecha_inicio]]))</f>
        <v/>
      </c>
      <c r="R145" s="3">
        <f>IF(tblOrdenes[[#This Row],[fecha_inicio]]="","",MONTH(tblOrdenes[[#This Row],[fecha_inicio]]))</f>
        <v/>
      </c>
      <c r="S145" s="3">
        <f>IF(tblOrdenes[[#This Row],[fecha_inicio]]="","",INDEX(lista_dias,WEEKDAY(tblOrdenes[[#This Row],[fecha_inicio]],2)))</f>
        <v/>
      </c>
      <c r="T145" s="3">
        <f>IF(tblOrdenes[[#This Row],[tipo_ot]]="","",_xlfn.XLOOKUP(tblOrdenes[[#This Row],[tipo_ot]],tblTiposOT[codigo],tblTiposOT[clasificacion],"sin_clasificar"))</f>
        <v/>
      </c>
      <c r="U145" s="3">
        <f>IF(tblOrdenes[[#This Row],[centro_costo]]="","",_xlfn.XLOOKUP(tblOrdenes[[#This Row],[centro_costo]],tblCECO[codigo],tblCECO[linea],"(sin catálogo)"))</f>
        <v/>
      </c>
      <c r="V145" s="3">
        <f>IF(tblOrdenes[[#This Row],[centro_costo]]="","",_xlfn.XLOOKUP(tblOrdenes[[#This Row],[centro_costo]],tblCECO[codigo],tblCECO[area],"(sin catálogo)"))</f>
        <v/>
      </c>
      <c r="W145" s="3">
        <f>IF(tblOrdenes[[#This Row],[centro_costo]]="","",_xlfn.XLOOKUP(tblOrdenes[[#This Row],[centro_costo]],tblCECO[codigo],tblCECO[coordinador],"(sin catálogo)"))</f>
        <v/>
      </c>
      <c r="X145" s="3">
        <f>IF(tblOrdenes[[#This Row],[puesto_trabajo]]="","",_xlfn.XLOOKUP(tblOrdenes[[#This Row],[puesto_trabajo]],tblPuestos[codigo],tblPuestos[especialidad],"(sin catálogo)"))</f>
        <v/>
      </c>
      <c r="Y145" s="3">
        <f>IF(tblOrdenes[[#This Row],[cod_actividad]]="","",_xlfn.XLOOKUP(tblOrdenes[[#This Row],[cod_actividad]],tblActividades[codigo],tblActividades[descripcion],"(sin catálogo)"))</f>
        <v/>
      </c>
      <c r="Z145" s="12">
        <f>IF(tblOrdenes[[#This Row],[fecha_inicio]]="","",TODAY()-tblOrdenes[[#This Row],[fecha_inicio]])</f>
        <v/>
      </c>
      <c r="AA145" s="3">
        <f>IF(tblOrdenes[[#This Row],[backlog_dias]]="","",IF(tblOrdenes[[#This Row],[backlog_dias]]&lt;0,"FUTURO",IF(tblOrdenes[[#This Row],[backlog_dias]]&gt;p_dias_backlog_max,"BACKLOG","MES CORRIENTE")))</f>
        <v/>
      </c>
      <c r="AB145" s="3">
        <f>IF(tblOrdenes[[#This Row],[backlog_dias]]="",FALSE,AND(tblOrdenes[[#This Row],[backlog_dias]]&gt;p_dias_backlog_min,tblOrdenes[[#This Row],[backlog_dias]]&lt;=p_dias_backlog_max))</f>
        <v/>
      </c>
      <c r="AC145" s="6" t="inlineStr"/>
      <c r="AD1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45" s="10">
        <f>IF(tblOrdenes[[#This Row],[orden]]="","",_xlfn.XLOOKUP(tblOrdenes[[#This Row],[id_operacion]],tblEjecucion[id_operacion],tblEjecucion[precio],0))</f>
        <v/>
      </c>
      <c r="AH145" s="10">
        <f>IF(tblOrdenes[[#This Row],[orden]]="","",MAX(0,_xlfn.XLOOKUP(tblOrdenes[[#This Row],[id_operacion]],tblEjecucion[id_operacion],tblEjecucion[costo_plan_total],0)-tblOrdenes[[#This Row],[costo_servicio]]))</f>
        <v/>
      </c>
      <c r="AI145" s="10">
        <f>IF(tblOrdenes[[#This Row],[orden]]="","",tblOrdenes[[#This Row],[costo_servicio]]+tblOrdenes[[#This Row],[costo_materiales]])</f>
        <v/>
      </c>
      <c r="AJ145" s="6" t="inlineStr"/>
      <c r="AK145" s="6" t="inlineStr"/>
      <c r="AL145" s="6" t="inlineStr"/>
      <c r="AM145" s="3">
        <f>IF(tblOrdenes[[#This Row],[link_checklist]]="","",HYPERLINK(p_ruta_base_checklists&amp;tblOrdenes[[#This Row],[link_checklist]],"abrir"))</f>
        <v/>
      </c>
      <c r="AN145" s="6" t="inlineStr"/>
      <c r="AO145" s="3">
        <f>IF(tblOrdenes[[#This Row],[orden]]="","",tblOrdenes[[#This Row],[orden]]&amp;IF(tblOrdenes[[#This Row],[operacion]]="","0010",tblOrdenes[[#This Row],[operacion]]))</f>
        <v/>
      </c>
    </row>
    <row r="146">
      <c r="A146" s="3" t="inlineStr">
        <is>
          <t>OT-000143</t>
        </is>
      </c>
      <c r="B146" s="3" t="inlineStr">
        <is>
          <t>0010</t>
        </is>
      </c>
      <c r="C146" s="3" t="inlineStr">
        <is>
          <t>Reparación de falla — EQ-109</t>
        </is>
      </c>
      <c r="D146" s="3" t="inlineStr">
        <is>
          <t>Reparación de falla en EQ-109</t>
        </is>
      </c>
      <c r="E146" s="3" t="inlineStr">
        <is>
          <t>EQ-109</t>
        </is>
      </c>
      <c r="F146" s="3" t="inlineStr">
        <is>
          <t>CC-210</t>
        </is>
      </c>
      <c r="G146" s="3" t="inlineStr">
        <is>
          <t>PU-AUT</t>
        </is>
      </c>
      <c r="H146" s="3" t="inlineStr">
        <is>
          <t>ACT-03</t>
        </is>
      </c>
      <c r="I146" s="3" t="inlineStr">
        <is>
          <t>TIPO-C2</t>
        </is>
      </c>
      <c r="J146" s="11" t="n">
        <v>46148</v>
      </c>
      <c r="K146" s="3" t="n">
        <v>6</v>
      </c>
      <c r="L146" s="10" t="n">
        <v>240</v>
      </c>
      <c r="M146" s="6" t="n"/>
      <c r="N1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46" s="3">
        <f>IF(tblOrdenes[[#This Row],[fecha_inicio]]="","",YEAR(tblOrdenes[[#This Row],[fecha_inicio]]))</f>
        <v/>
      </c>
      <c r="R146" s="3">
        <f>IF(tblOrdenes[[#This Row],[fecha_inicio]]="","",MONTH(tblOrdenes[[#This Row],[fecha_inicio]]))</f>
        <v/>
      </c>
      <c r="S146" s="3">
        <f>IF(tblOrdenes[[#This Row],[fecha_inicio]]="","",INDEX(lista_dias,WEEKDAY(tblOrdenes[[#This Row],[fecha_inicio]],2)))</f>
        <v/>
      </c>
      <c r="T146" s="3">
        <f>IF(tblOrdenes[[#This Row],[tipo_ot]]="","",_xlfn.XLOOKUP(tblOrdenes[[#This Row],[tipo_ot]],tblTiposOT[codigo],tblTiposOT[clasificacion],"sin_clasificar"))</f>
        <v/>
      </c>
      <c r="U146" s="3">
        <f>IF(tblOrdenes[[#This Row],[centro_costo]]="","",_xlfn.XLOOKUP(tblOrdenes[[#This Row],[centro_costo]],tblCECO[codigo],tblCECO[linea],"(sin catálogo)"))</f>
        <v/>
      </c>
      <c r="V146" s="3">
        <f>IF(tblOrdenes[[#This Row],[centro_costo]]="","",_xlfn.XLOOKUP(tblOrdenes[[#This Row],[centro_costo]],tblCECO[codigo],tblCECO[area],"(sin catálogo)"))</f>
        <v/>
      </c>
      <c r="W146" s="3">
        <f>IF(tblOrdenes[[#This Row],[centro_costo]]="","",_xlfn.XLOOKUP(tblOrdenes[[#This Row],[centro_costo]],tblCECO[codigo],tblCECO[coordinador],"(sin catálogo)"))</f>
        <v/>
      </c>
      <c r="X146" s="3">
        <f>IF(tblOrdenes[[#This Row],[puesto_trabajo]]="","",_xlfn.XLOOKUP(tblOrdenes[[#This Row],[puesto_trabajo]],tblPuestos[codigo],tblPuestos[especialidad],"(sin catálogo)"))</f>
        <v/>
      </c>
      <c r="Y146" s="3">
        <f>IF(tblOrdenes[[#This Row],[cod_actividad]]="","",_xlfn.XLOOKUP(tblOrdenes[[#This Row],[cod_actividad]],tblActividades[codigo],tblActividades[descripcion],"(sin catálogo)"))</f>
        <v/>
      </c>
      <c r="Z146" s="12">
        <f>IF(tblOrdenes[[#This Row],[fecha_inicio]]="","",TODAY()-tblOrdenes[[#This Row],[fecha_inicio]])</f>
        <v/>
      </c>
      <c r="AA146" s="3">
        <f>IF(tblOrdenes[[#This Row],[backlog_dias]]="","",IF(tblOrdenes[[#This Row],[backlog_dias]]&lt;0,"FUTURO",IF(tblOrdenes[[#This Row],[backlog_dias]]&gt;p_dias_backlog_max,"BACKLOG","MES CORRIENTE")))</f>
        <v/>
      </c>
      <c r="AB146" s="3">
        <f>IF(tblOrdenes[[#This Row],[backlog_dias]]="",FALSE,AND(tblOrdenes[[#This Row],[backlog_dias]]&gt;p_dias_backlog_min,tblOrdenes[[#This Row],[backlog_dias]]&lt;=p_dias_backlog_max))</f>
        <v/>
      </c>
      <c r="AC146" s="6" t="inlineStr"/>
      <c r="AD1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46" s="10">
        <f>IF(tblOrdenes[[#This Row],[orden]]="","",_xlfn.XLOOKUP(tblOrdenes[[#This Row],[id_operacion]],tblEjecucion[id_operacion],tblEjecucion[precio],0))</f>
        <v/>
      </c>
      <c r="AH146" s="10">
        <f>IF(tblOrdenes[[#This Row],[orden]]="","",MAX(0,_xlfn.XLOOKUP(tblOrdenes[[#This Row],[id_operacion]],tblEjecucion[id_operacion],tblEjecucion[costo_plan_total],0)-tblOrdenes[[#This Row],[costo_servicio]]))</f>
        <v/>
      </c>
      <c r="AI146" s="10">
        <f>IF(tblOrdenes[[#This Row],[orden]]="","",tblOrdenes[[#This Row],[costo_servicio]]+tblOrdenes[[#This Row],[costo_materiales]])</f>
        <v/>
      </c>
      <c r="AJ146" s="6" t="inlineStr"/>
      <c r="AK146" s="6" t="inlineStr"/>
      <c r="AL146" s="6" t="inlineStr"/>
      <c r="AM146" s="3">
        <f>IF(tblOrdenes[[#This Row],[link_checklist]]="","",HYPERLINK(p_ruta_base_checklists&amp;tblOrdenes[[#This Row],[link_checklist]],"abrir"))</f>
        <v/>
      </c>
      <c r="AN146" s="6" t="inlineStr"/>
      <c r="AO146" s="3">
        <f>IF(tblOrdenes[[#This Row],[orden]]="","",tblOrdenes[[#This Row],[orden]]&amp;IF(tblOrdenes[[#This Row],[operacion]]="","0010",tblOrdenes[[#This Row],[operacion]]))</f>
        <v/>
      </c>
    </row>
    <row r="147">
      <c r="A147" s="3" t="inlineStr">
        <is>
          <t>OT-000144</t>
        </is>
      </c>
      <c r="B147" s="3" t="inlineStr">
        <is>
          <t>0010</t>
        </is>
      </c>
      <c r="C147" s="3" t="inlineStr">
        <is>
          <t>Reparación de falla — EQ-106</t>
        </is>
      </c>
      <c r="D147" s="3" t="inlineStr">
        <is>
          <t>Reparación de falla en EQ-106</t>
        </is>
      </c>
      <c r="E147" s="3" t="inlineStr">
        <is>
          <t>EQ-106</t>
        </is>
      </c>
      <c r="F147" s="3" t="inlineStr">
        <is>
          <t>CC-220</t>
        </is>
      </c>
      <c r="G147" s="3" t="inlineStr">
        <is>
          <t>PU-OP</t>
        </is>
      </c>
      <c r="H147" s="3" t="inlineStr">
        <is>
          <t>ACT-03</t>
        </is>
      </c>
      <c r="I147" s="3" t="inlineStr">
        <is>
          <t>TIPO-C1</t>
        </is>
      </c>
      <c r="J147" s="11" t="n">
        <v>46148</v>
      </c>
      <c r="K147" s="3" t="n">
        <v>8</v>
      </c>
      <c r="L147" s="10" t="n">
        <v>320</v>
      </c>
      <c r="M147" s="6" t="n"/>
      <c r="N1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47" s="3">
        <f>IF(tblOrdenes[[#This Row],[fecha_inicio]]="","",YEAR(tblOrdenes[[#This Row],[fecha_inicio]]))</f>
        <v/>
      </c>
      <c r="R147" s="3">
        <f>IF(tblOrdenes[[#This Row],[fecha_inicio]]="","",MONTH(tblOrdenes[[#This Row],[fecha_inicio]]))</f>
        <v/>
      </c>
      <c r="S147" s="3">
        <f>IF(tblOrdenes[[#This Row],[fecha_inicio]]="","",INDEX(lista_dias,WEEKDAY(tblOrdenes[[#This Row],[fecha_inicio]],2)))</f>
        <v/>
      </c>
      <c r="T147" s="3">
        <f>IF(tblOrdenes[[#This Row],[tipo_ot]]="","",_xlfn.XLOOKUP(tblOrdenes[[#This Row],[tipo_ot]],tblTiposOT[codigo],tblTiposOT[clasificacion],"sin_clasificar"))</f>
        <v/>
      </c>
      <c r="U147" s="3">
        <f>IF(tblOrdenes[[#This Row],[centro_costo]]="","",_xlfn.XLOOKUP(tblOrdenes[[#This Row],[centro_costo]],tblCECO[codigo],tblCECO[linea],"(sin catálogo)"))</f>
        <v/>
      </c>
      <c r="V147" s="3">
        <f>IF(tblOrdenes[[#This Row],[centro_costo]]="","",_xlfn.XLOOKUP(tblOrdenes[[#This Row],[centro_costo]],tblCECO[codigo],tblCECO[area],"(sin catálogo)"))</f>
        <v/>
      </c>
      <c r="W147" s="3">
        <f>IF(tblOrdenes[[#This Row],[centro_costo]]="","",_xlfn.XLOOKUP(tblOrdenes[[#This Row],[centro_costo]],tblCECO[codigo],tblCECO[coordinador],"(sin catálogo)"))</f>
        <v/>
      </c>
      <c r="X147" s="3">
        <f>IF(tblOrdenes[[#This Row],[puesto_trabajo]]="","",_xlfn.XLOOKUP(tblOrdenes[[#This Row],[puesto_trabajo]],tblPuestos[codigo],tblPuestos[especialidad],"(sin catálogo)"))</f>
        <v/>
      </c>
      <c r="Y147" s="3">
        <f>IF(tblOrdenes[[#This Row],[cod_actividad]]="","",_xlfn.XLOOKUP(tblOrdenes[[#This Row],[cod_actividad]],tblActividades[codigo],tblActividades[descripcion],"(sin catálogo)"))</f>
        <v/>
      </c>
      <c r="Z147" s="12">
        <f>IF(tblOrdenes[[#This Row],[fecha_inicio]]="","",TODAY()-tblOrdenes[[#This Row],[fecha_inicio]])</f>
        <v/>
      </c>
      <c r="AA147" s="3">
        <f>IF(tblOrdenes[[#This Row],[backlog_dias]]="","",IF(tblOrdenes[[#This Row],[backlog_dias]]&lt;0,"FUTURO",IF(tblOrdenes[[#This Row],[backlog_dias]]&gt;p_dias_backlog_max,"BACKLOG","MES CORRIENTE")))</f>
        <v/>
      </c>
      <c r="AB147" s="3">
        <f>IF(tblOrdenes[[#This Row],[backlog_dias]]="",FALSE,AND(tblOrdenes[[#This Row],[backlog_dias]]&gt;p_dias_backlog_min,tblOrdenes[[#This Row],[backlog_dias]]&lt;=p_dias_backlog_max))</f>
        <v/>
      </c>
      <c r="AC147" s="6" t="inlineStr"/>
      <c r="AD1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47" s="10">
        <f>IF(tblOrdenes[[#This Row],[orden]]="","",_xlfn.XLOOKUP(tblOrdenes[[#This Row],[id_operacion]],tblEjecucion[id_operacion],tblEjecucion[precio],0))</f>
        <v/>
      </c>
      <c r="AH147" s="10">
        <f>IF(tblOrdenes[[#This Row],[orden]]="","",MAX(0,_xlfn.XLOOKUP(tblOrdenes[[#This Row],[id_operacion]],tblEjecucion[id_operacion],tblEjecucion[costo_plan_total],0)-tblOrdenes[[#This Row],[costo_servicio]]))</f>
        <v/>
      </c>
      <c r="AI147" s="10">
        <f>IF(tblOrdenes[[#This Row],[orden]]="","",tblOrdenes[[#This Row],[costo_servicio]]+tblOrdenes[[#This Row],[costo_materiales]])</f>
        <v/>
      </c>
      <c r="AJ147" s="6" t="inlineStr"/>
      <c r="AK147" s="6" t="inlineStr"/>
      <c r="AL147" s="6" t="inlineStr"/>
      <c r="AM147" s="3">
        <f>IF(tblOrdenes[[#This Row],[link_checklist]]="","",HYPERLINK(p_ruta_base_checklists&amp;tblOrdenes[[#This Row],[link_checklist]],"abrir"))</f>
        <v/>
      </c>
      <c r="AN147" s="6" t="inlineStr"/>
      <c r="AO147" s="3">
        <f>IF(tblOrdenes[[#This Row],[orden]]="","",tblOrdenes[[#This Row],[orden]]&amp;IF(tblOrdenes[[#This Row],[operacion]]="","0010",tblOrdenes[[#This Row],[operacion]]))</f>
        <v/>
      </c>
    </row>
    <row r="148">
      <c r="A148" s="3" t="inlineStr">
        <is>
          <t>OT-000145</t>
        </is>
      </c>
      <c r="B148" s="3" t="inlineStr">
        <is>
          <t>0010</t>
        </is>
      </c>
      <c r="C148" s="3" t="inlineStr">
        <is>
          <t>Lubricación programada — EQ-111</t>
        </is>
      </c>
      <c r="D148" s="3" t="inlineStr">
        <is>
          <t>Lubricación programada en EQ-111</t>
        </is>
      </c>
      <c r="E148" s="3" t="inlineStr">
        <is>
          <t>EQ-111</t>
        </is>
      </c>
      <c r="F148" s="3" t="inlineStr">
        <is>
          <t>CC-310</t>
        </is>
      </c>
      <c r="G148" s="3" t="inlineStr">
        <is>
          <t>PU-MEC</t>
        </is>
      </c>
      <c r="H148" s="3" t="inlineStr">
        <is>
          <t>ACT-02</t>
        </is>
      </c>
      <c r="I148" s="3" t="inlineStr">
        <is>
          <t>TIPO-P2</t>
        </is>
      </c>
      <c r="J148" s="11" t="n">
        <v>46148</v>
      </c>
      <c r="K148" s="3" t="n">
        <v>4</v>
      </c>
      <c r="L148" s="10" t="n">
        <v>100</v>
      </c>
      <c r="M148" s="6" t="n"/>
      <c r="N1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48" s="3">
        <f>IF(tblOrdenes[[#This Row],[fecha_inicio]]="","",YEAR(tblOrdenes[[#This Row],[fecha_inicio]]))</f>
        <v/>
      </c>
      <c r="R148" s="3">
        <f>IF(tblOrdenes[[#This Row],[fecha_inicio]]="","",MONTH(tblOrdenes[[#This Row],[fecha_inicio]]))</f>
        <v/>
      </c>
      <c r="S148" s="3">
        <f>IF(tblOrdenes[[#This Row],[fecha_inicio]]="","",INDEX(lista_dias,WEEKDAY(tblOrdenes[[#This Row],[fecha_inicio]],2)))</f>
        <v/>
      </c>
      <c r="T148" s="3">
        <f>IF(tblOrdenes[[#This Row],[tipo_ot]]="","",_xlfn.XLOOKUP(tblOrdenes[[#This Row],[tipo_ot]],tblTiposOT[codigo],tblTiposOT[clasificacion],"sin_clasificar"))</f>
        <v/>
      </c>
      <c r="U148" s="3">
        <f>IF(tblOrdenes[[#This Row],[centro_costo]]="","",_xlfn.XLOOKUP(tblOrdenes[[#This Row],[centro_costo]],tblCECO[codigo],tblCECO[linea],"(sin catálogo)"))</f>
        <v/>
      </c>
      <c r="V148" s="3">
        <f>IF(tblOrdenes[[#This Row],[centro_costo]]="","",_xlfn.XLOOKUP(tblOrdenes[[#This Row],[centro_costo]],tblCECO[codigo],tblCECO[area],"(sin catálogo)"))</f>
        <v/>
      </c>
      <c r="W148" s="3">
        <f>IF(tblOrdenes[[#This Row],[centro_costo]]="","",_xlfn.XLOOKUP(tblOrdenes[[#This Row],[centro_costo]],tblCECO[codigo],tblCECO[coordinador],"(sin catálogo)"))</f>
        <v/>
      </c>
      <c r="X148" s="3">
        <f>IF(tblOrdenes[[#This Row],[puesto_trabajo]]="","",_xlfn.XLOOKUP(tblOrdenes[[#This Row],[puesto_trabajo]],tblPuestos[codigo],tblPuestos[especialidad],"(sin catálogo)"))</f>
        <v/>
      </c>
      <c r="Y148" s="3">
        <f>IF(tblOrdenes[[#This Row],[cod_actividad]]="","",_xlfn.XLOOKUP(tblOrdenes[[#This Row],[cod_actividad]],tblActividades[codigo],tblActividades[descripcion],"(sin catálogo)"))</f>
        <v/>
      </c>
      <c r="Z148" s="12">
        <f>IF(tblOrdenes[[#This Row],[fecha_inicio]]="","",TODAY()-tblOrdenes[[#This Row],[fecha_inicio]])</f>
        <v/>
      </c>
      <c r="AA148" s="3">
        <f>IF(tblOrdenes[[#This Row],[backlog_dias]]="","",IF(tblOrdenes[[#This Row],[backlog_dias]]&lt;0,"FUTURO",IF(tblOrdenes[[#This Row],[backlog_dias]]&gt;p_dias_backlog_max,"BACKLOG","MES CORRIENTE")))</f>
        <v/>
      </c>
      <c r="AB148" s="3">
        <f>IF(tblOrdenes[[#This Row],[backlog_dias]]="",FALSE,AND(tblOrdenes[[#This Row],[backlog_dias]]&gt;p_dias_backlog_min,tblOrdenes[[#This Row],[backlog_dias]]&lt;=p_dias_backlog_max))</f>
        <v/>
      </c>
      <c r="AC148" s="6" t="inlineStr"/>
      <c r="AD1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48" s="10">
        <f>IF(tblOrdenes[[#This Row],[orden]]="","",_xlfn.XLOOKUP(tblOrdenes[[#This Row],[id_operacion]],tblEjecucion[id_operacion],tblEjecucion[precio],0))</f>
        <v/>
      </c>
      <c r="AH148" s="10">
        <f>IF(tblOrdenes[[#This Row],[orden]]="","",MAX(0,_xlfn.XLOOKUP(tblOrdenes[[#This Row],[id_operacion]],tblEjecucion[id_operacion],tblEjecucion[costo_plan_total],0)-tblOrdenes[[#This Row],[costo_servicio]]))</f>
        <v/>
      </c>
      <c r="AI148" s="10">
        <f>IF(tblOrdenes[[#This Row],[orden]]="","",tblOrdenes[[#This Row],[costo_servicio]]+tblOrdenes[[#This Row],[costo_materiales]])</f>
        <v/>
      </c>
      <c r="AJ148" s="6" t="inlineStr"/>
      <c r="AK148" s="6" t="inlineStr"/>
      <c r="AL148" s="6" t="inlineStr"/>
      <c r="AM148" s="3">
        <f>IF(tblOrdenes[[#This Row],[link_checklist]]="","",HYPERLINK(p_ruta_base_checklists&amp;tblOrdenes[[#This Row],[link_checklist]],"abrir"))</f>
        <v/>
      </c>
      <c r="AN148" s="6" t="inlineStr"/>
      <c r="AO148" s="3">
        <f>IF(tblOrdenes[[#This Row],[orden]]="","",tblOrdenes[[#This Row],[orden]]&amp;IF(tblOrdenes[[#This Row],[operacion]]="","0010",tblOrdenes[[#This Row],[operacion]]))</f>
        <v/>
      </c>
    </row>
    <row r="149">
      <c r="A149" s="3" t="inlineStr">
        <is>
          <t>OT-000146</t>
        </is>
      </c>
      <c r="B149" s="3" t="inlineStr">
        <is>
          <t>0010</t>
        </is>
      </c>
      <c r="C149" s="3" t="inlineStr">
        <is>
          <t>Reparación de falla — EQ-112</t>
        </is>
      </c>
      <c r="D149" s="3" t="inlineStr">
        <is>
          <t>Reparación de falla en EQ-112</t>
        </is>
      </c>
      <c r="E149" s="3" t="inlineStr">
        <is>
          <t>EQ-112</t>
        </is>
      </c>
      <c r="F149" s="3" t="inlineStr">
        <is>
          <t>CC-320</t>
        </is>
      </c>
      <c r="G149" s="3" t="inlineStr">
        <is>
          <t>PU-ELE</t>
        </is>
      </c>
      <c r="H149" s="3" t="inlineStr">
        <is>
          <t>ACT-03</t>
        </is>
      </c>
      <c r="I149" s="3" t="inlineStr">
        <is>
          <t>TIPO-C1</t>
        </is>
      </c>
      <c r="J149" s="11" t="n">
        <v>46148</v>
      </c>
      <c r="K149" s="3" t="n">
        <v>6</v>
      </c>
      <c r="L149" s="10" t="n">
        <v>240</v>
      </c>
      <c r="M149" s="6" t="n"/>
      <c r="N1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49" s="3">
        <f>IF(tblOrdenes[[#This Row],[fecha_inicio]]="","",YEAR(tblOrdenes[[#This Row],[fecha_inicio]]))</f>
        <v/>
      </c>
      <c r="R149" s="3">
        <f>IF(tblOrdenes[[#This Row],[fecha_inicio]]="","",MONTH(tblOrdenes[[#This Row],[fecha_inicio]]))</f>
        <v/>
      </c>
      <c r="S149" s="3">
        <f>IF(tblOrdenes[[#This Row],[fecha_inicio]]="","",INDEX(lista_dias,WEEKDAY(tblOrdenes[[#This Row],[fecha_inicio]],2)))</f>
        <v/>
      </c>
      <c r="T149" s="3">
        <f>IF(tblOrdenes[[#This Row],[tipo_ot]]="","",_xlfn.XLOOKUP(tblOrdenes[[#This Row],[tipo_ot]],tblTiposOT[codigo],tblTiposOT[clasificacion],"sin_clasificar"))</f>
        <v/>
      </c>
      <c r="U149" s="3">
        <f>IF(tblOrdenes[[#This Row],[centro_costo]]="","",_xlfn.XLOOKUP(tblOrdenes[[#This Row],[centro_costo]],tblCECO[codigo],tblCECO[linea],"(sin catálogo)"))</f>
        <v/>
      </c>
      <c r="V149" s="3">
        <f>IF(tblOrdenes[[#This Row],[centro_costo]]="","",_xlfn.XLOOKUP(tblOrdenes[[#This Row],[centro_costo]],tblCECO[codigo],tblCECO[area],"(sin catálogo)"))</f>
        <v/>
      </c>
      <c r="W149" s="3">
        <f>IF(tblOrdenes[[#This Row],[centro_costo]]="","",_xlfn.XLOOKUP(tblOrdenes[[#This Row],[centro_costo]],tblCECO[codigo],tblCECO[coordinador],"(sin catálogo)"))</f>
        <v/>
      </c>
      <c r="X149" s="3">
        <f>IF(tblOrdenes[[#This Row],[puesto_trabajo]]="","",_xlfn.XLOOKUP(tblOrdenes[[#This Row],[puesto_trabajo]],tblPuestos[codigo],tblPuestos[especialidad],"(sin catálogo)"))</f>
        <v/>
      </c>
      <c r="Y149" s="3">
        <f>IF(tblOrdenes[[#This Row],[cod_actividad]]="","",_xlfn.XLOOKUP(tblOrdenes[[#This Row],[cod_actividad]],tblActividades[codigo],tblActividades[descripcion],"(sin catálogo)"))</f>
        <v/>
      </c>
      <c r="Z149" s="12">
        <f>IF(tblOrdenes[[#This Row],[fecha_inicio]]="","",TODAY()-tblOrdenes[[#This Row],[fecha_inicio]])</f>
        <v/>
      </c>
      <c r="AA149" s="3">
        <f>IF(tblOrdenes[[#This Row],[backlog_dias]]="","",IF(tblOrdenes[[#This Row],[backlog_dias]]&lt;0,"FUTURO",IF(tblOrdenes[[#This Row],[backlog_dias]]&gt;p_dias_backlog_max,"BACKLOG","MES CORRIENTE")))</f>
        <v/>
      </c>
      <c r="AB149" s="3">
        <f>IF(tblOrdenes[[#This Row],[backlog_dias]]="",FALSE,AND(tblOrdenes[[#This Row],[backlog_dias]]&gt;p_dias_backlog_min,tblOrdenes[[#This Row],[backlog_dias]]&lt;=p_dias_backlog_max))</f>
        <v/>
      </c>
      <c r="AC149" s="6" t="inlineStr"/>
      <c r="AD1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49" s="10">
        <f>IF(tblOrdenes[[#This Row],[orden]]="","",_xlfn.XLOOKUP(tblOrdenes[[#This Row],[id_operacion]],tblEjecucion[id_operacion],tblEjecucion[precio],0))</f>
        <v/>
      </c>
      <c r="AH149" s="10">
        <f>IF(tblOrdenes[[#This Row],[orden]]="","",MAX(0,_xlfn.XLOOKUP(tblOrdenes[[#This Row],[id_operacion]],tblEjecucion[id_operacion],tblEjecucion[costo_plan_total],0)-tblOrdenes[[#This Row],[costo_servicio]]))</f>
        <v/>
      </c>
      <c r="AI149" s="10">
        <f>IF(tblOrdenes[[#This Row],[orden]]="","",tblOrdenes[[#This Row],[costo_servicio]]+tblOrdenes[[#This Row],[costo_materiales]])</f>
        <v/>
      </c>
      <c r="AJ149" s="6" t="inlineStr"/>
      <c r="AK149" s="6" t="inlineStr"/>
      <c r="AL149" s="6" t="inlineStr"/>
      <c r="AM149" s="3">
        <f>IF(tblOrdenes[[#This Row],[link_checklist]]="","",HYPERLINK(p_ruta_base_checklists&amp;tblOrdenes[[#This Row],[link_checklist]],"abrir"))</f>
        <v/>
      </c>
      <c r="AN149" s="6" t="inlineStr"/>
      <c r="AO149" s="3">
        <f>IF(tblOrdenes[[#This Row],[orden]]="","",tblOrdenes[[#This Row],[orden]]&amp;IF(tblOrdenes[[#This Row],[operacion]]="","0010",tblOrdenes[[#This Row],[operacion]]))</f>
        <v/>
      </c>
    </row>
    <row r="150">
      <c r="A150" s="3" t="inlineStr">
        <is>
          <t>OT-000147</t>
        </is>
      </c>
      <c r="B150" s="3" t="inlineStr">
        <is>
          <t>0010</t>
        </is>
      </c>
      <c r="C150" s="3" t="inlineStr">
        <is>
          <t>Reparación de falla — EQ-103</t>
        </is>
      </c>
      <c r="D150" s="3" t="inlineStr">
        <is>
          <t>Reparación de falla en EQ-103</t>
        </is>
      </c>
      <c r="E150" s="3" t="inlineStr">
        <is>
          <t>EQ-103</t>
        </is>
      </c>
      <c r="F150" s="3" t="inlineStr">
        <is>
          <t>CC-110</t>
        </is>
      </c>
      <c r="G150" s="3" t="inlineStr">
        <is>
          <t>PU-AUT</t>
        </is>
      </c>
      <c r="H150" s="3" t="inlineStr">
        <is>
          <t>ACT-03</t>
        </is>
      </c>
      <c r="I150" s="3" t="inlineStr">
        <is>
          <t>TIPO-C2</t>
        </is>
      </c>
      <c r="J150" s="11" t="n">
        <v>46148</v>
      </c>
      <c r="K150" s="3" t="n">
        <v>8</v>
      </c>
      <c r="L150" s="10" t="n">
        <v>320</v>
      </c>
      <c r="M150" s="6" t="n"/>
      <c r="N1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50" s="3">
        <f>IF(tblOrdenes[[#This Row],[fecha_inicio]]="","",YEAR(tblOrdenes[[#This Row],[fecha_inicio]]))</f>
        <v/>
      </c>
      <c r="R150" s="3">
        <f>IF(tblOrdenes[[#This Row],[fecha_inicio]]="","",MONTH(tblOrdenes[[#This Row],[fecha_inicio]]))</f>
        <v/>
      </c>
      <c r="S150" s="3">
        <f>IF(tblOrdenes[[#This Row],[fecha_inicio]]="","",INDEX(lista_dias,WEEKDAY(tblOrdenes[[#This Row],[fecha_inicio]],2)))</f>
        <v/>
      </c>
      <c r="T150" s="3">
        <f>IF(tblOrdenes[[#This Row],[tipo_ot]]="","",_xlfn.XLOOKUP(tblOrdenes[[#This Row],[tipo_ot]],tblTiposOT[codigo],tblTiposOT[clasificacion],"sin_clasificar"))</f>
        <v/>
      </c>
      <c r="U150" s="3">
        <f>IF(tblOrdenes[[#This Row],[centro_costo]]="","",_xlfn.XLOOKUP(tblOrdenes[[#This Row],[centro_costo]],tblCECO[codigo],tblCECO[linea],"(sin catálogo)"))</f>
        <v/>
      </c>
      <c r="V150" s="3">
        <f>IF(tblOrdenes[[#This Row],[centro_costo]]="","",_xlfn.XLOOKUP(tblOrdenes[[#This Row],[centro_costo]],tblCECO[codigo],tblCECO[area],"(sin catálogo)"))</f>
        <v/>
      </c>
      <c r="W150" s="3">
        <f>IF(tblOrdenes[[#This Row],[centro_costo]]="","",_xlfn.XLOOKUP(tblOrdenes[[#This Row],[centro_costo]],tblCECO[codigo],tblCECO[coordinador],"(sin catálogo)"))</f>
        <v/>
      </c>
      <c r="X150" s="3">
        <f>IF(tblOrdenes[[#This Row],[puesto_trabajo]]="","",_xlfn.XLOOKUP(tblOrdenes[[#This Row],[puesto_trabajo]],tblPuestos[codigo],tblPuestos[especialidad],"(sin catálogo)"))</f>
        <v/>
      </c>
      <c r="Y150" s="3">
        <f>IF(tblOrdenes[[#This Row],[cod_actividad]]="","",_xlfn.XLOOKUP(tblOrdenes[[#This Row],[cod_actividad]],tblActividades[codigo],tblActividades[descripcion],"(sin catálogo)"))</f>
        <v/>
      </c>
      <c r="Z150" s="12">
        <f>IF(tblOrdenes[[#This Row],[fecha_inicio]]="","",TODAY()-tblOrdenes[[#This Row],[fecha_inicio]])</f>
        <v/>
      </c>
      <c r="AA150" s="3">
        <f>IF(tblOrdenes[[#This Row],[backlog_dias]]="","",IF(tblOrdenes[[#This Row],[backlog_dias]]&lt;0,"FUTURO",IF(tblOrdenes[[#This Row],[backlog_dias]]&gt;p_dias_backlog_max,"BACKLOG","MES CORRIENTE")))</f>
        <v/>
      </c>
      <c r="AB150" s="3">
        <f>IF(tblOrdenes[[#This Row],[backlog_dias]]="",FALSE,AND(tblOrdenes[[#This Row],[backlog_dias]]&gt;p_dias_backlog_min,tblOrdenes[[#This Row],[backlog_dias]]&lt;=p_dias_backlog_max))</f>
        <v/>
      </c>
      <c r="AC150" s="6" t="inlineStr"/>
      <c r="AD1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50" s="10">
        <f>IF(tblOrdenes[[#This Row],[orden]]="","",_xlfn.XLOOKUP(tblOrdenes[[#This Row],[id_operacion]],tblEjecucion[id_operacion],tblEjecucion[precio],0))</f>
        <v/>
      </c>
      <c r="AH150" s="10">
        <f>IF(tblOrdenes[[#This Row],[orden]]="","",MAX(0,_xlfn.XLOOKUP(tblOrdenes[[#This Row],[id_operacion]],tblEjecucion[id_operacion],tblEjecucion[costo_plan_total],0)-tblOrdenes[[#This Row],[costo_servicio]]))</f>
        <v/>
      </c>
      <c r="AI150" s="10">
        <f>IF(tblOrdenes[[#This Row],[orden]]="","",tblOrdenes[[#This Row],[costo_servicio]]+tblOrdenes[[#This Row],[costo_materiales]])</f>
        <v/>
      </c>
      <c r="AJ150" s="6" t="inlineStr"/>
      <c r="AK150" s="6" t="inlineStr"/>
      <c r="AL150" s="6" t="inlineStr"/>
      <c r="AM150" s="3">
        <f>IF(tblOrdenes[[#This Row],[link_checklist]]="","",HYPERLINK(p_ruta_base_checklists&amp;tblOrdenes[[#This Row],[link_checklist]],"abrir"))</f>
        <v/>
      </c>
      <c r="AN150" s="6" t="inlineStr"/>
      <c r="AO150" s="3">
        <f>IF(tblOrdenes[[#This Row],[orden]]="","",tblOrdenes[[#This Row],[orden]]&amp;IF(tblOrdenes[[#This Row],[operacion]]="","0010",tblOrdenes[[#This Row],[operacion]]))</f>
        <v/>
      </c>
    </row>
    <row r="151">
      <c r="A151" s="3" t="inlineStr">
        <is>
          <t>OT-000148</t>
        </is>
      </c>
      <c r="B151" s="3" t="inlineStr">
        <is>
          <t>0010</t>
        </is>
      </c>
      <c r="C151" s="3" t="inlineStr">
        <is>
          <t>Reparación de falla — EQ-106</t>
        </is>
      </c>
      <c r="D151" s="3" t="inlineStr">
        <is>
          <t>Reparación de falla en EQ-106</t>
        </is>
      </c>
      <c r="E151" s="3" t="inlineStr">
        <is>
          <t>EQ-106</t>
        </is>
      </c>
      <c r="F151" s="3" t="inlineStr">
        <is>
          <t>CC-210</t>
        </is>
      </c>
      <c r="G151" s="3" t="inlineStr">
        <is>
          <t>PU-AUT</t>
        </is>
      </c>
      <c r="H151" s="3" t="inlineStr">
        <is>
          <t>ACT-03</t>
        </is>
      </c>
      <c r="I151" s="3" t="inlineStr">
        <is>
          <t>TIPO-C1</t>
        </is>
      </c>
      <c r="J151" s="11" t="n">
        <v>46123</v>
      </c>
      <c r="K151" s="3" t="n">
        <v>4</v>
      </c>
      <c r="L151" s="10" t="n">
        <v>160</v>
      </c>
      <c r="M151" s="6" t="n"/>
      <c r="N1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51" s="3">
        <f>IF(tblOrdenes[[#This Row],[fecha_inicio]]="","",YEAR(tblOrdenes[[#This Row],[fecha_inicio]]))</f>
        <v/>
      </c>
      <c r="R151" s="3">
        <f>IF(tblOrdenes[[#This Row],[fecha_inicio]]="","",MONTH(tblOrdenes[[#This Row],[fecha_inicio]]))</f>
        <v/>
      </c>
      <c r="S151" s="3">
        <f>IF(tblOrdenes[[#This Row],[fecha_inicio]]="","",INDEX(lista_dias,WEEKDAY(tblOrdenes[[#This Row],[fecha_inicio]],2)))</f>
        <v/>
      </c>
      <c r="T151" s="3">
        <f>IF(tblOrdenes[[#This Row],[tipo_ot]]="","",_xlfn.XLOOKUP(tblOrdenes[[#This Row],[tipo_ot]],tblTiposOT[codigo],tblTiposOT[clasificacion],"sin_clasificar"))</f>
        <v/>
      </c>
      <c r="U151" s="3">
        <f>IF(tblOrdenes[[#This Row],[centro_costo]]="","",_xlfn.XLOOKUP(tblOrdenes[[#This Row],[centro_costo]],tblCECO[codigo],tblCECO[linea],"(sin catálogo)"))</f>
        <v/>
      </c>
      <c r="V151" s="3">
        <f>IF(tblOrdenes[[#This Row],[centro_costo]]="","",_xlfn.XLOOKUP(tblOrdenes[[#This Row],[centro_costo]],tblCECO[codigo],tblCECO[area],"(sin catálogo)"))</f>
        <v/>
      </c>
      <c r="W151" s="3">
        <f>IF(tblOrdenes[[#This Row],[centro_costo]]="","",_xlfn.XLOOKUP(tblOrdenes[[#This Row],[centro_costo]],tblCECO[codigo],tblCECO[coordinador],"(sin catálogo)"))</f>
        <v/>
      </c>
      <c r="X151" s="3">
        <f>IF(tblOrdenes[[#This Row],[puesto_trabajo]]="","",_xlfn.XLOOKUP(tblOrdenes[[#This Row],[puesto_trabajo]],tblPuestos[codigo],tblPuestos[especialidad],"(sin catálogo)"))</f>
        <v/>
      </c>
      <c r="Y151" s="3">
        <f>IF(tblOrdenes[[#This Row],[cod_actividad]]="","",_xlfn.XLOOKUP(tblOrdenes[[#This Row],[cod_actividad]],tblActividades[codigo],tblActividades[descripcion],"(sin catálogo)"))</f>
        <v/>
      </c>
      <c r="Z151" s="12">
        <f>IF(tblOrdenes[[#This Row],[fecha_inicio]]="","",TODAY()-tblOrdenes[[#This Row],[fecha_inicio]])</f>
        <v/>
      </c>
      <c r="AA151" s="3">
        <f>IF(tblOrdenes[[#This Row],[backlog_dias]]="","",IF(tblOrdenes[[#This Row],[backlog_dias]]&lt;0,"FUTURO",IF(tblOrdenes[[#This Row],[backlog_dias]]&gt;p_dias_backlog_max,"BACKLOG","MES CORRIENTE")))</f>
        <v/>
      </c>
      <c r="AB151" s="3">
        <f>IF(tblOrdenes[[#This Row],[backlog_dias]]="",FALSE,AND(tblOrdenes[[#This Row],[backlog_dias]]&gt;p_dias_backlog_min,tblOrdenes[[#This Row],[backlog_dias]]&lt;=p_dias_backlog_max))</f>
        <v/>
      </c>
      <c r="AC151" s="6" t="inlineStr"/>
      <c r="AD1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51" s="10">
        <f>IF(tblOrdenes[[#This Row],[orden]]="","",_xlfn.XLOOKUP(tblOrdenes[[#This Row],[id_operacion]],tblEjecucion[id_operacion],tblEjecucion[precio],0))</f>
        <v/>
      </c>
      <c r="AH151" s="10">
        <f>IF(tblOrdenes[[#This Row],[orden]]="","",MAX(0,_xlfn.XLOOKUP(tblOrdenes[[#This Row],[id_operacion]],tblEjecucion[id_operacion],tblEjecucion[costo_plan_total],0)-tblOrdenes[[#This Row],[costo_servicio]]))</f>
        <v/>
      </c>
      <c r="AI151" s="10">
        <f>IF(tblOrdenes[[#This Row],[orden]]="","",tblOrdenes[[#This Row],[costo_servicio]]+tblOrdenes[[#This Row],[costo_materiales]])</f>
        <v/>
      </c>
      <c r="AJ151" s="6" t="inlineStr"/>
      <c r="AK151" s="6" t="inlineStr"/>
      <c r="AL151" s="6" t="inlineStr"/>
      <c r="AM151" s="3">
        <f>IF(tblOrdenes[[#This Row],[link_checklist]]="","",HYPERLINK(p_ruta_base_checklists&amp;tblOrdenes[[#This Row],[link_checklist]],"abrir"))</f>
        <v/>
      </c>
      <c r="AN151" s="6" t="inlineStr"/>
      <c r="AO151" s="3">
        <f>IF(tblOrdenes[[#This Row],[orden]]="","",tblOrdenes[[#This Row],[orden]]&amp;IF(tblOrdenes[[#This Row],[operacion]]="","0010",tblOrdenes[[#This Row],[operacion]]))</f>
        <v/>
      </c>
    </row>
    <row r="152">
      <c r="A152" s="3" t="inlineStr">
        <is>
          <t>OT-000149</t>
        </is>
      </c>
      <c r="B152" s="3" t="inlineStr">
        <is>
          <t>0010</t>
        </is>
      </c>
      <c r="C152" s="3" t="inlineStr">
        <is>
          <t>Reparación de falla — EQ-107</t>
        </is>
      </c>
      <c r="D152" s="3" t="inlineStr">
        <is>
          <t>Reparación de falla en EQ-107</t>
        </is>
      </c>
      <c r="E152" s="3" t="inlineStr">
        <is>
          <t>EQ-107</t>
        </is>
      </c>
      <c r="F152" s="3" t="inlineStr">
        <is>
          <t>CC-220</t>
        </is>
      </c>
      <c r="G152" s="3" t="inlineStr">
        <is>
          <t>PU-OP</t>
        </is>
      </c>
      <c r="H152" s="3" t="inlineStr">
        <is>
          <t>ACT-03</t>
        </is>
      </c>
      <c r="I152" s="3" t="inlineStr">
        <is>
          <t>TIPO-C2</t>
        </is>
      </c>
      <c r="J152" s="11" t="n">
        <v>46123</v>
      </c>
      <c r="K152" s="3" t="n">
        <v>6</v>
      </c>
      <c r="L152" s="10" t="n">
        <v>240</v>
      </c>
      <c r="M152" s="6" t="n"/>
      <c r="N1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52" s="3">
        <f>IF(tblOrdenes[[#This Row],[fecha_inicio]]="","",YEAR(tblOrdenes[[#This Row],[fecha_inicio]]))</f>
        <v/>
      </c>
      <c r="R152" s="3">
        <f>IF(tblOrdenes[[#This Row],[fecha_inicio]]="","",MONTH(tblOrdenes[[#This Row],[fecha_inicio]]))</f>
        <v/>
      </c>
      <c r="S152" s="3">
        <f>IF(tblOrdenes[[#This Row],[fecha_inicio]]="","",INDEX(lista_dias,WEEKDAY(tblOrdenes[[#This Row],[fecha_inicio]],2)))</f>
        <v/>
      </c>
      <c r="T152" s="3">
        <f>IF(tblOrdenes[[#This Row],[tipo_ot]]="","",_xlfn.XLOOKUP(tblOrdenes[[#This Row],[tipo_ot]],tblTiposOT[codigo],tblTiposOT[clasificacion],"sin_clasificar"))</f>
        <v/>
      </c>
      <c r="U152" s="3">
        <f>IF(tblOrdenes[[#This Row],[centro_costo]]="","",_xlfn.XLOOKUP(tblOrdenes[[#This Row],[centro_costo]],tblCECO[codigo],tblCECO[linea],"(sin catálogo)"))</f>
        <v/>
      </c>
      <c r="V152" s="3">
        <f>IF(tblOrdenes[[#This Row],[centro_costo]]="","",_xlfn.XLOOKUP(tblOrdenes[[#This Row],[centro_costo]],tblCECO[codigo],tblCECO[area],"(sin catálogo)"))</f>
        <v/>
      </c>
      <c r="W152" s="3">
        <f>IF(tblOrdenes[[#This Row],[centro_costo]]="","",_xlfn.XLOOKUP(tblOrdenes[[#This Row],[centro_costo]],tblCECO[codigo],tblCECO[coordinador],"(sin catálogo)"))</f>
        <v/>
      </c>
      <c r="X152" s="3">
        <f>IF(tblOrdenes[[#This Row],[puesto_trabajo]]="","",_xlfn.XLOOKUP(tblOrdenes[[#This Row],[puesto_trabajo]],tblPuestos[codigo],tblPuestos[especialidad],"(sin catálogo)"))</f>
        <v/>
      </c>
      <c r="Y152" s="3">
        <f>IF(tblOrdenes[[#This Row],[cod_actividad]]="","",_xlfn.XLOOKUP(tblOrdenes[[#This Row],[cod_actividad]],tblActividades[codigo],tblActividades[descripcion],"(sin catálogo)"))</f>
        <v/>
      </c>
      <c r="Z152" s="12">
        <f>IF(tblOrdenes[[#This Row],[fecha_inicio]]="","",TODAY()-tblOrdenes[[#This Row],[fecha_inicio]])</f>
        <v/>
      </c>
      <c r="AA152" s="3">
        <f>IF(tblOrdenes[[#This Row],[backlog_dias]]="","",IF(tblOrdenes[[#This Row],[backlog_dias]]&lt;0,"FUTURO",IF(tblOrdenes[[#This Row],[backlog_dias]]&gt;p_dias_backlog_max,"BACKLOG","MES CORRIENTE")))</f>
        <v/>
      </c>
      <c r="AB152" s="3">
        <f>IF(tblOrdenes[[#This Row],[backlog_dias]]="",FALSE,AND(tblOrdenes[[#This Row],[backlog_dias]]&gt;p_dias_backlog_min,tblOrdenes[[#This Row],[backlog_dias]]&lt;=p_dias_backlog_max))</f>
        <v/>
      </c>
      <c r="AC152" s="6" t="inlineStr"/>
      <c r="AD1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52" s="10">
        <f>IF(tblOrdenes[[#This Row],[orden]]="","",_xlfn.XLOOKUP(tblOrdenes[[#This Row],[id_operacion]],tblEjecucion[id_operacion],tblEjecucion[precio],0))</f>
        <v/>
      </c>
      <c r="AH152" s="10">
        <f>IF(tblOrdenes[[#This Row],[orden]]="","",MAX(0,_xlfn.XLOOKUP(tblOrdenes[[#This Row],[id_operacion]],tblEjecucion[id_operacion],tblEjecucion[costo_plan_total],0)-tblOrdenes[[#This Row],[costo_servicio]]))</f>
        <v/>
      </c>
      <c r="AI152" s="10">
        <f>IF(tblOrdenes[[#This Row],[orden]]="","",tblOrdenes[[#This Row],[costo_servicio]]+tblOrdenes[[#This Row],[costo_materiales]])</f>
        <v/>
      </c>
      <c r="AJ152" s="6" t="inlineStr"/>
      <c r="AK152" s="6" t="inlineStr"/>
      <c r="AL152" s="6" t="inlineStr"/>
      <c r="AM152" s="3">
        <f>IF(tblOrdenes[[#This Row],[link_checklist]]="","",HYPERLINK(p_ruta_base_checklists&amp;tblOrdenes[[#This Row],[link_checklist]],"abrir"))</f>
        <v/>
      </c>
      <c r="AN152" s="6" t="inlineStr"/>
      <c r="AO152" s="3">
        <f>IF(tblOrdenes[[#This Row],[orden]]="","",tblOrdenes[[#This Row],[orden]]&amp;IF(tblOrdenes[[#This Row],[operacion]]="","0010",tblOrdenes[[#This Row],[operacion]]))</f>
        <v/>
      </c>
    </row>
    <row r="153">
      <c r="A153" s="3" t="inlineStr">
        <is>
          <t>OT-000150</t>
        </is>
      </c>
      <c r="B153" s="3" t="inlineStr">
        <is>
          <t>0010</t>
        </is>
      </c>
      <c r="C153" s="3" t="inlineStr">
        <is>
          <t>Reparación de falla — EQ-110</t>
        </is>
      </c>
      <c r="D153" s="3" t="inlineStr">
        <is>
          <t>Reparación de falla en EQ-110</t>
        </is>
      </c>
      <c r="E153" s="3" t="inlineStr">
        <is>
          <t>EQ-110</t>
        </is>
      </c>
      <c r="F153" s="3" t="inlineStr">
        <is>
          <t>CC-310</t>
        </is>
      </c>
      <c r="G153" s="3" t="inlineStr">
        <is>
          <t>PU-MEC</t>
        </is>
      </c>
      <c r="H153" s="3" t="inlineStr">
        <is>
          <t>ACT-03</t>
        </is>
      </c>
      <c r="I153" s="3" t="inlineStr">
        <is>
          <t>TIPO-C1</t>
        </is>
      </c>
      <c r="J153" s="11" t="n">
        <v>46123</v>
      </c>
      <c r="K153" s="3" t="n">
        <v>8</v>
      </c>
      <c r="L153" s="10" t="n">
        <v>320</v>
      </c>
      <c r="M153" s="6" t="n"/>
      <c r="N1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53" s="3">
        <f>IF(tblOrdenes[[#This Row],[fecha_inicio]]="","",YEAR(tblOrdenes[[#This Row],[fecha_inicio]]))</f>
        <v/>
      </c>
      <c r="R153" s="3">
        <f>IF(tblOrdenes[[#This Row],[fecha_inicio]]="","",MONTH(tblOrdenes[[#This Row],[fecha_inicio]]))</f>
        <v/>
      </c>
      <c r="S153" s="3">
        <f>IF(tblOrdenes[[#This Row],[fecha_inicio]]="","",INDEX(lista_dias,WEEKDAY(tblOrdenes[[#This Row],[fecha_inicio]],2)))</f>
        <v/>
      </c>
      <c r="T153" s="3">
        <f>IF(tblOrdenes[[#This Row],[tipo_ot]]="","",_xlfn.XLOOKUP(tblOrdenes[[#This Row],[tipo_ot]],tblTiposOT[codigo],tblTiposOT[clasificacion],"sin_clasificar"))</f>
        <v/>
      </c>
      <c r="U153" s="3">
        <f>IF(tblOrdenes[[#This Row],[centro_costo]]="","",_xlfn.XLOOKUP(tblOrdenes[[#This Row],[centro_costo]],tblCECO[codigo],tblCECO[linea],"(sin catálogo)"))</f>
        <v/>
      </c>
      <c r="V153" s="3">
        <f>IF(tblOrdenes[[#This Row],[centro_costo]]="","",_xlfn.XLOOKUP(tblOrdenes[[#This Row],[centro_costo]],tblCECO[codigo],tblCECO[area],"(sin catálogo)"))</f>
        <v/>
      </c>
      <c r="W153" s="3">
        <f>IF(tblOrdenes[[#This Row],[centro_costo]]="","",_xlfn.XLOOKUP(tblOrdenes[[#This Row],[centro_costo]],tblCECO[codigo],tblCECO[coordinador],"(sin catálogo)"))</f>
        <v/>
      </c>
      <c r="X153" s="3">
        <f>IF(tblOrdenes[[#This Row],[puesto_trabajo]]="","",_xlfn.XLOOKUP(tblOrdenes[[#This Row],[puesto_trabajo]],tblPuestos[codigo],tblPuestos[especialidad],"(sin catálogo)"))</f>
        <v/>
      </c>
      <c r="Y153" s="3">
        <f>IF(tblOrdenes[[#This Row],[cod_actividad]]="","",_xlfn.XLOOKUP(tblOrdenes[[#This Row],[cod_actividad]],tblActividades[codigo],tblActividades[descripcion],"(sin catálogo)"))</f>
        <v/>
      </c>
      <c r="Z153" s="12">
        <f>IF(tblOrdenes[[#This Row],[fecha_inicio]]="","",TODAY()-tblOrdenes[[#This Row],[fecha_inicio]])</f>
        <v/>
      </c>
      <c r="AA153" s="3">
        <f>IF(tblOrdenes[[#This Row],[backlog_dias]]="","",IF(tblOrdenes[[#This Row],[backlog_dias]]&lt;0,"FUTURO",IF(tblOrdenes[[#This Row],[backlog_dias]]&gt;p_dias_backlog_max,"BACKLOG","MES CORRIENTE")))</f>
        <v/>
      </c>
      <c r="AB153" s="3">
        <f>IF(tblOrdenes[[#This Row],[backlog_dias]]="",FALSE,AND(tblOrdenes[[#This Row],[backlog_dias]]&gt;p_dias_backlog_min,tblOrdenes[[#This Row],[backlog_dias]]&lt;=p_dias_backlog_max))</f>
        <v/>
      </c>
      <c r="AC153" s="6" t="inlineStr"/>
      <c r="AD1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53" s="10">
        <f>IF(tblOrdenes[[#This Row],[orden]]="","",_xlfn.XLOOKUP(tblOrdenes[[#This Row],[id_operacion]],tblEjecucion[id_operacion],tblEjecucion[precio],0))</f>
        <v/>
      </c>
      <c r="AH153" s="10">
        <f>IF(tblOrdenes[[#This Row],[orden]]="","",MAX(0,_xlfn.XLOOKUP(tblOrdenes[[#This Row],[id_operacion]],tblEjecucion[id_operacion],tblEjecucion[costo_plan_total],0)-tblOrdenes[[#This Row],[costo_servicio]]))</f>
        <v/>
      </c>
      <c r="AI153" s="10">
        <f>IF(tblOrdenes[[#This Row],[orden]]="","",tblOrdenes[[#This Row],[costo_servicio]]+tblOrdenes[[#This Row],[costo_materiales]])</f>
        <v/>
      </c>
      <c r="AJ153" s="6" t="inlineStr"/>
      <c r="AK153" s="6" t="inlineStr"/>
      <c r="AL153" s="6" t="inlineStr"/>
      <c r="AM153" s="3">
        <f>IF(tblOrdenes[[#This Row],[link_checklist]]="","",HYPERLINK(p_ruta_base_checklists&amp;tblOrdenes[[#This Row],[link_checklist]],"abrir"))</f>
        <v/>
      </c>
      <c r="AN153" s="6" t="inlineStr"/>
      <c r="AO153" s="3">
        <f>IF(tblOrdenes[[#This Row],[orden]]="","",tblOrdenes[[#This Row],[orden]]&amp;IF(tblOrdenes[[#This Row],[operacion]]="","0010",tblOrdenes[[#This Row],[operacion]]))</f>
        <v/>
      </c>
    </row>
    <row r="154">
      <c r="A154" s="3" t="inlineStr">
        <is>
          <t>OT-000151</t>
        </is>
      </c>
      <c r="B154" s="3" t="inlineStr">
        <is>
          <t>0010</t>
        </is>
      </c>
      <c r="C154" s="3" t="inlineStr">
        <is>
          <t>Lubricación programada — EQ-111</t>
        </is>
      </c>
      <c r="D154" s="3" t="inlineStr">
        <is>
          <t>Lubricación programada en EQ-111</t>
        </is>
      </c>
      <c r="E154" s="3" t="inlineStr">
        <is>
          <t>EQ-111</t>
        </is>
      </c>
      <c r="F154" s="3" t="inlineStr">
        <is>
          <t>CC-320</t>
        </is>
      </c>
      <c r="G154" s="3" t="inlineStr">
        <is>
          <t>PU-ELE</t>
        </is>
      </c>
      <c r="H154" s="3" t="inlineStr">
        <is>
          <t>ACT-02</t>
        </is>
      </c>
      <c r="I154" s="3" t="inlineStr">
        <is>
          <t>TIPO-P2</t>
        </is>
      </c>
      <c r="J154" s="11" t="n">
        <v>46123</v>
      </c>
      <c r="K154" s="3" t="n">
        <v>4</v>
      </c>
      <c r="L154" s="10" t="n">
        <v>100</v>
      </c>
      <c r="M154" s="6" t="n"/>
      <c r="N1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54" s="3">
        <f>IF(tblOrdenes[[#This Row],[fecha_inicio]]="","",YEAR(tblOrdenes[[#This Row],[fecha_inicio]]))</f>
        <v/>
      </c>
      <c r="R154" s="3">
        <f>IF(tblOrdenes[[#This Row],[fecha_inicio]]="","",MONTH(tblOrdenes[[#This Row],[fecha_inicio]]))</f>
        <v/>
      </c>
      <c r="S154" s="3">
        <f>IF(tblOrdenes[[#This Row],[fecha_inicio]]="","",INDEX(lista_dias,WEEKDAY(tblOrdenes[[#This Row],[fecha_inicio]],2)))</f>
        <v/>
      </c>
      <c r="T154" s="3">
        <f>IF(tblOrdenes[[#This Row],[tipo_ot]]="","",_xlfn.XLOOKUP(tblOrdenes[[#This Row],[tipo_ot]],tblTiposOT[codigo],tblTiposOT[clasificacion],"sin_clasificar"))</f>
        <v/>
      </c>
      <c r="U154" s="3">
        <f>IF(tblOrdenes[[#This Row],[centro_costo]]="","",_xlfn.XLOOKUP(tblOrdenes[[#This Row],[centro_costo]],tblCECO[codigo],tblCECO[linea],"(sin catálogo)"))</f>
        <v/>
      </c>
      <c r="V154" s="3">
        <f>IF(tblOrdenes[[#This Row],[centro_costo]]="","",_xlfn.XLOOKUP(tblOrdenes[[#This Row],[centro_costo]],tblCECO[codigo],tblCECO[area],"(sin catálogo)"))</f>
        <v/>
      </c>
      <c r="W154" s="3">
        <f>IF(tblOrdenes[[#This Row],[centro_costo]]="","",_xlfn.XLOOKUP(tblOrdenes[[#This Row],[centro_costo]],tblCECO[codigo],tblCECO[coordinador],"(sin catálogo)"))</f>
        <v/>
      </c>
      <c r="X154" s="3">
        <f>IF(tblOrdenes[[#This Row],[puesto_trabajo]]="","",_xlfn.XLOOKUP(tblOrdenes[[#This Row],[puesto_trabajo]],tblPuestos[codigo],tblPuestos[especialidad],"(sin catálogo)"))</f>
        <v/>
      </c>
      <c r="Y154" s="3">
        <f>IF(tblOrdenes[[#This Row],[cod_actividad]]="","",_xlfn.XLOOKUP(tblOrdenes[[#This Row],[cod_actividad]],tblActividades[codigo],tblActividades[descripcion],"(sin catálogo)"))</f>
        <v/>
      </c>
      <c r="Z154" s="12">
        <f>IF(tblOrdenes[[#This Row],[fecha_inicio]]="","",TODAY()-tblOrdenes[[#This Row],[fecha_inicio]])</f>
        <v/>
      </c>
      <c r="AA154" s="3">
        <f>IF(tblOrdenes[[#This Row],[backlog_dias]]="","",IF(tblOrdenes[[#This Row],[backlog_dias]]&lt;0,"FUTURO",IF(tblOrdenes[[#This Row],[backlog_dias]]&gt;p_dias_backlog_max,"BACKLOG","MES CORRIENTE")))</f>
        <v/>
      </c>
      <c r="AB154" s="3">
        <f>IF(tblOrdenes[[#This Row],[backlog_dias]]="",FALSE,AND(tblOrdenes[[#This Row],[backlog_dias]]&gt;p_dias_backlog_min,tblOrdenes[[#This Row],[backlog_dias]]&lt;=p_dias_backlog_max))</f>
        <v/>
      </c>
      <c r="AC154" s="6" t="inlineStr"/>
      <c r="AD1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54" s="10">
        <f>IF(tblOrdenes[[#This Row],[orden]]="","",_xlfn.XLOOKUP(tblOrdenes[[#This Row],[id_operacion]],tblEjecucion[id_operacion],tblEjecucion[precio],0))</f>
        <v/>
      </c>
      <c r="AH154" s="10">
        <f>IF(tblOrdenes[[#This Row],[orden]]="","",MAX(0,_xlfn.XLOOKUP(tblOrdenes[[#This Row],[id_operacion]],tblEjecucion[id_operacion],tblEjecucion[costo_plan_total],0)-tblOrdenes[[#This Row],[costo_servicio]]))</f>
        <v/>
      </c>
      <c r="AI154" s="10">
        <f>IF(tblOrdenes[[#This Row],[orden]]="","",tblOrdenes[[#This Row],[costo_servicio]]+tblOrdenes[[#This Row],[costo_materiales]])</f>
        <v/>
      </c>
      <c r="AJ154" s="6" t="inlineStr"/>
      <c r="AK154" s="6" t="inlineStr"/>
      <c r="AL154" s="6" t="inlineStr"/>
      <c r="AM154" s="3">
        <f>IF(tblOrdenes[[#This Row],[link_checklist]]="","",HYPERLINK(p_ruta_base_checklists&amp;tblOrdenes[[#This Row],[link_checklist]],"abrir"))</f>
        <v/>
      </c>
      <c r="AN154" s="6" t="inlineStr"/>
      <c r="AO154" s="3">
        <f>IF(tblOrdenes[[#This Row],[orden]]="","",tblOrdenes[[#This Row],[orden]]&amp;IF(tblOrdenes[[#This Row],[operacion]]="","0010",tblOrdenes[[#This Row],[operacion]]))</f>
        <v/>
      </c>
    </row>
    <row r="155">
      <c r="A155" s="3" t="inlineStr">
        <is>
          <t>OT-000152</t>
        </is>
      </c>
      <c r="B155" s="3" t="inlineStr">
        <is>
          <t>0010</t>
        </is>
      </c>
      <c r="C155" s="3" t="inlineStr">
        <is>
          <t>Reparación de falla — EQ-103</t>
        </is>
      </c>
      <c r="D155" s="3" t="inlineStr">
        <is>
          <t>Reparación de falla en EQ-103</t>
        </is>
      </c>
      <c r="E155" s="3" t="inlineStr">
        <is>
          <t>EQ-103</t>
        </is>
      </c>
      <c r="F155" s="3" t="inlineStr">
        <is>
          <t>CC-110</t>
        </is>
      </c>
      <c r="G155" s="3" t="inlineStr">
        <is>
          <t>PU-AUT</t>
        </is>
      </c>
      <c r="H155" s="3" t="inlineStr">
        <is>
          <t>ACT-03</t>
        </is>
      </c>
      <c r="I155" s="3" t="inlineStr">
        <is>
          <t>TIPO-C1</t>
        </is>
      </c>
      <c r="J155" s="11" t="n">
        <v>46123</v>
      </c>
      <c r="K155" s="3" t="n">
        <v>6</v>
      </c>
      <c r="L155" s="10" t="n">
        <v>240</v>
      </c>
      <c r="M155" s="6" t="n"/>
      <c r="N1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55" s="3">
        <f>IF(tblOrdenes[[#This Row],[fecha_inicio]]="","",YEAR(tblOrdenes[[#This Row],[fecha_inicio]]))</f>
        <v/>
      </c>
      <c r="R155" s="3">
        <f>IF(tblOrdenes[[#This Row],[fecha_inicio]]="","",MONTH(tblOrdenes[[#This Row],[fecha_inicio]]))</f>
        <v/>
      </c>
      <c r="S155" s="3">
        <f>IF(tblOrdenes[[#This Row],[fecha_inicio]]="","",INDEX(lista_dias,WEEKDAY(tblOrdenes[[#This Row],[fecha_inicio]],2)))</f>
        <v/>
      </c>
      <c r="T155" s="3">
        <f>IF(tblOrdenes[[#This Row],[tipo_ot]]="","",_xlfn.XLOOKUP(tblOrdenes[[#This Row],[tipo_ot]],tblTiposOT[codigo],tblTiposOT[clasificacion],"sin_clasificar"))</f>
        <v/>
      </c>
      <c r="U155" s="3">
        <f>IF(tblOrdenes[[#This Row],[centro_costo]]="","",_xlfn.XLOOKUP(tblOrdenes[[#This Row],[centro_costo]],tblCECO[codigo],tblCECO[linea],"(sin catálogo)"))</f>
        <v/>
      </c>
      <c r="V155" s="3">
        <f>IF(tblOrdenes[[#This Row],[centro_costo]]="","",_xlfn.XLOOKUP(tblOrdenes[[#This Row],[centro_costo]],tblCECO[codigo],tblCECO[area],"(sin catálogo)"))</f>
        <v/>
      </c>
      <c r="W155" s="3">
        <f>IF(tblOrdenes[[#This Row],[centro_costo]]="","",_xlfn.XLOOKUP(tblOrdenes[[#This Row],[centro_costo]],tblCECO[codigo],tblCECO[coordinador],"(sin catálogo)"))</f>
        <v/>
      </c>
      <c r="X155" s="3">
        <f>IF(tblOrdenes[[#This Row],[puesto_trabajo]]="","",_xlfn.XLOOKUP(tblOrdenes[[#This Row],[puesto_trabajo]],tblPuestos[codigo],tblPuestos[especialidad],"(sin catálogo)"))</f>
        <v/>
      </c>
      <c r="Y155" s="3">
        <f>IF(tblOrdenes[[#This Row],[cod_actividad]]="","",_xlfn.XLOOKUP(tblOrdenes[[#This Row],[cod_actividad]],tblActividades[codigo],tblActividades[descripcion],"(sin catálogo)"))</f>
        <v/>
      </c>
      <c r="Z155" s="12">
        <f>IF(tblOrdenes[[#This Row],[fecha_inicio]]="","",TODAY()-tblOrdenes[[#This Row],[fecha_inicio]])</f>
        <v/>
      </c>
      <c r="AA155" s="3">
        <f>IF(tblOrdenes[[#This Row],[backlog_dias]]="","",IF(tblOrdenes[[#This Row],[backlog_dias]]&lt;0,"FUTURO",IF(tblOrdenes[[#This Row],[backlog_dias]]&gt;p_dias_backlog_max,"BACKLOG","MES CORRIENTE")))</f>
        <v/>
      </c>
      <c r="AB155" s="3">
        <f>IF(tblOrdenes[[#This Row],[backlog_dias]]="",FALSE,AND(tblOrdenes[[#This Row],[backlog_dias]]&gt;p_dias_backlog_min,tblOrdenes[[#This Row],[backlog_dias]]&lt;=p_dias_backlog_max))</f>
        <v/>
      </c>
      <c r="AC155" s="6" t="inlineStr"/>
      <c r="AD1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55" s="10">
        <f>IF(tblOrdenes[[#This Row],[orden]]="","",_xlfn.XLOOKUP(tblOrdenes[[#This Row],[id_operacion]],tblEjecucion[id_operacion],tblEjecucion[precio],0))</f>
        <v/>
      </c>
      <c r="AH155" s="10">
        <f>IF(tblOrdenes[[#This Row],[orden]]="","",MAX(0,_xlfn.XLOOKUP(tblOrdenes[[#This Row],[id_operacion]],tblEjecucion[id_operacion],tblEjecucion[costo_plan_total],0)-tblOrdenes[[#This Row],[costo_servicio]]))</f>
        <v/>
      </c>
      <c r="AI155" s="10">
        <f>IF(tblOrdenes[[#This Row],[orden]]="","",tblOrdenes[[#This Row],[costo_servicio]]+tblOrdenes[[#This Row],[costo_materiales]])</f>
        <v/>
      </c>
      <c r="AJ155" s="6" t="inlineStr"/>
      <c r="AK155" s="6" t="inlineStr"/>
      <c r="AL155" s="6" t="inlineStr"/>
      <c r="AM155" s="3">
        <f>IF(tblOrdenes[[#This Row],[link_checklist]]="","",HYPERLINK(p_ruta_base_checklists&amp;tblOrdenes[[#This Row],[link_checklist]],"abrir"))</f>
        <v/>
      </c>
      <c r="AN155" s="6" t="inlineStr"/>
      <c r="AO155" s="3">
        <f>IF(tblOrdenes[[#This Row],[orden]]="","",tblOrdenes[[#This Row],[orden]]&amp;IF(tblOrdenes[[#This Row],[operacion]]="","0010",tblOrdenes[[#This Row],[operacion]]))</f>
        <v/>
      </c>
    </row>
    <row r="156">
      <c r="A156" s="3" t="inlineStr">
        <is>
          <t>OT-000153</t>
        </is>
      </c>
      <c r="B156" s="3" t="inlineStr">
        <is>
          <t>0010</t>
        </is>
      </c>
      <c r="C156" s="3" t="inlineStr">
        <is>
          <t>Reparación de falla — EQ-104</t>
        </is>
      </c>
      <c r="D156" s="3" t="inlineStr">
        <is>
          <t>Reparación de falla en EQ-104</t>
        </is>
      </c>
      <c r="E156" s="3" t="inlineStr">
        <is>
          <t>EQ-104</t>
        </is>
      </c>
      <c r="F156" s="3" t="inlineStr">
        <is>
          <t>CC-120</t>
        </is>
      </c>
      <c r="G156" s="3" t="inlineStr">
        <is>
          <t>PU-OP</t>
        </is>
      </c>
      <c r="H156" s="3" t="inlineStr">
        <is>
          <t>ACT-03</t>
        </is>
      </c>
      <c r="I156" s="3" t="inlineStr">
        <is>
          <t>TIPO-C2</t>
        </is>
      </c>
      <c r="J156" s="11" t="n">
        <v>46123</v>
      </c>
      <c r="K156" s="3" t="n">
        <v>8</v>
      </c>
      <c r="L156" s="10" t="n">
        <v>320</v>
      </c>
      <c r="M156" s="6" t="n"/>
      <c r="N1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56" s="3">
        <f>IF(tblOrdenes[[#This Row],[fecha_inicio]]="","",YEAR(tblOrdenes[[#This Row],[fecha_inicio]]))</f>
        <v/>
      </c>
      <c r="R156" s="3">
        <f>IF(tblOrdenes[[#This Row],[fecha_inicio]]="","",MONTH(tblOrdenes[[#This Row],[fecha_inicio]]))</f>
        <v/>
      </c>
      <c r="S156" s="3">
        <f>IF(tblOrdenes[[#This Row],[fecha_inicio]]="","",INDEX(lista_dias,WEEKDAY(tblOrdenes[[#This Row],[fecha_inicio]],2)))</f>
        <v/>
      </c>
      <c r="T156" s="3">
        <f>IF(tblOrdenes[[#This Row],[tipo_ot]]="","",_xlfn.XLOOKUP(tblOrdenes[[#This Row],[tipo_ot]],tblTiposOT[codigo],tblTiposOT[clasificacion],"sin_clasificar"))</f>
        <v/>
      </c>
      <c r="U156" s="3">
        <f>IF(tblOrdenes[[#This Row],[centro_costo]]="","",_xlfn.XLOOKUP(tblOrdenes[[#This Row],[centro_costo]],tblCECO[codigo],tblCECO[linea],"(sin catálogo)"))</f>
        <v/>
      </c>
      <c r="V156" s="3">
        <f>IF(tblOrdenes[[#This Row],[centro_costo]]="","",_xlfn.XLOOKUP(tblOrdenes[[#This Row],[centro_costo]],tblCECO[codigo],tblCECO[area],"(sin catálogo)"))</f>
        <v/>
      </c>
      <c r="W156" s="3">
        <f>IF(tblOrdenes[[#This Row],[centro_costo]]="","",_xlfn.XLOOKUP(tblOrdenes[[#This Row],[centro_costo]],tblCECO[codigo],tblCECO[coordinador],"(sin catálogo)"))</f>
        <v/>
      </c>
      <c r="X156" s="3">
        <f>IF(tblOrdenes[[#This Row],[puesto_trabajo]]="","",_xlfn.XLOOKUP(tblOrdenes[[#This Row],[puesto_trabajo]],tblPuestos[codigo],tblPuestos[especialidad],"(sin catálogo)"))</f>
        <v/>
      </c>
      <c r="Y156" s="3">
        <f>IF(tblOrdenes[[#This Row],[cod_actividad]]="","",_xlfn.XLOOKUP(tblOrdenes[[#This Row],[cod_actividad]],tblActividades[codigo],tblActividades[descripcion],"(sin catálogo)"))</f>
        <v/>
      </c>
      <c r="Z156" s="12">
        <f>IF(tblOrdenes[[#This Row],[fecha_inicio]]="","",TODAY()-tblOrdenes[[#This Row],[fecha_inicio]])</f>
        <v/>
      </c>
      <c r="AA156" s="3">
        <f>IF(tblOrdenes[[#This Row],[backlog_dias]]="","",IF(tblOrdenes[[#This Row],[backlog_dias]]&lt;0,"FUTURO",IF(tblOrdenes[[#This Row],[backlog_dias]]&gt;p_dias_backlog_max,"BACKLOG","MES CORRIENTE")))</f>
        <v/>
      </c>
      <c r="AB156" s="3">
        <f>IF(tblOrdenes[[#This Row],[backlog_dias]]="",FALSE,AND(tblOrdenes[[#This Row],[backlog_dias]]&gt;p_dias_backlog_min,tblOrdenes[[#This Row],[backlog_dias]]&lt;=p_dias_backlog_max))</f>
        <v/>
      </c>
      <c r="AC156" s="6" t="inlineStr"/>
      <c r="AD1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56" s="10">
        <f>IF(tblOrdenes[[#This Row],[orden]]="","",_xlfn.XLOOKUP(tblOrdenes[[#This Row],[id_operacion]],tblEjecucion[id_operacion],tblEjecucion[precio],0))</f>
        <v/>
      </c>
      <c r="AH156" s="10">
        <f>IF(tblOrdenes[[#This Row],[orden]]="","",MAX(0,_xlfn.XLOOKUP(tblOrdenes[[#This Row],[id_operacion]],tblEjecucion[id_operacion],tblEjecucion[costo_plan_total],0)-tblOrdenes[[#This Row],[costo_servicio]]))</f>
        <v/>
      </c>
      <c r="AI156" s="10">
        <f>IF(tblOrdenes[[#This Row],[orden]]="","",tblOrdenes[[#This Row],[costo_servicio]]+tblOrdenes[[#This Row],[costo_materiales]])</f>
        <v/>
      </c>
      <c r="AJ156" s="6" t="inlineStr"/>
      <c r="AK156" s="6" t="inlineStr"/>
      <c r="AL156" s="6" t="inlineStr"/>
      <c r="AM156" s="3">
        <f>IF(tblOrdenes[[#This Row],[link_checklist]]="","",HYPERLINK(p_ruta_base_checklists&amp;tblOrdenes[[#This Row],[link_checklist]],"abrir"))</f>
        <v/>
      </c>
      <c r="AN156" s="6" t="inlineStr"/>
      <c r="AO156" s="3">
        <f>IF(tblOrdenes[[#This Row],[orden]]="","",tblOrdenes[[#This Row],[orden]]&amp;IF(tblOrdenes[[#This Row],[operacion]]="","0010",tblOrdenes[[#This Row],[operacion]]))</f>
        <v/>
      </c>
    </row>
    <row r="157">
      <c r="A157" s="3" t="inlineStr">
        <is>
          <t>OT-000154</t>
        </is>
      </c>
      <c r="B157" s="3" t="inlineStr">
        <is>
          <t>0010</t>
        </is>
      </c>
      <c r="C157" s="3" t="inlineStr">
        <is>
          <t>Reparación de falla — EQ-108</t>
        </is>
      </c>
      <c r="D157" s="3" t="inlineStr">
        <is>
          <t>Reparación de falla en EQ-108</t>
        </is>
      </c>
      <c r="E157" s="3" t="inlineStr">
        <is>
          <t>EQ-108</t>
        </is>
      </c>
      <c r="F157" s="3" t="inlineStr">
        <is>
          <t>CC-220</t>
        </is>
      </c>
      <c r="G157" s="3" t="inlineStr">
        <is>
          <t>PU-OP</t>
        </is>
      </c>
      <c r="H157" s="3" t="inlineStr">
        <is>
          <t>ACT-03</t>
        </is>
      </c>
      <c r="I157" s="3" t="inlineStr">
        <is>
          <t>TIPO-C1</t>
        </is>
      </c>
      <c r="J157" s="11" t="n">
        <v>46103</v>
      </c>
      <c r="K157" s="3" t="n">
        <v>4</v>
      </c>
      <c r="L157" s="10" t="n">
        <v>160</v>
      </c>
      <c r="M157" s="6" t="n"/>
      <c r="N1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57" s="3">
        <f>IF(tblOrdenes[[#This Row],[fecha_inicio]]="","",YEAR(tblOrdenes[[#This Row],[fecha_inicio]]))</f>
        <v/>
      </c>
      <c r="R157" s="3">
        <f>IF(tblOrdenes[[#This Row],[fecha_inicio]]="","",MONTH(tblOrdenes[[#This Row],[fecha_inicio]]))</f>
        <v/>
      </c>
      <c r="S157" s="3">
        <f>IF(tblOrdenes[[#This Row],[fecha_inicio]]="","",INDEX(lista_dias,WEEKDAY(tblOrdenes[[#This Row],[fecha_inicio]],2)))</f>
        <v/>
      </c>
      <c r="T157" s="3">
        <f>IF(tblOrdenes[[#This Row],[tipo_ot]]="","",_xlfn.XLOOKUP(tblOrdenes[[#This Row],[tipo_ot]],tblTiposOT[codigo],tblTiposOT[clasificacion],"sin_clasificar"))</f>
        <v/>
      </c>
      <c r="U157" s="3">
        <f>IF(tblOrdenes[[#This Row],[centro_costo]]="","",_xlfn.XLOOKUP(tblOrdenes[[#This Row],[centro_costo]],tblCECO[codigo],tblCECO[linea],"(sin catálogo)"))</f>
        <v/>
      </c>
      <c r="V157" s="3">
        <f>IF(tblOrdenes[[#This Row],[centro_costo]]="","",_xlfn.XLOOKUP(tblOrdenes[[#This Row],[centro_costo]],tblCECO[codigo],tblCECO[area],"(sin catálogo)"))</f>
        <v/>
      </c>
      <c r="W157" s="3">
        <f>IF(tblOrdenes[[#This Row],[centro_costo]]="","",_xlfn.XLOOKUP(tblOrdenes[[#This Row],[centro_costo]],tblCECO[codigo],tblCECO[coordinador],"(sin catálogo)"))</f>
        <v/>
      </c>
      <c r="X157" s="3">
        <f>IF(tblOrdenes[[#This Row],[puesto_trabajo]]="","",_xlfn.XLOOKUP(tblOrdenes[[#This Row],[puesto_trabajo]],tblPuestos[codigo],tblPuestos[especialidad],"(sin catálogo)"))</f>
        <v/>
      </c>
      <c r="Y157" s="3">
        <f>IF(tblOrdenes[[#This Row],[cod_actividad]]="","",_xlfn.XLOOKUP(tblOrdenes[[#This Row],[cod_actividad]],tblActividades[codigo],tblActividades[descripcion],"(sin catálogo)"))</f>
        <v/>
      </c>
      <c r="Z157" s="12">
        <f>IF(tblOrdenes[[#This Row],[fecha_inicio]]="","",TODAY()-tblOrdenes[[#This Row],[fecha_inicio]])</f>
        <v/>
      </c>
      <c r="AA157" s="3">
        <f>IF(tblOrdenes[[#This Row],[backlog_dias]]="","",IF(tblOrdenes[[#This Row],[backlog_dias]]&lt;0,"FUTURO",IF(tblOrdenes[[#This Row],[backlog_dias]]&gt;p_dias_backlog_max,"BACKLOG","MES CORRIENTE")))</f>
        <v/>
      </c>
      <c r="AB157" s="3">
        <f>IF(tblOrdenes[[#This Row],[backlog_dias]]="",FALSE,AND(tblOrdenes[[#This Row],[backlog_dias]]&gt;p_dias_backlog_min,tblOrdenes[[#This Row],[backlog_dias]]&lt;=p_dias_backlog_max))</f>
        <v/>
      </c>
      <c r="AC157" s="6" t="inlineStr"/>
      <c r="AD1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57" s="10">
        <f>IF(tblOrdenes[[#This Row],[orden]]="","",_xlfn.XLOOKUP(tblOrdenes[[#This Row],[id_operacion]],tblEjecucion[id_operacion],tblEjecucion[precio],0))</f>
        <v/>
      </c>
      <c r="AH157" s="10">
        <f>IF(tblOrdenes[[#This Row],[orden]]="","",MAX(0,_xlfn.XLOOKUP(tblOrdenes[[#This Row],[id_operacion]],tblEjecucion[id_operacion],tblEjecucion[costo_plan_total],0)-tblOrdenes[[#This Row],[costo_servicio]]))</f>
        <v/>
      </c>
      <c r="AI157" s="10">
        <f>IF(tblOrdenes[[#This Row],[orden]]="","",tblOrdenes[[#This Row],[costo_servicio]]+tblOrdenes[[#This Row],[costo_materiales]])</f>
        <v/>
      </c>
      <c r="AJ157" s="6" t="inlineStr"/>
      <c r="AK157" s="6" t="inlineStr"/>
      <c r="AL157" s="6" t="inlineStr"/>
      <c r="AM157" s="3">
        <f>IF(tblOrdenes[[#This Row],[link_checklist]]="","",HYPERLINK(p_ruta_base_checklists&amp;tblOrdenes[[#This Row],[link_checklist]],"abrir"))</f>
        <v/>
      </c>
      <c r="AN157" s="6" t="inlineStr"/>
      <c r="AO157" s="3">
        <f>IF(tblOrdenes[[#This Row],[orden]]="","",tblOrdenes[[#This Row],[orden]]&amp;IF(tblOrdenes[[#This Row],[operacion]]="","0010",tblOrdenes[[#This Row],[operacion]]))</f>
        <v/>
      </c>
    </row>
    <row r="158">
      <c r="A158" s="3" t="inlineStr">
        <is>
          <t>OT-000155</t>
        </is>
      </c>
      <c r="B158" s="3" t="inlineStr">
        <is>
          <t>0010</t>
        </is>
      </c>
      <c r="C158" s="3" t="inlineStr">
        <is>
          <t>Reparación de falla — EQ-112</t>
        </is>
      </c>
      <c r="D158" s="3" t="inlineStr">
        <is>
          <t>Reparación de falla en EQ-112</t>
        </is>
      </c>
      <c r="E158" s="3" t="inlineStr">
        <is>
          <t>EQ-112</t>
        </is>
      </c>
      <c r="F158" s="3" t="inlineStr">
        <is>
          <t>CC-310</t>
        </is>
      </c>
      <c r="G158" s="3" t="inlineStr">
        <is>
          <t>PU-MEC</t>
        </is>
      </c>
      <c r="H158" s="3" t="inlineStr">
        <is>
          <t>ACT-03</t>
        </is>
      </c>
      <c r="I158" s="3" t="inlineStr">
        <is>
          <t>TIPO-C2</t>
        </is>
      </c>
      <c r="J158" s="11" t="n">
        <v>46103</v>
      </c>
      <c r="K158" s="3" t="n">
        <v>6</v>
      </c>
      <c r="L158" s="10" t="n">
        <v>240</v>
      </c>
      <c r="M158" s="6" t="n"/>
      <c r="N1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58" s="3">
        <f>IF(tblOrdenes[[#This Row],[fecha_inicio]]="","",YEAR(tblOrdenes[[#This Row],[fecha_inicio]]))</f>
        <v/>
      </c>
      <c r="R158" s="3">
        <f>IF(tblOrdenes[[#This Row],[fecha_inicio]]="","",MONTH(tblOrdenes[[#This Row],[fecha_inicio]]))</f>
        <v/>
      </c>
      <c r="S158" s="3">
        <f>IF(tblOrdenes[[#This Row],[fecha_inicio]]="","",INDEX(lista_dias,WEEKDAY(tblOrdenes[[#This Row],[fecha_inicio]],2)))</f>
        <v/>
      </c>
      <c r="T158" s="3">
        <f>IF(tblOrdenes[[#This Row],[tipo_ot]]="","",_xlfn.XLOOKUP(tblOrdenes[[#This Row],[tipo_ot]],tblTiposOT[codigo],tblTiposOT[clasificacion],"sin_clasificar"))</f>
        <v/>
      </c>
      <c r="U158" s="3">
        <f>IF(tblOrdenes[[#This Row],[centro_costo]]="","",_xlfn.XLOOKUP(tblOrdenes[[#This Row],[centro_costo]],tblCECO[codigo],tblCECO[linea],"(sin catálogo)"))</f>
        <v/>
      </c>
      <c r="V158" s="3">
        <f>IF(tblOrdenes[[#This Row],[centro_costo]]="","",_xlfn.XLOOKUP(tblOrdenes[[#This Row],[centro_costo]],tblCECO[codigo],tblCECO[area],"(sin catálogo)"))</f>
        <v/>
      </c>
      <c r="W158" s="3">
        <f>IF(tblOrdenes[[#This Row],[centro_costo]]="","",_xlfn.XLOOKUP(tblOrdenes[[#This Row],[centro_costo]],tblCECO[codigo],tblCECO[coordinador],"(sin catálogo)"))</f>
        <v/>
      </c>
      <c r="X158" s="3">
        <f>IF(tblOrdenes[[#This Row],[puesto_trabajo]]="","",_xlfn.XLOOKUP(tblOrdenes[[#This Row],[puesto_trabajo]],tblPuestos[codigo],tblPuestos[especialidad],"(sin catálogo)"))</f>
        <v/>
      </c>
      <c r="Y158" s="3">
        <f>IF(tblOrdenes[[#This Row],[cod_actividad]]="","",_xlfn.XLOOKUP(tblOrdenes[[#This Row],[cod_actividad]],tblActividades[codigo],tblActividades[descripcion],"(sin catálogo)"))</f>
        <v/>
      </c>
      <c r="Z158" s="12">
        <f>IF(tblOrdenes[[#This Row],[fecha_inicio]]="","",TODAY()-tblOrdenes[[#This Row],[fecha_inicio]])</f>
        <v/>
      </c>
      <c r="AA158" s="3">
        <f>IF(tblOrdenes[[#This Row],[backlog_dias]]="","",IF(tblOrdenes[[#This Row],[backlog_dias]]&lt;0,"FUTURO",IF(tblOrdenes[[#This Row],[backlog_dias]]&gt;p_dias_backlog_max,"BACKLOG","MES CORRIENTE")))</f>
        <v/>
      </c>
      <c r="AB158" s="3">
        <f>IF(tblOrdenes[[#This Row],[backlog_dias]]="",FALSE,AND(tblOrdenes[[#This Row],[backlog_dias]]&gt;p_dias_backlog_min,tblOrdenes[[#This Row],[backlog_dias]]&lt;=p_dias_backlog_max))</f>
        <v/>
      </c>
      <c r="AC158" s="6" t="inlineStr"/>
      <c r="AD1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58" s="10">
        <f>IF(tblOrdenes[[#This Row],[orden]]="","",_xlfn.XLOOKUP(tblOrdenes[[#This Row],[id_operacion]],tblEjecucion[id_operacion],tblEjecucion[precio],0))</f>
        <v/>
      </c>
      <c r="AH158" s="10">
        <f>IF(tblOrdenes[[#This Row],[orden]]="","",MAX(0,_xlfn.XLOOKUP(tblOrdenes[[#This Row],[id_operacion]],tblEjecucion[id_operacion],tblEjecucion[costo_plan_total],0)-tblOrdenes[[#This Row],[costo_servicio]]))</f>
        <v/>
      </c>
      <c r="AI158" s="10">
        <f>IF(tblOrdenes[[#This Row],[orden]]="","",tblOrdenes[[#This Row],[costo_servicio]]+tblOrdenes[[#This Row],[costo_materiales]])</f>
        <v/>
      </c>
      <c r="AJ158" s="6" t="inlineStr"/>
      <c r="AK158" s="6" t="inlineStr"/>
      <c r="AL158" s="6" t="inlineStr"/>
      <c r="AM158" s="3">
        <f>IF(tblOrdenes[[#This Row],[link_checklist]]="","",HYPERLINK(p_ruta_base_checklists&amp;tblOrdenes[[#This Row],[link_checklist]],"abrir"))</f>
        <v/>
      </c>
      <c r="AN158" s="6" t="inlineStr"/>
      <c r="AO158" s="3">
        <f>IF(tblOrdenes[[#This Row],[orden]]="","",tblOrdenes[[#This Row],[orden]]&amp;IF(tblOrdenes[[#This Row],[operacion]]="","0010",tblOrdenes[[#This Row],[operacion]]))</f>
        <v/>
      </c>
    </row>
    <row r="159">
      <c r="A159" s="3" t="inlineStr">
        <is>
          <t>OT-000156</t>
        </is>
      </c>
      <c r="B159" s="3" t="inlineStr">
        <is>
          <t>0010</t>
        </is>
      </c>
      <c r="C159" s="3" t="inlineStr">
        <is>
          <t>Reparación de falla — EQ-110</t>
        </is>
      </c>
      <c r="D159" s="3" t="inlineStr">
        <is>
          <t>Reparación de falla en EQ-110</t>
        </is>
      </c>
      <c r="E159" s="3" t="inlineStr">
        <is>
          <t>EQ-110</t>
        </is>
      </c>
      <c r="F159" s="3" t="inlineStr">
        <is>
          <t>CC-320</t>
        </is>
      </c>
      <c r="G159" s="3" t="inlineStr">
        <is>
          <t>PU-ELE</t>
        </is>
      </c>
      <c r="H159" s="3" t="inlineStr">
        <is>
          <t>ACT-03</t>
        </is>
      </c>
      <c r="I159" s="3" t="inlineStr">
        <is>
          <t>TIPO-C1</t>
        </is>
      </c>
      <c r="J159" s="11" t="n">
        <v>46103</v>
      </c>
      <c r="K159" s="3" t="n">
        <v>8</v>
      </c>
      <c r="L159" s="10" t="n">
        <v>320</v>
      </c>
      <c r="M159" s="6" t="n"/>
      <c r="N1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59" s="3">
        <f>IF(tblOrdenes[[#This Row],[fecha_inicio]]="","",YEAR(tblOrdenes[[#This Row],[fecha_inicio]]))</f>
        <v/>
      </c>
      <c r="R159" s="3">
        <f>IF(tblOrdenes[[#This Row],[fecha_inicio]]="","",MONTH(tblOrdenes[[#This Row],[fecha_inicio]]))</f>
        <v/>
      </c>
      <c r="S159" s="3">
        <f>IF(tblOrdenes[[#This Row],[fecha_inicio]]="","",INDEX(lista_dias,WEEKDAY(tblOrdenes[[#This Row],[fecha_inicio]],2)))</f>
        <v/>
      </c>
      <c r="T159" s="3">
        <f>IF(tblOrdenes[[#This Row],[tipo_ot]]="","",_xlfn.XLOOKUP(tblOrdenes[[#This Row],[tipo_ot]],tblTiposOT[codigo],tblTiposOT[clasificacion],"sin_clasificar"))</f>
        <v/>
      </c>
      <c r="U159" s="3">
        <f>IF(tblOrdenes[[#This Row],[centro_costo]]="","",_xlfn.XLOOKUP(tblOrdenes[[#This Row],[centro_costo]],tblCECO[codigo],tblCECO[linea],"(sin catálogo)"))</f>
        <v/>
      </c>
      <c r="V159" s="3">
        <f>IF(tblOrdenes[[#This Row],[centro_costo]]="","",_xlfn.XLOOKUP(tblOrdenes[[#This Row],[centro_costo]],tblCECO[codigo],tblCECO[area],"(sin catálogo)"))</f>
        <v/>
      </c>
      <c r="W159" s="3">
        <f>IF(tblOrdenes[[#This Row],[centro_costo]]="","",_xlfn.XLOOKUP(tblOrdenes[[#This Row],[centro_costo]],tblCECO[codigo],tblCECO[coordinador],"(sin catálogo)"))</f>
        <v/>
      </c>
      <c r="X159" s="3">
        <f>IF(tblOrdenes[[#This Row],[puesto_trabajo]]="","",_xlfn.XLOOKUP(tblOrdenes[[#This Row],[puesto_trabajo]],tblPuestos[codigo],tblPuestos[especialidad],"(sin catálogo)"))</f>
        <v/>
      </c>
      <c r="Y159" s="3">
        <f>IF(tblOrdenes[[#This Row],[cod_actividad]]="","",_xlfn.XLOOKUP(tblOrdenes[[#This Row],[cod_actividad]],tblActividades[codigo],tblActividades[descripcion],"(sin catálogo)"))</f>
        <v/>
      </c>
      <c r="Z159" s="12">
        <f>IF(tblOrdenes[[#This Row],[fecha_inicio]]="","",TODAY()-tblOrdenes[[#This Row],[fecha_inicio]])</f>
        <v/>
      </c>
      <c r="AA159" s="3">
        <f>IF(tblOrdenes[[#This Row],[backlog_dias]]="","",IF(tblOrdenes[[#This Row],[backlog_dias]]&lt;0,"FUTURO",IF(tblOrdenes[[#This Row],[backlog_dias]]&gt;p_dias_backlog_max,"BACKLOG","MES CORRIENTE")))</f>
        <v/>
      </c>
      <c r="AB159" s="3">
        <f>IF(tblOrdenes[[#This Row],[backlog_dias]]="",FALSE,AND(tblOrdenes[[#This Row],[backlog_dias]]&gt;p_dias_backlog_min,tblOrdenes[[#This Row],[backlog_dias]]&lt;=p_dias_backlog_max))</f>
        <v/>
      </c>
      <c r="AC159" s="6" t="inlineStr"/>
      <c r="AD1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59" s="10">
        <f>IF(tblOrdenes[[#This Row],[orden]]="","",_xlfn.XLOOKUP(tblOrdenes[[#This Row],[id_operacion]],tblEjecucion[id_operacion],tblEjecucion[precio],0))</f>
        <v/>
      </c>
      <c r="AH159" s="10">
        <f>IF(tblOrdenes[[#This Row],[orden]]="","",MAX(0,_xlfn.XLOOKUP(tblOrdenes[[#This Row],[id_operacion]],tblEjecucion[id_operacion],tblEjecucion[costo_plan_total],0)-tblOrdenes[[#This Row],[costo_servicio]]))</f>
        <v/>
      </c>
      <c r="AI159" s="10">
        <f>IF(tblOrdenes[[#This Row],[orden]]="","",tblOrdenes[[#This Row],[costo_servicio]]+tblOrdenes[[#This Row],[costo_materiales]])</f>
        <v/>
      </c>
      <c r="AJ159" s="6" t="inlineStr"/>
      <c r="AK159" s="6" t="inlineStr"/>
      <c r="AL159" s="6" t="inlineStr"/>
      <c r="AM159" s="3">
        <f>IF(tblOrdenes[[#This Row],[link_checklist]]="","",HYPERLINK(p_ruta_base_checklists&amp;tblOrdenes[[#This Row],[link_checklist]],"abrir"))</f>
        <v/>
      </c>
      <c r="AN159" s="6" t="inlineStr"/>
      <c r="AO159" s="3">
        <f>IF(tblOrdenes[[#This Row],[orden]]="","",tblOrdenes[[#This Row],[orden]]&amp;IF(tblOrdenes[[#This Row],[operacion]]="","0010",tblOrdenes[[#This Row],[operacion]]))</f>
        <v/>
      </c>
    </row>
    <row r="160">
      <c r="A160" s="3" t="inlineStr">
        <is>
          <t>OT-000157</t>
        </is>
      </c>
      <c r="B160" s="3" t="inlineStr">
        <is>
          <t>0010</t>
        </is>
      </c>
      <c r="C160" s="3" t="inlineStr">
        <is>
          <t>Lubricación programada — EQ-103</t>
        </is>
      </c>
      <c r="D160" s="3" t="inlineStr">
        <is>
          <t>Lubricación programada en EQ-103</t>
        </is>
      </c>
      <c r="E160" s="3" t="inlineStr">
        <is>
          <t>EQ-103</t>
        </is>
      </c>
      <c r="F160" s="3" t="inlineStr">
        <is>
          <t>CC-110</t>
        </is>
      </c>
      <c r="G160" s="3" t="inlineStr">
        <is>
          <t>PU-AUT</t>
        </is>
      </c>
      <c r="H160" s="3" t="inlineStr">
        <is>
          <t>ACT-02</t>
        </is>
      </c>
      <c r="I160" s="3" t="inlineStr">
        <is>
          <t>TIPO-P2</t>
        </is>
      </c>
      <c r="J160" s="11" t="n">
        <v>46103</v>
      </c>
      <c r="K160" s="3" t="n">
        <v>4</v>
      </c>
      <c r="L160" s="10" t="n">
        <v>100</v>
      </c>
      <c r="M160" s="6" t="n"/>
      <c r="N1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60" s="3">
        <f>IF(tblOrdenes[[#This Row],[fecha_inicio]]="","",YEAR(tblOrdenes[[#This Row],[fecha_inicio]]))</f>
        <v/>
      </c>
      <c r="R160" s="3">
        <f>IF(tblOrdenes[[#This Row],[fecha_inicio]]="","",MONTH(tblOrdenes[[#This Row],[fecha_inicio]]))</f>
        <v/>
      </c>
      <c r="S160" s="3">
        <f>IF(tblOrdenes[[#This Row],[fecha_inicio]]="","",INDEX(lista_dias,WEEKDAY(tblOrdenes[[#This Row],[fecha_inicio]],2)))</f>
        <v/>
      </c>
      <c r="T160" s="3">
        <f>IF(tblOrdenes[[#This Row],[tipo_ot]]="","",_xlfn.XLOOKUP(tblOrdenes[[#This Row],[tipo_ot]],tblTiposOT[codigo],tblTiposOT[clasificacion],"sin_clasificar"))</f>
        <v/>
      </c>
      <c r="U160" s="3">
        <f>IF(tblOrdenes[[#This Row],[centro_costo]]="","",_xlfn.XLOOKUP(tblOrdenes[[#This Row],[centro_costo]],tblCECO[codigo],tblCECO[linea],"(sin catálogo)"))</f>
        <v/>
      </c>
      <c r="V160" s="3">
        <f>IF(tblOrdenes[[#This Row],[centro_costo]]="","",_xlfn.XLOOKUP(tblOrdenes[[#This Row],[centro_costo]],tblCECO[codigo],tblCECO[area],"(sin catálogo)"))</f>
        <v/>
      </c>
      <c r="W160" s="3">
        <f>IF(tblOrdenes[[#This Row],[centro_costo]]="","",_xlfn.XLOOKUP(tblOrdenes[[#This Row],[centro_costo]],tblCECO[codigo],tblCECO[coordinador],"(sin catálogo)"))</f>
        <v/>
      </c>
      <c r="X160" s="3">
        <f>IF(tblOrdenes[[#This Row],[puesto_trabajo]]="","",_xlfn.XLOOKUP(tblOrdenes[[#This Row],[puesto_trabajo]],tblPuestos[codigo],tblPuestos[especialidad],"(sin catálogo)"))</f>
        <v/>
      </c>
      <c r="Y160" s="3">
        <f>IF(tblOrdenes[[#This Row],[cod_actividad]]="","",_xlfn.XLOOKUP(tblOrdenes[[#This Row],[cod_actividad]],tblActividades[codigo],tblActividades[descripcion],"(sin catálogo)"))</f>
        <v/>
      </c>
      <c r="Z160" s="12">
        <f>IF(tblOrdenes[[#This Row],[fecha_inicio]]="","",TODAY()-tblOrdenes[[#This Row],[fecha_inicio]])</f>
        <v/>
      </c>
      <c r="AA160" s="3">
        <f>IF(tblOrdenes[[#This Row],[backlog_dias]]="","",IF(tblOrdenes[[#This Row],[backlog_dias]]&lt;0,"FUTURO",IF(tblOrdenes[[#This Row],[backlog_dias]]&gt;p_dias_backlog_max,"BACKLOG","MES CORRIENTE")))</f>
        <v/>
      </c>
      <c r="AB160" s="3">
        <f>IF(tblOrdenes[[#This Row],[backlog_dias]]="",FALSE,AND(tblOrdenes[[#This Row],[backlog_dias]]&gt;p_dias_backlog_min,tblOrdenes[[#This Row],[backlog_dias]]&lt;=p_dias_backlog_max))</f>
        <v/>
      </c>
      <c r="AC160" s="6" t="inlineStr"/>
      <c r="AD1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60" s="10">
        <f>IF(tblOrdenes[[#This Row],[orden]]="","",_xlfn.XLOOKUP(tblOrdenes[[#This Row],[id_operacion]],tblEjecucion[id_operacion],tblEjecucion[precio],0))</f>
        <v/>
      </c>
      <c r="AH160" s="10">
        <f>IF(tblOrdenes[[#This Row],[orden]]="","",MAX(0,_xlfn.XLOOKUP(tblOrdenes[[#This Row],[id_operacion]],tblEjecucion[id_operacion],tblEjecucion[costo_plan_total],0)-tblOrdenes[[#This Row],[costo_servicio]]))</f>
        <v/>
      </c>
      <c r="AI160" s="10">
        <f>IF(tblOrdenes[[#This Row],[orden]]="","",tblOrdenes[[#This Row],[costo_servicio]]+tblOrdenes[[#This Row],[costo_materiales]])</f>
        <v/>
      </c>
      <c r="AJ160" s="6" t="inlineStr"/>
      <c r="AK160" s="6" t="inlineStr"/>
      <c r="AL160" s="6" t="inlineStr"/>
      <c r="AM160" s="3">
        <f>IF(tblOrdenes[[#This Row],[link_checklist]]="","",HYPERLINK(p_ruta_base_checklists&amp;tblOrdenes[[#This Row],[link_checklist]],"abrir"))</f>
        <v/>
      </c>
      <c r="AN160" s="6" t="inlineStr"/>
      <c r="AO160" s="3">
        <f>IF(tblOrdenes[[#This Row],[orden]]="","",tblOrdenes[[#This Row],[orden]]&amp;IF(tblOrdenes[[#This Row],[operacion]]="","0010",tblOrdenes[[#This Row],[operacion]]))</f>
        <v/>
      </c>
    </row>
    <row r="161">
      <c r="A161" s="3" t="inlineStr">
        <is>
          <t>OT-000158</t>
        </is>
      </c>
      <c r="B161" s="3" t="inlineStr">
        <is>
          <t>0010</t>
        </is>
      </c>
      <c r="C161" s="3" t="inlineStr">
        <is>
          <t>Reparación de falla — EQ-112</t>
        </is>
      </c>
      <c r="D161" s="3" t="inlineStr">
        <is>
          <t>Reparación de falla en EQ-112</t>
        </is>
      </c>
      <c r="E161" s="3" t="inlineStr">
        <is>
          <t>EQ-112</t>
        </is>
      </c>
      <c r="F161" s="3" t="inlineStr">
        <is>
          <t>CC-310</t>
        </is>
      </c>
      <c r="G161" s="3" t="inlineStr">
        <is>
          <t>PU-MEC</t>
        </is>
      </c>
      <c r="H161" s="3" t="inlineStr">
        <is>
          <t>ACT-03</t>
        </is>
      </c>
      <c r="I161" s="3" t="inlineStr">
        <is>
          <t>TIPO-C1</t>
        </is>
      </c>
      <c r="J161" s="11" t="n">
        <v>46073</v>
      </c>
      <c r="K161" s="3" t="n">
        <v>4</v>
      </c>
      <c r="L161" s="10" t="n">
        <v>160</v>
      </c>
      <c r="M161" s="6" t="n"/>
      <c r="N1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61" s="3">
        <f>IF(tblOrdenes[[#This Row],[fecha_inicio]]="","",YEAR(tblOrdenes[[#This Row],[fecha_inicio]]))</f>
        <v/>
      </c>
      <c r="R161" s="3">
        <f>IF(tblOrdenes[[#This Row],[fecha_inicio]]="","",MONTH(tblOrdenes[[#This Row],[fecha_inicio]]))</f>
        <v/>
      </c>
      <c r="S161" s="3">
        <f>IF(tblOrdenes[[#This Row],[fecha_inicio]]="","",INDEX(lista_dias,WEEKDAY(tblOrdenes[[#This Row],[fecha_inicio]],2)))</f>
        <v/>
      </c>
      <c r="T161" s="3">
        <f>IF(tblOrdenes[[#This Row],[tipo_ot]]="","",_xlfn.XLOOKUP(tblOrdenes[[#This Row],[tipo_ot]],tblTiposOT[codigo],tblTiposOT[clasificacion],"sin_clasificar"))</f>
        <v/>
      </c>
      <c r="U161" s="3">
        <f>IF(tblOrdenes[[#This Row],[centro_costo]]="","",_xlfn.XLOOKUP(tblOrdenes[[#This Row],[centro_costo]],tblCECO[codigo],tblCECO[linea],"(sin catálogo)"))</f>
        <v/>
      </c>
      <c r="V161" s="3">
        <f>IF(tblOrdenes[[#This Row],[centro_costo]]="","",_xlfn.XLOOKUP(tblOrdenes[[#This Row],[centro_costo]],tblCECO[codigo],tblCECO[area],"(sin catálogo)"))</f>
        <v/>
      </c>
      <c r="W161" s="3">
        <f>IF(tblOrdenes[[#This Row],[centro_costo]]="","",_xlfn.XLOOKUP(tblOrdenes[[#This Row],[centro_costo]],tblCECO[codigo],tblCECO[coordinador],"(sin catálogo)"))</f>
        <v/>
      </c>
      <c r="X161" s="3">
        <f>IF(tblOrdenes[[#This Row],[puesto_trabajo]]="","",_xlfn.XLOOKUP(tblOrdenes[[#This Row],[puesto_trabajo]],tblPuestos[codigo],tblPuestos[especialidad],"(sin catálogo)"))</f>
        <v/>
      </c>
      <c r="Y161" s="3">
        <f>IF(tblOrdenes[[#This Row],[cod_actividad]]="","",_xlfn.XLOOKUP(tblOrdenes[[#This Row],[cod_actividad]],tblActividades[codigo],tblActividades[descripcion],"(sin catálogo)"))</f>
        <v/>
      </c>
      <c r="Z161" s="12">
        <f>IF(tblOrdenes[[#This Row],[fecha_inicio]]="","",TODAY()-tblOrdenes[[#This Row],[fecha_inicio]])</f>
        <v/>
      </c>
      <c r="AA161" s="3">
        <f>IF(tblOrdenes[[#This Row],[backlog_dias]]="","",IF(tblOrdenes[[#This Row],[backlog_dias]]&lt;0,"FUTURO",IF(tblOrdenes[[#This Row],[backlog_dias]]&gt;p_dias_backlog_max,"BACKLOG","MES CORRIENTE")))</f>
        <v/>
      </c>
      <c r="AB161" s="3">
        <f>IF(tblOrdenes[[#This Row],[backlog_dias]]="",FALSE,AND(tblOrdenes[[#This Row],[backlog_dias]]&gt;p_dias_backlog_min,tblOrdenes[[#This Row],[backlog_dias]]&lt;=p_dias_backlog_max))</f>
        <v/>
      </c>
      <c r="AC161" s="6" t="inlineStr"/>
      <c r="AD1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61" s="10">
        <f>IF(tblOrdenes[[#This Row],[orden]]="","",_xlfn.XLOOKUP(tblOrdenes[[#This Row],[id_operacion]],tblEjecucion[id_operacion],tblEjecucion[precio],0))</f>
        <v/>
      </c>
      <c r="AH161" s="10">
        <f>IF(tblOrdenes[[#This Row],[orden]]="","",MAX(0,_xlfn.XLOOKUP(tblOrdenes[[#This Row],[id_operacion]],tblEjecucion[id_operacion],tblEjecucion[costo_plan_total],0)-tblOrdenes[[#This Row],[costo_servicio]]))</f>
        <v/>
      </c>
      <c r="AI161" s="10">
        <f>IF(tblOrdenes[[#This Row],[orden]]="","",tblOrdenes[[#This Row],[costo_servicio]]+tblOrdenes[[#This Row],[costo_materiales]])</f>
        <v/>
      </c>
      <c r="AJ161" s="6" t="inlineStr"/>
      <c r="AK161" s="6" t="inlineStr"/>
      <c r="AL161" s="6" t="inlineStr"/>
      <c r="AM161" s="3">
        <f>IF(tblOrdenes[[#This Row],[link_checklist]]="","",HYPERLINK(p_ruta_base_checklists&amp;tblOrdenes[[#This Row],[link_checklist]],"abrir"))</f>
        <v/>
      </c>
      <c r="AN161" s="6" t="inlineStr"/>
      <c r="AO161" s="3">
        <f>IF(tblOrdenes[[#This Row],[orden]]="","",tblOrdenes[[#This Row],[orden]]&amp;IF(tblOrdenes[[#This Row],[operacion]]="","0010",tblOrdenes[[#This Row],[operacion]]))</f>
        <v/>
      </c>
    </row>
    <row r="162">
      <c r="A162" s="3" t="inlineStr">
        <is>
          <t>OT-000159</t>
        </is>
      </c>
      <c r="B162" s="3" t="inlineStr">
        <is>
          <t>0010</t>
        </is>
      </c>
      <c r="C162" s="3" t="inlineStr">
        <is>
          <t>Reparación de falla — EQ-110</t>
        </is>
      </c>
      <c r="D162" s="3" t="inlineStr">
        <is>
          <t>Reparación de falla en EQ-110</t>
        </is>
      </c>
      <c r="E162" s="3" t="inlineStr">
        <is>
          <t>EQ-110</t>
        </is>
      </c>
      <c r="F162" s="3" t="inlineStr">
        <is>
          <t>CC-320</t>
        </is>
      </c>
      <c r="G162" s="3" t="inlineStr">
        <is>
          <t>PU-ELE</t>
        </is>
      </c>
      <c r="H162" s="3" t="inlineStr">
        <is>
          <t>ACT-03</t>
        </is>
      </c>
      <c r="I162" s="3" t="inlineStr">
        <is>
          <t>TIPO-C2</t>
        </is>
      </c>
      <c r="J162" s="11" t="n">
        <v>46073</v>
      </c>
      <c r="K162" s="3" t="n">
        <v>6</v>
      </c>
      <c r="L162" s="10" t="n">
        <v>240</v>
      </c>
      <c r="M162" s="6" t="n"/>
      <c r="N1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62" s="3">
        <f>IF(tblOrdenes[[#This Row],[fecha_inicio]]="","",YEAR(tblOrdenes[[#This Row],[fecha_inicio]]))</f>
        <v/>
      </c>
      <c r="R162" s="3">
        <f>IF(tblOrdenes[[#This Row],[fecha_inicio]]="","",MONTH(tblOrdenes[[#This Row],[fecha_inicio]]))</f>
        <v/>
      </c>
      <c r="S162" s="3">
        <f>IF(tblOrdenes[[#This Row],[fecha_inicio]]="","",INDEX(lista_dias,WEEKDAY(tblOrdenes[[#This Row],[fecha_inicio]],2)))</f>
        <v/>
      </c>
      <c r="T162" s="3">
        <f>IF(tblOrdenes[[#This Row],[tipo_ot]]="","",_xlfn.XLOOKUP(tblOrdenes[[#This Row],[tipo_ot]],tblTiposOT[codigo],tblTiposOT[clasificacion],"sin_clasificar"))</f>
        <v/>
      </c>
      <c r="U162" s="3">
        <f>IF(tblOrdenes[[#This Row],[centro_costo]]="","",_xlfn.XLOOKUP(tblOrdenes[[#This Row],[centro_costo]],tblCECO[codigo],tblCECO[linea],"(sin catálogo)"))</f>
        <v/>
      </c>
      <c r="V162" s="3">
        <f>IF(tblOrdenes[[#This Row],[centro_costo]]="","",_xlfn.XLOOKUP(tblOrdenes[[#This Row],[centro_costo]],tblCECO[codigo],tblCECO[area],"(sin catálogo)"))</f>
        <v/>
      </c>
      <c r="W162" s="3">
        <f>IF(tblOrdenes[[#This Row],[centro_costo]]="","",_xlfn.XLOOKUP(tblOrdenes[[#This Row],[centro_costo]],tblCECO[codigo],tblCECO[coordinador],"(sin catálogo)"))</f>
        <v/>
      </c>
      <c r="X162" s="3">
        <f>IF(tblOrdenes[[#This Row],[puesto_trabajo]]="","",_xlfn.XLOOKUP(tblOrdenes[[#This Row],[puesto_trabajo]],tblPuestos[codigo],tblPuestos[especialidad],"(sin catálogo)"))</f>
        <v/>
      </c>
      <c r="Y162" s="3">
        <f>IF(tblOrdenes[[#This Row],[cod_actividad]]="","",_xlfn.XLOOKUP(tblOrdenes[[#This Row],[cod_actividad]],tblActividades[codigo],tblActividades[descripcion],"(sin catálogo)"))</f>
        <v/>
      </c>
      <c r="Z162" s="12">
        <f>IF(tblOrdenes[[#This Row],[fecha_inicio]]="","",TODAY()-tblOrdenes[[#This Row],[fecha_inicio]])</f>
        <v/>
      </c>
      <c r="AA162" s="3">
        <f>IF(tblOrdenes[[#This Row],[backlog_dias]]="","",IF(tblOrdenes[[#This Row],[backlog_dias]]&lt;0,"FUTURO",IF(tblOrdenes[[#This Row],[backlog_dias]]&gt;p_dias_backlog_max,"BACKLOG","MES CORRIENTE")))</f>
        <v/>
      </c>
      <c r="AB162" s="3">
        <f>IF(tblOrdenes[[#This Row],[backlog_dias]]="",FALSE,AND(tblOrdenes[[#This Row],[backlog_dias]]&gt;p_dias_backlog_min,tblOrdenes[[#This Row],[backlog_dias]]&lt;=p_dias_backlog_max))</f>
        <v/>
      </c>
      <c r="AC162" s="6" t="inlineStr"/>
      <c r="AD1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62" s="10">
        <f>IF(tblOrdenes[[#This Row],[orden]]="","",_xlfn.XLOOKUP(tblOrdenes[[#This Row],[id_operacion]],tblEjecucion[id_operacion],tblEjecucion[precio],0))</f>
        <v/>
      </c>
      <c r="AH162" s="10">
        <f>IF(tblOrdenes[[#This Row],[orden]]="","",MAX(0,_xlfn.XLOOKUP(tblOrdenes[[#This Row],[id_operacion]],tblEjecucion[id_operacion],tblEjecucion[costo_plan_total],0)-tblOrdenes[[#This Row],[costo_servicio]]))</f>
        <v/>
      </c>
      <c r="AI162" s="10">
        <f>IF(tblOrdenes[[#This Row],[orden]]="","",tblOrdenes[[#This Row],[costo_servicio]]+tblOrdenes[[#This Row],[costo_materiales]])</f>
        <v/>
      </c>
      <c r="AJ162" s="6" t="inlineStr"/>
      <c r="AK162" s="6" t="inlineStr"/>
      <c r="AL162" s="6" t="inlineStr"/>
      <c r="AM162" s="3">
        <f>IF(tblOrdenes[[#This Row],[link_checklist]]="","",HYPERLINK(p_ruta_base_checklists&amp;tblOrdenes[[#This Row],[link_checklist]],"abrir"))</f>
        <v/>
      </c>
      <c r="AN162" s="6" t="inlineStr"/>
      <c r="AO162" s="3">
        <f>IF(tblOrdenes[[#This Row],[orden]]="","",tblOrdenes[[#This Row],[orden]]&amp;IF(tblOrdenes[[#This Row],[operacion]]="","0010",tblOrdenes[[#This Row],[operacion]]))</f>
        <v/>
      </c>
    </row>
    <row r="163">
      <c r="A163" s="3" t="inlineStr">
        <is>
          <t>OT-000160</t>
        </is>
      </c>
      <c r="B163" s="3" t="inlineStr">
        <is>
          <t>0010</t>
        </is>
      </c>
      <c r="C163" s="3" t="inlineStr">
        <is>
          <t>Reparación de falla — EQ-101</t>
        </is>
      </c>
      <c r="D163" s="3" t="inlineStr">
        <is>
          <t>Reparación de falla en EQ-101</t>
        </is>
      </c>
      <c r="E163" s="3" t="inlineStr">
        <is>
          <t>EQ-101</t>
        </is>
      </c>
      <c r="F163" s="3" t="inlineStr">
        <is>
          <t>CC-110</t>
        </is>
      </c>
      <c r="G163" s="3" t="inlineStr">
        <is>
          <t>PU-AUT</t>
        </is>
      </c>
      <c r="H163" s="3" t="inlineStr">
        <is>
          <t>ACT-03</t>
        </is>
      </c>
      <c r="I163" s="3" t="inlineStr">
        <is>
          <t>TIPO-C1</t>
        </is>
      </c>
      <c r="J163" s="11" t="n">
        <v>46073</v>
      </c>
      <c r="K163" s="3" t="n">
        <v>8</v>
      </c>
      <c r="L163" s="10" t="n">
        <v>320</v>
      </c>
      <c r="M163" s="6" t="n"/>
      <c r="N1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63" s="3">
        <f>IF(tblOrdenes[[#This Row],[fecha_inicio]]="","",YEAR(tblOrdenes[[#This Row],[fecha_inicio]]))</f>
        <v/>
      </c>
      <c r="R163" s="3">
        <f>IF(tblOrdenes[[#This Row],[fecha_inicio]]="","",MONTH(tblOrdenes[[#This Row],[fecha_inicio]]))</f>
        <v/>
      </c>
      <c r="S163" s="3">
        <f>IF(tblOrdenes[[#This Row],[fecha_inicio]]="","",INDEX(lista_dias,WEEKDAY(tblOrdenes[[#This Row],[fecha_inicio]],2)))</f>
        <v/>
      </c>
      <c r="T163" s="3">
        <f>IF(tblOrdenes[[#This Row],[tipo_ot]]="","",_xlfn.XLOOKUP(tblOrdenes[[#This Row],[tipo_ot]],tblTiposOT[codigo],tblTiposOT[clasificacion],"sin_clasificar"))</f>
        <v/>
      </c>
      <c r="U163" s="3">
        <f>IF(tblOrdenes[[#This Row],[centro_costo]]="","",_xlfn.XLOOKUP(tblOrdenes[[#This Row],[centro_costo]],tblCECO[codigo],tblCECO[linea],"(sin catálogo)"))</f>
        <v/>
      </c>
      <c r="V163" s="3">
        <f>IF(tblOrdenes[[#This Row],[centro_costo]]="","",_xlfn.XLOOKUP(tblOrdenes[[#This Row],[centro_costo]],tblCECO[codigo],tblCECO[area],"(sin catálogo)"))</f>
        <v/>
      </c>
      <c r="W163" s="3">
        <f>IF(tblOrdenes[[#This Row],[centro_costo]]="","",_xlfn.XLOOKUP(tblOrdenes[[#This Row],[centro_costo]],tblCECO[codigo],tblCECO[coordinador],"(sin catálogo)"))</f>
        <v/>
      </c>
      <c r="X163" s="3">
        <f>IF(tblOrdenes[[#This Row],[puesto_trabajo]]="","",_xlfn.XLOOKUP(tblOrdenes[[#This Row],[puesto_trabajo]],tblPuestos[codigo],tblPuestos[especialidad],"(sin catálogo)"))</f>
        <v/>
      </c>
      <c r="Y163" s="3">
        <f>IF(tblOrdenes[[#This Row],[cod_actividad]]="","",_xlfn.XLOOKUP(tblOrdenes[[#This Row],[cod_actividad]],tblActividades[codigo],tblActividades[descripcion],"(sin catálogo)"))</f>
        <v/>
      </c>
      <c r="Z163" s="12">
        <f>IF(tblOrdenes[[#This Row],[fecha_inicio]]="","",TODAY()-tblOrdenes[[#This Row],[fecha_inicio]])</f>
        <v/>
      </c>
      <c r="AA163" s="3">
        <f>IF(tblOrdenes[[#This Row],[backlog_dias]]="","",IF(tblOrdenes[[#This Row],[backlog_dias]]&lt;0,"FUTURO",IF(tblOrdenes[[#This Row],[backlog_dias]]&gt;p_dias_backlog_max,"BACKLOG","MES CORRIENTE")))</f>
        <v/>
      </c>
      <c r="AB163" s="3">
        <f>IF(tblOrdenes[[#This Row],[backlog_dias]]="",FALSE,AND(tblOrdenes[[#This Row],[backlog_dias]]&gt;p_dias_backlog_min,tblOrdenes[[#This Row],[backlog_dias]]&lt;=p_dias_backlog_max))</f>
        <v/>
      </c>
      <c r="AC163" s="6" t="inlineStr"/>
      <c r="AD1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63" s="10">
        <f>IF(tblOrdenes[[#This Row],[orden]]="","",_xlfn.XLOOKUP(tblOrdenes[[#This Row],[id_operacion]],tblEjecucion[id_operacion],tblEjecucion[precio],0))</f>
        <v/>
      </c>
      <c r="AH163" s="10">
        <f>IF(tblOrdenes[[#This Row],[orden]]="","",MAX(0,_xlfn.XLOOKUP(tblOrdenes[[#This Row],[id_operacion]],tblEjecucion[id_operacion],tblEjecucion[costo_plan_total],0)-tblOrdenes[[#This Row],[costo_servicio]]))</f>
        <v/>
      </c>
      <c r="AI163" s="10">
        <f>IF(tblOrdenes[[#This Row],[orden]]="","",tblOrdenes[[#This Row],[costo_servicio]]+tblOrdenes[[#This Row],[costo_materiales]])</f>
        <v/>
      </c>
      <c r="AJ163" s="6" t="inlineStr"/>
      <c r="AK163" s="6" t="inlineStr"/>
      <c r="AL163" s="6" t="inlineStr"/>
      <c r="AM163" s="3">
        <f>IF(tblOrdenes[[#This Row],[link_checklist]]="","",HYPERLINK(p_ruta_base_checklists&amp;tblOrdenes[[#This Row],[link_checklist]],"abrir"))</f>
        <v/>
      </c>
      <c r="AN163" s="6" t="inlineStr"/>
      <c r="AO163" s="3">
        <f>IF(tblOrdenes[[#This Row],[orden]]="","",tblOrdenes[[#This Row],[orden]]&amp;IF(tblOrdenes[[#This Row],[operacion]]="","0010",tblOrdenes[[#This Row],[operacion]]))</f>
        <v/>
      </c>
    </row>
    <row r="164">
      <c r="A164" s="3" t="inlineStr">
        <is>
          <t>OT-000161</t>
        </is>
      </c>
      <c r="B164" s="3" t="inlineStr">
        <is>
          <t>0010</t>
        </is>
      </c>
      <c r="C164" s="3" t="inlineStr">
        <is>
          <t>Análisis predictivo — EQ-102</t>
        </is>
      </c>
      <c r="D164" s="3" t="inlineStr">
        <is>
          <t>Análisis predictivo en EQ-102</t>
        </is>
      </c>
      <c r="E164" s="3" t="inlineStr">
        <is>
          <t>EQ-102</t>
        </is>
      </c>
      <c r="F164" s="3" t="inlineStr">
        <is>
          <t>CC-120</t>
        </is>
      </c>
      <c r="G164" s="3" t="inlineStr">
        <is>
          <t>PU-OP</t>
        </is>
      </c>
      <c r="H164" s="3" t="inlineStr">
        <is>
          <t>ACT-04</t>
        </is>
      </c>
      <c r="I164" s="3" t="inlineStr">
        <is>
          <t>TIPO-P2</t>
        </is>
      </c>
      <c r="J164" s="11" t="n">
        <v>46073</v>
      </c>
      <c r="K164" s="3" t="n">
        <v>4</v>
      </c>
      <c r="L164" s="10" t="n">
        <v>100</v>
      </c>
      <c r="M164" s="6" t="n"/>
      <c r="N1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64" s="3">
        <f>IF(tblOrdenes[[#This Row],[fecha_inicio]]="","",YEAR(tblOrdenes[[#This Row],[fecha_inicio]]))</f>
        <v/>
      </c>
      <c r="R164" s="3">
        <f>IF(tblOrdenes[[#This Row],[fecha_inicio]]="","",MONTH(tblOrdenes[[#This Row],[fecha_inicio]]))</f>
        <v/>
      </c>
      <c r="S164" s="3">
        <f>IF(tblOrdenes[[#This Row],[fecha_inicio]]="","",INDEX(lista_dias,WEEKDAY(tblOrdenes[[#This Row],[fecha_inicio]],2)))</f>
        <v/>
      </c>
      <c r="T164" s="3">
        <f>IF(tblOrdenes[[#This Row],[tipo_ot]]="","",_xlfn.XLOOKUP(tblOrdenes[[#This Row],[tipo_ot]],tblTiposOT[codigo],tblTiposOT[clasificacion],"sin_clasificar"))</f>
        <v/>
      </c>
      <c r="U164" s="3">
        <f>IF(tblOrdenes[[#This Row],[centro_costo]]="","",_xlfn.XLOOKUP(tblOrdenes[[#This Row],[centro_costo]],tblCECO[codigo],tblCECO[linea],"(sin catálogo)"))</f>
        <v/>
      </c>
      <c r="V164" s="3">
        <f>IF(tblOrdenes[[#This Row],[centro_costo]]="","",_xlfn.XLOOKUP(tblOrdenes[[#This Row],[centro_costo]],tblCECO[codigo],tblCECO[area],"(sin catálogo)"))</f>
        <v/>
      </c>
      <c r="W164" s="3">
        <f>IF(tblOrdenes[[#This Row],[centro_costo]]="","",_xlfn.XLOOKUP(tblOrdenes[[#This Row],[centro_costo]],tblCECO[codigo],tblCECO[coordinador],"(sin catálogo)"))</f>
        <v/>
      </c>
      <c r="X164" s="3">
        <f>IF(tblOrdenes[[#This Row],[puesto_trabajo]]="","",_xlfn.XLOOKUP(tblOrdenes[[#This Row],[puesto_trabajo]],tblPuestos[codigo],tblPuestos[especialidad],"(sin catálogo)"))</f>
        <v/>
      </c>
      <c r="Y164" s="3">
        <f>IF(tblOrdenes[[#This Row],[cod_actividad]]="","",_xlfn.XLOOKUP(tblOrdenes[[#This Row],[cod_actividad]],tblActividades[codigo],tblActividades[descripcion],"(sin catálogo)"))</f>
        <v/>
      </c>
      <c r="Z164" s="12">
        <f>IF(tblOrdenes[[#This Row],[fecha_inicio]]="","",TODAY()-tblOrdenes[[#This Row],[fecha_inicio]])</f>
        <v/>
      </c>
      <c r="AA164" s="3">
        <f>IF(tblOrdenes[[#This Row],[backlog_dias]]="","",IF(tblOrdenes[[#This Row],[backlog_dias]]&lt;0,"FUTURO",IF(tblOrdenes[[#This Row],[backlog_dias]]&gt;p_dias_backlog_max,"BACKLOG","MES CORRIENTE")))</f>
        <v/>
      </c>
      <c r="AB164" s="3">
        <f>IF(tblOrdenes[[#This Row],[backlog_dias]]="",FALSE,AND(tblOrdenes[[#This Row],[backlog_dias]]&gt;p_dias_backlog_min,tblOrdenes[[#This Row],[backlog_dias]]&lt;=p_dias_backlog_max))</f>
        <v/>
      </c>
      <c r="AC164" s="6" t="inlineStr"/>
      <c r="AD1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64" s="10">
        <f>IF(tblOrdenes[[#This Row],[orden]]="","",_xlfn.XLOOKUP(tblOrdenes[[#This Row],[id_operacion]],tblEjecucion[id_operacion],tblEjecucion[precio],0))</f>
        <v/>
      </c>
      <c r="AH164" s="10">
        <f>IF(tblOrdenes[[#This Row],[orden]]="","",MAX(0,_xlfn.XLOOKUP(tblOrdenes[[#This Row],[id_operacion]],tblEjecucion[id_operacion],tblEjecucion[costo_plan_total],0)-tblOrdenes[[#This Row],[costo_servicio]]))</f>
        <v/>
      </c>
      <c r="AI164" s="10">
        <f>IF(tblOrdenes[[#This Row],[orden]]="","",tblOrdenes[[#This Row],[costo_servicio]]+tblOrdenes[[#This Row],[costo_materiales]])</f>
        <v/>
      </c>
      <c r="AJ164" s="6" t="inlineStr"/>
      <c r="AK164" s="6" t="inlineStr"/>
      <c r="AL164" s="6" t="inlineStr"/>
      <c r="AM164" s="3">
        <f>IF(tblOrdenes[[#This Row],[link_checklist]]="","",HYPERLINK(p_ruta_base_checklists&amp;tblOrdenes[[#This Row],[link_checklist]],"abrir"))</f>
        <v/>
      </c>
      <c r="AN164" s="6" t="inlineStr"/>
      <c r="AO164" s="3">
        <f>IF(tblOrdenes[[#This Row],[orden]]="","",tblOrdenes[[#This Row],[orden]]&amp;IF(tblOrdenes[[#This Row],[operacion]]="","0010",tblOrdenes[[#This Row],[operacion]]))</f>
        <v/>
      </c>
    </row>
    <row r="165">
      <c r="A165" s="3" t="inlineStr">
        <is>
          <t>OT-000162</t>
        </is>
      </c>
      <c r="B165" s="3" t="inlineStr">
        <is>
          <t>0010</t>
        </is>
      </c>
      <c r="C165" s="3" t="inlineStr">
        <is>
          <t>Inspección de rutina — EQ-103</t>
        </is>
      </c>
      <c r="D165" s="3" t="inlineStr">
        <is>
          <t>Inspección de rutina en EQ-103</t>
        </is>
      </c>
      <c r="E165" s="3" t="inlineStr">
        <is>
          <t>EQ-103</t>
        </is>
      </c>
      <c r="F165" s="3" t="inlineStr">
        <is>
          <t>CC-110</t>
        </is>
      </c>
      <c r="G165" s="3" t="inlineStr">
        <is>
          <t>PU-MEC</t>
        </is>
      </c>
      <c r="H165" s="3" t="inlineStr">
        <is>
          <t>ACT-01</t>
        </is>
      </c>
      <c r="I165" s="3" t="inlineStr">
        <is>
          <t>TIPO-P1</t>
        </is>
      </c>
      <c r="J165" s="11" t="n">
        <v>46183</v>
      </c>
      <c r="K165" s="3" t="n">
        <v>4</v>
      </c>
      <c r="L165" s="10" t="n">
        <v>100</v>
      </c>
      <c r="M165" s="6" t="n"/>
      <c r="N1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65" s="3">
        <f>IF(tblOrdenes[[#This Row],[fecha_inicio]]="","",YEAR(tblOrdenes[[#This Row],[fecha_inicio]]))</f>
        <v/>
      </c>
      <c r="R165" s="3">
        <f>IF(tblOrdenes[[#This Row],[fecha_inicio]]="","",MONTH(tblOrdenes[[#This Row],[fecha_inicio]]))</f>
        <v/>
      </c>
      <c r="S165" s="3">
        <f>IF(tblOrdenes[[#This Row],[fecha_inicio]]="","",INDEX(lista_dias,WEEKDAY(tblOrdenes[[#This Row],[fecha_inicio]],2)))</f>
        <v/>
      </c>
      <c r="T165" s="3">
        <f>IF(tblOrdenes[[#This Row],[tipo_ot]]="","",_xlfn.XLOOKUP(tblOrdenes[[#This Row],[tipo_ot]],tblTiposOT[codigo],tblTiposOT[clasificacion],"sin_clasificar"))</f>
        <v/>
      </c>
      <c r="U165" s="3">
        <f>IF(tblOrdenes[[#This Row],[centro_costo]]="","",_xlfn.XLOOKUP(tblOrdenes[[#This Row],[centro_costo]],tblCECO[codigo],tblCECO[linea],"(sin catálogo)"))</f>
        <v/>
      </c>
      <c r="V165" s="3">
        <f>IF(tblOrdenes[[#This Row],[centro_costo]]="","",_xlfn.XLOOKUP(tblOrdenes[[#This Row],[centro_costo]],tblCECO[codigo],tblCECO[area],"(sin catálogo)"))</f>
        <v/>
      </c>
      <c r="W165" s="3">
        <f>IF(tblOrdenes[[#This Row],[centro_costo]]="","",_xlfn.XLOOKUP(tblOrdenes[[#This Row],[centro_costo]],tblCECO[codigo],tblCECO[coordinador],"(sin catálogo)"))</f>
        <v/>
      </c>
      <c r="X165" s="3">
        <f>IF(tblOrdenes[[#This Row],[puesto_trabajo]]="","",_xlfn.XLOOKUP(tblOrdenes[[#This Row],[puesto_trabajo]],tblPuestos[codigo],tblPuestos[especialidad],"(sin catálogo)"))</f>
        <v/>
      </c>
      <c r="Y165" s="3">
        <f>IF(tblOrdenes[[#This Row],[cod_actividad]]="","",_xlfn.XLOOKUP(tblOrdenes[[#This Row],[cod_actividad]],tblActividades[codigo],tblActividades[descripcion],"(sin catálogo)"))</f>
        <v/>
      </c>
      <c r="Z165" s="12">
        <f>IF(tblOrdenes[[#This Row],[fecha_inicio]]="","",TODAY()-tblOrdenes[[#This Row],[fecha_inicio]])</f>
        <v/>
      </c>
      <c r="AA165" s="3">
        <f>IF(tblOrdenes[[#This Row],[backlog_dias]]="","",IF(tblOrdenes[[#This Row],[backlog_dias]]&lt;0,"FUTURO",IF(tblOrdenes[[#This Row],[backlog_dias]]&gt;p_dias_backlog_max,"BACKLOG","MES CORRIENTE")))</f>
        <v/>
      </c>
      <c r="AB165" s="3">
        <f>IF(tblOrdenes[[#This Row],[backlog_dias]]="",FALSE,AND(tblOrdenes[[#This Row],[backlog_dias]]&gt;p_dias_backlog_min,tblOrdenes[[#This Row],[backlog_dias]]&lt;=p_dias_backlog_max))</f>
        <v/>
      </c>
      <c r="AC165" s="6" t="inlineStr"/>
      <c r="AD1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65" s="10">
        <f>IF(tblOrdenes[[#This Row],[orden]]="","",_xlfn.XLOOKUP(tblOrdenes[[#This Row],[id_operacion]],tblEjecucion[id_operacion],tblEjecucion[precio],0))</f>
        <v/>
      </c>
      <c r="AH165" s="10">
        <f>IF(tblOrdenes[[#This Row],[orden]]="","",MAX(0,_xlfn.XLOOKUP(tblOrdenes[[#This Row],[id_operacion]],tblEjecucion[id_operacion],tblEjecucion[costo_plan_total],0)-tblOrdenes[[#This Row],[costo_servicio]]))</f>
        <v/>
      </c>
      <c r="AI165" s="10">
        <f>IF(tblOrdenes[[#This Row],[orden]]="","",tblOrdenes[[#This Row],[costo_servicio]]+tblOrdenes[[#This Row],[costo_materiales]])</f>
        <v/>
      </c>
      <c r="AJ165" s="6" t="inlineStr"/>
      <c r="AK165" s="6" t="inlineStr"/>
      <c r="AL165" s="6" t="inlineStr"/>
      <c r="AM165" s="3">
        <f>IF(tblOrdenes[[#This Row],[link_checklist]]="","",HYPERLINK(p_ruta_base_checklists&amp;tblOrdenes[[#This Row],[link_checklist]],"abrir"))</f>
        <v/>
      </c>
      <c r="AN165" s="6" t="inlineStr"/>
      <c r="AO165" s="3">
        <f>IF(tblOrdenes[[#This Row],[orden]]="","",tblOrdenes[[#This Row],[orden]]&amp;IF(tblOrdenes[[#This Row],[operacion]]="","0010",tblOrdenes[[#This Row],[operacion]]))</f>
        <v/>
      </c>
    </row>
    <row r="166">
      <c r="A166" s="3" t="inlineStr">
        <is>
          <t>OT-000163</t>
        </is>
      </c>
      <c r="B166" s="3" t="inlineStr">
        <is>
          <t>0010</t>
        </is>
      </c>
      <c r="C166" s="3" t="inlineStr">
        <is>
          <t>Reparación de falla — EQ-104</t>
        </is>
      </c>
      <c r="D166" s="3" t="inlineStr">
        <is>
          <t>Reparación de falla en EQ-104</t>
        </is>
      </c>
      <c r="E166" s="3" t="inlineStr">
        <is>
          <t>EQ-104</t>
        </is>
      </c>
      <c r="F166" s="3" t="inlineStr">
        <is>
          <t>CC-120</t>
        </is>
      </c>
      <c r="G166" s="3" t="inlineStr">
        <is>
          <t>PU-ELE</t>
        </is>
      </c>
      <c r="H166" s="3" t="inlineStr">
        <is>
          <t>ACT-03</t>
        </is>
      </c>
      <c r="I166" s="3" t="inlineStr">
        <is>
          <t>TIPO-C2</t>
        </is>
      </c>
      <c r="J166" s="11" t="n">
        <v>46176</v>
      </c>
      <c r="K166" s="3" t="n">
        <v>6</v>
      </c>
      <c r="L166" s="10" t="n">
        <v>240</v>
      </c>
      <c r="M166" s="6" t="n"/>
      <c r="N1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66" s="3">
        <f>IF(tblOrdenes[[#This Row],[fecha_inicio]]="","",YEAR(tblOrdenes[[#This Row],[fecha_inicio]]))</f>
        <v/>
      </c>
      <c r="R166" s="3">
        <f>IF(tblOrdenes[[#This Row],[fecha_inicio]]="","",MONTH(tblOrdenes[[#This Row],[fecha_inicio]]))</f>
        <v/>
      </c>
      <c r="S166" s="3">
        <f>IF(tblOrdenes[[#This Row],[fecha_inicio]]="","",INDEX(lista_dias,WEEKDAY(tblOrdenes[[#This Row],[fecha_inicio]],2)))</f>
        <v/>
      </c>
      <c r="T166" s="3">
        <f>IF(tblOrdenes[[#This Row],[tipo_ot]]="","",_xlfn.XLOOKUP(tblOrdenes[[#This Row],[tipo_ot]],tblTiposOT[codigo],tblTiposOT[clasificacion],"sin_clasificar"))</f>
        <v/>
      </c>
      <c r="U166" s="3">
        <f>IF(tblOrdenes[[#This Row],[centro_costo]]="","",_xlfn.XLOOKUP(tblOrdenes[[#This Row],[centro_costo]],tblCECO[codigo],tblCECO[linea],"(sin catálogo)"))</f>
        <v/>
      </c>
      <c r="V166" s="3">
        <f>IF(tblOrdenes[[#This Row],[centro_costo]]="","",_xlfn.XLOOKUP(tblOrdenes[[#This Row],[centro_costo]],tblCECO[codigo],tblCECO[area],"(sin catálogo)"))</f>
        <v/>
      </c>
      <c r="W166" s="3">
        <f>IF(tblOrdenes[[#This Row],[centro_costo]]="","",_xlfn.XLOOKUP(tblOrdenes[[#This Row],[centro_costo]],tblCECO[codigo],tblCECO[coordinador],"(sin catálogo)"))</f>
        <v/>
      </c>
      <c r="X166" s="3">
        <f>IF(tblOrdenes[[#This Row],[puesto_trabajo]]="","",_xlfn.XLOOKUP(tblOrdenes[[#This Row],[puesto_trabajo]],tblPuestos[codigo],tblPuestos[especialidad],"(sin catálogo)"))</f>
        <v/>
      </c>
      <c r="Y166" s="3">
        <f>IF(tblOrdenes[[#This Row],[cod_actividad]]="","",_xlfn.XLOOKUP(tblOrdenes[[#This Row],[cod_actividad]],tblActividades[codigo],tblActividades[descripcion],"(sin catálogo)"))</f>
        <v/>
      </c>
      <c r="Z166" s="12">
        <f>IF(tblOrdenes[[#This Row],[fecha_inicio]]="","",TODAY()-tblOrdenes[[#This Row],[fecha_inicio]])</f>
        <v/>
      </c>
      <c r="AA166" s="3">
        <f>IF(tblOrdenes[[#This Row],[backlog_dias]]="","",IF(tblOrdenes[[#This Row],[backlog_dias]]&lt;0,"FUTURO",IF(tblOrdenes[[#This Row],[backlog_dias]]&gt;p_dias_backlog_max,"BACKLOG","MES CORRIENTE")))</f>
        <v/>
      </c>
      <c r="AB166" s="3">
        <f>IF(tblOrdenes[[#This Row],[backlog_dias]]="",FALSE,AND(tblOrdenes[[#This Row],[backlog_dias]]&gt;p_dias_backlog_min,tblOrdenes[[#This Row],[backlog_dias]]&lt;=p_dias_backlog_max))</f>
        <v/>
      </c>
      <c r="AC166" s="6" t="inlineStr"/>
      <c r="AD1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66" s="10">
        <f>IF(tblOrdenes[[#This Row],[orden]]="","",_xlfn.XLOOKUP(tblOrdenes[[#This Row],[id_operacion]],tblEjecucion[id_operacion],tblEjecucion[precio],0))</f>
        <v/>
      </c>
      <c r="AH166" s="10">
        <f>IF(tblOrdenes[[#This Row],[orden]]="","",MAX(0,_xlfn.XLOOKUP(tblOrdenes[[#This Row],[id_operacion]],tblEjecucion[id_operacion],tblEjecucion[costo_plan_total],0)-tblOrdenes[[#This Row],[costo_servicio]]))</f>
        <v/>
      </c>
      <c r="AI166" s="10">
        <f>IF(tblOrdenes[[#This Row],[orden]]="","",tblOrdenes[[#This Row],[costo_servicio]]+tblOrdenes[[#This Row],[costo_materiales]])</f>
        <v/>
      </c>
      <c r="AJ166" s="6" t="inlineStr"/>
      <c r="AK166" s="6" t="inlineStr"/>
      <c r="AL166" s="6" t="inlineStr"/>
      <c r="AM166" s="3">
        <f>IF(tblOrdenes[[#This Row],[link_checklist]]="","",HYPERLINK(p_ruta_base_checklists&amp;tblOrdenes[[#This Row],[link_checklist]],"abrir"))</f>
        <v/>
      </c>
      <c r="AN166" s="6" t="inlineStr"/>
      <c r="AO166" s="3">
        <f>IF(tblOrdenes[[#This Row],[orden]]="","",tblOrdenes[[#This Row],[orden]]&amp;IF(tblOrdenes[[#This Row],[operacion]]="","0010",tblOrdenes[[#This Row],[operacion]]))</f>
        <v/>
      </c>
    </row>
    <row r="167">
      <c r="A167" s="3" t="inlineStr">
        <is>
          <t>OT-000164</t>
        </is>
      </c>
      <c r="B167" s="3" t="inlineStr">
        <is>
          <t>0010</t>
        </is>
      </c>
      <c r="C167" s="3" t="inlineStr">
        <is>
          <t>Análisis predictivo — EQ-106</t>
        </is>
      </c>
      <c r="D167" s="3" t="inlineStr">
        <is>
          <t>Análisis predictivo en EQ-106</t>
        </is>
      </c>
      <c r="E167" s="3" t="inlineStr">
        <is>
          <t>EQ-106</t>
        </is>
      </c>
      <c r="F167" s="3" t="inlineStr">
        <is>
          <t>CC-210</t>
        </is>
      </c>
      <c r="G167" s="3" t="inlineStr">
        <is>
          <t>PU-AUT</t>
        </is>
      </c>
      <c r="H167" s="3" t="inlineStr">
        <is>
          <t>ACT-04</t>
        </is>
      </c>
      <c r="I167" s="3" t="inlineStr">
        <is>
          <t>TIPO-P1</t>
        </is>
      </c>
      <c r="J167" s="11" t="n">
        <v>46169</v>
      </c>
      <c r="K167" s="3" t="n">
        <v>8</v>
      </c>
      <c r="L167" s="10" t="n">
        <v>200</v>
      </c>
      <c r="M167" s="6" t="n"/>
      <c r="N1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67" s="3">
        <f>IF(tblOrdenes[[#This Row],[fecha_inicio]]="","",YEAR(tblOrdenes[[#This Row],[fecha_inicio]]))</f>
        <v/>
      </c>
      <c r="R167" s="3">
        <f>IF(tblOrdenes[[#This Row],[fecha_inicio]]="","",MONTH(tblOrdenes[[#This Row],[fecha_inicio]]))</f>
        <v/>
      </c>
      <c r="S167" s="3">
        <f>IF(tblOrdenes[[#This Row],[fecha_inicio]]="","",INDEX(lista_dias,WEEKDAY(tblOrdenes[[#This Row],[fecha_inicio]],2)))</f>
        <v/>
      </c>
      <c r="T167" s="3">
        <f>IF(tblOrdenes[[#This Row],[tipo_ot]]="","",_xlfn.XLOOKUP(tblOrdenes[[#This Row],[tipo_ot]],tblTiposOT[codigo],tblTiposOT[clasificacion],"sin_clasificar"))</f>
        <v/>
      </c>
      <c r="U167" s="3">
        <f>IF(tblOrdenes[[#This Row],[centro_costo]]="","",_xlfn.XLOOKUP(tblOrdenes[[#This Row],[centro_costo]],tblCECO[codigo],tblCECO[linea],"(sin catálogo)"))</f>
        <v/>
      </c>
      <c r="V167" s="3">
        <f>IF(tblOrdenes[[#This Row],[centro_costo]]="","",_xlfn.XLOOKUP(tblOrdenes[[#This Row],[centro_costo]],tblCECO[codigo],tblCECO[area],"(sin catálogo)"))</f>
        <v/>
      </c>
      <c r="W167" s="3">
        <f>IF(tblOrdenes[[#This Row],[centro_costo]]="","",_xlfn.XLOOKUP(tblOrdenes[[#This Row],[centro_costo]],tblCECO[codigo],tblCECO[coordinador],"(sin catálogo)"))</f>
        <v/>
      </c>
      <c r="X167" s="3">
        <f>IF(tblOrdenes[[#This Row],[puesto_trabajo]]="","",_xlfn.XLOOKUP(tblOrdenes[[#This Row],[puesto_trabajo]],tblPuestos[codigo],tblPuestos[especialidad],"(sin catálogo)"))</f>
        <v/>
      </c>
      <c r="Y167" s="3">
        <f>IF(tblOrdenes[[#This Row],[cod_actividad]]="","",_xlfn.XLOOKUP(tblOrdenes[[#This Row],[cod_actividad]],tblActividades[codigo],tblActividades[descripcion],"(sin catálogo)"))</f>
        <v/>
      </c>
      <c r="Z167" s="12">
        <f>IF(tblOrdenes[[#This Row],[fecha_inicio]]="","",TODAY()-tblOrdenes[[#This Row],[fecha_inicio]])</f>
        <v/>
      </c>
      <c r="AA167" s="3">
        <f>IF(tblOrdenes[[#This Row],[backlog_dias]]="","",IF(tblOrdenes[[#This Row],[backlog_dias]]&lt;0,"FUTURO",IF(tblOrdenes[[#This Row],[backlog_dias]]&gt;p_dias_backlog_max,"BACKLOG","MES CORRIENTE")))</f>
        <v/>
      </c>
      <c r="AB167" s="3">
        <f>IF(tblOrdenes[[#This Row],[backlog_dias]]="",FALSE,AND(tblOrdenes[[#This Row],[backlog_dias]]&gt;p_dias_backlog_min,tblOrdenes[[#This Row],[backlog_dias]]&lt;=p_dias_backlog_max))</f>
        <v/>
      </c>
      <c r="AC167" s="6" t="inlineStr"/>
      <c r="AD1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67" s="10">
        <f>IF(tblOrdenes[[#This Row],[orden]]="","",_xlfn.XLOOKUP(tblOrdenes[[#This Row],[id_operacion]],tblEjecucion[id_operacion],tblEjecucion[precio],0))</f>
        <v/>
      </c>
      <c r="AH167" s="10">
        <f>IF(tblOrdenes[[#This Row],[orden]]="","",MAX(0,_xlfn.XLOOKUP(tblOrdenes[[#This Row],[id_operacion]],tblEjecucion[id_operacion],tblEjecucion[costo_plan_total],0)-tblOrdenes[[#This Row],[costo_servicio]]))</f>
        <v/>
      </c>
      <c r="AI167" s="10">
        <f>IF(tblOrdenes[[#This Row],[orden]]="","",tblOrdenes[[#This Row],[costo_servicio]]+tblOrdenes[[#This Row],[costo_materiales]])</f>
        <v/>
      </c>
      <c r="AJ167" s="6" t="inlineStr"/>
      <c r="AK167" s="6" t="inlineStr"/>
      <c r="AL167" s="6" t="inlineStr"/>
      <c r="AM167" s="3">
        <f>IF(tblOrdenes[[#This Row],[link_checklist]]="","",HYPERLINK(p_ruta_base_checklists&amp;tblOrdenes[[#This Row],[link_checklist]],"abrir"))</f>
        <v/>
      </c>
      <c r="AN167" s="6" t="inlineStr"/>
      <c r="AO167" s="3">
        <f>IF(tblOrdenes[[#This Row],[orden]]="","",tblOrdenes[[#This Row],[orden]]&amp;IF(tblOrdenes[[#This Row],[operacion]]="","0010",tblOrdenes[[#This Row],[operacion]]))</f>
        <v/>
      </c>
    </row>
    <row r="168">
      <c r="A168" s="3" t="inlineStr">
        <is>
          <t>OT-000165</t>
        </is>
      </c>
      <c r="B168" s="3" t="inlineStr">
        <is>
          <t>0010</t>
        </is>
      </c>
      <c r="C168" s="3" t="inlineStr">
        <is>
          <t>Reparación de falla — EQ-107</t>
        </is>
      </c>
      <c r="D168" s="3" t="inlineStr">
        <is>
          <t>Reparación de falla en EQ-107</t>
        </is>
      </c>
      <c r="E168" s="3" t="inlineStr">
        <is>
          <t>EQ-107</t>
        </is>
      </c>
      <c r="F168" s="3" t="inlineStr">
        <is>
          <t>CC-220</t>
        </is>
      </c>
      <c r="G168" s="3" t="inlineStr">
        <is>
          <t>PU-OP</t>
        </is>
      </c>
      <c r="H168" s="3" t="inlineStr">
        <is>
          <t>ACT-03</t>
        </is>
      </c>
      <c r="I168" s="3" t="inlineStr">
        <is>
          <t>TIPO-C2</t>
        </is>
      </c>
      <c r="J168" s="11" t="n">
        <v>46162</v>
      </c>
      <c r="K168" s="3" t="n">
        <v>4</v>
      </c>
      <c r="L168" s="10" t="n">
        <v>160</v>
      </c>
      <c r="M168" s="6" t="n"/>
      <c r="N1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68" s="3">
        <f>IF(tblOrdenes[[#This Row],[fecha_inicio]]="","",YEAR(tblOrdenes[[#This Row],[fecha_inicio]]))</f>
        <v/>
      </c>
      <c r="R168" s="3">
        <f>IF(tblOrdenes[[#This Row],[fecha_inicio]]="","",MONTH(tblOrdenes[[#This Row],[fecha_inicio]]))</f>
        <v/>
      </c>
      <c r="S168" s="3">
        <f>IF(tblOrdenes[[#This Row],[fecha_inicio]]="","",INDEX(lista_dias,WEEKDAY(tblOrdenes[[#This Row],[fecha_inicio]],2)))</f>
        <v/>
      </c>
      <c r="T168" s="3">
        <f>IF(tblOrdenes[[#This Row],[tipo_ot]]="","",_xlfn.XLOOKUP(tblOrdenes[[#This Row],[tipo_ot]],tblTiposOT[codigo],tblTiposOT[clasificacion],"sin_clasificar"))</f>
        <v/>
      </c>
      <c r="U168" s="3">
        <f>IF(tblOrdenes[[#This Row],[centro_costo]]="","",_xlfn.XLOOKUP(tblOrdenes[[#This Row],[centro_costo]],tblCECO[codigo],tblCECO[linea],"(sin catálogo)"))</f>
        <v/>
      </c>
      <c r="V168" s="3">
        <f>IF(tblOrdenes[[#This Row],[centro_costo]]="","",_xlfn.XLOOKUP(tblOrdenes[[#This Row],[centro_costo]],tblCECO[codigo],tblCECO[area],"(sin catálogo)"))</f>
        <v/>
      </c>
      <c r="W168" s="3">
        <f>IF(tblOrdenes[[#This Row],[centro_costo]]="","",_xlfn.XLOOKUP(tblOrdenes[[#This Row],[centro_costo]],tblCECO[codigo],tblCECO[coordinador],"(sin catálogo)"))</f>
        <v/>
      </c>
      <c r="X168" s="3">
        <f>IF(tblOrdenes[[#This Row],[puesto_trabajo]]="","",_xlfn.XLOOKUP(tblOrdenes[[#This Row],[puesto_trabajo]],tblPuestos[codigo],tblPuestos[especialidad],"(sin catálogo)"))</f>
        <v/>
      </c>
      <c r="Y168" s="3">
        <f>IF(tblOrdenes[[#This Row],[cod_actividad]]="","",_xlfn.XLOOKUP(tblOrdenes[[#This Row],[cod_actividad]],tblActividades[codigo],tblActividades[descripcion],"(sin catálogo)"))</f>
        <v/>
      </c>
      <c r="Z168" s="12">
        <f>IF(tblOrdenes[[#This Row],[fecha_inicio]]="","",TODAY()-tblOrdenes[[#This Row],[fecha_inicio]])</f>
        <v/>
      </c>
      <c r="AA168" s="3">
        <f>IF(tblOrdenes[[#This Row],[backlog_dias]]="","",IF(tblOrdenes[[#This Row],[backlog_dias]]&lt;0,"FUTURO",IF(tblOrdenes[[#This Row],[backlog_dias]]&gt;p_dias_backlog_max,"BACKLOG","MES CORRIENTE")))</f>
        <v/>
      </c>
      <c r="AB168" s="3">
        <f>IF(tblOrdenes[[#This Row],[backlog_dias]]="",FALSE,AND(tblOrdenes[[#This Row],[backlog_dias]]&gt;p_dias_backlog_min,tblOrdenes[[#This Row],[backlog_dias]]&lt;=p_dias_backlog_max))</f>
        <v/>
      </c>
      <c r="AC168" s="6" t="inlineStr"/>
      <c r="AD1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68" s="10">
        <f>IF(tblOrdenes[[#This Row],[orden]]="","",_xlfn.XLOOKUP(tblOrdenes[[#This Row],[id_operacion]],tblEjecucion[id_operacion],tblEjecucion[precio],0))</f>
        <v/>
      </c>
      <c r="AH168" s="10">
        <f>IF(tblOrdenes[[#This Row],[orden]]="","",MAX(0,_xlfn.XLOOKUP(tblOrdenes[[#This Row],[id_operacion]],tblEjecucion[id_operacion],tblEjecucion[costo_plan_total],0)-tblOrdenes[[#This Row],[costo_servicio]]))</f>
        <v/>
      </c>
      <c r="AI168" s="10">
        <f>IF(tblOrdenes[[#This Row],[orden]]="","",tblOrdenes[[#This Row],[costo_servicio]]+tblOrdenes[[#This Row],[costo_materiales]])</f>
        <v/>
      </c>
      <c r="AJ168" s="6" t="inlineStr"/>
      <c r="AK168" s="6" t="inlineStr"/>
      <c r="AL168" s="6" t="inlineStr"/>
      <c r="AM168" s="3">
        <f>IF(tblOrdenes[[#This Row],[link_checklist]]="","",HYPERLINK(p_ruta_base_checklists&amp;tblOrdenes[[#This Row],[link_checklist]],"abrir"))</f>
        <v/>
      </c>
      <c r="AN168" s="6" t="inlineStr"/>
      <c r="AO168" s="3">
        <f>IF(tblOrdenes[[#This Row],[orden]]="","",tblOrdenes[[#This Row],[orden]]&amp;IF(tblOrdenes[[#This Row],[operacion]]="","0010",tblOrdenes[[#This Row],[operacion]]))</f>
        <v/>
      </c>
    </row>
    <row r="169">
      <c r="A169" s="3" t="inlineStr">
        <is>
          <t>OT-000166</t>
        </is>
      </c>
      <c r="B169" s="3" t="inlineStr">
        <is>
          <t>0010</t>
        </is>
      </c>
      <c r="C169" s="3" t="inlineStr">
        <is>
          <t>Lubricación programada — EQ-111</t>
        </is>
      </c>
      <c r="D169" s="3" t="inlineStr">
        <is>
          <t>Lubricación programada en EQ-111</t>
        </is>
      </c>
      <c r="E169" s="3" t="inlineStr">
        <is>
          <t>EQ-111</t>
        </is>
      </c>
      <c r="F169" s="3" t="inlineStr">
        <is>
          <t>CC-310</t>
        </is>
      </c>
      <c r="G169" s="3" t="inlineStr">
        <is>
          <t>PU-MEC</t>
        </is>
      </c>
      <c r="H169" s="3" t="inlineStr">
        <is>
          <t>ACT-02</t>
        </is>
      </c>
      <c r="I169" s="3" t="inlineStr">
        <is>
          <t>TIPO-P1</t>
        </is>
      </c>
      <c r="J169" s="11" t="n">
        <v>46155</v>
      </c>
      <c r="K169" s="3" t="n">
        <v>6</v>
      </c>
      <c r="L169" s="10" t="n">
        <v>150</v>
      </c>
      <c r="M169" s="6" t="n"/>
      <c r="N1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69" s="3">
        <f>IF(tblOrdenes[[#This Row],[fecha_inicio]]="","",YEAR(tblOrdenes[[#This Row],[fecha_inicio]]))</f>
        <v/>
      </c>
      <c r="R169" s="3">
        <f>IF(tblOrdenes[[#This Row],[fecha_inicio]]="","",MONTH(tblOrdenes[[#This Row],[fecha_inicio]]))</f>
        <v/>
      </c>
      <c r="S169" s="3">
        <f>IF(tblOrdenes[[#This Row],[fecha_inicio]]="","",INDEX(lista_dias,WEEKDAY(tblOrdenes[[#This Row],[fecha_inicio]],2)))</f>
        <v/>
      </c>
      <c r="T169" s="3">
        <f>IF(tblOrdenes[[#This Row],[tipo_ot]]="","",_xlfn.XLOOKUP(tblOrdenes[[#This Row],[tipo_ot]],tblTiposOT[codigo],tblTiposOT[clasificacion],"sin_clasificar"))</f>
        <v/>
      </c>
      <c r="U169" s="3">
        <f>IF(tblOrdenes[[#This Row],[centro_costo]]="","",_xlfn.XLOOKUP(tblOrdenes[[#This Row],[centro_costo]],tblCECO[codigo],tblCECO[linea],"(sin catálogo)"))</f>
        <v/>
      </c>
      <c r="V169" s="3">
        <f>IF(tblOrdenes[[#This Row],[centro_costo]]="","",_xlfn.XLOOKUP(tblOrdenes[[#This Row],[centro_costo]],tblCECO[codigo],tblCECO[area],"(sin catálogo)"))</f>
        <v/>
      </c>
      <c r="W169" s="3">
        <f>IF(tblOrdenes[[#This Row],[centro_costo]]="","",_xlfn.XLOOKUP(tblOrdenes[[#This Row],[centro_costo]],tblCECO[codigo],tblCECO[coordinador],"(sin catálogo)"))</f>
        <v/>
      </c>
      <c r="X169" s="3">
        <f>IF(tblOrdenes[[#This Row],[puesto_trabajo]]="","",_xlfn.XLOOKUP(tblOrdenes[[#This Row],[puesto_trabajo]],tblPuestos[codigo],tblPuestos[especialidad],"(sin catálogo)"))</f>
        <v/>
      </c>
      <c r="Y169" s="3">
        <f>IF(tblOrdenes[[#This Row],[cod_actividad]]="","",_xlfn.XLOOKUP(tblOrdenes[[#This Row],[cod_actividad]],tblActividades[codigo],tblActividades[descripcion],"(sin catálogo)"))</f>
        <v/>
      </c>
      <c r="Z169" s="12">
        <f>IF(tblOrdenes[[#This Row],[fecha_inicio]]="","",TODAY()-tblOrdenes[[#This Row],[fecha_inicio]])</f>
        <v/>
      </c>
      <c r="AA169" s="3">
        <f>IF(tblOrdenes[[#This Row],[backlog_dias]]="","",IF(tblOrdenes[[#This Row],[backlog_dias]]&lt;0,"FUTURO",IF(tblOrdenes[[#This Row],[backlog_dias]]&gt;p_dias_backlog_max,"BACKLOG","MES CORRIENTE")))</f>
        <v/>
      </c>
      <c r="AB169" s="3">
        <f>IF(tblOrdenes[[#This Row],[backlog_dias]]="",FALSE,AND(tblOrdenes[[#This Row],[backlog_dias]]&gt;p_dias_backlog_min,tblOrdenes[[#This Row],[backlog_dias]]&lt;=p_dias_backlog_max))</f>
        <v/>
      </c>
      <c r="AC169" s="6" t="inlineStr"/>
      <c r="AD1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69" s="10">
        <f>IF(tblOrdenes[[#This Row],[orden]]="","",_xlfn.XLOOKUP(tblOrdenes[[#This Row],[id_operacion]],tblEjecucion[id_operacion],tblEjecucion[precio],0))</f>
        <v/>
      </c>
      <c r="AH169" s="10">
        <f>IF(tblOrdenes[[#This Row],[orden]]="","",MAX(0,_xlfn.XLOOKUP(tblOrdenes[[#This Row],[id_operacion]],tblEjecucion[id_operacion],tblEjecucion[costo_plan_total],0)-tblOrdenes[[#This Row],[costo_servicio]]))</f>
        <v/>
      </c>
      <c r="AI169" s="10">
        <f>IF(tblOrdenes[[#This Row],[orden]]="","",tblOrdenes[[#This Row],[costo_servicio]]+tblOrdenes[[#This Row],[costo_materiales]])</f>
        <v/>
      </c>
      <c r="AJ169" s="6" t="inlineStr"/>
      <c r="AK169" s="6" t="inlineStr"/>
      <c r="AL169" s="6" t="inlineStr"/>
      <c r="AM169" s="3">
        <f>IF(tblOrdenes[[#This Row],[link_checklist]]="","",HYPERLINK(p_ruta_base_checklists&amp;tblOrdenes[[#This Row],[link_checklist]],"abrir"))</f>
        <v/>
      </c>
      <c r="AN169" s="6" t="inlineStr"/>
      <c r="AO169" s="3">
        <f>IF(tblOrdenes[[#This Row],[orden]]="","",tblOrdenes[[#This Row],[orden]]&amp;IF(tblOrdenes[[#This Row],[operacion]]="","0010",tblOrdenes[[#This Row],[operacion]]))</f>
        <v/>
      </c>
    </row>
    <row r="170">
      <c r="A170" s="3" t="inlineStr">
        <is>
          <t>OT-000167</t>
        </is>
      </c>
      <c r="B170" s="3" t="inlineStr">
        <is>
          <t>0010</t>
        </is>
      </c>
      <c r="C170" s="3" t="inlineStr">
        <is>
          <t>Reparación de falla — EQ-112</t>
        </is>
      </c>
      <c r="D170" s="3" t="inlineStr">
        <is>
          <t>Reparación de falla en EQ-112</t>
        </is>
      </c>
      <c r="E170" s="3" t="inlineStr">
        <is>
          <t>EQ-112</t>
        </is>
      </c>
      <c r="F170" s="3" t="inlineStr">
        <is>
          <t>CC-320</t>
        </is>
      </c>
      <c r="G170" s="3" t="inlineStr">
        <is>
          <t>PU-ELE</t>
        </is>
      </c>
      <c r="H170" s="3" t="inlineStr">
        <is>
          <t>ACT-03</t>
        </is>
      </c>
      <c r="I170" s="3" t="inlineStr">
        <is>
          <t>TIPO-C2</t>
        </is>
      </c>
      <c r="J170" s="11" t="n">
        <v>46148</v>
      </c>
      <c r="K170" s="3" t="n">
        <v>8</v>
      </c>
      <c r="L170" s="10" t="n">
        <v>320</v>
      </c>
      <c r="M170" s="6" t="n"/>
      <c r="N1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70" s="3">
        <f>IF(tblOrdenes[[#This Row],[fecha_inicio]]="","",YEAR(tblOrdenes[[#This Row],[fecha_inicio]]))</f>
        <v/>
      </c>
      <c r="R170" s="3">
        <f>IF(tblOrdenes[[#This Row],[fecha_inicio]]="","",MONTH(tblOrdenes[[#This Row],[fecha_inicio]]))</f>
        <v/>
      </c>
      <c r="S170" s="3">
        <f>IF(tblOrdenes[[#This Row],[fecha_inicio]]="","",INDEX(lista_dias,WEEKDAY(tblOrdenes[[#This Row],[fecha_inicio]],2)))</f>
        <v/>
      </c>
      <c r="T170" s="3">
        <f>IF(tblOrdenes[[#This Row],[tipo_ot]]="","",_xlfn.XLOOKUP(tblOrdenes[[#This Row],[tipo_ot]],tblTiposOT[codigo],tblTiposOT[clasificacion],"sin_clasificar"))</f>
        <v/>
      </c>
      <c r="U170" s="3">
        <f>IF(tblOrdenes[[#This Row],[centro_costo]]="","",_xlfn.XLOOKUP(tblOrdenes[[#This Row],[centro_costo]],tblCECO[codigo],tblCECO[linea],"(sin catálogo)"))</f>
        <v/>
      </c>
      <c r="V170" s="3">
        <f>IF(tblOrdenes[[#This Row],[centro_costo]]="","",_xlfn.XLOOKUP(tblOrdenes[[#This Row],[centro_costo]],tblCECO[codigo],tblCECO[area],"(sin catálogo)"))</f>
        <v/>
      </c>
      <c r="W170" s="3">
        <f>IF(tblOrdenes[[#This Row],[centro_costo]]="","",_xlfn.XLOOKUP(tblOrdenes[[#This Row],[centro_costo]],tblCECO[codigo],tblCECO[coordinador],"(sin catálogo)"))</f>
        <v/>
      </c>
      <c r="X170" s="3">
        <f>IF(tblOrdenes[[#This Row],[puesto_trabajo]]="","",_xlfn.XLOOKUP(tblOrdenes[[#This Row],[puesto_trabajo]],tblPuestos[codigo],tblPuestos[especialidad],"(sin catálogo)"))</f>
        <v/>
      </c>
      <c r="Y170" s="3">
        <f>IF(tblOrdenes[[#This Row],[cod_actividad]]="","",_xlfn.XLOOKUP(tblOrdenes[[#This Row],[cod_actividad]],tblActividades[codigo],tblActividades[descripcion],"(sin catálogo)"))</f>
        <v/>
      </c>
      <c r="Z170" s="12">
        <f>IF(tblOrdenes[[#This Row],[fecha_inicio]]="","",TODAY()-tblOrdenes[[#This Row],[fecha_inicio]])</f>
        <v/>
      </c>
      <c r="AA170" s="3">
        <f>IF(tblOrdenes[[#This Row],[backlog_dias]]="","",IF(tblOrdenes[[#This Row],[backlog_dias]]&lt;0,"FUTURO",IF(tblOrdenes[[#This Row],[backlog_dias]]&gt;p_dias_backlog_max,"BACKLOG","MES CORRIENTE")))</f>
        <v/>
      </c>
      <c r="AB170" s="3">
        <f>IF(tblOrdenes[[#This Row],[backlog_dias]]="",FALSE,AND(tblOrdenes[[#This Row],[backlog_dias]]&gt;p_dias_backlog_min,tblOrdenes[[#This Row],[backlog_dias]]&lt;=p_dias_backlog_max))</f>
        <v/>
      </c>
      <c r="AC170" s="6" t="inlineStr"/>
      <c r="AD1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70" s="10">
        <f>IF(tblOrdenes[[#This Row],[orden]]="","",_xlfn.XLOOKUP(tblOrdenes[[#This Row],[id_operacion]],tblEjecucion[id_operacion],tblEjecucion[precio],0))</f>
        <v/>
      </c>
      <c r="AH170" s="10">
        <f>IF(tblOrdenes[[#This Row],[orden]]="","",MAX(0,_xlfn.XLOOKUP(tblOrdenes[[#This Row],[id_operacion]],tblEjecucion[id_operacion],tblEjecucion[costo_plan_total],0)-tblOrdenes[[#This Row],[costo_servicio]]))</f>
        <v/>
      </c>
      <c r="AI170" s="10">
        <f>IF(tblOrdenes[[#This Row],[orden]]="","",tblOrdenes[[#This Row],[costo_servicio]]+tblOrdenes[[#This Row],[costo_materiales]])</f>
        <v/>
      </c>
      <c r="AJ170" s="6" t="inlineStr"/>
      <c r="AK170" s="6" t="inlineStr"/>
      <c r="AL170" s="6" t="inlineStr"/>
      <c r="AM170" s="3">
        <f>IF(tblOrdenes[[#This Row],[link_checklist]]="","",HYPERLINK(p_ruta_base_checklists&amp;tblOrdenes[[#This Row],[link_checklist]],"abrir"))</f>
        <v/>
      </c>
      <c r="AN170" s="6" t="inlineStr"/>
      <c r="AO170" s="3">
        <f>IF(tblOrdenes[[#This Row],[orden]]="","",tblOrdenes[[#This Row],[orden]]&amp;IF(tblOrdenes[[#This Row],[operacion]]="","0010",tblOrdenes[[#This Row],[operacion]]))</f>
        <v/>
      </c>
    </row>
    <row r="171">
      <c r="A171" s="3" t="inlineStr">
        <is>
          <t>OT-000168</t>
        </is>
      </c>
      <c r="B171" s="3" t="inlineStr">
        <is>
          <t>0010</t>
        </is>
      </c>
      <c r="C171" s="3" t="inlineStr">
        <is>
          <t>Inspección de rutina — EQ-104</t>
        </is>
      </c>
      <c r="D171" s="3" t="inlineStr">
        <is>
          <t>Inspección de rutina en EQ-104</t>
        </is>
      </c>
      <c r="E171" s="3" t="inlineStr">
        <is>
          <t>EQ-104</t>
        </is>
      </c>
      <c r="F171" s="3" t="inlineStr">
        <is>
          <t>CC-110</t>
        </is>
      </c>
      <c r="G171" s="3" t="inlineStr">
        <is>
          <t>PU-AUT</t>
        </is>
      </c>
      <c r="H171" s="3" t="inlineStr">
        <is>
          <t>ACT-01</t>
        </is>
      </c>
      <c r="I171" s="3" t="inlineStr">
        <is>
          <t>TIPO-P1</t>
        </is>
      </c>
      <c r="J171" s="11" t="n">
        <v>46141</v>
      </c>
      <c r="K171" s="3" t="n">
        <v>4</v>
      </c>
      <c r="L171" s="10" t="n">
        <v>100</v>
      </c>
      <c r="M171" s="6" t="n"/>
      <c r="N1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71" s="3">
        <f>IF(tblOrdenes[[#This Row],[fecha_inicio]]="","",YEAR(tblOrdenes[[#This Row],[fecha_inicio]]))</f>
        <v/>
      </c>
      <c r="R171" s="3">
        <f>IF(tblOrdenes[[#This Row],[fecha_inicio]]="","",MONTH(tblOrdenes[[#This Row],[fecha_inicio]]))</f>
        <v/>
      </c>
      <c r="S171" s="3">
        <f>IF(tblOrdenes[[#This Row],[fecha_inicio]]="","",INDEX(lista_dias,WEEKDAY(tblOrdenes[[#This Row],[fecha_inicio]],2)))</f>
        <v/>
      </c>
      <c r="T171" s="3">
        <f>IF(tblOrdenes[[#This Row],[tipo_ot]]="","",_xlfn.XLOOKUP(tblOrdenes[[#This Row],[tipo_ot]],tblTiposOT[codigo],tblTiposOT[clasificacion],"sin_clasificar"))</f>
        <v/>
      </c>
      <c r="U171" s="3">
        <f>IF(tblOrdenes[[#This Row],[centro_costo]]="","",_xlfn.XLOOKUP(tblOrdenes[[#This Row],[centro_costo]],tblCECO[codigo],tblCECO[linea],"(sin catálogo)"))</f>
        <v/>
      </c>
      <c r="V171" s="3">
        <f>IF(tblOrdenes[[#This Row],[centro_costo]]="","",_xlfn.XLOOKUP(tblOrdenes[[#This Row],[centro_costo]],tblCECO[codigo],tblCECO[area],"(sin catálogo)"))</f>
        <v/>
      </c>
      <c r="W171" s="3">
        <f>IF(tblOrdenes[[#This Row],[centro_costo]]="","",_xlfn.XLOOKUP(tblOrdenes[[#This Row],[centro_costo]],tblCECO[codigo],tblCECO[coordinador],"(sin catálogo)"))</f>
        <v/>
      </c>
      <c r="X171" s="3">
        <f>IF(tblOrdenes[[#This Row],[puesto_trabajo]]="","",_xlfn.XLOOKUP(tblOrdenes[[#This Row],[puesto_trabajo]],tblPuestos[codigo],tblPuestos[especialidad],"(sin catálogo)"))</f>
        <v/>
      </c>
      <c r="Y171" s="3">
        <f>IF(tblOrdenes[[#This Row],[cod_actividad]]="","",_xlfn.XLOOKUP(tblOrdenes[[#This Row],[cod_actividad]],tblActividades[codigo],tblActividades[descripcion],"(sin catálogo)"))</f>
        <v/>
      </c>
      <c r="Z171" s="12">
        <f>IF(tblOrdenes[[#This Row],[fecha_inicio]]="","",TODAY()-tblOrdenes[[#This Row],[fecha_inicio]])</f>
        <v/>
      </c>
      <c r="AA171" s="3">
        <f>IF(tblOrdenes[[#This Row],[backlog_dias]]="","",IF(tblOrdenes[[#This Row],[backlog_dias]]&lt;0,"FUTURO",IF(tblOrdenes[[#This Row],[backlog_dias]]&gt;p_dias_backlog_max,"BACKLOG","MES CORRIENTE")))</f>
        <v/>
      </c>
      <c r="AB171" s="3">
        <f>IF(tblOrdenes[[#This Row],[backlog_dias]]="",FALSE,AND(tblOrdenes[[#This Row],[backlog_dias]]&gt;p_dias_backlog_min,tblOrdenes[[#This Row],[backlog_dias]]&lt;=p_dias_backlog_max))</f>
        <v/>
      </c>
      <c r="AC171" s="6" t="inlineStr"/>
      <c r="AD1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71" s="10">
        <f>IF(tblOrdenes[[#This Row],[orden]]="","",_xlfn.XLOOKUP(tblOrdenes[[#This Row],[id_operacion]],tblEjecucion[id_operacion],tblEjecucion[precio],0))</f>
        <v/>
      </c>
      <c r="AH171" s="10">
        <f>IF(tblOrdenes[[#This Row],[orden]]="","",MAX(0,_xlfn.XLOOKUP(tblOrdenes[[#This Row],[id_operacion]],tblEjecucion[id_operacion],tblEjecucion[costo_plan_total],0)-tblOrdenes[[#This Row],[costo_servicio]]))</f>
        <v/>
      </c>
      <c r="AI171" s="10">
        <f>IF(tblOrdenes[[#This Row],[orden]]="","",tblOrdenes[[#This Row],[costo_servicio]]+tblOrdenes[[#This Row],[costo_materiales]])</f>
        <v/>
      </c>
      <c r="AJ171" s="6" t="inlineStr"/>
      <c r="AK171" s="6" t="inlineStr"/>
      <c r="AL171" s="6" t="inlineStr"/>
      <c r="AM171" s="3">
        <f>IF(tblOrdenes[[#This Row],[link_checklist]]="","",HYPERLINK(p_ruta_base_checklists&amp;tblOrdenes[[#This Row],[link_checklist]],"abrir"))</f>
        <v/>
      </c>
      <c r="AN171" s="6" t="inlineStr"/>
      <c r="AO171" s="3">
        <f>IF(tblOrdenes[[#This Row],[orden]]="","",tblOrdenes[[#This Row],[orden]]&amp;IF(tblOrdenes[[#This Row],[operacion]]="","0010",tblOrdenes[[#This Row],[operacion]]))</f>
        <v/>
      </c>
    </row>
    <row r="172">
      <c r="A172" s="3" t="inlineStr">
        <is>
          <t>OT-000169</t>
        </is>
      </c>
      <c r="B172" s="3" t="inlineStr">
        <is>
          <t>0010</t>
        </is>
      </c>
      <c r="C172" s="3" t="inlineStr">
        <is>
          <t>Reparación de falla — EQ-105</t>
        </is>
      </c>
      <c r="D172" s="3" t="inlineStr">
        <is>
          <t>Reparación de falla en EQ-105</t>
        </is>
      </c>
      <c r="E172" s="3" t="inlineStr">
        <is>
          <t>EQ-105</t>
        </is>
      </c>
      <c r="F172" s="3" t="inlineStr">
        <is>
          <t>CC-120</t>
        </is>
      </c>
      <c r="G172" s="3" t="inlineStr">
        <is>
          <t>PU-OP</t>
        </is>
      </c>
      <c r="H172" s="3" t="inlineStr">
        <is>
          <t>ACT-03</t>
        </is>
      </c>
      <c r="I172" s="3" t="inlineStr">
        <is>
          <t>TIPO-C2</t>
        </is>
      </c>
      <c r="J172" s="11" t="n">
        <v>46134</v>
      </c>
      <c r="K172" s="3" t="n">
        <v>6</v>
      </c>
      <c r="L172" s="10" t="n">
        <v>240</v>
      </c>
      <c r="M172" s="6" t="n"/>
      <c r="N1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72" s="3">
        <f>IF(tblOrdenes[[#This Row],[fecha_inicio]]="","",YEAR(tblOrdenes[[#This Row],[fecha_inicio]]))</f>
        <v/>
      </c>
      <c r="R172" s="3">
        <f>IF(tblOrdenes[[#This Row],[fecha_inicio]]="","",MONTH(tblOrdenes[[#This Row],[fecha_inicio]]))</f>
        <v/>
      </c>
      <c r="S172" s="3">
        <f>IF(tblOrdenes[[#This Row],[fecha_inicio]]="","",INDEX(lista_dias,WEEKDAY(tblOrdenes[[#This Row],[fecha_inicio]],2)))</f>
        <v/>
      </c>
      <c r="T172" s="3">
        <f>IF(tblOrdenes[[#This Row],[tipo_ot]]="","",_xlfn.XLOOKUP(tblOrdenes[[#This Row],[tipo_ot]],tblTiposOT[codigo],tblTiposOT[clasificacion],"sin_clasificar"))</f>
        <v/>
      </c>
      <c r="U172" s="3">
        <f>IF(tblOrdenes[[#This Row],[centro_costo]]="","",_xlfn.XLOOKUP(tblOrdenes[[#This Row],[centro_costo]],tblCECO[codigo],tblCECO[linea],"(sin catálogo)"))</f>
        <v/>
      </c>
      <c r="V172" s="3">
        <f>IF(tblOrdenes[[#This Row],[centro_costo]]="","",_xlfn.XLOOKUP(tblOrdenes[[#This Row],[centro_costo]],tblCECO[codigo],tblCECO[area],"(sin catálogo)"))</f>
        <v/>
      </c>
      <c r="W172" s="3">
        <f>IF(tblOrdenes[[#This Row],[centro_costo]]="","",_xlfn.XLOOKUP(tblOrdenes[[#This Row],[centro_costo]],tblCECO[codigo],tblCECO[coordinador],"(sin catálogo)"))</f>
        <v/>
      </c>
      <c r="X172" s="3">
        <f>IF(tblOrdenes[[#This Row],[puesto_trabajo]]="","",_xlfn.XLOOKUP(tblOrdenes[[#This Row],[puesto_trabajo]],tblPuestos[codigo],tblPuestos[especialidad],"(sin catálogo)"))</f>
        <v/>
      </c>
      <c r="Y172" s="3">
        <f>IF(tblOrdenes[[#This Row],[cod_actividad]]="","",_xlfn.XLOOKUP(tblOrdenes[[#This Row],[cod_actividad]],tblActividades[codigo],tblActividades[descripcion],"(sin catálogo)"))</f>
        <v/>
      </c>
      <c r="Z172" s="12">
        <f>IF(tblOrdenes[[#This Row],[fecha_inicio]]="","",TODAY()-tblOrdenes[[#This Row],[fecha_inicio]])</f>
        <v/>
      </c>
      <c r="AA172" s="3">
        <f>IF(tblOrdenes[[#This Row],[backlog_dias]]="","",IF(tblOrdenes[[#This Row],[backlog_dias]]&lt;0,"FUTURO",IF(tblOrdenes[[#This Row],[backlog_dias]]&gt;p_dias_backlog_max,"BACKLOG","MES CORRIENTE")))</f>
        <v/>
      </c>
      <c r="AB172" s="3">
        <f>IF(tblOrdenes[[#This Row],[backlog_dias]]="",FALSE,AND(tblOrdenes[[#This Row],[backlog_dias]]&gt;p_dias_backlog_min,tblOrdenes[[#This Row],[backlog_dias]]&lt;=p_dias_backlog_max))</f>
        <v/>
      </c>
      <c r="AC172" s="6" t="inlineStr"/>
      <c r="AD1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72" s="10">
        <f>IF(tblOrdenes[[#This Row],[orden]]="","",_xlfn.XLOOKUP(tblOrdenes[[#This Row],[id_operacion]],tblEjecucion[id_operacion],tblEjecucion[precio],0))</f>
        <v/>
      </c>
      <c r="AH172" s="10">
        <f>IF(tblOrdenes[[#This Row],[orden]]="","",MAX(0,_xlfn.XLOOKUP(tblOrdenes[[#This Row],[id_operacion]],tblEjecucion[id_operacion],tblEjecucion[costo_plan_total],0)-tblOrdenes[[#This Row],[costo_servicio]]))</f>
        <v/>
      </c>
      <c r="AI172" s="10">
        <f>IF(tblOrdenes[[#This Row],[orden]]="","",tblOrdenes[[#This Row],[costo_servicio]]+tblOrdenes[[#This Row],[costo_materiales]])</f>
        <v/>
      </c>
      <c r="AJ172" s="6" t="inlineStr"/>
      <c r="AK172" s="6" t="inlineStr"/>
      <c r="AL172" s="6" t="inlineStr"/>
      <c r="AM172" s="3">
        <f>IF(tblOrdenes[[#This Row],[link_checklist]]="","",HYPERLINK(p_ruta_base_checklists&amp;tblOrdenes[[#This Row],[link_checklist]],"abrir"))</f>
        <v/>
      </c>
      <c r="AN172" s="6" t="inlineStr"/>
      <c r="AO172" s="3">
        <f>IF(tblOrdenes[[#This Row],[orden]]="","",tblOrdenes[[#This Row],[orden]]&amp;IF(tblOrdenes[[#This Row],[operacion]]="","0010",tblOrdenes[[#This Row],[operacion]]))</f>
        <v/>
      </c>
    </row>
    <row r="173">
      <c r="A173" s="3" t="inlineStr">
        <is>
          <t>OT-000170</t>
        </is>
      </c>
      <c r="B173" s="3" t="inlineStr">
        <is>
          <t>0010</t>
        </is>
      </c>
      <c r="C173" s="3" t="inlineStr">
        <is>
          <t>Análisis predictivo — EQ-108</t>
        </is>
      </c>
      <c r="D173" s="3" t="inlineStr">
        <is>
          <t>Análisis predictivo en EQ-108</t>
        </is>
      </c>
      <c r="E173" s="3" t="inlineStr">
        <is>
          <t>EQ-108</t>
        </is>
      </c>
      <c r="F173" s="3" t="inlineStr">
        <is>
          <t>CC-210</t>
        </is>
      </c>
      <c r="G173" s="3" t="inlineStr">
        <is>
          <t>PU-MEC</t>
        </is>
      </c>
      <c r="H173" s="3" t="inlineStr">
        <is>
          <t>ACT-04</t>
        </is>
      </c>
      <c r="I173" s="3" t="inlineStr">
        <is>
          <t>TIPO-P1</t>
        </is>
      </c>
      <c r="J173" s="11" t="n">
        <v>46127</v>
      </c>
      <c r="K173" s="3" t="n">
        <v>8</v>
      </c>
      <c r="L173" s="10" t="n">
        <v>200</v>
      </c>
      <c r="M173" s="6" t="n"/>
      <c r="N1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73" s="3">
        <f>IF(tblOrdenes[[#This Row],[fecha_inicio]]="","",YEAR(tblOrdenes[[#This Row],[fecha_inicio]]))</f>
        <v/>
      </c>
      <c r="R173" s="3">
        <f>IF(tblOrdenes[[#This Row],[fecha_inicio]]="","",MONTH(tblOrdenes[[#This Row],[fecha_inicio]]))</f>
        <v/>
      </c>
      <c r="S173" s="3">
        <f>IF(tblOrdenes[[#This Row],[fecha_inicio]]="","",INDEX(lista_dias,WEEKDAY(tblOrdenes[[#This Row],[fecha_inicio]],2)))</f>
        <v/>
      </c>
      <c r="T173" s="3">
        <f>IF(tblOrdenes[[#This Row],[tipo_ot]]="","",_xlfn.XLOOKUP(tblOrdenes[[#This Row],[tipo_ot]],tblTiposOT[codigo],tblTiposOT[clasificacion],"sin_clasificar"))</f>
        <v/>
      </c>
      <c r="U173" s="3">
        <f>IF(tblOrdenes[[#This Row],[centro_costo]]="","",_xlfn.XLOOKUP(tblOrdenes[[#This Row],[centro_costo]],tblCECO[codigo],tblCECO[linea],"(sin catálogo)"))</f>
        <v/>
      </c>
      <c r="V173" s="3">
        <f>IF(tblOrdenes[[#This Row],[centro_costo]]="","",_xlfn.XLOOKUP(tblOrdenes[[#This Row],[centro_costo]],tblCECO[codigo],tblCECO[area],"(sin catálogo)"))</f>
        <v/>
      </c>
      <c r="W173" s="3">
        <f>IF(tblOrdenes[[#This Row],[centro_costo]]="","",_xlfn.XLOOKUP(tblOrdenes[[#This Row],[centro_costo]],tblCECO[codigo],tblCECO[coordinador],"(sin catálogo)"))</f>
        <v/>
      </c>
      <c r="X173" s="3">
        <f>IF(tblOrdenes[[#This Row],[puesto_trabajo]]="","",_xlfn.XLOOKUP(tblOrdenes[[#This Row],[puesto_trabajo]],tblPuestos[codigo],tblPuestos[especialidad],"(sin catálogo)"))</f>
        <v/>
      </c>
      <c r="Y173" s="3">
        <f>IF(tblOrdenes[[#This Row],[cod_actividad]]="","",_xlfn.XLOOKUP(tblOrdenes[[#This Row],[cod_actividad]],tblActividades[codigo],tblActividades[descripcion],"(sin catálogo)"))</f>
        <v/>
      </c>
      <c r="Z173" s="12">
        <f>IF(tblOrdenes[[#This Row],[fecha_inicio]]="","",TODAY()-tblOrdenes[[#This Row],[fecha_inicio]])</f>
        <v/>
      </c>
      <c r="AA173" s="3">
        <f>IF(tblOrdenes[[#This Row],[backlog_dias]]="","",IF(tblOrdenes[[#This Row],[backlog_dias]]&lt;0,"FUTURO",IF(tblOrdenes[[#This Row],[backlog_dias]]&gt;p_dias_backlog_max,"BACKLOG","MES CORRIENTE")))</f>
        <v/>
      </c>
      <c r="AB173" s="3">
        <f>IF(tblOrdenes[[#This Row],[backlog_dias]]="",FALSE,AND(tblOrdenes[[#This Row],[backlog_dias]]&gt;p_dias_backlog_min,tblOrdenes[[#This Row],[backlog_dias]]&lt;=p_dias_backlog_max))</f>
        <v/>
      </c>
      <c r="AC173" s="6" t="inlineStr"/>
      <c r="AD1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73" s="10">
        <f>IF(tblOrdenes[[#This Row],[orden]]="","",_xlfn.XLOOKUP(tblOrdenes[[#This Row],[id_operacion]],tblEjecucion[id_operacion],tblEjecucion[precio],0))</f>
        <v/>
      </c>
      <c r="AH173" s="10">
        <f>IF(tblOrdenes[[#This Row],[orden]]="","",MAX(0,_xlfn.XLOOKUP(tblOrdenes[[#This Row],[id_operacion]],tblEjecucion[id_operacion],tblEjecucion[costo_plan_total],0)-tblOrdenes[[#This Row],[costo_servicio]]))</f>
        <v/>
      </c>
      <c r="AI173" s="10">
        <f>IF(tblOrdenes[[#This Row],[orden]]="","",tblOrdenes[[#This Row],[costo_servicio]]+tblOrdenes[[#This Row],[costo_materiales]])</f>
        <v/>
      </c>
      <c r="AJ173" s="6" t="inlineStr"/>
      <c r="AK173" s="6" t="inlineStr"/>
      <c r="AL173" s="6" t="inlineStr"/>
      <c r="AM173" s="3">
        <f>IF(tblOrdenes[[#This Row],[link_checklist]]="","",HYPERLINK(p_ruta_base_checklists&amp;tblOrdenes[[#This Row],[link_checklist]],"abrir"))</f>
        <v/>
      </c>
      <c r="AN173" s="6" t="inlineStr"/>
      <c r="AO173" s="3">
        <f>IF(tblOrdenes[[#This Row],[orden]]="","",tblOrdenes[[#This Row],[orden]]&amp;IF(tblOrdenes[[#This Row],[operacion]]="","0010",tblOrdenes[[#This Row],[operacion]]))</f>
        <v/>
      </c>
    </row>
    <row r="174">
      <c r="A174" s="3" t="inlineStr">
        <is>
          <t>OT-000171</t>
        </is>
      </c>
      <c r="B174" s="3" t="inlineStr">
        <is>
          <t>0010</t>
        </is>
      </c>
      <c r="C174" s="3" t="inlineStr">
        <is>
          <t>Reparación de falla — EQ-109</t>
        </is>
      </c>
      <c r="D174" s="3" t="inlineStr">
        <is>
          <t>Reparación de falla en EQ-109</t>
        </is>
      </c>
      <c r="E174" s="3" t="inlineStr">
        <is>
          <t>EQ-109</t>
        </is>
      </c>
      <c r="F174" s="3" t="inlineStr">
        <is>
          <t>CC-220</t>
        </is>
      </c>
      <c r="G174" s="3" t="inlineStr">
        <is>
          <t>PU-ELE</t>
        </is>
      </c>
      <c r="H174" s="3" t="inlineStr">
        <is>
          <t>ACT-03</t>
        </is>
      </c>
      <c r="I174" s="3" t="inlineStr">
        <is>
          <t>TIPO-C2</t>
        </is>
      </c>
      <c r="J174" s="11" t="n">
        <v>46120</v>
      </c>
      <c r="K174" s="3" t="n">
        <v>4</v>
      </c>
      <c r="L174" s="10" t="n">
        <v>160</v>
      </c>
      <c r="M174" s="6" t="n"/>
      <c r="N1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74" s="3">
        <f>IF(tblOrdenes[[#This Row],[fecha_inicio]]="","",YEAR(tblOrdenes[[#This Row],[fecha_inicio]]))</f>
        <v/>
      </c>
      <c r="R174" s="3">
        <f>IF(tblOrdenes[[#This Row],[fecha_inicio]]="","",MONTH(tblOrdenes[[#This Row],[fecha_inicio]]))</f>
        <v/>
      </c>
      <c r="S174" s="3">
        <f>IF(tblOrdenes[[#This Row],[fecha_inicio]]="","",INDEX(lista_dias,WEEKDAY(tblOrdenes[[#This Row],[fecha_inicio]],2)))</f>
        <v/>
      </c>
      <c r="T174" s="3">
        <f>IF(tblOrdenes[[#This Row],[tipo_ot]]="","",_xlfn.XLOOKUP(tblOrdenes[[#This Row],[tipo_ot]],tblTiposOT[codigo],tblTiposOT[clasificacion],"sin_clasificar"))</f>
        <v/>
      </c>
      <c r="U174" s="3">
        <f>IF(tblOrdenes[[#This Row],[centro_costo]]="","",_xlfn.XLOOKUP(tblOrdenes[[#This Row],[centro_costo]],tblCECO[codigo],tblCECO[linea],"(sin catálogo)"))</f>
        <v/>
      </c>
      <c r="V174" s="3">
        <f>IF(tblOrdenes[[#This Row],[centro_costo]]="","",_xlfn.XLOOKUP(tblOrdenes[[#This Row],[centro_costo]],tblCECO[codigo],tblCECO[area],"(sin catálogo)"))</f>
        <v/>
      </c>
      <c r="W174" s="3">
        <f>IF(tblOrdenes[[#This Row],[centro_costo]]="","",_xlfn.XLOOKUP(tblOrdenes[[#This Row],[centro_costo]],tblCECO[codigo],tblCECO[coordinador],"(sin catálogo)"))</f>
        <v/>
      </c>
      <c r="X174" s="3">
        <f>IF(tblOrdenes[[#This Row],[puesto_trabajo]]="","",_xlfn.XLOOKUP(tblOrdenes[[#This Row],[puesto_trabajo]],tblPuestos[codigo],tblPuestos[especialidad],"(sin catálogo)"))</f>
        <v/>
      </c>
      <c r="Y174" s="3">
        <f>IF(tblOrdenes[[#This Row],[cod_actividad]]="","",_xlfn.XLOOKUP(tblOrdenes[[#This Row],[cod_actividad]],tblActividades[codigo],tblActividades[descripcion],"(sin catálogo)"))</f>
        <v/>
      </c>
      <c r="Z174" s="12">
        <f>IF(tblOrdenes[[#This Row],[fecha_inicio]]="","",TODAY()-tblOrdenes[[#This Row],[fecha_inicio]])</f>
        <v/>
      </c>
      <c r="AA174" s="3">
        <f>IF(tblOrdenes[[#This Row],[backlog_dias]]="","",IF(tblOrdenes[[#This Row],[backlog_dias]]&lt;0,"FUTURO",IF(tblOrdenes[[#This Row],[backlog_dias]]&gt;p_dias_backlog_max,"BACKLOG","MES CORRIENTE")))</f>
        <v/>
      </c>
      <c r="AB174" s="3">
        <f>IF(tblOrdenes[[#This Row],[backlog_dias]]="",FALSE,AND(tblOrdenes[[#This Row],[backlog_dias]]&gt;p_dias_backlog_min,tblOrdenes[[#This Row],[backlog_dias]]&lt;=p_dias_backlog_max))</f>
        <v/>
      </c>
      <c r="AC174" s="6" t="inlineStr"/>
      <c r="AD1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74" s="10">
        <f>IF(tblOrdenes[[#This Row],[orden]]="","",_xlfn.XLOOKUP(tblOrdenes[[#This Row],[id_operacion]],tblEjecucion[id_operacion],tblEjecucion[precio],0))</f>
        <v/>
      </c>
      <c r="AH174" s="10">
        <f>IF(tblOrdenes[[#This Row],[orden]]="","",MAX(0,_xlfn.XLOOKUP(tblOrdenes[[#This Row],[id_operacion]],tblEjecucion[id_operacion],tblEjecucion[costo_plan_total],0)-tblOrdenes[[#This Row],[costo_servicio]]))</f>
        <v/>
      </c>
      <c r="AI174" s="10">
        <f>IF(tblOrdenes[[#This Row],[orden]]="","",tblOrdenes[[#This Row],[costo_servicio]]+tblOrdenes[[#This Row],[costo_materiales]])</f>
        <v/>
      </c>
      <c r="AJ174" s="6" t="inlineStr"/>
      <c r="AK174" s="6" t="inlineStr"/>
      <c r="AL174" s="6" t="inlineStr"/>
      <c r="AM174" s="3">
        <f>IF(tblOrdenes[[#This Row],[link_checklist]]="","",HYPERLINK(p_ruta_base_checklists&amp;tblOrdenes[[#This Row],[link_checklist]],"abrir"))</f>
        <v/>
      </c>
      <c r="AN174" s="6" t="inlineStr"/>
      <c r="AO174" s="3">
        <f>IF(tblOrdenes[[#This Row],[orden]]="","",tblOrdenes[[#This Row],[orden]]&amp;IF(tblOrdenes[[#This Row],[operacion]]="","0010",tblOrdenes[[#This Row],[operacion]]))</f>
        <v/>
      </c>
    </row>
    <row r="175">
      <c r="A175" s="3" t="inlineStr">
        <is>
          <t>OT-000172</t>
        </is>
      </c>
      <c r="B175" s="3" t="inlineStr">
        <is>
          <t>0010</t>
        </is>
      </c>
      <c r="C175" s="3" t="inlineStr">
        <is>
          <t>Lubricación programada — EQ-111</t>
        </is>
      </c>
      <c r="D175" s="3" t="inlineStr">
        <is>
          <t>Lubricación programada en EQ-111</t>
        </is>
      </c>
      <c r="E175" s="3" t="inlineStr">
        <is>
          <t>EQ-111</t>
        </is>
      </c>
      <c r="F175" s="3" t="inlineStr">
        <is>
          <t>CC-310</t>
        </is>
      </c>
      <c r="G175" s="3" t="inlineStr">
        <is>
          <t>PU-AUT</t>
        </is>
      </c>
      <c r="H175" s="3" t="inlineStr">
        <is>
          <t>ACT-02</t>
        </is>
      </c>
      <c r="I175" s="3" t="inlineStr">
        <is>
          <t>TIPO-P1</t>
        </is>
      </c>
      <c r="J175" s="11" t="n">
        <v>46113</v>
      </c>
      <c r="K175" s="3" t="n">
        <v>6</v>
      </c>
      <c r="L175" s="10" t="n">
        <v>150</v>
      </c>
      <c r="M175" s="6" t="n"/>
      <c r="N1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75" s="3">
        <f>IF(tblOrdenes[[#This Row],[fecha_inicio]]="","",YEAR(tblOrdenes[[#This Row],[fecha_inicio]]))</f>
        <v/>
      </c>
      <c r="R175" s="3">
        <f>IF(tblOrdenes[[#This Row],[fecha_inicio]]="","",MONTH(tblOrdenes[[#This Row],[fecha_inicio]]))</f>
        <v/>
      </c>
      <c r="S175" s="3">
        <f>IF(tblOrdenes[[#This Row],[fecha_inicio]]="","",INDEX(lista_dias,WEEKDAY(tblOrdenes[[#This Row],[fecha_inicio]],2)))</f>
        <v/>
      </c>
      <c r="T175" s="3">
        <f>IF(tblOrdenes[[#This Row],[tipo_ot]]="","",_xlfn.XLOOKUP(tblOrdenes[[#This Row],[tipo_ot]],tblTiposOT[codigo],tblTiposOT[clasificacion],"sin_clasificar"))</f>
        <v/>
      </c>
      <c r="U175" s="3">
        <f>IF(tblOrdenes[[#This Row],[centro_costo]]="","",_xlfn.XLOOKUP(tblOrdenes[[#This Row],[centro_costo]],tblCECO[codigo],tblCECO[linea],"(sin catálogo)"))</f>
        <v/>
      </c>
      <c r="V175" s="3">
        <f>IF(tblOrdenes[[#This Row],[centro_costo]]="","",_xlfn.XLOOKUP(tblOrdenes[[#This Row],[centro_costo]],tblCECO[codigo],tblCECO[area],"(sin catálogo)"))</f>
        <v/>
      </c>
      <c r="W175" s="3">
        <f>IF(tblOrdenes[[#This Row],[centro_costo]]="","",_xlfn.XLOOKUP(tblOrdenes[[#This Row],[centro_costo]],tblCECO[codigo],tblCECO[coordinador],"(sin catálogo)"))</f>
        <v/>
      </c>
      <c r="X175" s="3">
        <f>IF(tblOrdenes[[#This Row],[puesto_trabajo]]="","",_xlfn.XLOOKUP(tblOrdenes[[#This Row],[puesto_trabajo]],tblPuestos[codigo],tblPuestos[especialidad],"(sin catálogo)"))</f>
        <v/>
      </c>
      <c r="Y175" s="3">
        <f>IF(tblOrdenes[[#This Row],[cod_actividad]]="","",_xlfn.XLOOKUP(tblOrdenes[[#This Row],[cod_actividad]],tblActividades[codigo],tblActividades[descripcion],"(sin catálogo)"))</f>
        <v/>
      </c>
      <c r="Z175" s="12">
        <f>IF(tblOrdenes[[#This Row],[fecha_inicio]]="","",TODAY()-tblOrdenes[[#This Row],[fecha_inicio]])</f>
        <v/>
      </c>
      <c r="AA175" s="3">
        <f>IF(tblOrdenes[[#This Row],[backlog_dias]]="","",IF(tblOrdenes[[#This Row],[backlog_dias]]&lt;0,"FUTURO",IF(tblOrdenes[[#This Row],[backlog_dias]]&gt;p_dias_backlog_max,"BACKLOG","MES CORRIENTE")))</f>
        <v/>
      </c>
      <c r="AB175" s="3">
        <f>IF(tblOrdenes[[#This Row],[backlog_dias]]="",FALSE,AND(tblOrdenes[[#This Row],[backlog_dias]]&gt;p_dias_backlog_min,tblOrdenes[[#This Row],[backlog_dias]]&lt;=p_dias_backlog_max))</f>
        <v/>
      </c>
      <c r="AC175" s="6" t="inlineStr"/>
      <c r="AD1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75" s="10">
        <f>IF(tblOrdenes[[#This Row],[orden]]="","",_xlfn.XLOOKUP(tblOrdenes[[#This Row],[id_operacion]],tblEjecucion[id_operacion],tblEjecucion[precio],0))</f>
        <v/>
      </c>
      <c r="AH175" s="10">
        <f>IF(tblOrdenes[[#This Row],[orden]]="","",MAX(0,_xlfn.XLOOKUP(tblOrdenes[[#This Row],[id_operacion]],tblEjecucion[id_operacion],tblEjecucion[costo_plan_total],0)-tblOrdenes[[#This Row],[costo_servicio]]))</f>
        <v/>
      </c>
      <c r="AI175" s="10">
        <f>IF(tblOrdenes[[#This Row],[orden]]="","",tblOrdenes[[#This Row],[costo_servicio]]+tblOrdenes[[#This Row],[costo_materiales]])</f>
        <v/>
      </c>
      <c r="AJ175" s="6" t="inlineStr"/>
      <c r="AK175" s="6" t="inlineStr"/>
      <c r="AL175" s="6" t="inlineStr"/>
      <c r="AM175" s="3">
        <f>IF(tblOrdenes[[#This Row],[link_checklist]]="","",HYPERLINK(p_ruta_base_checklists&amp;tblOrdenes[[#This Row],[link_checklist]],"abrir"))</f>
        <v/>
      </c>
      <c r="AN175" s="6" t="inlineStr"/>
      <c r="AO175" s="3">
        <f>IF(tblOrdenes[[#This Row],[orden]]="","",tblOrdenes[[#This Row],[orden]]&amp;IF(tblOrdenes[[#This Row],[operacion]]="","0010",tblOrdenes[[#This Row],[operacion]]))</f>
        <v/>
      </c>
    </row>
    <row r="176">
      <c r="A176" s="3" t="inlineStr">
        <is>
          <t>OT-000173</t>
        </is>
      </c>
      <c r="B176" s="3" t="inlineStr">
        <is>
          <t>0010</t>
        </is>
      </c>
      <c r="C176" s="3" t="inlineStr">
        <is>
          <t>Reparación de falla — EQ-112</t>
        </is>
      </c>
      <c r="D176" s="3" t="inlineStr">
        <is>
          <t>Reparación de falla en EQ-112</t>
        </is>
      </c>
      <c r="E176" s="3" t="inlineStr">
        <is>
          <t>EQ-112</t>
        </is>
      </c>
      <c r="F176" s="3" t="inlineStr">
        <is>
          <t>CC-320</t>
        </is>
      </c>
      <c r="G176" s="3" t="inlineStr">
        <is>
          <t>PU-OP</t>
        </is>
      </c>
      <c r="H176" s="3" t="inlineStr">
        <is>
          <t>ACT-03</t>
        </is>
      </c>
      <c r="I176" s="3" t="inlineStr">
        <is>
          <t>TIPO-C2</t>
        </is>
      </c>
      <c r="J176" s="11" t="n">
        <v>46106</v>
      </c>
      <c r="K176" s="3" t="n">
        <v>8</v>
      </c>
      <c r="L176" s="10" t="n">
        <v>320</v>
      </c>
      <c r="M176" s="6" t="n"/>
      <c r="N1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76" s="3">
        <f>IF(tblOrdenes[[#This Row],[fecha_inicio]]="","",YEAR(tblOrdenes[[#This Row],[fecha_inicio]]))</f>
        <v/>
      </c>
      <c r="R176" s="3">
        <f>IF(tblOrdenes[[#This Row],[fecha_inicio]]="","",MONTH(tblOrdenes[[#This Row],[fecha_inicio]]))</f>
        <v/>
      </c>
      <c r="S176" s="3">
        <f>IF(tblOrdenes[[#This Row],[fecha_inicio]]="","",INDEX(lista_dias,WEEKDAY(tblOrdenes[[#This Row],[fecha_inicio]],2)))</f>
        <v/>
      </c>
      <c r="T176" s="3">
        <f>IF(tblOrdenes[[#This Row],[tipo_ot]]="","",_xlfn.XLOOKUP(tblOrdenes[[#This Row],[tipo_ot]],tblTiposOT[codigo],tblTiposOT[clasificacion],"sin_clasificar"))</f>
        <v/>
      </c>
      <c r="U176" s="3">
        <f>IF(tblOrdenes[[#This Row],[centro_costo]]="","",_xlfn.XLOOKUP(tblOrdenes[[#This Row],[centro_costo]],tblCECO[codigo],tblCECO[linea],"(sin catálogo)"))</f>
        <v/>
      </c>
      <c r="V176" s="3">
        <f>IF(tblOrdenes[[#This Row],[centro_costo]]="","",_xlfn.XLOOKUP(tblOrdenes[[#This Row],[centro_costo]],tblCECO[codigo],tblCECO[area],"(sin catálogo)"))</f>
        <v/>
      </c>
      <c r="W176" s="3">
        <f>IF(tblOrdenes[[#This Row],[centro_costo]]="","",_xlfn.XLOOKUP(tblOrdenes[[#This Row],[centro_costo]],tblCECO[codigo],tblCECO[coordinador],"(sin catálogo)"))</f>
        <v/>
      </c>
      <c r="X176" s="3">
        <f>IF(tblOrdenes[[#This Row],[puesto_trabajo]]="","",_xlfn.XLOOKUP(tblOrdenes[[#This Row],[puesto_trabajo]],tblPuestos[codigo],tblPuestos[especialidad],"(sin catálogo)"))</f>
        <v/>
      </c>
      <c r="Y176" s="3">
        <f>IF(tblOrdenes[[#This Row],[cod_actividad]]="","",_xlfn.XLOOKUP(tblOrdenes[[#This Row],[cod_actividad]],tblActividades[codigo],tblActividades[descripcion],"(sin catálogo)"))</f>
        <v/>
      </c>
      <c r="Z176" s="12">
        <f>IF(tblOrdenes[[#This Row],[fecha_inicio]]="","",TODAY()-tblOrdenes[[#This Row],[fecha_inicio]])</f>
        <v/>
      </c>
      <c r="AA176" s="3">
        <f>IF(tblOrdenes[[#This Row],[backlog_dias]]="","",IF(tblOrdenes[[#This Row],[backlog_dias]]&lt;0,"FUTURO",IF(tblOrdenes[[#This Row],[backlog_dias]]&gt;p_dias_backlog_max,"BACKLOG","MES CORRIENTE")))</f>
        <v/>
      </c>
      <c r="AB176" s="3">
        <f>IF(tblOrdenes[[#This Row],[backlog_dias]]="",FALSE,AND(tblOrdenes[[#This Row],[backlog_dias]]&gt;p_dias_backlog_min,tblOrdenes[[#This Row],[backlog_dias]]&lt;=p_dias_backlog_max))</f>
        <v/>
      </c>
      <c r="AC176" s="6" t="inlineStr"/>
      <c r="AD1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76" s="10">
        <f>IF(tblOrdenes[[#This Row],[orden]]="","",_xlfn.XLOOKUP(tblOrdenes[[#This Row],[id_operacion]],tblEjecucion[id_operacion],tblEjecucion[precio],0))</f>
        <v/>
      </c>
      <c r="AH176" s="10">
        <f>IF(tblOrdenes[[#This Row],[orden]]="","",MAX(0,_xlfn.XLOOKUP(tblOrdenes[[#This Row],[id_operacion]],tblEjecucion[id_operacion],tblEjecucion[costo_plan_total],0)-tblOrdenes[[#This Row],[costo_servicio]]))</f>
        <v/>
      </c>
      <c r="AI176" s="10">
        <f>IF(tblOrdenes[[#This Row],[orden]]="","",tblOrdenes[[#This Row],[costo_servicio]]+tblOrdenes[[#This Row],[costo_materiales]])</f>
        <v/>
      </c>
      <c r="AJ176" s="6" t="inlineStr"/>
      <c r="AK176" s="6" t="inlineStr"/>
      <c r="AL176" s="6" t="inlineStr"/>
      <c r="AM176" s="3">
        <f>IF(tblOrdenes[[#This Row],[link_checklist]]="","",HYPERLINK(p_ruta_base_checklists&amp;tblOrdenes[[#This Row],[link_checklist]],"abrir"))</f>
        <v/>
      </c>
      <c r="AN176" s="6" t="inlineStr"/>
      <c r="AO176" s="3">
        <f>IF(tblOrdenes[[#This Row],[orden]]="","",tblOrdenes[[#This Row],[orden]]&amp;IF(tblOrdenes[[#This Row],[operacion]]="","0010",tblOrdenes[[#This Row],[operacion]]))</f>
        <v/>
      </c>
    </row>
    <row r="177">
      <c r="A177" s="3" t="inlineStr">
        <is>
          <t>OT-000174</t>
        </is>
      </c>
      <c r="B177" s="3" t="inlineStr">
        <is>
          <t>0010</t>
        </is>
      </c>
      <c r="C177" s="3" t="inlineStr">
        <is>
          <t>Inspección de rutina — EQ-105</t>
        </is>
      </c>
      <c r="D177" s="3" t="inlineStr">
        <is>
          <t>Inspección de rutina en EQ-105</t>
        </is>
      </c>
      <c r="E177" s="3" t="inlineStr">
        <is>
          <t>EQ-105</t>
        </is>
      </c>
      <c r="F177" s="3" t="inlineStr">
        <is>
          <t>CC-110</t>
        </is>
      </c>
      <c r="G177" s="3" t="inlineStr">
        <is>
          <t>PU-MEC</t>
        </is>
      </c>
      <c r="H177" s="3" t="inlineStr">
        <is>
          <t>ACT-01</t>
        </is>
      </c>
      <c r="I177" s="3" t="inlineStr">
        <is>
          <t>TIPO-P1</t>
        </is>
      </c>
      <c r="J177" s="11" t="n">
        <v>46099</v>
      </c>
      <c r="K177" s="3" t="n">
        <v>4</v>
      </c>
      <c r="L177" s="10" t="n">
        <v>100</v>
      </c>
      <c r="M177" s="6" t="n"/>
      <c r="N1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77" s="3">
        <f>IF(tblOrdenes[[#This Row],[fecha_inicio]]="","",YEAR(tblOrdenes[[#This Row],[fecha_inicio]]))</f>
        <v/>
      </c>
      <c r="R177" s="3">
        <f>IF(tblOrdenes[[#This Row],[fecha_inicio]]="","",MONTH(tblOrdenes[[#This Row],[fecha_inicio]]))</f>
        <v/>
      </c>
      <c r="S177" s="3">
        <f>IF(tblOrdenes[[#This Row],[fecha_inicio]]="","",INDEX(lista_dias,WEEKDAY(tblOrdenes[[#This Row],[fecha_inicio]],2)))</f>
        <v/>
      </c>
      <c r="T177" s="3">
        <f>IF(tblOrdenes[[#This Row],[tipo_ot]]="","",_xlfn.XLOOKUP(tblOrdenes[[#This Row],[tipo_ot]],tblTiposOT[codigo],tblTiposOT[clasificacion],"sin_clasificar"))</f>
        <v/>
      </c>
      <c r="U177" s="3">
        <f>IF(tblOrdenes[[#This Row],[centro_costo]]="","",_xlfn.XLOOKUP(tblOrdenes[[#This Row],[centro_costo]],tblCECO[codigo],tblCECO[linea],"(sin catálogo)"))</f>
        <v/>
      </c>
      <c r="V177" s="3">
        <f>IF(tblOrdenes[[#This Row],[centro_costo]]="","",_xlfn.XLOOKUP(tblOrdenes[[#This Row],[centro_costo]],tblCECO[codigo],tblCECO[area],"(sin catálogo)"))</f>
        <v/>
      </c>
      <c r="W177" s="3">
        <f>IF(tblOrdenes[[#This Row],[centro_costo]]="","",_xlfn.XLOOKUP(tblOrdenes[[#This Row],[centro_costo]],tblCECO[codigo],tblCECO[coordinador],"(sin catálogo)"))</f>
        <v/>
      </c>
      <c r="X177" s="3">
        <f>IF(tblOrdenes[[#This Row],[puesto_trabajo]]="","",_xlfn.XLOOKUP(tblOrdenes[[#This Row],[puesto_trabajo]],tblPuestos[codigo],tblPuestos[especialidad],"(sin catálogo)"))</f>
        <v/>
      </c>
      <c r="Y177" s="3">
        <f>IF(tblOrdenes[[#This Row],[cod_actividad]]="","",_xlfn.XLOOKUP(tblOrdenes[[#This Row],[cod_actividad]],tblActividades[codigo],tblActividades[descripcion],"(sin catálogo)"))</f>
        <v/>
      </c>
      <c r="Z177" s="12">
        <f>IF(tblOrdenes[[#This Row],[fecha_inicio]]="","",TODAY()-tblOrdenes[[#This Row],[fecha_inicio]])</f>
        <v/>
      </c>
      <c r="AA177" s="3">
        <f>IF(tblOrdenes[[#This Row],[backlog_dias]]="","",IF(tblOrdenes[[#This Row],[backlog_dias]]&lt;0,"FUTURO",IF(tblOrdenes[[#This Row],[backlog_dias]]&gt;p_dias_backlog_max,"BACKLOG","MES CORRIENTE")))</f>
        <v/>
      </c>
      <c r="AB177" s="3">
        <f>IF(tblOrdenes[[#This Row],[backlog_dias]]="",FALSE,AND(tblOrdenes[[#This Row],[backlog_dias]]&gt;p_dias_backlog_min,tblOrdenes[[#This Row],[backlog_dias]]&lt;=p_dias_backlog_max))</f>
        <v/>
      </c>
      <c r="AC177" s="6" t="inlineStr"/>
      <c r="AD1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77" s="10">
        <f>IF(tblOrdenes[[#This Row],[orden]]="","",_xlfn.XLOOKUP(tblOrdenes[[#This Row],[id_operacion]],tblEjecucion[id_operacion],tblEjecucion[precio],0))</f>
        <v/>
      </c>
      <c r="AH177" s="10">
        <f>IF(tblOrdenes[[#This Row],[orden]]="","",MAX(0,_xlfn.XLOOKUP(tblOrdenes[[#This Row],[id_operacion]],tblEjecucion[id_operacion],tblEjecucion[costo_plan_total],0)-tblOrdenes[[#This Row],[costo_servicio]]))</f>
        <v/>
      </c>
      <c r="AI177" s="10">
        <f>IF(tblOrdenes[[#This Row],[orden]]="","",tblOrdenes[[#This Row],[costo_servicio]]+tblOrdenes[[#This Row],[costo_materiales]])</f>
        <v/>
      </c>
      <c r="AJ177" s="6" t="inlineStr"/>
      <c r="AK177" s="6" t="inlineStr"/>
      <c r="AL177" s="6" t="inlineStr"/>
      <c r="AM177" s="3">
        <f>IF(tblOrdenes[[#This Row],[link_checklist]]="","",HYPERLINK(p_ruta_base_checklists&amp;tblOrdenes[[#This Row],[link_checklist]],"abrir"))</f>
        <v/>
      </c>
      <c r="AN177" s="6" t="inlineStr"/>
      <c r="AO177" s="3">
        <f>IF(tblOrdenes[[#This Row],[orden]]="","",tblOrdenes[[#This Row],[orden]]&amp;IF(tblOrdenes[[#This Row],[operacion]]="","0010",tblOrdenes[[#This Row],[operacion]]))</f>
        <v/>
      </c>
    </row>
    <row r="178">
      <c r="A178" s="3" t="inlineStr">
        <is>
          <t>OT-000175</t>
        </is>
      </c>
      <c r="B178" s="3" t="inlineStr">
        <is>
          <t>0010</t>
        </is>
      </c>
      <c r="C178" s="3" t="inlineStr">
        <is>
          <t>Reparación de falla — EQ-101</t>
        </is>
      </c>
      <c r="D178" s="3" t="inlineStr">
        <is>
          <t>Reparación de falla en EQ-101</t>
        </is>
      </c>
      <c r="E178" s="3" t="inlineStr">
        <is>
          <t>EQ-101</t>
        </is>
      </c>
      <c r="F178" s="3" t="inlineStr">
        <is>
          <t>CC-120</t>
        </is>
      </c>
      <c r="G178" s="3" t="inlineStr">
        <is>
          <t>PU-ELE</t>
        </is>
      </c>
      <c r="H178" s="3" t="inlineStr">
        <is>
          <t>ACT-03</t>
        </is>
      </c>
      <c r="I178" s="3" t="inlineStr">
        <is>
          <t>TIPO-C2</t>
        </is>
      </c>
      <c r="J178" s="11" t="n">
        <v>46092</v>
      </c>
      <c r="K178" s="3" t="n">
        <v>6</v>
      </c>
      <c r="L178" s="10" t="n">
        <v>240</v>
      </c>
      <c r="M178" s="6" t="n"/>
      <c r="N1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78" s="3">
        <f>IF(tblOrdenes[[#This Row],[fecha_inicio]]="","",YEAR(tblOrdenes[[#This Row],[fecha_inicio]]))</f>
        <v/>
      </c>
      <c r="R178" s="3">
        <f>IF(tblOrdenes[[#This Row],[fecha_inicio]]="","",MONTH(tblOrdenes[[#This Row],[fecha_inicio]]))</f>
        <v/>
      </c>
      <c r="S178" s="3">
        <f>IF(tblOrdenes[[#This Row],[fecha_inicio]]="","",INDEX(lista_dias,WEEKDAY(tblOrdenes[[#This Row],[fecha_inicio]],2)))</f>
        <v/>
      </c>
      <c r="T178" s="3">
        <f>IF(tblOrdenes[[#This Row],[tipo_ot]]="","",_xlfn.XLOOKUP(tblOrdenes[[#This Row],[tipo_ot]],tblTiposOT[codigo],tblTiposOT[clasificacion],"sin_clasificar"))</f>
        <v/>
      </c>
      <c r="U178" s="3">
        <f>IF(tblOrdenes[[#This Row],[centro_costo]]="","",_xlfn.XLOOKUP(tblOrdenes[[#This Row],[centro_costo]],tblCECO[codigo],tblCECO[linea],"(sin catálogo)"))</f>
        <v/>
      </c>
      <c r="V178" s="3">
        <f>IF(tblOrdenes[[#This Row],[centro_costo]]="","",_xlfn.XLOOKUP(tblOrdenes[[#This Row],[centro_costo]],tblCECO[codigo],tblCECO[area],"(sin catálogo)"))</f>
        <v/>
      </c>
      <c r="W178" s="3">
        <f>IF(tblOrdenes[[#This Row],[centro_costo]]="","",_xlfn.XLOOKUP(tblOrdenes[[#This Row],[centro_costo]],tblCECO[codigo],tblCECO[coordinador],"(sin catálogo)"))</f>
        <v/>
      </c>
      <c r="X178" s="3">
        <f>IF(tblOrdenes[[#This Row],[puesto_trabajo]]="","",_xlfn.XLOOKUP(tblOrdenes[[#This Row],[puesto_trabajo]],tblPuestos[codigo],tblPuestos[especialidad],"(sin catálogo)"))</f>
        <v/>
      </c>
      <c r="Y178" s="3">
        <f>IF(tblOrdenes[[#This Row],[cod_actividad]]="","",_xlfn.XLOOKUP(tblOrdenes[[#This Row],[cod_actividad]],tblActividades[codigo],tblActividades[descripcion],"(sin catálogo)"))</f>
        <v/>
      </c>
      <c r="Z178" s="12">
        <f>IF(tblOrdenes[[#This Row],[fecha_inicio]]="","",TODAY()-tblOrdenes[[#This Row],[fecha_inicio]])</f>
        <v/>
      </c>
      <c r="AA178" s="3">
        <f>IF(tblOrdenes[[#This Row],[backlog_dias]]="","",IF(tblOrdenes[[#This Row],[backlog_dias]]&lt;0,"FUTURO",IF(tblOrdenes[[#This Row],[backlog_dias]]&gt;p_dias_backlog_max,"BACKLOG","MES CORRIENTE")))</f>
        <v/>
      </c>
      <c r="AB178" s="3">
        <f>IF(tblOrdenes[[#This Row],[backlog_dias]]="",FALSE,AND(tblOrdenes[[#This Row],[backlog_dias]]&gt;p_dias_backlog_min,tblOrdenes[[#This Row],[backlog_dias]]&lt;=p_dias_backlog_max))</f>
        <v/>
      </c>
      <c r="AC178" s="6" t="inlineStr"/>
      <c r="AD1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78" s="10">
        <f>IF(tblOrdenes[[#This Row],[orden]]="","",_xlfn.XLOOKUP(tblOrdenes[[#This Row],[id_operacion]],tblEjecucion[id_operacion],tblEjecucion[precio],0))</f>
        <v/>
      </c>
      <c r="AH178" s="10">
        <f>IF(tblOrdenes[[#This Row],[orden]]="","",MAX(0,_xlfn.XLOOKUP(tblOrdenes[[#This Row],[id_operacion]],tblEjecucion[id_operacion],tblEjecucion[costo_plan_total],0)-tblOrdenes[[#This Row],[costo_servicio]]))</f>
        <v/>
      </c>
      <c r="AI178" s="10">
        <f>IF(tblOrdenes[[#This Row],[orden]]="","",tblOrdenes[[#This Row],[costo_servicio]]+tblOrdenes[[#This Row],[costo_materiales]])</f>
        <v/>
      </c>
      <c r="AJ178" s="6" t="inlineStr"/>
      <c r="AK178" s="6" t="inlineStr"/>
      <c r="AL178" s="6" t="inlineStr"/>
      <c r="AM178" s="3">
        <f>IF(tblOrdenes[[#This Row],[link_checklist]]="","",HYPERLINK(p_ruta_base_checklists&amp;tblOrdenes[[#This Row],[link_checklist]],"abrir"))</f>
        <v/>
      </c>
      <c r="AN178" s="6" t="inlineStr"/>
      <c r="AO178" s="3">
        <f>IF(tblOrdenes[[#This Row],[orden]]="","",tblOrdenes[[#This Row],[orden]]&amp;IF(tblOrdenes[[#This Row],[operacion]]="","0010",tblOrdenes[[#This Row],[operacion]]))</f>
        <v/>
      </c>
    </row>
    <row r="179">
      <c r="A179" s="3" t="inlineStr">
        <is>
          <t>OT-000176</t>
        </is>
      </c>
      <c r="B179" s="3" t="inlineStr">
        <is>
          <t>0010</t>
        </is>
      </c>
      <c r="C179" s="3" t="inlineStr">
        <is>
          <t>Análisis predictivo — EQ-106</t>
        </is>
      </c>
      <c r="D179" s="3" t="inlineStr">
        <is>
          <t>Análisis predictivo en EQ-106</t>
        </is>
      </c>
      <c r="E179" s="3" t="inlineStr">
        <is>
          <t>EQ-106</t>
        </is>
      </c>
      <c r="F179" s="3" t="inlineStr">
        <is>
          <t>CC-210</t>
        </is>
      </c>
      <c r="G179" s="3" t="inlineStr">
        <is>
          <t>PU-AUT</t>
        </is>
      </c>
      <c r="H179" s="3" t="inlineStr">
        <is>
          <t>ACT-04</t>
        </is>
      </c>
      <c r="I179" s="3" t="inlineStr">
        <is>
          <t>TIPO-P1</t>
        </is>
      </c>
      <c r="J179" s="11" t="n">
        <v>46085</v>
      </c>
      <c r="K179" s="3" t="n">
        <v>8</v>
      </c>
      <c r="L179" s="10" t="n">
        <v>200</v>
      </c>
      <c r="M179" s="6" t="n"/>
      <c r="N1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79" s="3">
        <f>IF(tblOrdenes[[#This Row],[fecha_inicio]]="","",YEAR(tblOrdenes[[#This Row],[fecha_inicio]]))</f>
        <v/>
      </c>
      <c r="R179" s="3">
        <f>IF(tblOrdenes[[#This Row],[fecha_inicio]]="","",MONTH(tblOrdenes[[#This Row],[fecha_inicio]]))</f>
        <v/>
      </c>
      <c r="S179" s="3">
        <f>IF(tblOrdenes[[#This Row],[fecha_inicio]]="","",INDEX(lista_dias,WEEKDAY(tblOrdenes[[#This Row],[fecha_inicio]],2)))</f>
        <v/>
      </c>
      <c r="T179" s="3">
        <f>IF(tblOrdenes[[#This Row],[tipo_ot]]="","",_xlfn.XLOOKUP(tblOrdenes[[#This Row],[tipo_ot]],tblTiposOT[codigo],tblTiposOT[clasificacion],"sin_clasificar"))</f>
        <v/>
      </c>
      <c r="U179" s="3">
        <f>IF(tblOrdenes[[#This Row],[centro_costo]]="","",_xlfn.XLOOKUP(tblOrdenes[[#This Row],[centro_costo]],tblCECO[codigo],tblCECO[linea],"(sin catálogo)"))</f>
        <v/>
      </c>
      <c r="V179" s="3">
        <f>IF(tblOrdenes[[#This Row],[centro_costo]]="","",_xlfn.XLOOKUP(tblOrdenes[[#This Row],[centro_costo]],tblCECO[codigo],tblCECO[area],"(sin catálogo)"))</f>
        <v/>
      </c>
      <c r="W179" s="3">
        <f>IF(tblOrdenes[[#This Row],[centro_costo]]="","",_xlfn.XLOOKUP(tblOrdenes[[#This Row],[centro_costo]],tblCECO[codigo],tblCECO[coordinador],"(sin catálogo)"))</f>
        <v/>
      </c>
      <c r="X179" s="3">
        <f>IF(tblOrdenes[[#This Row],[puesto_trabajo]]="","",_xlfn.XLOOKUP(tblOrdenes[[#This Row],[puesto_trabajo]],tblPuestos[codigo],tblPuestos[especialidad],"(sin catálogo)"))</f>
        <v/>
      </c>
      <c r="Y179" s="3">
        <f>IF(tblOrdenes[[#This Row],[cod_actividad]]="","",_xlfn.XLOOKUP(tblOrdenes[[#This Row],[cod_actividad]],tblActividades[codigo],tblActividades[descripcion],"(sin catálogo)"))</f>
        <v/>
      </c>
      <c r="Z179" s="12">
        <f>IF(tblOrdenes[[#This Row],[fecha_inicio]]="","",TODAY()-tblOrdenes[[#This Row],[fecha_inicio]])</f>
        <v/>
      </c>
      <c r="AA179" s="3">
        <f>IF(tblOrdenes[[#This Row],[backlog_dias]]="","",IF(tblOrdenes[[#This Row],[backlog_dias]]&lt;0,"FUTURO",IF(tblOrdenes[[#This Row],[backlog_dias]]&gt;p_dias_backlog_max,"BACKLOG","MES CORRIENTE")))</f>
        <v/>
      </c>
      <c r="AB179" s="3">
        <f>IF(tblOrdenes[[#This Row],[backlog_dias]]="",FALSE,AND(tblOrdenes[[#This Row],[backlog_dias]]&gt;p_dias_backlog_min,tblOrdenes[[#This Row],[backlog_dias]]&lt;=p_dias_backlog_max))</f>
        <v/>
      </c>
      <c r="AC179" s="6" t="inlineStr"/>
      <c r="AD1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79" s="10">
        <f>IF(tblOrdenes[[#This Row],[orden]]="","",_xlfn.XLOOKUP(tblOrdenes[[#This Row],[id_operacion]],tblEjecucion[id_operacion],tblEjecucion[precio],0))</f>
        <v/>
      </c>
      <c r="AH179" s="10">
        <f>IF(tblOrdenes[[#This Row],[orden]]="","",MAX(0,_xlfn.XLOOKUP(tblOrdenes[[#This Row],[id_operacion]],tblEjecucion[id_operacion],tblEjecucion[costo_plan_total],0)-tblOrdenes[[#This Row],[costo_servicio]]))</f>
        <v/>
      </c>
      <c r="AI179" s="10">
        <f>IF(tblOrdenes[[#This Row],[orden]]="","",tblOrdenes[[#This Row],[costo_servicio]]+tblOrdenes[[#This Row],[costo_materiales]])</f>
        <v/>
      </c>
      <c r="AJ179" s="6" t="inlineStr"/>
      <c r="AK179" s="6" t="inlineStr"/>
      <c r="AL179" s="6" t="inlineStr"/>
      <c r="AM179" s="3">
        <f>IF(tblOrdenes[[#This Row],[link_checklist]]="","",HYPERLINK(p_ruta_base_checklists&amp;tblOrdenes[[#This Row],[link_checklist]],"abrir"))</f>
        <v/>
      </c>
      <c r="AN179" s="6" t="inlineStr"/>
      <c r="AO179" s="3">
        <f>IF(tblOrdenes[[#This Row],[orden]]="","",tblOrdenes[[#This Row],[orden]]&amp;IF(tblOrdenes[[#This Row],[operacion]]="","0010",tblOrdenes[[#This Row],[operacion]]))</f>
        <v/>
      </c>
    </row>
    <row r="180">
      <c r="A180" s="3" t="inlineStr">
        <is>
          <t>OT-000177</t>
        </is>
      </c>
      <c r="B180" s="3" t="inlineStr">
        <is>
          <t>0010</t>
        </is>
      </c>
      <c r="C180" s="3" t="inlineStr">
        <is>
          <t>Inspección de rutina — EQ-103</t>
        </is>
      </c>
      <c r="D180" s="3" t="inlineStr">
        <is>
          <t>Inspección de rutina en EQ-103</t>
        </is>
      </c>
      <c r="E180" s="3" t="inlineStr">
        <is>
          <t>EQ-103</t>
        </is>
      </c>
      <c r="F180" s="3" t="inlineStr">
        <is>
          <t>CC-110</t>
        </is>
      </c>
      <c r="G180" s="3" t="inlineStr">
        <is>
          <t>PU-MEC</t>
        </is>
      </c>
      <c r="H180" s="3" t="inlineStr">
        <is>
          <t>ACT-01</t>
        </is>
      </c>
      <c r="I180" s="3" t="inlineStr">
        <is>
          <t>TIPO-P2</t>
        </is>
      </c>
      <c r="J180" s="11" t="n">
        <v>46263</v>
      </c>
      <c r="K180" s="3" t="n">
        <v>6</v>
      </c>
      <c r="L180" s="10" t="n">
        <v>150</v>
      </c>
      <c r="M180" s="6" t="n"/>
      <c r="N1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80" s="3">
        <f>IF(tblOrdenes[[#This Row],[fecha_inicio]]="","",YEAR(tblOrdenes[[#This Row],[fecha_inicio]]))</f>
        <v/>
      </c>
      <c r="R180" s="3">
        <f>IF(tblOrdenes[[#This Row],[fecha_inicio]]="","",MONTH(tblOrdenes[[#This Row],[fecha_inicio]]))</f>
        <v/>
      </c>
      <c r="S180" s="3">
        <f>IF(tblOrdenes[[#This Row],[fecha_inicio]]="","",INDEX(lista_dias,WEEKDAY(tblOrdenes[[#This Row],[fecha_inicio]],2)))</f>
        <v/>
      </c>
      <c r="T180" s="3">
        <f>IF(tblOrdenes[[#This Row],[tipo_ot]]="","",_xlfn.XLOOKUP(tblOrdenes[[#This Row],[tipo_ot]],tblTiposOT[codigo],tblTiposOT[clasificacion],"sin_clasificar"))</f>
        <v/>
      </c>
      <c r="U180" s="3">
        <f>IF(tblOrdenes[[#This Row],[centro_costo]]="","",_xlfn.XLOOKUP(tblOrdenes[[#This Row],[centro_costo]],tblCECO[codigo],tblCECO[linea],"(sin catálogo)"))</f>
        <v/>
      </c>
      <c r="V180" s="3">
        <f>IF(tblOrdenes[[#This Row],[centro_costo]]="","",_xlfn.XLOOKUP(tblOrdenes[[#This Row],[centro_costo]],tblCECO[codigo],tblCECO[area],"(sin catálogo)"))</f>
        <v/>
      </c>
      <c r="W180" s="3">
        <f>IF(tblOrdenes[[#This Row],[centro_costo]]="","",_xlfn.XLOOKUP(tblOrdenes[[#This Row],[centro_costo]],tblCECO[codigo],tblCECO[coordinador],"(sin catálogo)"))</f>
        <v/>
      </c>
      <c r="X180" s="3">
        <f>IF(tblOrdenes[[#This Row],[puesto_trabajo]]="","",_xlfn.XLOOKUP(tblOrdenes[[#This Row],[puesto_trabajo]],tblPuestos[codigo],tblPuestos[especialidad],"(sin catálogo)"))</f>
        <v/>
      </c>
      <c r="Y180" s="3">
        <f>IF(tblOrdenes[[#This Row],[cod_actividad]]="","",_xlfn.XLOOKUP(tblOrdenes[[#This Row],[cod_actividad]],tblActividades[codigo],tblActividades[descripcion],"(sin catálogo)"))</f>
        <v/>
      </c>
      <c r="Z180" s="12">
        <f>IF(tblOrdenes[[#This Row],[fecha_inicio]]="","",TODAY()-tblOrdenes[[#This Row],[fecha_inicio]])</f>
        <v/>
      </c>
      <c r="AA180" s="3">
        <f>IF(tblOrdenes[[#This Row],[backlog_dias]]="","",IF(tblOrdenes[[#This Row],[backlog_dias]]&lt;0,"FUTURO",IF(tblOrdenes[[#This Row],[backlog_dias]]&gt;p_dias_backlog_max,"BACKLOG","MES CORRIENTE")))</f>
        <v/>
      </c>
      <c r="AB180" s="3">
        <f>IF(tblOrdenes[[#This Row],[backlog_dias]]="",FALSE,AND(tblOrdenes[[#This Row],[backlog_dias]]&gt;p_dias_backlog_min,tblOrdenes[[#This Row],[backlog_dias]]&lt;=p_dias_backlog_max))</f>
        <v/>
      </c>
      <c r="AC180" s="6" t="inlineStr"/>
      <c r="AD1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80" s="10">
        <f>IF(tblOrdenes[[#This Row],[orden]]="","",_xlfn.XLOOKUP(tblOrdenes[[#This Row],[id_operacion]],tblEjecucion[id_operacion],tblEjecucion[precio],0))</f>
        <v/>
      </c>
      <c r="AH180" s="10">
        <f>IF(tblOrdenes[[#This Row],[orden]]="","",MAX(0,_xlfn.XLOOKUP(tblOrdenes[[#This Row],[id_operacion]],tblEjecucion[id_operacion],tblEjecucion[costo_plan_total],0)-tblOrdenes[[#This Row],[costo_servicio]]))</f>
        <v/>
      </c>
      <c r="AI180" s="10">
        <f>IF(tblOrdenes[[#This Row],[orden]]="","",tblOrdenes[[#This Row],[costo_servicio]]+tblOrdenes[[#This Row],[costo_materiales]])</f>
        <v/>
      </c>
      <c r="AJ180" s="6" t="inlineStr"/>
      <c r="AK180" s="6" t="inlineStr"/>
      <c r="AL180" s="6" t="inlineStr"/>
      <c r="AM180" s="3">
        <f>IF(tblOrdenes[[#This Row],[link_checklist]]="","",HYPERLINK(p_ruta_base_checklists&amp;tblOrdenes[[#This Row],[link_checklist]],"abrir"))</f>
        <v/>
      </c>
      <c r="AN180" s="6" t="inlineStr"/>
      <c r="AO180" s="3">
        <f>IF(tblOrdenes[[#This Row],[orden]]="","",tblOrdenes[[#This Row],[orden]]&amp;IF(tblOrdenes[[#This Row],[operacion]]="","0010",tblOrdenes[[#This Row],[operacion]]))</f>
        <v/>
      </c>
    </row>
    <row r="181">
      <c r="A181" s="3" t="inlineStr">
        <is>
          <t>OT-000178</t>
        </is>
      </c>
      <c r="B181" s="3" t="inlineStr">
        <is>
          <t>0010</t>
        </is>
      </c>
      <c r="C181" s="3" t="inlineStr">
        <is>
          <t>Lubricación programada — EQ-104</t>
        </is>
      </c>
      <c r="D181" s="3" t="inlineStr">
        <is>
          <t>Lubricación programada en EQ-104</t>
        </is>
      </c>
      <c r="E181" s="3" t="inlineStr">
        <is>
          <t>EQ-104</t>
        </is>
      </c>
      <c r="F181" s="3" t="inlineStr">
        <is>
          <t>CC-110</t>
        </is>
      </c>
      <c r="G181" s="3" t="inlineStr">
        <is>
          <t>PU-MEC</t>
        </is>
      </c>
      <c r="H181" s="3" t="inlineStr">
        <is>
          <t>ACT-02</t>
        </is>
      </c>
      <c r="I181" s="3" t="inlineStr">
        <is>
          <t>TIPO-P1</t>
        </is>
      </c>
      <c r="J181" s="11" t="n">
        <v>46263</v>
      </c>
      <c r="K181" s="3" t="n">
        <v>6</v>
      </c>
      <c r="L181" s="10" t="n">
        <v>150</v>
      </c>
      <c r="M181" s="6" t="n"/>
      <c r="N1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81" s="3">
        <f>IF(tblOrdenes[[#This Row],[fecha_inicio]]="","",YEAR(tblOrdenes[[#This Row],[fecha_inicio]]))</f>
        <v/>
      </c>
      <c r="R181" s="3">
        <f>IF(tblOrdenes[[#This Row],[fecha_inicio]]="","",MONTH(tblOrdenes[[#This Row],[fecha_inicio]]))</f>
        <v/>
      </c>
      <c r="S181" s="3">
        <f>IF(tblOrdenes[[#This Row],[fecha_inicio]]="","",INDEX(lista_dias,WEEKDAY(tblOrdenes[[#This Row],[fecha_inicio]],2)))</f>
        <v/>
      </c>
      <c r="T181" s="3">
        <f>IF(tblOrdenes[[#This Row],[tipo_ot]]="","",_xlfn.XLOOKUP(tblOrdenes[[#This Row],[tipo_ot]],tblTiposOT[codigo],tblTiposOT[clasificacion],"sin_clasificar"))</f>
        <v/>
      </c>
      <c r="U181" s="3">
        <f>IF(tblOrdenes[[#This Row],[centro_costo]]="","",_xlfn.XLOOKUP(tblOrdenes[[#This Row],[centro_costo]],tblCECO[codigo],tblCECO[linea],"(sin catálogo)"))</f>
        <v/>
      </c>
      <c r="V181" s="3">
        <f>IF(tblOrdenes[[#This Row],[centro_costo]]="","",_xlfn.XLOOKUP(tblOrdenes[[#This Row],[centro_costo]],tblCECO[codigo],tblCECO[area],"(sin catálogo)"))</f>
        <v/>
      </c>
      <c r="W181" s="3">
        <f>IF(tblOrdenes[[#This Row],[centro_costo]]="","",_xlfn.XLOOKUP(tblOrdenes[[#This Row],[centro_costo]],tblCECO[codigo],tblCECO[coordinador],"(sin catálogo)"))</f>
        <v/>
      </c>
      <c r="X181" s="3">
        <f>IF(tblOrdenes[[#This Row],[puesto_trabajo]]="","",_xlfn.XLOOKUP(tblOrdenes[[#This Row],[puesto_trabajo]],tblPuestos[codigo],tblPuestos[especialidad],"(sin catálogo)"))</f>
        <v/>
      </c>
      <c r="Y181" s="3">
        <f>IF(tblOrdenes[[#This Row],[cod_actividad]]="","",_xlfn.XLOOKUP(tblOrdenes[[#This Row],[cod_actividad]],tblActividades[codigo],tblActividades[descripcion],"(sin catálogo)"))</f>
        <v/>
      </c>
      <c r="Z181" s="12">
        <f>IF(tblOrdenes[[#This Row],[fecha_inicio]]="","",TODAY()-tblOrdenes[[#This Row],[fecha_inicio]])</f>
        <v/>
      </c>
      <c r="AA181" s="3">
        <f>IF(tblOrdenes[[#This Row],[backlog_dias]]="","",IF(tblOrdenes[[#This Row],[backlog_dias]]&lt;0,"FUTURO",IF(tblOrdenes[[#This Row],[backlog_dias]]&gt;p_dias_backlog_max,"BACKLOG","MES CORRIENTE")))</f>
        <v/>
      </c>
      <c r="AB181" s="3">
        <f>IF(tblOrdenes[[#This Row],[backlog_dias]]="",FALSE,AND(tblOrdenes[[#This Row],[backlog_dias]]&gt;p_dias_backlog_min,tblOrdenes[[#This Row],[backlog_dias]]&lt;=p_dias_backlog_max))</f>
        <v/>
      </c>
      <c r="AC181" s="6" t="inlineStr"/>
      <c r="AD1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81" s="10">
        <f>IF(tblOrdenes[[#This Row],[orden]]="","",_xlfn.XLOOKUP(tblOrdenes[[#This Row],[id_operacion]],tblEjecucion[id_operacion],tblEjecucion[precio],0))</f>
        <v/>
      </c>
      <c r="AH181" s="10">
        <f>IF(tblOrdenes[[#This Row],[orden]]="","",MAX(0,_xlfn.XLOOKUP(tblOrdenes[[#This Row],[id_operacion]],tblEjecucion[id_operacion],tblEjecucion[costo_plan_total],0)-tblOrdenes[[#This Row],[costo_servicio]]))</f>
        <v/>
      </c>
      <c r="AI181" s="10">
        <f>IF(tblOrdenes[[#This Row],[orden]]="","",tblOrdenes[[#This Row],[costo_servicio]]+tblOrdenes[[#This Row],[costo_materiales]])</f>
        <v/>
      </c>
      <c r="AJ181" s="6" t="inlineStr"/>
      <c r="AK181" s="6" t="inlineStr"/>
      <c r="AL181" s="6" t="inlineStr"/>
      <c r="AM181" s="3">
        <f>IF(tblOrdenes[[#This Row],[link_checklist]]="","",HYPERLINK(p_ruta_base_checklists&amp;tblOrdenes[[#This Row],[link_checklist]],"abrir"))</f>
        <v/>
      </c>
      <c r="AN181" s="6" t="inlineStr"/>
      <c r="AO181" s="3">
        <f>IF(tblOrdenes[[#This Row],[orden]]="","",tblOrdenes[[#This Row],[orden]]&amp;IF(tblOrdenes[[#This Row],[operacion]]="","0010",tblOrdenes[[#This Row],[operacion]]))</f>
        <v/>
      </c>
    </row>
    <row r="182">
      <c r="A182" s="3" t="inlineStr">
        <is>
          <t>OT-000179</t>
        </is>
      </c>
      <c r="B182" s="3" t="inlineStr">
        <is>
          <t>0010</t>
        </is>
      </c>
      <c r="C182" s="3" t="inlineStr">
        <is>
          <t>Análisis predictivo — EQ-105</t>
        </is>
      </c>
      <c r="D182" s="3" t="inlineStr">
        <is>
          <t>Análisis predictivo en EQ-105</t>
        </is>
      </c>
      <c r="E182" s="3" t="inlineStr">
        <is>
          <t>EQ-105</t>
        </is>
      </c>
      <c r="F182" s="3" t="inlineStr">
        <is>
          <t>CC-110</t>
        </is>
      </c>
      <c r="G182" s="3" t="inlineStr">
        <is>
          <t>PU-MEC</t>
        </is>
      </c>
      <c r="H182" s="3" t="inlineStr">
        <is>
          <t>ACT-04</t>
        </is>
      </c>
      <c r="I182" s="3" t="inlineStr">
        <is>
          <t>TIPO-P2</t>
        </is>
      </c>
      <c r="J182" s="11" t="n">
        <v>46263</v>
      </c>
      <c r="K182" s="3" t="n">
        <v>6</v>
      </c>
      <c r="L182" s="10" t="n">
        <v>150</v>
      </c>
      <c r="M182" s="6" t="n"/>
      <c r="N1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82" s="3">
        <f>IF(tblOrdenes[[#This Row],[fecha_inicio]]="","",YEAR(tblOrdenes[[#This Row],[fecha_inicio]]))</f>
        <v/>
      </c>
      <c r="R182" s="3">
        <f>IF(tblOrdenes[[#This Row],[fecha_inicio]]="","",MONTH(tblOrdenes[[#This Row],[fecha_inicio]]))</f>
        <v/>
      </c>
      <c r="S182" s="3">
        <f>IF(tblOrdenes[[#This Row],[fecha_inicio]]="","",INDEX(lista_dias,WEEKDAY(tblOrdenes[[#This Row],[fecha_inicio]],2)))</f>
        <v/>
      </c>
      <c r="T182" s="3">
        <f>IF(tblOrdenes[[#This Row],[tipo_ot]]="","",_xlfn.XLOOKUP(tblOrdenes[[#This Row],[tipo_ot]],tblTiposOT[codigo],tblTiposOT[clasificacion],"sin_clasificar"))</f>
        <v/>
      </c>
      <c r="U182" s="3">
        <f>IF(tblOrdenes[[#This Row],[centro_costo]]="","",_xlfn.XLOOKUP(tblOrdenes[[#This Row],[centro_costo]],tblCECO[codigo],tblCECO[linea],"(sin catálogo)"))</f>
        <v/>
      </c>
      <c r="V182" s="3">
        <f>IF(tblOrdenes[[#This Row],[centro_costo]]="","",_xlfn.XLOOKUP(tblOrdenes[[#This Row],[centro_costo]],tblCECO[codigo],tblCECO[area],"(sin catálogo)"))</f>
        <v/>
      </c>
      <c r="W182" s="3">
        <f>IF(tblOrdenes[[#This Row],[centro_costo]]="","",_xlfn.XLOOKUP(tblOrdenes[[#This Row],[centro_costo]],tblCECO[codigo],tblCECO[coordinador],"(sin catálogo)"))</f>
        <v/>
      </c>
      <c r="X182" s="3">
        <f>IF(tblOrdenes[[#This Row],[puesto_trabajo]]="","",_xlfn.XLOOKUP(tblOrdenes[[#This Row],[puesto_trabajo]],tblPuestos[codigo],tblPuestos[especialidad],"(sin catálogo)"))</f>
        <v/>
      </c>
      <c r="Y182" s="3">
        <f>IF(tblOrdenes[[#This Row],[cod_actividad]]="","",_xlfn.XLOOKUP(tblOrdenes[[#This Row],[cod_actividad]],tblActividades[codigo],tblActividades[descripcion],"(sin catálogo)"))</f>
        <v/>
      </c>
      <c r="Z182" s="12">
        <f>IF(tblOrdenes[[#This Row],[fecha_inicio]]="","",TODAY()-tblOrdenes[[#This Row],[fecha_inicio]])</f>
        <v/>
      </c>
      <c r="AA182" s="3">
        <f>IF(tblOrdenes[[#This Row],[backlog_dias]]="","",IF(tblOrdenes[[#This Row],[backlog_dias]]&lt;0,"FUTURO",IF(tblOrdenes[[#This Row],[backlog_dias]]&gt;p_dias_backlog_max,"BACKLOG","MES CORRIENTE")))</f>
        <v/>
      </c>
      <c r="AB182" s="3">
        <f>IF(tblOrdenes[[#This Row],[backlog_dias]]="",FALSE,AND(tblOrdenes[[#This Row],[backlog_dias]]&gt;p_dias_backlog_min,tblOrdenes[[#This Row],[backlog_dias]]&lt;=p_dias_backlog_max))</f>
        <v/>
      </c>
      <c r="AC182" s="6" t="inlineStr"/>
      <c r="AD1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82" s="10">
        <f>IF(tblOrdenes[[#This Row],[orden]]="","",_xlfn.XLOOKUP(tblOrdenes[[#This Row],[id_operacion]],tblEjecucion[id_operacion],tblEjecucion[precio],0))</f>
        <v/>
      </c>
      <c r="AH182" s="10">
        <f>IF(tblOrdenes[[#This Row],[orden]]="","",MAX(0,_xlfn.XLOOKUP(tblOrdenes[[#This Row],[id_operacion]],tblEjecucion[id_operacion],tblEjecucion[costo_plan_total],0)-tblOrdenes[[#This Row],[costo_servicio]]))</f>
        <v/>
      </c>
      <c r="AI182" s="10">
        <f>IF(tblOrdenes[[#This Row],[orden]]="","",tblOrdenes[[#This Row],[costo_servicio]]+tblOrdenes[[#This Row],[costo_materiales]])</f>
        <v/>
      </c>
      <c r="AJ182" s="6" t="inlineStr"/>
      <c r="AK182" s="6" t="inlineStr"/>
      <c r="AL182" s="6" t="inlineStr"/>
      <c r="AM182" s="3">
        <f>IF(tblOrdenes[[#This Row],[link_checklist]]="","",HYPERLINK(p_ruta_base_checklists&amp;tblOrdenes[[#This Row],[link_checklist]],"abrir"))</f>
        <v/>
      </c>
      <c r="AN182" s="6" t="inlineStr"/>
      <c r="AO182" s="3">
        <f>IF(tblOrdenes[[#This Row],[orden]]="","",tblOrdenes[[#This Row],[orden]]&amp;IF(tblOrdenes[[#This Row],[operacion]]="","0010",tblOrdenes[[#This Row],[operacion]]))</f>
        <v/>
      </c>
    </row>
    <row r="183">
      <c r="A183" s="3" t="inlineStr">
        <is>
          <t>OT-000180</t>
        </is>
      </c>
      <c r="B183" s="3" t="inlineStr">
        <is>
          <t>0010</t>
        </is>
      </c>
      <c r="C183" s="3" t="inlineStr">
        <is>
          <t>Inspección de rutina — EQ-101</t>
        </is>
      </c>
      <c r="D183" s="3" t="inlineStr">
        <is>
          <t>Inspección de rutina en EQ-101</t>
        </is>
      </c>
      <c r="E183" s="3" t="inlineStr">
        <is>
          <t>EQ-101</t>
        </is>
      </c>
      <c r="F183" s="3" t="inlineStr">
        <is>
          <t>CC-110</t>
        </is>
      </c>
      <c r="G183" s="3" t="inlineStr">
        <is>
          <t>PU-ELE</t>
        </is>
      </c>
      <c r="H183" s="3" t="inlineStr">
        <is>
          <t>ACT-01</t>
        </is>
      </c>
      <c r="I183" s="3" t="inlineStr">
        <is>
          <t>TIPO-P1</t>
        </is>
      </c>
      <c r="J183" s="11" t="n">
        <v>46323</v>
      </c>
      <c r="K183" s="3" t="n">
        <v>6</v>
      </c>
      <c r="L183" s="10" t="n">
        <v>150</v>
      </c>
      <c r="M183" s="6" t="n"/>
      <c r="N1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83" s="3">
        <f>IF(tblOrdenes[[#This Row],[fecha_inicio]]="","",YEAR(tblOrdenes[[#This Row],[fecha_inicio]]))</f>
        <v/>
      </c>
      <c r="R183" s="3">
        <f>IF(tblOrdenes[[#This Row],[fecha_inicio]]="","",MONTH(tblOrdenes[[#This Row],[fecha_inicio]]))</f>
        <v/>
      </c>
      <c r="S183" s="3">
        <f>IF(tblOrdenes[[#This Row],[fecha_inicio]]="","",INDEX(lista_dias,WEEKDAY(tblOrdenes[[#This Row],[fecha_inicio]],2)))</f>
        <v/>
      </c>
      <c r="T183" s="3">
        <f>IF(tblOrdenes[[#This Row],[tipo_ot]]="","",_xlfn.XLOOKUP(tblOrdenes[[#This Row],[tipo_ot]],tblTiposOT[codigo],tblTiposOT[clasificacion],"sin_clasificar"))</f>
        <v/>
      </c>
      <c r="U183" s="3">
        <f>IF(tblOrdenes[[#This Row],[centro_costo]]="","",_xlfn.XLOOKUP(tblOrdenes[[#This Row],[centro_costo]],tblCECO[codigo],tblCECO[linea],"(sin catálogo)"))</f>
        <v/>
      </c>
      <c r="V183" s="3">
        <f>IF(tblOrdenes[[#This Row],[centro_costo]]="","",_xlfn.XLOOKUP(tblOrdenes[[#This Row],[centro_costo]],tblCECO[codigo],tblCECO[area],"(sin catálogo)"))</f>
        <v/>
      </c>
      <c r="W183" s="3">
        <f>IF(tblOrdenes[[#This Row],[centro_costo]]="","",_xlfn.XLOOKUP(tblOrdenes[[#This Row],[centro_costo]],tblCECO[codigo],tblCECO[coordinador],"(sin catálogo)"))</f>
        <v/>
      </c>
      <c r="X183" s="3">
        <f>IF(tblOrdenes[[#This Row],[puesto_trabajo]]="","",_xlfn.XLOOKUP(tblOrdenes[[#This Row],[puesto_trabajo]],tblPuestos[codigo],tblPuestos[especialidad],"(sin catálogo)"))</f>
        <v/>
      </c>
      <c r="Y183" s="3">
        <f>IF(tblOrdenes[[#This Row],[cod_actividad]]="","",_xlfn.XLOOKUP(tblOrdenes[[#This Row],[cod_actividad]],tblActividades[codigo],tblActividades[descripcion],"(sin catálogo)"))</f>
        <v/>
      </c>
      <c r="Z183" s="12">
        <f>IF(tblOrdenes[[#This Row],[fecha_inicio]]="","",TODAY()-tblOrdenes[[#This Row],[fecha_inicio]])</f>
        <v/>
      </c>
      <c r="AA183" s="3">
        <f>IF(tblOrdenes[[#This Row],[backlog_dias]]="","",IF(tblOrdenes[[#This Row],[backlog_dias]]&lt;0,"FUTURO",IF(tblOrdenes[[#This Row],[backlog_dias]]&gt;p_dias_backlog_max,"BACKLOG","MES CORRIENTE")))</f>
        <v/>
      </c>
      <c r="AB183" s="3">
        <f>IF(tblOrdenes[[#This Row],[backlog_dias]]="",FALSE,AND(tblOrdenes[[#This Row],[backlog_dias]]&gt;p_dias_backlog_min,tblOrdenes[[#This Row],[backlog_dias]]&lt;=p_dias_backlog_max))</f>
        <v/>
      </c>
      <c r="AC183" s="6" t="inlineStr"/>
      <c r="AD1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83" s="10">
        <f>IF(tblOrdenes[[#This Row],[orden]]="","",_xlfn.XLOOKUP(tblOrdenes[[#This Row],[id_operacion]],tblEjecucion[id_operacion],tblEjecucion[precio],0))</f>
        <v/>
      </c>
      <c r="AH183" s="10">
        <f>IF(tblOrdenes[[#This Row],[orden]]="","",MAX(0,_xlfn.XLOOKUP(tblOrdenes[[#This Row],[id_operacion]],tblEjecucion[id_operacion],tblEjecucion[costo_plan_total],0)-tblOrdenes[[#This Row],[costo_servicio]]))</f>
        <v/>
      </c>
      <c r="AI183" s="10">
        <f>IF(tblOrdenes[[#This Row],[orden]]="","",tblOrdenes[[#This Row],[costo_servicio]]+tblOrdenes[[#This Row],[costo_materiales]])</f>
        <v/>
      </c>
      <c r="AJ183" s="6" t="inlineStr"/>
      <c r="AK183" s="6" t="inlineStr"/>
      <c r="AL183" s="6" t="inlineStr"/>
      <c r="AM183" s="3">
        <f>IF(tblOrdenes[[#This Row],[link_checklist]]="","",HYPERLINK(p_ruta_base_checklists&amp;tblOrdenes[[#This Row],[link_checklist]],"abrir"))</f>
        <v/>
      </c>
      <c r="AN183" s="6" t="inlineStr"/>
      <c r="AO183" s="3">
        <f>IF(tblOrdenes[[#This Row],[orden]]="","",tblOrdenes[[#This Row],[orden]]&amp;IF(tblOrdenes[[#This Row],[operacion]]="","0010",tblOrdenes[[#This Row],[operacion]]))</f>
        <v/>
      </c>
    </row>
    <row r="184">
      <c r="A184" s="3" t="inlineStr">
        <is>
          <t>OT-000181</t>
        </is>
      </c>
      <c r="B184" s="3" t="inlineStr">
        <is>
          <t>0010</t>
        </is>
      </c>
      <c r="C184" s="3" t="inlineStr">
        <is>
          <t>Lubricación programada — EQ-102</t>
        </is>
      </c>
      <c r="D184" s="3" t="inlineStr">
        <is>
          <t>Lubricación programada en EQ-102</t>
        </is>
      </c>
      <c r="E184" s="3" t="inlineStr">
        <is>
          <t>EQ-102</t>
        </is>
      </c>
      <c r="F184" s="3" t="inlineStr">
        <is>
          <t>CC-110</t>
        </is>
      </c>
      <c r="G184" s="3" t="inlineStr">
        <is>
          <t>PU-ELE</t>
        </is>
      </c>
      <c r="H184" s="3" t="inlineStr">
        <is>
          <t>ACT-02</t>
        </is>
      </c>
      <c r="I184" s="3" t="inlineStr">
        <is>
          <t>TIPO-P2</t>
        </is>
      </c>
      <c r="J184" s="11" t="n">
        <v>46323</v>
      </c>
      <c r="K184" s="3" t="n">
        <v>6</v>
      </c>
      <c r="L184" s="10" t="n">
        <v>150</v>
      </c>
      <c r="M184" s="6" t="n"/>
      <c r="N1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84" s="3">
        <f>IF(tblOrdenes[[#This Row],[fecha_inicio]]="","",YEAR(tblOrdenes[[#This Row],[fecha_inicio]]))</f>
        <v/>
      </c>
      <c r="R184" s="3">
        <f>IF(tblOrdenes[[#This Row],[fecha_inicio]]="","",MONTH(tblOrdenes[[#This Row],[fecha_inicio]]))</f>
        <v/>
      </c>
      <c r="S184" s="3">
        <f>IF(tblOrdenes[[#This Row],[fecha_inicio]]="","",INDEX(lista_dias,WEEKDAY(tblOrdenes[[#This Row],[fecha_inicio]],2)))</f>
        <v/>
      </c>
      <c r="T184" s="3">
        <f>IF(tblOrdenes[[#This Row],[tipo_ot]]="","",_xlfn.XLOOKUP(tblOrdenes[[#This Row],[tipo_ot]],tblTiposOT[codigo],tblTiposOT[clasificacion],"sin_clasificar"))</f>
        <v/>
      </c>
      <c r="U184" s="3">
        <f>IF(tblOrdenes[[#This Row],[centro_costo]]="","",_xlfn.XLOOKUP(tblOrdenes[[#This Row],[centro_costo]],tblCECO[codigo],tblCECO[linea],"(sin catálogo)"))</f>
        <v/>
      </c>
      <c r="V184" s="3">
        <f>IF(tblOrdenes[[#This Row],[centro_costo]]="","",_xlfn.XLOOKUP(tblOrdenes[[#This Row],[centro_costo]],tblCECO[codigo],tblCECO[area],"(sin catálogo)"))</f>
        <v/>
      </c>
      <c r="W184" s="3">
        <f>IF(tblOrdenes[[#This Row],[centro_costo]]="","",_xlfn.XLOOKUP(tblOrdenes[[#This Row],[centro_costo]],tblCECO[codigo],tblCECO[coordinador],"(sin catálogo)"))</f>
        <v/>
      </c>
      <c r="X184" s="3">
        <f>IF(tblOrdenes[[#This Row],[puesto_trabajo]]="","",_xlfn.XLOOKUP(tblOrdenes[[#This Row],[puesto_trabajo]],tblPuestos[codigo],tblPuestos[especialidad],"(sin catálogo)"))</f>
        <v/>
      </c>
      <c r="Y184" s="3">
        <f>IF(tblOrdenes[[#This Row],[cod_actividad]]="","",_xlfn.XLOOKUP(tblOrdenes[[#This Row],[cod_actividad]],tblActividades[codigo],tblActividades[descripcion],"(sin catálogo)"))</f>
        <v/>
      </c>
      <c r="Z184" s="12">
        <f>IF(tblOrdenes[[#This Row],[fecha_inicio]]="","",TODAY()-tblOrdenes[[#This Row],[fecha_inicio]])</f>
        <v/>
      </c>
      <c r="AA184" s="3">
        <f>IF(tblOrdenes[[#This Row],[backlog_dias]]="","",IF(tblOrdenes[[#This Row],[backlog_dias]]&lt;0,"FUTURO",IF(tblOrdenes[[#This Row],[backlog_dias]]&gt;p_dias_backlog_max,"BACKLOG","MES CORRIENTE")))</f>
        <v/>
      </c>
      <c r="AB184" s="3">
        <f>IF(tblOrdenes[[#This Row],[backlog_dias]]="",FALSE,AND(tblOrdenes[[#This Row],[backlog_dias]]&gt;p_dias_backlog_min,tblOrdenes[[#This Row],[backlog_dias]]&lt;=p_dias_backlog_max))</f>
        <v/>
      </c>
      <c r="AC184" s="6" t="inlineStr"/>
      <c r="AD1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84" s="10">
        <f>IF(tblOrdenes[[#This Row],[orden]]="","",_xlfn.XLOOKUP(tblOrdenes[[#This Row],[id_operacion]],tblEjecucion[id_operacion],tblEjecucion[precio],0))</f>
        <v/>
      </c>
      <c r="AH184" s="10">
        <f>IF(tblOrdenes[[#This Row],[orden]]="","",MAX(0,_xlfn.XLOOKUP(tblOrdenes[[#This Row],[id_operacion]],tblEjecucion[id_operacion],tblEjecucion[costo_plan_total],0)-tblOrdenes[[#This Row],[costo_servicio]]))</f>
        <v/>
      </c>
      <c r="AI184" s="10">
        <f>IF(tblOrdenes[[#This Row],[orden]]="","",tblOrdenes[[#This Row],[costo_servicio]]+tblOrdenes[[#This Row],[costo_materiales]])</f>
        <v/>
      </c>
      <c r="AJ184" s="6" t="inlineStr"/>
      <c r="AK184" s="6" t="inlineStr"/>
      <c r="AL184" s="6" t="inlineStr"/>
      <c r="AM184" s="3">
        <f>IF(tblOrdenes[[#This Row],[link_checklist]]="","",HYPERLINK(p_ruta_base_checklists&amp;tblOrdenes[[#This Row],[link_checklist]],"abrir"))</f>
        <v/>
      </c>
      <c r="AN184" s="6" t="inlineStr"/>
      <c r="AO184" s="3">
        <f>IF(tblOrdenes[[#This Row],[orden]]="","",tblOrdenes[[#This Row],[orden]]&amp;IF(tblOrdenes[[#This Row],[operacion]]="","0010",tblOrdenes[[#This Row],[operacion]]))</f>
        <v/>
      </c>
    </row>
    <row r="185">
      <c r="A185" s="3" t="inlineStr">
        <is>
          <t>OT-000182</t>
        </is>
      </c>
      <c r="B185" s="3" t="inlineStr">
        <is>
          <t>0010</t>
        </is>
      </c>
      <c r="C185" s="3" t="inlineStr">
        <is>
          <t>Análisis predictivo — EQ-103</t>
        </is>
      </c>
      <c r="D185" s="3" t="inlineStr">
        <is>
          <t>Análisis predictivo en EQ-103</t>
        </is>
      </c>
      <c r="E185" s="3" t="inlineStr">
        <is>
          <t>EQ-103</t>
        </is>
      </c>
      <c r="F185" s="3" t="inlineStr">
        <is>
          <t>CC-110</t>
        </is>
      </c>
      <c r="G185" s="3" t="inlineStr">
        <is>
          <t>PU-AUT</t>
        </is>
      </c>
      <c r="H185" s="3" t="inlineStr">
        <is>
          <t>ACT-04</t>
        </is>
      </c>
      <c r="I185" s="3" t="inlineStr">
        <is>
          <t>TIPO-P1</t>
        </is>
      </c>
      <c r="J185" s="11" t="n">
        <v>46385</v>
      </c>
      <c r="K185" s="3" t="n">
        <v>4</v>
      </c>
      <c r="L185" s="10" t="n">
        <v>100</v>
      </c>
      <c r="M185" s="6" t="n"/>
      <c r="N1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85" s="3">
        <f>IF(tblOrdenes[[#This Row],[fecha_inicio]]="","",YEAR(tblOrdenes[[#This Row],[fecha_inicio]]))</f>
        <v/>
      </c>
      <c r="R185" s="3">
        <f>IF(tblOrdenes[[#This Row],[fecha_inicio]]="","",MONTH(tblOrdenes[[#This Row],[fecha_inicio]]))</f>
        <v/>
      </c>
      <c r="S185" s="3">
        <f>IF(tblOrdenes[[#This Row],[fecha_inicio]]="","",INDEX(lista_dias,WEEKDAY(tblOrdenes[[#This Row],[fecha_inicio]],2)))</f>
        <v/>
      </c>
      <c r="T185" s="3">
        <f>IF(tblOrdenes[[#This Row],[tipo_ot]]="","",_xlfn.XLOOKUP(tblOrdenes[[#This Row],[tipo_ot]],tblTiposOT[codigo],tblTiposOT[clasificacion],"sin_clasificar"))</f>
        <v/>
      </c>
      <c r="U185" s="3">
        <f>IF(tblOrdenes[[#This Row],[centro_costo]]="","",_xlfn.XLOOKUP(tblOrdenes[[#This Row],[centro_costo]],tblCECO[codigo],tblCECO[linea],"(sin catálogo)"))</f>
        <v/>
      </c>
      <c r="V185" s="3">
        <f>IF(tblOrdenes[[#This Row],[centro_costo]]="","",_xlfn.XLOOKUP(tblOrdenes[[#This Row],[centro_costo]],tblCECO[codigo],tblCECO[area],"(sin catálogo)"))</f>
        <v/>
      </c>
      <c r="W185" s="3">
        <f>IF(tblOrdenes[[#This Row],[centro_costo]]="","",_xlfn.XLOOKUP(tblOrdenes[[#This Row],[centro_costo]],tblCECO[codigo],tblCECO[coordinador],"(sin catálogo)"))</f>
        <v/>
      </c>
      <c r="X185" s="3">
        <f>IF(tblOrdenes[[#This Row],[puesto_trabajo]]="","",_xlfn.XLOOKUP(tblOrdenes[[#This Row],[puesto_trabajo]],tblPuestos[codigo],tblPuestos[especialidad],"(sin catálogo)"))</f>
        <v/>
      </c>
      <c r="Y185" s="3">
        <f>IF(tblOrdenes[[#This Row],[cod_actividad]]="","",_xlfn.XLOOKUP(tblOrdenes[[#This Row],[cod_actividad]],tblActividades[codigo],tblActividades[descripcion],"(sin catálogo)"))</f>
        <v/>
      </c>
      <c r="Z185" s="12">
        <f>IF(tblOrdenes[[#This Row],[fecha_inicio]]="","",TODAY()-tblOrdenes[[#This Row],[fecha_inicio]])</f>
        <v/>
      </c>
      <c r="AA185" s="3">
        <f>IF(tblOrdenes[[#This Row],[backlog_dias]]="","",IF(tblOrdenes[[#This Row],[backlog_dias]]&lt;0,"FUTURO",IF(tblOrdenes[[#This Row],[backlog_dias]]&gt;p_dias_backlog_max,"BACKLOG","MES CORRIENTE")))</f>
        <v/>
      </c>
      <c r="AB185" s="3">
        <f>IF(tblOrdenes[[#This Row],[backlog_dias]]="",FALSE,AND(tblOrdenes[[#This Row],[backlog_dias]]&gt;p_dias_backlog_min,tblOrdenes[[#This Row],[backlog_dias]]&lt;=p_dias_backlog_max))</f>
        <v/>
      </c>
      <c r="AC185" s="6" t="inlineStr"/>
      <c r="AD1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85" s="10">
        <f>IF(tblOrdenes[[#This Row],[orden]]="","",_xlfn.XLOOKUP(tblOrdenes[[#This Row],[id_operacion]],tblEjecucion[id_operacion],tblEjecucion[precio],0))</f>
        <v/>
      </c>
      <c r="AH185" s="10">
        <f>IF(tblOrdenes[[#This Row],[orden]]="","",MAX(0,_xlfn.XLOOKUP(tblOrdenes[[#This Row],[id_operacion]],tblEjecucion[id_operacion],tblEjecucion[costo_plan_total],0)-tblOrdenes[[#This Row],[costo_servicio]]))</f>
        <v/>
      </c>
      <c r="AI185" s="10">
        <f>IF(tblOrdenes[[#This Row],[orden]]="","",tblOrdenes[[#This Row],[costo_servicio]]+tblOrdenes[[#This Row],[costo_materiales]])</f>
        <v/>
      </c>
      <c r="AJ185" s="6" t="inlineStr"/>
      <c r="AK185" s="6" t="inlineStr"/>
      <c r="AL185" s="6" t="inlineStr"/>
      <c r="AM185" s="3">
        <f>IF(tblOrdenes[[#This Row],[link_checklist]]="","",HYPERLINK(p_ruta_base_checklists&amp;tblOrdenes[[#This Row],[link_checklist]],"abrir"))</f>
        <v/>
      </c>
      <c r="AN185" s="6" t="inlineStr"/>
      <c r="AO185" s="3">
        <f>IF(tblOrdenes[[#This Row],[orden]]="","",tblOrdenes[[#This Row],[orden]]&amp;IF(tblOrdenes[[#This Row],[operacion]]="","0010",tblOrdenes[[#This Row],[operacion]]))</f>
        <v/>
      </c>
    </row>
    <row r="186">
      <c r="A186" s="3" t="inlineStr">
        <is>
          <t>OT-000183</t>
        </is>
      </c>
      <c r="B186" s="3" t="inlineStr">
        <is>
          <t>0010</t>
        </is>
      </c>
      <c r="C186" s="3" t="inlineStr">
        <is>
          <t>Inspección de rutina — EQ-104</t>
        </is>
      </c>
      <c r="D186" s="3" t="inlineStr">
        <is>
          <t>Inspección de rutina en EQ-104</t>
        </is>
      </c>
      <c r="E186" s="3" t="inlineStr">
        <is>
          <t>EQ-104</t>
        </is>
      </c>
      <c r="F186" s="3" t="inlineStr">
        <is>
          <t>CC-110</t>
        </is>
      </c>
      <c r="G186" s="3" t="inlineStr">
        <is>
          <t>PU-MEC</t>
        </is>
      </c>
      <c r="H186" s="3" t="inlineStr">
        <is>
          <t>ACT-01</t>
        </is>
      </c>
      <c r="I186" s="3" t="inlineStr">
        <is>
          <t>TIPO-P2</t>
        </is>
      </c>
      <c r="J186" s="11" t="n">
        <v>46388</v>
      </c>
      <c r="K186" s="3" t="n">
        <v>4</v>
      </c>
      <c r="L186" s="10" t="n">
        <v>100</v>
      </c>
      <c r="M186" s="6" t="n"/>
      <c r="N1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86" s="3">
        <f>IF(tblOrdenes[[#This Row],[fecha_inicio]]="","",YEAR(tblOrdenes[[#This Row],[fecha_inicio]]))</f>
        <v/>
      </c>
      <c r="R186" s="3">
        <f>IF(tblOrdenes[[#This Row],[fecha_inicio]]="","",MONTH(tblOrdenes[[#This Row],[fecha_inicio]]))</f>
        <v/>
      </c>
      <c r="S186" s="3">
        <f>IF(tblOrdenes[[#This Row],[fecha_inicio]]="","",INDEX(lista_dias,WEEKDAY(tblOrdenes[[#This Row],[fecha_inicio]],2)))</f>
        <v/>
      </c>
      <c r="T186" s="3">
        <f>IF(tblOrdenes[[#This Row],[tipo_ot]]="","",_xlfn.XLOOKUP(tblOrdenes[[#This Row],[tipo_ot]],tblTiposOT[codigo],tblTiposOT[clasificacion],"sin_clasificar"))</f>
        <v/>
      </c>
      <c r="U186" s="3">
        <f>IF(tblOrdenes[[#This Row],[centro_costo]]="","",_xlfn.XLOOKUP(tblOrdenes[[#This Row],[centro_costo]],tblCECO[codigo],tblCECO[linea],"(sin catálogo)"))</f>
        <v/>
      </c>
      <c r="V186" s="3">
        <f>IF(tblOrdenes[[#This Row],[centro_costo]]="","",_xlfn.XLOOKUP(tblOrdenes[[#This Row],[centro_costo]],tblCECO[codigo],tblCECO[area],"(sin catálogo)"))</f>
        <v/>
      </c>
      <c r="W186" s="3">
        <f>IF(tblOrdenes[[#This Row],[centro_costo]]="","",_xlfn.XLOOKUP(tblOrdenes[[#This Row],[centro_costo]],tblCECO[codigo],tblCECO[coordinador],"(sin catálogo)"))</f>
        <v/>
      </c>
      <c r="X186" s="3">
        <f>IF(tblOrdenes[[#This Row],[puesto_trabajo]]="","",_xlfn.XLOOKUP(tblOrdenes[[#This Row],[puesto_trabajo]],tblPuestos[codigo],tblPuestos[especialidad],"(sin catálogo)"))</f>
        <v/>
      </c>
      <c r="Y186" s="3">
        <f>IF(tblOrdenes[[#This Row],[cod_actividad]]="","",_xlfn.XLOOKUP(tblOrdenes[[#This Row],[cod_actividad]],tblActividades[codigo],tblActividades[descripcion],"(sin catálogo)"))</f>
        <v/>
      </c>
      <c r="Z186" s="12">
        <f>IF(tblOrdenes[[#This Row],[fecha_inicio]]="","",TODAY()-tblOrdenes[[#This Row],[fecha_inicio]])</f>
        <v/>
      </c>
      <c r="AA186" s="3">
        <f>IF(tblOrdenes[[#This Row],[backlog_dias]]="","",IF(tblOrdenes[[#This Row],[backlog_dias]]&lt;0,"FUTURO",IF(tblOrdenes[[#This Row],[backlog_dias]]&gt;p_dias_backlog_max,"BACKLOG","MES CORRIENTE")))</f>
        <v/>
      </c>
      <c r="AB186" s="3">
        <f>IF(tblOrdenes[[#This Row],[backlog_dias]]="",FALSE,AND(tblOrdenes[[#This Row],[backlog_dias]]&gt;p_dias_backlog_min,tblOrdenes[[#This Row],[backlog_dias]]&lt;=p_dias_backlog_max))</f>
        <v/>
      </c>
      <c r="AC186" s="6" t="inlineStr"/>
      <c r="AD1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86" s="10">
        <f>IF(tblOrdenes[[#This Row],[orden]]="","",_xlfn.XLOOKUP(tblOrdenes[[#This Row],[id_operacion]],tblEjecucion[id_operacion],tblEjecucion[precio],0))</f>
        <v/>
      </c>
      <c r="AH186" s="10">
        <f>IF(tblOrdenes[[#This Row],[orden]]="","",MAX(0,_xlfn.XLOOKUP(tblOrdenes[[#This Row],[id_operacion]],tblEjecucion[id_operacion],tblEjecucion[costo_plan_total],0)-tblOrdenes[[#This Row],[costo_servicio]]))</f>
        <v/>
      </c>
      <c r="AI186" s="10">
        <f>IF(tblOrdenes[[#This Row],[orden]]="","",tblOrdenes[[#This Row],[costo_servicio]]+tblOrdenes[[#This Row],[costo_materiales]])</f>
        <v/>
      </c>
      <c r="AJ186" s="6" t="inlineStr"/>
      <c r="AK186" s="6" t="inlineStr"/>
      <c r="AL186" s="6" t="inlineStr"/>
      <c r="AM186" s="3">
        <f>IF(tblOrdenes[[#This Row],[link_checklist]]="","",HYPERLINK(p_ruta_base_checklists&amp;tblOrdenes[[#This Row],[link_checklist]],"abrir"))</f>
        <v/>
      </c>
      <c r="AN186" s="6" t="inlineStr"/>
      <c r="AO186" s="3">
        <f>IF(tblOrdenes[[#This Row],[orden]]="","",tblOrdenes[[#This Row],[orden]]&amp;IF(tblOrdenes[[#This Row],[operacion]]="","0010",tblOrdenes[[#This Row],[operacion]]))</f>
        <v/>
      </c>
    </row>
    <row r="187">
      <c r="A187" s="3" t="inlineStr">
        <is>
          <t>OT-000184</t>
        </is>
      </c>
      <c r="B187" s="3" t="inlineStr">
        <is>
          <t>0010</t>
        </is>
      </c>
      <c r="C187" s="3" t="inlineStr">
        <is>
          <t>Lubricación programada — EQ-105</t>
        </is>
      </c>
      <c r="D187" s="3" t="inlineStr">
        <is>
          <t>Lubricación programada en EQ-105</t>
        </is>
      </c>
      <c r="E187" s="3" t="inlineStr">
        <is>
          <t>EQ-105</t>
        </is>
      </c>
      <c r="F187" s="3" t="inlineStr">
        <is>
          <t>CC-110</t>
        </is>
      </c>
      <c r="G187" s="3" t="inlineStr">
        <is>
          <t>PU-ELE</t>
        </is>
      </c>
      <c r="H187" s="3" t="inlineStr">
        <is>
          <t>ACT-02</t>
        </is>
      </c>
      <c r="I187" s="3" t="inlineStr">
        <is>
          <t>TIPO-P1</t>
        </is>
      </c>
      <c r="J187" s="11" t="n">
        <v>46392</v>
      </c>
      <c r="K187" s="3" t="n">
        <v>4</v>
      </c>
      <c r="L187" s="10" t="n">
        <v>100</v>
      </c>
      <c r="M187" s="6" t="n"/>
      <c r="N1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87" s="3">
        <f>IF(tblOrdenes[[#This Row],[fecha_inicio]]="","",YEAR(tblOrdenes[[#This Row],[fecha_inicio]]))</f>
        <v/>
      </c>
      <c r="R187" s="3">
        <f>IF(tblOrdenes[[#This Row],[fecha_inicio]]="","",MONTH(tblOrdenes[[#This Row],[fecha_inicio]]))</f>
        <v/>
      </c>
      <c r="S187" s="3">
        <f>IF(tblOrdenes[[#This Row],[fecha_inicio]]="","",INDEX(lista_dias,WEEKDAY(tblOrdenes[[#This Row],[fecha_inicio]],2)))</f>
        <v/>
      </c>
      <c r="T187" s="3">
        <f>IF(tblOrdenes[[#This Row],[tipo_ot]]="","",_xlfn.XLOOKUP(tblOrdenes[[#This Row],[tipo_ot]],tblTiposOT[codigo],tblTiposOT[clasificacion],"sin_clasificar"))</f>
        <v/>
      </c>
      <c r="U187" s="3">
        <f>IF(tblOrdenes[[#This Row],[centro_costo]]="","",_xlfn.XLOOKUP(tblOrdenes[[#This Row],[centro_costo]],tblCECO[codigo],tblCECO[linea],"(sin catálogo)"))</f>
        <v/>
      </c>
      <c r="V187" s="3">
        <f>IF(tblOrdenes[[#This Row],[centro_costo]]="","",_xlfn.XLOOKUP(tblOrdenes[[#This Row],[centro_costo]],tblCECO[codigo],tblCECO[area],"(sin catálogo)"))</f>
        <v/>
      </c>
      <c r="W187" s="3">
        <f>IF(tblOrdenes[[#This Row],[centro_costo]]="","",_xlfn.XLOOKUP(tblOrdenes[[#This Row],[centro_costo]],tblCECO[codigo],tblCECO[coordinador],"(sin catálogo)"))</f>
        <v/>
      </c>
      <c r="X187" s="3">
        <f>IF(tblOrdenes[[#This Row],[puesto_trabajo]]="","",_xlfn.XLOOKUP(tblOrdenes[[#This Row],[puesto_trabajo]],tblPuestos[codigo],tblPuestos[especialidad],"(sin catálogo)"))</f>
        <v/>
      </c>
      <c r="Y187" s="3">
        <f>IF(tblOrdenes[[#This Row],[cod_actividad]]="","",_xlfn.XLOOKUP(tblOrdenes[[#This Row],[cod_actividad]],tblActividades[codigo],tblActividades[descripcion],"(sin catálogo)"))</f>
        <v/>
      </c>
      <c r="Z187" s="12">
        <f>IF(tblOrdenes[[#This Row],[fecha_inicio]]="","",TODAY()-tblOrdenes[[#This Row],[fecha_inicio]])</f>
        <v/>
      </c>
      <c r="AA187" s="3">
        <f>IF(tblOrdenes[[#This Row],[backlog_dias]]="","",IF(tblOrdenes[[#This Row],[backlog_dias]]&lt;0,"FUTURO",IF(tblOrdenes[[#This Row],[backlog_dias]]&gt;p_dias_backlog_max,"BACKLOG","MES CORRIENTE")))</f>
        <v/>
      </c>
      <c r="AB187" s="3">
        <f>IF(tblOrdenes[[#This Row],[backlog_dias]]="",FALSE,AND(tblOrdenes[[#This Row],[backlog_dias]]&gt;p_dias_backlog_min,tblOrdenes[[#This Row],[backlog_dias]]&lt;=p_dias_backlog_max))</f>
        <v/>
      </c>
      <c r="AC187" s="6" t="inlineStr"/>
      <c r="AD1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87" s="10">
        <f>IF(tblOrdenes[[#This Row],[orden]]="","",_xlfn.XLOOKUP(tblOrdenes[[#This Row],[id_operacion]],tblEjecucion[id_operacion],tblEjecucion[precio],0))</f>
        <v/>
      </c>
      <c r="AH187" s="10">
        <f>IF(tblOrdenes[[#This Row],[orden]]="","",MAX(0,_xlfn.XLOOKUP(tblOrdenes[[#This Row],[id_operacion]],tblEjecucion[id_operacion],tblEjecucion[costo_plan_total],0)-tblOrdenes[[#This Row],[costo_servicio]]))</f>
        <v/>
      </c>
      <c r="AI187" s="10">
        <f>IF(tblOrdenes[[#This Row],[orden]]="","",tblOrdenes[[#This Row],[costo_servicio]]+tblOrdenes[[#This Row],[costo_materiales]])</f>
        <v/>
      </c>
      <c r="AJ187" s="6" t="inlineStr"/>
      <c r="AK187" s="6" t="inlineStr"/>
      <c r="AL187" s="6" t="inlineStr"/>
      <c r="AM187" s="3">
        <f>IF(tblOrdenes[[#This Row],[link_checklist]]="","",HYPERLINK(p_ruta_base_checklists&amp;tblOrdenes[[#This Row],[link_checklist]],"abrir"))</f>
        <v/>
      </c>
      <c r="AN187" s="6" t="inlineStr"/>
      <c r="AO187" s="3">
        <f>IF(tblOrdenes[[#This Row],[orden]]="","",tblOrdenes[[#This Row],[orden]]&amp;IF(tblOrdenes[[#This Row],[operacion]]="","0010",tblOrdenes[[#This Row],[operacion]]))</f>
        <v/>
      </c>
    </row>
    <row r="188">
      <c r="A188" s="3" t="inlineStr">
        <is>
          <t>OT-000900</t>
        </is>
      </c>
      <c r="B188" s="3" t="inlineStr">
        <is>
          <t>0010</t>
        </is>
      </c>
      <c r="C188" s="3" t="inlineStr">
        <is>
          <t>Reparación de falla — EQ-101</t>
        </is>
      </c>
      <c r="D188" s="3" t="inlineStr">
        <is>
          <t>Reparación de falla en EQ-101</t>
        </is>
      </c>
      <c r="E188" s="3" t="inlineStr">
        <is>
          <t>EQ-101</t>
        </is>
      </c>
      <c r="F188" s="3" t="inlineStr">
        <is>
          <t>CC-110</t>
        </is>
      </c>
      <c r="G188" s="3" t="inlineStr">
        <is>
          <t>PU-MEC</t>
        </is>
      </c>
      <c r="H188" s="3" t="inlineStr">
        <is>
          <t>ACT-03</t>
        </is>
      </c>
      <c r="I188" s="3" t="inlineStr">
        <is>
          <t>TIPO-C2</t>
        </is>
      </c>
      <c r="J188" s="11" t="n">
        <v>46173</v>
      </c>
      <c r="K188" s="3" t="n">
        <v>6</v>
      </c>
      <c r="L188" s="10" t="n">
        <v>240</v>
      </c>
      <c r="M188" s="6" t="n"/>
      <c r="N1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88" s="3">
        <f>IF(tblOrdenes[[#This Row],[fecha_inicio]]="","",YEAR(tblOrdenes[[#This Row],[fecha_inicio]]))</f>
        <v/>
      </c>
      <c r="R188" s="3">
        <f>IF(tblOrdenes[[#This Row],[fecha_inicio]]="","",MONTH(tblOrdenes[[#This Row],[fecha_inicio]]))</f>
        <v/>
      </c>
      <c r="S188" s="3">
        <f>IF(tblOrdenes[[#This Row],[fecha_inicio]]="","",INDEX(lista_dias,WEEKDAY(tblOrdenes[[#This Row],[fecha_inicio]],2)))</f>
        <v/>
      </c>
      <c r="T188" s="3">
        <f>IF(tblOrdenes[[#This Row],[tipo_ot]]="","",_xlfn.XLOOKUP(tblOrdenes[[#This Row],[tipo_ot]],tblTiposOT[codigo],tblTiposOT[clasificacion],"sin_clasificar"))</f>
        <v/>
      </c>
      <c r="U188" s="3">
        <f>IF(tblOrdenes[[#This Row],[centro_costo]]="","",_xlfn.XLOOKUP(tblOrdenes[[#This Row],[centro_costo]],tblCECO[codigo],tblCECO[linea],"(sin catálogo)"))</f>
        <v/>
      </c>
      <c r="V188" s="3">
        <f>IF(tblOrdenes[[#This Row],[centro_costo]]="","",_xlfn.XLOOKUP(tblOrdenes[[#This Row],[centro_costo]],tblCECO[codigo],tblCECO[area],"(sin catálogo)"))</f>
        <v/>
      </c>
      <c r="W188" s="3">
        <f>IF(tblOrdenes[[#This Row],[centro_costo]]="","",_xlfn.XLOOKUP(tblOrdenes[[#This Row],[centro_costo]],tblCECO[codigo],tblCECO[coordinador],"(sin catálogo)"))</f>
        <v/>
      </c>
      <c r="X188" s="3">
        <f>IF(tblOrdenes[[#This Row],[puesto_trabajo]]="","",_xlfn.XLOOKUP(tblOrdenes[[#This Row],[puesto_trabajo]],tblPuestos[codigo],tblPuestos[especialidad],"(sin catálogo)"))</f>
        <v/>
      </c>
      <c r="Y188" s="3">
        <f>IF(tblOrdenes[[#This Row],[cod_actividad]]="","",_xlfn.XLOOKUP(tblOrdenes[[#This Row],[cod_actividad]],tblActividades[codigo],tblActividades[descripcion],"(sin catálogo)"))</f>
        <v/>
      </c>
      <c r="Z188" s="12">
        <f>IF(tblOrdenes[[#This Row],[fecha_inicio]]="","",TODAY()-tblOrdenes[[#This Row],[fecha_inicio]])</f>
        <v/>
      </c>
      <c r="AA188" s="3">
        <f>IF(tblOrdenes[[#This Row],[backlog_dias]]="","",IF(tblOrdenes[[#This Row],[backlog_dias]]&lt;0,"FUTURO",IF(tblOrdenes[[#This Row],[backlog_dias]]&gt;p_dias_backlog_max,"BACKLOG","MES CORRIENTE")))</f>
        <v/>
      </c>
      <c r="AB188" s="3">
        <f>IF(tblOrdenes[[#This Row],[backlog_dias]]="",FALSE,AND(tblOrdenes[[#This Row],[backlog_dias]]&gt;p_dias_backlog_min,tblOrdenes[[#This Row],[backlog_dias]]&lt;=p_dias_backlog_max))</f>
        <v/>
      </c>
      <c r="AC188" s="6" t="inlineStr"/>
      <c r="AD1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88" s="10">
        <f>IF(tblOrdenes[[#This Row],[orden]]="","",_xlfn.XLOOKUP(tblOrdenes[[#This Row],[id_operacion]],tblEjecucion[id_operacion],tblEjecucion[precio],0))</f>
        <v/>
      </c>
      <c r="AH188" s="10">
        <f>IF(tblOrdenes[[#This Row],[orden]]="","",MAX(0,_xlfn.XLOOKUP(tblOrdenes[[#This Row],[id_operacion]],tblEjecucion[id_operacion],tblEjecucion[costo_plan_total],0)-tblOrdenes[[#This Row],[costo_servicio]]))</f>
        <v/>
      </c>
      <c r="AI188" s="10">
        <f>IF(tblOrdenes[[#This Row],[orden]]="","",tblOrdenes[[#This Row],[costo_servicio]]+tblOrdenes[[#This Row],[costo_materiales]])</f>
        <v/>
      </c>
      <c r="AJ188" s="6" t="inlineStr"/>
      <c r="AK188" s="6" t="inlineStr"/>
      <c r="AL188" s="6" t="inlineStr"/>
      <c r="AM188" s="3">
        <f>IF(tblOrdenes[[#This Row],[link_checklist]]="","",HYPERLINK(p_ruta_base_checklists&amp;tblOrdenes[[#This Row],[link_checklist]],"abrir"))</f>
        <v/>
      </c>
      <c r="AN188" s="6" t="inlineStr"/>
      <c r="AO188" s="3">
        <f>IF(tblOrdenes[[#This Row],[orden]]="","",tblOrdenes[[#This Row],[orden]]&amp;IF(tblOrdenes[[#This Row],[operacion]]="","0010",tblOrdenes[[#This Row],[operacion]]))</f>
        <v/>
      </c>
    </row>
    <row r="189">
      <c r="A189" s="3" t="inlineStr">
        <is>
          <t>OT-000900</t>
        </is>
      </c>
      <c r="B189" s="3" t="inlineStr">
        <is>
          <t>0010</t>
        </is>
      </c>
      <c r="C189" s="3" t="inlineStr">
        <is>
          <t>Reparación de falla — EQ-101</t>
        </is>
      </c>
      <c r="D189" s="3" t="inlineStr">
        <is>
          <t>Reparación de falla en EQ-101</t>
        </is>
      </c>
      <c r="E189" s="3" t="inlineStr">
        <is>
          <t>EQ-101</t>
        </is>
      </c>
      <c r="F189" s="3" t="inlineStr">
        <is>
          <t>CC-110</t>
        </is>
      </c>
      <c r="G189" s="3" t="inlineStr">
        <is>
          <t>PU-MEC</t>
        </is>
      </c>
      <c r="H189" s="3" t="inlineStr">
        <is>
          <t>ACT-03</t>
        </is>
      </c>
      <c r="I189" s="3" t="inlineStr">
        <is>
          <t>TIPO-C2</t>
        </is>
      </c>
      <c r="J189" s="11" t="n">
        <v>46173</v>
      </c>
      <c r="K189" s="3" t="n">
        <v>6</v>
      </c>
      <c r="L189" s="10" t="n">
        <v>240</v>
      </c>
      <c r="M189" s="6" t="n"/>
      <c r="N1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89" s="3">
        <f>IF(tblOrdenes[[#This Row],[fecha_inicio]]="","",YEAR(tblOrdenes[[#This Row],[fecha_inicio]]))</f>
        <v/>
      </c>
      <c r="R189" s="3">
        <f>IF(tblOrdenes[[#This Row],[fecha_inicio]]="","",MONTH(tblOrdenes[[#This Row],[fecha_inicio]]))</f>
        <v/>
      </c>
      <c r="S189" s="3">
        <f>IF(tblOrdenes[[#This Row],[fecha_inicio]]="","",INDEX(lista_dias,WEEKDAY(tblOrdenes[[#This Row],[fecha_inicio]],2)))</f>
        <v/>
      </c>
      <c r="T189" s="3">
        <f>IF(tblOrdenes[[#This Row],[tipo_ot]]="","",_xlfn.XLOOKUP(tblOrdenes[[#This Row],[tipo_ot]],tblTiposOT[codigo],tblTiposOT[clasificacion],"sin_clasificar"))</f>
        <v/>
      </c>
      <c r="U189" s="3">
        <f>IF(tblOrdenes[[#This Row],[centro_costo]]="","",_xlfn.XLOOKUP(tblOrdenes[[#This Row],[centro_costo]],tblCECO[codigo],tblCECO[linea],"(sin catálogo)"))</f>
        <v/>
      </c>
      <c r="V189" s="3">
        <f>IF(tblOrdenes[[#This Row],[centro_costo]]="","",_xlfn.XLOOKUP(tblOrdenes[[#This Row],[centro_costo]],tblCECO[codigo],tblCECO[area],"(sin catálogo)"))</f>
        <v/>
      </c>
      <c r="W189" s="3">
        <f>IF(tblOrdenes[[#This Row],[centro_costo]]="","",_xlfn.XLOOKUP(tblOrdenes[[#This Row],[centro_costo]],tblCECO[codigo],tblCECO[coordinador],"(sin catálogo)"))</f>
        <v/>
      </c>
      <c r="X189" s="3">
        <f>IF(tblOrdenes[[#This Row],[puesto_trabajo]]="","",_xlfn.XLOOKUP(tblOrdenes[[#This Row],[puesto_trabajo]],tblPuestos[codigo],tblPuestos[especialidad],"(sin catálogo)"))</f>
        <v/>
      </c>
      <c r="Y189" s="3">
        <f>IF(tblOrdenes[[#This Row],[cod_actividad]]="","",_xlfn.XLOOKUP(tblOrdenes[[#This Row],[cod_actividad]],tblActividades[codigo],tblActividades[descripcion],"(sin catálogo)"))</f>
        <v/>
      </c>
      <c r="Z189" s="12">
        <f>IF(tblOrdenes[[#This Row],[fecha_inicio]]="","",TODAY()-tblOrdenes[[#This Row],[fecha_inicio]])</f>
        <v/>
      </c>
      <c r="AA189" s="3">
        <f>IF(tblOrdenes[[#This Row],[backlog_dias]]="","",IF(tblOrdenes[[#This Row],[backlog_dias]]&lt;0,"FUTURO",IF(tblOrdenes[[#This Row],[backlog_dias]]&gt;p_dias_backlog_max,"BACKLOG","MES CORRIENTE")))</f>
        <v/>
      </c>
      <c r="AB189" s="3">
        <f>IF(tblOrdenes[[#This Row],[backlog_dias]]="",FALSE,AND(tblOrdenes[[#This Row],[backlog_dias]]&gt;p_dias_backlog_min,tblOrdenes[[#This Row],[backlog_dias]]&lt;=p_dias_backlog_max))</f>
        <v/>
      </c>
      <c r="AC189" s="6" t="inlineStr"/>
      <c r="AD1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89" s="10">
        <f>IF(tblOrdenes[[#This Row],[orden]]="","",_xlfn.XLOOKUP(tblOrdenes[[#This Row],[id_operacion]],tblEjecucion[id_operacion],tblEjecucion[precio],0))</f>
        <v/>
      </c>
      <c r="AH189" s="10">
        <f>IF(tblOrdenes[[#This Row],[orden]]="","",MAX(0,_xlfn.XLOOKUP(tblOrdenes[[#This Row],[id_operacion]],tblEjecucion[id_operacion],tblEjecucion[costo_plan_total],0)-tblOrdenes[[#This Row],[costo_servicio]]))</f>
        <v/>
      </c>
      <c r="AI189" s="10">
        <f>IF(tblOrdenes[[#This Row],[orden]]="","",tblOrdenes[[#This Row],[costo_servicio]]+tblOrdenes[[#This Row],[costo_materiales]])</f>
        <v/>
      </c>
      <c r="AJ189" s="6" t="inlineStr"/>
      <c r="AK189" s="6" t="inlineStr"/>
      <c r="AL189" s="6" t="inlineStr"/>
      <c r="AM189" s="3">
        <f>IF(tblOrdenes[[#This Row],[link_checklist]]="","",HYPERLINK(p_ruta_base_checklists&amp;tblOrdenes[[#This Row],[link_checklist]],"abrir"))</f>
        <v/>
      </c>
      <c r="AN189" s="6" t="inlineStr"/>
      <c r="AO189" s="3">
        <f>IF(tblOrdenes[[#This Row],[orden]]="","",tblOrdenes[[#This Row],[orden]]&amp;IF(tblOrdenes[[#This Row],[operacion]]="","0010",tblOrdenes[[#This Row],[operacion]]))</f>
        <v/>
      </c>
    </row>
    <row r="190">
      <c r="A190" s="3" t="inlineStr">
        <is>
          <t>OT-000901</t>
        </is>
      </c>
      <c r="B190" s="3" t="inlineStr">
        <is>
          <t>0010</t>
        </is>
      </c>
      <c r="C190" s="3" t="inlineStr">
        <is>
          <t>Reparación de falla — EQ-103</t>
        </is>
      </c>
      <c r="D190" s="3" t="inlineStr">
        <is>
          <t>Reparación de falla en EQ-103</t>
        </is>
      </c>
      <c r="E190" s="3" t="inlineStr">
        <is>
          <t>EQ-103</t>
        </is>
      </c>
      <c r="F190" s="3" t="inlineStr">
        <is>
          <t>CC-110</t>
        </is>
      </c>
      <c r="G190" s="3" t="inlineStr">
        <is>
          <t>PU-ELE</t>
        </is>
      </c>
      <c r="H190" s="3" t="inlineStr">
        <is>
          <t>ACT-03</t>
        </is>
      </c>
      <c r="I190" s="3" t="inlineStr">
        <is>
          <t>TIPO-C2</t>
        </is>
      </c>
      <c r="J190" s="11" t="n"/>
      <c r="K190" s="3" t="n">
        <v>4</v>
      </c>
      <c r="L190" s="10" t="n">
        <v>160</v>
      </c>
      <c r="M190" s="6" t="n"/>
      <c r="N1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90" s="3">
        <f>IF(tblOrdenes[[#This Row],[fecha_inicio]]="","",YEAR(tblOrdenes[[#This Row],[fecha_inicio]]))</f>
        <v/>
      </c>
      <c r="R190" s="3">
        <f>IF(tblOrdenes[[#This Row],[fecha_inicio]]="","",MONTH(tblOrdenes[[#This Row],[fecha_inicio]]))</f>
        <v/>
      </c>
      <c r="S190" s="3">
        <f>IF(tblOrdenes[[#This Row],[fecha_inicio]]="","",INDEX(lista_dias,WEEKDAY(tblOrdenes[[#This Row],[fecha_inicio]],2)))</f>
        <v/>
      </c>
      <c r="T190" s="3">
        <f>IF(tblOrdenes[[#This Row],[tipo_ot]]="","",_xlfn.XLOOKUP(tblOrdenes[[#This Row],[tipo_ot]],tblTiposOT[codigo],tblTiposOT[clasificacion],"sin_clasificar"))</f>
        <v/>
      </c>
      <c r="U190" s="3">
        <f>IF(tblOrdenes[[#This Row],[centro_costo]]="","",_xlfn.XLOOKUP(tblOrdenes[[#This Row],[centro_costo]],tblCECO[codigo],tblCECO[linea],"(sin catálogo)"))</f>
        <v/>
      </c>
      <c r="V190" s="3">
        <f>IF(tblOrdenes[[#This Row],[centro_costo]]="","",_xlfn.XLOOKUP(tblOrdenes[[#This Row],[centro_costo]],tblCECO[codigo],tblCECO[area],"(sin catálogo)"))</f>
        <v/>
      </c>
      <c r="W190" s="3">
        <f>IF(tblOrdenes[[#This Row],[centro_costo]]="","",_xlfn.XLOOKUP(tblOrdenes[[#This Row],[centro_costo]],tblCECO[codigo],tblCECO[coordinador],"(sin catálogo)"))</f>
        <v/>
      </c>
      <c r="X190" s="3">
        <f>IF(tblOrdenes[[#This Row],[puesto_trabajo]]="","",_xlfn.XLOOKUP(tblOrdenes[[#This Row],[puesto_trabajo]],tblPuestos[codigo],tblPuestos[especialidad],"(sin catálogo)"))</f>
        <v/>
      </c>
      <c r="Y190" s="3">
        <f>IF(tblOrdenes[[#This Row],[cod_actividad]]="","",_xlfn.XLOOKUP(tblOrdenes[[#This Row],[cod_actividad]],tblActividades[codigo],tblActividades[descripcion],"(sin catálogo)"))</f>
        <v/>
      </c>
      <c r="Z190" s="12">
        <f>IF(tblOrdenes[[#This Row],[fecha_inicio]]="","",TODAY()-tblOrdenes[[#This Row],[fecha_inicio]])</f>
        <v/>
      </c>
      <c r="AA190" s="3">
        <f>IF(tblOrdenes[[#This Row],[backlog_dias]]="","",IF(tblOrdenes[[#This Row],[backlog_dias]]&lt;0,"FUTURO",IF(tblOrdenes[[#This Row],[backlog_dias]]&gt;p_dias_backlog_max,"BACKLOG","MES CORRIENTE")))</f>
        <v/>
      </c>
      <c r="AB190" s="3">
        <f>IF(tblOrdenes[[#This Row],[backlog_dias]]="",FALSE,AND(tblOrdenes[[#This Row],[backlog_dias]]&gt;p_dias_backlog_min,tblOrdenes[[#This Row],[backlog_dias]]&lt;=p_dias_backlog_max))</f>
        <v/>
      </c>
      <c r="AC190" s="6" t="inlineStr"/>
      <c r="AD1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90" s="10">
        <f>IF(tblOrdenes[[#This Row],[orden]]="","",_xlfn.XLOOKUP(tblOrdenes[[#This Row],[id_operacion]],tblEjecucion[id_operacion],tblEjecucion[precio],0))</f>
        <v/>
      </c>
      <c r="AH190" s="10">
        <f>IF(tblOrdenes[[#This Row],[orden]]="","",MAX(0,_xlfn.XLOOKUP(tblOrdenes[[#This Row],[id_operacion]],tblEjecucion[id_operacion],tblEjecucion[costo_plan_total],0)-tblOrdenes[[#This Row],[costo_servicio]]))</f>
        <v/>
      </c>
      <c r="AI190" s="10">
        <f>IF(tblOrdenes[[#This Row],[orden]]="","",tblOrdenes[[#This Row],[costo_servicio]]+tblOrdenes[[#This Row],[costo_materiales]])</f>
        <v/>
      </c>
      <c r="AJ190" s="6" t="inlineStr"/>
      <c r="AK190" s="6" t="inlineStr"/>
      <c r="AL190" s="6" t="inlineStr"/>
      <c r="AM190" s="3">
        <f>IF(tblOrdenes[[#This Row],[link_checklist]]="","",HYPERLINK(p_ruta_base_checklists&amp;tblOrdenes[[#This Row],[link_checklist]],"abrir"))</f>
        <v/>
      </c>
      <c r="AN190" s="6" t="inlineStr"/>
      <c r="AO190" s="3">
        <f>IF(tblOrdenes[[#This Row],[orden]]="","",tblOrdenes[[#This Row],[orden]]&amp;IF(tblOrdenes[[#This Row],[operacion]]="","0010",tblOrdenes[[#This Row],[operacion]]))</f>
        <v/>
      </c>
    </row>
    <row r="191">
      <c r="A191" s="3" t="inlineStr">
        <is>
          <t>OT-000902</t>
        </is>
      </c>
      <c r="B191" s="3" t="inlineStr">
        <is>
          <t>0010</t>
        </is>
      </c>
      <c r="C191" s="3" t="inlineStr">
        <is>
          <t>Análisis predictivo — EQ-104</t>
        </is>
      </c>
      <c r="D191" s="3" t="inlineStr">
        <is>
          <t>Análisis predictivo en EQ-104</t>
        </is>
      </c>
      <c r="E191" s="3" t="inlineStr">
        <is>
          <t>EQ-104</t>
        </is>
      </c>
      <c r="F191" s="3" t="inlineStr">
        <is>
          <t>CC-110</t>
        </is>
      </c>
      <c r="G191" s="3" t="inlineStr">
        <is>
          <t>PU-MEC</t>
        </is>
      </c>
      <c r="H191" s="3" t="inlineStr">
        <is>
          <t>ACT-04</t>
        </is>
      </c>
      <c r="I191" s="3" t="inlineStr">
        <is>
          <t>TIPO-P1</t>
        </is>
      </c>
      <c r="J191" s="11" t="n"/>
      <c r="K191" s="3" t="n">
        <v>6</v>
      </c>
      <c r="L191" s="10" t="n">
        <v>150</v>
      </c>
      <c r="M191" s="6" t="n"/>
      <c r="N1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91" s="3">
        <f>IF(tblOrdenes[[#This Row],[fecha_inicio]]="","",YEAR(tblOrdenes[[#This Row],[fecha_inicio]]))</f>
        <v/>
      </c>
      <c r="R191" s="3">
        <f>IF(tblOrdenes[[#This Row],[fecha_inicio]]="","",MONTH(tblOrdenes[[#This Row],[fecha_inicio]]))</f>
        <v/>
      </c>
      <c r="S191" s="3">
        <f>IF(tblOrdenes[[#This Row],[fecha_inicio]]="","",INDEX(lista_dias,WEEKDAY(tblOrdenes[[#This Row],[fecha_inicio]],2)))</f>
        <v/>
      </c>
      <c r="T191" s="3">
        <f>IF(tblOrdenes[[#This Row],[tipo_ot]]="","",_xlfn.XLOOKUP(tblOrdenes[[#This Row],[tipo_ot]],tblTiposOT[codigo],tblTiposOT[clasificacion],"sin_clasificar"))</f>
        <v/>
      </c>
      <c r="U191" s="3">
        <f>IF(tblOrdenes[[#This Row],[centro_costo]]="","",_xlfn.XLOOKUP(tblOrdenes[[#This Row],[centro_costo]],tblCECO[codigo],tblCECO[linea],"(sin catálogo)"))</f>
        <v/>
      </c>
      <c r="V191" s="3">
        <f>IF(tblOrdenes[[#This Row],[centro_costo]]="","",_xlfn.XLOOKUP(tblOrdenes[[#This Row],[centro_costo]],tblCECO[codigo],tblCECO[area],"(sin catálogo)"))</f>
        <v/>
      </c>
      <c r="W191" s="3">
        <f>IF(tblOrdenes[[#This Row],[centro_costo]]="","",_xlfn.XLOOKUP(tblOrdenes[[#This Row],[centro_costo]],tblCECO[codigo],tblCECO[coordinador],"(sin catálogo)"))</f>
        <v/>
      </c>
      <c r="X191" s="3">
        <f>IF(tblOrdenes[[#This Row],[puesto_trabajo]]="","",_xlfn.XLOOKUP(tblOrdenes[[#This Row],[puesto_trabajo]],tblPuestos[codigo],tblPuestos[especialidad],"(sin catálogo)"))</f>
        <v/>
      </c>
      <c r="Y191" s="3">
        <f>IF(tblOrdenes[[#This Row],[cod_actividad]]="","",_xlfn.XLOOKUP(tblOrdenes[[#This Row],[cod_actividad]],tblActividades[codigo],tblActividades[descripcion],"(sin catálogo)"))</f>
        <v/>
      </c>
      <c r="Z191" s="12">
        <f>IF(tblOrdenes[[#This Row],[fecha_inicio]]="","",TODAY()-tblOrdenes[[#This Row],[fecha_inicio]])</f>
        <v/>
      </c>
      <c r="AA191" s="3">
        <f>IF(tblOrdenes[[#This Row],[backlog_dias]]="","",IF(tblOrdenes[[#This Row],[backlog_dias]]&lt;0,"FUTURO",IF(tblOrdenes[[#This Row],[backlog_dias]]&gt;p_dias_backlog_max,"BACKLOG","MES CORRIENTE")))</f>
        <v/>
      </c>
      <c r="AB191" s="3">
        <f>IF(tblOrdenes[[#This Row],[backlog_dias]]="",FALSE,AND(tblOrdenes[[#This Row],[backlog_dias]]&gt;p_dias_backlog_min,tblOrdenes[[#This Row],[backlog_dias]]&lt;=p_dias_backlog_max))</f>
        <v/>
      </c>
      <c r="AC191" s="6" t="inlineStr"/>
      <c r="AD1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91" s="10">
        <f>IF(tblOrdenes[[#This Row],[orden]]="","",_xlfn.XLOOKUP(tblOrdenes[[#This Row],[id_operacion]],tblEjecucion[id_operacion],tblEjecucion[precio],0))</f>
        <v/>
      </c>
      <c r="AH191" s="10">
        <f>IF(tblOrdenes[[#This Row],[orden]]="","",MAX(0,_xlfn.XLOOKUP(tblOrdenes[[#This Row],[id_operacion]],tblEjecucion[id_operacion],tblEjecucion[costo_plan_total],0)-tblOrdenes[[#This Row],[costo_servicio]]))</f>
        <v/>
      </c>
      <c r="AI191" s="10">
        <f>IF(tblOrdenes[[#This Row],[orden]]="","",tblOrdenes[[#This Row],[costo_servicio]]+tblOrdenes[[#This Row],[costo_materiales]])</f>
        <v/>
      </c>
      <c r="AJ191" s="6" t="inlineStr"/>
      <c r="AK191" s="6" t="inlineStr"/>
      <c r="AL191" s="6" t="inlineStr"/>
      <c r="AM191" s="3">
        <f>IF(tblOrdenes[[#This Row],[link_checklist]]="","",HYPERLINK(p_ruta_base_checklists&amp;tblOrdenes[[#This Row],[link_checklist]],"abrir"))</f>
        <v/>
      </c>
      <c r="AN191" s="6" t="inlineStr"/>
      <c r="AO191" s="3">
        <f>IF(tblOrdenes[[#This Row],[orden]]="","",tblOrdenes[[#This Row],[orden]]&amp;IF(tblOrdenes[[#This Row],[operacion]]="","0010",tblOrdenes[[#This Row],[operacion]]))</f>
        <v/>
      </c>
    </row>
    <row r="192">
      <c r="A192" s="3" t="inlineStr">
        <is>
          <t>OT-000903</t>
        </is>
      </c>
      <c r="B192" s="3" t="inlineStr">
        <is>
          <t>0010</t>
        </is>
      </c>
      <c r="C192" s="3" t="inlineStr">
        <is>
          <t>Reparación de falla — EQ-105</t>
        </is>
      </c>
      <c r="D192" s="3" t="inlineStr">
        <is>
          <t>Reparación de falla en EQ-105</t>
        </is>
      </c>
      <c r="E192" s="3" t="inlineStr">
        <is>
          <t>EQ-105</t>
        </is>
      </c>
      <c r="F192" s="3" t="inlineStr">
        <is>
          <t>CC-110</t>
        </is>
      </c>
      <c r="G192" s="3" t="inlineStr">
        <is>
          <t>PU-AUT</t>
        </is>
      </c>
      <c r="H192" s="3" t="inlineStr">
        <is>
          <t>ACT-03</t>
        </is>
      </c>
      <c r="I192" s="3" t="inlineStr">
        <is>
          <t>TIPO-C2</t>
        </is>
      </c>
      <c r="J192" s="11" t="n">
        <v>46168</v>
      </c>
      <c r="K192" s="3" t="n"/>
      <c r="L192" s="10" t="n">
        <v>0</v>
      </c>
      <c r="M192" s="6" t="n"/>
      <c r="N1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92" s="3">
        <f>IF(tblOrdenes[[#This Row],[fecha_inicio]]="","",YEAR(tblOrdenes[[#This Row],[fecha_inicio]]))</f>
        <v/>
      </c>
      <c r="R192" s="3">
        <f>IF(tblOrdenes[[#This Row],[fecha_inicio]]="","",MONTH(tblOrdenes[[#This Row],[fecha_inicio]]))</f>
        <v/>
      </c>
      <c r="S192" s="3">
        <f>IF(tblOrdenes[[#This Row],[fecha_inicio]]="","",INDEX(lista_dias,WEEKDAY(tblOrdenes[[#This Row],[fecha_inicio]],2)))</f>
        <v/>
      </c>
      <c r="T192" s="3">
        <f>IF(tblOrdenes[[#This Row],[tipo_ot]]="","",_xlfn.XLOOKUP(tblOrdenes[[#This Row],[tipo_ot]],tblTiposOT[codigo],tblTiposOT[clasificacion],"sin_clasificar"))</f>
        <v/>
      </c>
      <c r="U192" s="3">
        <f>IF(tblOrdenes[[#This Row],[centro_costo]]="","",_xlfn.XLOOKUP(tblOrdenes[[#This Row],[centro_costo]],tblCECO[codigo],tblCECO[linea],"(sin catálogo)"))</f>
        <v/>
      </c>
      <c r="V192" s="3">
        <f>IF(tblOrdenes[[#This Row],[centro_costo]]="","",_xlfn.XLOOKUP(tblOrdenes[[#This Row],[centro_costo]],tblCECO[codigo],tblCECO[area],"(sin catálogo)"))</f>
        <v/>
      </c>
      <c r="W192" s="3">
        <f>IF(tblOrdenes[[#This Row],[centro_costo]]="","",_xlfn.XLOOKUP(tblOrdenes[[#This Row],[centro_costo]],tblCECO[codigo],tblCECO[coordinador],"(sin catálogo)"))</f>
        <v/>
      </c>
      <c r="X192" s="3">
        <f>IF(tblOrdenes[[#This Row],[puesto_trabajo]]="","",_xlfn.XLOOKUP(tblOrdenes[[#This Row],[puesto_trabajo]],tblPuestos[codigo],tblPuestos[especialidad],"(sin catálogo)"))</f>
        <v/>
      </c>
      <c r="Y192" s="3">
        <f>IF(tblOrdenes[[#This Row],[cod_actividad]]="","",_xlfn.XLOOKUP(tblOrdenes[[#This Row],[cod_actividad]],tblActividades[codigo],tblActividades[descripcion],"(sin catálogo)"))</f>
        <v/>
      </c>
      <c r="Z192" s="12">
        <f>IF(tblOrdenes[[#This Row],[fecha_inicio]]="","",TODAY()-tblOrdenes[[#This Row],[fecha_inicio]])</f>
        <v/>
      </c>
      <c r="AA192" s="3">
        <f>IF(tblOrdenes[[#This Row],[backlog_dias]]="","",IF(tblOrdenes[[#This Row],[backlog_dias]]&lt;0,"FUTURO",IF(tblOrdenes[[#This Row],[backlog_dias]]&gt;p_dias_backlog_max,"BACKLOG","MES CORRIENTE")))</f>
        <v/>
      </c>
      <c r="AB192" s="3">
        <f>IF(tblOrdenes[[#This Row],[backlog_dias]]="",FALSE,AND(tblOrdenes[[#This Row],[backlog_dias]]&gt;p_dias_backlog_min,tblOrdenes[[#This Row],[backlog_dias]]&lt;=p_dias_backlog_max))</f>
        <v/>
      </c>
      <c r="AC192" s="6" t="inlineStr"/>
      <c r="AD1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92" s="10">
        <f>IF(tblOrdenes[[#This Row],[orden]]="","",_xlfn.XLOOKUP(tblOrdenes[[#This Row],[id_operacion]],tblEjecucion[id_operacion],tblEjecucion[precio],0))</f>
        <v/>
      </c>
      <c r="AH192" s="10">
        <f>IF(tblOrdenes[[#This Row],[orden]]="","",MAX(0,_xlfn.XLOOKUP(tblOrdenes[[#This Row],[id_operacion]],tblEjecucion[id_operacion],tblEjecucion[costo_plan_total],0)-tblOrdenes[[#This Row],[costo_servicio]]))</f>
        <v/>
      </c>
      <c r="AI192" s="10">
        <f>IF(tblOrdenes[[#This Row],[orden]]="","",tblOrdenes[[#This Row],[costo_servicio]]+tblOrdenes[[#This Row],[costo_materiales]])</f>
        <v/>
      </c>
      <c r="AJ192" s="6" t="inlineStr"/>
      <c r="AK192" s="6" t="inlineStr"/>
      <c r="AL192" s="6" t="inlineStr"/>
      <c r="AM192" s="3">
        <f>IF(tblOrdenes[[#This Row],[link_checklist]]="","",HYPERLINK(p_ruta_base_checklists&amp;tblOrdenes[[#This Row],[link_checklist]],"abrir"))</f>
        <v/>
      </c>
      <c r="AN192" s="6" t="inlineStr"/>
      <c r="AO192" s="3">
        <f>IF(tblOrdenes[[#This Row],[orden]]="","",tblOrdenes[[#This Row],[orden]]&amp;IF(tblOrdenes[[#This Row],[operacion]]="","0010",tblOrdenes[[#This Row],[operacion]]))</f>
        <v/>
      </c>
    </row>
    <row r="193">
      <c r="A193" s="3" t="inlineStr">
        <is>
          <t>OT-000904</t>
        </is>
      </c>
      <c r="B193" s="3" t="inlineStr">
        <is>
          <t>0010</t>
        </is>
      </c>
      <c r="C193" s="3" t="inlineStr">
        <is>
          <t>Reparación de falla — EQ-101</t>
        </is>
      </c>
      <c r="D193" s="3" t="inlineStr">
        <is>
          <t>Reparación de falla en EQ-101</t>
        </is>
      </c>
      <c r="E193" s="3" t="inlineStr">
        <is>
          <t>EQ-101</t>
        </is>
      </c>
      <c r="F193" s="3" t="inlineStr">
        <is>
          <t>CC-110</t>
        </is>
      </c>
      <c r="G193" s="3" t="inlineStr">
        <is>
          <t>PU-OP</t>
        </is>
      </c>
      <c r="H193" s="3" t="inlineStr">
        <is>
          <t>ACT-03</t>
        </is>
      </c>
      <c r="I193" s="3" t="inlineStr">
        <is>
          <t>TIPO-C1</t>
        </is>
      </c>
      <c r="J193" s="11" t="n">
        <v>46168</v>
      </c>
      <c r="K193" s="3" t="n"/>
      <c r="L193" s="10" t="n">
        <v>0</v>
      </c>
      <c r="M193" s="6" t="n"/>
      <c r="N1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93" s="3">
        <f>IF(tblOrdenes[[#This Row],[fecha_inicio]]="","",YEAR(tblOrdenes[[#This Row],[fecha_inicio]]))</f>
        <v/>
      </c>
      <c r="R193" s="3">
        <f>IF(tblOrdenes[[#This Row],[fecha_inicio]]="","",MONTH(tblOrdenes[[#This Row],[fecha_inicio]]))</f>
        <v/>
      </c>
      <c r="S193" s="3">
        <f>IF(tblOrdenes[[#This Row],[fecha_inicio]]="","",INDEX(lista_dias,WEEKDAY(tblOrdenes[[#This Row],[fecha_inicio]],2)))</f>
        <v/>
      </c>
      <c r="T193" s="3">
        <f>IF(tblOrdenes[[#This Row],[tipo_ot]]="","",_xlfn.XLOOKUP(tblOrdenes[[#This Row],[tipo_ot]],tblTiposOT[codigo],tblTiposOT[clasificacion],"sin_clasificar"))</f>
        <v/>
      </c>
      <c r="U193" s="3">
        <f>IF(tblOrdenes[[#This Row],[centro_costo]]="","",_xlfn.XLOOKUP(tblOrdenes[[#This Row],[centro_costo]],tblCECO[codigo],tblCECO[linea],"(sin catálogo)"))</f>
        <v/>
      </c>
      <c r="V193" s="3">
        <f>IF(tblOrdenes[[#This Row],[centro_costo]]="","",_xlfn.XLOOKUP(tblOrdenes[[#This Row],[centro_costo]],tblCECO[codigo],tblCECO[area],"(sin catálogo)"))</f>
        <v/>
      </c>
      <c r="W193" s="3">
        <f>IF(tblOrdenes[[#This Row],[centro_costo]]="","",_xlfn.XLOOKUP(tblOrdenes[[#This Row],[centro_costo]],tblCECO[codigo],tblCECO[coordinador],"(sin catálogo)"))</f>
        <v/>
      </c>
      <c r="X193" s="3">
        <f>IF(tblOrdenes[[#This Row],[puesto_trabajo]]="","",_xlfn.XLOOKUP(tblOrdenes[[#This Row],[puesto_trabajo]],tblPuestos[codigo],tblPuestos[especialidad],"(sin catálogo)"))</f>
        <v/>
      </c>
      <c r="Y193" s="3">
        <f>IF(tblOrdenes[[#This Row],[cod_actividad]]="","",_xlfn.XLOOKUP(tblOrdenes[[#This Row],[cod_actividad]],tblActividades[codigo],tblActividades[descripcion],"(sin catálogo)"))</f>
        <v/>
      </c>
      <c r="Z193" s="12">
        <f>IF(tblOrdenes[[#This Row],[fecha_inicio]]="","",TODAY()-tblOrdenes[[#This Row],[fecha_inicio]])</f>
        <v/>
      </c>
      <c r="AA193" s="3">
        <f>IF(tblOrdenes[[#This Row],[backlog_dias]]="","",IF(tblOrdenes[[#This Row],[backlog_dias]]&lt;0,"FUTURO",IF(tblOrdenes[[#This Row],[backlog_dias]]&gt;p_dias_backlog_max,"BACKLOG","MES CORRIENTE")))</f>
        <v/>
      </c>
      <c r="AB193" s="3">
        <f>IF(tblOrdenes[[#This Row],[backlog_dias]]="",FALSE,AND(tblOrdenes[[#This Row],[backlog_dias]]&gt;p_dias_backlog_min,tblOrdenes[[#This Row],[backlog_dias]]&lt;=p_dias_backlog_max))</f>
        <v/>
      </c>
      <c r="AC193" s="6" t="inlineStr"/>
      <c r="AD1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93" s="10">
        <f>IF(tblOrdenes[[#This Row],[orden]]="","",_xlfn.XLOOKUP(tblOrdenes[[#This Row],[id_operacion]],tblEjecucion[id_operacion],tblEjecucion[precio],0))</f>
        <v/>
      </c>
      <c r="AH193" s="10">
        <f>IF(tblOrdenes[[#This Row],[orden]]="","",MAX(0,_xlfn.XLOOKUP(tblOrdenes[[#This Row],[id_operacion]],tblEjecucion[id_operacion],tblEjecucion[costo_plan_total],0)-tblOrdenes[[#This Row],[costo_servicio]]))</f>
        <v/>
      </c>
      <c r="AI193" s="10">
        <f>IF(tblOrdenes[[#This Row],[orden]]="","",tblOrdenes[[#This Row],[costo_servicio]]+tblOrdenes[[#This Row],[costo_materiales]])</f>
        <v/>
      </c>
      <c r="AJ193" s="6" t="inlineStr"/>
      <c r="AK193" s="6" t="inlineStr"/>
      <c r="AL193" s="6" t="inlineStr"/>
      <c r="AM193" s="3">
        <f>IF(tblOrdenes[[#This Row],[link_checklist]]="","",HYPERLINK(p_ruta_base_checklists&amp;tblOrdenes[[#This Row],[link_checklist]],"abrir"))</f>
        <v/>
      </c>
      <c r="AN193" s="6" t="inlineStr"/>
      <c r="AO193" s="3">
        <f>IF(tblOrdenes[[#This Row],[orden]]="","",tblOrdenes[[#This Row],[orden]]&amp;IF(tblOrdenes[[#This Row],[operacion]]="","0010",tblOrdenes[[#This Row],[operacion]]))</f>
        <v/>
      </c>
    </row>
    <row r="194">
      <c r="A194" s="3" t="inlineStr">
        <is>
          <t>OT-000905</t>
        </is>
      </c>
      <c r="B194" s="3" t="inlineStr">
        <is>
          <t>0010</t>
        </is>
      </c>
      <c r="C194" s="3" t="inlineStr">
        <is>
          <t>Reparación de falla — EQ-102</t>
        </is>
      </c>
      <c r="D194" s="3" t="inlineStr">
        <is>
          <t>Reparación de falla en EQ-102</t>
        </is>
      </c>
      <c r="E194" s="3" t="inlineStr">
        <is>
          <t>EQ-102</t>
        </is>
      </c>
      <c r="F194" s="3" t="inlineStr">
        <is>
          <t>CC-110</t>
        </is>
      </c>
      <c r="G194" s="3" t="inlineStr">
        <is>
          <t>PU-MEC</t>
        </is>
      </c>
      <c r="H194" s="3" t="inlineStr">
        <is>
          <t>ACT-03</t>
        </is>
      </c>
      <c r="I194" s="3" t="inlineStr">
        <is>
          <t>TIPO-X9</t>
        </is>
      </c>
      <c r="J194" s="11" t="n">
        <v>46163</v>
      </c>
      <c r="K194" s="3" t="n">
        <v>4</v>
      </c>
      <c r="L194" s="10" t="n">
        <v>160</v>
      </c>
      <c r="M194" s="6" t="n"/>
      <c r="N1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94" s="3">
        <f>IF(tblOrdenes[[#This Row],[fecha_inicio]]="","",YEAR(tblOrdenes[[#This Row],[fecha_inicio]]))</f>
        <v/>
      </c>
      <c r="R194" s="3">
        <f>IF(tblOrdenes[[#This Row],[fecha_inicio]]="","",MONTH(tblOrdenes[[#This Row],[fecha_inicio]]))</f>
        <v/>
      </c>
      <c r="S194" s="3">
        <f>IF(tblOrdenes[[#This Row],[fecha_inicio]]="","",INDEX(lista_dias,WEEKDAY(tblOrdenes[[#This Row],[fecha_inicio]],2)))</f>
        <v/>
      </c>
      <c r="T194" s="3">
        <f>IF(tblOrdenes[[#This Row],[tipo_ot]]="","",_xlfn.XLOOKUP(tblOrdenes[[#This Row],[tipo_ot]],tblTiposOT[codigo],tblTiposOT[clasificacion],"sin_clasificar"))</f>
        <v/>
      </c>
      <c r="U194" s="3">
        <f>IF(tblOrdenes[[#This Row],[centro_costo]]="","",_xlfn.XLOOKUP(tblOrdenes[[#This Row],[centro_costo]],tblCECO[codigo],tblCECO[linea],"(sin catálogo)"))</f>
        <v/>
      </c>
      <c r="V194" s="3">
        <f>IF(tblOrdenes[[#This Row],[centro_costo]]="","",_xlfn.XLOOKUP(tblOrdenes[[#This Row],[centro_costo]],tblCECO[codigo],tblCECO[area],"(sin catálogo)"))</f>
        <v/>
      </c>
      <c r="W194" s="3">
        <f>IF(tblOrdenes[[#This Row],[centro_costo]]="","",_xlfn.XLOOKUP(tblOrdenes[[#This Row],[centro_costo]],tblCECO[codigo],tblCECO[coordinador],"(sin catálogo)"))</f>
        <v/>
      </c>
      <c r="X194" s="3">
        <f>IF(tblOrdenes[[#This Row],[puesto_trabajo]]="","",_xlfn.XLOOKUP(tblOrdenes[[#This Row],[puesto_trabajo]],tblPuestos[codigo],tblPuestos[especialidad],"(sin catálogo)"))</f>
        <v/>
      </c>
      <c r="Y194" s="3">
        <f>IF(tblOrdenes[[#This Row],[cod_actividad]]="","",_xlfn.XLOOKUP(tblOrdenes[[#This Row],[cod_actividad]],tblActividades[codigo],tblActividades[descripcion],"(sin catálogo)"))</f>
        <v/>
      </c>
      <c r="Z194" s="12">
        <f>IF(tblOrdenes[[#This Row],[fecha_inicio]]="","",TODAY()-tblOrdenes[[#This Row],[fecha_inicio]])</f>
        <v/>
      </c>
      <c r="AA194" s="3">
        <f>IF(tblOrdenes[[#This Row],[backlog_dias]]="","",IF(tblOrdenes[[#This Row],[backlog_dias]]&lt;0,"FUTURO",IF(tblOrdenes[[#This Row],[backlog_dias]]&gt;p_dias_backlog_max,"BACKLOG","MES CORRIENTE")))</f>
        <v/>
      </c>
      <c r="AB194" s="3">
        <f>IF(tblOrdenes[[#This Row],[backlog_dias]]="",FALSE,AND(tblOrdenes[[#This Row],[backlog_dias]]&gt;p_dias_backlog_min,tblOrdenes[[#This Row],[backlog_dias]]&lt;=p_dias_backlog_max))</f>
        <v/>
      </c>
      <c r="AC194" s="6" t="inlineStr"/>
      <c r="AD1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94" s="10">
        <f>IF(tblOrdenes[[#This Row],[orden]]="","",_xlfn.XLOOKUP(tblOrdenes[[#This Row],[id_operacion]],tblEjecucion[id_operacion],tblEjecucion[precio],0))</f>
        <v/>
      </c>
      <c r="AH194" s="10">
        <f>IF(tblOrdenes[[#This Row],[orden]]="","",MAX(0,_xlfn.XLOOKUP(tblOrdenes[[#This Row],[id_operacion]],tblEjecucion[id_operacion],tblEjecucion[costo_plan_total],0)-tblOrdenes[[#This Row],[costo_servicio]]))</f>
        <v/>
      </c>
      <c r="AI194" s="10">
        <f>IF(tblOrdenes[[#This Row],[orden]]="","",tblOrdenes[[#This Row],[costo_servicio]]+tblOrdenes[[#This Row],[costo_materiales]])</f>
        <v/>
      </c>
      <c r="AJ194" s="6" t="inlineStr"/>
      <c r="AK194" s="6" t="inlineStr"/>
      <c r="AL194" s="6" t="inlineStr"/>
      <c r="AM194" s="3">
        <f>IF(tblOrdenes[[#This Row],[link_checklist]]="","",HYPERLINK(p_ruta_base_checklists&amp;tblOrdenes[[#This Row],[link_checklist]],"abrir"))</f>
        <v/>
      </c>
      <c r="AN194" s="6" t="inlineStr"/>
      <c r="AO194" s="3">
        <f>IF(tblOrdenes[[#This Row],[orden]]="","",tblOrdenes[[#This Row],[orden]]&amp;IF(tblOrdenes[[#This Row],[operacion]]="","0010",tblOrdenes[[#This Row],[operacion]]))</f>
        <v/>
      </c>
    </row>
    <row r="195">
      <c r="A195" s="3" t="inlineStr">
        <is>
          <t>OT-000906</t>
        </is>
      </c>
      <c r="B195" s="3" t="inlineStr">
        <is>
          <t>0010</t>
        </is>
      </c>
      <c r="C195" s="3" t="inlineStr">
        <is>
          <t>Reparación de falla — EQ-103</t>
        </is>
      </c>
      <c r="D195" s="3" t="inlineStr">
        <is>
          <t>Reparación de falla en EQ-103</t>
        </is>
      </c>
      <c r="E195" s="3" t="inlineStr">
        <is>
          <t>EQ-103</t>
        </is>
      </c>
      <c r="F195" s="3" t="inlineStr">
        <is>
          <t>CC-110</t>
        </is>
      </c>
      <c r="G195" s="3" t="inlineStr">
        <is>
          <t>PU-ELE</t>
        </is>
      </c>
      <c r="H195" s="3" t="inlineStr">
        <is>
          <t>ACT-03</t>
        </is>
      </c>
      <c r="I195" s="3" t="inlineStr">
        <is>
          <t>TIPO-X9</t>
        </is>
      </c>
      <c r="J195" s="11" t="n">
        <v>46163</v>
      </c>
      <c r="K195" s="3" t="n">
        <v>4</v>
      </c>
      <c r="L195" s="10" t="n">
        <v>160</v>
      </c>
      <c r="M195" s="6" t="n"/>
      <c r="N1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95" s="3">
        <f>IF(tblOrdenes[[#This Row],[fecha_inicio]]="","",YEAR(tblOrdenes[[#This Row],[fecha_inicio]]))</f>
        <v/>
      </c>
      <c r="R195" s="3">
        <f>IF(tblOrdenes[[#This Row],[fecha_inicio]]="","",MONTH(tblOrdenes[[#This Row],[fecha_inicio]]))</f>
        <v/>
      </c>
      <c r="S195" s="3">
        <f>IF(tblOrdenes[[#This Row],[fecha_inicio]]="","",INDEX(lista_dias,WEEKDAY(tblOrdenes[[#This Row],[fecha_inicio]],2)))</f>
        <v/>
      </c>
      <c r="T195" s="3">
        <f>IF(tblOrdenes[[#This Row],[tipo_ot]]="","",_xlfn.XLOOKUP(tblOrdenes[[#This Row],[tipo_ot]],tblTiposOT[codigo],tblTiposOT[clasificacion],"sin_clasificar"))</f>
        <v/>
      </c>
      <c r="U195" s="3">
        <f>IF(tblOrdenes[[#This Row],[centro_costo]]="","",_xlfn.XLOOKUP(tblOrdenes[[#This Row],[centro_costo]],tblCECO[codigo],tblCECO[linea],"(sin catálogo)"))</f>
        <v/>
      </c>
      <c r="V195" s="3">
        <f>IF(tblOrdenes[[#This Row],[centro_costo]]="","",_xlfn.XLOOKUP(tblOrdenes[[#This Row],[centro_costo]],tblCECO[codigo],tblCECO[area],"(sin catálogo)"))</f>
        <v/>
      </c>
      <c r="W195" s="3">
        <f>IF(tblOrdenes[[#This Row],[centro_costo]]="","",_xlfn.XLOOKUP(tblOrdenes[[#This Row],[centro_costo]],tblCECO[codigo],tblCECO[coordinador],"(sin catálogo)"))</f>
        <v/>
      </c>
      <c r="X195" s="3">
        <f>IF(tblOrdenes[[#This Row],[puesto_trabajo]]="","",_xlfn.XLOOKUP(tblOrdenes[[#This Row],[puesto_trabajo]],tblPuestos[codigo],tblPuestos[especialidad],"(sin catálogo)"))</f>
        <v/>
      </c>
      <c r="Y195" s="3">
        <f>IF(tblOrdenes[[#This Row],[cod_actividad]]="","",_xlfn.XLOOKUP(tblOrdenes[[#This Row],[cod_actividad]],tblActividades[codigo],tblActividades[descripcion],"(sin catálogo)"))</f>
        <v/>
      </c>
      <c r="Z195" s="12">
        <f>IF(tblOrdenes[[#This Row],[fecha_inicio]]="","",TODAY()-tblOrdenes[[#This Row],[fecha_inicio]])</f>
        <v/>
      </c>
      <c r="AA195" s="3">
        <f>IF(tblOrdenes[[#This Row],[backlog_dias]]="","",IF(tblOrdenes[[#This Row],[backlog_dias]]&lt;0,"FUTURO",IF(tblOrdenes[[#This Row],[backlog_dias]]&gt;p_dias_backlog_max,"BACKLOG","MES CORRIENTE")))</f>
        <v/>
      </c>
      <c r="AB195" s="3">
        <f>IF(tblOrdenes[[#This Row],[backlog_dias]]="",FALSE,AND(tblOrdenes[[#This Row],[backlog_dias]]&gt;p_dias_backlog_min,tblOrdenes[[#This Row],[backlog_dias]]&lt;=p_dias_backlog_max))</f>
        <v/>
      </c>
      <c r="AC195" s="6" t="inlineStr"/>
      <c r="AD1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95" s="10">
        <f>IF(tblOrdenes[[#This Row],[orden]]="","",_xlfn.XLOOKUP(tblOrdenes[[#This Row],[id_operacion]],tblEjecucion[id_operacion],tblEjecucion[precio],0))</f>
        <v/>
      </c>
      <c r="AH195" s="10">
        <f>IF(tblOrdenes[[#This Row],[orden]]="","",MAX(0,_xlfn.XLOOKUP(tblOrdenes[[#This Row],[id_operacion]],tblEjecucion[id_operacion],tblEjecucion[costo_plan_total],0)-tblOrdenes[[#This Row],[costo_servicio]]))</f>
        <v/>
      </c>
      <c r="AI195" s="10">
        <f>IF(tblOrdenes[[#This Row],[orden]]="","",tblOrdenes[[#This Row],[costo_servicio]]+tblOrdenes[[#This Row],[costo_materiales]])</f>
        <v/>
      </c>
      <c r="AJ195" s="6" t="inlineStr"/>
      <c r="AK195" s="6" t="inlineStr"/>
      <c r="AL195" s="6" t="inlineStr"/>
      <c r="AM195" s="3">
        <f>IF(tblOrdenes[[#This Row],[link_checklist]]="","",HYPERLINK(p_ruta_base_checklists&amp;tblOrdenes[[#This Row],[link_checklist]],"abrir"))</f>
        <v/>
      </c>
      <c r="AN195" s="6" t="inlineStr"/>
      <c r="AO195" s="3">
        <f>IF(tblOrdenes[[#This Row],[orden]]="","",tblOrdenes[[#This Row],[orden]]&amp;IF(tblOrdenes[[#This Row],[operacion]]="","0010",tblOrdenes[[#This Row],[operacion]]))</f>
        <v/>
      </c>
    </row>
    <row r="196">
      <c r="A196" s="3" t="inlineStr">
        <is>
          <t>OT-000907</t>
        </is>
      </c>
      <c r="B196" s="3" t="inlineStr">
        <is>
          <t>0010</t>
        </is>
      </c>
      <c r="C196" s="3" t="inlineStr">
        <is>
          <t>Reparación de falla — EQ-104</t>
        </is>
      </c>
      <c r="D196" s="3" t="inlineStr">
        <is>
          <t>Reparación de falla en EQ-104</t>
        </is>
      </c>
      <c r="E196" s="3" t="inlineStr">
        <is>
          <t>EQ-104</t>
        </is>
      </c>
      <c r="F196" s="3" t="inlineStr">
        <is>
          <t>CC-999</t>
        </is>
      </c>
      <c r="G196" s="3" t="inlineStr">
        <is>
          <t>PU-MEC</t>
        </is>
      </c>
      <c r="H196" s="3" t="inlineStr">
        <is>
          <t>ACT-03</t>
        </is>
      </c>
      <c r="I196" s="3" t="inlineStr">
        <is>
          <t>TIPO-C2</t>
        </is>
      </c>
      <c r="J196" s="11" t="n">
        <v>46161</v>
      </c>
      <c r="K196" s="3" t="n">
        <v>4</v>
      </c>
      <c r="L196" s="10" t="n">
        <v>160</v>
      </c>
      <c r="M196" s="6" t="n"/>
      <c r="N1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96" s="3">
        <f>IF(tblOrdenes[[#This Row],[fecha_inicio]]="","",YEAR(tblOrdenes[[#This Row],[fecha_inicio]]))</f>
        <v/>
      </c>
      <c r="R196" s="3">
        <f>IF(tblOrdenes[[#This Row],[fecha_inicio]]="","",MONTH(tblOrdenes[[#This Row],[fecha_inicio]]))</f>
        <v/>
      </c>
      <c r="S196" s="3">
        <f>IF(tblOrdenes[[#This Row],[fecha_inicio]]="","",INDEX(lista_dias,WEEKDAY(tblOrdenes[[#This Row],[fecha_inicio]],2)))</f>
        <v/>
      </c>
      <c r="T196" s="3">
        <f>IF(tblOrdenes[[#This Row],[tipo_ot]]="","",_xlfn.XLOOKUP(tblOrdenes[[#This Row],[tipo_ot]],tblTiposOT[codigo],tblTiposOT[clasificacion],"sin_clasificar"))</f>
        <v/>
      </c>
      <c r="U196" s="3">
        <f>IF(tblOrdenes[[#This Row],[centro_costo]]="","",_xlfn.XLOOKUP(tblOrdenes[[#This Row],[centro_costo]],tblCECO[codigo],tblCECO[linea],"(sin catálogo)"))</f>
        <v/>
      </c>
      <c r="V196" s="3">
        <f>IF(tblOrdenes[[#This Row],[centro_costo]]="","",_xlfn.XLOOKUP(tblOrdenes[[#This Row],[centro_costo]],tblCECO[codigo],tblCECO[area],"(sin catálogo)"))</f>
        <v/>
      </c>
      <c r="W196" s="3">
        <f>IF(tblOrdenes[[#This Row],[centro_costo]]="","",_xlfn.XLOOKUP(tblOrdenes[[#This Row],[centro_costo]],tblCECO[codigo],tblCECO[coordinador],"(sin catálogo)"))</f>
        <v/>
      </c>
      <c r="X196" s="3">
        <f>IF(tblOrdenes[[#This Row],[puesto_trabajo]]="","",_xlfn.XLOOKUP(tblOrdenes[[#This Row],[puesto_trabajo]],tblPuestos[codigo],tblPuestos[especialidad],"(sin catálogo)"))</f>
        <v/>
      </c>
      <c r="Y196" s="3">
        <f>IF(tblOrdenes[[#This Row],[cod_actividad]]="","",_xlfn.XLOOKUP(tblOrdenes[[#This Row],[cod_actividad]],tblActividades[codigo],tblActividades[descripcion],"(sin catálogo)"))</f>
        <v/>
      </c>
      <c r="Z196" s="12">
        <f>IF(tblOrdenes[[#This Row],[fecha_inicio]]="","",TODAY()-tblOrdenes[[#This Row],[fecha_inicio]])</f>
        <v/>
      </c>
      <c r="AA196" s="3">
        <f>IF(tblOrdenes[[#This Row],[backlog_dias]]="","",IF(tblOrdenes[[#This Row],[backlog_dias]]&lt;0,"FUTURO",IF(tblOrdenes[[#This Row],[backlog_dias]]&gt;p_dias_backlog_max,"BACKLOG","MES CORRIENTE")))</f>
        <v/>
      </c>
      <c r="AB196" s="3">
        <f>IF(tblOrdenes[[#This Row],[backlog_dias]]="",FALSE,AND(tblOrdenes[[#This Row],[backlog_dias]]&gt;p_dias_backlog_min,tblOrdenes[[#This Row],[backlog_dias]]&lt;=p_dias_backlog_max))</f>
        <v/>
      </c>
      <c r="AC196" s="6" t="inlineStr"/>
      <c r="AD1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96" s="10">
        <f>IF(tblOrdenes[[#This Row],[orden]]="","",_xlfn.XLOOKUP(tblOrdenes[[#This Row],[id_operacion]],tblEjecucion[id_operacion],tblEjecucion[precio],0))</f>
        <v/>
      </c>
      <c r="AH196" s="10">
        <f>IF(tblOrdenes[[#This Row],[orden]]="","",MAX(0,_xlfn.XLOOKUP(tblOrdenes[[#This Row],[id_operacion]],tblEjecucion[id_operacion],tblEjecucion[costo_plan_total],0)-tblOrdenes[[#This Row],[costo_servicio]]))</f>
        <v/>
      </c>
      <c r="AI196" s="10">
        <f>IF(tblOrdenes[[#This Row],[orden]]="","",tblOrdenes[[#This Row],[costo_servicio]]+tblOrdenes[[#This Row],[costo_materiales]])</f>
        <v/>
      </c>
      <c r="AJ196" s="6" t="inlineStr"/>
      <c r="AK196" s="6" t="inlineStr"/>
      <c r="AL196" s="6" t="inlineStr"/>
      <c r="AM196" s="3">
        <f>IF(tblOrdenes[[#This Row],[link_checklist]]="","",HYPERLINK(p_ruta_base_checklists&amp;tblOrdenes[[#This Row],[link_checklist]],"abrir"))</f>
        <v/>
      </c>
      <c r="AN196" s="6" t="inlineStr"/>
      <c r="AO196" s="3">
        <f>IF(tblOrdenes[[#This Row],[orden]]="","",tblOrdenes[[#This Row],[orden]]&amp;IF(tblOrdenes[[#This Row],[operacion]]="","0010",tblOrdenes[[#This Row],[operacion]]))</f>
        <v/>
      </c>
    </row>
    <row r="197">
      <c r="A197" s="3" t="inlineStr">
        <is>
          <t>OT-000908</t>
        </is>
      </c>
      <c r="B197" s="3" t="inlineStr">
        <is>
          <t>0010</t>
        </is>
      </c>
      <c r="C197" s="3" t="inlineStr">
        <is>
          <t>Reparación de falla — EQ-105</t>
        </is>
      </c>
      <c r="D197" s="3" t="inlineStr">
        <is>
          <t>Reparación de falla en EQ-105</t>
        </is>
      </c>
      <c r="E197" s="3" t="inlineStr">
        <is>
          <t>EQ-105</t>
        </is>
      </c>
      <c r="F197" s="3" t="inlineStr">
        <is>
          <t>CC-110</t>
        </is>
      </c>
      <c r="G197" s="3" t="inlineStr">
        <is>
          <t>PU-XXX</t>
        </is>
      </c>
      <c r="H197" s="3" t="inlineStr">
        <is>
          <t>ACT-03</t>
        </is>
      </c>
      <c r="I197" s="3" t="inlineStr">
        <is>
          <t>TIPO-C1</t>
        </is>
      </c>
      <c r="J197" s="11" t="n">
        <v>46161</v>
      </c>
      <c r="K197" s="3" t="n">
        <v>4</v>
      </c>
      <c r="L197" s="10" t="n">
        <v>160</v>
      </c>
      <c r="M197" s="6" t="n"/>
      <c r="N1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97" s="3">
        <f>IF(tblOrdenes[[#This Row],[fecha_inicio]]="","",YEAR(tblOrdenes[[#This Row],[fecha_inicio]]))</f>
        <v/>
      </c>
      <c r="R197" s="3">
        <f>IF(tblOrdenes[[#This Row],[fecha_inicio]]="","",MONTH(tblOrdenes[[#This Row],[fecha_inicio]]))</f>
        <v/>
      </c>
      <c r="S197" s="3">
        <f>IF(tblOrdenes[[#This Row],[fecha_inicio]]="","",INDEX(lista_dias,WEEKDAY(tblOrdenes[[#This Row],[fecha_inicio]],2)))</f>
        <v/>
      </c>
      <c r="T197" s="3">
        <f>IF(tblOrdenes[[#This Row],[tipo_ot]]="","",_xlfn.XLOOKUP(tblOrdenes[[#This Row],[tipo_ot]],tblTiposOT[codigo],tblTiposOT[clasificacion],"sin_clasificar"))</f>
        <v/>
      </c>
      <c r="U197" s="3">
        <f>IF(tblOrdenes[[#This Row],[centro_costo]]="","",_xlfn.XLOOKUP(tblOrdenes[[#This Row],[centro_costo]],tblCECO[codigo],tblCECO[linea],"(sin catálogo)"))</f>
        <v/>
      </c>
      <c r="V197" s="3">
        <f>IF(tblOrdenes[[#This Row],[centro_costo]]="","",_xlfn.XLOOKUP(tblOrdenes[[#This Row],[centro_costo]],tblCECO[codigo],tblCECO[area],"(sin catálogo)"))</f>
        <v/>
      </c>
      <c r="W197" s="3">
        <f>IF(tblOrdenes[[#This Row],[centro_costo]]="","",_xlfn.XLOOKUP(tblOrdenes[[#This Row],[centro_costo]],tblCECO[codigo],tblCECO[coordinador],"(sin catálogo)"))</f>
        <v/>
      </c>
      <c r="X197" s="3">
        <f>IF(tblOrdenes[[#This Row],[puesto_trabajo]]="","",_xlfn.XLOOKUP(tblOrdenes[[#This Row],[puesto_trabajo]],tblPuestos[codigo],tblPuestos[especialidad],"(sin catálogo)"))</f>
        <v/>
      </c>
      <c r="Y197" s="3">
        <f>IF(tblOrdenes[[#This Row],[cod_actividad]]="","",_xlfn.XLOOKUP(tblOrdenes[[#This Row],[cod_actividad]],tblActividades[codigo],tblActividades[descripcion],"(sin catálogo)"))</f>
        <v/>
      </c>
      <c r="Z197" s="12">
        <f>IF(tblOrdenes[[#This Row],[fecha_inicio]]="","",TODAY()-tblOrdenes[[#This Row],[fecha_inicio]])</f>
        <v/>
      </c>
      <c r="AA197" s="3">
        <f>IF(tblOrdenes[[#This Row],[backlog_dias]]="","",IF(tblOrdenes[[#This Row],[backlog_dias]]&lt;0,"FUTURO",IF(tblOrdenes[[#This Row],[backlog_dias]]&gt;p_dias_backlog_max,"BACKLOG","MES CORRIENTE")))</f>
        <v/>
      </c>
      <c r="AB197" s="3">
        <f>IF(tblOrdenes[[#This Row],[backlog_dias]]="",FALSE,AND(tblOrdenes[[#This Row],[backlog_dias]]&gt;p_dias_backlog_min,tblOrdenes[[#This Row],[backlog_dias]]&lt;=p_dias_backlog_max))</f>
        <v/>
      </c>
      <c r="AC197" s="6" t="inlineStr"/>
      <c r="AD1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97" s="10">
        <f>IF(tblOrdenes[[#This Row],[orden]]="","",_xlfn.XLOOKUP(tblOrdenes[[#This Row],[id_operacion]],tblEjecucion[id_operacion],tblEjecucion[precio],0))</f>
        <v/>
      </c>
      <c r="AH197" s="10">
        <f>IF(tblOrdenes[[#This Row],[orden]]="","",MAX(0,_xlfn.XLOOKUP(tblOrdenes[[#This Row],[id_operacion]],tblEjecucion[id_operacion],tblEjecucion[costo_plan_total],0)-tblOrdenes[[#This Row],[costo_servicio]]))</f>
        <v/>
      </c>
      <c r="AI197" s="10">
        <f>IF(tblOrdenes[[#This Row],[orden]]="","",tblOrdenes[[#This Row],[costo_servicio]]+tblOrdenes[[#This Row],[costo_materiales]])</f>
        <v/>
      </c>
      <c r="AJ197" s="6" t="inlineStr"/>
      <c r="AK197" s="6" t="inlineStr"/>
      <c r="AL197" s="6" t="inlineStr"/>
      <c r="AM197" s="3">
        <f>IF(tblOrdenes[[#This Row],[link_checklist]]="","",HYPERLINK(p_ruta_base_checklists&amp;tblOrdenes[[#This Row],[link_checklist]],"abrir"))</f>
        <v/>
      </c>
      <c r="AN197" s="6" t="inlineStr"/>
      <c r="AO197" s="3">
        <f>IF(tblOrdenes[[#This Row],[orden]]="","",tblOrdenes[[#This Row],[orden]]&amp;IF(tblOrdenes[[#This Row],[operacion]]="","0010",tblOrdenes[[#This Row],[operacion]]))</f>
        <v/>
      </c>
    </row>
    <row r="198">
      <c r="A198" s="3" t="inlineStr">
        <is>
          <t>OT-000909</t>
        </is>
      </c>
      <c r="B198" s="3" t="inlineStr">
        <is>
          <t>0010</t>
        </is>
      </c>
      <c r="C198" s="3" t="inlineStr">
        <is>
          <t>Reparación de falla — EQ-101</t>
        </is>
      </c>
      <c r="D198" s="3" t="inlineStr">
        <is>
          <t>Reparación de falla en EQ-101</t>
        </is>
      </c>
      <c r="E198" s="3" t="inlineStr">
        <is>
          <t>EQ-101</t>
        </is>
      </c>
      <c r="F198" s="3" t="inlineStr">
        <is>
          <t>CC-110</t>
        </is>
      </c>
      <c r="G198" s="3" t="inlineStr">
        <is>
          <t>PU-AUT</t>
        </is>
      </c>
      <c r="H198" s="3" t="inlineStr">
        <is>
          <t>ACT-99</t>
        </is>
      </c>
      <c r="I198" s="3" t="inlineStr">
        <is>
          <t>TIPO-C2</t>
        </is>
      </c>
      <c r="J198" s="11" t="n">
        <v>46159</v>
      </c>
      <c r="K198" s="3" t="n">
        <v>4</v>
      </c>
      <c r="L198" s="10" t="n">
        <v>160</v>
      </c>
      <c r="M198" s="6" t="n"/>
      <c r="N1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98" s="3">
        <f>IF(tblOrdenes[[#This Row],[fecha_inicio]]="","",YEAR(tblOrdenes[[#This Row],[fecha_inicio]]))</f>
        <v/>
      </c>
      <c r="R198" s="3">
        <f>IF(tblOrdenes[[#This Row],[fecha_inicio]]="","",MONTH(tblOrdenes[[#This Row],[fecha_inicio]]))</f>
        <v/>
      </c>
      <c r="S198" s="3">
        <f>IF(tblOrdenes[[#This Row],[fecha_inicio]]="","",INDEX(lista_dias,WEEKDAY(tblOrdenes[[#This Row],[fecha_inicio]],2)))</f>
        <v/>
      </c>
      <c r="T198" s="3">
        <f>IF(tblOrdenes[[#This Row],[tipo_ot]]="","",_xlfn.XLOOKUP(tblOrdenes[[#This Row],[tipo_ot]],tblTiposOT[codigo],tblTiposOT[clasificacion],"sin_clasificar"))</f>
        <v/>
      </c>
      <c r="U198" s="3">
        <f>IF(tblOrdenes[[#This Row],[centro_costo]]="","",_xlfn.XLOOKUP(tblOrdenes[[#This Row],[centro_costo]],tblCECO[codigo],tblCECO[linea],"(sin catálogo)"))</f>
        <v/>
      </c>
      <c r="V198" s="3">
        <f>IF(tblOrdenes[[#This Row],[centro_costo]]="","",_xlfn.XLOOKUP(tblOrdenes[[#This Row],[centro_costo]],tblCECO[codigo],tblCECO[area],"(sin catálogo)"))</f>
        <v/>
      </c>
      <c r="W198" s="3">
        <f>IF(tblOrdenes[[#This Row],[centro_costo]]="","",_xlfn.XLOOKUP(tblOrdenes[[#This Row],[centro_costo]],tblCECO[codigo],tblCECO[coordinador],"(sin catálogo)"))</f>
        <v/>
      </c>
      <c r="X198" s="3">
        <f>IF(tblOrdenes[[#This Row],[puesto_trabajo]]="","",_xlfn.XLOOKUP(tblOrdenes[[#This Row],[puesto_trabajo]],tblPuestos[codigo],tblPuestos[especialidad],"(sin catálogo)"))</f>
        <v/>
      </c>
      <c r="Y198" s="3">
        <f>IF(tblOrdenes[[#This Row],[cod_actividad]]="","",_xlfn.XLOOKUP(tblOrdenes[[#This Row],[cod_actividad]],tblActividades[codigo],tblActividades[descripcion],"(sin catálogo)"))</f>
        <v/>
      </c>
      <c r="Z198" s="12">
        <f>IF(tblOrdenes[[#This Row],[fecha_inicio]]="","",TODAY()-tblOrdenes[[#This Row],[fecha_inicio]])</f>
        <v/>
      </c>
      <c r="AA198" s="3">
        <f>IF(tblOrdenes[[#This Row],[backlog_dias]]="","",IF(tblOrdenes[[#This Row],[backlog_dias]]&lt;0,"FUTURO",IF(tblOrdenes[[#This Row],[backlog_dias]]&gt;p_dias_backlog_max,"BACKLOG","MES CORRIENTE")))</f>
        <v/>
      </c>
      <c r="AB198" s="3">
        <f>IF(tblOrdenes[[#This Row],[backlog_dias]]="",FALSE,AND(tblOrdenes[[#This Row],[backlog_dias]]&gt;p_dias_backlog_min,tblOrdenes[[#This Row],[backlog_dias]]&lt;=p_dias_backlog_max))</f>
        <v/>
      </c>
      <c r="AC198" s="6" t="inlineStr"/>
      <c r="AD1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98" s="10">
        <f>IF(tblOrdenes[[#This Row],[orden]]="","",_xlfn.XLOOKUP(tblOrdenes[[#This Row],[id_operacion]],tblEjecucion[id_operacion],tblEjecucion[precio],0))</f>
        <v/>
      </c>
      <c r="AH198" s="10">
        <f>IF(tblOrdenes[[#This Row],[orden]]="","",MAX(0,_xlfn.XLOOKUP(tblOrdenes[[#This Row],[id_operacion]],tblEjecucion[id_operacion],tblEjecucion[costo_plan_total],0)-tblOrdenes[[#This Row],[costo_servicio]]))</f>
        <v/>
      </c>
      <c r="AI198" s="10">
        <f>IF(tblOrdenes[[#This Row],[orden]]="","",tblOrdenes[[#This Row],[costo_servicio]]+tblOrdenes[[#This Row],[costo_materiales]])</f>
        <v/>
      </c>
      <c r="AJ198" s="6" t="inlineStr"/>
      <c r="AK198" s="6" t="inlineStr"/>
      <c r="AL198" s="6" t="inlineStr"/>
      <c r="AM198" s="3">
        <f>IF(tblOrdenes[[#This Row],[link_checklist]]="","",HYPERLINK(p_ruta_base_checklists&amp;tblOrdenes[[#This Row],[link_checklist]],"abrir"))</f>
        <v/>
      </c>
      <c r="AN198" s="6" t="inlineStr"/>
      <c r="AO198" s="3">
        <f>IF(tblOrdenes[[#This Row],[orden]]="","",tblOrdenes[[#This Row],[orden]]&amp;IF(tblOrdenes[[#This Row],[operacion]]="","0010",tblOrdenes[[#This Row],[operacion]]))</f>
        <v/>
      </c>
    </row>
    <row r="199">
      <c r="A199" s="3" t="inlineStr">
        <is>
          <t>OT-000196</t>
        </is>
      </c>
      <c r="B199" s="3" t="inlineStr">
        <is>
          <t>0010</t>
        </is>
      </c>
      <c r="C199" s="3" t="inlineStr">
        <is>
          <t>Reparación de falla — EQ-106</t>
        </is>
      </c>
      <c r="D199" s="3" t="inlineStr">
        <is>
          <t>Reparación de falla en EQ-106</t>
        </is>
      </c>
      <c r="E199" s="3" t="inlineStr">
        <is>
          <t>EQ-106</t>
        </is>
      </c>
      <c r="F199" s="3" t="inlineStr">
        <is>
          <t>CC-220</t>
        </is>
      </c>
      <c r="G199" s="3" t="inlineStr">
        <is>
          <t>PU-ELE</t>
        </is>
      </c>
      <c r="H199" s="3" t="inlineStr">
        <is>
          <t>ACT-03</t>
        </is>
      </c>
      <c r="I199" s="3" t="inlineStr">
        <is>
          <t>TIPO-C1</t>
        </is>
      </c>
      <c r="J199" s="11" t="n">
        <v>46188</v>
      </c>
      <c r="K199" s="3" t="n">
        <v>2</v>
      </c>
      <c r="L199" s="10" t="n">
        <v>80</v>
      </c>
      <c r="M199" s="6" t="n"/>
      <c r="N1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99" s="3">
        <f>IF(tblOrdenes[[#This Row],[fecha_inicio]]="","",YEAR(tblOrdenes[[#This Row],[fecha_inicio]]))</f>
        <v/>
      </c>
      <c r="R199" s="3">
        <f>IF(tblOrdenes[[#This Row],[fecha_inicio]]="","",MONTH(tblOrdenes[[#This Row],[fecha_inicio]]))</f>
        <v/>
      </c>
      <c r="S199" s="3">
        <f>IF(tblOrdenes[[#This Row],[fecha_inicio]]="","",INDEX(lista_dias,WEEKDAY(tblOrdenes[[#This Row],[fecha_inicio]],2)))</f>
        <v/>
      </c>
      <c r="T199" s="3">
        <f>IF(tblOrdenes[[#This Row],[tipo_ot]]="","",_xlfn.XLOOKUP(tblOrdenes[[#This Row],[tipo_ot]],tblTiposOT[codigo],tblTiposOT[clasificacion],"sin_clasificar"))</f>
        <v/>
      </c>
      <c r="U199" s="3">
        <f>IF(tblOrdenes[[#This Row],[centro_costo]]="","",_xlfn.XLOOKUP(tblOrdenes[[#This Row],[centro_costo]],tblCECO[codigo],tblCECO[linea],"(sin catálogo)"))</f>
        <v/>
      </c>
      <c r="V199" s="3">
        <f>IF(tblOrdenes[[#This Row],[centro_costo]]="","",_xlfn.XLOOKUP(tblOrdenes[[#This Row],[centro_costo]],tblCECO[codigo],tblCECO[area],"(sin catálogo)"))</f>
        <v/>
      </c>
      <c r="W199" s="3">
        <f>IF(tblOrdenes[[#This Row],[centro_costo]]="","",_xlfn.XLOOKUP(tblOrdenes[[#This Row],[centro_costo]],tblCECO[codigo],tblCECO[coordinador],"(sin catálogo)"))</f>
        <v/>
      </c>
      <c r="X199" s="3">
        <f>IF(tblOrdenes[[#This Row],[puesto_trabajo]]="","",_xlfn.XLOOKUP(tblOrdenes[[#This Row],[puesto_trabajo]],tblPuestos[codigo],tblPuestos[especialidad],"(sin catálogo)"))</f>
        <v/>
      </c>
      <c r="Y199" s="3">
        <f>IF(tblOrdenes[[#This Row],[cod_actividad]]="","",_xlfn.XLOOKUP(tblOrdenes[[#This Row],[cod_actividad]],tblActividades[codigo],tblActividades[descripcion],"(sin catálogo)"))</f>
        <v/>
      </c>
      <c r="Z199" s="12">
        <f>IF(tblOrdenes[[#This Row],[fecha_inicio]]="","",TODAY()-tblOrdenes[[#This Row],[fecha_inicio]])</f>
        <v/>
      </c>
      <c r="AA199" s="3">
        <f>IF(tblOrdenes[[#This Row],[backlog_dias]]="","",IF(tblOrdenes[[#This Row],[backlog_dias]]&lt;0,"FUTURO",IF(tblOrdenes[[#This Row],[backlog_dias]]&gt;p_dias_backlog_max,"BACKLOG","MES CORRIENTE")))</f>
        <v/>
      </c>
      <c r="AB199" s="3">
        <f>IF(tblOrdenes[[#This Row],[backlog_dias]]="",FALSE,AND(tblOrdenes[[#This Row],[backlog_dias]]&gt;p_dias_backlog_min,tblOrdenes[[#This Row],[backlog_dias]]&lt;=p_dias_backlog_max))</f>
        <v/>
      </c>
      <c r="AC199" s="6" t="inlineStr"/>
      <c r="AD1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99" s="10">
        <f>IF(tblOrdenes[[#This Row],[orden]]="","",_xlfn.XLOOKUP(tblOrdenes[[#This Row],[id_operacion]],tblEjecucion[id_operacion],tblEjecucion[precio],0))</f>
        <v/>
      </c>
      <c r="AH199" s="10">
        <f>IF(tblOrdenes[[#This Row],[orden]]="","",MAX(0,_xlfn.XLOOKUP(tblOrdenes[[#This Row],[id_operacion]],tblEjecucion[id_operacion],tblEjecucion[costo_plan_total],0)-tblOrdenes[[#This Row],[costo_servicio]]))</f>
        <v/>
      </c>
      <c r="AI199" s="10">
        <f>IF(tblOrdenes[[#This Row],[orden]]="","",tblOrdenes[[#This Row],[costo_servicio]]+tblOrdenes[[#This Row],[costo_materiales]])</f>
        <v/>
      </c>
      <c r="AJ199" s="6" t="inlineStr"/>
      <c r="AK199" s="6" t="inlineStr"/>
      <c r="AL199" s="6" t="inlineStr"/>
      <c r="AM199" s="3">
        <f>IF(tblOrdenes[[#This Row],[link_checklist]]="","",HYPERLINK(p_ruta_base_checklists&amp;tblOrdenes[[#This Row],[link_checklist]],"abrir"))</f>
        <v/>
      </c>
      <c r="AN199" s="6" t="inlineStr"/>
      <c r="AO199" s="3">
        <f>IF(tblOrdenes[[#This Row],[orden]]="","",tblOrdenes[[#This Row],[orden]]&amp;IF(tblOrdenes[[#This Row],[operacion]]="","0010",tblOrdenes[[#This Row],[operacion]]))</f>
        <v/>
      </c>
    </row>
    <row r="200">
      <c r="A200" s="3" t="inlineStr">
        <is>
          <t>OT-000197</t>
        </is>
      </c>
      <c r="B200" s="3" t="inlineStr">
        <is>
          <t>0010</t>
        </is>
      </c>
      <c r="C200" s="3" t="inlineStr">
        <is>
          <t>Reparación de falla — EQ-107</t>
        </is>
      </c>
      <c r="D200" s="3" t="inlineStr">
        <is>
          <t>Reparación de falla en EQ-107</t>
        </is>
      </c>
      <c r="E200" s="3" t="inlineStr">
        <is>
          <t>EQ-107</t>
        </is>
      </c>
      <c r="F200" s="3" t="inlineStr">
        <is>
          <t>CC-220</t>
        </is>
      </c>
      <c r="G200" s="3" t="inlineStr">
        <is>
          <t>PU-ELE</t>
        </is>
      </c>
      <c r="H200" s="3" t="inlineStr">
        <is>
          <t>ACT-03</t>
        </is>
      </c>
      <c r="I200" s="3" t="inlineStr">
        <is>
          <t>TIPO-C2</t>
        </is>
      </c>
      <c r="J200" s="11" t="n">
        <v>46187</v>
      </c>
      <c r="K200" s="3" t="n">
        <v>2</v>
      </c>
      <c r="L200" s="10" t="n">
        <v>80</v>
      </c>
      <c r="M200" s="6" t="n"/>
      <c r="N2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00" s="3">
        <f>IF(tblOrdenes[[#This Row],[fecha_inicio]]="","",YEAR(tblOrdenes[[#This Row],[fecha_inicio]]))</f>
        <v/>
      </c>
      <c r="R200" s="3">
        <f>IF(tblOrdenes[[#This Row],[fecha_inicio]]="","",MONTH(tblOrdenes[[#This Row],[fecha_inicio]]))</f>
        <v/>
      </c>
      <c r="S200" s="3">
        <f>IF(tblOrdenes[[#This Row],[fecha_inicio]]="","",INDEX(lista_dias,WEEKDAY(tblOrdenes[[#This Row],[fecha_inicio]],2)))</f>
        <v/>
      </c>
      <c r="T200" s="3">
        <f>IF(tblOrdenes[[#This Row],[tipo_ot]]="","",_xlfn.XLOOKUP(tblOrdenes[[#This Row],[tipo_ot]],tblTiposOT[codigo],tblTiposOT[clasificacion],"sin_clasificar"))</f>
        <v/>
      </c>
      <c r="U200" s="3">
        <f>IF(tblOrdenes[[#This Row],[centro_costo]]="","",_xlfn.XLOOKUP(tblOrdenes[[#This Row],[centro_costo]],tblCECO[codigo],tblCECO[linea],"(sin catálogo)"))</f>
        <v/>
      </c>
      <c r="V200" s="3">
        <f>IF(tblOrdenes[[#This Row],[centro_costo]]="","",_xlfn.XLOOKUP(tblOrdenes[[#This Row],[centro_costo]],tblCECO[codigo],tblCECO[area],"(sin catálogo)"))</f>
        <v/>
      </c>
      <c r="W200" s="3">
        <f>IF(tblOrdenes[[#This Row],[centro_costo]]="","",_xlfn.XLOOKUP(tblOrdenes[[#This Row],[centro_costo]],tblCECO[codigo],tblCECO[coordinador],"(sin catálogo)"))</f>
        <v/>
      </c>
      <c r="X200" s="3">
        <f>IF(tblOrdenes[[#This Row],[puesto_trabajo]]="","",_xlfn.XLOOKUP(tblOrdenes[[#This Row],[puesto_trabajo]],tblPuestos[codigo],tblPuestos[especialidad],"(sin catálogo)"))</f>
        <v/>
      </c>
      <c r="Y200" s="3">
        <f>IF(tblOrdenes[[#This Row],[cod_actividad]]="","",_xlfn.XLOOKUP(tblOrdenes[[#This Row],[cod_actividad]],tblActividades[codigo],tblActividades[descripcion],"(sin catálogo)"))</f>
        <v/>
      </c>
      <c r="Z200" s="12">
        <f>IF(tblOrdenes[[#This Row],[fecha_inicio]]="","",TODAY()-tblOrdenes[[#This Row],[fecha_inicio]])</f>
        <v/>
      </c>
      <c r="AA200" s="3">
        <f>IF(tblOrdenes[[#This Row],[backlog_dias]]="","",IF(tblOrdenes[[#This Row],[backlog_dias]]&lt;0,"FUTURO",IF(tblOrdenes[[#This Row],[backlog_dias]]&gt;p_dias_backlog_max,"BACKLOG","MES CORRIENTE")))</f>
        <v/>
      </c>
      <c r="AB200" s="3">
        <f>IF(tblOrdenes[[#This Row],[backlog_dias]]="",FALSE,AND(tblOrdenes[[#This Row],[backlog_dias]]&gt;p_dias_backlog_min,tblOrdenes[[#This Row],[backlog_dias]]&lt;=p_dias_backlog_max))</f>
        <v/>
      </c>
      <c r="AC200" s="6" t="inlineStr"/>
      <c r="AD2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00" s="10">
        <f>IF(tblOrdenes[[#This Row],[orden]]="","",_xlfn.XLOOKUP(tblOrdenes[[#This Row],[id_operacion]],tblEjecucion[id_operacion],tblEjecucion[precio],0))</f>
        <v/>
      </c>
      <c r="AH200" s="10">
        <f>IF(tblOrdenes[[#This Row],[orden]]="","",MAX(0,_xlfn.XLOOKUP(tblOrdenes[[#This Row],[id_operacion]],tblEjecucion[id_operacion],tblEjecucion[costo_plan_total],0)-tblOrdenes[[#This Row],[costo_servicio]]))</f>
        <v/>
      </c>
      <c r="AI200" s="10">
        <f>IF(tblOrdenes[[#This Row],[orden]]="","",tblOrdenes[[#This Row],[costo_servicio]]+tblOrdenes[[#This Row],[costo_materiales]])</f>
        <v/>
      </c>
      <c r="AJ200" s="6" t="inlineStr"/>
      <c r="AK200" s="6" t="inlineStr"/>
      <c r="AL200" s="6" t="inlineStr"/>
      <c r="AM200" s="3">
        <f>IF(tblOrdenes[[#This Row],[link_checklist]]="","",HYPERLINK(p_ruta_base_checklists&amp;tblOrdenes[[#This Row],[link_checklist]],"abrir"))</f>
        <v/>
      </c>
      <c r="AN200" s="6" t="inlineStr"/>
      <c r="AO200" s="3">
        <f>IF(tblOrdenes[[#This Row],[orden]]="","",tblOrdenes[[#This Row],[orden]]&amp;IF(tblOrdenes[[#This Row],[operacion]]="","0010",tblOrdenes[[#This Row],[operacion]]))</f>
        <v/>
      </c>
    </row>
    <row r="201">
      <c r="A201" s="3" t="inlineStr">
        <is>
          <t>OT-000198</t>
        </is>
      </c>
      <c r="B201" s="3" t="inlineStr">
        <is>
          <t>0010</t>
        </is>
      </c>
      <c r="C201" s="3" t="inlineStr">
        <is>
          <t>Reparación de falla — EQ-108</t>
        </is>
      </c>
      <c r="D201" s="3" t="inlineStr">
        <is>
          <t>Reparación de falla en EQ-108</t>
        </is>
      </c>
      <c r="E201" s="3" t="inlineStr">
        <is>
          <t>EQ-108</t>
        </is>
      </c>
      <c r="F201" s="3" t="inlineStr">
        <is>
          <t>CC-220</t>
        </is>
      </c>
      <c r="G201" s="3" t="inlineStr">
        <is>
          <t>PU-ELE</t>
        </is>
      </c>
      <c r="H201" s="3" t="inlineStr">
        <is>
          <t>ACT-03</t>
        </is>
      </c>
      <c r="I201" s="3" t="inlineStr">
        <is>
          <t>TIPO-C1</t>
        </is>
      </c>
      <c r="J201" s="11" t="n">
        <v>46186</v>
      </c>
      <c r="K201" s="3" t="n">
        <v>2</v>
      </c>
      <c r="L201" s="10" t="n">
        <v>80</v>
      </c>
      <c r="M201" s="6" t="n"/>
      <c r="N2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01" s="3">
        <f>IF(tblOrdenes[[#This Row],[fecha_inicio]]="","",YEAR(tblOrdenes[[#This Row],[fecha_inicio]]))</f>
        <v/>
      </c>
      <c r="R201" s="3">
        <f>IF(tblOrdenes[[#This Row],[fecha_inicio]]="","",MONTH(tblOrdenes[[#This Row],[fecha_inicio]]))</f>
        <v/>
      </c>
      <c r="S201" s="3">
        <f>IF(tblOrdenes[[#This Row],[fecha_inicio]]="","",INDEX(lista_dias,WEEKDAY(tblOrdenes[[#This Row],[fecha_inicio]],2)))</f>
        <v/>
      </c>
      <c r="T201" s="3">
        <f>IF(tblOrdenes[[#This Row],[tipo_ot]]="","",_xlfn.XLOOKUP(tblOrdenes[[#This Row],[tipo_ot]],tblTiposOT[codigo],tblTiposOT[clasificacion],"sin_clasificar"))</f>
        <v/>
      </c>
      <c r="U201" s="3">
        <f>IF(tblOrdenes[[#This Row],[centro_costo]]="","",_xlfn.XLOOKUP(tblOrdenes[[#This Row],[centro_costo]],tblCECO[codigo],tblCECO[linea],"(sin catálogo)"))</f>
        <v/>
      </c>
      <c r="V201" s="3">
        <f>IF(tblOrdenes[[#This Row],[centro_costo]]="","",_xlfn.XLOOKUP(tblOrdenes[[#This Row],[centro_costo]],tblCECO[codigo],tblCECO[area],"(sin catálogo)"))</f>
        <v/>
      </c>
      <c r="W201" s="3">
        <f>IF(tblOrdenes[[#This Row],[centro_costo]]="","",_xlfn.XLOOKUP(tblOrdenes[[#This Row],[centro_costo]],tblCECO[codigo],tblCECO[coordinador],"(sin catálogo)"))</f>
        <v/>
      </c>
      <c r="X201" s="3">
        <f>IF(tblOrdenes[[#This Row],[puesto_trabajo]]="","",_xlfn.XLOOKUP(tblOrdenes[[#This Row],[puesto_trabajo]],tblPuestos[codigo],tblPuestos[especialidad],"(sin catálogo)"))</f>
        <v/>
      </c>
      <c r="Y201" s="3">
        <f>IF(tblOrdenes[[#This Row],[cod_actividad]]="","",_xlfn.XLOOKUP(tblOrdenes[[#This Row],[cod_actividad]],tblActividades[codigo],tblActividades[descripcion],"(sin catálogo)"))</f>
        <v/>
      </c>
      <c r="Z201" s="12">
        <f>IF(tblOrdenes[[#This Row],[fecha_inicio]]="","",TODAY()-tblOrdenes[[#This Row],[fecha_inicio]])</f>
        <v/>
      </c>
      <c r="AA201" s="3">
        <f>IF(tblOrdenes[[#This Row],[backlog_dias]]="","",IF(tblOrdenes[[#This Row],[backlog_dias]]&lt;0,"FUTURO",IF(tblOrdenes[[#This Row],[backlog_dias]]&gt;p_dias_backlog_max,"BACKLOG","MES CORRIENTE")))</f>
        <v/>
      </c>
      <c r="AB201" s="3">
        <f>IF(tblOrdenes[[#This Row],[backlog_dias]]="",FALSE,AND(tblOrdenes[[#This Row],[backlog_dias]]&gt;p_dias_backlog_min,tblOrdenes[[#This Row],[backlog_dias]]&lt;=p_dias_backlog_max))</f>
        <v/>
      </c>
      <c r="AC201" s="6" t="inlineStr"/>
      <c r="AD2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01" s="10">
        <f>IF(tblOrdenes[[#This Row],[orden]]="","",_xlfn.XLOOKUP(tblOrdenes[[#This Row],[id_operacion]],tblEjecucion[id_operacion],tblEjecucion[precio],0))</f>
        <v/>
      </c>
      <c r="AH201" s="10">
        <f>IF(tblOrdenes[[#This Row],[orden]]="","",MAX(0,_xlfn.XLOOKUP(tblOrdenes[[#This Row],[id_operacion]],tblEjecucion[id_operacion],tblEjecucion[costo_plan_total],0)-tblOrdenes[[#This Row],[costo_servicio]]))</f>
        <v/>
      </c>
      <c r="AI201" s="10">
        <f>IF(tblOrdenes[[#This Row],[orden]]="","",tblOrdenes[[#This Row],[costo_servicio]]+tblOrdenes[[#This Row],[costo_materiales]])</f>
        <v/>
      </c>
      <c r="AJ201" s="6" t="inlineStr"/>
      <c r="AK201" s="6" t="inlineStr"/>
      <c r="AL201" s="6" t="inlineStr"/>
      <c r="AM201" s="3">
        <f>IF(tblOrdenes[[#This Row],[link_checklist]]="","",HYPERLINK(p_ruta_base_checklists&amp;tblOrdenes[[#This Row],[link_checklist]],"abrir"))</f>
        <v/>
      </c>
      <c r="AN201" s="6" t="inlineStr"/>
      <c r="AO201" s="3">
        <f>IF(tblOrdenes[[#This Row],[orden]]="","",tblOrdenes[[#This Row],[orden]]&amp;IF(tblOrdenes[[#This Row],[operacion]]="","0010",tblOrdenes[[#This Row],[operacion]]))</f>
        <v/>
      </c>
    </row>
    <row r="202">
      <c r="A202" s="3" t="inlineStr">
        <is>
          <t>OT-000199</t>
        </is>
      </c>
      <c r="B202" s="3" t="inlineStr">
        <is>
          <t>0010</t>
        </is>
      </c>
      <c r="C202" s="3" t="inlineStr">
        <is>
          <t>Reparación de falla — EQ-109</t>
        </is>
      </c>
      <c r="D202" s="3" t="inlineStr">
        <is>
          <t>Reparación de falla en EQ-109</t>
        </is>
      </c>
      <c r="E202" s="3" t="inlineStr">
        <is>
          <t>EQ-109</t>
        </is>
      </c>
      <c r="F202" s="3" t="inlineStr">
        <is>
          <t>CC-220</t>
        </is>
      </c>
      <c r="G202" s="3" t="inlineStr">
        <is>
          <t>PU-ELE</t>
        </is>
      </c>
      <c r="H202" s="3" t="inlineStr">
        <is>
          <t>ACT-03</t>
        </is>
      </c>
      <c r="I202" s="3" t="inlineStr">
        <is>
          <t>TIPO-C2</t>
        </is>
      </c>
      <c r="J202" s="11" t="n">
        <v>46185</v>
      </c>
      <c r="K202" s="3" t="n">
        <v>2</v>
      </c>
      <c r="L202" s="10" t="n">
        <v>80</v>
      </c>
      <c r="M202" s="6" t="n"/>
      <c r="N2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02" s="3">
        <f>IF(tblOrdenes[[#This Row],[fecha_inicio]]="","",YEAR(tblOrdenes[[#This Row],[fecha_inicio]]))</f>
        <v/>
      </c>
      <c r="R202" s="3">
        <f>IF(tblOrdenes[[#This Row],[fecha_inicio]]="","",MONTH(tblOrdenes[[#This Row],[fecha_inicio]]))</f>
        <v/>
      </c>
      <c r="S202" s="3">
        <f>IF(tblOrdenes[[#This Row],[fecha_inicio]]="","",INDEX(lista_dias,WEEKDAY(tblOrdenes[[#This Row],[fecha_inicio]],2)))</f>
        <v/>
      </c>
      <c r="T202" s="3">
        <f>IF(tblOrdenes[[#This Row],[tipo_ot]]="","",_xlfn.XLOOKUP(tblOrdenes[[#This Row],[tipo_ot]],tblTiposOT[codigo],tblTiposOT[clasificacion],"sin_clasificar"))</f>
        <v/>
      </c>
      <c r="U202" s="3">
        <f>IF(tblOrdenes[[#This Row],[centro_costo]]="","",_xlfn.XLOOKUP(tblOrdenes[[#This Row],[centro_costo]],tblCECO[codigo],tblCECO[linea],"(sin catálogo)"))</f>
        <v/>
      </c>
      <c r="V202" s="3">
        <f>IF(tblOrdenes[[#This Row],[centro_costo]]="","",_xlfn.XLOOKUP(tblOrdenes[[#This Row],[centro_costo]],tblCECO[codigo],tblCECO[area],"(sin catálogo)"))</f>
        <v/>
      </c>
      <c r="W202" s="3">
        <f>IF(tblOrdenes[[#This Row],[centro_costo]]="","",_xlfn.XLOOKUP(tblOrdenes[[#This Row],[centro_costo]],tblCECO[codigo],tblCECO[coordinador],"(sin catálogo)"))</f>
        <v/>
      </c>
      <c r="X202" s="3">
        <f>IF(tblOrdenes[[#This Row],[puesto_trabajo]]="","",_xlfn.XLOOKUP(tblOrdenes[[#This Row],[puesto_trabajo]],tblPuestos[codigo],tblPuestos[especialidad],"(sin catálogo)"))</f>
        <v/>
      </c>
      <c r="Y202" s="3">
        <f>IF(tblOrdenes[[#This Row],[cod_actividad]]="","",_xlfn.XLOOKUP(tblOrdenes[[#This Row],[cod_actividad]],tblActividades[codigo],tblActividades[descripcion],"(sin catálogo)"))</f>
        <v/>
      </c>
      <c r="Z202" s="12">
        <f>IF(tblOrdenes[[#This Row],[fecha_inicio]]="","",TODAY()-tblOrdenes[[#This Row],[fecha_inicio]])</f>
        <v/>
      </c>
      <c r="AA202" s="3">
        <f>IF(tblOrdenes[[#This Row],[backlog_dias]]="","",IF(tblOrdenes[[#This Row],[backlog_dias]]&lt;0,"FUTURO",IF(tblOrdenes[[#This Row],[backlog_dias]]&gt;p_dias_backlog_max,"BACKLOG","MES CORRIENTE")))</f>
        <v/>
      </c>
      <c r="AB202" s="3">
        <f>IF(tblOrdenes[[#This Row],[backlog_dias]]="",FALSE,AND(tblOrdenes[[#This Row],[backlog_dias]]&gt;p_dias_backlog_min,tblOrdenes[[#This Row],[backlog_dias]]&lt;=p_dias_backlog_max))</f>
        <v/>
      </c>
      <c r="AC202" s="6" t="inlineStr"/>
      <c r="AD2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02" s="10">
        <f>IF(tblOrdenes[[#This Row],[orden]]="","",_xlfn.XLOOKUP(tblOrdenes[[#This Row],[id_operacion]],tblEjecucion[id_operacion],tblEjecucion[precio],0))</f>
        <v/>
      </c>
      <c r="AH202" s="10">
        <f>IF(tblOrdenes[[#This Row],[orden]]="","",MAX(0,_xlfn.XLOOKUP(tblOrdenes[[#This Row],[id_operacion]],tblEjecucion[id_operacion],tblEjecucion[costo_plan_total],0)-tblOrdenes[[#This Row],[costo_servicio]]))</f>
        <v/>
      </c>
      <c r="AI202" s="10">
        <f>IF(tblOrdenes[[#This Row],[orden]]="","",tblOrdenes[[#This Row],[costo_servicio]]+tblOrdenes[[#This Row],[costo_materiales]])</f>
        <v/>
      </c>
      <c r="AJ202" s="6" t="inlineStr"/>
      <c r="AK202" s="6" t="inlineStr"/>
      <c r="AL202" s="6" t="inlineStr"/>
      <c r="AM202" s="3">
        <f>IF(tblOrdenes[[#This Row],[link_checklist]]="","",HYPERLINK(p_ruta_base_checklists&amp;tblOrdenes[[#This Row],[link_checklist]],"abrir"))</f>
        <v/>
      </c>
      <c r="AN202" s="6" t="inlineStr"/>
      <c r="AO202" s="3">
        <f>IF(tblOrdenes[[#This Row],[orden]]="","",tblOrdenes[[#This Row],[orden]]&amp;IF(tblOrdenes[[#This Row],[operacion]]="","0010",tblOrdenes[[#This Row],[operacion]]))</f>
        <v/>
      </c>
    </row>
    <row r="203">
      <c r="A203" s="3" t="inlineStr">
        <is>
          <t>OT-000200</t>
        </is>
      </c>
      <c r="B203" s="3" t="inlineStr">
        <is>
          <t>0010</t>
        </is>
      </c>
      <c r="C203" s="3" t="inlineStr">
        <is>
          <t>Reparación de falla — EQ-106</t>
        </is>
      </c>
      <c r="D203" s="3" t="inlineStr">
        <is>
          <t>Reparación de falla en EQ-106</t>
        </is>
      </c>
      <c r="E203" s="3" t="inlineStr">
        <is>
          <t>EQ-106</t>
        </is>
      </c>
      <c r="F203" s="3" t="inlineStr">
        <is>
          <t>CC-220</t>
        </is>
      </c>
      <c r="G203" s="3" t="inlineStr">
        <is>
          <t>PU-ELE</t>
        </is>
      </c>
      <c r="H203" s="3" t="inlineStr">
        <is>
          <t>ACT-03</t>
        </is>
      </c>
      <c r="I203" s="3" t="inlineStr">
        <is>
          <t>TIPO-C1</t>
        </is>
      </c>
      <c r="J203" s="11" t="n">
        <v>46184</v>
      </c>
      <c r="K203" s="3" t="n">
        <v>2</v>
      </c>
      <c r="L203" s="10" t="n">
        <v>80</v>
      </c>
      <c r="M203" s="6" t="n"/>
      <c r="N2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03" s="3">
        <f>IF(tblOrdenes[[#This Row],[fecha_inicio]]="","",YEAR(tblOrdenes[[#This Row],[fecha_inicio]]))</f>
        <v/>
      </c>
      <c r="R203" s="3">
        <f>IF(tblOrdenes[[#This Row],[fecha_inicio]]="","",MONTH(tblOrdenes[[#This Row],[fecha_inicio]]))</f>
        <v/>
      </c>
      <c r="S203" s="3">
        <f>IF(tblOrdenes[[#This Row],[fecha_inicio]]="","",INDEX(lista_dias,WEEKDAY(tblOrdenes[[#This Row],[fecha_inicio]],2)))</f>
        <v/>
      </c>
      <c r="T203" s="3">
        <f>IF(tblOrdenes[[#This Row],[tipo_ot]]="","",_xlfn.XLOOKUP(tblOrdenes[[#This Row],[tipo_ot]],tblTiposOT[codigo],tblTiposOT[clasificacion],"sin_clasificar"))</f>
        <v/>
      </c>
      <c r="U203" s="3">
        <f>IF(tblOrdenes[[#This Row],[centro_costo]]="","",_xlfn.XLOOKUP(tblOrdenes[[#This Row],[centro_costo]],tblCECO[codigo],tblCECO[linea],"(sin catálogo)"))</f>
        <v/>
      </c>
      <c r="V203" s="3">
        <f>IF(tblOrdenes[[#This Row],[centro_costo]]="","",_xlfn.XLOOKUP(tblOrdenes[[#This Row],[centro_costo]],tblCECO[codigo],tblCECO[area],"(sin catálogo)"))</f>
        <v/>
      </c>
      <c r="W203" s="3">
        <f>IF(tblOrdenes[[#This Row],[centro_costo]]="","",_xlfn.XLOOKUP(tblOrdenes[[#This Row],[centro_costo]],tblCECO[codigo],tblCECO[coordinador],"(sin catálogo)"))</f>
        <v/>
      </c>
      <c r="X203" s="3">
        <f>IF(tblOrdenes[[#This Row],[puesto_trabajo]]="","",_xlfn.XLOOKUP(tblOrdenes[[#This Row],[puesto_trabajo]],tblPuestos[codigo],tblPuestos[especialidad],"(sin catálogo)"))</f>
        <v/>
      </c>
      <c r="Y203" s="3">
        <f>IF(tblOrdenes[[#This Row],[cod_actividad]]="","",_xlfn.XLOOKUP(tblOrdenes[[#This Row],[cod_actividad]],tblActividades[codigo],tblActividades[descripcion],"(sin catálogo)"))</f>
        <v/>
      </c>
      <c r="Z203" s="12">
        <f>IF(tblOrdenes[[#This Row],[fecha_inicio]]="","",TODAY()-tblOrdenes[[#This Row],[fecha_inicio]])</f>
        <v/>
      </c>
      <c r="AA203" s="3">
        <f>IF(tblOrdenes[[#This Row],[backlog_dias]]="","",IF(tblOrdenes[[#This Row],[backlog_dias]]&lt;0,"FUTURO",IF(tblOrdenes[[#This Row],[backlog_dias]]&gt;p_dias_backlog_max,"BACKLOG","MES CORRIENTE")))</f>
        <v/>
      </c>
      <c r="AB203" s="3">
        <f>IF(tblOrdenes[[#This Row],[backlog_dias]]="",FALSE,AND(tblOrdenes[[#This Row],[backlog_dias]]&gt;p_dias_backlog_min,tblOrdenes[[#This Row],[backlog_dias]]&lt;=p_dias_backlog_max))</f>
        <v/>
      </c>
      <c r="AC203" s="6" t="inlineStr"/>
      <c r="AD2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03" s="10">
        <f>IF(tblOrdenes[[#This Row],[orden]]="","",_xlfn.XLOOKUP(tblOrdenes[[#This Row],[id_operacion]],tblEjecucion[id_operacion],tblEjecucion[precio],0))</f>
        <v/>
      </c>
      <c r="AH203" s="10">
        <f>IF(tblOrdenes[[#This Row],[orden]]="","",MAX(0,_xlfn.XLOOKUP(tblOrdenes[[#This Row],[id_operacion]],tblEjecucion[id_operacion],tblEjecucion[costo_plan_total],0)-tblOrdenes[[#This Row],[costo_servicio]]))</f>
        <v/>
      </c>
      <c r="AI203" s="10">
        <f>IF(tblOrdenes[[#This Row],[orden]]="","",tblOrdenes[[#This Row],[costo_servicio]]+tblOrdenes[[#This Row],[costo_materiales]])</f>
        <v/>
      </c>
      <c r="AJ203" s="6" t="inlineStr"/>
      <c r="AK203" s="6" t="inlineStr"/>
      <c r="AL203" s="6" t="inlineStr"/>
      <c r="AM203" s="3">
        <f>IF(tblOrdenes[[#This Row],[link_checklist]]="","",HYPERLINK(p_ruta_base_checklists&amp;tblOrdenes[[#This Row],[link_checklist]],"abrir"))</f>
        <v/>
      </c>
      <c r="AN203" s="6" t="inlineStr"/>
      <c r="AO203" s="3">
        <f>IF(tblOrdenes[[#This Row],[orden]]="","",tblOrdenes[[#This Row],[orden]]&amp;IF(tblOrdenes[[#This Row],[operacion]]="","0010",tblOrdenes[[#This Row],[operacion]]))</f>
        <v/>
      </c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11" t="n"/>
      <c r="K204" s="3" t="n"/>
      <c r="L204" s="10" t="n"/>
      <c r="M204" s="6" t="n"/>
      <c r="N20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0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0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04" s="3">
        <f>IF(tblOrdenes[[#This Row],[fecha_inicio]]="","",YEAR(tblOrdenes[[#This Row],[fecha_inicio]]))</f>
        <v/>
      </c>
      <c r="R204" s="3">
        <f>IF(tblOrdenes[[#This Row],[fecha_inicio]]="","",MONTH(tblOrdenes[[#This Row],[fecha_inicio]]))</f>
        <v/>
      </c>
      <c r="S204" s="3">
        <f>IF(tblOrdenes[[#This Row],[fecha_inicio]]="","",INDEX(lista_dias,WEEKDAY(tblOrdenes[[#This Row],[fecha_inicio]],2)))</f>
        <v/>
      </c>
      <c r="T204" s="3">
        <f>IF(tblOrdenes[[#This Row],[tipo_ot]]="","",_xlfn.XLOOKUP(tblOrdenes[[#This Row],[tipo_ot]],tblTiposOT[codigo],tblTiposOT[clasificacion],"sin_clasificar"))</f>
        <v/>
      </c>
      <c r="U204" s="3">
        <f>IF(tblOrdenes[[#This Row],[centro_costo]]="","",_xlfn.XLOOKUP(tblOrdenes[[#This Row],[centro_costo]],tblCECO[codigo],tblCECO[linea],"(sin catálogo)"))</f>
        <v/>
      </c>
      <c r="V204" s="3">
        <f>IF(tblOrdenes[[#This Row],[centro_costo]]="","",_xlfn.XLOOKUP(tblOrdenes[[#This Row],[centro_costo]],tblCECO[codigo],tblCECO[area],"(sin catálogo)"))</f>
        <v/>
      </c>
      <c r="W204" s="3">
        <f>IF(tblOrdenes[[#This Row],[centro_costo]]="","",_xlfn.XLOOKUP(tblOrdenes[[#This Row],[centro_costo]],tblCECO[codigo],tblCECO[coordinador],"(sin catálogo)"))</f>
        <v/>
      </c>
      <c r="X204" s="3">
        <f>IF(tblOrdenes[[#This Row],[puesto_trabajo]]="","",_xlfn.XLOOKUP(tblOrdenes[[#This Row],[puesto_trabajo]],tblPuestos[codigo],tblPuestos[especialidad],"(sin catálogo)"))</f>
        <v/>
      </c>
      <c r="Y204" s="3">
        <f>IF(tblOrdenes[[#This Row],[cod_actividad]]="","",_xlfn.XLOOKUP(tblOrdenes[[#This Row],[cod_actividad]],tblActividades[codigo],tblActividades[descripcion],"(sin catálogo)"))</f>
        <v/>
      </c>
      <c r="Z204" s="12">
        <f>IF(tblOrdenes[[#This Row],[fecha_inicio]]="","",TODAY()-tblOrdenes[[#This Row],[fecha_inicio]])</f>
        <v/>
      </c>
      <c r="AA204" s="3">
        <f>IF(tblOrdenes[[#This Row],[backlog_dias]]="","",IF(tblOrdenes[[#This Row],[backlog_dias]]&lt;0,"FUTURO",IF(tblOrdenes[[#This Row],[backlog_dias]]&gt;p_dias_backlog_max,"BACKLOG","MES CORRIENTE")))</f>
        <v/>
      </c>
      <c r="AB204" s="3">
        <f>IF(tblOrdenes[[#This Row],[backlog_dias]]="",FALSE,AND(tblOrdenes[[#This Row],[backlog_dias]]&gt;p_dias_backlog_min,tblOrdenes[[#This Row],[backlog_dias]]&lt;=p_dias_backlog_max))</f>
        <v/>
      </c>
      <c r="AC204" s="6" t="n"/>
      <c r="AD20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0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0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04" s="10">
        <f>IF(tblOrdenes[[#This Row],[orden]]="","",_xlfn.XLOOKUP(tblOrdenes[[#This Row],[id_operacion]],tblEjecucion[id_operacion],tblEjecucion[precio],0))</f>
        <v/>
      </c>
      <c r="AH204" s="10">
        <f>IF(tblOrdenes[[#This Row],[orden]]="","",MAX(0,_xlfn.XLOOKUP(tblOrdenes[[#This Row],[id_operacion]],tblEjecucion[id_operacion],tblEjecucion[costo_plan_total],0)-tblOrdenes[[#This Row],[costo_servicio]]))</f>
        <v/>
      </c>
      <c r="AI204" s="10">
        <f>IF(tblOrdenes[[#This Row],[orden]]="","",tblOrdenes[[#This Row],[costo_servicio]]+tblOrdenes[[#This Row],[costo_materiales]])</f>
        <v/>
      </c>
      <c r="AJ204" s="6" t="n"/>
      <c r="AK204" s="6" t="n"/>
      <c r="AL204" s="6" t="n"/>
      <c r="AM204" s="3">
        <f>IF(tblOrdenes[[#This Row],[link_checklist]]="","",HYPERLINK(p_ruta_base_checklists&amp;tblOrdenes[[#This Row],[link_checklist]],"abrir"))</f>
        <v/>
      </c>
      <c r="AN204" s="6" t="n"/>
      <c r="AO204" s="3">
        <f>IF(tblOrdenes[[#This Row],[orden]]="","",tblOrdenes[[#This Row],[orden]]&amp;IF(tblOrdenes[[#This Row],[operacion]]="","0010",tblOrdenes[[#This Row],[operacion]]))</f>
        <v/>
      </c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11" t="n"/>
      <c r="K205" s="3" t="n"/>
      <c r="L205" s="10" t="n"/>
      <c r="M205" s="6" t="n"/>
      <c r="N20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0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0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05" s="3">
        <f>IF(tblOrdenes[[#This Row],[fecha_inicio]]="","",YEAR(tblOrdenes[[#This Row],[fecha_inicio]]))</f>
        <v/>
      </c>
      <c r="R205" s="3">
        <f>IF(tblOrdenes[[#This Row],[fecha_inicio]]="","",MONTH(tblOrdenes[[#This Row],[fecha_inicio]]))</f>
        <v/>
      </c>
      <c r="S205" s="3">
        <f>IF(tblOrdenes[[#This Row],[fecha_inicio]]="","",INDEX(lista_dias,WEEKDAY(tblOrdenes[[#This Row],[fecha_inicio]],2)))</f>
        <v/>
      </c>
      <c r="T205" s="3">
        <f>IF(tblOrdenes[[#This Row],[tipo_ot]]="","",_xlfn.XLOOKUP(tblOrdenes[[#This Row],[tipo_ot]],tblTiposOT[codigo],tblTiposOT[clasificacion],"sin_clasificar"))</f>
        <v/>
      </c>
      <c r="U205" s="3">
        <f>IF(tblOrdenes[[#This Row],[centro_costo]]="","",_xlfn.XLOOKUP(tblOrdenes[[#This Row],[centro_costo]],tblCECO[codigo],tblCECO[linea],"(sin catálogo)"))</f>
        <v/>
      </c>
      <c r="V205" s="3">
        <f>IF(tblOrdenes[[#This Row],[centro_costo]]="","",_xlfn.XLOOKUP(tblOrdenes[[#This Row],[centro_costo]],tblCECO[codigo],tblCECO[area],"(sin catálogo)"))</f>
        <v/>
      </c>
      <c r="W205" s="3">
        <f>IF(tblOrdenes[[#This Row],[centro_costo]]="","",_xlfn.XLOOKUP(tblOrdenes[[#This Row],[centro_costo]],tblCECO[codigo],tblCECO[coordinador],"(sin catálogo)"))</f>
        <v/>
      </c>
      <c r="X205" s="3">
        <f>IF(tblOrdenes[[#This Row],[puesto_trabajo]]="","",_xlfn.XLOOKUP(tblOrdenes[[#This Row],[puesto_trabajo]],tblPuestos[codigo],tblPuestos[especialidad],"(sin catálogo)"))</f>
        <v/>
      </c>
      <c r="Y205" s="3">
        <f>IF(tblOrdenes[[#This Row],[cod_actividad]]="","",_xlfn.XLOOKUP(tblOrdenes[[#This Row],[cod_actividad]],tblActividades[codigo],tblActividades[descripcion],"(sin catálogo)"))</f>
        <v/>
      </c>
      <c r="Z205" s="12">
        <f>IF(tblOrdenes[[#This Row],[fecha_inicio]]="","",TODAY()-tblOrdenes[[#This Row],[fecha_inicio]])</f>
        <v/>
      </c>
      <c r="AA205" s="3">
        <f>IF(tblOrdenes[[#This Row],[backlog_dias]]="","",IF(tblOrdenes[[#This Row],[backlog_dias]]&lt;0,"FUTURO",IF(tblOrdenes[[#This Row],[backlog_dias]]&gt;p_dias_backlog_max,"BACKLOG","MES CORRIENTE")))</f>
        <v/>
      </c>
      <c r="AB205" s="3">
        <f>IF(tblOrdenes[[#This Row],[backlog_dias]]="",FALSE,AND(tblOrdenes[[#This Row],[backlog_dias]]&gt;p_dias_backlog_min,tblOrdenes[[#This Row],[backlog_dias]]&lt;=p_dias_backlog_max))</f>
        <v/>
      </c>
      <c r="AC205" s="6" t="n"/>
      <c r="AD20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0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0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05" s="10">
        <f>IF(tblOrdenes[[#This Row],[orden]]="","",_xlfn.XLOOKUP(tblOrdenes[[#This Row],[id_operacion]],tblEjecucion[id_operacion],tblEjecucion[precio],0))</f>
        <v/>
      </c>
      <c r="AH205" s="10">
        <f>IF(tblOrdenes[[#This Row],[orden]]="","",MAX(0,_xlfn.XLOOKUP(tblOrdenes[[#This Row],[id_operacion]],tblEjecucion[id_operacion],tblEjecucion[costo_plan_total],0)-tblOrdenes[[#This Row],[costo_servicio]]))</f>
        <v/>
      </c>
      <c r="AI205" s="10">
        <f>IF(tblOrdenes[[#This Row],[orden]]="","",tblOrdenes[[#This Row],[costo_servicio]]+tblOrdenes[[#This Row],[costo_materiales]])</f>
        <v/>
      </c>
      <c r="AJ205" s="6" t="n"/>
      <c r="AK205" s="6" t="n"/>
      <c r="AL205" s="6" t="n"/>
      <c r="AM205" s="3">
        <f>IF(tblOrdenes[[#This Row],[link_checklist]]="","",HYPERLINK(p_ruta_base_checklists&amp;tblOrdenes[[#This Row],[link_checklist]],"abrir"))</f>
        <v/>
      </c>
      <c r="AN205" s="6" t="n"/>
      <c r="AO205" s="3">
        <f>IF(tblOrdenes[[#This Row],[orden]]="","",tblOrdenes[[#This Row],[orden]]&amp;IF(tblOrdenes[[#This Row],[operacion]]="","0010",tblOrdenes[[#This Row],[operacion]]))</f>
        <v/>
      </c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11" t="n"/>
      <c r="K206" s="3" t="n"/>
      <c r="L206" s="10" t="n"/>
      <c r="M206" s="6" t="n"/>
      <c r="N20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0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0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06" s="3">
        <f>IF(tblOrdenes[[#This Row],[fecha_inicio]]="","",YEAR(tblOrdenes[[#This Row],[fecha_inicio]]))</f>
        <v/>
      </c>
      <c r="R206" s="3">
        <f>IF(tblOrdenes[[#This Row],[fecha_inicio]]="","",MONTH(tblOrdenes[[#This Row],[fecha_inicio]]))</f>
        <v/>
      </c>
      <c r="S206" s="3">
        <f>IF(tblOrdenes[[#This Row],[fecha_inicio]]="","",INDEX(lista_dias,WEEKDAY(tblOrdenes[[#This Row],[fecha_inicio]],2)))</f>
        <v/>
      </c>
      <c r="T206" s="3">
        <f>IF(tblOrdenes[[#This Row],[tipo_ot]]="","",_xlfn.XLOOKUP(tblOrdenes[[#This Row],[tipo_ot]],tblTiposOT[codigo],tblTiposOT[clasificacion],"sin_clasificar"))</f>
        <v/>
      </c>
      <c r="U206" s="3">
        <f>IF(tblOrdenes[[#This Row],[centro_costo]]="","",_xlfn.XLOOKUP(tblOrdenes[[#This Row],[centro_costo]],tblCECO[codigo],tblCECO[linea],"(sin catálogo)"))</f>
        <v/>
      </c>
      <c r="V206" s="3">
        <f>IF(tblOrdenes[[#This Row],[centro_costo]]="","",_xlfn.XLOOKUP(tblOrdenes[[#This Row],[centro_costo]],tblCECO[codigo],tblCECO[area],"(sin catálogo)"))</f>
        <v/>
      </c>
      <c r="W206" s="3">
        <f>IF(tblOrdenes[[#This Row],[centro_costo]]="","",_xlfn.XLOOKUP(tblOrdenes[[#This Row],[centro_costo]],tblCECO[codigo],tblCECO[coordinador],"(sin catálogo)"))</f>
        <v/>
      </c>
      <c r="X206" s="3">
        <f>IF(tblOrdenes[[#This Row],[puesto_trabajo]]="","",_xlfn.XLOOKUP(tblOrdenes[[#This Row],[puesto_trabajo]],tblPuestos[codigo],tblPuestos[especialidad],"(sin catálogo)"))</f>
        <v/>
      </c>
      <c r="Y206" s="3">
        <f>IF(tblOrdenes[[#This Row],[cod_actividad]]="","",_xlfn.XLOOKUP(tblOrdenes[[#This Row],[cod_actividad]],tblActividades[codigo],tblActividades[descripcion],"(sin catálogo)"))</f>
        <v/>
      </c>
      <c r="Z206" s="12">
        <f>IF(tblOrdenes[[#This Row],[fecha_inicio]]="","",TODAY()-tblOrdenes[[#This Row],[fecha_inicio]])</f>
        <v/>
      </c>
      <c r="AA206" s="3">
        <f>IF(tblOrdenes[[#This Row],[backlog_dias]]="","",IF(tblOrdenes[[#This Row],[backlog_dias]]&lt;0,"FUTURO",IF(tblOrdenes[[#This Row],[backlog_dias]]&gt;p_dias_backlog_max,"BACKLOG","MES CORRIENTE")))</f>
        <v/>
      </c>
      <c r="AB206" s="3">
        <f>IF(tblOrdenes[[#This Row],[backlog_dias]]="",FALSE,AND(tblOrdenes[[#This Row],[backlog_dias]]&gt;p_dias_backlog_min,tblOrdenes[[#This Row],[backlog_dias]]&lt;=p_dias_backlog_max))</f>
        <v/>
      </c>
      <c r="AC206" s="6" t="n"/>
      <c r="AD20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0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0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06" s="10">
        <f>IF(tblOrdenes[[#This Row],[orden]]="","",_xlfn.XLOOKUP(tblOrdenes[[#This Row],[id_operacion]],tblEjecucion[id_operacion],tblEjecucion[precio],0))</f>
        <v/>
      </c>
      <c r="AH206" s="10">
        <f>IF(tblOrdenes[[#This Row],[orden]]="","",MAX(0,_xlfn.XLOOKUP(tblOrdenes[[#This Row],[id_operacion]],tblEjecucion[id_operacion],tblEjecucion[costo_plan_total],0)-tblOrdenes[[#This Row],[costo_servicio]]))</f>
        <v/>
      </c>
      <c r="AI206" s="10">
        <f>IF(tblOrdenes[[#This Row],[orden]]="","",tblOrdenes[[#This Row],[costo_servicio]]+tblOrdenes[[#This Row],[costo_materiales]])</f>
        <v/>
      </c>
      <c r="AJ206" s="6" t="n"/>
      <c r="AK206" s="6" t="n"/>
      <c r="AL206" s="6" t="n"/>
      <c r="AM206" s="3">
        <f>IF(tblOrdenes[[#This Row],[link_checklist]]="","",HYPERLINK(p_ruta_base_checklists&amp;tblOrdenes[[#This Row],[link_checklist]],"abrir"))</f>
        <v/>
      </c>
      <c r="AN206" s="6" t="n"/>
      <c r="AO206" s="3">
        <f>IF(tblOrdenes[[#This Row],[orden]]="","",tblOrdenes[[#This Row],[orden]]&amp;IF(tblOrdenes[[#This Row],[operacion]]="","0010",tblOrdenes[[#This Row],[operacion]]))</f>
        <v/>
      </c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11" t="n"/>
      <c r="K207" s="3" t="n"/>
      <c r="L207" s="10" t="n"/>
      <c r="M207" s="6" t="n"/>
      <c r="N20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0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0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07" s="3">
        <f>IF(tblOrdenes[[#This Row],[fecha_inicio]]="","",YEAR(tblOrdenes[[#This Row],[fecha_inicio]]))</f>
        <v/>
      </c>
      <c r="R207" s="3">
        <f>IF(tblOrdenes[[#This Row],[fecha_inicio]]="","",MONTH(tblOrdenes[[#This Row],[fecha_inicio]]))</f>
        <v/>
      </c>
      <c r="S207" s="3">
        <f>IF(tblOrdenes[[#This Row],[fecha_inicio]]="","",INDEX(lista_dias,WEEKDAY(tblOrdenes[[#This Row],[fecha_inicio]],2)))</f>
        <v/>
      </c>
      <c r="T207" s="3">
        <f>IF(tblOrdenes[[#This Row],[tipo_ot]]="","",_xlfn.XLOOKUP(tblOrdenes[[#This Row],[tipo_ot]],tblTiposOT[codigo],tblTiposOT[clasificacion],"sin_clasificar"))</f>
        <v/>
      </c>
      <c r="U207" s="3">
        <f>IF(tblOrdenes[[#This Row],[centro_costo]]="","",_xlfn.XLOOKUP(tblOrdenes[[#This Row],[centro_costo]],tblCECO[codigo],tblCECO[linea],"(sin catálogo)"))</f>
        <v/>
      </c>
      <c r="V207" s="3">
        <f>IF(tblOrdenes[[#This Row],[centro_costo]]="","",_xlfn.XLOOKUP(tblOrdenes[[#This Row],[centro_costo]],tblCECO[codigo],tblCECO[area],"(sin catálogo)"))</f>
        <v/>
      </c>
      <c r="W207" s="3">
        <f>IF(tblOrdenes[[#This Row],[centro_costo]]="","",_xlfn.XLOOKUP(tblOrdenes[[#This Row],[centro_costo]],tblCECO[codigo],tblCECO[coordinador],"(sin catálogo)"))</f>
        <v/>
      </c>
      <c r="X207" s="3">
        <f>IF(tblOrdenes[[#This Row],[puesto_trabajo]]="","",_xlfn.XLOOKUP(tblOrdenes[[#This Row],[puesto_trabajo]],tblPuestos[codigo],tblPuestos[especialidad],"(sin catálogo)"))</f>
        <v/>
      </c>
      <c r="Y207" s="3">
        <f>IF(tblOrdenes[[#This Row],[cod_actividad]]="","",_xlfn.XLOOKUP(tblOrdenes[[#This Row],[cod_actividad]],tblActividades[codigo],tblActividades[descripcion],"(sin catálogo)"))</f>
        <v/>
      </c>
      <c r="Z207" s="12">
        <f>IF(tblOrdenes[[#This Row],[fecha_inicio]]="","",TODAY()-tblOrdenes[[#This Row],[fecha_inicio]])</f>
        <v/>
      </c>
      <c r="AA207" s="3">
        <f>IF(tblOrdenes[[#This Row],[backlog_dias]]="","",IF(tblOrdenes[[#This Row],[backlog_dias]]&lt;0,"FUTURO",IF(tblOrdenes[[#This Row],[backlog_dias]]&gt;p_dias_backlog_max,"BACKLOG","MES CORRIENTE")))</f>
        <v/>
      </c>
      <c r="AB207" s="3">
        <f>IF(tblOrdenes[[#This Row],[backlog_dias]]="",FALSE,AND(tblOrdenes[[#This Row],[backlog_dias]]&gt;p_dias_backlog_min,tblOrdenes[[#This Row],[backlog_dias]]&lt;=p_dias_backlog_max))</f>
        <v/>
      </c>
      <c r="AC207" s="6" t="n"/>
      <c r="AD20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0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0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07" s="10">
        <f>IF(tblOrdenes[[#This Row],[orden]]="","",_xlfn.XLOOKUP(tblOrdenes[[#This Row],[id_operacion]],tblEjecucion[id_operacion],tblEjecucion[precio],0))</f>
        <v/>
      </c>
      <c r="AH207" s="10">
        <f>IF(tblOrdenes[[#This Row],[orden]]="","",MAX(0,_xlfn.XLOOKUP(tblOrdenes[[#This Row],[id_operacion]],tblEjecucion[id_operacion],tblEjecucion[costo_plan_total],0)-tblOrdenes[[#This Row],[costo_servicio]]))</f>
        <v/>
      </c>
      <c r="AI207" s="10">
        <f>IF(tblOrdenes[[#This Row],[orden]]="","",tblOrdenes[[#This Row],[costo_servicio]]+tblOrdenes[[#This Row],[costo_materiales]])</f>
        <v/>
      </c>
      <c r="AJ207" s="6" t="n"/>
      <c r="AK207" s="6" t="n"/>
      <c r="AL207" s="6" t="n"/>
      <c r="AM207" s="3">
        <f>IF(tblOrdenes[[#This Row],[link_checklist]]="","",HYPERLINK(p_ruta_base_checklists&amp;tblOrdenes[[#This Row],[link_checklist]],"abrir"))</f>
        <v/>
      </c>
      <c r="AN207" s="6" t="n"/>
      <c r="AO207" s="3">
        <f>IF(tblOrdenes[[#This Row],[orden]]="","",tblOrdenes[[#This Row],[orden]]&amp;IF(tblOrdenes[[#This Row],[operacion]]="","0010",tblOrdenes[[#This Row],[operacion]]))</f>
        <v/>
      </c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11" t="n"/>
      <c r="K208" s="3" t="n"/>
      <c r="L208" s="10" t="n"/>
      <c r="M208" s="6" t="n"/>
      <c r="N20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0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0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08" s="3">
        <f>IF(tblOrdenes[[#This Row],[fecha_inicio]]="","",YEAR(tblOrdenes[[#This Row],[fecha_inicio]]))</f>
        <v/>
      </c>
      <c r="R208" s="3">
        <f>IF(tblOrdenes[[#This Row],[fecha_inicio]]="","",MONTH(tblOrdenes[[#This Row],[fecha_inicio]]))</f>
        <v/>
      </c>
      <c r="S208" s="3">
        <f>IF(tblOrdenes[[#This Row],[fecha_inicio]]="","",INDEX(lista_dias,WEEKDAY(tblOrdenes[[#This Row],[fecha_inicio]],2)))</f>
        <v/>
      </c>
      <c r="T208" s="3">
        <f>IF(tblOrdenes[[#This Row],[tipo_ot]]="","",_xlfn.XLOOKUP(tblOrdenes[[#This Row],[tipo_ot]],tblTiposOT[codigo],tblTiposOT[clasificacion],"sin_clasificar"))</f>
        <v/>
      </c>
      <c r="U208" s="3">
        <f>IF(tblOrdenes[[#This Row],[centro_costo]]="","",_xlfn.XLOOKUP(tblOrdenes[[#This Row],[centro_costo]],tblCECO[codigo],tblCECO[linea],"(sin catálogo)"))</f>
        <v/>
      </c>
      <c r="V208" s="3">
        <f>IF(tblOrdenes[[#This Row],[centro_costo]]="","",_xlfn.XLOOKUP(tblOrdenes[[#This Row],[centro_costo]],tblCECO[codigo],tblCECO[area],"(sin catálogo)"))</f>
        <v/>
      </c>
      <c r="W208" s="3">
        <f>IF(tblOrdenes[[#This Row],[centro_costo]]="","",_xlfn.XLOOKUP(tblOrdenes[[#This Row],[centro_costo]],tblCECO[codigo],tblCECO[coordinador],"(sin catálogo)"))</f>
        <v/>
      </c>
      <c r="X208" s="3">
        <f>IF(tblOrdenes[[#This Row],[puesto_trabajo]]="","",_xlfn.XLOOKUP(tblOrdenes[[#This Row],[puesto_trabajo]],tblPuestos[codigo],tblPuestos[especialidad],"(sin catálogo)"))</f>
        <v/>
      </c>
      <c r="Y208" s="3">
        <f>IF(tblOrdenes[[#This Row],[cod_actividad]]="","",_xlfn.XLOOKUP(tblOrdenes[[#This Row],[cod_actividad]],tblActividades[codigo],tblActividades[descripcion],"(sin catálogo)"))</f>
        <v/>
      </c>
      <c r="Z208" s="12">
        <f>IF(tblOrdenes[[#This Row],[fecha_inicio]]="","",TODAY()-tblOrdenes[[#This Row],[fecha_inicio]])</f>
        <v/>
      </c>
      <c r="AA208" s="3">
        <f>IF(tblOrdenes[[#This Row],[backlog_dias]]="","",IF(tblOrdenes[[#This Row],[backlog_dias]]&lt;0,"FUTURO",IF(tblOrdenes[[#This Row],[backlog_dias]]&gt;p_dias_backlog_max,"BACKLOG","MES CORRIENTE")))</f>
        <v/>
      </c>
      <c r="AB208" s="3">
        <f>IF(tblOrdenes[[#This Row],[backlog_dias]]="",FALSE,AND(tblOrdenes[[#This Row],[backlog_dias]]&gt;p_dias_backlog_min,tblOrdenes[[#This Row],[backlog_dias]]&lt;=p_dias_backlog_max))</f>
        <v/>
      </c>
      <c r="AC208" s="6" t="n"/>
      <c r="AD20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0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0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08" s="10">
        <f>IF(tblOrdenes[[#This Row],[orden]]="","",_xlfn.XLOOKUP(tblOrdenes[[#This Row],[id_operacion]],tblEjecucion[id_operacion],tblEjecucion[precio],0))</f>
        <v/>
      </c>
      <c r="AH208" s="10">
        <f>IF(tblOrdenes[[#This Row],[orden]]="","",MAX(0,_xlfn.XLOOKUP(tblOrdenes[[#This Row],[id_operacion]],tblEjecucion[id_operacion],tblEjecucion[costo_plan_total],0)-tblOrdenes[[#This Row],[costo_servicio]]))</f>
        <v/>
      </c>
      <c r="AI208" s="10">
        <f>IF(tblOrdenes[[#This Row],[orden]]="","",tblOrdenes[[#This Row],[costo_servicio]]+tblOrdenes[[#This Row],[costo_materiales]])</f>
        <v/>
      </c>
      <c r="AJ208" s="6" t="n"/>
      <c r="AK208" s="6" t="n"/>
      <c r="AL208" s="6" t="n"/>
      <c r="AM208" s="3">
        <f>IF(tblOrdenes[[#This Row],[link_checklist]]="","",HYPERLINK(p_ruta_base_checklists&amp;tblOrdenes[[#This Row],[link_checklist]],"abrir"))</f>
        <v/>
      </c>
      <c r="AN208" s="6" t="n"/>
      <c r="AO208" s="3">
        <f>IF(tblOrdenes[[#This Row],[orden]]="","",tblOrdenes[[#This Row],[orden]]&amp;IF(tblOrdenes[[#This Row],[operacion]]="","0010",tblOrdenes[[#This Row],[operacion]]))</f>
        <v/>
      </c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11" t="n"/>
      <c r="K209" s="3" t="n"/>
      <c r="L209" s="10" t="n"/>
      <c r="M209" s="6" t="n"/>
      <c r="N20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0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0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09" s="3">
        <f>IF(tblOrdenes[[#This Row],[fecha_inicio]]="","",YEAR(tblOrdenes[[#This Row],[fecha_inicio]]))</f>
        <v/>
      </c>
      <c r="R209" s="3">
        <f>IF(tblOrdenes[[#This Row],[fecha_inicio]]="","",MONTH(tblOrdenes[[#This Row],[fecha_inicio]]))</f>
        <v/>
      </c>
      <c r="S209" s="3">
        <f>IF(tblOrdenes[[#This Row],[fecha_inicio]]="","",INDEX(lista_dias,WEEKDAY(tblOrdenes[[#This Row],[fecha_inicio]],2)))</f>
        <v/>
      </c>
      <c r="T209" s="3">
        <f>IF(tblOrdenes[[#This Row],[tipo_ot]]="","",_xlfn.XLOOKUP(tblOrdenes[[#This Row],[tipo_ot]],tblTiposOT[codigo],tblTiposOT[clasificacion],"sin_clasificar"))</f>
        <v/>
      </c>
      <c r="U209" s="3">
        <f>IF(tblOrdenes[[#This Row],[centro_costo]]="","",_xlfn.XLOOKUP(tblOrdenes[[#This Row],[centro_costo]],tblCECO[codigo],tblCECO[linea],"(sin catálogo)"))</f>
        <v/>
      </c>
      <c r="V209" s="3">
        <f>IF(tblOrdenes[[#This Row],[centro_costo]]="","",_xlfn.XLOOKUP(tblOrdenes[[#This Row],[centro_costo]],tblCECO[codigo],tblCECO[area],"(sin catálogo)"))</f>
        <v/>
      </c>
      <c r="W209" s="3">
        <f>IF(tblOrdenes[[#This Row],[centro_costo]]="","",_xlfn.XLOOKUP(tblOrdenes[[#This Row],[centro_costo]],tblCECO[codigo],tblCECO[coordinador],"(sin catálogo)"))</f>
        <v/>
      </c>
      <c r="X209" s="3">
        <f>IF(tblOrdenes[[#This Row],[puesto_trabajo]]="","",_xlfn.XLOOKUP(tblOrdenes[[#This Row],[puesto_trabajo]],tblPuestos[codigo],tblPuestos[especialidad],"(sin catálogo)"))</f>
        <v/>
      </c>
      <c r="Y209" s="3">
        <f>IF(tblOrdenes[[#This Row],[cod_actividad]]="","",_xlfn.XLOOKUP(tblOrdenes[[#This Row],[cod_actividad]],tblActividades[codigo],tblActividades[descripcion],"(sin catálogo)"))</f>
        <v/>
      </c>
      <c r="Z209" s="12">
        <f>IF(tblOrdenes[[#This Row],[fecha_inicio]]="","",TODAY()-tblOrdenes[[#This Row],[fecha_inicio]])</f>
        <v/>
      </c>
      <c r="AA209" s="3">
        <f>IF(tblOrdenes[[#This Row],[backlog_dias]]="","",IF(tblOrdenes[[#This Row],[backlog_dias]]&lt;0,"FUTURO",IF(tblOrdenes[[#This Row],[backlog_dias]]&gt;p_dias_backlog_max,"BACKLOG","MES CORRIENTE")))</f>
        <v/>
      </c>
      <c r="AB209" s="3">
        <f>IF(tblOrdenes[[#This Row],[backlog_dias]]="",FALSE,AND(tblOrdenes[[#This Row],[backlog_dias]]&gt;p_dias_backlog_min,tblOrdenes[[#This Row],[backlog_dias]]&lt;=p_dias_backlog_max))</f>
        <v/>
      </c>
      <c r="AC209" s="6" t="n"/>
      <c r="AD20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0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0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09" s="10">
        <f>IF(tblOrdenes[[#This Row],[orden]]="","",_xlfn.XLOOKUP(tblOrdenes[[#This Row],[id_operacion]],tblEjecucion[id_operacion],tblEjecucion[precio],0))</f>
        <v/>
      </c>
      <c r="AH209" s="10">
        <f>IF(tblOrdenes[[#This Row],[orden]]="","",MAX(0,_xlfn.XLOOKUP(tblOrdenes[[#This Row],[id_operacion]],tblEjecucion[id_operacion],tblEjecucion[costo_plan_total],0)-tblOrdenes[[#This Row],[costo_servicio]]))</f>
        <v/>
      </c>
      <c r="AI209" s="10">
        <f>IF(tblOrdenes[[#This Row],[orden]]="","",tblOrdenes[[#This Row],[costo_servicio]]+tblOrdenes[[#This Row],[costo_materiales]])</f>
        <v/>
      </c>
      <c r="AJ209" s="6" t="n"/>
      <c r="AK209" s="6" t="n"/>
      <c r="AL209" s="6" t="n"/>
      <c r="AM209" s="3">
        <f>IF(tblOrdenes[[#This Row],[link_checklist]]="","",HYPERLINK(p_ruta_base_checklists&amp;tblOrdenes[[#This Row],[link_checklist]],"abrir"))</f>
        <v/>
      </c>
      <c r="AN209" s="6" t="n"/>
      <c r="AO209" s="3">
        <f>IF(tblOrdenes[[#This Row],[orden]]="","",tblOrdenes[[#This Row],[orden]]&amp;IF(tblOrdenes[[#This Row],[operacion]]="","0010",tblOrdenes[[#This Row],[operacion]]))</f>
        <v/>
      </c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11" t="n"/>
      <c r="K210" s="3" t="n"/>
      <c r="L210" s="10" t="n"/>
      <c r="M210" s="6" t="n"/>
      <c r="N2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10" s="3">
        <f>IF(tblOrdenes[[#This Row],[fecha_inicio]]="","",YEAR(tblOrdenes[[#This Row],[fecha_inicio]]))</f>
        <v/>
      </c>
      <c r="R210" s="3">
        <f>IF(tblOrdenes[[#This Row],[fecha_inicio]]="","",MONTH(tblOrdenes[[#This Row],[fecha_inicio]]))</f>
        <v/>
      </c>
      <c r="S210" s="3">
        <f>IF(tblOrdenes[[#This Row],[fecha_inicio]]="","",INDEX(lista_dias,WEEKDAY(tblOrdenes[[#This Row],[fecha_inicio]],2)))</f>
        <v/>
      </c>
      <c r="T210" s="3">
        <f>IF(tblOrdenes[[#This Row],[tipo_ot]]="","",_xlfn.XLOOKUP(tblOrdenes[[#This Row],[tipo_ot]],tblTiposOT[codigo],tblTiposOT[clasificacion],"sin_clasificar"))</f>
        <v/>
      </c>
      <c r="U210" s="3">
        <f>IF(tblOrdenes[[#This Row],[centro_costo]]="","",_xlfn.XLOOKUP(tblOrdenes[[#This Row],[centro_costo]],tblCECO[codigo],tblCECO[linea],"(sin catálogo)"))</f>
        <v/>
      </c>
      <c r="V210" s="3">
        <f>IF(tblOrdenes[[#This Row],[centro_costo]]="","",_xlfn.XLOOKUP(tblOrdenes[[#This Row],[centro_costo]],tblCECO[codigo],tblCECO[area],"(sin catálogo)"))</f>
        <v/>
      </c>
      <c r="W210" s="3">
        <f>IF(tblOrdenes[[#This Row],[centro_costo]]="","",_xlfn.XLOOKUP(tblOrdenes[[#This Row],[centro_costo]],tblCECO[codigo],tblCECO[coordinador],"(sin catálogo)"))</f>
        <v/>
      </c>
      <c r="X210" s="3">
        <f>IF(tblOrdenes[[#This Row],[puesto_trabajo]]="","",_xlfn.XLOOKUP(tblOrdenes[[#This Row],[puesto_trabajo]],tblPuestos[codigo],tblPuestos[especialidad],"(sin catálogo)"))</f>
        <v/>
      </c>
      <c r="Y210" s="3">
        <f>IF(tblOrdenes[[#This Row],[cod_actividad]]="","",_xlfn.XLOOKUP(tblOrdenes[[#This Row],[cod_actividad]],tblActividades[codigo],tblActividades[descripcion],"(sin catálogo)"))</f>
        <v/>
      </c>
      <c r="Z210" s="12">
        <f>IF(tblOrdenes[[#This Row],[fecha_inicio]]="","",TODAY()-tblOrdenes[[#This Row],[fecha_inicio]])</f>
        <v/>
      </c>
      <c r="AA210" s="3">
        <f>IF(tblOrdenes[[#This Row],[backlog_dias]]="","",IF(tblOrdenes[[#This Row],[backlog_dias]]&lt;0,"FUTURO",IF(tblOrdenes[[#This Row],[backlog_dias]]&gt;p_dias_backlog_max,"BACKLOG","MES CORRIENTE")))</f>
        <v/>
      </c>
      <c r="AB210" s="3">
        <f>IF(tblOrdenes[[#This Row],[backlog_dias]]="",FALSE,AND(tblOrdenes[[#This Row],[backlog_dias]]&gt;p_dias_backlog_min,tblOrdenes[[#This Row],[backlog_dias]]&lt;=p_dias_backlog_max))</f>
        <v/>
      </c>
      <c r="AC210" s="6" t="n"/>
      <c r="AD2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10" s="10">
        <f>IF(tblOrdenes[[#This Row],[orden]]="","",_xlfn.XLOOKUP(tblOrdenes[[#This Row],[id_operacion]],tblEjecucion[id_operacion],tblEjecucion[precio],0))</f>
        <v/>
      </c>
      <c r="AH210" s="10">
        <f>IF(tblOrdenes[[#This Row],[orden]]="","",MAX(0,_xlfn.XLOOKUP(tblOrdenes[[#This Row],[id_operacion]],tblEjecucion[id_operacion],tblEjecucion[costo_plan_total],0)-tblOrdenes[[#This Row],[costo_servicio]]))</f>
        <v/>
      </c>
      <c r="AI210" s="10">
        <f>IF(tblOrdenes[[#This Row],[orden]]="","",tblOrdenes[[#This Row],[costo_servicio]]+tblOrdenes[[#This Row],[costo_materiales]])</f>
        <v/>
      </c>
      <c r="AJ210" s="6" t="n"/>
      <c r="AK210" s="6" t="n"/>
      <c r="AL210" s="6" t="n"/>
      <c r="AM210" s="3">
        <f>IF(tblOrdenes[[#This Row],[link_checklist]]="","",HYPERLINK(p_ruta_base_checklists&amp;tblOrdenes[[#This Row],[link_checklist]],"abrir"))</f>
        <v/>
      </c>
      <c r="AN210" s="6" t="n"/>
      <c r="AO210" s="3">
        <f>IF(tblOrdenes[[#This Row],[orden]]="","",tblOrdenes[[#This Row],[orden]]&amp;IF(tblOrdenes[[#This Row],[operacion]]="","0010",tblOrdenes[[#This Row],[operacion]]))</f>
        <v/>
      </c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11" t="n"/>
      <c r="K211" s="3" t="n"/>
      <c r="L211" s="10" t="n"/>
      <c r="M211" s="6" t="n"/>
      <c r="N2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11" s="3">
        <f>IF(tblOrdenes[[#This Row],[fecha_inicio]]="","",YEAR(tblOrdenes[[#This Row],[fecha_inicio]]))</f>
        <v/>
      </c>
      <c r="R211" s="3">
        <f>IF(tblOrdenes[[#This Row],[fecha_inicio]]="","",MONTH(tblOrdenes[[#This Row],[fecha_inicio]]))</f>
        <v/>
      </c>
      <c r="S211" s="3">
        <f>IF(tblOrdenes[[#This Row],[fecha_inicio]]="","",INDEX(lista_dias,WEEKDAY(tblOrdenes[[#This Row],[fecha_inicio]],2)))</f>
        <v/>
      </c>
      <c r="T211" s="3">
        <f>IF(tblOrdenes[[#This Row],[tipo_ot]]="","",_xlfn.XLOOKUP(tblOrdenes[[#This Row],[tipo_ot]],tblTiposOT[codigo],tblTiposOT[clasificacion],"sin_clasificar"))</f>
        <v/>
      </c>
      <c r="U211" s="3">
        <f>IF(tblOrdenes[[#This Row],[centro_costo]]="","",_xlfn.XLOOKUP(tblOrdenes[[#This Row],[centro_costo]],tblCECO[codigo],tblCECO[linea],"(sin catálogo)"))</f>
        <v/>
      </c>
      <c r="V211" s="3">
        <f>IF(tblOrdenes[[#This Row],[centro_costo]]="","",_xlfn.XLOOKUP(tblOrdenes[[#This Row],[centro_costo]],tblCECO[codigo],tblCECO[area],"(sin catálogo)"))</f>
        <v/>
      </c>
      <c r="W211" s="3">
        <f>IF(tblOrdenes[[#This Row],[centro_costo]]="","",_xlfn.XLOOKUP(tblOrdenes[[#This Row],[centro_costo]],tblCECO[codigo],tblCECO[coordinador],"(sin catálogo)"))</f>
        <v/>
      </c>
      <c r="X211" s="3">
        <f>IF(tblOrdenes[[#This Row],[puesto_trabajo]]="","",_xlfn.XLOOKUP(tblOrdenes[[#This Row],[puesto_trabajo]],tblPuestos[codigo],tblPuestos[especialidad],"(sin catálogo)"))</f>
        <v/>
      </c>
      <c r="Y211" s="3">
        <f>IF(tblOrdenes[[#This Row],[cod_actividad]]="","",_xlfn.XLOOKUP(tblOrdenes[[#This Row],[cod_actividad]],tblActividades[codigo],tblActividades[descripcion],"(sin catálogo)"))</f>
        <v/>
      </c>
      <c r="Z211" s="12">
        <f>IF(tblOrdenes[[#This Row],[fecha_inicio]]="","",TODAY()-tblOrdenes[[#This Row],[fecha_inicio]])</f>
        <v/>
      </c>
      <c r="AA211" s="3">
        <f>IF(tblOrdenes[[#This Row],[backlog_dias]]="","",IF(tblOrdenes[[#This Row],[backlog_dias]]&lt;0,"FUTURO",IF(tblOrdenes[[#This Row],[backlog_dias]]&gt;p_dias_backlog_max,"BACKLOG","MES CORRIENTE")))</f>
        <v/>
      </c>
      <c r="AB211" s="3">
        <f>IF(tblOrdenes[[#This Row],[backlog_dias]]="",FALSE,AND(tblOrdenes[[#This Row],[backlog_dias]]&gt;p_dias_backlog_min,tblOrdenes[[#This Row],[backlog_dias]]&lt;=p_dias_backlog_max))</f>
        <v/>
      </c>
      <c r="AC211" s="6" t="n"/>
      <c r="AD2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11" s="10">
        <f>IF(tblOrdenes[[#This Row],[orden]]="","",_xlfn.XLOOKUP(tblOrdenes[[#This Row],[id_operacion]],tblEjecucion[id_operacion],tblEjecucion[precio],0))</f>
        <v/>
      </c>
      <c r="AH211" s="10">
        <f>IF(tblOrdenes[[#This Row],[orden]]="","",MAX(0,_xlfn.XLOOKUP(tblOrdenes[[#This Row],[id_operacion]],tblEjecucion[id_operacion],tblEjecucion[costo_plan_total],0)-tblOrdenes[[#This Row],[costo_servicio]]))</f>
        <v/>
      </c>
      <c r="AI211" s="10">
        <f>IF(tblOrdenes[[#This Row],[orden]]="","",tblOrdenes[[#This Row],[costo_servicio]]+tblOrdenes[[#This Row],[costo_materiales]])</f>
        <v/>
      </c>
      <c r="AJ211" s="6" t="n"/>
      <c r="AK211" s="6" t="n"/>
      <c r="AL211" s="6" t="n"/>
      <c r="AM211" s="3">
        <f>IF(tblOrdenes[[#This Row],[link_checklist]]="","",HYPERLINK(p_ruta_base_checklists&amp;tblOrdenes[[#This Row],[link_checklist]],"abrir"))</f>
        <v/>
      </c>
      <c r="AN211" s="6" t="n"/>
      <c r="AO211" s="3">
        <f>IF(tblOrdenes[[#This Row],[orden]]="","",tblOrdenes[[#This Row],[orden]]&amp;IF(tblOrdenes[[#This Row],[operacion]]="","0010",tblOrdenes[[#This Row],[operacion]]))</f>
        <v/>
      </c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11" t="n"/>
      <c r="K212" s="3" t="n"/>
      <c r="L212" s="10" t="n"/>
      <c r="M212" s="6" t="n"/>
      <c r="N2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12" s="3">
        <f>IF(tblOrdenes[[#This Row],[fecha_inicio]]="","",YEAR(tblOrdenes[[#This Row],[fecha_inicio]]))</f>
        <v/>
      </c>
      <c r="R212" s="3">
        <f>IF(tblOrdenes[[#This Row],[fecha_inicio]]="","",MONTH(tblOrdenes[[#This Row],[fecha_inicio]]))</f>
        <v/>
      </c>
      <c r="S212" s="3">
        <f>IF(tblOrdenes[[#This Row],[fecha_inicio]]="","",INDEX(lista_dias,WEEKDAY(tblOrdenes[[#This Row],[fecha_inicio]],2)))</f>
        <v/>
      </c>
      <c r="T212" s="3">
        <f>IF(tblOrdenes[[#This Row],[tipo_ot]]="","",_xlfn.XLOOKUP(tblOrdenes[[#This Row],[tipo_ot]],tblTiposOT[codigo],tblTiposOT[clasificacion],"sin_clasificar"))</f>
        <v/>
      </c>
      <c r="U212" s="3">
        <f>IF(tblOrdenes[[#This Row],[centro_costo]]="","",_xlfn.XLOOKUP(tblOrdenes[[#This Row],[centro_costo]],tblCECO[codigo],tblCECO[linea],"(sin catálogo)"))</f>
        <v/>
      </c>
      <c r="V212" s="3">
        <f>IF(tblOrdenes[[#This Row],[centro_costo]]="","",_xlfn.XLOOKUP(tblOrdenes[[#This Row],[centro_costo]],tblCECO[codigo],tblCECO[area],"(sin catálogo)"))</f>
        <v/>
      </c>
      <c r="W212" s="3">
        <f>IF(tblOrdenes[[#This Row],[centro_costo]]="","",_xlfn.XLOOKUP(tblOrdenes[[#This Row],[centro_costo]],tblCECO[codigo],tblCECO[coordinador],"(sin catálogo)"))</f>
        <v/>
      </c>
      <c r="X212" s="3">
        <f>IF(tblOrdenes[[#This Row],[puesto_trabajo]]="","",_xlfn.XLOOKUP(tblOrdenes[[#This Row],[puesto_trabajo]],tblPuestos[codigo],tblPuestos[especialidad],"(sin catálogo)"))</f>
        <v/>
      </c>
      <c r="Y212" s="3">
        <f>IF(tblOrdenes[[#This Row],[cod_actividad]]="","",_xlfn.XLOOKUP(tblOrdenes[[#This Row],[cod_actividad]],tblActividades[codigo],tblActividades[descripcion],"(sin catálogo)"))</f>
        <v/>
      </c>
      <c r="Z212" s="12">
        <f>IF(tblOrdenes[[#This Row],[fecha_inicio]]="","",TODAY()-tblOrdenes[[#This Row],[fecha_inicio]])</f>
        <v/>
      </c>
      <c r="AA212" s="3">
        <f>IF(tblOrdenes[[#This Row],[backlog_dias]]="","",IF(tblOrdenes[[#This Row],[backlog_dias]]&lt;0,"FUTURO",IF(tblOrdenes[[#This Row],[backlog_dias]]&gt;p_dias_backlog_max,"BACKLOG","MES CORRIENTE")))</f>
        <v/>
      </c>
      <c r="AB212" s="3">
        <f>IF(tblOrdenes[[#This Row],[backlog_dias]]="",FALSE,AND(tblOrdenes[[#This Row],[backlog_dias]]&gt;p_dias_backlog_min,tblOrdenes[[#This Row],[backlog_dias]]&lt;=p_dias_backlog_max))</f>
        <v/>
      </c>
      <c r="AC212" s="6" t="n"/>
      <c r="AD2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12" s="10">
        <f>IF(tblOrdenes[[#This Row],[orden]]="","",_xlfn.XLOOKUP(tblOrdenes[[#This Row],[id_operacion]],tblEjecucion[id_operacion],tblEjecucion[precio],0))</f>
        <v/>
      </c>
      <c r="AH212" s="10">
        <f>IF(tblOrdenes[[#This Row],[orden]]="","",MAX(0,_xlfn.XLOOKUP(tblOrdenes[[#This Row],[id_operacion]],tblEjecucion[id_operacion],tblEjecucion[costo_plan_total],0)-tblOrdenes[[#This Row],[costo_servicio]]))</f>
        <v/>
      </c>
      <c r="AI212" s="10">
        <f>IF(tblOrdenes[[#This Row],[orden]]="","",tblOrdenes[[#This Row],[costo_servicio]]+tblOrdenes[[#This Row],[costo_materiales]])</f>
        <v/>
      </c>
      <c r="AJ212" s="6" t="n"/>
      <c r="AK212" s="6" t="n"/>
      <c r="AL212" s="6" t="n"/>
      <c r="AM212" s="3">
        <f>IF(tblOrdenes[[#This Row],[link_checklist]]="","",HYPERLINK(p_ruta_base_checklists&amp;tblOrdenes[[#This Row],[link_checklist]],"abrir"))</f>
        <v/>
      </c>
      <c r="AN212" s="6" t="n"/>
      <c r="AO212" s="3">
        <f>IF(tblOrdenes[[#This Row],[orden]]="","",tblOrdenes[[#This Row],[orden]]&amp;IF(tblOrdenes[[#This Row],[operacion]]="","0010",tblOrdenes[[#This Row],[operacion]]))</f>
        <v/>
      </c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11" t="n"/>
      <c r="K213" s="3" t="n"/>
      <c r="L213" s="10" t="n"/>
      <c r="M213" s="6" t="n"/>
      <c r="N2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13" s="3">
        <f>IF(tblOrdenes[[#This Row],[fecha_inicio]]="","",YEAR(tblOrdenes[[#This Row],[fecha_inicio]]))</f>
        <v/>
      </c>
      <c r="R213" s="3">
        <f>IF(tblOrdenes[[#This Row],[fecha_inicio]]="","",MONTH(tblOrdenes[[#This Row],[fecha_inicio]]))</f>
        <v/>
      </c>
      <c r="S213" s="3">
        <f>IF(tblOrdenes[[#This Row],[fecha_inicio]]="","",INDEX(lista_dias,WEEKDAY(tblOrdenes[[#This Row],[fecha_inicio]],2)))</f>
        <v/>
      </c>
      <c r="T213" s="3">
        <f>IF(tblOrdenes[[#This Row],[tipo_ot]]="","",_xlfn.XLOOKUP(tblOrdenes[[#This Row],[tipo_ot]],tblTiposOT[codigo],tblTiposOT[clasificacion],"sin_clasificar"))</f>
        <v/>
      </c>
      <c r="U213" s="3">
        <f>IF(tblOrdenes[[#This Row],[centro_costo]]="","",_xlfn.XLOOKUP(tblOrdenes[[#This Row],[centro_costo]],tblCECO[codigo],tblCECO[linea],"(sin catálogo)"))</f>
        <v/>
      </c>
      <c r="V213" s="3">
        <f>IF(tblOrdenes[[#This Row],[centro_costo]]="","",_xlfn.XLOOKUP(tblOrdenes[[#This Row],[centro_costo]],tblCECO[codigo],tblCECO[area],"(sin catálogo)"))</f>
        <v/>
      </c>
      <c r="W213" s="3">
        <f>IF(tblOrdenes[[#This Row],[centro_costo]]="","",_xlfn.XLOOKUP(tblOrdenes[[#This Row],[centro_costo]],tblCECO[codigo],tblCECO[coordinador],"(sin catálogo)"))</f>
        <v/>
      </c>
      <c r="X213" s="3">
        <f>IF(tblOrdenes[[#This Row],[puesto_trabajo]]="","",_xlfn.XLOOKUP(tblOrdenes[[#This Row],[puesto_trabajo]],tblPuestos[codigo],tblPuestos[especialidad],"(sin catálogo)"))</f>
        <v/>
      </c>
      <c r="Y213" s="3">
        <f>IF(tblOrdenes[[#This Row],[cod_actividad]]="","",_xlfn.XLOOKUP(tblOrdenes[[#This Row],[cod_actividad]],tblActividades[codigo],tblActividades[descripcion],"(sin catálogo)"))</f>
        <v/>
      </c>
      <c r="Z213" s="12">
        <f>IF(tblOrdenes[[#This Row],[fecha_inicio]]="","",TODAY()-tblOrdenes[[#This Row],[fecha_inicio]])</f>
        <v/>
      </c>
      <c r="AA213" s="3">
        <f>IF(tblOrdenes[[#This Row],[backlog_dias]]="","",IF(tblOrdenes[[#This Row],[backlog_dias]]&lt;0,"FUTURO",IF(tblOrdenes[[#This Row],[backlog_dias]]&gt;p_dias_backlog_max,"BACKLOG","MES CORRIENTE")))</f>
        <v/>
      </c>
      <c r="AB213" s="3">
        <f>IF(tblOrdenes[[#This Row],[backlog_dias]]="",FALSE,AND(tblOrdenes[[#This Row],[backlog_dias]]&gt;p_dias_backlog_min,tblOrdenes[[#This Row],[backlog_dias]]&lt;=p_dias_backlog_max))</f>
        <v/>
      </c>
      <c r="AC213" s="6" t="n"/>
      <c r="AD2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13" s="10">
        <f>IF(tblOrdenes[[#This Row],[orden]]="","",_xlfn.XLOOKUP(tblOrdenes[[#This Row],[id_operacion]],tblEjecucion[id_operacion],tblEjecucion[precio],0))</f>
        <v/>
      </c>
      <c r="AH213" s="10">
        <f>IF(tblOrdenes[[#This Row],[orden]]="","",MAX(0,_xlfn.XLOOKUP(tblOrdenes[[#This Row],[id_operacion]],tblEjecucion[id_operacion],tblEjecucion[costo_plan_total],0)-tblOrdenes[[#This Row],[costo_servicio]]))</f>
        <v/>
      </c>
      <c r="AI213" s="10">
        <f>IF(tblOrdenes[[#This Row],[orden]]="","",tblOrdenes[[#This Row],[costo_servicio]]+tblOrdenes[[#This Row],[costo_materiales]])</f>
        <v/>
      </c>
      <c r="AJ213" s="6" t="n"/>
      <c r="AK213" s="6" t="n"/>
      <c r="AL213" s="6" t="n"/>
      <c r="AM213" s="3">
        <f>IF(tblOrdenes[[#This Row],[link_checklist]]="","",HYPERLINK(p_ruta_base_checklists&amp;tblOrdenes[[#This Row],[link_checklist]],"abrir"))</f>
        <v/>
      </c>
      <c r="AN213" s="6" t="n"/>
      <c r="AO213" s="3">
        <f>IF(tblOrdenes[[#This Row],[orden]]="","",tblOrdenes[[#This Row],[orden]]&amp;IF(tblOrdenes[[#This Row],[operacion]]="","0010",tblOrdenes[[#This Row],[operacion]]))</f>
        <v/>
      </c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11" t="n"/>
      <c r="K214" s="3" t="n"/>
      <c r="L214" s="10" t="n"/>
      <c r="M214" s="6" t="n"/>
      <c r="N2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14" s="3">
        <f>IF(tblOrdenes[[#This Row],[fecha_inicio]]="","",YEAR(tblOrdenes[[#This Row],[fecha_inicio]]))</f>
        <v/>
      </c>
      <c r="R214" s="3">
        <f>IF(tblOrdenes[[#This Row],[fecha_inicio]]="","",MONTH(tblOrdenes[[#This Row],[fecha_inicio]]))</f>
        <v/>
      </c>
      <c r="S214" s="3">
        <f>IF(tblOrdenes[[#This Row],[fecha_inicio]]="","",INDEX(lista_dias,WEEKDAY(tblOrdenes[[#This Row],[fecha_inicio]],2)))</f>
        <v/>
      </c>
      <c r="T214" s="3">
        <f>IF(tblOrdenes[[#This Row],[tipo_ot]]="","",_xlfn.XLOOKUP(tblOrdenes[[#This Row],[tipo_ot]],tblTiposOT[codigo],tblTiposOT[clasificacion],"sin_clasificar"))</f>
        <v/>
      </c>
      <c r="U214" s="3">
        <f>IF(tblOrdenes[[#This Row],[centro_costo]]="","",_xlfn.XLOOKUP(tblOrdenes[[#This Row],[centro_costo]],tblCECO[codigo],tblCECO[linea],"(sin catálogo)"))</f>
        <v/>
      </c>
      <c r="V214" s="3">
        <f>IF(tblOrdenes[[#This Row],[centro_costo]]="","",_xlfn.XLOOKUP(tblOrdenes[[#This Row],[centro_costo]],tblCECO[codigo],tblCECO[area],"(sin catálogo)"))</f>
        <v/>
      </c>
      <c r="W214" s="3">
        <f>IF(tblOrdenes[[#This Row],[centro_costo]]="","",_xlfn.XLOOKUP(tblOrdenes[[#This Row],[centro_costo]],tblCECO[codigo],tblCECO[coordinador],"(sin catálogo)"))</f>
        <v/>
      </c>
      <c r="X214" s="3">
        <f>IF(tblOrdenes[[#This Row],[puesto_trabajo]]="","",_xlfn.XLOOKUP(tblOrdenes[[#This Row],[puesto_trabajo]],tblPuestos[codigo],tblPuestos[especialidad],"(sin catálogo)"))</f>
        <v/>
      </c>
      <c r="Y214" s="3">
        <f>IF(tblOrdenes[[#This Row],[cod_actividad]]="","",_xlfn.XLOOKUP(tblOrdenes[[#This Row],[cod_actividad]],tblActividades[codigo],tblActividades[descripcion],"(sin catálogo)"))</f>
        <v/>
      </c>
      <c r="Z214" s="12">
        <f>IF(tblOrdenes[[#This Row],[fecha_inicio]]="","",TODAY()-tblOrdenes[[#This Row],[fecha_inicio]])</f>
        <v/>
      </c>
      <c r="AA214" s="3">
        <f>IF(tblOrdenes[[#This Row],[backlog_dias]]="","",IF(tblOrdenes[[#This Row],[backlog_dias]]&lt;0,"FUTURO",IF(tblOrdenes[[#This Row],[backlog_dias]]&gt;p_dias_backlog_max,"BACKLOG","MES CORRIENTE")))</f>
        <v/>
      </c>
      <c r="AB214" s="3">
        <f>IF(tblOrdenes[[#This Row],[backlog_dias]]="",FALSE,AND(tblOrdenes[[#This Row],[backlog_dias]]&gt;p_dias_backlog_min,tblOrdenes[[#This Row],[backlog_dias]]&lt;=p_dias_backlog_max))</f>
        <v/>
      </c>
      <c r="AC214" s="6" t="n"/>
      <c r="AD2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14" s="10">
        <f>IF(tblOrdenes[[#This Row],[orden]]="","",_xlfn.XLOOKUP(tblOrdenes[[#This Row],[id_operacion]],tblEjecucion[id_operacion],tblEjecucion[precio],0))</f>
        <v/>
      </c>
      <c r="AH214" s="10">
        <f>IF(tblOrdenes[[#This Row],[orden]]="","",MAX(0,_xlfn.XLOOKUP(tblOrdenes[[#This Row],[id_operacion]],tblEjecucion[id_operacion],tblEjecucion[costo_plan_total],0)-tblOrdenes[[#This Row],[costo_servicio]]))</f>
        <v/>
      </c>
      <c r="AI214" s="10">
        <f>IF(tblOrdenes[[#This Row],[orden]]="","",tblOrdenes[[#This Row],[costo_servicio]]+tblOrdenes[[#This Row],[costo_materiales]])</f>
        <v/>
      </c>
      <c r="AJ214" s="6" t="n"/>
      <c r="AK214" s="6" t="n"/>
      <c r="AL214" s="6" t="n"/>
      <c r="AM214" s="3">
        <f>IF(tblOrdenes[[#This Row],[link_checklist]]="","",HYPERLINK(p_ruta_base_checklists&amp;tblOrdenes[[#This Row],[link_checklist]],"abrir"))</f>
        <v/>
      </c>
      <c r="AN214" s="6" t="n"/>
      <c r="AO214" s="3">
        <f>IF(tblOrdenes[[#This Row],[orden]]="","",tblOrdenes[[#This Row],[orden]]&amp;IF(tblOrdenes[[#This Row],[operacion]]="","0010",tblOrdenes[[#This Row],[operacion]]))</f>
        <v/>
      </c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11" t="n"/>
      <c r="K215" s="3" t="n"/>
      <c r="L215" s="10" t="n"/>
      <c r="M215" s="6" t="n"/>
      <c r="N2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15" s="3">
        <f>IF(tblOrdenes[[#This Row],[fecha_inicio]]="","",YEAR(tblOrdenes[[#This Row],[fecha_inicio]]))</f>
        <v/>
      </c>
      <c r="R215" s="3">
        <f>IF(tblOrdenes[[#This Row],[fecha_inicio]]="","",MONTH(tblOrdenes[[#This Row],[fecha_inicio]]))</f>
        <v/>
      </c>
      <c r="S215" s="3">
        <f>IF(tblOrdenes[[#This Row],[fecha_inicio]]="","",INDEX(lista_dias,WEEKDAY(tblOrdenes[[#This Row],[fecha_inicio]],2)))</f>
        <v/>
      </c>
      <c r="T215" s="3">
        <f>IF(tblOrdenes[[#This Row],[tipo_ot]]="","",_xlfn.XLOOKUP(tblOrdenes[[#This Row],[tipo_ot]],tblTiposOT[codigo],tblTiposOT[clasificacion],"sin_clasificar"))</f>
        <v/>
      </c>
      <c r="U215" s="3">
        <f>IF(tblOrdenes[[#This Row],[centro_costo]]="","",_xlfn.XLOOKUP(tblOrdenes[[#This Row],[centro_costo]],tblCECO[codigo],tblCECO[linea],"(sin catálogo)"))</f>
        <v/>
      </c>
      <c r="V215" s="3">
        <f>IF(tblOrdenes[[#This Row],[centro_costo]]="","",_xlfn.XLOOKUP(tblOrdenes[[#This Row],[centro_costo]],tblCECO[codigo],tblCECO[area],"(sin catálogo)"))</f>
        <v/>
      </c>
      <c r="W215" s="3">
        <f>IF(tblOrdenes[[#This Row],[centro_costo]]="","",_xlfn.XLOOKUP(tblOrdenes[[#This Row],[centro_costo]],tblCECO[codigo],tblCECO[coordinador],"(sin catálogo)"))</f>
        <v/>
      </c>
      <c r="X215" s="3">
        <f>IF(tblOrdenes[[#This Row],[puesto_trabajo]]="","",_xlfn.XLOOKUP(tblOrdenes[[#This Row],[puesto_trabajo]],tblPuestos[codigo],tblPuestos[especialidad],"(sin catálogo)"))</f>
        <v/>
      </c>
      <c r="Y215" s="3">
        <f>IF(tblOrdenes[[#This Row],[cod_actividad]]="","",_xlfn.XLOOKUP(tblOrdenes[[#This Row],[cod_actividad]],tblActividades[codigo],tblActividades[descripcion],"(sin catálogo)"))</f>
        <v/>
      </c>
      <c r="Z215" s="12">
        <f>IF(tblOrdenes[[#This Row],[fecha_inicio]]="","",TODAY()-tblOrdenes[[#This Row],[fecha_inicio]])</f>
        <v/>
      </c>
      <c r="AA215" s="3">
        <f>IF(tblOrdenes[[#This Row],[backlog_dias]]="","",IF(tblOrdenes[[#This Row],[backlog_dias]]&lt;0,"FUTURO",IF(tblOrdenes[[#This Row],[backlog_dias]]&gt;p_dias_backlog_max,"BACKLOG","MES CORRIENTE")))</f>
        <v/>
      </c>
      <c r="AB215" s="3">
        <f>IF(tblOrdenes[[#This Row],[backlog_dias]]="",FALSE,AND(tblOrdenes[[#This Row],[backlog_dias]]&gt;p_dias_backlog_min,tblOrdenes[[#This Row],[backlog_dias]]&lt;=p_dias_backlog_max))</f>
        <v/>
      </c>
      <c r="AC215" s="6" t="n"/>
      <c r="AD2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15" s="10">
        <f>IF(tblOrdenes[[#This Row],[orden]]="","",_xlfn.XLOOKUP(tblOrdenes[[#This Row],[id_operacion]],tblEjecucion[id_operacion],tblEjecucion[precio],0))</f>
        <v/>
      </c>
      <c r="AH215" s="10">
        <f>IF(tblOrdenes[[#This Row],[orden]]="","",MAX(0,_xlfn.XLOOKUP(tblOrdenes[[#This Row],[id_operacion]],tblEjecucion[id_operacion],tblEjecucion[costo_plan_total],0)-tblOrdenes[[#This Row],[costo_servicio]]))</f>
        <v/>
      </c>
      <c r="AI215" s="10">
        <f>IF(tblOrdenes[[#This Row],[orden]]="","",tblOrdenes[[#This Row],[costo_servicio]]+tblOrdenes[[#This Row],[costo_materiales]])</f>
        <v/>
      </c>
      <c r="AJ215" s="6" t="n"/>
      <c r="AK215" s="6" t="n"/>
      <c r="AL215" s="6" t="n"/>
      <c r="AM215" s="3">
        <f>IF(tblOrdenes[[#This Row],[link_checklist]]="","",HYPERLINK(p_ruta_base_checklists&amp;tblOrdenes[[#This Row],[link_checklist]],"abrir"))</f>
        <v/>
      </c>
      <c r="AN215" s="6" t="n"/>
      <c r="AO215" s="3">
        <f>IF(tblOrdenes[[#This Row],[orden]]="","",tblOrdenes[[#This Row],[orden]]&amp;IF(tblOrdenes[[#This Row],[operacion]]="","0010",tblOrdenes[[#This Row],[operacion]]))</f>
        <v/>
      </c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11" t="n"/>
      <c r="K216" s="3" t="n"/>
      <c r="L216" s="10" t="n"/>
      <c r="M216" s="6" t="n"/>
      <c r="N2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16" s="3">
        <f>IF(tblOrdenes[[#This Row],[fecha_inicio]]="","",YEAR(tblOrdenes[[#This Row],[fecha_inicio]]))</f>
        <v/>
      </c>
      <c r="R216" s="3">
        <f>IF(tblOrdenes[[#This Row],[fecha_inicio]]="","",MONTH(tblOrdenes[[#This Row],[fecha_inicio]]))</f>
        <v/>
      </c>
      <c r="S216" s="3">
        <f>IF(tblOrdenes[[#This Row],[fecha_inicio]]="","",INDEX(lista_dias,WEEKDAY(tblOrdenes[[#This Row],[fecha_inicio]],2)))</f>
        <v/>
      </c>
      <c r="T216" s="3">
        <f>IF(tblOrdenes[[#This Row],[tipo_ot]]="","",_xlfn.XLOOKUP(tblOrdenes[[#This Row],[tipo_ot]],tblTiposOT[codigo],tblTiposOT[clasificacion],"sin_clasificar"))</f>
        <v/>
      </c>
      <c r="U216" s="3">
        <f>IF(tblOrdenes[[#This Row],[centro_costo]]="","",_xlfn.XLOOKUP(tblOrdenes[[#This Row],[centro_costo]],tblCECO[codigo],tblCECO[linea],"(sin catálogo)"))</f>
        <v/>
      </c>
      <c r="V216" s="3">
        <f>IF(tblOrdenes[[#This Row],[centro_costo]]="","",_xlfn.XLOOKUP(tblOrdenes[[#This Row],[centro_costo]],tblCECO[codigo],tblCECO[area],"(sin catálogo)"))</f>
        <v/>
      </c>
      <c r="W216" s="3">
        <f>IF(tblOrdenes[[#This Row],[centro_costo]]="","",_xlfn.XLOOKUP(tblOrdenes[[#This Row],[centro_costo]],tblCECO[codigo],tblCECO[coordinador],"(sin catálogo)"))</f>
        <v/>
      </c>
      <c r="X216" s="3">
        <f>IF(tblOrdenes[[#This Row],[puesto_trabajo]]="","",_xlfn.XLOOKUP(tblOrdenes[[#This Row],[puesto_trabajo]],tblPuestos[codigo],tblPuestos[especialidad],"(sin catálogo)"))</f>
        <v/>
      </c>
      <c r="Y216" s="3">
        <f>IF(tblOrdenes[[#This Row],[cod_actividad]]="","",_xlfn.XLOOKUP(tblOrdenes[[#This Row],[cod_actividad]],tblActividades[codigo],tblActividades[descripcion],"(sin catálogo)"))</f>
        <v/>
      </c>
      <c r="Z216" s="12">
        <f>IF(tblOrdenes[[#This Row],[fecha_inicio]]="","",TODAY()-tblOrdenes[[#This Row],[fecha_inicio]])</f>
        <v/>
      </c>
      <c r="AA216" s="3">
        <f>IF(tblOrdenes[[#This Row],[backlog_dias]]="","",IF(tblOrdenes[[#This Row],[backlog_dias]]&lt;0,"FUTURO",IF(tblOrdenes[[#This Row],[backlog_dias]]&gt;p_dias_backlog_max,"BACKLOG","MES CORRIENTE")))</f>
        <v/>
      </c>
      <c r="AB216" s="3">
        <f>IF(tblOrdenes[[#This Row],[backlog_dias]]="",FALSE,AND(tblOrdenes[[#This Row],[backlog_dias]]&gt;p_dias_backlog_min,tblOrdenes[[#This Row],[backlog_dias]]&lt;=p_dias_backlog_max))</f>
        <v/>
      </c>
      <c r="AC216" s="6" t="n"/>
      <c r="AD2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16" s="10">
        <f>IF(tblOrdenes[[#This Row],[orden]]="","",_xlfn.XLOOKUP(tblOrdenes[[#This Row],[id_operacion]],tblEjecucion[id_operacion],tblEjecucion[precio],0))</f>
        <v/>
      </c>
      <c r="AH216" s="10">
        <f>IF(tblOrdenes[[#This Row],[orden]]="","",MAX(0,_xlfn.XLOOKUP(tblOrdenes[[#This Row],[id_operacion]],tblEjecucion[id_operacion],tblEjecucion[costo_plan_total],0)-tblOrdenes[[#This Row],[costo_servicio]]))</f>
        <v/>
      </c>
      <c r="AI216" s="10">
        <f>IF(tblOrdenes[[#This Row],[orden]]="","",tblOrdenes[[#This Row],[costo_servicio]]+tblOrdenes[[#This Row],[costo_materiales]])</f>
        <v/>
      </c>
      <c r="AJ216" s="6" t="n"/>
      <c r="AK216" s="6" t="n"/>
      <c r="AL216" s="6" t="n"/>
      <c r="AM216" s="3">
        <f>IF(tblOrdenes[[#This Row],[link_checklist]]="","",HYPERLINK(p_ruta_base_checklists&amp;tblOrdenes[[#This Row],[link_checklist]],"abrir"))</f>
        <v/>
      </c>
      <c r="AN216" s="6" t="n"/>
      <c r="AO216" s="3">
        <f>IF(tblOrdenes[[#This Row],[orden]]="","",tblOrdenes[[#This Row],[orden]]&amp;IF(tblOrdenes[[#This Row],[operacion]]="","0010",tblOrdenes[[#This Row],[operacion]]))</f>
        <v/>
      </c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11" t="n"/>
      <c r="K217" s="3" t="n"/>
      <c r="L217" s="10" t="n"/>
      <c r="M217" s="6" t="n"/>
      <c r="N2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17" s="3">
        <f>IF(tblOrdenes[[#This Row],[fecha_inicio]]="","",YEAR(tblOrdenes[[#This Row],[fecha_inicio]]))</f>
        <v/>
      </c>
      <c r="R217" s="3">
        <f>IF(tblOrdenes[[#This Row],[fecha_inicio]]="","",MONTH(tblOrdenes[[#This Row],[fecha_inicio]]))</f>
        <v/>
      </c>
      <c r="S217" s="3">
        <f>IF(tblOrdenes[[#This Row],[fecha_inicio]]="","",INDEX(lista_dias,WEEKDAY(tblOrdenes[[#This Row],[fecha_inicio]],2)))</f>
        <v/>
      </c>
      <c r="T217" s="3">
        <f>IF(tblOrdenes[[#This Row],[tipo_ot]]="","",_xlfn.XLOOKUP(tblOrdenes[[#This Row],[tipo_ot]],tblTiposOT[codigo],tblTiposOT[clasificacion],"sin_clasificar"))</f>
        <v/>
      </c>
      <c r="U217" s="3">
        <f>IF(tblOrdenes[[#This Row],[centro_costo]]="","",_xlfn.XLOOKUP(tblOrdenes[[#This Row],[centro_costo]],tblCECO[codigo],tblCECO[linea],"(sin catálogo)"))</f>
        <v/>
      </c>
      <c r="V217" s="3">
        <f>IF(tblOrdenes[[#This Row],[centro_costo]]="","",_xlfn.XLOOKUP(tblOrdenes[[#This Row],[centro_costo]],tblCECO[codigo],tblCECO[area],"(sin catálogo)"))</f>
        <v/>
      </c>
      <c r="W217" s="3">
        <f>IF(tblOrdenes[[#This Row],[centro_costo]]="","",_xlfn.XLOOKUP(tblOrdenes[[#This Row],[centro_costo]],tblCECO[codigo],tblCECO[coordinador],"(sin catálogo)"))</f>
        <v/>
      </c>
      <c r="X217" s="3">
        <f>IF(tblOrdenes[[#This Row],[puesto_trabajo]]="","",_xlfn.XLOOKUP(tblOrdenes[[#This Row],[puesto_trabajo]],tblPuestos[codigo],tblPuestos[especialidad],"(sin catálogo)"))</f>
        <v/>
      </c>
      <c r="Y217" s="3">
        <f>IF(tblOrdenes[[#This Row],[cod_actividad]]="","",_xlfn.XLOOKUP(tblOrdenes[[#This Row],[cod_actividad]],tblActividades[codigo],tblActividades[descripcion],"(sin catálogo)"))</f>
        <v/>
      </c>
      <c r="Z217" s="12">
        <f>IF(tblOrdenes[[#This Row],[fecha_inicio]]="","",TODAY()-tblOrdenes[[#This Row],[fecha_inicio]])</f>
        <v/>
      </c>
      <c r="AA217" s="3">
        <f>IF(tblOrdenes[[#This Row],[backlog_dias]]="","",IF(tblOrdenes[[#This Row],[backlog_dias]]&lt;0,"FUTURO",IF(tblOrdenes[[#This Row],[backlog_dias]]&gt;p_dias_backlog_max,"BACKLOG","MES CORRIENTE")))</f>
        <v/>
      </c>
      <c r="AB217" s="3">
        <f>IF(tblOrdenes[[#This Row],[backlog_dias]]="",FALSE,AND(tblOrdenes[[#This Row],[backlog_dias]]&gt;p_dias_backlog_min,tblOrdenes[[#This Row],[backlog_dias]]&lt;=p_dias_backlog_max))</f>
        <v/>
      </c>
      <c r="AC217" s="6" t="n"/>
      <c r="AD2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17" s="10">
        <f>IF(tblOrdenes[[#This Row],[orden]]="","",_xlfn.XLOOKUP(tblOrdenes[[#This Row],[id_operacion]],tblEjecucion[id_operacion],tblEjecucion[precio],0))</f>
        <v/>
      </c>
      <c r="AH217" s="10">
        <f>IF(tblOrdenes[[#This Row],[orden]]="","",MAX(0,_xlfn.XLOOKUP(tblOrdenes[[#This Row],[id_operacion]],tblEjecucion[id_operacion],tblEjecucion[costo_plan_total],0)-tblOrdenes[[#This Row],[costo_servicio]]))</f>
        <v/>
      </c>
      <c r="AI217" s="10">
        <f>IF(tblOrdenes[[#This Row],[orden]]="","",tblOrdenes[[#This Row],[costo_servicio]]+tblOrdenes[[#This Row],[costo_materiales]])</f>
        <v/>
      </c>
      <c r="AJ217" s="6" t="n"/>
      <c r="AK217" s="6" t="n"/>
      <c r="AL217" s="6" t="n"/>
      <c r="AM217" s="3">
        <f>IF(tblOrdenes[[#This Row],[link_checklist]]="","",HYPERLINK(p_ruta_base_checklists&amp;tblOrdenes[[#This Row],[link_checklist]],"abrir"))</f>
        <v/>
      </c>
      <c r="AN217" s="6" t="n"/>
      <c r="AO217" s="3">
        <f>IF(tblOrdenes[[#This Row],[orden]]="","",tblOrdenes[[#This Row],[orden]]&amp;IF(tblOrdenes[[#This Row],[operacion]]="","0010",tblOrdenes[[#This Row],[operacion]]))</f>
        <v/>
      </c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11" t="n"/>
      <c r="K218" s="3" t="n"/>
      <c r="L218" s="10" t="n"/>
      <c r="M218" s="6" t="n"/>
      <c r="N2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18" s="3">
        <f>IF(tblOrdenes[[#This Row],[fecha_inicio]]="","",YEAR(tblOrdenes[[#This Row],[fecha_inicio]]))</f>
        <v/>
      </c>
      <c r="R218" s="3">
        <f>IF(tblOrdenes[[#This Row],[fecha_inicio]]="","",MONTH(tblOrdenes[[#This Row],[fecha_inicio]]))</f>
        <v/>
      </c>
      <c r="S218" s="3">
        <f>IF(tblOrdenes[[#This Row],[fecha_inicio]]="","",INDEX(lista_dias,WEEKDAY(tblOrdenes[[#This Row],[fecha_inicio]],2)))</f>
        <v/>
      </c>
      <c r="T218" s="3">
        <f>IF(tblOrdenes[[#This Row],[tipo_ot]]="","",_xlfn.XLOOKUP(tblOrdenes[[#This Row],[tipo_ot]],tblTiposOT[codigo],tblTiposOT[clasificacion],"sin_clasificar"))</f>
        <v/>
      </c>
      <c r="U218" s="3">
        <f>IF(tblOrdenes[[#This Row],[centro_costo]]="","",_xlfn.XLOOKUP(tblOrdenes[[#This Row],[centro_costo]],tblCECO[codigo],tblCECO[linea],"(sin catálogo)"))</f>
        <v/>
      </c>
      <c r="V218" s="3">
        <f>IF(tblOrdenes[[#This Row],[centro_costo]]="","",_xlfn.XLOOKUP(tblOrdenes[[#This Row],[centro_costo]],tblCECO[codigo],tblCECO[area],"(sin catálogo)"))</f>
        <v/>
      </c>
      <c r="W218" s="3">
        <f>IF(tblOrdenes[[#This Row],[centro_costo]]="","",_xlfn.XLOOKUP(tblOrdenes[[#This Row],[centro_costo]],tblCECO[codigo],tblCECO[coordinador],"(sin catálogo)"))</f>
        <v/>
      </c>
      <c r="X218" s="3">
        <f>IF(tblOrdenes[[#This Row],[puesto_trabajo]]="","",_xlfn.XLOOKUP(tblOrdenes[[#This Row],[puesto_trabajo]],tblPuestos[codigo],tblPuestos[especialidad],"(sin catálogo)"))</f>
        <v/>
      </c>
      <c r="Y218" s="3">
        <f>IF(tblOrdenes[[#This Row],[cod_actividad]]="","",_xlfn.XLOOKUP(tblOrdenes[[#This Row],[cod_actividad]],tblActividades[codigo],tblActividades[descripcion],"(sin catálogo)"))</f>
        <v/>
      </c>
      <c r="Z218" s="12">
        <f>IF(tblOrdenes[[#This Row],[fecha_inicio]]="","",TODAY()-tblOrdenes[[#This Row],[fecha_inicio]])</f>
        <v/>
      </c>
      <c r="AA218" s="3">
        <f>IF(tblOrdenes[[#This Row],[backlog_dias]]="","",IF(tblOrdenes[[#This Row],[backlog_dias]]&lt;0,"FUTURO",IF(tblOrdenes[[#This Row],[backlog_dias]]&gt;p_dias_backlog_max,"BACKLOG","MES CORRIENTE")))</f>
        <v/>
      </c>
      <c r="AB218" s="3">
        <f>IF(tblOrdenes[[#This Row],[backlog_dias]]="",FALSE,AND(tblOrdenes[[#This Row],[backlog_dias]]&gt;p_dias_backlog_min,tblOrdenes[[#This Row],[backlog_dias]]&lt;=p_dias_backlog_max))</f>
        <v/>
      </c>
      <c r="AC218" s="6" t="n"/>
      <c r="AD2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18" s="10">
        <f>IF(tblOrdenes[[#This Row],[orden]]="","",_xlfn.XLOOKUP(tblOrdenes[[#This Row],[id_operacion]],tblEjecucion[id_operacion],tblEjecucion[precio],0))</f>
        <v/>
      </c>
      <c r="AH218" s="10">
        <f>IF(tblOrdenes[[#This Row],[orden]]="","",MAX(0,_xlfn.XLOOKUP(tblOrdenes[[#This Row],[id_operacion]],tblEjecucion[id_operacion],tblEjecucion[costo_plan_total],0)-tblOrdenes[[#This Row],[costo_servicio]]))</f>
        <v/>
      </c>
      <c r="AI218" s="10">
        <f>IF(tblOrdenes[[#This Row],[orden]]="","",tblOrdenes[[#This Row],[costo_servicio]]+tblOrdenes[[#This Row],[costo_materiales]])</f>
        <v/>
      </c>
      <c r="AJ218" s="6" t="n"/>
      <c r="AK218" s="6" t="n"/>
      <c r="AL218" s="6" t="n"/>
      <c r="AM218" s="3">
        <f>IF(tblOrdenes[[#This Row],[link_checklist]]="","",HYPERLINK(p_ruta_base_checklists&amp;tblOrdenes[[#This Row],[link_checklist]],"abrir"))</f>
        <v/>
      </c>
      <c r="AN218" s="6" t="n"/>
      <c r="AO218" s="3">
        <f>IF(tblOrdenes[[#This Row],[orden]]="","",tblOrdenes[[#This Row],[orden]]&amp;IF(tblOrdenes[[#This Row],[operacion]]="","0010",tblOrdenes[[#This Row],[operacion]]))</f>
        <v/>
      </c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11" t="n"/>
      <c r="K219" s="3" t="n"/>
      <c r="L219" s="10" t="n"/>
      <c r="M219" s="6" t="n"/>
      <c r="N2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19" s="3">
        <f>IF(tblOrdenes[[#This Row],[fecha_inicio]]="","",YEAR(tblOrdenes[[#This Row],[fecha_inicio]]))</f>
        <v/>
      </c>
      <c r="R219" s="3">
        <f>IF(tblOrdenes[[#This Row],[fecha_inicio]]="","",MONTH(tblOrdenes[[#This Row],[fecha_inicio]]))</f>
        <v/>
      </c>
      <c r="S219" s="3">
        <f>IF(tblOrdenes[[#This Row],[fecha_inicio]]="","",INDEX(lista_dias,WEEKDAY(tblOrdenes[[#This Row],[fecha_inicio]],2)))</f>
        <v/>
      </c>
      <c r="T219" s="3">
        <f>IF(tblOrdenes[[#This Row],[tipo_ot]]="","",_xlfn.XLOOKUP(tblOrdenes[[#This Row],[tipo_ot]],tblTiposOT[codigo],tblTiposOT[clasificacion],"sin_clasificar"))</f>
        <v/>
      </c>
      <c r="U219" s="3">
        <f>IF(tblOrdenes[[#This Row],[centro_costo]]="","",_xlfn.XLOOKUP(tblOrdenes[[#This Row],[centro_costo]],tblCECO[codigo],tblCECO[linea],"(sin catálogo)"))</f>
        <v/>
      </c>
      <c r="V219" s="3">
        <f>IF(tblOrdenes[[#This Row],[centro_costo]]="","",_xlfn.XLOOKUP(tblOrdenes[[#This Row],[centro_costo]],tblCECO[codigo],tblCECO[area],"(sin catálogo)"))</f>
        <v/>
      </c>
      <c r="W219" s="3">
        <f>IF(tblOrdenes[[#This Row],[centro_costo]]="","",_xlfn.XLOOKUP(tblOrdenes[[#This Row],[centro_costo]],tblCECO[codigo],tblCECO[coordinador],"(sin catálogo)"))</f>
        <v/>
      </c>
      <c r="X219" s="3">
        <f>IF(tblOrdenes[[#This Row],[puesto_trabajo]]="","",_xlfn.XLOOKUP(tblOrdenes[[#This Row],[puesto_trabajo]],tblPuestos[codigo],tblPuestos[especialidad],"(sin catálogo)"))</f>
        <v/>
      </c>
      <c r="Y219" s="3">
        <f>IF(tblOrdenes[[#This Row],[cod_actividad]]="","",_xlfn.XLOOKUP(tblOrdenes[[#This Row],[cod_actividad]],tblActividades[codigo],tblActividades[descripcion],"(sin catálogo)"))</f>
        <v/>
      </c>
      <c r="Z219" s="12">
        <f>IF(tblOrdenes[[#This Row],[fecha_inicio]]="","",TODAY()-tblOrdenes[[#This Row],[fecha_inicio]])</f>
        <v/>
      </c>
      <c r="AA219" s="3">
        <f>IF(tblOrdenes[[#This Row],[backlog_dias]]="","",IF(tblOrdenes[[#This Row],[backlog_dias]]&lt;0,"FUTURO",IF(tblOrdenes[[#This Row],[backlog_dias]]&gt;p_dias_backlog_max,"BACKLOG","MES CORRIENTE")))</f>
        <v/>
      </c>
      <c r="AB219" s="3">
        <f>IF(tblOrdenes[[#This Row],[backlog_dias]]="",FALSE,AND(tblOrdenes[[#This Row],[backlog_dias]]&gt;p_dias_backlog_min,tblOrdenes[[#This Row],[backlog_dias]]&lt;=p_dias_backlog_max))</f>
        <v/>
      </c>
      <c r="AC219" s="6" t="n"/>
      <c r="AD2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19" s="10">
        <f>IF(tblOrdenes[[#This Row],[orden]]="","",_xlfn.XLOOKUP(tblOrdenes[[#This Row],[id_operacion]],tblEjecucion[id_operacion],tblEjecucion[precio],0))</f>
        <v/>
      </c>
      <c r="AH219" s="10">
        <f>IF(tblOrdenes[[#This Row],[orden]]="","",MAX(0,_xlfn.XLOOKUP(tblOrdenes[[#This Row],[id_operacion]],tblEjecucion[id_operacion],tblEjecucion[costo_plan_total],0)-tblOrdenes[[#This Row],[costo_servicio]]))</f>
        <v/>
      </c>
      <c r="AI219" s="10">
        <f>IF(tblOrdenes[[#This Row],[orden]]="","",tblOrdenes[[#This Row],[costo_servicio]]+tblOrdenes[[#This Row],[costo_materiales]])</f>
        <v/>
      </c>
      <c r="AJ219" s="6" t="n"/>
      <c r="AK219" s="6" t="n"/>
      <c r="AL219" s="6" t="n"/>
      <c r="AM219" s="3">
        <f>IF(tblOrdenes[[#This Row],[link_checklist]]="","",HYPERLINK(p_ruta_base_checklists&amp;tblOrdenes[[#This Row],[link_checklist]],"abrir"))</f>
        <v/>
      </c>
      <c r="AN219" s="6" t="n"/>
      <c r="AO219" s="3">
        <f>IF(tblOrdenes[[#This Row],[orden]]="","",tblOrdenes[[#This Row],[orden]]&amp;IF(tblOrdenes[[#This Row],[operacion]]="","0010",tblOrdenes[[#This Row],[operacion]]))</f>
        <v/>
      </c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11" t="n"/>
      <c r="K220" s="3" t="n"/>
      <c r="L220" s="10" t="n"/>
      <c r="M220" s="6" t="n"/>
      <c r="N2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20" s="3">
        <f>IF(tblOrdenes[[#This Row],[fecha_inicio]]="","",YEAR(tblOrdenes[[#This Row],[fecha_inicio]]))</f>
        <v/>
      </c>
      <c r="R220" s="3">
        <f>IF(tblOrdenes[[#This Row],[fecha_inicio]]="","",MONTH(tblOrdenes[[#This Row],[fecha_inicio]]))</f>
        <v/>
      </c>
      <c r="S220" s="3">
        <f>IF(tblOrdenes[[#This Row],[fecha_inicio]]="","",INDEX(lista_dias,WEEKDAY(tblOrdenes[[#This Row],[fecha_inicio]],2)))</f>
        <v/>
      </c>
      <c r="T220" s="3">
        <f>IF(tblOrdenes[[#This Row],[tipo_ot]]="","",_xlfn.XLOOKUP(tblOrdenes[[#This Row],[tipo_ot]],tblTiposOT[codigo],tblTiposOT[clasificacion],"sin_clasificar"))</f>
        <v/>
      </c>
      <c r="U220" s="3">
        <f>IF(tblOrdenes[[#This Row],[centro_costo]]="","",_xlfn.XLOOKUP(tblOrdenes[[#This Row],[centro_costo]],tblCECO[codigo],tblCECO[linea],"(sin catálogo)"))</f>
        <v/>
      </c>
      <c r="V220" s="3">
        <f>IF(tblOrdenes[[#This Row],[centro_costo]]="","",_xlfn.XLOOKUP(tblOrdenes[[#This Row],[centro_costo]],tblCECO[codigo],tblCECO[area],"(sin catálogo)"))</f>
        <v/>
      </c>
      <c r="W220" s="3">
        <f>IF(tblOrdenes[[#This Row],[centro_costo]]="","",_xlfn.XLOOKUP(tblOrdenes[[#This Row],[centro_costo]],tblCECO[codigo],tblCECO[coordinador],"(sin catálogo)"))</f>
        <v/>
      </c>
      <c r="X220" s="3">
        <f>IF(tblOrdenes[[#This Row],[puesto_trabajo]]="","",_xlfn.XLOOKUP(tblOrdenes[[#This Row],[puesto_trabajo]],tblPuestos[codigo],tblPuestos[especialidad],"(sin catálogo)"))</f>
        <v/>
      </c>
      <c r="Y220" s="3">
        <f>IF(tblOrdenes[[#This Row],[cod_actividad]]="","",_xlfn.XLOOKUP(tblOrdenes[[#This Row],[cod_actividad]],tblActividades[codigo],tblActividades[descripcion],"(sin catálogo)"))</f>
        <v/>
      </c>
      <c r="Z220" s="12">
        <f>IF(tblOrdenes[[#This Row],[fecha_inicio]]="","",TODAY()-tblOrdenes[[#This Row],[fecha_inicio]])</f>
        <v/>
      </c>
      <c r="AA220" s="3">
        <f>IF(tblOrdenes[[#This Row],[backlog_dias]]="","",IF(tblOrdenes[[#This Row],[backlog_dias]]&lt;0,"FUTURO",IF(tblOrdenes[[#This Row],[backlog_dias]]&gt;p_dias_backlog_max,"BACKLOG","MES CORRIENTE")))</f>
        <v/>
      </c>
      <c r="AB220" s="3">
        <f>IF(tblOrdenes[[#This Row],[backlog_dias]]="",FALSE,AND(tblOrdenes[[#This Row],[backlog_dias]]&gt;p_dias_backlog_min,tblOrdenes[[#This Row],[backlog_dias]]&lt;=p_dias_backlog_max))</f>
        <v/>
      </c>
      <c r="AC220" s="6" t="n"/>
      <c r="AD2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20" s="10">
        <f>IF(tblOrdenes[[#This Row],[orden]]="","",_xlfn.XLOOKUP(tblOrdenes[[#This Row],[id_operacion]],tblEjecucion[id_operacion],tblEjecucion[precio],0))</f>
        <v/>
      </c>
      <c r="AH220" s="10">
        <f>IF(tblOrdenes[[#This Row],[orden]]="","",MAX(0,_xlfn.XLOOKUP(tblOrdenes[[#This Row],[id_operacion]],tblEjecucion[id_operacion],tblEjecucion[costo_plan_total],0)-tblOrdenes[[#This Row],[costo_servicio]]))</f>
        <v/>
      </c>
      <c r="AI220" s="10">
        <f>IF(tblOrdenes[[#This Row],[orden]]="","",tblOrdenes[[#This Row],[costo_servicio]]+tblOrdenes[[#This Row],[costo_materiales]])</f>
        <v/>
      </c>
      <c r="AJ220" s="6" t="n"/>
      <c r="AK220" s="6" t="n"/>
      <c r="AL220" s="6" t="n"/>
      <c r="AM220" s="3">
        <f>IF(tblOrdenes[[#This Row],[link_checklist]]="","",HYPERLINK(p_ruta_base_checklists&amp;tblOrdenes[[#This Row],[link_checklist]],"abrir"))</f>
        <v/>
      </c>
      <c r="AN220" s="6" t="n"/>
      <c r="AO220" s="3">
        <f>IF(tblOrdenes[[#This Row],[orden]]="","",tblOrdenes[[#This Row],[orden]]&amp;IF(tblOrdenes[[#This Row],[operacion]]="","0010",tblOrdenes[[#This Row],[operacion]]))</f>
        <v/>
      </c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11" t="n"/>
      <c r="K221" s="3" t="n"/>
      <c r="L221" s="10" t="n"/>
      <c r="M221" s="6" t="n"/>
      <c r="N2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21" s="3">
        <f>IF(tblOrdenes[[#This Row],[fecha_inicio]]="","",YEAR(tblOrdenes[[#This Row],[fecha_inicio]]))</f>
        <v/>
      </c>
      <c r="R221" s="3">
        <f>IF(tblOrdenes[[#This Row],[fecha_inicio]]="","",MONTH(tblOrdenes[[#This Row],[fecha_inicio]]))</f>
        <v/>
      </c>
      <c r="S221" s="3">
        <f>IF(tblOrdenes[[#This Row],[fecha_inicio]]="","",INDEX(lista_dias,WEEKDAY(tblOrdenes[[#This Row],[fecha_inicio]],2)))</f>
        <v/>
      </c>
      <c r="T221" s="3">
        <f>IF(tblOrdenes[[#This Row],[tipo_ot]]="","",_xlfn.XLOOKUP(tblOrdenes[[#This Row],[tipo_ot]],tblTiposOT[codigo],tblTiposOT[clasificacion],"sin_clasificar"))</f>
        <v/>
      </c>
      <c r="U221" s="3">
        <f>IF(tblOrdenes[[#This Row],[centro_costo]]="","",_xlfn.XLOOKUP(tblOrdenes[[#This Row],[centro_costo]],tblCECO[codigo],tblCECO[linea],"(sin catálogo)"))</f>
        <v/>
      </c>
      <c r="V221" s="3">
        <f>IF(tblOrdenes[[#This Row],[centro_costo]]="","",_xlfn.XLOOKUP(tblOrdenes[[#This Row],[centro_costo]],tblCECO[codigo],tblCECO[area],"(sin catálogo)"))</f>
        <v/>
      </c>
      <c r="W221" s="3">
        <f>IF(tblOrdenes[[#This Row],[centro_costo]]="","",_xlfn.XLOOKUP(tblOrdenes[[#This Row],[centro_costo]],tblCECO[codigo],tblCECO[coordinador],"(sin catálogo)"))</f>
        <v/>
      </c>
      <c r="X221" s="3">
        <f>IF(tblOrdenes[[#This Row],[puesto_trabajo]]="","",_xlfn.XLOOKUP(tblOrdenes[[#This Row],[puesto_trabajo]],tblPuestos[codigo],tblPuestos[especialidad],"(sin catálogo)"))</f>
        <v/>
      </c>
      <c r="Y221" s="3">
        <f>IF(tblOrdenes[[#This Row],[cod_actividad]]="","",_xlfn.XLOOKUP(tblOrdenes[[#This Row],[cod_actividad]],tblActividades[codigo],tblActividades[descripcion],"(sin catálogo)"))</f>
        <v/>
      </c>
      <c r="Z221" s="12">
        <f>IF(tblOrdenes[[#This Row],[fecha_inicio]]="","",TODAY()-tblOrdenes[[#This Row],[fecha_inicio]])</f>
        <v/>
      </c>
      <c r="AA221" s="3">
        <f>IF(tblOrdenes[[#This Row],[backlog_dias]]="","",IF(tblOrdenes[[#This Row],[backlog_dias]]&lt;0,"FUTURO",IF(tblOrdenes[[#This Row],[backlog_dias]]&gt;p_dias_backlog_max,"BACKLOG","MES CORRIENTE")))</f>
        <v/>
      </c>
      <c r="AB221" s="3">
        <f>IF(tblOrdenes[[#This Row],[backlog_dias]]="",FALSE,AND(tblOrdenes[[#This Row],[backlog_dias]]&gt;p_dias_backlog_min,tblOrdenes[[#This Row],[backlog_dias]]&lt;=p_dias_backlog_max))</f>
        <v/>
      </c>
      <c r="AC221" s="6" t="n"/>
      <c r="AD2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21" s="10">
        <f>IF(tblOrdenes[[#This Row],[orden]]="","",_xlfn.XLOOKUP(tblOrdenes[[#This Row],[id_operacion]],tblEjecucion[id_operacion],tblEjecucion[precio],0))</f>
        <v/>
      </c>
      <c r="AH221" s="10">
        <f>IF(tblOrdenes[[#This Row],[orden]]="","",MAX(0,_xlfn.XLOOKUP(tblOrdenes[[#This Row],[id_operacion]],tblEjecucion[id_operacion],tblEjecucion[costo_plan_total],0)-tblOrdenes[[#This Row],[costo_servicio]]))</f>
        <v/>
      </c>
      <c r="AI221" s="10">
        <f>IF(tblOrdenes[[#This Row],[orden]]="","",tblOrdenes[[#This Row],[costo_servicio]]+tblOrdenes[[#This Row],[costo_materiales]])</f>
        <v/>
      </c>
      <c r="AJ221" s="6" t="n"/>
      <c r="AK221" s="6" t="n"/>
      <c r="AL221" s="6" t="n"/>
      <c r="AM221" s="3">
        <f>IF(tblOrdenes[[#This Row],[link_checklist]]="","",HYPERLINK(p_ruta_base_checklists&amp;tblOrdenes[[#This Row],[link_checklist]],"abrir"))</f>
        <v/>
      </c>
      <c r="AN221" s="6" t="n"/>
      <c r="AO221" s="3">
        <f>IF(tblOrdenes[[#This Row],[orden]]="","",tblOrdenes[[#This Row],[orden]]&amp;IF(tblOrdenes[[#This Row],[operacion]]="","0010",tblOrdenes[[#This Row],[operacion]]))</f>
        <v/>
      </c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11" t="n"/>
      <c r="K222" s="3" t="n"/>
      <c r="L222" s="10" t="n"/>
      <c r="M222" s="6" t="n"/>
      <c r="N2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22" s="3">
        <f>IF(tblOrdenes[[#This Row],[fecha_inicio]]="","",YEAR(tblOrdenes[[#This Row],[fecha_inicio]]))</f>
        <v/>
      </c>
      <c r="R222" s="3">
        <f>IF(tblOrdenes[[#This Row],[fecha_inicio]]="","",MONTH(tblOrdenes[[#This Row],[fecha_inicio]]))</f>
        <v/>
      </c>
      <c r="S222" s="3">
        <f>IF(tblOrdenes[[#This Row],[fecha_inicio]]="","",INDEX(lista_dias,WEEKDAY(tblOrdenes[[#This Row],[fecha_inicio]],2)))</f>
        <v/>
      </c>
      <c r="T222" s="3">
        <f>IF(tblOrdenes[[#This Row],[tipo_ot]]="","",_xlfn.XLOOKUP(tblOrdenes[[#This Row],[tipo_ot]],tblTiposOT[codigo],tblTiposOT[clasificacion],"sin_clasificar"))</f>
        <v/>
      </c>
      <c r="U222" s="3">
        <f>IF(tblOrdenes[[#This Row],[centro_costo]]="","",_xlfn.XLOOKUP(tblOrdenes[[#This Row],[centro_costo]],tblCECO[codigo],tblCECO[linea],"(sin catálogo)"))</f>
        <v/>
      </c>
      <c r="V222" s="3">
        <f>IF(tblOrdenes[[#This Row],[centro_costo]]="","",_xlfn.XLOOKUP(tblOrdenes[[#This Row],[centro_costo]],tblCECO[codigo],tblCECO[area],"(sin catálogo)"))</f>
        <v/>
      </c>
      <c r="W222" s="3">
        <f>IF(tblOrdenes[[#This Row],[centro_costo]]="","",_xlfn.XLOOKUP(tblOrdenes[[#This Row],[centro_costo]],tblCECO[codigo],tblCECO[coordinador],"(sin catálogo)"))</f>
        <v/>
      </c>
      <c r="X222" s="3">
        <f>IF(tblOrdenes[[#This Row],[puesto_trabajo]]="","",_xlfn.XLOOKUP(tblOrdenes[[#This Row],[puesto_trabajo]],tblPuestos[codigo],tblPuestos[especialidad],"(sin catálogo)"))</f>
        <v/>
      </c>
      <c r="Y222" s="3">
        <f>IF(tblOrdenes[[#This Row],[cod_actividad]]="","",_xlfn.XLOOKUP(tblOrdenes[[#This Row],[cod_actividad]],tblActividades[codigo],tblActividades[descripcion],"(sin catálogo)"))</f>
        <v/>
      </c>
      <c r="Z222" s="12">
        <f>IF(tblOrdenes[[#This Row],[fecha_inicio]]="","",TODAY()-tblOrdenes[[#This Row],[fecha_inicio]])</f>
        <v/>
      </c>
      <c r="AA222" s="3">
        <f>IF(tblOrdenes[[#This Row],[backlog_dias]]="","",IF(tblOrdenes[[#This Row],[backlog_dias]]&lt;0,"FUTURO",IF(tblOrdenes[[#This Row],[backlog_dias]]&gt;p_dias_backlog_max,"BACKLOG","MES CORRIENTE")))</f>
        <v/>
      </c>
      <c r="AB222" s="3">
        <f>IF(tblOrdenes[[#This Row],[backlog_dias]]="",FALSE,AND(tblOrdenes[[#This Row],[backlog_dias]]&gt;p_dias_backlog_min,tblOrdenes[[#This Row],[backlog_dias]]&lt;=p_dias_backlog_max))</f>
        <v/>
      </c>
      <c r="AC222" s="6" t="n"/>
      <c r="AD2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22" s="10">
        <f>IF(tblOrdenes[[#This Row],[orden]]="","",_xlfn.XLOOKUP(tblOrdenes[[#This Row],[id_operacion]],tblEjecucion[id_operacion],tblEjecucion[precio],0))</f>
        <v/>
      </c>
      <c r="AH222" s="10">
        <f>IF(tblOrdenes[[#This Row],[orden]]="","",MAX(0,_xlfn.XLOOKUP(tblOrdenes[[#This Row],[id_operacion]],tblEjecucion[id_operacion],tblEjecucion[costo_plan_total],0)-tblOrdenes[[#This Row],[costo_servicio]]))</f>
        <v/>
      </c>
      <c r="AI222" s="10">
        <f>IF(tblOrdenes[[#This Row],[orden]]="","",tblOrdenes[[#This Row],[costo_servicio]]+tblOrdenes[[#This Row],[costo_materiales]])</f>
        <v/>
      </c>
      <c r="AJ222" s="6" t="n"/>
      <c r="AK222" s="6" t="n"/>
      <c r="AL222" s="6" t="n"/>
      <c r="AM222" s="3">
        <f>IF(tblOrdenes[[#This Row],[link_checklist]]="","",HYPERLINK(p_ruta_base_checklists&amp;tblOrdenes[[#This Row],[link_checklist]],"abrir"))</f>
        <v/>
      </c>
      <c r="AN222" s="6" t="n"/>
      <c r="AO222" s="3">
        <f>IF(tblOrdenes[[#This Row],[orden]]="","",tblOrdenes[[#This Row],[orden]]&amp;IF(tblOrdenes[[#This Row],[operacion]]="","0010",tblOrdenes[[#This Row],[operacion]]))</f>
        <v/>
      </c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11" t="n"/>
      <c r="K223" s="3" t="n"/>
      <c r="L223" s="10" t="n"/>
      <c r="M223" s="6" t="n"/>
      <c r="N2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23" s="3">
        <f>IF(tblOrdenes[[#This Row],[fecha_inicio]]="","",YEAR(tblOrdenes[[#This Row],[fecha_inicio]]))</f>
        <v/>
      </c>
      <c r="R223" s="3">
        <f>IF(tblOrdenes[[#This Row],[fecha_inicio]]="","",MONTH(tblOrdenes[[#This Row],[fecha_inicio]]))</f>
        <v/>
      </c>
      <c r="S223" s="3">
        <f>IF(tblOrdenes[[#This Row],[fecha_inicio]]="","",INDEX(lista_dias,WEEKDAY(tblOrdenes[[#This Row],[fecha_inicio]],2)))</f>
        <v/>
      </c>
      <c r="T223" s="3">
        <f>IF(tblOrdenes[[#This Row],[tipo_ot]]="","",_xlfn.XLOOKUP(tblOrdenes[[#This Row],[tipo_ot]],tblTiposOT[codigo],tblTiposOT[clasificacion],"sin_clasificar"))</f>
        <v/>
      </c>
      <c r="U223" s="3">
        <f>IF(tblOrdenes[[#This Row],[centro_costo]]="","",_xlfn.XLOOKUP(tblOrdenes[[#This Row],[centro_costo]],tblCECO[codigo],tblCECO[linea],"(sin catálogo)"))</f>
        <v/>
      </c>
      <c r="V223" s="3">
        <f>IF(tblOrdenes[[#This Row],[centro_costo]]="","",_xlfn.XLOOKUP(tblOrdenes[[#This Row],[centro_costo]],tblCECO[codigo],tblCECO[area],"(sin catálogo)"))</f>
        <v/>
      </c>
      <c r="W223" s="3">
        <f>IF(tblOrdenes[[#This Row],[centro_costo]]="","",_xlfn.XLOOKUP(tblOrdenes[[#This Row],[centro_costo]],tblCECO[codigo],tblCECO[coordinador],"(sin catálogo)"))</f>
        <v/>
      </c>
      <c r="X223" s="3">
        <f>IF(tblOrdenes[[#This Row],[puesto_trabajo]]="","",_xlfn.XLOOKUP(tblOrdenes[[#This Row],[puesto_trabajo]],tblPuestos[codigo],tblPuestos[especialidad],"(sin catálogo)"))</f>
        <v/>
      </c>
      <c r="Y223" s="3">
        <f>IF(tblOrdenes[[#This Row],[cod_actividad]]="","",_xlfn.XLOOKUP(tblOrdenes[[#This Row],[cod_actividad]],tblActividades[codigo],tblActividades[descripcion],"(sin catálogo)"))</f>
        <v/>
      </c>
      <c r="Z223" s="12">
        <f>IF(tblOrdenes[[#This Row],[fecha_inicio]]="","",TODAY()-tblOrdenes[[#This Row],[fecha_inicio]])</f>
        <v/>
      </c>
      <c r="AA223" s="3">
        <f>IF(tblOrdenes[[#This Row],[backlog_dias]]="","",IF(tblOrdenes[[#This Row],[backlog_dias]]&lt;0,"FUTURO",IF(tblOrdenes[[#This Row],[backlog_dias]]&gt;p_dias_backlog_max,"BACKLOG","MES CORRIENTE")))</f>
        <v/>
      </c>
      <c r="AB223" s="3">
        <f>IF(tblOrdenes[[#This Row],[backlog_dias]]="",FALSE,AND(tblOrdenes[[#This Row],[backlog_dias]]&gt;p_dias_backlog_min,tblOrdenes[[#This Row],[backlog_dias]]&lt;=p_dias_backlog_max))</f>
        <v/>
      </c>
      <c r="AC223" s="6" t="n"/>
      <c r="AD2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23" s="10">
        <f>IF(tblOrdenes[[#This Row],[orden]]="","",_xlfn.XLOOKUP(tblOrdenes[[#This Row],[id_operacion]],tblEjecucion[id_operacion],tblEjecucion[precio],0))</f>
        <v/>
      </c>
      <c r="AH223" s="10">
        <f>IF(tblOrdenes[[#This Row],[orden]]="","",MAX(0,_xlfn.XLOOKUP(tblOrdenes[[#This Row],[id_operacion]],tblEjecucion[id_operacion],tblEjecucion[costo_plan_total],0)-tblOrdenes[[#This Row],[costo_servicio]]))</f>
        <v/>
      </c>
      <c r="AI223" s="10">
        <f>IF(tblOrdenes[[#This Row],[orden]]="","",tblOrdenes[[#This Row],[costo_servicio]]+tblOrdenes[[#This Row],[costo_materiales]])</f>
        <v/>
      </c>
      <c r="AJ223" s="6" t="n"/>
      <c r="AK223" s="6" t="n"/>
      <c r="AL223" s="6" t="n"/>
      <c r="AM223" s="3">
        <f>IF(tblOrdenes[[#This Row],[link_checklist]]="","",HYPERLINK(p_ruta_base_checklists&amp;tblOrdenes[[#This Row],[link_checklist]],"abrir"))</f>
        <v/>
      </c>
      <c r="AN223" s="6" t="n"/>
      <c r="AO223" s="3">
        <f>IF(tblOrdenes[[#This Row],[orden]]="","",tblOrdenes[[#This Row],[orden]]&amp;IF(tblOrdenes[[#This Row],[operacion]]="","0010",tblOrdenes[[#This Row],[operacion]]))</f>
        <v/>
      </c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11" t="n"/>
      <c r="K224" s="3" t="n"/>
      <c r="L224" s="10" t="n"/>
      <c r="M224" s="6" t="n"/>
      <c r="N2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24" s="3">
        <f>IF(tblOrdenes[[#This Row],[fecha_inicio]]="","",YEAR(tblOrdenes[[#This Row],[fecha_inicio]]))</f>
        <v/>
      </c>
      <c r="R224" s="3">
        <f>IF(tblOrdenes[[#This Row],[fecha_inicio]]="","",MONTH(tblOrdenes[[#This Row],[fecha_inicio]]))</f>
        <v/>
      </c>
      <c r="S224" s="3">
        <f>IF(tblOrdenes[[#This Row],[fecha_inicio]]="","",INDEX(lista_dias,WEEKDAY(tblOrdenes[[#This Row],[fecha_inicio]],2)))</f>
        <v/>
      </c>
      <c r="T224" s="3">
        <f>IF(tblOrdenes[[#This Row],[tipo_ot]]="","",_xlfn.XLOOKUP(tblOrdenes[[#This Row],[tipo_ot]],tblTiposOT[codigo],tblTiposOT[clasificacion],"sin_clasificar"))</f>
        <v/>
      </c>
      <c r="U224" s="3">
        <f>IF(tblOrdenes[[#This Row],[centro_costo]]="","",_xlfn.XLOOKUP(tblOrdenes[[#This Row],[centro_costo]],tblCECO[codigo],tblCECO[linea],"(sin catálogo)"))</f>
        <v/>
      </c>
      <c r="V224" s="3">
        <f>IF(tblOrdenes[[#This Row],[centro_costo]]="","",_xlfn.XLOOKUP(tblOrdenes[[#This Row],[centro_costo]],tblCECO[codigo],tblCECO[area],"(sin catálogo)"))</f>
        <v/>
      </c>
      <c r="W224" s="3">
        <f>IF(tblOrdenes[[#This Row],[centro_costo]]="","",_xlfn.XLOOKUP(tblOrdenes[[#This Row],[centro_costo]],tblCECO[codigo],tblCECO[coordinador],"(sin catálogo)"))</f>
        <v/>
      </c>
      <c r="X224" s="3">
        <f>IF(tblOrdenes[[#This Row],[puesto_trabajo]]="","",_xlfn.XLOOKUP(tblOrdenes[[#This Row],[puesto_trabajo]],tblPuestos[codigo],tblPuestos[especialidad],"(sin catálogo)"))</f>
        <v/>
      </c>
      <c r="Y224" s="3">
        <f>IF(tblOrdenes[[#This Row],[cod_actividad]]="","",_xlfn.XLOOKUP(tblOrdenes[[#This Row],[cod_actividad]],tblActividades[codigo],tblActividades[descripcion],"(sin catálogo)"))</f>
        <v/>
      </c>
      <c r="Z224" s="12">
        <f>IF(tblOrdenes[[#This Row],[fecha_inicio]]="","",TODAY()-tblOrdenes[[#This Row],[fecha_inicio]])</f>
        <v/>
      </c>
      <c r="AA224" s="3">
        <f>IF(tblOrdenes[[#This Row],[backlog_dias]]="","",IF(tblOrdenes[[#This Row],[backlog_dias]]&lt;0,"FUTURO",IF(tblOrdenes[[#This Row],[backlog_dias]]&gt;p_dias_backlog_max,"BACKLOG","MES CORRIENTE")))</f>
        <v/>
      </c>
      <c r="AB224" s="3">
        <f>IF(tblOrdenes[[#This Row],[backlog_dias]]="",FALSE,AND(tblOrdenes[[#This Row],[backlog_dias]]&gt;p_dias_backlog_min,tblOrdenes[[#This Row],[backlog_dias]]&lt;=p_dias_backlog_max))</f>
        <v/>
      </c>
      <c r="AC224" s="6" t="n"/>
      <c r="AD2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24" s="10">
        <f>IF(tblOrdenes[[#This Row],[orden]]="","",_xlfn.XLOOKUP(tblOrdenes[[#This Row],[id_operacion]],tblEjecucion[id_operacion],tblEjecucion[precio],0))</f>
        <v/>
      </c>
      <c r="AH224" s="10">
        <f>IF(tblOrdenes[[#This Row],[orden]]="","",MAX(0,_xlfn.XLOOKUP(tblOrdenes[[#This Row],[id_operacion]],tblEjecucion[id_operacion],tblEjecucion[costo_plan_total],0)-tblOrdenes[[#This Row],[costo_servicio]]))</f>
        <v/>
      </c>
      <c r="AI224" s="10">
        <f>IF(tblOrdenes[[#This Row],[orden]]="","",tblOrdenes[[#This Row],[costo_servicio]]+tblOrdenes[[#This Row],[costo_materiales]])</f>
        <v/>
      </c>
      <c r="AJ224" s="6" t="n"/>
      <c r="AK224" s="6" t="n"/>
      <c r="AL224" s="6" t="n"/>
      <c r="AM224" s="3">
        <f>IF(tblOrdenes[[#This Row],[link_checklist]]="","",HYPERLINK(p_ruta_base_checklists&amp;tblOrdenes[[#This Row],[link_checklist]],"abrir"))</f>
        <v/>
      </c>
      <c r="AN224" s="6" t="n"/>
      <c r="AO224" s="3">
        <f>IF(tblOrdenes[[#This Row],[orden]]="","",tblOrdenes[[#This Row],[orden]]&amp;IF(tblOrdenes[[#This Row],[operacion]]="","0010",tblOrdenes[[#This Row],[operacion]]))</f>
        <v/>
      </c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11" t="n"/>
      <c r="K225" s="3" t="n"/>
      <c r="L225" s="10" t="n"/>
      <c r="M225" s="6" t="n"/>
      <c r="N2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25" s="3">
        <f>IF(tblOrdenes[[#This Row],[fecha_inicio]]="","",YEAR(tblOrdenes[[#This Row],[fecha_inicio]]))</f>
        <v/>
      </c>
      <c r="R225" s="3">
        <f>IF(tblOrdenes[[#This Row],[fecha_inicio]]="","",MONTH(tblOrdenes[[#This Row],[fecha_inicio]]))</f>
        <v/>
      </c>
      <c r="S225" s="3">
        <f>IF(tblOrdenes[[#This Row],[fecha_inicio]]="","",INDEX(lista_dias,WEEKDAY(tblOrdenes[[#This Row],[fecha_inicio]],2)))</f>
        <v/>
      </c>
      <c r="T225" s="3">
        <f>IF(tblOrdenes[[#This Row],[tipo_ot]]="","",_xlfn.XLOOKUP(tblOrdenes[[#This Row],[tipo_ot]],tblTiposOT[codigo],tblTiposOT[clasificacion],"sin_clasificar"))</f>
        <v/>
      </c>
      <c r="U225" s="3">
        <f>IF(tblOrdenes[[#This Row],[centro_costo]]="","",_xlfn.XLOOKUP(tblOrdenes[[#This Row],[centro_costo]],tblCECO[codigo],tblCECO[linea],"(sin catálogo)"))</f>
        <v/>
      </c>
      <c r="V225" s="3">
        <f>IF(tblOrdenes[[#This Row],[centro_costo]]="","",_xlfn.XLOOKUP(tblOrdenes[[#This Row],[centro_costo]],tblCECO[codigo],tblCECO[area],"(sin catálogo)"))</f>
        <v/>
      </c>
      <c r="W225" s="3">
        <f>IF(tblOrdenes[[#This Row],[centro_costo]]="","",_xlfn.XLOOKUP(tblOrdenes[[#This Row],[centro_costo]],tblCECO[codigo],tblCECO[coordinador],"(sin catálogo)"))</f>
        <v/>
      </c>
      <c r="X225" s="3">
        <f>IF(tblOrdenes[[#This Row],[puesto_trabajo]]="","",_xlfn.XLOOKUP(tblOrdenes[[#This Row],[puesto_trabajo]],tblPuestos[codigo],tblPuestos[especialidad],"(sin catálogo)"))</f>
        <v/>
      </c>
      <c r="Y225" s="3">
        <f>IF(tblOrdenes[[#This Row],[cod_actividad]]="","",_xlfn.XLOOKUP(tblOrdenes[[#This Row],[cod_actividad]],tblActividades[codigo],tblActividades[descripcion],"(sin catálogo)"))</f>
        <v/>
      </c>
      <c r="Z225" s="12">
        <f>IF(tblOrdenes[[#This Row],[fecha_inicio]]="","",TODAY()-tblOrdenes[[#This Row],[fecha_inicio]])</f>
        <v/>
      </c>
      <c r="AA225" s="3">
        <f>IF(tblOrdenes[[#This Row],[backlog_dias]]="","",IF(tblOrdenes[[#This Row],[backlog_dias]]&lt;0,"FUTURO",IF(tblOrdenes[[#This Row],[backlog_dias]]&gt;p_dias_backlog_max,"BACKLOG","MES CORRIENTE")))</f>
        <v/>
      </c>
      <c r="AB225" s="3">
        <f>IF(tblOrdenes[[#This Row],[backlog_dias]]="",FALSE,AND(tblOrdenes[[#This Row],[backlog_dias]]&gt;p_dias_backlog_min,tblOrdenes[[#This Row],[backlog_dias]]&lt;=p_dias_backlog_max))</f>
        <v/>
      </c>
      <c r="AC225" s="6" t="n"/>
      <c r="AD2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25" s="10">
        <f>IF(tblOrdenes[[#This Row],[orden]]="","",_xlfn.XLOOKUP(tblOrdenes[[#This Row],[id_operacion]],tblEjecucion[id_operacion],tblEjecucion[precio],0))</f>
        <v/>
      </c>
      <c r="AH225" s="10">
        <f>IF(tblOrdenes[[#This Row],[orden]]="","",MAX(0,_xlfn.XLOOKUP(tblOrdenes[[#This Row],[id_operacion]],tblEjecucion[id_operacion],tblEjecucion[costo_plan_total],0)-tblOrdenes[[#This Row],[costo_servicio]]))</f>
        <v/>
      </c>
      <c r="AI225" s="10">
        <f>IF(tblOrdenes[[#This Row],[orden]]="","",tblOrdenes[[#This Row],[costo_servicio]]+tblOrdenes[[#This Row],[costo_materiales]])</f>
        <v/>
      </c>
      <c r="AJ225" s="6" t="n"/>
      <c r="AK225" s="6" t="n"/>
      <c r="AL225" s="6" t="n"/>
      <c r="AM225" s="3">
        <f>IF(tblOrdenes[[#This Row],[link_checklist]]="","",HYPERLINK(p_ruta_base_checklists&amp;tblOrdenes[[#This Row],[link_checklist]],"abrir"))</f>
        <v/>
      </c>
      <c r="AN225" s="6" t="n"/>
      <c r="AO225" s="3">
        <f>IF(tblOrdenes[[#This Row],[orden]]="","",tblOrdenes[[#This Row],[orden]]&amp;IF(tblOrdenes[[#This Row],[operacion]]="","0010",tblOrdenes[[#This Row],[operacion]]))</f>
        <v/>
      </c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11" t="n"/>
      <c r="K226" s="3" t="n"/>
      <c r="L226" s="10" t="n"/>
      <c r="M226" s="6" t="n"/>
      <c r="N2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26" s="3">
        <f>IF(tblOrdenes[[#This Row],[fecha_inicio]]="","",YEAR(tblOrdenes[[#This Row],[fecha_inicio]]))</f>
        <v/>
      </c>
      <c r="R226" s="3">
        <f>IF(tblOrdenes[[#This Row],[fecha_inicio]]="","",MONTH(tblOrdenes[[#This Row],[fecha_inicio]]))</f>
        <v/>
      </c>
      <c r="S226" s="3">
        <f>IF(tblOrdenes[[#This Row],[fecha_inicio]]="","",INDEX(lista_dias,WEEKDAY(tblOrdenes[[#This Row],[fecha_inicio]],2)))</f>
        <v/>
      </c>
      <c r="T226" s="3">
        <f>IF(tblOrdenes[[#This Row],[tipo_ot]]="","",_xlfn.XLOOKUP(tblOrdenes[[#This Row],[tipo_ot]],tblTiposOT[codigo],tblTiposOT[clasificacion],"sin_clasificar"))</f>
        <v/>
      </c>
      <c r="U226" s="3">
        <f>IF(tblOrdenes[[#This Row],[centro_costo]]="","",_xlfn.XLOOKUP(tblOrdenes[[#This Row],[centro_costo]],tblCECO[codigo],tblCECO[linea],"(sin catálogo)"))</f>
        <v/>
      </c>
      <c r="V226" s="3">
        <f>IF(tblOrdenes[[#This Row],[centro_costo]]="","",_xlfn.XLOOKUP(tblOrdenes[[#This Row],[centro_costo]],tblCECO[codigo],tblCECO[area],"(sin catálogo)"))</f>
        <v/>
      </c>
      <c r="W226" s="3">
        <f>IF(tblOrdenes[[#This Row],[centro_costo]]="","",_xlfn.XLOOKUP(tblOrdenes[[#This Row],[centro_costo]],tblCECO[codigo],tblCECO[coordinador],"(sin catálogo)"))</f>
        <v/>
      </c>
      <c r="X226" s="3">
        <f>IF(tblOrdenes[[#This Row],[puesto_trabajo]]="","",_xlfn.XLOOKUP(tblOrdenes[[#This Row],[puesto_trabajo]],tblPuestos[codigo],tblPuestos[especialidad],"(sin catálogo)"))</f>
        <v/>
      </c>
      <c r="Y226" s="3">
        <f>IF(tblOrdenes[[#This Row],[cod_actividad]]="","",_xlfn.XLOOKUP(tblOrdenes[[#This Row],[cod_actividad]],tblActividades[codigo],tblActividades[descripcion],"(sin catálogo)"))</f>
        <v/>
      </c>
      <c r="Z226" s="12">
        <f>IF(tblOrdenes[[#This Row],[fecha_inicio]]="","",TODAY()-tblOrdenes[[#This Row],[fecha_inicio]])</f>
        <v/>
      </c>
      <c r="AA226" s="3">
        <f>IF(tblOrdenes[[#This Row],[backlog_dias]]="","",IF(tblOrdenes[[#This Row],[backlog_dias]]&lt;0,"FUTURO",IF(tblOrdenes[[#This Row],[backlog_dias]]&gt;p_dias_backlog_max,"BACKLOG","MES CORRIENTE")))</f>
        <v/>
      </c>
      <c r="AB226" s="3">
        <f>IF(tblOrdenes[[#This Row],[backlog_dias]]="",FALSE,AND(tblOrdenes[[#This Row],[backlog_dias]]&gt;p_dias_backlog_min,tblOrdenes[[#This Row],[backlog_dias]]&lt;=p_dias_backlog_max))</f>
        <v/>
      </c>
      <c r="AC226" s="6" t="n"/>
      <c r="AD2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26" s="10">
        <f>IF(tblOrdenes[[#This Row],[orden]]="","",_xlfn.XLOOKUP(tblOrdenes[[#This Row],[id_operacion]],tblEjecucion[id_operacion],tblEjecucion[precio],0))</f>
        <v/>
      </c>
      <c r="AH226" s="10">
        <f>IF(tblOrdenes[[#This Row],[orden]]="","",MAX(0,_xlfn.XLOOKUP(tblOrdenes[[#This Row],[id_operacion]],tblEjecucion[id_operacion],tblEjecucion[costo_plan_total],0)-tblOrdenes[[#This Row],[costo_servicio]]))</f>
        <v/>
      </c>
      <c r="AI226" s="10">
        <f>IF(tblOrdenes[[#This Row],[orden]]="","",tblOrdenes[[#This Row],[costo_servicio]]+tblOrdenes[[#This Row],[costo_materiales]])</f>
        <v/>
      </c>
      <c r="AJ226" s="6" t="n"/>
      <c r="AK226" s="6" t="n"/>
      <c r="AL226" s="6" t="n"/>
      <c r="AM226" s="3">
        <f>IF(tblOrdenes[[#This Row],[link_checklist]]="","",HYPERLINK(p_ruta_base_checklists&amp;tblOrdenes[[#This Row],[link_checklist]],"abrir"))</f>
        <v/>
      </c>
      <c r="AN226" s="6" t="n"/>
      <c r="AO226" s="3">
        <f>IF(tblOrdenes[[#This Row],[orden]]="","",tblOrdenes[[#This Row],[orden]]&amp;IF(tblOrdenes[[#This Row],[operacion]]="","0010",tblOrdenes[[#This Row],[operacion]]))</f>
        <v/>
      </c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11" t="n"/>
      <c r="K227" s="3" t="n"/>
      <c r="L227" s="10" t="n"/>
      <c r="M227" s="6" t="n"/>
      <c r="N2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27" s="3">
        <f>IF(tblOrdenes[[#This Row],[fecha_inicio]]="","",YEAR(tblOrdenes[[#This Row],[fecha_inicio]]))</f>
        <v/>
      </c>
      <c r="R227" s="3">
        <f>IF(tblOrdenes[[#This Row],[fecha_inicio]]="","",MONTH(tblOrdenes[[#This Row],[fecha_inicio]]))</f>
        <v/>
      </c>
      <c r="S227" s="3">
        <f>IF(tblOrdenes[[#This Row],[fecha_inicio]]="","",INDEX(lista_dias,WEEKDAY(tblOrdenes[[#This Row],[fecha_inicio]],2)))</f>
        <v/>
      </c>
      <c r="T227" s="3">
        <f>IF(tblOrdenes[[#This Row],[tipo_ot]]="","",_xlfn.XLOOKUP(tblOrdenes[[#This Row],[tipo_ot]],tblTiposOT[codigo],tblTiposOT[clasificacion],"sin_clasificar"))</f>
        <v/>
      </c>
      <c r="U227" s="3">
        <f>IF(tblOrdenes[[#This Row],[centro_costo]]="","",_xlfn.XLOOKUP(tblOrdenes[[#This Row],[centro_costo]],tblCECO[codigo],tblCECO[linea],"(sin catálogo)"))</f>
        <v/>
      </c>
      <c r="V227" s="3">
        <f>IF(tblOrdenes[[#This Row],[centro_costo]]="","",_xlfn.XLOOKUP(tblOrdenes[[#This Row],[centro_costo]],tblCECO[codigo],tblCECO[area],"(sin catálogo)"))</f>
        <v/>
      </c>
      <c r="W227" s="3">
        <f>IF(tblOrdenes[[#This Row],[centro_costo]]="","",_xlfn.XLOOKUP(tblOrdenes[[#This Row],[centro_costo]],tblCECO[codigo],tblCECO[coordinador],"(sin catálogo)"))</f>
        <v/>
      </c>
      <c r="X227" s="3">
        <f>IF(tblOrdenes[[#This Row],[puesto_trabajo]]="","",_xlfn.XLOOKUP(tblOrdenes[[#This Row],[puesto_trabajo]],tblPuestos[codigo],tblPuestos[especialidad],"(sin catálogo)"))</f>
        <v/>
      </c>
      <c r="Y227" s="3">
        <f>IF(tblOrdenes[[#This Row],[cod_actividad]]="","",_xlfn.XLOOKUP(tblOrdenes[[#This Row],[cod_actividad]],tblActividades[codigo],tblActividades[descripcion],"(sin catálogo)"))</f>
        <v/>
      </c>
      <c r="Z227" s="12">
        <f>IF(tblOrdenes[[#This Row],[fecha_inicio]]="","",TODAY()-tblOrdenes[[#This Row],[fecha_inicio]])</f>
        <v/>
      </c>
      <c r="AA227" s="3">
        <f>IF(tblOrdenes[[#This Row],[backlog_dias]]="","",IF(tblOrdenes[[#This Row],[backlog_dias]]&lt;0,"FUTURO",IF(tblOrdenes[[#This Row],[backlog_dias]]&gt;p_dias_backlog_max,"BACKLOG","MES CORRIENTE")))</f>
        <v/>
      </c>
      <c r="AB227" s="3">
        <f>IF(tblOrdenes[[#This Row],[backlog_dias]]="",FALSE,AND(tblOrdenes[[#This Row],[backlog_dias]]&gt;p_dias_backlog_min,tblOrdenes[[#This Row],[backlog_dias]]&lt;=p_dias_backlog_max))</f>
        <v/>
      </c>
      <c r="AC227" s="6" t="n"/>
      <c r="AD2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27" s="10">
        <f>IF(tblOrdenes[[#This Row],[orden]]="","",_xlfn.XLOOKUP(tblOrdenes[[#This Row],[id_operacion]],tblEjecucion[id_operacion],tblEjecucion[precio],0))</f>
        <v/>
      </c>
      <c r="AH227" s="10">
        <f>IF(tblOrdenes[[#This Row],[orden]]="","",MAX(0,_xlfn.XLOOKUP(tblOrdenes[[#This Row],[id_operacion]],tblEjecucion[id_operacion],tblEjecucion[costo_plan_total],0)-tblOrdenes[[#This Row],[costo_servicio]]))</f>
        <v/>
      </c>
      <c r="AI227" s="10">
        <f>IF(tblOrdenes[[#This Row],[orden]]="","",tblOrdenes[[#This Row],[costo_servicio]]+tblOrdenes[[#This Row],[costo_materiales]])</f>
        <v/>
      </c>
      <c r="AJ227" s="6" t="n"/>
      <c r="AK227" s="6" t="n"/>
      <c r="AL227" s="6" t="n"/>
      <c r="AM227" s="3">
        <f>IF(tblOrdenes[[#This Row],[link_checklist]]="","",HYPERLINK(p_ruta_base_checklists&amp;tblOrdenes[[#This Row],[link_checklist]],"abrir"))</f>
        <v/>
      </c>
      <c r="AN227" s="6" t="n"/>
      <c r="AO227" s="3">
        <f>IF(tblOrdenes[[#This Row],[orden]]="","",tblOrdenes[[#This Row],[orden]]&amp;IF(tblOrdenes[[#This Row],[operacion]]="","0010",tblOrdenes[[#This Row],[operacion]]))</f>
        <v/>
      </c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11" t="n"/>
      <c r="K228" s="3" t="n"/>
      <c r="L228" s="10" t="n"/>
      <c r="M228" s="6" t="n"/>
      <c r="N2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28" s="3">
        <f>IF(tblOrdenes[[#This Row],[fecha_inicio]]="","",YEAR(tblOrdenes[[#This Row],[fecha_inicio]]))</f>
        <v/>
      </c>
      <c r="R228" s="3">
        <f>IF(tblOrdenes[[#This Row],[fecha_inicio]]="","",MONTH(tblOrdenes[[#This Row],[fecha_inicio]]))</f>
        <v/>
      </c>
      <c r="S228" s="3">
        <f>IF(tblOrdenes[[#This Row],[fecha_inicio]]="","",INDEX(lista_dias,WEEKDAY(tblOrdenes[[#This Row],[fecha_inicio]],2)))</f>
        <v/>
      </c>
      <c r="T228" s="3">
        <f>IF(tblOrdenes[[#This Row],[tipo_ot]]="","",_xlfn.XLOOKUP(tblOrdenes[[#This Row],[tipo_ot]],tblTiposOT[codigo],tblTiposOT[clasificacion],"sin_clasificar"))</f>
        <v/>
      </c>
      <c r="U228" s="3">
        <f>IF(tblOrdenes[[#This Row],[centro_costo]]="","",_xlfn.XLOOKUP(tblOrdenes[[#This Row],[centro_costo]],tblCECO[codigo],tblCECO[linea],"(sin catálogo)"))</f>
        <v/>
      </c>
      <c r="V228" s="3">
        <f>IF(tblOrdenes[[#This Row],[centro_costo]]="","",_xlfn.XLOOKUP(tblOrdenes[[#This Row],[centro_costo]],tblCECO[codigo],tblCECO[area],"(sin catálogo)"))</f>
        <v/>
      </c>
      <c r="W228" s="3">
        <f>IF(tblOrdenes[[#This Row],[centro_costo]]="","",_xlfn.XLOOKUP(tblOrdenes[[#This Row],[centro_costo]],tblCECO[codigo],tblCECO[coordinador],"(sin catálogo)"))</f>
        <v/>
      </c>
      <c r="X228" s="3">
        <f>IF(tblOrdenes[[#This Row],[puesto_trabajo]]="","",_xlfn.XLOOKUP(tblOrdenes[[#This Row],[puesto_trabajo]],tblPuestos[codigo],tblPuestos[especialidad],"(sin catálogo)"))</f>
        <v/>
      </c>
      <c r="Y228" s="3">
        <f>IF(tblOrdenes[[#This Row],[cod_actividad]]="","",_xlfn.XLOOKUP(tblOrdenes[[#This Row],[cod_actividad]],tblActividades[codigo],tblActividades[descripcion],"(sin catálogo)"))</f>
        <v/>
      </c>
      <c r="Z228" s="12">
        <f>IF(tblOrdenes[[#This Row],[fecha_inicio]]="","",TODAY()-tblOrdenes[[#This Row],[fecha_inicio]])</f>
        <v/>
      </c>
      <c r="AA228" s="3">
        <f>IF(tblOrdenes[[#This Row],[backlog_dias]]="","",IF(tblOrdenes[[#This Row],[backlog_dias]]&lt;0,"FUTURO",IF(tblOrdenes[[#This Row],[backlog_dias]]&gt;p_dias_backlog_max,"BACKLOG","MES CORRIENTE")))</f>
        <v/>
      </c>
      <c r="AB228" s="3">
        <f>IF(tblOrdenes[[#This Row],[backlog_dias]]="",FALSE,AND(tblOrdenes[[#This Row],[backlog_dias]]&gt;p_dias_backlog_min,tblOrdenes[[#This Row],[backlog_dias]]&lt;=p_dias_backlog_max))</f>
        <v/>
      </c>
      <c r="AC228" s="6" t="n"/>
      <c r="AD2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28" s="10">
        <f>IF(tblOrdenes[[#This Row],[orden]]="","",_xlfn.XLOOKUP(tblOrdenes[[#This Row],[id_operacion]],tblEjecucion[id_operacion],tblEjecucion[precio],0))</f>
        <v/>
      </c>
      <c r="AH228" s="10">
        <f>IF(tblOrdenes[[#This Row],[orden]]="","",MAX(0,_xlfn.XLOOKUP(tblOrdenes[[#This Row],[id_operacion]],tblEjecucion[id_operacion],tblEjecucion[costo_plan_total],0)-tblOrdenes[[#This Row],[costo_servicio]]))</f>
        <v/>
      </c>
      <c r="AI228" s="10">
        <f>IF(tblOrdenes[[#This Row],[orden]]="","",tblOrdenes[[#This Row],[costo_servicio]]+tblOrdenes[[#This Row],[costo_materiales]])</f>
        <v/>
      </c>
      <c r="AJ228" s="6" t="n"/>
      <c r="AK228" s="6" t="n"/>
      <c r="AL228" s="6" t="n"/>
      <c r="AM228" s="3">
        <f>IF(tblOrdenes[[#This Row],[link_checklist]]="","",HYPERLINK(p_ruta_base_checklists&amp;tblOrdenes[[#This Row],[link_checklist]],"abrir"))</f>
        <v/>
      </c>
      <c r="AN228" s="6" t="n"/>
      <c r="AO228" s="3">
        <f>IF(tblOrdenes[[#This Row],[orden]]="","",tblOrdenes[[#This Row],[orden]]&amp;IF(tblOrdenes[[#This Row],[operacion]]="","0010",tblOrdenes[[#This Row],[operacion]]))</f>
        <v/>
      </c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11" t="n"/>
      <c r="K229" s="3" t="n"/>
      <c r="L229" s="10" t="n"/>
      <c r="M229" s="6" t="n"/>
      <c r="N2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29" s="3">
        <f>IF(tblOrdenes[[#This Row],[fecha_inicio]]="","",YEAR(tblOrdenes[[#This Row],[fecha_inicio]]))</f>
        <v/>
      </c>
      <c r="R229" s="3">
        <f>IF(tblOrdenes[[#This Row],[fecha_inicio]]="","",MONTH(tblOrdenes[[#This Row],[fecha_inicio]]))</f>
        <v/>
      </c>
      <c r="S229" s="3">
        <f>IF(tblOrdenes[[#This Row],[fecha_inicio]]="","",INDEX(lista_dias,WEEKDAY(tblOrdenes[[#This Row],[fecha_inicio]],2)))</f>
        <v/>
      </c>
      <c r="T229" s="3">
        <f>IF(tblOrdenes[[#This Row],[tipo_ot]]="","",_xlfn.XLOOKUP(tblOrdenes[[#This Row],[tipo_ot]],tblTiposOT[codigo],tblTiposOT[clasificacion],"sin_clasificar"))</f>
        <v/>
      </c>
      <c r="U229" s="3">
        <f>IF(tblOrdenes[[#This Row],[centro_costo]]="","",_xlfn.XLOOKUP(tblOrdenes[[#This Row],[centro_costo]],tblCECO[codigo],tblCECO[linea],"(sin catálogo)"))</f>
        <v/>
      </c>
      <c r="V229" s="3">
        <f>IF(tblOrdenes[[#This Row],[centro_costo]]="","",_xlfn.XLOOKUP(tblOrdenes[[#This Row],[centro_costo]],tblCECO[codigo],tblCECO[area],"(sin catálogo)"))</f>
        <v/>
      </c>
      <c r="W229" s="3">
        <f>IF(tblOrdenes[[#This Row],[centro_costo]]="","",_xlfn.XLOOKUP(tblOrdenes[[#This Row],[centro_costo]],tblCECO[codigo],tblCECO[coordinador],"(sin catálogo)"))</f>
        <v/>
      </c>
      <c r="X229" s="3">
        <f>IF(tblOrdenes[[#This Row],[puesto_trabajo]]="","",_xlfn.XLOOKUP(tblOrdenes[[#This Row],[puesto_trabajo]],tblPuestos[codigo],tblPuestos[especialidad],"(sin catálogo)"))</f>
        <v/>
      </c>
      <c r="Y229" s="3">
        <f>IF(tblOrdenes[[#This Row],[cod_actividad]]="","",_xlfn.XLOOKUP(tblOrdenes[[#This Row],[cod_actividad]],tblActividades[codigo],tblActividades[descripcion],"(sin catálogo)"))</f>
        <v/>
      </c>
      <c r="Z229" s="12">
        <f>IF(tblOrdenes[[#This Row],[fecha_inicio]]="","",TODAY()-tblOrdenes[[#This Row],[fecha_inicio]])</f>
        <v/>
      </c>
      <c r="AA229" s="3">
        <f>IF(tblOrdenes[[#This Row],[backlog_dias]]="","",IF(tblOrdenes[[#This Row],[backlog_dias]]&lt;0,"FUTURO",IF(tblOrdenes[[#This Row],[backlog_dias]]&gt;p_dias_backlog_max,"BACKLOG","MES CORRIENTE")))</f>
        <v/>
      </c>
      <c r="AB229" s="3">
        <f>IF(tblOrdenes[[#This Row],[backlog_dias]]="",FALSE,AND(tblOrdenes[[#This Row],[backlog_dias]]&gt;p_dias_backlog_min,tblOrdenes[[#This Row],[backlog_dias]]&lt;=p_dias_backlog_max))</f>
        <v/>
      </c>
      <c r="AC229" s="6" t="n"/>
      <c r="AD2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29" s="10">
        <f>IF(tblOrdenes[[#This Row],[orden]]="","",_xlfn.XLOOKUP(tblOrdenes[[#This Row],[id_operacion]],tblEjecucion[id_operacion],tblEjecucion[precio],0))</f>
        <v/>
      </c>
      <c r="AH229" s="10">
        <f>IF(tblOrdenes[[#This Row],[orden]]="","",MAX(0,_xlfn.XLOOKUP(tblOrdenes[[#This Row],[id_operacion]],tblEjecucion[id_operacion],tblEjecucion[costo_plan_total],0)-tblOrdenes[[#This Row],[costo_servicio]]))</f>
        <v/>
      </c>
      <c r="AI229" s="10">
        <f>IF(tblOrdenes[[#This Row],[orden]]="","",tblOrdenes[[#This Row],[costo_servicio]]+tblOrdenes[[#This Row],[costo_materiales]])</f>
        <v/>
      </c>
      <c r="AJ229" s="6" t="n"/>
      <c r="AK229" s="6" t="n"/>
      <c r="AL229" s="6" t="n"/>
      <c r="AM229" s="3">
        <f>IF(tblOrdenes[[#This Row],[link_checklist]]="","",HYPERLINK(p_ruta_base_checklists&amp;tblOrdenes[[#This Row],[link_checklist]],"abrir"))</f>
        <v/>
      </c>
      <c r="AN229" s="6" t="n"/>
      <c r="AO229" s="3">
        <f>IF(tblOrdenes[[#This Row],[orden]]="","",tblOrdenes[[#This Row],[orden]]&amp;IF(tblOrdenes[[#This Row],[operacion]]="","0010",tblOrdenes[[#This Row],[operacion]]))</f>
        <v/>
      </c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11" t="n"/>
      <c r="K230" s="3" t="n"/>
      <c r="L230" s="10" t="n"/>
      <c r="M230" s="6" t="n"/>
      <c r="N2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30" s="3">
        <f>IF(tblOrdenes[[#This Row],[fecha_inicio]]="","",YEAR(tblOrdenes[[#This Row],[fecha_inicio]]))</f>
        <v/>
      </c>
      <c r="R230" s="3">
        <f>IF(tblOrdenes[[#This Row],[fecha_inicio]]="","",MONTH(tblOrdenes[[#This Row],[fecha_inicio]]))</f>
        <v/>
      </c>
      <c r="S230" s="3">
        <f>IF(tblOrdenes[[#This Row],[fecha_inicio]]="","",INDEX(lista_dias,WEEKDAY(tblOrdenes[[#This Row],[fecha_inicio]],2)))</f>
        <v/>
      </c>
      <c r="T230" s="3">
        <f>IF(tblOrdenes[[#This Row],[tipo_ot]]="","",_xlfn.XLOOKUP(tblOrdenes[[#This Row],[tipo_ot]],tblTiposOT[codigo],tblTiposOT[clasificacion],"sin_clasificar"))</f>
        <v/>
      </c>
      <c r="U230" s="3">
        <f>IF(tblOrdenes[[#This Row],[centro_costo]]="","",_xlfn.XLOOKUP(tblOrdenes[[#This Row],[centro_costo]],tblCECO[codigo],tblCECO[linea],"(sin catálogo)"))</f>
        <v/>
      </c>
      <c r="V230" s="3">
        <f>IF(tblOrdenes[[#This Row],[centro_costo]]="","",_xlfn.XLOOKUP(tblOrdenes[[#This Row],[centro_costo]],tblCECO[codigo],tblCECO[area],"(sin catálogo)"))</f>
        <v/>
      </c>
      <c r="W230" s="3">
        <f>IF(tblOrdenes[[#This Row],[centro_costo]]="","",_xlfn.XLOOKUP(tblOrdenes[[#This Row],[centro_costo]],tblCECO[codigo],tblCECO[coordinador],"(sin catálogo)"))</f>
        <v/>
      </c>
      <c r="X230" s="3">
        <f>IF(tblOrdenes[[#This Row],[puesto_trabajo]]="","",_xlfn.XLOOKUP(tblOrdenes[[#This Row],[puesto_trabajo]],tblPuestos[codigo],tblPuestos[especialidad],"(sin catálogo)"))</f>
        <v/>
      </c>
      <c r="Y230" s="3">
        <f>IF(tblOrdenes[[#This Row],[cod_actividad]]="","",_xlfn.XLOOKUP(tblOrdenes[[#This Row],[cod_actividad]],tblActividades[codigo],tblActividades[descripcion],"(sin catálogo)"))</f>
        <v/>
      </c>
      <c r="Z230" s="12">
        <f>IF(tblOrdenes[[#This Row],[fecha_inicio]]="","",TODAY()-tblOrdenes[[#This Row],[fecha_inicio]])</f>
        <v/>
      </c>
      <c r="AA230" s="3">
        <f>IF(tblOrdenes[[#This Row],[backlog_dias]]="","",IF(tblOrdenes[[#This Row],[backlog_dias]]&lt;0,"FUTURO",IF(tblOrdenes[[#This Row],[backlog_dias]]&gt;p_dias_backlog_max,"BACKLOG","MES CORRIENTE")))</f>
        <v/>
      </c>
      <c r="AB230" s="3">
        <f>IF(tblOrdenes[[#This Row],[backlog_dias]]="",FALSE,AND(tblOrdenes[[#This Row],[backlog_dias]]&gt;p_dias_backlog_min,tblOrdenes[[#This Row],[backlog_dias]]&lt;=p_dias_backlog_max))</f>
        <v/>
      </c>
      <c r="AC230" s="6" t="n"/>
      <c r="AD2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30" s="10">
        <f>IF(tblOrdenes[[#This Row],[orden]]="","",_xlfn.XLOOKUP(tblOrdenes[[#This Row],[id_operacion]],tblEjecucion[id_operacion],tblEjecucion[precio],0))</f>
        <v/>
      </c>
      <c r="AH230" s="10">
        <f>IF(tblOrdenes[[#This Row],[orden]]="","",MAX(0,_xlfn.XLOOKUP(tblOrdenes[[#This Row],[id_operacion]],tblEjecucion[id_operacion],tblEjecucion[costo_plan_total],0)-tblOrdenes[[#This Row],[costo_servicio]]))</f>
        <v/>
      </c>
      <c r="AI230" s="10">
        <f>IF(tblOrdenes[[#This Row],[orden]]="","",tblOrdenes[[#This Row],[costo_servicio]]+tblOrdenes[[#This Row],[costo_materiales]])</f>
        <v/>
      </c>
      <c r="AJ230" s="6" t="n"/>
      <c r="AK230" s="6" t="n"/>
      <c r="AL230" s="6" t="n"/>
      <c r="AM230" s="3">
        <f>IF(tblOrdenes[[#This Row],[link_checklist]]="","",HYPERLINK(p_ruta_base_checklists&amp;tblOrdenes[[#This Row],[link_checklist]],"abrir"))</f>
        <v/>
      </c>
      <c r="AN230" s="6" t="n"/>
      <c r="AO230" s="3">
        <f>IF(tblOrdenes[[#This Row],[orden]]="","",tblOrdenes[[#This Row],[orden]]&amp;IF(tblOrdenes[[#This Row],[operacion]]="","0010",tblOrdenes[[#This Row],[operacion]]))</f>
        <v/>
      </c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11" t="n"/>
      <c r="K231" s="3" t="n"/>
      <c r="L231" s="10" t="n"/>
      <c r="M231" s="6" t="n"/>
      <c r="N2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31" s="3">
        <f>IF(tblOrdenes[[#This Row],[fecha_inicio]]="","",YEAR(tblOrdenes[[#This Row],[fecha_inicio]]))</f>
        <v/>
      </c>
      <c r="R231" s="3">
        <f>IF(tblOrdenes[[#This Row],[fecha_inicio]]="","",MONTH(tblOrdenes[[#This Row],[fecha_inicio]]))</f>
        <v/>
      </c>
      <c r="S231" s="3">
        <f>IF(tblOrdenes[[#This Row],[fecha_inicio]]="","",INDEX(lista_dias,WEEKDAY(tblOrdenes[[#This Row],[fecha_inicio]],2)))</f>
        <v/>
      </c>
      <c r="T231" s="3">
        <f>IF(tblOrdenes[[#This Row],[tipo_ot]]="","",_xlfn.XLOOKUP(tblOrdenes[[#This Row],[tipo_ot]],tblTiposOT[codigo],tblTiposOT[clasificacion],"sin_clasificar"))</f>
        <v/>
      </c>
      <c r="U231" s="3">
        <f>IF(tblOrdenes[[#This Row],[centro_costo]]="","",_xlfn.XLOOKUP(tblOrdenes[[#This Row],[centro_costo]],tblCECO[codigo],tblCECO[linea],"(sin catálogo)"))</f>
        <v/>
      </c>
      <c r="V231" s="3">
        <f>IF(tblOrdenes[[#This Row],[centro_costo]]="","",_xlfn.XLOOKUP(tblOrdenes[[#This Row],[centro_costo]],tblCECO[codigo],tblCECO[area],"(sin catálogo)"))</f>
        <v/>
      </c>
      <c r="W231" s="3">
        <f>IF(tblOrdenes[[#This Row],[centro_costo]]="","",_xlfn.XLOOKUP(tblOrdenes[[#This Row],[centro_costo]],tblCECO[codigo],tblCECO[coordinador],"(sin catálogo)"))</f>
        <v/>
      </c>
      <c r="X231" s="3">
        <f>IF(tblOrdenes[[#This Row],[puesto_trabajo]]="","",_xlfn.XLOOKUP(tblOrdenes[[#This Row],[puesto_trabajo]],tblPuestos[codigo],tblPuestos[especialidad],"(sin catálogo)"))</f>
        <v/>
      </c>
      <c r="Y231" s="3">
        <f>IF(tblOrdenes[[#This Row],[cod_actividad]]="","",_xlfn.XLOOKUP(tblOrdenes[[#This Row],[cod_actividad]],tblActividades[codigo],tblActividades[descripcion],"(sin catálogo)"))</f>
        <v/>
      </c>
      <c r="Z231" s="12">
        <f>IF(tblOrdenes[[#This Row],[fecha_inicio]]="","",TODAY()-tblOrdenes[[#This Row],[fecha_inicio]])</f>
        <v/>
      </c>
      <c r="AA231" s="3">
        <f>IF(tblOrdenes[[#This Row],[backlog_dias]]="","",IF(tblOrdenes[[#This Row],[backlog_dias]]&lt;0,"FUTURO",IF(tblOrdenes[[#This Row],[backlog_dias]]&gt;p_dias_backlog_max,"BACKLOG","MES CORRIENTE")))</f>
        <v/>
      </c>
      <c r="AB231" s="3">
        <f>IF(tblOrdenes[[#This Row],[backlog_dias]]="",FALSE,AND(tblOrdenes[[#This Row],[backlog_dias]]&gt;p_dias_backlog_min,tblOrdenes[[#This Row],[backlog_dias]]&lt;=p_dias_backlog_max))</f>
        <v/>
      </c>
      <c r="AC231" s="6" t="n"/>
      <c r="AD2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31" s="10">
        <f>IF(tblOrdenes[[#This Row],[orden]]="","",_xlfn.XLOOKUP(tblOrdenes[[#This Row],[id_operacion]],tblEjecucion[id_operacion],tblEjecucion[precio],0))</f>
        <v/>
      </c>
      <c r="AH231" s="10">
        <f>IF(tblOrdenes[[#This Row],[orden]]="","",MAX(0,_xlfn.XLOOKUP(tblOrdenes[[#This Row],[id_operacion]],tblEjecucion[id_operacion],tblEjecucion[costo_plan_total],0)-tblOrdenes[[#This Row],[costo_servicio]]))</f>
        <v/>
      </c>
      <c r="AI231" s="10">
        <f>IF(tblOrdenes[[#This Row],[orden]]="","",tblOrdenes[[#This Row],[costo_servicio]]+tblOrdenes[[#This Row],[costo_materiales]])</f>
        <v/>
      </c>
      <c r="AJ231" s="6" t="n"/>
      <c r="AK231" s="6" t="n"/>
      <c r="AL231" s="6" t="n"/>
      <c r="AM231" s="3">
        <f>IF(tblOrdenes[[#This Row],[link_checklist]]="","",HYPERLINK(p_ruta_base_checklists&amp;tblOrdenes[[#This Row],[link_checklist]],"abrir"))</f>
        <v/>
      </c>
      <c r="AN231" s="6" t="n"/>
      <c r="AO231" s="3">
        <f>IF(tblOrdenes[[#This Row],[orden]]="","",tblOrdenes[[#This Row],[orden]]&amp;IF(tblOrdenes[[#This Row],[operacion]]="","0010",tblOrdenes[[#This Row],[operacion]]))</f>
        <v/>
      </c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11" t="n"/>
      <c r="K232" s="3" t="n"/>
      <c r="L232" s="10" t="n"/>
      <c r="M232" s="6" t="n"/>
      <c r="N2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32" s="3">
        <f>IF(tblOrdenes[[#This Row],[fecha_inicio]]="","",YEAR(tblOrdenes[[#This Row],[fecha_inicio]]))</f>
        <v/>
      </c>
      <c r="R232" s="3">
        <f>IF(tblOrdenes[[#This Row],[fecha_inicio]]="","",MONTH(tblOrdenes[[#This Row],[fecha_inicio]]))</f>
        <v/>
      </c>
      <c r="S232" s="3">
        <f>IF(tblOrdenes[[#This Row],[fecha_inicio]]="","",INDEX(lista_dias,WEEKDAY(tblOrdenes[[#This Row],[fecha_inicio]],2)))</f>
        <v/>
      </c>
      <c r="T232" s="3">
        <f>IF(tblOrdenes[[#This Row],[tipo_ot]]="","",_xlfn.XLOOKUP(tblOrdenes[[#This Row],[tipo_ot]],tblTiposOT[codigo],tblTiposOT[clasificacion],"sin_clasificar"))</f>
        <v/>
      </c>
      <c r="U232" s="3">
        <f>IF(tblOrdenes[[#This Row],[centro_costo]]="","",_xlfn.XLOOKUP(tblOrdenes[[#This Row],[centro_costo]],tblCECO[codigo],tblCECO[linea],"(sin catálogo)"))</f>
        <v/>
      </c>
      <c r="V232" s="3">
        <f>IF(tblOrdenes[[#This Row],[centro_costo]]="","",_xlfn.XLOOKUP(tblOrdenes[[#This Row],[centro_costo]],tblCECO[codigo],tblCECO[area],"(sin catálogo)"))</f>
        <v/>
      </c>
      <c r="W232" s="3">
        <f>IF(tblOrdenes[[#This Row],[centro_costo]]="","",_xlfn.XLOOKUP(tblOrdenes[[#This Row],[centro_costo]],tblCECO[codigo],tblCECO[coordinador],"(sin catálogo)"))</f>
        <v/>
      </c>
      <c r="X232" s="3">
        <f>IF(tblOrdenes[[#This Row],[puesto_trabajo]]="","",_xlfn.XLOOKUP(tblOrdenes[[#This Row],[puesto_trabajo]],tblPuestos[codigo],tblPuestos[especialidad],"(sin catálogo)"))</f>
        <v/>
      </c>
      <c r="Y232" s="3">
        <f>IF(tblOrdenes[[#This Row],[cod_actividad]]="","",_xlfn.XLOOKUP(tblOrdenes[[#This Row],[cod_actividad]],tblActividades[codigo],tblActividades[descripcion],"(sin catálogo)"))</f>
        <v/>
      </c>
      <c r="Z232" s="12">
        <f>IF(tblOrdenes[[#This Row],[fecha_inicio]]="","",TODAY()-tblOrdenes[[#This Row],[fecha_inicio]])</f>
        <v/>
      </c>
      <c r="AA232" s="3">
        <f>IF(tblOrdenes[[#This Row],[backlog_dias]]="","",IF(tblOrdenes[[#This Row],[backlog_dias]]&lt;0,"FUTURO",IF(tblOrdenes[[#This Row],[backlog_dias]]&gt;p_dias_backlog_max,"BACKLOG","MES CORRIENTE")))</f>
        <v/>
      </c>
      <c r="AB232" s="3">
        <f>IF(tblOrdenes[[#This Row],[backlog_dias]]="",FALSE,AND(tblOrdenes[[#This Row],[backlog_dias]]&gt;p_dias_backlog_min,tblOrdenes[[#This Row],[backlog_dias]]&lt;=p_dias_backlog_max))</f>
        <v/>
      </c>
      <c r="AC232" s="6" t="n"/>
      <c r="AD2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32" s="10">
        <f>IF(tblOrdenes[[#This Row],[orden]]="","",_xlfn.XLOOKUP(tblOrdenes[[#This Row],[id_operacion]],tblEjecucion[id_operacion],tblEjecucion[precio],0))</f>
        <v/>
      </c>
      <c r="AH232" s="10">
        <f>IF(tblOrdenes[[#This Row],[orden]]="","",MAX(0,_xlfn.XLOOKUP(tblOrdenes[[#This Row],[id_operacion]],tblEjecucion[id_operacion],tblEjecucion[costo_plan_total],0)-tblOrdenes[[#This Row],[costo_servicio]]))</f>
        <v/>
      </c>
      <c r="AI232" s="10">
        <f>IF(tblOrdenes[[#This Row],[orden]]="","",tblOrdenes[[#This Row],[costo_servicio]]+tblOrdenes[[#This Row],[costo_materiales]])</f>
        <v/>
      </c>
      <c r="AJ232" s="6" t="n"/>
      <c r="AK232" s="6" t="n"/>
      <c r="AL232" s="6" t="n"/>
      <c r="AM232" s="3">
        <f>IF(tblOrdenes[[#This Row],[link_checklist]]="","",HYPERLINK(p_ruta_base_checklists&amp;tblOrdenes[[#This Row],[link_checklist]],"abrir"))</f>
        <v/>
      </c>
      <c r="AN232" s="6" t="n"/>
      <c r="AO232" s="3">
        <f>IF(tblOrdenes[[#This Row],[orden]]="","",tblOrdenes[[#This Row],[orden]]&amp;IF(tblOrdenes[[#This Row],[operacion]]="","0010",tblOrdenes[[#This Row],[operacion]]))</f>
        <v/>
      </c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11" t="n"/>
      <c r="K233" s="3" t="n"/>
      <c r="L233" s="10" t="n"/>
      <c r="M233" s="6" t="n"/>
      <c r="N2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33" s="3">
        <f>IF(tblOrdenes[[#This Row],[fecha_inicio]]="","",YEAR(tblOrdenes[[#This Row],[fecha_inicio]]))</f>
        <v/>
      </c>
      <c r="R233" s="3">
        <f>IF(tblOrdenes[[#This Row],[fecha_inicio]]="","",MONTH(tblOrdenes[[#This Row],[fecha_inicio]]))</f>
        <v/>
      </c>
      <c r="S233" s="3">
        <f>IF(tblOrdenes[[#This Row],[fecha_inicio]]="","",INDEX(lista_dias,WEEKDAY(tblOrdenes[[#This Row],[fecha_inicio]],2)))</f>
        <v/>
      </c>
      <c r="T233" s="3">
        <f>IF(tblOrdenes[[#This Row],[tipo_ot]]="","",_xlfn.XLOOKUP(tblOrdenes[[#This Row],[tipo_ot]],tblTiposOT[codigo],tblTiposOT[clasificacion],"sin_clasificar"))</f>
        <v/>
      </c>
      <c r="U233" s="3">
        <f>IF(tblOrdenes[[#This Row],[centro_costo]]="","",_xlfn.XLOOKUP(tblOrdenes[[#This Row],[centro_costo]],tblCECO[codigo],tblCECO[linea],"(sin catálogo)"))</f>
        <v/>
      </c>
      <c r="V233" s="3">
        <f>IF(tblOrdenes[[#This Row],[centro_costo]]="","",_xlfn.XLOOKUP(tblOrdenes[[#This Row],[centro_costo]],tblCECO[codigo],tblCECO[area],"(sin catálogo)"))</f>
        <v/>
      </c>
      <c r="W233" s="3">
        <f>IF(tblOrdenes[[#This Row],[centro_costo]]="","",_xlfn.XLOOKUP(tblOrdenes[[#This Row],[centro_costo]],tblCECO[codigo],tblCECO[coordinador],"(sin catálogo)"))</f>
        <v/>
      </c>
      <c r="X233" s="3">
        <f>IF(tblOrdenes[[#This Row],[puesto_trabajo]]="","",_xlfn.XLOOKUP(tblOrdenes[[#This Row],[puesto_trabajo]],tblPuestos[codigo],tblPuestos[especialidad],"(sin catálogo)"))</f>
        <v/>
      </c>
      <c r="Y233" s="3">
        <f>IF(tblOrdenes[[#This Row],[cod_actividad]]="","",_xlfn.XLOOKUP(tblOrdenes[[#This Row],[cod_actividad]],tblActividades[codigo],tblActividades[descripcion],"(sin catálogo)"))</f>
        <v/>
      </c>
      <c r="Z233" s="12">
        <f>IF(tblOrdenes[[#This Row],[fecha_inicio]]="","",TODAY()-tblOrdenes[[#This Row],[fecha_inicio]])</f>
        <v/>
      </c>
      <c r="AA233" s="3">
        <f>IF(tblOrdenes[[#This Row],[backlog_dias]]="","",IF(tblOrdenes[[#This Row],[backlog_dias]]&lt;0,"FUTURO",IF(tblOrdenes[[#This Row],[backlog_dias]]&gt;p_dias_backlog_max,"BACKLOG","MES CORRIENTE")))</f>
        <v/>
      </c>
      <c r="AB233" s="3">
        <f>IF(tblOrdenes[[#This Row],[backlog_dias]]="",FALSE,AND(tblOrdenes[[#This Row],[backlog_dias]]&gt;p_dias_backlog_min,tblOrdenes[[#This Row],[backlog_dias]]&lt;=p_dias_backlog_max))</f>
        <v/>
      </c>
      <c r="AC233" s="6" t="n"/>
      <c r="AD2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33" s="10">
        <f>IF(tblOrdenes[[#This Row],[orden]]="","",_xlfn.XLOOKUP(tblOrdenes[[#This Row],[id_operacion]],tblEjecucion[id_operacion],tblEjecucion[precio],0))</f>
        <v/>
      </c>
      <c r="AH233" s="10">
        <f>IF(tblOrdenes[[#This Row],[orden]]="","",MAX(0,_xlfn.XLOOKUP(tblOrdenes[[#This Row],[id_operacion]],tblEjecucion[id_operacion],tblEjecucion[costo_plan_total],0)-tblOrdenes[[#This Row],[costo_servicio]]))</f>
        <v/>
      </c>
      <c r="AI233" s="10">
        <f>IF(tblOrdenes[[#This Row],[orden]]="","",tblOrdenes[[#This Row],[costo_servicio]]+tblOrdenes[[#This Row],[costo_materiales]])</f>
        <v/>
      </c>
      <c r="AJ233" s="6" t="n"/>
      <c r="AK233" s="6" t="n"/>
      <c r="AL233" s="6" t="n"/>
      <c r="AM233" s="3">
        <f>IF(tblOrdenes[[#This Row],[link_checklist]]="","",HYPERLINK(p_ruta_base_checklists&amp;tblOrdenes[[#This Row],[link_checklist]],"abrir"))</f>
        <v/>
      </c>
      <c r="AN233" s="6" t="n"/>
      <c r="AO233" s="3">
        <f>IF(tblOrdenes[[#This Row],[orden]]="","",tblOrdenes[[#This Row],[orden]]&amp;IF(tblOrdenes[[#This Row],[operacion]]="","0010",tblOrdenes[[#This Row],[operacion]]))</f>
        <v/>
      </c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11" t="n"/>
      <c r="K234" s="3" t="n"/>
      <c r="L234" s="10" t="n"/>
      <c r="M234" s="6" t="n"/>
      <c r="N2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34" s="3">
        <f>IF(tblOrdenes[[#This Row],[fecha_inicio]]="","",YEAR(tblOrdenes[[#This Row],[fecha_inicio]]))</f>
        <v/>
      </c>
      <c r="R234" s="3">
        <f>IF(tblOrdenes[[#This Row],[fecha_inicio]]="","",MONTH(tblOrdenes[[#This Row],[fecha_inicio]]))</f>
        <v/>
      </c>
      <c r="S234" s="3">
        <f>IF(tblOrdenes[[#This Row],[fecha_inicio]]="","",INDEX(lista_dias,WEEKDAY(tblOrdenes[[#This Row],[fecha_inicio]],2)))</f>
        <v/>
      </c>
      <c r="T234" s="3">
        <f>IF(tblOrdenes[[#This Row],[tipo_ot]]="","",_xlfn.XLOOKUP(tblOrdenes[[#This Row],[tipo_ot]],tblTiposOT[codigo],tblTiposOT[clasificacion],"sin_clasificar"))</f>
        <v/>
      </c>
      <c r="U234" s="3">
        <f>IF(tblOrdenes[[#This Row],[centro_costo]]="","",_xlfn.XLOOKUP(tblOrdenes[[#This Row],[centro_costo]],tblCECO[codigo],tblCECO[linea],"(sin catálogo)"))</f>
        <v/>
      </c>
      <c r="V234" s="3">
        <f>IF(tblOrdenes[[#This Row],[centro_costo]]="","",_xlfn.XLOOKUP(tblOrdenes[[#This Row],[centro_costo]],tblCECO[codigo],tblCECO[area],"(sin catálogo)"))</f>
        <v/>
      </c>
      <c r="W234" s="3">
        <f>IF(tblOrdenes[[#This Row],[centro_costo]]="","",_xlfn.XLOOKUP(tblOrdenes[[#This Row],[centro_costo]],tblCECO[codigo],tblCECO[coordinador],"(sin catálogo)"))</f>
        <v/>
      </c>
      <c r="X234" s="3">
        <f>IF(tblOrdenes[[#This Row],[puesto_trabajo]]="","",_xlfn.XLOOKUP(tblOrdenes[[#This Row],[puesto_trabajo]],tblPuestos[codigo],tblPuestos[especialidad],"(sin catálogo)"))</f>
        <v/>
      </c>
      <c r="Y234" s="3">
        <f>IF(tblOrdenes[[#This Row],[cod_actividad]]="","",_xlfn.XLOOKUP(tblOrdenes[[#This Row],[cod_actividad]],tblActividades[codigo],tblActividades[descripcion],"(sin catálogo)"))</f>
        <v/>
      </c>
      <c r="Z234" s="12">
        <f>IF(tblOrdenes[[#This Row],[fecha_inicio]]="","",TODAY()-tblOrdenes[[#This Row],[fecha_inicio]])</f>
        <v/>
      </c>
      <c r="AA234" s="3">
        <f>IF(tblOrdenes[[#This Row],[backlog_dias]]="","",IF(tblOrdenes[[#This Row],[backlog_dias]]&lt;0,"FUTURO",IF(tblOrdenes[[#This Row],[backlog_dias]]&gt;p_dias_backlog_max,"BACKLOG","MES CORRIENTE")))</f>
        <v/>
      </c>
      <c r="AB234" s="3">
        <f>IF(tblOrdenes[[#This Row],[backlog_dias]]="",FALSE,AND(tblOrdenes[[#This Row],[backlog_dias]]&gt;p_dias_backlog_min,tblOrdenes[[#This Row],[backlog_dias]]&lt;=p_dias_backlog_max))</f>
        <v/>
      </c>
      <c r="AC234" s="6" t="n"/>
      <c r="AD2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34" s="10">
        <f>IF(tblOrdenes[[#This Row],[orden]]="","",_xlfn.XLOOKUP(tblOrdenes[[#This Row],[id_operacion]],tblEjecucion[id_operacion],tblEjecucion[precio],0))</f>
        <v/>
      </c>
      <c r="AH234" s="10">
        <f>IF(tblOrdenes[[#This Row],[orden]]="","",MAX(0,_xlfn.XLOOKUP(tblOrdenes[[#This Row],[id_operacion]],tblEjecucion[id_operacion],tblEjecucion[costo_plan_total],0)-tblOrdenes[[#This Row],[costo_servicio]]))</f>
        <v/>
      </c>
      <c r="AI234" s="10">
        <f>IF(tblOrdenes[[#This Row],[orden]]="","",tblOrdenes[[#This Row],[costo_servicio]]+tblOrdenes[[#This Row],[costo_materiales]])</f>
        <v/>
      </c>
      <c r="AJ234" s="6" t="n"/>
      <c r="AK234" s="6" t="n"/>
      <c r="AL234" s="6" t="n"/>
      <c r="AM234" s="3">
        <f>IF(tblOrdenes[[#This Row],[link_checklist]]="","",HYPERLINK(p_ruta_base_checklists&amp;tblOrdenes[[#This Row],[link_checklist]],"abrir"))</f>
        <v/>
      </c>
      <c r="AN234" s="6" t="n"/>
      <c r="AO234" s="3">
        <f>IF(tblOrdenes[[#This Row],[orden]]="","",tblOrdenes[[#This Row],[orden]]&amp;IF(tblOrdenes[[#This Row],[operacion]]="","0010",tblOrdenes[[#This Row],[operacion]]))</f>
        <v/>
      </c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11" t="n"/>
      <c r="K235" s="3" t="n"/>
      <c r="L235" s="10" t="n"/>
      <c r="M235" s="6" t="n"/>
      <c r="N2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35" s="3">
        <f>IF(tblOrdenes[[#This Row],[fecha_inicio]]="","",YEAR(tblOrdenes[[#This Row],[fecha_inicio]]))</f>
        <v/>
      </c>
      <c r="R235" s="3">
        <f>IF(tblOrdenes[[#This Row],[fecha_inicio]]="","",MONTH(tblOrdenes[[#This Row],[fecha_inicio]]))</f>
        <v/>
      </c>
      <c r="S235" s="3">
        <f>IF(tblOrdenes[[#This Row],[fecha_inicio]]="","",INDEX(lista_dias,WEEKDAY(tblOrdenes[[#This Row],[fecha_inicio]],2)))</f>
        <v/>
      </c>
      <c r="T235" s="3">
        <f>IF(tblOrdenes[[#This Row],[tipo_ot]]="","",_xlfn.XLOOKUP(tblOrdenes[[#This Row],[tipo_ot]],tblTiposOT[codigo],tblTiposOT[clasificacion],"sin_clasificar"))</f>
        <v/>
      </c>
      <c r="U235" s="3">
        <f>IF(tblOrdenes[[#This Row],[centro_costo]]="","",_xlfn.XLOOKUP(tblOrdenes[[#This Row],[centro_costo]],tblCECO[codigo],tblCECO[linea],"(sin catálogo)"))</f>
        <v/>
      </c>
      <c r="V235" s="3">
        <f>IF(tblOrdenes[[#This Row],[centro_costo]]="","",_xlfn.XLOOKUP(tblOrdenes[[#This Row],[centro_costo]],tblCECO[codigo],tblCECO[area],"(sin catálogo)"))</f>
        <v/>
      </c>
      <c r="W235" s="3">
        <f>IF(tblOrdenes[[#This Row],[centro_costo]]="","",_xlfn.XLOOKUP(tblOrdenes[[#This Row],[centro_costo]],tblCECO[codigo],tblCECO[coordinador],"(sin catálogo)"))</f>
        <v/>
      </c>
      <c r="X235" s="3">
        <f>IF(tblOrdenes[[#This Row],[puesto_trabajo]]="","",_xlfn.XLOOKUP(tblOrdenes[[#This Row],[puesto_trabajo]],tblPuestos[codigo],tblPuestos[especialidad],"(sin catálogo)"))</f>
        <v/>
      </c>
      <c r="Y235" s="3">
        <f>IF(tblOrdenes[[#This Row],[cod_actividad]]="","",_xlfn.XLOOKUP(tblOrdenes[[#This Row],[cod_actividad]],tblActividades[codigo],tblActividades[descripcion],"(sin catálogo)"))</f>
        <v/>
      </c>
      <c r="Z235" s="12">
        <f>IF(tblOrdenes[[#This Row],[fecha_inicio]]="","",TODAY()-tblOrdenes[[#This Row],[fecha_inicio]])</f>
        <v/>
      </c>
      <c r="AA235" s="3">
        <f>IF(tblOrdenes[[#This Row],[backlog_dias]]="","",IF(tblOrdenes[[#This Row],[backlog_dias]]&lt;0,"FUTURO",IF(tblOrdenes[[#This Row],[backlog_dias]]&gt;p_dias_backlog_max,"BACKLOG","MES CORRIENTE")))</f>
        <v/>
      </c>
      <c r="AB235" s="3">
        <f>IF(tblOrdenes[[#This Row],[backlog_dias]]="",FALSE,AND(tblOrdenes[[#This Row],[backlog_dias]]&gt;p_dias_backlog_min,tblOrdenes[[#This Row],[backlog_dias]]&lt;=p_dias_backlog_max))</f>
        <v/>
      </c>
      <c r="AC235" s="6" t="n"/>
      <c r="AD2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35" s="10">
        <f>IF(tblOrdenes[[#This Row],[orden]]="","",_xlfn.XLOOKUP(tblOrdenes[[#This Row],[id_operacion]],tblEjecucion[id_operacion],tblEjecucion[precio],0))</f>
        <v/>
      </c>
      <c r="AH235" s="10">
        <f>IF(tblOrdenes[[#This Row],[orden]]="","",MAX(0,_xlfn.XLOOKUP(tblOrdenes[[#This Row],[id_operacion]],tblEjecucion[id_operacion],tblEjecucion[costo_plan_total],0)-tblOrdenes[[#This Row],[costo_servicio]]))</f>
        <v/>
      </c>
      <c r="AI235" s="10">
        <f>IF(tblOrdenes[[#This Row],[orden]]="","",tblOrdenes[[#This Row],[costo_servicio]]+tblOrdenes[[#This Row],[costo_materiales]])</f>
        <v/>
      </c>
      <c r="AJ235" s="6" t="n"/>
      <c r="AK235" s="6" t="n"/>
      <c r="AL235" s="6" t="n"/>
      <c r="AM235" s="3">
        <f>IF(tblOrdenes[[#This Row],[link_checklist]]="","",HYPERLINK(p_ruta_base_checklists&amp;tblOrdenes[[#This Row],[link_checklist]],"abrir"))</f>
        <v/>
      </c>
      <c r="AN235" s="6" t="n"/>
      <c r="AO235" s="3">
        <f>IF(tblOrdenes[[#This Row],[orden]]="","",tblOrdenes[[#This Row],[orden]]&amp;IF(tblOrdenes[[#This Row],[operacion]]="","0010",tblOrdenes[[#This Row],[operacion]]))</f>
        <v/>
      </c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11" t="n"/>
      <c r="K236" s="3" t="n"/>
      <c r="L236" s="10" t="n"/>
      <c r="M236" s="6" t="n"/>
      <c r="N2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36" s="3">
        <f>IF(tblOrdenes[[#This Row],[fecha_inicio]]="","",YEAR(tblOrdenes[[#This Row],[fecha_inicio]]))</f>
        <v/>
      </c>
      <c r="R236" s="3">
        <f>IF(tblOrdenes[[#This Row],[fecha_inicio]]="","",MONTH(tblOrdenes[[#This Row],[fecha_inicio]]))</f>
        <v/>
      </c>
      <c r="S236" s="3">
        <f>IF(tblOrdenes[[#This Row],[fecha_inicio]]="","",INDEX(lista_dias,WEEKDAY(tblOrdenes[[#This Row],[fecha_inicio]],2)))</f>
        <v/>
      </c>
      <c r="T236" s="3">
        <f>IF(tblOrdenes[[#This Row],[tipo_ot]]="","",_xlfn.XLOOKUP(tblOrdenes[[#This Row],[tipo_ot]],tblTiposOT[codigo],tblTiposOT[clasificacion],"sin_clasificar"))</f>
        <v/>
      </c>
      <c r="U236" s="3">
        <f>IF(tblOrdenes[[#This Row],[centro_costo]]="","",_xlfn.XLOOKUP(tblOrdenes[[#This Row],[centro_costo]],tblCECO[codigo],tblCECO[linea],"(sin catálogo)"))</f>
        <v/>
      </c>
      <c r="V236" s="3">
        <f>IF(tblOrdenes[[#This Row],[centro_costo]]="","",_xlfn.XLOOKUP(tblOrdenes[[#This Row],[centro_costo]],tblCECO[codigo],tblCECO[area],"(sin catálogo)"))</f>
        <v/>
      </c>
      <c r="W236" s="3">
        <f>IF(tblOrdenes[[#This Row],[centro_costo]]="","",_xlfn.XLOOKUP(tblOrdenes[[#This Row],[centro_costo]],tblCECO[codigo],tblCECO[coordinador],"(sin catálogo)"))</f>
        <v/>
      </c>
      <c r="X236" s="3">
        <f>IF(tblOrdenes[[#This Row],[puesto_trabajo]]="","",_xlfn.XLOOKUP(tblOrdenes[[#This Row],[puesto_trabajo]],tblPuestos[codigo],tblPuestos[especialidad],"(sin catálogo)"))</f>
        <v/>
      </c>
      <c r="Y236" s="3">
        <f>IF(tblOrdenes[[#This Row],[cod_actividad]]="","",_xlfn.XLOOKUP(tblOrdenes[[#This Row],[cod_actividad]],tblActividades[codigo],tblActividades[descripcion],"(sin catálogo)"))</f>
        <v/>
      </c>
      <c r="Z236" s="12">
        <f>IF(tblOrdenes[[#This Row],[fecha_inicio]]="","",TODAY()-tblOrdenes[[#This Row],[fecha_inicio]])</f>
        <v/>
      </c>
      <c r="AA236" s="3">
        <f>IF(tblOrdenes[[#This Row],[backlog_dias]]="","",IF(tblOrdenes[[#This Row],[backlog_dias]]&lt;0,"FUTURO",IF(tblOrdenes[[#This Row],[backlog_dias]]&gt;p_dias_backlog_max,"BACKLOG","MES CORRIENTE")))</f>
        <v/>
      </c>
      <c r="AB236" s="3">
        <f>IF(tblOrdenes[[#This Row],[backlog_dias]]="",FALSE,AND(tblOrdenes[[#This Row],[backlog_dias]]&gt;p_dias_backlog_min,tblOrdenes[[#This Row],[backlog_dias]]&lt;=p_dias_backlog_max))</f>
        <v/>
      </c>
      <c r="AC236" s="6" t="n"/>
      <c r="AD2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36" s="10">
        <f>IF(tblOrdenes[[#This Row],[orden]]="","",_xlfn.XLOOKUP(tblOrdenes[[#This Row],[id_operacion]],tblEjecucion[id_operacion],tblEjecucion[precio],0))</f>
        <v/>
      </c>
      <c r="AH236" s="10">
        <f>IF(tblOrdenes[[#This Row],[orden]]="","",MAX(0,_xlfn.XLOOKUP(tblOrdenes[[#This Row],[id_operacion]],tblEjecucion[id_operacion],tblEjecucion[costo_plan_total],0)-tblOrdenes[[#This Row],[costo_servicio]]))</f>
        <v/>
      </c>
      <c r="AI236" s="10">
        <f>IF(tblOrdenes[[#This Row],[orden]]="","",tblOrdenes[[#This Row],[costo_servicio]]+tblOrdenes[[#This Row],[costo_materiales]])</f>
        <v/>
      </c>
      <c r="AJ236" s="6" t="n"/>
      <c r="AK236" s="6" t="n"/>
      <c r="AL236" s="6" t="n"/>
      <c r="AM236" s="3">
        <f>IF(tblOrdenes[[#This Row],[link_checklist]]="","",HYPERLINK(p_ruta_base_checklists&amp;tblOrdenes[[#This Row],[link_checklist]],"abrir"))</f>
        <v/>
      </c>
      <c r="AN236" s="6" t="n"/>
      <c r="AO236" s="3">
        <f>IF(tblOrdenes[[#This Row],[orden]]="","",tblOrdenes[[#This Row],[orden]]&amp;IF(tblOrdenes[[#This Row],[operacion]]="","0010",tblOrdenes[[#This Row],[operacion]]))</f>
        <v/>
      </c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11" t="n"/>
      <c r="K237" s="3" t="n"/>
      <c r="L237" s="10" t="n"/>
      <c r="M237" s="6" t="n"/>
      <c r="N2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37" s="3">
        <f>IF(tblOrdenes[[#This Row],[fecha_inicio]]="","",YEAR(tblOrdenes[[#This Row],[fecha_inicio]]))</f>
        <v/>
      </c>
      <c r="R237" s="3">
        <f>IF(tblOrdenes[[#This Row],[fecha_inicio]]="","",MONTH(tblOrdenes[[#This Row],[fecha_inicio]]))</f>
        <v/>
      </c>
      <c r="S237" s="3">
        <f>IF(tblOrdenes[[#This Row],[fecha_inicio]]="","",INDEX(lista_dias,WEEKDAY(tblOrdenes[[#This Row],[fecha_inicio]],2)))</f>
        <v/>
      </c>
      <c r="T237" s="3">
        <f>IF(tblOrdenes[[#This Row],[tipo_ot]]="","",_xlfn.XLOOKUP(tblOrdenes[[#This Row],[tipo_ot]],tblTiposOT[codigo],tblTiposOT[clasificacion],"sin_clasificar"))</f>
        <v/>
      </c>
      <c r="U237" s="3">
        <f>IF(tblOrdenes[[#This Row],[centro_costo]]="","",_xlfn.XLOOKUP(tblOrdenes[[#This Row],[centro_costo]],tblCECO[codigo],tblCECO[linea],"(sin catálogo)"))</f>
        <v/>
      </c>
      <c r="V237" s="3">
        <f>IF(tblOrdenes[[#This Row],[centro_costo]]="","",_xlfn.XLOOKUP(tblOrdenes[[#This Row],[centro_costo]],tblCECO[codigo],tblCECO[area],"(sin catálogo)"))</f>
        <v/>
      </c>
      <c r="W237" s="3">
        <f>IF(tblOrdenes[[#This Row],[centro_costo]]="","",_xlfn.XLOOKUP(tblOrdenes[[#This Row],[centro_costo]],tblCECO[codigo],tblCECO[coordinador],"(sin catálogo)"))</f>
        <v/>
      </c>
      <c r="X237" s="3">
        <f>IF(tblOrdenes[[#This Row],[puesto_trabajo]]="","",_xlfn.XLOOKUP(tblOrdenes[[#This Row],[puesto_trabajo]],tblPuestos[codigo],tblPuestos[especialidad],"(sin catálogo)"))</f>
        <v/>
      </c>
      <c r="Y237" s="3">
        <f>IF(tblOrdenes[[#This Row],[cod_actividad]]="","",_xlfn.XLOOKUP(tblOrdenes[[#This Row],[cod_actividad]],tblActividades[codigo],tblActividades[descripcion],"(sin catálogo)"))</f>
        <v/>
      </c>
      <c r="Z237" s="12">
        <f>IF(tblOrdenes[[#This Row],[fecha_inicio]]="","",TODAY()-tblOrdenes[[#This Row],[fecha_inicio]])</f>
        <v/>
      </c>
      <c r="AA237" s="3">
        <f>IF(tblOrdenes[[#This Row],[backlog_dias]]="","",IF(tblOrdenes[[#This Row],[backlog_dias]]&lt;0,"FUTURO",IF(tblOrdenes[[#This Row],[backlog_dias]]&gt;p_dias_backlog_max,"BACKLOG","MES CORRIENTE")))</f>
        <v/>
      </c>
      <c r="AB237" s="3">
        <f>IF(tblOrdenes[[#This Row],[backlog_dias]]="",FALSE,AND(tblOrdenes[[#This Row],[backlog_dias]]&gt;p_dias_backlog_min,tblOrdenes[[#This Row],[backlog_dias]]&lt;=p_dias_backlog_max))</f>
        <v/>
      </c>
      <c r="AC237" s="6" t="n"/>
      <c r="AD2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37" s="10">
        <f>IF(tblOrdenes[[#This Row],[orden]]="","",_xlfn.XLOOKUP(tblOrdenes[[#This Row],[id_operacion]],tblEjecucion[id_operacion],tblEjecucion[precio],0))</f>
        <v/>
      </c>
      <c r="AH237" s="10">
        <f>IF(tblOrdenes[[#This Row],[orden]]="","",MAX(0,_xlfn.XLOOKUP(tblOrdenes[[#This Row],[id_operacion]],tblEjecucion[id_operacion],tblEjecucion[costo_plan_total],0)-tblOrdenes[[#This Row],[costo_servicio]]))</f>
        <v/>
      </c>
      <c r="AI237" s="10">
        <f>IF(tblOrdenes[[#This Row],[orden]]="","",tblOrdenes[[#This Row],[costo_servicio]]+tblOrdenes[[#This Row],[costo_materiales]])</f>
        <v/>
      </c>
      <c r="AJ237" s="6" t="n"/>
      <c r="AK237" s="6" t="n"/>
      <c r="AL237" s="6" t="n"/>
      <c r="AM237" s="3">
        <f>IF(tblOrdenes[[#This Row],[link_checklist]]="","",HYPERLINK(p_ruta_base_checklists&amp;tblOrdenes[[#This Row],[link_checklist]],"abrir"))</f>
        <v/>
      </c>
      <c r="AN237" s="6" t="n"/>
      <c r="AO237" s="3">
        <f>IF(tblOrdenes[[#This Row],[orden]]="","",tblOrdenes[[#This Row],[orden]]&amp;IF(tblOrdenes[[#This Row],[operacion]]="","0010",tblOrdenes[[#This Row],[operacion]]))</f>
        <v/>
      </c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11" t="n"/>
      <c r="K238" s="3" t="n"/>
      <c r="L238" s="10" t="n"/>
      <c r="M238" s="6" t="n"/>
      <c r="N2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38" s="3">
        <f>IF(tblOrdenes[[#This Row],[fecha_inicio]]="","",YEAR(tblOrdenes[[#This Row],[fecha_inicio]]))</f>
        <v/>
      </c>
      <c r="R238" s="3">
        <f>IF(tblOrdenes[[#This Row],[fecha_inicio]]="","",MONTH(tblOrdenes[[#This Row],[fecha_inicio]]))</f>
        <v/>
      </c>
      <c r="S238" s="3">
        <f>IF(tblOrdenes[[#This Row],[fecha_inicio]]="","",INDEX(lista_dias,WEEKDAY(tblOrdenes[[#This Row],[fecha_inicio]],2)))</f>
        <v/>
      </c>
      <c r="T238" s="3">
        <f>IF(tblOrdenes[[#This Row],[tipo_ot]]="","",_xlfn.XLOOKUP(tblOrdenes[[#This Row],[tipo_ot]],tblTiposOT[codigo],tblTiposOT[clasificacion],"sin_clasificar"))</f>
        <v/>
      </c>
      <c r="U238" s="3">
        <f>IF(tblOrdenes[[#This Row],[centro_costo]]="","",_xlfn.XLOOKUP(tblOrdenes[[#This Row],[centro_costo]],tblCECO[codigo],tblCECO[linea],"(sin catálogo)"))</f>
        <v/>
      </c>
      <c r="V238" s="3">
        <f>IF(tblOrdenes[[#This Row],[centro_costo]]="","",_xlfn.XLOOKUP(tblOrdenes[[#This Row],[centro_costo]],tblCECO[codigo],tblCECO[area],"(sin catálogo)"))</f>
        <v/>
      </c>
      <c r="W238" s="3">
        <f>IF(tblOrdenes[[#This Row],[centro_costo]]="","",_xlfn.XLOOKUP(tblOrdenes[[#This Row],[centro_costo]],tblCECO[codigo],tblCECO[coordinador],"(sin catálogo)"))</f>
        <v/>
      </c>
      <c r="X238" s="3">
        <f>IF(tblOrdenes[[#This Row],[puesto_trabajo]]="","",_xlfn.XLOOKUP(tblOrdenes[[#This Row],[puesto_trabajo]],tblPuestos[codigo],tblPuestos[especialidad],"(sin catálogo)"))</f>
        <v/>
      </c>
      <c r="Y238" s="3">
        <f>IF(tblOrdenes[[#This Row],[cod_actividad]]="","",_xlfn.XLOOKUP(tblOrdenes[[#This Row],[cod_actividad]],tblActividades[codigo],tblActividades[descripcion],"(sin catálogo)"))</f>
        <v/>
      </c>
      <c r="Z238" s="12">
        <f>IF(tblOrdenes[[#This Row],[fecha_inicio]]="","",TODAY()-tblOrdenes[[#This Row],[fecha_inicio]])</f>
        <v/>
      </c>
      <c r="AA238" s="3">
        <f>IF(tblOrdenes[[#This Row],[backlog_dias]]="","",IF(tblOrdenes[[#This Row],[backlog_dias]]&lt;0,"FUTURO",IF(tblOrdenes[[#This Row],[backlog_dias]]&gt;p_dias_backlog_max,"BACKLOG","MES CORRIENTE")))</f>
        <v/>
      </c>
      <c r="AB238" s="3">
        <f>IF(tblOrdenes[[#This Row],[backlog_dias]]="",FALSE,AND(tblOrdenes[[#This Row],[backlog_dias]]&gt;p_dias_backlog_min,tblOrdenes[[#This Row],[backlog_dias]]&lt;=p_dias_backlog_max))</f>
        <v/>
      </c>
      <c r="AC238" s="6" t="n"/>
      <c r="AD2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38" s="10">
        <f>IF(tblOrdenes[[#This Row],[orden]]="","",_xlfn.XLOOKUP(tblOrdenes[[#This Row],[id_operacion]],tblEjecucion[id_operacion],tblEjecucion[precio],0))</f>
        <v/>
      </c>
      <c r="AH238" s="10">
        <f>IF(tblOrdenes[[#This Row],[orden]]="","",MAX(0,_xlfn.XLOOKUP(tblOrdenes[[#This Row],[id_operacion]],tblEjecucion[id_operacion],tblEjecucion[costo_plan_total],0)-tblOrdenes[[#This Row],[costo_servicio]]))</f>
        <v/>
      </c>
      <c r="AI238" s="10">
        <f>IF(tblOrdenes[[#This Row],[orden]]="","",tblOrdenes[[#This Row],[costo_servicio]]+tblOrdenes[[#This Row],[costo_materiales]])</f>
        <v/>
      </c>
      <c r="AJ238" s="6" t="n"/>
      <c r="AK238" s="6" t="n"/>
      <c r="AL238" s="6" t="n"/>
      <c r="AM238" s="3">
        <f>IF(tblOrdenes[[#This Row],[link_checklist]]="","",HYPERLINK(p_ruta_base_checklists&amp;tblOrdenes[[#This Row],[link_checklist]],"abrir"))</f>
        <v/>
      </c>
      <c r="AN238" s="6" t="n"/>
      <c r="AO238" s="3">
        <f>IF(tblOrdenes[[#This Row],[orden]]="","",tblOrdenes[[#This Row],[orden]]&amp;IF(tblOrdenes[[#This Row],[operacion]]="","0010",tblOrdenes[[#This Row],[operacion]]))</f>
        <v/>
      </c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11" t="n"/>
      <c r="K239" s="3" t="n"/>
      <c r="L239" s="10" t="n"/>
      <c r="M239" s="6" t="n"/>
      <c r="N2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39" s="3">
        <f>IF(tblOrdenes[[#This Row],[fecha_inicio]]="","",YEAR(tblOrdenes[[#This Row],[fecha_inicio]]))</f>
        <v/>
      </c>
      <c r="R239" s="3">
        <f>IF(tblOrdenes[[#This Row],[fecha_inicio]]="","",MONTH(tblOrdenes[[#This Row],[fecha_inicio]]))</f>
        <v/>
      </c>
      <c r="S239" s="3">
        <f>IF(tblOrdenes[[#This Row],[fecha_inicio]]="","",INDEX(lista_dias,WEEKDAY(tblOrdenes[[#This Row],[fecha_inicio]],2)))</f>
        <v/>
      </c>
      <c r="T239" s="3">
        <f>IF(tblOrdenes[[#This Row],[tipo_ot]]="","",_xlfn.XLOOKUP(tblOrdenes[[#This Row],[tipo_ot]],tblTiposOT[codigo],tblTiposOT[clasificacion],"sin_clasificar"))</f>
        <v/>
      </c>
      <c r="U239" s="3">
        <f>IF(tblOrdenes[[#This Row],[centro_costo]]="","",_xlfn.XLOOKUP(tblOrdenes[[#This Row],[centro_costo]],tblCECO[codigo],tblCECO[linea],"(sin catálogo)"))</f>
        <v/>
      </c>
      <c r="V239" s="3">
        <f>IF(tblOrdenes[[#This Row],[centro_costo]]="","",_xlfn.XLOOKUP(tblOrdenes[[#This Row],[centro_costo]],tblCECO[codigo],tblCECO[area],"(sin catálogo)"))</f>
        <v/>
      </c>
      <c r="W239" s="3">
        <f>IF(tblOrdenes[[#This Row],[centro_costo]]="","",_xlfn.XLOOKUP(tblOrdenes[[#This Row],[centro_costo]],tblCECO[codigo],tblCECO[coordinador],"(sin catálogo)"))</f>
        <v/>
      </c>
      <c r="X239" s="3">
        <f>IF(tblOrdenes[[#This Row],[puesto_trabajo]]="","",_xlfn.XLOOKUP(tblOrdenes[[#This Row],[puesto_trabajo]],tblPuestos[codigo],tblPuestos[especialidad],"(sin catálogo)"))</f>
        <v/>
      </c>
      <c r="Y239" s="3">
        <f>IF(tblOrdenes[[#This Row],[cod_actividad]]="","",_xlfn.XLOOKUP(tblOrdenes[[#This Row],[cod_actividad]],tblActividades[codigo],tblActividades[descripcion],"(sin catálogo)"))</f>
        <v/>
      </c>
      <c r="Z239" s="12">
        <f>IF(tblOrdenes[[#This Row],[fecha_inicio]]="","",TODAY()-tblOrdenes[[#This Row],[fecha_inicio]])</f>
        <v/>
      </c>
      <c r="AA239" s="3">
        <f>IF(tblOrdenes[[#This Row],[backlog_dias]]="","",IF(tblOrdenes[[#This Row],[backlog_dias]]&lt;0,"FUTURO",IF(tblOrdenes[[#This Row],[backlog_dias]]&gt;p_dias_backlog_max,"BACKLOG","MES CORRIENTE")))</f>
        <v/>
      </c>
      <c r="AB239" s="3">
        <f>IF(tblOrdenes[[#This Row],[backlog_dias]]="",FALSE,AND(tblOrdenes[[#This Row],[backlog_dias]]&gt;p_dias_backlog_min,tblOrdenes[[#This Row],[backlog_dias]]&lt;=p_dias_backlog_max))</f>
        <v/>
      </c>
      <c r="AC239" s="6" t="n"/>
      <c r="AD2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39" s="10">
        <f>IF(tblOrdenes[[#This Row],[orden]]="","",_xlfn.XLOOKUP(tblOrdenes[[#This Row],[id_operacion]],tblEjecucion[id_operacion],tblEjecucion[precio],0))</f>
        <v/>
      </c>
      <c r="AH239" s="10">
        <f>IF(tblOrdenes[[#This Row],[orden]]="","",MAX(0,_xlfn.XLOOKUP(tblOrdenes[[#This Row],[id_operacion]],tblEjecucion[id_operacion],tblEjecucion[costo_plan_total],0)-tblOrdenes[[#This Row],[costo_servicio]]))</f>
        <v/>
      </c>
      <c r="AI239" s="10">
        <f>IF(tblOrdenes[[#This Row],[orden]]="","",tblOrdenes[[#This Row],[costo_servicio]]+tblOrdenes[[#This Row],[costo_materiales]])</f>
        <v/>
      </c>
      <c r="AJ239" s="6" t="n"/>
      <c r="AK239" s="6" t="n"/>
      <c r="AL239" s="6" t="n"/>
      <c r="AM239" s="3">
        <f>IF(tblOrdenes[[#This Row],[link_checklist]]="","",HYPERLINK(p_ruta_base_checklists&amp;tblOrdenes[[#This Row],[link_checklist]],"abrir"))</f>
        <v/>
      </c>
      <c r="AN239" s="6" t="n"/>
      <c r="AO239" s="3">
        <f>IF(tblOrdenes[[#This Row],[orden]]="","",tblOrdenes[[#This Row],[orden]]&amp;IF(tblOrdenes[[#This Row],[operacion]]="","0010",tblOrdenes[[#This Row],[operacion]]))</f>
        <v/>
      </c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11" t="n"/>
      <c r="K240" s="3" t="n"/>
      <c r="L240" s="10" t="n"/>
      <c r="M240" s="6" t="n"/>
      <c r="N2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40" s="3">
        <f>IF(tblOrdenes[[#This Row],[fecha_inicio]]="","",YEAR(tblOrdenes[[#This Row],[fecha_inicio]]))</f>
        <v/>
      </c>
      <c r="R240" s="3">
        <f>IF(tblOrdenes[[#This Row],[fecha_inicio]]="","",MONTH(tblOrdenes[[#This Row],[fecha_inicio]]))</f>
        <v/>
      </c>
      <c r="S240" s="3">
        <f>IF(tblOrdenes[[#This Row],[fecha_inicio]]="","",INDEX(lista_dias,WEEKDAY(tblOrdenes[[#This Row],[fecha_inicio]],2)))</f>
        <v/>
      </c>
      <c r="T240" s="3">
        <f>IF(tblOrdenes[[#This Row],[tipo_ot]]="","",_xlfn.XLOOKUP(tblOrdenes[[#This Row],[tipo_ot]],tblTiposOT[codigo],tblTiposOT[clasificacion],"sin_clasificar"))</f>
        <v/>
      </c>
      <c r="U240" s="3">
        <f>IF(tblOrdenes[[#This Row],[centro_costo]]="","",_xlfn.XLOOKUP(tblOrdenes[[#This Row],[centro_costo]],tblCECO[codigo],tblCECO[linea],"(sin catálogo)"))</f>
        <v/>
      </c>
      <c r="V240" s="3">
        <f>IF(tblOrdenes[[#This Row],[centro_costo]]="","",_xlfn.XLOOKUP(tblOrdenes[[#This Row],[centro_costo]],tblCECO[codigo],tblCECO[area],"(sin catálogo)"))</f>
        <v/>
      </c>
      <c r="W240" s="3">
        <f>IF(tblOrdenes[[#This Row],[centro_costo]]="","",_xlfn.XLOOKUP(tblOrdenes[[#This Row],[centro_costo]],tblCECO[codigo],tblCECO[coordinador],"(sin catálogo)"))</f>
        <v/>
      </c>
      <c r="X240" s="3">
        <f>IF(tblOrdenes[[#This Row],[puesto_trabajo]]="","",_xlfn.XLOOKUP(tblOrdenes[[#This Row],[puesto_trabajo]],tblPuestos[codigo],tblPuestos[especialidad],"(sin catálogo)"))</f>
        <v/>
      </c>
      <c r="Y240" s="3">
        <f>IF(tblOrdenes[[#This Row],[cod_actividad]]="","",_xlfn.XLOOKUP(tblOrdenes[[#This Row],[cod_actividad]],tblActividades[codigo],tblActividades[descripcion],"(sin catálogo)"))</f>
        <v/>
      </c>
      <c r="Z240" s="12">
        <f>IF(tblOrdenes[[#This Row],[fecha_inicio]]="","",TODAY()-tblOrdenes[[#This Row],[fecha_inicio]])</f>
        <v/>
      </c>
      <c r="AA240" s="3">
        <f>IF(tblOrdenes[[#This Row],[backlog_dias]]="","",IF(tblOrdenes[[#This Row],[backlog_dias]]&lt;0,"FUTURO",IF(tblOrdenes[[#This Row],[backlog_dias]]&gt;p_dias_backlog_max,"BACKLOG","MES CORRIENTE")))</f>
        <v/>
      </c>
      <c r="AB240" s="3">
        <f>IF(tblOrdenes[[#This Row],[backlog_dias]]="",FALSE,AND(tblOrdenes[[#This Row],[backlog_dias]]&gt;p_dias_backlog_min,tblOrdenes[[#This Row],[backlog_dias]]&lt;=p_dias_backlog_max))</f>
        <v/>
      </c>
      <c r="AC240" s="6" t="n"/>
      <c r="AD2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40" s="10">
        <f>IF(tblOrdenes[[#This Row],[orden]]="","",_xlfn.XLOOKUP(tblOrdenes[[#This Row],[id_operacion]],tblEjecucion[id_operacion],tblEjecucion[precio],0))</f>
        <v/>
      </c>
      <c r="AH240" s="10">
        <f>IF(tblOrdenes[[#This Row],[orden]]="","",MAX(0,_xlfn.XLOOKUP(tblOrdenes[[#This Row],[id_operacion]],tblEjecucion[id_operacion],tblEjecucion[costo_plan_total],0)-tblOrdenes[[#This Row],[costo_servicio]]))</f>
        <v/>
      </c>
      <c r="AI240" s="10">
        <f>IF(tblOrdenes[[#This Row],[orden]]="","",tblOrdenes[[#This Row],[costo_servicio]]+tblOrdenes[[#This Row],[costo_materiales]])</f>
        <v/>
      </c>
      <c r="AJ240" s="6" t="n"/>
      <c r="AK240" s="6" t="n"/>
      <c r="AL240" s="6" t="n"/>
      <c r="AM240" s="3">
        <f>IF(tblOrdenes[[#This Row],[link_checklist]]="","",HYPERLINK(p_ruta_base_checklists&amp;tblOrdenes[[#This Row],[link_checklist]],"abrir"))</f>
        <v/>
      </c>
      <c r="AN240" s="6" t="n"/>
      <c r="AO240" s="3">
        <f>IF(tblOrdenes[[#This Row],[orden]]="","",tblOrdenes[[#This Row],[orden]]&amp;IF(tblOrdenes[[#This Row],[operacion]]="","0010",tblOrdenes[[#This Row],[operacion]]))</f>
        <v/>
      </c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11" t="n"/>
      <c r="K241" s="3" t="n"/>
      <c r="L241" s="10" t="n"/>
      <c r="M241" s="6" t="n"/>
      <c r="N2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41" s="3">
        <f>IF(tblOrdenes[[#This Row],[fecha_inicio]]="","",YEAR(tblOrdenes[[#This Row],[fecha_inicio]]))</f>
        <v/>
      </c>
      <c r="R241" s="3">
        <f>IF(tblOrdenes[[#This Row],[fecha_inicio]]="","",MONTH(tblOrdenes[[#This Row],[fecha_inicio]]))</f>
        <v/>
      </c>
      <c r="S241" s="3">
        <f>IF(tblOrdenes[[#This Row],[fecha_inicio]]="","",INDEX(lista_dias,WEEKDAY(tblOrdenes[[#This Row],[fecha_inicio]],2)))</f>
        <v/>
      </c>
      <c r="T241" s="3">
        <f>IF(tblOrdenes[[#This Row],[tipo_ot]]="","",_xlfn.XLOOKUP(tblOrdenes[[#This Row],[tipo_ot]],tblTiposOT[codigo],tblTiposOT[clasificacion],"sin_clasificar"))</f>
        <v/>
      </c>
      <c r="U241" s="3">
        <f>IF(tblOrdenes[[#This Row],[centro_costo]]="","",_xlfn.XLOOKUP(tblOrdenes[[#This Row],[centro_costo]],tblCECO[codigo],tblCECO[linea],"(sin catálogo)"))</f>
        <v/>
      </c>
      <c r="V241" s="3">
        <f>IF(tblOrdenes[[#This Row],[centro_costo]]="","",_xlfn.XLOOKUP(tblOrdenes[[#This Row],[centro_costo]],tblCECO[codigo],tblCECO[area],"(sin catálogo)"))</f>
        <v/>
      </c>
      <c r="W241" s="3">
        <f>IF(tblOrdenes[[#This Row],[centro_costo]]="","",_xlfn.XLOOKUP(tblOrdenes[[#This Row],[centro_costo]],tblCECO[codigo],tblCECO[coordinador],"(sin catálogo)"))</f>
        <v/>
      </c>
      <c r="X241" s="3">
        <f>IF(tblOrdenes[[#This Row],[puesto_trabajo]]="","",_xlfn.XLOOKUP(tblOrdenes[[#This Row],[puesto_trabajo]],tblPuestos[codigo],tblPuestos[especialidad],"(sin catálogo)"))</f>
        <v/>
      </c>
      <c r="Y241" s="3">
        <f>IF(tblOrdenes[[#This Row],[cod_actividad]]="","",_xlfn.XLOOKUP(tblOrdenes[[#This Row],[cod_actividad]],tblActividades[codigo],tblActividades[descripcion],"(sin catálogo)"))</f>
        <v/>
      </c>
      <c r="Z241" s="12">
        <f>IF(tblOrdenes[[#This Row],[fecha_inicio]]="","",TODAY()-tblOrdenes[[#This Row],[fecha_inicio]])</f>
        <v/>
      </c>
      <c r="AA241" s="3">
        <f>IF(tblOrdenes[[#This Row],[backlog_dias]]="","",IF(tblOrdenes[[#This Row],[backlog_dias]]&lt;0,"FUTURO",IF(tblOrdenes[[#This Row],[backlog_dias]]&gt;p_dias_backlog_max,"BACKLOG","MES CORRIENTE")))</f>
        <v/>
      </c>
      <c r="AB241" s="3">
        <f>IF(tblOrdenes[[#This Row],[backlog_dias]]="",FALSE,AND(tblOrdenes[[#This Row],[backlog_dias]]&gt;p_dias_backlog_min,tblOrdenes[[#This Row],[backlog_dias]]&lt;=p_dias_backlog_max))</f>
        <v/>
      </c>
      <c r="AC241" s="6" t="n"/>
      <c r="AD2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41" s="10">
        <f>IF(tblOrdenes[[#This Row],[orden]]="","",_xlfn.XLOOKUP(tblOrdenes[[#This Row],[id_operacion]],tblEjecucion[id_operacion],tblEjecucion[precio],0))</f>
        <v/>
      </c>
      <c r="AH241" s="10">
        <f>IF(tblOrdenes[[#This Row],[orden]]="","",MAX(0,_xlfn.XLOOKUP(tblOrdenes[[#This Row],[id_operacion]],tblEjecucion[id_operacion],tblEjecucion[costo_plan_total],0)-tblOrdenes[[#This Row],[costo_servicio]]))</f>
        <v/>
      </c>
      <c r="AI241" s="10">
        <f>IF(tblOrdenes[[#This Row],[orden]]="","",tblOrdenes[[#This Row],[costo_servicio]]+tblOrdenes[[#This Row],[costo_materiales]])</f>
        <v/>
      </c>
      <c r="AJ241" s="6" t="n"/>
      <c r="AK241" s="6" t="n"/>
      <c r="AL241" s="6" t="n"/>
      <c r="AM241" s="3">
        <f>IF(tblOrdenes[[#This Row],[link_checklist]]="","",HYPERLINK(p_ruta_base_checklists&amp;tblOrdenes[[#This Row],[link_checklist]],"abrir"))</f>
        <v/>
      </c>
      <c r="AN241" s="6" t="n"/>
      <c r="AO241" s="3">
        <f>IF(tblOrdenes[[#This Row],[orden]]="","",tblOrdenes[[#This Row],[orden]]&amp;IF(tblOrdenes[[#This Row],[operacion]]="","0010",tblOrdenes[[#This Row],[operacion]]))</f>
        <v/>
      </c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11" t="n"/>
      <c r="K242" s="3" t="n"/>
      <c r="L242" s="10" t="n"/>
      <c r="M242" s="6" t="n"/>
      <c r="N2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42" s="3">
        <f>IF(tblOrdenes[[#This Row],[fecha_inicio]]="","",YEAR(tblOrdenes[[#This Row],[fecha_inicio]]))</f>
        <v/>
      </c>
      <c r="R242" s="3">
        <f>IF(tblOrdenes[[#This Row],[fecha_inicio]]="","",MONTH(tblOrdenes[[#This Row],[fecha_inicio]]))</f>
        <v/>
      </c>
      <c r="S242" s="3">
        <f>IF(tblOrdenes[[#This Row],[fecha_inicio]]="","",INDEX(lista_dias,WEEKDAY(tblOrdenes[[#This Row],[fecha_inicio]],2)))</f>
        <v/>
      </c>
      <c r="T242" s="3">
        <f>IF(tblOrdenes[[#This Row],[tipo_ot]]="","",_xlfn.XLOOKUP(tblOrdenes[[#This Row],[tipo_ot]],tblTiposOT[codigo],tblTiposOT[clasificacion],"sin_clasificar"))</f>
        <v/>
      </c>
      <c r="U242" s="3">
        <f>IF(tblOrdenes[[#This Row],[centro_costo]]="","",_xlfn.XLOOKUP(tblOrdenes[[#This Row],[centro_costo]],tblCECO[codigo],tblCECO[linea],"(sin catálogo)"))</f>
        <v/>
      </c>
      <c r="V242" s="3">
        <f>IF(tblOrdenes[[#This Row],[centro_costo]]="","",_xlfn.XLOOKUP(tblOrdenes[[#This Row],[centro_costo]],tblCECO[codigo],tblCECO[area],"(sin catálogo)"))</f>
        <v/>
      </c>
      <c r="W242" s="3">
        <f>IF(tblOrdenes[[#This Row],[centro_costo]]="","",_xlfn.XLOOKUP(tblOrdenes[[#This Row],[centro_costo]],tblCECO[codigo],tblCECO[coordinador],"(sin catálogo)"))</f>
        <v/>
      </c>
      <c r="X242" s="3">
        <f>IF(tblOrdenes[[#This Row],[puesto_trabajo]]="","",_xlfn.XLOOKUP(tblOrdenes[[#This Row],[puesto_trabajo]],tblPuestos[codigo],tblPuestos[especialidad],"(sin catálogo)"))</f>
        <v/>
      </c>
      <c r="Y242" s="3">
        <f>IF(tblOrdenes[[#This Row],[cod_actividad]]="","",_xlfn.XLOOKUP(tblOrdenes[[#This Row],[cod_actividad]],tblActividades[codigo],tblActividades[descripcion],"(sin catálogo)"))</f>
        <v/>
      </c>
      <c r="Z242" s="12">
        <f>IF(tblOrdenes[[#This Row],[fecha_inicio]]="","",TODAY()-tblOrdenes[[#This Row],[fecha_inicio]])</f>
        <v/>
      </c>
      <c r="AA242" s="3">
        <f>IF(tblOrdenes[[#This Row],[backlog_dias]]="","",IF(tblOrdenes[[#This Row],[backlog_dias]]&lt;0,"FUTURO",IF(tblOrdenes[[#This Row],[backlog_dias]]&gt;p_dias_backlog_max,"BACKLOG","MES CORRIENTE")))</f>
        <v/>
      </c>
      <c r="AB242" s="3">
        <f>IF(tblOrdenes[[#This Row],[backlog_dias]]="",FALSE,AND(tblOrdenes[[#This Row],[backlog_dias]]&gt;p_dias_backlog_min,tblOrdenes[[#This Row],[backlog_dias]]&lt;=p_dias_backlog_max))</f>
        <v/>
      </c>
      <c r="AC242" s="6" t="n"/>
      <c r="AD2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42" s="10">
        <f>IF(tblOrdenes[[#This Row],[orden]]="","",_xlfn.XLOOKUP(tblOrdenes[[#This Row],[id_operacion]],tblEjecucion[id_operacion],tblEjecucion[precio],0))</f>
        <v/>
      </c>
      <c r="AH242" s="10">
        <f>IF(tblOrdenes[[#This Row],[orden]]="","",MAX(0,_xlfn.XLOOKUP(tblOrdenes[[#This Row],[id_operacion]],tblEjecucion[id_operacion],tblEjecucion[costo_plan_total],0)-tblOrdenes[[#This Row],[costo_servicio]]))</f>
        <v/>
      </c>
      <c r="AI242" s="10">
        <f>IF(tblOrdenes[[#This Row],[orden]]="","",tblOrdenes[[#This Row],[costo_servicio]]+tblOrdenes[[#This Row],[costo_materiales]])</f>
        <v/>
      </c>
      <c r="AJ242" s="6" t="n"/>
      <c r="AK242" s="6" t="n"/>
      <c r="AL242" s="6" t="n"/>
      <c r="AM242" s="3">
        <f>IF(tblOrdenes[[#This Row],[link_checklist]]="","",HYPERLINK(p_ruta_base_checklists&amp;tblOrdenes[[#This Row],[link_checklist]],"abrir"))</f>
        <v/>
      </c>
      <c r="AN242" s="6" t="n"/>
      <c r="AO242" s="3">
        <f>IF(tblOrdenes[[#This Row],[orden]]="","",tblOrdenes[[#This Row],[orden]]&amp;IF(tblOrdenes[[#This Row],[operacion]]="","0010",tblOrdenes[[#This Row],[operacion]]))</f>
        <v/>
      </c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11" t="n"/>
      <c r="K243" s="3" t="n"/>
      <c r="L243" s="10" t="n"/>
      <c r="M243" s="6" t="n"/>
      <c r="N2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43" s="3">
        <f>IF(tblOrdenes[[#This Row],[fecha_inicio]]="","",YEAR(tblOrdenes[[#This Row],[fecha_inicio]]))</f>
        <v/>
      </c>
      <c r="R243" s="3">
        <f>IF(tblOrdenes[[#This Row],[fecha_inicio]]="","",MONTH(tblOrdenes[[#This Row],[fecha_inicio]]))</f>
        <v/>
      </c>
      <c r="S243" s="3">
        <f>IF(tblOrdenes[[#This Row],[fecha_inicio]]="","",INDEX(lista_dias,WEEKDAY(tblOrdenes[[#This Row],[fecha_inicio]],2)))</f>
        <v/>
      </c>
      <c r="T243" s="3">
        <f>IF(tblOrdenes[[#This Row],[tipo_ot]]="","",_xlfn.XLOOKUP(tblOrdenes[[#This Row],[tipo_ot]],tblTiposOT[codigo],tblTiposOT[clasificacion],"sin_clasificar"))</f>
        <v/>
      </c>
      <c r="U243" s="3">
        <f>IF(tblOrdenes[[#This Row],[centro_costo]]="","",_xlfn.XLOOKUP(tblOrdenes[[#This Row],[centro_costo]],tblCECO[codigo],tblCECO[linea],"(sin catálogo)"))</f>
        <v/>
      </c>
      <c r="V243" s="3">
        <f>IF(tblOrdenes[[#This Row],[centro_costo]]="","",_xlfn.XLOOKUP(tblOrdenes[[#This Row],[centro_costo]],tblCECO[codigo],tblCECO[area],"(sin catálogo)"))</f>
        <v/>
      </c>
      <c r="W243" s="3">
        <f>IF(tblOrdenes[[#This Row],[centro_costo]]="","",_xlfn.XLOOKUP(tblOrdenes[[#This Row],[centro_costo]],tblCECO[codigo],tblCECO[coordinador],"(sin catálogo)"))</f>
        <v/>
      </c>
      <c r="X243" s="3">
        <f>IF(tblOrdenes[[#This Row],[puesto_trabajo]]="","",_xlfn.XLOOKUP(tblOrdenes[[#This Row],[puesto_trabajo]],tblPuestos[codigo],tblPuestos[especialidad],"(sin catálogo)"))</f>
        <v/>
      </c>
      <c r="Y243" s="3">
        <f>IF(tblOrdenes[[#This Row],[cod_actividad]]="","",_xlfn.XLOOKUP(tblOrdenes[[#This Row],[cod_actividad]],tblActividades[codigo],tblActividades[descripcion],"(sin catálogo)"))</f>
        <v/>
      </c>
      <c r="Z243" s="12">
        <f>IF(tblOrdenes[[#This Row],[fecha_inicio]]="","",TODAY()-tblOrdenes[[#This Row],[fecha_inicio]])</f>
        <v/>
      </c>
      <c r="AA243" s="3">
        <f>IF(tblOrdenes[[#This Row],[backlog_dias]]="","",IF(tblOrdenes[[#This Row],[backlog_dias]]&lt;0,"FUTURO",IF(tblOrdenes[[#This Row],[backlog_dias]]&gt;p_dias_backlog_max,"BACKLOG","MES CORRIENTE")))</f>
        <v/>
      </c>
      <c r="AB243" s="3">
        <f>IF(tblOrdenes[[#This Row],[backlog_dias]]="",FALSE,AND(tblOrdenes[[#This Row],[backlog_dias]]&gt;p_dias_backlog_min,tblOrdenes[[#This Row],[backlog_dias]]&lt;=p_dias_backlog_max))</f>
        <v/>
      </c>
      <c r="AC243" s="6" t="n"/>
      <c r="AD2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43" s="10">
        <f>IF(tblOrdenes[[#This Row],[orden]]="","",_xlfn.XLOOKUP(tblOrdenes[[#This Row],[id_operacion]],tblEjecucion[id_operacion],tblEjecucion[precio],0))</f>
        <v/>
      </c>
      <c r="AH243" s="10">
        <f>IF(tblOrdenes[[#This Row],[orden]]="","",MAX(0,_xlfn.XLOOKUP(tblOrdenes[[#This Row],[id_operacion]],tblEjecucion[id_operacion],tblEjecucion[costo_plan_total],0)-tblOrdenes[[#This Row],[costo_servicio]]))</f>
        <v/>
      </c>
      <c r="AI243" s="10">
        <f>IF(tblOrdenes[[#This Row],[orden]]="","",tblOrdenes[[#This Row],[costo_servicio]]+tblOrdenes[[#This Row],[costo_materiales]])</f>
        <v/>
      </c>
      <c r="AJ243" s="6" t="n"/>
      <c r="AK243" s="6" t="n"/>
      <c r="AL243" s="6" t="n"/>
      <c r="AM243" s="3">
        <f>IF(tblOrdenes[[#This Row],[link_checklist]]="","",HYPERLINK(p_ruta_base_checklists&amp;tblOrdenes[[#This Row],[link_checklist]],"abrir"))</f>
        <v/>
      </c>
      <c r="AN243" s="6" t="n"/>
      <c r="AO243" s="3">
        <f>IF(tblOrdenes[[#This Row],[orden]]="","",tblOrdenes[[#This Row],[orden]]&amp;IF(tblOrdenes[[#This Row],[operacion]]="","0010",tblOrdenes[[#This Row],[operacion]]))</f>
        <v/>
      </c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11" t="n"/>
      <c r="K244" s="3" t="n"/>
      <c r="L244" s="10" t="n"/>
      <c r="M244" s="6" t="n"/>
      <c r="N2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44" s="3">
        <f>IF(tblOrdenes[[#This Row],[fecha_inicio]]="","",YEAR(tblOrdenes[[#This Row],[fecha_inicio]]))</f>
        <v/>
      </c>
      <c r="R244" s="3">
        <f>IF(tblOrdenes[[#This Row],[fecha_inicio]]="","",MONTH(tblOrdenes[[#This Row],[fecha_inicio]]))</f>
        <v/>
      </c>
      <c r="S244" s="3">
        <f>IF(tblOrdenes[[#This Row],[fecha_inicio]]="","",INDEX(lista_dias,WEEKDAY(tblOrdenes[[#This Row],[fecha_inicio]],2)))</f>
        <v/>
      </c>
      <c r="T244" s="3">
        <f>IF(tblOrdenes[[#This Row],[tipo_ot]]="","",_xlfn.XLOOKUP(tblOrdenes[[#This Row],[tipo_ot]],tblTiposOT[codigo],tblTiposOT[clasificacion],"sin_clasificar"))</f>
        <v/>
      </c>
      <c r="U244" s="3">
        <f>IF(tblOrdenes[[#This Row],[centro_costo]]="","",_xlfn.XLOOKUP(tblOrdenes[[#This Row],[centro_costo]],tblCECO[codigo],tblCECO[linea],"(sin catálogo)"))</f>
        <v/>
      </c>
      <c r="V244" s="3">
        <f>IF(tblOrdenes[[#This Row],[centro_costo]]="","",_xlfn.XLOOKUP(tblOrdenes[[#This Row],[centro_costo]],tblCECO[codigo],tblCECO[area],"(sin catálogo)"))</f>
        <v/>
      </c>
      <c r="W244" s="3">
        <f>IF(tblOrdenes[[#This Row],[centro_costo]]="","",_xlfn.XLOOKUP(tblOrdenes[[#This Row],[centro_costo]],tblCECO[codigo],tblCECO[coordinador],"(sin catálogo)"))</f>
        <v/>
      </c>
      <c r="X244" s="3">
        <f>IF(tblOrdenes[[#This Row],[puesto_trabajo]]="","",_xlfn.XLOOKUP(tblOrdenes[[#This Row],[puesto_trabajo]],tblPuestos[codigo],tblPuestos[especialidad],"(sin catálogo)"))</f>
        <v/>
      </c>
      <c r="Y244" s="3">
        <f>IF(tblOrdenes[[#This Row],[cod_actividad]]="","",_xlfn.XLOOKUP(tblOrdenes[[#This Row],[cod_actividad]],tblActividades[codigo],tblActividades[descripcion],"(sin catálogo)"))</f>
        <v/>
      </c>
      <c r="Z244" s="12">
        <f>IF(tblOrdenes[[#This Row],[fecha_inicio]]="","",TODAY()-tblOrdenes[[#This Row],[fecha_inicio]])</f>
        <v/>
      </c>
      <c r="AA244" s="3">
        <f>IF(tblOrdenes[[#This Row],[backlog_dias]]="","",IF(tblOrdenes[[#This Row],[backlog_dias]]&lt;0,"FUTURO",IF(tblOrdenes[[#This Row],[backlog_dias]]&gt;p_dias_backlog_max,"BACKLOG","MES CORRIENTE")))</f>
        <v/>
      </c>
      <c r="AB244" s="3">
        <f>IF(tblOrdenes[[#This Row],[backlog_dias]]="",FALSE,AND(tblOrdenes[[#This Row],[backlog_dias]]&gt;p_dias_backlog_min,tblOrdenes[[#This Row],[backlog_dias]]&lt;=p_dias_backlog_max))</f>
        <v/>
      </c>
      <c r="AC244" s="6" t="n"/>
      <c r="AD2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44" s="10">
        <f>IF(tblOrdenes[[#This Row],[orden]]="","",_xlfn.XLOOKUP(tblOrdenes[[#This Row],[id_operacion]],tblEjecucion[id_operacion],tblEjecucion[precio],0))</f>
        <v/>
      </c>
      <c r="AH244" s="10">
        <f>IF(tblOrdenes[[#This Row],[orden]]="","",MAX(0,_xlfn.XLOOKUP(tblOrdenes[[#This Row],[id_operacion]],tblEjecucion[id_operacion],tblEjecucion[costo_plan_total],0)-tblOrdenes[[#This Row],[costo_servicio]]))</f>
        <v/>
      </c>
      <c r="AI244" s="10">
        <f>IF(tblOrdenes[[#This Row],[orden]]="","",tblOrdenes[[#This Row],[costo_servicio]]+tblOrdenes[[#This Row],[costo_materiales]])</f>
        <v/>
      </c>
      <c r="AJ244" s="6" t="n"/>
      <c r="AK244" s="6" t="n"/>
      <c r="AL244" s="6" t="n"/>
      <c r="AM244" s="3">
        <f>IF(tblOrdenes[[#This Row],[link_checklist]]="","",HYPERLINK(p_ruta_base_checklists&amp;tblOrdenes[[#This Row],[link_checklist]],"abrir"))</f>
        <v/>
      </c>
      <c r="AN244" s="6" t="n"/>
      <c r="AO244" s="3">
        <f>IF(tblOrdenes[[#This Row],[orden]]="","",tblOrdenes[[#This Row],[orden]]&amp;IF(tblOrdenes[[#This Row],[operacion]]="","0010",tblOrdenes[[#This Row],[operacion]]))</f>
        <v/>
      </c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11" t="n"/>
      <c r="K245" s="3" t="n"/>
      <c r="L245" s="10" t="n"/>
      <c r="M245" s="6" t="n"/>
      <c r="N2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45" s="3">
        <f>IF(tblOrdenes[[#This Row],[fecha_inicio]]="","",YEAR(tblOrdenes[[#This Row],[fecha_inicio]]))</f>
        <v/>
      </c>
      <c r="R245" s="3">
        <f>IF(tblOrdenes[[#This Row],[fecha_inicio]]="","",MONTH(tblOrdenes[[#This Row],[fecha_inicio]]))</f>
        <v/>
      </c>
      <c r="S245" s="3">
        <f>IF(tblOrdenes[[#This Row],[fecha_inicio]]="","",INDEX(lista_dias,WEEKDAY(tblOrdenes[[#This Row],[fecha_inicio]],2)))</f>
        <v/>
      </c>
      <c r="T245" s="3">
        <f>IF(tblOrdenes[[#This Row],[tipo_ot]]="","",_xlfn.XLOOKUP(tblOrdenes[[#This Row],[tipo_ot]],tblTiposOT[codigo],tblTiposOT[clasificacion],"sin_clasificar"))</f>
        <v/>
      </c>
      <c r="U245" s="3">
        <f>IF(tblOrdenes[[#This Row],[centro_costo]]="","",_xlfn.XLOOKUP(tblOrdenes[[#This Row],[centro_costo]],tblCECO[codigo],tblCECO[linea],"(sin catálogo)"))</f>
        <v/>
      </c>
      <c r="V245" s="3">
        <f>IF(tblOrdenes[[#This Row],[centro_costo]]="","",_xlfn.XLOOKUP(tblOrdenes[[#This Row],[centro_costo]],tblCECO[codigo],tblCECO[area],"(sin catálogo)"))</f>
        <v/>
      </c>
      <c r="W245" s="3">
        <f>IF(tblOrdenes[[#This Row],[centro_costo]]="","",_xlfn.XLOOKUP(tblOrdenes[[#This Row],[centro_costo]],tblCECO[codigo],tblCECO[coordinador],"(sin catálogo)"))</f>
        <v/>
      </c>
      <c r="X245" s="3">
        <f>IF(tblOrdenes[[#This Row],[puesto_trabajo]]="","",_xlfn.XLOOKUP(tblOrdenes[[#This Row],[puesto_trabajo]],tblPuestos[codigo],tblPuestos[especialidad],"(sin catálogo)"))</f>
        <v/>
      </c>
      <c r="Y245" s="3">
        <f>IF(tblOrdenes[[#This Row],[cod_actividad]]="","",_xlfn.XLOOKUP(tblOrdenes[[#This Row],[cod_actividad]],tblActividades[codigo],tblActividades[descripcion],"(sin catálogo)"))</f>
        <v/>
      </c>
      <c r="Z245" s="12">
        <f>IF(tblOrdenes[[#This Row],[fecha_inicio]]="","",TODAY()-tblOrdenes[[#This Row],[fecha_inicio]])</f>
        <v/>
      </c>
      <c r="AA245" s="3">
        <f>IF(tblOrdenes[[#This Row],[backlog_dias]]="","",IF(tblOrdenes[[#This Row],[backlog_dias]]&lt;0,"FUTURO",IF(tblOrdenes[[#This Row],[backlog_dias]]&gt;p_dias_backlog_max,"BACKLOG","MES CORRIENTE")))</f>
        <v/>
      </c>
      <c r="AB245" s="3">
        <f>IF(tblOrdenes[[#This Row],[backlog_dias]]="",FALSE,AND(tblOrdenes[[#This Row],[backlog_dias]]&gt;p_dias_backlog_min,tblOrdenes[[#This Row],[backlog_dias]]&lt;=p_dias_backlog_max))</f>
        <v/>
      </c>
      <c r="AC245" s="6" t="n"/>
      <c r="AD2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45" s="10">
        <f>IF(tblOrdenes[[#This Row],[orden]]="","",_xlfn.XLOOKUP(tblOrdenes[[#This Row],[id_operacion]],tblEjecucion[id_operacion],tblEjecucion[precio],0))</f>
        <v/>
      </c>
      <c r="AH245" s="10">
        <f>IF(tblOrdenes[[#This Row],[orden]]="","",MAX(0,_xlfn.XLOOKUP(tblOrdenes[[#This Row],[id_operacion]],tblEjecucion[id_operacion],tblEjecucion[costo_plan_total],0)-tblOrdenes[[#This Row],[costo_servicio]]))</f>
        <v/>
      </c>
      <c r="AI245" s="10">
        <f>IF(tblOrdenes[[#This Row],[orden]]="","",tblOrdenes[[#This Row],[costo_servicio]]+tblOrdenes[[#This Row],[costo_materiales]])</f>
        <v/>
      </c>
      <c r="AJ245" s="6" t="n"/>
      <c r="AK245" s="6" t="n"/>
      <c r="AL245" s="6" t="n"/>
      <c r="AM245" s="3">
        <f>IF(tblOrdenes[[#This Row],[link_checklist]]="","",HYPERLINK(p_ruta_base_checklists&amp;tblOrdenes[[#This Row],[link_checklist]],"abrir"))</f>
        <v/>
      </c>
      <c r="AN245" s="6" t="n"/>
      <c r="AO245" s="3">
        <f>IF(tblOrdenes[[#This Row],[orden]]="","",tblOrdenes[[#This Row],[orden]]&amp;IF(tblOrdenes[[#This Row],[operacion]]="","0010",tblOrdenes[[#This Row],[operacion]]))</f>
        <v/>
      </c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11" t="n"/>
      <c r="K246" s="3" t="n"/>
      <c r="L246" s="10" t="n"/>
      <c r="M246" s="6" t="n"/>
      <c r="N2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46" s="3">
        <f>IF(tblOrdenes[[#This Row],[fecha_inicio]]="","",YEAR(tblOrdenes[[#This Row],[fecha_inicio]]))</f>
        <v/>
      </c>
      <c r="R246" s="3">
        <f>IF(tblOrdenes[[#This Row],[fecha_inicio]]="","",MONTH(tblOrdenes[[#This Row],[fecha_inicio]]))</f>
        <v/>
      </c>
      <c r="S246" s="3">
        <f>IF(tblOrdenes[[#This Row],[fecha_inicio]]="","",INDEX(lista_dias,WEEKDAY(tblOrdenes[[#This Row],[fecha_inicio]],2)))</f>
        <v/>
      </c>
      <c r="T246" s="3">
        <f>IF(tblOrdenes[[#This Row],[tipo_ot]]="","",_xlfn.XLOOKUP(tblOrdenes[[#This Row],[tipo_ot]],tblTiposOT[codigo],tblTiposOT[clasificacion],"sin_clasificar"))</f>
        <v/>
      </c>
      <c r="U246" s="3">
        <f>IF(tblOrdenes[[#This Row],[centro_costo]]="","",_xlfn.XLOOKUP(tblOrdenes[[#This Row],[centro_costo]],tblCECO[codigo],tblCECO[linea],"(sin catálogo)"))</f>
        <v/>
      </c>
      <c r="V246" s="3">
        <f>IF(tblOrdenes[[#This Row],[centro_costo]]="","",_xlfn.XLOOKUP(tblOrdenes[[#This Row],[centro_costo]],tblCECO[codigo],tblCECO[area],"(sin catálogo)"))</f>
        <v/>
      </c>
      <c r="W246" s="3">
        <f>IF(tblOrdenes[[#This Row],[centro_costo]]="","",_xlfn.XLOOKUP(tblOrdenes[[#This Row],[centro_costo]],tblCECO[codigo],tblCECO[coordinador],"(sin catálogo)"))</f>
        <v/>
      </c>
      <c r="X246" s="3">
        <f>IF(tblOrdenes[[#This Row],[puesto_trabajo]]="","",_xlfn.XLOOKUP(tblOrdenes[[#This Row],[puesto_trabajo]],tblPuestos[codigo],tblPuestos[especialidad],"(sin catálogo)"))</f>
        <v/>
      </c>
      <c r="Y246" s="3">
        <f>IF(tblOrdenes[[#This Row],[cod_actividad]]="","",_xlfn.XLOOKUP(tblOrdenes[[#This Row],[cod_actividad]],tblActividades[codigo],tblActividades[descripcion],"(sin catálogo)"))</f>
        <v/>
      </c>
      <c r="Z246" s="12">
        <f>IF(tblOrdenes[[#This Row],[fecha_inicio]]="","",TODAY()-tblOrdenes[[#This Row],[fecha_inicio]])</f>
        <v/>
      </c>
      <c r="AA246" s="3">
        <f>IF(tblOrdenes[[#This Row],[backlog_dias]]="","",IF(tblOrdenes[[#This Row],[backlog_dias]]&lt;0,"FUTURO",IF(tblOrdenes[[#This Row],[backlog_dias]]&gt;p_dias_backlog_max,"BACKLOG","MES CORRIENTE")))</f>
        <v/>
      </c>
      <c r="AB246" s="3">
        <f>IF(tblOrdenes[[#This Row],[backlog_dias]]="",FALSE,AND(tblOrdenes[[#This Row],[backlog_dias]]&gt;p_dias_backlog_min,tblOrdenes[[#This Row],[backlog_dias]]&lt;=p_dias_backlog_max))</f>
        <v/>
      </c>
      <c r="AC246" s="6" t="n"/>
      <c r="AD2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46" s="10">
        <f>IF(tblOrdenes[[#This Row],[orden]]="","",_xlfn.XLOOKUP(tblOrdenes[[#This Row],[id_operacion]],tblEjecucion[id_operacion],tblEjecucion[precio],0))</f>
        <v/>
      </c>
      <c r="AH246" s="10">
        <f>IF(tblOrdenes[[#This Row],[orden]]="","",MAX(0,_xlfn.XLOOKUP(tblOrdenes[[#This Row],[id_operacion]],tblEjecucion[id_operacion],tblEjecucion[costo_plan_total],0)-tblOrdenes[[#This Row],[costo_servicio]]))</f>
        <v/>
      </c>
      <c r="AI246" s="10">
        <f>IF(tblOrdenes[[#This Row],[orden]]="","",tblOrdenes[[#This Row],[costo_servicio]]+tblOrdenes[[#This Row],[costo_materiales]])</f>
        <v/>
      </c>
      <c r="AJ246" s="6" t="n"/>
      <c r="AK246" s="6" t="n"/>
      <c r="AL246" s="6" t="n"/>
      <c r="AM246" s="3">
        <f>IF(tblOrdenes[[#This Row],[link_checklist]]="","",HYPERLINK(p_ruta_base_checklists&amp;tblOrdenes[[#This Row],[link_checklist]],"abrir"))</f>
        <v/>
      </c>
      <c r="AN246" s="6" t="n"/>
      <c r="AO246" s="3">
        <f>IF(tblOrdenes[[#This Row],[orden]]="","",tblOrdenes[[#This Row],[orden]]&amp;IF(tblOrdenes[[#This Row],[operacion]]="","0010",tblOrdenes[[#This Row],[operacion]]))</f>
        <v/>
      </c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11" t="n"/>
      <c r="K247" s="3" t="n"/>
      <c r="L247" s="10" t="n"/>
      <c r="M247" s="6" t="n"/>
      <c r="N2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47" s="3">
        <f>IF(tblOrdenes[[#This Row],[fecha_inicio]]="","",YEAR(tblOrdenes[[#This Row],[fecha_inicio]]))</f>
        <v/>
      </c>
      <c r="R247" s="3">
        <f>IF(tblOrdenes[[#This Row],[fecha_inicio]]="","",MONTH(tblOrdenes[[#This Row],[fecha_inicio]]))</f>
        <v/>
      </c>
      <c r="S247" s="3">
        <f>IF(tblOrdenes[[#This Row],[fecha_inicio]]="","",INDEX(lista_dias,WEEKDAY(tblOrdenes[[#This Row],[fecha_inicio]],2)))</f>
        <v/>
      </c>
      <c r="T247" s="3">
        <f>IF(tblOrdenes[[#This Row],[tipo_ot]]="","",_xlfn.XLOOKUP(tblOrdenes[[#This Row],[tipo_ot]],tblTiposOT[codigo],tblTiposOT[clasificacion],"sin_clasificar"))</f>
        <v/>
      </c>
      <c r="U247" s="3">
        <f>IF(tblOrdenes[[#This Row],[centro_costo]]="","",_xlfn.XLOOKUP(tblOrdenes[[#This Row],[centro_costo]],tblCECO[codigo],tblCECO[linea],"(sin catálogo)"))</f>
        <v/>
      </c>
      <c r="V247" s="3">
        <f>IF(tblOrdenes[[#This Row],[centro_costo]]="","",_xlfn.XLOOKUP(tblOrdenes[[#This Row],[centro_costo]],tblCECO[codigo],tblCECO[area],"(sin catálogo)"))</f>
        <v/>
      </c>
      <c r="W247" s="3">
        <f>IF(tblOrdenes[[#This Row],[centro_costo]]="","",_xlfn.XLOOKUP(tblOrdenes[[#This Row],[centro_costo]],tblCECO[codigo],tblCECO[coordinador],"(sin catálogo)"))</f>
        <v/>
      </c>
      <c r="X247" s="3">
        <f>IF(tblOrdenes[[#This Row],[puesto_trabajo]]="","",_xlfn.XLOOKUP(tblOrdenes[[#This Row],[puesto_trabajo]],tblPuestos[codigo],tblPuestos[especialidad],"(sin catálogo)"))</f>
        <v/>
      </c>
      <c r="Y247" s="3">
        <f>IF(tblOrdenes[[#This Row],[cod_actividad]]="","",_xlfn.XLOOKUP(tblOrdenes[[#This Row],[cod_actividad]],tblActividades[codigo],tblActividades[descripcion],"(sin catálogo)"))</f>
        <v/>
      </c>
      <c r="Z247" s="12">
        <f>IF(tblOrdenes[[#This Row],[fecha_inicio]]="","",TODAY()-tblOrdenes[[#This Row],[fecha_inicio]])</f>
        <v/>
      </c>
      <c r="AA247" s="3">
        <f>IF(tblOrdenes[[#This Row],[backlog_dias]]="","",IF(tblOrdenes[[#This Row],[backlog_dias]]&lt;0,"FUTURO",IF(tblOrdenes[[#This Row],[backlog_dias]]&gt;p_dias_backlog_max,"BACKLOG","MES CORRIENTE")))</f>
        <v/>
      </c>
      <c r="AB247" s="3">
        <f>IF(tblOrdenes[[#This Row],[backlog_dias]]="",FALSE,AND(tblOrdenes[[#This Row],[backlog_dias]]&gt;p_dias_backlog_min,tblOrdenes[[#This Row],[backlog_dias]]&lt;=p_dias_backlog_max))</f>
        <v/>
      </c>
      <c r="AC247" s="6" t="n"/>
      <c r="AD2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47" s="10">
        <f>IF(tblOrdenes[[#This Row],[orden]]="","",_xlfn.XLOOKUP(tblOrdenes[[#This Row],[id_operacion]],tblEjecucion[id_operacion],tblEjecucion[precio],0))</f>
        <v/>
      </c>
      <c r="AH247" s="10">
        <f>IF(tblOrdenes[[#This Row],[orden]]="","",MAX(0,_xlfn.XLOOKUP(tblOrdenes[[#This Row],[id_operacion]],tblEjecucion[id_operacion],tblEjecucion[costo_plan_total],0)-tblOrdenes[[#This Row],[costo_servicio]]))</f>
        <v/>
      </c>
      <c r="AI247" s="10">
        <f>IF(tblOrdenes[[#This Row],[orden]]="","",tblOrdenes[[#This Row],[costo_servicio]]+tblOrdenes[[#This Row],[costo_materiales]])</f>
        <v/>
      </c>
      <c r="AJ247" s="6" t="n"/>
      <c r="AK247" s="6" t="n"/>
      <c r="AL247" s="6" t="n"/>
      <c r="AM247" s="3">
        <f>IF(tblOrdenes[[#This Row],[link_checklist]]="","",HYPERLINK(p_ruta_base_checklists&amp;tblOrdenes[[#This Row],[link_checklist]],"abrir"))</f>
        <v/>
      </c>
      <c r="AN247" s="6" t="n"/>
      <c r="AO247" s="3">
        <f>IF(tblOrdenes[[#This Row],[orden]]="","",tblOrdenes[[#This Row],[orden]]&amp;IF(tblOrdenes[[#This Row],[operacion]]="","0010",tblOrdenes[[#This Row],[operacion]]))</f>
        <v/>
      </c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11" t="n"/>
      <c r="K248" s="3" t="n"/>
      <c r="L248" s="10" t="n"/>
      <c r="M248" s="6" t="n"/>
      <c r="N2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48" s="3">
        <f>IF(tblOrdenes[[#This Row],[fecha_inicio]]="","",YEAR(tblOrdenes[[#This Row],[fecha_inicio]]))</f>
        <v/>
      </c>
      <c r="R248" s="3">
        <f>IF(tblOrdenes[[#This Row],[fecha_inicio]]="","",MONTH(tblOrdenes[[#This Row],[fecha_inicio]]))</f>
        <v/>
      </c>
      <c r="S248" s="3">
        <f>IF(tblOrdenes[[#This Row],[fecha_inicio]]="","",INDEX(lista_dias,WEEKDAY(tblOrdenes[[#This Row],[fecha_inicio]],2)))</f>
        <v/>
      </c>
      <c r="T248" s="3">
        <f>IF(tblOrdenes[[#This Row],[tipo_ot]]="","",_xlfn.XLOOKUP(tblOrdenes[[#This Row],[tipo_ot]],tblTiposOT[codigo],tblTiposOT[clasificacion],"sin_clasificar"))</f>
        <v/>
      </c>
      <c r="U248" s="3">
        <f>IF(tblOrdenes[[#This Row],[centro_costo]]="","",_xlfn.XLOOKUP(tblOrdenes[[#This Row],[centro_costo]],tblCECO[codigo],tblCECO[linea],"(sin catálogo)"))</f>
        <v/>
      </c>
      <c r="V248" s="3">
        <f>IF(tblOrdenes[[#This Row],[centro_costo]]="","",_xlfn.XLOOKUP(tblOrdenes[[#This Row],[centro_costo]],tblCECO[codigo],tblCECO[area],"(sin catálogo)"))</f>
        <v/>
      </c>
      <c r="W248" s="3">
        <f>IF(tblOrdenes[[#This Row],[centro_costo]]="","",_xlfn.XLOOKUP(tblOrdenes[[#This Row],[centro_costo]],tblCECO[codigo],tblCECO[coordinador],"(sin catálogo)"))</f>
        <v/>
      </c>
      <c r="X248" s="3">
        <f>IF(tblOrdenes[[#This Row],[puesto_trabajo]]="","",_xlfn.XLOOKUP(tblOrdenes[[#This Row],[puesto_trabajo]],tblPuestos[codigo],tblPuestos[especialidad],"(sin catálogo)"))</f>
        <v/>
      </c>
      <c r="Y248" s="3">
        <f>IF(tblOrdenes[[#This Row],[cod_actividad]]="","",_xlfn.XLOOKUP(tblOrdenes[[#This Row],[cod_actividad]],tblActividades[codigo],tblActividades[descripcion],"(sin catálogo)"))</f>
        <v/>
      </c>
      <c r="Z248" s="12">
        <f>IF(tblOrdenes[[#This Row],[fecha_inicio]]="","",TODAY()-tblOrdenes[[#This Row],[fecha_inicio]])</f>
        <v/>
      </c>
      <c r="AA248" s="3">
        <f>IF(tblOrdenes[[#This Row],[backlog_dias]]="","",IF(tblOrdenes[[#This Row],[backlog_dias]]&lt;0,"FUTURO",IF(tblOrdenes[[#This Row],[backlog_dias]]&gt;p_dias_backlog_max,"BACKLOG","MES CORRIENTE")))</f>
        <v/>
      </c>
      <c r="AB248" s="3">
        <f>IF(tblOrdenes[[#This Row],[backlog_dias]]="",FALSE,AND(tblOrdenes[[#This Row],[backlog_dias]]&gt;p_dias_backlog_min,tblOrdenes[[#This Row],[backlog_dias]]&lt;=p_dias_backlog_max))</f>
        <v/>
      </c>
      <c r="AC248" s="6" t="n"/>
      <c r="AD2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48" s="10">
        <f>IF(tblOrdenes[[#This Row],[orden]]="","",_xlfn.XLOOKUP(tblOrdenes[[#This Row],[id_operacion]],tblEjecucion[id_operacion],tblEjecucion[precio],0))</f>
        <v/>
      </c>
      <c r="AH248" s="10">
        <f>IF(tblOrdenes[[#This Row],[orden]]="","",MAX(0,_xlfn.XLOOKUP(tblOrdenes[[#This Row],[id_operacion]],tblEjecucion[id_operacion],tblEjecucion[costo_plan_total],0)-tblOrdenes[[#This Row],[costo_servicio]]))</f>
        <v/>
      </c>
      <c r="AI248" s="10">
        <f>IF(tblOrdenes[[#This Row],[orden]]="","",tblOrdenes[[#This Row],[costo_servicio]]+tblOrdenes[[#This Row],[costo_materiales]])</f>
        <v/>
      </c>
      <c r="AJ248" s="6" t="n"/>
      <c r="AK248" s="6" t="n"/>
      <c r="AL248" s="6" t="n"/>
      <c r="AM248" s="3">
        <f>IF(tblOrdenes[[#This Row],[link_checklist]]="","",HYPERLINK(p_ruta_base_checklists&amp;tblOrdenes[[#This Row],[link_checklist]],"abrir"))</f>
        <v/>
      </c>
      <c r="AN248" s="6" t="n"/>
      <c r="AO248" s="3">
        <f>IF(tblOrdenes[[#This Row],[orden]]="","",tblOrdenes[[#This Row],[orden]]&amp;IF(tblOrdenes[[#This Row],[operacion]]="","0010",tblOrdenes[[#This Row],[operacion]]))</f>
        <v/>
      </c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11" t="n"/>
      <c r="K249" s="3" t="n"/>
      <c r="L249" s="10" t="n"/>
      <c r="M249" s="6" t="n"/>
      <c r="N2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49" s="3">
        <f>IF(tblOrdenes[[#This Row],[fecha_inicio]]="","",YEAR(tblOrdenes[[#This Row],[fecha_inicio]]))</f>
        <v/>
      </c>
      <c r="R249" s="3">
        <f>IF(tblOrdenes[[#This Row],[fecha_inicio]]="","",MONTH(tblOrdenes[[#This Row],[fecha_inicio]]))</f>
        <v/>
      </c>
      <c r="S249" s="3">
        <f>IF(tblOrdenes[[#This Row],[fecha_inicio]]="","",INDEX(lista_dias,WEEKDAY(tblOrdenes[[#This Row],[fecha_inicio]],2)))</f>
        <v/>
      </c>
      <c r="T249" s="3">
        <f>IF(tblOrdenes[[#This Row],[tipo_ot]]="","",_xlfn.XLOOKUP(tblOrdenes[[#This Row],[tipo_ot]],tblTiposOT[codigo],tblTiposOT[clasificacion],"sin_clasificar"))</f>
        <v/>
      </c>
      <c r="U249" s="3">
        <f>IF(tblOrdenes[[#This Row],[centro_costo]]="","",_xlfn.XLOOKUP(tblOrdenes[[#This Row],[centro_costo]],tblCECO[codigo],tblCECO[linea],"(sin catálogo)"))</f>
        <v/>
      </c>
      <c r="V249" s="3">
        <f>IF(tblOrdenes[[#This Row],[centro_costo]]="","",_xlfn.XLOOKUP(tblOrdenes[[#This Row],[centro_costo]],tblCECO[codigo],tblCECO[area],"(sin catálogo)"))</f>
        <v/>
      </c>
      <c r="W249" s="3">
        <f>IF(tblOrdenes[[#This Row],[centro_costo]]="","",_xlfn.XLOOKUP(tblOrdenes[[#This Row],[centro_costo]],tblCECO[codigo],tblCECO[coordinador],"(sin catálogo)"))</f>
        <v/>
      </c>
      <c r="X249" s="3">
        <f>IF(tblOrdenes[[#This Row],[puesto_trabajo]]="","",_xlfn.XLOOKUP(tblOrdenes[[#This Row],[puesto_trabajo]],tblPuestos[codigo],tblPuestos[especialidad],"(sin catálogo)"))</f>
        <v/>
      </c>
      <c r="Y249" s="3">
        <f>IF(tblOrdenes[[#This Row],[cod_actividad]]="","",_xlfn.XLOOKUP(tblOrdenes[[#This Row],[cod_actividad]],tblActividades[codigo],tblActividades[descripcion],"(sin catálogo)"))</f>
        <v/>
      </c>
      <c r="Z249" s="12">
        <f>IF(tblOrdenes[[#This Row],[fecha_inicio]]="","",TODAY()-tblOrdenes[[#This Row],[fecha_inicio]])</f>
        <v/>
      </c>
      <c r="AA249" s="3">
        <f>IF(tblOrdenes[[#This Row],[backlog_dias]]="","",IF(tblOrdenes[[#This Row],[backlog_dias]]&lt;0,"FUTURO",IF(tblOrdenes[[#This Row],[backlog_dias]]&gt;p_dias_backlog_max,"BACKLOG","MES CORRIENTE")))</f>
        <v/>
      </c>
      <c r="AB249" s="3">
        <f>IF(tblOrdenes[[#This Row],[backlog_dias]]="",FALSE,AND(tblOrdenes[[#This Row],[backlog_dias]]&gt;p_dias_backlog_min,tblOrdenes[[#This Row],[backlog_dias]]&lt;=p_dias_backlog_max))</f>
        <v/>
      </c>
      <c r="AC249" s="6" t="n"/>
      <c r="AD2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49" s="10">
        <f>IF(tblOrdenes[[#This Row],[orden]]="","",_xlfn.XLOOKUP(tblOrdenes[[#This Row],[id_operacion]],tblEjecucion[id_operacion],tblEjecucion[precio],0))</f>
        <v/>
      </c>
      <c r="AH249" s="10">
        <f>IF(tblOrdenes[[#This Row],[orden]]="","",MAX(0,_xlfn.XLOOKUP(tblOrdenes[[#This Row],[id_operacion]],tblEjecucion[id_operacion],tblEjecucion[costo_plan_total],0)-tblOrdenes[[#This Row],[costo_servicio]]))</f>
        <v/>
      </c>
      <c r="AI249" s="10">
        <f>IF(tblOrdenes[[#This Row],[orden]]="","",tblOrdenes[[#This Row],[costo_servicio]]+tblOrdenes[[#This Row],[costo_materiales]])</f>
        <v/>
      </c>
      <c r="AJ249" s="6" t="n"/>
      <c r="AK249" s="6" t="n"/>
      <c r="AL249" s="6" t="n"/>
      <c r="AM249" s="3">
        <f>IF(tblOrdenes[[#This Row],[link_checklist]]="","",HYPERLINK(p_ruta_base_checklists&amp;tblOrdenes[[#This Row],[link_checklist]],"abrir"))</f>
        <v/>
      </c>
      <c r="AN249" s="6" t="n"/>
      <c r="AO249" s="3">
        <f>IF(tblOrdenes[[#This Row],[orden]]="","",tblOrdenes[[#This Row],[orden]]&amp;IF(tblOrdenes[[#This Row],[operacion]]="","0010",tblOrdenes[[#This Row],[operacion]]))</f>
        <v/>
      </c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11" t="n"/>
      <c r="K250" s="3" t="n"/>
      <c r="L250" s="10" t="n"/>
      <c r="M250" s="6" t="n"/>
      <c r="N2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50" s="3">
        <f>IF(tblOrdenes[[#This Row],[fecha_inicio]]="","",YEAR(tblOrdenes[[#This Row],[fecha_inicio]]))</f>
        <v/>
      </c>
      <c r="R250" s="3">
        <f>IF(tblOrdenes[[#This Row],[fecha_inicio]]="","",MONTH(tblOrdenes[[#This Row],[fecha_inicio]]))</f>
        <v/>
      </c>
      <c r="S250" s="3">
        <f>IF(tblOrdenes[[#This Row],[fecha_inicio]]="","",INDEX(lista_dias,WEEKDAY(tblOrdenes[[#This Row],[fecha_inicio]],2)))</f>
        <v/>
      </c>
      <c r="T250" s="3">
        <f>IF(tblOrdenes[[#This Row],[tipo_ot]]="","",_xlfn.XLOOKUP(tblOrdenes[[#This Row],[tipo_ot]],tblTiposOT[codigo],tblTiposOT[clasificacion],"sin_clasificar"))</f>
        <v/>
      </c>
      <c r="U250" s="3">
        <f>IF(tblOrdenes[[#This Row],[centro_costo]]="","",_xlfn.XLOOKUP(tblOrdenes[[#This Row],[centro_costo]],tblCECO[codigo],tblCECO[linea],"(sin catálogo)"))</f>
        <v/>
      </c>
      <c r="V250" s="3">
        <f>IF(tblOrdenes[[#This Row],[centro_costo]]="","",_xlfn.XLOOKUP(tblOrdenes[[#This Row],[centro_costo]],tblCECO[codigo],tblCECO[area],"(sin catálogo)"))</f>
        <v/>
      </c>
      <c r="W250" s="3">
        <f>IF(tblOrdenes[[#This Row],[centro_costo]]="","",_xlfn.XLOOKUP(tblOrdenes[[#This Row],[centro_costo]],tblCECO[codigo],tblCECO[coordinador],"(sin catálogo)"))</f>
        <v/>
      </c>
      <c r="X250" s="3">
        <f>IF(tblOrdenes[[#This Row],[puesto_trabajo]]="","",_xlfn.XLOOKUP(tblOrdenes[[#This Row],[puesto_trabajo]],tblPuestos[codigo],tblPuestos[especialidad],"(sin catálogo)"))</f>
        <v/>
      </c>
      <c r="Y250" s="3">
        <f>IF(tblOrdenes[[#This Row],[cod_actividad]]="","",_xlfn.XLOOKUP(tblOrdenes[[#This Row],[cod_actividad]],tblActividades[codigo],tblActividades[descripcion],"(sin catálogo)"))</f>
        <v/>
      </c>
      <c r="Z250" s="12">
        <f>IF(tblOrdenes[[#This Row],[fecha_inicio]]="","",TODAY()-tblOrdenes[[#This Row],[fecha_inicio]])</f>
        <v/>
      </c>
      <c r="AA250" s="3">
        <f>IF(tblOrdenes[[#This Row],[backlog_dias]]="","",IF(tblOrdenes[[#This Row],[backlog_dias]]&lt;0,"FUTURO",IF(tblOrdenes[[#This Row],[backlog_dias]]&gt;p_dias_backlog_max,"BACKLOG","MES CORRIENTE")))</f>
        <v/>
      </c>
      <c r="AB250" s="3">
        <f>IF(tblOrdenes[[#This Row],[backlog_dias]]="",FALSE,AND(tblOrdenes[[#This Row],[backlog_dias]]&gt;p_dias_backlog_min,tblOrdenes[[#This Row],[backlog_dias]]&lt;=p_dias_backlog_max))</f>
        <v/>
      </c>
      <c r="AC250" s="6" t="n"/>
      <c r="AD2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50" s="10">
        <f>IF(tblOrdenes[[#This Row],[orden]]="","",_xlfn.XLOOKUP(tblOrdenes[[#This Row],[id_operacion]],tblEjecucion[id_operacion],tblEjecucion[precio],0))</f>
        <v/>
      </c>
      <c r="AH250" s="10">
        <f>IF(tblOrdenes[[#This Row],[orden]]="","",MAX(0,_xlfn.XLOOKUP(tblOrdenes[[#This Row],[id_operacion]],tblEjecucion[id_operacion],tblEjecucion[costo_plan_total],0)-tblOrdenes[[#This Row],[costo_servicio]]))</f>
        <v/>
      </c>
      <c r="AI250" s="10">
        <f>IF(tblOrdenes[[#This Row],[orden]]="","",tblOrdenes[[#This Row],[costo_servicio]]+tblOrdenes[[#This Row],[costo_materiales]])</f>
        <v/>
      </c>
      <c r="AJ250" s="6" t="n"/>
      <c r="AK250" s="6" t="n"/>
      <c r="AL250" s="6" t="n"/>
      <c r="AM250" s="3">
        <f>IF(tblOrdenes[[#This Row],[link_checklist]]="","",HYPERLINK(p_ruta_base_checklists&amp;tblOrdenes[[#This Row],[link_checklist]],"abrir"))</f>
        <v/>
      </c>
      <c r="AN250" s="6" t="n"/>
      <c r="AO250" s="3">
        <f>IF(tblOrdenes[[#This Row],[orden]]="","",tblOrdenes[[#This Row],[orden]]&amp;IF(tblOrdenes[[#This Row],[operacion]]="","0010",tblOrdenes[[#This Row],[operacion]]))</f>
        <v/>
      </c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11" t="n"/>
      <c r="K251" s="3" t="n"/>
      <c r="L251" s="10" t="n"/>
      <c r="M251" s="6" t="n"/>
      <c r="N2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51" s="3">
        <f>IF(tblOrdenes[[#This Row],[fecha_inicio]]="","",YEAR(tblOrdenes[[#This Row],[fecha_inicio]]))</f>
        <v/>
      </c>
      <c r="R251" s="3">
        <f>IF(tblOrdenes[[#This Row],[fecha_inicio]]="","",MONTH(tblOrdenes[[#This Row],[fecha_inicio]]))</f>
        <v/>
      </c>
      <c r="S251" s="3">
        <f>IF(tblOrdenes[[#This Row],[fecha_inicio]]="","",INDEX(lista_dias,WEEKDAY(tblOrdenes[[#This Row],[fecha_inicio]],2)))</f>
        <v/>
      </c>
      <c r="T251" s="3">
        <f>IF(tblOrdenes[[#This Row],[tipo_ot]]="","",_xlfn.XLOOKUP(tblOrdenes[[#This Row],[tipo_ot]],tblTiposOT[codigo],tblTiposOT[clasificacion],"sin_clasificar"))</f>
        <v/>
      </c>
      <c r="U251" s="3">
        <f>IF(tblOrdenes[[#This Row],[centro_costo]]="","",_xlfn.XLOOKUP(tblOrdenes[[#This Row],[centro_costo]],tblCECO[codigo],tblCECO[linea],"(sin catálogo)"))</f>
        <v/>
      </c>
      <c r="V251" s="3">
        <f>IF(tblOrdenes[[#This Row],[centro_costo]]="","",_xlfn.XLOOKUP(tblOrdenes[[#This Row],[centro_costo]],tblCECO[codigo],tblCECO[area],"(sin catálogo)"))</f>
        <v/>
      </c>
      <c r="W251" s="3">
        <f>IF(tblOrdenes[[#This Row],[centro_costo]]="","",_xlfn.XLOOKUP(tblOrdenes[[#This Row],[centro_costo]],tblCECO[codigo],tblCECO[coordinador],"(sin catálogo)"))</f>
        <v/>
      </c>
      <c r="X251" s="3">
        <f>IF(tblOrdenes[[#This Row],[puesto_trabajo]]="","",_xlfn.XLOOKUP(tblOrdenes[[#This Row],[puesto_trabajo]],tblPuestos[codigo],tblPuestos[especialidad],"(sin catálogo)"))</f>
        <v/>
      </c>
      <c r="Y251" s="3">
        <f>IF(tblOrdenes[[#This Row],[cod_actividad]]="","",_xlfn.XLOOKUP(tblOrdenes[[#This Row],[cod_actividad]],tblActividades[codigo],tblActividades[descripcion],"(sin catálogo)"))</f>
        <v/>
      </c>
      <c r="Z251" s="12">
        <f>IF(tblOrdenes[[#This Row],[fecha_inicio]]="","",TODAY()-tblOrdenes[[#This Row],[fecha_inicio]])</f>
        <v/>
      </c>
      <c r="AA251" s="3">
        <f>IF(tblOrdenes[[#This Row],[backlog_dias]]="","",IF(tblOrdenes[[#This Row],[backlog_dias]]&lt;0,"FUTURO",IF(tblOrdenes[[#This Row],[backlog_dias]]&gt;p_dias_backlog_max,"BACKLOG","MES CORRIENTE")))</f>
        <v/>
      </c>
      <c r="AB251" s="3">
        <f>IF(tblOrdenes[[#This Row],[backlog_dias]]="",FALSE,AND(tblOrdenes[[#This Row],[backlog_dias]]&gt;p_dias_backlog_min,tblOrdenes[[#This Row],[backlog_dias]]&lt;=p_dias_backlog_max))</f>
        <v/>
      </c>
      <c r="AC251" s="6" t="n"/>
      <c r="AD2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51" s="10">
        <f>IF(tblOrdenes[[#This Row],[orden]]="","",_xlfn.XLOOKUP(tblOrdenes[[#This Row],[id_operacion]],tblEjecucion[id_operacion],tblEjecucion[precio],0))</f>
        <v/>
      </c>
      <c r="AH251" s="10">
        <f>IF(tblOrdenes[[#This Row],[orden]]="","",MAX(0,_xlfn.XLOOKUP(tblOrdenes[[#This Row],[id_operacion]],tblEjecucion[id_operacion],tblEjecucion[costo_plan_total],0)-tblOrdenes[[#This Row],[costo_servicio]]))</f>
        <v/>
      </c>
      <c r="AI251" s="10">
        <f>IF(tblOrdenes[[#This Row],[orden]]="","",tblOrdenes[[#This Row],[costo_servicio]]+tblOrdenes[[#This Row],[costo_materiales]])</f>
        <v/>
      </c>
      <c r="AJ251" s="6" t="n"/>
      <c r="AK251" s="6" t="n"/>
      <c r="AL251" s="6" t="n"/>
      <c r="AM251" s="3">
        <f>IF(tblOrdenes[[#This Row],[link_checklist]]="","",HYPERLINK(p_ruta_base_checklists&amp;tblOrdenes[[#This Row],[link_checklist]],"abrir"))</f>
        <v/>
      </c>
      <c r="AN251" s="6" t="n"/>
      <c r="AO251" s="3">
        <f>IF(tblOrdenes[[#This Row],[orden]]="","",tblOrdenes[[#This Row],[orden]]&amp;IF(tblOrdenes[[#This Row],[operacion]]="","0010",tblOrdenes[[#This Row],[operacion]]))</f>
        <v/>
      </c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11" t="n"/>
      <c r="K252" s="3" t="n"/>
      <c r="L252" s="10" t="n"/>
      <c r="M252" s="6" t="n"/>
      <c r="N2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52" s="3">
        <f>IF(tblOrdenes[[#This Row],[fecha_inicio]]="","",YEAR(tblOrdenes[[#This Row],[fecha_inicio]]))</f>
        <v/>
      </c>
      <c r="R252" s="3">
        <f>IF(tblOrdenes[[#This Row],[fecha_inicio]]="","",MONTH(tblOrdenes[[#This Row],[fecha_inicio]]))</f>
        <v/>
      </c>
      <c r="S252" s="3">
        <f>IF(tblOrdenes[[#This Row],[fecha_inicio]]="","",INDEX(lista_dias,WEEKDAY(tblOrdenes[[#This Row],[fecha_inicio]],2)))</f>
        <v/>
      </c>
      <c r="T252" s="3">
        <f>IF(tblOrdenes[[#This Row],[tipo_ot]]="","",_xlfn.XLOOKUP(tblOrdenes[[#This Row],[tipo_ot]],tblTiposOT[codigo],tblTiposOT[clasificacion],"sin_clasificar"))</f>
        <v/>
      </c>
      <c r="U252" s="3">
        <f>IF(tblOrdenes[[#This Row],[centro_costo]]="","",_xlfn.XLOOKUP(tblOrdenes[[#This Row],[centro_costo]],tblCECO[codigo],tblCECO[linea],"(sin catálogo)"))</f>
        <v/>
      </c>
      <c r="V252" s="3">
        <f>IF(tblOrdenes[[#This Row],[centro_costo]]="","",_xlfn.XLOOKUP(tblOrdenes[[#This Row],[centro_costo]],tblCECO[codigo],tblCECO[area],"(sin catálogo)"))</f>
        <v/>
      </c>
      <c r="W252" s="3">
        <f>IF(tblOrdenes[[#This Row],[centro_costo]]="","",_xlfn.XLOOKUP(tblOrdenes[[#This Row],[centro_costo]],tblCECO[codigo],tblCECO[coordinador],"(sin catálogo)"))</f>
        <v/>
      </c>
      <c r="X252" s="3">
        <f>IF(tblOrdenes[[#This Row],[puesto_trabajo]]="","",_xlfn.XLOOKUP(tblOrdenes[[#This Row],[puesto_trabajo]],tblPuestos[codigo],tblPuestos[especialidad],"(sin catálogo)"))</f>
        <v/>
      </c>
      <c r="Y252" s="3">
        <f>IF(tblOrdenes[[#This Row],[cod_actividad]]="","",_xlfn.XLOOKUP(tblOrdenes[[#This Row],[cod_actividad]],tblActividades[codigo],tblActividades[descripcion],"(sin catálogo)"))</f>
        <v/>
      </c>
      <c r="Z252" s="12">
        <f>IF(tblOrdenes[[#This Row],[fecha_inicio]]="","",TODAY()-tblOrdenes[[#This Row],[fecha_inicio]])</f>
        <v/>
      </c>
      <c r="AA252" s="3">
        <f>IF(tblOrdenes[[#This Row],[backlog_dias]]="","",IF(tblOrdenes[[#This Row],[backlog_dias]]&lt;0,"FUTURO",IF(tblOrdenes[[#This Row],[backlog_dias]]&gt;p_dias_backlog_max,"BACKLOG","MES CORRIENTE")))</f>
        <v/>
      </c>
      <c r="AB252" s="3">
        <f>IF(tblOrdenes[[#This Row],[backlog_dias]]="",FALSE,AND(tblOrdenes[[#This Row],[backlog_dias]]&gt;p_dias_backlog_min,tblOrdenes[[#This Row],[backlog_dias]]&lt;=p_dias_backlog_max))</f>
        <v/>
      </c>
      <c r="AC252" s="6" t="n"/>
      <c r="AD2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52" s="10">
        <f>IF(tblOrdenes[[#This Row],[orden]]="","",_xlfn.XLOOKUP(tblOrdenes[[#This Row],[id_operacion]],tblEjecucion[id_operacion],tblEjecucion[precio],0))</f>
        <v/>
      </c>
      <c r="AH252" s="10">
        <f>IF(tblOrdenes[[#This Row],[orden]]="","",MAX(0,_xlfn.XLOOKUP(tblOrdenes[[#This Row],[id_operacion]],tblEjecucion[id_operacion],tblEjecucion[costo_plan_total],0)-tblOrdenes[[#This Row],[costo_servicio]]))</f>
        <v/>
      </c>
      <c r="AI252" s="10">
        <f>IF(tblOrdenes[[#This Row],[orden]]="","",tblOrdenes[[#This Row],[costo_servicio]]+tblOrdenes[[#This Row],[costo_materiales]])</f>
        <v/>
      </c>
      <c r="AJ252" s="6" t="n"/>
      <c r="AK252" s="6" t="n"/>
      <c r="AL252" s="6" t="n"/>
      <c r="AM252" s="3">
        <f>IF(tblOrdenes[[#This Row],[link_checklist]]="","",HYPERLINK(p_ruta_base_checklists&amp;tblOrdenes[[#This Row],[link_checklist]],"abrir"))</f>
        <v/>
      </c>
      <c r="AN252" s="6" t="n"/>
      <c r="AO252" s="3">
        <f>IF(tblOrdenes[[#This Row],[orden]]="","",tblOrdenes[[#This Row],[orden]]&amp;IF(tblOrdenes[[#This Row],[operacion]]="","0010",tblOrdenes[[#This Row],[operacion]]))</f>
        <v/>
      </c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11" t="n"/>
      <c r="K253" s="3" t="n"/>
      <c r="L253" s="10" t="n"/>
      <c r="M253" s="6" t="n"/>
      <c r="N2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53" s="3">
        <f>IF(tblOrdenes[[#This Row],[fecha_inicio]]="","",YEAR(tblOrdenes[[#This Row],[fecha_inicio]]))</f>
        <v/>
      </c>
      <c r="R253" s="3">
        <f>IF(tblOrdenes[[#This Row],[fecha_inicio]]="","",MONTH(tblOrdenes[[#This Row],[fecha_inicio]]))</f>
        <v/>
      </c>
      <c r="S253" s="3">
        <f>IF(tblOrdenes[[#This Row],[fecha_inicio]]="","",INDEX(lista_dias,WEEKDAY(tblOrdenes[[#This Row],[fecha_inicio]],2)))</f>
        <v/>
      </c>
      <c r="T253" s="3">
        <f>IF(tblOrdenes[[#This Row],[tipo_ot]]="","",_xlfn.XLOOKUP(tblOrdenes[[#This Row],[tipo_ot]],tblTiposOT[codigo],tblTiposOT[clasificacion],"sin_clasificar"))</f>
        <v/>
      </c>
      <c r="U253" s="3">
        <f>IF(tblOrdenes[[#This Row],[centro_costo]]="","",_xlfn.XLOOKUP(tblOrdenes[[#This Row],[centro_costo]],tblCECO[codigo],tblCECO[linea],"(sin catálogo)"))</f>
        <v/>
      </c>
      <c r="V253" s="3">
        <f>IF(tblOrdenes[[#This Row],[centro_costo]]="","",_xlfn.XLOOKUP(tblOrdenes[[#This Row],[centro_costo]],tblCECO[codigo],tblCECO[area],"(sin catálogo)"))</f>
        <v/>
      </c>
      <c r="W253" s="3">
        <f>IF(tblOrdenes[[#This Row],[centro_costo]]="","",_xlfn.XLOOKUP(tblOrdenes[[#This Row],[centro_costo]],tblCECO[codigo],tblCECO[coordinador],"(sin catálogo)"))</f>
        <v/>
      </c>
      <c r="X253" s="3">
        <f>IF(tblOrdenes[[#This Row],[puesto_trabajo]]="","",_xlfn.XLOOKUP(tblOrdenes[[#This Row],[puesto_trabajo]],tblPuestos[codigo],tblPuestos[especialidad],"(sin catálogo)"))</f>
        <v/>
      </c>
      <c r="Y253" s="3">
        <f>IF(tblOrdenes[[#This Row],[cod_actividad]]="","",_xlfn.XLOOKUP(tblOrdenes[[#This Row],[cod_actividad]],tblActividades[codigo],tblActividades[descripcion],"(sin catálogo)"))</f>
        <v/>
      </c>
      <c r="Z253" s="12">
        <f>IF(tblOrdenes[[#This Row],[fecha_inicio]]="","",TODAY()-tblOrdenes[[#This Row],[fecha_inicio]])</f>
        <v/>
      </c>
      <c r="AA253" s="3">
        <f>IF(tblOrdenes[[#This Row],[backlog_dias]]="","",IF(tblOrdenes[[#This Row],[backlog_dias]]&lt;0,"FUTURO",IF(tblOrdenes[[#This Row],[backlog_dias]]&gt;p_dias_backlog_max,"BACKLOG","MES CORRIENTE")))</f>
        <v/>
      </c>
      <c r="AB253" s="3">
        <f>IF(tblOrdenes[[#This Row],[backlog_dias]]="",FALSE,AND(tblOrdenes[[#This Row],[backlog_dias]]&gt;p_dias_backlog_min,tblOrdenes[[#This Row],[backlog_dias]]&lt;=p_dias_backlog_max))</f>
        <v/>
      </c>
      <c r="AC253" s="6" t="n"/>
      <c r="AD2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53" s="10">
        <f>IF(tblOrdenes[[#This Row],[orden]]="","",_xlfn.XLOOKUP(tblOrdenes[[#This Row],[id_operacion]],tblEjecucion[id_operacion],tblEjecucion[precio],0))</f>
        <v/>
      </c>
      <c r="AH253" s="10">
        <f>IF(tblOrdenes[[#This Row],[orden]]="","",MAX(0,_xlfn.XLOOKUP(tblOrdenes[[#This Row],[id_operacion]],tblEjecucion[id_operacion],tblEjecucion[costo_plan_total],0)-tblOrdenes[[#This Row],[costo_servicio]]))</f>
        <v/>
      </c>
      <c r="AI253" s="10">
        <f>IF(tblOrdenes[[#This Row],[orden]]="","",tblOrdenes[[#This Row],[costo_servicio]]+tblOrdenes[[#This Row],[costo_materiales]])</f>
        <v/>
      </c>
      <c r="AJ253" s="6" t="n"/>
      <c r="AK253" s="6" t="n"/>
      <c r="AL253" s="6" t="n"/>
      <c r="AM253" s="3">
        <f>IF(tblOrdenes[[#This Row],[link_checklist]]="","",HYPERLINK(p_ruta_base_checklists&amp;tblOrdenes[[#This Row],[link_checklist]],"abrir"))</f>
        <v/>
      </c>
      <c r="AN253" s="6" t="n"/>
      <c r="AO253" s="3">
        <f>IF(tblOrdenes[[#This Row],[orden]]="","",tblOrdenes[[#This Row],[orden]]&amp;IF(tblOrdenes[[#This Row],[operacion]]="","0010",tblOrdenes[[#This Row],[operacion]]))</f>
        <v/>
      </c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11" t="n"/>
      <c r="K254" s="3" t="n"/>
      <c r="L254" s="10" t="n"/>
      <c r="M254" s="6" t="n"/>
      <c r="N2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54" s="3">
        <f>IF(tblOrdenes[[#This Row],[fecha_inicio]]="","",YEAR(tblOrdenes[[#This Row],[fecha_inicio]]))</f>
        <v/>
      </c>
      <c r="R254" s="3">
        <f>IF(tblOrdenes[[#This Row],[fecha_inicio]]="","",MONTH(tblOrdenes[[#This Row],[fecha_inicio]]))</f>
        <v/>
      </c>
      <c r="S254" s="3">
        <f>IF(tblOrdenes[[#This Row],[fecha_inicio]]="","",INDEX(lista_dias,WEEKDAY(tblOrdenes[[#This Row],[fecha_inicio]],2)))</f>
        <v/>
      </c>
      <c r="T254" s="3">
        <f>IF(tblOrdenes[[#This Row],[tipo_ot]]="","",_xlfn.XLOOKUP(tblOrdenes[[#This Row],[tipo_ot]],tblTiposOT[codigo],tblTiposOT[clasificacion],"sin_clasificar"))</f>
        <v/>
      </c>
      <c r="U254" s="3">
        <f>IF(tblOrdenes[[#This Row],[centro_costo]]="","",_xlfn.XLOOKUP(tblOrdenes[[#This Row],[centro_costo]],tblCECO[codigo],tblCECO[linea],"(sin catálogo)"))</f>
        <v/>
      </c>
      <c r="V254" s="3">
        <f>IF(tblOrdenes[[#This Row],[centro_costo]]="","",_xlfn.XLOOKUP(tblOrdenes[[#This Row],[centro_costo]],tblCECO[codigo],tblCECO[area],"(sin catálogo)"))</f>
        <v/>
      </c>
      <c r="W254" s="3">
        <f>IF(tblOrdenes[[#This Row],[centro_costo]]="","",_xlfn.XLOOKUP(tblOrdenes[[#This Row],[centro_costo]],tblCECO[codigo],tblCECO[coordinador],"(sin catálogo)"))</f>
        <v/>
      </c>
      <c r="X254" s="3">
        <f>IF(tblOrdenes[[#This Row],[puesto_trabajo]]="","",_xlfn.XLOOKUP(tblOrdenes[[#This Row],[puesto_trabajo]],tblPuestos[codigo],tblPuestos[especialidad],"(sin catálogo)"))</f>
        <v/>
      </c>
      <c r="Y254" s="3">
        <f>IF(tblOrdenes[[#This Row],[cod_actividad]]="","",_xlfn.XLOOKUP(tblOrdenes[[#This Row],[cod_actividad]],tblActividades[codigo],tblActividades[descripcion],"(sin catálogo)"))</f>
        <v/>
      </c>
      <c r="Z254" s="12">
        <f>IF(tblOrdenes[[#This Row],[fecha_inicio]]="","",TODAY()-tblOrdenes[[#This Row],[fecha_inicio]])</f>
        <v/>
      </c>
      <c r="AA254" s="3">
        <f>IF(tblOrdenes[[#This Row],[backlog_dias]]="","",IF(tblOrdenes[[#This Row],[backlog_dias]]&lt;0,"FUTURO",IF(tblOrdenes[[#This Row],[backlog_dias]]&gt;p_dias_backlog_max,"BACKLOG","MES CORRIENTE")))</f>
        <v/>
      </c>
      <c r="AB254" s="3">
        <f>IF(tblOrdenes[[#This Row],[backlog_dias]]="",FALSE,AND(tblOrdenes[[#This Row],[backlog_dias]]&gt;p_dias_backlog_min,tblOrdenes[[#This Row],[backlog_dias]]&lt;=p_dias_backlog_max))</f>
        <v/>
      </c>
      <c r="AC254" s="6" t="n"/>
      <c r="AD2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54" s="10">
        <f>IF(tblOrdenes[[#This Row],[orden]]="","",_xlfn.XLOOKUP(tblOrdenes[[#This Row],[id_operacion]],tblEjecucion[id_operacion],tblEjecucion[precio],0))</f>
        <v/>
      </c>
      <c r="AH254" s="10">
        <f>IF(tblOrdenes[[#This Row],[orden]]="","",MAX(0,_xlfn.XLOOKUP(tblOrdenes[[#This Row],[id_operacion]],tblEjecucion[id_operacion],tblEjecucion[costo_plan_total],0)-tblOrdenes[[#This Row],[costo_servicio]]))</f>
        <v/>
      </c>
      <c r="AI254" s="10">
        <f>IF(tblOrdenes[[#This Row],[orden]]="","",tblOrdenes[[#This Row],[costo_servicio]]+tblOrdenes[[#This Row],[costo_materiales]])</f>
        <v/>
      </c>
      <c r="AJ254" s="6" t="n"/>
      <c r="AK254" s="6" t="n"/>
      <c r="AL254" s="6" t="n"/>
      <c r="AM254" s="3">
        <f>IF(tblOrdenes[[#This Row],[link_checklist]]="","",HYPERLINK(p_ruta_base_checklists&amp;tblOrdenes[[#This Row],[link_checklist]],"abrir"))</f>
        <v/>
      </c>
      <c r="AN254" s="6" t="n"/>
      <c r="AO254" s="3">
        <f>IF(tblOrdenes[[#This Row],[orden]]="","",tblOrdenes[[#This Row],[orden]]&amp;IF(tblOrdenes[[#This Row],[operacion]]="","0010",tblOrdenes[[#This Row],[operacion]]))</f>
        <v/>
      </c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11" t="n"/>
      <c r="K255" s="3" t="n"/>
      <c r="L255" s="10" t="n"/>
      <c r="M255" s="6" t="n"/>
      <c r="N2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55" s="3">
        <f>IF(tblOrdenes[[#This Row],[fecha_inicio]]="","",YEAR(tblOrdenes[[#This Row],[fecha_inicio]]))</f>
        <v/>
      </c>
      <c r="R255" s="3">
        <f>IF(tblOrdenes[[#This Row],[fecha_inicio]]="","",MONTH(tblOrdenes[[#This Row],[fecha_inicio]]))</f>
        <v/>
      </c>
      <c r="S255" s="3">
        <f>IF(tblOrdenes[[#This Row],[fecha_inicio]]="","",INDEX(lista_dias,WEEKDAY(tblOrdenes[[#This Row],[fecha_inicio]],2)))</f>
        <v/>
      </c>
      <c r="T255" s="3">
        <f>IF(tblOrdenes[[#This Row],[tipo_ot]]="","",_xlfn.XLOOKUP(tblOrdenes[[#This Row],[tipo_ot]],tblTiposOT[codigo],tblTiposOT[clasificacion],"sin_clasificar"))</f>
        <v/>
      </c>
      <c r="U255" s="3">
        <f>IF(tblOrdenes[[#This Row],[centro_costo]]="","",_xlfn.XLOOKUP(tblOrdenes[[#This Row],[centro_costo]],tblCECO[codigo],tblCECO[linea],"(sin catálogo)"))</f>
        <v/>
      </c>
      <c r="V255" s="3">
        <f>IF(tblOrdenes[[#This Row],[centro_costo]]="","",_xlfn.XLOOKUP(tblOrdenes[[#This Row],[centro_costo]],tblCECO[codigo],tblCECO[area],"(sin catálogo)"))</f>
        <v/>
      </c>
      <c r="W255" s="3">
        <f>IF(tblOrdenes[[#This Row],[centro_costo]]="","",_xlfn.XLOOKUP(tblOrdenes[[#This Row],[centro_costo]],tblCECO[codigo],tblCECO[coordinador],"(sin catálogo)"))</f>
        <v/>
      </c>
      <c r="X255" s="3">
        <f>IF(tblOrdenes[[#This Row],[puesto_trabajo]]="","",_xlfn.XLOOKUP(tblOrdenes[[#This Row],[puesto_trabajo]],tblPuestos[codigo],tblPuestos[especialidad],"(sin catálogo)"))</f>
        <v/>
      </c>
      <c r="Y255" s="3">
        <f>IF(tblOrdenes[[#This Row],[cod_actividad]]="","",_xlfn.XLOOKUP(tblOrdenes[[#This Row],[cod_actividad]],tblActividades[codigo],tblActividades[descripcion],"(sin catálogo)"))</f>
        <v/>
      </c>
      <c r="Z255" s="12">
        <f>IF(tblOrdenes[[#This Row],[fecha_inicio]]="","",TODAY()-tblOrdenes[[#This Row],[fecha_inicio]])</f>
        <v/>
      </c>
      <c r="AA255" s="3">
        <f>IF(tblOrdenes[[#This Row],[backlog_dias]]="","",IF(tblOrdenes[[#This Row],[backlog_dias]]&lt;0,"FUTURO",IF(tblOrdenes[[#This Row],[backlog_dias]]&gt;p_dias_backlog_max,"BACKLOG","MES CORRIENTE")))</f>
        <v/>
      </c>
      <c r="AB255" s="3">
        <f>IF(tblOrdenes[[#This Row],[backlog_dias]]="",FALSE,AND(tblOrdenes[[#This Row],[backlog_dias]]&gt;p_dias_backlog_min,tblOrdenes[[#This Row],[backlog_dias]]&lt;=p_dias_backlog_max))</f>
        <v/>
      </c>
      <c r="AC255" s="6" t="n"/>
      <c r="AD2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55" s="10">
        <f>IF(tblOrdenes[[#This Row],[orden]]="","",_xlfn.XLOOKUP(tblOrdenes[[#This Row],[id_operacion]],tblEjecucion[id_operacion],tblEjecucion[precio],0))</f>
        <v/>
      </c>
      <c r="AH255" s="10">
        <f>IF(tblOrdenes[[#This Row],[orden]]="","",MAX(0,_xlfn.XLOOKUP(tblOrdenes[[#This Row],[id_operacion]],tblEjecucion[id_operacion],tblEjecucion[costo_plan_total],0)-tblOrdenes[[#This Row],[costo_servicio]]))</f>
        <v/>
      </c>
      <c r="AI255" s="10">
        <f>IF(tblOrdenes[[#This Row],[orden]]="","",tblOrdenes[[#This Row],[costo_servicio]]+tblOrdenes[[#This Row],[costo_materiales]])</f>
        <v/>
      </c>
      <c r="AJ255" s="6" t="n"/>
      <c r="AK255" s="6" t="n"/>
      <c r="AL255" s="6" t="n"/>
      <c r="AM255" s="3">
        <f>IF(tblOrdenes[[#This Row],[link_checklist]]="","",HYPERLINK(p_ruta_base_checklists&amp;tblOrdenes[[#This Row],[link_checklist]],"abrir"))</f>
        <v/>
      </c>
      <c r="AN255" s="6" t="n"/>
      <c r="AO255" s="3">
        <f>IF(tblOrdenes[[#This Row],[orden]]="","",tblOrdenes[[#This Row],[orden]]&amp;IF(tblOrdenes[[#This Row],[operacion]]="","0010",tblOrdenes[[#This Row],[operacion]]))</f>
        <v/>
      </c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11" t="n"/>
      <c r="K256" s="3" t="n"/>
      <c r="L256" s="10" t="n"/>
      <c r="M256" s="6" t="n"/>
      <c r="N2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56" s="3">
        <f>IF(tblOrdenes[[#This Row],[fecha_inicio]]="","",YEAR(tblOrdenes[[#This Row],[fecha_inicio]]))</f>
        <v/>
      </c>
      <c r="R256" s="3">
        <f>IF(tblOrdenes[[#This Row],[fecha_inicio]]="","",MONTH(tblOrdenes[[#This Row],[fecha_inicio]]))</f>
        <v/>
      </c>
      <c r="S256" s="3">
        <f>IF(tblOrdenes[[#This Row],[fecha_inicio]]="","",INDEX(lista_dias,WEEKDAY(tblOrdenes[[#This Row],[fecha_inicio]],2)))</f>
        <v/>
      </c>
      <c r="T256" s="3">
        <f>IF(tblOrdenes[[#This Row],[tipo_ot]]="","",_xlfn.XLOOKUP(tblOrdenes[[#This Row],[tipo_ot]],tblTiposOT[codigo],tblTiposOT[clasificacion],"sin_clasificar"))</f>
        <v/>
      </c>
      <c r="U256" s="3">
        <f>IF(tblOrdenes[[#This Row],[centro_costo]]="","",_xlfn.XLOOKUP(tblOrdenes[[#This Row],[centro_costo]],tblCECO[codigo],tblCECO[linea],"(sin catálogo)"))</f>
        <v/>
      </c>
      <c r="V256" s="3">
        <f>IF(tblOrdenes[[#This Row],[centro_costo]]="","",_xlfn.XLOOKUP(tblOrdenes[[#This Row],[centro_costo]],tblCECO[codigo],tblCECO[area],"(sin catálogo)"))</f>
        <v/>
      </c>
      <c r="W256" s="3">
        <f>IF(tblOrdenes[[#This Row],[centro_costo]]="","",_xlfn.XLOOKUP(tblOrdenes[[#This Row],[centro_costo]],tblCECO[codigo],tblCECO[coordinador],"(sin catálogo)"))</f>
        <v/>
      </c>
      <c r="X256" s="3">
        <f>IF(tblOrdenes[[#This Row],[puesto_trabajo]]="","",_xlfn.XLOOKUP(tblOrdenes[[#This Row],[puesto_trabajo]],tblPuestos[codigo],tblPuestos[especialidad],"(sin catálogo)"))</f>
        <v/>
      </c>
      <c r="Y256" s="3">
        <f>IF(tblOrdenes[[#This Row],[cod_actividad]]="","",_xlfn.XLOOKUP(tblOrdenes[[#This Row],[cod_actividad]],tblActividades[codigo],tblActividades[descripcion],"(sin catálogo)"))</f>
        <v/>
      </c>
      <c r="Z256" s="12">
        <f>IF(tblOrdenes[[#This Row],[fecha_inicio]]="","",TODAY()-tblOrdenes[[#This Row],[fecha_inicio]])</f>
        <v/>
      </c>
      <c r="AA256" s="3">
        <f>IF(tblOrdenes[[#This Row],[backlog_dias]]="","",IF(tblOrdenes[[#This Row],[backlog_dias]]&lt;0,"FUTURO",IF(tblOrdenes[[#This Row],[backlog_dias]]&gt;p_dias_backlog_max,"BACKLOG","MES CORRIENTE")))</f>
        <v/>
      </c>
      <c r="AB256" s="3">
        <f>IF(tblOrdenes[[#This Row],[backlog_dias]]="",FALSE,AND(tblOrdenes[[#This Row],[backlog_dias]]&gt;p_dias_backlog_min,tblOrdenes[[#This Row],[backlog_dias]]&lt;=p_dias_backlog_max))</f>
        <v/>
      </c>
      <c r="AC256" s="6" t="n"/>
      <c r="AD2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56" s="10">
        <f>IF(tblOrdenes[[#This Row],[orden]]="","",_xlfn.XLOOKUP(tblOrdenes[[#This Row],[id_operacion]],tblEjecucion[id_operacion],tblEjecucion[precio],0))</f>
        <v/>
      </c>
      <c r="AH256" s="10">
        <f>IF(tblOrdenes[[#This Row],[orden]]="","",MAX(0,_xlfn.XLOOKUP(tblOrdenes[[#This Row],[id_operacion]],tblEjecucion[id_operacion],tblEjecucion[costo_plan_total],0)-tblOrdenes[[#This Row],[costo_servicio]]))</f>
        <v/>
      </c>
      <c r="AI256" s="10">
        <f>IF(tblOrdenes[[#This Row],[orden]]="","",tblOrdenes[[#This Row],[costo_servicio]]+tblOrdenes[[#This Row],[costo_materiales]])</f>
        <v/>
      </c>
      <c r="AJ256" s="6" t="n"/>
      <c r="AK256" s="6" t="n"/>
      <c r="AL256" s="6" t="n"/>
      <c r="AM256" s="3">
        <f>IF(tblOrdenes[[#This Row],[link_checklist]]="","",HYPERLINK(p_ruta_base_checklists&amp;tblOrdenes[[#This Row],[link_checklist]],"abrir"))</f>
        <v/>
      </c>
      <c r="AN256" s="6" t="n"/>
      <c r="AO256" s="3">
        <f>IF(tblOrdenes[[#This Row],[orden]]="","",tblOrdenes[[#This Row],[orden]]&amp;IF(tblOrdenes[[#This Row],[operacion]]="","0010",tblOrdenes[[#This Row],[operacion]]))</f>
        <v/>
      </c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11" t="n"/>
      <c r="K257" s="3" t="n"/>
      <c r="L257" s="10" t="n"/>
      <c r="M257" s="6" t="n"/>
      <c r="N2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57" s="3">
        <f>IF(tblOrdenes[[#This Row],[fecha_inicio]]="","",YEAR(tblOrdenes[[#This Row],[fecha_inicio]]))</f>
        <v/>
      </c>
      <c r="R257" s="3">
        <f>IF(tblOrdenes[[#This Row],[fecha_inicio]]="","",MONTH(tblOrdenes[[#This Row],[fecha_inicio]]))</f>
        <v/>
      </c>
      <c r="S257" s="3">
        <f>IF(tblOrdenes[[#This Row],[fecha_inicio]]="","",INDEX(lista_dias,WEEKDAY(tblOrdenes[[#This Row],[fecha_inicio]],2)))</f>
        <v/>
      </c>
      <c r="T257" s="3">
        <f>IF(tblOrdenes[[#This Row],[tipo_ot]]="","",_xlfn.XLOOKUP(tblOrdenes[[#This Row],[tipo_ot]],tblTiposOT[codigo],tblTiposOT[clasificacion],"sin_clasificar"))</f>
        <v/>
      </c>
      <c r="U257" s="3">
        <f>IF(tblOrdenes[[#This Row],[centro_costo]]="","",_xlfn.XLOOKUP(tblOrdenes[[#This Row],[centro_costo]],tblCECO[codigo],tblCECO[linea],"(sin catálogo)"))</f>
        <v/>
      </c>
      <c r="V257" s="3">
        <f>IF(tblOrdenes[[#This Row],[centro_costo]]="","",_xlfn.XLOOKUP(tblOrdenes[[#This Row],[centro_costo]],tblCECO[codigo],tblCECO[area],"(sin catálogo)"))</f>
        <v/>
      </c>
      <c r="W257" s="3">
        <f>IF(tblOrdenes[[#This Row],[centro_costo]]="","",_xlfn.XLOOKUP(tblOrdenes[[#This Row],[centro_costo]],tblCECO[codigo],tblCECO[coordinador],"(sin catálogo)"))</f>
        <v/>
      </c>
      <c r="X257" s="3">
        <f>IF(tblOrdenes[[#This Row],[puesto_trabajo]]="","",_xlfn.XLOOKUP(tblOrdenes[[#This Row],[puesto_trabajo]],tblPuestos[codigo],tblPuestos[especialidad],"(sin catálogo)"))</f>
        <v/>
      </c>
      <c r="Y257" s="3">
        <f>IF(tblOrdenes[[#This Row],[cod_actividad]]="","",_xlfn.XLOOKUP(tblOrdenes[[#This Row],[cod_actividad]],tblActividades[codigo],tblActividades[descripcion],"(sin catálogo)"))</f>
        <v/>
      </c>
      <c r="Z257" s="12">
        <f>IF(tblOrdenes[[#This Row],[fecha_inicio]]="","",TODAY()-tblOrdenes[[#This Row],[fecha_inicio]])</f>
        <v/>
      </c>
      <c r="AA257" s="3">
        <f>IF(tblOrdenes[[#This Row],[backlog_dias]]="","",IF(tblOrdenes[[#This Row],[backlog_dias]]&lt;0,"FUTURO",IF(tblOrdenes[[#This Row],[backlog_dias]]&gt;p_dias_backlog_max,"BACKLOG","MES CORRIENTE")))</f>
        <v/>
      </c>
      <c r="AB257" s="3">
        <f>IF(tblOrdenes[[#This Row],[backlog_dias]]="",FALSE,AND(tblOrdenes[[#This Row],[backlog_dias]]&gt;p_dias_backlog_min,tblOrdenes[[#This Row],[backlog_dias]]&lt;=p_dias_backlog_max))</f>
        <v/>
      </c>
      <c r="AC257" s="6" t="n"/>
      <c r="AD2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57" s="10">
        <f>IF(tblOrdenes[[#This Row],[orden]]="","",_xlfn.XLOOKUP(tblOrdenes[[#This Row],[id_operacion]],tblEjecucion[id_operacion],tblEjecucion[precio],0))</f>
        <v/>
      </c>
      <c r="AH257" s="10">
        <f>IF(tblOrdenes[[#This Row],[orden]]="","",MAX(0,_xlfn.XLOOKUP(tblOrdenes[[#This Row],[id_operacion]],tblEjecucion[id_operacion],tblEjecucion[costo_plan_total],0)-tblOrdenes[[#This Row],[costo_servicio]]))</f>
        <v/>
      </c>
      <c r="AI257" s="10">
        <f>IF(tblOrdenes[[#This Row],[orden]]="","",tblOrdenes[[#This Row],[costo_servicio]]+tblOrdenes[[#This Row],[costo_materiales]])</f>
        <v/>
      </c>
      <c r="AJ257" s="6" t="n"/>
      <c r="AK257" s="6" t="n"/>
      <c r="AL257" s="6" t="n"/>
      <c r="AM257" s="3">
        <f>IF(tblOrdenes[[#This Row],[link_checklist]]="","",HYPERLINK(p_ruta_base_checklists&amp;tblOrdenes[[#This Row],[link_checklist]],"abrir"))</f>
        <v/>
      </c>
      <c r="AN257" s="6" t="n"/>
      <c r="AO257" s="3">
        <f>IF(tblOrdenes[[#This Row],[orden]]="","",tblOrdenes[[#This Row],[orden]]&amp;IF(tblOrdenes[[#This Row],[operacion]]="","0010",tblOrdenes[[#This Row],[operacion]]))</f>
        <v/>
      </c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11" t="n"/>
      <c r="K258" s="3" t="n"/>
      <c r="L258" s="10" t="n"/>
      <c r="M258" s="6" t="n"/>
      <c r="N2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58" s="3">
        <f>IF(tblOrdenes[[#This Row],[fecha_inicio]]="","",YEAR(tblOrdenes[[#This Row],[fecha_inicio]]))</f>
        <v/>
      </c>
      <c r="R258" s="3">
        <f>IF(tblOrdenes[[#This Row],[fecha_inicio]]="","",MONTH(tblOrdenes[[#This Row],[fecha_inicio]]))</f>
        <v/>
      </c>
      <c r="S258" s="3">
        <f>IF(tblOrdenes[[#This Row],[fecha_inicio]]="","",INDEX(lista_dias,WEEKDAY(tblOrdenes[[#This Row],[fecha_inicio]],2)))</f>
        <v/>
      </c>
      <c r="T258" s="3">
        <f>IF(tblOrdenes[[#This Row],[tipo_ot]]="","",_xlfn.XLOOKUP(tblOrdenes[[#This Row],[tipo_ot]],tblTiposOT[codigo],tblTiposOT[clasificacion],"sin_clasificar"))</f>
        <v/>
      </c>
      <c r="U258" s="3">
        <f>IF(tblOrdenes[[#This Row],[centro_costo]]="","",_xlfn.XLOOKUP(tblOrdenes[[#This Row],[centro_costo]],tblCECO[codigo],tblCECO[linea],"(sin catálogo)"))</f>
        <v/>
      </c>
      <c r="V258" s="3">
        <f>IF(tblOrdenes[[#This Row],[centro_costo]]="","",_xlfn.XLOOKUP(tblOrdenes[[#This Row],[centro_costo]],tblCECO[codigo],tblCECO[area],"(sin catálogo)"))</f>
        <v/>
      </c>
      <c r="W258" s="3">
        <f>IF(tblOrdenes[[#This Row],[centro_costo]]="","",_xlfn.XLOOKUP(tblOrdenes[[#This Row],[centro_costo]],tblCECO[codigo],tblCECO[coordinador],"(sin catálogo)"))</f>
        <v/>
      </c>
      <c r="X258" s="3">
        <f>IF(tblOrdenes[[#This Row],[puesto_trabajo]]="","",_xlfn.XLOOKUP(tblOrdenes[[#This Row],[puesto_trabajo]],tblPuestos[codigo],tblPuestos[especialidad],"(sin catálogo)"))</f>
        <v/>
      </c>
      <c r="Y258" s="3">
        <f>IF(tblOrdenes[[#This Row],[cod_actividad]]="","",_xlfn.XLOOKUP(tblOrdenes[[#This Row],[cod_actividad]],tblActividades[codigo],tblActividades[descripcion],"(sin catálogo)"))</f>
        <v/>
      </c>
      <c r="Z258" s="12">
        <f>IF(tblOrdenes[[#This Row],[fecha_inicio]]="","",TODAY()-tblOrdenes[[#This Row],[fecha_inicio]])</f>
        <v/>
      </c>
      <c r="AA258" s="3">
        <f>IF(tblOrdenes[[#This Row],[backlog_dias]]="","",IF(tblOrdenes[[#This Row],[backlog_dias]]&lt;0,"FUTURO",IF(tblOrdenes[[#This Row],[backlog_dias]]&gt;p_dias_backlog_max,"BACKLOG","MES CORRIENTE")))</f>
        <v/>
      </c>
      <c r="AB258" s="3">
        <f>IF(tblOrdenes[[#This Row],[backlog_dias]]="",FALSE,AND(tblOrdenes[[#This Row],[backlog_dias]]&gt;p_dias_backlog_min,tblOrdenes[[#This Row],[backlog_dias]]&lt;=p_dias_backlog_max))</f>
        <v/>
      </c>
      <c r="AC258" s="6" t="n"/>
      <c r="AD2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58" s="10">
        <f>IF(tblOrdenes[[#This Row],[orden]]="","",_xlfn.XLOOKUP(tblOrdenes[[#This Row],[id_operacion]],tblEjecucion[id_operacion],tblEjecucion[precio],0))</f>
        <v/>
      </c>
      <c r="AH258" s="10">
        <f>IF(tblOrdenes[[#This Row],[orden]]="","",MAX(0,_xlfn.XLOOKUP(tblOrdenes[[#This Row],[id_operacion]],tblEjecucion[id_operacion],tblEjecucion[costo_plan_total],0)-tblOrdenes[[#This Row],[costo_servicio]]))</f>
        <v/>
      </c>
      <c r="AI258" s="10">
        <f>IF(tblOrdenes[[#This Row],[orden]]="","",tblOrdenes[[#This Row],[costo_servicio]]+tblOrdenes[[#This Row],[costo_materiales]])</f>
        <v/>
      </c>
      <c r="AJ258" s="6" t="n"/>
      <c r="AK258" s="6" t="n"/>
      <c r="AL258" s="6" t="n"/>
      <c r="AM258" s="3">
        <f>IF(tblOrdenes[[#This Row],[link_checklist]]="","",HYPERLINK(p_ruta_base_checklists&amp;tblOrdenes[[#This Row],[link_checklist]],"abrir"))</f>
        <v/>
      </c>
      <c r="AN258" s="6" t="n"/>
      <c r="AO258" s="3">
        <f>IF(tblOrdenes[[#This Row],[orden]]="","",tblOrdenes[[#This Row],[orden]]&amp;IF(tblOrdenes[[#This Row],[operacion]]="","0010",tblOrdenes[[#This Row],[operacion]]))</f>
        <v/>
      </c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11" t="n"/>
      <c r="K259" s="3" t="n"/>
      <c r="L259" s="10" t="n"/>
      <c r="M259" s="6" t="n"/>
      <c r="N2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59" s="3">
        <f>IF(tblOrdenes[[#This Row],[fecha_inicio]]="","",YEAR(tblOrdenes[[#This Row],[fecha_inicio]]))</f>
        <v/>
      </c>
      <c r="R259" s="3">
        <f>IF(tblOrdenes[[#This Row],[fecha_inicio]]="","",MONTH(tblOrdenes[[#This Row],[fecha_inicio]]))</f>
        <v/>
      </c>
      <c r="S259" s="3">
        <f>IF(tblOrdenes[[#This Row],[fecha_inicio]]="","",INDEX(lista_dias,WEEKDAY(tblOrdenes[[#This Row],[fecha_inicio]],2)))</f>
        <v/>
      </c>
      <c r="T259" s="3">
        <f>IF(tblOrdenes[[#This Row],[tipo_ot]]="","",_xlfn.XLOOKUP(tblOrdenes[[#This Row],[tipo_ot]],tblTiposOT[codigo],tblTiposOT[clasificacion],"sin_clasificar"))</f>
        <v/>
      </c>
      <c r="U259" s="3">
        <f>IF(tblOrdenes[[#This Row],[centro_costo]]="","",_xlfn.XLOOKUP(tblOrdenes[[#This Row],[centro_costo]],tblCECO[codigo],tblCECO[linea],"(sin catálogo)"))</f>
        <v/>
      </c>
      <c r="V259" s="3">
        <f>IF(tblOrdenes[[#This Row],[centro_costo]]="","",_xlfn.XLOOKUP(tblOrdenes[[#This Row],[centro_costo]],tblCECO[codigo],tblCECO[area],"(sin catálogo)"))</f>
        <v/>
      </c>
      <c r="W259" s="3">
        <f>IF(tblOrdenes[[#This Row],[centro_costo]]="","",_xlfn.XLOOKUP(tblOrdenes[[#This Row],[centro_costo]],tblCECO[codigo],tblCECO[coordinador],"(sin catálogo)"))</f>
        <v/>
      </c>
      <c r="X259" s="3">
        <f>IF(tblOrdenes[[#This Row],[puesto_trabajo]]="","",_xlfn.XLOOKUP(tblOrdenes[[#This Row],[puesto_trabajo]],tblPuestos[codigo],tblPuestos[especialidad],"(sin catálogo)"))</f>
        <v/>
      </c>
      <c r="Y259" s="3">
        <f>IF(tblOrdenes[[#This Row],[cod_actividad]]="","",_xlfn.XLOOKUP(tblOrdenes[[#This Row],[cod_actividad]],tblActividades[codigo],tblActividades[descripcion],"(sin catálogo)"))</f>
        <v/>
      </c>
      <c r="Z259" s="12">
        <f>IF(tblOrdenes[[#This Row],[fecha_inicio]]="","",TODAY()-tblOrdenes[[#This Row],[fecha_inicio]])</f>
        <v/>
      </c>
      <c r="AA259" s="3">
        <f>IF(tblOrdenes[[#This Row],[backlog_dias]]="","",IF(tblOrdenes[[#This Row],[backlog_dias]]&lt;0,"FUTURO",IF(tblOrdenes[[#This Row],[backlog_dias]]&gt;p_dias_backlog_max,"BACKLOG","MES CORRIENTE")))</f>
        <v/>
      </c>
      <c r="AB259" s="3">
        <f>IF(tblOrdenes[[#This Row],[backlog_dias]]="",FALSE,AND(tblOrdenes[[#This Row],[backlog_dias]]&gt;p_dias_backlog_min,tblOrdenes[[#This Row],[backlog_dias]]&lt;=p_dias_backlog_max))</f>
        <v/>
      </c>
      <c r="AC259" s="6" t="n"/>
      <c r="AD2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59" s="10">
        <f>IF(tblOrdenes[[#This Row],[orden]]="","",_xlfn.XLOOKUP(tblOrdenes[[#This Row],[id_operacion]],tblEjecucion[id_operacion],tblEjecucion[precio],0))</f>
        <v/>
      </c>
      <c r="AH259" s="10">
        <f>IF(tblOrdenes[[#This Row],[orden]]="","",MAX(0,_xlfn.XLOOKUP(tblOrdenes[[#This Row],[id_operacion]],tblEjecucion[id_operacion],tblEjecucion[costo_plan_total],0)-tblOrdenes[[#This Row],[costo_servicio]]))</f>
        <v/>
      </c>
      <c r="AI259" s="10">
        <f>IF(tblOrdenes[[#This Row],[orden]]="","",tblOrdenes[[#This Row],[costo_servicio]]+tblOrdenes[[#This Row],[costo_materiales]])</f>
        <v/>
      </c>
      <c r="AJ259" s="6" t="n"/>
      <c r="AK259" s="6" t="n"/>
      <c r="AL259" s="6" t="n"/>
      <c r="AM259" s="3">
        <f>IF(tblOrdenes[[#This Row],[link_checklist]]="","",HYPERLINK(p_ruta_base_checklists&amp;tblOrdenes[[#This Row],[link_checklist]],"abrir"))</f>
        <v/>
      </c>
      <c r="AN259" s="6" t="n"/>
      <c r="AO259" s="3">
        <f>IF(tblOrdenes[[#This Row],[orden]]="","",tblOrdenes[[#This Row],[orden]]&amp;IF(tblOrdenes[[#This Row],[operacion]]="","0010",tblOrdenes[[#This Row],[operacion]]))</f>
        <v/>
      </c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11" t="n"/>
      <c r="K260" s="3" t="n"/>
      <c r="L260" s="10" t="n"/>
      <c r="M260" s="6" t="n"/>
      <c r="N2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60" s="3">
        <f>IF(tblOrdenes[[#This Row],[fecha_inicio]]="","",YEAR(tblOrdenes[[#This Row],[fecha_inicio]]))</f>
        <v/>
      </c>
      <c r="R260" s="3">
        <f>IF(tblOrdenes[[#This Row],[fecha_inicio]]="","",MONTH(tblOrdenes[[#This Row],[fecha_inicio]]))</f>
        <v/>
      </c>
      <c r="S260" s="3">
        <f>IF(tblOrdenes[[#This Row],[fecha_inicio]]="","",INDEX(lista_dias,WEEKDAY(tblOrdenes[[#This Row],[fecha_inicio]],2)))</f>
        <v/>
      </c>
      <c r="T260" s="3">
        <f>IF(tblOrdenes[[#This Row],[tipo_ot]]="","",_xlfn.XLOOKUP(tblOrdenes[[#This Row],[tipo_ot]],tblTiposOT[codigo],tblTiposOT[clasificacion],"sin_clasificar"))</f>
        <v/>
      </c>
      <c r="U260" s="3">
        <f>IF(tblOrdenes[[#This Row],[centro_costo]]="","",_xlfn.XLOOKUP(tblOrdenes[[#This Row],[centro_costo]],tblCECO[codigo],tblCECO[linea],"(sin catálogo)"))</f>
        <v/>
      </c>
      <c r="V260" s="3">
        <f>IF(tblOrdenes[[#This Row],[centro_costo]]="","",_xlfn.XLOOKUP(tblOrdenes[[#This Row],[centro_costo]],tblCECO[codigo],tblCECO[area],"(sin catálogo)"))</f>
        <v/>
      </c>
      <c r="W260" s="3">
        <f>IF(tblOrdenes[[#This Row],[centro_costo]]="","",_xlfn.XLOOKUP(tblOrdenes[[#This Row],[centro_costo]],tblCECO[codigo],tblCECO[coordinador],"(sin catálogo)"))</f>
        <v/>
      </c>
      <c r="X260" s="3">
        <f>IF(tblOrdenes[[#This Row],[puesto_trabajo]]="","",_xlfn.XLOOKUP(tblOrdenes[[#This Row],[puesto_trabajo]],tblPuestos[codigo],tblPuestos[especialidad],"(sin catálogo)"))</f>
        <v/>
      </c>
      <c r="Y260" s="3">
        <f>IF(tblOrdenes[[#This Row],[cod_actividad]]="","",_xlfn.XLOOKUP(tblOrdenes[[#This Row],[cod_actividad]],tblActividades[codigo],tblActividades[descripcion],"(sin catálogo)"))</f>
        <v/>
      </c>
      <c r="Z260" s="12">
        <f>IF(tblOrdenes[[#This Row],[fecha_inicio]]="","",TODAY()-tblOrdenes[[#This Row],[fecha_inicio]])</f>
        <v/>
      </c>
      <c r="AA260" s="3">
        <f>IF(tblOrdenes[[#This Row],[backlog_dias]]="","",IF(tblOrdenes[[#This Row],[backlog_dias]]&lt;0,"FUTURO",IF(tblOrdenes[[#This Row],[backlog_dias]]&gt;p_dias_backlog_max,"BACKLOG","MES CORRIENTE")))</f>
        <v/>
      </c>
      <c r="AB260" s="3">
        <f>IF(tblOrdenes[[#This Row],[backlog_dias]]="",FALSE,AND(tblOrdenes[[#This Row],[backlog_dias]]&gt;p_dias_backlog_min,tblOrdenes[[#This Row],[backlog_dias]]&lt;=p_dias_backlog_max))</f>
        <v/>
      </c>
      <c r="AC260" s="6" t="n"/>
      <c r="AD2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60" s="10">
        <f>IF(tblOrdenes[[#This Row],[orden]]="","",_xlfn.XLOOKUP(tblOrdenes[[#This Row],[id_operacion]],tblEjecucion[id_operacion],tblEjecucion[precio],0))</f>
        <v/>
      </c>
      <c r="AH260" s="10">
        <f>IF(tblOrdenes[[#This Row],[orden]]="","",MAX(0,_xlfn.XLOOKUP(tblOrdenes[[#This Row],[id_operacion]],tblEjecucion[id_operacion],tblEjecucion[costo_plan_total],0)-tblOrdenes[[#This Row],[costo_servicio]]))</f>
        <v/>
      </c>
      <c r="AI260" s="10">
        <f>IF(tblOrdenes[[#This Row],[orden]]="","",tblOrdenes[[#This Row],[costo_servicio]]+tblOrdenes[[#This Row],[costo_materiales]])</f>
        <v/>
      </c>
      <c r="AJ260" s="6" t="n"/>
      <c r="AK260" s="6" t="n"/>
      <c r="AL260" s="6" t="n"/>
      <c r="AM260" s="3">
        <f>IF(tblOrdenes[[#This Row],[link_checklist]]="","",HYPERLINK(p_ruta_base_checklists&amp;tblOrdenes[[#This Row],[link_checklist]],"abrir"))</f>
        <v/>
      </c>
      <c r="AN260" s="6" t="n"/>
      <c r="AO260" s="3">
        <f>IF(tblOrdenes[[#This Row],[orden]]="","",tblOrdenes[[#This Row],[orden]]&amp;IF(tblOrdenes[[#This Row],[operacion]]="","0010",tblOrdenes[[#This Row],[operacion]]))</f>
        <v/>
      </c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11" t="n"/>
      <c r="K261" s="3" t="n"/>
      <c r="L261" s="10" t="n"/>
      <c r="M261" s="6" t="n"/>
      <c r="N2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61" s="3">
        <f>IF(tblOrdenes[[#This Row],[fecha_inicio]]="","",YEAR(tblOrdenes[[#This Row],[fecha_inicio]]))</f>
        <v/>
      </c>
      <c r="R261" s="3">
        <f>IF(tblOrdenes[[#This Row],[fecha_inicio]]="","",MONTH(tblOrdenes[[#This Row],[fecha_inicio]]))</f>
        <v/>
      </c>
      <c r="S261" s="3">
        <f>IF(tblOrdenes[[#This Row],[fecha_inicio]]="","",INDEX(lista_dias,WEEKDAY(tblOrdenes[[#This Row],[fecha_inicio]],2)))</f>
        <v/>
      </c>
      <c r="T261" s="3">
        <f>IF(tblOrdenes[[#This Row],[tipo_ot]]="","",_xlfn.XLOOKUP(tblOrdenes[[#This Row],[tipo_ot]],tblTiposOT[codigo],tblTiposOT[clasificacion],"sin_clasificar"))</f>
        <v/>
      </c>
      <c r="U261" s="3">
        <f>IF(tblOrdenes[[#This Row],[centro_costo]]="","",_xlfn.XLOOKUP(tblOrdenes[[#This Row],[centro_costo]],tblCECO[codigo],tblCECO[linea],"(sin catálogo)"))</f>
        <v/>
      </c>
      <c r="V261" s="3">
        <f>IF(tblOrdenes[[#This Row],[centro_costo]]="","",_xlfn.XLOOKUP(tblOrdenes[[#This Row],[centro_costo]],tblCECO[codigo],tblCECO[area],"(sin catálogo)"))</f>
        <v/>
      </c>
      <c r="W261" s="3">
        <f>IF(tblOrdenes[[#This Row],[centro_costo]]="","",_xlfn.XLOOKUP(tblOrdenes[[#This Row],[centro_costo]],tblCECO[codigo],tblCECO[coordinador],"(sin catálogo)"))</f>
        <v/>
      </c>
      <c r="X261" s="3">
        <f>IF(tblOrdenes[[#This Row],[puesto_trabajo]]="","",_xlfn.XLOOKUP(tblOrdenes[[#This Row],[puesto_trabajo]],tblPuestos[codigo],tblPuestos[especialidad],"(sin catálogo)"))</f>
        <v/>
      </c>
      <c r="Y261" s="3">
        <f>IF(tblOrdenes[[#This Row],[cod_actividad]]="","",_xlfn.XLOOKUP(tblOrdenes[[#This Row],[cod_actividad]],tblActividades[codigo],tblActividades[descripcion],"(sin catálogo)"))</f>
        <v/>
      </c>
      <c r="Z261" s="12">
        <f>IF(tblOrdenes[[#This Row],[fecha_inicio]]="","",TODAY()-tblOrdenes[[#This Row],[fecha_inicio]])</f>
        <v/>
      </c>
      <c r="AA261" s="3">
        <f>IF(tblOrdenes[[#This Row],[backlog_dias]]="","",IF(tblOrdenes[[#This Row],[backlog_dias]]&lt;0,"FUTURO",IF(tblOrdenes[[#This Row],[backlog_dias]]&gt;p_dias_backlog_max,"BACKLOG","MES CORRIENTE")))</f>
        <v/>
      </c>
      <c r="AB261" s="3">
        <f>IF(tblOrdenes[[#This Row],[backlog_dias]]="",FALSE,AND(tblOrdenes[[#This Row],[backlog_dias]]&gt;p_dias_backlog_min,tblOrdenes[[#This Row],[backlog_dias]]&lt;=p_dias_backlog_max))</f>
        <v/>
      </c>
      <c r="AC261" s="6" t="n"/>
      <c r="AD2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61" s="10">
        <f>IF(tblOrdenes[[#This Row],[orden]]="","",_xlfn.XLOOKUP(tblOrdenes[[#This Row],[id_operacion]],tblEjecucion[id_operacion],tblEjecucion[precio],0))</f>
        <v/>
      </c>
      <c r="AH261" s="10">
        <f>IF(tblOrdenes[[#This Row],[orden]]="","",MAX(0,_xlfn.XLOOKUP(tblOrdenes[[#This Row],[id_operacion]],tblEjecucion[id_operacion],tblEjecucion[costo_plan_total],0)-tblOrdenes[[#This Row],[costo_servicio]]))</f>
        <v/>
      </c>
      <c r="AI261" s="10">
        <f>IF(tblOrdenes[[#This Row],[orden]]="","",tblOrdenes[[#This Row],[costo_servicio]]+tblOrdenes[[#This Row],[costo_materiales]])</f>
        <v/>
      </c>
      <c r="AJ261" s="6" t="n"/>
      <c r="AK261" s="6" t="n"/>
      <c r="AL261" s="6" t="n"/>
      <c r="AM261" s="3">
        <f>IF(tblOrdenes[[#This Row],[link_checklist]]="","",HYPERLINK(p_ruta_base_checklists&amp;tblOrdenes[[#This Row],[link_checklist]],"abrir"))</f>
        <v/>
      </c>
      <c r="AN261" s="6" t="n"/>
      <c r="AO261" s="3">
        <f>IF(tblOrdenes[[#This Row],[orden]]="","",tblOrdenes[[#This Row],[orden]]&amp;IF(tblOrdenes[[#This Row],[operacion]]="","0010",tblOrdenes[[#This Row],[operacion]]))</f>
        <v/>
      </c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11" t="n"/>
      <c r="K262" s="3" t="n"/>
      <c r="L262" s="10" t="n"/>
      <c r="M262" s="6" t="n"/>
      <c r="N2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62" s="3">
        <f>IF(tblOrdenes[[#This Row],[fecha_inicio]]="","",YEAR(tblOrdenes[[#This Row],[fecha_inicio]]))</f>
        <v/>
      </c>
      <c r="R262" s="3">
        <f>IF(tblOrdenes[[#This Row],[fecha_inicio]]="","",MONTH(tblOrdenes[[#This Row],[fecha_inicio]]))</f>
        <v/>
      </c>
      <c r="S262" s="3">
        <f>IF(tblOrdenes[[#This Row],[fecha_inicio]]="","",INDEX(lista_dias,WEEKDAY(tblOrdenes[[#This Row],[fecha_inicio]],2)))</f>
        <v/>
      </c>
      <c r="T262" s="3">
        <f>IF(tblOrdenes[[#This Row],[tipo_ot]]="","",_xlfn.XLOOKUP(tblOrdenes[[#This Row],[tipo_ot]],tblTiposOT[codigo],tblTiposOT[clasificacion],"sin_clasificar"))</f>
        <v/>
      </c>
      <c r="U262" s="3">
        <f>IF(tblOrdenes[[#This Row],[centro_costo]]="","",_xlfn.XLOOKUP(tblOrdenes[[#This Row],[centro_costo]],tblCECO[codigo],tblCECO[linea],"(sin catálogo)"))</f>
        <v/>
      </c>
      <c r="V262" s="3">
        <f>IF(tblOrdenes[[#This Row],[centro_costo]]="","",_xlfn.XLOOKUP(tblOrdenes[[#This Row],[centro_costo]],tblCECO[codigo],tblCECO[area],"(sin catálogo)"))</f>
        <v/>
      </c>
      <c r="W262" s="3">
        <f>IF(tblOrdenes[[#This Row],[centro_costo]]="","",_xlfn.XLOOKUP(tblOrdenes[[#This Row],[centro_costo]],tblCECO[codigo],tblCECO[coordinador],"(sin catálogo)"))</f>
        <v/>
      </c>
      <c r="X262" s="3">
        <f>IF(tblOrdenes[[#This Row],[puesto_trabajo]]="","",_xlfn.XLOOKUP(tblOrdenes[[#This Row],[puesto_trabajo]],tblPuestos[codigo],tblPuestos[especialidad],"(sin catálogo)"))</f>
        <v/>
      </c>
      <c r="Y262" s="3">
        <f>IF(tblOrdenes[[#This Row],[cod_actividad]]="","",_xlfn.XLOOKUP(tblOrdenes[[#This Row],[cod_actividad]],tblActividades[codigo],tblActividades[descripcion],"(sin catálogo)"))</f>
        <v/>
      </c>
      <c r="Z262" s="12">
        <f>IF(tblOrdenes[[#This Row],[fecha_inicio]]="","",TODAY()-tblOrdenes[[#This Row],[fecha_inicio]])</f>
        <v/>
      </c>
      <c r="AA262" s="3">
        <f>IF(tblOrdenes[[#This Row],[backlog_dias]]="","",IF(tblOrdenes[[#This Row],[backlog_dias]]&lt;0,"FUTURO",IF(tblOrdenes[[#This Row],[backlog_dias]]&gt;p_dias_backlog_max,"BACKLOG","MES CORRIENTE")))</f>
        <v/>
      </c>
      <c r="AB262" s="3">
        <f>IF(tblOrdenes[[#This Row],[backlog_dias]]="",FALSE,AND(tblOrdenes[[#This Row],[backlog_dias]]&gt;p_dias_backlog_min,tblOrdenes[[#This Row],[backlog_dias]]&lt;=p_dias_backlog_max))</f>
        <v/>
      </c>
      <c r="AC262" s="6" t="n"/>
      <c r="AD2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62" s="10">
        <f>IF(tblOrdenes[[#This Row],[orden]]="","",_xlfn.XLOOKUP(tblOrdenes[[#This Row],[id_operacion]],tblEjecucion[id_operacion],tblEjecucion[precio],0))</f>
        <v/>
      </c>
      <c r="AH262" s="10">
        <f>IF(tblOrdenes[[#This Row],[orden]]="","",MAX(0,_xlfn.XLOOKUP(tblOrdenes[[#This Row],[id_operacion]],tblEjecucion[id_operacion],tblEjecucion[costo_plan_total],0)-tblOrdenes[[#This Row],[costo_servicio]]))</f>
        <v/>
      </c>
      <c r="AI262" s="10">
        <f>IF(tblOrdenes[[#This Row],[orden]]="","",tblOrdenes[[#This Row],[costo_servicio]]+tblOrdenes[[#This Row],[costo_materiales]])</f>
        <v/>
      </c>
      <c r="AJ262" s="6" t="n"/>
      <c r="AK262" s="6" t="n"/>
      <c r="AL262" s="6" t="n"/>
      <c r="AM262" s="3">
        <f>IF(tblOrdenes[[#This Row],[link_checklist]]="","",HYPERLINK(p_ruta_base_checklists&amp;tblOrdenes[[#This Row],[link_checklist]],"abrir"))</f>
        <v/>
      </c>
      <c r="AN262" s="6" t="n"/>
      <c r="AO262" s="3">
        <f>IF(tblOrdenes[[#This Row],[orden]]="","",tblOrdenes[[#This Row],[orden]]&amp;IF(tblOrdenes[[#This Row],[operacion]]="","0010",tblOrdenes[[#This Row],[operacion]]))</f>
        <v/>
      </c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11" t="n"/>
      <c r="K263" s="3" t="n"/>
      <c r="L263" s="10" t="n"/>
      <c r="M263" s="6" t="n"/>
      <c r="N2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63" s="3">
        <f>IF(tblOrdenes[[#This Row],[fecha_inicio]]="","",YEAR(tblOrdenes[[#This Row],[fecha_inicio]]))</f>
        <v/>
      </c>
      <c r="R263" s="3">
        <f>IF(tblOrdenes[[#This Row],[fecha_inicio]]="","",MONTH(tblOrdenes[[#This Row],[fecha_inicio]]))</f>
        <v/>
      </c>
      <c r="S263" s="3">
        <f>IF(tblOrdenes[[#This Row],[fecha_inicio]]="","",INDEX(lista_dias,WEEKDAY(tblOrdenes[[#This Row],[fecha_inicio]],2)))</f>
        <v/>
      </c>
      <c r="T263" s="3">
        <f>IF(tblOrdenes[[#This Row],[tipo_ot]]="","",_xlfn.XLOOKUP(tblOrdenes[[#This Row],[tipo_ot]],tblTiposOT[codigo],tblTiposOT[clasificacion],"sin_clasificar"))</f>
        <v/>
      </c>
      <c r="U263" s="3">
        <f>IF(tblOrdenes[[#This Row],[centro_costo]]="","",_xlfn.XLOOKUP(tblOrdenes[[#This Row],[centro_costo]],tblCECO[codigo],tblCECO[linea],"(sin catálogo)"))</f>
        <v/>
      </c>
      <c r="V263" s="3">
        <f>IF(tblOrdenes[[#This Row],[centro_costo]]="","",_xlfn.XLOOKUP(tblOrdenes[[#This Row],[centro_costo]],tblCECO[codigo],tblCECO[area],"(sin catálogo)"))</f>
        <v/>
      </c>
      <c r="W263" s="3">
        <f>IF(tblOrdenes[[#This Row],[centro_costo]]="","",_xlfn.XLOOKUP(tblOrdenes[[#This Row],[centro_costo]],tblCECO[codigo],tblCECO[coordinador],"(sin catálogo)"))</f>
        <v/>
      </c>
      <c r="X263" s="3">
        <f>IF(tblOrdenes[[#This Row],[puesto_trabajo]]="","",_xlfn.XLOOKUP(tblOrdenes[[#This Row],[puesto_trabajo]],tblPuestos[codigo],tblPuestos[especialidad],"(sin catálogo)"))</f>
        <v/>
      </c>
      <c r="Y263" s="3">
        <f>IF(tblOrdenes[[#This Row],[cod_actividad]]="","",_xlfn.XLOOKUP(tblOrdenes[[#This Row],[cod_actividad]],tblActividades[codigo],tblActividades[descripcion],"(sin catálogo)"))</f>
        <v/>
      </c>
      <c r="Z263" s="12">
        <f>IF(tblOrdenes[[#This Row],[fecha_inicio]]="","",TODAY()-tblOrdenes[[#This Row],[fecha_inicio]])</f>
        <v/>
      </c>
      <c r="AA263" s="3">
        <f>IF(tblOrdenes[[#This Row],[backlog_dias]]="","",IF(tblOrdenes[[#This Row],[backlog_dias]]&lt;0,"FUTURO",IF(tblOrdenes[[#This Row],[backlog_dias]]&gt;p_dias_backlog_max,"BACKLOG","MES CORRIENTE")))</f>
        <v/>
      </c>
      <c r="AB263" s="3">
        <f>IF(tblOrdenes[[#This Row],[backlog_dias]]="",FALSE,AND(tblOrdenes[[#This Row],[backlog_dias]]&gt;p_dias_backlog_min,tblOrdenes[[#This Row],[backlog_dias]]&lt;=p_dias_backlog_max))</f>
        <v/>
      </c>
      <c r="AC263" s="6" t="n"/>
      <c r="AD2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63" s="10">
        <f>IF(tblOrdenes[[#This Row],[orden]]="","",_xlfn.XLOOKUP(tblOrdenes[[#This Row],[id_operacion]],tblEjecucion[id_operacion],tblEjecucion[precio],0))</f>
        <v/>
      </c>
      <c r="AH263" s="10">
        <f>IF(tblOrdenes[[#This Row],[orden]]="","",MAX(0,_xlfn.XLOOKUP(tblOrdenes[[#This Row],[id_operacion]],tblEjecucion[id_operacion],tblEjecucion[costo_plan_total],0)-tblOrdenes[[#This Row],[costo_servicio]]))</f>
        <v/>
      </c>
      <c r="AI263" s="10">
        <f>IF(tblOrdenes[[#This Row],[orden]]="","",tblOrdenes[[#This Row],[costo_servicio]]+tblOrdenes[[#This Row],[costo_materiales]])</f>
        <v/>
      </c>
      <c r="AJ263" s="6" t="n"/>
      <c r="AK263" s="6" t="n"/>
      <c r="AL263" s="6" t="n"/>
      <c r="AM263" s="3">
        <f>IF(tblOrdenes[[#This Row],[link_checklist]]="","",HYPERLINK(p_ruta_base_checklists&amp;tblOrdenes[[#This Row],[link_checklist]],"abrir"))</f>
        <v/>
      </c>
      <c r="AN263" s="6" t="n"/>
      <c r="AO263" s="3">
        <f>IF(tblOrdenes[[#This Row],[orden]]="","",tblOrdenes[[#This Row],[orden]]&amp;IF(tblOrdenes[[#This Row],[operacion]]="","0010",tblOrdenes[[#This Row],[operacion]]))</f>
        <v/>
      </c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11" t="n"/>
      <c r="K264" s="3" t="n"/>
      <c r="L264" s="10" t="n"/>
      <c r="M264" s="6" t="n"/>
      <c r="N2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64" s="3">
        <f>IF(tblOrdenes[[#This Row],[fecha_inicio]]="","",YEAR(tblOrdenes[[#This Row],[fecha_inicio]]))</f>
        <v/>
      </c>
      <c r="R264" s="3">
        <f>IF(tblOrdenes[[#This Row],[fecha_inicio]]="","",MONTH(tblOrdenes[[#This Row],[fecha_inicio]]))</f>
        <v/>
      </c>
      <c r="S264" s="3">
        <f>IF(tblOrdenes[[#This Row],[fecha_inicio]]="","",INDEX(lista_dias,WEEKDAY(tblOrdenes[[#This Row],[fecha_inicio]],2)))</f>
        <v/>
      </c>
      <c r="T264" s="3">
        <f>IF(tblOrdenes[[#This Row],[tipo_ot]]="","",_xlfn.XLOOKUP(tblOrdenes[[#This Row],[tipo_ot]],tblTiposOT[codigo],tblTiposOT[clasificacion],"sin_clasificar"))</f>
        <v/>
      </c>
      <c r="U264" s="3">
        <f>IF(tblOrdenes[[#This Row],[centro_costo]]="","",_xlfn.XLOOKUP(tblOrdenes[[#This Row],[centro_costo]],tblCECO[codigo],tblCECO[linea],"(sin catálogo)"))</f>
        <v/>
      </c>
      <c r="V264" s="3">
        <f>IF(tblOrdenes[[#This Row],[centro_costo]]="","",_xlfn.XLOOKUP(tblOrdenes[[#This Row],[centro_costo]],tblCECO[codigo],tblCECO[area],"(sin catálogo)"))</f>
        <v/>
      </c>
      <c r="W264" s="3">
        <f>IF(tblOrdenes[[#This Row],[centro_costo]]="","",_xlfn.XLOOKUP(tblOrdenes[[#This Row],[centro_costo]],tblCECO[codigo],tblCECO[coordinador],"(sin catálogo)"))</f>
        <v/>
      </c>
      <c r="X264" s="3">
        <f>IF(tblOrdenes[[#This Row],[puesto_trabajo]]="","",_xlfn.XLOOKUP(tblOrdenes[[#This Row],[puesto_trabajo]],tblPuestos[codigo],tblPuestos[especialidad],"(sin catálogo)"))</f>
        <v/>
      </c>
      <c r="Y264" s="3">
        <f>IF(tblOrdenes[[#This Row],[cod_actividad]]="","",_xlfn.XLOOKUP(tblOrdenes[[#This Row],[cod_actividad]],tblActividades[codigo],tblActividades[descripcion],"(sin catálogo)"))</f>
        <v/>
      </c>
      <c r="Z264" s="12">
        <f>IF(tblOrdenes[[#This Row],[fecha_inicio]]="","",TODAY()-tblOrdenes[[#This Row],[fecha_inicio]])</f>
        <v/>
      </c>
      <c r="AA264" s="3">
        <f>IF(tblOrdenes[[#This Row],[backlog_dias]]="","",IF(tblOrdenes[[#This Row],[backlog_dias]]&lt;0,"FUTURO",IF(tblOrdenes[[#This Row],[backlog_dias]]&gt;p_dias_backlog_max,"BACKLOG","MES CORRIENTE")))</f>
        <v/>
      </c>
      <c r="AB264" s="3">
        <f>IF(tblOrdenes[[#This Row],[backlog_dias]]="",FALSE,AND(tblOrdenes[[#This Row],[backlog_dias]]&gt;p_dias_backlog_min,tblOrdenes[[#This Row],[backlog_dias]]&lt;=p_dias_backlog_max))</f>
        <v/>
      </c>
      <c r="AC264" s="6" t="n"/>
      <c r="AD2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64" s="10">
        <f>IF(tblOrdenes[[#This Row],[orden]]="","",_xlfn.XLOOKUP(tblOrdenes[[#This Row],[id_operacion]],tblEjecucion[id_operacion],tblEjecucion[precio],0))</f>
        <v/>
      </c>
      <c r="AH264" s="10">
        <f>IF(tblOrdenes[[#This Row],[orden]]="","",MAX(0,_xlfn.XLOOKUP(tblOrdenes[[#This Row],[id_operacion]],tblEjecucion[id_operacion],tblEjecucion[costo_plan_total],0)-tblOrdenes[[#This Row],[costo_servicio]]))</f>
        <v/>
      </c>
      <c r="AI264" s="10">
        <f>IF(tblOrdenes[[#This Row],[orden]]="","",tblOrdenes[[#This Row],[costo_servicio]]+tblOrdenes[[#This Row],[costo_materiales]])</f>
        <v/>
      </c>
      <c r="AJ264" s="6" t="n"/>
      <c r="AK264" s="6" t="n"/>
      <c r="AL264" s="6" t="n"/>
      <c r="AM264" s="3">
        <f>IF(tblOrdenes[[#This Row],[link_checklist]]="","",HYPERLINK(p_ruta_base_checklists&amp;tblOrdenes[[#This Row],[link_checklist]],"abrir"))</f>
        <v/>
      </c>
      <c r="AN264" s="6" t="n"/>
      <c r="AO264" s="3">
        <f>IF(tblOrdenes[[#This Row],[orden]]="","",tblOrdenes[[#This Row],[orden]]&amp;IF(tblOrdenes[[#This Row],[operacion]]="","0010",tblOrdenes[[#This Row],[operacion]]))</f>
        <v/>
      </c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11" t="n"/>
      <c r="K265" s="3" t="n"/>
      <c r="L265" s="10" t="n"/>
      <c r="M265" s="6" t="n"/>
      <c r="N2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65" s="3">
        <f>IF(tblOrdenes[[#This Row],[fecha_inicio]]="","",YEAR(tblOrdenes[[#This Row],[fecha_inicio]]))</f>
        <v/>
      </c>
      <c r="R265" s="3">
        <f>IF(tblOrdenes[[#This Row],[fecha_inicio]]="","",MONTH(tblOrdenes[[#This Row],[fecha_inicio]]))</f>
        <v/>
      </c>
      <c r="S265" s="3">
        <f>IF(tblOrdenes[[#This Row],[fecha_inicio]]="","",INDEX(lista_dias,WEEKDAY(tblOrdenes[[#This Row],[fecha_inicio]],2)))</f>
        <v/>
      </c>
      <c r="T265" s="3">
        <f>IF(tblOrdenes[[#This Row],[tipo_ot]]="","",_xlfn.XLOOKUP(tblOrdenes[[#This Row],[tipo_ot]],tblTiposOT[codigo],tblTiposOT[clasificacion],"sin_clasificar"))</f>
        <v/>
      </c>
      <c r="U265" s="3">
        <f>IF(tblOrdenes[[#This Row],[centro_costo]]="","",_xlfn.XLOOKUP(tblOrdenes[[#This Row],[centro_costo]],tblCECO[codigo],tblCECO[linea],"(sin catálogo)"))</f>
        <v/>
      </c>
      <c r="V265" s="3">
        <f>IF(tblOrdenes[[#This Row],[centro_costo]]="","",_xlfn.XLOOKUP(tblOrdenes[[#This Row],[centro_costo]],tblCECO[codigo],tblCECO[area],"(sin catálogo)"))</f>
        <v/>
      </c>
      <c r="W265" s="3">
        <f>IF(tblOrdenes[[#This Row],[centro_costo]]="","",_xlfn.XLOOKUP(tblOrdenes[[#This Row],[centro_costo]],tblCECO[codigo],tblCECO[coordinador],"(sin catálogo)"))</f>
        <v/>
      </c>
      <c r="X265" s="3">
        <f>IF(tblOrdenes[[#This Row],[puesto_trabajo]]="","",_xlfn.XLOOKUP(tblOrdenes[[#This Row],[puesto_trabajo]],tblPuestos[codigo],tblPuestos[especialidad],"(sin catálogo)"))</f>
        <v/>
      </c>
      <c r="Y265" s="3">
        <f>IF(tblOrdenes[[#This Row],[cod_actividad]]="","",_xlfn.XLOOKUP(tblOrdenes[[#This Row],[cod_actividad]],tblActividades[codigo],tblActividades[descripcion],"(sin catálogo)"))</f>
        <v/>
      </c>
      <c r="Z265" s="12">
        <f>IF(tblOrdenes[[#This Row],[fecha_inicio]]="","",TODAY()-tblOrdenes[[#This Row],[fecha_inicio]])</f>
        <v/>
      </c>
      <c r="AA265" s="3">
        <f>IF(tblOrdenes[[#This Row],[backlog_dias]]="","",IF(tblOrdenes[[#This Row],[backlog_dias]]&lt;0,"FUTURO",IF(tblOrdenes[[#This Row],[backlog_dias]]&gt;p_dias_backlog_max,"BACKLOG","MES CORRIENTE")))</f>
        <v/>
      </c>
      <c r="AB265" s="3">
        <f>IF(tblOrdenes[[#This Row],[backlog_dias]]="",FALSE,AND(tblOrdenes[[#This Row],[backlog_dias]]&gt;p_dias_backlog_min,tblOrdenes[[#This Row],[backlog_dias]]&lt;=p_dias_backlog_max))</f>
        <v/>
      </c>
      <c r="AC265" s="6" t="n"/>
      <c r="AD2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65" s="10">
        <f>IF(tblOrdenes[[#This Row],[orden]]="","",_xlfn.XLOOKUP(tblOrdenes[[#This Row],[id_operacion]],tblEjecucion[id_operacion],tblEjecucion[precio],0))</f>
        <v/>
      </c>
      <c r="AH265" s="10">
        <f>IF(tblOrdenes[[#This Row],[orden]]="","",MAX(0,_xlfn.XLOOKUP(tblOrdenes[[#This Row],[id_operacion]],tblEjecucion[id_operacion],tblEjecucion[costo_plan_total],0)-tblOrdenes[[#This Row],[costo_servicio]]))</f>
        <v/>
      </c>
      <c r="AI265" s="10">
        <f>IF(tblOrdenes[[#This Row],[orden]]="","",tblOrdenes[[#This Row],[costo_servicio]]+tblOrdenes[[#This Row],[costo_materiales]])</f>
        <v/>
      </c>
      <c r="AJ265" s="6" t="n"/>
      <c r="AK265" s="6" t="n"/>
      <c r="AL265" s="6" t="n"/>
      <c r="AM265" s="3">
        <f>IF(tblOrdenes[[#This Row],[link_checklist]]="","",HYPERLINK(p_ruta_base_checklists&amp;tblOrdenes[[#This Row],[link_checklist]],"abrir"))</f>
        <v/>
      </c>
      <c r="AN265" s="6" t="n"/>
      <c r="AO265" s="3">
        <f>IF(tblOrdenes[[#This Row],[orden]]="","",tblOrdenes[[#This Row],[orden]]&amp;IF(tblOrdenes[[#This Row],[operacion]]="","0010",tblOrdenes[[#This Row],[operacion]]))</f>
        <v/>
      </c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11" t="n"/>
      <c r="K266" s="3" t="n"/>
      <c r="L266" s="10" t="n"/>
      <c r="M266" s="6" t="n"/>
      <c r="N2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66" s="3">
        <f>IF(tblOrdenes[[#This Row],[fecha_inicio]]="","",YEAR(tblOrdenes[[#This Row],[fecha_inicio]]))</f>
        <v/>
      </c>
      <c r="R266" s="3">
        <f>IF(tblOrdenes[[#This Row],[fecha_inicio]]="","",MONTH(tblOrdenes[[#This Row],[fecha_inicio]]))</f>
        <v/>
      </c>
      <c r="S266" s="3">
        <f>IF(tblOrdenes[[#This Row],[fecha_inicio]]="","",INDEX(lista_dias,WEEKDAY(tblOrdenes[[#This Row],[fecha_inicio]],2)))</f>
        <v/>
      </c>
      <c r="T266" s="3">
        <f>IF(tblOrdenes[[#This Row],[tipo_ot]]="","",_xlfn.XLOOKUP(tblOrdenes[[#This Row],[tipo_ot]],tblTiposOT[codigo],tblTiposOT[clasificacion],"sin_clasificar"))</f>
        <v/>
      </c>
      <c r="U266" s="3">
        <f>IF(tblOrdenes[[#This Row],[centro_costo]]="","",_xlfn.XLOOKUP(tblOrdenes[[#This Row],[centro_costo]],tblCECO[codigo],tblCECO[linea],"(sin catálogo)"))</f>
        <v/>
      </c>
      <c r="V266" s="3">
        <f>IF(tblOrdenes[[#This Row],[centro_costo]]="","",_xlfn.XLOOKUP(tblOrdenes[[#This Row],[centro_costo]],tblCECO[codigo],tblCECO[area],"(sin catálogo)"))</f>
        <v/>
      </c>
      <c r="W266" s="3">
        <f>IF(tblOrdenes[[#This Row],[centro_costo]]="","",_xlfn.XLOOKUP(tblOrdenes[[#This Row],[centro_costo]],tblCECO[codigo],tblCECO[coordinador],"(sin catálogo)"))</f>
        <v/>
      </c>
      <c r="X266" s="3">
        <f>IF(tblOrdenes[[#This Row],[puesto_trabajo]]="","",_xlfn.XLOOKUP(tblOrdenes[[#This Row],[puesto_trabajo]],tblPuestos[codigo],tblPuestos[especialidad],"(sin catálogo)"))</f>
        <v/>
      </c>
      <c r="Y266" s="3">
        <f>IF(tblOrdenes[[#This Row],[cod_actividad]]="","",_xlfn.XLOOKUP(tblOrdenes[[#This Row],[cod_actividad]],tblActividades[codigo],tblActividades[descripcion],"(sin catálogo)"))</f>
        <v/>
      </c>
      <c r="Z266" s="12">
        <f>IF(tblOrdenes[[#This Row],[fecha_inicio]]="","",TODAY()-tblOrdenes[[#This Row],[fecha_inicio]])</f>
        <v/>
      </c>
      <c r="AA266" s="3">
        <f>IF(tblOrdenes[[#This Row],[backlog_dias]]="","",IF(tblOrdenes[[#This Row],[backlog_dias]]&lt;0,"FUTURO",IF(tblOrdenes[[#This Row],[backlog_dias]]&gt;p_dias_backlog_max,"BACKLOG","MES CORRIENTE")))</f>
        <v/>
      </c>
      <c r="AB266" s="3">
        <f>IF(tblOrdenes[[#This Row],[backlog_dias]]="",FALSE,AND(tblOrdenes[[#This Row],[backlog_dias]]&gt;p_dias_backlog_min,tblOrdenes[[#This Row],[backlog_dias]]&lt;=p_dias_backlog_max))</f>
        <v/>
      </c>
      <c r="AC266" s="6" t="n"/>
      <c r="AD2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66" s="10">
        <f>IF(tblOrdenes[[#This Row],[orden]]="","",_xlfn.XLOOKUP(tblOrdenes[[#This Row],[id_operacion]],tblEjecucion[id_operacion],tblEjecucion[precio],0))</f>
        <v/>
      </c>
      <c r="AH266" s="10">
        <f>IF(tblOrdenes[[#This Row],[orden]]="","",MAX(0,_xlfn.XLOOKUP(tblOrdenes[[#This Row],[id_operacion]],tblEjecucion[id_operacion],tblEjecucion[costo_plan_total],0)-tblOrdenes[[#This Row],[costo_servicio]]))</f>
        <v/>
      </c>
      <c r="AI266" s="10">
        <f>IF(tblOrdenes[[#This Row],[orden]]="","",tblOrdenes[[#This Row],[costo_servicio]]+tblOrdenes[[#This Row],[costo_materiales]])</f>
        <v/>
      </c>
      <c r="AJ266" s="6" t="n"/>
      <c r="AK266" s="6" t="n"/>
      <c r="AL266" s="6" t="n"/>
      <c r="AM266" s="3">
        <f>IF(tblOrdenes[[#This Row],[link_checklist]]="","",HYPERLINK(p_ruta_base_checklists&amp;tblOrdenes[[#This Row],[link_checklist]],"abrir"))</f>
        <v/>
      </c>
      <c r="AN266" s="6" t="n"/>
      <c r="AO266" s="3">
        <f>IF(tblOrdenes[[#This Row],[orden]]="","",tblOrdenes[[#This Row],[orden]]&amp;IF(tblOrdenes[[#This Row],[operacion]]="","0010",tblOrdenes[[#This Row],[operacion]]))</f>
        <v/>
      </c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11" t="n"/>
      <c r="K267" s="3" t="n"/>
      <c r="L267" s="10" t="n"/>
      <c r="M267" s="6" t="n"/>
      <c r="N2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67" s="3">
        <f>IF(tblOrdenes[[#This Row],[fecha_inicio]]="","",YEAR(tblOrdenes[[#This Row],[fecha_inicio]]))</f>
        <v/>
      </c>
      <c r="R267" s="3">
        <f>IF(tblOrdenes[[#This Row],[fecha_inicio]]="","",MONTH(tblOrdenes[[#This Row],[fecha_inicio]]))</f>
        <v/>
      </c>
      <c r="S267" s="3">
        <f>IF(tblOrdenes[[#This Row],[fecha_inicio]]="","",INDEX(lista_dias,WEEKDAY(tblOrdenes[[#This Row],[fecha_inicio]],2)))</f>
        <v/>
      </c>
      <c r="T267" s="3">
        <f>IF(tblOrdenes[[#This Row],[tipo_ot]]="","",_xlfn.XLOOKUP(tblOrdenes[[#This Row],[tipo_ot]],tblTiposOT[codigo],tblTiposOT[clasificacion],"sin_clasificar"))</f>
        <v/>
      </c>
      <c r="U267" s="3">
        <f>IF(tblOrdenes[[#This Row],[centro_costo]]="","",_xlfn.XLOOKUP(tblOrdenes[[#This Row],[centro_costo]],tblCECO[codigo],tblCECO[linea],"(sin catálogo)"))</f>
        <v/>
      </c>
      <c r="V267" s="3">
        <f>IF(tblOrdenes[[#This Row],[centro_costo]]="","",_xlfn.XLOOKUP(tblOrdenes[[#This Row],[centro_costo]],tblCECO[codigo],tblCECO[area],"(sin catálogo)"))</f>
        <v/>
      </c>
      <c r="W267" s="3">
        <f>IF(tblOrdenes[[#This Row],[centro_costo]]="","",_xlfn.XLOOKUP(tblOrdenes[[#This Row],[centro_costo]],tblCECO[codigo],tblCECO[coordinador],"(sin catálogo)"))</f>
        <v/>
      </c>
      <c r="X267" s="3">
        <f>IF(tblOrdenes[[#This Row],[puesto_trabajo]]="","",_xlfn.XLOOKUP(tblOrdenes[[#This Row],[puesto_trabajo]],tblPuestos[codigo],tblPuestos[especialidad],"(sin catálogo)"))</f>
        <v/>
      </c>
      <c r="Y267" s="3">
        <f>IF(tblOrdenes[[#This Row],[cod_actividad]]="","",_xlfn.XLOOKUP(tblOrdenes[[#This Row],[cod_actividad]],tblActividades[codigo],tblActividades[descripcion],"(sin catálogo)"))</f>
        <v/>
      </c>
      <c r="Z267" s="12">
        <f>IF(tblOrdenes[[#This Row],[fecha_inicio]]="","",TODAY()-tblOrdenes[[#This Row],[fecha_inicio]])</f>
        <v/>
      </c>
      <c r="AA267" s="3">
        <f>IF(tblOrdenes[[#This Row],[backlog_dias]]="","",IF(tblOrdenes[[#This Row],[backlog_dias]]&lt;0,"FUTURO",IF(tblOrdenes[[#This Row],[backlog_dias]]&gt;p_dias_backlog_max,"BACKLOG","MES CORRIENTE")))</f>
        <v/>
      </c>
      <c r="AB267" s="3">
        <f>IF(tblOrdenes[[#This Row],[backlog_dias]]="",FALSE,AND(tblOrdenes[[#This Row],[backlog_dias]]&gt;p_dias_backlog_min,tblOrdenes[[#This Row],[backlog_dias]]&lt;=p_dias_backlog_max))</f>
        <v/>
      </c>
      <c r="AC267" s="6" t="n"/>
      <c r="AD2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67" s="10">
        <f>IF(tblOrdenes[[#This Row],[orden]]="","",_xlfn.XLOOKUP(tblOrdenes[[#This Row],[id_operacion]],tblEjecucion[id_operacion],tblEjecucion[precio],0))</f>
        <v/>
      </c>
      <c r="AH267" s="10">
        <f>IF(tblOrdenes[[#This Row],[orden]]="","",MAX(0,_xlfn.XLOOKUP(tblOrdenes[[#This Row],[id_operacion]],tblEjecucion[id_operacion],tblEjecucion[costo_plan_total],0)-tblOrdenes[[#This Row],[costo_servicio]]))</f>
        <v/>
      </c>
      <c r="AI267" s="10">
        <f>IF(tblOrdenes[[#This Row],[orden]]="","",tblOrdenes[[#This Row],[costo_servicio]]+tblOrdenes[[#This Row],[costo_materiales]])</f>
        <v/>
      </c>
      <c r="AJ267" s="6" t="n"/>
      <c r="AK267" s="6" t="n"/>
      <c r="AL267" s="6" t="n"/>
      <c r="AM267" s="3">
        <f>IF(tblOrdenes[[#This Row],[link_checklist]]="","",HYPERLINK(p_ruta_base_checklists&amp;tblOrdenes[[#This Row],[link_checklist]],"abrir"))</f>
        <v/>
      </c>
      <c r="AN267" s="6" t="n"/>
      <c r="AO267" s="3">
        <f>IF(tblOrdenes[[#This Row],[orden]]="","",tblOrdenes[[#This Row],[orden]]&amp;IF(tblOrdenes[[#This Row],[operacion]]="","0010",tblOrdenes[[#This Row],[operacion]]))</f>
        <v/>
      </c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11" t="n"/>
      <c r="K268" s="3" t="n"/>
      <c r="L268" s="10" t="n"/>
      <c r="M268" s="6" t="n"/>
      <c r="N2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68" s="3">
        <f>IF(tblOrdenes[[#This Row],[fecha_inicio]]="","",YEAR(tblOrdenes[[#This Row],[fecha_inicio]]))</f>
        <v/>
      </c>
      <c r="R268" s="3">
        <f>IF(tblOrdenes[[#This Row],[fecha_inicio]]="","",MONTH(tblOrdenes[[#This Row],[fecha_inicio]]))</f>
        <v/>
      </c>
      <c r="S268" s="3">
        <f>IF(tblOrdenes[[#This Row],[fecha_inicio]]="","",INDEX(lista_dias,WEEKDAY(tblOrdenes[[#This Row],[fecha_inicio]],2)))</f>
        <v/>
      </c>
      <c r="T268" s="3">
        <f>IF(tblOrdenes[[#This Row],[tipo_ot]]="","",_xlfn.XLOOKUP(tblOrdenes[[#This Row],[tipo_ot]],tblTiposOT[codigo],tblTiposOT[clasificacion],"sin_clasificar"))</f>
        <v/>
      </c>
      <c r="U268" s="3">
        <f>IF(tblOrdenes[[#This Row],[centro_costo]]="","",_xlfn.XLOOKUP(tblOrdenes[[#This Row],[centro_costo]],tblCECO[codigo],tblCECO[linea],"(sin catálogo)"))</f>
        <v/>
      </c>
      <c r="V268" s="3">
        <f>IF(tblOrdenes[[#This Row],[centro_costo]]="","",_xlfn.XLOOKUP(tblOrdenes[[#This Row],[centro_costo]],tblCECO[codigo],tblCECO[area],"(sin catálogo)"))</f>
        <v/>
      </c>
      <c r="W268" s="3">
        <f>IF(tblOrdenes[[#This Row],[centro_costo]]="","",_xlfn.XLOOKUP(tblOrdenes[[#This Row],[centro_costo]],tblCECO[codigo],tblCECO[coordinador],"(sin catálogo)"))</f>
        <v/>
      </c>
      <c r="X268" s="3">
        <f>IF(tblOrdenes[[#This Row],[puesto_trabajo]]="","",_xlfn.XLOOKUP(tblOrdenes[[#This Row],[puesto_trabajo]],tblPuestos[codigo],tblPuestos[especialidad],"(sin catálogo)"))</f>
        <v/>
      </c>
      <c r="Y268" s="3">
        <f>IF(tblOrdenes[[#This Row],[cod_actividad]]="","",_xlfn.XLOOKUP(tblOrdenes[[#This Row],[cod_actividad]],tblActividades[codigo],tblActividades[descripcion],"(sin catálogo)"))</f>
        <v/>
      </c>
      <c r="Z268" s="12">
        <f>IF(tblOrdenes[[#This Row],[fecha_inicio]]="","",TODAY()-tblOrdenes[[#This Row],[fecha_inicio]])</f>
        <v/>
      </c>
      <c r="AA268" s="3">
        <f>IF(tblOrdenes[[#This Row],[backlog_dias]]="","",IF(tblOrdenes[[#This Row],[backlog_dias]]&lt;0,"FUTURO",IF(tblOrdenes[[#This Row],[backlog_dias]]&gt;p_dias_backlog_max,"BACKLOG","MES CORRIENTE")))</f>
        <v/>
      </c>
      <c r="AB268" s="3">
        <f>IF(tblOrdenes[[#This Row],[backlog_dias]]="",FALSE,AND(tblOrdenes[[#This Row],[backlog_dias]]&gt;p_dias_backlog_min,tblOrdenes[[#This Row],[backlog_dias]]&lt;=p_dias_backlog_max))</f>
        <v/>
      </c>
      <c r="AC268" s="6" t="n"/>
      <c r="AD2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68" s="10">
        <f>IF(tblOrdenes[[#This Row],[orden]]="","",_xlfn.XLOOKUP(tblOrdenes[[#This Row],[id_operacion]],tblEjecucion[id_operacion],tblEjecucion[precio],0))</f>
        <v/>
      </c>
      <c r="AH268" s="10">
        <f>IF(tblOrdenes[[#This Row],[orden]]="","",MAX(0,_xlfn.XLOOKUP(tblOrdenes[[#This Row],[id_operacion]],tblEjecucion[id_operacion],tblEjecucion[costo_plan_total],0)-tblOrdenes[[#This Row],[costo_servicio]]))</f>
        <v/>
      </c>
      <c r="AI268" s="10">
        <f>IF(tblOrdenes[[#This Row],[orden]]="","",tblOrdenes[[#This Row],[costo_servicio]]+tblOrdenes[[#This Row],[costo_materiales]])</f>
        <v/>
      </c>
      <c r="AJ268" s="6" t="n"/>
      <c r="AK268" s="6" t="n"/>
      <c r="AL268" s="6" t="n"/>
      <c r="AM268" s="3">
        <f>IF(tblOrdenes[[#This Row],[link_checklist]]="","",HYPERLINK(p_ruta_base_checklists&amp;tblOrdenes[[#This Row],[link_checklist]],"abrir"))</f>
        <v/>
      </c>
      <c r="AN268" s="6" t="n"/>
      <c r="AO268" s="3">
        <f>IF(tblOrdenes[[#This Row],[orden]]="","",tblOrdenes[[#This Row],[orden]]&amp;IF(tblOrdenes[[#This Row],[operacion]]="","0010",tblOrdenes[[#This Row],[operacion]]))</f>
        <v/>
      </c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11" t="n"/>
      <c r="K269" s="3" t="n"/>
      <c r="L269" s="10" t="n"/>
      <c r="M269" s="6" t="n"/>
      <c r="N2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69" s="3">
        <f>IF(tblOrdenes[[#This Row],[fecha_inicio]]="","",YEAR(tblOrdenes[[#This Row],[fecha_inicio]]))</f>
        <v/>
      </c>
      <c r="R269" s="3">
        <f>IF(tblOrdenes[[#This Row],[fecha_inicio]]="","",MONTH(tblOrdenes[[#This Row],[fecha_inicio]]))</f>
        <v/>
      </c>
      <c r="S269" s="3">
        <f>IF(tblOrdenes[[#This Row],[fecha_inicio]]="","",INDEX(lista_dias,WEEKDAY(tblOrdenes[[#This Row],[fecha_inicio]],2)))</f>
        <v/>
      </c>
      <c r="T269" s="3">
        <f>IF(tblOrdenes[[#This Row],[tipo_ot]]="","",_xlfn.XLOOKUP(tblOrdenes[[#This Row],[tipo_ot]],tblTiposOT[codigo],tblTiposOT[clasificacion],"sin_clasificar"))</f>
        <v/>
      </c>
      <c r="U269" s="3">
        <f>IF(tblOrdenes[[#This Row],[centro_costo]]="","",_xlfn.XLOOKUP(tblOrdenes[[#This Row],[centro_costo]],tblCECO[codigo],tblCECO[linea],"(sin catálogo)"))</f>
        <v/>
      </c>
      <c r="V269" s="3">
        <f>IF(tblOrdenes[[#This Row],[centro_costo]]="","",_xlfn.XLOOKUP(tblOrdenes[[#This Row],[centro_costo]],tblCECO[codigo],tblCECO[area],"(sin catálogo)"))</f>
        <v/>
      </c>
      <c r="W269" s="3">
        <f>IF(tblOrdenes[[#This Row],[centro_costo]]="","",_xlfn.XLOOKUP(tblOrdenes[[#This Row],[centro_costo]],tblCECO[codigo],tblCECO[coordinador],"(sin catálogo)"))</f>
        <v/>
      </c>
      <c r="X269" s="3">
        <f>IF(tblOrdenes[[#This Row],[puesto_trabajo]]="","",_xlfn.XLOOKUP(tblOrdenes[[#This Row],[puesto_trabajo]],tblPuestos[codigo],tblPuestos[especialidad],"(sin catálogo)"))</f>
        <v/>
      </c>
      <c r="Y269" s="3">
        <f>IF(tblOrdenes[[#This Row],[cod_actividad]]="","",_xlfn.XLOOKUP(tblOrdenes[[#This Row],[cod_actividad]],tblActividades[codigo],tblActividades[descripcion],"(sin catálogo)"))</f>
        <v/>
      </c>
      <c r="Z269" s="12">
        <f>IF(tblOrdenes[[#This Row],[fecha_inicio]]="","",TODAY()-tblOrdenes[[#This Row],[fecha_inicio]])</f>
        <v/>
      </c>
      <c r="AA269" s="3">
        <f>IF(tblOrdenes[[#This Row],[backlog_dias]]="","",IF(tblOrdenes[[#This Row],[backlog_dias]]&lt;0,"FUTURO",IF(tblOrdenes[[#This Row],[backlog_dias]]&gt;p_dias_backlog_max,"BACKLOG","MES CORRIENTE")))</f>
        <v/>
      </c>
      <c r="AB269" s="3">
        <f>IF(tblOrdenes[[#This Row],[backlog_dias]]="",FALSE,AND(tblOrdenes[[#This Row],[backlog_dias]]&gt;p_dias_backlog_min,tblOrdenes[[#This Row],[backlog_dias]]&lt;=p_dias_backlog_max))</f>
        <v/>
      </c>
      <c r="AC269" s="6" t="n"/>
      <c r="AD2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69" s="10">
        <f>IF(tblOrdenes[[#This Row],[orden]]="","",_xlfn.XLOOKUP(tblOrdenes[[#This Row],[id_operacion]],tblEjecucion[id_operacion],tblEjecucion[precio],0))</f>
        <v/>
      </c>
      <c r="AH269" s="10">
        <f>IF(tblOrdenes[[#This Row],[orden]]="","",MAX(0,_xlfn.XLOOKUP(tblOrdenes[[#This Row],[id_operacion]],tblEjecucion[id_operacion],tblEjecucion[costo_plan_total],0)-tblOrdenes[[#This Row],[costo_servicio]]))</f>
        <v/>
      </c>
      <c r="AI269" s="10">
        <f>IF(tblOrdenes[[#This Row],[orden]]="","",tblOrdenes[[#This Row],[costo_servicio]]+tblOrdenes[[#This Row],[costo_materiales]])</f>
        <v/>
      </c>
      <c r="AJ269" s="6" t="n"/>
      <c r="AK269" s="6" t="n"/>
      <c r="AL269" s="6" t="n"/>
      <c r="AM269" s="3">
        <f>IF(tblOrdenes[[#This Row],[link_checklist]]="","",HYPERLINK(p_ruta_base_checklists&amp;tblOrdenes[[#This Row],[link_checklist]],"abrir"))</f>
        <v/>
      </c>
      <c r="AN269" s="6" t="n"/>
      <c r="AO269" s="3">
        <f>IF(tblOrdenes[[#This Row],[orden]]="","",tblOrdenes[[#This Row],[orden]]&amp;IF(tblOrdenes[[#This Row],[operacion]]="","0010",tblOrdenes[[#This Row],[operacion]]))</f>
        <v/>
      </c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11" t="n"/>
      <c r="K270" s="3" t="n"/>
      <c r="L270" s="10" t="n"/>
      <c r="M270" s="6" t="n"/>
      <c r="N2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70" s="3">
        <f>IF(tblOrdenes[[#This Row],[fecha_inicio]]="","",YEAR(tblOrdenes[[#This Row],[fecha_inicio]]))</f>
        <v/>
      </c>
      <c r="R270" s="3">
        <f>IF(tblOrdenes[[#This Row],[fecha_inicio]]="","",MONTH(tblOrdenes[[#This Row],[fecha_inicio]]))</f>
        <v/>
      </c>
      <c r="S270" s="3">
        <f>IF(tblOrdenes[[#This Row],[fecha_inicio]]="","",INDEX(lista_dias,WEEKDAY(tblOrdenes[[#This Row],[fecha_inicio]],2)))</f>
        <v/>
      </c>
      <c r="T270" s="3">
        <f>IF(tblOrdenes[[#This Row],[tipo_ot]]="","",_xlfn.XLOOKUP(tblOrdenes[[#This Row],[tipo_ot]],tblTiposOT[codigo],tblTiposOT[clasificacion],"sin_clasificar"))</f>
        <v/>
      </c>
      <c r="U270" s="3">
        <f>IF(tblOrdenes[[#This Row],[centro_costo]]="","",_xlfn.XLOOKUP(tblOrdenes[[#This Row],[centro_costo]],tblCECO[codigo],tblCECO[linea],"(sin catálogo)"))</f>
        <v/>
      </c>
      <c r="V270" s="3">
        <f>IF(tblOrdenes[[#This Row],[centro_costo]]="","",_xlfn.XLOOKUP(tblOrdenes[[#This Row],[centro_costo]],tblCECO[codigo],tblCECO[area],"(sin catálogo)"))</f>
        <v/>
      </c>
      <c r="W270" s="3">
        <f>IF(tblOrdenes[[#This Row],[centro_costo]]="","",_xlfn.XLOOKUP(tblOrdenes[[#This Row],[centro_costo]],tblCECO[codigo],tblCECO[coordinador],"(sin catálogo)"))</f>
        <v/>
      </c>
      <c r="X270" s="3">
        <f>IF(tblOrdenes[[#This Row],[puesto_trabajo]]="","",_xlfn.XLOOKUP(tblOrdenes[[#This Row],[puesto_trabajo]],tblPuestos[codigo],tblPuestos[especialidad],"(sin catálogo)"))</f>
        <v/>
      </c>
      <c r="Y270" s="3">
        <f>IF(tblOrdenes[[#This Row],[cod_actividad]]="","",_xlfn.XLOOKUP(tblOrdenes[[#This Row],[cod_actividad]],tblActividades[codigo],tblActividades[descripcion],"(sin catálogo)"))</f>
        <v/>
      </c>
      <c r="Z270" s="12">
        <f>IF(tblOrdenes[[#This Row],[fecha_inicio]]="","",TODAY()-tblOrdenes[[#This Row],[fecha_inicio]])</f>
        <v/>
      </c>
      <c r="AA270" s="3">
        <f>IF(tblOrdenes[[#This Row],[backlog_dias]]="","",IF(tblOrdenes[[#This Row],[backlog_dias]]&lt;0,"FUTURO",IF(tblOrdenes[[#This Row],[backlog_dias]]&gt;p_dias_backlog_max,"BACKLOG","MES CORRIENTE")))</f>
        <v/>
      </c>
      <c r="AB270" s="3">
        <f>IF(tblOrdenes[[#This Row],[backlog_dias]]="",FALSE,AND(tblOrdenes[[#This Row],[backlog_dias]]&gt;p_dias_backlog_min,tblOrdenes[[#This Row],[backlog_dias]]&lt;=p_dias_backlog_max))</f>
        <v/>
      </c>
      <c r="AC270" s="6" t="n"/>
      <c r="AD2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70" s="10">
        <f>IF(tblOrdenes[[#This Row],[orden]]="","",_xlfn.XLOOKUP(tblOrdenes[[#This Row],[id_operacion]],tblEjecucion[id_operacion],tblEjecucion[precio],0))</f>
        <v/>
      </c>
      <c r="AH270" s="10">
        <f>IF(tblOrdenes[[#This Row],[orden]]="","",MAX(0,_xlfn.XLOOKUP(tblOrdenes[[#This Row],[id_operacion]],tblEjecucion[id_operacion],tblEjecucion[costo_plan_total],0)-tblOrdenes[[#This Row],[costo_servicio]]))</f>
        <v/>
      </c>
      <c r="AI270" s="10">
        <f>IF(tblOrdenes[[#This Row],[orden]]="","",tblOrdenes[[#This Row],[costo_servicio]]+tblOrdenes[[#This Row],[costo_materiales]])</f>
        <v/>
      </c>
      <c r="AJ270" s="6" t="n"/>
      <c r="AK270" s="6" t="n"/>
      <c r="AL270" s="6" t="n"/>
      <c r="AM270" s="3">
        <f>IF(tblOrdenes[[#This Row],[link_checklist]]="","",HYPERLINK(p_ruta_base_checklists&amp;tblOrdenes[[#This Row],[link_checklist]],"abrir"))</f>
        <v/>
      </c>
      <c r="AN270" s="6" t="n"/>
      <c r="AO270" s="3">
        <f>IF(tblOrdenes[[#This Row],[orden]]="","",tblOrdenes[[#This Row],[orden]]&amp;IF(tblOrdenes[[#This Row],[operacion]]="","0010",tblOrdenes[[#This Row],[operacion]]))</f>
        <v/>
      </c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11" t="n"/>
      <c r="K271" s="3" t="n"/>
      <c r="L271" s="10" t="n"/>
      <c r="M271" s="6" t="n"/>
      <c r="N2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71" s="3">
        <f>IF(tblOrdenes[[#This Row],[fecha_inicio]]="","",YEAR(tblOrdenes[[#This Row],[fecha_inicio]]))</f>
        <v/>
      </c>
      <c r="R271" s="3">
        <f>IF(tblOrdenes[[#This Row],[fecha_inicio]]="","",MONTH(tblOrdenes[[#This Row],[fecha_inicio]]))</f>
        <v/>
      </c>
      <c r="S271" s="3">
        <f>IF(tblOrdenes[[#This Row],[fecha_inicio]]="","",INDEX(lista_dias,WEEKDAY(tblOrdenes[[#This Row],[fecha_inicio]],2)))</f>
        <v/>
      </c>
      <c r="T271" s="3">
        <f>IF(tblOrdenes[[#This Row],[tipo_ot]]="","",_xlfn.XLOOKUP(tblOrdenes[[#This Row],[tipo_ot]],tblTiposOT[codigo],tblTiposOT[clasificacion],"sin_clasificar"))</f>
        <v/>
      </c>
      <c r="U271" s="3">
        <f>IF(tblOrdenes[[#This Row],[centro_costo]]="","",_xlfn.XLOOKUP(tblOrdenes[[#This Row],[centro_costo]],tblCECO[codigo],tblCECO[linea],"(sin catálogo)"))</f>
        <v/>
      </c>
      <c r="V271" s="3">
        <f>IF(tblOrdenes[[#This Row],[centro_costo]]="","",_xlfn.XLOOKUP(tblOrdenes[[#This Row],[centro_costo]],tblCECO[codigo],tblCECO[area],"(sin catálogo)"))</f>
        <v/>
      </c>
      <c r="W271" s="3">
        <f>IF(tblOrdenes[[#This Row],[centro_costo]]="","",_xlfn.XLOOKUP(tblOrdenes[[#This Row],[centro_costo]],tblCECO[codigo],tblCECO[coordinador],"(sin catálogo)"))</f>
        <v/>
      </c>
      <c r="X271" s="3">
        <f>IF(tblOrdenes[[#This Row],[puesto_trabajo]]="","",_xlfn.XLOOKUP(tblOrdenes[[#This Row],[puesto_trabajo]],tblPuestos[codigo],tblPuestos[especialidad],"(sin catálogo)"))</f>
        <v/>
      </c>
      <c r="Y271" s="3">
        <f>IF(tblOrdenes[[#This Row],[cod_actividad]]="","",_xlfn.XLOOKUP(tblOrdenes[[#This Row],[cod_actividad]],tblActividades[codigo],tblActividades[descripcion],"(sin catálogo)"))</f>
        <v/>
      </c>
      <c r="Z271" s="12">
        <f>IF(tblOrdenes[[#This Row],[fecha_inicio]]="","",TODAY()-tblOrdenes[[#This Row],[fecha_inicio]])</f>
        <v/>
      </c>
      <c r="AA271" s="3">
        <f>IF(tblOrdenes[[#This Row],[backlog_dias]]="","",IF(tblOrdenes[[#This Row],[backlog_dias]]&lt;0,"FUTURO",IF(tblOrdenes[[#This Row],[backlog_dias]]&gt;p_dias_backlog_max,"BACKLOG","MES CORRIENTE")))</f>
        <v/>
      </c>
      <c r="AB271" s="3">
        <f>IF(tblOrdenes[[#This Row],[backlog_dias]]="",FALSE,AND(tblOrdenes[[#This Row],[backlog_dias]]&gt;p_dias_backlog_min,tblOrdenes[[#This Row],[backlog_dias]]&lt;=p_dias_backlog_max))</f>
        <v/>
      </c>
      <c r="AC271" s="6" t="n"/>
      <c r="AD2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71" s="10">
        <f>IF(tblOrdenes[[#This Row],[orden]]="","",_xlfn.XLOOKUP(tblOrdenes[[#This Row],[id_operacion]],tblEjecucion[id_operacion],tblEjecucion[precio],0))</f>
        <v/>
      </c>
      <c r="AH271" s="10">
        <f>IF(tblOrdenes[[#This Row],[orden]]="","",MAX(0,_xlfn.XLOOKUP(tblOrdenes[[#This Row],[id_operacion]],tblEjecucion[id_operacion],tblEjecucion[costo_plan_total],0)-tblOrdenes[[#This Row],[costo_servicio]]))</f>
        <v/>
      </c>
      <c r="AI271" s="10">
        <f>IF(tblOrdenes[[#This Row],[orden]]="","",tblOrdenes[[#This Row],[costo_servicio]]+tblOrdenes[[#This Row],[costo_materiales]])</f>
        <v/>
      </c>
      <c r="AJ271" s="6" t="n"/>
      <c r="AK271" s="6" t="n"/>
      <c r="AL271" s="6" t="n"/>
      <c r="AM271" s="3">
        <f>IF(tblOrdenes[[#This Row],[link_checklist]]="","",HYPERLINK(p_ruta_base_checklists&amp;tblOrdenes[[#This Row],[link_checklist]],"abrir"))</f>
        <v/>
      </c>
      <c r="AN271" s="6" t="n"/>
      <c r="AO271" s="3">
        <f>IF(tblOrdenes[[#This Row],[orden]]="","",tblOrdenes[[#This Row],[orden]]&amp;IF(tblOrdenes[[#This Row],[operacion]]="","0010",tblOrdenes[[#This Row],[operacion]]))</f>
        <v/>
      </c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11" t="n"/>
      <c r="K272" s="3" t="n"/>
      <c r="L272" s="10" t="n"/>
      <c r="M272" s="6" t="n"/>
      <c r="N2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72" s="3">
        <f>IF(tblOrdenes[[#This Row],[fecha_inicio]]="","",YEAR(tblOrdenes[[#This Row],[fecha_inicio]]))</f>
        <v/>
      </c>
      <c r="R272" s="3">
        <f>IF(tblOrdenes[[#This Row],[fecha_inicio]]="","",MONTH(tblOrdenes[[#This Row],[fecha_inicio]]))</f>
        <v/>
      </c>
      <c r="S272" s="3">
        <f>IF(tblOrdenes[[#This Row],[fecha_inicio]]="","",INDEX(lista_dias,WEEKDAY(tblOrdenes[[#This Row],[fecha_inicio]],2)))</f>
        <v/>
      </c>
      <c r="T272" s="3">
        <f>IF(tblOrdenes[[#This Row],[tipo_ot]]="","",_xlfn.XLOOKUP(tblOrdenes[[#This Row],[tipo_ot]],tblTiposOT[codigo],tblTiposOT[clasificacion],"sin_clasificar"))</f>
        <v/>
      </c>
      <c r="U272" s="3">
        <f>IF(tblOrdenes[[#This Row],[centro_costo]]="","",_xlfn.XLOOKUP(tblOrdenes[[#This Row],[centro_costo]],tblCECO[codigo],tblCECO[linea],"(sin catálogo)"))</f>
        <v/>
      </c>
      <c r="V272" s="3">
        <f>IF(tblOrdenes[[#This Row],[centro_costo]]="","",_xlfn.XLOOKUP(tblOrdenes[[#This Row],[centro_costo]],tblCECO[codigo],tblCECO[area],"(sin catálogo)"))</f>
        <v/>
      </c>
      <c r="W272" s="3">
        <f>IF(tblOrdenes[[#This Row],[centro_costo]]="","",_xlfn.XLOOKUP(tblOrdenes[[#This Row],[centro_costo]],tblCECO[codigo],tblCECO[coordinador],"(sin catálogo)"))</f>
        <v/>
      </c>
      <c r="X272" s="3">
        <f>IF(tblOrdenes[[#This Row],[puesto_trabajo]]="","",_xlfn.XLOOKUP(tblOrdenes[[#This Row],[puesto_trabajo]],tblPuestos[codigo],tblPuestos[especialidad],"(sin catálogo)"))</f>
        <v/>
      </c>
      <c r="Y272" s="3">
        <f>IF(tblOrdenes[[#This Row],[cod_actividad]]="","",_xlfn.XLOOKUP(tblOrdenes[[#This Row],[cod_actividad]],tblActividades[codigo],tblActividades[descripcion],"(sin catálogo)"))</f>
        <v/>
      </c>
      <c r="Z272" s="12">
        <f>IF(tblOrdenes[[#This Row],[fecha_inicio]]="","",TODAY()-tblOrdenes[[#This Row],[fecha_inicio]])</f>
        <v/>
      </c>
      <c r="AA272" s="3">
        <f>IF(tblOrdenes[[#This Row],[backlog_dias]]="","",IF(tblOrdenes[[#This Row],[backlog_dias]]&lt;0,"FUTURO",IF(tblOrdenes[[#This Row],[backlog_dias]]&gt;p_dias_backlog_max,"BACKLOG","MES CORRIENTE")))</f>
        <v/>
      </c>
      <c r="AB272" s="3">
        <f>IF(tblOrdenes[[#This Row],[backlog_dias]]="",FALSE,AND(tblOrdenes[[#This Row],[backlog_dias]]&gt;p_dias_backlog_min,tblOrdenes[[#This Row],[backlog_dias]]&lt;=p_dias_backlog_max))</f>
        <v/>
      </c>
      <c r="AC272" s="6" t="n"/>
      <c r="AD2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72" s="10">
        <f>IF(tblOrdenes[[#This Row],[orden]]="","",_xlfn.XLOOKUP(tblOrdenes[[#This Row],[id_operacion]],tblEjecucion[id_operacion],tblEjecucion[precio],0))</f>
        <v/>
      </c>
      <c r="AH272" s="10">
        <f>IF(tblOrdenes[[#This Row],[orden]]="","",MAX(0,_xlfn.XLOOKUP(tblOrdenes[[#This Row],[id_operacion]],tblEjecucion[id_operacion],tblEjecucion[costo_plan_total],0)-tblOrdenes[[#This Row],[costo_servicio]]))</f>
        <v/>
      </c>
      <c r="AI272" s="10">
        <f>IF(tblOrdenes[[#This Row],[orden]]="","",tblOrdenes[[#This Row],[costo_servicio]]+tblOrdenes[[#This Row],[costo_materiales]])</f>
        <v/>
      </c>
      <c r="AJ272" s="6" t="n"/>
      <c r="AK272" s="6" t="n"/>
      <c r="AL272" s="6" t="n"/>
      <c r="AM272" s="3">
        <f>IF(tblOrdenes[[#This Row],[link_checklist]]="","",HYPERLINK(p_ruta_base_checklists&amp;tblOrdenes[[#This Row],[link_checklist]],"abrir"))</f>
        <v/>
      </c>
      <c r="AN272" s="6" t="n"/>
      <c r="AO272" s="3">
        <f>IF(tblOrdenes[[#This Row],[orden]]="","",tblOrdenes[[#This Row],[orden]]&amp;IF(tblOrdenes[[#This Row],[operacion]]="","0010",tblOrdenes[[#This Row],[operacion]]))</f>
        <v/>
      </c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11" t="n"/>
      <c r="K273" s="3" t="n"/>
      <c r="L273" s="10" t="n"/>
      <c r="M273" s="6" t="n"/>
      <c r="N2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73" s="3">
        <f>IF(tblOrdenes[[#This Row],[fecha_inicio]]="","",YEAR(tblOrdenes[[#This Row],[fecha_inicio]]))</f>
        <v/>
      </c>
      <c r="R273" s="3">
        <f>IF(tblOrdenes[[#This Row],[fecha_inicio]]="","",MONTH(tblOrdenes[[#This Row],[fecha_inicio]]))</f>
        <v/>
      </c>
      <c r="S273" s="3">
        <f>IF(tblOrdenes[[#This Row],[fecha_inicio]]="","",INDEX(lista_dias,WEEKDAY(tblOrdenes[[#This Row],[fecha_inicio]],2)))</f>
        <v/>
      </c>
      <c r="T273" s="3">
        <f>IF(tblOrdenes[[#This Row],[tipo_ot]]="","",_xlfn.XLOOKUP(tblOrdenes[[#This Row],[tipo_ot]],tblTiposOT[codigo],tblTiposOT[clasificacion],"sin_clasificar"))</f>
        <v/>
      </c>
      <c r="U273" s="3">
        <f>IF(tblOrdenes[[#This Row],[centro_costo]]="","",_xlfn.XLOOKUP(tblOrdenes[[#This Row],[centro_costo]],tblCECO[codigo],tblCECO[linea],"(sin catálogo)"))</f>
        <v/>
      </c>
      <c r="V273" s="3">
        <f>IF(tblOrdenes[[#This Row],[centro_costo]]="","",_xlfn.XLOOKUP(tblOrdenes[[#This Row],[centro_costo]],tblCECO[codigo],tblCECO[area],"(sin catálogo)"))</f>
        <v/>
      </c>
      <c r="W273" s="3">
        <f>IF(tblOrdenes[[#This Row],[centro_costo]]="","",_xlfn.XLOOKUP(tblOrdenes[[#This Row],[centro_costo]],tblCECO[codigo],tblCECO[coordinador],"(sin catálogo)"))</f>
        <v/>
      </c>
      <c r="X273" s="3">
        <f>IF(tblOrdenes[[#This Row],[puesto_trabajo]]="","",_xlfn.XLOOKUP(tblOrdenes[[#This Row],[puesto_trabajo]],tblPuestos[codigo],tblPuestos[especialidad],"(sin catálogo)"))</f>
        <v/>
      </c>
      <c r="Y273" s="3">
        <f>IF(tblOrdenes[[#This Row],[cod_actividad]]="","",_xlfn.XLOOKUP(tblOrdenes[[#This Row],[cod_actividad]],tblActividades[codigo],tblActividades[descripcion],"(sin catálogo)"))</f>
        <v/>
      </c>
      <c r="Z273" s="12">
        <f>IF(tblOrdenes[[#This Row],[fecha_inicio]]="","",TODAY()-tblOrdenes[[#This Row],[fecha_inicio]])</f>
        <v/>
      </c>
      <c r="AA273" s="3">
        <f>IF(tblOrdenes[[#This Row],[backlog_dias]]="","",IF(tblOrdenes[[#This Row],[backlog_dias]]&lt;0,"FUTURO",IF(tblOrdenes[[#This Row],[backlog_dias]]&gt;p_dias_backlog_max,"BACKLOG","MES CORRIENTE")))</f>
        <v/>
      </c>
      <c r="AB273" s="3">
        <f>IF(tblOrdenes[[#This Row],[backlog_dias]]="",FALSE,AND(tblOrdenes[[#This Row],[backlog_dias]]&gt;p_dias_backlog_min,tblOrdenes[[#This Row],[backlog_dias]]&lt;=p_dias_backlog_max))</f>
        <v/>
      </c>
      <c r="AC273" s="6" t="n"/>
      <c r="AD2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73" s="10">
        <f>IF(tblOrdenes[[#This Row],[orden]]="","",_xlfn.XLOOKUP(tblOrdenes[[#This Row],[id_operacion]],tblEjecucion[id_operacion],tblEjecucion[precio],0))</f>
        <v/>
      </c>
      <c r="AH273" s="10">
        <f>IF(tblOrdenes[[#This Row],[orden]]="","",MAX(0,_xlfn.XLOOKUP(tblOrdenes[[#This Row],[id_operacion]],tblEjecucion[id_operacion],tblEjecucion[costo_plan_total],0)-tblOrdenes[[#This Row],[costo_servicio]]))</f>
        <v/>
      </c>
      <c r="AI273" s="10">
        <f>IF(tblOrdenes[[#This Row],[orden]]="","",tblOrdenes[[#This Row],[costo_servicio]]+tblOrdenes[[#This Row],[costo_materiales]])</f>
        <v/>
      </c>
      <c r="AJ273" s="6" t="n"/>
      <c r="AK273" s="6" t="n"/>
      <c r="AL273" s="6" t="n"/>
      <c r="AM273" s="3">
        <f>IF(tblOrdenes[[#This Row],[link_checklist]]="","",HYPERLINK(p_ruta_base_checklists&amp;tblOrdenes[[#This Row],[link_checklist]],"abrir"))</f>
        <v/>
      </c>
      <c r="AN273" s="6" t="n"/>
      <c r="AO273" s="3">
        <f>IF(tblOrdenes[[#This Row],[orden]]="","",tblOrdenes[[#This Row],[orden]]&amp;IF(tblOrdenes[[#This Row],[operacion]]="","0010",tblOrdenes[[#This Row],[operacion]]))</f>
        <v/>
      </c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11" t="n"/>
      <c r="K274" s="3" t="n"/>
      <c r="L274" s="10" t="n"/>
      <c r="M274" s="6" t="n"/>
      <c r="N2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74" s="3">
        <f>IF(tblOrdenes[[#This Row],[fecha_inicio]]="","",YEAR(tblOrdenes[[#This Row],[fecha_inicio]]))</f>
        <v/>
      </c>
      <c r="R274" s="3">
        <f>IF(tblOrdenes[[#This Row],[fecha_inicio]]="","",MONTH(tblOrdenes[[#This Row],[fecha_inicio]]))</f>
        <v/>
      </c>
      <c r="S274" s="3">
        <f>IF(tblOrdenes[[#This Row],[fecha_inicio]]="","",INDEX(lista_dias,WEEKDAY(tblOrdenes[[#This Row],[fecha_inicio]],2)))</f>
        <v/>
      </c>
      <c r="T274" s="3">
        <f>IF(tblOrdenes[[#This Row],[tipo_ot]]="","",_xlfn.XLOOKUP(tblOrdenes[[#This Row],[tipo_ot]],tblTiposOT[codigo],tblTiposOT[clasificacion],"sin_clasificar"))</f>
        <v/>
      </c>
      <c r="U274" s="3">
        <f>IF(tblOrdenes[[#This Row],[centro_costo]]="","",_xlfn.XLOOKUP(tblOrdenes[[#This Row],[centro_costo]],tblCECO[codigo],tblCECO[linea],"(sin catálogo)"))</f>
        <v/>
      </c>
      <c r="V274" s="3">
        <f>IF(tblOrdenes[[#This Row],[centro_costo]]="","",_xlfn.XLOOKUP(tblOrdenes[[#This Row],[centro_costo]],tblCECO[codigo],tblCECO[area],"(sin catálogo)"))</f>
        <v/>
      </c>
      <c r="W274" s="3">
        <f>IF(tblOrdenes[[#This Row],[centro_costo]]="","",_xlfn.XLOOKUP(tblOrdenes[[#This Row],[centro_costo]],tblCECO[codigo],tblCECO[coordinador],"(sin catálogo)"))</f>
        <v/>
      </c>
      <c r="X274" s="3">
        <f>IF(tblOrdenes[[#This Row],[puesto_trabajo]]="","",_xlfn.XLOOKUP(tblOrdenes[[#This Row],[puesto_trabajo]],tblPuestos[codigo],tblPuestos[especialidad],"(sin catálogo)"))</f>
        <v/>
      </c>
      <c r="Y274" s="3">
        <f>IF(tblOrdenes[[#This Row],[cod_actividad]]="","",_xlfn.XLOOKUP(tblOrdenes[[#This Row],[cod_actividad]],tblActividades[codigo],tblActividades[descripcion],"(sin catálogo)"))</f>
        <v/>
      </c>
      <c r="Z274" s="12">
        <f>IF(tblOrdenes[[#This Row],[fecha_inicio]]="","",TODAY()-tblOrdenes[[#This Row],[fecha_inicio]])</f>
        <v/>
      </c>
      <c r="AA274" s="3">
        <f>IF(tblOrdenes[[#This Row],[backlog_dias]]="","",IF(tblOrdenes[[#This Row],[backlog_dias]]&lt;0,"FUTURO",IF(tblOrdenes[[#This Row],[backlog_dias]]&gt;p_dias_backlog_max,"BACKLOG","MES CORRIENTE")))</f>
        <v/>
      </c>
      <c r="AB274" s="3">
        <f>IF(tblOrdenes[[#This Row],[backlog_dias]]="",FALSE,AND(tblOrdenes[[#This Row],[backlog_dias]]&gt;p_dias_backlog_min,tblOrdenes[[#This Row],[backlog_dias]]&lt;=p_dias_backlog_max))</f>
        <v/>
      </c>
      <c r="AC274" s="6" t="n"/>
      <c r="AD2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74" s="10">
        <f>IF(tblOrdenes[[#This Row],[orden]]="","",_xlfn.XLOOKUP(tblOrdenes[[#This Row],[id_operacion]],tblEjecucion[id_operacion],tblEjecucion[precio],0))</f>
        <v/>
      </c>
      <c r="AH274" s="10">
        <f>IF(tblOrdenes[[#This Row],[orden]]="","",MAX(0,_xlfn.XLOOKUP(tblOrdenes[[#This Row],[id_operacion]],tblEjecucion[id_operacion],tblEjecucion[costo_plan_total],0)-tblOrdenes[[#This Row],[costo_servicio]]))</f>
        <v/>
      </c>
      <c r="AI274" s="10">
        <f>IF(tblOrdenes[[#This Row],[orden]]="","",tblOrdenes[[#This Row],[costo_servicio]]+tblOrdenes[[#This Row],[costo_materiales]])</f>
        <v/>
      </c>
      <c r="AJ274" s="6" t="n"/>
      <c r="AK274" s="6" t="n"/>
      <c r="AL274" s="6" t="n"/>
      <c r="AM274" s="3">
        <f>IF(tblOrdenes[[#This Row],[link_checklist]]="","",HYPERLINK(p_ruta_base_checklists&amp;tblOrdenes[[#This Row],[link_checklist]],"abrir"))</f>
        <v/>
      </c>
      <c r="AN274" s="6" t="n"/>
      <c r="AO274" s="3">
        <f>IF(tblOrdenes[[#This Row],[orden]]="","",tblOrdenes[[#This Row],[orden]]&amp;IF(tblOrdenes[[#This Row],[operacion]]="","0010",tblOrdenes[[#This Row],[operacion]]))</f>
        <v/>
      </c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11" t="n"/>
      <c r="K275" s="3" t="n"/>
      <c r="L275" s="10" t="n"/>
      <c r="M275" s="6" t="n"/>
      <c r="N2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75" s="3">
        <f>IF(tblOrdenes[[#This Row],[fecha_inicio]]="","",YEAR(tblOrdenes[[#This Row],[fecha_inicio]]))</f>
        <v/>
      </c>
      <c r="R275" s="3">
        <f>IF(tblOrdenes[[#This Row],[fecha_inicio]]="","",MONTH(tblOrdenes[[#This Row],[fecha_inicio]]))</f>
        <v/>
      </c>
      <c r="S275" s="3">
        <f>IF(tblOrdenes[[#This Row],[fecha_inicio]]="","",INDEX(lista_dias,WEEKDAY(tblOrdenes[[#This Row],[fecha_inicio]],2)))</f>
        <v/>
      </c>
      <c r="T275" s="3">
        <f>IF(tblOrdenes[[#This Row],[tipo_ot]]="","",_xlfn.XLOOKUP(tblOrdenes[[#This Row],[tipo_ot]],tblTiposOT[codigo],tblTiposOT[clasificacion],"sin_clasificar"))</f>
        <v/>
      </c>
      <c r="U275" s="3">
        <f>IF(tblOrdenes[[#This Row],[centro_costo]]="","",_xlfn.XLOOKUP(tblOrdenes[[#This Row],[centro_costo]],tblCECO[codigo],tblCECO[linea],"(sin catálogo)"))</f>
        <v/>
      </c>
      <c r="V275" s="3">
        <f>IF(tblOrdenes[[#This Row],[centro_costo]]="","",_xlfn.XLOOKUP(tblOrdenes[[#This Row],[centro_costo]],tblCECO[codigo],tblCECO[area],"(sin catálogo)"))</f>
        <v/>
      </c>
      <c r="W275" s="3">
        <f>IF(tblOrdenes[[#This Row],[centro_costo]]="","",_xlfn.XLOOKUP(tblOrdenes[[#This Row],[centro_costo]],tblCECO[codigo],tblCECO[coordinador],"(sin catálogo)"))</f>
        <v/>
      </c>
      <c r="X275" s="3">
        <f>IF(tblOrdenes[[#This Row],[puesto_trabajo]]="","",_xlfn.XLOOKUP(tblOrdenes[[#This Row],[puesto_trabajo]],tblPuestos[codigo],tblPuestos[especialidad],"(sin catálogo)"))</f>
        <v/>
      </c>
      <c r="Y275" s="3">
        <f>IF(tblOrdenes[[#This Row],[cod_actividad]]="","",_xlfn.XLOOKUP(tblOrdenes[[#This Row],[cod_actividad]],tblActividades[codigo],tblActividades[descripcion],"(sin catálogo)"))</f>
        <v/>
      </c>
      <c r="Z275" s="12">
        <f>IF(tblOrdenes[[#This Row],[fecha_inicio]]="","",TODAY()-tblOrdenes[[#This Row],[fecha_inicio]])</f>
        <v/>
      </c>
      <c r="AA275" s="3">
        <f>IF(tblOrdenes[[#This Row],[backlog_dias]]="","",IF(tblOrdenes[[#This Row],[backlog_dias]]&lt;0,"FUTURO",IF(tblOrdenes[[#This Row],[backlog_dias]]&gt;p_dias_backlog_max,"BACKLOG","MES CORRIENTE")))</f>
        <v/>
      </c>
      <c r="AB275" s="3">
        <f>IF(tblOrdenes[[#This Row],[backlog_dias]]="",FALSE,AND(tblOrdenes[[#This Row],[backlog_dias]]&gt;p_dias_backlog_min,tblOrdenes[[#This Row],[backlog_dias]]&lt;=p_dias_backlog_max))</f>
        <v/>
      </c>
      <c r="AC275" s="6" t="n"/>
      <c r="AD2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75" s="10">
        <f>IF(tblOrdenes[[#This Row],[orden]]="","",_xlfn.XLOOKUP(tblOrdenes[[#This Row],[id_operacion]],tblEjecucion[id_operacion],tblEjecucion[precio],0))</f>
        <v/>
      </c>
      <c r="AH275" s="10">
        <f>IF(tblOrdenes[[#This Row],[orden]]="","",MAX(0,_xlfn.XLOOKUP(tblOrdenes[[#This Row],[id_operacion]],tblEjecucion[id_operacion],tblEjecucion[costo_plan_total],0)-tblOrdenes[[#This Row],[costo_servicio]]))</f>
        <v/>
      </c>
      <c r="AI275" s="10">
        <f>IF(tblOrdenes[[#This Row],[orden]]="","",tblOrdenes[[#This Row],[costo_servicio]]+tblOrdenes[[#This Row],[costo_materiales]])</f>
        <v/>
      </c>
      <c r="AJ275" s="6" t="n"/>
      <c r="AK275" s="6" t="n"/>
      <c r="AL275" s="6" t="n"/>
      <c r="AM275" s="3">
        <f>IF(tblOrdenes[[#This Row],[link_checklist]]="","",HYPERLINK(p_ruta_base_checklists&amp;tblOrdenes[[#This Row],[link_checklist]],"abrir"))</f>
        <v/>
      </c>
      <c r="AN275" s="6" t="n"/>
      <c r="AO275" s="3">
        <f>IF(tblOrdenes[[#This Row],[orden]]="","",tblOrdenes[[#This Row],[orden]]&amp;IF(tblOrdenes[[#This Row],[operacion]]="","0010",tblOrdenes[[#This Row],[operacion]]))</f>
        <v/>
      </c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11" t="n"/>
      <c r="K276" s="3" t="n"/>
      <c r="L276" s="10" t="n"/>
      <c r="M276" s="6" t="n"/>
      <c r="N2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76" s="3">
        <f>IF(tblOrdenes[[#This Row],[fecha_inicio]]="","",YEAR(tblOrdenes[[#This Row],[fecha_inicio]]))</f>
        <v/>
      </c>
      <c r="R276" s="3">
        <f>IF(tblOrdenes[[#This Row],[fecha_inicio]]="","",MONTH(tblOrdenes[[#This Row],[fecha_inicio]]))</f>
        <v/>
      </c>
      <c r="S276" s="3">
        <f>IF(tblOrdenes[[#This Row],[fecha_inicio]]="","",INDEX(lista_dias,WEEKDAY(tblOrdenes[[#This Row],[fecha_inicio]],2)))</f>
        <v/>
      </c>
      <c r="T276" s="3">
        <f>IF(tblOrdenes[[#This Row],[tipo_ot]]="","",_xlfn.XLOOKUP(tblOrdenes[[#This Row],[tipo_ot]],tblTiposOT[codigo],tblTiposOT[clasificacion],"sin_clasificar"))</f>
        <v/>
      </c>
      <c r="U276" s="3">
        <f>IF(tblOrdenes[[#This Row],[centro_costo]]="","",_xlfn.XLOOKUP(tblOrdenes[[#This Row],[centro_costo]],tblCECO[codigo],tblCECO[linea],"(sin catálogo)"))</f>
        <v/>
      </c>
      <c r="V276" s="3">
        <f>IF(tblOrdenes[[#This Row],[centro_costo]]="","",_xlfn.XLOOKUP(tblOrdenes[[#This Row],[centro_costo]],tblCECO[codigo],tblCECO[area],"(sin catálogo)"))</f>
        <v/>
      </c>
      <c r="W276" s="3">
        <f>IF(tblOrdenes[[#This Row],[centro_costo]]="","",_xlfn.XLOOKUP(tblOrdenes[[#This Row],[centro_costo]],tblCECO[codigo],tblCECO[coordinador],"(sin catálogo)"))</f>
        <v/>
      </c>
      <c r="X276" s="3">
        <f>IF(tblOrdenes[[#This Row],[puesto_trabajo]]="","",_xlfn.XLOOKUP(tblOrdenes[[#This Row],[puesto_trabajo]],tblPuestos[codigo],tblPuestos[especialidad],"(sin catálogo)"))</f>
        <v/>
      </c>
      <c r="Y276" s="3">
        <f>IF(tblOrdenes[[#This Row],[cod_actividad]]="","",_xlfn.XLOOKUP(tblOrdenes[[#This Row],[cod_actividad]],tblActividades[codigo],tblActividades[descripcion],"(sin catálogo)"))</f>
        <v/>
      </c>
      <c r="Z276" s="12">
        <f>IF(tblOrdenes[[#This Row],[fecha_inicio]]="","",TODAY()-tblOrdenes[[#This Row],[fecha_inicio]])</f>
        <v/>
      </c>
      <c r="AA276" s="3">
        <f>IF(tblOrdenes[[#This Row],[backlog_dias]]="","",IF(tblOrdenes[[#This Row],[backlog_dias]]&lt;0,"FUTURO",IF(tblOrdenes[[#This Row],[backlog_dias]]&gt;p_dias_backlog_max,"BACKLOG","MES CORRIENTE")))</f>
        <v/>
      </c>
      <c r="AB276" s="3">
        <f>IF(tblOrdenes[[#This Row],[backlog_dias]]="",FALSE,AND(tblOrdenes[[#This Row],[backlog_dias]]&gt;p_dias_backlog_min,tblOrdenes[[#This Row],[backlog_dias]]&lt;=p_dias_backlog_max))</f>
        <v/>
      </c>
      <c r="AC276" s="6" t="n"/>
      <c r="AD2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76" s="10">
        <f>IF(tblOrdenes[[#This Row],[orden]]="","",_xlfn.XLOOKUP(tblOrdenes[[#This Row],[id_operacion]],tblEjecucion[id_operacion],tblEjecucion[precio],0))</f>
        <v/>
      </c>
      <c r="AH276" s="10">
        <f>IF(tblOrdenes[[#This Row],[orden]]="","",MAX(0,_xlfn.XLOOKUP(tblOrdenes[[#This Row],[id_operacion]],tblEjecucion[id_operacion],tblEjecucion[costo_plan_total],0)-tblOrdenes[[#This Row],[costo_servicio]]))</f>
        <v/>
      </c>
      <c r="AI276" s="10">
        <f>IF(tblOrdenes[[#This Row],[orden]]="","",tblOrdenes[[#This Row],[costo_servicio]]+tblOrdenes[[#This Row],[costo_materiales]])</f>
        <v/>
      </c>
      <c r="AJ276" s="6" t="n"/>
      <c r="AK276" s="6" t="n"/>
      <c r="AL276" s="6" t="n"/>
      <c r="AM276" s="3">
        <f>IF(tblOrdenes[[#This Row],[link_checklist]]="","",HYPERLINK(p_ruta_base_checklists&amp;tblOrdenes[[#This Row],[link_checklist]],"abrir"))</f>
        <v/>
      </c>
      <c r="AN276" s="6" t="n"/>
      <c r="AO276" s="3">
        <f>IF(tblOrdenes[[#This Row],[orden]]="","",tblOrdenes[[#This Row],[orden]]&amp;IF(tblOrdenes[[#This Row],[operacion]]="","0010",tblOrdenes[[#This Row],[operacion]]))</f>
        <v/>
      </c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11" t="n"/>
      <c r="K277" s="3" t="n"/>
      <c r="L277" s="10" t="n"/>
      <c r="M277" s="6" t="n"/>
      <c r="N2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77" s="3">
        <f>IF(tblOrdenes[[#This Row],[fecha_inicio]]="","",YEAR(tblOrdenes[[#This Row],[fecha_inicio]]))</f>
        <v/>
      </c>
      <c r="R277" s="3">
        <f>IF(tblOrdenes[[#This Row],[fecha_inicio]]="","",MONTH(tblOrdenes[[#This Row],[fecha_inicio]]))</f>
        <v/>
      </c>
      <c r="S277" s="3">
        <f>IF(tblOrdenes[[#This Row],[fecha_inicio]]="","",INDEX(lista_dias,WEEKDAY(tblOrdenes[[#This Row],[fecha_inicio]],2)))</f>
        <v/>
      </c>
      <c r="T277" s="3">
        <f>IF(tblOrdenes[[#This Row],[tipo_ot]]="","",_xlfn.XLOOKUP(tblOrdenes[[#This Row],[tipo_ot]],tblTiposOT[codigo],tblTiposOT[clasificacion],"sin_clasificar"))</f>
        <v/>
      </c>
      <c r="U277" s="3">
        <f>IF(tblOrdenes[[#This Row],[centro_costo]]="","",_xlfn.XLOOKUP(tblOrdenes[[#This Row],[centro_costo]],tblCECO[codigo],tblCECO[linea],"(sin catálogo)"))</f>
        <v/>
      </c>
      <c r="V277" s="3">
        <f>IF(tblOrdenes[[#This Row],[centro_costo]]="","",_xlfn.XLOOKUP(tblOrdenes[[#This Row],[centro_costo]],tblCECO[codigo],tblCECO[area],"(sin catálogo)"))</f>
        <v/>
      </c>
      <c r="W277" s="3">
        <f>IF(tblOrdenes[[#This Row],[centro_costo]]="","",_xlfn.XLOOKUP(tblOrdenes[[#This Row],[centro_costo]],tblCECO[codigo],tblCECO[coordinador],"(sin catálogo)"))</f>
        <v/>
      </c>
      <c r="X277" s="3">
        <f>IF(tblOrdenes[[#This Row],[puesto_trabajo]]="","",_xlfn.XLOOKUP(tblOrdenes[[#This Row],[puesto_trabajo]],tblPuestos[codigo],tblPuestos[especialidad],"(sin catálogo)"))</f>
        <v/>
      </c>
      <c r="Y277" s="3">
        <f>IF(tblOrdenes[[#This Row],[cod_actividad]]="","",_xlfn.XLOOKUP(tblOrdenes[[#This Row],[cod_actividad]],tblActividades[codigo],tblActividades[descripcion],"(sin catálogo)"))</f>
        <v/>
      </c>
      <c r="Z277" s="12">
        <f>IF(tblOrdenes[[#This Row],[fecha_inicio]]="","",TODAY()-tblOrdenes[[#This Row],[fecha_inicio]])</f>
        <v/>
      </c>
      <c r="AA277" s="3">
        <f>IF(tblOrdenes[[#This Row],[backlog_dias]]="","",IF(tblOrdenes[[#This Row],[backlog_dias]]&lt;0,"FUTURO",IF(tblOrdenes[[#This Row],[backlog_dias]]&gt;p_dias_backlog_max,"BACKLOG","MES CORRIENTE")))</f>
        <v/>
      </c>
      <c r="AB277" s="3">
        <f>IF(tblOrdenes[[#This Row],[backlog_dias]]="",FALSE,AND(tblOrdenes[[#This Row],[backlog_dias]]&gt;p_dias_backlog_min,tblOrdenes[[#This Row],[backlog_dias]]&lt;=p_dias_backlog_max))</f>
        <v/>
      </c>
      <c r="AC277" s="6" t="n"/>
      <c r="AD2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77" s="10">
        <f>IF(tblOrdenes[[#This Row],[orden]]="","",_xlfn.XLOOKUP(tblOrdenes[[#This Row],[id_operacion]],tblEjecucion[id_operacion],tblEjecucion[precio],0))</f>
        <v/>
      </c>
      <c r="AH277" s="10">
        <f>IF(tblOrdenes[[#This Row],[orden]]="","",MAX(0,_xlfn.XLOOKUP(tblOrdenes[[#This Row],[id_operacion]],tblEjecucion[id_operacion],tblEjecucion[costo_plan_total],0)-tblOrdenes[[#This Row],[costo_servicio]]))</f>
        <v/>
      </c>
      <c r="AI277" s="10">
        <f>IF(tblOrdenes[[#This Row],[orden]]="","",tblOrdenes[[#This Row],[costo_servicio]]+tblOrdenes[[#This Row],[costo_materiales]])</f>
        <v/>
      </c>
      <c r="AJ277" s="6" t="n"/>
      <c r="AK277" s="6" t="n"/>
      <c r="AL277" s="6" t="n"/>
      <c r="AM277" s="3">
        <f>IF(tblOrdenes[[#This Row],[link_checklist]]="","",HYPERLINK(p_ruta_base_checklists&amp;tblOrdenes[[#This Row],[link_checklist]],"abrir"))</f>
        <v/>
      </c>
      <c r="AN277" s="6" t="n"/>
      <c r="AO277" s="3">
        <f>IF(tblOrdenes[[#This Row],[orden]]="","",tblOrdenes[[#This Row],[orden]]&amp;IF(tblOrdenes[[#This Row],[operacion]]="","0010",tblOrdenes[[#This Row],[operacion]]))</f>
        <v/>
      </c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11" t="n"/>
      <c r="K278" s="3" t="n"/>
      <c r="L278" s="10" t="n"/>
      <c r="M278" s="6" t="n"/>
      <c r="N2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78" s="3">
        <f>IF(tblOrdenes[[#This Row],[fecha_inicio]]="","",YEAR(tblOrdenes[[#This Row],[fecha_inicio]]))</f>
        <v/>
      </c>
      <c r="R278" s="3">
        <f>IF(tblOrdenes[[#This Row],[fecha_inicio]]="","",MONTH(tblOrdenes[[#This Row],[fecha_inicio]]))</f>
        <v/>
      </c>
      <c r="S278" s="3">
        <f>IF(tblOrdenes[[#This Row],[fecha_inicio]]="","",INDEX(lista_dias,WEEKDAY(tblOrdenes[[#This Row],[fecha_inicio]],2)))</f>
        <v/>
      </c>
      <c r="T278" s="3">
        <f>IF(tblOrdenes[[#This Row],[tipo_ot]]="","",_xlfn.XLOOKUP(tblOrdenes[[#This Row],[tipo_ot]],tblTiposOT[codigo],tblTiposOT[clasificacion],"sin_clasificar"))</f>
        <v/>
      </c>
      <c r="U278" s="3">
        <f>IF(tblOrdenes[[#This Row],[centro_costo]]="","",_xlfn.XLOOKUP(tblOrdenes[[#This Row],[centro_costo]],tblCECO[codigo],tblCECO[linea],"(sin catálogo)"))</f>
        <v/>
      </c>
      <c r="V278" s="3">
        <f>IF(tblOrdenes[[#This Row],[centro_costo]]="","",_xlfn.XLOOKUP(tblOrdenes[[#This Row],[centro_costo]],tblCECO[codigo],tblCECO[area],"(sin catálogo)"))</f>
        <v/>
      </c>
      <c r="W278" s="3">
        <f>IF(tblOrdenes[[#This Row],[centro_costo]]="","",_xlfn.XLOOKUP(tblOrdenes[[#This Row],[centro_costo]],tblCECO[codigo],tblCECO[coordinador],"(sin catálogo)"))</f>
        <v/>
      </c>
      <c r="X278" s="3">
        <f>IF(tblOrdenes[[#This Row],[puesto_trabajo]]="","",_xlfn.XLOOKUP(tblOrdenes[[#This Row],[puesto_trabajo]],tblPuestos[codigo],tblPuestos[especialidad],"(sin catálogo)"))</f>
        <v/>
      </c>
      <c r="Y278" s="3">
        <f>IF(tblOrdenes[[#This Row],[cod_actividad]]="","",_xlfn.XLOOKUP(tblOrdenes[[#This Row],[cod_actividad]],tblActividades[codigo],tblActividades[descripcion],"(sin catálogo)"))</f>
        <v/>
      </c>
      <c r="Z278" s="12">
        <f>IF(tblOrdenes[[#This Row],[fecha_inicio]]="","",TODAY()-tblOrdenes[[#This Row],[fecha_inicio]])</f>
        <v/>
      </c>
      <c r="AA278" s="3">
        <f>IF(tblOrdenes[[#This Row],[backlog_dias]]="","",IF(tblOrdenes[[#This Row],[backlog_dias]]&lt;0,"FUTURO",IF(tblOrdenes[[#This Row],[backlog_dias]]&gt;p_dias_backlog_max,"BACKLOG","MES CORRIENTE")))</f>
        <v/>
      </c>
      <c r="AB278" s="3">
        <f>IF(tblOrdenes[[#This Row],[backlog_dias]]="",FALSE,AND(tblOrdenes[[#This Row],[backlog_dias]]&gt;p_dias_backlog_min,tblOrdenes[[#This Row],[backlog_dias]]&lt;=p_dias_backlog_max))</f>
        <v/>
      </c>
      <c r="AC278" s="6" t="n"/>
      <c r="AD2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78" s="10">
        <f>IF(tblOrdenes[[#This Row],[orden]]="","",_xlfn.XLOOKUP(tblOrdenes[[#This Row],[id_operacion]],tblEjecucion[id_operacion],tblEjecucion[precio],0))</f>
        <v/>
      </c>
      <c r="AH278" s="10">
        <f>IF(tblOrdenes[[#This Row],[orden]]="","",MAX(0,_xlfn.XLOOKUP(tblOrdenes[[#This Row],[id_operacion]],tblEjecucion[id_operacion],tblEjecucion[costo_plan_total],0)-tblOrdenes[[#This Row],[costo_servicio]]))</f>
        <v/>
      </c>
      <c r="AI278" s="10">
        <f>IF(tblOrdenes[[#This Row],[orden]]="","",tblOrdenes[[#This Row],[costo_servicio]]+tblOrdenes[[#This Row],[costo_materiales]])</f>
        <v/>
      </c>
      <c r="AJ278" s="6" t="n"/>
      <c r="AK278" s="6" t="n"/>
      <c r="AL278" s="6" t="n"/>
      <c r="AM278" s="3">
        <f>IF(tblOrdenes[[#This Row],[link_checklist]]="","",HYPERLINK(p_ruta_base_checklists&amp;tblOrdenes[[#This Row],[link_checklist]],"abrir"))</f>
        <v/>
      </c>
      <c r="AN278" s="6" t="n"/>
      <c r="AO278" s="3">
        <f>IF(tblOrdenes[[#This Row],[orden]]="","",tblOrdenes[[#This Row],[orden]]&amp;IF(tblOrdenes[[#This Row],[operacion]]="","0010",tblOrdenes[[#This Row],[operacion]]))</f>
        <v/>
      </c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11" t="n"/>
      <c r="K279" s="3" t="n"/>
      <c r="L279" s="10" t="n"/>
      <c r="M279" s="6" t="n"/>
      <c r="N2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79" s="3">
        <f>IF(tblOrdenes[[#This Row],[fecha_inicio]]="","",YEAR(tblOrdenes[[#This Row],[fecha_inicio]]))</f>
        <v/>
      </c>
      <c r="R279" s="3">
        <f>IF(tblOrdenes[[#This Row],[fecha_inicio]]="","",MONTH(tblOrdenes[[#This Row],[fecha_inicio]]))</f>
        <v/>
      </c>
      <c r="S279" s="3">
        <f>IF(tblOrdenes[[#This Row],[fecha_inicio]]="","",INDEX(lista_dias,WEEKDAY(tblOrdenes[[#This Row],[fecha_inicio]],2)))</f>
        <v/>
      </c>
      <c r="T279" s="3">
        <f>IF(tblOrdenes[[#This Row],[tipo_ot]]="","",_xlfn.XLOOKUP(tblOrdenes[[#This Row],[tipo_ot]],tblTiposOT[codigo],tblTiposOT[clasificacion],"sin_clasificar"))</f>
        <v/>
      </c>
      <c r="U279" s="3">
        <f>IF(tblOrdenes[[#This Row],[centro_costo]]="","",_xlfn.XLOOKUP(tblOrdenes[[#This Row],[centro_costo]],tblCECO[codigo],tblCECO[linea],"(sin catálogo)"))</f>
        <v/>
      </c>
      <c r="V279" s="3">
        <f>IF(tblOrdenes[[#This Row],[centro_costo]]="","",_xlfn.XLOOKUP(tblOrdenes[[#This Row],[centro_costo]],tblCECO[codigo],tblCECO[area],"(sin catálogo)"))</f>
        <v/>
      </c>
      <c r="W279" s="3">
        <f>IF(tblOrdenes[[#This Row],[centro_costo]]="","",_xlfn.XLOOKUP(tblOrdenes[[#This Row],[centro_costo]],tblCECO[codigo],tblCECO[coordinador],"(sin catálogo)"))</f>
        <v/>
      </c>
      <c r="X279" s="3">
        <f>IF(tblOrdenes[[#This Row],[puesto_trabajo]]="","",_xlfn.XLOOKUP(tblOrdenes[[#This Row],[puesto_trabajo]],tblPuestos[codigo],tblPuestos[especialidad],"(sin catálogo)"))</f>
        <v/>
      </c>
      <c r="Y279" s="3">
        <f>IF(tblOrdenes[[#This Row],[cod_actividad]]="","",_xlfn.XLOOKUP(tblOrdenes[[#This Row],[cod_actividad]],tblActividades[codigo],tblActividades[descripcion],"(sin catálogo)"))</f>
        <v/>
      </c>
      <c r="Z279" s="12">
        <f>IF(tblOrdenes[[#This Row],[fecha_inicio]]="","",TODAY()-tblOrdenes[[#This Row],[fecha_inicio]])</f>
        <v/>
      </c>
      <c r="AA279" s="3">
        <f>IF(tblOrdenes[[#This Row],[backlog_dias]]="","",IF(tblOrdenes[[#This Row],[backlog_dias]]&lt;0,"FUTURO",IF(tblOrdenes[[#This Row],[backlog_dias]]&gt;p_dias_backlog_max,"BACKLOG","MES CORRIENTE")))</f>
        <v/>
      </c>
      <c r="AB279" s="3">
        <f>IF(tblOrdenes[[#This Row],[backlog_dias]]="",FALSE,AND(tblOrdenes[[#This Row],[backlog_dias]]&gt;p_dias_backlog_min,tblOrdenes[[#This Row],[backlog_dias]]&lt;=p_dias_backlog_max))</f>
        <v/>
      </c>
      <c r="AC279" s="6" t="n"/>
      <c r="AD2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79" s="10">
        <f>IF(tblOrdenes[[#This Row],[orden]]="","",_xlfn.XLOOKUP(tblOrdenes[[#This Row],[id_operacion]],tblEjecucion[id_operacion],tblEjecucion[precio],0))</f>
        <v/>
      </c>
      <c r="AH279" s="10">
        <f>IF(tblOrdenes[[#This Row],[orden]]="","",MAX(0,_xlfn.XLOOKUP(tblOrdenes[[#This Row],[id_operacion]],tblEjecucion[id_operacion],tblEjecucion[costo_plan_total],0)-tblOrdenes[[#This Row],[costo_servicio]]))</f>
        <v/>
      </c>
      <c r="AI279" s="10">
        <f>IF(tblOrdenes[[#This Row],[orden]]="","",tblOrdenes[[#This Row],[costo_servicio]]+tblOrdenes[[#This Row],[costo_materiales]])</f>
        <v/>
      </c>
      <c r="AJ279" s="6" t="n"/>
      <c r="AK279" s="6" t="n"/>
      <c r="AL279" s="6" t="n"/>
      <c r="AM279" s="3">
        <f>IF(tblOrdenes[[#This Row],[link_checklist]]="","",HYPERLINK(p_ruta_base_checklists&amp;tblOrdenes[[#This Row],[link_checklist]],"abrir"))</f>
        <v/>
      </c>
      <c r="AN279" s="6" t="n"/>
      <c r="AO279" s="3">
        <f>IF(tblOrdenes[[#This Row],[orden]]="","",tblOrdenes[[#This Row],[orden]]&amp;IF(tblOrdenes[[#This Row],[operacion]]="","0010",tblOrdenes[[#This Row],[operacion]]))</f>
        <v/>
      </c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11" t="n"/>
      <c r="K280" s="3" t="n"/>
      <c r="L280" s="10" t="n"/>
      <c r="M280" s="6" t="n"/>
      <c r="N2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80" s="3">
        <f>IF(tblOrdenes[[#This Row],[fecha_inicio]]="","",YEAR(tblOrdenes[[#This Row],[fecha_inicio]]))</f>
        <v/>
      </c>
      <c r="R280" s="3">
        <f>IF(tblOrdenes[[#This Row],[fecha_inicio]]="","",MONTH(tblOrdenes[[#This Row],[fecha_inicio]]))</f>
        <v/>
      </c>
      <c r="S280" s="3">
        <f>IF(tblOrdenes[[#This Row],[fecha_inicio]]="","",INDEX(lista_dias,WEEKDAY(tblOrdenes[[#This Row],[fecha_inicio]],2)))</f>
        <v/>
      </c>
      <c r="T280" s="3">
        <f>IF(tblOrdenes[[#This Row],[tipo_ot]]="","",_xlfn.XLOOKUP(tblOrdenes[[#This Row],[tipo_ot]],tblTiposOT[codigo],tblTiposOT[clasificacion],"sin_clasificar"))</f>
        <v/>
      </c>
      <c r="U280" s="3">
        <f>IF(tblOrdenes[[#This Row],[centro_costo]]="","",_xlfn.XLOOKUP(tblOrdenes[[#This Row],[centro_costo]],tblCECO[codigo],tblCECO[linea],"(sin catálogo)"))</f>
        <v/>
      </c>
      <c r="V280" s="3">
        <f>IF(tblOrdenes[[#This Row],[centro_costo]]="","",_xlfn.XLOOKUP(tblOrdenes[[#This Row],[centro_costo]],tblCECO[codigo],tblCECO[area],"(sin catálogo)"))</f>
        <v/>
      </c>
      <c r="W280" s="3">
        <f>IF(tblOrdenes[[#This Row],[centro_costo]]="","",_xlfn.XLOOKUP(tblOrdenes[[#This Row],[centro_costo]],tblCECO[codigo],tblCECO[coordinador],"(sin catálogo)"))</f>
        <v/>
      </c>
      <c r="X280" s="3">
        <f>IF(tblOrdenes[[#This Row],[puesto_trabajo]]="","",_xlfn.XLOOKUP(tblOrdenes[[#This Row],[puesto_trabajo]],tblPuestos[codigo],tblPuestos[especialidad],"(sin catálogo)"))</f>
        <v/>
      </c>
      <c r="Y280" s="3">
        <f>IF(tblOrdenes[[#This Row],[cod_actividad]]="","",_xlfn.XLOOKUP(tblOrdenes[[#This Row],[cod_actividad]],tblActividades[codigo],tblActividades[descripcion],"(sin catálogo)"))</f>
        <v/>
      </c>
      <c r="Z280" s="12">
        <f>IF(tblOrdenes[[#This Row],[fecha_inicio]]="","",TODAY()-tblOrdenes[[#This Row],[fecha_inicio]])</f>
        <v/>
      </c>
      <c r="AA280" s="3">
        <f>IF(tblOrdenes[[#This Row],[backlog_dias]]="","",IF(tblOrdenes[[#This Row],[backlog_dias]]&lt;0,"FUTURO",IF(tblOrdenes[[#This Row],[backlog_dias]]&gt;p_dias_backlog_max,"BACKLOG","MES CORRIENTE")))</f>
        <v/>
      </c>
      <c r="AB280" s="3">
        <f>IF(tblOrdenes[[#This Row],[backlog_dias]]="",FALSE,AND(tblOrdenes[[#This Row],[backlog_dias]]&gt;p_dias_backlog_min,tblOrdenes[[#This Row],[backlog_dias]]&lt;=p_dias_backlog_max))</f>
        <v/>
      </c>
      <c r="AC280" s="6" t="n"/>
      <c r="AD2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80" s="10">
        <f>IF(tblOrdenes[[#This Row],[orden]]="","",_xlfn.XLOOKUP(tblOrdenes[[#This Row],[id_operacion]],tblEjecucion[id_operacion],tblEjecucion[precio],0))</f>
        <v/>
      </c>
      <c r="AH280" s="10">
        <f>IF(tblOrdenes[[#This Row],[orden]]="","",MAX(0,_xlfn.XLOOKUP(tblOrdenes[[#This Row],[id_operacion]],tblEjecucion[id_operacion],tblEjecucion[costo_plan_total],0)-tblOrdenes[[#This Row],[costo_servicio]]))</f>
        <v/>
      </c>
      <c r="AI280" s="10">
        <f>IF(tblOrdenes[[#This Row],[orden]]="","",tblOrdenes[[#This Row],[costo_servicio]]+tblOrdenes[[#This Row],[costo_materiales]])</f>
        <v/>
      </c>
      <c r="AJ280" s="6" t="n"/>
      <c r="AK280" s="6" t="n"/>
      <c r="AL280" s="6" t="n"/>
      <c r="AM280" s="3">
        <f>IF(tblOrdenes[[#This Row],[link_checklist]]="","",HYPERLINK(p_ruta_base_checklists&amp;tblOrdenes[[#This Row],[link_checklist]],"abrir"))</f>
        <v/>
      </c>
      <c r="AN280" s="6" t="n"/>
      <c r="AO280" s="3">
        <f>IF(tblOrdenes[[#This Row],[orden]]="","",tblOrdenes[[#This Row],[orden]]&amp;IF(tblOrdenes[[#This Row],[operacion]]="","0010",tblOrdenes[[#This Row],[operacion]]))</f>
        <v/>
      </c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11" t="n"/>
      <c r="K281" s="3" t="n"/>
      <c r="L281" s="10" t="n"/>
      <c r="M281" s="6" t="n"/>
      <c r="N2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81" s="3">
        <f>IF(tblOrdenes[[#This Row],[fecha_inicio]]="","",YEAR(tblOrdenes[[#This Row],[fecha_inicio]]))</f>
        <v/>
      </c>
      <c r="R281" s="3">
        <f>IF(tblOrdenes[[#This Row],[fecha_inicio]]="","",MONTH(tblOrdenes[[#This Row],[fecha_inicio]]))</f>
        <v/>
      </c>
      <c r="S281" s="3">
        <f>IF(tblOrdenes[[#This Row],[fecha_inicio]]="","",INDEX(lista_dias,WEEKDAY(tblOrdenes[[#This Row],[fecha_inicio]],2)))</f>
        <v/>
      </c>
      <c r="T281" s="3">
        <f>IF(tblOrdenes[[#This Row],[tipo_ot]]="","",_xlfn.XLOOKUP(tblOrdenes[[#This Row],[tipo_ot]],tblTiposOT[codigo],tblTiposOT[clasificacion],"sin_clasificar"))</f>
        <v/>
      </c>
      <c r="U281" s="3">
        <f>IF(tblOrdenes[[#This Row],[centro_costo]]="","",_xlfn.XLOOKUP(tblOrdenes[[#This Row],[centro_costo]],tblCECO[codigo],tblCECO[linea],"(sin catálogo)"))</f>
        <v/>
      </c>
      <c r="V281" s="3">
        <f>IF(tblOrdenes[[#This Row],[centro_costo]]="","",_xlfn.XLOOKUP(tblOrdenes[[#This Row],[centro_costo]],tblCECO[codigo],tblCECO[area],"(sin catálogo)"))</f>
        <v/>
      </c>
      <c r="W281" s="3">
        <f>IF(tblOrdenes[[#This Row],[centro_costo]]="","",_xlfn.XLOOKUP(tblOrdenes[[#This Row],[centro_costo]],tblCECO[codigo],tblCECO[coordinador],"(sin catálogo)"))</f>
        <v/>
      </c>
      <c r="X281" s="3">
        <f>IF(tblOrdenes[[#This Row],[puesto_trabajo]]="","",_xlfn.XLOOKUP(tblOrdenes[[#This Row],[puesto_trabajo]],tblPuestos[codigo],tblPuestos[especialidad],"(sin catálogo)"))</f>
        <v/>
      </c>
      <c r="Y281" s="3">
        <f>IF(tblOrdenes[[#This Row],[cod_actividad]]="","",_xlfn.XLOOKUP(tblOrdenes[[#This Row],[cod_actividad]],tblActividades[codigo],tblActividades[descripcion],"(sin catálogo)"))</f>
        <v/>
      </c>
      <c r="Z281" s="12">
        <f>IF(tblOrdenes[[#This Row],[fecha_inicio]]="","",TODAY()-tblOrdenes[[#This Row],[fecha_inicio]])</f>
        <v/>
      </c>
      <c r="AA281" s="3">
        <f>IF(tblOrdenes[[#This Row],[backlog_dias]]="","",IF(tblOrdenes[[#This Row],[backlog_dias]]&lt;0,"FUTURO",IF(tblOrdenes[[#This Row],[backlog_dias]]&gt;p_dias_backlog_max,"BACKLOG","MES CORRIENTE")))</f>
        <v/>
      </c>
      <c r="AB281" s="3">
        <f>IF(tblOrdenes[[#This Row],[backlog_dias]]="",FALSE,AND(tblOrdenes[[#This Row],[backlog_dias]]&gt;p_dias_backlog_min,tblOrdenes[[#This Row],[backlog_dias]]&lt;=p_dias_backlog_max))</f>
        <v/>
      </c>
      <c r="AC281" s="6" t="n"/>
      <c r="AD2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81" s="10">
        <f>IF(tblOrdenes[[#This Row],[orden]]="","",_xlfn.XLOOKUP(tblOrdenes[[#This Row],[id_operacion]],tblEjecucion[id_operacion],tblEjecucion[precio],0))</f>
        <v/>
      </c>
      <c r="AH281" s="10">
        <f>IF(tblOrdenes[[#This Row],[orden]]="","",MAX(0,_xlfn.XLOOKUP(tblOrdenes[[#This Row],[id_operacion]],tblEjecucion[id_operacion],tblEjecucion[costo_plan_total],0)-tblOrdenes[[#This Row],[costo_servicio]]))</f>
        <v/>
      </c>
      <c r="AI281" s="10">
        <f>IF(tblOrdenes[[#This Row],[orden]]="","",tblOrdenes[[#This Row],[costo_servicio]]+tblOrdenes[[#This Row],[costo_materiales]])</f>
        <v/>
      </c>
      <c r="AJ281" s="6" t="n"/>
      <c r="AK281" s="6" t="n"/>
      <c r="AL281" s="6" t="n"/>
      <c r="AM281" s="3">
        <f>IF(tblOrdenes[[#This Row],[link_checklist]]="","",HYPERLINK(p_ruta_base_checklists&amp;tblOrdenes[[#This Row],[link_checklist]],"abrir"))</f>
        <v/>
      </c>
      <c r="AN281" s="6" t="n"/>
      <c r="AO281" s="3">
        <f>IF(tblOrdenes[[#This Row],[orden]]="","",tblOrdenes[[#This Row],[orden]]&amp;IF(tblOrdenes[[#This Row],[operacion]]="","0010",tblOrdenes[[#This Row],[operacion]]))</f>
        <v/>
      </c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11" t="n"/>
      <c r="K282" s="3" t="n"/>
      <c r="L282" s="10" t="n"/>
      <c r="M282" s="6" t="n"/>
      <c r="N2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82" s="3">
        <f>IF(tblOrdenes[[#This Row],[fecha_inicio]]="","",YEAR(tblOrdenes[[#This Row],[fecha_inicio]]))</f>
        <v/>
      </c>
      <c r="R282" s="3">
        <f>IF(tblOrdenes[[#This Row],[fecha_inicio]]="","",MONTH(tblOrdenes[[#This Row],[fecha_inicio]]))</f>
        <v/>
      </c>
      <c r="S282" s="3">
        <f>IF(tblOrdenes[[#This Row],[fecha_inicio]]="","",INDEX(lista_dias,WEEKDAY(tblOrdenes[[#This Row],[fecha_inicio]],2)))</f>
        <v/>
      </c>
      <c r="T282" s="3">
        <f>IF(tblOrdenes[[#This Row],[tipo_ot]]="","",_xlfn.XLOOKUP(tblOrdenes[[#This Row],[tipo_ot]],tblTiposOT[codigo],tblTiposOT[clasificacion],"sin_clasificar"))</f>
        <v/>
      </c>
      <c r="U282" s="3">
        <f>IF(tblOrdenes[[#This Row],[centro_costo]]="","",_xlfn.XLOOKUP(tblOrdenes[[#This Row],[centro_costo]],tblCECO[codigo],tblCECO[linea],"(sin catálogo)"))</f>
        <v/>
      </c>
      <c r="V282" s="3">
        <f>IF(tblOrdenes[[#This Row],[centro_costo]]="","",_xlfn.XLOOKUP(tblOrdenes[[#This Row],[centro_costo]],tblCECO[codigo],tblCECO[area],"(sin catálogo)"))</f>
        <v/>
      </c>
      <c r="W282" s="3">
        <f>IF(tblOrdenes[[#This Row],[centro_costo]]="","",_xlfn.XLOOKUP(tblOrdenes[[#This Row],[centro_costo]],tblCECO[codigo],tblCECO[coordinador],"(sin catálogo)"))</f>
        <v/>
      </c>
      <c r="X282" s="3">
        <f>IF(tblOrdenes[[#This Row],[puesto_trabajo]]="","",_xlfn.XLOOKUP(tblOrdenes[[#This Row],[puesto_trabajo]],tblPuestos[codigo],tblPuestos[especialidad],"(sin catálogo)"))</f>
        <v/>
      </c>
      <c r="Y282" s="3">
        <f>IF(tblOrdenes[[#This Row],[cod_actividad]]="","",_xlfn.XLOOKUP(tblOrdenes[[#This Row],[cod_actividad]],tblActividades[codigo],tblActividades[descripcion],"(sin catálogo)"))</f>
        <v/>
      </c>
      <c r="Z282" s="12">
        <f>IF(tblOrdenes[[#This Row],[fecha_inicio]]="","",TODAY()-tblOrdenes[[#This Row],[fecha_inicio]])</f>
        <v/>
      </c>
      <c r="AA282" s="3">
        <f>IF(tblOrdenes[[#This Row],[backlog_dias]]="","",IF(tblOrdenes[[#This Row],[backlog_dias]]&lt;0,"FUTURO",IF(tblOrdenes[[#This Row],[backlog_dias]]&gt;p_dias_backlog_max,"BACKLOG","MES CORRIENTE")))</f>
        <v/>
      </c>
      <c r="AB282" s="3">
        <f>IF(tblOrdenes[[#This Row],[backlog_dias]]="",FALSE,AND(tblOrdenes[[#This Row],[backlog_dias]]&gt;p_dias_backlog_min,tblOrdenes[[#This Row],[backlog_dias]]&lt;=p_dias_backlog_max))</f>
        <v/>
      </c>
      <c r="AC282" s="6" t="n"/>
      <c r="AD2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82" s="10">
        <f>IF(tblOrdenes[[#This Row],[orden]]="","",_xlfn.XLOOKUP(tblOrdenes[[#This Row],[id_operacion]],tblEjecucion[id_operacion],tblEjecucion[precio],0))</f>
        <v/>
      </c>
      <c r="AH282" s="10">
        <f>IF(tblOrdenes[[#This Row],[orden]]="","",MAX(0,_xlfn.XLOOKUP(tblOrdenes[[#This Row],[id_operacion]],tblEjecucion[id_operacion],tblEjecucion[costo_plan_total],0)-tblOrdenes[[#This Row],[costo_servicio]]))</f>
        <v/>
      </c>
      <c r="AI282" s="10">
        <f>IF(tblOrdenes[[#This Row],[orden]]="","",tblOrdenes[[#This Row],[costo_servicio]]+tblOrdenes[[#This Row],[costo_materiales]])</f>
        <v/>
      </c>
      <c r="AJ282" s="6" t="n"/>
      <c r="AK282" s="6" t="n"/>
      <c r="AL282" s="6" t="n"/>
      <c r="AM282" s="3">
        <f>IF(tblOrdenes[[#This Row],[link_checklist]]="","",HYPERLINK(p_ruta_base_checklists&amp;tblOrdenes[[#This Row],[link_checklist]],"abrir"))</f>
        <v/>
      </c>
      <c r="AN282" s="6" t="n"/>
      <c r="AO282" s="3">
        <f>IF(tblOrdenes[[#This Row],[orden]]="","",tblOrdenes[[#This Row],[orden]]&amp;IF(tblOrdenes[[#This Row],[operacion]]="","0010",tblOrdenes[[#This Row],[operacion]]))</f>
        <v/>
      </c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11" t="n"/>
      <c r="K283" s="3" t="n"/>
      <c r="L283" s="10" t="n"/>
      <c r="M283" s="6" t="n"/>
      <c r="N2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83" s="3">
        <f>IF(tblOrdenes[[#This Row],[fecha_inicio]]="","",YEAR(tblOrdenes[[#This Row],[fecha_inicio]]))</f>
        <v/>
      </c>
      <c r="R283" s="3">
        <f>IF(tblOrdenes[[#This Row],[fecha_inicio]]="","",MONTH(tblOrdenes[[#This Row],[fecha_inicio]]))</f>
        <v/>
      </c>
      <c r="S283" s="3">
        <f>IF(tblOrdenes[[#This Row],[fecha_inicio]]="","",INDEX(lista_dias,WEEKDAY(tblOrdenes[[#This Row],[fecha_inicio]],2)))</f>
        <v/>
      </c>
      <c r="T283" s="3">
        <f>IF(tblOrdenes[[#This Row],[tipo_ot]]="","",_xlfn.XLOOKUP(tblOrdenes[[#This Row],[tipo_ot]],tblTiposOT[codigo],tblTiposOT[clasificacion],"sin_clasificar"))</f>
        <v/>
      </c>
      <c r="U283" s="3">
        <f>IF(tblOrdenes[[#This Row],[centro_costo]]="","",_xlfn.XLOOKUP(tblOrdenes[[#This Row],[centro_costo]],tblCECO[codigo],tblCECO[linea],"(sin catálogo)"))</f>
        <v/>
      </c>
      <c r="V283" s="3">
        <f>IF(tblOrdenes[[#This Row],[centro_costo]]="","",_xlfn.XLOOKUP(tblOrdenes[[#This Row],[centro_costo]],tblCECO[codigo],tblCECO[area],"(sin catálogo)"))</f>
        <v/>
      </c>
      <c r="W283" s="3">
        <f>IF(tblOrdenes[[#This Row],[centro_costo]]="","",_xlfn.XLOOKUP(tblOrdenes[[#This Row],[centro_costo]],tblCECO[codigo],tblCECO[coordinador],"(sin catálogo)"))</f>
        <v/>
      </c>
      <c r="X283" s="3">
        <f>IF(tblOrdenes[[#This Row],[puesto_trabajo]]="","",_xlfn.XLOOKUP(tblOrdenes[[#This Row],[puesto_trabajo]],tblPuestos[codigo],tblPuestos[especialidad],"(sin catálogo)"))</f>
        <v/>
      </c>
      <c r="Y283" s="3">
        <f>IF(tblOrdenes[[#This Row],[cod_actividad]]="","",_xlfn.XLOOKUP(tblOrdenes[[#This Row],[cod_actividad]],tblActividades[codigo],tblActividades[descripcion],"(sin catálogo)"))</f>
        <v/>
      </c>
      <c r="Z283" s="12">
        <f>IF(tblOrdenes[[#This Row],[fecha_inicio]]="","",TODAY()-tblOrdenes[[#This Row],[fecha_inicio]])</f>
        <v/>
      </c>
      <c r="AA283" s="3">
        <f>IF(tblOrdenes[[#This Row],[backlog_dias]]="","",IF(tblOrdenes[[#This Row],[backlog_dias]]&lt;0,"FUTURO",IF(tblOrdenes[[#This Row],[backlog_dias]]&gt;p_dias_backlog_max,"BACKLOG","MES CORRIENTE")))</f>
        <v/>
      </c>
      <c r="AB283" s="3">
        <f>IF(tblOrdenes[[#This Row],[backlog_dias]]="",FALSE,AND(tblOrdenes[[#This Row],[backlog_dias]]&gt;p_dias_backlog_min,tblOrdenes[[#This Row],[backlog_dias]]&lt;=p_dias_backlog_max))</f>
        <v/>
      </c>
      <c r="AC283" s="6" t="n"/>
      <c r="AD2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83" s="10">
        <f>IF(tblOrdenes[[#This Row],[orden]]="","",_xlfn.XLOOKUP(tblOrdenes[[#This Row],[id_operacion]],tblEjecucion[id_operacion],tblEjecucion[precio],0))</f>
        <v/>
      </c>
      <c r="AH283" s="10">
        <f>IF(tblOrdenes[[#This Row],[orden]]="","",MAX(0,_xlfn.XLOOKUP(tblOrdenes[[#This Row],[id_operacion]],tblEjecucion[id_operacion],tblEjecucion[costo_plan_total],0)-tblOrdenes[[#This Row],[costo_servicio]]))</f>
        <v/>
      </c>
      <c r="AI283" s="10">
        <f>IF(tblOrdenes[[#This Row],[orden]]="","",tblOrdenes[[#This Row],[costo_servicio]]+tblOrdenes[[#This Row],[costo_materiales]])</f>
        <v/>
      </c>
      <c r="AJ283" s="6" t="n"/>
      <c r="AK283" s="6" t="n"/>
      <c r="AL283" s="6" t="n"/>
      <c r="AM283" s="3">
        <f>IF(tblOrdenes[[#This Row],[link_checklist]]="","",HYPERLINK(p_ruta_base_checklists&amp;tblOrdenes[[#This Row],[link_checklist]],"abrir"))</f>
        <v/>
      </c>
      <c r="AN283" s="6" t="n"/>
      <c r="AO283" s="3">
        <f>IF(tblOrdenes[[#This Row],[orden]]="","",tblOrdenes[[#This Row],[orden]]&amp;IF(tblOrdenes[[#This Row],[operacion]]="","0010",tblOrdenes[[#This Row],[operacion]]))</f>
        <v/>
      </c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11" t="n"/>
      <c r="K284" s="3" t="n"/>
      <c r="L284" s="10" t="n"/>
      <c r="M284" s="6" t="n"/>
      <c r="N2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84" s="3">
        <f>IF(tblOrdenes[[#This Row],[fecha_inicio]]="","",YEAR(tblOrdenes[[#This Row],[fecha_inicio]]))</f>
        <v/>
      </c>
      <c r="R284" s="3">
        <f>IF(tblOrdenes[[#This Row],[fecha_inicio]]="","",MONTH(tblOrdenes[[#This Row],[fecha_inicio]]))</f>
        <v/>
      </c>
      <c r="S284" s="3">
        <f>IF(tblOrdenes[[#This Row],[fecha_inicio]]="","",INDEX(lista_dias,WEEKDAY(tblOrdenes[[#This Row],[fecha_inicio]],2)))</f>
        <v/>
      </c>
      <c r="T284" s="3">
        <f>IF(tblOrdenes[[#This Row],[tipo_ot]]="","",_xlfn.XLOOKUP(tblOrdenes[[#This Row],[tipo_ot]],tblTiposOT[codigo],tblTiposOT[clasificacion],"sin_clasificar"))</f>
        <v/>
      </c>
      <c r="U284" s="3">
        <f>IF(tblOrdenes[[#This Row],[centro_costo]]="","",_xlfn.XLOOKUP(tblOrdenes[[#This Row],[centro_costo]],tblCECO[codigo],tblCECO[linea],"(sin catálogo)"))</f>
        <v/>
      </c>
      <c r="V284" s="3">
        <f>IF(tblOrdenes[[#This Row],[centro_costo]]="","",_xlfn.XLOOKUP(tblOrdenes[[#This Row],[centro_costo]],tblCECO[codigo],tblCECO[area],"(sin catálogo)"))</f>
        <v/>
      </c>
      <c r="W284" s="3">
        <f>IF(tblOrdenes[[#This Row],[centro_costo]]="","",_xlfn.XLOOKUP(tblOrdenes[[#This Row],[centro_costo]],tblCECO[codigo],tblCECO[coordinador],"(sin catálogo)"))</f>
        <v/>
      </c>
      <c r="X284" s="3">
        <f>IF(tblOrdenes[[#This Row],[puesto_trabajo]]="","",_xlfn.XLOOKUP(tblOrdenes[[#This Row],[puesto_trabajo]],tblPuestos[codigo],tblPuestos[especialidad],"(sin catálogo)"))</f>
        <v/>
      </c>
      <c r="Y284" s="3">
        <f>IF(tblOrdenes[[#This Row],[cod_actividad]]="","",_xlfn.XLOOKUP(tblOrdenes[[#This Row],[cod_actividad]],tblActividades[codigo],tblActividades[descripcion],"(sin catálogo)"))</f>
        <v/>
      </c>
      <c r="Z284" s="12">
        <f>IF(tblOrdenes[[#This Row],[fecha_inicio]]="","",TODAY()-tblOrdenes[[#This Row],[fecha_inicio]])</f>
        <v/>
      </c>
      <c r="AA284" s="3">
        <f>IF(tblOrdenes[[#This Row],[backlog_dias]]="","",IF(tblOrdenes[[#This Row],[backlog_dias]]&lt;0,"FUTURO",IF(tblOrdenes[[#This Row],[backlog_dias]]&gt;p_dias_backlog_max,"BACKLOG","MES CORRIENTE")))</f>
        <v/>
      </c>
      <c r="AB284" s="3">
        <f>IF(tblOrdenes[[#This Row],[backlog_dias]]="",FALSE,AND(tblOrdenes[[#This Row],[backlog_dias]]&gt;p_dias_backlog_min,tblOrdenes[[#This Row],[backlog_dias]]&lt;=p_dias_backlog_max))</f>
        <v/>
      </c>
      <c r="AC284" s="6" t="n"/>
      <c r="AD2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84" s="10">
        <f>IF(tblOrdenes[[#This Row],[orden]]="","",_xlfn.XLOOKUP(tblOrdenes[[#This Row],[id_operacion]],tblEjecucion[id_operacion],tblEjecucion[precio],0))</f>
        <v/>
      </c>
      <c r="AH284" s="10">
        <f>IF(tblOrdenes[[#This Row],[orden]]="","",MAX(0,_xlfn.XLOOKUP(tblOrdenes[[#This Row],[id_operacion]],tblEjecucion[id_operacion],tblEjecucion[costo_plan_total],0)-tblOrdenes[[#This Row],[costo_servicio]]))</f>
        <v/>
      </c>
      <c r="AI284" s="10">
        <f>IF(tblOrdenes[[#This Row],[orden]]="","",tblOrdenes[[#This Row],[costo_servicio]]+tblOrdenes[[#This Row],[costo_materiales]])</f>
        <v/>
      </c>
      <c r="AJ284" s="6" t="n"/>
      <c r="AK284" s="6" t="n"/>
      <c r="AL284" s="6" t="n"/>
      <c r="AM284" s="3">
        <f>IF(tblOrdenes[[#This Row],[link_checklist]]="","",HYPERLINK(p_ruta_base_checklists&amp;tblOrdenes[[#This Row],[link_checklist]],"abrir"))</f>
        <v/>
      </c>
      <c r="AN284" s="6" t="n"/>
      <c r="AO284" s="3">
        <f>IF(tblOrdenes[[#This Row],[orden]]="","",tblOrdenes[[#This Row],[orden]]&amp;IF(tblOrdenes[[#This Row],[operacion]]="","0010",tblOrdenes[[#This Row],[operacion]]))</f>
        <v/>
      </c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11" t="n"/>
      <c r="K285" s="3" t="n"/>
      <c r="L285" s="10" t="n"/>
      <c r="M285" s="6" t="n"/>
      <c r="N2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85" s="3">
        <f>IF(tblOrdenes[[#This Row],[fecha_inicio]]="","",YEAR(tblOrdenes[[#This Row],[fecha_inicio]]))</f>
        <v/>
      </c>
      <c r="R285" s="3">
        <f>IF(tblOrdenes[[#This Row],[fecha_inicio]]="","",MONTH(tblOrdenes[[#This Row],[fecha_inicio]]))</f>
        <v/>
      </c>
      <c r="S285" s="3">
        <f>IF(tblOrdenes[[#This Row],[fecha_inicio]]="","",INDEX(lista_dias,WEEKDAY(tblOrdenes[[#This Row],[fecha_inicio]],2)))</f>
        <v/>
      </c>
      <c r="T285" s="3">
        <f>IF(tblOrdenes[[#This Row],[tipo_ot]]="","",_xlfn.XLOOKUP(tblOrdenes[[#This Row],[tipo_ot]],tblTiposOT[codigo],tblTiposOT[clasificacion],"sin_clasificar"))</f>
        <v/>
      </c>
      <c r="U285" s="3">
        <f>IF(tblOrdenes[[#This Row],[centro_costo]]="","",_xlfn.XLOOKUP(tblOrdenes[[#This Row],[centro_costo]],tblCECO[codigo],tblCECO[linea],"(sin catálogo)"))</f>
        <v/>
      </c>
      <c r="V285" s="3">
        <f>IF(tblOrdenes[[#This Row],[centro_costo]]="","",_xlfn.XLOOKUP(tblOrdenes[[#This Row],[centro_costo]],tblCECO[codigo],tblCECO[area],"(sin catálogo)"))</f>
        <v/>
      </c>
      <c r="W285" s="3">
        <f>IF(tblOrdenes[[#This Row],[centro_costo]]="","",_xlfn.XLOOKUP(tblOrdenes[[#This Row],[centro_costo]],tblCECO[codigo],tblCECO[coordinador],"(sin catálogo)"))</f>
        <v/>
      </c>
      <c r="X285" s="3">
        <f>IF(tblOrdenes[[#This Row],[puesto_trabajo]]="","",_xlfn.XLOOKUP(tblOrdenes[[#This Row],[puesto_trabajo]],tblPuestos[codigo],tblPuestos[especialidad],"(sin catálogo)"))</f>
        <v/>
      </c>
      <c r="Y285" s="3">
        <f>IF(tblOrdenes[[#This Row],[cod_actividad]]="","",_xlfn.XLOOKUP(tblOrdenes[[#This Row],[cod_actividad]],tblActividades[codigo],tblActividades[descripcion],"(sin catálogo)"))</f>
        <v/>
      </c>
      <c r="Z285" s="12">
        <f>IF(tblOrdenes[[#This Row],[fecha_inicio]]="","",TODAY()-tblOrdenes[[#This Row],[fecha_inicio]])</f>
        <v/>
      </c>
      <c r="AA285" s="3">
        <f>IF(tblOrdenes[[#This Row],[backlog_dias]]="","",IF(tblOrdenes[[#This Row],[backlog_dias]]&lt;0,"FUTURO",IF(tblOrdenes[[#This Row],[backlog_dias]]&gt;p_dias_backlog_max,"BACKLOG","MES CORRIENTE")))</f>
        <v/>
      </c>
      <c r="AB285" s="3">
        <f>IF(tblOrdenes[[#This Row],[backlog_dias]]="",FALSE,AND(tblOrdenes[[#This Row],[backlog_dias]]&gt;p_dias_backlog_min,tblOrdenes[[#This Row],[backlog_dias]]&lt;=p_dias_backlog_max))</f>
        <v/>
      </c>
      <c r="AC285" s="6" t="n"/>
      <c r="AD2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85" s="10">
        <f>IF(tblOrdenes[[#This Row],[orden]]="","",_xlfn.XLOOKUP(tblOrdenes[[#This Row],[id_operacion]],tblEjecucion[id_operacion],tblEjecucion[precio],0))</f>
        <v/>
      </c>
      <c r="AH285" s="10">
        <f>IF(tblOrdenes[[#This Row],[orden]]="","",MAX(0,_xlfn.XLOOKUP(tblOrdenes[[#This Row],[id_operacion]],tblEjecucion[id_operacion],tblEjecucion[costo_plan_total],0)-tblOrdenes[[#This Row],[costo_servicio]]))</f>
        <v/>
      </c>
      <c r="AI285" s="10">
        <f>IF(tblOrdenes[[#This Row],[orden]]="","",tblOrdenes[[#This Row],[costo_servicio]]+tblOrdenes[[#This Row],[costo_materiales]])</f>
        <v/>
      </c>
      <c r="AJ285" s="6" t="n"/>
      <c r="AK285" s="6" t="n"/>
      <c r="AL285" s="6" t="n"/>
      <c r="AM285" s="3">
        <f>IF(tblOrdenes[[#This Row],[link_checklist]]="","",HYPERLINK(p_ruta_base_checklists&amp;tblOrdenes[[#This Row],[link_checklist]],"abrir"))</f>
        <v/>
      </c>
      <c r="AN285" s="6" t="n"/>
      <c r="AO285" s="3">
        <f>IF(tblOrdenes[[#This Row],[orden]]="","",tblOrdenes[[#This Row],[orden]]&amp;IF(tblOrdenes[[#This Row],[operacion]]="","0010",tblOrdenes[[#This Row],[operacion]]))</f>
        <v/>
      </c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11" t="n"/>
      <c r="K286" s="3" t="n"/>
      <c r="L286" s="10" t="n"/>
      <c r="M286" s="6" t="n"/>
      <c r="N2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86" s="3">
        <f>IF(tblOrdenes[[#This Row],[fecha_inicio]]="","",YEAR(tblOrdenes[[#This Row],[fecha_inicio]]))</f>
        <v/>
      </c>
      <c r="R286" s="3">
        <f>IF(tblOrdenes[[#This Row],[fecha_inicio]]="","",MONTH(tblOrdenes[[#This Row],[fecha_inicio]]))</f>
        <v/>
      </c>
      <c r="S286" s="3">
        <f>IF(tblOrdenes[[#This Row],[fecha_inicio]]="","",INDEX(lista_dias,WEEKDAY(tblOrdenes[[#This Row],[fecha_inicio]],2)))</f>
        <v/>
      </c>
      <c r="T286" s="3">
        <f>IF(tblOrdenes[[#This Row],[tipo_ot]]="","",_xlfn.XLOOKUP(tblOrdenes[[#This Row],[tipo_ot]],tblTiposOT[codigo],tblTiposOT[clasificacion],"sin_clasificar"))</f>
        <v/>
      </c>
      <c r="U286" s="3">
        <f>IF(tblOrdenes[[#This Row],[centro_costo]]="","",_xlfn.XLOOKUP(tblOrdenes[[#This Row],[centro_costo]],tblCECO[codigo],tblCECO[linea],"(sin catálogo)"))</f>
        <v/>
      </c>
      <c r="V286" s="3">
        <f>IF(tblOrdenes[[#This Row],[centro_costo]]="","",_xlfn.XLOOKUP(tblOrdenes[[#This Row],[centro_costo]],tblCECO[codigo],tblCECO[area],"(sin catálogo)"))</f>
        <v/>
      </c>
      <c r="W286" s="3">
        <f>IF(tblOrdenes[[#This Row],[centro_costo]]="","",_xlfn.XLOOKUP(tblOrdenes[[#This Row],[centro_costo]],tblCECO[codigo],tblCECO[coordinador],"(sin catálogo)"))</f>
        <v/>
      </c>
      <c r="X286" s="3">
        <f>IF(tblOrdenes[[#This Row],[puesto_trabajo]]="","",_xlfn.XLOOKUP(tblOrdenes[[#This Row],[puesto_trabajo]],tblPuestos[codigo],tblPuestos[especialidad],"(sin catálogo)"))</f>
        <v/>
      </c>
      <c r="Y286" s="3">
        <f>IF(tblOrdenes[[#This Row],[cod_actividad]]="","",_xlfn.XLOOKUP(tblOrdenes[[#This Row],[cod_actividad]],tblActividades[codigo],tblActividades[descripcion],"(sin catálogo)"))</f>
        <v/>
      </c>
      <c r="Z286" s="12">
        <f>IF(tblOrdenes[[#This Row],[fecha_inicio]]="","",TODAY()-tblOrdenes[[#This Row],[fecha_inicio]])</f>
        <v/>
      </c>
      <c r="AA286" s="3">
        <f>IF(tblOrdenes[[#This Row],[backlog_dias]]="","",IF(tblOrdenes[[#This Row],[backlog_dias]]&lt;0,"FUTURO",IF(tblOrdenes[[#This Row],[backlog_dias]]&gt;p_dias_backlog_max,"BACKLOG","MES CORRIENTE")))</f>
        <v/>
      </c>
      <c r="AB286" s="3">
        <f>IF(tblOrdenes[[#This Row],[backlog_dias]]="",FALSE,AND(tblOrdenes[[#This Row],[backlog_dias]]&gt;p_dias_backlog_min,tblOrdenes[[#This Row],[backlog_dias]]&lt;=p_dias_backlog_max))</f>
        <v/>
      </c>
      <c r="AC286" s="6" t="n"/>
      <c r="AD2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86" s="10">
        <f>IF(tblOrdenes[[#This Row],[orden]]="","",_xlfn.XLOOKUP(tblOrdenes[[#This Row],[id_operacion]],tblEjecucion[id_operacion],tblEjecucion[precio],0))</f>
        <v/>
      </c>
      <c r="AH286" s="10">
        <f>IF(tblOrdenes[[#This Row],[orden]]="","",MAX(0,_xlfn.XLOOKUP(tblOrdenes[[#This Row],[id_operacion]],tblEjecucion[id_operacion],tblEjecucion[costo_plan_total],0)-tblOrdenes[[#This Row],[costo_servicio]]))</f>
        <v/>
      </c>
      <c r="AI286" s="10">
        <f>IF(tblOrdenes[[#This Row],[orden]]="","",tblOrdenes[[#This Row],[costo_servicio]]+tblOrdenes[[#This Row],[costo_materiales]])</f>
        <v/>
      </c>
      <c r="AJ286" s="6" t="n"/>
      <c r="AK286" s="6" t="n"/>
      <c r="AL286" s="6" t="n"/>
      <c r="AM286" s="3">
        <f>IF(tblOrdenes[[#This Row],[link_checklist]]="","",HYPERLINK(p_ruta_base_checklists&amp;tblOrdenes[[#This Row],[link_checklist]],"abrir"))</f>
        <v/>
      </c>
      <c r="AN286" s="6" t="n"/>
      <c r="AO286" s="3">
        <f>IF(tblOrdenes[[#This Row],[orden]]="","",tblOrdenes[[#This Row],[orden]]&amp;IF(tblOrdenes[[#This Row],[operacion]]="","0010",tblOrdenes[[#This Row],[operacion]]))</f>
        <v/>
      </c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11" t="n"/>
      <c r="K287" s="3" t="n"/>
      <c r="L287" s="10" t="n"/>
      <c r="M287" s="6" t="n"/>
      <c r="N2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87" s="3">
        <f>IF(tblOrdenes[[#This Row],[fecha_inicio]]="","",YEAR(tblOrdenes[[#This Row],[fecha_inicio]]))</f>
        <v/>
      </c>
      <c r="R287" s="3">
        <f>IF(tblOrdenes[[#This Row],[fecha_inicio]]="","",MONTH(tblOrdenes[[#This Row],[fecha_inicio]]))</f>
        <v/>
      </c>
      <c r="S287" s="3">
        <f>IF(tblOrdenes[[#This Row],[fecha_inicio]]="","",INDEX(lista_dias,WEEKDAY(tblOrdenes[[#This Row],[fecha_inicio]],2)))</f>
        <v/>
      </c>
      <c r="T287" s="3">
        <f>IF(tblOrdenes[[#This Row],[tipo_ot]]="","",_xlfn.XLOOKUP(tblOrdenes[[#This Row],[tipo_ot]],tblTiposOT[codigo],tblTiposOT[clasificacion],"sin_clasificar"))</f>
        <v/>
      </c>
      <c r="U287" s="3">
        <f>IF(tblOrdenes[[#This Row],[centro_costo]]="","",_xlfn.XLOOKUP(tblOrdenes[[#This Row],[centro_costo]],tblCECO[codigo],tblCECO[linea],"(sin catálogo)"))</f>
        <v/>
      </c>
      <c r="V287" s="3">
        <f>IF(tblOrdenes[[#This Row],[centro_costo]]="","",_xlfn.XLOOKUP(tblOrdenes[[#This Row],[centro_costo]],tblCECO[codigo],tblCECO[area],"(sin catálogo)"))</f>
        <v/>
      </c>
      <c r="W287" s="3">
        <f>IF(tblOrdenes[[#This Row],[centro_costo]]="","",_xlfn.XLOOKUP(tblOrdenes[[#This Row],[centro_costo]],tblCECO[codigo],tblCECO[coordinador],"(sin catálogo)"))</f>
        <v/>
      </c>
      <c r="X287" s="3">
        <f>IF(tblOrdenes[[#This Row],[puesto_trabajo]]="","",_xlfn.XLOOKUP(tblOrdenes[[#This Row],[puesto_trabajo]],tblPuestos[codigo],tblPuestos[especialidad],"(sin catálogo)"))</f>
        <v/>
      </c>
      <c r="Y287" s="3">
        <f>IF(tblOrdenes[[#This Row],[cod_actividad]]="","",_xlfn.XLOOKUP(tblOrdenes[[#This Row],[cod_actividad]],tblActividades[codigo],tblActividades[descripcion],"(sin catálogo)"))</f>
        <v/>
      </c>
      <c r="Z287" s="12">
        <f>IF(tblOrdenes[[#This Row],[fecha_inicio]]="","",TODAY()-tblOrdenes[[#This Row],[fecha_inicio]])</f>
        <v/>
      </c>
      <c r="AA287" s="3">
        <f>IF(tblOrdenes[[#This Row],[backlog_dias]]="","",IF(tblOrdenes[[#This Row],[backlog_dias]]&lt;0,"FUTURO",IF(tblOrdenes[[#This Row],[backlog_dias]]&gt;p_dias_backlog_max,"BACKLOG","MES CORRIENTE")))</f>
        <v/>
      </c>
      <c r="AB287" s="3">
        <f>IF(tblOrdenes[[#This Row],[backlog_dias]]="",FALSE,AND(tblOrdenes[[#This Row],[backlog_dias]]&gt;p_dias_backlog_min,tblOrdenes[[#This Row],[backlog_dias]]&lt;=p_dias_backlog_max))</f>
        <v/>
      </c>
      <c r="AC287" s="6" t="n"/>
      <c r="AD2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87" s="10">
        <f>IF(tblOrdenes[[#This Row],[orden]]="","",_xlfn.XLOOKUP(tblOrdenes[[#This Row],[id_operacion]],tblEjecucion[id_operacion],tblEjecucion[precio],0))</f>
        <v/>
      </c>
      <c r="AH287" s="10">
        <f>IF(tblOrdenes[[#This Row],[orden]]="","",MAX(0,_xlfn.XLOOKUP(tblOrdenes[[#This Row],[id_operacion]],tblEjecucion[id_operacion],tblEjecucion[costo_plan_total],0)-tblOrdenes[[#This Row],[costo_servicio]]))</f>
        <v/>
      </c>
      <c r="AI287" s="10">
        <f>IF(tblOrdenes[[#This Row],[orden]]="","",tblOrdenes[[#This Row],[costo_servicio]]+tblOrdenes[[#This Row],[costo_materiales]])</f>
        <v/>
      </c>
      <c r="AJ287" s="6" t="n"/>
      <c r="AK287" s="6" t="n"/>
      <c r="AL287" s="6" t="n"/>
      <c r="AM287" s="3">
        <f>IF(tblOrdenes[[#This Row],[link_checklist]]="","",HYPERLINK(p_ruta_base_checklists&amp;tblOrdenes[[#This Row],[link_checklist]],"abrir"))</f>
        <v/>
      </c>
      <c r="AN287" s="6" t="n"/>
      <c r="AO287" s="3">
        <f>IF(tblOrdenes[[#This Row],[orden]]="","",tblOrdenes[[#This Row],[orden]]&amp;IF(tblOrdenes[[#This Row],[operacion]]="","0010",tblOrdenes[[#This Row],[operacion]]))</f>
        <v/>
      </c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11" t="n"/>
      <c r="K288" s="3" t="n"/>
      <c r="L288" s="10" t="n"/>
      <c r="M288" s="6" t="n"/>
      <c r="N2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88" s="3">
        <f>IF(tblOrdenes[[#This Row],[fecha_inicio]]="","",YEAR(tblOrdenes[[#This Row],[fecha_inicio]]))</f>
        <v/>
      </c>
      <c r="R288" s="3">
        <f>IF(tblOrdenes[[#This Row],[fecha_inicio]]="","",MONTH(tblOrdenes[[#This Row],[fecha_inicio]]))</f>
        <v/>
      </c>
      <c r="S288" s="3">
        <f>IF(tblOrdenes[[#This Row],[fecha_inicio]]="","",INDEX(lista_dias,WEEKDAY(tblOrdenes[[#This Row],[fecha_inicio]],2)))</f>
        <v/>
      </c>
      <c r="T288" s="3">
        <f>IF(tblOrdenes[[#This Row],[tipo_ot]]="","",_xlfn.XLOOKUP(tblOrdenes[[#This Row],[tipo_ot]],tblTiposOT[codigo],tblTiposOT[clasificacion],"sin_clasificar"))</f>
        <v/>
      </c>
      <c r="U288" s="3">
        <f>IF(tblOrdenes[[#This Row],[centro_costo]]="","",_xlfn.XLOOKUP(tblOrdenes[[#This Row],[centro_costo]],tblCECO[codigo],tblCECO[linea],"(sin catálogo)"))</f>
        <v/>
      </c>
      <c r="V288" s="3">
        <f>IF(tblOrdenes[[#This Row],[centro_costo]]="","",_xlfn.XLOOKUP(tblOrdenes[[#This Row],[centro_costo]],tblCECO[codigo],tblCECO[area],"(sin catálogo)"))</f>
        <v/>
      </c>
      <c r="W288" s="3">
        <f>IF(tblOrdenes[[#This Row],[centro_costo]]="","",_xlfn.XLOOKUP(tblOrdenes[[#This Row],[centro_costo]],tblCECO[codigo],tblCECO[coordinador],"(sin catálogo)"))</f>
        <v/>
      </c>
      <c r="X288" s="3">
        <f>IF(tblOrdenes[[#This Row],[puesto_trabajo]]="","",_xlfn.XLOOKUP(tblOrdenes[[#This Row],[puesto_trabajo]],tblPuestos[codigo],tblPuestos[especialidad],"(sin catálogo)"))</f>
        <v/>
      </c>
      <c r="Y288" s="3">
        <f>IF(tblOrdenes[[#This Row],[cod_actividad]]="","",_xlfn.XLOOKUP(tblOrdenes[[#This Row],[cod_actividad]],tblActividades[codigo],tblActividades[descripcion],"(sin catálogo)"))</f>
        <v/>
      </c>
      <c r="Z288" s="12">
        <f>IF(tblOrdenes[[#This Row],[fecha_inicio]]="","",TODAY()-tblOrdenes[[#This Row],[fecha_inicio]])</f>
        <v/>
      </c>
      <c r="AA288" s="3">
        <f>IF(tblOrdenes[[#This Row],[backlog_dias]]="","",IF(tblOrdenes[[#This Row],[backlog_dias]]&lt;0,"FUTURO",IF(tblOrdenes[[#This Row],[backlog_dias]]&gt;p_dias_backlog_max,"BACKLOG","MES CORRIENTE")))</f>
        <v/>
      </c>
      <c r="AB288" s="3">
        <f>IF(tblOrdenes[[#This Row],[backlog_dias]]="",FALSE,AND(tblOrdenes[[#This Row],[backlog_dias]]&gt;p_dias_backlog_min,tblOrdenes[[#This Row],[backlog_dias]]&lt;=p_dias_backlog_max))</f>
        <v/>
      </c>
      <c r="AC288" s="6" t="n"/>
      <c r="AD2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88" s="10">
        <f>IF(tblOrdenes[[#This Row],[orden]]="","",_xlfn.XLOOKUP(tblOrdenes[[#This Row],[id_operacion]],tblEjecucion[id_operacion],tblEjecucion[precio],0))</f>
        <v/>
      </c>
      <c r="AH288" s="10">
        <f>IF(tblOrdenes[[#This Row],[orden]]="","",MAX(0,_xlfn.XLOOKUP(tblOrdenes[[#This Row],[id_operacion]],tblEjecucion[id_operacion],tblEjecucion[costo_plan_total],0)-tblOrdenes[[#This Row],[costo_servicio]]))</f>
        <v/>
      </c>
      <c r="AI288" s="10">
        <f>IF(tblOrdenes[[#This Row],[orden]]="","",tblOrdenes[[#This Row],[costo_servicio]]+tblOrdenes[[#This Row],[costo_materiales]])</f>
        <v/>
      </c>
      <c r="AJ288" s="6" t="n"/>
      <c r="AK288" s="6" t="n"/>
      <c r="AL288" s="6" t="n"/>
      <c r="AM288" s="3">
        <f>IF(tblOrdenes[[#This Row],[link_checklist]]="","",HYPERLINK(p_ruta_base_checklists&amp;tblOrdenes[[#This Row],[link_checklist]],"abrir"))</f>
        <v/>
      </c>
      <c r="AN288" s="6" t="n"/>
      <c r="AO288" s="3">
        <f>IF(tblOrdenes[[#This Row],[orden]]="","",tblOrdenes[[#This Row],[orden]]&amp;IF(tblOrdenes[[#This Row],[operacion]]="","0010",tblOrdenes[[#This Row],[operacion]]))</f>
        <v/>
      </c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11" t="n"/>
      <c r="K289" s="3" t="n"/>
      <c r="L289" s="10" t="n"/>
      <c r="M289" s="6" t="n"/>
      <c r="N2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89" s="3">
        <f>IF(tblOrdenes[[#This Row],[fecha_inicio]]="","",YEAR(tblOrdenes[[#This Row],[fecha_inicio]]))</f>
        <v/>
      </c>
      <c r="R289" s="3">
        <f>IF(tblOrdenes[[#This Row],[fecha_inicio]]="","",MONTH(tblOrdenes[[#This Row],[fecha_inicio]]))</f>
        <v/>
      </c>
      <c r="S289" s="3">
        <f>IF(tblOrdenes[[#This Row],[fecha_inicio]]="","",INDEX(lista_dias,WEEKDAY(tblOrdenes[[#This Row],[fecha_inicio]],2)))</f>
        <v/>
      </c>
      <c r="T289" s="3">
        <f>IF(tblOrdenes[[#This Row],[tipo_ot]]="","",_xlfn.XLOOKUP(tblOrdenes[[#This Row],[tipo_ot]],tblTiposOT[codigo],tblTiposOT[clasificacion],"sin_clasificar"))</f>
        <v/>
      </c>
      <c r="U289" s="3">
        <f>IF(tblOrdenes[[#This Row],[centro_costo]]="","",_xlfn.XLOOKUP(tblOrdenes[[#This Row],[centro_costo]],tblCECO[codigo],tblCECO[linea],"(sin catálogo)"))</f>
        <v/>
      </c>
      <c r="V289" s="3">
        <f>IF(tblOrdenes[[#This Row],[centro_costo]]="","",_xlfn.XLOOKUP(tblOrdenes[[#This Row],[centro_costo]],tblCECO[codigo],tblCECO[area],"(sin catálogo)"))</f>
        <v/>
      </c>
      <c r="W289" s="3">
        <f>IF(tblOrdenes[[#This Row],[centro_costo]]="","",_xlfn.XLOOKUP(tblOrdenes[[#This Row],[centro_costo]],tblCECO[codigo],tblCECO[coordinador],"(sin catálogo)"))</f>
        <v/>
      </c>
      <c r="X289" s="3">
        <f>IF(tblOrdenes[[#This Row],[puesto_trabajo]]="","",_xlfn.XLOOKUP(tblOrdenes[[#This Row],[puesto_trabajo]],tblPuestos[codigo],tblPuestos[especialidad],"(sin catálogo)"))</f>
        <v/>
      </c>
      <c r="Y289" s="3">
        <f>IF(tblOrdenes[[#This Row],[cod_actividad]]="","",_xlfn.XLOOKUP(tblOrdenes[[#This Row],[cod_actividad]],tblActividades[codigo],tblActividades[descripcion],"(sin catálogo)"))</f>
        <v/>
      </c>
      <c r="Z289" s="12">
        <f>IF(tblOrdenes[[#This Row],[fecha_inicio]]="","",TODAY()-tblOrdenes[[#This Row],[fecha_inicio]])</f>
        <v/>
      </c>
      <c r="AA289" s="3">
        <f>IF(tblOrdenes[[#This Row],[backlog_dias]]="","",IF(tblOrdenes[[#This Row],[backlog_dias]]&lt;0,"FUTURO",IF(tblOrdenes[[#This Row],[backlog_dias]]&gt;p_dias_backlog_max,"BACKLOG","MES CORRIENTE")))</f>
        <v/>
      </c>
      <c r="AB289" s="3">
        <f>IF(tblOrdenes[[#This Row],[backlog_dias]]="",FALSE,AND(tblOrdenes[[#This Row],[backlog_dias]]&gt;p_dias_backlog_min,tblOrdenes[[#This Row],[backlog_dias]]&lt;=p_dias_backlog_max))</f>
        <v/>
      </c>
      <c r="AC289" s="6" t="n"/>
      <c r="AD2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89" s="10">
        <f>IF(tblOrdenes[[#This Row],[orden]]="","",_xlfn.XLOOKUP(tblOrdenes[[#This Row],[id_operacion]],tblEjecucion[id_operacion],tblEjecucion[precio],0))</f>
        <v/>
      </c>
      <c r="AH289" s="10">
        <f>IF(tblOrdenes[[#This Row],[orden]]="","",MAX(0,_xlfn.XLOOKUP(tblOrdenes[[#This Row],[id_operacion]],tblEjecucion[id_operacion],tblEjecucion[costo_plan_total],0)-tblOrdenes[[#This Row],[costo_servicio]]))</f>
        <v/>
      </c>
      <c r="AI289" s="10">
        <f>IF(tblOrdenes[[#This Row],[orden]]="","",tblOrdenes[[#This Row],[costo_servicio]]+tblOrdenes[[#This Row],[costo_materiales]])</f>
        <v/>
      </c>
      <c r="AJ289" s="6" t="n"/>
      <c r="AK289" s="6" t="n"/>
      <c r="AL289" s="6" t="n"/>
      <c r="AM289" s="3">
        <f>IF(tblOrdenes[[#This Row],[link_checklist]]="","",HYPERLINK(p_ruta_base_checklists&amp;tblOrdenes[[#This Row],[link_checklist]],"abrir"))</f>
        <v/>
      </c>
      <c r="AN289" s="6" t="n"/>
      <c r="AO289" s="3">
        <f>IF(tblOrdenes[[#This Row],[orden]]="","",tblOrdenes[[#This Row],[orden]]&amp;IF(tblOrdenes[[#This Row],[operacion]]="","0010",tblOrdenes[[#This Row],[operacion]]))</f>
        <v/>
      </c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11" t="n"/>
      <c r="K290" s="3" t="n"/>
      <c r="L290" s="10" t="n"/>
      <c r="M290" s="6" t="n"/>
      <c r="N2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90" s="3">
        <f>IF(tblOrdenes[[#This Row],[fecha_inicio]]="","",YEAR(tblOrdenes[[#This Row],[fecha_inicio]]))</f>
        <v/>
      </c>
      <c r="R290" s="3">
        <f>IF(tblOrdenes[[#This Row],[fecha_inicio]]="","",MONTH(tblOrdenes[[#This Row],[fecha_inicio]]))</f>
        <v/>
      </c>
      <c r="S290" s="3">
        <f>IF(tblOrdenes[[#This Row],[fecha_inicio]]="","",INDEX(lista_dias,WEEKDAY(tblOrdenes[[#This Row],[fecha_inicio]],2)))</f>
        <v/>
      </c>
      <c r="T290" s="3">
        <f>IF(tblOrdenes[[#This Row],[tipo_ot]]="","",_xlfn.XLOOKUP(tblOrdenes[[#This Row],[tipo_ot]],tblTiposOT[codigo],tblTiposOT[clasificacion],"sin_clasificar"))</f>
        <v/>
      </c>
      <c r="U290" s="3">
        <f>IF(tblOrdenes[[#This Row],[centro_costo]]="","",_xlfn.XLOOKUP(tblOrdenes[[#This Row],[centro_costo]],tblCECO[codigo],tblCECO[linea],"(sin catálogo)"))</f>
        <v/>
      </c>
      <c r="V290" s="3">
        <f>IF(tblOrdenes[[#This Row],[centro_costo]]="","",_xlfn.XLOOKUP(tblOrdenes[[#This Row],[centro_costo]],tblCECO[codigo],tblCECO[area],"(sin catálogo)"))</f>
        <v/>
      </c>
      <c r="W290" s="3">
        <f>IF(tblOrdenes[[#This Row],[centro_costo]]="","",_xlfn.XLOOKUP(tblOrdenes[[#This Row],[centro_costo]],tblCECO[codigo],tblCECO[coordinador],"(sin catálogo)"))</f>
        <v/>
      </c>
      <c r="X290" s="3">
        <f>IF(tblOrdenes[[#This Row],[puesto_trabajo]]="","",_xlfn.XLOOKUP(tblOrdenes[[#This Row],[puesto_trabajo]],tblPuestos[codigo],tblPuestos[especialidad],"(sin catálogo)"))</f>
        <v/>
      </c>
      <c r="Y290" s="3">
        <f>IF(tblOrdenes[[#This Row],[cod_actividad]]="","",_xlfn.XLOOKUP(tblOrdenes[[#This Row],[cod_actividad]],tblActividades[codigo],tblActividades[descripcion],"(sin catálogo)"))</f>
        <v/>
      </c>
      <c r="Z290" s="12">
        <f>IF(tblOrdenes[[#This Row],[fecha_inicio]]="","",TODAY()-tblOrdenes[[#This Row],[fecha_inicio]])</f>
        <v/>
      </c>
      <c r="AA290" s="3">
        <f>IF(tblOrdenes[[#This Row],[backlog_dias]]="","",IF(tblOrdenes[[#This Row],[backlog_dias]]&lt;0,"FUTURO",IF(tblOrdenes[[#This Row],[backlog_dias]]&gt;p_dias_backlog_max,"BACKLOG","MES CORRIENTE")))</f>
        <v/>
      </c>
      <c r="AB290" s="3">
        <f>IF(tblOrdenes[[#This Row],[backlog_dias]]="",FALSE,AND(tblOrdenes[[#This Row],[backlog_dias]]&gt;p_dias_backlog_min,tblOrdenes[[#This Row],[backlog_dias]]&lt;=p_dias_backlog_max))</f>
        <v/>
      </c>
      <c r="AC290" s="6" t="n"/>
      <c r="AD2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90" s="10">
        <f>IF(tblOrdenes[[#This Row],[orden]]="","",_xlfn.XLOOKUP(tblOrdenes[[#This Row],[id_operacion]],tblEjecucion[id_operacion],tblEjecucion[precio],0))</f>
        <v/>
      </c>
      <c r="AH290" s="10">
        <f>IF(tblOrdenes[[#This Row],[orden]]="","",MAX(0,_xlfn.XLOOKUP(tblOrdenes[[#This Row],[id_operacion]],tblEjecucion[id_operacion],tblEjecucion[costo_plan_total],0)-tblOrdenes[[#This Row],[costo_servicio]]))</f>
        <v/>
      </c>
      <c r="AI290" s="10">
        <f>IF(tblOrdenes[[#This Row],[orden]]="","",tblOrdenes[[#This Row],[costo_servicio]]+tblOrdenes[[#This Row],[costo_materiales]])</f>
        <v/>
      </c>
      <c r="AJ290" s="6" t="n"/>
      <c r="AK290" s="6" t="n"/>
      <c r="AL290" s="6" t="n"/>
      <c r="AM290" s="3">
        <f>IF(tblOrdenes[[#This Row],[link_checklist]]="","",HYPERLINK(p_ruta_base_checklists&amp;tblOrdenes[[#This Row],[link_checklist]],"abrir"))</f>
        <v/>
      </c>
      <c r="AN290" s="6" t="n"/>
      <c r="AO290" s="3">
        <f>IF(tblOrdenes[[#This Row],[orden]]="","",tblOrdenes[[#This Row],[orden]]&amp;IF(tblOrdenes[[#This Row],[operacion]]="","0010",tblOrdenes[[#This Row],[operacion]]))</f>
        <v/>
      </c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11" t="n"/>
      <c r="K291" s="3" t="n"/>
      <c r="L291" s="10" t="n"/>
      <c r="M291" s="6" t="n"/>
      <c r="N2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91" s="3">
        <f>IF(tblOrdenes[[#This Row],[fecha_inicio]]="","",YEAR(tblOrdenes[[#This Row],[fecha_inicio]]))</f>
        <v/>
      </c>
      <c r="R291" s="3">
        <f>IF(tblOrdenes[[#This Row],[fecha_inicio]]="","",MONTH(tblOrdenes[[#This Row],[fecha_inicio]]))</f>
        <v/>
      </c>
      <c r="S291" s="3">
        <f>IF(tblOrdenes[[#This Row],[fecha_inicio]]="","",INDEX(lista_dias,WEEKDAY(tblOrdenes[[#This Row],[fecha_inicio]],2)))</f>
        <v/>
      </c>
      <c r="T291" s="3">
        <f>IF(tblOrdenes[[#This Row],[tipo_ot]]="","",_xlfn.XLOOKUP(tblOrdenes[[#This Row],[tipo_ot]],tblTiposOT[codigo],tblTiposOT[clasificacion],"sin_clasificar"))</f>
        <v/>
      </c>
      <c r="U291" s="3">
        <f>IF(tblOrdenes[[#This Row],[centro_costo]]="","",_xlfn.XLOOKUP(tblOrdenes[[#This Row],[centro_costo]],tblCECO[codigo],tblCECO[linea],"(sin catálogo)"))</f>
        <v/>
      </c>
      <c r="V291" s="3">
        <f>IF(tblOrdenes[[#This Row],[centro_costo]]="","",_xlfn.XLOOKUP(tblOrdenes[[#This Row],[centro_costo]],tblCECO[codigo],tblCECO[area],"(sin catálogo)"))</f>
        <v/>
      </c>
      <c r="W291" s="3">
        <f>IF(tblOrdenes[[#This Row],[centro_costo]]="","",_xlfn.XLOOKUP(tblOrdenes[[#This Row],[centro_costo]],tblCECO[codigo],tblCECO[coordinador],"(sin catálogo)"))</f>
        <v/>
      </c>
      <c r="X291" s="3">
        <f>IF(tblOrdenes[[#This Row],[puesto_trabajo]]="","",_xlfn.XLOOKUP(tblOrdenes[[#This Row],[puesto_trabajo]],tblPuestos[codigo],tblPuestos[especialidad],"(sin catálogo)"))</f>
        <v/>
      </c>
      <c r="Y291" s="3">
        <f>IF(tblOrdenes[[#This Row],[cod_actividad]]="","",_xlfn.XLOOKUP(tblOrdenes[[#This Row],[cod_actividad]],tblActividades[codigo],tblActividades[descripcion],"(sin catálogo)"))</f>
        <v/>
      </c>
      <c r="Z291" s="12">
        <f>IF(tblOrdenes[[#This Row],[fecha_inicio]]="","",TODAY()-tblOrdenes[[#This Row],[fecha_inicio]])</f>
        <v/>
      </c>
      <c r="AA291" s="3">
        <f>IF(tblOrdenes[[#This Row],[backlog_dias]]="","",IF(tblOrdenes[[#This Row],[backlog_dias]]&lt;0,"FUTURO",IF(tblOrdenes[[#This Row],[backlog_dias]]&gt;p_dias_backlog_max,"BACKLOG","MES CORRIENTE")))</f>
        <v/>
      </c>
      <c r="AB291" s="3">
        <f>IF(tblOrdenes[[#This Row],[backlog_dias]]="",FALSE,AND(tblOrdenes[[#This Row],[backlog_dias]]&gt;p_dias_backlog_min,tblOrdenes[[#This Row],[backlog_dias]]&lt;=p_dias_backlog_max))</f>
        <v/>
      </c>
      <c r="AC291" s="6" t="n"/>
      <c r="AD2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91" s="10">
        <f>IF(tblOrdenes[[#This Row],[orden]]="","",_xlfn.XLOOKUP(tblOrdenes[[#This Row],[id_operacion]],tblEjecucion[id_operacion],tblEjecucion[precio],0))</f>
        <v/>
      </c>
      <c r="AH291" s="10">
        <f>IF(tblOrdenes[[#This Row],[orden]]="","",MAX(0,_xlfn.XLOOKUP(tblOrdenes[[#This Row],[id_operacion]],tblEjecucion[id_operacion],tblEjecucion[costo_plan_total],0)-tblOrdenes[[#This Row],[costo_servicio]]))</f>
        <v/>
      </c>
      <c r="AI291" s="10">
        <f>IF(tblOrdenes[[#This Row],[orden]]="","",tblOrdenes[[#This Row],[costo_servicio]]+tblOrdenes[[#This Row],[costo_materiales]])</f>
        <v/>
      </c>
      <c r="AJ291" s="6" t="n"/>
      <c r="AK291" s="6" t="n"/>
      <c r="AL291" s="6" t="n"/>
      <c r="AM291" s="3">
        <f>IF(tblOrdenes[[#This Row],[link_checklist]]="","",HYPERLINK(p_ruta_base_checklists&amp;tblOrdenes[[#This Row],[link_checklist]],"abrir"))</f>
        <v/>
      </c>
      <c r="AN291" s="6" t="n"/>
      <c r="AO291" s="3">
        <f>IF(tblOrdenes[[#This Row],[orden]]="","",tblOrdenes[[#This Row],[orden]]&amp;IF(tblOrdenes[[#This Row],[operacion]]="","0010",tblOrdenes[[#This Row],[operacion]]))</f>
        <v/>
      </c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11" t="n"/>
      <c r="K292" s="3" t="n"/>
      <c r="L292" s="10" t="n"/>
      <c r="M292" s="6" t="n"/>
      <c r="N2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92" s="3">
        <f>IF(tblOrdenes[[#This Row],[fecha_inicio]]="","",YEAR(tblOrdenes[[#This Row],[fecha_inicio]]))</f>
        <v/>
      </c>
      <c r="R292" s="3">
        <f>IF(tblOrdenes[[#This Row],[fecha_inicio]]="","",MONTH(tblOrdenes[[#This Row],[fecha_inicio]]))</f>
        <v/>
      </c>
      <c r="S292" s="3">
        <f>IF(tblOrdenes[[#This Row],[fecha_inicio]]="","",INDEX(lista_dias,WEEKDAY(tblOrdenes[[#This Row],[fecha_inicio]],2)))</f>
        <v/>
      </c>
      <c r="T292" s="3">
        <f>IF(tblOrdenes[[#This Row],[tipo_ot]]="","",_xlfn.XLOOKUP(tblOrdenes[[#This Row],[tipo_ot]],tblTiposOT[codigo],tblTiposOT[clasificacion],"sin_clasificar"))</f>
        <v/>
      </c>
      <c r="U292" s="3">
        <f>IF(tblOrdenes[[#This Row],[centro_costo]]="","",_xlfn.XLOOKUP(tblOrdenes[[#This Row],[centro_costo]],tblCECO[codigo],tblCECO[linea],"(sin catálogo)"))</f>
        <v/>
      </c>
      <c r="V292" s="3">
        <f>IF(tblOrdenes[[#This Row],[centro_costo]]="","",_xlfn.XLOOKUP(tblOrdenes[[#This Row],[centro_costo]],tblCECO[codigo],tblCECO[area],"(sin catálogo)"))</f>
        <v/>
      </c>
      <c r="W292" s="3">
        <f>IF(tblOrdenes[[#This Row],[centro_costo]]="","",_xlfn.XLOOKUP(tblOrdenes[[#This Row],[centro_costo]],tblCECO[codigo],tblCECO[coordinador],"(sin catálogo)"))</f>
        <v/>
      </c>
      <c r="X292" s="3">
        <f>IF(tblOrdenes[[#This Row],[puesto_trabajo]]="","",_xlfn.XLOOKUP(tblOrdenes[[#This Row],[puesto_trabajo]],tblPuestos[codigo],tblPuestos[especialidad],"(sin catálogo)"))</f>
        <v/>
      </c>
      <c r="Y292" s="3">
        <f>IF(tblOrdenes[[#This Row],[cod_actividad]]="","",_xlfn.XLOOKUP(tblOrdenes[[#This Row],[cod_actividad]],tblActividades[codigo],tblActividades[descripcion],"(sin catálogo)"))</f>
        <v/>
      </c>
      <c r="Z292" s="12">
        <f>IF(tblOrdenes[[#This Row],[fecha_inicio]]="","",TODAY()-tblOrdenes[[#This Row],[fecha_inicio]])</f>
        <v/>
      </c>
      <c r="AA292" s="3">
        <f>IF(tblOrdenes[[#This Row],[backlog_dias]]="","",IF(tblOrdenes[[#This Row],[backlog_dias]]&lt;0,"FUTURO",IF(tblOrdenes[[#This Row],[backlog_dias]]&gt;p_dias_backlog_max,"BACKLOG","MES CORRIENTE")))</f>
        <v/>
      </c>
      <c r="AB292" s="3">
        <f>IF(tblOrdenes[[#This Row],[backlog_dias]]="",FALSE,AND(tblOrdenes[[#This Row],[backlog_dias]]&gt;p_dias_backlog_min,tblOrdenes[[#This Row],[backlog_dias]]&lt;=p_dias_backlog_max))</f>
        <v/>
      </c>
      <c r="AC292" s="6" t="n"/>
      <c r="AD2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92" s="10">
        <f>IF(tblOrdenes[[#This Row],[orden]]="","",_xlfn.XLOOKUP(tblOrdenes[[#This Row],[id_operacion]],tblEjecucion[id_operacion],tblEjecucion[precio],0))</f>
        <v/>
      </c>
      <c r="AH292" s="10">
        <f>IF(tblOrdenes[[#This Row],[orden]]="","",MAX(0,_xlfn.XLOOKUP(tblOrdenes[[#This Row],[id_operacion]],tblEjecucion[id_operacion],tblEjecucion[costo_plan_total],0)-tblOrdenes[[#This Row],[costo_servicio]]))</f>
        <v/>
      </c>
      <c r="AI292" s="10">
        <f>IF(tblOrdenes[[#This Row],[orden]]="","",tblOrdenes[[#This Row],[costo_servicio]]+tblOrdenes[[#This Row],[costo_materiales]])</f>
        <v/>
      </c>
      <c r="AJ292" s="6" t="n"/>
      <c r="AK292" s="6" t="n"/>
      <c r="AL292" s="6" t="n"/>
      <c r="AM292" s="3">
        <f>IF(tblOrdenes[[#This Row],[link_checklist]]="","",HYPERLINK(p_ruta_base_checklists&amp;tblOrdenes[[#This Row],[link_checklist]],"abrir"))</f>
        <v/>
      </c>
      <c r="AN292" s="6" t="n"/>
      <c r="AO292" s="3">
        <f>IF(tblOrdenes[[#This Row],[orden]]="","",tblOrdenes[[#This Row],[orden]]&amp;IF(tblOrdenes[[#This Row],[operacion]]="","0010",tblOrdenes[[#This Row],[operacion]]))</f>
        <v/>
      </c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11" t="n"/>
      <c r="K293" s="3" t="n"/>
      <c r="L293" s="10" t="n"/>
      <c r="M293" s="6" t="n"/>
      <c r="N2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93" s="3">
        <f>IF(tblOrdenes[[#This Row],[fecha_inicio]]="","",YEAR(tblOrdenes[[#This Row],[fecha_inicio]]))</f>
        <v/>
      </c>
      <c r="R293" s="3">
        <f>IF(tblOrdenes[[#This Row],[fecha_inicio]]="","",MONTH(tblOrdenes[[#This Row],[fecha_inicio]]))</f>
        <v/>
      </c>
      <c r="S293" s="3">
        <f>IF(tblOrdenes[[#This Row],[fecha_inicio]]="","",INDEX(lista_dias,WEEKDAY(tblOrdenes[[#This Row],[fecha_inicio]],2)))</f>
        <v/>
      </c>
      <c r="T293" s="3">
        <f>IF(tblOrdenes[[#This Row],[tipo_ot]]="","",_xlfn.XLOOKUP(tblOrdenes[[#This Row],[tipo_ot]],tblTiposOT[codigo],tblTiposOT[clasificacion],"sin_clasificar"))</f>
        <v/>
      </c>
      <c r="U293" s="3">
        <f>IF(tblOrdenes[[#This Row],[centro_costo]]="","",_xlfn.XLOOKUP(tblOrdenes[[#This Row],[centro_costo]],tblCECO[codigo],tblCECO[linea],"(sin catálogo)"))</f>
        <v/>
      </c>
      <c r="V293" s="3">
        <f>IF(tblOrdenes[[#This Row],[centro_costo]]="","",_xlfn.XLOOKUP(tblOrdenes[[#This Row],[centro_costo]],tblCECO[codigo],tblCECO[area],"(sin catálogo)"))</f>
        <v/>
      </c>
      <c r="W293" s="3">
        <f>IF(tblOrdenes[[#This Row],[centro_costo]]="","",_xlfn.XLOOKUP(tblOrdenes[[#This Row],[centro_costo]],tblCECO[codigo],tblCECO[coordinador],"(sin catálogo)"))</f>
        <v/>
      </c>
      <c r="X293" s="3">
        <f>IF(tblOrdenes[[#This Row],[puesto_trabajo]]="","",_xlfn.XLOOKUP(tblOrdenes[[#This Row],[puesto_trabajo]],tblPuestos[codigo],tblPuestos[especialidad],"(sin catálogo)"))</f>
        <v/>
      </c>
      <c r="Y293" s="3">
        <f>IF(tblOrdenes[[#This Row],[cod_actividad]]="","",_xlfn.XLOOKUP(tblOrdenes[[#This Row],[cod_actividad]],tblActividades[codigo],tblActividades[descripcion],"(sin catálogo)"))</f>
        <v/>
      </c>
      <c r="Z293" s="12">
        <f>IF(tblOrdenes[[#This Row],[fecha_inicio]]="","",TODAY()-tblOrdenes[[#This Row],[fecha_inicio]])</f>
        <v/>
      </c>
      <c r="AA293" s="3">
        <f>IF(tblOrdenes[[#This Row],[backlog_dias]]="","",IF(tblOrdenes[[#This Row],[backlog_dias]]&lt;0,"FUTURO",IF(tblOrdenes[[#This Row],[backlog_dias]]&gt;p_dias_backlog_max,"BACKLOG","MES CORRIENTE")))</f>
        <v/>
      </c>
      <c r="AB293" s="3">
        <f>IF(tblOrdenes[[#This Row],[backlog_dias]]="",FALSE,AND(tblOrdenes[[#This Row],[backlog_dias]]&gt;p_dias_backlog_min,tblOrdenes[[#This Row],[backlog_dias]]&lt;=p_dias_backlog_max))</f>
        <v/>
      </c>
      <c r="AC293" s="6" t="n"/>
      <c r="AD2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93" s="10">
        <f>IF(tblOrdenes[[#This Row],[orden]]="","",_xlfn.XLOOKUP(tblOrdenes[[#This Row],[id_operacion]],tblEjecucion[id_operacion],tblEjecucion[precio],0))</f>
        <v/>
      </c>
      <c r="AH293" s="10">
        <f>IF(tblOrdenes[[#This Row],[orden]]="","",MAX(0,_xlfn.XLOOKUP(tblOrdenes[[#This Row],[id_operacion]],tblEjecucion[id_operacion],tblEjecucion[costo_plan_total],0)-tblOrdenes[[#This Row],[costo_servicio]]))</f>
        <v/>
      </c>
      <c r="AI293" s="10">
        <f>IF(tblOrdenes[[#This Row],[orden]]="","",tblOrdenes[[#This Row],[costo_servicio]]+tblOrdenes[[#This Row],[costo_materiales]])</f>
        <v/>
      </c>
      <c r="AJ293" s="6" t="n"/>
      <c r="AK293" s="6" t="n"/>
      <c r="AL293" s="6" t="n"/>
      <c r="AM293" s="3">
        <f>IF(tblOrdenes[[#This Row],[link_checklist]]="","",HYPERLINK(p_ruta_base_checklists&amp;tblOrdenes[[#This Row],[link_checklist]],"abrir"))</f>
        <v/>
      </c>
      <c r="AN293" s="6" t="n"/>
      <c r="AO293" s="3">
        <f>IF(tblOrdenes[[#This Row],[orden]]="","",tblOrdenes[[#This Row],[orden]]&amp;IF(tblOrdenes[[#This Row],[operacion]]="","0010",tblOrdenes[[#This Row],[operacion]]))</f>
        <v/>
      </c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11" t="n"/>
      <c r="K294" s="3" t="n"/>
      <c r="L294" s="10" t="n"/>
      <c r="M294" s="6" t="n"/>
      <c r="N2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94" s="3">
        <f>IF(tblOrdenes[[#This Row],[fecha_inicio]]="","",YEAR(tblOrdenes[[#This Row],[fecha_inicio]]))</f>
        <v/>
      </c>
      <c r="R294" s="3">
        <f>IF(tblOrdenes[[#This Row],[fecha_inicio]]="","",MONTH(tblOrdenes[[#This Row],[fecha_inicio]]))</f>
        <v/>
      </c>
      <c r="S294" s="3">
        <f>IF(tblOrdenes[[#This Row],[fecha_inicio]]="","",INDEX(lista_dias,WEEKDAY(tblOrdenes[[#This Row],[fecha_inicio]],2)))</f>
        <v/>
      </c>
      <c r="T294" s="3">
        <f>IF(tblOrdenes[[#This Row],[tipo_ot]]="","",_xlfn.XLOOKUP(tblOrdenes[[#This Row],[tipo_ot]],tblTiposOT[codigo],tblTiposOT[clasificacion],"sin_clasificar"))</f>
        <v/>
      </c>
      <c r="U294" s="3">
        <f>IF(tblOrdenes[[#This Row],[centro_costo]]="","",_xlfn.XLOOKUP(tblOrdenes[[#This Row],[centro_costo]],tblCECO[codigo],tblCECO[linea],"(sin catálogo)"))</f>
        <v/>
      </c>
      <c r="V294" s="3">
        <f>IF(tblOrdenes[[#This Row],[centro_costo]]="","",_xlfn.XLOOKUP(tblOrdenes[[#This Row],[centro_costo]],tblCECO[codigo],tblCECO[area],"(sin catálogo)"))</f>
        <v/>
      </c>
      <c r="W294" s="3">
        <f>IF(tblOrdenes[[#This Row],[centro_costo]]="","",_xlfn.XLOOKUP(tblOrdenes[[#This Row],[centro_costo]],tblCECO[codigo],tblCECO[coordinador],"(sin catálogo)"))</f>
        <v/>
      </c>
      <c r="X294" s="3">
        <f>IF(tblOrdenes[[#This Row],[puesto_trabajo]]="","",_xlfn.XLOOKUP(tblOrdenes[[#This Row],[puesto_trabajo]],tblPuestos[codigo],tblPuestos[especialidad],"(sin catálogo)"))</f>
        <v/>
      </c>
      <c r="Y294" s="3">
        <f>IF(tblOrdenes[[#This Row],[cod_actividad]]="","",_xlfn.XLOOKUP(tblOrdenes[[#This Row],[cod_actividad]],tblActividades[codigo],tblActividades[descripcion],"(sin catálogo)"))</f>
        <v/>
      </c>
      <c r="Z294" s="12">
        <f>IF(tblOrdenes[[#This Row],[fecha_inicio]]="","",TODAY()-tblOrdenes[[#This Row],[fecha_inicio]])</f>
        <v/>
      </c>
      <c r="AA294" s="3">
        <f>IF(tblOrdenes[[#This Row],[backlog_dias]]="","",IF(tblOrdenes[[#This Row],[backlog_dias]]&lt;0,"FUTURO",IF(tblOrdenes[[#This Row],[backlog_dias]]&gt;p_dias_backlog_max,"BACKLOG","MES CORRIENTE")))</f>
        <v/>
      </c>
      <c r="AB294" s="3">
        <f>IF(tblOrdenes[[#This Row],[backlog_dias]]="",FALSE,AND(tblOrdenes[[#This Row],[backlog_dias]]&gt;p_dias_backlog_min,tblOrdenes[[#This Row],[backlog_dias]]&lt;=p_dias_backlog_max))</f>
        <v/>
      </c>
      <c r="AC294" s="6" t="n"/>
      <c r="AD2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94" s="10">
        <f>IF(tblOrdenes[[#This Row],[orden]]="","",_xlfn.XLOOKUP(tblOrdenes[[#This Row],[id_operacion]],tblEjecucion[id_operacion],tblEjecucion[precio],0))</f>
        <v/>
      </c>
      <c r="AH294" s="10">
        <f>IF(tblOrdenes[[#This Row],[orden]]="","",MAX(0,_xlfn.XLOOKUP(tblOrdenes[[#This Row],[id_operacion]],tblEjecucion[id_operacion],tblEjecucion[costo_plan_total],0)-tblOrdenes[[#This Row],[costo_servicio]]))</f>
        <v/>
      </c>
      <c r="AI294" s="10">
        <f>IF(tblOrdenes[[#This Row],[orden]]="","",tblOrdenes[[#This Row],[costo_servicio]]+tblOrdenes[[#This Row],[costo_materiales]])</f>
        <v/>
      </c>
      <c r="AJ294" s="6" t="n"/>
      <c r="AK294" s="6" t="n"/>
      <c r="AL294" s="6" t="n"/>
      <c r="AM294" s="3">
        <f>IF(tblOrdenes[[#This Row],[link_checklist]]="","",HYPERLINK(p_ruta_base_checklists&amp;tblOrdenes[[#This Row],[link_checklist]],"abrir"))</f>
        <v/>
      </c>
      <c r="AN294" s="6" t="n"/>
      <c r="AO294" s="3">
        <f>IF(tblOrdenes[[#This Row],[orden]]="","",tblOrdenes[[#This Row],[orden]]&amp;IF(tblOrdenes[[#This Row],[operacion]]="","0010",tblOrdenes[[#This Row],[operacion]]))</f>
        <v/>
      </c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11" t="n"/>
      <c r="K295" s="3" t="n"/>
      <c r="L295" s="10" t="n"/>
      <c r="M295" s="6" t="n"/>
      <c r="N2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95" s="3">
        <f>IF(tblOrdenes[[#This Row],[fecha_inicio]]="","",YEAR(tblOrdenes[[#This Row],[fecha_inicio]]))</f>
        <v/>
      </c>
      <c r="R295" s="3">
        <f>IF(tblOrdenes[[#This Row],[fecha_inicio]]="","",MONTH(tblOrdenes[[#This Row],[fecha_inicio]]))</f>
        <v/>
      </c>
      <c r="S295" s="3">
        <f>IF(tblOrdenes[[#This Row],[fecha_inicio]]="","",INDEX(lista_dias,WEEKDAY(tblOrdenes[[#This Row],[fecha_inicio]],2)))</f>
        <v/>
      </c>
      <c r="T295" s="3">
        <f>IF(tblOrdenes[[#This Row],[tipo_ot]]="","",_xlfn.XLOOKUP(tblOrdenes[[#This Row],[tipo_ot]],tblTiposOT[codigo],tblTiposOT[clasificacion],"sin_clasificar"))</f>
        <v/>
      </c>
      <c r="U295" s="3">
        <f>IF(tblOrdenes[[#This Row],[centro_costo]]="","",_xlfn.XLOOKUP(tblOrdenes[[#This Row],[centro_costo]],tblCECO[codigo],tblCECO[linea],"(sin catálogo)"))</f>
        <v/>
      </c>
      <c r="V295" s="3">
        <f>IF(tblOrdenes[[#This Row],[centro_costo]]="","",_xlfn.XLOOKUP(tblOrdenes[[#This Row],[centro_costo]],tblCECO[codigo],tblCECO[area],"(sin catálogo)"))</f>
        <v/>
      </c>
      <c r="W295" s="3">
        <f>IF(tblOrdenes[[#This Row],[centro_costo]]="","",_xlfn.XLOOKUP(tblOrdenes[[#This Row],[centro_costo]],tblCECO[codigo],tblCECO[coordinador],"(sin catálogo)"))</f>
        <v/>
      </c>
      <c r="X295" s="3">
        <f>IF(tblOrdenes[[#This Row],[puesto_trabajo]]="","",_xlfn.XLOOKUP(tblOrdenes[[#This Row],[puesto_trabajo]],tblPuestos[codigo],tblPuestos[especialidad],"(sin catálogo)"))</f>
        <v/>
      </c>
      <c r="Y295" s="3">
        <f>IF(tblOrdenes[[#This Row],[cod_actividad]]="","",_xlfn.XLOOKUP(tblOrdenes[[#This Row],[cod_actividad]],tblActividades[codigo],tblActividades[descripcion],"(sin catálogo)"))</f>
        <v/>
      </c>
      <c r="Z295" s="12">
        <f>IF(tblOrdenes[[#This Row],[fecha_inicio]]="","",TODAY()-tblOrdenes[[#This Row],[fecha_inicio]])</f>
        <v/>
      </c>
      <c r="AA295" s="3">
        <f>IF(tblOrdenes[[#This Row],[backlog_dias]]="","",IF(tblOrdenes[[#This Row],[backlog_dias]]&lt;0,"FUTURO",IF(tblOrdenes[[#This Row],[backlog_dias]]&gt;p_dias_backlog_max,"BACKLOG","MES CORRIENTE")))</f>
        <v/>
      </c>
      <c r="AB295" s="3">
        <f>IF(tblOrdenes[[#This Row],[backlog_dias]]="",FALSE,AND(tblOrdenes[[#This Row],[backlog_dias]]&gt;p_dias_backlog_min,tblOrdenes[[#This Row],[backlog_dias]]&lt;=p_dias_backlog_max))</f>
        <v/>
      </c>
      <c r="AC295" s="6" t="n"/>
      <c r="AD2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95" s="10">
        <f>IF(tblOrdenes[[#This Row],[orden]]="","",_xlfn.XLOOKUP(tblOrdenes[[#This Row],[id_operacion]],tblEjecucion[id_operacion],tblEjecucion[precio],0))</f>
        <v/>
      </c>
      <c r="AH295" s="10">
        <f>IF(tblOrdenes[[#This Row],[orden]]="","",MAX(0,_xlfn.XLOOKUP(tblOrdenes[[#This Row],[id_operacion]],tblEjecucion[id_operacion],tblEjecucion[costo_plan_total],0)-tblOrdenes[[#This Row],[costo_servicio]]))</f>
        <v/>
      </c>
      <c r="AI295" s="10">
        <f>IF(tblOrdenes[[#This Row],[orden]]="","",tblOrdenes[[#This Row],[costo_servicio]]+tblOrdenes[[#This Row],[costo_materiales]])</f>
        <v/>
      </c>
      <c r="AJ295" s="6" t="n"/>
      <c r="AK295" s="6" t="n"/>
      <c r="AL295" s="6" t="n"/>
      <c r="AM295" s="3">
        <f>IF(tblOrdenes[[#This Row],[link_checklist]]="","",HYPERLINK(p_ruta_base_checklists&amp;tblOrdenes[[#This Row],[link_checklist]],"abrir"))</f>
        <v/>
      </c>
      <c r="AN295" s="6" t="n"/>
      <c r="AO295" s="3">
        <f>IF(tblOrdenes[[#This Row],[orden]]="","",tblOrdenes[[#This Row],[orden]]&amp;IF(tblOrdenes[[#This Row],[operacion]]="","0010",tblOrdenes[[#This Row],[operacion]]))</f>
        <v/>
      </c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11" t="n"/>
      <c r="K296" s="3" t="n"/>
      <c r="L296" s="10" t="n"/>
      <c r="M296" s="6" t="n"/>
      <c r="N2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96" s="3">
        <f>IF(tblOrdenes[[#This Row],[fecha_inicio]]="","",YEAR(tblOrdenes[[#This Row],[fecha_inicio]]))</f>
        <v/>
      </c>
      <c r="R296" s="3">
        <f>IF(tblOrdenes[[#This Row],[fecha_inicio]]="","",MONTH(tblOrdenes[[#This Row],[fecha_inicio]]))</f>
        <v/>
      </c>
      <c r="S296" s="3">
        <f>IF(tblOrdenes[[#This Row],[fecha_inicio]]="","",INDEX(lista_dias,WEEKDAY(tblOrdenes[[#This Row],[fecha_inicio]],2)))</f>
        <v/>
      </c>
      <c r="T296" s="3">
        <f>IF(tblOrdenes[[#This Row],[tipo_ot]]="","",_xlfn.XLOOKUP(tblOrdenes[[#This Row],[tipo_ot]],tblTiposOT[codigo],tblTiposOT[clasificacion],"sin_clasificar"))</f>
        <v/>
      </c>
      <c r="U296" s="3">
        <f>IF(tblOrdenes[[#This Row],[centro_costo]]="","",_xlfn.XLOOKUP(tblOrdenes[[#This Row],[centro_costo]],tblCECO[codigo],tblCECO[linea],"(sin catálogo)"))</f>
        <v/>
      </c>
      <c r="V296" s="3">
        <f>IF(tblOrdenes[[#This Row],[centro_costo]]="","",_xlfn.XLOOKUP(tblOrdenes[[#This Row],[centro_costo]],tblCECO[codigo],tblCECO[area],"(sin catálogo)"))</f>
        <v/>
      </c>
      <c r="W296" s="3">
        <f>IF(tblOrdenes[[#This Row],[centro_costo]]="","",_xlfn.XLOOKUP(tblOrdenes[[#This Row],[centro_costo]],tblCECO[codigo],tblCECO[coordinador],"(sin catálogo)"))</f>
        <v/>
      </c>
      <c r="X296" s="3">
        <f>IF(tblOrdenes[[#This Row],[puesto_trabajo]]="","",_xlfn.XLOOKUP(tblOrdenes[[#This Row],[puesto_trabajo]],tblPuestos[codigo],tblPuestos[especialidad],"(sin catálogo)"))</f>
        <v/>
      </c>
      <c r="Y296" s="3">
        <f>IF(tblOrdenes[[#This Row],[cod_actividad]]="","",_xlfn.XLOOKUP(tblOrdenes[[#This Row],[cod_actividad]],tblActividades[codigo],tblActividades[descripcion],"(sin catálogo)"))</f>
        <v/>
      </c>
      <c r="Z296" s="12">
        <f>IF(tblOrdenes[[#This Row],[fecha_inicio]]="","",TODAY()-tblOrdenes[[#This Row],[fecha_inicio]])</f>
        <v/>
      </c>
      <c r="AA296" s="3">
        <f>IF(tblOrdenes[[#This Row],[backlog_dias]]="","",IF(tblOrdenes[[#This Row],[backlog_dias]]&lt;0,"FUTURO",IF(tblOrdenes[[#This Row],[backlog_dias]]&gt;p_dias_backlog_max,"BACKLOG","MES CORRIENTE")))</f>
        <v/>
      </c>
      <c r="AB296" s="3">
        <f>IF(tblOrdenes[[#This Row],[backlog_dias]]="",FALSE,AND(tblOrdenes[[#This Row],[backlog_dias]]&gt;p_dias_backlog_min,tblOrdenes[[#This Row],[backlog_dias]]&lt;=p_dias_backlog_max))</f>
        <v/>
      </c>
      <c r="AC296" s="6" t="n"/>
      <c r="AD2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96" s="10">
        <f>IF(tblOrdenes[[#This Row],[orden]]="","",_xlfn.XLOOKUP(tblOrdenes[[#This Row],[id_operacion]],tblEjecucion[id_operacion],tblEjecucion[precio],0))</f>
        <v/>
      </c>
      <c r="AH296" s="10">
        <f>IF(tblOrdenes[[#This Row],[orden]]="","",MAX(0,_xlfn.XLOOKUP(tblOrdenes[[#This Row],[id_operacion]],tblEjecucion[id_operacion],tblEjecucion[costo_plan_total],0)-tblOrdenes[[#This Row],[costo_servicio]]))</f>
        <v/>
      </c>
      <c r="AI296" s="10">
        <f>IF(tblOrdenes[[#This Row],[orden]]="","",tblOrdenes[[#This Row],[costo_servicio]]+tblOrdenes[[#This Row],[costo_materiales]])</f>
        <v/>
      </c>
      <c r="AJ296" s="6" t="n"/>
      <c r="AK296" s="6" t="n"/>
      <c r="AL296" s="6" t="n"/>
      <c r="AM296" s="3">
        <f>IF(tblOrdenes[[#This Row],[link_checklist]]="","",HYPERLINK(p_ruta_base_checklists&amp;tblOrdenes[[#This Row],[link_checklist]],"abrir"))</f>
        <v/>
      </c>
      <c r="AN296" s="6" t="n"/>
      <c r="AO296" s="3">
        <f>IF(tblOrdenes[[#This Row],[orden]]="","",tblOrdenes[[#This Row],[orden]]&amp;IF(tblOrdenes[[#This Row],[operacion]]="","0010",tblOrdenes[[#This Row],[operacion]]))</f>
        <v/>
      </c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11" t="n"/>
      <c r="K297" s="3" t="n"/>
      <c r="L297" s="10" t="n"/>
      <c r="M297" s="6" t="n"/>
      <c r="N2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97" s="3">
        <f>IF(tblOrdenes[[#This Row],[fecha_inicio]]="","",YEAR(tblOrdenes[[#This Row],[fecha_inicio]]))</f>
        <v/>
      </c>
      <c r="R297" s="3">
        <f>IF(tblOrdenes[[#This Row],[fecha_inicio]]="","",MONTH(tblOrdenes[[#This Row],[fecha_inicio]]))</f>
        <v/>
      </c>
      <c r="S297" s="3">
        <f>IF(tblOrdenes[[#This Row],[fecha_inicio]]="","",INDEX(lista_dias,WEEKDAY(tblOrdenes[[#This Row],[fecha_inicio]],2)))</f>
        <v/>
      </c>
      <c r="T297" s="3">
        <f>IF(tblOrdenes[[#This Row],[tipo_ot]]="","",_xlfn.XLOOKUP(tblOrdenes[[#This Row],[tipo_ot]],tblTiposOT[codigo],tblTiposOT[clasificacion],"sin_clasificar"))</f>
        <v/>
      </c>
      <c r="U297" s="3">
        <f>IF(tblOrdenes[[#This Row],[centro_costo]]="","",_xlfn.XLOOKUP(tblOrdenes[[#This Row],[centro_costo]],tblCECO[codigo],tblCECO[linea],"(sin catálogo)"))</f>
        <v/>
      </c>
      <c r="V297" s="3">
        <f>IF(tblOrdenes[[#This Row],[centro_costo]]="","",_xlfn.XLOOKUP(tblOrdenes[[#This Row],[centro_costo]],tblCECO[codigo],tblCECO[area],"(sin catálogo)"))</f>
        <v/>
      </c>
      <c r="W297" s="3">
        <f>IF(tblOrdenes[[#This Row],[centro_costo]]="","",_xlfn.XLOOKUP(tblOrdenes[[#This Row],[centro_costo]],tblCECO[codigo],tblCECO[coordinador],"(sin catálogo)"))</f>
        <v/>
      </c>
      <c r="X297" s="3">
        <f>IF(tblOrdenes[[#This Row],[puesto_trabajo]]="","",_xlfn.XLOOKUP(tblOrdenes[[#This Row],[puesto_trabajo]],tblPuestos[codigo],tblPuestos[especialidad],"(sin catálogo)"))</f>
        <v/>
      </c>
      <c r="Y297" s="3">
        <f>IF(tblOrdenes[[#This Row],[cod_actividad]]="","",_xlfn.XLOOKUP(tblOrdenes[[#This Row],[cod_actividad]],tblActividades[codigo],tblActividades[descripcion],"(sin catálogo)"))</f>
        <v/>
      </c>
      <c r="Z297" s="12">
        <f>IF(tblOrdenes[[#This Row],[fecha_inicio]]="","",TODAY()-tblOrdenes[[#This Row],[fecha_inicio]])</f>
        <v/>
      </c>
      <c r="AA297" s="3">
        <f>IF(tblOrdenes[[#This Row],[backlog_dias]]="","",IF(tblOrdenes[[#This Row],[backlog_dias]]&lt;0,"FUTURO",IF(tblOrdenes[[#This Row],[backlog_dias]]&gt;p_dias_backlog_max,"BACKLOG","MES CORRIENTE")))</f>
        <v/>
      </c>
      <c r="AB297" s="3">
        <f>IF(tblOrdenes[[#This Row],[backlog_dias]]="",FALSE,AND(tblOrdenes[[#This Row],[backlog_dias]]&gt;p_dias_backlog_min,tblOrdenes[[#This Row],[backlog_dias]]&lt;=p_dias_backlog_max))</f>
        <v/>
      </c>
      <c r="AC297" s="6" t="n"/>
      <c r="AD2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97" s="10">
        <f>IF(tblOrdenes[[#This Row],[orden]]="","",_xlfn.XLOOKUP(tblOrdenes[[#This Row],[id_operacion]],tblEjecucion[id_operacion],tblEjecucion[precio],0))</f>
        <v/>
      </c>
      <c r="AH297" s="10">
        <f>IF(tblOrdenes[[#This Row],[orden]]="","",MAX(0,_xlfn.XLOOKUP(tblOrdenes[[#This Row],[id_operacion]],tblEjecucion[id_operacion],tblEjecucion[costo_plan_total],0)-tblOrdenes[[#This Row],[costo_servicio]]))</f>
        <v/>
      </c>
      <c r="AI297" s="10">
        <f>IF(tblOrdenes[[#This Row],[orden]]="","",tblOrdenes[[#This Row],[costo_servicio]]+tblOrdenes[[#This Row],[costo_materiales]])</f>
        <v/>
      </c>
      <c r="AJ297" s="6" t="n"/>
      <c r="AK297" s="6" t="n"/>
      <c r="AL297" s="6" t="n"/>
      <c r="AM297" s="3">
        <f>IF(tblOrdenes[[#This Row],[link_checklist]]="","",HYPERLINK(p_ruta_base_checklists&amp;tblOrdenes[[#This Row],[link_checklist]],"abrir"))</f>
        <v/>
      </c>
      <c r="AN297" s="6" t="n"/>
      <c r="AO297" s="3">
        <f>IF(tblOrdenes[[#This Row],[orden]]="","",tblOrdenes[[#This Row],[orden]]&amp;IF(tblOrdenes[[#This Row],[operacion]]="","0010",tblOrdenes[[#This Row],[operacion]]))</f>
        <v/>
      </c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11" t="n"/>
      <c r="K298" s="3" t="n"/>
      <c r="L298" s="10" t="n"/>
      <c r="M298" s="6" t="n"/>
      <c r="N2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98" s="3">
        <f>IF(tblOrdenes[[#This Row],[fecha_inicio]]="","",YEAR(tblOrdenes[[#This Row],[fecha_inicio]]))</f>
        <v/>
      </c>
      <c r="R298" s="3">
        <f>IF(tblOrdenes[[#This Row],[fecha_inicio]]="","",MONTH(tblOrdenes[[#This Row],[fecha_inicio]]))</f>
        <v/>
      </c>
      <c r="S298" s="3">
        <f>IF(tblOrdenes[[#This Row],[fecha_inicio]]="","",INDEX(lista_dias,WEEKDAY(tblOrdenes[[#This Row],[fecha_inicio]],2)))</f>
        <v/>
      </c>
      <c r="T298" s="3">
        <f>IF(tblOrdenes[[#This Row],[tipo_ot]]="","",_xlfn.XLOOKUP(tblOrdenes[[#This Row],[tipo_ot]],tblTiposOT[codigo],tblTiposOT[clasificacion],"sin_clasificar"))</f>
        <v/>
      </c>
      <c r="U298" s="3">
        <f>IF(tblOrdenes[[#This Row],[centro_costo]]="","",_xlfn.XLOOKUP(tblOrdenes[[#This Row],[centro_costo]],tblCECO[codigo],tblCECO[linea],"(sin catálogo)"))</f>
        <v/>
      </c>
      <c r="V298" s="3">
        <f>IF(tblOrdenes[[#This Row],[centro_costo]]="","",_xlfn.XLOOKUP(tblOrdenes[[#This Row],[centro_costo]],tblCECO[codigo],tblCECO[area],"(sin catálogo)"))</f>
        <v/>
      </c>
      <c r="W298" s="3">
        <f>IF(tblOrdenes[[#This Row],[centro_costo]]="","",_xlfn.XLOOKUP(tblOrdenes[[#This Row],[centro_costo]],tblCECO[codigo],tblCECO[coordinador],"(sin catálogo)"))</f>
        <v/>
      </c>
      <c r="X298" s="3">
        <f>IF(tblOrdenes[[#This Row],[puesto_trabajo]]="","",_xlfn.XLOOKUP(tblOrdenes[[#This Row],[puesto_trabajo]],tblPuestos[codigo],tblPuestos[especialidad],"(sin catálogo)"))</f>
        <v/>
      </c>
      <c r="Y298" s="3">
        <f>IF(tblOrdenes[[#This Row],[cod_actividad]]="","",_xlfn.XLOOKUP(tblOrdenes[[#This Row],[cod_actividad]],tblActividades[codigo],tblActividades[descripcion],"(sin catálogo)"))</f>
        <v/>
      </c>
      <c r="Z298" s="12">
        <f>IF(tblOrdenes[[#This Row],[fecha_inicio]]="","",TODAY()-tblOrdenes[[#This Row],[fecha_inicio]])</f>
        <v/>
      </c>
      <c r="AA298" s="3">
        <f>IF(tblOrdenes[[#This Row],[backlog_dias]]="","",IF(tblOrdenes[[#This Row],[backlog_dias]]&lt;0,"FUTURO",IF(tblOrdenes[[#This Row],[backlog_dias]]&gt;p_dias_backlog_max,"BACKLOG","MES CORRIENTE")))</f>
        <v/>
      </c>
      <c r="AB298" s="3">
        <f>IF(tblOrdenes[[#This Row],[backlog_dias]]="",FALSE,AND(tblOrdenes[[#This Row],[backlog_dias]]&gt;p_dias_backlog_min,tblOrdenes[[#This Row],[backlog_dias]]&lt;=p_dias_backlog_max))</f>
        <v/>
      </c>
      <c r="AC298" s="6" t="n"/>
      <c r="AD2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98" s="10">
        <f>IF(tblOrdenes[[#This Row],[orden]]="","",_xlfn.XLOOKUP(tblOrdenes[[#This Row],[id_operacion]],tblEjecucion[id_operacion],tblEjecucion[precio],0))</f>
        <v/>
      </c>
      <c r="AH298" s="10">
        <f>IF(tblOrdenes[[#This Row],[orden]]="","",MAX(0,_xlfn.XLOOKUP(tblOrdenes[[#This Row],[id_operacion]],tblEjecucion[id_operacion],tblEjecucion[costo_plan_total],0)-tblOrdenes[[#This Row],[costo_servicio]]))</f>
        <v/>
      </c>
      <c r="AI298" s="10">
        <f>IF(tblOrdenes[[#This Row],[orden]]="","",tblOrdenes[[#This Row],[costo_servicio]]+tblOrdenes[[#This Row],[costo_materiales]])</f>
        <v/>
      </c>
      <c r="AJ298" s="6" t="n"/>
      <c r="AK298" s="6" t="n"/>
      <c r="AL298" s="6" t="n"/>
      <c r="AM298" s="3">
        <f>IF(tblOrdenes[[#This Row],[link_checklist]]="","",HYPERLINK(p_ruta_base_checklists&amp;tblOrdenes[[#This Row],[link_checklist]],"abrir"))</f>
        <v/>
      </c>
      <c r="AN298" s="6" t="n"/>
      <c r="AO298" s="3">
        <f>IF(tblOrdenes[[#This Row],[orden]]="","",tblOrdenes[[#This Row],[orden]]&amp;IF(tblOrdenes[[#This Row],[operacion]]="","0010",tblOrdenes[[#This Row],[operacion]]))</f>
        <v/>
      </c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11" t="n"/>
      <c r="K299" s="3" t="n"/>
      <c r="L299" s="10" t="n"/>
      <c r="M299" s="6" t="n"/>
      <c r="N2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2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2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299" s="3">
        <f>IF(tblOrdenes[[#This Row],[fecha_inicio]]="","",YEAR(tblOrdenes[[#This Row],[fecha_inicio]]))</f>
        <v/>
      </c>
      <c r="R299" s="3">
        <f>IF(tblOrdenes[[#This Row],[fecha_inicio]]="","",MONTH(tblOrdenes[[#This Row],[fecha_inicio]]))</f>
        <v/>
      </c>
      <c r="S299" s="3">
        <f>IF(tblOrdenes[[#This Row],[fecha_inicio]]="","",INDEX(lista_dias,WEEKDAY(tblOrdenes[[#This Row],[fecha_inicio]],2)))</f>
        <v/>
      </c>
      <c r="T299" s="3">
        <f>IF(tblOrdenes[[#This Row],[tipo_ot]]="","",_xlfn.XLOOKUP(tblOrdenes[[#This Row],[tipo_ot]],tblTiposOT[codigo],tblTiposOT[clasificacion],"sin_clasificar"))</f>
        <v/>
      </c>
      <c r="U299" s="3">
        <f>IF(tblOrdenes[[#This Row],[centro_costo]]="","",_xlfn.XLOOKUP(tblOrdenes[[#This Row],[centro_costo]],tblCECO[codigo],tblCECO[linea],"(sin catálogo)"))</f>
        <v/>
      </c>
      <c r="V299" s="3">
        <f>IF(tblOrdenes[[#This Row],[centro_costo]]="","",_xlfn.XLOOKUP(tblOrdenes[[#This Row],[centro_costo]],tblCECO[codigo],tblCECO[area],"(sin catálogo)"))</f>
        <v/>
      </c>
      <c r="W299" s="3">
        <f>IF(tblOrdenes[[#This Row],[centro_costo]]="","",_xlfn.XLOOKUP(tblOrdenes[[#This Row],[centro_costo]],tblCECO[codigo],tblCECO[coordinador],"(sin catálogo)"))</f>
        <v/>
      </c>
      <c r="X299" s="3">
        <f>IF(tblOrdenes[[#This Row],[puesto_trabajo]]="","",_xlfn.XLOOKUP(tblOrdenes[[#This Row],[puesto_trabajo]],tblPuestos[codigo],tblPuestos[especialidad],"(sin catálogo)"))</f>
        <v/>
      </c>
      <c r="Y299" s="3">
        <f>IF(tblOrdenes[[#This Row],[cod_actividad]]="","",_xlfn.XLOOKUP(tblOrdenes[[#This Row],[cod_actividad]],tblActividades[codigo],tblActividades[descripcion],"(sin catálogo)"))</f>
        <v/>
      </c>
      <c r="Z299" s="12">
        <f>IF(tblOrdenes[[#This Row],[fecha_inicio]]="","",TODAY()-tblOrdenes[[#This Row],[fecha_inicio]])</f>
        <v/>
      </c>
      <c r="AA299" s="3">
        <f>IF(tblOrdenes[[#This Row],[backlog_dias]]="","",IF(tblOrdenes[[#This Row],[backlog_dias]]&lt;0,"FUTURO",IF(tblOrdenes[[#This Row],[backlog_dias]]&gt;p_dias_backlog_max,"BACKLOG","MES CORRIENTE")))</f>
        <v/>
      </c>
      <c r="AB299" s="3">
        <f>IF(tblOrdenes[[#This Row],[backlog_dias]]="",FALSE,AND(tblOrdenes[[#This Row],[backlog_dias]]&gt;p_dias_backlog_min,tblOrdenes[[#This Row],[backlog_dias]]&lt;=p_dias_backlog_max))</f>
        <v/>
      </c>
      <c r="AC299" s="6" t="n"/>
      <c r="AD2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2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2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299" s="10">
        <f>IF(tblOrdenes[[#This Row],[orden]]="","",_xlfn.XLOOKUP(tblOrdenes[[#This Row],[id_operacion]],tblEjecucion[id_operacion],tblEjecucion[precio],0))</f>
        <v/>
      </c>
      <c r="AH299" s="10">
        <f>IF(tblOrdenes[[#This Row],[orden]]="","",MAX(0,_xlfn.XLOOKUP(tblOrdenes[[#This Row],[id_operacion]],tblEjecucion[id_operacion],tblEjecucion[costo_plan_total],0)-tblOrdenes[[#This Row],[costo_servicio]]))</f>
        <v/>
      </c>
      <c r="AI299" s="10">
        <f>IF(tblOrdenes[[#This Row],[orden]]="","",tblOrdenes[[#This Row],[costo_servicio]]+tblOrdenes[[#This Row],[costo_materiales]])</f>
        <v/>
      </c>
      <c r="AJ299" s="6" t="n"/>
      <c r="AK299" s="6" t="n"/>
      <c r="AL299" s="6" t="n"/>
      <c r="AM299" s="3">
        <f>IF(tblOrdenes[[#This Row],[link_checklist]]="","",HYPERLINK(p_ruta_base_checklists&amp;tblOrdenes[[#This Row],[link_checklist]],"abrir"))</f>
        <v/>
      </c>
      <c r="AN299" s="6" t="n"/>
      <c r="AO299" s="3">
        <f>IF(tblOrdenes[[#This Row],[orden]]="","",tblOrdenes[[#This Row],[orden]]&amp;IF(tblOrdenes[[#This Row],[operacion]]="","0010",tblOrdenes[[#This Row],[operacion]]))</f>
        <v/>
      </c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11" t="n"/>
      <c r="K300" s="3" t="n"/>
      <c r="L300" s="10" t="n"/>
      <c r="M300" s="6" t="n"/>
      <c r="N3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00" s="3">
        <f>IF(tblOrdenes[[#This Row],[fecha_inicio]]="","",YEAR(tblOrdenes[[#This Row],[fecha_inicio]]))</f>
        <v/>
      </c>
      <c r="R300" s="3">
        <f>IF(tblOrdenes[[#This Row],[fecha_inicio]]="","",MONTH(tblOrdenes[[#This Row],[fecha_inicio]]))</f>
        <v/>
      </c>
      <c r="S300" s="3">
        <f>IF(tblOrdenes[[#This Row],[fecha_inicio]]="","",INDEX(lista_dias,WEEKDAY(tblOrdenes[[#This Row],[fecha_inicio]],2)))</f>
        <v/>
      </c>
      <c r="T300" s="3">
        <f>IF(tblOrdenes[[#This Row],[tipo_ot]]="","",_xlfn.XLOOKUP(tblOrdenes[[#This Row],[tipo_ot]],tblTiposOT[codigo],tblTiposOT[clasificacion],"sin_clasificar"))</f>
        <v/>
      </c>
      <c r="U300" s="3">
        <f>IF(tblOrdenes[[#This Row],[centro_costo]]="","",_xlfn.XLOOKUP(tblOrdenes[[#This Row],[centro_costo]],tblCECO[codigo],tblCECO[linea],"(sin catálogo)"))</f>
        <v/>
      </c>
      <c r="V300" s="3">
        <f>IF(tblOrdenes[[#This Row],[centro_costo]]="","",_xlfn.XLOOKUP(tblOrdenes[[#This Row],[centro_costo]],tblCECO[codigo],tblCECO[area],"(sin catálogo)"))</f>
        <v/>
      </c>
      <c r="W300" s="3">
        <f>IF(tblOrdenes[[#This Row],[centro_costo]]="","",_xlfn.XLOOKUP(tblOrdenes[[#This Row],[centro_costo]],tblCECO[codigo],tblCECO[coordinador],"(sin catálogo)"))</f>
        <v/>
      </c>
      <c r="X300" s="3">
        <f>IF(tblOrdenes[[#This Row],[puesto_trabajo]]="","",_xlfn.XLOOKUP(tblOrdenes[[#This Row],[puesto_trabajo]],tblPuestos[codigo],tblPuestos[especialidad],"(sin catálogo)"))</f>
        <v/>
      </c>
      <c r="Y300" s="3">
        <f>IF(tblOrdenes[[#This Row],[cod_actividad]]="","",_xlfn.XLOOKUP(tblOrdenes[[#This Row],[cod_actividad]],tblActividades[codigo],tblActividades[descripcion],"(sin catálogo)"))</f>
        <v/>
      </c>
      <c r="Z300" s="12">
        <f>IF(tblOrdenes[[#This Row],[fecha_inicio]]="","",TODAY()-tblOrdenes[[#This Row],[fecha_inicio]])</f>
        <v/>
      </c>
      <c r="AA300" s="3">
        <f>IF(tblOrdenes[[#This Row],[backlog_dias]]="","",IF(tblOrdenes[[#This Row],[backlog_dias]]&lt;0,"FUTURO",IF(tblOrdenes[[#This Row],[backlog_dias]]&gt;p_dias_backlog_max,"BACKLOG","MES CORRIENTE")))</f>
        <v/>
      </c>
      <c r="AB300" s="3">
        <f>IF(tblOrdenes[[#This Row],[backlog_dias]]="",FALSE,AND(tblOrdenes[[#This Row],[backlog_dias]]&gt;p_dias_backlog_min,tblOrdenes[[#This Row],[backlog_dias]]&lt;=p_dias_backlog_max))</f>
        <v/>
      </c>
      <c r="AC300" s="6" t="n"/>
      <c r="AD3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00" s="10">
        <f>IF(tblOrdenes[[#This Row],[orden]]="","",_xlfn.XLOOKUP(tblOrdenes[[#This Row],[id_operacion]],tblEjecucion[id_operacion],tblEjecucion[precio],0))</f>
        <v/>
      </c>
      <c r="AH300" s="10">
        <f>IF(tblOrdenes[[#This Row],[orden]]="","",MAX(0,_xlfn.XLOOKUP(tblOrdenes[[#This Row],[id_operacion]],tblEjecucion[id_operacion],tblEjecucion[costo_plan_total],0)-tblOrdenes[[#This Row],[costo_servicio]]))</f>
        <v/>
      </c>
      <c r="AI300" s="10">
        <f>IF(tblOrdenes[[#This Row],[orden]]="","",tblOrdenes[[#This Row],[costo_servicio]]+tblOrdenes[[#This Row],[costo_materiales]])</f>
        <v/>
      </c>
      <c r="AJ300" s="6" t="n"/>
      <c r="AK300" s="6" t="n"/>
      <c r="AL300" s="6" t="n"/>
      <c r="AM300" s="3">
        <f>IF(tblOrdenes[[#This Row],[link_checklist]]="","",HYPERLINK(p_ruta_base_checklists&amp;tblOrdenes[[#This Row],[link_checklist]],"abrir"))</f>
        <v/>
      </c>
      <c r="AN300" s="6" t="n"/>
      <c r="AO300" s="3">
        <f>IF(tblOrdenes[[#This Row],[orden]]="","",tblOrdenes[[#This Row],[orden]]&amp;IF(tblOrdenes[[#This Row],[operacion]]="","0010",tblOrdenes[[#This Row],[operacion]]))</f>
        <v/>
      </c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11" t="n"/>
      <c r="K301" s="3" t="n"/>
      <c r="L301" s="10" t="n"/>
      <c r="M301" s="6" t="n"/>
      <c r="N3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01" s="3">
        <f>IF(tblOrdenes[[#This Row],[fecha_inicio]]="","",YEAR(tblOrdenes[[#This Row],[fecha_inicio]]))</f>
        <v/>
      </c>
      <c r="R301" s="3">
        <f>IF(tblOrdenes[[#This Row],[fecha_inicio]]="","",MONTH(tblOrdenes[[#This Row],[fecha_inicio]]))</f>
        <v/>
      </c>
      <c r="S301" s="3">
        <f>IF(tblOrdenes[[#This Row],[fecha_inicio]]="","",INDEX(lista_dias,WEEKDAY(tblOrdenes[[#This Row],[fecha_inicio]],2)))</f>
        <v/>
      </c>
      <c r="T301" s="3">
        <f>IF(tblOrdenes[[#This Row],[tipo_ot]]="","",_xlfn.XLOOKUP(tblOrdenes[[#This Row],[tipo_ot]],tblTiposOT[codigo],tblTiposOT[clasificacion],"sin_clasificar"))</f>
        <v/>
      </c>
      <c r="U301" s="3">
        <f>IF(tblOrdenes[[#This Row],[centro_costo]]="","",_xlfn.XLOOKUP(tblOrdenes[[#This Row],[centro_costo]],tblCECO[codigo],tblCECO[linea],"(sin catálogo)"))</f>
        <v/>
      </c>
      <c r="V301" s="3">
        <f>IF(tblOrdenes[[#This Row],[centro_costo]]="","",_xlfn.XLOOKUP(tblOrdenes[[#This Row],[centro_costo]],tblCECO[codigo],tblCECO[area],"(sin catálogo)"))</f>
        <v/>
      </c>
      <c r="W301" s="3">
        <f>IF(tblOrdenes[[#This Row],[centro_costo]]="","",_xlfn.XLOOKUP(tblOrdenes[[#This Row],[centro_costo]],tblCECO[codigo],tblCECO[coordinador],"(sin catálogo)"))</f>
        <v/>
      </c>
      <c r="X301" s="3">
        <f>IF(tblOrdenes[[#This Row],[puesto_trabajo]]="","",_xlfn.XLOOKUP(tblOrdenes[[#This Row],[puesto_trabajo]],tblPuestos[codigo],tblPuestos[especialidad],"(sin catálogo)"))</f>
        <v/>
      </c>
      <c r="Y301" s="3">
        <f>IF(tblOrdenes[[#This Row],[cod_actividad]]="","",_xlfn.XLOOKUP(tblOrdenes[[#This Row],[cod_actividad]],tblActividades[codigo],tblActividades[descripcion],"(sin catálogo)"))</f>
        <v/>
      </c>
      <c r="Z301" s="12">
        <f>IF(tblOrdenes[[#This Row],[fecha_inicio]]="","",TODAY()-tblOrdenes[[#This Row],[fecha_inicio]])</f>
        <v/>
      </c>
      <c r="AA301" s="3">
        <f>IF(tblOrdenes[[#This Row],[backlog_dias]]="","",IF(tblOrdenes[[#This Row],[backlog_dias]]&lt;0,"FUTURO",IF(tblOrdenes[[#This Row],[backlog_dias]]&gt;p_dias_backlog_max,"BACKLOG","MES CORRIENTE")))</f>
        <v/>
      </c>
      <c r="AB301" s="3">
        <f>IF(tblOrdenes[[#This Row],[backlog_dias]]="",FALSE,AND(tblOrdenes[[#This Row],[backlog_dias]]&gt;p_dias_backlog_min,tblOrdenes[[#This Row],[backlog_dias]]&lt;=p_dias_backlog_max))</f>
        <v/>
      </c>
      <c r="AC301" s="6" t="n"/>
      <c r="AD3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01" s="10">
        <f>IF(tblOrdenes[[#This Row],[orden]]="","",_xlfn.XLOOKUP(tblOrdenes[[#This Row],[id_operacion]],tblEjecucion[id_operacion],tblEjecucion[precio],0))</f>
        <v/>
      </c>
      <c r="AH301" s="10">
        <f>IF(tblOrdenes[[#This Row],[orden]]="","",MAX(0,_xlfn.XLOOKUP(tblOrdenes[[#This Row],[id_operacion]],tblEjecucion[id_operacion],tblEjecucion[costo_plan_total],0)-tblOrdenes[[#This Row],[costo_servicio]]))</f>
        <v/>
      </c>
      <c r="AI301" s="10">
        <f>IF(tblOrdenes[[#This Row],[orden]]="","",tblOrdenes[[#This Row],[costo_servicio]]+tblOrdenes[[#This Row],[costo_materiales]])</f>
        <v/>
      </c>
      <c r="AJ301" s="6" t="n"/>
      <c r="AK301" s="6" t="n"/>
      <c r="AL301" s="6" t="n"/>
      <c r="AM301" s="3">
        <f>IF(tblOrdenes[[#This Row],[link_checklist]]="","",HYPERLINK(p_ruta_base_checklists&amp;tblOrdenes[[#This Row],[link_checklist]],"abrir"))</f>
        <v/>
      </c>
      <c r="AN301" s="6" t="n"/>
      <c r="AO301" s="3">
        <f>IF(tblOrdenes[[#This Row],[orden]]="","",tblOrdenes[[#This Row],[orden]]&amp;IF(tblOrdenes[[#This Row],[operacion]]="","0010",tblOrdenes[[#This Row],[operacion]]))</f>
        <v/>
      </c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11" t="n"/>
      <c r="K302" s="3" t="n"/>
      <c r="L302" s="10" t="n"/>
      <c r="M302" s="6" t="n"/>
      <c r="N3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02" s="3">
        <f>IF(tblOrdenes[[#This Row],[fecha_inicio]]="","",YEAR(tblOrdenes[[#This Row],[fecha_inicio]]))</f>
        <v/>
      </c>
      <c r="R302" s="3">
        <f>IF(tblOrdenes[[#This Row],[fecha_inicio]]="","",MONTH(tblOrdenes[[#This Row],[fecha_inicio]]))</f>
        <v/>
      </c>
      <c r="S302" s="3">
        <f>IF(tblOrdenes[[#This Row],[fecha_inicio]]="","",INDEX(lista_dias,WEEKDAY(tblOrdenes[[#This Row],[fecha_inicio]],2)))</f>
        <v/>
      </c>
      <c r="T302" s="3">
        <f>IF(tblOrdenes[[#This Row],[tipo_ot]]="","",_xlfn.XLOOKUP(tblOrdenes[[#This Row],[tipo_ot]],tblTiposOT[codigo],tblTiposOT[clasificacion],"sin_clasificar"))</f>
        <v/>
      </c>
      <c r="U302" s="3">
        <f>IF(tblOrdenes[[#This Row],[centro_costo]]="","",_xlfn.XLOOKUP(tblOrdenes[[#This Row],[centro_costo]],tblCECO[codigo],tblCECO[linea],"(sin catálogo)"))</f>
        <v/>
      </c>
      <c r="V302" s="3">
        <f>IF(tblOrdenes[[#This Row],[centro_costo]]="","",_xlfn.XLOOKUP(tblOrdenes[[#This Row],[centro_costo]],tblCECO[codigo],tblCECO[area],"(sin catálogo)"))</f>
        <v/>
      </c>
      <c r="W302" s="3">
        <f>IF(tblOrdenes[[#This Row],[centro_costo]]="","",_xlfn.XLOOKUP(tblOrdenes[[#This Row],[centro_costo]],tblCECO[codigo],tblCECO[coordinador],"(sin catálogo)"))</f>
        <v/>
      </c>
      <c r="X302" s="3">
        <f>IF(tblOrdenes[[#This Row],[puesto_trabajo]]="","",_xlfn.XLOOKUP(tblOrdenes[[#This Row],[puesto_trabajo]],tblPuestos[codigo],tblPuestos[especialidad],"(sin catálogo)"))</f>
        <v/>
      </c>
      <c r="Y302" s="3">
        <f>IF(tblOrdenes[[#This Row],[cod_actividad]]="","",_xlfn.XLOOKUP(tblOrdenes[[#This Row],[cod_actividad]],tblActividades[codigo],tblActividades[descripcion],"(sin catálogo)"))</f>
        <v/>
      </c>
      <c r="Z302" s="12">
        <f>IF(tblOrdenes[[#This Row],[fecha_inicio]]="","",TODAY()-tblOrdenes[[#This Row],[fecha_inicio]])</f>
        <v/>
      </c>
      <c r="AA302" s="3">
        <f>IF(tblOrdenes[[#This Row],[backlog_dias]]="","",IF(tblOrdenes[[#This Row],[backlog_dias]]&lt;0,"FUTURO",IF(tblOrdenes[[#This Row],[backlog_dias]]&gt;p_dias_backlog_max,"BACKLOG","MES CORRIENTE")))</f>
        <v/>
      </c>
      <c r="AB302" s="3">
        <f>IF(tblOrdenes[[#This Row],[backlog_dias]]="",FALSE,AND(tblOrdenes[[#This Row],[backlog_dias]]&gt;p_dias_backlog_min,tblOrdenes[[#This Row],[backlog_dias]]&lt;=p_dias_backlog_max))</f>
        <v/>
      </c>
      <c r="AC302" s="6" t="n"/>
      <c r="AD3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02" s="10">
        <f>IF(tblOrdenes[[#This Row],[orden]]="","",_xlfn.XLOOKUP(tblOrdenes[[#This Row],[id_operacion]],tblEjecucion[id_operacion],tblEjecucion[precio],0))</f>
        <v/>
      </c>
      <c r="AH302" s="10">
        <f>IF(tblOrdenes[[#This Row],[orden]]="","",MAX(0,_xlfn.XLOOKUP(tblOrdenes[[#This Row],[id_operacion]],tblEjecucion[id_operacion],tblEjecucion[costo_plan_total],0)-tblOrdenes[[#This Row],[costo_servicio]]))</f>
        <v/>
      </c>
      <c r="AI302" s="10">
        <f>IF(tblOrdenes[[#This Row],[orden]]="","",tblOrdenes[[#This Row],[costo_servicio]]+tblOrdenes[[#This Row],[costo_materiales]])</f>
        <v/>
      </c>
      <c r="AJ302" s="6" t="n"/>
      <c r="AK302" s="6" t="n"/>
      <c r="AL302" s="6" t="n"/>
      <c r="AM302" s="3">
        <f>IF(tblOrdenes[[#This Row],[link_checklist]]="","",HYPERLINK(p_ruta_base_checklists&amp;tblOrdenes[[#This Row],[link_checklist]],"abrir"))</f>
        <v/>
      </c>
      <c r="AN302" s="6" t="n"/>
      <c r="AO302" s="3">
        <f>IF(tblOrdenes[[#This Row],[orden]]="","",tblOrdenes[[#This Row],[orden]]&amp;IF(tblOrdenes[[#This Row],[operacion]]="","0010",tblOrdenes[[#This Row],[operacion]]))</f>
        <v/>
      </c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11" t="n"/>
      <c r="K303" s="3" t="n"/>
      <c r="L303" s="10" t="n"/>
      <c r="M303" s="6" t="n"/>
      <c r="N3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03" s="3">
        <f>IF(tblOrdenes[[#This Row],[fecha_inicio]]="","",YEAR(tblOrdenes[[#This Row],[fecha_inicio]]))</f>
        <v/>
      </c>
      <c r="R303" s="3">
        <f>IF(tblOrdenes[[#This Row],[fecha_inicio]]="","",MONTH(tblOrdenes[[#This Row],[fecha_inicio]]))</f>
        <v/>
      </c>
      <c r="S303" s="3">
        <f>IF(tblOrdenes[[#This Row],[fecha_inicio]]="","",INDEX(lista_dias,WEEKDAY(tblOrdenes[[#This Row],[fecha_inicio]],2)))</f>
        <v/>
      </c>
      <c r="T303" s="3">
        <f>IF(tblOrdenes[[#This Row],[tipo_ot]]="","",_xlfn.XLOOKUP(tblOrdenes[[#This Row],[tipo_ot]],tblTiposOT[codigo],tblTiposOT[clasificacion],"sin_clasificar"))</f>
        <v/>
      </c>
      <c r="U303" s="3">
        <f>IF(tblOrdenes[[#This Row],[centro_costo]]="","",_xlfn.XLOOKUP(tblOrdenes[[#This Row],[centro_costo]],tblCECO[codigo],tblCECO[linea],"(sin catálogo)"))</f>
        <v/>
      </c>
      <c r="V303" s="3">
        <f>IF(tblOrdenes[[#This Row],[centro_costo]]="","",_xlfn.XLOOKUP(tblOrdenes[[#This Row],[centro_costo]],tblCECO[codigo],tblCECO[area],"(sin catálogo)"))</f>
        <v/>
      </c>
      <c r="W303" s="3">
        <f>IF(tblOrdenes[[#This Row],[centro_costo]]="","",_xlfn.XLOOKUP(tblOrdenes[[#This Row],[centro_costo]],tblCECO[codigo],tblCECO[coordinador],"(sin catálogo)"))</f>
        <v/>
      </c>
      <c r="X303" s="3">
        <f>IF(tblOrdenes[[#This Row],[puesto_trabajo]]="","",_xlfn.XLOOKUP(tblOrdenes[[#This Row],[puesto_trabajo]],tblPuestos[codigo],tblPuestos[especialidad],"(sin catálogo)"))</f>
        <v/>
      </c>
      <c r="Y303" s="3">
        <f>IF(tblOrdenes[[#This Row],[cod_actividad]]="","",_xlfn.XLOOKUP(tblOrdenes[[#This Row],[cod_actividad]],tblActividades[codigo],tblActividades[descripcion],"(sin catálogo)"))</f>
        <v/>
      </c>
      <c r="Z303" s="12">
        <f>IF(tblOrdenes[[#This Row],[fecha_inicio]]="","",TODAY()-tblOrdenes[[#This Row],[fecha_inicio]])</f>
        <v/>
      </c>
      <c r="AA303" s="3">
        <f>IF(tblOrdenes[[#This Row],[backlog_dias]]="","",IF(tblOrdenes[[#This Row],[backlog_dias]]&lt;0,"FUTURO",IF(tblOrdenes[[#This Row],[backlog_dias]]&gt;p_dias_backlog_max,"BACKLOG","MES CORRIENTE")))</f>
        <v/>
      </c>
      <c r="AB303" s="3">
        <f>IF(tblOrdenes[[#This Row],[backlog_dias]]="",FALSE,AND(tblOrdenes[[#This Row],[backlog_dias]]&gt;p_dias_backlog_min,tblOrdenes[[#This Row],[backlog_dias]]&lt;=p_dias_backlog_max))</f>
        <v/>
      </c>
      <c r="AC303" s="6" t="n"/>
      <c r="AD3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03" s="10">
        <f>IF(tblOrdenes[[#This Row],[orden]]="","",_xlfn.XLOOKUP(tblOrdenes[[#This Row],[id_operacion]],tblEjecucion[id_operacion],tblEjecucion[precio],0))</f>
        <v/>
      </c>
      <c r="AH303" s="10">
        <f>IF(tblOrdenes[[#This Row],[orden]]="","",MAX(0,_xlfn.XLOOKUP(tblOrdenes[[#This Row],[id_operacion]],tblEjecucion[id_operacion],tblEjecucion[costo_plan_total],0)-tblOrdenes[[#This Row],[costo_servicio]]))</f>
        <v/>
      </c>
      <c r="AI303" s="10">
        <f>IF(tblOrdenes[[#This Row],[orden]]="","",tblOrdenes[[#This Row],[costo_servicio]]+tblOrdenes[[#This Row],[costo_materiales]])</f>
        <v/>
      </c>
      <c r="AJ303" s="6" t="n"/>
      <c r="AK303" s="6" t="n"/>
      <c r="AL303" s="6" t="n"/>
      <c r="AM303" s="3">
        <f>IF(tblOrdenes[[#This Row],[link_checklist]]="","",HYPERLINK(p_ruta_base_checklists&amp;tblOrdenes[[#This Row],[link_checklist]],"abrir"))</f>
        <v/>
      </c>
      <c r="AN303" s="6" t="n"/>
      <c r="AO303" s="3">
        <f>IF(tblOrdenes[[#This Row],[orden]]="","",tblOrdenes[[#This Row],[orden]]&amp;IF(tblOrdenes[[#This Row],[operacion]]="","0010",tblOrdenes[[#This Row],[operacion]]))</f>
        <v/>
      </c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11" t="n"/>
      <c r="K304" s="3" t="n"/>
      <c r="L304" s="10" t="n"/>
      <c r="M304" s="6" t="n"/>
      <c r="N30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0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0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04" s="3">
        <f>IF(tblOrdenes[[#This Row],[fecha_inicio]]="","",YEAR(tblOrdenes[[#This Row],[fecha_inicio]]))</f>
        <v/>
      </c>
      <c r="R304" s="3">
        <f>IF(tblOrdenes[[#This Row],[fecha_inicio]]="","",MONTH(tblOrdenes[[#This Row],[fecha_inicio]]))</f>
        <v/>
      </c>
      <c r="S304" s="3">
        <f>IF(tblOrdenes[[#This Row],[fecha_inicio]]="","",INDEX(lista_dias,WEEKDAY(tblOrdenes[[#This Row],[fecha_inicio]],2)))</f>
        <v/>
      </c>
      <c r="T304" s="3">
        <f>IF(tblOrdenes[[#This Row],[tipo_ot]]="","",_xlfn.XLOOKUP(tblOrdenes[[#This Row],[tipo_ot]],tblTiposOT[codigo],tblTiposOT[clasificacion],"sin_clasificar"))</f>
        <v/>
      </c>
      <c r="U304" s="3">
        <f>IF(tblOrdenes[[#This Row],[centro_costo]]="","",_xlfn.XLOOKUP(tblOrdenes[[#This Row],[centro_costo]],tblCECO[codigo],tblCECO[linea],"(sin catálogo)"))</f>
        <v/>
      </c>
      <c r="V304" s="3">
        <f>IF(tblOrdenes[[#This Row],[centro_costo]]="","",_xlfn.XLOOKUP(tblOrdenes[[#This Row],[centro_costo]],tblCECO[codigo],tblCECO[area],"(sin catálogo)"))</f>
        <v/>
      </c>
      <c r="W304" s="3">
        <f>IF(tblOrdenes[[#This Row],[centro_costo]]="","",_xlfn.XLOOKUP(tblOrdenes[[#This Row],[centro_costo]],tblCECO[codigo],tblCECO[coordinador],"(sin catálogo)"))</f>
        <v/>
      </c>
      <c r="X304" s="3">
        <f>IF(tblOrdenes[[#This Row],[puesto_trabajo]]="","",_xlfn.XLOOKUP(tblOrdenes[[#This Row],[puesto_trabajo]],tblPuestos[codigo],tblPuestos[especialidad],"(sin catálogo)"))</f>
        <v/>
      </c>
      <c r="Y304" s="3">
        <f>IF(tblOrdenes[[#This Row],[cod_actividad]]="","",_xlfn.XLOOKUP(tblOrdenes[[#This Row],[cod_actividad]],tblActividades[codigo],tblActividades[descripcion],"(sin catálogo)"))</f>
        <v/>
      </c>
      <c r="Z304" s="12">
        <f>IF(tblOrdenes[[#This Row],[fecha_inicio]]="","",TODAY()-tblOrdenes[[#This Row],[fecha_inicio]])</f>
        <v/>
      </c>
      <c r="AA304" s="3">
        <f>IF(tblOrdenes[[#This Row],[backlog_dias]]="","",IF(tblOrdenes[[#This Row],[backlog_dias]]&lt;0,"FUTURO",IF(tblOrdenes[[#This Row],[backlog_dias]]&gt;p_dias_backlog_max,"BACKLOG","MES CORRIENTE")))</f>
        <v/>
      </c>
      <c r="AB304" s="3">
        <f>IF(tblOrdenes[[#This Row],[backlog_dias]]="",FALSE,AND(tblOrdenes[[#This Row],[backlog_dias]]&gt;p_dias_backlog_min,tblOrdenes[[#This Row],[backlog_dias]]&lt;=p_dias_backlog_max))</f>
        <v/>
      </c>
      <c r="AC304" s="6" t="n"/>
      <c r="AD30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0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0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04" s="10">
        <f>IF(tblOrdenes[[#This Row],[orden]]="","",_xlfn.XLOOKUP(tblOrdenes[[#This Row],[id_operacion]],tblEjecucion[id_operacion],tblEjecucion[precio],0))</f>
        <v/>
      </c>
      <c r="AH304" s="10">
        <f>IF(tblOrdenes[[#This Row],[orden]]="","",MAX(0,_xlfn.XLOOKUP(tblOrdenes[[#This Row],[id_operacion]],tblEjecucion[id_operacion],tblEjecucion[costo_plan_total],0)-tblOrdenes[[#This Row],[costo_servicio]]))</f>
        <v/>
      </c>
      <c r="AI304" s="10">
        <f>IF(tblOrdenes[[#This Row],[orden]]="","",tblOrdenes[[#This Row],[costo_servicio]]+tblOrdenes[[#This Row],[costo_materiales]])</f>
        <v/>
      </c>
      <c r="AJ304" s="6" t="n"/>
      <c r="AK304" s="6" t="n"/>
      <c r="AL304" s="6" t="n"/>
      <c r="AM304" s="3">
        <f>IF(tblOrdenes[[#This Row],[link_checklist]]="","",HYPERLINK(p_ruta_base_checklists&amp;tblOrdenes[[#This Row],[link_checklist]],"abrir"))</f>
        <v/>
      </c>
      <c r="AN304" s="6" t="n"/>
      <c r="AO304" s="3">
        <f>IF(tblOrdenes[[#This Row],[orden]]="","",tblOrdenes[[#This Row],[orden]]&amp;IF(tblOrdenes[[#This Row],[operacion]]="","0010",tblOrdenes[[#This Row],[operacion]]))</f>
        <v/>
      </c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11" t="n"/>
      <c r="K305" s="3" t="n"/>
      <c r="L305" s="10" t="n"/>
      <c r="M305" s="6" t="n"/>
      <c r="N30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0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0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05" s="3">
        <f>IF(tblOrdenes[[#This Row],[fecha_inicio]]="","",YEAR(tblOrdenes[[#This Row],[fecha_inicio]]))</f>
        <v/>
      </c>
      <c r="R305" s="3">
        <f>IF(tblOrdenes[[#This Row],[fecha_inicio]]="","",MONTH(tblOrdenes[[#This Row],[fecha_inicio]]))</f>
        <v/>
      </c>
      <c r="S305" s="3">
        <f>IF(tblOrdenes[[#This Row],[fecha_inicio]]="","",INDEX(lista_dias,WEEKDAY(tblOrdenes[[#This Row],[fecha_inicio]],2)))</f>
        <v/>
      </c>
      <c r="T305" s="3">
        <f>IF(tblOrdenes[[#This Row],[tipo_ot]]="","",_xlfn.XLOOKUP(tblOrdenes[[#This Row],[tipo_ot]],tblTiposOT[codigo],tblTiposOT[clasificacion],"sin_clasificar"))</f>
        <v/>
      </c>
      <c r="U305" s="3">
        <f>IF(tblOrdenes[[#This Row],[centro_costo]]="","",_xlfn.XLOOKUP(tblOrdenes[[#This Row],[centro_costo]],tblCECO[codigo],tblCECO[linea],"(sin catálogo)"))</f>
        <v/>
      </c>
      <c r="V305" s="3">
        <f>IF(tblOrdenes[[#This Row],[centro_costo]]="","",_xlfn.XLOOKUP(tblOrdenes[[#This Row],[centro_costo]],tblCECO[codigo],tblCECO[area],"(sin catálogo)"))</f>
        <v/>
      </c>
      <c r="W305" s="3">
        <f>IF(tblOrdenes[[#This Row],[centro_costo]]="","",_xlfn.XLOOKUP(tblOrdenes[[#This Row],[centro_costo]],tblCECO[codigo],tblCECO[coordinador],"(sin catálogo)"))</f>
        <v/>
      </c>
      <c r="X305" s="3">
        <f>IF(tblOrdenes[[#This Row],[puesto_trabajo]]="","",_xlfn.XLOOKUP(tblOrdenes[[#This Row],[puesto_trabajo]],tblPuestos[codigo],tblPuestos[especialidad],"(sin catálogo)"))</f>
        <v/>
      </c>
      <c r="Y305" s="3">
        <f>IF(tblOrdenes[[#This Row],[cod_actividad]]="","",_xlfn.XLOOKUP(tblOrdenes[[#This Row],[cod_actividad]],tblActividades[codigo],tblActividades[descripcion],"(sin catálogo)"))</f>
        <v/>
      </c>
      <c r="Z305" s="12">
        <f>IF(tblOrdenes[[#This Row],[fecha_inicio]]="","",TODAY()-tblOrdenes[[#This Row],[fecha_inicio]])</f>
        <v/>
      </c>
      <c r="AA305" s="3">
        <f>IF(tblOrdenes[[#This Row],[backlog_dias]]="","",IF(tblOrdenes[[#This Row],[backlog_dias]]&lt;0,"FUTURO",IF(tblOrdenes[[#This Row],[backlog_dias]]&gt;p_dias_backlog_max,"BACKLOG","MES CORRIENTE")))</f>
        <v/>
      </c>
      <c r="AB305" s="3">
        <f>IF(tblOrdenes[[#This Row],[backlog_dias]]="",FALSE,AND(tblOrdenes[[#This Row],[backlog_dias]]&gt;p_dias_backlog_min,tblOrdenes[[#This Row],[backlog_dias]]&lt;=p_dias_backlog_max))</f>
        <v/>
      </c>
      <c r="AC305" s="6" t="n"/>
      <c r="AD30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0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0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05" s="10">
        <f>IF(tblOrdenes[[#This Row],[orden]]="","",_xlfn.XLOOKUP(tblOrdenes[[#This Row],[id_operacion]],tblEjecucion[id_operacion],tblEjecucion[precio],0))</f>
        <v/>
      </c>
      <c r="AH305" s="10">
        <f>IF(tblOrdenes[[#This Row],[orden]]="","",MAX(0,_xlfn.XLOOKUP(tblOrdenes[[#This Row],[id_operacion]],tblEjecucion[id_operacion],tblEjecucion[costo_plan_total],0)-tblOrdenes[[#This Row],[costo_servicio]]))</f>
        <v/>
      </c>
      <c r="AI305" s="10">
        <f>IF(tblOrdenes[[#This Row],[orden]]="","",tblOrdenes[[#This Row],[costo_servicio]]+tblOrdenes[[#This Row],[costo_materiales]])</f>
        <v/>
      </c>
      <c r="AJ305" s="6" t="n"/>
      <c r="AK305" s="6" t="n"/>
      <c r="AL305" s="6" t="n"/>
      <c r="AM305" s="3">
        <f>IF(tblOrdenes[[#This Row],[link_checklist]]="","",HYPERLINK(p_ruta_base_checklists&amp;tblOrdenes[[#This Row],[link_checklist]],"abrir"))</f>
        <v/>
      </c>
      <c r="AN305" s="6" t="n"/>
      <c r="AO305" s="3">
        <f>IF(tblOrdenes[[#This Row],[orden]]="","",tblOrdenes[[#This Row],[orden]]&amp;IF(tblOrdenes[[#This Row],[operacion]]="","0010",tblOrdenes[[#This Row],[operacion]]))</f>
        <v/>
      </c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11" t="n"/>
      <c r="K306" s="3" t="n"/>
      <c r="L306" s="10" t="n"/>
      <c r="M306" s="6" t="n"/>
      <c r="N30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0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0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06" s="3">
        <f>IF(tblOrdenes[[#This Row],[fecha_inicio]]="","",YEAR(tblOrdenes[[#This Row],[fecha_inicio]]))</f>
        <v/>
      </c>
      <c r="R306" s="3">
        <f>IF(tblOrdenes[[#This Row],[fecha_inicio]]="","",MONTH(tblOrdenes[[#This Row],[fecha_inicio]]))</f>
        <v/>
      </c>
      <c r="S306" s="3">
        <f>IF(tblOrdenes[[#This Row],[fecha_inicio]]="","",INDEX(lista_dias,WEEKDAY(tblOrdenes[[#This Row],[fecha_inicio]],2)))</f>
        <v/>
      </c>
      <c r="T306" s="3">
        <f>IF(tblOrdenes[[#This Row],[tipo_ot]]="","",_xlfn.XLOOKUP(tblOrdenes[[#This Row],[tipo_ot]],tblTiposOT[codigo],tblTiposOT[clasificacion],"sin_clasificar"))</f>
        <v/>
      </c>
      <c r="U306" s="3">
        <f>IF(tblOrdenes[[#This Row],[centro_costo]]="","",_xlfn.XLOOKUP(tblOrdenes[[#This Row],[centro_costo]],tblCECO[codigo],tblCECO[linea],"(sin catálogo)"))</f>
        <v/>
      </c>
      <c r="V306" s="3">
        <f>IF(tblOrdenes[[#This Row],[centro_costo]]="","",_xlfn.XLOOKUP(tblOrdenes[[#This Row],[centro_costo]],tblCECO[codigo],tblCECO[area],"(sin catálogo)"))</f>
        <v/>
      </c>
      <c r="W306" s="3">
        <f>IF(tblOrdenes[[#This Row],[centro_costo]]="","",_xlfn.XLOOKUP(tblOrdenes[[#This Row],[centro_costo]],tblCECO[codigo],tblCECO[coordinador],"(sin catálogo)"))</f>
        <v/>
      </c>
      <c r="X306" s="3">
        <f>IF(tblOrdenes[[#This Row],[puesto_trabajo]]="","",_xlfn.XLOOKUP(tblOrdenes[[#This Row],[puesto_trabajo]],tblPuestos[codigo],tblPuestos[especialidad],"(sin catálogo)"))</f>
        <v/>
      </c>
      <c r="Y306" s="3">
        <f>IF(tblOrdenes[[#This Row],[cod_actividad]]="","",_xlfn.XLOOKUP(tblOrdenes[[#This Row],[cod_actividad]],tblActividades[codigo],tblActividades[descripcion],"(sin catálogo)"))</f>
        <v/>
      </c>
      <c r="Z306" s="12">
        <f>IF(tblOrdenes[[#This Row],[fecha_inicio]]="","",TODAY()-tblOrdenes[[#This Row],[fecha_inicio]])</f>
        <v/>
      </c>
      <c r="AA306" s="3">
        <f>IF(tblOrdenes[[#This Row],[backlog_dias]]="","",IF(tblOrdenes[[#This Row],[backlog_dias]]&lt;0,"FUTURO",IF(tblOrdenes[[#This Row],[backlog_dias]]&gt;p_dias_backlog_max,"BACKLOG","MES CORRIENTE")))</f>
        <v/>
      </c>
      <c r="AB306" s="3">
        <f>IF(tblOrdenes[[#This Row],[backlog_dias]]="",FALSE,AND(tblOrdenes[[#This Row],[backlog_dias]]&gt;p_dias_backlog_min,tblOrdenes[[#This Row],[backlog_dias]]&lt;=p_dias_backlog_max))</f>
        <v/>
      </c>
      <c r="AC306" s="6" t="n"/>
      <c r="AD30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0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0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06" s="10">
        <f>IF(tblOrdenes[[#This Row],[orden]]="","",_xlfn.XLOOKUP(tblOrdenes[[#This Row],[id_operacion]],tblEjecucion[id_operacion],tblEjecucion[precio],0))</f>
        <v/>
      </c>
      <c r="AH306" s="10">
        <f>IF(tblOrdenes[[#This Row],[orden]]="","",MAX(0,_xlfn.XLOOKUP(tblOrdenes[[#This Row],[id_operacion]],tblEjecucion[id_operacion],tblEjecucion[costo_plan_total],0)-tblOrdenes[[#This Row],[costo_servicio]]))</f>
        <v/>
      </c>
      <c r="AI306" s="10">
        <f>IF(tblOrdenes[[#This Row],[orden]]="","",tblOrdenes[[#This Row],[costo_servicio]]+tblOrdenes[[#This Row],[costo_materiales]])</f>
        <v/>
      </c>
      <c r="AJ306" s="6" t="n"/>
      <c r="AK306" s="6" t="n"/>
      <c r="AL306" s="6" t="n"/>
      <c r="AM306" s="3">
        <f>IF(tblOrdenes[[#This Row],[link_checklist]]="","",HYPERLINK(p_ruta_base_checklists&amp;tblOrdenes[[#This Row],[link_checklist]],"abrir"))</f>
        <v/>
      </c>
      <c r="AN306" s="6" t="n"/>
      <c r="AO306" s="3">
        <f>IF(tblOrdenes[[#This Row],[orden]]="","",tblOrdenes[[#This Row],[orden]]&amp;IF(tblOrdenes[[#This Row],[operacion]]="","0010",tblOrdenes[[#This Row],[operacion]]))</f>
        <v/>
      </c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11" t="n"/>
      <c r="K307" s="3" t="n"/>
      <c r="L307" s="10" t="n"/>
      <c r="M307" s="6" t="n"/>
      <c r="N30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0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0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07" s="3">
        <f>IF(tblOrdenes[[#This Row],[fecha_inicio]]="","",YEAR(tblOrdenes[[#This Row],[fecha_inicio]]))</f>
        <v/>
      </c>
      <c r="R307" s="3">
        <f>IF(tblOrdenes[[#This Row],[fecha_inicio]]="","",MONTH(tblOrdenes[[#This Row],[fecha_inicio]]))</f>
        <v/>
      </c>
      <c r="S307" s="3">
        <f>IF(tblOrdenes[[#This Row],[fecha_inicio]]="","",INDEX(lista_dias,WEEKDAY(tblOrdenes[[#This Row],[fecha_inicio]],2)))</f>
        <v/>
      </c>
      <c r="T307" s="3">
        <f>IF(tblOrdenes[[#This Row],[tipo_ot]]="","",_xlfn.XLOOKUP(tblOrdenes[[#This Row],[tipo_ot]],tblTiposOT[codigo],tblTiposOT[clasificacion],"sin_clasificar"))</f>
        <v/>
      </c>
      <c r="U307" s="3">
        <f>IF(tblOrdenes[[#This Row],[centro_costo]]="","",_xlfn.XLOOKUP(tblOrdenes[[#This Row],[centro_costo]],tblCECO[codigo],tblCECO[linea],"(sin catálogo)"))</f>
        <v/>
      </c>
      <c r="V307" s="3">
        <f>IF(tblOrdenes[[#This Row],[centro_costo]]="","",_xlfn.XLOOKUP(tblOrdenes[[#This Row],[centro_costo]],tblCECO[codigo],tblCECO[area],"(sin catálogo)"))</f>
        <v/>
      </c>
      <c r="W307" s="3">
        <f>IF(tblOrdenes[[#This Row],[centro_costo]]="","",_xlfn.XLOOKUP(tblOrdenes[[#This Row],[centro_costo]],tblCECO[codigo],tblCECO[coordinador],"(sin catálogo)"))</f>
        <v/>
      </c>
      <c r="X307" s="3">
        <f>IF(tblOrdenes[[#This Row],[puesto_trabajo]]="","",_xlfn.XLOOKUP(tblOrdenes[[#This Row],[puesto_trabajo]],tblPuestos[codigo],tblPuestos[especialidad],"(sin catálogo)"))</f>
        <v/>
      </c>
      <c r="Y307" s="3">
        <f>IF(tblOrdenes[[#This Row],[cod_actividad]]="","",_xlfn.XLOOKUP(tblOrdenes[[#This Row],[cod_actividad]],tblActividades[codigo],tblActividades[descripcion],"(sin catálogo)"))</f>
        <v/>
      </c>
      <c r="Z307" s="12">
        <f>IF(tblOrdenes[[#This Row],[fecha_inicio]]="","",TODAY()-tblOrdenes[[#This Row],[fecha_inicio]])</f>
        <v/>
      </c>
      <c r="AA307" s="3">
        <f>IF(tblOrdenes[[#This Row],[backlog_dias]]="","",IF(tblOrdenes[[#This Row],[backlog_dias]]&lt;0,"FUTURO",IF(tblOrdenes[[#This Row],[backlog_dias]]&gt;p_dias_backlog_max,"BACKLOG","MES CORRIENTE")))</f>
        <v/>
      </c>
      <c r="AB307" s="3">
        <f>IF(tblOrdenes[[#This Row],[backlog_dias]]="",FALSE,AND(tblOrdenes[[#This Row],[backlog_dias]]&gt;p_dias_backlog_min,tblOrdenes[[#This Row],[backlog_dias]]&lt;=p_dias_backlog_max))</f>
        <v/>
      </c>
      <c r="AC307" s="6" t="n"/>
      <c r="AD30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0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0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07" s="10">
        <f>IF(tblOrdenes[[#This Row],[orden]]="","",_xlfn.XLOOKUP(tblOrdenes[[#This Row],[id_operacion]],tblEjecucion[id_operacion],tblEjecucion[precio],0))</f>
        <v/>
      </c>
      <c r="AH307" s="10">
        <f>IF(tblOrdenes[[#This Row],[orden]]="","",MAX(0,_xlfn.XLOOKUP(tblOrdenes[[#This Row],[id_operacion]],tblEjecucion[id_operacion],tblEjecucion[costo_plan_total],0)-tblOrdenes[[#This Row],[costo_servicio]]))</f>
        <v/>
      </c>
      <c r="AI307" s="10">
        <f>IF(tblOrdenes[[#This Row],[orden]]="","",tblOrdenes[[#This Row],[costo_servicio]]+tblOrdenes[[#This Row],[costo_materiales]])</f>
        <v/>
      </c>
      <c r="AJ307" s="6" t="n"/>
      <c r="AK307" s="6" t="n"/>
      <c r="AL307" s="6" t="n"/>
      <c r="AM307" s="3">
        <f>IF(tblOrdenes[[#This Row],[link_checklist]]="","",HYPERLINK(p_ruta_base_checklists&amp;tblOrdenes[[#This Row],[link_checklist]],"abrir"))</f>
        <v/>
      </c>
      <c r="AN307" s="6" t="n"/>
      <c r="AO307" s="3">
        <f>IF(tblOrdenes[[#This Row],[orden]]="","",tblOrdenes[[#This Row],[orden]]&amp;IF(tblOrdenes[[#This Row],[operacion]]="","0010",tblOrdenes[[#This Row],[operacion]]))</f>
        <v/>
      </c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11" t="n"/>
      <c r="K308" s="3" t="n"/>
      <c r="L308" s="10" t="n"/>
      <c r="M308" s="6" t="n"/>
      <c r="N30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0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0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08" s="3">
        <f>IF(tblOrdenes[[#This Row],[fecha_inicio]]="","",YEAR(tblOrdenes[[#This Row],[fecha_inicio]]))</f>
        <v/>
      </c>
      <c r="R308" s="3">
        <f>IF(tblOrdenes[[#This Row],[fecha_inicio]]="","",MONTH(tblOrdenes[[#This Row],[fecha_inicio]]))</f>
        <v/>
      </c>
      <c r="S308" s="3">
        <f>IF(tblOrdenes[[#This Row],[fecha_inicio]]="","",INDEX(lista_dias,WEEKDAY(tblOrdenes[[#This Row],[fecha_inicio]],2)))</f>
        <v/>
      </c>
      <c r="T308" s="3">
        <f>IF(tblOrdenes[[#This Row],[tipo_ot]]="","",_xlfn.XLOOKUP(tblOrdenes[[#This Row],[tipo_ot]],tblTiposOT[codigo],tblTiposOT[clasificacion],"sin_clasificar"))</f>
        <v/>
      </c>
      <c r="U308" s="3">
        <f>IF(tblOrdenes[[#This Row],[centro_costo]]="","",_xlfn.XLOOKUP(tblOrdenes[[#This Row],[centro_costo]],tblCECO[codigo],tblCECO[linea],"(sin catálogo)"))</f>
        <v/>
      </c>
      <c r="V308" s="3">
        <f>IF(tblOrdenes[[#This Row],[centro_costo]]="","",_xlfn.XLOOKUP(tblOrdenes[[#This Row],[centro_costo]],tblCECO[codigo],tblCECO[area],"(sin catálogo)"))</f>
        <v/>
      </c>
      <c r="W308" s="3">
        <f>IF(tblOrdenes[[#This Row],[centro_costo]]="","",_xlfn.XLOOKUP(tblOrdenes[[#This Row],[centro_costo]],tblCECO[codigo],tblCECO[coordinador],"(sin catálogo)"))</f>
        <v/>
      </c>
      <c r="X308" s="3">
        <f>IF(tblOrdenes[[#This Row],[puesto_trabajo]]="","",_xlfn.XLOOKUP(tblOrdenes[[#This Row],[puesto_trabajo]],tblPuestos[codigo],tblPuestos[especialidad],"(sin catálogo)"))</f>
        <v/>
      </c>
      <c r="Y308" s="3">
        <f>IF(tblOrdenes[[#This Row],[cod_actividad]]="","",_xlfn.XLOOKUP(tblOrdenes[[#This Row],[cod_actividad]],tblActividades[codigo],tblActividades[descripcion],"(sin catálogo)"))</f>
        <v/>
      </c>
      <c r="Z308" s="12">
        <f>IF(tblOrdenes[[#This Row],[fecha_inicio]]="","",TODAY()-tblOrdenes[[#This Row],[fecha_inicio]])</f>
        <v/>
      </c>
      <c r="AA308" s="3">
        <f>IF(tblOrdenes[[#This Row],[backlog_dias]]="","",IF(tblOrdenes[[#This Row],[backlog_dias]]&lt;0,"FUTURO",IF(tblOrdenes[[#This Row],[backlog_dias]]&gt;p_dias_backlog_max,"BACKLOG","MES CORRIENTE")))</f>
        <v/>
      </c>
      <c r="AB308" s="3">
        <f>IF(tblOrdenes[[#This Row],[backlog_dias]]="",FALSE,AND(tblOrdenes[[#This Row],[backlog_dias]]&gt;p_dias_backlog_min,tblOrdenes[[#This Row],[backlog_dias]]&lt;=p_dias_backlog_max))</f>
        <v/>
      </c>
      <c r="AC308" s="6" t="n"/>
      <c r="AD30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0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0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08" s="10">
        <f>IF(tblOrdenes[[#This Row],[orden]]="","",_xlfn.XLOOKUP(tblOrdenes[[#This Row],[id_operacion]],tblEjecucion[id_operacion],tblEjecucion[precio],0))</f>
        <v/>
      </c>
      <c r="AH308" s="10">
        <f>IF(tblOrdenes[[#This Row],[orden]]="","",MAX(0,_xlfn.XLOOKUP(tblOrdenes[[#This Row],[id_operacion]],tblEjecucion[id_operacion],tblEjecucion[costo_plan_total],0)-tblOrdenes[[#This Row],[costo_servicio]]))</f>
        <v/>
      </c>
      <c r="AI308" s="10">
        <f>IF(tblOrdenes[[#This Row],[orden]]="","",tblOrdenes[[#This Row],[costo_servicio]]+tblOrdenes[[#This Row],[costo_materiales]])</f>
        <v/>
      </c>
      <c r="AJ308" s="6" t="n"/>
      <c r="AK308" s="6" t="n"/>
      <c r="AL308" s="6" t="n"/>
      <c r="AM308" s="3">
        <f>IF(tblOrdenes[[#This Row],[link_checklist]]="","",HYPERLINK(p_ruta_base_checklists&amp;tblOrdenes[[#This Row],[link_checklist]],"abrir"))</f>
        <v/>
      </c>
      <c r="AN308" s="6" t="n"/>
      <c r="AO308" s="3">
        <f>IF(tblOrdenes[[#This Row],[orden]]="","",tblOrdenes[[#This Row],[orden]]&amp;IF(tblOrdenes[[#This Row],[operacion]]="","0010",tblOrdenes[[#This Row],[operacion]]))</f>
        <v/>
      </c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11" t="n"/>
      <c r="K309" s="3" t="n"/>
      <c r="L309" s="10" t="n"/>
      <c r="M309" s="6" t="n"/>
      <c r="N30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0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0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09" s="3">
        <f>IF(tblOrdenes[[#This Row],[fecha_inicio]]="","",YEAR(tblOrdenes[[#This Row],[fecha_inicio]]))</f>
        <v/>
      </c>
      <c r="R309" s="3">
        <f>IF(tblOrdenes[[#This Row],[fecha_inicio]]="","",MONTH(tblOrdenes[[#This Row],[fecha_inicio]]))</f>
        <v/>
      </c>
      <c r="S309" s="3">
        <f>IF(tblOrdenes[[#This Row],[fecha_inicio]]="","",INDEX(lista_dias,WEEKDAY(tblOrdenes[[#This Row],[fecha_inicio]],2)))</f>
        <v/>
      </c>
      <c r="T309" s="3">
        <f>IF(tblOrdenes[[#This Row],[tipo_ot]]="","",_xlfn.XLOOKUP(tblOrdenes[[#This Row],[tipo_ot]],tblTiposOT[codigo],tblTiposOT[clasificacion],"sin_clasificar"))</f>
        <v/>
      </c>
      <c r="U309" s="3">
        <f>IF(tblOrdenes[[#This Row],[centro_costo]]="","",_xlfn.XLOOKUP(tblOrdenes[[#This Row],[centro_costo]],tblCECO[codigo],tblCECO[linea],"(sin catálogo)"))</f>
        <v/>
      </c>
      <c r="V309" s="3">
        <f>IF(tblOrdenes[[#This Row],[centro_costo]]="","",_xlfn.XLOOKUP(tblOrdenes[[#This Row],[centro_costo]],tblCECO[codigo],tblCECO[area],"(sin catálogo)"))</f>
        <v/>
      </c>
      <c r="W309" s="3">
        <f>IF(tblOrdenes[[#This Row],[centro_costo]]="","",_xlfn.XLOOKUP(tblOrdenes[[#This Row],[centro_costo]],tblCECO[codigo],tblCECO[coordinador],"(sin catálogo)"))</f>
        <v/>
      </c>
      <c r="X309" s="3">
        <f>IF(tblOrdenes[[#This Row],[puesto_trabajo]]="","",_xlfn.XLOOKUP(tblOrdenes[[#This Row],[puesto_trabajo]],tblPuestos[codigo],tblPuestos[especialidad],"(sin catálogo)"))</f>
        <v/>
      </c>
      <c r="Y309" s="3">
        <f>IF(tblOrdenes[[#This Row],[cod_actividad]]="","",_xlfn.XLOOKUP(tblOrdenes[[#This Row],[cod_actividad]],tblActividades[codigo],tblActividades[descripcion],"(sin catálogo)"))</f>
        <v/>
      </c>
      <c r="Z309" s="12">
        <f>IF(tblOrdenes[[#This Row],[fecha_inicio]]="","",TODAY()-tblOrdenes[[#This Row],[fecha_inicio]])</f>
        <v/>
      </c>
      <c r="AA309" s="3">
        <f>IF(tblOrdenes[[#This Row],[backlog_dias]]="","",IF(tblOrdenes[[#This Row],[backlog_dias]]&lt;0,"FUTURO",IF(tblOrdenes[[#This Row],[backlog_dias]]&gt;p_dias_backlog_max,"BACKLOG","MES CORRIENTE")))</f>
        <v/>
      </c>
      <c r="AB309" s="3">
        <f>IF(tblOrdenes[[#This Row],[backlog_dias]]="",FALSE,AND(tblOrdenes[[#This Row],[backlog_dias]]&gt;p_dias_backlog_min,tblOrdenes[[#This Row],[backlog_dias]]&lt;=p_dias_backlog_max))</f>
        <v/>
      </c>
      <c r="AC309" s="6" t="n"/>
      <c r="AD30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0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0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09" s="10">
        <f>IF(tblOrdenes[[#This Row],[orden]]="","",_xlfn.XLOOKUP(tblOrdenes[[#This Row],[id_operacion]],tblEjecucion[id_operacion],tblEjecucion[precio],0))</f>
        <v/>
      </c>
      <c r="AH309" s="10">
        <f>IF(tblOrdenes[[#This Row],[orden]]="","",MAX(0,_xlfn.XLOOKUP(tblOrdenes[[#This Row],[id_operacion]],tblEjecucion[id_operacion],tblEjecucion[costo_plan_total],0)-tblOrdenes[[#This Row],[costo_servicio]]))</f>
        <v/>
      </c>
      <c r="AI309" s="10">
        <f>IF(tblOrdenes[[#This Row],[orden]]="","",tblOrdenes[[#This Row],[costo_servicio]]+tblOrdenes[[#This Row],[costo_materiales]])</f>
        <v/>
      </c>
      <c r="AJ309" s="6" t="n"/>
      <c r="AK309" s="6" t="n"/>
      <c r="AL309" s="6" t="n"/>
      <c r="AM309" s="3">
        <f>IF(tblOrdenes[[#This Row],[link_checklist]]="","",HYPERLINK(p_ruta_base_checklists&amp;tblOrdenes[[#This Row],[link_checklist]],"abrir"))</f>
        <v/>
      </c>
      <c r="AN309" s="6" t="n"/>
      <c r="AO309" s="3">
        <f>IF(tblOrdenes[[#This Row],[orden]]="","",tblOrdenes[[#This Row],[orden]]&amp;IF(tblOrdenes[[#This Row],[operacion]]="","0010",tblOrdenes[[#This Row],[operacion]]))</f>
        <v/>
      </c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11" t="n"/>
      <c r="K310" s="3" t="n"/>
      <c r="L310" s="10" t="n"/>
      <c r="M310" s="6" t="n"/>
      <c r="N3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10" s="3">
        <f>IF(tblOrdenes[[#This Row],[fecha_inicio]]="","",YEAR(tblOrdenes[[#This Row],[fecha_inicio]]))</f>
        <v/>
      </c>
      <c r="R310" s="3">
        <f>IF(tblOrdenes[[#This Row],[fecha_inicio]]="","",MONTH(tblOrdenes[[#This Row],[fecha_inicio]]))</f>
        <v/>
      </c>
      <c r="S310" s="3">
        <f>IF(tblOrdenes[[#This Row],[fecha_inicio]]="","",INDEX(lista_dias,WEEKDAY(tblOrdenes[[#This Row],[fecha_inicio]],2)))</f>
        <v/>
      </c>
      <c r="T310" s="3">
        <f>IF(tblOrdenes[[#This Row],[tipo_ot]]="","",_xlfn.XLOOKUP(tblOrdenes[[#This Row],[tipo_ot]],tblTiposOT[codigo],tblTiposOT[clasificacion],"sin_clasificar"))</f>
        <v/>
      </c>
      <c r="U310" s="3">
        <f>IF(tblOrdenes[[#This Row],[centro_costo]]="","",_xlfn.XLOOKUP(tblOrdenes[[#This Row],[centro_costo]],tblCECO[codigo],tblCECO[linea],"(sin catálogo)"))</f>
        <v/>
      </c>
      <c r="V310" s="3">
        <f>IF(tblOrdenes[[#This Row],[centro_costo]]="","",_xlfn.XLOOKUP(tblOrdenes[[#This Row],[centro_costo]],tblCECO[codigo],tblCECO[area],"(sin catálogo)"))</f>
        <v/>
      </c>
      <c r="W310" s="3">
        <f>IF(tblOrdenes[[#This Row],[centro_costo]]="","",_xlfn.XLOOKUP(tblOrdenes[[#This Row],[centro_costo]],tblCECO[codigo],tblCECO[coordinador],"(sin catálogo)"))</f>
        <v/>
      </c>
      <c r="X310" s="3">
        <f>IF(tblOrdenes[[#This Row],[puesto_trabajo]]="","",_xlfn.XLOOKUP(tblOrdenes[[#This Row],[puesto_trabajo]],tblPuestos[codigo],tblPuestos[especialidad],"(sin catálogo)"))</f>
        <v/>
      </c>
      <c r="Y310" s="3">
        <f>IF(tblOrdenes[[#This Row],[cod_actividad]]="","",_xlfn.XLOOKUP(tblOrdenes[[#This Row],[cod_actividad]],tblActividades[codigo],tblActividades[descripcion],"(sin catálogo)"))</f>
        <v/>
      </c>
      <c r="Z310" s="12">
        <f>IF(tblOrdenes[[#This Row],[fecha_inicio]]="","",TODAY()-tblOrdenes[[#This Row],[fecha_inicio]])</f>
        <v/>
      </c>
      <c r="AA310" s="3">
        <f>IF(tblOrdenes[[#This Row],[backlog_dias]]="","",IF(tblOrdenes[[#This Row],[backlog_dias]]&lt;0,"FUTURO",IF(tblOrdenes[[#This Row],[backlog_dias]]&gt;p_dias_backlog_max,"BACKLOG","MES CORRIENTE")))</f>
        <v/>
      </c>
      <c r="AB310" s="3">
        <f>IF(tblOrdenes[[#This Row],[backlog_dias]]="",FALSE,AND(tblOrdenes[[#This Row],[backlog_dias]]&gt;p_dias_backlog_min,tblOrdenes[[#This Row],[backlog_dias]]&lt;=p_dias_backlog_max))</f>
        <v/>
      </c>
      <c r="AC310" s="6" t="n"/>
      <c r="AD3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10" s="10">
        <f>IF(tblOrdenes[[#This Row],[orden]]="","",_xlfn.XLOOKUP(tblOrdenes[[#This Row],[id_operacion]],tblEjecucion[id_operacion],tblEjecucion[precio],0))</f>
        <v/>
      </c>
      <c r="AH310" s="10">
        <f>IF(tblOrdenes[[#This Row],[orden]]="","",MAX(0,_xlfn.XLOOKUP(tblOrdenes[[#This Row],[id_operacion]],tblEjecucion[id_operacion],tblEjecucion[costo_plan_total],0)-tblOrdenes[[#This Row],[costo_servicio]]))</f>
        <v/>
      </c>
      <c r="AI310" s="10">
        <f>IF(tblOrdenes[[#This Row],[orden]]="","",tblOrdenes[[#This Row],[costo_servicio]]+tblOrdenes[[#This Row],[costo_materiales]])</f>
        <v/>
      </c>
      <c r="AJ310" s="6" t="n"/>
      <c r="AK310" s="6" t="n"/>
      <c r="AL310" s="6" t="n"/>
      <c r="AM310" s="3">
        <f>IF(tblOrdenes[[#This Row],[link_checklist]]="","",HYPERLINK(p_ruta_base_checklists&amp;tblOrdenes[[#This Row],[link_checklist]],"abrir"))</f>
        <v/>
      </c>
      <c r="AN310" s="6" t="n"/>
      <c r="AO310" s="3">
        <f>IF(tblOrdenes[[#This Row],[orden]]="","",tblOrdenes[[#This Row],[orden]]&amp;IF(tblOrdenes[[#This Row],[operacion]]="","0010",tblOrdenes[[#This Row],[operacion]]))</f>
        <v/>
      </c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11" t="n"/>
      <c r="K311" s="3" t="n"/>
      <c r="L311" s="10" t="n"/>
      <c r="M311" s="6" t="n"/>
      <c r="N3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11" s="3">
        <f>IF(tblOrdenes[[#This Row],[fecha_inicio]]="","",YEAR(tblOrdenes[[#This Row],[fecha_inicio]]))</f>
        <v/>
      </c>
      <c r="R311" s="3">
        <f>IF(tblOrdenes[[#This Row],[fecha_inicio]]="","",MONTH(tblOrdenes[[#This Row],[fecha_inicio]]))</f>
        <v/>
      </c>
      <c r="S311" s="3">
        <f>IF(tblOrdenes[[#This Row],[fecha_inicio]]="","",INDEX(lista_dias,WEEKDAY(tblOrdenes[[#This Row],[fecha_inicio]],2)))</f>
        <v/>
      </c>
      <c r="T311" s="3">
        <f>IF(tblOrdenes[[#This Row],[tipo_ot]]="","",_xlfn.XLOOKUP(tblOrdenes[[#This Row],[tipo_ot]],tblTiposOT[codigo],tblTiposOT[clasificacion],"sin_clasificar"))</f>
        <v/>
      </c>
      <c r="U311" s="3">
        <f>IF(tblOrdenes[[#This Row],[centro_costo]]="","",_xlfn.XLOOKUP(tblOrdenes[[#This Row],[centro_costo]],tblCECO[codigo],tblCECO[linea],"(sin catálogo)"))</f>
        <v/>
      </c>
      <c r="V311" s="3">
        <f>IF(tblOrdenes[[#This Row],[centro_costo]]="","",_xlfn.XLOOKUP(tblOrdenes[[#This Row],[centro_costo]],tblCECO[codigo],tblCECO[area],"(sin catálogo)"))</f>
        <v/>
      </c>
      <c r="W311" s="3">
        <f>IF(tblOrdenes[[#This Row],[centro_costo]]="","",_xlfn.XLOOKUP(tblOrdenes[[#This Row],[centro_costo]],tblCECO[codigo],tblCECO[coordinador],"(sin catálogo)"))</f>
        <v/>
      </c>
      <c r="X311" s="3">
        <f>IF(tblOrdenes[[#This Row],[puesto_trabajo]]="","",_xlfn.XLOOKUP(tblOrdenes[[#This Row],[puesto_trabajo]],tblPuestos[codigo],tblPuestos[especialidad],"(sin catálogo)"))</f>
        <v/>
      </c>
      <c r="Y311" s="3">
        <f>IF(tblOrdenes[[#This Row],[cod_actividad]]="","",_xlfn.XLOOKUP(tblOrdenes[[#This Row],[cod_actividad]],tblActividades[codigo],tblActividades[descripcion],"(sin catálogo)"))</f>
        <v/>
      </c>
      <c r="Z311" s="12">
        <f>IF(tblOrdenes[[#This Row],[fecha_inicio]]="","",TODAY()-tblOrdenes[[#This Row],[fecha_inicio]])</f>
        <v/>
      </c>
      <c r="AA311" s="3">
        <f>IF(tblOrdenes[[#This Row],[backlog_dias]]="","",IF(tblOrdenes[[#This Row],[backlog_dias]]&lt;0,"FUTURO",IF(tblOrdenes[[#This Row],[backlog_dias]]&gt;p_dias_backlog_max,"BACKLOG","MES CORRIENTE")))</f>
        <v/>
      </c>
      <c r="AB311" s="3">
        <f>IF(tblOrdenes[[#This Row],[backlog_dias]]="",FALSE,AND(tblOrdenes[[#This Row],[backlog_dias]]&gt;p_dias_backlog_min,tblOrdenes[[#This Row],[backlog_dias]]&lt;=p_dias_backlog_max))</f>
        <v/>
      </c>
      <c r="AC311" s="6" t="n"/>
      <c r="AD3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11" s="10">
        <f>IF(tblOrdenes[[#This Row],[orden]]="","",_xlfn.XLOOKUP(tblOrdenes[[#This Row],[id_operacion]],tblEjecucion[id_operacion],tblEjecucion[precio],0))</f>
        <v/>
      </c>
      <c r="AH311" s="10">
        <f>IF(tblOrdenes[[#This Row],[orden]]="","",MAX(0,_xlfn.XLOOKUP(tblOrdenes[[#This Row],[id_operacion]],tblEjecucion[id_operacion],tblEjecucion[costo_plan_total],0)-tblOrdenes[[#This Row],[costo_servicio]]))</f>
        <v/>
      </c>
      <c r="AI311" s="10">
        <f>IF(tblOrdenes[[#This Row],[orden]]="","",tblOrdenes[[#This Row],[costo_servicio]]+tblOrdenes[[#This Row],[costo_materiales]])</f>
        <v/>
      </c>
      <c r="AJ311" s="6" t="n"/>
      <c r="AK311" s="6" t="n"/>
      <c r="AL311" s="6" t="n"/>
      <c r="AM311" s="3">
        <f>IF(tblOrdenes[[#This Row],[link_checklist]]="","",HYPERLINK(p_ruta_base_checklists&amp;tblOrdenes[[#This Row],[link_checklist]],"abrir"))</f>
        <v/>
      </c>
      <c r="AN311" s="6" t="n"/>
      <c r="AO311" s="3">
        <f>IF(tblOrdenes[[#This Row],[orden]]="","",tblOrdenes[[#This Row],[orden]]&amp;IF(tblOrdenes[[#This Row],[operacion]]="","0010",tblOrdenes[[#This Row],[operacion]]))</f>
        <v/>
      </c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11" t="n"/>
      <c r="K312" s="3" t="n"/>
      <c r="L312" s="10" t="n"/>
      <c r="M312" s="6" t="n"/>
      <c r="N3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12" s="3">
        <f>IF(tblOrdenes[[#This Row],[fecha_inicio]]="","",YEAR(tblOrdenes[[#This Row],[fecha_inicio]]))</f>
        <v/>
      </c>
      <c r="R312" s="3">
        <f>IF(tblOrdenes[[#This Row],[fecha_inicio]]="","",MONTH(tblOrdenes[[#This Row],[fecha_inicio]]))</f>
        <v/>
      </c>
      <c r="S312" s="3">
        <f>IF(tblOrdenes[[#This Row],[fecha_inicio]]="","",INDEX(lista_dias,WEEKDAY(tblOrdenes[[#This Row],[fecha_inicio]],2)))</f>
        <v/>
      </c>
      <c r="T312" s="3">
        <f>IF(tblOrdenes[[#This Row],[tipo_ot]]="","",_xlfn.XLOOKUP(tblOrdenes[[#This Row],[tipo_ot]],tblTiposOT[codigo],tblTiposOT[clasificacion],"sin_clasificar"))</f>
        <v/>
      </c>
      <c r="U312" s="3">
        <f>IF(tblOrdenes[[#This Row],[centro_costo]]="","",_xlfn.XLOOKUP(tblOrdenes[[#This Row],[centro_costo]],tblCECO[codigo],tblCECO[linea],"(sin catálogo)"))</f>
        <v/>
      </c>
      <c r="V312" s="3">
        <f>IF(tblOrdenes[[#This Row],[centro_costo]]="","",_xlfn.XLOOKUP(tblOrdenes[[#This Row],[centro_costo]],tblCECO[codigo],tblCECO[area],"(sin catálogo)"))</f>
        <v/>
      </c>
      <c r="W312" s="3">
        <f>IF(tblOrdenes[[#This Row],[centro_costo]]="","",_xlfn.XLOOKUP(tblOrdenes[[#This Row],[centro_costo]],tblCECO[codigo],tblCECO[coordinador],"(sin catálogo)"))</f>
        <v/>
      </c>
      <c r="X312" s="3">
        <f>IF(tblOrdenes[[#This Row],[puesto_trabajo]]="","",_xlfn.XLOOKUP(tblOrdenes[[#This Row],[puesto_trabajo]],tblPuestos[codigo],tblPuestos[especialidad],"(sin catálogo)"))</f>
        <v/>
      </c>
      <c r="Y312" s="3">
        <f>IF(tblOrdenes[[#This Row],[cod_actividad]]="","",_xlfn.XLOOKUP(tblOrdenes[[#This Row],[cod_actividad]],tblActividades[codigo],tblActividades[descripcion],"(sin catálogo)"))</f>
        <v/>
      </c>
      <c r="Z312" s="12">
        <f>IF(tblOrdenes[[#This Row],[fecha_inicio]]="","",TODAY()-tblOrdenes[[#This Row],[fecha_inicio]])</f>
        <v/>
      </c>
      <c r="AA312" s="3">
        <f>IF(tblOrdenes[[#This Row],[backlog_dias]]="","",IF(tblOrdenes[[#This Row],[backlog_dias]]&lt;0,"FUTURO",IF(tblOrdenes[[#This Row],[backlog_dias]]&gt;p_dias_backlog_max,"BACKLOG","MES CORRIENTE")))</f>
        <v/>
      </c>
      <c r="AB312" s="3">
        <f>IF(tblOrdenes[[#This Row],[backlog_dias]]="",FALSE,AND(tblOrdenes[[#This Row],[backlog_dias]]&gt;p_dias_backlog_min,tblOrdenes[[#This Row],[backlog_dias]]&lt;=p_dias_backlog_max))</f>
        <v/>
      </c>
      <c r="AC312" s="6" t="n"/>
      <c r="AD3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12" s="10">
        <f>IF(tblOrdenes[[#This Row],[orden]]="","",_xlfn.XLOOKUP(tblOrdenes[[#This Row],[id_operacion]],tblEjecucion[id_operacion],tblEjecucion[precio],0))</f>
        <v/>
      </c>
      <c r="AH312" s="10">
        <f>IF(tblOrdenes[[#This Row],[orden]]="","",MAX(0,_xlfn.XLOOKUP(tblOrdenes[[#This Row],[id_operacion]],tblEjecucion[id_operacion],tblEjecucion[costo_plan_total],0)-tblOrdenes[[#This Row],[costo_servicio]]))</f>
        <v/>
      </c>
      <c r="AI312" s="10">
        <f>IF(tblOrdenes[[#This Row],[orden]]="","",tblOrdenes[[#This Row],[costo_servicio]]+tblOrdenes[[#This Row],[costo_materiales]])</f>
        <v/>
      </c>
      <c r="AJ312" s="6" t="n"/>
      <c r="AK312" s="6" t="n"/>
      <c r="AL312" s="6" t="n"/>
      <c r="AM312" s="3">
        <f>IF(tblOrdenes[[#This Row],[link_checklist]]="","",HYPERLINK(p_ruta_base_checklists&amp;tblOrdenes[[#This Row],[link_checklist]],"abrir"))</f>
        <v/>
      </c>
      <c r="AN312" s="6" t="n"/>
      <c r="AO312" s="3">
        <f>IF(tblOrdenes[[#This Row],[orden]]="","",tblOrdenes[[#This Row],[orden]]&amp;IF(tblOrdenes[[#This Row],[operacion]]="","0010",tblOrdenes[[#This Row],[operacion]]))</f>
        <v/>
      </c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11" t="n"/>
      <c r="K313" s="3" t="n"/>
      <c r="L313" s="10" t="n"/>
      <c r="M313" s="6" t="n"/>
      <c r="N3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13" s="3">
        <f>IF(tblOrdenes[[#This Row],[fecha_inicio]]="","",YEAR(tblOrdenes[[#This Row],[fecha_inicio]]))</f>
        <v/>
      </c>
      <c r="R313" s="3">
        <f>IF(tblOrdenes[[#This Row],[fecha_inicio]]="","",MONTH(tblOrdenes[[#This Row],[fecha_inicio]]))</f>
        <v/>
      </c>
      <c r="S313" s="3">
        <f>IF(tblOrdenes[[#This Row],[fecha_inicio]]="","",INDEX(lista_dias,WEEKDAY(tblOrdenes[[#This Row],[fecha_inicio]],2)))</f>
        <v/>
      </c>
      <c r="T313" s="3">
        <f>IF(tblOrdenes[[#This Row],[tipo_ot]]="","",_xlfn.XLOOKUP(tblOrdenes[[#This Row],[tipo_ot]],tblTiposOT[codigo],tblTiposOT[clasificacion],"sin_clasificar"))</f>
        <v/>
      </c>
      <c r="U313" s="3">
        <f>IF(tblOrdenes[[#This Row],[centro_costo]]="","",_xlfn.XLOOKUP(tblOrdenes[[#This Row],[centro_costo]],tblCECO[codigo],tblCECO[linea],"(sin catálogo)"))</f>
        <v/>
      </c>
      <c r="V313" s="3">
        <f>IF(tblOrdenes[[#This Row],[centro_costo]]="","",_xlfn.XLOOKUP(tblOrdenes[[#This Row],[centro_costo]],tblCECO[codigo],tblCECO[area],"(sin catálogo)"))</f>
        <v/>
      </c>
      <c r="W313" s="3">
        <f>IF(tblOrdenes[[#This Row],[centro_costo]]="","",_xlfn.XLOOKUP(tblOrdenes[[#This Row],[centro_costo]],tblCECO[codigo],tblCECO[coordinador],"(sin catálogo)"))</f>
        <v/>
      </c>
      <c r="X313" s="3">
        <f>IF(tblOrdenes[[#This Row],[puesto_trabajo]]="","",_xlfn.XLOOKUP(tblOrdenes[[#This Row],[puesto_trabajo]],tblPuestos[codigo],tblPuestos[especialidad],"(sin catálogo)"))</f>
        <v/>
      </c>
      <c r="Y313" s="3">
        <f>IF(tblOrdenes[[#This Row],[cod_actividad]]="","",_xlfn.XLOOKUP(tblOrdenes[[#This Row],[cod_actividad]],tblActividades[codigo],tblActividades[descripcion],"(sin catálogo)"))</f>
        <v/>
      </c>
      <c r="Z313" s="12">
        <f>IF(tblOrdenes[[#This Row],[fecha_inicio]]="","",TODAY()-tblOrdenes[[#This Row],[fecha_inicio]])</f>
        <v/>
      </c>
      <c r="AA313" s="3">
        <f>IF(tblOrdenes[[#This Row],[backlog_dias]]="","",IF(tblOrdenes[[#This Row],[backlog_dias]]&lt;0,"FUTURO",IF(tblOrdenes[[#This Row],[backlog_dias]]&gt;p_dias_backlog_max,"BACKLOG","MES CORRIENTE")))</f>
        <v/>
      </c>
      <c r="AB313" s="3">
        <f>IF(tblOrdenes[[#This Row],[backlog_dias]]="",FALSE,AND(tblOrdenes[[#This Row],[backlog_dias]]&gt;p_dias_backlog_min,tblOrdenes[[#This Row],[backlog_dias]]&lt;=p_dias_backlog_max))</f>
        <v/>
      </c>
      <c r="AC313" s="6" t="n"/>
      <c r="AD3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13" s="10">
        <f>IF(tblOrdenes[[#This Row],[orden]]="","",_xlfn.XLOOKUP(tblOrdenes[[#This Row],[id_operacion]],tblEjecucion[id_operacion],tblEjecucion[precio],0))</f>
        <v/>
      </c>
      <c r="AH313" s="10">
        <f>IF(tblOrdenes[[#This Row],[orden]]="","",MAX(0,_xlfn.XLOOKUP(tblOrdenes[[#This Row],[id_operacion]],tblEjecucion[id_operacion],tblEjecucion[costo_plan_total],0)-tblOrdenes[[#This Row],[costo_servicio]]))</f>
        <v/>
      </c>
      <c r="AI313" s="10">
        <f>IF(tblOrdenes[[#This Row],[orden]]="","",tblOrdenes[[#This Row],[costo_servicio]]+tblOrdenes[[#This Row],[costo_materiales]])</f>
        <v/>
      </c>
      <c r="AJ313" s="6" t="n"/>
      <c r="AK313" s="6" t="n"/>
      <c r="AL313" s="6" t="n"/>
      <c r="AM313" s="3">
        <f>IF(tblOrdenes[[#This Row],[link_checklist]]="","",HYPERLINK(p_ruta_base_checklists&amp;tblOrdenes[[#This Row],[link_checklist]],"abrir"))</f>
        <v/>
      </c>
      <c r="AN313" s="6" t="n"/>
      <c r="AO313" s="3">
        <f>IF(tblOrdenes[[#This Row],[orden]]="","",tblOrdenes[[#This Row],[orden]]&amp;IF(tblOrdenes[[#This Row],[operacion]]="","0010",tblOrdenes[[#This Row],[operacion]]))</f>
        <v/>
      </c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11" t="n"/>
      <c r="K314" s="3" t="n"/>
      <c r="L314" s="10" t="n"/>
      <c r="M314" s="6" t="n"/>
      <c r="N3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14" s="3">
        <f>IF(tblOrdenes[[#This Row],[fecha_inicio]]="","",YEAR(tblOrdenes[[#This Row],[fecha_inicio]]))</f>
        <v/>
      </c>
      <c r="R314" s="3">
        <f>IF(tblOrdenes[[#This Row],[fecha_inicio]]="","",MONTH(tblOrdenes[[#This Row],[fecha_inicio]]))</f>
        <v/>
      </c>
      <c r="S314" s="3">
        <f>IF(tblOrdenes[[#This Row],[fecha_inicio]]="","",INDEX(lista_dias,WEEKDAY(tblOrdenes[[#This Row],[fecha_inicio]],2)))</f>
        <v/>
      </c>
      <c r="T314" s="3">
        <f>IF(tblOrdenes[[#This Row],[tipo_ot]]="","",_xlfn.XLOOKUP(tblOrdenes[[#This Row],[tipo_ot]],tblTiposOT[codigo],tblTiposOT[clasificacion],"sin_clasificar"))</f>
        <v/>
      </c>
      <c r="U314" s="3">
        <f>IF(tblOrdenes[[#This Row],[centro_costo]]="","",_xlfn.XLOOKUP(tblOrdenes[[#This Row],[centro_costo]],tblCECO[codigo],tblCECO[linea],"(sin catálogo)"))</f>
        <v/>
      </c>
      <c r="V314" s="3">
        <f>IF(tblOrdenes[[#This Row],[centro_costo]]="","",_xlfn.XLOOKUP(tblOrdenes[[#This Row],[centro_costo]],tblCECO[codigo],tblCECO[area],"(sin catálogo)"))</f>
        <v/>
      </c>
      <c r="W314" s="3">
        <f>IF(tblOrdenes[[#This Row],[centro_costo]]="","",_xlfn.XLOOKUP(tblOrdenes[[#This Row],[centro_costo]],tblCECO[codigo],tblCECO[coordinador],"(sin catálogo)"))</f>
        <v/>
      </c>
      <c r="X314" s="3">
        <f>IF(tblOrdenes[[#This Row],[puesto_trabajo]]="","",_xlfn.XLOOKUP(tblOrdenes[[#This Row],[puesto_trabajo]],tblPuestos[codigo],tblPuestos[especialidad],"(sin catálogo)"))</f>
        <v/>
      </c>
      <c r="Y314" s="3">
        <f>IF(tblOrdenes[[#This Row],[cod_actividad]]="","",_xlfn.XLOOKUP(tblOrdenes[[#This Row],[cod_actividad]],tblActividades[codigo],tblActividades[descripcion],"(sin catálogo)"))</f>
        <v/>
      </c>
      <c r="Z314" s="12">
        <f>IF(tblOrdenes[[#This Row],[fecha_inicio]]="","",TODAY()-tblOrdenes[[#This Row],[fecha_inicio]])</f>
        <v/>
      </c>
      <c r="AA314" s="3">
        <f>IF(tblOrdenes[[#This Row],[backlog_dias]]="","",IF(tblOrdenes[[#This Row],[backlog_dias]]&lt;0,"FUTURO",IF(tblOrdenes[[#This Row],[backlog_dias]]&gt;p_dias_backlog_max,"BACKLOG","MES CORRIENTE")))</f>
        <v/>
      </c>
      <c r="AB314" s="3">
        <f>IF(tblOrdenes[[#This Row],[backlog_dias]]="",FALSE,AND(tblOrdenes[[#This Row],[backlog_dias]]&gt;p_dias_backlog_min,tblOrdenes[[#This Row],[backlog_dias]]&lt;=p_dias_backlog_max))</f>
        <v/>
      </c>
      <c r="AC314" s="6" t="n"/>
      <c r="AD3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14" s="10">
        <f>IF(tblOrdenes[[#This Row],[orden]]="","",_xlfn.XLOOKUP(tblOrdenes[[#This Row],[id_operacion]],tblEjecucion[id_operacion],tblEjecucion[precio],0))</f>
        <v/>
      </c>
      <c r="AH314" s="10">
        <f>IF(tblOrdenes[[#This Row],[orden]]="","",MAX(0,_xlfn.XLOOKUP(tblOrdenes[[#This Row],[id_operacion]],tblEjecucion[id_operacion],tblEjecucion[costo_plan_total],0)-tblOrdenes[[#This Row],[costo_servicio]]))</f>
        <v/>
      </c>
      <c r="AI314" s="10">
        <f>IF(tblOrdenes[[#This Row],[orden]]="","",tblOrdenes[[#This Row],[costo_servicio]]+tblOrdenes[[#This Row],[costo_materiales]])</f>
        <v/>
      </c>
      <c r="AJ314" s="6" t="n"/>
      <c r="AK314" s="6" t="n"/>
      <c r="AL314" s="6" t="n"/>
      <c r="AM314" s="3">
        <f>IF(tblOrdenes[[#This Row],[link_checklist]]="","",HYPERLINK(p_ruta_base_checklists&amp;tblOrdenes[[#This Row],[link_checklist]],"abrir"))</f>
        <v/>
      </c>
      <c r="AN314" s="6" t="n"/>
      <c r="AO314" s="3">
        <f>IF(tblOrdenes[[#This Row],[orden]]="","",tblOrdenes[[#This Row],[orden]]&amp;IF(tblOrdenes[[#This Row],[operacion]]="","0010",tblOrdenes[[#This Row],[operacion]]))</f>
        <v/>
      </c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11" t="n"/>
      <c r="K315" s="3" t="n"/>
      <c r="L315" s="10" t="n"/>
      <c r="M315" s="6" t="n"/>
      <c r="N3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15" s="3">
        <f>IF(tblOrdenes[[#This Row],[fecha_inicio]]="","",YEAR(tblOrdenes[[#This Row],[fecha_inicio]]))</f>
        <v/>
      </c>
      <c r="R315" s="3">
        <f>IF(tblOrdenes[[#This Row],[fecha_inicio]]="","",MONTH(tblOrdenes[[#This Row],[fecha_inicio]]))</f>
        <v/>
      </c>
      <c r="S315" s="3">
        <f>IF(tblOrdenes[[#This Row],[fecha_inicio]]="","",INDEX(lista_dias,WEEKDAY(tblOrdenes[[#This Row],[fecha_inicio]],2)))</f>
        <v/>
      </c>
      <c r="T315" s="3">
        <f>IF(tblOrdenes[[#This Row],[tipo_ot]]="","",_xlfn.XLOOKUP(tblOrdenes[[#This Row],[tipo_ot]],tblTiposOT[codigo],tblTiposOT[clasificacion],"sin_clasificar"))</f>
        <v/>
      </c>
      <c r="U315" s="3">
        <f>IF(tblOrdenes[[#This Row],[centro_costo]]="","",_xlfn.XLOOKUP(tblOrdenes[[#This Row],[centro_costo]],tblCECO[codigo],tblCECO[linea],"(sin catálogo)"))</f>
        <v/>
      </c>
      <c r="V315" s="3">
        <f>IF(tblOrdenes[[#This Row],[centro_costo]]="","",_xlfn.XLOOKUP(tblOrdenes[[#This Row],[centro_costo]],tblCECO[codigo],tblCECO[area],"(sin catálogo)"))</f>
        <v/>
      </c>
      <c r="W315" s="3">
        <f>IF(tblOrdenes[[#This Row],[centro_costo]]="","",_xlfn.XLOOKUP(tblOrdenes[[#This Row],[centro_costo]],tblCECO[codigo],tblCECO[coordinador],"(sin catálogo)"))</f>
        <v/>
      </c>
      <c r="X315" s="3">
        <f>IF(tblOrdenes[[#This Row],[puesto_trabajo]]="","",_xlfn.XLOOKUP(tblOrdenes[[#This Row],[puesto_trabajo]],tblPuestos[codigo],tblPuestos[especialidad],"(sin catálogo)"))</f>
        <v/>
      </c>
      <c r="Y315" s="3">
        <f>IF(tblOrdenes[[#This Row],[cod_actividad]]="","",_xlfn.XLOOKUP(tblOrdenes[[#This Row],[cod_actividad]],tblActividades[codigo],tblActividades[descripcion],"(sin catálogo)"))</f>
        <v/>
      </c>
      <c r="Z315" s="12">
        <f>IF(tblOrdenes[[#This Row],[fecha_inicio]]="","",TODAY()-tblOrdenes[[#This Row],[fecha_inicio]])</f>
        <v/>
      </c>
      <c r="AA315" s="3">
        <f>IF(tblOrdenes[[#This Row],[backlog_dias]]="","",IF(tblOrdenes[[#This Row],[backlog_dias]]&lt;0,"FUTURO",IF(tblOrdenes[[#This Row],[backlog_dias]]&gt;p_dias_backlog_max,"BACKLOG","MES CORRIENTE")))</f>
        <v/>
      </c>
      <c r="AB315" s="3">
        <f>IF(tblOrdenes[[#This Row],[backlog_dias]]="",FALSE,AND(tblOrdenes[[#This Row],[backlog_dias]]&gt;p_dias_backlog_min,tblOrdenes[[#This Row],[backlog_dias]]&lt;=p_dias_backlog_max))</f>
        <v/>
      </c>
      <c r="AC315" s="6" t="n"/>
      <c r="AD3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15" s="10">
        <f>IF(tblOrdenes[[#This Row],[orden]]="","",_xlfn.XLOOKUP(tblOrdenes[[#This Row],[id_operacion]],tblEjecucion[id_operacion],tblEjecucion[precio],0))</f>
        <v/>
      </c>
      <c r="AH315" s="10">
        <f>IF(tblOrdenes[[#This Row],[orden]]="","",MAX(0,_xlfn.XLOOKUP(tblOrdenes[[#This Row],[id_operacion]],tblEjecucion[id_operacion],tblEjecucion[costo_plan_total],0)-tblOrdenes[[#This Row],[costo_servicio]]))</f>
        <v/>
      </c>
      <c r="AI315" s="10">
        <f>IF(tblOrdenes[[#This Row],[orden]]="","",tblOrdenes[[#This Row],[costo_servicio]]+tblOrdenes[[#This Row],[costo_materiales]])</f>
        <v/>
      </c>
      <c r="AJ315" s="6" t="n"/>
      <c r="AK315" s="6" t="n"/>
      <c r="AL315" s="6" t="n"/>
      <c r="AM315" s="3">
        <f>IF(tblOrdenes[[#This Row],[link_checklist]]="","",HYPERLINK(p_ruta_base_checklists&amp;tblOrdenes[[#This Row],[link_checklist]],"abrir"))</f>
        <v/>
      </c>
      <c r="AN315" s="6" t="n"/>
      <c r="AO315" s="3">
        <f>IF(tblOrdenes[[#This Row],[orden]]="","",tblOrdenes[[#This Row],[orden]]&amp;IF(tblOrdenes[[#This Row],[operacion]]="","0010",tblOrdenes[[#This Row],[operacion]]))</f>
        <v/>
      </c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11" t="n"/>
      <c r="K316" s="3" t="n"/>
      <c r="L316" s="10" t="n"/>
      <c r="M316" s="6" t="n"/>
      <c r="N3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16" s="3">
        <f>IF(tblOrdenes[[#This Row],[fecha_inicio]]="","",YEAR(tblOrdenes[[#This Row],[fecha_inicio]]))</f>
        <v/>
      </c>
      <c r="R316" s="3">
        <f>IF(tblOrdenes[[#This Row],[fecha_inicio]]="","",MONTH(tblOrdenes[[#This Row],[fecha_inicio]]))</f>
        <v/>
      </c>
      <c r="S316" s="3">
        <f>IF(tblOrdenes[[#This Row],[fecha_inicio]]="","",INDEX(lista_dias,WEEKDAY(tblOrdenes[[#This Row],[fecha_inicio]],2)))</f>
        <v/>
      </c>
      <c r="T316" s="3">
        <f>IF(tblOrdenes[[#This Row],[tipo_ot]]="","",_xlfn.XLOOKUP(tblOrdenes[[#This Row],[tipo_ot]],tblTiposOT[codigo],tblTiposOT[clasificacion],"sin_clasificar"))</f>
        <v/>
      </c>
      <c r="U316" s="3">
        <f>IF(tblOrdenes[[#This Row],[centro_costo]]="","",_xlfn.XLOOKUP(tblOrdenes[[#This Row],[centro_costo]],tblCECO[codigo],tblCECO[linea],"(sin catálogo)"))</f>
        <v/>
      </c>
      <c r="V316" s="3">
        <f>IF(tblOrdenes[[#This Row],[centro_costo]]="","",_xlfn.XLOOKUP(tblOrdenes[[#This Row],[centro_costo]],tblCECO[codigo],tblCECO[area],"(sin catálogo)"))</f>
        <v/>
      </c>
      <c r="W316" s="3">
        <f>IF(tblOrdenes[[#This Row],[centro_costo]]="","",_xlfn.XLOOKUP(tblOrdenes[[#This Row],[centro_costo]],tblCECO[codigo],tblCECO[coordinador],"(sin catálogo)"))</f>
        <v/>
      </c>
      <c r="X316" s="3">
        <f>IF(tblOrdenes[[#This Row],[puesto_trabajo]]="","",_xlfn.XLOOKUP(tblOrdenes[[#This Row],[puesto_trabajo]],tblPuestos[codigo],tblPuestos[especialidad],"(sin catálogo)"))</f>
        <v/>
      </c>
      <c r="Y316" s="3">
        <f>IF(tblOrdenes[[#This Row],[cod_actividad]]="","",_xlfn.XLOOKUP(tblOrdenes[[#This Row],[cod_actividad]],tblActividades[codigo],tblActividades[descripcion],"(sin catálogo)"))</f>
        <v/>
      </c>
      <c r="Z316" s="12">
        <f>IF(tblOrdenes[[#This Row],[fecha_inicio]]="","",TODAY()-tblOrdenes[[#This Row],[fecha_inicio]])</f>
        <v/>
      </c>
      <c r="AA316" s="3">
        <f>IF(tblOrdenes[[#This Row],[backlog_dias]]="","",IF(tblOrdenes[[#This Row],[backlog_dias]]&lt;0,"FUTURO",IF(tblOrdenes[[#This Row],[backlog_dias]]&gt;p_dias_backlog_max,"BACKLOG","MES CORRIENTE")))</f>
        <v/>
      </c>
      <c r="AB316" s="3">
        <f>IF(tblOrdenes[[#This Row],[backlog_dias]]="",FALSE,AND(tblOrdenes[[#This Row],[backlog_dias]]&gt;p_dias_backlog_min,tblOrdenes[[#This Row],[backlog_dias]]&lt;=p_dias_backlog_max))</f>
        <v/>
      </c>
      <c r="AC316" s="6" t="n"/>
      <c r="AD3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16" s="10">
        <f>IF(tblOrdenes[[#This Row],[orden]]="","",_xlfn.XLOOKUP(tblOrdenes[[#This Row],[id_operacion]],tblEjecucion[id_operacion],tblEjecucion[precio],0))</f>
        <v/>
      </c>
      <c r="AH316" s="10">
        <f>IF(tblOrdenes[[#This Row],[orden]]="","",MAX(0,_xlfn.XLOOKUP(tblOrdenes[[#This Row],[id_operacion]],tblEjecucion[id_operacion],tblEjecucion[costo_plan_total],0)-tblOrdenes[[#This Row],[costo_servicio]]))</f>
        <v/>
      </c>
      <c r="AI316" s="10">
        <f>IF(tblOrdenes[[#This Row],[orden]]="","",tblOrdenes[[#This Row],[costo_servicio]]+tblOrdenes[[#This Row],[costo_materiales]])</f>
        <v/>
      </c>
      <c r="AJ316" s="6" t="n"/>
      <c r="AK316" s="6" t="n"/>
      <c r="AL316" s="6" t="n"/>
      <c r="AM316" s="3">
        <f>IF(tblOrdenes[[#This Row],[link_checklist]]="","",HYPERLINK(p_ruta_base_checklists&amp;tblOrdenes[[#This Row],[link_checklist]],"abrir"))</f>
        <v/>
      </c>
      <c r="AN316" s="6" t="n"/>
      <c r="AO316" s="3">
        <f>IF(tblOrdenes[[#This Row],[orden]]="","",tblOrdenes[[#This Row],[orden]]&amp;IF(tblOrdenes[[#This Row],[operacion]]="","0010",tblOrdenes[[#This Row],[operacion]]))</f>
        <v/>
      </c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11" t="n"/>
      <c r="K317" s="3" t="n"/>
      <c r="L317" s="10" t="n"/>
      <c r="M317" s="6" t="n"/>
      <c r="N3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17" s="3">
        <f>IF(tblOrdenes[[#This Row],[fecha_inicio]]="","",YEAR(tblOrdenes[[#This Row],[fecha_inicio]]))</f>
        <v/>
      </c>
      <c r="R317" s="3">
        <f>IF(tblOrdenes[[#This Row],[fecha_inicio]]="","",MONTH(tblOrdenes[[#This Row],[fecha_inicio]]))</f>
        <v/>
      </c>
      <c r="S317" s="3">
        <f>IF(tblOrdenes[[#This Row],[fecha_inicio]]="","",INDEX(lista_dias,WEEKDAY(tblOrdenes[[#This Row],[fecha_inicio]],2)))</f>
        <v/>
      </c>
      <c r="T317" s="3">
        <f>IF(tblOrdenes[[#This Row],[tipo_ot]]="","",_xlfn.XLOOKUP(tblOrdenes[[#This Row],[tipo_ot]],tblTiposOT[codigo],tblTiposOT[clasificacion],"sin_clasificar"))</f>
        <v/>
      </c>
      <c r="U317" s="3">
        <f>IF(tblOrdenes[[#This Row],[centro_costo]]="","",_xlfn.XLOOKUP(tblOrdenes[[#This Row],[centro_costo]],tblCECO[codigo],tblCECO[linea],"(sin catálogo)"))</f>
        <v/>
      </c>
      <c r="V317" s="3">
        <f>IF(tblOrdenes[[#This Row],[centro_costo]]="","",_xlfn.XLOOKUP(tblOrdenes[[#This Row],[centro_costo]],tblCECO[codigo],tblCECO[area],"(sin catálogo)"))</f>
        <v/>
      </c>
      <c r="W317" s="3">
        <f>IF(tblOrdenes[[#This Row],[centro_costo]]="","",_xlfn.XLOOKUP(tblOrdenes[[#This Row],[centro_costo]],tblCECO[codigo],tblCECO[coordinador],"(sin catálogo)"))</f>
        <v/>
      </c>
      <c r="X317" s="3">
        <f>IF(tblOrdenes[[#This Row],[puesto_trabajo]]="","",_xlfn.XLOOKUP(tblOrdenes[[#This Row],[puesto_trabajo]],tblPuestos[codigo],tblPuestos[especialidad],"(sin catálogo)"))</f>
        <v/>
      </c>
      <c r="Y317" s="3">
        <f>IF(tblOrdenes[[#This Row],[cod_actividad]]="","",_xlfn.XLOOKUP(tblOrdenes[[#This Row],[cod_actividad]],tblActividades[codigo],tblActividades[descripcion],"(sin catálogo)"))</f>
        <v/>
      </c>
      <c r="Z317" s="12">
        <f>IF(tblOrdenes[[#This Row],[fecha_inicio]]="","",TODAY()-tblOrdenes[[#This Row],[fecha_inicio]])</f>
        <v/>
      </c>
      <c r="AA317" s="3">
        <f>IF(tblOrdenes[[#This Row],[backlog_dias]]="","",IF(tblOrdenes[[#This Row],[backlog_dias]]&lt;0,"FUTURO",IF(tblOrdenes[[#This Row],[backlog_dias]]&gt;p_dias_backlog_max,"BACKLOG","MES CORRIENTE")))</f>
        <v/>
      </c>
      <c r="AB317" s="3">
        <f>IF(tblOrdenes[[#This Row],[backlog_dias]]="",FALSE,AND(tblOrdenes[[#This Row],[backlog_dias]]&gt;p_dias_backlog_min,tblOrdenes[[#This Row],[backlog_dias]]&lt;=p_dias_backlog_max))</f>
        <v/>
      </c>
      <c r="AC317" s="6" t="n"/>
      <c r="AD3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17" s="10">
        <f>IF(tblOrdenes[[#This Row],[orden]]="","",_xlfn.XLOOKUP(tblOrdenes[[#This Row],[id_operacion]],tblEjecucion[id_operacion],tblEjecucion[precio],0))</f>
        <v/>
      </c>
      <c r="AH317" s="10">
        <f>IF(tblOrdenes[[#This Row],[orden]]="","",MAX(0,_xlfn.XLOOKUP(tblOrdenes[[#This Row],[id_operacion]],tblEjecucion[id_operacion],tblEjecucion[costo_plan_total],0)-tblOrdenes[[#This Row],[costo_servicio]]))</f>
        <v/>
      </c>
      <c r="AI317" s="10">
        <f>IF(tblOrdenes[[#This Row],[orden]]="","",tblOrdenes[[#This Row],[costo_servicio]]+tblOrdenes[[#This Row],[costo_materiales]])</f>
        <v/>
      </c>
      <c r="AJ317" s="6" t="n"/>
      <c r="AK317" s="6" t="n"/>
      <c r="AL317" s="6" t="n"/>
      <c r="AM317" s="3">
        <f>IF(tblOrdenes[[#This Row],[link_checklist]]="","",HYPERLINK(p_ruta_base_checklists&amp;tblOrdenes[[#This Row],[link_checklist]],"abrir"))</f>
        <v/>
      </c>
      <c r="AN317" s="6" t="n"/>
      <c r="AO317" s="3">
        <f>IF(tblOrdenes[[#This Row],[orden]]="","",tblOrdenes[[#This Row],[orden]]&amp;IF(tblOrdenes[[#This Row],[operacion]]="","0010",tblOrdenes[[#This Row],[operacion]]))</f>
        <v/>
      </c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11" t="n"/>
      <c r="K318" s="3" t="n"/>
      <c r="L318" s="10" t="n"/>
      <c r="M318" s="6" t="n"/>
      <c r="N3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18" s="3">
        <f>IF(tblOrdenes[[#This Row],[fecha_inicio]]="","",YEAR(tblOrdenes[[#This Row],[fecha_inicio]]))</f>
        <v/>
      </c>
      <c r="R318" s="3">
        <f>IF(tblOrdenes[[#This Row],[fecha_inicio]]="","",MONTH(tblOrdenes[[#This Row],[fecha_inicio]]))</f>
        <v/>
      </c>
      <c r="S318" s="3">
        <f>IF(tblOrdenes[[#This Row],[fecha_inicio]]="","",INDEX(lista_dias,WEEKDAY(tblOrdenes[[#This Row],[fecha_inicio]],2)))</f>
        <v/>
      </c>
      <c r="T318" s="3">
        <f>IF(tblOrdenes[[#This Row],[tipo_ot]]="","",_xlfn.XLOOKUP(tblOrdenes[[#This Row],[tipo_ot]],tblTiposOT[codigo],tblTiposOT[clasificacion],"sin_clasificar"))</f>
        <v/>
      </c>
      <c r="U318" s="3">
        <f>IF(tblOrdenes[[#This Row],[centro_costo]]="","",_xlfn.XLOOKUP(tblOrdenes[[#This Row],[centro_costo]],tblCECO[codigo],tblCECO[linea],"(sin catálogo)"))</f>
        <v/>
      </c>
      <c r="V318" s="3">
        <f>IF(tblOrdenes[[#This Row],[centro_costo]]="","",_xlfn.XLOOKUP(tblOrdenes[[#This Row],[centro_costo]],tblCECO[codigo],tblCECO[area],"(sin catálogo)"))</f>
        <v/>
      </c>
      <c r="W318" s="3">
        <f>IF(tblOrdenes[[#This Row],[centro_costo]]="","",_xlfn.XLOOKUP(tblOrdenes[[#This Row],[centro_costo]],tblCECO[codigo],tblCECO[coordinador],"(sin catálogo)"))</f>
        <v/>
      </c>
      <c r="X318" s="3">
        <f>IF(tblOrdenes[[#This Row],[puesto_trabajo]]="","",_xlfn.XLOOKUP(tblOrdenes[[#This Row],[puesto_trabajo]],tblPuestos[codigo],tblPuestos[especialidad],"(sin catálogo)"))</f>
        <v/>
      </c>
      <c r="Y318" s="3">
        <f>IF(tblOrdenes[[#This Row],[cod_actividad]]="","",_xlfn.XLOOKUP(tblOrdenes[[#This Row],[cod_actividad]],tblActividades[codigo],tblActividades[descripcion],"(sin catálogo)"))</f>
        <v/>
      </c>
      <c r="Z318" s="12">
        <f>IF(tblOrdenes[[#This Row],[fecha_inicio]]="","",TODAY()-tblOrdenes[[#This Row],[fecha_inicio]])</f>
        <v/>
      </c>
      <c r="AA318" s="3">
        <f>IF(tblOrdenes[[#This Row],[backlog_dias]]="","",IF(tblOrdenes[[#This Row],[backlog_dias]]&lt;0,"FUTURO",IF(tblOrdenes[[#This Row],[backlog_dias]]&gt;p_dias_backlog_max,"BACKLOG","MES CORRIENTE")))</f>
        <v/>
      </c>
      <c r="AB318" s="3">
        <f>IF(tblOrdenes[[#This Row],[backlog_dias]]="",FALSE,AND(tblOrdenes[[#This Row],[backlog_dias]]&gt;p_dias_backlog_min,tblOrdenes[[#This Row],[backlog_dias]]&lt;=p_dias_backlog_max))</f>
        <v/>
      </c>
      <c r="AC318" s="6" t="n"/>
      <c r="AD3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18" s="10">
        <f>IF(tblOrdenes[[#This Row],[orden]]="","",_xlfn.XLOOKUP(tblOrdenes[[#This Row],[id_operacion]],tblEjecucion[id_operacion],tblEjecucion[precio],0))</f>
        <v/>
      </c>
      <c r="AH318" s="10">
        <f>IF(tblOrdenes[[#This Row],[orden]]="","",MAX(0,_xlfn.XLOOKUP(tblOrdenes[[#This Row],[id_operacion]],tblEjecucion[id_operacion],tblEjecucion[costo_plan_total],0)-tblOrdenes[[#This Row],[costo_servicio]]))</f>
        <v/>
      </c>
      <c r="AI318" s="10">
        <f>IF(tblOrdenes[[#This Row],[orden]]="","",tblOrdenes[[#This Row],[costo_servicio]]+tblOrdenes[[#This Row],[costo_materiales]])</f>
        <v/>
      </c>
      <c r="AJ318" s="6" t="n"/>
      <c r="AK318" s="6" t="n"/>
      <c r="AL318" s="6" t="n"/>
      <c r="AM318" s="3">
        <f>IF(tblOrdenes[[#This Row],[link_checklist]]="","",HYPERLINK(p_ruta_base_checklists&amp;tblOrdenes[[#This Row],[link_checklist]],"abrir"))</f>
        <v/>
      </c>
      <c r="AN318" s="6" t="n"/>
      <c r="AO318" s="3">
        <f>IF(tblOrdenes[[#This Row],[orden]]="","",tblOrdenes[[#This Row],[orden]]&amp;IF(tblOrdenes[[#This Row],[operacion]]="","0010",tblOrdenes[[#This Row],[operacion]]))</f>
        <v/>
      </c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11" t="n"/>
      <c r="K319" s="3" t="n"/>
      <c r="L319" s="10" t="n"/>
      <c r="M319" s="6" t="n"/>
      <c r="N3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19" s="3">
        <f>IF(tblOrdenes[[#This Row],[fecha_inicio]]="","",YEAR(tblOrdenes[[#This Row],[fecha_inicio]]))</f>
        <v/>
      </c>
      <c r="R319" s="3">
        <f>IF(tblOrdenes[[#This Row],[fecha_inicio]]="","",MONTH(tblOrdenes[[#This Row],[fecha_inicio]]))</f>
        <v/>
      </c>
      <c r="S319" s="3">
        <f>IF(tblOrdenes[[#This Row],[fecha_inicio]]="","",INDEX(lista_dias,WEEKDAY(tblOrdenes[[#This Row],[fecha_inicio]],2)))</f>
        <v/>
      </c>
      <c r="T319" s="3">
        <f>IF(tblOrdenes[[#This Row],[tipo_ot]]="","",_xlfn.XLOOKUP(tblOrdenes[[#This Row],[tipo_ot]],tblTiposOT[codigo],tblTiposOT[clasificacion],"sin_clasificar"))</f>
        <v/>
      </c>
      <c r="U319" s="3">
        <f>IF(tblOrdenes[[#This Row],[centro_costo]]="","",_xlfn.XLOOKUP(tblOrdenes[[#This Row],[centro_costo]],tblCECO[codigo],tblCECO[linea],"(sin catálogo)"))</f>
        <v/>
      </c>
      <c r="V319" s="3">
        <f>IF(tblOrdenes[[#This Row],[centro_costo]]="","",_xlfn.XLOOKUP(tblOrdenes[[#This Row],[centro_costo]],tblCECO[codigo],tblCECO[area],"(sin catálogo)"))</f>
        <v/>
      </c>
      <c r="W319" s="3">
        <f>IF(tblOrdenes[[#This Row],[centro_costo]]="","",_xlfn.XLOOKUP(tblOrdenes[[#This Row],[centro_costo]],tblCECO[codigo],tblCECO[coordinador],"(sin catálogo)"))</f>
        <v/>
      </c>
      <c r="X319" s="3">
        <f>IF(tblOrdenes[[#This Row],[puesto_trabajo]]="","",_xlfn.XLOOKUP(tblOrdenes[[#This Row],[puesto_trabajo]],tblPuestos[codigo],tblPuestos[especialidad],"(sin catálogo)"))</f>
        <v/>
      </c>
      <c r="Y319" s="3">
        <f>IF(tblOrdenes[[#This Row],[cod_actividad]]="","",_xlfn.XLOOKUP(tblOrdenes[[#This Row],[cod_actividad]],tblActividades[codigo],tblActividades[descripcion],"(sin catálogo)"))</f>
        <v/>
      </c>
      <c r="Z319" s="12">
        <f>IF(tblOrdenes[[#This Row],[fecha_inicio]]="","",TODAY()-tblOrdenes[[#This Row],[fecha_inicio]])</f>
        <v/>
      </c>
      <c r="AA319" s="3">
        <f>IF(tblOrdenes[[#This Row],[backlog_dias]]="","",IF(tblOrdenes[[#This Row],[backlog_dias]]&lt;0,"FUTURO",IF(tblOrdenes[[#This Row],[backlog_dias]]&gt;p_dias_backlog_max,"BACKLOG","MES CORRIENTE")))</f>
        <v/>
      </c>
      <c r="AB319" s="3">
        <f>IF(tblOrdenes[[#This Row],[backlog_dias]]="",FALSE,AND(tblOrdenes[[#This Row],[backlog_dias]]&gt;p_dias_backlog_min,tblOrdenes[[#This Row],[backlog_dias]]&lt;=p_dias_backlog_max))</f>
        <v/>
      </c>
      <c r="AC319" s="6" t="n"/>
      <c r="AD3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19" s="10">
        <f>IF(tblOrdenes[[#This Row],[orden]]="","",_xlfn.XLOOKUP(tblOrdenes[[#This Row],[id_operacion]],tblEjecucion[id_operacion],tblEjecucion[precio],0))</f>
        <v/>
      </c>
      <c r="AH319" s="10">
        <f>IF(tblOrdenes[[#This Row],[orden]]="","",MAX(0,_xlfn.XLOOKUP(tblOrdenes[[#This Row],[id_operacion]],tblEjecucion[id_operacion],tblEjecucion[costo_plan_total],0)-tblOrdenes[[#This Row],[costo_servicio]]))</f>
        <v/>
      </c>
      <c r="AI319" s="10">
        <f>IF(tblOrdenes[[#This Row],[orden]]="","",tblOrdenes[[#This Row],[costo_servicio]]+tblOrdenes[[#This Row],[costo_materiales]])</f>
        <v/>
      </c>
      <c r="AJ319" s="6" t="n"/>
      <c r="AK319" s="6" t="n"/>
      <c r="AL319" s="6" t="n"/>
      <c r="AM319" s="3">
        <f>IF(tblOrdenes[[#This Row],[link_checklist]]="","",HYPERLINK(p_ruta_base_checklists&amp;tblOrdenes[[#This Row],[link_checklist]],"abrir"))</f>
        <v/>
      </c>
      <c r="AN319" s="6" t="n"/>
      <c r="AO319" s="3">
        <f>IF(tblOrdenes[[#This Row],[orden]]="","",tblOrdenes[[#This Row],[orden]]&amp;IF(tblOrdenes[[#This Row],[operacion]]="","0010",tblOrdenes[[#This Row],[operacion]]))</f>
        <v/>
      </c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11" t="n"/>
      <c r="K320" s="3" t="n"/>
      <c r="L320" s="10" t="n"/>
      <c r="M320" s="6" t="n"/>
      <c r="N3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20" s="3">
        <f>IF(tblOrdenes[[#This Row],[fecha_inicio]]="","",YEAR(tblOrdenes[[#This Row],[fecha_inicio]]))</f>
        <v/>
      </c>
      <c r="R320" s="3">
        <f>IF(tblOrdenes[[#This Row],[fecha_inicio]]="","",MONTH(tblOrdenes[[#This Row],[fecha_inicio]]))</f>
        <v/>
      </c>
      <c r="S320" s="3">
        <f>IF(tblOrdenes[[#This Row],[fecha_inicio]]="","",INDEX(lista_dias,WEEKDAY(tblOrdenes[[#This Row],[fecha_inicio]],2)))</f>
        <v/>
      </c>
      <c r="T320" s="3">
        <f>IF(tblOrdenes[[#This Row],[tipo_ot]]="","",_xlfn.XLOOKUP(tblOrdenes[[#This Row],[tipo_ot]],tblTiposOT[codigo],tblTiposOT[clasificacion],"sin_clasificar"))</f>
        <v/>
      </c>
      <c r="U320" s="3">
        <f>IF(tblOrdenes[[#This Row],[centro_costo]]="","",_xlfn.XLOOKUP(tblOrdenes[[#This Row],[centro_costo]],tblCECO[codigo],tblCECO[linea],"(sin catálogo)"))</f>
        <v/>
      </c>
      <c r="V320" s="3">
        <f>IF(tblOrdenes[[#This Row],[centro_costo]]="","",_xlfn.XLOOKUP(tblOrdenes[[#This Row],[centro_costo]],tblCECO[codigo],tblCECO[area],"(sin catálogo)"))</f>
        <v/>
      </c>
      <c r="W320" s="3">
        <f>IF(tblOrdenes[[#This Row],[centro_costo]]="","",_xlfn.XLOOKUP(tblOrdenes[[#This Row],[centro_costo]],tblCECO[codigo],tblCECO[coordinador],"(sin catálogo)"))</f>
        <v/>
      </c>
      <c r="X320" s="3">
        <f>IF(tblOrdenes[[#This Row],[puesto_trabajo]]="","",_xlfn.XLOOKUP(tblOrdenes[[#This Row],[puesto_trabajo]],tblPuestos[codigo],tblPuestos[especialidad],"(sin catálogo)"))</f>
        <v/>
      </c>
      <c r="Y320" s="3">
        <f>IF(tblOrdenes[[#This Row],[cod_actividad]]="","",_xlfn.XLOOKUP(tblOrdenes[[#This Row],[cod_actividad]],tblActividades[codigo],tblActividades[descripcion],"(sin catálogo)"))</f>
        <v/>
      </c>
      <c r="Z320" s="12">
        <f>IF(tblOrdenes[[#This Row],[fecha_inicio]]="","",TODAY()-tblOrdenes[[#This Row],[fecha_inicio]])</f>
        <v/>
      </c>
      <c r="AA320" s="3">
        <f>IF(tblOrdenes[[#This Row],[backlog_dias]]="","",IF(tblOrdenes[[#This Row],[backlog_dias]]&lt;0,"FUTURO",IF(tblOrdenes[[#This Row],[backlog_dias]]&gt;p_dias_backlog_max,"BACKLOG","MES CORRIENTE")))</f>
        <v/>
      </c>
      <c r="AB320" s="3">
        <f>IF(tblOrdenes[[#This Row],[backlog_dias]]="",FALSE,AND(tblOrdenes[[#This Row],[backlog_dias]]&gt;p_dias_backlog_min,tblOrdenes[[#This Row],[backlog_dias]]&lt;=p_dias_backlog_max))</f>
        <v/>
      </c>
      <c r="AC320" s="6" t="n"/>
      <c r="AD3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20" s="10">
        <f>IF(tblOrdenes[[#This Row],[orden]]="","",_xlfn.XLOOKUP(tblOrdenes[[#This Row],[id_operacion]],tblEjecucion[id_operacion],tblEjecucion[precio],0))</f>
        <v/>
      </c>
      <c r="AH320" s="10">
        <f>IF(tblOrdenes[[#This Row],[orden]]="","",MAX(0,_xlfn.XLOOKUP(tblOrdenes[[#This Row],[id_operacion]],tblEjecucion[id_operacion],tblEjecucion[costo_plan_total],0)-tblOrdenes[[#This Row],[costo_servicio]]))</f>
        <v/>
      </c>
      <c r="AI320" s="10">
        <f>IF(tblOrdenes[[#This Row],[orden]]="","",tblOrdenes[[#This Row],[costo_servicio]]+tblOrdenes[[#This Row],[costo_materiales]])</f>
        <v/>
      </c>
      <c r="AJ320" s="6" t="n"/>
      <c r="AK320" s="6" t="n"/>
      <c r="AL320" s="6" t="n"/>
      <c r="AM320" s="3">
        <f>IF(tblOrdenes[[#This Row],[link_checklist]]="","",HYPERLINK(p_ruta_base_checklists&amp;tblOrdenes[[#This Row],[link_checklist]],"abrir"))</f>
        <v/>
      </c>
      <c r="AN320" s="6" t="n"/>
      <c r="AO320" s="3">
        <f>IF(tblOrdenes[[#This Row],[orden]]="","",tblOrdenes[[#This Row],[orden]]&amp;IF(tblOrdenes[[#This Row],[operacion]]="","0010",tblOrdenes[[#This Row],[operacion]]))</f>
        <v/>
      </c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11" t="n"/>
      <c r="K321" s="3" t="n"/>
      <c r="L321" s="10" t="n"/>
      <c r="M321" s="6" t="n"/>
      <c r="N3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21" s="3">
        <f>IF(tblOrdenes[[#This Row],[fecha_inicio]]="","",YEAR(tblOrdenes[[#This Row],[fecha_inicio]]))</f>
        <v/>
      </c>
      <c r="R321" s="3">
        <f>IF(tblOrdenes[[#This Row],[fecha_inicio]]="","",MONTH(tblOrdenes[[#This Row],[fecha_inicio]]))</f>
        <v/>
      </c>
      <c r="S321" s="3">
        <f>IF(tblOrdenes[[#This Row],[fecha_inicio]]="","",INDEX(lista_dias,WEEKDAY(tblOrdenes[[#This Row],[fecha_inicio]],2)))</f>
        <v/>
      </c>
      <c r="T321" s="3">
        <f>IF(tblOrdenes[[#This Row],[tipo_ot]]="","",_xlfn.XLOOKUP(tblOrdenes[[#This Row],[tipo_ot]],tblTiposOT[codigo],tblTiposOT[clasificacion],"sin_clasificar"))</f>
        <v/>
      </c>
      <c r="U321" s="3">
        <f>IF(tblOrdenes[[#This Row],[centro_costo]]="","",_xlfn.XLOOKUP(tblOrdenes[[#This Row],[centro_costo]],tblCECO[codigo],tblCECO[linea],"(sin catálogo)"))</f>
        <v/>
      </c>
      <c r="V321" s="3">
        <f>IF(tblOrdenes[[#This Row],[centro_costo]]="","",_xlfn.XLOOKUP(tblOrdenes[[#This Row],[centro_costo]],tblCECO[codigo],tblCECO[area],"(sin catálogo)"))</f>
        <v/>
      </c>
      <c r="W321" s="3">
        <f>IF(tblOrdenes[[#This Row],[centro_costo]]="","",_xlfn.XLOOKUP(tblOrdenes[[#This Row],[centro_costo]],tblCECO[codigo],tblCECO[coordinador],"(sin catálogo)"))</f>
        <v/>
      </c>
      <c r="X321" s="3">
        <f>IF(tblOrdenes[[#This Row],[puesto_trabajo]]="","",_xlfn.XLOOKUP(tblOrdenes[[#This Row],[puesto_trabajo]],tblPuestos[codigo],tblPuestos[especialidad],"(sin catálogo)"))</f>
        <v/>
      </c>
      <c r="Y321" s="3">
        <f>IF(tblOrdenes[[#This Row],[cod_actividad]]="","",_xlfn.XLOOKUP(tblOrdenes[[#This Row],[cod_actividad]],tblActividades[codigo],tblActividades[descripcion],"(sin catálogo)"))</f>
        <v/>
      </c>
      <c r="Z321" s="12">
        <f>IF(tblOrdenes[[#This Row],[fecha_inicio]]="","",TODAY()-tblOrdenes[[#This Row],[fecha_inicio]])</f>
        <v/>
      </c>
      <c r="AA321" s="3">
        <f>IF(tblOrdenes[[#This Row],[backlog_dias]]="","",IF(tblOrdenes[[#This Row],[backlog_dias]]&lt;0,"FUTURO",IF(tblOrdenes[[#This Row],[backlog_dias]]&gt;p_dias_backlog_max,"BACKLOG","MES CORRIENTE")))</f>
        <v/>
      </c>
      <c r="AB321" s="3">
        <f>IF(tblOrdenes[[#This Row],[backlog_dias]]="",FALSE,AND(tblOrdenes[[#This Row],[backlog_dias]]&gt;p_dias_backlog_min,tblOrdenes[[#This Row],[backlog_dias]]&lt;=p_dias_backlog_max))</f>
        <v/>
      </c>
      <c r="AC321" s="6" t="n"/>
      <c r="AD3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21" s="10">
        <f>IF(tblOrdenes[[#This Row],[orden]]="","",_xlfn.XLOOKUP(tblOrdenes[[#This Row],[id_operacion]],tblEjecucion[id_operacion],tblEjecucion[precio],0))</f>
        <v/>
      </c>
      <c r="AH321" s="10">
        <f>IF(tblOrdenes[[#This Row],[orden]]="","",MAX(0,_xlfn.XLOOKUP(tblOrdenes[[#This Row],[id_operacion]],tblEjecucion[id_operacion],tblEjecucion[costo_plan_total],0)-tblOrdenes[[#This Row],[costo_servicio]]))</f>
        <v/>
      </c>
      <c r="AI321" s="10">
        <f>IF(tblOrdenes[[#This Row],[orden]]="","",tblOrdenes[[#This Row],[costo_servicio]]+tblOrdenes[[#This Row],[costo_materiales]])</f>
        <v/>
      </c>
      <c r="AJ321" s="6" t="n"/>
      <c r="AK321" s="6" t="n"/>
      <c r="AL321" s="6" t="n"/>
      <c r="AM321" s="3">
        <f>IF(tblOrdenes[[#This Row],[link_checklist]]="","",HYPERLINK(p_ruta_base_checklists&amp;tblOrdenes[[#This Row],[link_checklist]],"abrir"))</f>
        <v/>
      </c>
      <c r="AN321" s="6" t="n"/>
      <c r="AO321" s="3">
        <f>IF(tblOrdenes[[#This Row],[orden]]="","",tblOrdenes[[#This Row],[orden]]&amp;IF(tblOrdenes[[#This Row],[operacion]]="","0010",tblOrdenes[[#This Row],[operacion]]))</f>
        <v/>
      </c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11" t="n"/>
      <c r="K322" s="3" t="n"/>
      <c r="L322" s="10" t="n"/>
      <c r="M322" s="6" t="n"/>
      <c r="N3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22" s="3">
        <f>IF(tblOrdenes[[#This Row],[fecha_inicio]]="","",YEAR(tblOrdenes[[#This Row],[fecha_inicio]]))</f>
        <v/>
      </c>
      <c r="R322" s="3">
        <f>IF(tblOrdenes[[#This Row],[fecha_inicio]]="","",MONTH(tblOrdenes[[#This Row],[fecha_inicio]]))</f>
        <v/>
      </c>
      <c r="S322" s="3">
        <f>IF(tblOrdenes[[#This Row],[fecha_inicio]]="","",INDEX(lista_dias,WEEKDAY(tblOrdenes[[#This Row],[fecha_inicio]],2)))</f>
        <v/>
      </c>
      <c r="T322" s="3">
        <f>IF(tblOrdenes[[#This Row],[tipo_ot]]="","",_xlfn.XLOOKUP(tblOrdenes[[#This Row],[tipo_ot]],tblTiposOT[codigo],tblTiposOT[clasificacion],"sin_clasificar"))</f>
        <v/>
      </c>
      <c r="U322" s="3">
        <f>IF(tblOrdenes[[#This Row],[centro_costo]]="","",_xlfn.XLOOKUP(tblOrdenes[[#This Row],[centro_costo]],tblCECO[codigo],tblCECO[linea],"(sin catálogo)"))</f>
        <v/>
      </c>
      <c r="V322" s="3">
        <f>IF(tblOrdenes[[#This Row],[centro_costo]]="","",_xlfn.XLOOKUP(tblOrdenes[[#This Row],[centro_costo]],tblCECO[codigo],tblCECO[area],"(sin catálogo)"))</f>
        <v/>
      </c>
      <c r="W322" s="3">
        <f>IF(tblOrdenes[[#This Row],[centro_costo]]="","",_xlfn.XLOOKUP(tblOrdenes[[#This Row],[centro_costo]],tblCECO[codigo],tblCECO[coordinador],"(sin catálogo)"))</f>
        <v/>
      </c>
      <c r="X322" s="3">
        <f>IF(tblOrdenes[[#This Row],[puesto_trabajo]]="","",_xlfn.XLOOKUP(tblOrdenes[[#This Row],[puesto_trabajo]],tblPuestos[codigo],tblPuestos[especialidad],"(sin catálogo)"))</f>
        <v/>
      </c>
      <c r="Y322" s="3">
        <f>IF(tblOrdenes[[#This Row],[cod_actividad]]="","",_xlfn.XLOOKUP(tblOrdenes[[#This Row],[cod_actividad]],tblActividades[codigo],tblActividades[descripcion],"(sin catálogo)"))</f>
        <v/>
      </c>
      <c r="Z322" s="12">
        <f>IF(tblOrdenes[[#This Row],[fecha_inicio]]="","",TODAY()-tblOrdenes[[#This Row],[fecha_inicio]])</f>
        <v/>
      </c>
      <c r="AA322" s="3">
        <f>IF(tblOrdenes[[#This Row],[backlog_dias]]="","",IF(tblOrdenes[[#This Row],[backlog_dias]]&lt;0,"FUTURO",IF(tblOrdenes[[#This Row],[backlog_dias]]&gt;p_dias_backlog_max,"BACKLOG","MES CORRIENTE")))</f>
        <v/>
      </c>
      <c r="AB322" s="3">
        <f>IF(tblOrdenes[[#This Row],[backlog_dias]]="",FALSE,AND(tblOrdenes[[#This Row],[backlog_dias]]&gt;p_dias_backlog_min,tblOrdenes[[#This Row],[backlog_dias]]&lt;=p_dias_backlog_max))</f>
        <v/>
      </c>
      <c r="AC322" s="6" t="n"/>
      <c r="AD3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22" s="10">
        <f>IF(tblOrdenes[[#This Row],[orden]]="","",_xlfn.XLOOKUP(tblOrdenes[[#This Row],[id_operacion]],tblEjecucion[id_operacion],tblEjecucion[precio],0))</f>
        <v/>
      </c>
      <c r="AH322" s="10">
        <f>IF(tblOrdenes[[#This Row],[orden]]="","",MAX(0,_xlfn.XLOOKUP(tblOrdenes[[#This Row],[id_operacion]],tblEjecucion[id_operacion],tblEjecucion[costo_plan_total],0)-tblOrdenes[[#This Row],[costo_servicio]]))</f>
        <v/>
      </c>
      <c r="AI322" s="10">
        <f>IF(tblOrdenes[[#This Row],[orden]]="","",tblOrdenes[[#This Row],[costo_servicio]]+tblOrdenes[[#This Row],[costo_materiales]])</f>
        <v/>
      </c>
      <c r="AJ322" s="6" t="n"/>
      <c r="AK322" s="6" t="n"/>
      <c r="AL322" s="6" t="n"/>
      <c r="AM322" s="3">
        <f>IF(tblOrdenes[[#This Row],[link_checklist]]="","",HYPERLINK(p_ruta_base_checklists&amp;tblOrdenes[[#This Row],[link_checklist]],"abrir"))</f>
        <v/>
      </c>
      <c r="AN322" s="6" t="n"/>
      <c r="AO322" s="3">
        <f>IF(tblOrdenes[[#This Row],[orden]]="","",tblOrdenes[[#This Row],[orden]]&amp;IF(tblOrdenes[[#This Row],[operacion]]="","0010",tblOrdenes[[#This Row],[operacion]]))</f>
        <v/>
      </c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11" t="n"/>
      <c r="K323" s="3" t="n"/>
      <c r="L323" s="10" t="n"/>
      <c r="M323" s="6" t="n"/>
      <c r="N3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23" s="3">
        <f>IF(tblOrdenes[[#This Row],[fecha_inicio]]="","",YEAR(tblOrdenes[[#This Row],[fecha_inicio]]))</f>
        <v/>
      </c>
      <c r="R323" s="3">
        <f>IF(tblOrdenes[[#This Row],[fecha_inicio]]="","",MONTH(tblOrdenes[[#This Row],[fecha_inicio]]))</f>
        <v/>
      </c>
      <c r="S323" s="3">
        <f>IF(tblOrdenes[[#This Row],[fecha_inicio]]="","",INDEX(lista_dias,WEEKDAY(tblOrdenes[[#This Row],[fecha_inicio]],2)))</f>
        <v/>
      </c>
      <c r="T323" s="3">
        <f>IF(tblOrdenes[[#This Row],[tipo_ot]]="","",_xlfn.XLOOKUP(tblOrdenes[[#This Row],[tipo_ot]],tblTiposOT[codigo],tblTiposOT[clasificacion],"sin_clasificar"))</f>
        <v/>
      </c>
      <c r="U323" s="3">
        <f>IF(tblOrdenes[[#This Row],[centro_costo]]="","",_xlfn.XLOOKUP(tblOrdenes[[#This Row],[centro_costo]],tblCECO[codigo],tblCECO[linea],"(sin catálogo)"))</f>
        <v/>
      </c>
      <c r="V323" s="3">
        <f>IF(tblOrdenes[[#This Row],[centro_costo]]="","",_xlfn.XLOOKUP(tblOrdenes[[#This Row],[centro_costo]],tblCECO[codigo],tblCECO[area],"(sin catálogo)"))</f>
        <v/>
      </c>
      <c r="W323" s="3">
        <f>IF(tblOrdenes[[#This Row],[centro_costo]]="","",_xlfn.XLOOKUP(tblOrdenes[[#This Row],[centro_costo]],tblCECO[codigo],tblCECO[coordinador],"(sin catálogo)"))</f>
        <v/>
      </c>
      <c r="X323" s="3">
        <f>IF(tblOrdenes[[#This Row],[puesto_trabajo]]="","",_xlfn.XLOOKUP(tblOrdenes[[#This Row],[puesto_trabajo]],tblPuestos[codigo],tblPuestos[especialidad],"(sin catálogo)"))</f>
        <v/>
      </c>
      <c r="Y323" s="3">
        <f>IF(tblOrdenes[[#This Row],[cod_actividad]]="","",_xlfn.XLOOKUP(tblOrdenes[[#This Row],[cod_actividad]],tblActividades[codigo],tblActividades[descripcion],"(sin catálogo)"))</f>
        <v/>
      </c>
      <c r="Z323" s="12">
        <f>IF(tblOrdenes[[#This Row],[fecha_inicio]]="","",TODAY()-tblOrdenes[[#This Row],[fecha_inicio]])</f>
        <v/>
      </c>
      <c r="AA323" s="3">
        <f>IF(tblOrdenes[[#This Row],[backlog_dias]]="","",IF(tblOrdenes[[#This Row],[backlog_dias]]&lt;0,"FUTURO",IF(tblOrdenes[[#This Row],[backlog_dias]]&gt;p_dias_backlog_max,"BACKLOG","MES CORRIENTE")))</f>
        <v/>
      </c>
      <c r="AB323" s="3">
        <f>IF(tblOrdenes[[#This Row],[backlog_dias]]="",FALSE,AND(tblOrdenes[[#This Row],[backlog_dias]]&gt;p_dias_backlog_min,tblOrdenes[[#This Row],[backlog_dias]]&lt;=p_dias_backlog_max))</f>
        <v/>
      </c>
      <c r="AC323" s="6" t="n"/>
      <c r="AD3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23" s="10">
        <f>IF(tblOrdenes[[#This Row],[orden]]="","",_xlfn.XLOOKUP(tblOrdenes[[#This Row],[id_operacion]],tblEjecucion[id_operacion],tblEjecucion[precio],0))</f>
        <v/>
      </c>
      <c r="AH323" s="10">
        <f>IF(tblOrdenes[[#This Row],[orden]]="","",MAX(0,_xlfn.XLOOKUP(tblOrdenes[[#This Row],[id_operacion]],tblEjecucion[id_operacion],tblEjecucion[costo_plan_total],0)-tblOrdenes[[#This Row],[costo_servicio]]))</f>
        <v/>
      </c>
      <c r="AI323" s="10">
        <f>IF(tblOrdenes[[#This Row],[orden]]="","",tblOrdenes[[#This Row],[costo_servicio]]+tblOrdenes[[#This Row],[costo_materiales]])</f>
        <v/>
      </c>
      <c r="AJ323" s="6" t="n"/>
      <c r="AK323" s="6" t="n"/>
      <c r="AL323" s="6" t="n"/>
      <c r="AM323" s="3">
        <f>IF(tblOrdenes[[#This Row],[link_checklist]]="","",HYPERLINK(p_ruta_base_checklists&amp;tblOrdenes[[#This Row],[link_checklist]],"abrir"))</f>
        <v/>
      </c>
      <c r="AN323" s="6" t="n"/>
      <c r="AO323" s="3">
        <f>IF(tblOrdenes[[#This Row],[orden]]="","",tblOrdenes[[#This Row],[orden]]&amp;IF(tblOrdenes[[#This Row],[operacion]]="","0010",tblOrdenes[[#This Row],[operacion]]))</f>
        <v/>
      </c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11" t="n"/>
      <c r="K324" s="3" t="n"/>
      <c r="L324" s="10" t="n"/>
      <c r="M324" s="6" t="n"/>
      <c r="N3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24" s="3">
        <f>IF(tblOrdenes[[#This Row],[fecha_inicio]]="","",YEAR(tblOrdenes[[#This Row],[fecha_inicio]]))</f>
        <v/>
      </c>
      <c r="R324" s="3">
        <f>IF(tblOrdenes[[#This Row],[fecha_inicio]]="","",MONTH(tblOrdenes[[#This Row],[fecha_inicio]]))</f>
        <v/>
      </c>
      <c r="S324" s="3">
        <f>IF(tblOrdenes[[#This Row],[fecha_inicio]]="","",INDEX(lista_dias,WEEKDAY(tblOrdenes[[#This Row],[fecha_inicio]],2)))</f>
        <v/>
      </c>
      <c r="T324" s="3">
        <f>IF(tblOrdenes[[#This Row],[tipo_ot]]="","",_xlfn.XLOOKUP(tblOrdenes[[#This Row],[tipo_ot]],tblTiposOT[codigo],tblTiposOT[clasificacion],"sin_clasificar"))</f>
        <v/>
      </c>
      <c r="U324" s="3">
        <f>IF(tblOrdenes[[#This Row],[centro_costo]]="","",_xlfn.XLOOKUP(tblOrdenes[[#This Row],[centro_costo]],tblCECO[codigo],tblCECO[linea],"(sin catálogo)"))</f>
        <v/>
      </c>
      <c r="V324" s="3">
        <f>IF(tblOrdenes[[#This Row],[centro_costo]]="","",_xlfn.XLOOKUP(tblOrdenes[[#This Row],[centro_costo]],tblCECO[codigo],tblCECO[area],"(sin catálogo)"))</f>
        <v/>
      </c>
      <c r="W324" s="3">
        <f>IF(tblOrdenes[[#This Row],[centro_costo]]="","",_xlfn.XLOOKUP(tblOrdenes[[#This Row],[centro_costo]],tblCECO[codigo],tblCECO[coordinador],"(sin catálogo)"))</f>
        <v/>
      </c>
      <c r="X324" s="3">
        <f>IF(tblOrdenes[[#This Row],[puesto_trabajo]]="","",_xlfn.XLOOKUP(tblOrdenes[[#This Row],[puesto_trabajo]],tblPuestos[codigo],tblPuestos[especialidad],"(sin catálogo)"))</f>
        <v/>
      </c>
      <c r="Y324" s="3">
        <f>IF(tblOrdenes[[#This Row],[cod_actividad]]="","",_xlfn.XLOOKUP(tblOrdenes[[#This Row],[cod_actividad]],tblActividades[codigo],tblActividades[descripcion],"(sin catálogo)"))</f>
        <v/>
      </c>
      <c r="Z324" s="12">
        <f>IF(tblOrdenes[[#This Row],[fecha_inicio]]="","",TODAY()-tblOrdenes[[#This Row],[fecha_inicio]])</f>
        <v/>
      </c>
      <c r="AA324" s="3">
        <f>IF(tblOrdenes[[#This Row],[backlog_dias]]="","",IF(tblOrdenes[[#This Row],[backlog_dias]]&lt;0,"FUTURO",IF(tblOrdenes[[#This Row],[backlog_dias]]&gt;p_dias_backlog_max,"BACKLOG","MES CORRIENTE")))</f>
        <v/>
      </c>
      <c r="AB324" s="3">
        <f>IF(tblOrdenes[[#This Row],[backlog_dias]]="",FALSE,AND(tblOrdenes[[#This Row],[backlog_dias]]&gt;p_dias_backlog_min,tblOrdenes[[#This Row],[backlog_dias]]&lt;=p_dias_backlog_max))</f>
        <v/>
      </c>
      <c r="AC324" s="6" t="n"/>
      <c r="AD3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24" s="10">
        <f>IF(tblOrdenes[[#This Row],[orden]]="","",_xlfn.XLOOKUP(tblOrdenes[[#This Row],[id_operacion]],tblEjecucion[id_operacion],tblEjecucion[precio],0))</f>
        <v/>
      </c>
      <c r="AH324" s="10">
        <f>IF(tblOrdenes[[#This Row],[orden]]="","",MAX(0,_xlfn.XLOOKUP(tblOrdenes[[#This Row],[id_operacion]],tblEjecucion[id_operacion],tblEjecucion[costo_plan_total],0)-tblOrdenes[[#This Row],[costo_servicio]]))</f>
        <v/>
      </c>
      <c r="AI324" s="10">
        <f>IF(tblOrdenes[[#This Row],[orden]]="","",tblOrdenes[[#This Row],[costo_servicio]]+tblOrdenes[[#This Row],[costo_materiales]])</f>
        <v/>
      </c>
      <c r="AJ324" s="6" t="n"/>
      <c r="AK324" s="6" t="n"/>
      <c r="AL324" s="6" t="n"/>
      <c r="AM324" s="3">
        <f>IF(tblOrdenes[[#This Row],[link_checklist]]="","",HYPERLINK(p_ruta_base_checklists&amp;tblOrdenes[[#This Row],[link_checklist]],"abrir"))</f>
        <v/>
      </c>
      <c r="AN324" s="6" t="n"/>
      <c r="AO324" s="3">
        <f>IF(tblOrdenes[[#This Row],[orden]]="","",tblOrdenes[[#This Row],[orden]]&amp;IF(tblOrdenes[[#This Row],[operacion]]="","0010",tblOrdenes[[#This Row],[operacion]]))</f>
        <v/>
      </c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11" t="n"/>
      <c r="K325" s="3" t="n"/>
      <c r="L325" s="10" t="n"/>
      <c r="M325" s="6" t="n"/>
      <c r="N3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25" s="3">
        <f>IF(tblOrdenes[[#This Row],[fecha_inicio]]="","",YEAR(tblOrdenes[[#This Row],[fecha_inicio]]))</f>
        <v/>
      </c>
      <c r="R325" s="3">
        <f>IF(tblOrdenes[[#This Row],[fecha_inicio]]="","",MONTH(tblOrdenes[[#This Row],[fecha_inicio]]))</f>
        <v/>
      </c>
      <c r="S325" s="3">
        <f>IF(tblOrdenes[[#This Row],[fecha_inicio]]="","",INDEX(lista_dias,WEEKDAY(tblOrdenes[[#This Row],[fecha_inicio]],2)))</f>
        <v/>
      </c>
      <c r="T325" s="3">
        <f>IF(tblOrdenes[[#This Row],[tipo_ot]]="","",_xlfn.XLOOKUP(tblOrdenes[[#This Row],[tipo_ot]],tblTiposOT[codigo],tblTiposOT[clasificacion],"sin_clasificar"))</f>
        <v/>
      </c>
      <c r="U325" s="3">
        <f>IF(tblOrdenes[[#This Row],[centro_costo]]="","",_xlfn.XLOOKUP(tblOrdenes[[#This Row],[centro_costo]],tblCECO[codigo],tblCECO[linea],"(sin catálogo)"))</f>
        <v/>
      </c>
      <c r="V325" s="3">
        <f>IF(tblOrdenes[[#This Row],[centro_costo]]="","",_xlfn.XLOOKUP(tblOrdenes[[#This Row],[centro_costo]],tblCECO[codigo],tblCECO[area],"(sin catálogo)"))</f>
        <v/>
      </c>
      <c r="W325" s="3">
        <f>IF(tblOrdenes[[#This Row],[centro_costo]]="","",_xlfn.XLOOKUP(tblOrdenes[[#This Row],[centro_costo]],tblCECO[codigo],tblCECO[coordinador],"(sin catálogo)"))</f>
        <v/>
      </c>
      <c r="X325" s="3">
        <f>IF(tblOrdenes[[#This Row],[puesto_trabajo]]="","",_xlfn.XLOOKUP(tblOrdenes[[#This Row],[puesto_trabajo]],tblPuestos[codigo],tblPuestos[especialidad],"(sin catálogo)"))</f>
        <v/>
      </c>
      <c r="Y325" s="3">
        <f>IF(tblOrdenes[[#This Row],[cod_actividad]]="","",_xlfn.XLOOKUP(tblOrdenes[[#This Row],[cod_actividad]],tblActividades[codigo],tblActividades[descripcion],"(sin catálogo)"))</f>
        <v/>
      </c>
      <c r="Z325" s="12">
        <f>IF(tblOrdenes[[#This Row],[fecha_inicio]]="","",TODAY()-tblOrdenes[[#This Row],[fecha_inicio]])</f>
        <v/>
      </c>
      <c r="AA325" s="3">
        <f>IF(tblOrdenes[[#This Row],[backlog_dias]]="","",IF(tblOrdenes[[#This Row],[backlog_dias]]&lt;0,"FUTURO",IF(tblOrdenes[[#This Row],[backlog_dias]]&gt;p_dias_backlog_max,"BACKLOG","MES CORRIENTE")))</f>
        <v/>
      </c>
      <c r="AB325" s="3">
        <f>IF(tblOrdenes[[#This Row],[backlog_dias]]="",FALSE,AND(tblOrdenes[[#This Row],[backlog_dias]]&gt;p_dias_backlog_min,tblOrdenes[[#This Row],[backlog_dias]]&lt;=p_dias_backlog_max))</f>
        <v/>
      </c>
      <c r="AC325" s="6" t="n"/>
      <c r="AD3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25" s="10">
        <f>IF(tblOrdenes[[#This Row],[orden]]="","",_xlfn.XLOOKUP(tblOrdenes[[#This Row],[id_operacion]],tblEjecucion[id_operacion],tblEjecucion[precio],0))</f>
        <v/>
      </c>
      <c r="AH325" s="10">
        <f>IF(tblOrdenes[[#This Row],[orden]]="","",MAX(0,_xlfn.XLOOKUP(tblOrdenes[[#This Row],[id_operacion]],tblEjecucion[id_operacion],tblEjecucion[costo_plan_total],0)-tblOrdenes[[#This Row],[costo_servicio]]))</f>
        <v/>
      </c>
      <c r="AI325" s="10">
        <f>IF(tblOrdenes[[#This Row],[orden]]="","",tblOrdenes[[#This Row],[costo_servicio]]+tblOrdenes[[#This Row],[costo_materiales]])</f>
        <v/>
      </c>
      <c r="AJ325" s="6" t="n"/>
      <c r="AK325" s="6" t="n"/>
      <c r="AL325" s="6" t="n"/>
      <c r="AM325" s="3">
        <f>IF(tblOrdenes[[#This Row],[link_checklist]]="","",HYPERLINK(p_ruta_base_checklists&amp;tblOrdenes[[#This Row],[link_checklist]],"abrir"))</f>
        <v/>
      </c>
      <c r="AN325" s="6" t="n"/>
      <c r="AO325" s="3">
        <f>IF(tblOrdenes[[#This Row],[orden]]="","",tblOrdenes[[#This Row],[orden]]&amp;IF(tblOrdenes[[#This Row],[operacion]]="","0010",tblOrdenes[[#This Row],[operacion]]))</f>
        <v/>
      </c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11" t="n"/>
      <c r="K326" s="3" t="n"/>
      <c r="L326" s="10" t="n"/>
      <c r="M326" s="6" t="n"/>
      <c r="N3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26" s="3">
        <f>IF(tblOrdenes[[#This Row],[fecha_inicio]]="","",YEAR(tblOrdenes[[#This Row],[fecha_inicio]]))</f>
        <v/>
      </c>
      <c r="R326" s="3">
        <f>IF(tblOrdenes[[#This Row],[fecha_inicio]]="","",MONTH(tblOrdenes[[#This Row],[fecha_inicio]]))</f>
        <v/>
      </c>
      <c r="S326" s="3">
        <f>IF(tblOrdenes[[#This Row],[fecha_inicio]]="","",INDEX(lista_dias,WEEKDAY(tblOrdenes[[#This Row],[fecha_inicio]],2)))</f>
        <v/>
      </c>
      <c r="T326" s="3">
        <f>IF(tblOrdenes[[#This Row],[tipo_ot]]="","",_xlfn.XLOOKUP(tblOrdenes[[#This Row],[tipo_ot]],tblTiposOT[codigo],tblTiposOT[clasificacion],"sin_clasificar"))</f>
        <v/>
      </c>
      <c r="U326" s="3">
        <f>IF(tblOrdenes[[#This Row],[centro_costo]]="","",_xlfn.XLOOKUP(tblOrdenes[[#This Row],[centro_costo]],tblCECO[codigo],tblCECO[linea],"(sin catálogo)"))</f>
        <v/>
      </c>
      <c r="V326" s="3">
        <f>IF(tblOrdenes[[#This Row],[centro_costo]]="","",_xlfn.XLOOKUP(tblOrdenes[[#This Row],[centro_costo]],tblCECO[codigo],tblCECO[area],"(sin catálogo)"))</f>
        <v/>
      </c>
      <c r="W326" s="3">
        <f>IF(tblOrdenes[[#This Row],[centro_costo]]="","",_xlfn.XLOOKUP(tblOrdenes[[#This Row],[centro_costo]],tblCECO[codigo],tblCECO[coordinador],"(sin catálogo)"))</f>
        <v/>
      </c>
      <c r="X326" s="3">
        <f>IF(tblOrdenes[[#This Row],[puesto_trabajo]]="","",_xlfn.XLOOKUP(tblOrdenes[[#This Row],[puesto_trabajo]],tblPuestos[codigo],tblPuestos[especialidad],"(sin catálogo)"))</f>
        <v/>
      </c>
      <c r="Y326" s="3">
        <f>IF(tblOrdenes[[#This Row],[cod_actividad]]="","",_xlfn.XLOOKUP(tblOrdenes[[#This Row],[cod_actividad]],tblActividades[codigo],tblActividades[descripcion],"(sin catálogo)"))</f>
        <v/>
      </c>
      <c r="Z326" s="12">
        <f>IF(tblOrdenes[[#This Row],[fecha_inicio]]="","",TODAY()-tblOrdenes[[#This Row],[fecha_inicio]])</f>
        <v/>
      </c>
      <c r="AA326" s="3">
        <f>IF(tblOrdenes[[#This Row],[backlog_dias]]="","",IF(tblOrdenes[[#This Row],[backlog_dias]]&lt;0,"FUTURO",IF(tblOrdenes[[#This Row],[backlog_dias]]&gt;p_dias_backlog_max,"BACKLOG","MES CORRIENTE")))</f>
        <v/>
      </c>
      <c r="AB326" s="3">
        <f>IF(tblOrdenes[[#This Row],[backlog_dias]]="",FALSE,AND(tblOrdenes[[#This Row],[backlog_dias]]&gt;p_dias_backlog_min,tblOrdenes[[#This Row],[backlog_dias]]&lt;=p_dias_backlog_max))</f>
        <v/>
      </c>
      <c r="AC326" s="6" t="n"/>
      <c r="AD3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26" s="10">
        <f>IF(tblOrdenes[[#This Row],[orden]]="","",_xlfn.XLOOKUP(tblOrdenes[[#This Row],[id_operacion]],tblEjecucion[id_operacion],tblEjecucion[precio],0))</f>
        <v/>
      </c>
      <c r="AH326" s="10">
        <f>IF(tblOrdenes[[#This Row],[orden]]="","",MAX(0,_xlfn.XLOOKUP(tblOrdenes[[#This Row],[id_operacion]],tblEjecucion[id_operacion],tblEjecucion[costo_plan_total],0)-tblOrdenes[[#This Row],[costo_servicio]]))</f>
        <v/>
      </c>
      <c r="AI326" s="10">
        <f>IF(tblOrdenes[[#This Row],[orden]]="","",tblOrdenes[[#This Row],[costo_servicio]]+tblOrdenes[[#This Row],[costo_materiales]])</f>
        <v/>
      </c>
      <c r="AJ326" s="6" t="n"/>
      <c r="AK326" s="6" t="n"/>
      <c r="AL326" s="6" t="n"/>
      <c r="AM326" s="3">
        <f>IF(tblOrdenes[[#This Row],[link_checklist]]="","",HYPERLINK(p_ruta_base_checklists&amp;tblOrdenes[[#This Row],[link_checklist]],"abrir"))</f>
        <v/>
      </c>
      <c r="AN326" s="6" t="n"/>
      <c r="AO326" s="3">
        <f>IF(tblOrdenes[[#This Row],[orden]]="","",tblOrdenes[[#This Row],[orden]]&amp;IF(tblOrdenes[[#This Row],[operacion]]="","0010",tblOrdenes[[#This Row],[operacion]]))</f>
        <v/>
      </c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11" t="n"/>
      <c r="K327" s="3" t="n"/>
      <c r="L327" s="10" t="n"/>
      <c r="M327" s="6" t="n"/>
      <c r="N3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27" s="3">
        <f>IF(tblOrdenes[[#This Row],[fecha_inicio]]="","",YEAR(tblOrdenes[[#This Row],[fecha_inicio]]))</f>
        <v/>
      </c>
      <c r="R327" s="3">
        <f>IF(tblOrdenes[[#This Row],[fecha_inicio]]="","",MONTH(tblOrdenes[[#This Row],[fecha_inicio]]))</f>
        <v/>
      </c>
      <c r="S327" s="3">
        <f>IF(tblOrdenes[[#This Row],[fecha_inicio]]="","",INDEX(lista_dias,WEEKDAY(tblOrdenes[[#This Row],[fecha_inicio]],2)))</f>
        <v/>
      </c>
      <c r="T327" s="3">
        <f>IF(tblOrdenes[[#This Row],[tipo_ot]]="","",_xlfn.XLOOKUP(tblOrdenes[[#This Row],[tipo_ot]],tblTiposOT[codigo],tblTiposOT[clasificacion],"sin_clasificar"))</f>
        <v/>
      </c>
      <c r="U327" s="3">
        <f>IF(tblOrdenes[[#This Row],[centro_costo]]="","",_xlfn.XLOOKUP(tblOrdenes[[#This Row],[centro_costo]],tblCECO[codigo],tblCECO[linea],"(sin catálogo)"))</f>
        <v/>
      </c>
      <c r="V327" s="3">
        <f>IF(tblOrdenes[[#This Row],[centro_costo]]="","",_xlfn.XLOOKUP(tblOrdenes[[#This Row],[centro_costo]],tblCECO[codigo],tblCECO[area],"(sin catálogo)"))</f>
        <v/>
      </c>
      <c r="W327" s="3">
        <f>IF(tblOrdenes[[#This Row],[centro_costo]]="","",_xlfn.XLOOKUP(tblOrdenes[[#This Row],[centro_costo]],tblCECO[codigo],tblCECO[coordinador],"(sin catálogo)"))</f>
        <v/>
      </c>
      <c r="X327" s="3">
        <f>IF(tblOrdenes[[#This Row],[puesto_trabajo]]="","",_xlfn.XLOOKUP(tblOrdenes[[#This Row],[puesto_trabajo]],tblPuestos[codigo],tblPuestos[especialidad],"(sin catálogo)"))</f>
        <v/>
      </c>
      <c r="Y327" s="3">
        <f>IF(tblOrdenes[[#This Row],[cod_actividad]]="","",_xlfn.XLOOKUP(tblOrdenes[[#This Row],[cod_actividad]],tblActividades[codigo],tblActividades[descripcion],"(sin catálogo)"))</f>
        <v/>
      </c>
      <c r="Z327" s="12">
        <f>IF(tblOrdenes[[#This Row],[fecha_inicio]]="","",TODAY()-tblOrdenes[[#This Row],[fecha_inicio]])</f>
        <v/>
      </c>
      <c r="AA327" s="3">
        <f>IF(tblOrdenes[[#This Row],[backlog_dias]]="","",IF(tblOrdenes[[#This Row],[backlog_dias]]&lt;0,"FUTURO",IF(tblOrdenes[[#This Row],[backlog_dias]]&gt;p_dias_backlog_max,"BACKLOG","MES CORRIENTE")))</f>
        <v/>
      </c>
      <c r="AB327" s="3">
        <f>IF(tblOrdenes[[#This Row],[backlog_dias]]="",FALSE,AND(tblOrdenes[[#This Row],[backlog_dias]]&gt;p_dias_backlog_min,tblOrdenes[[#This Row],[backlog_dias]]&lt;=p_dias_backlog_max))</f>
        <v/>
      </c>
      <c r="AC327" s="6" t="n"/>
      <c r="AD3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27" s="10">
        <f>IF(tblOrdenes[[#This Row],[orden]]="","",_xlfn.XLOOKUP(tblOrdenes[[#This Row],[id_operacion]],tblEjecucion[id_operacion],tblEjecucion[precio],0))</f>
        <v/>
      </c>
      <c r="AH327" s="10">
        <f>IF(tblOrdenes[[#This Row],[orden]]="","",MAX(0,_xlfn.XLOOKUP(tblOrdenes[[#This Row],[id_operacion]],tblEjecucion[id_operacion],tblEjecucion[costo_plan_total],0)-tblOrdenes[[#This Row],[costo_servicio]]))</f>
        <v/>
      </c>
      <c r="AI327" s="10">
        <f>IF(tblOrdenes[[#This Row],[orden]]="","",tblOrdenes[[#This Row],[costo_servicio]]+tblOrdenes[[#This Row],[costo_materiales]])</f>
        <v/>
      </c>
      <c r="AJ327" s="6" t="n"/>
      <c r="AK327" s="6" t="n"/>
      <c r="AL327" s="6" t="n"/>
      <c r="AM327" s="3">
        <f>IF(tblOrdenes[[#This Row],[link_checklist]]="","",HYPERLINK(p_ruta_base_checklists&amp;tblOrdenes[[#This Row],[link_checklist]],"abrir"))</f>
        <v/>
      </c>
      <c r="AN327" s="6" t="n"/>
      <c r="AO327" s="3">
        <f>IF(tblOrdenes[[#This Row],[orden]]="","",tblOrdenes[[#This Row],[orden]]&amp;IF(tblOrdenes[[#This Row],[operacion]]="","0010",tblOrdenes[[#This Row],[operacion]]))</f>
        <v/>
      </c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11" t="n"/>
      <c r="K328" s="3" t="n"/>
      <c r="L328" s="10" t="n"/>
      <c r="M328" s="6" t="n"/>
      <c r="N3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28" s="3">
        <f>IF(tblOrdenes[[#This Row],[fecha_inicio]]="","",YEAR(tblOrdenes[[#This Row],[fecha_inicio]]))</f>
        <v/>
      </c>
      <c r="R328" s="3">
        <f>IF(tblOrdenes[[#This Row],[fecha_inicio]]="","",MONTH(tblOrdenes[[#This Row],[fecha_inicio]]))</f>
        <v/>
      </c>
      <c r="S328" s="3">
        <f>IF(tblOrdenes[[#This Row],[fecha_inicio]]="","",INDEX(lista_dias,WEEKDAY(tblOrdenes[[#This Row],[fecha_inicio]],2)))</f>
        <v/>
      </c>
      <c r="T328" s="3">
        <f>IF(tblOrdenes[[#This Row],[tipo_ot]]="","",_xlfn.XLOOKUP(tblOrdenes[[#This Row],[tipo_ot]],tblTiposOT[codigo],tblTiposOT[clasificacion],"sin_clasificar"))</f>
        <v/>
      </c>
      <c r="U328" s="3">
        <f>IF(tblOrdenes[[#This Row],[centro_costo]]="","",_xlfn.XLOOKUP(tblOrdenes[[#This Row],[centro_costo]],tblCECO[codigo],tblCECO[linea],"(sin catálogo)"))</f>
        <v/>
      </c>
      <c r="V328" s="3">
        <f>IF(tblOrdenes[[#This Row],[centro_costo]]="","",_xlfn.XLOOKUP(tblOrdenes[[#This Row],[centro_costo]],tblCECO[codigo],tblCECO[area],"(sin catálogo)"))</f>
        <v/>
      </c>
      <c r="W328" s="3">
        <f>IF(tblOrdenes[[#This Row],[centro_costo]]="","",_xlfn.XLOOKUP(tblOrdenes[[#This Row],[centro_costo]],tblCECO[codigo],tblCECO[coordinador],"(sin catálogo)"))</f>
        <v/>
      </c>
      <c r="X328" s="3">
        <f>IF(tblOrdenes[[#This Row],[puesto_trabajo]]="","",_xlfn.XLOOKUP(tblOrdenes[[#This Row],[puesto_trabajo]],tblPuestos[codigo],tblPuestos[especialidad],"(sin catálogo)"))</f>
        <v/>
      </c>
      <c r="Y328" s="3">
        <f>IF(tblOrdenes[[#This Row],[cod_actividad]]="","",_xlfn.XLOOKUP(tblOrdenes[[#This Row],[cod_actividad]],tblActividades[codigo],tblActividades[descripcion],"(sin catálogo)"))</f>
        <v/>
      </c>
      <c r="Z328" s="12">
        <f>IF(tblOrdenes[[#This Row],[fecha_inicio]]="","",TODAY()-tblOrdenes[[#This Row],[fecha_inicio]])</f>
        <v/>
      </c>
      <c r="AA328" s="3">
        <f>IF(tblOrdenes[[#This Row],[backlog_dias]]="","",IF(tblOrdenes[[#This Row],[backlog_dias]]&lt;0,"FUTURO",IF(tblOrdenes[[#This Row],[backlog_dias]]&gt;p_dias_backlog_max,"BACKLOG","MES CORRIENTE")))</f>
        <v/>
      </c>
      <c r="AB328" s="3">
        <f>IF(tblOrdenes[[#This Row],[backlog_dias]]="",FALSE,AND(tblOrdenes[[#This Row],[backlog_dias]]&gt;p_dias_backlog_min,tblOrdenes[[#This Row],[backlog_dias]]&lt;=p_dias_backlog_max))</f>
        <v/>
      </c>
      <c r="AC328" s="6" t="n"/>
      <c r="AD3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28" s="10">
        <f>IF(tblOrdenes[[#This Row],[orden]]="","",_xlfn.XLOOKUP(tblOrdenes[[#This Row],[id_operacion]],tblEjecucion[id_operacion],tblEjecucion[precio],0))</f>
        <v/>
      </c>
      <c r="AH328" s="10">
        <f>IF(tblOrdenes[[#This Row],[orden]]="","",MAX(0,_xlfn.XLOOKUP(tblOrdenes[[#This Row],[id_operacion]],tblEjecucion[id_operacion],tblEjecucion[costo_plan_total],0)-tblOrdenes[[#This Row],[costo_servicio]]))</f>
        <v/>
      </c>
      <c r="AI328" s="10">
        <f>IF(tblOrdenes[[#This Row],[orden]]="","",tblOrdenes[[#This Row],[costo_servicio]]+tblOrdenes[[#This Row],[costo_materiales]])</f>
        <v/>
      </c>
      <c r="AJ328" s="6" t="n"/>
      <c r="AK328" s="6" t="n"/>
      <c r="AL328" s="6" t="n"/>
      <c r="AM328" s="3">
        <f>IF(tblOrdenes[[#This Row],[link_checklist]]="","",HYPERLINK(p_ruta_base_checklists&amp;tblOrdenes[[#This Row],[link_checklist]],"abrir"))</f>
        <v/>
      </c>
      <c r="AN328" s="6" t="n"/>
      <c r="AO328" s="3">
        <f>IF(tblOrdenes[[#This Row],[orden]]="","",tblOrdenes[[#This Row],[orden]]&amp;IF(tblOrdenes[[#This Row],[operacion]]="","0010",tblOrdenes[[#This Row],[operacion]]))</f>
        <v/>
      </c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11" t="n"/>
      <c r="K329" s="3" t="n"/>
      <c r="L329" s="10" t="n"/>
      <c r="M329" s="6" t="n"/>
      <c r="N3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29" s="3">
        <f>IF(tblOrdenes[[#This Row],[fecha_inicio]]="","",YEAR(tblOrdenes[[#This Row],[fecha_inicio]]))</f>
        <v/>
      </c>
      <c r="R329" s="3">
        <f>IF(tblOrdenes[[#This Row],[fecha_inicio]]="","",MONTH(tblOrdenes[[#This Row],[fecha_inicio]]))</f>
        <v/>
      </c>
      <c r="S329" s="3">
        <f>IF(tblOrdenes[[#This Row],[fecha_inicio]]="","",INDEX(lista_dias,WEEKDAY(tblOrdenes[[#This Row],[fecha_inicio]],2)))</f>
        <v/>
      </c>
      <c r="T329" s="3">
        <f>IF(tblOrdenes[[#This Row],[tipo_ot]]="","",_xlfn.XLOOKUP(tblOrdenes[[#This Row],[tipo_ot]],tblTiposOT[codigo],tblTiposOT[clasificacion],"sin_clasificar"))</f>
        <v/>
      </c>
      <c r="U329" s="3">
        <f>IF(tblOrdenes[[#This Row],[centro_costo]]="","",_xlfn.XLOOKUP(tblOrdenes[[#This Row],[centro_costo]],tblCECO[codigo],tblCECO[linea],"(sin catálogo)"))</f>
        <v/>
      </c>
      <c r="V329" s="3">
        <f>IF(tblOrdenes[[#This Row],[centro_costo]]="","",_xlfn.XLOOKUP(tblOrdenes[[#This Row],[centro_costo]],tblCECO[codigo],tblCECO[area],"(sin catálogo)"))</f>
        <v/>
      </c>
      <c r="W329" s="3">
        <f>IF(tblOrdenes[[#This Row],[centro_costo]]="","",_xlfn.XLOOKUP(tblOrdenes[[#This Row],[centro_costo]],tblCECO[codigo],tblCECO[coordinador],"(sin catálogo)"))</f>
        <v/>
      </c>
      <c r="X329" s="3">
        <f>IF(tblOrdenes[[#This Row],[puesto_trabajo]]="","",_xlfn.XLOOKUP(tblOrdenes[[#This Row],[puesto_trabajo]],tblPuestos[codigo],tblPuestos[especialidad],"(sin catálogo)"))</f>
        <v/>
      </c>
      <c r="Y329" s="3">
        <f>IF(tblOrdenes[[#This Row],[cod_actividad]]="","",_xlfn.XLOOKUP(tblOrdenes[[#This Row],[cod_actividad]],tblActividades[codigo],tblActividades[descripcion],"(sin catálogo)"))</f>
        <v/>
      </c>
      <c r="Z329" s="12">
        <f>IF(tblOrdenes[[#This Row],[fecha_inicio]]="","",TODAY()-tblOrdenes[[#This Row],[fecha_inicio]])</f>
        <v/>
      </c>
      <c r="AA329" s="3">
        <f>IF(tblOrdenes[[#This Row],[backlog_dias]]="","",IF(tblOrdenes[[#This Row],[backlog_dias]]&lt;0,"FUTURO",IF(tblOrdenes[[#This Row],[backlog_dias]]&gt;p_dias_backlog_max,"BACKLOG","MES CORRIENTE")))</f>
        <v/>
      </c>
      <c r="AB329" s="3">
        <f>IF(tblOrdenes[[#This Row],[backlog_dias]]="",FALSE,AND(tblOrdenes[[#This Row],[backlog_dias]]&gt;p_dias_backlog_min,tblOrdenes[[#This Row],[backlog_dias]]&lt;=p_dias_backlog_max))</f>
        <v/>
      </c>
      <c r="AC329" s="6" t="n"/>
      <c r="AD3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29" s="10">
        <f>IF(tblOrdenes[[#This Row],[orden]]="","",_xlfn.XLOOKUP(tblOrdenes[[#This Row],[id_operacion]],tblEjecucion[id_operacion],tblEjecucion[precio],0))</f>
        <v/>
      </c>
      <c r="AH329" s="10">
        <f>IF(tblOrdenes[[#This Row],[orden]]="","",MAX(0,_xlfn.XLOOKUP(tblOrdenes[[#This Row],[id_operacion]],tblEjecucion[id_operacion],tblEjecucion[costo_plan_total],0)-tblOrdenes[[#This Row],[costo_servicio]]))</f>
        <v/>
      </c>
      <c r="AI329" s="10">
        <f>IF(tblOrdenes[[#This Row],[orden]]="","",tblOrdenes[[#This Row],[costo_servicio]]+tblOrdenes[[#This Row],[costo_materiales]])</f>
        <v/>
      </c>
      <c r="AJ329" s="6" t="n"/>
      <c r="AK329" s="6" t="n"/>
      <c r="AL329" s="6" t="n"/>
      <c r="AM329" s="3">
        <f>IF(tblOrdenes[[#This Row],[link_checklist]]="","",HYPERLINK(p_ruta_base_checklists&amp;tblOrdenes[[#This Row],[link_checklist]],"abrir"))</f>
        <v/>
      </c>
      <c r="AN329" s="6" t="n"/>
      <c r="AO329" s="3">
        <f>IF(tblOrdenes[[#This Row],[orden]]="","",tblOrdenes[[#This Row],[orden]]&amp;IF(tblOrdenes[[#This Row],[operacion]]="","0010",tblOrdenes[[#This Row],[operacion]]))</f>
        <v/>
      </c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11" t="n"/>
      <c r="K330" s="3" t="n"/>
      <c r="L330" s="10" t="n"/>
      <c r="M330" s="6" t="n"/>
      <c r="N3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30" s="3">
        <f>IF(tblOrdenes[[#This Row],[fecha_inicio]]="","",YEAR(tblOrdenes[[#This Row],[fecha_inicio]]))</f>
        <v/>
      </c>
      <c r="R330" s="3">
        <f>IF(tblOrdenes[[#This Row],[fecha_inicio]]="","",MONTH(tblOrdenes[[#This Row],[fecha_inicio]]))</f>
        <v/>
      </c>
      <c r="S330" s="3">
        <f>IF(tblOrdenes[[#This Row],[fecha_inicio]]="","",INDEX(lista_dias,WEEKDAY(tblOrdenes[[#This Row],[fecha_inicio]],2)))</f>
        <v/>
      </c>
      <c r="T330" s="3">
        <f>IF(tblOrdenes[[#This Row],[tipo_ot]]="","",_xlfn.XLOOKUP(tblOrdenes[[#This Row],[tipo_ot]],tblTiposOT[codigo],tblTiposOT[clasificacion],"sin_clasificar"))</f>
        <v/>
      </c>
      <c r="U330" s="3">
        <f>IF(tblOrdenes[[#This Row],[centro_costo]]="","",_xlfn.XLOOKUP(tblOrdenes[[#This Row],[centro_costo]],tblCECO[codigo],tblCECO[linea],"(sin catálogo)"))</f>
        <v/>
      </c>
      <c r="V330" s="3">
        <f>IF(tblOrdenes[[#This Row],[centro_costo]]="","",_xlfn.XLOOKUP(tblOrdenes[[#This Row],[centro_costo]],tblCECO[codigo],tblCECO[area],"(sin catálogo)"))</f>
        <v/>
      </c>
      <c r="W330" s="3">
        <f>IF(tblOrdenes[[#This Row],[centro_costo]]="","",_xlfn.XLOOKUP(tblOrdenes[[#This Row],[centro_costo]],tblCECO[codigo],tblCECO[coordinador],"(sin catálogo)"))</f>
        <v/>
      </c>
      <c r="X330" s="3">
        <f>IF(tblOrdenes[[#This Row],[puesto_trabajo]]="","",_xlfn.XLOOKUP(tblOrdenes[[#This Row],[puesto_trabajo]],tblPuestos[codigo],tblPuestos[especialidad],"(sin catálogo)"))</f>
        <v/>
      </c>
      <c r="Y330" s="3">
        <f>IF(tblOrdenes[[#This Row],[cod_actividad]]="","",_xlfn.XLOOKUP(tblOrdenes[[#This Row],[cod_actividad]],tblActividades[codigo],tblActividades[descripcion],"(sin catálogo)"))</f>
        <v/>
      </c>
      <c r="Z330" s="12">
        <f>IF(tblOrdenes[[#This Row],[fecha_inicio]]="","",TODAY()-tblOrdenes[[#This Row],[fecha_inicio]])</f>
        <v/>
      </c>
      <c r="AA330" s="3">
        <f>IF(tblOrdenes[[#This Row],[backlog_dias]]="","",IF(tblOrdenes[[#This Row],[backlog_dias]]&lt;0,"FUTURO",IF(tblOrdenes[[#This Row],[backlog_dias]]&gt;p_dias_backlog_max,"BACKLOG","MES CORRIENTE")))</f>
        <v/>
      </c>
      <c r="AB330" s="3">
        <f>IF(tblOrdenes[[#This Row],[backlog_dias]]="",FALSE,AND(tblOrdenes[[#This Row],[backlog_dias]]&gt;p_dias_backlog_min,tblOrdenes[[#This Row],[backlog_dias]]&lt;=p_dias_backlog_max))</f>
        <v/>
      </c>
      <c r="AC330" s="6" t="n"/>
      <c r="AD3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30" s="10">
        <f>IF(tblOrdenes[[#This Row],[orden]]="","",_xlfn.XLOOKUP(tblOrdenes[[#This Row],[id_operacion]],tblEjecucion[id_operacion],tblEjecucion[precio],0))</f>
        <v/>
      </c>
      <c r="AH330" s="10">
        <f>IF(tblOrdenes[[#This Row],[orden]]="","",MAX(0,_xlfn.XLOOKUP(tblOrdenes[[#This Row],[id_operacion]],tblEjecucion[id_operacion],tblEjecucion[costo_plan_total],0)-tblOrdenes[[#This Row],[costo_servicio]]))</f>
        <v/>
      </c>
      <c r="AI330" s="10">
        <f>IF(tblOrdenes[[#This Row],[orden]]="","",tblOrdenes[[#This Row],[costo_servicio]]+tblOrdenes[[#This Row],[costo_materiales]])</f>
        <v/>
      </c>
      <c r="AJ330" s="6" t="n"/>
      <c r="AK330" s="6" t="n"/>
      <c r="AL330" s="6" t="n"/>
      <c r="AM330" s="3">
        <f>IF(tblOrdenes[[#This Row],[link_checklist]]="","",HYPERLINK(p_ruta_base_checklists&amp;tblOrdenes[[#This Row],[link_checklist]],"abrir"))</f>
        <v/>
      </c>
      <c r="AN330" s="6" t="n"/>
      <c r="AO330" s="3">
        <f>IF(tblOrdenes[[#This Row],[orden]]="","",tblOrdenes[[#This Row],[orden]]&amp;IF(tblOrdenes[[#This Row],[operacion]]="","0010",tblOrdenes[[#This Row],[operacion]]))</f>
        <v/>
      </c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11" t="n"/>
      <c r="K331" s="3" t="n"/>
      <c r="L331" s="10" t="n"/>
      <c r="M331" s="6" t="n"/>
      <c r="N3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31" s="3">
        <f>IF(tblOrdenes[[#This Row],[fecha_inicio]]="","",YEAR(tblOrdenes[[#This Row],[fecha_inicio]]))</f>
        <v/>
      </c>
      <c r="R331" s="3">
        <f>IF(tblOrdenes[[#This Row],[fecha_inicio]]="","",MONTH(tblOrdenes[[#This Row],[fecha_inicio]]))</f>
        <v/>
      </c>
      <c r="S331" s="3">
        <f>IF(tblOrdenes[[#This Row],[fecha_inicio]]="","",INDEX(lista_dias,WEEKDAY(tblOrdenes[[#This Row],[fecha_inicio]],2)))</f>
        <v/>
      </c>
      <c r="T331" s="3">
        <f>IF(tblOrdenes[[#This Row],[tipo_ot]]="","",_xlfn.XLOOKUP(tblOrdenes[[#This Row],[tipo_ot]],tblTiposOT[codigo],tblTiposOT[clasificacion],"sin_clasificar"))</f>
        <v/>
      </c>
      <c r="U331" s="3">
        <f>IF(tblOrdenes[[#This Row],[centro_costo]]="","",_xlfn.XLOOKUP(tblOrdenes[[#This Row],[centro_costo]],tblCECO[codigo],tblCECO[linea],"(sin catálogo)"))</f>
        <v/>
      </c>
      <c r="V331" s="3">
        <f>IF(tblOrdenes[[#This Row],[centro_costo]]="","",_xlfn.XLOOKUP(tblOrdenes[[#This Row],[centro_costo]],tblCECO[codigo],tblCECO[area],"(sin catálogo)"))</f>
        <v/>
      </c>
      <c r="W331" s="3">
        <f>IF(tblOrdenes[[#This Row],[centro_costo]]="","",_xlfn.XLOOKUP(tblOrdenes[[#This Row],[centro_costo]],tblCECO[codigo],tblCECO[coordinador],"(sin catálogo)"))</f>
        <v/>
      </c>
      <c r="X331" s="3">
        <f>IF(tblOrdenes[[#This Row],[puesto_trabajo]]="","",_xlfn.XLOOKUP(tblOrdenes[[#This Row],[puesto_trabajo]],tblPuestos[codigo],tblPuestos[especialidad],"(sin catálogo)"))</f>
        <v/>
      </c>
      <c r="Y331" s="3">
        <f>IF(tblOrdenes[[#This Row],[cod_actividad]]="","",_xlfn.XLOOKUP(tblOrdenes[[#This Row],[cod_actividad]],tblActividades[codigo],tblActividades[descripcion],"(sin catálogo)"))</f>
        <v/>
      </c>
      <c r="Z331" s="12">
        <f>IF(tblOrdenes[[#This Row],[fecha_inicio]]="","",TODAY()-tblOrdenes[[#This Row],[fecha_inicio]])</f>
        <v/>
      </c>
      <c r="AA331" s="3">
        <f>IF(tblOrdenes[[#This Row],[backlog_dias]]="","",IF(tblOrdenes[[#This Row],[backlog_dias]]&lt;0,"FUTURO",IF(tblOrdenes[[#This Row],[backlog_dias]]&gt;p_dias_backlog_max,"BACKLOG","MES CORRIENTE")))</f>
        <v/>
      </c>
      <c r="AB331" s="3">
        <f>IF(tblOrdenes[[#This Row],[backlog_dias]]="",FALSE,AND(tblOrdenes[[#This Row],[backlog_dias]]&gt;p_dias_backlog_min,tblOrdenes[[#This Row],[backlog_dias]]&lt;=p_dias_backlog_max))</f>
        <v/>
      </c>
      <c r="AC331" s="6" t="n"/>
      <c r="AD3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31" s="10">
        <f>IF(tblOrdenes[[#This Row],[orden]]="","",_xlfn.XLOOKUP(tblOrdenes[[#This Row],[id_operacion]],tblEjecucion[id_operacion],tblEjecucion[precio],0))</f>
        <v/>
      </c>
      <c r="AH331" s="10">
        <f>IF(tblOrdenes[[#This Row],[orden]]="","",MAX(0,_xlfn.XLOOKUP(tblOrdenes[[#This Row],[id_operacion]],tblEjecucion[id_operacion],tblEjecucion[costo_plan_total],0)-tblOrdenes[[#This Row],[costo_servicio]]))</f>
        <v/>
      </c>
      <c r="AI331" s="10">
        <f>IF(tblOrdenes[[#This Row],[orden]]="","",tblOrdenes[[#This Row],[costo_servicio]]+tblOrdenes[[#This Row],[costo_materiales]])</f>
        <v/>
      </c>
      <c r="AJ331" s="6" t="n"/>
      <c r="AK331" s="6" t="n"/>
      <c r="AL331" s="6" t="n"/>
      <c r="AM331" s="3">
        <f>IF(tblOrdenes[[#This Row],[link_checklist]]="","",HYPERLINK(p_ruta_base_checklists&amp;tblOrdenes[[#This Row],[link_checklist]],"abrir"))</f>
        <v/>
      </c>
      <c r="AN331" s="6" t="n"/>
      <c r="AO331" s="3">
        <f>IF(tblOrdenes[[#This Row],[orden]]="","",tblOrdenes[[#This Row],[orden]]&amp;IF(tblOrdenes[[#This Row],[operacion]]="","0010",tblOrdenes[[#This Row],[operacion]]))</f>
        <v/>
      </c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11" t="n"/>
      <c r="K332" s="3" t="n"/>
      <c r="L332" s="10" t="n"/>
      <c r="M332" s="6" t="n"/>
      <c r="N3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32" s="3">
        <f>IF(tblOrdenes[[#This Row],[fecha_inicio]]="","",YEAR(tblOrdenes[[#This Row],[fecha_inicio]]))</f>
        <v/>
      </c>
      <c r="R332" s="3">
        <f>IF(tblOrdenes[[#This Row],[fecha_inicio]]="","",MONTH(tblOrdenes[[#This Row],[fecha_inicio]]))</f>
        <v/>
      </c>
      <c r="S332" s="3">
        <f>IF(tblOrdenes[[#This Row],[fecha_inicio]]="","",INDEX(lista_dias,WEEKDAY(tblOrdenes[[#This Row],[fecha_inicio]],2)))</f>
        <v/>
      </c>
      <c r="T332" s="3">
        <f>IF(tblOrdenes[[#This Row],[tipo_ot]]="","",_xlfn.XLOOKUP(tblOrdenes[[#This Row],[tipo_ot]],tblTiposOT[codigo],tblTiposOT[clasificacion],"sin_clasificar"))</f>
        <v/>
      </c>
      <c r="U332" s="3">
        <f>IF(tblOrdenes[[#This Row],[centro_costo]]="","",_xlfn.XLOOKUP(tblOrdenes[[#This Row],[centro_costo]],tblCECO[codigo],tblCECO[linea],"(sin catálogo)"))</f>
        <v/>
      </c>
      <c r="V332" s="3">
        <f>IF(tblOrdenes[[#This Row],[centro_costo]]="","",_xlfn.XLOOKUP(tblOrdenes[[#This Row],[centro_costo]],tblCECO[codigo],tblCECO[area],"(sin catálogo)"))</f>
        <v/>
      </c>
      <c r="W332" s="3">
        <f>IF(tblOrdenes[[#This Row],[centro_costo]]="","",_xlfn.XLOOKUP(tblOrdenes[[#This Row],[centro_costo]],tblCECO[codigo],tblCECO[coordinador],"(sin catálogo)"))</f>
        <v/>
      </c>
      <c r="X332" s="3">
        <f>IF(tblOrdenes[[#This Row],[puesto_trabajo]]="","",_xlfn.XLOOKUP(tblOrdenes[[#This Row],[puesto_trabajo]],tblPuestos[codigo],tblPuestos[especialidad],"(sin catálogo)"))</f>
        <v/>
      </c>
      <c r="Y332" s="3">
        <f>IF(tblOrdenes[[#This Row],[cod_actividad]]="","",_xlfn.XLOOKUP(tblOrdenes[[#This Row],[cod_actividad]],tblActividades[codigo],tblActividades[descripcion],"(sin catálogo)"))</f>
        <v/>
      </c>
      <c r="Z332" s="12">
        <f>IF(tblOrdenes[[#This Row],[fecha_inicio]]="","",TODAY()-tblOrdenes[[#This Row],[fecha_inicio]])</f>
        <v/>
      </c>
      <c r="AA332" s="3">
        <f>IF(tblOrdenes[[#This Row],[backlog_dias]]="","",IF(tblOrdenes[[#This Row],[backlog_dias]]&lt;0,"FUTURO",IF(tblOrdenes[[#This Row],[backlog_dias]]&gt;p_dias_backlog_max,"BACKLOG","MES CORRIENTE")))</f>
        <v/>
      </c>
      <c r="AB332" s="3">
        <f>IF(tblOrdenes[[#This Row],[backlog_dias]]="",FALSE,AND(tblOrdenes[[#This Row],[backlog_dias]]&gt;p_dias_backlog_min,tblOrdenes[[#This Row],[backlog_dias]]&lt;=p_dias_backlog_max))</f>
        <v/>
      </c>
      <c r="AC332" s="6" t="n"/>
      <c r="AD3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32" s="10">
        <f>IF(tblOrdenes[[#This Row],[orden]]="","",_xlfn.XLOOKUP(tblOrdenes[[#This Row],[id_operacion]],tblEjecucion[id_operacion],tblEjecucion[precio],0))</f>
        <v/>
      </c>
      <c r="AH332" s="10">
        <f>IF(tblOrdenes[[#This Row],[orden]]="","",MAX(0,_xlfn.XLOOKUP(tblOrdenes[[#This Row],[id_operacion]],tblEjecucion[id_operacion],tblEjecucion[costo_plan_total],0)-tblOrdenes[[#This Row],[costo_servicio]]))</f>
        <v/>
      </c>
      <c r="AI332" s="10">
        <f>IF(tblOrdenes[[#This Row],[orden]]="","",tblOrdenes[[#This Row],[costo_servicio]]+tblOrdenes[[#This Row],[costo_materiales]])</f>
        <v/>
      </c>
      <c r="AJ332" s="6" t="n"/>
      <c r="AK332" s="6" t="n"/>
      <c r="AL332" s="6" t="n"/>
      <c r="AM332" s="3">
        <f>IF(tblOrdenes[[#This Row],[link_checklist]]="","",HYPERLINK(p_ruta_base_checklists&amp;tblOrdenes[[#This Row],[link_checklist]],"abrir"))</f>
        <v/>
      </c>
      <c r="AN332" s="6" t="n"/>
      <c r="AO332" s="3">
        <f>IF(tblOrdenes[[#This Row],[orden]]="","",tblOrdenes[[#This Row],[orden]]&amp;IF(tblOrdenes[[#This Row],[operacion]]="","0010",tblOrdenes[[#This Row],[operacion]]))</f>
        <v/>
      </c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11" t="n"/>
      <c r="K333" s="3" t="n"/>
      <c r="L333" s="10" t="n"/>
      <c r="M333" s="6" t="n"/>
      <c r="N3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33" s="3">
        <f>IF(tblOrdenes[[#This Row],[fecha_inicio]]="","",YEAR(tblOrdenes[[#This Row],[fecha_inicio]]))</f>
        <v/>
      </c>
      <c r="R333" s="3">
        <f>IF(tblOrdenes[[#This Row],[fecha_inicio]]="","",MONTH(tblOrdenes[[#This Row],[fecha_inicio]]))</f>
        <v/>
      </c>
      <c r="S333" s="3">
        <f>IF(tblOrdenes[[#This Row],[fecha_inicio]]="","",INDEX(lista_dias,WEEKDAY(tblOrdenes[[#This Row],[fecha_inicio]],2)))</f>
        <v/>
      </c>
      <c r="T333" s="3">
        <f>IF(tblOrdenes[[#This Row],[tipo_ot]]="","",_xlfn.XLOOKUP(tblOrdenes[[#This Row],[tipo_ot]],tblTiposOT[codigo],tblTiposOT[clasificacion],"sin_clasificar"))</f>
        <v/>
      </c>
      <c r="U333" s="3">
        <f>IF(tblOrdenes[[#This Row],[centro_costo]]="","",_xlfn.XLOOKUP(tblOrdenes[[#This Row],[centro_costo]],tblCECO[codigo],tblCECO[linea],"(sin catálogo)"))</f>
        <v/>
      </c>
      <c r="V333" s="3">
        <f>IF(tblOrdenes[[#This Row],[centro_costo]]="","",_xlfn.XLOOKUP(tblOrdenes[[#This Row],[centro_costo]],tblCECO[codigo],tblCECO[area],"(sin catálogo)"))</f>
        <v/>
      </c>
      <c r="W333" s="3">
        <f>IF(tblOrdenes[[#This Row],[centro_costo]]="","",_xlfn.XLOOKUP(tblOrdenes[[#This Row],[centro_costo]],tblCECO[codigo],tblCECO[coordinador],"(sin catálogo)"))</f>
        <v/>
      </c>
      <c r="X333" s="3">
        <f>IF(tblOrdenes[[#This Row],[puesto_trabajo]]="","",_xlfn.XLOOKUP(tblOrdenes[[#This Row],[puesto_trabajo]],tblPuestos[codigo],tblPuestos[especialidad],"(sin catálogo)"))</f>
        <v/>
      </c>
      <c r="Y333" s="3">
        <f>IF(tblOrdenes[[#This Row],[cod_actividad]]="","",_xlfn.XLOOKUP(tblOrdenes[[#This Row],[cod_actividad]],tblActividades[codigo],tblActividades[descripcion],"(sin catálogo)"))</f>
        <v/>
      </c>
      <c r="Z333" s="12">
        <f>IF(tblOrdenes[[#This Row],[fecha_inicio]]="","",TODAY()-tblOrdenes[[#This Row],[fecha_inicio]])</f>
        <v/>
      </c>
      <c r="AA333" s="3">
        <f>IF(tblOrdenes[[#This Row],[backlog_dias]]="","",IF(tblOrdenes[[#This Row],[backlog_dias]]&lt;0,"FUTURO",IF(tblOrdenes[[#This Row],[backlog_dias]]&gt;p_dias_backlog_max,"BACKLOG","MES CORRIENTE")))</f>
        <v/>
      </c>
      <c r="AB333" s="3">
        <f>IF(tblOrdenes[[#This Row],[backlog_dias]]="",FALSE,AND(tblOrdenes[[#This Row],[backlog_dias]]&gt;p_dias_backlog_min,tblOrdenes[[#This Row],[backlog_dias]]&lt;=p_dias_backlog_max))</f>
        <v/>
      </c>
      <c r="AC333" s="6" t="n"/>
      <c r="AD3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33" s="10">
        <f>IF(tblOrdenes[[#This Row],[orden]]="","",_xlfn.XLOOKUP(tblOrdenes[[#This Row],[id_operacion]],tblEjecucion[id_operacion],tblEjecucion[precio],0))</f>
        <v/>
      </c>
      <c r="AH333" s="10">
        <f>IF(tblOrdenes[[#This Row],[orden]]="","",MAX(0,_xlfn.XLOOKUP(tblOrdenes[[#This Row],[id_operacion]],tblEjecucion[id_operacion],tblEjecucion[costo_plan_total],0)-tblOrdenes[[#This Row],[costo_servicio]]))</f>
        <v/>
      </c>
      <c r="AI333" s="10">
        <f>IF(tblOrdenes[[#This Row],[orden]]="","",tblOrdenes[[#This Row],[costo_servicio]]+tblOrdenes[[#This Row],[costo_materiales]])</f>
        <v/>
      </c>
      <c r="AJ333" s="6" t="n"/>
      <c r="AK333" s="6" t="n"/>
      <c r="AL333" s="6" t="n"/>
      <c r="AM333" s="3">
        <f>IF(tblOrdenes[[#This Row],[link_checklist]]="","",HYPERLINK(p_ruta_base_checklists&amp;tblOrdenes[[#This Row],[link_checklist]],"abrir"))</f>
        <v/>
      </c>
      <c r="AN333" s="6" t="n"/>
      <c r="AO333" s="3">
        <f>IF(tblOrdenes[[#This Row],[orden]]="","",tblOrdenes[[#This Row],[orden]]&amp;IF(tblOrdenes[[#This Row],[operacion]]="","0010",tblOrdenes[[#This Row],[operacion]]))</f>
        <v/>
      </c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11" t="n"/>
      <c r="K334" s="3" t="n"/>
      <c r="L334" s="10" t="n"/>
      <c r="M334" s="6" t="n"/>
      <c r="N3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34" s="3">
        <f>IF(tblOrdenes[[#This Row],[fecha_inicio]]="","",YEAR(tblOrdenes[[#This Row],[fecha_inicio]]))</f>
        <v/>
      </c>
      <c r="R334" s="3">
        <f>IF(tblOrdenes[[#This Row],[fecha_inicio]]="","",MONTH(tblOrdenes[[#This Row],[fecha_inicio]]))</f>
        <v/>
      </c>
      <c r="S334" s="3">
        <f>IF(tblOrdenes[[#This Row],[fecha_inicio]]="","",INDEX(lista_dias,WEEKDAY(tblOrdenes[[#This Row],[fecha_inicio]],2)))</f>
        <v/>
      </c>
      <c r="T334" s="3">
        <f>IF(tblOrdenes[[#This Row],[tipo_ot]]="","",_xlfn.XLOOKUP(tblOrdenes[[#This Row],[tipo_ot]],tblTiposOT[codigo],tblTiposOT[clasificacion],"sin_clasificar"))</f>
        <v/>
      </c>
      <c r="U334" s="3">
        <f>IF(tblOrdenes[[#This Row],[centro_costo]]="","",_xlfn.XLOOKUP(tblOrdenes[[#This Row],[centro_costo]],tblCECO[codigo],tblCECO[linea],"(sin catálogo)"))</f>
        <v/>
      </c>
      <c r="V334" s="3">
        <f>IF(tblOrdenes[[#This Row],[centro_costo]]="","",_xlfn.XLOOKUP(tblOrdenes[[#This Row],[centro_costo]],tblCECO[codigo],tblCECO[area],"(sin catálogo)"))</f>
        <v/>
      </c>
      <c r="W334" s="3">
        <f>IF(tblOrdenes[[#This Row],[centro_costo]]="","",_xlfn.XLOOKUP(tblOrdenes[[#This Row],[centro_costo]],tblCECO[codigo],tblCECO[coordinador],"(sin catálogo)"))</f>
        <v/>
      </c>
      <c r="X334" s="3">
        <f>IF(tblOrdenes[[#This Row],[puesto_trabajo]]="","",_xlfn.XLOOKUP(tblOrdenes[[#This Row],[puesto_trabajo]],tblPuestos[codigo],tblPuestos[especialidad],"(sin catálogo)"))</f>
        <v/>
      </c>
      <c r="Y334" s="3">
        <f>IF(tblOrdenes[[#This Row],[cod_actividad]]="","",_xlfn.XLOOKUP(tblOrdenes[[#This Row],[cod_actividad]],tblActividades[codigo],tblActividades[descripcion],"(sin catálogo)"))</f>
        <v/>
      </c>
      <c r="Z334" s="12">
        <f>IF(tblOrdenes[[#This Row],[fecha_inicio]]="","",TODAY()-tblOrdenes[[#This Row],[fecha_inicio]])</f>
        <v/>
      </c>
      <c r="AA334" s="3">
        <f>IF(tblOrdenes[[#This Row],[backlog_dias]]="","",IF(tblOrdenes[[#This Row],[backlog_dias]]&lt;0,"FUTURO",IF(tblOrdenes[[#This Row],[backlog_dias]]&gt;p_dias_backlog_max,"BACKLOG","MES CORRIENTE")))</f>
        <v/>
      </c>
      <c r="AB334" s="3">
        <f>IF(tblOrdenes[[#This Row],[backlog_dias]]="",FALSE,AND(tblOrdenes[[#This Row],[backlog_dias]]&gt;p_dias_backlog_min,tblOrdenes[[#This Row],[backlog_dias]]&lt;=p_dias_backlog_max))</f>
        <v/>
      </c>
      <c r="AC334" s="6" t="n"/>
      <c r="AD3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34" s="10">
        <f>IF(tblOrdenes[[#This Row],[orden]]="","",_xlfn.XLOOKUP(tblOrdenes[[#This Row],[id_operacion]],tblEjecucion[id_operacion],tblEjecucion[precio],0))</f>
        <v/>
      </c>
      <c r="AH334" s="10">
        <f>IF(tblOrdenes[[#This Row],[orden]]="","",MAX(0,_xlfn.XLOOKUP(tblOrdenes[[#This Row],[id_operacion]],tblEjecucion[id_operacion],tblEjecucion[costo_plan_total],0)-tblOrdenes[[#This Row],[costo_servicio]]))</f>
        <v/>
      </c>
      <c r="AI334" s="10">
        <f>IF(tblOrdenes[[#This Row],[orden]]="","",tblOrdenes[[#This Row],[costo_servicio]]+tblOrdenes[[#This Row],[costo_materiales]])</f>
        <v/>
      </c>
      <c r="AJ334" s="6" t="n"/>
      <c r="AK334" s="6" t="n"/>
      <c r="AL334" s="6" t="n"/>
      <c r="AM334" s="3">
        <f>IF(tblOrdenes[[#This Row],[link_checklist]]="","",HYPERLINK(p_ruta_base_checklists&amp;tblOrdenes[[#This Row],[link_checklist]],"abrir"))</f>
        <v/>
      </c>
      <c r="AN334" s="6" t="n"/>
      <c r="AO334" s="3">
        <f>IF(tblOrdenes[[#This Row],[orden]]="","",tblOrdenes[[#This Row],[orden]]&amp;IF(tblOrdenes[[#This Row],[operacion]]="","0010",tblOrdenes[[#This Row],[operacion]]))</f>
        <v/>
      </c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11" t="n"/>
      <c r="K335" s="3" t="n"/>
      <c r="L335" s="10" t="n"/>
      <c r="M335" s="6" t="n"/>
      <c r="N3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35" s="3">
        <f>IF(tblOrdenes[[#This Row],[fecha_inicio]]="","",YEAR(tblOrdenes[[#This Row],[fecha_inicio]]))</f>
        <v/>
      </c>
      <c r="R335" s="3">
        <f>IF(tblOrdenes[[#This Row],[fecha_inicio]]="","",MONTH(tblOrdenes[[#This Row],[fecha_inicio]]))</f>
        <v/>
      </c>
      <c r="S335" s="3">
        <f>IF(tblOrdenes[[#This Row],[fecha_inicio]]="","",INDEX(lista_dias,WEEKDAY(tblOrdenes[[#This Row],[fecha_inicio]],2)))</f>
        <v/>
      </c>
      <c r="T335" s="3">
        <f>IF(tblOrdenes[[#This Row],[tipo_ot]]="","",_xlfn.XLOOKUP(tblOrdenes[[#This Row],[tipo_ot]],tblTiposOT[codigo],tblTiposOT[clasificacion],"sin_clasificar"))</f>
        <v/>
      </c>
      <c r="U335" s="3">
        <f>IF(tblOrdenes[[#This Row],[centro_costo]]="","",_xlfn.XLOOKUP(tblOrdenes[[#This Row],[centro_costo]],tblCECO[codigo],tblCECO[linea],"(sin catálogo)"))</f>
        <v/>
      </c>
      <c r="V335" s="3">
        <f>IF(tblOrdenes[[#This Row],[centro_costo]]="","",_xlfn.XLOOKUP(tblOrdenes[[#This Row],[centro_costo]],tblCECO[codigo],tblCECO[area],"(sin catálogo)"))</f>
        <v/>
      </c>
      <c r="W335" s="3">
        <f>IF(tblOrdenes[[#This Row],[centro_costo]]="","",_xlfn.XLOOKUP(tblOrdenes[[#This Row],[centro_costo]],tblCECO[codigo],tblCECO[coordinador],"(sin catálogo)"))</f>
        <v/>
      </c>
      <c r="X335" s="3">
        <f>IF(tblOrdenes[[#This Row],[puesto_trabajo]]="","",_xlfn.XLOOKUP(tblOrdenes[[#This Row],[puesto_trabajo]],tblPuestos[codigo],tblPuestos[especialidad],"(sin catálogo)"))</f>
        <v/>
      </c>
      <c r="Y335" s="3">
        <f>IF(tblOrdenes[[#This Row],[cod_actividad]]="","",_xlfn.XLOOKUP(tblOrdenes[[#This Row],[cod_actividad]],tblActividades[codigo],tblActividades[descripcion],"(sin catálogo)"))</f>
        <v/>
      </c>
      <c r="Z335" s="12">
        <f>IF(tblOrdenes[[#This Row],[fecha_inicio]]="","",TODAY()-tblOrdenes[[#This Row],[fecha_inicio]])</f>
        <v/>
      </c>
      <c r="AA335" s="3">
        <f>IF(tblOrdenes[[#This Row],[backlog_dias]]="","",IF(tblOrdenes[[#This Row],[backlog_dias]]&lt;0,"FUTURO",IF(tblOrdenes[[#This Row],[backlog_dias]]&gt;p_dias_backlog_max,"BACKLOG","MES CORRIENTE")))</f>
        <v/>
      </c>
      <c r="AB335" s="3">
        <f>IF(tblOrdenes[[#This Row],[backlog_dias]]="",FALSE,AND(tblOrdenes[[#This Row],[backlog_dias]]&gt;p_dias_backlog_min,tblOrdenes[[#This Row],[backlog_dias]]&lt;=p_dias_backlog_max))</f>
        <v/>
      </c>
      <c r="AC335" s="6" t="n"/>
      <c r="AD3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35" s="10">
        <f>IF(tblOrdenes[[#This Row],[orden]]="","",_xlfn.XLOOKUP(tblOrdenes[[#This Row],[id_operacion]],tblEjecucion[id_operacion],tblEjecucion[precio],0))</f>
        <v/>
      </c>
      <c r="AH335" s="10">
        <f>IF(tblOrdenes[[#This Row],[orden]]="","",MAX(0,_xlfn.XLOOKUP(tblOrdenes[[#This Row],[id_operacion]],tblEjecucion[id_operacion],tblEjecucion[costo_plan_total],0)-tblOrdenes[[#This Row],[costo_servicio]]))</f>
        <v/>
      </c>
      <c r="AI335" s="10">
        <f>IF(tblOrdenes[[#This Row],[orden]]="","",tblOrdenes[[#This Row],[costo_servicio]]+tblOrdenes[[#This Row],[costo_materiales]])</f>
        <v/>
      </c>
      <c r="AJ335" s="6" t="n"/>
      <c r="AK335" s="6" t="n"/>
      <c r="AL335" s="6" t="n"/>
      <c r="AM335" s="3">
        <f>IF(tblOrdenes[[#This Row],[link_checklist]]="","",HYPERLINK(p_ruta_base_checklists&amp;tblOrdenes[[#This Row],[link_checklist]],"abrir"))</f>
        <v/>
      </c>
      <c r="AN335" s="6" t="n"/>
      <c r="AO335" s="3">
        <f>IF(tblOrdenes[[#This Row],[orden]]="","",tblOrdenes[[#This Row],[orden]]&amp;IF(tblOrdenes[[#This Row],[operacion]]="","0010",tblOrdenes[[#This Row],[operacion]]))</f>
        <v/>
      </c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11" t="n"/>
      <c r="K336" s="3" t="n"/>
      <c r="L336" s="10" t="n"/>
      <c r="M336" s="6" t="n"/>
      <c r="N3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36" s="3">
        <f>IF(tblOrdenes[[#This Row],[fecha_inicio]]="","",YEAR(tblOrdenes[[#This Row],[fecha_inicio]]))</f>
        <v/>
      </c>
      <c r="R336" s="3">
        <f>IF(tblOrdenes[[#This Row],[fecha_inicio]]="","",MONTH(tblOrdenes[[#This Row],[fecha_inicio]]))</f>
        <v/>
      </c>
      <c r="S336" s="3">
        <f>IF(tblOrdenes[[#This Row],[fecha_inicio]]="","",INDEX(lista_dias,WEEKDAY(tblOrdenes[[#This Row],[fecha_inicio]],2)))</f>
        <v/>
      </c>
      <c r="T336" s="3">
        <f>IF(tblOrdenes[[#This Row],[tipo_ot]]="","",_xlfn.XLOOKUP(tblOrdenes[[#This Row],[tipo_ot]],tblTiposOT[codigo],tblTiposOT[clasificacion],"sin_clasificar"))</f>
        <v/>
      </c>
      <c r="U336" s="3">
        <f>IF(tblOrdenes[[#This Row],[centro_costo]]="","",_xlfn.XLOOKUP(tblOrdenes[[#This Row],[centro_costo]],tblCECO[codigo],tblCECO[linea],"(sin catálogo)"))</f>
        <v/>
      </c>
      <c r="V336" s="3">
        <f>IF(tblOrdenes[[#This Row],[centro_costo]]="","",_xlfn.XLOOKUP(tblOrdenes[[#This Row],[centro_costo]],tblCECO[codigo],tblCECO[area],"(sin catálogo)"))</f>
        <v/>
      </c>
      <c r="W336" s="3">
        <f>IF(tblOrdenes[[#This Row],[centro_costo]]="","",_xlfn.XLOOKUP(tblOrdenes[[#This Row],[centro_costo]],tblCECO[codigo],tblCECO[coordinador],"(sin catálogo)"))</f>
        <v/>
      </c>
      <c r="X336" s="3">
        <f>IF(tblOrdenes[[#This Row],[puesto_trabajo]]="","",_xlfn.XLOOKUP(tblOrdenes[[#This Row],[puesto_trabajo]],tblPuestos[codigo],tblPuestos[especialidad],"(sin catálogo)"))</f>
        <v/>
      </c>
      <c r="Y336" s="3">
        <f>IF(tblOrdenes[[#This Row],[cod_actividad]]="","",_xlfn.XLOOKUP(tblOrdenes[[#This Row],[cod_actividad]],tblActividades[codigo],tblActividades[descripcion],"(sin catálogo)"))</f>
        <v/>
      </c>
      <c r="Z336" s="12">
        <f>IF(tblOrdenes[[#This Row],[fecha_inicio]]="","",TODAY()-tblOrdenes[[#This Row],[fecha_inicio]])</f>
        <v/>
      </c>
      <c r="AA336" s="3">
        <f>IF(tblOrdenes[[#This Row],[backlog_dias]]="","",IF(tblOrdenes[[#This Row],[backlog_dias]]&lt;0,"FUTURO",IF(tblOrdenes[[#This Row],[backlog_dias]]&gt;p_dias_backlog_max,"BACKLOG","MES CORRIENTE")))</f>
        <v/>
      </c>
      <c r="AB336" s="3">
        <f>IF(tblOrdenes[[#This Row],[backlog_dias]]="",FALSE,AND(tblOrdenes[[#This Row],[backlog_dias]]&gt;p_dias_backlog_min,tblOrdenes[[#This Row],[backlog_dias]]&lt;=p_dias_backlog_max))</f>
        <v/>
      </c>
      <c r="AC336" s="6" t="n"/>
      <c r="AD3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36" s="10">
        <f>IF(tblOrdenes[[#This Row],[orden]]="","",_xlfn.XLOOKUP(tblOrdenes[[#This Row],[id_operacion]],tblEjecucion[id_operacion],tblEjecucion[precio],0))</f>
        <v/>
      </c>
      <c r="AH336" s="10">
        <f>IF(tblOrdenes[[#This Row],[orden]]="","",MAX(0,_xlfn.XLOOKUP(tblOrdenes[[#This Row],[id_operacion]],tblEjecucion[id_operacion],tblEjecucion[costo_plan_total],0)-tblOrdenes[[#This Row],[costo_servicio]]))</f>
        <v/>
      </c>
      <c r="AI336" s="10">
        <f>IF(tblOrdenes[[#This Row],[orden]]="","",tblOrdenes[[#This Row],[costo_servicio]]+tblOrdenes[[#This Row],[costo_materiales]])</f>
        <v/>
      </c>
      <c r="AJ336" s="6" t="n"/>
      <c r="AK336" s="6" t="n"/>
      <c r="AL336" s="6" t="n"/>
      <c r="AM336" s="3">
        <f>IF(tblOrdenes[[#This Row],[link_checklist]]="","",HYPERLINK(p_ruta_base_checklists&amp;tblOrdenes[[#This Row],[link_checklist]],"abrir"))</f>
        <v/>
      </c>
      <c r="AN336" s="6" t="n"/>
      <c r="AO336" s="3">
        <f>IF(tblOrdenes[[#This Row],[orden]]="","",tblOrdenes[[#This Row],[orden]]&amp;IF(tblOrdenes[[#This Row],[operacion]]="","0010",tblOrdenes[[#This Row],[operacion]]))</f>
        <v/>
      </c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11" t="n"/>
      <c r="K337" s="3" t="n"/>
      <c r="L337" s="10" t="n"/>
      <c r="M337" s="6" t="n"/>
      <c r="N3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37" s="3">
        <f>IF(tblOrdenes[[#This Row],[fecha_inicio]]="","",YEAR(tblOrdenes[[#This Row],[fecha_inicio]]))</f>
        <v/>
      </c>
      <c r="R337" s="3">
        <f>IF(tblOrdenes[[#This Row],[fecha_inicio]]="","",MONTH(tblOrdenes[[#This Row],[fecha_inicio]]))</f>
        <v/>
      </c>
      <c r="S337" s="3">
        <f>IF(tblOrdenes[[#This Row],[fecha_inicio]]="","",INDEX(lista_dias,WEEKDAY(tblOrdenes[[#This Row],[fecha_inicio]],2)))</f>
        <v/>
      </c>
      <c r="T337" s="3">
        <f>IF(tblOrdenes[[#This Row],[tipo_ot]]="","",_xlfn.XLOOKUP(tblOrdenes[[#This Row],[tipo_ot]],tblTiposOT[codigo],tblTiposOT[clasificacion],"sin_clasificar"))</f>
        <v/>
      </c>
      <c r="U337" s="3">
        <f>IF(tblOrdenes[[#This Row],[centro_costo]]="","",_xlfn.XLOOKUP(tblOrdenes[[#This Row],[centro_costo]],tblCECO[codigo],tblCECO[linea],"(sin catálogo)"))</f>
        <v/>
      </c>
      <c r="V337" s="3">
        <f>IF(tblOrdenes[[#This Row],[centro_costo]]="","",_xlfn.XLOOKUP(tblOrdenes[[#This Row],[centro_costo]],tblCECO[codigo],tblCECO[area],"(sin catálogo)"))</f>
        <v/>
      </c>
      <c r="W337" s="3">
        <f>IF(tblOrdenes[[#This Row],[centro_costo]]="","",_xlfn.XLOOKUP(tblOrdenes[[#This Row],[centro_costo]],tblCECO[codigo],tblCECO[coordinador],"(sin catálogo)"))</f>
        <v/>
      </c>
      <c r="X337" s="3">
        <f>IF(tblOrdenes[[#This Row],[puesto_trabajo]]="","",_xlfn.XLOOKUP(tblOrdenes[[#This Row],[puesto_trabajo]],tblPuestos[codigo],tblPuestos[especialidad],"(sin catálogo)"))</f>
        <v/>
      </c>
      <c r="Y337" s="3">
        <f>IF(tblOrdenes[[#This Row],[cod_actividad]]="","",_xlfn.XLOOKUP(tblOrdenes[[#This Row],[cod_actividad]],tblActividades[codigo],tblActividades[descripcion],"(sin catálogo)"))</f>
        <v/>
      </c>
      <c r="Z337" s="12">
        <f>IF(tblOrdenes[[#This Row],[fecha_inicio]]="","",TODAY()-tblOrdenes[[#This Row],[fecha_inicio]])</f>
        <v/>
      </c>
      <c r="AA337" s="3">
        <f>IF(tblOrdenes[[#This Row],[backlog_dias]]="","",IF(tblOrdenes[[#This Row],[backlog_dias]]&lt;0,"FUTURO",IF(tblOrdenes[[#This Row],[backlog_dias]]&gt;p_dias_backlog_max,"BACKLOG","MES CORRIENTE")))</f>
        <v/>
      </c>
      <c r="AB337" s="3">
        <f>IF(tblOrdenes[[#This Row],[backlog_dias]]="",FALSE,AND(tblOrdenes[[#This Row],[backlog_dias]]&gt;p_dias_backlog_min,tblOrdenes[[#This Row],[backlog_dias]]&lt;=p_dias_backlog_max))</f>
        <v/>
      </c>
      <c r="AC337" s="6" t="n"/>
      <c r="AD3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37" s="10">
        <f>IF(tblOrdenes[[#This Row],[orden]]="","",_xlfn.XLOOKUP(tblOrdenes[[#This Row],[id_operacion]],tblEjecucion[id_operacion],tblEjecucion[precio],0))</f>
        <v/>
      </c>
      <c r="AH337" s="10">
        <f>IF(tblOrdenes[[#This Row],[orden]]="","",MAX(0,_xlfn.XLOOKUP(tblOrdenes[[#This Row],[id_operacion]],tblEjecucion[id_operacion],tblEjecucion[costo_plan_total],0)-tblOrdenes[[#This Row],[costo_servicio]]))</f>
        <v/>
      </c>
      <c r="AI337" s="10">
        <f>IF(tblOrdenes[[#This Row],[orden]]="","",tblOrdenes[[#This Row],[costo_servicio]]+tblOrdenes[[#This Row],[costo_materiales]])</f>
        <v/>
      </c>
      <c r="AJ337" s="6" t="n"/>
      <c r="AK337" s="6" t="n"/>
      <c r="AL337" s="6" t="n"/>
      <c r="AM337" s="3">
        <f>IF(tblOrdenes[[#This Row],[link_checklist]]="","",HYPERLINK(p_ruta_base_checklists&amp;tblOrdenes[[#This Row],[link_checklist]],"abrir"))</f>
        <v/>
      </c>
      <c r="AN337" s="6" t="n"/>
      <c r="AO337" s="3">
        <f>IF(tblOrdenes[[#This Row],[orden]]="","",tblOrdenes[[#This Row],[orden]]&amp;IF(tblOrdenes[[#This Row],[operacion]]="","0010",tblOrdenes[[#This Row],[operacion]]))</f>
        <v/>
      </c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11" t="n"/>
      <c r="K338" s="3" t="n"/>
      <c r="L338" s="10" t="n"/>
      <c r="M338" s="6" t="n"/>
      <c r="N3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38" s="3">
        <f>IF(tblOrdenes[[#This Row],[fecha_inicio]]="","",YEAR(tblOrdenes[[#This Row],[fecha_inicio]]))</f>
        <v/>
      </c>
      <c r="R338" s="3">
        <f>IF(tblOrdenes[[#This Row],[fecha_inicio]]="","",MONTH(tblOrdenes[[#This Row],[fecha_inicio]]))</f>
        <v/>
      </c>
      <c r="S338" s="3">
        <f>IF(tblOrdenes[[#This Row],[fecha_inicio]]="","",INDEX(lista_dias,WEEKDAY(tblOrdenes[[#This Row],[fecha_inicio]],2)))</f>
        <v/>
      </c>
      <c r="T338" s="3">
        <f>IF(tblOrdenes[[#This Row],[tipo_ot]]="","",_xlfn.XLOOKUP(tblOrdenes[[#This Row],[tipo_ot]],tblTiposOT[codigo],tblTiposOT[clasificacion],"sin_clasificar"))</f>
        <v/>
      </c>
      <c r="U338" s="3">
        <f>IF(tblOrdenes[[#This Row],[centro_costo]]="","",_xlfn.XLOOKUP(tblOrdenes[[#This Row],[centro_costo]],tblCECO[codigo],tblCECO[linea],"(sin catálogo)"))</f>
        <v/>
      </c>
      <c r="V338" s="3">
        <f>IF(tblOrdenes[[#This Row],[centro_costo]]="","",_xlfn.XLOOKUP(tblOrdenes[[#This Row],[centro_costo]],tblCECO[codigo],tblCECO[area],"(sin catálogo)"))</f>
        <v/>
      </c>
      <c r="W338" s="3">
        <f>IF(tblOrdenes[[#This Row],[centro_costo]]="","",_xlfn.XLOOKUP(tblOrdenes[[#This Row],[centro_costo]],tblCECO[codigo],tblCECO[coordinador],"(sin catálogo)"))</f>
        <v/>
      </c>
      <c r="X338" s="3">
        <f>IF(tblOrdenes[[#This Row],[puesto_trabajo]]="","",_xlfn.XLOOKUP(tblOrdenes[[#This Row],[puesto_trabajo]],tblPuestos[codigo],tblPuestos[especialidad],"(sin catálogo)"))</f>
        <v/>
      </c>
      <c r="Y338" s="3">
        <f>IF(tblOrdenes[[#This Row],[cod_actividad]]="","",_xlfn.XLOOKUP(tblOrdenes[[#This Row],[cod_actividad]],tblActividades[codigo],tblActividades[descripcion],"(sin catálogo)"))</f>
        <v/>
      </c>
      <c r="Z338" s="12">
        <f>IF(tblOrdenes[[#This Row],[fecha_inicio]]="","",TODAY()-tblOrdenes[[#This Row],[fecha_inicio]])</f>
        <v/>
      </c>
      <c r="AA338" s="3">
        <f>IF(tblOrdenes[[#This Row],[backlog_dias]]="","",IF(tblOrdenes[[#This Row],[backlog_dias]]&lt;0,"FUTURO",IF(tblOrdenes[[#This Row],[backlog_dias]]&gt;p_dias_backlog_max,"BACKLOG","MES CORRIENTE")))</f>
        <v/>
      </c>
      <c r="AB338" s="3">
        <f>IF(tblOrdenes[[#This Row],[backlog_dias]]="",FALSE,AND(tblOrdenes[[#This Row],[backlog_dias]]&gt;p_dias_backlog_min,tblOrdenes[[#This Row],[backlog_dias]]&lt;=p_dias_backlog_max))</f>
        <v/>
      </c>
      <c r="AC338" s="6" t="n"/>
      <c r="AD3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38" s="10">
        <f>IF(tblOrdenes[[#This Row],[orden]]="","",_xlfn.XLOOKUP(tblOrdenes[[#This Row],[id_operacion]],tblEjecucion[id_operacion],tblEjecucion[precio],0))</f>
        <v/>
      </c>
      <c r="AH338" s="10">
        <f>IF(tblOrdenes[[#This Row],[orden]]="","",MAX(0,_xlfn.XLOOKUP(tblOrdenes[[#This Row],[id_operacion]],tblEjecucion[id_operacion],tblEjecucion[costo_plan_total],0)-tblOrdenes[[#This Row],[costo_servicio]]))</f>
        <v/>
      </c>
      <c r="AI338" s="10">
        <f>IF(tblOrdenes[[#This Row],[orden]]="","",tblOrdenes[[#This Row],[costo_servicio]]+tblOrdenes[[#This Row],[costo_materiales]])</f>
        <v/>
      </c>
      <c r="AJ338" s="6" t="n"/>
      <c r="AK338" s="6" t="n"/>
      <c r="AL338" s="6" t="n"/>
      <c r="AM338" s="3">
        <f>IF(tblOrdenes[[#This Row],[link_checklist]]="","",HYPERLINK(p_ruta_base_checklists&amp;tblOrdenes[[#This Row],[link_checklist]],"abrir"))</f>
        <v/>
      </c>
      <c r="AN338" s="6" t="n"/>
      <c r="AO338" s="3">
        <f>IF(tblOrdenes[[#This Row],[orden]]="","",tblOrdenes[[#This Row],[orden]]&amp;IF(tblOrdenes[[#This Row],[operacion]]="","0010",tblOrdenes[[#This Row],[operacion]]))</f>
        <v/>
      </c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11" t="n"/>
      <c r="K339" s="3" t="n"/>
      <c r="L339" s="10" t="n"/>
      <c r="M339" s="6" t="n"/>
      <c r="N3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39" s="3">
        <f>IF(tblOrdenes[[#This Row],[fecha_inicio]]="","",YEAR(tblOrdenes[[#This Row],[fecha_inicio]]))</f>
        <v/>
      </c>
      <c r="R339" s="3">
        <f>IF(tblOrdenes[[#This Row],[fecha_inicio]]="","",MONTH(tblOrdenes[[#This Row],[fecha_inicio]]))</f>
        <v/>
      </c>
      <c r="S339" s="3">
        <f>IF(tblOrdenes[[#This Row],[fecha_inicio]]="","",INDEX(lista_dias,WEEKDAY(tblOrdenes[[#This Row],[fecha_inicio]],2)))</f>
        <v/>
      </c>
      <c r="T339" s="3">
        <f>IF(tblOrdenes[[#This Row],[tipo_ot]]="","",_xlfn.XLOOKUP(tblOrdenes[[#This Row],[tipo_ot]],tblTiposOT[codigo],tblTiposOT[clasificacion],"sin_clasificar"))</f>
        <v/>
      </c>
      <c r="U339" s="3">
        <f>IF(tblOrdenes[[#This Row],[centro_costo]]="","",_xlfn.XLOOKUP(tblOrdenes[[#This Row],[centro_costo]],tblCECO[codigo],tblCECO[linea],"(sin catálogo)"))</f>
        <v/>
      </c>
      <c r="V339" s="3">
        <f>IF(tblOrdenes[[#This Row],[centro_costo]]="","",_xlfn.XLOOKUP(tblOrdenes[[#This Row],[centro_costo]],tblCECO[codigo],tblCECO[area],"(sin catálogo)"))</f>
        <v/>
      </c>
      <c r="W339" s="3">
        <f>IF(tblOrdenes[[#This Row],[centro_costo]]="","",_xlfn.XLOOKUP(tblOrdenes[[#This Row],[centro_costo]],tblCECO[codigo],tblCECO[coordinador],"(sin catálogo)"))</f>
        <v/>
      </c>
      <c r="X339" s="3">
        <f>IF(tblOrdenes[[#This Row],[puesto_trabajo]]="","",_xlfn.XLOOKUP(tblOrdenes[[#This Row],[puesto_trabajo]],tblPuestos[codigo],tblPuestos[especialidad],"(sin catálogo)"))</f>
        <v/>
      </c>
      <c r="Y339" s="3">
        <f>IF(tblOrdenes[[#This Row],[cod_actividad]]="","",_xlfn.XLOOKUP(tblOrdenes[[#This Row],[cod_actividad]],tblActividades[codigo],tblActividades[descripcion],"(sin catálogo)"))</f>
        <v/>
      </c>
      <c r="Z339" s="12">
        <f>IF(tblOrdenes[[#This Row],[fecha_inicio]]="","",TODAY()-tblOrdenes[[#This Row],[fecha_inicio]])</f>
        <v/>
      </c>
      <c r="AA339" s="3">
        <f>IF(tblOrdenes[[#This Row],[backlog_dias]]="","",IF(tblOrdenes[[#This Row],[backlog_dias]]&lt;0,"FUTURO",IF(tblOrdenes[[#This Row],[backlog_dias]]&gt;p_dias_backlog_max,"BACKLOG","MES CORRIENTE")))</f>
        <v/>
      </c>
      <c r="AB339" s="3">
        <f>IF(tblOrdenes[[#This Row],[backlog_dias]]="",FALSE,AND(tblOrdenes[[#This Row],[backlog_dias]]&gt;p_dias_backlog_min,tblOrdenes[[#This Row],[backlog_dias]]&lt;=p_dias_backlog_max))</f>
        <v/>
      </c>
      <c r="AC339" s="6" t="n"/>
      <c r="AD3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39" s="10">
        <f>IF(tblOrdenes[[#This Row],[orden]]="","",_xlfn.XLOOKUP(tblOrdenes[[#This Row],[id_operacion]],tblEjecucion[id_operacion],tblEjecucion[precio],0))</f>
        <v/>
      </c>
      <c r="AH339" s="10">
        <f>IF(tblOrdenes[[#This Row],[orden]]="","",MAX(0,_xlfn.XLOOKUP(tblOrdenes[[#This Row],[id_operacion]],tblEjecucion[id_operacion],tblEjecucion[costo_plan_total],0)-tblOrdenes[[#This Row],[costo_servicio]]))</f>
        <v/>
      </c>
      <c r="AI339" s="10">
        <f>IF(tblOrdenes[[#This Row],[orden]]="","",tblOrdenes[[#This Row],[costo_servicio]]+tblOrdenes[[#This Row],[costo_materiales]])</f>
        <v/>
      </c>
      <c r="AJ339" s="6" t="n"/>
      <c r="AK339" s="6" t="n"/>
      <c r="AL339" s="6" t="n"/>
      <c r="AM339" s="3">
        <f>IF(tblOrdenes[[#This Row],[link_checklist]]="","",HYPERLINK(p_ruta_base_checklists&amp;tblOrdenes[[#This Row],[link_checklist]],"abrir"))</f>
        <v/>
      </c>
      <c r="AN339" s="6" t="n"/>
      <c r="AO339" s="3">
        <f>IF(tblOrdenes[[#This Row],[orden]]="","",tblOrdenes[[#This Row],[orden]]&amp;IF(tblOrdenes[[#This Row],[operacion]]="","0010",tblOrdenes[[#This Row],[operacion]]))</f>
        <v/>
      </c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11" t="n"/>
      <c r="K340" s="3" t="n"/>
      <c r="L340" s="10" t="n"/>
      <c r="M340" s="6" t="n"/>
      <c r="N3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40" s="3">
        <f>IF(tblOrdenes[[#This Row],[fecha_inicio]]="","",YEAR(tblOrdenes[[#This Row],[fecha_inicio]]))</f>
        <v/>
      </c>
      <c r="R340" s="3">
        <f>IF(tblOrdenes[[#This Row],[fecha_inicio]]="","",MONTH(tblOrdenes[[#This Row],[fecha_inicio]]))</f>
        <v/>
      </c>
      <c r="S340" s="3">
        <f>IF(tblOrdenes[[#This Row],[fecha_inicio]]="","",INDEX(lista_dias,WEEKDAY(tblOrdenes[[#This Row],[fecha_inicio]],2)))</f>
        <v/>
      </c>
      <c r="T340" s="3">
        <f>IF(tblOrdenes[[#This Row],[tipo_ot]]="","",_xlfn.XLOOKUP(tblOrdenes[[#This Row],[tipo_ot]],tblTiposOT[codigo],tblTiposOT[clasificacion],"sin_clasificar"))</f>
        <v/>
      </c>
      <c r="U340" s="3">
        <f>IF(tblOrdenes[[#This Row],[centro_costo]]="","",_xlfn.XLOOKUP(tblOrdenes[[#This Row],[centro_costo]],tblCECO[codigo],tblCECO[linea],"(sin catálogo)"))</f>
        <v/>
      </c>
      <c r="V340" s="3">
        <f>IF(tblOrdenes[[#This Row],[centro_costo]]="","",_xlfn.XLOOKUP(tblOrdenes[[#This Row],[centro_costo]],tblCECO[codigo],tblCECO[area],"(sin catálogo)"))</f>
        <v/>
      </c>
      <c r="W340" s="3">
        <f>IF(tblOrdenes[[#This Row],[centro_costo]]="","",_xlfn.XLOOKUP(tblOrdenes[[#This Row],[centro_costo]],tblCECO[codigo],tblCECO[coordinador],"(sin catálogo)"))</f>
        <v/>
      </c>
      <c r="X340" s="3">
        <f>IF(tblOrdenes[[#This Row],[puesto_trabajo]]="","",_xlfn.XLOOKUP(tblOrdenes[[#This Row],[puesto_trabajo]],tblPuestos[codigo],tblPuestos[especialidad],"(sin catálogo)"))</f>
        <v/>
      </c>
      <c r="Y340" s="3">
        <f>IF(tblOrdenes[[#This Row],[cod_actividad]]="","",_xlfn.XLOOKUP(tblOrdenes[[#This Row],[cod_actividad]],tblActividades[codigo],tblActividades[descripcion],"(sin catálogo)"))</f>
        <v/>
      </c>
      <c r="Z340" s="12">
        <f>IF(tblOrdenes[[#This Row],[fecha_inicio]]="","",TODAY()-tblOrdenes[[#This Row],[fecha_inicio]])</f>
        <v/>
      </c>
      <c r="AA340" s="3">
        <f>IF(tblOrdenes[[#This Row],[backlog_dias]]="","",IF(tblOrdenes[[#This Row],[backlog_dias]]&lt;0,"FUTURO",IF(tblOrdenes[[#This Row],[backlog_dias]]&gt;p_dias_backlog_max,"BACKLOG","MES CORRIENTE")))</f>
        <v/>
      </c>
      <c r="AB340" s="3">
        <f>IF(tblOrdenes[[#This Row],[backlog_dias]]="",FALSE,AND(tblOrdenes[[#This Row],[backlog_dias]]&gt;p_dias_backlog_min,tblOrdenes[[#This Row],[backlog_dias]]&lt;=p_dias_backlog_max))</f>
        <v/>
      </c>
      <c r="AC340" s="6" t="n"/>
      <c r="AD3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40" s="10">
        <f>IF(tblOrdenes[[#This Row],[orden]]="","",_xlfn.XLOOKUP(tblOrdenes[[#This Row],[id_operacion]],tblEjecucion[id_operacion],tblEjecucion[precio],0))</f>
        <v/>
      </c>
      <c r="AH340" s="10">
        <f>IF(tblOrdenes[[#This Row],[orden]]="","",MAX(0,_xlfn.XLOOKUP(tblOrdenes[[#This Row],[id_operacion]],tblEjecucion[id_operacion],tblEjecucion[costo_plan_total],0)-tblOrdenes[[#This Row],[costo_servicio]]))</f>
        <v/>
      </c>
      <c r="AI340" s="10">
        <f>IF(tblOrdenes[[#This Row],[orden]]="","",tblOrdenes[[#This Row],[costo_servicio]]+tblOrdenes[[#This Row],[costo_materiales]])</f>
        <v/>
      </c>
      <c r="AJ340" s="6" t="n"/>
      <c r="AK340" s="6" t="n"/>
      <c r="AL340" s="6" t="n"/>
      <c r="AM340" s="3">
        <f>IF(tblOrdenes[[#This Row],[link_checklist]]="","",HYPERLINK(p_ruta_base_checklists&amp;tblOrdenes[[#This Row],[link_checklist]],"abrir"))</f>
        <v/>
      </c>
      <c r="AN340" s="6" t="n"/>
      <c r="AO340" s="3">
        <f>IF(tblOrdenes[[#This Row],[orden]]="","",tblOrdenes[[#This Row],[orden]]&amp;IF(tblOrdenes[[#This Row],[operacion]]="","0010",tblOrdenes[[#This Row],[operacion]]))</f>
        <v/>
      </c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11" t="n"/>
      <c r="K341" s="3" t="n"/>
      <c r="L341" s="10" t="n"/>
      <c r="M341" s="6" t="n"/>
      <c r="N3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41" s="3">
        <f>IF(tblOrdenes[[#This Row],[fecha_inicio]]="","",YEAR(tblOrdenes[[#This Row],[fecha_inicio]]))</f>
        <v/>
      </c>
      <c r="R341" s="3">
        <f>IF(tblOrdenes[[#This Row],[fecha_inicio]]="","",MONTH(tblOrdenes[[#This Row],[fecha_inicio]]))</f>
        <v/>
      </c>
      <c r="S341" s="3">
        <f>IF(tblOrdenes[[#This Row],[fecha_inicio]]="","",INDEX(lista_dias,WEEKDAY(tblOrdenes[[#This Row],[fecha_inicio]],2)))</f>
        <v/>
      </c>
      <c r="T341" s="3">
        <f>IF(tblOrdenes[[#This Row],[tipo_ot]]="","",_xlfn.XLOOKUP(tblOrdenes[[#This Row],[tipo_ot]],tblTiposOT[codigo],tblTiposOT[clasificacion],"sin_clasificar"))</f>
        <v/>
      </c>
      <c r="U341" s="3">
        <f>IF(tblOrdenes[[#This Row],[centro_costo]]="","",_xlfn.XLOOKUP(tblOrdenes[[#This Row],[centro_costo]],tblCECO[codigo],tblCECO[linea],"(sin catálogo)"))</f>
        <v/>
      </c>
      <c r="V341" s="3">
        <f>IF(tblOrdenes[[#This Row],[centro_costo]]="","",_xlfn.XLOOKUP(tblOrdenes[[#This Row],[centro_costo]],tblCECO[codigo],tblCECO[area],"(sin catálogo)"))</f>
        <v/>
      </c>
      <c r="W341" s="3">
        <f>IF(tblOrdenes[[#This Row],[centro_costo]]="","",_xlfn.XLOOKUP(tblOrdenes[[#This Row],[centro_costo]],tblCECO[codigo],tblCECO[coordinador],"(sin catálogo)"))</f>
        <v/>
      </c>
      <c r="X341" s="3">
        <f>IF(tblOrdenes[[#This Row],[puesto_trabajo]]="","",_xlfn.XLOOKUP(tblOrdenes[[#This Row],[puesto_trabajo]],tblPuestos[codigo],tblPuestos[especialidad],"(sin catálogo)"))</f>
        <v/>
      </c>
      <c r="Y341" s="3">
        <f>IF(tblOrdenes[[#This Row],[cod_actividad]]="","",_xlfn.XLOOKUP(tblOrdenes[[#This Row],[cod_actividad]],tblActividades[codigo],tblActividades[descripcion],"(sin catálogo)"))</f>
        <v/>
      </c>
      <c r="Z341" s="12">
        <f>IF(tblOrdenes[[#This Row],[fecha_inicio]]="","",TODAY()-tblOrdenes[[#This Row],[fecha_inicio]])</f>
        <v/>
      </c>
      <c r="AA341" s="3">
        <f>IF(tblOrdenes[[#This Row],[backlog_dias]]="","",IF(tblOrdenes[[#This Row],[backlog_dias]]&lt;0,"FUTURO",IF(tblOrdenes[[#This Row],[backlog_dias]]&gt;p_dias_backlog_max,"BACKLOG","MES CORRIENTE")))</f>
        <v/>
      </c>
      <c r="AB341" s="3">
        <f>IF(tblOrdenes[[#This Row],[backlog_dias]]="",FALSE,AND(tblOrdenes[[#This Row],[backlog_dias]]&gt;p_dias_backlog_min,tblOrdenes[[#This Row],[backlog_dias]]&lt;=p_dias_backlog_max))</f>
        <v/>
      </c>
      <c r="AC341" s="6" t="n"/>
      <c r="AD3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41" s="10">
        <f>IF(tblOrdenes[[#This Row],[orden]]="","",_xlfn.XLOOKUP(tblOrdenes[[#This Row],[id_operacion]],tblEjecucion[id_operacion],tblEjecucion[precio],0))</f>
        <v/>
      </c>
      <c r="AH341" s="10">
        <f>IF(tblOrdenes[[#This Row],[orden]]="","",MAX(0,_xlfn.XLOOKUP(tblOrdenes[[#This Row],[id_operacion]],tblEjecucion[id_operacion],tblEjecucion[costo_plan_total],0)-tblOrdenes[[#This Row],[costo_servicio]]))</f>
        <v/>
      </c>
      <c r="AI341" s="10">
        <f>IF(tblOrdenes[[#This Row],[orden]]="","",tblOrdenes[[#This Row],[costo_servicio]]+tblOrdenes[[#This Row],[costo_materiales]])</f>
        <v/>
      </c>
      <c r="AJ341" s="6" t="n"/>
      <c r="AK341" s="6" t="n"/>
      <c r="AL341" s="6" t="n"/>
      <c r="AM341" s="3">
        <f>IF(tblOrdenes[[#This Row],[link_checklist]]="","",HYPERLINK(p_ruta_base_checklists&amp;tblOrdenes[[#This Row],[link_checklist]],"abrir"))</f>
        <v/>
      </c>
      <c r="AN341" s="6" t="n"/>
      <c r="AO341" s="3">
        <f>IF(tblOrdenes[[#This Row],[orden]]="","",tblOrdenes[[#This Row],[orden]]&amp;IF(tblOrdenes[[#This Row],[operacion]]="","0010",tblOrdenes[[#This Row],[operacion]]))</f>
        <v/>
      </c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11" t="n"/>
      <c r="K342" s="3" t="n"/>
      <c r="L342" s="10" t="n"/>
      <c r="M342" s="6" t="n"/>
      <c r="N3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42" s="3">
        <f>IF(tblOrdenes[[#This Row],[fecha_inicio]]="","",YEAR(tblOrdenes[[#This Row],[fecha_inicio]]))</f>
        <v/>
      </c>
      <c r="R342" s="3">
        <f>IF(tblOrdenes[[#This Row],[fecha_inicio]]="","",MONTH(tblOrdenes[[#This Row],[fecha_inicio]]))</f>
        <v/>
      </c>
      <c r="S342" s="3">
        <f>IF(tblOrdenes[[#This Row],[fecha_inicio]]="","",INDEX(lista_dias,WEEKDAY(tblOrdenes[[#This Row],[fecha_inicio]],2)))</f>
        <v/>
      </c>
      <c r="T342" s="3">
        <f>IF(tblOrdenes[[#This Row],[tipo_ot]]="","",_xlfn.XLOOKUP(tblOrdenes[[#This Row],[tipo_ot]],tblTiposOT[codigo],tblTiposOT[clasificacion],"sin_clasificar"))</f>
        <v/>
      </c>
      <c r="U342" s="3">
        <f>IF(tblOrdenes[[#This Row],[centro_costo]]="","",_xlfn.XLOOKUP(tblOrdenes[[#This Row],[centro_costo]],tblCECO[codigo],tblCECO[linea],"(sin catálogo)"))</f>
        <v/>
      </c>
      <c r="V342" s="3">
        <f>IF(tblOrdenes[[#This Row],[centro_costo]]="","",_xlfn.XLOOKUP(tblOrdenes[[#This Row],[centro_costo]],tblCECO[codigo],tblCECO[area],"(sin catálogo)"))</f>
        <v/>
      </c>
      <c r="W342" s="3">
        <f>IF(tblOrdenes[[#This Row],[centro_costo]]="","",_xlfn.XLOOKUP(tblOrdenes[[#This Row],[centro_costo]],tblCECO[codigo],tblCECO[coordinador],"(sin catálogo)"))</f>
        <v/>
      </c>
      <c r="X342" s="3">
        <f>IF(tblOrdenes[[#This Row],[puesto_trabajo]]="","",_xlfn.XLOOKUP(tblOrdenes[[#This Row],[puesto_trabajo]],tblPuestos[codigo],tblPuestos[especialidad],"(sin catálogo)"))</f>
        <v/>
      </c>
      <c r="Y342" s="3">
        <f>IF(tblOrdenes[[#This Row],[cod_actividad]]="","",_xlfn.XLOOKUP(tblOrdenes[[#This Row],[cod_actividad]],tblActividades[codigo],tblActividades[descripcion],"(sin catálogo)"))</f>
        <v/>
      </c>
      <c r="Z342" s="12">
        <f>IF(tblOrdenes[[#This Row],[fecha_inicio]]="","",TODAY()-tblOrdenes[[#This Row],[fecha_inicio]])</f>
        <v/>
      </c>
      <c r="AA342" s="3">
        <f>IF(tblOrdenes[[#This Row],[backlog_dias]]="","",IF(tblOrdenes[[#This Row],[backlog_dias]]&lt;0,"FUTURO",IF(tblOrdenes[[#This Row],[backlog_dias]]&gt;p_dias_backlog_max,"BACKLOG","MES CORRIENTE")))</f>
        <v/>
      </c>
      <c r="AB342" s="3">
        <f>IF(tblOrdenes[[#This Row],[backlog_dias]]="",FALSE,AND(tblOrdenes[[#This Row],[backlog_dias]]&gt;p_dias_backlog_min,tblOrdenes[[#This Row],[backlog_dias]]&lt;=p_dias_backlog_max))</f>
        <v/>
      </c>
      <c r="AC342" s="6" t="n"/>
      <c r="AD3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42" s="10">
        <f>IF(tblOrdenes[[#This Row],[orden]]="","",_xlfn.XLOOKUP(tblOrdenes[[#This Row],[id_operacion]],tblEjecucion[id_operacion],tblEjecucion[precio],0))</f>
        <v/>
      </c>
      <c r="AH342" s="10">
        <f>IF(tblOrdenes[[#This Row],[orden]]="","",MAX(0,_xlfn.XLOOKUP(tblOrdenes[[#This Row],[id_operacion]],tblEjecucion[id_operacion],tblEjecucion[costo_plan_total],0)-tblOrdenes[[#This Row],[costo_servicio]]))</f>
        <v/>
      </c>
      <c r="AI342" s="10">
        <f>IF(tblOrdenes[[#This Row],[orden]]="","",tblOrdenes[[#This Row],[costo_servicio]]+tblOrdenes[[#This Row],[costo_materiales]])</f>
        <v/>
      </c>
      <c r="AJ342" s="6" t="n"/>
      <c r="AK342" s="6" t="n"/>
      <c r="AL342" s="6" t="n"/>
      <c r="AM342" s="3">
        <f>IF(tblOrdenes[[#This Row],[link_checklist]]="","",HYPERLINK(p_ruta_base_checklists&amp;tblOrdenes[[#This Row],[link_checklist]],"abrir"))</f>
        <v/>
      </c>
      <c r="AN342" s="6" t="n"/>
      <c r="AO342" s="3">
        <f>IF(tblOrdenes[[#This Row],[orden]]="","",tblOrdenes[[#This Row],[orden]]&amp;IF(tblOrdenes[[#This Row],[operacion]]="","0010",tblOrdenes[[#This Row],[operacion]]))</f>
        <v/>
      </c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11" t="n"/>
      <c r="K343" s="3" t="n"/>
      <c r="L343" s="10" t="n"/>
      <c r="M343" s="6" t="n"/>
      <c r="N3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43" s="3">
        <f>IF(tblOrdenes[[#This Row],[fecha_inicio]]="","",YEAR(tblOrdenes[[#This Row],[fecha_inicio]]))</f>
        <v/>
      </c>
      <c r="R343" s="3">
        <f>IF(tblOrdenes[[#This Row],[fecha_inicio]]="","",MONTH(tblOrdenes[[#This Row],[fecha_inicio]]))</f>
        <v/>
      </c>
      <c r="S343" s="3">
        <f>IF(tblOrdenes[[#This Row],[fecha_inicio]]="","",INDEX(lista_dias,WEEKDAY(tblOrdenes[[#This Row],[fecha_inicio]],2)))</f>
        <v/>
      </c>
      <c r="T343" s="3">
        <f>IF(tblOrdenes[[#This Row],[tipo_ot]]="","",_xlfn.XLOOKUP(tblOrdenes[[#This Row],[tipo_ot]],tblTiposOT[codigo],tblTiposOT[clasificacion],"sin_clasificar"))</f>
        <v/>
      </c>
      <c r="U343" s="3">
        <f>IF(tblOrdenes[[#This Row],[centro_costo]]="","",_xlfn.XLOOKUP(tblOrdenes[[#This Row],[centro_costo]],tblCECO[codigo],tblCECO[linea],"(sin catálogo)"))</f>
        <v/>
      </c>
      <c r="V343" s="3">
        <f>IF(tblOrdenes[[#This Row],[centro_costo]]="","",_xlfn.XLOOKUP(tblOrdenes[[#This Row],[centro_costo]],tblCECO[codigo],tblCECO[area],"(sin catálogo)"))</f>
        <v/>
      </c>
      <c r="W343" s="3">
        <f>IF(tblOrdenes[[#This Row],[centro_costo]]="","",_xlfn.XLOOKUP(tblOrdenes[[#This Row],[centro_costo]],tblCECO[codigo],tblCECO[coordinador],"(sin catálogo)"))</f>
        <v/>
      </c>
      <c r="X343" s="3">
        <f>IF(tblOrdenes[[#This Row],[puesto_trabajo]]="","",_xlfn.XLOOKUP(tblOrdenes[[#This Row],[puesto_trabajo]],tblPuestos[codigo],tblPuestos[especialidad],"(sin catálogo)"))</f>
        <v/>
      </c>
      <c r="Y343" s="3">
        <f>IF(tblOrdenes[[#This Row],[cod_actividad]]="","",_xlfn.XLOOKUP(tblOrdenes[[#This Row],[cod_actividad]],tblActividades[codigo],tblActividades[descripcion],"(sin catálogo)"))</f>
        <v/>
      </c>
      <c r="Z343" s="12">
        <f>IF(tblOrdenes[[#This Row],[fecha_inicio]]="","",TODAY()-tblOrdenes[[#This Row],[fecha_inicio]])</f>
        <v/>
      </c>
      <c r="AA343" s="3">
        <f>IF(tblOrdenes[[#This Row],[backlog_dias]]="","",IF(tblOrdenes[[#This Row],[backlog_dias]]&lt;0,"FUTURO",IF(tblOrdenes[[#This Row],[backlog_dias]]&gt;p_dias_backlog_max,"BACKLOG","MES CORRIENTE")))</f>
        <v/>
      </c>
      <c r="AB343" s="3">
        <f>IF(tblOrdenes[[#This Row],[backlog_dias]]="",FALSE,AND(tblOrdenes[[#This Row],[backlog_dias]]&gt;p_dias_backlog_min,tblOrdenes[[#This Row],[backlog_dias]]&lt;=p_dias_backlog_max))</f>
        <v/>
      </c>
      <c r="AC343" s="6" t="n"/>
      <c r="AD3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43" s="10">
        <f>IF(tblOrdenes[[#This Row],[orden]]="","",_xlfn.XLOOKUP(tblOrdenes[[#This Row],[id_operacion]],tblEjecucion[id_operacion],tblEjecucion[precio],0))</f>
        <v/>
      </c>
      <c r="AH343" s="10">
        <f>IF(tblOrdenes[[#This Row],[orden]]="","",MAX(0,_xlfn.XLOOKUP(tblOrdenes[[#This Row],[id_operacion]],tblEjecucion[id_operacion],tblEjecucion[costo_plan_total],0)-tblOrdenes[[#This Row],[costo_servicio]]))</f>
        <v/>
      </c>
      <c r="AI343" s="10">
        <f>IF(tblOrdenes[[#This Row],[orden]]="","",tblOrdenes[[#This Row],[costo_servicio]]+tblOrdenes[[#This Row],[costo_materiales]])</f>
        <v/>
      </c>
      <c r="AJ343" s="6" t="n"/>
      <c r="AK343" s="6" t="n"/>
      <c r="AL343" s="6" t="n"/>
      <c r="AM343" s="3">
        <f>IF(tblOrdenes[[#This Row],[link_checklist]]="","",HYPERLINK(p_ruta_base_checklists&amp;tblOrdenes[[#This Row],[link_checklist]],"abrir"))</f>
        <v/>
      </c>
      <c r="AN343" s="6" t="n"/>
      <c r="AO343" s="3">
        <f>IF(tblOrdenes[[#This Row],[orden]]="","",tblOrdenes[[#This Row],[orden]]&amp;IF(tblOrdenes[[#This Row],[operacion]]="","0010",tblOrdenes[[#This Row],[operacion]]))</f>
        <v/>
      </c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11" t="n"/>
      <c r="K344" s="3" t="n"/>
      <c r="L344" s="10" t="n"/>
      <c r="M344" s="6" t="n"/>
      <c r="N3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44" s="3">
        <f>IF(tblOrdenes[[#This Row],[fecha_inicio]]="","",YEAR(tblOrdenes[[#This Row],[fecha_inicio]]))</f>
        <v/>
      </c>
      <c r="R344" s="3">
        <f>IF(tblOrdenes[[#This Row],[fecha_inicio]]="","",MONTH(tblOrdenes[[#This Row],[fecha_inicio]]))</f>
        <v/>
      </c>
      <c r="S344" s="3">
        <f>IF(tblOrdenes[[#This Row],[fecha_inicio]]="","",INDEX(lista_dias,WEEKDAY(tblOrdenes[[#This Row],[fecha_inicio]],2)))</f>
        <v/>
      </c>
      <c r="T344" s="3">
        <f>IF(tblOrdenes[[#This Row],[tipo_ot]]="","",_xlfn.XLOOKUP(tblOrdenes[[#This Row],[tipo_ot]],tblTiposOT[codigo],tblTiposOT[clasificacion],"sin_clasificar"))</f>
        <v/>
      </c>
      <c r="U344" s="3">
        <f>IF(tblOrdenes[[#This Row],[centro_costo]]="","",_xlfn.XLOOKUP(tblOrdenes[[#This Row],[centro_costo]],tblCECO[codigo],tblCECO[linea],"(sin catálogo)"))</f>
        <v/>
      </c>
      <c r="V344" s="3">
        <f>IF(tblOrdenes[[#This Row],[centro_costo]]="","",_xlfn.XLOOKUP(tblOrdenes[[#This Row],[centro_costo]],tblCECO[codigo],tblCECO[area],"(sin catálogo)"))</f>
        <v/>
      </c>
      <c r="W344" s="3">
        <f>IF(tblOrdenes[[#This Row],[centro_costo]]="","",_xlfn.XLOOKUP(tblOrdenes[[#This Row],[centro_costo]],tblCECO[codigo],tblCECO[coordinador],"(sin catálogo)"))</f>
        <v/>
      </c>
      <c r="X344" s="3">
        <f>IF(tblOrdenes[[#This Row],[puesto_trabajo]]="","",_xlfn.XLOOKUP(tblOrdenes[[#This Row],[puesto_trabajo]],tblPuestos[codigo],tblPuestos[especialidad],"(sin catálogo)"))</f>
        <v/>
      </c>
      <c r="Y344" s="3">
        <f>IF(tblOrdenes[[#This Row],[cod_actividad]]="","",_xlfn.XLOOKUP(tblOrdenes[[#This Row],[cod_actividad]],tblActividades[codigo],tblActividades[descripcion],"(sin catálogo)"))</f>
        <v/>
      </c>
      <c r="Z344" s="12">
        <f>IF(tblOrdenes[[#This Row],[fecha_inicio]]="","",TODAY()-tblOrdenes[[#This Row],[fecha_inicio]])</f>
        <v/>
      </c>
      <c r="AA344" s="3">
        <f>IF(tblOrdenes[[#This Row],[backlog_dias]]="","",IF(tblOrdenes[[#This Row],[backlog_dias]]&lt;0,"FUTURO",IF(tblOrdenes[[#This Row],[backlog_dias]]&gt;p_dias_backlog_max,"BACKLOG","MES CORRIENTE")))</f>
        <v/>
      </c>
      <c r="AB344" s="3">
        <f>IF(tblOrdenes[[#This Row],[backlog_dias]]="",FALSE,AND(tblOrdenes[[#This Row],[backlog_dias]]&gt;p_dias_backlog_min,tblOrdenes[[#This Row],[backlog_dias]]&lt;=p_dias_backlog_max))</f>
        <v/>
      </c>
      <c r="AC344" s="6" t="n"/>
      <c r="AD3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44" s="10">
        <f>IF(tblOrdenes[[#This Row],[orden]]="","",_xlfn.XLOOKUP(tblOrdenes[[#This Row],[id_operacion]],tblEjecucion[id_operacion],tblEjecucion[precio],0))</f>
        <v/>
      </c>
      <c r="AH344" s="10">
        <f>IF(tblOrdenes[[#This Row],[orden]]="","",MAX(0,_xlfn.XLOOKUP(tblOrdenes[[#This Row],[id_operacion]],tblEjecucion[id_operacion],tblEjecucion[costo_plan_total],0)-tblOrdenes[[#This Row],[costo_servicio]]))</f>
        <v/>
      </c>
      <c r="AI344" s="10">
        <f>IF(tblOrdenes[[#This Row],[orden]]="","",tblOrdenes[[#This Row],[costo_servicio]]+tblOrdenes[[#This Row],[costo_materiales]])</f>
        <v/>
      </c>
      <c r="AJ344" s="6" t="n"/>
      <c r="AK344" s="6" t="n"/>
      <c r="AL344" s="6" t="n"/>
      <c r="AM344" s="3">
        <f>IF(tblOrdenes[[#This Row],[link_checklist]]="","",HYPERLINK(p_ruta_base_checklists&amp;tblOrdenes[[#This Row],[link_checklist]],"abrir"))</f>
        <v/>
      </c>
      <c r="AN344" s="6" t="n"/>
      <c r="AO344" s="3">
        <f>IF(tblOrdenes[[#This Row],[orden]]="","",tblOrdenes[[#This Row],[orden]]&amp;IF(tblOrdenes[[#This Row],[operacion]]="","0010",tblOrdenes[[#This Row],[operacion]]))</f>
        <v/>
      </c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11" t="n"/>
      <c r="K345" s="3" t="n"/>
      <c r="L345" s="10" t="n"/>
      <c r="M345" s="6" t="n"/>
      <c r="N3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45" s="3">
        <f>IF(tblOrdenes[[#This Row],[fecha_inicio]]="","",YEAR(tblOrdenes[[#This Row],[fecha_inicio]]))</f>
        <v/>
      </c>
      <c r="R345" s="3">
        <f>IF(tblOrdenes[[#This Row],[fecha_inicio]]="","",MONTH(tblOrdenes[[#This Row],[fecha_inicio]]))</f>
        <v/>
      </c>
      <c r="S345" s="3">
        <f>IF(tblOrdenes[[#This Row],[fecha_inicio]]="","",INDEX(lista_dias,WEEKDAY(tblOrdenes[[#This Row],[fecha_inicio]],2)))</f>
        <v/>
      </c>
      <c r="T345" s="3">
        <f>IF(tblOrdenes[[#This Row],[tipo_ot]]="","",_xlfn.XLOOKUP(tblOrdenes[[#This Row],[tipo_ot]],tblTiposOT[codigo],tblTiposOT[clasificacion],"sin_clasificar"))</f>
        <v/>
      </c>
      <c r="U345" s="3">
        <f>IF(tblOrdenes[[#This Row],[centro_costo]]="","",_xlfn.XLOOKUP(tblOrdenes[[#This Row],[centro_costo]],tblCECO[codigo],tblCECO[linea],"(sin catálogo)"))</f>
        <v/>
      </c>
      <c r="V345" s="3">
        <f>IF(tblOrdenes[[#This Row],[centro_costo]]="","",_xlfn.XLOOKUP(tblOrdenes[[#This Row],[centro_costo]],tblCECO[codigo],tblCECO[area],"(sin catálogo)"))</f>
        <v/>
      </c>
      <c r="W345" s="3">
        <f>IF(tblOrdenes[[#This Row],[centro_costo]]="","",_xlfn.XLOOKUP(tblOrdenes[[#This Row],[centro_costo]],tblCECO[codigo],tblCECO[coordinador],"(sin catálogo)"))</f>
        <v/>
      </c>
      <c r="X345" s="3">
        <f>IF(tblOrdenes[[#This Row],[puesto_trabajo]]="","",_xlfn.XLOOKUP(tblOrdenes[[#This Row],[puesto_trabajo]],tblPuestos[codigo],tblPuestos[especialidad],"(sin catálogo)"))</f>
        <v/>
      </c>
      <c r="Y345" s="3">
        <f>IF(tblOrdenes[[#This Row],[cod_actividad]]="","",_xlfn.XLOOKUP(tblOrdenes[[#This Row],[cod_actividad]],tblActividades[codigo],tblActividades[descripcion],"(sin catálogo)"))</f>
        <v/>
      </c>
      <c r="Z345" s="12">
        <f>IF(tblOrdenes[[#This Row],[fecha_inicio]]="","",TODAY()-tblOrdenes[[#This Row],[fecha_inicio]])</f>
        <v/>
      </c>
      <c r="AA345" s="3">
        <f>IF(tblOrdenes[[#This Row],[backlog_dias]]="","",IF(tblOrdenes[[#This Row],[backlog_dias]]&lt;0,"FUTURO",IF(tblOrdenes[[#This Row],[backlog_dias]]&gt;p_dias_backlog_max,"BACKLOG","MES CORRIENTE")))</f>
        <v/>
      </c>
      <c r="AB345" s="3">
        <f>IF(tblOrdenes[[#This Row],[backlog_dias]]="",FALSE,AND(tblOrdenes[[#This Row],[backlog_dias]]&gt;p_dias_backlog_min,tblOrdenes[[#This Row],[backlog_dias]]&lt;=p_dias_backlog_max))</f>
        <v/>
      </c>
      <c r="AC345" s="6" t="n"/>
      <c r="AD3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45" s="10">
        <f>IF(tblOrdenes[[#This Row],[orden]]="","",_xlfn.XLOOKUP(tblOrdenes[[#This Row],[id_operacion]],tblEjecucion[id_operacion],tblEjecucion[precio],0))</f>
        <v/>
      </c>
      <c r="AH345" s="10">
        <f>IF(tblOrdenes[[#This Row],[orden]]="","",MAX(0,_xlfn.XLOOKUP(tblOrdenes[[#This Row],[id_operacion]],tblEjecucion[id_operacion],tblEjecucion[costo_plan_total],0)-tblOrdenes[[#This Row],[costo_servicio]]))</f>
        <v/>
      </c>
      <c r="AI345" s="10">
        <f>IF(tblOrdenes[[#This Row],[orden]]="","",tblOrdenes[[#This Row],[costo_servicio]]+tblOrdenes[[#This Row],[costo_materiales]])</f>
        <v/>
      </c>
      <c r="AJ345" s="6" t="n"/>
      <c r="AK345" s="6" t="n"/>
      <c r="AL345" s="6" t="n"/>
      <c r="AM345" s="3">
        <f>IF(tblOrdenes[[#This Row],[link_checklist]]="","",HYPERLINK(p_ruta_base_checklists&amp;tblOrdenes[[#This Row],[link_checklist]],"abrir"))</f>
        <v/>
      </c>
      <c r="AN345" s="6" t="n"/>
      <c r="AO345" s="3">
        <f>IF(tblOrdenes[[#This Row],[orden]]="","",tblOrdenes[[#This Row],[orden]]&amp;IF(tblOrdenes[[#This Row],[operacion]]="","0010",tblOrdenes[[#This Row],[operacion]]))</f>
        <v/>
      </c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11" t="n"/>
      <c r="K346" s="3" t="n"/>
      <c r="L346" s="10" t="n"/>
      <c r="M346" s="6" t="n"/>
      <c r="N3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46" s="3">
        <f>IF(tblOrdenes[[#This Row],[fecha_inicio]]="","",YEAR(tblOrdenes[[#This Row],[fecha_inicio]]))</f>
        <v/>
      </c>
      <c r="R346" s="3">
        <f>IF(tblOrdenes[[#This Row],[fecha_inicio]]="","",MONTH(tblOrdenes[[#This Row],[fecha_inicio]]))</f>
        <v/>
      </c>
      <c r="S346" s="3">
        <f>IF(tblOrdenes[[#This Row],[fecha_inicio]]="","",INDEX(lista_dias,WEEKDAY(tblOrdenes[[#This Row],[fecha_inicio]],2)))</f>
        <v/>
      </c>
      <c r="T346" s="3">
        <f>IF(tblOrdenes[[#This Row],[tipo_ot]]="","",_xlfn.XLOOKUP(tblOrdenes[[#This Row],[tipo_ot]],tblTiposOT[codigo],tblTiposOT[clasificacion],"sin_clasificar"))</f>
        <v/>
      </c>
      <c r="U346" s="3">
        <f>IF(tblOrdenes[[#This Row],[centro_costo]]="","",_xlfn.XLOOKUP(tblOrdenes[[#This Row],[centro_costo]],tblCECO[codigo],tblCECO[linea],"(sin catálogo)"))</f>
        <v/>
      </c>
      <c r="V346" s="3">
        <f>IF(tblOrdenes[[#This Row],[centro_costo]]="","",_xlfn.XLOOKUP(tblOrdenes[[#This Row],[centro_costo]],tblCECO[codigo],tblCECO[area],"(sin catálogo)"))</f>
        <v/>
      </c>
      <c r="W346" s="3">
        <f>IF(tblOrdenes[[#This Row],[centro_costo]]="","",_xlfn.XLOOKUP(tblOrdenes[[#This Row],[centro_costo]],tblCECO[codigo],tblCECO[coordinador],"(sin catálogo)"))</f>
        <v/>
      </c>
      <c r="X346" s="3">
        <f>IF(tblOrdenes[[#This Row],[puesto_trabajo]]="","",_xlfn.XLOOKUP(tblOrdenes[[#This Row],[puesto_trabajo]],tblPuestos[codigo],tblPuestos[especialidad],"(sin catálogo)"))</f>
        <v/>
      </c>
      <c r="Y346" s="3">
        <f>IF(tblOrdenes[[#This Row],[cod_actividad]]="","",_xlfn.XLOOKUP(tblOrdenes[[#This Row],[cod_actividad]],tblActividades[codigo],tblActividades[descripcion],"(sin catálogo)"))</f>
        <v/>
      </c>
      <c r="Z346" s="12">
        <f>IF(tblOrdenes[[#This Row],[fecha_inicio]]="","",TODAY()-tblOrdenes[[#This Row],[fecha_inicio]])</f>
        <v/>
      </c>
      <c r="AA346" s="3">
        <f>IF(tblOrdenes[[#This Row],[backlog_dias]]="","",IF(tblOrdenes[[#This Row],[backlog_dias]]&lt;0,"FUTURO",IF(tblOrdenes[[#This Row],[backlog_dias]]&gt;p_dias_backlog_max,"BACKLOG","MES CORRIENTE")))</f>
        <v/>
      </c>
      <c r="AB346" s="3">
        <f>IF(tblOrdenes[[#This Row],[backlog_dias]]="",FALSE,AND(tblOrdenes[[#This Row],[backlog_dias]]&gt;p_dias_backlog_min,tblOrdenes[[#This Row],[backlog_dias]]&lt;=p_dias_backlog_max))</f>
        <v/>
      </c>
      <c r="AC346" s="6" t="n"/>
      <c r="AD3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46" s="10">
        <f>IF(tblOrdenes[[#This Row],[orden]]="","",_xlfn.XLOOKUP(tblOrdenes[[#This Row],[id_operacion]],tblEjecucion[id_operacion],tblEjecucion[precio],0))</f>
        <v/>
      </c>
      <c r="AH346" s="10">
        <f>IF(tblOrdenes[[#This Row],[orden]]="","",MAX(0,_xlfn.XLOOKUP(tblOrdenes[[#This Row],[id_operacion]],tblEjecucion[id_operacion],tblEjecucion[costo_plan_total],0)-tblOrdenes[[#This Row],[costo_servicio]]))</f>
        <v/>
      </c>
      <c r="AI346" s="10">
        <f>IF(tblOrdenes[[#This Row],[orden]]="","",tblOrdenes[[#This Row],[costo_servicio]]+tblOrdenes[[#This Row],[costo_materiales]])</f>
        <v/>
      </c>
      <c r="AJ346" s="6" t="n"/>
      <c r="AK346" s="6" t="n"/>
      <c r="AL346" s="6" t="n"/>
      <c r="AM346" s="3">
        <f>IF(tblOrdenes[[#This Row],[link_checklist]]="","",HYPERLINK(p_ruta_base_checklists&amp;tblOrdenes[[#This Row],[link_checklist]],"abrir"))</f>
        <v/>
      </c>
      <c r="AN346" s="6" t="n"/>
      <c r="AO346" s="3">
        <f>IF(tblOrdenes[[#This Row],[orden]]="","",tblOrdenes[[#This Row],[orden]]&amp;IF(tblOrdenes[[#This Row],[operacion]]="","0010",tblOrdenes[[#This Row],[operacion]]))</f>
        <v/>
      </c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11" t="n"/>
      <c r="K347" s="3" t="n"/>
      <c r="L347" s="10" t="n"/>
      <c r="M347" s="6" t="n"/>
      <c r="N3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47" s="3">
        <f>IF(tblOrdenes[[#This Row],[fecha_inicio]]="","",YEAR(tblOrdenes[[#This Row],[fecha_inicio]]))</f>
        <v/>
      </c>
      <c r="R347" s="3">
        <f>IF(tblOrdenes[[#This Row],[fecha_inicio]]="","",MONTH(tblOrdenes[[#This Row],[fecha_inicio]]))</f>
        <v/>
      </c>
      <c r="S347" s="3">
        <f>IF(tblOrdenes[[#This Row],[fecha_inicio]]="","",INDEX(lista_dias,WEEKDAY(tblOrdenes[[#This Row],[fecha_inicio]],2)))</f>
        <v/>
      </c>
      <c r="T347" s="3">
        <f>IF(tblOrdenes[[#This Row],[tipo_ot]]="","",_xlfn.XLOOKUP(tblOrdenes[[#This Row],[tipo_ot]],tblTiposOT[codigo],tblTiposOT[clasificacion],"sin_clasificar"))</f>
        <v/>
      </c>
      <c r="U347" s="3">
        <f>IF(tblOrdenes[[#This Row],[centro_costo]]="","",_xlfn.XLOOKUP(tblOrdenes[[#This Row],[centro_costo]],tblCECO[codigo],tblCECO[linea],"(sin catálogo)"))</f>
        <v/>
      </c>
      <c r="V347" s="3">
        <f>IF(tblOrdenes[[#This Row],[centro_costo]]="","",_xlfn.XLOOKUP(tblOrdenes[[#This Row],[centro_costo]],tblCECO[codigo],tblCECO[area],"(sin catálogo)"))</f>
        <v/>
      </c>
      <c r="W347" s="3">
        <f>IF(tblOrdenes[[#This Row],[centro_costo]]="","",_xlfn.XLOOKUP(tblOrdenes[[#This Row],[centro_costo]],tblCECO[codigo],tblCECO[coordinador],"(sin catálogo)"))</f>
        <v/>
      </c>
      <c r="X347" s="3">
        <f>IF(tblOrdenes[[#This Row],[puesto_trabajo]]="","",_xlfn.XLOOKUP(tblOrdenes[[#This Row],[puesto_trabajo]],tblPuestos[codigo],tblPuestos[especialidad],"(sin catálogo)"))</f>
        <v/>
      </c>
      <c r="Y347" s="3">
        <f>IF(tblOrdenes[[#This Row],[cod_actividad]]="","",_xlfn.XLOOKUP(tblOrdenes[[#This Row],[cod_actividad]],tblActividades[codigo],tblActividades[descripcion],"(sin catálogo)"))</f>
        <v/>
      </c>
      <c r="Z347" s="12">
        <f>IF(tblOrdenes[[#This Row],[fecha_inicio]]="","",TODAY()-tblOrdenes[[#This Row],[fecha_inicio]])</f>
        <v/>
      </c>
      <c r="AA347" s="3">
        <f>IF(tblOrdenes[[#This Row],[backlog_dias]]="","",IF(tblOrdenes[[#This Row],[backlog_dias]]&lt;0,"FUTURO",IF(tblOrdenes[[#This Row],[backlog_dias]]&gt;p_dias_backlog_max,"BACKLOG","MES CORRIENTE")))</f>
        <v/>
      </c>
      <c r="AB347" s="3">
        <f>IF(tblOrdenes[[#This Row],[backlog_dias]]="",FALSE,AND(tblOrdenes[[#This Row],[backlog_dias]]&gt;p_dias_backlog_min,tblOrdenes[[#This Row],[backlog_dias]]&lt;=p_dias_backlog_max))</f>
        <v/>
      </c>
      <c r="AC347" s="6" t="n"/>
      <c r="AD3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47" s="10">
        <f>IF(tblOrdenes[[#This Row],[orden]]="","",_xlfn.XLOOKUP(tblOrdenes[[#This Row],[id_operacion]],tblEjecucion[id_operacion],tblEjecucion[precio],0))</f>
        <v/>
      </c>
      <c r="AH347" s="10">
        <f>IF(tblOrdenes[[#This Row],[orden]]="","",MAX(0,_xlfn.XLOOKUP(tblOrdenes[[#This Row],[id_operacion]],tblEjecucion[id_operacion],tblEjecucion[costo_plan_total],0)-tblOrdenes[[#This Row],[costo_servicio]]))</f>
        <v/>
      </c>
      <c r="AI347" s="10">
        <f>IF(tblOrdenes[[#This Row],[orden]]="","",tblOrdenes[[#This Row],[costo_servicio]]+tblOrdenes[[#This Row],[costo_materiales]])</f>
        <v/>
      </c>
      <c r="AJ347" s="6" t="n"/>
      <c r="AK347" s="6" t="n"/>
      <c r="AL347" s="6" t="n"/>
      <c r="AM347" s="3">
        <f>IF(tblOrdenes[[#This Row],[link_checklist]]="","",HYPERLINK(p_ruta_base_checklists&amp;tblOrdenes[[#This Row],[link_checklist]],"abrir"))</f>
        <v/>
      </c>
      <c r="AN347" s="6" t="n"/>
      <c r="AO347" s="3">
        <f>IF(tblOrdenes[[#This Row],[orden]]="","",tblOrdenes[[#This Row],[orden]]&amp;IF(tblOrdenes[[#This Row],[operacion]]="","0010",tblOrdenes[[#This Row],[operacion]]))</f>
        <v/>
      </c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11" t="n"/>
      <c r="K348" s="3" t="n"/>
      <c r="L348" s="10" t="n"/>
      <c r="M348" s="6" t="n"/>
      <c r="N3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48" s="3">
        <f>IF(tblOrdenes[[#This Row],[fecha_inicio]]="","",YEAR(tblOrdenes[[#This Row],[fecha_inicio]]))</f>
        <v/>
      </c>
      <c r="R348" s="3">
        <f>IF(tblOrdenes[[#This Row],[fecha_inicio]]="","",MONTH(tblOrdenes[[#This Row],[fecha_inicio]]))</f>
        <v/>
      </c>
      <c r="S348" s="3">
        <f>IF(tblOrdenes[[#This Row],[fecha_inicio]]="","",INDEX(lista_dias,WEEKDAY(tblOrdenes[[#This Row],[fecha_inicio]],2)))</f>
        <v/>
      </c>
      <c r="T348" s="3">
        <f>IF(tblOrdenes[[#This Row],[tipo_ot]]="","",_xlfn.XLOOKUP(tblOrdenes[[#This Row],[tipo_ot]],tblTiposOT[codigo],tblTiposOT[clasificacion],"sin_clasificar"))</f>
        <v/>
      </c>
      <c r="U348" s="3">
        <f>IF(tblOrdenes[[#This Row],[centro_costo]]="","",_xlfn.XLOOKUP(tblOrdenes[[#This Row],[centro_costo]],tblCECO[codigo],tblCECO[linea],"(sin catálogo)"))</f>
        <v/>
      </c>
      <c r="V348" s="3">
        <f>IF(tblOrdenes[[#This Row],[centro_costo]]="","",_xlfn.XLOOKUP(tblOrdenes[[#This Row],[centro_costo]],tblCECO[codigo],tblCECO[area],"(sin catálogo)"))</f>
        <v/>
      </c>
      <c r="W348" s="3">
        <f>IF(tblOrdenes[[#This Row],[centro_costo]]="","",_xlfn.XLOOKUP(tblOrdenes[[#This Row],[centro_costo]],tblCECO[codigo],tblCECO[coordinador],"(sin catálogo)"))</f>
        <v/>
      </c>
      <c r="X348" s="3">
        <f>IF(tblOrdenes[[#This Row],[puesto_trabajo]]="","",_xlfn.XLOOKUP(tblOrdenes[[#This Row],[puesto_trabajo]],tblPuestos[codigo],tblPuestos[especialidad],"(sin catálogo)"))</f>
        <v/>
      </c>
      <c r="Y348" s="3">
        <f>IF(tblOrdenes[[#This Row],[cod_actividad]]="","",_xlfn.XLOOKUP(tblOrdenes[[#This Row],[cod_actividad]],tblActividades[codigo],tblActividades[descripcion],"(sin catálogo)"))</f>
        <v/>
      </c>
      <c r="Z348" s="12">
        <f>IF(tblOrdenes[[#This Row],[fecha_inicio]]="","",TODAY()-tblOrdenes[[#This Row],[fecha_inicio]])</f>
        <v/>
      </c>
      <c r="AA348" s="3">
        <f>IF(tblOrdenes[[#This Row],[backlog_dias]]="","",IF(tblOrdenes[[#This Row],[backlog_dias]]&lt;0,"FUTURO",IF(tblOrdenes[[#This Row],[backlog_dias]]&gt;p_dias_backlog_max,"BACKLOG","MES CORRIENTE")))</f>
        <v/>
      </c>
      <c r="AB348" s="3">
        <f>IF(tblOrdenes[[#This Row],[backlog_dias]]="",FALSE,AND(tblOrdenes[[#This Row],[backlog_dias]]&gt;p_dias_backlog_min,tblOrdenes[[#This Row],[backlog_dias]]&lt;=p_dias_backlog_max))</f>
        <v/>
      </c>
      <c r="AC348" s="6" t="n"/>
      <c r="AD3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48" s="10">
        <f>IF(tblOrdenes[[#This Row],[orden]]="","",_xlfn.XLOOKUP(tblOrdenes[[#This Row],[id_operacion]],tblEjecucion[id_operacion],tblEjecucion[precio],0))</f>
        <v/>
      </c>
      <c r="AH348" s="10">
        <f>IF(tblOrdenes[[#This Row],[orden]]="","",MAX(0,_xlfn.XLOOKUP(tblOrdenes[[#This Row],[id_operacion]],tblEjecucion[id_operacion],tblEjecucion[costo_plan_total],0)-tblOrdenes[[#This Row],[costo_servicio]]))</f>
        <v/>
      </c>
      <c r="AI348" s="10">
        <f>IF(tblOrdenes[[#This Row],[orden]]="","",tblOrdenes[[#This Row],[costo_servicio]]+tblOrdenes[[#This Row],[costo_materiales]])</f>
        <v/>
      </c>
      <c r="AJ348" s="6" t="n"/>
      <c r="AK348" s="6" t="n"/>
      <c r="AL348" s="6" t="n"/>
      <c r="AM348" s="3">
        <f>IF(tblOrdenes[[#This Row],[link_checklist]]="","",HYPERLINK(p_ruta_base_checklists&amp;tblOrdenes[[#This Row],[link_checklist]],"abrir"))</f>
        <v/>
      </c>
      <c r="AN348" s="6" t="n"/>
      <c r="AO348" s="3">
        <f>IF(tblOrdenes[[#This Row],[orden]]="","",tblOrdenes[[#This Row],[orden]]&amp;IF(tblOrdenes[[#This Row],[operacion]]="","0010",tblOrdenes[[#This Row],[operacion]]))</f>
        <v/>
      </c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11" t="n"/>
      <c r="K349" s="3" t="n"/>
      <c r="L349" s="10" t="n"/>
      <c r="M349" s="6" t="n"/>
      <c r="N3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49" s="3">
        <f>IF(tblOrdenes[[#This Row],[fecha_inicio]]="","",YEAR(tblOrdenes[[#This Row],[fecha_inicio]]))</f>
        <v/>
      </c>
      <c r="R349" s="3">
        <f>IF(tblOrdenes[[#This Row],[fecha_inicio]]="","",MONTH(tblOrdenes[[#This Row],[fecha_inicio]]))</f>
        <v/>
      </c>
      <c r="S349" s="3">
        <f>IF(tblOrdenes[[#This Row],[fecha_inicio]]="","",INDEX(lista_dias,WEEKDAY(tblOrdenes[[#This Row],[fecha_inicio]],2)))</f>
        <v/>
      </c>
      <c r="T349" s="3">
        <f>IF(tblOrdenes[[#This Row],[tipo_ot]]="","",_xlfn.XLOOKUP(tblOrdenes[[#This Row],[tipo_ot]],tblTiposOT[codigo],tblTiposOT[clasificacion],"sin_clasificar"))</f>
        <v/>
      </c>
      <c r="U349" s="3">
        <f>IF(tblOrdenes[[#This Row],[centro_costo]]="","",_xlfn.XLOOKUP(tblOrdenes[[#This Row],[centro_costo]],tblCECO[codigo],tblCECO[linea],"(sin catálogo)"))</f>
        <v/>
      </c>
      <c r="V349" s="3">
        <f>IF(tblOrdenes[[#This Row],[centro_costo]]="","",_xlfn.XLOOKUP(tblOrdenes[[#This Row],[centro_costo]],tblCECO[codigo],tblCECO[area],"(sin catálogo)"))</f>
        <v/>
      </c>
      <c r="W349" s="3">
        <f>IF(tblOrdenes[[#This Row],[centro_costo]]="","",_xlfn.XLOOKUP(tblOrdenes[[#This Row],[centro_costo]],tblCECO[codigo],tblCECO[coordinador],"(sin catálogo)"))</f>
        <v/>
      </c>
      <c r="X349" s="3">
        <f>IF(tblOrdenes[[#This Row],[puesto_trabajo]]="","",_xlfn.XLOOKUP(tblOrdenes[[#This Row],[puesto_trabajo]],tblPuestos[codigo],tblPuestos[especialidad],"(sin catálogo)"))</f>
        <v/>
      </c>
      <c r="Y349" s="3">
        <f>IF(tblOrdenes[[#This Row],[cod_actividad]]="","",_xlfn.XLOOKUP(tblOrdenes[[#This Row],[cod_actividad]],tblActividades[codigo],tblActividades[descripcion],"(sin catálogo)"))</f>
        <v/>
      </c>
      <c r="Z349" s="12">
        <f>IF(tblOrdenes[[#This Row],[fecha_inicio]]="","",TODAY()-tblOrdenes[[#This Row],[fecha_inicio]])</f>
        <v/>
      </c>
      <c r="AA349" s="3">
        <f>IF(tblOrdenes[[#This Row],[backlog_dias]]="","",IF(tblOrdenes[[#This Row],[backlog_dias]]&lt;0,"FUTURO",IF(tblOrdenes[[#This Row],[backlog_dias]]&gt;p_dias_backlog_max,"BACKLOG","MES CORRIENTE")))</f>
        <v/>
      </c>
      <c r="AB349" s="3">
        <f>IF(tblOrdenes[[#This Row],[backlog_dias]]="",FALSE,AND(tblOrdenes[[#This Row],[backlog_dias]]&gt;p_dias_backlog_min,tblOrdenes[[#This Row],[backlog_dias]]&lt;=p_dias_backlog_max))</f>
        <v/>
      </c>
      <c r="AC349" s="6" t="n"/>
      <c r="AD3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49" s="10">
        <f>IF(tblOrdenes[[#This Row],[orden]]="","",_xlfn.XLOOKUP(tblOrdenes[[#This Row],[id_operacion]],tblEjecucion[id_operacion],tblEjecucion[precio],0))</f>
        <v/>
      </c>
      <c r="AH349" s="10">
        <f>IF(tblOrdenes[[#This Row],[orden]]="","",MAX(0,_xlfn.XLOOKUP(tblOrdenes[[#This Row],[id_operacion]],tblEjecucion[id_operacion],tblEjecucion[costo_plan_total],0)-tblOrdenes[[#This Row],[costo_servicio]]))</f>
        <v/>
      </c>
      <c r="AI349" s="10">
        <f>IF(tblOrdenes[[#This Row],[orden]]="","",tblOrdenes[[#This Row],[costo_servicio]]+tblOrdenes[[#This Row],[costo_materiales]])</f>
        <v/>
      </c>
      <c r="AJ349" s="6" t="n"/>
      <c r="AK349" s="6" t="n"/>
      <c r="AL349" s="6" t="n"/>
      <c r="AM349" s="3">
        <f>IF(tblOrdenes[[#This Row],[link_checklist]]="","",HYPERLINK(p_ruta_base_checklists&amp;tblOrdenes[[#This Row],[link_checklist]],"abrir"))</f>
        <v/>
      </c>
      <c r="AN349" s="6" t="n"/>
      <c r="AO349" s="3">
        <f>IF(tblOrdenes[[#This Row],[orden]]="","",tblOrdenes[[#This Row],[orden]]&amp;IF(tblOrdenes[[#This Row],[operacion]]="","0010",tblOrdenes[[#This Row],[operacion]]))</f>
        <v/>
      </c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11" t="n"/>
      <c r="K350" s="3" t="n"/>
      <c r="L350" s="10" t="n"/>
      <c r="M350" s="6" t="n"/>
      <c r="N3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50" s="3">
        <f>IF(tblOrdenes[[#This Row],[fecha_inicio]]="","",YEAR(tblOrdenes[[#This Row],[fecha_inicio]]))</f>
        <v/>
      </c>
      <c r="R350" s="3">
        <f>IF(tblOrdenes[[#This Row],[fecha_inicio]]="","",MONTH(tblOrdenes[[#This Row],[fecha_inicio]]))</f>
        <v/>
      </c>
      <c r="S350" s="3">
        <f>IF(tblOrdenes[[#This Row],[fecha_inicio]]="","",INDEX(lista_dias,WEEKDAY(tblOrdenes[[#This Row],[fecha_inicio]],2)))</f>
        <v/>
      </c>
      <c r="T350" s="3">
        <f>IF(tblOrdenes[[#This Row],[tipo_ot]]="","",_xlfn.XLOOKUP(tblOrdenes[[#This Row],[tipo_ot]],tblTiposOT[codigo],tblTiposOT[clasificacion],"sin_clasificar"))</f>
        <v/>
      </c>
      <c r="U350" s="3">
        <f>IF(tblOrdenes[[#This Row],[centro_costo]]="","",_xlfn.XLOOKUP(tblOrdenes[[#This Row],[centro_costo]],tblCECO[codigo],tblCECO[linea],"(sin catálogo)"))</f>
        <v/>
      </c>
      <c r="V350" s="3">
        <f>IF(tblOrdenes[[#This Row],[centro_costo]]="","",_xlfn.XLOOKUP(tblOrdenes[[#This Row],[centro_costo]],tblCECO[codigo],tblCECO[area],"(sin catálogo)"))</f>
        <v/>
      </c>
      <c r="W350" s="3">
        <f>IF(tblOrdenes[[#This Row],[centro_costo]]="","",_xlfn.XLOOKUP(tblOrdenes[[#This Row],[centro_costo]],tblCECO[codigo],tblCECO[coordinador],"(sin catálogo)"))</f>
        <v/>
      </c>
      <c r="X350" s="3">
        <f>IF(tblOrdenes[[#This Row],[puesto_trabajo]]="","",_xlfn.XLOOKUP(tblOrdenes[[#This Row],[puesto_trabajo]],tblPuestos[codigo],tblPuestos[especialidad],"(sin catálogo)"))</f>
        <v/>
      </c>
      <c r="Y350" s="3">
        <f>IF(tblOrdenes[[#This Row],[cod_actividad]]="","",_xlfn.XLOOKUP(tblOrdenes[[#This Row],[cod_actividad]],tblActividades[codigo],tblActividades[descripcion],"(sin catálogo)"))</f>
        <v/>
      </c>
      <c r="Z350" s="12">
        <f>IF(tblOrdenes[[#This Row],[fecha_inicio]]="","",TODAY()-tblOrdenes[[#This Row],[fecha_inicio]])</f>
        <v/>
      </c>
      <c r="AA350" s="3">
        <f>IF(tblOrdenes[[#This Row],[backlog_dias]]="","",IF(tblOrdenes[[#This Row],[backlog_dias]]&lt;0,"FUTURO",IF(tblOrdenes[[#This Row],[backlog_dias]]&gt;p_dias_backlog_max,"BACKLOG","MES CORRIENTE")))</f>
        <v/>
      </c>
      <c r="AB350" s="3">
        <f>IF(tblOrdenes[[#This Row],[backlog_dias]]="",FALSE,AND(tblOrdenes[[#This Row],[backlog_dias]]&gt;p_dias_backlog_min,tblOrdenes[[#This Row],[backlog_dias]]&lt;=p_dias_backlog_max))</f>
        <v/>
      </c>
      <c r="AC350" s="6" t="n"/>
      <c r="AD3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50" s="10">
        <f>IF(tblOrdenes[[#This Row],[orden]]="","",_xlfn.XLOOKUP(tblOrdenes[[#This Row],[id_operacion]],tblEjecucion[id_operacion],tblEjecucion[precio],0))</f>
        <v/>
      </c>
      <c r="AH350" s="10">
        <f>IF(tblOrdenes[[#This Row],[orden]]="","",MAX(0,_xlfn.XLOOKUP(tblOrdenes[[#This Row],[id_operacion]],tblEjecucion[id_operacion],tblEjecucion[costo_plan_total],0)-tblOrdenes[[#This Row],[costo_servicio]]))</f>
        <v/>
      </c>
      <c r="AI350" s="10">
        <f>IF(tblOrdenes[[#This Row],[orden]]="","",tblOrdenes[[#This Row],[costo_servicio]]+tblOrdenes[[#This Row],[costo_materiales]])</f>
        <v/>
      </c>
      <c r="AJ350" s="6" t="n"/>
      <c r="AK350" s="6" t="n"/>
      <c r="AL350" s="6" t="n"/>
      <c r="AM350" s="3">
        <f>IF(tblOrdenes[[#This Row],[link_checklist]]="","",HYPERLINK(p_ruta_base_checklists&amp;tblOrdenes[[#This Row],[link_checklist]],"abrir"))</f>
        <v/>
      </c>
      <c r="AN350" s="6" t="n"/>
      <c r="AO350" s="3">
        <f>IF(tblOrdenes[[#This Row],[orden]]="","",tblOrdenes[[#This Row],[orden]]&amp;IF(tblOrdenes[[#This Row],[operacion]]="","0010",tblOrdenes[[#This Row],[operacion]]))</f>
        <v/>
      </c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11" t="n"/>
      <c r="K351" s="3" t="n"/>
      <c r="L351" s="10" t="n"/>
      <c r="M351" s="6" t="n"/>
      <c r="N3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51" s="3">
        <f>IF(tblOrdenes[[#This Row],[fecha_inicio]]="","",YEAR(tblOrdenes[[#This Row],[fecha_inicio]]))</f>
        <v/>
      </c>
      <c r="R351" s="3">
        <f>IF(tblOrdenes[[#This Row],[fecha_inicio]]="","",MONTH(tblOrdenes[[#This Row],[fecha_inicio]]))</f>
        <v/>
      </c>
      <c r="S351" s="3">
        <f>IF(tblOrdenes[[#This Row],[fecha_inicio]]="","",INDEX(lista_dias,WEEKDAY(tblOrdenes[[#This Row],[fecha_inicio]],2)))</f>
        <v/>
      </c>
      <c r="T351" s="3">
        <f>IF(tblOrdenes[[#This Row],[tipo_ot]]="","",_xlfn.XLOOKUP(tblOrdenes[[#This Row],[tipo_ot]],tblTiposOT[codigo],tblTiposOT[clasificacion],"sin_clasificar"))</f>
        <v/>
      </c>
      <c r="U351" s="3">
        <f>IF(tblOrdenes[[#This Row],[centro_costo]]="","",_xlfn.XLOOKUP(tblOrdenes[[#This Row],[centro_costo]],tblCECO[codigo],tblCECO[linea],"(sin catálogo)"))</f>
        <v/>
      </c>
      <c r="V351" s="3">
        <f>IF(tblOrdenes[[#This Row],[centro_costo]]="","",_xlfn.XLOOKUP(tblOrdenes[[#This Row],[centro_costo]],tblCECO[codigo],tblCECO[area],"(sin catálogo)"))</f>
        <v/>
      </c>
      <c r="W351" s="3">
        <f>IF(tblOrdenes[[#This Row],[centro_costo]]="","",_xlfn.XLOOKUP(tblOrdenes[[#This Row],[centro_costo]],tblCECO[codigo],tblCECO[coordinador],"(sin catálogo)"))</f>
        <v/>
      </c>
      <c r="X351" s="3">
        <f>IF(tblOrdenes[[#This Row],[puesto_trabajo]]="","",_xlfn.XLOOKUP(tblOrdenes[[#This Row],[puesto_trabajo]],tblPuestos[codigo],tblPuestos[especialidad],"(sin catálogo)"))</f>
        <v/>
      </c>
      <c r="Y351" s="3">
        <f>IF(tblOrdenes[[#This Row],[cod_actividad]]="","",_xlfn.XLOOKUP(tblOrdenes[[#This Row],[cod_actividad]],tblActividades[codigo],tblActividades[descripcion],"(sin catálogo)"))</f>
        <v/>
      </c>
      <c r="Z351" s="12">
        <f>IF(tblOrdenes[[#This Row],[fecha_inicio]]="","",TODAY()-tblOrdenes[[#This Row],[fecha_inicio]])</f>
        <v/>
      </c>
      <c r="AA351" s="3">
        <f>IF(tblOrdenes[[#This Row],[backlog_dias]]="","",IF(tblOrdenes[[#This Row],[backlog_dias]]&lt;0,"FUTURO",IF(tblOrdenes[[#This Row],[backlog_dias]]&gt;p_dias_backlog_max,"BACKLOG","MES CORRIENTE")))</f>
        <v/>
      </c>
      <c r="AB351" s="3">
        <f>IF(tblOrdenes[[#This Row],[backlog_dias]]="",FALSE,AND(tblOrdenes[[#This Row],[backlog_dias]]&gt;p_dias_backlog_min,tblOrdenes[[#This Row],[backlog_dias]]&lt;=p_dias_backlog_max))</f>
        <v/>
      </c>
      <c r="AC351" s="6" t="n"/>
      <c r="AD3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51" s="10">
        <f>IF(tblOrdenes[[#This Row],[orden]]="","",_xlfn.XLOOKUP(tblOrdenes[[#This Row],[id_operacion]],tblEjecucion[id_operacion],tblEjecucion[precio],0))</f>
        <v/>
      </c>
      <c r="AH351" s="10">
        <f>IF(tblOrdenes[[#This Row],[orden]]="","",MAX(0,_xlfn.XLOOKUP(tblOrdenes[[#This Row],[id_operacion]],tblEjecucion[id_operacion],tblEjecucion[costo_plan_total],0)-tblOrdenes[[#This Row],[costo_servicio]]))</f>
        <v/>
      </c>
      <c r="AI351" s="10">
        <f>IF(tblOrdenes[[#This Row],[orden]]="","",tblOrdenes[[#This Row],[costo_servicio]]+tblOrdenes[[#This Row],[costo_materiales]])</f>
        <v/>
      </c>
      <c r="AJ351" s="6" t="n"/>
      <c r="AK351" s="6" t="n"/>
      <c r="AL351" s="6" t="n"/>
      <c r="AM351" s="3">
        <f>IF(tblOrdenes[[#This Row],[link_checklist]]="","",HYPERLINK(p_ruta_base_checklists&amp;tblOrdenes[[#This Row],[link_checklist]],"abrir"))</f>
        <v/>
      </c>
      <c r="AN351" s="6" t="n"/>
      <c r="AO351" s="3">
        <f>IF(tblOrdenes[[#This Row],[orden]]="","",tblOrdenes[[#This Row],[orden]]&amp;IF(tblOrdenes[[#This Row],[operacion]]="","0010",tblOrdenes[[#This Row],[operacion]]))</f>
        <v/>
      </c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11" t="n"/>
      <c r="K352" s="3" t="n"/>
      <c r="L352" s="10" t="n"/>
      <c r="M352" s="6" t="n"/>
      <c r="N3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52" s="3">
        <f>IF(tblOrdenes[[#This Row],[fecha_inicio]]="","",YEAR(tblOrdenes[[#This Row],[fecha_inicio]]))</f>
        <v/>
      </c>
      <c r="R352" s="3">
        <f>IF(tblOrdenes[[#This Row],[fecha_inicio]]="","",MONTH(tblOrdenes[[#This Row],[fecha_inicio]]))</f>
        <v/>
      </c>
      <c r="S352" s="3">
        <f>IF(tblOrdenes[[#This Row],[fecha_inicio]]="","",INDEX(lista_dias,WEEKDAY(tblOrdenes[[#This Row],[fecha_inicio]],2)))</f>
        <v/>
      </c>
      <c r="T352" s="3">
        <f>IF(tblOrdenes[[#This Row],[tipo_ot]]="","",_xlfn.XLOOKUP(tblOrdenes[[#This Row],[tipo_ot]],tblTiposOT[codigo],tblTiposOT[clasificacion],"sin_clasificar"))</f>
        <v/>
      </c>
      <c r="U352" s="3">
        <f>IF(tblOrdenes[[#This Row],[centro_costo]]="","",_xlfn.XLOOKUP(tblOrdenes[[#This Row],[centro_costo]],tblCECO[codigo],tblCECO[linea],"(sin catálogo)"))</f>
        <v/>
      </c>
      <c r="V352" s="3">
        <f>IF(tblOrdenes[[#This Row],[centro_costo]]="","",_xlfn.XLOOKUP(tblOrdenes[[#This Row],[centro_costo]],tblCECO[codigo],tblCECO[area],"(sin catálogo)"))</f>
        <v/>
      </c>
      <c r="W352" s="3">
        <f>IF(tblOrdenes[[#This Row],[centro_costo]]="","",_xlfn.XLOOKUP(tblOrdenes[[#This Row],[centro_costo]],tblCECO[codigo],tblCECO[coordinador],"(sin catálogo)"))</f>
        <v/>
      </c>
      <c r="X352" s="3">
        <f>IF(tblOrdenes[[#This Row],[puesto_trabajo]]="","",_xlfn.XLOOKUP(tblOrdenes[[#This Row],[puesto_trabajo]],tblPuestos[codigo],tblPuestos[especialidad],"(sin catálogo)"))</f>
        <v/>
      </c>
      <c r="Y352" s="3">
        <f>IF(tblOrdenes[[#This Row],[cod_actividad]]="","",_xlfn.XLOOKUP(tblOrdenes[[#This Row],[cod_actividad]],tblActividades[codigo],tblActividades[descripcion],"(sin catálogo)"))</f>
        <v/>
      </c>
      <c r="Z352" s="12">
        <f>IF(tblOrdenes[[#This Row],[fecha_inicio]]="","",TODAY()-tblOrdenes[[#This Row],[fecha_inicio]])</f>
        <v/>
      </c>
      <c r="AA352" s="3">
        <f>IF(tblOrdenes[[#This Row],[backlog_dias]]="","",IF(tblOrdenes[[#This Row],[backlog_dias]]&lt;0,"FUTURO",IF(tblOrdenes[[#This Row],[backlog_dias]]&gt;p_dias_backlog_max,"BACKLOG","MES CORRIENTE")))</f>
        <v/>
      </c>
      <c r="AB352" s="3">
        <f>IF(tblOrdenes[[#This Row],[backlog_dias]]="",FALSE,AND(tblOrdenes[[#This Row],[backlog_dias]]&gt;p_dias_backlog_min,tblOrdenes[[#This Row],[backlog_dias]]&lt;=p_dias_backlog_max))</f>
        <v/>
      </c>
      <c r="AC352" s="6" t="n"/>
      <c r="AD3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52" s="10">
        <f>IF(tblOrdenes[[#This Row],[orden]]="","",_xlfn.XLOOKUP(tblOrdenes[[#This Row],[id_operacion]],tblEjecucion[id_operacion],tblEjecucion[precio],0))</f>
        <v/>
      </c>
      <c r="AH352" s="10">
        <f>IF(tblOrdenes[[#This Row],[orden]]="","",MAX(0,_xlfn.XLOOKUP(tblOrdenes[[#This Row],[id_operacion]],tblEjecucion[id_operacion],tblEjecucion[costo_plan_total],0)-tblOrdenes[[#This Row],[costo_servicio]]))</f>
        <v/>
      </c>
      <c r="AI352" s="10">
        <f>IF(tblOrdenes[[#This Row],[orden]]="","",tblOrdenes[[#This Row],[costo_servicio]]+tblOrdenes[[#This Row],[costo_materiales]])</f>
        <v/>
      </c>
      <c r="AJ352" s="6" t="n"/>
      <c r="AK352" s="6" t="n"/>
      <c r="AL352" s="6" t="n"/>
      <c r="AM352" s="3">
        <f>IF(tblOrdenes[[#This Row],[link_checklist]]="","",HYPERLINK(p_ruta_base_checklists&amp;tblOrdenes[[#This Row],[link_checklist]],"abrir"))</f>
        <v/>
      </c>
      <c r="AN352" s="6" t="n"/>
      <c r="AO352" s="3">
        <f>IF(tblOrdenes[[#This Row],[orden]]="","",tblOrdenes[[#This Row],[orden]]&amp;IF(tblOrdenes[[#This Row],[operacion]]="","0010",tblOrdenes[[#This Row],[operacion]]))</f>
        <v/>
      </c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11" t="n"/>
      <c r="K353" s="3" t="n"/>
      <c r="L353" s="10" t="n"/>
      <c r="M353" s="6" t="n"/>
      <c r="N3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53" s="3">
        <f>IF(tblOrdenes[[#This Row],[fecha_inicio]]="","",YEAR(tblOrdenes[[#This Row],[fecha_inicio]]))</f>
        <v/>
      </c>
      <c r="R353" s="3">
        <f>IF(tblOrdenes[[#This Row],[fecha_inicio]]="","",MONTH(tblOrdenes[[#This Row],[fecha_inicio]]))</f>
        <v/>
      </c>
      <c r="S353" s="3">
        <f>IF(tblOrdenes[[#This Row],[fecha_inicio]]="","",INDEX(lista_dias,WEEKDAY(tblOrdenes[[#This Row],[fecha_inicio]],2)))</f>
        <v/>
      </c>
      <c r="T353" s="3">
        <f>IF(tblOrdenes[[#This Row],[tipo_ot]]="","",_xlfn.XLOOKUP(tblOrdenes[[#This Row],[tipo_ot]],tblTiposOT[codigo],tblTiposOT[clasificacion],"sin_clasificar"))</f>
        <v/>
      </c>
      <c r="U353" s="3">
        <f>IF(tblOrdenes[[#This Row],[centro_costo]]="","",_xlfn.XLOOKUP(tblOrdenes[[#This Row],[centro_costo]],tblCECO[codigo],tblCECO[linea],"(sin catálogo)"))</f>
        <v/>
      </c>
      <c r="V353" s="3">
        <f>IF(tblOrdenes[[#This Row],[centro_costo]]="","",_xlfn.XLOOKUP(tblOrdenes[[#This Row],[centro_costo]],tblCECO[codigo],tblCECO[area],"(sin catálogo)"))</f>
        <v/>
      </c>
      <c r="W353" s="3">
        <f>IF(tblOrdenes[[#This Row],[centro_costo]]="","",_xlfn.XLOOKUP(tblOrdenes[[#This Row],[centro_costo]],tblCECO[codigo],tblCECO[coordinador],"(sin catálogo)"))</f>
        <v/>
      </c>
      <c r="X353" s="3">
        <f>IF(tblOrdenes[[#This Row],[puesto_trabajo]]="","",_xlfn.XLOOKUP(tblOrdenes[[#This Row],[puesto_trabajo]],tblPuestos[codigo],tblPuestos[especialidad],"(sin catálogo)"))</f>
        <v/>
      </c>
      <c r="Y353" s="3">
        <f>IF(tblOrdenes[[#This Row],[cod_actividad]]="","",_xlfn.XLOOKUP(tblOrdenes[[#This Row],[cod_actividad]],tblActividades[codigo],tblActividades[descripcion],"(sin catálogo)"))</f>
        <v/>
      </c>
      <c r="Z353" s="12">
        <f>IF(tblOrdenes[[#This Row],[fecha_inicio]]="","",TODAY()-tblOrdenes[[#This Row],[fecha_inicio]])</f>
        <v/>
      </c>
      <c r="AA353" s="3">
        <f>IF(tblOrdenes[[#This Row],[backlog_dias]]="","",IF(tblOrdenes[[#This Row],[backlog_dias]]&lt;0,"FUTURO",IF(tblOrdenes[[#This Row],[backlog_dias]]&gt;p_dias_backlog_max,"BACKLOG","MES CORRIENTE")))</f>
        <v/>
      </c>
      <c r="AB353" s="3">
        <f>IF(tblOrdenes[[#This Row],[backlog_dias]]="",FALSE,AND(tblOrdenes[[#This Row],[backlog_dias]]&gt;p_dias_backlog_min,tblOrdenes[[#This Row],[backlog_dias]]&lt;=p_dias_backlog_max))</f>
        <v/>
      </c>
      <c r="AC353" s="6" t="n"/>
      <c r="AD3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53" s="10">
        <f>IF(tblOrdenes[[#This Row],[orden]]="","",_xlfn.XLOOKUP(tblOrdenes[[#This Row],[id_operacion]],tblEjecucion[id_operacion],tblEjecucion[precio],0))</f>
        <v/>
      </c>
      <c r="AH353" s="10">
        <f>IF(tblOrdenes[[#This Row],[orden]]="","",MAX(0,_xlfn.XLOOKUP(tblOrdenes[[#This Row],[id_operacion]],tblEjecucion[id_operacion],tblEjecucion[costo_plan_total],0)-tblOrdenes[[#This Row],[costo_servicio]]))</f>
        <v/>
      </c>
      <c r="AI353" s="10">
        <f>IF(tblOrdenes[[#This Row],[orden]]="","",tblOrdenes[[#This Row],[costo_servicio]]+tblOrdenes[[#This Row],[costo_materiales]])</f>
        <v/>
      </c>
      <c r="AJ353" s="6" t="n"/>
      <c r="AK353" s="6" t="n"/>
      <c r="AL353" s="6" t="n"/>
      <c r="AM353" s="3">
        <f>IF(tblOrdenes[[#This Row],[link_checklist]]="","",HYPERLINK(p_ruta_base_checklists&amp;tblOrdenes[[#This Row],[link_checklist]],"abrir"))</f>
        <v/>
      </c>
      <c r="AN353" s="6" t="n"/>
      <c r="AO353" s="3">
        <f>IF(tblOrdenes[[#This Row],[orden]]="","",tblOrdenes[[#This Row],[orden]]&amp;IF(tblOrdenes[[#This Row],[operacion]]="","0010",tblOrdenes[[#This Row],[operacion]]))</f>
        <v/>
      </c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11" t="n"/>
      <c r="K354" s="3" t="n"/>
      <c r="L354" s="10" t="n"/>
      <c r="M354" s="6" t="n"/>
      <c r="N3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54" s="3">
        <f>IF(tblOrdenes[[#This Row],[fecha_inicio]]="","",YEAR(tblOrdenes[[#This Row],[fecha_inicio]]))</f>
        <v/>
      </c>
      <c r="R354" s="3">
        <f>IF(tblOrdenes[[#This Row],[fecha_inicio]]="","",MONTH(tblOrdenes[[#This Row],[fecha_inicio]]))</f>
        <v/>
      </c>
      <c r="S354" s="3">
        <f>IF(tblOrdenes[[#This Row],[fecha_inicio]]="","",INDEX(lista_dias,WEEKDAY(tblOrdenes[[#This Row],[fecha_inicio]],2)))</f>
        <v/>
      </c>
      <c r="T354" s="3">
        <f>IF(tblOrdenes[[#This Row],[tipo_ot]]="","",_xlfn.XLOOKUP(tblOrdenes[[#This Row],[tipo_ot]],tblTiposOT[codigo],tblTiposOT[clasificacion],"sin_clasificar"))</f>
        <v/>
      </c>
      <c r="U354" s="3">
        <f>IF(tblOrdenes[[#This Row],[centro_costo]]="","",_xlfn.XLOOKUP(tblOrdenes[[#This Row],[centro_costo]],tblCECO[codigo],tblCECO[linea],"(sin catálogo)"))</f>
        <v/>
      </c>
      <c r="V354" s="3">
        <f>IF(tblOrdenes[[#This Row],[centro_costo]]="","",_xlfn.XLOOKUP(tblOrdenes[[#This Row],[centro_costo]],tblCECO[codigo],tblCECO[area],"(sin catálogo)"))</f>
        <v/>
      </c>
      <c r="W354" s="3">
        <f>IF(tblOrdenes[[#This Row],[centro_costo]]="","",_xlfn.XLOOKUP(tblOrdenes[[#This Row],[centro_costo]],tblCECO[codigo],tblCECO[coordinador],"(sin catálogo)"))</f>
        <v/>
      </c>
      <c r="X354" s="3">
        <f>IF(tblOrdenes[[#This Row],[puesto_trabajo]]="","",_xlfn.XLOOKUP(tblOrdenes[[#This Row],[puesto_trabajo]],tblPuestos[codigo],tblPuestos[especialidad],"(sin catálogo)"))</f>
        <v/>
      </c>
      <c r="Y354" s="3">
        <f>IF(tblOrdenes[[#This Row],[cod_actividad]]="","",_xlfn.XLOOKUP(tblOrdenes[[#This Row],[cod_actividad]],tblActividades[codigo],tblActividades[descripcion],"(sin catálogo)"))</f>
        <v/>
      </c>
      <c r="Z354" s="12">
        <f>IF(tblOrdenes[[#This Row],[fecha_inicio]]="","",TODAY()-tblOrdenes[[#This Row],[fecha_inicio]])</f>
        <v/>
      </c>
      <c r="AA354" s="3">
        <f>IF(tblOrdenes[[#This Row],[backlog_dias]]="","",IF(tblOrdenes[[#This Row],[backlog_dias]]&lt;0,"FUTURO",IF(tblOrdenes[[#This Row],[backlog_dias]]&gt;p_dias_backlog_max,"BACKLOG","MES CORRIENTE")))</f>
        <v/>
      </c>
      <c r="AB354" s="3">
        <f>IF(tblOrdenes[[#This Row],[backlog_dias]]="",FALSE,AND(tblOrdenes[[#This Row],[backlog_dias]]&gt;p_dias_backlog_min,tblOrdenes[[#This Row],[backlog_dias]]&lt;=p_dias_backlog_max))</f>
        <v/>
      </c>
      <c r="AC354" s="6" t="n"/>
      <c r="AD3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54" s="10">
        <f>IF(tblOrdenes[[#This Row],[orden]]="","",_xlfn.XLOOKUP(tblOrdenes[[#This Row],[id_operacion]],tblEjecucion[id_operacion],tblEjecucion[precio],0))</f>
        <v/>
      </c>
      <c r="AH354" s="10">
        <f>IF(tblOrdenes[[#This Row],[orden]]="","",MAX(0,_xlfn.XLOOKUP(tblOrdenes[[#This Row],[id_operacion]],tblEjecucion[id_operacion],tblEjecucion[costo_plan_total],0)-tblOrdenes[[#This Row],[costo_servicio]]))</f>
        <v/>
      </c>
      <c r="AI354" s="10">
        <f>IF(tblOrdenes[[#This Row],[orden]]="","",tblOrdenes[[#This Row],[costo_servicio]]+tblOrdenes[[#This Row],[costo_materiales]])</f>
        <v/>
      </c>
      <c r="AJ354" s="6" t="n"/>
      <c r="AK354" s="6" t="n"/>
      <c r="AL354" s="6" t="n"/>
      <c r="AM354" s="3">
        <f>IF(tblOrdenes[[#This Row],[link_checklist]]="","",HYPERLINK(p_ruta_base_checklists&amp;tblOrdenes[[#This Row],[link_checklist]],"abrir"))</f>
        <v/>
      </c>
      <c r="AN354" s="6" t="n"/>
      <c r="AO354" s="3">
        <f>IF(tblOrdenes[[#This Row],[orden]]="","",tblOrdenes[[#This Row],[orden]]&amp;IF(tblOrdenes[[#This Row],[operacion]]="","0010",tblOrdenes[[#This Row],[operacion]]))</f>
        <v/>
      </c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11" t="n"/>
      <c r="K355" s="3" t="n"/>
      <c r="L355" s="10" t="n"/>
      <c r="M355" s="6" t="n"/>
      <c r="N3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55" s="3">
        <f>IF(tblOrdenes[[#This Row],[fecha_inicio]]="","",YEAR(tblOrdenes[[#This Row],[fecha_inicio]]))</f>
        <v/>
      </c>
      <c r="R355" s="3">
        <f>IF(tblOrdenes[[#This Row],[fecha_inicio]]="","",MONTH(tblOrdenes[[#This Row],[fecha_inicio]]))</f>
        <v/>
      </c>
      <c r="S355" s="3">
        <f>IF(tblOrdenes[[#This Row],[fecha_inicio]]="","",INDEX(lista_dias,WEEKDAY(tblOrdenes[[#This Row],[fecha_inicio]],2)))</f>
        <v/>
      </c>
      <c r="T355" s="3">
        <f>IF(tblOrdenes[[#This Row],[tipo_ot]]="","",_xlfn.XLOOKUP(tblOrdenes[[#This Row],[tipo_ot]],tblTiposOT[codigo],tblTiposOT[clasificacion],"sin_clasificar"))</f>
        <v/>
      </c>
      <c r="U355" s="3">
        <f>IF(tblOrdenes[[#This Row],[centro_costo]]="","",_xlfn.XLOOKUP(tblOrdenes[[#This Row],[centro_costo]],tblCECO[codigo],tblCECO[linea],"(sin catálogo)"))</f>
        <v/>
      </c>
      <c r="V355" s="3">
        <f>IF(tblOrdenes[[#This Row],[centro_costo]]="","",_xlfn.XLOOKUP(tblOrdenes[[#This Row],[centro_costo]],tblCECO[codigo],tblCECO[area],"(sin catálogo)"))</f>
        <v/>
      </c>
      <c r="W355" s="3">
        <f>IF(tblOrdenes[[#This Row],[centro_costo]]="","",_xlfn.XLOOKUP(tblOrdenes[[#This Row],[centro_costo]],tblCECO[codigo],tblCECO[coordinador],"(sin catálogo)"))</f>
        <v/>
      </c>
      <c r="X355" s="3">
        <f>IF(tblOrdenes[[#This Row],[puesto_trabajo]]="","",_xlfn.XLOOKUP(tblOrdenes[[#This Row],[puesto_trabajo]],tblPuestos[codigo],tblPuestos[especialidad],"(sin catálogo)"))</f>
        <v/>
      </c>
      <c r="Y355" s="3">
        <f>IF(tblOrdenes[[#This Row],[cod_actividad]]="","",_xlfn.XLOOKUP(tblOrdenes[[#This Row],[cod_actividad]],tblActividades[codigo],tblActividades[descripcion],"(sin catálogo)"))</f>
        <v/>
      </c>
      <c r="Z355" s="12">
        <f>IF(tblOrdenes[[#This Row],[fecha_inicio]]="","",TODAY()-tblOrdenes[[#This Row],[fecha_inicio]])</f>
        <v/>
      </c>
      <c r="AA355" s="3">
        <f>IF(tblOrdenes[[#This Row],[backlog_dias]]="","",IF(tblOrdenes[[#This Row],[backlog_dias]]&lt;0,"FUTURO",IF(tblOrdenes[[#This Row],[backlog_dias]]&gt;p_dias_backlog_max,"BACKLOG","MES CORRIENTE")))</f>
        <v/>
      </c>
      <c r="AB355" s="3">
        <f>IF(tblOrdenes[[#This Row],[backlog_dias]]="",FALSE,AND(tblOrdenes[[#This Row],[backlog_dias]]&gt;p_dias_backlog_min,tblOrdenes[[#This Row],[backlog_dias]]&lt;=p_dias_backlog_max))</f>
        <v/>
      </c>
      <c r="AC355" s="6" t="n"/>
      <c r="AD3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55" s="10">
        <f>IF(tblOrdenes[[#This Row],[orden]]="","",_xlfn.XLOOKUP(tblOrdenes[[#This Row],[id_operacion]],tblEjecucion[id_operacion],tblEjecucion[precio],0))</f>
        <v/>
      </c>
      <c r="AH355" s="10">
        <f>IF(tblOrdenes[[#This Row],[orden]]="","",MAX(0,_xlfn.XLOOKUP(tblOrdenes[[#This Row],[id_operacion]],tblEjecucion[id_operacion],tblEjecucion[costo_plan_total],0)-tblOrdenes[[#This Row],[costo_servicio]]))</f>
        <v/>
      </c>
      <c r="AI355" s="10">
        <f>IF(tblOrdenes[[#This Row],[orden]]="","",tblOrdenes[[#This Row],[costo_servicio]]+tblOrdenes[[#This Row],[costo_materiales]])</f>
        <v/>
      </c>
      <c r="AJ355" s="6" t="n"/>
      <c r="AK355" s="6" t="n"/>
      <c r="AL355" s="6" t="n"/>
      <c r="AM355" s="3">
        <f>IF(tblOrdenes[[#This Row],[link_checklist]]="","",HYPERLINK(p_ruta_base_checklists&amp;tblOrdenes[[#This Row],[link_checklist]],"abrir"))</f>
        <v/>
      </c>
      <c r="AN355" s="6" t="n"/>
      <c r="AO355" s="3">
        <f>IF(tblOrdenes[[#This Row],[orden]]="","",tblOrdenes[[#This Row],[orden]]&amp;IF(tblOrdenes[[#This Row],[operacion]]="","0010",tblOrdenes[[#This Row],[operacion]]))</f>
        <v/>
      </c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11" t="n"/>
      <c r="K356" s="3" t="n"/>
      <c r="L356" s="10" t="n"/>
      <c r="M356" s="6" t="n"/>
      <c r="N3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56" s="3">
        <f>IF(tblOrdenes[[#This Row],[fecha_inicio]]="","",YEAR(tblOrdenes[[#This Row],[fecha_inicio]]))</f>
        <v/>
      </c>
      <c r="R356" s="3">
        <f>IF(tblOrdenes[[#This Row],[fecha_inicio]]="","",MONTH(tblOrdenes[[#This Row],[fecha_inicio]]))</f>
        <v/>
      </c>
      <c r="S356" s="3">
        <f>IF(tblOrdenes[[#This Row],[fecha_inicio]]="","",INDEX(lista_dias,WEEKDAY(tblOrdenes[[#This Row],[fecha_inicio]],2)))</f>
        <v/>
      </c>
      <c r="T356" s="3">
        <f>IF(tblOrdenes[[#This Row],[tipo_ot]]="","",_xlfn.XLOOKUP(tblOrdenes[[#This Row],[tipo_ot]],tblTiposOT[codigo],tblTiposOT[clasificacion],"sin_clasificar"))</f>
        <v/>
      </c>
      <c r="U356" s="3">
        <f>IF(tblOrdenes[[#This Row],[centro_costo]]="","",_xlfn.XLOOKUP(tblOrdenes[[#This Row],[centro_costo]],tblCECO[codigo],tblCECO[linea],"(sin catálogo)"))</f>
        <v/>
      </c>
      <c r="V356" s="3">
        <f>IF(tblOrdenes[[#This Row],[centro_costo]]="","",_xlfn.XLOOKUP(tblOrdenes[[#This Row],[centro_costo]],tblCECO[codigo],tblCECO[area],"(sin catálogo)"))</f>
        <v/>
      </c>
      <c r="W356" s="3">
        <f>IF(tblOrdenes[[#This Row],[centro_costo]]="","",_xlfn.XLOOKUP(tblOrdenes[[#This Row],[centro_costo]],tblCECO[codigo],tblCECO[coordinador],"(sin catálogo)"))</f>
        <v/>
      </c>
      <c r="X356" s="3">
        <f>IF(tblOrdenes[[#This Row],[puesto_trabajo]]="","",_xlfn.XLOOKUP(tblOrdenes[[#This Row],[puesto_trabajo]],tblPuestos[codigo],tblPuestos[especialidad],"(sin catálogo)"))</f>
        <v/>
      </c>
      <c r="Y356" s="3">
        <f>IF(tblOrdenes[[#This Row],[cod_actividad]]="","",_xlfn.XLOOKUP(tblOrdenes[[#This Row],[cod_actividad]],tblActividades[codigo],tblActividades[descripcion],"(sin catálogo)"))</f>
        <v/>
      </c>
      <c r="Z356" s="12">
        <f>IF(tblOrdenes[[#This Row],[fecha_inicio]]="","",TODAY()-tblOrdenes[[#This Row],[fecha_inicio]])</f>
        <v/>
      </c>
      <c r="AA356" s="3">
        <f>IF(tblOrdenes[[#This Row],[backlog_dias]]="","",IF(tblOrdenes[[#This Row],[backlog_dias]]&lt;0,"FUTURO",IF(tblOrdenes[[#This Row],[backlog_dias]]&gt;p_dias_backlog_max,"BACKLOG","MES CORRIENTE")))</f>
        <v/>
      </c>
      <c r="AB356" s="3">
        <f>IF(tblOrdenes[[#This Row],[backlog_dias]]="",FALSE,AND(tblOrdenes[[#This Row],[backlog_dias]]&gt;p_dias_backlog_min,tblOrdenes[[#This Row],[backlog_dias]]&lt;=p_dias_backlog_max))</f>
        <v/>
      </c>
      <c r="AC356" s="6" t="n"/>
      <c r="AD3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56" s="10">
        <f>IF(tblOrdenes[[#This Row],[orden]]="","",_xlfn.XLOOKUP(tblOrdenes[[#This Row],[id_operacion]],tblEjecucion[id_operacion],tblEjecucion[precio],0))</f>
        <v/>
      </c>
      <c r="AH356" s="10">
        <f>IF(tblOrdenes[[#This Row],[orden]]="","",MAX(0,_xlfn.XLOOKUP(tblOrdenes[[#This Row],[id_operacion]],tblEjecucion[id_operacion],tblEjecucion[costo_plan_total],0)-tblOrdenes[[#This Row],[costo_servicio]]))</f>
        <v/>
      </c>
      <c r="AI356" s="10">
        <f>IF(tblOrdenes[[#This Row],[orden]]="","",tblOrdenes[[#This Row],[costo_servicio]]+tblOrdenes[[#This Row],[costo_materiales]])</f>
        <v/>
      </c>
      <c r="AJ356" s="6" t="n"/>
      <c r="AK356" s="6" t="n"/>
      <c r="AL356" s="6" t="n"/>
      <c r="AM356" s="3">
        <f>IF(tblOrdenes[[#This Row],[link_checklist]]="","",HYPERLINK(p_ruta_base_checklists&amp;tblOrdenes[[#This Row],[link_checklist]],"abrir"))</f>
        <v/>
      </c>
      <c r="AN356" s="6" t="n"/>
      <c r="AO356" s="3">
        <f>IF(tblOrdenes[[#This Row],[orden]]="","",tblOrdenes[[#This Row],[orden]]&amp;IF(tblOrdenes[[#This Row],[operacion]]="","0010",tblOrdenes[[#This Row],[operacion]]))</f>
        <v/>
      </c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11" t="n"/>
      <c r="K357" s="3" t="n"/>
      <c r="L357" s="10" t="n"/>
      <c r="M357" s="6" t="n"/>
      <c r="N3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57" s="3">
        <f>IF(tblOrdenes[[#This Row],[fecha_inicio]]="","",YEAR(tblOrdenes[[#This Row],[fecha_inicio]]))</f>
        <v/>
      </c>
      <c r="R357" s="3">
        <f>IF(tblOrdenes[[#This Row],[fecha_inicio]]="","",MONTH(tblOrdenes[[#This Row],[fecha_inicio]]))</f>
        <v/>
      </c>
      <c r="S357" s="3">
        <f>IF(tblOrdenes[[#This Row],[fecha_inicio]]="","",INDEX(lista_dias,WEEKDAY(tblOrdenes[[#This Row],[fecha_inicio]],2)))</f>
        <v/>
      </c>
      <c r="T357" s="3">
        <f>IF(tblOrdenes[[#This Row],[tipo_ot]]="","",_xlfn.XLOOKUP(tblOrdenes[[#This Row],[tipo_ot]],tblTiposOT[codigo],tblTiposOT[clasificacion],"sin_clasificar"))</f>
        <v/>
      </c>
      <c r="U357" s="3">
        <f>IF(tblOrdenes[[#This Row],[centro_costo]]="","",_xlfn.XLOOKUP(tblOrdenes[[#This Row],[centro_costo]],tblCECO[codigo],tblCECO[linea],"(sin catálogo)"))</f>
        <v/>
      </c>
      <c r="V357" s="3">
        <f>IF(tblOrdenes[[#This Row],[centro_costo]]="","",_xlfn.XLOOKUP(tblOrdenes[[#This Row],[centro_costo]],tblCECO[codigo],tblCECO[area],"(sin catálogo)"))</f>
        <v/>
      </c>
      <c r="W357" s="3">
        <f>IF(tblOrdenes[[#This Row],[centro_costo]]="","",_xlfn.XLOOKUP(tblOrdenes[[#This Row],[centro_costo]],tblCECO[codigo],tblCECO[coordinador],"(sin catálogo)"))</f>
        <v/>
      </c>
      <c r="X357" s="3">
        <f>IF(tblOrdenes[[#This Row],[puesto_trabajo]]="","",_xlfn.XLOOKUP(tblOrdenes[[#This Row],[puesto_trabajo]],tblPuestos[codigo],tblPuestos[especialidad],"(sin catálogo)"))</f>
        <v/>
      </c>
      <c r="Y357" s="3">
        <f>IF(tblOrdenes[[#This Row],[cod_actividad]]="","",_xlfn.XLOOKUP(tblOrdenes[[#This Row],[cod_actividad]],tblActividades[codigo],tblActividades[descripcion],"(sin catálogo)"))</f>
        <v/>
      </c>
      <c r="Z357" s="12">
        <f>IF(tblOrdenes[[#This Row],[fecha_inicio]]="","",TODAY()-tblOrdenes[[#This Row],[fecha_inicio]])</f>
        <v/>
      </c>
      <c r="AA357" s="3">
        <f>IF(tblOrdenes[[#This Row],[backlog_dias]]="","",IF(tblOrdenes[[#This Row],[backlog_dias]]&lt;0,"FUTURO",IF(tblOrdenes[[#This Row],[backlog_dias]]&gt;p_dias_backlog_max,"BACKLOG","MES CORRIENTE")))</f>
        <v/>
      </c>
      <c r="AB357" s="3">
        <f>IF(tblOrdenes[[#This Row],[backlog_dias]]="",FALSE,AND(tblOrdenes[[#This Row],[backlog_dias]]&gt;p_dias_backlog_min,tblOrdenes[[#This Row],[backlog_dias]]&lt;=p_dias_backlog_max))</f>
        <v/>
      </c>
      <c r="AC357" s="6" t="n"/>
      <c r="AD3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57" s="10">
        <f>IF(tblOrdenes[[#This Row],[orden]]="","",_xlfn.XLOOKUP(tblOrdenes[[#This Row],[id_operacion]],tblEjecucion[id_operacion],tblEjecucion[precio],0))</f>
        <v/>
      </c>
      <c r="AH357" s="10">
        <f>IF(tblOrdenes[[#This Row],[orden]]="","",MAX(0,_xlfn.XLOOKUP(tblOrdenes[[#This Row],[id_operacion]],tblEjecucion[id_operacion],tblEjecucion[costo_plan_total],0)-tblOrdenes[[#This Row],[costo_servicio]]))</f>
        <v/>
      </c>
      <c r="AI357" s="10">
        <f>IF(tblOrdenes[[#This Row],[orden]]="","",tblOrdenes[[#This Row],[costo_servicio]]+tblOrdenes[[#This Row],[costo_materiales]])</f>
        <v/>
      </c>
      <c r="AJ357" s="6" t="n"/>
      <c r="AK357" s="6" t="n"/>
      <c r="AL357" s="6" t="n"/>
      <c r="AM357" s="3">
        <f>IF(tblOrdenes[[#This Row],[link_checklist]]="","",HYPERLINK(p_ruta_base_checklists&amp;tblOrdenes[[#This Row],[link_checklist]],"abrir"))</f>
        <v/>
      </c>
      <c r="AN357" s="6" t="n"/>
      <c r="AO357" s="3">
        <f>IF(tblOrdenes[[#This Row],[orden]]="","",tblOrdenes[[#This Row],[orden]]&amp;IF(tblOrdenes[[#This Row],[operacion]]="","0010",tblOrdenes[[#This Row],[operacion]]))</f>
        <v/>
      </c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11" t="n"/>
      <c r="K358" s="3" t="n"/>
      <c r="L358" s="10" t="n"/>
      <c r="M358" s="6" t="n"/>
      <c r="N3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58" s="3">
        <f>IF(tblOrdenes[[#This Row],[fecha_inicio]]="","",YEAR(tblOrdenes[[#This Row],[fecha_inicio]]))</f>
        <v/>
      </c>
      <c r="R358" s="3">
        <f>IF(tblOrdenes[[#This Row],[fecha_inicio]]="","",MONTH(tblOrdenes[[#This Row],[fecha_inicio]]))</f>
        <v/>
      </c>
      <c r="S358" s="3">
        <f>IF(tblOrdenes[[#This Row],[fecha_inicio]]="","",INDEX(lista_dias,WEEKDAY(tblOrdenes[[#This Row],[fecha_inicio]],2)))</f>
        <v/>
      </c>
      <c r="T358" s="3">
        <f>IF(tblOrdenes[[#This Row],[tipo_ot]]="","",_xlfn.XLOOKUP(tblOrdenes[[#This Row],[tipo_ot]],tblTiposOT[codigo],tblTiposOT[clasificacion],"sin_clasificar"))</f>
        <v/>
      </c>
      <c r="U358" s="3">
        <f>IF(tblOrdenes[[#This Row],[centro_costo]]="","",_xlfn.XLOOKUP(tblOrdenes[[#This Row],[centro_costo]],tblCECO[codigo],tblCECO[linea],"(sin catálogo)"))</f>
        <v/>
      </c>
      <c r="V358" s="3">
        <f>IF(tblOrdenes[[#This Row],[centro_costo]]="","",_xlfn.XLOOKUP(tblOrdenes[[#This Row],[centro_costo]],tblCECO[codigo],tblCECO[area],"(sin catálogo)"))</f>
        <v/>
      </c>
      <c r="W358" s="3">
        <f>IF(tblOrdenes[[#This Row],[centro_costo]]="","",_xlfn.XLOOKUP(tblOrdenes[[#This Row],[centro_costo]],tblCECO[codigo],tblCECO[coordinador],"(sin catálogo)"))</f>
        <v/>
      </c>
      <c r="X358" s="3">
        <f>IF(tblOrdenes[[#This Row],[puesto_trabajo]]="","",_xlfn.XLOOKUP(tblOrdenes[[#This Row],[puesto_trabajo]],tblPuestos[codigo],tblPuestos[especialidad],"(sin catálogo)"))</f>
        <v/>
      </c>
      <c r="Y358" s="3">
        <f>IF(tblOrdenes[[#This Row],[cod_actividad]]="","",_xlfn.XLOOKUP(tblOrdenes[[#This Row],[cod_actividad]],tblActividades[codigo],tblActividades[descripcion],"(sin catálogo)"))</f>
        <v/>
      </c>
      <c r="Z358" s="12">
        <f>IF(tblOrdenes[[#This Row],[fecha_inicio]]="","",TODAY()-tblOrdenes[[#This Row],[fecha_inicio]])</f>
        <v/>
      </c>
      <c r="AA358" s="3">
        <f>IF(tblOrdenes[[#This Row],[backlog_dias]]="","",IF(tblOrdenes[[#This Row],[backlog_dias]]&lt;0,"FUTURO",IF(tblOrdenes[[#This Row],[backlog_dias]]&gt;p_dias_backlog_max,"BACKLOG","MES CORRIENTE")))</f>
        <v/>
      </c>
      <c r="AB358" s="3">
        <f>IF(tblOrdenes[[#This Row],[backlog_dias]]="",FALSE,AND(tblOrdenes[[#This Row],[backlog_dias]]&gt;p_dias_backlog_min,tblOrdenes[[#This Row],[backlog_dias]]&lt;=p_dias_backlog_max))</f>
        <v/>
      </c>
      <c r="AC358" s="6" t="n"/>
      <c r="AD3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58" s="10">
        <f>IF(tblOrdenes[[#This Row],[orden]]="","",_xlfn.XLOOKUP(tblOrdenes[[#This Row],[id_operacion]],tblEjecucion[id_operacion],tblEjecucion[precio],0))</f>
        <v/>
      </c>
      <c r="AH358" s="10">
        <f>IF(tblOrdenes[[#This Row],[orden]]="","",MAX(0,_xlfn.XLOOKUP(tblOrdenes[[#This Row],[id_operacion]],tblEjecucion[id_operacion],tblEjecucion[costo_plan_total],0)-tblOrdenes[[#This Row],[costo_servicio]]))</f>
        <v/>
      </c>
      <c r="AI358" s="10">
        <f>IF(tblOrdenes[[#This Row],[orden]]="","",tblOrdenes[[#This Row],[costo_servicio]]+tblOrdenes[[#This Row],[costo_materiales]])</f>
        <v/>
      </c>
      <c r="AJ358" s="6" t="n"/>
      <c r="AK358" s="6" t="n"/>
      <c r="AL358" s="6" t="n"/>
      <c r="AM358" s="3">
        <f>IF(tblOrdenes[[#This Row],[link_checklist]]="","",HYPERLINK(p_ruta_base_checklists&amp;tblOrdenes[[#This Row],[link_checklist]],"abrir"))</f>
        <v/>
      </c>
      <c r="AN358" s="6" t="n"/>
      <c r="AO358" s="3">
        <f>IF(tblOrdenes[[#This Row],[orden]]="","",tblOrdenes[[#This Row],[orden]]&amp;IF(tblOrdenes[[#This Row],[operacion]]="","0010",tblOrdenes[[#This Row],[operacion]]))</f>
        <v/>
      </c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11" t="n"/>
      <c r="K359" s="3" t="n"/>
      <c r="L359" s="10" t="n"/>
      <c r="M359" s="6" t="n"/>
      <c r="N3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59" s="3">
        <f>IF(tblOrdenes[[#This Row],[fecha_inicio]]="","",YEAR(tblOrdenes[[#This Row],[fecha_inicio]]))</f>
        <v/>
      </c>
      <c r="R359" s="3">
        <f>IF(tblOrdenes[[#This Row],[fecha_inicio]]="","",MONTH(tblOrdenes[[#This Row],[fecha_inicio]]))</f>
        <v/>
      </c>
      <c r="S359" s="3">
        <f>IF(tblOrdenes[[#This Row],[fecha_inicio]]="","",INDEX(lista_dias,WEEKDAY(tblOrdenes[[#This Row],[fecha_inicio]],2)))</f>
        <v/>
      </c>
      <c r="T359" s="3">
        <f>IF(tblOrdenes[[#This Row],[tipo_ot]]="","",_xlfn.XLOOKUP(tblOrdenes[[#This Row],[tipo_ot]],tblTiposOT[codigo],tblTiposOT[clasificacion],"sin_clasificar"))</f>
        <v/>
      </c>
      <c r="U359" s="3">
        <f>IF(tblOrdenes[[#This Row],[centro_costo]]="","",_xlfn.XLOOKUP(tblOrdenes[[#This Row],[centro_costo]],tblCECO[codigo],tblCECO[linea],"(sin catálogo)"))</f>
        <v/>
      </c>
      <c r="V359" s="3">
        <f>IF(tblOrdenes[[#This Row],[centro_costo]]="","",_xlfn.XLOOKUP(tblOrdenes[[#This Row],[centro_costo]],tblCECO[codigo],tblCECO[area],"(sin catálogo)"))</f>
        <v/>
      </c>
      <c r="W359" s="3">
        <f>IF(tblOrdenes[[#This Row],[centro_costo]]="","",_xlfn.XLOOKUP(tblOrdenes[[#This Row],[centro_costo]],tblCECO[codigo],tblCECO[coordinador],"(sin catálogo)"))</f>
        <v/>
      </c>
      <c r="X359" s="3">
        <f>IF(tblOrdenes[[#This Row],[puesto_trabajo]]="","",_xlfn.XLOOKUP(tblOrdenes[[#This Row],[puesto_trabajo]],tblPuestos[codigo],tblPuestos[especialidad],"(sin catálogo)"))</f>
        <v/>
      </c>
      <c r="Y359" s="3">
        <f>IF(tblOrdenes[[#This Row],[cod_actividad]]="","",_xlfn.XLOOKUP(tblOrdenes[[#This Row],[cod_actividad]],tblActividades[codigo],tblActividades[descripcion],"(sin catálogo)"))</f>
        <v/>
      </c>
      <c r="Z359" s="12">
        <f>IF(tblOrdenes[[#This Row],[fecha_inicio]]="","",TODAY()-tblOrdenes[[#This Row],[fecha_inicio]])</f>
        <v/>
      </c>
      <c r="AA359" s="3">
        <f>IF(tblOrdenes[[#This Row],[backlog_dias]]="","",IF(tblOrdenes[[#This Row],[backlog_dias]]&lt;0,"FUTURO",IF(tblOrdenes[[#This Row],[backlog_dias]]&gt;p_dias_backlog_max,"BACKLOG","MES CORRIENTE")))</f>
        <v/>
      </c>
      <c r="AB359" s="3">
        <f>IF(tblOrdenes[[#This Row],[backlog_dias]]="",FALSE,AND(tblOrdenes[[#This Row],[backlog_dias]]&gt;p_dias_backlog_min,tblOrdenes[[#This Row],[backlog_dias]]&lt;=p_dias_backlog_max))</f>
        <v/>
      </c>
      <c r="AC359" s="6" t="n"/>
      <c r="AD3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59" s="10">
        <f>IF(tblOrdenes[[#This Row],[orden]]="","",_xlfn.XLOOKUP(tblOrdenes[[#This Row],[id_operacion]],tblEjecucion[id_operacion],tblEjecucion[precio],0))</f>
        <v/>
      </c>
      <c r="AH359" s="10">
        <f>IF(tblOrdenes[[#This Row],[orden]]="","",MAX(0,_xlfn.XLOOKUP(tblOrdenes[[#This Row],[id_operacion]],tblEjecucion[id_operacion],tblEjecucion[costo_plan_total],0)-tblOrdenes[[#This Row],[costo_servicio]]))</f>
        <v/>
      </c>
      <c r="AI359" s="10">
        <f>IF(tblOrdenes[[#This Row],[orden]]="","",tblOrdenes[[#This Row],[costo_servicio]]+tblOrdenes[[#This Row],[costo_materiales]])</f>
        <v/>
      </c>
      <c r="AJ359" s="6" t="n"/>
      <c r="AK359" s="6" t="n"/>
      <c r="AL359" s="6" t="n"/>
      <c r="AM359" s="3">
        <f>IF(tblOrdenes[[#This Row],[link_checklist]]="","",HYPERLINK(p_ruta_base_checklists&amp;tblOrdenes[[#This Row],[link_checklist]],"abrir"))</f>
        <v/>
      </c>
      <c r="AN359" s="6" t="n"/>
      <c r="AO359" s="3">
        <f>IF(tblOrdenes[[#This Row],[orden]]="","",tblOrdenes[[#This Row],[orden]]&amp;IF(tblOrdenes[[#This Row],[operacion]]="","0010",tblOrdenes[[#This Row],[operacion]]))</f>
        <v/>
      </c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11" t="n"/>
      <c r="K360" s="3" t="n"/>
      <c r="L360" s="10" t="n"/>
      <c r="M360" s="6" t="n"/>
      <c r="N3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60" s="3">
        <f>IF(tblOrdenes[[#This Row],[fecha_inicio]]="","",YEAR(tblOrdenes[[#This Row],[fecha_inicio]]))</f>
        <v/>
      </c>
      <c r="R360" s="3">
        <f>IF(tblOrdenes[[#This Row],[fecha_inicio]]="","",MONTH(tblOrdenes[[#This Row],[fecha_inicio]]))</f>
        <v/>
      </c>
      <c r="S360" s="3">
        <f>IF(tblOrdenes[[#This Row],[fecha_inicio]]="","",INDEX(lista_dias,WEEKDAY(tblOrdenes[[#This Row],[fecha_inicio]],2)))</f>
        <v/>
      </c>
      <c r="T360" s="3">
        <f>IF(tblOrdenes[[#This Row],[tipo_ot]]="","",_xlfn.XLOOKUP(tblOrdenes[[#This Row],[tipo_ot]],tblTiposOT[codigo],tblTiposOT[clasificacion],"sin_clasificar"))</f>
        <v/>
      </c>
      <c r="U360" s="3">
        <f>IF(tblOrdenes[[#This Row],[centro_costo]]="","",_xlfn.XLOOKUP(tblOrdenes[[#This Row],[centro_costo]],tblCECO[codigo],tblCECO[linea],"(sin catálogo)"))</f>
        <v/>
      </c>
      <c r="V360" s="3">
        <f>IF(tblOrdenes[[#This Row],[centro_costo]]="","",_xlfn.XLOOKUP(tblOrdenes[[#This Row],[centro_costo]],tblCECO[codigo],tblCECO[area],"(sin catálogo)"))</f>
        <v/>
      </c>
      <c r="W360" s="3">
        <f>IF(tblOrdenes[[#This Row],[centro_costo]]="","",_xlfn.XLOOKUP(tblOrdenes[[#This Row],[centro_costo]],tblCECO[codigo],tblCECO[coordinador],"(sin catálogo)"))</f>
        <v/>
      </c>
      <c r="X360" s="3">
        <f>IF(tblOrdenes[[#This Row],[puesto_trabajo]]="","",_xlfn.XLOOKUP(tblOrdenes[[#This Row],[puesto_trabajo]],tblPuestos[codigo],tblPuestos[especialidad],"(sin catálogo)"))</f>
        <v/>
      </c>
      <c r="Y360" s="3">
        <f>IF(tblOrdenes[[#This Row],[cod_actividad]]="","",_xlfn.XLOOKUP(tblOrdenes[[#This Row],[cod_actividad]],tblActividades[codigo],tblActividades[descripcion],"(sin catálogo)"))</f>
        <v/>
      </c>
      <c r="Z360" s="12">
        <f>IF(tblOrdenes[[#This Row],[fecha_inicio]]="","",TODAY()-tblOrdenes[[#This Row],[fecha_inicio]])</f>
        <v/>
      </c>
      <c r="AA360" s="3">
        <f>IF(tblOrdenes[[#This Row],[backlog_dias]]="","",IF(tblOrdenes[[#This Row],[backlog_dias]]&lt;0,"FUTURO",IF(tblOrdenes[[#This Row],[backlog_dias]]&gt;p_dias_backlog_max,"BACKLOG","MES CORRIENTE")))</f>
        <v/>
      </c>
      <c r="AB360" s="3">
        <f>IF(tblOrdenes[[#This Row],[backlog_dias]]="",FALSE,AND(tblOrdenes[[#This Row],[backlog_dias]]&gt;p_dias_backlog_min,tblOrdenes[[#This Row],[backlog_dias]]&lt;=p_dias_backlog_max))</f>
        <v/>
      </c>
      <c r="AC360" s="6" t="n"/>
      <c r="AD3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60" s="10">
        <f>IF(tblOrdenes[[#This Row],[orden]]="","",_xlfn.XLOOKUP(tblOrdenes[[#This Row],[id_operacion]],tblEjecucion[id_operacion],tblEjecucion[precio],0))</f>
        <v/>
      </c>
      <c r="AH360" s="10">
        <f>IF(tblOrdenes[[#This Row],[orden]]="","",MAX(0,_xlfn.XLOOKUP(tblOrdenes[[#This Row],[id_operacion]],tblEjecucion[id_operacion],tblEjecucion[costo_plan_total],0)-tblOrdenes[[#This Row],[costo_servicio]]))</f>
        <v/>
      </c>
      <c r="AI360" s="10">
        <f>IF(tblOrdenes[[#This Row],[orden]]="","",tblOrdenes[[#This Row],[costo_servicio]]+tblOrdenes[[#This Row],[costo_materiales]])</f>
        <v/>
      </c>
      <c r="AJ360" s="6" t="n"/>
      <c r="AK360" s="6" t="n"/>
      <c r="AL360" s="6" t="n"/>
      <c r="AM360" s="3">
        <f>IF(tblOrdenes[[#This Row],[link_checklist]]="","",HYPERLINK(p_ruta_base_checklists&amp;tblOrdenes[[#This Row],[link_checklist]],"abrir"))</f>
        <v/>
      </c>
      <c r="AN360" s="6" t="n"/>
      <c r="AO360" s="3">
        <f>IF(tblOrdenes[[#This Row],[orden]]="","",tblOrdenes[[#This Row],[orden]]&amp;IF(tblOrdenes[[#This Row],[operacion]]="","0010",tblOrdenes[[#This Row],[operacion]]))</f>
        <v/>
      </c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11" t="n"/>
      <c r="K361" s="3" t="n"/>
      <c r="L361" s="10" t="n"/>
      <c r="M361" s="6" t="n"/>
      <c r="N3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61" s="3">
        <f>IF(tblOrdenes[[#This Row],[fecha_inicio]]="","",YEAR(tblOrdenes[[#This Row],[fecha_inicio]]))</f>
        <v/>
      </c>
      <c r="R361" s="3">
        <f>IF(tblOrdenes[[#This Row],[fecha_inicio]]="","",MONTH(tblOrdenes[[#This Row],[fecha_inicio]]))</f>
        <v/>
      </c>
      <c r="S361" s="3">
        <f>IF(tblOrdenes[[#This Row],[fecha_inicio]]="","",INDEX(lista_dias,WEEKDAY(tblOrdenes[[#This Row],[fecha_inicio]],2)))</f>
        <v/>
      </c>
      <c r="T361" s="3">
        <f>IF(tblOrdenes[[#This Row],[tipo_ot]]="","",_xlfn.XLOOKUP(tblOrdenes[[#This Row],[tipo_ot]],tblTiposOT[codigo],tblTiposOT[clasificacion],"sin_clasificar"))</f>
        <v/>
      </c>
      <c r="U361" s="3">
        <f>IF(tblOrdenes[[#This Row],[centro_costo]]="","",_xlfn.XLOOKUP(tblOrdenes[[#This Row],[centro_costo]],tblCECO[codigo],tblCECO[linea],"(sin catálogo)"))</f>
        <v/>
      </c>
      <c r="V361" s="3">
        <f>IF(tblOrdenes[[#This Row],[centro_costo]]="","",_xlfn.XLOOKUP(tblOrdenes[[#This Row],[centro_costo]],tblCECO[codigo],tblCECO[area],"(sin catálogo)"))</f>
        <v/>
      </c>
      <c r="W361" s="3">
        <f>IF(tblOrdenes[[#This Row],[centro_costo]]="","",_xlfn.XLOOKUP(tblOrdenes[[#This Row],[centro_costo]],tblCECO[codigo],tblCECO[coordinador],"(sin catálogo)"))</f>
        <v/>
      </c>
      <c r="X361" s="3">
        <f>IF(tblOrdenes[[#This Row],[puesto_trabajo]]="","",_xlfn.XLOOKUP(tblOrdenes[[#This Row],[puesto_trabajo]],tblPuestos[codigo],tblPuestos[especialidad],"(sin catálogo)"))</f>
        <v/>
      </c>
      <c r="Y361" s="3">
        <f>IF(tblOrdenes[[#This Row],[cod_actividad]]="","",_xlfn.XLOOKUP(tblOrdenes[[#This Row],[cod_actividad]],tblActividades[codigo],tblActividades[descripcion],"(sin catálogo)"))</f>
        <v/>
      </c>
      <c r="Z361" s="12">
        <f>IF(tblOrdenes[[#This Row],[fecha_inicio]]="","",TODAY()-tblOrdenes[[#This Row],[fecha_inicio]])</f>
        <v/>
      </c>
      <c r="AA361" s="3">
        <f>IF(tblOrdenes[[#This Row],[backlog_dias]]="","",IF(tblOrdenes[[#This Row],[backlog_dias]]&lt;0,"FUTURO",IF(tblOrdenes[[#This Row],[backlog_dias]]&gt;p_dias_backlog_max,"BACKLOG","MES CORRIENTE")))</f>
        <v/>
      </c>
      <c r="AB361" s="3">
        <f>IF(tblOrdenes[[#This Row],[backlog_dias]]="",FALSE,AND(tblOrdenes[[#This Row],[backlog_dias]]&gt;p_dias_backlog_min,tblOrdenes[[#This Row],[backlog_dias]]&lt;=p_dias_backlog_max))</f>
        <v/>
      </c>
      <c r="AC361" s="6" t="n"/>
      <c r="AD3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61" s="10">
        <f>IF(tblOrdenes[[#This Row],[orden]]="","",_xlfn.XLOOKUP(tblOrdenes[[#This Row],[id_operacion]],tblEjecucion[id_operacion],tblEjecucion[precio],0))</f>
        <v/>
      </c>
      <c r="AH361" s="10">
        <f>IF(tblOrdenes[[#This Row],[orden]]="","",MAX(0,_xlfn.XLOOKUP(tblOrdenes[[#This Row],[id_operacion]],tblEjecucion[id_operacion],tblEjecucion[costo_plan_total],0)-tblOrdenes[[#This Row],[costo_servicio]]))</f>
        <v/>
      </c>
      <c r="AI361" s="10">
        <f>IF(tblOrdenes[[#This Row],[orden]]="","",tblOrdenes[[#This Row],[costo_servicio]]+tblOrdenes[[#This Row],[costo_materiales]])</f>
        <v/>
      </c>
      <c r="AJ361" s="6" t="n"/>
      <c r="AK361" s="6" t="n"/>
      <c r="AL361" s="6" t="n"/>
      <c r="AM361" s="3">
        <f>IF(tblOrdenes[[#This Row],[link_checklist]]="","",HYPERLINK(p_ruta_base_checklists&amp;tblOrdenes[[#This Row],[link_checklist]],"abrir"))</f>
        <v/>
      </c>
      <c r="AN361" s="6" t="n"/>
      <c r="AO361" s="3">
        <f>IF(tblOrdenes[[#This Row],[orden]]="","",tblOrdenes[[#This Row],[orden]]&amp;IF(tblOrdenes[[#This Row],[operacion]]="","0010",tblOrdenes[[#This Row],[operacion]]))</f>
        <v/>
      </c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11" t="n"/>
      <c r="K362" s="3" t="n"/>
      <c r="L362" s="10" t="n"/>
      <c r="M362" s="6" t="n"/>
      <c r="N3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62" s="3">
        <f>IF(tblOrdenes[[#This Row],[fecha_inicio]]="","",YEAR(tblOrdenes[[#This Row],[fecha_inicio]]))</f>
        <v/>
      </c>
      <c r="R362" s="3">
        <f>IF(tblOrdenes[[#This Row],[fecha_inicio]]="","",MONTH(tblOrdenes[[#This Row],[fecha_inicio]]))</f>
        <v/>
      </c>
      <c r="S362" s="3">
        <f>IF(tblOrdenes[[#This Row],[fecha_inicio]]="","",INDEX(lista_dias,WEEKDAY(tblOrdenes[[#This Row],[fecha_inicio]],2)))</f>
        <v/>
      </c>
      <c r="T362" s="3">
        <f>IF(tblOrdenes[[#This Row],[tipo_ot]]="","",_xlfn.XLOOKUP(tblOrdenes[[#This Row],[tipo_ot]],tblTiposOT[codigo],tblTiposOT[clasificacion],"sin_clasificar"))</f>
        <v/>
      </c>
      <c r="U362" s="3">
        <f>IF(tblOrdenes[[#This Row],[centro_costo]]="","",_xlfn.XLOOKUP(tblOrdenes[[#This Row],[centro_costo]],tblCECO[codigo],tblCECO[linea],"(sin catálogo)"))</f>
        <v/>
      </c>
      <c r="V362" s="3">
        <f>IF(tblOrdenes[[#This Row],[centro_costo]]="","",_xlfn.XLOOKUP(tblOrdenes[[#This Row],[centro_costo]],tblCECO[codigo],tblCECO[area],"(sin catálogo)"))</f>
        <v/>
      </c>
      <c r="W362" s="3">
        <f>IF(tblOrdenes[[#This Row],[centro_costo]]="","",_xlfn.XLOOKUP(tblOrdenes[[#This Row],[centro_costo]],tblCECO[codigo],tblCECO[coordinador],"(sin catálogo)"))</f>
        <v/>
      </c>
      <c r="X362" s="3">
        <f>IF(tblOrdenes[[#This Row],[puesto_trabajo]]="","",_xlfn.XLOOKUP(tblOrdenes[[#This Row],[puesto_trabajo]],tblPuestos[codigo],tblPuestos[especialidad],"(sin catálogo)"))</f>
        <v/>
      </c>
      <c r="Y362" s="3">
        <f>IF(tblOrdenes[[#This Row],[cod_actividad]]="","",_xlfn.XLOOKUP(tblOrdenes[[#This Row],[cod_actividad]],tblActividades[codigo],tblActividades[descripcion],"(sin catálogo)"))</f>
        <v/>
      </c>
      <c r="Z362" s="12">
        <f>IF(tblOrdenes[[#This Row],[fecha_inicio]]="","",TODAY()-tblOrdenes[[#This Row],[fecha_inicio]])</f>
        <v/>
      </c>
      <c r="AA362" s="3">
        <f>IF(tblOrdenes[[#This Row],[backlog_dias]]="","",IF(tblOrdenes[[#This Row],[backlog_dias]]&lt;0,"FUTURO",IF(tblOrdenes[[#This Row],[backlog_dias]]&gt;p_dias_backlog_max,"BACKLOG","MES CORRIENTE")))</f>
        <v/>
      </c>
      <c r="AB362" s="3">
        <f>IF(tblOrdenes[[#This Row],[backlog_dias]]="",FALSE,AND(tblOrdenes[[#This Row],[backlog_dias]]&gt;p_dias_backlog_min,tblOrdenes[[#This Row],[backlog_dias]]&lt;=p_dias_backlog_max))</f>
        <v/>
      </c>
      <c r="AC362" s="6" t="n"/>
      <c r="AD3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62" s="10">
        <f>IF(tblOrdenes[[#This Row],[orden]]="","",_xlfn.XLOOKUP(tblOrdenes[[#This Row],[id_operacion]],tblEjecucion[id_operacion],tblEjecucion[precio],0))</f>
        <v/>
      </c>
      <c r="AH362" s="10">
        <f>IF(tblOrdenes[[#This Row],[orden]]="","",MAX(0,_xlfn.XLOOKUP(tblOrdenes[[#This Row],[id_operacion]],tblEjecucion[id_operacion],tblEjecucion[costo_plan_total],0)-tblOrdenes[[#This Row],[costo_servicio]]))</f>
        <v/>
      </c>
      <c r="AI362" s="10">
        <f>IF(tblOrdenes[[#This Row],[orden]]="","",tblOrdenes[[#This Row],[costo_servicio]]+tblOrdenes[[#This Row],[costo_materiales]])</f>
        <v/>
      </c>
      <c r="AJ362" s="6" t="n"/>
      <c r="AK362" s="6" t="n"/>
      <c r="AL362" s="6" t="n"/>
      <c r="AM362" s="3">
        <f>IF(tblOrdenes[[#This Row],[link_checklist]]="","",HYPERLINK(p_ruta_base_checklists&amp;tblOrdenes[[#This Row],[link_checklist]],"abrir"))</f>
        <v/>
      </c>
      <c r="AN362" s="6" t="n"/>
      <c r="AO362" s="3">
        <f>IF(tblOrdenes[[#This Row],[orden]]="","",tblOrdenes[[#This Row],[orden]]&amp;IF(tblOrdenes[[#This Row],[operacion]]="","0010",tblOrdenes[[#This Row],[operacion]]))</f>
        <v/>
      </c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11" t="n"/>
      <c r="K363" s="3" t="n"/>
      <c r="L363" s="10" t="n"/>
      <c r="M363" s="6" t="n"/>
      <c r="N3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63" s="3">
        <f>IF(tblOrdenes[[#This Row],[fecha_inicio]]="","",YEAR(tblOrdenes[[#This Row],[fecha_inicio]]))</f>
        <v/>
      </c>
      <c r="R363" s="3">
        <f>IF(tblOrdenes[[#This Row],[fecha_inicio]]="","",MONTH(tblOrdenes[[#This Row],[fecha_inicio]]))</f>
        <v/>
      </c>
      <c r="S363" s="3">
        <f>IF(tblOrdenes[[#This Row],[fecha_inicio]]="","",INDEX(lista_dias,WEEKDAY(tblOrdenes[[#This Row],[fecha_inicio]],2)))</f>
        <v/>
      </c>
      <c r="T363" s="3">
        <f>IF(tblOrdenes[[#This Row],[tipo_ot]]="","",_xlfn.XLOOKUP(tblOrdenes[[#This Row],[tipo_ot]],tblTiposOT[codigo],tblTiposOT[clasificacion],"sin_clasificar"))</f>
        <v/>
      </c>
      <c r="U363" s="3">
        <f>IF(tblOrdenes[[#This Row],[centro_costo]]="","",_xlfn.XLOOKUP(tblOrdenes[[#This Row],[centro_costo]],tblCECO[codigo],tblCECO[linea],"(sin catálogo)"))</f>
        <v/>
      </c>
      <c r="V363" s="3">
        <f>IF(tblOrdenes[[#This Row],[centro_costo]]="","",_xlfn.XLOOKUP(tblOrdenes[[#This Row],[centro_costo]],tblCECO[codigo],tblCECO[area],"(sin catálogo)"))</f>
        <v/>
      </c>
      <c r="W363" s="3">
        <f>IF(tblOrdenes[[#This Row],[centro_costo]]="","",_xlfn.XLOOKUP(tblOrdenes[[#This Row],[centro_costo]],tblCECO[codigo],tblCECO[coordinador],"(sin catálogo)"))</f>
        <v/>
      </c>
      <c r="X363" s="3">
        <f>IF(tblOrdenes[[#This Row],[puesto_trabajo]]="","",_xlfn.XLOOKUP(tblOrdenes[[#This Row],[puesto_trabajo]],tblPuestos[codigo],tblPuestos[especialidad],"(sin catálogo)"))</f>
        <v/>
      </c>
      <c r="Y363" s="3">
        <f>IF(tblOrdenes[[#This Row],[cod_actividad]]="","",_xlfn.XLOOKUP(tblOrdenes[[#This Row],[cod_actividad]],tblActividades[codigo],tblActividades[descripcion],"(sin catálogo)"))</f>
        <v/>
      </c>
      <c r="Z363" s="12">
        <f>IF(tblOrdenes[[#This Row],[fecha_inicio]]="","",TODAY()-tblOrdenes[[#This Row],[fecha_inicio]])</f>
        <v/>
      </c>
      <c r="AA363" s="3">
        <f>IF(tblOrdenes[[#This Row],[backlog_dias]]="","",IF(tblOrdenes[[#This Row],[backlog_dias]]&lt;0,"FUTURO",IF(tblOrdenes[[#This Row],[backlog_dias]]&gt;p_dias_backlog_max,"BACKLOG","MES CORRIENTE")))</f>
        <v/>
      </c>
      <c r="AB363" s="3">
        <f>IF(tblOrdenes[[#This Row],[backlog_dias]]="",FALSE,AND(tblOrdenes[[#This Row],[backlog_dias]]&gt;p_dias_backlog_min,tblOrdenes[[#This Row],[backlog_dias]]&lt;=p_dias_backlog_max))</f>
        <v/>
      </c>
      <c r="AC363" s="6" t="n"/>
      <c r="AD3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63" s="10">
        <f>IF(tblOrdenes[[#This Row],[orden]]="","",_xlfn.XLOOKUP(tblOrdenes[[#This Row],[id_operacion]],tblEjecucion[id_operacion],tblEjecucion[precio],0))</f>
        <v/>
      </c>
      <c r="AH363" s="10">
        <f>IF(tblOrdenes[[#This Row],[orden]]="","",MAX(0,_xlfn.XLOOKUP(tblOrdenes[[#This Row],[id_operacion]],tblEjecucion[id_operacion],tblEjecucion[costo_plan_total],0)-tblOrdenes[[#This Row],[costo_servicio]]))</f>
        <v/>
      </c>
      <c r="AI363" s="10">
        <f>IF(tblOrdenes[[#This Row],[orden]]="","",tblOrdenes[[#This Row],[costo_servicio]]+tblOrdenes[[#This Row],[costo_materiales]])</f>
        <v/>
      </c>
      <c r="AJ363" s="6" t="n"/>
      <c r="AK363" s="6" t="n"/>
      <c r="AL363" s="6" t="n"/>
      <c r="AM363" s="3">
        <f>IF(tblOrdenes[[#This Row],[link_checklist]]="","",HYPERLINK(p_ruta_base_checklists&amp;tblOrdenes[[#This Row],[link_checklist]],"abrir"))</f>
        <v/>
      </c>
      <c r="AN363" s="6" t="n"/>
      <c r="AO363" s="3">
        <f>IF(tblOrdenes[[#This Row],[orden]]="","",tblOrdenes[[#This Row],[orden]]&amp;IF(tblOrdenes[[#This Row],[operacion]]="","0010",tblOrdenes[[#This Row],[operacion]]))</f>
        <v/>
      </c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11" t="n"/>
      <c r="K364" s="3" t="n"/>
      <c r="L364" s="10" t="n"/>
      <c r="M364" s="6" t="n"/>
      <c r="N3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64" s="3">
        <f>IF(tblOrdenes[[#This Row],[fecha_inicio]]="","",YEAR(tblOrdenes[[#This Row],[fecha_inicio]]))</f>
        <v/>
      </c>
      <c r="R364" s="3">
        <f>IF(tblOrdenes[[#This Row],[fecha_inicio]]="","",MONTH(tblOrdenes[[#This Row],[fecha_inicio]]))</f>
        <v/>
      </c>
      <c r="S364" s="3">
        <f>IF(tblOrdenes[[#This Row],[fecha_inicio]]="","",INDEX(lista_dias,WEEKDAY(tblOrdenes[[#This Row],[fecha_inicio]],2)))</f>
        <v/>
      </c>
      <c r="T364" s="3">
        <f>IF(tblOrdenes[[#This Row],[tipo_ot]]="","",_xlfn.XLOOKUP(tblOrdenes[[#This Row],[tipo_ot]],tblTiposOT[codigo],tblTiposOT[clasificacion],"sin_clasificar"))</f>
        <v/>
      </c>
      <c r="U364" s="3">
        <f>IF(tblOrdenes[[#This Row],[centro_costo]]="","",_xlfn.XLOOKUP(tblOrdenes[[#This Row],[centro_costo]],tblCECO[codigo],tblCECO[linea],"(sin catálogo)"))</f>
        <v/>
      </c>
      <c r="V364" s="3">
        <f>IF(tblOrdenes[[#This Row],[centro_costo]]="","",_xlfn.XLOOKUP(tblOrdenes[[#This Row],[centro_costo]],tblCECO[codigo],tblCECO[area],"(sin catálogo)"))</f>
        <v/>
      </c>
      <c r="W364" s="3">
        <f>IF(tblOrdenes[[#This Row],[centro_costo]]="","",_xlfn.XLOOKUP(tblOrdenes[[#This Row],[centro_costo]],tblCECO[codigo],tblCECO[coordinador],"(sin catálogo)"))</f>
        <v/>
      </c>
      <c r="X364" s="3">
        <f>IF(tblOrdenes[[#This Row],[puesto_trabajo]]="","",_xlfn.XLOOKUP(tblOrdenes[[#This Row],[puesto_trabajo]],tblPuestos[codigo],tblPuestos[especialidad],"(sin catálogo)"))</f>
        <v/>
      </c>
      <c r="Y364" s="3">
        <f>IF(tblOrdenes[[#This Row],[cod_actividad]]="","",_xlfn.XLOOKUP(tblOrdenes[[#This Row],[cod_actividad]],tblActividades[codigo],tblActividades[descripcion],"(sin catálogo)"))</f>
        <v/>
      </c>
      <c r="Z364" s="12">
        <f>IF(tblOrdenes[[#This Row],[fecha_inicio]]="","",TODAY()-tblOrdenes[[#This Row],[fecha_inicio]])</f>
        <v/>
      </c>
      <c r="AA364" s="3">
        <f>IF(tblOrdenes[[#This Row],[backlog_dias]]="","",IF(tblOrdenes[[#This Row],[backlog_dias]]&lt;0,"FUTURO",IF(tblOrdenes[[#This Row],[backlog_dias]]&gt;p_dias_backlog_max,"BACKLOG","MES CORRIENTE")))</f>
        <v/>
      </c>
      <c r="AB364" s="3">
        <f>IF(tblOrdenes[[#This Row],[backlog_dias]]="",FALSE,AND(tblOrdenes[[#This Row],[backlog_dias]]&gt;p_dias_backlog_min,tblOrdenes[[#This Row],[backlog_dias]]&lt;=p_dias_backlog_max))</f>
        <v/>
      </c>
      <c r="AC364" s="6" t="n"/>
      <c r="AD3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64" s="10">
        <f>IF(tblOrdenes[[#This Row],[orden]]="","",_xlfn.XLOOKUP(tblOrdenes[[#This Row],[id_operacion]],tblEjecucion[id_operacion],tblEjecucion[precio],0))</f>
        <v/>
      </c>
      <c r="AH364" s="10">
        <f>IF(tblOrdenes[[#This Row],[orden]]="","",MAX(0,_xlfn.XLOOKUP(tblOrdenes[[#This Row],[id_operacion]],tblEjecucion[id_operacion],tblEjecucion[costo_plan_total],0)-tblOrdenes[[#This Row],[costo_servicio]]))</f>
        <v/>
      </c>
      <c r="AI364" s="10">
        <f>IF(tblOrdenes[[#This Row],[orden]]="","",tblOrdenes[[#This Row],[costo_servicio]]+tblOrdenes[[#This Row],[costo_materiales]])</f>
        <v/>
      </c>
      <c r="AJ364" s="6" t="n"/>
      <c r="AK364" s="6" t="n"/>
      <c r="AL364" s="6" t="n"/>
      <c r="AM364" s="3">
        <f>IF(tblOrdenes[[#This Row],[link_checklist]]="","",HYPERLINK(p_ruta_base_checklists&amp;tblOrdenes[[#This Row],[link_checklist]],"abrir"))</f>
        <v/>
      </c>
      <c r="AN364" s="6" t="n"/>
      <c r="AO364" s="3">
        <f>IF(tblOrdenes[[#This Row],[orden]]="","",tblOrdenes[[#This Row],[orden]]&amp;IF(tblOrdenes[[#This Row],[operacion]]="","0010",tblOrdenes[[#This Row],[operacion]]))</f>
        <v/>
      </c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11" t="n"/>
      <c r="K365" s="3" t="n"/>
      <c r="L365" s="10" t="n"/>
      <c r="M365" s="6" t="n"/>
      <c r="N3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65" s="3">
        <f>IF(tblOrdenes[[#This Row],[fecha_inicio]]="","",YEAR(tblOrdenes[[#This Row],[fecha_inicio]]))</f>
        <v/>
      </c>
      <c r="R365" s="3">
        <f>IF(tblOrdenes[[#This Row],[fecha_inicio]]="","",MONTH(tblOrdenes[[#This Row],[fecha_inicio]]))</f>
        <v/>
      </c>
      <c r="S365" s="3">
        <f>IF(tblOrdenes[[#This Row],[fecha_inicio]]="","",INDEX(lista_dias,WEEKDAY(tblOrdenes[[#This Row],[fecha_inicio]],2)))</f>
        <v/>
      </c>
      <c r="T365" s="3">
        <f>IF(tblOrdenes[[#This Row],[tipo_ot]]="","",_xlfn.XLOOKUP(tblOrdenes[[#This Row],[tipo_ot]],tblTiposOT[codigo],tblTiposOT[clasificacion],"sin_clasificar"))</f>
        <v/>
      </c>
      <c r="U365" s="3">
        <f>IF(tblOrdenes[[#This Row],[centro_costo]]="","",_xlfn.XLOOKUP(tblOrdenes[[#This Row],[centro_costo]],tblCECO[codigo],tblCECO[linea],"(sin catálogo)"))</f>
        <v/>
      </c>
      <c r="V365" s="3">
        <f>IF(tblOrdenes[[#This Row],[centro_costo]]="","",_xlfn.XLOOKUP(tblOrdenes[[#This Row],[centro_costo]],tblCECO[codigo],tblCECO[area],"(sin catálogo)"))</f>
        <v/>
      </c>
      <c r="W365" s="3">
        <f>IF(tblOrdenes[[#This Row],[centro_costo]]="","",_xlfn.XLOOKUP(tblOrdenes[[#This Row],[centro_costo]],tblCECO[codigo],tblCECO[coordinador],"(sin catálogo)"))</f>
        <v/>
      </c>
      <c r="X365" s="3">
        <f>IF(tblOrdenes[[#This Row],[puesto_trabajo]]="","",_xlfn.XLOOKUP(tblOrdenes[[#This Row],[puesto_trabajo]],tblPuestos[codigo],tblPuestos[especialidad],"(sin catálogo)"))</f>
        <v/>
      </c>
      <c r="Y365" s="3">
        <f>IF(tblOrdenes[[#This Row],[cod_actividad]]="","",_xlfn.XLOOKUP(tblOrdenes[[#This Row],[cod_actividad]],tblActividades[codigo],tblActividades[descripcion],"(sin catálogo)"))</f>
        <v/>
      </c>
      <c r="Z365" s="12">
        <f>IF(tblOrdenes[[#This Row],[fecha_inicio]]="","",TODAY()-tblOrdenes[[#This Row],[fecha_inicio]])</f>
        <v/>
      </c>
      <c r="AA365" s="3">
        <f>IF(tblOrdenes[[#This Row],[backlog_dias]]="","",IF(tblOrdenes[[#This Row],[backlog_dias]]&lt;0,"FUTURO",IF(tblOrdenes[[#This Row],[backlog_dias]]&gt;p_dias_backlog_max,"BACKLOG","MES CORRIENTE")))</f>
        <v/>
      </c>
      <c r="AB365" s="3">
        <f>IF(tblOrdenes[[#This Row],[backlog_dias]]="",FALSE,AND(tblOrdenes[[#This Row],[backlog_dias]]&gt;p_dias_backlog_min,tblOrdenes[[#This Row],[backlog_dias]]&lt;=p_dias_backlog_max))</f>
        <v/>
      </c>
      <c r="AC365" s="6" t="n"/>
      <c r="AD3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65" s="10">
        <f>IF(tblOrdenes[[#This Row],[orden]]="","",_xlfn.XLOOKUP(tblOrdenes[[#This Row],[id_operacion]],tblEjecucion[id_operacion],tblEjecucion[precio],0))</f>
        <v/>
      </c>
      <c r="AH365" s="10">
        <f>IF(tblOrdenes[[#This Row],[orden]]="","",MAX(0,_xlfn.XLOOKUP(tblOrdenes[[#This Row],[id_operacion]],tblEjecucion[id_operacion],tblEjecucion[costo_plan_total],0)-tblOrdenes[[#This Row],[costo_servicio]]))</f>
        <v/>
      </c>
      <c r="AI365" s="10">
        <f>IF(tblOrdenes[[#This Row],[orden]]="","",tblOrdenes[[#This Row],[costo_servicio]]+tblOrdenes[[#This Row],[costo_materiales]])</f>
        <v/>
      </c>
      <c r="AJ365" s="6" t="n"/>
      <c r="AK365" s="6" t="n"/>
      <c r="AL365" s="6" t="n"/>
      <c r="AM365" s="3">
        <f>IF(tblOrdenes[[#This Row],[link_checklist]]="","",HYPERLINK(p_ruta_base_checklists&amp;tblOrdenes[[#This Row],[link_checklist]],"abrir"))</f>
        <v/>
      </c>
      <c r="AN365" s="6" t="n"/>
      <c r="AO365" s="3">
        <f>IF(tblOrdenes[[#This Row],[orden]]="","",tblOrdenes[[#This Row],[orden]]&amp;IF(tblOrdenes[[#This Row],[operacion]]="","0010",tblOrdenes[[#This Row],[operacion]]))</f>
        <v/>
      </c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11" t="n"/>
      <c r="K366" s="3" t="n"/>
      <c r="L366" s="10" t="n"/>
      <c r="M366" s="6" t="n"/>
      <c r="N3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66" s="3">
        <f>IF(tblOrdenes[[#This Row],[fecha_inicio]]="","",YEAR(tblOrdenes[[#This Row],[fecha_inicio]]))</f>
        <v/>
      </c>
      <c r="R366" s="3">
        <f>IF(tblOrdenes[[#This Row],[fecha_inicio]]="","",MONTH(tblOrdenes[[#This Row],[fecha_inicio]]))</f>
        <v/>
      </c>
      <c r="S366" s="3">
        <f>IF(tblOrdenes[[#This Row],[fecha_inicio]]="","",INDEX(lista_dias,WEEKDAY(tblOrdenes[[#This Row],[fecha_inicio]],2)))</f>
        <v/>
      </c>
      <c r="T366" s="3">
        <f>IF(tblOrdenes[[#This Row],[tipo_ot]]="","",_xlfn.XLOOKUP(tblOrdenes[[#This Row],[tipo_ot]],tblTiposOT[codigo],tblTiposOT[clasificacion],"sin_clasificar"))</f>
        <v/>
      </c>
      <c r="U366" s="3">
        <f>IF(tblOrdenes[[#This Row],[centro_costo]]="","",_xlfn.XLOOKUP(tblOrdenes[[#This Row],[centro_costo]],tblCECO[codigo],tblCECO[linea],"(sin catálogo)"))</f>
        <v/>
      </c>
      <c r="V366" s="3">
        <f>IF(tblOrdenes[[#This Row],[centro_costo]]="","",_xlfn.XLOOKUP(tblOrdenes[[#This Row],[centro_costo]],tblCECO[codigo],tblCECO[area],"(sin catálogo)"))</f>
        <v/>
      </c>
      <c r="W366" s="3">
        <f>IF(tblOrdenes[[#This Row],[centro_costo]]="","",_xlfn.XLOOKUP(tblOrdenes[[#This Row],[centro_costo]],tblCECO[codigo],tblCECO[coordinador],"(sin catálogo)"))</f>
        <v/>
      </c>
      <c r="X366" s="3">
        <f>IF(tblOrdenes[[#This Row],[puesto_trabajo]]="","",_xlfn.XLOOKUP(tblOrdenes[[#This Row],[puesto_trabajo]],tblPuestos[codigo],tblPuestos[especialidad],"(sin catálogo)"))</f>
        <v/>
      </c>
      <c r="Y366" s="3">
        <f>IF(tblOrdenes[[#This Row],[cod_actividad]]="","",_xlfn.XLOOKUP(tblOrdenes[[#This Row],[cod_actividad]],tblActividades[codigo],tblActividades[descripcion],"(sin catálogo)"))</f>
        <v/>
      </c>
      <c r="Z366" s="12">
        <f>IF(tblOrdenes[[#This Row],[fecha_inicio]]="","",TODAY()-tblOrdenes[[#This Row],[fecha_inicio]])</f>
        <v/>
      </c>
      <c r="AA366" s="3">
        <f>IF(tblOrdenes[[#This Row],[backlog_dias]]="","",IF(tblOrdenes[[#This Row],[backlog_dias]]&lt;0,"FUTURO",IF(tblOrdenes[[#This Row],[backlog_dias]]&gt;p_dias_backlog_max,"BACKLOG","MES CORRIENTE")))</f>
        <v/>
      </c>
      <c r="AB366" s="3">
        <f>IF(tblOrdenes[[#This Row],[backlog_dias]]="",FALSE,AND(tblOrdenes[[#This Row],[backlog_dias]]&gt;p_dias_backlog_min,tblOrdenes[[#This Row],[backlog_dias]]&lt;=p_dias_backlog_max))</f>
        <v/>
      </c>
      <c r="AC366" s="6" t="n"/>
      <c r="AD3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66" s="10">
        <f>IF(tblOrdenes[[#This Row],[orden]]="","",_xlfn.XLOOKUP(tblOrdenes[[#This Row],[id_operacion]],tblEjecucion[id_operacion],tblEjecucion[precio],0))</f>
        <v/>
      </c>
      <c r="AH366" s="10">
        <f>IF(tblOrdenes[[#This Row],[orden]]="","",MAX(0,_xlfn.XLOOKUP(tblOrdenes[[#This Row],[id_operacion]],tblEjecucion[id_operacion],tblEjecucion[costo_plan_total],0)-tblOrdenes[[#This Row],[costo_servicio]]))</f>
        <v/>
      </c>
      <c r="AI366" s="10">
        <f>IF(tblOrdenes[[#This Row],[orden]]="","",tblOrdenes[[#This Row],[costo_servicio]]+tblOrdenes[[#This Row],[costo_materiales]])</f>
        <v/>
      </c>
      <c r="AJ366" s="6" t="n"/>
      <c r="AK366" s="6" t="n"/>
      <c r="AL366" s="6" t="n"/>
      <c r="AM366" s="3">
        <f>IF(tblOrdenes[[#This Row],[link_checklist]]="","",HYPERLINK(p_ruta_base_checklists&amp;tblOrdenes[[#This Row],[link_checklist]],"abrir"))</f>
        <v/>
      </c>
      <c r="AN366" s="6" t="n"/>
      <c r="AO366" s="3">
        <f>IF(tblOrdenes[[#This Row],[orden]]="","",tblOrdenes[[#This Row],[orden]]&amp;IF(tblOrdenes[[#This Row],[operacion]]="","0010",tblOrdenes[[#This Row],[operacion]]))</f>
        <v/>
      </c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11" t="n"/>
      <c r="K367" s="3" t="n"/>
      <c r="L367" s="10" t="n"/>
      <c r="M367" s="6" t="n"/>
      <c r="N3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67" s="3">
        <f>IF(tblOrdenes[[#This Row],[fecha_inicio]]="","",YEAR(tblOrdenes[[#This Row],[fecha_inicio]]))</f>
        <v/>
      </c>
      <c r="R367" s="3">
        <f>IF(tblOrdenes[[#This Row],[fecha_inicio]]="","",MONTH(tblOrdenes[[#This Row],[fecha_inicio]]))</f>
        <v/>
      </c>
      <c r="S367" s="3">
        <f>IF(tblOrdenes[[#This Row],[fecha_inicio]]="","",INDEX(lista_dias,WEEKDAY(tblOrdenes[[#This Row],[fecha_inicio]],2)))</f>
        <v/>
      </c>
      <c r="T367" s="3">
        <f>IF(tblOrdenes[[#This Row],[tipo_ot]]="","",_xlfn.XLOOKUP(tblOrdenes[[#This Row],[tipo_ot]],tblTiposOT[codigo],tblTiposOT[clasificacion],"sin_clasificar"))</f>
        <v/>
      </c>
      <c r="U367" s="3">
        <f>IF(tblOrdenes[[#This Row],[centro_costo]]="","",_xlfn.XLOOKUP(tblOrdenes[[#This Row],[centro_costo]],tblCECO[codigo],tblCECO[linea],"(sin catálogo)"))</f>
        <v/>
      </c>
      <c r="V367" s="3">
        <f>IF(tblOrdenes[[#This Row],[centro_costo]]="","",_xlfn.XLOOKUP(tblOrdenes[[#This Row],[centro_costo]],tblCECO[codigo],tblCECO[area],"(sin catálogo)"))</f>
        <v/>
      </c>
      <c r="W367" s="3">
        <f>IF(tblOrdenes[[#This Row],[centro_costo]]="","",_xlfn.XLOOKUP(tblOrdenes[[#This Row],[centro_costo]],tblCECO[codigo],tblCECO[coordinador],"(sin catálogo)"))</f>
        <v/>
      </c>
      <c r="X367" s="3">
        <f>IF(tblOrdenes[[#This Row],[puesto_trabajo]]="","",_xlfn.XLOOKUP(tblOrdenes[[#This Row],[puesto_trabajo]],tblPuestos[codigo],tblPuestos[especialidad],"(sin catálogo)"))</f>
        <v/>
      </c>
      <c r="Y367" s="3">
        <f>IF(tblOrdenes[[#This Row],[cod_actividad]]="","",_xlfn.XLOOKUP(tblOrdenes[[#This Row],[cod_actividad]],tblActividades[codigo],tblActividades[descripcion],"(sin catálogo)"))</f>
        <v/>
      </c>
      <c r="Z367" s="12">
        <f>IF(tblOrdenes[[#This Row],[fecha_inicio]]="","",TODAY()-tblOrdenes[[#This Row],[fecha_inicio]])</f>
        <v/>
      </c>
      <c r="AA367" s="3">
        <f>IF(tblOrdenes[[#This Row],[backlog_dias]]="","",IF(tblOrdenes[[#This Row],[backlog_dias]]&lt;0,"FUTURO",IF(tblOrdenes[[#This Row],[backlog_dias]]&gt;p_dias_backlog_max,"BACKLOG","MES CORRIENTE")))</f>
        <v/>
      </c>
      <c r="AB367" s="3">
        <f>IF(tblOrdenes[[#This Row],[backlog_dias]]="",FALSE,AND(tblOrdenes[[#This Row],[backlog_dias]]&gt;p_dias_backlog_min,tblOrdenes[[#This Row],[backlog_dias]]&lt;=p_dias_backlog_max))</f>
        <v/>
      </c>
      <c r="AC367" s="6" t="n"/>
      <c r="AD3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67" s="10">
        <f>IF(tblOrdenes[[#This Row],[orden]]="","",_xlfn.XLOOKUP(tblOrdenes[[#This Row],[id_operacion]],tblEjecucion[id_operacion],tblEjecucion[precio],0))</f>
        <v/>
      </c>
      <c r="AH367" s="10">
        <f>IF(tblOrdenes[[#This Row],[orden]]="","",MAX(0,_xlfn.XLOOKUP(tblOrdenes[[#This Row],[id_operacion]],tblEjecucion[id_operacion],tblEjecucion[costo_plan_total],0)-tblOrdenes[[#This Row],[costo_servicio]]))</f>
        <v/>
      </c>
      <c r="AI367" s="10">
        <f>IF(tblOrdenes[[#This Row],[orden]]="","",tblOrdenes[[#This Row],[costo_servicio]]+tblOrdenes[[#This Row],[costo_materiales]])</f>
        <v/>
      </c>
      <c r="AJ367" s="6" t="n"/>
      <c r="AK367" s="6" t="n"/>
      <c r="AL367" s="6" t="n"/>
      <c r="AM367" s="3">
        <f>IF(tblOrdenes[[#This Row],[link_checklist]]="","",HYPERLINK(p_ruta_base_checklists&amp;tblOrdenes[[#This Row],[link_checklist]],"abrir"))</f>
        <v/>
      </c>
      <c r="AN367" s="6" t="n"/>
      <c r="AO367" s="3">
        <f>IF(tblOrdenes[[#This Row],[orden]]="","",tblOrdenes[[#This Row],[orden]]&amp;IF(tblOrdenes[[#This Row],[operacion]]="","0010",tblOrdenes[[#This Row],[operacion]]))</f>
        <v/>
      </c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11" t="n"/>
      <c r="K368" s="3" t="n"/>
      <c r="L368" s="10" t="n"/>
      <c r="M368" s="6" t="n"/>
      <c r="N3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68" s="3">
        <f>IF(tblOrdenes[[#This Row],[fecha_inicio]]="","",YEAR(tblOrdenes[[#This Row],[fecha_inicio]]))</f>
        <v/>
      </c>
      <c r="R368" s="3">
        <f>IF(tblOrdenes[[#This Row],[fecha_inicio]]="","",MONTH(tblOrdenes[[#This Row],[fecha_inicio]]))</f>
        <v/>
      </c>
      <c r="S368" s="3">
        <f>IF(tblOrdenes[[#This Row],[fecha_inicio]]="","",INDEX(lista_dias,WEEKDAY(tblOrdenes[[#This Row],[fecha_inicio]],2)))</f>
        <v/>
      </c>
      <c r="T368" s="3">
        <f>IF(tblOrdenes[[#This Row],[tipo_ot]]="","",_xlfn.XLOOKUP(tblOrdenes[[#This Row],[tipo_ot]],tblTiposOT[codigo],tblTiposOT[clasificacion],"sin_clasificar"))</f>
        <v/>
      </c>
      <c r="U368" s="3">
        <f>IF(tblOrdenes[[#This Row],[centro_costo]]="","",_xlfn.XLOOKUP(tblOrdenes[[#This Row],[centro_costo]],tblCECO[codigo],tblCECO[linea],"(sin catálogo)"))</f>
        <v/>
      </c>
      <c r="V368" s="3">
        <f>IF(tblOrdenes[[#This Row],[centro_costo]]="","",_xlfn.XLOOKUP(tblOrdenes[[#This Row],[centro_costo]],tblCECO[codigo],tblCECO[area],"(sin catálogo)"))</f>
        <v/>
      </c>
      <c r="W368" s="3">
        <f>IF(tblOrdenes[[#This Row],[centro_costo]]="","",_xlfn.XLOOKUP(tblOrdenes[[#This Row],[centro_costo]],tblCECO[codigo],tblCECO[coordinador],"(sin catálogo)"))</f>
        <v/>
      </c>
      <c r="X368" s="3">
        <f>IF(tblOrdenes[[#This Row],[puesto_trabajo]]="","",_xlfn.XLOOKUP(tblOrdenes[[#This Row],[puesto_trabajo]],tblPuestos[codigo],tblPuestos[especialidad],"(sin catálogo)"))</f>
        <v/>
      </c>
      <c r="Y368" s="3">
        <f>IF(tblOrdenes[[#This Row],[cod_actividad]]="","",_xlfn.XLOOKUP(tblOrdenes[[#This Row],[cod_actividad]],tblActividades[codigo],tblActividades[descripcion],"(sin catálogo)"))</f>
        <v/>
      </c>
      <c r="Z368" s="12">
        <f>IF(tblOrdenes[[#This Row],[fecha_inicio]]="","",TODAY()-tblOrdenes[[#This Row],[fecha_inicio]])</f>
        <v/>
      </c>
      <c r="AA368" s="3">
        <f>IF(tblOrdenes[[#This Row],[backlog_dias]]="","",IF(tblOrdenes[[#This Row],[backlog_dias]]&lt;0,"FUTURO",IF(tblOrdenes[[#This Row],[backlog_dias]]&gt;p_dias_backlog_max,"BACKLOG","MES CORRIENTE")))</f>
        <v/>
      </c>
      <c r="AB368" s="3">
        <f>IF(tblOrdenes[[#This Row],[backlog_dias]]="",FALSE,AND(tblOrdenes[[#This Row],[backlog_dias]]&gt;p_dias_backlog_min,tblOrdenes[[#This Row],[backlog_dias]]&lt;=p_dias_backlog_max))</f>
        <v/>
      </c>
      <c r="AC368" s="6" t="n"/>
      <c r="AD3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68" s="10">
        <f>IF(tblOrdenes[[#This Row],[orden]]="","",_xlfn.XLOOKUP(tblOrdenes[[#This Row],[id_operacion]],tblEjecucion[id_operacion],tblEjecucion[precio],0))</f>
        <v/>
      </c>
      <c r="AH368" s="10">
        <f>IF(tblOrdenes[[#This Row],[orden]]="","",MAX(0,_xlfn.XLOOKUP(tblOrdenes[[#This Row],[id_operacion]],tblEjecucion[id_operacion],tblEjecucion[costo_plan_total],0)-tblOrdenes[[#This Row],[costo_servicio]]))</f>
        <v/>
      </c>
      <c r="AI368" s="10">
        <f>IF(tblOrdenes[[#This Row],[orden]]="","",tblOrdenes[[#This Row],[costo_servicio]]+tblOrdenes[[#This Row],[costo_materiales]])</f>
        <v/>
      </c>
      <c r="AJ368" s="6" t="n"/>
      <c r="AK368" s="6" t="n"/>
      <c r="AL368" s="6" t="n"/>
      <c r="AM368" s="3">
        <f>IF(tblOrdenes[[#This Row],[link_checklist]]="","",HYPERLINK(p_ruta_base_checklists&amp;tblOrdenes[[#This Row],[link_checklist]],"abrir"))</f>
        <v/>
      </c>
      <c r="AN368" s="6" t="n"/>
      <c r="AO368" s="3">
        <f>IF(tblOrdenes[[#This Row],[orden]]="","",tblOrdenes[[#This Row],[orden]]&amp;IF(tblOrdenes[[#This Row],[operacion]]="","0010",tblOrdenes[[#This Row],[operacion]]))</f>
        <v/>
      </c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11" t="n"/>
      <c r="K369" s="3" t="n"/>
      <c r="L369" s="10" t="n"/>
      <c r="M369" s="6" t="n"/>
      <c r="N3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69" s="3">
        <f>IF(tblOrdenes[[#This Row],[fecha_inicio]]="","",YEAR(tblOrdenes[[#This Row],[fecha_inicio]]))</f>
        <v/>
      </c>
      <c r="R369" s="3">
        <f>IF(tblOrdenes[[#This Row],[fecha_inicio]]="","",MONTH(tblOrdenes[[#This Row],[fecha_inicio]]))</f>
        <v/>
      </c>
      <c r="S369" s="3">
        <f>IF(tblOrdenes[[#This Row],[fecha_inicio]]="","",INDEX(lista_dias,WEEKDAY(tblOrdenes[[#This Row],[fecha_inicio]],2)))</f>
        <v/>
      </c>
      <c r="T369" s="3">
        <f>IF(tblOrdenes[[#This Row],[tipo_ot]]="","",_xlfn.XLOOKUP(tblOrdenes[[#This Row],[tipo_ot]],tblTiposOT[codigo],tblTiposOT[clasificacion],"sin_clasificar"))</f>
        <v/>
      </c>
      <c r="U369" s="3">
        <f>IF(tblOrdenes[[#This Row],[centro_costo]]="","",_xlfn.XLOOKUP(tblOrdenes[[#This Row],[centro_costo]],tblCECO[codigo],tblCECO[linea],"(sin catálogo)"))</f>
        <v/>
      </c>
      <c r="V369" s="3">
        <f>IF(tblOrdenes[[#This Row],[centro_costo]]="","",_xlfn.XLOOKUP(tblOrdenes[[#This Row],[centro_costo]],tblCECO[codigo],tblCECO[area],"(sin catálogo)"))</f>
        <v/>
      </c>
      <c r="W369" s="3">
        <f>IF(tblOrdenes[[#This Row],[centro_costo]]="","",_xlfn.XLOOKUP(tblOrdenes[[#This Row],[centro_costo]],tblCECO[codigo],tblCECO[coordinador],"(sin catálogo)"))</f>
        <v/>
      </c>
      <c r="X369" s="3">
        <f>IF(tblOrdenes[[#This Row],[puesto_trabajo]]="","",_xlfn.XLOOKUP(tblOrdenes[[#This Row],[puesto_trabajo]],tblPuestos[codigo],tblPuestos[especialidad],"(sin catálogo)"))</f>
        <v/>
      </c>
      <c r="Y369" s="3">
        <f>IF(tblOrdenes[[#This Row],[cod_actividad]]="","",_xlfn.XLOOKUP(tblOrdenes[[#This Row],[cod_actividad]],tblActividades[codigo],tblActividades[descripcion],"(sin catálogo)"))</f>
        <v/>
      </c>
      <c r="Z369" s="12">
        <f>IF(tblOrdenes[[#This Row],[fecha_inicio]]="","",TODAY()-tblOrdenes[[#This Row],[fecha_inicio]])</f>
        <v/>
      </c>
      <c r="AA369" s="3">
        <f>IF(tblOrdenes[[#This Row],[backlog_dias]]="","",IF(tblOrdenes[[#This Row],[backlog_dias]]&lt;0,"FUTURO",IF(tblOrdenes[[#This Row],[backlog_dias]]&gt;p_dias_backlog_max,"BACKLOG","MES CORRIENTE")))</f>
        <v/>
      </c>
      <c r="AB369" s="3">
        <f>IF(tblOrdenes[[#This Row],[backlog_dias]]="",FALSE,AND(tblOrdenes[[#This Row],[backlog_dias]]&gt;p_dias_backlog_min,tblOrdenes[[#This Row],[backlog_dias]]&lt;=p_dias_backlog_max))</f>
        <v/>
      </c>
      <c r="AC369" s="6" t="n"/>
      <c r="AD3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69" s="10">
        <f>IF(tblOrdenes[[#This Row],[orden]]="","",_xlfn.XLOOKUP(tblOrdenes[[#This Row],[id_operacion]],tblEjecucion[id_operacion],tblEjecucion[precio],0))</f>
        <v/>
      </c>
      <c r="AH369" s="10">
        <f>IF(tblOrdenes[[#This Row],[orden]]="","",MAX(0,_xlfn.XLOOKUP(tblOrdenes[[#This Row],[id_operacion]],tblEjecucion[id_operacion],tblEjecucion[costo_plan_total],0)-tblOrdenes[[#This Row],[costo_servicio]]))</f>
        <v/>
      </c>
      <c r="AI369" s="10">
        <f>IF(tblOrdenes[[#This Row],[orden]]="","",tblOrdenes[[#This Row],[costo_servicio]]+tblOrdenes[[#This Row],[costo_materiales]])</f>
        <v/>
      </c>
      <c r="AJ369" s="6" t="n"/>
      <c r="AK369" s="6" t="n"/>
      <c r="AL369" s="6" t="n"/>
      <c r="AM369" s="3">
        <f>IF(tblOrdenes[[#This Row],[link_checklist]]="","",HYPERLINK(p_ruta_base_checklists&amp;tblOrdenes[[#This Row],[link_checklist]],"abrir"))</f>
        <v/>
      </c>
      <c r="AN369" s="6" t="n"/>
      <c r="AO369" s="3">
        <f>IF(tblOrdenes[[#This Row],[orden]]="","",tblOrdenes[[#This Row],[orden]]&amp;IF(tblOrdenes[[#This Row],[operacion]]="","0010",tblOrdenes[[#This Row],[operacion]]))</f>
        <v/>
      </c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11" t="n"/>
      <c r="K370" s="3" t="n"/>
      <c r="L370" s="10" t="n"/>
      <c r="M370" s="6" t="n"/>
      <c r="N3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70" s="3">
        <f>IF(tblOrdenes[[#This Row],[fecha_inicio]]="","",YEAR(tblOrdenes[[#This Row],[fecha_inicio]]))</f>
        <v/>
      </c>
      <c r="R370" s="3">
        <f>IF(tblOrdenes[[#This Row],[fecha_inicio]]="","",MONTH(tblOrdenes[[#This Row],[fecha_inicio]]))</f>
        <v/>
      </c>
      <c r="S370" s="3">
        <f>IF(tblOrdenes[[#This Row],[fecha_inicio]]="","",INDEX(lista_dias,WEEKDAY(tblOrdenes[[#This Row],[fecha_inicio]],2)))</f>
        <v/>
      </c>
      <c r="T370" s="3">
        <f>IF(tblOrdenes[[#This Row],[tipo_ot]]="","",_xlfn.XLOOKUP(tblOrdenes[[#This Row],[tipo_ot]],tblTiposOT[codigo],tblTiposOT[clasificacion],"sin_clasificar"))</f>
        <v/>
      </c>
      <c r="U370" s="3">
        <f>IF(tblOrdenes[[#This Row],[centro_costo]]="","",_xlfn.XLOOKUP(tblOrdenes[[#This Row],[centro_costo]],tblCECO[codigo],tblCECO[linea],"(sin catálogo)"))</f>
        <v/>
      </c>
      <c r="V370" s="3">
        <f>IF(tblOrdenes[[#This Row],[centro_costo]]="","",_xlfn.XLOOKUP(tblOrdenes[[#This Row],[centro_costo]],tblCECO[codigo],tblCECO[area],"(sin catálogo)"))</f>
        <v/>
      </c>
      <c r="W370" s="3">
        <f>IF(tblOrdenes[[#This Row],[centro_costo]]="","",_xlfn.XLOOKUP(tblOrdenes[[#This Row],[centro_costo]],tblCECO[codigo],tblCECO[coordinador],"(sin catálogo)"))</f>
        <v/>
      </c>
      <c r="X370" s="3">
        <f>IF(tblOrdenes[[#This Row],[puesto_trabajo]]="","",_xlfn.XLOOKUP(tblOrdenes[[#This Row],[puesto_trabajo]],tblPuestos[codigo],tblPuestos[especialidad],"(sin catálogo)"))</f>
        <v/>
      </c>
      <c r="Y370" s="3">
        <f>IF(tblOrdenes[[#This Row],[cod_actividad]]="","",_xlfn.XLOOKUP(tblOrdenes[[#This Row],[cod_actividad]],tblActividades[codigo],tblActividades[descripcion],"(sin catálogo)"))</f>
        <v/>
      </c>
      <c r="Z370" s="12">
        <f>IF(tblOrdenes[[#This Row],[fecha_inicio]]="","",TODAY()-tblOrdenes[[#This Row],[fecha_inicio]])</f>
        <v/>
      </c>
      <c r="AA370" s="3">
        <f>IF(tblOrdenes[[#This Row],[backlog_dias]]="","",IF(tblOrdenes[[#This Row],[backlog_dias]]&lt;0,"FUTURO",IF(tblOrdenes[[#This Row],[backlog_dias]]&gt;p_dias_backlog_max,"BACKLOG","MES CORRIENTE")))</f>
        <v/>
      </c>
      <c r="AB370" s="3">
        <f>IF(tblOrdenes[[#This Row],[backlog_dias]]="",FALSE,AND(tblOrdenes[[#This Row],[backlog_dias]]&gt;p_dias_backlog_min,tblOrdenes[[#This Row],[backlog_dias]]&lt;=p_dias_backlog_max))</f>
        <v/>
      </c>
      <c r="AC370" s="6" t="n"/>
      <c r="AD3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70" s="10">
        <f>IF(tblOrdenes[[#This Row],[orden]]="","",_xlfn.XLOOKUP(tblOrdenes[[#This Row],[id_operacion]],tblEjecucion[id_operacion],tblEjecucion[precio],0))</f>
        <v/>
      </c>
      <c r="AH370" s="10">
        <f>IF(tblOrdenes[[#This Row],[orden]]="","",MAX(0,_xlfn.XLOOKUP(tblOrdenes[[#This Row],[id_operacion]],tblEjecucion[id_operacion],tblEjecucion[costo_plan_total],0)-tblOrdenes[[#This Row],[costo_servicio]]))</f>
        <v/>
      </c>
      <c r="AI370" s="10">
        <f>IF(tblOrdenes[[#This Row],[orden]]="","",tblOrdenes[[#This Row],[costo_servicio]]+tblOrdenes[[#This Row],[costo_materiales]])</f>
        <v/>
      </c>
      <c r="AJ370" s="6" t="n"/>
      <c r="AK370" s="6" t="n"/>
      <c r="AL370" s="6" t="n"/>
      <c r="AM370" s="3">
        <f>IF(tblOrdenes[[#This Row],[link_checklist]]="","",HYPERLINK(p_ruta_base_checklists&amp;tblOrdenes[[#This Row],[link_checklist]],"abrir"))</f>
        <v/>
      </c>
      <c r="AN370" s="6" t="n"/>
      <c r="AO370" s="3">
        <f>IF(tblOrdenes[[#This Row],[orden]]="","",tblOrdenes[[#This Row],[orden]]&amp;IF(tblOrdenes[[#This Row],[operacion]]="","0010",tblOrdenes[[#This Row],[operacion]]))</f>
        <v/>
      </c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11" t="n"/>
      <c r="K371" s="3" t="n"/>
      <c r="L371" s="10" t="n"/>
      <c r="M371" s="6" t="n"/>
      <c r="N3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71" s="3">
        <f>IF(tblOrdenes[[#This Row],[fecha_inicio]]="","",YEAR(tblOrdenes[[#This Row],[fecha_inicio]]))</f>
        <v/>
      </c>
      <c r="R371" s="3">
        <f>IF(tblOrdenes[[#This Row],[fecha_inicio]]="","",MONTH(tblOrdenes[[#This Row],[fecha_inicio]]))</f>
        <v/>
      </c>
      <c r="S371" s="3">
        <f>IF(tblOrdenes[[#This Row],[fecha_inicio]]="","",INDEX(lista_dias,WEEKDAY(tblOrdenes[[#This Row],[fecha_inicio]],2)))</f>
        <v/>
      </c>
      <c r="T371" s="3">
        <f>IF(tblOrdenes[[#This Row],[tipo_ot]]="","",_xlfn.XLOOKUP(tblOrdenes[[#This Row],[tipo_ot]],tblTiposOT[codigo],tblTiposOT[clasificacion],"sin_clasificar"))</f>
        <v/>
      </c>
      <c r="U371" s="3">
        <f>IF(tblOrdenes[[#This Row],[centro_costo]]="","",_xlfn.XLOOKUP(tblOrdenes[[#This Row],[centro_costo]],tblCECO[codigo],tblCECO[linea],"(sin catálogo)"))</f>
        <v/>
      </c>
      <c r="V371" s="3">
        <f>IF(tblOrdenes[[#This Row],[centro_costo]]="","",_xlfn.XLOOKUP(tblOrdenes[[#This Row],[centro_costo]],tblCECO[codigo],tblCECO[area],"(sin catálogo)"))</f>
        <v/>
      </c>
      <c r="W371" s="3">
        <f>IF(tblOrdenes[[#This Row],[centro_costo]]="","",_xlfn.XLOOKUP(tblOrdenes[[#This Row],[centro_costo]],tblCECO[codigo],tblCECO[coordinador],"(sin catálogo)"))</f>
        <v/>
      </c>
      <c r="X371" s="3">
        <f>IF(tblOrdenes[[#This Row],[puesto_trabajo]]="","",_xlfn.XLOOKUP(tblOrdenes[[#This Row],[puesto_trabajo]],tblPuestos[codigo],tblPuestos[especialidad],"(sin catálogo)"))</f>
        <v/>
      </c>
      <c r="Y371" s="3">
        <f>IF(tblOrdenes[[#This Row],[cod_actividad]]="","",_xlfn.XLOOKUP(tblOrdenes[[#This Row],[cod_actividad]],tblActividades[codigo],tblActividades[descripcion],"(sin catálogo)"))</f>
        <v/>
      </c>
      <c r="Z371" s="12">
        <f>IF(tblOrdenes[[#This Row],[fecha_inicio]]="","",TODAY()-tblOrdenes[[#This Row],[fecha_inicio]])</f>
        <v/>
      </c>
      <c r="AA371" s="3">
        <f>IF(tblOrdenes[[#This Row],[backlog_dias]]="","",IF(tblOrdenes[[#This Row],[backlog_dias]]&lt;0,"FUTURO",IF(tblOrdenes[[#This Row],[backlog_dias]]&gt;p_dias_backlog_max,"BACKLOG","MES CORRIENTE")))</f>
        <v/>
      </c>
      <c r="AB371" s="3">
        <f>IF(tblOrdenes[[#This Row],[backlog_dias]]="",FALSE,AND(tblOrdenes[[#This Row],[backlog_dias]]&gt;p_dias_backlog_min,tblOrdenes[[#This Row],[backlog_dias]]&lt;=p_dias_backlog_max))</f>
        <v/>
      </c>
      <c r="AC371" s="6" t="n"/>
      <c r="AD3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71" s="10">
        <f>IF(tblOrdenes[[#This Row],[orden]]="","",_xlfn.XLOOKUP(tblOrdenes[[#This Row],[id_operacion]],tblEjecucion[id_operacion],tblEjecucion[precio],0))</f>
        <v/>
      </c>
      <c r="AH371" s="10">
        <f>IF(tblOrdenes[[#This Row],[orden]]="","",MAX(0,_xlfn.XLOOKUP(tblOrdenes[[#This Row],[id_operacion]],tblEjecucion[id_operacion],tblEjecucion[costo_plan_total],0)-tblOrdenes[[#This Row],[costo_servicio]]))</f>
        <v/>
      </c>
      <c r="AI371" s="10">
        <f>IF(tblOrdenes[[#This Row],[orden]]="","",tblOrdenes[[#This Row],[costo_servicio]]+tblOrdenes[[#This Row],[costo_materiales]])</f>
        <v/>
      </c>
      <c r="AJ371" s="6" t="n"/>
      <c r="AK371" s="6" t="n"/>
      <c r="AL371" s="6" t="n"/>
      <c r="AM371" s="3">
        <f>IF(tblOrdenes[[#This Row],[link_checklist]]="","",HYPERLINK(p_ruta_base_checklists&amp;tblOrdenes[[#This Row],[link_checklist]],"abrir"))</f>
        <v/>
      </c>
      <c r="AN371" s="6" t="n"/>
      <c r="AO371" s="3">
        <f>IF(tblOrdenes[[#This Row],[orden]]="","",tblOrdenes[[#This Row],[orden]]&amp;IF(tblOrdenes[[#This Row],[operacion]]="","0010",tblOrdenes[[#This Row],[operacion]]))</f>
        <v/>
      </c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11" t="n"/>
      <c r="K372" s="3" t="n"/>
      <c r="L372" s="10" t="n"/>
      <c r="M372" s="6" t="n"/>
      <c r="N3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72" s="3">
        <f>IF(tblOrdenes[[#This Row],[fecha_inicio]]="","",YEAR(tblOrdenes[[#This Row],[fecha_inicio]]))</f>
        <v/>
      </c>
      <c r="R372" s="3">
        <f>IF(tblOrdenes[[#This Row],[fecha_inicio]]="","",MONTH(tblOrdenes[[#This Row],[fecha_inicio]]))</f>
        <v/>
      </c>
      <c r="S372" s="3">
        <f>IF(tblOrdenes[[#This Row],[fecha_inicio]]="","",INDEX(lista_dias,WEEKDAY(tblOrdenes[[#This Row],[fecha_inicio]],2)))</f>
        <v/>
      </c>
      <c r="T372" s="3">
        <f>IF(tblOrdenes[[#This Row],[tipo_ot]]="","",_xlfn.XLOOKUP(tblOrdenes[[#This Row],[tipo_ot]],tblTiposOT[codigo],tblTiposOT[clasificacion],"sin_clasificar"))</f>
        <v/>
      </c>
      <c r="U372" s="3">
        <f>IF(tblOrdenes[[#This Row],[centro_costo]]="","",_xlfn.XLOOKUP(tblOrdenes[[#This Row],[centro_costo]],tblCECO[codigo],tblCECO[linea],"(sin catálogo)"))</f>
        <v/>
      </c>
      <c r="V372" s="3">
        <f>IF(tblOrdenes[[#This Row],[centro_costo]]="","",_xlfn.XLOOKUP(tblOrdenes[[#This Row],[centro_costo]],tblCECO[codigo],tblCECO[area],"(sin catálogo)"))</f>
        <v/>
      </c>
      <c r="W372" s="3">
        <f>IF(tblOrdenes[[#This Row],[centro_costo]]="","",_xlfn.XLOOKUP(tblOrdenes[[#This Row],[centro_costo]],tblCECO[codigo],tblCECO[coordinador],"(sin catálogo)"))</f>
        <v/>
      </c>
      <c r="X372" s="3">
        <f>IF(tblOrdenes[[#This Row],[puesto_trabajo]]="","",_xlfn.XLOOKUP(tblOrdenes[[#This Row],[puesto_trabajo]],tblPuestos[codigo],tblPuestos[especialidad],"(sin catálogo)"))</f>
        <v/>
      </c>
      <c r="Y372" s="3">
        <f>IF(tblOrdenes[[#This Row],[cod_actividad]]="","",_xlfn.XLOOKUP(tblOrdenes[[#This Row],[cod_actividad]],tblActividades[codigo],tblActividades[descripcion],"(sin catálogo)"))</f>
        <v/>
      </c>
      <c r="Z372" s="12">
        <f>IF(tblOrdenes[[#This Row],[fecha_inicio]]="","",TODAY()-tblOrdenes[[#This Row],[fecha_inicio]])</f>
        <v/>
      </c>
      <c r="AA372" s="3">
        <f>IF(tblOrdenes[[#This Row],[backlog_dias]]="","",IF(tblOrdenes[[#This Row],[backlog_dias]]&lt;0,"FUTURO",IF(tblOrdenes[[#This Row],[backlog_dias]]&gt;p_dias_backlog_max,"BACKLOG","MES CORRIENTE")))</f>
        <v/>
      </c>
      <c r="AB372" s="3">
        <f>IF(tblOrdenes[[#This Row],[backlog_dias]]="",FALSE,AND(tblOrdenes[[#This Row],[backlog_dias]]&gt;p_dias_backlog_min,tblOrdenes[[#This Row],[backlog_dias]]&lt;=p_dias_backlog_max))</f>
        <v/>
      </c>
      <c r="AC372" s="6" t="n"/>
      <c r="AD3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72" s="10">
        <f>IF(tblOrdenes[[#This Row],[orden]]="","",_xlfn.XLOOKUP(tblOrdenes[[#This Row],[id_operacion]],tblEjecucion[id_operacion],tblEjecucion[precio],0))</f>
        <v/>
      </c>
      <c r="AH372" s="10">
        <f>IF(tblOrdenes[[#This Row],[orden]]="","",MAX(0,_xlfn.XLOOKUP(tblOrdenes[[#This Row],[id_operacion]],tblEjecucion[id_operacion],tblEjecucion[costo_plan_total],0)-tblOrdenes[[#This Row],[costo_servicio]]))</f>
        <v/>
      </c>
      <c r="AI372" s="10">
        <f>IF(tblOrdenes[[#This Row],[orden]]="","",tblOrdenes[[#This Row],[costo_servicio]]+tblOrdenes[[#This Row],[costo_materiales]])</f>
        <v/>
      </c>
      <c r="AJ372" s="6" t="n"/>
      <c r="AK372" s="6" t="n"/>
      <c r="AL372" s="6" t="n"/>
      <c r="AM372" s="3">
        <f>IF(tblOrdenes[[#This Row],[link_checklist]]="","",HYPERLINK(p_ruta_base_checklists&amp;tblOrdenes[[#This Row],[link_checklist]],"abrir"))</f>
        <v/>
      </c>
      <c r="AN372" s="6" t="n"/>
      <c r="AO372" s="3">
        <f>IF(tblOrdenes[[#This Row],[orden]]="","",tblOrdenes[[#This Row],[orden]]&amp;IF(tblOrdenes[[#This Row],[operacion]]="","0010",tblOrdenes[[#This Row],[operacion]]))</f>
        <v/>
      </c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11" t="n"/>
      <c r="K373" s="3" t="n"/>
      <c r="L373" s="10" t="n"/>
      <c r="M373" s="6" t="n"/>
      <c r="N3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73" s="3">
        <f>IF(tblOrdenes[[#This Row],[fecha_inicio]]="","",YEAR(tblOrdenes[[#This Row],[fecha_inicio]]))</f>
        <v/>
      </c>
      <c r="R373" s="3">
        <f>IF(tblOrdenes[[#This Row],[fecha_inicio]]="","",MONTH(tblOrdenes[[#This Row],[fecha_inicio]]))</f>
        <v/>
      </c>
      <c r="S373" s="3">
        <f>IF(tblOrdenes[[#This Row],[fecha_inicio]]="","",INDEX(lista_dias,WEEKDAY(tblOrdenes[[#This Row],[fecha_inicio]],2)))</f>
        <v/>
      </c>
      <c r="T373" s="3">
        <f>IF(tblOrdenes[[#This Row],[tipo_ot]]="","",_xlfn.XLOOKUP(tblOrdenes[[#This Row],[tipo_ot]],tblTiposOT[codigo],tblTiposOT[clasificacion],"sin_clasificar"))</f>
        <v/>
      </c>
      <c r="U373" s="3">
        <f>IF(tblOrdenes[[#This Row],[centro_costo]]="","",_xlfn.XLOOKUP(tblOrdenes[[#This Row],[centro_costo]],tblCECO[codigo],tblCECO[linea],"(sin catálogo)"))</f>
        <v/>
      </c>
      <c r="V373" s="3">
        <f>IF(tblOrdenes[[#This Row],[centro_costo]]="","",_xlfn.XLOOKUP(tblOrdenes[[#This Row],[centro_costo]],tblCECO[codigo],tblCECO[area],"(sin catálogo)"))</f>
        <v/>
      </c>
      <c r="W373" s="3">
        <f>IF(tblOrdenes[[#This Row],[centro_costo]]="","",_xlfn.XLOOKUP(tblOrdenes[[#This Row],[centro_costo]],tblCECO[codigo],tblCECO[coordinador],"(sin catálogo)"))</f>
        <v/>
      </c>
      <c r="X373" s="3">
        <f>IF(tblOrdenes[[#This Row],[puesto_trabajo]]="","",_xlfn.XLOOKUP(tblOrdenes[[#This Row],[puesto_trabajo]],tblPuestos[codigo],tblPuestos[especialidad],"(sin catálogo)"))</f>
        <v/>
      </c>
      <c r="Y373" s="3">
        <f>IF(tblOrdenes[[#This Row],[cod_actividad]]="","",_xlfn.XLOOKUP(tblOrdenes[[#This Row],[cod_actividad]],tblActividades[codigo],tblActividades[descripcion],"(sin catálogo)"))</f>
        <v/>
      </c>
      <c r="Z373" s="12">
        <f>IF(tblOrdenes[[#This Row],[fecha_inicio]]="","",TODAY()-tblOrdenes[[#This Row],[fecha_inicio]])</f>
        <v/>
      </c>
      <c r="AA373" s="3">
        <f>IF(tblOrdenes[[#This Row],[backlog_dias]]="","",IF(tblOrdenes[[#This Row],[backlog_dias]]&lt;0,"FUTURO",IF(tblOrdenes[[#This Row],[backlog_dias]]&gt;p_dias_backlog_max,"BACKLOG","MES CORRIENTE")))</f>
        <v/>
      </c>
      <c r="AB373" s="3">
        <f>IF(tblOrdenes[[#This Row],[backlog_dias]]="",FALSE,AND(tblOrdenes[[#This Row],[backlog_dias]]&gt;p_dias_backlog_min,tblOrdenes[[#This Row],[backlog_dias]]&lt;=p_dias_backlog_max))</f>
        <v/>
      </c>
      <c r="AC373" s="6" t="n"/>
      <c r="AD3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73" s="10">
        <f>IF(tblOrdenes[[#This Row],[orden]]="","",_xlfn.XLOOKUP(tblOrdenes[[#This Row],[id_operacion]],tblEjecucion[id_operacion],tblEjecucion[precio],0))</f>
        <v/>
      </c>
      <c r="AH373" s="10">
        <f>IF(tblOrdenes[[#This Row],[orden]]="","",MAX(0,_xlfn.XLOOKUP(tblOrdenes[[#This Row],[id_operacion]],tblEjecucion[id_operacion],tblEjecucion[costo_plan_total],0)-tblOrdenes[[#This Row],[costo_servicio]]))</f>
        <v/>
      </c>
      <c r="AI373" s="10">
        <f>IF(tblOrdenes[[#This Row],[orden]]="","",tblOrdenes[[#This Row],[costo_servicio]]+tblOrdenes[[#This Row],[costo_materiales]])</f>
        <v/>
      </c>
      <c r="AJ373" s="6" t="n"/>
      <c r="AK373" s="6" t="n"/>
      <c r="AL373" s="6" t="n"/>
      <c r="AM373" s="3">
        <f>IF(tblOrdenes[[#This Row],[link_checklist]]="","",HYPERLINK(p_ruta_base_checklists&amp;tblOrdenes[[#This Row],[link_checklist]],"abrir"))</f>
        <v/>
      </c>
      <c r="AN373" s="6" t="n"/>
      <c r="AO373" s="3">
        <f>IF(tblOrdenes[[#This Row],[orden]]="","",tblOrdenes[[#This Row],[orden]]&amp;IF(tblOrdenes[[#This Row],[operacion]]="","0010",tblOrdenes[[#This Row],[operacion]]))</f>
        <v/>
      </c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11" t="n"/>
      <c r="K374" s="3" t="n"/>
      <c r="L374" s="10" t="n"/>
      <c r="M374" s="6" t="n"/>
      <c r="N3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74" s="3">
        <f>IF(tblOrdenes[[#This Row],[fecha_inicio]]="","",YEAR(tblOrdenes[[#This Row],[fecha_inicio]]))</f>
        <v/>
      </c>
      <c r="R374" s="3">
        <f>IF(tblOrdenes[[#This Row],[fecha_inicio]]="","",MONTH(tblOrdenes[[#This Row],[fecha_inicio]]))</f>
        <v/>
      </c>
      <c r="S374" s="3">
        <f>IF(tblOrdenes[[#This Row],[fecha_inicio]]="","",INDEX(lista_dias,WEEKDAY(tblOrdenes[[#This Row],[fecha_inicio]],2)))</f>
        <v/>
      </c>
      <c r="T374" s="3">
        <f>IF(tblOrdenes[[#This Row],[tipo_ot]]="","",_xlfn.XLOOKUP(tblOrdenes[[#This Row],[tipo_ot]],tblTiposOT[codigo],tblTiposOT[clasificacion],"sin_clasificar"))</f>
        <v/>
      </c>
      <c r="U374" s="3">
        <f>IF(tblOrdenes[[#This Row],[centro_costo]]="","",_xlfn.XLOOKUP(tblOrdenes[[#This Row],[centro_costo]],tblCECO[codigo],tblCECO[linea],"(sin catálogo)"))</f>
        <v/>
      </c>
      <c r="V374" s="3">
        <f>IF(tblOrdenes[[#This Row],[centro_costo]]="","",_xlfn.XLOOKUP(tblOrdenes[[#This Row],[centro_costo]],tblCECO[codigo],tblCECO[area],"(sin catálogo)"))</f>
        <v/>
      </c>
      <c r="W374" s="3">
        <f>IF(tblOrdenes[[#This Row],[centro_costo]]="","",_xlfn.XLOOKUP(tblOrdenes[[#This Row],[centro_costo]],tblCECO[codigo],tblCECO[coordinador],"(sin catálogo)"))</f>
        <v/>
      </c>
      <c r="X374" s="3">
        <f>IF(tblOrdenes[[#This Row],[puesto_trabajo]]="","",_xlfn.XLOOKUP(tblOrdenes[[#This Row],[puesto_trabajo]],tblPuestos[codigo],tblPuestos[especialidad],"(sin catálogo)"))</f>
        <v/>
      </c>
      <c r="Y374" s="3">
        <f>IF(tblOrdenes[[#This Row],[cod_actividad]]="","",_xlfn.XLOOKUP(tblOrdenes[[#This Row],[cod_actividad]],tblActividades[codigo],tblActividades[descripcion],"(sin catálogo)"))</f>
        <v/>
      </c>
      <c r="Z374" s="12">
        <f>IF(tblOrdenes[[#This Row],[fecha_inicio]]="","",TODAY()-tblOrdenes[[#This Row],[fecha_inicio]])</f>
        <v/>
      </c>
      <c r="AA374" s="3">
        <f>IF(tblOrdenes[[#This Row],[backlog_dias]]="","",IF(tblOrdenes[[#This Row],[backlog_dias]]&lt;0,"FUTURO",IF(tblOrdenes[[#This Row],[backlog_dias]]&gt;p_dias_backlog_max,"BACKLOG","MES CORRIENTE")))</f>
        <v/>
      </c>
      <c r="AB374" s="3">
        <f>IF(tblOrdenes[[#This Row],[backlog_dias]]="",FALSE,AND(tblOrdenes[[#This Row],[backlog_dias]]&gt;p_dias_backlog_min,tblOrdenes[[#This Row],[backlog_dias]]&lt;=p_dias_backlog_max))</f>
        <v/>
      </c>
      <c r="AC374" s="6" t="n"/>
      <c r="AD3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74" s="10">
        <f>IF(tblOrdenes[[#This Row],[orden]]="","",_xlfn.XLOOKUP(tblOrdenes[[#This Row],[id_operacion]],tblEjecucion[id_operacion],tblEjecucion[precio],0))</f>
        <v/>
      </c>
      <c r="AH374" s="10">
        <f>IF(tblOrdenes[[#This Row],[orden]]="","",MAX(0,_xlfn.XLOOKUP(tblOrdenes[[#This Row],[id_operacion]],tblEjecucion[id_operacion],tblEjecucion[costo_plan_total],0)-tblOrdenes[[#This Row],[costo_servicio]]))</f>
        <v/>
      </c>
      <c r="AI374" s="10">
        <f>IF(tblOrdenes[[#This Row],[orden]]="","",tblOrdenes[[#This Row],[costo_servicio]]+tblOrdenes[[#This Row],[costo_materiales]])</f>
        <v/>
      </c>
      <c r="AJ374" s="6" t="n"/>
      <c r="AK374" s="6" t="n"/>
      <c r="AL374" s="6" t="n"/>
      <c r="AM374" s="3">
        <f>IF(tblOrdenes[[#This Row],[link_checklist]]="","",HYPERLINK(p_ruta_base_checklists&amp;tblOrdenes[[#This Row],[link_checklist]],"abrir"))</f>
        <v/>
      </c>
      <c r="AN374" s="6" t="n"/>
      <c r="AO374" s="3">
        <f>IF(tblOrdenes[[#This Row],[orden]]="","",tblOrdenes[[#This Row],[orden]]&amp;IF(tblOrdenes[[#This Row],[operacion]]="","0010",tblOrdenes[[#This Row],[operacion]]))</f>
        <v/>
      </c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11" t="n"/>
      <c r="K375" s="3" t="n"/>
      <c r="L375" s="10" t="n"/>
      <c r="M375" s="6" t="n"/>
      <c r="N3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75" s="3">
        <f>IF(tblOrdenes[[#This Row],[fecha_inicio]]="","",YEAR(tblOrdenes[[#This Row],[fecha_inicio]]))</f>
        <v/>
      </c>
      <c r="R375" s="3">
        <f>IF(tblOrdenes[[#This Row],[fecha_inicio]]="","",MONTH(tblOrdenes[[#This Row],[fecha_inicio]]))</f>
        <v/>
      </c>
      <c r="S375" s="3">
        <f>IF(tblOrdenes[[#This Row],[fecha_inicio]]="","",INDEX(lista_dias,WEEKDAY(tblOrdenes[[#This Row],[fecha_inicio]],2)))</f>
        <v/>
      </c>
      <c r="T375" s="3">
        <f>IF(tblOrdenes[[#This Row],[tipo_ot]]="","",_xlfn.XLOOKUP(tblOrdenes[[#This Row],[tipo_ot]],tblTiposOT[codigo],tblTiposOT[clasificacion],"sin_clasificar"))</f>
        <v/>
      </c>
      <c r="U375" s="3">
        <f>IF(tblOrdenes[[#This Row],[centro_costo]]="","",_xlfn.XLOOKUP(tblOrdenes[[#This Row],[centro_costo]],tblCECO[codigo],tblCECO[linea],"(sin catálogo)"))</f>
        <v/>
      </c>
      <c r="V375" s="3">
        <f>IF(tblOrdenes[[#This Row],[centro_costo]]="","",_xlfn.XLOOKUP(tblOrdenes[[#This Row],[centro_costo]],tblCECO[codigo],tblCECO[area],"(sin catálogo)"))</f>
        <v/>
      </c>
      <c r="W375" s="3">
        <f>IF(tblOrdenes[[#This Row],[centro_costo]]="","",_xlfn.XLOOKUP(tblOrdenes[[#This Row],[centro_costo]],tblCECO[codigo],tblCECO[coordinador],"(sin catálogo)"))</f>
        <v/>
      </c>
      <c r="X375" s="3">
        <f>IF(tblOrdenes[[#This Row],[puesto_trabajo]]="","",_xlfn.XLOOKUP(tblOrdenes[[#This Row],[puesto_trabajo]],tblPuestos[codigo],tblPuestos[especialidad],"(sin catálogo)"))</f>
        <v/>
      </c>
      <c r="Y375" s="3">
        <f>IF(tblOrdenes[[#This Row],[cod_actividad]]="","",_xlfn.XLOOKUP(tblOrdenes[[#This Row],[cod_actividad]],tblActividades[codigo],tblActividades[descripcion],"(sin catálogo)"))</f>
        <v/>
      </c>
      <c r="Z375" s="12">
        <f>IF(tblOrdenes[[#This Row],[fecha_inicio]]="","",TODAY()-tblOrdenes[[#This Row],[fecha_inicio]])</f>
        <v/>
      </c>
      <c r="AA375" s="3">
        <f>IF(tblOrdenes[[#This Row],[backlog_dias]]="","",IF(tblOrdenes[[#This Row],[backlog_dias]]&lt;0,"FUTURO",IF(tblOrdenes[[#This Row],[backlog_dias]]&gt;p_dias_backlog_max,"BACKLOG","MES CORRIENTE")))</f>
        <v/>
      </c>
      <c r="AB375" s="3">
        <f>IF(tblOrdenes[[#This Row],[backlog_dias]]="",FALSE,AND(tblOrdenes[[#This Row],[backlog_dias]]&gt;p_dias_backlog_min,tblOrdenes[[#This Row],[backlog_dias]]&lt;=p_dias_backlog_max))</f>
        <v/>
      </c>
      <c r="AC375" s="6" t="n"/>
      <c r="AD3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75" s="10">
        <f>IF(tblOrdenes[[#This Row],[orden]]="","",_xlfn.XLOOKUP(tblOrdenes[[#This Row],[id_operacion]],tblEjecucion[id_operacion],tblEjecucion[precio],0))</f>
        <v/>
      </c>
      <c r="AH375" s="10">
        <f>IF(tblOrdenes[[#This Row],[orden]]="","",MAX(0,_xlfn.XLOOKUP(tblOrdenes[[#This Row],[id_operacion]],tblEjecucion[id_operacion],tblEjecucion[costo_plan_total],0)-tblOrdenes[[#This Row],[costo_servicio]]))</f>
        <v/>
      </c>
      <c r="AI375" s="10">
        <f>IF(tblOrdenes[[#This Row],[orden]]="","",tblOrdenes[[#This Row],[costo_servicio]]+tblOrdenes[[#This Row],[costo_materiales]])</f>
        <v/>
      </c>
      <c r="AJ375" s="6" t="n"/>
      <c r="AK375" s="6" t="n"/>
      <c r="AL375" s="6" t="n"/>
      <c r="AM375" s="3">
        <f>IF(tblOrdenes[[#This Row],[link_checklist]]="","",HYPERLINK(p_ruta_base_checklists&amp;tblOrdenes[[#This Row],[link_checklist]],"abrir"))</f>
        <v/>
      </c>
      <c r="AN375" s="6" t="n"/>
      <c r="AO375" s="3">
        <f>IF(tblOrdenes[[#This Row],[orden]]="","",tblOrdenes[[#This Row],[orden]]&amp;IF(tblOrdenes[[#This Row],[operacion]]="","0010",tblOrdenes[[#This Row],[operacion]]))</f>
        <v/>
      </c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11" t="n"/>
      <c r="K376" s="3" t="n"/>
      <c r="L376" s="10" t="n"/>
      <c r="M376" s="6" t="n"/>
      <c r="N3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76" s="3">
        <f>IF(tblOrdenes[[#This Row],[fecha_inicio]]="","",YEAR(tblOrdenes[[#This Row],[fecha_inicio]]))</f>
        <v/>
      </c>
      <c r="R376" s="3">
        <f>IF(tblOrdenes[[#This Row],[fecha_inicio]]="","",MONTH(tblOrdenes[[#This Row],[fecha_inicio]]))</f>
        <v/>
      </c>
      <c r="S376" s="3">
        <f>IF(tblOrdenes[[#This Row],[fecha_inicio]]="","",INDEX(lista_dias,WEEKDAY(tblOrdenes[[#This Row],[fecha_inicio]],2)))</f>
        <v/>
      </c>
      <c r="T376" s="3">
        <f>IF(tblOrdenes[[#This Row],[tipo_ot]]="","",_xlfn.XLOOKUP(tblOrdenes[[#This Row],[tipo_ot]],tblTiposOT[codigo],tblTiposOT[clasificacion],"sin_clasificar"))</f>
        <v/>
      </c>
      <c r="U376" s="3">
        <f>IF(tblOrdenes[[#This Row],[centro_costo]]="","",_xlfn.XLOOKUP(tblOrdenes[[#This Row],[centro_costo]],tblCECO[codigo],tblCECO[linea],"(sin catálogo)"))</f>
        <v/>
      </c>
      <c r="V376" s="3">
        <f>IF(tblOrdenes[[#This Row],[centro_costo]]="","",_xlfn.XLOOKUP(tblOrdenes[[#This Row],[centro_costo]],tblCECO[codigo],tblCECO[area],"(sin catálogo)"))</f>
        <v/>
      </c>
      <c r="W376" s="3">
        <f>IF(tblOrdenes[[#This Row],[centro_costo]]="","",_xlfn.XLOOKUP(tblOrdenes[[#This Row],[centro_costo]],tblCECO[codigo],tblCECO[coordinador],"(sin catálogo)"))</f>
        <v/>
      </c>
      <c r="X376" s="3">
        <f>IF(tblOrdenes[[#This Row],[puesto_trabajo]]="","",_xlfn.XLOOKUP(tblOrdenes[[#This Row],[puesto_trabajo]],tblPuestos[codigo],tblPuestos[especialidad],"(sin catálogo)"))</f>
        <v/>
      </c>
      <c r="Y376" s="3">
        <f>IF(tblOrdenes[[#This Row],[cod_actividad]]="","",_xlfn.XLOOKUP(tblOrdenes[[#This Row],[cod_actividad]],tblActividades[codigo],tblActividades[descripcion],"(sin catálogo)"))</f>
        <v/>
      </c>
      <c r="Z376" s="12">
        <f>IF(tblOrdenes[[#This Row],[fecha_inicio]]="","",TODAY()-tblOrdenes[[#This Row],[fecha_inicio]])</f>
        <v/>
      </c>
      <c r="AA376" s="3">
        <f>IF(tblOrdenes[[#This Row],[backlog_dias]]="","",IF(tblOrdenes[[#This Row],[backlog_dias]]&lt;0,"FUTURO",IF(tblOrdenes[[#This Row],[backlog_dias]]&gt;p_dias_backlog_max,"BACKLOG","MES CORRIENTE")))</f>
        <v/>
      </c>
      <c r="AB376" s="3">
        <f>IF(tblOrdenes[[#This Row],[backlog_dias]]="",FALSE,AND(tblOrdenes[[#This Row],[backlog_dias]]&gt;p_dias_backlog_min,tblOrdenes[[#This Row],[backlog_dias]]&lt;=p_dias_backlog_max))</f>
        <v/>
      </c>
      <c r="AC376" s="6" t="n"/>
      <c r="AD3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76" s="10">
        <f>IF(tblOrdenes[[#This Row],[orden]]="","",_xlfn.XLOOKUP(tblOrdenes[[#This Row],[id_operacion]],tblEjecucion[id_operacion],tblEjecucion[precio],0))</f>
        <v/>
      </c>
      <c r="AH376" s="10">
        <f>IF(tblOrdenes[[#This Row],[orden]]="","",MAX(0,_xlfn.XLOOKUP(tblOrdenes[[#This Row],[id_operacion]],tblEjecucion[id_operacion],tblEjecucion[costo_plan_total],0)-tblOrdenes[[#This Row],[costo_servicio]]))</f>
        <v/>
      </c>
      <c r="AI376" s="10">
        <f>IF(tblOrdenes[[#This Row],[orden]]="","",tblOrdenes[[#This Row],[costo_servicio]]+tblOrdenes[[#This Row],[costo_materiales]])</f>
        <v/>
      </c>
      <c r="AJ376" s="6" t="n"/>
      <c r="AK376" s="6" t="n"/>
      <c r="AL376" s="6" t="n"/>
      <c r="AM376" s="3">
        <f>IF(tblOrdenes[[#This Row],[link_checklist]]="","",HYPERLINK(p_ruta_base_checklists&amp;tblOrdenes[[#This Row],[link_checklist]],"abrir"))</f>
        <v/>
      </c>
      <c r="AN376" s="6" t="n"/>
      <c r="AO376" s="3">
        <f>IF(tblOrdenes[[#This Row],[orden]]="","",tblOrdenes[[#This Row],[orden]]&amp;IF(tblOrdenes[[#This Row],[operacion]]="","0010",tblOrdenes[[#This Row],[operacion]]))</f>
        <v/>
      </c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11" t="n"/>
      <c r="K377" s="3" t="n"/>
      <c r="L377" s="10" t="n"/>
      <c r="M377" s="6" t="n"/>
      <c r="N3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77" s="3">
        <f>IF(tblOrdenes[[#This Row],[fecha_inicio]]="","",YEAR(tblOrdenes[[#This Row],[fecha_inicio]]))</f>
        <v/>
      </c>
      <c r="R377" s="3">
        <f>IF(tblOrdenes[[#This Row],[fecha_inicio]]="","",MONTH(tblOrdenes[[#This Row],[fecha_inicio]]))</f>
        <v/>
      </c>
      <c r="S377" s="3">
        <f>IF(tblOrdenes[[#This Row],[fecha_inicio]]="","",INDEX(lista_dias,WEEKDAY(tblOrdenes[[#This Row],[fecha_inicio]],2)))</f>
        <v/>
      </c>
      <c r="T377" s="3">
        <f>IF(tblOrdenes[[#This Row],[tipo_ot]]="","",_xlfn.XLOOKUP(tblOrdenes[[#This Row],[tipo_ot]],tblTiposOT[codigo],tblTiposOT[clasificacion],"sin_clasificar"))</f>
        <v/>
      </c>
      <c r="U377" s="3">
        <f>IF(tblOrdenes[[#This Row],[centro_costo]]="","",_xlfn.XLOOKUP(tblOrdenes[[#This Row],[centro_costo]],tblCECO[codigo],tblCECO[linea],"(sin catálogo)"))</f>
        <v/>
      </c>
      <c r="V377" s="3">
        <f>IF(tblOrdenes[[#This Row],[centro_costo]]="","",_xlfn.XLOOKUP(tblOrdenes[[#This Row],[centro_costo]],tblCECO[codigo],tblCECO[area],"(sin catálogo)"))</f>
        <v/>
      </c>
      <c r="W377" s="3">
        <f>IF(tblOrdenes[[#This Row],[centro_costo]]="","",_xlfn.XLOOKUP(tblOrdenes[[#This Row],[centro_costo]],tblCECO[codigo],tblCECO[coordinador],"(sin catálogo)"))</f>
        <v/>
      </c>
      <c r="X377" s="3">
        <f>IF(tblOrdenes[[#This Row],[puesto_trabajo]]="","",_xlfn.XLOOKUP(tblOrdenes[[#This Row],[puesto_trabajo]],tblPuestos[codigo],tblPuestos[especialidad],"(sin catálogo)"))</f>
        <v/>
      </c>
      <c r="Y377" s="3">
        <f>IF(tblOrdenes[[#This Row],[cod_actividad]]="","",_xlfn.XLOOKUP(tblOrdenes[[#This Row],[cod_actividad]],tblActividades[codigo],tblActividades[descripcion],"(sin catálogo)"))</f>
        <v/>
      </c>
      <c r="Z377" s="12">
        <f>IF(tblOrdenes[[#This Row],[fecha_inicio]]="","",TODAY()-tblOrdenes[[#This Row],[fecha_inicio]])</f>
        <v/>
      </c>
      <c r="AA377" s="3">
        <f>IF(tblOrdenes[[#This Row],[backlog_dias]]="","",IF(tblOrdenes[[#This Row],[backlog_dias]]&lt;0,"FUTURO",IF(tblOrdenes[[#This Row],[backlog_dias]]&gt;p_dias_backlog_max,"BACKLOG","MES CORRIENTE")))</f>
        <v/>
      </c>
      <c r="AB377" s="3">
        <f>IF(tblOrdenes[[#This Row],[backlog_dias]]="",FALSE,AND(tblOrdenes[[#This Row],[backlog_dias]]&gt;p_dias_backlog_min,tblOrdenes[[#This Row],[backlog_dias]]&lt;=p_dias_backlog_max))</f>
        <v/>
      </c>
      <c r="AC377" s="6" t="n"/>
      <c r="AD3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77" s="10">
        <f>IF(tblOrdenes[[#This Row],[orden]]="","",_xlfn.XLOOKUP(tblOrdenes[[#This Row],[id_operacion]],tblEjecucion[id_operacion],tblEjecucion[precio],0))</f>
        <v/>
      </c>
      <c r="AH377" s="10">
        <f>IF(tblOrdenes[[#This Row],[orden]]="","",MAX(0,_xlfn.XLOOKUP(tblOrdenes[[#This Row],[id_operacion]],tblEjecucion[id_operacion],tblEjecucion[costo_plan_total],0)-tblOrdenes[[#This Row],[costo_servicio]]))</f>
        <v/>
      </c>
      <c r="AI377" s="10">
        <f>IF(tblOrdenes[[#This Row],[orden]]="","",tblOrdenes[[#This Row],[costo_servicio]]+tblOrdenes[[#This Row],[costo_materiales]])</f>
        <v/>
      </c>
      <c r="AJ377" s="6" t="n"/>
      <c r="AK377" s="6" t="n"/>
      <c r="AL377" s="6" t="n"/>
      <c r="AM377" s="3">
        <f>IF(tblOrdenes[[#This Row],[link_checklist]]="","",HYPERLINK(p_ruta_base_checklists&amp;tblOrdenes[[#This Row],[link_checklist]],"abrir"))</f>
        <v/>
      </c>
      <c r="AN377" s="6" t="n"/>
      <c r="AO377" s="3">
        <f>IF(tblOrdenes[[#This Row],[orden]]="","",tblOrdenes[[#This Row],[orden]]&amp;IF(tblOrdenes[[#This Row],[operacion]]="","0010",tblOrdenes[[#This Row],[operacion]]))</f>
        <v/>
      </c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11" t="n"/>
      <c r="K378" s="3" t="n"/>
      <c r="L378" s="10" t="n"/>
      <c r="M378" s="6" t="n"/>
      <c r="N3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78" s="3">
        <f>IF(tblOrdenes[[#This Row],[fecha_inicio]]="","",YEAR(tblOrdenes[[#This Row],[fecha_inicio]]))</f>
        <v/>
      </c>
      <c r="R378" s="3">
        <f>IF(tblOrdenes[[#This Row],[fecha_inicio]]="","",MONTH(tblOrdenes[[#This Row],[fecha_inicio]]))</f>
        <v/>
      </c>
      <c r="S378" s="3">
        <f>IF(tblOrdenes[[#This Row],[fecha_inicio]]="","",INDEX(lista_dias,WEEKDAY(tblOrdenes[[#This Row],[fecha_inicio]],2)))</f>
        <v/>
      </c>
      <c r="T378" s="3">
        <f>IF(tblOrdenes[[#This Row],[tipo_ot]]="","",_xlfn.XLOOKUP(tblOrdenes[[#This Row],[tipo_ot]],tblTiposOT[codigo],tblTiposOT[clasificacion],"sin_clasificar"))</f>
        <v/>
      </c>
      <c r="U378" s="3">
        <f>IF(tblOrdenes[[#This Row],[centro_costo]]="","",_xlfn.XLOOKUP(tblOrdenes[[#This Row],[centro_costo]],tblCECO[codigo],tblCECO[linea],"(sin catálogo)"))</f>
        <v/>
      </c>
      <c r="V378" s="3">
        <f>IF(tblOrdenes[[#This Row],[centro_costo]]="","",_xlfn.XLOOKUP(tblOrdenes[[#This Row],[centro_costo]],tblCECO[codigo],tblCECO[area],"(sin catálogo)"))</f>
        <v/>
      </c>
      <c r="W378" s="3">
        <f>IF(tblOrdenes[[#This Row],[centro_costo]]="","",_xlfn.XLOOKUP(tblOrdenes[[#This Row],[centro_costo]],tblCECO[codigo],tblCECO[coordinador],"(sin catálogo)"))</f>
        <v/>
      </c>
      <c r="X378" s="3">
        <f>IF(tblOrdenes[[#This Row],[puesto_trabajo]]="","",_xlfn.XLOOKUP(tblOrdenes[[#This Row],[puesto_trabajo]],tblPuestos[codigo],tblPuestos[especialidad],"(sin catálogo)"))</f>
        <v/>
      </c>
      <c r="Y378" s="3">
        <f>IF(tblOrdenes[[#This Row],[cod_actividad]]="","",_xlfn.XLOOKUP(tblOrdenes[[#This Row],[cod_actividad]],tblActividades[codigo],tblActividades[descripcion],"(sin catálogo)"))</f>
        <v/>
      </c>
      <c r="Z378" s="12">
        <f>IF(tblOrdenes[[#This Row],[fecha_inicio]]="","",TODAY()-tblOrdenes[[#This Row],[fecha_inicio]])</f>
        <v/>
      </c>
      <c r="AA378" s="3">
        <f>IF(tblOrdenes[[#This Row],[backlog_dias]]="","",IF(tblOrdenes[[#This Row],[backlog_dias]]&lt;0,"FUTURO",IF(tblOrdenes[[#This Row],[backlog_dias]]&gt;p_dias_backlog_max,"BACKLOG","MES CORRIENTE")))</f>
        <v/>
      </c>
      <c r="AB378" s="3">
        <f>IF(tblOrdenes[[#This Row],[backlog_dias]]="",FALSE,AND(tblOrdenes[[#This Row],[backlog_dias]]&gt;p_dias_backlog_min,tblOrdenes[[#This Row],[backlog_dias]]&lt;=p_dias_backlog_max))</f>
        <v/>
      </c>
      <c r="AC378" s="6" t="n"/>
      <c r="AD3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78" s="10">
        <f>IF(tblOrdenes[[#This Row],[orden]]="","",_xlfn.XLOOKUP(tblOrdenes[[#This Row],[id_operacion]],tblEjecucion[id_operacion],tblEjecucion[precio],0))</f>
        <v/>
      </c>
      <c r="AH378" s="10">
        <f>IF(tblOrdenes[[#This Row],[orden]]="","",MAX(0,_xlfn.XLOOKUP(tblOrdenes[[#This Row],[id_operacion]],tblEjecucion[id_operacion],tblEjecucion[costo_plan_total],0)-tblOrdenes[[#This Row],[costo_servicio]]))</f>
        <v/>
      </c>
      <c r="AI378" s="10">
        <f>IF(tblOrdenes[[#This Row],[orden]]="","",tblOrdenes[[#This Row],[costo_servicio]]+tblOrdenes[[#This Row],[costo_materiales]])</f>
        <v/>
      </c>
      <c r="AJ378" s="6" t="n"/>
      <c r="AK378" s="6" t="n"/>
      <c r="AL378" s="6" t="n"/>
      <c r="AM378" s="3">
        <f>IF(tblOrdenes[[#This Row],[link_checklist]]="","",HYPERLINK(p_ruta_base_checklists&amp;tblOrdenes[[#This Row],[link_checklist]],"abrir"))</f>
        <v/>
      </c>
      <c r="AN378" s="6" t="n"/>
      <c r="AO378" s="3">
        <f>IF(tblOrdenes[[#This Row],[orden]]="","",tblOrdenes[[#This Row],[orden]]&amp;IF(tblOrdenes[[#This Row],[operacion]]="","0010",tblOrdenes[[#This Row],[operacion]]))</f>
        <v/>
      </c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11" t="n"/>
      <c r="K379" s="3" t="n"/>
      <c r="L379" s="10" t="n"/>
      <c r="M379" s="6" t="n"/>
      <c r="N3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79" s="3">
        <f>IF(tblOrdenes[[#This Row],[fecha_inicio]]="","",YEAR(tblOrdenes[[#This Row],[fecha_inicio]]))</f>
        <v/>
      </c>
      <c r="R379" s="3">
        <f>IF(tblOrdenes[[#This Row],[fecha_inicio]]="","",MONTH(tblOrdenes[[#This Row],[fecha_inicio]]))</f>
        <v/>
      </c>
      <c r="S379" s="3">
        <f>IF(tblOrdenes[[#This Row],[fecha_inicio]]="","",INDEX(lista_dias,WEEKDAY(tblOrdenes[[#This Row],[fecha_inicio]],2)))</f>
        <v/>
      </c>
      <c r="T379" s="3">
        <f>IF(tblOrdenes[[#This Row],[tipo_ot]]="","",_xlfn.XLOOKUP(tblOrdenes[[#This Row],[tipo_ot]],tblTiposOT[codigo],tblTiposOT[clasificacion],"sin_clasificar"))</f>
        <v/>
      </c>
      <c r="U379" s="3">
        <f>IF(tblOrdenes[[#This Row],[centro_costo]]="","",_xlfn.XLOOKUP(tblOrdenes[[#This Row],[centro_costo]],tblCECO[codigo],tblCECO[linea],"(sin catálogo)"))</f>
        <v/>
      </c>
      <c r="V379" s="3">
        <f>IF(tblOrdenes[[#This Row],[centro_costo]]="","",_xlfn.XLOOKUP(tblOrdenes[[#This Row],[centro_costo]],tblCECO[codigo],tblCECO[area],"(sin catálogo)"))</f>
        <v/>
      </c>
      <c r="W379" s="3">
        <f>IF(tblOrdenes[[#This Row],[centro_costo]]="","",_xlfn.XLOOKUP(tblOrdenes[[#This Row],[centro_costo]],tblCECO[codigo],tblCECO[coordinador],"(sin catálogo)"))</f>
        <v/>
      </c>
      <c r="X379" s="3">
        <f>IF(tblOrdenes[[#This Row],[puesto_trabajo]]="","",_xlfn.XLOOKUP(tblOrdenes[[#This Row],[puesto_trabajo]],tblPuestos[codigo],tblPuestos[especialidad],"(sin catálogo)"))</f>
        <v/>
      </c>
      <c r="Y379" s="3">
        <f>IF(tblOrdenes[[#This Row],[cod_actividad]]="","",_xlfn.XLOOKUP(tblOrdenes[[#This Row],[cod_actividad]],tblActividades[codigo],tblActividades[descripcion],"(sin catálogo)"))</f>
        <v/>
      </c>
      <c r="Z379" s="12">
        <f>IF(tblOrdenes[[#This Row],[fecha_inicio]]="","",TODAY()-tblOrdenes[[#This Row],[fecha_inicio]])</f>
        <v/>
      </c>
      <c r="AA379" s="3">
        <f>IF(tblOrdenes[[#This Row],[backlog_dias]]="","",IF(tblOrdenes[[#This Row],[backlog_dias]]&lt;0,"FUTURO",IF(tblOrdenes[[#This Row],[backlog_dias]]&gt;p_dias_backlog_max,"BACKLOG","MES CORRIENTE")))</f>
        <v/>
      </c>
      <c r="AB379" s="3">
        <f>IF(tblOrdenes[[#This Row],[backlog_dias]]="",FALSE,AND(tblOrdenes[[#This Row],[backlog_dias]]&gt;p_dias_backlog_min,tblOrdenes[[#This Row],[backlog_dias]]&lt;=p_dias_backlog_max))</f>
        <v/>
      </c>
      <c r="AC379" s="6" t="n"/>
      <c r="AD3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79" s="10">
        <f>IF(tblOrdenes[[#This Row],[orden]]="","",_xlfn.XLOOKUP(tblOrdenes[[#This Row],[id_operacion]],tblEjecucion[id_operacion],tblEjecucion[precio],0))</f>
        <v/>
      </c>
      <c r="AH379" s="10">
        <f>IF(tblOrdenes[[#This Row],[orden]]="","",MAX(0,_xlfn.XLOOKUP(tblOrdenes[[#This Row],[id_operacion]],tblEjecucion[id_operacion],tblEjecucion[costo_plan_total],0)-tblOrdenes[[#This Row],[costo_servicio]]))</f>
        <v/>
      </c>
      <c r="AI379" s="10">
        <f>IF(tblOrdenes[[#This Row],[orden]]="","",tblOrdenes[[#This Row],[costo_servicio]]+tblOrdenes[[#This Row],[costo_materiales]])</f>
        <v/>
      </c>
      <c r="AJ379" s="6" t="n"/>
      <c r="AK379" s="6" t="n"/>
      <c r="AL379" s="6" t="n"/>
      <c r="AM379" s="3">
        <f>IF(tblOrdenes[[#This Row],[link_checklist]]="","",HYPERLINK(p_ruta_base_checklists&amp;tblOrdenes[[#This Row],[link_checklist]],"abrir"))</f>
        <v/>
      </c>
      <c r="AN379" s="6" t="n"/>
      <c r="AO379" s="3">
        <f>IF(tblOrdenes[[#This Row],[orden]]="","",tblOrdenes[[#This Row],[orden]]&amp;IF(tblOrdenes[[#This Row],[operacion]]="","0010",tblOrdenes[[#This Row],[operacion]]))</f>
        <v/>
      </c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11" t="n"/>
      <c r="K380" s="3" t="n"/>
      <c r="L380" s="10" t="n"/>
      <c r="M380" s="6" t="n"/>
      <c r="N3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80" s="3">
        <f>IF(tblOrdenes[[#This Row],[fecha_inicio]]="","",YEAR(tblOrdenes[[#This Row],[fecha_inicio]]))</f>
        <v/>
      </c>
      <c r="R380" s="3">
        <f>IF(tblOrdenes[[#This Row],[fecha_inicio]]="","",MONTH(tblOrdenes[[#This Row],[fecha_inicio]]))</f>
        <v/>
      </c>
      <c r="S380" s="3">
        <f>IF(tblOrdenes[[#This Row],[fecha_inicio]]="","",INDEX(lista_dias,WEEKDAY(tblOrdenes[[#This Row],[fecha_inicio]],2)))</f>
        <v/>
      </c>
      <c r="T380" s="3">
        <f>IF(tblOrdenes[[#This Row],[tipo_ot]]="","",_xlfn.XLOOKUP(tblOrdenes[[#This Row],[tipo_ot]],tblTiposOT[codigo],tblTiposOT[clasificacion],"sin_clasificar"))</f>
        <v/>
      </c>
      <c r="U380" s="3">
        <f>IF(tblOrdenes[[#This Row],[centro_costo]]="","",_xlfn.XLOOKUP(tblOrdenes[[#This Row],[centro_costo]],tblCECO[codigo],tblCECO[linea],"(sin catálogo)"))</f>
        <v/>
      </c>
      <c r="V380" s="3">
        <f>IF(tblOrdenes[[#This Row],[centro_costo]]="","",_xlfn.XLOOKUP(tblOrdenes[[#This Row],[centro_costo]],tblCECO[codigo],tblCECO[area],"(sin catálogo)"))</f>
        <v/>
      </c>
      <c r="W380" s="3">
        <f>IF(tblOrdenes[[#This Row],[centro_costo]]="","",_xlfn.XLOOKUP(tblOrdenes[[#This Row],[centro_costo]],tblCECO[codigo],tblCECO[coordinador],"(sin catálogo)"))</f>
        <v/>
      </c>
      <c r="X380" s="3">
        <f>IF(tblOrdenes[[#This Row],[puesto_trabajo]]="","",_xlfn.XLOOKUP(tblOrdenes[[#This Row],[puesto_trabajo]],tblPuestos[codigo],tblPuestos[especialidad],"(sin catálogo)"))</f>
        <v/>
      </c>
      <c r="Y380" s="3">
        <f>IF(tblOrdenes[[#This Row],[cod_actividad]]="","",_xlfn.XLOOKUP(tblOrdenes[[#This Row],[cod_actividad]],tblActividades[codigo],tblActividades[descripcion],"(sin catálogo)"))</f>
        <v/>
      </c>
      <c r="Z380" s="12">
        <f>IF(tblOrdenes[[#This Row],[fecha_inicio]]="","",TODAY()-tblOrdenes[[#This Row],[fecha_inicio]])</f>
        <v/>
      </c>
      <c r="AA380" s="3">
        <f>IF(tblOrdenes[[#This Row],[backlog_dias]]="","",IF(tblOrdenes[[#This Row],[backlog_dias]]&lt;0,"FUTURO",IF(tblOrdenes[[#This Row],[backlog_dias]]&gt;p_dias_backlog_max,"BACKLOG","MES CORRIENTE")))</f>
        <v/>
      </c>
      <c r="AB380" s="3">
        <f>IF(tblOrdenes[[#This Row],[backlog_dias]]="",FALSE,AND(tblOrdenes[[#This Row],[backlog_dias]]&gt;p_dias_backlog_min,tblOrdenes[[#This Row],[backlog_dias]]&lt;=p_dias_backlog_max))</f>
        <v/>
      </c>
      <c r="AC380" s="6" t="n"/>
      <c r="AD3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80" s="10">
        <f>IF(tblOrdenes[[#This Row],[orden]]="","",_xlfn.XLOOKUP(tblOrdenes[[#This Row],[id_operacion]],tblEjecucion[id_operacion],tblEjecucion[precio],0))</f>
        <v/>
      </c>
      <c r="AH380" s="10">
        <f>IF(tblOrdenes[[#This Row],[orden]]="","",MAX(0,_xlfn.XLOOKUP(tblOrdenes[[#This Row],[id_operacion]],tblEjecucion[id_operacion],tblEjecucion[costo_plan_total],0)-tblOrdenes[[#This Row],[costo_servicio]]))</f>
        <v/>
      </c>
      <c r="AI380" s="10">
        <f>IF(tblOrdenes[[#This Row],[orden]]="","",tblOrdenes[[#This Row],[costo_servicio]]+tblOrdenes[[#This Row],[costo_materiales]])</f>
        <v/>
      </c>
      <c r="AJ380" s="6" t="n"/>
      <c r="AK380" s="6" t="n"/>
      <c r="AL380" s="6" t="n"/>
      <c r="AM380" s="3">
        <f>IF(tblOrdenes[[#This Row],[link_checklist]]="","",HYPERLINK(p_ruta_base_checklists&amp;tblOrdenes[[#This Row],[link_checklist]],"abrir"))</f>
        <v/>
      </c>
      <c r="AN380" s="6" t="n"/>
      <c r="AO380" s="3">
        <f>IF(tblOrdenes[[#This Row],[orden]]="","",tblOrdenes[[#This Row],[orden]]&amp;IF(tblOrdenes[[#This Row],[operacion]]="","0010",tblOrdenes[[#This Row],[operacion]]))</f>
        <v/>
      </c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11" t="n"/>
      <c r="K381" s="3" t="n"/>
      <c r="L381" s="10" t="n"/>
      <c r="M381" s="6" t="n"/>
      <c r="N3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81" s="3">
        <f>IF(tblOrdenes[[#This Row],[fecha_inicio]]="","",YEAR(tblOrdenes[[#This Row],[fecha_inicio]]))</f>
        <v/>
      </c>
      <c r="R381" s="3">
        <f>IF(tblOrdenes[[#This Row],[fecha_inicio]]="","",MONTH(tblOrdenes[[#This Row],[fecha_inicio]]))</f>
        <v/>
      </c>
      <c r="S381" s="3">
        <f>IF(tblOrdenes[[#This Row],[fecha_inicio]]="","",INDEX(lista_dias,WEEKDAY(tblOrdenes[[#This Row],[fecha_inicio]],2)))</f>
        <v/>
      </c>
      <c r="T381" s="3">
        <f>IF(tblOrdenes[[#This Row],[tipo_ot]]="","",_xlfn.XLOOKUP(tblOrdenes[[#This Row],[tipo_ot]],tblTiposOT[codigo],tblTiposOT[clasificacion],"sin_clasificar"))</f>
        <v/>
      </c>
      <c r="U381" s="3">
        <f>IF(tblOrdenes[[#This Row],[centro_costo]]="","",_xlfn.XLOOKUP(tblOrdenes[[#This Row],[centro_costo]],tblCECO[codigo],tblCECO[linea],"(sin catálogo)"))</f>
        <v/>
      </c>
      <c r="V381" s="3">
        <f>IF(tblOrdenes[[#This Row],[centro_costo]]="","",_xlfn.XLOOKUP(tblOrdenes[[#This Row],[centro_costo]],tblCECO[codigo],tblCECO[area],"(sin catálogo)"))</f>
        <v/>
      </c>
      <c r="W381" s="3">
        <f>IF(tblOrdenes[[#This Row],[centro_costo]]="","",_xlfn.XLOOKUP(tblOrdenes[[#This Row],[centro_costo]],tblCECO[codigo],tblCECO[coordinador],"(sin catálogo)"))</f>
        <v/>
      </c>
      <c r="X381" s="3">
        <f>IF(tblOrdenes[[#This Row],[puesto_trabajo]]="","",_xlfn.XLOOKUP(tblOrdenes[[#This Row],[puesto_trabajo]],tblPuestos[codigo],tblPuestos[especialidad],"(sin catálogo)"))</f>
        <v/>
      </c>
      <c r="Y381" s="3">
        <f>IF(tblOrdenes[[#This Row],[cod_actividad]]="","",_xlfn.XLOOKUP(tblOrdenes[[#This Row],[cod_actividad]],tblActividades[codigo],tblActividades[descripcion],"(sin catálogo)"))</f>
        <v/>
      </c>
      <c r="Z381" s="12">
        <f>IF(tblOrdenes[[#This Row],[fecha_inicio]]="","",TODAY()-tblOrdenes[[#This Row],[fecha_inicio]])</f>
        <v/>
      </c>
      <c r="AA381" s="3">
        <f>IF(tblOrdenes[[#This Row],[backlog_dias]]="","",IF(tblOrdenes[[#This Row],[backlog_dias]]&lt;0,"FUTURO",IF(tblOrdenes[[#This Row],[backlog_dias]]&gt;p_dias_backlog_max,"BACKLOG","MES CORRIENTE")))</f>
        <v/>
      </c>
      <c r="AB381" s="3">
        <f>IF(tblOrdenes[[#This Row],[backlog_dias]]="",FALSE,AND(tblOrdenes[[#This Row],[backlog_dias]]&gt;p_dias_backlog_min,tblOrdenes[[#This Row],[backlog_dias]]&lt;=p_dias_backlog_max))</f>
        <v/>
      </c>
      <c r="AC381" s="6" t="n"/>
      <c r="AD3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81" s="10">
        <f>IF(tblOrdenes[[#This Row],[orden]]="","",_xlfn.XLOOKUP(tblOrdenes[[#This Row],[id_operacion]],tblEjecucion[id_operacion],tblEjecucion[precio],0))</f>
        <v/>
      </c>
      <c r="AH381" s="10">
        <f>IF(tblOrdenes[[#This Row],[orden]]="","",MAX(0,_xlfn.XLOOKUP(tblOrdenes[[#This Row],[id_operacion]],tblEjecucion[id_operacion],tblEjecucion[costo_plan_total],0)-tblOrdenes[[#This Row],[costo_servicio]]))</f>
        <v/>
      </c>
      <c r="AI381" s="10">
        <f>IF(tblOrdenes[[#This Row],[orden]]="","",tblOrdenes[[#This Row],[costo_servicio]]+tblOrdenes[[#This Row],[costo_materiales]])</f>
        <v/>
      </c>
      <c r="AJ381" s="6" t="n"/>
      <c r="AK381" s="6" t="n"/>
      <c r="AL381" s="6" t="n"/>
      <c r="AM381" s="3">
        <f>IF(tblOrdenes[[#This Row],[link_checklist]]="","",HYPERLINK(p_ruta_base_checklists&amp;tblOrdenes[[#This Row],[link_checklist]],"abrir"))</f>
        <v/>
      </c>
      <c r="AN381" s="6" t="n"/>
      <c r="AO381" s="3">
        <f>IF(tblOrdenes[[#This Row],[orden]]="","",tblOrdenes[[#This Row],[orden]]&amp;IF(tblOrdenes[[#This Row],[operacion]]="","0010",tblOrdenes[[#This Row],[operacion]]))</f>
        <v/>
      </c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11" t="n"/>
      <c r="K382" s="3" t="n"/>
      <c r="L382" s="10" t="n"/>
      <c r="M382" s="6" t="n"/>
      <c r="N3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82" s="3">
        <f>IF(tblOrdenes[[#This Row],[fecha_inicio]]="","",YEAR(tblOrdenes[[#This Row],[fecha_inicio]]))</f>
        <v/>
      </c>
      <c r="R382" s="3">
        <f>IF(tblOrdenes[[#This Row],[fecha_inicio]]="","",MONTH(tblOrdenes[[#This Row],[fecha_inicio]]))</f>
        <v/>
      </c>
      <c r="S382" s="3">
        <f>IF(tblOrdenes[[#This Row],[fecha_inicio]]="","",INDEX(lista_dias,WEEKDAY(tblOrdenes[[#This Row],[fecha_inicio]],2)))</f>
        <v/>
      </c>
      <c r="T382" s="3">
        <f>IF(tblOrdenes[[#This Row],[tipo_ot]]="","",_xlfn.XLOOKUP(tblOrdenes[[#This Row],[tipo_ot]],tblTiposOT[codigo],tblTiposOT[clasificacion],"sin_clasificar"))</f>
        <v/>
      </c>
      <c r="U382" s="3">
        <f>IF(tblOrdenes[[#This Row],[centro_costo]]="","",_xlfn.XLOOKUP(tblOrdenes[[#This Row],[centro_costo]],tblCECO[codigo],tblCECO[linea],"(sin catálogo)"))</f>
        <v/>
      </c>
      <c r="V382" s="3">
        <f>IF(tblOrdenes[[#This Row],[centro_costo]]="","",_xlfn.XLOOKUP(tblOrdenes[[#This Row],[centro_costo]],tblCECO[codigo],tblCECO[area],"(sin catálogo)"))</f>
        <v/>
      </c>
      <c r="W382" s="3">
        <f>IF(tblOrdenes[[#This Row],[centro_costo]]="","",_xlfn.XLOOKUP(tblOrdenes[[#This Row],[centro_costo]],tblCECO[codigo],tblCECO[coordinador],"(sin catálogo)"))</f>
        <v/>
      </c>
      <c r="X382" s="3">
        <f>IF(tblOrdenes[[#This Row],[puesto_trabajo]]="","",_xlfn.XLOOKUP(tblOrdenes[[#This Row],[puesto_trabajo]],tblPuestos[codigo],tblPuestos[especialidad],"(sin catálogo)"))</f>
        <v/>
      </c>
      <c r="Y382" s="3">
        <f>IF(tblOrdenes[[#This Row],[cod_actividad]]="","",_xlfn.XLOOKUP(tblOrdenes[[#This Row],[cod_actividad]],tblActividades[codigo],tblActividades[descripcion],"(sin catálogo)"))</f>
        <v/>
      </c>
      <c r="Z382" s="12">
        <f>IF(tblOrdenes[[#This Row],[fecha_inicio]]="","",TODAY()-tblOrdenes[[#This Row],[fecha_inicio]])</f>
        <v/>
      </c>
      <c r="AA382" s="3">
        <f>IF(tblOrdenes[[#This Row],[backlog_dias]]="","",IF(tblOrdenes[[#This Row],[backlog_dias]]&lt;0,"FUTURO",IF(tblOrdenes[[#This Row],[backlog_dias]]&gt;p_dias_backlog_max,"BACKLOG","MES CORRIENTE")))</f>
        <v/>
      </c>
      <c r="AB382" s="3">
        <f>IF(tblOrdenes[[#This Row],[backlog_dias]]="",FALSE,AND(tblOrdenes[[#This Row],[backlog_dias]]&gt;p_dias_backlog_min,tblOrdenes[[#This Row],[backlog_dias]]&lt;=p_dias_backlog_max))</f>
        <v/>
      </c>
      <c r="AC382" s="6" t="n"/>
      <c r="AD3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82" s="10">
        <f>IF(tblOrdenes[[#This Row],[orden]]="","",_xlfn.XLOOKUP(tblOrdenes[[#This Row],[id_operacion]],tblEjecucion[id_operacion],tblEjecucion[precio],0))</f>
        <v/>
      </c>
      <c r="AH382" s="10">
        <f>IF(tblOrdenes[[#This Row],[orden]]="","",MAX(0,_xlfn.XLOOKUP(tblOrdenes[[#This Row],[id_operacion]],tblEjecucion[id_operacion],tblEjecucion[costo_plan_total],0)-tblOrdenes[[#This Row],[costo_servicio]]))</f>
        <v/>
      </c>
      <c r="AI382" s="10">
        <f>IF(tblOrdenes[[#This Row],[orden]]="","",tblOrdenes[[#This Row],[costo_servicio]]+tblOrdenes[[#This Row],[costo_materiales]])</f>
        <v/>
      </c>
      <c r="AJ382" s="6" t="n"/>
      <c r="AK382" s="6" t="n"/>
      <c r="AL382" s="6" t="n"/>
      <c r="AM382" s="3">
        <f>IF(tblOrdenes[[#This Row],[link_checklist]]="","",HYPERLINK(p_ruta_base_checklists&amp;tblOrdenes[[#This Row],[link_checklist]],"abrir"))</f>
        <v/>
      </c>
      <c r="AN382" s="6" t="n"/>
      <c r="AO382" s="3">
        <f>IF(tblOrdenes[[#This Row],[orden]]="","",tblOrdenes[[#This Row],[orden]]&amp;IF(tblOrdenes[[#This Row],[operacion]]="","0010",tblOrdenes[[#This Row],[operacion]]))</f>
        <v/>
      </c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11" t="n"/>
      <c r="K383" s="3" t="n"/>
      <c r="L383" s="10" t="n"/>
      <c r="M383" s="6" t="n"/>
      <c r="N3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83" s="3">
        <f>IF(tblOrdenes[[#This Row],[fecha_inicio]]="","",YEAR(tblOrdenes[[#This Row],[fecha_inicio]]))</f>
        <v/>
      </c>
      <c r="R383" s="3">
        <f>IF(tblOrdenes[[#This Row],[fecha_inicio]]="","",MONTH(tblOrdenes[[#This Row],[fecha_inicio]]))</f>
        <v/>
      </c>
      <c r="S383" s="3">
        <f>IF(tblOrdenes[[#This Row],[fecha_inicio]]="","",INDEX(lista_dias,WEEKDAY(tblOrdenes[[#This Row],[fecha_inicio]],2)))</f>
        <v/>
      </c>
      <c r="T383" s="3">
        <f>IF(tblOrdenes[[#This Row],[tipo_ot]]="","",_xlfn.XLOOKUP(tblOrdenes[[#This Row],[tipo_ot]],tblTiposOT[codigo],tblTiposOT[clasificacion],"sin_clasificar"))</f>
        <v/>
      </c>
      <c r="U383" s="3">
        <f>IF(tblOrdenes[[#This Row],[centro_costo]]="","",_xlfn.XLOOKUP(tblOrdenes[[#This Row],[centro_costo]],tblCECO[codigo],tblCECO[linea],"(sin catálogo)"))</f>
        <v/>
      </c>
      <c r="V383" s="3">
        <f>IF(tblOrdenes[[#This Row],[centro_costo]]="","",_xlfn.XLOOKUP(tblOrdenes[[#This Row],[centro_costo]],tblCECO[codigo],tblCECO[area],"(sin catálogo)"))</f>
        <v/>
      </c>
      <c r="W383" s="3">
        <f>IF(tblOrdenes[[#This Row],[centro_costo]]="","",_xlfn.XLOOKUP(tblOrdenes[[#This Row],[centro_costo]],tblCECO[codigo],tblCECO[coordinador],"(sin catálogo)"))</f>
        <v/>
      </c>
      <c r="X383" s="3">
        <f>IF(tblOrdenes[[#This Row],[puesto_trabajo]]="","",_xlfn.XLOOKUP(tblOrdenes[[#This Row],[puesto_trabajo]],tblPuestos[codigo],tblPuestos[especialidad],"(sin catálogo)"))</f>
        <v/>
      </c>
      <c r="Y383" s="3">
        <f>IF(tblOrdenes[[#This Row],[cod_actividad]]="","",_xlfn.XLOOKUP(tblOrdenes[[#This Row],[cod_actividad]],tblActividades[codigo],tblActividades[descripcion],"(sin catálogo)"))</f>
        <v/>
      </c>
      <c r="Z383" s="12">
        <f>IF(tblOrdenes[[#This Row],[fecha_inicio]]="","",TODAY()-tblOrdenes[[#This Row],[fecha_inicio]])</f>
        <v/>
      </c>
      <c r="AA383" s="3">
        <f>IF(tblOrdenes[[#This Row],[backlog_dias]]="","",IF(tblOrdenes[[#This Row],[backlog_dias]]&lt;0,"FUTURO",IF(tblOrdenes[[#This Row],[backlog_dias]]&gt;p_dias_backlog_max,"BACKLOG","MES CORRIENTE")))</f>
        <v/>
      </c>
      <c r="AB383" s="3">
        <f>IF(tblOrdenes[[#This Row],[backlog_dias]]="",FALSE,AND(tblOrdenes[[#This Row],[backlog_dias]]&gt;p_dias_backlog_min,tblOrdenes[[#This Row],[backlog_dias]]&lt;=p_dias_backlog_max))</f>
        <v/>
      </c>
      <c r="AC383" s="6" t="n"/>
      <c r="AD3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83" s="10">
        <f>IF(tblOrdenes[[#This Row],[orden]]="","",_xlfn.XLOOKUP(tblOrdenes[[#This Row],[id_operacion]],tblEjecucion[id_operacion],tblEjecucion[precio],0))</f>
        <v/>
      </c>
      <c r="AH383" s="10">
        <f>IF(tblOrdenes[[#This Row],[orden]]="","",MAX(0,_xlfn.XLOOKUP(tblOrdenes[[#This Row],[id_operacion]],tblEjecucion[id_operacion],tblEjecucion[costo_plan_total],0)-tblOrdenes[[#This Row],[costo_servicio]]))</f>
        <v/>
      </c>
      <c r="AI383" s="10">
        <f>IF(tblOrdenes[[#This Row],[orden]]="","",tblOrdenes[[#This Row],[costo_servicio]]+tblOrdenes[[#This Row],[costo_materiales]])</f>
        <v/>
      </c>
      <c r="AJ383" s="6" t="n"/>
      <c r="AK383" s="6" t="n"/>
      <c r="AL383" s="6" t="n"/>
      <c r="AM383" s="3">
        <f>IF(tblOrdenes[[#This Row],[link_checklist]]="","",HYPERLINK(p_ruta_base_checklists&amp;tblOrdenes[[#This Row],[link_checklist]],"abrir"))</f>
        <v/>
      </c>
      <c r="AN383" s="6" t="n"/>
      <c r="AO383" s="3">
        <f>IF(tblOrdenes[[#This Row],[orden]]="","",tblOrdenes[[#This Row],[orden]]&amp;IF(tblOrdenes[[#This Row],[operacion]]="","0010",tblOrdenes[[#This Row],[operacion]]))</f>
        <v/>
      </c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11" t="n"/>
      <c r="K384" s="3" t="n"/>
      <c r="L384" s="10" t="n"/>
      <c r="M384" s="6" t="n"/>
      <c r="N3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84" s="3">
        <f>IF(tblOrdenes[[#This Row],[fecha_inicio]]="","",YEAR(tblOrdenes[[#This Row],[fecha_inicio]]))</f>
        <v/>
      </c>
      <c r="R384" s="3">
        <f>IF(tblOrdenes[[#This Row],[fecha_inicio]]="","",MONTH(tblOrdenes[[#This Row],[fecha_inicio]]))</f>
        <v/>
      </c>
      <c r="S384" s="3">
        <f>IF(tblOrdenes[[#This Row],[fecha_inicio]]="","",INDEX(lista_dias,WEEKDAY(tblOrdenes[[#This Row],[fecha_inicio]],2)))</f>
        <v/>
      </c>
      <c r="T384" s="3">
        <f>IF(tblOrdenes[[#This Row],[tipo_ot]]="","",_xlfn.XLOOKUP(tblOrdenes[[#This Row],[tipo_ot]],tblTiposOT[codigo],tblTiposOT[clasificacion],"sin_clasificar"))</f>
        <v/>
      </c>
      <c r="U384" s="3">
        <f>IF(tblOrdenes[[#This Row],[centro_costo]]="","",_xlfn.XLOOKUP(tblOrdenes[[#This Row],[centro_costo]],tblCECO[codigo],tblCECO[linea],"(sin catálogo)"))</f>
        <v/>
      </c>
      <c r="V384" s="3">
        <f>IF(tblOrdenes[[#This Row],[centro_costo]]="","",_xlfn.XLOOKUP(tblOrdenes[[#This Row],[centro_costo]],tblCECO[codigo],tblCECO[area],"(sin catálogo)"))</f>
        <v/>
      </c>
      <c r="W384" s="3">
        <f>IF(tblOrdenes[[#This Row],[centro_costo]]="","",_xlfn.XLOOKUP(tblOrdenes[[#This Row],[centro_costo]],tblCECO[codigo],tblCECO[coordinador],"(sin catálogo)"))</f>
        <v/>
      </c>
      <c r="X384" s="3">
        <f>IF(tblOrdenes[[#This Row],[puesto_trabajo]]="","",_xlfn.XLOOKUP(tblOrdenes[[#This Row],[puesto_trabajo]],tblPuestos[codigo],tblPuestos[especialidad],"(sin catálogo)"))</f>
        <v/>
      </c>
      <c r="Y384" s="3">
        <f>IF(tblOrdenes[[#This Row],[cod_actividad]]="","",_xlfn.XLOOKUP(tblOrdenes[[#This Row],[cod_actividad]],tblActividades[codigo],tblActividades[descripcion],"(sin catálogo)"))</f>
        <v/>
      </c>
      <c r="Z384" s="12">
        <f>IF(tblOrdenes[[#This Row],[fecha_inicio]]="","",TODAY()-tblOrdenes[[#This Row],[fecha_inicio]])</f>
        <v/>
      </c>
      <c r="AA384" s="3">
        <f>IF(tblOrdenes[[#This Row],[backlog_dias]]="","",IF(tblOrdenes[[#This Row],[backlog_dias]]&lt;0,"FUTURO",IF(tblOrdenes[[#This Row],[backlog_dias]]&gt;p_dias_backlog_max,"BACKLOG","MES CORRIENTE")))</f>
        <v/>
      </c>
      <c r="AB384" s="3">
        <f>IF(tblOrdenes[[#This Row],[backlog_dias]]="",FALSE,AND(tblOrdenes[[#This Row],[backlog_dias]]&gt;p_dias_backlog_min,tblOrdenes[[#This Row],[backlog_dias]]&lt;=p_dias_backlog_max))</f>
        <v/>
      </c>
      <c r="AC384" s="6" t="n"/>
      <c r="AD3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84" s="10">
        <f>IF(tblOrdenes[[#This Row],[orden]]="","",_xlfn.XLOOKUP(tblOrdenes[[#This Row],[id_operacion]],tblEjecucion[id_operacion],tblEjecucion[precio],0))</f>
        <v/>
      </c>
      <c r="AH384" s="10">
        <f>IF(tblOrdenes[[#This Row],[orden]]="","",MAX(0,_xlfn.XLOOKUP(tblOrdenes[[#This Row],[id_operacion]],tblEjecucion[id_operacion],tblEjecucion[costo_plan_total],0)-tblOrdenes[[#This Row],[costo_servicio]]))</f>
        <v/>
      </c>
      <c r="AI384" s="10">
        <f>IF(tblOrdenes[[#This Row],[orden]]="","",tblOrdenes[[#This Row],[costo_servicio]]+tblOrdenes[[#This Row],[costo_materiales]])</f>
        <v/>
      </c>
      <c r="AJ384" s="6" t="n"/>
      <c r="AK384" s="6" t="n"/>
      <c r="AL384" s="6" t="n"/>
      <c r="AM384" s="3">
        <f>IF(tblOrdenes[[#This Row],[link_checklist]]="","",HYPERLINK(p_ruta_base_checklists&amp;tblOrdenes[[#This Row],[link_checklist]],"abrir"))</f>
        <v/>
      </c>
      <c r="AN384" s="6" t="n"/>
      <c r="AO384" s="3">
        <f>IF(tblOrdenes[[#This Row],[orden]]="","",tblOrdenes[[#This Row],[orden]]&amp;IF(tblOrdenes[[#This Row],[operacion]]="","0010",tblOrdenes[[#This Row],[operacion]]))</f>
        <v/>
      </c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11" t="n"/>
      <c r="K385" s="3" t="n"/>
      <c r="L385" s="10" t="n"/>
      <c r="M385" s="6" t="n"/>
      <c r="N3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85" s="3">
        <f>IF(tblOrdenes[[#This Row],[fecha_inicio]]="","",YEAR(tblOrdenes[[#This Row],[fecha_inicio]]))</f>
        <v/>
      </c>
      <c r="R385" s="3">
        <f>IF(tblOrdenes[[#This Row],[fecha_inicio]]="","",MONTH(tblOrdenes[[#This Row],[fecha_inicio]]))</f>
        <v/>
      </c>
      <c r="S385" s="3">
        <f>IF(tblOrdenes[[#This Row],[fecha_inicio]]="","",INDEX(lista_dias,WEEKDAY(tblOrdenes[[#This Row],[fecha_inicio]],2)))</f>
        <v/>
      </c>
      <c r="T385" s="3">
        <f>IF(tblOrdenes[[#This Row],[tipo_ot]]="","",_xlfn.XLOOKUP(tblOrdenes[[#This Row],[tipo_ot]],tblTiposOT[codigo],tblTiposOT[clasificacion],"sin_clasificar"))</f>
        <v/>
      </c>
      <c r="U385" s="3">
        <f>IF(tblOrdenes[[#This Row],[centro_costo]]="","",_xlfn.XLOOKUP(tblOrdenes[[#This Row],[centro_costo]],tblCECO[codigo],tblCECO[linea],"(sin catálogo)"))</f>
        <v/>
      </c>
      <c r="V385" s="3">
        <f>IF(tblOrdenes[[#This Row],[centro_costo]]="","",_xlfn.XLOOKUP(tblOrdenes[[#This Row],[centro_costo]],tblCECO[codigo],tblCECO[area],"(sin catálogo)"))</f>
        <v/>
      </c>
      <c r="W385" s="3">
        <f>IF(tblOrdenes[[#This Row],[centro_costo]]="","",_xlfn.XLOOKUP(tblOrdenes[[#This Row],[centro_costo]],tblCECO[codigo],tblCECO[coordinador],"(sin catálogo)"))</f>
        <v/>
      </c>
      <c r="X385" s="3">
        <f>IF(tblOrdenes[[#This Row],[puesto_trabajo]]="","",_xlfn.XLOOKUP(tblOrdenes[[#This Row],[puesto_trabajo]],tblPuestos[codigo],tblPuestos[especialidad],"(sin catálogo)"))</f>
        <v/>
      </c>
      <c r="Y385" s="3">
        <f>IF(tblOrdenes[[#This Row],[cod_actividad]]="","",_xlfn.XLOOKUP(tblOrdenes[[#This Row],[cod_actividad]],tblActividades[codigo],tblActividades[descripcion],"(sin catálogo)"))</f>
        <v/>
      </c>
      <c r="Z385" s="12">
        <f>IF(tblOrdenes[[#This Row],[fecha_inicio]]="","",TODAY()-tblOrdenes[[#This Row],[fecha_inicio]])</f>
        <v/>
      </c>
      <c r="AA385" s="3">
        <f>IF(tblOrdenes[[#This Row],[backlog_dias]]="","",IF(tblOrdenes[[#This Row],[backlog_dias]]&lt;0,"FUTURO",IF(tblOrdenes[[#This Row],[backlog_dias]]&gt;p_dias_backlog_max,"BACKLOG","MES CORRIENTE")))</f>
        <v/>
      </c>
      <c r="AB385" s="3">
        <f>IF(tblOrdenes[[#This Row],[backlog_dias]]="",FALSE,AND(tblOrdenes[[#This Row],[backlog_dias]]&gt;p_dias_backlog_min,tblOrdenes[[#This Row],[backlog_dias]]&lt;=p_dias_backlog_max))</f>
        <v/>
      </c>
      <c r="AC385" s="6" t="n"/>
      <c r="AD3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85" s="10">
        <f>IF(tblOrdenes[[#This Row],[orden]]="","",_xlfn.XLOOKUP(tblOrdenes[[#This Row],[id_operacion]],tblEjecucion[id_operacion],tblEjecucion[precio],0))</f>
        <v/>
      </c>
      <c r="AH385" s="10">
        <f>IF(tblOrdenes[[#This Row],[orden]]="","",MAX(0,_xlfn.XLOOKUP(tblOrdenes[[#This Row],[id_operacion]],tblEjecucion[id_operacion],tblEjecucion[costo_plan_total],0)-tblOrdenes[[#This Row],[costo_servicio]]))</f>
        <v/>
      </c>
      <c r="AI385" s="10">
        <f>IF(tblOrdenes[[#This Row],[orden]]="","",tblOrdenes[[#This Row],[costo_servicio]]+tblOrdenes[[#This Row],[costo_materiales]])</f>
        <v/>
      </c>
      <c r="AJ385" s="6" t="n"/>
      <c r="AK385" s="6" t="n"/>
      <c r="AL385" s="6" t="n"/>
      <c r="AM385" s="3">
        <f>IF(tblOrdenes[[#This Row],[link_checklist]]="","",HYPERLINK(p_ruta_base_checklists&amp;tblOrdenes[[#This Row],[link_checklist]],"abrir"))</f>
        <v/>
      </c>
      <c r="AN385" s="6" t="n"/>
      <c r="AO385" s="3">
        <f>IF(tblOrdenes[[#This Row],[orden]]="","",tblOrdenes[[#This Row],[orden]]&amp;IF(tblOrdenes[[#This Row],[operacion]]="","0010",tblOrdenes[[#This Row],[operacion]]))</f>
        <v/>
      </c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11" t="n"/>
      <c r="K386" s="3" t="n"/>
      <c r="L386" s="10" t="n"/>
      <c r="M386" s="6" t="n"/>
      <c r="N3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86" s="3">
        <f>IF(tblOrdenes[[#This Row],[fecha_inicio]]="","",YEAR(tblOrdenes[[#This Row],[fecha_inicio]]))</f>
        <v/>
      </c>
      <c r="R386" s="3">
        <f>IF(tblOrdenes[[#This Row],[fecha_inicio]]="","",MONTH(tblOrdenes[[#This Row],[fecha_inicio]]))</f>
        <v/>
      </c>
      <c r="S386" s="3">
        <f>IF(tblOrdenes[[#This Row],[fecha_inicio]]="","",INDEX(lista_dias,WEEKDAY(tblOrdenes[[#This Row],[fecha_inicio]],2)))</f>
        <v/>
      </c>
      <c r="T386" s="3">
        <f>IF(tblOrdenes[[#This Row],[tipo_ot]]="","",_xlfn.XLOOKUP(tblOrdenes[[#This Row],[tipo_ot]],tblTiposOT[codigo],tblTiposOT[clasificacion],"sin_clasificar"))</f>
        <v/>
      </c>
      <c r="U386" s="3">
        <f>IF(tblOrdenes[[#This Row],[centro_costo]]="","",_xlfn.XLOOKUP(tblOrdenes[[#This Row],[centro_costo]],tblCECO[codigo],tblCECO[linea],"(sin catálogo)"))</f>
        <v/>
      </c>
      <c r="V386" s="3">
        <f>IF(tblOrdenes[[#This Row],[centro_costo]]="","",_xlfn.XLOOKUP(tblOrdenes[[#This Row],[centro_costo]],tblCECO[codigo],tblCECO[area],"(sin catálogo)"))</f>
        <v/>
      </c>
      <c r="W386" s="3">
        <f>IF(tblOrdenes[[#This Row],[centro_costo]]="","",_xlfn.XLOOKUP(tblOrdenes[[#This Row],[centro_costo]],tblCECO[codigo],tblCECO[coordinador],"(sin catálogo)"))</f>
        <v/>
      </c>
      <c r="X386" s="3">
        <f>IF(tblOrdenes[[#This Row],[puesto_trabajo]]="","",_xlfn.XLOOKUP(tblOrdenes[[#This Row],[puesto_trabajo]],tblPuestos[codigo],tblPuestos[especialidad],"(sin catálogo)"))</f>
        <v/>
      </c>
      <c r="Y386" s="3">
        <f>IF(tblOrdenes[[#This Row],[cod_actividad]]="","",_xlfn.XLOOKUP(tblOrdenes[[#This Row],[cod_actividad]],tblActividades[codigo],tblActividades[descripcion],"(sin catálogo)"))</f>
        <v/>
      </c>
      <c r="Z386" s="12">
        <f>IF(tblOrdenes[[#This Row],[fecha_inicio]]="","",TODAY()-tblOrdenes[[#This Row],[fecha_inicio]])</f>
        <v/>
      </c>
      <c r="AA386" s="3">
        <f>IF(tblOrdenes[[#This Row],[backlog_dias]]="","",IF(tblOrdenes[[#This Row],[backlog_dias]]&lt;0,"FUTURO",IF(tblOrdenes[[#This Row],[backlog_dias]]&gt;p_dias_backlog_max,"BACKLOG","MES CORRIENTE")))</f>
        <v/>
      </c>
      <c r="AB386" s="3">
        <f>IF(tblOrdenes[[#This Row],[backlog_dias]]="",FALSE,AND(tblOrdenes[[#This Row],[backlog_dias]]&gt;p_dias_backlog_min,tblOrdenes[[#This Row],[backlog_dias]]&lt;=p_dias_backlog_max))</f>
        <v/>
      </c>
      <c r="AC386" s="6" t="n"/>
      <c r="AD3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86" s="10">
        <f>IF(tblOrdenes[[#This Row],[orden]]="","",_xlfn.XLOOKUP(tblOrdenes[[#This Row],[id_operacion]],tblEjecucion[id_operacion],tblEjecucion[precio],0))</f>
        <v/>
      </c>
      <c r="AH386" s="10">
        <f>IF(tblOrdenes[[#This Row],[orden]]="","",MAX(0,_xlfn.XLOOKUP(tblOrdenes[[#This Row],[id_operacion]],tblEjecucion[id_operacion],tblEjecucion[costo_plan_total],0)-tblOrdenes[[#This Row],[costo_servicio]]))</f>
        <v/>
      </c>
      <c r="AI386" s="10">
        <f>IF(tblOrdenes[[#This Row],[orden]]="","",tblOrdenes[[#This Row],[costo_servicio]]+tblOrdenes[[#This Row],[costo_materiales]])</f>
        <v/>
      </c>
      <c r="AJ386" s="6" t="n"/>
      <c r="AK386" s="6" t="n"/>
      <c r="AL386" s="6" t="n"/>
      <c r="AM386" s="3">
        <f>IF(tblOrdenes[[#This Row],[link_checklist]]="","",HYPERLINK(p_ruta_base_checklists&amp;tblOrdenes[[#This Row],[link_checklist]],"abrir"))</f>
        <v/>
      </c>
      <c r="AN386" s="6" t="n"/>
      <c r="AO386" s="3">
        <f>IF(tblOrdenes[[#This Row],[orden]]="","",tblOrdenes[[#This Row],[orden]]&amp;IF(tblOrdenes[[#This Row],[operacion]]="","0010",tblOrdenes[[#This Row],[operacion]]))</f>
        <v/>
      </c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11" t="n"/>
      <c r="K387" s="3" t="n"/>
      <c r="L387" s="10" t="n"/>
      <c r="M387" s="6" t="n"/>
      <c r="N3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87" s="3">
        <f>IF(tblOrdenes[[#This Row],[fecha_inicio]]="","",YEAR(tblOrdenes[[#This Row],[fecha_inicio]]))</f>
        <v/>
      </c>
      <c r="R387" s="3">
        <f>IF(tblOrdenes[[#This Row],[fecha_inicio]]="","",MONTH(tblOrdenes[[#This Row],[fecha_inicio]]))</f>
        <v/>
      </c>
      <c r="S387" s="3">
        <f>IF(tblOrdenes[[#This Row],[fecha_inicio]]="","",INDEX(lista_dias,WEEKDAY(tblOrdenes[[#This Row],[fecha_inicio]],2)))</f>
        <v/>
      </c>
      <c r="T387" s="3">
        <f>IF(tblOrdenes[[#This Row],[tipo_ot]]="","",_xlfn.XLOOKUP(tblOrdenes[[#This Row],[tipo_ot]],tblTiposOT[codigo],tblTiposOT[clasificacion],"sin_clasificar"))</f>
        <v/>
      </c>
      <c r="U387" s="3">
        <f>IF(tblOrdenes[[#This Row],[centro_costo]]="","",_xlfn.XLOOKUP(tblOrdenes[[#This Row],[centro_costo]],tblCECO[codigo],tblCECO[linea],"(sin catálogo)"))</f>
        <v/>
      </c>
      <c r="V387" s="3">
        <f>IF(tblOrdenes[[#This Row],[centro_costo]]="","",_xlfn.XLOOKUP(tblOrdenes[[#This Row],[centro_costo]],tblCECO[codigo],tblCECO[area],"(sin catálogo)"))</f>
        <v/>
      </c>
      <c r="W387" s="3">
        <f>IF(tblOrdenes[[#This Row],[centro_costo]]="","",_xlfn.XLOOKUP(tblOrdenes[[#This Row],[centro_costo]],tblCECO[codigo],tblCECO[coordinador],"(sin catálogo)"))</f>
        <v/>
      </c>
      <c r="X387" s="3">
        <f>IF(tblOrdenes[[#This Row],[puesto_trabajo]]="","",_xlfn.XLOOKUP(tblOrdenes[[#This Row],[puesto_trabajo]],tblPuestos[codigo],tblPuestos[especialidad],"(sin catálogo)"))</f>
        <v/>
      </c>
      <c r="Y387" s="3">
        <f>IF(tblOrdenes[[#This Row],[cod_actividad]]="","",_xlfn.XLOOKUP(tblOrdenes[[#This Row],[cod_actividad]],tblActividades[codigo],tblActividades[descripcion],"(sin catálogo)"))</f>
        <v/>
      </c>
      <c r="Z387" s="12">
        <f>IF(tblOrdenes[[#This Row],[fecha_inicio]]="","",TODAY()-tblOrdenes[[#This Row],[fecha_inicio]])</f>
        <v/>
      </c>
      <c r="AA387" s="3">
        <f>IF(tblOrdenes[[#This Row],[backlog_dias]]="","",IF(tblOrdenes[[#This Row],[backlog_dias]]&lt;0,"FUTURO",IF(tblOrdenes[[#This Row],[backlog_dias]]&gt;p_dias_backlog_max,"BACKLOG","MES CORRIENTE")))</f>
        <v/>
      </c>
      <c r="AB387" s="3">
        <f>IF(tblOrdenes[[#This Row],[backlog_dias]]="",FALSE,AND(tblOrdenes[[#This Row],[backlog_dias]]&gt;p_dias_backlog_min,tblOrdenes[[#This Row],[backlog_dias]]&lt;=p_dias_backlog_max))</f>
        <v/>
      </c>
      <c r="AC387" s="6" t="n"/>
      <c r="AD3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87" s="10">
        <f>IF(tblOrdenes[[#This Row],[orden]]="","",_xlfn.XLOOKUP(tblOrdenes[[#This Row],[id_operacion]],tblEjecucion[id_operacion],tblEjecucion[precio],0))</f>
        <v/>
      </c>
      <c r="AH387" s="10">
        <f>IF(tblOrdenes[[#This Row],[orden]]="","",MAX(0,_xlfn.XLOOKUP(tblOrdenes[[#This Row],[id_operacion]],tblEjecucion[id_operacion],tblEjecucion[costo_plan_total],0)-tblOrdenes[[#This Row],[costo_servicio]]))</f>
        <v/>
      </c>
      <c r="AI387" s="10">
        <f>IF(tblOrdenes[[#This Row],[orden]]="","",tblOrdenes[[#This Row],[costo_servicio]]+tblOrdenes[[#This Row],[costo_materiales]])</f>
        <v/>
      </c>
      <c r="AJ387" s="6" t="n"/>
      <c r="AK387" s="6" t="n"/>
      <c r="AL387" s="6" t="n"/>
      <c r="AM387" s="3">
        <f>IF(tblOrdenes[[#This Row],[link_checklist]]="","",HYPERLINK(p_ruta_base_checklists&amp;tblOrdenes[[#This Row],[link_checklist]],"abrir"))</f>
        <v/>
      </c>
      <c r="AN387" s="6" t="n"/>
      <c r="AO387" s="3">
        <f>IF(tblOrdenes[[#This Row],[orden]]="","",tblOrdenes[[#This Row],[orden]]&amp;IF(tblOrdenes[[#This Row],[operacion]]="","0010",tblOrdenes[[#This Row],[operacion]]))</f>
        <v/>
      </c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11" t="n"/>
      <c r="K388" s="3" t="n"/>
      <c r="L388" s="10" t="n"/>
      <c r="M388" s="6" t="n"/>
      <c r="N3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88" s="3">
        <f>IF(tblOrdenes[[#This Row],[fecha_inicio]]="","",YEAR(tblOrdenes[[#This Row],[fecha_inicio]]))</f>
        <v/>
      </c>
      <c r="R388" s="3">
        <f>IF(tblOrdenes[[#This Row],[fecha_inicio]]="","",MONTH(tblOrdenes[[#This Row],[fecha_inicio]]))</f>
        <v/>
      </c>
      <c r="S388" s="3">
        <f>IF(tblOrdenes[[#This Row],[fecha_inicio]]="","",INDEX(lista_dias,WEEKDAY(tblOrdenes[[#This Row],[fecha_inicio]],2)))</f>
        <v/>
      </c>
      <c r="T388" s="3">
        <f>IF(tblOrdenes[[#This Row],[tipo_ot]]="","",_xlfn.XLOOKUP(tblOrdenes[[#This Row],[tipo_ot]],tblTiposOT[codigo],tblTiposOT[clasificacion],"sin_clasificar"))</f>
        <v/>
      </c>
      <c r="U388" s="3">
        <f>IF(tblOrdenes[[#This Row],[centro_costo]]="","",_xlfn.XLOOKUP(tblOrdenes[[#This Row],[centro_costo]],tblCECO[codigo],tblCECO[linea],"(sin catálogo)"))</f>
        <v/>
      </c>
      <c r="V388" s="3">
        <f>IF(tblOrdenes[[#This Row],[centro_costo]]="","",_xlfn.XLOOKUP(tblOrdenes[[#This Row],[centro_costo]],tblCECO[codigo],tblCECO[area],"(sin catálogo)"))</f>
        <v/>
      </c>
      <c r="W388" s="3">
        <f>IF(tblOrdenes[[#This Row],[centro_costo]]="","",_xlfn.XLOOKUP(tblOrdenes[[#This Row],[centro_costo]],tblCECO[codigo],tblCECO[coordinador],"(sin catálogo)"))</f>
        <v/>
      </c>
      <c r="X388" s="3">
        <f>IF(tblOrdenes[[#This Row],[puesto_trabajo]]="","",_xlfn.XLOOKUP(tblOrdenes[[#This Row],[puesto_trabajo]],tblPuestos[codigo],tblPuestos[especialidad],"(sin catálogo)"))</f>
        <v/>
      </c>
      <c r="Y388" s="3">
        <f>IF(tblOrdenes[[#This Row],[cod_actividad]]="","",_xlfn.XLOOKUP(tblOrdenes[[#This Row],[cod_actividad]],tblActividades[codigo],tblActividades[descripcion],"(sin catálogo)"))</f>
        <v/>
      </c>
      <c r="Z388" s="12">
        <f>IF(tblOrdenes[[#This Row],[fecha_inicio]]="","",TODAY()-tblOrdenes[[#This Row],[fecha_inicio]])</f>
        <v/>
      </c>
      <c r="AA388" s="3">
        <f>IF(tblOrdenes[[#This Row],[backlog_dias]]="","",IF(tblOrdenes[[#This Row],[backlog_dias]]&lt;0,"FUTURO",IF(tblOrdenes[[#This Row],[backlog_dias]]&gt;p_dias_backlog_max,"BACKLOG","MES CORRIENTE")))</f>
        <v/>
      </c>
      <c r="AB388" s="3">
        <f>IF(tblOrdenes[[#This Row],[backlog_dias]]="",FALSE,AND(tblOrdenes[[#This Row],[backlog_dias]]&gt;p_dias_backlog_min,tblOrdenes[[#This Row],[backlog_dias]]&lt;=p_dias_backlog_max))</f>
        <v/>
      </c>
      <c r="AC388" s="6" t="n"/>
      <c r="AD3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88" s="10">
        <f>IF(tblOrdenes[[#This Row],[orden]]="","",_xlfn.XLOOKUP(tblOrdenes[[#This Row],[id_operacion]],tblEjecucion[id_operacion],tblEjecucion[precio],0))</f>
        <v/>
      </c>
      <c r="AH388" s="10">
        <f>IF(tblOrdenes[[#This Row],[orden]]="","",MAX(0,_xlfn.XLOOKUP(tblOrdenes[[#This Row],[id_operacion]],tblEjecucion[id_operacion],tblEjecucion[costo_plan_total],0)-tblOrdenes[[#This Row],[costo_servicio]]))</f>
        <v/>
      </c>
      <c r="AI388" s="10">
        <f>IF(tblOrdenes[[#This Row],[orden]]="","",tblOrdenes[[#This Row],[costo_servicio]]+tblOrdenes[[#This Row],[costo_materiales]])</f>
        <v/>
      </c>
      <c r="AJ388" s="6" t="n"/>
      <c r="AK388" s="6" t="n"/>
      <c r="AL388" s="6" t="n"/>
      <c r="AM388" s="3">
        <f>IF(tblOrdenes[[#This Row],[link_checklist]]="","",HYPERLINK(p_ruta_base_checklists&amp;tblOrdenes[[#This Row],[link_checklist]],"abrir"))</f>
        <v/>
      </c>
      <c r="AN388" s="6" t="n"/>
      <c r="AO388" s="3">
        <f>IF(tblOrdenes[[#This Row],[orden]]="","",tblOrdenes[[#This Row],[orden]]&amp;IF(tblOrdenes[[#This Row],[operacion]]="","0010",tblOrdenes[[#This Row],[operacion]]))</f>
        <v/>
      </c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11" t="n"/>
      <c r="K389" s="3" t="n"/>
      <c r="L389" s="10" t="n"/>
      <c r="M389" s="6" t="n"/>
      <c r="N3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89" s="3">
        <f>IF(tblOrdenes[[#This Row],[fecha_inicio]]="","",YEAR(tblOrdenes[[#This Row],[fecha_inicio]]))</f>
        <v/>
      </c>
      <c r="R389" s="3">
        <f>IF(tblOrdenes[[#This Row],[fecha_inicio]]="","",MONTH(tblOrdenes[[#This Row],[fecha_inicio]]))</f>
        <v/>
      </c>
      <c r="S389" s="3">
        <f>IF(tblOrdenes[[#This Row],[fecha_inicio]]="","",INDEX(lista_dias,WEEKDAY(tblOrdenes[[#This Row],[fecha_inicio]],2)))</f>
        <v/>
      </c>
      <c r="T389" s="3">
        <f>IF(tblOrdenes[[#This Row],[tipo_ot]]="","",_xlfn.XLOOKUP(tblOrdenes[[#This Row],[tipo_ot]],tblTiposOT[codigo],tblTiposOT[clasificacion],"sin_clasificar"))</f>
        <v/>
      </c>
      <c r="U389" s="3">
        <f>IF(tblOrdenes[[#This Row],[centro_costo]]="","",_xlfn.XLOOKUP(tblOrdenes[[#This Row],[centro_costo]],tblCECO[codigo],tblCECO[linea],"(sin catálogo)"))</f>
        <v/>
      </c>
      <c r="V389" s="3">
        <f>IF(tblOrdenes[[#This Row],[centro_costo]]="","",_xlfn.XLOOKUP(tblOrdenes[[#This Row],[centro_costo]],tblCECO[codigo],tblCECO[area],"(sin catálogo)"))</f>
        <v/>
      </c>
      <c r="W389" s="3">
        <f>IF(tblOrdenes[[#This Row],[centro_costo]]="","",_xlfn.XLOOKUP(tblOrdenes[[#This Row],[centro_costo]],tblCECO[codigo],tblCECO[coordinador],"(sin catálogo)"))</f>
        <v/>
      </c>
      <c r="X389" s="3">
        <f>IF(tblOrdenes[[#This Row],[puesto_trabajo]]="","",_xlfn.XLOOKUP(tblOrdenes[[#This Row],[puesto_trabajo]],tblPuestos[codigo],tblPuestos[especialidad],"(sin catálogo)"))</f>
        <v/>
      </c>
      <c r="Y389" s="3">
        <f>IF(tblOrdenes[[#This Row],[cod_actividad]]="","",_xlfn.XLOOKUP(tblOrdenes[[#This Row],[cod_actividad]],tblActividades[codigo],tblActividades[descripcion],"(sin catálogo)"))</f>
        <v/>
      </c>
      <c r="Z389" s="12">
        <f>IF(tblOrdenes[[#This Row],[fecha_inicio]]="","",TODAY()-tblOrdenes[[#This Row],[fecha_inicio]])</f>
        <v/>
      </c>
      <c r="AA389" s="3">
        <f>IF(tblOrdenes[[#This Row],[backlog_dias]]="","",IF(tblOrdenes[[#This Row],[backlog_dias]]&lt;0,"FUTURO",IF(tblOrdenes[[#This Row],[backlog_dias]]&gt;p_dias_backlog_max,"BACKLOG","MES CORRIENTE")))</f>
        <v/>
      </c>
      <c r="AB389" s="3">
        <f>IF(tblOrdenes[[#This Row],[backlog_dias]]="",FALSE,AND(tblOrdenes[[#This Row],[backlog_dias]]&gt;p_dias_backlog_min,tblOrdenes[[#This Row],[backlog_dias]]&lt;=p_dias_backlog_max))</f>
        <v/>
      </c>
      <c r="AC389" s="6" t="n"/>
      <c r="AD3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89" s="10">
        <f>IF(tblOrdenes[[#This Row],[orden]]="","",_xlfn.XLOOKUP(tblOrdenes[[#This Row],[id_operacion]],tblEjecucion[id_operacion],tblEjecucion[precio],0))</f>
        <v/>
      </c>
      <c r="AH389" s="10">
        <f>IF(tblOrdenes[[#This Row],[orden]]="","",MAX(0,_xlfn.XLOOKUP(tblOrdenes[[#This Row],[id_operacion]],tblEjecucion[id_operacion],tblEjecucion[costo_plan_total],0)-tblOrdenes[[#This Row],[costo_servicio]]))</f>
        <v/>
      </c>
      <c r="AI389" s="10">
        <f>IF(tblOrdenes[[#This Row],[orden]]="","",tblOrdenes[[#This Row],[costo_servicio]]+tblOrdenes[[#This Row],[costo_materiales]])</f>
        <v/>
      </c>
      <c r="AJ389" s="6" t="n"/>
      <c r="AK389" s="6" t="n"/>
      <c r="AL389" s="6" t="n"/>
      <c r="AM389" s="3">
        <f>IF(tblOrdenes[[#This Row],[link_checklist]]="","",HYPERLINK(p_ruta_base_checklists&amp;tblOrdenes[[#This Row],[link_checklist]],"abrir"))</f>
        <v/>
      </c>
      <c r="AN389" s="6" t="n"/>
      <c r="AO389" s="3">
        <f>IF(tblOrdenes[[#This Row],[orden]]="","",tblOrdenes[[#This Row],[orden]]&amp;IF(tblOrdenes[[#This Row],[operacion]]="","0010",tblOrdenes[[#This Row],[operacion]]))</f>
        <v/>
      </c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11" t="n"/>
      <c r="K390" s="3" t="n"/>
      <c r="L390" s="10" t="n"/>
      <c r="M390" s="6" t="n"/>
      <c r="N3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90" s="3">
        <f>IF(tblOrdenes[[#This Row],[fecha_inicio]]="","",YEAR(tblOrdenes[[#This Row],[fecha_inicio]]))</f>
        <v/>
      </c>
      <c r="R390" s="3">
        <f>IF(tblOrdenes[[#This Row],[fecha_inicio]]="","",MONTH(tblOrdenes[[#This Row],[fecha_inicio]]))</f>
        <v/>
      </c>
      <c r="S390" s="3">
        <f>IF(tblOrdenes[[#This Row],[fecha_inicio]]="","",INDEX(lista_dias,WEEKDAY(tblOrdenes[[#This Row],[fecha_inicio]],2)))</f>
        <v/>
      </c>
      <c r="T390" s="3">
        <f>IF(tblOrdenes[[#This Row],[tipo_ot]]="","",_xlfn.XLOOKUP(tblOrdenes[[#This Row],[tipo_ot]],tblTiposOT[codigo],tblTiposOT[clasificacion],"sin_clasificar"))</f>
        <v/>
      </c>
      <c r="U390" s="3">
        <f>IF(tblOrdenes[[#This Row],[centro_costo]]="","",_xlfn.XLOOKUP(tblOrdenes[[#This Row],[centro_costo]],tblCECO[codigo],tblCECO[linea],"(sin catálogo)"))</f>
        <v/>
      </c>
      <c r="V390" s="3">
        <f>IF(tblOrdenes[[#This Row],[centro_costo]]="","",_xlfn.XLOOKUP(tblOrdenes[[#This Row],[centro_costo]],tblCECO[codigo],tblCECO[area],"(sin catálogo)"))</f>
        <v/>
      </c>
      <c r="W390" s="3">
        <f>IF(tblOrdenes[[#This Row],[centro_costo]]="","",_xlfn.XLOOKUP(tblOrdenes[[#This Row],[centro_costo]],tblCECO[codigo],tblCECO[coordinador],"(sin catálogo)"))</f>
        <v/>
      </c>
      <c r="X390" s="3">
        <f>IF(tblOrdenes[[#This Row],[puesto_trabajo]]="","",_xlfn.XLOOKUP(tblOrdenes[[#This Row],[puesto_trabajo]],tblPuestos[codigo],tblPuestos[especialidad],"(sin catálogo)"))</f>
        <v/>
      </c>
      <c r="Y390" s="3">
        <f>IF(tblOrdenes[[#This Row],[cod_actividad]]="","",_xlfn.XLOOKUP(tblOrdenes[[#This Row],[cod_actividad]],tblActividades[codigo],tblActividades[descripcion],"(sin catálogo)"))</f>
        <v/>
      </c>
      <c r="Z390" s="12">
        <f>IF(tblOrdenes[[#This Row],[fecha_inicio]]="","",TODAY()-tblOrdenes[[#This Row],[fecha_inicio]])</f>
        <v/>
      </c>
      <c r="AA390" s="3">
        <f>IF(tblOrdenes[[#This Row],[backlog_dias]]="","",IF(tblOrdenes[[#This Row],[backlog_dias]]&lt;0,"FUTURO",IF(tblOrdenes[[#This Row],[backlog_dias]]&gt;p_dias_backlog_max,"BACKLOG","MES CORRIENTE")))</f>
        <v/>
      </c>
      <c r="AB390" s="3">
        <f>IF(tblOrdenes[[#This Row],[backlog_dias]]="",FALSE,AND(tblOrdenes[[#This Row],[backlog_dias]]&gt;p_dias_backlog_min,tblOrdenes[[#This Row],[backlog_dias]]&lt;=p_dias_backlog_max))</f>
        <v/>
      </c>
      <c r="AC390" s="6" t="n"/>
      <c r="AD3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90" s="10">
        <f>IF(tblOrdenes[[#This Row],[orden]]="","",_xlfn.XLOOKUP(tblOrdenes[[#This Row],[id_operacion]],tblEjecucion[id_operacion],tblEjecucion[precio],0))</f>
        <v/>
      </c>
      <c r="AH390" s="10">
        <f>IF(tblOrdenes[[#This Row],[orden]]="","",MAX(0,_xlfn.XLOOKUP(tblOrdenes[[#This Row],[id_operacion]],tblEjecucion[id_operacion],tblEjecucion[costo_plan_total],0)-tblOrdenes[[#This Row],[costo_servicio]]))</f>
        <v/>
      </c>
      <c r="AI390" s="10">
        <f>IF(tblOrdenes[[#This Row],[orden]]="","",tblOrdenes[[#This Row],[costo_servicio]]+tblOrdenes[[#This Row],[costo_materiales]])</f>
        <v/>
      </c>
      <c r="AJ390" s="6" t="n"/>
      <c r="AK390" s="6" t="n"/>
      <c r="AL390" s="6" t="n"/>
      <c r="AM390" s="3">
        <f>IF(tblOrdenes[[#This Row],[link_checklist]]="","",HYPERLINK(p_ruta_base_checklists&amp;tblOrdenes[[#This Row],[link_checklist]],"abrir"))</f>
        <v/>
      </c>
      <c r="AN390" s="6" t="n"/>
      <c r="AO390" s="3">
        <f>IF(tblOrdenes[[#This Row],[orden]]="","",tblOrdenes[[#This Row],[orden]]&amp;IF(tblOrdenes[[#This Row],[operacion]]="","0010",tblOrdenes[[#This Row],[operacion]]))</f>
        <v/>
      </c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11" t="n"/>
      <c r="K391" s="3" t="n"/>
      <c r="L391" s="10" t="n"/>
      <c r="M391" s="6" t="n"/>
      <c r="N3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91" s="3">
        <f>IF(tblOrdenes[[#This Row],[fecha_inicio]]="","",YEAR(tblOrdenes[[#This Row],[fecha_inicio]]))</f>
        <v/>
      </c>
      <c r="R391" s="3">
        <f>IF(tblOrdenes[[#This Row],[fecha_inicio]]="","",MONTH(tblOrdenes[[#This Row],[fecha_inicio]]))</f>
        <v/>
      </c>
      <c r="S391" s="3">
        <f>IF(tblOrdenes[[#This Row],[fecha_inicio]]="","",INDEX(lista_dias,WEEKDAY(tblOrdenes[[#This Row],[fecha_inicio]],2)))</f>
        <v/>
      </c>
      <c r="T391" s="3">
        <f>IF(tblOrdenes[[#This Row],[tipo_ot]]="","",_xlfn.XLOOKUP(tblOrdenes[[#This Row],[tipo_ot]],tblTiposOT[codigo],tblTiposOT[clasificacion],"sin_clasificar"))</f>
        <v/>
      </c>
      <c r="U391" s="3">
        <f>IF(tblOrdenes[[#This Row],[centro_costo]]="","",_xlfn.XLOOKUP(tblOrdenes[[#This Row],[centro_costo]],tblCECO[codigo],tblCECO[linea],"(sin catálogo)"))</f>
        <v/>
      </c>
      <c r="V391" s="3">
        <f>IF(tblOrdenes[[#This Row],[centro_costo]]="","",_xlfn.XLOOKUP(tblOrdenes[[#This Row],[centro_costo]],tblCECO[codigo],tblCECO[area],"(sin catálogo)"))</f>
        <v/>
      </c>
      <c r="W391" s="3">
        <f>IF(tblOrdenes[[#This Row],[centro_costo]]="","",_xlfn.XLOOKUP(tblOrdenes[[#This Row],[centro_costo]],tblCECO[codigo],tblCECO[coordinador],"(sin catálogo)"))</f>
        <v/>
      </c>
      <c r="X391" s="3">
        <f>IF(tblOrdenes[[#This Row],[puesto_trabajo]]="","",_xlfn.XLOOKUP(tblOrdenes[[#This Row],[puesto_trabajo]],tblPuestos[codigo],tblPuestos[especialidad],"(sin catálogo)"))</f>
        <v/>
      </c>
      <c r="Y391" s="3">
        <f>IF(tblOrdenes[[#This Row],[cod_actividad]]="","",_xlfn.XLOOKUP(tblOrdenes[[#This Row],[cod_actividad]],tblActividades[codigo],tblActividades[descripcion],"(sin catálogo)"))</f>
        <v/>
      </c>
      <c r="Z391" s="12">
        <f>IF(tblOrdenes[[#This Row],[fecha_inicio]]="","",TODAY()-tblOrdenes[[#This Row],[fecha_inicio]])</f>
        <v/>
      </c>
      <c r="AA391" s="3">
        <f>IF(tblOrdenes[[#This Row],[backlog_dias]]="","",IF(tblOrdenes[[#This Row],[backlog_dias]]&lt;0,"FUTURO",IF(tblOrdenes[[#This Row],[backlog_dias]]&gt;p_dias_backlog_max,"BACKLOG","MES CORRIENTE")))</f>
        <v/>
      </c>
      <c r="AB391" s="3">
        <f>IF(tblOrdenes[[#This Row],[backlog_dias]]="",FALSE,AND(tblOrdenes[[#This Row],[backlog_dias]]&gt;p_dias_backlog_min,tblOrdenes[[#This Row],[backlog_dias]]&lt;=p_dias_backlog_max))</f>
        <v/>
      </c>
      <c r="AC391" s="6" t="n"/>
      <c r="AD3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91" s="10">
        <f>IF(tblOrdenes[[#This Row],[orden]]="","",_xlfn.XLOOKUP(tblOrdenes[[#This Row],[id_operacion]],tblEjecucion[id_operacion],tblEjecucion[precio],0))</f>
        <v/>
      </c>
      <c r="AH391" s="10">
        <f>IF(tblOrdenes[[#This Row],[orden]]="","",MAX(0,_xlfn.XLOOKUP(tblOrdenes[[#This Row],[id_operacion]],tblEjecucion[id_operacion],tblEjecucion[costo_plan_total],0)-tblOrdenes[[#This Row],[costo_servicio]]))</f>
        <v/>
      </c>
      <c r="AI391" s="10">
        <f>IF(tblOrdenes[[#This Row],[orden]]="","",tblOrdenes[[#This Row],[costo_servicio]]+tblOrdenes[[#This Row],[costo_materiales]])</f>
        <v/>
      </c>
      <c r="AJ391" s="6" t="n"/>
      <c r="AK391" s="6" t="n"/>
      <c r="AL391" s="6" t="n"/>
      <c r="AM391" s="3">
        <f>IF(tblOrdenes[[#This Row],[link_checklist]]="","",HYPERLINK(p_ruta_base_checklists&amp;tblOrdenes[[#This Row],[link_checklist]],"abrir"))</f>
        <v/>
      </c>
      <c r="AN391" s="6" t="n"/>
      <c r="AO391" s="3">
        <f>IF(tblOrdenes[[#This Row],[orden]]="","",tblOrdenes[[#This Row],[orden]]&amp;IF(tblOrdenes[[#This Row],[operacion]]="","0010",tblOrdenes[[#This Row],[operacion]]))</f>
        <v/>
      </c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11" t="n"/>
      <c r="K392" s="3" t="n"/>
      <c r="L392" s="10" t="n"/>
      <c r="M392" s="6" t="n"/>
      <c r="N3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92" s="3">
        <f>IF(tblOrdenes[[#This Row],[fecha_inicio]]="","",YEAR(tblOrdenes[[#This Row],[fecha_inicio]]))</f>
        <v/>
      </c>
      <c r="R392" s="3">
        <f>IF(tblOrdenes[[#This Row],[fecha_inicio]]="","",MONTH(tblOrdenes[[#This Row],[fecha_inicio]]))</f>
        <v/>
      </c>
      <c r="S392" s="3">
        <f>IF(tblOrdenes[[#This Row],[fecha_inicio]]="","",INDEX(lista_dias,WEEKDAY(tblOrdenes[[#This Row],[fecha_inicio]],2)))</f>
        <v/>
      </c>
      <c r="T392" s="3">
        <f>IF(tblOrdenes[[#This Row],[tipo_ot]]="","",_xlfn.XLOOKUP(tblOrdenes[[#This Row],[tipo_ot]],tblTiposOT[codigo],tblTiposOT[clasificacion],"sin_clasificar"))</f>
        <v/>
      </c>
      <c r="U392" s="3">
        <f>IF(tblOrdenes[[#This Row],[centro_costo]]="","",_xlfn.XLOOKUP(tblOrdenes[[#This Row],[centro_costo]],tblCECO[codigo],tblCECO[linea],"(sin catálogo)"))</f>
        <v/>
      </c>
      <c r="V392" s="3">
        <f>IF(tblOrdenes[[#This Row],[centro_costo]]="","",_xlfn.XLOOKUP(tblOrdenes[[#This Row],[centro_costo]],tblCECO[codigo],tblCECO[area],"(sin catálogo)"))</f>
        <v/>
      </c>
      <c r="W392" s="3">
        <f>IF(tblOrdenes[[#This Row],[centro_costo]]="","",_xlfn.XLOOKUP(tblOrdenes[[#This Row],[centro_costo]],tblCECO[codigo],tblCECO[coordinador],"(sin catálogo)"))</f>
        <v/>
      </c>
      <c r="X392" s="3">
        <f>IF(tblOrdenes[[#This Row],[puesto_trabajo]]="","",_xlfn.XLOOKUP(tblOrdenes[[#This Row],[puesto_trabajo]],tblPuestos[codigo],tblPuestos[especialidad],"(sin catálogo)"))</f>
        <v/>
      </c>
      <c r="Y392" s="3">
        <f>IF(tblOrdenes[[#This Row],[cod_actividad]]="","",_xlfn.XLOOKUP(tblOrdenes[[#This Row],[cod_actividad]],tblActividades[codigo],tblActividades[descripcion],"(sin catálogo)"))</f>
        <v/>
      </c>
      <c r="Z392" s="12">
        <f>IF(tblOrdenes[[#This Row],[fecha_inicio]]="","",TODAY()-tblOrdenes[[#This Row],[fecha_inicio]])</f>
        <v/>
      </c>
      <c r="AA392" s="3">
        <f>IF(tblOrdenes[[#This Row],[backlog_dias]]="","",IF(tblOrdenes[[#This Row],[backlog_dias]]&lt;0,"FUTURO",IF(tblOrdenes[[#This Row],[backlog_dias]]&gt;p_dias_backlog_max,"BACKLOG","MES CORRIENTE")))</f>
        <v/>
      </c>
      <c r="AB392" s="3">
        <f>IF(tblOrdenes[[#This Row],[backlog_dias]]="",FALSE,AND(tblOrdenes[[#This Row],[backlog_dias]]&gt;p_dias_backlog_min,tblOrdenes[[#This Row],[backlog_dias]]&lt;=p_dias_backlog_max))</f>
        <v/>
      </c>
      <c r="AC392" s="6" t="n"/>
      <c r="AD3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92" s="10">
        <f>IF(tblOrdenes[[#This Row],[orden]]="","",_xlfn.XLOOKUP(tblOrdenes[[#This Row],[id_operacion]],tblEjecucion[id_operacion],tblEjecucion[precio],0))</f>
        <v/>
      </c>
      <c r="AH392" s="10">
        <f>IF(tblOrdenes[[#This Row],[orden]]="","",MAX(0,_xlfn.XLOOKUP(tblOrdenes[[#This Row],[id_operacion]],tblEjecucion[id_operacion],tblEjecucion[costo_plan_total],0)-tblOrdenes[[#This Row],[costo_servicio]]))</f>
        <v/>
      </c>
      <c r="AI392" s="10">
        <f>IF(tblOrdenes[[#This Row],[orden]]="","",tblOrdenes[[#This Row],[costo_servicio]]+tblOrdenes[[#This Row],[costo_materiales]])</f>
        <v/>
      </c>
      <c r="AJ392" s="6" t="n"/>
      <c r="AK392" s="6" t="n"/>
      <c r="AL392" s="6" t="n"/>
      <c r="AM392" s="3">
        <f>IF(tblOrdenes[[#This Row],[link_checklist]]="","",HYPERLINK(p_ruta_base_checklists&amp;tblOrdenes[[#This Row],[link_checklist]],"abrir"))</f>
        <v/>
      </c>
      <c r="AN392" s="6" t="n"/>
      <c r="AO392" s="3">
        <f>IF(tblOrdenes[[#This Row],[orden]]="","",tblOrdenes[[#This Row],[orden]]&amp;IF(tblOrdenes[[#This Row],[operacion]]="","0010",tblOrdenes[[#This Row],[operacion]]))</f>
        <v/>
      </c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11" t="n"/>
      <c r="K393" s="3" t="n"/>
      <c r="L393" s="10" t="n"/>
      <c r="M393" s="6" t="n"/>
      <c r="N3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93" s="3">
        <f>IF(tblOrdenes[[#This Row],[fecha_inicio]]="","",YEAR(tblOrdenes[[#This Row],[fecha_inicio]]))</f>
        <v/>
      </c>
      <c r="R393" s="3">
        <f>IF(tblOrdenes[[#This Row],[fecha_inicio]]="","",MONTH(tblOrdenes[[#This Row],[fecha_inicio]]))</f>
        <v/>
      </c>
      <c r="S393" s="3">
        <f>IF(tblOrdenes[[#This Row],[fecha_inicio]]="","",INDEX(lista_dias,WEEKDAY(tblOrdenes[[#This Row],[fecha_inicio]],2)))</f>
        <v/>
      </c>
      <c r="T393" s="3">
        <f>IF(tblOrdenes[[#This Row],[tipo_ot]]="","",_xlfn.XLOOKUP(tblOrdenes[[#This Row],[tipo_ot]],tblTiposOT[codigo],tblTiposOT[clasificacion],"sin_clasificar"))</f>
        <v/>
      </c>
      <c r="U393" s="3">
        <f>IF(tblOrdenes[[#This Row],[centro_costo]]="","",_xlfn.XLOOKUP(tblOrdenes[[#This Row],[centro_costo]],tblCECO[codigo],tblCECO[linea],"(sin catálogo)"))</f>
        <v/>
      </c>
      <c r="V393" s="3">
        <f>IF(tblOrdenes[[#This Row],[centro_costo]]="","",_xlfn.XLOOKUP(tblOrdenes[[#This Row],[centro_costo]],tblCECO[codigo],tblCECO[area],"(sin catálogo)"))</f>
        <v/>
      </c>
      <c r="W393" s="3">
        <f>IF(tblOrdenes[[#This Row],[centro_costo]]="","",_xlfn.XLOOKUP(tblOrdenes[[#This Row],[centro_costo]],tblCECO[codigo],tblCECO[coordinador],"(sin catálogo)"))</f>
        <v/>
      </c>
      <c r="X393" s="3">
        <f>IF(tblOrdenes[[#This Row],[puesto_trabajo]]="","",_xlfn.XLOOKUP(tblOrdenes[[#This Row],[puesto_trabajo]],tblPuestos[codigo],tblPuestos[especialidad],"(sin catálogo)"))</f>
        <v/>
      </c>
      <c r="Y393" s="3">
        <f>IF(tblOrdenes[[#This Row],[cod_actividad]]="","",_xlfn.XLOOKUP(tblOrdenes[[#This Row],[cod_actividad]],tblActividades[codigo],tblActividades[descripcion],"(sin catálogo)"))</f>
        <v/>
      </c>
      <c r="Z393" s="12">
        <f>IF(tblOrdenes[[#This Row],[fecha_inicio]]="","",TODAY()-tblOrdenes[[#This Row],[fecha_inicio]])</f>
        <v/>
      </c>
      <c r="AA393" s="3">
        <f>IF(tblOrdenes[[#This Row],[backlog_dias]]="","",IF(tblOrdenes[[#This Row],[backlog_dias]]&lt;0,"FUTURO",IF(tblOrdenes[[#This Row],[backlog_dias]]&gt;p_dias_backlog_max,"BACKLOG","MES CORRIENTE")))</f>
        <v/>
      </c>
      <c r="AB393" s="3">
        <f>IF(tblOrdenes[[#This Row],[backlog_dias]]="",FALSE,AND(tblOrdenes[[#This Row],[backlog_dias]]&gt;p_dias_backlog_min,tblOrdenes[[#This Row],[backlog_dias]]&lt;=p_dias_backlog_max))</f>
        <v/>
      </c>
      <c r="AC393" s="6" t="n"/>
      <c r="AD3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93" s="10">
        <f>IF(tblOrdenes[[#This Row],[orden]]="","",_xlfn.XLOOKUP(tblOrdenes[[#This Row],[id_operacion]],tblEjecucion[id_operacion],tblEjecucion[precio],0))</f>
        <v/>
      </c>
      <c r="AH393" s="10">
        <f>IF(tblOrdenes[[#This Row],[orden]]="","",MAX(0,_xlfn.XLOOKUP(tblOrdenes[[#This Row],[id_operacion]],tblEjecucion[id_operacion],tblEjecucion[costo_plan_total],0)-tblOrdenes[[#This Row],[costo_servicio]]))</f>
        <v/>
      </c>
      <c r="AI393" s="10">
        <f>IF(tblOrdenes[[#This Row],[orden]]="","",tblOrdenes[[#This Row],[costo_servicio]]+tblOrdenes[[#This Row],[costo_materiales]])</f>
        <v/>
      </c>
      <c r="AJ393" s="6" t="n"/>
      <c r="AK393" s="6" t="n"/>
      <c r="AL393" s="6" t="n"/>
      <c r="AM393" s="3">
        <f>IF(tblOrdenes[[#This Row],[link_checklist]]="","",HYPERLINK(p_ruta_base_checklists&amp;tblOrdenes[[#This Row],[link_checklist]],"abrir"))</f>
        <v/>
      </c>
      <c r="AN393" s="6" t="n"/>
      <c r="AO393" s="3">
        <f>IF(tblOrdenes[[#This Row],[orden]]="","",tblOrdenes[[#This Row],[orden]]&amp;IF(tblOrdenes[[#This Row],[operacion]]="","0010",tblOrdenes[[#This Row],[operacion]]))</f>
        <v/>
      </c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11" t="n"/>
      <c r="K394" s="3" t="n"/>
      <c r="L394" s="10" t="n"/>
      <c r="M394" s="6" t="n"/>
      <c r="N3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94" s="3">
        <f>IF(tblOrdenes[[#This Row],[fecha_inicio]]="","",YEAR(tblOrdenes[[#This Row],[fecha_inicio]]))</f>
        <v/>
      </c>
      <c r="R394" s="3">
        <f>IF(tblOrdenes[[#This Row],[fecha_inicio]]="","",MONTH(tblOrdenes[[#This Row],[fecha_inicio]]))</f>
        <v/>
      </c>
      <c r="S394" s="3">
        <f>IF(tblOrdenes[[#This Row],[fecha_inicio]]="","",INDEX(lista_dias,WEEKDAY(tblOrdenes[[#This Row],[fecha_inicio]],2)))</f>
        <v/>
      </c>
      <c r="T394" s="3">
        <f>IF(tblOrdenes[[#This Row],[tipo_ot]]="","",_xlfn.XLOOKUP(tblOrdenes[[#This Row],[tipo_ot]],tblTiposOT[codigo],tblTiposOT[clasificacion],"sin_clasificar"))</f>
        <v/>
      </c>
      <c r="U394" s="3">
        <f>IF(tblOrdenes[[#This Row],[centro_costo]]="","",_xlfn.XLOOKUP(tblOrdenes[[#This Row],[centro_costo]],tblCECO[codigo],tblCECO[linea],"(sin catálogo)"))</f>
        <v/>
      </c>
      <c r="V394" s="3">
        <f>IF(tblOrdenes[[#This Row],[centro_costo]]="","",_xlfn.XLOOKUP(tblOrdenes[[#This Row],[centro_costo]],tblCECO[codigo],tblCECO[area],"(sin catálogo)"))</f>
        <v/>
      </c>
      <c r="W394" s="3">
        <f>IF(tblOrdenes[[#This Row],[centro_costo]]="","",_xlfn.XLOOKUP(tblOrdenes[[#This Row],[centro_costo]],tblCECO[codigo],tblCECO[coordinador],"(sin catálogo)"))</f>
        <v/>
      </c>
      <c r="X394" s="3">
        <f>IF(tblOrdenes[[#This Row],[puesto_trabajo]]="","",_xlfn.XLOOKUP(tblOrdenes[[#This Row],[puesto_trabajo]],tblPuestos[codigo],tblPuestos[especialidad],"(sin catálogo)"))</f>
        <v/>
      </c>
      <c r="Y394" s="3">
        <f>IF(tblOrdenes[[#This Row],[cod_actividad]]="","",_xlfn.XLOOKUP(tblOrdenes[[#This Row],[cod_actividad]],tblActividades[codigo],tblActividades[descripcion],"(sin catálogo)"))</f>
        <v/>
      </c>
      <c r="Z394" s="12">
        <f>IF(tblOrdenes[[#This Row],[fecha_inicio]]="","",TODAY()-tblOrdenes[[#This Row],[fecha_inicio]])</f>
        <v/>
      </c>
      <c r="AA394" s="3">
        <f>IF(tblOrdenes[[#This Row],[backlog_dias]]="","",IF(tblOrdenes[[#This Row],[backlog_dias]]&lt;0,"FUTURO",IF(tblOrdenes[[#This Row],[backlog_dias]]&gt;p_dias_backlog_max,"BACKLOG","MES CORRIENTE")))</f>
        <v/>
      </c>
      <c r="AB394" s="3">
        <f>IF(tblOrdenes[[#This Row],[backlog_dias]]="",FALSE,AND(tblOrdenes[[#This Row],[backlog_dias]]&gt;p_dias_backlog_min,tblOrdenes[[#This Row],[backlog_dias]]&lt;=p_dias_backlog_max))</f>
        <v/>
      </c>
      <c r="AC394" s="6" t="n"/>
      <c r="AD3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94" s="10">
        <f>IF(tblOrdenes[[#This Row],[orden]]="","",_xlfn.XLOOKUP(tblOrdenes[[#This Row],[id_operacion]],tblEjecucion[id_operacion],tblEjecucion[precio],0))</f>
        <v/>
      </c>
      <c r="AH394" s="10">
        <f>IF(tblOrdenes[[#This Row],[orden]]="","",MAX(0,_xlfn.XLOOKUP(tblOrdenes[[#This Row],[id_operacion]],tblEjecucion[id_operacion],tblEjecucion[costo_plan_total],0)-tblOrdenes[[#This Row],[costo_servicio]]))</f>
        <v/>
      </c>
      <c r="AI394" s="10">
        <f>IF(tblOrdenes[[#This Row],[orden]]="","",tblOrdenes[[#This Row],[costo_servicio]]+tblOrdenes[[#This Row],[costo_materiales]])</f>
        <v/>
      </c>
      <c r="AJ394" s="6" t="n"/>
      <c r="AK394" s="6" t="n"/>
      <c r="AL394" s="6" t="n"/>
      <c r="AM394" s="3">
        <f>IF(tblOrdenes[[#This Row],[link_checklist]]="","",HYPERLINK(p_ruta_base_checklists&amp;tblOrdenes[[#This Row],[link_checklist]],"abrir"))</f>
        <v/>
      </c>
      <c r="AN394" s="6" t="n"/>
      <c r="AO394" s="3">
        <f>IF(tblOrdenes[[#This Row],[orden]]="","",tblOrdenes[[#This Row],[orden]]&amp;IF(tblOrdenes[[#This Row],[operacion]]="","0010",tblOrdenes[[#This Row],[operacion]]))</f>
        <v/>
      </c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11" t="n"/>
      <c r="K395" s="3" t="n"/>
      <c r="L395" s="10" t="n"/>
      <c r="M395" s="6" t="n"/>
      <c r="N3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95" s="3">
        <f>IF(tblOrdenes[[#This Row],[fecha_inicio]]="","",YEAR(tblOrdenes[[#This Row],[fecha_inicio]]))</f>
        <v/>
      </c>
      <c r="R395" s="3">
        <f>IF(tblOrdenes[[#This Row],[fecha_inicio]]="","",MONTH(tblOrdenes[[#This Row],[fecha_inicio]]))</f>
        <v/>
      </c>
      <c r="S395" s="3">
        <f>IF(tblOrdenes[[#This Row],[fecha_inicio]]="","",INDEX(lista_dias,WEEKDAY(tblOrdenes[[#This Row],[fecha_inicio]],2)))</f>
        <v/>
      </c>
      <c r="T395" s="3">
        <f>IF(tblOrdenes[[#This Row],[tipo_ot]]="","",_xlfn.XLOOKUP(tblOrdenes[[#This Row],[tipo_ot]],tblTiposOT[codigo],tblTiposOT[clasificacion],"sin_clasificar"))</f>
        <v/>
      </c>
      <c r="U395" s="3">
        <f>IF(tblOrdenes[[#This Row],[centro_costo]]="","",_xlfn.XLOOKUP(tblOrdenes[[#This Row],[centro_costo]],tblCECO[codigo],tblCECO[linea],"(sin catálogo)"))</f>
        <v/>
      </c>
      <c r="V395" s="3">
        <f>IF(tblOrdenes[[#This Row],[centro_costo]]="","",_xlfn.XLOOKUP(tblOrdenes[[#This Row],[centro_costo]],tblCECO[codigo],tblCECO[area],"(sin catálogo)"))</f>
        <v/>
      </c>
      <c r="W395" s="3">
        <f>IF(tblOrdenes[[#This Row],[centro_costo]]="","",_xlfn.XLOOKUP(tblOrdenes[[#This Row],[centro_costo]],tblCECO[codigo],tblCECO[coordinador],"(sin catálogo)"))</f>
        <v/>
      </c>
      <c r="X395" s="3">
        <f>IF(tblOrdenes[[#This Row],[puesto_trabajo]]="","",_xlfn.XLOOKUP(tblOrdenes[[#This Row],[puesto_trabajo]],tblPuestos[codigo],tblPuestos[especialidad],"(sin catálogo)"))</f>
        <v/>
      </c>
      <c r="Y395" s="3">
        <f>IF(tblOrdenes[[#This Row],[cod_actividad]]="","",_xlfn.XLOOKUP(tblOrdenes[[#This Row],[cod_actividad]],tblActividades[codigo],tblActividades[descripcion],"(sin catálogo)"))</f>
        <v/>
      </c>
      <c r="Z395" s="12">
        <f>IF(tblOrdenes[[#This Row],[fecha_inicio]]="","",TODAY()-tblOrdenes[[#This Row],[fecha_inicio]])</f>
        <v/>
      </c>
      <c r="AA395" s="3">
        <f>IF(tblOrdenes[[#This Row],[backlog_dias]]="","",IF(tblOrdenes[[#This Row],[backlog_dias]]&lt;0,"FUTURO",IF(tblOrdenes[[#This Row],[backlog_dias]]&gt;p_dias_backlog_max,"BACKLOG","MES CORRIENTE")))</f>
        <v/>
      </c>
      <c r="AB395" s="3">
        <f>IF(tblOrdenes[[#This Row],[backlog_dias]]="",FALSE,AND(tblOrdenes[[#This Row],[backlog_dias]]&gt;p_dias_backlog_min,tblOrdenes[[#This Row],[backlog_dias]]&lt;=p_dias_backlog_max))</f>
        <v/>
      </c>
      <c r="AC395" s="6" t="n"/>
      <c r="AD3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95" s="10">
        <f>IF(tblOrdenes[[#This Row],[orden]]="","",_xlfn.XLOOKUP(tblOrdenes[[#This Row],[id_operacion]],tblEjecucion[id_operacion],tblEjecucion[precio],0))</f>
        <v/>
      </c>
      <c r="AH395" s="10">
        <f>IF(tblOrdenes[[#This Row],[orden]]="","",MAX(0,_xlfn.XLOOKUP(tblOrdenes[[#This Row],[id_operacion]],tblEjecucion[id_operacion],tblEjecucion[costo_plan_total],0)-tblOrdenes[[#This Row],[costo_servicio]]))</f>
        <v/>
      </c>
      <c r="AI395" s="10">
        <f>IF(tblOrdenes[[#This Row],[orden]]="","",tblOrdenes[[#This Row],[costo_servicio]]+tblOrdenes[[#This Row],[costo_materiales]])</f>
        <v/>
      </c>
      <c r="AJ395" s="6" t="n"/>
      <c r="AK395" s="6" t="n"/>
      <c r="AL395" s="6" t="n"/>
      <c r="AM395" s="3">
        <f>IF(tblOrdenes[[#This Row],[link_checklist]]="","",HYPERLINK(p_ruta_base_checklists&amp;tblOrdenes[[#This Row],[link_checklist]],"abrir"))</f>
        <v/>
      </c>
      <c r="AN395" s="6" t="n"/>
      <c r="AO395" s="3">
        <f>IF(tblOrdenes[[#This Row],[orden]]="","",tblOrdenes[[#This Row],[orden]]&amp;IF(tblOrdenes[[#This Row],[operacion]]="","0010",tblOrdenes[[#This Row],[operacion]]))</f>
        <v/>
      </c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11" t="n"/>
      <c r="K396" s="3" t="n"/>
      <c r="L396" s="10" t="n"/>
      <c r="M396" s="6" t="n"/>
      <c r="N3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96" s="3">
        <f>IF(tblOrdenes[[#This Row],[fecha_inicio]]="","",YEAR(tblOrdenes[[#This Row],[fecha_inicio]]))</f>
        <v/>
      </c>
      <c r="R396" s="3">
        <f>IF(tblOrdenes[[#This Row],[fecha_inicio]]="","",MONTH(tblOrdenes[[#This Row],[fecha_inicio]]))</f>
        <v/>
      </c>
      <c r="S396" s="3">
        <f>IF(tblOrdenes[[#This Row],[fecha_inicio]]="","",INDEX(lista_dias,WEEKDAY(tblOrdenes[[#This Row],[fecha_inicio]],2)))</f>
        <v/>
      </c>
      <c r="T396" s="3">
        <f>IF(tblOrdenes[[#This Row],[tipo_ot]]="","",_xlfn.XLOOKUP(tblOrdenes[[#This Row],[tipo_ot]],tblTiposOT[codigo],tblTiposOT[clasificacion],"sin_clasificar"))</f>
        <v/>
      </c>
      <c r="U396" s="3">
        <f>IF(tblOrdenes[[#This Row],[centro_costo]]="","",_xlfn.XLOOKUP(tblOrdenes[[#This Row],[centro_costo]],tblCECO[codigo],tblCECO[linea],"(sin catálogo)"))</f>
        <v/>
      </c>
      <c r="V396" s="3">
        <f>IF(tblOrdenes[[#This Row],[centro_costo]]="","",_xlfn.XLOOKUP(tblOrdenes[[#This Row],[centro_costo]],tblCECO[codigo],tblCECO[area],"(sin catálogo)"))</f>
        <v/>
      </c>
      <c r="W396" s="3">
        <f>IF(tblOrdenes[[#This Row],[centro_costo]]="","",_xlfn.XLOOKUP(tblOrdenes[[#This Row],[centro_costo]],tblCECO[codigo],tblCECO[coordinador],"(sin catálogo)"))</f>
        <v/>
      </c>
      <c r="X396" s="3">
        <f>IF(tblOrdenes[[#This Row],[puesto_trabajo]]="","",_xlfn.XLOOKUP(tblOrdenes[[#This Row],[puesto_trabajo]],tblPuestos[codigo],tblPuestos[especialidad],"(sin catálogo)"))</f>
        <v/>
      </c>
      <c r="Y396" s="3">
        <f>IF(tblOrdenes[[#This Row],[cod_actividad]]="","",_xlfn.XLOOKUP(tblOrdenes[[#This Row],[cod_actividad]],tblActividades[codigo],tblActividades[descripcion],"(sin catálogo)"))</f>
        <v/>
      </c>
      <c r="Z396" s="12">
        <f>IF(tblOrdenes[[#This Row],[fecha_inicio]]="","",TODAY()-tblOrdenes[[#This Row],[fecha_inicio]])</f>
        <v/>
      </c>
      <c r="AA396" s="3">
        <f>IF(tblOrdenes[[#This Row],[backlog_dias]]="","",IF(tblOrdenes[[#This Row],[backlog_dias]]&lt;0,"FUTURO",IF(tblOrdenes[[#This Row],[backlog_dias]]&gt;p_dias_backlog_max,"BACKLOG","MES CORRIENTE")))</f>
        <v/>
      </c>
      <c r="AB396" s="3">
        <f>IF(tblOrdenes[[#This Row],[backlog_dias]]="",FALSE,AND(tblOrdenes[[#This Row],[backlog_dias]]&gt;p_dias_backlog_min,tblOrdenes[[#This Row],[backlog_dias]]&lt;=p_dias_backlog_max))</f>
        <v/>
      </c>
      <c r="AC396" s="6" t="n"/>
      <c r="AD3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96" s="10">
        <f>IF(tblOrdenes[[#This Row],[orden]]="","",_xlfn.XLOOKUP(tblOrdenes[[#This Row],[id_operacion]],tblEjecucion[id_operacion],tblEjecucion[precio],0))</f>
        <v/>
      </c>
      <c r="AH396" s="10">
        <f>IF(tblOrdenes[[#This Row],[orden]]="","",MAX(0,_xlfn.XLOOKUP(tblOrdenes[[#This Row],[id_operacion]],tblEjecucion[id_operacion],tblEjecucion[costo_plan_total],0)-tblOrdenes[[#This Row],[costo_servicio]]))</f>
        <v/>
      </c>
      <c r="AI396" s="10">
        <f>IF(tblOrdenes[[#This Row],[orden]]="","",tblOrdenes[[#This Row],[costo_servicio]]+tblOrdenes[[#This Row],[costo_materiales]])</f>
        <v/>
      </c>
      <c r="AJ396" s="6" t="n"/>
      <c r="AK396" s="6" t="n"/>
      <c r="AL396" s="6" t="n"/>
      <c r="AM396" s="3">
        <f>IF(tblOrdenes[[#This Row],[link_checklist]]="","",HYPERLINK(p_ruta_base_checklists&amp;tblOrdenes[[#This Row],[link_checklist]],"abrir"))</f>
        <v/>
      </c>
      <c r="AN396" s="6" t="n"/>
      <c r="AO396" s="3">
        <f>IF(tblOrdenes[[#This Row],[orden]]="","",tblOrdenes[[#This Row],[orden]]&amp;IF(tblOrdenes[[#This Row],[operacion]]="","0010",tblOrdenes[[#This Row],[operacion]]))</f>
        <v/>
      </c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11" t="n"/>
      <c r="K397" s="3" t="n"/>
      <c r="L397" s="10" t="n"/>
      <c r="M397" s="6" t="n"/>
      <c r="N3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97" s="3">
        <f>IF(tblOrdenes[[#This Row],[fecha_inicio]]="","",YEAR(tblOrdenes[[#This Row],[fecha_inicio]]))</f>
        <v/>
      </c>
      <c r="R397" s="3">
        <f>IF(tblOrdenes[[#This Row],[fecha_inicio]]="","",MONTH(tblOrdenes[[#This Row],[fecha_inicio]]))</f>
        <v/>
      </c>
      <c r="S397" s="3">
        <f>IF(tblOrdenes[[#This Row],[fecha_inicio]]="","",INDEX(lista_dias,WEEKDAY(tblOrdenes[[#This Row],[fecha_inicio]],2)))</f>
        <v/>
      </c>
      <c r="T397" s="3">
        <f>IF(tblOrdenes[[#This Row],[tipo_ot]]="","",_xlfn.XLOOKUP(tblOrdenes[[#This Row],[tipo_ot]],tblTiposOT[codigo],tblTiposOT[clasificacion],"sin_clasificar"))</f>
        <v/>
      </c>
      <c r="U397" s="3">
        <f>IF(tblOrdenes[[#This Row],[centro_costo]]="","",_xlfn.XLOOKUP(tblOrdenes[[#This Row],[centro_costo]],tblCECO[codigo],tblCECO[linea],"(sin catálogo)"))</f>
        <v/>
      </c>
      <c r="V397" s="3">
        <f>IF(tblOrdenes[[#This Row],[centro_costo]]="","",_xlfn.XLOOKUP(tblOrdenes[[#This Row],[centro_costo]],tblCECO[codigo],tblCECO[area],"(sin catálogo)"))</f>
        <v/>
      </c>
      <c r="W397" s="3">
        <f>IF(tblOrdenes[[#This Row],[centro_costo]]="","",_xlfn.XLOOKUP(tblOrdenes[[#This Row],[centro_costo]],tblCECO[codigo],tblCECO[coordinador],"(sin catálogo)"))</f>
        <v/>
      </c>
      <c r="X397" s="3">
        <f>IF(tblOrdenes[[#This Row],[puesto_trabajo]]="","",_xlfn.XLOOKUP(tblOrdenes[[#This Row],[puesto_trabajo]],tblPuestos[codigo],tblPuestos[especialidad],"(sin catálogo)"))</f>
        <v/>
      </c>
      <c r="Y397" s="3">
        <f>IF(tblOrdenes[[#This Row],[cod_actividad]]="","",_xlfn.XLOOKUP(tblOrdenes[[#This Row],[cod_actividad]],tblActividades[codigo],tblActividades[descripcion],"(sin catálogo)"))</f>
        <v/>
      </c>
      <c r="Z397" s="12">
        <f>IF(tblOrdenes[[#This Row],[fecha_inicio]]="","",TODAY()-tblOrdenes[[#This Row],[fecha_inicio]])</f>
        <v/>
      </c>
      <c r="AA397" s="3">
        <f>IF(tblOrdenes[[#This Row],[backlog_dias]]="","",IF(tblOrdenes[[#This Row],[backlog_dias]]&lt;0,"FUTURO",IF(tblOrdenes[[#This Row],[backlog_dias]]&gt;p_dias_backlog_max,"BACKLOG","MES CORRIENTE")))</f>
        <v/>
      </c>
      <c r="AB397" s="3">
        <f>IF(tblOrdenes[[#This Row],[backlog_dias]]="",FALSE,AND(tblOrdenes[[#This Row],[backlog_dias]]&gt;p_dias_backlog_min,tblOrdenes[[#This Row],[backlog_dias]]&lt;=p_dias_backlog_max))</f>
        <v/>
      </c>
      <c r="AC397" s="6" t="n"/>
      <c r="AD3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97" s="10">
        <f>IF(tblOrdenes[[#This Row],[orden]]="","",_xlfn.XLOOKUP(tblOrdenes[[#This Row],[id_operacion]],tblEjecucion[id_operacion],tblEjecucion[precio],0))</f>
        <v/>
      </c>
      <c r="AH397" s="10">
        <f>IF(tblOrdenes[[#This Row],[orden]]="","",MAX(0,_xlfn.XLOOKUP(tblOrdenes[[#This Row],[id_operacion]],tblEjecucion[id_operacion],tblEjecucion[costo_plan_total],0)-tblOrdenes[[#This Row],[costo_servicio]]))</f>
        <v/>
      </c>
      <c r="AI397" s="10">
        <f>IF(tblOrdenes[[#This Row],[orden]]="","",tblOrdenes[[#This Row],[costo_servicio]]+tblOrdenes[[#This Row],[costo_materiales]])</f>
        <v/>
      </c>
      <c r="AJ397" s="6" t="n"/>
      <c r="AK397" s="6" t="n"/>
      <c r="AL397" s="6" t="n"/>
      <c r="AM397" s="3">
        <f>IF(tblOrdenes[[#This Row],[link_checklist]]="","",HYPERLINK(p_ruta_base_checklists&amp;tblOrdenes[[#This Row],[link_checklist]],"abrir"))</f>
        <v/>
      </c>
      <c r="AN397" s="6" t="n"/>
      <c r="AO397" s="3">
        <f>IF(tblOrdenes[[#This Row],[orden]]="","",tblOrdenes[[#This Row],[orden]]&amp;IF(tblOrdenes[[#This Row],[operacion]]="","0010",tblOrdenes[[#This Row],[operacion]]))</f>
        <v/>
      </c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11" t="n"/>
      <c r="K398" s="3" t="n"/>
      <c r="L398" s="10" t="n"/>
      <c r="M398" s="6" t="n"/>
      <c r="N3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98" s="3">
        <f>IF(tblOrdenes[[#This Row],[fecha_inicio]]="","",YEAR(tblOrdenes[[#This Row],[fecha_inicio]]))</f>
        <v/>
      </c>
      <c r="R398" s="3">
        <f>IF(tblOrdenes[[#This Row],[fecha_inicio]]="","",MONTH(tblOrdenes[[#This Row],[fecha_inicio]]))</f>
        <v/>
      </c>
      <c r="S398" s="3">
        <f>IF(tblOrdenes[[#This Row],[fecha_inicio]]="","",INDEX(lista_dias,WEEKDAY(tblOrdenes[[#This Row],[fecha_inicio]],2)))</f>
        <v/>
      </c>
      <c r="T398" s="3">
        <f>IF(tblOrdenes[[#This Row],[tipo_ot]]="","",_xlfn.XLOOKUP(tblOrdenes[[#This Row],[tipo_ot]],tblTiposOT[codigo],tblTiposOT[clasificacion],"sin_clasificar"))</f>
        <v/>
      </c>
      <c r="U398" s="3">
        <f>IF(tblOrdenes[[#This Row],[centro_costo]]="","",_xlfn.XLOOKUP(tblOrdenes[[#This Row],[centro_costo]],tblCECO[codigo],tblCECO[linea],"(sin catálogo)"))</f>
        <v/>
      </c>
      <c r="V398" s="3">
        <f>IF(tblOrdenes[[#This Row],[centro_costo]]="","",_xlfn.XLOOKUP(tblOrdenes[[#This Row],[centro_costo]],tblCECO[codigo],tblCECO[area],"(sin catálogo)"))</f>
        <v/>
      </c>
      <c r="W398" s="3">
        <f>IF(tblOrdenes[[#This Row],[centro_costo]]="","",_xlfn.XLOOKUP(tblOrdenes[[#This Row],[centro_costo]],tblCECO[codigo],tblCECO[coordinador],"(sin catálogo)"))</f>
        <v/>
      </c>
      <c r="X398" s="3">
        <f>IF(tblOrdenes[[#This Row],[puesto_trabajo]]="","",_xlfn.XLOOKUP(tblOrdenes[[#This Row],[puesto_trabajo]],tblPuestos[codigo],tblPuestos[especialidad],"(sin catálogo)"))</f>
        <v/>
      </c>
      <c r="Y398" s="3">
        <f>IF(tblOrdenes[[#This Row],[cod_actividad]]="","",_xlfn.XLOOKUP(tblOrdenes[[#This Row],[cod_actividad]],tblActividades[codigo],tblActividades[descripcion],"(sin catálogo)"))</f>
        <v/>
      </c>
      <c r="Z398" s="12">
        <f>IF(tblOrdenes[[#This Row],[fecha_inicio]]="","",TODAY()-tblOrdenes[[#This Row],[fecha_inicio]])</f>
        <v/>
      </c>
      <c r="AA398" s="3">
        <f>IF(tblOrdenes[[#This Row],[backlog_dias]]="","",IF(tblOrdenes[[#This Row],[backlog_dias]]&lt;0,"FUTURO",IF(tblOrdenes[[#This Row],[backlog_dias]]&gt;p_dias_backlog_max,"BACKLOG","MES CORRIENTE")))</f>
        <v/>
      </c>
      <c r="AB398" s="3">
        <f>IF(tblOrdenes[[#This Row],[backlog_dias]]="",FALSE,AND(tblOrdenes[[#This Row],[backlog_dias]]&gt;p_dias_backlog_min,tblOrdenes[[#This Row],[backlog_dias]]&lt;=p_dias_backlog_max))</f>
        <v/>
      </c>
      <c r="AC398" s="6" t="n"/>
      <c r="AD3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98" s="10">
        <f>IF(tblOrdenes[[#This Row],[orden]]="","",_xlfn.XLOOKUP(tblOrdenes[[#This Row],[id_operacion]],tblEjecucion[id_operacion],tblEjecucion[precio],0))</f>
        <v/>
      </c>
      <c r="AH398" s="10">
        <f>IF(tblOrdenes[[#This Row],[orden]]="","",MAX(0,_xlfn.XLOOKUP(tblOrdenes[[#This Row],[id_operacion]],tblEjecucion[id_operacion],tblEjecucion[costo_plan_total],0)-tblOrdenes[[#This Row],[costo_servicio]]))</f>
        <v/>
      </c>
      <c r="AI398" s="10">
        <f>IF(tblOrdenes[[#This Row],[orden]]="","",tblOrdenes[[#This Row],[costo_servicio]]+tblOrdenes[[#This Row],[costo_materiales]])</f>
        <v/>
      </c>
      <c r="AJ398" s="6" t="n"/>
      <c r="AK398" s="6" t="n"/>
      <c r="AL398" s="6" t="n"/>
      <c r="AM398" s="3">
        <f>IF(tblOrdenes[[#This Row],[link_checklist]]="","",HYPERLINK(p_ruta_base_checklists&amp;tblOrdenes[[#This Row],[link_checklist]],"abrir"))</f>
        <v/>
      </c>
      <c r="AN398" s="6" t="n"/>
      <c r="AO398" s="3">
        <f>IF(tblOrdenes[[#This Row],[orden]]="","",tblOrdenes[[#This Row],[orden]]&amp;IF(tblOrdenes[[#This Row],[operacion]]="","0010",tblOrdenes[[#This Row],[operacion]]))</f>
        <v/>
      </c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11" t="n"/>
      <c r="K399" s="3" t="n"/>
      <c r="L399" s="10" t="n"/>
      <c r="M399" s="6" t="n"/>
      <c r="N3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3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3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399" s="3">
        <f>IF(tblOrdenes[[#This Row],[fecha_inicio]]="","",YEAR(tblOrdenes[[#This Row],[fecha_inicio]]))</f>
        <v/>
      </c>
      <c r="R399" s="3">
        <f>IF(tblOrdenes[[#This Row],[fecha_inicio]]="","",MONTH(tblOrdenes[[#This Row],[fecha_inicio]]))</f>
        <v/>
      </c>
      <c r="S399" s="3">
        <f>IF(tblOrdenes[[#This Row],[fecha_inicio]]="","",INDEX(lista_dias,WEEKDAY(tblOrdenes[[#This Row],[fecha_inicio]],2)))</f>
        <v/>
      </c>
      <c r="T399" s="3">
        <f>IF(tblOrdenes[[#This Row],[tipo_ot]]="","",_xlfn.XLOOKUP(tblOrdenes[[#This Row],[tipo_ot]],tblTiposOT[codigo],tblTiposOT[clasificacion],"sin_clasificar"))</f>
        <v/>
      </c>
      <c r="U399" s="3">
        <f>IF(tblOrdenes[[#This Row],[centro_costo]]="","",_xlfn.XLOOKUP(tblOrdenes[[#This Row],[centro_costo]],tblCECO[codigo],tblCECO[linea],"(sin catálogo)"))</f>
        <v/>
      </c>
      <c r="V399" s="3">
        <f>IF(tblOrdenes[[#This Row],[centro_costo]]="","",_xlfn.XLOOKUP(tblOrdenes[[#This Row],[centro_costo]],tblCECO[codigo],tblCECO[area],"(sin catálogo)"))</f>
        <v/>
      </c>
      <c r="W399" s="3">
        <f>IF(tblOrdenes[[#This Row],[centro_costo]]="","",_xlfn.XLOOKUP(tblOrdenes[[#This Row],[centro_costo]],tblCECO[codigo],tblCECO[coordinador],"(sin catálogo)"))</f>
        <v/>
      </c>
      <c r="X399" s="3">
        <f>IF(tblOrdenes[[#This Row],[puesto_trabajo]]="","",_xlfn.XLOOKUP(tblOrdenes[[#This Row],[puesto_trabajo]],tblPuestos[codigo],tblPuestos[especialidad],"(sin catálogo)"))</f>
        <v/>
      </c>
      <c r="Y399" s="3">
        <f>IF(tblOrdenes[[#This Row],[cod_actividad]]="","",_xlfn.XLOOKUP(tblOrdenes[[#This Row],[cod_actividad]],tblActividades[codigo],tblActividades[descripcion],"(sin catálogo)"))</f>
        <v/>
      </c>
      <c r="Z399" s="12">
        <f>IF(tblOrdenes[[#This Row],[fecha_inicio]]="","",TODAY()-tblOrdenes[[#This Row],[fecha_inicio]])</f>
        <v/>
      </c>
      <c r="AA399" s="3">
        <f>IF(tblOrdenes[[#This Row],[backlog_dias]]="","",IF(tblOrdenes[[#This Row],[backlog_dias]]&lt;0,"FUTURO",IF(tblOrdenes[[#This Row],[backlog_dias]]&gt;p_dias_backlog_max,"BACKLOG","MES CORRIENTE")))</f>
        <v/>
      </c>
      <c r="AB399" s="3">
        <f>IF(tblOrdenes[[#This Row],[backlog_dias]]="",FALSE,AND(tblOrdenes[[#This Row],[backlog_dias]]&gt;p_dias_backlog_min,tblOrdenes[[#This Row],[backlog_dias]]&lt;=p_dias_backlog_max))</f>
        <v/>
      </c>
      <c r="AC399" s="6" t="n"/>
      <c r="AD3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3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3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399" s="10">
        <f>IF(tblOrdenes[[#This Row],[orden]]="","",_xlfn.XLOOKUP(tblOrdenes[[#This Row],[id_operacion]],tblEjecucion[id_operacion],tblEjecucion[precio],0))</f>
        <v/>
      </c>
      <c r="AH399" s="10">
        <f>IF(tblOrdenes[[#This Row],[orden]]="","",MAX(0,_xlfn.XLOOKUP(tblOrdenes[[#This Row],[id_operacion]],tblEjecucion[id_operacion],tblEjecucion[costo_plan_total],0)-tblOrdenes[[#This Row],[costo_servicio]]))</f>
        <v/>
      </c>
      <c r="AI399" s="10">
        <f>IF(tblOrdenes[[#This Row],[orden]]="","",tblOrdenes[[#This Row],[costo_servicio]]+tblOrdenes[[#This Row],[costo_materiales]])</f>
        <v/>
      </c>
      <c r="AJ399" s="6" t="n"/>
      <c r="AK399" s="6" t="n"/>
      <c r="AL399" s="6" t="n"/>
      <c r="AM399" s="3">
        <f>IF(tblOrdenes[[#This Row],[link_checklist]]="","",HYPERLINK(p_ruta_base_checklists&amp;tblOrdenes[[#This Row],[link_checklist]],"abrir"))</f>
        <v/>
      </c>
      <c r="AN399" s="6" t="n"/>
      <c r="AO399" s="3">
        <f>IF(tblOrdenes[[#This Row],[orden]]="","",tblOrdenes[[#This Row],[orden]]&amp;IF(tblOrdenes[[#This Row],[operacion]]="","0010",tblOrdenes[[#This Row],[operacion]]))</f>
        <v/>
      </c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11" t="n"/>
      <c r="K400" s="3" t="n"/>
      <c r="L400" s="10" t="n"/>
      <c r="M400" s="6" t="n"/>
      <c r="N4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00" s="3">
        <f>IF(tblOrdenes[[#This Row],[fecha_inicio]]="","",YEAR(tblOrdenes[[#This Row],[fecha_inicio]]))</f>
        <v/>
      </c>
      <c r="R400" s="3">
        <f>IF(tblOrdenes[[#This Row],[fecha_inicio]]="","",MONTH(tblOrdenes[[#This Row],[fecha_inicio]]))</f>
        <v/>
      </c>
      <c r="S400" s="3">
        <f>IF(tblOrdenes[[#This Row],[fecha_inicio]]="","",INDEX(lista_dias,WEEKDAY(tblOrdenes[[#This Row],[fecha_inicio]],2)))</f>
        <v/>
      </c>
      <c r="T400" s="3">
        <f>IF(tblOrdenes[[#This Row],[tipo_ot]]="","",_xlfn.XLOOKUP(tblOrdenes[[#This Row],[tipo_ot]],tblTiposOT[codigo],tblTiposOT[clasificacion],"sin_clasificar"))</f>
        <v/>
      </c>
      <c r="U400" s="3">
        <f>IF(tblOrdenes[[#This Row],[centro_costo]]="","",_xlfn.XLOOKUP(tblOrdenes[[#This Row],[centro_costo]],tblCECO[codigo],tblCECO[linea],"(sin catálogo)"))</f>
        <v/>
      </c>
      <c r="V400" s="3">
        <f>IF(tblOrdenes[[#This Row],[centro_costo]]="","",_xlfn.XLOOKUP(tblOrdenes[[#This Row],[centro_costo]],tblCECO[codigo],tblCECO[area],"(sin catálogo)"))</f>
        <v/>
      </c>
      <c r="W400" s="3">
        <f>IF(tblOrdenes[[#This Row],[centro_costo]]="","",_xlfn.XLOOKUP(tblOrdenes[[#This Row],[centro_costo]],tblCECO[codigo],tblCECO[coordinador],"(sin catálogo)"))</f>
        <v/>
      </c>
      <c r="X400" s="3">
        <f>IF(tblOrdenes[[#This Row],[puesto_trabajo]]="","",_xlfn.XLOOKUP(tblOrdenes[[#This Row],[puesto_trabajo]],tblPuestos[codigo],tblPuestos[especialidad],"(sin catálogo)"))</f>
        <v/>
      </c>
      <c r="Y400" s="3">
        <f>IF(tblOrdenes[[#This Row],[cod_actividad]]="","",_xlfn.XLOOKUP(tblOrdenes[[#This Row],[cod_actividad]],tblActividades[codigo],tblActividades[descripcion],"(sin catálogo)"))</f>
        <v/>
      </c>
      <c r="Z400" s="12">
        <f>IF(tblOrdenes[[#This Row],[fecha_inicio]]="","",TODAY()-tblOrdenes[[#This Row],[fecha_inicio]])</f>
        <v/>
      </c>
      <c r="AA400" s="3">
        <f>IF(tblOrdenes[[#This Row],[backlog_dias]]="","",IF(tblOrdenes[[#This Row],[backlog_dias]]&lt;0,"FUTURO",IF(tblOrdenes[[#This Row],[backlog_dias]]&gt;p_dias_backlog_max,"BACKLOG","MES CORRIENTE")))</f>
        <v/>
      </c>
      <c r="AB400" s="3">
        <f>IF(tblOrdenes[[#This Row],[backlog_dias]]="",FALSE,AND(tblOrdenes[[#This Row],[backlog_dias]]&gt;p_dias_backlog_min,tblOrdenes[[#This Row],[backlog_dias]]&lt;=p_dias_backlog_max))</f>
        <v/>
      </c>
      <c r="AC400" s="6" t="n"/>
      <c r="AD4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00" s="10">
        <f>IF(tblOrdenes[[#This Row],[orden]]="","",_xlfn.XLOOKUP(tblOrdenes[[#This Row],[id_operacion]],tblEjecucion[id_operacion],tblEjecucion[precio],0))</f>
        <v/>
      </c>
      <c r="AH400" s="10">
        <f>IF(tblOrdenes[[#This Row],[orden]]="","",MAX(0,_xlfn.XLOOKUP(tblOrdenes[[#This Row],[id_operacion]],tblEjecucion[id_operacion],tblEjecucion[costo_plan_total],0)-tblOrdenes[[#This Row],[costo_servicio]]))</f>
        <v/>
      </c>
      <c r="AI400" s="10">
        <f>IF(tblOrdenes[[#This Row],[orden]]="","",tblOrdenes[[#This Row],[costo_servicio]]+tblOrdenes[[#This Row],[costo_materiales]])</f>
        <v/>
      </c>
      <c r="AJ400" s="6" t="n"/>
      <c r="AK400" s="6" t="n"/>
      <c r="AL400" s="6" t="n"/>
      <c r="AM400" s="3">
        <f>IF(tblOrdenes[[#This Row],[link_checklist]]="","",HYPERLINK(p_ruta_base_checklists&amp;tblOrdenes[[#This Row],[link_checklist]],"abrir"))</f>
        <v/>
      </c>
      <c r="AN400" s="6" t="n"/>
      <c r="AO400" s="3">
        <f>IF(tblOrdenes[[#This Row],[orden]]="","",tblOrdenes[[#This Row],[orden]]&amp;IF(tblOrdenes[[#This Row],[operacion]]="","0010",tblOrdenes[[#This Row],[operacion]]))</f>
        <v/>
      </c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11" t="n"/>
      <c r="K401" s="3" t="n"/>
      <c r="L401" s="10" t="n"/>
      <c r="M401" s="6" t="n"/>
      <c r="N4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01" s="3">
        <f>IF(tblOrdenes[[#This Row],[fecha_inicio]]="","",YEAR(tblOrdenes[[#This Row],[fecha_inicio]]))</f>
        <v/>
      </c>
      <c r="R401" s="3">
        <f>IF(tblOrdenes[[#This Row],[fecha_inicio]]="","",MONTH(tblOrdenes[[#This Row],[fecha_inicio]]))</f>
        <v/>
      </c>
      <c r="S401" s="3">
        <f>IF(tblOrdenes[[#This Row],[fecha_inicio]]="","",INDEX(lista_dias,WEEKDAY(tblOrdenes[[#This Row],[fecha_inicio]],2)))</f>
        <v/>
      </c>
      <c r="T401" s="3">
        <f>IF(tblOrdenes[[#This Row],[tipo_ot]]="","",_xlfn.XLOOKUP(tblOrdenes[[#This Row],[tipo_ot]],tblTiposOT[codigo],tblTiposOT[clasificacion],"sin_clasificar"))</f>
        <v/>
      </c>
      <c r="U401" s="3">
        <f>IF(tblOrdenes[[#This Row],[centro_costo]]="","",_xlfn.XLOOKUP(tblOrdenes[[#This Row],[centro_costo]],tblCECO[codigo],tblCECO[linea],"(sin catálogo)"))</f>
        <v/>
      </c>
      <c r="V401" s="3">
        <f>IF(tblOrdenes[[#This Row],[centro_costo]]="","",_xlfn.XLOOKUP(tblOrdenes[[#This Row],[centro_costo]],tblCECO[codigo],tblCECO[area],"(sin catálogo)"))</f>
        <v/>
      </c>
      <c r="W401" s="3">
        <f>IF(tblOrdenes[[#This Row],[centro_costo]]="","",_xlfn.XLOOKUP(tblOrdenes[[#This Row],[centro_costo]],tblCECO[codigo],tblCECO[coordinador],"(sin catálogo)"))</f>
        <v/>
      </c>
      <c r="X401" s="3">
        <f>IF(tblOrdenes[[#This Row],[puesto_trabajo]]="","",_xlfn.XLOOKUP(tblOrdenes[[#This Row],[puesto_trabajo]],tblPuestos[codigo],tblPuestos[especialidad],"(sin catálogo)"))</f>
        <v/>
      </c>
      <c r="Y401" s="3">
        <f>IF(tblOrdenes[[#This Row],[cod_actividad]]="","",_xlfn.XLOOKUP(tblOrdenes[[#This Row],[cod_actividad]],tblActividades[codigo],tblActividades[descripcion],"(sin catálogo)"))</f>
        <v/>
      </c>
      <c r="Z401" s="12">
        <f>IF(tblOrdenes[[#This Row],[fecha_inicio]]="","",TODAY()-tblOrdenes[[#This Row],[fecha_inicio]])</f>
        <v/>
      </c>
      <c r="AA401" s="3">
        <f>IF(tblOrdenes[[#This Row],[backlog_dias]]="","",IF(tblOrdenes[[#This Row],[backlog_dias]]&lt;0,"FUTURO",IF(tblOrdenes[[#This Row],[backlog_dias]]&gt;p_dias_backlog_max,"BACKLOG","MES CORRIENTE")))</f>
        <v/>
      </c>
      <c r="AB401" s="3">
        <f>IF(tblOrdenes[[#This Row],[backlog_dias]]="",FALSE,AND(tblOrdenes[[#This Row],[backlog_dias]]&gt;p_dias_backlog_min,tblOrdenes[[#This Row],[backlog_dias]]&lt;=p_dias_backlog_max))</f>
        <v/>
      </c>
      <c r="AC401" s="6" t="n"/>
      <c r="AD4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01" s="10">
        <f>IF(tblOrdenes[[#This Row],[orden]]="","",_xlfn.XLOOKUP(tblOrdenes[[#This Row],[id_operacion]],tblEjecucion[id_operacion],tblEjecucion[precio],0))</f>
        <v/>
      </c>
      <c r="AH401" s="10">
        <f>IF(tblOrdenes[[#This Row],[orden]]="","",MAX(0,_xlfn.XLOOKUP(tblOrdenes[[#This Row],[id_operacion]],tblEjecucion[id_operacion],tblEjecucion[costo_plan_total],0)-tblOrdenes[[#This Row],[costo_servicio]]))</f>
        <v/>
      </c>
      <c r="AI401" s="10">
        <f>IF(tblOrdenes[[#This Row],[orden]]="","",tblOrdenes[[#This Row],[costo_servicio]]+tblOrdenes[[#This Row],[costo_materiales]])</f>
        <v/>
      </c>
      <c r="AJ401" s="6" t="n"/>
      <c r="AK401" s="6" t="n"/>
      <c r="AL401" s="6" t="n"/>
      <c r="AM401" s="3">
        <f>IF(tblOrdenes[[#This Row],[link_checklist]]="","",HYPERLINK(p_ruta_base_checklists&amp;tblOrdenes[[#This Row],[link_checklist]],"abrir"))</f>
        <v/>
      </c>
      <c r="AN401" s="6" t="n"/>
      <c r="AO401" s="3">
        <f>IF(tblOrdenes[[#This Row],[orden]]="","",tblOrdenes[[#This Row],[orden]]&amp;IF(tblOrdenes[[#This Row],[operacion]]="","0010",tblOrdenes[[#This Row],[operacion]]))</f>
        <v/>
      </c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11" t="n"/>
      <c r="K402" s="3" t="n"/>
      <c r="L402" s="10" t="n"/>
      <c r="M402" s="6" t="n"/>
      <c r="N4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02" s="3">
        <f>IF(tblOrdenes[[#This Row],[fecha_inicio]]="","",YEAR(tblOrdenes[[#This Row],[fecha_inicio]]))</f>
        <v/>
      </c>
      <c r="R402" s="3">
        <f>IF(tblOrdenes[[#This Row],[fecha_inicio]]="","",MONTH(tblOrdenes[[#This Row],[fecha_inicio]]))</f>
        <v/>
      </c>
      <c r="S402" s="3">
        <f>IF(tblOrdenes[[#This Row],[fecha_inicio]]="","",INDEX(lista_dias,WEEKDAY(tblOrdenes[[#This Row],[fecha_inicio]],2)))</f>
        <v/>
      </c>
      <c r="T402" s="3">
        <f>IF(tblOrdenes[[#This Row],[tipo_ot]]="","",_xlfn.XLOOKUP(tblOrdenes[[#This Row],[tipo_ot]],tblTiposOT[codigo],tblTiposOT[clasificacion],"sin_clasificar"))</f>
        <v/>
      </c>
      <c r="U402" s="3">
        <f>IF(tblOrdenes[[#This Row],[centro_costo]]="","",_xlfn.XLOOKUP(tblOrdenes[[#This Row],[centro_costo]],tblCECO[codigo],tblCECO[linea],"(sin catálogo)"))</f>
        <v/>
      </c>
      <c r="V402" s="3">
        <f>IF(tblOrdenes[[#This Row],[centro_costo]]="","",_xlfn.XLOOKUP(tblOrdenes[[#This Row],[centro_costo]],tblCECO[codigo],tblCECO[area],"(sin catálogo)"))</f>
        <v/>
      </c>
      <c r="W402" s="3">
        <f>IF(tblOrdenes[[#This Row],[centro_costo]]="","",_xlfn.XLOOKUP(tblOrdenes[[#This Row],[centro_costo]],tblCECO[codigo],tblCECO[coordinador],"(sin catálogo)"))</f>
        <v/>
      </c>
      <c r="X402" s="3">
        <f>IF(tblOrdenes[[#This Row],[puesto_trabajo]]="","",_xlfn.XLOOKUP(tblOrdenes[[#This Row],[puesto_trabajo]],tblPuestos[codigo],tblPuestos[especialidad],"(sin catálogo)"))</f>
        <v/>
      </c>
      <c r="Y402" s="3">
        <f>IF(tblOrdenes[[#This Row],[cod_actividad]]="","",_xlfn.XLOOKUP(tblOrdenes[[#This Row],[cod_actividad]],tblActividades[codigo],tblActividades[descripcion],"(sin catálogo)"))</f>
        <v/>
      </c>
      <c r="Z402" s="12">
        <f>IF(tblOrdenes[[#This Row],[fecha_inicio]]="","",TODAY()-tblOrdenes[[#This Row],[fecha_inicio]])</f>
        <v/>
      </c>
      <c r="AA402" s="3">
        <f>IF(tblOrdenes[[#This Row],[backlog_dias]]="","",IF(tblOrdenes[[#This Row],[backlog_dias]]&lt;0,"FUTURO",IF(tblOrdenes[[#This Row],[backlog_dias]]&gt;p_dias_backlog_max,"BACKLOG","MES CORRIENTE")))</f>
        <v/>
      </c>
      <c r="AB402" s="3">
        <f>IF(tblOrdenes[[#This Row],[backlog_dias]]="",FALSE,AND(tblOrdenes[[#This Row],[backlog_dias]]&gt;p_dias_backlog_min,tblOrdenes[[#This Row],[backlog_dias]]&lt;=p_dias_backlog_max))</f>
        <v/>
      </c>
      <c r="AC402" s="6" t="n"/>
      <c r="AD4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02" s="10">
        <f>IF(tblOrdenes[[#This Row],[orden]]="","",_xlfn.XLOOKUP(tblOrdenes[[#This Row],[id_operacion]],tblEjecucion[id_operacion],tblEjecucion[precio],0))</f>
        <v/>
      </c>
      <c r="AH402" s="10">
        <f>IF(tblOrdenes[[#This Row],[orden]]="","",MAX(0,_xlfn.XLOOKUP(tblOrdenes[[#This Row],[id_operacion]],tblEjecucion[id_operacion],tblEjecucion[costo_plan_total],0)-tblOrdenes[[#This Row],[costo_servicio]]))</f>
        <v/>
      </c>
      <c r="AI402" s="10">
        <f>IF(tblOrdenes[[#This Row],[orden]]="","",tblOrdenes[[#This Row],[costo_servicio]]+tblOrdenes[[#This Row],[costo_materiales]])</f>
        <v/>
      </c>
      <c r="AJ402" s="6" t="n"/>
      <c r="AK402" s="6" t="n"/>
      <c r="AL402" s="6" t="n"/>
      <c r="AM402" s="3">
        <f>IF(tblOrdenes[[#This Row],[link_checklist]]="","",HYPERLINK(p_ruta_base_checklists&amp;tblOrdenes[[#This Row],[link_checklist]],"abrir"))</f>
        <v/>
      </c>
      <c r="AN402" s="6" t="n"/>
      <c r="AO402" s="3">
        <f>IF(tblOrdenes[[#This Row],[orden]]="","",tblOrdenes[[#This Row],[orden]]&amp;IF(tblOrdenes[[#This Row],[operacion]]="","0010",tblOrdenes[[#This Row],[operacion]]))</f>
        <v/>
      </c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11" t="n"/>
      <c r="K403" s="3" t="n"/>
      <c r="L403" s="10" t="n"/>
      <c r="M403" s="6" t="n"/>
      <c r="N4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03" s="3">
        <f>IF(tblOrdenes[[#This Row],[fecha_inicio]]="","",YEAR(tblOrdenes[[#This Row],[fecha_inicio]]))</f>
        <v/>
      </c>
      <c r="R403" s="3">
        <f>IF(tblOrdenes[[#This Row],[fecha_inicio]]="","",MONTH(tblOrdenes[[#This Row],[fecha_inicio]]))</f>
        <v/>
      </c>
      <c r="S403" s="3">
        <f>IF(tblOrdenes[[#This Row],[fecha_inicio]]="","",INDEX(lista_dias,WEEKDAY(tblOrdenes[[#This Row],[fecha_inicio]],2)))</f>
        <v/>
      </c>
      <c r="T403" s="3">
        <f>IF(tblOrdenes[[#This Row],[tipo_ot]]="","",_xlfn.XLOOKUP(tblOrdenes[[#This Row],[tipo_ot]],tblTiposOT[codigo],tblTiposOT[clasificacion],"sin_clasificar"))</f>
        <v/>
      </c>
      <c r="U403" s="3">
        <f>IF(tblOrdenes[[#This Row],[centro_costo]]="","",_xlfn.XLOOKUP(tblOrdenes[[#This Row],[centro_costo]],tblCECO[codigo],tblCECO[linea],"(sin catálogo)"))</f>
        <v/>
      </c>
      <c r="V403" s="3">
        <f>IF(tblOrdenes[[#This Row],[centro_costo]]="","",_xlfn.XLOOKUP(tblOrdenes[[#This Row],[centro_costo]],tblCECO[codigo],tblCECO[area],"(sin catálogo)"))</f>
        <v/>
      </c>
      <c r="W403" s="3">
        <f>IF(tblOrdenes[[#This Row],[centro_costo]]="","",_xlfn.XLOOKUP(tblOrdenes[[#This Row],[centro_costo]],tblCECO[codigo],tblCECO[coordinador],"(sin catálogo)"))</f>
        <v/>
      </c>
      <c r="X403" s="3">
        <f>IF(tblOrdenes[[#This Row],[puesto_trabajo]]="","",_xlfn.XLOOKUP(tblOrdenes[[#This Row],[puesto_trabajo]],tblPuestos[codigo],tblPuestos[especialidad],"(sin catálogo)"))</f>
        <v/>
      </c>
      <c r="Y403" s="3">
        <f>IF(tblOrdenes[[#This Row],[cod_actividad]]="","",_xlfn.XLOOKUP(tblOrdenes[[#This Row],[cod_actividad]],tblActividades[codigo],tblActividades[descripcion],"(sin catálogo)"))</f>
        <v/>
      </c>
      <c r="Z403" s="12">
        <f>IF(tblOrdenes[[#This Row],[fecha_inicio]]="","",TODAY()-tblOrdenes[[#This Row],[fecha_inicio]])</f>
        <v/>
      </c>
      <c r="AA403" s="3">
        <f>IF(tblOrdenes[[#This Row],[backlog_dias]]="","",IF(tblOrdenes[[#This Row],[backlog_dias]]&lt;0,"FUTURO",IF(tblOrdenes[[#This Row],[backlog_dias]]&gt;p_dias_backlog_max,"BACKLOG","MES CORRIENTE")))</f>
        <v/>
      </c>
      <c r="AB403" s="3">
        <f>IF(tblOrdenes[[#This Row],[backlog_dias]]="",FALSE,AND(tblOrdenes[[#This Row],[backlog_dias]]&gt;p_dias_backlog_min,tblOrdenes[[#This Row],[backlog_dias]]&lt;=p_dias_backlog_max))</f>
        <v/>
      </c>
      <c r="AC403" s="6" t="n"/>
      <c r="AD4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03" s="10">
        <f>IF(tblOrdenes[[#This Row],[orden]]="","",_xlfn.XLOOKUP(tblOrdenes[[#This Row],[id_operacion]],tblEjecucion[id_operacion],tblEjecucion[precio],0))</f>
        <v/>
      </c>
      <c r="AH403" s="10">
        <f>IF(tblOrdenes[[#This Row],[orden]]="","",MAX(0,_xlfn.XLOOKUP(tblOrdenes[[#This Row],[id_operacion]],tblEjecucion[id_operacion],tblEjecucion[costo_plan_total],0)-tblOrdenes[[#This Row],[costo_servicio]]))</f>
        <v/>
      </c>
      <c r="AI403" s="10">
        <f>IF(tblOrdenes[[#This Row],[orden]]="","",tblOrdenes[[#This Row],[costo_servicio]]+tblOrdenes[[#This Row],[costo_materiales]])</f>
        <v/>
      </c>
      <c r="AJ403" s="6" t="n"/>
      <c r="AK403" s="6" t="n"/>
      <c r="AL403" s="6" t="n"/>
      <c r="AM403" s="3">
        <f>IF(tblOrdenes[[#This Row],[link_checklist]]="","",HYPERLINK(p_ruta_base_checklists&amp;tblOrdenes[[#This Row],[link_checklist]],"abrir"))</f>
        <v/>
      </c>
      <c r="AN403" s="6" t="n"/>
      <c r="AO403" s="3">
        <f>IF(tblOrdenes[[#This Row],[orden]]="","",tblOrdenes[[#This Row],[orden]]&amp;IF(tblOrdenes[[#This Row],[operacion]]="","0010",tblOrdenes[[#This Row],[operacion]]))</f>
        <v/>
      </c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11" t="n"/>
      <c r="K404" s="3" t="n"/>
      <c r="L404" s="10" t="n"/>
      <c r="M404" s="6" t="n"/>
      <c r="N40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0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0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04" s="3">
        <f>IF(tblOrdenes[[#This Row],[fecha_inicio]]="","",YEAR(tblOrdenes[[#This Row],[fecha_inicio]]))</f>
        <v/>
      </c>
      <c r="R404" s="3">
        <f>IF(tblOrdenes[[#This Row],[fecha_inicio]]="","",MONTH(tblOrdenes[[#This Row],[fecha_inicio]]))</f>
        <v/>
      </c>
      <c r="S404" s="3">
        <f>IF(tblOrdenes[[#This Row],[fecha_inicio]]="","",INDEX(lista_dias,WEEKDAY(tblOrdenes[[#This Row],[fecha_inicio]],2)))</f>
        <v/>
      </c>
      <c r="T404" s="3">
        <f>IF(tblOrdenes[[#This Row],[tipo_ot]]="","",_xlfn.XLOOKUP(tblOrdenes[[#This Row],[tipo_ot]],tblTiposOT[codigo],tblTiposOT[clasificacion],"sin_clasificar"))</f>
        <v/>
      </c>
      <c r="U404" s="3">
        <f>IF(tblOrdenes[[#This Row],[centro_costo]]="","",_xlfn.XLOOKUP(tblOrdenes[[#This Row],[centro_costo]],tblCECO[codigo],tblCECO[linea],"(sin catálogo)"))</f>
        <v/>
      </c>
      <c r="V404" s="3">
        <f>IF(tblOrdenes[[#This Row],[centro_costo]]="","",_xlfn.XLOOKUP(tblOrdenes[[#This Row],[centro_costo]],tblCECO[codigo],tblCECO[area],"(sin catálogo)"))</f>
        <v/>
      </c>
      <c r="W404" s="3">
        <f>IF(tblOrdenes[[#This Row],[centro_costo]]="","",_xlfn.XLOOKUP(tblOrdenes[[#This Row],[centro_costo]],tblCECO[codigo],tblCECO[coordinador],"(sin catálogo)"))</f>
        <v/>
      </c>
      <c r="X404" s="3">
        <f>IF(tblOrdenes[[#This Row],[puesto_trabajo]]="","",_xlfn.XLOOKUP(tblOrdenes[[#This Row],[puesto_trabajo]],tblPuestos[codigo],tblPuestos[especialidad],"(sin catálogo)"))</f>
        <v/>
      </c>
      <c r="Y404" s="3">
        <f>IF(tblOrdenes[[#This Row],[cod_actividad]]="","",_xlfn.XLOOKUP(tblOrdenes[[#This Row],[cod_actividad]],tblActividades[codigo],tblActividades[descripcion],"(sin catálogo)"))</f>
        <v/>
      </c>
      <c r="Z404" s="12">
        <f>IF(tblOrdenes[[#This Row],[fecha_inicio]]="","",TODAY()-tblOrdenes[[#This Row],[fecha_inicio]])</f>
        <v/>
      </c>
      <c r="AA404" s="3">
        <f>IF(tblOrdenes[[#This Row],[backlog_dias]]="","",IF(tblOrdenes[[#This Row],[backlog_dias]]&lt;0,"FUTURO",IF(tblOrdenes[[#This Row],[backlog_dias]]&gt;p_dias_backlog_max,"BACKLOG","MES CORRIENTE")))</f>
        <v/>
      </c>
      <c r="AB404" s="3">
        <f>IF(tblOrdenes[[#This Row],[backlog_dias]]="",FALSE,AND(tblOrdenes[[#This Row],[backlog_dias]]&gt;p_dias_backlog_min,tblOrdenes[[#This Row],[backlog_dias]]&lt;=p_dias_backlog_max))</f>
        <v/>
      </c>
      <c r="AC404" s="6" t="n"/>
      <c r="AD40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0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0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04" s="10">
        <f>IF(tblOrdenes[[#This Row],[orden]]="","",_xlfn.XLOOKUP(tblOrdenes[[#This Row],[id_operacion]],tblEjecucion[id_operacion],tblEjecucion[precio],0))</f>
        <v/>
      </c>
      <c r="AH404" s="10">
        <f>IF(tblOrdenes[[#This Row],[orden]]="","",MAX(0,_xlfn.XLOOKUP(tblOrdenes[[#This Row],[id_operacion]],tblEjecucion[id_operacion],tblEjecucion[costo_plan_total],0)-tblOrdenes[[#This Row],[costo_servicio]]))</f>
        <v/>
      </c>
      <c r="AI404" s="10">
        <f>IF(tblOrdenes[[#This Row],[orden]]="","",tblOrdenes[[#This Row],[costo_servicio]]+tblOrdenes[[#This Row],[costo_materiales]])</f>
        <v/>
      </c>
      <c r="AJ404" s="6" t="n"/>
      <c r="AK404" s="6" t="n"/>
      <c r="AL404" s="6" t="n"/>
      <c r="AM404" s="3">
        <f>IF(tblOrdenes[[#This Row],[link_checklist]]="","",HYPERLINK(p_ruta_base_checklists&amp;tblOrdenes[[#This Row],[link_checklist]],"abrir"))</f>
        <v/>
      </c>
      <c r="AN404" s="6" t="n"/>
      <c r="AO404" s="3">
        <f>IF(tblOrdenes[[#This Row],[orden]]="","",tblOrdenes[[#This Row],[orden]]&amp;IF(tblOrdenes[[#This Row],[operacion]]="","0010",tblOrdenes[[#This Row],[operacion]]))</f>
        <v/>
      </c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11" t="n"/>
      <c r="K405" s="3" t="n"/>
      <c r="L405" s="10" t="n"/>
      <c r="M405" s="6" t="n"/>
      <c r="N40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0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0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05" s="3">
        <f>IF(tblOrdenes[[#This Row],[fecha_inicio]]="","",YEAR(tblOrdenes[[#This Row],[fecha_inicio]]))</f>
        <v/>
      </c>
      <c r="R405" s="3">
        <f>IF(tblOrdenes[[#This Row],[fecha_inicio]]="","",MONTH(tblOrdenes[[#This Row],[fecha_inicio]]))</f>
        <v/>
      </c>
      <c r="S405" s="3">
        <f>IF(tblOrdenes[[#This Row],[fecha_inicio]]="","",INDEX(lista_dias,WEEKDAY(tblOrdenes[[#This Row],[fecha_inicio]],2)))</f>
        <v/>
      </c>
      <c r="T405" s="3">
        <f>IF(tblOrdenes[[#This Row],[tipo_ot]]="","",_xlfn.XLOOKUP(tblOrdenes[[#This Row],[tipo_ot]],tblTiposOT[codigo],tblTiposOT[clasificacion],"sin_clasificar"))</f>
        <v/>
      </c>
      <c r="U405" s="3">
        <f>IF(tblOrdenes[[#This Row],[centro_costo]]="","",_xlfn.XLOOKUP(tblOrdenes[[#This Row],[centro_costo]],tblCECO[codigo],tblCECO[linea],"(sin catálogo)"))</f>
        <v/>
      </c>
      <c r="V405" s="3">
        <f>IF(tblOrdenes[[#This Row],[centro_costo]]="","",_xlfn.XLOOKUP(tblOrdenes[[#This Row],[centro_costo]],tblCECO[codigo],tblCECO[area],"(sin catálogo)"))</f>
        <v/>
      </c>
      <c r="W405" s="3">
        <f>IF(tblOrdenes[[#This Row],[centro_costo]]="","",_xlfn.XLOOKUP(tblOrdenes[[#This Row],[centro_costo]],tblCECO[codigo],tblCECO[coordinador],"(sin catálogo)"))</f>
        <v/>
      </c>
      <c r="X405" s="3">
        <f>IF(tblOrdenes[[#This Row],[puesto_trabajo]]="","",_xlfn.XLOOKUP(tblOrdenes[[#This Row],[puesto_trabajo]],tblPuestos[codigo],tblPuestos[especialidad],"(sin catálogo)"))</f>
        <v/>
      </c>
      <c r="Y405" s="3">
        <f>IF(tblOrdenes[[#This Row],[cod_actividad]]="","",_xlfn.XLOOKUP(tblOrdenes[[#This Row],[cod_actividad]],tblActividades[codigo],tblActividades[descripcion],"(sin catálogo)"))</f>
        <v/>
      </c>
      <c r="Z405" s="12">
        <f>IF(tblOrdenes[[#This Row],[fecha_inicio]]="","",TODAY()-tblOrdenes[[#This Row],[fecha_inicio]])</f>
        <v/>
      </c>
      <c r="AA405" s="3">
        <f>IF(tblOrdenes[[#This Row],[backlog_dias]]="","",IF(tblOrdenes[[#This Row],[backlog_dias]]&lt;0,"FUTURO",IF(tblOrdenes[[#This Row],[backlog_dias]]&gt;p_dias_backlog_max,"BACKLOG","MES CORRIENTE")))</f>
        <v/>
      </c>
      <c r="AB405" s="3">
        <f>IF(tblOrdenes[[#This Row],[backlog_dias]]="",FALSE,AND(tblOrdenes[[#This Row],[backlog_dias]]&gt;p_dias_backlog_min,tblOrdenes[[#This Row],[backlog_dias]]&lt;=p_dias_backlog_max))</f>
        <v/>
      </c>
      <c r="AC405" s="6" t="n"/>
      <c r="AD40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0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0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05" s="10">
        <f>IF(tblOrdenes[[#This Row],[orden]]="","",_xlfn.XLOOKUP(tblOrdenes[[#This Row],[id_operacion]],tblEjecucion[id_operacion],tblEjecucion[precio],0))</f>
        <v/>
      </c>
      <c r="AH405" s="10">
        <f>IF(tblOrdenes[[#This Row],[orden]]="","",MAX(0,_xlfn.XLOOKUP(tblOrdenes[[#This Row],[id_operacion]],tblEjecucion[id_operacion],tblEjecucion[costo_plan_total],0)-tblOrdenes[[#This Row],[costo_servicio]]))</f>
        <v/>
      </c>
      <c r="AI405" s="10">
        <f>IF(tblOrdenes[[#This Row],[orden]]="","",tblOrdenes[[#This Row],[costo_servicio]]+tblOrdenes[[#This Row],[costo_materiales]])</f>
        <v/>
      </c>
      <c r="AJ405" s="6" t="n"/>
      <c r="AK405" s="6" t="n"/>
      <c r="AL405" s="6" t="n"/>
      <c r="AM405" s="3">
        <f>IF(tblOrdenes[[#This Row],[link_checklist]]="","",HYPERLINK(p_ruta_base_checklists&amp;tblOrdenes[[#This Row],[link_checklist]],"abrir"))</f>
        <v/>
      </c>
      <c r="AN405" s="6" t="n"/>
      <c r="AO405" s="3">
        <f>IF(tblOrdenes[[#This Row],[orden]]="","",tblOrdenes[[#This Row],[orden]]&amp;IF(tblOrdenes[[#This Row],[operacion]]="","0010",tblOrdenes[[#This Row],[operacion]]))</f>
        <v/>
      </c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11" t="n"/>
      <c r="K406" s="3" t="n"/>
      <c r="L406" s="10" t="n"/>
      <c r="M406" s="6" t="n"/>
      <c r="N40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0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0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06" s="3">
        <f>IF(tblOrdenes[[#This Row],[fecha_inicio]]="","",YEAR(tblOrdenes[[#This Row],[fecha_inicio]]))</f>
        <v/>
      </c>
      <c r="R406" s="3">
        <f>IF(tblOrdenes[[#This Row],[fecha_inicio]]="","",MONTH(tblOrdenes[[#This Row],[fecha_inicio]]))</f>
        <v/>
      </c>
      <c r="S406" s="3">
        <f>IF(tblOrdenes[[#This Row],[fecha_inicio]]="","",INDEX(lista_dias,WEEKDAY(tblOrdenes[[#This Row],[fecha_inicio]],2)))</f>
        <v/>
      </c>
      <c r="T406" s="3">
        <f>IF(tblOrdenes[[#This Row],[tipo_ot]]="","",_xlfn.XLOOKUP(tblOrdenes[[#This Row],[tipo_ot]],tblTiposOT[codigo],tblTiposOT[clasificacion],"sin_clasificar"))</f>
        <v/>
      </c>
      <c r="U406" s="3">
        <f>IF(tblOrdenes[[#This Row],[centro_costo]]="","",_xlfn.XLOOKUP(tblOrdenes[[#This Row],[centro_costo]],tblCECO[codigo],tblCECO[linea],"(sin catálogo)"))</f>
        <v/>
      </c>
      <c r="V406" s="3">
        <f>IF(tblOrdenes[[#This Row],[centro_costo]]="","",_xlfn.XLOOKUP(tblOrdenes[[#This Row],[centro_costo]],tblCECO[codigo],tblCECO[area],"(sin catálogo)"))</f>
        <v/>
      </c>
      <c r="W406" s="3">
        <f>IF(tblOrdenes[[#This Row],[centro_costo]]="","",_xlfn.XLOOKUP(tblOrdenes[[#This Row],[centro_costo]],tblCECO[codigo],tblCECO[coordinador],"(sin catálogo)"))</f>
        <v/>
      </c>
      <c r="X406" s="3">
        <f>IF(tblOrdenes[[#This Row],[puesto_trabajo]]="","",_xlfn.XLOOKUP(tblOrdenes[[#This Row],[puesto_trabajo]],tblPuestos[codigo],tblPuestos[especialidad],"(sin catálogo)"))</f>
        <v/>
      </c>
      <c r="Y406" s="3">
        <f>IF(tblOrdenes[[#This Row],[cod_actividad]]="","",_xlfn.XLOOKUP(tblOrdenes[[#This Row],[cod_actividad]],tblActividades[codigo],tblActividades[descripcion],"(sin catálogo)"))</f>
        <v/>
      </c>
      <c r="Z406" s="12">
        <f>IF(tblOrdenes[[#This Row],[fecha_inicio]]="","",TODAY()-tblOrdenes[[#This Row],[fecha_inicio]])</f>
        <v/>
      </c>
      <c r="AA406" s="3">
        <f>IF(tblOrdenes[[#This Row],[backlog_dias]]="","",IF(tblOrdenes[[#This Row],[backlog_dias]]&lt;0,"FUTURO",IF(tblOrdenes[[#This Row],[backlog_dias]]&gt;p_dias_backlog_max,"BACKLOG","MES CORRIENTE")))</f>
        <v/>
      </c>
      <c r="AB406" s="3">
        <f>IF(tblOrdenes[[#This Row],[backlog_dias]]="",FALSE,AND(tblOrdenes[[#This Row],[backlog_dias]]&gt;p_dias_backlog_min,tblOrdenes[[#This Row],[backlog_dias]]&lt;=p_dias_backlog_max))</f>
        <v/>
      </c>
      <c r="AC406" s="6" t="n"/>
      <c r="AD40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0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0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06" s="10">
        <f>IF(tblOrdenes[[#This Row],[orden]]="","",_xlfn.XLOOKUP(tblOrdenes[[#This Row],[id_operacion]],tblEjecucion[id_operacion],tblEjecucion[precio],0))</f>
        <v/>
      </c>
      <c r="AH406" s="10">
        <f>IF(tblOrdenes[[#This Row],[orden]]="","",MAX(0,_xlfn.XLOOKUP(tblOrdenes[[#This Row],[id_operacion]],tblEjecucion[id_operacion],tblEjecucion[costo_plan_total],0)-tblOrdenes[[#This Row],[costo_servicio]]))</f>
        <v/>
      </c>
      <c r="AI406" s="10">
        <f>IF(tblOrdenes[[#This Row],[orden]]="","",tblOrdenes[[#This Row],[costo_servicio]]+tblOrdenes[[#This Row],[costo_materiales]])</f>
        <v/>
      </c>
      <c r="AJ406" s="6" t="n"/>
      <c r="AK406" s="6" t="n"/>
      <c r="AL406" s="6" t="n"/>
      <c r="AM406" s="3">
        <f>IF(tblOrdenes[[#This Row],[link_checklist]]="","",HYPERLINK(p_ruta_base_checklists&amp;tblOrdenes[[#This Row],[link_checklist]],"abrir"))</f>
        <v/>
      </c>
      <c r="AN406" s="6" t="n"/>
      <c r="AO406" s="3">
        <f>IF(tblOrdenes[[#This Row],[orden]]="","",tblOrdenes[[#This Row],[orden]]&amp;IF(tblOrdenes[[#This Row],[operacion]]="","0010",tblOrdenes[[#This Row],[operacion]]))</f>
        <v/>
      </c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11" t="n"/>
      <c r="K407" s="3" t="n"/>
      <c r="L407" s="10" t="n"/>
      <c r="M407" s="6" t="n"/>
      <c r="N40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0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0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07" s="3">
        <f>IF(tblOrdenes[[#This Row],[fecha_inicio]]="","",YEAR(tblOrdenes[[#This Row],[fecha_inicio]]))</f>
        <v/>
      </c>
      <c r="R407" s="3">
        <f>IF(tblOrdenes[[#This Row],[fecha_inicio]]="","",MONTH(tblOrdenes[[#This Row],[fecha_inicio]]))</f>
        <v/>
      </c>
      <c r="S407" s="3">
        <f>IF(tblOrdenes[[#This Row],[fecha_inicio]]="","",INDEX(lista_dias,WEEKDAY(tblOrdenes[[#This Row],[fecha_inicio]],2)))</f>
        <v/>
      </c>
      <c r="T407" s="3">
        <f>IF(tblOrdenes[[#This Row],[tipo_ot]]="","",_xlfn.XLOOKUP(tblOrdenes[[#This Row],[tipo_ot]],tblTiposOT[codigo],tblTiposOT[clasificacion],"sin_clasificar"))</f>
        <v/>
      </c>
      <c r="U407" s="3">
        <f>IF(tblOrdenes[[#This Row],[centro_costo]]="","",_xlfn.XLOOKUP(tblOrdenes[[#This Row],[centro_costo]],tblCECO[codigo],tblCECO[linea],"(sin catálogo)"))</f>
        <v/>
      </c>
      <c r="V407" s="3">
        <f>IF(tblOrdenes[[#This Row],[centro_costo]]="","",_xlfn.XLOOKUP(tblOrdenes[[#This Row],[centro_costo]],tblCECO[codigo],tblCECO[area],"(sin catálogo)"))</f>
        <v/>
      </c>
      <c r="W407" s="3">
        <f>IF(tblOrdenes[[#This Row],[centro_costo]]="","",_xlfn.XLOOKUP(tblOrdenes[[#This Row],[centro_costo]],tblCECO[codigo],tblCECO[coordinador],"(sin catálogo)"))</f>
        <v/>
      </c>
      <c r="X407" s="3">
        <f>IF(tblOrdenes[[#This Row],[puesto_trabajo]]="","",_xlfn.XLOOKUP(tblOrdenes[[#This Row],[puesto_trabajo]],tblPuestos[codigo],tblPuestos[especialidad],"(sin catálogo)"))</f>
        <v/>
      </c>
      <c r="Y407" s="3">
        <f>IF(tblOrdenes[[#This Row],[cod_actividad]]="","",_xlfn.XLOOKUP(tblOrdenes[[#This Row],[cod_actividad]],tblActividades[codigo],tblActividades[descripcion],"(sin catálogo)"))</f>
        <v/>
      </c>
      <c r="Z407" s="12">
        <f>IF(tblOrdenes[[#This Row],[fecha_inicio]]="","",TODAY()-tblOrdenes[[#This Row],[fecha_inicio]])</f>
        <v/>
      </c>
      <c r="AA407" s="3">
        <f>IF(tblOrdenes[[#This Row],[backlog_dias]]="","",IF(tblOrdenes[[#This Row],[backlog_dias]]&lt;0,"FUTURO",IF(tblOrdenes[[#This Row],[backlog_dias]]&gt;p_dias_backlog_max,"BACKLOG","MES CORRIENTE")))</f>
        <v/>
      </c>
      <c r="AB407" s="3">
        <f>IF(tblOrdenes[[#This Row],[backlog_dias]]="",FALSE,AND(tblOrdenes[[#This Row],[backlog_dias]]&gt;p_dias_backlog_min,tblOrdenes[[#This Row],[backlog_dias]]&lt;=p_dias_backlog_max))</f>
        <v/>
      </c>
      <c r="AC407" s="6" t="n"/>
      <c r="AD40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0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0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07" s="10">
        <f>IF(tblOrdenes[[#This Row],[orden]]="","",_xlfn.XLOOKUP(tblOrdenes[[#This Row],[id_operacion]],tblEjecucion[id_operacion],tblEjecucion[precio],0))</f>
        <v/>
      </c>
      <c r="AH407" s="10">
        <f>IF(tblOrdenes[[#This Row],[orden]]="","",MAX(0,_xlfn.XLOOKUP(tblOrdenes[[#This Row],[id_operacion]],tblEjecucion[id_operacion],tblEjecucion[costo_plan_total],0)-tblOrdenes[[#This Row],[costo_servicio]]))</f>
        <v/>
      </c>
      <c r="AI407" s="10">
        <f>IF(tblOrdenes[[#This Row],[orden]]="","",tblOrdenes[[#This Row],[costo_servicio]]+tblOrdenes[[#This Row],[costo_materiales]])</f>
        <v/>
      </c>
      <c r="AJ407" s="6" t="n"/>
      <c r="AK407" s="6" t="n"/>
      <c r="AL407" s="6" t="n"/>
      <c r="AM407" s="3">
        <f>IF(tblOrdenes[[#This Row],[link_checklist]]="","",HYPERLINK(p_ruta_base_checklists&amp;tblOrdenes[[#This Row],[link_checklist]],"abrir"))</f>
        <v/>
      </c>
      <c r="AN407" s="6" t="n"/>
      <c r="AO407" s="3">
        <f>IF(tblOrdenes[[#This Row],[orden]]="","",tblOrdenes[[#This Row],[orden]]&amp;IF(tblOrdenes[[#This Row],[operacion]]="","0010",tblOrdenes[[#This Row],[operacion]]))</f>
        <v/>
      </c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11" t="n"/>
      <c r="K408" s="3" t="n"/>
      <c r="L408" s="10" t="n"/>
      <c r="M408" s="6" t="n"/>
      <c r="N40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0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0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08" s="3">
        <f>IF(tblOrdenes[[#This Row],[fecha_inicio]]="","",YEAR(tblOrdenes[[#This Row],[fecha_inicio]]))</f>
        <v/>
      </c>
      <c r="R408" s="3">
        <f>IF(tblOrdenes[[#This Row],[fecha_inicio]]="","",MONTH(tblOrdenes[[#This Row],[fecha_inicio]]))</f>
        <v/>
      </c>
      <c r="S408" s="3">
        <f>IF(tblOrdenes[[#This Row],[fecha_inicio]]="","",INDEX(lista_dias,WEEKDAY(tblOrdenes[[#This Row],[fecha_inicio]],2)))</f>
        <v/>
      </c>
      <c r="T408" s="3">
        <f>IF(tblOrdenes[[#This Row],[tipo_ot]]="","",_xlfn.XLOOKUP(tblOrdenes[[#This Row],[tipo_ot]],tblTiposOT[codigo],tblTiposOT[clasificacion],"sin_clasificar"))</f>
        <v/>
      </c>
      <c r="U408" s="3">
        <f>IF(tblOrdenes[[#This Row],[centro_costo]]="","",_xlfn.XLOOKUP(tblOrdenes[[#This Row],[centro_costo]],tblCECO[codigo],tblCECO[linea],"(sin catálogo)"))</f>
        <v/>
      </c>
      <c r="V408" s="3">
        <f>IF(tblOrdenes[[#This Row],[centro_costo]]="","",_xlfn.XLOOKUP(tblOrdenes[[#This Row],[centro_costo]],tblCECO[codigo],tblCECO[area],"(sin catálogo)"))</f>
        <v/>
      </c>
      <c r="W408" s="3">
        <f>IF(tblOrdenes[[#This Row],[centro_costo]]="","",_xlfn.XLOOKUP(tblOrdenes[[#This Row],[centro_costo]],tblCECO[codigo],tblCECO[coordinador],"(sin catálogo)"))</f>
        <v/>
      </c>
      <c r="X408" s="3">
        <f>IF(tblOrdenes[[#This Row],[puesto_trabajo]]="","",_xlfn.XLOOKUP(tblOrdenes[[#This Row],[puesto_trabajo]],tblPuestos[codigo],tblPuestos[especialidad],"(sin catálogo)"))</f>
        <v/>
      </c>
      <c r="Y408" s="3">
        <f>IF(tblOrdenes[[#This Row],[cod_actividad]]="","",_xlfn.XLOOKUP(tblOrdenes[[#This Row],[cod_actividad]],tblActividades[codigo],tblActividades[descripcion],"(sin catálogo)"))</f>
        <v/>
      </c>
      <c r="Z408" s="12">
        <f>IF(tblOrdenes[[#This Row],[fecha_inicio]]="","",TODAY()-tblOrdenes[[#This Row],[fecha_inicio]])</f>
        <v/>
      </c>
      <c r="AA408" s="3">
        <f>IF(tblOrdenes[[#This Row],[backlog_dias]]="","",IF(tblOrdenes[[#This Row],[backlog_dias]]&lt;0,"FUTURO",IF(tblOrdenes[[#This Row],[backlog_dias]]&gt;p_dias_backlog_max,"BACKLOG","MES CORRIENTE")))</f>
        <v/>
      </c>
      <c r="AB408" s="3">
        <f>IF(tblOrdenes[[#This Row],[backlog_dias]]="",FALSE,AND(tblOrdenes[[#This Row],[backlog_dias]]&gt;p_dias_backlog_min,tblOrdenes[[#This Row],[backlog_dias]]&lt;=p_dias_backlog_max))</f>
        <v/>
      </c>
      <c r="AC408" s="6" t="n"/>
      <c r="AD40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0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0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08" s="10">
        <f>IF(tblOrdenes[[#This Row],[orden]]="","",_xlfn.XLOOKUP(tblOrdenes[[#This Row],[id_operacion]],tblEjecucion[id_operacion],tblEjecucion[precio],0))</f>
        <v/>
      </c>
      <c r="AH408" s="10">
        <f>IF(tblOrdenes[[#This Row],[orden]]="","",MAX(0,_xlfn.XLOOKUP(tblOrdenes[[#This Row],[id_operacion]],tblEjecucion[id_operacion],tblEjecucion[costo_plan_total],0)-tblOrdenes[[#This Row],[costo_servicio]]))</f>
        <v/>
      </c>
      <c r="AI408" s="10">
        <f>IF(tblOrdenes[[#This Row],[orden]]="","",tblOrdenes[[#This Row],[costo_servicio]]+tblOrdenes[[#This Row],[costo_materiales]])</f>
        <v/>
      </c>
      <c r="AJ408" s="6" t="n"/>
      <c r="AK408" s="6" t="n"/>
      <c r="AL408" s="6" t="n"/>
      <c r="AM408" s="3">
        <f>IF(tblOrdenes[[#This Row],[link_checklist]]="","",HYPERLINK(p_ruta_base_checklists&amp;tblOrdenes[[#This Row],[link_checklist]],"abrir"))</f>
        <v/>
      </c>
      <c r="AN408" s="6" t="n"/>
      <c r="AO408" s="3">
        <f>IF(tblOrdenes[[#This Row],[orden]]="","",tblOrdenes[[#This Row],[orden]]&amp;IF(tblOrdenes[[#This Row],[operacion]]="","0010",tblOrdenes[[#This Row],[operacion]]))</f>
        <v/>
      </c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11" t="n"/>
      <c r="K409" s="3" t="n"/>
      <c r="L409" s="10" t="n"/>
      <c r="M409" s="6" t="n"/>
      <c r="N40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0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0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09" s="3">
        <f>IF(tblOrdenes[[#This Row],[fecha_inicio]]="","",YEAR(tblOrdenes[[#This Row],[fecha_inicio]]))</f>
        <v/>
      </c>
      <c r="R409" s="3">
        <f>IF(tblOrdenes[[#This Row],[fecha_inicio]]="","",MONTH(tblOrdenes[[#This Row],[fecha_inicio]]))</f>
        <v/>
      </c>
      <c r="S409" s="3">
        <f>IF(tblOrdenes[[#This Row],[fecha_inicio]]="","",INDEX(lista_dias,WEEKDAY(tblOrdenes[[#This Row],[fecha_inicio]],2)))</f>
        <v/>
      </c>
      <c r="T409" s="3">
        <f>IF(tblOrdenes[[#This Row],[tipo_ot]]="","",_xlfn.XLOOKUP(tblOrdenes[[#This Row],[tipo_ot]],tblTiposOT[codigo],tblTiposOT[clasificacion],"sin_clasificar"))</f>
        <v/>
      </c>
      <c r="U409" s="3">
        <f>IF(tblOrdenes[[#This Row],[centro_costo]]="","",_xlfn.XLOOKUP(tblOrdenes[[#This Row],[centro_costo]],tblCECO[codigo],tblCECO[linea],"(sin catálogo)"))</f>
        <v/>
      </c>
      <c r="V409" s="3">
        <f>IF(tblOrdenes[[#This Row],[centro_costo]]="","",_xlfn.XLOOKUP(tblOrdenes[[#This Row],[centro_costo]],tblCECO[codigo],tblCECO[area],"(sin catálogo)"))</f>
        <v/>
      </c>
      <c r="W409" s="3">
        <f>IF(tblOrdenes[[#This Row],[centro_costo]]="","",_xlfn.XLOOKUP(tblOrdenes[[#This Row],[centro_costo]],tblCECO[codigo],tblCECO[coordinador],"(sin catálogo)"))</f>
        <v/>
      </c>
      <c r="X409" s="3">
        <f>IF(tblOrdenes[[#This Row],[puesto_trabajo]]="","",_xlfn.XLOOKUP(tblOrdenes[[#This Row],[puesto_trabajo]],tblPuestos[codigo],tblPuestos[especialidad],"(sin catálogo)"))</f>
        <v/>
      </c>
      <c r="Y409" s="3">
        <f>IF(tblOrdenes[[#This Row],[cod_actividad]]="","",_xlfn.XLOOKUP(tblOrdenes[[#This Row],[cod_actividad]],tblActividades[codigo],tblActividades[descripcion],"(sin catálogo)"))</f>
        <v/>
      </c>
      <c r="Z409" s="12">
        <f>IF(tblOrdenes[[#This Row],[fecha_inicio]]="","",TODAY()-tblOrdenes[[#This Row],[fecha_inicio]])</f>
        <v/>
      </c>
      <c r="AA409" s="3">
        <f>IF(tblOrdenes[[#This Row],[backlog_dias]]="","",IF(tblOrdenes[[#This Row],[backlog_dias]]&lt;0,"FUTURO",IF(tblOrdenes[[#This Row],[backlog_dias]]&gt;p_dias_backlog_max,"BACKLOG","MES CORRIENTE")))</f>
        <v/>
      </c>
      <c r="AB409" s="3">
        <f>IF(tblOrdenes[[#This Row],[backlog_dias]]="",FALSE,AND(tblOrdenes[[#This Row],[backlog_dias]]&gt;p_dias_backlog_min,tblOrdenes[[#This Row],[backlog_dias]]&lt;=p_dias_backlog_max))</f>
        <v/>
      </c>
      <c r="AC409" s="6" t="n"/>
      <c r="AD40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0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0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09" s="10">
        <f>IF(tblOrdenes[[#This Row],[orden]]="","",_xlfn.XLOOKUP(tblOrdenes[[#This Row],[id_operacion]],tblEjecucion[id_operacion],tblEjecucion[precio],0))</f>
        <v/>
      </c>
      <c r="AH409" s="10">
        <f>IF(tblOrdenes[[#This Row],[orden]]="","",MAX(0,_xlfn.XLOOKUP(tblOrdenes[[#This Row],[id_operacion]],tblEjecucion[id_operacion],tblEjecucion[costo_plan_total],0)-tblOrdenes[[#This Row],[costo_servicio]]))</f>
        <v/>
      </c>
      <c r="AI409" s="10">
        <f>IF(tblOrdenes[[#This Row],[orden]]="","",tblOrdenes[[#This Row],[costo_servicio]]+tblOrdenes[[#This Row],[costo_materiales]])</f>
        <v/>
      </c>
      <c r="AJ409" s="6" t="n"/>
      <c r="AK409" s="6" t="n"/>
      <c r="AL409" s="6" t="n"/>
      <c r="AM409" s="3">
        <f>IF(tblOrdenes[[#This Row],[link_checklist]]="","",HYPERLINK(p_ruta_base_checklists&amp;tblOrdenes[[#This Row],[link_checklist]],"abrir"))</f>
        <v/>
      </c>
      <c r="AN409" s="6" t="n"/>
      <c r="AO409" s="3">
        <f>IF(tblOrdenes[[#This Row],[orden]]="","",tblOrdenes[[#This Row],[orden]]&amp;IF(tblOrdenes[[#This Row],[operacion]]="","0010",tblOrdenes[[#This Row],[operacion]]))</f>
        <v/>
      </c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11" t="n"/>
      <c r="K410" s="3" t="n"/>
      <c r="L410" s="10" t="n"/>
      <c r="M410" s="6" t="n"/>
      <c r="N4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10" s="3">
        <f>IF(tblOrdenes[[#This Row],[fecha_inicio]]="","",YEAR(tblOrdenes[[#This Row],[fecha_inicio]]))</f>
        <v/>
      </c>
      <c r="R410" s="3">
        <f>IF(tblOrdenes[[#This Row],[fecha_inicio]]="","",MONTH(tblOrdenes[[#This Row],[fecha_inicio]]))</f>
        <v/>
      </c>
      <c r="S410" s="3">
        <f>IF(tblOrdenes[[#This Row],[fecha_inicio]]="","",INDEX(lista_dias,WEEKDAY(tblOrdenes[[#This Row],[fecha_inicio]],2)))</f>
        <v/>
      </c>
      <c r="T410" s="3">
        <f>IF(tblOrdenes[[#This Row],[tipo_ot]]="","",_xlfn.XLOOKUP(tblOrdenes[[#This Row],[tipo_ot]],tblTiposOT[codigo],tblTiposOT[clasificacion],"sin_clasificar"))</f>
        <v/>
      </c>
      <c r="U410" s="3">
        <f>IF(tblOrdenes[[#This Row],[centro_costo]]="","",_xlfn.XLOOKUP(tblOrdenes[[#This Row],[centro_costo]],tblCECO[codigo],tblCECO[linea],"(sin catálogo)"))</f>
        <v/>
      </c>
      <c r="V410" s="3">
        <f>IF(tblOrdenes[[#This Row],[centro_costo]]="","",_xlfn.XLOOKUP(tblOrdenes[[#This Row],[centro_costo]],tblCECO[codigo],tblCECO[area],"(sin catálogo)"))</f>
        <v/>
      </c>
      <c r="W410" s="3">
        <f>IF(tblOrdenes[[#This Row],[centro_costo]]="","",_xlfn.XLOOKUP(tblOrdenes[[#This Row],[centro_costo]],tblCECO[codigo],tblCECO[coordinador],"(sin catálogo)"))</f>
        <v/>
      </c>
      <c r="X410" s="3">
        <f>IF(tblOrdenes[[#This Row],[puesto_trabajo]]="","",_xlfn.XLOOKUP(tblOrdenes[[#This Row],[puesto_trabajo]],tblPuestos[codigo],tblPuestos[especialidad],"(sin catálogo)"))</f>
        <v/>
      </c>
      <c r="Y410" s="3">
        <f>IF(tblOrdenes[[#This Row],[cod_actividad]]="","",_xlfn.XLOOKUP(tblOrdenes[[#This Row],[cod_actividad]],tblActividades[codigo],tblActividades[descripcion],"(sin catálogo)"))</f>
        <v/>
      </c>
      <c r="Z410" s="12">
        <f>IF(tblOrdenes[[#This Row],[fecha_inicio]]="","",TODAY()-tblOrdenes[[#This Row],[fecha_inicio]])</f>
        <v/>
      </c>
      <c r="AA410" s="3">
        <f>IF(tblOrdenes[[#This Row],[backlog_dias]]="","",IF(tblOrdenes[[#This Row],[backlog_dias]]&lt;0,"FUTURO",IF(tblOrdenes[[#This Row],[backlog_dias]]&gt;p_dias_backlog_max,"BACKLOG","MES CORRIENTE")))</f>
        <v/>
      </c>
      <c r="AB410" s="3">
        <f>IF(tblOrdenes[[#This Row],[backlog_dias]]="",FALSE,AND(tblOrdenes[[#This Row],[backlog_dias]]&gt;p_dias_backlog_min,tblOrdenes[[#This Row],[backlog_dias]]&lt;=p_dias_backlog_max))</f>
        <v/>
      </c>
      <c r="AC410" s="6" t="n"/>
      <c r="AD4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10" s="10">
        <f>IF(tblOrdenes[[#This Row],[orden]]="","",_xlfn.XLOOKUP(tblOrdenes[[#This Row],[id_operacion]],tblEjecucion[id_operacion],tblEjecucion[precio],0))</f>
        <v/>
      </c>
      <c r="AH410" s="10">
        <f>IF(tblOrdenes[[#This Row],[orden]]="","",MAX(0,_xlfn.XLOOKUP(tblOrdenes[[#This Row],[id_operacion]],tblEjecucion[id_operacion],tblEjecucion[costo_plan_total],0)-tblOrdenes[[#This Row],[costo_servicio]]))</f>
        <v/>
      </c>
      <c r="AI410" s="10">
        <f>IF(tblOrdenes[[#This Row],[orden]]="","",tblOrdenes[[#This Row],[costo_servicio]]+tblOrdenes[[#This Row],[costo_materiales]])</f>
        <v/>
      </c>
      <c r="AJ410" s="6" t="n"/>
      <c r="AK410" s="6" t="n"/>
      <c r="AL410" s="6" t="n"/>
      <c r="AM410" s="3">
        <f>IF(tblOrdenes[[#This Row],[link_checklist]]="","",HYPERLINK(p_ruta_base_checklists&amp;tblOrdenes[[#This Row],[link_checklist]],"abrir"))</f>
        <v/>
      </c>
      <c r="AN410" s="6" t="n"/>
      <c r="AO410" s="3">
        <f>IF(tblOrdenes[[#This Row],[orden]]="","",tblOrdenes[[#This Row],[orden]]&amp;IF(tblOrdenes[[#This Row],[operacion]]="","0010",tblOrdenes[[#This Row],[operacion]]))</f>
        <v/>
      </c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11" t="n"/>
      <c r="K411" s="3" t="n"/>
      <c r="L411" s="10" t="n"/>
      <c r="M411" s="6" t="n"/>
      <c r="N4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11" s="3">
        <f>IF(tblOrdenes[[#This Row],[fecha_inicio]]="","",YEAR(tblOrdenes[[#This Row],[fecha_inicio]]))</f>
        <v/>
      </c>
      <c r="R411" s="3">
        <f>IF(tblOrdenes[[#This Row],[fecha_inicio]]="","",MONTH(tblOrdenes[[#This Row],[fecha_inicio]]))</f>
        <v/>
      </c>
      <c r="S411" s="3">
        <f>IF(tblOrdenes[[#This Row],[fecha_inicio]]="","",INDEX(lista_dias,WEEKDAY(tblOrdenes[[#This Row],[fecha_inicio]],2)))</f>
        <v/>
      </c>
      <c r="T411" s="3">
        <f>IF(tblOrdenes[[#This Row],[tipo_ot]]="","",_xlfn.XLOOKUP(tblOrdenes[[#This Row],[tipo_ot]],tblTiposOT[codigo],tblTiposOT[clasificacion],"sin_clasificar"))</f>
        <v/>
      </c>
      <c r="U411" s="3">
        <f>IF(tblOrdenes[[#This Row],[centro_costo]]="","",_xlfn.XLOOKUP(tblOrdenes[[#This Row],[centro_costo]],tblCECO[codigo],tblCECO[linea],"(sin catálogo)"))</f>
        <v/>
      </c>
      <c r="V411" s="3">
        <f>IF(tblOrdenes[[#This Row],[centro_costo]]="","",_xlfn.XLOOKUP(tblOrdenes[[#This Row],[centro_costo]],tblCECO[codigo],tblCECO[area],"(sin catálogo)"))</f>
        <v/>
      </c>
      <c r="W411" s="3">
        <f>IF(tblOrdenes[[#This Row],[centro_costo]]="","",_xlfn.XLOOKUP(tblOrdenes[[#This Row],[centro_costo]],tblCECO[codigo],tblCECO[coordinador],"(sin catálogo)"))</f>
        <v/>
      </c>
      <c r="X411" s="3">
        <f>IF(tblOrdenes[[#This Row],[puesto_trabajo]]="","",_xlfn.XLOOKUP(tblOrdenes[[#This Row],[puesto_trabajo]],tblPuestos[codigo],tblPuestos[especialidad],"(sin catálogo)"))</f>
        <v/>
      </c>
      <c r="Y411" s="3">
        <f>IF(tblOrdenes[[#This Row],[cod_actividad]]="","",_xlfn.XLOOKUP(tblOrdenes[[#This Row],[cod_actividad]],tblActividades[codigo],tblActividades[descripcion],"(sin catálogo)"))</f>
        <v/>
      </c>
      <c r="Z411" s="12">
        <f>IF(tblOrdenes[[#This Row],[fecha_inicio]]="","",TODAY()-tblOrdenes[[#This Row],[fecha_inicio]])</f>
        <v/>
      </c>
      <c r="AA411" s="3">
        <f>IF(tblOrdenes[[#This Row],[backlog_dias]]="","",IF(tblOrdenes[[#This Row],[backlog_dias]]&lt;0,"FUTURO",IF(tblOrdenes[[#This Row],[backlog_dias]]&gt;p_dias_backlog_max,"BACKLOG","MES CORRIENTE")))</f>
        <v/>
      </c>
      <c r="AB411" s="3">
        <f>IF(tblOrdenes[[#This Row],[backlog_dias]]="",FALSE,AND(tblOrdenes[[#This Row],[backlog_dias]]&gt;p_dias_backlog_min,tblOrdenes[[#This Row],[backlog_dias]]&lt;=p_dias_backlog_max))</f>
        <v/>
      </c>
      <c r="AC411" s="6" t="n"/>
      <c r="AD4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11" s="10">
        <f>IF(tblOrdenes[[#This Row],[orden]]="","",_xlfn.XLOOKUP(tblOrdenes[[#This Row],[id_operacion]],tblEjecucion[id_operacion],tblEjecucion[precio],0))</f>
        <v/>
      </c>
      <c r="AH411" s="10">
        <f>IF(tblOrdenes[[#This Row],[orden]]="","",MAX(0,_xlfn.XLOOKUP(tblOrdenes[[#This Row],[id_operacion]],tblEjecucion[id_operacion],tblEjecucion[costo_plan_total],0)-tblOrdenes[[#This Row],[costo_servicio]]))</f>
        <v/>
      </c>
      <c r="AI411" s="10">
        <f>IF(tblOrdenes[[#This Row],[orden]]="","",tblOrdenes[[#This Row],[costo_servicio]]+tblOrdenes[[#This Row],[costo_materiales]])</f>
        <v/>
      </c>
      <c r="AJ411" s="6" t="n"/>
      <c r="AK411" s="6" t="n"/>
      <c r="AL411" s="6" t="n"/>
      <c r="AM411" s="3">
        <f>IF(tblOrdenes[[#This Row],[link_checklist]]="","",HYPERLINK(p_ruta_base_checklists&amp;tblOrdenes[[#This Row],[link_checklist]],"abrir"))</f>
        <v/>
      </c>
      <c r="AN411" s="6" t="n"/>
      <c r="AO411" s="3">
        <f>IF(tblOrdenes[[#This Row],[orden]]="","",tblOrdenes[[#This Row],[orden]]&amp;IF(tblOrdenes[[#This Row],[operacion]]="","0010",tblOrdenes[[#This Row],[operacion]]))</f>
        <v/>
      </c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11" t="n"/>
      <c r="K412" s="3" t="n"/>
      <c r="L412" s="10" t="n"/>
      <c r="M412" s="6" t="n"/>
      <c r="N4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12" s="3">
        <f>IF(tblOrdenes[[#This Row],[fecha_inicio]]="","",YEAR(tblOrdenes[[#This Row],[fecha_inicio]]))</f>
        <v/>
      </c>
      <c r="R412" s="3">
        <f>IF(tblOrdenes[[#This Row],[fecha_inicio]]="","",MONTH(tblOrdenes[[#This Row],[fecha_inicio]]))</f>
        <v/>
      </c>
      <c r="S412" s="3">
        <f>IF(tblOrdenes[[#This Row],[fecha_inicio]]="","",INDEX(lista_dias,WEEKDAY(tblOrdenes[[#This Row],[fecha_inicio]],2)))</f>
        <v/>
      </c>
      <c r="T412" s="3">
        <f>IF(tblOrdenes[[#This Row],[tipo_ot]]="","",_xlfn.XLOOKUP(tblOrdenes[[#This Row],[tipo_ot]],tblTiposOT[codigo],tblTiposOT[clasificacion],"sin_clasificar"))</f>
        <v/>
      </c>
      <c r="U412" s="3">
        <f>IF(tblOrdenes[[#This Row],[centro_costo]]="","",_xlfn.XLOOKUP(tblOrdenes[[#This Row],[centro_costo]],tblCECO[codigo],tblCECO[linea],"(sin catálogo)"))</f>
        <v/>
      </c>
      <c r="V412" s="3">
        <f>IF(tblOrdenes[[#This Row],[centro_costo]]="","",_xlfn.XLOOKUP(tblOrdenes[[#This Row],[centro_costo]],tblCECO[codigo],tblCECO[area],"(sin catálogo)"))</f>
        <v/>
      </c>
      <c r="W412" s="3">
        <f>IF(tblOrdenes[[#This Row],[centro_costo]]="","",_xlfn.XLOOKUP(tblOrdenes[[#This Row],[centro_costo]],tblCECO[codigo],tblCECO[coordinador],"(sin catálogo)"))</f>
        <v/>
      </c>
      <c r="X412" s="3">
        <f>IF(tblOrdenes[[#This Row],[puesto_trabajo]]="","",_xlfn.XLOOKUP(tblOrdenes[[#This Row],[puesto_trabajo]],tblPuestos[codigo],tblPuestos[especialidad],"(sin catálogo)"))</f>
        <v/>
      </c>
      <c r="Y412" s="3">
        <f>IF(tblOrdenes[[#This Row],[cod_actividad]]="","",_xlfn.XLOOKUP(tblOrdenes[[#This Row],[cod_actividad]],tblActividades[codigo],tblActividades[descripcion],"(sin catálogo)"))</f>
        <v/>
      </c>
      <c r="Z412" s="12">
        <f>IF(tblOrdenes[[#This Row],[fecha_inicio]]="","",TODAY()-tblOrdenes[[#This Row],[fecha_inicio]])</f>
        <v/>
      </c>
      <c r="AA412" s="3">
        <f>IF(tblOrdenes[[#This Row],[backlog_dias]]="","",IF(tblOrdenes[[#This Row],[backlog_dias]]&lt;0,"FUTURO",IF(tblOrdenes[[#This Row],[backlog_dias]]&gt;p_dias_backlog_max,"BACKLOG","MES CORRIENTE")))</f>
        <v/>
      </c>
      <c r="AB412" s="3">
        <f>IF(tblOrdenes[[#This Row],[backlog_dias]]="",FALSE,AND(tblOrdenes[[#This Row],[backlog_dias]]&gt;p_dias_backlog_min,tblOrdenes[[#This Row],[backlog_dias]]&lt;=p_dias_backlog_max))</f>
        <v/>
      </c>
      <c r="AC412" s="6" t="n"/>
      <c r="AD4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12" s="10">
        <f>IF(tblOrdenes[[#This Row],[orden]]="","",_xlfn.XLOOKUP(tblOrdenes[[#This Row],[id_operacion]],tblEjecucion[id_operacion],tblEjecucion[precio],0))</f>
        <v/>
      </c>
      <c r="AH412" s="10">
        <f>IF(tblOrdenes[[#This Row],[orden]]="","",MAX(0,_xlfn.XLOOKUP(tblOrdenes[[#This Row],[id_operacion]],tblEjecucion[id_operacion],tblEjecucion[costo_plan_total],0)-tblOrdenes[[#This Row],[costo_servicio]]))</f>
        <v/>
      </c>
      <c r="AI412" s="10">
        <f>IF(tblOrdenes[[#This Row],[orden]]="","",tblOrdenes[[#This Row],[costo_servicio]]+tblOrdenes[[#This Row],[costo_materiales]])</f>
        <v/>
      </c>
      <c r="AJ412" s="6" t="n"/>
      <c r="AK412" s="6" t="n"/>
      <c r="AL412" s="6" t="n"/>
      <c r="AM412" s="3">
        <f>IF(tblOrdenes[[#This Row],[link_checklist]]="","",HYPERLINK(p_ruta_base_checklists&amp;tblOrdenes[[#This Row],[link_checklist]],"abrir"))</f>
        <v/>
      </c>
      <c r="AN412" s="6" t="n"/>
      <c r="AO412" s="3">
        <f>IF(tblOrdenes[[#This Row],[orden]]="","",tblOrdenes[[#This Row],[orden]]&amp;IF(tblOrdenes[[#This Row],[operacion]]="","0010",tblOrdenes[[#This Row],[operacion]]))</f>
        <v/>
      </c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11" t="n"/>
      <c r="K413" s="3" t="n"/>
      <c r="L413" s="10" t="n"/>
      <c r="M413" s="6" t="n"/>
      <c r="N4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13" s="3">
        <f>IF(tblOrdenes[[#This Row],[fecha_inicio]]="","",YEAR(tblOrdenes[[#This Row],[fecha_inicio]]))</f>
        <v/>
      </c>
      <c r="R413" s="3">
        <f>IF(tblOrdenes[[#This Row],[fecha_inicio]]="","",MONTH(tblOrdenes[[#This Row],[fecha_inicio]]))</f>
        <v/>
      </c>
      <c r="S413" s="3">
        <f>IF(tblOrdenes[[#This Row],[fecha_inicio]]="","",INDEX(lista_dias,WEEKDAY(tblOrdenes[[#This Row],[fecha_inicio]],2)))</f>
        <v/>
      </c>
      <c r="T413" s="3">
        <f>IF(tblOrdenes[[#This Row],[tipo_ot]]="","",_xlfn.XLOOKUP(tblOrdenes[[#This Row],[tipo_ot]],tblTiposOT[codigo],tblTiposOT[clasificacion],"sin_clasificar"))</f>
        <v/>
      </c>
      <c r="U413" s="3">
        <f>IF(tblOrdenes[[#This Row],[centro_costo]]="","",_xlfn.XLOOKUP(tblOrdenes[[#This Row],[centro_costo]],tblCECO[codigo],tblCECO[linea],"(sin catálogo)"))</f>
        <v/>
      </c>
      <c r="V413" s="3">
        <f>IF(tblOrdenes[[#This Row],[centro_costo]]="","",_xlfn.XLOOKUP(tblOrdenes[[#This Row],[centro_costo]],tblCECO[codigo],tblCECO[area],"(sin catálogo)"))</f>
        <v/>
      </c>
      <c r="W413" s="3">
        <f>IF(tblOrdenes[[#This Row],[centro_costo]]="","",_xlfn.XLOOKUP(tblOrdenes[[#This Row],[centro_costo]],tblCECO[codigo],tblCECO[coordinador],"(sin catálogo)"))</f>
        <v/>
      </c>
      <c r="X413" s="3">
        <f>IF(tblOrdenes[[#This Row],[puesto_trabajo]]="","",_xlfn.XLOOKUP(tblOrdenes[[#This Row],[puesto_trabajo]],tblPuestos[codigo],tblPuestos[especialidad],"(sin catálogo)"))</f>
        <v/>
      </c>
      <c r="Y413" s="3">
        <f>IF(tblOrdenes[[#This Row],[cod_actividad]]="","",_xlfn.XLOOKUP(tblOrdenes[[#This Row],[cod_actividad]],tblActividades[codigo],tblActividades[descripcion],"(sin catálogo)"))</f>
        <v/>
      </c>
      <c r="Z413" s="12">
        <f>IF(tblOrdenes[[#This Row],[fecha_inicio]]="","",TODAY()-tblOrdenes[[#This Row],[fecha_inicio]])</f>
        <v/>
      </c>
      <c r="AA413" s="3">
        <f>IF(tblOrdenes[[#This Row],[backlog_dias]]="","",IF(tblOrdenes[[#This Row],[backlog_dias]]&lt;0,"FUTURO",IF(tblOrdenes[[#This Row],[backlog_dias]]&gt;p_dias_backlog_max,"BACKLOG","MES CORRIENTE")))</f>
        <v/>
      </c>
      <c r="AB413" s="3">
        <f>IF(tblOrdenes[[#This Row],[backlog_dias]]="",FALSE,AND(tblOrdenes[[#This Row],[backlog_dias]]&gt;p_dias_backlog_min,tblOrdenes[[#This Row],[backlog_dias]]&lt;=p_dias_backlog_max))</f>
        <v/>
      </c>
      <c r="AC413" s="6" t="n"/>
      <c r="AD4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13" s="10">
        <f>IF(tblOrdenes[[#This Row],[orden]]="","",_xlfn.XLOOKUP(tblOrdenes[[#This Row],[id_operacion]],tblEjecucion[id_operacion],tblEjecucion[precio],0))</f>
        <v/>
      </c>
      <c r="AH413" s="10">
        <f>IF(tblOrdenes[[#This Row],[orden]]="","",MAX(0,_xlfn.XLOOKUP(tblOrdenes[[#This Row],[id_operacion]],tblEjecucion[id_operacion],tblEjecucion[costo_plan_total],0)-tblOrdenes[[#This Row],[costo_servicio]]))</f>
        <v/>
      </c>
      <c r="AI413" s="10">
        <f>IF(tblOrdenes[[#This Row],[orden]]="","",tblOrdenes[[#This Row],[costo_servicio]]+tblOrdenes[[#This Row],[costo_materiales]])</f>
        <v/>
      </c>
      <c r="AJ413" s="6" t="n"/>
      <c r="AK413" s="6" t="n"/>
      <c r="AL413" s="6" t="n"/>
      <c r="AM413" s="3">
        <f>IF(tblOrdenes[[#This Row],[link_checklist]]="","",HYPERLINK(p_ruta_base_checklists&amp;tblOrdenes[[#This Row],[link_checklist]],"abrir"))</f>
        <v/>
      </c>
      <c r="AN413" s="6" t="n"/>
      <c r="AO413" s="3">
        <f>IF(tblOrdenes[[#This Row],[orden]]="","",tblOrdenes[[#This Row],[orden]]&amp;IF(tblOrdenes[[#This Row],[operacion]]="","0010",tblOrdenes[[#This Row],[operacion]]))</f>
        <v/>
      </c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11" t="n"/>
      <c r="K414" s="3" t="n"/>
      <c r="L414" s="10" t="n"/>
      <c r="M414" s="6" t="n"/>
      <c r="N4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14" s="3">
        <f>IF(tblOrdenes[[#This Row],[fecha_inicio]]="","",YEAR(tblOrdenes[[#This Row],[fecha_inicio]]))</f>
        <v/>
      </c>
      <c r="R414" s="3">
        <f>IF(tblOrdenes[[#This Row],[fecha_inicio]]="","",MONTH(tblOrdenes[[#This Row],[fecha_inicio]]))</f>
        <v/>
      </c>
      <c r="S414" s="3">
        <f>IF(tblOrdenes[[#This Row],[fecha_inicio]]="","",INDEX(lista_dias,WEEKDAY(tblOrdenes[[#This Row],[fecha_inicio]],2)))</f>
        <v/>
      </c>
      <c r="T414" s="3">
        <f>IF(tblOrdenes[[#This Row],[tipo_ot]]="","",_xlfn.XLOOKUP(tblOrdenes[[#This Row],[tipo_ot]],tblTiposOT[codigo],tblTiposOT[clasificacion],"sin_clasificar"))</f>
        <v/>
      </c>
      <c r="U414" s="3">
        <f>IF(tblOrdenes[[#This Row],[centro_costo]]="","",_xlfn.XLOOKUP(tblOrdenes[[#This Row],[centro_costo]],tblCECO[codigo],tblCECO[linea],"(sin catálogo)"))</f>
        <v/>
      </c>
      <c r="V414" s="3">
        <f>IF(tblOrdenes[[#This Row],[centro_costo]]="","",_xlfn.XLOOKUP(tblOrdenes[[#This Row],[centro_costo]],tblCECO[codigo],tblCECO[area],"(sin catálogo)"))</f>
        <v/>
      </c>
      <c r="W414" s="3">
        <f>IF(tblOrdenes[[#This Row],[centro_costo]]="","",_xlfn.XLOOKUP(tblOrdenes[[#This Row],[centro_costo]],tblCECO[codigo],tblCECO[coordinador],"(sin catálogo)"))</f>
        <v/>
      </c>
      <c r="X414" s="3">
        <f>IF(tblOrdenes[[#This Row],[puesto_trabajo]]="","",_xlfn.XLOOKUP(tblOrdenes[[#This Row],[puesto_trabajo]],tblPuestos[codigo],tblPuestos[especialidad],"(sin catálogo)"))</f>
        <v/>
      </c>
      <c r="Y414" s="3">
        <f>IF(tblOrdenes[[#This Row],[cod_actividad]]="","",_xlfn.XLOOKUP(tblOrdenes[[#This Row],[cod_actividad]],tblActividades[codigo],tblActividades[descripcion],"(sin catálogo)"))</f>
        <v/>
      </c>
      <c r="Z414" s="12">
        <f>IF(tblOrdenes[[#This Row],[fecha_inicio]]="","",TODAY()-tblOrdenes[[#This Row],[fecha_inicio]])</f>
        <v/>
      </c>
      <c r="AA414" s="3">
        <f>IF(tblOrdenes[[#This Row],[backlog_dias]]="","",IF(tblOrdenes[[#This Row],[backlog_dias]]&lt;0,"FUTURO",IF(tblOrdenes[[#This Row],[backlog_dias]]&gt;p_dias_backlog_max,"BACKLOG","MES CORRIENTE")))</f>
        <v/>
      </c>
      <c r="AB414" s="3">
        <f>IF(tblOrdenes[[#This Row],[backlog_dias]]="",FALSE,AND(tblOrdenes[[#This Row],[backlog_dias]]&gt;p_dias_backlog_min,tblOrdenes[[#This Row],[backlog_dias]]&lt;=p_dias_backlog_max))</f>
        <v/>
      </c>
      <c r="AC414" s="6" t="n"/>
      <c r="AD4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14" s="10">
        <f>IF(tblOrdenes[[#This Row],[orden]]="","",_xlfn.XLOOKUP(tblOrdenes[[#This Row],[id_operacion]],tblEjecucion[id_operacion],tblEjecucion[precio],0))</f>
        <v/>
      </c>
      <c r="AH414" s="10">
        <f>IF(tblOrdenes[[#This Row],[orden]]="","",MAX(0,_xlfn.XLOOKUP(tblOrdenes[[#This Row],[id_operacion]],tblEjecucion[id_operacion],tblEjecucion[costo_plan_total],0)-tblOrdenes[[#This Row],[costo_servicio]]))</f>
        <v/>
      </c>
      <c r="AI414" s="10">
        <f>IF(tblOrdenes[[#This Row],[orden]]="","",tblOrdenes[[#This Row],[costo_servicio]]+tblOrdenes[[#This Row],[costo_materiales]])</f>
        <v/>
      </c>
      <c r="AJ414" s="6" t="n"/>
      <c r="AK414" s="6" t="n"/>
      <c r="AL414" s="6" t="n"/>
      <c r="AM414" s="3">
        <f>IF(tblOrdenes[[#This Row],[link_checklist]]="","",HYPERLINK(p_ruta_base_checklists&amp;tblOrdenes[[#This Row],[link_checklist]],"abrir"))</f>
        <v/>
      </c>
      <c r="AN414" s="6" t="n"/>
      <c r="AO414" s="3">
        <f>IF(tblOrdenes[[#This Row],[orden]]="","",tblOrdenes[[#This Row],[orden]]&amp;IF(tblOrdenes[[#This Row],[operacion]]="","0010",tblOrdenes[[#This Row],[operacion]]))</f>
        <v/>
      </c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11" t="n"/>
      <c r="K415" s="3" t="n"/>
      <c r="L415" s="10" t="n"/>
      <c r="M415" s="6" t="n"/>
      <c r="N4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15" s="3">
        <f>IF(tblOrdenes[[#This Row],[fecha_inicio]]="","",YEAR(tblOrdenes[[#This Row],[fecha_inicio]]))</f>
        <v/>
      </c>
      <c r="R415" s="3">
        <f>IF(tblOrdenes[[#This Row],[fecha_inicio]]="","",MONTH(tblOrdenes[[#This Row],[fecha_inicio]]))</f>
        <v/>
      </c>
      <c r="S415" s="3">
        <f>IF(tblOrdenes[[#This Row],[fecha_inicio]]="","",INDEX(lista_dias,WEEKDAY(tblOrdenes[[#This Row],[fecha_inicio]],2)))</f>
        <v/>
      </c>
      <c r="T415" s="3">
        <f>IF(tblOrdenes[[#This Row],[tipo_ot]]="","",_xlfn.XLOOKUP(tblOrdenes[[#This Row],[tipo_ot]],tblTiposOT[codigo],tblTiposOT[clasificacion],"sin_clasificar"))</f>
        <v/>
      </c>
      <c r="U415" s="3">
        <f>IF(tblOrdenes[[#This Row],[centro_costo]]="","",_xlfn.XLOOKUP(tblOrdenes[[#This Row],[centro_costo]],tblCECO[codigo],tblCECO[linea],"(sin catálogo)"))</f>
        <v/>
      </c>
      <c r="V415" s="3">
        <f>IF(tblOrdenes[[#This Row],[centro_costo]]="","",_xlfn.XLOOKUP(tblOrdenes[[#This Row],[centro_costo]],tblCECO[codigo],tblCECO[area],"(sin catálogo)"))</f>
        <v/>
      </c>
      <c r="W415" s="3">
        <f>IF(tblOrdenes[[#This Row],[centro_costo]]="","",_xlfn.XLOOKUP(tblOrdenes[[#This Row],[centro_costo]],tblCECO[codigo],tblCECO[coordinador],"(sin catálogo)"))</f>
        <v/>
      </c>
      <c r="X415" s="3">
        <f>IF(tblOrdenes[[#This Row],[puesto_trabajo]]="","",_xlfn.XLOOKUP(tblOrdenes[[#This Row],[puesto_trabajo]],tblPuestos[codigo],tblPuestos[especialidad],"(sin catálogo)"))</f>
        <v/>
      </c>
      <c r="Y415" s="3">
        <f>IF(tblOrdenes[[#This Row],[cod_actividad]]="","",_xlfn.XLOOKUP(tblOrdenes[[#This Row],[cod_actividad]],tblActividades[codigo],tblActividades[descripcion],"(sin catálogo)"))</f>
        <v/>
      </c>
      <c r="Z415" s="12">
        <f>IF(tblOrdenes[[#This Row],[fecha_inicio]]="","",TODAY()-tblOrdenes[[#This Row],[fecha_inicio]])</f>
        <v/>
      </c>
      <c r="AA415" s="3">
        <f>IF(tblOrdenes[[#This Row],[backlog_dias]]="","",IF(tblOrdenes[[#This Row],[backlog_dias]]&lt;0,"FUTURO",IF(tblOrdenes[[#This Row],[backlog_dias]]&gt;p_dias_backlog_max,"BACKLOG","MES CORRIENTE")))</f>
        <v/>
      </c>
      <c r="AB415" s="3">
        <f>IF(tblOrdenes[[#This Row],[backlog_dias]]="",FALSE,AND(tblOrdenes[[#This Row],[backlog_dias]]&gt;p_dias_backlog_min,tblOrdenes[[#This Row],[backlog_dias]]&lt;=p_dias_backlog_max))</f>
        <v/>
      </c>
      <c r="AC415" s="6" t="n"/>
      <c r="AD4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15" s="10">
        <f>IF(tblOrdenes[[#This Row],[orden]]="","",_xlfn.XLOOKUP(tblOrdenes[[#This Row],[id_operacion]],tblEjecucion[id_operacion],tblEjecucion[precio],0))</f>
        <v/>
      </c>
      <c r="AH415" s="10">
        <f>IF(tblOrdenes[[#This Row],[orden]]="","",MAX(0,_xlfn.XLOOKUP(tblOrdenes[[#This Row],[id_operacion]],tblEjecucion[id_operacion],tblEjecucion[costo_plan_total],0)-tblOrdenes[[#This Row],[costo_servicio]]))</f>
        <v/>
      </c>
      <c r="AI415" s="10">
        <f>IF(tblOrdenes[[#This Row],[orden]]="","",tblOrdenes[[#This Row],[costo_servicio]]+tblOrdenes[[#This Row],[costo_materiales]])</f>
        <v/>
      </c>
      <c r="AJ415" s="6" t="n"/>
      <c r="AK415" s="6" t="n"/>
      <c r="AL415" s="6" t="n"/>
      <c r="AM415" s="3">
        <f>IF(tblOrdenes[[#This Row],[link_checklist]]="","",HYPERLINK(p_ruta_base_checklists&amp;tblOrdenes[[#This Row],[link_checklist]],"abrir"))</f>
        <v/>
      </c>
      <c r="AN415" s="6" t="n"/>
      <c r="AO415" s="3">
        <f>IF(tblOrdenes[[#This Row],[orden]]="","",tblOrdenes[[#This Row],[orden]]&amp;IF(tblOrdenes[[#This Row],[operacion]]="","0010",tblOrdenes[[#This Row],[operacion]]))</f>
        <v/>
      </c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11" t="n"/>
      <c r="K416" s="3" t="n"/>
      <c r="L416" s="10" t="n"/>
      <c r="M416" s="6" t="n"/>
      <c r="N4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16" s="3">
        <f>IF(tblOrdenes[[#This Row],[fecha_inicio]]="","",YEAR(tblOrdenes[[#This Row],[fecha_inicio]]))</f>
        <v/>
      </c>
      <c r="R416" s="3">
        <f>IF(tblOrdenes[[#This Row],[fecha_inicio]]="","",MONTH(tblOrdenes[[#This Row],[fecha_inicio]]))</f>
        <v/>
      </c>
      <c r="S416" s="3">
        <f>IF(tblOrdenes[[#This Row],[fecha_inicio]]="","",INDEX(lista_dias,WEEKDAY(tblOrdenes[[#This Row],[fecha_inicio]],2)))</f>
        <v/>
      </c>
      <c r="T416" s="3">
        <f>IF(tblOrdenes[[#This Row],[tipo_ot]]="","",_xlfn.XLOOKUP(tblOrdenes[[#This Row],[tipo_ot]],tblTiposOT[codigo],tblTiposOT[clasificacion],"sin_clasificar"))</f>
        <v/>
      </c>
      <c r="U416" s="3">
        <f>IF(tblOrdenes[[#This Row],[centro_costo]]="","",_xlfn.XLOOKUP(tblOrdenes[[#This Row],[centro_costo]],tblCECO[codigo],tblCECO[linea],"(sin catálogo)"))</f>
        <v/>
      </c>
      <c r="V416" s="3">
        <f>IF(tblOrdenes[[#This Row],[centro_costo]]="","",_xlfn.XLOOKUP(tblOrdenes[[#This Row],[centro_costo]],tblCECO[codigo],tblCECO[area],"(sin catálogo)"))</f>
        <v/>
      </c>
      <c r="W416" s="3">
        <f>IF(tblOrdenes[[#This Row],[centro_costo]]="","",_xlfn.XLOOKUP(tblOrdenes[[#This Row],[centro_costo]],tblCECO[codigo],tblCECO[coordinador],"(sin catálogo)"))</f>
        <v/>
      </c>
      <c r="X416" s="3">
        <f>IF(tblOrdenes[[#This Row],[puesto_trabajo]]="","",_xlfn.XLOOKUP(tblOrdenes[[#This Row],[puesto_trabajo]],tblPuestos[codigo],tblPuestos[especialidad],"(sin catálogo)"))</f>
        <v/>
      </c>
      <c r="Y416" s="3">
        <f>IF(tblOrdenes[[#This Row],[cod_actividad]]="","",_xlfn.XLOOKUP(tblOrdenes[[#This Row],[cod_actividad]],tblActividades[codigo],tblActividades[descripcion],"(sin catálogo)"))</f>
        <v/>
      </c>
      <c r="Z416" s="12">
        <f>IF(tblOrdenes[[#This Row],[fecha_inicio]]="","",TODAY()-tblOrdenes[[#This Row],[fecha_inicio]])</f>
        <v/>
      </c>
      <c r="AA416" s="3">
        <f>IF(tblOrdenes[[#This Row],[backlog_dias]]="","",IF(tblOrdenes[[#This Row],[backlog_dias]]&lt;0,"FUTURO",IF(tblOrdenes[[#This Row],[backlog_dias]]&gt;p_dias_backlog_max,"BACKLOG","MES CORRIENTE")))</f>
        <v/>
      </c>
      <c r="AB416" s="3">
        <f>IF(tblOrdenes[[#This Row],[backlog_dias]]="",FALSE,AND(tblOrdenes[[#This Row],[backlog_dias]]&gt;p_dias_backlog_min,tblOrdenes[[#This Row],[backlog_dias]]&lt;=p_dias_backlog_max))</f>
        <v/>
      </c>
      <c r="AC416" s="6" t="n"/>
      <c r="AD4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16" s="10">
        <f>IF(tblOrdenes[[#This Row],[orden]]="","",_xlfn.XLOOKUP(tblOrdenes[[#This Row],[id_operacion]],tblEjecucion[id_operacion],tblEjecucion[precio],0))</f>
        <v/>
      </c>
      <c r="AH416" s="10">
        <f>IF(tblOrdenes[[#This Row],[orden]]="","",MAX(0,_xlfn.XLOOKUP(tblOrdenes[[#This Row],[id_operacion]],tblEjecucion[id_operacion],tblEjecucion[costo_plan_total],0)-tblOrdenes[[#This Row],[costo_servicio]]))</f>
        <v/>
      </c>
      <c r="AI416" s="10">
        <f>IF(tblOrdenes[[#This Row],[orden]]="","",tblOrdenes[[#This Row],[costo_servicio]]+tblOrdenes[[#This Row],[costo_materiales]])</f>
        <v/>
      </c>
      <c r="AJ416" s="6" t="n"/>
      <c r="AK416" s="6" t="n"/>
      <c r="AL416" s="6" t="n"/>
      <c r="AM416" s="3">
        <f>IF(tblOrdenes[[#This Row],[link_checklist]]="","",HYPERLINK(p_ruta_base_checklists&amp;tblOrdenes[[#This Row],[link_checklist]],"abrir"))</f>
        <v/>
      </c>
      <c r="AN416" s="6" t="n"/>
      <c r="AO416" s="3">
        <f>IF(tblOrdenes[[#This Row],[orden]]="","",tblOrdenes[[#This Row],[orden]]&amp;IF(tblOrdenes[[#This Row],[operacion]]="","0010",tblOrdenes[[#This Row],[operacion]]))</f>
        <v/>
      </c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11" t="n"/>
      <c r="K417" s="3" t="n"/>
      <c r="L417" s="10" t="n"/>
      <c r="M417" s="6" t="n"/>
      <c r="N4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17" s="3">
        <f>IF(tblOrdenes[[#This Row],[fecha_inicio]]="","",YEAR(tblOrdenes[[#This Row],[fecha_inicio]]))</f>
        <v/>
      </c>
      <c r="R417" s="3">
        <f>IF(tblOrdenes[[#This Row],[fecha_inicio]]="","",MONTH(tblOrdenes[[#This Row],[fecha_inicio]]))</f>
        <v/>
      </c>
      <c r="S417" s="3">
        <f>IF(tblOrdenes[[#This Row],[fecha_inicio]]="","",INDEX(lista_dias,WEEKDAY(tblOrdenes[[#This Row],[fecha_inicio]],2)))</f>
        <v/>
      </c>
      <c r="T417" s="3">
        <f>IF(tblOrdenes[[#This Row],[tipo_ot]]="","",_xlfn.XLOOKUP(tblOrdenes[[#This Row],[tipo_ot]],tblTiposOT[codigo],tblTiposOT[clasificacion],"sin_clasificar"))</f>
        <v/>
      </c>
      <c r="U417" s="3">
        <f>IF(tblOrdenes[[#This Row],[centro_costo]]="","",_xlfn.XLOOKUP(tblOrdenes[[#This Row],[centro_costo]],tblCECO[codigo],tblCECO[linea],"(sin catálogo)"))</f>
        <v/>
      </c>
      <c r="V417" s="3">
        <f>IF(tblOrdenes[[#This Row],[centro_costo]]="","",_xlfn.XLOOKUP(tblOrdenes[[#This Row],[centro_costo]],tblCECO[codigo],tblCECO[area],"(sin catálogo)"))</f>
        <v/>
      </c>
      <c r="W417" s="3">
        <f>IF(tblOrdenes[[#This Row],[centro_costo]]="","",_xlfn.XLOOKUP(tblOrdenes[[#This Row],[centro_costo]],tblCECO[codigo],tblCECO[coordinador],"(sin catálogo)"))</f>
        <v/>
      </c>
      <c r="X417" s="3">
        <f>IF(tblOrdenes[[#This Row],[puesto_trabajo]]="","",_xlfn.XLOOKUP(tblOrdenes[[#This Row],[puesto_trabajo]],tblPuestos[codigo],tblPuestos[especialidad],"(sin catálogo)"))</f>
        <v/>
      </c>
      <c r="Y417" s="3">
        <f>IF(tblOrdenes[[#This Row],[cod_actividad]]="","",_xlfn.XLOOKUP(tblOrdenes[[#This Row],[cod_actividad]],tblActividades[codigo],tblActividades[descripcion],"(sin catálogo)"))</f>
        <v/>
      </c>
      <c r="Z417" s="12">
        <f>IF(tblOrdenes[[#This Row],[fecha_inicio]]="","",TODAY()-tblOrdenes[[#This Row],[fecha_inicio]])</f>
        <v/>
      </c>
      <c r="AA417" s="3">
        <f>IF(tblOrdenes[[#This Row],[backlog_dias]]="","",IF(tblOrdenes[[#This Row],[backlog_dias]]&lt;0,"FUTURO",IF(tblOrdenes[[#This Row],[backlog_dias]]&gt;p_dias_backlog_max,"BACKLOG","MES CORRIENTE")))</f>
        <v/>
      </c>
      <c r="AB417" s="3">
        <f>IF(tblOrdenes[[#This Row],[backlog_dias]]="",FALSE,AND(tblOrdenes[[#This Row],[backlog_dias]]&gt;p_dias_backlog_min,tblOrdenes[[#This Row],[backlog_dias]]&lt;=p_dias_backlog_max))</f>
        <v/>
      </c>
      <c r="AC417" s="6" t="n"/>
      <c r="AD4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17" s="10">
        <f>IF(tblOrdenes[[#This Row],[orden]]="","",_xlfn.XLOOKUP(tblOrdenes[[#This Row],[id_operacion]],tblEjecucion[id_operacion],tblEjecucion[precio],0))</f>
        <v/>
      </c>
      <c r="AH417" s="10">
        <f>IF(tblOrdenes[[#This Row],[orden]]="","",MAX(0,_xlfn.XLOOKUP(tblOrdenes[[#This Row],[id_operacion]],tblEjecucion[id_operacion],tblEjecucion[costo_plan_total],0)-tblOrdenes[[#This Row],[costo_servicio]]))</f>
        <v/>
      </c>
      <c r="AI417" s="10">
        <f>IF(tblOrdenes[[#This Row],[orden]]="","",tblOrdenes[[#This Row],[costo_servicio]]+tblOrdenes[[#This Row],[costo_materiales]])</f>
        <v/>
      </c>
      <c r="AJ417" s="6" t="n"/>
      <c r="AK417" s="6" t="n"/>
      <c r="AL417" s="6" t="n"/>
      <c r="AM417" s="3">
        <f>IF(tblOrdenes[[#This Row],[link_checklist]]="","",HYPERLINK(p_ruta_base_checklists&amp;tblOrdenes[[#This Row],[link_checklist]],"abrir"))</f>
        <v/>
      </c>
      <c r="AN417" s="6" t="n"/>
      <c r="AO417" s="3">
        <f>IF(tblOrdenes[[#This Row],[orden]]="","",tblOrdenes[[#This Row],[orden]]&amp;IF(tblOrdenes[[#This Row],[operacion]]="","0010",tblOrdenes[[#This Row],[operacion]]))</f>
        <v/>
      </c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11" t="n"/>
      <c r="K418" s="3" t="n"/>
      <c r="L418" s="10" t="n"/>
      <c r="M418" s="6" t="n"/>
      <c r="N4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18" s="3">
        <f>IF(tblOrdenes[[#This Row],[fecha_inicio]]="","",YEAR(tblOrdenes[[#This Row],[fecha_inicio]]))</f>
        <v/>
      </c>
      <c r="R418" s="3">
        <f>IF(tblOrdenes[[#This Row],[fecha_inicio]]="","",MONTH(tblOrdenes[[#This Row],[fecha_inicio]]))</f>
        <v/>
      </c>
      <c r="S418" s="3">
        <f>IF(tblOrdenes[[#This Row],[fecha_inicio]]="","",INDEX(lista_dias,WEEKDAY(tblOrdenes[[#This Row],[fecha_inicio]],2)))</f>
        <v/>
      </c>
      <c r="T418" s="3">
        <f>IF(tblOrdenes[[#This Row],[tipo_ot]]="","",_xlfn.XLOOKUP(tblOrdenes[[#This Row],[tipo_ot]],tblTiposOT[codigo],tblTiposOT[clasificacion],"sin_clasificar"))</f>
        <v/>
      </c>
      <c r="U418" s="3">
        <f>IF(tblOrdenes[[#This Row],[centro_costo]]="","",_xlfn.XLOOKUP(tblOrdenes[[#This Row],[centro_costo]],tblCECO[codigo],tblCECO[linea],"(sin catálogo)"))</f>
        <v/>
      </c>
      <c r="V418" s="3">
        <f>IF(tblOrdenes[[#This Row],[centro_costo]]="","",_xlfn.XLOOKUP(tblOrdenes[[#This Row],[centro_costo]],tblCECO[codigo],tblCECO[area],"(sin catálogo)"))</f>
        <v/>
      </c>
      <c r="W418" s="3">
        <f>IF(tblOrdenes[[#This Row],[centro_costo]]="","",_xlfn.XLOOKUP(tblOrdenes[[#This Row],[centro_costo]],tblCECO[codigo],tblCECO[coordinador],"(sin catálogo)"))</f>
        <v/>
      </c>
      <c r="X418" s="3">
        <f>IF(tblOrdenes[[#This Row],[puesto_trabajo]]="","",_xlfn.XLOOKUP(tblOrdenes[[#This Row],[puesto_trabajo]],tblPuestos[codigo],tblPuestos[especialidad],"(sin catálogo)"))</f>
        <v/>
      </c>
      <c r="Y418" s="3">
        <f>IF(tblOrdenes[[#This Row],[cod_actividad]]="","",_xlfn.XLOOKUP(tblOrdenes[[#This Row],[cod_actividad]],tblActividades[codigo],tblActividades[descripcion],"(sin catálogo)"))</f>
        <v/>
      </c>
      <c r="Z418" s="12">
        <f>IF(tblOrdenes[[#This Row],[fecha_inicio]]="","",TODAY()-tblOrdenes[[#This Row],[fecha_inicio]])</f>
        <v/>
      </c>
      <c r="AA418" s="3">
        <f>IF(tblOrdenes[[#This Row],[backlog_dias]]="","",IF(tblOrdenes[[#This Row],[backlog_dias]]&lt;0,"FUTURO",IF(tblOrdenes[[#This Row],[backlog_dias]]&gt;p_dias_backlog_max,"BACKLOG","MES CORRIENTE")))</f>
        <v/>
      </c>
      <c r="AB418" s="3">
        <f>IF(tblOrdenes[[#This Row],[backlog_dias]]="",FALSE,AND(tblOrdenes[[#This Row],[backlog_dias]]&gt;p_dias_backlog_min,tblOrdenes[[#This Row],[backlog_dias]]&lt;=p_dias_backlog_max))</f>
        <v/>
      </c>
      <c r="AC418" s="6" t="n"/>
      <c r="AD4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18" s="10">
        <f>IF(tblOrdenes[[#This Row],[orden]]="","",_xlfn.XLOOKUP(tblOrdenes[[#This Row],[id_operacion]],tblEjecucion[id_operacion],tblEjecucion[precio],0))</f>
        <v/>
      </c>
      <c r="AH418" s="10">
        <f>IF(tblOrdenes[[#This Row],[orden]]="","",MAX(0,_xlfn.XLOOKUP(tblOrdenes[[#This Row],[id_operacion]],tblEjecucion[id_operacion],tblEjecucion[costo_plan_total],0)-tblOrdenes[[#This Row],[costo_servicio]]))</f>
        <v/>
      </c>
      <c r="AI418" s="10">
        <f>IF(tblOrdenes[[#This Row],[orden]]="","",tblOrdenes[[#This Row],[costo_servicio]]+tblOrdenes[[#This Row],[costo_materiales]])</f>
        <v/>
      </c>
      <c r="AJ418" s="6" t="n"/>
      <c r="AK418" s="6" t="n"/>
      <c r="AL418" s="6" t="n"/>
      <c r="AM418" s="3">
        <f>IF(tblOrdenes[[#This Row],[link_checklist]]="","",HYPERLINK(p_ruta_base_checklists&amp;tblOrdenes[[#This Row],[link_checklist]],"abrir"))</f>
        <v/>
      </c>
      <c r="AN418" s="6" t="n"/>
      <c r="AO418" s="3">
        <f>IF(tblOrdenes[[#This Row],[orden]]="","",tblOrdenes[[#This Row],[orden]]&amp;IF(tblOrdenes[[#This Row],[operacion]]="","0010",tblOrdenes[[#This Row],[operacion]]))</f>
        <v/>
      </c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11" t="n"/>
      <c r="K419" s="3" t="n"/>
      <c r="L419" s="10" t="n"/>
      <c r="M419" s="6" t="n"/>
      <c r="N4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19" s="3">
        <f>IF(tblOrdenes[[#This Row],[fecha_inicio]]="","",YEAR(tblOrdenes[[#This Row],[fecha_inicio]]))</f>
        <v/>
      </c>
      <c r="R419" s="3">
        <f>IF(tblOrdenes[[#This Row],[fecha_inicio]]="","",MONTH(tblOrdenes[[#This Row],[fecha_inicio]]))</f>
        <v/>
      </c>
      <c r="S419" s="3">
        <f>IF(tblOrdenes[[#This Row],[fecha_inicio]]="","",INDEX(lista_dias,WEEKDAY(tblOrdenes[[#This Row],[fecha_inicio]],2)))</f>
        <v/>
      </c>
      <c r="T419" s="3">
        <f>IF(tblOrdenes[[#This Row],[tipo_ot]]="","",_xlfn.XLOOKUP(tblOrdenes[[#This Row],[tipo_ot]],tblTiposOT[codigo],tblTiposOT[clasificacion],"sin_clasificar"))</f>
        <v/>
      </c>
      <c r="U419" s="3">
        <f>IF(tblOrdenes[[#This Row],[centro_costo]]="","",_xlfn.XLOOKUP(tblOrdenes[[#This Row],[centro_costo]],tblCECO[codigo],tblCECO[linea],"(sin catálogo)"))</f>
        <v/>
      </c>
      <c r="V419" s="3">
        <f>IF(tblOrdenes[[#This Row],[centro_costo]]="","",_xlfn.XLOOKUP(tblOrdenes[[#This Row],[centro_costo]],tblCECO[codigo],tblCECO[area],"(sin catálogo)"))</f>
        <v/>
      </c>
      <c r="W419" s="3">
        <f>IF(tblOrdenes[[#This Row],[centro_costo]]="","",_xlfn.XLOOKUP(tblOrdenes[[#This Row],[centro_costo]],tblCECO[codigo],tblCECO[coordinador],"(sin catálogo)"))</f>
        <v/>
      </c>
      <c r="X419" s="3">
        <f>IF(tblOrdenes[[#This Row],[puesto_trabajo]]="","",_xlfn.XLOOKUP(tblOrdenes[[#This Row],[puesto_trabajo]],tblPuestos[codigo],tblPuestos[especialidad],"(sin catálogo)"))</f>
        <v/>
      </c>
      <c r="Y419" s="3">
        <f>IF(tblOrdenes[[#This Row],[cod_actividad]]="","",_xlfn.XLOOKUP(tblOrdenes[[#This Row],[cod_actividad]],tblActividades[codigo],tblActividades[descripcion],"(sin catálogo)"))</f>
        <v/>
      </c>
      <c r="Z419" s="12">
        <f>IF(tblOrdenes[[#This Row],[fecha_inicio]]="","",TODAY()-tblOrdenes[[#This Row],[fecha_inicio]])</f>
        <v/>
      </c>
      <c r="AA419" s="3">
        <f>IF(tblOrdenes[[#This Row],[backlog_dias]]="","",IF(tblOrdenes[[#This Row],[backlog_dias]]&lt;0,"FUTURO",IF(tblOrdenes[[#This Row],[backlog_dias]]&gt;p_dias_backlog_max,"BACKLOG","MES CORRIENTE")))</f>
        <v/>
      </c>
      <c r="AB419" s="3">
        <f>IF(tblOrdenes[[#This Row],[backlog_dias]]="",FALSE,AND(tblOrdenes[[#This Row],[backlog_dias]]&gt;p_dias_backlog_min,tblOrdenes[[#This Row],[backlog_dias]]&lt;=p_dias_backlog_max))</f>
        <v/>
      </c>
      <c r="AC419" s="6" t="n"/>
      <c r="AD4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19" s="10">
        <f>IF(tblOrdenes[[#This Row],[orden]]="","",_xlfn.XLOOKUP(tblOrdenes[[#This Row],[id_operacion]],tblEjecucion[id_operacion],tblEjecucion[precio],0))</f>
        <v/>
      </c>
      <c r="AH419" s="10">
        <f>IF(tblOrdenes[[#This Row],[orden]]="","",MAX(0,_xlfn.XLOOKUP(tblOrdenes[[#This Row],[id_operacion]],tblEjecucion[id_operacion],tblEjecucion[costo_plan_total],0)-tblOrdenes[[#This Row],[costo_servicio]]))</f>
        <v/>
      </c>
      <c r="AI419" s="10">
        <f>IF(tblOrdenes[[#This Row],[orden]]="","",tblOrdenes[[#This Row],[costo_servicio]]+tblOrdenes[[#This Row],[costo_materiales]])</f>
        <v/>
      </c>
      <c r="AJ419" s="6" t="n"/>
      <c r="AK419" s="6" t="n"/>
      <c r="AL419" s="6" t="n"/>
      <c r="AM419" s="3">
        <f>IF(tblOrdenes[[#This Row],[link_checklist]]="","",HYPERLINK(p_ruta_base_checklists&amp;tblOrdenes[[#This Row],[link_checklist]],"abrir"))</f>
        <v/>
      </c>
      <c r="AN419" s="6" t="n"/>
      <c r="AO419" s="3">
        <f>IF(tblOrdenes[[#This Row],[orden]]="","",tblOrdenes[[#This Row],[orden]]&amp;IF(tblOrdenes[[#This Row],[operacion]]="","0010",tblOrdenes[[#This Row],[operacion]]))</f>
        <v/>
      </c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11" t="n"/>
      <c r="K420" s="3" t="n"/>
      <c r="L420" s="10" t="n"/>
      <c r="M420" s="6" t="n"/>
      <c r="N4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20" s="3">
        <f>IF(tblOrdenes[[#This Row],[fecha_inicio]]="","",YEAR(tblOrdenes[[#This Row],[fecha_inicio]]))</f>
        <v/>
      </c>
      <c r="R420" s="3">
        <f>IF(tblOrdenes[[#This Row],[fecha_inicio]]="","",MONTH(tblOrdenes[[#This Row],[fecha_inicio]]))</f>
        <v/>
      </c>
      <c r="S420" s="3">
        <f>IF(tblOrdenes[[#This Row],[fecha_inicio]]="","",INDEX(lista_dias,WEEKDAY(tblOrdenes[[#This Row],[fecha_inicio]],2)))</f>
        <v/>
      </c>
      <c r="T420" s="3">
        <f>IF(tblOrdenes[[#This Row],[tipo_ot]]="","",_xlfn.XLOOKUP(tblOrdenes[[#This Row],[tipo_ot]],tblTiposOT[codigo],tblTiposOT[clasificacion],"sin_clasificar"))</f>
        <v/>
      </c>
      <c r="U420" s="3">
        <f>IF(tblOrdenes[[#This Row],[centro_costo]]="","",_xlfn.XLOOKUP(tblOrdenes[[#This Row],[centro_costo]],tblCECO[codigo],tblCECO[linea],"(sin catálogo)"))</f>
        <v/>
      </c>
      <c r="V420" s="3">
        <f>IF(tblOrdenes[[#This Row],[centro_costo]]="","",_xlfn.XLOOKUP(tblOrdenes[[#This Row],[centro_costo]],tblCECO[codigo],tblCECO[area],"(sin catálogo)"))</f>
        <v/>
      </c>
      <c r="W420" s="3">
        <f>IF(tblOrdenes[[#This Row],[centro_costo]]="","",_xlfn.XLOOKUP(tblOrdenes[[#This Row],[centro_costo]],tblCECO[codigo],tblCECO[coordinador],"(sin catálogo)"))</f>
        <v/>
      </c>
      <c r="X420" s="3">
        <f>IF(tblOrdenes[[#This Row],[puesto_trabajo]]="","",_xlfn.XLOOKUP(tblOrdenes[[#This Row],[puesto_trabajo]],tblPuestos[codigo],tblPuestos[especialidad],"(sin catálogo)"))</f>
        <v/>
      </c>
      <c r="Y420" s="3">
        <f>IF(tblOrdenes[[#This Row],[cod_actividad]]="","",_xlfn.XLOOKUP(tblOrdenes[[#This Row],[cod_actividad]],tblActividades[codigo],tblActividades[descripcion],"(sin catálogo)"))</f>
        <v/>
      </c>
      <c r="Z420" s="12">
        <f>IF(tblOrdenes[[#This Row],[fecha_inicio]]="","",TODAY()-tblOrdenes[[#This Row],[fecha_inicio]])</f>
        <v/>
      </c>
      <c r="AA420" s="3">
        <f>IF(tblOrdenes[[#This Row],[backlog_dias]]="","",IF(tblOrdenes[[#This Row],[backlog_dias]]&lt;0,"FUTURO",IF(tblOrdenes[[#This Row],[backlog_dias]]&gt;p_dias_backlog_max,"BACKLOG","MES CORRIENTE")))</f>
        <v/>
      </c>
      <c r="AB420" s="3">
        <f>IF(tblOrdenes[[#This Row],[backlog_dias]]="",FALSE,AND(tblOrdenes[[#This Row],[backlog_dias]]&gt;p_dias_backlog_min,tblOrdenes[[#This Row],[backlog_dias]]&lt;=p_dias_backlog_max))</f>
        <v/>
      </c>
      <c r="AC420" s="6" t="n"/>
      <c r="AD4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20" s="10">
        <f>IF(tblOrdenes[[#This Row],[orden]]="","",_xlfn.XLOOKUP(tblOrdenes[[#This Row],[id_operacion]],tblEjecucion[id_operacion],tblEjecucion[precio],0))</f>
        <v/>
      </c>
      <c r="AH420" s="10">
        <f>IF(tblOrdenes[[#This Row],[orden]]="","",MAX(0,_xlfn.XLOOKUP(tblOrdenes[[#This Row],[id_operacion]],tblEjecucion[id_operacion],tblEjecucion[costo_plan_total],0)-tblOrdenes[[#This Row],[costo_servicio]]))</f>
        <v/>
      </c>
      <c r="AI420" s="10">
        <f>IF(tblOrdenes[[#This Row],[orden]]="","",tblOrdenes[[#This Row],[costo_servicio]]+tblOrdenes[[#This Row],[costo_materiales]])</f>
        <v/>
      </c>
      <c r="AJ420" s="6" t="n"/>
      <c r="AK420" s="6" t="n"/>
      <c r="AL420" s="6" t="n"/>
      <c r="AM420" s="3">
        <f>IF(tblOrdenes[[#This Row],[link_checklist]]="","",HYPERLINK(p_ruta_base_checklists&amp;tblOrdenes[[#This Row],[link_checklist]],"abrir"))</f>
        <v/>
      </c>
      <c r="AN420" s="6" t="n"/>
      <c r="AO420" s="3">
        <f>IF(tblOrdenes[[#This Row],[orden]]="","",tblOrdenes[[#This Row],[orden]]&amp;IF(tblOrdenes[[#This Row],[operacion]]="","0010",tblOrdenes[[#This Row],[operacion]]))</f>
        <v/>
      </c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11" t="n"/>
      <c r="K421" s="3" t="n"/>
      <c r="L421" s="10" t="n"/>
      <c r="M421" s="6" t="n"/>
      <c r="N4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21" s="3">
        <f>IF(tblOrdenes[[#This Row],[fecha_inicio]]="","",YEAR(tblOrdenes[[#This Row],[fecha_inicio]]))</f>
        <v/>
      </c>
      <c r="R421" s="3">
        <f>IF(tblOrdenes[[#This Row],[fecha_inicio]]="","",MONTH(tblOrdenes[[#This Row],[fecha_inicio]]))</f>
        <v/>
      </c>
      <c r="S421" s="3">
        <f>IF(tblOrdenes[[#This Row],[fecha_inicio]]="","",INDEX(lista_dias,WEEKDAY(tblOrdenes[[#This Row],[fecha_inicio]],2)))</f>
        <v/>
      </c>
      <c r="T421" s="3">
        <f>IF(tblOrdenes[[#This Row],[tipo_ot]]="","",_xlfn.XLOOKUP(tblOrdenes[[#This Row],[tipo_ot]],tblTiposOT[codigo],tblTiposOT[clasificacion],"sin_clasificar"))</f>
        <v/>
      </c>
      <c r="U421" s="3">
        <f>IF(tblOrdenes[[#This Row],[centro_costo]]="","",_xlfn.XLOOKUP(tblOrdenes[[#This Row],[centro_costo]],tblCECO[codigo],tblCECO[linea],"(sin catálogo)"))</f>
        <v/>
      </c>
      <c r="V421" s="3">
        <f>IF(tblOrdenes[[#This Row],[centro_costo]]="","",_xlfn.XLOOKUP(tblOrdenes[[#This Row],[centro_costo]],tblCECO[codigo],tblCECO[area],"(sin catálogo)"))</f>
        <v/>
      </c>
      <c r="W421" s="3">
        <f>IF(tblOrdenes[[#This Row],[centro_costo]]="","",_xlfn.XLOOKUP(tblOrdenes[[#This Row],[centro_costo]],tblCECO[codigo],tblCECO[coordinador],"(sin catálogo)"))</f>
        <v/>
      </c>
      <c r="X421" s="3">
        <f>IF(tblOrdenes[[#This Row],[puesto_trabajo]]="","",_xlfn.XLOOKUP(tblOrdenes[[#This Row],[puesto_trabajo]],tblPuestos[codigo],tblPuestos[especialidad],"(sin catálogo)"))</f>
        <v/>
      </c>
      <c r="Y421" s="3">
        <f>IF(tblOrdenes[[#This Row],[cod_actividad]]="","",_xlfn.XLOOKUP(tblOrdenes[[#This Row],[cod_actividad]],tblActividades[codigo],tblActividades[descripcion],"(sin catálogo)"))</f>
        <v/>
      </c>
      <c r="Z421" s="12">
        <f>IF(tblOrdenes[[#This Row],[fecha_inicio]]="","",TODAY()-tblOrdenes[[#This Row],[fecha_inicio]])</f>
        <v/>
      </c>
      <c r="AA421" s="3">
        <f>IF(tblOrdenes[[#This Row],[backlog_dias]]="","",IF(tblOrdenes[[#This Row],[backlog_dias]]&lt;0,"FUTURO",IF(tblOrdenes[[#This Row],[backlog_dias]]&gt;p_dias_backlog_max,"BACKLOG","MES CORRIENTE")))</f>
        <v/>
      </c>
      <c r="AB421" s="3">
        <f>IF(tblOrdenes[[#This Row],[backlog_dias]]="",FALSE,AND(tblOrdenes[[#This Row],[backlog_dias]]&gt;p_dias_backlog_min,tblOrdenes[[#This Row],[backlog_dias]]&lt;=p_dias_backlog_max))</f>
        <v/>
      </c>
      <c r="AC421" s="6" t="n"/>
      <c r="AD4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21" s="10">
        <f>IF(tblOrdenes[[#This Row],[orden]]="","",_xlfn.XLOOKUP(tblOrdenes[[#This Row],[id_operacion]],tblEjecucion[id_operacion],tblEjecucion[precio],0))</f>
        <v/>
      </c>
      <c r="AH421" s="10">
        <f>IF(tblOrdenes[[#This Row],[orden]]="","",MAX(0,_xlfn.XLOOKUP(tblOrdenes[[#This Row],[id_operacion]],tblEjecucion[id_operacion],tblEjecucion[costo_plan_total],0)-tblOrdenes[[#This Row],[costo_servicio]]))</f>
        <v/>
      </c>
      <c r="AI421" s="10">
        <f>IF(tblOrdenes[[#This Row],[orden]]="","",tblOrdenes[[#This Row],[costo_servicio]]+tblOrdenes[[#This Row],[costo_materiales]])</f>
        <v/>
      </c>
      <c r="AJ421" s="6" t="n"/>
      <c r="AK421" s="6" t="n"/>
      <c r="AL421" s="6" t="n"/>
      <c r="AM421" s="3">
        <f>IF(tblOrdenes[[#This Row],[link_checklist]]="","",HYPERLINK(p_ruta_base_checklists&amp;tblOrdenes[[#This Row],[link_checklist]],"abrir"))</f>
        <v/>
      </c>
      <c r="AN421" s="6" t="n"/>
      <c r="AO421" s="3">
        <f>IF(tblOrdenes[[#This Row],[orden]]="","",tblOrdenes[[#This Row],[orden]]&amp;IF(tblOrdenes[[#This Row],[operacion]]="","0010",tblOrdenes[[#This Row],[operacion]]))</f>
        <v/>
      </c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11" t="n"/>
      <c r="K422" s="3" t="n"/>
      <c r="L422" s="10" t="n"/>
      <c r="M422" s="6" t="n"/>
      <c r="N4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22" s="3">
        <f>IF(tblOrdenes[[#This Row],[fecha_inicio]]="","",YEAR(tblOrdenes[[#This Row],[fecha_inicio]]))</f>
        <v/>
      </c>
      <c r="R422" s="3">
        <f>IF(tblOrdenes[[#This Row],[fecha_inicio]]="","",MONTH(tblOrdenes[[#This Row],[fecha_inicio]]))</f>
        <v/>
      </c>
      <c r="S422" s="3">
        <f>IF(tblOrdenes[[#This Row],[fecha_inicio]]="","",INDEX(lista_dias,WEEKDAY(tblOrdenes[[#This Row],[fecha_inicio]],2)))</f>
        <v/>
      </c>
      <c r="T422" s="3">
        <f>IF(tblOrdenes[[#This Row],[tipo_ot]]="","",_xlfn.XLOOKUP(tblOrdenes[[#This Row],[tipo_ot]],tblTiposOT[codigo],tblTiposOT[clasificacion],"sin_clasificar"))</f>
        <v/>
      </c>
      <c r="U422" s="3">
        <f>IF(tblOrdenes[[#This Row],[centro_costo]]="","",_xlfn.XLOOKUP(tblOrdenes[[#This Row],[centro_costo]],tblCECO[codigo],tblCECO[linea],"(sin catálogo)"))</f>
        <v/>
      </c>
      <c r="V422" s="3">
        <f>IF(tblOrdenes[[#This Row],[centro_costo]]="","",_xlfn.XLOOKUP(tblOrdenes[[#This Row],[centro_costo]],tblCECO[codigo],tblCECO[area],"(sin catálogo)"))</f>
        <v/>
      </c>
      <c r="W422" s="3">
        <f>IF(tblOrdenes[[#This Row],[centro_costo]]="","",_xlfn.XLOOKUP(tblOrdenes[[#This Row],[centro_costo]],tblCECO[codigo],tblCECO[coordinador],"(sin catálogo)"))</f>
        <v/>
      </c>
      <c r="X422" s="3">
        <f>IF(tblOrdenes[[#This Row],[puesto_trabajo]]="","",_xlfn.XLOOKUP(tblOrdenes[[#This Row],[puesto_trabajo]],tblPuestos[codigo],tblPuestos[especialidad],"(sin catálogo)"))</f>
        <v/>
      </c>
      <c r="Y422" s="3">
        <f>IF(tblOrdenes[[#This Row],[cod_actividad]]="","",_xlfn.XLOOKUP(tblOrdenes[[#This Row],[cod_actividad]],tblActividades[codigo],tblActividades[descripcion],"(sin catálogo)"))</f>
        <v/>
      </c>
      <c r="Z422" s="12">
        <f>IF(tblOrdenes[[#This Row],[fecha_inicio]]="","",TODAY()-tblOrdenes[[#This Row],[fecha_inicio]])</f>
        <v/>
      </c>
      <c r="AA422" s="3">
        <f>IF(tblOrdenes[[#This Row],[backlog_dias]]="","",IF(tblOrdenes[[#This Row],[backlog_dias]]&lt;0,"FUTURO",IF(tblOrdenes[[#This Row],[backlog_dias]]&gt;p_dias_backlog_max,"BACKLOG","MES CORRIENTE")))</f>
        <v/>
      </c>
      <c r="AB422" s="3">
        <f>IF(tblOrdenes[[#This Row],[backlog_dias]]="",FALSE,AND(tblOrdenes[[#This Row],[backlog_dias]]&gt;p_dias_backlog_min,tblOrdenes[[#This Row],[backlog_dias]]&lt;=p_dias_backlog_max))</f>
        <v/>
      </c>
      <c r="AC422" s="6" t="n"/>
      <c r="AD4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22" s="10">
        <f>IF(tblOrdenes[[#This Row],[orden]]="","",_xlfn.XLOOKUP(tblOrdenes[[#This Row],[id_operacion]],tblEjecucion[id_operacion],tblEjecucion[precio],0))</f>
        <v/>
      </c>
      <c r="AH422" s="10">
        <f>IF(tblOrdenes[[#This Row],[orden]]="","",MAX(0,_xlfn.XLOOKUP(tblOrdenes[[#This Row],[id_operacion]],tblEjecucion[id_operacion],tblEjecucion[costo_plan_total],0)-tblOrdenes[[#This Row],[costo_servicio]]))</f>
        <v/>
      </c>
      <c r="AI422" s="10">
        <f>IF(tblOrdenes[[#This Row],[orden]]="","",tblOrdenes[[#This Row],[costo_servicio]]+tblOrdenes[[#This Row],[costo_materiales]])</f>
        <v/>
      </c>
      <c r="AJ422" s="6" t="n"/>
      <c r="AK422" s="6" t="n"/>
      <c r="AL422" s="6" t="n"/>
      <c r="AM422" s="3">
        <f>IF(tblOrdenes[[#This Row],[link_checklist]]="","",HYPERLINK(p_ruta_base_checklists&amp;tblOrdenes[[#This Row],[link_checklist]],"abrir"))</f>
        <v/>
      </c>
      <c r="AN422" s="6" t="n"/>
      <c r="AO422" s="3">
        <f>IF(tblOrdenes[[#This Row],[orden]]="","",tblOrdenes[[#This Row],[orden]]&amp;IF(tblOrdenes[[#This Row],[operacion]]="","0010",tblOrdenes[[#This Row],[operacion]]))</f>
        <v/>
      </c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11" t="n"/>
      <c r="K423" s="3" t="n"/>
      <c r="L423" s="10" t="n"/>
      <c r="M423" s="6" t="n"/>
      <c r="N4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23" s="3">
        <f>IF(tblOrdenes[[#This Row],[fecha_inicio]]="","",YEAR(tblOrdenes[[#This Row],[fecha_inicio]]))</f>
        <v/>
      </c>
      <c r="R423" s="3">
        <f>IF(tblOrdenes[[#This Row],[fecha_inicio]]="","",MONTH(tblOrdenes[[#This Row],[fecha_inicio]]))</f>
        <v/>
      </c>
      <c r="S423" s="3">
        <f>IF(tblOrdenes[[#This Row],[fecha_inicio]]="","",INDEX(lista_dias,WEEKDAY(tblOrdenes[[#This Row],[fecha_inicio]],2)))</f>
        <v/>
      </c>
      <c r="T423" s="3">
        <f>IF(tblOrdenes[[#This Row],[tipo_ot]]="","",_xlfn.XLOOKUP(tblOrdenes[[#This Row],[tipo_ot]],tblTiposOT[codigo],tblTiposOT[clasificacion],"sin_clasificar"))</f>
        <v/>
      </c>
      <c r="U423" s="3">
        <f>IF(tblOrdenes[[#This Row],[centro_costo]]="","",_xlfn.XLOOKUP(tblOrdenes[[#This Row],[centro_costo]],tblCECO[codigo],tblCECO[linea],"(sin catálogo)"))</f>
        <v/>
      </c>
      <c r="V423" s="3">
        <f>IF(tblOrdenes[[#This Row],[centro_costo]]="","",_xlfn.XLOOKUP(tblOrdenes[[#This Row],[centro_costo]],tblCECO[codigo],tblCECO[area],"(sin catálogo)"))</f>
        <v/>
      </c>
      <c r="W423" s="3">
        <f>IF(tblOrdenes[[#This Row],[centro_costo]]="","",_xlfn.XLOOKUP(tblOrdenes[[#This Row],[centro_costo]],tblCECO[codigo],tblCECO[coordinador],"(sin catálogo)"))</f>
        <v/>
      </c>
      <c r="X423" s="3">
        <f>IF(tblOrdenes[[#This Row],[puesto_trabajo]]="","",_xlfn.XLOOKUP(tblOrdenes[[#This Row],[puesto_trabajo]],tblPuestos[codigo],tblPuestos[especialidad],"(sin catálogo)"))</f>
        <v/>
      </c>
      <c r="Y423" s="3">
        <f>IF(tblOrdenes[[#This Row],[cod_actividad]]="","",_xlfn.XLOOKUP(tblOrdenes[[#This Row],[cod_actividad]],tblActividades[codigo],tblActividades[descripcion],"(sin catálogo)"))</f>
        <v/>
      </c>
      <c r="Z423" s="12">
        <f>IF(tblOrdenes[[#This Row],[fecha_inicio]]="","",TODAY()-tblOrdenes[[#This Row],[fecha_inicio]])</f>
        <v/>
      </c>
      <c r="AA423" s="3">
        <f>IF(tblOrdenes[[#This Row],[backlog_dias]]="","",IF(tblOrdenes[[#This Row],[backlog_dias]]&lt;0,"FUTURO",IF(tblOrdenes[[#This Row],[backlog_dias]]&gt;p_dias_backlog_max,"BACKLOG","MES CORRIENTE")))</f>
        <v/>
      </c>
      <c r="AB423" s="3">
        <f>IF(tblOrdenes[[#This Row],[backlog_dias]]="",FALSE,AND(tblOrdenes[[#This Row],[backlog_dias]]&gt;p_dias_backlog_min,tblOrdenes[[#This Row],[backlog_dias]]&lt;=p_dias_backlog_max))</f>
        <v/>
      </c>
      <c r="AC423" s="6" t="n"/>
      <c r="AD4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23" s="10">
        <f>IF(tblOrdenes[[#This Row],[orden]]="","",_xlfn.XLOOKUP(tblOrdenes[[#This Row],[id_operacion]],tblEjecucion[id_operacion],tblEjecucion[precio],0))</f>
        <v/>
      </c>
      <c r="AH423" s="10">
        <f>IF(tblOrdenes[[#This Row],[orden]]="","",MAX(0,_xlfn.XLOOKUP(tblOrdenes[[#This Row],[id_operacion]],tblEjecucion[id_operacion],tblEjecucion[costo_plan_total],0)-tblOrdenes[[#This Row],[costo_servicio]]))</f>
        <v/>
      </c>
      <c r="AI423" s="10">
        <f>IF(tblOrdenes[[#This Row],[orden]]="","",tblOrdenes[[#This Row],[costo_servicio]]+tblOrdenes[[#This Row],[costo_materiales]])</f>
        <v/>
      </c>
      <c r="AJ423" s="6" t="n"/>
      <c r="AK423" s="6" t="n"/>
      <c r="AL423" s="6" t="n"/>
      <c r="AM423" s="3">
        <f>IF(tblOrdenes[[#This Row],[link_checklist]]="","",HYPERLINK(p_ruta_base_checklists&amp;tblOrdenes[[#This Row],[link_checklist]],"abrir"))</f>
        <v/>
      </c>
      <c r="AN423" s="6" t="n"/>
      <c r="AO423" s="3">
        <f>IF(tblOrdenes[[#This Row],[orden]]="","",tblOrdenes[[#This Row],[orden]]&amp;IF(tblOrdenes[[#This Row],[operacion]]="","0010",tblOrdenes[[#This Row],[operacion]]))</f>
        <v/>
      </c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11" t="n"/>
      <c r="K424" s="3" t="n"/>
      <c r="L424" s="10" t="n"/>
      <c r="M424" s="6" t="n"/>
      <c r="N4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24" s="3">
        <f>IF(tblOrdenes[[#This Row],[fecha_inicio]]="","",YEAR(tblOrdenes[[#This Row],[fecha_inicio]]))</f>
        <v/>
      </c>
      <c r="R424" s="3">
        <f>IF(tblOrdenes[[#This Row],[fecha_inicio]]="","",MONTH(tblOrdenes[[#This Row],[fecha_inicio]]))</f>
        <v/>
      </c>
      <c r="S424" s="3">
        <f>IF(tblOrdenes[[#This Row],[fecha_inicio]]="","",INDEX(lista_dias,WEEKDAY(tblOrdenes[[#This Row],[fecha_inicio]],2)))</f>
        <v/>
      </c>
      <c r="T424" s="3">
        <f>IF(tblOrdenes[[#This Row],[tipo_ot]]="","",_xlfn.XLOOKUP(tblOrdenes[[#This Row],[tipo_ot]],tblTiposOT[codigo],tblTiposOT[clasificacion],"sin_clasificar"))</f>
        <v/>
      </c>
      <c r="U424" s="3">
        <f>IF(tblOrdenes[[#This Row],[centro_costo]]="","",_xlfn.XLOOKUP(tblOrdenes[[#This Row],[centro_costo]],tblCECO[codigo],tblCECO[linea],"(sin catálogo)"))</f>
        <v/>
      </c>
      <c r="V424" s="3">
        <f>IF(tblOrdenes[[#This Row],[centro_costo]]="","",_xlfn.XLOOKUP(tblOrdenes[[#This Row],[centro_costo]],tblCECO[codigo],tblCECO[area],"(sin catálogo)"))</f>
        <v/>
      </c>
      <c r="W424" s="3">
        <f>IF(tblOrdenes[[#This Row],[centro_costo]]="","",_xlfn.XLOOKUP(tblOrdenes[[#This Row],[centro_costo]],tblCECO[codigo],tblCECO[coordinador],"(sin catálogo)"))</f>
        <v/>
      </c>
      <c r="X424" s="3">
        <f>IF(tblOrdenes[[#This Row],[puesto_trabajo]]="","",_xlfn.XLOOKUP(tblOrdenes[[#This Row],[puesto_trabajo]],tblPuestos[codigo],tblPuestos[especialidad],"(sin catálogo)"))</f>
        <v/>
      </c>
      <c r="Y424" s="3">
        <f>IF(tblOrdenes[[#This Row],[cod_actividad]]="","",_xlfn.XLOOKUP(tblOrdenes[[#This Row],[cod_actividad]],tblActividades[codigo],tblActividades[descripcion],"(sin catálogo)"))</f>
        <v/>
      </c>
      <c r="Z424" s="12">
        <f>IF(tblOrdenes[[#This Row],[fecha_inicio]]="","",TODAY()-tblOrdenes[[#This Row],[fecha_inicio]])</f>
        <v/>
      </c>
      <c r="AA424" s="3">
        <f>IF(tblOrdenes[[#This Row],[backlog_dias]]="","",IF(tblOrdenes[[#This Row],[backlog_dias]]&lt;0,"FUTURO",IF(tblOrdenes[[#This Row],[backlog_dias]]&gt;p_dias_backlog_max,"BACKLOG","MES CORRIENTE")))</f>
        <v/>
      </c>
      <c r="AB424" s="3">
        <f>IF(tblOrdenes[[#This Row],[backlog_dias]]="",FALSE,AND(tblOrdenes[[#This Row],[backlog_dias]]&gt;p_dias_backlog_min,tblOrdenes[[#This Row],[backlog_dias]]&lt;=p_dias_backlog_max))</f>
        <v/>
      </c>
      <c r="AC424" s="6" t="n"/>
      <c r="AD4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24" s="10">
        <f>IF(tblOrdenes[[#This Row],[orden]]="","",_xlfn.XLOOKUP(tblOrdenes[[#This Row],[id_operacion]],tblEjecucion[id_operacion],tblEjecucion[precio],0))</f>
        <v/>
      </c>
      <c r="AH424" s="10">
        <f>IF(tblOrdenes[[#This Row],[orden]]="","",MAX(0,_xlfn.XLOOKUP(tblOrdenes[[#This Row],[id_operacion]],tblEjecucion[id_operacion],tblEjecucion[costo_plan_total],0)-tblOrdenes[[#This Row],[costo_servicio]]))</f>
        <v/>
      </c>
      <c r="AI424" s="10">
        <f>IF(tblOrdenes[[#This Row],[orden]]="","",tblOrdenes[[#This Row],[costo_servicio]]+tblOrdenes[[#This Row],[costo_materiales]])</f>
        <v/>
      </c>
      <c r="AJ424" s="6" t="n"/>
      <c r="AK424" s="6" t="n"/>
      <c r="AL424" s="6" t="n"/>
      <c r="AM424" s="3">
        <f>IF(tblOrdenes[[#This Row],[link_checklist]]="","",HYPERLINK(p_ruta_base_checklists&amp;tblOrdenes[[#This Row],[link_checklist]],"abrir"))</f>
        <v/>
      </c>
      <c r="AN424" s="6" t="n"/>
      <c r="AO424" s="3">
        <f>IF(tblOrdenes[[#This Row],[orden]]="","",tblOrdenes[[#This Row],[orden]]&amp;IF(tblOrdenes[[#This Row],[operacion]]="","0010",tblOrdenes[[#This Row],[operacion]]))</f>
        <v/>
      </c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11" t="n"/>
      <c r="K425" s="3" t="n"/>
      <c r="L425" s="10" t="n"/>
      <c r="M425" s="6" t="n"/>
      <c r="N4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25" s="3">
        <f>IF(tblOrdenes[[#This Row],[fecha_inicio]]="","",YEAR(tblOrdenes[[#This Row],[fecha_inicio]]))</f>
        <v/>
      </c>
      <c r="R425" s="3">
        <f>IF(tblOrdenes[[#This Row],[fecha_inicio]]="","",MONTH(tblOrdenes[[#This Row],[fecha_inicio]]))</f>
        <v/>
      </c>
      <c r="S425" s="3">
        <f>IF(tblOrdenes[[#This Row],[fecha_inicio]]="","",INDEX(lista_dias,WEEKDAY(tblOrdenes[[#This Row],[fecha_inicio]],2)))</f>
        <v/>
      </c>
      <c r="T425" s="3">
        <f>IF(tblOrdenes[[#This Row],[tipo_ot]]="","",_xlfn.XLOOKUP(tblOrdenes[[#This Row],[tipo_ot]],tblTiposOT[codigo],tblTiposOT[clasificacion],"sin_clasificar"))</f>
        <v/>
      </c>
      <c r="U425" s="3">
        <f>IF(tblOrdenes[[#This Row],[centro_costo]]="","",_xlfn.XLOOKUP(tblOrdenes[[#This Row],[centro_costo]],tblCECO[codigo],tblCECO[linea],"(sin catálogo)"))</f>
        <v/>
      </c>
      <c r="V425" s="3">
        <f>IF(tblOrdenes[[#This Row],[centro_costo]]="","",_xlfn.XLOOKUP(tblOrdenes[[#This Row],[centro_costo]],tblCECO[codigo],tblCECO[area],"(sin catálogo)"))</f>
        <v/>
      </c>
      <c r="W425" s="3">
        <f>IF(tblOrdenes[[#This Row],[centro_costo]]="","",_xlfn.XLOOKUP(tblOrdenes[[#This Row],[centro_costo]],tblCECO[codigo],tblCECO[coordinador],"(sin catálogo)"))</f>
        <v/>
      </c>
      <c r="X425" s="3">
        <f>IF(tblOrdenes[[#This Row],[puesto_trabajo]]="","",_xlfn.XLOOKUP(tblOrdenes[[#This Row],[puesto_trabajo]],tblPuestos[codigo],tblPuestos[especialidad],"(sin catálogo)"))</f>
        <v/>
      </c>
      <c r="Y425" s="3">
        <f>IF(tblOrdenes[[#This Row],[cod_actividad]]="","",_xlfn.XLOOKUP(tblOrdenes[[#This Row],[cod_actividad]],tblActividades[codigo],tblActividades[descripcion],"(sin catálogo)"))</f>
        <v/>
      </c>
      <c r="Z425" s="12">
        <f>IF(tblOrdenes[[#This Row],[fecha_inicio]]="","",TODAY()-tblOrdenes[[#This Row],[fecha_inicio]])</f>
        <v/>
      </c>
      <c r="AA425" s="3">
        <f>IF(tblOrdenes[[#This Row],[backlog_dias]]="","",IF(tblOrdenes[[#This Row],[backlog_dias]]&lt;0,"FUTURO",IF(tblOrdenes[[#This Row],[backlog_dias]]&gt;p_dias_backlog_max,"BACKLOG","MES CORRIENTE")))</f>
        <v/>
      </c>
      <c r="AB425" s="3">
        <f>IF(tblOrdenes[[#This Row],[backlog_dias]]="",FALSE,AND(tblOrdenes[[#This Row],[backlog_dias]]&gt;p_dias_backlog_min,tblOrdenes[[#This Row],[backlog_dias]]&lt;=p_dias_backlog_max))</f>
        <v/>
      </c>
      <c r="AC425" s="6" t="n"/>
      <c r="AD4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25" s="10">
        <f>IF(tblOrdenes[[#This Row],[orden]]="","",_xlfn.XLOOKUP(tblOrdenes[[#This Row],[id_operacion]],tblEjecucion[id_operacion],tblEjecucion[precio],0))</f>
        <v/>
      </c>
      <c r="AH425" s="10">
        <f>IF(tblOrdenes[[#This Row],[orden]]="","",MAX(0,_xlfn.XLOOKUP(tblOrdenes[[#This Row],[id_operacion]],tblEjecucion[id_operacion],tblEjecucion[costo_plan_total],0)-tblOrdenes[[#This Row],[costo_servicio]]))</f>
        <v/>
      </c>
      <c r="AI425" s="10">
        <f>IF(tblOrdenes[[#This Row],[orden]]="","",tblOrdenes[[#This Row],[costo_servicio]]+tblOrdenes[[#This Row],[costo_materiales]])</f>
        <v/>
      </c>
      <c r="AJ425" s="6" t="n"/>
      <c r="AK425" s="6" t="n"/>
      <c r="AL425" s="6" t="n"/>
      <c r="AM425" s="3">
        <f>IF(tblOrdenes[[#This Row],[link_checklist]]="","",HYPERLINK(p_ruta_base_checklists&amp;tblOrdenes[[#This Row],[link_checklist]],"abrir"))</f>
        <v/>
      </c>
      <c r="AN425" s="6" t="n"/>
      <c r="AO425" s="3">
        <f>IF(tblOrdenes[[#This Row],[orden]]="","",tblOrdenes[[#This Row],[orden]]&amp;IF(tblOrdenes[[#This Row],[operacion]]="","0010",tblOrdenes[[#This Row],[operacion]]))</f>
        <v/>
      </c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11" t="n"/>
      <c r="K426" s="3" t="n"/>
      <c r="L426" s="10" t="n"/>
      <c r="M426" s="6" t="n"/>
      <c r="N4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26" s="3">
        <f>IF(tblOrdenes[[#This Row],[fecha_inicio]]="","",YEAR(tblOrdenes[[#This Row],[fecha_inicio]]))</f>
        <v/>
      </c>
      <c r="R426" s="3">
        <f>IF(tblOrdenes[[#This Row],[fecha_inicio]]="","",MONTH(tblOrdenes[[#This Row],[fecha_inicio]]))</f>
        <v/>
      </c>
      <c r="S426" s="3">
        <f>IF(tblOrdenes[[#This Row],[fecha_inicio]]="","",INDEX(lista_dias,WEEKDAY(tblOrdenes[[#This Row],[fecha_inicio]],2)))</f>
        <v/>
      </c>
      <c r="T426" s="3">
        <f>IF(tblOrdenes[[#This Row],[tipo_ot]]="","",_xlfn.XLOOKUP(tblOrdenes[[#This Row],[tipo_ot]],tblTiposOT[codigo],tblTiposOT[clasificacion],"sin_clasificar"))</f>
        <v/>
      </c>
      <c r="U426" s="3">
        <f>IF(tblOrdenes[[#This Row],[centro_costo]]="","",_xlfn.XLOOKUP(tblOrdenes[[#This Row],[centro_costo]],tblCECO[codigo],tblCECO[linea],"(sin catálogo)"))</f>
        <v/>
      </c>
      <c r="V426" s="3">
        <f>IF(tblOrdenes[[#This Row],[centro_costo]]="","",_xlfn.XLOOKUP(tblOrdenes[[#This Row],[centro_costo]],tblCECO[codigo],tblCECO[area],"(sin catálogo)"))</f>
        <v/>
      </c>
      <c r="W426" s="3">
        <f>IF(tblOrdenes[[#This Row],[centro_costo]]="","",_xlfn.XLOOKUP(tblOrdenes[[#This Row],[centro_costo]],tblCECO[codigo],tblCECO[coordinador],"(sin catálogo)"))</f>
        <v/>
      </c>
      <c r="X426" s="3">
        <f>IF(tblOrdenes[[#This Row],[puesto_trabajo]]="","",_xlfn.XLOOKUP(tblOrdenes[[#This Row],[puesto_trabajo]],tblPuestos[codigo],tblPuestos[especialidad],"(sin catálogo)"))</f>
        <v/>
      </c>
      <c r="Y426" s="3">
        <f>IF(tblOrdenes[[#This Row],[cod_actividad]]="","",_xlfn.XLOOKUP(tblOrdenes[[#This Row],[cod_actividad]],tblActividades[codigo],tblActividades[descripcion],"(sin catálogo)"))</f>
        <v/>
      </c>
      <c r="Z426" s="12">
        <f>IF(tblOrdenes[[#This Row],[fecha_inicio]]="","",TODAY()-tblOrdenes[[#This Row],[fecha_inicio]])</f>
        <v/>
      </c>
      <c r="AA426" s="3">
        <f>IF(tblOrdenes[[#This Row],[backlog_dias]]="","",IF(tblOrdenes[[#This Row],[backlog_dias]]&lt;0,"FUTURO",IF(tblOrdenes[[#This Row],[backlog_dias]]&gt;p_dias_backlog_max,"BACKLOG","MES CORRIENTE")))</f>
        <v/>
      </c>
      <c r="AB426" s="3">
        <f>IF(tblOrdenes[[#This Row],[backlog_dias]]="",FALSE,AND(tblOrdenes[[#This Row],[backlog_dias]]&gt;p_dias_backlog_min,tblOrdenes[[#This Row],[backlog_dias]]&lt;=p_dias_backlog_max))</f>
        <v/>
      </c>
      <c r="AC426" s="6" t="n"/>
      <c r="AD4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26" s="10">
        <f>IF(tblOrdenes[[#This Row],[orden]]="","",_xlfn.XLOOKUP(tblOrdenes[[#This Row],[id_operacion]],tblEjecucion[id_operacion],tblEjecucion[precio],0))</f>
        <v/>
      </c>
      <c r="AH426" s="10">
        <f>IF(tblOrdenes[[#This Row],[orden]]="","",MAX(0,_xlfn.XLOOKUP(tblOrdenes[[#This Row],[id_operacion]],tblEjecucion[id_operacion],tblEjecucion[costo_plan_total],0)-tblOrdenes[[#This Row],[costo_servicio]]))</f>
        <v/>
      </c>
      <c r="AI426" s="10">
        <f>IF(tblOrdenes[[#This Row],[orden]]="","",tblOrdenes[[#This Row],[costo_servicio]]+tblOrdenes[[#This Row],[costo_materiales]])</f>
        <v/>
      </c>
      <c r="AJ426" s="6" t="n"/>
      <c r="AK426" s="6" t="n"/>
      <c r="AL426" s="6" t="n"/>
      <c r="AM426" s="3">
        <f>IF(tblOrdenes[[#This Row],[link_checklist]]="","",HYPERLINK(p_ruta_base_checklists&amp;tblOrdenes[[#This Row],[link_checklist]],"abrir"))</f>
        <v/>
      </c>
      <c r="AN426" s="6" t="n"/>
      <c r="AO426" s="3">
        <f>IF(tblOrdenes[[#This Row],[orden]]="","",tblOrdenes[[#This Row],[orden]]&amp;IF(tblOrdenes[[#This Row],[operacion]]="","0010",tblOrdenes[[#This Row],[operacion]]))</f>
        <v/>
      </c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11" t="n"/>
      <c r="K427" s="3" t="n"/>
      <c r="L427" s="10" t="n"/>
      <c r="M427" s="6" t="n"/>
      <c r="N4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27" s="3">
        <f>IF(tblOrdenes[[#This Row],[fecha_inicio]]="","",YEAR(tblOrdenes[[#This Row],[fecha_inicio]]))</f>
        <v/>
      </c>
      <c r="R427" s="3">
        <f>IF(tblOrdenes[[#This Row],[fecha_inicio]]="","",MONTH(tblOrdenes[[#This Row],[fecha_inicio]]))</f>
        <v/>
      </c>
      <c r="S427" s="3">
        <f>IF(tblOrdenes[[#This Row],[fecha_inicio]]="","",INDEX(lista_dias,WEEKDAY(tblOrdenes[[#This Row],[fecha_inicio]],2)))</f>
        <v/>
      </c>
      <c r="T427" s="3">
        <f>IF(tblOrdenes[[#This Row],[tipo_ot]]="","",_xlfn.XLOOKUP(tblOrdenes[[#This Row],[tipo_ot]],tblTiposOT[codigo],tblTiposOT[clasificacion],"sin_clasificar"))</f>
        <v/>
      </c>
      <c r="U427" s="3">
        <f>IF(tblOrdenes[[#This Row],[centro_costo]]="","",_xlfn.XLOOKUP(tblOrdenes[[#This Row],[centro_costo]],tblCECO[codigo],tblCECO[linea],"(sin catálogo)"))</f>
        <v/>
      </c>
      <c r="V427" s="3">
        <f>IF(tblOrdenes[[#This Row],[centro_costo]]="","",_xlfn.XLOOKUP(tblOrdenes[[#This Row],[centro_costo]],tblCECO[codigo],tblCECO[area],"(sin catálogo)"))</f>
        <v/>
      </c>
      <c r="W427" s="3">
        <f>IF(tblOrdenes[[#This Row],[centro_costo]]="","",_xlfn.XLOOKUP(tblOrdenes[[#This Row],[centro_costo]],tblCECO[codigo],tblCECO[coordinador],"(sin catálogo)"))</f>
        <v/>
      </c>
      <c r="X427" s="3">
        <f>IF(tblOrdenes[[#This Row],[puesto_trabajo]]="","",_xlfn.XLOOKUP(tblOrdenes[[#This Row],[puesto_trabajo]],tblPuestos[codigo],tblPuestos[especialidad],"(sin catálogo)"))</f>
        <v/>
      </c>
      <c r="Y427" s="3">
        <f>IF(tblOrdenes[[#This Row],[cod_actividad]]="","",_xlfn.XLOOKUP(tblOrdenes[[#This Row],[cod_actividad]],tblActividades[codigo],tblActividades[descripcion],"(sin catálogo)"))</f>
        <v/>
      </c>
      <c r="Z427" s="12">
        <f>IF(tblOrdenes[[#This Row],[fecha_inicio]]="","",TODAY()-tblOrdenes[[#This Row],[fecha_inicio]])</f>
        <v/>
      </c>
      <c r="AA427" s="3">
        <f>IF(tblOrdenes[[#This Row],[backlog_dias]]="","",IF(tblOrdenes[[#This Row],[backlog_dias]]&lt;0,"FUTURO",IF(tblOrdenes[[#This Row],[backlog_dias]]&gt;p_dias_backlog_max,"BACKLOG","MES CORRIENTE")))</f>
        <v/>
      </c>
      <c r="AB427" s="3">
        <f>IF(tblOrdenes[[#This Row],[backlog_dias]]="",FALSE,AND(tblOrdenes[[#This Row],[backlog_dias]]&gt;p_dias_backlog_min,tblOrdenes[[#This Row],[backlog_dias]]&lt;=p_dias_backlog_max))</f>
        <v/>
      </c>
      <c r="AC427" s="6" t="n"/>
      <c r="AD4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27" s="10">
        <f>IF(tblOrdenes[[#This Row],[orden]]="","",_xlfn.XLOOKUP(tblOrdenes[[#This Row],[id_operacion]],tblEjecucion[id_operacion],tblEjecucion[precio],0))</f>
        <v/>
      </c>
      <c r="AH427" s="10">
        <f>IF(tblOrdenes[[#This Row],[orden]]="","",MAX(0,_xlfn.XLOOKUP(tblOrdenes[[#This Row],[id_operacion]],tblEjecucion[id_operacion],tblEjecucion[costo_plan_total],0)-tblOrdenes[[#This Row],[costo_servicio]]))</f>
        <v/>
      </c>
      <c r="AI427" s="10">
        <f>IF(tblOrdenes[[#This Row],[orden]]="","",tblOrdenes[[#This Row],[costo_servicio]]+tblOrdenes[[#This Row],[costo_materiales]])</f>
        <v/>
      </c>
      <c r="AJ427" s="6" t="n"/>
      <c r="AK427" s="6" t="n"/>
      <c r="AL427" s="6" t="n"/>
      <c r="AM427" s="3">
        <f>IF(tblOrdenes[[#This Row],[link_checklist]]="","",HYPERLINK(p_ruta_base_checklists&amp;tblOrdenes[[#This Row],[link_checklist]],"abrir"))</f>
        <v/>
      </c>
      <c r="AN427" s="6" t="n"/>
      <c r="AO427" s="3">
        <f>IF(tblOrdenes[[#This Row],[orden]]="","",tblOrdenes[[#This Row],[orden]]&amp;IF(tblOrdenes[[#This Row],[operacion]]="","0010",tblOrdenes[[#This Row],[operacion]]))</f>
        <v/>
      </c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11" t="n"/>
      <c r="K428" s="3" t="n"/>
      <c r="L428" s="10" t="n"/>
      <c r="M428" s="6" t="n"/>
      <c r="N4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28" s="3">
        <f>IF(tblOrdenes[[#This Row],[fecha_inicio]]="","",YEAR(tblOrdenes[[#This Row],[fecha_inicio]]))</f>
        <v/>
      </c>
      <c r="R428" s="3">
        <f>IF(tblOrdenes[[#This Row],[fecha_inicio]]="","",MONTH(tblOrdenes[[#This Row],[fecha_inicio]]))</f>
        <v/>
      </c>
      <c r="S428" s="3">
        <f>IF(tblOrdenes[[#This Row],[fecha_inicio]]="","",INDEX(lista_dias,WEEKDAY(tblOrdenes[[#This Row],[fecha_inicio]],2)))</f>
        <v/>
      </c>
      <c r="T428" s="3">
        <f>IF(tblOrdenes[[#This Row],[tipo_ot]]="","",_xlfn.XLOOKUP(tblOrdenes[[#This Row],[tipo_ot]],tblTiposOT[codigo],tblTiposOT[clasificacion],"sin_clasificar"))</f>
        <v/>
      </c>
      <c r="U428" s="3">
        <f>IF(tblOrdenes[[#This Row],[centro_costo]]="","",_xlfn.XLOOKUP(tblOrdenes[[#This Row],[centro_costo]],tblCECO[codigo],tblCECO[linea],"(sin catálogo)"))</f>
        <v/>
      </c>
      <c r="V428" s="3">
        <f>IF(tblOrdenes[[#This Row],[centro_costo]]="","",_xlfn.XLOOKUP(tblOrdenes[[#This Row],[centro_costo]],tblCECO[codigo],tblCECO[area],"(sin catálogo)"))</f>
        <v/>
      </c>
      <c r="W428" s="3">
        <f>IF(tblOrdenes[[#This Row],[centro_costo]]="","",_xlfn.XLOOKUP(tblOrdenes[[#This Row],[centro_costo]],tblCECO[codigo],tblCECO[coordinador],"(sin catálogo)"))</f>
        <v/>
      </c>
      <c r="X428" s="3">
        <f>IF(tblOrdenes[[#This Row],[puesto_trabajo]]="","",_xlfn.XLOOKUP(tblOrdenes[[#This Row],[puesto_trabajo]],tblPuestos[codigo],tblPuestos[especialidad],"(sin catálogo)"))</f>
        <v/>
      </c>
      <c r="Y428" s="3">
        <f>IF(tblOrdenes[[#This Row],[cod_actividad]]="","",_xlfn.XLOOKUP(tblOrdenes[[#This Row],[cod_actividad]],tblActividades[codigo],tblActividades[descripcion],"(sin catálogo)"))</f>
        <v/>
      </c>
      <c r="Z428" s="12">
        <f>IF(tblOrdenes[[#This Row],[fecha_inicio]]="","",TODAY()-tblOrdenes[[#This Row],[fecha_inicio]])</f>
        <v/>
      </c>
      <c r="AA428" s="3">
        <f>IF(tblOrdenes[[#This Row],[backlog_dias]]="","",IF(tblOrdenes[[#This Row],[backlog_dias]]&lt;0,"FUTURO",IF(tblOrdenes[[#This Row],[backlog_dias]]&gt;p_dias_backlog_max,"BACKLOG","MES CORRIENTE")))</f>
        <v/>
      </c>
      <c r="AB428" s="3">
        <f>IF(tblOrdenes[[#This Row],[backlog_dias]]="",FALSE,AND(tblOrdenes[[#This Row],[backlog_dias]]&gt;p_dias_backlog_min,tblOrdenes[[#This Row],[backlog_dias]]&lt;=p_dias_backlog_max))</f>
        <v/>
      </c>
      <c r="AC428" s="6" t="n"/>
      <c r="AD4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28" s="10">
        <f>IF(tblOrdenes[[#This Row],[orden]]="","",_xlfn.XLOOKUP(tblOrdenes[[#This Row],[id_operacion]],tblEjecucion[id_operacion],tblEjecucion[precio],0))</f>
        <v/>
      </c>
      <c r="AH428" s="10">
        <f>IF(tblOrdenes[[#This Row],[orden]]="","",MAX(0,_xlfn.XLOOKUP(tblOrdenes[[#This Row],[id_operacion]],tblEjecucion[id_operacion],tblEjecucion[costo_plan_total],0)-tblOrdenes[[#This Row],[costo_servicio]]))</f>
        <v/>
      </c>
      <c r="AI428" s="10">
        <f>IF(tblOrdenes[[#This Row],[orden]]="","",tblOrdenes[[#This Row],[costo_servicio]]+tblOrdenes[[#This Row],[costo_materiales]])</f>
        <v/>
      </c>
      <c r="AJ428" s="6" t="n"/>
      <c r="AK428" s="6" t="n"/>
      <c r="AL428" s="6" t="n"/>
      <c r="AM428" s="3">
        <f>IF(tblOrdenes[[#This Row],[link_checklist]]="","",HYPERLINK(p_ruta_base_checklists&amp;tblOrdenes[[#This Row],[link_checklist]],"abrir"))</f>
        <v/>
      </c>
      <c r="AN428" s="6" t="n"/>
      <c r="AO428" s="3">
        <f>IF(tblOrdenes[[#This Row],[orden]]="","",tblOrdenes[[#This Row],[orden]]&amp;IF(tblOrdenes[[#This Row],[operacion]]="","0010",tblOrdenes[[#This Row],[operacion]]))</f>
        <v/>
      </c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11" t="n"/>
      <c r="K429" s="3" t="n"/>
      <c r="L429" s="10" t="n"/>
      <c r="M429" s="6" t="n"/>
      <c r="N4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29" s="3">
        <f>IF(tblOrdenes[[#This Row],[fecha_inicio]]="","",YEAR(tblOrdenes[[#This Row],[fecha_inicio]]))</f>
        <v/>
      </c>
      <c r="R429" s="3">
        <f>IF(tblOrdenes[[#This Row],[fecha_inicio]]="","",MONTH(tblOrdenes[[#This Row],[fecha_inicio]]))</f>
        <v/>
      </c>
      <c r="S429" s="3">
        <f>IF(tblOrdenes[[#This Row],[fecha_inicio]]="","",INDEX(lista_dias,WEEKDAY(tblOrdenes[[#This Row],[fecha_inicio]],2)))</f>
        <v/>
      </c>
      <c r="T429" s="3">
        <f>IF(tblOrdenes[[#This Row],[tipo_ot]]="","",_xlfn.XLOOKUP(tblOrdenes[[#This Row],[tipo_ot]],tblTiposOT[codigo],tblTiposOT[clasificacion],"sin_clasificar"))</f>
        <v/>
      </c>
      <c r="U429" s="3">
        <f>IF(tblOrdenes[[#This Row],[centro_costo]]="","",_xlfn.XLOOKUP(tblOrdenes[[#This Row],[centro_costo]],tblCECO[codigo],tblCECO[linea],"(sin catálogo)"))</f>
        <v/>
      </c>
      <c r="V429" s="3">
        <f>IF(tblOrdenes[[#This Row],[centro_costo]]="","",_xlfn.XLOOKUP(tblOrdenes[[#This Row],[centro_costo]],tblCECO[codigo],tblCECO[area],"(sin catálogo)"))</f>
        <v/>
      </c>
      <c r="W429" s="3">
        <f>IF(tblOrdenes[[#This Row],[centro_costo]]="","",_xlfn.XLOOKUP(tblOrdenes[[#This Row],[centro_costo]],tblCECO[codigo],tblCECO[coordinador],"(sin catálogo)"))</f>
        <v/>
      </c>
      <c r="X429" s="3">
        <f>IF(tblOrdenes[[#This Row],[puesto_trabajo]]="","",_xlfn.XLOOKUP(tblOrdenes[[#This Row],[puesto_trabajo]],tblPuestos[codigo],tblPuestos[especialidad],"(sin catálogo)"))</f>
        <v/>
      </c>
      <c r="Y429" s="3">
        <f>IF(tblOrdenes[[#This Row],[cod_actividad]]="","",_xlfn.XLOOKUP(tblOrdenes[[#This Row],[cod_actividad]],tblActividades[codigo],tblActividades[descripcion],"(sin catálogo)"))</f>
        <v/>
      </c>
      <c r="Z429" s="12">
        <f>IF(tblOrdenes[[#This Row],[fecha_inicio]]="","",TODAY()-tblOrdenes[[#This Row],[fecha_inicio]])</f>
        <v/>
      </c>
      <c r="AA429" s="3">
        <f>IF(tblOrdenes[[#This Row],[backlog_dias]]="","",IF(tblOrdenes[[#This Row],[backlog_dias]]&lt;0,"FUTURO",IF(tblOrdenes[[#This Row],[backlog_dias]]&gt;p_dias_backlog_max,"BACKLOG","MES CORRIENTE")))</f>
        <v/>
      </c>
      <c r="AB429" s="3">
        <f>IF(tblOrdenes[[#This Row],[backlog_dias]]="",FALSE,AND(tblOrdenes[[#This Row],[backlog_dias]]&gt;p_dias_backlog_min,tblOrdenes[[#This Row],[backlog_dias]]&lt;=p_dias_backlog_max))</f>
        <v/>
      </c>
      <c r="AC429" s="6" t="n"/>
      <c r="AD4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29" s="10">
        <f>IF(tblOrdenes[[#This Row],[orden]]="","",_xlfn.XLOOKUP(tblOrdenes[[#This Row],[id_operacion]],tblEjecucion[id_operacion],tblEjecucion[precio],0))</f>
        <v/>
      </c>
      <c r="AH429" s="10">
        <f>IF(tblOrdenes[[#This Row],[orden]]="","",MAX(0,_xlfn.XLOOKUP(tblOrdenes[[#This Row],[id_operacion]],tblEjecucion[id_operacion],tblEjecucion[costo_plan_total],0)-tblOrdenes[[#This Row],[costo_servicio]]))</f>
        <v/>
      </c>
      <c r="AI429" s="10">
        <f>IF(tblOrdenes[[#This Row],[orden]]="","",tblOrdenes[[#This Row],[costo_servicio]]+tblOrdenes[[#This Row],[costo_materiales]])</f>
        <v/>
      </c>
      <c r="AJ429" s="6" t="n"/>
      <c r="AK429" s="6" t="n"/>
      <c r="AL429" s="6" t="n"/>
      <c r="AM429" s="3">
        <f>IF(tblOrdenes[[#This Row],[link_checklist]]="","",HYPERLINK(p_ruta_base_checklists&amp;tblOrdenes[[#This Row],[link_checklist]],"abrir"))</f>
        <v/>
      </c>
      <c r="AN429" s="6" t="n"/>
      <c r="AO429" s="3">
        <f>IF(tblOrdenes[[#This Row],[orden]]="","",tblOrdenes[[#This Row],[orden]]&amp;IF(tblOrdenes[[#This Row],[operacion]]="","0010",tblOrdenes[[#This Row],[operacion]]))</f>
        <v/>
      </c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11" t="n"/>
      <c r="K430" s="3" t="n"/>
      <c r="L430" s="10" t="n"/>
      <c r="M430" s="6" t="n"/>
      <c r="N4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30" s="3">
        <f>IF(tblOrdenes[[#This Row],[fecha_inicio]]="","",YEAR(tblOrdenes[[#This Row],[fecha_inicio]]))</f>
        <v/>
      </c>
      <c r="R430" s="3">
        <f>IF(tblOrdenes[[#This Row],[fecha_inicio]]="","",MONTH(tblOrdenes[[#This Row],[fecha_inicio]]))</f>
        <v/>
      </c>
      <c r="S430" s="3">
        <f>IF(tblOrdenes[[#This Row],[fecha_inicio]]="","",INDEX(lista_dias,WEEKDAY(tblOrdenes[[#This Row],[fecha_inicio]],2)))</f>
        <v/>
      </c>
      <c r="T430" s="3">
        <f>IF(tblOrdenes[[#This Row],[tipo_ot]]="","",_xlfn.XLOOKUP(tblOrdenes[[#This Row],[tipo_ot]],tblTiposOT[codigo],tblTiposOT[clasificacion],"sin_clasificar"))</f>
        <v/>
      </c>
      <c r="U430" s="3">
        <f>IF(tblOrdenes[[#This Row],[centro_costo]]="","",_xlfn.XLOOKUP(tblOrdenes[[#This Row],[centro_costo]],tblCECO[codigo],tblCECO[linea],"(sin catálogo)"))</f>
        <v/>
      </c>
      <c r="V430" s="3">
        <f>IF(tblOrdenes[[#This Row],[centro_costo]]="","",_xlfn.XLOOKUP(tblOrdenes[[#This Row],[centro_costo]],tblCECO[codigo],tblCECO[area],"(sin catálogo)"))</f>
        <v/>
      </c>
      <c r="W430" s="3">
        <f>IF(tblOrdenes[[#This Row],[centro_costo]]="","",_xlfn.XLOOKUP(tblOrdenes[[#This Row],[centro_costo]],tblCECO[codigo],tblCECO[coordinador],"(sin catálogo)"))</f>
        <v/>
      </c>
      <c r="X430" s="3">
        <f>IF(tblOrdenes[[#This Row],[puesto_trabajo]]="","",_xlfn.XLOOKUP(tblOrdenes[[#This Row],[puesto_trabajo]],tblPuestos[codigo],tblPuestos[especialidad],"(sin catálogo)"))</f>
        <v/>
      </c>
      <c r="Y430" s="3">
        <f>IF(tblOrdenes[[#This Row],[cod_actividad]]="","",_xlfn.XLOOKUP(tblOrdenes[[#This Row],[cod_actividad]],tblActividades[codigo],tblActividades[descripcion],"(sin catálogo)"))</f>
        <v/>
      </c>
      <c r="Z430" s="12">
        <f>IF(tblOrdenes[[#This Row],[fecha_inicio]]="","",TODAY()-tblOrdenes[[#This Row],[fecha_inicio]])</f>
        <v/>
      </c>
      <c r="AA430" s="3">
        <f>IF(tblOrdenes[[#This Row],[backlog_dias]]="","",IF(tblOrdenes[[#This Row],[backlog_dias]]&lt;0,"FUTURO",IF(tblOrdenes[[#This Row],[backlog_dias]]&gt;p_dias_backlog_max,"BACKLOG","MES CORRIENTE")))</f>
        <v/>
      </c>
      <c r="AB430" s="3">
        <f>IF(tblOrdenes[[#This Row],[backlog_dias]]="",FALSE,AND(tblOrdenes[[#This Row],[backlog_dias]]&gt;p_dias_backlog_min,tblOrdenes[[#This Row],[backlog_dias]]&lt;=p_dias_backlog_max))</f>
        <v/>
      </c>
      <c r="AC430" s="6" t="n"/>
      <c r="AD4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30" s="10">
        <f>IF(tblOrdenes[[#This Row],[orden]]="","",_xlfn.XLOOKUP(tblOrdenes[[#This Row],[id_operacion]],tblEjecucion[id_operacion],tblEjecucion[precio],0))</f>
        <v/>
      </c>
      <c r="AH430" s="10">
        <f>IF(tblOrdenes[[#This Row],[orden]]="","",MAX(0,_xlfn.XLOOKUP(tblOrdenes[[#This Row],[id_operacion]],tblEjecucion[id_operacion],tblEjecucion[costo_plan_total],0)-tblOrdenes[[#This Row],[costo_servicio]]))</f>
        <v/>
      </c>
      <c r="AI430" s="10">
        <f>IF(tblOrdenes[[#This Row],[orden]]="","",tblOrdenes[[#This Row],[costo_servicio]]+tblOrdenes[[#This Row],[costo_materiales]])</f>
        <v/>
      </c>
      <c r="AJ430" s="6" t="n"/>
      <c r="AK430" s="6" t="n"/>
      <c r="AL430" s="6" t="n"/>
      <c r="AM430" s="3">
        <f>IF(tblOrdenes[[#This Row],[link_checklist]]="","",HYPERLINK(p_ruta_base_checklists&amp;tblOrdenes[[#This Row],[link_checklist]],"abrir"))</f>
        <v/>
      </c>
      <c r="AN430" s="6" t="n"/>
      <c r="AO430" s="3">
        <f>IF(tblOrdenes[[#This Row],[orden]]="","",tblOrdenes[[#This Row],[orden]]&amp;IF(tblOrdenes[[#This Row],[operacion]]="","0010",tblOrdenes[[#This Row],[operacion]]))</f>
        <v/>
      </c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11" t="n"/>
      <c r="K431" s="3" t="n"/>
      <c r="L431" s="10" t="n"/>
      <c r="M431" s="6" t="n"/>
      <c r="N4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31" s="3">
        <f>IF(tblOrdenes[[#This Row],[fecha_inicio]]="","",YEAR(tblOrdenes[[#This Row],[fecha_inicio]]))</f>
        <v/>
      </c>
      <c r="R431" s="3">
        <f>IF(tblOrdenes[[#This Row],[fecha_inicio]]="","",MONTH(tblOrdenes[[#This Row],[fecha_inicio]]))</f>
        <v/>
      </c>
      <c r="S431" s="3">
        <f>IF(tblOrdenes[[#This Row],[fecha_inicio]]="","",INDEX(lista_dias,WEEKDAY(tblOrdenes[[#This Row],[fecha_inicio]],2)))</f>
        <v/>
      </c>
      <c r="T431" s="3">
        <f>IF(tblOrdenes[[#This Row],[tipo_ot]]="","",_xlfn.XLOOKUP(tblOrdenes[[#This Row],[tipo_ot]],tblTiposOT[codigo],tblTiposOT[clasificacion],"sin_clasificar"))</f>
        <v/>
      </c>
      <c r="U431" s="3">
        <f>IF(tblOrdenes[[#This Row],[centro_costo]]="","",_xlfn.XLOOKUP(tblOrdenes[[#This Row],[centro_costo]],tblCECO[codigo],tblCECO[linea],"(sin catálogo)"))</f>
        <v/>
      </c>
      <c r="V431" s="3">
        <f>IF(tblOrdenes[[#This Row],[centro_costo]]="","",_xlfn.XLOOKUP(tblOrdenes[[#This Row],[centro_costo]],tblCECO[codigo],tblCECO[area],"(sin catálogo)"))</f>
        <v/>
      </c>
      <c r="W431" s="3">
        <f>IF(tblOrdenes[[#This Row],[centro_costo]]="","",_xlfn.XLOOKUP(tblOrdenes[[#This Row],[centro_costo]],tblCECO[codigo],tblCECO[coordinador],"(sin catálogo)"))</f>
        <v/>
      </c>
      <c r="X431" s="3">
        <f>IF(tblOrdenes[[#This Row],[puesto_trabajo]]="","",_xlfn.XLOOKUP(tblOrdenes[[#This Row],[puesto_trabajo]],tblPuestos[codigo],tblPuestos[especialidad],"(sin catálogo)"))</f>
        <v/>
      </c>
      <c r="Y431" s="3">
        <f>IF(tblOrdenes[[#This Row],[cod_actividad]]="","",_xlfn.XLOOKUP(tblOrdenes[[#This Row],[cod_actividad]],tblActividades[codigo],tblActividades[descripcion],"(sin catálogo)"))</f>
        <v/>
      </c>
      <c r="Z431" s="12">
        <f>IF(tblOrdenes[[#This Row],[fecha_inicio]]="","",TODAY()-tblOrdenes[[#This Row],[fecha_inicio]])</f>
        <v/>
      </c>
      <c r="AA431" s="3">
        <f>IF(tblOrdenes[[#This Row],[backlog_dias]]="","",IF(tblOrdenes[[#This Row],[backlog_dias]]&lt;0,"FUTURO",IF(tblOrdenes[[#This Row],[backlog_dias]]&gt;p_dias_backlog_max,"BACKLOG","MES CORRIENTE")))</f>
        <v/>
      </c>
      <c r="AB431" s="3">
        <f>IF(tblOrdenes[[#This Row],[backlog_dias]]="",FALSE,AND(tblOrdenes[[#This Row],[backlog_dias]]&gt;p_dias_backlog_min,tblOrdenes[[#This Row],[backlog_dias]]&lt;=p_dias_backlog_max))</f>
        <v/>
      </c>
      <c r="AC431" s="6" t="n"/>
      <c r="AD4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31" s="10">
        <f>IF(tblOrdenes[[#This Row],[orden]]="","",_xlfn.XLOOKUP(tblOrdenes[[#This Row],[id_operacion]],tblEjecucion[id_operacion],tblEjecucion[precio],0))</f>
        <v/>
      </c>
      <c r="AH431" s="10">
        <f>IF(tblOrdenes[[#This Row],[orden]]="","",MAX(0,_xlfn.XLOOKUP(tblOrdenes[[#This Row],[id_operacion]],tblEjecucion[id_operacion],tblEjecucion[costo_plan_total],0)-tblOrdenes[[#This Row],[costo_servicio]]))</f>
        <v/>
      </c>
      <c r="AI431" s="10">
        <f>IF(tblOrdenes[[#This Row],[orden]]="","",tblOrdenes[[#This Row],[costo_servicio]]+tblOrdenes[[#This Row],[costo_materiales]])</f>
        <v/>
      </c>
      <c r="AJ431" s="6" t="n"/>
      <c r="AK431" s="6" t="n"/>
      <c r="AL431" s="6" t="n"/>
      <c r="AM431" s="3">
        <f>IF(tblOrdenes[[#This Row],[link_checklist]]="","",HYPERLINK(p_ruta_base_checklists&amp;tblOrdenes[[#This Row],[link_checklist]],"abrir"))</f>
        <v/>
      </c>
      <c r="AN431" s="6" t="n"/>
      <c r="AO431" s="3">
        <f>IF(tblOrdenes[[#This Row],[orden]]="","",tblOrdenes[[#This Row],[orden]]&amp;IF(tblOrdenes[[#This Row],[operacion]]="","0010",tblOrdenes[[#This Row],[operacion]]))</f>
        <v/>
      </c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11" t="n"/>
      <c r="K432" s="3" t="n"/>
      <c r="L432" s="10" t="n"/>
      <c r="M432" s="6" t="n"/>
      <c r="N4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32" s="3">
        <f>IF(tblOrdenes[[#This Row],[fecha_inicio]]="","",YEAR(tblOrdenes[[#This Row],[fecha_inicio]]))</f>
        <v/>
      </c>
      <c r="R432" s="3">
        <f>IF(tblOrdenes[[#This Row],[fecha_inicio]]="","",MONTH(tblOrdenes[[#This Row],[fecha_inicio]]))</f>
        <v/>
      </c>
      <c r="S432" s="3">
        <f>IF(tblOrdenes[[#This Row],[fecha_inicio]]="","",INDEX(lista_dias,WEEKDAY(tblOrdenes[[#This Row],[fecha_inicio]],2)))</f>
        <v/>
      </c>
      <c r="T432" s="3">
        <f>IF(tblOrdenes[[#This Row],[tipo_ot]]="","",_xlfn.XLOOKUP(tblOrdenes[[#This Row],[tipo_ot]],tblTiposOT[codigo],tblTiposOT[clasificacion],"sin_clasificar"))</f>
        <v/>
      </c>
      <c r="U432" s="3">
        <f>IF(tblOrdenes[[#This Row],[centro_costo]]="","",_xlfn.XLOOKUP(tblOrdenes[[#This Row],[centro_costo]],tblCECO[codigo],tblCECO[linea],"(sin catálogo)"))</f>
        <v/>
      </c>
      <c r="V432" s="3">
        <f>IF(tblOrdenes[[#This Row],[centro_costo]]="","",_xlfn.XLOOKUP(tblOrdenes[[#This Row],[centro_costo]],tblCECO[codigo],tblCECO[area],"(sin catálogo)"))</f>
        <v/>
      </c>
      <c r="W432" s="3">
        <f>IF(tblOrdenes[[#This Row],[centro_costo]]="","",_xlfn.XLOOKUP(tblOrdenes[[#This Row],[centro_costo]],tblCECO[codigo],tblCECO[coordinador],"(sin catálogo)"))</f>
        <v/>
      </c>
      <c r="X432" s="3">
        <f>IF(tblOrdenes[[#This Row],[puesto_trabajo]]="","",_xlfn.XLOOKUP(tblOrdenes[[#This Row],[puesto_trabajo]],tblPuestos[codigo],tblPuestos[especialidad],"(sin catálogo)"))</f>
        <v/>
      </c>
      <c r="Y432" s="3">
        <f>IF(tblOrdenes[[#This Row],[cod_actividad]]="","",_xlfn.XLOOKUP(tblOrdenes[[#This Row],[cod_actividad]],tblActividades[codigo],tblActividades[descripcion],"(sin catálogo)"))</f>
        <v/>
      </c>
      <c r="Z432" s="12">
        <f>IF(tblOrdenes[[#This Row],[fecha_inicio]]="","",TODAY()-tblOrdenes[[#This Row],[fecha_inicio]])</f>
        <v/>
      </c>
      <c r="AA432" s="3">
        <f>IF(tblOrdenes[[#This Row],[backlog_dias]]="","",IF(tblOrdenes[[#This Row],[backlog_dias]]&lt;0,"FUTURO",IF(tblOrdenes[[#This Row],[backlog_dias]]&gt;p_dias_backlog_max,"BACKLOG","MES CORRIENTE")))</f>
        <v/>
      </c>
      <c r="AB432" s="3">
        <f>IF(tblOrdenes[[#This Row],[backlog_dias]]="",FALSE,AND(tblOrdenes[[#This Row],[backlog_dias]]&gt;p_dias_backlog_min,tblOrdenes[[#This Row],[backlog_dias]]&lt;=p_dias_backlog_max))</f>
        <v/>
      </c>
      <c r="AC432" s="6" t="n"/>
      <c r="AD4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32" s="10">
        <f>IF(tblOrdenes[[#This Row],[orden]]="","",_xlfn.XLOOKUP(tblOrdenes[[#This Row],[id_operacion]],tblEjecucion[id_operacion],tblEjecucion[precio],0))</f>
        <v/>
      </c>
      <c r="AH432" s="10">
        <f>IF(tblOrdenes[[#This Row],[orden]]="","",MAX(0,_xlfn.XLOOKUP(tblOrdenes[[#This Row],[id_operacion]],tblEjecucion[id_operacion],tblEjecucion[costo_plan_total],0)-tblOrdenes[[#This Row],[costo_servicio]]))</f>
        <v/>
      </c>
      <c r="AI432" s="10">
        <f>IF(tblOrdenes[[#This Row],[orden]]="","",tblOrdenes[[#This Row],[costo_servicio]]+tblOrdenes[[#This Row],[costo_materiales]])</f>
        <v/>
      </c>
      <c r="AJ432" s="6" t="n"/>
      <c r="AK432" s="6" t="n"/>
      <c r="AL432" s="6" t="n"/>
      <c r="AM432" s="3">
        <f>IF(tblOrdenes[[#This Row],[link_checklist]]="","",HYPERLINK(p_ruta_base_checklists&amp;tblOrdenes[[#This Row],[link_checklist]],"abrir"))</f>
        <v/>
      </c>
      <c r="AN432" s="6" t="n"/>
      <c r="AO432" s="3">
        <f>IF(tblOrdenes[[#This Row],[orden]]="","",tblOrdenes[[#This Row],[orden]]&amp;IF(tblOrdenes[[#This Row],[operacion]]="","0010",tblOrdenes[[#This Row],[operacion]]))</f>
        <v/>
      </c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11" t="n"/>
      <c r="K433" s="3" t="n"/>
      <c r="L433" s="10" t="n"/>
      <c r="M433" s="6" t="n"/>
      <c r="N4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33" s="3">
        <f>IF(tblOrdenes[[#This Row],[fecha_inicio]]="","",YEAR(tblOrdenes[[#This Row],[fecha_inicio]]))</f>
        <v/>
      </c>
      <c r="R433" s="3">
        <f>IF(tblOrdenes[[#This Row],[fecha_inicio]]="","",MONTH(tblOrdenes[[#This Row],[fecha_inicio]]))</f>
        <v/>
      </c>
      <c r="S433" s="3">
        <f>IF(tblOrdenes[[#This Row],[fecha_inicio]]="","",INDEX(lista_dias,WEEKDAY(tblOrdenes[[#This Row],[fecha_inicio]],2)))</f>
        <v/>
      </c>
      <c r="T433" s="3">
        <f>IF(tblOrdenes[[#This Row],[tipo_ot]]="","",_xlfn.XLOOKUP(tblOrdenes[[#This Row],[tipo_ot]],tblTiposOT[codigo],tblTiposOT[clasificacion],"sin_clasificar"))</f>
        <v/>
      </c>
      <c r="U433" s="3">
        <f>IF(tblOrdenes[[#This Row],[centro_costo]]="","",_xlfn.XLOOKUP(tblOrdenes[[#This Row],[centro_costo]],tblCECO[codigo],tblCECO[linea],"(sin catálogo)"))</f>
        <v/>
      </c>
      <c r="V433" s="3">
        <f>IF(tblOrdenes[[#This Row],[centro_costo]]="","",_xlfn.XLOOKUP(tblOrdenes[[#This Row],[centro_costo]],tblCECO[codigo],tblCECO[area],"(sin catálogo)"))</f>
        <v/>
      </c>
      <c r="W433" s="3">
        <f>IF(tblOrdenes[[#This Row],[centro_costo]]="","",_xlfn.XLOOKUP(tblOrdenes[[#This Row],[centro_costo]],tblCECO[codigo],tblCECO[coordinador],"(sin catálogo)"))</f>
        <v/>
      </c>
      <c r="X433" s="3">
        <f>IF(tblOrdenes[[#This Row],[puesto_trabajo]]="","",_xlfn.XLOOKUP(tblOrdenes[[#This Row],[puesto_trabajo]],tblPuestos[codigo],tblPuestos[especialidad],"(sin catálogo)"))</f>
        <v/>
      </c>
      <c r="Y433" s="3">
        <f>IF(tblOrdenes[[#This Row],[cod_actividad]]="","",_xlfn.XLOOKUP(tblOrdenes[[#This Row],[cod_actividad]],tblActividades[codigo],tblActividades[descripcion],"(sin catálogo)"))</f>
        <v/>
      </c>
      <c r="Z433" s="12">
        <f>IF(tblOrdenes[[#This Row],[fecha_inicio]]="","",TODAY()-tblOrdenes[[#This Row],[fecha_inicio]])</f>
        <v/>
      </c>
      <c r="AA433" s="3">
        <f>IF(tblOrdenes[[#This Row],[backlog_dias]]="","",IF(tblOrdenes[[#This Row],[backlog_dias]]&lt;0,"FUTURO",IF(tblOrdenes[[#This Row],[backlog_dias]]&gt;p_dias_backlog_max,"BACKLOG","MES CORRIENTE")))</f>
        <v/>
      </c>
      <c r="AB433" s="3">
        <f>IF(tblOrdenes[[#This Row],[backlog_dias]]="",FALSE,AND(tblOrdenes[[#This Row],[backlog_dias]]&gt;p_dias_backlog_min,tblOrdenes[[#This Row],[backlog_dias]]&lt;=p_dias_backlog_max))</f>
        <v/>
      </c>
      <c r="AC433" s="6" t="n"/>
      <c r="AD4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33" s="10">
        <f>IF(tblOrdenes[[#This Row],[orden]]="","",_xlfn.XLOOKUP(tblOrdenes[[#This Row],[id_operacion]],tblEjecucion[id_operacion],tblEjecucion[precio],0))</f>
        <v/>
      </c>
      <c r="AH433" s="10">
        <f>IF(tblOrdenes[[#This Row],[orden]]="","",MAX(0,_xlfn.XLOOKUP(tblOrdenes[[#This Row],[id_operacion]],tblEjecucion[id_operacion],tblEjecucion[costo_plan_total],0)-tblOrdenes[[#This Row],[costo_servicio]]))</f>
        <v/>
      </c>
      <c r="AI433" s="10">
        <f>IF(tblOrdenes[[#This Row],[orden]]="","",tblOrdenes[[#This Row],[costo_servicio]]+tblOrdenes[[#This Row],[costo_materiales]])</f>
        <v/>
      </c>
      <c r="AJ433" s="6" t="n"/>
      <c r="AK433" s="6" t="n"/>
      <c r="AL433" s="6" t="n"/>
      <c r="AM433" s="3">
        <f>IF(tblOrdenes[[#This Row],[link_checklist]]="","",HYPERLINK(p_ruta_base_checklists&amp;tblOrdenes[[#This Row],[link_checklist]],"abrir"))</f>
        <v/>
      </c>
      <c r="AN433" s="6" t="n"/>
      <c r="AO433" s="3">
        <f>IF(tblOrdenes[[#This Row],[orden]]="","",tblOrdenes[[#This Row],[orden]]&amp;IF(tblOrdenes[[#This Row],[operacion]]="","0010",tblOrdenes[[#This Row],[operacion]]))</f>
        <v/>
      </c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11" t="n"/>
      <c r="K434" s="3" t="n"/>
      <c r="L434" s="10" t="n"/>
      <c r="M434" s="6" t="n"/>
      <c r="N4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34" s="3">
        <f>IF(tblOrdenes[[#This Row],[fecha_inicio]]="","",YEAR(tblOrdenes[[#This Row],[fecha_inicio]]))</f>
        <v/>
      </c>
      <c r="R434" s="3">
        <f>IF(tblOrdenes[[#This Row],[fecha_inicio]]="","",MONTH(tblOrdenes[[#This Row],[fecha_inicio]]))</f>
        <v/>
      </c>
      <c r="S434" s="3">
        <f>IF(tblOrdenes[[#This Row],[fecha_inicio]]="","",INDEX(lista_dias,WEEKDAY(tblOrdenes[[#This Row],[fecha_inicio]],2)))</f>
        <v/>
      </c>
      <c r="T434" s="3">
        <f>IF(tblOrdenes[[#This Row],[tipo_ot]]="","",_xlfn.XLOOKUP(tblOrdenes[[#This Row],[tipo_ot]],tblTiposOT[codigo],tblTiposOT[clasificacion],"sin_clasificar"))</f>
        <v/>
      </c>
      <c r="U434" s="3">
        <f>IF(tblOrdenes[[#This Row],[centro_costo]]="","",_xlfn.XLOOKUP(tblOrdenes[[#This Row],[centro_costo]],tblCECO[codigo],tblCECO[linea],"(sin catálogo)"))</f>
        <v/>
      </c>
      <c r="V434" s="3">
        <f>IF(tblOrdenes[[#This Row],[centro_costo]]="","",_xlfn.XLOOKUP(tblOrdenes[[#This Row],[centro_costo]],tblCECO[codigo],tblCECO[area],"(sin catálogo)"))</f>
        <v/>
      </c>
      <c r="W434" s="3">
        <f>IF(tblOrdenes[[#This Row],[centro_costo]]="","",_xlfn.XLOOKUP(tblOrdenes[[#This Row],[centro_costo]],tblCECO[codigo],tblCECO[coordinador],"(sin catálogo)"))</f>
        <v/>
      </c>
      <c r="X434" s="3">
        <f>IF(tblOrdenes[[#This Row],[puesto_trabajo]]="","",_xlfn.XLOOKUP(tblOrdenes[[#This Row],[puesto_trabajo]],tblPuestos[codigo],tblPuestos[especialidad],"(sin catálogo)"))</f>
        <v/>
      </c>
      <c r="Y434" s="3">
        <f>IF(tblOrdenes[[#This Row],[cod_actividad]]="","",_xlfn.XLOOKUP(tblOrdenes[[#This Row],[cod_actividad]],tblActividades[codigo],tblActividades[descripcion],"(sin catálogo)"))</f>
        <v/>
      </c>
      <c r="Z434" s="12">
        <f>IF(tblOrdenes[[#This Row],[fecha_inicio]]="","",TODAY()-tblOrdenes[[#This Row],[fecha_inicio]])</f>
        <v/>
      </c>
      <c r="AA434" s="3">
        <f>IF(tblOrdenes[[#This Row],[backlog_dias]]="","",IF(tblOrdenes[[#This Row],[backlog_dias]]&lt;0,"FUTURO",IF(tblOrdenes[[#This Row],[backlog_dias]]&gt;p_dias_backlog_max,"BACKLOG","MES CORRIENTE")))</f>
        <v/>
      </c>
      <c r="AB434" s="3">
        <f>IF(tblOrdenes[[#This Row],[backlog_dias]]="",FALSE,AND(tblOrdenes[[#This Row],[backlog_dias]]&gt;p_dias_backlog_min,tblOrdenes[[#This Row],[backlog_dias]]&lt;=p_dias_backlog_max))</f>
        <v/>
      </c>
      <c r="AC434" s="6" t="n"/>
      <c r="AD4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34" s="10">
        <f>IF(tblOrdenes[[#This Row],[orden]]="","",_xlfn.XLOOKUP(tblOrdenes[[#This Row],[id_operacion]],tblEjecucion[id_operacion],tblEjecucion[precio],0))</f>
        <v/>
      </c>
      <c r="AH434" s="10">
        <f>IF(tblOrdenes[[#This Row],[orden]]="","",MAX(0,_xlfn.XLOOKUP(tblOrdenes[[#This Row],[id_operacion]],tblEjecucion[id_operacion],tblEjecucion[costo_plan_total],0)-tblOrdenes[[#This Row],[costo_servicio]]))</f>
        <v/>
      </c>
      <c r="AI434" s="10">
        <f>IF(tblOrdenes[[#This Row],[orden]]="","",tblOrdenes[[#This Row],[costo_servicio]]+tblOrdenes[[#This Row],[costo_materiales]])</f>
        <v/>
      </c>
      <c r="AJ434" s="6" t="n"/>
      <c r="AK434" s="6" t="n"/>
      <c r="AL434" s="6" t="n"/>
      <c r="AM434" s="3">
        <f>IF(tblOrdenes[[#This Row],[link_checklist]]="","",HYPERLINK(p_ruta_base_checklists&amp;tblOrdenes[[#This Row],[link_checklist]],"abrir"))</f>
        <v/>
      </c>
      <c r="AN434" s="6" t="n"/>
      <c r="AO434" s="3">
        <f>IF(tblOrdenes[[#This Row],[orden]]="","",tblOrdenes[[#This Row],[orden]]&amp;IF(tblOrdenes[[#This Row],[operacion]]="","0010",tblOrdenes[[#This Row],[operacion]]))</f>
        <v/>
      </c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11" t="n"/>
      <c r="K435" s="3" t="n"/>
      <c r="L435" s="10" t="n"/>
      <c r="M435" s="6" t="n"/>
      <c r="N4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35" s="3">
        <f>IF(tblOrdenes[[#This Row],[fecha_inicio]]="","",YEAR(tblOrdenes[[#This Row],[fecha_inicio]]))</f>
        <v/>
      </c>
      <c r="R435" s="3">
        <f>IF(tblOrdenes[[#This Row],[fecha_inicio]]="","",MONTH(tblOrdenes[[#This Row],[fecha_inicio]]))</f>
        <v/>
      </c>
      <c r="S435" s="3">
        <f>IF(tblOrdenes[[#This Row],[fecha_inicio]]="","",INDEX(lista_dias,WEEKDAY(tblOrdenes[[#This Row],[fecha_inicio]],2)))</f>
        <v/>
      </c>
      <c r="T435" s="3">
        <f>IF(tblOrdenes[[#This Row],[tipo_ot]]="","",_xlfn.XLOOKUP(tblOrdenes[[#This Row],[tipo_ot]],tblTiposOT[codigo],tblTiposOT[clasificacion],"sin_clasificar"))</f>
        <v/>
      </c>
      <c r="U435" s="3">
        <f>IF(tblOrdenes[[#This Row],[centro_costo]]="","",_xlfn.XLOOKUP(tblOrdenes[[#This Row],[centro_costo]],tblCECO[codigo],tblCECO[linea],"(sin catálogo)"))</f>
        <v/>
      </c>
      <c r="V435" s="3">
        <f>IF(tblOrdenes[[#This Row],[centro_costo]]="","",_xlfn.XLOOKUP(tblOrdenes[[#This Row],[centro_costo]],tblCECO[codigo],tblCECO[area],"(sin catálogo)"))</f>
        <v/>
      </c>
      <c r="W435" s="3">
        <f>IF(tblOrdenes[[#This Row],[centro_costo]]="","",_xlfn.XLOOKUP(tblOrdenes[[#This Row],[centro_costo]],tblCECO[codigo],tblCECO[coordinador],"(sin catálogo)"))</f>
        <v/>
      </c>
      <c r="X435" s="3">
        <f>IF(tblOrdenes[[#This Row],[puesto_trabajo]]="","",_xlfn.XLOOKUP(tblOrdenes[[#This Row],[puesto_trabajo]],tblPuestos[codigo],tblPuestos[especialidad],"(sin catálogo)"))</f>
        <v/>
      </c>
      <c r="Y435" s="3">
        <f>IF(tblOrdenes[[#This Row],[cod_actividad]]="","",_xlfn.XLOOKUP(tblOrdenes[[#This Row],[cod_actividad]],tblActividades[codigo],tblActividades[descripcion],"(sin catálogo)"))</f>
        <v/>
      </c>
      <c r="Z435" s="12">
        <f>IF(tblOrdenes[[#This Row],[fecha_inicio]]="","",TODAY()-tblOrdenes[[#This Row],[fecha_inicio]])</f>
        <v/>
      </c>
      <c r="AA435" s="3">
        <f>IF(tblOrdenes[[#This Row],[backlog_dias]]="","",IF(tblOrdenes[[#This Row],[backlog_dias]]&lt;0,"FUTURO",IF(tblOrdenes[[#This Row],[backlog_dias]]&gt;p_dias_backlog_max,"BACKLOG","MES CORRIENTE")))</f>
        <v/>
      </c>
      <c r="AB435" s="3">
        <f>IF(tblOrdenes[[#This Row],[backlog_dias]]="",FALSE,AND(tblOrdenes[[#This Row],[backlog_dias]]&gt;p_dias_backlog_min,tblOrdenes[[#This Row],[backlog_dias]]&lt;=p_dias_backlog_max))</f>
        <v/>
      </c>
      <c r="AC435" s="6" t="n"/>
      <c r="AD4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35" s="10">
        <f>IF(tblOrdenes[[#This Row],[orden]]="","",_xlfn.XLOOKUP(tblOrdenes[[#This Row],[id_operacion]],tblEjecucion[id_operacion],tblEjecucion[precio],0))</f>
        <v/>
      </c>
      <c r="AH435" s="10">
        <f>IF(tblOrdenes[[#This Row],[orden]]="","",MAX(0,_xlfn.XLOOKUP(tblOrdenes[[#This Row],[id_operacion]],tblEjecucion[id_operacion],tblEjecucion[costo_plan_total],0)-tblOrdenes[[#This Row],[costo_servicio]]))</f>
        <v/>
      </c>
      <c r="AI435" s="10">
        <f>IF(tblOrdenes[[#This Row],[orden]]="","",tblOrdenes[[#This Row],[costo_servicio]]+tblOrdenes[[#This Row],[costo_materiales]])</f>
        <v/>
      </c>
      <c r="AJ435" s="6" t="n"/>
      <c r="AK435" s="6" t="n"/>
      <c r="AL435" s="6" t="n"/>
      <c r="AM435" s="3">
        <f>IF(tblOrdenes[[#This Row],[link_checklist]]="","",HYPERLINK(p_ruta_base_checklists&amp;tblOrdenes[[#This Row],[link_checklist]],"abrir"))</f>
        <v/>
      </c>
      <c r="AN435" s="6" t="n"/>
      <c r="AO435" s="3">
        <f>IF(tblOrdenes[[#This Row],[orden]]="","",tblOrdenes[[#This Row],[orden]]&amp;IF(tblOrdenes[[#This Row],[operacion]]="","0010",tblOrdenes[[#This Row],[operacion]]))</f>
        <v/>
      </c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11" t="n"/>
      <c r="K436" s="3" t="n"/>
      <c r="L436" s="10" t="n"/>
      <c r="M436" s="6" t="n"/>
      <c r="N4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36" s="3">
        <f>IF(tblOrdenes[[#This Row],[fecha_inicio]]="","",YEAR(tblOrdenes[[#This Row],[fecha_inicio]]))</f>
        <v/>
      </c>
      <c r="R436" s="3">
        <f>IF(tblOrdenes[[#This Row],[fecha_inicio]]="","",MONTH(tblOrdenes[[#This Row],[fecha_inicio]]))</f>
        <v/>
      </c>
      <c r="S436" s="3">
        <f>IF(tblOrdenes[[#This Row],[fecha_inicio]]="","",INDEX(lista_dias,WEEKDAY(tblOrdenes[[#This Row],[fecha_inicio]],2)))</f>
        <v/>
      </c>
      <c r="T436" s="3">
        <f>IF(tblOrdenes[[#This Row],[tipo_ot]]="","",_xlfn.XLOOKUP(tblOrdenes[[#This Row],[tipo_ot]],tblTiposOT[codigo],tblTiposOT[clasificacion],"sin_clasificar"))</f>
        <v/>
      </c>
      <c r="U436" s="3">
        <f>IF(tblOrdenes[[#This Row],[centro_costo]]="","",_xlfn.XLOOKUP(tblOrdenes[[#This Row],[centro_costo]],tblCECO[codigo],tblCECO[linea],"(sin catálogo)"))</f>
        <v/>
      </c>
      <c r="V436" s="3">
        <f>IF(tblOrdenes[[#This Row],[centro_costo]]="","",_xlfn.XLOOKUP(tblOrdenes[[#This Row],[centro_costo]],tblCECO[codigo],tblCECO[area],"(sin catálogo)"))</f>
        <v/>
      </c>
      <c r="W436" s="3">
        <f>IF(tblOrdenes[[#This Row],[centro_costo]]="","",_xlfn.XLOOKUP(tblOrdenes[[#This Row],[centro_costo]],tblCECO[codigo],tblCECO[coordinador],"(sin catálogo)"))</f>
        <v/>
      </c>
      <c r="X436" s="3">
        <f>IF(tblOrdenes[[#This Row],[puesto_trabajo]]="","",_xlfn.XLOOKUP(tblOrdenes[[#This Row],[puesto_trabajo]],tblPuestos[codigo],tblPuestos[especialidad],"(sin catálogo)"))</f>
        <v/>
      </c>
      <c r="Y436" s="3">
        <f>IF(tblOrdenes[[#This Row],[cod_actividad]]="","",_xlfn.XLOOKUP(tblOrdenes[[#This Row],[cod_actividad]],tblActividades[codigo],tblActividades[descripcion],"(sin catálogo)"))</f>
        <v/>
      </c>
      <c r="Z436" s="12">
        <f>IF(tblOrdenes[[#This Row],[fecha_inicio]]="","",TODAY()-tblOrdenes[[#This Row],[fecha_inicio]])</f>
        <v/>
      </c>
      <c r="AA436" s="3">
        <f>IF(tblOrdenes[[#This Row],[backlog_dias]]="","",IF(tblOrdenes[[#This Row],[backlog_dias]]&lt;0,"FUTURO",IF(tblOrdenes[[#This Row],[backlog_dias]]&gt;p_dias_backlog_max,"BACKLOG","MES CORRIENTE")))</f>
        <v/>
      </c>
      <c r="AB436" s="3">
        <f>IF(tblOrdenes[[#This Row],[backlog_dias]]="",FALSE,AND(tblOrdenes[[#This Row],[backlog_dias]]&gt;p_dias_backlog_min,tblOrdenes[[#This Row],[backlog_dias]]&lt;=p_dias_backlog_max))</f>
        <v/>
      </c>
      <c r="AC436" s="6" t="n"/>
      <c r="AD4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36" s="10">
        <f>IF(tblOrdenes[[#This Row],[orden]]="","",_xlfn.XLOOKUP(tblOrdenes[[#This Row],[id_operacion]],tblEjecucion[id_operacion],tblEjecucion[precio],0))</f>
        <v/>
      </c>
      <c r="AH436" s="10">
        <f>IF(tblOrdenes[[#This Row],[orden]]="","",MAX(0,_xlfn.XLOOKUP(tblOrdenes[[#This Row],[id_operacion]],tblEjecucion[id_operacion],tblEjecucion[costo_plan_total],0)-tblOrdenes[[#This Row],[costo_servicio]]))</f>
        <v/>
      </c>
      <c r="AI436" s="10">
        <f>IF(tblOrdenes[[#This Row],[orden]]="","",tblOrdenes[[#This Row],[costo_servicio]]+tblOrdenes[[#This Row],[costo_materiales]])</f>
        <v/>
      </c>
      <c r="AJ436" s="6" t="n"/>
      <c r="AK436" s="6" t="n"/>
      <c r="AL436" s="6" t="n"/>
      <c r="AM436" s="3">
        <f>IF(tblOrdenes[[#This Row],[link_checklist]]="","",HYPERLINK(p_ruta_base_checklists&amp;tblOrdenes[[#This Row],[link_checklist]],"abrir"))</f>
        <v/>
      </c>
      <c r="AN436" s="6" t="n"/>
      <c r="AO436" s="3">
        <f>IF(tblOrdenes[[#This Row],[orden]]="","",tblOrdenes[[#This Row],[orden]]&amp;IF(tblOrdenes[[#This Row],[operacion]]="","0010",tblOrdenes[[#This Row],[operacion]]))</f>
        <v/>
      </c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11" t="n"/>
      <c r="K437" s="3" t="n"/>
      <c r="L437" s="10" t="n"/>
      <c r="M437" s="6" t="n"/>
      <c r="N4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37" s="3">
        <f>IF(tblOrdenes[[#This Row],[fecha_inicio]]="","",YEAR(tblOrdenes[[#This Row],[fecha_inicio]]))</f>
        <v/>
      </c>
      <c r="R437" s="3">
        <f>IF(tblOrdenes[[#This Row],[fecha_inicio]]="","",MONTH(tblOrdenes[[#This Row],[fecha_inicio]]))</f>
        <v/>
      </c>
      <c r="S437" s="3">
        <f>IF(tblOrdenes[[#This Row],[fecha_inicio]]="","",INDEX(lista_dias,WEEKDAY(tblOrdenes[[#This Row],[fecha_inicio]],2)))</f>
        <v/>
      </c>
      <c r="T437" s="3">
        <f>IF(tblOrdenes[[#This Row],[tipo_ot]]="","",_xlfn.XLOOKUP(tblOrdenes[[#This Row],[tipo_ot]],tblTiposOT[codigo],tblTiposOT[clasificacion],"sin_clasificar"))</f>
        <v/>
      </c>
      <c r="U437" s="3">
        <f>IF(tblOrdenes[[#This Row],[centro_costo]]="","",_xlfn.XLOOKUP(tblOrdenes[[#This Row],[centro_costo]],tblCECO[codigo],tblCECO[linea],"(sin catálogo)"))</f>
        <v/>
      </c>
      <c r="V437" s="3">
        <f>IF(tblOrdenes[[#This Row],[centro_costo]]="","",_xlfn.XLOOKUP(tblOrdenes[[#This Row],[centro_costo]],tblCECO[codigo],tblCECO[area],"(sin catálogo)"))</f>
        <v/>
      </c>
      <c r="W437" s="3">
        <f>IF(tblOrdenes[[#This Row],[centro_costo]]="","",_xlfn.XLOOKUP(tblOrdenes[[#This Row],[centro_costo]],tblCECO[codigo],tblCECO[coordinador],"(sin catálogo)"))</f>
        <v/>
      </c>
      <c r="X437" s="3">
        <f>IF(tblOrdenes[[#This Row],[puesto_trabajo]]="","",_xlfn.XLOOKUP(tblOrdenes[[#This Row],[puesto_trabajo]],tblPuestos[codigo],tblPuestos[especialidad],"(sin catálogo)"))</f>
        <v/>
      </c>
      <c r="Y437" s="3">
        <f>IF(tblOrdenes[[#This Row],[cod_actividad]]="","",_xlfn.XLOOKUP(tblOrdenes[[#This Row],[cod_actividad]],tblActividades[codigo],tblActividades[descripcion],"(sin catálogo)"))</f>
        <v/>
      </c>
      <c r="Z437" s="12">
        <f>IF(tblOrdenes[[#This Row],[fecha_inicio]]="","",TODAY()-tblOrdenes[[#This Row],[fecha_inicio]])</f>
        <v/>
      </c>
      <c r="AA437" s="3">
        <f>IF(tblOrdenes[[#This Row],[backlog_dias]]="","",IF(tblOrdenes[[#This Row],[backlog_dias]]&lt;0,"FUTURO",IF(tblOrdenes[[#This Row],[backlog_dias]]&gt;p_dias_backlog_max,"BACKLOG","MES CORRIENTE")))</f>
        <v/>
      </c>
      <c r="AB437" s="3">
        <f>IF(tblOrdenes[[#This Row],[backlog_dias]]="",FALSE,AND(tblOrdenes[[#This Row],[backlog_dias]]&gt;p_dias_backlog_min,tblOrdenes[[#This Row],[backlog_dias]]&lt;=p_dias_backlog_max))</f>
        <v/>
      </c>
      <c r="AC437" s="6" t="n"/>
      <c r="AD4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37" s="10">
        <f>IF(tblOrdenes[[#This Row],[orden]]="","",_xlfn.XLOOKUP(tblOrdenes[[#This Row],[id_operacion]],tblEjecucion[id_operacion],tblEjecucion[precio],0))</f>
        <v/>
      </c>
      <c r="AH437" s="10">
        <f>IF(tblOrdenes[[#This Row],[orden]]="","",MAX(0,_xlfn.XLOOKUP(tblOrdenes[[#This Row],[id_operacion]],tblEjecucion[id_operacion],tblEjecucion[costo_plan_total],0)-tblOrdenes[[#This Row],[costo_servicio]]))</f>
        <v/>
      </c>
      <c r="AI437" s="10">
        <f>IF(tblOrdenes[[#This Row],[orden]]="","",tblOrdenes[[#This Row],[costo_servicio]]+tblOrdenes[[#This Row],[costo_materiales]])</f>
        <v/>
      </c>
      <c r="AJ437" s="6" t="n"/>
      <c r="AK437" s="6" t="n"/>
      <c r="AL437" s="6" t="n"/>
      <c r="AM437" s="3">
        <f>IF(tblOrdenes[[#This Row],[link_checklist]]="","",HYPERLINK(p_ruta_base_checklists&amp;tblOrdenes[[#This Row],[link_checklist]],"abrir"))</f>
        <v/>
      </c>
      <c r="AN437" s="6" t="n"/>
      <c r="AO437" s="3">
        <f>IF(tblOrdenes[[#This Row],[orden]]="","",tblOrdenes[[#This Row],[orden]]&amp;IF(tblOrdenes[[#This Row],[operacion]]="","0010",tblOrdenes[[#This Row],[operacion]]))</f>
        <v/>
      </c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11" t="n"/>
      <c r="K438" s="3" t="n"/>
      <c r="L438" s="10" t="n"/>
      <c r="M438" s="6" t="n"/>
      <c r="N4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38" s="3">
        <f>IF(tblOrdenes[[#This Row],[fecha_inicio]]="","",YEAR(tblOrdenes[[#This Row],[fecha_inicio]]))</f>
        <v/>
      </c>
      <c r="R438" s="3">
        <f>IF(tblOrdenes[[#This Row],[fecha_inicio]]="","",MONTH(tblOrdenes[[#This Row],[fecha_inicio]]))</f>
        <v/>
      </c>
      <c r="S438" s="3">
        <f>IF(tblOrdenes[[#This Row],[fecha_inicio]]="","",INDEX(lista_dias,WEEKDAY(tblOrdenes[[#This Row],[fecha_inicio]],2)))</f>
        <v/>
      </c>
      <c r="T438" s="3">
        <f>IF(tblOrdenes[[#This Row],[tipo_ot]]="","",_xlfn.XLOOKUP(tblOrdenes[[#This Row],[tipo_ot]],tblTiposOT[codigo],tblTiposOT[clasificacion],"sin_clasificar"))</f>
        <v/>
      </c>
      <c r="U438" s="3">
        <f>IF(tblOrdenes[[#This Row],[centro_costo]]="","",_xlfn.XLOOKUP(tblOrdenes[[#This Row],[centro_costo]],tblCECO[codigo],tblCECO[linea],"(sin catálogo)"))</f>
        <v/>
      </c>
      <c r="V438" s="3">
        <f>IF(tblOrdenes[[#This Row],[centro_costo]]="","",_xlfn.XLOOKUP(tblOrdenes[[#This Row],[centro_costo]],tblCECO[codigo],tblCECO[area],"(sin catálogo)"))</f>
        <v/>
      </c>
      <c r="W438" s="3">
        <f>IF(tblOrdenes[[#This Row],[centro_costo]]="","",_xlfn.XLOOKUP(tblOrdenes[[#This Row],[centro_costo]],tblCECO[codigo],tblCECO[coordinador],"(sin catálogo)"))</f>
        <v/>
      </c>
      <c r="X438" s="3">
        <f>IF(tblOrdenes[[#This Row],[puesto_trabajo]]="","",_xlfn.XLOOKUP(tblOrdenes[[#This Row],[puesto_trabajo]],tblPuestos[codigo],tblPuestos[especialidad],"(sin catálogo)"))</f>
        <v/>
      </c>
      <c r="Y438" s="3">
        <f>IF(tblOrdenes[[#This Row],[cod_actividad]]="","",_xlfn.XLOOKUP(tblOrdenes[[#This Row],[cod_actividad]],tblActividades[codigo],tblActividades[descripcion],"(sin catálogo)"))</f>
        <v/>
      </c>
      <c r="Z438" s="12">
        <f>IF(tblOrdenes[[#This Row],[fecha_inicio]]="","",TODAY()-tblOrdenes[[#This Row],[fecha_inicio]])</f>
        <v/>
      </c>
      <c r="AA438" s="3">
        <f>IF(tblOrdenes[[#This Row],[backlog_dias]]="","",IF(tblOrdenes[[#This Row],[backlog_dias]]&lt;0,"FUTURO",IF(tblOrdenes[[#This Row],[backlog_dias]]&gt;p_dias_backlog_max,"BACKLOG","MES CORRIENTE")))</f>
        <v/>
      </c>
      <c r="AB438" s="3">
        <f>IF(tblOrdenes[[#This Row],[backlog_dias]]="",FALSE,AND(tblOrdenes[[#This Row],[backlog_dias]]&gt;p_dias_backlog_min,tblOrdenes[[#This Row],[backlog_dias]]&lt;=p_dias_backlog_max))</f>
        <v/>
      </c>
      <c r="AC438" s="6" t="n"/>
      <c r="AD4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38" s="10">
        <f>IF(tblOrdenes[[#This Row],[orden]]="","",_xlfn.XLOOKUP(tblOrdenes[[#This Row],[id_operacion]],tblEjecucion[id_operacion],tblEjecucion[precio],0))</f>
        <v/>
      </c>
      <c r="AH438" s="10">
        <f>IF(tblOrdenes[[#This Row],[orden]]="","",MAX(0,_xlfn.XLOOKUP(tblOrdenes[[#This Row],[id_operacion]],tblEjecucion[id_operacion],tblEjecucion[costo_plan_total],0)-tblOrdenes[[#This Row],[costo_servicio]]))</f>
        <v/>
      </c>
      <c r="AI438" s="10">
        <f>IF(tblOrdenes[[#This Row],[orden]]="","",tblOrdenes[[#This Row],[costo_servicio]]+tblOrdenes[[#This Row],[costo_materiales]])</f>
        <v/>
      </c>
      <c r="AJ438" s="6" t="n"/>
      <c r="AK438" s="6" t="n"/>
      <c r="AL438" s="6" t="n"/>
      <c r="AM438" s="3">
        <f>IF(tblOrdenes[[#This Row],[link_checklist]]="","",HYPERLINK(p_ruta_base_checklists&amp;tblOrdenes[[#This Row],[link_checklist]],"abrir"))</f>
        <v/>
      </c>
      <c r="AN438" s="6" t="n"/>
      <c r="AO438" s="3">
        <f>IF(tblOrdenes[[#This Row],[orden]]="","",tblOrdenes[[#This Row],[orden]]&amp;IF(tblOrdenes[[#This Row],[operacion]]="","0010",tblOrdenes[[#This Row],[operacion]]))</f>
        <v/>
      </c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11" t="n"/>
      <c r="K439" s="3" t="n"/>
      <c r="L439" s="10" t="n"/>
      <c r="M439" s="6" t="n"/>
      <c r="N4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39" s="3">
        <f>IF(tblOrdenes[[#This Row],[fecha_inicio]]="","",YEAR(tblOrdenes[[#This Row],[fecha_inicio]]))</f>
        <v/>
      </c>
      <c r="R439" s="3">
        <f>IF(tblOrdenes[[#This Row],[fecha_inicio]]="","",MONTH(tblOrdenes[[#This Row],[fecha_inicio]]))</f>
        <v/>
      </c>
      <c r="S439" s="3">
        <f>IF(tblOrdenes[[#This Row],[fecha_inicio]]="","",INDEX(lista_dias,WEEKDAY(tblOrdenes[[#This Row],[fecha_inicio]],2)))</f>
        <v/>
      </c>
      <c r="T439" s="3">
        <f>IF(tblOrdenes[[#This Row],[tipo_ot]]="","",_xlfn.XLOOKUP(tblOrdenes[[#This Row],[tipo_ot]],tblTiposOT[codigo],tblTiposOT[clasificacion],"sin_clasificar"))</f>
        <v/>
      </c>
      <c r="U439" s="3">
        <f>IF(tblOrdenes[[#This Row],[centro_costo]]="","",_xlfn.XLOOKUP(tblOrdenes[[#This Row],[centro_costo]],tblCECO[codigo],tblCECO[linea],"(sin catálogo)"))</f>
        <v/>
      </c>
      <c r="V439" s="3">
        <f>IF(tblOrdenes[[#This Row],[centro_costo]]="","",_xlfn.XLOOKUP(tblOrdenes[[#This Row],[centro_costo]],tblCECO[codigo],tblCECO[area],"(sin catálogo)"))</f>
        <v/>
      </c>
      <c r="W439" s="3">
        <f>IF(tblOrdenes[[#This Row],[centro_costo]]="","",_xlfn.XLOOKUP(tblOrdenes[[#This Row],[centro_costo]],tblCECO[codigo],tblCECO[coordinador],"(sin catálogo)"))</f>
        <v/>
      </c>
      <c r="X439" s="3">
        <f>IF(tblOrdenes[[#This Row],[puesto_trabajo]]="","",_xlfn.XLOOKUP(tblOrdenes[[#This Row],[puesto_trabajo]],tblPuestos[codigo],tblPuestos[especialidad],"(sin catálogo)"))</f>
        <v/>
      </c>
      <c r="Y439" s="3">
        <f>IF(tblOrdenes[[#This Row],[cod_actividad]]="","",_xlfn.XLOOKUP(tblOrdenes[[#This Row],[cod_actividad]],tblActividades[codigo],tblActividades[descripcion],"(sin catálogo)"))</f>
        <v/>
      </c>
      <c r="Z439" s="12">
        <f>IF(tblOrdenes[[#This Row],[fecha_inicio]]="","",TODAY()-tblOrdenes[[#This Row],[fecha_inicio]])</f>
        <v/>
      </c>
      <c r="AA439" s="3">
        <f>IF(tblOrdenes[[#This Row],[backlog_dias]]="","",IF(tblOrdenes[[#This Row],[backlog_dias]]&lt;0,"FUTURO",IF(tblOrdenes[[#This Row],[backlog_dias]]&gt;p_dias_backlog_max,"BACKLOG","MES CORRIENTE")))</f>
        <v/>
      </c>
      <c r="AB439" s="3">
        <f>IF(tblOrdenes[[#This Row],[backlog_dias]]="",FALSE,AND(tblOrdenes[[#This Row],[backlog_dias]]&gt;p_dias_backlog_min,tblOrdenes[[#This Row],[backlog_dias]]&lt;=p_dias_backlog_max))</f>
        <v/>
      </c>
      <c r="AC439" s="6" t="n"/>
      <c r="AD4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39" s="10">
        <f>IF(tblOrdenes[[#This Row],[orden]]="","",_xlfn.XLOOKUP(tblOrdenes[[#This Row],[id_operacion]],tblEjecucion[id_operacion],tblEjecucion[precio],0))</f>
        <v/>
      </c>
      <c r="AH439" s="10">
        <f>IF(tblOrdenes[[#This Row],[orden]]="","",MAX(0,_xlfn.XLOOKUP(tblOrdenes[[#This Row],[id_operacion]],tblEjecucion[id_operacion],tblEjecucion[costo_plan_total],0)-tblOrdenes[[#This Row],[costo_servicio]]))</f>
        <v/>
      </c>
      <c r="AI439" s="10">
        <f>IF(tblOrdenes[[#This Row],[orden]]="","",tblOrdenes[[#This Row],[costo_servicio]]+tblOrdenes[[#This Row],[costo_materiales]])</f>
        <v/>
      </c>
      <c r="AJ439" s="6" t="n"/>
      <c r="AK439" s="6" t="n"/>
      <c r="AL439" s="6" t="n"/>
      <c r="AM439" s="3">
        <f>IF(tblOrdenes[[#This Row],[link_checklist]]="","",HYPERLINK(p_ruta_base_checklists&amp;tblOrdenes[[#This Row],[link_checklist]],"abrir"))</f>
        <v/>
      </c>
      <c r="AN439" s="6" t="n"/>
      <c r="AO439" s="3">
        <f>IF(tblOrdenes[[#This Row],[orden]]="","",tblOrdenes[[#This Row],[orden]]&amp;IF(tblOrdenes[[#This Row],[operacion]]="","0010",tblOrdenes[[#This Row],[operacion]]))</f>
        <v/>
      </c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11" t="n"/>
      <c r="K440" s="3" t="n"/>
      <c r="L440" s="10" t="n"/>
      <c r="M440" s="6" t="n"/>
      <c r="N4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40" s="3">
        <f>IF(tblOrdenes[[#This Row],[fecha_inicio]]="","",YEAR(tblOrdenes[[#This Row],[fecha_inicio]]))</f>
        <v/>
      </c>
      <c r="R440" s="3">
        <f>IF(tblOrdenes[[#This Row],[fecha_inicio]]="","",MONTH(tblOrdenes[[#This Row],[fecha_inicio]]))</f>
        <v/>
      </c>
      <c r="S440" s="3">
        <f>IF(tblOrdenes[[#This Row],[fecha_inicio]]="","",INDEX(lista_dias,WEEKDAY(tblOrdenes[[#This Row],[fecha_inicio]],2)))</f>
        <v/>
      </c>
      <c r="T440" s="3">
        <f>IF(tblOrdenes[[#This Row],[tipo_ot]]="","",_xlfn.XLOOKUP(tblOrdenes[[#This Row],[tipo_ot]],tblTiposOT[codigo],tblTiposOT[clasificacion],"sin_clasificar"))</f>
        <v/>
      </c>
      <c r="U440" s="3">
        <f>IF(tblOrdenes[[#This Row],[centro_costo]]="","",_xlfn.XLOOKUP(tblOrdenes[[#This Row],[centro_costo]],tblCECO[codigo],tblCECO[linea],"(sin catálogo)"))</f>
        <v/>
      </c>
      <c r="V440" s="3">
        <f>IF(tblOrdenes[[#This Row],[centro_costo]]="","",_xlfn.XLOOKUP(tblOrdenes[[#This Row],[centro_costo]],tblCECO[codigo],tblCECO[area],"(sin catálogo)"))</f>
        <v/>
      </c>
      <c r="W440" s="3">
        <f>IF(tblOrdenes[[#This Row],[centro_costo]]="","",_xlfn.XLOOKUP(tblOrdenes[[#This Row],[centro_costo]],tblCECO[codigo],tblCECO[coordinador],"(sin catálogo)"))</f>
        <v/>
      </c>
      <c r="X440" s="3">
        <f>IF(tblOrdenes[[#This Row],[puesto_trabajo]]="","",_xlfn.XLOOKUP(tblOrdenes[[#This Row],[puesto_trabajo]],tblPuestos[codigo],tblPuestos[especialidad],"(sin catálogo)"))</f>
        <v/>
      </c>
      <c r="Y440" s="3">
        <f>IF(tblOrdenes[[#This Row],[cod_actividad]]="","",_xlfn.XLOOKUP(tblOrdenes[[#This Row],[cod_actividad]],tblActividades[codigo],tblActividades[descripcion],"(sin catálogo)"))</f>
        <v/>
      </c>
      <c r="Z440" s="12">
        <f>IF(tblOrdenes[[#This Row],[fecha_inicio]]="","",TODAY()-tblOrdenes[[#This Row],[fecha_inicio]])</f>
        <v/>
      </c>
      <c r="AA440" s="3">
        <f>IF(tblOrdenes[[#This Row],[backlog_dias]]="","",IF(tblOrdenes[[#This Row],[backlog_dias]]&lt;0,"FUTURO",IF(tblOrdenes[[#This Row],[backlog_dias]]&gt;p_dias_backlog_max,"BACKLOG","MES CORRIENTE")))</f>
        <v/>
      </c>
      <c r="AB440" s="3">
        <f>IF(tblOrdenes[[#This Row],[backlog_dias]]="",FALSE,AND(tblOrdenes[[#This Row],[backlog_dias]]&gt;p_dias_backlog_min,tblOrdenes[[#This Row],[backlog_dias]]&lt;=p_dias_backlog_max))</f>
        <v/>
      </c>
      <c r="AC440" s="6" t="n"/>
      <c r="AD4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40" s="10">
        <f>IF(tblOrdenes[[#This Row],[orden]]="","",_xlfn.XLOOKUP(tblOrdenes[[#This Row],[id_operacion]],tblEjecucion[id_operacion],tblEjecucion[precio],0))</f>
        <v/>
      </c>
      <c r="AH440" s="10">
        <f>IF(tblOrdenes[[#This Row],[orden]]="","",MAX(0,_xlfn.XLOOKUP(tblOrdenes[[#This Row],[id_operacion]],tblEjecucion[id_operacion],tblEjecucion[costo_plan_total],0)-tblOrdenes[[#This Row],[costo_servicio]]))</f>
        <v/>
      </c>
      <c r="AI440" s="10">
        <f>IF(tblOrdenes[[#This Row],[orden]]="","",tblOrdenes[[#This Row],[costo_servicio]]+tblOrdenes[[#This Row],[costo_materiales]])</f>
        <v/>
      </c>
      <c r="AJ440" s="6" t="n"/>
      <c r="AK440" s="6" t="n"/>
      <c r="AL440" s="6" t="n"/>
      <c r="AM440" s="3">
        <f>IF(tblOrdenes[[#This Row],[link_checklist]]="","",HYPERLINK(p_ruta_base_checklists&amp;tblOrdenes[[#This Row],[link_checklist]],"abrir"))</f>
        <v/>
      </c>
      <c r="AN440" s="6" t="n"/>
      <c r="AO440" s="3">
        <f>IF(tblOrdenes[[#This Row],[orden]]="","",tblOrdenes[[#This Row],[orden]]&amp;IF(tblOrdenes[[#This Row],[operacion]]="","0010",tblOrdenes[[#This Row],[operacion]]))</f>
        <v/>
      </c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11" t="n"/>
      <c r="K441" s="3" t="n"/>
      <c r="L441" s="10" t="n"/>
      <c r="M441" s="6" t="n"/>
      <c r="N4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41" s="3">
        <f>IF(tblOrdenes[[#This Row],[fecha_inicio]]="","",YEAR(tblOrdenes[[#This Row],[fecha_inicio]]))</f>
        <v/>
      </c>
      <c r="R441" s="3">
        <f>IF(tblOrdenes[[#This Row],[fecha_inicio]]="","",MONTH(tblOrdenes[[#This Row],[fecha_inicio]]))</f>
        <v/>
      </c>
      <c r="S441" s="3">
        <f>IF(tblOrdenes[[#This Row],[fecha_inicio]]="","",INDEX(lista_dias,WEEKDAY(tblOrdenes[[#This Row],[fecha_inicio]],2)))</f>
        <v/>
      </c>
      <c r="T441" s="3">
        <f>IF(tblOrdenes[[#This Row],[tipo_ot]]="","",_xlfn.XLOOKUP(tblOrdenes[[#This Row],[tipo_ot]],tblTiposOT[codigo],tblTiposOT[clasificacion],"sin_clasificar"))</f>
        <v/>
      </c>
      <c r="U441" s="3">
        <f>IF(tblOrdenes[[#This Row],[centro_costo]]="","",_xlfn.XLOOKUP(tblOrdenes[[#This Row],[centro_costo]],tblCECO[codigo],tblCECO[linea],"(sin catálogo)"))</f>
        <v/>
      </c>
      <c r="V441" s="3">
        <f>IF(tblOrdenes[[#This Row],[centro_costo]]="","",_xlfn.XLOOKUP(tblOrdenes[[#This Row],[centro_costo]],tblCECO[codigo],tblCECO[area],"(sin catálogo)"))</f>
        <v/>
      </c>
      <c r="W441" s="3">
        <f>IF(tblOrdenes[[#This Row],[centro_costo]]="","",_xlfn.XLOOKUP(tblOrdenes[[#This Row],[centro_costo]],tblCECO[codigo],tblCECO[coordinador],"(sin catálogo)"))</f>
        <v/>
      </c>
      <c r="X441" s="3">
        <f>IF(tblOrdenes[[#This Row],[puesto_trabajo]]="","",_xlfn.XLOOKUP(tblOrdenes[[#This Row],[puesto_trabajo]],tblPuestos[codigo],tblPuestos[especialidad],"(sin catálogo)"))</f>
        <v/>
      </c>
      <c r="Y441" s="3">
        <f>IF(tblOrdenes[[#This Row],[cod_actividad]]="","",_xlfn.XLOOKUP(tblOrdenes[[#This Row],[cod_actividad]],tblActividades[codigo],tblActividades[descripcion],"(sin catálogo)"))</f>
        <v/>
      </c>
      <c r="Z441" s="12">
        <f>IF(tblOrdenes[[#This Row],[fecha_inicio]]="","",TODAY()-tblOrdenes[[#This Row],[fecha_inicio]])</f>
        <v/>
      </c>
      <c r="AA441" s="3">
        <f>IF(tblOrdenes[[#This Row],[backlog_dias]]="","",IF(tblOrdenes[[#This Row],[backlog_dias]]&lt;0,"FUTURO",IF(tblOrdenes[[#This Row],[backlog_dias]]&gt;p_dias_backlog_max,"BACKLOG","MES CORRIENTE")))</f>
        <v/>
      </c>
      <c r="AB441" s="3">
        <f>IF(tblOrdenes[[#This Row],[backlog_dias]]="",FALSE,AND(tblOrdenes[[#This Row],[backlog_dias]]&gt;p_dias_backlog_min,tblOrdenes[[#This Row],[backlog_dias]]&lt;=p_dias_backlog_max))</f>
        <v/>
      </c>
      <c r="AC441" s="6" t="n"/>
      <c r="AD4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41" s="10">
        <f>IF(tblOrdenes[[#This Row],[orden]]="","",_xlfn.XLOOKUP(tblOrdenes[[#This Row],[id_operacion]],tblEjecucion[id_operacion],tblEjecucion[precio],0))</f>
        <v/>
      </c>
      <c r="AH441" s="10">
        <f>IF(tblOrdenes[[#This Row],[orden]]="","",MAX(0,_xlfn.XLOOKUP(tblOrdenes[[#This Row],[id_operacion]],tblEjecucion[id_operacion],tblEjecucion[costo_plan_total],0)-tblOrdenes[[#This Row],[costo_servicio]]))</f>
        <v/>
      </c>
      <c r="AI441" s="10">
        <f>IF(tblOrdenes[[#This Row],[orden]]="","",tblOrdenes[[#This Row],[costo_servicio]]+tblOrdenes[[#This Row],[costo_materiales]])</f>
        <v/>
      </c>
      <c r="AJ441" s="6" t="n"/>
      <c r="AK441" s="6" t="n"/>
      <c r="AL441" s="6" t="n"/>
      <c r="AM441" s="3">
        <f>IF(tblOrdenes[[#This Row],[link_checklist]]="","",HYPERLINK(p_ruta_base_checklists&amp;tblOrdenes[[#This Row],[link_checklist]],"abrir"))</f>
        <v/>
      </c>
      <c r="AN441" s="6" t="n"/>
      <c r="AO441" s="3">
        <f>IF(tblOrdenes[[#This Row],[orden]]="","",tblOrdenes[[#This Row],[orden]]&amp;IF(tblOrdenes[[#This Row],[operacion]]="","0010",tblOrdenes[[#This Row],[operacion]]))</f>
        <v/>
      </c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11" t="n"/>
      <c r="K442" s="3" t="n"/>
      <c r="L442" s="10" t="n"/>
      <c r="M442" s="6" t="n"/>
      <c r="N4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42" s="3">
        <f>IF(tblOrdenes[[#This Row],[fecha_inicio]]="","",YEAR(tblOrdenes[[#This Row],[fecha_inicio]]))</f>
        <v/>
      </c>
      <c r="R442" s="3">
        <f>IF(tblOrdenes[[#This Row],[fecha_inicio]]="","",MONTH(tblOrdenes[[#This Row],[fecha_inicio]]))</f>
        <v/>
      </c>
      <c r="S442" s="3">
        <f>IF(tblOrdenes[[#This Row],[fecha_inicio]]="","",INDEX(lista_dias,WEEKDAY(tblOrdenes[[#This Row],[fecha_inicio]],2)))</f>
        <v/>
      </c>
      <c r="T442" s="3">
        <f>IF(tblOrdenes[[#This Row],[tipo_ot]]="","",_xlfn.XLOOKUP(tblOrdenes[[#This Row],[tipo_ot]],tblTiposOT[codigo],tblTiposOT[clasificacion],"sin_clasificar"))</f>
        <v/>
      </c>
      <c r="U442" s="3">
        <f>IF(tblOrdenes[[#This Row],[centro_costo]]="","",_xlfn.XLOOKUP(tblOrdenes[[#This Row],[centro_costo]],tblCECO[codigo],tblCECO[linea],"(sin catálogo)"))</f>
        <v/>
      </c>
      <c r="V442" s="3">
        <f>IF(tblOrdenes[[#This Row],[centro_costo]]="","",_xlfn.XLOOKUP(tblOrdenes[[#This Row],[centro_costo]],tblCECO[codigo],tblCECO[area],"(sin catálogo)"))</f>
        <v/>
      </c>
      <c r="W442" s="3">
        <f>IF(tblOrdenes[[#This Row],[centro_costo]]="","",_xlfn.XLOOKUP(tblOrdenes[[#This Row],[centro_costo]],tblCECO[codigo],tblCECO[coordinador],"(sin catálogo)"))</f>
        <v/>
      </c>
      <c r="X442" s="3">
        <f>IF(tblOrdenes[[#This Row],[puesto_trabajo]]="","",_xlfn.XLOOKUP(tblOrdenes[[#This Row],[puesto_trabajo]],tblPuestos[codigo],tblPuestos[especialidad],"(sin catálogo)"))</f>
        <v/>
      </c>
      <c r="Y442" s="3">
        <f>IF(tblOrdenes[[#This Row],[cod_actividad]]="","",_xlfn.XLOOKUP(tblOrdenes[[#This Row],[cod_actividad]],tblActividades[codigo],tblActividades[descripcion],"(sin catálogo)"))</f>
        <v/>
      </c>
      <c r="Z442" s="12">
        <f>IF(tblOrdenes[[#This Row],[fecha_inicio]]="","",TODAY()-tblOrdenes[[#This Row],[fecha_inicio]])</f>
        <v/>
      </c>
      <c r="AA442" s="3">
        <f>IF(tblOrdenes[[#This Row],[backlog_dias]]="","",IF(tblOrdenes[[#This Row],[backlog_dias]]&lt;0,"FUTURO",IF(tblOrdenes[[#This Row],[backlog_dias]]&gt;p_dias_backlog_max,"BACKLOG","MES CORRIENTE")))</f>
        <v/>
      </c>
      <c r="AB442" s="3">
        <f>IF(tblOrdenes[[#This Row],[backlog_dias]]="",FALSE,AND(tblOrdenes[[#This Row],[backlog_dias]]&gt;p_dias_backlog_min,tblOrdenes[[#This Row],[backlog_dias]]&lt;=p_dias_backlog_max))</f>
        <v/>
      </c>
      <c r="AC442" s="6" t="n"/>
      <c r="AD4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42" s="10">
        <f>IF(tblOrdenes[[#This Row],[orden]]="","",_xlfn.XLOOKUP(tblOrdenes[[#This Row],[id_operacion]],tblEjecucion[id_operacion],tblEjecucion[precio],0))</f>
        <v/>
      </c>
      <c r="AH442" s="10">
        <f>IF(tblOrdenes[[#This Row],[orden]]="","",MAX(0,_xlfn.XLOOKUP(tblOrdenes[[#This Row],[id_operacion]],tblEjecucion[id_operacion],tblEjecucion[costo_plan_total],0)-tblOrdenes[[#This Row],[costo_servicio]]))</f>
        <v/>
      </c>
      <c r="AI442" s="10">
        <f>IF(tblOrdenes[[#This Row],[orden]]="","",tblOrdenes[[#This Row],[costo_servicio]]+tblOrdenes[[#This Row],[costo_materiales]])</f>
        <v/>
      </c>
      <c r="AJ442" s="6" t="n"/>
      <c r="AK442" s="6" t="n"/>
      <c r="AL442" s="6" t="n"/>
      <c r="AM442" s="3">
        <f>IF(tblOrdenes[[#This Row],[link_checklist]]="","",HYPERLINK(p_ruta_base_checklists&amp;tblOrdenes[[#This Row],[link_checklist]],"abrir"))</f>
        <v/>
      </c>
      <c r="AN442" s="6" t="n"/>
      <c r="AO442" s="3">
        <f>IF(tblOrdenes[[#This Row],[orden]]="","",tblOrdenes[[#This Row],[orden]]&amp;IF(tblOrdenes[[#This Row],[operacion]]="","0010",tblOrdenes[[#This Row],[operacion]]))</f>
        <v/>
      </c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11" t="n"/>
      <c r="K443" s="3" t="n"/>
      <c r="L443" s="10" t="n"/>
      <c r="M443" s="6" t="n"/>
      <c r="N4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43" s="3">
        <f>IF(tblOrdenes[[#This Row],[fecha_inicio]]="","",YEAR(tblOrdenes[[#This Row],[fecha_inicio]]))</f>
        <v/>
      </c>
      <c r="R443" s="3">
        <f>IF(tblOrdenes[[#This Row],[fecha_inicio]]="","",MONTH(tblOrdenes[[#This Row],[fecha_inicio]]))</f>
        <v/>
      </c>
      <c r="S443" s="3">
        <f>IF(tblOrdenes[[#This Row],[fecha_inicio]]="","",INDEX(lista_dias,WEEKDAY(tblOrdenes[[#This Row],[fecha_inicio]],2)))</f>
        <v/>
      </c>
      <c r="T443" s="3">
        <f>IF(tblOrdenes[[#This Row],[tipo_ot]]="","",_xlfn.XLOOKUP(tblOrdenes[[#This Row],[tipo_ot]],tblTiposOT[codigo],tblTiposOT[clasificacion],"sin_clasificar"))</f>
        <v/>
      </c>
      <c r="U443" s="3">
        <f>IF(tblOrdenes[[#This Row],[centro_costo]]="","",_xlfn.XLOOKUP(tblOrdenes[[#This Row],[centro_costo]],tblCECO[codigo],tblCECO[linea],"(sin catálogo)"))</f>
        <v/>
      </c>
      <c r="V443" s="3">
        <f>IF(tblOrdenes[[#This Row],[centro_costo]]="","",_xlfn.XLOOKUP(tblOrdenes[[#This Row],[centro_costo]],tblCECO[codigo],tblCECO[area],"(sin catálogo)"))</f>
        <v/>
      </c>
      <c r="W443" s="3">
        <f>IF(tblOrdenes[[#This Row],[centro_costo]]="","",_xlfn.XLOOKUP(tblOrdenes[[#This Row],[centro_costo]],tblCECO[codigo],tblCECO[coordinador],"(sin catálogo)"))</f>
        <v/>
      </c>
      <c r="X443" s="3">
        <f>IF(tblOrdenes[[#This Row],[puesto_trabajo]]="","",_xlfn.XLOOKUP(tblOrdenes[[#This Row],[puesto_trabajo]],tblPuestos[codigo],tblPuestos[especialidad],"(sin catálogo)"))</f>
        <v/>
      </c>
      <c r="Y443" s="3">
        <f>IF(tblOrdenes[[#This Row],[cod_actividad]]="","",_xlfn.XLOOKUP(tblOrdenes[[#This Row],[cod_actividad]],tblActividades[codigo],tblActividades[descripcion],"(sin catálogo)"))</f>
        <v/>
      </c>
      <c r="Z443" s="12">
        <f>IF(tblOrdenes[[#This Row],[fecha_inicio]]="","",TODAY()-tblOrdenes[[#This Row],[fecha_inicio]])</f>
        <v/>
      </c>
      <c r="AA443" s="3">
        <f>IF(tblOrdenes[[#This Row],[backlog_dias]]="","",IF(tblOrdenes[[#This Row],[backlog_dias]]&lt;0,"FUTURO",IF(tblOrdenes[[#This Row],[backlog_dias]]&gt;p_dias_backlog_max,"BACKLOG","MES CORRIENTE")))</f>
        <v/>
      </c>
      <c r="AB443" s="3">
        <f>IF(tblOrdenes[[#This Row],[backlog_dias]]="",FALSE,AND(tblOrdenes[[#This Row],[backlog_dias]]&gt;p_dias_backlog_min,tblOrdenes[[#This Row],[backlog_dias]]&lt;=p_dias_backlog_max))</f>
        <v/>
      </c>
      <c r="AC443" s="6" t="n"/>
      <c r="AD4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43" s="10">
        <f>IF(tblOrdenes[[#This Row],[orden]]="","",_xlfn.XLOOKUP(tblOrdenes[[#This Row],[id_operacion]],tblEjecucion[id_operacion],tblEjecucion[precio],0))</f>
        <v/>
      </c>
      <c r="AH443" s="10">
        <f>IF(tblOrdenes[[#This Row],[orden]]="","",MAX(0,_xlfn.XLOOKUP(tblOrdenes[[#This Row],[id_operacion]],tblEjecucion[id_operacion],tblEjecucion[costo_plan_total],0)-tblOrdenes[[#This Row],[costo_servicio]]))</f>
        <v/>
      </c>
      <c r="AI443" s="10">
        <f>IF(tblOrdenes[[#This Row],[orden]]="","",tblOrdenes[[#This Row],[costo_servicio]]+tblOrdenes[[#This Row],[costo_materiales]])</f>
        <v/>
      </c>
      <c r="AJ443" s="6" t="n"/>
      <c r="AK443" s="6" t="n"/>
      <c r="AL443" s="6" t="n"/>
      <c r="AM443" s="3">
        <f>IF(tblOrdenes[[#This Row],[link_checklist]]="","",HYPERLINK(p_ruta_base_checklists&amp;tblOrdenes[[#This Row],[link_checklist]],"abrir"))</f>
        <v/>
      </c>
      <c r="AN443" s="6" t="n"/>
      <c r="AO443" s="3">
        <f>IF(tblOrdenes[[#This Row],[orden]]="","",tblOrdenes[[#This Row],[orden]]&amp;IF(tblOrdenes[[#This Row],[operacion]]="","0010",tblOrdenes[[#This Row],[operacion]]))</f>
        <v/>
      </c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11" t="n"/>
      <c r="K444" s="3" t="n"/>
      <c r="L444" s="10" t="n"/>
      <c r="M444" s="6" t="n"/>
      <c r="N4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44" s="3">
        <f>IF(tblOrdenes[[#This Row],[fecha_inicio]]="","",YEAR(tblOrdenes[[#This Row],[fecha_inicio]]))</f>
        <v/>
      </c>
      <c r="R444" s="3">
        <f>IF(tblOrdenes[[#This Row],[fecha_inicio]]="","",MONTH(tblOrdenes[[#This Row],[fecha_inicio]]))</f>
        <v/>
      </c>
      <c r="S444" s="3">
        <f>IF(tblOrdenes[[#This Row],[fecha_inicio]]="","",INDEX(lista_dias,WEEKDAY(tblOrdenes[[#This Row],[fecha_inicio]],2)))</f>
        <v/>
      </c>
      <c r="T444" s="3">
        <f>IF(tblOrdenes[[#This Row],[tipo_ot]]="","",_xlfn.XLOOKUP(tblOrdenes[[#This Row],[tipo_ot]],tblTiposOT[codigo],tblTiposOT[clasificacion],"sin_clasificar"))</f>
        <v/>
      </c>
      <c r="U444" s="3">
        <f>IF(tblOrdenes[[#This Row],[centro_costo]]="","",_xlfn.XLOOKUP(tblOrdenes[[#This Row],[centro_costo]],tblCECO[codigo],tblCECO[linea],"(sin catálogo)"))</f>
        <v/>
      </c>
      <c r="V444" s="3">
        <f>IF(tblOrdenes[[#This Row],[centro_costo]]="","",_xlfn.XLOOKUP(tblOrdenes[[#This Row],[centro_costo]],tblCECO[codigo],tblCECO[area],"(sin catálogo)"))</f>
        <v/>
      </c>
      <c r="W444" s="3">
        <f>IF(tblOrdenes[[#This Row],[centro_costo]]="","",_xlfn.XLOOKUP(tblOrdenes[[#This Row],[centro_costo]],tblCECO[codigo],tblCECO[coordinador],"(sin catálogo)"))</f>
        <v/>
      </c>
      <c r="X444" s="3">
        <f>IF(tblOrdenes[[#This Row],[puesto_trabajo]]="","",_xlfn.XLOOKUP(tblOrdenes[[#This Row],[puesto_trabajo]],tblPuestos[codigo],tblPuestos[especialidad],"(sin catálogo)"))</f>
        <v/>
      </c>
      <c r="Y444" s="3">
        <f>IF(tblOrdenes[[#This Row],[cod_actividad]]="","",_xlfn.XLOOKUP(tblOrdenes[[#This Row],[cod_actividad]],tblActividades[codigo],tblActividades[descripcion],"(sin catálogo)"))</f>
        <v/>
      </c>
      <c r="Z444" s="12">
        <f>IF(tblOrdenes[[#This Row],[fecha_inicio]]="","",TODAY()-tblOrdenes[[#This Row],[fecha_inicio]])</f>
        <v/>
      </c>
      <c r="AA444" s="3">
        <f>IF(tblOrdenes[[#This Row],[backlog_dias]]="","",IF(tblOrdenes[[#This Row],[backlog_dias]]&lt;0,"FUTURO",IF(tblOrdenes[[#This Row],[backlog_dias]]&gt;p_dias_backlog_max,"BACKLOG","MES CORRIENTE")))</f>
        <v/>
      </c>
      <c r="AB444" s="3">
        <f>IF(tblOrdenes[[#This Row],[backlog_dias]]="",FALSE,AND(tblOrdenes[[#This Row],[backlog_dias]]&gt;p_dias_backlog_min,tblOrdenes[[#This Row],[backlog_dias]]&lt;=p_dias_backlog_max))</f>
        <v/>
      </c>
      <c r="AC444" s="6" t="n"/>
      <c r="AD4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44" s="10">
        <f>IF(tblOrdenes[[#This Row],[orden]]="","",_xlfn.XLOOKUP(tblOrdenes[[#This Row],[id_operacion]],tblEjecucion[id_operacion],tblEjecucion[precio],0))</f>
        <v/>
      </c>
      <c r="AH444" s="10">
        <f>IF(tblOrdenes[[#This Row],[orden]]="","",MAX(0,_xlfn.XLOOKUP(tblOrdenes[[#This Row],[id_operacion]],tblEjecucion[id_operacion],tblEjecucion[costo_plan_total],0)-tblOrdenes[[#This Row],[costo_servicio]]))</f>
        <v/>
      </c>
      <c r="AI444" s="10">
        <f>IF(tblOrdenes[[#This Row],[orden]]="","",tblOrdenes[[#This Row],[costo_servicio]]+tblOrdenes[[#This Row],[costo_materiales]])</f>
        <v/>
      </c>
      <c r="AJ444" s="6" t="n"/>
      <c r="AK444" s="6" t="n"/>
      <c r="AL444" s="6" t="n"/>
      <c r="AM444" s="3">
        <f>IF(tblOrdenes[[#This Row],[link_checklist]]="","",HYPERLINK(p_ruta_base_checklists&amp;tblOrdenes[[#This Row],[link_checklist]],"abrir"))</f>
        <v/>
      </c>
      <c r="AN444" s="6" t="n"/>
      <c r="AO444" s="3">
        <f>IF(tblOrdenes[[#This Row],[orden]]="","",tblOrdenes[[#This Row],[orden]]&amp;IF(tblOrdenes[[#This Row],[operacion]]="","0010",tblOrdenes[[#This Row],[operacion]]))</f>
        <v/>
      </c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11" t="n"/>
      <c r="K445" s="3" t="n"/>
      <c r="L445" s="10" t="n"/>
      <c r="M445" s="6" t="n"/>
      <c r="N4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45" s="3">
        <f>IF(tblOrdenes[[#This Row],[fecha_inicio]]="","",YEAR(tblOrdenes[[#This Row],[fecha_inicio]]))</f>
        <v/>
      </c>
      <c r="R445" s="3">
        <f>IF(tblOrdenes[[#This Row],[fecha_inicio]]="","",MONTH(tblOrdenes[[#This Row],[fecha_inicio]]))</f>
        <v/>
      </c>
      <c r="S445" s="3">
        <f>IF(tblOrdenes[[#This Row],[fecha_inicio]]="","",INDEX(lista_dias,WEEKDAY(tblOrdenes[[#This Row],[fecha_inicio]],2)))</f>
        <v/>
      </c>
      <c r="T445" s="3">
        <f>IF(tblOrdenes[[#This Row],[tipo_ot]]="","",_xlfn.XLOOKUP(tblOrdenes[[#This Row],[tipo_ot]],tblTiposOT[codigo],tblTiposOT[clasificacion],"sin_clasificar"))</f>
        <v/>
      </c>
      <c r="U445" s="3">
        <f>IF(tblOrdenes[[#This Row],[centro_costo]]="","",_xlfn.XLOOKUP(tblOrdenes[[#This Row],[centro_costo]],tblCECO[codigo],tblCECO[linea],"(sin catálogo)"))</f>
        <v/>
      </c>
      <c r="V445" s="3">
        <f>IF(tblOrdenes[[#This Row],[centro_costo]]="","",_xlfn.XLOOKUP(tblOrdenes[[#This Row],[centro_costo]],tblCECO[codigo],tblCECO[area],"(sin catálogo)"))</f>
        <v/>
      </c>
      <c r="W445" s="3">
        <f>IF(tblOrdenes[[#This Row],[centro_costo]]="","",_xlfn.XLOOKUP(tblOrdenes[[#This Row],[centro_costo]],tblCECO[codigo],tblCECO[coordinador],"(sin catálogo)"))</f>
        <v/>
      </c>
      <c r="X445" s="3">
        <f>IF(tblOrdenes[[#This Row],[puesto_trabajo]]="","",_xlfn.XLOOKUP(tblOrdenes[[#This Row],[puesto_trabajo]],tblPuestos[codigo],tblPuestos[especialidad],"(sin catálogo)"))</f>
        <v/>
      </c>
      <c r="Y445" s="3">
        <f>IF(tblOrdenes[[#This Row],[cod_actividad]]="","",_xlfn.XLOOKUP(tblOrdenes[[#This Row],[cod_actividad]],tblActividades[codigo],tblActividades[descripcion],"(sin catálogo)"))</f>
        <v/>
      </c>
      <c r="Z445" s="12">
        <f>IF(tblOrdenes[[#This Row],[fecha_inicio]]="","",TODAY()-tblOrdenes[[#This Row],[fecha_inicio]])</f>
        <v/>
      </c>
      <c r="AA445" s="3">
        <f>IF(tblOrdenes[[#This Row],[backlog_dias]]="","",IF(tblOrdenes[[#This Row],[backlog_dias]]&lt;0,"FUTURO",IF(tblOrdenes[[#This Row],[backlog_dias]]&gt;p_dias_backlog_max,"BACKLOG","MES CORRIENTE")))</f>
        <v/>
      </c>
      <c r="AB445" s="3">
        <f>IF(tblOrdenes[[#This Row],[backlog_dias]]="",FALSE,AND(tblOrdenes[[#This Row],[backlog_dias]]&gt;p_dias_backlog_min,tblOrdenes[[#This Row],[backlog_dias]]&lt;=p_dias_backlog_max))</f>
        <v/>
      </c>
      <c r="AC445" s="6" t="n"/>
      <c r="AD4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45" s="10">
        <f>IF(tblOrdenes[[#This Row],[orden]]="","",_xlfn.XLOOKUP(tblOrdenes[[#This Row],[id_operacion]],tblEjecucion[id_operacion],tblEjecucion[precio],0))</f>
        <v/>
      </c>
      <c r="AH445" s="10">
        <f>IF(tblOrdenes[[#This Row],[orden]]="","",MAX(0,_xlfn.XLOOKUP(tblOrdenes[[#This Row],[id_operacion]],tblEjecucion[id_operacion],tblEjecucion[costo_plan_total],0)-tblOrdenes[[#This Row],[costo_servicio]]))</f>
        <v/>
      </c>
      <c r="AI445" s="10">
        <f>IF(tblOrdenes[[#This Row],[orden]]="","",tblOrdenes[[#This Row],[costo_servicio]]+tblOrdenes[[#This Row],[costo_materiales]])</f>
        <v/>
      </c>
      <c r="AJ445" s="6" t="n"/>
      <c r="AK445" s="6" t="n"/>
      <c r="AL445" s="6" t="n"/>
      <c r="AM445" s="3">
        <f>IF(tblOrdenes[[#This Row],[link_checklist]]="","",HYPERLINK(p_ruta_base_checklists&amp;tblOrdenes[[#This Row],[link_checklist]],"abrir"))</f>
        <v/>
      </c>
      <c r="AN445" s="6" t="n"/>
      <c r="AO445" s="3">
        <f>IF(tblOrdenes[[#This Row],[orden]]="","",tblOrdenes[[#This Row],[orden]]&amp;IF(tblOrdenes[[#This Row],[operacion]]="","0010",tblOrdenes[[#This Row],[operacion]]))</f>
        <v/>
      </c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11" t="n"/>
      <c r="K446" s="3" t="n"/>
      <c r="L446" s="10" t="n"/>
      <c r="M446" s="6" t="n"/>
      <c r="N4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46" s="3">
        <f>IF(tblOrdenes[[#This Row],[fecha_inicio]]="","",YEAR(tblOrdenes[[#This Row],[fecha_inicio]]))</f>
        <v/>
      </c>
      <c r="R446" s="3">
        <f>IF(tblOrdenes[[#This Row],[fecha_inicio]]="","",MONTH(tblOrdenes[[#This Row],[fecha_inicio]]))</f>
        <v/>
      </c>
      <c r="S446" s="3">
        <f>IF(tblOrdenes[[#This Row],[fecha_inicio]]="","",INDEX(lista_dias,WEEKDAY(tblOrdenes[[#This Row],[fecha_inicio]],2)))</f>
        <v/>
      </c>
      <c r="T446" s="3">
        <f>IF(tblOrdenes[[#This Row],[tipo_ot]]="","",_xlfn.XLOOKUP(tblOrdenes[[#This Row],[tipo_ot]],tblTiposOT[codigo],tblTiposOT[clasificacion],"sin_clasificar"))</f>
        <v/>
      </c>
      <c r="U446" s="3">
        <f>IF(tblOrdenes[[#This Row],[centro_costo]]="","",_xlfn.XLOOKUP(tblOrdenes[[#This Row],[centro_costo]],tblCECO[codigo],tblCECO[linea],"(sin catálogo)"))</f>
        <v/>
      </c>
      <c r="V446" s="3">
        <f>IF(tblOrdenes[[#This Row],[centro_costo]]="","",_xlfn.XLOOKUP(tblOrdenes[[#This Row],[centro_costo]],tblCECO[codigo],tblCECO[area],"(sin catálogo)"))</f>
        <v/>
      </c>
      <c r="W446" s="3">
        <f>IF(tblOrdenes[[#This Row],[centro_costo]]="","",_xlfn.XLOOKUP(tblOrdenes[[#This Row],[centro_costo]],tblCECO[codigo],tblCECO[coordinador],"(sin catálogo)"))</f>
        <v/>
      </c>
      <c r="X446" s="3">
        <f>IF(tblOrdenes[[#This Row],[puesto_trabajo]]="","",_xlfn.XLOOKUP(tblOrdenes[[#This Row],[puesto_trabajo]],tblPuestos[codigo],tblPuestos[especialidad],"(sin catálogo)"))</f>
        <v/>
      </c>
      <c r="Y446" s="3">
        <f>IF(tblOrdenes[[#This Row],[cod_actividad]]="","",_xlfn.XLOOKUP(tblOrdenes[[#This Row],[cod_actividad]],tblActividades[codigo],tblActividades[descripcion],"(sin catálogo)"))</f>
        <v/>
      </c>
      <c r="Z446" s="12">
        <f>IF(tblOrdenes[[#This Row],[fecha_inicio]]="","",TODAY()-tblOrdenes[[#This Row],[fecha_inicio]])</f>
        <v/>
      </c>
      <c r="AA446" s="3">
        <f>IF(tblOrdenes[[#This Row],[backlog_dias]]="","",IF(tblOrdenes[[#This Row],[backlog_dias]]&lt;0,"FUTURO",IF(tblOrdenes[[#This Row],[backlog_dias]]&gt;p_dias_backlog_max,"BACKLOG","MES CORRIENTE")))</f>
        <v/>
      </c>
      <c r="AB446" s="3">
        <f>IF(tblOrdenes[[#This Row],[backlog_dias]]="",FALSE,AND(tblOrdenes[[#This Row],[backlog_dias]]&gt;p_dias_backlog_min,tblOrdenes[[#This Row],[backlog_dias]]&lt;=p_dias_backlog_max))</f>
        <v/>
      </c>
      <c r="AC446" s="6" t="n"/>
      <c r="AD4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46" s="10">
        <f>IF(tblOrdenes[[#This Row],[orden]]="","",_xlfn.XLOOKUP(tblOrdenes[[#This Row],[id_operacion]],tblEjecucion[id_operacion],tblEjecucion[precio],0))</f>
        <v/>
      </c>
      <c r="AH446" s="10">
        <f>IF(tblOrdenes[[#This Row],[orden]]="","",MAX(0,_xlfn.XLOOKUP(tblOrdenes[[#This Row],[id_operacion]],tblEjecucion[id_operacion],tblEjecucion[costo_plan_total],0)-tblOrdenes[[#This Row],[costo_servicio]]))</f>
        <v/>
      </c>
      <c r="AI446" s="10">
        <f>IF(tblOrdenes[[#This Row],[orden]]="","",tblOrdenes[[#This Row],[costo_servicio]]+tblOrdenes[[#This Row],[costo_materiales]])</f>
        <v/>
      </c>
      <c r="AJ446" s="6" t="n"/>
      <c r="AK446" s="6" t="n"/>
      <c r="AL446" s="6" t="n"/>
      <c r="AM446" s="3">
        <f>IF(tblOrdenes[[#This Row],[link_checklist]]="","",HYPERLINK(p_ruta_base_checklists&amp;tblOrdenes[[#This Row],[link_checklist]],"abrir"))</f>
        <v/>
      </c>
      <c r="AN446" s="6" t="n"/>
      <c r="AO446" s="3">
        <f>IF(tblOrdenes[[#This Row],[orden]]="","",tblOrdenes[[#This Row],[orden]]&amp;IF(tblOrdenes[[#This Row],[operacion]]="","0010",tblOrdenes[[#This Row],[operacion]]))</f>
        <v/>
      </c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11" t="n"/>
      <c r="K447" s="3" t="n"/>
      <c r="L447" s="10" t="n"/>
      <c r="M447" s="6" t="n"/>
      <c r="N4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47" s="3">
        <f>IF(tblOrdenes[[#This Row],[fecha_inicio]]="","",YEAR(tblOrdenes[[#This Row],[fecha_inicio]]))</f>
        <v/>
      </c>
      <c r="R447" s="3">
        <f>IF(tblOrdenes[[#This Row],[fecha_inicio]]="","",MONTH(tblOrdenes[[#This Row],[fecha_inicio]]))</f>
        <v/>
      </c>
      <c r="S447" s="3">
        <f>IF(tblOrdenes[[#This Row],[fecha_inicio]]="","",INDEX(lista_dias,WEEKDAY(tblOrdenes[[#This Row],[fecha_inicio]],2)))</f>
        <v/>
      </c>
      <c r="T447" s="3">
        <f>IF(tblOrdenes[[#This Row],[tipo_ot]]="","",_xlfn.XLOOKUP(tblOrdenes[[#This Row],[tipo_ot]],tblTiposOT[codigo],tblTiposOT[clasificacion],"sin_clasificar"))</f>
        <v/>
      </c>
      <c r="U447" s="3">
        <f>IF(tblOrdenes[[#This Row],[centro_costo]]="","",_xlfn.XLOOKUP(tblOrdenes[[#This Row],[centro_costo]],tblCECO[codigo],tblCECO[linea],"(sin catálogo)"))</f>
        <v/>
      </c>
      <c r="V447" s="3">
        <f>IF(tblOrdenes[[#This Row],[centro_costo]]="","",_xlfn.XLOOKUP(tblOrdenes[[#This Row],[centro_costo]],tblCECO[codigo],tblCECO[area],"(sin catálogo)"))</f>
        <v/>
      </c>
      <c r="W447" s="3">
        <f>IF(tblOrdenes[[#This Row],[centro_costo]]="","",_xlfn.XLOOKUP(tblOrdenes[[#This Row],[centro_costo]],tblCECO[codigo],tblCECO[coordinador],"(sin catálogo)"))</f>
        <v/>
      </c>
      <c r="X447" s="3">
        <f>IF(tblOrdenes[[#This Row],[puesto_trabajo]]="","",_xlfn.XLOOKUP(tblOrdenes[[#This Row],[puesto_trabajo]],tblPuestos[codigo],tblPuestos[especialidad],"(sin catálogo)"))</f>
        <v/>
      </c>
      <c r="Y447" s="3">
        <f>IF(tblOrdenes[[#This Row],[cod_actividad]]="","",_xlfn.XLOOKUP(tblOrdenes[[#This Row],[cod_actividad]],tblActividades[codigo],tblActividades[descripcion],"(sin catálogo)"))</f>
        <v/>
      </c>
      <c r="Z447" s="12">
        <f>IF(tblOrdenes[[#This Row],[fecha_inicio]]="","",TODAY()-tblOrdenes[[#This Row],[fecha_inicio]])</f>
        <v/>
      </c>
      <c r="AA447" s="3">
        <f>IF(tblOrdenes[[#This Row],[backlog_dias]]="","",IF(tblOrdenes[[#This Row],[backlog_dias]]&lt;0,"FUTURO",IF(tblOrdenes[[#This Row],[backlog_dias]]&gt;p_dias_backlog_max,"BACKLOG","MES CORRIENTE")))</f>
        <v/>
      </c>
      <c r="AB447" s="3">
        <f>IF(tblOrdenes[[#This Row],[backlog_dias]]="",FALSE,AND(tblOrdenes[[#This Row],[backlog_dias]]&gt;p_dias_backlog_min,tblOrdenes[[#This Row],[backlog_dias]]&lt;=p_dias_backlog_max))</f>
        <v/>
      </c>
      <c r="AC447" s="6" t="n"/>
      <c r="AD4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47" s="10">
        <f>IF(tblOrdenes[[#This Row],[orden]]="","",_xlfn.XLOOKUP(tblOrdenes[[#This Row],[id_operacion]],tblEjecucion[id_operacion],tblEjecucion[precio],0))</f>
        <v/>
      </c>
      <c r="AH447" s="10">
        <f>IF(tblOrdenes[[#This Row],[orden]]="","",MAX(0,_xlfn.XLOOKUP(tblOrdenes[[#This Row],[id_operacion]],tblEjecucion[id_operacion],tblEjecucion[costo_plan_total],0)-tblOrdenes[[#This Row],[costo_servicio]]))</f>
        <v/>
      </c>
      <c r="AI447" s="10">
        <f>IF(tblOrdenes[[#This Row],[orden]]="","",tblOrdenes[[#This Row],[costo_servicio]]+tblOrdenes[[#This Row],[costo_materiales]])</f>
        <v/>
      </c>
      <c r="AJ447" s="6" t="n"/>
      <c r="AK447" s="6" t="n"/>
      <c r="AL447" s="6" t="n"/>
      <c r="AM447" s="3">
        <f>IF(tblOrdenes[[#This Row],[link_checklist]]="","",HYPERLINK(p_ruta_base_checklists&amp;tblOrdenes[[#This Row],[link_checklist]],"abrir"))</f>
        <v/>
      </c>
      <c r="AN447" s="6" t="n"/>
      <c r="AO447" s="3">
        <f>IF(tblOrdenes[[#This Row],[orden]]="","",tblOrdenes[[#This Row],[orden]]&amp;IF(tblOrdenes[[#This Row],[operacion]]="","0010",tblOrdenes[[#This Row],[operacion]]))</f>
        <v/>
      </c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11" t="n"/>
      <c r="K448" s="3" t="n"/>
      <c r="L448" s="10" t="n"/>
      <c r="M448" s="6" t="n"/>
      <c r="N4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48" s="3">
        <f>IF(tblOrdenes[[#This Row],[fecha_inicio]]="","",YEAR(tblOrdenes[[#This Row],[fecha_inicio]]))</f>
        <v/>
      </c>
      <c r="R448" s="3">
        <f>IF(tblOrdenes[[#This Row],[fecha_inicio]]="","",MONTH(tblOrdenes[[#This Row],[fecha_inicio]]))</f>
        <v/>
      </c>
      <c r="S448" s="3">
        <f>IF(tblOrdenes[[#This Row],[fecha_inicio]]="","",INDEX(lista_dias,WEEKDAY(tblOrdenes[[#This Row],[fecha_inicio]],2)))</f>
        <v/>
      </c>
      <c r="T448" s="3">
        <f>IF(tblOrdenes[[#This Row],[tipo_ot]]="","",_xlfn.XLOOKUP(tblOrdenes[[#This Row],[tipo_ot]],tblTiposOT[codigo],tblTiposOT[clasificacion],"sin_clasificar"))</f>
        <v/>
      </c>
      <c r="U448" s="3">
        <f>IF(tblOrdenes[[#This Row],[centro_costo]]="","",_xlfn.XLOOKUP(tblOrdenes[[#This Row],[centro_costo]],tblCECO[codigo],tblCECO[linea],"(sin catálogo)"))</f>
        <v/>
      </c>
      <c r="V448" s="3">
        <f>IF(tblOrdenes[[#This Row],[centro_costo]]="","",_xlfn.XLOOKUP(tblOrdenes[[#This Row],[centro_costo]],tblCECO[codigo],tblCECO[area],"(sin catálogo)"))</f>
        <v/>
      </c>
      <c r="W448" s="3">
        <f>IF(tblOrdenes[[#This Row],[centro_costo]]="","",_xlfn.XLOOKUP(tblOrdenes[[#This Row],[centro_costo]],tblCECO[codigo],tblCECO[coordinador],"(sin catálogo)"))</f>
        <v/>
      </c>
      <c r="X448" s="3">
        <f>IF(tblOrdenes[[#This Row],[puesto_trabajo]]="","",_xlfn.XLOOKUP(tblOrdenes[[#This Row],[puesto_trabajo]],tblPuestos[codigo],tblPuestos[especialidad],"(sin catálogo)"))</f>
        <v/>
      </c>
      <c r="Y448" s="3">
        <f>IF(tblOrdenes[[#This Row],[cod_actividad]]="","",_xlfn.XLOOKUP(tblOrdenes[[#This Row],[cod_actividad]],tblActividades[codigo],tblActividades[descripcion],"(sin catálogo)"))</f>
        <v/>
      </c>
      <c r="Z448" s="12">
        <f>IF(tblOrdenes[[#This Row],[fecha_inicio]]="","",TODAY()-tblOrdenes[[#This Row],[fecha_inicio]])</f>
        <v/>
      </c>
      <c r="AA448" s="3">
        <f>IF(tblOrdenes[[#This Row],[backlog_dias]]="","",IF(tblOrdenes[[#This Row],[backlog_dias]]&lt;0,"FUTURO",IF(tblOrdenes[[#This Row],[backlog_dias]]&gt;p_dias_backlog_max,"BACKLOG","MES CORRIENTE")))</f>
        <v/>
      </c>
      <c r="AB448" s="3">
        <f>IF(tblOrdenes[[#This Row],[backlog_dias]]="",FALSE,AND(tblOrdenes[[#This Row],[backlog_dias]]&gt;p_dias_backlog_min,tblOrdenes[[#This Row],[backlog_dias]]&lt;=p_dias_backlog_max))</f>
        <v/>
      </c>
      <c r="AC448" s="6" t="n"/>
      <c r="AD4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48" s="10">
        <f>IF(tblOrdenes[[#This Row],[orden]]="","",_xlfn.XLOOKUP(tblOrdenes[[#This Row],[id_operacion]],tblEjecucion[id_operacion],tblEjecucion[precio],0))</f>
        <v/>
      </c>
      <c r="AH448" s="10">
        <f>IF(tblOrdenes[[#This Row],[orden]]="","",MAX(0,_xlfn.XLOOKUP(tblOrdenes[[#This Row],[id_operacion]],tblEjecucion[id_operacion],tblEjecucion[costo_plan_total],0)-tblOrdenes[[#This Row],[costo_servicio]]))</f>
        <v/>
      </c>
      <c r="AI448" s="10">
        <f>IF(tblOrdenes[[#This Row],[orden]]="","",tblOrdenes[[#This Row],[costo_servicio]]+tblOrdenes[[#This Row],[costo_materiales]])</f>
        <v/>
      </c>
      <c r="AJ448" s="6" t="n"/>
      <c r="AK448" s="6" t="n"/>
      <c r="AL448" s="6" t="n"/>
      <c r="AM448" s="3">
        <f>IF(tblOrdenes[[#This Row],[link_checklist]]="","",HYPERLINK(p_ruta_base_checklists&amp;tblOrdenes[[#This Row],[link_checklist]],"abrir"))</f>
        <v/>
      </c>
      <c r="AN448" s="6" t="n"/>
      <c r="AO448" s="3">
        <f>IF(tblOrdenes[[#This Row],[orden]]="","",tblOrdenes[[#This Row],[orden]]&amp;IF(tblOrdenes[[#This Row],[operacion]]="","0010",tblOrdenes[[#This Row],[operacion]]))</f>
        <v/>
      </c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11" t="n"/>
      <c r="K449" s="3" t="n"/>
      <c r="L449" s="10" t="n"/>
      <c r="M449" s="6" t="n"/>
      <c r="N4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49" s="3">
        <f>IF(tblOrdenes[[#This Row],[fecha_inicio]]="","",YEAR(tblOrdenes[[#This Row],[fecha_inicio]]))</f>
        <v/>
      </c>
      <c r="R449" s="3">
        <f>IF(tblOrdenes[[#This Row],[fecha_inicio]]="","",MONTH(tblOrdenes[[#This Row],[fecha_inicio]]))</f>
        <v/>
      </c>
      <c r="S449" s="3">
        <f>IF(tblOrdenes[[#This Row],[fecha_inicio]]="","",INDEX(lista_dias,WEEKDAY(tblOrdenes[[#This Row],[fecha_inicio]],2)))</f>
        <v/>
      </c>
      <c r="T449" s="3">
        <f>IF(tblOrdenes[[#This Row],[tipo_ot]]="","",_xlfn.XLOOKUP(tblOrdenes[[#This Row],[tipo_ot]],tblTiposOT[codigo],tblTiposOT[clasificacion],"sin_clasificar"))</f>
        <v/>
      </c>
      <c r="U449" s="3">
        <f>IF(tblOrdenes[[#This Row],[centro_costo]]="","",_xlfn.XLOOKUP(tblOrdenes[[#This Row],[centro_costo]],tblCECO[codigo],tblCECO[linea],"(sin catálogo)"))</f>
        <v/>
      </c>
      <c r="V449" s="3">
        <f>IF(tblOrdenes[[#This Row],[centro_costo]]="","",_xlfn.XLOOKUP(tblOrdenes[[#This Row],[centro_costo]],tblCECO[codigo],tblCECO[area],"(sin catálogo)"))</f>
        <v/>
      </c>
      <c r="W449" s="3">
        <f>IF(tblOrdenes[[#This Row],[centro_costo]]="","",_xlfn.XLOOKUP(tblOrdenes[[#This Row],[centro_costo]],tblCECO[codigo],tblCECO[coordinador],"(sin catálogo)"))</f>
        <v/>
      </c>
      <c r="X449" s="3">
        <f>IF(tblOrdenes[[#This Row],[puesto_trabajo]]="","",_xlfn.XLOOKUP(tblOrdenes[[#This Row],[puesto_trabajo]],tblPuestos[codigo],tblPuestos[especialidad],"(sin catálogo)"))</f>
        <v/>
      </c>
      <c r="Y449" s="3">
        <f>IF(tblOrdenes[[#This Row],[cod_actividad]]="","",_xlfn.XLOOKUP(tblOrdenes[[#This Row],[cod_actividad]],tblActividades[codigo],tblActividades[descripcion],"(sin catálogo)"))</f>
        <v/>
      </c>
      <c r="Z449" s="12">
        <f>IF(tblOrdenes[[#This Row],[fecha_inicio]]="","",TODAY()-tblOrdenes[[#This Row],[fecha_inicio]])</f>
        <v/>
      </c>
      <c r="AA449" s="3">
        <f>IF(tblOrdenes[[#This Row],[backlog_dias]]="","",IF(tblOrdenes[[#This Row],[backlog_dias]]&lt;0,"FUTURO",IF(tblOrdenes[[#This Row],[backlog_dias]]&gt;p_dias_backlog_max,"BACKLOG","MES CORRIENTE")))</f>
        <v/>
      </c>
      <c r="AB449" s="3">
        <f>IF(tblOrdenes[[#This Row],[backlog_dias]]="",FALSE,AND(tblOrdenes[[#This Row],[backlog_dias]]&gt;p_dias_backlog_min,tblOrdenes[[#This Row],[backlog_dias]]&lt;=p_dias_backlog_max))</f>
        <v/>
      </c>
      <c r="AC449" s="6" t="n"/>
      <c r="AD4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49" s="10">
        <f>IF(tblOrdenes[[#This Row],[orden]]="","",_xlfn.XLOOKUP(tblOrdenes[[#This Row],[id_operacion]],tblEjecucion[id_operacion],tblEjecucion[precio],0))</f>
        <v/>
      </c>
      <c r="AH449" s="10">
        <f>IF(tblOrdenes[[#This Row],[orden]]="","",MAX(0,_xlfn.XLOOKUP(tblOrdenes[[#This Row],[id_operacion]],tblEjecucion[id_operacion],tblEjecucion[costo_plan_total],0)-tblOrdenes[[#This Row],[costo_servicio]]))</f>
        <v/>
      </c>
      <c r="AI449" s="10">
        <f>IF(tblOrdenes[[#This Row],[orden]]="","",tblOrdenes[[#This Row],[costo_servicio]]+tblOrdenes[[#This Row],[costo_materiales]])</f>
        <v/>
      </c>
      <c r="AJ449" s="6" t="n"/>
      <c r="AK449" s="6" t="n"/>
      <c r="AL449" s="6" t="n"/>
      <c r="AM449" s="3">
        <f>IF(tblOrdenes[[#This Row],[link_checklist]]="","",HYPERLINK(p_ruta_base_checklists&amp;tblOrdenes[[#This Row],[link_checklist]],"abrir"))</f>
        <v/>
      </c>
      <c r="AN449" s="6" t="n"/>
      <c r="AO449" s="3">
        <f>IF(tblOrdenes[[#This Row],[orden]]="","",tblOrdenes[[#This Row],[orden]]&amp;IF(tblOrdenes[[#This Row],[operacion]]="","0010",tblOrdenes[[#This Row],[operacion]]))</f>
        <v/>
      </c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11" t="n"/>
      <c r="K450" s="3" t="n"/>
      <c r="L450" s="10" t="n"/>
      <c r="M450" s="6" t="n"/>
      <c r="N4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50" s="3">
        <f>IF(tblOrdenes[[#This Row],[fecha_inicio]]="","",YEAR(tblOrdenes[[#This Row],[fecha_inicio]]))</f>
        <v/>
      </c>
      <c r="R450" s="3">
        <f>IF(tblOrdenes[[#This Row],[fecha_inicio]]="","",MONTH(tblOrdenes[[#This Row],[fecha_inicio]]))</f>
        <v/>
      </c>
      <c r="S450" s="3">
        <f>IF(tblOrdenes[[#This Row],[fecha_inicio]]="","",INDEX(lista_dias,WEEKDAY(tblOrdenes[[#This Row],[fecha_inicio]],2)))</f>
        <v/>
      </c>
      <c r="T450" s="3">
        <f>IF(tblOrdenes[[#This Row],[tipo_ot]]="","",_xlfn.XLOOKUP(tblOrdenes[[#This Row],[tipo_ot]],tblTiposOT[codigo],tblTiposOT[clasificacion],"sin_clasificar"))</f>
        <v/>
      </c>
      <c r="U450" s="3">
        <f>IF(tblOrdenes[[#This Row],[centro_costo]]="","",_xlfn.XLOOKUP(tblOrdenes[[#This Row],[centro_costo]],tblCECO[codigo],tblCECO[linea],"(sin catálogo)"))</f>
        <v/>
      </c>
      <c r="V450" s="3">
        <f>IF(tblOrdenes[[#This Row],[centro_costo]]="","",_xlfn.XLOOKUP(tblOrdenes[[#This Row],[centro_costo]],tblCECO[codigo],tblCECO[area],"(sin catálogo)"))</f>
        <v/>
      </c>
      <c r="W450" s="3">
        <f>IF(tblOrdenes[[#This Row],[centro_costo]]="","",_xlfn.XLOOKUP(tblOrdenes[[#This Row],[centro_costo]],tblCECO[codigo],tblCECO[coordinador],"(sin catálogo)"))</f>
        <v/>
      </c>
      <c r="X450" s="3">
        <f>IF(tblOrdenes[[#This Row],[puesto_trabajo]]="","",_xlfn.XLOOKUP(tblOrdenes[[#This Row],[puesto_trabajo]],tblPuestos[codigo],tblPuestos[especialidad],"(sin catálogo)"))</f>
        <v/>
      </c>
      <c r="Y450" s="3">
        <f>IF(tblOrdenes[[#This Row],[cod_actividad]]="","",_xlfn.XLOOKUP(tblOrdenes[[#This Row],[cod_actividad]],tblActividades[codigo],tblActividades[descripcion],"(sin catálogo)"))</f>
        <v/>
      </c>
      <c r="Z450" s="12">
        <f>IF(tblOrdenes[[#This Row],[fecha_inicio]]="","",TODAY()-tblOrdenes[[#This Row],[fecha_inicio]])</f>
        <v/>
      </c>
      <c r="AA450" s="3">
        <f>IF(tblOrdenes[[#This Row],[backlog_dias]]="","",IF(tblOrdenes[[#This Row],[backlog_dias]]&lt;0,"FUTURO",IF(tblOrdenes[[#This Row],[backlog_dias]]&gt;p_dias_backlog_max,"BACKLOG","MES CORRIENTE")))</f>
        <v/>
      </c>
      <c r="AB450" s="3">
        <f>IF(tblOrdenes[[#This Row],[backlog_dias]]="",FALSE,AND(tblOrdenes[[#This Row],[backlog_dias]]&gt;p_dias_backlog_min,tblOrdenes[[#This Row],[backlog_dias]]&lt;=p_dias_backlog_max))</f>
        <v/>
      </c>
      <c r="AC450" s="6" t="n"/>
      <c r="AD4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50" s="10">
        <f>IF(tblOrdenes[[#This Row],[orden]]="","",_xlfn.XLOOKUP(tblOrdenes[[#This Row],[id_operacion]],tblEjecucion[id_operacion],tblEjecucion[precio],0))</f>
        <v/>
      </c>
      <c r="AH450" s="10">
        <f>IF(tblOrdenes[[#This Row],[orden]]="","",MAX(0,_xlfn.XLOOKUP(tblOrdenes[[#This Row],[id_operacion]],tblEjecucion[id_operacion],tblEjecucion[costo_plan_total],0)-tblOrdenes[[#This Row],[costo_servicio]]))</f>
        <v/>
      </c>
      <c r="AI450" s="10">
        <f>IF(tblOrdenes[[#This Row],[orden]]="","",tblOrdenes[[#This Row],[costo_servicio]]+tblOrdenes[[#This Row],[costo_materiales]])</f>
        <v/>
      </c>
      <c r="AJ450" s="6" t="n"/>
      <c r="AK450" s="6" t="n"/>
      <c r="AL450" s="6" t="n"/>
      <c r="AM450" s="3">
        <f>IF(tblOrdenes[[#This Row],[link_checklist]]="","",HYPERLINK(p_ruta_base_checklists&amp;tblOrdenes[[#This Row],[link_checklist]],"abrir"))</f>
        <v/>
      </c>
      <c r="AN450" s="6" t="n"/>
      <c r="AO450" s="3">
        <f>IF(tblOrdenes[[#This Row],[orden]]="","",tblOrdenes[[#This Row],[orden]]&amp;IF(tblOrdenes[[#This Row],[operacion]]="","0010",tblOrdenes[[#This Row],[operacion]]))</f>
        <v/>
      </c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11" t="n"/>
      <c r="K451" s="3" t="n"/>
      <c r="L451" s="10" t="n"/>
      <c r="M451" s="6" t="n"/>
      <c r="N4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51" s="3">
        <f>IF(tblOrdenes[[#This Row],[fecha_inicio]]="","",YEAR(tblOrdenes[[#This Row],[fecha_inicio]]))</f>
        <v/>
      </c>
      <c r="R451" s="3">
        <f>IF(tblOrdenes[[#This Row],[fecha_inicio]]="","",MONTH(tblOrdenes[[#This Row],[fecha_inicio]]))</f>
        <v/>
      </c>
      <c r="S451" s="3">
        <f>IF(tblOrdenes[[#This Row],[fecha_inicio]]="","",INDEX(lista_dias,WEEKDAY(tblOrdenes[[#This Row],[fecha_inicio]],2)))</f>
        <v/>
      </c>
      <c r="T451" s="3">
        <f>IF(tblOrdenes[[#This Row],[tipo_ot]]="","",_xlfn.XLOOKUP(tblOrdenes[[#This Row],[tipo_ot]],tblTiposOT[codigo],tblTiposOT[clasificacion],"sin_clasificar"))</f>
        <v/>
      </c>
      <c r="U451" s="3">
        <f>IF(tblOrdenes[[#This Row],[centro_costo]]="","",_xlfn.XLOOKUP(tblOrdenes[[#This Row],[centro_costo]],tblCECO[codigo],tblCECO[linea],"(sin catálogo)"))</f>
        <v/>
      </c>
      <c r="V451" s="3">
        <f>IF(tblOrdenes[[#This Row],[centro_costo]]="","",_xlfn.XLOOKUP(tblOrdenes[[#This Row],[centro_costo]],tblCECO[codigo],tblCECO[area],"(sin catálogo)"))</f>
        <v/>
      </c>
      <c r="W451" s="3">
        <f>IF(tblOrdenes[[#This Row],[centro_costo]]="","",_xlfn.XLOOKUP(tblOrdenes[[#This Row],[centro_costo]],tblCECO[codigo],tblCECO[coordinador],"(sin catálogo)"))</f>
        <v/>
      </c>
      <c r="X451" s="3">
        <f>IF(tblOrdenes[[#This Row],[puesto_trabajo]]="","",_xlfn.XLOOKUP(tblOrdenes[[#This Row],[puesto_trabajo]],tblPuestos[codigo],tblPuestos[especialidad],"(sin catálogo)"))</f>
        <v/>
      </c>
      <c r="Y451" s="3">
        <f>IF(tblOrdenes[[#This Row],[cod_actividad]]="","",_xlfn.XLOOKUP(tblOrdenes[[#This Row],[cod_actividad]],tblActividades[codigo],tblActividades[descripcion],"(sin catálogo)"))</f>
        <v/>
      </c>
      <c r="Z451" s="12">
        <f>IF(tblOrdenes[[#This Row],[fecha_inicio]]="","",TODAY()-tblOrdenes[[#This Row],[fecha_inicio]])</f>
        <v/>
      </c>
      <c r="AA451" s="3">
        <f>IF(tblOrdenes[[#This Row],[backlog_dias]]="","",IF(tblOrdenes[[#This Row],[backlog_dias]]&lt;0,"FUTURO",IF(tblOrdenes[[#This Row],[backlog_dias]]&gt;p_dias_backlog_max,"BACKLOG","MES CORRIENTE")))</f>
        <v/>
      </c>
      <c r="AB451" s="3">
        <f>IF(tblOrdenes[[#This Row],[backlog_dias]]="",FALSE,AND(tblOrdenes[[#This Row],[backlog_dias]]&gt;p_dias_backlog_min,tblOrdenes[[#This Row],[backlog_dias]]&lt;=p_dias_backlog_max))</f>
        <v/>
      </c>
      <c r="AC451" s="6" t="n"/>
      <c r="AD4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51" s="10">
        <f>IF(tblOrdenes[[#This Row],[orden]]="","",_xlfn.XLOOKUP(tblOrdenes[[#This Row],[id_operacion]],tblEjecucion[id_operacion],tblEjecucion[precio],0))</f>
        <v/>
      </c>
      <c r="AH451" s="10">
        <f>IF(tblOrdenes[[#This Row],[orden]]="","",MAX(0,_xlfn.XLOOKUP(tblOrdenes[[#This Row],[id_operacion]],tblEjecucion[id_operacion],tblEjecucion[costo_plan_total],0)-tblOrdenes[[#This Row],[costo_servicio]]))</f>
        <v/>
      </c>
      <c r="AI451" s="10">
        <f>IF(tblOrdenes[[#This Row],[orden]]="","",tblOrdenes[[#This Row],[costo_servicio]]+tblOrdenes[[#This Row],[costo_materiales]])</f>
        <v/>
      </c>
      <c r="AJ451" s="6" t="n"/>
      <c r="AK451" s="6" t="n"/>
      <c r="AL451" s="6" t="n"/>
      <c r="AM451" s="3">
        <f>IF(tblOrdenes[[#This Row],[link_checklist]]="","",HYPERLINK(p_ruta_base_checklists&amp;tblOrdenes[[#This Row],[link_checklist]],"abrir"))</f>
        <v/>
      </c>
      <c r="AN451" s="6" t="n"/>
      <c r="AO451" s="3">
        <f>IF(tblOrdenes[[#This Row],[orden]]="","",tblOrdenes[[#This Row],[orden]]&amp;IF(tblOrdenes[[#This Row],[operacion]]="","0010",tblOrdenes[[#This Row],[operacion]]))</f>
        <v/>
      </c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11" t="n"/>
      <c r="K452" s="3" t="n"/>
      <c r="L452" s="10" t="n"/>
      <c r="M452" s="6" t="n"/>
      <c r="N4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52" s="3">
        <f>IF(tblOrdenes[[#This Row],[fecha_inicio]]="","",YEAR(tblOrdenes[[#This Row],[fecha_inicio]]))</f>
        <v/>
      </c>
      <c r="R452" s="3">
        <f>IF(tblOrdenes[[#This Row],[fecha_inicio]]="","",MONTH(tblOrdenes[[#This Row],[fecha_inicio]]))</f>
        <v/>
      </c>
      <c r="S452" s="3">
        <f>IF(tblOrdenes[[#This Row],[fecha_inicio]]="","",INDEX(lista_dias,WEEKDAY(tblOrdenes[[#This Row],[fecha_inicio]],2)))</f>
        <v/>
      </c>
      <c r="T452" s="3">
        <f>IF(tblOrdenes[[#This Row],[tipo_ot]]="","",_xlfn.XLOOKUP(tblOrdenes[[#This Row],[tipo_ot]],tblTiposOT[codigo],tblTiposOT[clasificacion],"sin_clasificar"))</f>
        <v/>
      </c>
      <c r="U452" s="3">
        <f>IF(tblOrdenes[[#This Row],[centro_costo]]="","",_xlfn.XLOOKUP(tblOrdenes[[#This Row],[centro_costo]],tblCECO[codigo],tblCECO[linea],"(sin catálogo)"))</f>
        <v/>
      </c>
      <c r="V452" s="3">
        <f>IF(tblOrdenes[[#This Row],[centro_costo]]="","",_xlfn.XLOOKUP(tblOrdenes[[#This Row],[centro_costo]],tblCECO[codigo],tblCECO[area],"(sin catálogo)"))</f>
        <v/>
      </c>
      <c r="W452" s="3">
        <f>IF(tblOrdenes[[#This Row],[centro_costo]]="","",_xlfn.XLOOKUP(tblOrdenes[[#This Row],[centro_costo]],tblCECO[codigo],tblCECO[coordinador],"(sin catálogo)"))</f>
        <v/>
      </c>
      <c r="X452" s="3">
        <f>IF(tblOrdenes[[#This Row],[puesto_trabajo]]="","",_xlfn.XLOOKUP(tblOrdenes[[#This Row],[puesto_trabajo]],tblPuestos[codigo],tblPuestos[especialidad],"(sin catálogo)"))</f>
        <v/>
      </c>
      <c r="Y452" s="3">
        <f>IF(tblOrdenes[[#This Row],[cod_actividad]]="","",_xlfn.XLOOKUP(tblOrdenes[[#This Row],[cod_actividad]],tblActividades[codigo],tblActividades[descripcion],"(sin catálogo)"))</f>
        <v/>
      </c>
      <c r="Z452" s="12">
        <f>IF(tblOrdenes[[#This Row],[fecha_inicio]]="","",TODAY()-tblOrdenes[[#This Row],[fecha_inicio]])</f>
        <v/>
      </c>
      <c r="AA452" s="3">
        <f>IF(tblOrdenes[[#This Row],[backlog_dias]]="","",IF(tblOrdenes[[#This Row],[backlog_dias]]&lt;0,"FUTURO",IF(tblOrdenes[[#This Row],[backlog_dias]]&gt;p_dias_backlog_max,"BACKLOG","MES CORRIENTE")))</f>
        <v/>
      </c>
      <c r="AB452" s="3">
        <f>IF(tblOrdenes[[#This Row],[backlog_dias]]="",FALSE,AND(tblOrdenes[[#This Row],[backlog_dias]]&gt;p_dias_backlog_min,tblOrdenes[[#This Row],[backlog_dias]]&lt;=p_dias_backlog_max))</f>
        <v/>
      </c>
      <c r="AC452" s="6" t="n"/>
      <c r="AD4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52" s="10">
        <f>IF(tblOrdenes[[#This Row],[orden]]="","",_xlfn.XLOOKUP(tblOrdenes[[#This Row],[id_operacion]],tblEjecucion[id_operacion],tblEjecucion[precio],0))</f>
        <v/>
      </c>
      <c r="AH452" s="10">
        <f>IF(tblOrdenes[[#This Row],[orden]]="","",MAX(0,_xlfn.XLOOKUP(tblOrdenes[[#This Row],[id_operacion]],tblEjecucion[id_operacion],tblEjecucion[costo_plan_total],0)-tblOrdenes[[#This Row],[costo_servicio]]))</f>
        <v/>
      </c>
      <c r="AI452" s="10">
        <f>IF(tblOrdenes[[#This Row],[orden]]="","",tblOrdenes[[#This Row],[costo_servicio]]+tblOrdenes[[#This Row],[costo_materiales]])</f>
        <v/>
      </c>
      <c r="AJ452" s="6" t="n"/>
      <c r="AK452" s="6" t="n"/>
      <c r="AL452" s="6" t="n"/>
      <c r="AM452" s="3">
        <f>IF(tblOrdenes[[#This Row],[link_checklist]]="","",HYPERLINK(p_ruta_base_checklists&amp;tblOrdenes[[#This Row],[link_checklist]],"abrir"))</f>
        <v/>
      </c>
      <c r="AN452" s="6" t="n"/>
      <c r="AO452" s="3">
        <f>IF(tblOrdenes[[#This Row],[orden]]="","",tblOrdenes[[#This Row],[orden]]&amp;IF(tblOrdenes[[#This Row],[operacion]]="","0010",tblOrdenes[[#This Row],[operacion]]))</f>
        <v/>
      </c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11" t="n"/>
      <c r="K453" s="3" t="n"/>
      <c r="L453" s="10" t="n"/>
      <c r="M453" s="6" t="n"/>
      <c r="N4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53" s="3">
        <f>IF(tblOrdenes[[#This Row],[fecha_inicio]]="","",YEAR(tblOrdenes[[#This Row],[fecha_inicio]]))</f>
        <v/>
      </c>
      <c r="R453" s="3">
        <f>IF(tblOrdenes[[#This Row],[fecha_inicio]]="","",MONTH(tblOrdenes[[#This Row],[fecha_inicio]]))</f>
        <v/>
      </c>
      <c r="S453" s="3">
        <f>IF(tblOrdenes[[#This Row],[fecha_inicio]]="","",INDEX(lista_dias,WEEKDAY(tblOrdenes[[#This Row],[fecha_inicio]],2)))</f>
        <v/>
      </c>
      <c r="T453" s="3">
        <f>IF(tblOrdenes[[#This Row],[tipo_ot]]="","",_xlfn.XLOOKUP(tblOrdenes[[#This Row],[tipo_ot]],tblTiposOT[codigo],tblTiposOT[clasificacion],"sin_clasificar"))</f>
        <v/>
      </c>
      <c r="U453" s="3">
        <f>IF(tblOrdenes[[#This Row],[centro_costo]]="","",_xlfn.XLOOKUP(tblOrdenes[[#This Row],[centro_costo]],tblCECO[codigo],tblCECO[linea],"(sin catálogo)"))</f>
        <v/>
      </c>
      <c r="V453" s="3">
        <f>IF(tblOrdenes[[#This Row],[centro_costo]]="","",_xlfn.XLOOKUP(tblOrdenes[[#This Row],[centro_costo]],tblCECO[codigo],tblCECO[area],"(sin catálogo)"))</f>
        <v/>
      </c>
      <c r="W453" s="3">
        <f>IF(tblOrdenes[[#This Row],[centro_costo]]="","",_xlfn.XLOOKUP(tblOrdenes[[#This Row],[centro_costo]],tblCECO[codigo],tblCECO[coordinador],"(sin catálogo)"))</f>
        <v/>
      </c>
      <c r="X453" s="3">
        <f>IF(tblOrdenes[[#This Row],[puesto_trabajo]]="","",_xlfn.XLOOKUP(tblOrdenes[[#This Row],[puesto_trabajo]],tblPuestos[codigo],tblPuestos[especialidad],"(sin catálogo)"))</f>
        <v/>
      </c>
      <c r="Y453" s="3">
        <f>IF(tblOrdenes[[#This Row],[cod_actividad]]="","",_xlfn.XLOOKUP(tblOrdenes[[#This Row],[cod_actividad]],tblActividades[codigo],tblActividades[descripcion],"(sin catálogo)"))</f>
        <v/>
      </c>
      <c r="Z453" s="12">
        <f>IF(tblOrdenes[[#This Row],[fecha_inicio]]="","",TODAY()-tblOrdenes[[#This Row],[fecha_inicio]])</f>
        <v/>
      </c>
      <c r="AA453" s="3">
        <f>IF(tblOrdenes[[#This Row],[backlog_dias]]="","",IF(tblOrdenes[[#This Row],[backlog_dias]]&lt;0,"FUTURO",IF(tblOrdenes[[#This Row],[backlog_dias]]&gt;p_dias_backlog_max,"BACKLOG","MES CORRIENTE")))</f>
        <v/>
      </c>
      <c r="AB453" s="3">
        <f>IF(tblOrdenes[[#This Row],[backlog_dias]]="",FALSE,AND(tblOrdenes[[#This Row],[backlog_dias]]&gt;p_dias_backlog_min,tblOrdenes[[#This Row],[backlog_dias]]&lt;=p_dias_backlog_max))</f>
        <v/>
      </c>
      <c r="AC453" s="6" t="n"/>
      <c r="AD4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53" s="10">
        <f>IF(tblOrdenes[[#This Row],[orden]]="","",_xlfn.XLOOKUP(tblOrdenes[[#This Row],[id_operacion]],tblEjecucion[id_operacion],tblEjecucion[precio],0))</f>
        <v/>
      </c>
      <c r="AH453" s="10">
        <f>IF(tblOrdenes[[#This Row],[orden]]="","",MAX(0,_xlfn.XLOOKUP(tblOrdenes[[#This Row],[id_operacion]],tblEjecucion[id_operacion],tblEjecucion[costo_plan_total],0)-tblOrdenes[[#This Row],[costo_servicio]]))</f>
        <v/>
      </c>
      <c r="AI453" s="10">
        <f>IF(tblOrdenes[[#This Row],[orden]]="","",tblOrdenes[[#This Row],[costo_servicio]]+tblOrdenes[[#This Row],[costo_materiales]])</f>
        <v/>
      </c>
      <c r="AJ453" s="6" t="n"/>
      <c r="AK453" s="6" t="n"/>
      <c r="AL453" s="6" t="n"/>
      <c r="AM453" s="3">
        <f>IF(tblOrdenes[[#This Row],[link_checklist]]="","",HYPERLINK(p_ruta_base_checklists&amp;tblOrdenes[[#This Row],[link_checklist]],"abrir"))</f>
        <v/>
      </c>
      <c r="AN453" s="6" t="n"/>
      <c r="AO453" s="3">
        <f>IF(tblOrdenes[[#This Row],[orden]]="","",tblOrdenes[[#This Row],[orden]]&amp;IF(tblOrdenes[[#This Row],[operacion]]="","0010",tblOrdenes[[#This Row],[operacion]]))</f>
        <v/>
      </c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11" t="n"/>
      <c r="K454" s="3" t="n"/>
      <c r="L454" s="10" t="n"/>
      <c r="M454" s="6" t="n"/>
      <c r="N4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54" s="3">
        <f>IF(tblOrdenes[[#This Row],[fecha_inicio]]="","",YEAR(tblOrdenes[[#This Row],[fecha_inicio]]))</f>
        <v/>
      </c>
      <c r="R454" s="3">
        <f>IF(tblOrdenes[[#This Row],[fecha_inicio]]="","",MONTH(tblOrdenes[[#This Row],[fecha_inicio]]))</f>
        <v/>
      </c>
      <c r="S454" s="3">
        <f>IF(tblOrdenes[[#This Row],[fecha_inicio]]="","",INDEX(lista_dias,WEEKDAY(tblOrdenes[[#This Row],[fecha_inicio]],2)))</f>
        <v/>
      </c>
      <c r="T454" s="3">
        <f>IF(tblOrdenes[[#This Row],[tipo_ot]]="","",_xlfn.XLOOKUP(tblOrdenes[[#This Row],[tipo_ot]],tblTiposOT[codigo],tblTiposOT[clasificacion],"sin_clasificar"))</f>
        <v/>
      </c>
      <c r="U454" s="3">
        <f>IF(tblOrdenes[[#This Row],[centro_costo]]="","",_xlfn.XLOOKUP(tblOrdenes[[#This Row],[centro_costo]],tblCECO[codigo],tblCECO[linea],"(sin catálogo)"))</f>
        <v/>
      </c>
      <c r="V454" s="3">
        <f>IF(tblOrdenes[[#This Row],[centro_costo]]="","",_xlfn.XLOOKUP(tblOrdenes[[#This Row],[centro_costo]],tblCECO[codigo],tblCECO[area],"(sin catálogo)"))</f>
        <v/>
      </c>
      <c r="W454" s="3">
        <f>IF(tblOrdenes[[#This Row],[centro_costo]]="","",_xlfn.XLOOKUP(tblOrdenes[[#This Row],[centro_costo]],tblCECO[codigo],tblCECO[coordinador],"(sin catálogo)"))</f>
        <v/>
      </c>
      <c r="X454" s="3">
        <f>IF(tblOrdenes[[#This Row],[puesto_trabajo]]="","",_xlfn.XLOOKUP(tblOrdenes[[#This Row],[puesto_trabajo]],tblPuestos[codigo],tblPuestos[especialidad],"(sin catálogo)"))</f>
        <v/>
      </c>
      <c r="Y454" s="3">
        <f>IF(tblOrdenes[[#This Row],[cod_actividad]]="","",_xlfn.XLOOKUP(tblOrdenes[[#This Row],[cod_actividad]],tblActividades[codigo],tblActividades[descripcion],"(sin catálogo)"))</f>
        <v/>
      </c>
      <c r="Z454" s="12">
        <f>IF(tblOrdenes[[#This Row],[fecha_inicio]]="","",TODAY()-tblOrdenes[[#This Row],[fecha_inicio]])</f>
        <v/>
      </c>
      <c r="AA454" s="3">
        <f>IF(tblOrdenes[[#This Row],[backlog_dias]]="","",IF(tblOrdenes[[#This Row],[backlog_dias]]&lt;0,"FUTURO",IF(tblOrdenes[[#This Row],[backlog_dias]]&gt;p_dias_backlog_max,"BACKLOG","MES CORRIENTE")))</f>
        <v/>
      </c>
      <c r="AB454" s="3">
        <f>IF(tblOrdenes[[#This Row],[backlog_dias]]="",FALSE,AND(tblOrdenes[[#This Row],[backlog_dias]]&gt;p_dias_backlog_min,tblOrdenes[[#This Row],[backlog_dias]]&lt;=p_dias_backlog_max))</f>
        <v/>
      </c>
      <c r="AC454" s="6" t="n"/>
      <c r="AD4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54" s="10">
        <f>IF(tblOrdenes[[#This Row],[orden]]="","",_xlfn.XLOOKUP(tblOrdenes[[#This Row],[id_operacion]],tblEjecucion[id_operacion],tblEjecucion[precio],0))</f>
        <v/>
      </c>
      <c r="AH454" s="10">
        <f>IF(tblOrdenes[[#This Row],[orden]]="","",MAX(0,_xlfn.XLOOKUP(tblOrdenes[[#This Row],[id_operacion]],tblEjecucion[id_operacion],tblEjecucion[costo_plan_total],0)-tblOrdenes[[#This Row],[costo_servicio]]))</f>
        <v/>
      </c>
      <c r="AI454" s="10">
        <f>IF(tblOrdenes[[#This Row],[orden]]="","",tblOrdenes[[#This Row],[costo_servicio]]+tblOrdenes[[#This Row],[costo_materiales]])</f>
        <v/>
      </c>
      <c r="AJ454" s="6" t="n"/>
      <c r="AK454" s="6" t="n"/>
      <c r="AL454" s="6" t="n"/>
      <c r="AM454" s="3">
        <f>IF(tblOrdenes[[#This Row],[link_checklist]]="","",HYPERLINK(p_ruta_base_checklists&amp;tblOrdenes[[#This Row],[link_checklist]],"abrir"))</f>
        <v/>
      </c>
      <c r="AN454" s="6" t="n"/>
      <c r="AO454" s="3">
        <f>IF(tblOrdenes[[#This Row],[orden]]="","",tblOrdenes[[#This Row],[orden]]&amp;IF(tblOrdenes[[#This Row],[operacion]]="","0010",tblOrdenes[[#This Row],[operacion]]))</f>
        <v/>
      </c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11" t="n"/>
      <c r="K455" s="3" t="n"/>
      <c r="L455" s="10" t="n"/>
      <c r="M455" s="6" t="n"/>
      <c r="N4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55" s="3">
        <f>IF(tblOrdenes[[#This Row],[fecha_inicio]]="","",YEAR(tblOrdenes[[#This Row],[fecha_inicio]]))</f>
        <v/>
      </c>
      <c r="R455" s="3">
        <f>IF(tblOrdenes[[#This Row],[fecha_inicio]]="","",MONTH(tblOrdenes[[#This Row],[fecha_inicio]]))</f>
        <v/>
      </c>
      <c r="S455" s="3">
        <f>IF(tblOrdenes[[#This Row],[fecha_inicio]]="","",INDEX(lista_dias,WEEKDAY(tblOrdenes[[#This Row],[fecha_inicio]],2)))</f>
        <v/>
      </c>
      <c r="T455" s="3">
        <f>IF(tblOrdenes[[#This Row],[tipo_ot]]="","",_xlfn.XLOOKUP(tblOrdenes[[#This Row],[tipo_ot]],tblTiposOT[codigo],tblTiposOT[clasificacion],"sin_clasificar"))</f>
        <v/>
      </c>
      <c r="U455" s="3">
        <f>IF(tblOrdenes[[#This Row],[centro_costo]]="","",_xlfn.XLOOKUP(tblOrdenes[[#This Row],[centro_costo]],tblCECO[codigo],tblCECO[linea],"(sin catálogo)"))</f>
        <v/>
      </c>
      <c r="V455" s="3">
        <f>IF(tblOrdenes[[#This Row],[centro_costo]]="","",_xlfn.XLOOKUP(tblOrdenes[[#This Row],[centro_costo]],tblCECO[codigo],tblCECO[area],"(sin catálogo)"))</f>
        <v/>
      </c>
      <c r="W455" s="3">
        <f>IF(tblOrdenes[[#This Row],[centro_costo]]="","",_xlfn.XLOOKUP(tblOrdenes[[#This Row],[centro_costo]],tblCECO[codigo],tblCECO[coordinador],"(sin catálogo)"))</f>
        <v/>
      </c>
      <c r="X455" s="3">
        <f>IF(tblOrdenes[[#This Row],[puesto_trabajo]]="","",_xlfn.XLOOKUP(tblOrdenes[[#This Row],[puesto_trabajo]],tblPuestos[codigo],tblPuestos[especialidad],"(sin catálogo)"))</f>
        <v/>
      </c>
      <c r="Y455" s="3">
        <f>IF(tblOrdenes[[#This Row],[cod_actividad]]="","",_xlfn.XLOOKUP(tblOrdenes[[#This Row],[cod_actividad]],tblActividades[codigo],tblActividades[descripcion],"(sin catálogo)"))</f>
        <v/>
      </c>
      <c r="Z455" s="12">
        <f>IF(tblOrdenes[[#This Row],[fecha_inicio]]="","",TODAY()-tblOrdenes[[#This Row],[fecha_inicio]])</f>
        <v/>
      </c>
      <c r="AA455" s="3">
        <f>IF(tblOrdenes[[#This Row],[backlog_dias]]="","",IF(tblOrdenes[[#This Row],[backlog_dias]]&lt;0,"FUTURO",IF(tblOrdenes[[#This Row],[backlog_dias]]&gt;p_dias_backlog_max,"BACKLOG","MES CORRIENTE")))</f>
        <v/>
      </c>
      <c r="AB455" s="3">
        <f>IF(tblOrdenes[[#This Row],[backlog_dias]]="",FALSE,AND(tblOrdenes[[#This Row],[backlog_dias]]&gt;p_dias_backlog_min,tblOrdenes[[#This Row],[backlog_dias]]&lt;=p_dias_backlog_max))</f>
        <v/>
      </c>
      <c r="AC455" s="6" t="n"/>
      <c r="AD4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55" s="10">
        <f>IF(tblOrdenes[[#This Row],[orden]]="","",_xlfn.XLOOKUP(tblOrdenes[[#This Row],[id_operacion]],tblEjecucion[id_operacion],tblEjecucion[precio],0))</f>
        <v/>
      </c>
      <c r="AH455" s="10">
        <f>IF(tblOrdenes[[#This Row],[orden]]="","",MAX(0,_xlfn.XLOOKUP(tblOrdenes[[#This Row],[id_operacion]],tblEjecucion[id_operacion],tblEjecucion[costo_plan_total],0)-tblOrdenes[[#This Row],[costo_servicio]]))</f>
        <v/>
      </c>
      <c r="AI455" s="10">
        <f>IF(tblOrdenes[[#This Row],[orden]]="","",tblOrdenes[[#This Row],[costo_servicio]]+tblOrdenes[[#This Row],[costo_materiales]])</f>
        <v/>
      </c>
      <c r="AJ455" s="6" t="n"/>
      <c r="AK455" s="6" t="n"/>
      <c r="AL455" s="6" t="n"/>
      <c r="AM455" s="3">
        <f>IF(tblOrdenes[[#This Row],[link_checklist]]="","",HYPERLINK(p_ruta_base_checklists&amp;tblOrdenes[[#This Row],[link_checklist]],"abrir"))</f>
        <v/>
      </c>
      <c r="AN455" s="6" t="n"/>
      <c r="AO455" s="3">
        <f>IF(tblOrdenes[[#This Row],[orden]]="","",tblOrdenes[[#This Row],[orden]]&amp;IF(tblOrdenes[[#This Row],[operacion]]="","0010",tblOrdenes[[#This Row],[operacion]]))</f>
        <v/>
      </c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11" t="n"/>
      <c r="K456" s="3" t="n"/>
      <c r="L456" s="10" t="n"/>
      <c r="M456" s="6" t="n"/>
      <c r="N4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56" s="3">
        <f>IF(tblOrdenes[[#This Row],[fecha_inicio]]="","",YEAR(tblOrdenes[[#This Row],[fecha_inicio]]))</f>
        <v/>
      </c>
      <c r="R456" s="3">
        <f>IF(tblOrdenes[[#This Row],[fecha_inicio]]="","",MONTH(tblOrdenes[[#This Row],[fecha_inicio]]))</f>
        <v/>
      </c>
      <c r="S456" s="3">
        <f>IF(tblOrdenes[[#This Row],[fecha_inicio]]="","",INDEX(lista_dias,WEEKDAY(tblOrdenes[[#This Row],[fecha_inicio]],2)))</f>
        <v/>
      </c>
      <c r="T456" s="3">
        <f>IF(tblOrdenes[[#This Row],[tipo_ot]]="","",_xlfn.XLOOKUP(tblOrdenes[[#This Row],[tipo_ot]],tblTiposOT[codigo],tblTiposOT[clasificacion],"sin_clasificar"))</f>
        <v/>
      </c>
      <c r="U456" s="3">
        <f>IF(tblOrdenes[[#This Row],[centro_costo]]="","",_xlfn.XLOOKUP(tblOrdenes[[#This Row],[centro_costo]],tblCECO[codigo],tblCECO[linea],"(sin catálogo)"))</f>
        <v/>
      </c>
      <c r="V456" s="3">
        <f>IF(tblOrdenes[[#This Row],[centro_costo]]="","",_xlfn.XLOOKUP(tblOrdenes[[#This Row],[centro_costo]],tblCECO[codigo],tblCECO[area],"(sin catálogo)"))</f>
        <v/>
      </c>
      <c r="W456" s="3">
        <f>IF(tblOrdenes[[#This Row],[centro_costo]]="","",_xlfn.XLOOKUP(tblOrdenes[[#This Row],[centro_costo]],tblCECO[codigo],tblCECO[coordinador],"(sin catálogo)"))</f>
        <v/>
      </c>
      <c r="X456" s="3">
        <f>IF(tblOrdenes[[#This Row],[puesto_trabajo]]="","",_xlfn.XLOOKUP(tblOrdenes[[#This Row],[puesto_trabajo]],tblPuestos[codigo],tblPuestos[especialidad],"(sin catálogo)"))</f>
        <v/>
      </c>
      <c r="Y456" s="3">
        <f>IF(tblOrdenes[[#This Row],[cod_actividad]]="","",_xlfn.XLOOKUP(tblOrdenes[[#This Row],[cod_actividad]],tblActividades[codigo],tblActividades[descripcion],"(sin catálogo)"))</f>
        <v/>
      </c>
      <c r="Z456" s="12">
        <f>IF(tblOrdenes[[#This Row],[fecha_inicio]]="","",TODAY()-tblOrdenes[[#This Row],[fecha_inicio]])</f>
        <v/>
      </c>
      <c r="AA456" s="3">
        <f>IF(tblOrdenes[[#This Row],[backlog_dias]]="","",IF(tblOrdenes[[#This Row],[backlog_dias]]&lt;0,"FUTURO",IF(tblOrdenes[[#This Row],[backlog_dias]]&gt;p_dias_backlog_max,"BACKLOG","MES CORRIENTE")))</f>
        <v/>
      </c>
      <c r="AB456" s="3">
        <f>IF(tblOrdenes[[#This Row],[backlog_dias]]="",FALSE,AND(tblOrdenes[[#This Row],[backlog_dias]]&gt;p_dias_backlog_min,tblOrdenes[[#This Row],[backlog_dias]]&lt;=p_dias_backlog_max))</f>
        <v/>
      </c>
      <c r="AC456" s="6" t="n"/>
      <c r="AD4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56" s="10">
        <f>IF(tblOrdenes[[#This Row],[orden]]="","",_xlfn.XLOOKUP(tblOrdenes[[#This Row],[id_operacion]],tblEjecucion[id_operacion],tblEjecucion[precio],0))</f>
        <v/>
      </c>
      <c r="AH456" s="10">
        <f>IF(tblOrdenes[[#This Row],[orden]]="","",MAX(0,_xlfn.XLOOKUP(tblOrdenes[[#This Row],[id_operacion]],tblEjecucion[id_operacion],tblEjecucion[costo_plan_total],0)-tblOrdenes[[#This Row],[costo_servicio]]))</f>
        <v/>
      </c>
      <c r="AI456" s="10">
        <f>IF(tblOrdenes[[#This Row],[orden]]="","",tblOrdenes[[#This Row],[costo_servicio]]+tblOrdenes[[#This Row],[costo_materiales]])</f>
        <v/>
      </c>
      <c r="AJ456" s="6" t="n"/>
      <c r="AK456" s="6" t="n"/>
      <c r="AL456" s="6" t="n"/>
      <c r="AM456" s="3">
        <f>IF(tblOrdenes[[#This Row],[link_checklist]]="","",HYPERLINK(p_ruta_base_checklists&amp;tblOrdenes[[#This Row],[link_checklist]],"abrir"))</f>
        <v/>
      </c>
      <c r="AN456" s="6" t="n"/>
      <c r="AO456" s="3">
        <f>IF(tblOrdenes[[#This Row],[orden]]="","",tblOrdenes[[#This Row],[orden]]&amp;IF(tblOrdenes[[#This Row],[operacion]]="","0010",tblOrdenes[[#This Row],[operacion]]))</f>
        <v/>
      </c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11" t="n"/>
      <c r="K457" s="3" t="n"/>
      <c r="L457" s="10" t="n"/>
      <c r="M457" s="6" t="n"/>
      <c r="N4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57" s="3">
        <f>IF(tblOrdenes[[#This Row],[fecha_inicio]]="","",YEAR(tblOrdenes[[#This Row],[fecha_inicio]]))</f>
        <v/>
      </c>
      <c r="R457" s="3">
        <f>IF(tblOrdenes[[#This Row],[fecha_inicio]]="","",MONTH(tblOrdenes[[#This Row],[fecha_inicio]]))</f>
        <v/>
      </c>
      <c r="S457" s="3">
        <f>IF(tblOrdenes[[#This Row],[fecha_inicio]]="","",INDEX(lista_dias,WEEKDAY(tblOrdenes[[#This Row],[fecha_inicio]],2)))</f>
        <v/>
      </c>
      <c r="T457" s="3">
        <f>IF(tblOrdenes[[#This Row],[tipo_ot]]="","",_xlfn.XLOOKUP(tblOrdenes[[#This Row],[tipo_ot]],tblTiposOT[codigo],tblTiposOT[clasificacion],"sin_clasificar"))</f>
        <v/>
      </c>
      <c r="U457" s="3">
        <f>IF(tblOrdenes[[#This Row],[centro_costo]]="","",_xlfn.XLOOKUP(tblOrdenes[[#This Row],[centro_costo]],tblCECO[codigo],tblCECO[linea],"(sin catálogo)"))</f>
        <v/>
      </c>
      <c r="V457" s="3">
        <f>IF(tblOrdenes[[#This Row],[centro_costo]]="","",_xlfn.XLOOKUP(tblOrdenes[[#This Row],[centro_costo]],tblCECO[codigo],tblCECO[area],"(sin catálogo)"))</f>
        <v/>
      </c>
      <c r="W457" s="3">
        <f>IF(tblOrdenes[[#This Row],[centro_costo]]="","",_xlfn.XLOOKUP(tblOrdenes[[#This Row],[centro_costo]],tblCECO[codigo],tblCECO[coordinador],"(sin catálogo)"))</f>
        <v/>
      </c>
      <c r="X457" s="3">
        <f>IF(tblOrdenes[[#This Row],[puesto_trabajo]]="","",_xlfn.XLOOKUP(tblOrdenes[[#This Row],[puesto_trabajo]],tblPuestos[codigo],tblPuestos[especialidad],"(sin catálogo)"))</f>
        <v/>
      </c>
      <c r="Y457" s="3">
        <f>IF(tblOrdenes[[#This Row],[cod_actividad]]="","",_xlfn.XLOOKUP(tblOrdenes[[#This Row],[cod_actividad]],tblActividades[codigo],tblActividades[descripcion],"(sin catálogo)"))</f>
        <v/>
      </c>
      <c r="Z457" s="12">
        <f>IF(tblOrdenes[[#This Row],[fecha_inicio]]="","",TODAY()-tblOrdenes[[#This Row],[fecha_inicio]])</f>
        <v/>
      </c>
      <c r="AA457" s="3">
        <f>IF(tblOrdenes[[#This Row],[backlog_dias]]="","",IF(tblOrdenes[[#This Row],[backlog_dias]]&lt;0,"FUTURO",IF(tblOrdenes[[#This Row],[backlog_dias]]&gt;p_dias_backlog_max,"BACKLOG","MES CORRIENTE")))</f>
        <v/>
      </c>
      <c r="AB457" s="3">
        <f>IF(tblOrdenes[[#This Row],[backlog_dias]]="",FALSE,AND(tblOrdenes[[#This Row],[backlog_dias]]&gt;p_dias_backlog_min,tblOrdenes[[#This Row],[backlog_dias]]&lt;=p_dias_backlog_max))</f>
        <v/>
      </c>
      <c r="AC457" s="6" t="n"/>
      <c r="AD4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57" s="10">
        <f>IF(tblOrdenes[[#This Row],[orden]]="","",_xlfn.XLOOKUP(tblOrdenes[[#This Row],[id_operacion]],tblEjecucion[id_operacion],tblEjecucion[precio],0))</f>
        <v/>
      </c>
      <c r="AH457" s="10">
        <f>IF(tblOrdenes[[#This Row],[orden]]="","",MAX(0,_xlfn.XLOOKUP(tblOrdenes[[#This Row],[id_operacion]],tblEjecucion[id_operacion],tblEjecucion[costo_plan_total],0)-tblOrdenes[[#This Row],[costo_servicio]]))</f>
        <v/>
      </c>
      <c r="AI457" s="10">
        <f>IF(tblOrdenes[[#This Row],[orden]]="","",tblOrdenes[[#This Row],[costo_servicio]]+tblOrdenes[[#This Row],[costo_materiales]])</f>
        <v/>
      </c>
      <c r="AJ457" s="6" t="n"/>
      <c r="AK457" s="6" t="n"/>
      <c r="AL457" s="6" t="n"/>
      <c r="AM457" s="3">
        <f>IF(tblOrdenes[[#This Row],[link_checklist]]="","",HYPERLINK(p_ruta_base_checklists&amp;tblOrdenes[[#This Row],[link_checklist]],"abrir"))</f>
        <v/>
      </c>
      <c r="AN457" s="6" t="n"/>
      <c r="AO457" s="3">
        <f>IF(tblOrdenes[[#This Row],[orden]]="","",tblOrdenes[[#This Row],[orden]]&amp;IF(tblOrdenes[[#This Row],[operacion]]="","0010",tblOrdenes[[#This Row],[operacion]]))</f>
        <v/>
      </c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11" t="n"/>
      <c r="K458" s="3" t="n"/>
      <c r="L458" s="10" t="n"/>
      <c r="M458" s="6" t="n"/>
      <c r="N4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58" s="3">
        <f>IF(tblOrdenes[[#This Row],[fecha_inicio]]="","",YEAR(tblOrdenes[[#This Row],[fecha_inicio]]))</f>
        <v/>
      </c>
      <c r="R458" s="3">
        <f>IF(tblOrdenes[[#This Row],[fecha_inicio]]="","",MONTH(tblOrdenes[[#This Row],[fecha_inicio]]))</f>
        <v/>
      </c>
      <c r="S458" s="3">
        <f>IF(tblOrdenes[[#This Row],[fecha_inicio]]="","",INDEX(lista_dias,WEEKDAY(tblOrdenes[[#This Row],[fecha_inicio]],2)))</f>
        <v/>
      </c>
      <c r="T458" s="3">
        <f>IF(tblOrdenes[[#This Row],[tipo_ot]]="","",_xlfn.XLOOKUP(tblOrdenes[[#This Row],[tipo_ot]],tblTiposOT[codigo],tblTiposOT[clasificacion],"sin_clasificar"))</f>
        <v/>
      </c>
      <c r="U458" s="3">
        <f>IF(tblOrdenes[[#This Row],[centro_costo]]="","",_xlfn.XLOOKUP(tblOrdenes[[#This Row],[centro_costo]],tblCECO[codigo],tblCECO[linea],"(sin catálogo)"))</f>
        <v/>
      </c>
      <c r="V458" s="3">
        <f>IF(tblOrdenes[[#This Row],[centro_costo]]="","",_xlfn.XLOOKUP(tblOrdenes[[#This Row],[centro_costo]],tblCECO[codigo],tblCECO[area],"(sin catálogo)"))</f>
        <v/>
      </c>
      <c r="W458" s="3">
        <f>IF(tblOrdenes[[#This Row],[centro_costo]]="","",_xlfn.XLOOKUP(tblOrdenes[[#This Row],[centro_costo]],tblCECO[codigo],tblCECO[coordinador],"(sin catálogo)"))</f>
        <v/>
      </c>
      <c r="X458" s="3">
        <f>IF(tblOrdenes[[#This Row],[puesto_trabajo]]="","",_xlfn.XLOOKUP(tblOrdenes[[#This Row],[puesto_trabajo]],tblPuestos[codigo],tblPuestos[especialidad],"(sin catálogo)"))</f>
        <v/>
      </c>
      <c r="Y458" s="3">
        <f>IF(tblOrdenes[[#This Row],[cod_actividad]]="","",_xlfn.XLOOKUP(tblOrdenes[[#This Row],[cod_actividad]],tblActividades[codigo],tblActividades[descripcion],"(sin catálogo)"))</f>
        <v/>
      </c>
      <c r="Z458" s="12">
        <f>IF(tblOrdenes[[#This Row],[fecha_inicio]]="","",TODAY()-tblOrdenes[[#This Row],[fecha_inicio]])</f>
        <v/>
      </c>
      <c r="AA458" s="3">
        <f>IF(tblOrdenes[[#This Row],[backlog_dias]]="","",IF(tblOrdenes[[#This Row],[backlog_dias]]&lt;0,"FUTURO",IF(tblOrdenes[[#This Row],[backlog_dias]]&gt;p_dias_backlog_max,"BACKLOG","MES CORRIENTE")))</f>
        <v/>
      </c>
      <c r="AB458" s="3">
        <f>IF(tblOrdenes[[#This Row],[backlog_dias]]="",FALSE,AND(tblOrdenes[[#This Row],[backlog_dias]]&gt;p_dias_backlog_min,tblOrdenes[[#This Row],[backlog_dias]]&lt;=p_dias_backlog_max))</f>
        <v/>
      </c>
      <c r="AC458" s="6" t="n"/>
      <c r="AD4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58" s="10">
        <f>IF(tblOrdenes[[#This Row],[orden]]="","",_xlfn.XLOOKUP(tblOrdenes[[#This Row],[id_operacion]],tblEjecucion[id_operacion],tblEjecucion[precio],0))</f>
        <v/>
      </c>
      <c r="AH458" s="10">
        <f>IF(tblOrdenes[[#This Row],[orden]]="","",MAX(0,_xlfn.XLOOKUP(tblOrdenes[[#This Row],[id_operacion]],tblEjecucion[id_operacion],tblEjecucion[costo_plan_total],0)-tblOrdenes[[#This Row],[costo_servicio]]))</f>
        <v/>
      </c>
      <c r="AI458" s="10">
        <f>IF(tblOrdenes[[#This Row],[orden]]="","",tblOrdenes[[#This Row],[costo_servicio]]+tblOrdenes[[#This Row],[costo_materiales]])</f>
        <v/>
      </c>
      <c r="AJ458" s="6" t="n"/>
      <c r="AK458" s="6" t="n"/>
      <c r="AL458" s="6" t="n"/>
      <c r="AM458" s="3">
        <f>IF(tblOrdenes[[#This Row],[link_checklist]]="","",HYPERLINK(p_ruta_base_checklists&amp;tblOrdenes[[#This Row],[link_checklist]],"abrir"))</f>
        <v/>
      </c>
      <c r="AN458" s="6" t="n"/>
      <c r="AO458" s="3">
        <f>IF(tblOrdenes[[#This Row],[orden]]="","",tblOrdenes[[#This Row],[orden]]&amp;IF(tblOrdenes[[#This Row],[operacion]]="","0010",tblOrdenes[[#This Row],[operacion]]))</f>
        <v/>
      </c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11" t="n"/>
      <c r="K459" s="3" t="n"/>
      <c r="L459" s="10" t="n"/>
      <c r="M459" s="6" t="n"/>
      <c r="N4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59" s="3">
        <f>IF(tblOrdenes[[#This Row],[fecha_inicio]]="","",YEAR(tblOrdenes[[#This Row],[fecha_inicio]]))</f>
        <v/>
      </c>
      <c r="R459" s="3">
        <f>IF(tblOrdenes[[#This Row],[fecha_inicio]]="","",MONTH(tblOrdenes[[#This Row],[fecha_inicio]]))</f>
        <v/>
      </c>
      <c r="S459" s="3">
        <f>IF(tblOrdenes[[#This Row],[fecha_inicio]]="","",INDEX(lista_dias,WEEKDAY(tblOrdenes[[#This Row],[fecha_inicio]],2)))</f>
        <v/>
      </c>
      <c r="T459" s="3">
        <f>IF(tblOrdenes[[#This Row],[tipo_ot]]="","",_xlfn.XLOOKUP(tblOrdenes[[#This Row],[tipo_ot]],tblTiposOT[codigo],tblTiposOT[clasificacion],"sin_clasificar"))</f>
        <v/>
      </c>
      <c r="U459" s="3">
        <f>IF(tblOrdenes[[#This Row],[centro_costo]]="","",_xlfn.XLOOKUP(tblOrdenes[[#This Row],[centro_costo]],tblCECO[codigo],tblCECO[linea],"(sin catálogo)"))</f>
        <v/>
      </c>
      <c r="V459" s="3">
        <f>IF(tblOrdenes[[#This Row],[centro_costo]]="","",_xlfn.XLOOKUP(tblOrdenes[[#This Row],[centro_costo]],tblCECO[codigo],tblCECO[area],"(sin catálogo)"))</f>
        <v/>
      </c>
      <c r="W459" s="3">
        <f>IF(tblOrdenes[[#This Row],[centro_costo]]="","",_xlfn.XLOOKUP(tblOrdenes[[#This Row],[centro_costo]],tblCECO[codigo],tblCECO[coordinador],"(sin catálogo)"))</f>
        <v/>
      </c>
      <c r="X459" s="3">
        <f>IF(tblOrdenes[[#This Row],[puesto_trabajo]]="","",_xlfn.XLOOKUP(tblOrdenes[[#This Row],[puesto_trabajo]],tblPuestos[codigo],tblPuestos[especialidad],"(sin catálogo)"))</f>
        <v/>
      </c>
      <c r="Y459" s="3">
        <f>IF(tblOrdenes[[#This Row],[cod_actividad]]="","",_xlfn.XLOOKUP(tblOrdenes[[#This Row],[cod_actividad]],tblActividades[codigo],tblActividades[descripcion],"(sin catálogo)"))</f>
        <v/>
      </c>
      <c r="Z459" s="12">
        <f>IF(tblOrdenes[[#This Row],[fecha_inicio]]="","",TODAY()-tblOrdenes[[#This Row],[fecha_inicio]])</f>
        <v/>
      </c>
      <c r="AA459" s="3">
        <f>IF(tblOrdenes[[#This Row],[backlog_dias]]="","",IF(tblOrdenes[[#This Row],[backlog_dias]]&lt;0,"FUTURO",IF(tblOrdenes[[#This Row],[backlog_dias]]&gt;p_dias_backlog_max,"BACKLOG","MES CORRIENTE")))</f>
        <v/>
      </c>
      <c r="AB459" s="3">
        <f>IF(tblOrdenes[[#This Row],[backlog_dias]]="",FALSE,AND(tblOrdenes[[#This Row],[backlog_dias]]&gt;p_dias_backlog_min,tblOrdenes[[#This Row],[backlog_dias]]&lt;=p_dias_backlog_max))</f>
        <v/>
      </c>
      <c r="AC459" s="6" t="n"/>
      <c r="AD4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59" s="10">
        <f>IF(tblOrdenes[[#This Row],[orden]]="","",_xlfn.XLOOKUP(tblOrdenes[[#This Row],[id_operacion]],tblEjecucion[id_operacion],tblEjecucion[precio],0))</f>
        <v/>
      </c>
      <c r="AH459" s="10">
        <f>IF(tblOrdenes[[#This Row],[orden]]="","",MAX(0,_xlfn.XLOOKUP(tblOrdenes[[#This Row],[id_operacion]],tblEjecucion[id_operacion],tblEjecucion[costo_plan_total],0)-tblOrdenes[[#This Row],[costo_servicio]]))</f>
        <v/>
      </c>
      <c r="AI459" s="10">
        <f>IF(tblOrdenes[[#This Row],[orden]]="","",tblOrdenes[[#This Row],[costo_servicio]]+tblOrdenes[[#This Row],[costo_materiales]])</f>
        <v/>
      </c>
      <c r="AJ459" s="6" t="n"/>
      <c r="AK459" s="6" t="n"/>
      <c r="AL459" s="6" t="n"/>
      <c r="AM459" s="3">
        <f>IF(tblOrdenes[[#This Row],[link_checklist]]="","",HYPERLINK(p_ruta_base_checklists&amp;tblOrdenes[[#This Row],[link_checklist]],"abrir"))</f>
        <v/>
      </c>
      <c r="AN459" s="6" t="n"/>
      <c r="AO459" s="3">
        <f>IF(tblOrdenes[[#This Row],[orden]]="","",tblOrdenes[[#This Row],[orden]]&amp;IF(tblOrdenes[[#This Row],[operacion]]="","0010",tblOrdenes[[#This Row],[operacion]]))</f>
        <v/>
      </c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11" t="n"/>
      <c r="K460" s="3" t="n"/>
      <c r="L460" s="10" t="n"/>
      <c r="M460" s="6" t="n"/>
      <c r="N4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60" s="3">
        <f>IF(tblOrdenes[[#This Row],[fecha_inicio]]="","",YEAR(tblOrdenes[[#This Row],[fecha_inicio]]))</f>
        <v/>
      </c>
      <c r="R460" s="3">
        <f>IF(tblOrdenes[[#This Row],[fecha_inicio]]="","",MONTH(tblOrdenes[[#This Row],[fecha_inicio]]))</f>
        <v/>
      </c>
      <c r="S460" s="3">
        <f>IF(tblOrdenes[[#This Row],[fecha_inicio]]="","",INDEX(lista_dias,WEEKDAY(tblOrdenes[[#This Row],[fecha_inicio]],2)))</f>
        <v/>
      </c>
      <c r="T460" s="3">
        <f>IF(tblOrdenes[[#This Row],[tipo_ot]]="","",_xlfn.XLOOKUP(tblOrdenes[[#This Row],[tipo_ot]],tblTiposOT[codigo],tblTiposOT[clasificacion],"sin_clasificar"))</f>
        <v/>
      </c>
      <c r="U460" s="3">
        <f>IF(tblOrdenes[[#This Row],[centro_costo]]="","",_xlfn.XLOOKUP(tblOrdenes[[#This Row],[centro_costo]],tblCECO[codigo],tblCECO[linea],"(sin catálogo)"))</f>
        <v/>
      </c>
      <c r="V460" s="3">
        <f>IF(tblOrdenes[[#This Row],[centro_costo]]="","",_xlfn.XLOOKUP(tblOrdenes[[#This Row],[centro_costo]],tblCECO[codigo],tblCECO[area],"(sin catálogo)"))</f>
        <v/>
      </c>
      <c r="W460" s="3">
        <f>IF(tblOrdenes[[#This Row],[centro_costo]]="","",_xlfn.XLOOKUP(tblOrdenes[[#This Row],[centro_costo]],tblCECO[codigo],tblCECO[coordinador],"(sin catálogo)"))</f>
        <v/>
      </c>
      <c r="X460" s="3">
        <f>IF(tblOrdenes[[#This Row],[puesto_trabajo]]="","",_xlfn.XLOOKUP(tblOrdenes[[#This Row],[puesto_trabajo]],tblPuestos[codigo],tblPuestos[especialidad],"(sin catálogo)"))</f>
        <v/>
      </c>
      <c r="Y460" s="3">
        <f>IF(tblOrdenes[[#This Row],[cod_actividad]]="","",_xlfn.XLOOKUP(tblOrdenes[[#This Row],[cod_actividad]],tblActividades[codigo],tblActividades[descripcion],"(sin catálogo)"))</f>
        <v/>
      </c>
      <c r="Z460" s="12">
        <f>IF(tblOrdenes[[#This Row],[fecha_inicio]]="","",TODAY()-tblOrdenes[[#This Row],[fecha_inicio]])</f>
        <v/>
      </c>
      <c r="AA460" s="3">
        <f>IF(tblOrdenes[[#This Row],[backlog_dias]]="","",IF(tblOrdenes[[#This Row],[backlog_dias]]&lt;0,"FUTURO",IF(tblOrdenes[[#This Row],[backlog_dias]]&gt;p_dias_backlog_max,"BACKLOG","MES CORRIENTE")))</f>
        <v/>
      </c>
      <c r="AB460" s="3">
        <f>IF(tblOrdenes[[#This Row],[backlog_dias]]="",FALSE,AND(tblOrdenes[[#This Row],[backlog_dias]]&gt;p_dias_backlog_min,tblOrdenes[[#This Row],[backlog_dias]]&lt;=p_dias_backlog_max))</f>
        <v/>
      </c>
      <c r="AC460" s="6" t="n"/>
      <c r="AD4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60" s="10">
        <f>IF(tblOrdenes[[#This Row],[orden]]="","",_xlfn.XLOOKUP(tblOrdenes[[#This Row],[id_operacion]],tblEjecucion[id_operacion],tblEjecucion[precio],0))</f>
        <v/>
      </c>
      <c r="AH460" s="10">
        <f>IF(tblOrdenes[[#This Row],[orden]]="","",MAX(0,_xlfn.XLOOKUP(tblOrdenes[[#This Row],[id_operacion]],tblEjecucion[id_operacion],tblEjecucion[costo_plan_total],0)-tblOrdenes[[#This Row],[costo_servicio]]))</f>
        <v/>
      </c>
      <c r="AI460" s="10">
        <f>IF(tblOrdenes[[#This Row],[orden]]="","",tblOrdenes[[#This Row],[costo_servicio]]+tblOrdenes[[#This Row],[costo_materiales]])</f>
        <v/>
      </c>
      <c r="AJ460" s="6" t="n"/>
      <c r="AK460" s="6" t="n"/>
      <c r="AL460" s="6" t="n"/>
      <c r="AM460" s="3">
        <f>IF(tblOrdenes[[#This Row],[link_checklist]]="","",HYPERLINK(p_ruta_base_checklists&amp;tblOrdenes[[#This Row],[link_checklist]],"abrir"))</f>
        <v/>
      </c>
      <c r="AN460" s="6" t="n"/>
      <c r="AO460" s="3">
        <f>IF(tblOrdenes[[#This Row],[orden]]="","",tblOrdenes[[#This Row],[orden]]&amp;IF(tblOrdenes[[#This Row],[operacion]]="","0010",tblOrdenes[[#This Row],[operacion]]))</f>
        <v/>
      </c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11" t="n"/>
      <c r="K461" s="3" t="n"/>
      <c r="L461" s="10" t="n"/>
      <c r="M461" s="6" t="n"/>
      <c r="N4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61" s="3">
        <f>IF(tblOrdenes[[#This Row],[fecha_inicio]]="","",YEAR(tblOrdenes[[#This Row],[fecha_inicio]]))</f>
        <v/>
      </c>
      <c r="R461" s="3">
        <f>IF(tblOrdenes[[#This Row],[fecha_inicio]]="","",MONTH(tblOrdenes[[#This Row],[fecha_inicio]]))</f>
        <v/>
      </c>
      <c r="S461" s="3">
        <f>IF(tblOrdenes[[#This Row],[fecha_inicio]]="","",INDEX(lista_dias,WEEKDAY(tblOrdenes[[#This Row],[fecha_inicio]],2)))</f>
        <v/>
      </c>
      <c r="T461" s="3">
        <f>IF(tblOrdenes[[#This Row],[tipo_ot]]="","",_xlfn.XLOOKUP(tblOrdenes[[#This Row],[tipo_ot]],tblTiposOT[codigo],tblTiposOT[clasificacion],"sin_clasificar"))</f>
        <v/>
      </c>
      <c r="U461" s="3">
        <f>IF(tblOrdenes[[#This Row],[centro_costo]]="","",_xlfn.XLOOKUP(tblOrdenes[[#This Row],[centro_costo]],tblCECO[codigo],tblCECO[linea],"(sin catálogo)"))</f>
        <v/>
      </c>
      <c r="V461" s="3">
        <f>IF(tblOrdenes[[#This Row],[centro_costo]]="","",_xlfn.XLOOKUP(tblOrdenes[[#This Row],[centro_costo]],tblCECO[codigo],tblCECO[area],"(sin catálogo)"))</f>
        <v/>
      </c>
      <c r="W461" s="3">
        <f>IF(tblOrdenes[[#This Row],[centro_costo]]="","",_xlfn.XLOOKUP(tblOrdenes[[#This Row],[centro_costo]],tblCECO[codigo],tblCECO[coordinador],"(sin catálogo)"))</f>
        <v/>
      </c>
      <c r="X461" s="3">
        <f>IF(tblOrdenes[[#This Row],[puesto_trabajo]]="","",_xlfn.XLOOKUP(tblOrdenes[[#This Row],[puesto_trabajo]],tblPuestos[codigo],tblPuestos[especialidad],"(sin catálogo)"))</f>
        <v/>
      </c>
      <c r="Y461" s="3">
        <f>IF(tblOrdenes[[#This Row],[cod_actividad]]="","",_xlfn.XLOOKUP(tblOrdenes[[#This Row],[cod_actividad]],tblActividades[codigo],tblActividades[descripcion],"(sin catálogo)"))</f>
        <v/>
      </c>
      <c r="Z461" s="12">
        <f>IF(tblOrdenes[[#This Row],[fecha_inicio]]="","",TODAY()-tblOrdenes[[#This Row],[fecha_inicio]])</f>
        <v/>
      </c>
      <c r="AA461" s="3">
        <f>IF(tblOrdenes[[#This Row],[backlog_dias]]="","",IF(tblOrdenes[[#This Row],[backlog_dias]]&lt;0,"FUTURO",IF(tblOrdenes[[#This Row],[backlog_dias]]&gt;p_dias_backlog_max,"BACKLOG","MES CORRIENTE")))</f>
        <v/>
      </c>
      <c r="AB461" s="3">
        <f>IF(tblOrdenes[[#This Row],[backlog_dias]]="",FALSE,AND(tblOrdenes[[#This Row],[backlog_dias]]&gt;p_dias_backlog_min,tblOrdenes[[#This Row],[backlog_dias]]&lt;=p_dias_backlog_max))</f>
        <v/>
      </c>
      <c r="AC461" s="6" t="n"/>
      <c r="AD4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61" s="10">
        <f>IF(tblOrdenes[[#This Row],[orden]]="","",_xlfn.XLOOKUP(tblOrdenes[[#This Row],[id_operacion]],tblEjecucion[id_operacion],tblEjecucion[precio],0))</f>
        <v/>
      </c>
      <c r="AH461" s="10">
        <f>IF(tblOrdenes[[#This Row],[orden]]="","",MAX(0,_xlfn.XLOOKUP(tblOrdenes[[#This Row],[id_operacion]],tblEjecucion[id_operacion],tblEjecucion[costo_plan_total],0)-tblOrdenes[[#This Row],[costo_servicio]]))</f>
        <v/>
      </c>
      <c r="AI461" s="10">
        <f>IF(tblOrdenes[[#This Row],[orden]]="","",tblOrdenes[[#This Row],[costo_servicio]]+tblOrdenes[[#This Row],[costo_materiales]])</f>
        <v/>
      </c>
      <c r="AJ461" s="6" t="n"/>
      <c r="AK461" s="6" t="n"/>
      <c r="AL461" s="6" t="n"/>
      <c r="AM461" s="3">
        <f>IF(tblOrdenes[[#This Row],[link_checklist]]="","",HYPERLINK(p_ruta_base_checklists&amp;tblOrdenes[[#This Row],[link_checklist]],"abrir"))</f>
        <v/>
      </c>
      <c r="AN461" s="6" t="n"/>
      <c r="AO461" s="3">
        <f>IF(tblOrdenes[[#This Row],[orden]]="","",tblOrdenes[[#This Row],[orden]]&amp;IF(tblOrdenes[[#This Row],[operacion]]="","0010",tblOrdenes[[#This Row],[operacion]]))</f>
        <v/>
      </c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11" t="n"/>
      <c r="K462" s="3" t="n"/>
      <c r="L462" s="10" t="n"/>
      <c r="M462" s="6" t="n"/>
      <c r="N4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62" s="3">
        <f>IF(tblOrdenes[[#This Row],[fecha_inicio]]="","",YEAR(tblOrdenes[[#This Row],[fecha_inicio]]))</f>
        <v/>
      </c>
      <c r="R462" s="3">
        <f>IF(tblOrdenes[[#This Row],[fecha_inicio]]="","",MONTH(tblOrdenes[[#This Row],[fecha_inicio]]))</f>
        <v/>
      </c>
      <c r="S462" s="3">
        <f>IF(tblOrdenes[[#This Row],[fecha_inicio]]="","",INDEX(lista_dias,WEEKDAY(tblOrdenes[[#This Row],[fecha_inicio]],2)))</f>
        <v/>
      </c>
      <c r="T462" s="3">
        <f>IF(tblOrdenes[[#This Row],[tipo_ot]]="","",_xlfn.XLOOKUP(tblOrdenes[[#This Row],[tipo_ot]],tblTiposOT[codigo],tblTiposOT[clasificacion],"sin_clasificar"))</f>
        <v/>
      </c>
      <c r="U462" s="3">
        <f>IF(tblOrdenes[[#This Row],[centro_costo]]="","",_xlfn.XLOOKUP(tblOrdenes[[#This Row],[centro_costo]],tblCECO[codigo],tblCECO[linea],"(sin catálogo)"))</f>
        <v/>
      </c>
      <c r="V462" s="3">
        <f>IF(tblOrdenes[[#This Row],[centro_costo]]="","",_xlfn.XLOOKUP(tblOrdenes[[#This Row],[centro_costo]],tblCECO[codigo],tblCECO[area],"(sin catálogo)"))</f>
        <v/>
      </c>
      <c r="W462" s="3">
        <f>IF(tblOrdenes[[#This Row],[centro_costo]]="","",_xlfn.XLOOKUP(tblOrdenes[[#This Row],[centro_costo]],tblCECO[codigo],tblCECO[coordinador],"(sin catálogo)"))</f>
        <v/>
      </c>
      <c r="X462" s="3">
        <f>IF(tblOrdenes[[#This Row],[puesto_trabajo]]="","",_xlfn.XLOOKUP(tblOrdenes[[#This Row],[puesto_trabajo]],tblPuestos[codigo],tblPuestos[especialidad],"(sin catálogo)"))</f>
        <v/>
      </c>
      <c r="Y462" s="3">
        <f>IF(tblOrdenes[[#This Row],[cod_actividad]]="","",_xlfn.XLOOKUP(tblOrdenes[[#This Row],[cod_actividad]],tblActividades[codigo],tblActividades[descripcion],"(sin catálogo)"))</f>
        <v/>
      </c>
      <c r="Z462" s="12">
        <f>IF(tblOrdenes[[#This Row],[fecha_inicio]]="","",TODAY()-tblOrdenes[[#This Row],[fecha_inicio]])</f>
        <v/>
      </c>
      <c r="AA462" s="3">
        <f>IF(tblOrdenes[[#This Row],[backlog_dias]]="","",IF(tblOrdenes[[#This Row],[backlog_dias]]&lt;0,"FUTURO",IF(tblOrdenes[[#This Row],[backlog_dias]]&gt;p_dias_backlog_max,"BACKLOG","MES CORRIENTE")))</f>
        <v/>
      </c>
      <c r="AB462" s="3">
        <f>IF(tblOrdenes[[#This Row],[backlog_dias]]="",FALSE,AND(tblOrdenes[[#This Row],[backlog_dias]]&gt;p_dias_backlog_min,tblOrdenes[[#This Row],[backlog_dias]]&lt;=p_dias_backlog_max))</f>
        <v/>
      </c>
      <c r="AC462" s="6" t="n"/>
      <c r="AD4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62" s="10">
        <f>IF(tblOrdenes[[#This Row],[orden]]="","",_xlfn.XLOOKUP(tblOrdenes[[#This Row],[id_operacion]],tblEjecucion[id_operacion],tblEjecucion[precio],0))</f>
        <v/>
      </c>
      <c r="AH462" s="10">
        <f>IF(tblOrdenes[[#This Row],[orden]]="","",MAX(0,_xlfn.XLOOKUP(tblOrdenes[[#This Row],[id_operacion]],tblEjecucion[id_operacion],tblEjecucion[costo_plan_total],0)-tblOrdenes[[#This Row],[costo_servicio]]))</f>
        <v/>
      </c>
      <c r="AI462" s="10">
        <f>IF(tblOrdenes[[#This Row],[orden]]="","",tblOrdenes[[#This Row],[costo_servicio]]+tblOrdenes[[#This Row],[costo_materiales]])</f>
        <v/>
      </c>
      <c r="AJ462" s="6" t="n"/>
      <c r="AK462" s="6" t="n"/>
      <c r="AL462" s="6" t="n"/>
      <c r="AM462" s="3">
        <f>IF(tblOrdenes[[#This Row],[link_checklist]]="","",HYPERLINK(p_ruta_base_checklists&amp;tblOrdenes[[#This Row],[link_checklist]],"abrir"))</f>
        <v/>
      </c>
      <c r="AN462" s="6" t="n"/>
      <c r="AO462" s="3">
        <f>IF(tblOrdenes[[#This Row],[orden]]="","",tblOrdenes[[#This Row],[orden]]&amp;IF(tblOrdenes[[#This Row],[operacion]]="","0010",tblOrdenes[[#This Row],[operacion]]))</f>
        <v/>
      </c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11" t="n"/>
      <c r="K463" s="3" t="n"/>
      <c r="L463" s="10" t="n"/>
      <c r="M463" s="6" t="n"/>
      <c r="N4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63" s="3">
        <f>IF(tblOrdenes[[#This Row],[fecha_inicio]]="","",YEAR(tblOrdenes[[#This Row],[fecha_inicio]]))</f>
        <v/>
      </c>
      <c r="R463" s="3">
        <f>IF(tblOrdenes[[#This Row],[fecha_inicio]]="","",MONTH(tblOrdenes[[#This Row],[fecha_inicio]]))</f>
        <v/>
      </c>
      <c r="S463" s="3">
        <f>IF(tblOrdenes[[#This Row],[fecha_inicio]]="","",INDEX(lista_dias,WEEKDAY(tblOrdenes[[#This Row],[fecha_inicio]],2)))</f>
        <v/>
      </c>
      <c r="T463" s="3">
        <f>IF(tblOrdenes[[#This Row],[tipo_ot]]="","",_xlfn.XLOOKUP(tblOrdenes[[#This Row],[tipo_ot]],tblTiposOT[codigo],tblTiposOT[clasificacion],"sin_clasificar"))</f>
        <v/>
      </c>
      <c r="U463" s="3">
        <f>IF(tblOrdenes[[#This Row],[centro_costo]]="","",_xlfn.XLOOKUP(tblOrdenes[[#This Row],[centro_costo]],tblCECO[codigo],tblCECO[linea],"(sin catálogo)"))</f>
        <v/>
      </c>
      <c r="V463" s="3">
        <f>IF(tblOrdenes[[#This Row],[centro_costo]]="","",_xlfn.XLOOKUP(tblOrdenes[[#This Row],[centro_costo]],tblCECO[codigo],tblCECO[area],"(sin catálogo)"))</f>
        <v/>
      </c>
      <c r="W463" s="3">
        <f>IF(tblOrdenes[[#This Row],[centro_costo]]="","",_xlfn.XLOOKUP(tblOrdenes[[#This Row],[centro_costo]],tblCECO[codigo],tblCECO[coordinador],"(sin catálogo)"))</f>
        <v/>
      </c>
      <c r="X463" s="3">
        <f>IF(tblOrdenes[[#This Row],[puesto_trabajo]]="","",_xlfn.XLOOKUP(tblOrdenes[[#This Row],[puesto_trabajo]],tblPuestos[codigo],tblPuestos[especialidad],"(sin catálogo)"))</f>
        <v/>
      </c>
      <c r="Y463" s="3">
        <f>IF(tblOrdenes[[#This Row],[cod_actividad]]="","",_xlfn.XLOOKUP(tblOrdenes[[#This Row],[cod_actividad]],tblActividades[codigo],tblActividades[descripcion],"(sin catálogo)"))</f>
        <v/>
      </c>
      <c r="Z463" s="12">
        <f>IF(tblOrdenes[[#This Row],[fecha_inicio]]="","",TODAY()-tblOrdenes[[#This Row],[fecha_inicio]])</f>
        <v/>
      </c>
      <c r="AA463" s="3">
        <f>IF(tblOrdenes[[#This Row],[backlog_dias]]="","",IF(tblOrdenes[[#This Row],[backlog_dias]]&lt;0,"FUTURO",IF(tblOrdenes[[#This Row],[backlog_dias]]&gt;p_dias_backlog_max,"BACKLOG","MES CORRIENTE")))</f>
        <v/>
      </c>
      <c r="AB463" s="3">
        <f>IF(tblOrdenes[[#This Row],[backlog_dias]]="",FALSE,AND(tblOrdenes[[#This Row],[backlog_dias]]&gt;p_dias_backlog_min,tblOrdenes[[#This Row],[backlog_dias]]&lt;=p_dias_backlog_max))</f>
        <v/>
      </c>
      <c r="AC463" s="6" t="n"/>
      <c r="AD4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63" s="10">
        <f>IF(tblOrdenes[[#This Row],[orden]]="","",_xlfn.XLOOKUP(tblOrdenes[[#This Row],[id_operacion]],tblEjecucion[id_operacion],tblEjecucion[precio],0))</f>
        <v/>
      </c>
      <c r="AH463" s="10">
        <f>IF(tblOrdenes[[#This Row],[orden]]="","",MAX(0,_xlfn.XLOOKUP(tblOrdenes[[#This Row],[id_operacion]],tblEjecucion[id_operacion],tblEjecucion[costo_plan_total],0)-tblOrdenes[[#This Row],[costo_servicio]]))</f>
        <v/>
      </c>
      <c r="AI463" s="10">
        <f>IF(tblOrdenes[[#This Row],[orden]]="","",tblOrdenes[[#This Row],[costo_servicio]]+tblOrdenes[[#This Row],[costo_materiales]])</f>
        <v/>
      </c>
      <c r="AJ463" s="6" t="n"/>
      <c r="AK463" s="6" t="n"/>
      <c r="AL463" s="6" t="n"/>
      <c r="AM463" s="3">
        <f>IF(tblOrdenes[[#This Row],[link_checklist]]="","",HYPERLINK(p_ruta_base_checklists&amp;tblOrdenes[[#This Row],[link_checklist]],"abrir"))</f>
        <v/>
      </c>
      <c r="AN463" s="6" t="n"/>
      <c r="AO463" s="3">
        <f>IF(tblOrdenes[[#This Row],[orden]]="","",tblOrdenes[[#This Row],[orden]]&amp;IF(tblOrdenes[[#This Row],[operacion]]="","0010",tblOrdenes[[#This Row],[operacion]]))</f>
        <v/>
      </c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11" t="n"/>
      <c r="K464" s="3" t="n"/>
      <c r="L464" s="10" t="n"/>
      <c r="M464" s="6" t="n"/>
      <c r="N4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64" s="3">
        <f>IF(tblOrdenes[[#This Row],[fecha_inicio]]="","",YEAR(tblOrdenes[[#This Row],[fecha_inicio]]))</f>
        <v/>
      </c>
      <c r="R464" s="3">
        <f>IF(tblOrdenes[[#This Row],[fecha_inicio]]="","",MONTH(tblOrdenes[[#This Row],[fecha_inicio]]))</f>
        <v/>
      </c>
      <c r="S464" s="3">
        <f>IF(tblOrdenes[[#This Row],[fecha_inicio]]="","",INDEX(lista_dias,WEEKDAY(tblOrdenes[[#This Row],[fecha_inicio]],2)))</f>
        <v/>
      </c>
      <c r="T464" s="3">
        <f>IF(tblOrdenes[[#This Row],[tipo_ot]]="","",_xlfn.XLOOKUP(tblOrdenes[[#This Row],[tipo_ot]],tblTiposOT[codigo],tblTiposOT[clasificacion],"sin_clasificar"))</f>
        <v/>
      </c>
      <c r="U464" s="3">
        <f>IF(tblOrdenes[[#This Row],[centro_costo]]="","",_xlfn.XLOOKUP(tblOrdenes[[#This Row],[centro_costo]],tblCECO[codigo],tblCECO[linea],"(sin catálogo)"))</f>
        <v/>
      </c>
      <c r="V464" s="3">
        <f>IF(tblOrdenes[[#This Row],[centro_costo]]="","",_xlfn.XLOOKUP(tblOrdenes[[#This Row],[centro_costo]],tblCECO[codigo],tblCECO[area],"(sin catálogo)"))</f>
        <v/>
      </c>
      <c r="W464" s="3">
        <f>IF(tblOrdenes[[#This Row],[centro_costo]]="","",_xlfn.XLOOKUP(tblOrdenes[[#This Row],[centro_costo]],tblCECO[codigo],tblCECO[coordinador],"(sin catálogo)"))</f>
        <v/>
      </c>
      <c r="X464" s="3">
        <f>IF(tblOrdenes[[#This Row],[puesto_trabajo]]="","",_xlfn.XLOOKUP(tblOrdenes[[#This Row],[puesto_trabajo]],tblPuestos[codigo],tblPuestos[especialidad],"(sin catálogo)"))</f>
        <v/>
      </c>
      <c r="Y464" s="3">
        <f>IF(tblOrdenes[[#This Row],[cod_actividad]]="","",_xlfn.XLOOKUP(tblOrdenes[[#This Row],[cod_actividad]],tblActividades[codigo],tblActividades[descripcion],"(sin catálogo)"))</f>
        <v/>
      </c>
      <c r="Z464" s="12">
        <f>IF(tblOrdenes[[#This Row],[fecha_inicio]]="","",TODAY()-tblOrdenes[[#This Row],[fecha_inicio]])</f>
        <v/>
      </c>
      <c r="AA464" s="3">
        <f>IF(tblOrdenes[[#This Row],[backlog_dias]]="","",IF(tblOrdenes[[#This Row],[backlog_dias]]&lt;0,"FUTURO",IF(tblOrdenes[[#This Row],[backlog_dias]]&gt;p_dias_backlog_max,"BACKLOG","MES CORRIENTE")))</f>
        <v/>
      </c>
      <c r="AB464" s="3">
        <f>IF(tblOrdenes[[#This Row],[backlog_dias]]="",FALSE,AND(tblOrdenes[[#This Row],[backlog_dias]]&gt;p_dias_backlog_min,tblOrdenes[[#This Row],[backlog_dias]]&lt;=p_dias_backlog_max))</f>
        <v/>
      </c>
      <c r="AC464" s="6" t="n"/>
      <c r="AD4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64" s="10">
        <f>IF(tblOrdenes[[#This Row],[orden]]="","",_xlfn.XLOOKUP(tblOrdenes[[#This Row],[id_operacion]],tblEjecucion[id_operacion],tblEjecucion[precio],0))</f>
        <v/>
      </c>
      <c r="AH464" s="10">
        <f>IF(tblOrdenes[[#This Row],[orden]]="","",MAX(0,_xlfn.XLOOKUP(tblOrdenes[[#This Row],[id_operacion]],tblEjecucion[id_operacion],tblEjecucion[costo_plan_total],0)-tblOrdenes[[#This Row],[costo_servicio]]))</f>
        <v/>
      </c>
      <c r="AI464" s="10">
        <f>IF(tblOrdenes[[#This Row],[orden]]="","",tblOrdenes[[#This Row],[costo_servicio]]+tblOrdenes[[#This Row],[costo_materiales]])</f>
        <v/>
      </c>
      <c r="AJ464" s="6" t="n"/>
      <c r="AK464" s="6" t="n"/>
      <c r="AL464" s="6" t="n"/>
      <c r="AM464" s="3">
        <f>IF(tblOrdenes[[#This Row],[link_checklist]]="","",HYPERLINK(p_ruta_base_checklists&amp;tblOrdenes[[#This Row],[link_checklist]],"abrir"))</f>
        <v/>
      </c>
      <c r="AN464" s="6" t="n"/>
      <c r="AO464" s="3">
        <f>IF(tblOrdenes[[#This Row],[orden]]="","",tblOrdenes[[#This Row],[orden]]&amp;IF(tblOrdenes[[#This Row],[operacion]]="","0010",tblOrdenes[[#This Row],[operacion]]))</f>
        <v/>
      </c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11" t="n"/>
      <c r="K465" s="3" t="n"/>
      <c r="L465" s="10" t="n"/>
      <c r="M465" s="6" t="n"/>
      <c r="N4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65" s="3">
        <f>IF(tblOrdenes[[#This Row],[fecha_inicio]]="","",YEAR(tblOrdenes[[#This Row],[fecha_inicio]]))</f>
        <v/>
      </c>
      <c r="R465" s="3">
        <f>IF(tblOrdenes[[#This Row],[fecha_inicio]]="","",MONTH(tblOrdenes[[#This Row],[fecha_inicio]]))</f>
        <v/>
      </c>
      <c r="S465" s="3">
        <f>IF(tblOrdenes[[#This Row],[fecha_inicio]]="","",INDEX(lista_dias,WEEKDAY(tblOrdenes[[#This Row],[fecha_inicio]],2)))</f>
        <v/>
      </c>
      <c r="T465" s="3">
        <f>IF(tblOrdenes[[#This Row],[tipo_ot]]="","",_xlfn.XLOOKUP(tblOrdenes[[#This Row],[tipo_ot]],tblTiposOT[codigo],tblTiposOT[clasificacion],"sin_clasificar"))</f>
        <v/>
      </c>
      <c r="U465" s="3">
        <f>IF(tblOrdenes[[#This Row],[centro_costo]]="","",_xlfn.XLOOKUP(tblOrdenes[[#This Row],[centro_costo]],tblCECO[codigo],tblCECO[linea],"(sin catálogo)"))</f>
        <v/>
      </c>
      <c r="V465" s="3">
        <f>IF(tblOrdenes[[#This Row],[centro_costo]]="","",_xlfn.XLOOKUP(tblOrdenes[[#This Row],[centro_costo]],tblCECO[codigo],tblCECO[area],"(sin catálogo)"))</f>
        <v/>
      </c>
      <c r="W465" s="3">
        <f>IF(tblOrdenes[[#This Row],[centro_costo]]="","",_xlfn.XLOOKUP(tblOrdenes[[#This Row],[centro_costo]],tblCECO[codigo],tblCECO[coordinador],"(sin catálogo)"))</f>
        <v/>
      </c>
      <c r="X465" s="3">
        <f>IF(tblOrdenes[[#This Row],[puesto_trabajo]]="","",_xlfn.XLOOKUP(tblOrdenes[[#This Row],[puesto_trabajo]],tblPuestos[codigo],tblPuestos[especialidad],"(sin catálogo)"))</f>
        <v/>
      </c>
      <c r="Y465" s="3">
        <f>IF(tblOrdenes[[#This Row],[cod_actividad]]="","",_xlfn.XLOOKUP(tblOrdenes[[#This Row],[cod_actividad]],tblActividades[codigo],tblActividades[descripcion],"(sin catálogo)"))</f>
        <v/>
      </c>
      <c r="Z465" s="12">
        <f>IF(tblOrdenes[[#This Row],[fecha_inicio]]="","",TODAY()-tblOrdenes[[#This Row],[fecha_inicio]])</f>
        <v/>
      </c>
      <c r="AA465" s="3">
        <f>IF(tblOrdenes[[#This Row],[backlog_dias]]="","",IF(tblOrdenes[[#This Row],[backlog_dias]]&lt;0,"FUTURO",IF(tblOrdenes[[#This Row],[backlog_dias]]&gt;p_dias_backlog_max,"BACKLOG","MES CORRIENTE")))</f>
        <v/>
      </c>
      <c r="AB465" s="3">
        <f>IF(tblOrdenes[[#This Row],[backlog_dias]]="",FALSE,AND(tblOrdenes[[#This Row],[backlog_dias]]&gt;p_dias_backlog_min,tblOrdenes[[#This Row],[backlog_dias]]&lt;=p_dias_backlog_max))</f>
        <v/>
      </c>
      <c r="AC465" s="6" t="n"/>
      <c r="AD4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65" s="10">
        <f>IF(tblOrdenes[[#This Row],[orden]]="","",_xlfn.XLOOKUP(tblOrdenes[[#This Row],[id_operacion]],tblEjecucion[id_operacion],tblEjecucion[precio],0))</f>
        <v/>
      </c>
      <c r="AH465" s="10">
        <f>IF(tblOrdenes[[#This Row],[orden]]="","",MAX(0,_xlfn.XLOOKUP(tblOrdenes[[#This Row],[id_operacion]],tblEjecucion[id_operacion],tblEjecucion[costo_plan_total],0)-tblOrdenes[[#This Row],[costo_servicio]]))</f>
        <v/>
      </c>
      <c r="AI465" s="10">
        <f>IF(tblOrdenes[[#This Row],[orden]]="","",tblOrdenes[[#This Row],[costo_servicio]]+tblOrdenes[[#This Row],[costo_materiales]])</f>
        <v/>
      </c>
      <c r="AJ465" s="6" t="n"/>
      <c r="AK465" s="6" t="n"/>
      <c r="AL465" s="6" t="n"/>
      <c r="AM465" s="3">
        <f>IF(tblOrdenes[[#This Row],[link_checklist]]="","",HYPERLINK(p_ruta_base_checklists&amp;tblOrdenes[[#This Row],[link_checklist]],"abrir"))</f>
        <v/>
      </c>
      <c r="AN465" s="6" t="n"/>
      <c r="AO465" s="3">
        <f>IF(tblOrdenes[[#This Row],[orden]]="","",tblOrdenes[[#This Row],[orden]]&amp;IF(tblOrdenes[[#This Row],[operacion]]="","0010",tblOrdenes[[#This Row],[operacion]]))</f>
        <v/>
      </c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11" t="n"/>
      <c r="K466" s="3" t="n"/>
      <c r="L466" s="10" t="n"/>
      <c r="M466" s="6" t="n"/>
      <c r="N4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66" s="3">
        <f>IF(tblOrdenes[[#This Row],[fecha_inicio]]="","",YEAR(tblOrdenes[[#This Row],[fecha_inicio]]))</f>
        <v/>
      </c>
      <c r="R466" s="3">
        <f>IF(tblOrdenes[[#This Row],[fecha_inicio]]="","",MONTH(tblOrdenes[[#This Row],[fecha_inicio]]))</f>
        <v/>
      </c>
      <c r="S466" s="3">
        <f>IF(tblOrdenes[[#This Row],[fecha_inicio]]="","",INDEX(lista_dias,WEEKDAY(tblOrdenes[[#This Row],[fecha_inicio]],2)))</f>
        <v/>
      </c>
      <c r="T466" s="3">
        <f>IF(tblOrdenes[[#This Row],[tipo_ot]]="","",_xlfn.XLOOKUP(tblOrdenes[[#This Row],[tipo_ot]],tblTiposOT[codigo],tblTiposOT[clasificacion],"sin_clasificar"))</f>
        <v/>
      </c>
      <c r="U466" s="3">
        <f>IF(tblOrdenes[[#This Row],[centro_costo]]="","",_xlfn.XLOOKUP(tblOrdenes[[#This Row],[centro_costo]],tblCECO[codigo],tblCECO[linea],"(sin catálogo)"))</f>
        <v/>
      </c>
      <c r="V466" s="3">
        <f>IF(tblOrdenes[[#This Row],[centro_costo]]="","",_xlfn.XLOOKUP(tblOrdenes[[#This Row],[centro_costo]],tblCECO[codigo],tblCECO[area],"(sin catálogo)"))</f>
        <v/>
      </c>
      <c r="W466" s="3">
        <f>IF(tblOrdenes[[#This Row],[centro_costo]]="","",_xlfn.XLOOKUP(tblOrdenes[[#This Row],[centro_costo]],tblCECO[codigo],tblCECO[coordinador],"(sin catálogo)"))</f>
        <v/>
      </c>
      <c r="X466" s="3">
        <f>IF(tblOrdenes[[#This Row],[puesto_trabajo]]="","",_xlfn.XLOOKUP(tblOrdenes[[#This Row],[puesto_trabajo]],tblPuestos[codigo],tblPuestos[especialidad],"(sin catálogo)"))</f>
        <v/>
      </c>
      <c r="Y466" s="3">
        <f>IF(tblOrdenes[[#This Row],[cod_actividad]]="","",_xlfn.XLOOKUP(tblOrdenes[[#This Row],[cod_actividad]],tblActividades[codigo],tblActividades[descripcion],"(sin catálogo)"))</f>
        <v/>
      </c>
      <c r="Z466" s="12">
        <f>IF(tblOrdenes[[#This Row],[fecha_inicio]]="","",TODAY()-tblOrdenes[[#This Row],[fecha_inicio]])</f>
        <v/>
      </c>
      <c r="AA466" s="3">
        <f>IF(tblOrdenes[[#This Row],[backlog_dias]]="","",IF(tblOrdenes[[#This Row],[backlog_dias]]&lt;0,"FUTURO",IF(tblOrdenes[[#This Row],[backlog_dias]]&gt;p_dias_backlog_max,"BACKLOG","MES CORRIENTE")))</f>
        <v/>
      </c>
      <c r="AB466" s="3">
        <f>IF(tblOrdenes[[#This Row],[backlog_dias]]="",FALSE,AND(tblOrdenes[[#This Row],[backlog_dias]]&gt;p_dias_backlog_min,tblOrdenes[[#This Row],[backlog_dias]]&lt;=p_dias_backlog_max))</f>
        <v/>
      </c>
      <c r="AC466" s="6" t="n"/>
      <c r="AD4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66" s="10">
        <f>IF(tblOrdenes[[#This Row],[orden]]="","",_xlfn.XLOOKUP(tblOrdenes[[#This Row],[id_operacion]],tblEjecucion[id_operacion],tblEjecucion[precio],0))</f>
        <v/>
      </c>
      <c r="AH466" s="10">
        <f>IF(tblOrdenes[[#This Row],[orden]]="","",MAX(0,_xlfn.XLOOKUP(tblOrdenes[[#This Row],[id_operacion]],tblEjecucion[id_operacion],tblEjecucion[costo_plan_total],0)-tblOrdenes[[#This Row],[costo_servicio]]))</f>
        <v/>
      </c>
      <c r="AI466" s="10">
        <f>IF(tblOrdenes[[#This Row],[orden]]="","",tblOrdenes[[#This Row],[costo_servicio]]+tblOrdenes[[#This Row],[costo_materiales]])</f>
        <v/>
      </c>
      <c r="AJ466" s="6" t="n"/>
      <c r="AK466" s="6" t="n"/>
      <c r="AL466" s="6" t="n"/>
      <c r="AM466" s="3">
        <f>IF(tblOrdenes[[#This Row],[link_checklist]]="","",HYPERLINK(p_ruta_base_checklists&amp;tblOrdenes[[#This Row],[link_checklist]],"abrir"))</f>
        <v/>
      </c>
      <c r="AN466" s="6" t="n"/>
      <c r="AO466" s="3">
        <f>IF(tblOrdenes[[#This Row],[orden]]="","",tblOrdenes[[#This Row],[orden]]&amp;IF(tblOrdenes[[#This Row],[operacion]]="","0010",tblOrdenes[[#This Row],[operacion]]))</f>
        <v/>
      </c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11" t="n"/>
      <c r="K467" s="3" t="n"/>
      <c r="L467" s="10" t="n"/>
      <c r="M467" s="6" t="n"/>
      <c r="N4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67" s="3">
        <f>IF(tblOrdenes[[#This Row],[fecha_inicio]]="","",YEAR(tblOrdenes[[#This Row],[fecha_inicio]]))</f>
        <v/>
      </c>
      <c r="R467" s="3">
        <f>IF(tblOrdenes[[#This Row],[fecha_inicio]]="","",MONTH(tblOrdenes[[#This Row],[fecha_inicio]]))</f>
        <v/>
      </c>
      <c r="S467" s="3">
        <f>IF(tblOrdenes[[#This Row],[fecha_inicio]]="","",INDEX(lista_dias,WEEKDAY(tblOrdenes[[#This Row],[fecha_inicio]],2)))</f>
        <v/>
      </c>
      <c r="T467" s="3">
        <f>IF(tblOrdenes[[#This Row],[tipo_ot]]="","",_xlfn.XLOOKUP(tblOrdenes[[#This Row],[tipo_ot]],tblTiposOT[codigo],tblTiposOT[clasificacion],"sin_clasificar"))</f>
        <v/>
      </c>
      <c r="U467" s="3">
        <f>IF(tblOrdenes[[#This Row],[centro_costo]]="","",_xlfn.XLOOKUP(tblOrdenes[[#This Row],[centro_costo]],tblCECO[codigo],tblCECO[linea],"(sin catálogo)"))</f>
        <v/>
      </c>
      <c r="V467" s="3">
        <f>IF(tblOrdenes[[#This Row],[centro_costo]]="","",_xlfn.XLOOKUP(tblOrdenes[[#This Row],[centro_costo]],tblCECO[codigo],tblCECO[area],"(sin catálogo)"))</f>
        <v/>
      </c>
      <c r="W467" s="3">
        <f>IF(tblOrdenes[[#This Row],[centro_costo]]="","",_xlfn.XLOOKUP(tblOrdenes[[#This Row],[centro_costo]],tblCECO[codigo],tblCECO[coordinador],"(sin catálogo)"))</f>
        <v/>
      </c>
      <c r="X467" s="3">
        <f>IF(tblOrdenes[[#This Row],[puesto_trabajo]]="","",_xlfn.XLOOKUP(tblOrdenes[[#This Row],[puesto_trabajo]],tblPuestos[codigo],tblPuestos[especialidad],"(sin catálogo)"))</f>
        <v/>
      </c>
      <c r="Y467" s="3">
        <f>IF(tblOrdenes[[#This Row],[cod_actividad]]="","",_xlfn.XLOOKUP(tblOrdenes[[#This Row],[cod_actividad]],tblActividades[codigo],tblActividades[descripcion],"(sin catálogo)"))</f>
        <v/>
      </c>
      <c r="Z467" s="12">
        <f>IF(tblOrdenes[[#This Row],[fecha_inicio]]="","",TODAY()-tblOrdenes[[#This Row],[fecha_inicio]])</f>
        <v/>
      </c>
      <c r="AA467" s="3">
        <f>IF(tblOrdenes[[#This Row],[backlog_dias]]="","",IF(tblOrdenes[[#This Row],[backlog_dias]]&lt;0,"FUTURO",IF(tblOrdenes[[#This Row],[backlog_dias]]&gt;p_dias_backlog_max,"BACKLOG","MES CORRIENTE")))</f>
        <v/>
      </c>
      <c r="AB467" s="3">
        <f>IF(tblOrdenes[[#This Row],[backlog_dias]]="",FALSE,AND(tblOrdenes[[#This Row],[backlog_dias]]&gt;p_dias_backlog_min,tblOrdenes[[#This Row],[backlog_dias]]&lt;=p_dias_backlog_max))</f>
        <v/>
      </c>
      <c r="AC467" s="6" t="n"/>
      <c r="AD4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67" s="10">
        <f>IF(tblOrdenes[[#This Row],[orden]]="","",_xlfn.XLOOKUP(tblOrdenes[[#This Row],[id_operacion]],tblEjecucion[id_operacion],tblEjecucion[precio],0))</f>
        <v/>
      </c>
      <c r="AH467" s="10">
        <f>IF(tblOrdenes[[#This Row],[orden]]="","",MAX(0,_xlfn.XLOOKUP(tblOrdenes[[#This Row],[id_operacion]],tblEjecucion[id_operacion],tblEjecucion[costo_plan_total],0)-tblOrdenes[[#This Row],[costo_servicio]]))</f>
        <v/>
      </c>
      <c r="AI467" s="10">
        <f>IF(tblOrdenes[[#This Row],[orden]]="","",tblOrdenes[[#This Row],[costo_servicio]]+tblOrdenes[[#This Row],[costo_materiales]])</f>
        <v/>
      </c>
      <c r="AJ467" s="6" t="n"/>
      <c r="AK467" s="6" t="n"/>
      <c r="AL467" s="6" t="n"/>
      <c r="AM467" s="3">
        <f>IF(tblOrdenes[[#This Row],[link_checklist]]="","",HYPERLINK(p_ruta_base_checklists&amp;tblOrdenes[[#This Row],[link_checklist]],"abrir"))</f>
        <v/>
      </c>
      <c r="AN467" s="6" t="n"/>
      <c r="AO467" s="3">
        <f>IF(tblOrdenes[[#This Row],[orden]]="","",tblOrdenes[[#This Row],[orden]]&amp;IF(tblOrdenes[[#This Row],[operacion]]="","0010",tblOrdenes[[#This Row],[operacion]]))</f>
        <v/>
      </c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11" t="n"/>
      <c r="K468" s="3" t="n"/>
      <c r="L468" s="10" t="n"/>
      <c r="M468" s="6" t="n"/>
      <c r="N4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68" s="3">
        <f>IF(tblOrdenes[[#This Row],[fecha_inicio]]="","",YEAR(tblOrdenes[[#This Row],[fecha_inicio]]))</f>
        <v/>
      </c>
      <c r="R468" s="3">
        <f>IF(tblOrdenes[[#This Row],[fecha_inicio]]="","",MONTH(tblOrdenes[[#This Row],[fecha_inicio]]))</f>
        <v/>
      </c>
      <c r="S468" s="3">
        <f>IF(tblOrdenes[[#This Row],[fecha_inicio]]="","",INDEX(lista_dias,WEEKDAY(tblOrdenes[[#This Row],[fecha_inicio]],2)))</f>
        <v/>
      </c>
      <c r="T468" s="3">
        <f>IF(tblOrdenes[[#This Row],[tipo_ot]]="","",_xlfn.XLOOKUP(tblOrdenes[[#This Row],[tipo_ot]],tblTiposOT[codigo],tblTiposOT[clasificacion],"sin_clasificar"))</f>
        <v/>
      </c>
      <c r="U468" s="3">
        <f>IF(tblOrdenes[[#This Row],[centro_costo]]="","",_xlfn.XLOOKUP(tblOrdenes[[#This Row],[centro_costo]],tblCECO[codigo],tblCECO[linea],"(sin catálogo)"))</f>
        <v/>
      </c>
      <c r="V468" s="3">
        <f>IF(tblOrdenes[[#This Row],[centro_costo]]="","",_xlfn.XLOOKUP(tblOrdenes[[#This Row],[centro_costo]],tblCECO[codigo],tblCECO[area],"(sin catálogo)"))</f>
        <v/>
      </c>
      <c r="W468" s="3">
        <f>IF(tblOrdenes[[#This Row],[centro_costo]]="","",_xlfn.XLOOKUP(tblOrdenes[[#This Row],[centro_costo]],tblCECO[codigo],tblCECO[coordinador],"(sin catálogo)"))</f>
        <v/>
      </c>
      <c r="X468" s="3">
        <f>IF(tblOrdenes[[#This Row],[puesto_trabajo]]="","",_xlfn.XLOOKUP(tblOrdenes[[#This Row],[puesto_trabajo]],tblPuestos[codigo],tblPuestos[especialidad],"(sin catálogo)"))</f>
        <v/>
      </c>
      <c r="Y468" s="3">
        <f>IF(tblOrdenes[[#This Row],[cod_actividad]]="","",_xlfn.XLOOKUP(tblOrdenes[[#This Row],[cod_actividad]],tblActividades[codigo],tblActividades[descripcion],"(sin catálogo)"))</f>
        <v/>
      </c>
      <c r="Z468" s="12">
        <f>IF(tblOrdenes[[#This Row],[fecha_inicio]]="","",TODAY()-tblOrdenes[[#This Row],[fecha_inicio]])</f>
        <v/>
      </c>
      <c r="AA468" s="3">
        <f>IF(tblOrdenes[[#This Row],[backlog_dias]]="","",IF(tblOrdenes[[#This Row],[backlog_dias]]&lt;0,"FUTURO",IF(tblOrdenes[[#This Row],[backlog_dias]]&gt;p_dias_backlog_max,"BACKLOG","MES CORRIENTE")))</f>
        <v/>
      </c>
      <c r="AB468" s="3">
        <f>IF(tblOrdenes[[#This Row],[backlog_dias]]="",FALSE,AND(tblOrdenes[[#This Row],[backlog_dias]]&gt;p_dias_backlog_min,tblOrdenes[[#This Row],[backlog_dias]]&lt;=p_dias_backlog_max))</f>
        <v/>
      </c>
      <c r="AC468" s="6" t="n"/>
      <c r="AD4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68" s="10">
        <f>IF(tblOrdenes[[#This Row],[orden]]="","",_xlfn.XLOOKUP(tblOrdenes[[#This Row],[id_operacion]],tblEjecucion[id_operacion],tblEjecucion[precio],0))</f>
        <v/>
      </c>
      <c r="AH468" s="10">
        <f>IF(tblOrdenes[[#This Row],[orden]]="","",MAX(0,_xlfn.XLOOKUP(tblOrdenes[[#This Row],[id_operacion]],tblEjecucion[id_operacion],tblEjecucion[costo_plan_total],0)-tblOrdenes[[#This Row],[costo_servicio]]))</f>
        <v/>
      </c>
      <c r="AI468" s="10">
        <f>IF(tblOrdenes[[#This Row],[orden]]="","",tblOrdenes[[#This Row],[costo_servicio]]+tblOrdenes[[#This Row],[costo_materiales]])</f>
        <v/>
      </c>
      <c r="AJ468" s="6" t="n"/>
      <c r="AK468" s="6" t="n"/>
      <c r="AL468" s="6" t="n"/>
      <c r="AM468" s="3">
        <f>IF(tblOrdenes[[#This Row],[link_checklist]]="","",HYPERLINK(p_ruta_base_checklists&amp;tblOrdenes[[#This Row],[link_checklist]],"abrir"))</f>
        <v/>
      </c>
      <c r="AN468" s="6" t="n"/>
      <c r="AO468" s="3">
        <f>IF(tblOrdenes[[#This Row],[orden]]="","",tblOrdenes[[#This Row],[orden]]&amp;IF(tblOrdenes[[#This Row],[operacion]]="","0010",tblOrdenes[[#This Row],[operacion]]))</f>
        <v/>
      </c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11" t="n"/>
      <c r="K469" s="3" t="n"/>
      <c r="L469" s="10" t="n"/>
      <c r="M469" s="6" t="n"/>
      <c r="N4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69" s="3">
        <f>IF(tblOrdenes[[#This Row],[fecha_inicio]]="","",YEAR(tblOrdenes[[#This Row],[fecha_inicio]]))</f>
        <v/>
      </c>
      <c r="R469" s="3">
        <f>IF(tblOrdenes[[#This Row],[fecha_inicio]]="","",MONTH(tblOrdenes[[#This Row],[fecha_inicio]]))</f>
        <v/>
      </c>
      <c r="S469" s="3">
        <f>IF(tblOrdenes[[#This Row],[fecha_inicio]]="","",INDEX(lista_dias,WEEKDAY(tblOrdenes[[#This Row],[fecha_inicio]],2)))</f>
        <v/>
      </c>
      <c r="T469" s="3">
        <f>IF(tblOrdenes[[#This Row],[tipo_ot]]="","",_xlfn.XLOOKUP(tblOrdenes[[#This Row],[tipo_ot]],tblTiposOT[codigo],tblTiposOT[clasificacion],"sin_clasificar"))</f>
        <v/>
      </c>
      <c r="U469" s="3">
        <f>IF(tblOrdenes[[#This Row],[centro_costo]]="","",_xlfn.XLOOKUP(tblOrdenes[[#This Row],[centro_costo]],tblCECO[codigo],tblCECO[linea],"(sin catálogo)"))</f>
        <v/>
      </c>
      <c r="V469" s="3">
        <f>IF(tblOrdenes[[#This Row],[centro_costo]]="","",_xlfn.XLOOKUP(tblOrdenes[[#This Row],[centro_costo]],tblCECO[codigo],tblCECO[area],"(sin catálogo)"))</f>
        <v/>
      </c>
      <c r="W469" s="3">
        <f>IF(tblOrdenes[[#This Row],[centro_costo]]="","",_xlfn.XLOOKUP(tblOrdenes[[#This Row],[centro_costo]],tblCECO[codigo],tblCECO[coordinador],"(sin catálogo)"))</f>
        <v/>
      </c>
      <c r="X469" s="3">
        <f>IF(tblOrdenes[[#This Row],[puesto_trabajo]]="","",_xlfn.XLOOKUP(tblOrdenes[[#This Row],[puesto_trabajo]],tblPuestos[codigo],tblPuestos[especialidad],"(sin catálogo)"))</f>
        <v/>
      </c>
      <c r="Y469" s="3">
        <f>IF(tblOrdenes[[#This Row],[cod_actividad]]="","",_xlfn.XLOOKUP(tblOrdenes[[#This Row],[cod_actividad]],tblActividades[codigo],tblActividades[descripcion],"(sin catálogo)"))</f>
        <v/>
      </c>
      <c r="Z469" s="12">
        <f>IF(tblOrdenes[[#This Row],[fecha_inicio]]="","",TODAY()-tblOrdenes[[#This Row],[fecha_inicio]])</f>
        <v/>
      </c>
      <c r="AA469" s="3">
        <f>IF(tblOrdenes[[#This Row],[backlog_dias]]="","",IF(tblOrdenes[[#This Row],[backlog_dias]]&lt;0,"FUTURO",IF(tblOrdenes[[#This Row],[backlog_dias]]&gt;p_dias_backlog_max,"BACKLOG","MES CORRIENTE")))</f>
        <v/>
      </c>
      <c r="AB469" s="3">
        <f>IF(tblOrdenes[[#This Row],[backlog_dias]]="",FALSE,AND(tblOrdenes[[#This Row],[backlog_dias]]&gt;p_dias_backlog_min,tblOrdenes[[#This Row],[backlog_dias]]&lt;=p_dias_backlog_max))</f>
        <v/>
      </c>
      <c r="AC469" s="6" t="n"/>
      <c r="AD4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69" s="10">
        <f>IF(tblOrdenes[[#This Row],[orden]]="","",_xlfn.XLOOKUP(tblOrdenes[[#This Row],[id_operacion]],tblEjecucion[id_operacion],tblEjecucion[precio],0))</f>
        <v/>
      </c>
      <c r="AH469" s="10">
        <f>IF(tblOrdenes[[#This Row],[orden]]="","",MAX(0,_xlfn.XLOOKUP(tblOrdenes[[#This Row],[id_operacion]],tblEjecucion[id_operacion],tblEjecucion[costo_plan_total],0)-tblOrdenes[[#This Row],[costo_servicio]]))</f>
        <v/>
      </c>
      <c r="AI469" s="10">
        <f>IF(tblOrdenes[[#This Row],[orden]]="","",tblOrdenes[[#This Row],[costo_servicio]]+tblOrdenes[[#This Row],[costo_materiales]])</f>
        <v/>
      </c>
      <c r="AJ469" s="6" t="n"/>
      <c r="AK469" s="6" t="n"/>
      <c r="AL469" s="6" t="n"/>
      <c r="AM469" s="3">
        <f>IF(tblOrdenes[[#This Row],[link_checklist]]="","",HYPERLINK(p_ruta_base_checklists&amp;tblOrdenes[[#This Row],[link_checklist]],"abrir"))</f>
        <v/>
      </c>
      <c r="AN469" s="6" t="n"/>
      <c r="AO469" s="3">
        <f>IF(tblOrdenes[[#This Row],[orden]]="","",tblOrdenes[[#This Row],[orden]]&amp;IF(tblOrdenes[[#This Row],[operacion]]="","0010",tblOrdenes[[#This Row],[operacion]]))</f>
        <v/>
      </c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11" t="n"/>
      <c r="K470" s="3" t="n"/>
      <c r="L470" s="10" t="n"/>
      <c r="M470" s="6" t="n"/>
      <c r="N4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70" s="3">
        <f>IF(tblOrdenes[[#This Row],[fecha_inicio]]="","",YEAR(tblOrdenes[[#This Row],[fecha_inicio]]))</f>
        <v/>
      </c>
      <c r="R470" s="3">
        <f>IF(tblOrdenes[[#This Row],[fecha_inicio]]="","",MONTH(tblOrdenes[[#This Row],[fecha_inicio]]))</f>
        <v/>
      </c>
      <c r="S470" s="3">
        <f>IF(tblOrdenes[[#This Row],[fecha_inicio]]="","",INDEX(lista_dias,WEEKDAY(tblOrdenes[[#This Row],[fecha_inicio]],2)))</f>
        <v/>
      </c>
      <c r="T470" s="3">
        <f>IF(tblOrdenes[[#This Row],[tipo_ot]]="","",_xlfn.XLOOKUP(tblOrdenes[[#This Row],[tipo_ot]],tblTiposOT[codigo],tblTiposOT[clasificacion],"sin_clasificar"))</f>
        <v/>
      </c>
      <c r="U470" s="3">
        <f>IF(tblOrdenes[[#This Row],[centro_costo]]="","",_xlfn.XLOOKUP(tblOrdenes[[#This Row],[centro_costo]],tblCECO[codigo],tblCECO[linea],"(sin catálogo)"))</f>
        <v/>
      </c>
      <c r="V470" s="3">
        <f>IF(tblOrdenes[[#This Row],[centro_costo]]="","",_xlfn.XLOOKUP(tblOrdenes[[#This Row],[centro_costo]],tblCECO[codigo],tblCECO[area],"(sin catálogo)"))</f>
        <v/>
      </c>
      <c r="W470" s="3">
        <f>IF(tblOrdenes[[#This Row],[centro_costo]]="","",_xlfn.XLOOKUP(tblOrdenes[[#This Row],[centro_costo]],tblCECO[codigo],tblCECO[coordinador],"(sin catálogo)"))</f>
        <v/>
      </c>
      <c r="X470" s="3">
        <f>IF(tblOrdenes[[#This Row],[puesto_trabajo]]="","",_xlfn.XLOOKUP(tblOrdenes[[#This Row],[puesto_trabajo]],tblPuestos[codigo],tblPuestos[especialidad],"(sin catálogo)"))</f>
        <v/>
      </c>
      <c r="Y470" s="3">
        <f>IF(tblOrdenes[[#This Row],[cod_actividad]]="","",_xlfn.XLOOKUP(tblOrdenes[[#This Row],[cod_actividad]],tblActividades[codigo],tblActividades[descripcion],"(sin catálogo)"))</f>
        <v/>
      </c>
      <c r="Z470" s="12">
        <f>IF(tblOrdenes[[#This Row],[fecha_inicio]]="","",TODAY()-tblOrdenes[[#This Row],[fecha_inicio]])</f>
        <v/>
      </c>
      <c r="AA470" s="3">
        <f>IF(tblOrdenes[[#This Row],[backlog_dias]]="","",IF(tblOrdenes[[#This Row],[backlog_dias]]&lt;0,"FUTURO",IF(tblOrdenes[[#This Row],[backlog_dias]]&gt;p_dias_backlog_max,"BACKLOG","MES CORRIENTE")))</f>
        <v/>
      </c>
      <c r="AB470" s="3">
        <f>IF(tblOrdenes[[#This Row],[backlog_dias]]="",FALSE,AND(tblOrdenes[[#This Row],[backlog_dias]]&gt;p_dias_backlog_min,tblOrdenes[[#This Row],[backlog_dias]]&lt;=p_dias_backlog_max))</f>
        <v/>
      </c>
      <c r="AC470" s="6" t="n"/>
      <c r="AD4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70" s="10">
        <f>IF(tblOrdenes[[#This Row],[orden]]="","",_xlfn.XLOOKUP(tblOrdenes[[#This Row],[id_operacion]],tblEjecucion[id_operacion],tblEjecucion[precio],0))</f>
        <v/>
      </c>
      <c r="AH470" s="10">
        <f>IF(tblOrdenes[[#This Row],[orden]]="","",MAX(0,_xlfn.XLOOKUP(tblOrdenes[[#This Row],[id_operacion]],tblEjecucion[id_operacion],tblEjecucion[costo_plan_total],0)-tblOrdenes[[#This Row],[costo_servicio]]))</f>
        <v/>
      </c>
      <c r="AI470" s="10">
        <f>IF(tblOrdenes[[#This Row],[orden]]="","",tblOrdenes[[#This Row],[costo_servicio]]+tblOrdenes[[#This Row],[costo_materiales]])</f>
        <v/>
      </c>
      <c r="AJ470" s="6" t="n"/>
      <c r="AK470" s="6" t="n"/>
      <c r="AL470" s="6" t="n"/>
      <c r="AM470" s="3">
        <f>IF(tblOrdenes[[#This Row],[link_checklist]]="","",HYPERLINK(p_ruta_base_checklists&amp;tblOrdenes[[#This Row],[link_checklist]],"abrir"))</f>
        <v/>
      </c>
      <c r="AN470" s="6" t="n"/>
      <c r="AO470" s="3">
        <f>IF(tblOrdenes[[#This Row],[orden]]="","",tblOrdenes[[#This Row],[orden]]&amp;IF(tblOrdenes[[#This Row],[operacion]]="","0010",tblOrdenes[[#This Row],[operacion]]))</f>
        <v/>
      </c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11" t="n"/>
      <c r="K471" s="3" t="n"/>
      <c r="L471" s="10" t="n"/>
      <c r="M471" s="6" t="n"/>
      <c r="N4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71" s="3">
        <f>IF(tblOrdenes[[#This Row],[fecha_inicio]]="","",YEAR(tblOrdenes[[#This Row],[fecha_inicio]]))</f>
        <v/>
      </c>
      <c r="R471" s="3">
        <f>IF(tblOrdenes[[#This Row],[fecha_inicio]]="","",MONTH(tblOrdenes[[#This Row],[fecha_inicio]]))</f>
        <v/>
      </c>
      <c r="S471" s="3">
        <f>IF(tblOrdenes[[#This Row],[fecha_inicio]]="","",INDEX(lista_dias,WEEKDAY(tblOrdenes[[#This Row],[fecha_inicio]],2)))</f>
        <v/>
      </c>
      <c r="T471" s="3">
        <f>IF(tblOrdenes[[#This Row],[tipo_ot]]="","",_xlfn.XLOOKUP(tblOrdenes[[#This Row],[tipo_ot]],tblTiposOT[codigo],tblTiposOT[clasificacion],"sin_clasificar"))</f>
        <v/>
      </c>
      <c r="U471" s="3">
        <f>IF(tblOrdenes[[#This Row],[centro_costo]]="","",_xlfn.XLOOKUP(tblOrdenes[[#This Row],[centro_costo]],tblCECO[codigo],tblCECO[linea],"(sin catálogo)"))</f>
        <v/>
      </c>
      <c r="V471" s="3">
        <f>IF(tblOrdenes[[#This Row],[centro_costo]]="","",_xlfn.XLOOKUP(tblOrdenes[[#This Row],[centro_costo]],tblCECO[codigo],tblCECO[area],"(sin catálogo)"))</f>
        <v/>
      </c>
      <c r="W471" s="3">
        <f>IF(tblOrdenes[[#This Row],[centro_costo]]="","",_xlfn.XLOOKUP(tblOrdenes[[#This Row],[centro_costo]],tblCECO[codigo],tblCECO[coordinador],"(sin catálogo)"))</f>
        <v/>
      </c>
      <c r="X471" s="3">
        <f>IF(tblOrdenes[[#This Row],[puesto_trabajo]]="","",_xlfn.XLOOKUP(tblOrdenes[[#This Row],[puesto_trabajo]],tblPuestos[codigo],tblPuestos[especialidad],"(sin catálogo)"))</f>
        <v/>
      </c>
      <c r="Y471" s="3">
        <f>IF(tblOrdenes[[#This Row],[cod_actividad]]="","",_xlfn.XLOOKUP(tblOrdenes[[#This Row],[cod_actividad]],tblActividades[codigo],tblActividades[descripcion],"(sin catálogo)"))</f>
        <v/>
      </c>
      <c r="Z471" s="12">
        <f>IF(tblOrdenes[[#This Row],[fecha_inicio]]="","",TODAY()-tblOrdenes[[#This Row],[fecha_inicio]])</f>
        <v/>
      </c>
      <c r="AA471" s="3">
        <f>IF(tblOrdenes[[#This Row],[backlog_dias]]="","",IF(tblOrdenes[[#This Row],[backlog_dias]]&lt;0,"FUTURO",IF(tblOrdenes[[#This Row],[backlog_dias]]&gt;p_dias_backlog_max,"BACKLOG","MES CORRIENTE")))</f>
        <v/>
      </c>
      <c r="AB471" s="3">
        <f>IF(tblOrdenes[[#This Row],[backlog_dias]]="",FALSE,AND(tblOrdenes[[#This Row],[backlog_dias]]&gt;p_dias_backlog_min,tblOrdenes[[#This Row],[backlog_dias]]&lt;=p_dias_backlog_max))</f>
        <v/>
      </c>
      <c r="AC471" s="6" t="n"/>
      <c r="AD4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71" s="10">
        <f>IF(tblOrdenes[[#This Row],[orden]]="","",_xlfn.XLOOKUP(tblOrdenes[[#This Row],[id_operacion]],tblEjecucion[id_operacion],tblEjecucion[precio],0))</f>
        <v/>
      </c>
      <c r="AH471" s="10">
        <f>IF(tblOrdenes[[#This Row],[orden]]="","",MAX(0,_xlfn.XLOOKUP(tblOrdenes[[#This Row],[id_operacion]],tblEjecucion[id_operacion],tblEjecucion[costo_plan_total],0)-tblOrdenes[[#This Row],[costo_servicio]]))</f>
        <v/>
      </c>
      <c r="AI471" s="10">
        <f>IF(tblOrdenes[[#This Row],[orden]]="","",tblOrdenes[[#This Row],[costo_servicio]]+tblOrdenes[[#This Row],[costo_materiales]])</f>
        <v/>
      </c>
      <c r="AJ471" s="6" t="n"/>
      <c r="AK471" s="6" t="n"/>
      <c r="AL471" s="6" t="n"/>
      <c r="AM471" s="3">
        <f>IF(tblOrdenes[[#This Row],[link_checklist]]="","",HYPERLINK(p_ruta_base_checklists&amp;tblOrdenes[[#This Row],[link_checklist]],"abrir"))</f>
        <v/>
      </c>
      <c r="AN471" s="6" t="n"/>
      <c r="AO471" s="3">
        <f>IF(tblOrdenes[[#This Row],[orden]]="","",tblOrdenes[[#This Row],[orden]]&amp;IF(tblOrdenes[[#This Row],[operacion]]="","0010",tblOrdenes[[#This Row],[operacion]]))</f>
        <v/>
      </c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11" t="n"/>
      <c r="K472" s="3" t="n"/>
      <c r="L472" s="10" t="n"/>
      <c r="M472" s="6" t="n"/>
      <c r="N4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72" s="3">
        <f>IF(tblOrdenes[[#This Row],[fecha_inicio]]="","",YEAR(tblOrdenes[[#This Row],[fecha_inicio]]))</f>
        <v/>
      </c>
      <c r="R472" s="3">
        <f>IF(tblOrdenes[[#This Row],[fecha_inicio]]="","",MONTH(tblOrdenes[[#This Row],[fecha_inicio]]))</f>
        <v/>
      </c>
      <c r="S472" s="3">
        <f>IF(tblOrdenes[[#This Row],[fecha_inicio]]="","",INDEX(lista_dias,WEEKDAY(tblOrdenes[[#This Row],[fecha_inicio]],2)))</f>
        <v/>
      </c>
      <c r="T472" s="3">
        <f>IF(tblOrdenes[[#This Row],[tipo_ot]]="","",_xlfn.XLOOKUP(tblOrdenes[[#This Row],[tipo_ot]],tblTiposOT[codigo],tblTiposOT[clasificacion],"sin_clasificar"))</f>
        <v/>
      </c>
      <c r="U472" s="3">
        <f>IF(tblOrdenes[[#This Row],[centro_costo]]="","",_xlfn.XLOOKUP(tblOrdenes[[#This Row],[centro_costo]],tblCECO[codigo],tblCECO[linea],"(sin catálogo)"))</f>
        <v/>
      </c>
      <c r="V472" s="3">
        <f>IF(tblOrdenes[[#This Row],[centro_costo]]="","",_xlfn.XLOOKUP(tblOrdenes[[#This Row],[centro_costo]],tblCECO[codigo],tblCECO[area],"(sin catálogo)"))</f>
        <v/>
      </c>
      <c r="W472" s="3">
        <f>IF(tblOrdenes[[#This Row],[centro_costo]]="","",_xlfn.XLOOKUP(tblOrdenes[[#This Row],[centro_costo]],tblCECO[codigo],tblCECO[coordinador],"(sin catálogo)"))</f>
        <v/>
      </c>
      <c r="X472" s="3">
        <f>IF(tblOrdenes[[#This Row],[puesto_trabajo]]="","",_xlfn.XLOOKUP(tblOrdenes[[#This Row],[puesto_trabajo]],tblPuestos[codigo],tblPuestos[especialidad],"(sin catálogo)"))</f>
        <v/>
      </c>
      <c r="Y472" s="3">
        <f>IF(tblOrdenes[[#This Row],[cod_actividad]]="","",_xlfn.XLOOKUP(tblOrdenes[[#This Row],[cod_actividad]],tblActividades[codigo],tblActividades[descripcion],"(sin catálogo)"))</f>
        <v/>
      </c>
      <c r="Z472" s="12">
        <f>IF(tblOrdenes[[#This Row],[fecha_inicio]]="","",TODAY()-tblOrdenes[[#This Row],[fecha_inicio]])</f>
        <v/>
      </c>
      <c r="AA472" s="3">
        <f>IF(tblOrdenes[[#This Row],[backlog_dias]]="","",IF(tblOrdenes[[#This Row],[backlog_dias]]&lt;0,"FUTURO",IF(tblOrdenes[[#This Row],[backlog_dias]]&gt;p_dias_backlog_max,"BACKLOG","MES CORRIENTE")))</f>
        <v/>
      </c>
      <c r="AB472" s="3">
        <f>IF(tblOrdenes[[#This Row],[backlog_dias]]="",FALSE,AND(tblOrdenes[[#This Row],[backlog_dias]]&gt;p_dias_backlog_min,tblOrdenes[[#This Row],[backlog_dias]]&lt;=p_dias_backlog_max))</f>
        <v/>
      </c>
      <c r="AC472" s="6" t="n"/>
      <c r="AD4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72" s="10">
        <f>IF(tblOrdenes[[#This Row],[orden]]="","",_xlfn.XLOOKUP(tblOrdenes[[#This Row],[id_operacion]],tblEjecucion[id_operacion],tblEjecucion[precio],0))</f>
        <v/>
      </c>
      <c r="AH472" s="10">
        <f>IF(tblOrdenes[[#This Row],[orden]]="","",MAX(0,_xlfn.XLOOKUP(tblOrdenes[[#This Row],[id_operacion]],tblEjecucion[id_operacion],tblEjecucion[costo_plan_total],0)-tblOrdenes[[#This Row],[costo_servicio]]))</f>
        <v/>
      </c>
      <c r="AI472" s="10">
        <f>IF(tblOrdenes[[#This Row],[orden]]="","",tblOrdenes[[#This Row],[costo_servicio]]+tblOrdenes[[#This Row],[costo_materiales]])</f>
        <v/>
      </c>
      <c r="AJ472" s="6" t="n"/>
      <c r="AK472" s="6" t="n"/>
      <c r="AL472" s="6" t="n"/>
      <c r="AM472" s="3">
        <f>IF(tblOrdenes[[#This Row],[link_checklist]]="","",HYPERLINK(p_ruta_base_checklists&amp;tblOrdenes[[#This Row],[link_checklist]],"abrir"))</f>
        <v/>
      </c>
      <c r="AN472" s="6" t="n"/>
      <c r="AO472" s="3">
        <f>IF(tblOrdenes[[#This Row],[orden]]="","",tblOrdenes[[#This Row],[orden]]&amp;IF(tblOrdenes[[#This Row],[operacion]]="","0010",tblOrdenes[[#This Row],[operacion]]))</f>
        <v/>
      </c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11" t="n"/>
      <c r="K473" s="3" t="n"/>
      <c r="L473" s="10" t="n"/>
      <c r="M473" s="6" t="n"/>
      <c r="N4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73" s="3">
        <f>IF(tblOrdenes[[#This Row],[fecha_inicio]]="","",YEAR(tblOrdenes[[#This Row],[fecha_inicio]]))</f>
        <v/>
      </c>
      <c r="R473" s="3">
        <f>IF(tblOrdenes[[#This Row],[fecha_inicio]]="","",MONTH(tblOrdenes[[#This Row],[fecha_inicio]]))</f>
        <v/>
      </c>
      <c r="S473" s="3">
        <f>IF(tblOrdenes[[#This Row],[fecha_inicio]]="","",INDEX(lista_dias,WEEKDAY(tblOrdenes[[#This Row],[fecha_inicio]],2)))</f>
        <v/>
      </c>
      <c r="T473" s="3">
        <f>IF(tblOrdenes[[#This Row],[tipo_ot]]="","",_xlfn.XLOOKUP(tblOrdenes[[#This Row],[tipo_ot]],tblTiposOT[codigo],tblTiposOT[clasificacion],"sin_clasificar"))</f>
        <v/>
      </c>
      <c r="U473" s="3">
        <f>IF(tblOrdenes[[#This Row],[centro_costo]]="","",_xlfn.XLOOKUP(tblOrdenes[[#This Row],[centro_costo]],tblCECO[codigo],tblCECO[linea],"(sin catálogo)"))</f>
        <v/>
      </c>
      <c r="V473" s="3">
        <f>IF(tblOrdenes[[#This Row],[centro_costo]]="","",_xlfn.XLOOKUP(tblOrdenes[[#This Row],[centro_costo]],tblCECO[codigo],tblCECO[area],"(sin catálogo)"))</f>
        <v/>
      </c>
      <c r="W473" s="3">
        <f>IF(tblOrdenes[[#This Row],[centro_costo]]="","",_xlfn.XLOOKUP(tblOrdenes[[#This Row],[centro_costo]],tblCECO[codigo],tblCECO[coordinador],"(sin catálogo)"))</f>
        <v/>
      </c>
      <c r="X473" s="3">
        <f>IF(tblOrdenes[[#This Row],[puesto_trabajo]]="","",_xlfn.XLOOKUP(tblOrdenes[[#This Row],[puesto_trabajo]],tblPuestos[codigo],tblPuestos[especialidad],"(sin catálogo)"))</f>
        <v/>
      </c>
      <c r="Y473" s="3">
        <f>IF(tblOrdenes[[#This Row],[cod_actividad]]="","",_xlfn.XLOOKUP(tblOrdenes[[#This Row],[cod_actividad]],tblActividades[codigo],tblActividades[descripcion],"(sin catálogo)"))</f>
        <v/>
      </c>
      <c r="Z473" s="12">
        <f>IF(tblOrdenes[[#This Row],[fecha_inicio]]="","",TODAY()-tblOrdenes[[#This Row],[fecha_inicio]])</f>
        <v/>
      </c>
      <c r="AA473" s="3">
        <f>IF(tblOrdenes[[#This Row],[backlog_dias]]="","",IF(tblOrdenes[[#This Row],[backlog_dias]]&lt;0,"FUTURO",IF(tblOrdenes[[#This Row],[backlog_dias]]&gt;p_dias_backlog_max,"BACKLOG","MES CORRIENTE")))</f>
        <v/>
      </c>
      <c r="AB473" s="3">
        <f>IF(tblOrdenes[[#This Row],[backlog_dias]]="",FALSE,AND(tblOrdenes[[#This Row],[backlog_dias]]&gt;p_dias_backlog_min,tblOrdenes[[#This Row],[backlog_dias]]&lt;=p_dias_backlog_max))</f>
        <v/>
      </c>
      <c r="AC473" s="6" t="n"/>
      <c r="AD4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73" s="10">
        <f>IF(tblOrdenes[[#This Row],[orden]]="","",_xlfn.XLOOKUP(tblOrdenes[[#This Row],[id_operacion]],tblEjecucion[id_operacion],tblEjecucion[precio],0))</f>
        <v/>
      </c>
      <c r="AH473" s="10">
        <f>IF(tblOrdenes[[#This Row],[orden]]="","",MAX(0,_xlfn.XLOOKUP(tblOrdenes[[#This Row],[id_operacion]],tblEjecucion[id_operacion],tblEjecucion[costo_plan_total],0)-tblOrdenes[[#This Row],[costo_servicio]]))</f>
        <v/>
      </c>
      <c r="AI473" s="10">
        <f>IF(tblOrdenes[[#This Row],[orden]]="","",tblOrdenes[[#This Row],[costo_servicio]]+tblOrdenes[[#This Row],[costo_materiales]])</f>
        <v/>
      </c>
      <c r="AJ473" s="6" t="n"/>
      <c r="AK473" s="6" t="n"/>
      <c r="AL473" s="6" t="n"/>
      <c r="AM473" s="3">
        <f>IF(tblOrdenes[[#This Row],[link_checklist]]="","",HYPERLINK(p_ruta_base_checklists&amp;tblOrdenes[[#This Row],[link_checklist]],"abrir"))</f>
        <v/>
      </c>
      <c r="AN473" s="6" t="n"/>
      <c r="AO473" s="3">
        <f>IF(tblOrdenes[[#This Row],[orden]]="","",tblOrdenes[[#This Row],[orden]]&amp;IF(tblOrdenes[[#This Row],[operacion]]="","0010",tblOrdenes[[#This Row],[operacion]]))</f>
        <v/>
      </c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11" t="n"/>
      <c r="K474" s="3" t="n"/>
      <c r="L474" s="10" t="n"/>
      <c r="M474" s="6" t="n"/>
      <c r="N4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74" s="3">
        <f>IF(tblOrdenes[[#This Row],[fecha_inicio]]="","",YEAR(tblOrdenes[[#This Row],[fecha_inicio]]))</f>
        <v/>
      </c>
      <c r="R474" s="3">
        <f>IF(tblOrdenes[[#This Row],[fecha_inicio]]="","",MONTH(tblOrdenes[[#This Row],[fecha_inicio]]))</f>
        <v/>
      </c>
      <c r="S474" s="3">
        <f>IF(tblOrdenes[[#This Row],[fecha_inicio]]="","",INDEX(lista_dias,WEEKDAY(tblOrdenes[[#This Row],[fecha_inicio]],2)))</f>
        <v/>
      </c>
      <c r="T474" s="3">
        <f>IF(tblOrdenes[[#This Row],[tipo_ot]]="","",_xlfn.XLOOKUP(tblOrdenes[[#This Row],[tipo_ot]],tblTiposOT[codigo],tblTiposOT[clasificacion],"sin_clasificar"))</f>
        <v/>
      </c>
      <c r="U474" s="3">
        <f>IF(tblOrdenes[[#This Row],[centro_costo]]="","",_xlfn.XLOOKUP(tblOrdenes[[#This Row],[centro_costo]],tblCECO[codigo],tblCECO[linea],"(sin catálogo)"))</f>
        <v/>
      </c>
      <c r="V474" s="3">
        <f>IF(tblOrdenes[[#This Row],[centro_costo]]="","",_xlfn.XLOOKUP(tblOrdenes[[#This Row],[centro_costo]],tblCECO[codigo],tblCECO[area],"(sin catálogo)"))</f>
        <v/>
      </c>
      <c r="W474" s="3">
        <f>IF(tblOrdenes[[#This Row],[centro_costo]]="","",_xlfn.XLOOKUP(tblOrdenes[[#This Row],[centro_costo]],tblCECO[codigo],tblCECO[coordinador],"(sin catálogo)"))</f>
        <v/>
      </c>
      <c r="X474" s="3">
        <f>IF(tblOrdenes[[#This Row],[puesto_trabajo]]="","",_xlfn.XLOOKUP(tblOrdenes[[#This Row],[puesto_trabajo]],tblPuestos[codigo],tblPuestos[especialidad],"(sin catálogo)"))</f>
        <v/>
      </c>
      <c r="Y474" s="3">
        <f>IF(tblOrdenes[[#This Row],[cod_actividad]]="","",_xlfn.XLOOKUP(tblOrdenes[[#This Row],[cod_actividad]],tblActividades[codigo],tblActividades[descripcion],"(sin catálogo)"))</f>
        <v/>
      </c>
      <c r="Z474" s="12">
        <f>IF(tblOrdenes[[#This Row],[fecha_inicio]]="","",TODAY()-tblOrdenes[[#This Row],[fecha_inicio]])</f>
        <v/>
      </c>
      <c r="AA474" s="3">
        <f>IF(tblOrdenes[[#This Row],[backlog_dias]]="","",IF(tblOrdenes[[#This Row],[backlog_dias]]&lt;0,"FUTURO",IF(tblOrdenes[[#This Row],[backlog_dias]]&gt;p_dias_backlog_max,"BACKLOG","MES CORRIENTE")))</f>
        <v/>
      </c>
      <c r="AB474" s="3">
        <f>IF(tblOrdenes[[#This Row],[backlog_dias]]="",FALSE,AND(tblOrdenes[[#This Row],[backlog_dias]]&gt;p_dias_backlog_min,tblOrdenes[[#This Row],[backlog_dias]]&lt;=p_dias_backlog_max))</f>
        <v/>
      </c>
      <c r="AC474" s="6" t="n"/>
      <c r="AD4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74" s="10">
        <f>IF(tblOrdenes[[#This Row],[orden]]="","",_xlfn.XLOOKUP(tblOrdenes[[#This Row],[id_operacion]],tblEjecucion[id_operacion],tblEjecucion[precio],0))</f>
        <v/>
      </c>
      <c r="AH474" s="10">
        <f>IF(tblOrdenes[[#This Row],[orden]]="","",MAX(0,_xlfn.XLOOKUP(tblOrdenes[[#This Row],[id_operacion]],tblEjecucion[id_operacion],tblEjecucion[costo_plan_total],0)-tblOrdenes[[#This Row],[costo_servicio]]))</f>
        <v/>
      </c>
      <c r="AI474" s="10">
        <f>IF(tblOrdenes[[#This Row],[orden]]="","",tblOrdenes[[#This Row],[costo_servicio]]+tblOrdenes[[#This Row],[costo_materiales]])</f>
        <v/>
      </c>
      <c r="AJ474" s="6" t="n"/>
      <c r="AK474" s="6" t="n"/>
      <c r="AL474" s="6" t="n"/>
      <c r="AM474" s="3">
        <f>IF(tblOrdenes[[#This Row],[link_checklist]]="","",HYPERLINK(p_ruta_base_checklists&amp;tblOrdenes[[#This Row],[link_checklist]],"abrir"))</f>
        <v/>
      </c>
      <c r="AN474" s="6" t="n"/>
      <c r="AO474" s="3">
        <f>IF(tblOrdenes[[#This Row],[orden]]="","",tblOrdenes[[#This Row],[orden]]&amp;IF(tblOrdenes[[#This Row],[operacion]]="","0010",tblOrdenes[[#This Row],[operacion]]))</f>
        <v/>
      </c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11" t="n"/>
      <c r="K475" s="3" t="n"/>
      <c r="L475" s="10" t="n"/>
      <c r="M475" s="6" t="n"/>
      <c r="N4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75" s="3">
        <f>IF(tblOrdenes[[#This Row],[fecha_inicio]]="","",YEAR(tblOrdenes[[#This Row],[fecha_inicio]]))</f>
        <v/>
      </c>
      <c r="R475" s="3">
        <f>IF(tblOrdenes[[#This Row],[fecha_inicio]]="","",MONTH(tblOrdenes[[#This Row],[fecha_inicio]]))</f>
        <v/>
      </c>
      <c r="S475" s="3">
        <f>IF(tblOrdenes[[#This Row],[fecha_inicio]]="","",INDEX(lista_dias,WEEKDAY(tblOrdenes[[#This Row],[fecha_inicio]],2)))</f>
        <v/>
      </c>
      <c r="T475" s="3">
        <f>IF(tblOrdenes[[#This Row],[tipo_ot]]="","",_xlfn.XLOOKUP(tblOrdenes[[#This Row],[tipo_ot]],tblTiposOT[codigo],tblTiposOT[clasificacion],"sin_clasificar"))</f>
        <v/>
      </c>
      <c r="U475" s="3">
        <f>IF(tblOrdenes[[#This Row],[centro_costo]]="","",_xlfn.XLOOKUP(tblOrdenes[[#This Row],[centro_costo]],tblCECO[codigo],tblCECO[linea],"(sin catálogo)"))</f>
        <v/>
      </c>
      <c r="V475" s="3">
        <f>IF(tblOrdenes[[#This Row],[centro_costo]]="","",_xlfn.XLOOKUP(tblOrdenes[[#This Row],[centro_costo]],tblCECO[codigo],tblCECO[area],"(sin catálogo)"))</f>
        <v/>
      </c>
      <c r="W475" s="3">
        <f>IF(tblOrdenes[[#This Row],[centro_costo]]="","",_xlfn.XLOOKUP(tblOrdenes[[#This Row],[centro_costo]],tblCECO[codigo],tblCECO[coordinador],"(sin catálogo)"))</f>
        <v/>
      </c>
      <c r="X475" s="3">
        <f>IF(tblOrdenes[[#This Row],[puesto_trabajo]]="","",_xlfn.XLOOKUP(tblOrdenes[[#This Row],[puesto_trabajo]],tblPuestos[codigo],tblPuestos[especialidad],"(sin catálogo)"))</f>
        <v/>
      </c>
      <c r="Y475" s="3">
        <f>IF(tblOrdenes[[#This Row],[cod_actividad]]="","",_xlfn.XLOOKUP(tblOrdenes[[#This Row],[cod_actividad]],tblActividades[codigo],tblActividades[descripcion],"(sin catálogo)"))</f>
        <v/>
      </c>
      <c r="Z475" s="12">
        <f>IF(tblOrdenes[[#This Row],[fecha_inicio]]="","",TODAY()-tblOrdenes[[#This Row],[fecha_inicio]])</f>
        <v/>
      </c>
      <c r="AA475" s="3">
        <f>IF(tblOrdenes[[#This Row],[backlog_dias]]="","",IF(tblOrdenes[[#This Row],[backlog_dias]]&lt;0,"FUTURO",IF(tblOrdenes[[#This Row],[backlog_dias]]&gt;p_dias_backlog_max,"BACKLOG","MES CORRIENTE")))</f>
        <v/>
      </c>
      <c r="AB475" s="3">
        <f>IF(tblOrdenes[[#This Row],[backlog_dias]]="",FALSE,AND(tblOrdenes[[#This Row],[backlog_dias]]&gt;p_dias_backlog_min,tblOrdenes[[#This Row],[backlog_dias]]&lt;=p_dias_backlog_max))</f>
        <v/>
      </c>
      <c r="AC475" s="6" t="n"/>
      <c r="AD4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75" s="10">
        <f>IF(tblOrdenes[[#This Row],[orden]]="","",_xlfn.XLOOKUP(tblOrdenes[[#This Row],[id_operacion]],tblEjecucion[id_operacion],tblEjecucion[precio],0))</f>
        <v/>
      </c>
      <c r="AH475" s="10">
        <f>IF(tblOrdenes[[#This Row],[orden]]="","",MAX(0,_xlfn.XLOOKUP(tblOrdenes[[#This Row],[id_operacion]],tblEjecucion[id_operacion],tblEjecucion[costo_plan_total],0)-tblOrdenes[[#This Row],[costo_servicio]]))</f>
        <v/>
      </c>
      <c r="AI475" s="10">
        <f>IF(tblOrdenes[[#This Row],[orden]]="","",tblOrdenes[[#This Row],[costo_servicio]]+tblOrdenes[[#This Row],[costo_materiales]])</f>
        <v/>
      </c>
      <c r="AJ475" s="6" t="n"/>
      <c r="AK475" s="6" t="n"/>
      <c r="AL475" s="6" t="n"/>
      <c r="AM475" s="3">
        <f>IF(tblOrdenes[[#This Row],[link_checklist]]="","",HYPERLINK(p_ruta_base_checklists&amp;tblOrdenes[[#This Row],[link_checklist]],"abrir"))</f>
        <v/>
      </c>
      <c r="AN475" s="6" t="n"/>
      <c r="AO475" s="3">
        <f>IF(tblOrdenes[[#This Row],[orden]]="","",tblOrdenes[[#This Row],[orden]]&amp;IF(tblOrdenes[[#This Row],[operacion]]="","0010",tblOrdenes[[#This Row],[operacion]]))</f>
        <v/>
      </c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11" t="n"/>
      <c r="K476" s="3" t="n"/>
      <c r="L476" s="10" t="n"/>
      <c r="M476" s="6" t="n"/>
      <c r="N4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76" s="3">
        <f>IF(tblOrdenes[[#This Row],[fecha_inicio]]="","",YEAR(tblOrdenes[[#This Row],[fecha_inicio]]))</f>
        <v/>
      </c>
      <c r="R476" s="3">
        <f>IF(tblOrdenes[[#This Row],[fecha_inicio]]="","",MONTH(tblOrdenes[[#This Row],[fecha_inicio]]))</f>
        <v/>
      </c>
      <c r="S476" s="3">
        <f>IF(tblOrdenes[[#This Row],[fecha_inicio]]="","",INDEX(lista_dias,WEEKDAY(tblOrdenes[[#This Row],[fecha_inicio]],2)))</f>
        <v/>
      </c>
      <c r="T476" s="3">
        <f>IF(tblOrdenes[[#This Row],[tipo_ot]]="","",_xlfn.XLOOKUP(tblOrdenes[[#This Row],[tipo_ot]],tblTiposOT[codigo],tblTiposOT[clasificacion],"sin_clasificar"))</f>
        <v/>
      </c>
      <c r="U476" s="3">
        <f>IF(tblOrdenes[[#This Row],[centro_costo]]="","",_xlfn.XLOOKUP(tblOrdenes[[#This Row],[centro_costo]],tblCECO[codigo],tblCECO[linea],"(sin catálogo)"))</f>
        <v/>
      </c>
      <c r="V476" s="3">
        <f>IF(tblOrdenes[[#This Row],[centro_costo]]="","",_xlfn.XLOOKUP(tblOrdenes[[#This Row],[centro_costo]],tblCECO[codigo],tblCECO[area],"(sin catálogo)"))</f>
        <v/>
      </c>
      <c r="W476" s="3">
        <f>IF(tblOrdenes[[#This Row],[centro_costo]]="","",_xlfn.XLOOKUP(tblOrdenes[[#This Row],[centro_costo]],tblCECO[codigo],tblCECO[coordinador],"(sin catálogo)"))</f>
        <v/>
      </c>
      <c r="X476" s="3">
        <f>IF(tblOrdenes[[#This Row],[puesto_trabajo]]="","",_xlfn.XLOOKUP(tblOrdenes[[#This Row],[puesto_trabajo]],tblPuestos[codigo],tblPuestos[especialidad],"(sin catálogo)"))</f>
        <v/>
      </c>
      <c r="Y476" s="3">
        <f>IF(tblOrdenes[[#This Row],[cod_actividad]]="","",_xlfn.XLOOKUP(tblOrdenes[[#This Row],[cod_actividad]],tblActividades[codigo],tblActividades[descripcion],"(sin catálogo)"))</f>
        <v/>
      </c>
      <c r="Z476" s="12">
        <f>IF(tblOrdenes[[#This Row],[fecha_inicio]]="","",TODAY()-tblOrdenes[[#This Row],[fecha_inicio]])</f>
        <v/>
      </c>
      <c r="AA476" s="3">
        <f>IF(tblOrdenes[[#This Row],[backlog_dias]]="","",IF(tblOrdenes[[#This Row],[backlog_dias]]&lt;0,"FUTURO",IF(tblOrdenes[[#This Row],[backlog_dias]]&gt;p_dias_backlog_max,"BACKLOG","MES CORRIENTE")))</f>
        <v/>
      </c>
      <c r="AB476" s="3">
        <f>IF(tblOrdenes[[#This Row],[backlog_dias]]="",FALSE,AND(tblOrdenes[[#This Row],[backlog_dias]]&gt;p_dias_backlog_min,tblOrdenes[[#This Row],[backlog_dias]]&lt;=p_dias_backlog_max))</f>
        <v/>
      </c>
      <c r="AC476" s="6" t="n"/>
      <c r="AD4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76" s="10">
        <f>IF(tblOrdenes[[#This Row],[orden]]="","",_xlfn.XLOOKUP(tblOrdenes[[#This Row],[id_operacion]],tblEjecucion[id_operacion],tblEjecucion[precio],0))</f>
        <v/>
      </c>
      <c r="AH476" s="10">
        <f>IF(tblOrdenes[[#This Row],[orden]]="","",MAX(0,_xlfn.XLOOKUP(tblOrdenes[[#This Row],[id_operacion]],tblEjecucion[id_operacion],tblEjecucion[costo_plan_total],0)-tblOrdenes[[#This Row],[costo_servicio]]))</f>
        <v/>
      </c>
      <c r="AI476" s="10">
        <f>IF(tblOrdenes[[#This Row],[orden]]="","",tblOrdenes[[#This Row],[costo_servicio]]+tblOrdenes[[#This Row],[costo_materiales]])</f>
        <v/>
      </c>
      <c r="AJ476" s="6" t="n"/>
      <c r="AK476" s="6" t="n"/>
      <c r="AL476" s="6" t="n"/>
      <c r="AM476" s="3">
        <f>IF(tblOrdenes[[#This Row],[link_checklist]]="","",HYPERLINK(p_ruta_base_checklists&amp;tblOrdenes[[#This Row],[link_checklist]],"abrir"))</f>
        <v/>
      </c>
      <c r="AN476" s="6" t="n"/>
      <c r="AO476" s="3">
        <f>IF(tblOrdenes[[#This Row],[orden]]="","",tblOrdenes[[#This Row],[orden]]&amp;IF(tblOrdenes[[#This Row],[operacion]]="","0010",tblOrdenes[[#This Row],[operacion]]))</f>
        <v/>
      </c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11" t="n"/>
      <c r="K477" s="3" t="n"/>
      <c r="L477" s="10" t="n"/>
      <c r="M477" s="6" t="n"/>
      <c r="N4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77" s="3">
        <f>IF(tblOrdenes[[#This Row],[fecha_inicio]]="","",YEAR(tblOrdenes[[#This Row],[fecha_inicio]]))</f>
        <v/>
      </c>
      <c r="R477" s="3">
        <f>IF(tblOrdenes[[#This Row],[fecha_inicio]]="","",MONTH(tblOrdenes[[#This Row],[fecha_inicio]]))</f>
        <v/>
      </c>
      <c r="S477" s="3">
        <f>IF(tblOrdenes[[#This Row],[fecha_inicio]]="","",INDEX(lista_dias,WEEKDAY(tblOrdenes[[#This Row],[fecha_inicio]],2)))</f>
        <v/>
      </c>
      <c r="T477" s="3">
        <f>IF(tblOrdenes[[#This Row],[tipo_ot]]="","",_xlfn.XLOOKUP(tblOrdenes[[#This Row],[tipo_ot]],tblTiposOT[codigo],tblTiposOT[clasificacion],"sin_clasificar"))</f>
        <v/>
      </c>
      <c r="U477" s="3">
        <f>IF(tblOrdenes[[#This Row],[centro_costo]]="","",_xlfn.XLOOKUP(tblOrdenes[[#This Row],[centro_costo]],tblCECO[codigo],tblCECO[linea],"(sin catálogo)"))</f>
        <v/>
      </c>
      <c r="V477" s="3">
        <f>IF(tblOrdenes[[#This Row],[centro_costo]]="","",_xlfn.XLOOKUP(tblOrdenes[[#This Row],[centro_costo]],tblCECO[codigo],tblCECO[area],"(sin catálogo)"))</f>
        <v/>
      </c>
      <c r="W477" s="3">
        <f>IF(tblOrdenes[[#This Row],[centro_costo]]="","",_xlfn.XLOOKUP(tblOrdenes[[#This Row],[centro_costo]],tblCECO[codigo],tblCECO[coordinador],"(sin catálogo)"))</f>
        <v/>
      </c>
      <c r="X477" s="3">
        <f>IF(tblOrdenes[[#This Row],[puesto_trabajo]]="","",_xlfn.XLOOKUP(tblOrdenes[[#This Row],[puesto_trabajo]],tblPuestos[codigo],tblPuestos[especialidad],"(sin catálogo)"))</f>
        <v/>
      </c>
      <c r="Y477" s="3">
        <f>IF(tblOrdenes[[#This Row],[cod_actividad]]="","",_xlfn.XLOOKUP(tblOrdenes[[#This Row],[cod_actividad]],tblActividades[codigo],tblActividades[descripcion],"(sin catálogo)"))</f>
        <v/>
      </c>
      <c r="Z477" s="12">
        <f>IF(tblOrdenes[[#This Row],[fecha_inicio]]="","",TODAY()-tblOrdenes[[#This Row],[fecha_inicio]])</f>
        <v/>
      </c>
      <c r="AA477" s="3">
        <f>IF(tblOrdenes[[#This Row],[backlog_dias]]="","",IF(tblOrdenes[[#This Row],[backlog_dias]]&lt;0,"FUTURO",IF(tblOrdenes[[#This Row],[backlog_dias]]&gt;p_dias_backlog_max,"BACKLOG","MES CORRIENTE")))</f>
        <v/>
      </c>
      <c r="AB477" s="3">
        <f>IF(tblOrdenes[[#This Row],[backlog_dias]]="",FALSE,AND(tblOrdenes[[#This Row],[backlog_dias]]&gt;p_dias_backlog_min,tblOrdenes[[#This Row],[backlog_dias]]&lt;=p_dias_backlog_max))</f>
        <v/>
      </c>
      <c r="AC477" s="6" t="n"/>
      <c r="AD4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77" s="10">
        <f>IF(tblOrdenes[[#This Row],[orden]]="","",_xlfn.XLOOKUP(tblOrdenes[[#This Row],[id_operacion]],tblEjecucion[id_operacion],tblEjecucion[precio],0))</f>
        <v/>
      </c>
      <c r="AH477" s="10">
        <f>IF(tblOrdenes[[#This Row],[orden]]="","",MAX(0,_xlfn.XLOOKUP(tblOrdenes[[#This Row],[id_operacion]],tblEjecucion[id_operacion],tblEjecucion[costo_plan_total],0)-tblOrdenes[[#This Row],[costo_servicio]]))</f>
        <v/>
      </c>
      <c r="AI477" s="10">
        <f>IF(tblOrdenes[[#This Row],[orden]]="","",tblOrdenes[[#This Row],[costo_servicio]]+tblOrdenes[[#This Row],[costo_materiales]])</f>
        <v/>
      </c>
      <c r="AJ477" s="6" t="n"/>
      <c r="AK477" s="6" t="n"/>
      <c r="AL477" s="6" t="n"/>
      <c r="AM477" s="3">
        <f>IF(tblOrdenes[[#This Row],[link_checklist]]="","",HYPERLINK(p_ruta_base_checklists&amp;tblOrdenes[[#This Row],[link_checklist]],"abrir"))</f>
        <v/>
      </c>
      <c r="AN477" s="6" t="n"/>
      <c r="AO477" s="3">
        <f>IF(tblOrdenes[[#This Row],[orden]]="","",tblOrdenes[[#This Row],[orden]]&amp;IF(tblOrdenes[[#This Row],[operacion]]="","0010",tblOrdenes[[#This Row],[operacion]]))</f>
        <v/>
      </c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11" t="n"/>
      <c r="K478" s="3" t="n"/>
      <c r="L478" s="10" t="n"/>
      <c r="M478" s="6" t="n"/>
      <c r="N4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78" s="3">
        <f>IF(tblOrdenes[[#This Row],[fecha_inicio]]="","",YEAR(tblOrdenes[[#This Row],[fecha_inicio]]))</f>
        <v/>
      </c>
      <c r="R478" s="3">
        <f>IF(tblOrdenes[[#This Row],[fecha_inicio]]="","",MONTH(tblOrdenes[[#This Row],[fecha_inicio]]))</f>
        <v/>
      </c>
      <c r="S478" s="3">
        <f>IF(tblOrdenes[[#This Row],[fecha_inicio]]="","",INDEX(lista_dias,WEEKDAY(tblOrdenes[[#This Row],[fecha_inicio]],2)))</f>
        <v/>
      </c>
      <c r="T478" s="3">
        <f>IF(tblOrdenes[[#This Row],[tipo_ot]]="","",_xlfn.XLOOKUP(tblOrdenes[[#This Row],[tipo_ot]],tblTiposOT[codigo],tblTiposOT[clasificacion],"sin_clasificar"))</f>
        <v/>
      </c>
      <c r="U478" s="3">
        <f>IF(tblOrdenes[[#This Row],[centro_costo]]="","",_xlfn.XLOOKUP(tblOrdenes[[#This Row],[centro_costo]],tblCECO[codigo],tblCECO[linea],"(sin catálogo)"))</f>
        <v/>
      </c>
      <c r="V478" s="3">
        <f>IF(tblOrdenes[[#This Row],[centro_costo]]="","",_xlfn.XLOOKUP(tblOrdenes[[#This Row],[centro_costo]],tblCECO[codigo],tblCECO[area],"(sin catálogo)"))</f>
        <v/>
      </c>
      <c r="W478" s="3">
        <f>IF(tblOrdenes[[#This Row],[centro_costo]]="","",_xlfn.XLOOKUP(tblOrdenes[[#This Row],[centro_costo]],tblCECO[codigo],tblCECO[coordinador],"(sin catálogo)"))</f>
        <v/>
      </c>
      <c r="X478" s="3">
        <f>IF(tblOrdenes[[#This Row],[puesto_trabajo]]="","",_xlfn.XLOOKUP(tblOrdenes[[#This Row],[puesto_trabajo]],tblPuestos[codigo],tblPuestos[especialidad],"(sin catálogo)"))</f>
        <v/>
      </c>
      <c r="Y478" s="3">
        <f>IF(tblOrdenes[[#This Row],[cod_actividad]]="","",_xlfn.XLOOKUP(tblOrdenes[[#This Row],[cod_actividad]],tblActividades[codigo],tblActividades[descripcion],"(sin catálogo)"))</f>
        <v/>
      </c>
      <c r="Z478" s="12">
        <f>IF(tblOrdenes[[#This Row],[fecha_inicio]]="","",TODAY()-tblOrdenes[[#This Row],[fecha_inicio]])</f>
        <v/>
      </c>
      <c r="AA478" s="3">
        <f>IF(tblOrdenes[[#This Row],[backlog_dias]]="","",IF(tblOrdenes[[#This Row],[backlog_dias]]&lt;0,"FUTURO",IF(tblOrdenes[[#This Row],[backlog_dias]]&gt;p_dias_backlog_max,"BACKLOG","MES CORRIENTE")))</f>
        <v/>
      </c>
      <c r="AB478" s="3">
        <f>IF(tblOrdenes[[#This Row],[backlog_dias]]="",FALSE,AND(tblOrdenes[[#This Row],[backlog_dias]]&gt;p_dias_backlog_min,tblOrdenes[[#This Row],[backlog_dias]]&lt;=p_dias_backlog_max))</f>
        <v/>
      </c>
      <c r="AC478" s="6" t="n"/>
      <c r="AD4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78" s="10">
        <f>IF(tblOrdenes[[#This Row],[orden]]="","",_xlfn.XLOOKUP(tblOrdenes[[#This Row],[id_operacion]],tblEjecucion[id_operacion],tblEjecucion[precio],0))</f>
        <v/>
      </c>
      <c r="AH478" s="10">
        <f>IF(tblOrdenes[[#This Row],[orden]]="","",MAX(0,_xlfn.XLOOKUP(tblOrdenes[[#This Row],[id_operacion]],tblEjecucion[id_operacion],tblEjecucion[costo_plan_total],0)-tblOrdenes[[#This Row],[costo_servicio]]))</f>
        <v/>
      </c>
      <c r="AI478" s="10">
        <f>IF(tblOrdenes[[#This Row],[orden]]="","",tblOrdenes[[#This Row],[costo_servicio]]+tblOrdenes[[#This Row],[costo_materiales]])</f>
        <v/>
      </c>
      <c r="AJ478" s="6" t="n"/>
      <c r="AK478" s="6" t="n"/>
      <c r="AL478" s="6" t="n"/>
      <c r="AM478" s="3">
        <f>IF(tblOrdenes[[#This Row],[link_checklist]]="","",HYPERLINK(p_ruta_base_checklists&amp;tblOrdenes[[#This Row],[link_checklist]],"abrir"))</f>
        <v/>
      </c>
      <c r="AN478" s="6" t="n"/>
      <c r="AO478" s="3">
        <f>IF(tblOrdenes[[#This Row],[orden]]="","",tblOrdenes[[#This Row],[orden]]&amp;IF(tblOrdenes[[#This Row],[operacion]]="","0010",tblOrdenes[[#This Row],[operacion]]))</f>
        <v/>
      </c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11" t="n"/>
      <c r="K479" s="3" t="n"/>
      <c r="L479" s="10" t="n"/>
      <c r="M479" s="6" t="n"/>
      <c r="N4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79" s="3">
        <f>IF(tblOrdenes[[#This Row],[fecha_inicio]]="","",YEAR(tblOrdenes[[#This Row],[fecha_inicio]]))</f>
        <v/>
      </c>
      <c r="R479" s="3">
        <f>IF(tblOrdenes[[#This Row],[fecha_inicio]]="","",MONTH(tblOrdenes[[#This Row],[fecha_inicio]]))</f>
        <v/>
      </c>
      <c r="S479" s="3">
        <f>IF(tblOrdenes[[#This Row],[fecha_inicio]]="","",INDEX(lista_dias,WEEKDAY(tblOrdenes[[#This Row],[fecha_inicio]],2)))</f>
        <v/>
      </c>
      <c r="T479" s="3">
        <f>IF(tblOrdenes[[#This Row],[tipo_ot]]="","",_xlfn.XLOOKUP(tblOrdenes[[#This Row],[tipo_ot]],tblTiposOT[codigo],tblTiposOT[clasificacion],"sin_clasificar"))</f>
        <v/>
      </c>
      <c r="U479" s="3">
        <f>IF(tblOrdenes[[#This Row],[centro_costo]]="","",_xlfn.XLOOKUP(tblOrdenes[[#This Row],[centro_costo]],tblCECO[codigo],tblCECO[linea],"(sin catálogo)"))</f>
        <v/>
      </c>
      <c r="V479" s="3">
        <f>IF(tblOrdenes[[#This Row],[centro_costo]]="","",_xlfn.XLOOKUP(tblOrdenes[[#This Row],[centro_costo]],tblCECO[codigo],tblCECO[area],"(sin catálogo)"))</f>
        <v/>
      </c>
      <c r="W479" s="3">
        <f>IF(tblOrdenes[[#This Row],[centro_costo]]="","",_xlfn.XLOOKUP(tblOrdenes[[#This Row],[centro_costo]],tblCECO[codigo],tblCECO[coordinador],"(sin catálogo)"))</f>
        <v/>
      </c>
      <c r="X479" s="3">
        <f>IF(tblOrdenes[[#This Row],[puesto_trabajo]]="","",_xlfn.XLOOKUP(tblOrdenes[[#This Row],[puesto_trabajo]],tblPuestos[codigo],tblPuestos[especialidad],"(sin catálogo)"))</f>
        <v/>
      </c>
      <c r="Y479" s="3">
        <f>IF(tblOrdenes[[#This Row],[cod_actividad]]="","",_xlfn.XLOOKUP(tblOrdenes[[#This Row],[cod_actividad]],tblActividades[codigo],tblActividades[descripcion],"(sin catálogo)"))</f>
        <v/>
      </c>
      <c r="Z479" s="12">
        <f>IF(tblOrdenes[[#This Row],[fecha_inicio]]="","",TODAY()-tblOrdenes[[#This Row],[fecha_inicio]])</f>
        <v/>
      </c>
      <c r="AA479" s="3">
        <f>IF(tblOrdenes[[#This Row],[backlog_dias]]="","",IF(tblOrdenes[[#This Row],[backlog_dias]]&lt;0,"FUTURO",IF(tblOrdenes[[#This Row],[backlog_dias]]&gt;p_dias_backlog_max,"BACKLOG","MES CORRIENTE")))</f>
        <v/>
      </c>
      <c r="AB479" s="3">
        <f>IF(tblOrdenes[[#This Row],[backlog_dias]]="",FALSE,AND(tblOrdenes[[#This Row],[backlog_dias]]&gt;p_dias_backlog_min,tblOrdenes[[#This Row],[backlog_dias]]&lt;=p_dias_backlog_max))</f>
        <v/>
      </c>
      <c r="AC479" s="6" t="n"/>
      <c r="AD4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79" s="10">
        <f>IF(tblOrdenes[[#This Row],[orden]]="","",_xlfn.XLOOKUP(tblOrdenes[[#This Row],[id_operacion]],tblEjecucion[id_operacion],tblEjecucion[precio],0))</f>
        <v/>
      </c>
      <c r="AH479" s="10">
        <f>IF(tblOrdenes[[#This Row],[orden]]="","",MAX(0,_xlfn.XLOOKUP(tblOrdenes[[#This Row],[id_operacion]],tblEjecucion[id_operacion],tblEjecucion[costo_plan_total],0)-tblOrdenes[[#This Row],[costo_servicio]]))</f>
        <v/>
      </c>
      <c r="AI479" s="10">
        <f>IF(tblOrdenes[[#This Row],[orden]]="","",tblOrdenes[[#This Row],[costo_servicio]]+tblOrdenes[[#This Row],[costo_materiales]])</f>
        <v/>
      </c>
      <c r="AJ479" s="6" t="n"/>
      <c r="AK479" s="6" t="n"/>
      <c r="AL479" s="6" t="n"/>
      <c r="AM479" s="3">
        <f>IF(tblOrdenes[[#This Row],[link_checklist]]="","",HYPERLINK(p_ruta_base_checklists&amp;tblOrdenes[[#This Row],[link_checklist]],"abrir"))</f>
        <v/>
      </c>
      <c r="AN479" s="6" t="n"/>
      <c r="AO479" s="3">
        <f>IF(tblOrdenes[[#This Row],[orden]]="","",tblOrdenes[[#This Row],[orden]]&amp;IF(tblOrdenes[[#This Row],[operacion]]="","0010",tblOrdenes[[#This Row],[operacion]]))</f>
        <v/>
      </c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11" t="n"/>
      <c r="K480" s="3" t="n"/>
      <c r="L480" s="10" t="n"/>
      <c r="M480" s="6" t="n"/>
      <c r="N4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80" s="3">
        <f>IF(tblOrdenes[[#This Row],[fecha_inicio]]="","",YEAR(tblOrdenes[[#This Row],[fecha_inicio]]))</f>
        <v/>
      </c>
      <c r="R480" s="3">
        <f>IF(tblOrdenes[[#This Row],[fecha_inicio]]="","",MONTH(tblOrdenes[[#This Row],[fecha_inicio]]))</f>
        <v/>
      </c>
      <c r="S480" s="3">
        <f>IF(tblOrdenes[[#This Row],[fecha_inicio]]="","",INDEX(lista_dias,WEEKDAY(tblOrdenes[[#This Row],[fecha_inicio]],2)))</f>
        <v/>
      </c>
      <c r="T480" s="3">
        <f>IF(tblOrdenes[[#This Row],[tipo_ot]]="","",_xlfn.XLOOKUP(tblOrdenes[[#This Row],[tipo_ot]],tblTiposOT[codigo],tblTiposOT[clasificacion],"sin_clasificar"))</f>
        <v/>
      </c>
      <c r="U480" s="3">
        <f>IF(tblOrdenes[[#This Row],[centro_costo]]="","",_xlfn.XLOOKUP(tblOrdenes[[#This Row],[centro_costo]],tblCECO[codigo],tblCECO[linea],"(sin catálogo)"))</f>
        <v/>
      </c>
      <c r="V480" s="3">
        <f>IF(tblOrdenes[[#This Row],[centro_costo]]="","",_xlfn.XLOOKUP(tblOrdenes[[#This Row],[centro_costo]],tblCECO[codigo],tblCECO[area],"(sin catálogo)"))</f>
        <v/>
      </c>
      <c r="W480" s="3">
        <f>IF(tblOrdenes[[#This Row],[centro_costo]]="","",_xlfn.XLOOKUP(tblOrdenes[[#This Row],[centro_costo]],tblCECO[codigo],tblCECO[coordinador],"(sin catálogo)"))</f>
        <v/>
      </c>
      <c r="X480" s="3">
        <f>IF(tblOrdenes[[#This Row],[puesto_trabajo]]="","",_xlfn.XLOOKUP(tblOrdenes[[#This Row],[puesto_trabajo]],tblPuestos[codigo],tblPuestos[especialidad],"(sin catálogo)"))</f>
        <v/>
      </c>
      <c r="Y480" s="3">
        <f>IF(tblOrdenes[[#This Row],[cod_actividad]]="","",_xlfn.XLOOKUP(tblOrdenes[[#This Row],[cod_actividad]],tblActividades[codigo],tblActividades[descripcion],"(sin catálogo)"))</f>
        <v/>
      </c>
      <c r="Z480" s="12">
        <f>IF(tblOrdenes[[#This Row],[fecha_inicio]]="","",TODAY()-tblOrdenes[[#This Row],[fecha_inicio]])</f>
        <v/>
      </c>
      <c r="AA480" s="3">
        <f>IF(tblOrdenes[[#This Row],[backlog_dias]]="","",IF(tblOrdenes[[#This Row],[backlog_dias]]&lt;0,"FUTURO",IF(tblOrdenes[[#This Row],[backlog_dias]]&gt;p_dias_backlog_max,"BACKLOG","MES CORRIENTE")))</f>
        <v/>
      </c>
      <c r="AB480" s="3">
        <f>IF(tblOrdenes[[#This Row],[backlog_dias]]="",FALSE,AND(tblOrdenes[[#This Row],[backlog_dias]]&gt;p_dias_backlog_min,tblOrdenes[[#This Row],[backlog_dias]]&lt;=p_dias_backlog_max))</f>
        <v/>
      </c>
      <c r="AC480" s="6" t="n"/>
      <c r="AD4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80" s="10">
        <f>IF(tblOrdenes[[#This Row],[orden]]="","",_xlfn.XLOOKUP(tblOrdenes[[#This Row],[id_operacion]],tblEjecucion[id_operacion],tblEjecucion[precio],0))</f>
        <v/>
      </c>
      <c r="AH480" s="10">
        <f>IF(tblOrdenes[[#This Row],[orden]]="","",MAX(0,_xlfn.XLOOKUP(tblOrdenes[[#This Row],[id_operacion]],tblEjecucion[id_operacion],tblEjecucion[costo_plan_total],0)-tblOrdenes[[#This Row],[costo_servicio]]))</f>
        <v/>
      </c>
      <c r="AI480" s="10">
        <f>IF(tblOrdenes[[#This Row],[orden]]="","",tblOrdenes[[#This Row],[costo_servicio]]+tblOrdenes[[#This Row],[costo_materiales]])</f>
        <v/>
      </c>
      <c r="AJ480" s="6" t="n"/>
      <c r="AK480" s="6" t="n"/>
      <c r="AL480" s="6" t="n"/>
      <c r="AM480" s="3">
        <f>IF(tblOrdenes[[#This Row],[link_checklist]]="","",HYPERLINK(p_ruta_base_checklists&amp;tblOrdenes[[#This Row],[link_checklist]],"abrir"))</f>
        <v/>
      </c>
      <c r="AN480" s="6" t="n"/>
      <c r="AO480" s="3">
        <f>IF(tblOrdenes[[#This Row],[orden]]="","",tblOrdenes[[#This Row],[orden]]&amp;IF(tblOrdenes[[#This Row],[operacion]]="","0010",tblOrdenes[[#This Row],[operacion]]))</f>
        <v/>
      </c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11" t="n"/>
      <c r="K481" s="3" t="n"/>
      <c r="L481" s="10" t="n"/>
      <c r="M481" s="6" t="n"/>
      <c r="N4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81" s="3">
        <f>IF(tblOrdenes[[#This Row],[fecha_inicio]]="","",YEAR(tblOrdenes[[#This Row],[fecha_inicio]]))</f>
        <v/>
      </c>
      <c r="R481" s="3">
        <f>IF(tblOrdenes[[#This Row],[fecha_inicio]]="","",MONTH(tblOrdenes[[#This Row],[fecha_inicio]]))</f>
        <v/>
      </c>
      <c r="S481" s="3">
        <f>IF(tblOrdenes[[#This Row],[fecha_inicio]]="","",INDEX(lista_dias,WEEKDAY(tblOrdenes[[#This Row],[fecha_inicio]],2)))</f>
        <v/>
      </c>
      <c r="T481" s="3">
        <f>IF(tblOrdenes[[#This Row],[tipo_ot]]="","",_xlfn.XLOOKUP(tblOrdenes[[#This Row],[tipo_ot]],tblTiposOT[codigo],tblTiposOT[clasificacion],"sin_clasificar"))</f>
        <v/>
      </c>
      <c r="U481" s="3">
        <f>IF(tblOrdenes[[#This Row],[centro_costo]]="","",_xlfn.XLOOKUP(tblOrdenes[[#This Row],[centro_costo]],tblCECO[codigo],tblCECO[linea],"(sin catálogo)"))</f>
        <v/>
      </c>
      <c r="V481" s="3">
        <f>IF(tblOrdenes[[#This Row],[centro_costo]]="","",_xlfn.XLOOKUP(tblOrdenes[[#This Row],[centro_costo]],tblCECO[codigo],tblCECO[area],"(sin catálogo)"))</f>
        <v/>
      </c>
      <c r="W481" s="3">
        <f>IF(tblOrdenes[[#This Row],[centro_costo]]="","",_xlfn.XLOOKUP(tblOrdenes[[#This Row],[centro_costo]],tblCECO[codigo],tblCECO[coordinador],"(sin catálogo)"))</f>
        <v/>
      </c>
      <c r="X481" s="3">
        <f>IF(tblOrdenes[[#This Row],[puesto_trabajo]]="","",_xlfn.XLOOKUP(tblOrdenes[[#This Row],[puesto_trabajo]],tblPuestos[codigo],tblPuestos[especialidad],"(sin catálogo)"))</f>
        <v/>
      </c>
      <c r="Y481" s="3">
        <f>IF(tblOrdenes[[#This Row],[cod_actividad]]="","",_xlfn.XLOOKUP(tblOrdenes[[#This Row],[cod_actividad]],tblActividades[codigo],tblActividades[descripcion],"(sin catálogo)"))</f>
        <v/>
      </c>
      <c r="Z481" s="12">
        <f>IF(tblOrdenes[[#This Row],[fecha_inicio]]="","",TODAY()-tblOrdenes[[#This Row],[fecha_inicio]])</f>
        <v/>
      </c>
      <c r="AA481" s="3">
        <f>IF(tblOrdenes[[#This Row],[backlog_dias]]="","",IF(tblOrdenes[[#This Row],[backlog_dias]]&lt;0,"FUTURO",IF(tblOrdenes[[#This Row],[backlog_dias]]&gt;p_dias_backlog_max,"BACKLOG","MES CORRIENTE")))</f>
        <v/>
      </c>
      <c r="AB481" s="3">
        <f>IF(tblOrdenes[[#This Row],[backlog_dias]]="",FALSE,AND(tblOrdenes[[#This Row],[backlog_dias]]&gt;p_dias_backlog_min,tblOrdenes[[#This Row],[backlog_dias]]&lt;=p_dias_backlog_max))</f>
        <v/>
      </c>
      <c r="AC481" s="6" t="n"/>
      <c r="AD4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81" s="10">
        <f>IF(tblOrdenes[[#This Row],[orden]]="","",_xlfn.XLOOKUP(tblOrdenes[[#This Row],[id_operacion]],tblEjecucion[id_operacion],tblEjecucion[precio],0))</f>
        <v/>
      </c>
      <c r="AH481" s="10">
        <f>IF(tblOrdenes[[#This Row],[orden]]="","",MAX(0,_xlfn.XLOOKUP(tblOrdenes[[#This Row],[id_operacion]],tblEjecucion[id_operacion],tblEjecucion[costo_plan_total],0)-tblOrdenes[[#This Row],[costo_servicio]]))</f>
        <v/>
      </c>
      <c r="AI481" s="10">
        <f>IF(tblOrdenes[[#This Row],[orden]]="","",tblOrdenes[[#This Row],[costo_servicio]]+tblOrdenes[[#This Row],[costo_materiales]])</f>
        <v/>
      </c>
      <c r="AJ481" s="6" t="n"/>
      <c r="AK481" s="6" t="n"/>
      <c r="AL481" s="6" t="n"/>
      <c r="AM481" s="3">
        <f>IF(tblOrdenes[[#This Row],[link_checklist]]="","",HYPERLINK(p_ruta_base_checklists&amp;tblOrdenes[[#This Row],[link_checklist]],"abrir"))</f>
        <v/>
      </c>
      <c r="AN481" s="6" t="n"/>
      <c r="AO481" s="3">
        <f>IF(tblOrdenes[[#This Row],[orden]]="","",tblOrdenes[[#This Row],[orden]]&amp;IF(tblOrdenes[[#This Row],[operacion]]="","0010",tblOrdenes[[#This Row],[operacion]]))</f>
        <v/>
      </c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11" t="n"/>
      <c r="K482" s="3" t="n"/>
      <c r="L482" s="10" t="n"/>
      <c r="M482" s="6" t="n"/>
      <c r="N4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82" s="3">
        <f>IF(tblOrdenes[[#This Row],[fecha_inicio]]="","",YEAR(tblOrdenes[[#This Row],[fecha_inicio]]))</f>
        <v/>
      </c>
      <c r="R482" s="3">
        <f>IF(tblOrdenes[[#This Row],[fecha_inicio]]="","",MONTH(tblOrdenes[[#This Row],[fecha_inicio]]))</f>
        <v/>
      </c>
      <c r="S482" s="3">
        <f>IF(tblOrdenes[[#This Row],[fecha_inicio]]="","",INDEX(lista_dias,WEEKDAY(tblOrdenes[[#This Row],[fecha_inicio]],2)))</f>
        <v/>
      </c>
      <c r="T482" s="3">
        <f>IF(tblOrdenes[[#This Row],[tipo_ot]]="","",_xlfn.XLOOKUP(tblOrdenes[[#This Row],[tipo_ot]],tblTiposOT[codigo],tblTiposOT[clasificacion],"sin_clasificar"))</f>
        <v/>
      </c>
      <c r="U482" s="3">
        <f>IF(tblOrdenes[[#This Row],[centro_costo]]="","",_xlfn.XLOOKUP(tblOrdenes[[#This Row],[centro_costo]],tblCECO[codigo],tblCECO[linea],"(sin catálogo)"))</f>
        <v/>
      </c>
      <c r="V482" s="3">
        <f>IF(tblOrdenes[[#This Row],[centro_costo]]="","",_xlfn.XLOOKUP(tblOrdenes[[#This Row],[centro_costo]],tblCECO[codigo],tblCECO[area],"(sin catálogo)"))</f>
        <v/>
      </c>
      <c r="W482" s="3">
        <f>IF(tblOrdenes[[#This Row],[centro_costo]]="","",_xlfn.XLOOKUP(tblOrdenes[[#This Row],[centro_costo]],tblCECO[codigo],tblCECO[coordinador],"(sin catálogo)"))</f>
        <v/>
      </c>
      <c r="X482" s="3">
        <f>IF(tblOrdenes[[#This Row],[puesto_trabajo]]="","",_xlfn.XLOOKUP(tblOrdenes[[#This Row],[puesto_trabajo]],tblPuestos[codigo],tblPuestos[especialidad],"(sin catálogo)"))</f>
        <v/>
      </c>
      <c r="Y482" s="3">
        <f>IF(tblOrdenes[[#This Row],[cod_actividad]]="","",_xlfn.XLOOKUP(tblOrdenes[[#This Row],[cod_actividad]],tblActividades[codigo],tblActividades[descripcion],"(sin catálogo)"))</f>
        <v/>
      </c>
      <c r="Z482" s="12">
        <f>IF(tblOrdenes[[#This Row],[fecha_inicio]]="","",TODAY()-tblOrdenes[[#This Row],[fecha_inicio]])</f>
        <v/>
      </c>
      <c r="AA482" s="3">
        <f>IF(tblOrdenes[[#This Row],[backlog_dias]]="","",IF(tblOrdenes[[#This Row],[backlog_dias]]&lt;0,"FUTURO",IF(tblOrdenes[[#This Row],[backlog_dias]]&gt;p_dias_backlog_max,"BACKLOG","MES CORRIENTE")))</f>
        <v/>
      </c>
      <c r="AB482" s="3">
        <f>IF(tblOrdenes[[#This Row],[backlog_dias]]="",FALSE,AND(tblOrdenes[[#This Row],[backlog_dias]]&gt;p_dias_backlog_min,tblOrdenes[[#This Row],[backlog_dias]]&lt;=p_dias_backlog_max))</f>
        <v/>
      </c>
      <c r="AC482" s="6" t="n"/>
      <c r="AD4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82" s="10">
        <f>IF(tblOrdenes[[#This Row],[orden]]="","",_xlfn.XLOOKUP(tblOrdenes[[#This Row],[id_operacion]],tblEjecucion[id_operacion],tblEjecucion[precio],0))</f>
        <v/>
      </c>
      <c r="AH482" s="10">
        <f>IF(tblOrdenes[[#This Row],[orden]]="","",MAX(0,_xlfn.XLOOKUP(tblOrdenes[[#This Row],[id_operacion]],tblEjecucion[id_operacion],tblEjecucion[costo_plan_total],0)-tblOrdenes[[#This Row],[costo_servicio]]))</f>
        <v/>
      </c>
      <c r="AI482" s="10">
        <f>IF(tblOrdenes[[#This Row],[orden]]="","",tblOrdenes[[#This Row],[costo_servicio]]+tblOrdenes[[#This Row],[costo_materiales]])</f>
        <v/>
      </c>
      <c r="AJ482" s="6" t="n"/>
      <c r="AK482" s="6" t="n"/>
      <c r="AL482" s="6" t="n"/>
      <c r="AM482" s="3">
        <f>IF(tblOrdenes[[#This Row],[link_checklist]]="","",HYPERLINK(p_ruta_base_checklists&amp;tblOrdenes[[#This Row],[link_checklist]],"abrir"))</f>
        <v/>
      </c>
      <c r="AN482" s="6" t="n"/>
      <c r="AO482" s="3">
        <f>IF(tblOrdenes[[#This Row],[orden]]="","",tblOrdenes[[#This Row],[orden]]&amp;IF(tblOrdenes[[#This Row],[operacion]]="","0010",tblOrdenes[[#This Row],[operacion]]))</f>
        <v/>
      </c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11" t="n"/>
      <c r="K483" s="3" t="n"/>
      <c r="L483" s="10" t="n"/>
      <c r="M483" s="6" t="n"/>
      <c r="N4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83" s="3">
        <f>IF(tblOrdenes[[#This Row],[fecha_inicio]]="","",YEAR(tblOrdenes[[#This Row],[fecha_inicio]]))</f>
        <v/>
      </c>
      <c r="R483" s="3">
        <f>IF(tblOrdenes[[#This Row],[fecha_inicio]]="","",MONTH(tblOrdenes[[#This Row],[fecha_inicio]]))</f>
        <v/>
      </c>
      <c r="S483" s="3">
        <f>IF(tblOrdenes[[#This Row],[fecha_inicio]]="","",INDEX(lista_dias,WEEKDAY(tblOrdenes[[#This Row],[fecha_inicio]],2)))</f>
        <v/>
      </c>
      <c r="T483" s="3">
        <f>IF(tblOrdenes[[#This Row],[tipo_ot]]="","",_xlfn.XLOOKUP(tblOrdenes[[#This Row],[tipo_ot]],tblTiposOT[codigo],tblTiposOT[clasificacion],"sin_clasificar"))</f>
        <v/>
      </c>
      <c r="U483" s="3">
        <f>IF(tblOrdenes[[#This Row],[centro_costo]]="","",_xlfn.XLOOKUP(tblOrdenes[[#This Row],[centro_costo]],tblCECO[codigo],tblCECO[linea],"(sin catálogo)"))</f>
        <v/>
      </c>
      <c r="V483" s="3">
        <f>IF(tblOrdenes[[#This Row],[centro_costo]]="","",_xlfn.XLOOKUP(tblOrdenes[[#This Row],[centro_costo]],tblCECO[codigo],tblCECO[area],"(sin catálogo)"))</f>
        <v/>
      </c>
      <c r="W483" s="3">
        <f>IF(tblOrdenes[[#This Row],[centro_costo]]="","",_xlfn.XLOOKUP(tblOrdenes[[#This Row],[centro_costo]],tblCECO[codigo],tblCECO[coordinador],"(sin catálogo)"))</f>
        <v/>
      </c>
      <c r="X483" s="3">
        <f>IF(tblOrdenes[[#This Row],[puesto_trabajo]]="","",_xlfn.XLOOKUP(tblOrdenes[[#This Row],[puesto_trabajo]],tblPuestos[codigo],tblPuestos[especialidad],"(sin catálogo)"))</f>
        <v/>
      </c>
      <c r="Y483" s="3">
        <f>IF(tblOrdenes[[#This Row],[cod_actividad]]="","",_xlfn.XLOOKUP(tblOrdenes[[#This Row],[cod_actividad]],tblActividades[codigo],tblActividades[descripcion],"(sin catálogo)"))</f>
        <v/>
      </c>
      <c r="Z483" s="12">
        <f>IF(tblOrdenes[[#This Row],[fecha_inicio]]="","",TODAY()-tblOrdenes[[#This Row],[fecha_inicio]])</f>
        <v/>
      </c>
      <c r="AA483" s="3">
        <f>IF(tblOrdenes[[#This Row],[backlog_dias]]="","",IF(tblOrdenes[[#This Row],[backlog_dias]]&lt;0,"FUTURO",IF(tblOrdenes[[#This Row],[backlog_dias]]&gt;p_dias_backlog_max,"BACKLOG","MES CORRIENTE")))</f>
        <v/>
      </c>
      <c r="AB483" s="3">
        <f>IF(tblOrdenes[[#This Row],[backlog_dias]]="",FALSE,AND(tblOrdenes[[#This Row],[backlog_dias]]&gt;p_dias_backlog_min,tblOrdenes[[#This Row],[backlog_dias]]&lt;=p_dias_backlog_max))</f>
        <v/>
      </c>
      <c r="AC483" s="6" t="n"/>
      <c r="AD4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83" s="10">
        <f>IF(tblOrdenes[[#This Row],[orden]]="","",_xlfn.XLOOKUP(tblOrdenes[[#This Row],[id_operacion]],tblEjecucion[id_operacion],tblEjecucion[precio],0))</f>
        <v/>
      </c>
      <c r="AH483" s="10">
        <f>IF(tblOrdenes[[#This Row],[orden]]="","",MAX(0,_xlfn.XLOOKUP(tblOrdenes[[#This Row],[id_operacion]],tblEjecucion[id_operacion],tblEjecucion[costo_plan_total],0)-tblOrdenes[[#This Row],[costo_servicio]]))</f>
        <v/>
      </c>
      <c r="AI483" s="10">
        <f>IF(tblOrdenes[[#This Row],[orden]]="","",tblOrdenes[[#This Row],[costo_servicio]]+tblOrdenes[[#This Row],[costo_materiales]])</f>
        <v/>
      </c>
      <c r="AJ483" s="6" t="n"/>
      <c r="AK483" s="6" t="n"/>
      <c r="AL483" s="6" t="n"/>
      <c r="AM483" s="3">
        <f>IF(tblOrdenes[[#This Row],[link_checklist]]="","",HYPERLINK(p_ruta_base_checklists&amp;tblOrdenes[[#This Row],[link_checklist]],"abrir"))</f>
        <v/>
      </c>
      <c r="AN483" s="6" t="n"/>
      <c r="AO483" s="3">
        <f>IF(tblOrdenes[[#This Row],[orden]]="","",tblOrdenes[[#This Row],[orden]]&amp;IF(tblOrdenes[[#This Row],[operacion]]="","0010",tblOrdenes[[#This Row],[operacion]]))</f>
        <v/>
      </c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11" t="n"/>
      <c r="K484" s="3" t="n"/>
      <c r="L484" s="10" t="n"/>
      <c r="M484" s="6" t="n"/>
      <c r="N4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84" s="3">
        <f>IF(tblOrdenes[[#This Row],[fecha_inicio]]="","",YEAR(tblOrdenes[[#This Row],[fecha_inicio]]))</f>
        <v/>
      </c>
      <c r="R484" s="3">
        <f>IF(tblOrdenes[[#This Row],[fecha_inicio]]="","",MONTH(tblOrdenes[[#This Row],[fecha_inicio]]))</f>
        <v/>
      </c>
      <c r="S484" s="3">
        <f>IF(tblOrdenes[[#This Row],[fecha_inicio]]="","",INDEX(lista_dias,WEEKDAY(tblOrdenes[[#This Row],[fecha_inicio]],2)))</f>
        <v/>
      </c>
      <c r="T484" s="3">
        <f>IF(tblOrdenes[[#This Row],[tipo_ot]]="","",_xlfn.XLOOKUP(tblOrdenes[[#This Row],[tipo_ot]],tblTiposOT[codigo],tblTiposOT[clasificacion],"sin_clasificar"))</f>
        <v/>
      </c>
      <c r="U484" s="3">
        <f>IF(tblOrdenes[[#This Row],[centro_costo]]="","",_xlfn.XLOOKUP(tblOrdenes[[#This Row],[centro_costo]],tblCECO[codigo],tblCECO[linea],"(sin catálogo)"))</f>
        <v/>
      </c>
      <c r="V484" s="3">
        <f>IF(tblOrdenes[[#This Row],[centro_costo]]="","",_xlfn.XLOOKUP(tblOrdenes[[#This Row],[centro_costo]],tblCECO[codigo],tblCECO[area],"(sin catálogo)"))</f>
        <v/>
      </c>
      <c r="W484" s="3">
        <f>IF(tblOrdenes[[#This Row],[centro_costo]]="","",_xlfn.XLOOKUP(tblOrdenes[[#This Row],[centro_costo]],tblCECO[codigo],tblCECO[coordinador],"(sin catálogo)"))</f>
        <v/>
      </c>
      <c r="X484" s="3">
        <f>IF(tblOrdenes[[#This Row],[puesto_trabajo]]="","",_xlfn.XLOOKUP(tblOrdenes[[#This Row],[puesto_trabajo]],tblPuestos[codigo],tblPuestos[especialidad],"(sin catálogo)"))</f>
        <v/>
      </c>
      <c r="Y484" s="3">
        <f>IF(tblOrdenes[[#This Row],[cod_actividad]]="","",_xlfn.XLOOKUP(tblOrdenes[[#This Row],[cod_actividad]],tblActividades[codigo],tblActividades[descripcion],"(sin catálogo)"))</f>
        <v/>
      </c>
      <c r="Z484" s="12">
        <f>IF(tblOrdenes[[#This Row],[fecha_inicio]]="","",TODAY()-tblOrdenes[[#This Row],[fecha_inicio]])</f>
        <v/>
      </c>
      <c r="AA484" s="3">
        <f>IF(tblOrdenes[[#This Row],[backlog_dias]]="","",IF(tblOrdenes[[#This Row],[backlog_dias]]&lt;0,"FUTURO",IF(tblOrdenes[[#This Row],[backlog_dias]]&gt;p_dias_backlog_max,"BACKLOG","MES CORRIENTE")))</f>
        <v/>
      </c>
      <c r="AB484" s="3">
        <f>IF(tblOrdenes[[#This Row],[backlog_dias]]="",FALSE,AND(tblOrdenes[[#This Row],[backlog_dias]]&gt;p_dias_backlog_min,tblOrdenes[[#This Row],[backlog_dias]]&lt;=p_dias_backlog_max))</f>
        <v/>
      </c>
      <c r="AC484" s="6" t="n"/>
      <c r="AD4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84" s="10">
        <f>IF(tblOrdenes[[#This Row],[orden]]="","",_xlfn.XLOOKUP(tblOrdenes[[#This Row],[id_operacion]],tblEjecucion[id_operacion],tblEjecucion[precio],0))</f>
        <v/>
      </c>
      <c r="AH484" s="10">
        <f>IF(tblOrdenes[[#This Row],[orden]]="","",MAX(0,_xlfn.XLOOKUP(tblOrdenes[[#This Row],[id_operacion]],tblEjecucion[id_operacion],tblEjecucion[costo_plan_total],0)-tblOrdenes[[#This Row],[costo_servicio]]))</f>
        <v/>
      </c>
      <c r="AI484" s="10">
        <f>IF(tblOrdenes[[#This Row],[orden]]="","",tblOrdenes[[#This Row],[costo_servicio]]+tblOrdenes[[#This Row],[costo_materiales]])</f>
        <v/>
      </c>
      <c r="AJ484" s="6" t="n"/>
      <c r="AK484" s="6" t="n"/>
      <c r="AL484" s="6" t="n"/>
      <c r="AM484" s="3">
        <f>IF(tblOrdenes[[#This Row],[link_checklist]]="","",HYPERLINK(p_ruta_base_checklists&amp;tblOrdenes[[#This Row],[link_checklist]],"abrir"))</f>
        <v/>
      </c>
      <c r="AN484" s="6" t="n"/>
      <c r="AO484" s="3">
        <f>IF(tblOrdenes[[#This Row],[orden]]="","",tblOrdenes[[#This Row],[orden]]&amp;IF(tblOrdenes[[#This Row],[operacion]]="","0010",tblOrdenes[[#This Row],[operacion]]))</f>
        <v/>
      </c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11" t="n"/>
      <c r="K485" s="3" t="n"/>
      <c r="L485" s="10" t="n"/>
      <c r="M485" s="6" t="n"/>
      <c r="N4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85" s="3">
        <f>IF(tblOrdenes[[#This Row],[fecha_inicio]]="","",YEAR(tblOrdenes[[#This Row],[fecha_inicio]]))</f>
        <v/>
      </c>
      <c r="R485" s="3">
        <f>IF(tblOrdenes[[#This Row],[fecha_inicio]]="","",MONTH(tblOrdenes[[#This Row],[fecha_inicio]]))</f>
        <v/>
      </c>
      <c r="S485" s="3">
        <f>IF(tblOrdenes[[#This Row],[fecha_inicio]]="","",INDEX(lista_dias,WEEKDAY(tblOrdenes[[#This Row],[fecha_inicio]],2)))</f>
        <v/>
      </c>
      <c r="T485" s="3">
        <f>IF(tblOrdenes[[#This Row],[tipo_ot]]="","",_xlfn.XLOOKUP(tblOrdenes[[#This Row],[tipo_ot]],tblTiposOT[codigo],tblTiposOT[clasificacion],"sin_clasificar"))</f>
        <v/>
      </c>
      <c r="U485" s="3">
        <f>IF(tblOrdenes[[#This Row],[centro_costo]]="","",_xlfn.XLOOKUP(tblOrdenes[[#This Row],[centro_costo]],tblCECO[codigo],tblCECO[linea],"(sin catálogo)"))</f>
        <v/>
      </c>
      <c r="V485" s="3">
        <f>IF(tblOrdenes[[#This Row],[centro_costo]]="","",_xlfn.XLOOKUP(tblOrdenes[[#This Row],[centro_costo]],tblCECO[codigo],tblCECO[area],"(sin catálogo)"))</f>
        <v/>
      </c>
      <c r="W485" s="3">
        <f>IF(tblOrdenes[[#This Row],[centro_costo]]="","",_xlfn.XLOOKUP(tblOrdenes[[#This Row],[centro_costo]],tblCECO[codigo],tblCECO[coordinador],"(sin catálogo)"))</f>
        <v/>
      </c>
      <c r="X485" s="3">
        <f>IF(tblOrdenes[[#This Row],[puesto_trabajo]]="","",_xlfn.XLOOKUP(tblOrdenes[[#This Row],[puesto_trabajo]],tblPuestos[codigo],tblPuestos[especialidad],"(sin catálogo)"))</f>
        <v/>
      </c>
      <c r="Y485" s="3">
        <f>IF(tblOrdenes[[#This Row],[cod_actividad]]="","",_xlfn.XLOOKUP(tblOrdenes[[#This Row],[cod_actividad]],tblActividades[codigo],tblActividades[descripcion],"(sin catálogo)"))</f>
        <v/>
      </c>
      <c r="Z485" s="12">
        <f>IF(tblOrdenes[[#This Row],[fecha_inicio]]="","",TODAY()-tblOrdenes[[#This Row],[fecha_inicio]])</f>
        <v/>
      </c>
      <c r="AA485" s="3">
        <f>IF(tblOrdenes[[#This Row],[backlog_dias]]="","",IF(tblOrdenes[[#This Row],[backlog_dias]]&lt;0,"FUTURO",IF(tblOrdenes[[#This Row],[backlog_dias]]&gt;p_dias_backlog_max,"BACKLOG","MES CORRIENTE")))</f>
        <v/>
      </c>
      <c r="AB485" s="3">
        <f>IF(tblOrdenes[[#This Row],[backlog_dias]]="",FALSE,AND(tblOrdenes[[#This Row],[backlog_dias]]&gt;p_dias_backlog_min,tblOrdenes[[#This Row],[backlog_dias]]&lt;=p_dias_backlog_max))</f>
        <v/>
      </c>
      <c r="AC485" s="6" t="n"/>
      <c r="AD4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85" s="10">
        <f>IF(tblOrdenes[[#This Row],[orden]]="","",_xlfn.XLOOKUP(tblOrdenes[[#This Row],[id_operacion]],tblEjecucion[id_operacion],tblEjecucion[precio],0))</f>
        <v/>
      </c>
      <c r="AH485" s="10">
        <f>IF(tblOrdenes[[#This Row],[orden]]="","",MAX(0,_xlfn.XLOOKUP(tblOrdenes[[#This Row],[id_operacion]],tblEjecucion[id_operacion],tblEjecucion[costo_plan_total],0)-tblOrdenes[[#This Row],[costo_servicio]]))</f>
        <v/>
      </c>
      <c r="AI485" s="10">
        <f>IF(tblOrdenes[[#This Row],[orden]]="","",tblOrdenes[[#This Row],[costo_servicio]]+tblOrdenes[[#This Row],[costo_materiales]])</f>
        <v/>
      </c>
      <c r="AJ485" s="6" t="n"/>
      <c r="AK485" s="6" t="n"/>
      <c r="AL485" s="6" t="n"/>
      <c r="AM485" s="3">
        <f>IF(tblOrdenes[[#This Row],[link_checklist]]="","",HYPERLINK(p_ruta_base_checklists&amp;tblOrdenes[[#This Row],[link_checklist]],"abrir"))</f>
        <v/>
      </c>
      <c r="AN485" s="6" t="n"/>
      <c r="AO485" s="3">
        <f>IF(tblOrdenes[[#This Row],[orden]]="","",tblOrdenes[[#This Row],[orden]]&amp;IF(tblOrdenes[[#This Row],[operacion]]="","0010",tblOrdenes[[#This Row],[operacion]]))</f>
        <v/>
      </c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11" t="n"/>
      <c r="K486" s="3" t="n"/>
      <c r="L486" s="10" t="n"/>
      <c r="M486" s="6" t="n"/>
      <c r="N4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86" s="3">
        <f>IF(tblOrdenes[[#This Row],[fecha_inicio]]="","",YEAR(tblOrdenes[[#This Row],[fecha_inicio]]))</f>
        <v/>
      </c>
      <c r="R486" s="3">
        <f>IF(tblOrdenes[[#This Row],[fecha_inicio]]="","",MONTH(tblOrdenes[[#This Row],[fecha_inicio]]))</f>
        <v/>
      </c>
      <c r="S486" s="3">
        <f>IF(tblOrdenes[[#This Row],[fecha_inicio]]="","",INDEX(lista_dias,WEEKDAY(tblOrdenes[[#This Row],[fecha_inicio]],2)))</f>
        <v/>
      </c>
      <c r="T486" s="3">
        <f>IF(tblOrdenes[[#This Row],[tipo_ot]]="","",_xlfn.XLOOKUP(tblOrdenes[[#This Row],[tipo_ot]],tblTiposOT[codigo],tblTiposOT[clasificacion],"sin_clasificar"))</f>
        <v/>
      </c>
      <c r="U486" s="3">
        <f>IF(tblOrdenes[[#This Row],[centro_costo]]="","",_xlfn.XLOOKUP(tblOrdenes[[#This Row],[centro_costo]],tblCECO[codigo],tblCECO[linea],"(sin catálogo)"))</f>
        <v/>
      </c>
      <c r="V486" s="3">
        <f>IF(tblOrdenes[[#This Row],[centro_costo]]="","",_xlfn.XLOOKUP(tblOrdenes[[#This Row],[centro_costo]],tblCECO[codigo],tblCECO[area],"(sin catálogo)"))</f>
        <v/>
      </c>
      <c r="W486" s="3">
        <f>IF(tblOrdenes[[#This Row],[centro_costo]]="","",_xlfn.XLOOKUP(tblOrdenes[[#This Row],[centro_costo]],tblCECO[codigo],tblCECO[coordinador],"(sin catálogo)"))</f>
        <v/>
      </c>
      <c r="X486" s="3">
        <f>IF(tblOrdenes[[#This Row],[puesto_trabajo]]="","",_xlfn.XLOOKUP(tblOrdenes[[#This Row],[puesto_trabajo]],tblPuestos[codigo],tblPuestos[especialidad],"(sin catálogo)"))</f>
        <v/>
      </c>
      <c r="Y486" s="3">
        <f>IF(tblOrdenes[[#This Row],[cod_actividad]]="","",_xlfn.XLOOKUP(tblOrdenes[[#This Row],[cod_actividad]],tblActividades[codigo],tblActividades[descripcion],"(sin catálogo)"))</f>
        <v/>
      </c>
      <c r="Z486" s="12">
        <f>IF(tblOrdenes[[#This Row],[fecha_inicio]]="","",TODAY()-tblOrdenes[[#This Row],[fecha_inicio]])</f>
        <v/>
      </c>
      <c r="AA486" s="3">
        <f>IF(tblOrdenes[[#This Row],[backlog_dias]]="","",IF(tblOrdenes[[#This Row],[backlog_dias]]&lt;0,"FUTURO",IF(tblOrdenes[[#This Row],[backlog_dias]]&gt;p_dias_backlog_max,"BACKLOG","MES CORRIENTE")))</f>
        <v/>
      </c>
      <c r="AB486" s="3">
        <f>IF(tblOrdenes[[#This Row],[backlog_dias]]="",FALSE,AND(tblOrdenes[[#This Row],[backlog_dias]]&gt;p_dias_backlog_min,tblOrdenes[[#This Row],[backlog_dias]]&lt;=p_dias_backlog_max))</f>
        <v/>
      </c>
      <c r="AC486" s="6" t="n"/>
      <c r="AD4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86" s="10">
        <f>IF(tblOrdenes[[#This Row],[orden]]="","",_xlfn.XLOOKUP(tblOrdenes[[#This Row],[id_operacion]],tblEjecucion[id_operacion],tblEjecucion[precio],0))</f>
        <v/>
      </c>
      <c r="AH486" s="10">
        <f>IF(tblOrdenes[[#This Row],[orden]]="","",MAX(0,_xlfn.XLOOKUP(tblOrdenes[[#This Row],[id_operacion]],tblEjecucion[id_operacion],tblEjecucion[costo_plan_total],0)-tblOrdenes[[#This Row],[costo_servicio]]))</f>
        <v/>
      </c>
      <c r="AI486" s="10">
        <f>IF(tblOrdenes[[#This Row],[orden]]="","",tblOrdenes[[#This Row],[costo_servicio]]+tblOrdenes[[#This Row],[costo_materiales]])</f>
        <v/>
      </c>
      <c r="AJ486" s="6" t="n"/>
      <c r="AK486" s="6" t="n"/>
      <c r="AL486" s="6" t="n"/>
      <c r="AM486" s="3">
        <f>IF(tblOrdenes[[#This Row],[link_checklist]]="","",HYPERLINK(p_ruta_base_checklists&amp;tblOrdenes[[#This Row],[link_checklist]],"abrir"))</f>
        <v/>
      </c>
      <c r="AN486" s="6" t="n"/>
      <c r="AO486" s="3">
        <f>IF(tblOrdenes[[#This Row],[orden]]="","",tblOrdenes[[#This Row],[orden]]&amp;IF(tblOrdenes[[#This Row],[operacion]]="","0010",tblOrdenes[[#This Row],[operacion]]))</f>
        <v/>
      </c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11" t="n"/>
      <c r="K487" s="3" t="n"/>
      <c r="L487" s="10" t="n"/>
      <c r="M487" s="6" t="n"/>
      <c r="N4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87" s="3">
        <f>IF(tblOrdenes[[#This Row],[fecha_inicio]]="","",YEAR(tblOrdenes[[#This Row],[fecha_inicio]]))</f>
        <v/>
      </c>
      <c r="R487" s="3">
        <f>IF(tblOrdenes[[#This Row],[fecha_inicio]]="","",MONTH(tblOrdenes[[#This Row],[fecha_inicio]]))</f>
        <v/>
      </c>
      <c r="S487" s="3">
        <f>IF(tblOrdenes[[#This Row],[fecha_inicio]]="","",INDEX(lista_dias,WEEKDAY(tblOrdenes[[#This Row],[fecha_inicio]],2)))</f>
        <v/>
      </c>
      <c r="T487" s="3">
        <f>IF(tblOrdenes[[#This Row],[tipo_ot]]="","",_xlfn.XLOOKUP(tblOrdenes[[#This Row],[tipo_ot]],tblTiposOT[codigo],tblTiposOT[clasificacion],"sin_clasificar"))</f>
        <v/>
      </c>
      <c r="U487" s="3">
        <f>IF(tblOrdenes[[#This Row],[centro_costo]]="","",_xlfn.XLOOKUP(tblOrdenes[[#This Row],[centro_costo]],tblCECO[codigo],tblCECO[linea],"(sin catálogo)"))</f>
        <v/>
      </c>
      <c r="V487" s="3">
        <f>IF(tblOrdenes[[#This Row],[centro_costo]]="","",_xlfn.XLOOKUP(tblOrdenes[[#This Row],[centro_costo]],tblCECO[codigo],tblCECO[area],"(sin catálogo)"))</f>
        <v/>
      </c>
      <c r="W487" s="3">
        <f>IF(tblOrdenes[[#This Row],[centro_costo]]="","",_xlfn.XLOOKUP(tblOrdenes[[#This Row],[centro_costo]],tblCECO[codigo],tblCECO[coordinador],"(sin catálogo)"))</f>
        <v/>
      </c>
      <c r="X487" s="3">
        <f>IF(tblOrdenes[[#This Row],[puesto_trabajo]]="","",_xlfn.XLOOKUP(tblOrdenes[[#This Row],[puesto_trabajo]],tblPuestos[codigo],tblPuestos[especialidad],"(sin catálogo)"))</f>
        <v/>
      </c>
      <c r="Y487" s="3">
        <f>IF(tblOrdenes[[#This Row],[cod_actividad]]="","",_xlfn.XLOOKUP(tblOrdenes[[#This Row],[cod_actividad]],tblActividades[codigo],tblActividades[descripcion],"(sin catálogo)"))</f>
        <v/>
      </c>
      <c r="Z487" s="12">
        <f>IF(tblOrdenes[[#This Row],[fecha_inicio]]="","",TODAY()-tblOrdenes[[#This Row],[fecha_inicio]])</f>
        <v/>
      </c>
      <c r="AA487" s="3">
        <f>IF(tblOrdenes[[#This Row],[backlog_dias]]="","",IF(tblOrdenes[[#This Row],[backlog_dias]]&lt;0,"FUTURO",IF(tblOrdenes[[#This Row],[backlog_dias]]&gt;p_dias_backlog_max,"BACKLOG","MES CORRIENTE")))</f>
        <v/>
      </c>
      <c r="AB487" s="3">
        <f>IF(tblOrdenes[[#This Row],[backlog_dias]]="",FALSE,AND(tblOrdenes[[#This Row],[backlog_dias]]&gt;p_dias_backlog_min,tblOrdenes[[#This Row],[backlog_dias]]&lt;=p_dias_backlog_max))</f>
        <v/>
      </c>
      <c r="AC487" s="6" t="n"/>
      <c r="AD4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87" s="10">
        <f>IF(tblOrdenes[[#This Row],[orden]]="","",_xlfn.XLOOKUP(tblOrdenes[[#This Row],[id_operacion]],tblEjecucion[id_operacion],tblEjecucion[precio],0))</f>
        <v/>
      </c>
      <c r="AH487" s="10">
        <f>IF(tblOrdenes[[#This Row],[orden]]="","",MAX(0,_xlfn.XLOOKUP(tblOrdenes[[#This Row],[id_operacion]],tblEjecucion[id_operacion],tblEjecucion[costo_plan_total],0)-tblOrdenes[[#This Row],[costo_servicio]]))</f>
        <v/>
      </c>
      <c r="AI487" s="10">
        <f>IF(tblOrdenes[[#This Row],[orden]]="","",tblOrdenes[[#This Row],[costo_servicio]]+tblOrdenes[[#This Row],[costo_materiales]])</f>
        <v/>
      </c>
      <c r="AJ487" s="6" t="n"/>
      <c r="AK487" s="6" t="n"/>
      <c r="AL487" s="6" t="n"/>
      <c r="AM487" s="3">
        <f>IF(tblOrdenes[[#This Row],[link_checklist]]="","",HYPERLINK(p_ruta_base_checklists&amp;tblOrdenes[[#This Row],[link_checklist]],"abrir"))</f>
        <v/>
      </c>
      <c r="AN487" s="6" t="n"/>
      <c r="AO487" s="3">
        <f>IF(tblOrdenes[[#This Row],[orden]]="","",tblOrdenes[[#This Row],[orden]]&amp;IF(tblOrdenes[[#This Row],[operacion]]="","0010",tblOrdenes[[#This Row],[operacion]]))</f>
        <v/>
      </c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11" t="n"/>
      <c r="K488" s="3" t="n"/>
      <c r="L488" s="10" t="n"/>
      <c r="M488" s="6" t="n"/>
      <c r="N4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88" s="3">
        <f>IF(tblOrdenes[[#This Row],[fecha_inicio]]="","",YEAR(tblOrdenes[[#This Row],[fecha_inicio]]))</f>
        <v/>
      </c>
      <c r="R488" s="3">
        <f>IF(tblOrdenes[[#This Row],[fecha_inicio]]="","",MONTH(tblOrdenes[[#This Row],[fecha_inicio]]))</f>
        <v/>
      </c>
      <c r="S488" s="3">
        <f>IF(tblOrdenes[[#This Row],[fecha_inicio]]="","",INDEX(lista_dias,WEEKDAY(tblOrdenes[[#This Row],[fecha_inicio]],2)))</f>
        <v/>
      </c>
      <c r="T488" s="3">
        <f>IF(tblOrdenes[[#This Row],[tipo_ot]]="","",_xlfn.XLOOKUP(tblOrdenes[[#This Row],[tipo_ot]],tblTiposOT[codigo],tblTiposOT[clasificacion],"sin_clasificar"))</f>
        <v/>
      </c>
      <c r="U488" s="3">
        <f>IF(tblOrdenes[[#This Row],[centro_costo]]="","",_xlfn.XLOOKUP(tblOrdenes[[#This Row],[centro_costo]],tblCECO[codigo],tblCECO[linea],"(sin catálogo)"))</f>
        <v/>
      </c>
      <c r="V488" s="3">
        <f>IF(tblOrdenes[[#This Row],[centro_costo]]="","",_xlfn.XLOOKUP(tblOrdenes[[#This Row],[centro_costo]],tblCECO[codigo],tblCECO[area],"(sin catálogo)"))</f>
        <v/>
      </c>
      <c r="W488" s="3">
        <f>IF(tblOrdenes[[#This Row],[centro_costo]]="","",_xlfn.XLOOKUP(tblOrdenes[[#This Row],[centro_costo]],tblCECO[codigo],tblCECO[coordinador],"(sin catálogo)"))</f>
        <v/>
      </c>
      <c r="X488" s="3">
        <f>IF(tblOrdenes[[#This Row],[puesto_trabajo]]="","",_xlfn.XLOOKUP(tblOrdenes[[#This Row],[puesto_trabajo]],tblPuestos[codigo],tblPuestos[especialidad],"(sin catálogo)"))</f>
        <v/>
      </c>
      <c r="Y488" s="3">
        <f>IF(tblOrdenes[[#This Row],[cod_actividad]]="","",_xlfn.XLOOKUP(tblOrdenes[[#This Row],[cod_actividad]],tblActividades[codigo],tblActividades[descripcion],"(sin catálogo)"))</f>
        <v/>
      </c>
      <c r="Z488" s="12">
        <f>IF(tblOrdenes[[#This Row],[fecha_inicio]]="","",TODAY()-tblOrdenes[[#This Row],[fecha_inicio]])</f>
        <v/>
      </c>
      <c r="AA488" s="3">
        <f>IF(tblOrdenes[[#This Row],[backlog_dias]]="","",IF(tblOrdenes[[#This Row],[backlog_dias]]&lt;0,"FUTURO",IF(tblOrdenes[[#This Row],[backlog_dias]]&gt;p_dias_backlog_max,"BACKLOG","MES CORRIENTE")))</f>
        <v/>
      </c>
      <c r="AB488" s="3">
        <f>IF(tblOrdenes[[#This Row],[backlog_dias]]="",FALSE,AND(tblOrdenes[[#This Row],[backlog_dias]]&gt;p_dias_backlog_min,tblOrdenes[[#This Row],[backlog_dias]]&lt;=p_dias_backlog_max))</f>
        <v/>
      </c>
      <c r="AC488" s="6" t="n"/>
      <c r="AD4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88" s="10">
        <f>IF(tblOrdenes[[#This Row],[orden]]="","",_xlfn.XLOOKUP(tblOrdenes[[#This Row],[id_operacion]],tblEjecucion[id_operacion],tblEjecucion[precio],0))</f>
        <v/>
      </c>
      <c r="AH488" s="10">
        <f>IF(tblOrdenes[[#This Row],[orden]]="","",MAX(0,_xlfn.XLOOKUP(tblOrdenes[[#This Row],[id_operacion]],tblEjecucion[id_operacion],tblEjecucion[costo_plan_total],0)-tblOrdenes[[#This Row],[costo_servicio]]))</f>
        <v/>
      </c>
      <c r="AI488" s="10">
        <f>IF(tblOrdenes[[#This Row],[orden]]="","",tblOrdenes[[#This Row],[costo_servicio]]+tblOrdenes[[#This Row],[costo_materiales]])</f>
        <v/>
      </c>
      <c r="AJ488" s="6" t="n"/>
      <c r="AK488" s="6" t="n"/>
      <c r="AL488" s="6" t="n"/>
      <c r="AM488" s="3">
        <f>IF(tblOrdenes[[#This Row],[link_checklist]]="","",HYPERLINK(p_ruta_base_checklists&amp;tblOrdenes[[#This Row],[link_checklist]],"abrir"))</f>
        <v/>
      </c>
      <c r="AN488" s="6" t="n"/>
      <c r="AO488" s="3">
        <f>IF(tblOrdenes[[#This Row],[orden]]="","",tblOrdenes[[#This Row],[orden]]&amp;IF(tblOrdenes[[#This Row],[operacion]]="","0010",tblOrdenes[[#This Row],[operacion]]))</f>
        <v/>
      </c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11" t="n"/>
      <c r="K489" s="3" t="n"/>
      <c r="L489" s="10" t="n"/>
      <c r="M489" s="6" t="n"/>
      <c r="N4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89" s="3">
        <f>IF(tblOrdenes[[#This Row],[fecha_inicio]]="","",YEAR(tblOrdenes[[#This Row],[fecha_inicio]]))</f>
        <v/>
      </c>
      <c r="R489" s="3">
        <f>IF(tblOrdenes[[#This Row],[fecha_inicio]]="","",MONTH(tblOrdenes[[#This Row],[fecha_inicio]]))</f>
        <v/>
      </c>
      <c r="S489" s="3">
        <f>IF(tblOrdenes[[#This Row],[fecha_inicio]]="","",INDEX(lista_dias,WEEKDAY(tblOrdenes[[#This Row],[fecha_inicio]],2)))</f>
        <v/>
      </c>
      <c r="T489" s="3">
        <f>IF(tblOrdenes[[#This Row],[tipo_ot]]="","",_xlfn.XLOOKUP(tblOrdenes[[#This Row],[tipo_ot]],tblTiposOT[codigo],tblTiposOT[clasificacion],"sin_clasificar"))</f>
        <v/>
      </c>
      <c r="U489" s="3">
        <f>IF(tblOrdenes[[#This Row],[centro_costo]]="","",_xlfn.XLOOKUP(tblOrdenes[[#This Row],[centro_costo]],tblCECO[codigo],tblCECO[linea],"(sin catálogo)"))</f>
        <v/>
      </c>
      <c r="V489" s="3">
        <f>IF(tblOrdenes[[#This Row],[centro_costo]]="","",_xlfn.XLOOKUP(tblOrdenes[[#This Row],[centro_costo]],tblCECO[codigo],tblCECO[area],"(sin catálogo)"))</f>
        <v/>
      </c>
      <c r="W489" s="3">
        <f>IF(tblOrdenes[[#This Row],[centro_costo]]="","",_xlfn.XLOOKUP(tblOrdenes[[#This Row],[centro_costo]],tblCECO[codigo],tblCECO[coordinador],"(sin catálogo)"))</f>
        <v/>
      </c>
      <c r="X489" s="3">
        <f>IF(tblOrdenes[[#This Row],[puesto_trabajo]]="","",_xlfn.XLOOKUP(tblOrdenes[[#This Row],[puesto_trabajo]],tblPuestos[codigo],tblPuestos[especialidad],"(sin catálogo)"))</f>
        <v/>
      </c>
      <c r="Y489" s="3">
        <f>IF(tblOrdenes[[#This Row],[cod_actividad]]="","",_xlfn.XLOOKUP(tblOrdenes[[#This Row],[cod_actividad]],tblActividades[codigo],tblActividades[descripcion],"(sin catálogo)"))</f>
        <v/>
      </c>
      <c r="Z489" s="12">
        <f>IF(tblOrdenes[[#This Row],[fecha_inicio]]="","",TODAY()-tblOrdenes[[#This Row],[fecha_inicio]])</f>
        <v/>
      </c>
      <c r="AA489" s="3">
        <f>IF(tblOrdenes[[#This Row],[backlog_dias]]="","",IF(tblOrdenes[[#This Row],[backlog_dias]]&lt;0,"FUTURO",IF(tblOrdenes[[#This Row],[backlog_dias]]&gt;p_dias_backlog_max,"BACKLOG","MES CORRIENTE")))</f>
        <v/>
      </c>
      <c r="AB489" s="3">
        <f>IF(tblOrdenes[[#This Row],[backlog_dias]]="",FALSE,AND(tblOrdenes[[#This Row],[backlog_dias]]&gt;p_dias_backlog_min,tblOrdenes[[#This Row],[backlog_dias]]&lt;=p_dias_backlog_max))</f>
        <v/>
      </c>
      <c r="AC489" s="6" t="n"/>
      <c r="AD4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89" s="10">
        <f>IF(tblOrdenes[[#This Row],[orden]]="","",_xlfn.XLOOKUP(tblOrdenes[[#This Row],[id_operacion]],tblEjecucion[id_operacion],tblEjecucion[precio],0))</f>
        <v/>
      </c>
      <c r="AH489" s="10">
        <f>IF(tblOrdenes[[#This Row],[orden]]="","",MAX(0,_xlfn.XLOOKUP(tblOrdenes[[#This Row],[id_operacion]],tblEjecucion[id_operacion],tblEjecucion[costo_plan_total],0)-tblOrdenes[[#This Row],[costo_servicio]]))</f>
        <v/>
      </c>
      <c r="AI489" s="10">
        <f>IF(tblOrdenes[[#This Row],[orden]]="","",tblOrdenes[[#This Row],[costo_servicio]]+tblOrdenes[[#This Row],[costo_materiales]])</f>
        <v/>
      </c>
      <c r="AJ489" s="6" t="n"/>
      <c r="AK489" s="6" t="n"/>
      <c r="AL489" s="6" t="n"/>
      <c r="AM489" s="3">
        <f>IF(tblOrdenes[[#This Row],[link_checklist]]="","",HYPERLINK(p_ruta_base_checklists&amp;tblOrdenes[[#This Row],[link_checklist]],"abrir"))</f>
        <v/>
      </c>
      <c r="AN489" s="6" t="n"/>
      <c r="AO489" s="3">
        <f>IF(tblOrdenes[[#This Row],[orden]]="","",tblOrdenes[[#This Row],[orden]]&amp;IF(tblOrdenes[[#This Row],[operacion]]="","0010",tblOrdenes[[#This Row],[operacion]]))</f>
        <v/>
      </c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11" t="n"/>
      <c r="K490" s="3" t="n"/>
      <c r="L490" s="10" t="n"/>
      <c r="M490" s="6" t="n"/>
      <c r="N4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90" s="3">
        <f>IF(tblOrdenes[[#This Row],[fecha_inicio]]="","",YEAR(tblOrdenes[[#This Row],[fecha_inicio]]))</f>
        <v/>
      </c>
      <c r="R490" s="3">
        <f>IF(tblOrdenes[[#This Row],[fecha_inicio]]="","",MONTH(tblOrdenes[[#This Row],[fecha_inicio]]))</f>
        <v/>
      </c>
      <c r="S490" s="3">
        <f>IF(tblOrdenes[[#This Row],[fecha_inicio]]="","",INDEX(lista_dias,WEEKDAY(tblOrdenes[[#This Row],[fecha_inicio]],2)))</f>
        <v/>
      </c>
      <c r="T490" s="3">
        <f>IF(tblOrdenes[[#This Row],[tipo_ot]]="","",_xlfn.XLOOKUP(tblOrdenes[[#This Row],[tipo_ot]],tblTiposOT[codigo],tblTiposOT[clasificacion],"sin_clasificar"))</f>
        <v/>
      </c>
      <c r="U490" s="3">
        <f>IF(tblOrdenes[[#This Row],[centro_costo]]="","",_xlfn.XLOOKUP(tblOrdenes[[#This Row],[centro_costo]],tblCECO[codigo],tblCECO[linea],"(sin catálogo)"))</f>
        <v/>
      </c>
      <c r="V490" s="3">
        <f>IF(tblOrdenes[[#This Row],[centro_costo]]="","",_xlfn.XLOOKUP(tblOrdenes[[#This Row],[centro_costo]],tblCECO[codigo],tblCECO[area],"(sin catálogo)"))</f>
        <v/>
      </c>
      <c r="W490" s="3">
        <f>IF(tblOrdenes[[#This Row],[centro_costo]]="","",_xlfn.XLOOKUP(tblOrdenes[[#This Row],[centro_costo]],tblCECO[codigo],tblCECO[coordinador],"(sin catálogo)"))</f>
        <v/>
      </c>
      <c r="X490" s="3">
        <f>IF(tblOrdenes[[#This Row],[puesto_trabajo]]="","",_xlfn.XLOOKUP(tblOrdenes[[#This Row],[puesto_trabajo]],tblPuestos[codigo],tblPuestos[especialidad],"(sin catálogo)"))</f>
        <v/>
      </c>
      <c r="Y490" s="3">
        <f>IF(tblOrdenes[[#This Row],[cod_actividad]]="","",_xlfn.XLOOKUP(tblOrdenes[[#This Row],[cod_actividad]],tblActividades[codigo],tblActividades[descripcion],"(sin catálogo)"))</f>
        <v/>
      </c>
      <c r="Z490" s="12">
        <f>IF(tblOrdenes[[#This Row],[fecha_inicio]]="","",TODAY()-tblOrdenes[[#This Row],[fecha_inicio]])</f>
        <v/>
      </c>
      <c r="AA490" s="3">
        <f>IF(tblOrdenes[[#This Row],[backlog_dias]]="","",IF(tblOrdenes[[#This Row],[backlog_dias]]&lt;0,"FUTURO",IF(tblOrdenes[[#This Row],[backlog_dias]]&gt;p_dias_backlog_max,"BACKLOG","MES CORRIENTE")))</f>
        <v/>
      </c>
      <c r="AB490" s="3">
        <f>IF(tblOrdenes[[#This Row],[backlog_dias]]="",FALSE,AND(tblOrdenes[[#This Row],[backlog_dias]]&gt;p_dias_backlog_min,tblOrdenes[[#This Row],[backlog_dias]]&lt;=p_dias_backlog_max))</f>
        <v/>
      </c>
      <c r="AC490" s="6" t="n"/>
      <c r="AD4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90" s="10">
        <f>IF(tblOrdenes[[#This Row],[orden]]="","",_xlfn.XLOOKUP(tblOrdenes[[#This Row],[id_operacion]],tblEjecucion[id_operacion],tblEjecucion[precio],0))</f>
        <v/>
      </c>
      <c r="AH490" s="10">
        <f>IF(tblOrdenes[[#This Row],[orden]]="","",MAX(0,_xlfn.XLOOKUP(tblOrdenes[[#This Row],[id_operacion]],tblEjecucion[id_operacion],tblEjecucion[costo_plan_total],0)-tblOrdenes[[#This Row],[costo_servicio]]))</f>
        <v/>
      </c>
      <c r="AI490" s="10">
        <f>IF(tblOrdenes[[#This Row],[orden]]="","",tblOrdenes[[#This Row],[costo_servicio]]+tblOrdenes[[#This Row],[costo_materiales]])</f>
        <v/>
      </c>
      <c r="AJ490" s="6" t="n"/>
      <c r="AK490" s="6" t="n"/>
      <c r="AL490" s="6" t="n"/>
      <c r="AM490" s="3">
        <f>IF(tblOrdenes[[#This Row],[link_checklist]]="","",HYPERLINK(p_ruta_base_checklists&amp;tblOrdenes[[#This Row],[link_checklist]],"abrir"))</f>
        <v/>
      </c>
      <c r="AN490" s="6" t="n"/>
      <c r="AO490" s="3">
        <f>IF(tblOrdenes[[#This Row],[orden]]="","",tblOrdenes[[#This Row],[orden]]&amp;IF(tblOrdenes[[#This Row],[operacion]]="","0010",tblOrdenes[[#This Row],[operacion]]))</f>
        <v/>
      </c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11" t="n"/>
      <c r="K491" s="3" t="n"/>
      <c r="L491" s="10" t="n"/>
      <c r="M491" s="6" t="n"/>
      <c r="N4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91" s="3">
        <f>IF(tblOrdenes[[#This Row],[fecha_inicio]]="","",YEAR(tblOrdenes[[#This Row],[fecha_inicio]]))</f>
        <v/>
      </c>
      <c r="R491" s="3">
        <f>IF(tblOrdenes[[#This Row],[fecha_inicio]]="","",MONTH(tblOrdenes[[#This Row],[fecha_inicio]]))</f>
        <v/>
      </c>
      <c r="S491" s="3">
        <f>IF(tblOrdenes[[#This Row],[fecha_inicio]]="","",INDEX(lista_dias,WEEKDAY(tblOrdenes[[#This Row],[fecha_inicio]],2)))</f>
        <v/>
      </c>
      <c r="T491" s="3">
        <f>IF(tblOrdenes[[#This Row],[tipo_ot]]="","",_xlfn.XLOOKUP(tblOrdenes[[#This Row],[tipo_ot]],tblTiposOT[codigo],tblTiposOT[clasificacion],"sin_clasificar"))</f>
        <v/>
      </c>
      <c r="U491" s="3">
        <f>IF(tblOrdenes[[#This Row],[centro_costo]]="","",_xlfn.XLOOKUP(tblOrdenes[[#This Row],[centro_costo]],tblCECO[codigo],tblCECO[linea],"(sin catálogo)"))</f>
        <v/>
      </c>
      <c r="V491" s="3">
        <f>IF(tblOrdenes[[#This Row],[centro_costo]]="","",_xlfn.XLOOKUP(tblOrdenes[[#This Row],[centro_costo]],tblCECO[codigo],tblCECO[area],"(sin catálogo)"))</f>
        <v/>
      </c>
      <c r="W491" s="3">
        <f>IF(tblOrdenes[[#This Row],[centro_costo]]="","",_xlfn.XLOOKUP(tblOrdenes[[#This Row],[centro_costo]],tblCECO[codigo],tblCECO[coordinador],"(sin catálogo)"))</f>
        <v/>
      </c>
      <c r="X491" s="3">
        <f>IF(tblOrdenes[[#This Row],[puesto_trabajo]]="","",_xlfn.XLOOKUP(tblOrdenes[[#This Row],[puesto_trabajo]],tblPuestos[codigo],tblPuestos[especialidad],"(sin catálogo)"))</f>
        <v/>
      </c>
      <c r="Y491" s="3">
        <f>IF(tblOrdenes[[#This Row],[cod_actividad]]="","",_xlfn.XLOOKUP(tblOrdenes[[#This Row],[cod_actividad]],tblActividades[codigo],tblActividades[descripcion],"(sin catálogo)"))</f>
        <v/>
      </c>
      <c r="Z491" s="12">
        <f>IF(tblOrdenes[[#This Row],[fecha_inicio]]="","",TODAY()-tblOrdenes[[#This Row],[fecha_inicio]])</f>
        <v/>
      </c>
      <c r="AA491" s="3">
        <f>IF(tblOrdenes[[#This Row],[backlog_dias]]="","",IF(tblOrdenes[[#This Row],[backlog_dias]]&lt;0,"FUTURO",IF(tblOrdenes[[#This Row],[backlog_dias]]&gt;p_dias_backlog_max,"BACKLOG","MES CORRIENTE")))</f>
        <v/>
      </c>
      <c r="AB491" s="3">
        <f>IF(tblOrdenes[[#This Row],[backlog_dias]]="",FALSE,AND(tblOrdenes[[#This Row],[backlog_dias]]&gt;p_dias_backlog_min,tblOrdenes[[#This Row],[backlog_dias]]&lt;=p_dias_backlog_max))</f>
        <v/>
      </c>
      <c r="AC491" s="6" t="n"/>
      <c r="AD4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91" s="10">
        <f>IF(tblOrdenes[[#This Row],[orden]]="","",_xlfn.XLOOKUP(tblOrdenes[[#This Row],[id_operacion]],tblEjecucion[id_operacion],tblEjecucion[precio],0))</f>
        <v/>
      </c>
      <c r="AH491" s="10">
        <f>IF(tblOrdenes[[#This Row],[orden]]="","",MAX(0,_xlfn.XLOOKUP(tblOrdenes[[#This Row],[id_operacion]],tblEjecucion[id_operacion],tblEjecucion[costo_plan_total],0)-tblOrdenes[[#This Row],[costo_servicio]]))</f>
        <v/>
      </c>
      <c r="AI491" s="10">
        <f>IF(tblOrdenes[[#This Row],[orden]]="","",tblOrdenes[[#This Row],[costo_servicio]]+tblOrdenes[[#This Row],[costo_materiales]])</f>
        <v/>
      </c>
      <c r="AJ491" s="6" t="n"/>
      <c r="AK491" s="6" t="n"/>
      <c r="AL491" s="6" t="n"/>
      <c r="AM491" s="3">
        <f>IF(tblOrdenes[[#This Row],[link_checklist]]="","",HYPERLINK(p_ruta_base_checklists&amp;tblOrdenes[[#This Row],[link_checklist]],"abrir"))</f>
        <v/>
      </c>
      <c r="AN491" s="6" t="n"/>
      <c r="AO491" s="3">
        <f>IF(tblOrdenes[[#This Row],[orden]]="","",tblOrdenes[[#This Row],[orden]]&amp;IF(tblOrdenes[[#This Row],[operacion]]="","0010",tblOrdenes[[#This Row],[operacion]]))</f>
        <v/>
      </c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11" t="n"/>
      <c r="K492" s="3" t="n"/>
      <c r="L492" s="10" t="n"/>
      <c r="M492" s="6" t="n"/>
      <c r="N4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92" s="3">
        <f>IF(tblOrdenes[[#This Row],[fecha_inicio]]="","",YEAR(tblOrdenes[[#This Row],[fecha_inicio]]))</f>
        <v/>
      </c>
      <c r="R492" s="3">
        <f>IF(tblOrdenes[[#This Row],[fecha_inicio]]="","",MONTH(tblOrdenes[[#This Row],[fecha_inicio]]))</f>
        <v/>
      </c>
      <c r="S492" s="3">
        <f>IF(tblOrdenes[[#This Row],[fecha_inicio]]="","",INDEX(lista_dias,WEEKDAY(tblOrdenes[[#This Row],[fecha_inicio]],2)))</f>
        <v/>
      </c>
      <c r="T492" s="3">
        <f>IF(tblOrdenes[[#This Row],[tipo_ot]]="","",_xlfn.XLOOKUP(tblOrdenes[[#This Row],[tipo_ot]],tblTiposOT[codigo],tblTiposOT[clasificacion],"sin_clasificar"))</f>
        <v/>
      </c>
      <c r="U492" s="3">
        <f>IF(tblOrdenes[[#This Row],[centro_costo]]="","",_xlfn.XLOOKUP(tblOrdenes[[#This Row],[centro_costo]],tblCECO[codigo],tblCECO[linea],"(sin catálogo)"))</f>
        <v/>
      </c>
      <c r="V492" s="3">
        <f>IF(tblOrdenes[[#This Row],[centro_costo]]="","",_xlfn.XLOOKUP(tblOrdenes[[#This Row],[centro_costo]],tblCECO[codigo],tblCECO[area],"(sin catálogo)"))</f>
        <v/>
      </c>
      <c r="W492" s="3">
        <f>IF(tblOrdenes[[#This Row],[centro_costo]]="","",_xlfn.XLOOKUP(tblOrdenes[[#This Row],[centro_costo]],tblCECO[codigo],tblCECO[coordinador],"(sin catálogo)"))</f>
        <v/>
      </c>
      <c r="X492" s="3">
        <f>IF(tblOrdenes[[#This Row],[puesto_trabajo]]="","",_xlfn.XLOOKUP(tblOrdenes[[#This Row],[puesto_trabajo]],tblPuestos[codigo],tblPuestos[especialidad],"(sin catálogo)"))</f>
        <v/>
      </c>
      <c r="Y492" s="3">
        <f>IF(tblOrdenes[[#This Row],[cod_actividad]]="","",_xlfn.XLOOKUP(tblOrdenes[[#This Row],[cod_actividad]],tblActividades[codigo],tblActividades[descripcion],"(sin catálogo)"))</f>
        <v/>
      </c>
      <c r="Z492" s="12">
        <f>IF(tblOrdenes[[#This Row],[fecha_inicio]]="","",TODAY()-tblOrdenes[[#This Row],[fecha_inicio]])</f>
        <v/>
      </c>
      <c r="AA492" s="3">
        <f>IF(tblOrdenes[[#This Row],[backlog_dias]]="","",IF(tblOrdenes[[#This Row],[backlog_dias]]&lt;0,"FUTURO",IF(tblOrdenes[[#This Row],[backlog_dias]]&gt;p_dias_backlog_max,"BACKLOG","MES CORRIENTE")))</f>
        <v/>
      </c>
      <c r="AB492" s="3">
        <f>IF(tblOrdenes[[#This Row],[backlog_dias]]="",FALSE,AND(tblOrdenes[[#This Row],[backlog_dias]]&gt;p_dias_backlog_min,tblOrdenes[[#This Row],[backlog_dias]]&lt;=p_dias_backlog_max))</f>
        <v/>
      </c>
      <c r="AC492" s="6" t="n"/>
      <c r="AD4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92" s="10">
        <f>IF(tblOrdenes[[#This Row],[orden]]="","",_xlfn.XLOOKUP(tblOrdenes[[#This Row],[id_operacion]],tblEjecucion[id_operacion],tblEjecucion[precio],0))</f>
        <v/>
      </c>
      <c r="AH492" s="10">
        <f>IF(tblOrdenes[[#This Row],[orden]]="","",MAX(0,_xlfn.XLOOKUP(tblOrdenes[[#This Row],[id_operacion]],tblEjecucion[id_operacion],tblEjecucion[costo_plan_total],0)-tblOrdenes[[#This Row],[costo_servicio]]))</f>
        <v/>
      </c>
      <c r="AI492" s="10">
        <f>IF(tblOrdenes[[#This Row],[orden]]="","",tblOrdenes[[#This Row],[costo_servicio]]+tblOrdenes[[#This Row],[costo_materiales]])</f>
        <v/>
      </c>
      <c r="AJ492" s="6" t="n"/>
      <c r="AK492" s="6" t="n"/>
      <c r="AL492" s="6" t="n"/>
      <c r="AM492" s="3">
        <f>IF(tblOrdenes[[#This Row],[link_checklist]]="","",HYPERLINK(p_ruta_base_checklists&amp;tblOrdenes[[#This Row],[link_checklist]],"abrir"))</f>
        <v/>
      </c>
      <c r="AN492" s="6" t="n"/>
      <c r="AO492" s="3">
        <f>IF(tblOrdenes[[#This Row],[orden]]="","",tblOrdenes[[#This Row],[orden]]&amp;IF(tblOrdenes[[#This Row],[operacion]]="","0010",tblOrdenes[[#This Row],[operacion]]))</f>
        <v/>
      </c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11" t="n"/>
      <c r="K493" s="3" t="n"/>
      <c r="L493" s="10" t="n"/>
      <c r="M493" s="6" t="n"/>
      <c r="N4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93" s="3">
        <f>IF(tblOrdenes[[#This Row],[fecha_inicio]]="","",YEAR(tblOrdenes[[#This Row],[fecha_inicio]]))</f>
        <v/>
      </c>
      <c r="R493" s="3">
        <f>IF(tblOrdenes[[#This Row],[fecha_inicio]]="","",MONTH(tblOrdenes[[#This Row],[fecha_inicio]]))</f>
        <v/>
      </c>
      <c r="S493" s="3">
        <f>IF(tblOrdenes[[#This Row],[fecha_inicio]]="","",INDEX(lista_dias,WEEKDAY(tblOrdenes[[#This Row],[fecha_inicio]],2)))</f>
        <v/>
      </c>
      <c r="T493" s="3">
        <f>IF(tblOrdenes[[#This Row],[tipo_ot]]="","",_xlfn.XLOOKUP(tblOrdenes[[#This Row],[tipo_ot]],tblTiposOT[codigo],tblTiposOT[clasificacion],"sin_clasificar"))</f>
        <v/>
      </c>
      <c r="U493" s="3">
        <f>IF(tblOrdenes[[#This Row],[centro_costo]]="","",_xlfn.XLOOKUP(tblOrdenes[[#This Row],[centro_costo]],tblCECO[codigo],tblCECO[linea],"(sin catálogo)"))</f>
        <v/>
      </c>
      <c r="V493" s="3">
        <f>IF(tblOrdenes[[#This Row],[centro_costo]]="","",_xlfn.XLOOKUP(tblOrdenes[[#This Row],[centro_costo]],tblCECO[codigo],tblCECO[area],"(sin catálogo)"))</f>
        <v/>
      </c>
      <c r="W493" s="3">
        <f>IF(tblOrdenes[[#This Row],[centro_costo]]="","",_xlfn.XLOOKUP(tblOrdenes[[#This Row],[centro_costo]],tblCECO[codigo],tblCECO[coordinador],"(sin catálogo)"))</f>
        <v/>
      </c>
      <c r="X493" s="3">
        <f>IF(tblOrdenes[[#This Row],[puesto_trabajo]]="","",_xlfn.XLOOKUP(tblOrdenes[[#This Row],[puesto_trabajo]],tblPuestos[codigo],tblPuestos[especialidad],"(sin catálogo)"))</f>
        <v/>
      </c>
      <c r="Y493" s="3">
        <f>IF(tblOrdenes[[#This Row],[cod_actividad]]="","",_xlfn.XLOOKUP(tblOrdenes[[#This Row],[cod_actividad]],tblActividades[codigo],tblActividades[descripcion],"(sin catálogo)"))</f>
        <v/>
      </c>
      <c r="Z493" s="12">
        <f>IF(tblOrdenes[[#This Row],[fecha_inicio]]="","",TODAY()-tblOrdenes[[#This Row],[fecha_inicio]])</f>
        <v/>
      </c>
      <c r="AA493" s="3">
        <f>IF(tblOrdenes[[#This Row],[backlog_dias]]="","",IF(tblOrdenes[[#This Row],[backlog_dias]]&lt;0,"FUTURO",IF(tblOrdenes[[#This Row],[backlog_dias]]&gt;p_dias_backlog_max,"BACKLOG","MES CORRIENTE")))</f>
        <v/>
      </c>
      <c r="AB493" s="3">
        <f>IF(tblOrdenes[[#This Row],[backlog_dias]]="",FALSE,AND(tblOrdenes[[#This Row],[backlog_dias]]&gt;p_dias_backlog_min,tblOrdenes[[#This Row],[backlog_dias]]&lt;=p_dias_backlog_max))</f>
        <v/>
      </c>
      <c r="AC493" s="6" t="n"/>
      <c r="AD4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93" s="10">
        <f>IF(tblOrdenes[[#This Row],[orden]]="","",_xlfn.XLOOKUP(tblOrdenes[[#This Row],[id_operacion]],tblEjecucion[id_operacion],tblEjecucion[precio],0))</f>
        <v/>
      </c>
      <c r="AH493" s="10">
        <f>IF(tblOrdenes[[#This Row],[orden]]="","",MAX(0,_xlfn.XLOOKUP(tblOrdenes[[#This Row],[id_operacion]],tblEjecucion[id_operacion],tblEjecucion[costo_plan_total],0)-tblOrdenes[[#This Row],[costo_servicio]]))</f>
        <v/>
      </c>
      <c r="AI493" s="10">
        <f>IF(tblOrdenes[[#This Row],[orden]]="","",tblOrdenes[[#This Row],[costo_servicio]]+tblOrdenes[[#This Row],[costo_materiales]])</f>
        <v/>
      </c>
      <c r="AJ493" s="6" t="n"/>
      <c r="AK493" s="6" t="n"/>
      <c r="AL493" s="6" t="n"/>
      <c r="AM493" s="3">
        <f>IF(tblOrdenes[[#This Row],[link_checklist]]="","",HYPERLINK(p_ruta_base_checklists&amp;tblOrdenes[[#This Row],[link_checklist]],"abrir"))</f>
        <v/>
      </c>
      <c r="AN493" s="6" t="n"/>
      <c r="AO493" s="3">
        <f>IF(tblOrdenes[[#This Row],[orden]]="","",tblOrdenes[[#This Row],[orden]]&amp;IF(tblOrdenes[[#This Row],[operacion]]="","0010",tblOrdenes[[#This Row],[operacion]]))</f>
        <v/>
      </c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11" t="n"/>
      <c r="K494" s="3" t="n"/>
      <c r="L494" s="10" t="n"/>
      <c r="M494" s="6" t="n"/>
      <c r="N4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94" s="3">
        <f>IF(tblOrdenes[[#This Row],[fecha_inicio]]="","",YEAR(tblOrdenes[[#This Row],[fecha_inicio]]))</f>
        <v/>
      </c>
      <c r="R494" s="3">
        <f>IF(tblOrdenes[[#This Row],[fecha_inicio]]="","",MONTH(tblOrdenes[[#This Row],[fecha_inicio]]))</f>
        <v/>
      </c>
      <c r="S494" s="3">
        <f>IF(tblOrdenes[[#This Row],[fecha_inicio]]="","",INDEX(lista_dias,WEEKDAY(tblOrdenes[[#This Row],[fecha_inicio]],2)))</f>
        <v/>
      </c>
      <c r="T494" s="3">
        <f>IF(tblOrdenes[[#This Row],[tipo_ot]]="","",_xlfn.XLOOKUP(tblOrdenes[[#This Row],[tipo_ot]],tblTiposOT[codigo],tblTiposOT[clasificacion],"sin_clasificar"))</f>
        <v/>
      </c>
      <c r="U494" s="3">
        <f>IF(tblOrdenes[[#This Row],[centro_costo]]="","",_xlfn.XLOOKUP(tblOrdenes[[#This Row],[centro_costo]],tblCECO[codigo],tblCECO[linea],"(sin catálogo)"))</f>
        <v/>
      </c>
      <c r="V494" s="3">
        <f>IF(tblOrdenes[[#This Row],[centro_costo]]="","",_xlfn.XLOOKUP(tblOrdenes[[#This Row],[centro_costo]],tblCECO[codigo],tblCECO[area],"(sin catálogo)"))</f>
        <v/>
      </c>
      <c r="W494" s="3">
        <f>IF(tblOrdenes[[#This Row],[centro_costo]]="","",_xlfn.XLOOKUP(tblOrdenes[[#This Row],[centro_costo]],tblCECO[codigo],tblCECO[coordinador],"(sin catálogo)"))</f>
        <v/>
      </c>
      <c r="X494" s="3">
        <f>IF(tblOrdenes[[#This Row],[puesto_trabajo]]="","",_xlfn.XLOOKUP(tblOrdenes[[#This Row],[puesto_trabajo]],tblPuestos[codigo],tblPuestos[especialidad],"(sin catálogo)"))</f>
        <v/>
      </c>
      <c r="Y494" s="3">
        <f>IF(tblOrdenes[[#This Row],[cod_actividad]]="","",_xlfn.XLOOKUP(tblOrdenes[[#This Row],[cod_actividad]],tblActividades[codigo],tblActividades[descripcion],"(sin catálogo)"))</f>
        <v/>
      </c>
      <c r="Z494" s="12">
        <f>IF(tblOrdenes[[#This Row],[fecha_inicio]]="","",TODAY()-tblOrdenes[[#This Row],[fecha_inicio]])</f>
        <v/>
      </c>
      <c r="AA494" s="3">
        <f>IF(tblOrdenes[[#This Row],[backlog_dias]]="","",IF(tblOrdenes[[#This Row],[backlog_dias]]&lt;0,"FUTURO",IF(tblOrdenes[[#This Row],[backlog_dias]]&gt;p_dias_backlog_max,"BACKLOG","MES CORRIENTE")))</f>
        <v/>
      </c>
      <c r="AB494" s="3">
        <f>IF(tblOrdenes[[#This Row],[backlog_dias]]="",FALSE,AND(tblOrdenes[[#This Row],[backlog_dias]]&gt;p_dias_backlog_min,tblOrdenes[[#This Row],[backlog_dias]]&lt;=p_dias_backlog_max))</f>
        <v/>
      </c>
      <c r="AC494" s="6" t="n"/>
      <c r="AD4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94" s="10">
        <f>IF(tblOrdenes[[#This Row],[orden]]="","",_xlfn.XLOOKUP(tblOrdenes[[#This Row],[id_operacion]],tblEjecucion[id_operacion],tblEjecucion[precio],0))</f>
        <v/>
      </c>
      <c r="AH494" s="10">
        <f>IF(tblOrdenes[[#This Row],[orden]]="","",MAX(0,_xlfn.XLOOKUP(tblOrdenes[[#This Row],[id_operacion]],tblEjecucion[id_operacion],tblEjecucion[costo_plan_total],0)-tblOrdenes[[#This Row],[costo_servicio]]))</f>
        <v/>
      </c>
      <c r="AI494" s="10">
        <f>IF(tblOrdenes[[#This Row],[orden]]="","",tblOrdenes[[#This Row],[costo_servicio]]+tblOrdenes[[#This Row],[costo_materiales]])</f>
        <v/>
      </c>
      <c r="AJ494" s="6" t="n"/>
      <c r="AK494" s="6" t="n"/>
      <c r="AL494" s="6" t="n"/>
      <c r="AM494" s="3">
        <f>IF(tblOrdenes[[#This Row],[link_checklist]]="","",HYPERLINK(p_ruta_base_checklists&amp;tblOrdenes[[#This Row],[link_checklist]],"abrir"))</f>
        <v/>
      </c>
      <c r="AN494" s="6" t="n"/>
      <c r="AO494" s="3">
        <f>IF(tblOrdenes[[#This Row],[orden]]="","",tblOrdenes[[#This Row],[orden]]&amp;IF(tblOrdenes[[#This Row],[operacion]]="","0010",tblOrdenes[[#This Row],[operacion]]))</f>
        <v/>
      </c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11" t="n"/>
      <c r="K495" s="3" t="n"/>
      <c r="L495" s="10" t="n"/>
      <c r="M495" s="6" t="n"/>
      <c r="N4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95" s="3">
        <f>IF(tblOrdenes[[#This Row],[fecha_inicio]]="","",YEAR(tblOrdenes[[#This Row],[fecha_inicio]]))</f>
        <v/>
      </c>
      <c r="R495" s="3">
        <f>IF(tblOrdenes[[#This Row],[fecha_inicio]]="","",MONTH(tblOrdenes[[#This Row],[fecha_inicio]]))</f>
        <v/>
      </c>
      <c r="S495" s="3">
        <f>IF(tblOrdenes[[#This Row],[fecha_inicio]]="","",INDEX(lista_dias,WEEKDAY(tblOrdenes[[#This Row],[fecha_inicio]],2)))</f>
        <v/>
      </c>
      <c r="T495" s="3">
        <f>IF(tblOrdenes[[#This Row],[tipo_ot]]="","",_xlfn.XLOOKUP(tblOrdenes[[#This Row],[tipo_ot]],tblTiposOT[codigo],tblTiposOT[clasificacion],"sin_clasificar"))</f>
        <v/>
      </c>
      <c r="U495" s="3">
        <f>IF(tblOrdenes[[#This Row],[centro_costo]]="","",_xlfn.XLOOKUP(tblOrdenes[[#This Row],[centro_costo]],tblCECO[codigo],tblCECO[linea],"(sin catálogo)"))</f>
        <v/>
      </c>
      <c r="V495" s="3">
        <f>IF(tblOrdenes[[#This Row],[centro_costo]]="","",_xlfn.XLOOKUP(tblOrdenes[[#This Row],[centro_costo]],tblCECO[codigo],tblCECO[area],"(sin catálogo)"))</f>
        <v/>
      </c>
      <c r="W495" s="3">
        <f>IF(tblOrdenes[[#This Row],[centro_costo]]="","",_xlfn.XLOOKUP(tblOrdenes[[#This Row],[centro_costo]],tblCECO[codigo],tblCECO[coordinador],"(sin catálogo)"))</f>
        <v/>
      </c>
      <c r="X495" s="3">
        <f>IF(tblOrdenes[[#This Row],[puesto_trabajo]]="","",_xlfn.XLOOKUP(tblOrdenes[[#This Row],[puesto_trabajo]],tblPuestos[codigo],tblPuestos[especialidad],"(sin catálogo)"))</f>
        <v/>
      </c>
      <c r="Y495" s="3">
        <f>IF(tblOrdenes[[#This Row],[cod_actividad]]="","",_xlfn.XLOOKUP(tblOrdenes[[#This Row],[cod_actividad]],tblActividades[codigo],tblActividades[descripcion],"(sin catálogo)"))</f>
        <v/>
      </c>
      <c r="Z495" s="12">
        <f>IF(tblOrdenes[[#This Row],[fecha_inicio]]="","",TODAY()-tblOrdenes[[#This Row],[fecha_inicio]])</f>
        <v/>
      </c>
      <c r="AA495" s="3">
        <f>IF(tblOrdenes[[#This Row],[backlog_dias]]="","",IF(tblOrdenes[[#This Row],[backlog_dias]]&lt;0,"FUTURO",IF(tblOrdenes[[#This Row],[backlog_dias]]&gt;p_dias_backlog_max,"BACKLOG","MES CORRIENTE")))</f>
        <v/>
      </c>
      <c r="AB495" s="3">
        <f>IF(tblOrdenes[[#This Row],[backlog_dias]]="",FALSE,AND(tblOrdenes[[#This Row],[backlog_dias]]&gt;p_dias_backlog_min,tblOrdenes[[#This Row],[backlog_dias]]&lt;=p_dias_backlog_max))</f>
        <v/>
      </c>
      <c r="AC495" s="6" t="n"/>
      <c r="AD4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95" s="10">
        <f>IF(tblOrdenes[[#This Row],[orden]]="","",_xlfn.XLOOKUP(tblOrdenes[[#This Row],[id_operacion]],tblEjecucion[id_operacion],tblEjecucion[precio],0))</f>
        <v/>
      </c>
      <c r="AH495" s="10">
        <f>IF(tblOrdenes[[#This Row],[orden]]="","",MAX(0,_xlfn.XLOOKUP(tblOrdenes[[#This Row],[id_operacion]],tblEjecucion[id_operacion],tblEjecucion[costo_plan_total],0)-tblOrdenes[[#This Row],[costo_servicio]]))</f>
        <v/>
      </c>
      <c r="AI495" s="10">
        <f>IF(tblOrdenes[[#This Row],[orden]]="","",tblOrdenes[[#This Row],[costo_servicio]]+tblOrdenes[[#This Row],[costo_materiales]])</f>
        <v/>
      </c>
      <c r="AJ495" s="6" t="n"/>
      <c r="AK495" s="6" t="n"/>
      <c r="AL495" s="6" t="n"/>
      <c r="AM495" s="3">
        <f>IF(tblOrdenes[[#This Row],[link_checklist]]="","",HYPERLINK(p_ruta_base_checklists&amp;tblOrdenes[[#This Row],[link_checklist]],"abrir"))</f>
        <v/>
      </c>
      <c r="AN495" s="6" t="n"/>
      <c r="AO495" s="3">
        <f>IF(tblOrdenes[[#This Row],[orden]]="","",tblOrdenes[[#This Row],[orden]]&amp;IF(tblOrdenes[[#This Row],[operacion]]="","0010",tblOrdenes[[#This Row],[operacion]]))</f>
        <v/>
      </c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11" t="n"/>
      <c r="K496" s="3" t="n"/>
      <c r="L496" s="10" t="n"/>
      <c r="M496" s="6" t="n"/>
      <c r="N4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96" s="3">
        <f>IF(tblOrdenes[[#This Row],[fecha_inicio]]="","",YEAR(tblOrdenes[[#This Row],[fecha_inicio]]))</f>
        <v/>
      </c>
      <c r="R496" s="3">
        <f>IF(tblOrdenes[[#This Row],[fecha_inicio]]="","",MONTH(tblOrdenes[[#This Row],[fecha_inicio]]))</f>
        <v/>
      </c>
      <c r="S496" s="3">
        <f>IF(tblOrdenes[[#This Row],[fecha_inicio]]="","",INDEX(lista_dias,WEEKDAY(tblOrdenes[[#This Row],[fecha_inicio]],2)))</f>
        <v/>
      </c>
      <c r="T496" s="3">
        <f>IF(tblOrdenes[[#This Row],[tipo_ot]]="","",_xlfn.XLOOKUP(tblOrdenes[[#This Row],[tipo_ot]],tblTiposOT[codigo],tblTiposOT[clasificacion],"sin_clasificar"))</f>
        <v/>
      </c>
      <c r="U496" s="3">
        <f>IF(tblOrdenes[[#This Row],[centro_costo]]="","",_xlfn.XLOOKUP(tblOrdenes[[#This Row],[centro_costo]],tblCECO[codigo],tblCECO[linea],"(sin catálogo)"))</f>
        <v/>
      </c>
      <c r="V496" s="3">
        <f>IF(tblOrdenes[[#This Row],[centro_costo]]="","",_xlfn.XLOOKUP(tblOrdenes[[#This Row],[centro_costo]],tblCECO[codigo],tblCECO[area],"(sin catálogo)"))</f>
        <v/>
      </c>
      <c r="W496" s="3">
        <f>IF(tblOrdenes[[#This Row],[centro_costo]]="","",_xlfn.XLOOKUP(tblOrdenes[[#This Row],[centro_costo]],tblCECO[codigo],tblCECO[coordinador],"(sin catálogo)"))</f>
        <v/>
      </c>
      <c r="X496" s="3">
        <f>IF(tblOrdenes[[#This Row],[puesto_trabajo]]="","",_xlfn.XLOOKUP(tblOrdenes[[#This Row],[puesto_trabajo]],tblPuestos[codigo],tblPuestos[especialidad],"(sin catálogo)"))</f>
        <v/>
      </c>
      <c r="Y496" s="3">
        <f>IF(tblOrdenes[[#This Row],[cod_actividad]]="","",_xlfn.XLOOKUP(tblOrdenes[[#This Row],[cod_actividad]],tblActividades[codigo],tblActividades[descripcion],"(sin catálogo)"))</f>
        <v/>
      </c>
      <c r="Z496" s="12">
        <f>IF(tblOrdenes[[#This Row],[fecha_inicio]]="","",TODAY()-tblOrdenes[[#This Row],[fecha_inicio]])</f>
        <v/>
      </c>
      <c r="AA496" s="3">
        <f>IF(tblOrdenes[[#This Row],[backlog_dias]]="","",IF(tblOrdenes[[#This Row],[backlog_dias]]&lt;0,"FUTURO",IF(tblOrdenes[[#This Row],[backlog_dias]]&gt;p_dias_backlog_max,"BACKLOG","MES CORRIENTE")))</f>
        <v/>
      </c>
      <c r="AB496" s="3">
        <f>IF(tblOrdenes[[#This Row],[backlog_dias]]="",FALSE,AND(tblOrdenes[[#This Row],[backlog_dias]]&gt;p_dias_backlog_min,tblOrdenes[[#This Row],[backlog_dias]]&lt;=p_dias_backlog_max))</f>
        <v/>
      </c>
      <c r="AC496" s="6" t="n"/>
      <c r="AD4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96" s="10">
        <f>IF(tblOrdenes[[#This Row],[orden]]="","",_xlfn.XLOOKUP(tblOrdenes[[#This Row],[id_operacion]],tblEjecucion[id_operacion],tblEjecucion[precio],0))</f>
        <v/>
      </c>
      <c r="AH496" s="10">
        <f>IF(tblOrdenes[[#This Row],[orden]]="","",MAX(0,_xlfn.XLOOKUP(tblOrdenes[[#This Row],[id_operacion]],tblEjecucion[id_operacion],tblEjecucion[costo_plan_total],0)-tblOrdenes[[#This Row],[costo_servicio]]))</f>
        <v/>
      </c>
      <c r="AI496" s="10">
        <f>IF(tblOrdenes[[#This Row],[orden]]="","",tblOrdenes[[#This Row],[costo_servicio]]+tblOrdenes[[#This Row],[costo_materiales]])</f>
        <v/>
      </c>
      <c r="AJ496" s="6" t="n"/>
      <c r="AK496" s="6" t="n"/>
      <c r="AL496" s="6" t="n"/>
      <c r="AM496" s="3">
        <f>IF(tblOrdenes[[#This Row],[link_checklist]]="","",HYPERLINK(p_ruta_base_checklists&amp;tblOrdenes[[#This Row],[link_checklist]],"abrir"))</f>
        <v/>
      </c>
      <c r="AN496" s="6" t="n"/>
      <c r="AO496" s="3">
        <f>IF(tblOrdenes[[#This Row],[orden]]="","",tblOrdenes[[#This Row],[orden]]&amp;IF(tblOrdenes[[#This Row],[operacion]]="","0010",tblOrdenes[[#This Row],[operacion]]))</f>
        <v/>
      </c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11" t="n"/>
      <c r="K497" s="3" t="n"/>
      <c r="L497" s="10" t="n"/>
      <c r="M497" s="6" t="n"/>
      <c r="N4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97" s="3">
        <f>IF(tblOrdenes[[#This Row],[fecha_inicio]]="","",YEAR(tblOrdenes[[#This Row],[fecha_inicio]]))</f>
        <v/>
      </c>
      <c r="R497" s="3">
        <f>IF(tblOrdenes[[#This Row],[fecha_inicio]]="","",MONTH(tblOrdenes[[#This Row],[fecha_inicio]]))</f>
        <v/>
      </c>
      <c r="S497" s="3">
        <f>IF(tblOrdenes[[#This Row],[fecha_inicio]]="","",INDEX(lista_dias,WEEKDAY(tblOrdenes[[#This Row],[fecha_inicio]],2)))</f>
        <v/>
      </c>
      <c r="T497" s="3">
        <f>IF(tblOrdenes[[#This Row],[tipo_ot]]="","",_xlfn.XLOOKUP(tblOrdenes[[#This Row],[tipo_ot]],tblTiposOT[codigo],tblTiposOT[clasificacion],"sin_clasificar"))</f>
        <v/>
      </c>
      <c r="U497" s="3">
        <f>IF(tblOrdenes[[#This Row],[centro_costo]]="","",_xlfn.XLOOKUP(tblOrdenes[[#This Row],[centro_costo]],tblCECO[codigo],tblCECO[linea],"(sin catálogo)"))</f>
        <v/>
      </c>
      <c r="V497" s="3">
        <f>IF(tblOrdenes[[#This Row],[centro_costo]]="","",_xlfn.XLOOKUP(tblOrdenes[[#This Row],[centro_costo]],tblCECO[codigo],tblCECO[area],"(sin catálogo)"))</f>
        <v/>
      </c>
      <c r="W497" s="3">
        <f>IF(tblOrdenes[[#This Row],[centro_costo]]="","",_xlfn.XLOOKUP(tblOrdenes[[#This Row],[centro_costo]],tblCECO[codigo],tblCECO[coordinador],"(sin catálogo)"))</f>
        <v/>
      </c>
      <c r="X497" s="3">
        <f>IF(tblOrdenes[[#This Row],[puesto_trabajo]]="","",_xlfn.XLOOKUP(tblOrdenes[[#This Row],[puesto_trabajo]],tblPuestos[codigo],tblPuestos[especialidad],"(sin catálogo)"))</f>
        <v/>
      </c>
      <c r="Y497" s="3">
        <f>IF(tblOrdenes[[#This Row],[cod_actividad]]="","",_xlfn.XLOOKUP(tblOrdenes[[#This Row],[cod_actividad]],tblActividades[codigo],tblActividades[descripcion],"(sin catálogo)"))</f>
        <v/>
      </c>
      <c r="Z497" s="12">
        <f>IF(tblOrdenes[[#This Row],[fecha_inicio]]="","",TODAY()-tblOrdenes[[#This Row],[fecha_inicio]])</f>
        <v/>
      </c>
      <c r="AA497" s="3">
        <f>IF(tblOrdenes[[#This Row],[backlog_dias]]="","",IF(tblOrdenes[[#This Row],[backlog_dias]]&lt;0,"FUTURO",IF(tblOrdenes[[#This Row],[backlog_dias]]&gt;p_dias_backlog_max,"BACKLOG","MES CORRIENTE")))</f>
        <v/>
      </c>
      <c r="AB497" s="3">
        <f>IF(tblOrdenes[[#This Row],[backlog_dias]]="",FALSE,AND(tblOrdenes[[#This Row],[backlog_dias]]&gt;p_dias_backlog_min,tblOrdenes[[#This Row],[backlog_dias]]&lt;=p_dias_backlog_max))</f>
        <v/>
      </c>
      <c r="AC497" s="6" t="n"/>
      <c r="AD4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97" s="10">
        <f>IF(tblOrdenes[[#This Row],[orden]]="","",_xlfn.XLOOKUP(tblOrdenes[[#This Row],[id_operacion]],tblEjecucion[id_operacion],tblEjecucion[precio],0))</f>
        <v/>
      </c>
      <c r="AH497" s="10">
        <f>IF(tblOrdenes[[#This Row],[orden]]="","",MAX(0,_xlfn.XLOOKUP(tblOrdenes[[#This Row],[id_operacion]],tblEjecucion[id_operacion],tblEjecucion[costo_plan_total],0)-tblOrdenes[[#This Row],[costo_servicio]]))</f>
        <v/>
      </c>
      <c r="AI497" s="10">
        <f>IF(tblOrdenes[[#This Row],[orden]]="","",tblOrdenes[[#This Row],[costo_servicio]]+tblOrdenes[[#This Row],[costo_materiales]])</f>
        <v/>
      </c>
      <c r="AJ497" s="6" t="n"/>
      <c r="AK497" s="6" t="n"/>
      <c r="AL497" s="6" t="n"/>
      <c r="AM497" s="3">
        <f>IF(tblOrdenes[[#This Row],[link_checklist]]="","",HYPERLINK(p_ruta_base_checklists&amp;tblOrdenes[[#This Row],[link_checklist]],"abrir"))</f>
        <v/>
      </c>
      <c r="AN497" s="6" t="n"/>
      <c r="AO497" s="3">
        <f>IF(tblOrdenes[[#This Row],[orden]]="","",tblOrdenes[[#This Row],[orden]]&amp;IF(tblOrdenes[[#This Row],[operacion]]="","0010",tblOrdenes[[#This Row],[operacion]]))</f>
        <v/>
      </c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11" t="n"/>
      <c r="K498" s="3" t="n"/>
      <c r="L498" s="10" t="n"/>
      <c r="M498" s="6" t="n"/>
      <c r="N4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98" s="3">
        <f>IF(tblOrdenes[[#This Row],[fecha_inicio]]="","",YEAR(tblOrdenes[[#This Row],[fecha_inicio]]))</f>
        <v/>
      </c>
      <c r="R498" s="3">
        <f>IF(tblOrdenes[[#This Row],[fecha_inicio]]="","",MONTH(tblOrdenes[[#This Row],[fecha_inicio]]))</f>
        <v/>
      </c>
      <c r="S498" s="3">
        <f>IF(tblOrdenes[[#This Row],[fecha_inicio]]="","",INDEX(lista_dias,WEEKDAY(tblOrdenes[[#This Row],[fecha_inicio]],2)))</f>
        <v/>
      </c>
      <c r="T498" s="3">
        <f>IF(tblOrdenes[[#This Row],[tipo_ot]]="","",_xlfn.XLOOKUP(tblOrdenes[[#This Row],[tipo_ot]],tblTiposOT[codigo],tblTiposOT[clasificacion],"sin_clasificar"))</f>
        <v/>
      </c>
      <c r="U498" s="3">
        <f>IF(tblOrdenes[[#This Row],[centro_costo]]="","",_xlfn.XLOOKUP(tblOrdenes[[#This Row],[centro_costo]],tblCECO[codigo],tblCECO[linea],"(sin catálogo)"))</f>
        <v/>
      </c>
      <c r="V498" s="3">
        <f>IF(tblOrdenes[[#This Row],[centro_costo]]="","",_xlfn.XLOOKUP(tblOrdenes[[#This Row],[centro_costo]],tblCECO[codigo],tblCECO[area],"(sin catálogo)"))</f>
        <v/>
      </c>
      <c r="W498" s="3">
        <f>IF(tblOrdenes[[#This Row],[centro_costo]]="","",_xlfn.XLOOKUP(tblOrdenes[[#This Row],[centro_costo]],tblCECO[codigo],tblCECO[coordinador],"(sin catálogo)"))</f>
        <v/>
      </c>
      <c r="X498" s="3">
        <f>IF(tblOrdenes[[#This Row],[puesto_trabajo]]="","",_xlfn.XLOOKUP(tblOrdenes[[#This Row],[puesto_trabajo]],tblPuestos[codigo],tblPuestos[especialidad],"(sin catálogo)"))</f>
        <v/>
      </c>
      <c r="Y498" s="3">
        <f>IF(tblOrdenes[[#This Row],[cod_actividad]]="","",_xlfn.XLOOKUP(tblOrdenes[[#This Row],[cod_actividad]],tblActividades[codigo],tblActividades[descripcion],"(sin catálogo)"))</f>
        <v/>
      </c>
      <c r="Z498" s="12">
        <f>IF(tblOrdenes[[#This Row],[fecha_inicio]]="","",TODAY()-tblOrdenes[[#This Row],[fecha_inicio]])</f>
        <v/>
      </c>
      <c r="AA498" s="3">
        <f>IF(tblOrdenes[[#This Row],[backlog_dias]]="","",IF(tblOrdenes[[#This Row],[backlog_dias]]&lt;0,"FUTURO",IF(tblOrdenes[[#This Row],[backlog_dias]]&gt;p_dias_backlog_max,"BACKLOG","MES CORRIENTE")))</f>
        <v/>
      </c>
      <c r="AB498" s="3">
        <f>IF(tblOrdenes[[#This Row],[backlog_dias]]="",FALSE,AND(tblOrdenes[[#This Row],[backlog_dias]]&gt;p_dias_backlog_min,tblOrdenes[[#This Row],[backlog_dias]]&lt;=p_dias_backlog_max))</f>
        <v/>
      </c>
      <c r="AC498" s="6" t="n"/>
      <c r="AD4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98" s="10">
        <f>IF(tblOrdenes[[#This Row],[orden]]="","",_xlfn.XLOOKUP(tblOrdenes[[#This Row],[id_operacion]],tblEjecucion[id_operacion],tblEjecucion[precio],0))</f>
        <v/>
      </c>
      <c r="AH498" s="10">
        <f>IF(tblOrdenes[[#This Row],[orden]]="","",MAX(0,_xlfn.XLOOKUP(tblOrdenes[[#This Row],[id_operacion]],tblEjecucion[id_operacion],tblEjecucion[costo_plan_total],0)-tblOrdenes[[#This Row],[costo_servicio]]))</f>
        <v/>
      </c>
      <c r="AI498" s="10">
        <f>IF(tblOrdenes[[#This Row],[orden]]="","",tblOrdenes[[#This Row],[costo_servicio]]+tblOrdenes[[#This Row],[costo_materiales]])</f>
        <v/>
      </c>
      <c r="AJ498" s="6" t="n"/>
      <c r="AK498" s="6" t="n"/>
      <c r="AL498" s="6" t="n"/>
      <c r="AM498" s="3">
        <f>IF(tblOrdenes[[#This Row],[link_checklist]]="","",HYPERLINK(p_ruta_base_checklists&amp;tblOrdenes[[#This Row],[link_checklist]],"abrir"))</f>
        <v/>
      </c>
      <c r="AN498" s="6" t="n"/>
      <c r="AO498" s="3">
        <f>IF(tblOrdenes[[#This Row],[orden]]="","",tblOrdenes[[#This Row],[orden]]&amp;IF(tblOrdenes[[#This Row],[operacion]]="","0010",tblOrdenes[[#This Row],[operacion]]))</f>
        <v/>
      </c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11" t="n"/>
      <c r="K499" s="3" t="n"/>
      <c r="L499" s="10" t="n"/>
      <c r="M499" s="6" t="n"/>
      <c r="N4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4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4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499" s="3">
        <f>IF(tblOrdenes[[#This Row],[fecha_inicio]]="","",YEAR(tblOrdenes[[#This Row],[fecha_inicio]]))</f>
        <v/>
      </c>
      <c r="R499" s="3">
        <f>IF(tblOrdenes[[#This Row],[fecha_inicio]]="","",MONTH(tblOrdenes[[#This Row],[fecha_inicio]]))</f>
        <v/>
      </c>
      <c r="S499" s="3">
        <f>IF(tblOrdenes[[#This Row],[fecha_inicio]]="","",INDEX(lista_dias,WEEKDAY(tblOrdenes[[#This Row],[fecha_inicio]],2)))</f>
        <v/>
      </c>
      <c r="T499" s="3">
        <f>IF(tblOrdenes[[#This Row],[tipo_ot]]="","",_xlfn.XLOOKUP(tblOrdenes[[#This Row],[tipo_ot]],tblTiposOT[codigo],tblTiposOT[clasificacion],"sin_clasificar"))</f>
        <v/>
      </c>
      <c r="U499" s="3">
        <f>IF(tblOrdenes[[#This Row],[centro_costo]]="","",_xlfn.XLOOKUP(tblOrdenes[[#This Row],[centro_costo]],tblCECO[codigo],tblCECO[linea],"(sin catálogo)"))</f>
        <v/>
      </c>
      <c r="V499" s="3">
        <f>IF(tblOrdenes[[#This Row],[centro_costo]]="","",_xlfn.XLOOKUP(tblOrdenes[[#This Row],[centro_costo]],tblCECO[codigo],tblCECO[area],"(sin catálogo)"))</f>
        <v/>
      </c>
      <c r="W499" s="3">
        <f>IF(tblOrdenes[[#This Row],[centro_costo]]="","",_xlfn.XLOOKUP(tblOrdenes[[#This Row],[centro_costo]],tblCECO[codigo],tblCECO[coordinador],"(sin catálogo)"))</f>
        <v/>
      </c>
      <c r="X499" s="3">
        <f>IF(tblOrdenes[[#This Row],[puesto_trabajo]]="","",_xlfn.XLOOKUP(tblOrdenes[[#This Row],[puesto_trabajo]],tblPuestos[codigo],tblPuestos[especialidad],"(sin catálogo)"))</f>
        <v/>
      </c>
      <c r="Y499" s="3">
        <f>IF(tblOrdenes[[#This Row],[cod_actividad]]="","",_xlfn.XLOOKUP(tblOrdenes[[#This Row],[cod_actividad]],tblActividades[codigo],tblActividades[descripcion],"(sin catálogo)"))</f>
        <v/>
      </c>
      <c r="Z499" s="12">
        <f>IF(tblOrdenes[[#This Row],[fecha_inicio]]="","",TODAY()-tblOrdenes[[#This Row],[fecha_inicio]])</f>
        <v/>
      </c>
      <c r="AA499" s="3">
        <f>IF(tblOrdenes[[#This Row],[backlog_dias]]="","",IF(tblOrdenes[[#This Row],[backlog_dias]]&lt;0,"FUTURO",IF(tblOrdenes[[#This Row],[backlog_dias]]&gt;p_dias_backlog_max,"BACKLOG","MES CORRIENTE")))</f>
        <v/>
      </c>
      <c r="AB499" s="3">
        <f>IF(tblOrdenes[[#This Row],[backlog_dias]]="",FALSE,AND(tblOrdenes[[#This Row],[backlog_dias]]&gt;p_dias_backlog_min,tblOrdenes[[#This Row],[backlog_dias]]&lt;=p_dias_backlog_max))</f>
        <v/>
      </c>
      <c r="AC499" s="6" t="n"/>
      <c r="AD4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4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4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499" s="10">
        <f>IF(tblOrdenes[[#This Row],[orden]]="","",_xlfn.XLOOKUP(tblOrdenes[[#This Row],[id_operacion]],tblEjecucion[id_operacion],tblEjecucion[precio],0))</f>
        <v/>
      </c>
      <c r="AH499" s="10">
        <f>IF(tblOrdenes[[#This Row],[orden]]="","",MAX(0,_xlfn.XLOOKUP(tblOrdenes[[#This Row],[id_operacion]],tblEjecucion[id_operacion],tblEjecucion[costo_plan_total],0)-tblOrdenes[[#This Row],[costo_servicio]]))</f>
        <v/>
      </c>
      <c r="AI499" s="10">
        <f>IF(tblOrdenes[[#This Row],[orden]]="","",tblOrdenes[[#This Row],[costo_servicio]]+tblOrdenes[[#This Row],[costo_materiales]])</f>
        <v/>
      </c>
      <c r="AJ499" s="6" t="n"/>
      <c r="AK499" s="6" t="n"/>
      <c r="AL499" s="6" t="n"/>
      <c r="AM499" s="3">
        <f>IF(tblOrdenes[[#This Row],[link_checklist]]="","",HYPERLINK(p_ruta_base_checklists&amp;tblOrdenes[[#This Row],[link_checklist]],"abrir"))</f>
        <v/>
      </c>
      <c r="AN499" s="6" t="n"/>
      <c r="AO499" s="3">
        <f>IF(tblOrdenes[[#This Row],[orden]]="","",tblOrdenes[[#This Row],[orden]]&amp;IF(tblOrdenes[[#This Row],[operacion]]="","0010",tblOrdenes[[#This Row],[operacion]]))</f>
        <v/>
      </c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11" t="n"/>
      <c r="K500" s="3" t="n"/>
      <c r="L500" s="10" t="n"/>
      <c r="M500" s="6" t="n"/>
      <c r="N5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00" s="3">
        <f>IF(tblOrdenes[[#This Row],[fecha_inicio]]="","",YEAR(tblOrdenes[[#This Row],[fecha_inicio]]))</f>
        <v/>
      </c>
      <c r="R500" s="3">
        <f>IF(tblOrdenes[[#This Row],[fecha_inicio]]="","",MONTH(tblOrdenes[[#This Row],[fecha_inicio]]))</f>
        <v/>
      </c>
      <c r="S500" s="3">
        <f>IF(tblOrdenes[[#This Row],[fecha_inicio]]="","",INDEX(lista_dias,WEEKDAY(tblOrdenes[[#This Row],[fecha_inicio]],2)))</f>
        <v/>
      </c>
      <c r="T500" s="3">
        <f>IF(tblOrdenes[[#This Row],[tipo_ot]]="","",_xlfn.XLOOKUP(tblOrdenes[[#This Row],[tipo_ot]],tblTiposOT[codigo],tblTiposOT[clasificacion],"sin_clasificar"))</f>
        <v/>
      </c>
      <c r="U500" s="3">
        <f>IF(tblOrdenes[[#This Row],[centro_costo]]="","",_xlfn.XLOOKUP(tblOrdenes[[#This Row],[centro_costo]],tblCECO[codigo],tblCECO[linea],"(sin catálogo)"))</f>
        <v/>
      </c>
      <c r="V500" s="3">
        <f>IF(tblOrdenes[[#This Row],[centro_costo]]="","",_xlfn.XLOOKUP(tblOrdenes[[#This Row],[centro_costo]],tblCECO[codigo],tblCECO[area],"(sin catálogo)"))</f>
        <v/>
      </c>
      <c r="W500" s="3">
        <f>IF(tblOrdenes[[#This Row],[centro_costo]]="","",_xlfn.XLOOKUP(tblOrdenes[[#This Row],[centro_costo]],tblCECO[codigo],tblCECO[coordinador],"(sin catálogo)"))</f>
        <v/>
      </c>
      <c r="X500" s="3">
        <f>IF(tblOrdenes[[#This Row],[puesto_trabajo]]="","",_xlfn.XLOOKUP(tblOrdenes[[#This Row],[puesto_trabajo]],tblPuestos[codigo],tblPuestos[especialidad],"(sin catálogo)"))</f>
        <v/>
      </c>
      <c r="Y500" s="3">
        <f>IF(tblOrdenes[[#This Row],[cod_actividad]]="","",_xlfn.XLOOKUP(tblOrdenes[[#This Row],[cod_actividad]],tblActividades[codigo],tblActividades[descripcion],"(sin catálogo)"))</f>
        <v/>
      </c>
      <c r="Z500" s="12">
        <f>IF(tblOrdenes[[#This Row],[fecha_inicio]]="","",TODAY()-tblOrdenes[[#This Row],[fecha_inicio]])</f>
        <v/>
      </c>
      <c r="AA500" s="3">
        <f>IF(tblOrdenes[[#This Row],[backlog_dias]]="","",IF(tblOrdenes[[#This Row],[backlog_dias]]&lt;0,"FUTURO",IF(tblOrdenes[[#This Row],[backlog_dias]]&gt;p_dias_backlog_max,"BACKLOG","MES CORRIENTE")))</f>
        <v/>
      </c>
      <c r="AB500" s="3">
        <f>IF(tblOrdenes[[#This Row],[backlog_dias]]="",FALSE,AND(tblOrdenes[[#This Row],[backlog_dias]]&gt;p_dias_backlog_min,tblOrdenes[[#This Row],[backlog_dias]]&lt;=p_dias_backlog_max))</f>
        <v/>
      </c>
      <c r="AC500" s="6" t="n"/>
      <c r="AD5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00" s="10">
        <f>IF(tblOrdenes[[#This Row],[orden]]="","",_xlfn.XLOOKUP(tblOrdenes[[#This Row],[id_operacion]],tblEjecucion[id_operacion],tblEjecucion[precio],0))</f>
        <v/>
      </c>
      <c r="AH500" s="10">
        <f>IF(tblOrdenes[[#This Row],[orden]]="","",MAX(0,_xlfn.XLOOKUP(tblOrdenes[[#This Row],[id_operacion]],tblEjecucion[id_operacion],tblEjecucion[costo_plan_total],0)-tblOrdenes[[#This Row],[costo_servicio]]))</f>
        <v/>
      </c>
      <c r="AI500" s="10">
        <f>IF(tblOrdenes[[#This Row],[orden]]="","",tblOrdenes[[#This Row],[costo_servicio]]+tblOrdenes[[#This Row],[costo_materiales]])</f>
        <v/>
      </c>
      <c r="AJ500" s="6" t="n"/>
      <c r="AK500" s="6" t="n"/>
      <c r="AL500" s="6" t="n"/>
      <c r="AM500" s="3">
        <f>IF(tblOrdenes[[#This Row],[link_checklist]]="","",HYPERLINK(p_ruta_base_checklists&amp;tblOrdenes[[#This Row],[link_checklist]],"abrir"))</f>
        <v/>
      </c>
      <c r="AN500" s="6" t="n"/>
      <c r="AO500" s="3">
        <f>IF(tblOrdenes[[#This Row],[orden]]="","",tblOrdenes[[#This Row],[orden]]&amp;IF(tblOrdenes[[#This Row],[operacion]]="","0010",tblOrdenes[[#This Row],[operacion]]))</f>
        <v/>
      </c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11" t="n"/>
      <c r="K501" s="3" t="n"/>
      <c r="L501" s="10" t="n"/>
      <c r="M501" s="6" t="n"/>
      <c r="N5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01" s="3">
        <f>IF(tblOrdenes[[#This Row],[fecha_inicio]]="","",YEAR(tblOrdenes[[#This Row],[fecha_inicio]]))</f>
        <v/>
      </c>
      <c r="R501" s="3">
        <f>IF(tblOrdenes[[#This Row],[fecha_inicio]]="","",MONTH(tblOrdenes[[#This Row],[fecha_inicio]]))</f>
        <v/>
      </c>
      <c r="S501" s="3">
        <f>IF(tblOrdenes[[#This Row],[fecha_inicio]]="","",INDEX(lista_dias,WEEKDAY(tblOrdenes[[#This Row],[fecha_inicio]],2)))</f>
        <v/>
      </c>
      <c r="T501" s="3">
        <f>IF(tblOrdenes[[#This Row],[tipo_ot]]="","",_xlfn.XLOOKUP(tblOrdenes[[#This Row],[tipo_ot]],tblTiposOT[codigo],tblTiposOT[clasificacion],"sin_clasificar"))</f>
        <v/>
      </c>
      <c r="U501" s="3">
        <f>IF(tblOrdenes[[#This Row],[centro_costo]]="","",_xlfn.XLOOKUP(tblOrdenes[[#This Row],[centro_costo]],tblCECO[codigo],tblCECO[linea],"(sin catálogo)"))</f>
        <v/>
      </c>
      <c r="V501" s="3">
        <f>IF(tblOrdenes[[#This Row],[centro_costo]]="","",_xlfn.XLOOKUP(tblOrdenes[[#This Row],[centro_costo]],tblCECO[codigo],tblCECO[area],"(sin catálogo)"))</f>
        <v/>
      </c>
      <c r="W501" s="3">
        <f>IF(tblOrdenes[[#This Row],[centro_costo]]="","",_xlfn.XLOOKUP(tblOrdenes[[#This Row],[centro_costo]],tblCECO[codigo],tblCECO[coordinador],"(sin catálogo)"))</f>
        <v/>
      </c>
      <c r="X501" s="3">
        <f>IF(tblOrdenes[[#This Row],[puesto_trabajo]]="","",_xlfn.XLOOKUP(tblOrdenes[[#This Row],[puesto_trabajo]],tblPuestos[codigo],tblPuestos[especialidad],"(sin catálogo)"))</f>
        <v/>
      </c>
      <c r="Y501" s="3">
        <f>IF(tblOrdenes[[#This Row],[cod_actividad]]="","",_xlfn.XLOOKUP(tblOrdenes[[#This Row],[cod_actividad]],tblActividades[codigo],tblActividades[descripcion],"(sin catálogo)"))</f>
        <v/>
      </c>
      <c r="Z501" s="12">
        <f>IF(tblOrdenes[[#This Row],[fecha_inicio]]="","",TODAY()-tblOrdenes[[#This Row],[fecha_inicio]])</f>
        <v/>
      </c>
      <c r="AA501" s="3">
        <f>IF(tblOrdenes[[#This Row],[backlog_dias]]="","",IF(tblOrdenes[[#This Row],[backlog_dias]]&lt;0,"FUTURO",IF(tblOrdenes[[#This Row],[backlog_dias]]&gt;p_dias_backlog_max,"BACKLOG","MES CORRIENTE")))</f>
        <v/>
      </c>
      <c r="AB501" s="3">
        <f>IF(tblOrdenes[[#This Row],[backlog_dias]]="",FALSE,AND(tblOrdenes[[#This Row],[backlog_dias]]&gt;p_dias_backlog_min,tblOrdenes[[#This Row],[backlog_dias]]&lt;=p_dias_backlog_max))</f>
        <v/>
      </c>
      <c r="AC501" s="6" t="n"/>
      <c r="AD5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01" s="10">
        <f>IF(tblOrdenes[[#This Row],[orden]]="","",_xlfn.XLOOKUP(tblOrdenes[[#This Row],[id_operacion]],tblEjecucion[id_operacion],tblEjecucion[precio],0))</f>
        <v/>
      </c>
      <c r="AH501" s="10">
        <f>IF(tblOrdenes[[#This Row],[orden]]="","",MAX(0,_xlfn.XLOOKUP(tblOrdenes[[#This Row],[id_operacion]],tblEjecucion[id_operacion],tblEjecucion[costo_plan_total],0)-tblOrdenes[[#This Row],[costo_servicio]]))</f>
        <v/>
      </c>
      <c r="AI501" s="10">
        <f>IF(tblOrdenes[[#This Row],[orden]]="","",tblOrdenes[[#This Row],[costo_servicio]]+tblOrdenes[[#This Row],[costo_materiales]])</f>
        <v/>
      </c>
      <c r="AJ501" s="6" t="n"/>
      <c r="AK501" s="6" t="n"/>
      <c r="AL501" s="6" t="n"/>
      <c r="AM501" s="3">
        <f>IF(tblOrdenes[[#This Row],[link_checklist]]="","",HYPERLINK(p_ruta_base_checklists&amp;tblOrdenes[[#This Row],[link_checklist]],"abrir"))</f>
        <v/>
      </c>
      <c r="AN501" s="6" t="n"/>
      <c r="AO501" s="3">
        <f>IF(tblOrdenes[[#This Row],[orden]]="","",tblOrdenes[[#This Row],[orden]]&amp;IF(tblOrdenes[[#This Row],[operacion]]="","0010",tblOrdenes[[#This Row],[operacion]]))</f>
        <v/>
      </c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11" t="n"/>
      <c r="K502" s="3" t="n"/>
      <c r="L502" s="10" t="n"/>
      <c r="M502" s="6" t="n"/>
      <c r="N5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02" s="3">
        <f>IF(tblOrdenes[[#This Row],[fecha_inicio]]="","",YEAR(tblOrdenes[[#This Row],[fecha_inicio]]))</f>
        <v/>
      </c>
      <c r="R502" s="3">
        <f>IF(tblOrdenes[[#This Row],[fecha_inicio]]="","",MONTH(tblOrdenes[[#This Row],[fecha_inicio]]))</f>
        <v/>
      </c>
      <c r="S502" s="3">
        <f>IF(tblOrdenes[[#This Row],[fecha_inicio]]="","",INDEX(lista_dias,WEEKDAY(tblOrdenes[[#This Row],[fecha_inicio]],2)))</f>
        <v/>
      </c>
      <c r="T502" s="3">
        <f>IF(tblOrdenes[[#This Row],[tipo_ot]]="","",_xlfn.XLOOKUP(tblOrdenes[[#This Row],[tipo_ot]],tblTiposOT[codigo],tblTiposOT[clasificacion],"sin_clasificar"))</f>
        <v/>
      </c>
      <c r="U502" s="3">
        <f>IF(tblOrdenes[[#This Row],[centro_costo]]="","",_xlfn.XLOOKUP(tblOrdenes[[#This Row],[centro_costo]],tblCECO[codigo],tblCECO[linea],"(sin catálogo)"))</f>
        <v/>
      </c>
      <c r="V502" s="3">
        <f>IF(tblOrdenes[[#This Row],[centro_costo]]="","",_xlfn.XLOOKUP(tblOrdenes[[#This Row],[centro_costo]],tblCECO[codigo],tblCECO[area],"(sin catálogo)"))</f>
        <v/>
      </c>
      <c r="W502" s="3">
        <f>IF(tblOrdenes[[#This Row],[centro_costo]]="","",_xlfn.XLOOKUP(tblOrdenes[[#This Row],[centro_costo]],tblCECO[codigo],tblCECO[coordinador],"(sin catálogo)"))</f>
        <v/>
      </c>
      <c r="X502" s="3">
        <f>IF(tblOrdenes[[#This Row],[puesto_trabajo]]="","",_xlfn.XLOOKUP(tblOrdenes[[#This Row],[puesto_trabajo]],tblPuestos[codigo],tblPuestos[especialidad],"(sin catálogo)"))</f>
        <v/>
      </c>
      <c r="Y502" s="3">
        <f>IF(tblOrdenes[[#This Row],[cod_actividad]]="","",_xlfn.XLOOKUP(tblOrdenes[[#This Row],[cod_actividad]],tblActividades[codigo],tblActividades[descripcion],"(sin catálogo)"))</f>
        <v/>
      </c>
      <c r="Z502" s="12">
        <f>IF(tblOrdenes[[#This Row],[fecha_inicio]]="","",TODAY()-tblOrdenes[[#This Row],[fecha_inicio]])</f>
        <v/>
      </c>
      <c r="AA502" s="3">
        <f>IF(tblOrdenes[[#This Row],[backlog_dias]]="","",IF(tblOrdenes[[#This Row],[backlog_dias]]&lt;0,"FUTURO",IF(tblOrdenes[[#This Row],[backlog_dias]]&gt;p_dias_backlog_max,"BACKLOG","MES CORRIENTE")))</f>
        <v/>
      </c>
      <c r="AB502" s="3">
        <f>IF(tblOrdenes[[#This Row],[backlog_dias]]="",FALSE,AND(tblOrdenes[[#This Row],[backlog_dias]]&gt;p_dias_backlog_min,tblOrdenes[[#This Row],[backlog_dias]]&lt;=p_dias_backlog_max))</f>
        <v/>
      </c>
      <c r="AC502" s="6" t="n"/>
      <c r="AD5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02" s="10">
        <f>IF(tblOrdenes[[#This Row],[orden]]="","",_xlfn.XLOOKUP(tblOrdenes[[#This Row],[id_operacion]],tblEjecucion[id_operacion],tblEjecucion[precio],0))</f>
        <v/>
      </c>
      <c r="AH502" s="10">
        <f>IF(tblOrdenes[[#This Row],[orden]]="","",MAX(0,_xlfn.XLOOKUP(tblOrdenes[[#This Row],[id_operacion]],tblEjecucion[id_operacion],tblEjecucion[costo_plan_total],0)-tblOrdenes[[#This Row],[costo_servicio]]))</f>
        <v/>
      </c>
      <c r="AI502" s="10">
        <f>IF(tblOrdenes[[#This Row],[orden]]="","",tblOrdenes[[#This Row],[costo_servicio]]+tblOrdenes[[#This Row],[costo_materiales]])</f>
        <v/>
      </c>
      <c r="AJ502" s="6" t="n"/>
      <c r="AK502" s="6" t="n"/>
      <c r="AL502" s="6" t="n"/>
      <c r="AM502" s="3">
        <f>IF(tblOrdenes[[#This Row],[link_checklist]]="","",HYPERLINK(p_ruta_base_checklists&amp;tblOrdenes[[#This Row],[link_checklist]],"abrir"))</f>
        <v/>
      </c>
      <c r="AN502" s="6" t="n"/>
      <c r="AO502" s="3">
        <f>IF(tblOrdenes[[#This Row],[orden]]="","",tblOrdenes[[#This Row],[orden]]&amp;IF(tblOrdenes[[#This Row],[operacion]]="","0010",tblOrdenes[[#This Row],[operacion]]))</f>
        <v/>
      </c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11" t="n"/>
      <c r="K503" s="3" t="n"/>
      <c r="L503" s="10" t="n"/>
      <c r="M503" s="6" t="n"/>
      <c r="N5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03" s="3">
        <f>IF(tblOrdenes[[#This Row],[fecha_inicio]]="","",YEAR(tblOrdenes[[#This Row],[fecha_inicio]]))</f>
        <v/>
      </c>
      <c r="R503" s="3">
        <f>IF(tblOrdenes[[#This Row],[fecha_inicio]]="","",MONTH(tblOrdenes[[#This Row],[fecha_inicio]]))</f>
        <v/>
      </c>
      <c r="S503" s="3">
        <f>IF(tblOrdenes[[#This Row],[fecha_inicio]]="","",INDEX(lista_dias,WEEKDAY(tblOrdenes[[#This Row],[fecha_inicio]],2)))</f>
        <v/>
      </c>
      <c r="T503" s="3">
        <f>IF(tblOrdenes[[#This Row],[tipo_ot]]="","",_xlfn.XLOOKUP(tblOrdenes[[#This Row],[tipo_ot]],tblTiposOT[codigo],tblTiposOT[clasificacion],"sin_clasificar"))</f>
        <v/>
      </c>
      <c r="U503" s="3">
        <f>IF(tblOrdenes[[#This Row],[centro_costo]]="","",_xlfn.XLOOKUP(tblOrdenes[[#This Row],[centro_costo]],tblCECO[codigo],tblCECO[linea],"(sin catálogo)"))</f>
        <v/>
      </c>
      <c r="V503" s="3">
        <f>IF(tblOrdenes[[#This Row],[centro_costo]]="","",_xlfn.XLOOKUP(tblOrdenes[[#This Row],[centro_costo]],tblCECO[codigo],tblCECO[area],"(sin catálogo)"))</f>
        <v/>
      </c>
      <c r="W503" s="3">
        <f>IF(tblOrdenes[[#This Row],[centro_costo]]="","",_xlfn.XLOOKUP(tblOrdenes[[#This Row],[centro_costo]],tblCECO[codigo],tblCECO[coordinador],"(sin catálogo)"))</f>
        <v/>
      </c>
      <c r="X503" s="3">
        <f>IF(tblOrdenes[[#This Row],[puesto_trabajo]]="","",_xlfn.XLOOKUP(tblOrdenes[[#This Row],[puesto_trabajo]],tblPuestos[codigo],tblPuestos[especialidad],"(sin catálogo)"))</f>
        <v/>
      </c>
      <c r="Y503" s="3">
        <f>IF(tblOrdenes[[#This Row],[cod_actividad]]="","",_xlfn.XLOOKUP(tblOrdenes[[#This Row],[cod_actividad]],tblActividades[codigo],tblActividades[descripcion],"(sin catálogo)"))</f>
        <v/>
      </c>
      <c r="Z503" s="12">
        <f>IF(tblOrdenes[[#This Row],[fecha_inicio]]="","",TODAY()-tblOrdenes[[#This Row],[fecha_inicio]])</f>
        <v/>
      </c>
      <c r="AA503" s="3">
        <f>IF(tblOrdenes[[#This Row],[backlog_dias]]="","",IF(tblOrdenes[[#This Row],[backlog_dias]]&lt;0,"FUTURO",IF(tblOrdenes[[#This Row],[backlog_dias]]&gt;p_dias_backlog_max,"BACKLOG","MES CORRIENTE")))</f>
        <v/>
      </c>
      <c r="AB503" s="3">
        <f>IF(tblOrdenes[[#This Row],[backlog_dias]]="",FALSE,AND(tblOrdenes[[#This Row],[backlog_dias]]&gt;p_dias_backlog_min,tblOrdenes[[#This Row],[backlog_dias]]&lt;=p_dias_backlog_max))</f>
        <v/>
      </c>
      <c r="AC503" s="6" t="n"/>
      <c r="AD5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03" s="10">
        <f>IF(tblOrdenes[[#This Row],[orden]]="","",_xlfn.XLOOKUP(tblOrdenes[[#This Row],[id_operacion]],tblEjecucion[id_operacion],tblEjecucion[precio],0))</f>
        <v/>
      </c>
      <c r="AH503" s="10">
        <f>IF(tblOrdenes[[#This Row],[orden]]="","",MAX(0,_xlfn.XLOOKUP(tblOrdenes[[#This Row],[id_operacion]],tblEjecucion[id_operacion],tblEjecucion[costo_plan_total],0)-tblOrdenes[[#This Row],[costo_servicio]]))</f>
        <v/>
      </c>
      <c r="AI503" s="10">
        <f>IF(tblOrdenes[[#This Row],[orden]]="","",tblOrdenes[[#This Row],[costo_servicio]]+tblOrdenes[[#This Row],[costo_materiales]])</f>
        <v/>
      </c>
      <c r="AJ503" s="6" t="n"/>
      <c r="AK503" s="6" t="n"/>
      <c r="AL503" s="6" t="n"/>
      <c r="AM503" s="3">
        <f>IF(tblOrdenes[[#This Row],[link_checklist]]="","",HYPERLINK(p_ruta_base_checklists&amp;tblOrdenes[[#This Row],[link_checklist]],"abrir"))</f>
        <v/>
      </c>
      <c r="AN503" s="6" t="n"/>
      <c r="AO503" s="3">
        <f>IF(tblOrdenes[[#This Row],[orden]]="","",tblOrdenes[[#This Row],[orden]]&amp;IF(tblOrdenes[[#This Row],[operacion]]="","0010",tblOrdenes[[#This Row],[operacion]]))</f>
        <v/>
      </c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11" t="n"/>
      <c r="K504" s="3" t="n"/>
      <c r="L504" s="10" t="n"/>
      <c r="M504" s="6" t="n"/>
      <c r="N50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0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0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04" s="3">
        <f>IF(tblOrdenes[[#This Row],[fecha_inicio]]="","",YEAR(tblOrdenes[[#This Row],[fecha_inicio]]))</f>
        <v/>
      </c>
      <c r="R504" s="3">
        <f>IF(tblOrdenes[[#This Row],[fecha_inicio]]="","",MONTH(tblOrdenes[[#This Row],[fecha_inicio]]))</f>
        <v/>
      </c>
      <c r="S504" s="3">
        <f>IF(tblOrdenes[[#This Row],[fecha_inicio]]="","",INDEX(lista_dias,WEEKDAY(tblOrdenes[[#This Row],[fecha_inicio]],2)))</f>
        <v/>
      </c>
      <c r="T504" s="3">
        <f>IF(tblOrdenes[[#This Row],[tipo_ot]]="","",_xlfn.XLOOKUP(tblOrdenes[[#This Row],[tipo_ot]],tblTiposOT[codigo],tblTiposOT[clasificacion],"sin_clasificar"))</f>
        <v/>
      </c>
      <c r="U504" s="3">
        <f>IF(tblOrdenes[[#This Row],[centro_costo]]="","",_xlfn.XLOOKUP(tblOrdenes[[#This Row],[centro_costo]],tblCECO[codigo],tblCECO[linea],"(sin catálogo)"))</f>
        <v/>
      </c>
      <c r="V504" s="3">
        <f>IF(tblOrdenes[[#This Row],[centro_costo]]="","",_xlfn.XLOOKUP(tblOrdenes[[#This Row],[centro_costo]],tblCECO[codigo],tblCECO[area],"(sin catálogo)"))</f>
        <v/>
      </c>
      <c r="W504" s="3">
        <f>IF(tblOrdenes[[#This Row],[centro_costo]]="","",_xlfn.XLOOKUP(tblOrdenes[[#This Row],[centro_costo]],tblCECO[codigo],tblCECO[coordinador],"(sin catálogo)"))</f>
        <v/>
      </c>
      <c r="X504" s="3">
        <f>IF(tblOrdenes[[#This Row],[puesto_trabajo]]="","",_xlfn.XLOOKUP(tblOrdenes[[#This Row],[puesto_trabajo]],tblPuestos[codigo],tblPuestos[especialidad],"(sin catálogo)"))</f>
        <v/>
      </c>
      <c r="Y504" s="3">
        <f>IF(tblOrdenes[[#This Row],[cod_actividad]]="","",_xlfn.XLOOKUP(tblOrdenes[[#This Row],[cod_actividad]],tblActividades[codigo],tblActividades[descripcion],"(sin catálogo)"))</f>
        <v/>
      </c>
      <c r="Z504" s="12">
        <f>IF(tblOrdenes[[#This Row],[fecha_inicio]]="","",TODAY()-tblOrdenes[[#This Row],[fecha_inicio]])</f>
        <v/>
      </c>
      <c r="AA504" s="3">
        <f>IF(tblOrdenes[[#This Row],[backlog_dias]]="","",IF(tblOrdenes[[#This Row],[backlog_dias]]&lt;0,"FUTURO",IF(tblOrdenes[[#This Row],[backlog_dias]]&gt;p_dias_backlog_max,"BACKLOG","MES CORRIENTE")))</f>
        <v/>
      </c>
      <c r="AB504" s="3">
        <f>IF(tblOrdenes[[#This Row],[backlog_dias]]="",FALSE,AND(tblOrdenes[[#This Row],[backlog_dias]]&gt;p_dias_backlog_min,tblOrdenes[[#This Row],[backlog_dias]]&lt;=p_dias_backlog_max))</f>
        <v/>
      </c>
      <c r="AC504" s="6" t="n"/>
      <c r="AD50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0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0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04" s="10">
        <f>IF(tblOrdenes[[#This Row],[orden]]="","",_xlfn.XLOOKUP(tblOrdenes[[#This Row],[id_operacion]],tblEjecucion[id_operacion],tblEjecucion[precio],0))</f>
        <v/>
      </c>
      <c r="AH504" s="10">
        <f>IF(tblOrdenes[[#This Row],[orden]]="","",MAX(0,_xlfn.XLOOKUP(tblOrdenes[[#This Row],[id_operacion]],tblEjecucion[id_operacion],tblEjecucion[costo_plan_total],0)-tblOrdenes[[#This Row],[costo_servicio]]))</f>
        <v/>
      </c>
      <c r="AI504" s="10">
        <f>IF(tblOrdenes[[#This Row],[orden]]="","",tblOrdenes[[#This Row],[costo_servicio]]+tblOrdenes[[#This Row],[costo_materiales]])</f>
        <v/>
      </c>
      <c r="AJ504" s="6" t="n"/>
      <c r="AK504" s="6" t="n"/>
      <c r="AL504" s="6" t="n"/>
      <c r="AM504" s="3">
        <f>IF(tblOrdenes[[#This Row],[link_checklist]]="","",HYPERLINK(p_ruta_base_checklists&amp;tblOrdenes[[#This Row],[link_checklist]],"abrir"))</f>
        <v/>
      </c>
      <c r="AN504" s="6" t="n"/>
      <c r="AO504" s="3">
        <f>IF(tblOrdenes[[#This Row],[orden]]="","",tblOrdenes[[#This Row],[orden]]&amp;IF(tblOrdenes[[#This Row],[operacion]]="","0010",tblOrdenes[[#This Row],[operacion]]))</f>
        <v/>
      </c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11" t="n"/>
      <c r="K505" s="3" t="n"/>
      <c r="L505" s="10" t="n"/>
      <c r="M505" s="6" t="n"/>
      <c r="N50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0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0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05" s="3">
        <f>IF(tblOrdenes[[#This Row],[fecha_inicio]]="","",YEAR(tblOrdenes[[#This Row],[fecha_inicio]]))</f>
        <v/>
      </c>
      <c r="R505" s="3">
        <f>IF(tblOrdenes[[#This Row],[fecha_inicio]]="","",MONTH(tblOrdenes[[#This Row],[fecha_inicio]]))</f>
        <v/>
      </c>
      <c r="S505" s="3">
        <f>IF(tblOrdenes[[#This Row],[fecha_inicio]]="","",INDEX(lista_dias,WEEKDAY(tblOrdenes[[#This Row],[fecha_inicio]],2)))</f>
        <v/>
      </c>
      <c r="T505" s="3">
        <f>IF(tblOrdenes[[#This Row],[tipo_ot]]="","",_xlfn.XLOOKUP(tblOrdenes[[#This Row],[tipo_ot]],tblTiposOT[codigo],tblTiposOT[clasificacion],"sin_clasificar"))</f>
        <v/>
      </c>
      <c r="U505" s="3">
        <f>IF(tblOrdenes[[#This Row],[centro_costo]]="","",_xlfn.XLOOKUP(tblOrdenes[[#This Row],[centro_costo]],tblCECO[codigo],tblCECO[linea],"(sin catálogo)"))</f>
        <v/>
      </c>
      <c r="V505" s="3">
        <f>IF(tblOrdenes[[#This Row],[centro_costo]]="","",_xlfn.XLOOKUP(tblOrdenes[[#This Row],[centro_costo]],tblCECO[codigo],tblCECO[area],"(sin catálogo)"))</f>
        <v/>
      </c>
      <c r="W505" s="3">
        <f>IF(tblOrdenes[[#This Row],[centro_costo]]="","",_xlfn.XLOOKUP(tblOrdenes[[#This Row],[centro_costo]],tblCECO[codigo],tblCECO[coordinador],"(sin catálogo)"))</f>
        <v/>
      </c>
      <c r="X505" s="3">
        <f>IF(tblOrdenes[[#This Row],[puesto_trabajo]]="","",_xlfn.XLOOKUP(tblOrdenes[[#This Row],[puesto_trabajo]],tblPuestos[codigo],tblPuestos[especialidad],"(sin catálogo)"))</f>
        <v/>
      </c>
      <c r="Y505" s="3">
        <f>IF(tblOrdenes[[#This Row],[cod_actividad]]="","",_xlfn.XLOOKUP(tblOrdenes[[#This Row],[cod_actividad]],tblActividades[codigo],tblActividades[descripcion],"(sin catálogo)"))</f>
        <v/>
      </c>
      <c r="Z505" s="12">
        <f>IF(tblOrdenes[[#This Row],[fecha_inicio]]="","",TODAY()-tblOrdenes[[#This Row],[fecha_inicio]])</f>
        <v/>
      </c>
      <c r="AA505" s="3">
        <f>IF(tblOrdenes[[#This Row],[backlog_dias]]="","",IF(tblOrdenes[[#This Row],[backlog_dias]]&lt;0,"FUTURO",IF(tblOrdenes[[#This Row],[backlog_dias]]&gt;p_dias_backlog_max,"BACKLOG","MES CORRIENTE")))</f>
        <v/>
      </c>
      <c r="AB505" s="3">
        <f>IF(tblOrdenes[[#This Row],[backlog_dias]]="",FALSE,AND(tblOrdenes[[#This Row],[backlog_dias]]&gt;p_dias_backlog_min,tblOrdenes[[#This Row],[backlog_dias]]&lt;=p_dias_backlog_max))</f>
        <v/>
      </c>
      <c r="AC505" s="6" t="n"/>
      <c r="AD50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0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0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05" s="10">
        <f>IF(tblOrdenes[[#This Row],[orden]]="","",_xlfn.XLOOKUP(tblOrdenes[[#This Row],[id_operacion]],tblEjecucion[id_operacion],tblEjecucion[precio],0))</f>
        <v/>
      </c>
      <c r="AH505" s="10">
        <f>IF(tblOrdenes[[#This Row],[orden]]="","",MAX(0,_xlfn.XLOOKUP(tblOrdenes[[#This Row],[id_operacion]],tblEjecucion[id_operacion],tblEjecucion[costo_plan_total],0)-tblOrdenes[[#This Row],[costo_servicio]]))</f>
        <v/>
      </c>
      <c r="AI505" s="10">
        <f>IF(tblOrdenes[[#This Row],[orden]]="","",tblOrdenes[[#This Row],[costo_servicio]]+tblOrdenes[[#This Row],[costo_materiales]])</f>
        <v/>
      </c>
      <c r="AJ505" s="6" t="n"/>
      <c r="AK505" s="6" t="n"/>
      <c r="AL505" s="6" t="n"/>
      <c r="AM505" s="3">
        <f>IF(tblOrdenes[[#This Row],[link_checklist]]="","",HYPERLINK(p_ruta_base_checklists&amp;tblOrdenes[[#This Row],[link_checklist]],"abrir"))</f>
        <v/>
      </c>
      <c r="AN505" s="6" t="n"/>
      <c r="AO505" s="3">
        <f>IF(tblOrdenes[[#This Row],[orden]]="","",tblOrdenes[[#This Row],[orden]]&amp;IF(tblOrdenes[[#This Row],[operacion]]="","0010",tblOrdenes[[#This Row],[operacion]]))</f>
        <v/>
      </c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11" t="n"/>
      <c r="K506" s="3" t="n"/>
      <c r="L506" s="10" t="n"/>
      <c r="M506" s="6" t="n"/>
      <c r="N50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0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0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06" s="3">
        <f>IF(tblOrdenes[[#This Row],[fecha_inicio]]="","",YEAR(tblOrdenes[[#This Row],[fecha_inicio]]))</f>
        <v/>
      </c>
      <c r="R506" s="3">
        <f>IF(tblOrdenes[[#This Row],[fecha_inicio]]="","",MONTH(tblOrdenes[[#This Row],[fecha_inicio]]))</f>
        <v/>
      </c>
      <c r="S506" s="3">
        <f>IF(tblOrdenes[[#This Row],[fecha_inicio]]="","",INDEX(lista_dias,WEEKDAY(tblOrdenes[[#This Row],[fecha_inicio]],2)))</f>
        <v/>
      </c>
      <c r="T506" s="3">
        <f>IF(tblOrdenes[[#This Row],[tipo_ot]]="","",_xlfn.XLOOKUP(tblOrdenes[[#This Row],[tipo_ot]],tblTiposOT[codigo],tblTiposOT[clasificacion],"sin_clasificar"))</f>
        <v/>
      </c>
      <c r="U506" s="3">
        <f>IF(tblOrdenes[[#This Row],[centro_costo]]="","",_xlfn.XLOOKUP(tblOrdenes[[#This Row],[centro_costo]],tblCECO[codigo],tblCECO[linea],"(sin catálogo)"))</f>
        <v/>
      </c>
      <c r="V506" s="3">
        <f>IF(tblOrdenes[[#This Row],[centro_costo]]="","",_xlfn.XLOOKUP(tblOrdenes[[#This Row],[centro_costo]],tblCECO[codigo],tblCECO[area],"(sin catálogo)"))</f>
        <v/>
      </c>
      <c r="W506" s="3">
        <f>IF(tblOrdenes[[#This Row],[centro_costo]]="","",_xlfn.XLOOKUP(tblOrdenes[[#This Row],[centro_costo]],tblCECO[codigo],tblCECO[coordinador],"(sin catálogo)"))</f>
        <v/>
      </c>
      <c r="X506" s="3">
        <f>IF(tblOrdenes[[#This Row],[puesto_trabajo]]="","",_xlfn.XLOOKUP(tblOrdenes[[#This Row],[puesto_trabajo]],tblPuestos[codigo],tblPuestos[especialidad],"(sin catálogo)"))</f>
        <v/>
      </c>
      <c r="Y506" s="3">
        <f>IF(tblOrdenes[[#This Row],[cod_actividad]]="","",_xlfn.XLOOKUP(tblOrdenes[[#This Row],[cod_actividad]],tblActividades[codigo],tblActividades[descripcion],"(sin catálogo)"))</f>
        <v/>
      </c>
      <c r="Z506" s="12">
        <f>IF(tblOrdenes[[#This Row],[fecha_inicio]]="","",TODAY()-tblOrdenes[[#This Row],[fecha_inicio]])</f>
        <v/>
      </c>
      <c r="AA506" s="3">
        <f>IF(tblOrdenes[[#This Row],[backlog_dias]]="","",IF(tblOrdenes[[#This Row],[backlog_dias]]&lt;0,"FUTURO",IF(tblOrdenes[[#This Row],[backlog_dias]]&gt;p_dias_backlog_max,"BACKLOG","MES CORRIENTE")))</f>
        <v/>
      </c>
      <c r="AB506" s="3">
        <f>IF(tblOrdenes[[#This Row],[backlog_dias]]="",FALSE,AND(tblOrdenes[[#This Row],[backlog_dias]]&gt;p_dias_backlog_min,tblOrdenes[[#This Row],[backlog_dias]]&lt;=p_dias_backlog_max))</f>
        <v/>
      </c>
      <c r="AC506" s="6" t="n"/>
      <c r="AD50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0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0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06" s="10">
        <f>IF(tblOrdenes[[#This Row],[orden]]="","",_xlfn.XLOOKUP(tblOrdenes[[#This Row],[id_operacion]],tblEjecucion[id_operacion],tblEjecucion[precio],0))</f>
        <v/>
      </c>
      <c r="AH506" s="10">
        <f>IF(tblOrdenes[[#This Row],[orden]]="","",MAX(0,_xlfn.XLOOKUP(tblOrdenes[[#This Row],[id_operacion]],tblEjecucion[id_operacion],tblEjecucion[costo_plan_total],0)-tblOrdenes[[#This Row],[costo_servicio]]))</f>
        <v/>
      </c>
      <c r="AI506" s="10">
        <f>IF(tblOrdenes[[#This Row],[orden]]="","",tblOrdenes[[#This Row],[costo_servicio]]+tblOrdenes[[#This Row],[costo_materiales]])</f>
        <v/>
      </c>
      <c r="AJ506" s="6" t="n"/>
      <c r="AK506" s="6" t="n"/>
      <c r="AL506" s="6" t="n"/>
      <c r="AM506" s="3">
        <f>IF(tblOrdenes[[#This Row],[link_checklist]]="","",HYPERLINK(p_ruta_base_checklists&amp;tblOrdenes[[#This Row],[link_checklist]],"abrir"))</f>
        <v/>
      </c>
      <c r="AN506" s="6" t="n"/>
      <c r="AO506" s="3">
        <f>IF(tblOrdenes[[#This Row],[orden]]="","",tblOrdenes[[#This Row],[orden]]&amp;IF(tblOrdenes[[#This Row],[operacion]]="","0010",tblOrdenes[[#This Row],[operacion]]))</f>
        <v/>
      </c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11" t="n"/>
      <c r="K507" s="3" t="n"/>
      <c r="L507" s="10" t="n"/>
      <c r="M507" s="6" t="n"/>
      <c r="N50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0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0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07" s="3">
        <f>IF(tblOrdenes[[#This Row],[fecha_inicio]]="","",YEAR(tblOrdenes[[#This Row],[fecha_inicio]]))</f>
        <v/>
      </c>
      <c r="R507" s="3">
        <f>IF(tblOrdenes[[#This Row],[fecha_inicio]]="","",MONTH(tblOrdenes[[#This Row],[fecha_inicio]]))</f>
        <v/>
      </c>
      <c r="S507" s="3">
        <f>IF(tblOrdenes[[#This Row],[fecha_inicio]]="","",INDEX(lista_dias,WEEKDAY(tblOrdenes[[#This Row],[fecha_inicio]],2)))</f>
        <v/>
      </c>
      <c r="T507" s="3">
        <f>IF(tblOrdenes[[#This Row],[tipo_ot]]="","",_xlfn.XLOOKUP(tblOrdenes[[#This Row],[tipo_ot]],tblTiposOT[codigo],tblTiposOT[clasificacion],"sin_clasificar"))</f>
        <v/>
      </c>
      <c r="U507" s="3">
        <f>IF(tblOrdenes[[#This Row],[centro_costo]]="","",_xlfn.XLOOKUP(tblOrdenes[[#This Row],[centro_costo]],tblCECO[codigo],tblCECO[linea],"(sin catálogo)"))</f>
        <v/>
      </c>
      <c r="V507" s="3">
        <f>IF(tblOrdenes[[#This Row],[centro_costo]]="","",_xlfn.XLOOKUP(tblOrdenes[[#This Row],[centro_costo]],tblCECO[codigo],tblCECO[area],"(sin catálogo)"))</f>
        <v/>
      </c>
      <c r="W507" s="3">
        <f>IF(tblOrdenes[[#This Row],[centro_costo]]="","",_xlfn.XLOOKUP(tblOrdenes[[#This Row],[centro_costo]],tblCECO[codigo],tblCECO[coordinador],"(sin catálogo)"))</f>
        <v/>
      </c>
      <c r="X507" s="3">
        <f>IF(tblOrdenes[[#This Row],[puesto_trabajo]]="","",_xlfn.XLOOKUP(tblOrdenes[[#This Row],[puesto_trabajo]],tblPuestos[codigo],tblPuestos[especialidad],"(sin catálogo)"))</f>
        <v/>
      </c>
      <c r="Y507" s="3">
        <f>IF(tblOrdenes[[#This Row],[cod_actividad]]="","",_xlfn.XLOOKUP(tblOrdenes[[#This Row],[cod_actividad]],tblActividades[codigo],tblActividades[descripcion],"(sin catálogo)"))</f>
        <v/>
      </c>
      <c r="Z507" s="12">
        <f>IF(tblOrdenes[[#This Row],[fecha_inicio]]="","",TODAY()-tblOrdenes[[#This Row],[fecha_inicio]])</f>
        <v/>
      </c>
      <c r="AA507" s="3">
        <f>IF(tblOrdenes[[#This Row],[backlog_dias]]="","",IF(tblOrdenes[[#This Row],[backlog_dias]]&lt;0,"FUTURO",IF(tblOrdenes[[#This Row],[backlog_dias]]&gt;p_dias_backlog_max,"BACKLOG","MES CORRIENTE")))</f>
        <v/>
      </c>
      <c r="AB507" s="3">
        <f>IF(tblOrdenes[[#This Row],[backlog_dias]]="",FALSE,AND(tblOrdenes[[#This Row],[backlog_dias]]&gt;p_dias_backlog_min,tblOrdenes[[#This Row],[backlog_dias]]&lt;=p_dias_backlog_max))</f>
        <v/>
      </c>
      <c r="AC507" s="6" t="n"/>
      <c r="AD50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0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0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07" s="10">
        <f>IF(tblOrdenes[[#This Row],[orden]]="","",_xlfn.XLOOKUP(tblOrdenes[[#This Row],[id_operacion]],tblEjecucion[id_operacion],tblEjecucion[precio],0))</f>
        <v/>
      </c>
      <c r="AH507" s="10">
        <f>IF(tblOrdenes[[#This Row],[orden]]="","",MAX(0,_xlfn.XLOOKUP(tblOrdenes[[#This Row],[id_operacion]],tblEjecucion[id_operacion],tblEjecucion[costo_plan_total],0)-tblOrdenes[[#This Row],[costo_servicio]]))</f>
        <v/>
      </c>
      <c r="AI507" s="10">
        <f>IF(tblOrdenes[[#This Row],[orden]]="","",tblOrdenes[[#This Row],[costo_servicio]]+tblOrdenes[[#This Row],[costo_materiales]])</f>
        <v/>
      </c>
      <c r="AJ507" s="6" t="n"/>
      <c r="AK507" s="6" t="n"/>
      <c r="AL507" s="6" t="n"/>
      <c r="AM507" s="3">
        <f>IF(tblOrdenes[[#This Row],[link_checklist]]="","",HYPERLINK(p_ruta_base_checklists&amp;tblOrdenes[[#This Row],[link_checklist]],"abrir"))</f>
        <v/>
      </c>
      <c r="AN507" s="6" t="n"/>
      <c r="AO507" s="3">
        <f>IF(tblOrdenes[[#This Row],[orden]]="","",tblOrdenes[[#This Row],[orden]]&amp;IF(tblOrdenes[[#This Row],[operacion]]="","0010",tblOrdenes[[#This Row],[operacion]]))</f>
        <v/>
      </c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11" t="n"/>
      <c r="K508" s="3" t="n"/>
      <c r="L508" s="10" t="n"/>
      <c r="M508" s="6" t="n"/>
      <c r="N50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0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0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08" s="3">
        <f>IF(tblOrdenes[[#This Row],[fecha_inicio]]="","",YEAR(tblOrdenes[[#This Row],[fecha_inicio]]))</f>
        <v/>
      </c>
      <c r="R508" s="3">
        <f>IF(tblOrdenes[[#This Row],[fecha_inicio]]="","",MONTH(tblOrdenes[[#This Row],[fecha_inicio]]))</f>
        <v/>
      </c>
      <c r="S508" s="3">
        <f>IF(tblOrdenes[[#This Row],[fecha_inicio]]="","",INDEX(lista_dias,WEEKDAY(tblOrdenes[[#This Row],[fecha_inicio]],2)))</f>
        <v/>
      </c>
      <c r="T508" s="3">
        <f>IF(tblOrdenes[[#This Row],[tipo_ot]]="","",_xlfn.XLOOKUP(tblOrdenes[[#This Row],[tipo_ot]],tblTiposOT[codigo],tblTiposOT[clasificacion],"sin_clasificar"))</f>
        <v/>
      </c>
      <c r="U508" s="3">
        <f>IF(tblOrdenes[[#This Row],[centro_costo]]="","",_xlfn.XLOOKUP(tblOrdenes[[#This Row],[centro_costo]],tblCECO[codigo],tblCECO[linea],"(sin catálogo)"))</f>
        <v/>
      </c>
      <c r="V508" s="3">
        <f>IF(tblOrdenes[[#This Row],[centro_costo]]="","",_xlfn.XLOOKUP(tblOrdenes[[#This Row],[centro_costo]],tblCECO[codigo],tblCECO[area],"(sin catálogo)"))</f>
        <v/>
      </c>
      <c r="W508" s="3">
        <f>IF(tblOrdenes[[#This Row],[centro_costo]]="","",_xlfn.XLOOKUP(tblOrdenes[[#This Row],[centro_costo]],tblCECO[codigo],tblCECO[coordinador],"(sin catálogo)"))</f>
        <v/>
      </c>
      <c r="X508" s="3">
        <f>IF(tblOrdenes[[#This Row],[puesto_trabajo]]="","",_xlfn.XLOOKUP(tblOrdenes[[#This Row],[puesto_trabajo]],tblPuestos[codigo],tblPuestos[especialidad],"(sin catálogo)"))</f>
        <v/>
      </c>
      <c r="Y508" s="3">
        <f>IF(tblOrdenes[[#This Row],[cod_actividad]]="","",_xlfn.XLOOKUP(tblOrdenes[[#This Row],[cod_actividad]],tblActividades[codigo],tblActividades[descripcion],"(sin catálogo)"))</f>
        <v/>
      </c>
      <c r="Z508" s="12">
        <f>IF(tblOrdenes[[#This Row],[fecha_inicio]]="","",TODAY()-tblOrdenes[[#This Row],[fecha_inicio]])</f>
        <v/>
      </c>
      <c r="AA508" s="3">
        <f>IF(tblOrdenes[[#This Row],[backlog_dias]]="","",IF(tblOrdenes[[#This Row],[backlog_dias]]&lt;0,"FUTURO",IF(tblOrdenes[[#This Row],[backlog_dias]]&gt;p_dias_backlog_max,"BACKLOG","MES CORRIENTE")))</f>
        <v/>
      </c>
      <c r="AB508" s="3">
        <f>IF(tblOrdenes[[#This Row],[backlog_dias]]="",FALSE,AND(tblOrdenes[[#This Row],[backlog_dias]]&gt;p_dias_backlog_min,tblOrdenes[[#This Row],[backlog_dias]]&lt;=p_dias_backlog_max))</f>
        <v/>
      </c>
      <c r="AC508" s="6" t="n"/>
      <c r="AD50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0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0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08" s="10">
        <f>IF(tblOrdenes[[#This Row],[orden]]="","",_xlfn.XLOOKUP(tblOrdenes[[#This Row],[id_operacion]],tblEjecucion[id_operacion],tblEjecucion[precio],0))</f>
        <v/>
      </c>
      <c r="AH508" s="10">
        <f>IF(tblOrdenes[[#This Row],[orden]]="","",MAX(0,_xlfn.XLOOKUP(tblOrdenes[[#This Row],[id_operacion]],tblEjecucion[id_operacion],tblEjecucion[costo_plan_total],0)-tblOrdenes[[#This Row],[costo_servicio]]))</f>
        <v/>
      </c>
      <c r="AI508" s="10">
        <f>IF(tblOrdenes[[#This Row],[orden]]="","",tblOrdenes[[#This Row],[costo_servicio]]+tblOrdenes[[#This Row],[costo_materiales]])</f>
        <v/>
      </c>
      <c r="AJ508" s="6" t="n"/>
      <c r="AK508" s="6" t="n"/>
      <c r="AL508" s="6" t="n"/>
      <c r="AM508" s="3">
        <f>IF(tblOrdenes[[#This Row],[link_checklist]]="","",HYPERLINK(p_ruta_base_checklists&amp;tblOrdenes[[#This Row],[link_checklist]],"abrir"))</f>
        <v/>
      </c>
      <c r="AN508" s="6" t="n"/>
      <c r="AO508" s="3">
        <f>IF(tblOrdenes[[#This Row],[orden]]="","",tblOrdenes[[#This Row],[orden]]&amp;IF(tblOrdenes[[#This Row],[operacion]]="","0010",tblOrdenes[[#This Row],[operacion]]))</f>
        <v/>
      </c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11" t="n"/>
      <c r="K509" s="3" t="n"/>
      <c r="L509" s="10" t="n"/>
      <c r="M509" s="6" t="n"/>
      <c r="N50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0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0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09" s="3">
        <f>IF(tblOrdenes[[#This Row],[fecha_inicio]]="","",YEAR(tblOrdenes[[#This Row],[fecha_inicio]]))</f>
        <v/>
      </c>
      <c r="R509" s="3">
        <f>IF(tblOrdenes[[#This Row],[fecha_inicio]]="","",MONTH(tblOrdenes[[#This Row],[fecha_inicio]]))</f>
        <v/>
      </c>
      <c r="S509" s="3">
        <f>IF(tblOrdenes[[#This Row],[fecha_inicio]]="","",INDEX(lista_dias,WEEKDAY(tblOrdenes[[#This Row],[fecha_inicio]],2)))</f>
        <v/>
      </c>
      <c r="T509" s="3">
        <f>IF(tblOrdenes[[#This Row],[tipo_ot]]="","",_xlfn.XLOOKUP(tblOrdenes[[#This Row],[tipo_ot]],tblTiposOT[codigo],tblTiposOT[clasificacion],"sin_clasificar"))</f>
        <v/>
      </c>
      <c r="U509" s="3">
        <f>IF(tblOrdenes[[#This Row],[centro_costo]]="","",_xlfn.XLOOKUP(tblOrdenes[[#This Row],[centro_costo]],tblCECO[codigo],tblCECO[linea],"(sin catálogo)"))</f>
        <v/>
      </c>
      <c r="V509" s="3">
        <f>IF(tblOrdenes[[#This Row],[centro_costo]]="","",_xlfn.XLOOKUP(tblOrdenes[[#This Row],[centro_costo]],tblCECO[codigo],tblCECO[area],"(sin catálogo)"))</f>
        <v/>
      </c>
      <c r="W509" s="3">
        <f>IF(tblOrdenes[[#This Row],[centro_costo]]="","",_xlfn.XLOOKUP(tblOrdenes[[#This Row],[centro_costo]],tblCECO[codigo],tblCECO[coordinador],"(sin catálogo)"))</f>
        <v/>
      </c>
      <c r="X509" s="3">
        <f>IF(tblOrdenes[[#This Row],[puesto_trabajo]]="","",_xlfn.XLOOKUP(tblOrdenes[[#This Row],[puesto_trabajo]],tblPuestos[codigo],tblPuestos[especialidad],"(sin catálogo)"))</f>
        <v/>
      </c>
      <c r="Y509" s="3">
        <f>IF(tblOrdenes[[#This Row],[cod_actividad]]="","",_xlfn.XLOOKUP(tblOrdenes[[#This Row],[cod_actividad]],tblActividades[codigo],tblActividades[descripcion],"(sin catálogo)"))</f>
        <v/>
      </c>
      <c r="Z509" s="12">
        <f>IF(tblOrdenes[[#This Row],[fecha_inicio]]="","",TODAY()-tblOrdenes[[#This Row],[fecha_inicio]])</f>
        <v/>
      </c>
      <c r="AA509" s="3">
        <f>IF(tblOrdenes[[#This Row],[backlog_dias]]="","",IF(tblOrdenes[[#This Row],[backlog_dias]]&lt;0,"FUTURO",IF(tblOrdenes[[#This Row],[backlog_dias]]&gt;p_dias_backlog_max,"BACKLOG","MES CORRIENTE")))</f>
        <v/>
      </c>
      <c r="AB509" s="3">
        <f>IF(tblOrdenes[[#This Row],[backlog_dias]]="",FALSE,AND(tblOrdenes[[#This Row],[backlog_dias]]&gt;p_dias_backlog_min,tblOrdenes[[#This Row],[backlog_dias]]&lt;=p_dias_backlog_max))</f>
        <v/>
      </c>
      <c r="AC509" s="6" t="n"/>
      <c r="AD50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0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0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09" s="10">
        <f>IF(tblOrdenes[[#This Row],[orden]]="","",_xlfn.XLOOKUP(tblOrdenes[[#This Row],[id_operacion]],tblEjecucion[id_operacion],tblEjecucion[precio],0))</f>
        <v/>
      </c>
      <c r="AH509" s="10">
        <f>IF(tblOrdenes[[#This Row],[orden]]="","",MAX(0,_xlfn.XLOOKUP(tblOrdenes[[#This Row],[id_operacion]],tblEjecucion[id_operacion],tblEjecucion[costo_plan_total],0)-tblOrdenes[[#This Row],[costo_servicio]]))</f>
        <v/>
      </c>
      <c r="AI509" s="10">
        <f>IF(tblOrdenes[[#This Row],[orden]]="","",tblOrdenes[[#This Row],[costo_servicio]]+tblOrdenes[[#This Row],[costo_materiales]])</f>
        <v/>
      </c>
      <c r="AJ509" s="6" t="n"/>
      <c r="AK509" s="6" t="n"/>
      <c r="AL509" s="6" t="n"/>
      <c r="AM509" s="3">
        <f>IF(tblOrdenes[[#This Row],[link_checklist]]="","",HYPERLINK(p_ruta_base_checklists&amp;tblOrdenes[[#This Row],[link_checklist]],"abrir"))</f>
        <v/>
      </c>
      <c r="AN509" s="6" t="n"/>
      <c r="AO509" s="3">
        <f>IF(tblOrdenes[[#This Row],[orden]]="","",tblOrdenes[[#This Row],[orden]]&amp;IF(tblOrdenes[[#This Row],[operacion]]="","0010",tblOrdenes[[#This Row],[operacion]]))</f>
        <v/>
      </c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11" t="n"/>
      <c r="K510" s="3" t="n"/>
      <c r="L510" s="10" t="n"/>
      <c r="M510" s="6" t="n"/>
      <c r="N5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10" s="3">
        <f>IF(tblOrdenes[[#This Row],[fecha_inicio]]="","",YEAR(tblOrdenes[[#This Row],[fecha_inicio]]))</f>
        <v/>
      </c>
      <c r="R510" s="3">
        <f>IF(tblOrdenes[[#This Row],[fecha_inicio]]="","",MONTH(tblOrdenes[[#This Row],[fecha_inicio]]))</f>
        <v/>
      </c>
      <c r="S510" s="3">
        <f>IF(tblOrdenes[[#This Row],[fecha_inicio]]="","",INDEX(lista_dias,WEEKDAY(tblOrdenes[[#This Row],[fecha_inicio]],2)))</f>
        <v/>
      </c>
      <c r="T510" s="3">
        <f>IF(tblOrdenes[[#This Row],[tipo_ot]]="","",_xlfn.XLOOKUP(tblOrdenes[[#This Row],[tipo_ot]],tblTiposOT[codigo],tblTiposOT[clasificacion],"sin_clasificar"))</f>
        <v/>
      </c>
      <c r="U510" s="3">
        <f>IF(tblOrdenes[[#This Row],[centro_costo]]="","",_xlfn.XLOOKUP(tblOrdenes[[#This Row],[centro_costo]],tblCECO[codigo],tblCECO[linea],"(sin catálogo)"))</f>
        <v/>
      </c>
      <c r="V510" s="3">
        <f>IF(tblOrdenes[[#This Row],[centro_costo]]="","",_xlfn.XLOOKUP(tblOrdenes[[#This Row],[centro_costo]],tblCECO[codigo],tblCECO[area],"(sin catálogo)"))</f>
        <v/>
      </c>
      <c r="W510" s="3">
        <f>IF(tblOrdenes[[#This Row],[centro_costo]]="","",_xlfn.XLOOKUP(tblOrdenes[[#This Row],[centro_costo]],tblCECO[codigo],tblCECO[coordinador],"(sin catálogo)"))</f>
        <v/>
      </c>
      <c r="X510" s="3">
        <f>IF(tblOrdenes[[#This Row],[puesto_trabajo]]="","",_xlfn.XLOOKUP(tblOrdenes[[#This Row],[puesto_trabajo]],tblPuestos[codigo],tblPuestos[especialidad],"(sin catálogo)"))</f>
        <v/>
      </c>
      <c r="Y510" s="3">
        <f>IF(tblOrdenes[[#This Row],[cod_actividad]]="","",_xlfn.XLOOKUP(tblOrdenes[[#This Row],[cod_actividad]],tblActividades[codigo],tblActividades[descripcion],"(sin catálogo)"))</f>
        <v/>
      </c>
      <c r="Z510" s="12">
        <f>IF(tblOrdenes[[#This Row],[fecha_inicio]]="","",TODAY()-tblOrdenes[[#This Row],[fecha_inicio]])</f>
        <v/>
      </c>
      <c r="AA510" s="3">
        <f>IF(tblOrdenes[[#This Row],[backlog_dias]]="","",IF(tblOrdenes[[#This Row],[backlog_dias]]&lt;0,"FUTURO",IF(tblOrdenes[[#This Row],[backlog_dias]]&gt;p_dias_backlog_max,"BACKLOG","MES CORRIENTE")))</f>
        <v/>
      </c>
      <c r="AB510" s="3">
        <f>IF(tblOrdenes[[#This Row],[backlog_dias]]="",FALSE,AND(tblOrdenes[[#This Row],[backlog_dias]]&gt;p_dias_backlog_min,tblOrdenes[[#This Row],[backlog_dias]]&lt;=p_dias_backlog_max))</f>
        <v/>
      </c>
      <c r="AC510" s="6" t="n"/>
      <c r="AD5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10" s="10">
        <f>IF(tblOrdenes[[#This Row],[orden]]="","",_xlfn.XLOOKUP(tblOrdenes[[#This Row],[id_operacion]],tblEjecucion[id_operacion],tblEjecucion[precio],0))</f>
        <v/>
      </c>
      <c r="AH510" s="10">
        <f>IF(tblOrdenes[[#This Row],[orden]]="","",MAX(0,_xlfn.XLOOKUP(tblOrdenes[[#This Row],[id_operacion]],tblEjecucion[id_operacion],tblEjecucion[costo_plan_total],0)-tblOrdenes[[#This Row],[costo_servicio]]))</f>
        <v/>
      </c>
      <c r="AI510" s="10">
        <f>IF(tblOrdenes[[#This Row],[orden]]="","",tblOrdenes[[#This Row],[costo_servicio]]+tblOrdenes[[#This Row],[costo_materiales]])</f>
        <v/>
      </c>
      <c r="AJ510" s="6" t="n"/>
      <c r="AK510" s="6" t="n"/>
      <c r="AL510" s="6" t="n"/>
      <c r="AM510" s="3">
        <f>IF(tblOrdenes[[#This Row],[link_checklist]]="","",HYPERLINK(p_ruta_base_checklists&amp;tblOrdenes[[#This Row],[link_checklist]],"abrir"))</f>
        <v/>
      </c>
      <c r="AN510" s="6" t="n"/>
      <c r="AO510" s="3">
        <f>IF(tblOrdenes[[#This Row],[orden]]="","",tblOrdenes[[#This Row],[orden]]&amp;IF(tblOrdenes[[#This Row],[operacion]]="","0010",tblOrdenes[[#This Row],[operacion]]))</f>
        <v/>
      </c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11" t="n"/>
      <c r="K511" s="3" t="n"/>
      <c r="L511" s="10" t="n"/>
      <c r="M511" s="6" t="n"/>
      <c r="N5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11" s="3">
        <f>IF(tblOrdenes[[#This Row],[fecha_inicio]]="","",YEAR(tblOrdenes[[#This Row],[fecha_inicio]]))</f>
        <v/>
      </c>
      <c r="R511" s="3">
        <f>IF(tblOrdenes[[#This Row],[fecha_inicio]]="","",MONTH(tblOrdenes[[#This Row],[fecha_inicio]]))</f>
        <v/>
      </c>
      <c r="S511" s="3">
        <f>IF(tblOrdenes[[#This Row],[fecha_inicio]]="","",INDEX(lista_dias,WEEKDAY(tblOrdenes[[#This Row],[fecha_inicio]],2)))</f>
        <v/>
      </c>
      <c r="T511" s="3">
        <f>IF(tblOrdenes[[#This Row],[tipo_ot]]="","",_xlfn.XLOOKUP(tblOrdenes[[#This Row],[tipo_ot]],tblTiposOT[codigo],tblTiposOT[clasificacion],"sin_clasificar"))</f>
        <v/>
      </c>
      <c r="U511" s="3">
        <f>IF(tblOrdenes[[#This Row],[centro_costo]]="","",_xlfn.XLOOKUP(tblOrdenes[[#This Row],[centro_costo]],tblCECO[codigo],tblCECO[linea],"(sin catálogo)"))</f>
        <v/>
      </c>
      <c r="V511" s="3">
        <f>IF(tblOrdenes[[#This Row],[centro_costo]]="","",_xlfn.XLOOKUP(tblOrdenes[[#This Row],[centro_costo]],tblCECO[codigo],tblCECO[area],"(sin catálogo)"))</f>
        <v/>
      </c>
      <c r="W511" s="3">
        <f>IF(tblOrdenes[[#This Row],[centro_costo]]="","",_xlfn.XLOOKUP(tblOrdenes[[#This Row],[centro_costo]],tblCECO[codigo],tblCECO[coordinador],"(sin catálogo)"))</f>
        <v/>
      </c>
      <c r="X511" s="3">
        <f>IF(tblOrdenes[[#This Row],[puesto_trabajo]]="","",_xlfn.XLOOKUP(tblOrdenes[[#This Row],[puesto_trabajo]],tblPuestos[codigo],tblPuestos[especialidad],"(sin catálogo)"))</f>
        <v/>
      </c>
      <c r="Y511" s="3">
        <f>IF(tblOrdenes[[#This Row],[cod_actividad]]="","",_xlfn.XLOOKUP(tblOrdenes[[#This Row],[cod_actividad]],tblActividades[codigo],tblActividades[descripcion],"(sin catálogo)"))</f>
        <v/>
      </c>
      <c r="Z511" s="12">
        <f>IF(tblOrdenes[[#This Row],[fecha_inicio]]="","",TODAY()-tblOrdenes[[#This Row],[fecha_inicio]])</f>
        <v/>
      </c>
      <c r="AA511" s="3">
        <f>IF(tblOrdenes[[#This Row],[backlog_dias]]="","",IF(tblOrdenes[[#This Row],[backlog_dias]]&lt;0,"FUTURO",IF(tblOrdenes[[#This Row],[backlog_dias]]&gt;p_dias_backlog_max,"BACKLOG","MES CORRIENTE")))</f>
        <v/>
      </c>
      <c r="AB511" s="3">
        <f>IF(tblOrdenes[[#This Row],[backlog_dias]]="",FALSE,AND(tblOrdenes[[#This Row],[backlog_dias]]&gt;p_dias_backlog_min,tblOrdenes[[#This Row],[backlog_dias]]&lt;=p_dias_backlog_max))</f>
        <v/>
      </c>
      <c r="AC511" s="6" t="n"/>
      <c r="AD5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11" s="10">
        <f>IF(tblOrdenes[[#This Row],[orden]]="","",_xlfn.XLOOKUP(tblOrdenes[[#This Row],[id_operacion]],tblEjecucion[id_operacion],tblEjecucion[precio],0))</f>
        <v/>
      </c>
      <c r="AH511" s="10">
        <f>IF(tblOrdenes[[#This Row],[orden]]="","",MAX(0,_xlfn.XLOOKUP(tblOrdenes[[#This Row],[id_operacion]],tblEjecucion[id_operacion],tblEjecucion[costo_plan_total],0)-tblOrdenes[[#This Row],[costo_servicio]]))</f>
        <v/>
      </c>
      <c r="AI511" s="10">
        <f>IF(tblOrdenes[[#This Row],[orden]]="","",tblOrdenes[[#This Row],[costo_servicio]]+tblOrdenes[[#This Row],[costo_materiales]])</f>
        <v/>
      </c>
      <c r="AJ511" s="6" t="n"/>
      <c r="AK511" s="6" t="n"/>
      <c r="AL511" s="6" t="n"/>
      <c r="AM511" s="3">
        <f>IF(tblOrdenes[[#This Row],[link_checklist]]="","",HYPERLINK(p_ruta_base_checklists&amp;tblOrdenes[[#This Row],[link_checklist]],"abrir"))</f>
        <v/>
      </c>
      <c r="AN511" s="6" t="n"/>
      <c r="AO511" s="3">
        <f>IF(tblOrdenes[[#This Row],[orden]]="","",tblOrdenes[[#This Row],[orden]]&amp;IF(tblOrdenes[[#This Row],[operacion]]="","0010",tblOrdenes[[#This Row],[operacion]]))</f>
        <v/>
      </c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11" t="n"/>
      <c r="K512" s="3" t="n"/>
      <c r="L512" s="10" t="n"/>
      <c r="M512" s="6" t="n"/>
      <c r="N5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12" s="3">
        <f>IF(tblOrdenes[[#This Row],[fecha_inicio]]="","",YEAR(tblOrdenes[[#This Row],[fecha_inicio]]))</f>
        <v/>
      </c>
      <c r="R512" s="3">
        <f>IF(tblOrdenes[[#This Row],[fecha_inicio]]="","",MONTH(tblOrdenes[[#This Row],[fecha_inicio]]))</f>
        <v/>
      </c>
      <c r="S512" s="3">
        <f>IF(tblOrdenes[[#This Row],[fecha_inicio]]="","",INDEX(lista_dias,WEEKDAY(tblOrdenes[[#This Row],[fecha_inicio]],2)))</f>
        <v/>
      </c>
      <c r="T512" s="3">
        <f>IF(tblOrdenes[[#This Row],[tipo_ot]]="","",_xlfn.XLOOKUP(tblOrdenes[[#This Row],[tipo_ot]],tblTiposOT[codigo],tblTiposOT[clasificacion],"sin_clasificar"))</f>
        <v/>
      </c>
      <c r="U512" s="3">
        <f>IF(tblOrdenes[[#This Row],[centro_costo]]="","",_xlfn.XLOOKUP(tblOrdenes[[#This Row],[centro_costo]],tblCECO[codigo],tblCECO[linea],"(sin catálogo)"))</f>
        <v/>
      </c>
      <c r="V512" s="3">
        <f>IF(tblOrdenes[[#This Row],[centro_costo]]="","",_xlfn.XLOOKUP(tblOrdenes[[#This Row],[centro_costo]],tblCECO[codigo],tblCECO[area],"(sin catálogo)"))</f>
        <v/>
      </c>
      <c r="W512" s="3">
        <f>IF(tblOrdenes[[#This Row],[centro_costo]]="","",_xlfn.XLOOKUP(tblOrdenes[[#This Row],[centro_costo]],tblCECO[codigo],tblCECO[coordinador],"(sin catálogo)"))</f>
        <v/>
      </c>
      <c r="X512" s="3">
        <f>IF(tblOrdenes[[#This Row],[puesto_trabajo]]="","",_xlfn.XLOOKUP(tblOrdenes[[#This Row],[puesto_trabajo]],tblPuestos[codigo],tblPuestos[especialidad],"(sin catálogo)"))</f>
        <v/>
      </c>
      <c r="Y512" s="3">
        <f>IF(tblOrdenes[[#This Row],[cod_actividad]]="","",_xlfn.XLOOKUP(tblOrdenes[[#This Row],[cod_actividad]],tblActividades[codigo],tblActividades[descripcion],"(sin catálogo)"))</f>
        <v/>
      </c>
      <c r="Z512" s="12">
        <f>IF(tblOrdenes[[#This Row],[fecha_inicio]]="","",TODAY()-tblOrdenes[[#This Row],[fecha_inicio]])</f>
        <v/>
      </c>
      <c r="AA512" s="3">
        <f>IF(tblOrdenes[[#This Row],[backlog_dias]]="","",IF(tblOrdenes[[#This Row],[backlog_dias]]&lt;0,"FUTURO",IF(tblOrdenes[[#This Row],[backlog_dias]]&gt;p_dias_backlog_max,"BACKLOG","MES CORRIENTE")))</f>
        <v/>
      </c>
      <c r="AB512" s="3">
        <f>IF(tblOrdenes[[#This Row],[backlog_dias]]="",FALSE,AND(tblOrdenes[[#This Row],[backlog_dias]]&gt;p_dias_backlog_min,tblOrdenes[[#This Row],[backlog_dias]]&lt;=p_dias_backlog_max))</f>
        <v/>
      </c>
      <c r="AC512" s="6" t="n"/>
      <c r="AD5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12" s="10">
        <f>IF(tblOrdenes[[#This Row],[orden]]="","",_xlfn.XLOOKUP(tblOrdenes[[#This Row],[id_operacion]],tblEjecucion[id_operacion],tblEjecucion[precio],0))</f>
        <v/>
      </c>
      <c r="AH512" s="10">
        <f>IF(tblOrdenes[[#This Row],[orden]]="","",MAX(0,_xlfn.XLOOKUP(tblOrdenes[[#This Row],[id_operacion]],tblEjecucion[id_operacion],tblEjecucion[costo_plan_total],0)-tblOrdenes[[#This Row],[costo_servicio]]))</f>
        <v/>
      </c>
      <c r="AI512" s="10">
        <f>IF(tblOrdenes[[#This Row],[orden]]="","",tblOrdenes[[#This Row],[costo_servicio]]+tblOrdenes[[#This Row],[costo_materiales]])</f>
        <v/>
      </c>
      <c r="AJ512" s="6" t="n"/>
      <c r="AK512" s="6" t="n"/>
      <c r="AL512" s="6" t="n"/>
      <c r="AM512" s="3">
        <f>IF(tblOrdenes[[#This Row],[link_checklist]]="","",HYPERLINK(p_ruta_base_checklists&amp;tblOrdenes[[#This Row],[link_checklist]],"abrir"))</f>
        <v/>
      </c>
      <c r="AN512" s="6" t="n"/>
      <c r="AO512" s="3">
        <f>IF(tblOrdenes[[#This Row],[orden]]="","",tblOrdenes[[#This Row],[orden]]&amp;IF(tblOrdenes[[#This Row],[operacion]]="","0010",tblOrdenes[[#This Row],[operacion]]))</f>
        <v/>
      </c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11" t="n"/>
      <c r="K513" s="3" t="n"/>
      <c r="L513" s="10" t="n"/>
      <c r="M513" s="6" t="n"/>
      <c r="N5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13" s="3">
        <f>IF(tblOrdenes[[#This Row],[fecha_inicio]]="","",YEAR(tblOrdenes[[#This Row],[fecha_inicio]]))</f>
        <v/>
      </c>
      <c r="R513" s="3">
        <f>IF(tblOrdenes[[#This Row],[fecha_inicio]]="","",MONTH(tblOrdenes[[#This Row],[fecha_inicio]]))</f>
        <v/>
      </c>
      <c r="S513" s="3">
        <f>IF(tblOrdenes[[#This Row],[fecha_inicio]]="","",INDEX(lista_dias,WEEKDAY(tblOrdenes[[#This Row],[fecha_inicio]],2)))</f>
        <v/>
      </c>
      <c r="T513" s="3">
        <f>IF(tblOrdenes[[#This Row],[tipo_ot]]="","",_xlfn.XLOOKUP(tblOrdenes[[#This Row],[tipo_ot]],tblTiposOT[codigo],tblTiposOT[clasificacion],"sin_clasificar"))</f>
        <v/>
      </c>
      <c r="U513" s="3">
        <f>IF(tblOrdenes[[#This Row],[centro_costo]]="","",_xlfn.XLOOKUP(tblOrdenes[[#This Row],[centro_costo]],tblCECO[codigo],tblCECO[linea],"(sin catálogo)"))</f>
        <v/>
      </c>
      <c r="V513" s="3">
        <f>IF(tblOrdenes[[#This Row],[centro_costo]]="","",_xlfn.XLOOKUP(tblOrdenes[[#This Row],[centro_costo]],tblCECO[codigo],tblCECO[area],"(sin catálogo)"))</f>
        <v/>
      </c>
      <c r="W513" s="3">
        <f>IF(tblOrdenes[[#This Row],[centro_costo]]="","",_xlfn.XLOOKUP(tblOrdenes[[#This Row],[centro_costo]],tblCECO[codigo],tblCECO[coordinador],"(sin catálogo)"))</f>
        <v/>
      </c>
      <c r="X513" s="3">
        <f>IF(tblOrdenes[[#This Row],[puesto_trabajo]]="","",_xlfn.XLOOKUP(tblOrdenes[[#This Row],[puesto_trabajo]],tblPuestos[codigo],tblPuestos[especialidad],"(sin catálogo)"))</f>
        <v/>
      </c>
      <c r="Y513" s="3">
        <f>IF(tblOrdenes[[#This Row],[cod_actividad]]="","",_xlfn.XLOOKUP(tblOrdenes[[#This Row],[cod_actividad]],tblActividades[codigo],tblActividades[descripcion],"(sin catálogo)"))</f>
        <v/>
      </c>
      <c r="Z513" s="12">
        <f>IF(tblOrdenes[[#This Row],[fecha_inicio]]="","",TODAY()-tblOrdenes[[#This Row],[fecha_inicio]])</f>
        <v/>
      </c>
      <c r="AA513" s="3">
        <f>IF(tblOrdenes[[#This Row],[backlog_dias]]="","",IF(tblOrdenes[[#This Row],[backlog_dias]]&lt;0,"FUTURO",IF(tblOrdenes[[#This Row],[backlog_dias]]&gt;p_dias_backlog_max,"BACKLOG","MES CORRIENTE")))</f>
        <v/>
      </c>
      <c r="AB513" s="3">
        <f>IF(tblOrdenes[[#This Row],[backlog_dias]]="",FALSE,AND(tblOrdenes[[#This Row],[backlog_dias]]&gt;p_dias_backlog_min,tblOrdenes[[#This Row],[backlog_dias]]&lt;=p_dias_backlog_max))</f>
        <v/>
      </c>
      <c r="AC513" s="6" t="n"/>
      <c r="AD5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13" s="10">
        <f>IF(tblOrdenes[[#This Row],[orden]]="","",_xlfn.XLOOKUP(tblOrdenes[[#This Row],[id_operacion]],tblEjecucion[id_operacion],tblEjecucion[precio],0))</f>
        <v/>
      </c>
      <c r="AH513" s="10">
        <f>IF(tblOrdenes[[#This Row],[orden]]="","",MAX(0,_xlfn.XLOOKUP(tblOrdenes[[#This Row],[id_operacion]],tblEjecucion[id_operacion],tblEjecucion[costo_plan_total],0)-tblOrdenes[[#This Row],[costo_servicio]]))</f>
        <v/>
      </c>
      <c r="AI513" s="10">
        <f>IF(tblOrdenes[[#This Row],[orden]]="","",tblOrdenes[[#This Row],[costo_servicio]]+tblOrdenes[[#This Row],[costo_materiales]])</f>
        <v/>
      </c>
      <c r="AJ513" s="6" t="n"/>
      <c r="AK513" s="6" t="n"/>
      <c r="AL513" s="6" t="n"/>
      <c r="AM513" s="3">
        <f>IF(tblOrdenes[[#This Row],[link_checklist]]="","",HYPERLINK(p_ruta_base_checklists&amp;tblOrdenes[[#This Row],[link_checklist]],"abrir"))</f>
        <v/>
      </c>
      <c r="AN513" s="6" t="n"/>
      <c r="AO513" s="3">
        <f>IF(tblOrdenes[[#This Row],[orden]]="","",tblOrdenes[[#This Row],[orden]]&amp;IF(tblOrdenes[[#This Row],[operacion]]="","0010",tblOrdenes[[#This Row],[operacion]]))</f>
        <v/>
      </c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11" t="n"/>
      <c r="K514" s="3" t="n"/>
      <c r="L514" s="10" t="n"/>
      <c r="M514" s="6" t="n"/>
      <c r="N5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14" s="3">
        <f>IF(tblOrdenes[[#This Row],[fecha_inicio]]="","",YEAR(tblOrdenes[[#This Row],[fecha_inicio]]))</f>
        <v/>
      </c>
      <c r="R514" s="3">
        <f>IF(tblOrdenes[[#This Row],[fecha_inicio]]="","",MONTH(tblOrdenes[[#This Row],[fecha_inicio]]))</f>
        <v/>
      </c>
      <c r="S514" s="3">
        <f>IF(tblOrdenes[[#This Row],[fecha_inicio]]="","",INDEX(lista_dias,WEEKDAY(tblOrdenes[[#This Row],[fecha_inicio]],2)))</f>
        <v/>
      </c>
      <c r="T514" s="3">
        <f>IF(tblOrdenes[[#This Row],[tipo_ot]]="","",_xlfn.XLOOKUP(tblOrdenes[[#This Row],[tipo_ot]],tblTiposOT[codigo],tblTiposOT[clasificacion],"sin_clasificar"))</f>
        <v/>
      </c>
      <c r="U514" s="3">
        <f>IF(tblOrdenes[[#This Row],[centro_costo]]="","",_xlfn.XLOOKUP(tblOrdenes[[#This Row],[centro_costo]],tblCECO[codigo],tblCECO[linea],"(sin catálogo)"))</f>
        <v/>
      </c>
      <c r="V514" s="3">
        <f>IF(tblOrdenes[[#This Row],[centro_costo]]="","",_xlfn.XLOOKUP(tblOrdenes[[#This Row],[centro_costo]],tblCECO[codigo],tblCECO[area],"(sin catálogo)"))</f>
        <v/>
      </c>
      <c r="W514" s="3">
        <f>IF(tblOrdenes[[#This Row],[centro_costo]]="","",_xlfn.XLOOKUP(tblOrdenes[[#This Row],[centro_costo]],tblCECO[codigo],tblCECO[coordinador],"(sin catálogo)"))</f>
        <v/>
      </c>
      <c r="X514" s="3">
        <f>IF(tblOrdenes[[#This Row],[puesto_trabajo]]="","",_xlfn.XLOOKUP(tblOrdenes[[#This Row],[puesto_trabajo]],tblPuestos[codigo],tblPuestos[especialidad],"(sin catálogo)"))</f>
        <v/>
      </c>
      <c r="Y514" s="3">
        <f>IF(tblOrdenes[[#This Row],[cod_actividad]]="","",_xlfn.XLOOKUP(tblOrdenes[[#This Row],[cod_actividad]],tblActividades[codigo],tblActividades[descripcion],"(sin catálogo)"))</f>
        <v/>
      </c>
      <c r="Z514" s="12">
        <f>IF(tblOrdenes[[#This Row],[fecha_inicio]]="","",TODAY()-tblOrdenes[[#This Row],[fecha_inicio]])</f>
        <v/>
      </c>
      <c r="AA514" s="3">
        <f>IF(tblOrdenes[[#This Row],[backlog_dias]]="","",IF(tblOrdenes[[#This Row],[backlog_dias]]&lt;0,"FUTURO",IF(tblOrdenes[[#This Row],[backlog_dias]]&gt;p_dias_backlog_max,"BACKLOG","MES CORRIENTE")))</f>
        <v/>
      </c>
      <c r="AB514" s="3">
        <f>IF(tblOrdenes[[#This Row],[backlog_dias]]="",FALSE,AND(tblOrdenes[[#This Row],[backlog_dias]]&gt;p_dias_backlog_min,tblOrdenes[[#This Row],[backlog_dias]]&lt;=p_dias_backlog_max))</f>
        <v/>
      </c>
      <c r="AC514" s="6" t="n"/>
      <c r="AD5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14" s="10">
        <f>IF(tblOrdenes[[#This Row],[orden]]="","",_xlfn.XLOOKUP(tblOrdenes[[#This Row],[id_operacion]],tblEjecucion[id_operacion],tblEjecucion[precio],0))</f>
        <v/>
      </c>
      <c r="AH514" s="10">
        <f>IF(tblOrdenes[[#This Row],[orden]]="","",MAX(0,_xlfn.XLOOKUP(tblOrdenes[[#This Row],[id_operacion]],tblEjecucion[id_operacion],tblEjecucion[costo_plan_total],0)-tblOrdenes[[#This Row],[costo_servicio]]))</f>
        <v/>
      </c>
      <c r="AI514" s="10">
        <f>IF(tblOrdenes[[#This Row],[orden]]="","",tblOrdenes[[#This Row],[costo_servicio]]+tblOrdenes[[#This Row],[costo_materiales]])</f>
        <v/>
      </c>
      <c r="AJ514" s="6" t="n"/>
      <c r="AK514" s="6" t="n"/>
      <c r="AL514" s="6" t="n"/>
      <c r="AM514" s="3">
        <f>IF(tblOrdenes[[#This Row],[link_checklist]]="","",HYPERLINK(p_ruta_base_checklists&amp;tblOrdenes[[#This Row],[link_checklist]],"abrir"))</f>
        <v/>
      </c>
      <c r="AN514" s="6" t="n"/>
      <c r="AO514" s="3">
        <f>IF(tblOrdenes[[#This Row],[orden]]="","",tblOrdenes[[#This Row],[orden]]&amp;IF(tblOrdenes[[#This Row],[operacion]]="","0010",tblOrdenes[[#This Row],[operacion]]))</f>
        <v/>
      </c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11" t="n"/>
      <c r="K515" s="3" t="n"/>
      <c r="L515" s="10" t="n"/>
      <c r="M515" s="6" t="n"/>
      <c r="N5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15" s="3">
        <f>IF(tblOrdenes[[#This Row],[fecha_inicio]]="","",YEAR(tblOrdenes[[#This Row],[fecha_inicio]]))</f>
        <v/>
      </c>
      <c r="R515" s="3">
        <f>IF(tblOrdenes[[#This Row],[fecha_inicio]]="","",MONTH(tblOrdenes[[#This Row],[fecha_inicio]]))</f>
        <v/>
      </c>
      <c r="S515" s="3">
        <f>IF(tblOrdenes[[#This Row],[fecha_inicio]]="","",INDEX(lista_dias,WEEKDAY(tblOrdenes[[#This Row],[fecha_inicio]],2)))</f>
        <v/>
      </c>
      <c r="T515" s="3">
        <f>IF(tblOrdenes[[#This Row],[tipo_ot]]="","",_xlfn.XLOOKUP(tblOrdenes[[#This Row],[tipo_ot]],tblTiposOT[codigo],tblTiposOT[clasificacion],"sin_clasificar"))</f>
        <v/>
      </c>
      <c r="U515" s="3">
        <f>IF(tblOrdenes[[#This Row],[centro_costo]]="","",_xlfn.XLOOKUP(tblOrdenes[[#This Row],[centro_costo]],tblCECO[codigo],tblCECO[linea],"(sin catálogo)"))</f>
        <v/>
      </c>
      <c r="V515" s="3">
        <f>IF(tblOrdenes[[#This Row],[centro_costo]]="","",_xlfn.XLOOKUP(tblOrdenes[[#This Row],[centro_costo]],tblCECO[codigo],tblCECO[area],"(sin catálogo)"))</f>
        <v/>
      </c>
      <c r="W515" s="3">
        <f>IF(tblOrdenes[[#This Row],[centro_costo]]="","",_xlfn.XLOOKUP(tblOrdenes[[#This Row],[centro_costo]],tblCECO[codigo],tblCECO[coordinador],"(sin catálogo)"))</f>
        <v/>
      </c>
      <c r="X515" s="3">
        <f>IF(tblOrdenes[[#This Row],[puesto_trabajo]]="","",_xlfn.XLOOKUP(tblOrdenes[[#This Row],[puesto_trabajo]],tblPuestos[codigo],tblPuestos[especialidad],"(sin catálogo)"))</f>
        <v/>
      </c>
      <c r="Y515" s="3">
        <f>IF(tblOrdenes[[#This Row],[cod_actividad]]="","",_xlfn.XLOOKUP(tblOrdenes[[#This Row],[cod_actividad]],tblActividades[codigo],tblActividades[descripcion],"(sin catálogo)"))</f>
        <v/>
      </c>
      <c r="Z515" s="12">
        <f>IF(tblOrdenes[[#This Row],[fecha_inicio]]="","",TODAY()-tblOrdenes[[#This Row],[fecha_inicio]])</f>
        <v/>
      </c>
      <c r="AA515" s="3">
        <f>IF(tblOrdenes[[#This Row],[backlog_dias]]="","",IF(tblOrdenes[[#This Row],[backlog_dias]]&lt;0,"FUTURO",IF(tblOrdenes[[#This Row],[backlog_dias]]&gt;p_dias_backlog_max,"BACKLOG","MES CORRIENTE")))</f>
        <v/>
      </c>
      <c r="AB515" s="3">
        <f>IF(tblOrdenes[[#This Row],[backlog_dias]]="",FALSE,AND(tblOrdenes[[#This Row],[backlog_dias]]&gt;p_dias_backlog_min,tblOrdenes[[#This Row],[backlog_dias]]&lt;=p_dias_backlog_max))</f>
        <v/>
      </c>
      <c r="AC515" s="6" t="n"/>
      <c r="AD5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15" s="10">
        <f>IF(tblOrdenes[[#This Row],[orden]]="","",_xlfn.XLOOKUP(tblOrdenes[[#This Row],[id_operacion]],tblEjecucion[id_operacion],tblEjecucion[precio],0))</f>
        <v/>
      </c>
      <c r="AH515" s="10">
        <f>IF(tblOrdenes[[#This Row],[orden]]="","",MAX(0,_xlfn.XLOOKUP(tblOrdenes[[#This Row],[id_operacion]],tblEjecucion[id_operacion],tblEjecucion[costo_plan_total],0)-tblOrdenes[[#This Row],[costo_servicio]]))</f>
        <v/>
      </c>
      <c r="AI515" s="10">
        <f>IF(tblOrdenes[[#This Row],[orden]]="","",tblOrdenes[[#This Row],[costo_servicio]]+tblOrdenes[[#This Row],[costo_materiales]])</f>
        <v/>
      </c>
      <c r="AJ515" s="6" t="n"/>
      <c r="AK515" s="6" t="n"/>
      <c r="AL515" s="6" t="n"/>
      <c r="AM515" s="3">
        <f>IF(tblOrdenes[[#This Row],[link_checklist]]="","",HYPERLINK(p_ruta_base_checklists&amp;tblOrdenes[[#This Row],[link_checklist]],"abrir"))</f>
        <v/>
      </c>
      <c r="AN515" s="6" t="n"/>
      <c r="AO515" s="3">
        <f>IF(tblOrdenes[[#This Row],[orden]]="","",tblOrdenes[[#This Row],[orden]]&amp;IF(tblOrdenes[[#This Row],[operacion]]="","0010",tblOrdenes[[#This Row],[operacion]]))</f>
        <v/>
      </c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11" t="n"/>
      <c r="K516" s="3" t="n"/>
      <c r="L516" s="10" t="n"/>
      <c r="M516" s="6" t="n"/>
      <c r="N5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16" s="3">
        <f>IF(tblOrdenes[[#This Row],[fecha_inicio]]="","",YEAR(tblOrdenes[[#This Row],[fecha_inicio]]))</f>
        <v/>
      </c>
      <c r="R516" s="3">
        <f>IF(tblOrdenes[[#This Row],[fecha_inicio]]="","",MONTH(tblOrdenes[[#This Row],[fecha_inicio]]))</f>
        <v/>
      </c>
      <c r="S516" s="3">
        <f>IF(tblOrdenes[[#This Row],[fecha_inicio]]="","",INDEX(lista_dias,WEEKDAY(tblOrdenes[[#This Row],[fecha_inicio]],2)))</f>
        <v/>
      </c>
      <c r="T516" s="3">
        <f>IF(tblOrdenes[[#This Row],[tipo_ot]]="","",_xlfn.XLOOKUP(tblOrdenes[[#This Row],[tipo_ot]],tblTiposOT[codigo],tblTiposOT[clasificacion],"sin_clasificar"))</f>
        <v/>
      </c>
      <c r="U516" s="3">
        <f>IF(tblOrdenes[[#This Row],[centro_costo]]="","",_xlfn.XLOOKUP(tblOrdenes[[#This Row],[centro_costo]],tblCECO[codigo],tblCECO[linea],"(sin catálogo)"))</f>
        <v/>
      </c>
      <c r="V516" s="3">
        <f>IF(tblOrdenes[[#This Row],[centro_costo]]="","",_xlfn.XLOOKUP(tblOrdenes[[#This Row],[centro_costo]],tblCECO[codigo],tblCECO[area],"(sin catálogo)"))</f>
        <v/>
      </c>
      <c r="W516" s="3">
        <f>IF(tblOrdenes[[#This Row],[centro_costo]]="","",_xlfn.XLOOKUP(tblOrdenes[[#This Row],[centro_costo]],tblCECO[codigo],tblCECO[coordinador],"(sin catálogo)"))</f>
        <v/>
      </c>
      <c r="X516" s="3">
        <f>IF(tblOrdenes[[#This Row],[puesto_trabajo]]="","",_xlfn.XLOOKUP(tblOrdenes[[#This Row],[puesto_trabajo]],tblPuestos[codigo],tblPuestos[especialidad],"(sin catálogo)"))</f>
        <v/>
      </c>
      <c r="Y516" s="3">
        <f>IF(tblOrdenes[[#This Row],[cod_actividad]]="","",_xlfn.XLOOKUP(tblOrdenes[[#This Row],[cod_actividad]],tblActividades[codigo],tblActividades[descripcion],"(sin catálogo)"))</f>
        <v/>
      </c>
      <c r="Z516" s="12">
        <f>IF(tblOrdenes[[#This Row],[fecha_inicio]]="","",TODAY()-tblOrdenes[[#This Row],[fecha_inicio]])</f>
        <v/>
      </c>
      <c r="AA516" s="3">
        <f>IF(tblOrdenes[[#This Row],[backlog_dias]]="","",IF(tblOrdenes[[#This Row],[backlog_dias]]&lt;0,"FUTURO",IF(tblOrdenes[[#This Row],[backlog_dias]]&gt;p_dias_backlog_max,"BACKLOG","MES CORRIENTE")))</f>
        <v/>
      </c>
      <c r="AB516" s="3">
        <f>IF(tblOrdenes[[#This Row],[backlog_dias]]="",FALSE,AND(tblOrdenes[[#This Row],[backlog_dias]]&gt;p_dias_backlog_min,tblOrdenes[[#This Row],[backlog_dias]]&lt;=p_dias_backlog_max))</f>
        <v/>
      </c>
      <c r="AC516" s="6" t="n"/>
      <c r="AD5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16" s="10">
        <f>IF(tblOrdenes[[#This Row],[orden]]="","",_xlfn.XLOOKUP(tblOrdenes[[#This Row],[id_operacion]],tblEjecucion[id_operacion],tblEjecucion[precio],0))</f>
        <v/>
      </c>
      <c r="AH516" s="10">
        <f>IF(tblOrdenes[[#This Row],[orden]]="","",MAX(0,_xlfn.XLOOKUP(tblOrdenes[[#This Row],[id_operacion]],tblEjecucion[id_operacion],tblEjecucion[costo_plan_total],0)-tblOrdenes[[#This Row],[costo_servicio]]))</f>
        <v/>
      </c>
      <c r="AI516" s="10">
        <f>IF(tblOrdenes[[#This Row],[orden]]="","",tblOrdenes[[#This Row],[costo_servicio]]+tblOrdenes[[#This Row],[costo_materiales]])</f>
        <v/>
      </c>
      <c r="AJ516" s="6" t="n"/>
      <c r="AK516" s="6" t="n"/>
      <c r="AL516" s="6" t="n"/>
      <c r="AM516" s="3">
        <f>IF(tblOrdenes[[#This Row],[link_checklist]]="","",HYPERLINK(p_ruta_base_checklists&amp;tblOrdenes[[#This Row],[link_checklist]],"abrir"))</f>
        <v/>
      </c>
      <c r="AN516" s="6" t="n"/>
      <c r="AO516" s="3">
        <f>IF(tblOrdenes[[#This Row],[orden]]="","",tblOrdenes[[#This Row],[orden]]&amp;IF(tblOrdenes[[#This Row],[operacion]]="","0010",tblOrdenes[[#This Row],[operacion]]))</f>
        <v/>
      </c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11" t="n"/>
      <c r="K517" s="3" t="n"/>
      <c r="L517" s="10" t="n"/>
      <c r="M517" s="6" t="n"/>
      <c r="N5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17" s="3">
        <f>IF(tblOrdenes[[#This Row],[fecha_inicio]]="","",YEAR(tblOrdenes[[#This Row],[fecha_inicio]]))</f>
        <v/>
      </c>
      <c r="R517" s="3">
        <f>IF(tblOrdenes[[#This Row],[fecha_inicio]]="","",MONTH(tblOrdenes[[#This Row],[fecha_inicio]]))</f>
        <v/>
      </c>
      <c r="S517" s="3">
        <f>IF(tblOrdenes[[#This Row],[fecha_inicio]]="","",INDEX(lista_dias,WEEKDAY(tblOrdenes[[#This Row],[fecha_inicio]],2)))</f>
        <v/>
      </c>
      <c r="T517" s="3">
        <f>IF(tblOrdenes[[#This Row],[tipo_ot]]="","",_xlfn.XLOOKUP(tblOrdenes[[#This Row],[tipo_ot]],tblTiposOT[codigo],tblTiposOT[clasificacion],"sin_clasificar"))</f>
        <v/>
      </c>
      <c r="U517" s="3">
        <f>IF(tblOrdenes[[#This Row],[centro_costo]]="","",_xlfn.XLOOKUP(tblOrdenes[[#This Row],[centro_costo]],tblCECO[codigo],tblCECO[linea],"(sin catálogo)"))</f>
        <v/>
      </c>
      <c r="V517" s="3">
        <f>IF(tblOrdenes[[#This Row],[centro_costo]]="","",_xlfn.XLOOKUP(tblOrdenes[[#This Row],[centro_costo]],tblCECO[codigo],tblCECO[area],"(sin catálogo)"))</f>
        <v/>
      </c>
      <c r="W517" s="3">
        <f>IF(tblOrdenes[[#This Row],[centro_costo]]="","",_xlfn.XLOOKUP(tblOrdenes[[#This Row],[centro_costo]],tblCECO[codigo],tblCECO[coordinador],"(sin catálogo)"))</f>
        <v/>
      </c>
      <c r="X517" s="3">
        <f>IF(tblOrdenes[[#This Row],[puesto_trabajo]]="","",_xlfn.XLOOKUP(tblOrdenes[[#This Row],[puesto_trabajo]],tblPuestos[codigo],tblPuestos[especialidad],"(sin catálogo)"))</f>
        <v/>
      </c>
      <c r="Y517" s="3">
        <f>IF(tblOrdenes[[#This Row],[cod_actividad]]="","",_xlfn.XLOOKUP(tblOrdenes[[#This Row],[cod_actividad]],tblActividades[codigo],tblActividades[descripcion],"(sin catálogo)"))</f>
        <v/>
      </c>
      <c r="Z517" s="12">
        <f>IF(tblOrdenes[[#This Row],[fecha_inicio]]="","",TODAY()-tblOrdenes[[#This Row],[fecha_inicio]])</f>
        <v/>
      </c>
      <c r="AA517" s="3">
        <f>IF(tblOrdenes[[#This Row],[backlog_dias]]="","",IF(tblOrdenes[[#This Row],[backlog_dias]]&lt;0,"FUTURO",IF(tblOrdenes[[#This Row],[backlog_dias]]&gt;p_dias_backlog_max,"BACKLOG","MES CORRIENTE")))</f>
        <v/>
      </c>
      <c r="AB517" s="3">
        <f>IF(tblOrdenes[[#This Row],[backlog_dias]]="",FALSE,AND(tblOrdenes[[#This Row],[backlog_dias]]&gt;p_dias_backlog_min,tblOrdenes[[#This Row],[backlog_dias]]&lt;=p_dias_backlog_max))</f>
        <v/>
      </c>
      <c r="AC517" s="6" t="n"/>
      <c r="AD5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17" s="10">
        <f>IF(tblOrdenes[[#This Row],[orden]]="","",_xlfn.XLOOKUP(tblOrdenes[[#This Row],[id_operacion]],tblEjecucion[id_operacion],tblEjecucion[precio],0))</f>
        <v/>
      </c>
      <c r="AH517" s="10">
        <f>IF(tblOrdenes[[#This Row],[orden]]="","",MAX(0,_xlfn.XLOOKUP(tblOrdenes[[#This Row],[id_operacion]],tblEjecucion[id_operacion],tblEjecucion[costo_plan_total],0)-tblOrdenes[[#This Row],[costo_servicio]]))</f>
        <v/>
      </c>
      <c r="AI517" s="10">
        <f>IF(tblOrdenes[[#This Row],[orden]]="","",tblOrdenes[[#This Row],[costo_servicio]]+tblOrdenes[[#This Row],[costo_materiales]])</f>
        <v/>
      </c>
      <c r="AJ517" s="6" t="n"/>
      <c r="AK517" s="6" t="n"/>
      <c r="AL517" s="6" t="n"/>
      <c r="AM517" s="3">
        <f>IF(tblOrdenes[[#This Row],[link_checklist]]="","",HYPERLINK(p_ruta_base_checklists&amp;tblOrdenes[[#This Row],[link_checklist]],"abrir"))</f>
        <v/>
      </c>
      <c r="AN517" s="6" t="n"/>
      <c r="AO517" s="3">
        <f>IF(tblOrdenes[[#This Row],[orden]]="","",tblOrdenes[[#This Row],[orden]]&amp;IF(tblOrdenes[[#This Row],[operacion]]="","0010",tblOrdenes[[#This Row],[operacion]]))</f>
        <v/>
      </c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11" t="n"/>
      <c r="K518" s="3" t="n"/>
      <c r="L518" s="10" t="n"/>
      <c r="M518" s="6" t="n"/>
      <c r="N5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18" s="3">
        <f>IF(tblOrdenes[[#This Row],[fecha_inicio]]="","",YEAR(tblOrdenes[[#This Row],[fecha_inicio]]))</f>
        <v/>
      </c>
      <c r="R518" s="3">
        <f>IF(tblOrdenes[[#This Row],[fecha_inicio]]="","",MONTH(tblOrdenes[[#This Row],[fecha_inicio]]))</f>
        <v/>
      </c>
      <c r="S518" s="3">
        <f>IF(tblOrdenes[[#This Row],[fecha_inicio]]="","",INDEX(lista_dias,WEEKDAY(tblOrdenes[[#This Row],[fecha_inicio]],2)))</f>
        <v/>
      </c>
      <c r="T518" s="3">
        <f>IF(tblOrdenes[[#This Row],[tipo_ot]]="","",_xlfn.XLOOKUP(tblOrdenes[[#This Row],[tipo_ot]],tblTiposOT[codigo],tblTiposOT[clasificacion],"sin_clasificar"))</f>
        <v/>
      </c>
      <c r="U518" s="3">
        <f>IF(tblOrdenes[[#This Row],[centro_costo]]="","",_xlfn.XLOOKUP(tblOrdenes[[#This Row],[centro_costo]],tblCECO[codigo],tblCECO[linea],"(sin catálogo)"))</f>
        <v/>
      </c>
      <c r="V518" s="3">
        <f>IF(tblOrdenes[[#This Row],[centro_costo]]="","",_xlfn.XLOOKUP(tblOrdenes[[#This Row],[centro_costo]],tblCECO[codigo],tblCECO[area],"(sin catálogo)"))</f>
        <v/>
      </c>
      <c r="W518" s="3">
        <f>IF(tblOrdenes[[#This Row],[centro_costo]]="","",_xlfn.XLOOKUP(tblOrdenes[[#This Row],[centro_costo]],tblCECO[codigo],tblCECO[coordinador],"(sin catálogo)"))</f>
        <v/>
      </c>
      <c r="X518" s="3">
        <f>IF(tblOrdenes[[#This Row],[puesto_trabajo]]="","",_xlfn.XLOOKUP(tblOrdenes[[#This Row],[puesto_trabajo]],tblPuestos[codigo],tblPuestos[especialidad],"(sin catálogo)"))</f>
        <v/>
      </c>
      <c r="Y518" s="3">
        <f>IF(tblOrdenes[[#This Row],[cod_actividad]]="","",_xlfn.XLOOKUP(tblOrdenes[[#This Row],[cod_actividad]],tblActividades[codigo],tblActividades[descripcion],"(sin catálogo)"))</f>
        <v/>
      </c>
      <c r="Z518" s="12">
        <f>IF(tblOrdenes[[#This Row],[fecha_inicio]]="","",TODAY()-tblOrdenes[[#This Row],[fecha_inicio]])</f>
        <v/>
      </c>
      <c r="AA518" s="3">
        <f>IF(tblOrdenes[[#This Row],[backlog_dias]]="","",IF(tblOrdenes[[#This Row],[backlog_dias]]&lt;0,"FUTURO",IF(tblOrdenes[[#This Row],[backlog_dias]]&gt;p_dias_backlog_max,"BACKLOG","MES CORRIENTE")))</f>
        <v/>
      </c>
      <c r="AB518" s="3">
        <f>IF(tblOrdenes[[#This Row],[backlog_dias]]="",FALSE,AND(tblOrdenes[[#This Row],[backlog_dias]]&gt;p_dias_backlog_min,tblOrdenes[[#This Row],[backlog_dias]]&lt;=p_dias_backlog_max))</f>
        <v/>
      </c>
      <c r="AC518" s="6" t="n"/>
      <c r="AD5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18" s="10">
        <f>IF(tblOrdenes[[#This Row],[orden]]="","",_xlfn.XLOOKUP(tblOrdenes[[#This Row],[id_operacion]],tblEjecucion[id_operacion],tblEjecucion[precio],0))</f>
        <v/>
      </c>
      <c r="AH518" s="10">
        <f>IF(tblOrdenes[[#This Row],[orden]]="","",MAX(0,_xlfn.XLOOKUP(tblOrdenes[[#This Row],[id_operacion]],tblEjecucion[id_operacion],tblEjecucion[costo_plan_total],0)-tblOrdenes[[#This Row],[costo_servicio]]))</f>
        <v/>
      </c>
      <c r="AI518" s="10">
        <f>IF(tblOrdenes[[#This Row],[orden]]="","",tblOrdenes[[#This Row],[costo_servicio]]+tblOrdenes[[#This Row],[costo_materiales]])</f>
        <v/>
      </c>
      <c r="AJ518" s="6" t="n"/>
      <c r="AK518" s="6" t="n"/>
      <c r="AL518" s="6" t="n"/>
      <c r="AM518" s="3">
        <f>IF(tblOrdenes[[#This Row],[link_checklist]]="","",HYPERLINK(p_ruta_base_checklists&amp;tblOrdenes[[#This Row],[link_checklist]],"abrir"))</f>
        <v/>
      </c>
      <c r="AN518" s="6" t="n"/>
      <c r="AO518" s="3">
        <f>IF(tblOrdenes[[#This Row],[orden]]="","",tblOrdenes[[#This Row],[orden]]&amp;IF(tblOrdenes[[#This Row],[operacion]]="","0010",tblOrdenes[[#This Row],[operacion]]))</f>
        <v/>
      </c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11" t="n"/>
      <c r="K519" s="3" t="n"/>
      <c r="L519" s="10" t="n"/>
      <c r="M519" s="6" t="n"/>
      <c r="N5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19" s="3">
        <f>IF(tblOrdenes[[#This Row],[fecha_inicio]]="","",YEAR(tblOrdenes[[#This Row],[fecha_inicio]]))</f>
        <v/>
      </c>
      <c r="R519" s="3">
        <f>IF(tblOrdenes[[#This Row],[fecha_inicio]]="","",MONTH(tblOrdenes[[#This Row],[fecha_inicio]]))</f>
        <v/>
      </c>
      <c r="S519" s="3">
        <f>IF(tblOrdenes[[#This Row],[fecha_inicio]]="","",INDEX(lista_dias,WEEKDAY(tblOrdenes[[#This Row],[fecha_inicio]],2)))</f>
        <v/>
      </c>
      <c r="T519" s="3">
        <f>IF(tblOrdenes[[#This Row],[tipo_ot]]="","",_xlfn.XLOOKUP(tblOrdenes[[#This Row],[tipo_ot]],tblTiposOT[codigo],tblTiposOT[clasificacion],"sin_clasificar"))</f>
        <v/>
      </c>
      <c r="U519" s="3">
        <f>IF(tblOrdenes[[#This Row],[centro_costo]]="","",_xlfn.XLOOKUP(tblOrdenes[[#This Row],[centro_costo]],tblCECO[codigo],tblCECO[linea],"(sin catálogo)"))</f>
        <v/>
      </c>
      <c r="V519" s="3">
        <f>IF(tblOrdenes[[#This Row],[centro_costo]]="","",_xlfn.XLOOKUP(tblOrdenes[[#This Row],[centro_costo]],tblCECO[codigo],tblCECO[area],"(sin catálogo)"))</f>
        <v/>
      </c>
      <c r="W519" s="3">
        <f>IF(tblOrdenes[[#This Row],[centro_costo]]="","",_xlfn.XLOOKUP(tblOrdenes[[#This Row],[centro_costo]],tblCECO[codigo],tblCECO[coordinador],"(sin catálogo)"))</f>
        <v/>
      </c>
      <c r="X519" s="3">
        <f>IF(tblOrdenes[[#This Row],[puesto_trabajo]]="","",_xlfn.XLOOKUP(tblOrdenes[[#This Row],[puesto_trabajo]],tblPuestos[codigo],tblPuestos[especialidad],"(sin catálogo)"))</f>
        <v/>
      </c>
      <c r="Y519" s="3">
        <f>IF(tblOrdenes[[#This Row],[cod_actividad]]="","",_xlfn.XLOOKUP(tblOrdenes[[#This Row],[cod_actividad]],tblActividades[codigo],tblActividades[descripcion],"(sin catálogo)"))</f>
        <v/>
      </c>
      <c r="Z519" s="12">
        <f>IF(tblOrdenes[[#This Row],[fecha_inicio]]="","",TODAY()-tblOrdenes[[#This Row],[fecha_inicio]])</f>
        <v/>
      </c>
      <c r="AA519" s="3">
        <f>IF(tblOrdenes[[#This Row],[backlog_dias]]="","",IF(tblOrdenes[[#This Row],[backlog_dias]]&lt;0,"FUTURO",IF(tblOrdenes[[#This Row],[backlog_dias]]&gt;p_dias_backlog_max,"BACKLOG","MES CORRIENTE")))</f>
        <v/>
      </c>
      <c r="AB519" s="3">
        <f>IF(tblOrdenes[[#This Row],[backlog_dias]]="",FALSE,AND(tblOrdenes[[#This Row],[backlog_dias]]&gt;p_dias_backlog_min,tblOrdenes[[#This Row],[backlog_dias]]&lt;=p_dias_backlog_max))</f>
        <v/>
      </c>
      <c r="AC519" s="6" t="n"/>
      <c r="AD5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19" s="10">
        <f>IF(tblOrdenes[[#This Row],[orden]]="","",_xlfn.XLOOKUP(tblOrdenes[[#This Row],[id_operacion]],tblEjecucion[id_operacion],tblEjecucion[precio],0))</f>
        <v/>
      </c>
      <c r="AH519" s="10">
        <f>IF(tblOrdenes[[#This Row],[orden]]="","",MAX(0,_xlfn.XLOOKUP(tblOrdenes[[#This Row],[id_operacion]],tblEjecucion[id_operacion],tblEjecucion[costo_plan_total],0)-tblOrdenes[[#This Row],[costo_servicio]]))</f>
        <v/>
      </c>
      <c r="AI519" s="10">
        <f>IF(tblOrdenes[[#This Row],[orden]]="","",tblOrdenes[[#This Row],[costo_servicio]]+tblOrdenes[[#This Row],[costo_materiales]])</f>
        <v/>
      </c>
      <c r="AJ519" s="6" t="n"/>
      <c r="AK519" s="6" t="n"/>
      <c r="AL519" s="6" t="n"/>
      <c r="AM519" s="3">
        <f>IF(tblOrdenes[[#This Row],[link_checklist]]="","",HYPERLINK(p_ruta_base_checklists&amp;tblOrdenes[[#This Row],[link_checklist]],"abrir"))</f>
        <v/>
      </c>
      <c r="AN519" s="6" t="n"/>
      <c r="AO519" s="3">
        <f>IF(tblOrdenes[[#This Row],[orden]]="","",tblOrdenes[[#This Row],[orden]]&amp;IF(tblOrdenes[[#This Row],[operacion]]="","0010",tblOrdenes[[#This Row],[operacion]]))</f>
        <v/>
      </c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11" t="n"/>
      <c r="K520" s="3" t="n"/>
      <c r="L520" s="10" t="n"/>
      <c r="M520" s="6" t="n"/>
      <c r="N5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20" s="3">
        <f>IF(tblOrdenes[[#This Row],[fecha_inicio]]="","",YEAR(tblOrdenes[[#This Row],[fecha_inicio]]))</f>
        <v/>
      </c>
      <c r="R520" s="3">
        <f>IF(tblOrdenes[[#This Row],[fecha_inicio]]="","",MONTH(tblOrdenes[[#This Row],[fecha_inicio]]))</f>
        <v/>
      </c>
      <c r="S520" s="3">
        <f>IF(tblOrdenes[[#This Row],[fecha_inicio]]="","",INDEX(lista_dias,WEEKDAY(tblOrdenes[[#This Row],[fecha_inicio]],2)))</f>
        <v/>
      </c>
      <c r="T520" s="3">
        <f>IF(tblOrdenes[[#This Row],[tipo_ot]]="","",_xlfn.XLOOKUP(tblOrdenes[[#This Row],[tipo_ot]],tblTiposOT[codigo],tblTiposOT[clasificacion],"sin_clasificar"))</f>
        <v/>
      </c>
      <c r="U520" s="3">
        <f>IF(tblOrdenes[[#This Row],[centro_costo]]="","",_xlfn.XLOOKUP(tblOrdenes[[#This Row],[centro_costo]],tblCECO[codigo],tblCECO[linea],"(sin catálogo)"))</f>
        <v/>
      </c>
      <c r="V520" s="3">
        <f>IF(tblOrdenes[[#This Row],[centro_costo]]="","",_xlfn.XLOOKUP(tblOrdenes[[#This Row],[centro_costo]],tblCECO[codigo],tblCECO[area],"(sin catálogo)"))</f>
        <v/>
      </c>
      <c r="W520" s="3">
        <f>IF(tblOrdenes[[#This Row],[centro_costo]]="","",_xlfn.XLOOKUP(tblOrdenes[[#This Row],[centro_costo]],tblCECO[codigo],tblCECO[coordinador],"(sin catálogo)"))</f>
        <v/>
      </c>
      <c r="X520" s="3">
        <f>IF(tblOrdenes[[#This Row],[puesto_trabajo]]="","",_xlfn.XLOOKUP(tblOrdenes[[#This Row],[puesto_trabajo]],tblPuestos[codigo],tblPuestos[especialidad],"(sin catálogo)"))</f>
        <v/>
      </c>
      <c r="Y520" s="3">
        <f>IF(tblOrdenes[[#This Row],[cod_actividad]]="","",_xlfn.XLOOKUP(tblOrdenes[[#This Row],[cod_actividad]],tblActividades[codigo],tblActividades[descripcion],"(sin catálogo)"))</f>
        <v/>
      </c>
      <c r="Z520" s="12">
        <f>IF(tblOrdenes[[#This Row],[fecha_inicio]]="","",TODAY()-tblOrdenes[[#This Row],[fecha_inicio]])</f>
        <v/>
      </c>
      <c r="AA520" s="3">
        <f>IF(tblOrdenes[[#This Row],[backlog_dias]]="","",IF(tblOrdenes[[#This Row],[backlog_dias]]&lt;0,"FUTURO",IF(tblOrdenes[[#This Row],[backlog_dias]]&gt;p_dias_backlog_max,"BACKLOG","MES CORRIENTE")))</f>
        <v/>
      </c>
      <c r="AB520" s="3">
        <f>IF(tblOrdenes[[#This Row],[backlog_dias]]="",FALSE,AND(tblOrdenes[[#This Row],[backlog_dias]]&gt;p_dias_backlog_min,tblOrdenes[[#This Row],[backlog_dias]]&lt;=p_dias_backlog_max))</f>
        <v/>
      </c>
      <c r="AC520" s="6" t="n"/>
      <c r="AD5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20" s="10">
        <f>IF(tblOrdenes[[#This Row],[orden]]="","",_xlfn.XLOOKUP(tblOrdenes[[#This Row],[id_operacion]],tblEjecucion[id_operacion],tblEjecucion[precio],0))</f>
        <v/>
      </c>
      <c r="AH520" s="10">
        <f>IF(tblOrdenes[[#This Row],[orden]]="","",MAX(0,_xlfn.XLOOKUP(tblOrdenes[[#This Row],[id_operacion]],tblEjecucion[id_operacion],tblEjecucion[costo_plan_total],0)-tblOrdenes[[#This Row],[costo_servicio]]))</f>
        <v/>
      </c>
      <c r="AI520" s="10">
        <f>IF(tblOrdenes[[#This Row],[orden]]="","",tblOrdenes[[#This Row],[costo_servicio]]+tblOrdenes[[#This Row],[costo_materiales]])</f>
        <v/>
      </c>
      <c r="AJ520" s="6" t="n"/>
      <c r="AK520" s="6" t="n"/>
      <c r="AL520" s="6" t="n"/>
      <c r="AM520" s="3">
        <f>IF(tblOrdenes[[#This Row],[link_checklist]]="","",HYPERLINK(p_ruta_base_checklists&amp;tblOrdenes[[#This Row],[link_checklist]],"abrir"))</f>
        <v/>
      </c>
      <c r="AN520" s="6" t="n"/>
      <c r="AO520" s="3">
        <f>IF(tblOrdenes[[#This Row],[orden]]="","",tblOrdenes[[#This Row],[orden]]&amp;IF(tblOrdenes[[#This Row],[operacion]]="","0010",tblOrdenes[[#This Row],[operacion]]))</f>
        <v/>
      </c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11" t="n"/>
      <c r="K521" s="3" t="n"/>
      <c r="L521" s="10" t="n"/>
      <c r="M521" s="6" t="n"/>
      <c r="N5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21" s="3">
        <f>IF(tblOrdenes[[#This Row],[fecha_inicio]]="","",YEAR(tblOrdenes[[#This Row],[fecha_inicio]]))</f>
        <v/>
      </c>
      <c r="R521" s="3">
        <f>IF(tblOrdenes[[#This Row],[fecha_inicio]]="","",MONTH(tblOrdenes[[#This Row],[fecha_inicio]]))</f>
        <v/>
      </c>
      <c r="S521" s="3">
        <f>IF(tblOrdenes[[#This Row],[fecha_inicio]]="","",INDEX(lista_dias,WEEKDAY(tblOrdenes[[#This Row],[fecha_inicio]],2)))</f>
        <v/>
      </c>
      <c r="T521" s="3">
        <f>IF(tblOrdenes[[#This Row],[tipo_ot]]="","",_xlfn.XLOOKUP(tblOrdenes[[#This Row],[tipo_ot]],tblTiposOT[codigo],tblTiposOT[clasificacion],"sin_clasificar"))</f>
        <v/>
      </c>
      <c r="U521" s="3">
        <f>IF(tblOrdenes[[#This Row],[centro_costo]]="","",_xlfn.XLOOKUP(tblOrdenes[[#This Row],[centro_costo]],tblCECO[codigo],tblCECO[linea],"(sin catálogo)"))</f>
        <v/>
      </c>
      <c r="V521" s="3">
        <f>IF(tblOrdenes[[#This Row],[centro_costo]]="","",_xlfn.XLOOKUP(tblOrdenes[[#This Row],[centro_costo]],tblCECO[codigo],tblCECO[area],"(sin catálogo)"))</f>
        <v/>
      </c>
      <c r="W521" s="3">
        <f>IF(tblOrdenes[[#This Row],[centro_costo]]="","",_xlfn.XLOOKUP(tblOrdenes[[#This Row],[centro_costo]],tblCECO[codigo],tblCECO[coordinador],"(sin catálogo)"))</f>
        <v/>
      </c>
      <c r="X521" s="3">
        <f>IF(tblOrdenes[[#This Row],[puesto_trabajo]]="","",_xlfn.XLOOKUP(tblOrdenes[[#This Row],[puesto_trabajo]],tblPuestos[codigo],tblPuestos[especialidad],"(sin catálogo)"))</f>
        <v/>
      </c>
      <c r="Y521" s="3">
        <f>IF(tblOrdenes[[#This Row],[cod_actividad]]="","",_xlfn.XLOOKUP(tblOrdenes[[#This Row],[cod_actividad]],tblActividades[codigo],tblActividades[descripcion],"(sin catálogo)"))</f>
        <v/>
      </c>
      <c r="Z521" s="12">
        <f>IF(tblOrdenes[[#This Row],[fecha_inicio]]="","",TODAY()-tblOrdenes[[#This Row],[fecha_inicio]])</f>
        <v/>
      </c>
      <c r="AA521" s="3">
        <f>IF(tblOrdenes[[#This Row],[backlog_dias]]="","",IF(tblOrdenes[[#This Row],[backlog_dias]]&lt;0,"FUTURO",IF(tblOrdenes[[#This Row],[backlog_dias]]&gt;p_dias_backlog_max,"BACKLOG","MES CORRIENTE")))</f>
        <v/>
      </c>
      <c r="AB521" s="3">
        <f>IF(tblOrdenes[[#This Row],[backlog_dias]]="",FALSE,AND(tblOrdenes[[#This Row],[backlog_dias]]&gt;p_dias_backlog_min,tblOrdenes[[#This Row],[backlog_dias]]&lt;=p_dias_backlog_max))</f>
        <v/>
      </c>
      <c r="AC521" s="6" t="n"/>
      <c r="AD5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21" s="10">
        <f>IF(tblOrdenes[[#This Row],[orden]]="","",_xlfn.XLOOKUP(tblOrdenes[[#This Row],[id_operacion]],tblEjecucion[id_operacion],tblEjecucion[precio],0))</f>
        <v/>
      </c>
      <c r="AH521" s="10">
        <f>IF(tblOrdenes[[#This Row],[orden]]="","",MAX(0,_xlfn.XLOOKUP(tblOrdenes[[#This Row],[id_operacion]],tblEjecucion[id_operacion],tblEjecucion[costo_plan_total],0)-tblOrdenes[[#This Row],[costo_servicio]]))</f>
        <v/>
      </c>
      <c r="AI521" s="10">
        <f>IF(tblOrdenes[[#This Row],[orden]]="","",tblOrdenes[[#This Row],[costo_servicio]]+tblOrdenes[[#This Row],[costo_materiales]])</f>
        <v/>
      </c>
      <c r="AJ521" s="6" t="n"/>
      <c r="AK521" s="6" t="n"/>
      <c r="AL521" s="6" t="n"/>
      <c r="AM521" s="3">
        <f>IF(tblOrdenes[[#This Row],[link_checklist]]="","",HYPERLINK(p_ruta_base_checklists&amp;tblOrdenes[[#This Row],[link_checklist]],"abrir"))</f>
        <v/>
      </c>
      <c r="AN521" s="6" t="n"/>
      <c r="AO521" s="3">
        <f>IF(tblOrdenes[[#This Row],[orden]]="","",tblOrdenes[[#This Row],[orden]]&amp;IF(tblOrdenes[[#This Row],[operacion]]="","0010",tblOrdenes[[#This Row],[operacion]]))</f>
        <v/>
      </c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11" t="n"/>
      <c r="K522" s="3" t="n"/>
      <c r="L522" s="10" t="n"/>
      <c r="M522" s="6" t="n"/>
      <c r="N5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22" s="3">
        <f>IF(tblOrdenes[[#This Row],[fecha_inicio]]="","",YEAR(tblOrdenes[[#This Row],[fecha_inicio]]))</f>
        <v/>
      </c>
      <c r="R522" s="3">
        <f>IF(tblOrdenes[[#This Row],[fecha_inicio]]="","",MONTH(tblOrdenes[[#This Row],[fecha_inicio]]))</f>
        <v/>
      </c>
      <c r="S522" s="3">
        <f>IF(tblOrdenes[[#This Row],[fecha_inicio]]="","",INDEX(lista_dias,WEEKDAY(tblOrdenes[[#This Row],[fecha_inicio]],2)))</f>
        <v/>
      </c>
      <c r="T522" s="3">
        <f>IF(tblOrdenes[[#This Row],[tipo_ot]]="","",_xlfn.XLOOKUP(tblOrdenes[[#This Row],[tipo_ot]],tblTiposOT[codigo],tblTiposOT[clasificacion],"sin_clasificar"))</f>
        <v/>
      </c>
      <c r="U522" s="3">
        <f>IF(tblOrdenes[[#This Row],[centro_costo]]="","",_xlfn.XLOOKUP(tblOrdenes[[#This Row],[centro_costo]],tblCECO[codigo],tblCECO[linea],"(sin catálogo)"))</f>
        <v/>
      </c>
      <c r="V522" s="3">
        <f>IF(tblOrdenes[[#This Row],[centro_costo]]="","",_xlfn.XLOOKUP(tblOrdenes[[#This Row],[centro_costo]],tblCECO[codigo],tblCECO[area],"(sin catálogo)"))</f>
        <v/>
      </c>
      <c r="W522" s="3">
        <f>IF(tblOrdenes[[#This Row],[centro_costo]]="","",_xlfn.XLOOKUP(tblOrdenes[[#This Row],[centro_costo]],tblCECO[codigo],tblCECO[coordinador],"(sin catálogo)"))</f>
        <v/>
      </c>
      <c r="X522" s="3">
        <f>IF(tblOrdenes[[#This Row],[puesto_trabajo]]="","",_xlfn.XLOOKUP(tblOrdenes[[#This Row],[puesto_trabajo]],tblPuestos[codigo],tblPuestos[especialidad],"(sin catálogo)"))</f>
        <v/>
      </c>
      <c r="Y522" s="3">
        <f>IF(tblOrdenes[[#This Row],[cod_actividad]]="","",_xlfn.XLOOKUP(tblOrdenes[[#This Row],[cod_actividad]],tblActividades[codigo],tblActividades[descripcion],"(sin catálogo)"))</f>
        <v/>
      </c>
      <c r="Z522" s="12">
        <f>IF(tblOrdenes[[#This Row],[fecha_inicio]]="","",TODAY()-tblOrdenes[[#This Row],[fecha_inicio]])</f>
        <v/>
      </c>
      <c r="AA522" s="3">
        <f>IF(tblOrdenes[[#This Row],[backlog_dias]]="","",IF(tblOrdenes[[#This Row],[backlog_dias]]&lt;0,"FUTURO",IF(tblOrdenes[[#This Row],[backlog_dias]]&gt;p_dias_backlog_max,"BACKLOG","MES CORRIENTE")))</f>
        <v/>
      </c>
      <c r="AB522" s="3">
        <f>IF(tblOrdenes[[#This Row],[backlog_dias]]="",FALSE,AND(tblOrdenes[[#This Row],[backlog_dias]]&gt;p_dias_backlog_min,tblOrdenes[[#This Row],[backlog_dias]]&lt;=p_dias_backlog_max))</f>
        <v/>
      </c>
      <c r="AC522" s="6" t="n"/>
      <c r="AD5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22" s="10">
        <f>IF(tblOrdenes[[#This Row],[orden]]="","",_xlfn.XLOOKUP(tblOrdenes[[#This Row],[id_operacion]],tblEjecucion[id_operacion],tblEjecucion[precio],0))</f>
        <v/>
      </c>
      <c r="AH522" s="10">
        <f>IF(tblOrdenes[[#This Row],[orden]]="","",MAX(0,_xlfn.XLOOKUP(tblOrdenes[[#This Row],[id_operacion]],tblEjecucion[id_operacion],tblEjecucion[costo_plan_total],0)-tblOrdenes[[#This Row],[costo_servicio]]))</f>
        <v/>
      </c>
      <c r="AI522" s="10">
        <f>IF(tblOrdenes[[#This Row],[orden]]="","",tblOrdenes[[#This Row],[costo_servicio]]+tblOrdenes[[#This Row],[costo_materiales]])</f>
        <v/>
      </c>
      <c r="AJ522" s="6" t="n"/>
      <c r="AK522" s="6" t="n"/>
      <c r="AL522" s="6" t="n"/>
      <c r="AM522" s="3">
        <f>IF(tblOrdenes[[#This Row],[link_checklist]]="","",HYPERLINK(p_ruta_base_checklists&amp;tblOrdenes[[#This Row],[link_checklist]],"abrir"))</f>
        <v/>
      </c>
      <c r="AN522" s="6" t="n"/>
      <c r="AO522" s="3">
        <f>IF(tblOrdenes[[#This Row],[orden]]="","",tblOrdenes[[#This Row],[orden]]&amp;IF(tblOrdenes[[#This Row],[operacion]]="","0010",tblOrdenes[[#This Row],[operacion]]))</f>
        <v/>
      </c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11" t="n"/>
      <c r="K523" s="3" t="n"/>
      <c r="L523" s="10" t="n"/>
      <c r="M523" s="6" t="n"/>
      <c r="N5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23" s="3">
        <f>IF(tblOrdenes[[#This Row],[fecha_inicio]]="","",YEAR(tblOrdenes[[#This Row],[fecha_inicio]]))</f>
        <v/>
      </c>
      <c r="R523" s="3">
        <f>IF(tblOrdenes[[#This Row],[fecha_inicio]]="","",MONTH(tblOrdenes[[#This Row],[fecha_inicio]]))</f>
        <v/>
      </c>
      <c r="S523" s="3">
        <f>IF(tblOrdenes[[#This Row],[fecha_inicio]]="","",INDEX(lista_dias,WEEKDAY(tblOrdenes[[#This Row],[fecha_inicio]],2)))</f>
        <v/>
      </c>
      <c r="T523" s="3">
        <f>IF(tblOrdenes[[#This Row],[tipo_ot]]="","",_xlfn.XLOOKUP(tblOrdenes[[#This Row],[tipo_ot]],tblTiposOT[codigo],tblTiposOT[clasificacion],"sin_clasificar"))</f>
        <v/>
      </c>
      <c r="U523" s="3">
        <f>IF(tblOrdenes[[#This Row],[centro_costo]]="","",_xlfn.XLOOKUP(tblOrdenes[[#This Row],[centro_costo]],tblCECO[codigo],tblCECO[linea],"(sin catálogo)"))</f>
        <v/>
      </c>
      <c r="V523" s="3">
        <f>IF(tblOrdenes[[#This Row],[centro_costo]]="","",_xlfn.XLOOKUP(tblOrdenes[[#This Row],[centro_costo]],tblCECO[codigo],tblCECO[area],"(sin catálogo)"))</f>
        <v/>
      </c>
      <c r="W523" s="3">
        <f>IF(tblOrdenes[[#This Row],[centro_costo]]="","",_xlfn.XLOOKUP(tblOrdenes[[#This Row],[centro_costo]],tblCECO[codigo],tblCECO[coordinador],"(sin catálogo)"))</f>
        <v/>
      </c>
      <c r="X523" s="3">
        <f>IF(tblOrdenes[[#This Row],[puesto_trabajo]]="","",_xlfn.XLOOKUP(tblOrdenes[[#This Row],[puesto_trabajo]],tblPuestos[codigo],tblPuestos[especialidad],"(sin catálogo)"))</f>
        <v/>
      </c>
      <c r="Y523" s="3">
        <f>IF(tblOrdenes[[#This Row],[cod_actividad]]="","",_xlfn.XLOOKUP(tblOrdenes[[#This Row],[cod_actividad]],tblActividades[codigo],tblActividades[descripcion],"(sin catálogo)"))</f>
        <v/>
      </c>
      <c r="Z523" s="12">
        <f>IF(tblOrdenes[[#This Row],[fecha_inicio]]="","",TODAY()-tblOrdenes[[#This Row],[fecha_inicio]])</f>
        <v/>
      </c>
      <c r="AA523" s="3">
        <f>IF(tblOrdenes[[#This Row],[backlog_dias]]="","",IF(tblOrdenes[[#This Row],[backlog_dias]]&lt;0,"FUTURO",IF(tblOrdenes[[#This Row],[backlog_dias]]&gt;p_dias_backlog_max,"BACKLOG","MES CORRIENTE")))</f>
        <v/>
      </c>
      <c r="AB523" s="3">
        <f>IF(tblOrdenes[[#This Row],[backlog_dias]]="",FALSE,AND(tblOrdenes[[#This Row],[backlog_dias]]&gt;p_dias_backlog_min,tblOrdenes[[#This Row],[backlog_dias]]&lt;=p_dias_backlog_max))</f>
        <v/>
      </c>
      <c r="AC523" s="6" t="n"/>
      <c r="AD5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23" s="10">
        <f>IF(tblOrdenes[[#This Row],[orden]]="","",_xlfn.XLOOKUP(tblOrdenes[[#This Row],[id_operacion]],tblEjecucion[id_operacion],tblEjecucion[precio],0))</f>
        <v/>
      </c>
      <c r="AH523" s="10">
        <f>IF(tblOrdenes[[#This Row],[orden]]="","",MAX(0,_xlfn.XLOOKUP(tblOrdenes[[#This Row],[id_operacion]],tblEjecucion[id_operacion],tblEjecucion[costo_plan_total],0)-tblOrdenes[[#This Row],[costo_servicio]]))</f>
        <v/>
      </c>
      <c r="AI523" s="10">
        <f>IF(tblOrdenes[[#This Row],[orden]]="","",tblOrdenes[[#This Row],[costo_servicio]]+tblOrdenes[[#This Row],[costo_materiales]])</f>
        <v/>
      </c>
      <c r="AJ523" s="6" t="n"/>
      <c r="AK523" s="6" t="n"/>
      <c r="AL523" s="6" t="n"/>
      <c r="AM523" s="3">
        <f>IF(tblOrdenes[[#This Row],[link_checklist]]="","",HYPERLINK(p_ruta_base_checklists&amp;tblOrdenes[[#This Row],[link_checklist]],"abrir"))</f>
        <v/>
      </c>
      <c r="AN523" s="6" t="n"/>
      <c r="AO523" s="3">
        <f>IF(tblOrdenes[[#This Row],[orden]]="","",tblOrdenes[[#This Row],[orden]]&amp;IF(tblOrdenes[[#This Row],[operacion]]="","0010",tblOrdenes[[#This Row],[operacion]]))</f>
        <v/>
      </c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11" t="n"/>
      <c r="K524" s="3" t="n"/>
      <c r="L524" s="10" t="n"/>
      <c r="M524" s="6" t="n"/>
      <c r="N5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24" s="3">
        <f>IF(tblOrdenes[[#This Row],[fecha_inicio]]="","",YEAR(tblOrdenes[[#This Row],[fecha_inicio]]))</f>
        <v/>
      </c>
      <c r="R524" s="3">
        <f>IF(tblOrdenes[[#This Row],[fecha_inicio]]="","",MONTH(tblOrdenes[[#This Row],[fecha_inicio]]))</f>
        <v/>
      </c>
      <c r="S524" s="3">
        <f>IF(tblOrdenes[[#This Row],[fecha_inicio]]="","",INDEX(lista_dias,WEEKDAY(tblOrdenes[[#This Row],[fecha_inicio]],2)))</f>
        <v/>
      </c>
      <c r="T524" s="3">
        <f>IF(tblOrdenes[[#This Row],[tipo_ot]]="","",_xlfn.XLOOKUP(tblOrdenes[[#This Row],[tipo_ot]],tblTiposOT[codigo],tblTiposOT[clasificacion],"sin_clasificar"))</f>
        <v/>
      </c>
      <c r="U524" s="3">
        <f>IF(tblOrdenes[[#This Row],[centro_costo]]="","",_xlfn.XLOOKUP(tblOrdenes[[#This Row],[centro_costo]],tblCECO[codigo],tblCECO[linea],"(sin catálogo)"))</f>
        <v/>
      </c>
      <c r="V524" s="3">
        <f>IF(tblOrdenes[[#This Row],[centro_costo]]="","",_xlfn.XLOOKUP(tblOrdenes[[#This Row],[centro_costo]],tblCECO[codigo],tblCECO[area],"(sin catálogo)"))</f>
        <v/>
      </c>
      <c r="W524" s="3">
        <f>IF(tblOrdenes[[#This Row],[centro_costo]]="","",_xlfn.XLOOKUP(tblOrdenes[[#This Row],[centro_costo]],tblCECO[codigo],tblCECO[coordinador],"(sin catálogo)"))</f>
        <v/>
      </c>
      <c r="X524" s="3">
        <f>IF(tblOrdenes[[#This Row],[puesto_trabajo]]="","",_xlfn.XLOOKUP(tblOrdenes[[#This Row],[puesto_trabajo]],tblPuestos[codigo],tblPuestos[especialidad],"(sin catálogo)"))</f>
        <v/>
      </c>
      <c r="Y524" s="3">
        <f>IF(tblOrdenes[[#This Row],[cod_actividad]]="","",_xlfn.XLOOKUP(tblOrdenes[[#This Row],[cod_actividad]],tblActividades[codigo],tblActividades[descripcion],"(sin catálogo)"))</f>
        <v/>
      </c>
      <c r="Z524" s="12">
        <f>IF(tblOrdenes[[#This Row],[fecha_inicio]]="","",TODAY()-tblOrdenes[[#This Row],[fecha_inicio]])</f>
        <v/>
      </c>
      <c r="AA524" s="3">
        <f>IF(tblOrdenes[[#This Row],[backlog_dias]]="","",IF(tblOrdenes[[#This Row],[backlog_dias]]&lt;0,"FUTURO",IF(tblOrdenes[[#This Row],[backlog_dias]]&gt;p_dias_backlog_max,"BACKLOG","MES CORRIENTE")))</f>
        <v/>
      </c>
      <c r="AB524" s="3">
        <f>IF(tblOrdenes[[#This Row],[backlog_dias]]="",FALSE,AND(tblOrdenes[[#This Row],[backlog_dias]]&gt;p_dias_backlog_min,tblOrdenes[[#This Row],[backlog_dias]]&lt;=p_dias_backlog_max))</f>
        <v/>
      </c>
      <c r="AC524" s="6" t="n"/>
      <c r="AD5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24" s="10">
        <f>IF(tblOrdenes[[#This Row],[orden]]="","",_xlfn.XLOOKUP(tblOrdenes[[#This Row],[id_operacion]],tblEjecucion[id_operacion],tblEjecucion[precio],0))</f>
        <v/>
      </c>
      <c r="AH524" s="10">
        <f>IF(tblOrdenes[[#This Row],[orden]]="","",MAX(0,_xlfn.XLOOKUP(tblOrdenes[[#This Row],[id_operacion]],tblEjecucion[id_operacion],tblEjecucion[costo_plan_total],0)-tblOrdenes[[#This Row],[costo_servicio]]))</f>
        <v/>
      </c>
      <c r="AI524" s="10">
        <f>IF(tblOrdenes[[#This Row],[orden]]="","",tblOrdenes[[#This Row],[costo_servicio]]+tblOrdenes[[#This Row],[costo_materiales]])</f>
        <v/>
      </c>
      <c r="AJ524" s="6" t="n"/>
      <c r="AK524" s="6" t="n"/>
      <c r="AL524" s="6" t="n"/>
      <c r="AM524" s="3">
        <f>IF(tblOrdenes[[#This Row],[link_checklist]]="","",HYPERLINK(p_ruta_base_checklists&amp;tblOrdenes[[#This Row],[link_checklist]],"abrir"))</f>
        <v/>
      </c>
      <c r="AN524" s="6" t="n"/>
      <c r="AO524" s="3">
        <f>IF(tblOrdenes[[#This Row],[orden]]="","",tblOrdenes[[#This Row],[orden]]&amp;IF(tblOrdenes[[#This Row],[operacion]]="","0010",tblOrdenes[[#This Row],[operacion]]))</f>
        <v/>
      </c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11" t="n"/>
      <c r="K525" s="3" t="n"/>
      <c r="L525" s="10" t="n"/>
      <c r="M525" s="6" t="n"/>
      <c r="N5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25" s="3">
        <f>IF(tblOrdenes[[#This Row],[fecha_inicio]]="","",YEAR(tblOrdenes[[#This Row],[fecha_inicio]]))</f>
        <v/>
      </c>
      <c r="R525" s="3">
        <f>IF(tblOrdenes[[#This Row],[fecha_inicio]]="","",MONTH(tblOrdenes[[#This Row],[fecha_inicio]]))</f>
        <v/>
      </c>
      <c r="S525" s="3">
        <f>IF(tblOrdenes[[#This Row],[fecha_inicio]]="","",INDEX(lista_dias,WEEKDAY(tblOrdenes[[#This Row],[fecha_inicio]],2)))</f>
        <v/>
      </c>
      <c r="T525" s="3">
        <f>IF(tblOrdenes[[#This Row],[tipo_ot]]="","",_xlfn.XLOOKUP(tblOrdenes[[#This Row],[tipo_ot]],tblTiposOT[codigo],tblTiposOT[clasificacion],"sin_clasificar"))</f>
        <v/>
      </c>
      <c r="U525" s="3">
        <f>IF(tblOrdenes[[#This Row],[centro_costo]]="","",_xlfn.XLOOKUP(tblOrdenes[[#This Row],[centro_costo]],tblCECO[codigo],tblCECO[linea],"(sin catálogo)"))</f>
        <v/>
      </c>
      <c r="V525" s="3">
        <f>IF(tblOrdenes[[#This Row],[centro_costo]]="","",_xlfn.XLOOKUP(tblOrdenes[[#This Row],[centro_costo]],tblCECO[codigo],tblCECO[area],"(sin catálogo)"))</f>
        <v/>
      </c>
      <c r="W525" s="3">
        <f>IF(tblOrdenes[[#This Row],[centro_costo]]="","",_xlfn.XLOOKUP(tblOrdenes[[#This Row],[centro_costo]],tblCECO[codigo],tblCECO[coordinador],"(sin catálogo)"))</f>
        <v/>
      </c>
      <c r="X525" s="3">
        <f>IF(tblOrdenes[[#This Row],[puesto_trabajo]]="","",_xlfn.XLOOKUP(tblOrdenes[[#This Row],[puesto_trabajo]],tblPuestos[codigo],tblPuestos[especialidad],"(sin catálogo)"))</f>
        <v/>
      </c>
      <c r="Y525" s="3">
        <f>IF(tblOrdenes[[#This Row],[cod_actividad]]="","",_xlfn.XLOOKUP(tblOrdenes[[#This Row],[cod_actividad]],tblActividades[codigo],tblActividades[descripcion],"(sin catálogo)"))</f>
        <v/>
      </c>
      <c r="Z525" s="12">
        <f>IF(tblOrdenes[[#This Row],[fecha_inicio]]="","",TODAY()-tblOrdenes[[#This Row],[fecha_inicio]])</f>
        <v/>
      </c>
      <c r="AA525" s="3">
        <f>IF(tblOrdenes[[#This Row],[backlog_dias]]="","",IF(tblOrdenes[[#This Row],[backlog_dias]]&lt;0,"FUTURO",IF(tblOrdenes[[#This Row],[backlog_dias]]&gt;p_dias_backlog_max,"BACKLOG","MES CORRIENTE")))</f>
        <v/>
      </c>
      <c r="AB525" s="3">
        <f>IF(tblOrdenes[[#This Row],[backlog_dias]]="",FALSE,AND(tblOrdenes[[#This Row],[backlog_dias]]&gt;p_dias_backlog_min,tblOrdenes[[#This Row],[backlog_dias]]&lt;=p_dias_backlog_max))</f>
        <v/>
      </c>
      <c r="AC525" s="6" t="n"/>
      <c r="AD5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25" s="10">
        <f>IF(tblOrdenes[[#This Row],[orden]]="","",_xlfn.XLOOKUP(tblOrdenes[[#This Row],[id_operacion]],tblEjecucion[id_operacion],tblEjecucion[precio],0))</f>
        <v/>
      </c>
      <c r="AH525" s="10">
        <f>IF(tblOrdenes[[#This Row],[orden]]="","",MAX(0,_xlfn.XLOOKUP(tblOrdenes[[#This Row],[id_operacion]],tblEjecucion[id_operacion],tblEjecucion[costo_plan_total],0)-tblOrdenes[[#This Row],[costo_servicio]]))</f>
        <v/>
      </c>
      <c r="AI525" s="10">
        <f>IF(tblOrdenes[[#This Row],[orden]]="","",tblOrdenes[[#This Row],[costo_servicio]]+tblOrdenes[[#This Row],[costo_materiales]])</f>
        <v/>
      </c>
      <c r="AJ525" s="6" t="n"/>
      <c r="AK525" s="6" t="n"/>
      <c r="AL525" s="6" t="n"/>
      <c r="AM525" s="3">
        <f>IF(tblOrdenes[[#This Row],[link_checklist]]="","",HYPERLINK(p_ruta_base_checklists&amp;tblOrdenes[[#This Row],[link_checklist]],"abrir"))</f>
        <v/>
      </c>
      <c r="AN525" s="6" t="n"/>
      <c r="AO525" s="3">
        <f>IF(tblOrdenes[[#This Row],[orden]]="","",tblOrdenes[[#This Row],[orden]]&amp;IF(tblOrdenes[[#This Row],[operacion]]="","0010",tblOrdenes[[#This Row],[operacion]]))</f>
        <v/>
      </c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11" t="n"/>
      <c r="K526" s="3" t="n"/>
      <c r="L526" s="10" t="n"/>
      <c r="M526" s="6" t="n"/>
      <c r="N5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26" s="3">
        <f>IF(tblOrdenes[[#This Row],[fecha_inicio]]="","",YEAR(tblOrdenes[[#This Row],[fecha_inicio]]))</f>
        <v/>
      </c>
      <c r="R526" s="3">
        <f>IF(tblOrdenes[[#This Row],[fecha_inicio]]="","",MONTH(tblOrdenes[[#This Row],[fecha_inicio]]))</f>
        <v/>
      </c>
      <c r="S526" s="3">
        <f>IF(tblOrdenes[[#This Row],[fecha_inicio]]="","",INDEX(lista_dias,WEEKDAY(tblOrdenes[[#This Row],[fecha_inicio]],2)))</f>
        <v/>
      </c>
      <c r="T526" s="3">
        <f>IF(tblOrdenes[[#This Row],[tipo_ot]]="","",_xlfn.XLOOKUP(tblOrdenes[[#This Row],[tipo_ot]],tblTiposOT[codigo],tblTiposOT[clasificacion],"sin_clasificar"))</f>
        <v/>
      </c>
      <c r="U526" s="3">
        <f>IF(tblOrdenes[[#This Row],[centro_costo]]="","",_xlfn.XLOOKUP(tblOrdenes[[#This Row],[centro_costo]],tblCECO[codigo],tblCECO[linea],"(sin catálogo)"))</f>
        <v/>
      </c>
      <c r="V526" s="3">
        <f>IF(tblOrdenes[[#This Row],[centro_costo]]="","",_xlfn.XLOOKUP(tblOrdenes[[#This Row],[centro_costo]],tblCECO[codigo],tblCECO[area],"(sin catálogo)"))</f>
        <v/>
      </c>
      <c r="W526" s="3">
        <f>IF(tblOrdenes[[#This Row],[centro_costo]]="","",_xlfn.XLOOKUP(tblOrdenes[[#This Row],[centro_costo]],tblCECO[codigo],tblCECO[coordinador],"(sin catálogo)"))</f>
        <v/>
      </c>
      <c r="X526" s="3">
        <f>IF(tblOrdenes[[#This Row],[puesto_trabajo]]="","",_xlfn.XLOOKUP(tblOrdenes[[#This Row],[puesto_trabajo]],tblPuestos[codigo],tblPuestos[especialidad],"(sin catálogo)"))</f>
        <v/>
      </c>
      <c r="Y526" s="3">
        <f>IF(tblOrdenes[[#This Row],[cod_actividad]]="","",_xlfn.XLOOKUP(tblOrdenes[[#This Row],[cod_actividad]],tblActividades[codigo],tblActividades[descripcion],"(sin catálogo)"))</f>
        <v/>
      </c>
      <c r="Z526" s="12">
        <f>IF(tblOrdenes[[#This Row],[fecha_inicio]]="","",TODAY()-tblOrdenes[[#This Row],[fecha_inicio]])</f>
        <v/>
      </c>
      <c r="AA526" s="3">
        <f>IF(tblOrdenes[[#This Row],[backlog_dias]]="","",IF(tblOrdenes[[#This Row],[backlog_dias]]&lt;0,"FUTURO",IF(tblOrdenes[[#This Row],[backlog_dias]]&gt;p_dias_backlog_max,"BACKLOG","MES CORRIENTE")))</f>
        <v/>
      </c>
      <c r="AB526" s="3">
        <f>IF(tblOrdenes[[#This Row],[backlog_dias]]="",FALSE,AND(tblOrdenes[[#This Row],[backlog_dias]]&gt;p_dias_backlog_min,tblOrdenes[[#This Row],[backlog_dias]]&lt;=p_dias_backlog_max))</f>
        <v/>
      </c>
      <c r="AC526" s="6" t="n"/>
      <c r="AD5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26" s="10">
        <f>IF(tblOrdenes[[#This Row],[orden]]="","",_xlfn.XLOOKUP(tblOrdenes[[#This Row],[id_operacion]],tblEjecucion[id_operacion],tblEjecucion[precio],0))</f>
        <v/>
      </c>
      <c r="AH526" s="10">
        <f>IF(tblOrdenes[[#This Row],[orden]]="","",MAX(0,_xlfn.XLOOKUP(tblOrdenes[[#This Row],[id_operacion]],tblEjecucion[id_operacion],tblEjecucion[costo_plan_total],0)-tblOrdenes[[#This Row],[costo_servicio]]))</f>
        <v/>
      </c>
      <c r="AI526" s="10">
        <f>IF(tblOrdenes[[#This Row],[orden]]="","",tblOrdenes[[#This Row],[costo_servicio]]+tblOrdenes[[#This Row],[costo_materiales]])</f>
        <v/>
      </c>
      <c r="AJ526" s="6" t="n"/>
      <c r="AK526" s="6" t="n"/>
      <c r="AL526" s="6" t="n"/>
      <c r="AM526" s="3">
        <f>IF(tblOrdenes[[#This Row],[link_checklist]]="","",HYPERLINK(p_ruta_base_checklists&amp;tblOrdenes[[#This Row],[link_checklist]],"abrir"))</f>
        <v/>
      </c>
      <c r="AN526" s="6" t="n"/>
      <c r="AO526" s="3">
        <f>IF(tblOrdenes[[#This Row],[orden]]="","",tblOrdenes[[#This Row],[orden]]&amp;IF(tblOrdenes[[#This Row],[operacion]]="","0010",tblOrdenes[[#This Row],[operacion]]))</f>
        <v/>
      </c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11" t="n"/>
      <c r="K527" s="3" t="n"/>
      <c r="L527" s="10" t="n"/>
      <c r="M527" s="6" t="n"/>
      <c r="N5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27" s="3">
        <f>IF(tblOrdenes[[#This Row],[fecha_inicio]]="","",YEAR(tblOrdenes[[#This Row],[fecha_inicio]]))</f>
        <v/>
      </c>
      <c r="R527" s="3">
        <f>IF(tblOrdenes[[#This Row],[fecha_inicio]]="","",MONTH(tblOrdenes[[#This Row],[fecha_inicio]]))</f>
        <v/>
      </c>
      <c r="S527" s="3">
        <f>IF(tblOrdenes[[#This Row],[fecha_inicio]]="","",INDEX(lista_dias,WEEKDAY(tblOrdenes[[#This Row],[fecha_inicio]],2)))</f>
        <v/>
      </c>
      <c r="T527" s="3">
        <f>IF(tblOrdenes[[#This Row],[tipo_ot]]="","",_xlfn.XLOOKUP(tblOrdenes[[#This Row],[tipo_ot]],tblTiposOT[codigo],tblTiposOT[clasificacion],"sin_clasificar"))</f>
        <v/>
      </c>
      <c r="U527" s="3">
        <f>IF(tblOrdenes[[#This Row],[centro_costo]]="","",_xlfn.XLOOKUP(tblOrdenes[[#This Row],[centro_costo]],tblCECO[codigo],tblCECO[linea],"(sin catálogo)"))</f>
        <v/>
      </c>
      <c r="V527" s="3">
        <f>IF(tblOrdenes[[#This Row],[centro_costo]]="","",_xlfn.XLOOKUP(tblOrdenes[[#This Row],[centro_costo]],tblCECO[codigo],tblCECO[area],"(sin catálogo)"))</f>
        <v/>
      </c>
      <c r="W527" s="3">
        <f>IF(tblOrdenes[[#This Row],[centro_costo]]="","",_xlfn.XLOOKUP(tblOrdenes[[#This Row],[centro_costo]],tblCECO[codigo],tblCECO[coordinador],"(sin catálogo)"))</f>
        <v/>
      </c>
      <c r="X527" s="3">
        <f>IF(tblOrdenes[[#This Row],[puesto_trabajo]]="","",_xlfn.XLOOKUP(tblOrdenes[[#This Row],[puesto_trabajo]],tblPuestos[codigo],tblPuestos[especialidad],"(sin catálogo)"))</f>
        <v/>
      </c>
      <c r="Y527" s="3">
        <f>IF(tblOrdenes[[#This Row],[cod_actividad]]="","",_xlfn.XLOOKUP(tblOrdenes[[#This Row],[cod_actividad]],tblActividades[codigo],tblActividades[descripcion],"(sin catálogo)"))</f>
        <v/>
      </c>
      <c r="Z527" s="12">
        <f>IF(tblOrdenes[[#This Row],[fecha_inicio]]="","",TODAY()-tblOrdenes[[#This Row],[fecha_inicio]])</f>
        <v/>
      </c>
      <c r="AA527" s="3">
        <f>IF(tblOrdenes[[#This Row],[backlog_dias]]="","",IF(tblOrdenes[[#This Row],[backlog_dias]]&lt;0,"FUTURO",IF(tblOrdenes[[#This Row],[backlog_dias]]&gt;p_dias_backlog_max,"BACKLOG","MES CORRIENTE")))</f>
        <v/>
      </c>
      <c r="AB527" s="3">
        <f>IF(tblOrdenes[[#This Row],[backlog_dias]]="",FALSE,AND(tblOrdenes[[#This Row],[backlog_dias]]&gt;p_dias_backlog_min,tblOrdenes[[#This Row],[backlog_dias]]&lt;=p_dias_backlog_max))</f>
        <v/>
      </c>
      <c r="AC527" s="6" t="n"/>
      <c r="AD5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27" s="10">
        <f>IF(tblOrdenes[[#This Row],[orden]]="","",_xlfn.XLOOKUP(tblOrdenes[[#This Row],[id_operacion]],tblEjecucion[id_operacion],tblEjecucion[precio],0))</f>
        <v/>
      </c>
      <c r="AH527" s="10">
        <f>IF(tblOrdenes[[#This Row],[orden]]="","",MAX(0,_xlfn.XLOOKUP(tblOrdenes[[#This Row],[id_operacion]],tblEjecucion[id_operacion],tblEjecucion[costo_plan_total],0)-tblOrdenes[[#This Row],[costo_servicio]]))</f>
        <v/>
      </c>
      <c r="AI527" s="10">
        <f>IF(tblOrdenes[[#This Row],[orden]]="","",tblOrdenes[[#This Row],[costo_servicio]]+tblOrdenes[[#This Row],[costo_materiales]])</f>
        <v/>
      </c>
      <c r="AJ527" s="6" t="n"/>
      <c r="AK527" s="6" t="n"/>
      <c r="AL527" s="6" t="n"/>
      <c r="AM527" s="3">
        <f>IF(tblOrdenes[[#This Row],[link_checklist]]="","",HYPERLINK(p_ruta_base_checklists&amp;tblOrdenes[[#This Row],[link_checklist]],"abrir"))</f>
        <v/>
      </c>
      <c r="AN527" s="6" t="n"/>
      <c r="AO527" s="3">
        <f>IF(tblOrdenes[[#This Row],[orden]]="","",tblOrdenes[[#This Row],[orden]]&amp;IF(tblOrdenes[[#This Row],[operacion]]="","0010",tblOrdenes[[#This Row],[operacion]]))</f>
        <v/>
      </c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11" t="n"/>
      <c r="K528" s="3" t="n"/>
      <c r="L528" s="10" t="n"/>
      <c r="M528" s="6" t="n"/>
      <c r="N5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28" s="3">
        <f>IF(tblOrdenes[[#This Row],[fecha_inicio]]="","",YEAR(tblOrdenes[[#This Row],[fecha_inicio]]))</f>
        <v/>
      </c>
      <c r="R528" s="3">
        <f>IF(tblOrdenes[[#This Row],[fecha_inicio]]="","",MONTH(tblOrdenes[[#This Row],[fecha_inicio]]))</f>
        <v/>
      </c>
      <c r="S528" s="3">
        <f>IF(tblOrdenes[[#This Row],[fecha_inicio]]="","",INDEX(lista_dias,WEEKDAY(tblOrdenes[[#This Row],[fecha_inicio]],2)))</f>
        <v/>
      </c>
      <c r="T528" s="3">
        <f>IF(tblOrdenes[[#This Row],[tipo_ot]]="","",_xlfn.XLOOKUP(tblOrdenes[[#This Row],[tipo_ot]],tblTiposOT[codigo],tblTiposOT[clasificacion],"sin_clasificar"))</f>
        <v/>
      </c>
      <c r="U528" s="3">
        <f>IF(tblOrdenes[[#This Row],[centro_costo]]="","",_xlfn.XLOOKUP(tblOrdenes[[#This Row],[centro_costo]],tblCECO[codigo],tblCECO[linea],"(sin catálogo)"))</f>
        <v/>
      </c>
      <c r="V528" s="3">
        <f>IF(tblOrdenes[[#This Row],[centro_costo]]="","",_xlfn.XLOOKUP(tblOrdenes[[#This Row],[centro_costo]],tblCECO[codigo],tblCECO[area],"(sin catálogo)"))</f>
        <v/>
      </c>
      <c r="W528" s="3">
        <f>IF(tblOrdenes[[#This Row],[centro_costo]]="","",_xlfn.XLOOKUP(tblOrdenes[[#This Row],[centro_costo]],tblCECO[codigo],tblCECO[coordinador],"(sin catálogo)"))</f>
        <v/>
      </c>
      <c r="X528" s="3">
        <f>IF(tblOrdenes[[#This Row],[puesto_trabajo]]="","",_xlfn.XLOOKUP(tblOrdenes[[#This Row],[puesto_trabajo]],tblPuestos[codigo],tblPuestos[especialidad],"(sin catálogo)"))</f>
        <v/>
      </c>
      <c r="Y528" s="3">
        <f>IF(tblOrdenes[[#This Row],[cod_actividad]]="","",_xlfn.XLOOKUP(tblOrdenes[[#This Row],[cod_actividad]],tblActividades[codigo],tblActividades[descripcion],"(sin catálogo)"))</f>
        <v/>
      </c>
      <c r="Z528" s="12">
        <f>IF(tblOrdenes[[#This Row],[fecha_inicio]]="","",TODAY()-tblOrdenes[[#This Row],[fecha_inicio]])</f>
        <v/>
      </c>
      <c r="AA528" s="3">
        <f>IF(tblOrdenes[[#This Row],[backlog_dias]]="","",IF(tblOrdenes[[#This Row],[backlog_dias]]&lt;0,"FUTURO",IF(tblOrdenes[[#This Row],[backlog_dias]]&gt;p_dias_backlog_max,"BACKLOG","MES CORRIENTE")))</f>
        <v/>
      </c>
      <c r="AB528" s="3">
        <f>IF(tblOrdenes[[#This Row],[backlog_dias]]="",FALSE,AND(tblOrdenes[[#This Row],[backlog_dias]]&gt;p_dias_backlog_min,tblOrdenes[[#This Row],[backlog_dias]]&lt;=p_dias_backlog_max))</f>
        <v/>
      </c>
      <c r="AC528" s="6" t="n"/>
      <c r="AD5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28" s="10">
        <f>IF(tblOrdenes[[#This Row],[orden]]="","",_xlfn.XLOOKUP(tblOrdenes[[#This Row],[id_operacion]],tblEjecucion[id_operacion],tblEjecucion[precio],0))</f>
        <v/>
      </c>
      <c r="AH528" s="10">
        <f>IF(tblOrdenes[[#This Row],[orden]]="","",MAX(0,_xlfn.XLOOKUP(tblOrdenes[[#This Row],[id_operacion]],tblEjecucion[id_operacion],tblEjecucion[costo_plan_total],0)-tblOrdenes[[#This Row],[costo_servicio]]))</f>
        <v/>
      </c>
      <c r="AI528" s="10">
        <f>IF(tblOrdenes[[#This Row],[orden]]="","",tblOrdenes[[#This Row],[costo_servicio]]+tblOrdenes[[#This Row],[costo_materiales]])</f>
        <v/>
      </c>
      <c r="AJ528" s="6" t="n"/>
      <c r="AK528" s="6" t="n"/>
      <c r="AL528" s="6" t="n"/>
      <c r="AM528" s="3">
        <f>IF(tblOrdenes[[#This Row],[link_checklist]]="","",HYPERLINK(p_ruta_base_checklists&amp;tblOrdenes[[#This Row],[link_checklist]],"abrir"))</f>
        <v/>
      </c>
      <c r="AN528" s="6" t="n"/>
      <c r="AO528" s="3">
        <f>IF(tblOrdenes[[#This Row],[orden]]="","",tblOrdenes[[#This Row],[orden]]&amp;IF(tblOrdenes[[#This Row],[operacion]]="","0010",tblOrdenes[[#This Row],[operacion]]))</f>
        <v/>
      </c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11" t="n"/>
      <c r="K529" s="3" t="n"/>
      <c r="L529" s="10" t="n"/>
      <c r="M529" s="6" t="n"/>
      <c r="N5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29" s="3">
        <f>IF(tblOrdenes[[#This Row],[fecha_inicio]]="","",YEAR(tblOrdenes[[#This Row],[fecha_inicio]]))</f>
        <v/>
      </c>
      <c r="R529" s="3">
        <f>IF(tblOrdenes[[#This Row],[fecha_inicio]]="","",MONTH(tblOrdenes[[#This Row],[fecha_inicio]]))</f>
        <v/>
      </c>
      <c r="S529" s="3">
        <f>IF(tblOrdenes[[#This Row],[fecha_inicio]]="","",INDEX(lista_dias,WEEKDAY(tblOrdenes[[#This Row],[fecha_inicio]],2)))</f>
        <v/>
      </c>
      <c r="T529" s="3">
        <f>IF(tblOrdenes[[#This Row],[tipo_ot]]="","",_xlfn.XLOOKUP(tblOrdenes[[#This Row],[tipo_ot]],tblTiposOT[codigo],tblTiposOT[clasificacion],"sin_clasificar"))</f>
        <v/>
      </c>
      <c r="U529" s="3">
        <f>IF(tblOrdenes[[#This Row],[centro_costo]]="","",_xlfn.XLOOKUP(tblOrdenes[[#This Row],[centro_costo]],tblCECO[codigo],tblCECO[linea],"(sin catálogo)"))</f>
        <v/>
      </c>
      <c r="V529" s="3">
        <f>IF(tblOrdenes[[#This Row],[centro_costo]]="","",_xlfn.XLOOKUP(tblOrdenes[[#This Row],[centro_costo]],tblCECO[codigo],tblCECO[area],"(sin catálogo)"))</f>
        <v/>
      </c>
      <c r="W529" s="3">
        <f>IF(tblOrdenes[[#This Row],[centro_costo]]="","",_xlfn.XLOOKUP(tblOrdenes[[#This Row],[centro_costo]],tblCECO[codigo],tblCECO[coordinador],"(sin catálogo)"))</f>
        <v/>
      </c>
      <c r="X529" s="3">
        <f>IF(tblOrdenes[[#This Row],[puesto_trabajo]]="","",_xlfn.XLOOKUP(tblOrdenes[[#This Row],[puesto_trabajo]],tblPuestos[codigo],tblPuestos[especialidad],"(sin catálogo)"))</f>
        <v/>
      </c>
      <c r="Y529" s="3">
        <f>IF(tblOrdenes[[#This Row],[cod_actividad]]="","",_xlfn.XLOOKUP(tblOrdenes[[#This Row],[cod_actividad]],tblActividades[codigo],tblActividades[descripcion],"(sin catálogo)"))</f>
        <v/>
      </c>
      <c r="Z529" s="12">
        <f>IF(tblOrdenes[[#This Row],[fecha_inicio]]="","",TODAY()-tblOrdenes[[#This Row],[fecha_inicio]])</f>
        <v/>
      </c>
      <c r="AA529" s="3">
        <f>IF(tblOrdenes[[#This Row],[backlog_dias]]="","",IF(tblOrdenes[[#This Row],[backlog_dias]]&lt;0,"FUTURO",IF(tblOrdenes[[#This Row],[backlog_dias]]&gt;p_dias_backlog_max,"BACKLOG","MES CORRIENTE")))</f>
        <v/>
      </c>
      <c r="AB529" s="3">
        <f>IF(tblOrdenes[[#This Row],[backlog_dias]]="",FALSE,AND(tblOrdenes[[#This Row],[backlog_dias]]&gt;p_dias_backlog_min,tblOrdenes[[#This Row],[backlog_dias]]&lt;=p_dias_backlog_max))</f>
        <v/>
      </c>
      <c r="AC529" s="6" t="n"/>
      <c r="AD5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29" s="10">
        <f>IF(tblOrdenes[[#This Row],[orden]]="","",_xlfn.XLOOKUP(tblOrdenes[[#This Row],[id_operacion]],tblEjecucion[id_operacion],tblEjecucion[precio],0))</f>
        <v/>
      </c>
      <c r="AH529" s="10">
        <f>IF(tblOrdenes[[#This Row],[orden]]="","",MAX(0,_xlfn.XLOOKUP(tblOrdenes[[#This Row],[id_operacion]],tblEjecucion[id_operacion],tblEjecucion[costo_plan_total],0)-tblOrdenes[[#This Row],[costo_servicio]]))</f>
        <v/>
      </c>
      <c r="AI529" s="10">
        <f>IF(tblOrdenes[[#This Row],[orden]]="","",tblOrdenes[[#This Row],[costo_servicio]]+tblOrdenes[[#This Row],[costo_materiales]])</f>
        <v/>
      </c>
      <c r="AJ529" s="6" t="n"/>
      <c r="AK529" s="6" t="n"/>
      <c r="AL529" s="6" t="n"/>
      <c r="AM529" s="3">
        <f>IF(tblOrdenes[[#This Row],[link_checklist]]="","",HYPERLINK(p_ruta_base_checklists&amp;tblOrdenes[[#This Row],[link_checklist]],"abrir"))</f>
        <v/>
      </c>
      <c r="AN529" s="6" t="n"/>
      <c r="AO529" s="3">
        <f>IF(tblOrdenes[[#This Row],[orden]]="","",tblOrdenes[[#This Row],[orden]]&amp;IF(tblOrdenes[[#This Row],[operacion]]="","0010",tblOrdenes[[#This Row],[operacion]]))</f>
        <v/>
      </c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11" t="n"/>
      <c r="K530" s="3" t="n"/>
      <c r="L530" s="10" t="n"/>
      <c r="M530" s="6" t="n"/>
      <c r="N5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30" s="3">
        <f>IF(tblOrdenes[[#This Row],[fecha_inicio]]="","",YEAR(tblOrdenes[[#This Row],[fecha_inicio]]))</f>
        <v/>
      </c>
      <c r="R530" s="3">
        <f>IF(tblOrdenes[[#This Row],[fecha_inicio]]="","",MONTH(tblOrdenes[[#This Row],[fecha_inicio]]))</f>
        <v/>
      </c>
      <c r="S530" s="3">
        <f>IF(tblOrdenes[[#This Row],[fecha_inicio]]="","",INDEX(lista_dias,WEEKDAY(tblOrdenes[[#This Row],[fecha_inicio]],2)))</f>
        <v/>
      </c>
      <c r="T530" s="3">
        <f>IF(tblOrdenes[[#This Row],[tipo_ot]]="","",_xlfn.XLOOKUP(tblOrdenes[[#This Row],[tipo_ot]],tblTiposOT[codigo],tblTiposOT[clasificacion],"sin_clasificar"))</f>
        <v/>
      </c>
      <c r="U530" s="3">
        <f>IF(tblOrdenes[[#This Row],[centro_costo]]="","",_xlfn.XLOOKUP(tblOrdenes[[#This Row],[centro_costo]],tblCECO[codigo],tblCECO[linea],"(sin catálogo)"))</f>
        <v/>
      </c>
      <c r="V530" s="3">
        <f>IF(tblOrdenes[[#This Row],[centro_costo]]="","",_xlfn.XLOOKUP(tblOrdenes[[#This Row],[centro_costo]],tblCECO[codigo],tblCECO[area],"(sin catálogo)"))</f>
        <v/>
      </c>
      <c r="W530" s="3">
        <f>IF(tblOrdenes[[#This Row],[centro_costo]]="","",_xlfn.XLOOKUP(tblOrdenes[[#This Row],[centro_costo]],tblCECO[codigo],tblCECO[coordinador],"(sin catálogo)"))</f>
        <v/>
      </c>
      <c r="X530" s="3">
        <f>IF(tblOrdenes[[#This Row],[puesto_trabajo]]="","",_xlfn.XLOOKUP(tblOrdenes[[#This Row],[puesto_trabajo]],tblPuestos[codigo],tblPuestos[especialidad],"(sin catálogo)"))</f>
        <v/>
      </c>
      <c r="Y530" s="3">
        <f>IF(tblOrdenes[[#This Row],[cod_actividad]]="","",_xlfn.XLOOKUP(tblOrdenes[[#This Row],[cod_actividad]],tblActividades[codigo],tblActividades[descripcion],"(sin catálogo)"))</f>
        <v/>
      </c>
      <c r="Z530" s="12">
        <f>IF(tblOrdenes[[#This Row],[fecha_inicio]]="","",TODAY()-tblOrdenes[[#This Row],[fecha_inicio]])</f>
        <v/>
      </c>
      <c r="AA530" s="3">
        <f>IF(tblOrdenes[[#This Row],[backlog_dias]]="","",IF(tblOrdenes[[#This Row],[backlog_dias]]&lt;0,"FUTURO",IF(tblOrdenes[[#This Row],[backlog_dias]]&gt;p_dias_backlog_max,"BACKLOG","MES CORRIENTE")))</f>
        <v/>
      </c>
      <c r="AB530" s="3">
        <f>IF(tblOrdenes[[#This Row],[backlog_dias]]="",FALSE,AND(tblOrdenes[[#This Row],[backlog_dias]]&gt;p_dias_backlog_min,tblOrdenes[[#This Row],[backlog_dias]]&lt;=p_dias_backlog_max))</f>
        <v/>
      </c>
      <c r="AC530" s="6" t="n"/>
      <c r="AD5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30" s="10">
        <f>IF(tblOrdenes[[#This Row],[orden]]="","",_xlfn.XLOOKUP(tblOrdenes[[#This Row],[id_operacion]],tblEjecucion[id_operacion],tblEjecucion[precio],0))</f>
        <v/>
      </c>
      <c r="AH530" s="10">
        <f>IF(tblOrdenes[[#This Row],[orden]]="","",MAX(0,_xlfn.XLOOKUP(tblOrdenes[[#This Row],[id_operacion]],tblEjecucion[id_operacion],tblEjecucion[costo_plan_total],0)-tblOrdenes[[#This Row],[costo_servicio]]))</f>
        <v/>
      </c>
      <c r="AI530" s="10">
        <f>IF(tblOrdenes[[#This Row],[orden]]="","",tblOrdenes[[#This Row],[costo_servicio]]+tblOrdenes[[#This Row],[costo_materiales]])</f>
        <v/>
      </c>
      <c r="AJ530" s="6" t="n"/>
      <c r="AK530" s="6" t="n"/>
      <c r="AL530" s="6" t="n"/>
      <c r="AM530" s="3">
        <f>IF(tblOrdenes[[#This Row],[link_checklist]]="","",HYPERLINK(p_ruta_base_checklists&amp;tblOrdenes[[#This Row],[link_checklist]],"abrir"))</f>
        <v/>
      </c>
      <c r="AN530" s="6" t="n"/>
      <c r="AO530" s="3">
        <f>IF(tblOrdenes[[#This Row],[orden]]="","",tblOrdenes[[#This Row],[orden]]&amp;IF(tblOrdenes[[#This Row],[operacion]]="","0010",tblOrdenes[[#This Row],[operacion]]))</f>
        <v/>
      </c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11" t="n"/>
      <c r="K531" s="3" t="n"/>
      <c r="L531" s="10" t="n"/>
      <c r="M531" s="6" t="n"/>
      <c r="N5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31" s="3">
        <f>IF(tblOrdenes[[#This Row],[fecha_inicio]]="","",YEAR(tblOrdenes[[#This Row],[fecha_inicio]]))</f>
        <v/>
      </c>
      <c r="R531" s="3">
        <f>IF(tblOrdenes[[#This Row],[fecha_inicio]]="","",MONTH(tblOrdenes[[#This Row],[fecha_inicio]]))</f>
        <v/>
      </c>
      <c r="S531" s="3">
        <f>IF(tblOrdenes[[#This Row],[fecha_inicio]]="","",INDEX(lista_dias,WEEKDAY(tblOrdenes[[#This Row],[fecha_inicio]],2)))</f>
        <v/>
      </c>
      <c r="T531" s="3">
        <f>IF(tblOrdenes[[#This Row],[tipo_ot]]="","",_xlfn.XLOOKUP(tblOrdenes[[#This Row],[tipo_ot]],tblTiposOT[codigo],tblTiposOT[clasificacion],"sin_clasificar"))</f>
        <v/>
      </c>
      <c r="U531" s="3">
        <f>IF(tblOrdenes[[#This Row],[centro_costo]]="","",_xlfn.XLOOKUP(tblOrdenes[[#This Row],[centro_costo]],tblCECO[codigo],tblCECO[linea],"(sin catálogo)"))</f>
        <v/>
      </c>
      <c r="V531" s="3">
        <f>IF(tblOrdenes[[#This Row],[centro_costo]]="","",_xlfn.XLOOKUP(tblOrdenes[[#This Row],[centro_costo]],tblCECO[codigo],tblCECO[area],"(sin catálogo)"))</f>
        <v/>
      </c>
      <c r="W531" s="3">
        <f>IF(tblOrdenes[[#This Row],[centro_costo]]="","",_xlfn.XLOOKUP(tblOrdenes[[#This Row],[centro_costo]],tblCECO[codigo],tblCECO[coordinador],"(sin catálogo)"))</f>
        <v/>
      </c>
      <c r="X531" s="3">
        <f>IF(tblOrdenes[[#This Row],[puesto_trabajo]]="","",_xlfn.XLOOKUP(tblOrdenes[[#This Row],[puesto_trabajo]],tblPuestos[codigo],tblPuestos[especialidad],"(sin catálogo)"))</f>
        <v/>
      </c>
      <c r="Y531" s="3">
        <f>IF(tblOrdenes[[#This Row],[cod_actividad]]="","",_xlfn.XLOOKUP(tblOrdenes[[#This Row],[cod_actividad]],tblActividades[codigo],tblActividades[descripcion],"(sin catálogo)"))</f>
        <v/>
      </c>
      <c r="Z531" s="12">
        <f>IF(tblOrdenes[[#This Row],[fecha_inicio]]="","",TODAY()-tblOrdenes[[#This Row],[fecha_inicio]])</f>
        <v/>
      </c>
      <c r="AA531" s="3">
        <f>IF(tblOrdenes[[#This Row],[backlog_dias]]="","",IF(tblOrdenes[[#This Row],[backlog_dias]]&lt;0,"FUTURO",IF(tblOrdenes[[#This Row],[backlog_dias]]&gt;p_dias_backlog_max,"BACKLOG","MES CORRIENTE")))</f>
        <v/>
      </c>
      <c r="AB531" s="3">
        <f>IF(tblOrdenes[[#This Row],[backlog_dias]]="",FALSE,AND(tblOrdenes[[#This Row],[backlog_dias]]&gt;p_dias_backlog_min,tblOrdenes[[#This Row],[backlog_dias]]&lt;=p_dias_backlog_max))</f>
        <v/>
      </c>
      <c r="AC531" s="6" t="n"/>
      <c r="AD5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31" s="10">
        <f>IF(tblOrdenes[[#This Row],[orden]]="","",_xlfn.XLOOKUP(tblOrdenes[[#This Row],[id_operacion]],tblEjecucion[id_operacion],tblEjecucion[precio],0))</f>
        <v/>
      </c>
      <c r="AH531" s="10">
        <f>IF(tblOrdenes[[#This Row],[orden]]="","",MAX(0,_xlfn.XLOOKUP(tblOrdenes[[#This Row],[id_operacion]],tblEjecucion[id_operacion],tblEjecucion[costo_plan_total],0)-tblOrdenes[[#This Row],[costo_servicio]]))</f>
        <v/>
      </c>
      <c r="AI531" s="10">
        <f>IF(tblOrdenes[[#This Row],[orden]]="","",tblOrdenes[[#This Row],[costo_servicio]]+tblOrdenes[[#This Row],[costo_materiales]])</f>
        <v/>
      </c>
      <c r="AJ531" s="6" t="n"/>
      <c r="AK531" s="6" t="n"/>
      <c r="AL531" s="6" t="n"/>
      <c r="AM531" s="3">
        <f>IF(tblOrdenes[[#This Row],[link_checklist]]="","",HYPERLINK(p_ruta_base_checklists&amp;tblOrdenes[[#This Row],[link_checklist]],"abrir"))</f>
        <v/>
      </c>
      <c r="AN531" s="6" t="n"/>
      <c r="AO531" s="3">
        <f>IF(tblOrdenes[[#This Row],[orden]]="","",tblOrdenes[[#This Row],[orden]]&amp;IF(tblOrdenes[[#This Row],[operacion]]="","0010",tblOrdenes[[#This Row],[operacion]]))</f>
        <v/>
      </c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11" t="n"/>
      <c r="K532" s="3" t="n"/>
      <c r="L532" s="10" t="n"/>
      <c r="M532" s="6" t="n"/>
      <c r="N5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32" s="3">
        <f>IF(tblOrdenes[[#This Row],[fecha_inicio]]="","",YEAR(tblOrdenes[[#This Row],[fecha_inicio]]))</f>
        <v/>
      </c>
      <c r="R532" s="3">
        <f>IF(tblOrdenes[[#This Row],[fecha_inicio]]="","",MONTH(tblOrdenes[[#This Row],[fecha_inicio]]))</f>
        <v/>
      </c>
      <c r="S532" s="3">
        <f>IF(tblOrdenes[[#This Row],[fecha_inicio]]="","",INDEX(lista_dias,WEEKDAY(tblOrdenes[[#This Row],[fecha_inicio]],2)))</f>
        <v/>
      </c>
      <c r="T532" s="3">
        <f>IF(tblOrdenes[[#This Row],[tipo_ot]]="","",_xlfn.XLOOKUP(tblOrdenes[[#This Row],[tipo_ot]],tblTiposOT[codigo],tblTiposOT[clasificacion],"sin_clasificar"))</f>
        <v/>
      </c>
      <c r="U532" s="3">
        <f>IF(tblOrdenes[[#This Row],[centro_costo]]="","",_xlfn.XLOOKUP(tblOrdenes[[#This Row],[centro_costo]],tblCECO[codigo],tblCECO[linea],"(sin catálogo)"))</f>
        <v/>
      </c>
      <c r="V532" s="3">
        <f>IF(tblOrdenes[[#This Row],[centro_costo]]="","",_xlfn.XLOOKUP(tblOrdenes[[#This Row],[centro_costo]],tblCECO[codigo],tblCECO[area],"(sin catálogo)"))</f>
        <v/>
      </c>
      <c r="W532" s="3">
        <f>IF(tblOrdenes[[#This Row],[centro_costo]]="","",_xlfn.XLOOKUP(tblOrdenes[[#This Row],[centro_costo]],tblCECO[codigo],tblCECO[coordinador],"(sin catálogo)"))</f>
        <v/>
      </c>
      <c r="X532" s="3">
        <f>IF(tblOrdenes[[#This Row],[puesto_trabajo]]="","",_xlfn.XLOOKUP(tblOrdenes[[#This Row],[puesto_trabajo]],tblPuestos[codigo],tblPuestos[especialidad],"(sin catálogo)"))</f>
        <v/>
      </c>
      <c r="Y532" s="3">
        <f>IF(tblOrdenes[[#This Row],[cod_actividad]]="","",_xlfn.XLOOKUP(tblOrdenes[[#This Row],[cod_actividad]],tblActividades[codigo],tblActividades[descripcion],"(sin catálogo)"))</f>
        <v/>
      </c>
      <c r="Z532" s="12">
        <f>IF(tblOrdenes[[#This Row],[fecha_inicio]]="","",TODAY()-tblOrdenes[[#This Row],[fecha_inicio]])</f>
        <v/>
      </c>
      <c r="AA532" s="3">
        <f>IF(tblOrdenes[[#This Row],[backlog_dias]]="","",IF(tblOrdenes[[#This Row],[backlog_dias]]&lt;0,"FUTURO",IF(tblOrdenes[[#This Row],[backlog_dias]]&gt;p_dias_backlog_max,"BACKLOG","MES CORRIENTE")))</f>
        <v/>
      </c>
      <c r="AB532" s="3">
        <f>IF(tblOrdenes[[#This Row],[backlog_dias]]="",FALSE,AND(tblOrdenes[[#This Row],[backlog_dias]]&gt;p_dias_backlog_min,tblOrdenes[[#This Row],[backlog_dias]]&lt;=p_dias_backlog_max))</f>
        <v/>
      </c>
      <c r="AC532" s="6" t="n"/>
      <c r="AD5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32" s="10">
        <f>IF(tblOrdenes[[#This Row],[orden]]="","",_xlfn.XLOOKUP(tblOrdenes[[#This Row],[id_operacion]],tblEjecucion[id_operacion],tblEjecucion[precio],0))</f>
        <v/>
      </c>
      <c r="AH532" s="10">
        <f>IF(tblOrdenes[[#This Row],[orden]]="","",MAX(0,_xlfn.XLOOKUP(tblOrdenes[[#This Row],[id_operacion]],tblEjecucion[id_operacion],tblEjecucion[costo_plan_total],0)-tblOrdenes[[#This Row],[costo_servicio]]))</f>
        <v/>
      </c>
      <c r="AI532" s="10">
        <f>IF(tblOrdenes[[#This Row],[orden]]="","",tblOrdenes[[#This Row],[costo_servicio]]+tblOrdenes[[#This Row],[costo_materiales]])</f>
        <v/>
      </c>
      <c r="AJ532" s="6" t="n"/>
      <c r="AK532" s="6" t="n"/>
      <c r="AL532" s="6" t="n"/>
      <c r="AM532" s="3">
        <f>IF(tblOrdenes[[#This Row],[link_checklist]]="","",HYPERLINK(p_ruta_base_checklists&amp;tblOrdenes[[#This Row],[link_checklist]],"abrir"))</f>
        <v/>
      </c>
      <c r="AN532" s="6" t="n"/>
      <c r="AO532" s="3">
        <f>IF(tblOrdenes[[#This Row],[orden]]="","",tblOrdenes[[#This Row],[orden]]&amp;IF(tblOrdenes[[#This Row],[operacion]]="","0010",tblOrdenes[[#This Row],[operacion]]))</f>
        <v/>
      </c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11" t="n"/>
      <c r="K533" s="3" t="n"/>
      <c r="L533" s="10" t="n"/>
      <c r="M533" s="6" t="n"/>
      <c r="N5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33" s="3">
        <f>IF(tblOrdenes[[#This Row],[fecha_inicio]]="","",YEAR(tblOrdenes[[#This Row],[fecha_inicio]]))</f>
        <v/>
      </c>
      <c r="R533" s="3">
        <f>IF(tblOrdenes[[#This Row],[fecha_inicio]]="","",MONTH(tblOrdenes[[#This Row],[fecha_inicio]]))</f>
        <v/>
      </c>
      <c r="S533" s="3">
        <f>IF(tblOrdenes[[#This Row],[fecha_inicio]]="","",INDEX(lista_dias,WEEKDAY(tblOrdenes[[#This Row],[fecha_inicio]],2)))</f>
        <v/>
      </c>
      <c r="T533" s="3">
        <f>IF(tblOrdenes[[#This Row],[tipo_ot]]="","",_xlfn.XLOOKUP(tblOrdenes[[#This Row],[tipo_ot]],tblTiposOT[codigo],tblTiposOT[clasificacion],"sin_clasificar"))</f>
        <v/>
      </c>
      <c r="U533" s="3">
        <f>IF(tblOrdenes[[#This Row],[centro_costo]]="","",_xlfn.XLOOKUP(tblOrdenes[[#This Row],[centro_costo]],tblCECO[codigo],tblCECO[linea],"(sin catálogo)"))</f>
        <v/>
      </c>
      <c r="V533" s="3">
        <f>IF(tblOrdenes[[#This Row],[centro_costo]]="","",_xlfn.XLOOKUP(tblOrdenes[[#This Row],[centro_costo]],tblCECO[codigo],tblCECO[area],"(sin catálogo)"))</f>
        <v/>
      </c>
      <c r="W533" s="3">
        <f>IF(tblOrdenes[[#This Row],[centro_costo]]="","",_xlfn.XLOOKUP(tblOrdenes[[#This Row],[centro_costo]],tblCECO[codigo],tblCECO[coordinador],"(sin catálogo)"))</f>
        <v/>
      </c>
      <c r="X533" s="3">
        <f>IF(tblOrdenes[[#This Row],[puesto_trabajo]]="","",_xlfn.XLOOKUP(tblOrdenes[[#This Row],[puesto_trabajo]],tblPuestos[codigo],tblPuestos[especialidad],"(sin catálogo)"))</f>
        <v/>
      </c>
      <c r="Y533" s="3">
        <f>IF(tblOrdenes[[#This Row],[cod_actividad]]="","",_xlfn.XLOOKUP(tblOrdenes[[#This Row],[cod_actividad]],tblActividades[codigo],tblActividades[descripcion],"(sin catálogo)"))</f>
        <v/>
      </c>
      <c r="Z533" s="12">
        <f>IF(tblOrdenes[[#This Row],[fecha_inicio]]="","",TODAY()-tblOrdenes[[#This Row],[fecha_inicio]])</f>
        <v/>
      </c>
      <c r="AA533" s="3">
        <f>IF(tblOrdenes[[#This Row],[backlog_dias]]="","",IF(tblOrdenes[[#This Row],[backlog_dias]]&lt;0,"FUTURO",IF(tblOrdenes[[#This Row],[backlog_dias]]&gt;p_dias_backlog_max,"BACKLOG","MES CORRIENTE")))</f>
        <v/>
      </c>
      <c r="AB533" s="3">
        <f>IF(tblOrdenes[[#This Row],[backlog_dias]]="",FALSE,AND(tblOrdenes[[#This Row],[backlog_dias]]&gt;p_dias_backlog_min,tblOrdenes[[#This Row],[backlog_dias]]&lt;=p_dias_backlog_max))</f>
        <v/>
      </c>
      <c r="AC533" s="6" t="n"/>
      <c r="AD5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33" s="10">
        <f>IF(tblOrdenes[[#This Row],[orden]]="","",_xlfn.XLOOKUP(tblOrdenes[[#This Row],[id_operacion]],tblEjecucion[id_operacion],tblEjecucion[precio],0))</f>
        <v/>
      </c>
      <c r="AH533" s="10">
        <f>IF(tblOrdenes[[#This Row],[orden]]="","",MAX(0,_xlfn.XLOOKUP(tblOrdenes[[#This Row],[id_operacion]],tblEjecucion[id_operacion],tblEjecucion[costo_plan_total],0)-tblOrdenes[[#This Row],[costo_servicio]]))</f>
        <v/>
      </c>
      <c r="AI533" s="10">
        <f>IF(tblOrdenes[[#This Row],[orden]]="","",tblOrdenes[[#This Row],[costo_servicio]]+tblOrdenes[[#This Row],[costo_materiales]])</f>
        <v/>
      </c>
      <c r="AJ533" s="6" t="n"/>
      <c r="AK533" s="6" t="n"/>
      <c r="AL533" s="6" t="n"/>
      <c r="AM533" s="3">
        <f>IF(tblOrdenes[[#This Row],[link_checklist]]="","",HYPERLINK(p_ruta_base_checklists&amp;tblOrdenes[[#This Row],[link_checklist]],"abrir"))</f>
        <v/>
      </c>
      <c r="AN533" s="6" t="n"/>
      <c r="AO533" s="3">
        <f>IF(tblOrdenes[[#This Row],[orden]]="","",tblOrdenes[[#This Row],[orden]]&amp;IF(tblOrdenes[[#This Row],[operacion]]="","0010",tblOrdenes[[#This Row],[operacion]]))</f>
        <v/>
      </c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11" t="n"/>
      <c r="K534" s="3" t="n"/>
      <c r="L534" s="10" t="n"/>
      <c r="M534" s="6" t="n"/>
      <c r="N5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34" s="3">
        <f>IF(tblOrdenes[[#This Row],[fecha_inicio]]="","",YEAR(tblOrdenes[[#This Row],[fecha_inicio]]))</f>
        <v/>
      </c>
      <c r="R534" s="3">
        <f>IF(tblOrdenes[[#This Row],[fecha_inicio]]="","",MONTH(tblOrdenes[[#This Row],[fecha_inicio]]))</f>
        <v/>
      </c>
      <c r="S534" s="3">
        <f>IF(tblOrdenes[[#This Row],[fecha_inicio]]="","",INDEX(lista_dias,WEEKDAY(tblOrdenes[[#This Row],[fecha_inicio]],2)))</f>
        <v/>
      </c>
      <c r="T534" s="3">
        <f>IF(tblOrdenes[[#This Row],[tipo_ot]]="","",_xlfn.XLOOKUP(tblOrdenes[[#This Row],[tipo_ot]],tblTiposOT[codigo],tblTiposOT[clasificacion],"sin_clasificar"))</f>
        <v/>
      </c>
      <c r="U534" s="3">
        <f>IF(tblOrdenes[[#This Row],[centro_costo]]="","",_xlfn.XLOOKUP(tblOrdenes[[#This Row],[centro_costo]],tblCECO[codigo],tblCECO[linea],"(sin catálogo)"))</f>
        <v/>
      </c>
      <c r="V534" s="3">
        <f>IF(tblOrdenes[[#This Row],[centro_costo]]="","",_xlfn.XLOOKUP(tblOrdenes[[#This Row],[centro_costo]],tblCECO[codigo],tblCECO[area],"(sin catálogo)"))</f>
        <v/>
      </c>
      <c r="W534" s="3">
        <f>IF(tblOrdenes[[#This Row],[centro_costo]]="","",_xlfn.XLOOKUP(tblOrdenes[[#This Row],[centro_costo]],tblCECO[codigo],tblCECO[coordinador],"(sin catálogo)"))</f>
        <v/>
      </c>
      <c r="X534" s="3">
        <f>IF(tblOrdenes[[#This Row],[puesto_trabajo]]="","",_xlfn.XLOOKUP(tblOrdenes[[#This Row],[puesto_trabajo]],tblPuestos[codigo],tblPuestos[especialidad],"(sin catálogo)"))</f>
        <v/>
      </c>
      <c r="Y534" s="3">
        <f>IF(tblOrdenes[[#This Row],[cod_actividad]]="","",_xlfn.XLOOKUP(tblOrdenes[[#This Row],[cod_actividad]],tblActividades[codigo],tblActividades[descripcion],"(sin catálogo)"))</f>
        <v/>
      </c>
      <c r="Z534" s="12">
        <f>IF(tblOrdenes[[#This Row],[fecha_inicio]]="","",TODAY()-tblOrdenes[[#This Row],[fecha_inicio]])</f>
        <v/>
      </c>
      <c r="AA534" s="3">
        <f>IF(tblOrdenes[[#This Row],[backlog_dias]]="","",IF(tblOrdenes[[#This Row],[backlog_dias]]&lt;0,"FUTURO",IF(tblOrdenes[[#This Row],[backlog_dias]]&gt;p_dias_backlog_max,"BACKLOG","MES CORRIENTE")))</f>
        <v/>
      </c>
      <c r="AB534" s="3">
        <f>IF(tblOrdenes[[#This Row],[backlog_dias]]="",FALSE,AND(tblOrdenes[[#This Row],[backlog_dias]]&gt;p_dias_backlog_min,tblOrdenes[[#This Row],[backlog_dias]]&lt;=p_dias_backlog_max))</f>
        <v/>
      </c>
      <c r="AC534" s="6" t="n"/>
      <c r="AD5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34" s="10">
        <f>IF(tblOrdenes[[#This Row],[orden]]="","",_xlfn.XLOOKUP(tblOrdenes[[#This Row],[id_operacion]],tblEjecucion[id_operacion],tblEjecucion[precio],0))</f>
        <v/>
      </c>
      <c r="AH534" s="10">
        <f>IF(tblOrdenes[[#This Row],[orden]]="","",MAX(0,_xlfn.XLOOKUP(tblOrdenes[[#This Row],[id_operacion]],tblEjecucion[id_operacion],tblEjecucion[costo_plan_total],0)-tblOrdenes[[#This Row],[costo_servicio]]))</f>
        <v/>
      </c>
      <c r="AI534" s="10">
        <f>IF(tblOrdenes[[#This Row],[orden]]="","",tblOrdenes[[#This Row],[costo_servicio]]+tblOrdenes[[#This Row],[costo_materiales]])</f>
        <v/>
      </c>
      <c r="AJ534" s="6" t="n"/>
      <c r="AK534" s="6" t="n"/>
      <c r="AL534" s="6" t="n"/>
      <c r="AM534" s="3">
        <f>IF(tblOrdenes[[#This Row],[link_checklist]]="","",HYPERLINK(p_ruta_base_checklists&amp;tblOrdenes[[#This Row],[link_checklist]],"abrir"))</f>
        <v/>
      </c>
      <c r="AN534" s="6" t="n"/>
      <c r="AO534" s="3">
        <f>IF(tblOrdenes[[#This Row],[orden]]="","",tblOrdenes[[#This Row],[orden]]&amp;IF(tblOrdenes[[#This Row],[operacion]]="","0010",tblOrdenes[[#This Row],[operacion]]))</f>
        <v/>
      </c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11" t="n"/>
      <c r="K535" s="3" t="n"/>
      <c r="L535" s="10" t="n"/>
      <c r="M535" s="6" t="n"/>
      <c r="N5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35" s="3">
        <f>IF(tblOrdenes[[#This Row],[fecha_inicio]]="","",YEAR(tblOrdenes[[#This Row],[fecha_inicio]]))</f>
        <v/>
      </c>
      <c r="R535" s="3">
        <f>IF(tblOrdenes[[#This Row],[fecha_inicio]]="","",MONTH(tblOrdenes[[#This Row],[fecha_inicio]]))</f>
        <v/>
      </c>
      <c r="S535" s="3">
        <f>IF(tblOrdenes[[#This Row],[fecha_inicio]]="","",INDEX(lista_dias,WEEKDAY(tblOrdenes[[#This Row],[fecha_inicio]],2)))</f>
        <v/>
      </c>
      <c r="T535" s="3">
        <f>IF(tblOrdenes[[#This Row],[tipo_ot]]="","",_xlfn.XLOOKUP(tblOrdenes[[#This Row],[tipo_ot]],tblTiposOT[codigo],tblTiposOT[clasificacion],"sin_clasificar"))</f>
        <v/>
      </c>
      <c r="U535" s="3">
        <f>IF(tblOrdenes[[#This Row],[centro_costo]]="","",_xlfn.XLOOKUP(tblOrdenes[[#This Row],[centro_costo]],tblCECO[codigo],tblCECO[linea],"(sin catálogo)"))</f>
        <v/>
      </c>
      <c r="V535" s="3">
        <f>IF(tblOrdenes[[#This Row],[centro_costo]]="","",_xlfn.XLOOKUP(tblOrdenes[[#This Row],[centro_costo]],tblCECO[codigo],tblCECO[area],"(sin catálogo)"))</f>
        <v/>
      </c>
      <c r="W535" s="3">
        <f>IF(tblOrdenes[[#This Row],[centro_costo]]="","",_xlfn.XLOOKUP(tblOrdenes[[#This Row],[centro_costo]],tblCECO[codigo],tblCECO[coordinador],"(sin catálogo)"))</f>
        <v/>
      </c>
      <c r="X535" s="3">
        <f>IF(tblOrdenes[[#This Row],[puesto_trabajo]]="","",_xlfn.XLOOKUP(tblOrdenes[[#This Row],[puesto_trabajo]],tblPuestos[codigo],tblPuestos[especialidad],"(sin catálogo)"))</f>
        <v/>
      </c>
      <c r="Y535" s="3">
        <f>IF(tblOrdenes[[#This Row],[cod_actividad]]="","",_xlfn.XLOOKUP(tblOrdenes[[#This Row],[cod_actividad]],tblActividades[codigo],tblActividades[descripcion],"(sin catálogo)"))</f>
        <v/>
      </c>
      <c r="Z535" s="12">
        <f>IF(tblOrdenes[[#This Row],[fecha_inicio]]="","",TODAY()-tblOrdenes[[#This Row],[fecha_inicio]])</f>
        <v/>
      </c>
      <c r="AA535" s="3">
        <f>IF(tblOrdenes[[#This Row],[backlog_dias]]="","",IF(tblOrdenes[[#This Row],[backlog_dias]]&lt;0,"FUTURO",IF(tblOrdenes[[#This Row],[backlog_dias]]&gt;p_dias_backlog_max,"BACKLOG","MES CORRIENTE")))</f>
        <v/>
      </c>
      <c r="AB535" s="3">
        <f>IF(tblOrdenes[[#This Row],[backlog_dias]]="",FALSE,AND(tblOrdenes[[#This Row],[backlog_dias]]&gt;p_dias_backlog_min,tblOrdenes[[#This Row],[backlog_dias]]&lt;=p_dias_backlog_max))</f>
        <v/>
      </c>
      <c r="AC535" s="6" t="n"/>
      <c r="AD5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35" s="10">
        <f>IF(tblOrdenes[[#This Row],[orden]]="","",_xlfn.XLOOKUP(tblOrdenes[[#This Row],[id_operacion]],tblEjecucion[id_operacion],tblEjecucion[precio],0))</f>
        <v/>
      </c>
      <c r="AH535" s="10">
        <f>IF(tblOrdenes[[#This Row],[orden]]="","",MAX(0,_xlfn.XLOOKUP(tblOrdenes[[#This Row],[id_operacion]],tblEjecucion[id_operacion],tblEjecucion[costo_plan_total],0)-tblOrdenes[[#This Row],[costo_servicio]]))</f>
        <v/>
      </c>
      <c r="AI535" s="10">
        <f>IF(tblOrdenes[[#This Row],[orden]]="","",tblOrdenes[[#This Row],[costo_servicio]]+tblOrdenes[[#This Row],[costo_materiales]])</f>
        <v/>
      </c>
      <c r="AJ535" s="6" t="n"/>
      <c r="AK535" s="6" t="n"/>
      <c r="AL535" s="6" t="n"/>
      <c r="AM535" s="3">
        <f>IF(tblOrdenes[[#This Row],[link_checklist]]="","",HYPERLINK(p_ruta_base_checklists&amp;tblOrdenes[[#This Row],[link_checklist]],"abrir"))</f>
        <v/>
      </c>
      <c r="AN535" s="6" t="n"/>
      <c r="AO535" s="3">
        <f>IF(tblOrdenes[[#This Row],[orden]]="","",tblOrdenes[[#This Row],[orden]]&amp;IF(tblOrdenes[[#This Row],[operacion]]="","0010",tblOrdenes[[#This Row],[operacion]]))</f>
        <v/>
      </c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11" t="n"/>
      <c r="K536" s="3" t="n"/>
      <c r="L536" s="10" t="n"/>
      <c r="M536" s="6" t="n"/>
      <c r="N5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36" s="3">
        <f>IF(tblOrdenes[[#This Row],[fecha_inicio]]="","",YEAR(tblOrdenes[[#This Row],[fecha_inicio]]))</f>
        <v/>
      </c>
      <c r="R536" s="3">
        <f>IF(tblOrdenes[[#This Row],[fecha_inicio]]="","",MONTH(tblOrdenes[[#This Row],[fecha_inicio]]))</f>
        <v/>
      </c>
      <c r="S536" s="3">
        <f>IF(tblOrdenes[[#This Row],[fecha_inicio]]="","",INDEX(lista_dias,WEEKDAY(tblOrdenes[[#This Row],[fecha_inicio]],2)))</f>
        <v/>
      </c>
      <c r="T536" s="3">
        <f>IF(tblOrdenes[[#This Row],[tipo_ot]]="","",_xlfn.XLOOKUP(tblOrdenes[[#This Row],[tipo_ot]],tblTiposOT[codigo],tblTiposOT[clasificacion],"sin_clasificar"))</f>
        <v/>
      </c>
      <c r="U536" s="3">
        <f>IF(tblOrdenes[[#This Row],[centro_costo]]="","",_xlfn.XLOOKUP(tblOrdenes[[#This Row],[centro_costo]],tblCECO[codigo],tblCECO[linea],"(sin catálogo)"))</f>
        <v/>
      </c>
      <c r="V536" s="3">
        <f>IF(tblOrdenes[[#This Row],[centro_costo]]="","",_xlfn.XLOOKUP(tblOrdenes[[#This Row],[centro_costo]],tblCECO[codigo],tblCECO[area],"(sin catálogo)"))</f>
        <v/>
      </c>
      <c r="W536" s="3">
        <f>IF(tblOrdenes[[#This Row],[centro_costo]]="","",_xlfn.XLOOKUP(tblOrdenes[[#This Row],[centro_costo]],tblCECO[codigo],tblCECO[coordinador],"(sin catálogo)"))</f>
        <v/>
      </c>
      <c r="X536" s="3">
        <f>IF(tblOrdenes[[#This Row],[puesto_trabajo]]="","",_xlfn.XLOOKUP(tblOrdenes[[#This Row],[puesto_trabajo]],tblPuestos[codigo],tblPuestos[especialidad],"(sin catálogo)"))</f>
        <v/>
      </c>
      <c r="Y536" s="3">
        <f>IF(tblOrdenes[[#This Row],[cod_actividad]]="","",_xlfn.XLOOKUP(tblOrdenes[[#This Row],[cod_actividad]],tblActividades[codigo],tblActividades[descripcion],"(sin catálogo)"))</f>
        <v/>
      </c>
      <c r="Z536" s="12">
        <f>IF(tblOrdenes[[#This Row],[fecha_inicio]]="","",TODAY()-tblOrdenes[[#This Row],[fecha_inicio]])</f>
        <v/>
      </c>
      <c r="AA536" s="3">
        <f>IF(tblOrdenes[[#This Row],[backlog_dias]]="","",IF(tblOrdenes[[#This Row],[backlog_dias]]&lt;0,"FUTURO",IF(tblOrdenes[[#This Row],[backlog_dias]]&gt;p_dias_backlog_max,"BACKLOG","MES CORRIENTE")))</f>
        <v/>
      </c>
      <c r="AB536" s="3">
        <f>IF(tblOrdenes[[#This Row],[backlog_dias]]="",FALSE,AND(tblOrdenes[[#This Row],[backlog_dias]]&gt;p_dias_backlog_min,tblOrdenes[[#This Row],[backlog_dias]]&lt;=p_dias_backlog_max))</f>
        <v/>
      </c>
      <c r="AC536" s="6" t="n"/>
      <c r="AD5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36" s="10">
        <f>IF(tblOrdenes[[#This Row],[orden]]="","",_xlfn.XLOOKUP(tblOrdenes[[#This Row],[id_operacion]],tblEjecucion[id_operacion],tblEjecucion[precio],0))</f>
        <v/>
      </c>
      <c r="AH536" s="10">
        <f>IF(tblOrdenes[[#This Row],[orden]]="","",MAX(0,_xlfn.XLOOKUP(tblOrdenes[[#This Row],[id_operacion]],tblEjecucion[id_operacion],tblEjecucion[costo_plan_total],0)-tblOrdenes[[#This Row],[costo_servicio]]))</f>
        <v/>
      </c>
      <c r="AI536" s="10">
        <f>IF(tblOrdenes[[#This Row],[orden]]="","",tblOrdenes[[#This Row],[costo_servicio]]+tblOrdenes[[#This Row],[costo_materiales]])</f>
        <v/>
      </c>
      <c r="AJ536" s="6" t="n"/>
      <c r="AK536" s="6" t="n"/>
      <c r="AL536" s="6" t="n"/>
      <c r="AM536" s="3">
        <f>IF(tblOrdenes[[#This Row],[link_checklist]]="","",HYPERLINK(p_ruta_base_checklists&amp;tblOrdenes[[#This Row],[link_checklist]],"abrir"))</f>
        <v/>
      </c>
      <c r="AN536" s="6" t="n"/>
      <c r="AO536" s="3">
        <f>IF(tblOrdenes[[#This Row],[orden]]="","",tblOrdenes[[#This Row],[orden]]&amp;IF(tblOrdenes[[#This Row],[operacion]]="","0010",tblOrdenes[[#This Row],[operacion]]))</f>
        <v/>
      </c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11" t="n"/>
      <c r="K537" s="3" t="n"/>
      <c r="L537" s="10" t="n"/>
      <c r="M537" s="6" t="n"/>
      <c r="N5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37" s="3">
        <f>IF(tblOrdenes[[#This Row],[fecha_inicio]]="","",YEAR(tblOrdenes[[#This Row],[fecha_inicio]]))</f>
        <v/>
      </c>
      <c r="R537" s="3">
        <f>IF(tblOrdenes[[#This Row],[fecha_inicio]]="","",MONTH(tblOrdenes[[#This Row],[fecha_inicio]]))</f>
        <v/>
      </c>
      <c r="S537" s="3">
        <f>IF(tblOrdenes[[#This Row],[fecha_inicio]]="","",INDEX(lista_dias,WEEKDAY(tblOrdenes[[#This Row],[fecha_inicio]],2)))</f>
        <v/>
      </c>
      <c r="T537" s="3">
        <f>IF(tblOrdenes[[#This Row],[tipo_ot]]="","",_xlfn.XLOOKUP(tblOrdenes[[#This Row],[tipo_ot]],tblTiposOT[codigo],tblTiposOT[clasificacion],"sin_clasificar"))</f>
        <v/>
      </c>
      <c r="U537" s="3">
        <f>IF(tblOrdenes[[#This Row],[centro_costo]]="","",_xlfn.XLOOKUP(tblOrdenes[[#This Row],[centro_costo]],tblCECO[codigo],tblCECO[linea],"(sin catálogo)"))</f>
        <v/>
      </c>
      <c r="V537" s="3">
        <f>IF(tblOrdenes[[#This Row],[centro_costo]]="","",_xlfn.XLOOKUP(tblOrdenes[[#This Row],[centro_costo]],tblCECO[codigo],tblCECO[area],"(sin catálogo)"))</f>
        <v/>
      </c>
      <c r="W537" s="3">
        <f>IF(tblOrdenes[[#This Row],[centro_costo]]="","",_xlfn.XLOOKUP(tblOrdenes[[#This Row],[centro_costo]],tblCECO[codigo],tblCECO[coordinador],"(sin catálogo)"))</f>
        <v/>
      </c>
      <c r="X537" s="3">
        <f>IF(tblOrdenes[[#This Row],[puesto_trabajo]]="","",_xlfn.XLOOKUP(tblOrdenes[[#This Row],[puesto_trabajo]],tblPuestos[codigo],tblPuestos[especialidad],"(sin catálogo)"))</f>
        <v/>
      </c>
      <c r="Y537" s="3">
        <f>IF(tblOrdenes[[#This Row],[cod_actividad]]="","",_xlfn.XLOOKUP(tblOrdenes[[#This Row],[cod_actividad]],tblActividades[codigo],tblActividades[descripcion],"(sin catálogo)"))</f>
        <v/>
      </c>
      <c r="Z537" s="12">
        <f>IF(tblOrdenes[[#This Row],[fecha_inicio]]="","",TODAY()-tblOrdenes[[#This Row],[fecha_inicio]])</f>
        <v/>
      </c>
      <c r="AA537" s="3">
        <f>IF(tblOrdenes[[#This Row],[backlog_dias]]="","",IF(tblOrdenes[[#This Row],[backlog_dias]]&lt;0,"FUTURO",IF(tblOrdenes[[#This Row],[backlog_dias]]&gt;p_dias_backlog_max,"BACKLOG","MES CORRIENTE")))</f>
        <v/>
      </c>
      <c r="AB537" s="3">
        <f>IF(tblOrdenes[[#This Row],[backlog_dias]]="",FALSE,AND(tblOrdenes[[#This Row],[backlog_dias]]&gt;p_dias_backlog_min,tblOrdenes[[#This Row],[backlog_dias]]&lt;=p_dias_backlog_max))</f>
        <v/>
      </c>
      <c r="AC537" s="6" t="n"/>
      <c r="AD5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37" s="10">
        <f>IF(tblOrdenes[[#This Row],[orden]]="","",_xlfn.XLOOKUP(tblOrdenes[[#This Row],[id_operacion]],tblEjecucion[id_operacion],tblEjecucion[precio],0))</f>
        <v/>
      </c>
      <c r="AH537" s="10">
        <f>IF(tblOrdenes[[#This Row],[orden]]="","",MAX(0,_xlfn.XLOOKUP(tblOrdenes[[#This Row],[id_operacion]],tblEjecucion[id_operacion],tblEjecucion[costo_plan_total],0)-tblOrdenes[[#This Row],[costo_servicio]]))</f>
        <v/>
      </c>
      <c r="AI537" s="10">
        <f>IF(tblOrdenes[[#This Row],[orden]]="","",tblOrdenes[[#This Row],[costo_servicio]]+tblOrdenes[[#This Row],[costo_materiales]])</f>
        <v/>
      </c>
      <c r="AJ537" s="6" t="n"/>
      <c r="AK537" s="6" t="n"/>
      <c r="AL537" s="6" t="n"/>
      <c r="AM537" s="3">
        <f>IF(tblOrdenes[[#This Row],[link_checklist]]="","",HYPERLINK(p_ruta_base_checklists&amp;tblOrdenes[[#This Row],[link_checklist]],"abrir"))</f>
        <v/>
      </c>
      <c r="AN537" s="6" t="n"/>
      <c r="AO537" s="3">
        <f>IF(tblOrdenes[[#This Row],[orden]]="","",tblOrdenes[[#This Row],[orden]]&amp;IF(tblOrdenes[[#This Row],[operacion]]="","0010",tblOrdenes[[#This Row],[operacion]]))</f>
        <v/>
      </c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11" t="n"/>
      <c r="K538" s="3" t="n"/>
      <c r="L538" s="10" t="n"/>
      <c r="M538" s="6" t="n"/>
      <c r="N5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38" s="3">
        <f>IF(tblOrdenes[[#This Row],[fecha_inicio]]="","",YEAR(tblOrdenes[[#This Row],[fecha_inicio]]))</f>
        <v/>
      </c>
      <c r="R538" s="3">
        <f>IF(tblOrdenes[[#This Row],[fecha_inicio]]="","",MONTH(tblOrdenes[[#This Row],[fecha_inicio]]))</f>
        <v/>
      </c>
      <c r="S538" s="3">
        <f>IF(tblOrdenes[[#This Row],[fecha_inicio]]="","",INDEX(lista_dias,WEEKDAY(tblOrdenes[[#This Row],[fecha_inicio]],2)))</f>
        <v/>
      </c>
      <c r="T538" s="3">
        <f>IF(tblOrdenes[[#This Row],[tipo_ot]]="","",_xlfn.XLOOKUP(tblOrdenes[[#This Row],[tipo_ot]],tblTiposOT[codigo],tblTiposOT[clasificacion],"sin_clasificar"))</f>
        <v/>
      </c>
      <c r="U538" s="3">
        <f>IF(tblOrdenes[[#This Row],[centro_costo]]="","",_xlfn.XLOOKUP(tblOrdenes[[#This Row],[centro_costo]],tblCECO[codigo],tblCECO[linea],"(sin catálogo)"))</f>
        <v/>
      </c>
      <c r="V538" s="3">
        <f>IF(tblOrdenes[[#This Row],[centro_costo]]="","",_xlfn.XLOOKUP(tblOrdenes[[#This Row],[centro_costo]],tblCECO[codigo],tblCECO[area],"(sin catálogo)"))</f>
        <v/>
      </c>
      <c r="W538" s="3">
        <f>IF(tblOrdenes[[#This Row],[centro_costo]]="","",_xlfn.XLOOKUP(tblOrdenes[[#This Row],[centro_costo]],tblCECO[codigo],tblCECO[coordinador],"(sin catálogo)"))</f>
        <v/>
      </c>
      <c r="X538" s="3">
        <f>IF(tblOrdenes[[#This Row],[puesto_trabajo]]="","",_xlfn.XLOOKUP(tblOrdenes[[#This Row],[puesto_trabajo]],tblPuestos[codigo],tblPuestos[especialidad],"(sin catálogo)"))</f>
        <v/>
      </c>
      <c r="Y538" s="3">
        <f>IF(tblOrdenes[[#This Row],[cod_actividad]]="","",_xlfn.XLOOKUP(tblOrdenes[[#This Row],[cod_actividad]],tblActividades[codigo],tblActividades[descripcion],"(sin catálogo)"))</f>
        <v/>
      </c>
      <c r="Z538" s="12">
        <f>IF(tblOrdenes[[#This Row],[fecha_inicio]]="","",TODAY()-tblOrdenes[[#This Row],[fecha_inicio]])</f>
        <v/>
      </c>
      <c r="AA538" s="3">
        <f>IF(tblOrdenes[[#This Row],[backlog_dias]]="","",IF(tblOrdenes[[#This Row],[backlog_dias]]&lt;0,"FUTURO",IF(tblOrdenes[[#This Row],[backlog_dias]]&gt;p_dias_backlog_max,"BACKLOG","MES CORRIENTE")))</f>
        <v/>
      </c>
      <c r="AB538" s="3">
        <f>IF(tblOrdenes[[#This Row],[backlog_dias]]="",FALSE,AND(tblOrdenes[[#This Row],[backlog_dias]]&gt;p_dias_backlog_min,tblOrdenes[[#This Row],[backlog_dias]]&lt;=p_dias_backlog_max))</f>
        <v/>
      </c>
      <c r="AC538" s="6" t="n"/>
      <c r="AD5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38" s="10">
        <f>IF(tblOrdenes[[#This Row],[orden]]="","",_xlfn.XLOOKUP(tblOrdenes[[#This Row],[id_operacion]],tblEjecucion[id_operacion],tblEjecucion[precio],0))</f>
        <v/>
      </c>
      <c r="AH538" s="10">
        <f>IF(tblOrdenes[[#This Row],[orden]]="","",MAX(0,_xlfn.XLOOKUP(tblOrdenes[[#This Row],[id_operacion]],tblEjecucion[id_operacion],tblEjecucion[costo_plan_total],0)-tblOrdenes[[#This Row],[costo_servicio]]))</f>
        <v/>
      </c>
      <c r="AI538" s="10">
        <f>IF(tblOrdenes[[#This Row],[orden]]="","",tblOrdenes[[#This Row],[costo_servicio]]+tblOrdenes[[#This Row],[costo_materiales]])</f>
        <v/>
      </c>
      <c r="AJ538" s="6" t="n"/>
      <c r="AK538" s="6" t="n"/>
      <c r="AL538" s="6" t="n"/>
      <c r="AM538" s="3">
        <f>IF(tblOrdenes[[#This Row],[link_checklist]]="","",HYPERLINK(p_ruta_base_checklists&amp;tblOrdenes[[#This Row],[link_checklist]],"abrir"))</f>
        <v/>
      </c>
      <c r="AN538" s="6" t="n"/>
      <c r="AO538" s="3">
        <f>IF(tblOrdenes[[#This Row],[orden]]="","",tblOrdenes[[#This Row],[orden]]&amp;IF(tblOrdenes[[#This Row],[operacion]]="","0010",tblOrdenes[[#This Row],[operacion]]))</f>
        <v/>
      </c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11" t="n"/>
      <c r="K539" s="3" t="n"/>
      <c r="L539" s="10" t="n"/>
      <c r="M539" s="6" t="n"/>
      <c r="N5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39" s="3">
        <f>IF(tblOrdenes[[#This Row],[fecha_inicio]]="","",YEAR(tblOrdenes[[#This Row],[fecha_inicio]]))</f>
        <v/>
      </c>
      <c r="R539" s="3">
        <f>IF(tblOrdenes[[#This Row],[fecha_inicio]]="","",MONTH(tblOrdenes[[#This Row],[fecha_inicio]]))</f>
        <v/>
      </c>
      <c r="S539" s="3">
        <f>IF(tblOrdenes[[#This Row],[fecha_inicio]]="","",INDEX(lista_dias,WEEKDAY(tblOrdenes[[#This Row],[fecha_inicio]],2)))</f>
        <v/>
      </c>
      <c r="T539" s="3">
        <f>IF(tblOrdenes[[#This Row],[tipo_ot]]="","",_xlfn.XLOOKUP(tblOrdenes[[#This Row],[tipo_ot]],tblTiposOT[codigo],tblTiposOT[clasificacion],"sin_clasificar"))</f>
        <v/>
      </c>
      <c r="U539" s="3">
        <f>IF(tblOrdenes[[#This Row],[centro_costo]]="","",_xlfn.XLOOKUP(tblOrdenes[[#This Row],[centro_costo]],tblCECO[codigo],tblCECO[linea],"(sin catálogo)"))</f>
        <v/>
      </c>
      <c r="V539" s="3">
        <f>IF(tblOrdenes[[#This Row],[centro_costo]]="","",_xlfn.XLOOKUP(tblOrdenes[[#This Row],[centro_costo]],tblCECO[codigo],tblCECO[area],"(sin catálogo)"))</f>
        <v/>
      </c>
      <c r="W539" s="3">
        <f>IF(tblOrdenes[[#This Row],[centro_costo]]="","",_xlfn.XLOOKUP(tblOrdenes[[#This Row],[centro_costo]],tblCECO[codigo],tblCECO[coordinador],"(sin catálogo)"))</f>
        <v/>
      </c>
      <c r="X539" s="3">
        <f>IF(tblOrdenes[[#This Row],[puesto_trabajo]]="","",_xlfn.XLOOKUP(tblOrdenes[[#This Row],[puesto_trabajo]],tblPuestos[codigo],tblPuestos[especialidad],"(sin catálogo)"))</f>
        <v/>
      </c>
      <c r="Y539" s="3">
        <f>IF(tblOrdenes[[#This Row],[cod_actividad]]="","",_xlfn.XLOOKUP(tblOrdenes[[#This Row],[cod_actividad]],tblActividades[codigo],tblActividades[descripcion],"(sin catálogo)"))</f>
        <v/>
      </c>
      <c r="Z539" s="12">
        <f>IF(tblOrdenes[[#This Row],[fecha_inicio]]="","",TODAY()-tblOrdenes[[#This Row],[fecha_inicio]])</f>
        <v/>
      </c>
      <c r="AA539" s="3">
        <f>IF(tblOrdenes[[#This Row],[backlog_dias]]="","",IF(tblOrdenes[[#This Row],[backlog_dias]]&lt;0,"FUTURO",IF(tblOrdenes[[#This Row],[backlog_dias]]&gt;p_dias_backlog_max,"BACKLOG","MES CORRIENTE")))</f>
        <v/>
      </c>
      <c r="AB539" s="3">
        <f>IF(tblOrdenes[[#This Row],[backlog_dias]]="",FALSE,AND(tblOrdenes[[#This Row],[backlog_dias]]&gt;p_dias_backlog_min,tblOrdenes[[#This Row],[backlog_dias]]&lt;=p_dias_backlog_max))</f>
        <v/>
      </c>
      <c r="AC539" s="6" t="n"/>
      <c r="AD5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39" s="10">
        <f>IF(tblOrdenes[[#This Row],[orden]]="","",_xlfn.XLOOKUP(tblOrdenes[[#This Row],[id_operacion]],tblEjecucion[id_operacion],tblEjecucion[precio],0))</f>
        <v/>
      </c>
      <c r="AH539" s="10">
        <f>IF(tblOrdenes[[#This Row],[orden]]="","",MAX(0,_xlfn.XLOOKUP(tblOrdenes[[#This Row],[id_operacion]],tblEjecucion[id_operacion],tblEjecucion[costo_plan_total],0)-tblOrdenes[[#This Row],[costo_servicio]]))</f>
        <v/>
      </c>
      <c r="AI539" s="10">
        <f>IF(tblOrdenes[[#This Row],[orden]]="","",tblOrdenes[[#This Row],[costo_servicio]]+tblOrdenes[[#This Row],[costo_materiales]])</f>
        <v/>
      </c>
      <c r="AJ539" s="6" t="n"/>
      <c r="AK539" s="6" t="n"/>
      <c r="AL539" s="6" t="n"/>
      <c r="AM539" s="3">
        <f>IF(tblOrdenes[[#This Row],[link_checklist]]="","",HYPERLINK(p_ruta_base_checklists&amp;tblOrdenes[[#This Row],[link_checklist]],"abrir"))</f>
        <v/>
      </c>
      <c r="AN539" s="6" t="n"/>
      <c r="AO539" s="3">
        <f>IF(tblOrdenes[[#This Row],[orden]]="","",tblOrdenes[[#This Row],[orden]]&amp;IF(tblOrdenes[[#This Row],[operacion]]="","0010",tblOrdenes[[#This Row],[operacion]]))</f>
        <v/>
      </c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11" t="n"/>
      <c r="K540" s="3" t="n"/>
      <c r="L540" s="10" t="n"/>
      <c r="M540" s="6" t="n"/>
      <c r="N5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40" s="3">
        <f>IF(tblOrdenes[[#This Row],[fecha_inicio]]="","",YEAR(tblOrdenes[[#This Row],[fecha_inicio]]))</f>
        <v/>
      </c>
      <c r="R540" s="3">
        <f>IF(tblOrdenes[[#This Row],[fecha_inicio]]="","",MONTH(tblOrdenes[[#This Row],[fecha_inicio]]))</f>
        <v/>
      </c>
      <c r="S540" s="3">
        <f>IF(tblOrdenes[[#This Row],[fecha_inicio]]="","",INDEX(lista_dias,WEEKDAY(tblOrdenes[[#This Row],[fecha_inicio]],2)))</f>
        <v/>
      </c>
      <c r="T540" s="3">
        <f>IF(tblOrdenes[[#This Row],[tipo_ot]]="","",_xlfn.XLOOKUP(tblOrdenes[[#This Row],[tipo_ot]],tblTiposOT[codigo],tblTiposOT[clasificacion],"sin_clasificar"))</f>
        <v/>
      </c>
      <c r="U540" s="3">
        <f>IF(tblOrdenes[[#This Row],[centro_costo]]="","",_xlfn.XLOOKUP(tblOrdenes[[#This Row],[centro_costo]],tblCECO[codigo],tblCECO[linea],"(sin catálogo)"))</f>
        <v/>
      </c>
      <c r="V540" s="3">
        <f>IF(tblOrdenes[[#This Row],[centro_costo]]="","",_xlfn.XLOOKUP(tblOrdenes[[#This Row],[centro_costo]],tblCECO[codigo],tblCECO[area],"(sin catálogo)"))</f>
        <v/>
      </c>
      <c r="W540" s="3">
        <f>IF(tblOrdenes[[#This Row],[centro_costo]]="","",_xlfn.XLOOKUP(tblOrdenes[[#This Row],[centro_costo]],tblCECO[codigo],tblCECO[coordinador],"(sin catálogo)"))</f>
        <v/>
      </c>
      <c r="X540" s="3">
        <f>IF(tblOrdenes[[#This Row],[puesto_trabajo]]="","",_xlfn.XLOOKUP(tblOrdenes[[#This Row],[puesto_trabajo]],tblPuestos[codigo],tblPuestos[especialidad],"(sin catálogo)"))</f>
        <v/>
      </c>
      <c r="Y540" s="3">
        <f>IF(tblOrdenes[[#This Row],[cod_actividad]]="","",_xlfn.XLOOKUP(tblOrdenes[[#This Row],[cod_actividad]],tblActividades[codigo],tblActividades[descripcion],"(sin catálogo)"))</f>
        <v/>
      </c>
      <c r="Z540" s="12">
        <f>IF(tblOrdenes[[#This Row],[fecha_inicio]]="","",TODAY()-tblOrdenes[[#This Row],[fecha_inicio]])</f>
        <v/>
      </c>
      <c r="AA540" s="3">
        <f>IF(tblOrdenes[[#This Row],[backlog_dias]]="","",IF(tblOrdenes[[#This Row],[backlog_dias]]&lt;0,"FUTURO",IF(tblOrdenes[[#This Row],[backlog_dias]]&gt;p_dias_backlog_max,"BACKLOG","MES CORRIENTE")))</f>
        <v/>
      </c>
      <c r="AB540" s="3">
        <f>IF(tblOrdenes[[#This Row],[backlog_dias]]="",FALSE,AND(tblOrdenes[[#This Row],[backlog_dias]]&gt;p_dias_backlog_min,tblOrdenes[[#This Row],[backlog_dias]]&lt;=p_dias_backlog_max))</f>
        <v/>
      </c>
      <c r="AC540" s="6" t="n"/>
      <c r="AD5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40" s="10">
        <f>IF(tblOrdenes[[#This Row],[orden]]="","",_xlfn.XLOOKUP(tblOrdenes[[#This Row],[id_operacion]],tblEjecucion[id_operacion],tblEjecucion[precio],0))</f>
        <v/>
      </c>
      <c r="AH540" s="10">
        <f>IF(tblOrdenes[[#This Row],[orden]]="","",MAX(0,_xlfn.XLOOKUP(tblOrdenes[[#This Row],[id_operacion]],tblEjecucion[id_operacion],tblEjecucion[costo_plan_total],0)-tblOrdenes[[#This Row],[costo_servicio]]))</f>
        <v/>
      </c>
      <c r="AI540" s="10">
        <f>IF(tblOrdenes[[#This Row],[orden]]="","",tblOrdenes[[#This Row],[costo_servicio]]+tblOrdenes[[#This Row],[costo_materiales]])</f>
        <v/>
      </c>
      <c r="AJ540" s="6" t="n"/>
      <c r="AK540" s="6" t="n"/>
      <c r="AL540" s="6" t="n"/>
      <c r="AM540" s="3">
        <f>IF(tblOrdenes[[#This Row],[link_checklist]]="","",HYPERLINK(p_ruta_base_checklists&amp;tblOrdenes[[#This Row],[link_checklist]],"abrir"))</f>
        <v/>
      </c>
      <c r="AN540" s="6" t="n"/>
      <c r="AO540" s="3">
        <f>IF(tblOrdenes[[#This Row],[orden]]="","",tblOrdenes[[#This Row],[orden]]&amp;IF(tblOrdenes[[#This Row],[operacion]]="","0010",tblOrdenes[[#This Row],[operacion]]))</f>
        <v/>
      </c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11" t="n"/>
      <c r="K541" s="3" t="n"/>
      <c r="L541" s="10" t="n"/>
      <c r="M541" s="6" t="n"/>
      <c r="N5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41" s="3">
        <f>IF(tblOrdenes[[#This Row],[fecha_inicio]]="","",YEAR(tblOrdenes[[#This Row],[fecha_inicio]]))</f>
        <v/>
      </c>
      <c r="R541" s="3">
        <f>IF(tblOrdenes[[#This Row],[fecha_inicio]]="","",MONTH(tblOrdenes[[#This Row],[fecha_inicio]]))</f>
        <v/>
      </c>
      <c r="S541" s="3">
        <f>IF(tblOrdenes[[#This Row],[fecha_inicio]]="","",INDEX(lista_dias,WEEKDAY(tblOrdenes[[#This Row],[fecha_inicio]],2)))</f>
        <v/>
      </c>
      <c r="T541" s="3">
        <f>IF(tblOrdenes[[#This Row],[tipo_ot]]="","",_xlfn.XLOOKUP(tblOrdenes[[#This Row],[tipo_ot]],tblTiposOT[codigo],tblTiposOT[clasificacion],"sin_clasificar"))</f>
        <v/>
      </c>
      <c r="U541" s="3">
        <f>IF(tblOrdenes[[#This Row],[centro_costo]]="","",_xlfn.XLOOKUP(tblOrdenes[[#This Row],[centro_costo]],tblCECO[codigo],tblCECO[linea],"(sin catálogo)"))</f>
        <v/>
      </c>
      <c r="V541" s="3">
        <f>IF(tblOrdenes[[#This Row],[centro_costo]]="","",_xlfn.XLOOKUP(tblOrdenes[[#This Row],[centro_costo]],tblCECO[codigo],tblCECO[area],"(sin catálogo)"))</f>
        <v/>
      </c>
      <c r="W541" s="3">
        <f>IF(tblOrdenes[[#This Row],[centro_costo]]="","",_xlfn.XLOOKUP(tblOrdenes[[#This Row],[centro_costo]],tblCECO[codigo],tblCECO[coordinador],"(sin catálogo)"))</f>
        <v/>
      </c>
      <c r="X541" s="3">
        <f>IF(tblOrdenes[[#This Row],[puesto_trabajo]]="","",_xlfn.XLOOKUP(tblOrdenes[[#This Row],[puesto_trabajo]],tblPuestos[codigo],tblPuestos[especialidad],"(sin catálogo)"))</f>
        <v/>
      </c>
      <c r="Y541" s="3">
        <f>IF(tblOrdenes[[#This Row],[cod_actividad]]="","",_xlfn.XLOOKUP(tblOrdenes[[#This Row],[cod_actividad]],tblActividades[codigo],tblActividades[descripcion],"(sin catálogo)"))</f>
        <v/>
      </c>
      <c r="Z541" s="12">
        <f>IF(tblOrdenes[[#This Row],[fecha_inicio]]="","",TODAY()-tblOrdenes[[#This Row],[fecha_inicio]])</f>
        <v/>
      </c>
      <c r="AA541" s="3">
        <f>IF(tblOrdenes[[#This Row],[backlog_dias]]="","",IF(tblOrdenes[[#This Row],[backlog_dias]]&lt;0,"FUTURO",IF(tblOrdenes[[#This Row],[backlog_dias]]&gt;p_dias_backlog_max,"BACKLOG","MES CORRIENTE")))</f>
        <v/>
      </c>
      <c r="AB541" s="3">
        <f>IF(tblOrdenes[[#This Row],[backlog_dias]]="",FALSE,AND(tblOrdenes[[#This Row],[backlog_dias]]&gt;p_dias_backlog_min,tblOrdenes[[#This Row],[backlog_dias]]&lt;=p_dias_backlog_max))</f>
        <v/>
      </c>
      <c r="AC541" s="6" t="n"/>
      <c r="AD5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41" s="10">
        <f>IF(tblOrdenes[[#This Row],[orden]]="","",_xlfn.XLOOKUP(tblOrdenes[[#This Row],[id_operacion]],tblEjecucion[id_operacion],tblEjecucion[precio],0))</f>
        <v/>
      </c>
      <c r="AH541" s="10">
        <f>IF(tblOrdenes[[#This Row],[orden]]="","",MAX(0,_xlfn.XLOOKUP(tblOrdenes[[#This Row],[id_operacion]],tblEjecucion[id_operacion],tblEjecucion[costo_plan_total],0)-tblOrdenes[[#This Row],[costo_servicio]]))</f>
        <v/>
      </c>
      <c r="AI541" s="10">
        <f>IF(tblOrdenes[[#This Row],[orden]]="","",tblOrdenes[[#This Row],[costo_servicio]]+tblOrdenes[[#This Row],[costo_materiales]])</f>
        <v/>
      </c>
      <c r="AJ541" s="6" t="n"/>
      <c r="AK541" s="6" t="n"/>
      <c r="AL541" s="6" t="n"/>
      <c r="AM541" s="3">
        <f>IF(tblOrdenes[[#This Row],[link_checklist]]="","",HYPERLINK(p_ruta_base_checklists&amp;tblOrdenes[[#This Row],[link_checklist]],"abrir"))</f>
        <v/>
      </c>
      <c r="AN541" s="6" t="n"/>
      <c r="AO541" s="3">
        <f>IF(tblOrdenes[[#This Row],[orden]]="","",tblOrdenes[[#This Row],[orden]]&amp;IF(tblOrdenes[[#This Row],[operacion]]="","0010",tblOrdenes[[#This Row],[operacion]]))</f>
        <v/>
      </c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11" t="n"/>
      <c r="K542" s="3" t="n"/>
      <c r="L542" s="10" t="n"/>
      <c r="M542" s="6" t="n"/>
      <c r="N5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42" s="3">
        <f>IF(tblOrdenes[[#This Row],[fecha_inicio]]="","",YEAR(tblOrdenes[[#This Row],[fecha_inicio]]))</f>
        <v/>
      </c>
      <c r="R542" s="3">
        <f>IF(tblOrdenes[[#This Row],[fecha_inicio]]="","",MONTH(tblOrdenes[[#This Row],[fecha_inicio]]))</f>
        <v/>
      </c>
      <c r="S542" s="3">
        <f>IF(tblOrdenes[[#This Row],[fecha_inicio]]="","",INDEX(lista_dias,WEEKDAY(tblOrdenes[[#This Row],[fecha_inicio]],2)))</f>
        <v/>
      </c>
      <c r="T542" s="3">
        <f>IF(tblOrdenes[[#This Row],[tipo_ot]]="","",_xlfn.XLOOKUP(tblOrdenes[[#This Row],[tipo_ot]],tblTiposOT[codigo],tblTiposOT[clasificacion],"sin_clasificar"))</f>
        <v/>
      </c>
      <c r="U542" s="3">
        <f>IF(tblOrdenes[[#This Row],[centro_costo]]="","",_xlfn.XLOOKUP(tblOrdenes[[#This Row],[centro_costo]],tblCECO[codigo],tblCECO[linea],"(sin catálogo)"))</f>
        <v/>
      </c>
      <c r="V542" s="3">
        <f>IF(tblOrdenes[[#This Row],[centro_costo]]="","",_xlfn.XLOOKUP(tblOrdenes[[#This Row],[centro_costo]],tblCECO[codigo],tblCECO[area],"(sin catálogo)"))</f>
        <v/>
      </c>
      <c r="W542" s="3">
        <f>IF(tblOrdenes[[#This Row],[centro_costo]]="","",_xlfn.XLOOKUP(tblOrdenes[[#This Row],[centro_costo]],tblCECO[codigo],tblCECO[coordinador],"(sin catálogo)"))</f>
        <v/>
      </c>
      <c r="X542" s="3">
        <f>IF(tblOrdenes[[#This Row],[puesto_trabajo]]="","",_xlfn.XLOOKUP(tblOrdenes[[#This Row],[puesto_trabajo]],tblPuestos[codigo],tblPuestos[especialidad],"(sin catálogo)"))</f>
        <v/>
      </c>
      <c r="Y542" s="3">
        <f>IF(tblOrdenes[[#This Row],[cod_actividad]]="","",_xlfn.XLOOKUP(tblOrdenes[[#This Row],[cod_actividad]],tblActividades[codigo],tblActividades[descripcion],"(sin catálogo)"))</f>
        <v/>
      </c>
      <c r="Z542" s="12">
        <f>IF(tblOrdenes[[#This Row],[fecha_inicio]]="","",TODAY()-tblOrdenes[[#This Row],[fecha_inicio]])</f>
        <v/>
      </c>
      <c r="AA542" s="3">
        <f>IF(tblOrdenes[[#This Row],[backlog_dias]]="","",IF(tblOrdenes[[#This Row],[backlog_dias]]&lt;0,"FUTURO",IF(tblOrdenes[[#This Row],[backlog_dias]]&gt;p_dias_backlog_max,"BACKLOG","MES CORRIENTE")))</f>
        <v/>
      </c>
      <c r="AB542" s="3">
        <f>IF(tblOrdenes[[#This Row],[backlog_dias]]="",FALSE,AND(tblOrdenes[[#This Row],[backlog_dias]]&gt;p_dias_backlog_min,tblOrdenes[[#This Row],[backlog_dias]]&lt;=p_dias_backlog_max))</f>
        <v/>
      </c>
      <c r="AC542" s="6" t="n"/>
      <c r="AD5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42" s="10">
        <f>IF(tblOrdenes[[#This Row],[orden]]="","",_xlfn.XLOOKUP(tblOrdenes[[#This Row],[id_operacion]],tblEjecucion[id_operacion],tblEjecucion[precio],0))</f>
        <v/>
      </c>
      <c r="AH542" s="10">
        <f>IF(tblOrdenes[[#This Row],[orden]]="","",MAX(0,_xlfn.XLOOKUP(tblOrdenes[[#This Row],[id_operacion]],tblEjecucion[id_operacion],tblEjecucion[costo_plan_total],0)-tblOrdenes[[#This Row],[costo_servicio]]))</f>
        <v/>
      </c>
      <c r="AI542" s="10">
        <f>IF(tblOrdenes[[#This Row],[orden]]="","",tblOrdenes[[#This Row],[costo_servicio]]+tblOrdenes[[#This Row],[costo_materiales]])</f>
        <v/>
      </c>
      <c r="AJ542" s="6" t="n"/>
      <c r="AK542" s="6" t="n"/>
      <c r="AL542" s="6" t="n"/>
      <c r="AM542" s="3">
        <f>IF(tblOrdenes[[#This Row],[link_checklist]]="","",HYPERLINK(p_ruta_base_checklists&amp;tblOrdenes[[#This Row],[link_checklist]],"abrir"))</f>
        <v/>
      </c>
      <c r="AN542" s="6" t="n"/>
      <c r="AO542" s="3">
        <f>IF(tblOrdenes[[#This Row],[orden]]="","",tblOrdenes[[#This Row],[orden]]&amp;IF(tblOrdenes[[#This Row],[operacion]]="","0010",tblOrdenes[[#This Row],[operacion]]))</f>
        <v/>
      </c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11" t="n"/>
      <c r="K543" s="3" t="n"/>
      <c r="L543" s="10" t="n"/>
      <c r="M543" s="6" t="n"/>
      <c r="N5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43" s="3">
        <f>IF(tblOrdenes[[#This Row],[fecha_inicio]]="","",YEAR(tblOrdenes[[#This Row],[fecha_inicio]]))</f>
        <v/>
      </c>
      <c r="R543" s="3">
        <f>IF(tblOrdenes[[#This Row],[fecha_inicio]]="","",MONTH(tblOrdenes[[#This Row],[fecha_inicio]]))</f>
        <v/>
      </c>
      <c r="S543" s="3">
        <f>IF(tblOrdenes[[#This Row],[fecha_inicio]]="","",INDEX(lista_dias,WEEKDAY(tblOrdenes[[#This Row],[fecha_inicio]],2)))</f>
        <v/>
      </c>
      <c r="T543" s="3">
        <f>IF(tblOrdenes[[#This Row],[tipo_ot]]="","",_xlfn.XLOOKUP(tblOrdenes[[#This Row],[tipo_ot]],tblTiposOT[codigo],tblTiposOT[clasificacion],"sin_clasificar"))</f>
        <v/>
      </c>
      <c r="U543" s="3">
        <f>IF(tblOrdenes[[#This Row],[centro_costo]]="","",_xlfn.XLOOKUP(tblOrdenes[[#This Row],[centro_costo]],tblCECO[codigo],tblCECO[linea],"(sin catálogo)"))</f>
        <v/>
      </c>
      <c r="V543" s="3">
        <f>IF(tblOrdenes[[#This Row],[centro_costo]]="","",_xlfn.XLOOKUP(tblOrdenes[[#This Row],[centro_costo]],tblCECO[codigo],tblCECO[area],"(sin catálogo)"))</f>
        <v/>
      </c>
      <c r="W543" s="3">
        <f>IF(tblOrdenes[[#This Row],[centro_costo]]="","",_xlfn.XLOOKUP(tblOrdenes[[#This Row],[centro_costo]],tblCECO[codigo],tblCECO[coordinador],"(sin catálogo)"))</f>
        <v/>
      </c>
      <c r="X543" s="3">
        <f>IF(tblOrdenes[[#This Row],[puesto_trabajo]]="","",_xlfn.XLOOKUP(tblOrdenes[[#This Row],[puesto_trabajo]],tblPuestos[codigo],tblPuestos[especialidad],"(sin catálogo)"))</f>
        <v/>
      </c>
      <c r="Y543" s="3">
        <f>IF(tblOrdenes[[#This Row],[cod_actividad]]="","",_xlfn.XLOOKUP(tblOrdenes[[#This Row],[cod_actividad]],tblActividades[codigo],tblActividades[descripcion],"(sin catálogo)"))</f>
        <v/>
      </c>
      <c r="Z543" s="12">
        <f>IF(tblOrdenes[[#This Row],[fecha_inicio]]="","",TODAY()-tblOrdenes[[#This Row],[fecha_inicio]])</f>
        <v/>
      </c>
      <c r="AA543" s="3">
        <f>IF(tblOrdenes[[#This Row],[backlog_dias]]="","",IF(tblOrdenes[[#This Row],[backlog_dias]]&lt;0,"FUTURO",IF(tblOrdenes[[#This Row],[backlog_dias]]&gt;p_dias_backlog_max,"BACKLOG","MES CORRIENTE")))</f>
        <v/>
      </c>
      <c r="AB543" s="3">
        <f>IF(tblOrdenes[[#This Row],[backlog_dias]]="",FALSE,AND(tblOrdenes[[#This Row],[backlog_dias]]&gt;p_dias_backlog_min,tblOrdenes[[#This Row],[backlog_dias]]&lt;=p_dias_backlog_max))</f>
        <v/>
      </c>
      <c r="AC543" s="6" t="n"/>
      <c r="AD5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43" s="10">
        <f>IF(tblOrdenes[[#This Row],[orden]]="","",_xlfn.XLOOKUP(tblOrdenes[[#This Row],[id_operacion]],tblEjecucion[id_operacion],tblEjecucion[precio],0))</f>
        <v/>
      </c>
      <c r="AH543" s="10">
        <f>IF(tblOrdenes[[#This Row],[orden]]="","",MAX(0,_xlfn.XLOOKUP(tblOrdenes[[#This Row],[id_operacion]],tblEjecucion[id_operacion],tblEjecucion[costo_plan_total],0)-tblOrdenes[[#This Row],[costo_servicio]]))</f>
        <v/>
      </c>
      <c r="AI543" s="10">
        <f>IF(tblOrdenes[[#This Row],[orden]]="","",tblOrdenes[[#This Row],[costo_servicio]]+tblOrdenes[[#This Row],[costo_materiales]])</f>
        <v/>
      </c>
      <c r="AJ543" s="6" t="n"/>
      <c r="AK543" s="6" t="n"/>
      <c r="AL543" s="6" t="n"/>
      <c r="AM543" s="3">
        <f>IF(tblOrdenes[[#This Row],[link_checklist]]="","",HYPERLINK(p_ruta_base_checklists&amp;tblOrdenes[[#This Row],[link_checklist]],"abrir"))</f>
        <v/>
      </c>
      <c r="AN543" s="6" t="n"/>
      <c r="AO543" s="3">
        <f>IF(tblOrdenes[[#This Row],[orden]]="","",tblOrdenes[[#This Row],[orden]]&amp;IF(tblOrdenes[[#This Row],[operacion]]="","0010",tblOrdenes[[#This Row],[operacion]]))</f>
        <v/>
      </c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11" t="n"/>
      <c r="K544" s="3" t="n"/>
      <c r="L544" s="10" t="n"/>
      <c r="M544" s="6" t="n"/>
      <c r="N5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44" s="3">
        <f>IF(tblOrdenes[[#This Row],[fecha_inicio]]="","",YEAR(tblOrdenes[[#This Row],[fecha_inicio]]))</f>
        <v/>
      </c>
      <c r="R544" s="3">
        <f>IF(tblOrdenes[[#This Row],[fecha_inicio]]="","",MONTH(tblOrdenes[[#This Row],[fecha_inicio]]))</f>
        <v/>
      </c>
      <c r="S544" s="3">
        <f>IF(tblOrdenes[[#This Row],[fecha_inicio]]="","",INDEX(lista_dias,WEEKDAY(tblOrdenes[[#This Row],[fecha_inicio]],2)))</f>
        <v/>
      </c>
      <c r="T544" s="3">
        <f>IF(tblOrdenes[[#This Row],[tipo_ot]]="","",_xlfn.XLOOKUP(tblOrdenes[[#This Row],[tipo_ot]],tblTiposOT[codigo],tblTiposOT[clasificacion],"sin_clasificar"))</f>
        <v/>
      </c>
      <c r="U544" s="3">
        <f>IF(tblOrdenes[[#This Row],[centro_costo]]="","",_xlfn.XLOOKUP(tblOrdenes[[#This Row],[centro_costo]],tblCECO[codigo],tblCECO[linea],"(sin catálogo)"))</f>
        <v/>
      </c>
      <c r="V544" s="3">
        <f>IF(tblOrdenes[[#This Row],[centro_costo]]="","",_xlfn.XLOOKUP(tblOrdenes[[#This Row],[centro_costo]],tblCECO[codigo],tblCECO[area],"(sin catálogo)"))</f>
        <v/>
      </c>
      <c r="W544" s="3">
        <f>IF(tblOrdenes[[#This Row],[centro_costo]]="","",_xlfn.XLOOKUP(tblOrdenes[[#This Row],[centro_costo]],tblCECO[codigo],tblCECO[coordinador],"(sin catálogo)"))</f>
        <v/>
      </c>
      <c r="X544" s="3">
        <f>IF(tblOrdenes[[#This Row],[puesto_trabajo]]="","",_xlfn.XLOOKUP(tblOrdenes[[#This Row],[puesto_trabajo]],tblPuestos[codigo],tblPuestos[especialidad],"(sin catálogo)"))</f>
        <v/>
      </c>
      <c r="Y544" s="3">
        <f>IF(tblOrdenes[[#This Row],[cod_actividad]]="","",_xlfn.XLOOKUP(tblOrdenes[[#This Row],[cod_actividad]],tblActividades[codigo],tblActividades[descripcion],"(sin catálogo)"))</f>
        <v/>
      </c>
      <c r="Z544" s="12">
        <f>IF(tblOrdenes[[#This Row],[fecha_inicio]]="","",TODAY()-tblOrdenes[[#This Row],[fecha_inicio]])</f>
        <v/>
      </c>
      <c r="AA544" s="3">
        <f>IF(tblOrdenes[[#This Row],[backlog_dias]]="","",IF(tblOrdenes[[#This Row],[backlog_dias]]&lt;0,"FUTURO",IF(tblOrdenes[[#This Row],[backlog_dias]]&gt;p_dias_backlog_max,"BACKLOG","MES CORRIENTE")))</f>
        <v/>
      </c>
      <c r="AB544" s="3">
        <f>IF(tblOrdenes[[#This Row],[backlog_dias]]="",FALSE,AND(tblOrdenes[[#This Row],[backlog_dias]]&gt;p_dias_backlog_min,tblOrdenes[[#This Row],[backlog_dias]]&lt;=p_dias_backlog_max))</f>
        <v/>
      </c>
      <c r="AC544" s="6" t="n"/>
      <c r="AD5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44" s="10">
        <f>IF(tblOrdenes[[#This Row],[orden]]="","",_xlfn.XLOOKUP(tblOrdenes[[#This Row],[id_operacion]],tblEjecucion[id_operacion],tblEjecucion[precio],0))</f>
        <v/>
      </c>
      <c r="AH544" s="10">
        <f>IF(tblOrdenes[[#This Row],[orden]]="","",MAX(0,_xlfn.XLOOKUP(tblOrdenes[[#This Row],[id_operacion]],tblEjecucion[id_operacion],tblEjecucion[costo_plan_total],0)-tblOrdenes[[#This Row],[costo_servicio]]))</f>
        <v/>
      </c>
      <c r="AI544" s="10">
        <f>IF(tblOrdenes[[#This Row],[orden]]="","",tblOrdenes[[#This Row],[costo_servicio]]+tblOrdenes[[#This Row],[costo_materiales]])</f>
        <v/>
      </c>
      <c r="AJ544" s="6" t="n"/>
      <c r="AK544" s="6" t="n"/>
      <c r="AL544" s="6" t="n"/>
      <c r="AM544" s="3">
        <f>IF(tblOrdenes[[#This Row],[link_checklist]]="","",HYPERLINK(p_ruta_base_checklists&amp;tblOrdenes[[#This Row],[link_checklist]],"abrir"))</f>
        <v/>
      </c>
      <c r="AN544" s="6" t="n"/>
      <c r="AO544" s="3">
        <f>IF(tblOrdenes[[#This Row],[orden]]="","",tblOrdenes[[#This Row],[orden]]&amp;IF(tblOrdenes[[#This Row],[operacion]]="","0010",tblOrdenes[[#This Row],[operacion]]))</f>
        <v/>
      </c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11" t="n"/>
      <c r="K545" s="3" t="n"/>
      <c r="L545" s="10" t="n"/>
      <c r="M545" s="6" t="n"/>
      <c r="N5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45" s="3">
        <f>IF(tblOrdenes[[#This Row],[fecha_inicio]]="","",YEAR(tblOrdenes[[#This Row],[fecha_inicio]]))</f>
        <v/>
      </c>
      <c r="R545" s="3">
        <f>IF(tblOrdenes[[#This Row],[fecha_inicio]]="","",MONTH(tblOrdenes[[#This Row],[fecha_inicio]]))</f>
        <v/>
      </c>
      <c r="S545" s="3">
        <f>IF(tblOrdenes[[#This Row],[fecha_inicio]]="","",INDEX(lista_dias,WEEKDAY(tblOrdenes[[#This Row],[fecha_inicio]],2)))</f>
        <v/>
      </c>
      <c r="T545" s="3">
        <f>IF(tblOrdenes[[#This Row],[tipo_ot]]="","",_xlfn.XLOOKUP(tblOrdenes[[#This Row],[tipo_ot]],tblTiposOT[codigo],tblTiposOT[clasificacion],"sin_clasificar"))</f>
        <v/>
      </c>
      <c r="U545" s="3">
        <f>IF(tblOrdenes[[#This Row],[centro_costo]]="","",_xlfn.XLOOKUP(tblOrdenes[[#This Row],[centro_costo]],tblCECO[codigo],tblCECO[linea],"(sin catálogo)"))</f>
        <v/>
      </c>
      <c r="V545" s="3">
        <f>IF(tblOrdenes[[#This Row],[centro_costo]]="","",_xlfn.XLOOKUP(tblOrdenes[[#This Row],[centro_costo]],tblCECO[codigo],tblCECO[area],"(sin catálogo)"))</f>
        <v/>
      </c>
      <c r="W545" s="3">
        <f>IF(tblOrdenes[[#This Row],[centro_costo]]="","",_xlfn.XLOOKUP(tblOrdenes[[#This Row],[centro_costo]],tblCECO[codigo],tblCECO[coordinador],"(sin catálogo)"))</f>
        <v/>
      </c>
      <c r="X545" s="3">
        <f>IF(tblOrdenes[[#This Row],[puesto_trabajo]]="","",_xlfn.XLOOKUP(tblOrdenes[[#This Row],[puesto_trabajo]],tblPuestos[codigo],tblPuestos[especialidad],"(sin catálogo)"))</f>
        <v/>
      </c>
      <c r="Y545" s="3">
        <f>IF(tblOrdenes[[#This Row],[cod_actividad]]="","",_xlfn.XLOOKUP(tblOrdenes[[#This Row],[cod_actividad]],tblActividades[codigo],tblActividades[descripcion],"(sin catálogo)"))</f>
        <v/>
      </c>
      <c r="Z545" s="12">
        <f>IF(tblOrdenes[[#This Row],[fecha_inicio]]="","",TODAY()-tblOrdenes[[#This Row],[fecha_inicio]])</f>
        <v/>
      </c>
      <c r="AA545" s="3">
        <f>IF(tblOrdenes[[#This Row],[backlog_dias]]="","",IF(tblOrdenes[[#This Row],[backlog_dias]]&lt;0,"FUTURO",IF(tblOrdenes[[#This Row],[backlog_dias]]&gt;p_dias_backlog_max,"BACKLOG","MES CORRIENTE")))</f>
        <v/>
      </c>
      <c r="AB545" s="3">
        <f>IF(tblOrdenes[[#This Row],[backlog_dias]]="",FALSE,AND(tblOrdenes[[#This Row],[backlog_dias]]&gt;p_dias_backlog_min,tblOrdenes[[#This Row],[backlog_dias]]&lt;=p_dias_backlog_max))</f>
        <v/>
      </c>
      <c r="AC545" s="6" t="n"/>
      <c r="AD5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45" s="10">
        <f>IF(tblOrdenes[[#This Row],[orden]]="","",_xlfn.XLOOKUP(tblOrdenes[[#This Row],[id_operacion]],tblEjecucion[id_operacion],tblEjecucion[precio],0))</f>
        <v/>
      </c>
      <c r="AH545" s="10">
        <f>IF(tblOrdenes[[#This Row],[orden]]="","",MAX(0,_xlfn.XLOOKUP(tblOrdenes[[#This Row],[id_operacion]],tblEjecucion[id_operacion],tblEjecucion[costo_plan_total],0)-tblOrdenes[[#This Row],[costo_servicio]]))</f>
        <v/>
      </c>
      <c r="AI545" s="10">
        <f>IF(tblOrdenes[[#This Row],[orden]]="","",tblOrdenes[[#This Row],[costo_servicio]]+tblOrdenes[[#This Row],[costo_materiales]])</f>
        <v/>
      </c>
      <c r="AJ545" s="6" t="n"/>
      <c r="AK545" s="6" t="n"/>
      <c r="AL545" s="6" t="n"/>
      <c r="AM545" s="3">
        <f>IF(tblOrdenes[[#This Row],[link_checklist]]="","",HYPERLINK(p_ruta_base_checklists&amp;tblOrdenes[[#This Row],[link_checklist]],"abrir"))</f>
        <v/>
      </c>
      <c r="AN545" s="6" t="n"/>
      <c r="AO545" s="3">
        <f>IF(tblOrdenes[[#This Row],[orden]]="","",tblOrdenes[[#This Row],[orden]]&amp;IF(tblOrdenes[[#This Row],[operacion]]="","0010",tblOrdenes[[#This Row],[operacion]]))</f>
        <v/>
      </c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11" t="n"/>
      <c r="K546" s="3" t="n"/>
      <c r="L546" s="10" t="n"/>
      <c r="M546" s="6" t="n"/>
      <c r="N5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46" s="3">
        <f>IF(tblOrdenes[[#This Row],[fecha_inicio]]="","",YEAR(tblOrdenes[[#This Row],[fecha_inicio]]))</f>
        <v/>
      </c>
      <c r="R546" s="3">
        <f>IF(tblOrdenes[[#This Row],[fecha_inicio]]="","",MONTH(tblOrdenes[[#This Row],[fecha_inicio]]))</f>
        <v/>
      </c>
      <c r="S546" s="3">
        <f>IF(tblOrdenes[[#This Row],[fecha_inicio]]="","",INDEX(lista_dias,WEEKDAY(tblOrdenes[[#This Row],[fecha_inicio]],2)))</f>
        <v/>
      </c>
      <c r="T546" s="3">
        <f>IF(tblOrdenes[[#This Row],[tipo_ot]]="","",_xlfn.XLOOKUP(tblOrdenes[[#This Row],[tipo_ot]],tblTiposOT[codigo],tblTiposOT[clasificacion],"sin_clasificar"))</f>
        <v/>
      </c>
      <c r="U546" s="3">
        <f>IF(tblOrdenes[[#This Row],[centro_costo]]="","",_xlfn.XLOOKUP(tblOrdenes[[#This Row],[centro_costo]],tblCECO[codigo],tblCECO[linea],"(sin catálogo)"))</f>
        <v/>
      </c>
      <c r="V546" s="3">
        <f>IF(tblOrdenes[[#This Row],[centro_costo]]="","",_xlfn.XLOOKUP(tblOrdenes[[#This Row],[centro_costo]],tblCECO[codigo],tblCECO[area],"(sin catálogo)"))</f>
        <v/>
      </c>
      <c r="W546" s="3">
        <f>IF(tblOrdenes[[#This Row],[centro_costo]]="","",_xlfn.XLOOKUP(tblOrdenes[[#This Row],[centro_costo]],tblCECO[codigo],tblCECO[coordinador],"(sin catálogo)"))</f>
        <v/>
      </c>
      <c r="X546" s="3">
        <f>IF(tblOrdenes[[#This Row],[puesto_trabajo]]="","",_xlfn.XLOOKUP(tblOrdenes[[#This Row],[puesto_trabajo]],tblPuestos[codigo],tblPuestos[especialidad],"(sin catálogo)"))</f>
        <v/>
      </c>
      <c r="Y546" s="3">
        <f>IF(tblOrdenes[[#This Row],[cod_actividad]]="","",_xlfn.XLOOKUP(tblOrdenes[[#This Row],[cod_actividad]],tblActividades[codigo],tblActividades[descripcion],"(sin catálogo)"))</f>
        <v/>
      </c>
      <c r="Z546" s="12">
        <f>IF(tblOrdenes[[#This Row],[fecha_inicio]]="","",TODAY()-tblOrdenes[[#This Row],[fecha_inicio]])</f>
        <v/>
      </c>
      <c r="AA546" s="3">
        <f>IF(tblOrdenes[[#This Row],[backlog_dias]]="","",IF(tblOrdenes[[#This Row],[backlog_dias]]&lt;0,"FUTURO",IF(tblOrdenes[[#This Row],[backlog_dias]]&gt;p_dias_backlog_max,"BACKLOG","MES CORRIENTE")))</f>
        <v/>
      </c>
      <c r="AB546" s="3">
        <f>IF(tblOrdenes[[#This Row],[backlog_dias]]="",FALSE,AND(tblOrdenes[[#This Row],[backlog_dias]]&gt;p_dias_backlog_min,tblOrdenes[[#This Row],[backlog_dias]]&lt;=p_dias_backlog_max))</f>
        <v/>
      </c>
      <c r="AC546" s="6" t="n"/>
      <c r="AD5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46" s="10">
        <f>IF(tblOrdenes[[#This Row],[orden]]="","",_xlfn.XLOOKUP(tblOrdenes[[#This Row],[id_operacion]],tblEjecucion[id_operacion],tblEjecucion[precio],0))</f>
        <v/>
      </c>
      <c r="AH546" s="10">
        <f>IF(tblOrdenes[[#This Row],[orden]]="","",MAX(0,_xlfn.XLOOKUP(tblOrdenes[[#This Row],[id_operacion]],tblEjecucion[id_operacion],tblEjecucion[costo_plan_total],0)-tblOrdenes[[#This Row],[costo_servicio]]))</f>
        <v/>
      </c>
      <c r="AI546" s="10">
        <f>IF(tblOrdenes[[#This Row],[orden]]="","",tblOrdenes[[#This Row],[costo_servicio]]+tblOrdenes[[#This Row],[costo_materiales]])</f>
        <v/>
      </c>
      <c r="AJ546" s="6" t="n"/>
      <c r="AK546" s="6" t="n"/>
      <c r="AL546" s="6" t="n"/>
      <c r="AM546" s="3">
        <f>IF(tblOrdenes[[#This Row],[link_checklist]]="","",HYPERLINK(p_ruta_base_checklists&amp;tblOrdenes[[#This Row],[link_checklist]],"abrir"))</f>
        <v/>
      </c>
      <c r="AN546" s="6" t="n"/>
      <c r="AO546" s="3">
        <f>IF(tblOrdenes[[#This Row],[orden]]="","",tblOrdenes[[#This Row],[orden]]&amp;IF(tblOrdenes[[#This Row],[operacion]]="","0010",tblOrdenes[[#This Row],[operacion]]))</f>
        <v/>
      </c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11" t="n"/>
      <c r="K547" s="3" t="n"/>
      <c r="L547" s="10" t="n"/>
      <c r="M547" s="6" t="n"/>
      <c r="N5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47" s="3">
        <f>IF(tblOrdenes[[#This Row],[fecha_inicio]]="","",YEAR(tblOrdenes[[#This Row],[fecha_inicio]]))</f>
        <v/>
      </c>
      <c r="R547" s="3">
        <f>IF(tblOrdenes[[#This Row],[fecha_inicio]]="","",MONTH(tblOrdenes[[#This Row],[fecha_inicio]]))</f>
        <v/>
      </c>
      <c r="S547" s="3">
        <f>IF(tblOrdenes[[#This Row],[fecha_inicio]]="","",INDEX(lista_dias,WEEKDAY(tblOrdenes[[#This Row],[fecha_inicio]],2)))</f>
        <v/>
      </c>
      <c r="T547" s="3">
        <f>IF(tblOrdenes[[#This Row],[tipo_ot]]="","",_xlfn.XLOOKUP(tblOrdenes[[#This Row],[tipo_ot]],tblTiposOT[codigo],tblTiposOT[clasificacion],"sin_clasificar"))</f>
        <v/>
      </c>
      <c r="U547" s="3">
        <f>IF(tblOrdenes[[#This Row],[centro_costo]]="","",_xlfn.XLOOKUP(tblOrdenes[[#This Row],[centro_costo]],tblCECO[codigo],tblCECO[linea],"(sin catálogo)"))</f>
        <v/>
      </c>
      <c r="V547" s="3">
        <f>IF(tblOrdenes[[#This Row],[centro_costo]]="","",_xlfn.XLOOKUP(tblOrdenes[[#This Row],[centro_costo]],tblCECO[codigo],tblCECO[area],"(sin catálogo)"))</f>
        <v/>
      </c>
      <c r="W547" s="3">
        <f>IF(tblOrdenes[[#This Row],[centro_costo]]="","",_xlfn.XLOOKUP(tblOrdenes[[#This Row],[centro_costo]],tblCECO[codigo],tblCECO[coordinador],"(sin catálogo)"))</f>
        <v/>
      </c>
      <c r="X547" s="3">
        <f>IF(tblOrdenes[[#This Row],[puesto_trabajo]]="","",_xlfn.XLOOKUP(tblOrdenes[[#This Row],[puesto_trabajo]],tblPuestos[codigo],tblPuestos[especialidad],"(sin catálogo)"))</f>
        <v/>
      </c>
      <c r="Y547" s="3">
        <f>IF(tblOrdenes[[#This Row],[cod_actividad]]="","",_xlfn.XLOOKUP(tblOrdenes[[#This Row],[cod_actividad]],tblActividades[codigo],tblActividades[descripcion],"(sin catálogo)"))</f>
        <v/>
      </c>
      <c r="Z547" s="12">
        <f>IF(tblOrdenes[[#This Row],[fecha_inicio]]="","",TODAY()-tblOrdenes[[#This Row],[fecha_inicio]])</f>
        <v/>
      </c>
      <c r="AA547" s="3">
        <f>IF(tblOrdenes[[#This Row],[backlog_dias]]="","",IF(tblOrdenes[[#This Row],[backlog_dias]]&lt;0,"FUTURO",IF(tblOrdenes[[#This Row],[backlog_dias]]&gt;p_dias_backlog_max,"BACKLOG","MES CORRIENTE")))</f>
        <v/>
      </c>
      <c r="AB547" s="3">
        <f>IF(tblOrdenes[[#This Row],[backlog_dias]]="",FALSE,AND(tblOrdenes[[#This Row],[backlog_dias]]&gt;p_dias_backlog_min,tblOrdenes[[#This Row],[backlog_dias]]&lt;=p_dias_backlog_max))</f>
        <v/>
      </c>
      <c r="AC547" s="6" t="n"/>
      <c r="AD5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47" s="10">
        <f>IF(tblOrdenes[[#This Row],[orden]]="","",_xlfn.XLOOKUP(tblOrdenes[[#This Row],[id_operacion]],tblEjecucion[id_operacion],tblEjecucion[precio],0))</f>
        <v/>
      </c>
      <c r="AH547" s="10">
        <f>IF(tblOrdenes[[#This Row],[orden]]="","",MAX(0,_xlfn.XLOOKUP(tblOrdenes[[#This Row],[id_operacion]],tblEjecucion[id_operacion],tblEjecucion[costo_plan_total],0)-tblOrdenes[[#This Row],[costo_servicio]]))</f>
        <v/>
      </c>
      <c r="AI547" s="10">
        <f>IF(tblOrdenes[[#This Row],[orden]]="","",tblOrdenes[[#This Row],[costo_servicio]]+tblOrdenes[[#This Row],[costo_materiales]])</f>
        <v/>
      </c>
      <c r="AJ547" s="6" t="n"/>
      <c r="AK547" s="6" t="n"/>
      <c r="AL547" s="6" t="n"/>
      <c r="AM547" s="3">
        <f>IF(tblOrdenes[[#This Row],[link_checklist]]="","",HYPERLINK(p_ruta_base_checklists&amp;tblOrdenes[[#This Row],[link_checklist]],"abrir"))</f>
        <v/>
      </c>
      <c r="AN547" s="6" t="n"/>
      <c r="AO547" s="3">
        <f>IF(tblOrdenes[[#This Row],[orden]]="","",tblOrdenes[[#This Row],[orden]]&amp;IF(tblOrdenes[[#This Row],[operacion]]="","0010",tblOrdenes[[#This Row],[operacion]]))</f>
        <v/>
      </c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11" t="n"/>
      <c r="K548" s="3" t="n"/>
      <c r="L548" s="10" t="n"/>
      <c r="M548" s="6" t="n"/>
      <c r="N5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48" s="3">
        <f>IF(tblOrdenes[[#This Row],[fecha_inicio]]="","",YEAR(tblOrdenes[[#This Row],[fecha_inicio]]))</f>
        <v/>
      </c>
      <c r="R548" s="3">
        <f>IF(tblOrdenes[[#This Row],[fecha_inicio]]="","",MONTH(tblOrdenes[[#This Row],[fecha_inicio]]))</f>
        <v/>
      </c>
      <c r="S548" s="3">
        <f>IF(tblOrdenes[[#This Row],[fecha_inicio]]="","",INDEX(lista_dias,WEEKDAY(tblOrdenes[[#This Row],[fecha_inicio]],2)))</f>
        <v/>
      </c>
      <c r="T548" s="3">
        <f>IF(tblOrdenes[[#This Row],[tipo_ot]]="","",_xlfn.XLOOKUP(tblOrdenes[[#This Row],[tipo_ot]],tblTiposOT[codigo],tblTiposOT[clasificacion],"sin_clasificar"))</f>
        <v/>
      </c>
      <c r="U548" s="3">
        <f>IF(tblOrdenes[[#This Row],[centro_costo]]="","",_xlfn.XLOOKUP(tblOrdenes[[#This Row],[centro_costo]],tblCECO[codigo],tblCECO[linea],"(sin catálogo)"))</f>
        <v/>
      </c>
      <c r="V548" s="3">
        <f>IF(tblOrdenes[[#This Row],[centro_costo]]="","",_xlfn.XLOOKUP(tblOrdenes[[#This Row],[centro_costo]],tblCECO[codigo],tblCECO[area],"(sin catálogo)"))</f>
        <v/>
      </c>
      <c r="W548" s="3">
        <f>IF(tblOrdenes[[#This Row],[centro_costo]]="","",_xlfn.XLOOKUP(tblOrdenes[[#This Row],[centro_costo]],tblCECO[codigo],tblCECO[coordinador],"(sin catálogo)"))</f>
        <v/>
      </c>
      <c r="X548" s="3">
        <f>IF(tblOrdenes[[#This Row],[puesto_trabajo]]="","",_xlfn.XLOOKUP(tblOrdenes[[#This Row],[puesto_trabajo]],tblPuestos[codigo],tblPuestos[especialidad],"(sin catálogo)"))</f>
        <v/>
      </c>
      <c r="Y548" s="3">
        <f>IF(tblOrdenes[[#This Row],[cod_actividad]]="","",_xlfn.XLOOKUP(tblOrdenes[[#This Row],[cod_actividad]],tblActividades[codigo],tblActividades[descripcion],"(sin catálogo)"))</f>
        <v/>
      </c>
      <c r="Z548" s="12">
        <f>IF(tblOrdenes[[#This Row],[fecha_inicio]]="","",TODAY()-tblOrdenes[[#This Row],[fecha_inicio]])</f>
        <v/>
      </c>
      <c r="AA548" s="3">
        <f>IF(tblOrdenes[[#This Row],[backlog_dias]]="","",IF(tblOrdenes[[#This Row],[backlog_dias]]&lt;0,"FUTURO",IF(tblOrdenes[[#This Row],[backlog_dias]]&gt;p_dias_backlog_max,"BACKLOG","MES CORRIENTE")))</f>
        <v/>
      </c>
      <c r="AB548" s="3">
        <f>IF(tblOrdenes[[#This Row],[backlog_dias]]="",FALSE,AND(tblOrdenes[[#This Row],[backlog_dias]]&gt;p_dias_backlog_min,tblOrdenes[[#This Row],[backlog_dias]]&lt;=p_dias_backlog_max))</f>
        <v/>
      </c>
      <c r="AC548" s="6" t="n"/>
      <c r="AD5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48" s="10">
        <f>IF(tblOrdenes[[#This Row],[orden]]="","",_xlfn.XLOOKUP(tblOrdenes[[#This Row],[id_operacion]],tblEjecucion[id_operacion],tblEjecucion[precio],0))</f>
        <v/>
      </c>
      <c r="AH548" s="10">
        <f>IF(tblOrdenes[[#This Row],[orden]]="","",MAX(0,_xlfn.XLOOKUP(tblOrdenes[[#This Row],[id_operacion]],tblEjecucion[id_operacion],tblEjecucion[costo_plan_total],0)-tblOrdenes[[#This Row],[costo_servicio]]))</f>
        <v/>
      </c>
      <c r="AI548" s="10">
        <f>IF(tblOrdenes[[#This Row],[orden]]="","",tblOrdenes[[#This Row],[costo_servicio]]+tblOrdenes[[#This Row],[costo_materiales]])</f>
        <v/>
      </c>
      <c r="AJ548" s="6" t="n"/>
      <c r="AK548" s="6" t="n"/>
      <c r="AL548" s="6" t="n"/>
      <c r="AM548" s="3">
        <f>IF(tblOrdenes[[#This Row],[link_checklist]]="","",HYPERLINK(p_ruta_base_checklists&amp;tblOrdenes[[#This Row],[link_checklist]],"abrir"))</f>
        <v/>
      </c>
      <c r="AN548" s="6" t="n"/>
      <c r="AO548" s="3">
        <f>IF(tblOrdenes[[#This Row],[orden]]="","",tblOrdenes[[#This Row],[orden]]&amp;IF(tblOrdenes[[#This Row],[operacion]]="","0010",tblOrdenes[[#This Row],[operacion]]))</f>
        <v/>
      </c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11" t="n"/>
      <c r="K549" s="3" t="n"/>
      <c r="L549" s="10" t="n"/>
      <c r="M549" s="6" t="n"/>
      <c r="N5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49" s="3">
        <f>IF(tblOrdenes[[#This Row],[fecha_inicio]]="","",YEAR(tblOrdenes[[#This Row],[fecha_inicio]]))</f>
        <v/>
      </c>
      <c r="R549" s="3">
        <f>IF(tblOrdenes[[#This Row],[fecha_inicio]]="","",MONTH(tblOrdenes[[#This Row],[fecha_inicio]]))</f>
        <v/>
      </c>
      <c r="S549" s="3">
        <f>IF(tblOrdenes[[#This Row],[fecha_inicio]]="","",INDEX(lista_dias,WEEKDAY(tblOrdenes[[#This Row],[fecha_inicio]],2)))</f>
        <v/>
      </c>
      <c r="T549" s="3">
        <f>IF(tblOrdenes[[#This Row],[tipo_ot]]="","",_xlfn.XLOOKUP(tblOrdenes[[#This Row],[tipo_ot]],tblTiposOT[codigo],tblTiposOT[clasificacion],"sin_clasificar"))</f>
        <v/>
      </c>
      <c r="U549" s="3">
        <f>IF(tblOrdenes[[#This Row],[centro_costo]]="","",_xlfn.XLOOKUP(tblOrdenes[[#This Row],[centro_costo]],tblCECO[codigo],tblCECO[linea],"(sin catálogo)"))</f>
        <v/>
      </c>
      <c r="V549" s="3">
        <f>IF(tblOrdenes[[#This Row],[centro_costo]]="","",_xlfn.XLOOKUP(tblOrdenes[[#This Row],[centro_costo]],tblCECO[codigo],tblCECO[area],"(sin catálogo)"))</f>
        <v/>
      </c>
      <c r="W549" s="3">
        <f>IF(tblOrdenes[[#This Row],[centro_costo]]="","",_xlfn.XLOOKUP(tblOrdenes[[#This Row],[centro_costo]],tblCECO[codigo],tblCECO[coordinador],"(sin catálogo)"))</f>
        <v/>
      </c>
      <c r="X549" s="3">
        <f>IF(tblOrdenes[[#This Row],[puesto_trabajo]]="","",_xlfn.XLOOKUP(tblOrdenes[[#This Row],[puesto_trabajo]],tblPuestos[codigo],tblPuestos[especialidad],"(sin catálogo)"))</f>
        <v/>
      </c>
      <c r="Y549" s="3">
        <f>IF(tblOrdenes[[#This Row],[cod_actividad]]="","",_xlfn.XLOOKUP(tblOrdenes[[#This Row],[cod_actividad]],tblActividades[codigo],tblActividades[descripcion],"(sin catálogo)"))</f>
        <v/>
      </c>
      <c r="Z549" s="12">
        <f>IF(tblOrdenes[[#This Row],[fecha_inicio]]="","",TODAY()-tblOrdenes[[#This Row],[fecha_inicio]])</f>
        <v/>
      </c>
      <c r="AA549" s="3">
        <f>IF(tblOrdenes[[#This Row],[backlog_dias]]="","",IF(tblOrdenes[[#This Row],[backlog_dias]]&lt;0,"FUTURO",IF(tblOrdenes[[#This Row],[backlog_dias]]&gt;p_dias_backlog_max,"BACKLOG","MES CORRIENTE")))</f>
        <v/>
      </c>
      <c r="AB549" s="3">
        <f>IF(tblOrdenes[[#This Row],[backlog_dias]]="",FALSE,AND(tblOrdenes[[#This Row],[backlog_dias]]&gt;p_dias_backlog_min,tblOrdenes[[#This Row],[backlog_dias]]&lt;=p_dias_backlog_max))</f>
        <v/>
      </c>
      <c r="AC549" s="6" t="n"/>
      <c r="AD5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49" s="10">
        <f>IF(tblOrdenes[[#This Row],[orden]]="","",_xlfn.XLOOKUP(tblOrdenes[[#This Row],[id_operacion]],tblEjecucion[id_operacion],tblEjecucion[precio],0))</f>
        <v/>
      </c>
      <c r="AH549" s="10">
        <f>IF(tblOrdenes[[#This Row],[orden]]="","",MAX(0,_xlfn.XLOOKUP(tblOrdenes[[#This Row],[id_operacion]],tblEjecucion[id_operacion],tblEjecucion[costo_plan_total],0)-tblOrdenes[[#This Row],[costo_servicio]]))</f>
        <v/>
      </c>
      <c r="AI549" s="10">
        <f>IF(tblOrdenes[[#This Row],[orden]]="","",tblOrdenes[[#This Row],[costo_servicio]]+tblOrdenes[[#This Row],[costo_materiales]])</f>
        <v/>
      </c>
      <c r="AJ549" s="6" t="n"/>
      <c r="AK549" s="6" t="n"/>
      <c r="AL549" s="6" t="n"/>
      <c r="AM549" s="3">
        <f>IF(tblOrdenes[[#This Row],[link_checklist]]="","",HYPERLINK(p_ruta_base_checklists&amp;tblOrdenes[[#This Row],[link_checklist]],"abrir"))</f>
        <v/>
      </c>
      <c r="AN549" s="6" t="n"/>
      <c r="AO549" s="3">
        <f>IF(tblOrdenes[[#This Row],[orden]]="","",tblOrdenes[[#This Row],[orden]]&amp;IF(tblOrdenes[[#This Row],[operacion]]="","0010",tblOrdenes[[#This Row],[operacion]]))</f>
        <v/>
      </c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11" t="n"/>
      <c r="K550" s="3" t="n"/>
      <c r="L550" s="10" t="n"/>
      <c r="M550" s="6" t="n"/>
      <c r="N5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50" s="3">
        <f>IF(tblOrdenes[[#This Row],[fecha_inicio]]="","",YEAR(tblOrdenes[[#This Row],[fecha_inicio]]))</f>
        <v/>
      </c>
      <c r="R550" s="3">
        <f>IF(tblOrdenes[[#This Row],[fecha_inicio]]="","",MONTH(tblOrdenes[[#This Row],[fecha_inicio]]))</f>
        <v/>
      </c>
      <c r="S550" s="3">
        <f>IF(tblOrdenes[[#This Row],[fecha_inicio]]="","",INDEX(lista_dias,WEEKDAY(tblOrdenes[[#This Row],[fecha_inicio]],2)))</f>
        <v/>
      </c>
      <c r="T550" s="3">
        <f>IF(tblOrdenes[[#This Row],[tipo_ot]]="","",_xlfn.XLOOKUP(tblOrdenes[[#This Row],[tipo_ot]],tblTiposOT[codigo],tblTiposOT[clasificacion],"sin_clasificar"))</f>
        <v/>
      </c>
      <c r="U550" s="3">
        <f>IF(tblOrdenes[[#This Row],[centro_costo]]="","",_xlfn.XLOOKUP(tblOrdenes[[#This Row],[centro_costo]],tblCECO[codigo],tblCECO[linea],"(sin catálogo)"))</f>
        <v/>
      </c>
      <c r="V550" s="3">
        <f>IF(tblOrdenes[[#This Row],[centro_costo]]="","",_xlfn.XLOOKUP(tblOrdenes[[#This Row],[centro_costo]],tblCECO[codigo],tblCECO[area],"(sin catálogo)"))</f>
        <v/>
      </c>
      <c r="W550" s="3">
        <f>IF(tblOrdenes[[#This Row],[centro_costo]]="","",_xlfn.XLOOKUP(tblOrdenes[[#This Row],[centro_costo]],tblCECO[codigo],tblCECO[coordinador],"(sin catálogo)"))</f>
        <v/>
      </c>
      <c r="X550" s="3">
        <f>IF(tblOrdenes[[#This Row],[puesto_trabajo]]="","",_xlfn.XLOOKUP(tblOrdenes[[#This Row],[puesto_trabajo]],tblPuestos[codigo],tblPuestos[especialidad],"(sin catálogo)"))</f>
        <v/>
      </c>
      <c r="Y550" s="3">
        <f>IF(tblOrdenes[[#This Row],[cod_actividad]]="","",_xlfn.XLOOKUP(tblOrdenes[[#This Row],[cod_actividad]],tblActividades[codigo],tblActividades[descripcion],"(sin catálogo)"))</f>
        <v/>
      </c>
      <c r="Z550" s="12">
        <f>IF(tblOrdenes[[#This Row],[fecha_inicio]]="","",TODAY()-tblOrdenes[[#This Row],[fecha_inicio]])</f>
        <v/>
      </c>
      <c r="AA550" s="3">
        <f>IF(tblOrdenes[[#This Row],[backlog_dias]]="","",IF(tblOrdenes[[#This Row],[backlog_dias]]&lt;0,"FUTURO",IF(tblOrdenes[[#This Row],[backlog_dias]]&gt;p_dias_backlog_max,"BACKLOG","MES CORRIENTE")))</f>
        <v/>
      </c>
      <c r="AB550" s="3">
        <f>IF(tblOrdenes[[#This Row],[backlog_dias]]="",FALSE,AND(tblOrdenes[[#This Row],[backlog_dias]]&gt;p_dias_backlog_min,tblOrdenes[[#This Row],[backlog_dias]]&lt;=p_dias_backlog_max))</f>
        <v/>
      </c>
      <c r="AC550" s="6" t="n"/>
      <c r="AD5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50" s="10">
        <f>IF(tblOrdenes[[#This Row],[orden]]="","",_xlfn.XLOOKUP(tblOrdenes[[#This Row],[id_operacion]],tblEjecucion[id_operacion],tblEjecucion[precio],0))</f>
        <v/>
      </c>
      <c r="AH550" s="10">
        <f>IF(tblOrdenes[[#This Row],[orden]]="","",MAX(0,_xlfn.XLOOKUP(tblOrdenes[[#This Row],[id_operacion]],tblEjecucion[id_operacion],tblEjecucion[costo_plan_total],0)-tblOrdenes[[#This Row],[costo_servicio]]))</f>
        <v/>
      </c>
      <c r="AI550" s="10">
        <f>IF(tblOrdenes[[#This Row],[orden]]="","",tblOrdenes[[#This Row],[costo_servicio]]+tblOrdenes[[#This Row],[costo_materiales]])</f>
        <v/>
      </c>
      <c r="AJ550" s="6" t="n"/>
      <c r="AK550" s="6" t="n"/>
      <c r="AL550" s="6" t="n"/>
      <c r="AM550" s="3">
        <f>IF(tblOrdenes[[#This Row],[link_checklist]]="","",HYPERLINK(p_ruta_base_checklists&amp;tblOrdenes[[#This Row],[link_checklist]],"abrir"))</f>
        <v/>
      </c>
      <c r="AN550" s="6" t="n"/>
      <c r="AO550" s="3">
        <f>IF(tblOrdenes[[#This Row],[orden]]="","",tblOrdenes[[#This Row],[orden]]&amp;IF(tblOrdenes[[#This Row],[operacion]]="","0010",tblOrdenes[[#This Row],[operacion]]))</f>
        <v/>
      </c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11" t="n"/>
      <c r="K551" s="3" t="n"/>
      <c r="L551" s="10" t="n"/>
      <c r="M551" s="6" t="n"/>
      <c r="N5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51" s="3">
        <f>IF(tblOrdenes[[#This Row],[fecha_inicio]]="","",YEAR(tblOrdenes[[#This Row],[fecha_inicio]]))</f>
        <v/>
      </c>
      <c r="R551" s="3">
        <f>IF(tblOrdenes[[#This Row],[fecha_inicio]]="","",MONTH(tblOrdenes[[#This Row],[fecha_inicio]]))</f>
        <v/>
      </c>
      <c r="S551" s="3">
        <f>IF(tblOrdenes[[#This Row],[fecha_inicio]]="","",INDEX(lista_dias,WEEKDAY(tblOrdenes[[#This Row],[fecha_inicio]],2)))</f>
        <v/>
      </c>
      <c r="T551" s="3">
        <f>IF(tblOrdenes[[#This Row],[tipo_ot]]="","",_xlfn.XLOOKUP(tblOrdenes[[#This Row],[tipo_ot]],tblTiposOT[codigo],tblTiposOT[clasificacion],"sin_clasificar"))</f>
        <v/>
      </c>
      <c r="U551" s="3">
        <f>IF(tblOrdenes[[#This Row],[centro_costo]]="","",_xlfn.XLOOKUP(tblOrdenes[[#This Row],[centro_costo]],tblCECO[codigo],tblCECO[linea],"(sin catálogo)"))</f>
        <v/>
      </c>
      <c r="V551" s="3">
        <f>IF(tblOrdenes[[#This Row],[centro_costo]]="","",_xlfn.XLOOKUP(tblOrdenes[[#This Row],[centro_costo]],tblCECO[codigo],tblCECO[area],"(sin catálogo)"))</f>
        <v/>
      </c>
      <c r="W551" s="3">
        <f>IF(tblOrdenes[[#This Row],[centro_costo]]="","",_xlfn.XLOOKUP(tblOrdenes[[#This Row],[centro_costo]],tblCECO[codigo],tblCECO[coordinador],"(sin catálogo)"))</f>
        <v/>
      </c>
      <c r="X551" s="3">
        <f>IF(tblOrdenes[[#This Row],[puesto_trabajo]]="","",_xlfn.XLOOKUP(tblOrdenes[[#This Row],[puesto_trabajo]],tblPuestos[codigo],tblPuestos[especialidad],"(sin catálogo)"))</f>
        <v/>
      </c>
      <c r="Y551" s="3">
        <f>IF(tblOrdenes[[#This Row],[cod_actividad]]="","",_xlfn.XLOOKUP(tblOrdenes[[#This Row],[cod_actividad]],tblActividades[codigo],tblActividades[descripcion],"(sin catálogo)"))</f>
        <v/>
      </c>
      <c r="Z551" s="12">
        <f>IF(tblOrdenes[[#This Row],[fecha_inicio]]="","",TODAY()-tblOrdenes[[#This Row],[fecha_inicio]])</f>
        <v/>
      </c>
      <c r="AA551" s="3">
        <f>IF(tblOrdenes[[#This Row],[backlog_dias]]="","",IF(tblOrdenes[[#This Row],[backlog_dias]]&lt;0,"FUTURO",IF(tblOrdenes[[#This Row],[backlog_dias]]&gt;p_dias_backlog_max,"BACKLOG","MES CORRIENTE")))</f>
        <v/>
      </c>
      <c r="AB551" s="3">
        <f>IF(tblOrdenes[[#This Row],[backlog_dias]]="",FALSE,AND(tblOrdenes[[#This Row],[backlog_dias]]&gt;p_dias_backlog_min,tblOrdenes[[#This Row],[backlog_dias]]&lt;=p_dias_backlog_max))</f>
        <v/>
      </c>
      <c r="AC551" s="6" t="n"/>
      <c r="AD5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51" s="10">
        <f>IF(tblOrdenes[[#This Row],[orden]]="","",_xlfn.XLOOKUP(tblOrdenes[[#This Row],[id_operacion]],tblEjecucion[id_operacion],tblEjecucion[precio],0))</f>
        <v/>
      </c>
      <c r="AH551" s="10">
        <f>IF(tblOrdenes[[#This Row],[orden]]="","",MAX(0,_xlfn.XLOOKUP(tblOrdenes[[#This Row],[id_operacion]],tblEjecucion[id_operacion],tblEjecucion[costo_plan_total],0)-tblOrdenes[[#This Row],[costo_servicio]]))</f>
        <v/>
      </c>
      <c r="AI551" s="10">
        <f>IF(tblOrdenes[[#This Row],[orden]]="","",tblOrdenes[[#This Row],[costo_servicio]]+tblOrdenes[[#This Row],[costo_materiales]])</f>
        <v/>
      </c>
      <c r="AJ551" s="6" t="n"/>
      <c r="AK551" s="6" t="n"/>
      <c r="AL551" s="6" t="n"/>
      <c r="AM551" s="3">
        <f>IF(tblOrdenes[[#This Row],[link_checklist]]="","",HYPERLINK(p_ruta_base_checklists&amp;tblOrdenes[[#This Row],[link_checklist]],"abrir"))</f>
        <v/>
      </c>
      <c r="AN551" s="6" t="n"/>
      <c r="AO551" s="3">
        <f>IF(tblOrdenes[[#This Row],[orden]]="","",tblOrdenes[[#This Row],[orden]]&amp;IF(tblOrdenes[[#This Row],[operacion]]="","0010",tblOrdenes[[#This Row],[operacion]]))</f>
        <v/>
      </c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11" t="n"/>
      <c r="K552" s="3" t="n"/>
      <c r="L552" s="10" t="n"/>
      <c r="M552" s="6" t="n"/>
      <c r="N5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52" s="3">
        <f>IF(tblOrdenes[[#This Row],[fecha_inicio]]="","",YEAR(tblOrdenes[[#This Row],[fecha_inicio]]))</f>
        <v/>
      </c>
      <c r="R552" s="3">
        <f>IF(tblOrdenes[[#This Row],[fecha_inicio]]="","",MONTH(tblOrdenes[[#This Row],[fecha_inicio]]))</f>
        <v/>
      </c>
      <c r="S552" s="3">
        <f>IF(tblOrdenes[[#This Row],[fecha_inicio]]="","",INDEX(lista_dias,WEEKDAY(tblOrdenes[[#This Row],[fecha_inicio]],2)))</f>
        <v/>
      </c>
      <c r="T552" s="3">
        <f>IF(tblOrdenes[[#This Row],[tipo_ot]]="","",_xlfn.XLOOKUP(tblOrdenes[[#This Row],[tipo_ot]],tblTiposOT[codigo],tblTiposOT[clasificacion],"sin_clasificar"))</f>
        <v/>
      </c>
      <c r="U552" s="3">
        <f>IF(tblOrdenes[[#This Row],[centro_costo]]="","",_xlfn.XLOOKUP(tblOrdenes[[#This Row],[centro_costo]],tblCECO[codigo],tblCECO[linea],"(sin catálogo)"))</f>
        <v/>
      </c>
      <c r="V552" s="3">
        <f>IF(tblOrdenes[[#This Row],[centro_costo]]="","",_xlfn.XLOOKUP(tblOrdenes[[#This Row],[centro_costo]],tblCECO[codigo],tblCECO[area],"(sin catálogo)"))</f>
        <v/>
      </c>
      <c r="W552" s="3">
        <f>IF(tblOrdenes[[#This Row],[centro_costo]]="","",_xlfn.XLOOKUP(tblOrdenes[[#This Row],[centro_costo]],tblCECO[codigo],tblCECO[coordinador],"(sin catálogo)"))</f>
        <v/>
      </c>
      <c r="X552" s="3">
        <f>IF(tblOrdenes[[#This Row],[puesto_trabajo]]="","",_xlfn.XLOOKUP(tblOrdenes[[#This Row],[puesto_trabajo]],tblPuestos[codigo],tblPuestos[especialidad],"(sin catálogo)"))</f>
        <v/>
      </c>
      <c r="Y552" s="3">
        <f>IF(tblOrdenes[[#This Row],[cod_actividad]]="","",_xlfn.XLOOKUP(tblOrdenes[[#This Row],[cod_actividad]],tblActividades[codigo],tblActividades[descripcion],"(sin catálogo)"))</f>
        <v/>
      </c>
      <c r="Z552" s="12">
        <f>IF(tblOrdenes[[#This Row],[fecha_inicio]]="","",TODAY()-tblOrdenes[[#This Row],[fecha_inicio]])</f>
        <v/>
      </c>
      <c r="AA552" s="3">
        <f>IF(tblOrdenes[[#This Row],[backlog_dias]]="","",IF(tblOrdenes[[#This Row],[backlog_dias]]&lt;0,"FUTURO",IF(tblOrdenes[[#This Row],[backlog_dias]]&gt;p_dias_backlog_max,"BACKLOG","MES CORRIENTE")))</f>
        <v/>
      </c>
      <c r="AB552" s="3">
        <f>IF(tblOrdenes[[#This Row],[backlog_dias]]="",FALSE,AND(tblOrdenes[[#This Row],[backlog_dias]]&gt;p_dias_backlog_min,tblOrdenes[[#This Row],[backlog_dias]]&lt;=p_dias_backlog_max))</f>
        <v/>
      </c>
      <c r="AC552" s="6" t="n"/>
      <c r="AD5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52" s="10">
        <f>IF(tblOrdenes[[#This Row],[orden]]="","",_xlfn.XLOOKUP(tblOrdenes[[#This Row],[id_operacion]],tblEjecucion[id_operacion],tblEjecucion[precio],0))</f>
        <v/>
      </c>
      <c r="AH552" s="10">
        <f>IF(tblOrdenes[[#This Row],[orden]]="","",MAX(0,_xlfn.XLOOKUP(tblOrdenes[[#This Row],[id_operacion]],tblEjecucion[id_operacion],tblEjecucion[costo_plan_total],0)-tblOrdenes[[#This Row],[costo_servicio]]))</f>
        <v/>
      </c>
      <c r="AI552" s="10">
        <f>IF(tblOrdenes[[#This Row],[orden]]="","",tblOrdenes[[#This Row],[costo_servicio]]+tblOrdenes[[#This Row],[costo_materiales]])</f>
        <v/>
      </c>
      <c r="AJ552" s="6" t="n"/>
      <c r="AK552" s="6" t="n"/>
      <c r="AL552" s="6" t="n"/>
      <c r="AM552" s="3">
        <f>IF(tblOrdenes[[#This Row],[link_checklist]]="","",HYPERLINK(p_ruta_base_checklists&amp;tblOrdenes[[#This Row],[link_checklist]],"abrir"))</f>
        <v/>
      </c>
      <c r="AN552" s="6" t="n"/>
      <c r="AO552" s="3">
        <f>IF(tblOrdenes[[#This Row],[orden]]="","",tblOrdenes[[#This Row],[orden]]&amp;IF(tblOrdenes[[#This Row],[operacion]]="","0010",tblOrdenes[[#This Row],[operacion]]))</f>
        <v/>
      </c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11" t="n"/>
      <c r="K553" s="3" t="n"/>
      <c r="L553" s="10" t="n"/>
      <c r="M553" s="6" t="n"/>
      <c r="N5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53" s="3">
        <f>IF(tblOrdenes[[#This Row],[fecha_inicio]]="","",YEAR(tblOrdenes[[#This Row],[fecha_inicio]]))</f>
        <v/>
      </c>
      <c r="R553" s="3">
        <f>IF(tblOrdenes[[#This Row],[fecha_inicio]]="","",MONTH(tblOrdenes[[#This Row],[fecha_inicio]]))</f>
        <v/>
      </c>
      <c r="S553" s="3">
        <f>IF(tblOrdenes[[#This Row],[fecha_inicio]]="","",INDEX(lista_dias,WEEKDAY(tblOrdenes[[#This Row],[fecha_inicio]],2)))</f>
        <v/>
      </c>
      <c r="T553" s="3">
        <f>IF(tblOrdenes[[#This Row],[tipo_ot]]="","",_xlfn.XLOOKUP(tblOrdenes[[#This Row],[tipo_ot]],tblTiposOT[codigo],tblTiposOT[clasificacion],"sin_clasificar"))</f>
        <v/>
      </c>
      <c r="U553" s="3">
        <f>IF(tblOrdenes[[#This Row],[centro_costo]]="","",_xlfn.XLOOKUP(tblOrdenes[[#This Row],[centro_costo]],tblCECO[codigo],tblCECO[linea],"(sin catálogo)"))</f>
        <v/>
      </c>
      <c r="V553" s="3">
        <f>IF(tblOrdenes[[#This Row],[centro_costo]]="","",_xlfn.XLOOKUP(tblOrdenes[[#This Row],[centro_costo]],tblCECO[codigo],tblCECO[area],"(sin catálogo)"))</f>
        <v/>
      </c>
      <c r="W553" s="3">
        <f>IF(tblOrdenes[[#This Row],[centro_costo]]="","",_xlfn.XLOOKUP(tblOrdenes[[#This Row],[centro_costo]],tblCECO[codigo],tblCECO[coordinador],"(sin catálogo)"))</f>
        <v/>
      </c>
      <c r="X553" s="3">
        <f>IF(tblOrdenes[[#This Row],[puesto_trabajo]]="","",_xlfn.XLOOKUP(tblOrdenes[[#This Row],[puesto_trabajo]],tblPuestos[codigo],tblPuestos[especialidad],"(sin catálogo)"))</f>
        <v/>
      </c>
      <c r="Y553" s="3">
        <f>IF(tblOrdenes[[#This Row],[cod_actividad]]="","",_xlfn.XLOOKUP(tblOrdenes[[#This Row],[cod_actividad]],tblActividades[codigo],tblActividades[descripcion],"(sin catálogo)"))</f>
        <v/>
      </c>
      <c r="Z553" s="12">
        <f>IF(tblOrdenes[[#This Row],[fecha_inicio]]="","",TODAY()-tblOrdenes[[#This Row],[fecha_inicio]])</f>
        <v/>
      </c>
      <c r="AA553" s="3">
        <f>IF(tblOrdenes[[#This Row],[backlog_dias]]="","",IF(tblOrdenes[[#This Row],[backlog_dias]]&lt;0,"FUTURO",IF(tblOrdenes[[#This Row],[backlog_dias]]&gt;p_dias_backlog_max,"BACKLOG","MES CORRIENTE")))</f>
        <v/>
      </c>
      <c r="AB553" s="3">
        <f>IF(tblOrdenes[[#This Row],[backlog_dias]]="",FALSE,AND(tblOrdenes[[#This Row],[backlog_dias]]&gt;p_dias_backlog_min,tblOrdenes[[#This Row],[backlog_dias]]&lt;=p_dias_backlog_max))</f>
        <v/>
      </c>
      <c r="AC553" s="6" t="n"/>
      <c r="AD5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53" s="10">
        <f>IF(tblOrdenes[[#This Row],[orden]]="","",_xlfn.XLOOKUP(tblOrdenes[[#This Row],[id_operacion]],tblEjecucion[id_operacion],tblEjecucion[precio],0))</f>
        <v/>
      </c>
      <c r="AH553" s="10">
        <f>IF(tblOrdenes[[#This Row],[orden]]="","",MAX(0,_xlfn.XLOOKUP(tblOrdenes[[#This Row],[id_operacion]],tblEjecucion[id_operacion],tblEjecucion[costo_plan_total],0)-tblOrdenes[[#This Row],[costo_servicio]]))</f>
        <v/>
      </c>
      <c r="AI553" s="10">
        <f>IF(tblOrdenes[[#This Row],[orden]]="","",tblOrdenes[[#This Row],[costo_servicio]]+tblOrdenes[[#This Row],[costo_materiales]])</f>
        <v/>
      </c>
      <c r="AJ553" s="6" t="n"/>
      <c r="AK553" s="6" t="n"/>
      <c r="AL553" s="6" t="n"/>
      <c r="AM553" s="3">
        <f>IF(tblOrdenes[[#This Row],[link_checklist]]="","",HYPERLINK(p_ruta_base_checklists&amp;tblOrdenes[[#This Row],[link_checklist]],"abrir"))</f>
        <v/>
      </c>
      <c r="AN553" s="6" t="n"/>
      <c r="AO553" s="3">
        <f>IF(tblOrdenes[[#This Row],[orden]]="","",tblOrdenes[[#This Row],[orden]]&amp;IF(tblOrdenes[[#This Row],[operacion]]="","0010",tblOrdenes[[#This Row],[operacion]]))</f>
        <v/>
      </c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11" t="n"/>
      <c r="K554" s="3" t="n"/>
      <c r="L554" s="10" t="n"/>
      <c r="M554" s="6" t="n"/>
      <c r="N5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54" s="3">
        <f>IF(tblOrdenes[[#This Row],[fecha_inicio]]="","",YEAR(tblOrdenes[[#This Row],[fecha_inicio]]))</f>
        <v/>
      </c>
      <c r="R554" s="3">
        <f>IF(tblOrdenes[[#This Row],[fecha_inicio]]="","",MONTH(tblOrdenes[[#This Row],[fecha_inicio]]))</f>
        <v/>
      </c>
      <c r="S554" s="3">
        <f>IF(tblOrdenes[[#This Row],[fecha_inicio]]="","",INDEX(lista_dias,WEEKDAY(tblOrdenes[[#This Row],[fecha_inicio]],2)))</f>
        <v/>
      </c>
      <c r="T554" s="3">
        <f>IF(tblOrdenes[[#This Row],[tipo_ot]]="","",_xlfn.XLOOKUP(tblOrdenes[[#This Row],[tipo_ot]],tblTiposOT[codigo],tblTiposOT[clasificacion],"sin_clasificar"))</f>
        <v/>
      </c>
      <c r="U554" s="3">
        <f>IF(tblOrdenes[[#This Row],[centro_costo]]="","",_xlfn.XLOOKUP(tblOrdenes[[#This Row],[centro_costo]],tblCECO[codigo],tblCECO[linea],"(sin catálogo)"))</f>
        <v/>
      </c>
      <c r="V554" s="3">
        <f>IF(tblOrdenes[[#This Row],[centro_costo]]="","",_xlfn.XLOOKUP(tblOrdenes[[#This Row],[centro_costo]],tblCECO[codigo],tblCECO[area],"(sin catálogo)"))</f>
        <v/>
      </c>
      <c r="W554" s="3">
        <f>IF(tblOrdenes[[#This Row],[centro_costo]]="","",_xlfn.XLOOKUP(tblOrdenes[[#This Row],[centro_costo]],tblCECO[codigo],tblCECO[coordinador],"(sin catálogo)"))</f>
        <v/>
      </c>
      <c r="X554" s="3">
        <f>IF(tblOrdenes[[#This Row],[puesto_trabajo]]="","",_xlfn.XLOOKUP(tblOrdenes[[#This Row],[puesto_trabajo]],tblPuestos[codigo],tblPuestos[especialidad],"(sin catálogo)"))</f>
        <v/>
      </c>
      <c r="Y554" s="3">
        <f>IF(tblOrdenes[[#This Row],[cod_actividad]]="","",_xlfn.XLOOKUP(tblOrdenes[[#This Row],[cod_actividad]],tblActividades[codigo],tblActividades[descripcion],"(sin catálogo)"))</f>
        <v/>
      </c>
      <c r="Z554" s="12">
        <f>IF(tblOrdenes[[#This Row],[fecha_inicio]]="","",TODAY()-tblOrdenes[[#This Row],[fecha_inicio]])</f>
        <v/>
      </c>
      <c r="AA554" s="3">
        <f>IF(tblOrdenes[[#This Row],[backlog_dias]]="","",IF(tblOrdenes[[#This Row],[backlog_dias]]&lt;0,"FUTURO",IF(tblOrdenes[[#This Row],[backlog_dias]]&gt;p_dias_backlog_max,"BACKLOG","MES CORRIENTE")))</f>
        <v/>
      </c>
      <c r="AB554" s="3">
        <f>IF(tblOrdenes[[#This Row],[backlog_dias]]="",FALSE,AND(tblOrdenes[[#This Row],[backlog_dias]]&gt;p_dias_backlog_min,tblOrdenes[[#This Row],[backlog_dias]]&lt;=p_dias_backlog_max))</f>
        <v/>
      </c>
      <c r="AC554" s="6" t="n"/>
      <c r="AD5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54" s="10">
        <f>IF(tblOrdenes[[#This Row],[orden]]="","",_xlfn.XLOOKUP(tblOrdenes[[#This Row],[id_operacion]],tblEjecucion[id_operacion],tblEjecucion[precio],0))</f>
        <v/>
      </c>
      <c r="AH554" s="10">
        <f>IF(tblOrdenes[[#This Row],[orden]]="","",MAX(0,_xlfn.XLOOKUP(tblOrdenes[[#This Row],[id_operacion]],tblEjecucion[id_operacion],tblEjecucion[costo_plan_total],0)-tblOrdenes[[#This Row],[costo_servicio]]))</f>
        <v/>
      </c>
      <c r="AI554" s="10">
        <f>IF(tblOrdenes[[#This Row],[orden]]="","",tblOrdenes[[#This Row],[costo_servicio]]+tblOrdenes[[#This Row],[costo_materiales]])</f>
        <v/>
      </c>
      <c r="AJ554" s="6" t="n"/>
      <c r="AK554" s="6" t="n"/>
      <c r="AL554" s="6" t="n"/>
      <c r="AM554" s="3">
        <f>IF(tblOrdenes[[#This Row],[link_checklist]]="","",HYPERLINK(p_ruta_base_checklists&amp;tblOrdenes[[#This Row],[link_checklist]],"abrir"))</f>
        <v/>
      </c>
      <c r="AN554" s="6" t="n"/>
      <c r="AO554" s="3">
        <f>IF(tblOrdenes[[#This Row],[orden]]="","",tblOrdenes[[#This Row],[orden]]&amp;IF(tblOrdenes[[#This Row],[operacion]]="","0010",tblOrdenes[[#This Row],[operacion]]))</f>
        <v/>
      </c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11" t="n"/>
      <c r="K555" s="3" t="n"/>
      <c r="L555" s="10" t="n"/>
      <c r="M555" s="6" t="n"/>
      <c r="N5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55" s="3">
        <f>IF(tblOrdenes[[#This Row],[fecha_inicio]]="","",YEAR(tblOrdenes[[#This Row],[fecha_inicio]]))</f>
        <v/>
      </c>
      <c r="R555" s="3">
        <f>IF(tblOrdenes[[#This Row],[fecha_inicio]]="","",MONTH(tblOrdenes[[#This Row],[fecha_inicio]]))</f>
        <v/>
      </c>
      <c r="S555" s="3">
        <f>IF(tblOrdenes[[#This Row],[fecha_inicio]]="","",INDEX(lista_dias,WEEKDAY(tblOrdenes[[#This Row],[fecha_inicio]],2)))</f>
        <v/>
      </c>
      <c r="T555" s="3">
        <f>IF(tblOrdenes[[#This Row],[tipo_ot]]="","",_xlfn.XLOOKUP(tblOrdenes[[#This Row],[tipo_ot]],tblTiposOT[codigo],tblTiposOT[clasificacion],"sin_clasificar"))</f>
        <v/>
      </c>
      <c r="U555" s="3">
        <f>IF(tblOrdenes[[#This Row],[centro_costo]]="","",_xlfn.XLOOKUP(tblOrdenes[[#This Row],[centro_costo]],tblCECO[codigo],tblCECO[linea],"(sin catálogo)"))</f>
        <v/>
      </c>
      <c r="V555" s="3">
        <f>IF(tblOrdenes[[#This Row],[centro_costo]]="","",_xlfn.XLOOKUP(tblOrdenes[[#This Row],[centro_costo]],tblCECO[codigo],tblCECO[area],"(sin catálogo)"))</f>
        <v/>
      </c>
      <c r="W555" s="3">
        <f>IF(tblOrdenes[[#This Row],[centro_costo]]="","",_xlfn.XLOOKUP(tblOrdenes[[#This Row],[centro_costo]],tblCECO[codigo],tblCECO[coordinador],"(sin catálogo)"))</f>
        <v/>
      </c>
      <c r="X555" s="3">
        <f>IF(tblOrdenes[[#This Row],[puesto_trabajo]]="","",_xlfn.XLOOKUP(tblOrdenes[[#This Row],[puesto_trabajo]],tblPuestos[codigo],tblPuestos[especialidad],"(sin catálogo)"))</f>
        <v/>
      </c>
      <c r="Y555" s="3">
        <f>IF(tblOrdenes[[#This Row],[cod_actividad]]="","",_xlfn.XLOOKUP(tblOrdenes[[#This Row],[cod_actividad]],tblActividades[codigo],tblActividades[descripcion],"(sin catálogo)"))</f>
        <v/>
      </c>
      <c r="Z555" s="12">
        <f>IF(tblOrdenes[[#This Row],[fecha_inicio]]="","",TODAY()-tblOrdenes[[#This Row],[fecha_inicio]])</f>
        <v/>
      </c>
      <c r="AA555" s="3">
        <f>IF(tblOrdenes[[#This Row],[backlog_dias]]="","",IF(tblOrdenes[[#This Row],[backlog_dias]]&lt;0,"FUTURO",IF(tblOrdenes[[#This Row],[backlog_dias]]&gt;p_dias_backlog_max,"BACKLOG","MES CORRIENTE")))</f>
        <v/>
      </c>
      <c r="AB555" s="3">
        <f>IF(tblOrdenes[[#This Row],[backlog_dias]]="",FALSE,AND(tblOrdenes[[#This Row],[backlog_dias]]&gt;p_dias_backlog_min,tblOrdenes[[#This Row],[backlog_dias]]&lt;=p_dias_backlog_max))</f>
        <v/>
      </c>
      <c r="AC555" s="6" t="n"/>
      <c r="AD5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55" s="10">
        <f>IF(tblOrdenes[[#This Row],[orden]]="","",_xlfn.XLOOKUP(tblOrdenes[[#This Row],[id_operacion]],tblEjecucion[id_operacion],tblEjecucion[precio],0))</f>
        <v/>
      </c>
      <c r="AH555" s="10">
        <f>IF(tblOrdenes[[#This Row],[orden]]="","",MAX(0,_xlfn.XLOOKUP(tblOrdenes[[#This Row],[id_operacion]],tblEjecucion[id_operacion],tblEjecucion[costo_plan_total],0)-tblOrdenes[[#This Row],[costo_servicio]]))</f>
        <v/>
      </c>
      <c r="AI555" s="10">
        <f>IF(tblOrdenes[[#This Row],[orden]]="","",tblOrdenes[[#This Row],[costo_servicio]]+tblOrdenes[[#This Row],[costo_materiales]])</f>
        <v/>
      </c>
      <c r="AJ555" s="6" t="n"/>
      <c r="AK555" s="6" t="n"/>
      <c r="AL555" s="6" t="n"/>
      <c r="AM555" s="3">
        <f>IF(tblOrdenes[[#This Row],[link_checklist]]="","",HYPERLINK(p_ruta_base_checklists&amp;tblOrdenes[[#This Row],[link_checklist]],"abrir"))</f>
        <v/>
      </c>
      <c r="AN555" s="6" t="n"/>
      <c r="AO555" s="3">
        <f>IF(tblOrdenes[[#This Row],[orden]]="","",tblOrdenes[[#This Row],[orden]]&amp;IF(tblOrdenes[[#This Row],[operacion]]="","0010",tblOrdenes[[#This Row],[operacion]]))</f>
        <v/>
      </c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11" t="n"/>
      <c r="K556" s="3" t="n"/>
      <c r="L556" s="10" t="n"/>
      <c r="M556" s="6" t="n"/>
      <c r="N5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56" s="3">
        <f>IF(tblOrdenes[[#This Row],[fecha_inicio]]="","",YEAR(tblOrdenes[[#This Row],[fecha_inicio]]))</f>
        <v/>
      </c>
      <c r="R556" s="3">
        <f>IF(tblOrdenes[[#This Row],[fecha_inicio]]="","",MONTH(tblOrdenes[[#This Row],[fecha_inicio]]))</f>
        <v/>
      </c>
      <c r="S556" s="3">
        <f>IF(tblOrdenes[[#This Row],[fecha_inicio]]="","",INDEX(lista_dias,WEEKDAY(tblOrdenes[[#This Row],[fecha_inicio]],2)))</f>
        <v/>
      </c>
      <c r="T556" s="3">
        <f>IF(tblOrdenes[[#This Row],[tipo_ot]]="","",_xlfn.XLOOKUP(tblOrdenes[[#This Row],[tipo_ot]],tblTiposOT[codigo],tblTiposOT[clasificacion],"sin_clasificar"))</f>
        <v/>
      </c>
      <c r="U556" s="3">
        <f>IF(tblOrdenes[[#This Row],[centro_costo]]="","",_xlfn.XLOOKUP(tblOrdenes[[#This Row],[centro_costo]],tblCECO[codigo],tblCECO[linea],"(sin catálogo)"))</f>
        <v/>
      </c>
      <c r="V556" s="3">
        <f>IF(tblOrdenes[[#This Row],[centro_costo]]="","",_xlfn.XLOOKUP(tblOrdenes[[#This Row],[centro_costo]],tblCECO[codigo],tblCECO[area],"(sin catálogo)"))</f>
        <v/>
      </c>
      <c r="W556" s="3">
        <f>IF(tblOrdenes[[#This Row],[centro_costo]]="","",_xlfn.XLOOKUP(tblOrdenes[[#This Row],[centro_costo]],tblCECO[codigo],tblCECO[coordinador],"(sin catálogo)"))</f>
        <v/>
      </c>
      <c r="X556" s="3">
        <f>IF(tblOrdenes[[#This Row],[puesto_trabajo]]="","",_xlfn.XLOOKUP(tblOrdenes[[#This Row],[puesto_trabajo]],tblPuestos[codigo],tblPuestos[especialidad],"(sin catálogo)"))</f>
        <v/>
      </c>
      <c r="Y556" s="3">
        <f>IF(tblOrdenes[[#This Row],[cod_actividad]]="","",_xlfn.XLOOKUP(tblOrdenes[[#This Row],[cod_actividad]],tblActividades[codigo],tblActividades[descripcion],"(sin catálogo)"))</f>
        <v/>
      </c>
      <c r="Z556" s="12">
        <f>IF(tblOrdenes[[#This Row],[fecha_inicio]]="","",TODAY()-tblOrdenes[[#This Row],[fecha_inicio]])</f>
        <v/>
      </c>
      <c r="AA556" s="3">
        <f>IF(tblOrdenes[[#This Row],[backlog_dias]]="","",IF(tblOrdenes[[#This Row],[backlog_dias]]&lt;0,"FUTURO",IF(tblOrdenes[[#This Row],[backlog_dias]]&gt;p_dias_backlog_max,"BACKLOG","MES CORRIENTE")))</f>
        <v/>
      </c>
      <c r="AB556" s="3">
        <f>IF(tblOrdenes[[#This Row],[backlog_dias]]="",FALSE,AND(tblOrdenes[[#This Row],[backlog_dias]]&gt;p_dias_backlog_min,tblOrdenes[[#This Row],[backlog_dias]]&lt;=p_dias_backlog_max))</f>
        <v/>
      </c>
      <c r="AC556" s="6" t="n"/>
      <c r="AD5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56" s="10">
        <f>IF(tblOrdenes[[#This Row],[orden]]="","",_xlfn.XLOOKUP(tblOrdenes[[#This Row],[id_operacion]],tblEjecucion[id_operacion],tblEjecucion[precio],0))</f>
        <v/>
      </c>
      <c r="AH556" s="10">
        <f>IF(tblOrdenes[[#This Row],[orden]]="","",MAX(0,_xlfn.XLOOKUP(tblOrdenes[[#This Row],[id_operacion]],tblEjecucion[id_operacion],tblEjecucion[costo_plan_total],0)-tblOrdenes[[#This Row],[costo_servicio]]))</f>
        <v/>
      </c>
      <c r="AI556" s="10">
        <f>IF(tblOrdenes[[#This Row],[orden]]="","",tblOrdenes[[#This Row],[costo_servicio]]+tblOrdenes[[#This Row],[costo_materiales]])</f>
        <v/>
      </c>
      <c r="AJ556" s="6" t="n"/>
      <c r="AK556" s="6" t="n"/>
      <c r="AL556" s="6" t="n"/>
      <c r="AM556" s="3">
        <f>IF(tblOrdenes[[#This Row],[link_checklist]]="","",HYPERLINK(p_ruta_base_checklists&amp;tblOrdenes[[#This Row],[link_checklist]],"abrir"))</f>
        <v/>
      </c>
      <c r="AN556" s="6" t="n"/>
      <c r="AO556" s="3">
        <f>IF(tblOrdenes[[#This Row],[orden]]="","",tblOrdenes[[#This Row],[orden]]&amp;IF(tblOrdenes[[#This Row],[operacion]]="","0010",tblOrdenes[[#This Row],[operacion]]))</f>
        <v/>
      </c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11" t="n"/>
      <c r="K557" s="3" t="n"/>
      <c r="L557" s="10" t="n"/>
      <c r="M557" s="6" t="n"/>
      <c r="N5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57" s="3">
        <f>IF(tblOrdenes[[#This Row],[fecha_inicio]]="","",YEAR(tblOrdenes[[#This Row],[fecha_inicio]]))</f>
        <v/>
      </c>
      <c r="R557" s="3">
        <f>IF(tblOrdenes[[#This Row],[fecha_inicio]]="","",MONTH(tblOrdenes[[#This Row],[fecha_inicio]]))</f>
        <v/>
      </c>
      <c r="S557" s="3">
        <f>IF(tblOrdenes[[#This Row],[fecha_inicio]]="","",INDEX(lista_dias,WEEKDAY(tblOrdenes[[#This Row],[fecha_inicio]],2)))</f>
        <v/>
      </c>
      <c r="T557" s="3">
        <f>IF(tblOrdenes[[#This Row],[tipo_ot]]="","",_xlfn.XLOOKUP(tblOrdenes[[#This Row],[tipo_ot]],tblTiposOT[codigo],tblTiposOT[clasificacion],"sin_clasificar"))</f>
        <v/>
      </c>
      <c r="U557" s="3">
        <f>IF(tblOrdenes[[#This Row],[centro_costo]]="","",_xlfn.XLOOKUP(tblOrdenes[[#This Row],[centro_costo]],tblCECO[codigo],tblCECO[linea],"(sin catálogo)"))</f>
        <v/>
      </c>
      <c r="V557" s="3">
        <f>IF(tblOrdenes[[#This Row],[centro_costo]]="","",_xlfn.XLOOKUP(tblOrdenes[[#This Row],[centro_costo]],tblCECO[codigo],tblCECO[area],"(sin catálogo)"))</f>
        <v/>
      </c>
      <c r="W557" s="3">
        <f>IF(tblOrdenes[[#This Row],[centro_costo]]="","",_xlfn.XLOOKUP(tblOrdenes[[#This Row],[centro_costo]],tblCECO[codigo],tblCECO[coordinador],"(sin catálogo)"))</f>
        <v/>
      </c>
      <c r="X557" s="3">
        <f>IF(tblOrdenes[[#This Row],[puesto_trabajo]]="","",_xlfn.XLOOKUP(tblOrdenes[[#This Row],[puesto_trabajo]],tblPuestos[codigo],tblPuestos[especialidad],"(sin catálogo)"))</f>
        <v/>
      </c>
      <c r="Y557" s="3">
        <f>IF(tblOrdenes[[#This Row],[cod_actividad]]="","",_xlfn.XLOOKUP(tblOrdenes[[#This Row],[cod_actividad]],tblActividades[codigo],tblActividades[descripcion],"(sin catálogo)"))</f>
        <v/>
      </c>
      <c r="Z557" s="12">
        <f>IF(tblOrdenes[[#This Row],[fecha_inicio]]="","",TODAY()-tblOrdenes[[#This Row],[fecha_inicio]])</f>
        <v/>
      </c>
      <c r="AA557" s="3">
        <f>IF(tblOrdenes[[#This Row],[backlog_dias]]="","",IF(tblOrdenes[[#This Row],[backlog_dias]]&lt;0,"FUTURO",IF(tblOrdenes[[#This Row],[backlog_dias]]&gt;p_dias_backlog_max,"BACKLOG","MES CORRIENTE")))</f>
        <v/>
      </c>
      <c r="AB557" s="3">
        <f>IF(tblOrdenes[[#This Row],[backlog_dias]]="",FALSE,AND(tblOrdenes[[#This Row],[backlog_dias]]&gt;p_dias_backlog_min,tblOrdenes[[#This Row],[backlog_dias]]&lt;=p_dias_backlog_max))</f>
        <v/>
      </c>
      <c r="AC557" s="6" t="n"/>
      <c r="AD5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57" s="10">
        <f>IF(tblOrdenes[[#This Row],[orden]]="","",_xlfn.XLOOKUP(tblOrdenes[[#This Row],[id_operacion]],tblEjecucion[id_operacion],tblEjecucion[precio],0))</f>
        <v/>
      </c>
      <c r="AH557" s="10">
        <f>IF(tblOrdenes[[#This Row],[orden]]="","",MAX(0,_xlfn.XLOOKUP(tblOrdenes[[#This Row],[id_operacion]],tblEjecucion[id_operacion],tblEjecucion[costo_plan_total],0)-tblOrdenes[[#This Row],[costo_servicio]]))</f>
        <v/>
      </c>
      <c r="AI557" s="10">
        <f>IF(tblOrdenes[[#This Row],[orden]]="","",tblOrdenes[[#This Row],[costo_servicio]]+tblOrdenes[[#This Row],[costo_materiales]])</f>
        <v/>
      </c>
      <c r="AJ557" s="6" t="n"/>
      <c r="AK557" s="6" t="n"/>
      <c r="AL557" s="6" t="n"/>
      <c r="AM557" s="3">
        <f>IF(tblOrdenes[[#This Row],[link_checklist]]="","",HYPERLINK(p_ruta_base_checklists&amp;tblOrdenes[[#This Row],[link_checklist]],"abrir"))</f>
        <v/>
      </c>
      <c r="AN557" s="6" t="n"/>
      <c r="AO557" s="3">
        <f>IF(tblOrdenes[[#This Row],[orden]]="","",tblOrdenes[[#This Row],[orden]]&amp;IF(tblOrdenes[[#This Row],[operacion]]="","0010",tblOrdenes[[#This Row],[operacion]]))</f>
        <v/>
      </c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11" t="n"/>
      <c r="K558" s="3" t="n"/>
      <c r="L558" s="10" t="n"/>
      <c r="M558" s="6" t="n"/>
      <c r="N5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58" s="3">
        <f>IF(tblOrdenes[[#This Row],[fecha_inicio]]="","",YEAR(tblOrdenes[[#This Row],[fecha_inicio]]))</f>
        <v/>
      </c>
      <c r="R558" s="3">
        <f>IF(tblOrdenes[[#This Row],[fecha_inicio]]="","",MONTH(tblOrdenes[[#This Row],[fecha_inicio]]))</f>
        <v/>
      </c>
      <c r="S558" s="3">
        <f>IF(tblOrdenes[[#This Row],[fecha_inicio]]="","",INDEX(lista_dias,WEEKDAY(tblOrdenes[[#This Row],[fecha_inicio]],2)))</f>
        <v/>
      </c>
      <c r="T558" s="3">
        <f>IF(tblOrdenes[[#This Row],[tipo_ot]]="","",_xlfn.XLOOKUP(tblOrdenes[[#This Row],[tipo_ot]],tblTiposOT[codigo],tblTiposOT[clasificacion],"sin_clasificar"))</f>
        <v/>
      </c>
      <c r="U558" s="3">
        <f>IF(tblOrdenes[[#This Row],[centro_costo]]="","",_xlfn.XLOOKUP(tblOrdenes[[#This Row],[centro_costo]],tblCECO[codigo],tblCECO[linea],"(sin catálogo)"))</f>
        <v/>
      </c>
      <c r="V558" s="3">
        <f>IF(tblOrdenes[[#This Row],[centro_costo]]="","",_xlfn.XLOOKUP(tblOrdenes[[#This Row],[centro_costo]],tblCECO[codigo],tblCECO[area],"(sin catálogo)"))</f>
        <v/>
      </c>
      <c r="W558" s="3">
        <f>IF(tblOrdenes[[#This Row],[centro_costo]]="","",_xlfn.XLOOKUP(tblOrdenes[[#This Row],[centro_costo]],tblCECO[codigo],tblCECO[coordinador],"(sin catálogo)"))</f>
        <v/>
      </c>
      <c r="X558" s="3">
        <f>IF(tblOrdenes[[#This Row],[puesto_trabajo]]="","",_xlfn.XLOOKUP(tblOrdenes[[#This Row],[puesto_trabajo]],tblPuestos[codigo],tblPuestos[especialidad],"(sin catálogo)"))</f>
        <v/>
      </c>
      <c r="Y558" s="3">
        <f>IF(tblOrdenes[[#This Row],[cod_actividad]]="","",_xlfn.XLOOKUP(tblOrdenes[[#This Row],[cod_actividad]],tblActividades[codigo],tblActividades[descripcion],"(sin catálogo)"))</f>
        <v/>
      </c>
      <c r="Z558" s="12">
        <f>IF(tblOrdenes[[#This Row],[fecha_inicio]]="","",TODAY()-tblOrdenes[[#This Row],[fecha_inicio]])</f>
        <v/>
      </c>
      <c r="AA558" s="3">
        <f>IF(tblOrdenes[[#This Row],[backlog_dias]]="","",IF(tblOrdenes[[#This Row],[backlog_dias]]&lt;0,"FUTURO",IF(tblOrdenes[[#This Row],[backlog_dias]]&gt;p_dias_backlog_max,"BACKLOG","MES CORRIENTE")))</f>
        <v/>
      </c>
      <c r="AB558" s="3">
        <f>IF(tblOrdenes[[#This Row],[backlog_dias]]="",FALSE,AND(tblOrdenes[[#This Row],[backlog_dias]]&gt;p_dias_backlog_min,tblOrdenes[[#This Row],[backlog_dias]]&lt;=p_dias_backlog_max))</f>
        <v/>
      </c>
      <c r="AC558" s="6" t="n"/>
      <c r="AD5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58" s="10">
        <f>IF(tblOrdenes[[#This Row],[orden]]="","",_xlfn.XLOOKUP(tblOrdenes[[#This Row],[id_operacion]],tblEjecucion[id_operacion],tblEjecucion[precio],0))</f>
        <v/>
      </c>
      <c r="AH558" s="10">
        <f>IF(tblOrdenes[[#This Row],[orden]]="","",MAX(0,_xlfn.XLOOKUP(tblOrdenes[[#This Row],[id_operacion]],tblEjecucion[id_operacion],tblEjecucion[costo_plan_total],0)-tblOrdenes[[#This Row],[costo_servicio]]))</f>
        <v/>
      </c>
      <c r="AI558" s="10">
        <f>IF(tblOrdenes[[#This Row],[orden]]="","",tblOrdenes[[#This Row],[costo_servicio]]+tblOrdenes[[#This Row],[costo_materiales]])</f>
        <v/>
      </c>
      <c r="AJ558" s="6" t="n"/>
      <c r="AK558" s="6" t="n"/>
      <c r="AL558" s="6" t="n"/>
      <c r="AM558" s="3">
        <f>IF(tblOrdenes[[#This Row],[link_checklist]]="","",HYPERLINK(p_ruta_base_checklists&amp;tblOrdenes[[#This Row],[link_checklist]],"abrir"))</f>
        <v/>
      </c>
      <c r="AN558" s="6" t="n"/>
      <c r="AO558" s="3">
        <f>IF(tblOrdenes[[#This Row],[orden]]="","",tblOrdenes[[#This Row],[orden]]&amp;IF(tblOrdenes[[#This Row],[operacion]]="","0010",tblOrdenes[[#This Row],[operacion]]))</f>
        <v/>
      </c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11" t="n"/>
      <c r="K559" s="3" t="n"/>
      <c r="L559" s="10" t="n"/>
      <c r="M559" s="6" t="n"/>
      <c r="N5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59" s="3">
        <f>IF(tblOrdenes[[#This Row],[fecha_inicio]]="","",YEAR(tblOrdenes[[#This Row],[fecha_inicio]]))</f>
        <v/>
      </c>
      <c r="R559" s="3">
        <f>IF(tblOrdenes[[#This Row],[fecha_inicio]]="","",MONTH(tblOrdenes[[#This Row],[fecha_inicio]]))</f>
        <v/>
      </c>
      <c r="S559" s="3">
        <f>IF(tblOrdenes[[#This Row],[fecha_inicio]]="","",INDEX(lista_dias,WEEKDAY(tblOrdenes[[#This Row],[fecha_inicio]],2)))</f>
        <v/>
      </c>
      <c r="T559" s="3">
        <f>IF(tblOrdenes[[#This Row],[tipo_ot]]="","",_xlfn.XLOOKUP(tblOrdenes[[#This Row],[tipo_ot]],tblTiposOT[codigo],tblTiposOT[clasificacion],"sin_clasificar"))</f>
        <v/>
      </c>
      <c r="U559" s="3">
        <f>IF(tblOrdenes[[#This Row],[centro_costo]]="","",_xlfn.XLOOKUP(tblOrdenes[[#This Row],[centro_costo]],tblCECO[codigo],tblCECO[linea],"(sin catálogo)"))</f>
        <v/>
      </c>
      <c r="V559" s="3">
        <f>IF(tblOrdenes[[#This Row],[centro_costo]]="","",_xlfn.XLOOKUP(tblOrdenes[[#This Row],[centro_costo]],tblCECO[codigo],tblCECO[area],"(sin catálogo)"))</f>
        <v/>
      </c>
      <c r="W559" s="3">
        <f>IF(tblOrdenes[[#This Row],[centro_costo]]="","",_xlfn.XLOOKUP(tblOrdenes[[#This Row],[centro_costo]],tblCECO[codigo],tblCECO[coordinador],"(sin catálogo)"))</f>
        <v/>
      </c>
      <c r="X559" s="3">
        <f>IF(tblOrdenes[[#This Row],[puesto_trabajo]]="","",_xlfn.XLOOKUP(tblOrdenes[[#This Row],[puesto_trabajo]],tblPuestos[codigo],tblPuestos[especialidad],"(sin catálogo)"))</f>
        <v/>
      </c>
      <c r="Y559" s="3">
        <f>IF(tblOrdenes[[#This Row],[cod_actividad]]="","",_xlfn.XLOOKUP(tblOrdenes[[#This Row],[cod_actividad]],tblActividades[codigo],tblActividades[descripcion],"(sin catálogo)"))</f>
        <v/>
      </c>
      <c r="Z559" s="12">
        <f>IF(tblOrdenes[[#This Row],[fecha_inicio]]="","",TODAY()-tblOrdenes[[#This Row],[fecha_inicio]])</f>
        <v/>
      </c>
      <c r="AA559" s="3">
        <f>IF(tblOrdenes[[#This Row],[backlog_dias]]="","",IF(tblOrdenes[[#This Row],[backlog_dias]]&lt;0,"FUTURO",IF(tblOrdenes[[#This Row],[backlog_dias]]&gt;p_dias_backlog_max,"BACKLOG","MES CORRIENTE")))</f>
        <v/>
      </c>
      <c r="AB559" s="3">
        <f>IF(tblOrdenes[[#This Row],[backlog_dias]]="",FALSE,AND(tblOrdenes[[#This Row],[backlog_dias]]&gt;p_dias_backlog_min,tblOrdenes[[#This Row],[backlog_dias]]&lt;=p_dias_backlog_max))</f>
        <v/>
      </c>
      <c r="AC559" s="6" t="n"/>
      <c r="AD5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59" s="10">
        <f>IF(tblOrdenes[[#This Row],[orden]]="","",_xlfn.XLOOKUP(tblOrdenes[[#This Row],[id_operacion]],tblEjecucion[id_operacion],tblEjecucion[precio],0))</f>
        <v/>
      </c>
      <c r="AH559" s="10">
        <f>IF(tblOrdenes[[#This Row],[orden]]="","",MAX(0,_xlfn.XLOOKUP(tblOrdenes[[#This Row],[id_operacion]],tblEjecucion[id_operacion],tblEjecucion[costo_plan_total],0)-tblOrdenes[[#This Row],[costo_servicio]]))</f>
        <v/>
      </c>
      <c r="AI559" s="10">
        <f>IF(tblOrdenes[[#This Row],[orden]]="","",tblOrdenes[[#This Row],[costo_servicio]]+tblOrdenes[[#This Row],[costo_materiales]])</f>
        <v/>
      </c>
      <c r="AJ559" s="6" t="n"/>
      <c r="AK559" s="6" t="n"/>
      <c r="AL559" s="6" t="n"/>
      <c r="AM559" s="3">
        <f>IF(tblOrdenes[[#This Row],[link_checklist]]="","",HYPERLINK(p_ruta_base_checklists&amp;tblOrdenes[[#This Row],[link_checklist]],"abrir"))</f>
        <v/>
      </c>
      <c r="AN559" s="6" t="n"/>
      <c r="AO559" s="3">
        <f>IF(tblOrdenes[[#This Row],[orden]]="","",tblOrdenes[[#This Row],[orden]]&amp;IF(tblOrdenes[[#This Row],[operacion]]="","0010",tblOrdenes[[#This Row],[operacion]]))</f>
        <v/>
      </c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11" t="n"/>
      <c r="K560" s="3" t="n"/>
      <c r="L560" s="10" t="n"/>
      <c r="M560" s="6" t="n"/>
      <c r="N5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60" s="3">
        <f>IF(tblOrdenes[[#This Row],[fecha_inicio]]="","",YEAR(tblOrdenes[[#This Row],[fecha_inicio]]))</f>
        <v/>
      </c>
      <c r="R560" s="3">
        <f>IF(tblOrdenes[[#This Row],[fecha_inicio]]="","",MONTH(tblOrdenes[[#This Row],[fecha_inicio]]))</f>
        <v/>
      </c>
      <c r="S560" s="3">
        <f>IF(tblOrdenes[[#This Row],[fecha_inicio]]="","",INDEX(lista_dias,WEEKDAY(tblOrdenes[[#This Row],[fecha_inicio]],2)))</f>
        <v/>
      </c>
      <c r="T560" s="3">
        <f>IF(tblOrdenes[[#This Row],[tipo_ot]]="","",_xlfn.XLOOKUP(tblOrdenes[[#This Row],[tipo_ot]],tblTiposOT[codigo],tblTiposOT[clasificacion],"sin_clasificar"))</f>
        <v/>
      </c>
      <c r="U560" s="3">
        <f>IF(tblOrdenes[[#This Row],[centro_costo]]="","",_xlfn.XLOOKUP(tblOrdenes[[#This Row],[centro_costo]],tblCECO[codigo],tblCECO[linea],"(sin catálogo)"))</f>
        <v/>
      </c>
      <c r="V560" s="3">
        <f>IF(tblOrdenes[[#This Row],[centro_costo]]="","",_xlfn.XLOOKUP(tblOrdenes[[#This Row],[centro_costo]],tblCECO[codigo],tblCECO[area],"(sin catálogo)"))</f>
        <v/>
      </c>
      <c r="W560" s="3">
        <f>IF(tblOrdenes[[#This Row],[centro_costo]]="","",_xlfn.XLOOKUP(tblOrdenes[[#This Row],[centro_costo]],tblCECO[codigo],tblCECO[coordinador],"(sin catálogo)"))</f>
        <v/>
      </c>
      <c r="X560" s="3">
        <f>IF(tblOrdenes[[#This Row],[puesto_trabajo]]="","",_xlfn.XLOOKUP(tblOrdenes[[#This Row],[puesto_trabajo]],tblPuestos[codigo],tblPuestos[especialidad],"(sin catálogo)"))</f>
        <v/>
      </c>
      <c r="Y560" s="3">
        <f>IF(tblOrdenes[[#This Row],[cod_actividad]]="","",_xlfn.XLOOKUP(tblOrdenes[[#This Row],[cod_actividad]],tblActividades[codigo],tblActividades[descripcion],"(sin catálogo)"))</f>
        <v/>
      </c>
      <c r="Z560" s="12">
        <f>IF(tblOrdenes[[#This Row],[fecha_inicio]]="","",TODAY()-tblOrdenes[[#This Row],[fecha_inicio]])</f>
        <v/>
      </c>
      <c r="AA560" s="3">
        <f>IF(tblOrdenes[[#This Row],[backlog_dias]]="","",IF(tblOrdenes[[#This Row],[backlog_dias]]&lt;0,"FUTURO",IF(tblOrdenes[[#This Row],[backlog_dias]]&gt;p_dias_backlog_max,"BACKLOG","MES CORRIENTE")))</f>
        <v/>
      </c>
      <c r="AB560" s="3">
        <f>IF(tblOrdenes[[#This Row],[backlog_dias]]="",FALSE,AND(tblOrdenes[[#This Row],[backlog_dias]]&gt;p_dias_backlog_min,tblOrdenes[[#This Row],[backlog_dias]]&lt;=p_dias_backlog_max))</f>
        <v/>
      </c>
      <c r="AC560" s="6" t="n"/>
      <c r="AD5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60" s="10">
        <f>IF(tblOrdenes[[#This Row],[orden]]="","",_xlfn.XLOOKUP(tblOrdenes[[#This Row],[id_operacion]],tblEjecucion[id_operacion],tblEjecucion[precio],0))</f>
        <v/>
      </c>
      <c r="AH560" s="10">
        <f>IF(tblOrdenes[[#This Row],[orden]]="","",MAX(0,_xlfn.XLOOKUP(tblOrdenes[[#This Row],[id_operacion]],tblEjecucion[id_operacion],tblEjecucion[costo_plan_total],0)-tblOrdenes[[#This Row],[costo_servicio]]))</f>
        <v/>
      </c>
      <c r="AI560" s="10">
        <f>IF(tblOrdenes[[#This Row],[orden]]="","",tblOrdenes[[#This Row],[costo_servicio]]+tblOrdenes[[#This Row],[costo_materiales]])</f>
        <v/>
      </c>
      <c r="AJ560" s="6" t="n"/>
      <c r="AK560" s="6" t="n"/>
      <c r="AL560" s="6" t="n"/>
      <c r="AM560" s="3">
        <f>IF(tblOrdenes[[#This Row],[link_checklist]]="","",HYPERLINK(p_ruta_base_checklists&amp;tblOrdenes[[#This Row],[link_checklist]],"abrir"))</f>
        <v/>
      </c>
      <c r="AN560" s="6" t="n"/>
      <c r="AO560" s="3">
        <f>IF(tblOrdenes[[#This Row],[orden]]="","",tblOrdenes[[#This Row],[orden]]&amp;IF(tblOrdenes[[#This Row],[operacion]]="","0010",tblOrdenes[[#This Row],[operacion]]))</f>
        <v/>
      </c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11" t="n"/>
      <c r="K561" s="3" t="n"/>
      <c r="L561" s="10" t="n"/>
      <c r="M561" s="6" t="n"/>
      <c r="N5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61" s="3">
        <f>IF(tblOrdenes[[#This Row],[fecha_inicio]]="","",YEAR(tblOrdenes[[#This Row],[fecha_inicio]]))</f>
        <v/>
      </c>
      <c r="R561" s="3">
        <f>IF(tblOrdenes[[#This Row],[fecha_inicio]]="","",MONTH(tblOrdenes[[#This Row],[fecha_inicio]]))</f>
        <v/>
      </c>
      <c r="S561" s="3">
        <f>IF(tblOrdenes[[#This Row],[fecha_inicio]]="","",INDEX(lista_dias,WEEKDAY(tblOrdenes[[#This Row],[fecha_inicio]],2)))</f>
        <v/>
      </c>
      <c r="T561" s="3">
        <f>IF(tblOrdenes[[#This Row],[tipo_ot]]="","",_xlfn.XLOOKUP(tblOrdenes[[#This Row],[tipo_ot]],tblTiposOT[codigo],tblTiposOT[clasificacion],"sin_clasificar"))</f>
        <v/>
      </c>
      <c r="U561" s="3">
        <f>IF(tblOrdenes[[#This Row],[centro_costo]]="","",_xlfn.XLOOKUP(tblOrdenes[[#This Row],[centro_costo]],tblCECO[codigo],tblCECO[linea],"(sin catálogo)"))</f>
        <v/>
      </c>
      <c r="V561" s="3">
        <f>IF(tblOrdenes[[#This Row],[centro_costo]]="","",_xlfn.XLOOKUP(tblOrdenes[[#This Row],[centro_costo]],tblCECO[codigo],tblCECO[area],"(sin catálogo)"))</f>
        <v/>
      </c>
      <c r="W561" s="3">
        <f>IF(tblOrdenes[[#This Row],[centro_costo]]="","",_xlfn.XLOOKUP(tblOrdenes[[#This Row],[centro_costo]],tblCECO[codigo],tblCECO[coordinador],"(sin catálogo)"))</f>
        <v/>
      </c>
      <c r="X561" s="3">
        <f>IF(tblOrdenes[[#This Row],[puesto_trabajo]]="","",_xlfn.XLOOKUP(tblOrdenes[[#This Row],[puesto_trabajo]],tblPuestos[codigo],tblPuestos[especialidad],"(sin catálogo)"))</f>
        <v/>
      </c>
      <c r="Y561" s="3">
        <f>IF(tblOrdenes[[#This Row],[cod_actividad]]="","",_xlfn.XLOOKUP(tblOrdenes[[#This Row],[cod_actividad]],tblActividades[codigo],tblActividades[descripcion],"(sin catálogo)"))</f>
        <v/>
      </c>
      <c r="Z561" s="12">
        <f>IF(tblOrdenes[[#This Row],[fecha_inicio]]="","",TODAY()-tblOrdenes[[#This Row],[fecha_inicio]])</f>
        <v/>
      </c>
      <c r="AA561" s="3">
        <f>IF(tblOrdenes[[#This Row],[backlog_dias]]="","",IF(tblOrdenes[[#This Row],[backlog_dias]]&lt;0,"FUTURO",IF(tblOrdenes[[#This Row],[backlog_dias]]&gt;p_dias_backlog_max,"BACKLOG","MES CORRIENTE")))</f>
        <v/>
      </c>
      <c r="AB561" s="3">
        <f>IF(tblOrdenes[[#This Row],[backlog_dias]]="",FALSE,AND(tblOrdenes[[#This Row],[backlog_dias]]&gt;p_dias_backlog_min,tblOrdenes[[#This Row],[backlog_dias]]&lt;=p_dias_backlog_max))</f>
        <v/>
      </c>
      <c r="AC561" s="6" t="n"/>
      <c r="AD5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61" s="10">
        <f>IF(tblOrdenes[[#This Row],[orden]]="","",_xlfn.XLOOKUP(tblOrdenes[[#This Row],[id_operacion]],tblEjecucion[id_operacion],tblEjecucion[precio],0))</f>
        <v/>
      </c>
      <c r="AH561" s="10">
        <f>IF(tblOrdenes[[#This Row],[orden]]="","",MAX(0,_xlfn.XLOOKUP(tblOrdenes[[#This Row],[id_operacion]],tblEjecucion[id_operacion],tblEjecucion[costo_plan_total],0)-tblOrdenes[[#This Row],[costo_servicio]]))</f>
        <v/>
      </c>
      <c r="AI561" s="10">
        <f>IF(tblOrdenes[[#This Row],[orden]]="","",tblOrdenes[[#This Row],[costo_servicio]]+tblOrdenes[[#This Row],[costo_materiales]])</f>
        <v/>
      </c>
      <c r="AJ561" s="6" t="n"/>
      <c r="AK561" s="6" t="n"/>
      <c r="AL561" s="6" t="n"/>
      <c r="AM561" s="3">
        <f>IF(tblOrdenes[[#This Row],[link_checklist]]="","",HYPERLINK(p_ruta_base_checklists&amp;tblOrdenes[[#This Row],[link_checklist]],"abrir"))</f>
        <v/>
      </c>
      <c r="AN561" s="6" t="n"/>
      <c r="AO561" s="3">
        <f>IF(tblOrdenes[[#This Row],[orden]]="","",tblOrdenes[[#This Row],[orden]]&amp;IF(tblOrdenes[[#This Row],[operacion]]="","0010",tblOrdenes[[#This Row],[operacion]]))</f>
        <v/>
      </c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11" t="n"/>
      <c r="K562" s="3" t="n"/>
      <c r="L562" s="10" t="n"/>
      <c r="M562" s="6" t="n"/>
      <c r="N5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62" s="3">
        <f>IF(tblOrdenes[[#This Row],[fecha_inicio]]="","",YEAR(tblOrdenes[[#This Row],[fecha_inicio]]))</f>
        <v/>
      </c>
      <c r="R562" s="3">
        <f>IF(tblOrdenes[[#This Row],[fecha_inicio]]="","",MONTH(tblOrdenes[[#This Row],[fecha_inicio]]))</f>
        <v/>
      </c>
      <c r="S562" s="3">
        <f>IF(tblOrdenes[[#This Row],[fecha_inicio]]="","",INDEX(lista_dias,WEEKDAY(tblOrdenes[[#This Row],[fecha_inicio]],2)))</f>
        <v/>
      </c>
      <c r="T562" s="3">
        <f>IF(tblOrdenes[[#This Row],[tipo_ot]]="","",_xlfn.XLOOKUP(tblOrdenes[[#This Row],[tipo_ot]],tblTiposOT[codigo],tblTiposOT[clasificacion],"sin_clasificar"))</f>
        <v/>
      </c>
      <c r="U562" s="3">
        <f>IF(tblOrdenes[[#This Row],[centro_costo]]="","",_xlfn.XLOOKUP(tblOrdenes[[#This Row],[centro_costo]],tblCECO[codigo],tblCECO[linea],"(sin catálogo)"))</f>
        <v/>
      </c>
      <c r="V562" s="3">
        <f>IF(tblOrdenes[[#This Row],[centro_costo]]="","",_xlfn.XLOOKUP(tblOrdenes[[#This Row],[centro_costo]],tblCECO[codigo],tblCECO[area],"(sin catálogo)"))</f>
        <v/>
      </c>
      <c r="W562" s="3">
        <f>IF(tblOrdenes[[#This Row],[centro_costo]]="","",_xlfn.XLOOKUP(tblOrdenes[[#This Row],[centro_costo]],tblCECO[codigo],tblCECO[coordinador],"(sin catálogo)"))</f>
        <v/>
      </c>
      <c r="X562" s="3">
        <f>IF(tblOrdenes[[#This Row],[puesto_trabajo]]="","",_xlfn.XLOOKUP(tblOrdenes[[#This Row],[puesto_trabajo]],tblPuestos[codigo],tblPuestos[especialidad],"(sin catálogo)"))</f>
        <v/>
      </c>
      <c r="Y562" s="3">
        <f>IF(tblOrdenes[[#This Row],[cod_actividad]]="","",_xlfn.XLOOKUP(tblOrdenes[[#This Row],[cod_actividad]],tblActividades[codigo],tblActividades[descripcion],"(sin catálogo)"))</f>
        <v/>
      </c>
      <c r="Z562" s="12">
        <f>IF(tblOrdenes[[#This Row],[fecha_inicio]]="","",TODAY()-tblOrdenes[[#This Row],[fecha_inicio]])</f>
        <v/>
      </c>
      <c r="AA562" s="3">
        <f>IF(tblOrdenes[[#This Row],[backlog_dias]]="","",IF(tblOrdenes[[#This Row],[backlog_dias]]&lt;0,"FUTURO",IF(tblOrdenes[[#This Row],[backlog_dias]]&gt;p_dias_backlog_max,"BACKLOG","MES CORRIENTE")))</f>
        <v/>
      </c>
      <c r="AB562" s="3">
        <f>IF(tblOrdenes[[#This Row],[backlog_dias]]="",FALSE,AND(tblOrdenes[[#This Row],[backlog_dias]]&gt;p_dias_backlog_min,tblOrdenes[[#This Row],[backlog_dias]]&lt;=p_dias_backlog_max))</f>
        <v/>
      </c>
      <c r="AC562" s="6" t="n"/>
      <c r="AD5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62" s="10">
        <f>IF(tblOrdenes[[#This Row],[orden]]="","",_xlfn.XLOOKUP(tblOrdenes[[#This Row],[id_operacion]],tblEjecucion[id_operacion],tblEjecucion[precio],0))</f>
        <v/>
      </c>
      <c r="AH562" s="10">
        <f>IF(tblOrdenes[[#This Row],[orden]]="","",MAX(0,_xlfn.XLOOKUP(tblOrdenes[[#This Row],[id_operacion]],tblEjecucion[id_operacion],tblEjecucion[costo_plan_total],0)-tblOrdenes[[#This Row],[costo_servicio]]))</f>
        <v/>
      </c>
      <c r="AI562" s="10">
        <f>IF(tblOrdenes[[#This Row],[orden]]="","",tblOrdenes[[#This Row],[costo_servicio]]+tblOrdenes[[#This Row],[costo_materiales]])</f>
        <v/>
      </c>
      <c r="AJ562" s="6" t="n"/>
      <c r="AK562" s="6" t="n"/>
      <c r="AL562" s="6" t="n"/>
      <c r="AM562" s="3">
        <f>IF(tblOrdenes[[#This Row],[link_checklist]]="","",HYPERLINK(p_ruta_base_checklists&amp;tblOrdenes[[#This Row],[link_checklist]],"abrir"))</f>
        <v/>
      </c>
      <c r="AN562" s="6" t="n"/>
      <c r="AO562" s="3">
        <f>IF(tblOrdenes[[#This Row],[orden]]="","",tblOrdenes[[#This Row],[orden]]&amp;IF(tblOrdenes[[#This Row],[operacion]]="","0010",tblOrdenes[[#This Row],[operacion]]))</f>
        <v/>
      </c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11" t="n"/>
      <c r="K563" s="3" t="n"/>
      <c r="L563" s="10" t="n"/>
      <c r="M563" s="6" t="n"/>
      <c r="N5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63" s="3">
        <f>IF(tblOrdenes[[#This Row],[fecha_inicio]]="","",YEAR(tblOrdenes[[#This Row],[fecha_inicio]]))</f>
        <v/>
      </c>
      <c r="R563" s="3">
        <f>IF(tblOrdenes[[#This Row],[fecha_inicio]]="","",MONTH(tblOrdenes[[#This Row],[fecha_inicio]]))</f>
        <v/>
      </c>
      <c r="S563" s="3">
        <f>IF(tblOrdenes[[#This Row],[fecha_inicio]]="","",INDEX(lista_dias,WEEKDAY(tblOrdenes[[#This Row],[fecha_inicio]],2)))</f>
        <v/>
      </c>
      <c r="T563" s="3">
        <f>IF(tblOrdenes[[#This Row],[tipo_ot]]="","",_xlfn.XLOOKUP(tblOrdenes[[#This Row],[tipo_ot]],tblTiposOT[codigo],tblTiposOT[clasificacion],"sin_clasificar"))</f>
        <v/>
      </c>
      <c r="U563" s="3">
        <f>IF(tblOrdenes[[#This Row],[centro_costo]]="","",_xlfn.XLOOKUP(tblOrdenes[[#This Row],[centro_costo]],tblCECO[codigo],tblCECO[linea],"(sin catálogo)"))</f>
        <v/>
      </c>
      <c r="V563" s="3">
        <f>IF(tblOrdenes[[#This Row],[centro_costo]]="","",_xlfn.XLOOKUP(tblOrdenes[[#This Row],[centro_costo]],tblCECO[codigo],tblCECO[area],"(sin catálogo)"))</f>
        <v/>
      </c>
      <c r="W563" s="3">
        <f>IF(tblOrdenes[[#This Row],[centro_costo]]="","",_xlfn.XLOOKUP(tblOrdenes[[#This Row],[centro_costo]],tblCECO[codigo],tblCECO[coordinador],"(sin catálogo)"))</f>
        <v/>
      </c>
      <c r="X563" s="3">
        <f>IF(tblOrdenes[[#This Row],[puesto_trabajo]]="","",_xlfn.XLOOKUP(tblOrdenes[[#This Row],[puesto_trabajo]],tblPuestos[codigo],tblPuestos[especialidad],"(sin catálogo)"))</f>
        <v/>
      </c>
      <c r="Y563" s="3">
        <f>IF(tblOrdenes[[#This Row],[cod_actividad]]="","",_xlfn.XLOOKUP(tblOrdenes[[#This Row],[cod_actividad]],tblActividades[codigo],tblActividades[descripcion],"(sin catálogo)"))</f>
        <v/>
      </c>
      <c r="Z563" s="12">
        <f>IF(tblOrdenes[[#This Row],[fecha_inicio]]="","",TODAY()-tblOrdenes[[#This Row],[fecha_inicio]])</f>
        <v/>
      </c>
      <c r="AA563" s="3">
        <f>IF(tblOrdenes[[#This Row],[backlog_dias]]="","",IF(tblOrdenes[[#This Row],[backlog_dias]]&lt;0,"FUTURO",IF(tblOrdenes[[#This Row],[backlog_dias]]&gt;p_dias_backlog_max,"BACKLOG","MES CORRIENTE")))</f>
        <v/>
      </c>
      <c r="AB563" s="3">
        <f>IF(tblOrdenes[[#This Row],[backlog_dias]]="",FALSE,AND(tblOrdenes[[#This Row],[backlog_dias]]&gt;p_dias_backlog_min,tblOrdenes[[#This Row],[backlog_dias]]&lt;=p_dias_backlog_max))</f>
        <v/>
      </c>
      <c r="AC563" s="6" t="n"/>
      <c r="AD5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63" s="10">
        <f>IF(tblOrdenes[[#This Row],[orden]]="","",_xlfn.XLOOKUP(tblOrdenes[[#This Row],[id_operacion]],tblEjecucion[id_operacion],tblEjecucion[precio],0))</f>
        <v/>
      </c>
      <c r="AH563" s="10">
        <f>IF(tblOrdenes[[#This Row],[orden]]="","",MAX(0,_xlfn.XLOOKUP(tblOrdenes[[#This Row],[id_operacion]],tblEjecucion[id_operacion],tblEjecucion[costo_plan_total],0)-tblOrdenes[[#This Row],[costo_servicio]]))</f>
        <v/>
      </c>
      <c r="AI563" s="10">
        <f>IF(tblOrdenes[[#This Row],[orden]]="","",tblOrdenes[[#This Row],[costo_servicio]]+tblOrdenes[[#This Row],[costo_materiales]])</f>
        <v/>
      </c>
      <c r="AJ563" s="6" t="n"/>
      <c r="AK563" s="6" t="n"/>
      <c r="AL563" s="6" t="n"/>
      <c r="AM563" s="3">
        <f>IF(tblOrdenes[[#This Row],[link_checklist]]="","",HYPERLINK(p_ruta_base_checklists&amp;tblOrdenes[[#This Row],[link_checklist]],"abrir"))</f>
        <v/>
      </c>
      <c r="AN563" s="6" t="n"/>
      <c r="AO563" s="3">
        <f>IF(tblOrdenes[[#This Row],[orden]]="","",tblOrdenes[[#This Row],[orden]]&amp;IF(tblOrdenes[[#This Row],[operacion]]="","0010",tblOrdenes[[#This Row],[operacion]]))</f>
        <v/>
      </c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11" t="n"/>
      <c r="K564" s="3" t="n"/>
      <c r="L564" s="10" t="n"/>
      <c r="M564" s="6" t="n"/>
      <c r="N5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64" s="3">
        <f>IF(tblOrdenes[[#This Row],[fecha_inicio]]="","",YEAR(tblOrdenes[[#This Row],[fecha_inicio]]))</f>
        <v/>
      </c>
      <c r="R564" s="3">
        <f>IF(tblOrdenes[[#This Row],[fecha_inicio]]="","",MONTH(tblOrdenes[[#This Row],[fecha_inicio]]))</f>
        <v/>
      </c>
      <c r="S564" s="3">
        <f>IF(tblOrdenes[[#This Row],[fecha_inicio]]="","",INDEX(lista_dias,WEEKDAY(tblOrdenes[[#This Row],[fecha_inicio]],2)))</f>
        <v/>
      </c>
      <c r="T564" s="3">
        <f>IF(tblOrdenes[[#This Row],[tipo_ot]]="","",_xlfn.XLOOKUP(tblOrdenes[[#This Row],[tipo_ot]],tblTiposOT[codigo],tblTiposOT[clasificacion],"sin_clasificar"))</f>
        <v/>
      </c>
      <c r="U564" s="3">
        <f>IF(tblOrdenes[[#This Row],[centro_costo]]="","",_xlfn.XLOOKUP(tblOrdenes[[#This Row],[centro_costo]],tblCECO[codigo],tblCECO[linea],"(sin catálogo)"))</f>
        <v/>
      </c>
      <c r="V564" s="3">
        <f>IF(tblOrdenes[[#This Row],[centro_costo]]="","",_xlfn.XLOOKUP(tblOrdenes[[#This Row],[centro_costo]],tblCECO[codigo],tblCECO[area],"(sin catálogo)"))</f>
        <v/>
      </c>
      <c r="W564" s="3">
        <f>IF(tblOrdenes[[#This Row],[centro_costo]]="","",_xlfn.XLOOKUP(tblOrdenes[[#This Row],[centro_costo]],tblCECO[codigo],tblCECO[coordinador],"(sin catálogo)"))</f>
        <v/>
      </c>
      <c r="X564" s="3">
        <f>IF(tblOrdenes[[#This Row],[puesto_trabajo]]="","",_xlfn.XLOOKUP(tblOrdenes[[#This Row],[puesto_trabajo]],tblPuestos[codigo],tblPuestos[especialidad],"(sin catálogo)"))</f>
        <v/>
      </c>
      <c r="Y564" s="3">
        <f>IF(tblOrdenes[[#This Row],[cod_actividad]]="","",_xlfn.XLOOKUP(tblOrdenes[[#This Row],[cod_actividad]],tblActividades[codigo],tblActividades[descripcion],"(sin catálogo)"))</f>
        <v/>
      </c>
      <c r="Z564" s="12">
        <f>IF(tblOrdenes[[#This Row],[fecha_inicio]]="","",TODAY()-tblOrdenes[[#This Row],[fecha_inicio]])</f>
        <v/>
      </c>
      <c r="AA564" s="3">
        <f>IF(tblOrdenes[[#This Row],[backlog_dias]]="","",IF(tblOrdenes[[#This Row],[backlog_dias]]&lt;0,"FUTURO",IF(tblOrdenes[[#This Row],[backlog_dias]]&gt;p_dias_backlog_max,"BACKLOG","MES CORRIENTE")))</f>
        <v/>
      </c>
      <c r="AB564" s="3">
        <f>IF(tblOrdenes[[#This Row],[backlog_dias]]="",FALSE,AND(tblOrdenes[[#This Row],[backlog_dias]]&gt;p_dias_backlog_min,tblOrdenes[[#This Row],[backlog_dias]]&lt;=p_dias_backlog_max))</f>
        <v/>
      </c>
      <c r="AC564" s="6" t="n"/>
      <c r="AD5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64" s="10">
        <f>IF(tblOrdenes[[#This Row],[orden]]="","",_xlfn.XLOOKUP(tblOrdenes[[#This Row],[id_operacion]],tblEjecucion[id_operacion],tblEjecucion[precio],0))</f>
        <v/>
      </c>
      <c r="AH564" s="10">
        <f>IF(tblOrdenes[[#This Row],[orden]]="","",MAX(0,_xlfn.XLOOKUP(tblOrdenes[[#This Row],[id_operacion]],tblEjecucion[id_operacion],tblEjecucion[costo_plan_total],0)-tblOrdenes[[#This Row],[costo_servicio]]))</f>
        <v/>
      </c>
      <c r="AI564" s="10">
        <f>IF(tblOrdenes[[#This Row],[orden]]="","",tblOrdenes[[#This Row],[costo_servicio]]+tblOrdenes[[#This Row],[costo_materiales]])</f>
        <v/>
      </c>
      <c r="AJ564" s="6" t="n"/>
      <c r="AK564" s="6" t="n"/>
      <c r="AL564" s="6" t="n"/>
      <c r="AM564" s="3">
        <f>IF(tblOrdenes[[#This Row],[link_checklist]]="","",HYPERLINK(p_ruta_base_checklists&amp;tblOrdenes[[#This Row],[link_checklist]],"abrir"))</f>
        <v/>
      </c>
      <c r="AN564" s="6" t="n"/>
      <c r="AO564" s="3">
        <f>IF(tblOrdenes[[#This Row],[orden]]="","",tblOrdenes[[#This Row],[orden]]&amp;IF(tblOrdenes[[#This Row],[operacion]]="","0010",tblOrdenes[[#This Row],[operacion]]))</f>
        <v/>
      </c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11" t="n"/>
      <c r="K565" s="3" t="n"/>
      <c r="L565" s="10" t="n"/>
      <c r="M565" s="6" t="n"/>
      <c r="N5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65" s="3">
        <f>IF(tblOrdenes[[#This Row],[fecha_inicio]]="","",YEAR(tblOrdenes[[#This Row],[fecha_inicio]]))</f>
        <v/>
      </c>
      <c r="R565" s="3">
        <f>IF(tblOrdenes[[#This Row],[fecha_inicio]]="","",MONTH(tblOrdenes[[#This Row],[fecha_inicio]]))</f>
        <v/>
      </c>
      <c r="S565" s="3">
        <f>IF(tblOrdenes[[#This Row],[fecha_inicio]]="","",INDEX(lista_dias,WEEKDAY(tblOrdenes[[#This Row],[fecha_inicio]],2)))</f>
        <v/>
      </c>
      <c r="T565" s="3">
        <f>IF(tblOrdenes[[#This Row],[tipo_ot]]="","",_xlfn.XLOOKUP(tblOrdenes[[#This Row],[tipo_ot]],tblTiposOT[codigo],tblTiposOT[clasificacion],"sin_clasificar"))</f>
        <v/>
      </c>
      <c r="U565" s="3">
        <f>IF(tblOrdenes[[#This Row],[centro_costo]]="","",_xlfn.XLOOKUP(tblOrdenes[[#This Row],[centro_costo]],tblCECO[codigo],tblCECO[linea],"(sin catálogo)"))</f>
        <v/>
      </c>
      <c r="V565" s="3">
        <f>IF(tblOrdenes[[#This Row],[centro_costo]]="","",_xlfn.XLOOKUP(tblOrdenes[[#This Row],[centro_costo]],tblCECO[codigo],tblCECO[area],"(sin catálogo)"))</f>
        <v/>
      </c>
      <c r="W565" s="3">
        <f>IF(tblOrdenes[[#This Row],[centro_costo]]="","",_xlfn.XLOOKUP(tblOrdenes[[#This Row],[centro_costo]],tblCECO[codigo],tblCECO[coordinador],"(sin catálogo)"))</f>
        <v/>
      </c>
      <c r="X565" s="3">
        <f>IF(tblOrdenes[[#This Row],[puesto_trabajo]]="","",_xlfn.XLOOKUP(tblOrdenes[[#This Row],[puesto_trabajo]],tblPuestos[codigo],tblPuestos[especialidad],"(sin catálogo)"))</f>
        <v/>
      </c>
      <c r="Y565" s="3">
        <f>IF(tblOrdenes[[#This Row],[cod_actividad]]="","",_xlfn.XLOOKUP(tblOrdenes[[#This Row],[cod_actividad]],tblActividades[codigo],tblActividades[descripcion],"(sin catálogo)"))</f>
        <v/>
      </c>
      <c r="Z565" s="12">
        <f>IF(tblOrdenes[[#This Row],[fecha_inicio]]="","",TODAY()-tblOrdenes[[#This Row],[fecha_inicio]])</f>
        <v/>
      </c>
      <c r="AA565" s="3">
        <f>IF(tblOrdenes[[#This Row],[backlog_dias]]="","",IF(tblOrdenes[[#This Row],[backlog_dias]]&lt;0,"FUTURO",IF(tblOrdenes[[#This Row],[backlog_dias]]&gt;p_dias_backlog_max,"BACKLOG","MES CORRIENTE")))</f>
        <v/>
      </c>
      <c r="AB565" s="3">
        <f>IF(tblOrdenes[[#This Row],[backlog_dias]]="",FALSE,AND(tblOrdenes[[#This Row],[backlog_dias]]&gt;p_dias_backlog_min,tblOrdenes[[#This Row],[backlog_dias]]&lt;=p_dias_backlog_max))</f>
        <v/>
      </c>
      <c r="AC565" s="6" t="n"/>
      <c r="AD5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65" s="10">
        <f>IF(tblOrdenes[[#This Row],[orden]]="","",_xlfn.XLOOKUP(tblOrdenes[[#This Row],[id_operacion]],tblEjecucion[id_operacion],tblEjecucion[precio],0))</f>
        <v/>
      </c>
      <c r="AH565" s="10">
        <f>IF(tblOrdenes[[#This Row],[orden]]="","",MAX(0,_xlfn.XLOOKUP(tblOrdenes[[#This Row],[id_operacion]],tblEjecucion[id_operacion],tblEjecucion[costo_plan_total],0)-tblOrdenes[[#This Row],[costo_servicio]]))</f>
        <v/>
      </c>
      <c r="AI565" s="10">
        <f>IF(tblOrdenes[[#This Row],[orden]]="","",tblOrdenes[[#This Row],[costo_servicio]]+tblOrdenes[[#This Row],[costo_materiales]])</f>
        <v/>
      </c>
      <c r="AJ565" s="6" t="n"/>
      <c r="AK565" s="6" t="n"/>
      <c r="AL565" s="6" t="n"/>
      <c r="AM565" s="3">
        <f>IF(tblOrdenes[[#This Row],[link_checklist]]="","",HYPERLINK(p_ruta_base_checklists&amp;tblOrdenes[[#This Row],[link_checklist]],"abrir"))</f>
        <v/>
      </c>
      <c r="AN565" s="6" t="n"/>
      <c r="AO565" s="3">
        <f>IF(tblOrdenes[[#This Row],[orden]]="","",tblOrdenes[[#This Row],[orden]]&amp;IF(tblOrdenes[[#This Row],[operacion]]="","0010",tblOrdenes[[#This Row],[operacion]]))</f>
        <v/>
      </c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11" t="n"/>
      <c r="K566" s="3" t="n"/>
      <c r="L566" s="10" t="n"/>
      <c r="M566" s="6" t="n"/>
      <c r="N5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66" s="3">
        <f>IF(tblOrdenes[[#This Row],[fecha_inicio]]="","",YEAR(tblOrdenes[[#This Row],[fecha_inicio]]))</f>
        <v/>
      </c>
      <c r="R566" s="3">
        <f>IF(tblOrdenes[[#This Row],[fecha_inicio]]="","",MONTH(tblOrdenes[[#This Row],[fecha_inicio]]))</f>
        <v/>
      </c>
      <c r="S566" s="3">
        <f>IF(tblOrdenes[[#This Row],[fecha_inicio]]="","",INDEX(lista_dias,WEEKDAY(tblOrdenes[[#This Row],[fecha_inicio]],2)))</f>
        <v/>
      </c>
      <c r="T566" s="3">
        <f>IF(tblOrdenes[[#This Row],[tipo_ot]]="","",_xlfn.XLOOKUP(tblOrdenes[[#This Row],[tipo_ot]],tblTiposOT[codigo],tblTiposOT[clasificacion],"sin_clasificar"))</f>
        <v/>
      </c>
      <c r="U566" s="3">
        <f>IF(tblOrdenes[[#This Row],[centro_costo]]="","",_xlfn.XLOOKUP(tblOrdenes[[#This Row],[centro_costo]],tblCECO[codigo],tblCECO[linea],"(sin catálogo)"))</f>
        <v/>
      </c>
      <c r="V566" s="3">
        <f>IF(tblOrdenes[[#This Row],[centro_costo]]="","",_xlfn.XLOOKUP(tblOrdenes[[#This Row],[centro_costo]],tblCECO[codigo],tblCECO[area],"(sin catálogo)"))</f>
        <v/>
      </c>
      <c r="W566" s="3">
        <f>IF(tblOrdenes[[#This Row],[centro_costo]]="","",_xlfn.XLOOKUP(tblOrdenes[[#This Row],[centro_costo]],tblCECO[codigo],tblCECO[coordinador],"(sin catálogo)"))</f>
        <v/>
      </c>
      <c r="X566" s="3">
        <f>IF(tblOrdenes[[#This Row],[puesto_trabajo]]="","",_xlfn.XLOOKUP(tblOrdenes[[#This Row],[puesto_trabajo]],tblPuestos[codigo],tblPuestos[especialidad],"(sin catálogo)"))</f>
        <v/>
      </c>
      <c r="Y566" s="3">
        <f>IF(tblOrdenes[[#This Row],[cod_actividad]]="","",_xlfn.XLOOKUP(tblOrdenes[[#This Row],[cod_actividad]],tblActividades[codigo],tblActividades[descripcion],"(sin catálogo)"))</f>
        <v/>
      </c>
      <c r="Z566" s="12">
        <f>IF(tblOrdenes[[#This Row],[fecha_inicio]]="","",TODAY()-tblOrdenes[[#This Row],[fecha_inicio]])</f>
        <v/>
      </c>
      <c r="AA566" s="3">
        <f>IF(tblOrdenes[[#This Row],[backlog_dias]]="","",IF(tblOrdenes[[#This Row],[backlog_dias]]&lt;0,"FUTURO",IF(tblOrdenes[[#This Row],[backlog_dias]]&gt;p_dias_backlog_max,"BACKLOG","MES CORRIENTE")))</f>
        <v/>
      </c>
      <c r="AB566" s="3">
        <f>IF(tblOrdenes[[#This Row],[backlog_dias]]="",FALSE,AND(tblOrdenes[[#This Row],[backlog_dias]]&gt;p_dias_backlog_min,tblOrdenes[[#This Row],[backlog_dias]]&lt;=p_dias_backlog_max))</f>
        <v/>
      </c>
      <c r="AC566" s="6" t="n"/>
      <c r="AD5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66" s="10">
        <f>IF(tblOrdenes[[#This Row],[orden]]="","",_xlfn.XLOOKUP(tblOrdenes[[#This Row],[id_operacion]],tblEjecucion[id_operacion],tblEjecucion[precio],0))</f>
        <v/>
      </c>
      <c r="AH566" s="10">
        <f>IF(tblOrdenes[[#This Row],[orden]]="","",MAX(0,_xlfn.XLOOKUP(tblOrdenes[[#This Row],[id_operacion]],tblEjecucion[id_operacion],tblEjecucion[costo_plan_total],0)-tblOrdenes[[#This Row],[costo_servicio]]))</f>
        <v/>
      </c>
      <c r="AI566" s="10">
        <f>IF(tblOrdenes[[#This Row],[orden]]="","",tblOrdenes[[#This Row],[costo_servicio]]+tblOrdenes[[#This Row],[costo_materiales]])</f>
        <v/>
      </c>
      <c r="AJ566" s="6" t="n"/>
      <c r="AK566" s="6" t="n"/>
      <c r="AL566" s="6" t="n"/>
      <c r="AM566" s="3">
        <f>IF(tblOrdenes[[#This Row],[link_checklist]]="","",HYPERLINK(p_ruta_base_checklists&amp;tblOrdenes[[#This Row],[link_checklist]],"abrir"))</f>
        <v/>
      </c>
      <c r="AN566" s="6" t="n"/>
      <c r="AO566" s="3">
        <f>IF(tblOrdenes[[#This Row],[orden]]="","",tblOrdenes[[#This Row],[orden]]&amp;IF(tblOrdenes[[#This Row],[operacion]]="","0010",tblOrdenes[[#This Row],[operacion]]))</f>
        <v/>
      </c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11" t="n"/>
      <c r="K567" s="3" t="n"/>
      <c r="L567" s="10" t="n"/>
      <c r="M567" s="6" t="n"/>
      <c r="N5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67" s="3">
        <f>IF(tblOrdenes[[#This Row],[fecha_inicio]]="","",YEAR(tblOrdenes[[#This Row],[fecha_inicio]]))</f>
        <v/>
      </c>
      <c r="R567" s="3">
        <f>IF(tblOrdenes[[#This Row],[fecha_inicio]]="","",MONTH(tblOrdenes[[#This Row],[fecha_inicio]]))</f>
        <v/>
      </c>
      <c r="S567" s="3">
        <f>IF(tblOrdenes[[#This Row],[fecha_inicio]]="","",INDEX(lista_dias,WEEKDAY(tblOrdenes[[#This Row],[fecha_inicio]],2)))</f>
        <v/>
      </c>
      <c r="T567" s="3">
        <f>IF(tblOrdenes[[#This Row],[tipo_ot]]="","",_xlfn.XLOOKUP(tblOrdenes[[#This Row],[tipo_ot]],tblTiposOT[codigo],tblTiposOT[clasificacion],"sin_clasificar"))</f>
        <v/>
      </c>
      <c r="U567" s="3">
        <f>IF(tblOrdenes[[#This Row],[centro_costo]]="","",_xlfn.XLOOKUP(tblOrdenes[[#This Row],[centro_costo]],tblCECO[codigo],tblCECO[linea],"(sin catálogo)"))</f>
        <v/>
      </c>
      <c r="V567" s="3">
        <f>IF(tblOrdenes[[#This Row],[centro_costo]]="","",_xlfn.XLOOKUP(tblOrdenes[[#This Row],[centro_costo]],tblCECO[codigo],tblCECO[area],"(sin catálogo)"))</f>
        <v/>
      </c>
      <c r="W567" s="3">
        <f>IF(tblOrdenes[[#This Row],[centro_costo]]="","",_xlfn.XLOOKUP(tblOrdenes[[#This Row],[centro_costo]],tblCECO[codigo],tblCECO[coordinador],"(sin catálogo)"))</f>
        <v/>
      </c>
      <c r="X567" s="3">
        <f>IF(tblOrdenes[[#This Row],[puesto_trabajo]]="","",_xlfn.XLOOKUP(tblOrdenes[[#This Row],[puesto_trabajo]],tblPuestos[codigo],tblPuestos[especialidad],"(sin catálogo)"))</f>
        <v/>
      </c>
      <c r="Y567" s="3">
        <f>IF(tblOrdenes[[#This Row],[cod_actividad]]="","",_xlfn.XLOOKUP(tblOrdenes[[#This Row],[cod_actividad]],tblActividades[codigo],tblActividades[descripcion],"(sin catálogo)"))</f>
        <v/>
      </c>
      <c r="Z567" s="12">
        <f>IF(tblOrdenes[[#This Row],[fecha_inicio]]="","",TODAY()-tblOrdenes[[#This Row],[fecha_inicio]])</f>
        <v/>
      </c>
      <c r="AA567" s="3">
        <f>IF(tblOrdenes[[#This Row],[backlog_dias]]="","",IF(tblOrdenes[[#This Row],[backlog_dias]]&lt;0,"FUTURO",IF(tblOrdenes[[#This Row],[backlog_dias]]&gt;p_dias_backlog_max,"BACKLOG","MES CORRIENTE")))</f>
        <v/>
      </c>
      <c r="AB567" s="3">
        <f>IF(tblOrdenes[[#This Row],[backlog_dias]]="",FALSE,AND(tblOrdenes[[#This Row],[backlog_dias]]&gt;p_dias_backlog_min,tblOrdenes[[#This Row],[backlog_dias]]&lt;=p_dias_backlog_max))</f>
        <v/>
      </c>
      <c r="AC567" s="6" t="n"/>
      <c r="AD5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67" s="10">
        <f>IF(tblOrdenes[[#This Row],[orden]]="","",_xlfn.XLOOKUP(tblOrdenes[[#This Row],[id_operacion]],tblEjecucion[id_operacion],tblEjecucion[precio],0))</f>
        <v/>
      </c>
      <c r="AH567" s="10">
        <f>IF(tblOrdenes[[#This Row],[orden]]="","",MAX(0,_xlfn.XLOOKUP(tblOrdenes[[#This Row],[id_operacion]],tblEjecucion[id_operacion],tblEjecucion[costo_plan_total],0)-tblOrdenes[[#This Row],[costo_servicio]]))</f>
        <v/>
      </c>
      <c r="AI567" s="10">
        <f>IF(tblOrdenes[[#This Row],[orden]]="","",tblOrdenes[[#This Row],[costo_servicio]]+tblOrdenes[[#This Row],[costo_materiales]])</f>
        <v/>
      </c>
      <c r="AJ567" s="6" t="n"/>
      <c r="AK567" s="6" t="n"/>
      <c r="AL567" s="6" t="n"/>
      <c r="AM567" s="3">
        <f>IF(tblOrdenes[[#This Row],[link_checklist]]="","",HYPERLINK(p_ruta_base_checklists&amp;tblOrdenes[[#This Row],[link_checklist]],"abrir"))</f>
        <v/>
      </c>
      <c r="AN567" s="6" t="n"/>
      <c r="AO567" s="3">
        <f>IF(tblOrdenes[[#This Row],[orden]]="","",tblOrdenes[[#This Row],[orden]]&amp;IF(tblOrdenes[[#This Row],[operacion]]="","0010",tblOrdenes[[#This Row],[operacion]]))</f>
        <v/>
      </c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11" t="n"/>
      <c r="K568" s="3" t="n"/>
      <c r="L568" s="10" t="n"/>
      <c r="M568" s="6" t="n"/>
      <c r="N5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68" s="3">
        <f>IF(tblOrdenes[[#This Row],[fecha_inicio]]="","",YEAR(tblOrdenes[[#This Row],[fecha_inicio]]))</f>
        <v/>
      </c>
      <c r="R568" s="3">
        <f>IF(tblOrdenes[[#This Row],[fecha_inicio]]="","",MONTH(tblOrdenes[[#This Row],[fecha_inicio]]))</f>
        <v/>
      </c>
      <c r="S568" s="3">
        <f>IF(tblOrdenes[[#This Row],[fecha_inicio]]="","",INDEX(lista_dias,WEEKDAY(tblOrdenes[[#This Row],[fecha_inicio]],2)))</f>
        <v/>
      </c>
      <c r="T568" s="3">
        <f>IF(tblOrdenes[[#This Row],[tipo_ot]]="","",_xlfn.XLOOKUP(tblOrdenes[[#This Row],[tipo_ot]],tblTiposOT[codigo],tblTiposOT[clasificacion],"sin_clasificar"))</f>
        <v/>
      </c>
      <c r="U568" s="3">
        <f>IF(tblOrdenes[[#This Row],[centro_costo]]="","",_xlfn.XLOOKUP(tblOrdenes[[#This Row],[centro_costo]],tblCECO[codigo],tblCECO[linea],"(sin catálogo)"))</f>
        <v/>
      </c>
      <c r="V568" s="3">
        <f>IF(tblOrdenes[[#This Row],[centro_costo]]="","",_xlfn.XLOOKUP(tblOrdenes[[#This Row],[centro_costo]],tblCECO[codigo],tblCECO[area],"(sin catálogo)"))</f>
        <v/>
      </c>
      <c r="W568" s="3">
        <f>IF(tblOrdenes[[#This Row],[centro_costo]]="","",_xlfn.XLOOKUP(tblOrdenes[[#This Row],[centro_costo]],tblCECO[codigo],tblCECO[coordinador],"(sin catálogo)"))</f>
        <v/>
      </c>
      <c r="X568" s="3">
        <f>IF(tblOrdenes[[#This Row],[puesto_trabajo]]="","",_xlfn.XLOOKUP(tblOrdenes[[#This Row],[puesto_trabajo]],tblPuestos[codigo],tblPuestos[especialidad],"(sin catálogo)"))</f>
        <v/>
      </c>
      <c r="Y568" s="3">
        <f>IF(tblOrdenes[[#This Row],[cod_actividad]]="","",_xlfn.XLOOKUP(tblOrdenes[[#This Row],[cod_actividad]],tblActividades[codigo],tblActividades[descripcion],"(sin catálogo)"))</f>
        <v/>
      </c>
      <c r="Z568" s="12">
        <f>IF(tblOrdenes[[#This Row],[fecha_inicio]]="","",TODAY()-tblOrdenes[[#This Row],[fecha_inicio]])</f>
        <v/>
      </c>
      <c r="AA568" s="3">
        <f>IF(tblOrdenes[[#This Row],[backlog_dias]]="","",IF(tblOrdenes[[#This Row],[backlog_dias]]&lt;0,"FUTURO",IF(tblOrdenes[[#This Row],[backlog_dias]]&gt;p_dias_backlog_max,"BACKLOG","MES CORRIENTE")))</f>
        <v/>
      </c>
      <c r="AB568" s="3">
        <f>IF(tblOrdenes[[#This Row],[backlog_dias]]="",FALSE,AND(tblOrdenes[[#This Row],[backlog_dias]]&gt;p_dias_backlog_min,tblOrdenes[[#This Row],[backlog_dias]]&lt;=p_dias_backlog_max))</f>
        <v/>
      </c>
      <c r="AC568" s="6" t="n"/>
      <c r="AD5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68" s="10">
        <f>IF(tblOrdenes[[#This Row],[orden]]="","",_xlfn.XLOOKUP(tblOrdenes[[#This Row],[id_operacion]],tblEjecucion[id_operacion],tblEjecucion[precio],0))</f>
        <v/>
      </c>
      <c r="AH568" s="10">
        <f>IF(tblOrdenes[[#This Row],[orden]]="","",MAX(0,_xlfn.XLOOKUP(tblOrdenes[[#This Row],[id_operacion]],tblEjecucion[id_operacion],tblEjecucion[costo_plan_total],0)-tblOrdenes[[#This Row],[costo_servicio]]))</f>
        <v/>
      </c>
      <c r="AI568" s="10">
        <f>IF(tblOrdenes[[#This Row],[orden]]="","",tblOrdenes[[#This Row],[costo_servicio]]+tblOrdenes[[#This Row],[costo_materiales]])</f>
        <v/>
      </c>
      <c r="AJ568" s="6" t="n"/>
      <c r="AK568" s="6" t="n"/>
      <c r="AL568" s="6" t="n"/>
      <c r="AM568" s="3">
        <f>IF(tblOrdenes[[#This Row],[link_checklist]]="","",HYPERLINK(p_ruta_base_checklists&amp;tblOrdenes[[#This Row],[link_checklist]],"abrir"))</f>
        <v/>
      </c>
      <c r="AN568" s="6" t="n"/>
      <c r="AO568" s="3">
        <f>IF(tblOrdenes[[#This Row],[orden]]="","",tblOrdenes[[#This Row],[orden]]&amp;IF(tblOrdenes[[#This Row],[operacion]]="","0010",tblOrdenes[[#This Row],[operacion]]))</f>
        <v/>
      </c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11" t="n"/>
      <c r="K569" s="3" t="n"/>
      <c r="L569" s="10" t="n"/>
      <c r="M569" s="6" t="n"/>
      <c r="N5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69" s="3">
        <f>IF(tblOrdenes[[#This Row],[fecha_inicio]]="","",YEAR(tblOrdenes[[#This Row],[fecha_inicio]]))</f>
        <v/>
      </c>
      <c r="R569" s="3">
        <f>IF(tblOrdenes[[#This Row],[fecha_inicio]]="","",MONTH(tblOrdenes[[#This Row],[fecha_inicio]]))</f>
        <v/>
      </c>
      <c r="S569" s="3">
        <f>IF(tblOrdenes[[#This Row],[fecha_inicio]]="","",INDEX(lista_dias,WEEKDAY(tblOrdenes[[#This Row],[fecha_inicio]],2)))</f>
        <v/>
      </c>
      <c r="T569" s="3">
        <f>IF(tblOrdenes[[#This Row],[tipo_ot]]="","",_xlfn.XLOOKUP(tblOrdenes[[#This Row],[tipo_ot]],tblTiposOT[codigo],tblTiposOT[clasificacion],"sin_clasificar"))</f>
        <v/>
      </c>
      <c r="U569" s="3">
        <f>IF(tblOrdenes[[#This Row],[centro_costo]]="","",_xlfn.XLOOKUP(tblOrdenes[[#This Row],[centro_costo]],tblCECO[codigo],tblCECO[linea],"(sin catálogo)"))</f>
        <v/>
      </c>
      <c r="V569" s="3">
        <f>IF(tblOrdenes[[#This Row],[centro_costo]]="","",_xlfn.XLOOKUP(tblOrdenes[[#This Row],[centro_costo]],tblCECO[codigo],tblCECO[area],"(sin catálogo)"))</f>
        <v/>
      </c>
      <c r="W569" s="3">
        <f>IF(tblOrdenes[[#This Row],[centro_costo]]="","",_xlfn.XLOOKUP(tblOrdenes[[#This Row],[centro_costo]],tblCECO[codigo],tblCECO[coordinador],"(sin catálogo)"))</f>
        <v/>
      </c>
      <c r="X569" s="3">
        <f>IF(tblOrdenes[[#This Row],[puesto_trabajo]]="","",_xlfn.XLOOKUP(tblOrdenes[[#This Row],[puesto_trabajo]],tblPuestos[codigo],tblPuestos[especialidad],"(sin catálogo)"))</f>
        <v/>
      </c>
      <c r="Y569" s="3">
        <f>IF(tblOrdenes[[#This Row],[cod_actividad]]="","",_xlfn.XLOOKUP(tblOrdenes[[#This Row],[cod_actividad]],tblActividades[codigo],tblActividades[descripcion],"(sin catálogo)"))</f>
        <v/>
      </c>
      <c r="Z569" s="12">
        <f>IF(tblOrdenes[[#This Row],[fecha_inicio]]="","",TODAY()-tblOrdenes[[#This Row],[fecha_inicio]])</f>
        <v/>
      </c>
      <c r="AA569" s="3">
        <f>IF(tblOrdenes[[#This Row],[backlog_dias]]="","",IF(tblOrdenes[[#This Row],[backlog_dias]]&lt;0,"FUTURO",IF(tblOrdenes[[#This Row],[backlog_dias]]&gt;p_dias_backlog_max,"BACKLOG","MES CORRIENTE")))</f>
        <v/>
      </c>
      <c r="AB569" s="3">
        <f>IF(tblOrdenes[[#This Row],[backlog_dias]]="",FALSE,AND(tblOrdenes[[#This Row],[backlog_dias]]&gt;p_dias_backlog_min,tblOrdenes[[#This Row],[backlog_dias]]&lt;=p_dias_backlog_max))</f>
        <v/>
      </c>
      <c r="AC569" s="6" t="n"/>
      <c r="AD5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69" s="10">
        <f>IF(tblOrdenes[[#This Row],[orden]]="","",_xlfn.XLOOKUP(tblOrdenes[[#This Row],[id_operacion]],tblEjecucion[id_operacion],tblEjecucion[precio],0))</f>
        <v/>
      </c>
      <c r="AH569" s="10">
        <f>IF(tblOrdenes[[#This Row],[orden]]="","",MAX(0,_xlfn.XLOOKUP(tblOrdenes[[#This Row],[id_operacion]],tblEjecucion[id_operacion],tblEjecucion[costo_plan_total],0)-tblOrdenes[[#This Row],[costo_servicio]]))</f>
        <v/>
      </c>
      <c r="AI569" s="10">
        <f>IF(tblOrdenes[[#This Row],[orden]]="","",tblOrdenes[[#This Row],[costo_servicio]]+tblOrdenes[[#This Row],[costo_materiales]])</f>
        <v/>
      </c>
      <c r="AJ569" s="6" t="n"/>
      <c r="AK569" s="6" t="n"/>
      <c r="AL569" s="6" t="n"/>
      <c r="AM569" s="3">
        <f>IF(tblOrdenes[[#This Row],[link_checklist]]="","",HYPERLINK(p_ruta_base_checklists&amp;tblOrdenes[[#This Row],[link_checklist]],"abrir"))</f>
        <v/>
      </c>
      <c r="AN569" s="6" t="n"/>
      <c r="AO569" s="3">
        <f>IF(tblOrdenes[[#This Row],[orden]]="","",tblOrdenes[[#This Row],[orden]]&amp;IF(tblOrdenes[[#This Row],[operacion]]="","0010",tblOrdenes[[#This Row],[operacion]]))</f>
        <v/>
      </c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11" t="n"/>
      <c r="K570" s="3" t="n"/>
      <c r="L570" s="10" t="n"/>
      <c r="M570" s="6" t="n"/>
      <c r="N5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70" s="3">
        <f>IF(tblOrdenes[[#This Row],[fecha_inicio]]="","",YEAR(tblOrdenes[[#This Row],[fecha_inicio]]))</f>
        <v/>
      </c>
      <c r="R570" s="3">
        <f>IF(tblOrdenes[[#This Row],[fecha_inicio]]="","",MONTH(tblOrdenes[[#This Row],[fecha_inicio]]))</f>
        <v/>
      </c>
      <c r="S570" s="3">
        <f>IF(tblOrdenes[[#This Row],[fecha_inicio]]="","",INDEX(lista_dias,WEEKDAY(tblOrdenes[[#This Row],[fecha_inicio]],2)))</f>
        <v/>
      </c>
      <c r="T570" s="3">
        <f>IF(tblOrdenes[[#This Row],[tipo_ot]]="","",_xlfn.XLOOKUP(tblOrdenes[[#This Row],[tipo_ot]],tblTiposOT[codigo],tblTiposOT[clasificacion],"sin_clasificar"))</f>
        <v/>
      </c>
      <c r="U570" s="3">
        <f>IF(tblOrdenes[[#This Row],[centro_costo]]="","",_xlfn.XLOOKUP(tblOrdenes[[#This Row],[centro_costo]],tblCECO[codigo],tblCECO[linea],"(sin catálogo)"))</f>
        <v/>
      </c>
      <c r="V570" s="3">
        <f>IF(tblOrdenes[[#This Row],[centro_costo]]="","",_xlfn.XLOOKUP(tblOrdenes[[#This Row],[centro_costo]],tblCECO[codigo],tblCECO[area],"(sin catálogo)"))</f>
        <v/>
      </c>
      <c r="W570" s="3">
        <f>IF(tblOrdenes[[#This Row],[centro_costo]]="","",_xlfn.XLOOKUP(tblOrdenes[[#This Row],[centro_costo]],tblCECO[codigo],tblCECO[coordinador],"(sin catálogo)"))</f>
        <v/>
      </c>
      <c r="X570" s="3">
        <f>IF(tblOrdenes[[#This Row],[puesto_trabajo]]="","",_xlfn.XLOOKUP(tblOrdenes[[#This Row],[puesto_trabajo]],tblPuestos[codigo],tblPuestos[especialidad],"(sin catálogo)"))</f>
        <v/>
      </c>
      <c r="Y570" s="3">
        <f>IF(tblOrdenes[[#This Row],[cod_actividad]]="","",_xlfn.XLOOKUP(tblOrdenes[[#This Row],[cod_actividad]],tblActividades[codigo],tblActividades[descripcion],"(sin catálogo)"))</f>
        <v/>
      </c>
      <c r="Z570" s="12">
        <f>IF(tblOrdenes[[#This Row],[fecha_inicio]]="","",TODAY()-tblOrdenes[[#This Row],[fecha_inicio]])</f>
        <v/>
      </c>
      <c r="AA570" s="3">
        <f>IF(tblOrdenes[[#This Row],[backlog_dias]]="","",IF(tblOrdenes[[#This Row],[backlog_dias]]&lt;0,"FUTURO",IF(tblOrdenes[[#This Row],[backlog_dias]]&gt;p_dias_backlog_max,"BACKLOG","MES CORRIENTE")))</f>
        <v/>
      </c>
      <c r="AB570" s="3">
        <f>IF(tblOrdenes[[#This Row],[backlog_dias]]="",FALSE,AND(tblOrdenes[[#This Row],[backlog_dias]]&gt;p_dias_backlog_min,tblOrdenes[[#This Row],[backlog_dias]]&lt;=p_dias_backlog_max))</f>
        <v/>
      </c>
      <c r="AC570" s="6" t="n"/>
      <c r="AD5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70" s="10">
        <f>IF(tblOrdenes[[#This Row],[orden]]="","",_xlfn.XLOOKUP(tblOrdenes[[#This Row],[id_operacion]],tblEjecucion[id_operacion],tblEjecucion[precio],0))</f>
        <v/>
      </c>
      <c r="AH570" s="10">
        <f>IF(tblOrdenes[[#This Row],[orden]]="","",MAX(0,_xlfn.XLOOKUP(tblOrdenes[[#This Row],[id_operacion]],tblEjecucion[id_operacion],tblEjecucion[costo_plan_total],0)-tblOrdenes[[#This Row],[costo_servicio]]))</f>
        <v/>
      </c>
      <c r="AI570" s="10">
        <f>IF(tblOrdenes[[#This Row],[orden]]="","",tblOrdenes[[#This Row],[costo_servicio]]+tblOrdenes[[#This Row],[costo_materiales]])</f>
        <v/>
      </c>
      <c r="AJ570" s="6" t="n"/>
      <c r="AK570" s="6" t="n"/>
      <c r="AL570" s="6" t="n"/>
      <c r="AM570" s="3">
        <f>IF(tblOrdenes[[#This Row],[link_checklist]]="","",HYPERLINK(p_ruta_base_checklists&amp;tblOrdenes[[#This Row],[link_checklist]],"abrir"))</f>
        <v/>
      </c>
      <c r="AN570" s="6" t="n"/>
      <c r="AO570" s="3">
        <f>IF(tblOrdenes[[#This Row],[orden]]="","",tblOrdenes[[#This Row],[orden]]&amp;IF(tblOrdenes[[#This Row],[operacion]]="","0010",tblOrdenes[[#This Row],[operacion]]))</f>
        <v/>
      </c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11" t="n"/>
      <c r="K571" s="3" t="n"/>
      <c r="L571" s="10" t="n"/>
      <c r="M571" s="6" t="n"/>
      <c r="N5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71" s="3">
        <f>IF(tblOrdenes[[#This Row],[fecha_inicio]]="","",YEAR(tblOrdenes[[#This Row],[fecha_inicio]]))</f>
        <v/>
      </c>
      <c r="R571" s="3">
        <f>IF(tblOrdenes[[#This Row],[fecha_inicio]]="","",MONTH(tblOrdenes[[#This Row],[fecha_inicio]]))</f>
        <v/>
      </c>
      <c r="S571" s="3">
        <f>IF(tblOrdenes[[#This Row],[fecha_inicio]]="","",INDEX(lista_dias,WEEKDAY(tblOrdenes[[#This Row],[fecha_inicio]],2)))</f>
        <v/>
      </c>
      <c r="T571" s="3">
        <f>IF(tblOrdenes[[#This Row],[tipo_ot]]="","",_xlfn.XLOOKUP(tblOrdenes[[#This Row],[tipo_ot]],tblTiposOT[codigo],tblTiposOT[clasificacion],"sin_clasificar"))</f>
        <v/>
      </c>
      <c r="U571" s="3">
        <f>IF(tblOrdenes[[#This Row],[centro_costo]]="","",_xlfn.XLOOKUP(tblOrdenes[[#This Row],[centro_costo]],tblCECO[codigo],tblCECO[linea],"(sin catálogo)"))</f>
        <v/>
      </c>
      <c r="V571" s="3">
        <f>IF(tblOrdenes[[#This Row],[centro_costo]]="","",_xlfn.XLOOKUP(tblOrdenes[[#This Row],[centro_costo]],tblCECO[codigo],tblCECO[area],"(sin catálogo)"))</f>
        <v/>
      </c>
      <c r="W571" s="3">
        <f>IF(tblOrdenes[[#This Row],[centro_costo]]="","",_xlfn.XLOOKUP(tblOrdenes[[#This Row],[centro_costo]],tblCECO[codigo],tblCECO[coordinador],"(sin catálogo)"))</f>
        <v/>
      </c>
      <c r="X571" s="3">
        <f>IF(tblOrdenes[[#This Row],[puesto_trabajo]]="","",_xlfn.XLOOKUP(tblOrdenes[[#This Row],[puesto_trabajo]],tblPuestos[codigo],tblPuestos[especialidad],"(sin catálogo)"))</f>
        <v/>
      </c>
      <c r="Y571" s="3">
        <f>IF(tblOrdenes[[#This Row],[cod_actividad]]="","",_xlfn.XLOOKUP(tblOrdenes[[#This Row],[cod_actividad]],tblActividades[codigo],tblActividades[descripcion],"(sin catálogo)"))</f>
        <v/>
      </c>
      <c r="Z571" s="12">
        <f>IF(tblOrdenes[[#This Row],[fecha_inicio]]="","",TODAY()-tblOrdenes[[#This Row],[fecha_inicio]])</f>
        <v/>
      </c>
      <c r="AA571" s="3">
        <f>IF(tblOrdenes[[#This Row],[backlog_dias]]="","",IF(tblOrdenes[[#This Row],[backlog_dias]]&lt;0,"FUTURO",IF(tblOrdenes[[#This Row],[backlog_dias]]&gt;p_dias_backlog_max,"BACKLOG","MES CORRIENTE")))</f>
        <v/>
      </c>
      <c r="AB571" s="3">
        <f>IF(tblOrdenes[[#This Row],[backlog_dias]]="",FALSE,AND(tblOrdenes[[#This Row],[backlog_dias]]&gt;p_dias_backlog_min,tblOrdenes[[#This Row],[backlog_dias]]&lt;=p_dias_backlog_max))</f>
        <v/>
      </c>
      <c r="AC571" s="6" t="n"/>
      <c r="AD5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71" s="10">
        <f>IF(tblOrdenes[[#This Row],[orden]]="","",_xlfn.XLOOKUP(tblOrdenes[[#This Row],[id_operacion]],tblEjecucion[id_operacion],tblEjecucion[precio],0))</f>
        <v/>
      </c>
      <c r="AH571" s="10">
        <f>IF(tblOrdenes[[#This Row],[orden]]="","",MAX(0,_xlfn.XLOOKUP(tblOrdenes[[#This Row],[id_operacion]],tblEjecucion[id_operacion],tblEjecucion[costo_plan_total],0)-tblOrdenes[[#This Row],[costo_servicio]]))</f>
        <v/>
      </c>
      <c r="AI571" s="10">
        <f>IF(tblOrdenes[[#This Row],[orden]]="","",tblOrdenes[[#This Row],[costo_servicio]]+tblOrdenes[[#This Row],[costo_materiales]])</f>
        <v/>
      </c>
      <c r="AJ571" s="6" t="n"/>
      <c r="AK571" s="6" t="n"/>
      <c r="AL571" s="6" t="n"/>
      <c r="AM571" s="3">
        <f>IF(tblOrdenes[[#This Row],[link_checklist]]="","",HYPERLINK(p_ruta_base_checklists&amp;tblOrdenes[[#This Row],[link_checklist]],"abrir"))</f>
        <v/>
      </c>
      <c r="AN571" s="6" t="n"/>
      <c r="AO571" s="3">
        <f>IF(tblOrdenes[[#This Row],[orden]]="","",tblOrdenes[[#This Row],[orden]]&amp;IF(tblOrdenes[[#This Row],[operacion]]="","0010",tblOrdenes[[#This Row],[operacion]]))</f>
        <v/>
      </c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11" t="n"/>
      <c r="K572" s="3" t="n"/>
      <c r="L572" s="10" t="n"/>
      <c r="M572" s="6" t="n"/>
      <c r="N5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72" s="3">
        <f>IF(tblOrdenes[[#This Row],[fecha_inicio]]="","",YEAR(tblOrdenes[[#This Row],[fecha_inicio]]))</f>
        <v/>
      </c>
      <c r="R572" s="3">
        <f>IF(tblOrdenes[[#This Row],[fecha_inicio]]="","",MONTH(tblOrdenes[[#This Row],[fecha_inicio]]))</f>
        <v/>
      </c>
      <c r="S572" s="3">
        <f>IF(tblOrdenes[[#This Row],[fecha_inicio]]="","",INDEX(lista_dias,WEEKDAY(tblOrdenes[[#This Row],[fecha_inicio]],2)))</f>
        <v/>
      </c>
      <c r="T572" s="3">
        <f>IF(tblOrdenes[[#This Row],[tipo_ot]]="","",_xlfn.XLOOKUP(tblOrdenes[[#This Row],[tipo_ot]],tblTiposOT[codigo],tblTiposOT[clasificacion],"sin_clasificar"))</f>
        <v/>
      </c>
      <c r="U572" s="3">
        <f>IF(tblOrdenes[[#This Row],[centro_costo]]="","",_xlfn.XLOOKUP(tblOrdenes[[#This Row],[centro_costo]],tblCECO[codigo],tblCECO[linea],"(sin catálogo)"))</f>
        <v/>
      </c>
      <c r="V572" s="3">
        <f>IF(tblOrdenes[[#This Row],[centro_costo]]="","",_xlfn.XLOOKUP(tblOrdenes[[#This Row],[centro_costo]],tblCECO[codigo],tblCECO[area],"(sin catálogo)"))</f>
        <v/>
      </c>
      <c r="W572" s="3">
        <f>IF(tblOrdenes[[#This Row],[centro_costo]]="","",_xlfn.XLOOKUP(tblOrdenes[[#This Row],[centro_costo]],tblCECO[codigo],tblCECO[coordinador],"(sin catálogo)"))</f>
        <v/>
      </c>
      <c r="X572" s="3">
        <f>IF(tblOrdenes[[#This Row],[puesto_trabajo]]="","",_xlfn.XLOOKUP(tblOrdenes[[#This Row],[puesto_trabajo]],tblPuestos[codigo],tblPuestos[especialidad],"(sin catálogo)"))</f>
        <v/>
      </c>
      <c r="Y572" s="3">
        <f>IF(tblOrdenes[[#This Row],[cod_actividad]]="","",_xlfn.XLOOKUP(tblOrdenes[[#This Row],[cod_actividad]],tblActividades[codigo],tblActividades[descripcion],"(sin catálogo)"))</f>
        <v/>
      </c>
      <c r="Z572" s="12">
        <f>IF(tblOrdenes[[#This Row],[fecha_inicio]]="","",TODAY()-tblOrdenes[[#This Row],[fecha_inicio]])</f>
        <v/>
      </c>
      <c r="AA572" s="3">
        <f>IF(tblOrdenes[[#This Row],[backlog_dias]]="","",IF(tblOrdenes[[#This Row],[backlog_dias]]&lt;0,"FUTURO",IF(tblOrdenes[[#This Row],[backlog_dias]]&gt;p_dias_backlog_max,"BACKLOG","MES CORRIENTE")))</f>
        <v/>
      </c>
      <c r="AB572" s="3">
        <f>IF(tblOrdenes[[#This Row],[backlog_dias]]="",FALSE,AND(tblOrdenes[[#This Row],[backlog_dias]]&gt;p_dias_backlog_min,tblOrdenes[[#This Row],[backlog_dias]]&lt;=p_dias_backlog_max))</f>
        <v/>
      </c>
      <c r="AC572" s="6" t="n"/>
      <c r="AD5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72" s="10">
        <f>IF(tblOrdenes[[#This Row],[orden]]="","",_xlfn.XLOOKUP(tblOrdenes[[#This Row],[id_operacion]],tblEjecucion[id_operacion],tblEjecucion[precio],0))</f>
        <v/>
      </c>
      <c r="AH572" s="10">
        <f>IF(tblOrdenes[[#This Row],[orden]]="","",MAX(0,_xlfn.XLOOKUP(tblOrdenes[[#This Row],[id_operacion]],tblEjecucion[id_operacion],tblEjecucion[costo_plan_total],0)-tblOrdenes[[#This Row],[costo_servicio]]))</f>
        <v/>
      </c>
      <c r="AI572" s="10">
        <f>IF(tblOrdenes[[#This Row],[orden]]="","",tblOrdenes[[#This Row],[costo_servicio]]+tblOrdenes[[#This Row],[costo_materiales]])</f>
        <v/>
      </c>
      <c r="AJ572" s="6" t="n"/>
      <c r="AK572" s="6" t="n"/>
      <c r="AL572" s="6" t="n"/>
      <c r="AM572" s="3">
        <f>IF(tblOrdenes[[#This Row],[link_checklist]]="","",HYPERLINK(p_ruta_base_checklists&amp;tblOrdenes[[#This Row],[link_checklist]],"abrir"))</f>
        <v/>
      </c>
      <c r="AN572" s="6" t="n"/>
      <c r="AO572" s="3">
        <f>IF(tblOrdenes[[#This Row],[orden]]="","",tblOrdenes[[#This Row],[orden]]&amp;IF(tblOrdenes[[#This Row],[operacion]]="","0010",tblOrdenes[[#This Row],[operacion]]))</f>
        <v/>
      </c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11" t="n"/>
      <c r="K573" s="3" t="n"/>
      <c r="L573" s="10" t="n"/>
      <c r="M573" s="6" t="n"/>
      <c r="N5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73" s="3">
        <f>IF(tblOrdenes[[#This Row],[fecha_inicio]]="","",YEAR(tblOrdenes[[#This Row],[fecha_inicio]]))</f>
        <v/>
      </c>
      <c r="R573" s="3">
        <f>IF(tblOrdenes[[#This Row],[fecha_inicio]]="","",MONTH(tblOrdenes[[#This Row],[fecha_inicio]]))</f>
        <v/>
      </c>
      <c r="S573" s="3">
        <f>IF(tblOrdenes[[#This Row],[fecha_inicio]]="","",INDEX(lista_dias,WEEKDAY(tblOrdenes[[#This Row],[fecha_inicio]],2)))</f>
        <v/>
      </c>
      <c r="T573" s="3">
        <f>IF(tblOrdenes[[#This Row],[tipo_ot]]="","",_xlfn.XLOOKUP(tblOrdenes[[#This Row],[tipo_ot]],tblTiposOT[codigo],tblTiposOT[clasificacion],"sin_clasificar"))</f>
        <v/>
      </c>
      <c r="U573" s="3">
        <f>IF(tblOrdenes[[#This Row],[centro_costo]]="","",_xlfn.XLOOKUP(tblOrdenes[[#This Row],[centro_costo]],tblCECO[codigo],tblCECO[linea],"(sin catálogo)"))</f>
        <v/>
      </c>
      <c r="V573" s="3">
        <f>IF(tblOrdenes[[#This Row],[centro_costo]]="","",_xlfn.XLOOKUP(tblOrdenes[[#This Row],[centro_costo]],tblCECO[codigo],tblCECO[area],"(sin catálogo)"))</f>
        <v/>
      </c>
      <c r="W573" s="3">
        <f>IF(tblOrdenes[[#This Row],[centro_costo]]="","",_xlfn.XLOOKUP(tblOrdenes[[#This Row],[centro_costo]],tblCECO[codigo],tblCECO[coordinador],"(sin catálogo)"))</f>
        <v/>
      </c>
      <c r="X573" s="3">
        <f>IF(tblOrdenes[[#This Row],[puesto_trabajo]]="","",_xlfn.XLOOKUP(tblOrdenes[[#This Row],[puesto_trabajo]],tblPuestos[codigo],tblPuestos[especialidad],"(sin catálogo)"))</f>
        <v/>
      </c>
      <c r="Y573" s="3">
        <f>IF(tblOrdenes[[#This Row],[cod_actividad]]="","",_xlfn.XLOOKUP(tblOrdenes[[#This Row],[cod_actividad]],tblActividades[codigo],tblActividades[descripcion],"(sin catálogo)"))</f>
        <v/>
      </c>
      <c r="Z573" s="12">
        <f>IF(tblOrdenes[[#This Row],[fecha_inicio]]="","",TODAY()-tblOrdenes[[#This Row],[fecha_inicio]])</f>
        <v/>
      </c>
      <c r="AA573" s="3">
        <f>IF(tblOrdenes[[#This Row],[backlog_dias]]="","",IF(tblOrdenes[[#This Row],[backlog_dias]]&lt;0,"FUTURO",IF(tblOrdenes[[#This Row],[backlog_dias]]&gt;p_dias_backlog_max,"BACKLOG","MES CORRIENTE")))</f>
        <v/>
      </c>
      <c r="AB573" s="3">
        <f>IF(tblOrdenes[[#This Row],[backlog_dias]]="",FALSE,AND(tblOrdenes[[#This Row],[backlog_dias]]&gt;p_dias_backlog_min,tblOrdenes[[#This Row],[backlog_dias]]&lt;=p_dias_backlog_max))</f>
        <v/>
      </c>
      <c r="AC573" s="6" t="n"/>
      <c r="AD5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73" s="10">
        <f>IF(tblOrdenes[[#This Row],[orden]]="","",_xlfn.XLOOKUP(tblOrdenes[[#This Row],[id_operacion]],tblEjecucion[id_operacion],tblEjecucion[precio],0))</f>
        <v/>
      </c>
      <c r="AH573" s="10">
        <f>IF(tblOrdenes[[#This Row],[orden]]="","",MAX(0,_xlfn.XLOOKUP(tblOrdenes[[#This Row],[id_operacion]],tblEjecucion[id_operacion],tblEjecucion[costo_plan_total],0)-tblOrdenes[[#This Row],[costo_servicio]]))</f>
        <v/>
      </c>
      <c r="AI573" s="10">
        <f>IF(tblOrdenes[[#This Row],[orden]]="","",tblOrdenes[[#This Row],[costo_servicio]]+tblOrdenes[[#This Row],[costo_materiales]])</f>
        <v/>
      </c>
      <c r="AJ573" s="6" t="n"/>
      <c r="AK573" s="6" t="n"/>
      <c r="AL573" s="6" t="n"/>
      <c r="AM573" s="3">
        <f>IF(tblOrdenes[[#This Row],[link_checklist]]="","",HYPERLINK(p_ruta_base_checklists&amp;tblOrdenes[[#This Row],[link_checklist]],"abrir"))</f>
        <v/>
      </c>
      <c r="AN573" s="6" t="n"/>
      <c r="AO573" s="3">
        <f>IF(tblOrdenes[[#This Row],[orden]]="","",tblOrdenes[[#This Row],[orden]]&amp;IF(tblOrdenes[[#This Row],[operacion]]="","0010",tblOrdenes[[#This Row],[operacion]]))</f>
        <v/>
      </c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11" t="n"/>
      <c r="K574" s="3" t="n"/>
      <c r="L574" s="10" t="n"/>
      <c r="M574" s="6" t="n"/>
      <c r="N5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74" s="3">
        <f>IF(tblOrdenes[[#This Row],[fecha_inicio]]="","",YEAR(tblOrdenes[[#This Row],[fecha_inicio]]))</f>
        <v/>
      </c>
      <c r="R574" s="3">
        <f>IF(tblOrdenes[[#This Row],[fecha_inicio]]="","",MONTH(tblOrdenes[[#This Row],[fecha_inicio]]))</f>
        <v/>
      </c>
      <c r="S574" s="3">
        <f>IF(tblOrdenes[[#This Row],[fecha_inicio]]="","",INDEX(lista_dias,WEEKDAY(tblOrdenes[[#This Row],[fecha_inicio]],2)))</f>
        <v/>
      </c>
      <c r="T574" s="3">
        <f>IF(tblOrdenes[[#This Row],[tipo_ot]]="","",_xlfn.XLOOKUP(tblOrdenes[[#This Row],[tipo_ot]],tblTiposOT[codigo],tblTiposOT[clasificacion],"sin_clasificar"))</f>
        <v/>
      </c>
      <c r="U574" s="3">
        <f>IF(tblOrdenes[[#This Row],[centro_costo]]="","",_xlfn.XLOOKUP(tblOrdenes[[#This Row],[centro_costo]],tblCECO[codigo],tblCECO[linea],"(sin catálogo)"))</f>
        <v/>
      </c>
      <c r="V574" s="3">
        <f>IF(tblOrdenes[[#This Row],[centro_costo]]="","",_xlfn.XLOOKUP(tblOrdenes[[#This Row],[centro_costo]],tblCECO[codigo],tblCECO[area],"(sin catálogo)"))</f>
        <v/>
      </c>
      <c r="W574" s="3">
        <f>IF(tblOrdenes[[#This Row],[centro_costo]]="","",_xlfn.XLOOKUP(tblOrdenes[[#This Row],[centro_costo]],tblCECO[codigo],tblCECO[coordinador],"(sin catálogo)"))</f>
        <v/>
      </c>
      <c r="X574" s="3">
        <f>IF(tblOrdenes[[#This Row],[puesto_trabajo]]="","",_xlfn.XLOOKUP(tblOrdenes[[#This Row],[puesto_trabajo]],tblPuestos[codigo],tblPuestos[especialidad],"(sin catálogo)"))</f>
        <v/>
      </c>
      <c r="Y574" s="3">
        <f>IF(tblOrdenes[[#This Row],[cod_actividad]]="","",_xlfn.XLOOKUP(tblOrdenes[[#This Row],[cod_actividad]],tblActividades[codigo],tblActividades[descripcion],"(sin catálogo)"))</f>
        <v/>
      </c>
      <c r="Z574" s="12">
        <f>IF(tblOrdenes[[#This Row],[fecha_inicio]]="","",TODAY()-tblOrdenes[[#This Row],[fecha_inicio]])</f>
        <v/>
      </c>
      <c r="AA574" s="3">
        <f>IF(tblOrdenes[[#This Row],[backlog_dias]]="","",IF(tblOrdenes[[#This Row],[backlog_dias]]&lt;0,"FUTURO",IF(tblOrdenes[[#This Row],[backlog_dias]]&gt;p_dias_backlog_max,"BACKLOG","MES CORRIENTE")))</f>
        <v/>
      </c>
      <c r="AB574" s="3">
        <f>IF(tblOrdenes[[#This Row],[backlog_dias]]="",FALSE,AND(tblOrdenes[[#This Row],[backlog_dias]]&gt;p_dias_backlog_min,tblOrdenes[[#This Row],[backlog_dias]]&lt;=p_dias_backlog_max))</f>
        <v/>
      </c>
      <c r="AC574" s="6" t="n"/>
      <c r="AD5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74" s="10">
        <f>IF(tblOrdenes[[#This Row],[orden]]="","",_xlfn.XLOOKUP(tblOrdenes[[#This Row],[id_operacion]],tblEjecucion[id_operacion],tblEjecucion[precio],0))</f>
        <v/>
      </c>
      <c r="AH574" s="10">
        <f>IF(tblOrdenes[[#This Row],[orden]]="","",MAX(0,_xlfn.XLOOKUP(tblOrdenes[[#This Row],[id_operacion]],tblEjecucion[id_operacion],tblEjecucion[costo_plan_total],0)-tblOrdenes[[#This Row],[costo_servicio]]))</f>
        <v/>
      </c>
      <c r="AI574" s="10">
        <f>IF(tblOrdenes[[#This Row],[orden]]="","",tblOrdenes[[#This Row],[costo_servicio]]+tblOrdenes[[#This Row],[costo_materiales]])</f>
        <v/>
      </c>
      <c r="AJ574" s="6" t="n"/>
      <c r="AK574" s="6" t="n"/>
      <c r="AL574" s="6" t="n"/>
      <c r="AM574" s="3">
        <f>IF(tblOrdenes[[#This Row],[link_checklist]]="","",HYPERLINK(p_ruta_base_checklists&amp;tblOrdenes[[#This Row],[link_checklist]],"abrir"))</f>
        <v/>
      </c>
      <c r="AN574" s="6" t="n"/>
      <c r="AO574" s="3">
        <f>IF(tblOrdenes[[#This Row],[orden]]="","",tblOrdenes[[#This Row],[orden]]&amp;IF(tblOrdenes[[#This Row],[operacion]]="","0010",tblOrdenes[[#This Row],[operacion]]))</f>
        <v/>
      </c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11" t="n"/>
      <c r="K575" s="3" t="n"/>
      <c r="L575" s="10" t="n"/>
      <c r="M575" s="6" t="n"/>
      <c r="N5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75" s="3">
        <f>IF(tblOrdenes[[#This Row],[fecha_inicio]]="","",YEAR(tblOrdenes[[#This Row],[fecha_inicio]]))</f>
        <v/>
      </c>
      <c r="R575" s="3">
        <f>IF(tblOrdenes[[#This Row],[fecha_inicio]]="","",MONTH(tblOrdenes[[#This Row],[fecha_inicio]]))</f>
        <v/>
      </c>
      <c r="S575" s="3">
        <f>IF(tblOrdenes[[#This Row],[fecha_inicio]]="","",INDEX(lista_dias,WEEKDAY(tblOrdenes[[#This Row],[fecha_inicio]],2)))</f>
        <v/>
      </c>
      <c r="T575" s="3">
        <f>IF(tblOrdenes[[#This Row],[tipo_ot]]="","",_xlfn.XLOOKUP(tblOrdenes[[#This Row],[tipo_ot]],tblTiposOT[codigo],tblTiposOT[clasificacion],"sin_clasificar"))</f>
        <v/>
      </c>
      <c r="U575" s="3">
        <f>IF(tblOrdenes[[#This Row],[centro_costo]]="","",_xlfn.XLOOKUP(tblOrdenes[[#This Row],[centro_costo]],tblCECO[codigo],tblCECO[linea],"(sin catálogo)"))</f>
        <v/>
      </c>
      <c r="V575" s="3">
        <f>IF(tblOrdenes[[#This Row],[centro_costo]]="","",_xlfn.XLOOKUP(tblOrdenes[[#This Row],[centro_costo]],tblCECO[codigo],tblCECO[area],"(sin catálogo)"))</f>
        <v/>
      </c>
      <c r="W575" s="3">
        <f>IF(tblOrdenes[[#This Row],[centro_costo]]="","",_xlfn.XLOOKUP(tblOrdenes[[#This Row],[centro_costo]],tblCECO[codigo],tblCECO[coordinador],"(sin catálogo)"))</f>
        <v/>
      </c>
      <c r="X575" s="3">
        <f>IF(tblOrdenes[[#This Row],[puesto_trabajo]]="","",_xlfn.XLOOKUP(tblOrdenes[[#This Row],[puesto_trabajo]],tblPuestos[codigo],tblPuestos[especialidad],"(sin catálogo)"))</f>
        <v/>
      </c>
      <c r="Y575" s="3">
        <f>IF(tblOrdenes[[#This Row],[cod_actividad]]="","",_xlfn.XLOOKUP(tblOrdenes[[#This Row],[cod_actividad]],tblActividades[codigo],tblActividades[descripcion],"(sin catálogo)"))</f>
        <v/>
      </c>
      <c r="Z575" s="12">
        <f>IF(tblOrdenes[[#This Row],[fecha_inicio]]="","",TODAY()-tblOrdenes[[#This Row],[fecha_inicio]])</f>
        <v/>
      </c>
      <c r="AA575" s="3">
        <f>IF(tblOrdenes[[#This Row],[backlog_dias]]="","",IF(tblOrdenes[[#This Row],[backlog_dias]]&lt;0,"FUTURO",IF(tblOrdenes[[#This Row],[backlog_dias]]&gt;p_dias_backlog_max,"BACKLOG","MES CORRIENTE")))</f>
        <v/>
      </c>
      <c r="AB575" s="3">
        <f>IF(tblOrdenes[[#This Row],[backlog_dias]]="",FALSE,AND(tblOrdenes[[#This Row],[backlog_dias]]&gt;p_dias_backlog_min,tblOrdenes[[#This Row],[backlog_dias]]&lt;=p_dias_backlog_max))</f>
        <v/>
      </c>
      <c r="AC575" s="6" t="n"/>
      <c r="AD5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75" s="10">
        <f>IF(tblOrdenes[[#This Row],[orden]]="","",_xlfn.XLOOKUP(tblOrdenes[[#This Row],[id_operacion]],tblEjecucion[id_operacion],tblEjecucion[precio],0))</f>
        <v/>
      </c>
      <c r="AH575" s="10">
        <f>IF(tblOrdenes[[#This Row],[orden]]="","",MAX(0,_xlfn.XLOOKUP(tblOrdenes[[#This Row],[id_operacion]],tblEjecucion[id_operacion],tblEjecucion[costo_plan_total],0)-tblOrdenes[[#This Row],[costo_servicio]]))</f>
        <v/>
      </c>
      <c r="AI575" s="10">
        <f>IF(tblOrdenes[[#This Row],[orden]]="","",tblOrdenes[[#This Row],[costo_servicio]]+tblOrdenes[[#This Row],[costo_materiales]])</f>
        <v/>
      </c>
      <c r="AJ575" s="6" t="n"/>
      <c r="AK575" s="6" t="n"/>
      <c r="AL575" s="6" t="n"/>
      <c r="AM575" s="3">
        <f>IF(tblOrdenes[[#This Row],[link_checklist]]="","",HYPERLINK(p_ruta_base_checklists&amp;tblOrdenes[[#This Row],[link_checklist]],"abrir"))</f>
        <v/>
      </c>
      <c r="AN575" s="6" t="n"/>
      <c r="AO575" s="3">
        <f>IF(tblOrdenes[[#This Row],[orden]]="","",tblOrdenes[[#This Row],[orden]]&amp;IF(tblOrdenes[[#This Row],[operacion]]="","0010",tblOrdenes[[#This Row],[operacion]]))</f>
        <v/>
      </c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11" t="n"/>
      <c r="K576" s="3" t="n"/>
      <c r="L576" s="10" t="n"/>
      <c r="M576" s="6" t="n"/>
      <c r="N5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76" s="3">
        <f>IF(tblOrdenes[[#This Row],[fecha_inicio]]="","",YEAR(tblOrdenes[[#This Row],[fecha_inicio]]))</f>
        <v/>
      </c>
      <c r="R576" s="3">
        <f>IF(tblOrdenes[[#This Row],[fecha_inicio]]="","",MONTH(tblOrdenes[[#This Row],[fecha_inicio]]))</f>
        <v/>
      </c>
      <c r="S576" s="3">
        <f>IF(tblOrdenes[[#This Row],[fecha_inicio]]="","",INDEX(lista_dias,WEEKDAY(tblOrdenes[[#This Row],[fecha_inicio]],2)))</f>
        <v/>
      </c>
      <c r="T576" s="3">
        <f>IF(tblOrdenes[[#This Row],[tipo_ot]]="","",_xlfn.XLOOKUP(tblOrdenes[[#This Row],[tipo_ot]],tblTiposOT[codigo],tblTiposOT[clasificacion],"sin_clasificar"))</f>
        <v/>
      </c>
      <c r="U576" s="3">
        <f>IF(tblOrdenes[[#This Row],[centro_costo]]="","",_xlfn.XLOOKUP(tblOrdenes[[#This Row],[centro_costo]],tblCECO[codigo],tblCECO[linea],"(sin catálogo)"))</f>
        <v/>
      </c>
      <c r="V576" s="3">
        <f>IF(tblOrdenes[[#This Row],[centro_costo]]="","",_xlfn.XLOOKUP(tblOrdenes[[#This Row],[centro_costo]],tblCECO[codigo],tblCECO[area],"(sin catálogo)"))</f>
        <v/>
      </c>
      <c r="W576" s="3">
        <f>IF(tblOrdenes[[#This Row],[centro_costo]]="","",_xlfn.XLOOKUP(tblOrdenes[[#This Row],[centro_costo]],tblCECO[codigo],tblCECO[coordinador],"(sin catálogo)"))</f>
        <v/>
      </c>
      <c r="X576" s="3">
        <f>IF(tblOrdenes[[#This Row],[puesto_trabajo]]="","",_xlfn.XLOOKUP(tblOrdenes[[#This Row],[puesto_trabajo]],tblPuestos[codigo],tblPuestos[especialidad],"(sin catálogo)"))</f>
        <v/>
      </c>
      <c r="Y576" s="3">
        <f>IF(tblOrdenes[[#This Row],[cod_actividad]]="","",_xlfn.XLOOKUP(tblOrdenes[[#This Row],[cod_actividad]],tblActividades[codigo],tblActividades[descripcion],"(sin catálogo)"))</f>
        <v/>
      </c>
      <c r="Z576" s="12">
        <f>IF(tblOrdenes[[#This Row],[fecha_inicio]]="","",TODAY()-tblOrdenes[[#This Row],[fecha_inicio]])</f>
        <v/>
      </c>
      <c r="AA576" s="3">
        <f>IF(tblOrdenes[[#This Row],[backlog_dias]]="","",IF(tblOrdenes[[#This Row],[backlog_dias]]&lt;0,"FUTURO",IF(tblOrdenes[[#This Row],[backlog_dias]]&gt;p_dias_backlog_max,"BACKLOG","MES CORRIENTE")))</f>
        <v/>
      </c>
      <c r="AB576" s="3">
        <f>IF(tblOrdenes[[#This Row],[backlog_dias]]="",FALSE,AND(tblOrdenes[[#This Row],[backlog_dias]]&gt;p_dias_backlog_min,tblOrdenes[[#This Row],[backlog_dias]]&lt;=p_dias_backlog_max))</f>
        <v/>
      </c>
      <c r="AC576" s="6" t="n"/>
      <c r="AD5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76" s="10">
        <f>IF(tblOrdenes[[#This Row],[orden]]="","",_xlfn.XLOOKUP(tblOrdenes[[#This Row],[id_operacion]],tblEjecucion[id_operacion],tblEjecucion[precio],0))</f>
        <v/>
      </c>
      <c r="AH576" s="10">
        <f>IF(tblOrdenes[[#This Row],[orden]]="","",MAX(0,_xlfn.XLOOKUP(tblOrdenes[[#This Row],[id_operacion]],tblEjecucion[id_operacion],tblEjecucion[costo_plan_total],0)-tblOrdenes[[#This Row],[costo_servicio]]))</f>
        <v/>
      </c>
      <c r="AI576" s="10">
        <f>IF(tblOrdenes[[#This Row],[orden]]="","",tblOrdenes[[#This Row],[costo_servicio]]+tblOrdenes[[#This Row],[costo_materiales]])</f>
        <v/>
      </c>
      <c r="AJ576" s="6" t="n"/>
      <c r="AK576" s="6" t="n"/>
      <c r="AL576" s="6" t="n"/>
      <c r="AM576" s="3">
        <f>IF(tblOrdenes[[#This Row],[link_checklist]]="","",HYPERLINK(p_ruta_base_checklists&amp;tblOrdenes[[#This Row],[link_checklist]],"abrir"))</f>
        <v/>
      </c>
      <c r="AN576" s="6" t="n"/>
      <c r="AO576" s="3">
        <f>IF(tblOrdenes[[#This Row],[orden]]="","",tblOrdenes[[#This Row],[orden]]&amp;IF(tblOrdenes[[#This Row],[operacion]]="","0010",tblOrdenes[[#This Row],[operacion]]))</f>
        <v/>
      </c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11" t="n"/>
      <c r="K577" s="3" t="n"/>
      <c r="L577" s="10" t="n"/>
      <c r="M577" s="6" t="n"/>
      <c r="N5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77" s="3">
        <f>IF(tblOrdenes[[#This Row],[fecha_inicio]]="","",YEAR(tblOrdenes[[#This Row],[fecha_inicio]]))</f>
        <v/>
      </c>
      <c r="R577" s="3">
        <f>IF(tblOrdenes[[#This Row],[fecha_inicio]]="","",MONTH(tblOrdenes[[#This Row],[fecha_inicio]]))</f>
        <v/>
      </c>
      <c r="S577" s="3">
        <f>IF(tblOrdenes[[#This Row],[fecha_inicio]]="","",INDEX(lista_dias,WEEKDAY(tblOrdenes[[#This Row],[fecha_inicio]],2)))</f>
        <v/>
      </c>
      <c r="T577" s="3">
        <f>IF(tblOrdenes[[#This Row],[tipo_ot]]="","",_xlfn.XLOOKUP(tblOrdenes[[#This Row],[tipo_ot]],tblTiposOT[codigo],tblTiposOT[clasificacion],"sin_clasificar"))</f>
        <v/>
      </c>
      <c r="U577" s="3">
        <f>IF(tblOrdenes[[#This Row],[centro_costo]]="","",_xlfn.XLOOKUP(tblOrdenes[[#This Row],[centro_costo]],tblCECO[codigo],tblCECO[linea],"(sin catálogo)"))</f>
        <v/>
      </c>
      <c r="V577" s="3">
        <f>IF(tblOrdenes[[#This Row],[centro_costo]]="","",_xlfn.XLOOKUP(tblOrdenes[[#This Row],[centro_costo]],tblCECO[codigo],tblCECO[area],"(sin catálogo)"))</f>
        <v/>
      </c>
      <c r="W577" s="3">
        <f>IF(tblOrdenes[[#This Row],[centro_costo]]="","",_xlfn.XLOOKUP(tblOrdenes[[#This Row],[centro_costo]],tblCECO[codigo],tblCECO[coordinador],"(sin catálogo)"))</f>
        <v/>
      </c>
      <c r="X577" s="3">
        <f>IF(tblOrdenes[[#This Row],[puesto_trabajo]]="","",_xlfn.XLOOKUP(tblOrdenes[[#This Row],[puesto_trabajo]],tblPuestos[codigo],tblPuestos[especialidad],"(sin catálogo)"))</f>
        <v/>
      </c>
      <c r="Y577" s="3">
        <f>IF(tblOrdenes[[#This Row],[cod_actividad]]="","",_xlfn.XLOOKUP(tblOrdenes[[#This Row],[cod_actividad]],tblActividades[codigo],tblActividades[descripcion],"(sin catálogo)"))</f>
        <v/>
      </c>
      <c r="Z577" s="12">
        <f>IF(tblOrdenes[[#This Row],[fecha_inicio]]="","",TODAY()-tblOrdenes[[#This Row],[fecha_inicio]])</f>
        <v/>
      </c>
      <c r="AA577" s="3">
        <f>IF(tblOrdenes[[#This Row],[backlog_dias]]="","",IF(tblOrdenes[[#This Row],[backlog_dias]]&lt;0,"FUTURO",IF(tblOrdenes[[#This Row],[backlog_dias]]&gt;p_dias_backlog_max,"BACKLOG","MES CORRIENTE")))</f>
        <v/>
      </c>
      <c r="AB577" s="3">
        <f>IF(tblOrdenes[[#This Row],[backlog_dias]]="",FALSE,AND(tblOrdenes[[#This Row],[backlog_dias]]&gt;p_dias_backlog_min,tblOrdenes[[#This Row],[backlog_dias]]&lt;=p_dias_backlog_max))</f>
        <v/>
      </c>
      <c r="AC577" s="6" t="n"/>
      <c r="AD5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77" s="10">
        <f>IF(tblOrdenes[[#This Row],[orden]]="","",_xlfn.XLOOKUP(tblOrdenes[[#This Row],[id_operacion]],tblEjecucion[id_operacion],tblEjecucion[precio],0))</f>
        <v/>
      </c>
      <c r="AH577" s="10">
        <f>IF(tblOrdenes[[#This Row],[orden]]="","",MAX(0,_xlfn.XLOOKUP(tblOrdenes[[#This Row],[id_operacion]],tblEjecucion[id_operacion],tblEjecucion[costo_plan_total],0)-tblOrdenes[[#This Row],[costo_servicio]]))</f>
        <v/>
      </c>
      <c r="AI577" s="10">
        <f>IF(tblOrdenes[[#This Row],[orden]]="","",tblOrdenes[[#This Row],[costo_servicio]]+tblOrdenes[[#This Row],[costo_materiales]])</f>
        <v/>
      </c>
      <c r="AJ577" s="6" t="n"/>
      <c r="AK577" s="6" t="n"/>
      <c r="AL577" s="6" t="n"/>
      <c r="AM577" s="3">
        <f>IF(tblOrdenes[[#This Row],[link_checklist]]="","",HYPERLINK(p_ruta_base_checklists&amp;tblOrdenes[[#This Row],[link_checklist]],"abrir"))</f>
        <v/>
      </c>
      <c r="AN577" s="6" t="n"/>
      <c r="AO577" s="3">
        <f>IF(tblOrdenes[[#This Row],[orden]]="","",tblOrdenes[[#This Row],[orden]]&amp;IF(tblOrdenes[[#This Row],[operacion]]="","0010",tblOrdenes[[#This Row],[operacion]]))</f>
        <v/>
      </c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11" t="n"/>
      <c r="K578" s="3" t="n"/>
      <c r="L578" s="10" t="n"/>
      <c r="M578" s="6" t="n"/>
      <c r="N5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78" s="3">
        <f>IF(tblOrdenes[[#This Row],[fecha_inicio]]="","",YEAR(tblOrdenes[[#This Row],[fecha_inicio]]))</f>
        <v/>
      </c>
      <c r="R578" s="3">
        <f>IF(tblOrdenes[[#This Row],[fecha_inicio]]="","",MONTH(tblOrdenes[[#This Row],[fecha_inicio]]))</f>
        <v/>
      </c>
      <c r="S578" s="3">
        <f>IF(tblOrdenes[[#This Row],[fecha_inicio]]="","",INDEX(lista_dias,WEEKDAY(tblOrdenes[[#This Row],[fecha_inicio]],2)))</f>
        <v/>
      </c>
      <c r="T578" s="3">
        <f>IF(tblOrdenes[[#This Row],[tipo_ot]]="","",_xlfn.XLOOKUP(tblOrdenes[[#This Row],[tipo_ot]],tblTiposOT[codigo],tblTiposOT[clasificacion],"sin_clasificar"))</f>
        <v/>
      </c>
      <c r="U578" s="3">
        <f>IF(tblOrdenes[[#This Row],[centro_costo]]="","",_xlfn.XLOOKUP(tblOrdenes[[#This Row],[centro_costo]],tblCECO[codigo],tblCECO[linea],"(sin catálogo)"))</f>
        <v/>
      </c>
      <c r="V578" s="3">
        <f>IF(tblOrdenes[[#This Row],[centro_costo]]="","",_xlfn.XLOOKUP(tblOrdenes[[#This Row],[centro_costo]],tblCECO[codigo],tblCECO[area],"(sin catálogo)"))</f>
        <v/>
      </c>
      <c r="W578" s="3">
        <f>IF(tblOrdenes[[#This Row],[centro_costo]]="","",_xlfn.XLOOKUP(tblOrdenes[[#This Row],[centro_costo]],tblCECO[codigo],tblCECO[coordinador],"(sin catálogo)"))</f>
        <v/>
      </c>
      <c r="X578" s="3">
        <f>IF(tblOrdenes[[#This Row],[puesto_trabajo]]="","",_xlfn.XLOOKUP(tblOrdenes[[#This Row],[puesto_trabajo]],tblPuestos[codigo],tblPuestos[especialidad],"(sin catálogo)"))</f>
        <v/>
      </c>
      <c r="Y578" s="3">
        <f>IF(tblOrdenes[[#This Row],[cod_actividad]]="","",_xlfn.XLOOKUP(tblOrdenes[[#This Row],[cod_actividad]],tblActividades[codigo],tblActividades[descripcion],"(sin catálogo)"))</f>
        <v/>
      </c>
      <c r="Z578" s="12">
        <f>IF(tblOrdenes[[#This Row],[fecha_inicio]]="","",TODAY()-tblOrdenes[[#This Row],[fecha_inicio]])</f>
        <v/>
      </c>
      <c r="AA578" s="3">
        <f>IF(tblOrdenes[[#This Row],[backlog_dias]]="","",IF(tblOrdenes[[#This Row],[backlog_dias]]&lt;0,"FUTURO",IF(tblOrdenes[[#This Row],[backlog_dias]]&gt;p_dias_backlog_max,"BACKLOG","MES CORRIENTE")))</f>
        <v/>
      </c>
      <c r="AB578" s="3">
        <f>IF(tblOrdenes[[#This Row],[backlog_dias]]="",FALSE,AND(tblOrdenes[[#This Row],[backlog_dias]]&gt;p_dias_backlog_min,tblOrdenes[[#This Row],[backlog_dias]]&lt;=p_dias_backlog_max))</f>
        <v/>
      </c>
      <c r="AC578" s="6" t="n"/>
      <c r="AD5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78" s="10">
        <f>IF(tblOrdenes[[#This Row],[orden]]="","",_xlfn.XLOOKUP(tblOrdenes[[#This Row],[id_operacion]],tblEjecucion[id_operacion],tblEjecucion[precio],0))</f>
        <v/>
      </c>
      <c r="AH578" s="10">
        <f>IF(tblOrdenes[[#This Row],[orden]]="","",MAX(0,_xlfn.XLOOKUP(tblOrdenes[[#This Row],[id_operacion]],tblEjecucion[id_operacion],tblEjecucion[costo_plan_total],0)-tblOrdenes[[#This Row],[costo_servicio]]))</f>
        <v/>
      </c>
      <c r="AI578" s="10">
        <f>IF(tblOrdenes[[#This Row],[orden]]="","",tblOrdenes[[#This Row],[costo_servicio]]+tblOrdenes[[#This Row],[costo_materiales]])</f>
        <v/>
      </c>
      <c r="AJ578" s="6" t="n"/>
      <c r="AK578" s="6" t="n"/>
      <c r="AL578" s="6" t="n"/>
      <c r="AM578" s="3">
        <f>IF(tblOrdenes[[#This Row],[link_checklist]]="","",HYPERLINK(p_ruta_base_checklists&amp;tblOrdenes[[#This Row],[link_checklist]],"abrir"))</f>
        <v/>
      </c>
      <c r="AN578" s="6" t="n"/>
      <c r="AO578" s="3">
        <f>IF(tblOrdenes[[#This Row],[orden]]="","",tblOrdenes[[#This Row],[orden]]&amp;IF(tblOrdenes[[#This Row],[operacion]]="","0010",tblOrdenes[[#This Row],[operacion]]))</f>
        <v/>
      </c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11" t="n"/>
      <c r="K579" s="3" t="n"/>
      <c r="L579" s="10" t="n"/>
      <c r="M579" s="6" t="n"/>
      <c r="N5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79" s="3">
        <f>IF(tblOrdenes[[#This Row],[fecha_inicio]]="","",YEAR(tblOrdenes[[#This Row],[fecha_inicio]]))</f>
        <v/>
      </c>
      <c r="R579" s="3">
        <f>IF(tblOrdenes[[#This Row],[fecha_inicio]]="","",MONTH(tblOrdenes[[#This Row],[fecha_inicio]]))</f>
        <v/>
      </c>
      <c r="S579" s="3">
        <f>IF(tblOrdenes[[#This Row],[fecha_inicio]]="","",INDEX(lista_dias,WEEKDAY(tblOrdenes[[#This Row],[fecha_inicio]],2)))</f>
        <v/>
      </c>
      <c r="T579" s="3">
        <f>IF(tblOrdenes[[#This Row],[tipo_ot]]="","",_xlfn.XLOOKUP(tblOrdenes[[#This Row],[tipo_ot]],tblTiposOT[codigo],tblTiposOT[clasificacion],"sin_clasificar"))</f>
        <v/>
      </c>
      <c r="U579" s="3">
        <f>IF(tblOrdenes[[#This Row],[centro_costo]]="","",_xlfn.XLOOKUP(tblOrdenes[[#This Row],[centro_costo]],tblCECO[codigo],tblCECO[linea],"(sin catálogo)"))</f>
        <v/>
      </c>
      <c r="V579" s="3">
        <f>IF(tblOrdenes[[#This Row],[centro_costo]]="","",_xlfn.XLOOKUP(tblOrdenes[[#This Row],[centro_costo]],tblCECO[codigo],tblCECO[area],"(sin catálogo)"))</f>
        <v/>
      </c>
      <c r="W579" s="3">
        <f>IF(tblOrdenes[[#This Row],[centro_costo]]="","",_xlfn.XLOOKUP(tblOrdenes[[#This Row],[centro_costo]],tblCECO[codigo],tblCECO[coordinador],"(sin catálogo)"))</f>
        <v/>
      </c>
      <c r="X579" s="3">
        <f>IF(tblOrdenes[[#This Row],[puesto_trabajo]]="","",_xlfn.XLOOKUP(tblOrdenes[[#This Row],[puesto_trabajo]],tblPuestos[codigo],tblPuestos[especialidad],"(sin catálogo)"))</f>
        <v/>
      </c>
      <c r="Y579" s="3">
        <f>IF(tblOrdenes[[#This Row],[cod_actividad]]="","",_xlfn.XLOOKUP(tblOrdenes[[#This Row],[cod_actividad]],tblActividades[codigo],tblActividades[descripcion],"(sin catálogo)"))</f>
        <v/>
      </c>
      <c r="Z579" s="12">
        <f>IF(tblOrdenes[[#This Row],[fecha_inicio]]="","",TODAY()-tblOrdenes[[#This Row],[fecha_inicio]])</f>
        <v/>
      </c>
      <c r="AA579" s="3">
        <f>IF(tblOrdenes[[#This Row],[backlog_dias]]="","",IF(tblOrdenes[[#This Row],[backlog_dias]]&lt;0,"FUTURO",IF(tblOrdenes[[#This Row],[backlog_dias]]&gt;p_dias_backlog_max,"BACKLOG","MES CORRIENTE")))</f>
        <v/>
      </c>
      <c r="AB579" s="3">
        <f>IF(tblOrdenes[[#This Row],[backlog_dias]]="",FALSE,AND(tblOrdenes[[#This Row],[backlog_dias]]&gt;p_dias_backlog_min,tblOrdenes[[#This Row],[backlog_dias]]&lt;=p_dias_backlog_max))</f>
        <v/>
      </c>
      <c r="AC579" s="6" t="n"/>
      <c r="AD5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79" s="10">
        <f>IF(tblOrdenes[[#This Row],[orden]]="","",_xlfn.XLOOKUP(tblOrdenes[[#This Row],[id_operacion]],tblEjecucion[id_operacion],tblEjecucion[precio],0))</f>
        <v/>
      </c>
      <c r="AH579" s="10">
        <f>IF(tblOrdenes[[#This Row],[orden]]="","",MAX(0,_xlfn.XLOOKUP(tblOrdenes[[#This Row],[id_operacion]],tblEjecucion[id_operacion],tblEjecucion[costo_plan_total],0)-tblOrdenes[[#This Row],[costo_servicio]]))</f>
        <v/>
      </c>
      <c r="AI579" s="10">
        <f>IF(tblOrdenes[[#This Row],[orden]]="","",tblOrdenes[[#This Row],[costo_servicio]]+tblOrdenes[[#This Row],[costo_materiales]])</f>
        <v/>
      </c>
      <c r="AJ579" s="6" t="n"/>
      <c r="AK579" s="6" t="n"/>
      <c r="AL579" s="6" t="n"/>
      <c r="AM579" s="3">
        <f>IF(tblOrdenes[[#This Row],[link_checklist]]="","",HYPERLINK(p_ruta_base_checklists&amp;tblOrdenes[[#This Row],[link_checklist]],"abrir"))</f>
        <v/>
      </c>
      <c r="AN579" s="6" t="n"/>
      <c r="AO579" s="3">
        <f>IF(tblOrdenes[[#This Row],[orden]]="","",tblOrdenes[[#This Row],[orden]]&amp;IF(tblOrdenes[[#This Row],[operacion]]="","0010",tblOrdenes[[#This Row],[operacion]]))</f>
        <v/>
      </c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11" t="n"/>
      <c r="K580" s="3" t="n"/>
      <c r="L580" s="10" t="n"/>
      <c r="M580" s="6" t="n"/>
      <c r="N5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80" s="3">
        <f>IF(tblOrdenes[[#This Row],[fecha_inicio]]="","",YEAR(tblOrdenes[[#This Row],[fecha_inicio]]))</f>
        <v/>
      </c>
      <c r="R580" s="3">
        <f>IF(tblOrdenes[[#This Row],[fecha_inicio]]="","",MONTH(tblOrdenes[[#This Row],[fecha_inicio]]))</f>
        <v/>
      </c>
      <c r="S580" s="3">
        <f>IF(tblOrdenes[[#This Row],[fecha_inicio]]="","",INDEX(lista_dias,WEEKDAY(tblOrdenes[[#This Row],[fecha_inicio]],2)))</f>
        <v/>
      </c>
      <c r="T580" s="3">
        <f>IF(tblOrdenes[[#This Row],[tipo_ot]]="","",_xlfn.XLOOKUP(tblOrdenes[[#This Row],[tipo_ot]],tblTiposOT[codigo],tblTiposOT[clasificacion],"sin_clasificar"))</f>
        <v/>
      </c>
      <c r="U580" s="3">
        <f>IF(tblOrdenes[[#This Row],[centro_costo]]="","",_xlfn.XLOOKUP(tblOrdenes[[#This Row],[centro_costo]],tblCECO[codigo],tblCECO[linea],"(sin catálogo)"))</f>
        <v/>
      </c>
      <c r="V580" s="3">
        <f>IF(tblOrdenes[[#This Row],[centro_costo]]="","",_xlfn.XLOOKUP(tblOrdenes[[#This Row],[centro_costo]],tblCECO[codigo],tblCECO[area],"(sin catálogo)"))</f>
        <v/>
      </c>
      <c r="W580" s="3">
        <f>IF(tblOrdenes[[#This Row],[centro_costo]]="","",_xlfn.XLOOKUP(tblOrdenes[[#This Row],[centro_costo]],tblCECO[codigo],tblCECO[coordinador],"(sin catálogo)"))</f>
        <v/>
      </c>
      <c r="X580" s="3">
        <f>IF(tblOrdenes[[#This Row],[puesto_trabajo]]="","",_xlfn.XLOOKUP(tblOrdenes[[#This Row],[puesto_trabajo]],tblPuestos[codigo],tblPuestos[especialidad],"(sin catálogo)"))</f>
        <v/>
      </c>
      <c r="Y580" s="3">
        <f>IF(tblOrdenes[[#This Row],[cod_actividad]]="","",_xlfn.XLOOKUP(tblOrdenes[[#This Row],[cod_actividad]],tblActividades[codigo],tblActividades[descripcion],"(sin catálogo)"))</f>
        <v/>
      </c>
      <c r="Z580" s="12">
        <f>IF(tblOrdenes[[#This Row],[fecha_inicio]]="","",TODAY()-tblOrdenes[[#This Row],[fecha_inicio]])</f>
        <v/>
      </c>
      <c r="AA580" s="3">
        <f>IF(tblOrdenes[[#This Row],[backlog_dias]]="","",IF(tblOrdenes[[#This Row],[backlog_dias]]&lt;0,"FUTURO",IF(tblOrdenes[[#This Row],[backlog_dias]]&gt;p_dias_backlog_max,"BACKLOG","MES CORRIENTE")))</f>
        <v/>
      </c>
      <c r="AB580" s="3">
        <f>IF(tblOrdenes[[#This Row],[backlog_dias]]="",FALSE,AND(tblOrdenes[[#This Row],[backlog_dias]]&gt;p_dias_backlog_min,tblOrdenes[[#This Row],[backlog_dias]]&lt;=p_dias_backlog_max))</f>
        <v/>
      </c>
      <c r="AC580" s="6" t="n"/>
      <c r="AD5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80" s="10">
        <f>IF(tblOrdenes[[#This Row],[orden]]="","",_xlfn.XLOOKUP(tblOrdenes[[#This Row],[id_operacion]],tblEjecucion[id_operacion],tblEjecucion[precio],0))</f>
        <v/>
      </c>
      <c r="AH580" s="10">
        <f>IF(tblOrdenes[[#This Row],[orden]]="","",MAX(0,_xlfn.XLOOKUP(tblOrdenes[[#This Row],[id_operacion]],tblEjecucion[id_operacion],tblEjecucion[costo_plan_total],0)-tblOrdenes[[#This Row],[costo_servicio]]))</f>
        <v/>
      </c>
      <c r="AI580" s="10">
        <f>IF(tblOrdenes[[#This Row],[orden]]="","",tblOrdenes[[#This Row],[costo_servicio]]+tblOrdenes[[#This Row],[costo_materiales]])</f>
        <v/>
      </c>
      <c r="AJ580" s="6" t="n"/>
      <c r="AK580" s="6" t="n"/>
      <c r="AL580" s="6" t="n"/>
      <c r="AM580" s="3">
        <f>IF(tblOrdenes[[#This Row],[link_checklist]]="","",HYPERLINK(p_ruta_base_checklists&amp;tblOrdenes[[#This Row],[link_checklist]],"abrir"))</f>
        <v/>
      </c>
      <c r="AN580" s="6" t="n"/>
      <c r="AO580" s="3">
        <f>IF(tblOrdenes[[#This Row],[orden]]="","",tblOrdenes[[#This Row],[orden]]&amp;IF(tblOrdenes[[#This Row],[operacion]]="","0010",tblOrdenes[[#This Row],[operacion]]))</f>
        <v/>
      </c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11" t="n"/>
      <c r="K581" s="3" t="n"/>
      <c r="L581" s="10" t="n"/>
      <c r="M581" s="6" t="n"/>
      <c r="N5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81" s="3">
        <f>IF(tblOrdenes[[#This Row],[fecha_inicio]]="","",YEAR(tblOrdenes[[#This Row],[fecha_inicio]]))</f>
        <v/>
      </c>
      <c r="R581" s="3">
        <f>IF(tblOrdenes[[#This Row],[fecha_inicio]]="","",MONTH(tblOrdenes[[#This Row],[fecha_inicio]]))</f>
        <v/>
      </c>
      <c r="S581" s="3">
        <f>IF(tblOrdenes[[#This Row],[fecha_inicio]]="","",INDEX(lista_dias,WEEKDAY(tblOrdenes[[#This Row],[fecha_inicio]],2)))</f>
        <v/>
      </c>
      <c r="T581" s="3">
        <f>IF(tblOrdenes[[#This Row],[tipo_ot]]="","",_xlfn.XLOOKUP(tblOrdenes[[#This Row],[tipo_ot]],tblTiposOT[codigo],tblTiposOT[clasificacion],"sin_clasificar"))</f>
        <v/>
      </c>
      <c r="U581" s="3">
        <f>IF(tblOrdenes[[#This Row],[centro_costo]]="","",_xlfn.XLOOKUP(tblOrdenes[[#This Row],[centro_costo]],tblCECO[codigo],tblCECO[linea],"(sin catálogo)"))</f>
        <v/>
      </c>
      <c r="V581" s="3">
        <f>IF(tblOrdenes[[#This Row],[centro_costo]]="","",_xlfn.XLOOKUP(tblOrdenes[[#This Row],[centro_costo]],tblCECO[codigo],tblCECO[area],"(sin catálogo)"))</f>
        <v/>
      </c>
      <c r="W581" s="3">
        <f>IF(tblOrdenes[[#This Row],[centro_costo]]="","",_xlfn.XLOOKUP(tblOrdenes[[#This Row],[centro_costo]],tblCECO[codigo],tblCECO[coordinador],"(sin catálogo)"))</f>
        <v/>
      </c>
      <c r="X581" s="3">
        <f>IF(tblOrdenes[[#This Row],[puesto_trabajo]]="","",_xlfn.XLOOKUP(tblOrdenes[[#This Row],[puesto_trabajo]],tblPuestos[codigo],tblPuestos[especialidad],"(sin catálogo)"))</f>
        <v/>
      </c>
      <c r="Y581" s="3">
        <f>IF(tblOrdenes[[#This Row],[cod_actividad]]="","",_xlfn.XLOOKUP(tblOrdenes[[#This Row],[cod_actividad]],tblActividades[codigo],tblActividades[descripcion],"(sin catálogo)"))</f>
        <v/>
      </c>
      <c r="Z581" s="12">
        <f>IF(tblOrdenes[[#This Row],[fecha_inicio]]="","",TODAY()-tblOrdenes[[#This Row],[fecha_inicio]])</f>
        <v/>
      </c>
      <c r="AA581" s="3">
        <f>IF(tblOrdenes[[#This Row],[backlog_dias]]="","",IF(tblOrdenes[[#This Row],[backlog_dias]]&lt;0,"FUTURO",IF(tblOrdenes[[#This Row],[backlog_dias]]&gt;p_dias_backlog_max,"BACKLOG","MES CORRIENTE")))</f>
        <v/>
      </c>
      <c r="AB581" s="3">
        <f>IF(tblOrdenes[[#This Row],[backlog_dias]]="",FALSE,AND(tblOrdenes[[#This Row],[backlog_dias]]&gt;p_dias_backlog_min,tblOrdenes[[#This Row],[backlog_dias]]&lt;=p_dias_backlog_max))</f>
        <v/>
      </c>
      <c r="AC581" s="6" t="n"/>
      <c r="AD5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81" s="10">
        <f>IF(tblOrdenes[[#This Row],[orden]]="","",_xlfn.XLOOKUP(tblOrdenes[[#This Row],[id_operacion]],tblEjecucion[id_operacion],tblEjecucion[precio],0))</f>
        <v/>
      </c>
      <c r="AH581" s="10">
        <f>IF(tblOrdenes[[#This Row],[orden]]="","",MAX(0,_xlfn.XLOOKUP(tblOrdenes[[#This Row],[id_operacion]],tblEjecucion[id_operacion],tblEjecucion[costo_plan_total],0)-tblOrdenes[[#This Row],[costo_servicio]]))</f>
        <v/>
      </c>
      <c r="AI581" s="10">
        <f>IF(tblOrdenes[[#This Row],[orden]]="","",tblOrdenes[[#This Row],[costo_servicio]]+tblOrdenes[[#This Row],[costo_materiales]])</f>
        <v/>
      </c>
      <c r="AJ581" s="6" t="n"/>
      <c r="AK581" s="6" t="n"/>
      <c r="AL581" s="6" t="n"/>
      <c r="AM581" s="3">
        <f>IF(tblOrdenes[[#This Row],[link_checklist]]="","",HYPERLINK(p_ruta_base_checklists&amp;tblOrdenes[[#This Row],[link_checklist]],"abrir"))</f>
        <v/>
      </c>
      <c r="AN581" s="6" t="n"/>
      <c r="AO581" s="3">
        <f>IF(tblOrdenes[[#This Row],[orden]]="","",tblOrdenes[[#This Row],[orden]]&amp;IF(tblOrdenes[[#This Row],[operacion]]="","0010",tblOrdenes[[#This Row],[operacion]]))</f>
        <v/>
      </c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11" t="n"/>
      <c r="K582" s="3" t="n"/>
      <c r="L582" s="10" t="n"/>
      <c r="M582" s="6" t="n"/>
      <c r="N5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82" s="3">
        <f>IF(tblOrdenes[[#This Row],[fecha_inicio]]="","",YEAR(tblOrdenes[[#This Row],[fecha_inicio]]))</f>
        <v/>
      </c>
      <c r="R582" s="3">
        <f>IF(tblOrdenes[[#This Row],[fecha_inicio]]="","",MONTH(tblOrdenes[[#This Row],[fecha_inicio]]))</f>
        <v/>
      </c>
      <c r="S582" s="3">
        <f>IF(tblOrdenes[[#This Row],[fecha_inicio]]="","",INDEX(lista_dias,WEEKDAY(tblOrdenes[[#This Row],[fecha_inicio]],2)))</f>
        <v/>
      </c>
      <c r="T582" s="3">
        <f>IF(tblOrdenes[[#This Row],[tipo_ot]]="","",_xlfn.XLOOKUP(tblOrdenes[[#This Row],[tipo_ot]],tblTiposOT[codigo],tblTiposOT[clasificacion],"sin_clasificar"))</f>
        <v/>
      </c>
      <c r="U582" s="3">
        <f>IF(tblOrdenes[[#This Row],[centro_costo]]="","",_xlfn.XLOOKUP(tblOrdenes[[#This Row],[centro_costo]],tblCECO[codigo],tblCECO[linea],"(sin catálogo)"))</f>
        <v/>
      </c>
      <c r="V582" s="3">
        <f>IF(tblOrdenes[[#This Row],[centro_costo]]="","",_xlfn.XLOOKUP(tblOrdenes[[#This Row],[centro_costo]],tblCECO[codigo],tblCECO[area],"(sin catálogo)"))</f>
        <v/>
      </c>
      <c r="W582" s="3">
        <f>IF(tblOrdenes[[#This Row],[centro_costo]]="","",_xlfn.XLOOKUP(tblOrdenes[[#This Row],[centro_costo]],tblCECO[codigo],tblCECO[coordinador],"(sin catálogo)"))</f>
        <v/>
      </c>
      <c r="X582" s="3">
        <f>IF(tblOrdenes[[#This Row],[puesto_trabajo]]="","",_xlfn.XLOOKUP(tblOrdenes[[#This Row],[puesto_trabajo]],tblPuestos[codigo],tblPuestos[especialidad],"(sin catálogo)"))</f>
        <v/>
      </c>
      <c r="Y582" s="3">
        <f>IF(tblOrdenes[[#This Row],[cod_actividad]]="","",_xlfn.XLOOKUP(tblOrdenes[[#This Row],[cod_actividad]],tblActividades[codigo],tblActividades[descripcion],"(sin catálogo)"))</f>
        <v/>
      </c>
      <c r="Z582" s="12">
        <f>IF(tblOrdenes[[#This Row],[fecha_inicio]]="","",TODAY()-tblOrdenes[[#This Row],[fecha_inicio]])</f>
        <v/>
      </c>
      <c r="AA582" s="3">
        <f>IF(tblOrdenes[[#This Row],[backlog_dias]]="","",IF(tblOrdenes[[#This Row],[backlog_dias]]&lt;0,"FUTURO",IF(tblOrdenes[[#This Row],[backlog_dias]]&gt;p_dias_backlog_max,"BACKLOG","MES CORRIENTE")))</f>
        <v/>
      </c>
      <c r="AB582" s="3">
        <f>IF(tblOrdenes[[#This Row],[backlog_dias]]="",FALSE,AND(tblOrdenes[[#This Row],[backlog_dias]]&gt;p_dias_backlog_min,tblOrdenes[[#This Row],[backlog_dias]]&lt;=p_dias_backlog_max))</f>
        <v/>
      </c>
      <c r="AC582" s="6" t="n"/>
      <c r="AD5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82" s="10">
        <f>IF(tblOrdenes[[#This Row],[orden]]="","",_xlfn.XLOOKUP(tblOrdenes[[#This Row],[id_operacion]],tblEjecucion[id_operacion],tblEjecucion[precio],0))</f>
        <v/>
      </c>
      <c r="AH582" s="10">
        <f>IF(tblOrdenes[[#This Row],[orden]]="","",MAX(0,_xlfn.XLOOKUP(tblOrdenes[[#This Row],[id_operacion]],tblEjecucion[id_operacion],tblEjecucion[costo_plan_total],0)-tblOrdenes[[#This Row],[costo_servicio]]))</f>
        <v/>
      </c>
      <c r="AI582" s="10">
        <f>IF(tblOrdenes[[#This Row],[orden]]="","",tblOrdenes[[#This Row],[costo_servicio]]+tblOrdenes[[#This Row],[costo_materiales]])</f>
        <v/>
      </c>
      <c r="AJ582" s="6" t="n"/>
      <c r="AK582" s="6" t="n"/>
      <c r="AL582" s="6" t="n"/>
      <c r="AM582" s="3">
        <f>IF(tblOrdenes[[#This Row],[link_checklist]]="","",HYPERLINK(p_ruta_base_checklists&amp;tblOrdenes[[#This Row],[link_checklist]],"abrir"))</f>
        <v/>
      </c>
      <c r="AN582" s="6" t="n"/>
      <c r="AO582" s="3">
        <f>IF(tblOrdenes[[#This Row],[orden]]="","",tblOrdenes[[#This Row],[orden]]&amp;IF(tblOrdenes[[#This Row],[operacion]]="","0010",tblOrdenes[[#This Row],[operacion]]))</f>
        <v/>
      </c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11" t="n"/>
      <c r="K583" s="3" t="n"/>
      <c r="L583" s="10" t="n"/>
      <c r="M583" s="6" t="n"/>
      <c r="N5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83" s="3">
        <f>IF(tblOrdenes[[#This Row],[fecha_inicio]]="","",YEAR(tblOrdenes[[#This Row],[fecha_inicio]]))</f>
        <v/>
      </c>
      <c r="R583" s="3">
        <f>IF(tblOrdenes[[#This Row],[fecha_inicio]]="","",MONTH(tblOrdenes[[#This Row],[fecha_inicio]]))</f>
        <v/>
      </c>
      <c r="S583" s="3">
        <f>IF(tblOrdenes[[#This Row],[fecha_inicio]]="","",INDEX(lista_dias,WEEKDAY(tblOrdenes[[#This Row],[fecha_inicio]],2)))</f>
        <v/>
      </c>
      <c r="T583" s="3">
        <f>IF(tblOrdenes[[#This Row],[tipo_ot]]="","",_xlfn.XLOOKUP(tblOrdenes[[#This Row],[tipo_ot]],tblTiposOT[codigo],tblTiposOT[clasificacion],"sin_clasificar"))</f>
        <v/>
      </c>
      <c r="U583" s="3">
        <f>IF(tblOrdenes[[#This Row],[centro_costo]]="","",_xlfn.XLOOKUP(tblOrdenes[[#This Row],[centro_costo]],tblCECO[codigo],tblCECO[linea],"(sin catálogo)"))</f>
        <v/>
      </c>
      <c r="V583" s="3">
        <f>IF(tblOrdenes[[#This Row],[centro_costo]]="","",_xlfn.XLOOKUP(tblOrdenes[[#This Row],[centro_costo]],tblCECO[codigo],tblCECO[area],"(sin catálogo)"))</f>
        <v/>
      </c>
      <c r="W583" s="3">
        <f>IF(tblOrdenes[[#This Row],[centro_costo]]="","",_xlfn.XLOOKUP(tblOrdenes[[#This Row],[centro_costo]],tblCECO[codigo],tblCECO[coordinador],"(sin catálogo)"))</f>
        <v/>
      </c>
      <c r="X583" s="3">
        <f>IF(tblOrdenes[[#This Row],[puesto_trabajo]]="","",_xlfn.XLOOKUP(tblOrdenes[[#This Row],[puesto_trabajo]],tblPuestos[codigo],tblPuestos[especialidad],"(sin catálogo)"))</f>
        <v/>
      </c>
      <c r="Y583" s="3">
        <f>IF(tblOrdenes[[#This Row],[cod_actividad]]="","",_xlfn.XLOOKUP(tblOrdenes[[#This Row],[cod_actividad]],tblActividades[codigo],tblActividades[descripcion],"(sin catálogo)"))</f>
        <v/>
      </c>
      <c r="Z583" s="12">
        <f>IF(tblOrdenes[[#This Row],[fecha_inicio]]="","",TODAY()-tblOrdenes[[#This Row],[fecha_inicio]])</f>
        <v/>
      </c>
      <c r="AA583" s="3">
        <f>IF(tblOrdenes[[#This Row],[backlog_dias]]="","",IF(tblOrdenes[[#This Row],[backlog_dias]]&lt;0,"FUTURO",IF(tblOrdenes[[#This Row],[backlog_dias]]&gt;p_dias_backlog_max,"BACKLOG","MES CORRIENTE")))</f>
        <v/>
      </c>
      <c r="AB583" s="3">
        <f>IF(tblOrdenes[[#This Row],[backlog_dias]]="",FALSE,AND(tblOrdenes[[#This Row],[backlog_dias]]&gt;p_dias_backlog_min,tblOrdenes[[#This Row],[backlog_dias]]&lt;=p_dias_backlog_max))</f>
        <v/>
      </c>
      <c r="AC583" s="6" t="n"/>
      <c r="AD5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83" s="10">
        <f>IF(tblOrdenes[[#This Row],[orden]]="","",_xlfn.XLOOKUP(tblOrdenes[[#This Row],[id_operacion]],tblEjecucion[id_operacion],tblEjecucion[precio],0))</f>
        <v/>
      </c>
      <c r="AH583" s="10">
        <f>IF(tblOrdenes[[#This Row],[orden]]="","",MAX(0,_xlfn.XLOOKUP(tblOrdenes[[#This Row],[id_operacion]],tblEjecucion[id_operacion],tblEjecucion[costo_plan_total],0)-tblOrdenes[[#This Row],[costo_servicio]]))</f>
        <v/>
      </c>
      <c r="AI583" s="10">
        <f>IF(tblOrdenes[[#This Row],[orden]]="","",tblOrdenes[[#This Row],[costo_servicio]]+tblOrdenes[[#This Row],[costo_materiales]])</f>
        <v/>
      </c>
      <c r="AJ583" s="6" t="n"/>
      <c r="AK583" s="6" t="n"/>
      <c r="AL583" s="6" t="n"/>
      <c r="AM583" s="3">
        <f>IF(tblOrdenes[[#This Row],[link_checklist]]="","",HYPERLINK(p_ruta_base_checklists&amp;tblOrdenes[[#This Row],[link_checklist]],"abrir"))</f>
        <v/>
      </c>
      <c r="AN583" s="6" t="n"/>
      <c r="AO583" s="3">
        <f>IF(tblOrdenes[[#This Row],[orden]]="","",tblOrdenes[[#This Row],[orden]]&amp;IF(tblOrdenes[[#This Row],[operacion]]="","0010",tblOrdenes[[#This Row],[operacion]]))</f>
        <v/>
      </c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11" t="n"/>
      <c r="K584" s="3" t="n"/>
      <c r="L584" s="10" t="n"/>
      <c r="M584" s="6" t="n"/>
      <c r="N5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84" s="3">
        <f>IF(tblOrdenes[[#This Row],[fecha_inicio]]="","",YEAR(tblOrdenes[[#This Row],[fecha_inicio]]))</f>
        <v/>
      </c>
      <c r="R584" s="3">
        <f>IF(tblOrdenes[[#This Row],[fecha_inicio]]="","",MONTH(tblOrdenes[[#This Row],[fecha_inicio]]))</f>
        <v/>
      </c>
      <c r="S584" s="3">
        <f>IF(tblOrdenes[[#This Row],[fecha_inicio]]="","",INDEX(lista_dias,WEEKDAY(tblOrdenes[[#This Row],[fecha_inicio]],2)))</f>
        <v/>
      </c>
      <c r="T584" s="3">
        <f>IF(tblOrdenes[[#This Row],[tipo_ot]]="","",_xlfn.XLOOKUP(tblOrdenes[[#This Row],[tipo_ot]],tblTiposOT[codigo],tblTiposOT[clasificacion],"sin_clasificar"))</f>
        <v/>
      </c>
      <c r="U584" s="3">
        <f>IF(tblOrdenes[[#This Row],[centro_costo]]="","",_xlfn.XLOOKUP(tblOrdenes[[#This Row],[centro_costo]],tblCECO[codigo],tblCECO[linea],"(sin catálogo)"))</f>
        <v/>
      </c>
      <c r="V584" s="3">
        <f>IF(tblOrdenes[[#This Row],[centro_costo]]="","",_xlfn.XLOOKUP(tblOrdenes[[#This Row],[centro_costo]],tblCECO[codigo],tblCECO[area],"(sin catálogo)"))</f>
        <v/>
      </c>
      <c r="W584" s="3">
        <f>IF(tblOrdenes[[#This Row],[centro_costo]]="","",_xlfn.XLOOKUP(tblOrdenes[[#This Row],[centro_costo]],tblCECO[codigo],tblCECO[coordinador],"(sin catálogo)"))</f>
        <v/>
      </c>
      <c r="X584" s="3">
        <f>IF(tblOrdenes[[#This Row],[puesto_trabajo]]="","",_xlfn.XLOOKUP(tblOrdenes[[#This Row],[puesto_trabajo]],tblPuestos[codigo],tblPuestos[especialidad],"(sin catálogo)"))</f>
        <v/>
      </c>
      <c r="Y584" s="3">
        <f>IF(tblOrdenes[[#This Row],[cod_actividad]]="","",_xlfn.XLOOKUP(tblOrdenes[[#This Row],[cod_actividad]],tblActividades[codigo],tblActividades[descripcion],"(sin catálogo)"))</f>
        <v/>
      </c>
      <c r="Z584" s="12">
        <f>IF(tblOrdenes[[#This Row],[fecha_inicio]]="","",TODAY()-tblOrdenes[[#This Row],[fecha_inicio]])</f>
        <v/>
      </c>
      <c r="AA584" s="3">
        <f>IF(tblOrdenes[[#This Row],[backlog_dias]]="","",IF(tblOrdenes[[#This Row],[backlog_dias]]&lt;0,"FUTURO",IF(tblOrdenes[[#This Row],[backlog_dias]]&gt;p_dias_backlog_max,"BACKLOG","MES CORRIENTE")))</f>
        <v/>
      </c>
      <c r="AB584" s="3">
        <f>IF(tblOrdenes[[#This Row],[backlog_dias]]="",FALSE,AND(tblOrdenes[[#This Row],[backlog_dias]]&gt;p_dias_backlog_min,tblOrdenes[[#This Row],[backlog_dias]]&lt;=p_dias_backlog_max))</f>
        <v/>
      </c>
      <c r="AC584" s="6" t="n"/>
      <c r="AD5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84" s="10">
        <f>IF(tblOrdenes[[#This Row],[orden]]="","",_xlfn.XLOOKUP(tblOrdenes[[#This Row],[id_operacion]],tblEjecucion[id_operacion],tblEjecucion[precio],0))</f>
        <v/>
      </c>
      <c r="AH584" s="10">
        <f>IF(tblOrdenes[[#This Row],[orden]]="","",MAX(0,_xlfn.XLOOKUP(tblOrdenes[[#This Row],[id_operacion]],tblEjecucion[id_operacion],tblEjecucion[costo_plan_total],0)-tblOrdenes[[#This Row],[costo_servicio]]))</f>
        <v/>
      </c>
      <c r="AI584" s="10">
        <f>IF(tblOrdenes[[#This Row],[orden]]="","",tblOrdenes[[#This Row],[costo_servicio]]+tblOrdenes[[#This Row],[costo_materiales]])</f>
        <v/>
      </c>
      <c r="AJ584" s="6" t="n"/>
      <c r="AK584" s="6" t="n"/>
      <c r="AL584" s="6" t="n"/>
      <c r="AM584" s="3">
        <f>IF(tblOrdenes[[#This Row],[link_checklist]]="","",HYPERLINK(p_ruta_base_checklists&amp;tblOrdenes[[#This Row],[link_checklist]],"abrir"))</f>
        <v/>
      </c>
      <c r="AN584" s="6" t="n"/>
      <c r="AO584" s="3">
        <f>IF(tblOrdenes[[#This Row],[orden]]="","",tblOrdenes[[#This Row],[orden]]&amp;IF(tblOrdenes[[#This Row],[operacion]]="","0010",tblOrdenes[[#This Row],[operacion]]))</f>
        <v/>
      </c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11" t="n"/>
      <c r="K585" s="3" t="n"/>
      <c r="L585" s="10" t="n"/>
      <c r="M585" s="6" t="n"/>
      <c r="N5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85" s="3">
        <f>IF(tblOrdenes[[#This Row],[fecha_inicio]]="","",YEAR(tblOrdenes[[#This Row],[fecha_inicio]]))</f>
        <v/>
      </c>
      <c r="R585" s="3">
        <f>IF(tblOrdenes[[#This Row],[fecha_inicio]]="","",MONTH(tblOrdenes[[#This Row],[fecha_inicio]]))</f>
        <v/>
      </c>
      <c r="S585" s="3">
        <f>IF(tblOrdenes[[#This Row],[fecha_inicio]]="","",INDEX(lista_dias,WEEKDAY(tblOrdenes[[#This Row],[fecha_inicio]],2)))</f>
        <v/>
      </c>
      <c r="T585" s="3">
        <f>IF(tblOrdenes[[#This Row],[tipo_ot]]="","",_xlfn.XLOOKUP(tblOrdenes[[#This Row],[tipo_ot]],tblTiposOT[codigo],tblTiposOT[clasificacion],"sin_clasificar"))</f>
        <v/>
      </c>
      <c r="U585" s="3">
        <f>IF(tblOrdenes[[#This Row],[centro_costo]]="","",_xlfn.XLOOKUP(tblOrdenes[[#This Row],[centro_costo]],tblCECO[codigo],tblCECO[linea],"(sin catálogo)"))</f>
        <v/>
      </c>
      <c r="V585" s="3">
        <f>IF(tblOrdenes[[#This Row],[centro_costo]]="","",_xlfn.XLOOKUP(tblOrdenes[[#This Row],[centro_costo]],tblCECO[codigo],tblCECO[area],"(sin catálogo)"))</f>
        <v/>
      </c>
      <c r="W585" s="3">
        <f>IF(tblOrdenes[[#This Row],[centro_costo]]="","",_xlfn.XLOOKUP(tblOrdenes[[#This Row],[centro_costo]],tblCECO[codigo],tblCECO[coordinador],"(sin catálogo)"))</f>
        <v/>
      </c>
      <c r="X585" s="3">
        <f>IF(tblOrdenes[[#This Row],[puesto_trabajo]]="","",_xlfn.XLOOKUP(tblOrdenes[[#This Row],[puesto_trabajo]],tblPuestos[codigo],tblPuestos[especialidad],"(sin catálogo)"))</f>
        <v/>
      </c>
      <c r="Y585" s="3">
        <f>IF(tblOrdenes[[#This Row],[cod_actividad]]="","",_xlfn.XLOOKUP(tblOrdenes[[#This Row],[cod_actividad]],tblActividades[codigo],tblActividades[descripcion],"(sin catálogo)"))</f>
        <v/>
      </c>
      <c r="Z585" s="12">
        <f>IF(tblOrdenes[[#This Row],[fecha_inicio]]="","",TODAY()-tblOrdenes[[#This Row],[fecha_inicio]])</f>
        <v/>
      </c>
      <c r="AA585" s="3">
        <f>IF(tblOrdenes[[#This Row],[backlog_dias]]="","",IF(tblOrdenes[[#This Row],[backlog_dias]]&lt;0,"FUTURO",IF(tblOrdenes[[#This Row],[backlog_dias]]&gt;p_dias_backlog_max,"BACKLOG","MES CORRIENTE")))</f>
        <v/>
      </c>
      <c r="AB585" s="3">
        <f>IF(tblOrdenes[[#This Row],[backlog_dias]]="",FALSE,AND(tblOrdenes[[#This Row],[backlog_dias]]&gt;p_dias_backlog_min,tblOrdenes[[#This Row],[backlog_dias]]&lt;=p_dias_backlog_max))</f>
        <v/>
      </c>
      <c r="AC585" s="6" t="n"/>
      <c r="AD5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85" s="10">
        <f>IF(tblOrdenes[[#This Row],[orden]]="","",_xlfn.XLOOKUP(tblOrdenes[[#This Row],[id_operacion]],tblEjecucion[id_operacion],tblEjecucion[precio],0))</f>
        <v/>
      </c>
      <c r="AH585" s="10">
        <f>IF(tblOrdenes[[#This Row],[orden]]="","",MAX(0,_xlfn.XLOOKUP(tblOrdenes[[#This Row],[id_operacion]],tblEjecucion[id_operacion],tblEjecucion[costo_plan_total],0)-tblOrdenes[[#This Row],[costo_servicio]]))</f>
        <v/>
      </c>
      <c r="AI585" s="10">
        <f>IF(tblOrdenes[[#This Row],[orden]]="","",tblOrdenes[[#This Row],[costo_servicio]]+tblOrdenes[[#This Row],[costo_materiales]])</f>
        <v/>
      </c>
      <c r="AJ585" s="6" t="n"/>
      <c r="AK585" s="6" t="n"/>
      <c r="AL585" s="6" t="n"/>
      <c r="AM585" s="3">
        <f>IF(tblOrdenes[[#This Row],[link_checklist]]="","",HYPERLINK(p_ruta_base_checklists&amp;tblOrdenes[[#This Row],[link_checklist]],"abrir"))</f>
        <v/>
      </c>
      <c r="AN585" s="6" t="n"/>
      <c r="AO585" s="3">
        <f>IF(tblOrdenes[[#This Row],[orden]]="","",tblOrdenes[[#This Row],[orden]]&amp;IF(tblOrdenes[[#This Row],[operacion]]="","0010",tblOrdenes[[#This Row],[operacion]]))</f>
        <v/>
      </c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11" t="n"/>
      <c r="K586" s="3" t="n"/>
      <c r="L586" s="10" t="n"/>
      <c r="M586" s="6" t="n"/>
      <c r="N5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86" s="3">
        <f>IF(tblOrdenes[[#This Row],[fecha_inicio]]="","",YEAR(tblOrdenes[[#This Row],[fecha_inicio]]))</f>
        <v/>
      </c>
      <c r="R586" s="3">
        <f>IF(tblOrdenes[[#This Row],[fecha_inicio]]="","",MONTH(tblOrdenes[[#This Row],[fecha_inicio]]))</f>
        <v/>
      </c>
      <c r="S586" s="3">
        <f>IF(tblOrdenes[[#This Row],[fecha_inicio]]="","",INDEX(lista_dias,WEEKDAY(tblOrdenes[[#This Row],[fecha_inicio]],2)))</f>
        <v/>
      </c>
      <c r="T586" s="3">
        <f>IF(tblOrdenes[[#This Row],[tipo_ot]]="","",_xlfn.XLOOKUP(tblOrdenes[[#This Row],[tipo_ot]],tblTiposOT[codigo],tblTiposOT[clasificacion],"sin_clasificar"))</f>
        <v/>
      </c>
      <c r="U586" s="3">
        <f>IF(tblOrdenes[[#This Row],[centro_costo]]="","",_xlfn.XLOOKUP(tblOrdenes[[#This Row],[centro_costo]],tblCECO[codigo],tblCECO[linea],"(sin catálogo)"))</f>
        <v/>
      </c>
      <c r="V586" s="3">
        <f>IF(tblOrdenes[[#This Row],[centro_costo]]="","",_xlfn.XLOOKUP(tblOrdenes[[#This Row],[centro_costo]],tblCECO[codigo],tblCECO[area],"(sin catálogo)"))</f>
        <v/>
      </c>
      <c r="W586" s="3">
        <f>IF(tblOrdenes[[#This Row],[centro_costo]]="","",_xlfn.XLOOKUP(tblOrdenes[[#This Row],[centro_costo]],tblCECO[codigo],tblCECO[coordinador],"(sin catálogo)"))</f>
        <v/>
      </c>
      <c r="X586" s="3">
        <f>IF(tblOrdenes[[#This Row],[puesto_trabajo]]="","",_xlfn.XLOOKUP(tblOrdenes[[#This Row],[puesto_trabajo]],tblPuestos[codigo],tblPuestos[especialidad],"(sin catálogo)"))</f>
        <v/>
      </c>
      <c r="Y586" s="3">
        <f>IF(tblOrdenes[[#This Row],[cod_actividad]]="","",_xlfn.XLOOKUP(tblOrdenes[[#This Row],[cod_actividad]],tblActividades[codigo],tblActividades[descripcion],"(sin catálogo)"))</f>
        <v/>
      </c>
      <c r="Z586" s="12">
        <f>IF(tblOrdenes[[#This Row],[fecha_inicio]]="","",TODAY()-tblOrdenes[[#This Row],[fecha_inicio]])</f>
        <v/>
      </c>
      <c r="AA586" s="3">
        <f>IF(tblOrdenes[[#This Row],[backlog_dias]]="","",IF(tblOrdenes[[#This Row],[backlog_dias]]&lt;0,"FUTURO",IF(tblOrdenes[[#This Row],[backlog_dias]]&gt;p_dias_backlog_max,"BACKLOG","MES CORRIENTE")))</f>
        <v/>
      </c>
      <c r="AB586" s="3">
        <f>IF(tblOrdenes[[#This Row],[backlog_dias]]="",FALSE,AND(tblOrdenes[[#This Row],[backlog_dias]]&gt;p_dias_backlog_min,tblOrdenes[[#This Row],[backlog_dias]]&lt;=p_dias_backlog_max))</f>
        <v/>
      </c>
      <c r="AC586" s="6" t="n"/>
      <c r="AD5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86" s="10">
        <f>IF(tblOrdenes[[#This Row],[orden]]="","",_xlfn.XLOOKUP(tblOrdenes[[#This Row],[id_operacion]],tblEjecucion[id_operacion],tblEjecucion[precio],0))</f>
        <v/>
      </c>
      <c r="AH586" s="10">
        <f>IF(tblOrdenes[[#This Row],[orden]]="","",MAX(0,_xlfn.XLOOKUP(tblOrdenes[[#This Row],[id_operacion]],tblEjecucion[id_operacion],tblEjecucion[costo_plan_total],0)-tblOrdenes[[#This Row],[costo_servicio]]))</f>
        <v/>
      </c>
      <c r="AI586" s="10">
        <f>IF(tblOrdenes[[#This Row],[orden]]="","",tblOrdenes[[#This Row],[costo_servicio]]+tblOrdenes[[#This Row],[costo_materiales]])</f>
        <v/>
      </c>
      <c r="AJ586" s="6" t="n"/>
      <c r="AK586" s="6" t="n"/>
      <c r="AL586" s="6" t="n"/>
      <c r="AM586" s="3">
        <f>IF(tblOrdenes[[#This Row],[link_checklist]]="","",HYPERLINK(p_ruta_base_checklists&amp;tblOrdenes[[#This Row],[link_checklist]],"abrir"))</f>
        <v/>
      </c>
      <c r="AN586" s="6" t="n"/>
      <c r="AO586" s="3">
        <f>IF(tblOrdenes[[#This Row],[orden]]="","",tblOrdenes[[#This Row],[orden]]&amp;IF(tblOrdenes[[#This Row],[operacion]]="","0010",tblOrdenes[[#This Row],[operacion]]))</f>
        <v/>
      </c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11" t="n"/>
      <c r="K587" s="3" t="n"/>
      <c r="L587" s="10" t="n"/>
      <c r="M587" s="6" t="n"/>
      <c r="N5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87" s="3">
        <f>IF(tblOrdenes[[#This Row],[fecha_inicio]]="","",YEAR(tblOrdenes[[#This Row],[fecha_inicio]]))</f>
        <v/>
      </c>
      <c r="R587" s="3">
        <f>IF(tblOrdenes[[#This Row],[fecha_inicio]]="","",MONTH(tblOrdenes[[#This Row],[fecha_inicio]]))</f>
        <v/>
      </c>
      <c r="S587" s="3">
        <f>IF(tblOrdenes[[#This Row],[fecha_inicio]]="","",INDEX(lista_dias,WEEKDAY(tblOrdenes[[#This Row],[fecha_inicio]],2)))</f>
        <v/>
      </c>
      <c r="T587" s="3">
        <f>IF(tblOrdenes[[#This Row],[tipo_ot]]="","",_xlfn.XLOOKUP(tblOrdenes[[#This Row],[tipo_ot]],tblTiposOT[codigo],tblTiposOT[clasificacion],"sin_clasificar"))</f>
        <v/>
      </c>
      <c r="U587" s="3">
        <f>IF(tblOrdenes[[#This Row],[centro_costo]]="","",_xlfn.XLOOKUP(tblOrdenes[[#This Row],[centro_costo]],tblCECO[codigo],tblCECO[linea],"(sin catálogo)"))</f>
        <v/>
      </c>
      <c r="V587" s="3">
        <f>IF(tblOrdenes[[#This Row],[centro_costo]]="","",_xlfn.XLOOKUP(tblOrdenes[[#This Row],[centro_costo]],tblCECO[codigo],tblCECO[area],"(sin catálogo)"))</f>
        <v/>
      </c>
      <c r="W587" s="3">
        <f>IF(tblOrdenes[[#This Row],[centro_costo]]="","",_xlfn.XLOOKUP(tblOrdenes[[#This Row],[centro_costo]],tblCECO[codigo],tblCECO[coordinador],"(sin catálogo)"))</f>
        <v/>
      </c>
      <c r="X587" s="3">
        <f>IF(tblOrdenes[[#This Row],[puesto_trabajo]]="","",_xlfn.XLOOKUP(tblOrdenes[[#This Row],[puesto_trabajo]],tblPuestos[codigo],tblPuestos[especialidad],"(sin catálogo)"))</f>
        <v/>
      </c>
      <c r="Y587" s="3">
        <f>IF(tblOrdenes[[#This Row],[cod_actividad]]="","",_xlfn.XLOOKUP(tblOrdenes[[#This Row],[cod_actividad]],tblActividades[codigo],tblActividades[descripcion],"(sin catálogo)"))</f>
        <v/>
      </c>
      <c r="Z587" s="12">
        <f>IF(tblOrdenes[[#This Row],[fecha_inicio]]="","",TODAY()-tblOrdenes[[#This Row],[fecha_inicio]])</f>
        <v/>
      </c>
      <c r="AA587" s="3">
        <f>IF(tblOrdenes[[#This Row],[backlog_dias]]="","",IF(tblOrdenes[[#This Row],[backlog_dias]]&lt;0,"FUTURO",IF(tblOrdenes[[#This Row],[backlog_dias]]&gt;p_dias_backlog_max,"BACKLOG","MES CORRIENTE")))</f>
        <v/>
      </c>
      <c r="AB587" s="3">
        <f>IF(tblOrdenes[[#This Row],[backlog_dias]]="",FALSE,AND(tblOrdenes[[#This Row],[backlog_dias]]&gt;p_dias_backlog_min,tblOrdenes[[#This Row],[backlog_dias]]&lt;=p_dias_backlog_max))</f>
        <v/>
      </c>
      <c r="AC587" s="6" t="n"/>
      <c r="AD5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87" s="10">
        <f>IF(tblOrdenes[[#This Row],[orden]]="","",_xlfn.XLOOKUP(tblOrdenes[[#This Row],[id_operacion]],tblEjecucion[id_operacion],tblEjecucion[precio],0))</f>
        <v/>
      </c>
      <c r="AH587" s="10">
        <f>IF(tblOrdenes[[#This Row],[orden]]="","",MAX(0,_xlfn.XLOOKUP(tblOrdenes[[#This Row],[id_operacion]],tblEjecucion[id_operacion],tblEjecucion[costo_plan_total],0)-tblOrdenes[[#This Row],[costo_servicio]]))</f>
        <v/>
      </c>
      <c r="AI587" s="10">
        <f>IF(tblOrdenes[[#This Row],[orden]]="","",tblOrdenes[[#This Row],[costo_servicio]]+tblOrdenes[[#This Row],[costo_materiales]])</f>
        <v/>
      </c>
      <c r="AJ587" s="6" t="n"/>
      <c r="AK587" s="6" t="n"/>
      <c r="AL587" s="6" t="n"/>
      <c r="AM587" s="3">
        <f>IF(tblOrdenes[[#This Row],[link_checklist]]="","",HYPERLINK(p_ruta_base_checklists&amp;tblOrdenes[[#This Row],[link_checklist]],"abrir"))</f>
        <v/>
      </c>
      <c r="AN587" s="6" t="n"/>
      <c r="AO587" s="3">
        <f>IF(tblOrdenes[[#This Row],[orden]]="","",tblOrdenes[[#This Row],[orden]]&amp;IF(tblOrdenes[[#This Row],[operacion]]="","0010",tblOrdenes[[#This Row],[operacion]]))</f>
        <v/>
      </c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11" t="n"/>
      <c r="K588" s="3" t="n"/>
      <c r="L588" s="10" t="n"/>
      <c r="M588" s="6" t="n"/>
      <c r="N5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88" s="3">
        <f>IF(tblOrdenes[[#This Row],[fecha_inicio]]="","",YEAR(tblOrdenes[[#This Row],[fecha_inicio]]))</f>
        <v/>
      </c>
      <c r="R588" s="3">
        <f>IF(tblOrdenes[[#This Row],[fecha_inicio]]="","",MONTH(tblOrdenes[[#This Row],[fecha_inicio]]))</f>
        <v/>
      </c>
      <c r="S588" s="3">
        <f>IF(tblOrdenes[[#This Row],[fecha_inicio]]="","",INDEX(lista_dias,WEEKDAY(tblOrdenes[[#This Row],[fecha_inicio]],2)))</f>
        <v/>
      </c>
      <c r="T588" s="3">
        <f>IF(tblOrdenes[[#This Row],[tipo_ot]]="","",_xlfn.XLOOKUP(tblOrdenes[[#This Row],[tipo_ot]],tblTiposOT[codigo],tblTiposOT[clasificacion],"sin_clasificar"))</f>
        <v/>
      </c>
      <c r="U588" s="3">
        <f>IF(tblOrdenes[[#This Row],[centro_costo]]="","",_xlfn.XLOOKUP(tblOrdenes[[#This Row],[centro_costo]],tblCECO[codigo],tblCECO[linea],"(sin catálogo)"))</f>
        <v/>
      </c>
      <c r="V588" s="3">
        <f>IF(tblOrdenes[[#This Row],[centro_costo]]="","",_xlfn.XLOOKUP(tblOrdenes[[#This Row],[centro_costo]],tblCECO[codigo],tblCECO[area],"(sin catálogo)"))</f>
        <v/>
      </c>
      <c r="W588" s="3">
        <f>IF(tblOrdenes[[#This Row],[centro_costo]]="","",_xlfn.XLOOKUP(tblOrdenes[[#This Row],[centro_costo]],tblCECO[codigo],tblCECO[coordinador],"(sin catálogo)"))</f>
        <v/>
      </c>
      <c r="X588" s="3">
        <f>IF(tblOrdenes[[#This Row],[puesto_trabajo]]="","",_xlfn.XLOOKUP(tblOrdenes[[#This Row],[puesto_trabajo]],tblPuestos[codigo],tblPuestos[especialidad],"(sin catálogo)"))</f>
        <v/>
      </c>
      <c r="Y588" s="3">
        <f>IF(tblOrdenes[[#This Row],[cod_actividad]]="","",_xlfn.XLOOKUP(tblOrdenes[[#This Row],[cod_actividad]],tblActividades[codigo],tblActividades[descripcion],"(sin catálogo)"))</f>
        <v/>
      </c>
      <c r="Z588" s="12">
        <f>IF(tblOrdenes[[#This Row],[fecha_inicio]]="","",TODAY()-tblOrdenes[[#This Row],[fecha_inicio]])</f>
        <v/>
      </c>
      <c r="AA588" s="3">
        <f>IF(tblOrdenes[[#This Row],[backlog_dias]]="","",IF(tblOrdenes[[#This Row],[backlog_dias]]&lt;0,"FUTURO",IF(tblOrdenes[[#This Row],[backlog_dias]]&gt;p_dias_backlog_max,"BACKLOG","MES CORRIENTE")))</f>
        <v/>
      </c>
      <c r="AB588" s="3">
        <f>IF(tblOrdenes[[#This Row],[backlog_dias]]="",FALSE,AND(tblOrdenes[[#This Row],[backlog_dias]]&gt;p_dias_backlog_min,tblOrdenes[[#This Row],[backlog_dias]]&lt;=p_dias_backlog_max))</f>
        <v/>
      </c>
      <c r="AC588" s="6" t="n"/>
      <c r="AD5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88" s="10">
        <f>IF(tblOrdenes[[#This Row],[orden]]="","",_xlfn.XLOOKUP(tblOrdenes[[#This Row],[id_operacion]],tblEjecucion[id_operacion],tblEjecucion[precio],0))</f>
        <v/>
      </c>
      <c r="AH588" s="10">
        <f>IF(tblOrdenes[[#This Row],[orden]]="","",MAX(0,_xlfn.XLOOKUP(tblOrdenes[[#This Row],[id_operacion]],tblEjecucion[id_operacion],tblEjecucion[costo_plan_total],0)-tblOrdenes[[#This Row],[costo_servicio]]))</f>
        <v/>
      </c>
      <c r="AI588" s="10">
        <f>IF(tblOrdenes[[#This Row],[orden]]="","",tblOrdenes[[#This Row],[costo_servicio]]+tblOrdenes[[#This Row],[costo_materiales]])</f>
        <v/>
      </c>
      <c r="AJ588" s="6" t="n"/>
      <c r="AK588" s="6" t="n"/>
      <c r="AL588" s="6" t="n"/>
      <c r="AM588" s="3">
        <f>IF(tblOrdenes[[#This Row],[link_checklist]]="","",HYPERLINK(p_ruta_base_checklists&amp;tblOrdenes[[#This Row],[link_checklist]],"abrir"))</f>
        <v/>
      </c>
      <c r="AN588" s="6" t="n"/>
      <c r="AO588" s="3">
        <f>IF(tblOrdenes[[#This Row],[orden]]="","",tblOrdenes[[#This Row],[orden]]&amp;IF(tblOrdenes[[#This Row],[operacion]]="","0010",tblOrdenes[[#This Row],[operacion]]))</f>
        <v/>
      </c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11" t="n"/>
      <c r="K589" s="3" t="n"/>
      <c r="L589" s="10" t="n"/>
      <c r="M589" s="6" t="n"/>
      <c r="N5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89" s="3">
        <f>IF(tblOrdenes[[#This Row],[fecha_inicio]]="","",YEAR(tblOrdenes[[#This Row],[fecha_inicio]]))</f>
        <v/>
      </c>
      <c r="R589" s="3">
        <f>IF(tblOrdenes[[#This Row],[fecha_inicio]]="","",MONTH(tblOrdenes[[#This Row],[fecha_inicio]]))</f>
        <v/>
      </c>
      <c r="S589" s="3">
        <f>IF(tblOrdenes[[#This Row],[fecha_inicio]]="","",INDEX(lista_dias,WEEKDAY(tblOrdenes[[#This Row],[fecha_inicio]],2)))</f>
        <v/>
      </c>
      <c r="T589" s="3">
        <f>IF(tblOrdenes[[#This Row],[tipo_ot]]="","",_xlfn.XLOOKUP(tblOrdenes[[#This Row],[tipo_ot]],tblTiposOT[codigo],tblTiposOT[clasificacion],"sin_clasificar"))</f>
        <v/>
      </c>
      <c r="U589" s="3">
        <f>IF(tblOrdenes[[#This Row],[centro_costo]]="","",_xlfn.XLOOKUP(tblOrdenes[[#This Row],[centro_costo]],tblCECO[codigo],tblCECO[linea],"(sin catálogo)"))</f>
        <v/>
      </c>
      <c r="V589" s="3">
        <f>IF(tblOrdenes[[#This Row],[centro_costo]]="","",_xlfn.XLOOKUP(tblOrdenes[[#This Row],[centro_costo]],tblCECO[codigo],tblCECO[area],"(sin catálogo)"))</f>
        <v/>
      </c>
      <c r="W589" s="3">
        <f>IF(tblOrdenes[[#This Row],[centro_costo]]="","",_xlfn.XLOOKUP(tblOrdenes[[#This Row],[centro_costo]],tblCECO[codigo],tblCECO[coordinador],"(sin catálogo)"))</f>
        <v/>
      </c>
      <c r="X589" s="3">
        <f>IF(tblOrdenes[[#This Row],[puesto_trabajo]]="","",_xlfn.XLOOKUP(tblOrdenes[[#This Row],[puesto_trabajo]],tblPuestos[codigo],tblPuestos[especialidad],"(sin catálogo)"))</f>
        <v/>
      </c>
      <c r="Y589" s="3">
        <f>IF(tblOrdenes[[#This Row],[cod_actividad]]="","",_xlfn.XLOOKUP(tblOrdenes[[#This Row],[cod_actividad]],tblActividades[codigo],tblActividades[descripcion],"(sin catálogo)"))</f>
        <v/>
      </c>
      <c r="Z589" s="12">
        <f>IF(tblOrdenes[[#This Row],[fecha_inicio]]="","",TODAY()-tblOrdenes[[#This Row],[fecha_inicio]])</f>
        <v/>
      </c>
      <c r="AA589" s="3">
        <f>IF(tblOrdenes[[#This Row],[backlog_dias]]="","",IF(tblOrdenes[[#This Row],[backlog_dias]]&lt;0,"FUTURO",IF(tblOrdenes[[#This Row],[backlog_dias]]&gt;p_dias_backlog_max,"BACKLOG","MES CORRIENTE")))</f>
        <v/>
      </c>
      <c r="AB589" s="3">
        <f>IF(tblOrdenes[[#This Row],[backlog_dias]]="",FALSE,AND(tblOrdenes[[#This Row],[backlog_dias]]&gt;p_dias_backlog_min,tblOrdenes[[#This Row],[backlog_dias]]&lt;=p_dias_backlog_max))</f>
        <v/>
      </c>
      <c r="AC589" s="6" t="n"/>
      <c r="AD5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89" s="10">
        <f>IF(tblOrdenes[[#This Row],[orden]]="","",_xlfn.XLOOKUP(tblOrdenes[[#This Row],[id_operacion]],tblEjecucion[id_operacion],tblEjecucion[precio],0))</f>
        <v/>
      </c>
      <c r="AH589" s="10">
        <f>IF(tblOrdenes[[#This Row],[orden]]="","",MAX(0,_xlfn.XLOOKUP(tblOrdenes[[#This Row],[id_operacion]],tblEjecucion[id_operacion],tblEjecucion[costo_plan_total],0)-tblOrdenes[[#This Row],[costo_servicio]]))</f>
        <v/>
      </c>
      <c r="AI589" s="10">
        <f>IF(tblOrdenes[[#This Row],[orden]]="","",tblOrdenes[[#This Row],[costo_servicio]]+tblOrdenes[[#This Row],[costo_materiales]])</f>
        <v/>
      </c>
      <c r="AJ589" s="6" t="n"/>
      <c r="AK589" s="6" t="n"/>
      <c r="AL589" s="6" t="n"/>
      <c r="AM589" s="3">
        <f>IF(tblOrdenes[[#This Row],[link_checklist]]="","",HYPERLINK(p_ruta_base_checklists&amp;tblOrdenes[[#This Row],[link_checklist]],"abrir"))</f>
        <v/>
      </c>
      <c r="AN589" s="6" t="n"/>
      <c r="AO589" s="3">
        <f>IF(tblOrdenes[[#This Row],[orden]]="","",tblOrdenes[[#This Row],[orden]]&amp;IF(tblOrdenes[[#This Row],[operacion]]="","0010",tblOrdenes[[#This Row],[operacion]]))</f>
        <v/>
      </c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11" t="n"/>
      <c r="K590" s="3" t="n"/>
      <c r="L590" s="10" t="n"/>
      <c r="M590" s="6" t="n"/>
      <c r="N5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90" s="3">
        <f>IF(tblOrdenes[[#This Row],[fecha_inicio]]="","",YEAR(tblOrdenes[[#This Row],[fecha_inicio]]))</f>
        <v/>
      </c>
      <c r="R590" s="3">
        <f>IF(tblOrdenes[[#This Row],[fecha_inicio]]="","",MONTH(tblOrdenes[[#This Row],[fecha_inicio]]))</f>
        <v/>
      </c>
      <c r="S590" s="3">
        <f>IF(tblOrdenes[[#This Row],[fecha_inicio]]="","",INDEX(lista_dias,WEEKDAY(tblOrdenes[[#This Row],[fecha_inicio]],2)))</f>
        <v/>
      </c>
      <c r="T590" s="3">
        <f>IF(tblOrdenes[[#This Row],[tipo_ot]]="","",_xlfn.XLOOKUP(tblOrdenes[[#This Row],[tipo_ot]],tblTiposOT[codigo],tblTiposOT[clasificacion],"sin_clasificar"))</f>
        <v/>
      </c>
      <c r="U590" s="3">
        <f>IF(tblOrdenes[[#This Row],[centro_costo]]="","",_xlfn.XLOOKUP(tblOrdenes[[#This Row],[centro_costo]],tblCECO[codigo],tblCECO[linea],"(sin catálogo)"))</f>
        <v/>
      </c>
      <c r="V590" s="3">
        <f>IF(tblOrdenes[[#This Row],[centro_costo]]="","",_xlfn.XLOOKUP(tblOrdenes[[#This Row],[centro_costo]],tblCECO[codigo],tblCECO[area],"(sin catálogo)"))</f>
        <v/>
      </c>
      <c r="W590" s="3">
        <f>IF(tblOrdenes[[#This Row],[centro_costo]]="","",_xlfn.XLOOKUP(tblOrdenes[[#This Row],[centro_costo]],tblCECO[codigo],tblCECO[coordinador],"(sin catálogo)"))</f>
        <v/>
      </c>
      <c r="X590" s="3">
        <f>IF(tblOrdenes[[#This Row],[puesto_trabajo]]="","",_xlfn.XLOOKUP(tblOrdenes[[#This Row],[puesto_trabajo]],tblPuestos[codigo],tblPuestos[especialidad],"(sin catálogo)"))</f>
        <v/>
      </c>
      <c r="Y590" s="3">
        <f>IF(tblOrdenes[[#This Row],[cod_actividad]]="","",_xlfn.XLOOKUP(tblOrdenes[[#This Row],[cod_actividad]],tblActividades[codigo],tblActividades[descripcion],"(sin catálogo)"))</f>
        <v/>
      </c>
      <c r="Z590" s="12">
        <f>IF(tblOrdenes[[#This Row],[fecha_inicio]]="","",TODAY()-tblOrdenes[[#This Row],[fecha_inicio]])</f>
        <v/>
      </c>
      <c r="AA590" s="3">
        <f>IF(tblOrdenes[[#This Row],[backlog_dias]]="","",IF(tblOrdenes[[#This Row],[backlog_dias]]&lt;0,"FUTURO",IF(tblOrdenes[[#This Row],[backlog_dias]]&gt;p_dias_backlog_max,"BACKLOG","MES CORRIENTE")))</f>
        <v/>
      </c>
      <c r="AB590" s="3">
        <f>IF(tblOrdenes[[#This Row],[backlog_dias]]="",FALSE,AND(tblOrdenes[[#This Row],[backlog_dias]]&gt;p_dias_backlog_min,tblOrdenes[[#This Row],[backlog_dias]]&lt;=p_dias_backlog_max))</f>
        <v/>
      </c>
      <c r="AC590" s="6" t="n"/>
      <c r="AD5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90" s="10">
        <f>IF(tblOrdenes[[#This Row],[orden]]="","",_xlfn.XLOOKUP(tblOrdenes[[#This Row],[id_operacion]],tblEjecucion[id_operacion],tblEjecucion[precio],0))</f>
        <v/>
      </c>
      <c r="AH590" s="10">
        <f>IF(tblOrdenes[[#This Row],[orden]]="","",MAX(0,_xlfn.XLOOKUP(tblOrdenes[[#This Row],[id_operacion]],tblEjecucion[id_operacion],tblEjecucion[costo_plan_total],0)-tblOrdenes[[#This Row],[costo_servicio]]))</f>
        <v/>
      </c>
      <c r="AI590" s="10">
        <f>IF(tblOrdenes[[#This Row],[orden]]="","",tblOrdenes[[#This Row],[costo_servicio]]+tblOrdenes[[#This Row],[costo_materiales]])</f>
        <v/>
      </c>
      <c r="AJ590" s="6" t="n"/>
      <c r="AK590" s="6" t="n"/>
      <c r="AL590" s="6" t="n"/>
      <c r="AM590" s="3">
        <f>IF(tblOrdenes[[#This Row],[link_checklist]]="","",HYPERLINK(p_ruta_base_checklists&amp;tblOrdenes[[#This Row],[link_checklist]],"abrir"))</f>
        <v/>
      </c>
      <c r="AN590" s="6" t="n"/>
      <c r="AO590" s="3">
        <f>IF(tblOrdenes[[#This Row],[orden]]="","",tblOrdenes[[#This Row],[orden]]&amp;IF(tblOrdenes[[#This Row],[operacion]]="","0010",tblOrdenes[[#This Row],[operacion]]))</f>
        <v/>
      </c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11" t="n"/>
      <c r="K591" s="3" t="n"/>
      <c r="L591" s="10" t="n"/>
      <c r="M591" s="6" t="n"/>
      <c r="N5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91" s="3">
        <f>IF(tblOrdenes[[#This Row],[fecha_inicio]]="","",YEAR(tblOrdenes[[#This Row],[fecha_inicio]]))</f>
        <v/>
      </c>
      <c r="R591" s="3">
        <f>IF(tblOrdenes[[#This Row],[fecha_inicio]]="","",MONTH(tblOrdenes[[#This Row],[fecha_inicio]]))</f>
        <v/>
      </c>
      <c r="S591" s="3">
        <f>IF(tblOrdenes[[#This Row],[fecha_inicio]]="","",INDEX(lista_dias,WEEKDAY(tblOrdenes[[#This Row],[fecha_inicio]],2)))</f>
        <v/>
      </c>
      <c r="T591" s="3">
        <f>IF(tblOrdenes[[#This Row],[tipo_ot]]="","",_xlfn.XLOOKUP(tblOrdenes[[#This Row],[tipo_ot]],tblTiposOT[codigo],tblTiposOT[clasificacion],"sin_clasificar"))</f>
        <v/>
      </c>
      <c r="U591" s="3">
        <f>IF(tblOrdenes[[#This Row],[centro_costo]]="","",_xlfn.XLOOKUP(tblOrdenes[[#This Row],[centro_costo]],tblCECO[codigo],tblCECO[linea],"(sin catálogo)"))</f>
        <v/>
      </c>
      <c r="V591" s="3">
        <f>IF(tblOrdenes[[#This Row],[centro_costo]]="","",_xlfn.XLOOKUP(tblOrdenes[[#This Row],[centro_costo]],tblCECO[codigo],tblCECO[area],"(sin catálogo)"))</f>
        <v/>
      </c>
      <c r="W591" s="3">
        <f>IF(tblOrdenes[[#This Row],[centro_costo]]="","",_xlfn.XLOOKUP(tblOrdenes[[#This Row],[centro_costo]],tblCECO[codigo],tblCECO[coordinador],"(sin catálogo)"))</f>
        <v/>
      </c>
      <c r="X591" s="3">
        <f>IF(tblOrdenes[[#This Row],[puesto_trabajo]]="","",_xlfn.XLOOKUP(tblOrdenes[[#This Row],[puesto_trabajo]],tblPuestos[codigo],tblPuestos[especialidad],"(sin catálogo)"))</f>
        <v/>
      </c>
      <c r="Y591" s="3">
        <f>IF(tblOrdenes[[#This Row],[cod_actividad]]="","",_xlfn.XLOOKUP(tblOrdenes[[#This Row],[cod_actividad]],tblActividades[codigo],tblActividades[descripcion],"(sin catálogo)"))</f>
        <v/>
      </c>
      <c r="Z591" s="12">
        <f>IF(tblOrdenes[[#This Row],[fecha_inicio]]="","",TODAY()-tblOrdenes[[#This Row],[fecha_inicio]])</f>
        <v/>
      </c>
      <c r="AA591" s="3">
        <f>IF(tblOrdenes[[#This Row],[backlog_dias]]="","",IF(tblOrdenes[[#This Row],[backlog_dias]]&lt;0,"FUTURO",IF(tblOrdenes[[#This Row],[backlog_dias]]&gt;p_dias_backlog_max,"BACKLOG","MES CORRIENTE")))</f>
        <v/>
      </c>
      <c r="AB591" s="3">
        <f>IF(tblOrdenes[[#This Row],[backlog_dias]]="",FALSE,AND(tblOrdenes[[#This Row],[backlog_dias]]&gt;p_dias_backlog_min,tblOrdenes[[#This Row],[backlog_dias]]&lt;=p_dias_backlog_max))</f>
        <v/>
      </c>
      <c r="AC591" s="6" t="n"/>
      <c r="AD5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91" s="10">
        <f>IF(tblOrdenes[[#This Row],[orden]]="","",_xlfn.XLOOKUP(tblOrdenes[[#This Row],[id_operacion]],tblEjecucion[id_operacion],tblEjecucion[precio],0))</f>
        <v/>
      </c>
      <c r="AH591" s="10">
        <f>IF(tblOrdenes[[#This Row],[orden]]="","",MAX(0,_xlfn.XLOOKUP(tblOrdenes[[#This Row],[id_operacion]],tblEjecucion[id_operacion],tblEjecucion[costo_plan_total],0)-tblOrdenes[[#This Row],[costo_servicio]]))</f>
        <v/>
      </c>
      <c r="AI591" s="10">
        <f>IF(tblOrdenes[[#This Row],[orden]]="","",tblOrdenes[[#This Row],[costo_servicio]]+tblOrdenes[[#This Row],[costo_materiales]])</f>
        <v/>
      </c>
      <c r="AJ591" s="6" t="n"/>
      <c r="AK591" s="6" t="n"/>
      <c r="AL591" s="6" t="n"/>
      <c r="AM591" s="3">
        <f>IF(tblOrdenes[[#This Row],[link_checklist]]="","",HYPERLINK(p_ruta_base_checklists&amp;tblOrdenes[[#This Row],[link_checklist]],"abrir"))</f>
        <v/>
      </c>
      <c r="AN591" s="6" t="n"/>
      <c r="AO591" s="3">
        <f>IF(tblOrdenes[[#This Row],[orden]]="","",tblOrdenes[[#This Row],[orden]]&amp;IF(tblOrdenes[[#This Row],[operacion]]="","0010",tblOrdenes[[#This Row],[operacion]]))</f>
        <v/>
      </c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11" t="n"/>
      <c r="K592" s="3" t="n"/>
      <c r="L592" s="10" t="n"/>
      <c r="M592" s="6" t="n"/>
      <c r="N5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92" s="3">
        <f>IF(tblOrdenes[[#This Row],[fecha_inicio]]="","",YEAR(tblOrdenes[[#This Row],[fecha_inicio]]))</f>
        <v/>
      </c>
      <c r="R592" s="3">
        <f>IF(tblOrdenes[[#This Row],[fecha_inicio]]="","",MONTH(tblOrdenes[[#This Row],[fecha_inicio]]))</f>
        <v/>
      </c>
      <c r="S592" s="3">
        <f>IF(tblOrdenes[[#This Row],[fecha_inicio]]="","",INDEX(lista_dias,WEEKDAY(tblOrdenes[[#This Row],[fecha_inicio]],2)))</f>
        <v/>
      </c>
      <c r="T592" s="3">
        <f>IF(tblOrdenes[[#This Row],[tipo_ot]]="","",_xlfn.XLOOKUP(tblOrdenes[[#This Row],[tipo_ot]],tblTiposOT[codigo],tblTiposOT[clasificacion],"sin_clasificar"))</f>
        <v/>
      </c>
      <c r="U592" s="3">
        <f>IF(tblOrdenes[[#This Row],[centro_costo]]="","",_xlfn.XLOOKUP(tblOrdenes[[#This Row],[centro_costo]],tblCECO[codigo],tblCECO[linea],"(sin catálogo)"))</f>
        <v/>
      </c>
      <c r="V592" s="3">
        <f>IF(tblOrdenes[[#This Row],[centro_costo]]="","",_xlfn.XLOOKUP(tblOrdenes[[#This Row],[centro_costo]],tblCECO[codigo],tblCECO[area],"(sin catálogo)"))</f>
        <v/>
      </c>
      <c r="W592" s="3">
        <f>IF(tblOrdenes[[#This Row],[centro_costo]]="","",_xlfn.XLOOKUP(tblOrdenes[[#This Row],[centro_costo]],tblCECO[codigo],tblCECO[coordinador],"(sin catálogo)"))</f>
        <v/>
      </c>
      <c r="X592" s="3">
        <f>IF(tblOrdenes[[#This Row],[puesto_trabajo]]="","",_xlfn.XLOOKUP(tblOrdenes[[#This Row],[puesto_trabajo]],tblPuestos[codigo],tblPuestos[especialidad],"(sin catálogo)"))</f>
        <v/>
      </c>
      <c r="Y592" s="3">
        <f>IF(tblOrdenes[[#This Row],[cod_actividad]]="","",_xlfn.XLOOKUP(tblOrdenes[[#This Row],[cod_actividad]],tblActividades[codigo],tblActividades[descripcion],"(sin catálogo)"))</f>
        <v/>
      </c>
      <c r="Z592" s="12">
        <f>IF(tblOrdenes[[#This Row],[fecha_inicio]]="","",TODAY()-tblOrdenes[[#This Row],[fecha_inicio]])</f>
        <v/>
      </c>
      <c r="AA592" s="3">
        <f>IF(tblOrdenes[[#This Row],[backlog_dias]]="","",IF(tblOrdenes[[#This Row],[backlog_dias]]&lt;0,"FUTURO",IF(tblOrdenes[[#This Row],[backlog_dias]]&gt;p_dias_backlog_max,"BACKLOG","MES CORRIENTE")))</f>
        <v/>
      </c>
      <c r="AB592" s="3">
        <f>IF(tblOrdenes[[#This Row],[backlog_dias]]="",FALSE,AND(tblOrdenes[[#This Row],[backlog_dias]]&gt;p_dias_backlog_min,tblOrdenes[[#This Row],[backlog_dias]]&lt;=p_dias_backlog_max))</f>
        <v/>
      </c>
      <c r="AC592" s="6" t="n"/>
      <c r="AD5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92" s="10">
        <f>IF(tblOrdenes[[#This Row],[orden]]="","",_xlfn.XLOOKUP(tblOrdenes[[#This Row],[id_operacion]],tblEjecucion[id_operacion],tblEjecucion[precio],0))</f>
        <v/>
      </c>
      <c r="AH592" s="10">
        <f>IF(tblOrdenes[[#This Row],[orden]]="","",MAX(0,_xlfn.XLOOKUP(tblOrdenes[[#This Row],[id_operacion]],tblEjecucion[id_operacion],tblEjecucion[costo_plan_total],0)-tblOrdenes[[#This Row],[costo_servicio]]))</f>
        <v/>
      </c>
      <c r="AI592" s="10">
        <f>IF(tblOrdenes[[#This Row],[orden]]="","",tblOrdenes[[#This Row],[costo_servicio]]+tblOrdenes[[#This Row],[costo_materiales]])</f>
        <v/>
      </c>
      <c r="AJ592" s="6" t="n"/>
      <c r="AK592" s="6" t="n"/>
      <c r="AL592" s="6" t="n"/>
      <c r="AM592" s="3">
        <f>IF(tblOrdenes[[#This Row],[link_checklist]]="","",HYPERLINK(p_ruta_base_checklists&amp;tblOrdenes[[#This Row],[link_checklist]],"abrir"))</f>
        <v/>
      </c>
      <c r="AN592" s="6" t="n"/>
      <c r="AO592" s="3">
        <f>IF(tblOrdenes[[#This Row],[orden]]="","",tblOrdenes[[#This Row],[orden]]&amp;IF(tblOrdenes[[#This Row],[operacion]]="","0010",tblOrdenes[[#This Row],[operacion]]))</f>
        <v/>
      </c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11" t="n"/>
      <c r="K593" s="3" t="n"/>
      <c r="L593" s="10" t="n"/>
      <c r="M593" s="6" t="n"/>
      <c r="N5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93" s="3">
        <f>IF(tblOrdenes[[#This Row],[fecha_inicio]]="","",YEAR(tblOrdenes[[#This Row],[fecha_inicio]]))</f>
        <v/>
      </c>
      <c r="R593" s="3">
        <f>IF(tblOrdenes[[#This Row],[fecha_inicio]]="","",MONTH(tblOrdenes[[#This Row],[fecha_inicio]]))</f>
        <v/>
      </c>
      <c r="S593" s="3">
        <f>IF(tblOrdenes[[#This Row],[fecha_inicio]]="","",INDEX(lista_dias,WEEKDAY(tblOrdenes[[#This Row],[fecha_inicio]],2)))</f>
        <v/>
      </c>
      <c r="T593" s="3">
        <f>IF(tblOrdenes[[#This Row],[tipo_ot]]="","",_xlfn.XLOOKUP(tblOrdenes[[#This Row],[tipo_ot]],tblTiposOT[codigo],tblTiposOT[clasificacion],"sin_clasificar"))</f>
        <v/>
      </c>
      <c r="U593" s="3">
        <f>IF(tblOrdenes[[#This Row],[centro_costo]]="","",_xlfn.XLOOKUP(tblOrdenes[[#This Row],[centro_costo]],tblCECO[codigo],tblCECO[linea],"(sin catálogo)"))</f>
        <v/>
      </c>
      <c r="V593" s="3">
        <f>IF(tblOrdenes[[#This Row],[centro_costo]]="","",_xlfn.XLOOKUP(tblOrdenes[[#This Row],[centro_costo]],tblCECO[codigo],tblCECO[area],"(sin catálogo)"))</f>
        <v/>
      </c>
      <c r="W593" s="3">
        <f>IF(tblOrdenes[[#This Row],[centro_costo]]="","",_xlfn.XLOOKUP(tblOrdenes[[#This Row],[centro_costo]],tblCECO[codigo],tblCECO[coordinador],"(sin catálogo)"))</f>
        <v/>
      </c>
      <c r="X593" s="3">
        <f>IF(tblOrdenes[[#This Row],[puesto_trabajo]]="","",_xlfn.XLOOKUP(tblOrdenes[[#This Row],[puesto_trabajo]],tblPuestos[codigo],tblPuestos[especialidad],"(sin catálogo)"))</f>
        <v/>
      </c>
      <c r="Y593" s="3">
        <f>IF(tblOrdenes[[#This Row],[cod_actividad]]="","",_xlfn.XLOOKUP(tblOrdenes[[#This Row],[cod_actividad]],tblActividades[codigo],tblActividades[descripcion],"(sin catálogo)"))</f>
        <v/>
      </c>
      <c r="Z593" s="12">
        <f>IF(tblOrdenes[[#This Row],[fecha_inicio]]="","",TODAY()-tblOrdenes[[#This Row],[fecha_inicio]])</f>
        <v/>
      </c>
      <c r="AA593" s="3">
        <f>IF(tblOrdenes[[#This Row],[backlog_dias]]="","",IF(tblOrdenes[[#This Row],[backlog_dias]]&lt;0,"FUTURO",IF(tblOrdenes[[#This Row],[backlog_dias]]&gt;p_dias_backlog_max,"BACKLOG","MES CORRIENTE")))</f>
        <v/>
      </c>
      <c r="AB593" s="3">
        <f>IF(tblOrdenes[[#This Row],[backlog_dias]]="",FALSE,AND(tblOrdenes[[#This Row],[backlog_dias]]&gt;p_dias_backlog_min,tblOrdenes[[#This Row],[backlog_dias]]&lt;=p_dias_backlog_max))</f>
        <v/>
      </c>
      <c r="AC593" s="6" t="n"/>
      <c r="AD5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93" s="10">
        <f>IF(tblOrdenes[[#This Row],[orden]]="","",_xlfn.XLOOKUP(tblOrdenes[[#This Row],[id_operacion]],tblEjecucion[id_operacion],tblEjecucion[precio],0))</f>
        <v/>
      </c>
      <c r="AH593" s="10">
        <f>IF(tblOrdenes[[#This Row],[orden]]="","",MAX(0,_xlfn.XLOOKUP(tblOrdenes[[#This Row],[id_operacion]],tblEjecucion[id_operacion],tblEjecucion[costo_plan_total],0)-tblOrdenes[[#This Row],[costo_servicio]]))</f>
        <v/>
      </c>
      <c r="AI593" s="10">
        <f>IF(tblOrdenes[[#This Row],[orden]]="","",tblOrdenes[[#This Row],[costo_servicio]]+tblOrdenes[[#This Row],[costo_materiales]])</f>
        <v/>
      </c>
      <c r="AJ593" s="6" t="n"/>
      <c r="AK593" s="6" t="n"/>
      <c r="AL593" s="6" t="n"/>
      <c r="AM593" s="3">
        <f>IF(tblOrdenes[[#This Row],[link_checklist]]="","",HYPERLINK(p_ruta_base_checklists&amp;tblOrdenes[[#This Row],[link_checklist]],"abrir"))</f>
        <v/>
      </c>
      <c r="AN593" s="6" t="n"/>
      <c r="AO593" s="3">
        <f>IF(tblOrdenes[[#This Row],[orden]]="","",tblOrdenes[[#This Row],[orden]]&amp;IF(tblOrdenes[[#This Row],[operacion]]="","0010",tblOrdenes[[#This Row],[operacion]]))</f>
        <v/>
      </c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11" t="n"/>
      <c r="K594" s="3" t="n"/>
      <c r="L594" s="10" t="n"/>
      <c r="M594" s="6" t="n"/>
      <c r="N5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94" s="3">
        <f>IF(tblOrdenes[[#This Row],[fecha_inicio]]="","",YEAR(tblOrdenes[[#This Row],[fecha_inicio]]))</f>
        <v/>
      </c>
      <c r="R594" s="3">
        <f>IF(tblOrdenes[[#This Row],[fecha_inicio]]="","",MONTH(tblOrdenes[[#This Row],[fecha_inicio]]))</f>
        <v/>
      </c>
      <c r="S594" s="3">
        <f>IF(tblOrdenes[[#This Row],[fecha_inicio]]="","",INDEX(lista_dias,WEEKDAY(tblOrdenes[[#This Row],[fecha_inicio]],2)))</f>
        <v/>
      </c>
      <c r="T594" s="3">
        <f>IF(tblOrdenes[[#This Row],[tipo_ot]]="","",_xlfn.XLOOKUP(tblOrdenes[[#This Row],[tipo_ot]],tblTiposOT[codigo],tblTiposOT[clasificacion],"sin_clasificar"))</f>
        <v/>
      </c>
      <c r="U594" s="3">
        <f>IF(tblOrdenes[[#This Row],[centro_costo]]="","",_xlfn.XLOOKUP(tblOrdenes[[#This Row],[centro_costo]],tblCECO[codigo],tblCECO[linea],"(sin catálogo)"))</f>
        <v/>
      </c>
      <c r="V594" s="3">
        <f>IF(tblOrdenes[[#This Row],[centro_costo]]="","",_xlfn.XLOOKUP(tblOrdenes[[#This Row],[centro_costo]],tblCECO[codigo],tblCECO[area],"(sin catálogo)"))</f>
        <v/>
      </c>
      <c r="W594" s="3">
        <f>IF(tblOrdenes[[#This Row],[centro_costo]]="","",_xlfn.XLOOKUP(tblOrdenes[[#This Row],[centro_costo]],tblCECO[codigo],tblCECO[coordinador],"(sin catálogo)"))</f>
        <v/>
      </c>
      <c r="X594" s="3">
        <f>IF(tblOrdenes[[#This Row],[puesto_trabajo]]="","",_xlfn.XLOOKUP(tblOrdenes[[#This Row],[puesto_trabajo]],tblPuestos[codigo],tblPuestos[especialidad],"(sin catálogo)"))</f>
        <v/>
      </c>
      <c r="Y594" s="3">
        <f>IF(tblOrdenes[[#This Row],[cod_actividad]]="","",_xlfn.XLOOKUP(tblOrdenes[[#This Row],[cod_actividad]],tblActividades[codigo],tblActividades[descripcion],"(sin catálogo)"))</f>
        <v/>
      </c>
      <c r="Z594" s="12">
        <f>IF(tblOrdenes[[#This Row],[fecha_inicio]]="","",TODAY()-tblOrdenes[[#This Row],[fecha_inicio]])</f>
        <v/>
      </c>
      <c r="AA594" s="3">
        <f>IF(tblOrdenes[[#This Row],[backlog_dias]]="","",IF(tblOrdenes[[#This Row],[backlog_dias]]&lt;0,"FUTURO",IF(tblOrdenes[[#This Row],[backlog_dias]]&gt;p_dias_backlog_max,"BACKLOG","MES CORRIENTE")))</f>
        <v/>
      </c>
      <c r="AB594" s="3">
        <f>IF(tblOrdenes[[#This Row],[backlog_dias]]="",FALSE,AND(tblOrdenes[[#This Row],[backlog_dias]]&gt;p_dias_backlog_min,tblOrdenes[[#This Row],[backlog_dias]]&lt;=p_dias_backlog_max))</f>
        <v/>
      </c>
      <c r="AC594" s="6" t="n"/>
      <c r="AD5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94" s="10">
        <f>IF(tblOrdenes[[#This Row],[orden]]="","",_xlfn.XLOOKUP(tblOrdenes[[#This Row],[id_operacion]],tblEjecucion[id_operacion],tblEjecucion[precio],0))</f>
        <v/>
      </c>
      <c r="AH594" s="10">
        <f>IF(tblOrdenes[[#This Row],[orden]]="","",MAX(0,_xlfn.XLOOKUP(tblOrdenes[[#This Row],[id_operacion]],tblEjecucion[id_operacion],tblEjecucion[costo_plan_total],0)-tblOrdenes[[#This Row],[costo_servicio]]))</f>
        <v/>
      </c>
      <c r="AI594" s="10">
        <f>IF(tblOrdenes[[#This Row],[orden]]="","",tblOrdenes[[#This Row],[costo_servicio]]+tblOrdenes[[#This Row],[costo_materiales]])</f>
        <v/>
      </c>
      <c r="AJ594" s="6" t="n"/>
      <c r="AK594" s="6" t="n"/>
      <c r="AL594" s="6" t="n"/>
      <c r="AM594" s="3">
        <f>IF(tblOrdenes[[#This Row],[link_checklist]]="","",HYPERLINK(p_ruta_base_checklists&amp;tblOrdenes[[#This Row],[link_checklist]],"abrir"))</f>
        <v/>
      </c>
      <c r="AN594" s="6" t="n"/>
      <c r="AO594" s="3">
        <f>IF(tblOrdenes[[#This Row],[orden]]="","",tblOrdenes[[#This Row],[orden]]&amp;IF(tblOrdenes[[#This Row],[operacion]]="","0010",tblOrdenes[[#This Row],[operacion]]))</f>
        <v/>
      </c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11" t="n"/>
      <c r="K595" s="3" t="n"/>
      <c r="L595" s="10" t="n"/>
      <c r="M595" s="6" t="n"/>
      <c r="N5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95" s="3">
        <f>IF(tblOrdenes[[#This Row],[fecha_inicio]]="","",YEAR(tblOrdenes[[#This Row],[fecha_inicio]]))</f>
        <v/>
      </c>
      <c r="R595" s="3">
        <f>IF(tblOrdenes[[#This Row],[fecha_inicio]]="","",MONTH(tblOrdenes[[#This Row],[fecha_inicio]]))</f>
        <v/>
      </c>
      <c r="S595" s="3">
        <f>IF(tblOrdenes[[#This Row],[fecha_inicio]]="","",INDEX(lista_dias,WEEKDAY(tblOrdenes[[#This Row],[fecha_inicio]],2)))</f>
        <v/>
      </c>
      <c r="T595" s="3">
        <f>IF(tblOrdenes[[#This Row],[tipo_ot]]="","",_xlfn.XLOOKUP(tblOrdenes[[#This Row],[tipo_ot]],tblTiposOT[codigo],tblTiposOT[clasificacion],"sin_clasificar"))</f>
        <v/>
      </c>
      <c r="U595" s="3">
        <f>IF(tblOrdenes[[#This Row],[centro_costo]]="","",_xlfn.XLOOKUP(tblOrdenes[[#This Row],[centro_costo]],tblCECO[codigo],tblCECO[linea],"(sin catálogo)"))</f>
        <v/>
      </c>
      <c r="V595" s="3">
        <f>IF(tblOrdenes[[#This Row],[centro_costo]]="","",_xlfn.XLOOKUP(tblOrdenes[[#This Row],[centro_costo]],tblCECO[codigo],tblCECO[area],"(sin catálogo)"))</f>
        <v/>
      </c>
      <c r="W595" s="3">
        <f>IF(tblOrdenes[[#This Row],[centro_costo]]="","",_xlfn.XLOOKUP(tblOrdenes[[#This Row],[centro_costo]],tblCECO[codigo],tblCECO[coordinador],"(sin catálogo)"))</f>
        <v/>
      </c>
      <c r="X595" s="3">
        <f>IF(tblOrdenes[[#This Row],[puesto_trabajo]]="","",_xlfn.XLOOKUP(tblOrdenes[[#This Row],[puesto_trabajo]],tblPuestos[codigo],tblPuestos[especialidad],"(sin catálogo)"))</f>
        <v/>
      </c>
      <c r="Y595" s="3">
        <f>IF(tblOrdenes[[#This Row],[cod_actividad]]="","",_xlfn.XLOOKUP(tblOrdenes[[#This Row],[cod_actividad]],tblActividades[codigo],tblActividades[descripcion],"(sin catálogo)"))</f>
        <v/>
      </c>
      <c r="Z595" s="12">
        <f>IF(tblOrdenes[[#This Row],[fecha_inicio]]="","",TODAY()-tblOrdenes[[#This Row],[fecha_inicio]])</f>
        <v/>
      </c>
      <c r="AA595" s="3">
        <f>IF(tblOrdenes[[#This Row],[backlog_dias]]="","",IF(tblOrdenes[[#This Row],[backlog_dias]]&lt;0,"FUTURO",IF(tblOrdenes[[#This Row],[backlog_dias]]&gt;p_dias_backlog_max,"BACKLOG","MES CORRIENTE")))</f>
        <v/>
      </c>
      <c r="AB595" s="3">
        <f>IF(tblOrdenes[[#This Row],[backlog_dias]]="",FALSE,AND(tblOrdenes[[#This Row],[backlog_dias]]&gt;p_dias_backlog_min,tblOrdenes[[#This Row],[backlog_dias]]&lt;=p_dias_backlog_max))</f>
        <v/>
      </c>
      <c r="AC595" s="6" t="n"/>
      <c r="AD5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95" s="10">
        <f>IF(tblOrdenes[[#This Row],[orden]]="","",_xlfn.XLOOKUP(tblOrdenes[[#This Row],[id_operacion]],tblEjecucion[id_operacion],tblEjecucion[precio],0))</f>
        <v/>
      </c>
      <c r="AH595" s="10">
        <f>IF(tblOrdenes[[#This Row],[orden]]="","",MAX(0,_xlfn.XLOOKUP(tblOrdenes[[#This Row],[id_operacion]],tblEjecucion[id_operacion],tblEjecucion[costo_plan_total],0)-tblOrdenes[[#This Row],[costo_servicio]]))</f>
        <v/>
      </c>
      <c r="AI595" s="10">
        <f>IF(tblOrdenes[[#This Row],[orden]]="","",tblOrdenes[[#This Row],[costo_servicio]]+tblOrdenes[[#This Row],[costo_materiales]])</f>
        <v/>
      </c>
      <c r="AJ595" s="6" t="n"/>
      <c r="AK595" s="6" t="n"/>
      <c r="AL595" s="6" t="n"/>
      <c r="AM595" s="3">
        <f>IF(tblOrdenes[[#This Row],[link_checklist]]="","",HYPERLINK(p_ruta_base_checklists&amp;tblOrdenes[[#This Row],[link_checklist]],"abrir"))</f>
        <v/>
      </c>
      <c r="AN595" s="6" t="n"/>
      <c r="AO595" s="3">
        <f>IF(tblOrdenes[[#This Row],[orden]]="","",tblOrdenes[[#This Row],[orden]]&amp;IF(tblOrdenes[[#This Row],[operacion]]="","0010",tblOrdenes[[#This Row],[operacion]]))</f>
        <v/>
      </c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11" t="n"/>
      <c r="K596" s="3" t="n"/>
      <c r="L596" s="10" t="n"/>
      <c r="M596" s="6" t="n"/>
      <c r="N5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96" s="3">
        <f>IF(tblOrdenes[[#This Row],[fecha_inicio]]="","",YEAR(tblOrdenes[[#This Row],[fecha_inicio]]))</f>
        <v/>
      </c>
      <c r="R596" s="3">
        <f>IF(tblOrdenes[[#This Row],[fecha_inicio]]="","",MONTH(tblOrdenes[[#This Row],[fecha_inicio]]))</f>
        <v/>
      </c>
      <c r="S596" s="3">
        <f>IF(tblOrdenes[[#This Row],[fecha_inicio]]="","",INDEX(lista_dias,WEEKDAY(tblOrdenes[[#This Row],[fecha_inicio]],2)))</f>
        <v/>
      </c>
      <c r="T596" s="3">
        <f>IF(tblOrdenes[[#This Row],[tipo_ot]]="","",_xlfn.XLOOKUP(tblOrdenes[[#This Row],[tipo_ot]],tblTiposOT[codigo],tblTiposOT[clasificacion],"sin_clasificar"))</f>
        <v/>
      </c>
      <c r="U596" s="3">
        <f>IF(tblOrdenes[[#This Row],[centro_costo]]="","",_xlfn.XLOOKUP(tblOrdenes[[#This Row],[centro_costo]],tblCECO[codigo],tblCECO[linea],"(sin catálogo)"))</f>
        <v/>
      </c>
      <c r="V596" s="3">
        <f>IF(tblOrdenes[[#This Row],[centro_costo]]="","",_xlfn.XLOOKUP(tblOrdenes[[#This Row],[centro_costo]],tblCECO[codigo],tblCECO[area],"(sin catálogo)"))</f>
        <v/>
      </c>
      <c r="W596" s="3">
        <f>IF(tblOrdenes[[#This Row],[centro_costo]]="","",_xlfn.XLOOKUP(tblOrdenes[[#This Row],[centro_costo]],tblCECO[codigo],tblCECO[coordinador],"(sin catálogo)"))</f>
        <v/>
      </c>
      <c r="X596" s="3">
        <f>IF(tblOrdenes[[#This Row],[puesto_trabajo]]="","",_xlfn.XLOOKUP(tblOrdenes[[#This Row],[puesto_trabajo]],tblPuestos[codigo],tblPuestos[especialidad],"(sin catálogo)"))</f>
        <v/>
      </c>
      <c r="Y596" s="3">
        <f>IF(tblOrdenes[[#This Row],[cod_actividad]]="","",_xlfn.XLOOKUP(tblOrdenes[[#This Row],[cod_actividad]],tblActividades[codigo],tblActividades[descripcion],"(sin catálogo)"))</f>
        <v/>
      </c>
      <c r="Z596" s="12">
        <f>IF(tblOrdenes[[#This Row],[fecha_inicio]]="","",TODAY()-tblOrdenes[[#This Row],[fecha_inicio]])</f>
        <v/>
      </c>
      <c r="AA596" s="3">
        <f>IF(tblOrdenes[[#This Row],[backlog_dias]]="","",IF(tblOrdenes[[#This Row],[backlog_dias]]&lt;0,"FUTURO",IF(tblOrdenes[[#This Row],[backlog_dias]]&gt;p_dias_backlog_max,"BACKLOG","MES CORRIENTE")))</f>
        <v/>
      </c>
      <c r="AB596" s="3">
        <f>IF(tblOrdenes[[#This Row],[backlog_dias]]="",FALSE,AND(tblOrdenes[[#This Row],[backlog_dias]]&gt;p_dias_backlog_min,tblOrdenes[[#This Row],[backlog_dias]]&lt;=p_dias_backlog_max))</f>
        <v/>
      </c>
      <c r="AC596" s="6" t="n"/>
      <c r="AD5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96" s="10">
        <f>IF(tblOrdenes[[#This Row],[orden]]="","",_xlfn.XLOOKUP(tblOrdenes[[#This Row],[id_operacion]],tblEjecucion[id_operacion],tblEjecucion[precio],0))</f>
        <v/>
      </c>
      <c r="AH596" s="10">
        <f>IF(tblOrdenes[[#This Row],[orden]]="","",MAX(0,_xlfn.XLOOKUP(tblOrdenes[[#This Row],[id_operacion]],tblEjecucion[id_operacion],tblEjecucion[costo_plan_total],0)-tblOrdenes[[#This Row],[costo_servicio]]))</f>
        <v/>
      </c>
      <c r="AI596" s="10">
        <f>IF(tblOrdenes[[#This Row],[orden]]="","",tblOrdenes[[#This Row],[costo_servicio]]+tblOrdenes[[#This Row],[costo_materiales]])</f>
        <v/>
      </c>
      <c r="AJ596" s="6" t="n"/>
      <c r="AK596" s="6" t="n"/>
      <c r="AL596" s="6" t="n"/>
      <c r="AM596" s="3">
        <f>IF(tblOrdenes[[#This Row],[link_checklist]]="","",HYPERLINK(p_ruta_base_checklists&amp;tblOrdenes[[#This Row],[link_checklist]],"abrir"))</f>
        <v/>
      </c>
      <c r="AN596" s="6" t="n"/>
      <c r="AO596" s="3">
        <f>IF(tblOrdenes[[#This Row],[orden]]="","",tblOrdenes[[#This Row],[orden]]&amp;IF(tblOrdenes[[#This Row],[operacion]]="","0010",tblOrdenes[[#This Row],[operacion]]))</f>
        <v/>
      </c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11" t="n"/>
      <c r="K597" s="3" t="n"/>
      <c r="L597" s="10" t="n"/>
      <c r="M597" s="6" t="n"/>
      <c r="N5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97" s="3">
        <f>IF(tblOrdenes[[#This Row],[fecha_inicio]]="","",YEAR(tblOrdenes[[#This Row],[fecha_inicio]]))</f>
        <v/>
      </c>
      <c r="R597" s="3">
        <f>IF(tblOrdenes[[#This Row],[fecha_inicio]]="","",MONTH(tblOrdenes[[#This Row],[fecha_inicio]]))</f>
        <v/>
      </c>
      <c r="S597" s="3">
        <f>IF(tblOrdenes[[#This Row],[fecha_inicio]]="","",INDEX(lista_dias,WEEKDAY(tblOrdenes[[#This Row],[fecha_inicio]],2)))</f>
        <v/>
      </c>
      <c r="T597" s="3">
        <f>IF(tblOrdenes[[#This Row],[tipo_ot]]="","",_xlfn.XLOOKUP(tblOrdenes[[#This Row],[tipo_ot]],tblTiposOT[codigo],tblTiposOT[clasificacion],"sin_clasificar"))</f>
        <v/>
      </c>
      <c r="U597" s="3">
        <f>IF(tblOrdenes[[#This Row],[centro_costo]]="","",_xlfn.XLOOKUP(tblOrdenes[[#This Row],[centro_costo]],tblCECO[codigo],tblCECO[linea],"(sin catálogo)"))</f>
        <v/>
      </c>
      <c r="V597" s="3">
        <f>IF(tblOrdenes[[#This Row],[centro_costo]]="","",_xlfn.XLOOKUP(tblOrdenes[[#This Row],[centro_costo]],tblCECO[codigo],tblCECO[area],"(sin catálogo)"))</f>
        <v/>
      </c>
      <c r="W597" s="3">
        <f>IF(tblOrdenes[[#This Row],[centro_costo]]="","",_xlfn.XLOOKUP(tblOrdenes[[#This Row],[centro_costo]],tblCECO[codigo],tblCECO[coordinador],"(sin catálogo)"))</f>
        <v/>
      </c>
      <c r="X597" s="3">
        <f>IF(tblOrdenes[[#This Row],[puesto_trabajo]]="","",_xlfn.XLOOKUP(tblOrdenes[[#This Row],[puesto_trabajo]],tblPuestos[codigo],tblPuestos[especialidad],"(sin catálogo)"))</f>
        <v/>
      </c>
      <c r="Y597" s="3">
        <f>IF(tblOrdenes[[#This Row],[cod_actividad]]="","",_xlfn.XLOOKUP(tblOrdenes[[#This Row],[cod_actividad]],tblActividades[codigo],tblActividades[descripcion],"(sin catálogo)"))</f>
        <v/>
      </c>
      <c r="Z597" s="12">
        <f>IF(tblOrdenes[[#This Row],[fecha_inicio]]="","",TODAY()-tblOrdenes[[#This Row],[fecha_inicio]])</f>
        <v/>
      </c>
      <c r="AA597" s="3">
        <f>IF(tblOrdenes[[#This Row],[backlog_dias]]="","",IF(tblOrdenes[[#This Row],[backlog_dias]]&lt;0,"FUTURO",IF(tblOrdenes[[#This Row],[backlog_dias]]&gt;p_dias_backlog_max,"BACKLOG","MES CORRIENTE")))</f>
        <v/>
      </c>
      <c r="AB597" s="3">
        <f>IF(tblOrdenes[[#This Row],[backlog_dias]]="",FALSE,AND(tblOrdenes[[#This Row],[backlog_dias]]&gt;p_dias_backlog_min,tblOrdenes[[#This Row],[backlog_dias]]&lt;=p_dias_backlog_max))</f>
        <v/>
      </c>
      <c r="AC597" s="6" t="n"/>
      <c r="AD5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97" s="10">
        <f>IF(tblOrdenes[[#This Row],[orden]]="","",_xlfn.XLOOKUP(tblOrdenes[[#This Row],[id_operacion]],tblEjecucion[id_operacion],tblEjecucion[precio],0))</f>
        <v/>
      </c>
      <c r="AH597" s="10">
        <f>IF(tblOrdenes[[#This Row],[orden]]="","",MAX(0,_xlfn.XLOOKUP(tblOrdenes[[#This Row],[id_operacion]],tblEjecucion[id_operacion],tblEjecucion[costo_plan_total],0)-tblOrdenes[[#This Row],[costo_servicio]]))</f>
        <v/>
      </c>
      <c r="AI597" s="10">
        <f>IF(tblOrdenes[[#This Row],[orden]]="","",tblOrdenes[[#This Row],[costo_servicio]]+tblOrdenes[[#This Row],[costo_materiales]])</f>
        <v/>
      </c>
      <c r="AJ597" s="6" t="n"/>
      <c r="AK597" s="6" t="n"/>
      <c r="AL597" s="6" t="n"/>
      <c r="AM597" s="3">
        <f>IF(tblOrdenes[[#This Row],[link_checklist]]="","",HYPERLINK(p_ruta_base_checklists&amp;tblOrdenes[[#This Row],[link_checklist]],"abrir"))</f>
        <v/>
      </c>
      <c r="AN597" s="6" t="n"/>
      <c r="AO597" s="3">
        <f>IF(tblOrdenes[[#This Row],[orden]]="","",tblOrdenes[[#This Row],[orden]]&amp;IF(tblOrdenes[[#This Row],[operacion]]="","0010",tblOrdenes[[#This Row],[operacion]]))</f>
        <v/>
      </c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11" t="n"/>
      <c r="K598" s="3" t="n"/>
      <c r="L598" s="10" t="n"/>
      <c r="M598" s="6" t="n"/>
      <c r="N5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98" s="3">
        <f>IF(tblOrdenes[[#This Row],[fecha_inicio]]="","",YEAR(tblOrdenes[[#This Row],[fecha_inicio]]))</f>
        <v/>
      </c>
      <c r="R598" s="3">
        <f>IF(tblOrdenes[[#This Row],[fecha_inicio]]="","",MONTH(tblOrdenes[[#This Row],[fecha_inicio]]))</f>
        <v/>
      </c>
      <c r="S598" s="3">
        <f>IF(tblOrdenes[[#This Row],[fecha_inicio]]="","",INDEX(lista_dias,WEEKDAY(tblOrdenes[[#This Row],[fecha_inicio]],2)))</f>
        <v/>
      </c>
      <c r="T598" s="3">
        <f>IF(tblOrdenes[[#This Row],[tipo_ot]]="","",_xlfn.XLOOKUP(tblOrdenes[[#This Row],[tipo_ot]],tblTiposOT[codigo],tblTiposOT[clasificacion],"sin_clasificar"))</f>
        <v/>
      </c>
      <c r="U598" s="3">
        <f>IF(tblOrdenes[[#This Row],[centro_costo]]="","",_xlfn.XLOOKUP(tblOrdenes[[#This Row],[centro_costo]],tblCECO[codigo],tblCECO[linea],"(sin catálogo)"))</f>
        <v/>
      </c>
      <c r="V598" s="3">
        <f>IF(tblOrdenes[[#This Row],[centro_costo]]="","",_xlfn.XLOOKUP(tblOrdenes[[#This Row],[centro_costo]],tblCECO[codigo],tblCECO[area],"(sin catálogo)"))</f>
        <v/>
      </c>
      <c r="W598" s="3">
        <f>IF(tblOrdenes[[#This Row],[centro_costo]]="","",_xlfn.XLOOKUP(tblOrdenes[[#This Row],[centro_costo]],tblCECO[codigo],tblCECO[coordinador],"(sin catálogo)"))</f>
        <v/>
      </c>
      <c r="X598" s="3">
        <f>IF(tblOrdenes[[#This Row],[puesto_trabajo]]="","",_xlfn.XLOOKUP(tblOrdenes[[#This Row],[puesto_trabajo]],tblPuestos[codigo],tblPuestos[especialidad],"(sin catálogo)"))</f>
        <v/>
      </c>
      <c r="Y598" s="3">
        <f>IF(tblOrdenes[[#This Row],[cod_actividad]]="","",_xlfn.XLOOKUP(tblOrdenes[[#This Row],[cod_actividad]],tblActividades[codigo],tblActividades[descripcion],"(sin catálogo)"))</f>
        <v/>
      </c>
      <c r="Z598" s="12">
        <f>IF(tblOrdenes[[#This Row],[fecha_inicio]]="","",TODAY()-tblOrdenes[[#This Row],[fecha_inicio]])</f>
        <v/>
      </c>
      <c r="AA598" s="3">
        <f>IF(tblOrdenes[[#This Row],[backlog_dias]]="","",IF(tblOrdenes[[#This Row],[backlog_dias]]&lt;0,"FUTURO",IF(tblOrdenes[[#This Row],[backlog_dias]]&gt;p_dias_backlog_max,"BACKLOG","MES CORRIENTE")))</f>
        <v/>
      </c>
      <c r="AB598" s="3">
        <f>IF(tblOrdenes[[#This Row],[backlog_dias]]="",FALSE,AND(tblOrdenes[[#This Row],[backlog_dias]]&gt;p_dias_backlog_min,tblOrdenes[[#This Row],[backlog_dias]]&lt;=p_dias_backlog_max))</f>
        <v/>
      </c>
      <c r="AC598" s="6" t="n"/>
      <c r="AD5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98" s="10">
        <f>IF(tblOrdenes[[#This Row],[orden]]="","",_xlfn.XLOOKUP(tblOrdenes[[#This Row],[id_operacion]],tblEjecucion[id_operacion],tblEjecucion[precio],0))</f>
        <v/>
      </c>
      <c r="AH598" s="10">
        <f>IF(tblOrdenes[[#This Row],[orden]]="","",MAX(0,_xlfn.XLOOKUP(tblOrdenes[[#This Row],[id_operacion]],tblEjecucion[id_operacion],tblEjecucion[costo_plan_total],0)-tblOrdenes[[#This Row],[costo_servicio]]))</f>
        <v/>
      </c>
      <c r="AI598" s="10">
        <f>IF(tblOrdenes[[#This Row],[orden]]="","",tblOrdenes[[#This Row],[costo_servicio]]+tblOrdenes[[#This Row],[costo_materiales]])</f>
        <v/>
      </c>
      <c r="AJ598" s="6" t="n"/>
      <c r="AK598" s="6" t="n"/>
      <c r="AL598" s="6" t="n"/>
      <c r="AM598" s="3">
        <f>IF(tblOrdenes[[#This Row],[link_checklist]]="","",HYPERLINK(p_ruta_base_checklists&amp;tblOrdenes[[#This Row],[link_checklist]],"abrir"))</f>
        <v/>
      </c>
      <c r="AN598" s="6" t="n"/>
      <c r="AO598" s="3">
        <f>IF(tblOrdenes[[#This Row],[orden]]="","",tblOrdenes[[#This Row],[orden]]&amp;IF(tblOrdenes[[#This Row],[operacion]]="","0010",tblOrdenes[[#This Row],[operacion]]))</f>
        <v/>
      </c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11" t="n"/>
      <c r="K599" s="3" t="n"/>
      <c r="L599" s="10" t="n"/>
      <c r="M599" s="6" t="n"/>
      <c r="N5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5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5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599" s="3">
        <f>IF(tblOrdenes[[#This Row],[fecha_inicio]]="","",YEAR(tblOrdenes[[#This Row],[fecha_inicio]]))</f>
        <v/>
      </c>
      <c r="R599" s="3">
        <f>IF(tblOrdenes[[#This Row],[fecha_inicio]]="","",MONTH(tblOrdenes[[#This Row],[fecha_inicio]]))</f>
        <v/>
      </c>
      <c r="S599" s="3">
        <f>IF(tblOrdenes[[#This Row],[fecha_inicio]]="","",INDEX(lista_dias,WEEKDAY(tblOrdenes[[#This Row],[fecha_inicio]],2)))</f>
        <v/>
      </c>
      <c r="T599" s="3">
        <f>IF(tblOrdenes[[#This Row],[tipo_ot]]="","",_xlfn.XLOOKUP(tblOrdenes[[#This Row],[tipo_ot]],tblTiposOT[codigo],tblTiposOT[clasificacion],"sin_clasificar"))</f>
        <v/>
      </c>
      <c r="U599" s="3">
        <f>IF(tblOrdenes[[#This Row],[centro_costo]]="","",_xlfn.XLOOKUP(tblOrdenes[[#This Row],[centro_costo]],tblCECO[codigo],tblCECO[linea],"(sin catálogo)"))</f>
        <v/>
      </c>
      <c r="V599" s="3">
        <f>IF(tblOrdenes[[#This Row],[centro_costo]]="","",_xlfn.XLOOKUP(tblOrdenes[[#This Row],[centro_costo]],tblCECO[codigo],tblCECO[area],"(sin catálogo)"))</f>
        <v/>
      </c>
      <c r="W599" s="3">
        <f>IF(tblOrdenes[[#This Row],[centro_costo]]="","",_xlfn.XLOOKUP(tblOrdenes[[#This Row],[centro_costo]],tblCECO[codigo],tblCECO[coordinador],"(sin catálogo)"))</f>
        <v/>
      </c>
      <c r="X599" s="3">
        <f>IF(tblOrdenes[[#This Row],[puesto_trabajo]]="","",_xlfn.XLOOKUP(tblOrdenes[[#This Row],[puesto_trabajo]],tblPuestos[codigo],tblPuestos[especialidad],"(sin catálogo)"))</f>
        <v/>
      </c>
      <c r="Y599" s="3">
        <f>IF(tblOrdenes[[#This Row],[cod_actividad]]="","",_xlfn.XLOOKUP(tblOrdenes[[#This Row],[cod_actividad]],tblActividades[codigo],tblActividades[descripcion],"(sin catálogo)"))</f>
        <v/>
      </c>
      <c r="Z599" s="12">
        <f>IF(tblOrdenes[[#This Row],[fecha_inicio]]="","",TODAY()-tblOrdenes[[#This Row],[fecha_inicio]])</f>
        <v/>
      </c>
      <c r="AA599" s="3">
        <f>IF(tblOrdenes[[#This Row],[backlog_dias]]="","",IF(tblOrdenes[[#This Row],[backlog_dias]]&lt;0,"FUTURO",IF(tblOrdenes[[#This Row],[backlog_dias]]&gt;p_dias_backlog_max,"BACKLOG","MES CORRIENTE")))</f>
        <v/>
      </c>
      <c r="AB599" s="3">
        <f>IF(tblOrdenes[[#This Row],[backlog_dias]]="",FALSE,AND(tblOrdenes[[#This Row],[backlog_dias]]&gt;p_dias_backlog_min,tblOrdenes[[#This Row],[backlog_dias]]&lt;=p_dias_backlog_max))</f>
        <v/>
      </c>
      <c r="AC599" s="6" t="n"/>
      <c r="AD5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5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5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599" s="10">
        <f>IF(tblOrdenes[[#This Row],[orden]]="","",_xlfn.XLOOKUP(tblOrdenes[[#This Row],[id_operacion]],tblEjecucion[id_operacion],tblEjecucion[precio],0))</f>
        <v/>
      </c>
      <c r="AH599" s="10">
        <f>IF(tblOrdenes[[#This Row],[orden]]="","",MAX(0,_xlfn.XLOOKUP(tblOrdenes[[#This Row],[id_operacion]],tblEjecucion[id_operacion],tblEjecucion[costo_plan_total],0)-tblOrdenes[[#This Row],[costo_servicio]]))</f>
        <v/>
      </c>
      <c r="AI599" s="10">
        <f>IF(tblOrdenes[[#This Row],[orden]]="","",tblOrdenes[[#This Row],[costo_servicio]]+tblOrdenes[[#This Row],[costo_materiales]])</f>
        <v/>
      </c>
      <c r="AJ599" s="6" t="n"/>
      <c r="AK599" s="6" t="n"/>
      <c r="AL599" s="6" t="n"/>
      <c r="AM599" s="3">
        <f>IF(tblOrdenes[[#This Row],[link_checklist]]="","",HYPERLINK(p_ruta_base_checklists&amp;tblOrdenes[[#This Row],[link_checklist]],"abrir"))</f>
        <v/>
      </c>
      <c r="AN599" s="6" t="n"/>
      <c r="AO599" s="3">
        <f>IF(tblOrdenes[[#This Row],[orden]]="","",tblOrdenes[[#This Row],[orden]]&amp;IF(tblOrdenes[[#This Row],[operacion]]="","0010",tblOrdenes[[#This Row],[operacion]]))</f>
        <v/>
      </c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11" t="n"/>
      <c r="K600" s="3" t="n"/>
      <c r="L600" s="10" t="n"/>
      <c r="M600" s="6" t="n"/>
      <c r="N6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00" s="3">
        <f>IF(tblOrdenes[[#This Row],[fecha_inicio]]="","",YEAR(tblOrdenes[[#This Row],[fecha_inicio]]))</f>
        <v/>
      </c>
      <c r="R600" s="3">
        <f>IF(tblOrdenes[[#This Row],[fecha_inicio]]="","",MONTH(tblOrdenes[[#This Row],[fecha_inicio]]))</f>
        <v/>
      </c>
      <c r="S600" s="3">
        <f>IF(tblOrdenes[[#This Row],[fecha_inicio]]="","",INDEX(lista_dias,WEEKDAY(tblOrdenes[[#This Row],[fecha_inicio]],2)))</f>
        <v/>
      </c>
      <c r="T600" s="3">
        <f>IF(tblOrdenes[[#This Row],[tipo_ot]]="","",_xlfn.XLOOKUP(tblOrdenes[[#This Row],[tipo_ot]],tblTiposOT[codigo],tblTiposOT[clasificacion],"sin_clasificar"))</f>
        <v/>
      </c>
      <c r="U600" s="3">
        <f>IF(tblOrdenes[[#This Row],[centro_costo]]="","",_xlfn.XLOOKUP(tblOrdenes[[#This Row],[centro_costo]],tblCECO[codigo],tblCECO[linea],"(sin catálogo)"))</f>
        <v/>
      </c>
      <c r="V600" s="3">
        <f>IF(tblOrdenes[[#This Row],[centro_costo]]="","",_xlfn.XLOOKUP(tblOrdenes[[#This Row],[centro_costo]],tblCECO[codigo],tblCECO[area],"(sin catálogo)"))</f>
        <v/>
      </c>
      <c r="W600" s="3">
        <f>IF(tblOrdenes[[#This Row],[centro_costo]]="","",_xlfn.XLOOKUP(tblOrdenes[[#This Row],[centro_costo]],tblCECO[codigo],tblCECO[coordinador],"(sin catálogo)"))</f>
        <v/>
      </c>
      <c r="X600" s="3">
        <f>IF(tblOrdenes[[#This Row],[puesto_trabajo]]="","",_xlfn.XLOOKUP(tblOrdenes[[#This Row],[puesto_trabajo]],tblPuestos[codigo],tblPuestos[especialidad],"(sin catálogo)"))</f>
        <v/>
      </c>
      <c r="Y600" s="3">
        <f>IF(tblOrdenes[[#This Row],[cod_actividad]]="","",_xlfn.XLOOKUP(tblOrdenes[[#This Row],[cod_actividad]],tblActividades[codigo],tblActividades[descripcion],"(sin catálogo)"))</f>
        <v/>
      </c>
      <c r="Z600" s="12">
        <f>IF(tblOrdenes[[#This Row],[fecha_inicio]]="","",TODAY()-tblOrdenes[[#This Row],[fecha_inicio]])</f>
        <v/>
      </c>
      <c r="AA600" s="3">
        <f>IF(tblOrdenes[[#This Row],[backlog_dias]]="","",IF(tblOrdenes[[#This Row],[backlog_dias]]&lt;0,"FUTURO",IF(tblOrdenes[[#This Row],[backlog_dias]]&gt;p_dias_backlog_max,"BACKLOG","MES CORRIENTE")))</f>
        <v/>
      </c>
      <c r="AB600" s="3">
        <f>IF(tblOrdenes[[#This Row],[backlog_dias]]="",FALSE,AND(tblOrdenes[[#This Row],[backlog_dias]]&gt;p_dias_backlog_min,tblOrdenes[[#This Row],[backlog_dias]]&lt;=p_dias_backlog_max))</f>
        <v/>
      </c>
      <c r="AC600" s="6" t="n"/>
      <c r="AD6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00" s="10">
        <f>IF(tblOrdenes[[#This Row],[orden]]="","",_xlfn.XLOOKUP(tblOrdenes[[#This Row],[id_operacion]],tblEjecucion[id_operacion],tblEjecucion[precio],0))</f>
        <v/>
      </c>
      <c r="AH600" s="10">
        <f>IF(tblOrdenes[[#This Row],[orden]]="","",MAX(0,_xlfn.XLOOKUP(tblOrdenes[[#This Row],[id_operacion]],tblEjecucion[id_operacion],tblEjecucion[costo_plan_total],0)-tblOrdenes[[#This Row],[costo_servicio]]))</f>
        <v/>
      </c>
      <c r="AI600" s="10">
        <f>IF(tblOrdenes[[#This Row],[orden]]="","",tblOrdenes[[#This Row],[costo_servicio]]+tblOrdenes[[#This Row],[costo_materiales]])</f>
        <v/>
      </c>
      <c r="AJ600" s="6" t="n"/>
      <c r="AK600" s="6" t="n"/>
      <c r="AL600" s="6" t="n"/>
      <c r="AM600" s="3">
        <f>IF(tblOrdenes[[#This Row],[link_checklist]]="","",HYPERLINK(p_ruta_base_checklists&amp;tblOrdenes[[#This Row],[link_checklist]],"abrir"))</f>
        <v/>
      </c>
      <c r="AN600" s="6" t="n"/>
      <c r="AO600" s="3">
        <f>IF(tblOrdenes[[#This Row],[orden]]="","",tblOrdenes[[#This Row],[orden]]&amp;IF(tblOrdenes[[#This Row],[operacion]]="","0010",tblOrdenes[[#This Row],[operacion]]))</f>
        <v/>
      </c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11" t="n"/>
      <c r="K601" s="3" t="n"/>
      <c r="L601" s="10" t="n"/>
      <c r="M601" s="6" t="n"/>
      <c r="N6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01" s="3">
        <f>IF(tblOrdenes[[#This Row],[fecha_inicio]]="","",YEAR(tblOrdenes[[#This Row],[fecha_inicio]]))</f>
        <v/>
      </c>
      <c r="R601" s="3">
        <f>IF(tblOrdenes[[#This Row],[fecha_inicio]]="","",MONTH(tblOrdenes[[#This Row],[fecha_inicio]]))</f>
        <v/>
      </c>
      <c r="S601" s="3">
        <f>IF(tblOrdenes[[#This Row],[fecha_inicio]]="","",INDEX(lista_dias,WEEKDAY(tblOrdenes[[#This Row],[fecha_inicio]],2)))</f>
        <v/>
      </c>
      <c r="T601" s="3">
        <f>IF(tblOrdenes[[#This Row],[tipo_ot]]="","",_xlfn.XLOOKUP(tblOrdenes[[#This Row],[tipo_ot]],tblTiposOT[codigo],tblTiposOT[clasificacion],"sin_clasificar"))</f>
        <v/>
      </c>
      <c r="U601" s="3">
        <f>IF(tblOrdenes[[#This Row],[centro_costo]]="","",_xlfn.XLOOKUP(tblOrdenes[[#This Row],[centro_costo]],tblCECO[codigo],tblCECO[linea],"(sin catálogo)"))</f>
        <v/>
      </c>
      <c r="V601" s="3">
        <f>IF(tblOrdenes[[#This Row],[centro_costo]]="","",_xlfn.XLOOKUP(tblOrdenes[[#This Row],[centro_costo]],tblCECO[codigo],tblCECO[area],"(sin catálogo)"))</f>
        <v/>
      </c>
      <c r="W601" s="3">
        <f>IF(tblOrdenes[[#This Row],[centro_costo]]="","",_xlfn.XLOOKUP(tblOrdenes[[#This Row],[centro_costo]],tblCECO[codigo],tblCECO[coordinador],"(sin catálogo)"))</f>
        <v/>
      </c>
      <c r="X601" s="3">
        <f>IF(tblOrdenes[[#This Row],[puesto_trabajo]]="","",_xlfn.XLOOKUP(tblOrdenes[[#This Row],[puesto_trabajo]],tblPuestos[codigo],tblPuestos[especialidad],"(sin catálogo)"))</f>
        <v/>
      </c>
      <c r="Y601" s="3">
        <f>IF(tblOrdenes[[#This Row],[cod_actividad]]="","",_xlfn.XLOOKUP(tblOrdenes[[#This Row],[cod_actividad]],tblActividades[codigo],tblActividades[descripcion],"(sin catálogo)"))</f>
        <v/>
      </c>
      <c r="Z601" s="12">
        <f>IF(tblOrdenes[[#This Row],[fecha_inicio]]="","",TODAY()-tblOrdenes[[#This Row],[fecha_inicio]])</f>
        <v/>
      </c>
      <c r="AA601" s="3">
        <f>IF(tblOrdenes[[#This Row],[backlog_dias]]="","",IF(tblOrdenes[[#This Row],[backlog_dias]]&lt;0,"FUTURO",IF(tblOrdenes[[#This Row],[backlog_dias]]&gt;p_dias_backlog_max,"BACKLOG","MES CORRIENTE")))</f>
        <v/>
      </c>
      <c r="AB601" s="3">
        <f>IF(tblOrdenes[[#This Row],[backlog_dias]]="",FALSE,AND(tblOrdenes[[#This Row],[backlog_dias]]&gt;p_dias_backlog_min,tblOrdenes[[#This Row],[backlog_dias]]&lt;=p_dias_backlog_max))</f>
        <v/>
      </c>
      <c r="AC601" s="6" t="n"/>
      <c r="AD6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01" s="10">
        <f>IF(tblOrdenes[[#This Row],[orden]]="","",_xlfn.XLOOKUP(tblOrdenes[[#This Row],[id_operacion]],tblEjecucion[id_operacion],tblEjecucion[precio],0))</f>
        <v/>
      </c>
      <c r="AH601" s="10">
        <f>IF(tblOrdenes[[#This Row],[orden]]="","",MAX(0,_xlfn.XLOOKUP(tblOrdenes[[#This Row],[id_operacion]],tblEjecucion[id_operacion],tblEjecucion[costo_plan_total],0)-tblOrdenes[[#This Row],[costo_servicio]]))</f>
        <v/>
      </c>
      <c r="AI601" s="10">
        <f>IF(tblOrdenes[[#This Row],[orden]]="","",tblOrdenes[[#This Row],[costo_servicio]]+tblOrdenes[[#This Row],[costo_materiales]])</f>
        <v/>
      </c>
      <c r="AJ601" s="6" t="n"/>
      <c r="AK601" s="6" t="n"/>
      <c r="AL601" s="6" t="n"/>
      <c r="AM601" s="3">
        <f>IF(tblOrdenes[[#This Row],[link_checklist]]="","",HYPERLINK(p_ruta_base_checklists&amp;tblOrdenes[[#This Row],[link_checklist]],"abrir"))</f>
        <v/>
      </c>
      <c r="AN601" s="6" t="n"/>
      <c r="AO601" s="3">
        <f>IF(tblOrdenes[[#This Row],[orden]]="","",tblOrdenes[[#This Row],[orden]]&amp;IF(tblOrdenes[[#This Row],[operacion]]="","0010",tblOrdenes[[#This Row],[operacion]]))</f>
        <v/>
      </c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11" t="n"/>
      <c r="K602" s="3" t="n"/>
      <c r="L602" s="10" t="n"/>
      <c r="M602" s="6" t="n"/>
      <c r="N6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02" s="3">
        <f>IF(tblOrdenes[[#This Row],[fecha_inicio]]="","",YEAR(tblOrdenes[[#This Row],[fecha_inicio]]))</f>
        <v/>
      </c>
      <c r="R602" s="3">
        <f>IF(tblOrdenes[[#This Row],[fecha_inicio]]="","",MONTH(tblOrdenes[[#This Row],[fecha_inicio]]))</f>
        <v/>
      </c>
      <c r="S602" s="3">
        <f>IF(tblOrdenes[[#This Row],[fecha_inicio]]="","",INDEX(lista_dias,WEEKDAY(tblOrdenes[[#This Row],[fecha_inicio]],2)))</f>
        <v/>
      </c>
      <c r="T602" s="3">
        <f>IF(tblOrdenes[[#This Row],[tipo_ot]]="","",_xlfn.XLOOKUP(tblOrdenes[[#This Row],[tipo_ot]],tblTiposOT[codigo],tblTiposOT[clasificacion],"sin_clasificar"))</f>
        <v/>
      </c>
      <c r="U602" s="3">
        <f>IF(tblOrdenes[[#This Row],[centro_costo]]="","",_xlfn.XLOOKUP(tblOrdenes[[#This Row],[centro_costo]],tblCECO[codigo],tblCECO[linea],"(sin catálogo)"))</f>
        <v/>
      </c>
      <c r="V602" s="3">
        <f>IF(tblOrdenes[[#This Row],[centro_costo]]="","",_xlfn.XLOOKUP(tblOrdenes[[#This Row],[centro_costo]],tblCECO[codigo],tblCECO[area],"(sin catálogo)"))</f>
        <v/>
      </c>
      <c r="W602" s="3">
        <f>IF(tblOrdenes[[#This Row],[centro_costo]]="","",_xlfn.XLOOKUP(tblOrdenes[[#This Row],[centro_costo]],tblCECO[codigo],tblCECO[coordinador],"(sin catálogo)"))</f>
        <v/>
      </c>
      <c r="X602" s="3">
        <f>IF(tblOrdenes[[#This Row],[puesto_trabajo]]="","",_xlfn.XLOOKUP(tblOrdenes[[#This Row],[puesto_trabajo]],tblPuestos[codigo],tblPuestos[especialidad],"(sin catálogo)"))</f>
        <v/>
      </c>
      <c r="Y602" s="3">
        <f>IF(tblOrdenes[[#This Row],[cod_actividad]]="","",_xlfn.XLOOKUP(tblOrdenes[[#This Row],[cod_actividad]],tblActividades[codigo],tblActividades[descripcion],"(sin catálogo)"))</f>
        <v/>
      </c>
      <c r="Z602" s="12">
        <f>IF(tblOrdenes[[#This Row],[fecha_inicio]]="","",TODAY()-tblOrdenes[[#This Row],[fecha_inicio]])</f>
        <v/>
      </c>
      <c r="AA602" s="3">
        <f>IF(tblOrdenes[[#This Row],[backlog_dias]]="","",IF(tblOrdenes[[#This Row],[backlog_dias]]&lt;0,"FUTURO",IF(tblOrdenes[[#This Row],[backlog_dias]]&gt;p_dias_backlog_max,"BACKLOG","MES CORRIENTE")))</f>
        <v/>
      </c>
      <c r="AB602" s="3">
        <f>IF(tblOrdenes[[#This Row],[backlog_dias]]="",FALSE,AND(tblOrdenes[[#This Row],[backlog_dias]]&gt;p_dias_backlog_min,tblOrdenes[[#This Row],[backlog_dias]]&lt;=p_dias_backlog_max))</f>
        <v/>
      </c>
      <c r="AC602" s="6" t="n"/>
      <c r="AD6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02" s="10">
        <f>IF(tblOrdenes[[#This Row],[orden]]="","",_xlfn.XLOOKUP(tblOrdenes[[#This Row],[id_operacion]],tblEjecucion[id_operacion],tblEjecucion[precio],0))</f>
        <v/>
      </c>
      <c r="AH602" s="10">
        <f>IF(tblOrdenes[[#This Row],[orden]]="","",MAX(0,_xlfn.XLOOKUP(tblOrdenes[[#This Row],[id_operacion]],tblEjecucion[id_operacion],tblEjecucion[costo_plan_total],0)-tblOrdenes[[#This Row],[costo_servicio]]))</f>
        <v/>
      </c>
      <c r="AI602" s="10">
        <f>IF(tblOrdenes[[#This Row],[orden]]="","",tblOrdenes[[#This Row],[costo_servicio]]+tblOrdenes[[#This Row],[costo_materiales]])</f>
        <v/>
      </c>
      <c r="AJ602" s="6" t="n"/>
      <c r="AK602" s="6" t="n"/>
      <c r="AL602" s="6" t="n"/>
      <c r="AM602" s="3">
        <f>IF(tblOrdenes[[#This Row],[link_checklist]]="","",HYPERLINK(p_ruta_base_checklists&amp;tblOrdenes[[#This Row],[link_checklist]],"abrir"))</f>
        <v/>
      </c>
      <c r="AN602" s="6" t="n"/>
      <c r="AO602" s="3">
        <f>IF(tblOrdenes[[#This Row],[orden]]="","",tblOrdenes[[#This Row],[orden]]&amp;IF(tblOrdenes[[#This Row],[operacion]]="","0010",tblOrdenes[[#This Row],[operacion]]))</f>
        <v/>
      </c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11" t="n"/>
      <c r="K603" s="3" t="n"/>
      <c r="L603" s="10" t="n"/>
      <c r="M603" s="6" t="n"/>
      <c r="N6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03" s="3">
        <f>IF(tblOrdenes[[#This Row],[fecha_inicio]]="","",YEAR(tblOrdenes[[#This Row],[fecha_inicio]]))</f>
        <v/>
      </c>
      <c r="R603" s="3">
        <f>IF(tblOrdenes[[#This Row],[fecha_inicio]]="","",MONTH(tblOrdenes[[#This Row],[fecha_inicio]]))</f>
        <v/>
      </c>
      <c r="S603" s="3">
        <f>IF(tblOrdenes[[#This Row],[fecha_inicio]]="","",INDEX(lista_dias,WEEKDAY(tblOrdenes[[#This Row],[fecha_inicio]],2)))</f>
        <v/>
      </c>
      <c r="T603" s="3">
        <f>IF(tblOrdenes[[#This Row],[tipo_ot]]="","",_xlfn.XLOOKUP(tblOrdenes[[#This Row],[tipo_ot]],tblTiposOT[codigo],tblTiposOT[clasificacion],"sin_clasificar"))</f>
        <v/>
      </c>
      <c r="U603" s="3">
        <f>IF(tblOrdenes[[#This Row],[centro_costo]]="","",_xlfn.XLOOKUP(tblOrdenes[[#This Row],[centro_costo]],tblCECO[codigo],tblCECO[linea],"(sin catálogo)"))</f>
        <v/>
      </c>
      <c r="V603" s="3">
        <f>IF(tblOrdenes[[#This Row],[centro_costo]]="","",_xlfn.XLOOKUP(tblOrdenes[[#This Row],[centro_costo]],tblCECO[codigo],tblCECO[area],"(sin catálogo)"))</f>
        <v/>
      </c>
      <c r="W603" s="3">
        <f>IF(tblOrdenes[[#This Row],[centro_costo]]="","",_xlfn.XLOOKUP(tblOrdenes[[#This Row],[centro_costo]],tblCECO[codigo],tblCECO[coordinador],"(sin catálogo)"))</f>
        <v/>
      </c>
      <c r="X603" s="3">
        <f>IF(tblOrdenes[[#This Row],[puesto_trabajo]]="","",_xlfn.XLOOKUP(tblOrdenes[[#This Row],[puesto_trabajo]],tblPuestos[codigo],tblPuestos[especialidad],"(sin catálogo)"))</f>
        <v/>
      </c>
      <c r="Y603" s="3">
        <f>IF(tblOrdenes[[#This Row],[cod_actividad]]="","",_xlfn.XLOOKUP(tblOrdenes[[#This Row],[cod_actividad]],tblActividades[codigo],tblActividades[descripcion],"(sin catálogo)"))</f>
        <v/>
      </c>
      <c r="Z603" s="12">
        <f>IF(tblOrdenes[[#This Row],[fecha_inicio]]="","",TODAY()-tblOrdenes[[#This Row],[fecha_inicio]])</f>
        <v/>
      </c>
      <c r="AA603" s="3">
        <f>IF(tblOrdenes[[#This Row],[backlog_dias]]="","",IF(tblOrdenes[[#This Row],[backlog_dias]]&lt;0,"FUTURO",IF(tblOrdenes[[#This Row],[backlog_dias]]&gt;p_dias_backlog_max,"BACKLOG","MES CORRIENTE")))</f>
        <v/>
      </c>
      <c r="AB603" s="3">
        <f>IF(tblOrdenes[[#This Row],[backlog_dias]]="",FALSE,AND(tblOrdenes[[#This Row],[backlog_dias]]&gt;p_dias_backlog_min,tblOrdenes[[#This Row],[backlog_dias]]&lt;=p_dias_backlog_max))</f>
        <v/>
      </c>
      <c r="AC603" s="6" t="n"/>
      <c r="AD6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03" s="10">
        <f>IF(tblOrdenes[[#This Row],[orden]]="","",_xlfn.XLOOKUP(tblOrdenes[[#This Row],[id_operacion]],tblEjecucion[id_operacion],tblEjecucion[precio],0))</f>
        <v/>
      </c>
      <c r="AH603" s="10">
        <f>IF(tblOrdenes[[#This Row],[orden]]="","",MAX(0,_xlfn.XLOOKUP(tblOrdenes[[#This Row],[id_operacion]],tblEjecucion[id_operacion],tblEjecucion[costo_plan_total],0)-tblOrdenes[[#This Row],[costo_servicio]]))</f>
        <v/>
      </c>
      <c r="AI603" s="10">
        <f>IF(tblOrdenes[[#This Row],[orden]]="","",tblOrdenes[[#This Row],[costo_servicio]]+tblOrdenes[[#This Row],[costo_materiales]])</f>
        <v/>
      </c>
      <c r="AJ603" s="6" t="n"/>
      <c r="AK603" s="6" t="n"/>
      <c r="AL603" s="6" t="n"/>
      <c r="AM603" s="3">
        <f>IF(tblOrdenes[[#This Row],[link_checklist]]="","",HYPERLINK(p_ruta_base_checklists&amp;tblOrdenes[[#This Row],[link_checklist]],"abrir"))</f>
        <v/>
      </c>
      <c r="AN603" s="6" t="n"/>
      <c r="AO603" s="3">
        <f>IF(tblOrdenes[[#This Row],[orden]]="","",tblOrdenes[[#This Row],[orden]]&amp;IF(tblOrdenes[[#This Row],[operacion]]="","0010",tblOrdenes[[#This Row],[operacion]]))</f>
        <v/>
      </c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11" t="n"/>
      <c r="K604" s="3" t="n"/>
      <c r="L604" s="10" t="n"/>
      <c r="M604" s="6" t="n"/>
      <c r="N60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0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0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04" s="3">
        <f>IF(tblOrdenes[[#This Row],[fecha_inicio]]="","",YEAR(tblOrdenes[[#This Row],[fecha_inicio]]))</f>
        <v/>
      </c>
      <c r="R604" s="3">
        <f>IF(tblOrdenes[[#This Row],[fecha_inicio]]="","",MONTH(tblOrdenes[[#This Row],[fecha_inicio]]))</f>
        <v/>
      </c>
      <c r="S604" s="3">
        <f>IF(tblOrdenes[[#This Row],[fecha_inicio]]="","",INDEX(lista_dias,WEEKDAY(tblOrdenes[[#This Row],[fecha_inicio]],2)))</f>
        <v/>
      </c>
      <c r="T604" s="3">
        <f>IF(tblOrdenes[[#This Row],[tipo_ot]]="","",_xlfn.XLOOKUP(tblOrdenes[[#This Row],[tipo_ot]],tblTiposOT[codigo],tblTiposOT[clasificacion],"sin_clasificar"))</f>
        <v/>
      </c>
      <c r="U604" s="3">
        <f>IF(tblOrdenes[[#This Row],[centro_costo]]="","",_xlfn.XLOOKUP(tblOrdenes[[#This Row],[centro_costo]],tblCECO[codigo],tblCECO[linea],"(sin catálogo)"))</f>
        <v/>
      </c>
      <c r="V604" s="3">
        <f>IF(tblOrdenes[[#This Row],[centro_costo]]="","",_xlfn.XLOOKUP(tblOrdenes[[#This Row],[centro_costo]],tblCECO[codigo],tblCECO[area],"(sin catálogo)"))</f>
        <v/>
      </c>
      <c r="W604" s="3">
        <f>IF(tblOrdenes[[#This Row],[centro_costo]]="","",_xlfn.XLOOKUP(tblOrdenes[[#This Row],[centro_costo]],tblCECO[codigo],tblCECO[coordinador],"(sin catálogo)"))</f>
        <v/>
      </c>
      <c r="X604" s="3">
        <f>IF(tblOrdenes[[#This Row],[puesto_trabajo]]="","",_xlfn.XLOOKUP(tblOrdenes[[#This Row],[puesto_trabajo]],tblPuestos[codigo],tblPuestos[especialidad],"(sin catálogo)"))</f>
        <v/>
      </c>
      <c r="Y604" s="3">
        <f>IF(tblOrdenes[[#This Row],[cod_actividad]]="","",_xlfn.XLOOKUP(tblOrdenes[[#This Row],[cod_actividad]],tblActividades[codigo],tblActividades[descripcion],"(sin catálogo)"))</f>
        <v/>
      </c>
      <c r="Z604" s="12">
        <f>IF(tblOrdenes[[#This Row],[fecha_inicio]]="","",TODAY()-tblOrdenes[[#This Row],[fecha_inicio]])</f>
        <v/>
      </c>
      <c r="AA604" s="3">
        <f>IF(tblOrdenes[[#This Row],[backlog_dias]]="","",IF(tblOrdenes[[#This Row],[backlog_dias]]&lt;0,"FUTURO",IF(tblOrdenes[[#This Row],[backlog_dias]]&gt;p_dias_backlog_max,"BACKLOG","MES CORRIENTE")))</f>
        <v/>
      </c>
      <c r="AB604" s="3">
        <f>IF(tblOrdenes[[#This Row],[backlog_dias]]="",FALSE,AND(tblOrdenes[[#This Row],[backlog_dias]]&gt;p_dias_backlog_min,tblOrdenes[[#This Row],[backlog_dias]]&lt;=p_dias_backlog_max))</f>
        <v/>
      </c>
      <c r="AC604" s="6" t="n"/>
      <c r="AD60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0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0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04" s="10">
        <f>IF(tblOrdenes[[#This Row],[orden]]="","",_xlfn.XLOOKUP(tblOrdenes[[#This Row],[id_operacion]],tblEjecucion[id_operacion],tblEjecucion[precio],0))</f>
        <v/>
      </c>
      <c r="AH604" s="10">
        <f>IF(tblOrdenes[[#This Row],[orden]]="","",MAX(0,_xlfn.XLOOKUP(tblOrdenes[[#This Row],[id_operacion]],tblEjecucion[id_operacion],tblEjecucion[costo_plan_total],0)-tblOrdenes[[#This Row],[costo_servicio]]))</f>
        <v/>
      </c>
      <c r="AI604" s="10">
        <f>IF(tblOrdenes[[#This Row],[orden]]="","",tblOrdenes[[#This Row],[costo_servicio]]+tblOrdenes[[#This Row],[costo_materiales]])</f>
        <v/>
      </c>
      <c r="AJ604" s="6" t="n"/>
      <c r="AK604" s="6" t="n"/>
      <c r="AL604" s="6" t="n"/>
      <c r="AM604" s="3">
        <f>IF(tblOrdenes[[#This Row],[link_checklist]]="","",HYPERLINK(p_ruta_base_checklists&amp;tblOrdenes[[#This Row],[link_checklist]],"abrir"))</f>
        <v/>
      </c>
      <c r="AN604" s="6" t="n"/>
      <c r="AO604" s="3">
        <f>IF(tblOrdenes[[#This Row],[orden]]="","",tblOrdenes[[#This Row],[orden]]&amp;IF(tblOrdenes[[#This Row],[operacion]]="","0010",tblOrdenes[[#This Row],[operacion]]))</f>
        <v/>
      </c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11" t="n"/>
      <c r="K605" s="3" t="n"/>
      <c r="L605" s="10" t="n"/>
      <c r="M605" s="6" t="n"/>
      <c r="N60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0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0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05" s="3">
        <f>IF(tblOrdenes[[#This Row],[fecha_inicio]]="","",YEAR(tblOrdenes[[#This Row],[fecha_inicio]]))</f>
        <v/>
      </c>
      <c r="R605" s="3">
        <f>IF(tblOrdenes[[#This Row],[fecha_inicio]]="","",MONTH(tblOrdenes[[#This Row],[fecha_inicio]]))</f>
        <v/>
      </c>
      <c r="S605" s="3">
        <f>IF(tblOrdenes[[#This Row],[fecha_inicio]]="","",INDEX(lista_dias,WEEKDAY(tblOrdenes[[#This Row],[fecha_inicio]],2)))</f>
        <v/>
      </c>
      <c r="T605" s="3">
        <f>IF(tblOrdenes[[#This Row],[tipo_ot]]="","",_xlfn.XLOOKUP(tblOrdenes[[#This Row],[tipo_ot]],tblTiposOT[codigo],tblTiposOT[clasificacion],"sin_clasificar"))</f>
        <v/>
      </c>
      <c r="U605" s="3">
        <f>IF(tblOrdenes[[#This Row],[centro_costo]]="","",_xlfn.XLOOKUP(tblOrdenes[[#This Row],[centro_costo]],tblCECO[codigo],tblCECO[linea],"(sin catálogo)"))</f>
        <v/>
      </c>
      <c r="V605" s="3">
        <f>IF(tblOrdenes[[#This Row],[centro_costo]]="","",_xlfn.XLOOKUP(tblOrdenes[[#This Row],[centro_costo]],tblCECO[codigo],tblCECO[area],"(sin catálogo)"))</f>
        <v/>
      </c>
      <c r="W605" s="3">
        <f>IF(tblOrdenes[[#This Row],[centro_costo]]="","",_xlfn.XLOOKUP(tblOrdenes[[#This Row],[centro_costo]],tblCECO[codigo],tblCECO[coordinador],"(sin catálogo)"))</f>
        <v/>
      </c>
      <c r="X605" s="3">
        <f>IF(tblOrdenes[[#This Row],[puesto_trabajo]]="","",_xlfn.XLOOKUP(tblOrdenes[[#This Row],[puesto_trabajo]],tblPuestos[codigo],tblPuestos[especialidad],"(sin catálogo)"))</f>
        <v/>
      </c>
      <c r="Y605" s="3">
        <f>IF(tblOrdenes[[#This Row],[cod_actividad]]="","",_xlfn.XLOOKUP(tblOrdenes[[#This Row],[cod_actividad]],tblActividades[codigo],tblActividades[descripcion],"(sin catálogo)"))</f>
        <v/>
      </c>
      <c r="Z605" s="12">
        <f>IF(tblOrdenes[[#This Row],[fecha_inicio]]="","",TODAY()-tblOrdenes[[#This Row],[fecha_inicio]])</f>
        <v/>
      </c>
      <c r="AA605" s="3">
        <f>IF(tblOrdenes[[#This Row],[backlog_dias]]="","",IF(tblOrdenes[[#This Row],[backlog_dias]]&lt;0,"FUTURO",IF(tblOrdenes[[#This Row],[backlog_dias]]&gt;p_dias_backlog_max,"BACKLOG","MES CORRIENTE")))</f>
        <v/>
      </c>
      <c r="AB605" s="3">
        <f>IF(tblOrdenes[[#This Row],[backlog_dias]]="",FALSE,AND(tblOrdenes[[#This Row],[backlog_dias]]&gt;p_dias_backlog_min,tblOrdenes[[#This Row],[backlog_dias]]&lt;=p_dias_backlog_max))</f>
        <v/>
      </c>
      <c r="AC605" s="6" t="n"/>
      <c r="AD60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0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0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05" s="10">
        <f>IF(tblOrdenes[[#This Row],[orden]]="","",_xlfn.XLOOKUP(tblOrdenes[[#This Row],[id_operacion]],tblEjecucion[id_operacion],tblEjecucion[precio],0))</f>
        <v/>
      </c>
      <c r="AH605" s="10">
        <f>IF(tblOrdenes[[#This Row],[orden]]="","",MAX(0,_xlfn.XLOOKUP(tblOrdenes[[#This Row],[id_operacion]],tblEjecucion[id_operacion],tblEjecucion[costo_plan_total],0)-tblOrdenes[[#This Row],[costo_servicio]]))</f>
        <v/>
      </c>
      <c r="AI605" s="10">
        <f>IF(tblOrdenes[[#This Row],[orden]]="","",tblOrdenes[[#This Row],[costo_servicio]]+tblOrdenes[[#This Row],[costo_materiales]])</f>
        <v/>
      </c>
      <c r="AJ605" s="6" t="n"/>
      <c r="AK605" s="6" t="n"/>
      <c r="AL605" s="6" t="n"/>
      <c r="AM605" s="3">
        <f>IF(tblOrdenes[[#This Row],[link_checklist]]="","",HYPERLINK(p_ruta_base_checklists&amp;tblOrdenes[[#This Row],[link_checklist]],"abrir"))</f>
        <v/>
      </c>
      <c r="AN605" s="6" t="n"/>
      <c r="AO605" s="3">
        <f>IF(tblOrdenes[[#This Row],[orden]]="","",tblOrdenes[[#This Row],[orden]]&amp;IF(tblOrdenes[[#This Row],[operacion]]="","0010",tblOrdenes[[#This Row],[operacion]]))</f>
        <v/>
      </c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11" t="n"/>
      <c r="K606" s="3" t="n"/>
      <c r="L606" s="10" t="n"/>
      <c r="M606" s="6" t="n"/>
      <c r="N60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0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0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06" s="3">
        <f>IF(tblOrdenes[[#This Row],[fecha_inicio]]="","",YEAR(tblOrdenes[[#This Row],[fecha_inicio]]))</f>
        <v/>
      </c>
      <c r="R606" s="3">
        <f>IF(tblOrdenes[[#This Row],[fecha_inicio]]="","",MONTH(tblOrdenes[[#This Row],[fecha_inicio]]))</f>
        <v/>
      </c>
      <c r="S606" s="3">
        <f>IF(tblOrdenes[[#This Row],[fecha_inicio]]="","",INDEX(lista_dias,WEEKDAY(tblOrdenes[[#This Row],[fecha_inicio]],2)))</f>
        <v/>
      </c>
      <c r="T606" s="3">
        <f>IF(tblOrdenes[[#This Row],[tipo_ot]]="","",_xlfn.XLOOKUP(tblOrdenes[[#This Row],[tipo_ot]],tblTiposOT[codigo],tblTiposOT[clasificacion],"sin_clasificar"))</f>
        <v/>
      </c>
      <c r="U606" s="3">
        <f>IF(tblOrdenes[[#This Row],[centro_costo]]="","",_xlfn.XLOOKUP(tblOrdenes[[#This Row],[centro_costo]],tblCECO[codigo],tblCECO[linea],"(sin catálogo)"))</f>
        <v/>
      </c>
      <c r="V606" s="3">
        <f>IF(tblOrdenes[[#This Row],[centro_costo]]="","",_xlfn.XLOOKUP(tblOrdenes[[#This Row],[centro_costo]],tblCECO[codigo],tblCECO[area],"(sin catálogo)"))</f>
        <v/>
      </c>
      <c r="W606" s="3">
        <f>IF(tblOrdenes[[#This Row],[centro_costo]]="","",_xlfn.XLOOKUP(tblOrdenes[[#This Row],[centro_costo]],tblCECO[codigo],tblCECO[coordinador],"(sin catálogo)"))</f>
        <v/>
      </c>
      <c r="X606" s="3">
        <f>IF(tblOrdenes[[#This Row],[puesto_trabajo]]="","",_xlfn.XLOOKUP(tblOrdenes[[#This Row],[puesto_trabajo]],tblPuestos[codigo],tblPuestos[especialidad],"(sin catálogo)"))</f>
        <v/>
      </c>
      <c r="Y606" s="3">
        <f>IF(tblOrdenes[[#This Row],[cod_actividad]]="","",_xlfn.XLOOKUP(tblOrdenes[[#This Row],[cod_actividad]],tblActividades[codigo],tblActividades[descripcion],"(sin catálogo)"))</f>
        <v/>
      </c>
      <c r="Z606" s="12">
        <f>IF(tblOrdenes[[#This Row],[fecha_inicio]]="","",TODAY()-tblOrdenes[[#This Row],[fecha_inicio]])</f>
        <v/>
      </c>
      <c r="AA606" s="3">
        <f>IF(tblOrdenes[[#This Row],[backlog_dias]]="","",IF(tblOrdenes[[#This Row],[backlog_dias]]&lt;0,"FUTURO",IF(tblOrdenes[[#This Row],[backlog_dias]]&gt;p_dias_backlog_max,"BACKLOG","MES CORRIENTE")))</f>
        <v/>
      </c>
      <c r="AB606" s="3">
        <f>IF(tblOrdenes[[#This Row],[backlog_dias]]="",FALSE,AND(tblOrdenes[[#This Row],[backlog_dias]]&gt;p_dias_backlog_min,tblOrdenes[[#This Row],[backlog_dias]]&lt;=p_dias_backlog_max))</f>
        <v/>
      </c>
      <c r="AC606" s="6" t="n"/>
      <c r="AD60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0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0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06" s="10">
        <f>IF(tblOrdenes[[#This Row],[orden]]="","",_xlfn.XLOOKUP(tblOrdenes[[#This Row],[id_operacion]],tblEjecucion[id_operacion],tblEjecucion[precio],0))</f>
        <v/>
      </c>
      <c r="AH606" s="10">
        <f>IF(tblOrdenes[[#This Row],[orden]]="","",MAX(0,_xlfn.XLOOKUP(tblOrdenes[[#This Row],[id_operacion]],tblEjecucion[id_operacion],tblEjecucion[costo_plan_total],0)-tblOrdenes[[#This Row],[costo_servicio]]))</f>
        <v/>
      </c>
      <c r="AI606" s="10">
        <f>IF(tblOrdenes[[#This Row],[orden]]="","",tblOrdenes[[#This Row],[costo_servicio]]+tblOrdenes[[#This Row],[costo_materiales]])</f>
        <v/>
      </c>
      <c r="AJ606" s="6" t="n"/>
      <c r="AK606" s="6" t="n"/>
      <c r="AL606" s="6" t="n"/>
      <c r="AM606" s="3">
        <f>IF(tblOrdenes[[#This Row],[link_checklist]]="","",HYPERLINK(p_ruta_base_checklists&amp;tblOrdenes[[#This Row],[link_checklist]],"abrir"))</f>
        <v/>
      </c>
      <c r="AN606" s="6" t="n"/>
      <c r="AO606" s="3">
        <f>IF(tblOrdenes[[#This Row],[orden]]="","",tblOrdenes[[#This Row],[orden]]&amp;IF(tblOrdenes[[#This Row],[operacion]]="","0010",tblOrdenes[[#This Row],[operacion]]))</f>
        <v/>
      </c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11" t="n"/>
      <c r="K607" s="3" t="n"/>
      <c r="L607" s="10" t="n"/>
      <c r="M607" s="6" t="n"/>
      <c r="N60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0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0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07" s="3">
        <f>IF(tblOrdenes[[#This Row],[fecha_inicio]]="","",YEAR(tblOrdenes[[#This Row],[fecha_inicio]]))</f>
        <v/>
      </c>
      <c r="R607" s="3">
        <f>IF(tblOrdenes[[#This Row],[fecha_inicio]]="","",MONTH(tblOrdenes[[#This Row],[fecha_inicio]]))</f>
        <v/>
      </c>
      <c r="S607" s="3">
        <f>IF(tblOrdenes[[#This Row],[fecha_inicio]]="","",INDEX(lista_dias,WEEKDAY(tblOrdenes[[#This Row],[fecha_inicio]],2)))</f>
        <v/>
      </c>
      <c r="T607" s="3">
        <f>IF(tblOrdenes[[#This Row],[tipo_ot]]="","",_xlfn.XLOOKUP(tblOrdenes[[#This Row],[tipo_ot]],tblTiposOT[codigo],tblTiposOT[clasificacion],"sin_clasificar"))</f>
        <v/>
      </c>
      <c r="U607" s="3">
        <f>IF(tblOrdenes[[#This Row],[centro_costo]]="","",_xlfn.XLOOKUP(tblOrdenes[[#This Row],[centro_costo]],tblCECO[codigo],tblCECO[linea],"(sin catálogo)"))</f>
        <v/>
      </c>
      <c r="V607" s="3">
        <f>IF(tblOrdenes[[#This Row],[centro_costo]]="","",_xlfn.XLOOKUP(tblOrdenes[[#This Row],[centro_costo]],tblCECO[codigo],tblCECO[area],"(sin catálogo)"))</f>
        <v/>
      </c>
      <c r="W607" s="3">
        <f>IF(tblOrdenes[[#This Row],[centro_costo]]="","",_xlfn.XLOOKUP(tblOrdenes[[#This Row],[centro_costo]],tblCECO[codigo],tblCECO[coordinador],"(sin catálogo)"))</f>
        <v/>
      </c>
      <c r="X607" s="3">
        <f>IF(tblOrdenes[[#This Row],[puesto_trabajo]]="","",_xlfn.XLOOKUP(tblOrdenes[[#This Row],[puesto_trabajo]],tblPuestos[codigo],tblPuestos[especialidad],"(sin catálogo)"))</f>
        <v/>
      </c>
      <c r="Y607" s="3">
        <f>IF(tblOrdenes[[#This Row],[cod_actividad]]="","",_xlfn.XLOOKUP(tblOrdenes[[#This Row],[cod_actividad]],tblActividades[codigo],tblActividades[descripcion],"(sin catálogo)"))</f>
        <v/>
      </c>
      <c r="Z607" s="12">
        <f>IF(tblOrdenes[[#This Row],[fecha_inicio]]="","",TODAY()-tblOrdenes[[#This Row],[fecha_inicio]])</f>
        <v/>
      </c>
      <c r="AA607" s="3">
        <f>IF(tblOrdenes[[#This Row],[backlog_dias]]="","",IF(tblOrdenes[[#This Row],[backlog_dias]]&lt;0,"FUTURO",IF(tblOrdenes[[#This Row],[backlog_dias]]&gt;p_dias_backlog_max,"BACKLOG","MES CORRIENTE")))</f>
        <v/>
      </c>
      <c r="AB607" s="3">
        <f>IF(tblOrdenes[[#This Row],[backlog_dias]]="",FALSE,AND(tblOrdenes[[#This Row],[backlog_dias]]&gt;p_dias_backlog_min,tblOrdenes[[#This Row],[backlog_dias]]&lt;=p_dias_backlog_max))</f>
        <v/>
      </c>
      <c r="AC607" s="6" t="n"/>
      <c r="AD60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0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0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07" s="10">
        <f>IF(tblOrdenes[[#This Row],[orden]]="","",_xlfn.XLOOKUP(tblOrdenes[[#This Row],[id_operacion]],tblEjecucion[id_operacion],tblEjecucion[precio],0))</f>
        <v/>
      </c>
      <c r="AH607" s="10">
        <f>IF(tblOrdenes[[#This Row],[orden]]="","",MAX(0,_xlfn.XLOOKUP(tblOrdenes[[#This Row],[id_operacion]],tblEjecucion[id_operacion],tblEjecucion[costo_plan_total],0)-tblOrdenes[[#This Row],[costo_servicio]]))</f>
        <v/>
      </c>
      <c r="AI607" s="10">
        <f>IF(tblOrdenes[[#This Row],[orden]]="","",tblOrdenes[[#This Row],[costo_servicio]]+tblOrdenes[[#This Row],[costo_materiales]])</f>
        <v/>
      </c>
      <c r="AJ607" s="6" t="n"/>
      <c r="AK607" s="6" t="n"/>
      <c r="AL607" s="6" t="n"/>
      <c r="AM607" s="3">
        <f>IF(tblOrdenes[[#This Row],[link_checklist]]="","",HYPERLINK(p_ruta_base_checklists&amp;tblOrdenes[[#This Row],[link_checklist]],"abrir"))</f>
        <v/>
      </c>
      <c r="AN607" s="6" t="n"/>
      <c r="AO607" s="3">
        <f>IF(tblOrdenes[[#This Row],[orden]]="","",tblOrdenes[[#This Row],[orden]]&amp;IF(tblOrdenes[[#This Row],[operacion]]="","0010",tblOrdenes[[#This Row],[operacion]]))</f>
        <v/>
      </c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11" t="n"/>
      <c r="K608" s="3" t="n"/>
      <c r="L608" s="10" t="n"/>
      <c r="M608" s="6" t="n"/>
      <c r="N60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0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0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08" s="3">
        <f>IF(tblOrdenes[[#This Row],[fecha_inicio]]="","",YEAR(tblOrdenes[[#This Row],[fecha_inicio]]))</f>
        <v/>
      </c>
      <c r="R608" s="3">
        <f>IF(tblOrdenes[[#This Row],[fecha_inicio]]="","",MONTH(tblOrdenes[[#This Row],[fecha_inicio]]))</f>
        <v/>
      </c>
      <c r="S608" s="3">
        <f>IF(tblOrdenes[[#This Row],[fecha_inicio]]="","",INDEX(lista_dias,WEEKDAY(tblOrdenes[[#This Row],[fecha_inicio]],2)))</f>
        <v/>
      </c>
      <c r="T608" s="3">
        <f>IF(tblOrdenes[[#This Row],[tipo_ot]]="","",_xlfn.XLOOKUP(tblOrdenes[[#This Row],[tipo_ot]],tblTiposOT[codigo],tblTiposOT[clasificacion],"sin_clasificar"))</f>
        <v/>
      </c>
      <c r="U608" s="3">
        <f>IF(tblOrdenes[[#This Row],[centro_costo]]="","",_xlfn.XLOOKUP(tblOrdenes[[#This Row],[centro_costo]],tblCECO[codigo],tblCECO[linea],"(sin catálogo)"))</f>
        <v/>
      </c>
      <c r="V608" s="3">
        <f>IF(tblOrdenes[[#This Row],[centro_costo]]="","",_xlfn.XLOOKUP(tblOrdenes[[#This Row],[centro_costo]],tblCECO[codigo],tblCECO[area],"(sin catálogo)"))</f>
        <v/>
      </c>
      <c r="W608" s="3">
        <f>IF(tblOrdenes[[#This Row],[centro_costo]]="","",_xlfn.XLOOKUP(tblOrdenes[[#This Row],[centro_costo]],tblCECO[codigo],tblCECO[coordinador],"(sin catálogo)"))</f>
        <v/>
      </c>
      <c r="X608" s="3">
        <f>IF(tblOrdenes[[#This Row],[puesto_trabajo]]="","",_xlfn.XLOOKUP(tblOrdenes[[#This Row],[puesto_trabajo]],tblPuestos[codigo],tblPuestos[especialidad],"(sin catálogo)"))</f>
        <v/>
      </c>
      <c r="Y608" s="3">
        <f>IF(tblOrdenes[[#This Row],[cod_actividad]]="","",_xlfn.XLOOKUP(tblOrdenes[[#This Row],[cod_actividad]],tblActividades[codigo],tblActividades[descripcion],"(sin catálogo)"))</f>
        <v/>
      </c>
      <c r="Z608" s="12">
        <f>IF(tblOrdenes[[#This Row],[fecha_inicio]]="","",TODAY()-tblOrdenes[[#This Row],[fecha_inicio]])</f>
        <v/>
      </c>
      <c r="AA608" s="3">
        <f>IF(tblOrdenes[[#This Row],[backlog_dias]]="","",IF(tblOrdenes[[#This Row],[backlog_dias]]&lt;0,"FUTURO",IF(tblOrdenes[[#This Row],[backlog_dias]]&gt;p_dias_backlog_max,"BACKLOG","MES CORRIENTE")))</f>
        <v/>
      </c>
      <c r="AB608" s="3">
        <f>IF(tblOrdenes[[#This Row],[backlog_dias]]="",FALSE,AND(tblOrdenes[[#This Row],[backlog_dias]]&gt;p_dias_backlog_min,tblOrdenes[[#This Row],[backlog_dias]]&lt;=p_dias_backlog_max))</f>
        <v/>
      </c>
      <c r="AC608" s="6" t="n"/>
      <c r="AD60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0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0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08" s="10">
        <f>IF(tblOrdenes[[#This Row],[orden]]="","",_xlfn.XLOOKUP(tblOrdenes[[#This Row],[id_operacion]],tblEjecucion[id_operacion],tblEjecucion[precio],0))</f>
        <v/>
      </c>
      <c r="AH608" s="10">
        <f>IF(tblOrdenes[[#This Row],[orden]]="","",MAX(0,_xlfn.XLOOKUP(tblOrdenes[[#This Row],[id_operacion]],tblEjecucion[id_operacion],tblEjecucion[costo_plan_total],0)-tblOrdenes[[#This Row],[costo_servicio]]))</f>
        <v/>
      </c>
      <c r="AI608" s="10">
        <f>IF(tblOrdenes[[#This Row],[orden]]="","",tblOrdenes[[#This Row],[costo_servicio]]+tblOrdenes[[#This Row],[costo_materiales]])</f>
        <v/>
      </c>
      <c r="AJ608" s="6" t="n"/>
      <c r="AK608" s="6" t="n"/>
      <c r="AL608" s="6" t="n"/>
      <c r="AM608" s="3">
        <f>IF(tblOrdenes[[#This Row],[link_checklist]]="","",HYPERLINK(p_ruta_base_checklists&amp;tblOrdenes[[#This Row],[link_checklist]],"abrir"))</f>
        <v/>
      </c>
      <c r="AN608" s="6" t="n"/>
      <c r="AO608" s="3">
        <f>IF(tblOrdenes[[#This Row],[orden]]="","",tblOrdenes[[#This Row],[orden]]&amp;IF(tblOrdenes[[#This Row],[operacion]]="","0010",tblOrdenes[[#This Row],[operacion]]))</f>
        <v/>
      </c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11" t="n"/>
      <c r="K609" s="3" t="n"/>
      <c r="L609" s="10" t="n"/>
      <c r="M609" s="6" t="n"/>
      <c r="N60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0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0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09" s="3">
        <f>IF(tblOrdenes[[#This Row],[fecha_inicio]]="","",YEAR(tblOrdenes[[#This Row],[fecha_inicio]]))</f>
        <v/>
      </c>
      <c r="R609" s="3">
        <f>IF(tblOrdenes[[#This Row],[fecha_inicio]]="","",MONTH(tblOrdenes[[#This Row],[fecha_inicio]]))</f>
        <v/>
      </c>
      <c r="S609" s="3">
        <f>IF(tblOrdenes[[#This Row],[fecha_inicio]]="","",INDEX(lista_dias,WEEKDAY(tblOrdenes[[#This Row],[fecha_inicio]],2)))</f>
        <v/>
      </c>
      <c r="T609" s="3">
        <f>IF(tblOrdenes[[#This Row],[tipo_ot]]="","",_xlfn.XLOOKUP(tblOrdenes[[#This Row],[tipo_ot]],tblTiposOT[codigo],tblTiposOT[clasificacion],"sin_clasificar"))</f>
        <v/>
      </c>
      <c r="U609" s="3">
        <f>IF(tblOrdenes[[#This Row],[centro_costo]]="","",_xlfn.XLOOKUP(tblOrdenes[[#This Row],[centro_costo]],tblCECO[codigo],tblCECO[linea],"(sin catálogo)"))</f>
        <v/>
      </c>
      <c r="V609" s="3">
        <f>IF(tblOrdenes[[#This Row],[centro_costo]]="","",_xlfn.XLOOKUP(tblOrdenes[[#This Row],[centro_costo]],tblCECO[codigo],tblCECO[area],"(sin catálogo)"))</f>
        <v/>
      </c>
      <c r="W609" s="3">
        <f>IF(tblOrdenes[[#This Row],[centro_costo]]="","",_xlfn.XLOOKUP(tblOrdenes[[#This Row],[centro_costo]],tblCECO[codigo],tblCECO[coordinador],"(sin catálogo)"))</f>
        <v/>
      </c>
      <c r="X609" s="3">
        <f>IF(tblOrdenes[[#This Row],[puesto_trabajo]]="","",_xlfn.XLOOKUP(tblOrdenes[[#This Row],[puesto_trabajo]],tblPuestos[codigo],tblPuestos[especialidad],"(sin catálogo)"))</f>
        <v/>
      </c>
      <c r="Y609" s="3">
        <f>IF(tblOrdenes[[#This Row],[cod_actividad]]="","",_xlfn.XLOOKUP(tblOrdenes[[#This Row],[cod_actividad]],tblActividades[codigo],tblActividades[descripcion],"(sin catálogo)"))</f>
        <v/>
      </c>
      <c r="Z609" s="12">
        <f>IF(tblOrdenes[[#This Row],[fecha_inicio]]="","",TODAY()-tblOrdenes[[#This Row],[fecha_inicio]])</f>
        <v/>
      </c>
      <c r="AA609" s="3">
        <f>IF(tblOrdenes[[#This Row],[backlog_dias]]="","",IF(tblOrdenes[[#This Row],[backlog_dias]]&lt;0,"FUTURO",IF(tblOrdenes[[#This Row],[backlog_dias]]&gt;p_dias_backlog_max,"BACKLOG","MES CORRIENTE")))</f>
        <v/>
      </c>
      <c r="AB609" s="3">
        <f>IF(tblOrdenes[[#This Row],[backlog_dias]]="",FALSE,AND(tblOrdenes[[#This Row],[backlog_dias]]&gt;p_dias_backlog_min,tblOrdenes[[#This Row],[backlog_dias]]&lt;=p_dias_backlog_max))</f>
        <v/>
      </c>
      <c r="AC609" s="6" t="n"/>
      <c r="AD60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0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0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09" s="10">
        <f>IF(tblOrdenes[[#This Row],[orden]]="","",_xlfn.XLOOKUP(tblOrdenes[[#This Row],[id_operacion]],tblEjecucion[id_operacion],tblEjecucion[precio],0))</f>
        <v/>
      </c>
      <c r="AH609" s="10">
        <f>IF(tblOrdenes[[#This Row],[orden]]="","",MAX(0,_xlfn.XLOOKUP(tblOrdenes[[#This Row],[id_operacion]],tblEjecucion[id_operacion],tblEjecucion[costo_plan_total],0)-tblOrdenes[[#This Row],[costo_servicio]]))</f>
        <v/>
      </c>
      <c r="AI609" s="10">
        <f>IF(tblOrdenes[[#This Row],[orden]]="","",tblOrdenes[[#This Row],[costo_servicio]]+tblOrdenes[[#This Row],[costo_materiales]])</f>
        <v/>
      </c>
      <c r="AJ609" s="6" t="n"/>
      <c r="AK609" s="6" t="n"/>
      <c r="AL609" s="6" t="n"/>
      <c r="AM609" s="3">
        <f>IF(tblOrdenes[[#This Row],[link_checklist]]="","",HYPERLINK(p_ruta_base_checklists&amp;tblOrdenes[[#This Row],[link_checklist]],"abrir"))</f>
        <v/>
      </c>
      <c r="AN609" s="6" t="n"/>
      <c r="AO609" s="3">
        <f>IF(tblOrdenes[[#This Row],[orden]]="","",tblOrdenes[[#This Row],[orden]]&amp;IF(tblOrdenes[[#This Row],[operacion]]="","0010",tblOrdenes[[#This Row],[operacion]]))</f>
        <v/>
      </c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11" t="n"/>
      <c r="K610" s="3" t="n"/>
      <c r="L610" s="10" t="n"/>
      <c r="M610" s="6" t="n"/>
      <c r="N6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10" s="3">
        <f>IF(tblOrdenes[[#This Row],[fecha_inicio]]="","",YEAR(tblOrdenes[[#This Row],[fecha_inicio]]))</f>
        <v/>
      </c>
      <c r="R610" s="3">
        <f>IF(tblOrdenes[[#This Row],[fecha_inicio]]="","",MONTH(tblOrdenes[[#This Row],[fecha_inicio]]))</f>
        <v/>
      </c>
      <c r="S610" s="3">
        <f>IF(tblOrdenes[[#This Row],[fecha_inicio]]="","",INDEX(lista_dias,WEEKDAY(tblOrdenes[[#This Row],[fecha_inicio]],2)))</f>
        <v/>
      </c>
      <c r="T610" s="3">
        <f>IF(tblOrdenes[[#This Row],[tipo_ot]]="","",_xlfn.XLOOKUP(tblOrdenes[[#This Row],[tipo_ot]],tblTiposOT[codigo],tblTiposOT[clasificacion],"sin_clasificar"))</f>
        <v/>
      </c>
      <c r="U610" s="3">
        <f>IF(tblOrdenes[[#This Row],[centro_costo]]="","",_xlfn.XLOOKUP(tblOrdenes[[#This Row],[centro_costo]],tblCECO[codigo],tblCECO[linea],"(sin catálogo)"))</f>
        <v/>
      </c>
      <c r="V610" s="3">
        <f>IF(tblOrdenes[[#This Row],[centro_costo]]="","",_xlfn.XLOOKUP(tblOrdenes[[#This Row],[centro_costo]],tblCECO[codigo],tblCECO[area],"(sin catálogo)"))</f>
        <v/>
      </c>
      <c r="W610" s="3">
        <f>IF(tblOrdenes[[#This Row],[centro_costo]]="","",_xlfn.XLOOKUP(tblOrdenes[[#This Row],[centro_costo]],tblCECO[codigo],tblCECO[coordinador],"(sin catálogo)"))</f>
        <v/>
      </c>
      <c r="X610" s="3">
        <f>IF(tblOrdenes[[#This Row],[puesto_trabajo]]="","",_xlfn.XLOOKUP(tblOrdenes[[#This Row],[puesto_trabajo]],tblPuestos[codigo],tblPuestos[especialidad],"(sin catálogo)"))</f>
        <v/>
      </c>
      <c r="Y610" s="3">
        <f>IF(tblOrdenes[[#This Row],[cod_actividad]]="","",_xlfn.XLOOKUP(tblOrdenes[[#This Row],[cod_actividad]],tblActividades[codigo],tblActividades[descripcion],"(sin catálogo)"))</f>
        <v/>
      </c>
      <c r="Z610" s="12">
        <f>IF(tblOrdenes[[#This Row],[fecha_inicio]]="","",TODAY()-tblOrdenes[[#This Row],[fecha_inicio]])</f>
        <v/>
      </c>
      <c r="AA610" s="3">
        <f>IF(tblOrdenes[[#This Row],[backlog_dias]]="","",IF(tblOrdenes[[#This Row],[backlog_dias]]&lt;0,"FUTURO",IF(tblOrdenes[[#This Row],[backlog_dias]]&gt;p_dias_backlog_max,"BACKLOG","MES CORRIENTE")))</f>
        <v/>
      </c>
      <c r="AB610" s="3">
        <f>IF(tblOrdenes[[#This Row],[backlog_dias]]="",FALSE,AND(tblOrdenes[[#This Row],[backlog_dias]]&gt;p_dias_backlog_min,tblOrdenes[[#This Row],[backlog_dias]]&lt;=p_dias_backlog_max))</f>
        <v/>
      </c>
      <c r="AC610" s="6" t="n"/>
      <c r="AD6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10" s="10">
        <f>IF(tblOrdenes[[#This Row],[orden]]="","",_xlfn.XLOOKUP(tblOrdenes[[#This Row],[id_operacion]],tblEjecucion[id_operacion],tblEjecucion[precio],0))</f>
        <v/>
      </c>
      <c r="AH610" s="10">
        <f>IF(tblOrdenes[[#This Row],[orden]]="","",MAX(0,_xlfn.XLOOKUP(tblOrdenes[[#This Row],[id_operacion]],tblEjecucion[id_operacion],tblEjecucion[costo_plan_total],0)-tblOrdenes[[#This Row],[costo_servicio]]))</f>
        <v/>
      </c>
      <c r="AI610" s="10">
        <f>IF(tblOrdenes[[#This Row],[orden]]="","",tblOrdenes[[#This Row],[costo_servicio]]+tblOrdenes[[#This Row],[costo_materiales]])</f>
        <v/>
      </c>
      <c r="AJ610" s="6" t="n"/>
      <c r="AK610" s="6" t="n"/>
      <c r="AL610" s="6" t="n"/>
      <c r="AM610" s="3">
        <f>IF(tblOrdenes[[#This Row],[link_checklist]]="","",HYPERLINK(p_ruta_base_checklists&amp;tblOrdenes[[#This Row],[link_checklist]],"abrir"))</f>
        <v/>
      </c>
      <c r="AN610" s="6" t="n"/>
      <c r="AO610" s="3">
        <f>IF(tblOrdenes[[#This Row],[orden]]="","",tblOrdenes[[#This Row],[orden]]&amp;IF(tblOrdenes[[#This Row],[operacion]]="","0010",tblOrdenes[[#This Row],[operacion]]))</f>
        <v/>
      </c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11" t="n"/>
      <c r="K611" s="3" t="n"/>
      <c r="L611" s="10" t="n"/>
      <c r="M611" s="6" t="n"/>
      <c r="N6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11" s="3">
        <f>IF(tblOrdenes[[#This Row],[fecha_inicio]]="","",YEAR(tblOrdenes[[#This Row],[fecha_inicio]]))</f>
        <v/>
      </c>
      <c r="R611" s="3">
        <f>IF(tblOrdenes[[#This Row],[fecha_inicio]]="","",MONTH(tblOrdenes[[#This Row],[fecha_inicio]]))</f>
        <v/>
      </c>
      <c r="S611" s="3">
        <f>IF(tblOrdenes[[#This Row],[fecha_inicio]]="","",INDEX(lista_dias,WEEKDAY(tblOrdenes[[#This Row],[fecha_inicio]],2)))</f>
        <v/>
      </c>
      <c r="T611" s="3">
        <f>IF(tblOrdenes[[#This Row],[tipo_ot]]="","",_xlfn.XLOOKUP(tblOrdenes[[#This Row],[tipo_ot]],tblTiposOT[codigo],tblTiposOT[clasificacion],"sin_clasificar"))</f>
        <v/>
      </c>
      <c r="U611" s="3">
        <f>IF(tblOrdenes[[#This Row],[centro_costo]]="","",_xlfn.XLOOKUP(tblOrdenes[[#This Row],[centro_costo]],tblCECO[codigo],tblCECO[linea],"(sin catálogo)"))</f>
        <v/>
      </c>
      <c r="V611" s="3">
        <f>IF(tblOrdenes[[#This Row],[centro_costo]]="","",_xlfn.XLOOKUP(tblOrdenes[[#This Row],[centro_costo]],tblCECO[codigo],tblCECO[area],"(sin catálogo)"))</f>
        <v/>
      </c>
      <c r="W611" s="3">
        <f>IF(tblOrdenes[[#This Row],[centro_costo]]="","",_xlfn.XLOOKUP(tblOrdenes[[#This Row],[centro_costo]],tblCECO[codigo],tblCECO[coordinador],"(sin catálogo)"))</f>
        <v/>
      </c>
      <c r="X611" s="3">
        <f>IF(tblOrdenes[[#This Row],[puesto_trabajo]]="","",_xlfn.XLOOKUP(tblOrdenes[[#This Row],[puesto_trabajo]],tblPuestos[codigo],tblPuestos[especialidad],"(sin catálogo)"))</f>
        <v/>
      </c>
      <c r="Y611" s="3">
        <f>IF(tblOrdenes[[#This Row],[cod_actividad]]="","",_xlfn.XLOOKUP(tblOrdenes[[#This Row],[cod_actividad]],tblActividades[codigo],tblActividades[descripcion],"(sin catálogo)"))</f>
        <v/>
      </c>
      <c r="Z611" s="12">
        <f>IF(tblOrdenes[[#This Row],[fecha_inicio]]="","",TODAY()-tblOrdenes[[#This Row],[fecha_inicio]])</f>
        <v/>
      </c>
      <c r="AA611" s="3">
        <f>IF(tblOrdenes[[#This Row],[backlog_dias]]="","",IF(tblOrdenes[[#This Row],[backlog_dias]]&lt;0,"FUTURO",IF(tblOrdenes[[#This Row],[backlog_dias]]&gt;p_dias_backlog_max,"BACKLOG","MES CORRIENTE")))</f>
        <v/>
      </c>
      <c r="AB611" s="3">
        <f>IF(tblOrdenes[[#This Row],[backlog_dias]]="",FALSE,AND(tblOrdenes[[#This Row],[backlog_dias]]&gt;p_dias_backlog_min,tblOrdenes[[#This Row],[backlog_dias]]&lt;=p_dias_backlog_max))</f>
        <v/>
      </c>
      <c r="AC611" s="6" t="n"/>
      <c r="AD6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11" s="10">
        <f>IF(tblOrdenes[[#This Row],[orden]]="","",_xlfn.XLOOKUP(tblOrdenes[[#This Row],[id_operacion]],tblEjecucion[id_operacion],tblEjecucion[precio],0))</f>
        <v/>
      </c>
      <c r="AH611" s="10">
        <f>IF(tblOrdenes[[#This Row],[orden]]="","",MAX(0,_xlfn.XLOOKUP(tblOrdenes[[#This Row],[id_operacion]],tblEjecucion[id_operacion],tblEjecucion[costo_plan_total],0)-tblOrdenes[[#This Row],[costo_servicio]]))</f>
        <v/>
      </c>
      <c r="AI611" s="10">
        <f>IF(tblOrdenes[[#This Row],[orden]]="","",tblOrdenes[[#This Row],[costo_servicio]]+tblOrdenes[[#This Row],[costo_materiales]])</f>
        <v/>
      </c>
      <c r="AJ611" s="6" t="n"/>
      <c r="AK611" s="6" t="n"/>
      <c r="AL611" s="6" t="n"/>
      <c r="AM611" s="3">
        <f>IF(tblOrdenes[[#This Row],[link_checklist]]="","",HYPERLINK(p_ruta_base_checklists&amp;tblOrdenes[[#This Row],[link_checklist]],"abrir"))</f>
        <v/>
      </c>
      <c r="AN611" s="6" t="n"/>
      <c r="AO611" s="3">
        <f>IF(tblOrdenes[[#This Row],[orden]]="","",tblOrdenes[[#This Row],[orden]]&amp;IF(tblOrdenes[[#This Row],[operacion]]="","0010",tblOrdenes[[#This Row],[operacion]]))</f>
        <v/>
      </c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11" t="n"/>
      <c r="K612" s="3" t="n"/>
      <c r="L612" s="10" t="n"/>
      <c r="M612" s="6" t="n"/>
      <c r="N6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12" s="3">
        <f>IF(tblOrdenes[[#This Row],[fecha_inicio]]="","",YEAR(tblOrdenes[[#This Row],[fecha_inicio]]))</f>
        <v/>
      </c>
      <c r="R612" s="3">
        <f>IF(tblOrdenes[[#This Row],[fecha_inicio]]="","",MONTH(tblOrdenes[[#This Row],[fecha_inicio]]))</f>
        <v/>
      </c>
      <c r="S612" s="3">
        <f>IF(tblOrdenes[[#This Row],[fecha_inicio]]="","",INDEX(lista_dias,WEEKDAY(tblOrdenes[[#This Row],[fecha_inicio]],2)))</f>
        <v/>
      </c>
      <c r="T612" s="3">
        <f>IF(tblOrdenes[[#This Row],[tipo_ot]]="","",_xlfn.XLOOKUP(tblOrdenes[[#This Row],[tipo_ot]],tblTiposOT[codigo],tblTiposOT[clasificacion],"sin_clasificar"))</f>
        <v/>
      </c>
      <c r="U612" s="3">
        <f>IF(tblOrdenes[[#This Row],[centro_costo]]="","",_xlfn.XLOOKUP(tblOrdenes[[#This Row],[centro_costo]],tblCECO[codigo],tblCECO[linea],"(sin catálogo)"))</f>
        <v/>
      </c>
      <c r="V612" s="3">
        <f>IF(tblOrdenes[[#This Row],[centro_costo]]="","",_xlfn.XLOOKUP(tblOrdenes[[#This Row],[centro_costo]],tblCECO[codigo],tblCECO[area],"(sin catálogo)"))</f>
        <v/>
      </c>
      <c r="W612" s="3">
        <f>IF(tblOrdenes[[#This Row],[centro_costo]]="","",_xlfn.XLOOKUP(tblOrdenes[[#This Row],[centro_costo]],tblCECO[codigo],tblCECO[coordinador],"(sin catálogo)"))</f>
        <v/>
      </c>
      <c r="X612" s="3">
        <f>IF(tblOrdenes[[#This Row],[puesto_trabajo]]="","",_xlfn.XLOOKUP(tblOrdenes[[#This Row],[puesto_trabajo]],tblPuestos[codigo],tblPuestos[especialidad],"(sin catálogo)"))</f>
        <v/>
      </c>
      <c r="Y612" s="3">
        <f>IF(tblOrdenes[[#This Row],[cod_actividad]]="","",_xlfn.XLOOKUP(tblOrdenes[[#This Row],[cod_actividad]],tblActividades[codigo],tblActividades[descripcion],"(sin catálogo)"))</f>
        <v/>
      </c>
      <c r="Z612" s="12">
        <f>IF(tblOrdenes[[#This Row],[fecha_inicio]]="","",TODAY()-tblOrdenes[[#This Row],[fecha_inicio]])</f>
        <v/>
      </c>
      <c r="AA612" s="3">
        <f>IF(tblOrdenes[[#This Row],[backlog_dias]]="","",IF(tblOrdenes[[#This Row],[backlog_dias]]&lt;0,"FUTURO",IF(tblOrdenes[[#This Row],[backlog_dias]]&gt;p_dias_backlog_max,"BACKLOG","MES CORRIENTE")))</f>
        <v/>
      </c>
      <c r="AB612" s="3">
        <f>IF(tblOrdenes[[#This Row],[backlog_dias]]="",FALSE,AND(tblOrdenes[[#This Row],[backlog_dias]]&gt;p_dias_backlog_min,tblOrdenes[[#This Row],[backlog_dias]]&lt;=p_dias_backlog_max))</f>
        <v/>
      </c>
      <c r="AC612" s="6" t="n"/>
      <c r="AD6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12" s="10">
        <f>IF(tblOrdenes[[#This Row],[orden]]="","",_xlfn.XLOOKUP(tblOrdenes[[#This Row],[id_operacion]],tblEjecucion[id_operacion],tblEjecucion[precio],0))</f>
        <v/>
      </c>
      <c r="AH612" s="10">
        <f>IF(tblOrdenes[[#This Row],[orden]]="","",MAX(0,_xlfn.XLOOKUP(tblOrdenes[[#This Row],[id_operacion]],tblEjecucion[id_operacion],tblEjecucion[costo_plan_total],0)-tblOrdenes[[#This Row],[costo_servicio]]))</f>
        <v/>
      </c>
      <c r="AI612" s="10">
        <f>IF(tblOrdenes[[#This Row],[orden]]="","",tblOrdenes[[#This Row],[costo_servicio]]+tblOrdenes[[#This Row],[costo_materiales]])</f>
        <v/>
      </c>
      <c r="AJ612" s="6" t="n"/>
      <c r="AK612" s="6" t="n"/>
      <c r="AL612" s="6" t="n"/>
      <c r="AM612" s="3">
        <f>IF(tblOrdenes[[#This Row],[link_checklist]]="","",HYPERLINK(p_ruta_base_checklists&amp;tblOrdenes[[#This Row],[link_checklist]],"abrir"))</f>
        <v/>
      </c>
      <c r="AN612" s="6" t="n"/>
      <c r="AO612" s="3">
        <f>IF(tblOrdenes[[#This Row],[orden]]="","",tblOrdenes[[#This Row],[orden]]&amp;IF(tblOrdenes[[#This Row],[operacion]]="","0010",tblOrdenes[[#This Row],[operacion]]))</f>
        <v/>
      </c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11" t="n"/>
      <c r="K613" s="3" t="n"/>
      <c r="L613" s="10" t="n"/>
      <c r="M613" s="6" t="n"/>
      <c r="N6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13" s="3">
        <f>IF(tblOrdenes[[#This Row],[fecha_inicio]]="","",YEAR(tblOrdenes[[#This Row],[fecha_inicio]]))</f>
        <v/>
      </c>
      <c r="R613" s="3">
        <f>IF(tblOrdenes[[#This Row],[fecha_inicio]]="","",MONTH(tblOrdenes[[#This Row],[fecha_inicio]]))</f>
        <v/>
      </c>
      <c r="S613" s="3">
        <f>IF(tblOrdenes[[#This Row],[fecha_inicio]]="","",INDEX(lista_dias,WEEKDAY(tblOrdenes[[#This Row],[fecha_inicio]],2)))</f>
        <v/>
      </c>
      <c r="T613" s="3">
        <f>IF(tblOrdenes[[#This Row],[tipo_ot]]="","",_xlfn.XLOOKUP(tblOrdenes[[#This Row],[tipo_ot]],tblTiposOT[codigo],tblTiposOT[clasificacion],"sin_clasificar"))</f>
        <v/>
      </c>
      <c r="U613" s="3">
        <f>IF(tblOrdenes[[#This Row],[centro_costo]]="","",_xlfn.XLOOKUP(tblOrdenes[[#This Row],[centro_costo]],tblCECO[codigo],tblCECO[linea],"(sin catálogo)"))</f>
        <v/>
      </c>
      <c r="V613" s="3">
        <f>IF(tblOrdenes[[#This Row],[centro_costo]]="","",_xlfn.XLOOKUP(tblOrdenes[[#This Row],[centro_costo]],tblCECO[codigo],tblCECO[area],"(sin catálogo)"))</f>
        <v/>
      </c>
      <c r="W613" s="3">
        <f>IF(tblOrdenes[[#This Row],[centro_costo]]="","",_xlfn.XLOOKUP(tblOrdenes[[#This Row],[centro_costo]],tblCECO[codigo],tblCECO[coordinador],"(sin catálogo)"))</f>
        <v/>
      </c>
      <c r="X613" s="3">
        <f>IF(tblOrdenes[[#This Row],[puesto_trabajo]]="","",_xlfn.XLOOKUP(tblOrdenes[[#This Row],[puesto_trabajo]],tblPuestos[codigo],tblPuestos[especialidad],"(sin catálogo)"))</f>
        <v/>
      </c>
      <c r="Y613" s="3">
        <f>IF(tblOrdenes[[#This Row],[cod_actividad]]="","",_xlfn.XLOOKUP(tblOrdenes[[#This Row],[cod_actividad]],tblActividades[codigo],tblActividades[descripcion],"(sin catálogo)"))</f>
        <v/>
      </c>
      <c r="Z613" s="12">
        <f>IF(tblOrdenes[[#This Row],[fecha_inicio]]="","",TODAY()-tblOrdenes[[#This Row],[fecha_inicio]])</f>
        <v/>
      </c>
      <c r="AA613" s="3">
        <f>IF(tblOrdenes[[#This Row],[backlog_dias]]="","",IF(tblOrdenes[[#This Row],[backlog_dias]]&lt;0,"FUTURO",IF(tblOrdenes[[#This Row],[backlog_dias]]&gt;p_dias_backlog_max,"BACKLOG","MES CORRIENTE")))</f>
        <v/>
      </c>
      <c r="AB613" s="3">
        <f>IF(tblOrdenes[[#This Row],[backlog_dias]]="",FALSE,AND(tblOrdenes[[#This Row],[backlog_dias]]&gt;p_dias_backlog_min,tblOrdenes[[#This Row],[backlog_dias]]&lt;=p_dias_backlog_max))</f>
        <v/>
      </c>
      <c r="AC613" s="6" t="n"/>
      <c r="AD6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13" s="10">
        <f>IF(tblOrdenes[[#This Row],[orden]]="","",_xlfn.XLOOKUP(tblOrdenes[[#This Row],[id_operacion]],tblEjecucion[id_operacion],tblEjecucion[precio],0))</f>
        <v/>
      </c>
      <c r="AH613" s="10">
        <f>IF(tblOrdenes[[#This Row],[orden]]="","",MAX(0,_xlfn.XLOOKUP(tblOrdenes[[#This Row],[id_operacion]],tblEjecucion[id_operacion],tblEjecucion[costo_plan_total],0)-tblOrdenes[[#This Row],[costo_servicio]]))</f>
        <v/>
      </c>
      <c r="AI613" s="10">
        <f>IF(tblOrdenes[[#This Row],[orden]]="","",tblOrdenes[[#This Row],[costo_servicio]]+tblOrdenes[[#This Row],[costo_materiales]])</f>
        <v/>
      </c>
      <c r="AJ613" s="6" t="n"/>
      <c r="AK613" s="6" t="n"/>
      <c r="AL613" s="6" t="n"/>
      <c r="AM613" s="3">
        <f>IF(tblOrdenes[[#This Row],[link_checklist]]="","",HYPERLINK(p_ruta_base_checklists&amp;tblOrdenes[[#This Row],[link_checklist]],"abrir"))</f>
        <v/>
      </c>
      <c r="AN613" s="6" t="n"/>
      <c r="AO613" s="3">
        <f>IF(tblOrdenes[[#This Row],[orden]]="","",tblOrdenes[[#This Row],[orden]]&amp;IF(tblOrdenes[[#This Row],[operacion]]="","0010",tblOrdenes[[#This Row],[operacion]]))</f>
        <v/>
      </c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11" t="n"/>
      <c r="K614" s="3" t="n"/>
      <c r="L614" s="10" t="n"/>
      <c r="M614" s="6" t="n"/>
      <c r="N6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14" s="3">
        <f>IF(tblOrdenes[[#This Row],[fecha_inicio]]="","",YEAR(tblOrdenes[[#This Row],[fecha_inicio]]))</f>
        <v/>
      </c>
      <c r="R614" s="3">
        <f>IF(tblOrdenes[[#This Row],[fecha_inicio]]="","",MONTH(tblOrdenes[[#This Row],[fecha_inicio]]))</f>
        <v/>
      </c>
      <c r="S614" s="3">
        <f>IF(tblOrdenes[[#This Row],[fecha_inicio]]="","",INDEX(lista_dias,WEEKDAY(tblOrdenes[[#This Row],[fecha_inicio]],2)))</f>
        <v/>
      </c>
      <c r="T614" s="3">
        <f>IF(tblOrdenes[[#This Row],[tipo_ot]]="","",_xlfn.XLOOKUP(tblOrdenes[[#This Row],[tipo_ot]],tblTiposOT[codigo],tblTiposOT[clasificacion],"sin_clasificar"))</f>
        <v/>
      </c>
      <c r="U614" s="3">
        <f>IF(tblOrdenes[[#This Row],[centro_costo]]="","",_xlfn.XLOOKUP(tblOrdenes[[#This Row],[centro_costo]],tblCECO[codigo],tblCECO[linea],"(sin catálogo)"))</f>
        <v/>
      </c>
      <c r="V614" s="3">
        <f>IF(tblOrdenes[[#This Row],[centro_costo]]="","",_xlfn.XLOOKUP(tblOrdenes[[#This Row],[centro_costo]],tblCECO[codigo],tblCECO[area],"(sin catálogo)"))</f>
        <v/>
      </c>
      <c r="W614" s="3">
        <f>IF(tblOrdenes[[#This Row],[centro_costo]]="","",_xlfn.XLOOKUP(tblOrdenes[[#This Row],[centro_costo]],tblCECO[codigo],tblCECO[coordinador],"(sin catálogo)"))</f>
        <v/>
      </c>
      <c r="X614" s="3">
        <f>IF(tblOrdenes[[#This Row],[puesto_trabajo]]="","",_xlfn.XLOOKUP(tblOrdenes[[#This Row],[puesto_trabajo]],tblPuestos[codigo],tblPuestos[especialidad],"(sin catálogo)"))</f>
        <v/>
      </c>
      <c r="Y614" s="3">
        <f>IF(tblOrdenes[[#This Row],[cod_actividad]]="","",_xlfn.XLOOKUP(tblOrdenes[[#This Row],[cod_actividad]],tblActividades[codigo],tblActividades[descripcion],"(sin catálogo)"))</f>
        <v/>
      </c>
      <c r="Z614" s="12">
        <f>IF(tblOrdenes[[#This Row],[fecha_inicio]]="","",TODAY()-tblOrdenes[[#This Row],[fecha_inicio]])</f>
        <v/>
      </c>
      <c r="AA614" s="3">
        <f>IF(tblOrdenes[[#This Row],[backlog_dias]]="","",IF(tblOrdenes[[#This Row],[backlog_dias]]&lt;0,"FUTURO",IF(tblOrdenes[[#This Row],[backlog_dias]]&gt;p_dias_backlog_max,"BACKLOG","MES CORRIENTE")))</f>
        <v/>
      </c>
      <c r="AB614" s="3">
        <f>IF(tblOrdenes[[#This Row],[backlog_dias]]="",FALSE,AND(tblOrdenes[[#This Row],[backlog_dias]]&gt;p_dias_backlog_min,tblOrdenes[[#This Row],[backlog_dias]]&lt;=p_dias_backlog_max))</f>
        <v/>
      </c>
      <c r="AC614" s="6" t="n"/>
      <c r="AD6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14" s="10">
        <f>IF(tblOrdenes[[#This Row],[orden]]="","",_xlfn.XLOOKUP(tblOrdenes[[#This Row],[id_operacion]],tblEjecucion[id_operacion],tblEjecucion[precio],0))</f>
        <v/>
      </c>
      <c r="AH614" s="10">
        <f>IF(tblOrdenes[[#This Row],[orden]]="","",MAX(0,_xlfn.XLOOKUP(tblOrdenes[[#This Row],[id_operacion]],tblEjecucion[id_operacion],tblEjecucion[costo_plan_total],0)-tblOrdenes[[#This Row],[costo_servicio]]))</f>
        <v/>
      </c>
      <c r="AI614" s="10">
        <f>IF(tblOrdenes[[#This Row],[orden]]="","",tblOrdenes[[#This Row],[costo_servicio]]+tblOrdenes[[#This Row],[costo_materiales]])</f>
        <v/>
      </c>
      <c r="AJ614" s="6" t="n"/>
      <c r="AK614" s="6" t="n"/>
      <c r="AL614" s="6" t="n"/>
      <c r="AM614" s="3">
        <f>IF(tblOrdenes[[#This Row],[link_checklist]]="","",HYPERLINK(p_ruta_base_checklists&amp;tblOrdenes[[#This Row],[link_checklist]],"abrir"))</f>
        <v/>
      </c>
      <c r="AN614" s="6" t="n"/>
      <c r="AO614" s="3">
        <f>IF(tblOrdenes[[#This Row],[orden]]="","",tblOrdenes[[#This Row],[orden]]&amp;IF(tblOrdenes[[#This Row],[operacion]]="","0010",tblOrdenes[[#This Row],[operacion]]))</f>
        <v/>
      </c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11" t="n"/>
      <c r="K615" s="3" t="n"/>
      <c r="L615" s="10" t="n"/>
      <c r="M615" s="6" t="n"/>
      <c r="N6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15" s="3">
        <f>IF(tblOrdenes[[#This Row],[fecha_inicio]]="","",YEAR(tblOrdenes[[#This Row],[fecha_inicio]]))</f>
        <v/>
      </c>
      <c r="R615" s="3">
        <f>IF(tblOrdenes[[#This Row],[fecha_inicio]]="","",MONTH(tblOrdenes[[#This Row],[fecha_inicio]]))</f>
        <v/>
      </c>
      <c r="S615" s="3">
        <f>IF(tblOrdenes[[#This Row],[fecha_inicio]]="","",INDEX(lista_dias,WEEKDAY(tblOrdenes[[#This Row],[fecha_inicio]],2)))</f>
        <v/>
      </c>
      <c r="T615" s="3">
        <f>IF(tblOrdenes[[#This Row],[tipo_ot]]="","",_xlfn.XLOOKUP(tblOrdenes[[#This Row],[tipo_ot]],tblTiposOT[codigo],tblTiposOT[clasificacion],"sin_clasificar"))</f>
        <v/>
      </c>
      <c r="U615" s="3">
        <f>IF(tblOrdenes[[#This Row],[centro_costo]]="","",_xlfn.XLOOKUP(tblOrdenes[[#This Row],[centro_costo]],tblCECO[codigo],tblCECO[linea],"(sin catálogo)"))</f>
        <v/>
      </c>
      <c r="V615" s="3">
        <f>IF(tblOrdenes[[#This Row],[centro_costo]]="","",_xlfn.XLOOKUP(tblOrdenes[[#This Row],[centro_costo]],tblCECO[codigo],tblCECO[area],"(sin catálogo)"))</f>
        <v/>
      </c>
      <c r="W615" s="3">
        <f>IF(tblOrdenes[[#This Row],[centro_costo]]="","",_xlfn.XLOOKUP(tblOrdenes[[#This Row],[centro_costo]],tblCECO[codigo],tblCECO[coordinador],"(sin catálogo)"))</f>
        <v/>
      </c>
      <c r="X615" s="3">
        <f>IF(tblOrdenes[[#This Row],[puesto_trabajo]]="","",_xlfn.XLOOKUP(tblOrdenes[[#This Row],[puesto_trabajo]],tblPuestos[codigo],tblPuestos[especialidad],"(sin catálogo)"))</f>
        <v/>
      </c>
      <c r="Y615" s="3">
        <f>IF(tblOrdenes[[#This Row],[cod_actividad]]="","",_xlfn.XLOOKUP(tblOrdenes[[#This Row],[cod_actividad]],tblActividades[codigo],tblActividades[descripcion],"(sin catálogo)"))</f>
        <v/>
      </c>
      <c r="Z615" s="12">
        <f>IF(tblOrdenes[[#This Row],[fecha_inicio]]="","",TODAY()-tblOrdenes[[#This Row],[fecha_inicio]])</f>
        <v/>
      </c>
      <c r="AA615" s="3">
        <f>IF(tblOrdenes[[#This Row],[backlog_dias]]="","",IF(tblOrdenes[[#This Row],[backlog_dias]]&lt;0,"FUTURO",IF(tblOrdenes[[#This Row],[backlog_dias]]&gt;p_dias_backlog_max,"BACKLOG","MES CORRIENTE")))</f>
        <v/>
      </c>
      <c r="AB615" s="3">
        <f>IF(tblOrdenes[[#This Row],[backlog_dias]]="",FALSE,AND(tblOrdenes[[#This Row],[backlog_dias]]&gt;p_dias_backlog_min,tblOrdenes[[#This Row],[backlog_dias]]&lt;=p_dias_backlog_max))</f>
        <v/>
      </c>
      <c r="AC615" s="6" t="n"/>
      <c r="AD6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15" s="10">
        <f>IF(tblOrdenes[[#This Row],[orden]]="","",_xlfn.XLOOKUP(tblOrdenes[[#This Row],[id_operacion]],tblEjecucion[id_operacion],tblEjecucion[precio],0))</f>
        <v/>
      </c>
      <c r="AH615" s="10">
        <f>IF(tblOrdenes[[#This Row],[orden]]="","",MAX(0,_xlfn.XLOOKUP(tblOrdenes[[#This Row],[id_operacion]],tblEjecucion[id_operacion],tblEjecucion[costo_plan_total],0)-tblOrdenes[[#This Row],[costo_servicio]]))</f>
        <v/>
      </c>
      <c r="AI615" s="10">
        <f>IF(tblOrdenes[[#This Row],[orden]]="","",tblOrdenes[[#This Row],[costo_servicio]]+tblOrdenes[[#This Row],[costo_materiales]])</f>
        <v/>
      </c>
      <c r="AJ615" s="6" t="n"/>
      <c r="AK615" s="6" t="n"/>
      <c r="AL615" s="6" t="n"/>
      <c r="AM615" s="3">
        <f>IF(tblOrdenes[[#This Row],[link_checklist]]="","",HYPERLINK(p_ruta_base_checklists&amp;tblOrdenes[[#This Row],[link_checklist]],"abrir"))</f>
        <v/>
      </c>
      <c r="AN615" s="6" t="n"/>
      <c r="AO615" s="3">
        <f>IF(tblOrdenes[[#This Row],[orden]]="","",tblOrdenes[[#This Row],[orden]]&amp;IF(tblOrdenes[[#This Row],[operacion]]="","0010",tblOrdenes[[#This Row],[operacion]]))</f>
        <v/>
      </c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11" t="n"/>
      <c r="K616" s="3" t="n"/>
      <c r="L616" s="10" t="n"/>
      <c r="M616" s="6" t="n"/>
      <c r="N6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16" s="3">
        <f>IF(tblOrdenes[[#This Row],[fecha_inicio]]="","",YEAR(tblOrdenes[[#This Row],[fecha_inicio]]))</f>
        <v/>
      </c>
      <c r="R616" s="3">
        <f>IF(tblOrdenes[[#This Row],[fecha_inicio]]="","",MONTH(tblOrdenes[[#This Row],[fecha_inicio]]))</f>
        <v/>
      </c>
      <c r="S616" s="3">
        <f>IF(tblOrdenes[[#This Row],[fecha_inicio]]="","",INDEX(lista_dias,WEEKDAY(tblOrdenes[[#This Row],[fecha_inicio]],2)))</f>
        <v/>
      </c>
      <c r="T616" s="3">
        <f>IF(tblOrdenes[[#This Row],[tipo_ot]]="","",_xlfn.XLOOKUP(tblOrdenes[[#This Row],[tipo_ot]],tblTiposOT[codigo],tblTiposOT[clasificacion],"sin_clasificar"))</f>
        <v/>
      </c>
      <c r="U616" s="3">
        <f>IF(tblOrdenes[[#This Row],[centro_costo]]="","",_xlfn.XLOOKUP(tblOrdenes[[#This Row],[centro_costo]],tblCECO[codigo],tblCECO[linea],"(sin catálogo)"))</f>
        <v/>
      </c>
      <c r="V616" s="3">
        <f>IF(tblOrdenes[[#This Row],[centro_costo]]="","",_xlfn.XLOOKUP(tblOrdenes[[#This Row],[centro_costo]],tblCECO[codigo],tblCECO[area],"(sin catálogo)"))</f>
        <v/>
      </c>
      <c r="W616" s="3">
        <f>IF(tblOrdenes[[#This Row],[centro_costo]]="","",_xlfn.XLOOKUP(tblOrdenes[[#This Row],[centro_costo]],tblCECO[codigo],tblCECO[coordinador],"(sin catálogo)"))</f>
        <v/>
      </c>
      <c r="X616" s="3">
        <f>IF(tblOrdenes[[#This Row],[puesto_trabajo]]="","",_xlfn.XLOOKUP(tblOrdenes[[#This Row],[puesto_trabajo]],tblPuestos[codigo],tblPuestos[especialidad],"(sin catálogo)"))</f>
        <v/>
      </c>
      <c r="Y616" s="3">
        <f>IF(tblOrdenes[[#This Row],[cod_actividad]]="","",_xlfn.XLOOKUP(tblOrdenes[[#This Row],[cod_actividad]],tblActividades[codigo],tblActividades[descripcion],"(sin catálogo)"))</f>
        <v/>
      </c>
      <c r="Z616" s="12">
        <f>IF(tblOrdenes[[#This Row],[fecha_inicio]]="","",TODAY()-tblOrdenes[[#This Row],[fecha_inicio]])</f>
        <v/>
      </c>
      <c r="AA616" s="3">
        <f>IF(tblOrdenes[[#This Row],[backlog_dias]]="","",IF(tblOrdenes[[#This Row],[backlog_dias]]&lt;0,"FUTURO",IF(tblOrdenes[[#This Row],[backlog_dias]]&gt;p_dias_backlog_max,"BACKLOG","MES CORRIENTE")))</f>
        <v/>
      </c>
      <c r="AB616" s="3">
        <f>IF(tblOrdenes[[#This Row],[backlog_dias]]="",FALSE,AND(tblOrdenes[[#This Row],[backlog_dias]]&gt;p_dias_backlog_min,tblOrdenes[[#This Row],[backlog_dias]]&lt;=p_dias_backlog_max))</f>
        <v/>
      </c>
      <c r="AC616" s="6" t="n"/>
      <c r="AD6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16" s="10">
        <f>IF(tblOrdenes[[#This Row],[orden]]="","",_xlfn.XLOOKUP(tblOrdenes[[#This Row],[id_operacion]],tblEjecucion[id_operacion],tblEjecucion[precio],0))</f>
        <v/>
      </c>
      <c r="AH616" s="10">
        <f>IF(tblOrdenes[[#This Row],[orden]]="","",MAX(0,_xlfn.XLOOKUP(tblOrdenes[[#This Row],[id_operacion]],tblEjecucion[id_operacion],tblEjecucion[costo_plan_total],0)-tblOrdenes[[#This Row],[costo_servicio]]))</f>
        <v/>
      </c>
      <c r="AI616" s="10">
        <f>IF(tblOrdenes[[#This Row],[orden]]="","",tblOrdenes[[#This Row],[costo_servicio]]+tblOrdenes[[#This Row],[costo_materiales]])</f>
        <v/>
      </c>
      <c r="AJ616" s="6" t="n"/>
      <c r="AK616" s="6" t="n"/>
      <c r="AL616" s="6" t="n"/>
      <c r="AM616" s="3">
        <f>IF(tblOrdenes[[#This Row],[link_checklist]]="","",HYPERLINK(p_ruta_base_checklists&amp;tblOrdenes[[#This Row],[link_checklist]],"abrir"))</f>
        <v/>
      </c>
      <c r="AN616" s="6" t="n"/>
      <c r="AO616" s="3">
        <f>IF(tblOrdenes[[#This Row],[orden]]="","",tblOrdenes[[#This Row],[orden]]&amp;IF(tblOrdenes[[#This Row],[operacion]]="","0010",tblOrdenes[[#This Row],[operacion]]))</f>
        <v/>
      </c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11" t="n"/>
      <c r="K617" s="3" t="n"/>
      <c r="L617" s="10" t="n"/>
      <c r="M617" s="6" t="n"/>
      <c r="N6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17" s="3">
        <f>IF(tblOrdenes[[#This Row],[fecha_inicio]]="","",YEAR(tblOrdenes[[#This Row],[fecha_inicio]]))</f>
        <v/>
      </c>
      <c r="R617" s="3">
        <f>IF(tblOrdenes[[#This Row],[fecha_inicio]]="","",MONTH(tblOrdenes[[#This Row],[fecha_inicio]]))</f>
        <v/>
      </c>
      <c r="S617" s="3">
        <f>IF(tblOrdenes[[#This Row],[fecha_inicio]]="","",INDEX(lista_dias,WEEKDAY(tblOrdenes[[#This Row],[fecha_inicio]],2)))</f>
        <v/>
      </c>
      <c r="T617" s="3">
        <f>IF(tblOrdenes[[#This Row],[tipo_ot]]="","",_xlfn.XLOOKUP(tblOrdenes[[#This Row],[tipo_ot]],tblTiposOT[codigo],tblTiposOT[clasificacion],"sin_clasificar"))</f>
        <v/>
      </c>
      <c r="U617" s="3">
        <f>IF(tblOrdenes[[#This Row],[centro_costo]]="","",_xlfn.XLOOKUP(tblOrdenes[[#This Row],[centro_costo]],tblCECO[codigo],tblCECO[linea],"(sin catálogo)"))</f>
        <v/>
      </c>
      <c r="V617" s="3">
        <f>IF(tblOrdenes[[#This Row],[centro_costo]]="","",_xlfn.XLOOKUP(tblOrdenes[[#This Row],[centro_costo]],tblCECO[codigo],tblCECO[area],"(sin catálogo)"))</f>
        <v/>
      </c>
      <c r="W617" s="3">
        <f>IF(tblOrdenes[[#This Row],[centro_costo]]="","",_xlfn.XLOOKUP(tblOrdenes[[#This Row],[centro_costo]],tblCECO[codigo],tblCECO[coordinador],"(sin catálogo)"))</f>
        <v/>
      </c>
      <c r="X617" s="3">
        <f>IF(tblOrdenes[[#This Row],[puesto_trabajo]]="","",_xlfn.XLOOKUP(tblOrdenes[[#This Row],[puesto_trabajo]],tblPuestos[codigo],tblPuestos[especialidad],"(sin catálogo)"))</f>
        <v/>
      </c>
      <c r="Y617" s="3">
        <f>IF(tblOrdenes[[#This Row],[cod_actividad]]="","",_xlfn.XLOOKUP(tblOrdenes[[#This Row],[cod_actividad]],tblActividades[codigo],tblActividades[descripcion],"(sin catálogo)"))</f>
        <v/>
      </c>
      <c r="Z617" s="12">
        <f>IF(tblOrdenes[[#This Row],[fecha_inicio]]="","",TODAY()-tblOrdenes[[#This Row],[fecha_inicio]])</f>
        <v/>
      </c>
      <c r="AA617" s="3">
        <f>IF(tblOrdenes[[#This Row],[backlog_dias]]="","",IF(tblOrdenes[[#This Row],[backlog_dias]]&lt;0,"FUTURO",IF(tblOrdenes[[#This Row],[backlog_dias]]&gt;p_dias_backlog_max,"BACKLOG","MES CORRIENTE")))</f>
        <v/>
      </c>
      <c r="AB617" s="3">
        <f>IF(tblOrdenes[[#This Row],[backlog_dias]]="",FALSE,AND(tblOrdenes[[#This Row],[backlog_dias]]&gt;p_dias_backlog_min,tblOrdenes[[#This Row],[backlog_dias]]&lt;=p_dias_backlog_max))</f>
        <v/>
      </c>
      <c r="AC617" s="6" t="n"/>
      <c r="AD6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17" s="10">
        <f>IF(tblOrdenes[[#This Row],[orden]]="","",_xlfn.XLOOKUP(tblOrdenes[[#This Row],[id_operacion]],tblEjecucion[id_operacion],tblEjecucion[precio],0))</f>
        <v/>
      </c>
      <c r="AH617" s="10">
        <f>IF(tblOrdenes[[#This Row],[orden]]="","",MAX(0,_xlfn.XLOOKUP(tblOrdenes[[#This Row],[id_operacion]],tblEjecucion[id_operacion],tblEjecucion[costo_plan_total],0)-tblOrdenes[[#This Row],[costo_servicio]]))</f>
        <v/>
      </c>
      <c r="AI617" s="10">
        <f>IF(tblOrdenes[[#This Row],[orden]]="","",tblOrdenes[[#This Row],[costo_servicio]]+tblOrdenes[[#This Row],[costo_materiales]])</f>
        <v/>
      </c>
      <c r="AJ617" s="6" t="n"/>
      <c r="AK617" s="6" t="n"/>
      <c r="AL617" s="6" t="n"/>
      <c r="AM617" s="3">
        <f>IF(tblOrdenes[[#This Row],[link_checklist]]="","",HYPERLINK(p_ruta_base_checklists&amp;tblOrdenes[[#This Row],[link_checklist]],"abrir"))</f>
        <v/>
      </c>
      <c r="AN617" s="6" t="n"/>
      <c r="AO617" s="3">
        <f>IF(tblOrdenes[[#This Row],[orden]]="","",tblOrdenes[[#This Row],[orden]]&amp;IF(tblOrdenes[[#This Row],[operacion]]="","0010",tblOrdenes[[#This Row],[operacion]]))</f>
        <v/>
      </c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11" t="n"/>
      <c r="K618" s="3" t="n"/>
      <c r="L618" s="10" t="n"/>
      <c r="M618" s="6" t="n"/>
      <c r="N6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18" s="3">
        <f>IF(tblOrdenes[[#This Row],[fecha_inicio]]="","",YEAR(tblOrdenes[[#This Row],[fecha_inicio]]))</f>
        <v/>
      </c>
      <c r="R618" s="3">
        <f>IF(tblOrdenes[[#This Row],[fecha_inicio]]="","",MONTH(tblOrdenes[[#This Row],[fecha_inicio]]))</f>
        <v/>
      </c>
      <c r="S618" s="3">
        <f>IF(tblOrdenes[[#This Row],[fecha_inicio]]="","",INDEX(lista_dias,WEEKDAY(tblOrdenes[[#This Row],[fecha_inicio]],2)))</f>
        <v/>
      </c>
      <c r="T618" s="3">
        <f>IF(tblOrdenes[[#This Row],[tipo_ot]]="","",_xlfn.XLOOKUP(tblOrdenes[[#This Row],[tipo_ot]],tblTiposOT[codigo],tblTiposOT[clasificacion],"sin_clasificar"))</f>
        <v/>
      </c>
      <c r="U618" s="3">
        <f>IF(tblOrdenes[[#This Row],[centro_costo]]="","",_xlfn.XLOOKUP(tblOrdenes[[#This Row],[centro_costo]],tblCECO[codigo],tblCECO[linea],"(sin catálogo)"))</f>
        <v/>
      </c>
      <c r="V618" s="3">
        <f>IF(tblOrdenes[[#This Row],[centro_costo]]="","",_xlfn.XLOOKUP(tblOrdenes[[#This Row],[centro_costo]],tblCECO[codigo],tblCECO[area],"(sin catálogo)"))</f>
        <v/>
      </c>
      <c r="W618" s="3">
        <f>IF(tblOrdenes[[#This Row],[centro_costo]]="","",_xlfn.XLOOKUP(tblOrdenes[[#This Row],[centro_costo]],tblCECO[codigo],tblCECO[coordinador],"(sin catálogo)"))</f>
        <v/>
      </c>
      <c r="X618" s="3">
        <f>IF(tblOrdenes[[#This Row],[puesto_trabajo]]="","",_xlfn.XLOOKUP(tblOrdenes[[#This Row],[puesto_trabajo]],tblPuestos[codigo],tblPuestos[especialidad],"(sin catálogo)"))</f>
        <v/>
      </c>
      <c r="Y618" s="3">
        <f>IF(tblOrdenes[[#This Row],[cod_actividad]]="","",_xlfn.XLOOKUP(tblOrdenes[[#This Row],[cod_actividad]],tblActividades[codigo],tblActividades[descripcion],"(sin catálogo)"))</f>
        <v/>
      </c>
      <c r="Z618" s="12">
        <f>IF(tblOrdenes[[#This Row],[fecha_inicio]]="","",TODAY()-tblOrdenes[[#This Row],[fecha_inicio]])</f>
        <v/>
      </c>
      <c r="AA618" s="3">
        <f>IF(tblOrdenes[[#This Row],[backlog_dias]]="","",IF(tblOrdenes[[#This Row],[backlog_dias]]&lt;0,"FUTURO",IF(tblOrdenes[[#This Row],[backlog_dias]]&gt;p_dias_backlog_max,"BACKLOG","MES CORRIENTE")))</f>
        <v/>
      </c>
      <c r="AB618" s="3">
        <f>IF(tblOrdenes[[#This Row],[backlog_dias]]="",FALSE,AND(tblOrdenes[[#This Row],[backlog_dias]]&gt;p_dias_backlog_min,tblOrdenes[[#This Row],[backlog_dias]]&lt;=p_dias_backlog_max))</f>
        <v/>
      </c>
      <c r="AC618" s="6" t="n"/>
      <c r="AD6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18" s="10">
        <f>IF(tblOrdenes[[#This Row],[orden]]="","",_xlfn.XLOOKUP(tblOrdenes[[#This Row],[id_operacion]],tblEjecucion[id_operacion],tblEjecucion[precio],0))</f>
        <v/>
      </c>
      <c r="AH618" s="10">
        <f>IF(tblOrdenes[[#This Row],[orden]]="","",MAX(0,_xlfn.XLOOKUP(tblOrdenes[[#This Row],[id_operacion]],tblEjecucion[id_operacion],tblEjecucion[costo_plan_total],0)-tblOrdenes[[#This Row],[costo_servicio]]))</f>
        <v/>
      </c>
      <c r="AI618" s="10">
        <f>IF(tblOrdenes[[#This Row],[orden]]="","",tblOrdenes[[#This Row],[costo_servicio]]+tblOrdenes[[#This Row],[costo_materiales]])</f>
        <v/>
      </c>
      <c r="AJ618" s="6" t="n"/>
      <c r="AK618" s="6" t="n"/>
      <c r="AL618" s="6" t="n"/>
      <c r="AM618" s="3">
        <f>IF(tblOrdenes[[#This Row],[link_checklist]]="","",HYPERLINK(p_ruta_base_checklists&amp;tblOrdenes[[#This Row],[link_checklist]],"abrir"))</f>
        <v/>
      </c>
      <c r="AN618" s="6" t="n"/>
      <c r="AO618" s="3">
        <f>IF(tblOrdenes[[#This Row],[orden]]="","",tblOrdenes[[#This Row],[orden]]&amp;IF(tblOrdenes[[#This Row],[operacion]]="","0010",tblOrdenes[[#This Row],[operacion]]))</f>
        <v/>
      </c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11" t="n"/>
      <c r="K619" s="3" t="n"/>
      <c r="L619" s="10" t="n"/>
      <c r="M619" s="6" t="n"/>
      <c r="N6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19" s="3">
        <f>IF(tblOrdenes[[#This Row],[fecha_inicio]]="","",YEAR(tblOrdenes[[#This Row],[fecha_inicio]]))</f>
        <v/>
      </c>
      <c r="R619" s="3">
        <f>IF(tblOrdenes[[#This Row],[fecha_inicio]]="","",MONTH(tblOrdenes[[#This Row],[fecha_inicio]]))</f>
        <v/>
      </c>
      <c r="S619" s="3">
        <f>IF(tblOrdenes[[#This Row],[fecha_inicio]]="","",INDEX(lista_dias,WEEKDAY(tblOrdenes[[#This Row],[fecha_inicio]],2)))</f>
        <v/>
      </c>
      <c r="T619" s="3">
        <f>IF(tblOrdenes[[#This Row],[tipo_ot]]="","",_xlfn.XLOOKUP(tblOrdenes[[#This Row],[tipo_ot]],tblTiposOT[codigo],tblTiposOT[clasificacion],"sin_clasificar"))</f>
        <v/>
      </c>
      <c r="U619" s="3">
        <f>IF(tblOrdenes[[#This Row],[centro_costo]]="","",_xlfn.XLOOKUP(tblOrdenes[[#This Row],[centro_costo]],tblCECO[codigo],tblCECO[linea],"(sin catálogo)"))</f>
        <v/>
      </c>
      <c r="V619" s="3">
        <f>IF(tblOrdenes[[#This Row],[centro_costo]]="","",_xlfn.XLOOKUP(tblOrdenes[[#This Row],[centro_costo]],tblCECO[codigo],tblCECO[area],"(sin catálogo)"))</f>
        <v/>
      </c>
      <c r="W619" s="3">
        <f>IF(tblOrdenes[[#This Row],[centro_costo]]="","",_xlfn.XLOOKUP(tblOrdenes[[#This Row],[centro_costo]],tblCECO[codigo],tblCECO[coordinador],"(sin catálogo)"))</f>
        <v/>
      </c>
      <c r="X619" s="3">
        <f>IF(tblOrdenes[[#This Row],[puesto_trabajo]]="","",_xlfn.XLOOKUP(tblOrdenes[[#This Row],[puesto_trabajo]],tblPuestos[codigo],tblPuestos[especialidad],"(sin catálogo)"))</f>
        <v/>
      </c>
      <c r="Y619" s="3">
        <f>IF(tblOrdenes[[#This Row],[cod_actividad]]="","",_xlfn.XLOOKUP(tblOrdenes[[#This Row],[cod_actividad]],tblActividades[codigo],tblActividades[descripcion],"(sin catálogo)"))</f>
        <v/>
      </c>
      <c r="Z619" s="12">
        <f>IF(tblOrdenes[[#This Row],[fecha_inicio]]="","",TODAY()-tblOrdenes[[#This Row],[fecha_inicio]])</f>
        <v/>
      </c>
      <c r="AA619" s="3">
        <f>IF(tblOrdenes[[#This Row],[backlog_dias]]="","",IF(tblOrdenes[[#This Row],[backlog_dias]]&lt;0,"FUTURO",IF(tblOrdenes[[#This Row],[backlog_dias]]&gt;p_dias_backlog_max,"BACKLOG","MES CORRIENTE")))</f>
        <v/>
      </c>
      <c r="AB619" s="3">
        <f>IF(tblOrdenes[[#This Row],[backlog_dias]]="",FALSE,AND(tblOrdenes[[#This Row],[backlog_dias]]&gt;p_dias_backlog_min,tblOrdenes[[#This Row],[backlog_dias]]&lt;=p_dias_backlog_max))</f>
        <v/>
      </c>
      <c r="AC619" s="6" t="n"/>
      <c r="AD6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19" s="10">
        <f>IF(tblOrdenes[[#This Row],[orden]]="","",_xlfn.XLOOKUP(tblOrdenes[[#This Row],[id_operacion]],tblEjecucion[id_operacion],tblEjecucion[precio],0))</f>
        <v/>
      </c>
      <c r="AH619" s="10">
        <f>IF(tblOrdenes[[#This Row],[orden]]="","",MAX(0,_xlfn.XLOOKUP(tblOrdenes[[#This Row],[id_operacion]],tblEjecucion[id_operacion],tblEjecucion[costo_plan_total],0)-tblOrdenes[[#This Row],[costo_servicio]]))</f>
        <v/>
      </c>
      <c r="AI619" s="10">
        <f>IF(tblOrdenes[[#This Row],[orden]]="","",tblOrdenes[[#This Row],[costo_servicio]]+tblOrdenes[[#This Row],[costo_materiales]])</f>
        <v/>
      </c>
      <c r="AJ619" s="6" t="n"/>
      <c r="AK619" s="6" t="n"/>
      <c r="AL619" s="6" t="n"/>
      <c r="AM619" s="3">
        <f>IF(tblOrdenes[[#This Row],[link_checklist]]="","",HYPERLINK(p_ruta_base_checklists&amp;tblOrdenes[[#This Row],[link_checklist]],"abrir"))</f>
        <v/>
      </c>
      <c r="AN619" s="6" t="n"/>
      <c r="AO619" s="3">
        <f>IF(tblOrdenes[[#This Row],[orden]]="","",tblOrdenes[[#This Row],[orden]]&amp;IF(tblOrdenes[[#This Row],[operacion]]="","0010",tblOrdenes[[#This Row],[operacion]]))</f>
        <v/>
      </c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11" t="n"/>
      <c r="K620" s="3" t="n"/>
      <c r="L620" s="10" t="n"/>
      <c r="M620" s="6" t="n"/>
      <c r="N6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20" s="3">
        <f>IF(tblOrdenes[[#This Row],[fecha_inicio]]="","",YEAR(tblOrdenes[[#This Row],[fecha_inicio]]))</f>
        <v/>
      </c>
      <c r="R620" s="3">
        <f>IF(tblOrdenes[[#This Row],[fecha_inicio]]="","",MONTH(tblOrdenes[[#This Row],[fecha_inicio]]))</f>
        <v/>
      </c>
      <c r="S620" s="3">
        <f>IF(tblOrdenes[[#This Row],[fecha_inicio]]="","",INDEX(lista_dias,WEEKDAY(tblOrdenes[[#This Row],[fecha_inicio]],2)))</f>
        <v/>
      </c>
      <c r="T620" s="3">
        <f>IF(tblOrdenes[[#This Row],[tipo_ot]]="","",_xlfn.XLOOKUP(tblOrdenes[[#This Row],[tipo_ot]],tblTiposOT[codigo],tblTiposOT[clasificacion],"sin_clasificar"))</f>
        <v/>
      </c>
      <c r="U620" s="3">
        <f>IF(tblOrdenes[[#This Row],[centro_costo]]="","",_xlfn.XLOOKUP(tblOrdenes[[#This Row],[centro_costo]],tblCECO[codigo],tblCECO[linea],"(sin catálogo)"))</f>
        <v/>
      </c>
      <c r="V620" s="3">
        <f>IF(tblOrdenes[[#This Row],[centro_costo]]="","",_xlfn.XLOOKUP(tblOrdenes[[#This Row],[centro_costo]],tblCECO[codigo],tblCECO[area],"(sin catálogo)"))</f>
        <v/>
      </c>
      <c r="W620" s="3">
        <f>IF(tblOrdenes[[#This Row],[centro_costo]]="","",_xlfn.XLOOKUP(tblOrdenes[[#This Row],[centro_costo]],tblCECO[codigo],tblCECO[coordinador],"(sin catálogo)"))</f>
        <v/>
      </c>
      <c r="X620" s="3">
        <f>IF(tblOrdenes[[#This Row],[puesto_trabajo]]="","",_xlfn.XLOOKUP(tblOrdenes[[#This Row],[puesto_trabajo]],tblPuestos[codigo],tblPuestos[especialidad],"(sin catálogo)"))</f>
        <v/>
      </c>
      <c r="Y620" s="3">
        <f>IF(tblOrdenes[[#This Row],[cod_actividad]]="","",_xlfn.XLOOKUP(tblOrdenes[[#This Row],[cod_actividad]],tblActividades[codigo],tblActividades[descripcion],"(sin catálogo)"))</f>
        <v/>
      </c>
      <c r="Z620" s="12">
        <f>IF(tblOrdenes[[#This Row],[fecha_inicio]]="","",TODAY()-tblOrdenes[[#This Row],[fecha_inicio]])</f>
        <v/>
      </c>
      <c r="AA620" s="3">
        <f>IF(tblOrdenes[[#This Row],[backlog_dias]]="","",IF(tblOrdenes[[#This Row],[backlog_dias]]&lt;0,"FUTURO",IF(tblOrdenes[[#This Row],[backlog_dias]]&gt;p_dias_backlog_max,"BACKLOG","MES CORRIENTE")))</f>
        <v/>
      </c>
      <c r="AB620" s="3">
        <f>IF(tblOrdenes[[#This Row],[backlog_dias]]="",FALSE,AND(tblOrdenes[[#This Row],[backlog_dias]]&gt;p_dias_backlog_min,tblOrdenes[[#This Row],[backlog_dias]]&lt;=p_dias_backlog_max))</f>
        <v/>
      </c>
      <c r="AC620" s="6" t="n"/>
      <c r="AD6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20" s="10">
        <f>IF(tblOrdenes[[#This Row],[orden]]="","",_xlfn.XLOOKUP(tblOrdenes[[#This Row],[id_operacion]],tblEjecucion[id_operacion],tblEjecucion[precio],0))</f>
        <v/>
      </c>
      <c r="AH620" s="10">
        <f>IF(tblOrdenes[[#This Row],[orden]]="","",MAX(0,_xlfn.XLOOKUP(tblOrdenes[[#This Row],[id_operacion]],tblEjecucion[id_operacion],tblEjecucion[costo_plan_total],0)-tblOrdenes[[#This Row],[costo_servicio]]))</f>
        <v/>
      </c>
      <c r="AI620" s="10">
        <f>IF(tblOrdenes[[#This Row],[orden]]="","",tblOrdenes[[#This Row],[costo_servicio]]+tblOrdenes[[#This Row],[costo_materiales]])</f>
        <v/>
      </c>
      <c r="AJ620" s="6" t="n"/>
      <c r="AK620" s="6" t="n"/>
      <c r="AL620" s="6" t="n"/>
      <c r="AM620" s="3">
        <f>IF(tblOrdenes[[#This Row],[link_checklist]]="","",HYPERLINK(p_ruta_base_checklists&amp;tblOrdenes[[#This Row],[link_checklist]],"abrir"))</f>
        <v/>
      </c>
      <c r="AN620" s="6" t="n"/>
      <c r="AO620" s="3">
        <f>IF(tblOrdenes[[#This Row],[orden]]="","",tblOrdenes[[#This Row],[orden]]&amp;IF(tblOrdenes[[#This Row],[operacion]]="","0010",tblOrdenes[[#This Row],[operacion]]))</f>
        <v/>
      </c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11" t="n"/>
      <c r="K621" s="3" t="n"/>
      <c r="L621" s="10" t="n"/>
      <c r="M621" s="6" t="n"/>
      <c r="N6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21" s="3">
        <f>IF(tblOrdenes[[#This Row],[fecha_inicio]]="","",YEAR(tblOrdenes[[#This Row],[fecha_inicio]]))</f>
        <v/>
      </c>
      <c r="R621" s="3">
        <f>IF(tblOrdenes[[#This Row],[fecha_inicio]]="","",MONTH(tblOrdenes[[#This Row],[fecha_inicio]]))</f>
        <v/>
      </c>
      <c r="S621" s="3">
        <f>IF(tblOrdenes[[#This Row],[fecha_inicio]]="","",INDEX(lista_dias,WEEKDAY(tblOrdenes[[#This Row],[fecha_inicio]],2)))</f>
        <v/>
      </c>
      <c r="T621" s="3">
        <f>IF(tblOrdenes[[#This Row],[tipo_ot]]="","",_xlfn.XLOOKUP(tblOrdenes[[#This Row],[tipo_ot]],tblTiposOT[codigo],tblTiposOT[clasificacion],"sin_clasificar"))</f>
        <v/>
      </c>
      <c r="U621" s="3">
        <f>IF(tblOrdenes[[#This Row],[centro_costo]]="","",_xlfn.XLOOKUP(tblOrdenes[[#This Row],[centro_costo]],tblCECO[codigo],tblCECO[linea],"(sin catálogo)"))</f>
        <v/>
      </c>
      <c r="V621" s="3">
        <f>IF(tblOrdenes[[#This Row],[centro_costo]]="","",_xlfn.XLOOKUP(tblOrdenes[[#This Row],[centro_costo]],tblCECO[codigo],tblCECO[area],"(sin catálogo)"))</f>
        <v/>
      </c>
      <c r="W621" s="3">
        <f>IF(tblOrdenes[[#This Row],[centro_costo]]="","",_xlfn.XLOOKUP(tblOrdenes[[#This Row],[centro_costo]],tblCECO[codigo],tblCECO[coordinador],"(sin catálogo)"))</f>
        <v/>
      </c>
      <c r="X621" s="3">
        <f>IF(tblOrdenes[[#This Row],[puesto_trabajo]]="","",_xlfn.XLOOKUP(tblOrdenes[[#This Row],[puesto_trabajo]],tblPuestos[codigo],tblPuestos[especialidad],"(sin catálogo)"))</f>
        <v/>
      </c>
      <c r="Y621" s="3">
        <f>IF(tblOrdenes[[#This Row],[cod_actividad]]="","",_xlfn.XLOOKUP(tblOrdenes[[#This Row],[cod_actividad]],tblActividades[codigo],tblActividades[descripcion],"(sin catálogo)"))</f>
        <v/>
      </c>
      <c r="Z621" s="12">
        <f>IF(tblOrdenes[[#This Row],[fecha_inicio]]="","",TODAY()-tblOrdenes[[#This Row],[fecha_inicio]])</f>
        <v/>
      </c>
      <c r="AA621" s="3">
        <f>IF(tblOrdenes[[#This Row],[backlog_dias]]="","",IF(tblOrdenes[[#This Row],[backlog_dias]]&lt;0,"FUTURO",IF(tblOrdenes[[#This Row],[backlog_dias]]&gt;p_dias_backlog_max,"BACKLOG","MES CORRIENTE")))</f>
        <v/>
      </c>
      <c r="AB621" s="3">
        <f>IF(tblOrdenes[[#This Row],[backlog_dias]]="",FALSE,AND(tblOrdenes[[#This Row],[backlog_dias]]&gt;p_dias_backlog_min,tblOrdenes[[#This Row],[backlog_dias]]&lt;=p_dias_backlog_max))</f>
        <v/>
      </c>
      <c r="AC621" s="6" t="n"/>
      <c r="AD6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21" s="10">
        <f>IF(tblOrdenes[[#This Row],[orden]]="","",_xlfn.XLOOKUP(tblOrdenes[[#This Row],[id_operacion]],tblEjecucion[id_operacion],tblEjecucion[precio],0))</f>
        <v/>
      </c>
      <c r="AH621" s="10">
        <f>IF(tblOrdenes[[#This Row],[orden]]="","",MAX(0,_xlfn.XLOOKUP(tblOrdenes[[#This Row],[id_operacion]],tblEjecucion[id_operacion],tblEjecucion[costo_plan_total],0)-tblOrdenes[[#This Row],[costo_servicio]]))</f>
        <v/>
      </c>
      <c r="AI621" s="10">
        <f>IF(tblOrdenes[[#This Row],[orden]]="","",tblOrdenes[[#This Row],[costo_servicio]]+tblOrdenes[[#This Row],[costo_materiales]])</f>
        <v/>
      </c>
      <c r="AJ621" s="6" t="n"/>
      <c r="AK621" s="6" t="n"/>
      <c r="AL621" s="6" t="n"/>
      <c r="AM621" s="3">
        <f>IF(tblOrdenes[[#This Row],[link_checklist]]="","",HYPERLINK(p_ruta_base_checklists&amp;tblOrdenes[[#This Row],[link_checklist]],"abrir"))</f>
        <v/>
      </c>
      <c r="AN621" s="6" t="n"/>
      <c r="AO621" s="3">
        <f>IF(tblOrdenes[[#This Row],[orden]]="","",tblOrdenes[[#This Row],[orden]]&amp;IF(tblOrdenes[[#This Row],[operacion]]="","0010",tblOrdenes[[#This Row],[operacion]]))</f>
        <v/>
      </c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11" t="n"/>
      <c r="K622" s="3" t="n"/>
      <c r="L622" s="10" t="n"/>
      <c r="M622" s="6" t="n"/>
      <c r="N6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22" s="3">
        <f>IF(tblOrdenes[[#This Row],[fecha_inicio]]="","",YEAR(tblOrdenes[[#This Row],[fecha_inicio]]))</f>
        <v/>
      </c>
      <c r="R622" s="3">
        <f>IF(tblOrdenes[[#This Row],[fecha_inicio]]="","",MONTH(tblOrdenes[[#This Row],[fecha_inicio]]))</f>
        <v/>
      </c>
      <c r="S622" s="3">
        <f>IF(tblOrdenes[[#This Row],[fecha_inicio]]="","",INDEX(lista_dias,WEEKDAY(tblOrdenes[[#This Row],[fecha_inicio]],2)))</f>
        <v/>
      </c>
      <c r="T622" s="3">
        <f>IF(tblOrdenes[[#This Row],[tipo_ot]]="","",_xlfn.XLOOKUP(tblOrdenes[[#This Row],[tipo_ot]],tblTiposOT[codigo],tblTiposOT[clasificacion],"sin_clasificar"))</f>
        <v/>
      </c>
      <c r="U622" s="3">
        <f>IF(tblOrdenes[[#This Row],[centro_costo]]="","",_xlfn.XLOOKUP(tblOrdenes[[#This Row],[centro_costo]],tblCECO[codigo],tblCECO[linea],"(sin catálogo)"))</f>
        <v/>
      </c>
      <c r="V622" s="3">
        <f>IF(tblOrdenes[[#This Row],[centro_costo]]="","",_xlfn.XLOOKUP(tblOrdenes[[#This Row],[centro_costo]],tblCECO[codigo],tblCECO[area],"(sin catálogo)"))</f>
        <v/>
      </c>
      <c r="W622" s="3">
        <f>IF(tblOrdenes[[#This Row],[centro_costo]]="","",_xlfn.XLOOKUP(tblOrdenes[[#This Row],[centro_costo]],tblCECO[codigo],tblCECO[coordinador],"(sin catálogo)"))</f>
        <v/>
      </c>
      <c r="X622" s="3">
        <f>IF(tblOrdenes[[#This Row],[puesto_trabajo]]="","",_xlfn.XLOOKUP(tblOrdenes[[#This Row],[puesto_trabajo]],tblPuestos[codigo],tblPuestos[especialidad],"(sin catálogo)"))</f>
        <v/>
      </c>
      <c r="Y622" s="3">
        <f>IF(tblOrdenes[[#This Row],[cod_actividad]]="","",_xlfn.XLOOKUP(tblOrdenes[[#This Row],[cod_actividad]],tblActividades[codigo],tblActividades[descripcion],"(sin catálogo)"))</f>
        <v/>
      </c>
      <c r="Z622" s="12">
        <f>IF(tblOrdenes[[#This Row],[fecha_inicio]]="","",TODAY()-tblOrdenes[[#This Row],[fecha_inicio]])</f>
        <v/>
      </c>
      <c r="AA622" s="3">
        <f>IF(tblOrdenes[[#This Row],[backlog_dias]]="","",IF(tblOrdenes[[#This Row],[backlog_dias]]&lt;0,"FUTURO",IF(tblOrdenes[[#This Row],[backlog_dias]]&gt;p_dias_backlog_max,"BACKLOG","MES CORRIENTE")))</f>
        <v/>
      </c>
      <c r="AB622" s="3">
        <f>IF(tblOrdenes[[#This Row],[backlog_dias]]="",FALSE,AND(tblOrdenes[[#This Row],[backlog_dias]]&gt;p_dias_backlog_min,tblOrdenes[[#This Row],[backlog_dias]]&lt;=p_dias_backlog_max))</f>
        <v/>
      </c>
      <c r="AC622" s="6" t="n"/>
      <c r="AD6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22" s="10">
        <f>IF(tblOrdenes[[#This Row],[orden]]="","",_xlfn.XLOOKUP(tblOrdenes[[#This Row],[id_operacion]],tblEjecucion[id_operacion],tblEjecucion[precio],0))</f>
        <v/>
      </c>
      <c r="AH622" s="10">
        <f>IF(tblOrdenes[[#This Row],[orden]]="","",MAX(0,_xlfn.XLOOKUP(tblOrdenes[[#This Row],[id_operacion]],tblEjecucion[id_operacion],tblEjecucion[costo_plan_total],0)-tblOrdenes[[#This Row],[costo_servicio]]))</f>
        <v/>
      </c>
      <c r="AI622" s="10">
        <f>IF(tblOrdenes[[#This Row],[orden]]="","",tblOrdenes[[#This Row],[costo_servicio]]+tblOrdenes[[#This Row],[costo_materiales]])</f>
        <v/>
      </c>
      <c r="AJ622" s="6" t="n"/>
      <c r="AK622" s="6" t="n"/>
      <c r="AL622" s="6" t="n"/>
      <c r="AM622" s="3">
        <f>IF(tblOrdenes[[#This Row],[link_checklist]]="","",HYPERLINK(p_ruta_base_checklists&amp;tblOrdenes[[#This Row],[link_checklist]],"abrir"))</f>
        <v/>
      </c>
      <c r="AN622" s="6" t="n"/>
      <c r="AO622" s="3">
        <f>IF(tblOrdenes[[#This Row],[orden]]="","",tblOrdenes[[#This Row],[orden]]&amp;IF(tblOrdenes[[#This Row],[operacion]]="","0010",tblOrdenes[[#This Row],[operacion]]))</f>
        <v/>
      </c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11" t="n"/>
      <c r="K623" s="3" t="n"/>
      <c r="L623" s="10" t="n"/>
      <c r="M623" s="6" t="n"/>
      <c r="N6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23" s="3">
        <f>IF(tblOrdenes[[#This Row],[fecha_inicio]]="","",YEAR(tblOrdenes[[#This Row],[fecha_inicio]]))</f>
        <v/>
      </c>
      <c r="R623" s="3">
        <f>IF(tblOrdenes[[#This Row],[fecha_inicio]]="","",MONTH(tblOrdenes[[#This Row],[fecha_inicio]]))</f>
        <v/>
      </c>
      <c r="S623" s="3">
        <f>IF(tblOrdenes[[#This Row],[fecha_inicio]]="","",INDEX(lista_dias,WEEKDAY(tblOrdenes[[#This Row],[fecha_inicio]],2)))</f>
        <v/>
      </c>
      <c r="T623" s="3">
        <f>IF(tblOrdenes[[#This Row],[tipo_ot]]="","",_xlfn.XLOOKUP(tblOrdenes[[#This Row],[tipo_ot]],tblTiposOT[codigo],tblTiposOT[clasificacion],"sin_clasificar"))</f>
        <v/>
      </c>
      <c r="U623" s="3">
        <f>IF(tblOrdenes[[#This Row],[centro_costo]]="","",_xlfn.XLOOKUP(tblOrdenes[[#This Row],[centro_costo]],tblCECO[codigo],tblCECO[linea],"(sin catálogo)"))</f>
        <v/>
      </c>
      <c r="V623" s="3">
        <f>IF(tblOrdenes[[#This Row],[centro_costo]]="","",_xlfn.XLOOKUP(tblOrdenes[[#This Row],[centro_costo]],tblCECO[codigo],tblCECO[area],"(sin catálogo)"))</f>
        <v/>
      </c>
      <c r="W623" s="3">
        <f>IF(tblOrdenes[[#This Row],[centro_costo]]="","",_xlfn.XLOOKUP(tblOrdenes[[#This Row],[centro_costo]],tblCECO[codigo],tblCECO[coordinador],"(sin catálogo)"))</f>
        <v/>
      </c>
      <c r="X623" s="3">
        <f>IF(tblOrdenes[[#This Row],[puesto_trabajo]]="","",_xlfn.XLOOKUP(tblOrdenes[[#This Row],[puesto_trabajo]],tblPuestos[codigo],tblPuestos[especialidad],"(sin catálogo)"))</f>
        <v/>
      </c>
      <c r="Y623" s="3">
        <f>IF(tblOrdenes[[#This Row],[cod_actividad]]="","",_xlfn.XLOOKUP(tblOrdenes[[#This Row],[cod_actividad]],tblActividades[codigo],tblActividades[descripcion],"(sin catálogo)"))</f>
        <v/>
      </c>
      <c r="Z623" s="12">
        <f>IF(tblOrdenes[[#This Row],[fecha_inicio]]="","",TODAY()-tblOrdenes[[#This Row],[fecha_inicio]])</f>
        <v/>
      </c>
      <c r="AA623" s="3">
        <f>IF(tblOrdenes[[#This Row],[backlog_dias]]="","",IF(tblOrdenes[[#This Row],[backlog_dias]]&lt;0,"FUTURO",IF(tblOrdenes[[#This Row],[backlog_dias]]&gt;p_dias_backlog_max,"BACKLOG","MES CORRIENTE")))</f>
        <v/>
      </c>
      <c r="AB623" s="3">
        <f>IF(tblOrdenes[[#This Row],[backlog_dias]]="",FALSE,AND(tblOrdenes[[#This Row],[backlog_dias]]&gt;p_dias_backlog_min,tblOrdenes[[#This Row],[backlog_dias]]&lt;=p_dias_backlog_max))</f>
        <v/>
      </c>
      <c r="AC623" s="6" t="n"/>
      <c r="AD6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23" s="10">
        <f>IF(tblOrdenes[[#This Row],[orden]]="","",_xlfn.XLOOKUP(tblOrdenes[[#This Row],[id_operacion]],tblEjecucion[id_operacion],tblEjecucion[precio],0))</f>
        <v/>
      </c>
      <c r="AH623" s="10">
        <f>IF(tblOrdenes[[#This Row],[orden]]="","",MAX(0,_xlfn.XLOOKUP(tblOrdenes[[#This Row],[id_operacion]],tblEjecucion[id_operacion],tblEjecucion[costo_plan_total],0)-tblOrdenes[[#This Row],[costo_servicio]]))</f>
        <v/>
      </c>
      <c r="AI623" s="10">
        <f>IF(tblOrdenes[[#This Row],[orden]]="","",tblOrdenes[[#This Row],[costo_servicio]]+tblOrdenes[[#This Row],[costo_materiales]])</f>
        <v/>
      </c>
      <c r="AJ623" s="6" t="n"/>
      <c r="AK623" s="6" t="n"/>
      <c r="AL623" s="6" t="n"/>
      <c r="AM623" s="3">
        <f>IF(tblOrdenes[[#This Row],[link_checklist]]="","",HYPERLINK(p_ruta_base_checklists&amp;tblOrdenes[[#This Row],[link_checklist]],"abrir"))</f>
        <v/>
      </c>
      <c r="AN623" s="6" t="n"/>
      <c r="AO623" s="3">
        <f>IF(tblOrdenes[[#This Row],[orden]]="","",tblOrdenes[[#This Row],[orden]]&amp;IF(tblOrdenes[[#This Row],[operacion]]="","0010",tblOrdenes[[#This Row],[operacion]]))</f>
        <v/>
      </c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11" t="n"/>
      <c r="K624" s="3" t="n"/>
      <c r="L624" s="10" t="n"/>
      <c r="M624" s="6" t="n"/>
      <c r="N6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24" s="3">
        <f>IF(tblOrdenes[[#This Row],[fecha_inicio]]="","",YEAR(tblOrdenes[[#This Row],[fecha_inicio]]))</f>
        <v/>
      </c>
      <c r="R624" s="3">
        <f>IF(tblOrdenes[[#This Row],[fecha_inicio]]="","",MONTH(tblOrdenes[[#This Row],[fecha_inicio]]))</f>
        <v/>
      </c>
      <c r="S624" s="3">
        <f>IF(tblOrdenes[[#This Row],[fecha_inicio]]="","",INDEX(lista_dias,WEEKDAY(tblOrdenes[[#This Row],[fecha_inicio]],2)))</f>
        <v/>
      </c>
      <c r="T624" s="3">
        <f>IF(tblOrdenes[[#This Row],[tipo_ot]]="","",_xlfn.XLOOKUP(tblOrdenes[[#This Row],[tipo_ot]],tblTiposOT[codigo],tblTiposOT[clasificacion],"sin_clasificar"))</f>
        <v/>
      </c>
      <c r="U624" s="3">
        <f>IF(tblOrdenes[[#This Row],[centro_costo]]="","",_xlfn.XLOOKUP(tblOrdenes[[#This Row],[centro_costo]],tblCECO[codigo],tblCECO[linea],"(sin catálogo)"))</f>
        <v/>
      </c>
      <c r="V624" s="3">
        <f>IF(tblOrdenes[[#This Row],[centro_costo]]="","",_xlfn.XLOOKUP(tblOrdenes[[#This Row],[centro_costo]],tblCECO[codigo],tblCECO[area],"(sin catálogo)"))</f>
        <v/>
      </c>
      <c r="W624" s="3">
        <f>IF(tblOrdenes[[#This Row],[centro_costo]]="","",_xlfn.XLOOKUP(tblOrdenes[[#This Row],[centro_costo]],tblCECO[codigo],tblCECO[coordinador],"(sin catálogo)"))</f>
        <v/>
      </c>
      <c r="X624" s="3">
        <f>IF(tblOrdenes[[#This Row],[puesto_trabajo]]="","",_xlfn.XLOOKUP(tblOrdenes[[#This Row],[puesto_trabajo]],tblPuestos[codigo],tblPuestos[especialidad],"(sin catálogo)"))</f>
        <v/>
      </c>
      <c r="Y624" s="3">
        <f>IF(tblOrdenes[[#This Row],[cod_actividad]]="","",_xlfn.XLOOKUP(tblOrdenes[[#This Row],[cod_actividad]],tblActividades[codigo],tblActividades[descripcion],"(sin catálogo)"))</f>
        <v/>
      </c>
      <c r="Z624" s="12">
        <f>IF(tblOrdenes[[#This Row],[fecha_inicio]]="","",TODAY()-tblOrdenes[[#This Row],[fecha_inicio]])</f>
        <v/>
      </c>
      <c r="AA624" s="3">
        <f>IF(tblOrdenes[[#This Row],[backlog_dias]]="","",IF(tblOrdenes[[#This Row],[backlog_dias]]&lt;0,"FUTURO",IF(tblOrdenes[[#This Row],[backlog_dias]]&gt;p_dias_backlog_max,"BACKLOG","MES CORRIENTE")))</f>
        <v/>
      </c>
      <c r="AB624" s="3">
        <f>IF(tblOrdenes[[#This Row],[backlog_dias]]="",FALSE,AND(tblOrdenes[[#This Row],[backlog_dias]]&gt;p_dias_backlog_min,tblOrdenes[[#This Row],[backlog_dias]]&lt;=p_dias_backlog_max))</f>
        <v/>
      </c>
      <c r="AC624" s="6" t="n"/>
      <c r="AD6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24" s="10">
        <f>IF(tblOrdenes[[#This Row],[orden]]="","",_xlfn.XLOOKUP(tblOrdenes[[#This Row],[id_operacion]],tblEjecucion[id_operacion],tblEjecucion[precio],0))</f>
        <v/>
      </c>
      <c r="AH624" s="10">
        <f>IF(tblOrdenes[[#This Row],[orden]]="","",MAX(0,_xlfn.XLOOKUP(tblOrdenes[[#This Row],[id_operacion]],tblEjecucion[id_operacion],tblEjecucion[costo_plan_total],0)-tblOrdenes[[#This Row],[costo_servicio]]))</f>
        <v/>
      </c>
      <c r="AI624" s="10">
        <f>IF(tblOrdenes[[#This Row],[orden]]="","",tblOrdenes[[#This Row],[costo_servicio]]+tblOrdenes[[#This Row],[costo_materiales]])</f>
        <v/>
      </c>
      <c r="AJ624" s="6" t="n"/>
      <c r="AK624" s="6" t="n"/>
      <c r="AL624" s="6" t="n"/>
      <c r="AM624" s="3">
        <f>IF(tblOrdenes[[#This Row],[link_checklist]]="","",HYPERLINK(p_ruta_base_checklists&amp;tblOrdenes[[#This Row],[link_checklist]],"abrir"))</f>
        <v/>
      </c>
      <c r="AN624" s="6" t="n"/>
      <c r="AO624" s="3">
        <f>IF(tblOrdenes[[#This Row],[orden]]="","",tblOrdenes[[#This Row],[orden]]&amp;IF(tblOrdenes[[#This Row],[operacion]]="","0010",tblOrdenes[[#This Row],[operacion]]))</f>
        <v/>
      </c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11" t="n"/>
      <c r="K625" s="3" t="n"/>
      <c r="L625" s="10" t="n"/>
      <c r="M625" s="6" t="n"/>
      <c r="N6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25" s="3">
        <f>IF(tblOrdenes[[#This Row],[fecha_inicio]]="","",YEAR(tblOrdenes[[#This Row],[fecha_inicio]]))</f>
        <v/>
      </c>
      <c r="R625" s="3">
        <f>IF(tblOrdenes[[#This Row],[fecha_inicio]]="","",MONTH(tblOrdenes[[#This Row],[fecha_inicio]]))</f>
        <v/>
      </c>
      <c r="S625" s="3">
        <f>IF(tblOrdenes[[#This Row],[fecha_inicio]]="","",INDEX(lista_dias,WEEKDAY(tblOrdenes[[#This Row],[fecha_inicio]],2)))</f>
        <v/>
      </c>
      <c r="T625" s="3">
        <f>IF(tblOrdenes[[#This Row],[tipo_ot]]="","",_xlfn.XLOOKUP(tblOrdenes[[#This Row],[tipo_ot]],tblTiposOT[codigo],tblTiposOT[clasificacion],"sin_clasificar"))</f>
        <v/>
      </c>
      <c r="U625" s="3">
        <f>IF(tblOrdenes[[#This Row],[centro_costo]]="","",_xlfn.XLOOKUP(tblOrdenes[[#This Row],[centro_costo]],tblCECO[codigo],tblCECO[linea],"(sin catálogo)"))</f>
        <v/>
      </c>
      <c r="V625" s="3">
        <f>IF(tblOrdenes[[#This Row],[centro_costo]]="","",_xlfn.XLOOKUP(tblOrdenes[[#This Row],[centro_costo]],tblCECO[codigo],tblCECO[area],"(sin catálogo)"))</f>
        <v/>
      </c>
      <c r="W625" s="3">
        <f>IF(tblOrdenes[[#This Row],[centro_costo]]="","",_xlfn.XLOOKUP(tblOrdenes[[#This Row],[centro_costo]],tblCECO[codigo],tblCECO[coordinador],"(sin catálogo)"))</f>
        <v/>
      </c>
      <c r="X625" s="3">
        <f>IF(tblOrdenes[[#This Row],[puesto_trabajo]]="","",_xlfn.XLOOKUP(tblOrdenes[[#This Row],[puesto_trabajo]],tblPuestos[codigo],tblPuestos[especialidad],"(sin catálogo)"))</f>
        <v/>
      </c>
      <c r="Y625" s="3">
        <f>IF(tblOrdenes[[#This Row],[cod_actividad]]="","",_xlfn.XLOOKUP(tblOrdenes[[#This Row],[cod_actividad]],tblActividades[codigo],tblActividades[descripcion],"(sin catálogo)"))</f>
        <v/>
      </c>
      <c r="Z625" s="12">
        <f>IF(tblOrdenes[[#This Row],[fecha_inicio]]="","",TODAY()-tblOrdenes[[#This Row],[fecha_inicio]])</f>
        <v/>
      </c>
      <c r="AA625" s="3">
        <f>IF(tblOrdenes[[#This Row],[backlog_dias]]="","",IF(tblOrdenes[[#This Row],[backlog_dias]]&lt;0,"FUTURO",IF(tblOrdenes[[#This Row],[backlog_dias]]&gt;p_dias_backlog_max,"BACKLOG","MES CORRIENTE")))</f>
        <v/>
      </c>
      <c r="AB625" s="3">
        <f>IF(tblOrdenes[[#This Row],[backlog_dias]]="",FALSE,AND(tblOrdenes[[#This Row],[backlog_dias]]&gt;p_dias_backlog_min,tblOrdenes[[#This Row],[backlog_dias]]&lt;=p_dias_backlog_max))</f>
        <v/>
      </c>
      <c r="AC625" s="6" t="n"/>
      <c r="AD6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25" s="10">
        <f>IF(tblOrdenes[[#This Row],[orden]]="","",_xlfn.XLOOKUP(tblOrdenes[[#This Row],[id_operacion]],tblEjecucion[id_operacion],tblEjecucion[precio],0))</f>
        <v/>
      </c>
      <c r="AH625" s="10">
        <f>IF(tblOrdenes[[#This Row],[orden]]="","",MAX(0,_xlfn.XLOOKUP(tblOrdenes[[#This Row],[id_operacion]],tblEjecucion[id_operacion],tblEjecucion[costo_plan_total],0)-tblOrdenes[[#This Row],[costo_servicio]]))</f>
        <v/>
      </c>
      <c r="AI625" s="10">
        <f>IF(tblOrdenes[[#This Row],[orden]]="","",tblOrdenes[[#This Row],[costo_servicio]]+tblOrdenes[[#This Row],[costo_materiales]])</f>
        <v/>
      </c>
      <c r="AJ625" s="6" t="n"/>
      <c r="AK625" s="6" t="n"/>
      <c r="AL625" s="6" t="n"/>
      <c r="AM625" s="3">
        <f>IF(tblOrdenes[[#This Row],[link_checklist]]="","",HYPERLINK(p_ruta_base_checklists&amp;tblOrdenes[[#This Row],[link_checklist]],"abrir"))</f>
        <v/>
      </c>
      <c r="AN625" s="6" t="n"/>
      <c r="AO625" s="3">
        <f>IF(tblOrdenes[[#This Row],[orden]]="","",tblOrdenes[[#This Row],[orden]]&amp;IF(tblOrdenes[[#This Row],[operacion]]="","0010",tblOrdenes[[#This Row],[operacion]]))</f>
        <v/>
      </c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11" t="n"/>
      <c r="K626" s="3" t="n"/>
      <c r="L626" s="10" t="n"/>
      <c r="M626" s="6" t="n"/>
      <c r="N6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26" s="3">
        <f>IF(tblOrdenes[[#This Row],[fecha_inicio]]="","",YEAR(tblOrdenes[[#This Row],[fecha_inicio]]))</f>
        <v/>
      </c>
      <c r="R626" s="3">
        <f>IF(tblOrdenes[[#This Row],[fecha_inicio]]="","",MONTH(tblOrdenes[[#This Row],[fecha_inicio]]))</f>
        <v/>
      </c>
      <c r="S626" s="3">
        <f>IF(tblOrdenes[[#This Row],[fecha_inicio]]="","",INDEX(lista_dias,WEEKDAY(tblOrdenes[[#This Row],[fecha_inicio]],2)))</f>
        <v/>
      </c>
      <c r="T626" s="3">
        <f>IF(tblOrdenes[[#This Row],[tipo_ot]]="","",_xlfn.XLOOKUP(tblOrdenes[[#This Row],[tipo_ot]],tblTiposOT[codigo],tblTiposOT[clasificacion],"sin_clasificar"))</f>
        <v/>
      </c>
      <c r="U626" s="3">
        <f>IF(tblOrdenes[[#This Row],[centro_costo]]="","",_xlfn.XLOOKUP(tblOrdenes[[#This Row],[centro_costo]],tblCECO[codigo],tblCECO[linea],"(sin catálogo)"))</f>
        <v/>
      </c>
      <c r="V626" s="3">
        <f>IF(tblOrdenes[[#This Row],[centro_costo]]="","",_xlfn.XLOOKUP(tblOrdenes[[#This Row],[centro_costo]],tblCECO[codigo],tblCECO[area],"(sin catálogo)"))</f>
        <v/>
      </c>
      <c r="W626" s="3">
        <f>IF(tblOrdenes[[#This Row],[centro_costo]]="","",_xlfn.XLOOKUP(tblOrdenes[[#This Row],[centro_costo]],tblCECO[codigo],tblCECO[coordinador],"(sin catálogo)"))</f>
        <v/>
      </c>
      <c r="X626" s="3">
        <f>IF(tblOrdenes[[#This Row],[puesto_trabajo]]="","",_xlfn.XLOOKUP(tblOrdenes[[#This Row],[puesto_trabajo]],tblPuestos[codigo],tblPuestos[especialidad],"(sin catálogo)"))</f>
        <v/>
      </c>
      <c r="Y626" s="3">
        <f>IF(tblOrdenes[[#This Row],[cod_actividad]]="","",_xlfn.XLOOKUP(tblOrdenes[[#This Row],[cod_actividad]],tblActividades[codigo],tblActividades[descripcion],"(sin catálogo)"))</f>
        <v/>
      </c>
      <c r="Z626" s="12">
        <f>IF(tblOrdenes[[#This Row],[fecha_inicio]]="","",TODAY()-tblOrdenes[[#This Row],[fecha_inicio]])</f>
        <v/>
      </c>
      <c r="AA626" s="3">
        <f>IF(tblOrdenes[[#This Row],[backlog_dias]]="","",IF(tblOrdenes[[#This Row],[backlog_dias]]&lt;0,"FUTURO",IF(tblOrdenes[[#This Row],[backlog_dias]]&gt;p_dias_backlog_max,"BACKLOG","MES CORRIENTE")))</f>
        <v/>
      </c>
      <c r="AB626" s="3">
        <f>IF(tblOrdenes[[#This Row],[backlog_dias]]="",FALSE,AND(tblOrdenes[[#This Row],[backlog_dias]]&gt;p_dias_backlog_min,tblOrdenes[[#This Row],[backlog_dias]]&lt;=p_dias_backlog_max))</f>
        <v/>
      </c>
      <c r="AC626" s="6" t="n"/>
      <c r="AD6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26" s="10">
        <f>IF(tblOrdenes[[#This Row],[orden]]="","",_xlfn.XLOOKUP(tblOrdenes[[#This Row],[id_operacion]],tblEjecucion[id_operacion],tblEjecucion[precio],0))</f>
        <v/>
      </c>
      <c r="AH626" s="10">
        <f>IF(tblOrdenes[[#This Row],[orden]]="","",MAX(0,_xlfn.XLOOKUP(tblOrdenes[[#This Row],[id_operacion]],tblEjecucion[id_operacion],tblEjecucion[costo_plan_total],0)-tblOrdenes[[#This Row],[costo_servicio]]))</f>
        <v/>
      </c>
      <c r="AI626" s="10">
        <f>IF(tblOrdenes[[#This Row],[orden]]="","",tblOrdenes[[#This Row],[costo_servicio]]+tblOrdenes[[#This Row],[costo_materiales]])</f>
        <v/>
      </c>
      <c r="AJ626" s="6" t="n"/>
      <c r="AK626" s="6" t="n"/>
      <c r="AL626" s="6" t="n"/>
      <c r="AM626" s="3">
        <f>IF(tblOrdenes[[#This Row],[link_checklist]]="","",HYPERLINK(p_ruta_base_checklists&amp;tblOrdenes[[#This Row],[link_checklist]],"abrir"))</f>
        <v/>
      </c>
      <c r="AN626" s="6" t="n"/>
      <c r="AO626" s="3">
        <f>IF(tblOrdenes[[#This Row],[orden]]="","",tblOrdenes[[#This Row],[orden]]&amp;IF(tblOrdenes[[#This Row],[operacion]]="","0010",tblOrdenes[[#This Row],[operacion]]))</f>
        <v/>
      </c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11" t="n"/>
      <c r="K627" s="3" t="n"/>
      <c r="L627" s="10" t="n"/>
      <c r="M627" s="6" t="n"/>
      <c r="N6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27" s="3">
        <f>IF(tblOrdenes[[#This Row],[fecha_inicio]]="","",YEAR(tblOrdenes[[#This Row],[fecha_inicio]]))</f>
        <v/>
      </c>
      <c r="R627" s="3">
        <f>IF(tblOrdenes[[#This Row],[fecha_inicio]]="","",MONTH(tblOrdenes[[#This Row],[fecha_inicio]]))</f>
        <v/>
      </c>
      <c r="S627" s="3">
        <f>IF(tblOrdenes[[#This Row],[fecha_inicio]]="","",INDEX(lista_dias,WEEKDAY(tblOrdenes[[#This Row],[fecha_inicio]],2)))</f>
        <v/>
      </c>
      <c r="T627" s="3">
        <f>IF(tblOrdenes[[#This Row],[tipo_ot]]="","",_xlfn.XLOOKUP(tblOrdenes[[#This Row],[tipo_ot]],tblTiposOT[codigo],tblTiposOT[clasificacion],"sin_clasificar"))</f>
        <v/>
      </c>
      <c r="U627" s="3">
        <f>IF(tblOrdenes[[#This Row],[centro_costo]]="","",_xlfn.XLOOKUP(tblOrdenes[[#This Row],[centro_costo]],tblCECO[codigo],tblCECO[linea],"(sin catálogo)"))</f>
        <v/>
      </c>
      <c r="V627" s="3">
        <f>IF(tblOrdenes[[#This Row],[centro_costo]]="","",_xlfn.XLOOKUP(tblOrdenes[[#This Row],[centro_costo]],tblCECO[codigo],tblCECO[area],"(sin catálogo)"))</f>
        <v/>
      </c>
      <c r="W627" s="3">
        <f>IF(tblOrdenes[[#This Row],[centro_costo]]="","",_xlfn.XLOOKUP(tblOrdenes[[#This Row],[centro_costo]],tblCECO[codigo],tblCECO[coordinador],"(sin catálogo)"))</f>
        <v/>
      </c>
      <c r="X627" s="3">
        <f>IF(tblOrdenes[[#This Row],[puesto_trabajo]]="","",_xlfn.XLOOKUP(tblOrdenes[[#This Row],[puesto_trabajo]],tblPuestos[codigo],tblPuestos[especialidad],"(sin catálogo)"))</f>
        <v/>
      </c>
      <c r="Y627" s="3">
        <f>IF(tblOrdenes[[#This Row],[cod_actividad]]="","",_xlfn.XLOOKUP(tblOrdenes[[#This Row],[cod_actividad]],tblActividades[codigo],tblActividades[descripcion],"(sin catálogo)"))</f>
        <v/>
      </c>
      <c r="Z627" s="12">
        <f>IF(tblOrdenes[[#This Row],[fecha_inicio]]="","",TODAY()-tblOrdenes[[#This Row],[fecha_inicio]])</f>
        <v/>
      </c>
      <c r="AA627" s="3">
        <f>IF(tblOrdenes[[#This Row],[backlog_dias]]="","",IF(tblOrdenes[[#This Row],[backlog_dias]]&lt;0,"FUTURO",IF(tblOrdenes[[#This Row],[backlog_dias]]&gt;p_dias_backlog_max,"BACKLOG","MES CORRIENTE")))</f>
        <v/>
      </c>
      <c r="AB627" s="3">
        <f>IF(tblOrdenes[[#This Row],[backlog_dias]]="",FALSE,AND(tblOrdenes[[#This Row],[backlog_dias]]&gt;p_dias_backlog_min,tblOrdenes[[#This Row],[backlog_dias]]&lt;=p_dias_backlog_max))</f>
        <v/>
      </c>
      <c r="AC627" s="6" t="n"/>
      <c r="AD6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27" s="10">
        <f>IF(tblOrdenes[[#This Row],[orden]]="","",_xlfn.XLOOKUP(tblOrdenes[[#This Row],[id_operacion]],tblEjecucion[id_operacion],tblEjecucion[precio],0))</f>
        <v/>
      </c>
      <c r="AH627" s="10">
        <f>IF(tblOrdenes[[#This Row],[orden]]="","",MAX(0,_xlfn.XLOOKUP(tblOrdenes[[#This Row],[id_operacion]],tblEjecucion[id_operacion],tblEjecucion[costo_plan_total],0)-tblOrdenes[[#This Row],[costo_servicio]]))</f>
        <v/>
      </c>
      <c r="AI627" s="10">
        <f>IF(tblOrdenes[[#This Row],[orden]]="","",tblOrdenes[[#This Row],[costo_servicio]]+tblOrdenes[[#This Row],[costo_materiales]])</f>
        <v/>
      </c>
      <c r="AJ627" s="6" t="n"/>
      <c r="AK627" s="6" t="n"/>
      <c r="AL627" s="6" t="n"/>
      <c r="AM627" s="3">
        <f>IF(tblOrdenes[[#This Row],[link_checklist]]="","",HYPERLINK(p_ruta_base_checklists&amp;tblOrdenes[[#This Row],[link_checklist]],"abrir"))</f>
        <v/>
      </c>
      <c r="AN627" s="6" t="n"/>
      <c r="AO627" s="3">
        <f>IF(tblOrdenes[[#This Row],[orden]]="","",tblOrdenes[[#This Row],[orden]]&amp;IF(tblOrdenes[[#This Row],[operacion]]="","0010",tblOrdenes[[#This Row],[operacion]]))</f>
        <v/>
      </c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11" t="n"/>
      <c r="K628" s="3" t="n"/>
      <c r="L628" s="10" t="n"/>
      <c r="M628" s="6" t="n"/>
      <c r="N6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28" s="3">
        <f>IF(tblOrdenes[[#This Row],[fecha_inicio]]="","",YEAR(tblOrdenes[[#This Row],[fecha_inicio]]))</f>
        <v/>
      </c>
      <c r="R628" s="3">
        <f>IF(tblOrdenes[[#This Row],[fecha_inicio]]="","",MONTH(tblOrdenes[[#This Row],[fecha_inicio]]))</f>
        <v/>
      </c>
      <c r="S628" s="3">
        <f>IF(tblOrdenes[[#This Row],[fecha_inicio]]="","",INDEX(lista_dias,WEEKDAY(tblOrdenes[[#This Row],[fecha_inicio]],2)))</f>
        <v/>
      </c>
      <c r="T628" s="3">
        <f>IF(tblOrdenes[[#This Row],[tipo_ot]]="","",_xlfn.XLOOKUP(tblOrdenes[[#This Row],[tipo_ot]],tblTiposOT[codigo],tblTiposOT[clasificacion],"sin_clasificar"))</f>
        <v/>
      </c>
      <c r="U628" s="3">
        <f>IF(tblOrdenes[[#This Row],[centro_costo]]="","",_xlfn.XLOOKUP(tblOrdenes[[#This Row],[centro_costo]],tblCECO[codigo],tblCECO[linea],"(sin catálogo)"))</f>
        <v/>
      </c>
      <c r="V628" s="3">
        <f>IF(tblOrdenes[[#This Row],[centro_costo]]="","",_xlfn.XLOOKUP(tblOrdenes[[#This Row],[centro_costo]],tblCECO[codigo],tblCECO[area],"(sin catálogo)"))</f>
        <v/>
      </c>
      <c r="W628" s="3">
        <f>IF(tblOrdenes[[#This Row],[centro_costo]]="","",_xlfn.XLOOKUP(tblOrdenes[[#This Row],[centro_costo]],tblCECO[codigo],tblCECO[coordinador],"(sin catálogo)"))</f>
        <v/>
      </c>
      <c r="X628" s="3">
        <f>IF(tblOrdenes[[#This Row],[puesto_trabajo]]="","",_xlfn.XLOOKUP(tblOrdenes[[#This Row],[puesto_trabajo]],tblPuestos[codigo],tblPuestos[especialidad],"(sin catálogo)"))</f>
        <v/>
      </c>
      <c r="Y628" s="3">
        <f>IF(tblOrdenes[[#This Row],[cod_actividad]]="","",_xlfn.XLOOKUP(tblOrdenes[[#This Row],[cod_actividad]],tblActividades[codigo],tblActividades[descripcion],"(sin catálogo)"))</f>
        <v/>
      </c>
      <c r="Z628" s="12">
        <f>IF(tblOrdenes[[#This Row],[fecha_inicio]]="","",TODAY()-tblOrdenes[[#This Row],[fecha_inicio]])</f>
        <v/>
      </c>
      <c r="AA628" s="3">
        <f>IF(tblOrdenes[[#This Row],[backlog_dias]]="","",IF(tblOrdenes[[#This Row],[backlog_dias]]&lt;0,"FUTURO",IF(tblOrdenes[[#This Row],[backlog_dias]]&gt;p_dias_backlog_max,"BACKLOG","MES CORRIENTE")))</f>
        <v/>
      </c>
      <c r="AB628" s="3">
        <f>IF(tblOrdenes[[#This Row],[backlog_dias]]="",FALSE,AND(tblOrdenes[[#This Row],[backlog_dias]]&gt;p_dias_backlog_min,tblOrdenes[[#This Row],[backlog_dias]]&lt;=p_dias_backlog_max))</f>
        <v/>
      </c>
      <c r="AC628" s="6" t="n"/>
      <c r="AD6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28" s="10">
        <f>IF(tblOrdenes[[#This Row],[orden]]="","",_xlfn.XLOOKUP(tblOrdenes[[#This Row],[id_operacion]],tblEjecucion[id_operacion],tblEjecucion[precio],0))</f>
        <v/>
      </c>
      <c r="AH628" s="10">
        <f>IF(tblOrdenes[[#This Row],[orden]]="","",MAX(0,_xlfn.XLOOKUP(tblOrdenes[[#This Row],[id_operacion]],tblEjecucion[id_operacion],tblEjecucion[costo_plan_total],0)-tblOrdenes[[#This Row],[costo_servicio]]))</f>
        <v/>
      </c>
      <c r="AI628" s="10">
        <f>IF(tblOrdenes[[#This Row],[orden]]="","",tblOrdenes[[#This Row],[costo_servicio]]+tblOrdenes[[#This Row],[costo_materiales]])</f>
        <v/>
      </c>
      <c r="AJ628" s="6" t="n"/>
      <c r="AK628" s="6" t="n"/>
      <c r="AL628" s="6" t="n"/>
      <c r="AM628" s="3">
        <f>IF(tblOrdenes[[#This Row],[link_checklist]]="","",HYPERLINK(p_ruta_base_checklists&amp;tblOrdenes[[#This Row],[link_checklist]],"abrir"))</f>
        <v/>
      </c>
      <c r="AN628" s="6" t="n"/>
      <c r="AO628" s="3">
        <f>IF(tblOrdenes[[#This Row],[orden]]="","",tblOrdenes[[#This Row],[orden]]&amp;IF(tblOrdenes[[#This Row],[operacion]]="","0010",tblOrdenes[[#This Row],[operacion]]))</f>
        <v/>
      </c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11" t="n"/>
      <c r="K629" s="3" t="n"/>
      <c r="L629" s="10" t="n"/>
      <c r="M629" s="6" t="n"/>
      <c r="N6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29" s="3">
        <f>IF(tblOrdenes[[#This Row],[fecha_inicio]]="","",YEAR(tblOrdenes[[#This Row],[fecha_inicio]]))</f>
        <v/>
      </c>
      <c r="R629" s="3">
        <f>IF(tblOrdenes[[#This Row],[fecha_inicio]]="","",MONTH(tblOrdenes[[#This Row],[fecha_inicio]]))</f>
        <v/>
      </c>
      <c r="S629" s="3">
        <f>IF(tblOrdenes[[#This Row],[fecha_inicio]]="","",INDEX(lista_dias,WEEKDAY(tblOrdenes[[#This Row],[fecha_inicio]],2)))</f>
        <v/>
      </c>
      <c r="T629" s="3">
        <f>IF(tblOrdenes[[#This Row],[tipo_ot]]="","",_xlfn.XLOOKUP(tblOrdenes[[#This Row],[tipo_ot]],tblTiposOT[codigo],tblTiposOT[clasificacion],"sin_clasificar"))</f>
        <v/>
      </c>
      <c r="U629" s="3">
        <f>IF(tblOrdenes[[#This Row],[centro_costo]]="","",_xlfn.XLOOKUP(tblOrdenes[[#This Row],[centro_costo]],tblCECO[codigo],tblCECO[linea],"(sin catálogo)"))</f>
        <v/>
      </c>
      <c r="V629" s="3">
        <f>IF(tblOrdenes[[#This Row],[centro_costo]]="","",_xlfn.XLOOKUP(tblOrdenes[[#This Row],[centro_costo]],tblCECO[codigo],tblCECO[area],"(sin catálogo)"))</f>
        <v/>
      </c>
      <c r="W629" s="3">
        <f>IF(tblOrdenes[[#This Row],[centro_costo]]="","",_xlfn.XLOOKUP(tblOrdenes[[#This Row],[centro_costo]],tblCECO[codigo],tblCECO[coordinador],"(sin catálogo)"))</f>
        <v/>
      </c>
      <c r="X629" s="3">
        <f>IF(tblOrdenes[[#This Row],[puesto_trabajo]]="","",_xlfn.XLOOKUP(tblOrdenes[[#This Row],[puesto_trabajo]],tblPuestos[codigo],tblPuestos[especialidad],"(sin catálogo)"))</f>
        <v/>
      </c>
      <c r="Y629" s="3">
        <f>IF(tblOrdenes[[#This Row],[cod_actividad]]="","",_xlfn.XLOOKUP(tblOrdenes[[#This Row],[cod_actividad]],tblActividades[codigo],tblActividades[descripcion],"(sin catálogo)"))</f>
        <v/>
      </c>
      <c r="Z629" s="12">
        <f>IF(tblOrdenes[[#This Row],[fecha_inicio]]="","",TODAY()-tblOrdenes[[#This Row],[fecha_inicio]])</f>
        <v/>
      </c>
      <c r="AA629" s="3">
        <f>IF(tblOrdenes[[#This Row],[backlog_dias]]="","",IF(tblOrdenes[[#This Row],[backlog_dias]]&lt;0,"FUTURO",IF(tblOrdenes[[#This Row],[backlog_dias]]&gt;p_dias_backlog_max,"BACKLOG","MES CORRIENTE")))</f>
        <v/>
      </c>
      <c r="AB629" s="3">
        <f>IF(tblOrdenes[[#This Row],[backlog_dias]]="",FALSE,AND(tblOrdenes[[#This Row],[backlog_dias]]&gt;p_dias_backlog_min,tblOrdenes[[#This Row],[backlog_dias]]&lt;=p_dias_backlog_max))</f>
        <v/>
      </c>
      <c r="AC629" s="6" t="n"/>
      <c r="AD6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29" s="10">
        <f>IF(tblOrdenes[[#This Row],[orden]]="","",_xlfn.XLOOKUP(tblOrdenes[[#This Row],[id_operacion]],tblEjecucion[id_operacion],tblEjecucion[precio],0))</f>
        <v/>
      </c>
      <c r="AH629" s="10">
        <f>IF(tblOrdenes[[#This Row],[orden]]="","",MAX(0,_xlfn.XLOOKUP(tblOrdenes[[#This Row],[id_operacion]],tblEjecucion[id_operacion],tblEjecucion[costo_plan_total],0)-tblOrdenes[[#This Row],[costo_servicio]]))</f>
        <v/>
      </c>
      <c r="AI629" s="10">
        <f>IF(tblOrdenes[[#This Row],[orden]]="","",tblOrdenes[[#This Row],[costo_servicio]]+tblOrdenes[[#This Row],[costo_materiales]])</f>
        <v/>
      </c>
      <c r="AJ629" s="6" t="n"/>
      <c r="AK629" s="6" t="n"/>
      <c r="AL629" s="6" t="n"/>
      <c r="AM629" s="3">
        <f>IF(tblOrdenes[[#This Row],[link_checklist]]="","",HYPERLINK(p_ruta_base_checklists&amp;tblOrdenes[[#This Row],[link_checklist]],"abrir"))</f>
        <v/>
      </c>
      <c r="AN629" s="6" t="n"/>
      <c r="AO629" s="3">
        <f>IF(tblOrdenes[[#This Row],[orden]]="","",tblOrdenes[[#This Row],[orden]]&amp;IF(tblOrdenes[[#This Row],[operacion]]="","0010",tblOrdenes[[#This Row],[operacion]]))</f>
        <v/>
      </c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11" t="n"/>
      <c r="K630" s="3" t="n"/>
      <c r="L630" s="10" t="n"/>
      <c r="M630" s="6" t="n"/>
      <c r="N6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30" s="3">
        <f>IF(tblOrdenes[[#This Row],[fecha_inicio]]="","",YEAR(tblOrdenes[[#This Row],[fecha_inicio]]))</f>
        <v/>
      </c>
      <c r="R630" s="3">
        <f>IF(tblOrdenes[[#This Row],[fecha_inicio]]="","",MONTH(tblOrdenes[[#This Row],[fecha_inicio]]))</f>
        <v/>
      </c>
      <c r="S630" s="3">
        <f>IF(tblOrdenes[[#This Row],[fecha_inicio]]="","",INDEX(lista_dias,WEEKDAY(tblOrdenes[[#This Row],[fecha_inicio]],2)))</f>
        <v/>
      </c>
      <c r="T630" s="3">
        <f>IF(tblOrdenes[[#This Row],[tipo_ot]]="","",_xlfn.XLOOKUP(tblOrdenes[[#This Row],[tipo_ot]],tblTiposOT[codigo],tblTiposOT[clasificacion],"sin_clasificar"))</f>
        <v/>
      </c>
      <c r="U630" s="3">
        <f>IF(tblOrdenes[[#This Row],[centro_costo]]="","",_xlfn.XLOOKUP(tblOrdenes[[#This Row],[centro_costo]],tblCECO[codigo],tblCECO[linea],"(sin catálogo)"))</f>
        <v/>
      </c>
      <c r="V630" s="3">
        <f>IF(tblOrdenes[[#This Row],[centro_costo]]="","",_xlfn.XLOOKUP(tblOrdenes[[#This Row],[centro_costo]],tblCECO[codigo],tblCECO[area],"(sin catálogo)"))</f>
        <v/>
      </c>
      <c r="W630" s="3">
        <f>IF(tblOrdenes[[#This Row],[centro_costo]]="","",_xlfn.XLOOKUP(tblOrdenes[[#This Row],[centro_costo]],tblCECO[codigo],tblCECO[coordinador],"(sin catálogo)"))</f>
        <v/>
      </c>
      <c r="X630" s="3">
        <f>IF(tblOrdenes[[#This Row],[puesto_trabajo]]="","",_xlfn.XLOOKUP(tblOrdenes[[#This Row],[puesto_trabajo]],tblPuestos[codigo],tblPuestos[especialidad],"(sin catálogo)"))</f>
        <v/>
      </c>
      <c r="Y630" s="3">
        <f>IF(tblOrdenes[[#This Row],[cod_actividad]]="","",_xlfn.XLOOKUP(tblOrdenes[[#This Row],[cod_actividad]],tblActividades[codigo],tblActividades[descripcion],"(sin catálogo)"))</f>
        <v/>
      </c>
      <c r="Z630" s="12">
        <f>IF(tblOrdenes[[#This Row],[fecha_inicio]]="","",TODAY()-tblOrdenes[[#This Row],[fecha_inicio]])</f>
        <v/>
      </c>
      <c r="AA630" s="3">
        <f>IF(tblOrdenes[[#This Row],[backlog_dias]]="","",IF(tblOrdenes[[#This Row],[backlog_dias]]&lt;0,"FUTURO",IF(tblOrdenes[[#This Row],[backlog_dias]]&gt;p_dias_backlog_max,"BACKLOG","MES CORRIENTE")))</f>
        <v/>
      </c>
      <c r="AB630" s="3">
        <f>IF(tblOrdenes[[#This Row],[backlog_dias]]="",FALSE,AND(tblOrdenes[[#This Row],[backlog_dias]]&gt;p_dias_backlog_min,tblOrdenes[[#This Row],[backlog_dias]]&lt;=p_dias_backlog_max))</f>
        <v/>
      </c>
      <c r="AC630" s="6" t="n"/>
      <c r="AD6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30" s="10">
        <f>IF(tblOrdenes[[#This Row],[orden]]="","",_xlfn.XLOOKUP(tblOrdenes[[#This Row],[id_operacion]],tblEjecucion[id_operacion],tblEjecucion[precio],0))</f>
        <v/>
      </c>
      <c r="AH630" s="10">
        <f>IF(tblOrdenes[[#This Row],[orden]]="","",MAX(0,_xlfn.XLOOKUP(tblOrdenes[[#This Row],[id_operacion]],tblEjecucion[id_operacion],tblEjecucion[costo_plan_total],0)-tblOrdenes[[#This Row],[costo_servicio]]))</f>
        <v/>
      </c>
      <c r="AI630" s="10">
        <f>IF(tblOrdenes[[#This Row],[orden]]="","",tblOrdenes[[#This Row],[costo_servicio]]+tblOrdenes[[#This Row],[costo_materiales]])</f>
        <v/>
      </c>
      <c r="AJ630" s="6" t="n"/>
      <c r="AK630" s="6" t="n"/>
      <c r="AL630" s="6" t="n"/>
      <c r="AM630" s="3">
        <f>IF(tblOrdenes[[#This Row],[link_checklist]]="","",HYPERLINK(p_ruta_base_checklists&amp;tblOrdenes[[#This Row],[link_checklist]],"abrir"))</f>
        <v/>
      </c>
      <c r="AN630" s="6" t="n"/>
      <c r="AO630" s="3">
        <f>IF(tblOrdenes[[#This Row],[orden]]="","",tblOrdenes[[#This Row],[orden]]&amp;IF(tblOrdenes[[#This Row],[operacion]]="","0010",tblOrdenes[[#This Row],[operacion]]))</f>
        <v/>
      </c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11" t="n"/>
      <c r="K631" s="3" t="n"/>
      <c r="L631" s="10" t="n"/>
      <c r="M631" s="6" t="n"/>
      <c r="N6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31" s="3">
        <f>IF(tblOrdenes[[#This Row],[fecha_inicio]]="","",YEAR(tblOrdenes[[#This Row],[fecha_inicio]]))</f>
        <v/>
      </c>
      <c r="R631" s="3">
        <f>IF(tblOrdenes[[#This Row],[fecha_inicio]]="","",MONTH(tblOrdenes[[#This Row],[fecha_inicio]]))</f>
        <v/>
      </c>
      <c r="S631" s="3">
        <f>IF(tblOrdenes[[#This Row],[fecha_inicio]]="","",INDEX(lista_dias,WEEKDAY(tblOrdenes[[#This Row],[fecha_inicio]],2)))</f>
        <v/>
      </c>
      <c r="T631" s="3">
        <f>IF(tblOrdenes[[#This Row],[tipo_ot]]="","",_xlfn.XLOOKUP(tblOrdenes[[#This Row],[tipo_ot]],tblTiposOT[codigo],tblTiposOT[clasificacion],"sin_clasificar"))</f>
        <v/>
      </c>
      <c r="U631" s="3">
        <f>IF(tblOrdenes[[#This Row],[centro_costo]]="","",_xlfn.XLOOKUP(tblOrdenes[[#This Row],[centro_costo]],tblCECO[codigo],tblCECO[linea],"(sin catálogo)"))</f>
        <v/>
      </c>
      <c r="V631" s="3">
        <f>IF(tblOrdenes[[#This Row],[centro_costo]]="","",_xlfn.XLOOKUP(tblOrdenes[[#This Row],[centro_costo]],tblCECO[codigo],tblCECO[area],"(sin catálogo)"))</f>
        <v/>
      </c>
      <c r="W631" s="3">
        <f>IF(tblOrdenes[[#This Row],[centro_costo]]="","",_xlfn.XLOOKUP(tblOrdenes[[#This Row],[centro_costo]],tblCECO[codigo],tblCECO[coordinador],"(sin catálogo)"))</f>
        <v/>
      </c>
      <c r="X631" s="3">
        <f>IF(tblOrdenes[[#This Row],[puesto_trabajo]]="","",_xlfn.XLOOKUP(tblOrdenes[[#This Row],[puesto_trabajo]],tblPuestos[codigo],tblPuestos[especialidad],"(sin catálogo)"))</f>
        <v/>
      </c>
      <c r="Y631" s="3">
        <f>IF(tblOrdenes[[#This Row],[cod_actividad]]="","",_xlfn.XLOOKUP(tblOrdenes[[#This Row],[cod_actividad]],tblActividades[codigo],tblActividades[descripcion],"(sin catálogo)"))</f>
        <v/>
      </c>
      <c r="Z631" s="12">
        <f>IF(tblOrdenes[[#This Row],[fecha_inicio]]="","",TODAY()-tblOrdenes[[#This Row],[fecha_inicio]])</f>
        <v/>
      </c>
      <c r="AA631" s="3">
        <f>IF(tblOrdenes[[#This Row],[backlog_dias]]="","",IF(tblOrdenes[[#This Row],[backlog_dias]]&lt;0,"FUTURO",IF(tblOrdenes[[#This Row],[backlog_dias]]&gt;p_dias_backlog_max,"BACKLOG","MES CORRIENTE")))</f>
        <v/>
      </c>
      <c r="AB631" s="3">
        <f>IF(tblOrdenes[[#This Row],[backlog_dias]]="",FALSE,AND(tblOrdenes[[#This Row],[backlog_dias]]&gt;p_dias_backlog_min,tblOrdenes[[#This Row],[backlog_dias]]&lt;=p_dias_backlog_max))</f>
        <v/>
      </c>
      <c r="AC631" s="6" t="n"/>
      <c r="AD6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31" s="10">
        <f>IF(tblOrdenes[[#This Row],[orden]]="","",_xlfn.XLOOKUP(tblOrdenes[[#This Row],[id_operacion]],tblEjecucion[id_operacion],tblEjecucion[precio],0))</f>
        <v/>
      </c>
      <c r="AH631" s="10">
        <f>IF(tblOrdenes[[#This Row],[orden]]="","",MAX(0,_xlfn.XLOOKUP(tblOrdenes[[#This Row],[id_operacion]],tblEjecucion[id_operacion],tblEjecucion[costo_plan_total],0)-tblOrdenes[[#This Row],[costo_servicio]]))</f>
        <v/>
      </c>
      <c r="AI631" s="10">
        <f>IF(tblOrdenes[[#This Row],[orden]]="","",tblOrdenes[[#This Row],[costo_servicio]]+tblOrdenes[[#This Row],[costo_materiales]])</f>
        <v/>
      </c>
      <c r="AJ631" s="6" t="n"/>
      <c r="AK631" s="6" t="n"/>
      <c r="AL631" s="6" t="n"/>
      <c r="AM631" s="3">
        <f>IF(tblOrdenes[[#This Row],[link_checklist]]="","",HYPERLINK(p_ruta_base_checklists&amp;tblOrdenes[[#This Row],[link_checklist]],"abrir"))</f>
        <v/>
      </c>
      <c r="AN631" s="6" t="n"/>
      <c r="AO631" s="3">
        <f>IF(tblOrdenes[[#This Row],[orden]]="","",tblOrdenes[[#This Row],[orden]]&amp;IF(tblOrdenes[[#This Row],[operacion]]="","0010",tblOrdenes[[#This Row],[operacion]]))</f>
        <v/>
      </c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11" t="n"/>
      <c r="K632" s="3" t="n"/>
      <c r="L632" s="10" t="n"/>
      <c r="M632" s="6" t="n"/>
      <c r="N6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32" s="3">
        <f>IF(tblOrdenes[[#This Row],[fecha_inicio]]="","",YEAR(tblOrdenes[[#This Row],[fecha_inicio]]))</f>
        <v/>
      </c>
      <c r="R632" s="3">
        <f>IF(tblOrdenes[[#This Row],[fecha_inicio]]="","",MONTH(tblOrdenes[[#This Row],[fecha_inicio]]))</f>
        <v/>
      </c>
      <c r="S632" s="3">
        <f>IF(tblOrdenes[[#This Row],[fecha_inicio]]="","",INDEX(lista_dias,WEEKDAY(tblOrdenes[[#This Row],[fecha_inicio]],2)))</f>
        <v/>
      </c>
      <c r="T632" s="3">
        <f>IF(tblOrdenes[[#This Row],[tipo_ot]]="","",_xlfn.XLOOKUP(tblOrdenes[[#This Row],[tipo_ot]],tblTiposOT[codigo],tblTiposOT[clasificacion],"sin_clasificar"))</f>
        <v/>
      </c>
      <c r="U632" s="3">
        <f>IF(tblOrdenes[[#This Row],[centro_costo]]="","",_xlfn.XLOOKUP(tblOrdenes[[#This Row],[centro_costo]],tblCECO[codigo],tblCECO[linea],"(sin catálogo)"))</f>
        <v/>
      </c>
      <c r="V632" s="3">
        <f>IF(tblOrdenes[[#This Row],[centro_costo]]="","",_xlfn.XLOOKUP(tblOrdenes[[#This Row],[centro_costo]],tblCECO[codigo],tblCECO[area],"(sin catálogo)"))</f>
        <v/>
      </c>
      <c r="W632" s="3">
        <f>IF(tblOrdenes[[#This Row],[centro_costo]]="","",_xlfn.XLOOKUP(tblOrdenes[[#This Row],[centro_costo]],tblCECO[codigo],tblCECO[coordinador],"(sin catálogo)"))</f>
        <v/>
      </c>
      <c r="X632" s="3">
        <f>IF(tblOrdenes[[#This Row],[puesto_trabajo]]="","",_xlfn.XLOOKUP(tblOrdenes[[#This Row],[puesto_trabajo]],tblPuestos[codigo],tblPuestos[especialidad],"(sin catálogo)"))</f>
        <v/>
      </c>
      <c r="Y632" s="3">
        <f>IF(tblOrdenes[[#This Row],[cod_actividad]]="","",_xlfn.XLOOKUP(tblOrdenes[[#This Row],[cod_actividad]],tblActividades[codigo],tblActividades[descripcion],"(sin catálogo)"))</f>
        <v/>
      </c>
      <c r="Z632" s="12">
        <f>IF(tblOrdenes[[#This Row],[fecha_inicio]]="","",TODAY()-tblOrdenes[[#This Row],[fecha_inicio]])</f>
        <v/>
      </c>
      <c r="AA632" s="3">
        <f>IF(tblOrdenes[[#This Row],[backlog_dias]]="","",IF(tblOrdenes[[#This Row],[backlog_dias]]&lt;0,"FUTURO",IF(tblOrdenes[[#This Row],[backlog_dias]]&gt;p_dias_backlog_max,"BACKLOG","MES CORRIENTE")))</f>
        <v/>
      </c>
      <c r="AB632" s="3">
        <f>IF(tblOrdenes[[#This Row],[backlog_dias]]="",FALSE,AND(tblOrdenes[[#This Row],[backlog_dias]]&gt;p_dias_backlog_min,tblOrdenes[[#This Row],[backlog_dias]]&lt;=p_dias_backlog_max))</f>
        <v/>
      </c>
      <c r="AC632" s="6" t="n"/>
      <c r="AD6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32" s="10">
        <f>IF(tblOrdenes[[#This Row],[orden]]="","",_xlfn.XLOOKUP(tblOrdenes[[#This Row],[id_operacion]],tblEjecucion[id_operacion],tblEjecucion[precio],0))</f>
        <v/>
      </c>
      <c r="AH632" s="10">
        <f>IF(tblOrdenes[[#This Row],[orden]]="","",MAX(0,_xlfn.XLOOKUP(tblOrdenes[[#This Row],[id_operacion]],tblEjecucion[id_operacion],tblEjecucion[costo_plan_total],0)-tblOrdenes[[#This Row],[costo_servicio]]))</f>
        <v/>
      </c>
      <c r="AI632" s="10">
        <f>IF(tblOrdenes[[#This Row],[orden]]="","",tblOrdenes[[#This Row],[costo_servicio]]+tblOrdenes[[#This Row],[costo_materiales]])</f>
        <v/>
      </c>
      <c r="AJ632" s="6" t="n"/>
      <c r="AK632" s="6" t="n"/>
      <c r="AL632" s="6" t="n"/>
      <c r="AM632" s="3">
        <f>IF(tblOrdenes[[#This Row],[link_checklist]]="","",HYPERLINK(p_ruta_base_checklists&amp;tblOrdenes[[#This Row],[link_checklist]],"abrir"))</f>
        <v/>
      </c>
      <c r="AN632" s="6" t="n"/>
      <c r="AO632" s="3">
        <f>IF(tblOrdenes[[#This Row],[orden]]="","",tblOrdenes[[#This Row],[orden]]&amp;IF(tblOrdenes[[#This Row],[operacion]]="","0010",tblOrdenes[[#This Row],[operacion]]))</f>
        <v/>
      </c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11" t="n"/>
      <c r="K633" s="3" t="n"/>
      <c r="L633" s="10" t="n"/>
      <c r="M633" s="6" t="n"/>
      <c r="N6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33" s="3">
        <f>IF(tblOrdenes[[#This Row],[fecha_inicio]]="","",YEAR(tblOrdenes[[#This Row],[fecha_inicio]]))</f>
        <v/>
      </c>
      <c r="R633" s="3">
        <f>IF(tblOrdenes[[#This Row],[fecha_inicio]]="","",MONTH(tblOrdenes[[#This Row],[fecha_inicio]]))</f>
        <v/>
      </c>
      <c r="S633" s="3">
        <f>IF(tblOrdenes[[#This Row],[fecha_inicio]]="","",INDEX(lista_dias,WEEKDAY(tblOrdenes[[#This Row],[fecha_inicio]],2)))</f>
        <v/>
      </c>
      <c r="T633" s="3">
        <f>IF(tblOrdenes[[#This Row],[tipo_ot]]="","",_xlfn.XLOOKUP(tblOrdenes[[#This Row],[tipo_ot]],tblTiposOT[codigo],tblTiposOT[clasificacion],"sin_clasificar"))</f>
        <v/>
      </c>
      <c r="U633" s="3">
        <f>IF(tblOrdenes[[#This Row],[centro_costo]]="","",_xlfn.XLOOKUP(tblOrdenes[[#This Row],[centro_costo]],tblCECO[codigo],tblCECO[linea],"(sin catálogo)"))</f>
        <v/>
      </c>
      <c r="V633" s="3">
        <f>IF(tblOrdenes[[#This Row],[centro_costo]]="","",_xlfn.XLOOKUP(tblOrdenes[[#This Row],[centro_costo]],tblCECO[codigo],tblCECO[area],"(sin catálogo)"))</f>
        <v/>
      </c>
      <c r="W633" s="3">
        <f>IF(tblOrdenes[[#This Row],[centro_costo]]="","",_xlfn.XLOOKUP(tblOrdenes[[#This Row],[centro_costo]],tblCECO[codigo],tblCECO[coordinador],"(sin catálogo)"))</f>
        <v/>
      </c>
      <c r="X633" s="3">
        <f>IF(tblOrdenes[[#This Row],[puesto_trabajo]]="","",_xlfn.XLOOKUP(tblOrdenes[[#This Row],[puesto_trabajo]],tblPuestos[codigo],tblPuestos[especialidad],"(sin catálogo)"))</f>
        <v/>
      </c>
      <c r="Y633" s="3">
        <f>IF(tblOrdenes[[#This Row],[cod_actividad]]="","",_xlfn.XLOOKUP(tblOrdenes[[#This Row],[cod_actividad]],tblActividades[codigo],tblActividades[descripcion],"(sin catálogo)"))</f>
        <v/>
      </c>
      <c r="Z633" s="12">
        <f>IF(tblOrdenes[[#This Row],[fecha_inicio]]="","",TODAY()-tblOrdenes[[#This Row],[fecha_inicio]])</f>
        <v/>
      </c>
      <c r="AA633" s="3">
        <f>IF(tblOrdenes[[#This Row],[backlog_dias]]="","",IF(tblOrdenes[[#This Row],[backlog_dias]]&lt;0,"FUTURO",IF(tblOrdenes[[#This Row],[backlog_dias]]&gt;p_dias_backlog_max,"BACKLOG","MES CORRIENTE")))</f>
        <v/>
      </c>
      <c r="AB633" s="3">
        <f>IF(tblOrdenes[[#This Row],[backlog_dias]]="",FALSE,AND(tblOrdenes[[#This Row],[backlog_dias]]&gt;p_dias_backlog_min,tblOrdenes[[#This Row],[backlog_dias]]&lt;=p_dias_backlog_max))</f>
        <v/>
      </c>
      <c r="AC633" s="6" t="n"/>
      <c r="AD6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33" s="10">
        <f>IF(tblOrdenes[[#This Row],[orden]]="","",_xlfn.XLOOKUP(tblOrdenes[[#This Row],[id_operacion]],tblEjecucion[id_operacion],tblEjecucion[precio],0))</f>
        <v/>
      </c>
      <c r="AH633" s="10">
        <f>IF(tblOrdenes[[#This Row],[orden]]="","",MAX(0,_xlfn.XLOOKUP(tblOrdenes[[#This Row],[id_operacion]],tblEjecucion[id_operacion],tblEjecucion[costo_plan_total],0)-tblOrdenes[[#This Row],[costo_servicio]]))</f>
        <v/>
      </c>
      <c r="AI633" s="10">
        <f>IF(tblOrdenes[[#This Row],[orden]]="","",tblOrdenes[[#This Row],[costo_servicio]]+tblOrdenes[[#This Row],[costo_materiales]])</f>
        <v/>
      </c>
      <c r="AJ633" s="6" t="n"/>
      <c r="AK633" s="6" t="n"/>
      <c r="AL633" s="6" t="n"/>
      <c r="AM633" s="3">
        <f>IF(tblOrdenes[[#This Row],[link_checklist]]="","",HYPERLINK(p_ruta_base_checklists&amp;tblOrdenes[[#This Row],[link_checklist]],"abrir"))</f>
        <v/>
      </c>
      <c r="AN633" s="6" t="n"/>
      <c r="AO633" s="3">
        <f>IF(tblOrdenes[[#This Row],[orden]]="","",tblOrdenes[[#This Row],[orden]]&amp;IF(tblOrdenes[[#This Row],[operacion]]="","0010",tblOrdenes[[#This Row],[operacion]]))</f>
        <v/>
      </c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11" t="n"/>
      <c r="K634" s="3" t="n"/>
      <c r="L634" s="10" t="n"/>
      <c r="M634" s="6" t="n"/>
      <c r="N6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34" s="3">
        <f>IF(tblOrdenes[[#This Row],[fecha_inicio]]="","",YEAR(tblOrdenes[[#This Row],[fecha_inicio]]))</f>
        <v/>
      </c>
      <c r="R634" s="3">
        <f>IF(tblOrdenes[[#This Row],[fecha_inicio]]="","",MONTH(tblOrdenes[[#This Row],[fecha_inicio]]))</f>
        <v/>
      </c>
      <c r="S634" s="3">
        <f>IF(tblOrdenes[[#This Row],[fecha_inicio]]="","",INDEX(lista_dias,WEEKDAY(tblOrdenes[[#This Row],[fecha_inicio]],2)))</f>
        <v/>
      </c>
      <c r="T634" s="3">
        <f>IF(tblOrdenes[[#This Row],[tipo_ot]]="","",_xlfn.XLOOKUP(tblOrdenes[[#This Row],[tipo_ot]],tblTiposOT[codigo],tblTiposOT[clasificacion],"sin_clasificar"))</f>
        <v/>
      </c>
      <c r="U634" s="3">
        <f>IF(tblOrdenes[[#This Row],[centro_costo]]="","",_xlfn.XLOOKUP(tblOrdenes[[#This Row],[centro_costo]],tblCECO[codigo],tblCECO[linea],"(sin catálogo)"))</f>
        <v/>
      </c>
      <c r="V634" s="3">
        <f>IF(tblOrdenes[[#This Row],[centro_costo]]="","",_xlfn.XLOOKUP(tblOrdenes[[#This Row],[centro_costo]],tblCECO[codigo],tblCECO[area],"(sin catálogo)"))</f>
        <v/>
      </c>
      <c r="W634" s="3">
        <f>IF(tblOrdenes[[#This Row],[centro_costo]]="","",_xlfn.XLOOKUP(tblOrdenes[[#This Row],[centro_costo]],tblCECO[codigo],tblCECO[coordinador],"(sin catálogo)"))</f>
        <v/>
      </c>
      <c r="X634" s="3">
        <f>IF(tblOrdenes[[#This Row],[puesto_trabajo]]="","",_xlfn.XLOOKUP(tblOrdenes[[#This Row],[puesto_trabajo]],tblPuestos[codigo],tblPuestos[especialidad],"(sin catálogo)"))</f>
        <v/>
      </c>
      <c r="Y634" s="3">
        <f>IF(tblOrdenes[[#This Row],[cod_actividad]]="","",_xlfn.XLOOKUP(tblOrdenes[[#This Row],[cod_actividad]],tblActividades[codigo],tblActividades[descripcion],"(sin catálogo)"))</f>
        <v/>
      </c>
      <c r="Z634" s="12">
        <f>IF(tblOrdenes[[#This Row],[fecha_inicio]]="","",TODAY()-tblOrdenes[[#This Row],[fecha_inicio]])</f>
        <v/>
      </c>
      <c r="AA634" s="3">
        <f>IF(tblOrdenes[[#This Row],[backlog_dias]]="","",IF(tblOrdenes[[#This Row],[backlog_dias]]&lt;0,"FUTURO",IF(tblOrdenes[[#This Row],[backlog_dias]]&gt;p_dias_backlog_max,"BACKLOG","MES CORRIENTE")))</f>
        <v/>
      </c>
      <c r="AB634" s="3">
        <f>IF(tblOrdenes[[#This Row],[backlog_dias]]="",FALSE,AND(tblOrdenes[[#This Row],[backlog_dias]]&gt;p_dias_backlog_min,tblOrdenes[[#This Row],[backlog_dias]]&lt;=p_dias_backlog_max))</f>
        <v/>
      </c>
      <c r="AC634" s="6" t="n"/>
      <c r="AD6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34" s="10">
        <f>IF(tblOrdenes[[#This Row],[orden]]="","",_xlfn.XLOOKUP(tblOrdenes[[#This Row],[id_operacion]],tblEjecucion[id_operacion],tblEjecucion[precio],0))</f>
        <v/>
      </c>
      <c r="AH634" s="10">
        <f>IF(tblOrdenes[[#This Row],[orden]]="","",MAX(0,_xlfn.XLOOKUP(tblOrdenes[[#This Row],[id_operacion]],tblEjecucion[id_operacion],tblEjecucion[costo_plan_total],0)-tblOrdenes[[#This Row],[costo_servicio]]))</f>
        <v/>
      </c>
      <c r="AI634" s="10">
        <f>IF(tblOrdenes[[#This Row],[orden]]="","",tblOrdenes[[#This Row],[costo_servicio]]+tblOrdenes[[#This Row],[costo_materiales]])</f>
        <v/>
      </c>
      <c r="AJ634" s="6" t="n"/>
      <c r="AK634" s="6" t="n"/>
      <c r="AL634" s="6" t="n"/>
      <c r="AM634" s="3">
        <f>IF(tblOrdenes[[#This Row],[link_checklist]]="","",HYPERLINK(p_ruta_base_checklists&amp;tblOrdenes[[#This Row],[link_checklist]],"abrir"))</f>
        <v/>
      </c>
      <c r="AN634" s="6" t="n"/>
      <c r="AO634" s="3">
        <f>IF(tblOrdenes[[#This Row],[orden]]="","",tblOrdenes[[#This Row],[orden]]&amp;IF(tblOrdenes[[#This Row],[operacion]]="","0010",tblOrdenes[[#This Row],[operacion]]))</f>
        <v/>
      </c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11" t="n"/>
      <c r="K635" s="3" t="n"/>
      <c r="L635" s="10" t="n"/>
      <c r="M635" s="6" t="n"/>
      <c r="N6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35" s="3">
        <f>IF(tblOrdenes[[#This Row],[fecha_inicio]]="","",YEAR(tblOrdenes[[#This Row],[fecha_inicio]]))</f>
        <v/>
      </c>
      <c r="R635" s="3">
        <f>IF(tblOrdenes[[#This Row],[fecha_inicio]]="","",MONTH(tblOrdenes[[#This Row],[fecha_inicio]]))</f>
        <v/>
      </c>
      <c r="S635" s="3">
        <f>IF(tblOrdenes[[#This Row],[fecha_inicio]]="","",INDEX(lista_dias,WEEKDAY(tblOrdenes[[#This Row],[fecha_inicio]],2)))</f>
        <v/>
      </c>
      <c r="T635" s="3">
        <f>IF(tblOrdenes[[#This Row],[tipo_ot]]="","",_xlfn.XLOOKUP(tblOrdenes[[#This Row],[tipo_ot]],tblTiposOT[codigo],tblTiposOT[clasificacion],"sin_clasificar"))</f>
        <v/>
      </c>
      <c r="U635" s="3">
        <f>IF(tblOrdenes[[#This Row],[centro_costo]]="","",_xlfn.XLOOKUP(tblOrdenes[[#This Row],[centro_costo]],tblCECO[codigo],tblCECO[linea],"(sin catálogo)"))</f>
        <v/>
      </c>
      <c r="V635" s="3">
        <f>IF(tblOrdenes[[#This Row],[centro_costo]]="","",_xlfn.XLOOKUP(tblOrdenes[[#This Row],[centro_costo]],tblCECO[codigo],tblCECO[area],"(sin catálogo)"))</f>
        <v/>
      </c>
      <c r="W635" s="3">
        <f>IF(tblOrdenes[[#This Row],[centro_costo]]="","",_xlfn.XLOOKUP(tblOrdenes[[#This Row],[centro_costo]],tblCECO[codigo],tblCECO[coordinador],"(sin catálogo)"))</f>
        <v/>
      </c>
      <c r="X635" s="3">
        <f>IF(tblOrdenes[[#This Row],[puesto_trabajo]]="","",_xlfn.XLOOKUP(tblOrdenes[[#This Row],[puesto_trabajo]],tblPuestos[codigo],tblPuestos[especialidad],"(sin catálogo)"))</f>
        <v/>
      </c>
      <c r="Y635" s="3">
        <f>IF(tblOrdenes[[#This Row],[cod_actividad]]="","",_xlfn.XLOOKUP(tblOrdenes[[#This Row],[cod_actividad]],tblActividades[codigo],tblActividades[descripcion],"(sin catálogo)"))</f>
        <v/>
      </c>
      <c r="Z635" s="12">
        <f>IF(tblOrdenes[[#This Row],[fecha_inicio]]="","",TODAY()-tblOrdenes[[#This Row],[fecha_inicio]])</f>
        <v/>
      </c>
      <c r="AA635" s="3">
        <f>IF(tblOrdenes[[#This Row],[backlog_dias]]="","",IF(tblOrdenes[[#This Row],[backlog_dias]]&lt;0,"FUTURO",IF(tblOrdenes[[#This Row],[backlog_dias]]&gt;p_dias_backlog_max,"BACKLOG","MES CORRIENTE")))</f>
        <v/>
      </c>
      <c r="AB635" s="3">
        <f>IF(tblOrdenes[[#This Row],[backlog_dias]]="",FALSE,AND(tblOrdenes[[#This Row],[backlog_dias]]&gt;p_dias_backlog_min,tblOrdenes[[#This Row],[backlog_dias]]&lt;=p_dias_backlog_max))</f>
        <v/>
      </c>
      <c r="AC635" s="6" t="n"/>
      <c r="AD6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35" s="10">
        <f>IF(tblOrdenes[[#This Row],[orden]]="","",_xlfn.XLOOKUP(tblOrdenes[[#This Row],[id_operacion]],tblEjecucion[id_operacion],tblEjecucion[precio],0))</f>
        <v/>
      </c>
      <c r="AH635" s="10">
        <f>IF(tblOrdenes[[#This Row],[orden]]="","",MAX(0,_xlfn.XLOOKUP(tblOrdenes[[#This Row],[id_operacion]],tblEjecucion[id_operacion],tblEjecucion[costo_plan_total],0)-tblOrdenes[[#This Row],[costo_servicio]]))</f>
        <v/>
      </c>
      <c r="AI635" s="10">
        <f>IF(tblOrdenes[[#This Row],[orden]]="","",tblOrdenes[[#This Row],[costo_servicio]]+tblOrdenes[[#This Row],[costo_materiales]])</f>
        <v/>
      </c>
      <c r="AJ635" s="6" t="n"/>
      <c r="AK635" s="6" t="n"/>
      <c r="AL635" s="6" t="n"/>
      <c r="AM635" s="3">
        <f>IF(tblOrdenes[[#This Row],[link_checklist]]="","",HYPERLINK(p_ruta_base_checklists&amp;tblOrdenes[[#This Row],[link_checklist]],"abrir"))</f>
        <v/>
      </c>
      <c r="AN635" s="6" t="n"/>
      <c r="AO635" s="3">
        <f>IF(tblOrdenes[[#This Row],[orden]]="","",tblOrdenes[[#This Row],[orden]]&amp;IF(tblOrdenes[[#This Row],[operacion]]="","0010",tblOrdenes[[#This Row],[operacion]]))</f>
        <v/>
      </c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11" t="n"/>
      <c r="K636" s="3" t="n"/>
      <c r="L636" s="10" t="n"/>
      <c r="M636" s="6" t="n"/>
      <c r="N6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36" s="3">
        <f>IF(tblOrdenes[[#This Row],[fecha_inicio]]="","",YEAR(tblOrdenes[[#This Row],[fecha_inicio]]))</f>
        <v/>
      </c>
      <c r="R636" s="3">
        <f>IF(tblOrdenes[[#This Row],[fecha_inicio]]="","",MONTH(tblOrdenes[[#This Row],[fecha_inicio]]))</f>
        <v/>
      </c>
      <c r="S636" s="3">
        <f>IF(tblOrdenes[[#This Row],[fecha_inicio]]="","",INDEX(lista_dias,WEEKDAY(tblOrdenes[[#This Row],[fecha_inicio]],2)))</f>
        <v/>
      </c>
      <c r="T636" s="3">
        <f>IF(tblOrdenes[[#This Row],[tipo_ot]]="","",_xlfn.XLOOKUP(tblOrdenes[[#This Row],[tipo_ot]],tblTiposOT[codigo],tblTiposOT[clasificacion],"sin_clasificar"))</f>
        <v/>
      </c>
      <c r="U636" s="3">
        <f>IF(tblOrdenes[[#This Row],[centro_costo]]="","",_xlfn.XLOOKUP(tblOrdenes[[#This Row],[centro_costo]],tblCECO[codigo],tblCECO[linea],"(sin catálogo)"))</f>
        <v/>
      </c>
      <c r="V636" s="3">
        <f>IF(tblOrdenes[[#This Row],[centro_costo]]="","",_xlfn.XLOOKUP(tblOrdenes[[#This Row],[centro_costo]],tblCECO[codigo],tblCECO[area],"(sin catálogo)"))</f>
        <v/>
      </c>
      <c r="W636" s="3">
        <f>IF(tblOrdenes[[#This Row],[centro_costo]]="","",_xlfn.XLOOKUP(tblOrdenes[[#This Row],[centro_costo]],tblCECO[codigo],tblCECO[coordinador],"(sin catálogo)"))</f>
        <v/>
      </c>
      <c r="X636" s="3">
        <f>IF(tblOrdenes[[#This Row],[puesto_trabajo]]="","",_xlfn.XLOOKUP(tblOrdenes[[#This Row],[puesto_trabajo]],tblPuestos[codigo],tblPuestos[especialidad],"(sin catálogo)"))</f>
        <v/>
      </c>
      <c r="Y636" s="3">
        <f>IF(tblOrdenes[[#This Row],[cod_actividad]]="","",_xlfn.XLOOKUP(tblOrdenes[[#This Row],[cod_actividad]],tblActividades[codigo],tblActividades[descripcion],"(sin catálogo)"))</f>
        <v/>
      </c>
      <c r="Z636" s="12">
        <f>IF(tblOrdenes[[#This Row],[fecha_inicio]]="","",TODAY()-tblOrdenes[[#This Row],[fecha_inicio]])</f>
        <v/>
      </c>
      <c r="AA636" s="3">
        <f>IF(tblOrdenes[[#This Row],[backlog_dias]]="","",IF(tblOrdenes[[#This Row],[backlog_dias]]&lt;0,"FUTURO",IF(tblOrdenes[[#This Row],[backlog_dias]]&gt;p_dias_backlog_max,"BACKLOG","MES CORRIENTE")))</f>
        <v/>
      </c>
      <c r="AB636" s="3">
        <f>IF(tblOrdenes[[#This Row],[backlog_dias]]="",FALSE,AND(tblOrdenes[[#This Row],[backlog_dias]]&gt;p_dias_backlog_min,tblOrdenes[[#This Row],[backlog_dias]]&lt;=p_dias_backlog_max))</f>
        <v/>
      </c>
      <c r="AC636" s="6" t="n"/>
      <c r="AD6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36" s="10">
        <f>IF(tblOrdenes[[#This Row],[orden]]="","",_xlfn.XLOOKUP(tblOrdenes[[#This Row],[id_operacion]],tblEjecucion[id_operacion],tblEjecucion[precio],0))</f>
        <v/>
      </c>
      <c r="AH636" s="10">
        <f>IF(tblOrdenes[[#This Row],[orden]]="","",MAX(0,_xlfn.XLOOKUP(tblOrdenes[[#This Row],[id_operacion]],tblEjecucion[id_operacion],tblEjecucion[costo_plan_total],0)-tblOrdenes[[#This Row],[costo_servicio]]))</f>
        <v/>
      </c>
      <c r="AI636" s="10">
        <f>IF(tblOrdenes[[#This Row],[orden]]="","",tblOrdenes[[#This Row],[costo_servicio]]+tblOrdenes[[#This Row],[costo_materiales]])</f>
        <v/>
      </c>
      <c r="AJ636" s="6" t="n"/>
      <c r="AK636" s="6" t="n"/>
      <c r="AL636" s="6" t="n"/>
      <c r="AM636" s="3">
        <f>IF(tblOrdenes[[#This Row],[link_checklist]]="","",HYPERLINK(p_ruta_base_checklists&amp;tblOrdenes[[#This Row],[link_checklist]],"abrir"))</f>
        <v/>
      </c>
      <c r="AN636" s="6" t="n"/>
      <c r="AO636" s="3">
        <f>IF(tblOrdenes[[#This Row],[orden]]="","",tblOrdenes[[#This Row],[orden]]&amp;IF(tblOrdenes[[#This Row],[operacion]]="","0010",tblOrdenes[[#This Row],[operacion]]))</f>
        <v/>
      </c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11" t="n"/>
      <c r="K637" s="3" t="n"/>
      <c r="L637" s="10" t="n"/>
      <c r="M637" s="6" t="n"/>
      <c r="N6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37" s="3">
        <f>IF(tblOrdenes[[#This Row],[fecha_inicio]]="","",YEAR(tblOrdenes[[#This Row],[fecha_inicio]]))</f>
        <v/>
      </c>
      <c r="R637" s="3">
        <f>IF(tblOrdenes[[#This Row],[fecha_inicio]]="","",MONTH(tblOrdenes[[#This Row],[fecha_inicio]]))</f>
        <v/>
      </c>
      <c r="S637" s="3">
        <f>IF(tblOrdenes[[#This Row],[fecha_inicio]]="","",INDEX(lista_dias,WEEKDAY(tblOrdenes[[#This Row],[fecha_inicio]],2)))</f>
        <v/>
      </c>
      <c r="T637" s="3">
        <f>IF(tblOrdenes[[#This Row],[tipo_ot]]="","",_xlfn.XLOOKUP(tblOrdenes[[#This Row],[tipo_ot]],tblTiposOT[codigo],tblTiposOT[clasificacion],"sin_clasificar"))</f>
        <v/>
      </c>
      <c r="U637" s="3">
        <f>IF(tblOrdenes[[#This Row],[centro_costo]]="","",_xlfn.XLOOKUP(tblOrdenes[[#This Row],[centro_costo]],tblCECO[codigo],tblCECO[linea],"(sin catálogo)"))</f>
        <v/>
      </c>
      <c r="V637" s="3">
        <f>IF(tblOrdenes[[#This Row],[centro_costo]]="","",_xlfn.XLOOKUP(tblOrdenes[[#This Row],[centro_costo]],tblCECO[codigo],tblCECO[area],"(sin catálogo)"))</f>
        <v/>
      </c>
      <c r="W637" s="3">
        <f>IF(tblOrdenes[[#This Row],[centro_costo]]="","",_xlfn.XLOOKUP(tblOrdenes[[#This Row],[centro_costo]],tblCECO[codigo],tblCECO[coordinador],"(sin catálogo)"))</f>
        <v/>
      </c>
      <c r="X637" s="3">
        <f>IF(tblOrdenes[[#This Row],[puesto_trabajo]]="","",_xlfn.XLOOKUP(tblOrdenes[[#This Row],[puesto_trabajo]],tblPuestos[codigo],tblPuestos[especialidad],"(sin catálogo)"))</f>
        <v/>
      </c>
      <c r="Y637" s="3">
        <f>IF(tblOrdenes[[#This Row],[cod_actividad]]="","",_xlfn.XLOOKUP(tblOrdenes[[#This Row],[cod_actividad]],tblActividades[codigo],tblActividades[descripcion],"(sin catálogo)"))</f>
        <v/>
      </c>
      <c r="Z637" s="12">
        <f>IF(tblOrdenes[[#This Row],[fecha_inicio]]="","",TODAY()-tblOrdenes[[#This Row],[fecha_inicio]])</f>
        <v/>
      </c>
      <c r="AA637" s="3">
        <f>IF(tblOrdenes[[#This Row],[backlog_dias]]="","",IF(tblOrdenes[[#This Row],[backlog_dias]]&lt;0,"FUTURO",IF(tblOrdenes[[#This Row],[backlog_dias]]&gt;p_dias_backlog_max,"BACKLOG","MES CORRIENTE")))</f>
        <v/>
      </c>
      <c r="AB637" s="3">
        <f>IF(tblOrdenes[[#This Row],[backlog_dias]]="",FALSE,AND(tblOrdenes[[#This Row],[backlog_dias]]&gt;p_dias_backlog_min,tblOrdenes[[#This Row],[backlog_dias]]&lt;=p_dias_backlog_max))</f>
        <v/>
      </c>
      <c r="AC637" s="6" t="n"/>
      <c r="AD6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37" s="10">
        <f>IF(tblOrdenes[[#This Row],[orden]]="","",_xlfn.XLOOKUP(tblOrdenes[[#This Row],[id_operacion]],tblEjecucion[id_operacion],tblEjecucion[precio],0))</f>
        <v/>
      </c>
      <c r="AH637" s="10">
        <f>IF(tblOrdenes[[#This Row],[orden]]="","",MAX(0,_xlfn.XLOOKUP(tblOrdenes[[#This Row],[id_operacion]],tblEjecucion[id_operacion],tblEjecucion[costo_plan_total],0)-tblOrdenes[[#This Row],[costo_servicio]]))</f>
        <v/>
      </c>
      <c r="AI637" s="10">
        <f>IF(tblOrdenes[[#This Row],[orden]]="","",tblOrdenes[[#This Row],[costo_servicio]]+tblOrdenes[[#This Row],[costo_materiales]])</f>
        <v/>
      </c>
      <c r="AJ637" s="6" t="n"/>
      <c r="AK637" s="6" t="n"/>
      <c r="AL637" s="6" t="n"/>
      <c r="AM637" s="3">
        <f>IF(tblOrdenes[[#This Row],[link_checklist]]="","",HYPERLINK(p_ruta_base_checklists&amp;tblOrdenes[[#This Row],[link_checklist]],"abrir"))</f>
        <v/>
      </c>
      <c r="AN637" s="6" t="n"/>
      <c r="AO637" s="3">
        <f>IF(tblOrdenes[[#This Row],[orden]]="","",tblOrdenes[[#This Row],[orden]]&amp;IF(tblOrdenes[[#This Row],[operacion]]="","0010",tblOrdenes[[#This Row],[operacion]]))</f>
        <v/>
      </c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11" t="n"/>
      <c r="K638" s="3" t="n"/>
      <c r="L638" s="10" t="n"/>
      <c r="M638" s="6" t="n"/>
      <c r="N6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38" s="3">
        <f>IF(tblOrdenes[[#This Row],[fecha_inicio]]="","",YEAR(tblOrdenes[[#This Row],[fecha_inicio]]))</f>
        <v/>
      </c>
      <c r="R638" s="3">
        <f>IF(tblOrdenes[[#This Row],[fecha_inicio]]="","",MONTH(tblOrdenes[[#This Row],[fecha_inicio]]))</f>
        <v/>
      </c>
      <c r="S638" s="3">
        <f>IF(tblOrdenes[[#This Row],[fecha_inicio]]="","",INDEX(lista_dias,WEEKDAY(tblOrdenes[[#This Row],[fecha_inicio]],2)))</f>
        <v/>
      </c>
      <c r="T638" s="3">
        <f>IF(tblOrdenes[[#This Row],[tipo_ot]]="","",_xlfn.XLOOKUP(tblOrdenes[[#This Row],[tipo_ot]],tblTiposOT[codigo],tblTiposOT[clasificacion],"sin_clasificar"))</f>
        <v/>
      </c>
      <c r="U638" s="3">
        <f>IF(tblOrdenes[[#This Row],[centro_costo]]="","",_xlfn.XLOOKUP(tblOrdenes[[#This Row],[centro_costo]],tblCECO[codigo],tblCECO[linea],"(sin catálogo)"))</f>
        <v/>
      </c>
      <c r="V638" s="3">
        <f>IF(tblOrdenes[[#This Row],[centro_costo]]="","",_xlfn.XLOOKUP(tblOrdenes[[#This Row],[centro_costo]],tblCECO[codigo],tblCECO[area],"(sin catálogo)"))</f>
        <v/>
      </c>
      <c r="W638" s="3">
        <f>IF(tblOrdenes[[#This Row],[centro_costo]]="","",_xlfn.XLOOKUP(tblOrdenes[[#This Row],[centro_costo]],tblCECO[codigo],tblCECO[coordinador],"(sin catálogo)"))</f>
        <v/>
      </c>
      <c r="X638" s="3">
        <f>IF(tblOrdenes[[#This Row],[puesto_trabajo]]="","",_xlfn.XLOOKUP(tblOrdenes[[#This Row],[puesto_trabajo]],tblPuestos[codigo],tblPuestos[especialidad],"(sin catálogo)"))</f>
        <v/>
      </c>
      <c r="Y638" s="3">
        <f>IF(tblOrdenes[[#This Row],[cod_actividad]]="","",_xlfn.XLOOKUP(tblOrdenes[[#This Row],[cod_actividad]],tblActividades[codigo],tblActividades[descripcion],"(sin catálogo)"))</f>
        <v/>
      </c>
      <c r="Z638" s="12">
        <f>IF(tblOrdenes[[#This Row],[fecha_inicio]]="","",TODAY()-tblOrdenes[[#This Row],[fecha_inicio]])</f>
        <v/>
      </c>
      <c r="AA638" s="3">
        <f>IF(tblOrdenes[[#This Row],[backlog_dias]]="","",IF(tblOrdenes[[#This Row],[backlog_dias]]&lt;0,"FUTURO",IF(tblOrdenes[[#This Row],[backlog_dias]]&gt;p_dias_backlog_max,"BACKLOG","MES CORRIENTE")))</f>
        <v/>
      </c>
      <c r="AB638" s="3">
        <f>IF(tblOrdenes[[#This Row],[backlog_dias]]="",FALSE,AND(tblOrdenes[[#This Row],[backlog_dias]]&gt;p_dias_backlog_min,tblOrdenes[[#This Row],[backlog_dias]]&lt;=p_dias_backlog_max))</f>
        <v/>
      </c>
      <c r="AC638" s="6" t="n"/>
      <c r="AD6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38" s="10">
        <f>IF(tblOrdenes[[#This Row],[orden]]="","",_xlfn.XLOOKUP(tblOrdenes[[#This Row],[id_operacion]],tblEjecucion[id_operacion],tblEjecucion[precio],0))</f>
        <v/>
      </c>
      <c r="AH638" s="10">
        <f>IF(tblOrdenes[[#This Row],[orden]]="","",MAX(0,_xlfn.XLOOKUP(tblOrdenes[[#This Row],[id_operacion]],tblEjecucion[id_operacion],tblEjecucion[costo_plan_total],0)-tblOrdenes[[#This Row],[costo_servicio]]))</f>
        <v/>
      </c>
      <c r="AI638" s="10">
        <f>IF(tblOrdenes[[#This Row],[orden]]="","",tblOrdenes[[#This Row],[costo_servicio]]+tblOrdenes[[#This Row],[costo_materiales]])</f>
        <v/>
      </c>
      <c r="AJ638" s="6" t="n"/>
      <c r="AK638" s="6" t="n"/>
      <c r="AL638" s="6" t="n"/>
      <c r="AM638" s="3">
        <f>IF(tblOrdenes[[#This Row],[link_checklist]]="","",HYPERLINK(p_ruta_base_checklists&amp;tblOrdenes[[#This Row],[link_checklist]],"abrir"))</f>
        <v/>
      </c>
      <c r="AN638" s="6" t="n"/>
      <c r="AO638" s="3">
        <f>IF(tblOrdenes[[#This Row],[orden]]="","",tblOrdenes[[#This Row],[orden]]&amp;IF(tblOrdenes[[#This Row],[operacion]]="","0010",tblOrdenes[[#This Row],[operacion]]))</f>
        <v/>
      </c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11" t="n"/>
      <c r="K639" s="3" t="n"/>
      <c r="L639" s="10" t="n"/>
      <c r="M639" s="6" t="n"/>
      <c r="N6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39" s="3">
        <f>IF(tblOrdenes[[#This Row],[fecha_inicio]]="","",YEAR(tblOrdenes[[#This Row],[fecha_inicio]]))</f>
        <v/>
      </c>
      <c r="R639" s="3">
        <f>IF(tblOrdenes[[#This Row],[fecha_inicio]]="","",MONTH(tblOrdenes[[#This Row],[fecha_inicio]]))</f>
        <v/>
      </c>
      <c r="S639" s="3">
        <f>IF(tblOrdenes[[#This Row],[fecha_inicio]]="","",INDEX(lista_dias,WEEKDAY(tblOrdenes[[#This Row],[fecha_inicio]],2)))</f>
        <v/>
      </c>
      <c r="T639" s="3">
        <f>IF(tblOrdenes[[#This Row],[tipo_ot]]="","",_xlfn.XLOOKUP(tblOrdenes[[#This Row],[tipo_ot]],tblTiposOT[codigo],tblTiposOT[clasificacion],"sin_clasificar"))</f>
        <v/>
      </c>
      <c r="U639" s="3">
        <f>IF(tblOrdenes[[#This Row],[centro_costo]]="","",_xlfn.XLOOKUP(tblOrdenes[[#This Row],[centro_costo]],tblCECO[codigo],tblCECO[linea],"(sin catálogo)"))</f>
        <v/>
      </c>
      <c r="V639" s="3">
        <f>IF(tblOrdenes[[#This Row],[centro_costo]]="","",_xlfn.XLOOKUP(tblOrdenes[[#This Row],[centro_costo]],tblCECO[codigo],tblCECO[area],"(sin catálogo)"))</f>
        <v/>
      </c>
      <c r="W639" s="3">
        <f>IF(tblOrdenes[[#This Row],[centro_costo]]="","",_xlfn.XLOOKUP(tblOrdenes[[#This Row],[centro_costo]],tblCECO[codigo],tblCECO[coordinador],"(sin catálogo)"))</f>
        <v/>
      </c>
      <c r="X639" s="3">
        <f>IF(tblOrdenes[[#This Row],[puesto_trabajo]]="","",_xlfn.XLOOKUP(tblOrdenes[[#This Row],[puesto_trabajo]],tblPuestos[codigo],tblPuestos[especialidad],"(sin catálogo)"))</f>
        <v/>
      </c>
      <c r="Y639" s="3">
        <f>IF(tblOrdenes[[#This Row],[cod_actividad]]="","",_xlfn.XLOOKUP(tblOrdenes[[#This Row],[cod_actividad]],tblActividades[codigo],tblActividades[descripcion],"(sin catálogo)"))</f>
        <v/>
      </c>
      <c r="Z639" s="12">
        <f>IF(tblOrdenes[[#This Row],[fecha_inicio]]="","",TODAY()-tblOrdenes[[#This Row],[fecha_inicio]])</f>
        <v/>
      </c>
      <c r="AA639" s="3">
        <f>IF(tblOrdenes[[#This Row],[backlog_dias]]="","",IF(tblOrdenes[[#This Row],[backlog_dias]]&lt;0,"FUTURO",IF(tblOrdenes[[#This Row],[backlog_dias]]&gt;p_dias_backlog_max,"BACKLOG","MES CORRIENTE")))</f>
        <v/>
      </c>
      <c r="AB639" s="3">
        <f>IF(tblOrdenes[[#This Row],[backlog_dias]]="",FALSE,AND(tblOrdenes[[#This Row],[backlog_dias]]&gt;p_dias_backlog_min,tblOrdenes[[#This Row],[backlog_dias]]&lt;=p_dias_backlog_max))</f>
        <v/>
      </c>
      <c r="AC639" s="6" t="n"/>
      <c r="AD6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39" s="10">
        <f>IF(tblOrdenes[[#This Row],[orden]]="","",_xlfn.XLOOKUP(tblOrdenes[[#This Row],[id_operacion]],tblEjecucion[id_operacion],tblEjecucion[precio],0))</f>
        <v/>
      </c>
      <c r="AH639" s="10">
        <f>IF(tblOrdenes[[#This Row],[orden]]="","",MAX(0,_xlfn.XLOOKUP(tblOrdenes[[#This Row],[id_operacion]],tblEjecucion[id_operacion],tblEjecucion[costo_plan_total],0)-tblOrdenes[[#This Row],[costo_servicio]]))</f>
        <v/>
      </c>
      <c r="AI639" s="10">
        <f>IF(tblOrdenes[[#This Row],[orden]]="","",tblOrdenes[[#This Row],[costo_servicio]]+tblOrdenes[[#This Row],[costo_materiales]])</f>
        <v/>
      </c>
      <c r="AJ639" s="6" t="n"/>
      <c r="AK639" s="6" t="n"/>
      <c r="AL639" s="6" t="n"/>
      <c r="AM639" s="3">
        <f>IF(tblOrdenes[[#This Row],[link_checklist]]="","",HYPERLINK(p_ruta_base_checklists&amp;tblOrdenes[[#This Row],[link_checklist]],"abrir"))</f>
        <v/>
      </c>
      <c r="AN639" s="6" t="n"/>
      <c r="AO639" s="3">
        <f>IF(tblOrdenes[[#This Row],[orden]]="","",tblOrdenes[[#This Row],[orden]]&amp;IF(tblOrdenes[[#This Row],[operacion]]="","0010",tblOrdenes[[#This Row],[operacion]]))</f>
        <v/>
      </c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11" t="n"/>
      <c r="K640" s="3" t="n"/>
      <c r="L640" s="10" t="n"/>
      <c r="M640" s="6" t="n"/>
      <c r="N6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40" s="3">
        <f>IF(tblOrdenes[[#This Row],[fecha_inicio]]="","",YEAR(tblOrdenes[[#This Row],[fecha_inicio]]))</f>
        <v/>
      </c>
      <c r="R640" s="3">
        <f>IF(tblOrdenes[[#This Row],[fecha_inicio]]="","",MONTH(tblOrdenes[[#This Row],[fecha_inicio]]))</f>
        <v/>
      </c>
      <c r="S640" s="3">
        <f>IF(tblOrdenes[[#This Row],[fecha_inicio]]="","",INDEX(lista_dias,WEEKDAY(tblOrdenes[[#This Row],[fecha_inicio]],2)))</f>
        <v/>
      </c>
      <c r="T640" s="3">
        <f>IF(tblOrdenes[[#This Row],[tipo_ot]]="","",_xlfn.XLOOKUP(tblOrdenes[[#This Row],[tipo_ot]],tblTiposOT[codigo],tblTiposOT[clasificacion],"sin_clasificar"))</f>
        <v/>
      </c>
      <c r="U640" s="3">
        <f>IF(tblOrdenes[[#This Row],[centro_costo]]="","",_xlfn.XLOOKUP(tblOrdenes[[#This Row],[centro_costo]],tblCECO[codigo],tblCECO[linea],"(sin catálogo)"))</f>
        <v/>
      </c>
      <c r="V640" s="3">
        <f>IF(tblOrdenes[[#This Row],[centro_costo]]="","",_xlfn.XLOOKUP(tblOrdenes[[#This Row],[centro_costo]],tblCECO[codigo],tblCECO[area],"(sin catálogo)"))</f>
        <v/>
      </c>
      <c r="W640" s="3">
        <f>IF(tblOrdenes[[#This Row],[centro_costo]]="","",_xlfn.XLOOKUP(tblOrdenes[[#This Row],[centro_costo]],tblCECO[codigo],tblCECO[coordinador],"(sin catálogo)"))</f>
        <v/>
      </c>
      <c r="X640" s="3">
        <f>IF(tblOrdenes[[#This Row],[puesto_trabajo]]="","",_xlfn.XLOOKUP(tblOrdenes[[#This Row],[puesto_trabajo]],tblPuestos[codigo],tblPuestos[especialidad],"(sin catálogo)"))</f>
        <v/>
      </c>
      <c r="Y640" s="3">
        <f>IF(tblOrdenes[[#This Row],[cod_actividad]]="","",_xlfn.XLOOKUP(tblOrdenes[[#This Row],[cod_actividad]],tblActividades[codigo],tblActividades[descripcion],"(sin catálogo)"))</f>
        <v/>
      </c>
      <c r="Z640" s="12">
        <f>IF(tblOrdenes[[#This Row],[fecha_inicio]]="","",TODAY()-tblOrdenes[[#This Row],[fecha_inicio]])</f>
        <v/>
      </c>
      <c r="AA640" s="3">
        <f>IF(tblOrdenes[[#This Row],[backlog_dias]]="","",IF(tblOrdenes[[#This Row],[backlog_dias]]&lt;0,"FUTURO",IF(tblOrdenes[[#This Row],[backlog_dias]]&gt;p_dias_backlog_max,"BACKLOG","MES CORRIENTE")))</f>
        <v/>
      </c>
      <c r="AB640" s="3">
        <f>IF(tblOrdenes[[#This Row],[backlog_dias]]="",FALSE,AND(tblOrdenes[[#This Row],[backlog_dias]]&gt;p_dias_backlog_min,tblOrdenes[[#This Row],[backlog_dias]]&lt;=p_dias_backlog_max))</f>
        <v/>
      </c>
      <c r="AC640" s="6" t="n"/>
      <c r="AD6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40" s="10">
        <f>IF(tblOrdenes[[#This Row],[orden]]="","",_xlfn.XLOOKUP(tblOrdenes[[#This Row],[id_operacion]],tblEjecucion[id_operacion],tblEjecucion[precio],0))</f>
        <v/>
      </c>
      <c r="AH640" s="10">
        <f>IF(tblOrdenes[[#This Row],[orden]]="","",MAX(0,_xlfn.XLOOKUP(tblOrdenes[[#This Row],[id_operacion]],tblEjecucion[id_operacion],tblEjecucion[costo_plan_total],0)-tblOrdenes[[#This Row],[costo_servicio]]))</f>
        <v/>
      </c>
      <c r="AI640" s="10">
        <f>IF(tblOrdenes[[#This Row],[orden]]="","",tblOrdenes[[#This Row],[costo_servicio]]+tblOrdenes[[#This Row],[costo_materiales]])</f>
        <v/>
      </c>
      <c r="AJ640" s="6" t="n"/>
      <c r="AK640" s="6" t="n"/>
      <c r="AL640" s="6" t="n"/>
      <c r="AM640" s="3">
        <f>IF(tblOrdenes[[#This Row],[link_checklist]]="","",HYPERLINK(p_ruta_base_checklists&amp;tblOrdenes[[#This Row],[link_checklist]],"abrir"))</f>
        <v/>
      </c>
      <c r="AN640" s="6" t="n"/>
      <c r="AO640" s="3">
        <f>IF(tblOrdenes[[#This Row],[orden]]="","",tblOrdenes[[#This Row],[orden]]&amp;IF(tblOrdenes[[#This Row],[operacion]]="","0010",tblOrdenes[[#This Row],[operacion]]))</f>
        <v/>
      </c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11" t="n"/>
      <c r="K641" s="3" t="n"/>
      <c r="L641" s="10" t="n"/>
      <c r="M641" s="6" t="n"/>
      <c r="N6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41" s="3">
        <f>IF(tblOrdenes[[#This Row],[fecha_inicio]]="","",YEAR(tblOrdenes[[#This Row],[fecha_inicio]]))</f>
        <v/>
      </c>
      <c r="R641" s="3">
        <f>IF(tblOrdenes[[#This Row],[fecha_inicio]]="","",MONTH(tblOrdenes[[#This Row],[fecha_inicio]]))</f>
        <v/>
      </c>
      <c r="S641" s="3">
        <f>IF(tblOrdenes[[#This Row],[fecha_inicio]]="","",INDEX(lista_dias,WEEKDAY(tblOrdenes[[#This Row],[fecha_inicio]],2)))</f>
        <v/>
      </c>
      <c r="T641" s="3">
        <f>IF(tblOrdenes[[#This Row],[tipo_ot]]="","",_xlfn.XLOOKUP(tblOrdenes[[#This Row],[tipo_ot]],tblTiposOT[codigo],tblTiposOT[clasificacion],"sin_clasificar"))</f>
        <v/>
      </c>
      <c r="U641" s="3">
        <f>IF(tblOrdenes[[#This Row],[centro_costo]]="","",_xlfn.XLOOKUP(tblOrdenes[[#This Row],[centro_costo]],tblCECO[codigo],tblCECO[linea],"(sin catálogo)"))</f>
        <v/>
      </c>
      <c r="V641" s="3">
        <f>IF(tblOrdenes[[#This Row],[centro_costo]]="","",_xlfn.XLOOKUP(tblOrdenes[[#This Row],[centro_costo]],tblCECO[codigo],tblCECO[area],"(sin catálogo)"))</f>
        <v/>
      </c>
      <c r="W641" s="3">
        <f>IF(tblOrdenes[[#This Row],[centro_costo]]="","",_xlfn.XLOOKUP(tblOrdenes[[#This Row],[centro_costo]],tblCECO[codigo],tblCECO[coordinador],"(sin catálogo)"))</f>
        <v/>
      </c>
      <c r="X641" s="3">
        <f>IF(tblOrdenes[[#This Row],[puesto_trabajo]]="","",_xlfn.XLOOKUP(tblOrdenes[[#This Row],[puesto_trabajo]],tblPuestos[codigo],tblPuestos[especialidad],"(sin catálogo)"))</f>
        <v/>
      </c>
      <c r="Y641" s="3">
        <f>IF(tblOrdenes[[#This Row],[cod_actividad]]="","",_xlfn.XLOOKUP(tblOrdenes[[#This Row],[cod_actividad]],tblActividades[codigo],tblActividades[descripcion],"(sin catálogo)"))</f>
        <v/>
      </c>
      <c r="Z641" s="12">
        <f>IF(tblOrdenes[[#This Row],[fecha_inicio]]="","",TODAY()-tblOrdenes[[#This Row],[fecha_inicio]])</f>
        <v/>
      </c>
      <c r="AA641" s="3">
        <f>IF(tblOrdenes[[#This Row],[backlog_dias]]="","",IF(tblOrdenes[[#This Row],[backlog_dias]]&lt;0,"FUTURO",IF(tblOrdenes[[#This Row],[backlog_dias]]&gt;p_dias_backlog_max,"BACKLOG","MES CORRIENTE")))</f>
        <v/>
      </c>
      <c r="AB641" s="3">
        <f>IF(tblOrdenes[[#This Row],[backlog_dias]]="",FALSE,AND(tblOrdenes[[#This Row],[backlog_dias]]&gt;p_dias_backlog_min,tblOrdenes[[#This Row],[backlog_dias]]&lt;=p_dias_backlog_max))</f>
        <v/>
      </c>
      <c r="AC641" s="6" t="n"/>
      <c r="AD6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41" s="10">
        <f>IF(tblOrdenes[[#This Row],[orden]]="","",_xlfn.XLOOKUP(tblOrdenes[[#This Row],[id_operacion]],tblEjecucion[id_operacion],tblEjecucion[precio],0))</f>
        <v/>
      </c>
      <c r="AH641" s="10">
        <f>IF(tblOrdenes[[#This Row],[orden]]="","",MAX(0,_xlfn.XLOOKUP(tblOrdenes[[#This Row],[id_operacion]],tblEjecucion[id_operacion],tblEjecucion[costo_plan_total],0)-tblOrdenes[[#This Row],[costo_servicio]]))</f>
        <v/>
      </c>
      <c r="AI641" s="10">
        <f>IF(tblOrdenes[[#This Row],[orden]]="","",tblOrdenes[[#This Row],[costo_servicio]]+tblOrdenes[[#This Row],[costo_materiales]])</f>
        <v/>
      </c>
      <c r="AJ641" s="6" t="n"/>
      <c r="AK641" s="6" t="n"/>
      <c r="AL641" s="6" t="n"/>
      <c r="AM641" s="3">
        <f>IF(tblOrdenes[[#This Row],[link_checklist]]="","",HYPERLINK(p_ruta_base_checklists&amp;tblOrdenes[[#This Row],[link_checklist]],"abrir"))</f>
        <v/>
      </c>
      <c r="AN641" s="6" t="n"/>
      <c r="AO641" s="3">
        <f>IF(tblOrdenes[[#This Row],[orden]]="","",tblOrdenes[[#This Row],[orden]]&amp;IF(tblOrdenes[[#This Row],[operacion]]="","0010",tblOrdenes[[#This Row],[operacion]]))</f>
        <v/>
      </c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11" t="n"/>
      <c r="K642" s="3" t="n"/>
      <c r="L642" s="10" t="n"/>
      <c r="M642" s="6" t="n"/>
      <c r="N6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42" s="3">
        <f>IF(tblOrdenes[[#This Row],[fecha_inicio]]="","",YEAR(tblOrdenes[[#This Row],[fecha_inicio]]))</f>
        <v/>
      </c>
      <c r="R642" s="3">
        <f>IF(tblOrdenes[[#This Row],[fecha_inicio]]="","",MONTH(tblOrdenes[[#This Row],[fecha_inicio]]))</f>
        <v/>
      </c>
      <c r="S642" s="3">
        <f>IF(tblOrdenes[[#This Row],[fecha_inicio]]="","",INDEX(lista_dias,WEEKDAY(tblOrdenes[[#This Row],[fecha_inicio]],2)))</f>
        <v/>
      </c>
      <c r="T642" s="3">
        <f>IF(tblOrdenes[[#This Row],[tipo_ot]]="","",_xlfn.XLOOKUP(tblOrdenes[[#This Row],[tipo_ot]],tblTiposOT[codigo],tblTiposOT[clasificacion],"sin_clasificar"))</f>
        <v/>
      </c>
      <c r="U642" s="3">
        <f>IF(tblOrdenes[[#This Row],[centro_costo]]="","",_xlfn.XLOOKUP(tblOrdenes[[#This Row],[centro_costo]],tblCECO[codigo],tblCECO[linea],"(sin catálogo)"))</f>
        <v/>
      </c>
      <c r="V642" s="3">
        <f>IF(tblOrdenes[[#This Row],[centro_costo]]="","",_xlfn.XLOOKUP(tblOrdenes[[#This Row],[centro_costo]],tblCECO[codigo],tblCECO[area],"(sin catálogo)"))</f>
        <v/>
      </c>
      <c r="W642" s="3">
        <f>IF(tblOrdenes[[#This Row],[centro_costo]]="","",_xlfn.XLOOKUP(tblOrdenes[[#This Row],[centro_costo]],tblCECO[codigo],tblCECO[coordinador],"(sin catálogo)"))</f>
        <v/>
      </c>
      <c r="X642" s="3">
        <f>IF(tblOrdenes[[#This Row],[puesto_trabajo]]="","",_xlfn.XLOOKUP(tblOrdenes[[#This Row],[puesto_trabajo]],tblPuestos[codigo],tblPuestos[especialidad],"(sin catálogo)"))</f>
        <v/>
      </c>
      <c r="Y642" s="3">
        <f>IF(tblOrdenes[[#This Row],[cod_actividad]]="","",_xlfn.XLOOKUP(tblOrdenes[[#This Row],[cod_actividad]],tblActividades[codigo],tblActividades[descripcion],"(sin catálogo)"))</f>
        <v/>
      </c>
      <c r="Z642" s="12">
        <f>IF(tblOrdenes[[#This Row],[fecha_inicio]]="","",TODAY()-tblOrdenes[[#This Row],[fecha_inicio]])</f>
        <v/>
      </c>
      <c r="AA642" s="3">
        <f>IF(tblOrdenes[[#This Row],[backlog_dias]]="","",IF(tblOrdenes[[#This Row],[backlog_dias]]&lt;0,"FUTURO",IF(tblOrdenes[[#This Row],[backlog_dias]]&gt;p_dias_backlog_max,"BACKLOG","MES CORRIENTE")))</f>
        <v/>
      </c>
      <c r="AB642" s="3">
        <f>IF(tblOrdenes[[#This Row],[backlog_dias]]="",FALSE,AND(tblOrdenes[[#This Row],[backlog_dias]]&gt;p_dias_backlog_min,tblOrdenes[[#This Row],[backlog_dias]]&lt;=p_dias_backlog_max))</f>
        <v/>
      </c>
      <c r="AC642" s="6" t="n"/>
      <c r="AD6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42" s="10">
        <f>IF(tblOrdenes[[#This Row],[orden]]="","",_xlfn.XLOOKUP(tblOrdenes[[#This Row],[id_operacion]],tblEjecucion[id_operacion],tblEjecucion[precio],0))</f>
        <v/>
      </c>
      <c r="AH642" s="10">
        <f>IF(tblOrdenes[[#This Row],[orden]]="","",MAX(0,_xlfn.XLOOKUP(tblOrdenes[[#This Row],[id_operacion]],tblEjecucion[id_operacion],tblEjecucion[costo_plan_total],0)-tblOrdenes[[#This Row],[costo_servicio]]))</f>
        <v/>
      </c>
      <c r="AI642" s="10">
        <f>IF(tblOrdenes[[#This Row],[orden]]="","",tblOrdenes[[#This Row],[costo_servicio]]+tblOrdenes[[#This Row],[costo_materiales]])</f>
        <v/>
      </c>
      <c r="AJ642" s="6" t="n"/>
      <c r="AK642" s="6" t="n"/>
      <c r="AL642" s="6" t="n"/>
      <c r="AM642" s="3">
        <f>IF(tblOrdenes[[#This Row],[link_checklist]]="","",HYPERLINK(p_ruta_base_checklists&amp;tblOrdenes[[#This Row],[link_checklist]],"abrir"))</f>
        <v/>
      </c>
      <c r="AN642" s="6" t="n"/>
      <c r="AO642" s="3">
        <f>IF(tblOrdenes[[#This Row],[orden]]="","",tblOrdenes[[#This Row],[orden]]&amp;IF(tblOrdenes[[#This Row],[operacion]]="","0010",tblOrdenes[[#This Row],[operacion]]))</f>
        <v/>
      </c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11" t="n"/>
      <c r="K643" s="3" t="n"/>
      <c r="L643" s="10" t="n"/>
      <c r="M643" s="6" t="n"/>
      <c r="N6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43" s="3">
        <f>IF(tblOrdenes[[#This Row],[fecha_inicio]]="","",YEAR(tblOrdenes[[#This Row],[fecha_inicio]]))</f>
        <v/>
      </c>
      <c r="R643" s="3">
        <f>IF(tblOrdenes[[#This Row],[fecha_inicio]]="","",MONTH(tblOrdenes[[#This Row],[fecha_inicio]]))</f>
        <v/>
      </c>
      <c r="S643" s="3">
        <f>IF(tblOrdenes[[#This Row],[fecha_inicio]]="","",INDEX(lista_dias,WEEKDAY(tblOrdenes[[#This Row],[fecha_inicio]],2)))</f>
        <v/>
      </c>
      <c r="T643" s="3">
        <f>IF(tblOrdenes[[#This Row],[tipo_ot]]="","",_xlfn.XLOOKUP(tblOrdenes[[#This Row],[tipo_ot]],tblTiposOT[codigo],tblTiposOT[clasificacion],"sin_clasificar"))</f>
        <v/>
      </c>
      <c r="U643" s="3">
        <f>IF(tblOrdenes[[#This Row],[centro_costo]]="","",_xlfn.XLOOKUP(tblOrdenes[[#This Row],[centro_costo]],tblCECO[codigo],tblCECO[linea],"(sin catálogo)"))</f>
        <v/>
      </c>
      <c r="V643" s="3">
        <f>IF(tblOrdenes[[#This Row],[centro_costo]]="","",_xlfn.XLOOKUP(tblOrdenes[[#This Row],[centro_costo]],tblCECO[codigo],tblCECO[area],"(sin catálogo)"))</f>
        <v/>
      </c>
      <c r="W643" s="3">
        <f>IF(tblOrdenes[[#This Row],[centro_costo]]="","",_xlfn.XLOOKUP(tblOrdenes[[#This Row],[centro_costo]],tblCECO[codigo],tblCECO[coordinador],"(sin catálogo)"))</f>
        <v/>
      </c>
      <c r="X643" s="3">
        <f>IF(tblOrdenes[[#This Row],[puesto_trabajo]]="","",_xlfn.XLOOKUP(tblOrdenes[[#This Row],[puesto_trabajo]],tblPuestos[codigo],tblPuestos[especialidad],"(sin catálogo)"))</f>
        <v/>
      </c>
      <c r="Y643" s="3">
        <f>IF(tblOrdenes[[#This Row],[cod_actividad]]="","",_xlfn.XLOOKUP(tblOrdenes[[#This Row],[cod_actividad]],tblActividades[codigo],tblActividades[descripcion],"(sin catálogo)"))</f>
        <v/>
      </c>
      <c r="Z643" s="12">
        <f>IF(tblOrdenes[[#This Row],[fecha_inicio]]="","",TODAY()-tblOrdenes[[#This Row],[fecha_inicio]])</f>
        <v/>
      </c>
      <c r="AA643" s="3">
        <f>IF(tblOrdenes[[#This Row],[backlog_dias]]="","",IF(tblOrdenes[[#This Row],[backlog_dias]]&lt;0,"FUTURO",IF(tblOrdenes[[#This Row],[backlog_dias]]&gt;p_dias_backlog_max,"BACKLOG","MES CORRIENTE")))</f>
        <v/>
      </c>
      <c r="AB643" s="3">
        <f>IF(tblOrdenes[[#This Row],[backlog_dias]]="",FALSE,AND(tblOrdenes[[#This Row],[backlog_dias]]&gt;p_dias_backlog_min,tblOrdenes[[#This Row],[backlog_dias]]&lt;=p_dias_backlog_max))</f>
        <v/>
      </c>
      <c r="AC643" s="6" t="n"/>
      <c r="AD6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43" s="10">
        <f>IF(tblOrdenes[[#This Row],[orden]]="","",_xlfn.XLOOKUP(tblOrdenes[[#This Row],[id_operacion]],tblEjecucion[id_operacion],tblEjecucion[precio],0))</f>
        <v/>
      </c>
      <c r="AH643" s="10">
        <f>IF(tblOrdenes[[#This Row],[orden]]="","",MAX(0,_xlfn.XLOOKUP(tblOrdenes[[#This Row],[id_operacion]],tblEjecucion[id_operacion],tblEjecucion[costo_plan_total],0)-tblOrdenes[[#This Row],[costo_servicio]]))</f>
        <v/>
      </c>
      <c r="AI643" s="10">
        <f>IF(tblOrdenes[[#This Row],[orden]]="","",tblOrdenes[[#This Row],[costo_servicio]]+tblOrdenes[[#This Row],[costo_materiales]])</f>
        <v/>
      </c>
      <c r="AJ643" s="6" t="n"/>
      <c r="AK643" s="6" t="n"/>
      <c r="AL643" s="6" t="n"/>
      <c r="AM643" s="3">
        <f>IF(tblOrdenes[[#This Row],[link_checklist]]="","",HYPERLINK(p_ruta_base_checklists&amp;tblOrdenes[[#This Row],[link_checklist]],"abrir"))</f>
        <v/>
      </c>
      <c r="AN643" s="6" t="n"/>
      <c r="AO643" s="3">
        <f>IF(tblOrdenes[[#This Row],[orden]]="","",tblOrdenes[[#This Row],[orden]]&amp;IF(tblOrdenes[[#This Row],[operacion]]="","0010",tblOrdenes[[#This Row],[operacion]]))</f>
        <v/>
      </c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11" t="n"/>
      <c r="K644" s="3" t="n"/>
      <c r="L644" s="10" t="n"/>
      <c r="M644" s="6" t="n"/>
      <c r="N6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44" s="3">
        <f>IF(tblOrdenes[[#This Row],[fecha_inicio]]="","",YEAR(tblOrdenes[[#This Row],[fecha_inicio]]))</f>
        <v/>
      </c>
      <c r="R644" s="3">
        <f>IF(tblOrdenes[[#This Row],[fecha_inicio]]="","",MONTH(tblOrdenes[[#This Row],[fecha_inicio]]))</f>
        <v/>
      </c>
      <c r="S644" s="3">
        <f>IF(tblOrdenes[[#This Row],[fecha_inicio]]="","",INDEX(lista_dias,WEEKDAY(tblOrdenes[[#This Row],[fecha_inicio]],2)))</f>
        <v/>
      </c>
      <c r="T644" s="3">
        <f>IF(tblOrdenes[[#This Row],[tipo_ot]]="","",_xlfn.XLOOKUP(tblOrdenes[[#This Row],[tipo_ot]],tblTiposOT[codigo],tblTiposOT[clasificacion],"sin_clasificar"))</f>
        <v/>
      </c>
      <c r="U644" s="3">
        <f>IF(tblOrdenes[[#This Row],[centro_costo]]="","",_xlfn.XLOOKUP(tblOrdenes[[#This Row],[centro_costo]],tblCECO[codigo],tblCECO[linea],"(sin catálogo)"))</f>
        <v/>
      </c>
      <c r="V644" s="3">
        <f>IF(tblOrdenes[[#This Row],[centro_costo]]="","",_xlfn.XLOOKUP(tblOrdenes[[#This Row],[centro_costo]],tblCECO[codigo],tblCECO[area],"(sin catálogo)"))</f>
        <v/>
      </c>
      <c r="W644" s="3">
        <f>IF(tblOrdenes[[#This Row],[centro_costo]]="","",_xlfn.XLOOKUP(tblOrdenes[[#This Row],[centro_costo]],tblCECO[codigo],tblCECO[coordinador],"(sin catálogo)"))</f>
        <v/>
      </c>
      <c r="X644" s="3">
        <f>IF(tblOrdenes[[#This Row],[puesto_trabajo]]="","",_xlfn.XLOOKUP(tblOrdenes[[#This Row],[puesto_trabajo]],tblPuestos[codigo],tblPuestos[especialidad],"(sin catálogo)"))</f>
        <v/>
      </c>
      <c r="Y644" s="3">
        <f>IF(tblOrdenes[[#This Row],[cod_actividad]]="","",_xlfn.XLOOKUP(tblOrdenes[[#This Row],[cod_actividad]],tblActividades[codigo],tblActividades[descripcion],"(sin catálogo)"))</f>
        <v/>
      </c>
      <c r="Z644" s="12">
        <f>IF(tblOrdenes[[#This Row],[fecha_inicio]]="","",TODAY()-tblOrdenes[[#This Row],[fecha_inicio]])</f>
        <v/>
      </c>
      <c r="AA644" s="3">
        <f>IF(tblOrdenes[[#This Row],[backlog_dias]]="","",IF(tblOrdenes[[#This Row],[backlog_dias]]&lt;0,"FUTURO",IF(tblOrdenes[[#This Row],[backlog_dias]]&gt;p_dias_backlog_max,"BACKLOG","MES CORRIENTE")))</f>
        <v/>
      </c>
      <c r="AB644" s="3">
        <f>IF(tblOrdenes[[#This Row],[backlog_dias]]="",FALSE,AND(tblOrdenes[[#This Row],[backlog_dias]]&gt;p_dias_backlog_min,tblOrdenes[[#This Row],[backlog_dias]]&lt;=p_dias_backlog_max))</f>
        <v/>
      </c>
      <c r="AC644" s="6" t="n"/>
      <c r="AD6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44" s="10">
        <f>IF(tblOrdenes[[#This Row],[orden]]="","",_xlfn.XLOOKUP(tblOrdenes[[#This Row],[id_operacion]],tblEjecucion[id_operacion],tblEjecucion[precio],0))</f>
        <v/>
      </c>
      <c r="AH644" s="10">
        <f>IF(tblOrdenes[[#This Row],[orden]]="","",MAX(0,_xlfn.XLOOKUP(tblOrdenes[[#This Row],[id_operacion]],tblEjecucion[id_operacion],tblEjecucion[costo_plan_total],0)-tblOrdenes[[#This Row],[costo_servicio]]))</f>
        <v/>
      </c>
      <c r="AI644" s="10">
        <f>IF(tblOrdenes[[#This Row],[orden]]="","",tblOrdenes[[#This Row],[costo_servicio]]+tblOrdenes[[#This Row],[costo_materiales]])</f>
        <v/>
      </c>
      <c r="AJ644" s="6" t="n"/>
      <c r="AK644" s="6" t="n"/>
      <c r="AL644" s="6" t="n"/>
      <c r="AM644" s="3">
        <f>IF(tblOrdenes[[#This Row],[link_checklist]]="","",HYPERLINK(p_ruta_base_checklists&amp;tblOrdenes[[#This Row],[link_checklist]],"abrir"))</f>
        <v/>
      </c>
      <c r="AN644" s="6" t="n"/>
      <c r="AO644" s="3">
        <f>IF(tblOrdenes[[#This Row],[orden]]="","",tblOrdenes[[#This Row],[orden]]&amp;IF(tblOrdenes[[#This Row],[operacion]]="","0010",tblOrdenes[[#This Row],[operacion]]))</f>
        <v/>
      </c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11" t="n"/>
      <c r="K645" s="3" t="n"/>
      <c r="L645" s="10" t="n"/>
      <c r="M645" s="6" t="n"/>
      <c r="N6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45" s="3">
        <f>IF(tblOrdenes[[#This Row],[fecha_inicio]]="","",YEAR(tblOrdenes[[#This Row],[fecha_inicio]]))</f>
        <v/>
      </c>
      <c r="R645" s="3">
        <f>IF(tblOrdenes[[#This Row],[fecha_inicio]]="","",MONTH(tblOrdenes[[#This Row],[fecha_inicio]]))</f>
        <v/>
      </c>
      <c r="S645" s="3">
        <f>IF(tblOrdenes[[#This Row],[fecha_inicio]]="","",INDEX(lista_dias,WEEKDAY(tblOrdenes[[#This Row],[fecha_inicio]],2)))</f>
        <v/>
      </c>
      <c r="T645" s="3">
        <f>IF(tblOrdenes[[#This Row],[tipo_ot]]="","",_xlfn.XLOOKUP(tblOrdenes[[#This Row],[tipo_ot]],tblTiposOT[codigo],tblTiposOT[clasificacion],"sin_clasificar"))</f>
        <v/>
      </c>
      <c r="U645" s="3">
        <f>IF(tblOrdenes[[#This Row],[centro_costo]]="","",_xlfn.XLOOKUP(tblOrdenes[[#This Row],[centro_costo]],tblCECO[codigo],tblCECO[linea],"(sin catálogo)"))</f>
        <v/>
      </c>
      <c r="V645" s="3">
        <f>IF(tblOrdenes[[#This Row],[centro_costo]]="","",_xlfn.XLOOKUP(tblOrdenes[[#This Row],[centro_costo]],tblCECO[codigo],tblCECO[area],"(sin catálogo)"))</f>
        <v/>
      </c>
      <c r="W645" s="3">
        <f>IF(tblOrdenes[[#This Row],[centro_costo]]="","",_xlfn.XLOOKUP(tblOrdenes[[#This Row],[centro_costo]],tblCECO[codigo],tblCECO[coordinador],"(sin catálogo)"))</f>
        <v/>
      </c>
      <c r="X645" s="3">
        <f>IF(tblOrdenes[[#This Row],[puesto_trabajo]]="","",_xlfn.XLOOKUP(tblOrdenes[[#This Row],[puesto_trabajo]],tblPuestos[codigo],tblPuestos[especialidad],"(sin catálogo)"))</f>
        <v/>
      </c>
      <c r="Y645" s="3">
        <f>IF(tblOrdenes[[#This Row],[cod_actividad]]="","",_xlfn.XLOOKUP(tblOrdenes[[#This Row],[cod_actividad]],tblActividades[codigo],tblActividades[descripcion],"(sin catálogo)"))</f>
        <v/>
      </c>
      <c r="Z645" s="12">
        <f>IF(tblOrdenes[[#This Row],[fecha_inicio]]="","",TODAY()-tblOrdenes[[#This Row],[fecha_inicio]])</f>
        <v/>
      </c>
      <c r="AA645" s="3">
        <f>IF(tblOrdenes[[#This Row],[backlog_dias]]="","",IF(tblOrdenes[[#This Row],[backlog_dias]]&lt;0,"FUTURO",IF(tblOrdenes[[#This Row],[backlog_dias]]&gt;p_dias_backlog_max,"BACKLOG","MES CORRIENTE")))</f>
        <v/>
      </c>
      <c r="AB645" s="3">
        <f>IF(tblOrdenes[[#This Row],[backlog_dias]]="",FALSE,AND(tblOrdenes[[#This Row],[backlog_dias]]&gt;p_dias_backlog_min,tblOrdenes[[#This Row],[backlog_dias]]&lt;=p_dias_backlog_max))</f>
        <v/>
      </c>
      <c r="AC645" s="6" t="n"/>
      <c r="AD6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45" s="10">
        <f>IF(tblOrdenes[[#This Row],[orden]]="","",_xlfn.XLOOKUP(tblOrdenes[[#This Row],[id_operacion]],tblEjecucion[id_operacion],tblEjecucion[precio],0))</f>
        <v/>
      </c>
      <c r="AH645" s="10">
        <f>IF(tblOrdenes[[#This Row],[orden]]="","",MAX(0,_xlfn.XLOOKUP(tblOrdenes[[#This Row],[id_operacion]],tblEjecucion[id_operacion],tblEjecucion[costo_plan_total],0)-tblOrdenes[[#This Row],[costo_servicio]]))</f>
        <v/>
      </c>
      <c r="AI645" s="10">
        <f>IF(tblOrdenes[[#This Row],[orden]]="","",tblOrdenes[[#This Row],[costo_servicio]]+tblOrdenes[[#This Row],[costo_materiales]])</f>
        <v/>
      </c>
      <c r="AJ645" s="6" t="n"/>
      <c r="AK645" s="6" t="n"/>
      <c r="AL645" s="6" t="n"/>
      <c r="AM645" s="3">
        <f>IF(tblOrdenes[[#This Row],[link_checklist]]="","",HYPERLINK(p_ruta_base_checklists&amp;tblOrdenes[[#This Row],[link_checklist]],"abrir"))</f>
        <v/>
      </c>
      <c r="AN645" s="6" t="n"/>
      <c r="AO645" s="3">
        <f>IF(tblOrdenes[[#This Row],[orden]]="","",tblOrdenes[[#This Row],[orden]]&amp;IF(tblOrdenes[[#This Row],[operacion]]="","0010",tblOrdenes[[#This Row],[operacion]]))</f>
        <v/>
      </c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11" t="n"/>
      <c r="K646" s="3" t="n"/>
      <c r="L646" s="10" t="n"/>
      <c r="M646" s="6" t="n"/>
      <c r="N6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46" s="3">
        <f>IF(tblOrdenes[[#This Row],[fecha_inicio]]="","",YEAR(tblOrdenes[[#This Row],[fecha_inicio]]))</f>
        <v/>
      </c>
      <c r="R646" s="3">
        <f>IF(tblOrdenes[[#This Row],[fecha_inicio]]="","",MONTH(tblOrdenes[[#This Row],[fecha_inicio]]))</f>
        <v/>
      </c>
      <c r="S646" s="3">
        <f>IF(tblOrdenes[[#This Row],[fecha_inicio]]="","",INDEX(lista_dias,WEEKDAY(tblOrdenes[[#This Row],[fecha_inicio]],2)))</f>
        <v/>
      </c>
      <c r="T646" s="3">
        <f>IF(tblOrdenes[[#This Row],[tipo_ot]]="","",_xlfn.XLOOKUP(tblOrdenes[[#This Row],[tipo_ot]],tblTiposOT[codigo],tblTiposOT[clasificacion],"sin_clasificar"))</f>
        <v/>
      </c>
      <c r="U646" s="3">
        <f>IF(tblOrdenes[[#This Row],[centro_costo]]="","",_xlfn.XLOOKUP(tblOrdenes[[#This Row],[centro_costo]],tblCECO[codigo],tblCECO[linea],"(sin catálogo)"))</f>
        <v/>
      </c>
      <c r="V646" s="3">
        <f>IF(tblOrdenes[[#This Row],[centro_costo]]="","",_xlfn.XLOOKUP(tblOrdenes[[#This Row],[centro_costo]],tblCECO[codigo],tblCECO[area],"(sin catálogo)"))</f>
        <v/>
      </c>
      <c r="W646" s="3">
        <f>IF(tblOrdenes[[#This Row],[centro_costo]]="","",_xlfn.XLOOKUP(tblOrdenes[[#This Row],[centro_costo]],tblCECO[codigo],tblCECO[coordinador],"(sin catálogo)"))</f>
        <v/>
      </c>
      <c r="X646" s="3">
        <f>IF(tblOrdenes[[#This Row],[puesto_trabajo]]="","",_xlfn.XLOOKUP(tblOrdenes[[#This Row],[puesto_trabajo]],tblPuestos[codigo],tblPuestos[especialidad],"(sin catálogo)"))</f>
        <v/>
      </c>
      <c r="Y646" s="3">
        <f>IF(tblOrdenes[[#This Row],[cod_actividad]]="","",_xlfn.XLOOKUP(tblOrdenes[[#This Row],[cod_actividad]],tblActividades[codigo],tblActividades[descripcion],"(sin catálogo)"))</f>
        <v/>
      </c>
      <c r="Z646" s="12">
        <f>IF(tblOrdenes[[#This Row],[fecha_inicio]]="","",TODAY()-tblOrdenes[[#This Row],[fecha_inicio]])</f>
        <v/>
      </c>
      <c r="AA646" s="3">
        <f>IF(tblOrdenes[[#This Row],[backlog_dias]]="","",IF(tblOrdenes[[#This Row],[backlog_dias]]&lt;0,"FUTURO",IF(tblOrdenes[[#This Row],[backlog_dias]]&gt;p_dias_backlog_max,"BACKLOG","MES CORRIENTE")))</f>
        <v/>
      </c>
      <c r="AB646" s="3">
        <f>IF(tblOrdenes[[#This Row],[backlog_dias]]="",FALSE,AND(tblOrdenes[[#This Row],[backlog_dias]]&gt;p_dias_backlog_min,tblOrdenes[[#This Row],[backlog_dias]]&lt;=p_dias_backlog_max))</f>
        <v/>
      </c>
      <c r="AC646" s="6" t="n"/>
      <c r="AD6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46" s="10">
        <f>IF(tblOrdenes[[#This Row],[orden]]="","",_xlfn.XLOOKUP(tblOrdenes[[#This Row],[id_operacion]],tblEjecucion[id_operacion],tblEjecucion[precio],0))</f>
        <v/>
      </c>
      <c r="AH646" s="10">
        <f>IF(tblOrdenes[[#This Row],[orden]]="","",MAX(0,_xlfn.XLOOKUP(tblOrdenes[[#This Row],[id_operacion]],tblEjecucion[id_operacion],tblEjecucion[costo_plan_total],0)-tblOrdenes[[#This Row],[costo_servicio]]))</f>
        <v/>
      </c>
      <c r="AI646" s="10">
        <f>IF(tblOrdenes[[#This Row],[orden]]="","",tblOrdenes[[#This Row],[costo_servicio]]+tblOrdenes[[#This Row],[costo_materiales]])</f>
        <v/>
      </c>
      <c r="AJ646" s="6" t="n"/>
      <c r="AK646" s="6" t="n"/>
      <c r="AL646" s="6" t="n"/>
      <c r="AM646" s="3">
        <f>IF(tblOrdenes[[#This Row],[link_checklist]]="","",HYPERLINK(p_ruta_base_checklists&amp;tblOrdenes[[#This Row],[link_checklist]],"abrir"))</f>
        <v/>
      </c>
      <c r="AN646" s="6" t="n"/>
      <c r="AO646" s="3">
        <f>IF(tblOrdenes[[#This Row],[orden]]="","",tblOrdenes[[#This Row],[orden]]&amp;IF(tblOrdenes[[#This Row],[operacion]]="","0010",tblOrdenes[[#This Row],[operacion]]))</f>
        <v/>
      </c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11" t="n"/>
      <c r="K647" s="3" t="n"/>
      <c r="L647" s="10" t="n"/>
      <c r="M647" s="6" t="n"/>
      <c r="N6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47" s="3">
        <f>IF(tblOrdenes[[#This Row],[fecha_inicio]]="","",YEAR(tblOrdenes[[#This Row],[fecha_inicio]]))</f>
        <v/>
      </c>
      <c r="R647" s="3">
        <f>IF(tblOrdenes[[#This Row],[fecha_inicio]]="","",MONTH(tblOrdenes[[#This Row],[fecha_inicio]]))</f>
        <v/>
      </c>
      <c r="S647" s="3">
        <f>IF(tblOrdenes[[#This Row],[fecha_inicio]]="","",INDEX(lista_dias,WEEKDAY(tblOrdenes[[#This Row],[fecha_inicio]],2)))</f>
        <v/>
      </c>
      <c r="T647" s="3">
        <f>IF(tblOrdenes[[#This Row],[tipo_ot]]="","",_xlfn.XLOOKUP(tblOrdenes[[#This Row],[tipo_ot]],tblTiposOT[codigo],tblTiposOT[clasificacion],"sin_clasificar"))</f>
        <v/>
      </c>
      <c r="U647" s="3">
        <f>IF(tblOrdenes[[#This Row],[centro_costo]]="","",_xlfn.XLOOKUP(tblOrdenes[[#This Row],[centro_costo]],tblCECO[codigo],tblCECO[linea],"(sin catálogo)"))</f>
        <v/>
      </c>
      <c r="V647" s="3">
        <f>IF(tblOrdenes[[#This Row],[centro_costo]]="","",_xlfn.XLOOKUP(tblOrdenes[[#This Row],[centro_costo]],tblCECO[codigo],tblCECO[area],"(sin catálogo)"))</f>
        <v/>
      </c>
      <c r="W647" s="3">
        <f>IF(tblOrdenes[[#This Row],[centro_costo]]="","",_xlfn.XLOOKUP(tblOrdenes[[#This Row],[centro_costo]],tblCECO[codigo],tblCECO[coordinador],"(sin catálogo)"))</f>
        <v/>
      </c>
      <c r="X647" s="3">
        <f>IF(tblOrdenes[[#This Row],[puesto_trabajo]]="","",_xlfn.XLOOKUP(tblOrdenes[[#This Row],[puesto_trabajo]],tblPuestos[codigo],tblPuestos[especialidad],"(sin catálogo)"))</f>
        <v/>
      </c>
      <c r="Y647" s="3">
        <f>IF(tblOrdenes[[#This Row],[cod_actividad]]="","",_xlfn.XLOOKUP(tblOrdenes[[#This Row],[cod_actividad]],tblActividades[codigo],tblActividades[descripcion],"(sin catálogo)"))</f>
        <v/>
      </c>
      <c r="Z647" s="12">
        <f>IF(tblOrdenes[[#This Row],[fecha_inicio]]="","",TODAY()-tblOrdenes[[#This Row],[fecha_inicio]])</f>
        <v/>
      </c>
      <c r="AA647" s="3">
        <f>IF(tblOrdenes[[#This Row],[backlog_dias]]="","",IF(tblOrdenes[[#This Row],[backlog_dias]]&lt;0,"FUTURO",IF(tblOrdenes[[#This Row],[backlog_dias]]&gt;p_dias_backlog_max,"BACKLOG","MES CORRIENTE")))</f>
        <v/>
      </c>
      <c r="AB647" s="3">
        <f>IF(tblOrdenes[[#This Row],[backlog_dias]]="",FALSE,AND(tblOrdenes[[#This Row],[backlog_dias]]&gt;p_dias_backlog_min,tblOrdenes[[#This Row],[backlog_dias]]&lt;=p_dias_backlog_max))</f>
        <v/>
      </c>
      <c r="AC647" s="6" t="n"/>
      <c r="AD6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47" s="10">
        <f>IF(tblOrdenes[[#This Row],[orden]]="","",_xlfn.XLOOKUP(tblOrdenes[[#This Row],[id_operacion]],tblEjecucion[id_operacion],tblEjecucion[precio],0))</f>
        <v/>
      </c>
      <c r="AH647" s="10">
        <f>IF(tblOrdenes[[#This Row],[orden]]="","",MAX(0,_xlfn.XLOOKUP(tblOrdenes[[#This Row],[id_operacion]],tblEjecucion[id_operacion],tblEjecucion[costo_plan_total],0)-tblOrdenes[[#This Row],[costo_servicio]]))</f>
        <v/>
      </c>
      <c r="AI647" s="10">
        <f>IF(tblOrdenes[[#This Row],[orden]]="","",tblOrdenes[[#This Row],[costo_servicio]]+tblOrdenes[[#This Row],[costo_materiales]])</f>
        <v/>
      </c>
      <c r="AJ647" s="6" t="n"/>
      <c r="AK647" s="6" t="n"/>
      <c r="AL647" s="6" t="n"/>
      <c r="AM647" s="3">
        <f>IF(tblOrdenes[[#This Row],[link_checklist]]="","",HYPERLINK(p_ruta_base_checklists&amp;tblOrdenes[[#This Row],[link_checklist]],"abrir"))</f>
        <v/>
      </c>
      <c r="AN647" s="6" t="n"/>
      <c r="AO647" s="3">
        <f>IF(tblOrdenes[[#This Row],[orden]]="","",tblOrdenes[[#This Row],[orden]]&amp;IF(tblOrdenes[[#This Row],[operacion]]="","0010",tblOrdenes[[#This Row],[operacion]]))</f>
        <v/>
      </c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11" t="n"/>
      <c r="K648" s="3" t="n"/>
      <c r="L648" s="10" t="n"/>
      <c r="M648" s="6" t="n"/>
      <c r="N6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48" s="3">
        <f>IF(tblOrdenes[[#This Row],[fecha_inicio]]="","",YEAR(tblOrdenes[[#This Row],[fecha_inicio]]))</f>
        <v/>
      </c>
      <c r="R648" s="3">
        <f>IF(tblOrdenes[[#This Row],[fecha_inicio]]="","",MONTH(tblOrdenes[[#This Row],[fecha_inicio]]))</f>
        <v/>
      </c>
      <c r="S648" s="3">
        <f>IF(tblOrdenes[[#This Row],[fecha_inicio]]="","",INDEX(lista_dias,WEEKDAY(tblOrdenes[[#This Row],[fecha_inicio]],2)))</f>
        <v/>
      </c>
      <c r="T648" s="3">
        <f>IF(tblOrdenes[[#This Row],[tipo_ot]]="","",_xlfn.XLOOKUP(tblOrdenes[[#This Row],[tipo_ot]],tblTiposOT[codigo],tblTiposOT[clasificacion],"sin_clasificar"))</f>
        <v/>
      </c>
      <c r="U648" s="3">
        <f>IF(tblOrdenes[[#This Row],[centro_costo]]="","",_xlfn.XLOOKUP(tblOrdenes[[#This Row],[centro_costo]],tblCECO[codigo],tblCECO[linea],"(sin catálogo)"))</f>
        <v/>
      </c>
      <c r="V648" s="3">
        <f>IF(tblOrdenes[[#This Row],[centro_costo]]="","",_xlfn.XLOOKUP(tblOrdenes[[#This Row],[centro_costo]],tblCECO[codigo],tblCECO[area],"(sin catálogo)"))</f>
        <v/>
      </c>
      <c r="W648" s="3">
        <f>IF(tblOrdenes[[#This Row],[centro_costo]]="","",_xlfn.XLOOKUP(tblOrdenes[[#This Row],[centro_costo]],tblCECO[codigo],tblCECO[coordinador],"(sin catálogo)"))</f>
        <v/>
      </c>
      <c r="X648" s="3">
        <f>IF(tblOrdenes[[#This Row],[puesto_trabajo]]="","",_xlfn.XLOOKUP(tblOrdenes[[#This Row],[puesto_trabajo]],tblPuestos[codigo],tblPuestos[especialidad],"(sin catálogo)"))</f>
        <v/>
      </c>
      <c r="Y648" s="3">
        <f>IF(tblOrdenes[[#This Row],[cod_actividad]]="","",_xlfn.XLOOKUP(tblOrdenes[[#This Row],[cod_actividad]],tblActividades[codigo],tblActividades[descripcion],"(sin catálogo)"))</f>
        <v/>
      </c>
      <c r="Z648" s="12">
        <f>IF(tblOrdenes[[#This Row],[fecha_inicio]]="","",TODAY()-tblOrdenes[[#This Row],[fecha_inicio]])</f>
        <v/>
      </c>
      <c r="AA648" s="3">
        <f>IF(tblOrdenes[[#This Row],[backlog_dias]]="","",IF(tblOrdenes[[#This Row],[backlog_dias]]&lt;0,"FUTURO",IF(tblOrdenes[[#This Row],[backlog_dias]]&gt;p_dias_backlog_max,"BACKLOG","MES CORRIENTE")))</f>
        <v/>
      </c>
      <c r="AB648" s="3">
        <f>IF(tblOrdenes[[#This Row],[backlog_dias]]="",FALSE,AND(tblOrdenes[[#This Row],[backlog_dias]]&gt;p_dias_backlog_min,tblOrdenes[[#This Row],[backlog_dias]]&lt;=p_dias_backlog_max))</f>
        <v/>
      </c>
      <c r="AC648" s="6" t="n"/>
      <c r="AD6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48" s="10">
        <f>IF(tblOrdenes[[#This Row],[orden]]="","",_xlfn.XLOOKUP(tblOrdenes[[#This Row],[id_operacion]],tblEjecucion[id_operacion],tblEjecucion[precio],0))</f>
        <v/>
      </c>
      <c r="AH648" s="10">
        <f>IF(tblOrdenes[[#This Row],[orden]]="","",MAX(0,_xlfn.XLOOKUP(tblOrdenes[[#This Row],[id_operacion]],tblEjecucion[id_operacion],tblEjecucion[costo_plan_total],0)-tblOrdenes[[#This Row],[costo_servicio]]))</f>
        <v/>
      </c>
      <c r="AI648" s="10">
        <f>IF(tblOrdenes[[#This Row],[orden]]="","",tblOrdenes[[#This Row],[costo_servicio]]+tblOrdenes[[#This Row],[costo_materiales]])</f>
        <v/>
      </c>
      <c r="AJ648" s="6" t="n"/>
      <c r="AK648" s="6" t="n"/>
      <c r="AL648" s="6" t="n"/>
      <c r="AM648" s="3">
        <f>IF(tblOrdenes[[#This Row],[link_checklist]]="","",HYPERLINK(p_ruta_base_checklists&amp;tblOrdenes[[#This Row],[link_checklist]],"abrir"))</f>
        <v/>
      </c>
      <c r="AN648" s="6" t="n"/>
      <c r="AO648" s="3">
        <f>IF(tblOrdenes[[#This Row],[orden]]="","",tblOrdenes[[#This Row],[orden]]&amp;IF(tblOrdenes[[#This Row],[operacion]]="","0010",tblOrdenes[[#This Row],[operacion]]))</f>
        <v/>
      </c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11" t="n"/>
      <c r="K649" s="3" t="n"/>
      <c r="L649" s="10" t="n"/>
      <c r="M649" s="6" t="n"/>
      <c r="N6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49" s="3">
        <f>IF(tblOrdenes[[#This Row],[fecha_inicio]]="","",YEAR(tblOrdenes[[#This Row],[fecha_inicio]]))</f>
        <v/>
      </c>
      <c r="R649" s="3">
        <f>IF(tblOrdenes[[#This Row],[fecha_inicio]]="","",MONTH(tblOrdenes[[#This Row],[fecha_inicio]]))</f>
        <v/>
      </c>
      <c r="S649" s="3">
        <f>IF(tblOrdenes[[#This Row],[fecha_inicio]]="","",INDEX(lista_dias,WEEKDAY(tblOrdenes[[#This Row],[fecha_inicio]],2)))</f>
        <v/>
      </c>
      <c r="T649" s="3">
        <f>IF(tblOrdenes[[#This Row],[tipo_ot]]="","",_xlfn.XLOOKUP(tblOrdenes[[#This Row],[tipo_ot]],tblTiposOT[codigo],tblTiposOT[clasificacion],"sin_clasificar"))</f>
        <v/>
      </c>
      <c r="U649" s="3">
        <f>IF(tblOrdenes[[#This Row],[centro_costo]]="","",_xlfn.XLOOKUP(tblOrdenes[[#This Row],[centro_costo]],tblCECO[codigo],tblCECO[linea],"(sin catálogo)"))</f>
        <v/>
      </c>
      <c r="V649" s="3">
        <f>IF(tblOrdenes[[#This Row],[centro_costo]]="","",_xlfn.XLOOKUP(tblOrdenes[[#This Row],[centro_costo]],tblCECO[codigo],tblCECO[area],"(sin catálogo)"))</f>
        <v/>
      </c>
      <c r="W649" s="3">
        <f>IF(tblOrdenes[[#This Row],[centro_costo]]="","",_xlfn.XLOOKUP(tblOrdenes[[#This Row],[centro_costo]],tblCECO[codigo],tblCECO[coordinador],"(sin catálogo)"))</f>
        <v/>
      </c>
      <c r="X649" s="3">
        <f>IF(tblOrdenes[[#This Row],[puesto_trabajo]]="","",_xlfn.XLOOKUP(tblOrdenes[[#This Row],[puesto_trabajo]],tblPuestos[codigo],tblPuestos[especialidad],"(sin catálogo)"))</f>
        <v/>
      </c>
      <c r="Y649" s="3">
        <f>IF(tblOrdenes[[#This Row],[cod_actividad]]="","",_xlfn.XLOOKUP(tblOrdenes[[#This Row],[cod_actividad]],tblActividades[codigo],tblActividades[descripcion],"(sin catálogo)"))</f>
        <v/>
      </c>
      <c r="Z649" s="12">
        <f>IF(tblOrdenes[[#This Row],[fecha_inicio]]="","",TODAY()-tblOrdenes[[#This Row],[fecha_inicio]])</f>
        <v/>
      </c>
      <c r="AA649" s="3">
        <f>IF(tblOrdenes[[#This Row],[backlog_dias]]="","",IF(tblOrdenes[[#This Row],[backlog_dias]]&lt;0,"FUTURO",IF(tblOrdenes[[#This Row],[backlog_dias]]&gt;p_dias_backlog_max,"BACKLOG","MES CORRIENTE")))</f>
        <v/>
      </c>
      <c r="AB649" s="3">
        <f>IF(tblOrdenes[[#This Row],[backlog_dias]]="",FALSE,AND(tblOrdenes[[#This Row],[backlog_dias]]&gt;p_dias_backlog_min,tblOrdenes[[#This Row],[backlog_dias]]&lt;=p_dias_backlog_max))</f>
        <v/>
      </c>
      <c r="AC649" s="6" t="n"/>
      <c r="AD6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49" s="10">
        <f>IF(tblOrdenes[[#This Row],[orden]]="","",_xlfn.XLOOKUP(tblOrdenes[[#This Row],[id_operacion]],tblEjecucion[id_operacion],tblEjecucion[precio],0))</f>
        <v/>
      </c>
      <c r="AH649" s="10">
        <f>IF(tblOrdenes[[#This Row],[orden]]="","",MAX(0,_xlfn.XLOOKUP(tblOrdenes[[#This Row],[id_operacion]],tblEjecucion[id_operacion],tblEjecucion[costo_plan_total],0)-tblOrdenes[[#This Row],[costo_servicio]]))</f>
        <v/>
      </c>
      <c r="AI649" s="10">
        <f>IF(tblOrdenes[[#This Row],[orden]]="","",tblOrdenes[[#This Row],[costo_servicio]]+tblOrdenes[[#This Row],[costo_materiales]])</f>
        <v/>
      </c>
      <c r="AJ649" s="6" t="n"/>
      <c r="AK649" s="6" t="n"/>
      <c r="AL649" s="6" t="n"/>
      <c r="AM649" s="3">
        <f>IF(tblOrdenes[[#This Row],[link_checklist]]="","",HYPERLINK(p_ruta_base_checklists&amp;tblOrdenes[[#This Row],[link_checklist]],"abrir"))</f>
        <v/>
      </c>
      <c r="AN649" s="6" t="n"/>
      <c r="AO649" s="3">
        <f>IF(tblOrdenes[[#This Row],[orden]]="","",tblOrdenes[[#This Row],[orden]]&amp;IF(tblOrdenes[[#This Row],[operacion]]="","0010",tblOrdenes[[#This Row],[operacion]]))</f>
        <v/>
      </c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11" t="n"/>
      <c r="K650" s="3" t="n"/>
      <c r="L650" s="10" t="n"/>
      <c r="M650" s="6" t="n"/>
      <c r="N6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50" s="3">
        <f>IF(tblOrdenes[[#This Row],[fecha_inicio]]="","",YEAR(tblOrdenes[[#This Row],[fecha_inicio]]))</f>
        <v/>
      </c>
      <c r="R650" s="3">
        <f>IF(tblOrdenes[[#This Row],[fecha_inicio]]="","",MONTH(tblOrdenes[[#This Row],[fecha_inicio]]))</f>
        <v/>
      </c>
      <c r="S650" s="3">
        <f>IF(tblOrdenes[[#This Row],[fecha_inicio]]="","",INDEX(lista_dias,WEEKDAY(tblOrdenes[[#This Row],[fecha_inicio]],2)))</f>
        <v/>
      </c>
      <c r="T650" s="3">
        <f>IF(tblOrdenes[[#This Row],[tipo_ot]]="","",_xlfn.XLOOKUP(tblOrdenes[[#This Row],[tipo_ot]],tblTiposOT[codigo],tblTiposOT[clasificacion],"sin_clasificar"))</f>
        <v/>
      </c>
      <c r="U650" s="3">
        <f>IF(tblOrdenes[[#This Row],[centro_costo]]="","",_xlfn.XLOOKUP(tblOrdenes[[#This Row],[centro_costo]],tblCECO[codigo],tblCECO[linea],"(sin catálogo)"))</f>
        <v/>
      </c>
      <c r="V650" s="3">
        <f>IF(tblOrdenes[[#This Row],[centro_costo]]="","",_xlfn.XLOOKUP(tblOrdenes[[#This Row],[centro_costo]],tblCECO[codigo],tblCECO[area],"(sin catálogo)"))</f>
        <v/>
      </c>
      <c r="W650" s="3">
        <f>IF(tblOrdenes[[#This Row],[centro_costo]]="","",_xlfn.XLOOKUP(tblOrdenes[[#This Row],[centro_costo]],tblCECO[codigo],tblCECO[coordinador],"(sin catálogo)"))</f>
        <v/>
      </c>
      <c r="X650" s="3">
        <f>IF(tblOrdenes[[#This Row],[puesto_trabajo]]="","",_xlfn.XLOOKUP(tblOrdenes[[#This Row],[puesto_trabajo]],tblPuestos[codigo],tblPuestos[especialidad],"(sin catálogo)"))</f>
        <v/>
      </c>
      <c r="Y650" s="3">
        <f>IF(tblOrdenes[[#This Row],[cod_actividad]]="","",_xlfn.XLOOKUP(tblOrdenes[[#This Row],[cod_actividad]],tblActividades[codigo],tblActividades[descripcion],"(sin catálogo)"))</f>
        <v/>
      </c>
      <c r="Z650" s="12">
        <f>IF(tblOrdenes[[#This Row],[fecha_inicio]]="","",TODAY()-tblOrdenes[[#This Row],[fecha_inicio]])</f>
        <v/>
      </c>
      <c r="AA650" s="3">
        <f>IF(tblOrdenes[[#This Row],[backlog_dias]]="","",IF(tblOrdenes[[#This Row],[backlog_dias]]&lt;0,"FUTURO",IF(tblOrdenes[[#This Row],[backlog_dias]]&gt;p_dias_backlog_max,"BACKLOG","MES CORRIENTE")))</f>
        <v/>
      </c>
      <c r="AB650" s="3">
        <f>IF(tblOrdenes[[#This Row],[backlog_dias]]="",FALSE,AND(tblOrdenes[[#This Row],[backlog_dias]]&gt;p_dias_backlog_min,tblOrdenes[[#This Row],[backlog_dias]]&lt;=p_dias_backlog_max))</f>
        <v/>
      </c>
      <c r="AC650" s="6" t="n"/>
      <c r="AD6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50" s="10">
        <f>IF(tblOrdenes[[#This Row],[orden]]="","",_xlfn.XLOOKUP(tblOrdenes[[#This Row],[id_operacion]],tblEjecucion[id_operacion],tblEjecucion[precio],0))</f>
        <v/>
      </c>
      <c r="AH650" s="10">
        <f>IF(tblOrdenes[[#This Row],[orden]]="","",MAX(0,_xlfn.XLOOKUP(tblOrdenes[[#This Row],[id_operacion]],tblEjecucion[id_operacion],tblEjecucion[costo_plan_total],0)-tblOrdenes[[#This Row],[costo_servicio]]))</f>
        <v/>
      </c>
      <c r="AI650" s="10">
        <f>IF(tblOrdenes[[#This Row],[orden]]="","",tblOrdenes[[#This Row],[costo_servicio]]+tblOrdenes[[#This Row],[costo_materiales]])</f>
        <v/>
      </c>
      <c r="AJ650" s="6" t="n"/>
      <c r="AK650" s="6" t="n"/>
      <c r="AL650" s="6" t="n"/>
      <c r="AM650" s="3">
        <f>IF(tblOrdenes[[#This Row],[link_checklist]]="","",HYPERLINK(p_ruta_base_checklists&amp;tblOrdenes[[#This Row],[link_checklist]],"abrir"))</f>
        <v/>
      </c>
      <c r="AN650" s="6" t="n"/>
      <c r="AO650" s="3">
        <f>IF(tblOrdenes[[#This Row],[orden]]="","",tblOrdenes[[#This Row],[orden]]&amp;IF(tblOrdenes[[#This Row],[operacion]]="","0010",tblOrdenes[[#This Row],[operacion]]))</f>
        <v/>
      </c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11" t="n"/>
      <c r="K651" s="3" t="n"/>
      <c r="L651" s="10" t="n"/>
      <c r="M651" s="6" t="n"/>
      <c r="N6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51" s="3">
        <f>IF(tblOrdenes[[#This Row],[fecha_inicio]]="","",YEAR(tblOrdenes[[#This Row],[fecha_inicio]]))</f>
        <v/>
      </c>
      <c r="R651" s="3">
        <f>IF(tblOrdenes[[#This Row],[fecha_inicio]]="","",MONTH(tblOrdenes[[#This Row],[fecha_inicio]]))</f>
        <v/>
      </c>
      <c r="S651" s="3">
        <f>IF(tblOrdenes[[#This Row],[fecha_inicio]]="","",INDEX(lista_dias,WEEKDAY(tblOrdenes[[#This Row],[fecha_inicio]],2)))</f>
        <v/>
      </c>
      <c r="T651" s="3">
        <f>IF(tblOrdenes[[#This Row],[tipo_ot]]="","",_xlfn.XLOOKUP(tblOrdenes[[#This Row],[tipo_ot]],tblTiposOT[codigo],tblTiposOT[clasificacion],"sin_clasificar"))</f>
        <v/>
      </c>
      <c r="U651" s="3">
        <f>IF(tblOrdenes[[#This Row],[centro_costo]]="","",_xlfn.XLOOKUP(tblOrdenes[[#This Row],[centro_costo]],tblCECO[codigo],tblCECO[linea],"(sin catálogo)"))</f>
        <v/>
      </c>
      <c r="V651" s="3">
        <f>IF(tblOrdenes[[#This Row],[centro_costo]]="","",_xlfn.XLOOKUP(tblOrdenes[[#This Row],[centro_costo]],tblCECO[codigo],tblCECO[area],"(sin catálogo)"))</f>
        <v/>
      </c>
      <c r="W651" s="3">
        <f>IF(tblOrdenes[[#This Row],[centro_costo]]="","",_xlfn.XLOOKUP(tblOrdenes[[#This Row],[centro_costo]],tblCECO[codigo],tblCECO[coordinador],"(sin catálogo)"))</f>
        <v/>
      </c>
      <c r="X651" s="3">
        <f>IF(tblOrdenes[[#This Row],[puesto_trabajo]]="","",_xlfn.XLOOKUP(tblOrdenes[[#This Row],[puesto_trabajo]],tblPuestos[codigo],tblPuestos[especialidad],"(sin catálogo)"))</f>
        <v/>
      </c>
      <c r="Y651" s="3">
        <f>IF(tblOrdenes[[#This Row],[cod_actividad]]="","",_xlfn.XLOOKUP(tblOrdenes[[#This Row],[cod_actividad]],tblActividades[codigo],tblActividades[descripcion],"(sin catálogo)"))</f>
        <v/>
      </c>
      <c r="Z651" s="12">
        <f>IF(tblOrdenes[[#This Row],[fecha_inicio]]="","",TODAY()-tblOrdenes[[#This Row],[fecha_inicio]])</f>
        <v/>
      </c>
      <c r="AA651" s="3">
        <f>IF(tblOrdenes[[#This Row],[backlog_dias]]="","",IF(tblOrdenes[[#This Row],[backlog_dias]]&lt;0,"FUTURO",IF(tblOrdenes[[#This Row],[backlog_dias]]&gt;p_dias_backlog_max,"BACKLOG","MES CORRIENTE")))</f>
        <v/>
      </c>
      <c r="AB651" s="3">
        <f>IF(tblOrdenes[[#This Row],[backlog_dias]]="",FALSE,AND(tblOrdenes[[#This Row],[backlog_dias]]&gt;p_dias_backlog_min,tblOrdenes[[#This Row],[backlog_dias]]&lt;=p_dias_backlog_max))</f>
        <v/>
      </c>
      <c r="AC651" s="6" t="n"/>
      <c r="AD6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51" s="10">
        <f>IF(tblOrdenes[[#This Row],[orden]]="","",_xlfn.XLOOKUP(tblOrdenes[[#This Row],[id_operacion]],tblEjecucion[id_operacion],tblEjecucion[precio],0))</f>
        <v/>
      </c>
      <c r="AH651" s="10">
        <f>IF(tblOrdenes[[#This Row],[orden]]="","",MAX(0,_xlfn.XLOOKUP(tblOrdenes[[#This Row],[id_operacion]],tblEjecucion[id_operacion],tblEjecucion[costo_plan_total],0)-tblOrdenes[[#This Row],[costo_servicio]]))</f>
        <v/>
      </c>
      <c r="AI651" s="10">
        <f>IF(tblOrdenes[[#This Row],[orden]]="","",tblOrdenes[[#This Row],[costo_servicio]]+tblOrdenes[[#This Row],[costo_materiales]])</f>
        <v/>
      </c>
      <c r="AJ651" s="6" t="n"/>
      <c r="AK651" s="6" t="n"/>
      <c r="AL651" s="6" t="n"/>
      <c r="AM651" s="3">
        <f>IF(tblOrdenes[[#This Row],[link_checklist]]="","",HYPERLINK(p_ruta_base_checklists&amp;tblOrdenes[[#This Row],[link_checklist]],"abrir"))</f>
        <v/>
      </c>
      <c r="AN651" s="6" t="n"/>
      <c r="AO651" s="3">
        <f>IF(tblOrdenes[[#This Row],[orden]]="","",tblOrdenes[[#This Row],[orden]]&amp;IF(tblOrdenes[[#This Row],[operacion]]="","0010",tblOrdenes[[#This Row],[operacion]]))</f>
        <v/>
      </c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11" t="n"/>
      <c r="K652" s="3" t="n"/>
      <c r="L652" s="10" t="n"/>
      <c r="M652" s="6" t="n"/>
      <c r="N6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52" s="3">
        <f>IF(tblOrdenes[[#This Row],[fecha_inicio]]="","",YEAR(tblOrdenes[[#This Row],[fecha_inicio]]))</f>
        <v/>
      </c>
      <c r="R652" s="3">
        <f>IF(tblOrdenes[[#This Row],[fecha_inicio]]="","",MONTH(tblOrdenes[[#This Row],[fecha_inicio]]))</f>
        <v/>
      </c>
      <c r="S652" s="3">
        <f>IF(tblOrdenes[[#This Row],[fecha_inicio]]="","",INDEX(lista_dias,WEEKDAY(tblOrdenes[[#This Row],[fecha_inicio]],2)))</f>
        <v/>
      </c>
      <c r="T652" s="3">
        <f>IF(tblOrdenes[[#This Row],[tipo_ot]]="","",_xlfn.XLOOKUP(tblOrdenes[[#This Row],[tipo_ot]],tblTiposOT[codigo],tblTiposOT[clasificacion],"sin_clasificar"))</f>
        <v/>
      </c>
      <c r="U652" s="3">
        <f>IF(tblOrdenes[[#This Row],[centro_costo]]="","",_xlfn.XLOOKUP(tblOrdenes[[#This Row],[centro_costo]],tblCECO[codigo],tblCECO[linea],"(sin catálogo)"))</f>
        <v/>
      </c>
      <c r="V652" s="3">
        <f>IF(tblOrdenes[[#This Row],[centro_costo]]="","",_xlfn.XLOOKUP(tblOrdenes[[#This Row],[centro_costo]],tblCECO[codigo],tblCECO[area],"(sin catálogo)"))</f>
        <v/>
      </c>
      <c r="W652" s="3">
        <f>IF(tblOrdenes[[#This Row],[centro_costo]]="","",_xlfn.XLOOKUP(tblOrdenes[[#This Row],[centro_costo]],tblCECO[codigo],tblCECO[coordinador],"(sin catálogo)"))</f>
        <v/>
      </c>
      <c r="X652" s="3">
        <f>IF(tblOrdenes[[#This Row],[puesto_trabajo]]="","",_xlfn.XLOOKUP(tblOrdenes[[#This Row],[puesto_trabajo]],tblPuestos[codigo],tblPuestos[especialidad],"(sin catálogo)"))</f>
        <v/>
      </c>
      <c r="Y652" s="3">
        <f>IF(tblOrdenes[[#This Row],[cod_actividad]]="","",_xlfn.XLOOKUP(tblOrdenes[[#This Row],[cod_actividad]],tblActividades[codigo],tblActividades[descripcion],"(sin catálogo)"))</f>
        <v/>
      </c>
      <c r="Z652" s="12">
        <f>IF(tblOrdenes[[#This Row],[fecha_inicio]]="","",TODAY()-tblOrdenes[[#This Row],[fecha_inicio]])</f>
        <v/>
      </c>
      <c r="AA652" s="3">
        <f>IF(tblOrdenes[[#This Row],[backlog_dias]]="","",IF(tblOrdenes[[#This Row],[backlog_dias]]&lt;0,"FUTURO",IF(tblOrdenes[[#This Row],[backlog_dias]]&gt;p_dias_backlog_max,"BACKLOG","MES CORRIENTE")))</f>
        <v/>
      </c>
      <c r="AB652" s="3">
        <f>IF(tblOrdenes[[#This Row],[backlog_dias]]="",FALSE,AND(tblOrdenes[[#This Row],[backlog_dias]]&gt;p_dias_backlog_min,tblOrdenes[[#This Row],[backlog_dias]]&lt;=p_dias_backlog_max))</f>
        <v/>
      </c>
      <c r="AC652" s="6" t="n"/>
      <c r="AD6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52" s="10">
        <f>IF(tblOrdenes[[#This Row],[orden]]="","",_xlfn.XLOOKUP(tblOrdenes[[#This Row],[id_operacion]],tblEjecucion[id_operacion],tblEjecucion[precio],0))</f>
        <v/>
      </c>
      <c r="AH652" s="10">
        <f>IF(tblOrdenes[[#This Row],[orden]]="","",MAX(0,_xlfn.XLOOKUP(tblOrdenes[[#This Row],[id_operacion]],tblEjecucion[id_operacion],tblEjecucion[costo_plan_total],0)-tblOrdenes[[#This Row],[costo_servicio]]))</f>
        <v/>
      </c>
      <c r="AI652" s="10">
        <f>IF(tblOrdenes[[#This Row],[orden]]="","",tblOrdenes[[#This Row],[costo_servicio]]+tblOrdenes[[#This Row],[costo_materiales]])</f>
        <v/>
      </c>
      <c r="AJ652" s="6" t="n"/>
      <c r="AK652" s="6" t="n"/>
      <c r="AL652" s="6" t="n"/>
      <c r="AM652" s="3">
        <f>IF(tblOrdenes[[#This Row],[link_checklist]]="","",HYPERLINK(p_ruta_base_checklists&amp;tblOrdenes[[#This Row],[link_checklist]],"abrir"))</f>
        <v/>
      </c>
      <c r="AN652" s="6" t="n"/>
      <c r="AO652" s="3">
        <f>IF(tblOrdenes[[#This Row],[orden]]="","",tblOrdenes[[#This Row],[orden]]&amp;IF(tblOrdenes[[#This Row],[operacion]]="","0010",tblOrdenes[[#This Row],[operacion]]))</f>
        <v/>
      </c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11" t="n"/>
      <c r="K653" s="3" t="n"/>
      <c r="L653" s="10" t="n"/>
      <c r="M653" s="6" t="n"/>
      <c r="N6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53" s="3">
        <f>IF(tblOrdenes[[#This Row],[fecha_inicio]]="","",YEAR(tblOrdenes[[#This Row],[fecha_inicio]]))</f>
        <v/>
      </c>
      <c r="R653" s="3">
        <f>IF(tblOrdenes[[#This Row],[fecha_inicio]]="","",MONTH(tblOrdenes[[#This Row],[fecha_inicio]]))</f>
        <v/>
      </c>
      <c r="S653" s="3">
        <f>IF(tblOrdenes[[#This Row],[fecha_inicio]]="","",INDEX(lista_dias,WEEKDAY(tblOrdenes[[#This Row],[fecha_inicio]],2)))</f>
        <v/>
      </c>
      <c r="T653" s="3">
        <f>IF(tblOrdenes[[#This Row],[tipo_ot]]="","",_xlfn.XLOOKUP(tblOrdenes[[#This Row],[tipo_ot]],tblTiposOT[codigo],tblTiposOT[clasificacion],"sin_clasificar"))</f>
        <v/>
      </c>
      <c r="U653" s="3">
        <f>IF(tblOrdenes[[#This Row],[centro_costo]]="","",_xlfn.XLOOKUP(tblOrdenes[[#This Row],[centro_costo]],tblCECO[codigo],tblCECO[linea],"(sin catálogo)"))</f>
        <v/>
      </c>
      <c r="V653" s="3">
        <f>IF(tblOrdenes[[#This Row],[centro_costo]]="","",_xlfn.XLOOKUP(tblOrdenes[[#This Row],[centro_costo]],tblCECO[codigo],tblCECO[area],"(sin catálogo)"))</f>
        <v/>
      </c>
      <c r="W653" s="3">
        <f>IF(tblOrdenes[[#This Row],[centro_costo]]="","",_xlfn.XLOOKUP(tblOrdenes[[#This Row],[centro_costo]],tblCECO[codigo],tblCECO[coordinador],"(sin catálogo)"))</f>
        <v/>
      </c>
      <c r="X653" s="3">
        <f>IF(tblOrdenes[[#This Row],[puesto_trabajo]]="","",_xlfn.XLOOKUP(tblOrdenes[[#This Row],[puesto_trabajo]],tblPuestos[codigo],tblPuestos[especialidad],"(sin catálogo)"))</f>
        <v/>
      </c>
      <c r="Y653" s="3">
        <f>IF(tblOrdenes[[#This Row],[cod_actividad]]="","",_xlfn.XLOOKUP(tblOrdenes[[#This Row],[cod_actividad]],tblActividades[codigo],tblActividades[descripcion],"(sin catálogo)"))</f>
        <v/>
      </c>
      <c r="Z653" s="12">
        <f>IF(tblOrdenes[[#This Row],[fecha_inicio]]="","",TODAY()-tblOrdenes[[#This Row],[fecha_inicio]])</f>
        <v/>
      </c>
      <c r="AA653" s="3">
        <f>IF(tblOrdenes[[#This Row],[backlog_dias]]="","",IF(tblOrdenes[[#This Row],[backlog_dias]]&lt;0,"FUTURO",IF(tblOrdenes[[#This Row],[backlog_dias]]&gt;p_dias_backlog_max,"BACKLOG","MES CORRIENTE")))</f>
        <v/>
      </c>
      <c r="AB653" s="3">
        <f>IF(tblOrdenes[[#This Row],[backlog_dias]]="",FALSE,AND(tblOrdenes[[#This Row],[backlog_dias]]&gt;p_dias_backlog_min,tblOrdenes[[#This Row],[backlog_dias]]&lt;=p_dias_backlog_max))</f>
        <v/>
      </c>
      <c r="AC653" s="6" t="n"/>
      <c r="AD6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53" s="10">
        <f>IF(tblOrdenes[[#This Row],[orden]]="","",_xlfn.XLOOKUP(tblOrdenes[[#This Row],[id_operacion]],tblEjecucion[id_operacion],tblEjecucion[precio],0))</f>
        <v/>
      </c>
      <c r="AH653" s="10">
        <f>IF(tblOrdenes[[#This Row],[orden]]="","",MAX(0,_xlfn.XLOOKUP(tblOrdenes[[#This Row],[id_operacion]],tblEjecucion[id_operacion],tblEjecucion[costo_plan_total],0)-tblOrdenes[[#This Row],[costo_servicio]]))</f>
        <v/>
      </c>
      <c r="AI653" s="10">
        <f>IF(tblOrdenes[[#This Row],[orden]]="","",tblOrdenes[[#This Row],[costo_servicio]]+tblOrdenes[[#This Row],[costo_materiales]])</f>
        <v/>
      </c>
      <c r="AJ653" s="6" t="n"/>
      <c r="AK653" s="6" t="n"/>
      <c r="AL653" s="6" t="n"/>
      <c r="AM653" s="3">
        <f>IF(tblOrdenes[[#This Row],[link_checklist]]="","",HYPERLINK(p_ruta_base_checklists&amp;tblOrdenes[[#This Row],[link_checklist]],"abrir"))</f>
        <v/>
      </c>
      <c r="AN653" s="6" t="n"/>
      <c r="AO653" s="3">
        <f>IF(tblOrdenes[[#This Row],[orden]]="","",tblOrdenes[[#This Row],[orden]]&amp;IF(tblOrdenes[[#This Row],[operacion]]="","0010",tblOrdenes[[#This Row],[operacion]]))</f>
        <v/>
      </c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11" t="n"/>
      <c r="K654" s="3" t="n"/>
      <c r="L654" s="10" t="n"/>
      <c r="M654" s="6" t="n"/>
      <c r="N6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54" s="3">
        <f>IF(tblOrdenes[[#This Row],[fecha_inicio]]="","",YEAR(tblOrdenes[[#This Row],[fecha_inicio]]))</f>
        <v/>
      </c>
      <c r="R654" s="3">
        <f>IF(tblOrdenes[[#This Row],[fecha_inicio]]="","",MONTH(tblOrdenes[[#This Row],[fecha_inicio]]))</f>
        <v/>
      </c>
      <c r="S654" s="3">
        <f>IF(tblOrdenes[[#This Row],[fecha_inicio]]="","",INDEX(lista_dias,WEEKDAY(tblOrdenes[[#This Row],[fecha_inicio]],2)))</f>
        <v/>
      </c>
      <c r="T654" s="3">
        <f>IF(tblOrdenes[[#This Row],[tipo_ot]]="","",_xlfn.XLOOKUP(tblOrdenes[[#This Row],[tipo_ot]],tblTiposOT[codigo],tblTiposOT[clasificacion],"sin_clasificar"))</f>
        <v/>
      </c>
      <c r="U654" s="3">
        <f>IF(tblOrdenes[[#This Row],[centro_costo]]="","",_xlfn.XLOOKUP(tblOrdenes[[#This Row],[centro_costo]],tblCECO[codigo],tblCECO[linea],"(sin catálogo)"))</f>
        <v/>
      </c>
      <c r="V654" s="3">
        <f>IF(tblOrdenes[[#This Row],[centro_costo]]="","",_xlfn.XLOOKUP(tblOrdenes[[#This Row],[centro_costo]],tblCECO[codigo],tblCECO[area],"(sin catálogo)"))</f>
        <v/>
      </c>
      <c r="W654" s="3">
        <f>IF(tblOrdenes[[#This Row],[centro_costo]]="","",_xlfn.XLOOKUP(tblOrdenes[[#This Row],[centro_costo]],tblCECO[codigo],tblCECO[coordinador],"(sin catálogo)"))</f>
        <v/>
      </c>
      <c r="X654" s="3">
        <f>IF(tblOrdenes[[#This Row],[puesto_trabajo]]="","",_xlfn.XLOOKUP(tblOrdenes[[#This Row],[puesto_trabajo]],tblPuestos[codigo],tblPuestos[especialidad],"(sin catálogo)"))</f>
        <v/>
      </c>
      <c r="Y654" s="3">
        <f>IF(tblOrdenes[[#This Row],[cod_actividad]]="","",_xlfn.XLOOKUP(tblOrdenes[[#This Row],[cod_actividad]],tblActividades[codigo],tblActividades[descripcion],"(sin catálogo)"))</f>
        <v/>
      </c>
      <c r="Z654" s="12">
        <f>IF(tblOrdenes[[#This Row],[fecha_inicio]]="","",TODAY()-tblOrdenes[[#This Row],[fecha_inicio]])</f>
        <v/>
      </c>
      <c r="AA654" s="3">
        <f>IF(tblOrdenes[[#This Row],[backlog_dias]]="","",IF(tblOrdenes[[#This Row],[backlog_dias]]&lt;0,"FUTURO",IF(tblOrdenes[[#This Row],[backlog_dias]]&gt;p_dias_backlog_max,"BACKLOG","MES CORRIENTE")))</f>
        <v/>
      </c>
      <c r="AB654" s="3">
        <f>IF(tblOrdenes[[#This Row],[backlog_dias]]="",FALSE,AND(tblOrdenes[[#This Row],[backlog_dias]]&gt;p_dias_backlog_min,tblOrdenes[[#This Row],[backlog_dias]]&lt;=p_dias_backlog_max))</f>
        <v/>
      </c>
      <c r="AC654" s="6" t="n"/>
      <c r="AD6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54" s="10">
        <f>IF(tblOrdenes[[#This Row],[orden]]="","",_xlfn.XLOOKUP(tblOrdenes[[#This Row],[id_operacion]],tblEjecucion[id_operacion],tblEjecucion[precio],0))</f>
        <v/>
      </c>
      <c r="AH654" s="10">
        <f>IF(tblOrdenes[[#This Row],[orden]]="","",MAX(0,_xlfn.XLOOKUP(tblOrdenes[[#This Row],[id_operacion]],tblEjecucion[id_operacion],tblEjecucion[costo_plan_total],0)-tblOrdenes[[#This Row],[costo_servicio]]))</f>
        <v/>
      </c>
      <c r="AI654" s="10">
        <f>IF(tblOrdenes[[#This Row],[orden]]="","",tblOrdenes[[#This Row],[costo_servicio]]+tblOrdenes[[#This Row],[costo_materiales]])</f>
        <v/>
      </c>
      <c r="AJ654" s="6" t="n"/>
      <c r="AK654" s="6" t="n"/>
      <c r="AL654" s="6" t="n"/>
      <c r="AM654" s="3">
        <f>IF(tblOrdenes[[#This Row],[link_checklist]]="","",HYPERLINK(p_ruta_base_checklists&amp;tblOrdenes[[#This Row],[link_checklist]],"abrir"))</f>
        <v/>
      </c>
      <c r="AN654" s="6" t="n"/>
      <c r="AO654" s="3">
        <f>IF(tblOrdenes[[#This Row],[orden]]="","",tblOrdenes[[#This Row],[orden]]&amp;IF(tblOrdenes[[#This Row],[operacion]]="","0010",tblOrdenes[[#This Row],[operacion]]))</f>
        <v/>
      </c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11" t="n"/>
      <c r="K655" s="3" t="n"/>
      <c r="L655" s="10" t="n"/>
      <c r="M655" s="6" t="n"/>
      <c r="N6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55" s="3">
        <f>IF(tblOrdenes[[#This Row],[fecha_inicio]]="","",YEAR(tblOrdenes[[#This Row],[fecha_inicio]]))</f>
        <v/>
      </c>
      <c r="R655" s="3">
        <f>IF(tblOrdenes[[#This Row],[fecha_inicio]]="","",MONTH(tblOrdenes[[#This Row],[fecha_inicio]]))</f>
        <v/>
      </c>
      <c r="S655" s="3">
        <f>IF(tblOrdenes[[#This Row],[fecha_inicio]]="","",INDEX(lista_dias,WEEKDAY(tblOrdenes[[#This Row],[fecha_inicio]],2)))</f>
        <v/>
      </c>
      <c r="T655" s="3">
        <f>IF(tblOrdenes[[#This Row],[tipo_ot]]="","",_xlfn.XLOOKUP(tblOrdenes[[#This Row],[tipo_ot]],tblTiposOT[codigo],tblTiposOT[clasificacion],"sin_clasificar"))</f>
        <v/>
      </c>
      <c r="U655" s="3">
        <f>IF(tblOrdenes[[#This Row],[centro_costo]]="","",_xlfn.XLOOKUP(tblOrdenes[[#This Row],[centro_costo]],tblCECO[codigo],tblCECO[linea],"(sin catálogo)"))</f>
        <v/>
      </c>
      <c r="V655" s="3">
        <f>IF(tblOrdenes[[#This Row],[centro_costo]]="","",_xlfn.XLOOKUP(tblOrdenes[[#This Row],[centro_costo]],tblCECO[codigo],tblCECO[area],"(sin catálogo)"))</f>
        <v/>
      </c>
      <c r="W655" s="3">
        <f>IF(tblOrdenes[[#This Row],[centro_costo]]="","",_xlfn.XLOOKUP(tblOrdenes[[#This Row],[centro_costo]],tblCECO[codigo],tblCECO[coordinador],"(sin catálogo)"))</f>
        <v/>
      </c>
      <c r="X655" s="3">
        <f>IF(tblOrdenes[[#This Row],[puesto_trabajo]]="","",_xlfn.XLOOKUP(tblOrdenes[[#This Row],[puesto_trabajo]],tblPuestos[codigo],tblPuestos[especialidad],"(sin catálogo)"))</f>
        <v/>
      </c>
      <c r="Y655" s="3">
        <f>IF(tblOrdenes[[#This Row],[cod_actividad]]="","",_xlfn.XLOOKUP(tblOrdenes[[#This Row],[cod_actividad]],tblActividades[codigo],tblActividades[descripcion],"(sin catálogo)"))</f>
        <v/>
      </c>
      <c r="Z655" s="12">
        <f>IF(tblOrdenes[[#This Row],[fecha_inicio]]="","",TODAY()-tblOrdenes[[#This Row],[fecha_inicio]])</f>
        <v/>
      </c>
      <c r="AA655" s="3">
        <f>IF(tblOrdenes[[#This Row],[backlog_dias]]="","",IF(tblOrdenes[[#This Row],[backlog_dias]]&lt;0,"FUTURO",IF(tblOrdenes[[#This Row],[backlog_dias]]&gt;p_dias_backlog_max,"BACKLOG","MES CORRIENTE")))</f>
        <v/>
      </c>
      <c r="AB655" s="3">
        <f>IF(tblOrdenes[[#This Row],[backlog_dias]]="",FALSE,AND(tblOrdenes[[#This Row],[backlog_dias]]&gt;p_dias_backlog_min,tblOrdenes[[#This Row],[backlog_dias]]&lt;=p_dias_backlog_max))</f>
        <v/>
      </c>
      <c r="AC655" s="6" t="n"/>
      <c r="AD6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55" s="10">
        <f>IF(tblOrdenes[[#This Row],[orden]]="","",_xlfn.XLOOKUP(tblOrdenes[[#This Row],[id_operacion]],tblEjecucion[id_operacion],tblEjecucion[precio],0))</f>
        <v/>
      </c>
      <c r="AH655" s="10">
        <f>IF(tblOrdenes[[#This Row],[orden]]="","",MAX(0,_xlfn.XLOOKUP(tblOrdenes[[#This Row],[id_operacion]],tblEjecucion[id_operacion],tblEjecucion[costo_plan_total],0)-tblOrdenes[[#This Row],[costo_servicio]]))</f>
        <v/>
      </c>
      <c r="AI655" s="10">
        <f>IF(tblOrdenes[[#This Row],[orden]]="","",tblOrdenes[[#This Row],[costo_servicio]]+tblOrdenes[[#This Row],[costo_materiales]])</f>
        <v/>
      </c>
      <c r="AJ655" s="6" t="n"/>
      <c r="AK655" s="6" t="n"/>
      <c r="AL655" s="6" t="n"/>
      <c r="AM655" s="3">
        <f>IF(tblOrdenes[[#This Row],[link_checklist]]="","",HYPERLINK(p_ruta_base_checklists&amp;tblOrdenes[[#This Row],[link_checklist]],"abrir"))</f>
        <v/>
      </c>
      <c r="AN655" s="6" t="n"/>
      <c r="AO655" s="3">
        <f>IF(tblOrdenes[[#This Row],[orden]]="","",tblOrdenes[[#This Row],[orden]]&amp;IF(tblOrdenes[[#This Row],[operacion]]="","0010",tblOrdenes[[#This Row],[operacion]]))</f>
        <v/>
      </c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11" t="n"/>
      <c r="K656" s="3" t="n"/>
      <c r="L656" s="10" t="n"/>
      <c r="M656" s="6" t="n"/>
      <c r="N6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56" s="3">
        <f>IF(tblOrdenes[[#This Row],[fecha_inicio]]="","",YEAR(tblOrdenes[[#This Row],[fecha_inicio]]))</f>
        <v/>
      </c>
      <c r="R656" s="3">
        <f>IF(tblOrdenes[[#This Row],[fecha_inicio]]="","",MONTH(tblOrdenes[[#This Row],[fecha_inicio]]))</f>
        <v/>
      </c>
      <c r="S656" s="3">
        <f>IF(tblOrdenes[[#This Row],[fecha_inicio]]="","",INDEX(lista_dias,WEEKDAY(tblOrdenes[[#This Row],[fecha_inicio]],2)))</f>
        <v/>
      </c>
      <c r="T656" s="3">
        <f>IF(tblOrdenes[[#This Row],[tipo_ot]]="","",_xlfn.XLOOKUP(tblOrdenes[[#This Row],[tipo_ot]],tblTiposOT[codigo],tblTiposOT[clasificacion],"sin_clasificar"))</f>
        <v/>
      </c>
      <c r="U656" s="3">
        <f>IF(tblOrdenes[[#This Row],[centro_costo]]="","",_xlfn.XLOOKUP(tblOrdenes[[#This Row],[centro_costo]],tblCECO[codigo],tblCECO[linea],"(sin catálogo)"))</f>
        <v/>
      </c>
      <c r="V656" s="3">
        <f>IF(tblOrdenes[[#This Row],[centro_costo]]="","",_xlfn.XLOOKUP(tblOrdenes[[#This Row],[centro_costo]],tblCECO[codigo],tblCECO[area],"(sin catálogo)"))</f>
        <v/>
      </c>
      <c r="W656" s="3">
        <f>IF(tblOrdenes[[#This Row],[centro_costo]]="","",_xlfn.XLOOKUP(tblOrdenes[[#This Row],[centro_costo]],tblCECO[codigo],tblCECO[coordinador],"(sin catálogo)"))</f>
        <v/>
      </c>
      <c r="X656" s="3">
        <f>IF(tblOrdenes[[#This Row],[puesto_trabajo]]="","",_xlfn.XLOOKUP(tblOrdenes[[#This Row],[puesto_trabajo]],tblPuestos[codigo],tblPuestos[especialidad],"(sin catálogo)"))</f>
        <v/>
      </c>
      <c r="Y656" s="3">
        <f>IF(tblOrdenes[[#This Row],[cod_actividad]]="","",_xlfn.XLOOKUP(tblOrdenes[[#This Row],[cod_actividad]],tblActividades[codigo],tblActividades[descripcion],"(sin catálogo)"))</f>
        <v/>
      </c>
      <c r="Z656" s="12">
        <f>IF(tblOrdenes[[#This Row],[fecha_inicio]]="","",TODAY()-tblOrdenes[[#This Row],[fecha_inicio]])</f>
        <v/>
      </c>
      <c r="AA656" s="3">
        <f>IF(tblOrdenes[[#This Row],[backlog_dias]]="","",IF(tblOrdenes[[#This Row],[backlog_dias]]&lt;0,"FUTURO",IF(tblOrdenes[[#This Row],[backlog_dias]]&gt;p_dias_backlog_max,"BACKLOG","MES CORRIENTE")))</f>
        <v/>
      </c>
      <c r="AB656" s="3">
        <f>IF(tblOrdenes[[#This Row],[backlog_dias]]="",FALSE,AND(tblOrdenes[[#This Row],[backlog_dias]]&gt;p_dias_backlog_min,tblOrdenes[[#This Row],[backlog_dias]]&lt;=p_dias_backlog_max))</f>
        <v/>
      </c>
      <c r="AC656" s="6" t="n"/>
      <c r="AD6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56" s="10">
        <f>IF(tblOrdenes[[#This Row],[orden]]="","",_xlfn.XLOOKUP(tblOrdenes[[#This Row],[id_operacion]],tblEjecucion[id_operacion],tblEjecucion[precio],0))</f>
        <v/>
      </c>
      <c r="AH656" s="10">
        <f>IF(tblOrdenes[[#This Row],[orden]]="","",MAX(0,_xlfn.XLOOKUP(tblOrdenes[[#This Row],[id_operacion]],tblEjecucion[id_operacion],tblEjecucion[costo_plan_total],0)-tblOrdenes[[#This Row],[costo_servicio]]))</f>
        <v/>
      </c>
      <c r="AI656" s="10">
        <f>IF(tblOrdenes[[#This Row],[orden]]="","",tblOrdenes[[#This Row],[costo_servicio]]+tblOrdenes[[#This Row],[costo_materiales]])</f>
        <v/>
      </c>
      <c r="AJ656" s="6" t="n"/>
      <c r="AK656" s="6" t="n"/>
      <c r="AL656" s="6" t="n"/>
      <c r="AM656" s="3">
        <f>IF(tblOrdenes[[#This Row],[link_checklist]]="","",HYPERLINK(p_ruta_base_checklists&amp;tblOrdenes[[#This Row],[link_checklist]],"abrir"))</f>
        <v/>
      </c>
      <c r="AN656" s="6" t="n"/>
      <c r="AO656" s="3">
        <f>IF(tblOrdenes[[#This Row],[orden]]="","",tblOrdenes[[#This Row],[orden]]&amp;IF(tblOrdenes[[#This Row],[operacion]]="","0010",tblOrdenes[[#This Row],[operacion]]))</f>
        <v/>
      </c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11" t="n"/>
      <c r="K657" s="3" t="n"/>
      <c r="L657" s="10" t="n"/>
      <c r="M657" s="6" t="n"/>
      <c r="N6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57" s="3">
        <f>IF(tblOrdenes[[#This Row],[fecha_inicio]]="","",YEAR(tblOrdenes[[#This Row],[fecha_inicio]]))</f>
        <v/>
      </c>
      <c r="R657" s="3">
        <f>IF(tblOrdenes[[#This Row],[fecha_inicio]]="","",MONTH(tblOrdenes[[#This Row],[fecha_inicio]]))</f>
        <v/>
      </c>
      <c r="S657" s="3">
        <f>IF(tblOrdenes[[#This Row],[fecha_inicio]]="","",INDEX(lista_dias,WEEKDAY(tblOrdenes[[#This Row],[fecha_inicio]],2)))</f>
        <v/>
      </c>
      <c r="T657" s="3">
        <f>IF(tblOrdenes[[#This Row],[tipo_ot]]="","",_xlfn.XLOOKUP(tblOrdenes[[#This Row],[tipo_ot]],tblTiposOT[codigo],tblTiposOT[clasificacion],"sin_clasificar"))</f>
        <v/>
      </c>
      <c r="U657" s="3">
        <f>IF(tblOrdenes[[#This Row],[centro_costo]]="","",_xlfn.XLOOKUP(tblOrdenes[[#This Row],[centro_costo]],tblCECO[codigo],tblCECO[linea],"(sin catálogo)"))</f>
        <v/>
      </c>
      <c r="V657" s="3">
        <f>IF(tblOrdenes[[#This Row],[centro_costo]]="","",_xlfn.XLOOKUP(tblOrdenes[[#This Row],[centro_costo]],tblCECO[codigo],tblCECO[area],"(sin catálogo)"))</f>
        <v/>
      </c>
      <c r="W657" s="3">
        <f>IF(tblOrdenes[[#This Row],[centro_costo]]="","",_xlfn.XLOOKUP(tblOrdenes[[#This Row],[centro_costo]],tblCECO[codigo],tblCECO[coordinador],"(sin catálogo)"))</f>
        <v/>
      </c>
      <c r="X657" s="3">
        <f>IF(tblOrdenes[[#This Row],[puesto_trabajo]]="","",_xlfn.XLOOKUP(tblOrdenes[[#This Row],[puesto_trabajo]],tblPuestos[codigo],tblPuestos[especialidad],"(sin catálogo)"))</f>
        <v/>
      </c>
      <c r="Y657" s="3">
        <f>IF(tblOrdenes[[#This Row],[cod_actividad]]="","",_xlfn.XLOOKUP(tblOrdenes[[#This Row],[cod_actividad]],tblActividades[codigo],tblActividades[descripcion],"(sin catálogo)"))</f>
        <v/>
      </c>
      <c r="Z657" s="12">
        <f>IF(tblOrdenes[[#This Row],[fecha_inicio]]="","",TODAY()-tblOrdenes[[#This Row],[fecha_inicio]])</f>
        <v/>
      </c>
      <c r="AA657" s="3">
        <f>IF(tblOrdenes[[#This Row],[backlog_dias]]="","",IF(tblOrdenes[[#This Row],[backlog_dias]]&lt;0,"FUTURO",IF(tblOrdenes[[#This Row],[backlog_dias]]&gt;p_dias_backlog_max,"BACKLOG","MES CORRIENTE")))</f>
        <v/>
      </c>
      <c r="AB657" s="3">
        <f>IF(tblOrdenes[[#This Row],[backlog_dias]]="",FALSE,AND(tblOrdenes[[#This Row],[backlog_dias]]&gt;p_dias_backlog_min,tblOrdenes[[#This Row],[backlog_dias]]&lt;=p_dias_backlog_max))</f>
        <v/>
      </c>
      <c r="AC657" s="6" t="n"/>
      <c r="AD6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57" s="10">
        <f>IF(tblOrdenes[[#This Row],[orden]]="","",_xlfn.XLOOKUP(tblOrdenes[[#This Row],[id_operacion]],tblEjecucion[id_operacion],tblEjecucion[precio],0))</f>
        <v/>
      </c>
      <c r="AH657" s="10">
        <f>IF(tblOrdenes[[#This Row],[orden]]="","",MAX(0,_xlfn.XLOOKUP(tblOrdenes[[#This Row],[id_operacion]],tblEjecucion[id_operacion],tblEjecucion[costo_plan_total],0)-tblOrdenes[[#This Row],[costo_servicio]]))</f>
        <v/>
      </c>
      <c r="AI657" s="10">
        <f>IF(tblOrdenes[[#This Row],[orden]]="","",tblOrdenes[[#This Row],[costo_servicio]]+tblOrdenes[[#This Row],[costo_materiales]])</f>
        <v/>
      </c>
      <c r="AJ657" s="6" t="n"/>
      <c r="AK657" s="6" t="n"/>
      <c r="AL657" s="6" t="n"/>
      <c r="AM657" s="3">
        <f>IF(tblOrdenes[[#This Row],[link_checklist]]="","",HYPERLINK(p_ruta_base_checklists&amp;tblOrdenes[[#This Row],[link_checklist]],"abrir"))</f>
        <v/>
      </c>
      <c r="AN657" s="6" t="n"/>
      <c r="AO657" s="3">
        <f>IF(tblOrdenes[[#This Row],[orden]]="","",tblOrdenes[[#This Row],[orden]]&amp;IF(tblOrdenes[[#This Row],[operacion]]="","0010",tblOrdenes[[#This Row],[operacion]]))</f>
        <v/>
      </c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11" t="n"/>
      <c r="K658" s="3" t="n"/>
      <c r="L658" s="10" t="n"/>
      <c r="M658" s="6" t="n"/>
      <c r="N6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58" s="3">
        <f>IF(tblOrdenes[[#This Row],[fecha_inicio]]="","",YEAR(tblOrdenes[[#This Row],[fecha_inicio]]))</f>
        <v/>
      </c>
      <c r="R658" s="3">
        <f>IF(tblOrdenes[[#This Row],[fecha_inicio]]="","",MONTH(tblOrdenes[[#This Row],[fecha_inicio]]))</f>
        <v/>
      </c>
      <c r="S658" s="3">
        <f>IF(tblOrdenes[[#This Row],[fecha_inicio]]="","",INDEX(lista_dias,WEEKDAY(tblOrdenes[[#This Row],[fecha_inicio]],2)))</f>
        <v/>
      </c>
      <c r="T658" s="3">
        <f>IF(tblOrdenes[[#This Row],[tipo_ot]]="","",_xlfn.XLOOKUP(tblOrdenes[[#This Row],[tipo_ot]],tblTiposOT[codigo],tblTiposOT[clasificacion],"sin_clasificar"))</f>
        <v/>
      </c>
      <c r="U658" s="3">
        <f>IF(tblOrdenes[[#This Row],[centro_costo]]="","",_xlfn.XLOOKUP(tblOrdenes[[#This Row],[centro_costo]],tblCECO[codigo],tblCECO[linea],"(sin catálogo)"))</f>
        <v/>
      </c>
      <c r="V658" s="3">
        <f>IF(tblOrdenes[[#This Row],[centro_costo]]="","",_xlfn.XLOOKUP(tblOrdenes[[#This Row],[centro_costo]],tblCECO[codigo],tblCECO[area],"(sin catálogo)"))</f>
        <v/>
      </c>
      <c r="W658" s="3">
        <f>IF(tblOrdenes[[#This Row],[centro_costo]]="","",_xlfn.XLOOKUP(tblOrdenes[[#This Row],[centro_costo]],tblCECO[codigo],tblCECO[coordinador],"(sin catálogo)"))</f>
        <v/>
      </c>
      <c r="X658" s="3">
        <f>IF(tblOrdenes[[#This Row],[puesto_trabajo]]="","",_xlfn.XLOOKUP(tblOrdenes[[#This Row],[puesto_trabajo]],tblPuestos[codigo],tblPuestos[especialidad],"(sin catálogo)"))</f>
        <v/>
      </c>
      <c r="Y658" s="3">
        <f>IF(tblOrdenes[[#This Row],[cod_actividad]]="","",_xlfn.XLOOKUP(tblOrdenes[[#This Row],[cod_actividad]],tblActividades[codigo],tblActividades[descripcion],"(sin catálogo)"))</f>
        <v/>
      </c>
      <c r="Z658" s="12">
        <f>IF(tblOrdenes[[#This Row],[fecha_inicio]]="","",TODAY()-tblOrdenes[[#This Row],[fecha_inicio]])</f>
        <v/>
      </c>
      <c r="AA658" s="3">
        <f>IF(tblOrdenes[[#This Row],[backlog_dias]]="","",IF(tblOrdenes[[#This Row],[backlog_dias]]&lt;0,"FUTURO",IF(tblOrdenes[[#This Row],[backlog_dias]]&gt;p_dias_backlog_max,"BACKLOG","MES CORRIENTE")))</f>
        <v/>
      </c>
      <c r="AB658" s="3">
        <f>IF(tblOrdenes[[#This Row],[backlog_dias]]="",FALSE,AND(tblOrdenes[[#This Row],[backlog_dias]]&gt;p_dias_backlog_min,tblOrdenes[[#This Row],[backlog_dias]]&lt;=p_dias_backlog_max))</f>
        <v/>
      </c>
      <c r="AC658" s="6" t="n"/>
      <c r="AD6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58" s="10">
        <f>IF(tblOrdenes[[#This Row],[orden]]="","",_xlfn.XLOOKUP(tblOrdenes[[#This Row],[id_operacion]],tblEjecucion[id_operacion],tblEjecucion[precio],0))</f>
        <v/>
      </c>
      <c r="AH658" s="10">
        <f>IF(tblOrdenes[[#This Row],[orden]]="","",MAX(0,_xlfn.XLOOKUP(tblOrdenes[[#This Row],[id_operacion]],tblEjecucion[id_operacion],tblEjecucion[costo_plan_total],0)-tblOrdenes[[#This Row],[costo_servicio]]))</f>
        <v/>
      </c>
      <c r="AI658" s="10">
        <f>IF(tblOrdenes[[#This Row],[orden]]="","",tblOrdenes[[#This Row],[costo_servicio]]+tblOrdenes[[#This Row],[costo_materiales]])</f>
        <v/>
      </c>
      <c r="AJ658" s="6" t="n"/>
      <c r="AK658" s="6" t="n"/>
      <c r="AL658" s="6" t="n"/>
      <c r="AM658" s="3">
        <f>IF(tblOrdenes[[#This Row],[link_checklist]]="","",HYPERLINK(p_ruta_base_checklists&amp;tblOrdenes[[#This Row],[link_checklist]],"abrir"))</f>
        <v/>
      </c>
      <c r="AN658" s="6" t="n"/>
      <c r="AO658" s="3">
        <f>IF(tblOrdenes[[#This Row],[orden]]="","",tblOrdenes[[#This Row],[orden]]&amp;IF(tblOrdenes[[#This Row],[operacion]]="","0010",tblOrdenes[[#This Row],[operacion]]))</f>
        <v/>
      </c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11" t="n"/>
      <c r="K659" s="3" t="n"/>
      <c r="L659" s="10" t="n"/>
      <c r="M659" s="6" t="n"/>
      <c r="N6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59" s="3">
        <f>IF(tblOrdenes[[#This Row],[fecha_inicio]]="","",YEAR(tblOrdenes[[#This Row],[fecha_inicio]]))</f>
        <v/>
      </c>
      <c r="R659" s="3">
        <f>IF(tblOrdenes[[#This Row],[fecha_inicio]]="","",MONTH(tblOrdenes[[#This Row],[fecha_inicio]]))</f>
        <v/>
      </c>
      <c r="S659" s="3">
        <f>IF(tblOrdenes[[#This Row],[fecha_inicio]]="","",INDEX(lista_dias,WEEKDAY(tblOrdenes[[#This Row],[fecha_inicio]],2)))</f>
        <v/>
      </c>
      <c r="T659" s="3">
        <f>IF(tblOrdenes[[#This Row],[tipo_ot]]="","",_xlfn.XLOOKUP(tblOrdenes[[#This Row],[tipo_ot]],tblTiposOT[codigo],tblTiposOT[clasificacion],"sin_clasificar"))</f>
        <v/>
      </c>
      <c r="U659" s="3">
        <f>IF(tblOrdenes[[#This Row],[centro_costo]]="","",_xlfn.XLOOKUP(tblOrdenes[[#This Row],[centro_costo]],tblCECO[codigo],tblCECO[linea],"(sin catálogo)"))</f>
        <v/>
      </c>
      <c r="V659" s="3">
        <f>IF(tblOrdenes[[#This Row],[centro_costo]]="","",_xlfn.XLOOKUP(tblOrdenes[[#This Row],[centro_costo]],tblCECO[codigo],tblCECO[area],"(sin catálogo)"))</f>
        <v/>
      </c>
      <c r="W659" s="3">
        <f>IF(tblOrdenes[[#This Row],[centro_costo]]="","",_xlfn.XLOOKUP(tblOrdenes[[#This Row],[centro_costo]],tblCECO[codigo],tblCECO[coordinador],"(sin catálogo)"))</f>
        <v/>
      </c>
      <c r="X659" s="3">
        <f>IF(tblOrdenes[[#This Row],[puesto_trabajo]]="","",_xlfn.XLOOKUP(tblOrdenes[[#This Row],[puesto_trabajo]],tblPuestos[codigo],tblPuestos[especialidad],"(sin catálogo)"))</f>
        <v/>
      </c>
      <c r="Y659" s="3">
        <f>IF(tblOrdenes[[#This Row],[cod_actividad]]="","",_xlfn.XLOOKUP(tblOrdenes[[#This Row],[cod_actividad]],tblActividades[codigo],tblActividades[descripcion],"(sin catálogo)"))</f>
        <v/>
      </c>
      <c r="Z659" s="12">
        <f>IF(tblOrdenes[[#This Row],[fecha_inicio]]="","",TODAY()-tblOrdenes[[#This Row],[fecha_inicio]])</f>
        <v/>
      </c>
      <c r="AA659" s="3">
        <f>IF(tblOrdenes[[#This Row],[backlog_dias]]="","",IF(tblOrdenes[[#This Row],[backlog_dias]]&lt;0,"FUTURO",IF(tblOrdenes[[#This Row],[backlog_dias]]&gt;p_dias_backlog_max,"BACKLOG","MES CORRIENTE")))</f>
        <v/>
      </c>
      <c r="AB659" s="3">
        <f>IF(tblOrdenes[[#This Row],[backlog_dias]]="",FALSE,AND(tblOrdenes[[#This Row],[backlog_dias]]&gt;p_dias_backlog_min,tblOrdenes[[#This Row],[backlog_dias]]&lt;=p_dias_backlog_max))</f>
        <v/>
      </c>
      <c r="AC659" s="6" t="n"/>
      <c r="AD6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59" s="10">
        <f>IF(tblOrdenes[[#This Row],[orden]]="","",_xlfn.XLOOKUP(tblOrdenes[[#This Row],[id_operacion]],tblEjecucion[id_operacion],tblEjecucion[precio],0))</f>
        <v/>
      </c>
      <c r="AH659" s="10">
        <f>IF(tblOrdenes[[#This Row],[orden]]="","",MAX(0,_xlfn.XLOOKUP(tblOrdenes[[#This Row],[id_operacion]],tblEjecucion[id_operacion],tblEjecucion[costo_plan_total],0)-tblOrdenes[[#This Row],[costo_servicio]]))</f>
        <v/>
      </c>
      <c r="AI659" s="10">
        <f>IF(tblOrdenes[[#This Row],[orden]]="","",tblOrdenes[[#This Row],[costo_servicio]]+tblOrdenes[[#This Row],[costo_materiales]])</f>
        <v/>
      </c>
      <c r="AJ659" s="6" t="n"/>
      <c r="AK659" s="6" t="n"/>
      <c r="AL659" s="6" t="n"/>
      <c r="AM659" s="3">
        <f>IF(tblOrdenes[[#This Row],[link_checklist]]="","",HYPERLINK(p_ruta_base_checklists&amp;tblOrdenes[[#This Row],[link_checklist]],"abrir"))</f>
        <v/>
      </c>
      <c r="AN659" s="6" t="n"/>
      <c r="AO659" s="3">
        <f>IF(tblOrdenes[[#This Row],[orden]]="","",tblOrdenes[[#This Row],[orden]]&amp;IF(tblOrdenes[[#This Row],[operacion]]="","0010",tblOrdenes[[#This Row],[operacion]]))</f>
        <v/>
      </c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11" t="n"/>
      <c r="K660" s="3" t="n"/>
      <c r="L660" s="10" t="n"/>
      <c r="M660" s="6" t="n"/>
      <c r="N6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60" s="3">
        <f>IF(tblOrdenes[[#This Row],[fecha_inicio]]="","",YEAR(tblOrdenes[[#This Row],[fecha_inicio]]))</f>
        <v/>
      </c>
      <c r="R660" s="3">
        <f>IF(tblOrdenes[[#This Row],[fecha_inicio]]="","",MONTH(tblOrdenes[[#This Row],[fecha_inicio]]))</f>
        <v/>
      </c>
      <c r="S660" s="3">
        <f>IF(tblOrdenes[[#This Row],[fecha_inicio]]="","",INDEX(lista_dias,WEEKDAY(tblOrdenes[[#This Row],[fecha_inicio]],2)))</f>
        <v/>
      </c>
      <c r="T660" s="3">
        <f>IF(tblOrdenes[[#This Row],[tipo_ot]]="","",_xlfn.XLOOKUP(tblOrdenes[[#This Row],[tipo_ot]],tblTiposOT[codigo],tblTiposOT[clasificacion],"sin_clasificar"))</f>
        <v/>
      </c>
      <c r="U660" s="3">
        <f>IF(tblOrdenes[[#This Row],[centro_costo]]="","",_xlfn.XLOOKUP(tblOrdenes[[#This Row],[centro_costo]],tblCECO[codigo],tblCECO[linea],"(sin catálogo)"))</f>
        <v/>
      </c>
      <c r="V660" s="3">
        <f>IF(tblOrdenes[[#This Row],[centro_costo]]="","",_xlfn.XLOOKUP(tblOrdenes[[#This Row],[centro_costo]],tblCECO[codigo],tblCECO[area],"(sin catálogo)"))</f>
        <v/>
      </c>
      <c r="W660" s="3">
        <f>IF(tblOrdenes[[#This Row],[centro_costo]]="","",_xlfn.XLOOKUP(tblOrdenes[[#This Row],[centro_costo]],tblCECO[codigo],tblCECO[coordinador],"(sin catálogo)"))</f>
        <v/>
      </c>
      <c r="X660" s="3">
        <f>IF(tblOrdenes[[#This Row],[puesto_trabajo]]="","",_xlfn.XLOOKUP(tblOrdenes[[#This Row],[puesto_trabajo]],tblPuestos[codigo],tblPuestos[especialidad],"(sin catálogo)"))</f>
        <v/>
      </c>
      <c r="Y660" s="3">
        <f>IF(tblOrdenes[[#This Row],[cod_actividad]]="","",_xlfn.XLOOKUP(tblOrdenes[[#This Row],[cod_actividad]],tblActividades[codigo],tblActividades[descripcion],"(sin catálogo)"))</f>
        <v/>
      </c>
      <c r="Z660" s="12">
        <f>IF(tblOrdenes[[#This Row],[fecha_inicio]]="","",TODAY()-tblOrdenes[[#This Row],[fecha_inicio]])</f>
        <v/>
      </c>
      <c r="AA660" s="3">
        <f>IF(tblOrdenes[[#This Row],[backlog_dias]]="","",IF(tblOrdenes[[#This Row],[backlog_dias]]&lt;0,"FUTURO",IF(tblOrdenes[[#This Row],[backlog_dias]]&gt;p_dias_backlog_max,"BACKLOG","MES CORRIENTE")))</f>
        <v/>
      </c>
      <c r="AB660" s="3">
        <f>IF(tblOrdenes[[#This Row],[backlog_dias]]="",FALSE,AND(tblOrdenes[[#This Row],[backlog_dias]]&gt;p_dias_backlog_min,tblOrdenes[[#This Row],[backlog_dias]]&lt;=p_dias_backlog_max))</f>
        <v/>
      </c>
      <c r="AC660" s="6" t="n"/>
      <c r="AD6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60" s="10">
        <f>IF(tblOrdenes[[#This Row],[orden]]="","",_xlfn.XLOOKUP(tblOrdenes[[#This Row],[id_operacion]],tblEjecucion[id_operacion],tblEjecucion[precio],0))</f>
        <v/>
      </c>
      <c r="AH660" s="10">
        <f>IF(tblOrdenes[[#This Row],[orden]]="","",MAX(0,_xlfn.XLOOKUP(tblOrdenes[[#This Row],[id_operacion]],tblEjecucion[id_operacion],tblEjecucion[costo_plan_total],0)-tblOrdenes[[#This Row],[costo_servicio]]))</f>
        <v/>
      </c>
      <c r="AI660" s="10">
        <f>IF(tblOrdenes[[#This Row],[orden]]="","",tblOrdenes[[#This Row],[costo_servicio]]+tblOrdenes[[#This Row],[costo_materiales]])</f>
        <v/>
      </c>
      <c r="AJ660" s="6" t="n"/>
      <c r="AK660" s="6" t="n"/>
      <c r="AL660" s="6" t="n"/>
      <c r="AM660" s="3">
        <f>IF(tblOrdenes[[#This Row],[link_checklist]]="","",HYPERLINK(p_ruta_base_checklists&amp;tblOrdenes[[#This Row],[link_checklist]],"abrir"))</f>
        <v/>
      </c>
      <c r="AN660" s="6" t="n"/>
      <c r="AO660" s="3">
        <f>IF(tblOrdenes[[#This Row],[orden]]="","",tblOrdenes[[#This Row],[orden]]&amp;IF(tblOrdenes[[#This Row],[operacion]]="","0010",tblOrdenes[[#This Row],[operacion]]))</f>
        <v/>
      </c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11" t="n"/>
      <c r="K661" s="3" t="n"/>
      <c r="L661" s="10" t="n"/>
      <c r="M661" s="6" t="n"/>
      <c r="N6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61" s="3">
        <f>IF(tblOrdenes[[#This Row],[fecha_inicio]]="","",YEAR(tblOrdenes[[#This Row],[fecha_inicio]]))</f>
        <v/>
      </c>
      <c r="R661" s="3">
        <f>IF(tblOrdenes[[#This Row],[fecha_inicio]]="","",MONTH(tblOrdenes[[#This Row],[fecha_inicio]]))</f>
        <v/>
      </c>
      <c r="S661" s="3">
        <f>IF(tblOrdenes[[#This Row],[fecha_inicio]]="","",INDEX(lista_dias,WEEKDAY(tblOrdenes[[#This Row],[fecha_inicio]],2)))</f>
        <v/>
      </c>
      <c r="T661" s="3">
        <f>IF(tblOrdenes[[#This Row],[tipo_ot]]="","",_xlfn.XLOOKUP(tblOrdenes[[#This Row],[tipo_ot]],tblTiposOT[codigo],tblTiposOT[clasificacion],"sin_clasificar"))</f>
        <v/>
      </c>
      <c r="U661" s="3">
        <f>IF(tblOrdenes[[#This Row],[centro_costo]]="","",_xlfn.XLOOKUP(tblOrdenes[[#This Row],[centro_costo]],tblCECO[codigo],tblCECO[linea],"(sin catálogo)"))</f>
        <v/>
      </c>
      <c r="V661" s="3">
        <f>IF(tblOrdenes[[#This Row],[centro_costo]]="","",_xlfn.XLOOKUP(tblOrdenes[[#This Row],[centro_costo]],tblCECO[codigo],tblCECO[area],"(sin catálogo)"))</f>
        <v/>
      </c>
      <c r="W661" s="3">
        <f>IF(tblOrdenes[[#This Row],[centro_costo]]="","",_xlfn.XLOOKUP(tblOrdenes[[#This Row],[centro_costo]],tblCECO[codigo],tblCECO[coordinador],"(sin catálogo)"))</f>
        <v/>
      </c>
      <c r="X661" s="3">
        <f>IF(tblOrdenes[[#This Row],[puesto_trabajo]]="","",_xlfn.XLOOKUP(tblOrdenes[[#This Row],[puesto_trabajo]],tblPuestos[codigo],tblPuestos[especialidad],"(sin catálogo)"))</f>
        <v/>
      </c>
      <c r="Y661" s="3">
        <f>IF(tblOrdenes[[#This Row],[cod_actividad]]="","",_xlfn.XLOOKUP(tblOrdenes[[#This Row],[cod_actividad]],tblActividades[codigo],tblActividades[descripcion],"(sin catálogo)"))</f>
        <v/>
      </c>
      <c r="Z661" s="12">
        <f>IF(tblOrdenes[[#This Row],[fecha_inicio]]="","",TODAY()-tblOrdenes[[#This Row],[fecha_inicio]])</f>
        <v/>
      </c>
      <c r="AA661" s="3">
        <f>IF(tblOrdenes[[#This Row],[backlog_dias]]="","",IF(tblOrdenes[[#This Row],[backlog_dias]]&lt;0,"FUTURO",IF(tblOrdenes[[#This Row],[backlog_dias]]&gt;p_dias_backlog_max,"BACKLOG","MES CORRIENTE")))</f>
        <v/>
      </c>
      <c r="AB661" s="3">
        <f>IF(tblOrdenes[[#This Row],[backlog_dias]]="",FALSE,AND(tblOrdenes[[#This Row],[backlog_dias]]&gt;p_dias_backlog_min,tblOrdenes[[#This Row],[backlog_dias]]&lt;=p_dias_backlog_max))</f>
        <v/>
      </c>
      <c r="AC661" s="6" t="n"/>
      <c r="AD6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61" s="10">
        <f>IF(tblOrdenes[[#This Row],[orden]]="","",_xlfn.XLOOKUP(tblOrdenes[[#This Row],[id_operacion]],tblEjecucion[id_operacion],tblEjecucion[precio],0))</f>
        <v/>
      </c>
      <c r="AH661" s="10">
        <f>IF(tblOrdenes[[#This Row],[orden]]="","",MAX(0,_xlfn.XLOOKUP(tblOrdenes[[#This Row],[id_operacion]],tblEjecucion[id_operacion],tblEjecucion[costo_plan_total],0)-tblOrdenes[[#This Row],[costo_servicio]]))</f>
        <v/>
      </c>
      <c r="AI661" s="10">
        <f>IF(tblOrdenes[[#This Row],[orden]]="","",tblOrdenes[[#This Row],[costo_servicio]]+tblOrdenes[[#This Row],[costo_materiales]])</f>
        <v/>
      </c>
      <c r="AJ661" s="6" t="n"/>
      <c r="AK661" s="6" t="n"/>
      <c r="AL661" s="6" t="n"/>
      <c r="AM661" s="3">
        <f>IF(tblOrdenes[[#This Row],[link_checklist]]="","",HYPERLINK(p_ruta_base_checklists&amp;tblOrdenes[[#This Row],[link_checklist]],"abrir"))</f>
        <v/>
      </c>
      <c r="AN661" s="6" t="n"/>
      <c r="AO661" s="3">
        <f>IF(tblOrdenes[[#This Row],[orden]]="","",tblOrdenes[[#This Row],[orden]]&amp;IF(tblOrdenes[[#This Row],[operacion]]="","0010",tblOrdenes[[#This Row],[operacion]]))</f>
        <v/>
      </c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11" t="n"/>
      <c r="K662" s="3" t="n"/>
      <c r="L662" s="10" t="n"/>
      <c r="M662" s="6" t="n"/>
      <c r="N6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62" s="3">
        <f>IF(tblOrdenes[[#This Row],[fecha_inicio]]="","",YEAR(tblOrdenes[[#This Row],[fecha_inicio]]))</f>
        <v/>
      </c>
      <c r="R662" s="3">
        <f>IF(tblOrdenes[[#This Row],[fecha_inicio]]="","",MONTH(tblOrdenes[[#This Row],[fecha_inicio]]))</f>
        <v/>
      </c>
      <c r="S662" s="3">
        <f>IF(tblOrdenes[[#This Row],[fecha_inicio]]="","",INDEX(lista_dias,WEEKDAY(tblOrdenes[[#This Row],[fecha_inicio]],2)))</f>
        <v/>
      </c>
      <c r="T662" s="3">
        <f>IF(tblOrdenes[[#This Row],[tipo_ot]]="","",_xlfn.XLOOKUP(tblOrdenes[[#This Row],[tipo_ot]],tblTiposOT[codigo],tblTiposOT[clasificacion],"sin_clasificar"))</f>
        <v/>
      </c>
      <c r="U662" s="3">
        <f>IF(tblOrdenes[[#This Row],[centro_costo]]="","",_xlfn.XLOOKUP(tblOrdenes[[#This Row],[centro_costo]],tblCECO[codigo],tblCECO[linea],"(sin catálogo)"))</f>
        <v/>
      </c>
      <c r="V662" s="3">
        <f>IF(tblOrdenes[[#This Row],[centro_costo]]="","",_xlfn.XLOOKUP(tblOrdenes[[#This Row],[centro_costo]],tblCECO[codigo],tblCECO[area],"(sin catálogo)"))</f>
        <v/>
      </c>
      <c r="W662" s="3">
        <f>IF(tblOrdenes[[#This Row],[centro_costo]]="","",_xlfn.XLOOKUP(tblOrdenes[[#This Row],[centro_costo]],tblCECO[codigo],tblCECO[coordinador],"(sin catálogo)"))</f>
        <v/>
      </c>
      <c r="X662" s="3">
        <f>IF(tblOrdenes[[#This Row],[puesto_trabajo]]="","",_xlfn.XLOOKUP(tblOrdenes[[#This Row],[puesto_trabajo]],tblPuestos[codigo],tblPuestos[especialidad],"(sin catálogo)"))</f>
        <v/>
      </c>
      <c r="Y662" s="3">
        <f>IF(tblOrdenes[[#This Row],[cod_actividad]]="","",_xlfn.XLOOKUP(tblOrdenes[[#This Row],[cod_actividad]],tblActividades[codigo],tblActividades[descripcion],"(sin catálogo)"))</f>
        <v/>
      </c>
      <c r="Z662" s="12">
        <f>IF(tblOrdenes[[#This Row],[fecha_inicio]]="","",TODAY()-tblOrdenes[[#This Row],[fecha_inicio]])</f>
        <v/>
      </c>
      <c r="AA662" s="3">
        <f>IF(tblOrdenes[[#This Row],[backlog_dias]]="","",IF(tblOrdenes[[#This Row],[backlog_dias]]&lt;0,"FUTURO",IF(tblOrdenes[[#This Row],[backlog_dias]]&gt;p_dias_backlog_max,"BACKLOG","MES CORRIENTE")))</f>
        <v/>
      </c>
      <c r="AB662" s="3">
        <f>IF(tblOrdenes[[#This Row],[backlog_dias]]="",FALSE,AND(tblOrdenes[[#This Row],[backlog_dias]]&gt;p_dias_backlog_min,tblOrdenes[[#This Row],[backlog_dias]]&lt;=p_dias_backlog_max))</f>
        <v/>
      </c>
      <c r="AC662" s="6" t="n"/>
      <c r="AD6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62" s="10">
        <f>IF(tblOrdenes[[#This Row],[orden]]="","",_xlfn.XLOOKUP(tblOrdenes[[#This Row],[id_operacion]],tblEjecucion[id_operacion],tblEjecucion[precio],0))</f>
        <v/>
      </c>
      <c r="AH662" s="10">
        <f>IF(tblOrdenes[[#This Row],[orden]]="","",MAX(0,_xlfn.XLOOKUP(tblOrdenes[[#This Row],[id_operacion]],tblEjecucion[id_operacion],tblEjecucion[costo_plan_total],0)-tblOrdenes[[#This Row],[costo_servicio]]))</f>
        <v/>
      </c>
      <c r="AI662" s="10">
        <f>IF(tblOrdenes[[#This Row],[orden]]="","",tblOrdenes[[#This Row],[costo_servicio]]+tblOrdenes[[#This Row],[costo_materiales]])</f>
        <v/>
      </c>
      <c r="AJ662" s="6" t="n"/>
      <c r="AK662" s="6" t="n"/>
      <c r="AL662" s="6" t="n"/>
      <c r="AM662" s="3">
        <f>IF(tblOrdenes[[#This Row],[link_checklist]]="","",HYPERLINK(p_ruta_base_checklists&amp;tblOrdenes[[#This Row],[link_checklist]],"abrir"))</f>
        <v/>
      </c>
      <c r="AN662" s="6" t="n"/>
      <c r="AO662" s="3">
        <f>IF(tblOrdenes[[#This Row],[orden]]="","",tblOrdenes[[#This Row],[orden]]&amp;IF(tblOrdenes[[#This Row],[operacion]]="","0010",tblOrdenes[[#This Row],[operacion]]))</f>
        <v/>
      </c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11" t="n"/>
      <c r="K663" s="3" t="n"/>
      <c r="L663" s="10" t="n"/>
      <c r="M663" s="6" t="n"/>
      <c r="N6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63" s="3">
        <f>IF(tblOrdenes[[#This Row],[fecha_inicio]]="","",YEAR(tblOrdenes[[#This Row],[fecha_inicio]]))</f>
        <v/>
      </c>
      <c r="R663" s="3">
        <f>IF(tblOrdenes[[#This Row],[fecha_inicio]]="","",MONTH(tblOrdenes[[#This Row],[fecha_inicio]]))</f>
        <v/>
      </c>
      <c r="S663" s="3">
        <f>IF(tblOrdenes[[#This Row],[fecha_inicio]]="","",INDEX(lista_dias,WEEKDAY(tblOrdenes[[#This Row],[fecha_inicio]],2)))</f>
        <v/>
      </c>
      <c r="T663" s="3">
        <f>IF(tblOrdenes[[#This Row],[tipo_ot]]="","",_xlfn.XLOOKUP(tblOrdenes[[#This Row],[tipo_ot]],tblTiposOT[codigo],tblTiposOT[clasificacion],"sin_clasificar"))</f>
        <v/>
      </c>
      <c r="U663" s="3">
        <f>IF(tblOrdenes[[#This Row],[centro_costo]]="","",_xlfn.XLOOKUP(tblOrdenes[[#This Row],[centro_costo]],tblCECO[codigo],tblCECO[linea],"(sin catálogo)"))</f>
        <v/>
      </c>
      <c r="V663" s="3">
        <f>IF(tblOrdenes[[#This Row],[centro_costo]]="","",_xlfn.XLOOKUP(tblOrdenes[[#This Row],[centro_costo]],tblCECO[codigo],tblCECO[area],"(sin catálogo)"))</f>
        <v/>
      </c>
      <c r="W663" s="3">
        <f>IF(tblOrdenes[[#This Row],[centro_costo]]="","",_xlfn.XLOOKUP(tblOrdenes[[#This Row],[centro_costo]],tblCECO[codigo],tblCECO[coordinador],"(sin catálogo)"))</f>
        <v/>
      </c>
      <c r="X663" s="3">
        <f>IF(tblOrdenes[[#This Row],[puesto_trabajo]]="","",_xlfn.XLOOKUP(tblOrdenes[[#This Row],[puesto_trabajo]],tblPuestos[codigo],tblPuestos[especialidad],"(sin catálogo)"))</f>
        <v/>
      </c>
      <c r="Y663" s="3">
        <f>IF(tblOrdenes[[#This Row],[cod_actividad]]="","",_xlfn.XLOOKUP(tblOrdenes[[#This Row],[cod_actividad]],tblActividades[codigo],tblActividades[descripcion],"(sin catálogo)"))</f>
        <v/>
      </c>
      <c r="Z663" s="12">
        <f>IF(tblOrdenes[[#This Row],[fecha_inicio]]="","",TODAY()-tblOrdenes[[#This Row],[fecha_inicio]])</f>
        <v/>
      </c>
      <c r="AA663" s="3">
        <f>IF(tblOrdenes[[#This Row],[backlog_dias]]="","",IF(tblOrdenes[[#This Row],[backlog_dias]]&lt;0,"FUTURO",IF(tblOrdenes[[#This Row],[backlog_dias]]&gt;p_dias_backlog_max,"BACKLOG","MES CORRIENTE")))</f>
        <v/>
      </c>
      <c r="AB663" s="3">
        <f>IF(tblOrdenes[[#This Row],[backlog_dias]]="",FALSE,AND(tblOrdenes[[#This Row],[backlog_dias]]&gt;p_dias_backlog_min,tblOrdenes[[#This Row],[backlog_dias]]&lt;=p_dias_backlog_max))</f>
        <v/>
      </c>
      <c r="AC663" s="6" t="n"/>
      <c r="AD6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63" s="10">
        <f>IF(tblOrdenes[[#This Row],[orden]]="","",_xlfn.XLOOKUP(tblOrdenes[[#This Row],[id_operacion]],tblEjecucion[id_operacion],tblEjecucion[precio],0))</f>
        <v/>
      </c>
      <c r="AH663" s="10">
        <f>IF(tblOrdenes[[#This Row],[orden]]="","",MAX(0,_xlfn.XLOOKUP(tblOrdenes[[#This Row],[id_operacion]],tblEjecucion[id_operacion],tblEjecucion[costo_plan_total],0)-tblOrdenes[[#This Row],[costo_servicio]]))</f>
        <v/>
      </c>
      <c r="AI663" s="10">
        <f>IF(tblOrdenes[[#This Row],[orden]]="","",tblOrdenes[[#This Row],[costo_servicio]]+tblOrdenes[[#This Row],[costo_materiales]])</f>
        <v/>
      </c>
      <c r="AJ663" s="6" t="n"/>
      <c r="AK663" s="6" t="n"/>
      <c r="AL663" s="6" t="n"/>
      <c r="AM663" s="3">
        <f>IF(tblOrdenes[[#This Row],[link_checklist]]="","",HYPERLINK(p_ruta_base_checklists&amp;tblOrdenes[[#This Row],[link_checklist]],"abrir"))</f>
        <v/>
      </c>
      <c r="AN663" s="6" t="n"/>
      <c r="AO663" s="3">
        <f>IF(tblOrdenes[[#This Row],[orden]]="","",tblOrdenes[[#This Row],[orden]]&amp;IF(tblOrdenes[[#This Row],[operacion]]="","0010",tblOrdenes[[#This Row],[operacion]]))</f>
        <v/>
      </c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11" t="n"/>
      <c r="K664" s="3" t="n"/>
      <c r="L664" s="10" t="n"/>
      <c r="M664" s="6" t="n"/>
      <c r="N6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64" s="3">
        <f>IF(tblOrdenes[[#This Row],[fecha_inicio]]="","",YEAR(tblOrdenes[[#This Row],[fecha_inicio]]))</f>
        <v/>
      </c>
      <c r="R664" s="3">
        <f>IF(tblOrdenes[[#This Row],[fecha_inicio]]="","",MONTH(tblOrdenes[[#This Row],[fecha_inicio]]))</f>
        <v/>
      </c>
      <c r="S664" s="3">
        <f>IF(tblOrdenes[[#This Row],[fecha_inicio]]="","",INDEX(lista_dias,WEEKDAY(tblOrdenes[[#This Row],[fecha_inicio]],2)))</f>
        <v/>
      </c>
      <c r="T664" s="3">
        <f>IF(tblOrdenes[[#This Row],[tipo_ot]]="","",_xlfn.XLOOKUP(tblOrdenes[[#This Row],[tipo_ot]],tblTiposOT[codigo],tblTiposOT[clasificacion],"sin_clasificar"))</f>
        <v/>
      </c>
      <c r="U664" s="3">
        <f>IF(tblOrdenes[[#This Row],[centro_costo]]="","",_xlfn.XLOOKUP(tblOrdenes[[#This Row],[centro_costo]],tblCECO[codigo],tblCECO[linea],"(sin catálogo)"))</f>
        <v/>
      </c>
      <c r="V664" s="3">
        <f>IF(tblOrdenes[[#This Row],[centro_costo]]="","",_xlfn.XLOOKUP(tblOrdenes[[#This Row],[centro_costo]],tblCECO[codigo],tblCECO[area],"(sin catálogo)"))</f>
        <v/>
      </c>
      <c r="W664" s="3">
        <f>IF(tblOrdenes[[#This Row],[centro_costo]]="","",_xlfn.XLOOKUP(tblOrdenes[[#This Row],[centro_costo]],tblCECO[codigo],tblCECO[coordinador],"(sin catálogo)"))</f>
        <v/>
      </c>
      <c r="X664" s="3">
        <f>IF(tblOrdenes[[#This Row],[puesto_trabajo]]="","",_xlfn.XLOOKUP(tblOrdenes[[#This Row],[puesto_trabajo]],tblPuestos[codigo],tblPuestos[especialidad],"(sin catálogo)"))</f>
        <v/>
      </c>
      <c r="Y664" s="3">
        <f>IF(tblOrdenes[[#This Row],[cod_actividad]]="","",_xlfn.XLOOKUP(tblOrdenes[[#This Row],[cod_actividad]],tblActividades[codigo],tblActividades[descripcion],"(sin catálogo)"))</f>
        <v/>
      </c>
      <c r="Z664" s="12">
        <f>IF(tblOrdenes[[#This Row],[fecha_inicio]]="","",TODAY()-tblOrdenes[[#This Row],[fecha_inicio]])</f>
        <v/>
      </c>
      <c r="AA664" s="3">
        <f>IF(tblOrdenes[[#This Row],[backlog_dias]]="","",IF(tblOrdenes[[#This Row],[backlog_dias]]&lt;0,"FUTURO",IF(tblOrdenes[[#This Row],[backlog_dias]]&gt;p_dias_backlog_max,"BACKLOG","MES CORRIENTE")))</f>
        <v/>
      </c>
      <c r="AB664" s="3">
        <f>IF(tblOrdenes[[#This Row],[backlog_dias]]="",FALSE,AND(tblOrdenes[[#This Row],[backlog_dias]]&gt;p_dias_backlog_min,tblOrdenes[[#This Row],[backlog_dias]]&lt;=p_dias_backlog_max))</f>
        <v/>
      </c>
      <c r="AC664" s="6" t="n"/>
      <c r="AD6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64" s="10">
        <f>IF(tblOrdenes[[#This Row],[orden]]="","",_xlfn.XLOOKUP(tblOrdenes[[#This Row],[id_operacion]],tblEjecucion[id_operacion],tblEjecucion[precio],0))</f>
        <v/>
      </c>
      <c r="AH664" s="10">
        <f>IF(tblOrdenes[[#This Row],[orden]]="","",MAX(0,_xlfn.XLOOKUP(tblOrdenes[[#This Row],[id_operacion]],tblEjecucion[id_operacion],tblEjecucion[costo_plan_total],0)-tblOrdenes[[#This Row],[costo_servicio]]))</f>
        <v/>
      </c>
      <c r="AI664" s="10">
        <f>IF(tblOrdenes[[#This Row],[orden]]="","",tblOrdenes[[#This Row],[costo_servicio]]+tblOrdenes[[#This Row],[costo_materiales]])</f>
        <v/>
      </c>
      <c r="AJ664" s="6" t="n"/>
      <c r="AK664" s="6" t="n"/>
      <c r="AL664" s="6" t="n"/>
      <c r="AM664" s="3">
        <f>IF(tblOrdenes[[#This Row],[link_checklist]]="","",HYPERLINK(p_ruta_base_checklists&amp;tblOrdenes[[#This Row],[link_checklist]],"abrir"))</f>
        <v/>
      </c>
      <c r="AN664" s="6" t="n"/>
      <c r="AO664" s="3">
        <f>IF(tblOrdenes[[#This Row],[orden]]="","",tblOrdenes[[#This Row],[orden]]&amp;IF(tblOrdenes[[#This Row],[operacion]]="","0010",tblOrdenes[[#This Row],[operacion]]))</f>
        <v/>
      </c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11" t="n"/>
      <c r="K665" s="3" t="n"/>
      <c r="L665" s="10" t="n"/>
      <c r="M665" s="6" t="n"/>
      <c r="N6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65" s="3">
        <f>IF(tblOrdenes[[#This Row],[fecha_inicio]]="","",YEAR(tblOrdenes[[#This Row],[fecha_inicio]]))</f>
        <v/>
      </c>
      <c r="R665" s="3">
        <f>IF(tblOrdenes[[#This Row],[fecha_inicio]]="","",MONTH(tblOrdenes[[#This Row],[fecha_inicio]]))</f>
        <v/>
      </c>
      <c r="S665" s="3">
        <f>IF(tblOrdenes[[#This Row],[fecha_inicio]]="","",INDEX(lista_dias,WEEKDAY(tblOrdenes[[#This Row],[fecha_inicio]],2)))</f>
        <v/>
      </c>
      <c r="T665" s="3">
        <f>IF(tblOrdenes[[#This Row],[tipo_ot]]="","",_xlfn.XLOOKUP(tblOrdenes[[#This Row],[tipo_ot]],tblTiposOT[codigo],tblTiposOT[clasificacion],"sin_clasificar"))</f>
        <v/>
      </c>
      <c r="U665" s="3">
        <f>IF(tblOrdenes[[#This Row],[centro_costo]]="","",_xlfn.XLOOKUP(tblOrdenes[[#This Row],[centro_costo]],tblCECO[codigo],tblCECO[linea],"(sin catálogo)"))</f>
        <v/>
      </c>
      <c r="V665" s="3">
        <f>IF(tblOrdenes[[#This Row],[centro_costo]]="","",_xlfn.XLOOKUP(tblOrdenes[[#This Row],[centro_costo]],tblCECO[codigo],tblCECO[area],"(sin catálogo)"))</f>
        <v/>
      </c>
      <c r="W665" s="3">
        <f>IF(tblOrdenes[[#This Row],[centro_costo]]="","",_xlfn.XLOOKUP(tblOrdenes[[#This Row],[centro_costo]],tblCECO[codigo],tblCECO[coordinador],"(sin catálogo)"))</f>
        <v/>
      </c>
      <c r="X665" s="3">
        <f>IF(tblOrdenes[[#This Row],[puesto_trabajo]]="","",_xlfn.XLOOKUP(tblOrdenes[[#This Row],[puesto_trabajo]],tblPuestos[codigo],tblPuestos[especialidad],"(sin catálogo)"))</f>
        <v/>
      </c>
      <c r="Y665" s="3">
        <f>IF(tblOrdenes[[#This Row],[cod_actividad]]="","",_xlfn.XLOOKUP(tblOrdenes[[#This Row],[cod_actividad]],tblActividades[codigo],tblActividades[descripcion],"(sin catálogo)"))</f>
        <v/>
      </c>
      <c r="Z665" s="12">
        <f>IF(tblOrdenes[[#This Row],[fecha_inicio]]="","",TODAY()-tblOrdenes[[#This Row],[fecha_inicio]])</f>
        <v/>
      </c>
      <c r="AA665" s="3">
        <f>IF(tblOrdenes[[#This Row],[backlog_dias]]="","",IF(tblOrdenes[[#This Row],[backlog_dias]]&lt;0,"FUTURO",IF(tblOrdenes[[#This Row],[backlog_dias]]&gt;p_dias_backlog_max,"BACKLOG","MES CORRIENTE")))</f>
        <v/>
      </c>
      <c r="AB665" s="3">
        <f>IF(tblOrdenes[[#This Row],[backlog_dias]]="",FALSE,AND(tblOrdenes[[#This Row],[backlog_dias]]&gt;p_dias_backlog_min,tblOrdenes[[#This Row],[backlog_dias]]&lt;=p_dias_backlog_max))</f>
        <v/>
      </c>
      <c r="AC665" s="6" t="n"/>
      <c r="AD6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65" s="10">
        <f>IF(tblOrdenes[[#This Row],[orden]]="","",_xlfn.XLOOKUP(tblOrdenes[[#This Row],[id_operacion]],tblEjecucion[id_operacion],tblEjecucion[precio],0))</f>
        <v/>
      </c>
      <c r="AH665" s="10">
        <f>IF(tblOrdenes[[#This Row],[orden]]="","",MAX(0,_xlfn.XLOOKUP(tblOrdenes[[#This Row],[id_operacion]],tblEjecucion[id_operacion],tblEjecucion[costo_plan_total],0)-tblOrdenes[[#This Row],[costo_servicio]]))</f>
        <v/>
      </c>
      <c r="AI665" s="10">
        <f>IF(tblOrdenes[[#This Row],[orden]]="","",tblOrdenes[[#This Row],[costo_servicio]]+tblOrdenes[[#This Row],[costo_materiales]])</f>
        <v/>
      </c>
      <c r="AJ665" s="6" t="n"/>
      <c r="AK665" s="6" t="n"/>
      <c r="AL665" s="6" t="n"/>
      <c r="AM665" s="3">
        <f>IF(tblOrdenes[[#This Row],[link_checklist]]="","",HYPERLINK(p_ruta_base_checklists&amp;tblOrdenes[[#This Row],[link_checklist]],"abrir"))</f>
        <v/>
      </c>
      <c r="AN665" s="6" t="n"/>
      <c r="AO665" s="3">
        <f>IF(tblOrdenes[[#This Row],[orden]]="","",tblOrdenes[[#This Row],[orden]]&amp;IF(tblOrdenes[[#This Row],[operacion]]="","0010",tblOrdenes[[#This Row],[operacion]]))</f>
        <v/>
      </c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11" t="n"/>
      <c r="K666" s="3" t="n"/>
      <c r="L666" s="10" t="n"/>
      <c r="M666" s="6" t="n"/>
      <c r="N6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66" s="3">
        <f>IF(tblOrdenes[[#This Row],[fecha_inicio]]="","",YEAR(tblOrdenes[[#This Row],[fecha_inicio]]))</f>
        <v/>
      </c>
      <c r="R666" s="3">
        <f>IF(tblOrdenes[[#This Row],[fecha_inicio]]="","",MONTH(tblOrdenes[[#This Row],[fecha_inicio]]))</f>
        <v/>
      </c>
      <c r="S666" s="3">
        <f>IF(tblOrdenes[[#This Row],[fecha_inicio]]="","",INDEX(lista_dias,WEEKDAY(tblOrdenes[[#This Row],[fecha_inicio]],2)))</f>
        <v/>
      </c>
      <c r="T666" s="3">
        <f>IF(tblOrdenes[[#This Row],[tipo_ot]]="","",_xlfn.XLOOKUP(tblOrdenes[[#This Row],[tipo_ot]],tblTiposOT[codigo],tblTiposOT[clasificacion],"sin_clasificar"))</f>
        <v/>
      </c>
      <c r="U666" s="3">
        <f>IF(tblOrdenes[[#This Row],[centro_costo]]="","",_xlfn.XLOOKUP(tblOrdenes[[#This Row],[centro_costo]],tblCECO[codigo],tblCECO[linea],"(sin catálogo)"))</f>
        <v/>
      </c>
      <c r="V666" s="3">
        <f>IF(tblOrdenes[[#This Row],[centro_costo]]="","",_xlfn.XLOOKUP(tblOrdenes[[#This Row],[centro_costo]],tblCECO[codigo],tblCECO[area],"(sin catálogo)"))</f>
        <v/>
      </c>
      <c r="W666" s="3">
        <f>IF(tblOrdenes[[#This Row],[centro_costo]]="","",_xlfn.XLOOKUP(tblOrdenes[[#This Row],[centro_costo]],tblCECO[codigo],tblCECO[coordinador],"(sin catálogo)"))</f>
        <v/>
      </c>
      <c r="X666" s="3">
        <f>IF(tblOrdenes[[#This Row],[puesto_trabajo]]="","",_xlfn.XLOOKUP(tblOrdenes[[#This Row],[puesto_trabajo]],tblPuestos[codigo],tblPuestos[especialidad],"(sin catálogo)"))</f>
        <v/>
      </c>
      <c r="Y666" s="3">
        <f>IF(tblOrdenes[[#This Row],[cod_actividad]]="","",_xlfn.XLOOKUP(tblOrdenes[[#This Row],[cod_actividad]],tblActividades[codigo],tblActividades[descripcion],"(sin catálogo)"))</f>
        <v/>
      </c>
      <c r="Z666" s="12">
        <f>IF(tblOrdenes[[#This Row],[fecha_inicio]]="","",TODAY()-tblOrdenes[[#This Row],[fecha_inicio]])</f>
        <v/>
      </c>
      <c r="AA666" s="3">
        <f>IF(tblOrdenes[[#This Row],[backlog_dias]]="","",IF(tblOrdenes[[#This Row],[backlog_dias]]&lt;0,"FUTURO",IF(tblOrdenes[[#This Row],[backlog_dias]]&gt;p_dias_backlog_max,"BACKLOG","MES CORRIENTE")))</f>
        <v/>
      </c>
      <c r="AB666" s="3">
        <f>IF(tblOrdenes[[#This Row],[backlog_dias]]="",FALSE,AND(tblOrdenes[[#This Row],[backlog_dias]]&gt;p_dias_backlog_min,tblOrdenes[[#This Row],[backlog_dias]]&lt;=p_dias_backlog_max))</f>
        <v/>
      </c>
      <c r="AC666" s="6" t="n"/>
      <c r="AD6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66" s="10">
        <f>IF(tblOrdenes[[#This Row],[orden]]="","",_xlfn.XLOOKUP(tblOrdenes[[#This Row],[id_operacion]],tblEjecucion[id_operacion],tblEjecucion[precio],0))</f>
        <v/>
      </c>
      <c r="AH666" s="10">
        <f>IF(tblOrdenes[[#This Row],[orden]]="","",MAX(0,_xlfn.XLOOKUP(tblOrdenes[[#This Row],[id_operacion]],tblEjecucion[id_operacion],tblEjecucion[costo_plan_total],0)-tblOrdenes[[#This Row],[costo_servicio]]))</f>
        <v/>
      </c>
      <c r="AI666" s="10">
        <f>IF(tblOrdenes[[#This Row],[orden]]="","",tblOrdenes[[#This Row],[costo_servicio]]+tblOrdenes[[#This Row],[costo_materiales]])</f>
        <v/>
      </c>
      <c r="AJ666" s="6" t="n"/>
      <c r="AK666" s="6" t="n"/>
      <c r="AL666" s="6" t="n"/>
      <c r="AM666" s="3">
        <f>IF(tblOrdenes[[#This Row],[link_checklist]]="","",HYPERLINK(p_ruta_base_checklists&amp;tblOrdenes[[#This Row],[link_checklist]],"abrir"))</f>
        <v/>
      </c>
      <c r="AN666" s="6" t="n"/>
      <c r="AO666" s="3">
        <f>IF(tblOrdenes[[#This Row],[orden]]="","",tblOrdenes[[#This Row],[orden]]&amp;IF(tblOrdenes[[#This Row],[operacion]]="","0010",tblOrdenes[[#This Row],[operacion]]))</f>
        <v/>
      </c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11" t="n"/>
      <c r="K667" s="3" t="n"/>
      <c r="L667" s="10" t="n"/>
      <c r="M667" s="6" t="n"/>
      <c r="N6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67" s="3">
        <f>IF(tblOrdenes[[#This Row],[fecha_inicio]]="","",YEAR(tblOrdenes[[#This Row],[fecha_inicio]]))</f>
        <v/>
      </c>
      <c r="R667" s="3">
        <f>IF(tblOrdenes[[#This Row],[fecha_inicio]]="","",MONTH(tblOrdenes[[#This Row],[fecha_inicio]]))</f>
        <v/>
      </c>
      <c r="S667" s="3">
        <f>IF(tblOrdenes[[#This Row],[fecha_inicio]]="","",INDEX(lista_dias,WEEKDAY(tblOrdenes[[#This Row],[fecha_inicio]],2)))</f>
        <v/>
      </c>
      <c r="T667" s="3">
        <f>IF(tblOrdenes[[#This Row],[tipo_ot]]="","",_xlfn.XLOOKUP(tblOrdenes[[#This Row],[tipo_ot]],tblTiposOT[codigo],tblTiposOT[clasificacion],"sin_clasificar"))</f>
        <v/>
      </c>
      <c r="U667" s="3">
        <f>IF(tblOrdenes[[#This Row],[centro_costo]]="","",_xlfn.XLOOKUP(tblOrdenes[[#This Row],[centro_costo]],tblCECO[codigo],tblCECO[linea],"(sin catálogo)"))</f>
        <v/>
      </c>
      <c r="V667" s="3">
        <f>IF(tblOrdenes[[#This Row],[centro_costo]]="","",_xlfn.XLOOKUP(tblOrdenes[[#This Row],[centro_costo]],tblCECO[codigo],tblCECO[area],"(sin catálogo)"))</f>
        <v/>
      </c>
      <c r="W667" s="3">
        <f>IF(tblOrdenes[[#This Row],[centro_costo]]="","",_xlfn.XLOOKUP(tblOrdenes[[#This Row],[centro_costo]],tblCECO[codigo],tblCECO[coordinador],"(sin catálogo)"))</f>
        <v/>
      </c>
      <c r="X667" s="3">
        <f>IF(tblOrdenes[[#This Row],[puesto_trabajo]]="","",_xlfn.XLOOKUP(tblOrdenes[[#This Row],[puesto_trabajo]],tblPuestos[codigo],tblPuestos[especialidad],"(sin catálogo)"))</f>
        <v/>
      </c>
      <c r="Y667" s="3">
        <f>IF(tblOrdenes[[#This Row],[cod_actividad]]="","",_xlfn.XLOOKUP(tblOrdenes[[#This Row],[cod_actividad]],tblActividades[codigo],tblActividades[descripcion],"(sin catálogo)"))</f>
        <v/>
      </c>
      <c r="Z667" s="12">
        <f>IF(tblOrdenes[[#This Row],[fecha_inicio]]="","",TODAY()-tblOrdenes[[#This Row],[fecha_inicio]])</f>
        <v/>
      </c>
      <c r="AA667" s="3">
        <f>IF(tblOrdenes[[#This Row],[backlog_dias]]="","",IF(tblOrdenes[[#This Row],[backlog_dias]]&lt;0,"FUTURO",IF(tblOrdenes[[#This Row],[backlog_dias]]&gt;p_dias_backlog_max,"BACKLOG","MES CORRIENTE")))</f>
        <v/>
      </c>
      <c r="AB667" s="3">
        <f>IF(tblOrdenes[[#This Row],[backlog_dias]]="",FALSE,AND(tblOrdenes[[#This Row],[backlog_dias]]&gt;p_dias_backlog_min,tblOrdenes[[#This Row],[backlog_dias]]&lt;=p_dias_backlog_max))</f>
        <v/>
      </c>
      <c r="AC667" s="6" t="n"/>
      <c r="AD6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67" s="10">
        <f>IF(tblOrdenes[[#This Row],[orden]]="","",_xlfn.XLOOKUP(tblOrdenes[[#This Row],[id_operacion]],tblEjecucion[id_operacion],tblEjecucion[precio],0))</f>
        <v/>
      </c>
      <c r="AH667" s="10">
        <f>IF(tblOrdenes[[#This Row],[orden]]="","",MAX(0,_xlfn.XLOOKUP(tblOrdenes[[#This Row],[id_operacion]],tblEjecucion[id_operacion],tblEjecucion[costo_plan_total],0)-tblOrdenes[[#This Row],[costo_servicio]]))</f>
        <v/>
      </c>
      <c r="AI667" s="10">
        <f>IF(tblOrdenes[[#This Row],[orden]]="","",tblOrdenes[[#This Row],[costo_servicio]]+tblOrdenes[[#This Row],[costo_materiales]])</f>
        <v/>
      </c>
      <c r="AJ667" s="6" t="n"/>
      <c r="AK667" s="6" t="n"/>
      <c r="AL667" s="6" t="n"/>
      <c r="AM667" s="3">
        <f>IF(tblOrdenes[[#This Row],[link_checklist]]="","",HYPERLINK(p_ruta_base_checklists&amp;tblOrdenes[[#This Row],[link_checklist]],"abrir"))</f>
        <v/>
      </c>
      <c r="AN667" s="6" t="n"/>
      <c r="AO667" s="3">
        <f>IF(tblOrdenes[[#This Row],[orden]]="","",tblOrdenes[[#This Row],[orden]]&amp;IF(tblOrdenes[[#This Row],[operacion]]="","0010",tblOrdenes[[#This Row],[operacion]]))</f>
        <v/>
      </c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11" t="n"/>
      <c r="K668" s="3" t="n"/>
      <c r="L668" s="10" t="n"/>
      <c r="M668" s="6" t="n"/>
      <c r="N6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68" s="3">
        <f>IF(tblOrdenes[[#This Row],[fecha_inicio]]="","",YEAR(tblOrdenes[[#This Row],[fecha_inicio]]))</f>
        <v/>
      </c>
      <c r="R668" s="3">
        <f>IF(tblOrdenes[[#This Row],[fecha_inicio]]="","",MONTH(tblOrdenes[[#This Row],[fecha_inicio]]))</f>
        <v/>
      </c>
      <c r="S668" s="3">
        <f>IF(tblOrdenes[[#This Row],[fecha_inicio]]="","",INDEX(lista_dias,WEEKDAY(tblOrdenes[[#This Row],[fecha_inicio]],2)))</f>
        <v/>
      </c>
      <c r="T668" s="3">
        <f>IF(tblOrdenes[[#This Row],[tipo_ot]]="","",_xlfn.XLOOKUP(tblOrdenes[[#This Row],[tipo_ot]],tblTiposOT[codigo],tblTiposOT[clasificacion],"sin_clasificar"))</f>
        <v/>
      </c>
      <c r="U668" s="3">
        <f>IF(tblOrdenes[[#This Row],[centro_costo]]="","",_xlfn.XLOOKUP(tblOrdenes[[#This Row],[centro_costo]],tblCECO[codigo],tblCECO[linea],"(sin catálogo)"))</f>
        <v/>
      </c>
      <c r="V668" s="3">
        <f>IF(tblOrdenes[[#This Row],[centro_costo]]="","",_xlfn.XLOOKUP(tblOrdenes[[#This Row],[centro_costo]],tblCECO[codigo],tblCECO[area],"(sin catálogo)"))</f>
        <v/>
      </c>
      <c r="W668" s="3">
        <f>IF(tblOrdenes[[#This Row],[centro_costo]]="","",_xlfn.XLOOKUP(tblOrdenes[[#This Row],[centro_costo]],tblCECO[codigo],tblCECO[coordinador],"(sin catálogo)"))</f>
        <v/>
      </c>
      <c r="X668" s="3">
        <f>IF(tblOrdenes[[#This Row],[puesto_trabajo]]="","",_xlfn.XLOOKUP(tblOrdenes[[#This Row],[puesto_trabajo]],tblPuestos[codigo],tblPuestos[especialidad],"(sin catálogo)"))</f>
        <v/>
      </c>
      <c r="Y668" s="3">
        <f>IF(tblOrdenes[[#This Row],[cod_actividad]]="","",_xlfn.XLOOKUP(tblOrdenes[[#This Row],[cod_actividad]],tblActividades[codigo],tblActividades[descripcion],"(sin catálogo)"))</f>
        <v/>
      </c>
      <c r="Z668" s="12">
        <f>IF(tblOrdenes[[#This Row],[fecha_inicio]]="","",TODAY()-tblOrdenes[[#This Row],[fecha_inicio]])</f>
        <v/>
      </c>
      <c r="AA668" s="3">
        <f>IF(tblOrdenes[[#This Row],[backlog_dias]]="","",IF(tblOrdenes[[#This Row],[backlog_dias]]&lt;0,"FUTURO",IF(tblOrdenes[[#This Row],[backlog_dias]]&gt;p_dias_backlog_max,"BACKLOG","MES CORRIENTE")))</f>
        <v/>
      </c>
      <c r="AB668" s="3">
        <f>IF(tblOrdenes[[#This Row],[backlog_dias]]="",FALSE,AND(tblOrdenes[[#This Row],[backlog_dias]]&gt;p_dias_backlog_min,tblOrdenes[[#This Row],[backlog_dias]]&lt;=p_dias_backlog_max))</f>
        <v/>
      </c>
      <c r="AC668" s="6" t="n"/>
      <c r="AD6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68" s="10">
        <f>IF(tblOrdenes[[#This Row],[orden]]="","",_xlfn.XLOOKUP(tblOrdenes[[#This Row],[id_operacion]],tblEjecucion[id_operacion],tblEjecucion[precio],0))</f>
        <v/>
      </c>
      <c r="AH668" s="10">
        <f>IF(tblOrdenes[[#This Row],[orden]]="","",MAX(0,_xlfn.XLOOKUP(tblOrdenes[[#This Row],[id_operacion]],tblEjecucion[id_operacion],tblEjecucion[costo_plan_total],0)-tblOrdenes[[#This Row],[costo_servicio]]))</f>
        <v/>
      </c>
      <c r="AI668" s="10">
        <f>IF(tblOrdenes[[#This Row],[orden]]="","",tblOrdenes[[#This Row],[costo_servicio]]+tblOrdenes[[#This Row],[costo_materiales]])</f>
        <v/>
      </c>
      <c r="AJ668" s="6" t="n"/>
      <c r="AK668" s="6" t="n"/>
      <c r="AL668" s="6" t="n"/>
      <c r="AM668" s="3">
        <f>IF(tblOrdenes[[#This Row],[link_checklist]]="","",HYPERLINK(p_ruta_base_checklists&amp;tblOrdenes[[#This Row],[link_checklist]],"abrir"))</f>
        <v/>
      </c>
      <c r="AN668" s="6" t="n"/>
      <c r="AO668" s="3">
        <f>IF(tblOrdenes[[#This Row],[orden]]="","",tblOrdenes[[#This Row],[orden]]&amp;IF(tblOrdenes[[#This Row],[operacion]]="","0010",tblOrdenes[[#This Row],[operacion]]))</f>
        <v/>
      </c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11" t="n"/>
      <c r="K669" s="3" t="n"/>
      <c r="L669" s="10" t="n"/>
      <c r="M669" s="6" t="n"/>
      <c r="N6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69" s="3">
        <f>IF(tblOrdenes[[#This Row],[fecha_inicio]]="","",YEAR(tblOrdenes[[#This Row],[fecha_inicio]]))</f>
        <v/>
      </c>
      <c r="R669" s="3">
        <f>IF(tblOrdenes[[#This Row],[fecha_inicio]]="","",MONTH(tblOrdenes[[#This Row],[fecha_inicio]]))</f>
        <v/>
      </c>
      <c r="S669" s="3">
        <f>IF(tblOrdenes[[#This Row],[fecha_inicio]]="","",INDEX(lista_dias,WEEKDAY(tblOrdenes[[#This Row],[fecha_inicio]],2)))</f>
        <v/>
      </c>
      <c r="T669" s="3">
        <f>IF(tblOrdenes[[#This Row],[tipo_ot]]="","",_xlfn.XLOOKUP(tblOrdenes[[#This Row],[tipo_ot]],tblTiposOT[codigo],tblTiposOT[clasificacion],"sin_clasificar"))</f>
        <v/>
      </c>
      <c r="U669" s="3">
        <f>IF(tblOrdenes[[#This Row],[centro_costo]]="","",_xlfn.XLOOKUP(tblOrdenes[[#This Row],[centro_costo]],tblCECO[codigo],tblCECO[linea],"(sin catálogo)"))</f>
        <v/>
      </c>
      <c r="V669" s="3">
        <f>IF(tblOrdenes[[#This Row],[centro_costo]]="","",_xlfn.XLOOKUP(tblOrdenes[[#This Row],[centro_costo]],tblCECO[codigo],tblCECO[area],"(sin catálogo)"))</f>
        <v/>
      </c>
      <c r="W669" s="3">
        <f>IF(tblOrdenes[[#This Row],[centro_costo]]="","",_xlfn.XLOOKUP(tblOrdenes[[#This Row],[centro_costo]],tblCECO[codigo],tblCECO[coordinador],"(sin catálogo)"))</f>
        <v/>
      </c>
      <c r="X669" s="3">
        <f>IF(tblOrdenes[[#This Row],[puesto_trabajo]]="","",_xlfn.XLOOKUP(tblOrdenes[[#This Row],[puesto_trabajo]],tblPuestos[codigo],tblPuestos[especialidad],"(sin catálogo)"))</f>
        <v/>
      </c>
      <c r="Y669" s="3">
        <f>IF(tblOrdenes[[#This Row],[cod_actividad]]="","",_xlfn.XLOOKUP(tblOrdenes[[#This Row],[cod_actividad]],tblActividades[codigo],tblActividades[descripcion],"(sin catálogo)"))</f>
        <v/>
      </c>
      <c r="Z669" s="12">
        <f>IF(tblOrdenes[[#This Row],[fecha_inicio]]="","",TODAY()-tblOrdenes[[#This Row],[fecha_inicio]])</f>
        <v/>
      </c>
      <c r="AA669" s="3">
        <f>IF(tblOrdenes[[#This Row],[backlog_dias]]="","",IF(tblOrdenes[[#This Row],[backlog_dias]]&lt;0,"FUTURO",IF(tblOrdenes[[#This Row],[backlog_dias]]&gt;p_dias_backlog_max,"BACKLOG","MES CORRIENTE")))</f>
        <v/>
      </c>
      <c r="AB669" s="3">
        <f>IF(tblOrdenes[[#This Row],[backlog_dias]]="",FALSE,AND(tblOrdenes[[#This Row],[backlog_dias]]&gt;p_dias_backlog_min,tblOrdenes[[#This Row],[backlog_dias]]&lt;=p_dias_backlog_max))</f>
        <v/>
      </c>
      <c r="AC669" s="6" t="n"/>
      <c r="AD6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69" s="10">
        <f>IF(tblOrdenes[[#This Row],[orden]]="","",_xlfn.XLOOKUP(tblOrdenes[[#This Row],[id_operacion]],tblEjecucion[id_operacion],tblEjecucion[precio],0))</f>
        <v/>
      </c>
      <c r="AH669" s="10">
        <f>IF(tblOrdenes[[#This Row],[orden]]="","",MAX(0,_xlfn.XLOOKUP(tblOrdenes[[#This Row],[id_operacion]],tblEjecucion[id_operacion],tblEjecucion[costo_plan_total],0)-tblOrdenes[[#This Row],[costo_servicio]]))</f>
        <v/>
      </c>
      <c r="AI669" s="10">
        <f>IF(tblOrdenes[[#This Row],[orden]]="","",tblOrdenes[[#This Row],[costo_servicio]]+tblOrdenes[[#This Row],[costo_materiales]])</f>
        <v/>
      </c>
      <c r="AJ669" s="6" t="n"/>
      <c r="AK669" s="6" t="n"/>
      <c r="AL669" s="6" t="n"/>
      <c r="AM669" s="3">
        <f>IF(tblOrdenes[[#This Row],[link_checklist]]="","",HYPERLINK(p_ruta_base_checklists&amp;tblOrdenes[[#This Row],[link_checklist]],"abrir"))</f>
        <v/>
      </c>
      <c r="AN669" s="6" t="n"/>
      <c r="AO669" s="3">
        <f>IF(tblOrdenes[[#This Row],[orden]]="","",tblOrdenes[[#This Row],[orden]]&amp;IF(tblOrdenes[[#This Row],[operacion]]="","0010",tblOrdenes[[#This Row],[operacion]]))</f>
        <v/>
      </c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11" t="n"/>
      <c r="K670" s="3" t="n"/>
      <c r="L670" s="10" t="n"/>
      <c r="M670" s="6" t="n"/>
      <c r="N6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70" s="3">
        <f>IF(tblOrdenes[[#This Row],[fecha_inicio]]="","",YEAR(tblOrdenes[[#This Row],[fecha_inicio]]))</f>
        <v/>
      </c>
      <c r="R670" s="3">
        <f>IF(tblOrdenes[[#This Row],[fecha_inicio]]="","",MONTH(tblOrdenes[[#This Row],[fecha_inicio]]))</f>
        <v/>
      </c>
      <c r="S670" s="3">
        <f>IF(tblOrdenes[[#This Row],[fecha_inicio]]="","",INDEX(lista_dias,WEEKDAY(tblOrdenes[[#This Row],[fecha_inicio]],2)))</f>
        <v/>
      </c>
      <c r="T670" s="3">
        <f>IF(tblOrdenes[[#This Row],[tipo_ot]]="","",_xlfn.XLOOKUP(tblOrdenes[[#This Row],[tipo_ot]],tblTiposOT[codigo],tblTiposOT[clasificacion],"sin_clasificar"))</f>
        <v/>
      </c>
      <c r="U670" s="3">
        <f>IF(tblOrdenes[[#This Row],[centro_costo]]="","",_xlfn.XLOOKUP(tblOrdenes[[#This Row],[centro_costo]],tblCECO[codigo],tblCECO[linea],"(sin catálogo)"))</f>
        <v/>
      </c>
      <c r="V670" s="3">
        <f>IF(tblOrdenes[[#This Row],[centro_costo]]="","",_xlfn.XLOOKUP(tblOrdenes[[#This Row],[centro_costo]],tblCECO[codigo],tblCECO[area],"(sin catálogo)"))</f>
        <v/>
      </c>
      <c r="W670" s="3">
        <f>IF(tblOrdenes[[#This Row],[centro_costo]]="","",_xlfn.XLOOKUP(tblOrdenes[[#This Row],[centro_costo]],tblCECO[codigo],tblCECO[coordinador],"(sin catálogo)"))</f>
        <v/>
      </c>
      <c r="X670" s="3">
        <f>IF(tblOrdenes[[#This Row],[puesto_trabajo]]="","",_xlfn.XLOOKUP(tblOrdenes[[#This Row],[puesto_trabajo]],tblPuestos[codigo],tblPuestos[especialidad],"(sin catálogo)"))</f>
        <v/>
      </c>
      <c r="Y670" s="3">
        <f>IF(tblOrdenes[[#This Row],[cod_actividad]]="","",_xlfn.XLOOKUP(tblOrdenes[[#This Row],[cod_actividad]],tblActividades[codigo],tblActividades[descripcion],"(sin catálogo)"))</f>
        <v/>
      </c>
      <c r="Z670" s="12">
        <f>IF(tblOrdenes[[#This Row],[fecha_inicio]]="","",TODAY()-tblOrdenes[[#This Row],[fecha_inicio]])</f>
        <v/>
      </c>
      <c r="AA670" s="3">
        <f>IF(tblOrdenes[[#This Row],[backlog_dias]]="","",IF(tblOrdenes[[#This Row],[backlog_dias]]&lt;0,"FUTURO",IF(tblOrdenes[[#This Row],[backlog_dias]]&gt;p_dias_backlog_max,"BACKLOG","MES CORRIENTE")))</f>
        <v/>
      </c>
      <c r="AB670" s="3">
        <f>IF(tblOrdenes[[#This Row],[backlog_dias]]="",FALSE,AND(tblOrdenes[[#This Row],[backlog_dias]]&gt;p_dias_backlog_min,tblOrdenes[[#This Row],[backlog_dias]]&lt;=p_dias_backlog_max))</f>
        <v/>
      </c>
      <c r="AC670" s="6" t="n"/>
      <c r="AD6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70" s="10">
        <f>IF(tblOrdenes[[#This Row],[orden]]="","",_xlfn.XLOOKUP(tblOrdenes[[#This Row],[id_operacion]],tblEjecucion[id_operacion],tblEjecucion[precio],0))</f>
        <v/>
      </c>
      <c r="AH670" s="10">
        <f>IF(tblOrdenes[[#This Row],[orden]]="","",MAX(0,_xlfn.XLOOKUP(tblOrdenes[[#This Row],[id_operacion]],tblEjecucion[id_operacion],tblEjecucion[costo_plan_total],0)-tblOrdenes[[#This Row],[costo_servicio]]))</f>
        <v/>
      </c>
      <c r="AI670" s="10">
        <f>IF(tblOrdenes[[#This Row],[orden]]="","",tblOrdenes[[#This Row],[costo_servicio]]+tblOrdenes[[#This Row],[costo_materiales]])</f>
        <v/>
      </c>
      <c r="AJ670" s="6" t="n"/>
      <c r="AK670" s="6" t="n"/>
      <c r="AL670" s="6" t="n"/>
      <c r="AM670" s="3">
        <f>IF(tblOrdenes[[#This Row],[link_checklist]]="","",HYPERLINK(p_ruta_base_checklists&amp;tblOrdenes[[#This Row],[link_checklist]],"abrir"))</f>
        <v/>
      </c>
      <c r="AN670" s="6" t="n"/>
      <c r="AO670" s="3">
        <f>IF(tblOrdenes[[#This Row],[orden]]="","",tblOrdenes[[#This Row],[orden]]&amp;IF(tblOrdenes[[#This Row],[operacion]]="","0010",tblOrdenes[[#This Row],[operacion]]))</f>
        <v/>
      </c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11" t="n"/>
      <c r="K671" s="3" t="n"/>
      <c r="L671" s="10" t="n"/>
      <c r="M671" s="6" t="n"/>
      <c r="N6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71" s="3">
        <f>IF(tblOrdenes[[#This Row],[fecha_inicio]]="","",YEAR(tblOrdenes[[#This Row],[fecha_inicio]]))</f>
        <v/>
      </c>
      <c r="R671" s="3">
        <f>IF(tblOrdenes[[#This Row],[fecha_inicio]]="","",MONTH(tblOrdenes[[#This Row],[fecha_inicio]]))</f>
        <v/>
      </c>
      <c r="S671" s="3">
        <f>IF(tblOrdenes[[#This Row],[fecha_inicio]]="","",INDEX(lista_dias,WEEKDAY(tblOrdenes[[#This Row],[fecha_inicio]],2)))</f>
        <v/>
      </c>
      <c r="T671" s="3">
        <f>IF(tblOrdenes[[#This Row],[tipo_ot]]="","",_xlfn.XLOOKUP(tblOrdenes[[#This Row],[tipo_ot]],tblTiposOT[codigo],tblTiposOT[clasificacion],"sin_clasificar"))</f>
        <v/>
      </c>
      <c r="U671" s="3">
        <f>IF(tblOrdenes[[#This Row],[centro_costo]]="","",_xlfn.XLOOKUP(tblOrdenes[[#This Row],[centro_costo]],tblCECO[codigo],tblCECO[linea],"(sin catálogo)"))</f>
        <v/>
      </c>
      <c r="V671" s="3">
        <f>IF(tblOrdenes[[#This Row],[centro_costo]]="","",_xlfn.XLOOKUP(tblOrdenes[[#This Row],[centro_costo]],tblCECO[codigo],tblCECO[area],"(sin catálogo)"))</f>
        <v/>
      </c>
      <c r="W671" s="3">
        <f>IF(tblOrdenes[[#This Row],[centro_costo]]="","",_xlfn.XLOOKUP(tblOrdenes[[#This Row],[centro_costo]],tblCECO[codigo],tblCECO[coordinador],"(sin catálogo)"))</f>
        <v/>
      </c>
      <c r="X671" s="3">
        <f>IF(tblOrdenes[[#This Row],[puesto_trabajo]]="","",_xlfn.XLOOKUP(tblOrdenes[[#This Row],[puesto_trabajo]],tblPuestos[codigo],tblPuestos[especialidad],"(sin catálogo)"))</f>
        <v/>
      </c>
      <c r="Y671" s="3">
        <f>IF(tblOrdenes[[#This Row],[cod_actividad]]="","",_xlfn.XLOOKUP(tblOrdenes[[#This Row],[cod_actividad]],tblActividades[codigo],tblActividades[descripcion],"(sin catálogo)"))</f>
        <v/>
      </c>
      <c r="Z671" s="12">
        <f>IF(tblOrdenes[[#This Row],[fecha_inicio]]="","",TODAY()-tblOrdenes[[#This Row],[fecha_inicio]])</f>
        <v/>
      </c>
      <c r="AA671" s="3">
        <f>IF(tblOrdenes[[#This Row],[backlog_dias]]="","",IF(tblOrdenes[[#This Row],[backlog_dias]]&lt;0,"FUTURO",IF(tblOrdenes[[#This Row],[backlog_dias]]&gt;p_dias_backlog_max,"BACKLOG","MES CORRIENTE")))</f>
        <v/>
      </c>
      <c r="AB671" s="3">
        <f>IF(tblOrdenes[[#This Row],[backlog_dias]]="",FALSE,AND(tblOrdenes[[#This Row],[backlog_dias]]&gt;p_dias_backlog_min,tblOrdenes[[#This Row],[backlog_dias]]&lt;=p_dias_backlog_max))</f>
        <v/>
      </c>
      <c r="AC671" s="6" t="n"/>
      <c r="AD6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71" s="10">
        <f>IF(tblOrdenes[[#This Row],[orden]]="","",_xlfn.XLOOKUP(tblOrdenes[[#This Row],[id_operacion]],tblEjecucion[id_operacion],tblEjecucion[precio],0))</f>
        <v/>
      </c>
      <c r="AH671" s="10">
        <f>IF(tblOrdenes[[#This Row],[orden]]="","",MAX(0,_xlfn.XLOOKUP(tblOrdenes[[#This Row],[id_operacion]],tblEjecucion[id_operacion],tblEjecucion[costo_plan_total],0)-tblOrdenes[[#This Row],[costo_servicio]]))</f>
        <v/>
      </c>
      <c r="AI671" s="10">
        <f>IF(tblOrdenes[[#This Row],[orden]]="","",tblOrdenes[[#This Row],[costo_servicio]]+tblOrdenes[[#This Row],[costo_materiales]])</f>
        <v/>
      </c>
      <c r="AJ671" s="6" t="n"/>
      <c r="AK671" s="6" t="n"/>
      <c r="AL671" s="6" t="n"/>
      <c r="AM671" s="3">
        <f>IF(tblOrdenes[[#This Row],[link_checklist]]="","",HYPERLINK(p_ruta_base_checklists&amp;tblOrdenes[[#This Row],[link_checklist]],"abrir"))</f>
        <v/>
      </c>
      <c r="AN671" s="6" t="n"/>
      <c r="AO671" s="3">
        <f>IF(tblOrdenes[[#This Row],[orden]]="","",tblOrdenes[[#This Row],[orden]]&amp;IF(tblOrdenes[[#This Row],[operacion]]="","0010",tblOrdenes[[#This Row],[operacion]]))</f>
        <v/>
      </c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11" t="n"/>
      <c r="K672" s="3" t="n"/>
      <c r="L672" s="10" t="n"/>
      <c r="M672" s="6" t="n"/>
      <c r="N6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72" s="3">
        <f>IF(tblOrdenes[[#This Row],[fecha_inicio]]="","",YEAR(tblOrdenes[[#This Row],[fecha_inicio]]))</f>
        <v/>
      </c>
      <c r="R672" s="3">
        <f>IF(tblOrdenes[[#This Row],[fecha_inicio]]="","",MONTH(tblOrdenes[[#This Row],[fecha_inicio]]))</f>
        <v/>
      </c>
      <c r="S672" s="3">
        <f>IF(tblOrdenes[[#This Row],[fecha_inicio]]="","",INDEX(lista_dias,WEEKDAY(tblOrdenes[[#This Row],[fecha_inicio]],2)))</f>
        <v/>
      </c>
      <c r="T672" s="3">
        <f>IF(tblOrdenes[[#This Row],[tipo_ot]]="","",_xlfn.XLOOKUP(tblOrdenes[[#This Row],[tipo_ot]],tblTiposOT[codigo],tblTiposOT[clasificacion],"sin_clasificar"))</f>
        <v/>
      </c>
      <c r="U672" s="3">
        <f>IF(tblOrdenes[[#This Row],[centro_costo]]="","",_xlfn.XLOOKUP(tblOrdenes[[#This Row],[centro_costo]],tblCECO[codigo],tblCECO[linea],"(sin catálogo)"))</f>
        <v/>
      </c>
      <c r="V672" s="3">
        <f>IF(tblOrdenes[[#This Row],[centro_costo]]="","",_xlfn.XLOOKUP(tblOrdenes[[#This Row],[centro_costo]],tblCECO[codigo],tblCECO[area],"(sin catálogo)"))</f>
        <v/>
      </c>
      <c r="W672" s="3">
        <f>IF(tblOrdenes[[#This Row],[centro_costo]]="","",_xlfn.XLOOKUP(tblOrdenes[[#This Row],[centro_costo]],tblCECO[codigo],tblCECO[coordinador],"(sin catálogo)"))</f>
        <v/>
      </c>
      <c r="X672" s="3">
        <f>IF(tblOrdenes[[#This Row],[puesto_trabajo]]="","",_xlfn.XLOOKUP(tblOrdenes[[#This Row],[puesto_trabajo]],tblPuestos[codigo],tblPuestos[especialidad],"(sin catálogo)"))</f>
        <v/>
      </c>
      <c r="Y672" s="3">
        <f>IF(tblOrdenes[[#This Row],[cod_actividad]]="","",_xlfn.XLOOKUP(tblOrdenes[[#This Row],[cod_actividad]],tblActividades[codigo],tblActividades[descripcion],"(sin catálogo)"))</f>
        <v/>
      </c>
      <c r="Z672" s="12">
        <f>IF(tblOrdenes[[#This Row],[fecha_inicio]]="","",TODAY()-tblOrdenes[[#This Row],[fecha_inicio]])</f>
        <v/>
      </c>
      <c r="AA672" s="3">
        <f>IF(tblOrdenes[[#This Row],[backlog_dias]]="","",IF(tblOrdenes[[#This Row],[backlog_dias]]&lt;0,"FUTURO",IF(tblOrdenes[[#This Row],[backlog_dias]]&gt;p_dias_backlog_max,"BACKLOG","MES CORRIENTE")))</f>
        <v/>
      </c>
      <c r="AB672" s="3">
        <f>IF(tblOrdenes[[#This Row],[backlog_dias]]="",FALSE,AND(tblOrdenes[[#This Row],[backlog_dias]]&gt;p_dias_backlog_min,tblOrdenes[[#This Row],[backlog_dias]]&lt;=p_dias_backlog_max))</f>
        <v/>
      </c>
      <c r="AC672" s="6" t="n"/>
      <c r="AD6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72" s="10">
        <f>IF(tblOrdenes[[#This Row],[orden]]="","",_xlfn.XLOOKUP(tblOrdenes[[#This Row],[id_operacion]],tblEjecucion[id_operacion],tblEjecucion[precio],0))</f>
        <v/>
      </c>
      <c r="AH672" s="10">
        <f>IF(tblOrdenes[[#This Row],[orden]]="","",MAX(0,_xlfn.XLOOKUP(tblOrdenes[[#This Row],[id_operacion]],tblEjecucion[id_operacion],tblEjecucion[costo_plan_total],0)-tblOrdenes[[#This Row],[costo_servicio]]))</f>
        <v/>
      </c>
      <c r="AI672" s="10">
        <f>IF(tblOrdenes[[#This Row],[orden]]="","",tblOrdenes[[#This Row],[costo_servicio]]+tblOrdenes[[#This Row],[costo_materiales]])</f>
        <v/>
      </c>
      <c r="AJ672" s="6" t="n"/>
      <c r="AK672" s="6" t="n"/>
      <c r="AL672" s="6" t="n"/>
      <c r="AM672" s="3">
        <f>IF(tblOrdenes[[#This Row],[link_checklist]]="","",HYPERLINK(p_ruta_base_checklists&amp;tblOrdenes[[#This Row],[link_checklist]],"abrir"))</f>
        <v/>
      </c>
      <c r="AN672" s="6" t="n"/>
      <c r="AO672" s="3">
        <f>IF(tblOrdenes[[#This Row],[orden]]="","",tblOrdenes[[#This Row],[orden]]&amp;IF(tblOrdenes[[#This Row],[operacion]]="","0010",tblOrdenes[[#This Row],[operacion]]))</f>
        <v/>
      </c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11" t="n"/>
      <c r="K673" s="3" t="n"/>
      <c r="L673" s="10" t="n"/>
      <c r="M673" s="6" t="n"/>
      <c r="N6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73" s="3">
        <f>IF(tblOrdenes[[#This Row],[fecha_inicio]]="","",YEAR(tblOrdenes[[#This Row],[fecha_inicio]]))</f>
        <v/>
      </c>
      <c r="R673" s="3">
        <f>IF(tblOrdenes[[#This Row],[fecha_inicio]]="","",MONTH(tblOrdenes[[#This Row],[fecha_inicio]]))</f>
        <v/>
      </c>
      <c r="S673" s="3">
        <f>IF(tblOrdenes[[#This Row],[fecha_inicio]]="","",INDEX(lista_dias,WEEKDAY(tblOrdenes[[#This Row],[fecha_inicio]],2)))</f>
        <v/>
      </c>
      <c r="T673" s="3">
        <f>IF(tblOrdenes[[#This Row],[tipo_ot]]="","",_xlfn.XLOOKUP(tblOrdenes[[#This Row],[tipo_ot]],tblTiposOT[codigo],tblTiposOT[clasificacion],"sin_clasificar"))</f>
        <v/>
      </c>
      <c r="U673" s="3">
        <f>IF(tblOrdenes[[#This Row],[centro_costo]]="","",_xlfn.XLOOKUP(tblOrdenes[[#This Row],[centro_costo]],tblCECO[codigo],tblCECO[linea],"(sin catálogo)"))</f>
        <v/>
      </c>
      <c r="V673" s="3">
        <f>IF(tblOrdenes[[#This Row],[centro_costo]]="","",_xlfn.XLOOKUP(tblOrdenes[[#This Row],[centro_costo]],tblCECO[codigo],tblCECO[area],"(sin catálogo)"))</f>
        <v/>
      </c>
      <c r="W673" s="3">
        <f>IF(tblOrdenes[[#This Row],[centro_costo]]="","",_xlfn.XLOOKUP(tblOrdenes[[#This Row],[centro_costo]],tblCECO[codigo],tblCECO[coordinador],"(sin catálogo)"))</f>
        <v/>
      </c>
      <c r="X673" s="3">
        <f>IF(tblOrdenes[[#This Row],[puesto_trabajo]]="","",_xlfn.XLOOKUP(tblOrdenes[[#This Row],[puesto_trabajo]],tblPuestos[codigo],tblPuestos[especialidad],"(sin catálogo)"))</f>
        <v/>
      </c>
      <c r="Y673" s="3">
        <f>IF(tblOrdenes[[#This Row],[cod_actividad]]="","",_xlfn.XLOOKUP(tblOrdenes[[#This Row],[cod_actividad]],tblActividades[codigo],tblActividades[descripcion],"(sin catálogo)"))</f>
        <v/>
      </c>
      <c r="Z673" s="12">
        <f>IF(tblOrdenes[[#This Row],[fecha_inicio]]="","",TODAY()-tblOrdenes[[#This Row],[fecha_inicio]])</f>
        <v/>
      </c>
      <c r="AA673" s="3">
        <f>IF(tblOrdenes[[#This Row],[backlog_dias]]="","",IF(tblOrdenes[[#This Row],[backlog_dias]]&lt;0,"FUTURO",IF(tblOrdenes[[#This Row],[backlog_dias]]&gt;p_dias_backlog_max,"BACKLOG","MES CORRIENTE")))</f>
        <v/>
      </c>
      <c r="AB673" s="3">
        <f>IF(tblOrdenes[[#This Row],[backlog_dias]]="",FALSE,AND(tblOrdenes[[#This Row],[backlog_dias]]&gt;p_dias_backlog_min,tblOrdenes[[#This Row],[backlog_dias]]&lt;=p_dias_backlog_max))</f>
        <v/>
      </c>
      <c r="AC673" s="6" t="n"/>
      <c r="AD6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73" s="10">
        <f>IF(tblOrdenes[[#This Row],[orden]]="","",_xlfn.XLOOKUP(tblOrdenes[[#This Row],[id_operacion]],tblEjecucion[id_operacion],tblEjecucion[precio],0))</f>
        <v/>
      </c>
      <c r="AH673" s="10">
        <f>IF(tblOrdenes[[#This Row],[orden]]="","",MAX(0,_xlfn.XLOOKUP(tblOrdenes[[#This Row],[id_operacion]],tblEjecucion[id_operacion],tblEjecucion[costo_plan_total],0)-tblOrdenes[[#This Row],[costo_servicio]]))</f>
        <v/>
      </c>
      <c r="AI673" s="10">
        <f>IF(tblOrdenes[[#This Row],[orden]]="","",tblOrdenes[[#This Row],[costo_servicio]]+tblOrdenes[[#This Row],[costo_materiales]])</f>
        <v/>
      </c>
      <c r="AJ673" s="6" t="n"/>
      <c r="AK673" s="6" t="n"/>
      <c r="AL673" s="6" t="n"/>
      <c r="AM673" s="3">
        <f>IF(tblOrdenes[[#This Row],[link_checklist]]="","",HYPERLINK(p_ruta_base_checklists&amp;tblOrdenes[[#This Row],[link_checklist]],"abrir"))</f>
        <v/>
      </c>
      <c r="AN673" s="6" t="n"/>
      <c r="AO673" s="3">
        <f>IF(tblOrdenes[[#This Row],[orden]]="","",tblOrdenes[[#This Row],[orden]]&amp;IF(tblOrdenes[[#This Row],[operacion]]="","0010",tblOrdenes[[#This Row],[operacion]]))</f>
        <v/>
      </c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11" t="n"/>
      <c r="K674" s="3" t="n"/>
      <c r="L674" s="10" t="n"/>
      <c r="M674" s="6" t="n"/>
      <c r="N6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74" s="3">
        <f>IF(tblOrdenes[[#This Row],[fecha_inicio]]="","",YEAR(tblOrdenes[[#This Row],[fecha_inicio]]))</f>
        <v/>
      </c>
      <c r="R674" s="3">
        <f>IF(tblOrdenes[[#This Row],[fecha_inicio]]="","",MONTH(tblOrdenes[[#This Row],[fecha_inicio]]))</f>
        <v/>
      </c>
      <c r="S674" s="3">
        <f>IF(tblOrdenes[[#This Row],[fecha_inicio]]="","",INDEX(lista_dias,WEEKDAY(tblOrdenes[[#This Row],[fecha_inicio]],2)))</f>
        <v/>
      </c>
      <c r="T674" s="3">
        <f>IF(tblOrdenes[[#This Row],[tipo_ot]]="","",_xlfn.XLOOKUP(tblOrdenes[[#This Row],[tipo_ot]],tblTiposOT[codigo],tblTiposOT[clasificacion],"sin_clasificar"))</f>
        <v/>
      </c>
      <c r="U674" s="3">
        <f>IF(tblOrdenes[[#This Row],[centro_costo]]="","",_xlfn.XLOOKUP(tblOrdenes[[#This Row],[centro_costo]],tblCECO[codigo],tblCECO[linea],"(sin catálogo)"))</f>
        <v/>
      </c>
      <c r="V674" s="3">
        <f>IF(tblOrdenes[[#This Row],[centro_costo]]="","",_xlfn.XLOOKUP(tblOrdenes[[#This Row],[centro_costo]],tblCECO[codigo],tblCECO[area],"(sin catálogo)"))</f>
        <v/>
      </c>
      <c r="W674" s="3">
        <f>IF(tblOrdenes[[#This Row],[centro_costo]]="","",_xlfn.XLOOKUP(tblOrdenes[[#This Row],[centro_costo]],tblCECO[codigo],tblCECO[coordinador],"(sin catálogo)"))</f>
        <v/>
      </c>
      <c r="X674" s="3">
        <f>IF(tblOrdenes[[#This Row],[puesto_trabajo]]="","",_xlfn.XLOOKUP(tblOrdenes[[#This Row],[puesto_trabajo]],tblPuestos[codigo],tblPuestos[especialidad],"(sin catálogo)"))</f>
        <v/>
      </c>
      <c r="Y674" s="3">
        <f>IF(tblOrdenes[[#This Row],[cod_actividad]]="","",_xlfn.XLOOKUP(tblOrdenes[[#This Row],[cod_actividad]],tblActividades[codigo],tblActividades[descripcion],"(sin catálogo)"))</f>
        <v/>
      </c>
      <c r="Z674" s="12">
        <f>IF(tblOrdenes[[#This Row],[fecha_inicio]]="","",TODAY()-tblOrdenes[[#This Row],[fecha_inicio]])</f>
        <v/>
      </c>
      <c r="AA674" s="3">
        <f>IF(tblOrdenes[[#This Row],[backlog_dias]]="","",IF(tblOrdenes[[#This Row],[backlog_dias]]&lt;0,"FUTURO",IF(tblOrdenes[[#This Row],[backlog_dias]]&gt;p_dias_backlog_max,"BACKLOG","MES CORRIENTE")))</f>
        <v/>
      </c>
      <c r="AB674" s="3">
        <f>IF(tblOrdenes[[#This Row],[backlog_dias]]="",FALSE,AND(tblOrdenes[[#This Row],[backlog_dias]]&gt;p_dias_backlog_min,tblOrdenes[[#This Row],[backlog_dias]]&lt;=p_dias_backlog_max))</f>
        <v/>
      </c>
      <c r="AC674" s="6" t="n"/>
      <c r="AD6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74" s="10">
        <f>IF(tblOrdenes[[#This Row],[orden]]="","",_xlfn.XLOOKUP(tblOrdenes[[#This Row],[id_operacion]],tblEjecucion[id_operacion],tblEjecucion[precio],0))</f>
        <v/>
      </c>
      <c r="AH674" s="10">
        <f>IF(tblOrdenes[[#This Row],[orden]]="","",MAX(0,_xlfn.XLOOKUP(tblOrdenes[[#This Row],[id_operacion]],tblEjecucion[id_operacion],tblEjecucion[costo_plan_total],0)-tblOrdenes[[#This Row],[costo_servicio]]))</f>
        <v/>
      </c>
      <c r="AI674" s="10">
        <f>IF(tblOrdenes[[#This Row],[orden]]="","",tblOrdenes[[#This Row],[costo_servicio]]+tblOrdenes[[#This Row],[costo_materiales]])</f>
        <v/>
      </c>
      <c r="AJ674" s="6" t="n"/>
      <c r="AK674" s="6" t="n"/>
      <c r="AL674" s="6" t="n"/>
      <c r="AM674" s="3">
        <f>IF(tblOrdenes[[#This Row],[link_checklist]]="","",HYPERLINK(p_ruta_base_checklists&amp;tblOrdenes[[#This Row],[link_checklist]],"abrir"))</f>
        <v/>
      </c>
      <c r="AN674" s="6" t="n"/>
      <c r="AO674" s="3">
        <f>IF(tblOrdenes[[#This Row],[orden]]="","",tblOrdenes[[#This Row],[orden]]&amp;IF(tblOrdenes[[#This Row],[operacion]]="","0010",tblOrdenes[[#This Row],[operacion]]))</f>
        <v/>
      </c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11" t="n"/>
      <c r="K675" s="3" t="n"/>
      <c r="L675" s="10" t="n"/>
      <c r="M675" s="6" t="n"/>
      <c r="N6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75" s="3">
        <f>IF(tblOrdenes[[#This Row],[fecha_inicio]]="","",YEAR(tblOrdenes[[#This Row],[fecha_inicio]]))</f>
        <v/>
      </c>
      <c r="R675" s="3">
        <f>IF(tblOrdenes[[#This Row],[fecha_inicio]]="","",MONTH(tblOrdenes[[#This Row],[fecha_inicio]]))</f>
        <v/>
      </c>
      <c r="S675" s="3">
        <f>IF(tblOrdenes[[#This Row],[fecha_inicio]]="","",INDEX(lista_dias,WEEKDAY(tblOrdenes[[#This Row],[fecha_inicio]],2)))</f>
        <v/>
      </c>
      <c r="T675" s="3">
        <f>IF(tblOrdenes[[#This Row],[tipo_ot]]="","",_xlfn.XLOOKUP(tblOrdenes[[#This Row],[tipo_ot]],tblTiposOT[codigo],tblTiposOT[clasificacion],"sin_clasificar"))</f>
        <v/>
      </c>
      <c r="U675" s="3">
        <f>IF(tblOrdenes[[#This Row],[centro_costo]]="","",_xlfn.XLOOKUP(tblOrdenes[[#This Row],[centro_costo]],tblCECO[codigo],tblCECO[linea],"(sin catálogo)"))</f>
        <v/>
      </c>
      <c r="V675" s="3">
        <f>IF(tblOrdenes[[#This Row],[centro_costo]]="","",_xlfn.XLOOKUP(tblOrdenes[[#This Row],[centro_costo]],tblCECO[codigo],tblCECO[area],"(sin catálogo)"))</f>
        <v/>
      </c>
      <c r="W675" s="3">
        <f>IF(tblOrdenes[[#This Row],[centro_costo]]="","",_xlfn.XLOOKUP(tblOrdenes[[#This Row],[centro_costo]],tblCECO[codigo],tblCECO[coordinador],"(sin catálogo)"))</f>
        <v/>
      </c>
      <c r="X675" s="3">
        <f>IF(tblOrdenes[[#This Row],[puesto_trabajo]]="","",_xlfn.XLOOKUP(tblOrdenes[[#This Row],[puesto_trabajo]],tblPuestos[codigo],tblPuestos[especialidad],"(sin catálogo)"))</f>
        <v/>
      </c>
      <c r="Y675" s="3">
        <f>IF(tblOrdenes[[#This Row],[cod_actividad]]="","",_xlfn.XLOOKUP(tblOrdenes[[#This Row],[cod_actividad]],tblActividades[codigo],tblActividades[descripcion],"(sin catálogo)"))</f>
        <v/>
      </c>
      <c r="Z675" s="12">
        <f>IF(tblOrdenes[[#This Row],[fecha_inicio]]="","",TODAY()-tblOrdenes[[#This Row],[fecha_inicio]])</f>
        <v/>
      </c>
      <c r="AA675" s="3">
        <f>IF(tblOrdenes[[#This Row],[backlog_dias]]="","",IF(tblOrdenes[[#This Row],[backlog_dias]]&lt;0,"FUTURO",IF(tblOrdenes[[#This Row],[backlog_dias]]&gt;p_dias_backlog_max,"BACKLOG","MES CORRIENTE")))</f>
        <v/>
      </c>
      <c r="AB675" s="3">
        <f>IF(tblOrdenes[[#This Row],[backlog_dias]]="",FALSE,AND(tblOrdenes[[#This Row],[backlog_dias]]&gt;p_dias_backlog_min,tblOrdenes[[#This Row],[backlog_dias]]&lt;=p_dias_backlog_max))</f>
        <v/>
      </c>
      <c r="AC675" s="6" t="n"/>
      <c r="AD6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75" s="10">
        <f>IF(tblOrdenes[[#This Row],[orden]]="","",_xlfn.XLOOKUP(tblOrdenes[[#This Row],[id_operacion]],tblEjecucion[id_operacion],tblEjecucion[precio],0))</f>
        <v/>
      </c>
      <c r="AH675" s="10">
        <f>IF(tblOrdenes[[#This Row],[orden]]="","",MAX(0,_xlfn.XLOOKUP(tblOrdenes[[#This Row],[id_operacion]],tblEjecucion[id_operacion],tblEjecucion[costo_plan_total],0)-tblOrdenes[[#This Row],[costo_servicio]]))</f>
        <v/>
      </c>
      <c r="AI675" s="10">
        <f>IF(tblOrdenes[[#This Row],[orden]]="","",tblOrdenes[[#This Row],[costo_servicio]]+tblOrdenes[[#This Row],[costo_materiales]])</f>
        <v/>
      </c>
      <c r="AJ675" s="6" t="n"/>
      <c r="AK675" s="6" t="n"/>
      <c r="AL675" s="6" t="n"/>
      <c r="AM675" s="3">
        <f>IF(tblOrdenes[[#This Row],[link_checklist]]="","",HYPERLINK(p_ruta_base_checklists&amp;tblOrdenes[[#This Row],[link_checklist]],"abrir"))</f>
        <v/>
      </c>
      <c r="AN675" s="6" t="n"/>
      <c r="AO675" s="3">
        <f>IF(tblOrdenes[[#This Row],[orden]]="","",tblOrdenes[[#This Row],[orden]]&amp;IF(tblOrdenes[[#This Row],[operacion]]="","0010",tblOrdenes[[#This Row],[operacion]]))</f>
        <v/>
      </c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11" t="n"/>
      <c r="K676" s="3" t="n"/>
      <c r="L676" s="10" t="n"/>
      <c r="M676" s="6" t="n"/>
      <c r="N6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76" s="3">
        <f>IF(tblOrdenes[[#This Row],[fecha_inicio]]="","",YEAR(tblOrdenes[[#This Row],[fecha_inicio]]))</f>
        <v/>
      </c>
      <c r="R676" s="3">
        <f>IF(tblOrdenes[[#This Row],[fecha_inicio]]="","",MONTH(tblOrdenes[[#This Row],[fecha_inicio]]))</f>
        <v/>
      </c>
      <c r="S676" s="3">
        <f>IF(tblOrdenes[[#This Row],[fecha_inicio]]="","",INDEX(lista_dias,WEEKDAY(tblOrdenes[[#This Row],[fecha_inicio]],2)))</f>
        <v/>
      </c>
      <c r="T676" s="3">
        <f>IF(tblOrdenes[[#This Row],[tipo_ot]]="","",_xlfn.XLOOKUP(tblOrdenes[[#This Row],[tipo_ot]],tblTiposOT[codigo],tblTiposOT[clasificacion],"sin_clasificar"))</f>
        <v/>
      </c>
      <c r="U676" s="3">
        <f>IF(tblOrdenes[[#This Row],[centro_costo]]="","",_xlfn.XLOOKUP(tblOrdenes[[#This Row],[centro_costo]],tblCECO[codigo],tblCECO[linea],"(sin catálogo)"))</f>
        <v/>
      </c>
      <c r="V676" s="3">
        <f>IF(tblOrdenes[[#This Row],[centro_costo]]="","",_xlfn.XLOOKUP(tblOrdenes[[#This Row],[centro_costo]],tblCECO[codigo],tblCECO[area],"(sin catálogo)"))</f>
        <v/>
      </c>
      <c r="W676" s="3">
        <f>IF(tblOrdenes[[#This Row],[centro_costo]]="","",_xlfn.XLOOKUP(tblOrdenes[[#This Row],[centro_costo]],tblCECO[codigo],tblCECO[coordinador],"(sin catálogo)"))</f>
        <v/>
      </c>
      <c r="X676" s="3">
        <f>IF(tblOrdenes[[#This Row],[puesto_trabajo]]="","",_xlfn.XLOOKUP(tblOrdenes[[#This Row],[puesto_trabajo]],tblPuestos[codigo],tblPuestos[especialidad],"(sin catálogo)"))</f>
        <v/>
      </c>
      <c r="Y676" s="3">
        <f>IF(tblOrdenes[[#This Row],[cod_actividad]]="","",_xlfn.XLOOKUP(tblOrdenes[[#This Row],[cod_actividad]],tblActividades[codigo],tblActividades[descripcion],"(sin catálogo)"))</f>
        <v/>
      </c>
      <c r="Z676" s="12">
        <f>IF(tblOrdenes[[#This Row],[fecha_inicio]]="","",TODAY()-tblOrdenes[[#This Row],[fecha_inicio]])</f>
        <v/>
      </c>
      <c r="AA676" s="3">
        <f>IF(tblOrdenes[[#This Row],[backlog_dias]]="","",IF(tblOrdenes[[#This Row],[backlog_dias]]&lt;0,"FUTURO",IF(tblOrdenes[[#This Row],[backlog_dias]]&gt;p_dias_backlog_max,"BACKLOG","MES CORRIENTE")))</f>
        <v/>
      </c>
      <c r="AB676" s="3">
        <f>IF(tblOrdenes[[#This Row],[backlog_dias]]="",FALSE,AND(tblOrdenes[[#This Row],[backlog_dias]]&gt;p_dias_backlog_min,tblOrdenes[[#This Row],[backlog_dias]]&lt;=p_dias_backlog_max))</f>
        <v/>
      </c>
      <c r="AC676" s="6" t="n"/>
      <c r="AD6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76" s="10">
        <f>IF(tblOrdenes[[#This Row],[orden]]="","",_xlfn.XLOOKUP(tblOrdenes[[#This Row],[id_operacion]],tblEjecucion[id_operacion],tblEjecucion[precio],0))</f>
        <v/>
      </c>
      <c r="AH676" s="10">
        <f>IF(tblOrdenes[[#This Row],[orden]]="","",MAX(0,_xlfn.XLOOKUP(tblOrdenes[[#This Row],[id_operacion]],tblEjecucion[id_operacion],tblEjecucion[costo_plan_total],0)-tblOrdenes[[#This Row],[costo_servicio]]))</f>
        <v/>
      </c>
      <c r="AI676" s="10">
        <f>IF(tblOrdenes[[#This Row],[orden]]="","",tblOrdenes[[#This Row],[costo_servicio]]+tblOrdenes[[#This Row],[costo_materiales]])</f>
        <v/>
      </c>
      <c r="AJ676" s="6" t="n"/>
      <c r="AK676" s="6" t="n"/>
      <c r="AL676" s="6" t="n"/>
      <c r="AM676" s="3">
        <f>IF(tblOrdenes[[#This Row],[link_checklist]]="","",HYPERLINK(p_ruta_base_checklists&amp;tblOrdenes[[#This Row],[link_checklist]],"abrir"))</f>
        <v/>
      </c>
      <c r="AN676" s="6" t="n"/>
      <c r="AO676" s="3">
        <f>IF(tblOrdenes[[#This Row],[orden]]="","",tblOrdenes[[#This Row],[orden]]&amp;IF(tblOrdenes[[#This Row],[operacion]]="","0010",tblOrdenes[[#This Row],[operacion]]))</f>
        <v/>
      </c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11" t="n"/>
      <c r="K677" s="3" t="n"/>
      <c r="L677" s="10" t="n"/>
      <c r="M677" s="6" t="n"/>
      <c r="N6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77" s="3">
        <f>IF(tblOrdenes[[#This Row],[fecha_inicio]]="","",YEAR(tblOrdenes[[#This Row],[fecha_inicio]]))</f>
        <v/>
      </c>
      <c r="R677" s="3">
        <f>IF(tblOrdenes[[#This Row],[fecha_inicio]]="","",MONTH(tblOrdenes[[#This Row],[fecha_inicio]]))</f>
        <v/>
      </c>
      <c r="S677" s="3">
        <f>IF(tblOrdenes[[#This Row],[fecha_inicio]]="","",INDEX(lista_dias,WEEKDAY(tblOrdenes[[#This Row],[fecha_inicio]],2)))</f>
        <v/>
      </c>
      <c r="T677" s="3">
        <f>IF(tblOrdenes[[#This Row],[tipo_ot]]="","",_xlfn.XLOOKUP(tblOrdenes[[#This Row],[tipo_ot]],tblTiposOT[codigo],tblTiposOT[clasificacion],"sin_clasificar"))</f>
        <v/>
      </c>
      <c r="U677" s="3">
        <f>IF(tblOrdenes[[#This Row],[centro_costo]]="","",_xlfn.XLOOKUP(tblOrdenes[[#This Row],[centro_costo]],tblCECO[codigo],tblCECO[linea],"(sin catálogo)"))</f>
        <v/>
      </c>
      <c r="V677" s="3">
        <f>IF(tblOrdenes[[#This Row],[centro_costo]]="","",_xlfn.XLOOKUP(tblOrdenes[[#This Row],[centro_costo]],tblCECO[codigo],tblCECO[area],"(sin catálogo)"))</f>
        <v/>
      </c>
      <c r="W677" s="3">
        <f>IF(tblOrdenes[[#This Row],[centro_costo]]="","",_xlfn.XLOOKUP(tblOrdenes[[#This Row],[centro_costo]],tblCECO[codigo],tblCECO[coordinador],"(sin catálogo)"))</f>
        <v/>
      </c>
      <c r="X677" s="3">
        <f>IF(tblOrdenes[[#This Row],[puesto_trabajo]]="","",_xlfn.XLOOKUP(tblOrdenes[[#This Row],[puesto_trabajo]],tblPuestos[codigo],tblPuestos[especialidad],"(sin catálogo)"))</f>
        <v/>
      </c>
      <c r="Y677" s="3">
        <f>IF(tblOrdenes[[#This Row],[cod_actividad]]="","",_xlfn.XLOOKUP(tblOrdenes[[#This Row],[cod_actividad]],tblActividades[codigo],tblActividades[descripcion],"(sin catálogo)"))</f>
        <v/>
      </c>
      <c r="Z677" s="12">
        <f>IF(tblOrdenes[[#This Row],[fecha_inicio]]="","",TODAY()-tblOrdenes[[#This Row],[fecha_inicio]])</f>
        <v/>
      </c>
      <c r="AA677" s="3">
        <f>IF(tblOrdenes[[#This Row],[backlog_dias]]="","",IF(tblOrdenes[[#This Row],[backlog_dias]]&lt;0,"FUTURO",IF(tblOrdenes[[#This Row],[backlog_dias]]&gt;p_dias_backlog_max,"BACKLOG","MES CORRIENTE")))</f>
        <v/>
      </c>
      <c r="AB677" s="3">
        <f>IF(tblOrdenes[[#This Row],[backlog_dias]]="",FALSE,AND(tblOrdenes[[#This Row],[backlog_dias]]&gt;p_dias_backlog_min,tblOrdenes[[#This Row],[backlog_dias]]&lt;=p_dias_backlog_max))</f>
        <v/>
      </c>
      <c r="AC677" s="6" t="n"/>
      <c r="AD6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77" s="10">
        <f>IF(tblOrdenes[[#This Row],[orden]]="","",_xlfn.XLOOKUP(tblOrdenes[[#This Row],[id_operacion]],tblEjecucion[id_operacion],tblEjecucion[precio],0))</f>
        <v/>
      </c>
      <c r="AH677" s="10">
        <f>IF(tblOrdenes[[#This Row],[orden]]="","",MAX(0,_xlfn.XLOOKUP(tblOrdenes[[#This Row],[id_operacion]],tblEjecucion[id_operacion],tblEjecucion[costo_plan_total],0)-tblOrdenes[[#This Row],[costo_servicio]]))</f>
        <v/>
      </c>
      <c r="AI677" s="10">
        <f>IF(tblOrdenes[[#This Row],[orden]]="","",tblOrdenes[[#This Row],[costo_servicio]]+tblOrdenes[[#This Row],[costo_materiales]])</f>
        <v/>
      </c>
      <c r="AJ677" s="6" t="n"/>
      <c r="AK677" s="6" t="n"/>
      <c r="AL677" s="6" t="n"/>
      <c r="AM677" s="3">
        <f>IF(tblOrdenes[[#This Row],[link_checklist]]="","",HYPERLINK(p_ruta_base_checklists&amp;tblOrdenes[[#This Row],[link_checklist]],"abrir"))</f>
        <v/>
      </c>
      <c r="AN677" s="6" t="n"/>
      <c r="AO677" s="3">
        <f>IF(tblOrdenes[[#This Row],[orden]]="","",tblOrdenes[[#This Row],[orden]]&amp;IF(tblOrdenes[[#This Row],[operacion]]="","0010",tblOrdenes[[#This Row],[operacion]]))</f>
        <v/>
      </c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11" t="n"/>
      <c r="K678" s="3" t="n"/>
      <c r="L678" s="10" t="n"/>
      <c r="M678" s="6" t="n"/>
      <c r="N6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78" s="3">
        <f>IF(tblOrdenes[[#This Row],[fecha_inicio]]="","",YEAR(tblOrdenes[[#This Row],[fecha_inicio]]))</f>
        <v/>
      </c>
      <c r="R678" s="3">
        <f>IF(tblOrdenes[[#This Row],[fecha_inicio]]="","",MONTH(tblOrdenes[[#This Row],[fecha_inicio]]))</f>
        <v/>
      </c>
      <c r="S678" s="3">
        <f>IF(tblOrdenes[[#This Row],[fecha_inicio]]="","",INDEX(lista_dias,WEEKDAY(tblOrdenes[[#This Row],[fecha_inicio]],2)))</f>
        <v/>
      </c>
      <c r="T678" s="3">
        <f>IF(tblOrdenes[[#This Row],[tipo_ot]]="","",_xlfn.XLOOKUP(tblOrdenes[[#This Row],[tipo_ot]],tblTiposOT[codigo],tblTiposOT[clasificacion],"sin_clasificar"))</f>
        <v/>
      </c>
      <c r="U678" s="3">
        <f>IF(tblOrdenes[[#This Row],[centro_costo]]="","",_xlfn.XLOOKUP(tblOrdenes[[#This Row],[centro_costo]],tblCECO[codigo],tblCECO[linea],"(sin catálogo)"))</f>
        <v/>
      </c>
      <c r="V678" s="3">
        <f>IF(tblOrdenes[[#This Row],[centro_costo]]="","",_xlfn.XLOOKUP(tblOrdenes[[#This Row],[centro_costo]],tblCECO[codigo],tblCECO[area],"(sin catálogo)"))</f>
        <v/>
      </c>
      <c r="W678" s="3">
        <f>IF(tblOrdenes[[#This Row],[centro_costo]]="","",_xlfn.XLOOKUP(tblOrdenes[[#This Row],[centro_costo]],tblCECO[codigo],tblCECO[coordinador],"(sin catálogo)"))</f>
        <v/>
      </c>
      <c r="X678" s="3">
        <f>IF(tblOrdenes[[#This Row],[puesto_trabajo]]="","",_xlfn.XLOOKUP(tblOrdenes[[#This Row],[puesto_trabajo]],tblPuestos[codigo],tblPuestos[especialidad],"(sin catálogo)"))</f>
        <v/>
      </c>
      <c r="Y678" s="3">
        <f>IF(tblOrdenes[[#This Row],[cod_actividad]]="","",_xlfn.XLOOKUP(tblOrdenes[[#This Row],[cod_actividad]],tblActividades[codigo],tblActividades[descripcion],"(sin catálogo)"))</f>
        <v/>
      </c>
      <c r="Z678" s="12">
        <f>IF(tblOrdenes[[#This Row],[fecha_inicio]]="","",TODAY()-tblOrdenes[[#This Row],[fecha_inicio]])</f>
        <v/>
      </c>
      <c r="AA678" s="3">
        <f>IF(tblOrdenes[[#This Row],[backlog_dias]]="","",IF(tblOrdenes[[#This Row],[backlog_dias]]&lt;0,"FUTURO",IF(tblOrdenes[[#This Row],[backlog_dias]]&gt;p_dias_backlog_max,"BACKLOG","MES CORRIENTE")))</f>
        <v/>
      </c>
      <c r="AB678" s="3">
        <f>IF(tblOrdenes[[#This Row],[backlog_dias]]="",FALSE,AND(tblOrdenes[[#This Row],[backlog_dias]]&gt;p_dias_backlog_min,tblOrdenes[[#This Row],[backlog_dias]]&lt;=p_dias_backlog_max))</f>
        <v/>
      </c>
      <c r="AC678" s="6" t="n"/>
      <c r="AD6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78" s="10">
        <f>IF(tblOrdenes[[#This Row],[orden]]="","",_xlfn.XLOOKUP(tblOrdenes[[#This Row],[id_operacion]],tblEjecucion[id_operacion],tblEjecucion[precio],0))</f>
        <v/>
      </c>
      <c r="AH678" s="10">
        <f>IF(tblOrdenes[[#This Row],[orden]]="","",MAX(0,_xlfn.XLOOKUP(tblOrdenes[[#This Row],[id_operacion]],tblEjecucion[id_operacion],tblEjecucion[costo_plan_total],0)-tblOrdenes[[#This Row],[costo_servicio]]))</f>
        <v/>
      </c>
      <c r="AI678" s="10">
        <f>IF(tblOrdenes[[#This Row],[orden]]="","",tblOrdenes[[#This Row],[costo_servicio]]+tblOrdenes[[#This Row],[costo_materiales]])</f>
        <v/>
      </c>
      <c r="AJ678" s="6" t="n"/>
      <c r="AK678" s="6" t="n"/>
      <c r="AL678" s="6" t="n"/>
      <c r="AM678" s="3">
        <f>IF(tblOrdenes[[#This Row],[link_checklist]]="","",HYPERLINK(p_ruta_base_checklists&amp;tblOrdenes[[#This Row],[link_checklist]],"abrir"))</f>
        <v/>
      </c>
      <c r="AN678" s="6" t="n"/>
      <c r="AO678" s="3">
        <f>IF(tblOrdenes[[#This Row],[orden]]="","",tblOrdenes[[#This Row],[orden]]&amp;IF(tblOrdenes[[#This Row],[operacion]]="","0010",tblOrdenes[[#This Row],[operacion]]))</f>
        <v/>
      </c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11" t="n"/>
      <c r="K679" s="3" t="n"/>
      <c r="L679" s="10" t="n"/>
      <c r="M679" s="6" t="n"/>
      <c r="N6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79" s="3">
        <f>IF(tblOrdenes[[#This Row],[fecha_inicio]]="","",YEAR(tblOrdenes[[#This Row],[fecha_inicio]]))</f>
        <v/>
      </c>
      <c r="R679" s="3">
        <f>IF(tblOrdenes[[#This Row],[fecha_inicio]]="","",MONTH(tblOrdenes[[#This Row],[fecha_inicio]]))</f>
        <v/>
      </c>
      <c r="S679" s="3">
        <f>IF(tblOrdenes[[#This Row],[fecha_inicio]]="","",INDEX(lista_dias,WEEKDAY(tblOrdenes[[#This Row],[fecha_inicio]],2)))</f>
        <v/>
      </c>
      <c r="T679" s="3">
        <f>IF(tblOrdenes[[#This Row],[tipo_ot]]="","",_xlfn.XLOOKUP(tblOrdenes[[#This Row],[tipo_ot]],tblTiposOT[codigo],tblTiposOT[clasificacion],"sin_clasificar"))</f>
        <v/>
      </c>
      <c r="U679" s="3">
        <f>IF(tblOrdenes[[#This Row],[centro_costo]]="","",_xlfn.XLOOKUP(tblOrdenes[[#This Row],[centro_costo]],tblCECO[codigo],tblCECO[linea],"(sin catálogo)"))</f>
        <v/>
      </c>
      <c r="V679" s="3">
        <f>IF(tblOrdenes[[#This Row],[centro_costo]]="","",_xlfn.XLOOKUP(tblOrdenes[[#This Row],[centro_costo]],tblCECO[codigo],tblCECO[area],"(sin catálogo)"))</f>
        <v/>
      </c>
      <c r="W679" s="3">
        <f>IF(tblOrdenes[[#This Row],[centro_costo]]="","",_xlfn.XLOOKUP(tblOrdenes[[#This Row],[centro_costo]],tblCECO[codigo],tblCECO[coordinador],"(sin catálogo)"))</f>
        <v/>
      </c>
      <c r="X679" s="3">
        <f>IF(tblOrdenes[[#This Row],[puesto_trabajo]]="","",_xlfn.XLOOKUP(tblOrdenes[[#This Row],[puesto_trabajo]],tblPuestos[codigo],tblPuestos[especialidad],"(sin catálogo)"))</f>
        <v/>
      </c>
      <c r="Y679" s="3">
        <f>IF(tblOrdenes[[#This Row],[cod_actividad]]="","",_xlfn.XLOOKUP(tblOrdenes[[#This Row],[cod_actividad]],tblActividades[codigo],tblActividades[descripcion],"(sin catálogo)"))</f>
        <v/>
      </c>
      <c r="Z679" s="12">
        <f>IF(tblOrdenes[[#This Row],[fecha_inicio]]="","",TODAY()-tblOrdenes[[#This Row],[fecha_inicio]])</f>
        <v/>
      </c>
      <c r="AA679" s="3">
        <f>IF(tblOrdenes[[#This Row],[backlog_dias]]="","",IF(tblOrdenes[[#This Row],[backlog_dias]]&lt;0,"FUTURO",IF(tblOrdenes[[#This Row],[backlog_dias]]&gt;p_dias_backlog_max,"BACKLOG","MES CORRIENTE")))</f>
        <v/>
      </c>
      <c r="AB679" s="3">
        <f>IF(tblOrdenes[[#This Row],[backlog_dias]]="",FALSE,AND(tblOrdenes[[#This Row],[backlog_dias]]&gt;p_dias_backlog_min,tblOrdenes[[#This Row],[backlog_dias]]&lt;=p_dias_backlog_max))</f>
        <v/>
      </c>
      <c r="AC679" s="6" t="n"/>
      <c r="AD6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79" s="10">
        <f>IF(tblOrdenes[[#This Row],[orden]]="","",_xlfn.XLOOKUP(tblOrdenes[[#This Row],[id_operacion]],tblEjecucion[id_operacion],tblEjecucion[precio],0))</f>
        <v/>
      </c>
      <c r="AH679" s="10">
        <f>IF(tblOrdenes[[#This Row],[orden]]="","",MAX(0,_xlfn.XLOOKUP(tblOrdenes[[#This Row],[id_operacion]],tblEjecucion[id_operacion],tblEjecucion[costo_plan_total],0)-tblOrdenes[[#This Row],[costo_servicio]]))</f>
        <v/>
      </c>
      <c r="AI679" s="10">
        <f>IF(tblOrdenes[[#This Row],[orden]]="","",tblOrdenes[[#This Row],[costo_servicio]]+tblOrdenes[[#This Row],[costo_materiales]])</f>
        <v/>
      </c>
      <c r="AJ679" s="6" t="n"/>
      <c r="AK679" s="6" t="n"/>
      <c r="AL679" s="6" t="n"/>
      <c r="AM679" s="3">
        <f>IF(tblOrdenes[[#This Row],[link_checklist]]="","",HYPERLINK(p_ruta_base_checklists&amp;tblOrdenes[[#This Row],[link_checklist]],"abrir"))</f>
        <v/>
      </c>
      <c r="AN679" s="6" t="n"/>
      <c r="AO679" s="3">
        <f>IF(tblOrdenes[[#This Row],[orden]]="","",tblOrdenes[[#This Row],[orden]]&amp;IF(tblOrdenes[[#This Row],[operacion]]="","0010",tblOrdenes[[#This Row],[operacion]]))</f>
        <v/>
      </c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11" t="n"/>
      <c r="K680" s="3" t="n"/>
      <c r="L680" s="10" t="n"/>
      <c r="M680" s="6" t="n"/>
      <c r="N6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80" s="3">
        <f>IF(tblOrdenes[[#This Row],[fecha_inicio]]="","",YEAR(tblOrdenes[[#This Row],[fecha_inicio]]))</f>
        <v/>
      </c>
      <c r="R680" s="3">
        <f>IF(tblOrdenes[[#This Row],[fecha_inicio]]="","",MONTH(tblOrdenes[[#This Row],[fecha_inicio]]))</f>
        <v/>
      </c>
      <c r="S680" s="3">
        <f>IF(tblOrdenes[[#This Row],[fecha_inicio]]="","",INDEX(lista_dias,WEEKDAY(tblOrdenes[[#This Row],[fecha_inicio]],2)))</f>
        <v/>
      </c>
      <c r="T680" s="3">
        <f>IF(tblOrdenes[[#This Row],[tipo_ot]]="","",_xlfn.XLOOKUP(tblOrdenes[[#This Row],[tipo_ot]],tblTiposOT[codigo],tblTiposOT[clasificacion],"sin_clasificar"))</f>
        <v/>
      </c>
      <c r="U680" s="3">
        <f>IF(tblOrdenes[[#This Row],[centro_costo]]="","",_xlfn.XLOOKUP(tblOrdenes[[#This Row],[centro_costo]],tblCECO[codigo],tblCECO[linea],"(sin catálogo)"))</f>
        <v/>
      </c>
      <c r="V680" s="3">
        <f>IF(tblOrdenes[[#This Row],[centro_costo]]="","",_xlfn.XLOOKUP(tblOrdenes[[#This Row],[centro_costo]],tblCECO[codigo],tblCECO[area],"(sin catálogo)"))</f>
        <v/>
      </c>
      <c r="W680" s="3">
        <f>IF(tblOrdenes[[#This Row],[centro_costo]]="","",_xlfn.XLOOKUP(tblOrdenes[[#This Row],[centro_costo]],tblCECO[codigo],tblCECO[coordinador],"(sin catálogo)"))</f>
        <v/>
      </c>
      <c r="X680" s="3">
        <f>IF(tblOrdenes[[#This Row],[puesto_trabajo]]="","",_xlfn.XLOOKUP(tblOrdenes[[#This Row],[puesto_trabajo]],tblPuestos[codigo],tblPuestos[especialidad],"(sin catálogo)"))</f>
        <v/>
      </c>
      <c r="Y680" s="3">
        <f>IF(tblOrdenes[[#This Row],[cod_actividad]]="","",_xlfn.XLOOKUP(tblOrdenes[[#This Row],[cod_actividad]],tblActividades[codigo],tblActividades[descripcion],"(sin catálogo)"))</f>
        <v/>
      </c>
      <c r="Z680" s="12">
        <f>IF(tblOrdenes[[#This Row],[fecha_inicio]]="","",TODAY()-tblOrdenes[[#This Row],[fecha_inicio]])</f>
        <v/>
      </c>
      <c r="AA680" s="3">
        <f>IF(tblOrdenes[[#This Row],[backlog_dias]]="","",IF(tblOrdenes[[#This Row],[backlog_dias]]&lt;0,"FUTURO",IF(tblOrdenes[[#This Row],[backlog_dias]]&gt;p_dias_backlog_max,"BACKLOG","MES CORRIENTE")))</f>
        <v/>
      </c>
      <c r="AB680" s="3">
        <f>IF(tblOrdenes[[#This Row],[backlog_dias]]="",FALSE,AND(tblOrdenes[[#This Row],[backlog_dias]]&gt;p_dias_backlog_min,tblOrdenes[[#This Row],[backlog_dias]]&lt;=p_dias_backlog_max))</f>
        <v/>
      </c>
      <c r="AC680" s="6" t="n"/>
      <c r="AD6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80" s="10">
        <f>IF(tblOrdenes[[#This Row],[orden]]="","",_xlfn.XLOOKUP(tblOrdenes[[#This Row],[id_operacion]],tblEjecucion[id_operacion],tblEjecucion[precio],0))</f>
        <v/>
      </c>
      <c r="AH680" s="10">
        <f>IF(tblOrdenes[[#This Row],[orden]]="","",MAX(0,_xlfn.XLOOKUP(tblOrdenes[[#This Row],[id_operacion]],tblEjecucion[id_operacion],tblEjecucion[costo_plan_total],0)-tblOrdenes[[#This Row],[costo_servicio]]))</f>
        <v/>
      </c>
      <c r="AI680" s="10">
        <f>IF(tblOrdenes[[#This Row],[orden]]="","",tblOrdenes[[#This Row],[costo_servicio]]+tblOrdenes[[#This Row],[costo_materiales]])</f>
        <v/>
      </c>
      <c r="AJ680" s="6" t="n"/>
      <c r="AK680" s="6" t="n"/>
      <c r="AL680" s="6" t="n"/>
      <c r="AM680" s="3">
        <f>IF(tblOrdenes[[#This Row],[link_checklist]]="","",HYPERLINK(p_ruta_base_checklists&amp;tblOrdenes[[#This Row],[link_checklist]],"abrir"))</f>
        <v/>
      </c>
      <c r="AN680" s="6" t="n"/>
      <c r="AO680" s="3">
        <f>IF(tblOrdenes[[#This Row],[orden]]="","",tblOrdenes[[#This Row],[orden]]&amp;IF(tblOrdenes[[#This Row],[operacion]]="","0010",tblOrdenes[[#This Row],[operacion]]))</f>
        <v/>
      </c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11" t="n"/>
      <c r="K681" s="3" t="n"/>
      <c r="L681" s="10" t="n"/>
      <c r="M681" s="6" t="n"/>
      <c r="N6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81" s="3">
        <f>IF(tblOrdenes[[#This Row],[fecha_inicio]]="","",YEAR(tblOrdenes[[#This Row],[fecha_inicio]]))</f>
        <v/>
      </c>
      <c r="R681" s="3">
        <f>IF(tblOrdenes[[#This Row],[fecha_inicio]]="","",MONTH(tblOrdenes[[#This Row],[fecha_inicio]]))</f>
        <v/>
      </c>
      <c r="S681" s="3">
        <f>IF(tblOrdenes[[#This Row],[fecha_inicio]]="","",INDEX(lista_dias,WEEKDAY(tblOrdenes[[#This Row],[fecha_inicio]],2)))</f>
        <v/>
      </c>
      <c r="T681" s="3">
        <f>IF(tblOrdenes[[#This Row],[tipo_ot]]="","",_xlfn.XLOOKUP(tblOrdenes[[#This Row],[tipo_ot]],tblTiposOT[codigo],tblTiposOT[clasificacion],"sin_clasificar"))</f>
        <v/>
      </c>
      <c r="U681" s="3">
        <f>IF(tblOrdenes[[#This Row],[centro_costo]]="","",_xlfn.XLOOKUP(tblOrdenes[[#This Row],[centro_costo]],tblCECO[codigo],tblCECO[linea],"(sin catálogo)"))</f>
        <v/>
      </c>
      <c r="V681" s="3">
        <f>IF(tblOrdenes[[#This Row],[centro_costo]]="","",_xlfn.XLOOKUP(tblOrdenes[[#This Row],[centro_costo]],tblCECO[codigo],tblCECO[area],"(sin catálogo)"))</f>
        <v/>
      </c>
      <c r="W681" s="3">
        <f>IF(tblOrdenes[[#This Row],[centro_costo]]="","",_xlfn.XLOOKUP(tblOrdenes[[#This Row],[centro_costo]],tblCECO[codigo],tblCECO[coordinador],"(sin catálogo)"))</f>
        <v/>
      </c>
      <c r="X681" s="3">
        <f>IF(tblOrdenes[[#This Row],[puesto_trabajo]]="","",_xlfn.XLOOKUP(tblOrdenes[[#This Row],[puesto_trabajo]],tblPuestos[codigo],tblPuestos[especialidad],"(sin catálogo)"))</f>
        <v/>
      </c>
      <c r="Y681" s="3">
        <f>IF(tblOrdenes[[#This Row],[cod_actividad]]="","",_xlfn.XLOOKUP(tblOrdenes[[#This Row],[cod_actividad]],tblActividades[codigo],tblActividades[descripcion],"(sin catálogo)"))</f>
        <v/>
      </c>
      <c r="Z681" s="12">
        <f>IF(tblOrdenes[[#This Row],[fecha_inicio]]="","",TODAY()-tblOrdenes[[#This Row],[fecha_inicio]])</f>
        <v/>
      </c>
      <c r="AA681" s="3">
        <f>IF(tblOrdenes[[#This Row],[backlog_dias]]="","",IF(tblOrdenes[[#This Row],[backlog_dias]]&lt;0,"FUTURO",IF(tblOrdenes[[#This Row],[backlog_dias]]&gt;p_dias_backlog_max,"BACKLOG","MES CORRIENTE")))</f>
        <v/>
      </c>
      <c r="AB681" s="3">
        <f>IF(tblOrdenes[[#This Row],[backlog_dias]]="",FALSE,AND(tblOrdenes[[#This Row],[backlog_dias]]&gt;p_dias_backlog_min,tblOrdenes[[#This Row],[backlog_dias]]&lt;=p_dias_backlog_max))</f>
        <v/>
      </c>
      <c r="AC681" s="6" t="n"/>
      <c r="AD6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81" s="10">
        <f>IF(tblOrdenes[[#This Row],[orden]]="","",_xlfn.XLOOKUP(tblOrdenes[[#This Row],[id_operacion]],tblEjecucion[id_operacion],tblEjecucion[precio],0))</f>
        <v/>
      </c>
      <c r="AH681" s="10">
        <f>IF(tblOrdenes[[#This Row],[orden]]="","",MAX(0,_xlfn.XLOOKUP(tblOrdenes[[#This Row],[id_operacion]],tblEjecucion[id_operacion],tblEjecucion[costo_plan_total],0)-tblOrdenes[[#This Row],[costo_servicio]]))</f>
        <v/>
      </c>
      <c r="AI681" s="10">
        <f>IF(tblOrdenes[[#This Row],[orden]]="","",tblOrdenes[[#This Row],[costo_servicio]]+tblOrdenes[[#This Row],[costo_materiales]])</f>
        <v/>
      </c>
      <c r="AJ681" s="6" t="n"/>
      <c r="AK681" s="6" t="n"/>
      <c r="AL681" s="6" t="n"/>
      <c r="AM681" s="3">
        <f>IF(tblOrdenes[[#This Row],[link_checklist]]="","",HYPERLINK(p_ruta_base_checklists&amp;tblOrdenes[[#This Row],[link_checklist]],"abrir"))</f>
        <v/>
      </c>
      <c r="AN681" s="6" t="n"/>
      <c r="AO681" s="3">
        <f>IF(tblOrdenes[[#This Row],[orden]]="","",tblOrdenes[[#This Row],[orden]]&amp;IF(tblOrdenes[[#This Row],[operacion]]="","0010",tblOrdenes[[#This Row],[operacion]]))</f>
        <v/>
      </c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11" t="n"/>
      <c r="K682" s="3" t="n"/>
      <c r="L682" s="10" t="n"/>
      <c r="M682" s="6" t="n"/>
      <c r="N6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82" s="3">
        <f>IF(tblOrdenes[[#This Row],[fecha_inicio]]="","",YEAR(tblOrdenes[[#This Row],[fecha_inicio]]))</f>
        <v/>
      </c>
      <c r="R682" s="3">
        <f>IF(tblOrdenes[[#This Row],[fecha_inicio]]="","",MONTH(tblOrdenes[[#This Row],[fecha_inicio]]))</f>
        <v/>
      </c>
      <c r="S682" s="3">
        <f>IF(tblOrdenes[[#This Row],[fecha_inicio]]="","",INDEX(lista_dias,WEEKDAY(tblOrdenes[[#This Row],[fecha_inicio]],2)))</f>
        <v/>
      </c>
      <c r="T682" s="3">
        <f>IF(tblOrdenes[[#This Row],[tipo_ot]]="","",_xlfn.XLOOKUP(tblOrdenes[[#This Row],[tipo_ot]],tblTiposOT[codigo],tblTiposOT[clasificacion],"sin_clasificar"))</f>
        <v/>
      </c>
      <c r="U682" s="3">
        <f>IF(tblOrdenes[[#This Row],[centro_costo]]="","",_xlfn.XLOOKUP(tblOrdenes[[#This Row],[centro_costo]],tblCECO[codigo],tblCECO[linea],"(sin catálogo)"))</f>
        <v/>
      </c>
      <c r="V682" s="3">
        <f>IF(tblOrdenes[[#This Row],[centro_costo]]="","",_xlfn.XLOOKUP(tblOrdenes[[#This Row],[centro_costo]],tblCECO[codigo],tblCECO[area],"(sin catálogo)"))</f>
        <v/>
      </c>
      <c r="W682" s="3">
        <f>IF(tblOrdenes[[#This Row],[centro_costo]]="","",_xlfn.XLOOKUP(tblOrdenes[[#This Row],[centro_costo]],tblCECO[codigo],tblCECO[coordinador],"(sin catálogo)"))</f>
        <v/>
      </c>
      <c r="X682" s="3">
        <f>IF(tblOrdenes[[#This Row],[puesto_trabajo]]="","",_xlfn.XLOOKUP(tblOrdenes[[#This Row],[puesto_trabajo]],tblPuestos[codigo],tblPuestos[especialidad],"(sin catálogo)"))</f>
        <v/>
      </c>
      <c r="Y682" s="3">
        <f>IF(tblOrdenes[[#This Row],[cod_actividad]]="","",_xlfn.XLOOKUP(tblOrdenes[[#This Row],[cod_actividad]],tblActividades[codigo],tblActividades[descripcion],"(sin catálogo)"))</f>
        <v/>
      </c>
      <c r="Z682" s="12">
        <f>IF(tblOrdenes[[#This Row],[fecha_inicio]]="","",TODAY()-tblOrdenes[[#This Row],[fecha_inicio]])</f>
        <v/>
      </c>
      <c r="AA682" s="3">
        <f>IF(tblOrdenes[[#This Row],[backlog_dias]]="","",IF(tblOrdenes[[#This Row],[backlog_dias]]&lt;0,"FUTURO",IF(tblOrdenes[[#This Row],[backlog_dias]]&gt;p_dias_backlog_max,"BACKLOG","MES CORRIENTE")))</f>
        <v/>
      </c>
      <c r="AB682" s="3">
        <f>IF(tblOrdenes[[#This Row],[backlog_dias]]="",FALSE,AND(tblOrdenes[[#This Row],[backlog_dias]]&gt;p_dias_backlog_min,tblOrdenes[[#This Row],[backlog_dias]]&lt;=p_dias_backlog_max))</f>
        <v/>
      </c>
      <c r="AC682" s="6" t="n"/>
      <c r="AD6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82" s="10">
        <f>IF(tblOrdenes[[#This Row],[orden]]="","",_xlfn.XLOOKUP(tblOrdenes[[#This Row],[id_operacion]],tblEjecucion[id_operacion],tblEjecucion[precio],0))</f>
        <v/>
      </c>
      <c r="AH682" s="10">
        <f>IF(tblOrdenes[[#This Row],[orden]]="","",MAX(0,_xlfn.XLOOKUP(tblOrdenes[[#This Row],[id_operacion]],tblEjecucion[id_operacion],tblEjecucion[costo_plan_total],0)-tblOrdenes[[#This Row],[costo_servicio]]))</f>
        <v/>
      </c>
      <c r="AI682" s="10">
        <f>IF(tblOrdenes[[#This Row],[orden]]="","",tblOrdenes[[#This Row],[costo_servicio]]+tblOrdenes[[#This Row],[costo_materiales]])</f>
        <v/>
      </c>
      <c r="AJ682" s="6" t="n"/>
      <c r="AK682" s="6" t="n"/>
      <c r="AL682" s="6" t="n"/>
      <c r="AM682" s="3">
        <f>IF(tblOrdenes[[#This Row],[link_checklist]]="","",HYPERLINK(p_ruta_base_checklists&amp;tblOrdenes[[#This Row],[link_checklist]],"abrir"))</f>
        <v/>
      </c>
      <c r="AN682" s="6" t="n"/>
      <c r="AO682" s="3">
        <f>IF(tblOrdenes[[#This Row],[orden]]="","",tblOrdenes[[#This Row],[orden]]&amp;IF(tblOrdenes[[#This Row],[operacion]]="","0010",tblOrdenes[[#This Row],[operacion]]))</f>
        <v/>
      </c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11" t="n"/>
      <c r="K683" s="3" t="n"/>
      <c r="L683" s="10" t="n"/>
      <c r="M683" s="6" t="n"/>
      <c r="N6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83" s="3">
        <f>IF(tblOrdenes[[#This Row],[fecha_inicio]]="","",YEAR(tblOrdenes[[#This Row],[fecha_inicio]]))</f>
        <v/>
      </c>
      <c r="R683" s="3">
        <f>IF(tblOrdenes[[#This Row],[fecha_inicio]]="","",MONTH(tblOrdenes[[#This Row],[fecha_inicio]]))</f>
        <v/>
      </c>
      <c r="S683" s="3">
        <f>IF(tblOrdenes[[#This Row],[fecha_inicio]]="","",INDEX(lista_dias,WEEKDAY(tblOrdenes[[#This Row],[fecha_inicio]],2)))</f>
        <v/>
      </c>
      <c r="T683" s="3">
        <f>IF(tblOrdenes[[#This Row],[tipo_ot]]="","",_xlfn.XLOOKUP(tblOrdenes[[#This Row],[tipo_ot]],tblTiposOT[codigo],tblTiposOT[clasificacion],"sin_clasificar"))</f>
        <v/>
      </c>
      <c r="U683" s="3">
        <f>IF(tblOrdenes[[#This Row],[centro_costo]]="","",_xlfn.XLOOKUP(tblOrdenes[[#This Row],[centro_costo]],tblCECO[codigo],tblCECO[linea],"(sin catálogo)"))</f>
        <v/>
      </c>
      <c r="V683" s="3">
        <f>IF(tblOrdenes[[#This Row],[centro_costo]]="","",_xlfn.XLOOKUP(tblOrdenes[[#This Row],[centro_costo]],tblCECO[codigo],tblCECO[area],"(sin catálogo)"))</f>
        <v/>
      </c>
      <c r="W683" s="3">
        <f>IF(tblOrdenes[[#This Row],[centro_costo]]="","",_xlfn.XLOOKUP(tblOrdenes[[#This Row],[centro_costo]],tblCECO[codigo],tblCECO[coordinador],"(sin catálogo)"))</f>
        <v/>
      </c>
      <c r="X683" s="3">
        <f>IF(tblOrdenes[[#This Row],[puesto_trabajo]]="","",_xlfn.XLOOKUP(tblOrdenes[[#This Row],[puesto_trabajo]],tblPuestos[codigo],tblPuestos[especialidad],"(sin catálogo)"))</f>
        <v/>
      </c>
      <c r="Y683" s="3">
        <f>IF(tblOrdenes[[#This Row],[cod_actividad]]="","",_xlfn.XLOOKUP(tblOrdenes[[#This Row],[cod_actividad]],tblActividades[codigo],tblActividades[descripcion],"(sin catálogo)"))</f>
        <v/>
      </c>
      <c r="Z683" s="12">
        <f>IF(tblOrdenes[[#This Row],[fecha_inicio]]="","",TODAY()-tblOrdenes[[#This Row],[fecha_inicio]])</f>
        <v/>
      </c>
      <c r="AA683" s="3">
        <f>IF(tblOrdenes[[#This Row],[backlog_dias]]="","",IF(tblOrdenes[[#This Row],[backlog_dias]]&lt;0,"FUTURO",IF(tblOrdenes[[#This Row],[backlog_dias]]&gt;p_dias_backlog_max,"BACKLOG","MES CORRIENTE")))</f>
        <v/>
      </c>
      <c r="AB683" s="3">
        <f>IF(tblOrdenes[[#This Row],[backlog_dias]]="",FALSE,AND(tblOrdenes[[#This Row],[backlog_dias]]&gt;p_dias_backlog_min,tblOrdenes[[#This Row],[backlog_dias]]&lt;=p_dias_backlog_max))</f>
        <v/>
      </c>
      <c r="AC683" s="6" t="n"/>
      <c r="AD6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83" s="10">
        <f>IF(tblOrdenes[[#This Row],[orden]]="","",_xlfn.XLOOKUP(tblOrdenes[[#This Row],[id_operacion]],tblEjecucion[id_operacion],tblEjecucion[precio],0))</f>
        <v/>
      </c>
      <c r="AH683" s="10">
        <f>IF(tblOrdenes[[#This Row],[orden]]="","",MAX(0,_xlfn.XLOOKUP(tblOrdenes[[#This Row],[id_operacion]],tblEjecucion[id_operacion],tblEjecucion[costo_plan_total],0)-tblOrdenes[[#This Row],[costo_servicio]]))</f>
        <v/>
      </c>
      <c r="AI683" s="10">
        <f>IF(tblOrdenes[[#This Row],[orden]]="","",tblOrdenes[[#This Row],[costo_servicio]]+tblOrdenes[[#This Row],[costo_materiales]])</f>
        <v/>
      </c>
      <c r="AJ683" s="6" t="n"/>
      <c r="AK683" s="6" t="n"/>
      <c r="AL683" s="6" t="n"/>
      <c r="AM683" s="3">
        <f>IF(tblOrdenes[[#This Row],[link_checklist]]="","",HYPERLINK(p_ruta_base_checklists&amp;tblOrdenes[[#This Row],[link_checklist]],"abrir"))</f>
        <v/>
      </c>
      <c r="AN683" s="6" t="n"/>
      <c r="AO683" s="3">
        <f>IF(tblOrdenes[[#This Row],[orden]]="","",tblOrdenes[[#This Row],[orden]]&amp;IF(tblOrdenes[[#This Row],[operacion]]="","0010",tblOrdenes[[#This Row],[operacion]]))</f>
        <v/>
      </c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11" t="n"/>
      <c r="K684" s="3" t="n"/>
      <c r="L684" s="10" t="n"/>
      <c r="M684" s="6" t="n"/>
      <c r="N6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84" s="3">
        <f>IF(tblOrdenes[[#This Row],[fecha_inicio]]="","",YEAR(tblOrdenes[[#This Row],[fecha_inicio]]))</f>
        <v/>
      </c>
      <c r="R684" s="3">
        <f>IF(tblOrdenes[[#This Row],[fecha_inicio]]="","",MONTH(tblOrdenes[[#This Row],[fecha_inicio]]))</f>
        <v/>
      </c>
      <c r="S684" s="3">
        <f>IF(tblOrdenes[[#This Row],[fecha_inicio]]="","",INDEX(lista_dias,WEEKDAY(tblOrdenes[[#This Row],[fecha_inicio]],2)))</f>
        <v/>
      </c>
      <c r="T684" s="3">
        <f>IF(tblOrdenes[[#This Row],[tipo_ot]]="","",_xlfn.XLOOKUP(tblOrdenes[[#This Row],[tipo_ot]],tblTiposOT[codigo],tblTiposOT[clasificacion],"sin_clasificar"))</f>
        <v/>
      </c>
      <c r="U684" s="3">
        <f>IF(tblOrdenes[[#This Row],[centro_costo]]="","",_xlfn.XLOOKUP(tblOrdenes[[#This Row],[centro_costo]],tblCECO[codigo],tblCECO[linea],"(sin catálogo)"))</f>
        <v/>
      </c>
      <c r="V684" s="3">
        <f>IF(tblOrdenes[[#This Row],[centro_costo]]="","",_xlfn.XLOOKUP(tblOrdenes[[#This Row],[centro_costo]],tblCECO[codigo],tblCECO[area],"(sin catálogo)"))</f>
        <v/>
      </c>
      <c r="W684" s="3">
        <f>IF(tblOrdenes[[#This Row],[centro_costo]]="","",_xlfn.XLOOKUP(tblOrdenes[[#This Row],[centro_costo]],tblCECO[codigo],tblCECO[coordinador],"(sin catálogo)"))</f>
        <v/>
      </c>
      <c r="X684" s="3">
        <f>IF(tblOrdenes[[#This Row],[puesto_trabajo]]="","",_xlfn.XLOOKUP(tblOrdenes[[#This Row],[puesto_trabajo]],tblPuestos[codigo],tblPuestos[especialidad],"(sin catálogo)"))</f>
        <v/>
      </c>
      <c r="Y684" s="3">
        <f>IF(tblOrdenes[[#This Row],[cod_actividad]]="","",_xlfn.XLOOKUP(tblOrdenes[[#This Row],[cod_actividad]],tblActividades[codigo],tblActividades[descripcion],"(sin catálogo)"))</f>
        <v/>
      </c>
      <c r="Z684" s="12">
        <f>IF(tblOrdenes[[#This Row],[fecha_inicio]]="","",TODAY()-tblOrdenes[[#This Row],[fecha_inicio]])</f>
        <v/>
      </c>
      <c r="AA684" s="3">
        <f>IF(tblOrdenes[[#This Row],[backlog_dias]]="","",IF(tblOrdenes[[#This Row],[backlog_dias]]&lt;0,"FUTURO",IF(tblOrdenes[[#This Row],[backlog_dias]]&gt;p_dias_backlog_max,"BACKLOG","MES CORRIENTE")))</f>
        <v/>
      </c>
      <c r="AB684" s="3">
        <f>IF(tblOrdenes[[#This Row],[backlog_dias]]="",FALSE,AND(tblOrdenes[[#This Row],[backlog_dias]]&gt;p_dias_backlog_min,tblOrdenes[[#This Row],[backlog_dias]]&lt;=p_dias_backlog_max))</f>
        <v/>
      </c>
      <c r="AC684" s="6" t="n"/>
      <c r="AD6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84" s="10">
        <f>IF(tblOrdenes[[#This Row],[orden]]="","",_xlfn.XLOOKUP(tblOrdenes[[#This Row],[id_operacion]],tblEjecucion[id_operacion],tblEjecucion[precio],0))</f>
        <v/>
      </c>
      <c r="AH684" s="10">
        <f>IF(tblOrdenes[[#This Row],[orden]]="","",MAX(0,_xlfn.XLOOKUP(tblOrdenes[[#This Row],[id_operacion]],tblEjecucion[id_operacion],tblEjecucion[costo_plan_total],0)-tblOrdenes[[#This Row],[costo_servicio]]))</f>
        <v/>
      </c>
      <c r="AI684" s="10">
        <f>IF(tblOrdenes[[#This Row],[orden]]="","",tblOrdenes[[#This Row],[costo_servicio]]+tblOrdenes[[#This Row],[costo_materiales]])</f>
        <v/>
      </c>
      <c r="AJ684" s="6" t="n"/>
      <c r="AK684" s="6" t="n"/>
      <c r="AL684" s="6" t="n"/>
      <c r="AM684" s="3">
        <f>IF(tblOrdenes[[#This Row],[link_checklist]]="","",HYPERLINK(p_ruta_base_checklists&amp;tblOrdenes[[#This Row],[link_checklist]],"abrir"))</f>
        <v/>
      </c>
      <c r="AN684" s="6" t="n"/>
      <c r="AO684" s="3">
        <f>IF(tblOrdenes[[#This Row],[orden]]="","",tblOrdenes[[#This Row],[orden]]&amp;IF(tblOrdenes[[#This Row],[operacion]]="","0010",tblOrdenes[[#This Row],[operacion]]))</f>
        <v/>
      </c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11" t="n"/>
      <c r="K685" s="3" t="n"/>
      <c r="L685" s="10" t="n"/>
      <c r="M685" s="6" t="n"/>
      <c r="N6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85" s="3">
        <f>IF(tblOrdenes[[#This Row],[fecha_inicio]]="","",YEAR(tblOrdenes[[#This Row],[fecha_inicio]]))</f>
        <v/>
      </c>
      <c r="R685" s="3">
        <f>IF(tblOrdenes[[#This Row],[fecha_inicio]]="","",MONTH(tblOrdenes[[#This Row],[fecha_inicio]]))</f>
        <v/>
      </c>
      <c r="S685" s="3">
        <f>IF(tblOrdenes[[#This Row],[fecha_inicio]]="","",INDEX(lista_dias,WEEKDAY(tblOrdenes[[#This Row],[fecha_inicio]],2)))</f>
        <v/>
      </c>
      <c r="T685" s="3">
        <f>IF(tblOrdenes[[#This Row],[tipo_ot]]="","",_xlfn.XLOOKUP(tblOrdenes[[#This Row],[tipo_ot]],tblTiposOT[codigo],tblTiposOT[clasificacion],"sin_clasificar"))</f>
        <v/>
      </c>
      <c r="U685" s="3">
        <f>IF(tblOrdenes[[#This Row],[centro_costo]]="","",_xlfn.XLOOKUP(tblOrdenes[[#This Row],[centro_costo]],tblCECO[codigo],tblCECO[linea],"(sin catálogo)"))</f>
        <v/>
      </c>
      <c r="V685" s="3">
        <f>IF(tblOrdenes[[#This Row],[centro_costo]]="","",_xlfn.XLOOKUP(tblOrdenes[[#This Row],[centro_costo]],tblCECO[codigo],tblCECO[area],"(sin catálogo)"))</f>
        <v/>
      </c>
      <c r="W685" s="3">
        <f>IF(tblOrdenes[[#This Row],[centro_costo]]="","",_xlfn.XLOOKUP(tblOrdenes[[#This Row],[centro_costo]],tblCECO[codigo],tblCECO[coordinador],"(sin catálogo)"))</f>
        <v/>
      </c>
      <c r="X685" s="3">
        <f>IF(tblOrdenes[[#This Row],[puesto_trabajo]]="","",_xlfn.XLOOKUP(tblOrdenes[[#This Row],[puesto_trabajo]],tblPuestos[codigo],tblPuestos[especialidad],"(sin catálogo)"))</f>
        <v/>
      </c>
      <c r="Y685" s="3">
        <f>IF(tblOrdenes[[#This Row],[cod_actividad]]="","",_xlfn.XLOOKUP(tblOrdenes[[#This Row],[cod_actividad]],tblActividades[codigo],tblActividades[descripcion],"(sin catálogo)"))</f>
        <v/>
      </c>
      <c r="Z685" s="12">
        <f>IF(tblOrdenes[[#This Row],[fecha_inicio]]="","",TODAY()-tblOrdenes[[#This Row],[fecha_inicio]])</f>
        <v/>
      </c>
      <c r="AA685" s="3">
        <f>IF(tblOrdenes[[#This Row],[backlog_dias]]="","",IF(tblOrdenes[[#This Row],[backlog_dias]]&lt;0,"FUTURO",IF(tblOrdenes[[#This Row],[backlog_dias]]&gt;p_dias_backlog_max,"BACKLOG","MES CORRIENTE")))</f>
        <v/>
      </c>
      <c r="AB685" s="3">
        <f>IF(tblOrdenes[[#This Row],[backlog_dias]]="",FALSE,AND(tblOrdenes[[#This Row],[backlog_dias]]&gt;p_dias_backlog_min,tblOrdenes[[#This Row],[backlog_dias]]&lt;=p_dias_backlog_max))</f>
        <v/>
      </c>
      <c r="AC685" s="6" t="n"/>
      <c r="AD6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85" s="10">
        <f>IF(tblOrdenes[[#This Row],[orden]]="","",_xlfn.XLOOKUP(tblOrdenes[[#This Row],[id_operacion]],tblEjecucion[id_operacion],tblEjecucion[precio],0))</f>
        <v/>
      </c>
      <c r="AH685" s="10">
        <f>IF(tblOrdenes[[#This Row],[orden]]="","",MAX(0,_xlfn.XLOOKUP(tblOrdenes[[#This Row],[id_operacion]],tblEjecucion[id_operacion],tblEjecucion[costo_plan_total],0)-tblOrdenes[[#This Row],[costo_servicio]]))</f>
        <v/>
      </c>
      <c r="AI685" s="10">
        <f>IF(tblOrdenes[[#This Row],[orden]]="","",tblOrdenes[[#This Row],[costo_servicio]]+tblOrdenes[[#This Row],[costo_materiales]])</f>
        <v/>
      </c>
      <c r="AJ685" s="6" t="n"/>
      <c r="AK685" s="6" t="n"/>
      <c r="AL685" s="6" t="n"/>
      <c r="AM685" s="3">
        <f>IF(tblOrdenes[[#This Row],[link_checklist]]="","",HYPERLINK(p_ruta_base_checklists&amp;tblOrdenes[[#This Row],[link_checklist]],"abrir"))</f>
        <v/>
      </c>
      <c r="AN685" s="6" t="n"/>
      <c r="AO685" s="3">
        <f>IF(tblOrdenes[[#This Row],[orden]]="","",tblOrdenes[[#This Row],[orden]]&amp;IF(tblOrdenes[[#This Row],[operacion]]="","0010",tblOrdenes[[#This Row],[operacion]]))</f>
        <v/>
      </c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11" t="n"/>
      <c r="K686" s="3" t="n"/>
      <c r="L686" s="10" t="n"/>
      <c r="M686" s="6" t="n"/>
      <c r="N6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86" s="3">
        <f>IF(tblOrdenes[[#This Row],[fecha_inicio]]="","",YEAR(tblOrdenes[[#This Row],[fecha_inicio]]))</f>
        <v/>
      </c>
      <c r="R686" s="3">
        <f>IF(tblOrdenes[[#This Row],[fecha_inicio]]="","",MONTH(tblOrdenes[[#This Row],[fecha_inicio]]))</f>
        <v/>
      </c>
      <c r="S686" s="3">
        <f>IF(tblOrdenes[[#This Row],[fecha_inicio]]="","",INDEX(lista_dias,WEEKDAY(tblOrdenes[[#This Row],[fecha_inicio]],2)))</f>
        <v/>
      </c>
      <c r="T686" s="3">
        <f>IF(tblOrdenes[[#This Row],[tipo_ot]]="","",_xlfn.XLOOKUP(tblOrdenes[[#This Row],[tipo_ot]],tblTiposOT[codigo],tblTiposOT[clasificacion],"sin_clasificar"))</f>
        <v/>
      </c>
      <c r="U686" s="3">
        <f>IF(tblOrdenes[[#This Row],[centro_costo]]="","",_xlfn.XLOOKUP(tblOrdenes[[#This Row],[centro_costo]],tblCECO[codigo],tblCECO[linea],"(sin catálogo)"))</f>
        <v/>
      </c>
      <c r="V686" s="3">
        <f>IF(tblOrdenes[[#This Row],[centro_costo]]="","",_xlfn.XLOOKUP(tblOrdenes[[#This Row],[centro_costo]],tblCECO[codigo],tblCECO[area],"(sin catálogo)"))</f>
        <v/>
      </c>
      <c r="W686" s="3">
        <f>IF(tblOrdenes[[#This Row],[centro_costo]]="","",_xlfn.XLOOKUP(tblOrdenes[[#This Row],[centro_costo]],tblCECO[codigo],tblCECO[coordinador],"(sin catálogo)"))</f>
        <v/>
      </c>
      <c r="X686" s="3">
        <f>IF(tblOrdenes[[#This Row],[puesto_trabajo]]="","",_xlfn.XLOOKUP(tblOrdenes[[#This Row],[puesto_trabajo]],tblPuestos[codigo],tblPuestos[especialidad],"(sin catálogo)"))</f>
        <v/>
      </c>
      <c r="Y686" s="3">
        <f>IF(tblOrdenes[[#This Row],[cod_actividad]]="","",_xlfn.XLOOKUP(tblOrdenes[[#This Row],[cod_actividad]],tblActividades[codigo],tblActividades[descripcion],"(sin catálogo)"))</f>
        <v/>
      </c>
      <c r="Z686" s="12">
        <f>IF(tblOrdenes[[#This Row],[fecha_inicio]]="","",TODAY()-tblOrdenes[[#This Row],[fecha_inicio]])</f>
        <v/>
      </c>
      <c r="AA686" s="3">
        <f>IF(tblOrdenes[[#This Row],[backlog_dias]]="","",IF(tblOrdenes[[#This Row],[backlog_dias]]&lt;0,"FUTURO",IF(tblOrdenes[[#This Row],[backlog_dias]]&gt;p_dias_backlog_max,"BACKLOG","MES CORRIENTE")))</f>
        <v/>
      </c>
      <c r="AB686" s="3">
        <f>IF(tblOrdenes[[#This Row],[backlog_dias]]="",FALSE,AND(tblOrdenes[[#This Row],[backlog_dias]]&gt;p_dias_backlog_min,tblOrdenes[[#This Row],[backlog_dias]]&lt;=p_dias_backlog_max))</f>
        <v/>
      </c>
      <c r="AC686" s="6" t="n"/>
      <c r="AD6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86" s="10">
        <f>IF(tblOrdenes[[#This Row],[orden]]="","",_xlfn.XLOOKUP(tblOrdenes[[#This Row],[id_operacion]],tblEjecucion[id_operacion],tblEjecucion[precio],0))</f>
        <v/>
      </c>
      <c r="AH686" s="10">
        <f>IF(tblOrdenes[[#This Row],[orden]]="","",MAX(0,_xlfn.XLOOKUP(tblOrdenes[[#This Row],[id_operacion]],tblEjecucion[id_operacion],tblEjecucion[costo_plan_total],0)-tblOrdenes[[#This Row],[costo_servicio]]))</f>
        <v/>
      </c>
      <c r="AI686" s="10">
        <f>IF(tblOrdenes[[#This Row],[orden]]="","",tblOrdenes[[#This Row],[costo_servicio]]+tblOrdenes[[#This Row],[costo_materiales]])</f>
        <v/>
      </c>
      <c r="AJ686" s="6" t="n"/>
      <c r="AK686" s="6" t="n"/>
      <c r="AL686" s="6" t="n"/>
      <c r="AM686" s="3">
        <f>IF(tblOrdenes[[#This Row],[link_checklist]]="","",HYPERLINK(p_ruta_base_checklists&amp;tblOrdenes[[#This Row],[link_checklist]],"abrir"))</f>
        <v/>
      </c>
      <c r="AN686" s="6" t="n"/>
      <c r="AO686" s="3">
        <f>IF(tblOrdenes[[#This Row],[orden]]="","",tblOrdenes[[#This Row],[orden]]&amp;IF(tblOrdenes[[#This Row],[operacion]]="","0010",tblOrdenes[[#This Row],[operacion]]))</f>
        <v/>
      </c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11" t="n"/>
      <c r="K687" s="3" t="n"/>
      <c r="L687" s="10" t="n"/>
      <c r="M687" s="6" t="n"/>
      <c r="N6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87" s="3">
        <f>IF(tblOrdenes[[#This Row],[fecha_inicio]]="","",YEAR(tblOrdenes[[#This Row],[fecha_inicio]]))</f>
        <v/>
      </c>
      <c r="R687" s="3">
        <f>IF(tblOrdenes[[#This Row],[fecha_inicio]]="","",MONTH(tblOrdenes[[#This Row],[fecha_inicio]]))</f>
        <v/>
      </c>
      <c r="S687" s="3">
        <f>IF(tblOrdenes[[#This Row],[fecha_inicio]]="","",INDEX(lista_dias,WEEKDAY(tblOrdenes[[#This Row],[fecha_inicio]],2)))</f>
        <v/>
      </c>
      <c r="T687" s="3">
        <f>IF(tblOrdenes[[#This Row],[tipo_ot]]="","",_xlfn.XLOOKUP(tblOrdenes[[#This Row],[tipo_ot]],tblTiposOT[codigo],tblTiposOT[clasificacion],"sin_clasificar"))</f>
        <v/>
      </c>
      <c r="U687" s="3">
        <f>IF(tblOrdenes[[#This Row],[centro_costo]]="","",_xlfn.XLOOKUP(tblOrdenes[[#This Row],[centro_costo]],tblCECO[codigo],tblCECO[linea],"(sin catálogo)"))</f>
        <v/>
      </c>
      <c r="V687" s="3">
        <f>IF(tblOrdenes[[#This Row],[centro_costo]]="","",_xlfn.XLOOKUP(tblOrdenes[[#This Row],[centro_costo]],tblCECO[codigo],tblCECO[area],"(sin catálogo)"))</f>
        <v/>
      </c>
      <c r="W687" s="3">
        <f>IF(tblOrdenes[[#This Row],[centro_costo]]="","",_xlfn.XLOOKUP(tblOrdenes[[#This Row],[centro_costo]],tblCECO[codigo],tblCECO[coordinador],"(sin catálogo)"))</f>
        <v/>
      </c>
      <c r="X687" s="3">
        <f>IF(tblOrdenes[[#This Row],[puesto_trabajo]]="","",_xlfn.XLOOKUP(tblOrdenes[[#This Row],[puesto_trabajo]],tblPuestos[codigo],tblPuestos[especialidad],"(sin catálogo)"))</f>
        <v/>
      </c>
      <c r="Y687" s="3">
        <f>IF(tblOrdenes[[#This Row],[cod_actividad]]="","",_xlfn.XLOOKUP(tblOrdenes[[#This Row],[cod_actividad]],tblActividades[codigo],tblActividades[descripcion],"(sin catálogo)"))</f>
        <v/>
      </c>
      <c r="Z687" s="12">
        <f>IF(tblOrdenes[[#This Row],[fecha_inicio]]="","",TODAY()-tblOrdenes[[#This Row],[fecha_inicio]])</f>
        <v/>
      </c>
      <c r="AA687" s="3">
        <f>IF(tblOrdenes[[#This Row],[backlog_dias]]="","",IF(tblOrdenes[[#This Row],[backlog_dias]]&lt;0,"FUTURO",IF(tblOrdenes[[#This Row],[backlog_dias]]&gt;p_dias_backlog_max,"BACKLOG","MES CORRIENTE")))</f>
        <v/>
      </c>
      <c r="AB687" s="3">
        <f>IF(tblOrdenes[[#This Row],[backlog_dias]]="",FALSE,AND(tblOrdenes[[#This Row],[backlog_dias]]&gt;p_dias_backlog_min,tblOrdenes[[#This Row],[backlog_dias]]&lt;=p_dias_backlog_max))</f>
        <v/>
      </c>
      <c r="AC687" s="6" t="n"/>
      <c r="AD6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87" s="10">
        <f>IF(tblOrdenes[[#This Row],[orden]]="","",_xlfn.XLOOKUP(tblOrdenes[[#This Row],[id_operacion]],tblEjecucion[id_operacion],tblEjecucion[precio],0))</f>
        <v/>
      </c>
      <c r="AH687" s="10">
        <f>IF(tblOrdenes[[#This Row],[orden]]="","",MAX(0,_xlfn.XLOOKUP(tblOrdenes[[#This Row],[id_operacion]],tblEjecucion[id_operacion],tblEjecucion[costo_plan_total],0)-tblOrdenes[[#This Row],[costo_servicio]]))</f>
        <v/>
      </c>
      <c r="AI687" s="10">
        <f>IF(tblOrdenes[[#This Row],[orden]]="","",tblOrdenes[[#This Row],[costo_servicio]]+tblOrdenes[[#This Row],[costo_materiales]])</f>
        <v/>
      </c>
      <c r="AJ687" s="6" t="n"/>
      <c r="AK687" s="6" t="n"/>
      <c r="AL687" s="6" t="n"/>
      <c r="AM687" s="3">
        <f>IF(tblOrdenes[[#This Row],[link_checklist]]="","",HYPERLINK(p_ruta_base_checklists&amp;tblOrdenes[[#This Row],[link_checklist]],"abrir"))</f>
        <v/>
      </c>
      <c r="AN687" s="6" t="n"/>
      <c r="AO687" s="3">
        <f>IF(tblOrdenes[[#This Row],[orden]]="","",tblOrdenes[[#This Row],[orden]]&amp;IF(tblOrdenes[[#This Row],[operacion]]="","0010",tblOrdenes[[#This Row],[operacion]]))</f>
        <v/>
      </c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11" t="n"/>
      <c r="K688" s="3" t="n"/>
      <c r="L688" s="10" t="n"/>
      <c r="M688" s="6" t="n"/>
      <c r="N6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88" s="3">
        <f>IF(tblOrdenes[[#This Row],[fecha_inicio]]="","",YEAR(tblOrdenes[[#This Row],[fecha_inicio]]))</f>
        <v/>
      </c>
      <c r="R688" s="3">
        <f>IF(tblOrdenes[[#This Row],[fecha_inicio]]="","",MONTH(tblOrdenes[[#This Row],[fecha_inicio]]))</f>
        <v/>
      </c>
      <c r="S688" s="3">
        <f>IF(tblOrdenes[[#This Row],[fecha_inicio]]="","",INDEX(lista_dias,WEEKDAY(tblOrdenes[[#This Row],[fecha_inicio]],2)))</f>
        <v/>
      </c>
      <c r="T688" s="3">
        <f>IF(tblOrdenes[[#This Row],[tipo_ot]]="","",_xlfn.XLOOKUP(tblOrdenes[[#This Row],[tipo_ot]],tblTiposOT[codigo],tblTiposOT[clasificacion],"sin_clasificar"))</f>
        <v/>
      </c>
      <c r="U688" s="3">
        <f>IF(tblOrdenes[[#This Row],[centro_costo]]="","",_xlfn.XLOOKUP(tblOrdenes[[#This Row],[centro_costo]],tblCECO[codigo],tblCECO[linea],"(sin catálogo)"))</f>
        <v/>
      </c>
      <c r="V688" s="3">
        <f>IF(tblOrdenes[[#This Row],[centro_costo]]="","",_xlfn.XLOOKUP(tblOrdenes[[#This Row],[centro_costo]],tblCECO[codigo],tblCECO[area],"(sin catálogo)"))</f>
        <v/>
      </c>
      <c r="W688" s="3">
        <f>IF(tblOrdenes[[#This Row],[centro_costo]]="","",_xlfn.XLOOKUP(tblOrdenes[[#This Row],[centro_costo]],tblCECO[codigo],tblCECO[coordinador],"(sin catálogo)"))</f>
        <v/>
      </c>
      <c r="X688" s="3">
        <f>IF(tblOrdenes[[#This Row],[puesto_trabajo]]="","",_xlfn.XLOOKUP(tblOrdenes[[#This Row],[puesto_trabajo]],tblPuestos[codigo],tblPuestos[especialidad],"(sin catálogo)"))</f>
        <v/>
      </c>
      <c r="Y688" s="3">
        <f>IF(tblOrdenes[[#This Row],[cod_actividad]]="","",_xlfn.XLOOKUP(tblOrdenes[[#This Row],[cod_actividad]],tblActividades[codigo],tblActividades[descripcion],"(sin catálogo)"))</f>
        <v/>
      </c>
      <c r="Z688" s="12">
        <f>IF(tblOrdenes[[#This Row],[fecha_inicio]]="","",TODAY()-tblOrdenes[[#This Row],[fecha_inicio]])</f>
        <v/>
      </c>
      <c r="AA688" s="3">
        <f>IF(tblOrdenes[[#This Row],[backlog_dias]]="","",IF(tblOrdenes[[#This Row],[backlog_dias]]&lt;0,"FUTURO",IF(tblOrdenes[[#This Row],[backlog_dias]]&gt;p_dias_backlog_max,"BACKLOG","MES CORRIENTE")))</f>
        <v/>
      </c>
      <c r="AB688" s="3">
        <f>IF(tblOrdenes[[#This Row],[backlog_dias]]="",FALSE,AND(tblOrdenes[[#This Row],[backlog_dias]]&gt;p_dias_backlog_min,tblOrdenes[[#This Row],[backlog_dias]]&lt;=p_dias_backlog_max))</f>
        <v/>
      </c>
      <c r="AC688" s="6" t="n"/>
      <c r="AD6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88" s="10">
        <f>IF(tblOrdenes[[#This Row],[orden]]="","",_xlfn.XLOOKUP(tblOrdenes[[#This Row],[id_operacion]],tblEjecucion[id_operacion],tblEjecucion[precio],0))</f>
        <v/>
      </c>
      <c r="AH688" s="10">
        <f>IF(tblOrdenes[[#This Row],[orden]]="","",MAX(0,_xlfn.XLOOKUP(tblOrdenes[[#This Row],[id_operacion]],tblEjecucion[id_operacion],tblEjecucion[costo_plan_total],0)-tblOrdenes[[#This Row],[costo_servicio]]))</f>
        <v/>
      </c>
      <c r="AI688" s="10">
        <f>IF(tblOrdenes[[#This Row],[orden]]="","",tblOrdenes[[#This Row],[costo_servicio]]+tblOrdenes[[#This Row],[costo_materiales]])</f>
        <v/>
      </c>
      <c r="AJ688" s="6" t="n"/>
      <c r="AK688" s="6" t="n"/>
      <c r="AL688" s="6" t="n"/>
      <c r="AM688" s="3">
        <f>IF(tblOrdenes[[#This Row],[link_checklist]]="","",HYPERLINK(p_ruta_base_checklists&amp;tblOrdenes[[#This Row],[link_checklist]],"abrir"))</f>
        <v/>
      </c>
      <c r="AN688" s="6" t="n"/>
      <c r="AO688" s="3">
        <f>IF(tblOrdenes[[#This Row],[orden]]="","",tblOrdenes[[#This Row],[orden]]&amp;IF(tblOrdenes[[#This Row],[operacion]]="","0010",tblOrdenes[[#This Row],[operacion]]))</f>
        <v/>
      </c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11" t="n"/>
      <c r="K689" s="3" t="n"/>
      <c r="L689" s="10" t="n"/>
      <c r="M689" s="6" t="n"/>
      <c r="N6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89" s="3">
        <f>IF(tblOrdenes[[#This Row],[fecha_inicio]]="","",YEAR(tblOrdenes[[#This Row],[fecha_inicio]]))</f>
        <v/>
      </c>
      <c r="R689" s="3">
        <f>IF(tblOrdenes[[#This Row],[fecha_inicio]]="","",MONTH(tblOrdenes[[#This Row],[fecha_inicio]]))</f>
        <v/>
      </c>
      <c r="S689" s="3">
        <f>IF(tblOrdenes[[#This Row],[fecha_inicio]]="","",INDEX(lista_dias,WEEKDAY(tblOrdenes[[#This Row],[fecha_inicio]],2)))</f>
        <v/>
      </c>
      <c r="T689" s="3">
        <f>IF(tblOrdenes[[#This Row],[tipo_ot]]="","",_xlfn.XLOOKUP(tblOrdenes[[#This Row],[tipo_ot]],tblTiposOT[codigo],tblTiposOT[clasificacion],"sin_clasificar"))</f>
        <v/>
      </c>
      <c r="U689" s="3">
        <f>IF(tblOrdenes[[#This Row],[centro_costo]]="","",_xlfn.XLOOKUP(tblOrdenes[[#This Row],[centro_costo]],tblCECO[codigo],tblCECO[linea],"(sin catálogo)"))</f>
        <v/>
      </c>
      <c r="V689" s="3">
        <f>IF(tblOrdenes[[#This Row],[centro_costo]]="","",_xlfn.XLOOKUP(tblOrdenes[[#This Row],[centro_costo]],tblCECO[codigo],tblCECO[area],"(sin catálogo)"))</f>
        <v/>
      </c>
      <c r="W689" s="3">
        <f>IF(tblOrdenes[[#This Row],[centro_costo]]="","",_xlfn.XLOOKUP(tblOrdenes[[#This Row],[centro_costo]],tblCECO[codigo],tblCECO[coordinador],"(sin catálogo)"))</f>
        <v/>
      </c>
      <c r="X689" s="3">
        <f>IF(tblOrdenes[[#This Row],[puesto_trabajo]]="","",_xlfn.XLOOKUP(tblOrdenes[[#This Row],[puesto_trabajo]],tblPuestos[codigo],tblPuestos[especialidad],"(sin catálogo)"))</f>
        <v/>
      </c>
      <c r="Y689" s="3">
        <f>IF(tblOrdenes[[#This Row],[cod_actividad]]="","",_xlfn.XLOOKUP(tblOrdenes[[#This Row],[cod_actividad]],tblActividades[codigo],tblActividades[descripcion],"(sin catálogo)"))</f>
        <v/>
      </c>
      <c r="Z689" s="12">
        <f>IF(tblOrdenes[[#This Row],[fecha_inicio]]="","",TODAY()-tblOrdenes[[#This Row],[fecha_inicio]])</f>
        <v/>
      </c>
      <c r="AA689" s="3">
        <f>IF(tblOrdenes[[#This Row],[backlog_dias]]="","",IF(tblOrdenes[[#This Row],[backlog_dias]]&lt;0,"FUTURO",IF(tblOrdenes[[#This Row],[backlog_dias]]&gt;p_dias_backlog_max,"BACKLOG","MES CORRIENTE")))</f>
        <v/>
      </c>
      <c r="AB689" s="3">
        <f>IF(tblOrdenes[[#This Row],[backlog_dias]]="",FALSE,AND(tblOrdenes[[#This Row],[backlog_dias]]&gt;p_dias_backlog_min,tblOrdenes[[#This Row],[backlog_dias]]&lt;=p_dias_backlog_max))</f>
        <v/>
      </c>
      <c r="AC689" s="6" t="n"/>
      <c r="AD6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89" s="10">
        <f>IF(tblOrdenes[[#This Row],[orden]]="","",_xlfn.XLOOKUP(tblOrdenes[[#This Row],[id_operacion]],tblEjecucion[id_operacion],tblEjecucion[precio],0))</f>
        <v/>
      </c>
      <c r="AH689" s="10">
        <f>IF(tblOrdenes[[#This Row],[orden]]="","",MAX(0,_xlfn.XLOOKUP(tblOrdenes[[#This Row],[id_operacion]],tblEjecucion[id_operacion],tblEjecucion[costo_plan_total],0)-tblOrdenes[[#This Row],[costo_servicio]]))</f>
        <v/>
      </c>
      <c r="AI689" s="10">
        <f>IF(tblOrdenes[[#This Row],[orden]]="","",tblOrdenes[[#This Row],[costo_servicio]]+tblOrdenes[[#This Row],[costo_materiales]])</f>
        <v/>
      </c>
      <c r="AJ689" s="6" t="n"/>
      <c r="AK689" s="6" t="n"/>
      <c r="AL689" s="6" t="n"/>
      <c r="AM689" s="3">
        <f>IF(tblOrdenes[[#This Row],[link_checklist]]="","",HYPERLINK(p_ruta_base_checklists&amp;tblOrdenes[[#This Row],[link_checklist]],"abrir"))</f>
        <v/>
      </c>
      <c r="AN689" s="6" t="n"/>
      <c r="AO689" s="3">
        <f>IF(tblOrdenes[[#This Row],[orden]]="","",tblOrdenes[[#This Row],[orden]]&amp;IF(tblOrdenes[[#This Row],[operacion]]="","0010",tblOrdenes[[#This Row],[operacion]]))</f>
        <v/>
      </c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11" t="n"/>
      <c r="K690" s="3" t="n"/>
      <c r="L690" s="10" t="n"/>
      <c r="M690" s="6" t="n"/>
      <c r="N6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90" s="3">
        <f>IF(tblOrdenes[[#This Row],[fecha_inicio]]="","",YEAR(tblOrdenes[[#This Row],[fecha_inicio]]))</f>
        <v/>
      </c>
      <c r="R690" s="3">
        <f>IF(tblOrdenes[[#This Row],[fecha_inicio]]="","",MONTH(tblOrdenes[[#This Row],[fecha_inicio]]))</f>
        <v/>
      </c>
      <c r="S690" s="3">
        <f>IF(tblOrdenes[[#This Row],[fecha_inicio]]="","",INDEX(lista_dias,WEEKDAY(tblOrdenes[[#This Row],[fecha_inicio]],2)))</f>
        <v/>
      </c>
      <c r="T690" s="3">
        <f>IF(tblOrdenes[[#This Row],[tipo_ot]]="","",_xlfn.XLOOKUP(tblOrdenes[[#This Row],[tipo_ot]],tblTiposOT[codigo],tblTiposOT[clasificacion],"sin_clasificar"))</f>
        <v/>
      </c>
      <c r="U690" s="3">
        <f>IF(tblOrdenes[[#This Row],[centro_costo]]="","",_xlfn.XLOOKUP(tblOrdenes[[#This Row],[centro_costo]],tblCECO[codigo],tblCECO[linea],"(sin catálogo)"))</f>
        <v/>
      </c>
      <c r="V690" s="3">
        <f>IF(tblOrdenes[[#This Row],[centro_costo]]="","",_xlfn.XLOOKUP(tblOrdenes[[#This Row],[centro_costo]],tblCECO[codigo],tblCECO[area],"(sin catálogo)"))</f>
        <v/>
      </c>
      <c r="W690" s="3">
        <f>IF(tblOrdenes[[#This Row],[centro_costo]]="","",_xlfn.XLOOKUP(tblOrdenes[[#This Row],[centro_costo]],tblCECO[codigo],tblCECO[coordinador],"(sin catálogo)"))</f>
        <v/>
      </c>
      <c r="X690" s="3">
        <f>IF(tblOrdenes[[#This Row],[puesto_trabajo]]="","",_xlfn.XLOOKUP(tblOrdenes[[#This Row],[puesto_trabajo]],tblPuestos[codigo],tblPuestos[especialidad],"(sin catálogo)"))</f>
        <v/>
      </c>
      <c r="Y690" s="3">
        <f>IF(tblOrdenes[[#This Row],[cod_actividad]]="","",_xlfn.XLOOKUP(tblOrdenes[[#This Row],[cod_actividad]],tblActividades[codigo],tblActividades[descripcion],"(sin catálogo)"))</f>
        <v/>
      </c>
      <c r="Z690" s="12">
        <f>IF(tblOrdenes[[#This Row],[fecha_inicio]]="","",TODAY()-tblOrdenes[[#This Row],[fecha_inicio]])</f>
        <v/>
      </c>
      <c r="AA690" s="3">
        <f>IF(tblOrdenes[[#This Row],[backlog_dias]]="","",IF(tblOrdenes[[#This Row],[backlog_dias]]&lt;0,"FUTURO",IF(tblOrdenes[[#This Row],[backlog_dias]]&gt;p_dias_backlog_max,"BACKLOG","MES CORRIENTE")))</f>
        <v/>
      </c>
      <c r="AB690" s="3">
        <f>IF(tblOrdenes[[#This Row],[backlog_dias]]="",FALSE,AND(tblOrdenes[[#This Row],[backlog_dias]]&gt;p_dias_backlog_min,tblOrdenes[[#This Row],[backlog_dias]]&lt;=p_dias_backlog_max))</f>
        <v/>
      </c>
      <c r="AC690" s="6" t="n"/>
      <c r="AD6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90" s="10">
        <f>IF(tblOrdenes[[#This Row],[orden]]="","",_xlfn.XLOOKUP(tblOrdenes[[#This Row],[id_operacion]],tblEjecucion[id_operacion],tblEjecucion[precio],0))</f>
        <v/>
      </c>
      <c r="AH690" s="10">
        <f>IF(tblOrdenes[[#This Row],[orden]]="","",MAX(0,_xlfn.XLOOKUP(tblOrdenes[[#This Row],[id_operacion]],tblEjecucion[id_operacion],tblEjecucion[costo_plan_total],0)-tblOrdenes[[#This Row],[costo_servicio]]))</f>
        <v/>
      </c>
      <c r="AI690" s="10">
        <f>IF(tblOrdenes[[#This Row],[orden]]="","",tblOrdenes[[#This Row],[costo_servicio]]+tblOrdenes[[#This Row],[costo_materiales]])</f>
        <v/>
      </c>
      <c r="AJ690" s="6" t="n"/>
      <c r="AK690" s="6" t="n"/>
      <c r="AL690" s="6" t="n"/>
      <c r="AM690" s="3">
        <f>IF(tblOrdenes[[#This Row],[link_checklist]]="","",HYPERLINK(p_ruta_base_checklists&amp;tblOrdenes[[#This Row],[link_checklist]],"abrir"))</f>
        <v/>
      </c>
      <c r="AN690" s="6" t="n"/>
      <c r="AO690" s="3">
        <f>IF(tblOrdenes[[#This Row],[orden]]="","",tblOrdenes[[#This Row],[orden]]&amp;IF(tblOrdenes[[#This Row],[operacion]]="","0010",tblOrdenes[[#This Row],[operacion]]))</f>
        <v/>
      </c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11" t="n"/>
      <c r="K691" s="3" t="n"/>
      <c r="L691" s="10" t="n"/>
      <c r="M691" s="6" t="n"/>
      <c r="N6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91" s="3">
        <f>IF(tblOrdenes[[#This Row],[fecha_inicio]]="","",YEAR(tblOrdenes[[#This Row],[fecha_inicio]]))</f>
        <v/>
      </c>
      <c r="R691" s="3">
        <f>IF(tblOrdenes[[#This Row],[fecha_inicio]]="","",MONTH(tblOrdenes[[#This Row],[fecha_inicio]]))</f>
        <v/>
      </c>
      <c r="S691" s="3">
        <f>IF(tblOrdenes[[#This Row],[fecha_inicio]]="","",INDEX(lista_dias,WEEKDAY(tblOrdenes[[#This Row],[fecha_inicio]],2)))</f>
        <v/>
      </c>
      <c r="T691" s="3">
        <f>IF(tblOrdenes[[#This Row],[tipo_ot]]="","",_xlfn.XLOOKUP(tblOrdenes[[#This Row],[tipo_ot]],tblTiposOT[codigo],tblTiposOT[clasificacion],"sin_clasificar"))</f>
        <v/>
      </c>
      <c r="U691" s="3">
        <f>IF(tblOrdenes[[#This Row],[centro_costo]]="","",_xlfn.XLOOKUP(tblOrdenes[[#This Row],[centro_costo]],tblCECO[codigo],tblCECO[linea],"(sin catálogo)"))</f>
        <v/>
      </c>
      <c r="V691" s="3">
        <f>IF(tblOrdenes[[#This Row],[centro_costo]]="","",_xlfn.XLOOKUP(tblOrdenes[[#This Row],[centro_costo]],tblCECO[codigo],tblCECO[area],"(sin catálogo)"))</f>
        <v/>
      </c>
      <c r="W691" s="3">
        <f>IF(tblOrdenes[[#This Row],[centro_costo]]="","",_xlfn.XLOOKUP(tblOrdenes[[#This Row],[centro_costo]],tblCECO[codigo],tblCECO[coordinador],"(sin catálogo)"))</f>
        <v/>
      </c>
      <c r="X691" s="3">
        <f>IF(tblOrdenes[[#This Row],[puesto_trabajo]]="","",_xlfn.XLOOKUP(tblOrdenes[[#This Row],[puesto_trabajo]],tblPuestos[codigo],tblPuestos[especialidad],"(sin catálogo)"))</f>
        <v/>
      </c>
      <c r="Y691" s="3">
        <f>IF(tblOrdenes[[#This Row],[cod_actividad]]="","",_xlfn.XLOOKUP(tblOrdenes[[#This Row],[cod_actividad]],tblActividades[codigo],tblActividades[descripcion],"(sin catálogo)"))</f>
        <v/>
      </c>
      <c r="Z691" s="12">
        <f>IF(tblOrdenes[[#This Row],[fecha_inicio]]="","",TODAY()-tblOrdenes[[#This Row],[fecha_inicio]])</f>
        <v/>
      </c>
      <c r="AA691" s="3">
        <f>IF(tblOrdenes[[#This Row],[backlog_dias]]="","",IF(tblOrdenes[[#This Row],[backlog_dias]]&lt;0,"FUTURO",IF(tblOrdenes[[#This Row],[backlog_dias]]&gt;p_dias_backlog_max,"BACKLOG","MES CORRIENTE")))</f>
        <v/>
      </c>
      <c r="AB691" s="3">
        <f>IF(tblOrdenes[[#This Row],[backlog_dias]]="",FALSE,AND(tblOrdenes[[#This Row],[backlog_dias]]&gt;p_dias_backlog_min,tblOrdenes[[#This Row],[backlog_dias]]&lt;=p_dias_backlog_max))</f>
        <v/>
      </c>
      <c r="AC691" s="6" t="n"/>
      <c r="AD6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91" s="10">
        <f>IF(tblOrdenes[[#This Row],[orden]]="","",_xlfn.XLOOKUP(tblOrdenes[[#This Row],[id_operacion]],tblEjecucion[id_operacion],tblEjecucion[precio],0))</f>
        <v/>
      </c>
      <c r="AH691" s="10">
        <f>IF(tblOrdenes[[#This Row],[orden]]="","",MAX(0,_xlfn.XLOOKUP(tblOrdenes[[#This Row],[id_operacion]],tblEjecucion[id_operacion],tblEjecucion[costo_plan_total],0)-tblOrdenes[[#This Row],[costo_servicio]]))</f>
        <v/>
      </c>
      <c r="AI691" s="10">
        <f>IF(tblOrdenes[[#This Row],[orden]]="","",tblOrdenes[[#This Row],[costo_servicio]]+tblOrdenes[[#This Row],[costo_materiales]])</f>
        <v/>
      </c>
      <c r="AJ691" s="6" t="n"/>
      <c r="AK691" s="6" t="n"/>
      <c r="AL691" s="6" t="n"/>
      <c r="AM691" s="3">
        <f>IF(tblOrdenes[[#This Row],[link_checklist]]="","",HYPERLINK(p_ruta_base_checklists&amp;tblOrdenes[[#This Row],[link_checklist]],"abrir"))</f>
        <v/>
      </c>
      <c r="AN691" s="6" t="n"/>
      <c r="AO691" s="3">
        <f>IF(tblOrdenes[[#This Row],[orden]]="","",tblOrdenes[[#This Row],[orden]]&amp;IF(tblOrdenes[[#This Row],[operacion]]="","0010",tblOrdenes[[#This Row],[operacion]]))</f>
        <v/>
      </c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11" t="n"/>
      <c r="K692" s="3" t="n"/>
      <c r="L692" s="10" t="n"/>
      <c r="M692" s="6" t="n"/>
      <c r="N6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92" s="3">
        <f>IF(tblOrdenes[[#This Row],[fecha_inicio]]="","",YEAR(tblOrdenes[[#This Row],[fecha_inicio]]))</f>
        <v/>
      </c>
      <c r="R692" s="3">
        <f>IF(tblOrdenes[[#This Row],[fecha_inicio]]="","",MONTH(tblOrdenes[[#This Row],[fecha_inicio]]))</f>
        <v/>
      </c>
      <c r="S692" s="3">
        <f>IF(tblOrdenes[[#This Row],[fecha_inicio]]="","",INDEX(lista_dias,WEEKDAY(tblOrdenes[[#This Row],[fecha_inicio]],2)))</f>
        <v/>
      </c>
      <c r="T692" s="3">
        <f>IF(tblOrdenes[[#This Row],[tipo_ot]]="","",_xlfn.XLOOKUP(tblOrdenes[[#This Row],[tipo_ot]],tblTiposOT[codigo],tblTiposOT[clasificacion],"sin_clasificar"))</f>
        <v/>
      </c>
      <c r="U692" s="3">
        <f>IF(tblOrdenes[[#This Row],[centro_costo]]="","",_xlfn.XLOOKUP(tblOrdenes[[#This Row],[centro_costo]],tblCECO[codigo],tblCECO[linea],"(sin catálogo)"))</f>
        <v/>
      </c>
      <c r="V692" s="3">
        <f>IF(tblOrdenes[[#This Row],[centro_costo]]="","",_xlfn.XLOOKUP(tblOrdenes[[#This Row],[centro_costo]],tblCECO[codigo],tblCECO[area],"(sin catálogo)"))</f>
        <v/>
      </c>
      <c r="W692" s="3">
        <f>IF(tblOrdenes[[#This Row],[centro_costo]]="","",_xlfn.XLOOKUP(tblOrdenes[[#This Row],[centro_costo]],tblCECO[codigo],tblCECO[coordinador],"(sin catálogo)"))</f>
        <v/>
      </c>
      <c r="X692" s="3">
        <f>IF(tblOrdenes[[#This Row],[puesto_trabajo]]="","",_xlfn.XLOOKUP(tblOrdenes[[#This Row],[puesto_trabajo]],tblPuestos[codigo],tblPuestos[especialidad],"(sin catálogo)"))</f>
        <v/>
      </c>
      <c r="Y692" s="3">
        <f>IF(tblOrdenes[[#This Row],[cod_actividad]]="","",_xlfn.XLOOKUP(tblOrdenes[[#This Row],[cod_actividad]],tblActividades[codigo],tblActividades[descripcion],"(sin catálogo)"))</f>
        <v/>
      </c>
      <c r="Z692" s="12">
        <f>IF(tblOrdenes[[#This Row],[fecha_inicio]]="","",TODAY()-tblOrdenes[[#This Row],[fecha_inicio]])</f>
        <v/>
      </c>
      <c r="AA692" s="3">
        <f>IF(tblOrdenes[[#This Row],[backlog_dias]]="","",IF(tblOrdenes[[#This Row],[backlog_dias]]&lt;0,"FUTURO",IF(tblOrdenes[[#This Row],[backlog_dias]]&gt;p_dias_backlog_max,"BACKLOG","MES CORRIENTE")))</f>
        <v/>
      </c>
      <c r="AB692" s="3">
        <f>IF(tblOrdenes[[#This Row],[backlog_dias]]="",FALSE,AND(tblOrdenes[[#This Row],[backlog_dias]]&gt;p_dias_backlog_min,tblOrdenes[[#This Row],[backlog_dias]]&lt;=p_dias_backlog_max))</f>
        <v/>
      </c>
      <c r="AC692" s="6" t="n"/>
      <c r="AD6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92" s="10">
        <f>IF(tblOrdenes[[#This Row],[orden]]="","",_xlfn.XLOOKUP(tblOrdenes[[#This Row],[id_operacion]],tblEjecucion[id_operacion],tblEjecucion[precio],0))</f>
        <v/>
      </c>
      <c r="AH692" s="10">
        <f>IF(tblOrdenes[[#This Row],[orden]]="","",MAX(0,_xlfn.XLOOKUP(tblOrdenes[[#This Row],[id_operacion]],tblEjecucion[id_operacion],tblEjecucion[costo_plan_total],0)-tblOrdenes[[#This Row],[costo_servicio]]))</f>
        <v/>
      </c>
      <c r="AI692" s="10">
        <f>IF(tblOrdenes[[#This Row],[orden]]="","",tblOrdenes[[#This Row],[costo_servicio]]+tblOrdenes[[#This Row],[costo_materiales]])</f>
        <v/>
      </c>
      <c r="AJ692" s="6" t="n"/>
      <c r="AK692" s="6" t="n"/>
      <c r="AL692" s="6" t="n"/>
      <c r="AM692" s="3">
        <f>IF(tblOrdenes[[#This Row],[link_checklist]]="","",HYPERLINK(p_ruta_base_checklists&amp;tblOrdenes[[#This Row],[link_checklist]],"abrir"))</f>
        <v/>
      </c>
      <c r="AN692" s="6" t="n"/>
      <c r="AO692" s="3">
        <f>IF(tblOrdenes[[#This Row],[orden]]="","",tblOrdenes[[#This Row],[orden]]&amp;IF(tblOrdenes[[#This Row],[operacion]]="","0010",tblOrdenes[[#This Row],[operacion]]))</f>
        <v/>
      </c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11" t="n"/>
      <c r="K693" s="3" t="n"/>
      <c r="L693" s="10" t="n"/>
      <c r="M693" s="6" t="n"/>
      <c r="N6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93" s="3">
        <f>IF(tblOrdenes[[#This Row],[fecha_inicio]]="","",YEAR(tblOrdenes[[#This Row],[fecha_inicio]]))</f>
        <v/>
      </c>
      <c r="R693" s="3">
        <f>IF(tblOrdenes[[#This Row],[fecha_inicio]]="","",MONTH(tblOrdenes[[#This Row],[fecha_inicio]]))</f>
        <v/>
      </c>
      <c r="S693" s="3">
        <f>IF(tblOrdenes[[#This Row],[fecha_inicio]]="","",INDEX(lista_dias,WEEKDAY(tblOrdenes[[#This Row],[fecha_inicio]],2)))</f>
        <v/>
      </c>
      <c r="T693" s="3">
        <f>IF(tblOrdenes[[#This Row],[tipo_ot]]="","",_xlfn.XLOOKUP(tblOrdenes[[#This Row],[tipo_ot]],tblTiposOT[codigo],tblTiposOT[clasificacion],"sin_clasificar"))</f>
        <v/>
      </c>
      <c r="U693" s="3">
        <f>IF(tblOrdenes[[#This Row],[centro_costo]]="","",_xlfn.XLOOKUP(tblOrdenes[[#This Row],[centro_costo]],tblCECO[codigo],tblCECO[linea],"(sin catálogo)"))</f>
        <v/>
      </c>
      <c r="V693" s="3">
        <f>IF(tblOrdenes[[#This Row],[centro_costo]]="","",_xlfn.XLOOKUP(tblOrdenes[[#This Row],[centro_costo]],tblCECO[codigo],tblCECO[area],"(sin catálogo)"))</f>
        <v/>
      </c>
      <c r="W693" s="3">
        <f>IF(tblOrdenes[[#This Row],[centro_costo]]="","",_xlfn.XLOOKUP(tblOrdenes[[#This Row],[centro_costo]],tblCECO[codigo],tblCECO[coordinador],"(sin catálogo)"))</f>
        <v/>
      </c>
      <c r="X693" s="3">
        <f>IF(tblOrdenes[[#This Row],[puesto_trabajo]]="","",_xlfn.XLOOKUP(tblOrdenes[[#This Row],[puesto_trabajo]],tblPuestos[codigo],tblPuestos[especialidad],"(sin catálogo)"))</f>
        <v/>
      </c>
      <c r="Y693" s="3">
        <f>IF(tblOrdenes[[#This Row],[cod_actividad]]="","",_xlfn.XLOOKUP(tblOrdenes[[#This Row],[cod_actividad]],tblActividades[codigo],tblActividades[descripcion],"(sin catálogo)"))</f>
        <v/>
      </c>
      <c r="Z693" s="12">
        <f>IF(tblOrdenes[[#This Row],[fecha_inicio]]="","",TODAY()-tblOrdenes[[#This Row],[fecha_inicio]])</f>
        <v/>
      </c>
      <c r="AA693" s="3">
        <f>IF(tblOrdenes[[#This Row],[backlog_dias]]="","",IF(tblOrdenes[[#This Row],[backlog_dias]]&lt;0,"FUTURO",IF(tblOrdenes[[#This Row],[backlog_dias]]&gt;p_dias_backlog_max,"BACKLOG","MES CORRIENTE")))</f>
        <v/>
      </c>
      <c r="AB693" s="3">
        <f>IF(tblOrdenes[[#This Row],[backlog_dias]]="",FALSE,AND(tblOrdenes[[#This Row],[backlog_dias]]&gt;p_dias_backlog_min,tblOrdenes[[#This Row],[backlog_dias]]&lt;=p_dias_backlog_max))</f>
        <v/>
      </c>
      <c r="AC693" s="6" t="n"/>
      <c r="AD6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93" s="10">
        <f>IF(tblOrdenes[[#This Row],[orden]]="","",_xlfn.XLOOKUP(tblOrdenes[[#This Row],[id_operacion]],tblEjecucion[id_operacion],tblEjecucion[precio],0))</f>
        <v/>
      </c>
      <c r="AH693" s="10">
        <f>IF(tblOrdenes[[#This Row],[orden]]="","",MAX(0,_xlfn.XLOOKUP(tblOrdenes[[#This Row],[id_operacion]],tblEjecucion[id_operacion],tblEjecucion[costo_plan_total],0)-tblOrdenes[[#This Row],[costo_servicio]]))</f>
        <v/>
      </c>
      <c r="AI693" s="10">
        <f>IF(tblOrdenes[[#This Row],[orden]]="","",tblOrdenes[[#This Row],[costo_servicio]]+tblOrdenes[[#This Row],[costo_materiales]])</f>
        <v/>
      </c>
      <c r="AJ693" s="6" t="n"/>
      <c r="AK693" s="6" t="n"/>
      <c r="AL693" s="6" t="n"/>
      <c r="AM693" s="3">
        <f>IF(tblOrdenes[[#This Row],[link_checklist]]="","",HYPERLINK(p_ruta_base_checklists&amp;tblOrdenes[[#This Row],[link_checklist]],"abrir"))</f>
        <v/>
      </c>
      <c r="AN693" s="6" t="n"/>
      <c r="AO693" s="3">
        <f>IF(tblOrdenes[[#This Row],[orden]]="","",tblOrdenes[[#This Row],[orden]]&amp;IF(tblOrdenes[[#This Row],[operacion]]="","0010",tblOrdenes[[#This Row],[operacion]]))</f>
        <v/>
      </c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11" t="n"/>
      <c r="K694" s="3" t="n"/>
      <c r="L694" s="10" t="n"/>
      <c r="M694" s="6" t="n"/>
      <c r="N6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94" s="3">
        <f>IF(tblOrdenes[[#This Row],[fecha_inicio]]="","",YEAR(tblOrdenes[[#This Row],[fecha_inicio]]))</f>
        <v/>
      </c>
      <c r="R694" s="3">
        <f>IF(tblOrdenes[[#This Row],[fecha_inicio]]="","",MONTH(tblOrdenes[[#This Row],[fecha_inicio]]))</f>
        <v/>
      </c>
      <c r="S694" s="3">
        <f>IF(tblOrdenes[[#This Row],[fecha_inicio]]="","",INDEX(lista_dias,WEEKDAY(tblOrdenes[[#This Row],[fecha_inicio]],2)))</f>
        <v/>
      </c>
      <c r="T694" s="3">
        <f>IF(tblOrdenes[[#This Row],[tipo_ot]]="","",_xlfn.XLOOKUP(tblOrdenes[[#This Row],[tipo_ot]],tblTiposOT[codigo],tblTiposOT[clasificacion],"sin_clasificar"))</f>
        <v/>
      </c>
      <c r="U694" s="3">
        <f>IF(tblOrdenes[[#This Row],[centro_costo]]="","",_xlfn.XLOOKUP(tblOrdenes[[#This Row],[centro_costo]],tblCECO[codigo],tblCECO[linea],"(sin catálogo)"))</f>
        <v/>
      </c>
      <c r="V694" s="3">
        <f>IF(tblOrdenes[[#This Row],[centro_costo]]="","",_xlfn.XLOOKUP(tblOrdenes[[#This Row],[centro_costo]],tblCECO[codigo],tblCECO[area],"(sin catálogo)"))</f>
        <v/>
      </c>
      <c r="W694" s="3">
        <f>IF(tblOrdenes[[#This Row],[centro_costo]]="","",_xlfn.XLOOKUP(tblOrdenes[[#This Row],[centro_costo]],tblCECO[codigo],tblCECO[coordinador],"(sin catálogo)"))</f>
        <v/>
      </c>
      <c r="X694" s="3">
        <f>IF(tblOrdenes[[#This Row],[puesto_trabajo]]="","",_xlfn.XLOOKUP(tblOrdenes[[#This Row],[puesto_trabajo]],tblPuestos[codigo],tblPuestos[especialidad],"(sin catálogo)"))</f>
        <v/>
      </c>
      <c r="Y694" s="3">
        <f>IF(tblOrdenes[[#This Row],[cod_actividad]]="","",_xlfn.XLOOKUP(tblOrdenes[[#This Row],[cod_actividad]],tblActividades[codigo],tblActividades[descripcion],"(sin catálogo)"))</f>
        <v/>
      </c>
      <c r="Z694" s="12">
        <f>IF(tblOrdenes[[#This Row],[fecha_inicio]]="","",TODAY()-tblOrdenes[[#This Row],[fecha_inicio]])</f>
        <v/>
      </c>
      <c r="AA694" s="3">
        <f>IF(tblOrdenes[[#This Row],[backlog_dias]]="","",IF(tblOrdenes[[#This Row],[backlog_dias]]&lt;0,"FUTURO",IF(tblOrdenes[[#This Row],[backlog_dias]]&gt;p_dias_backlog_max,"BACKLOG","MES CORRIENTE")))</f>
        <v/>
      </c>
      <c r="AB694" s="3">
        <f>IF(tblOrdenes[[#This Row],[backlog_dias]]="",FALSE,AND(tblOrdenes[[#This Row],[backlog_dias]]&gt;p_dias_backlog_min,tblOrdenes[[#This Row],[backlog_dias]]&lt;=p_dias_backlog_max))</f>
        <v/>
      </c>
      <c r="AC694" s="6" t="n"/>
      <c r="AD6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94" s="10">
        <f>IF(tblOrdenes[[#This Row],[orden]]="","",_xlfn.XLOOKUP(tblOrdenes[[#This Row],[id_operacion]],tblEjecucion[id_operacion],tblEjecucion[precio],0))</f>
        <v/>
      </c>
      <c r="AH694" s="10">
        <f>IF(tblOrdenes[[#This Row],[orden]]="","",MAX(0,_xlfn.XLOOKUP(tblOrdenes[[#This Row],[id_operacion]],tblEjecucion[id_operacion],tblEjecucion[costo_plan_total],0)-tblOrdenes[[#This Row],[costo_servicio]]))</f>
        <v/>
      </c>
      <c r="AI694" s="10">
        <f>IF(tblOrdenes[[#This Row],[orden]]="","",tblOrdenes[[#This Row],[costo_servicio]]+tblOrdenes[[#This Row],[costo_materiales]])</f>
        <v/>
      </c>
      <c r="AJ694" s="6" t="n"/>
      <c r="AK694" s="6" t="n"/>
      <c r="AL694" s="6" t="n"/>
      <c r="AM694" s="3">
        <f>IF(tblOrdenes[[#This Row],[link_checklist]]="","",HYPERLINK(p_ruta_base_checklists&amp;tblOrdenes[[#This Row],[link_checklist]],"abrir"))</f>
        <v/>
      </c>
      <c r="AN694" s="6" t="n"/>
      <c r="AO694" s="3">
        <f>IF(tblOrdenes[[#This Row],[orden]]="","",tblOrdenes[[#This Row],[orden]]&amp;IF(tblOrdenes[[#This Row],[operacion]]="","0010",tblOrdenes[[#This Row],[operacion]]))</f>
        <v/>
      </c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11" t="n"/>
      <c r="K695" s="3" t="n"/>
      <c r="L695" s="10" t="n"/>
      <c r="M695" s="6" t="n"/>
      <c r="N6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95" s="3">
        <f>IF(tblOrdenes[[#This Row],[fecha_inicio]]="","",YEAR(tblOrdenes[[#This Row],[fecha_inicio]]))</f>
        <v/>
      </c>
      <c r="R695" s="3">
        <f>IF(tblOrdenes[[#This Row],[fecha_inicio]]="","",MONTH(tblOrdenes[[#This Row],[fecha_inicio]]))</f>
        <v/>
      </c>
      <c r="S695" s="3">
        <f>IF(tblOrdenes[[#This Row],[fecha_inicio]]="","",INDEX(lista_dias,WEEKDAY(tblOrdenes[[#This Row],[fecha_inicio]],2)))</f>
        <v/>
      </c>
      <c r="T695" s="3">
        <f>IF(tblOrdenes[[#This Row],[tipo_ot]]="","",_xlfn.XLOOKUP(tblOrdenes[[#This Row],[tipo_ot]],tblTiposOT[codigo],tblTiposOT[clasificacion],"sin_clasificar"))</f>
        <v/>
      </c>
      <c r="U695" s="3">
        <f>IF(tblOrdenes[[#This Row],[centro_costo]]="","",_xlfn.XLOOKUP(tblOrdenes[[#This Row],[centro_costo]],tblCECO[codigo],tblCECO[linea],"(sin catálogo)"))</f>
        <v/>
      </c>
      <c r="V695" s="3">
        <f>IF(tblOrdenes[[#This Row],[centro_costo]]="","",_xlfn.XLOOKUP(tblOrdenes[[#This Row],[centro_costo]],tblCECO[codigo],tblCECO[area],"(sin catálogo)"))</f>
        <v/>
      </c>
      <c r="W695" s="3">
        <f>IF(tblOrdenes[[#This Row],[centro_costo]]="","",_xlfn.XLOOKUP(tblOrdenes[[#This Row],[centro_costo]],tblCECO[codigo],tblCECO[coordinador],"(sin catálogo)"))</f>
        <v/>
      </c>
      <c r="X695" s="3">
        <f>IF(tblOrdenes[[#This Row],[puesto_trabajo]]="","",_xlfn.XLOOKUP(tblOrdenes[[#This Row],[puesto_trabajo]],tblPuestos[codigo],tblPuestos[especialidad],"(sin catálogo)"))</f>
        <v/>
      </c>
      <c r="Y695" s="3">
        <f>IF(tblOrdenes[[#This Row],[cod_actividad]]="","",_xlfn.XLOOKUP(tblOrdenes[[#This Row],[cod_actividad]],tblActividades[codigo],tblActividades[descripcion],"(sin catálogo)"))</f>
        <v/>
      </c>
      <c r="Z695" s="12">
        <f>IF(tblOrdenes[[#This Row],[fecha_inicio]]="","",TODAY()-tblOrdenes[[#This Row],[fecha_inicio]])</f>
        <v/>
      </c>
      <c r="AA695" s="3">
        <f>IF(tblOrdenes[[#This Row],[backlog_dias]]="","",IF(tblOrdenes[[#This Row],[backlog_dias]]&lt;0,"FUTURO",IF(tblOrdenes[[#This Row],[backlog_dias]]&gt;p_dias_backlog_max,"BACKLOG","MES CORRIENTE")))</f>
        <v/>
      </c>
      <c r="AB695" s="3">
        <f>IF(tblOrdenes[[#This Row],[backlog_dias]]="",FALSE,AND(tblOrdenes[[#This Row],[backlog_dias]]&gt;p_dias_backlog_min,tblOrdenes[[#This Row],[backlog_dias]]&lt;=p_dias_backlog_max))</f>
        <v/>
      </c>
      <c r="AC695" s="6" t="n"/>
      <c r="AD6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95" s="10">
        <f>IF(tblOrdenes[[#This Row],[orden]]="","",_xlfn.XLOOKUP(tblOrdenes[[#This Row],[id_operacion]],tblEjecucion[id_operacion],tblEjecucion[precio],0))</f>
        <v/>
      </c>
      <c r="AH695" s="10">
        <f>IF(tblOrdenes[[#This Row],[orden]]="","",MAX(0,_xlfn.XLOOKUP(tblOrdenes[[#This Row],[id_operacion]],tblEjecucion[id_operacion],tblEjecucion[costo_plan_total],0)-tblOrdenes[[#This Row],[costo_servicio]]))</f>
        <v/>
      </c>
      <c r="AI695" s="10">
        <f>IF(tblOrdenes[[#This Row],[orden]]="","",tblOrdenes[[#This Row],[costo_servicio]]+tblOrdenes[[#This Row],[costo_materiales]])</f>
        <v/>
      </c>
      <c r="AJ695" s="6" t="n"/>
      <c r="AK695" s="6" t="n"/>
      <c r="AL695" s="6" t="n"/>
      <c r="AM695" s="3">
        <f>IF(tblOrdenes[[#This Row],[link_checklist]]="","",HYPERLINK(p_ruta_base_checklists&amp;tblOrdenes[[#This Row],[link_checklist]],"abrir"))</f>
        <v/>
      </c>
      <c r="AN695" s="6" t="n"/>
      <c r="AO695" s="3">
        <f>IF(tblOrdenes[[#This Row],[orden]]="","",tblOrdenes[[#This Row],[orden]]&amp;IF(tblOrdenes[[#This Row],[operacion]]="","0010",tblOrdenes[[#This Row],[operacion]]))</f>
        <v/>
      </c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11" t="n"/>
      <c r="K696" s="3" t="n"/>
      <c r="L696" s="10" t="n"/>
      <c r="M696" s="6" t="n"/>
      <c r="N6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96" s="3">
        <f>IF(tblOrdenes[[#This Row],[fecha_inicio]]="","",YEAR(tblOrdenes[[#This Row],[fecha_inicio]]))</f>
        <v/>
      </c>
      <c r="R696" s="3">
        <f>IF(tblOrdenes[[#This Row],[fecha_inicio]]="","",MONTH(tblOrdenes[[#This Row],[fecha_inicio]]))</f>
        <v/>
      </c>
      <c r="S696" s="3">
        <f>IF(tblOrdenes[[#This Row],[fecha_inicio]]="","",INDEX(lista_dias,WEEKDAY(tblOrdenes[[#This Row],[fecha_inicio]],2)))</f>
        <v/>
      </c>
      <c r="T696" s="3">
        <f>IF(tblOrdenes[[#This Row],[tipo_ot]]="","",_xlfn.XLOOKUP(tblOrdenes[[#This Row],[tipo_ot]],tblTiposOT[codigo],tblTiposOT[clasificacion],"sin_clasificar"))</f>
        <v/>
      </c>
      <c r="U696" s="3">
        <f>IF(tblOrdenes[[#This Row],[centro_costo]]="","",_xlfn.XLOOKUP(tblOrdenes[[#This Row],[centro_costo]],tblCECO[codigo],tblCECO[linea],"(sin catálogo)"))</f>
        <v/>
      </c>
      <c r="V696" s="3">
        <f>IF(tblOrdenes[[#This Row],[centro_costo]]="","",_xlfn.XLOOKUP(tblOrdenes[[#This Row],[centro_costo]],tblCECO[codigo],tblCECO[area],"(sin catálogo)"))</f>
        <v/>
      </c>
      <c r="W696" s="3">
        <f>IF(tblOrdenes[[#This Row],[centro_costo]]="","",_xlfn.XLOOKUP(tblOrdenes[[#This Row],[centro_costo]],tblCECO[codigo],tblCECO[coordinador],"(sin catálogo)"))</f>
        <v/>
      </c>
      <c r="X696" s="3">
        <f>IF(tblOrdenes[[#This Row],[puesto_trabajo]]="","",_xlfn.XLOOKUP(tblOrdenes[[#This Row],[puesto_trabajo]],tblPuestos[codigo],tblPuestos[especialidad],"(sin catálogo)"))</f>
        <v/>
      </c>
      <c r="Y696" s="3">
        <f>IF(tblOrdenes[[#This Row],[cod_actividad]]="","",_xlfn.XLOOKUP(tblOrdenes[[#This Row],[cod_actividad]],tblActividades[codigo],tblActividades[descripcion],"(sin catálogo)"))</f>
        <v/>
      </c>
      <c r="Z696" s="12">
        <f>IF(tblOrdenes[[#This Row],[fecha_inicio]]="","",TODAY()-tblOrdenes[[#This Row],[fecha_inicio]])</f>
        <v/>
      </c>
      <c r="AA696" s="3">
        <f>IF(tblOrdenes[[#This Row],[backlog_dias]]="","",IF(tblOrdenes[[#This Row],[backlog_dias]]&lt;0,"FUTURO",IF(tblOrdenes[[#This Row],[backlog_dias]]&gt;p_dias_backlog_max,"BACKLOG","MES CORRIENTE")))</f>
        <v/>
      </c>
      <c r="AB696" s="3">
        <f>IF(tblOrdenes[[#This Row],[backlog_dias]]="",FALSE,AND(tblOrdenes[[#This Row],[backlog_dias]]&gt;p_dias_backlog_min,tblOrdenes[[#This Row],[backlog_dias]]&lt;=p_dias_backlog_max))</f>
        <v/>
      </c>
      <c r="AC696" s="6" t="n"/>
      <c r="AD6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96" s="10">
        <f>IF(tblOrdenes[[#This Row],[orden]]="","",_xlfn.XLOOKUP(tblOrdenes[[#This Row],[id_operacion]],tblEjecucion[id_operacion],tblEjecucion[precio],0))</f>
        <v/>
      </c>
      <c r="AH696" s="10">
        <f>IF(tblOrdenes[[#This Row],[orden]]="","",MAX(0,_xlfn.XLOOKUP(tblOrdenes[[#This Row],[id_operacion]],tblEjecucion[id_operacion],tblEjecucion[costo_plan_total],0)-tblOrdenes[[#This Row],[costo_servicio]]))</f>
        <v/>
      </c>
      <c r="AI696" s="10">
        <f>IF(tblOrdenes[[#This Row],[orden]]="","",tblOrdenes[[#This Row],[costo_servicio]]+tblOrdenes[[#This Row],[costo_materiales]])</f>
        <v/>
      </c>
      <c r="AJ696" s="6" t="n"/>
      <c r="AK696" s="6" t="n"/>
      <c r="AL696" s="6" t="n"/>
      <c r="AM696" s="3">
        <f>IF(tblOrdenes[[#This Row],[link_checklist]]="","",HYPERLINK(p_ruta_base_checklists&amp;tblOrdenes[[#This Row],[link_checklist]],"abrir"))</f>
        <v/>
      </c>
      <c r="AN696" s="6" t="n"/>
      <c r="AO696" s="3">
        <f>IF(tblOrdenes[[#This Row],[orden]]="","",tblOrdenes[[#This Row],[orden]]&amp;IF(tblOrdenes[[#This Row],[operacion]]="","0010",tblOrdenes[[#This Row],[operacion]]))</f>
        <v/>
      </c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11" t="n"/>
      <c r="K697" s="3" t="n"/>
      <c r="L697" s="10" t="n"/>
      <c r="M697" s="6" t="n"/>
      <c r="N6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97" s="3">
        <f>IF(tblOrdenes[[#This Row],[fecha_inicio]]="","",YEAR(tblOrdenes[[#This Row],[fecha_inicio]]))</f>
        <v/>
      </c>
      <c r="R697" s="3">
        <f>IF(tblOrdenes[[#This Row],[fecha_inicio]]="","",MONTH(tblOrdenes[[#This Row],[fecha_inicio]]))</f>
        <v/>
      </c>
      <c r="S697" s="3">
        <f>IF(tblOrdenes[[#This Row],[fecha_inicio]]="","",INDEX(lista_dias,WEEKDAY(tblOrdenes[[#This Row],[fecha_inicio]],2)))</f>
        <v/>
      </c>
      <c r="T697" s="3">
        <f>IF(tblOrdenes[[#This Row],[tipo_ot]]="","",_xlfn.XLOOKUP(tblOrdenes[[#This Row],[tipo_ot]],tblTiposOT[codigo],tblTiposOT[clasificacion],"sin_clasificar"))</f>
        <v/>
      </c>
      <c r="U697" s="3">
        <f>IF(tblOrdenes[[#This Row],[centro_costo]]="","",_xlfn.XLOOKUP(tblOrdenes[[#This Row],[centro_costo]],tblCECO[codigo],tblCECO[linea],"(sin catálogo)"))</f>
        <v/>
      </c>
      <c r="V697" s="3">
        <f>IF(tblOrdenes[[#This Row],[centro_costo]]="","",_xlfn.XLOOKUP(tblOrdenes[[#This Row],[centro_costo]],tblCECO[codigo],tblCECO[area],"(sin catálogo)"))</f>
        <v/>
      </c>
      <c r="W697" s="3">
        <f>IF(tblOrdenes[[#This Row],[centro_costo]]="","",_xlfn.XLOOKUP(tblOrdenes[[#This Row],[centro_costo]],tblCECO[codigo],tblCECO[coordinador],"(sin catálogo)"))</f>
        <v/>
      </c>
      <c r="X697" s="3">
        <f>IF(tblOrdenes[[#This Row],[puesto_trabajo]]="","",_xlfn.XLOOKUP(tblOrdenes[[#This Row],[puesto_trabajo]],tblPuestos[codigo],tblPuestos[especialidad],"(sin catálogo)"))</f>
        <v/>
      </c>
      <c r="Y697" s="3">
        <f>IF(tblOrdenes[[#This Row],[cod_actividad]]="","",_xlfn.XLOOKUP(tblOrdenes[[#This Row],[cod_actividad]],tblActividades[codigo],tblActividades[descripcion],"(sin catálogo)"))</f>
        <v/>
      </c>
      <c r="Z697" s="12">
        <f>IF(tblOrdenes[[#This Row],[fecha_inicio]]="","",TODAY()-tblOrdenes[[#This Row],[fecha_inicio]])</f>
        <v/>
      </c>
      <c r="AA697" s="3">
        <f>IF(tblOrdenes[[#This Row],[backlog_dias]]="","",IF(tblOrdenes[[#This Row],[backlog_dias]]&lt;0,"FUTURO",IF(tblOrdenes[[#This Row],[backlog_dias]]&gt;p_dias_backlog_max,"BACKLOG","MES CORRIENTE")))</f>
        <v/>
      </c>
      <c r="AB697" s="3">
        <f>IF(tblOrdenes[[#This Row],[backlog_dias]]="",FALSE,AND(tblOrdenes[[#This Row],[backlog_dias]]&gt;p_dias_backlog_min,tblOrdenes[[#This Row],[backlog_dias]]&lt;=p_dias_backlog_max))</f>
        <v/>
      </c>
      <c r="AC697" s="6" t="n"/>
      <c r="AD6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97" s="10">
        <f>IF(tblOrdenes[[#This Row],[orden]]="","",_xlfn.XLOOKUP(tblOrdenes[[#This Row],[id_operacion]],tblEjecucion[id_operacion],tblEjecucion[precio],0))</f>
        <v/>
      </c>
      <c r="AH697" s="10">
        <f>IF(tblOrdenes[[#This Row],[orden]]="","",MAX(0,_xlfn.XLOOKUP(tblOrdenes[[#This Row],[id_operacion]],tblEjecucion[id_operacion],tblEjecucion[costo_plan_total],0)-tblOrdenes[[#This Row],[costo_servicio]]))</f>
        <v/>
      </c>
      <c r="AI697" s="10">
        <f>IF(tblOrdenes[[#This Row],[orden]]="","",tblOrdenes[[#This Row],[costo_servicio]]+tblOrdenes[[#This Row],[costo_materiales]])</f>
        <v/>
      </c>
      <c r="AJ697" s="6" t="n"/>
      <c r="AK697" s="6" t="n"/>
      <c r="AL697" s="6" t="n"/>
      <c r="AM697" s="3">
        <f>IF(tblOrdenes[[#This Row],[link_checklist]]="","",HYPERLINK(p_ruta_base_checklists&amp;tblOrdenes[[#This Row],[link_checklist]],"abrir"))</f>
        <v/>
      </c>
      <c r="AN697" s="6" t="n"/>
      <c r="AO697" s="3">
        <f>IF(tblOrdenes[[#This Row],[orden]]="","",tblOrdenes[[#This Row],[orden]]&amp;IF(tblOrdenes[[#This Row],[operacion]]="","0010",tblOrdenes[[#This Row],[operacion]]))</f>
        <v/>
      </c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11" t="n"/>
      <c r="K698" s="3" t="n"/>
      <c r="L698" s="10" t="n"/>
      <c r="M698" s="6" t="n"/>
      <c r="N6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98" s="3">
        <f>IF(tblOrdenes[[#This Row],[fecha_inicio]]="","",YEAR(tblOrdenes[[#This Row],[fecha_inicio]]))</f>
        <v/>
      </c>
      <c r="R698" s="3">
        <f>IF(tblOrdenes[[#This Row],[fecha_inicio]]="","",MONTH(tblOrdenes[[#This Row],[fecha_inicio]]))</f>
        <v/>
      </c>
      <c r="S698" s="3">
        <f>IF(tblOrdenes[[#This Row],[fecha_inicio]]="","",INDEX(lista_dias,WEEKDAY(tblOrdenes[[#This Row],[fecha_inicio]],2)))</f>
        <v/>
      </c>
      <c r="T698" s="3">
        <f>IF(tblOrdenes[[#This Row],[tipo_ot]]="","",_xlfn.XLOOKUP(tblOrdenes[[#This Row],[tipo_ot]],tblTiposOT[codigo],tblTiposOT[clasificacion],"sin_clasificar"))</f>
        <v/>
      </c>
      <c r="U698" s="3">
        <f>IF(tblOrdenes[[#This Row],[centro_costo]]="","",_xlfn.XLOOKUP(tblOrdenes[[#This Row],[centro_costo]],tblCECO[codigo],tblCECO[linea],"(sin catálogo)"))</f>
        <v/>
      </c>
      <c r="V698" s="3">
        <f>IF(tblOrdenes[[#This Row],[centro_costo]]="","",_xlfn.XLOOKUP(tblOrdenes[[#This Row],[centro_costo]],tblCECO[codigo],tblCECO[area],"(sin catálogo)"))</f>
        <v/>
      </c>
      <c r="W698" s="3">
        <f>IF(tblOrdenes[[#This Row],[centro_costo]]="","",_xlfn.XLOOKUP(tblOrdenes[[#This Row],[centro_costo]],tblCECO[codigo],tblCECO[coordinador],"(sin catálogo)"))</f>
        <v/>
      </c>
      <c r="X698" s="3">
        <f>IF(tblOrdenes[[#This Row],[puesto_trabajo]]="","",_xlfn.XLOOKUP(tblOrdenes[[#This Row],[puesto_trabajo]],tblPuestos[codigo],tblPuestos[especialidad],"(sin catálogo)"))</f>
        <v/>
      </c>
      <c r="Y698" s="3">
        <f>IF(tblOrdenes[[#This Row],[cod_actividad]]="","",_xlfn.XLOOKUP(tblOrdenes[[#This Row],[cod_actividad]],tblActividades[codigo],tblActividades[descripcion],"(sin catálogo)"))</f>
        <v/>
      </c>
      <c r="Z698" s="12">
        <f>IF(tblOrdenes[[#This Row],[fecha_inicio]]="","",TODAY()-tblOrdenes[[#This Row],[fecha_inicio]])</f>
        <v/>
      </c>
      <c r="AA698" s="3">
        <f>IF(tblOrdenes[[#This Row],[backlog_dias]]="","",IF(tblOrdenes[[#This Row],[backlog_dias]]&lt;0,"FUTURO",IF(tblOrdenes[[#This Row],[backlog_dias]]&gt;p_dias_backlog_max,"BACKLOG","MES CORRIENTE")))</f>
        <v/>
      </c>
      <c r="AB698" s="3">
        <f>IF(tblOrdenes[[#This Row],[backlog_dias]]="",FALSE,AND(tblOrdenes[[#This Row],[backlog_dias]]&gt;p_dias_backlog_min,tblOrdenes[[#This Row],[backlog_dias]]&lt;=p_dias_backlog_max))</f>
        <v/>
      </c>
      <c r="AC698" s="6" t="n"/>
      <c r="AD6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98" s="10">
        <f>IF(tblOrdenes[[#This Row],[orden]]="","",_xlfn.XLOOKUP(tblOrdenes[[#This Row],[id_operacion]],tblEjecucion[id_operacion],tblEjecucion[precio],0))</f>
        <v/>
      </c>
      <c r="AH698" s="10">
        <f>IF(tblOrdenes[[#This Row],[orden]]="","",MAX(0,_xlfn.XLOOKUP(tblOrdenes[[#This Row],[id_operacion]],tblEjecucion[id_operacion],tblEjecucion[costo_plan_total],0)-tblOrdenes[[#This Row],[costo_servicio]]))</f>
        <v/>
      </c>
      <c r="AI698" s="10">
        <f>IF(tblOrdenes[[#This Row],[orden]]="","",tblOrdenes[[#This Row],[costo_servicio]]+tblOrdenes[[#This Row],[costo_materiales]])</f>
        <v/>
      </c>
      <c r="AJ698" s="6" t="n"/>
      <c r="AK698" s="6" t="n"/>
      <c r="AL698" s="6" t="n"/>
      <c r="AM698" s="3">
        <f>IF(tblOrdenes[[#This Row],[link_checklist]]="","",HYPERLINK(p_ruta_base_checklists&amp;tblOrdenes[[#This Row],[link_checklist]],"abrir"))</f>
        <v/>
      </c>
      <c r="AN698" s="6" t="n"/>
      <c r="AO698" s="3">
        <f>IF(tblOrdenes[[#This Row],[orden]]="","",tblOrdenes[[#This Row],[orden]]&amp;IF(tblOrdenes[[#This Row],[operacion]]="","0010",tblOrdenes[[#This Row],[operacion]]))</f>
        <v/>
      </c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11" t="n"/>
      <c r="K699" s="3" t="n"/>
      <c r="L699" s="10" t="n"/>
      <c r="M699" s="6" t="n"/>
      <c r="N6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6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6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699" s="3">
        <f>IF(tblOrdenes[[#This Row],[fecha_inicio]]="","",YEAR(tblOrdenes[[#This Row],[fecha_inicio]]))</f>
        <v/>
      </c>
      <c r="R699" s="3">
        <f>IF(tblOrdenes[[#This Row],[fecha_inicio]]="","",MONTH(tblOrdenes[[#This Row],[fecha_inicio]]))</f>
        <v/>
      </c>
      <c r="S699" s="3">
        <f>IF(tblOrdenes[[#This Row],[fecha_inicio]]="","",INDEX(lista_dias,WEEKDAY(tblOrdenes[[#This Row],[fecha_inicio]],2)))</f>
        <v/>
      </c>
      <c r="T699" s="3">
        <f>IF(tblOrdenes[[#This Row],[tipo_ot]]="","",_xlfn.XLOOKUP(tblOrdenes[[#This Row],[tipo_ot]],tblTiposOT[codigo],tblTiposOT[clasificacion],"sin_clasificar"))</f>
        <v/>
      </c>
      <c r="U699" s="3">
        <f>IF(tblOrdenes[[#This Row],[centro_costo]]="","",_xlfn.XLOOKUP(tblOrdenes[[#This Row],[centro_costo]],tblCECO[codigo],tblCECO[linea],"(sin catálogo)"))</f>
        <v/>
      </c>
      <c r="V699" s="3">
        <f>IF(tblOrdenes[[#This Row],[centro_costo]]="","",_xlfn.XLOOKUP(tblOrdenes[[#This Row],[centro_costo]],tblCECO[codigo],tblCECO[area],"(sin catálogo)"))</f>
        <v/>
      </c>
      <c r="W699" s="3">
        <f>IF(tblOrdenes[[#This Row],[centro_costo]]="","",_xlfn.XLOOKUP(tblOrdenes[[#This Row],[centro_costo]],tblCECO[codigo],tblCECO[coordinador],"(sin catálogo)"))</f>
        <v/>
      </c>
      <c r="X699" s="3">
        <f>IF(tblOrdenes[[#This Row],[puesto_trabajo]]="","",_xlfn.XLOOKUP(tblOrdenes[[#This Row],[puesto_trabajo]],tblPuestos[codigo],tblPuestos[especialidad],"(sin catálogo)"))</f>
        <v/>
      </c>
      <c r="Y699" s="3">
        <f>IF(tblOrdenes[[#This Row],[cod_actividad]]="","",_xlfn.XLOOKUP(tblOrdenes[[#This Row],[cod_actividad]],tblActividades[codigo],tblActividades[descripcion],"(sin catálogo)"))</f>
        <v/>
      </c>
      <c r="Z699" s="12">
        <f>IF(tblOrdenes[[#This Row],[fecha_inicio]]="","",TODAY()-tblOrdenes[[#This Row],[fecha_inicio]])</f>
        <v/>
      </c>
      <c r="AA699" s="3">
        <f>IF(tblOrdenes[[#This Row],[backlog_dias]]="","",IF(tblOrdenes[[#This Row],[backlog_dias]]&lt;0,"FUTURO",IF(tblOrdenes[[#This Row],[backlog_dias]]&gt;p_dias_backlog_max,"BACKLOG","MES CORRIENTE")))</f>
        <v/>
      </c>
      <c r="AB699" s="3">
        <f>IF(tblOrdenes[[#This Row],[backlog_dias]]="",FALSE,AND(tblOrdenes[[#This Row],[backlog_dias]]&gt;p_dias_backlog_min,tblOrdenes[[#This Row],[backlog_dias]]&lt;=p_dias_backlog_max))</f>
        <v/>
      </c>
      <c r="AC699" s="6" t="n"/>
      <c r="AD6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6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6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699" s="10">
        <f>IF(tblOrdenes[[#This Row],[orden]]="","",_xlfn.XLOOKUP(tblOrdenes[[#This Row],[id_operacion]],tblEjecucion[id_operacion],tblEjecucion[precio],0))</f>
        <v/>
      </c>
      <c r="AH699" s="10">
        <f>IF(tblOrdenes[[#This Row],[orden]]="","",MAX(0,_xlfn.XLOOKUP(tblOrdenes[[#This Row],[id_operacion]],tblEjecucion[id_operacion],tblEjecucion[costo_plan_total],0)-tblOrdenes[[#This Row],[costo_servicio]]))</f>
        <v/>
      </c>
      <c r="AI699" s="10">
        <f>IF(tblOrdenes[[#This Row],[orden]]="","",tblOrdenes[[#This Row],[costo_servicio]]+tblOrdenes[[#This Row],[costo_materiales]])</f>
        <v/>
      </c>
      <c r="AJ699" s="6" t="n"/>
      <c r="AK699" s="6" t="n"/>
      <c r="AL699" s="6" t="n"/>
      <c r="AM699" s="3">
        <f>IF(tblOrdenes[[#This Row],[link_checklist]]="","",HYPERLINK(p_ruta_base_checklists&amp;tblOrdenes[[#This Row],[link_checklist]],"abrir"))</f>
        <v/>
      </c>
      <c r="AN699" s="6" t="n"/>
      <c r="AO699" s="3">
        <f>IF(tblOrdenes[[#This Row],[orden]]="","",tblOrdenes[[#This Row],[orden]]&amp;IF(tblOrdenes[[#This Row],[operacion]]="","0010",tblOrdenes[[#This Row],[operacion]]))</f>
        <v/>
      </c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11" t="n"/>
      <c r="K700" s="3" t="n"/>
      <c r="L700" s="10" t="n"/>
      <c r="M700" s="6" t="n"/>
      <c r="N7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00" s="3">
        <f>IF(tblOrdenes[[#This Row],[fecha_inicio]]="","",YEAR(tblOrdenes[[#This Row],[fecha_inicio]]))</f>
        <v/>
      </c>
      <c r="R700" s="3">
        <f>IF(tblOrdenes[[#This Row],[fecha_inicio]]="","",MONTH(tblOrdenes[[#This Row],[fecha_inicio]]))</f>
        <v/>
      </c>
      <c r="S700" s="3">
        <f>IF(tblOrdenes[[#This Row],[fecha_inicio]]="","",INDEX(lista_dias,WEEKDAY(tblOrdenes[[#This Row],[fecha_inicio]],2)))</f>
        <v/>
      </c>
      <c r="T700" s="3">
        <f>IF(tblOrdenes[[#This Row],[tipo_ot]]="","",_xlfn.XLOOKUP(tblOrdenes[[#This Row],[tipo_ot]],tblTiposOT[codigo],tblTiposOT[clasificacion],"sin_clasificar"))</f>
        <v/>
      </c>
      <c r="U700" s="3">
        <f>IF(tblOrdenes[[#This Row],[centro_costo]]="","",_xlfn.XLOOKUP(tblOrdenes[[#This Row],[centro_costo]],tblCECO[codigo],tblCECO[linea],"(sin catálogo)"))</f>
        <v/>
      </c>
      <c r="V700" s="3">
        <f>IF(tblOrdenes[[#This Row],[centro_costo]]="","",_xlfn.XLOOKUP(tblOrdenes[[#This Row],[centro_costo]],tblCECO[codigo],tblCECO[area],"(sin catálogo)"))</f>
        <v/>
      </c>
      <c r="W700" s="3">
        <f>IF(tblOrdenes[[#This Row],[centro_costo]]="","",_xlfn.XLOOKUP(tblOrdenes[[#This Row],[centro_costo]],tblCECO[codigo],tblCECO[coordinador],"(sin catálogo)"))</f>
        <v/>
      </c>
      <c r="X700" s="3">
        <f>IF(tblOrdenes[[#This Row],[puesto_trabajo]]="","",_xlfn.XLOOKUP(tblOrdenes[[#This Row],[puesto_trabajo]],tblPuestos[codigo],tblPuestos[especialidad],"(sin catálogo)"))</f>
        <v/>
      </c>
      <c r="Y700" s="3">
        <f>IF(tblOrdenes[[#This Row],[cod_actividad]]="","",_xlfn.XLOOKUP(tblOrdenes[[#This Row],[cod_actividad]],tblActividades[codigo],tblActividades[descripcion],"(sin catálogo)"))</f>
        <v/>
      </c>
      <c r="Z700" s="12">
        <f>IF(tblOrdenes[[#This Row],[fecha_inicio]]="","",TODAY()-tblOrdenes[[#This Row],[fecha_inicio]])</f>
        <v/>
      </c>
      <c r="AA700" s="3">
        <f>IF(tblOrdenes[[#This Row],[backlog_dias]]="","",IF(tblOrdenes[[#This Row],[backlog_dias]]&lt;0,"FUTURO",IF(tblOrdenes[[#This Row],[backlog_dias]]&gt;p_dias_backlog_max,"BACKLOG","MES CORRIENTE")))</f>
        <v/>
      </c>
      <c r="AB700" s="3">
        <f>IF(tblOrdenes[[#This Row],[backlog_dias]]="",FALSE,AND(tblOrdenes[[#This Row],[backlog_dias]]&gt;p_dias_backlog_min,tblOrdenes[[#This Row],[backlog_dias]]&lt;=p_dias_backlog_max))</f>
        <v/>
      </c>
      <c r="AC700" s="6" t="n"/>
      <c r="AD7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00" s="10">
        <f>IF(tblOrdenes[[#This Row],[orden]]="","",_xlfn.XLOOKUP(tblOrdenes[[#This Row],[id_operacion]],tblEjecucion[id_operacion],tblEjecucion[precio],0))</f>
        <v/>
      </c>
      <c r="AH700" s="10">
        <f>IF(tblOrdenes[[#This Row],[orden]]="","",MAX(0,_xlfn.XLOOKUP(tblOrdenes[[#This Row],[id_operacion]],tblEjecucion[id_operacion],tblEjecucion[costo_plan_total],0)-tblOrdenes[[#This Row],[costo_servicio]]))</f>
        <v/>
      </c>
      <c r="AI700" s="10">
        <f>IF(tblOrdenes[[#This Row],[orden]]="","",tblOrdenes[[#This Row],[costo_servicio]]+tblOrdenes[[#This Row],[costo_materiales]])</f>
        <v/>
      </c>
      <c r="AJ700" s="6" t="n"/>
      <c r="AK700" s="6" t="n"/>
      <c r="AL700" s="6" t="n"/>
      <c r="AM700" s="3">
        <f>IF(tblOrdenes[[#This Row],[link_checklist]]="","",HYPERLINK(p_ruta_base_checklists&amp;tblOrdenes[[#This Row],[link_checklist]],"abrir"))</f>
        <v/>
      </c>
      <c r="AN700" s="6" t="n"/>
      <c r="AO700" s="3">
        <f>IF(tblOrdenes[[#This Row],[orden]]="","",tblOrdenes[[#This Row],[orden]]&amp;IF(tblOrdenes[[#This Row],[operacion]]="","0010",tblOrdenes[[#This Row],[operacion]]))</f>
        <v/>
      </c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11" t="n"/>
      <c r="K701" s="3" t="n"/>
      <c r="L701" s="10" t="n"/>
      <c r="M701" s="6" t="n"/>
      <c r="N7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01" s="3">
        <f>IF(tblOrdenes[[#This Row],[fecha_inicio]]="","",YEAR(tblOrdenes[[#This Row],[fecha_inicio]]))</f>
        <v/>
      </c>
      <c r="R701" s="3">
        <f>IF(tblOrdenes[[#This Row],[fecha_inicio]]="","",MONTH(tblOrdenes[[#This Row],[fecha_inicio]]))</f>
        <v/>
      </c>
      <c r="S701" s="3">
        <f>IF(tblOrdenes[[#This Row],[fecha_inicio]]="","",INDEX(lista_dias,WEEKDAY(tblOrdenes[[#This Row],[fecha_inicio]],2)))</f>
        <v/>
      </c>
      <c r="T701" s="3">
        <f>IF(tblOrdenes[[#This Row],[tipo_ot]]="","",_xlfn.XLOOKUP(tblOrdenes[[#This Row],[tipo_ot]],tblTiposOT[codigo],tblTiposOT[clasificacion],"sin_clasificar"))</f>
        <v/>
      </c>
      <c r="U701" s="3">
        <f>IF(tblOrdenes[[#This Row],[centro_costo]]="","",_xlfn.XLOOKUP(tblOrdenes[[#This Row],[centro_costo]],tblCECO[codigo],tblCECO[linea],"(sin catálogo)"))</f>
        <v/>
      </c>
      <c r="V701" s="3">
        <f>IF(tblOrdenes[[#This Row],[centro_costo]]="","",_xlfn.XLOOKUP(tblOrdenes[[#This Row],[centro_costo]],tblCECO[codigo],tblCECO[area],"(sin catálogo)"))</f>
        <v/>
      </c>
      <c r="W701" s="3">
        <f>IF(tblOrdenes[[#This Row],[centro_costo]]="","",_xlfn.XLOOKUP(tblOrdenes[[#This Row],[centro_costo]],tblCECO[codigo],tblCECO[coordinador],"(sin catálogo)"))</f>
        <v/>
      </c>
      <c r="X701" s="3">
        <f>IF(tblOrdenes[[#This Row],[puesto_trabajo]]="","",_xlfn.XLOOKUP(tblOrdenes[[#This Row],[puesto_trabajo]],tblPuestos[codigo],tblPuestos[especialidad],"(sin catálogo)"))</f>
        <v/>
      </c>
      <c r="Y701" s="3">
        <f>IF(tblOrdenes[[#This Row],[cod_actividad]]="","",_xlfn.XLOOKUP(tblOrdenes[[#This Row],[cod_actividad]],tblActividades[codigo],tblActividades[descripcion],"(sin catálogo)"))</f>
        <v/>
      </c>
      <c r="Z701" s="12">
        <f>IF(tblOrdenes[[#This Row],[fecha_inicio]]="","",TODAY()-tblOrdenes[[#This Row],[fecha_inicio]])</f>
        <v/>
      </c>
      <c r="AA701" s="3">
        <f>IF(tblOrdenes[[#This Row],[backlog_dias]]="","",IF(tblOrdenes[[#This Row],[backlog_dias]]&lt;0,"FUTURO",IF(tblOrdenes[[#This Row],[backlog_dias]]&gt;p_dias_backlog_max,"BACKLOG","MES CORRIENTE")))</f>
        <v/>
      </c>
      <c r="AB701" s="3">
        <f>IF(tblOrdenes[[#This Row],[backlog_dias]]="",FALSE,AND(tblOrdenes[[#This Row],[backlog_dias]]&gt;p_dias_backlog_min,tblOrdenes[[#This Row],[backlog_dias]]&lt;=p_dias_backlog_max))</f>
        <v/>
      </c>
      <c r="AC701" s="6" t="n"/>
      <c r="AD7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01" s="10">
        <f>IF(tblOrdenes[[#This Row],[orden]]="","",_xlfn.XLOOKUP(tblOrdenes[[#This Row],[id_operacion]],tblEjecucion[id_operacion],tblEjecucion[precio],0))</f>
        <v/>
      </c>
      <c r="AH701" s="10">
        <f>IF(tblOrdenes[[#This Row],[orden]]="","",MAX(0,_xlfn.XLOOKUP(tblOrdenes[[#This Row],[id_operacion]],tblEjecucion[id_operacion],tblEjecucion[costo_plan_total],0)-tblOrdenes[[#This Row],[costo_servicio]]))</f>
        <v/>
      </c>
      <c r="AI701" s="10">
        <f>IF(tblOrdenes[[#This Row],[orden]]="","",tblOrdenes[[#This Row],[costo_servicio]]+tblOrdenes[[#This Row],[costo_materiales]])</f>
        <v/>
      </c>
      <c r="AJ701" s="6" t="n"/>
      <c r="AK701" s="6" t="n"/>
      <c r="AL701" s="6" t="n"/>
      <c r="AM701" s="3">
        <f>IF(tblOrdenes[[#This Row],[link_checklist]]="","",HYPERLINK(p_ruta_base_checklists&amp;tblOrdenes[[#This Row],[link_checklist]],"abrir"))</f>
        <v/>
      </c>
      <c r="AN701" s="6" t="n"/>
      <c r="AO701" s="3">
        <f>IF(tblOrdenes[[#This Row],[orden]]="","",tblOrdenes[[#This Row],[orden]]&amp;IF(tblOrdenes[[#This Row],[operacion]]="","0010",tblOrdenes[[#This Row],[operacion]]))</f>
        <v/>
      </c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11" t="n"/>
      <c r="K702" s="3" t="n"/>
      <c r="L702" s="10" t="n"/>
      <c r="M702" s="6" t="n"/>
      <c r="N7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02" s="3">
        <f>IF(tblOrdenes[[#This Row],[fecha_inicio]]="","",YEAR(tblOrdenes[[#This Row],[fecha_inicio]]))</f>
        <v/>
      </c>
      <c r="R702" s="3">
        <f>IF(tblOrdenes[[#This Row],[fecha_inicio]]="","",MONTH(tblOrdenes[[#This Row],[fecha_inicio]]))</f>
        <v/>
      </c>
      <c r="S702" s="3">
        <f>IF(tblOrdenes[[#This Row],[fecha_inicio]]="","",INDEX(lista_dias,WEEKDAY(tblOrdenes[[#This Row],[fecha_inicio]],2)))</f>
        <v/>
      </c>
      <c r="T702" s="3">
        <f>IF(tblOrdenes[[#This Row],[tipo_ot]]="","",_xlfn.XLOOKUP(tblOrdenes[[#This Row],[tipo_ot]],tblTiposOT[codigo],tblTiposOT[clasificacion],"sin_clasificar"))</f>
        <v/>
      </c>
      <c r="U702" s="3">
        <f>IF(tblOrdenes[[#This Row],[centro_costo]]="","",_xlfn.XLOOKUP(tblOrdenes[[#This Row],[centro_costo]],tblCECO[codigo],tblCECO[linea],"(sin catálogo)"))</f>
        <v/>
      </c>
      <c r="V702" s="3">
        <f>IF(tblOrdenes[[#This Row],[centro_costo]]="","",_xlfn.XLOOKUP(tblOrdenes[[#This Row],[centro_costo]],tblCECO[codigo],tblCECO[area],"(sin catálogo)"))</f>
        <v/>
      </c>
      <c r="W702" s="3">
        <f>IF(tblOrdenes[[#This Row],[centro_costo]]="","",_xlfn.XLOOKUP(tblOrdenes[[#This Row],[centro_costo]],tblCECO[codigo],tblCECO[coordinador],"(sin catálogo)"))</f>
        <v/>
      </c>
      <c r="X702" s="3">
        <f>IF(tblOrdenes[[#This Row],[puesto_trabajo]]="","",_xlfn.XLOOKUP(tblOrdenes[[#This Row],[puesto_trabajo]],tblPuestos[codigo],tblPuestos[especialidad],"(sin catálogo)"))</f>
        <v/>
      </c>
      <c r="Y702" s="3">
        <f>IF(tblOrdenes[[#This Row],[cod_actividad]]="","",_xlfn.XLOOKUP(tblOrdenes[[#This Row],[cod_actividad]],tblActividades[codigo],tblActividades[descripcion],"(sin catálogo)"))</f>
        <v/>
      </c>
      <c r="Z702" s="12">
        <f>IF(tblOrdenes[[#This Row],[fecha_inicio]]="","",TODAY()-tblOrdenes[[#This Row],[fecha_inicio]])</f>
        <v/>
      </c>
      <c r="AA702" s="3">
        <f>IF(tblOrdenes[[#This Row],[backlog_dias]]="","",IF(tblOrdenes[[#This Row],[backlog_dias]]&lt;0,"FUTURO",IF(tblOrdenes[[#This Row],[backlog_dias]]&gt;p_dias_backlog_max,"BACKLOG","MES CORRIENTE")))</f>
        <v/>
      </c>
      <c r="AB702" s="3">
        <f>IF(tblOrdenes[[#This Row],[backlog_dias]]="",FALSE,AND(tblOrdenes[[#This Row],[backlog_dias]]&gt;p_dias_backlog_min,tblOrdenes[[#This Row],[backlog_dias]]&lt;=p_dias_backlog_max))</f>
        <v/>
      </c>
      <c r="AC702" s="6" t="n"/>
      <c r="AD7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02" s="10">
        <f>IF(tblOrdenes[[#This Row],[orden]]="","",_xlfn.XLOOKUP(tblOrdenes[[#This Row],[id_operacion]],tblEjecucion[id_operacion],tblEjecucion[precio],0))</f>
        <v/>
      </c>
      <c r="AH702" s="10">
        <f>IF(tblOrdenes[[#This Row],[orden]]="","",MAX(0,_xlfn.XLOOKUP(tblOrdenes[[#This Row],[id_operacion]],tblEjecucion[id_operacion],tblEjecucion[costo_plan_total],0)-tblOrdenes[[#This Row],[costo_servicio]]))</f>
        <v/>
      </c>
      <c r="AI702" s="10">
        <f>IF(tblOrdenes[[#This Row],[orden]]="","",tblOrdenes[[#This Row],[costo_servicio]]+tblOrdenes[[#This Row],[costo_materiales]])</f>
        <v/>
      </c>
      <c r="AJ702" s="6" t="n"/>
      <c r="AK702" s="6" t="n"/>
      <c r="AL702" s="6" t="n"/>
      <c r="AM702" s="3">
        <f>IF(tblOrdenes[[#This Row],[link_checklist]]="","",HYPERLINK(p_ruta_base_checklists&amp;tblOrdenes[[#This Row],[link_checklist]],"abrir"))</f>
        <v/>
      </c>
      <c r="AN702" s="6" t="n"/>
      <c r="AO702" s="3">
        <f>IF(tblOrdenes[[#This Row],[orden]]="","",tblOrdenes[[#This Row],[orden]]&amp;IF(tblOrdenes[[#This Row],[operacion]]="","0010",tblOrdenes[[#This Row],[operacion]]))</f>
        <v/>
      </c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11" t="n"/>
      <c r="K703" s="3" t="n"/>
      <c r="L703" s="10" t="n"/>
      <c r="M703" s="6" t="n"/>
      <c r="N7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03" s="3">
        <f>IF(tblOrdenes[[#This Row],[fecha_inicio]]="","",YEAR(tblOrdenes[[#This Row],[fecha_inicio]]))</f>
        <v/>
      </c>
      <c r="R703" s="3">
        <f>IF(tblOrdenes[[#This Row],[fecha_inicio]]="","",MONTH(tblOrdenes[[#This Row],[fecha_inicio]]))</f>
        <v/>
      </c>
      <c r="S703" s="3">
        <f>IF(tblOrdenes[[#This Row],[fecha_inicio]]="","",INDEX(lista_dias,WEEKDAY(tblOrdenes[[#This Row],[fecha_inicio]],2)))</f>
        <v/>
      </c>
      <c r="T703" s="3">
        <f>IF(tblOrdenes[[#This Row],[tipo_ot]]="","",_xlfn.XLOOKUP(tblOrdenes[[#This Row],[tipo_ot]],tblTiposOT[codigo],tblTiposOT[clasificacion],"sin_clasificar"))</f>
        <v/>
      </c>
      <c r="U703" s="3">
        <f>IF(tblOrdenes[[#This Row],[centro_costo]]="","",_xlfn.XLOOKUP(tblOrdenes[[#This Row],[centro_costo]],tblCECO[codigo],tblCECO[linea],"(sin catálogo)"))</f>
        <v/>
      </c>
      <c r="V703" s="3">
        <f>IF(tblOrdenes[[#This Row],[centro_costo]]="","",_xlfn.XLOOKUP(tblOrdenes[[#This Row],[centro_costo]],tblCECO[codigo],tblCECO[area],"(sin catálogo)"))</f>
        <v/>
      </c>
      <c r="W703" s="3">
        <f>IF(tblOrdenes[[#This Row],[centro_costo]]="","",_xlfn.XLOOKUP(tblOrdenes[[#This Row],[centro_costo]],tblCECO[codigo],tblCECO[coordinador],"(sin catálogo)"))</f>
        <v/>
      </c>
      <c r="X703" s="3">
        <f>IF(tblOrdenes[[#This Row],[puesto_trabajo]]="","",_xlfn.XLOOKUP(tblOrdenes[[#This Row],[puesto_trabajo]],tblPuestos[codigo],tblPuestos[especialidad],"(sin catálogo)"))</f>
        <v/>
      </c>
      <c r="Y703" s="3">
        <f>IF(tblOrdenes[[#This Row],[cod_actividad]]="","",_xlfn.XLOOKUP(tblOrdenes[[#This Row],[cod_actividad]],tblActividades[codigo],tblActividades[descripcion],"(sin catálogo)"))</f>
        <v/>
      </c>
      <c r="Z703" s="12">
        <f>IF(tblOrdenes[[#This Row],[fecha_inicio]]="","",TODAY()-tblOrdenes[[#This Row],[fecha_inicio]])</f>
        <v/>
      </c>
      <c r="AA703" s="3">
        <f>IF(tblOrdenes[[#This Row],[backlog_dias]]="","",IF(tblOrdenes[[#This Row],[backlog_dias]]&lt;0,"FUTURO",IF(tblOrdenes[[#This Row],[backlog_dias]]&gt;p_dias_backlog_max,"BACKLOG","MES CORRIENTE")))</f>
        <v/>
      </c>
      <c r="AB703" s="3">
        <f>IF(tblOrdenes[[#This Row],[backlog_dias]]="",FALSE,AND(tblOrdenes[[#This Row],[backlog_dias]]&gt;p_dias_backlog_min,tblOrdenes[[#This Row],[backlog_dias]]&lt;=p_dias_backlog_max))</f>
        <v/>
      </c>
      <c r="AC703" s="6" t="n"/>
      <c r="AD7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03" s="10">
        <f>IF(tblOrdenes[[#This Row],[orden]]="","",_xlfn.XLOOKUP(tblOrdenes[[#This Row],[id_operacion]],tblEjecucion[id_operacion],tblEjecucion[precio],0))</f>
        <v/>
      </c>
      <c r="AH703" s="10">
        <f>IF(tblOrdenes[[#This Row],[orden]]="","",MAX(0,_xlfn.XLOOKUP(tblOrdenes[[#This Row],[id_operacion]],tblEjecucion[id_operacion],tblEjecucion[costo_plan_total],0)-tblOrdenes[[#This Row],[costo_servicio]]))</f>
        <v/>
      </c>
      <c r="AI703" s="10">
        <f>IF(tblOrdenes[[#This Row],[orden]]="","",tblOrdenes[[#This Row],[costo_servicio]]+tblOrdenes[[#This Row],[costo_materiales]])</f>
        <v/>
      </c>
      <c r="AJ703" s="6" t="n"/>
      <c r="AK703" s="6" t="n"/>
      <c r="AL703" s="6" t="n"/>
      <c r="AM703" s="3">
        <f>IF(tblOrdenes[[#This Row],[link_checklist]]="","",HYPERLINK(p_ruta_base_checklists&amp;tblOrdenes[[#This Row],[link_checklist]],"abrir"))</f>
        <v/>
      </c>
      <c r="AN703" s="6" t="n"/>
      <c r="AO703" s="3">
        <f>IF(tblOrdenes[[#This Row],[orden]]="","",tblOrdenes[[#This Row],[orden]]&amp;IF(tblOrdenes[[#This Row],[operacion]]="","0010",tblOrdenes[[#This Row],[operacion]]))</f>
        <v/>
      </c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11" t="n"/>
      <c r="K704" s="3" t="n"/>
      <c r="L704" s="10" t="n"/>
      <c r="M704" s="6" t="n"/>
      <c r="N70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0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0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04" s="3">
        <f>IF(tblOrdenes[[#This Row],[fecha_inicio]]="","",YEAR(tblOrdenes[[#This Row],[fecha_inicio]]))</f>
        <v/>
      </c>
      <c r="R704" s="3">
        <f>IF(tblOrdenes[[#This Row],[fecha_inicio]]="","",MONTH(tblOrdenes[[#This Row],[fecha_inicio]]))</f>
        <v/>
      </c>
      <c r="S704" s="3">
        <f>IF(tblOrdenes[[#This Row],[fecha_inicio]]="","",INDEX(lista_dias,WEEKDAY(tblOrdenes[[#This Row],[fecha_inicio]],2)))</f>
        <v/>
      </c>
      <c r="T704" s="3">
        <f>IF(tblOrdenes[[#This Row],[tipo_ot]]="","",_xlfn.XLOOKUP(tblOrdenes[[#This Row],[tipo_ot]],tblTiposOT[codigo],tblTiposOT[clasificacion],"sin_clasificar"))</f>
        <v/>
      </c>
      <c r="U704" s="3">
        <f>IF(tblOrdenes[[#This Row],[centro_costo]]="","",_xlfn.XLOOKUP(tblOrdenes[[#This Row],[centro_costo]],tblCECO[codigo],tblCECO[linea],"(sin catálogo)"))</f>
        <v/>
      </c>
      <c r="V704" s="3">
        <f>IF(tblOrdenes[[#This Row],[centro_costo]]="","",_xlfn.XLOOKUP(tblOrdenes[[#This Row],[centro_costo]],tblCECO[codigo],tblCECO[area],"(sin catálogo)"))</f>
        <v/>
      </c>
      <c r="W704" s="3">
        <f>IF(tblOrdenes[[#This Row],[centro_costo]]="","",_xlfn.XLOOKUP(tblOrdenes[[#This Row],[centro_costo]],tblCECO[codigo],tblCECO[coordinador],"(sin catálogo)"))</f>
        <v/>
      </c>
      <c r="X704" s="3">
        <f>IF(tblOrdenes[[#This Row],[puesto_trabajo]]="","",_xlfn.XLOOKUP(tblOrdenes[[#This Row],[puesto_trabajo]],tblPuestos[codigo],tblPuestos[especialidad],"(sin catálogo)"))</f>
        <v/>
      </c>
      <c r="Y704" s="3">
        <f>IF(tblOrdenes[[#This Row],[cod_actividad]]="","",_xlfn.XLOOKUP(tblOrdenes[[#This Row],[cod_actividad]],tblActividades[codigo],tblActividades[descripcion],"(sin catálogo)"))</f>
        <v/>
      </c>
      <c r="Z704" s="12">
        <f>IF(tblOrdenes[[#This Row],[fecha_inicio]]="","",TODAY()-tblOrdenes[[#This Row],[fecha_inicio]])</f>
        <v/>
      </c>
      <c r="AA704" s="3">
        <f>IF(tblOrdenes[[#This Row],[backlog_dias]]="","",IF(tblOrdenes[[#This Row],[backlog_dias]]&lt;0,"FUTURO",IF(tblOrdenes[[#This Row],[backlog_dias]]&gt;p_dias_backlog_max,"BACKLOG","MES CORRIENTE")))</f>
        <v/>
      </c>
      <c r="AB704" s="3">
        <f>IF(tblOrdenes[[#This Row],[backlog_dias]]="",FALSE,AND(tblOrdenes[[#This Row],[backlog_dias]]&gt;p_dias_backlog_min,tblOrdenes[[#This Row],[backlog_dias]]&lt;=p_dias_backlog_max))</f>
        <v/>
      </c>
      <c r="AC704" s="6" t="n"/>
      <c r="AD70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0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0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04" s="10">
        <f>IF(tblOrdenes[[#This Row],[orden]]="","",_xlfn.XLOOKUP(tblOrdenes[[#This Row],[id_operacion]],tblEjecucion[id_operacion],tblEjecucion[precio],0))</f>
        <v/>
      </c>
      <c r="AH704" s="10">
        <f>IF(tblOrdenes[[#This Row],[orden]]="","",MAX(0,_xlfn.XLOOKUP(tblOrdenes[[#This Row],[id_operacion]],tblEjecucion[id_operacion],tblEjecucion[costo_plan_total],0)-tblOrdenes[[#This Row],[costo_servicio]]))</f>
        <v/>
      </c>
      <c r="AI704" s="10">
        <f>IF(tblOrdenes[[#This Row],[orden]]="","",tblOrdenes[[#This Row],[costo_servicio]]+tblOrdenes[[#This Row],[costo_materiales]])</f>
        <v/>
      </c>
      <c r="AJ704" s="6" t="n"/>
      <c r="AK704" s="6" t="n"/>
      <c r="AL704" s="6" t="n"/>
      <c r="AM704" s="3">
        <f>IF(tblOrdenes[[#This Row],[link_checklist]]="","",HYPERLINK(p_ruta_base_checklists&amp;tblOrdenes[[#This Row],[link_checklist]],"abrir"))</f>
        <v/>
      </c>
      <c r="AN704" s="6" t="n"/>
      <c r="AO704" s="3">
        <f>IF(tblOrdenes[[#This Row],[orden]]="","",tblOrdenes[[#This Row],[orden]]&amp;IF(tblOrdenes[[#This Row],[operacion]]="","0010",tblOrdenes[[#This Row],[operacion]]))</f>
        <v/>
      </c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11" t="n"/>
      <c r="K705" s="3" t="n"/>
      <c r="L705" s="10" t="n"/>
      <c r="M705" s="6" t="n"/>
      <c r="N70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0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0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05" s="3">
        <f>IF(tblOrdenes[[#This Row],[fecha_inicio]]="","",YEAR(tblOrdenes[[#This Row],[fecha_inicio]]))</f>
        <v/>
      </c>
      <c r="R705" s="3">
        <f>IF(tblOrdenes[[#This Row],[fecha_inicio]]="","",MONTH(tblOrdenes[[#This Row],[fecha_inicio]]))</f>
        <v/>
      </c>
      <c r="S705" s="3">
        <f>IF(tblOrdenes[[#This Row],[fecha_inicio]]="","",INDEX(lista_dias,WEEKDAY(tblOrdenes[[#This Row],[fecha_inicio]],2)))</f>
        <v/>
      </c>
      <c r="T705" s="3">
        <f>IF(tblOrdenes[[#This Row],[tipo_ot]]="","",_xlfn.XLOOKUP(tblOrdenes[[#This Row],[tipo_ot]],tblTiposOT[codigo],tblTiposOT[clasificacion],"sin_clasificar"))</f>
        <v/>
      </c>
      <c r="U705" s="3">
        <f>IF(tblOrdenes[[#This Row],[centro_costo]]="","",_xlfn.XLOOKUP(tblOrdenes[[#This Row],[centro_costo]],tblCECO[codigo],tblCECO[linea],"(sin catálogo)"))</f>
        <v/>
      </c>
      <c r="V705" s="3">
        <f>IF(tblOrdenes[[#This Row],[centro_costo]]="","",_xlfn.XLOOKUP(tblOrdenes[[#This Row],[centro_costo]],tblCECO[codigo],tblCECO[area],"(sin catálogo)"))</f>
        <v/>
      </c>
      <c r="W705" s="3">
        <f>IF(tblOrdenes[[#This Row],[centro_costo]]="","",_xlfn.XLOOKUP(tblOrdenes[[#This Row],[centro_costo]],tblCECO[codigo],tblCECO[coordinador],"(sin catálogo)"))</f>
        <v/>
      </c>
      <c r="X705" s="3">
        <f>IF(tblOrdenes[[#This Row],[puesto_trabajo]]="","",_xlfn.XLOOKUP(tblOrdenes[[#This Row],[puesto_trabajo]],tblPuestos[codigo],tblPuestos[especialidad],"(sin catálogo)"))</f>
        <v/>
      </c>
      <c r="Y705" s="3">
        <f>IF(tblOrdenes[[#This Row],[cod_actividad]]="","",_xlfn.XLOOKUP(tblOrdenes[[#This Row],[cod_actividad]],tblActividades[codigo],tblActividades[descripcion],"(sin catálogo)"))</f>
        <v/>
      </c>
      <c r="Z705" s="12">
        <f>IF(tblOrdenes[[#This Row],[fecha_inicio]]="","",TODAY()-tblOrdenes[[#This Row],[fecha_inicio]])</f>
        <v/>
      </c>
      <c r="AA705" s="3">
        <f>IF(tblOrdenes[[#This Row],[backlog_dias]]="","",IF(tblOrdenes[[#This Row],[backlog_dias]]&lt;0,"FUTURO",IF(tblOrdenes[[#This Row],[backlog_dias]]&gt;p_dias_backlog_max,"BACKLOG","MES CORRIENTE")))</f>
        <v/>
      </c>
      <c r="AB705" s="3">
        <f>IF(tblOrdenes[[#This Row],[backlog_dias]]="",FALSE,AND(tblOrdenes[[#This Row],[backlog_dias]]&gt;p_dias_backlog_min,tblOrdenes[[#This Row],[backlog_dias]]&lt;=p_dias_backlog_max))</f>
        <v/>
      </c>
      <c r="AC705" s="6" t="n"/>
      <c r="AD70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0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0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05" s="10">
        <f>IF(tblOrdenes[[#This Row],[orden]]="","",_xlfn.XLOOKUP(tblOrdenes[[#This Row],[id_operacion]],tblEjecucion[id_operacion],tblEjecucion[precio],0))</f>
        <v/>
      </c>
      <c r="AH705" s="10">
        <f>IF(tblOrdenes[[#This Row],[orden]]="","",MAX(0,_xlfn.XLOOKUP(tblOrdenes[[#This Row],[id_operacion]],tblEjecucion[id_operacion],tblEjecucion[costo_plan_total],0)-tblOrdenes[[#This Row],[costo_servicio]]))</f>
        <v/>
      </c>
      <c r="AI705" s="10">
        <f>IF(tblOrdenes[[#This Row],[orden]]="","",tblOrdenes[[#This Row],[costo_servicio]]+tblOrdenes[[#This Row],[costo_materiales]])</f>
        <v/>
      </c>
      <c r="AJ705" s="6" t="n"/>
      <c r="AK705" s="6" t="n"/>
      <c r="AL705" s="6" t="n"/>
      <c r="AM705" s="3">
        <f>IF(tblOrdenes[[#This Row],[link_checklist]]="","",HYPERLINK(p_ruta_base_checklists&amp;tblOrdenes[[#This Row],[link_checklist]],"abrir"))</f>
        <v/>
      </c>
      <c r="AN705" s="6" t="n"/>
      <c r="AO705" s="3">
        <f>IF(tblOrdenes[[#This Row],[orden]]="","",tblOrdenes[[#This Row],[orden]]&amp;IF(tblOrdenes[[#This Row],[operacion]]="","0010",tblOrdenes[[#This Row],[operacion]]))</f>
        <v/>
      </c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11" t="n"/>
      <c r="K706" s="3" t="n"/>
      <c r="L706" s="10" t="n"/>
      <c r="M706" s="6" t="n"/>
      <c r="N70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0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0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06" s="3">
        <f>IF(tblOrdenes[[#This Row],[fecha_inicio]]="","",YEAR(tblOrdenes[[#This Row],[fecha_inicio]]))</f>
        <v/>
      </c>
      <c r="R706" s="3">
        <f>IF(tblOrdenes[[#This Row],[fecha_inicio]]="","",MONTH(tblOrdenes[[#This Row],[fecha_inicio]]))</f>
        <v/>
      </c>
      <c r="S706" s="3">
        <f>IF(tblOrdenes[[#This Row],[fecha_inicio]]="","",INDEX(lista_dias,WEEKDAY(tblOrdenes[[#This Row],[fecha_inicio]],2)))</f>
        <v/>
      </c>
      <c r="T706" s="3">
        <f>IF(tblOrdenes[[#This Row],[tipo_ot]]="","",_xlfn.XLOOKUP(tblOrdenes[[#This Row],[tipo_ot]],tblTiposOT[codigo],tblTiposOT[clasificacion],"sin_clasificar"))</f>
        <v/>
      </c>
      <c r="U706" s="3">
        <f>IF(tblOrdenes[[#This Row],[centro_costo]]="","",_xlfn.XLOOKUP(tblOrdenes[[#This Row],[centro_costo]],tblCECO[codigo],tblCECO[linea],"(sin catálogo)"))</f>
        <v/>
      </c>
      <c r="V706" s="3">
        <f>IF(tblOrdenes[[#This Row],[centro_costo]]="","",_xlfn.XLOOKUP(tblOrdenes[[#This Row],[centro_costo]],tblCECO[codigo],tblCECO[area],"(sin catálogo)"))</f>
        <v/>
      </c>
      <c r="W706" s="3">
        <f>IF(tblOrdenes[[#This Row],[centro_costo]]="","",_xlfn.XLOOKUP(tblOrdenes[[#This Row],[centro_costo]],tblCECO[codigo],tblCECO[coordinador],"(sin catálogo)"))</f>
        <v/>
      </c>
      <c r="X706" s="3">
        <f>IF(tblOrdenes[[#This Row],[puesto_trabajo]]="","",_xlfn.XLOOKUP(tblOrdenes[[#This Row],[puesto_trabajo]],tblPuestos[codigo],tblPuestos[especialidad],"(sin catálogo)"))</f>
        <v/>
      </c>
      <c r="Y706" s="3">
        <f>IF(tblOrdenes[[#This Row],[cod_actividad]]="","",_xlfn.XLOOKUP(tblOrdenes[[#This Row],[cod_actividad]],tblActividades[codigo],tblActividades[descripcion],"(sin catálogo)"))</f>
        <v/>
      </c>
      <c r="Z706" s="12">
        <f>IF(tblOrdenes[[#This Row],[fecha_inicio]]="","",TODAY()-tblOrdenes[[#This Row],[fecha_inicio]])</f>
        <v/>
      </c>
      <c r="AA706" s="3">
        <f>IF(tblOrdenes[[#This Row],[backlog_dias]]="","",IF(tblOrdenes[[#This Row],[backlog_dias]]&lt;0,"FUTURO",IF(tblOrdenes[[#This Row],[backlog_dias]]&gt;p_dias_backlog_max,"BACKLOG","MES CORRIENTE")))</f>
        <v/>
      </c>
      <c r="AB706" s="3">
        <f>IF(tblOrdenes[[#This Row],[backlog_dias]]="",FALSE,AND(tblOrdenes[[#This Row],[backlog_dias]]&gt;p_dias_backlog_min,tblOrdenes[[#This Row],[backlog_dias]]&lt;=p_dias_backlog_max))</f>
        <v/>
      </c>
      <c r="AC706" s="6" t="n"/>
      <c r="AD70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0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0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06" s="10">
        <f>IF(tblOrdenes[[#This Row],[orden]]="","",_xlfn.XLOOKUP(tblOrdenes[[#This Row],[id_operacion]],tblEjecucion[id_operacion],tblEjecucion[precio],0))</f>
        <v/>
      </c>
      <c r="AH706" s="10">
        <f>IF(tblOrdenes[[#This Row],[orden]]="","",MAX(0,_xlfn.XLOOKUP(tblOrdenes[[#This Row],[id_operacion]],tblEjecucion[id_operacion],tblEjecucion[costo_plan_total],0)-tblOrdenes[[#This Row],[costo_servicio]]))</f>
        <v/>
      </c>
      <c r="AI706" s="10">
        <f>IF(tblOrdenes[[#This Row],[orden]]="","",tblOrdenes[[#This Row],[costo_servicio]]+tblOrdenes[[#This Row],[costo_materiales]])</f>
        <v/>
      </c>
      <c r="AJ706" s="6" t="n"/>
      <c r="AK706" s="6" t="n"/>
      <c r="AL706" s="6" t="n"/>
      <c r="AM706" s="3">
        <f>IF(tblOrdenes[[#This Row],[link_checklist]]="","",HYPERLINK(p_ruta_base_checklists&amp;tblOrdenes[[#This Row],[link_checklist]],"abrir"))</f>
        <v/>
      </c>
      <c r="AN706" s="6" t="n"/>
      <c r="AO706" s="3">
        <f>IF(tblOrdenes[[#This Row],[orden]]="","",tblOrdenes[[#This Row],[orden]]&amp;IF(tblOrdenes[[#This Row],[operacion]]="","0010",tblOrdenes[[#This Row],[operacion]]))</f>
        <v/>
      </c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11" t="n"/>
      <c r="K707" s="3" t="n"/>
      <c r="L707" s="10" t="n"/>
      <c r="M707" s="6" t="n"/>
      <c r="N70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0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0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07" s="3">
        <f>IF(tblOrdenes[[#This Row],[fecha_inicio]]="","",YEAR(tblOrdenes[[#This Row],[fecha_inicio]]))</f>
        <v/>
      </c>
      <c r="R707" s="3">
        <f>IF(tblOrdenes[[#This Row],[fecha_inicio]]="","",MONTH(tblOrdenes[[#This Row],[fecha_inicio]]))</f>
        <v/>
      </c>
      <c r="S707" s="3">
        <f>IF(tblOrdenes[[#This Row],[fecha_inicio]]="","",INDEX(lista_dias,WEEKDAY(tblOrdenes[[#This Row],[fecha_inicio]],2)))</f>
        <v/>
      </c>
      <c r="T707" s="3">
        <f>IF(tblOrdenes[[#This Row],[tipo_ot]]="","",_xlfn.XLOOKUP(tblOrdenes[[#This Row],[tipo_ot]],tblTiposOT[codigo],tblTiposOT[clasificacion],"sin_clasificar"))</f>
        <v/>
      </c>
      <c r="U707" s="3">
        <f>IF(tblOrdenes[[#This Row],[centro_costo]]="","",_xlfn.XLOOKUP(tblOrdenes[[#This Row],[centro_costo]],tblCECO[codigo],tblCECO[linea],"(sin catálogo)"))</f>
        <v/>
      </c>
      <c r="V707" s="3">
        <f>IF(tblOrdenes[[#This Row],[centro_costo]]="","",_xlfn.XLOOKUP(tblOrdenes[[#This Row],[centro_costo]],tblCECO[codigo],tblCECO[area],"(sin catálogo)"))</f>
        <v/>
      </c>
      <c r="W707" s="3">
        <f>IF(tblOrdenes[[#This Row],[centro_costo]]="","",_xlfn.XLOOKUP(tblOrdenes[[#This Row],[centro_costo]],tblCECO[codigo],tblCECO[coordinador],"(sin catálogo)"))</f>
        <v/>
      </c>
      <c r="X707" s="3">
        <f>IF(tblOrdenes[[#This Row],[puesto_trabajo]]="","",_xlfn.XLOOKUP(tblOrdenes[[#This Row],[puesto_trabajo]],tblPuestos[codigo],tblPuestos[especialidad],"(sin catálogo)"))</f>
        <v/>
      </c>
      <c r="Y707" s="3">
        <f>IF(tblOrdenes[[#This Row],[cod_actividad]]="","",_xlfn.XLOOKUP(tblOrdenes[[#This Row],[cod_actividad]],tblActividades[codigo],tblActividades[descripcion],"(sin catálogo)"))</f>
        <v/>
      </c>
      <c r="Z707" s="12">
        <f>IF(tblOrdenes[[#This Row],[fecha_inicio]]="","",TODAY()-tblOrdenes[[#This Row],[fecha_inicio]])</f>
        <v/>
      </c>
      <c r="AA707" s="3">
        <f>IF(tblOrdenes[[#This Row],[backlog_dias]]="","",IF(tblOrdenes[[#This Row],[backlog_dias]]&lt;0,"FUTURO",IF(tblOrdenes[[#This Row],[backlog_dias]]&gt;p_dias_backlog_max,"BACKLOG","MES CORRIENTE")))</f>
        <v/>
      </c>
      <c r="AB707" s="3">
        <f>IF(tblOrdenes[[#This Row],[backlog_dias]]="",FALSE,AND(tblOrdenes[[#This Row],[backlog_dias]]&gt;p_dias_backlog_min,tblOrdenes[[#This Row],[backlog_dias]]&lt;=p_dias_backlog_max))</f>
        <v/>
      </c>
      <c r="AC707" s="6" t="n"/>
      <c r="AD70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0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0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07" s="10">
        <f>IF(tblOrdenes[[#This Row],[orden]]="","",_xlfn.XLOOKUP(tblOrdenes[[#This Row],[id_operacion]],tblEjecucion[id_operacion],tblEjecucion[precio],0))</f>
        <v/>
      </c>
      <c r="AH707" s="10">
        <f>IF(tblOrdenes[[#This Row],[orden]]="","",MAX(0,_xlfn.XLOOKUP(tblOrdenes[[#This Row],[id_operacion]],tblEjecucion[id_operacion],tblEjecucion[costo_plan_total],0)-tblOrdenes[[#This Row],[costo_servicio]]))</f>
        <v/>
      </c>
      <c r="AI707" s="10">
        <f>IF(tblOrdenes[[#This Row],[orden]]="","",tblOrdenes[[#This Row],[costo_servicio]]+tblOrdenes[[#This Row],[costo_materiales]])</f>
        <v/>
      </c>
      <c r="AJ707" s="6" t="n"/>
      <c r="AK707" s="6" t="n"/>
      <c r="AL707" s="6" t="n"/>
      <c r="AM707" s="3">
        <f>IF(tblOrdenes[[#This Row],[link_checklist]]="","",HYPERLINK(p_ruta_base_checklists&amp;tblOrdenes[[#This Row],[link_checklist]],"abrir"))</f>
        <v/>
      </c>
      <c r="AN707" s="6" t="n"/>
      <c r="AO707" s="3">
        <f>IF(tblOrdenes[[#This Row],[orden]]="","",tblOrdenes[[#This Row],[orden]]&amp;IF(tblOrdenes[[#This Row],[operacion]]="","0010",tblOrdenes[[#This Row],[operacion]]))</f>
        <v/>
      </c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11" t="n"/>
      <c r="K708" s="3" t="n"/>
      <c r="L708" s="10" t="n"/>
      <c r="M708" s="6" t="n"/>
      <c r="N70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0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0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08" s="3">
        <f>IF(tblOrdenes[[#This Row],[fecha_inicio]]="","",YEAR(tblOrdenes[[#This Row],[fecha_inicio]]))</f>
        <v/>
      </c>
      <c r="R708" s="3">
        <f>IF(tblOrdenes[[#This Row],[fecha_inicio]]="","",MONTH(tblOrdenes[[#This Row],[fecha_inicio]]))</f>
        <v/>
      </c>
      <c r="S708" s="3">
        <f>IF(tblOrdenes[[#This Row],[fecha_inicio]]="","",INDEX(lista_dias,WEEKDAY(tblOrdenes[[#This Row],[fecha_inicio]],2)))</f>
        <v/>
      </c>
      <c r="T708" s="3">
        <f>IF(tblOrdenes[[#This Row],[tipo_ot]]="","",_xlfn.XLOOKUP(tblOrdenes[[#This Row],[tipo_ot]],tblTiposOT[codigo],tblTiposOT[clasificacion],"sin_clasificar"))</f>
        <v/>
      </c>
      <c r="U708" s="3">
        <f>IF(tblOrdenes[[#This Row],[centro_costo]]="","",_xlfn.XLOOKUP(tblOrdenes[[#This Row],[centro_costo]],tblCECO[codigo],tblCECO[linea],"(sin catálogo)"))</f>
        <v/>
      </c>
      <c r="V708" s="3">
        <f>IF(tblOrdenes[[#This Row],[centro_costo]]="","",_xlfn.XLOOKUP(tblOrdenes[[#This Row],[centro_costo]],tblCECO[codigo],tblCECO[area],"(sin catálogo)"))</f>
        <v/>
      </c>
      <c r="W708" s="3">
        <f>IF(tblOrdenes[[#This Row],[centro_costo]]="","",_xlfn.XLOOKUP(tblOrdenes[[#This Row],[centro_costo]],tblCECO[codigo],tblCECO[coordinador],"(sin catálogo)"))</f>
        <v/>
      </c>
      <c r="X708" s="3">
        <f>IF(tblOrdenes[[#This Row],[puesto_trabajo]]="","",_xlfn.XLOOKUP(tblOrdenes[[#This Row],[puesto_trabajo]],tblPuestos[codigo],tblPuestos[especialidad],"(sin catálogo)"))</f>
        <v/>
      </c>
      <c r="Y708" s="3">
        <f>IF(tblOrdenes[[#This Row],[cod_actividad]]="","",_xlfn.XLOOKUP(tblOrdenes[[#This Row],[cod_actividad]],tblActividades[codigo],tblActividades[descripcion],"(sin catálogo)"))</f>
        <v/>
      </c>
      <c r="Z708" s="12">
        <f>IF(tblOrdenes[[#This Row],[fecha_inicio]]="","",TODAY()-tblOrdenes[[#This Row],[fecha_inicio]])</f>
        <v/>
      </c>
      <c r="AA708" s="3">
        <f>IF(tblOrdenes[[#This Row],[backlog_dias]]="","",IF(tblOrdenes[[#This Row],[backlog_dias]]&lt;0,"FUTURO",IF(tblOrdenes[[#This Row],[backlog_dias]]&gt;p_dias_backlog_max,"BACKLOG","MES CORRIENTE")))</f>
        <v/>
      </c>
      <c r="AB708" s="3">
        <f>IF(tblOrdenes[[#This Row],[backlog_dias]]="",FALSE,AND(tblOrdenes[[#This Row],[backlog_dias]]&gt;p_dias_backlog_min,tblOrdenes[[#This Row],[backlog_dias]]&lt;=p_dias_backlog_max))</f>
        <v/>
      </c>
      <c r="AC708" s="6" t="n"/>
      <c r="AD70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0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0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08" s="10">
        <f>IF(tblOrdenes[[#This Row],[orden]]="","",_xlfn.XLOOKUP(tblOrdenes[[#This Row],[id_operacion]],tblEjecucion[id_operacion],tblEjecucion[precio],0))</f>
        <v/>
      </c>
      <c r="AH708" s="10">
        <f>IF(tblOrdenes[[#This Row],[orden]]="","",MAX(0,_xlfn.XLOOKUP(tblOrdenes[[#This Row],[id_operacion]],tblEjecucion[id_operacion],tblEjecucion[costo_plan_total],0)-tblOrdenes[[#This Row],[costo_servicio]]))</f>
        <v/>
      </c>
      <c r="AI708" s="10">
        <f>IF(tblOrdenes[[#This Row],[orden]]="","",tblOrdenes[[#This Row],[costo_servicio]]+tblOrdenes[[#This Row],[costo_materiales]])</f>
        <v/>
      </c>
      <c r="AJ708" s="6" t="n"/>
      <c r="AK708" s="6" t="n"/>
      <c r="AL708" s="6" t="n"/>
      <c r="AM708" s="3">
        <f>IF(tblOrdenes[[#This Row],[link_checklist]]="","",HYPERLINK(p_ruta_base_checklists&amp;tblOrdenes[[#This Row],[link_checklist]],"abrir"))</f>
        <v/>
      </c>
      <c r="AN708" s="6" t="n"/>
      <c r="AO708" s="3">
        <f>IF(tblOrdenes[[#This Row],[orden]]="","",tblOrdenes[[#This Row],[orden]]&amp;IF(tblOrdenes[[#This Row],[operacion]]="","0010",tblOrdenes[[#This Row],[operacion]]))</f>
        <v/>
      </c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11" t="n"/>
      <c r="K709" s="3" t="n"/>
      <c r="L709" s="10" t="n"/>
      <c r="M709" s="6" t="n"/>
      <c r="N70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0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0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09" s="3">
        <f>IF(tblOrdenes[[#This Row],[fecha_inicio]]="","",YEAR(tblOrdenes[[#This Row],[fecha_inicio]]))</f>
        <v/>
      </c>
      <c r="R709" s="3">
        <f>IF(tblOrdenes[[#This Row],[fecha_inicio]]="","",MONTH(tblOrdenes[[#This Row],[fecha_inicio]]))</f>
        <v/>
      </c>
      <c r="S709" s="3">
        <f>IF(tblOrdenes[[#This Row],[fecha_inicio]]="","",INDEX(lista_dias,WEEKDAY(tblOrdenes[[#This Row],[fecha_inicio]],2)))</f>
        <v/>
      </c>
      <c r="T709" s="3">
        <f>IF(tblOrdenes[[#This Row],[tipo_ot]]="","",_xlfn.XLOOKUP(tblOrdenes[[#This Row],[tipo_ot]],tblTiposOT[codigo],tblTiposOT[clasificacion],"sin_clasificar"))</f>
        <v/>
      </c>
      <c r="U709" s="3">
        <f>IF(tblOrdenes[[#This Row],[centro_costo]]="","",_xlfn.XLOOKUP(tblOrdenes[[#This Row],[centro_costo]],tblCECO[codigo],tblCECO[linea],"(sin catálogo)"))</f>
        <v/>
      </c>
      <c r="V709" s="3">
        <f>IF(tblOrdenes[[#This Row],[centro_costo]]="","",_xlfn.XLOOKUP(tblOrdenes[[#This Row],[centro_costo]],tblCECO[codigo],tblCECO[area],"(sin catálogo)"))</f>
        <v/>
      </c>
      <c r="W709" s="3">
        <f>IF(tblOrdenes[[#This Row],[centro_costo]]="","",_xlfn.XLOOKUP(tblOrdenes[[#This Row],[centro_costo]],tblCECO[codigo],tblCECO[coordinador],"(sin catálogo)"))</f>
        <v/>
      </c>
      <c r="X709" s="3">
        <f>IF(tblOrdenes[[#This Row],[puesto_trabajo]]="","",_xlfn.XLOOKUP(tblOrdenes[[#This Row],[puesto_trabajo]],tblPuestos[codigo],tblPuestos[especialidad],"(sin catálogo)"))</f>
        <v/>
      </c>
      <c r="Y709" s="3">
        <f>IF(tblOrdenes[[#This Row],[cod_actividad]]="","",_xlfn.XLOOKUP(tblOrdenes[[#This Row],[cod_actividad]],tblActividades[codigo],tblActividades[descripcion],"(sin catálogo)"))</f>
        <v/>
      </c>
      <c r="Z709" s="12">
        <f>IF(tblOrdenes[[#This Row],[fecha_inicio]]="","",TODAY()-tblOrdenes[[#This Row],[fecha_inicio]])</f>
        <v/>
      </c>
      <c r="AA709" s="3">
        <f>IF(tblOrdenes[[#This Row],[backlog_dias]]="","",IF(tblOrdenes[[#This Row],[backlog_dias]]&lt;0,"FUTURO",IF(tblOrdenes[[#This Row],[backlog_dias]]&gt;p_dias_backlog_max,"BACKLOG","MES CORRIENTE")))</f>
        <v/>
      </c>
      <c r="AB709" s="3">
        <f>IF(tblOrdenes[[#This Row],[backlog_dias]]="",FALSE,AND(tblOrdenes[[#This Row],[backlog_dias]]&gt;p_dias_backlog_min,tblOrdenes[[#This Row],[backlog_dias]]&lt;=p_dias_backlog_max))</f>
        <v/>
      </c>
      <c r="AC709" s="6" t="n"/>
      <c r="AD70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0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0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09" s="10">
        <f>IF(tblOrdenes[[#This Row],[orden]]="","",_xlfn.XLOOKUP(tblOrdenes[[#This Row],[id_operacion]],tblEjecucion[id_operacion],tblEjecucion[precio],0))</f>
        <v/>
      </c>
      <c r="AH709" s="10">
        <f>IF(tblOrdenes[[#This Row],[orden]]="","",MAX(0,_xlfn.XLOOKUP(tblOrdenes[[#This Row],[id_operacion]],tblEjecucion[id_operacion],tblEjecucion[costo_plan_total],0)-tblOrdenes[[#This Row],[costo_servicio]]))</f>
        <v/>
      </c>
      <c r="AI709" s="10">
        <f>IF(tblOrdenes[[#This Row],[orden]]="","",tblOrdenes[[#This Row],[costo_servicio]]+tblOrdenes[[#This Row],[costo_materiales]])</f>
        <v/>
      </c>
      <c r="AJ709" s="6" t="n"/>
      <c r="AK709" s="6" t="n"/>
      <c r="AL709" s="6" t="n"/>
      <c r="AM709" s="3">
        <f>IF(tblOrdenes[[#This Row],[link_checklist]]="","",HYPERLINK(p_ruta_base_checklists&amp;tblOrdenes[[#This Row],[link_checklist]],"abrir"))</f>
        <v/>
      </c>
      <c r="AN709" s="6" t="n"/>
      <c r="AO709" s="3">
        <f>IF(tblOrdenes[[#This Row],[orden]]="","",tblOrdenes[[#This Row],[orden]]&amp;IF(tblOrdenes[[#This Row],[operacion]]="","0010",tblOrdenes[[#This Row],[operacion]]))</f>
        <v/>
      </c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11" t="n"/>
      <c r="K710" s="3" t="n"/>
      <c r="L710" s="10" t="n"/>
      <c r="M710" s="6" t="n"/>
      <c r="N7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10" s="3">
        <f>IF(tblOrdenes[[#This Row],[fecha_inicio]]="","",YEAR(tblOrdenes[[#This Row],[fecha_inicio]]))</f>
        <v/>
      </c>
      <c r="R710" s="3">
        <f>IF(tblOrdenes[[#This Row],[fecha_inicio]]="","",MONTH(tblOrdenes[[#This Row],[fecha_inicio]]))</f>
        <v/>
      </c>
      <c r="S710" s="3">
        <f>IF(tblOrdenes[[#This Row],[fecha_inicio]]="","",INDEX(lista_dias,WEEKDAY(tblOrdenes[[#This Row],[fecha_inicio]],2)))</f>
        <v/>
      </c>
      <c r="T710" s="3">
        <f>IF(tblOrdenes[[#This Row],[tipo_ot]]="","",_xlfn.XLOOKUP(tblOrdenes[[#This Row],[tipo_ot]],tblTiposOT[codigo],tblTiposOT[clasificacion],"sin_clasificar"))</f>
        <v/>
      </c>
      <c r="U710" s="3">
        <f>IF(tblOrdenes[[#This Row],[centro_costo]]="","",_xlfn.XLOOKUP(tblOrdenes[[#This Row],[centro_costo]],tblCECO[codigo],tblCECO[linea],"(sin catálogo)"))</f>
        <v/>
      </c>
      <c r="V710" s="3">
        <f>IF(tblOrdenes[[#This Row],[centro_costo]]="","",_xlfn.XLOOKUP(tblOrdenes[[#This Row],[centro_costo]],tblCECO[codigo],tblCECO[area],"(sin catálogo)"))</f>
        <v/>
      </c>
      <c r="W710" s="3">
        <f>IF(tblOrdenes[[#This Row],[centro_costo]]="","",_xlfn.XLOOKUP(tblOrdenes[[#This Row],[centro_costo]],tblCECO[codigo],tblCECO[coordinador],"(sin catálogo)"))</f>
        <v/>
      </c>
      <c r="X710" s="3">
        <f>IF(tblOrdenes[[#This Row],[puesto_trabajo]]="","",_xlfn.XLOOKUP(tblOrdenes[[#This Row],[puesto_trabajo]],tblPuestos[codigo],tblPuestos[especialidad],"(sin catálogo)"))</f>
        <v/>
      </c>
      <c r="Y710" s="3">
        <f>IF(tblOrdenes[[#This Row],[cod_actividad]]="","",_xlfn.XLOOKUP(tblOrdenes[[#This Row],[cod_actividad]],tblActividades[codigo],tblActividades[descripcion],"(sin catálogo)"))</f>
        <v/>
      </c>
      <c r="Z710" s="12">
        <f>IF(tblOrdenes[[#This Row],[fecha_inicio]]="","",TODAY()-tblOrdenes[[#This Row],[fecha_inicio]])</f>
        <v/>
      </c>
      <c r="AA710" s="3">
        <f>IF(tblOrdenes[[#This Row],[backlog_dias]]="","",IF(tblOrdenes[[#This Row],[backlog_dias]]&lt;0,"FUTURO",IF(tblOrdenes[[#This Row],[backlog_dias]]&gt;p_dias_backlog_max,"BACKLOG","MES CORRIENTE")))</f>
        <v/>
      </c>
      <c r="AB710" s="3">
        <f>IF(tblOrdenes[[#This Row],[backlog_dias]]="",FALSE,AND(tblOrdenes[[#This Row],[backlog_dias]]&gt;p_dias_backlog_min,tblOrdenes[[#This Row],[backlog_dias]]&lt;=p_dias_backlog_max))</f>
        <v/>
      </c>
      <c r="AC710" s="6" t="n"/>
      <c r="AD7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10" s="10">
        <f>IF(tblOrdenes[[#This Row],[orden]]="","",_xlfn.XLOOKUP(tblOrdenes[[#This Row],[id_operacion]],tblEjecucion[id_operacion],tblEjecucion[precio],0))</f>
        <v/>
      </c>
      <c r="AH710" s="10">
        <f>IF(tblOrdenes[[#This Row],[orden]]="","",MAX(0,_xlfn.XLOOKUP(tblOrdenes[[#This Row],[id_operacion]],tblEjecucion[id_operacion],tblEjecucion[costo_plan_total],0)-tblOrdenes[[#This Row],[costo_servicio]]))</f>
        <v/>
      </c>
      <c r="AI710" s="10">
        <f>IF(tblOrdenes[[#This Row],[orden]]="","",tblOrdenes[[#This Row],[costo_servicio]]+tblOrdenes[[#This Row],[costo_materiales]])</f>
        <v/>
      </c>
      <c r="AJ710" s="6" t="n"/>
      <c r="AK710" s="6" t="n"/>
      <c r="AL710" s="6" t="n"/>
      <c r="AM710" s="3">
        <f>IF(tblOrdenes[[#This Row],[link_checklist]]="","",HYPERLINK(p_ruta_base_checklists&amp;tblOrdenes[[#This Row],[link_checklist]],"abrir"))</f>
        <v/>
      </c>
      <c r="AN710" s="6" t="n"/>
      <c r="AO710" s="3">
        <f>IF(tblOrdenes[[#This Row],[orden]]="","",tblOrdenes[[#This Row],[orden]]&amp;IF(tblOrdenes[[#This Row],[operacion]]="","0010",tblOrdenes[[#This Row],[operacion]]))</f>
        <v/>
      </c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11" t="n"/>
      <c r="K711" s="3" t="n"/>
      <c r="L711" s="10" t="n"/>
      <c r="M711" s="6" t="n"/>
      <c r="N7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11" s="3">
        <f>IF(tblOrdenes[[#This Row],[fecha_inicio]]="","",YEAR(tblOrdenes[[#This Row],[fecha_inicio]]))</f>
        <v/>
      </c>
      <c r="R711" s="3">
        <f>IF(tblOrdenes[[#This Row],[fecha_inicio]]="","",MONTH(tblOrdenes[[#This Row],[fecha_inicio]]))</f>
        <v/>
      </c>
      <c r="S711" s="3">
        <f>IF(tblOrdenes[[#This Row],[fecha_inicio]]="","",INDEX(lista_dias,WEEKDAY(tblOrdenes[[#This Row],[fecha_inicio]],2)))</f>
        <v/>
      </c>
      <c r="T711" s="3">
        <f>IF(tblOrdenes[[#This Row],[tipo_ot]]="","",_xlfn.XLOOKUP(tblOrdenes[[#This Row],[tipo_ot]],tblTiposOT[codigo],tblTiposOT[clasificacion],"sin_clasificar"))</f>
        <v/>
      </c>
      <c r="U711" s="3">
        <f>IF(tblOrdenes[[#This Row],[centro_costo]]="","",_xlfn.XLOOKUP(tblOrdenes[[#This Row],[centro_costo]],tblCECO[codigo],tblCECO[linea],"(sin catálogo)"))</f>
        <v/>
      </c>
      <c r="V711" s="3">
        <f>IF(tblOrdenes[[#This Row],[centro_costo]]="","",_xlfn.XLOOKUP(tblOrdenes[[#This Row],[centro_costo]],tblCECO[codigo],tblCECO[area],"(sin catálogo)"))</f>
        <v/>
      </c>
      <c r="W711" s="3">
        <f>IF(tblOrdenes[[#This Row],[centro_costo]]="","",_xlfn.XLOOKUP(tblOrdenes[[#This Row],[centro_costo]],tblCECO[codigo],tblCECO[coordinador],"(sin catálogo)"))</f>
        <v/>
      </c>
      <c r="X711" s="3">
        <f>IF(tblOrdenes[[#This Row],[puesto_trabajo]]="","",_xlfn.XLOOKUP(tblOrdenes[[#This Row],[puesto_trabajo]],tblPuestos[codigo],tblPuestos[especialidad],"(sin catálogo)"))</f>
        <v/>
      </c>
      <c r="Y711" s="3">
        <f>IF(tblOrdenes[[#This Row],[cod_actividad]]="","",_xlfn.XLOOKUP(tblOrdenes[[#This Row],[cod_actividad]],tblActividades[codigo],tblActividades[descripcion],"(sin catálogo)"))</f>
        <v/>
      </c>
      <c r="Z711" s="12">
        <f>IF(tblOrdenes[[#This Row],[fecha_inicio]]="","",TODAY()-tblOrdenes[[#This Row],[fecha_inicio]])</f>
        <v/>
      </c>
      <c r="AA711" s="3">
        <f>IF(tblOrdenes[[#This Row],[backlog_dias]]="","",IF(tblOrdenes[[#This Row],[backlog_dias]]&lt;0,"FUTURO",IF(tblOrdenes[[#This Row],[backlog_dias]]&gt;p_dias_backlog_max,"BACKLOG","MES CORRIENTE")))</f>
        <v/>
      </c>
      <c r="AB711" s="3">
        <f>IF(tblOrdenes[[#This Row],[backlog_dias]]="",FALSE,AND(tblOrdenes[[#This Row],[backlog_dias]]&gt;p_dias_backlog_min,tblOrdenes[[#This Row],[backlog_dias]]&lt;=p_dias_backlog_max))</f>
        <v/>
      </c>
      <c r="AC711" s="6" t="n"/>
      <c r="AD7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11" s="10">
        <f>IF(tblOrdenes[[#This Row],[orden]]="","",_xlfn.XLOOKUP(tblOrdenes[[#This Row],[id_operacion]],tblEjecucion[id_operacion],tblEjecucion[precio],0))</f>
        <v/>
      </c>
      <c r="AH711" s="10">
        <f>IF(tblOrdenes[[#This Row],[orden]]="","",MAX(0,_xlfn.XLOOKUP(tblOrdenes[[#This Row],[id_operacion]],tblEjecucion[id_operacion],tblEjecucion[costo_plan_total],0)-tblOrdenes[[#This Row],[costo_servicio]]))</f>
        <v/>
      </c>
      <c r="AI711" s="10">
        <f>IF(tblOrdenes[[#This Row],[orden]]="","",tblOrdenes[[#This Row],[costo_servicio]]+tblOrdenes[[#This Row],[costo_materiales]])</f>
        <v/>
      </c>
      <c r="AJ711" s="6" t="n"/>
      <c r="AK711" s="6" t="n"/>
      <c r="AL711" s="6" t="n"/>
      <c r="AM711" s="3">
        <f>IF(tblOrdenes[[#This Row],[link_checklist]]="","",HYPERLINK(p_ruta_base_checklists&amp;tblOrdenes[[#This Row],[link_checklist]],"abrir"))</f>
        <v/>
      </c>
      <c r="AN711" s="6" t="n"/>
      <c r="AO711" s="3">
        <f>IF(tblOrdenes[[#This Row],[orden]]="","",tblOrdenes[[#This Row],[orden]]&amp;IF(tblOrdenes[[#This Row],[operacion]]="","0010",tblOrdenes[[#This Row],[operacion]]))</f>
        <v/>
      </c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11" t="n"/>
      <c r="K712" s="3" t="n"/>
      <c r="L712" s="10" t="n"/>
      <c r="M712" s="6" t="n"/>
      <c r="N7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12" s="3">
        <f>IF(tblOrdenes[[#This Row],[fecha_inicio]]="","",YEAR(tblOrdenes[[#This Row],[fecha_inicio]]))</f>
        <v/>
      </c>
      <c r="R712" s="3">
        <f>IF(tblOrdenes[[#This Row],[fecha_inicio]]="","",MONTH(tblOrdenes[[#This Row],[fecha_inicio]]))</f>
        <v/>
      </c>
      <c r="S712" s="3">
        <f>IF(tblOrdenes[[#This Row],[fecha_inicio]]="","",INDEX(lista_dias,WEEKDAY(tblOrdenes[[#This Row],[fecha_inicio]],2)))</f>
        <v/>
      </c>
      <c r="T712" s="3">
        <f>IF(tblOrdenes[[#This Row],[tipo_ot]]="","",_xlfn.XLOOKUP(tblOrdenes[[#This Row],[tipo_ot]],tblTiposOT[codigo],tblTiposOT[clasificacion],"sin_clasificar"))</f>
        <v/>
      </c>
      <c r="U712" s="3">
        <f>IF(tblOrdenes[[#This Row],[centro_costo]]="","",_xlfn.XLOOKUP(tblOrdenes[[#This Row],[centro_costo]],tblCECO[codigo],tblCECO[linea],"(sin catálogo)"))</f>
        <v/>
      </c>
      <c r="V712" s="3">
        <f>IF(tblOrdenes[[#This Row],[centro_costo]]="","",_xlfn.XLOOKUP(tblOrdenes[[#This Row],[centro_costo]],tblCECO[codigo],tblCECO[area],"(sin catálogo)"))</f>
        <v/>
      </c>
      <c r="W712" s="3">
        <f>IF(tblOrdenes[[#This Row],[centro_costo]]="","",_xlfn.XLOOKUP(tblOrdenes[[#This Row],[centro_costo]],tblCECO[codigo],tblCECO[coordinador],"(sin catálogo)"))</f>
        <v/>
      </c>
      <c r="X712" s="3">
        <f>IF(tblOrdenes[[#This Row],[puesto_trabajo]]="","",_xlfn.XLOOKUP(tblOrdenes[[#This Row],[puesto_trabajo]],tblPuestos[codigo],tblPuestos[especialidad],"(sin catálogo)"))</f>
        <v/>
      </c>
      <c r="Y712" s="3">
        <f>IF(tblOrdenes[[#This Row],[cod_actividad]]="","",_xlfn.XLOOKUP(tblOrdenes[[#This Row],[cod_actividad]],tblActividades[codigo],tblActividades[descripcion],"(sin catálogo)"))</f>
        <v/>
      </c>
      <c r="Z712" s="12">
        <f>IF(tblOrdenes[[#This Row],[fecha_inicio]]="","",TODAY()-tblOrdenes[[#This Row],[fecha_inicio]])</f>
        <v/>
      </c>
      <c r="AA712" s="3">
        <f>IF(tblOrdenes[[#This Row],[backlog_dias]]="","",IF(tblOrdenes[[#This Row],[backlog_dias]]&lt;0,"FUTURO",IF(tblOrdenes[[#This Row],[backlog_dias]]&gt;p_dias_backlog_max,"BACKLOG","MES CORRIENTE")))</f>
        <v/>
      </c>
      <c r="AB712" s="3">
        <f>IF(tblOrdenes[[#This Row],[backlog_dias]]="",FALSE,AND(tblOrdenes[[#This Row],[backlog_dias]]&gt;p_dias_backlog_min,tblOrdenes[[#This Row],[backlog_dias]]&lt;=p_dias_backlog_max))</f>
        <v/>
      </c>
      <c r="AC712" s="6" t="n"/>
      <c r="AD7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12" s="10">
        <f>IF(tblOrdenes[[#This Row],[orden]]="","",_xlfn.XLOOKUP(tblOrdenes[[#This Row],[id_operacion]],tblEjecucion[id_operacion],tblEjecucion[precio],0))</f>
        <v/>
      </c>
      <c r="AH712" s="10">
        <f>IF(tblOrdenes[[#This Row],[orden]]="","",MAX(0,_xlfn.XLOOKUP(tblOrdenes[[#This Row],[id_operacion]],tblEjecucion[id_operacion],tblEjecucion[costo_plan_total],0)-tblOrdenes[[#This Row],[costo_servicio]]))</f>
        <v/>
      </c>
      <c r="AI712" s="10">
        <f>IF(tblOrdenes[[#This Row],[orden]]="","",tblOrdenes[[#This Row],[costo_servicio]]+tblOrdenes[[#This Row],[costo_materiales]])</f>
        <v/>
      </c>
      <c r="AJ712" s="6" t="n"/>
      <c r="AK712" s="6" t="n"/>
      <c r="AL712" s="6" t="n"/>
      <c r="AM712" s="3">
        <f>IF(tblOrdenes[[#This Row],[link_checklist]]="","",HYPERLINK(p_ruta_base_checklists&amp;tblOrdenes[[#This Row],[link_checklist]],"abrir"))</f>
        <v/>
      </c>
      <c r="AN712" s="6" t="n"/>
      <c r="AO712" s="3">
        <f>IF(tblOrdenes[[#This Row],[orden]]="","",tblOrdenes[[#This Row],[orden]]&amp;IF(tblOrdenes[[#This Row],[operacion]]="","0010",tblOrdenes[[#This Row],[operacion]]))</f>
        <v/>
      </c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11" t="n"/>
      <c r="K713" s="3" t="n"/>
      <c r="L713" s="10" t="n"/>
      <c r="M713" s="6" t="n"/>
      <c r="N7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13" s="3">
        <f>IF(tblOrdenes[[#This Row],[fecha_inicio]]="","",YEAR(tblOrdenes[[#This Row],[fecha_inicio]]))</f>
        <v/>
      </c>
      <c r="R713" s="3">
        <f>IF(tblOrdenes[[#This Row],[fecha_inicio]]="","",MONTH(tblOrdenes[[#This Row],[fecha_inicio]]))</f>
        <v/>
      </c>
      <c r="S713" s="3">
        <f>IF(tblOrdenes[[#This Row],[fecha_inicio]]="","",INDEX(lista_dias,WEEKDAY(tblOrdenes[[#This Row],[fecha_inicio]],2)))</f>
        <v/>
      </c>
      <c r="T713" s="3">
        <f>IF(tblOrdenes[[#This Row],[tipo_ot]]="","",_xlfn.XLOOKUP(tblOrdenes[[#This Row],[tipo_ot]],tblTiposOT[codigo],tblTiposOT[clasificacion],"sin_clasificar"))</f>
        <v/>
      </c>
      <c r="U713" s="3">
        <f>IF(tblOrdenes[[#This Row],[centro_costo]]="","",_xlfn.XLOOKUP(tblOrdenes[[#This Row],[centro_costo]],tblCECO[codigo],tblCECO[linea],"(sin catálogo)"))</f>
        <v/>
      </c>
      <c r="V713" s="3">
        <f>IF(tblOrdenes[[#This Row],[centro_costo]]="","",_xlfn.XLOOKUP(tblOrdenes[[#This Row],[centro_costo]],tblCECO[codigo],tblCECO[area],"(sin catálogo)"))</f>
        <v/>
      </c>
      <c r="W713" s="3">
        <f>IF(tblOrdenes[[#This Row],[centro_costo]]="","",_xlfn.XLOOKUP(tblOrdenes[[#This Row],[centro_costo]],tblCECO[codigo],tblCECO[coordinador],"(sin catálogo)"))</f>
        <v/>
      </c>
      <c r="X713" s="3">
        <f>IF(tblOrdenes[[#This Row],[puesto_trabajo]]="","",_xlfn.XLOOKUP(tblOrdenes[[#This Row],[puesto_trabajo]],tblPuestos[codigo],tblPuestos[especialidad],"(sin catálogo)"))</f>
        <v/>
      </c>
      <c r="Y713" s="3">
        <f>IF(tblOrdenes[[#This Row],[cod_actividad]]="","",_xlfn.XLOOKUP(tblOrdenes[[#This Row],[cod_actividad]],tblActividades[codigo],tblActividades[descripcion],"(sin catálogo)"))</f>
        <v/>
      </c>
      <c r="Z713" s="12">
        <f>IF(tblOrdenes[[#This Row],[fecha_inicio]]="","",TODAY()-tblOrdenes[[#This Row],[fecha_inicio]])</f>
        <v/>
      </c>
      <c r="AA713" s="3">
        <f>IF(tblOrdenes[[#This Row],[backlog_dias]]="","",IF(tblOrdenes[[#This Row],[backlog_dias]]&lt;0,"FUTURO",IF(tblOrdenes[[#This Row],[backlog_dias]]&gt;p_dias_backlog_max,"BACKLOG","MES CORRIENTE")))</f>
        <v/>
      </c>
      <c r="AB713" s="3">
        <f>IF(tblOrdenes[[#This Row],[backlog_dias]]="",FALSE,AND(tblOrdenes[[#This Row],[backlog_dias]]&gt;p_dias_backlog_min,tblOrdenes[[#This Row],[backlog_dias]]&lt;=p_dias_backlog_max))</f>
        <v/>
      </c>
      <c r="AC713" s="6" t="n"/>
      <c r="AD7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13" s="10">
        <f>IF(tblOrdenes[[#This Row],[orden]]="","",_xlfn.XLOOKUP(tblOrdenes[[#This Row],[id_operacion]],tblEjecucion[id_operacion],tblEjecucion[precio],0))</f>
        <v/>
      </c>
      <c r="AH713" s="10">
        <f>IF(tblOrdenes[[#This Row],[orden]]="","",MAX(0,_xlfn.XLOOKUP(tblOrdenes[[#This Row],[id_operacion]],tblEjecucion[id_operacion],tblEjecucion[costo_plan_total],0)-tblOrdenes[[#This Row],[costo_servicio]]))</f>
        <v/>
      </c>
      <c r="AI713" s="10">
        <f>IF(tblOrdenes[[#This Row],[orden]]="","",tblOrdenes[[#This Row],[costo_servicio]]+tblOrdenes[[#This Row],[costo_materiales]])</f>
        <v/>
      </c>
      <c r="AJ713" s="6" t="n"/>
      <c r="AK713" s="6" t="n"/>
      <c r="AL713" s="6" t="n"/>
      <c r="AM713" s="3">
        <f>IF(tblOrdenes[[#This Row],[link_checklist]]="","",HYPERLINK(p_ruta_base_checklists&amp;tblOrdenes[[#This Row],[link_checklist]],"abrir"))</f>
        <v/>
      </c>
      <c r="AN713" s="6" t="n"/>
      <c r="AO713" s="3">
        <f>IF(tblOrdenes[[#This Row],[orden]]="","",tblOrdenes[[#This Row],[orden]]&amp;IF(tblOrdenes[[#This Row],[operacion]]="","0010",tblOrdenes[[#This Row],[operacion]]))</f>
        <v/>
      </c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11" t="n"/>
      <c r="K714" s="3" t="n"/>
      <c r="L714" s="10" t="n"/>
      <c r="M714" s="6" t="n"/>
      <c r="N7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14" s="3">
        <f>IF(tblOrdenes[[#This Row],[fecha_inicio]]="","",YEAR(tblOrdenes[[#This Row],[fecha_inicio]]))</f>
        <v/>
      </c>
      <c r="R714" s="3">
        <f>IF(tblOrdenes[[#This Row],[fecha_inicio]]="","",MONTH(tblOrdenes[[#This Row],[fecha_inicio]]))</f>
        <v/>
      </c>
      <c r="S714" s="3">
        <f>IF(tblOrdenes[[#This Row],[fecha_inicio]]="","",INDEX(lista_dias,WEEKDAY(tblOrdenes[[#This Row],[fecha_inicio]],2)))</f>
        <v/>
      </c>
      <c r="T714" s="3">
        <f>IF(tblOrdenes[[#This Row],[tipo_ot]]="","",_xlfn.XLOOKUP(tblOrdenes[[#This Row],[tipo_ot]],tblTiposOT[codigo],tblTiposOT[clasificacion],"sin_clasificar"))</f>
        <v/>
      </c>
      <c r="U714" s="3">
        <f>IF(tblOrdenes[[#This Row],[centro_costo]]="","",_xlfn.XLOOKUP(tblOrdenes[[#This Row],[centro_costo]],tblCECO[codigo],tblCECO[linea],"(sin catálogo)"))</f>
        <v/>
      </c>
      <c r="V714" s="3">
        <f>IF(tblOrdenes[[#This Row],[centro_costo]]="","",_xlfn.XLOOKUP(tblOrdenes[[#This Row],[centro_costo]],tblCECO[codigo],tblCECO[area],"(sin catálogo)"))</f>
        <v/>
      </c>
      <c r="W714" s="3">
        <f>IF(tblOrdenes[[#This Row],[centro_costo]]="","",_xlfn.XLOOKUP(tblOrdenes[[#This Row],[centro_costo]],tblCECO[codigo],tblCECO[coordinador],"(sin catálogo)"))</f>
        <v/>
      </c>
      <c r="X714" s="3">
        <f>IF(tblOrdenes[[#This Row],[puesto_trabajo]]="","",_xlfn.XLOOKUP(tblOrdenes[[#This Row],[puesto_trabajo]],tblPuestos[codigo],tblPuestos[especialidad],"(sin catálogo)"))</f>
        <v/>
      </c>
      <c r="Y714" s="3">
        <f>IF(tblOrdenes[[#This Row],[cod_actividad]]="","",_xlfn.XLOOKUP(tblOrdenes[[#This Row],[cod_actividad]],tblActividades[codigo],tblActividades[descripcion],"(sin catálogo)"))</f>
        <v/>
      </c>
      <c r="Z714" s="12">
        <f>IF(tblOrdenes[[#This Row],[fecha_inicio]]="","",TODAY()-tblOrdenes[[#This Row],[fecha_inicio]])</f>
        <v/>
      </c>
      <c r="AA714" s="3">
        <f>IF(tblOrdenes[[#This Row],[backlog_dias]]="","",IF(tblOrdenes[[#This Row],[backlog_dias]]&lt;0,"FUTURO",IF(tblOrdenes[[#This Row],[backlog_dias]]&gt;p_dias_backlog_max,"BACKLOG","MES CORRIENTE")))</f>
        <v/>
      </c>
      <c r="AB714" s="3">
        <f>IF(tblOrdenes[[#This Row],[backlog_dias]]="",FALSE,AND(tblOrdenes[[#This Row],[backlog_dias]]&gt;p_dias_backlog_min,tblOrdenes[[#This Row],[backlog_dias]]&lt;=p_dias_backlog_max))</f>
        <v/>
      </c>
      <c r="AC714" s="6" t="n"/>
      <c r="AD7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14" s="10">
        <f>IF(tblOrdenes[[#This Row],[orden]]="","",_xlfn.XLOOKUP(tblOrdenes[[#This Row],[id_operacion]],tblEjecucion[id_operacion],tblEjecucion[precio],0))</f>
        <v/>
      </c>
      <c r="AH714" s="10">
        <f>IF(tblOrdenes[[#This Row],[orden]]="","",MAX(0,_xlfn.XLOOKUP(tblOrdenes[[#This Row],[id_operacion]],tblEjecucion[id_operacion],tblEjecucion[costo_plan_total],0)-tblOrdenes[[#This Row],[costo_servicio]]))</f>
        <v/>
      </c>
      <c r="AI714" s="10">
        <f>IF(tblOrdenes[[#This Row],[orden]]="","",tblOrdenes[[#This Row],[costo_servicio]]+tblOrdenes[[#This Row],[costo_materiales]])</f>
        <v/>
      </c>
      <c r="AJ714" s="6" t="n"/>
      <c r="AK714" s="6" t="n"/>
      <c r="AL714" s="6" t="n"/>
      <c r="AM714" s="3">
        <f>IF(tblOrdenes[[#This Row],[link_checklist]]="","",HYPERLINK(p_ruta_base_checklists&amp;tblOrdenes[[#This Row],[link_checklist]],"abrir"))</f>
        <v/>
      </c>
      <c r="AN714" s="6" t="n"/>
      <c r="AO714" s="3">
        <f>IF(tblOrdenes[[#This Row],[orden]]="","",tblOrdenes[[#This Row],[orden]]&amp;IF(tblOrdenes[[#This Row],[operacion]]="","0010",tblOrdenes[[#This Row],[operacion]]))</f>
        <v/>
      </c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11" t="n"/>
      <c r="K715" s="3" t="n"/>
      <c r="L715" s="10" t="n"/>
      <c r="M715" s="6" t="n"/>
      <c r="N7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15" s="3">
        <f>IF(tblOrdenes[[#This Row],[fecha_inicio]]="","",YEAR(tblOrdenes[[#This Row],[fecha_inicio]]))</f>
        <v/>
      </c>
      <c r="R715" s="3">
        <f>IF(tblOrdenes[[#This Row],[fecha_inicio]]="","",MONTH(tblOrdenes[[#This Row],[fecha_inicio]]))</f>
        <v/>
      </c>
      <c r="S715" s="3">
        <f>IF(tblOrdenes[[#This Row],[fecha_inicio]]="","",INDEX(lista_dias,WEEKDAY(tblOrdenes[[#This Row],[fecha_inicio]],2)))</f>
        <v/>
      </c>
      <c r="T715" s="3">
        <f>IF(tblOrdenes[[#This Row],[tipo_ot]]="","",_xlfn.XLOOKUP(tblOrdenes[[#This Row],[tipo_ot]],tblTiposOT[codigo],tblTiposOT[clasificacion],"sin_clasificar"))</f>
        <v/>
      </c>
      <c r="U715" s="3">
        <f>IF(tblOrdenes[[#This Row],[centro_costo]]="","",_xlfn.XLOOKUP(tblOrdenes[[#This Row],[centro_costo]],tblCECO[codigo],tblCECO[linea],"(sin catálogo)"))</f>
        <v/>
      </c>
      <c r="V715" s="3">
        <f>IF(tblOrdenes[[#This Row],[centro_costo]]="","",_xlfn.XLOOKUP(tblOrdenes[[#This Row],[centro_costo]],tblCECO[codigo],tblCECO[area],"(sin catálogo)"))</f>
        <v/>
      </c>
      <c r="W715" s="3">
        <f>IF(tblOrdenes[[#This Row],[centro_costo]]="","",_xlfn.XLOOKUP(tblOrdenes[[#This Row],[centro_costo]],tblCECO[codigo],tblCECO[coordinador],"(sin catálogo)"))</f>
        <v/>
      </c>
      <c r="X715" s="3">
        <f>IF(tblOrdenes[[#This Row],[puesto_trabajo]]="","",_xlfn.XLOOKUP(tblOrdenes[[#This Row],[puesto_trabajo]],tblPuestos[codigo],tblPuestos[especialidad],"(sin catálogo)"))</f>
        <v/>
      </c>
      <c r="Y715" s="3">
        <f>IF(tblOrdenes[[#This Row],[cod_actividad]]="","",_xlfn.XLOOKUP(tblOrdenes[[#This Row],[cod_actividad]],tblActividades[codigo],tblActividades[descripcion],"(sin catálogo)"))</f>
        <v/>
      </c>
      <c r="Z715" s="12">
        <f>IF(tblOrdenes[[#This Row],[fecha_inicio]]="","",TODAY()-tblOrdenes[[#This Row],[fecha_inicio]])</f>
        <v/>
      </c>
      <c r="AA715" s="3">
        <f>IF(tblOrdenes[[#This Row],[backlog_dias]]="","",IF(tblOrdenes[[#This Row],[backlog_dias]]&lt;0,"FUTURO",IF(tblOrdenes[[#This Row],[backlog_dias]]&gt;p_dias_backlog_max,"BACKLOG","MES CORRIENTE")))</f>
        <v/>
      </c>
      <c r="AB715" s="3">
        <f>IF(tblOrdenes[[#This Row],[backlog_dias]]="",FALSE,AND(tblOrdenes[[#This Row],[backlog_dias]]&gt;p_dias_backlog_min,tblOrdenes[[#This Row],[backlog_dias]]&lt;=p_dias_backlog_max))</f>
        <v/>
      </c>
      <c r="AC715" s="6" t="n"/>
      <c r="AD7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15" s="10">
        <f>IF(tblOrdenes[[#This Row],[orden]]="","",_xlfn.XLOOKUP(tblOrdenes[[#This Row],[id_operacion]],tblEjecucion[id_operacion],tblEjecucion[precio],0))</f>
        <v/>
      </c>
      <c r="AH715" s="10">
        <f>IF(tblOrdenes[[#This Row],[orden]]="","",MAX(0,_xlfn.XLOOKUP(tblOrdenes[[#This Row],[id_operacion]],tblEjecucion[id_operacion],tblEjecucion[costo_plan_total],0)-tblOrdenes[[#This Row],[costo_servicio]]))</f>
        <v/>
      </c>
      <c r="AI715" s="10">
        <f>IF(tblOrdenes[[#This Row],[orden]]="","",tblOrdenes[[#This Row],[costo_servicio]]+tblOrdenes[[#This Row],[costo_materiales]])</f>
        <v/>
      </c>
      <c r="AJ715" s="6" t="n"/>
      <c r="AK715" s="6" t="n"/>
      <c r="AL715" s="6" t="n"/>
      <c r="AM715" s="3">
        <f>IF(tblOrdenes[[#This Row],[link_checklist]]="","",HYPERLINK(p_ruta_base_checklists&amp;tblOrdenes[[#This Row],[link_checklist]],"abrir"))</f>
        <v/>
      </c>
      <c r="AN715" s="6" t="n"/>
      <c r="AO715" s="3">
        <f>IF(tblOrdenes[[#This Row],[orden]]="","",tblOrdenes[[#This Row],[orden]]&amp;IF(tblOrdenes[[#This Row],[operacion]]="","0010",tblOrdenes[[#This Row],[operacion]]))</f>
        <v/>
      </c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11" t="n"/>
      <c r="K716" s="3" t="n"/>
      <c r="L716" s="10" t="n"/>
      <c r="M716" s="6" t="n"/>
      <c r="N7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16" s="3">
        <f>IF(tblOrdenes[[#This Row],[fecha_inicio]]="","",YEAR(tblOrdenes[[#This Row],[fecha_inicio]]))</f>
        <v/>
      </c>
      <c r="R716" s="3">
        <f>IF(tblOrdenes[[#This Row],[fecha_inicio]]="","",MONTH(tblOrdenes[[#This Row],[fecha_inicio]]))</f>
        <v/>
      </c>
      <c r="S716" s="3">
        <f>IF(tblOrdenes[[#This Row],[fecha_inicio]]="","",INDEX(lista_dias,WEEKDAY(tblOrdenes[[#This Row],[fecha_inicio]],2)))</f>
        <v/>
      </c>
      <c r="T716" s="3">
        <f>IF(tblOrdenes[[#This Row],[tipo_ot]]="","",_xlfn.XLOOKUP(tblOrdenes[[#This Row],[tipo_ot]],tblTiposOT[codigo],tblTiposOT[clasificacion],"sin_clasificar"))</f>
        <v/>
      </c>
      <c r="U716" s="3">
        <f>IF(tblOrdenes[[#This Row],[centro_costo]]="","",_xlfn.XLOOKUP(tblOrdenes[[#This Row],[centro_costo]],tblCECO[codigo],tblCECO[linea],"(sin catálogo)"))</f>
        <v/>
      </c>
      <c r="V716" s="3">
        <f>IF(tblOrdenes[[#This Row],[centro_costo]]="","",_xlfn.XLOOKUP(tblOrdenes[[#This Row],[centro_costo]],tblCECO[codigo],tblCECO[area],"(sin catálogo)"))</f>
        <v/>
      </c>
      <c r="W716" s="3">
        <f>IF(tblOrdenes[[#This Row],[centro_costo]]="","",_xlfn.XLOOKUP(tblOrdenes[[#This Row],[centro_costo]],tblCECO[codigo],tblCECO[coordinador],"(sin catálogo)"))</f>
        <v/>
      </c>
      <c r="X716" s="3">
        <f>IF(tblOrdenes[[#This Row],[puesto_trabajo]]="","",_xlfn.XLOOKUP(tblOrdenes[[#This Row],[puesto_trabajo]],tblPuestos[codigo],tblPuestos[especialidad],"(sin catálogo)"))</f>
        <v/>
      </c>
      <c r="Y716" s="3">
        <f>IF(tblOrdenes[[#This Row],[cod_actividad]]="","",_xlfn.XLOOKUP(tblOrdenes[[#This Row],[cod_actividad]],tblActividades[codigo],tblActividades[descripcion],"(sin catálogo)"))</f>
        <v/>
      </c>
      <c r="Z716" s="12">
        <f>IF(tblOrdenes[[#This Row],[fecha_inicio]]="","",TODAY()-tblOrdenes[[#This Row],[fecha_inicio]])</f>
        <v/>
      </c>
      <c r="AA716" s="3">
        <f>IF(tblOrdenes[[#This Row],[backlog_dias]]="","",IF(tblOrdenes[[#This Row],[backlog_dias]]&lt;0,"FUTURO",IF(tblOrdenes[[#This Row],[backlog_dias]]&gt;p_dias_backlog_max,"BACKLOG","MES CORRIENTE")))</f>
        <v/>
      </c>
      <c r="AB716" s="3">
        <f>IF(tblOrdenes[[#This Row],[backlog_dias]]="",FALSE,AND(tblOrdenes[[#This Row],[backlog_dias]]&gt;p_dias_backlog_min,tblOrdenes[[#This Row],[backlog_dias]]&lt;=p_dias_backlog_max))</f>
        <v/>
      </c>
      <c r="AC716" s="6" t="n"/>
      <c r="AD7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16" s="10">
        <f>IF(tblOrdenes[[#This Row],[orden]]="","",_xlfn.XLOOKUP(tblOrdenes[[#This Row],[id_operacion]],tblEjecucion[id_operacion],tblEjecucion[precio],0))</f>
        <v/>
      </c>
      <c r="AH716" s="10">
        <f>IF(tblOrdenes[[#This Row],[orden]]="","",MAX(0,_xlfn.XLOOKUP(tblOrdenes[[#This Row],[id_operacion]],tblEjecucion[id_operacion],tblEjecucion[costo_plan_total],0)-tblOrdenes[[#This Row],[costo_servicio]]))</f>
        <v/>
      </c>
      <c r="AI716" s="10">
        <f>IF(tblOrdenes[[#This Row],[orden]]="","",tblOrdenes[[#This Row],[costo_servicio]]+tblOrdenes[[#This Row],[costo_materiales]])</f>
        <v/>
      </c>
      <c r="AJ716" s="6" t="n"/>
      <c r="AK716" s="6" t="n"/>
      <c r="AL716" s="6" t="n"/>
      <c r="AM716" s="3">
        <f>IF(tblOrdenes[[#This Row],[link_checklist]]="","",HYPERLINK(p_ruta_base_checklists&amp;tblOrdenes[[#This Row],[link_checklist]],"abrir"))</f>
        <v/>
      </c>
      <c r="AN716" s="6" t="n"/>
      <c r="AO716" s="3">
        <f>IF(tblOrdenes[[#This Row],[orden]]="","",tblOrdenes[[#This Row],[orden]]&amp;IF(tblOrdenes[[#This Row],[operacion]]="","0010",tblOrdenes[[#This Row],[operacion]]))</f>
        <v/>
      </c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11" t="n"/>
      <c r="K717" s="3" t="n"/>
      <c r="L717" s="10" t="n"/>
      <c r="M717" s="6" t="n"/>
      <c r="N7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17" s="3">
        <f>IF(tblOrdenes[[#This Row],[fecha_inicio]]="","",YEAR(tblOrdenes[[#This Row],[fecha_inicio]]))</f>
        <v/>
      </c>
      <c r="R717" s="3">
        <f>IF(tblOrdenes[[#This Row],[fecha_inicio]]="","",MONTH(tblOrdenes[[#This Row],[fecha_inicio]]))</f>
        <v/>
      </c>
      <c r="S717" s="3">
        <f>IF(tblOrdenes[[#This Row],[fecha_inicio]]="","",INDEX(lista_dias,WEEKDAY(tblOrdenes[[#This Row],[fecha_inicio]],2)))</f>
        <v/>
      </c>
      <c r="T717" s="3">
        <f>IF(tblOrdenes[[#This Row],[tipo_ot]]="","",_xlfn.XLOOKUP(tblOrdenes[[#This Row],[tipo_ot]],tblTiposOT[codigo],tblTiposOT[clasificacion],"sin_clasificar"))</f>
        <v/>
      </c>
      <c r="U717" s="3">
        <f>IF(tblOrdenes[[#This Row],[centro_costo]]="","",_xlfn.XLOOKUP(tblOrdenes[[#This Row],[centro_costo]],tblCECO[codigo],tblCECO[linea],"(sin catálogo)"))</f>
        <v/>
      </c>
      <c r="V717" s="3">
        <f>IF(tblOrdenes[[#This Row],[centro_costo]]="","",_xlfn.XLOOKUP(tblOrdenes[[#This Row],[centro_costo]],tblCECO[codigo],tblCECO[area],"(sin catálogo)"))</f>
        <v/>
      </c>
      <c r="W717" s="3">
        <f>IF(tblOrdenes[[#This Row],[centro_costo]]="","",_xlfn.XLOOKUP(tblOrdenes[[#This Row],[centro_costo]],tblCECO[codigo],tblCECO[coordinador],"(sin catálogo)"))</f>
        <v/>
      </c>
      <c r="X717" s="3">
        <f>IF(tblOrdenes[[#This Row],[puesto_trabajo]]="","",_xlfn.XLOOKUP(tblOrdenes[[#This Row],[puesto_trabajo]],tblPuestos[codigo],tblPuestos[especialidad],"(sin catálogo)"))</f>
        <v/>
      </c>
      <c r="Y717" s="3">
        <f>IF(tblOrdenes[[#This Row],[cod_actividad]]="","",_xlfn.XLOOKUP(tblOrdenes[[#This Row],[cod_actividad]],tblActividades[codigo],tblActividades[descripcion],"(sin catálogo)"))</f>
        <v/>
      </c>
      <c r="Z717" s="12">
        <f>IF(tblOrdenes[[#This Row],[fecha_inicio]]="","",TODAY()-tblOrdenes[[#This Row],[fecha_inicio]])</f>
        <v/>
      </c>
      <c r="AA717" s="3">
        <f>IF(tblOrdenes[[#This Row],[backlog_dias]]="","",IF(tblOrdenes[[#This Row],[backlog_dias]]&lt;0,"FUTURO",IF(tblOrdenes[[#This Row],[backlog_dias]]&gt;p_dias_backlog_max,"BACKLOG","MES CORRIENTE")))</f>
        <v/>
      </c>
      <c r="AB717" s="3">
        <f>IF(tblOrdenes[[#This Row],[backlog_dias]]="",FALSE,AND(tblOrdenes[[#This Row],[backlog_dias]]&gt;p_dias_backlog_min,tblOrdenes[[#This Row],[backlog_dias]]&lt;=p_dias_backlog_max))</f>
        <v/>
      </c>
      <c r="AC717" s="6" t="n"/>
      <c r="AD7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17" s="10">
        <f>IF(tblOrdenes[[#This Row],[orden]]="","",_xlfn.XLOOKUP(tblOrdenes[[#This Row],[id_operacion]],tblEjecucion[id_operacion],tblEjecucion[precio],0))</f>
        <v/>
      </c>
      <c r="AH717" s="10">
        <f>IF(tblOrdenes[[#This Row],[orden]]="","",MAX(0,_xlfn.XLOOKUP(tblOrdenes[[#This Row],[id_operacion]],tblEjecucion[id_operacion],tblEjecucion[costo_plan_total],0)-tblOrdenes[[#This Row],[costo_servicio]]))</f>
        <v/>
      </c>
      <c r="AI717" s="10">
        <f>IF(tblOrdenes[[#This Row],[orden]]="","",tblOrdenes[[#This Row],[costo_servicio]]+tblOrdenes[[#This Row],[costo_materiales]])</f>
        <v/>
      </c>
      <c r="AJ717" s="6" t="n"/>
      <c r="AK717" s="6" t="n"/>
      <c r="AL717" s="6" t="n"/>
      <c r="AM717" s="3">
        <f>IF(tblOrdenes[[#This Row],[link_checklist]]="","",HYPERLINK(p_ruta_base_checklists&amp;tblOrdenes[[#This Row],[link_checklist]],"abrir"))</f>
        <v/>
      </c>
      <c r="AN717" s="6" t="n"/>
      <c r="AO717" s="3">
        <f>IF(tblOrdenes[[#This Row],[orden]]="","",tblOrdenes[[#This Row],[orden]]&amp;IF(tblOrdenes[[#This Row],[operacion]]="","0010",tblOrdenes[[#This Row],[operacion]]))</f>
        <v/>
      </c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11" t="n"/>
      <c r="K718" s="3" t="n"/>
      <c r="L718" s="10" t="n"/>
      <c r="M718" s="6" t="n"/>
      <c r="N7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18" s="3">
        <f>IF(tblOrdenes[[#This Row],[fecha_inicio]]="","",YEAR(tblOrdenes[[#This Row],[fecha_inicio]]))</f>
        <v/>
      </c>
      <c r="R718" s="3">
        <f>IF(tblOrdenes[[#This Row],[fecha_inicio]]="","",MONTH(tblOrdenes[[#This Row],[fecha_inicio]]))</f>
        <v/>
      </c>
      <c r="S718" s="3">
        <f>IF(tblOrdenes[[#This Row],[fecha_inicio]]="","",INDEX(lista_dias,WEEKDAY(tblOrdenes[[#This Row],[fecha_inicio]],2)))</f>
        <v/>
      </c>
      <c r="T718" s="3">
        <f>IF(tblOrdenes[[#This Row],[tipo_ot]]="","",_xlfn.XLOOKUP(tblOrdenes[[#This Row],[tipo_ot]],tblTiposOT[codigo],tblTiposOT[clasificacion],"sin_clasificar"))</f>
        <v/>
      </c>
      <c r="U718" s="3">
        <f>IF(tblOrdenes[[#This Row],[centro_costo]]="","",_xlfn.XLOOKUP(tblOrdenes[[#This Row],[centro_costo]],tblCECO[codigo],tblCECO[linea],"(sin catálogo)"))</f>
        <v/>
      </c>
      <c r="V718" s="3">
        <f>IF(tblOrdenes[[#This Row],[centro_costo]]="","",_xlfn.XLOOKUP(tblOrdenes[[#This Row],[centro_costo]],tblCECO[codigo],tblCECO[area],"(sin catálogo)"))</f>
        <v/>
      </c>
      <c r="W718" s="3">
        <f>IF(tblOrdenes[[#This Row],[centro_costo]]="","",_xlfn.XLOOKUP(tblOrdenes[[#This Row],[centro_costo]],tblCECO[codigo],tblCECO[coordinador],"(sin catálogo)"))</f>
        <v/>
      </c>
      <c r="X718" s="3">
        <f>IF(tblOrdenes[[#This Row],[puesto_trabajo]]="","",_xlfn.XLOOKUP(tblOrdenes[[#This Row],[puesto_trabajo]],tblPuestos[codigo],tblPuestos[especialidad],"(sin catálogo)"))</f>
        <v/>
      </c>
      <c r="Y718" s="3">
        <f>IF(tblOrdenes[[#This Row],[cod_actividad]]="","",_xlfn.XLOOKUP(tblOrdenes[[#This Row],[cod_actividad]],tblActividades[codigo],tblActividades[descripcion],"(sin catálogo)"))</f>
        <v/>
      </c>
      <c r="Z718" s="12">
        <f>IF(tblOrdenes[[#This Row],[fecha_inicio]]="","",TODAY()-tblOrdenes[[#This Row],[fecha_inicio]])</f>
        <v/>
      </c>
      <c r="AA718" s="3">
        <f>IF(tblOrdenes[[#This Row],[backlog_dias]]="","",IF(tblOrdenes[[#This Row],[backlog_dias]]&lt;0,"FUTURO",IF(tblOrdenes[[#This Row],[backlog_dias]]&gt;p_dias_backlog_max,"BACKLOG","MES CORRIENTE")))</f>
        <v/>
      </c>
      <c r="AB718" s="3">
        <f>IF(tblOrdenes[[#This Row],[backlog_dias]]="",FALSE,AND(tblOrdenes[[#This Row],[backlog_dias]]&gt;p_dias_backlog_min,tblOrdenes[[#This Row],[backlog_dias]]&lt;=p_dias_backlog_max))</f>
        <v/>
      </c>
      <c r="AC718" s="6" t="n"/>
      <c r="AD7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18" s="10">
        <f>IF(tblOrdenes[[#This Row],[orden]]="","",_xlfn.XLOOKUP(tblOrdenes[[#This Row],[id_operacion]],tblEjecucion[id_operacion],tblEjecucion[precio],0))</f>
        <v/>
      </c>
      <c r="AH718" s="10">
        <f>IF(tblOrdenes[[#This Row],[orden]]="","",MAX(0,_xlfn.XLOOKUP(tblOrdenes[[#This Row],[id_operacion]],tblEjecucion[id_operacion],tblEjecucion[costo_plan_total],0)-tblOrdenes[[#This Row],[costo_servicio]]))</f>
        <v/>
      </c>
      <c r="AI718" s="10">
        <f>IF(tblOrdenes[[#This Row],[orden]]="","",tblOrdenes[[#This Row],[costo_servicio]]+tblOrdenes[[#This Row],[costo_materiales]])</f>
        <v/>
      </c>
      <c r="AJ718" s="6" t="n"/>
      <c r="AK718" s="6" t="n"/>
      <c r="AL718" s="6" t="n"/>
      <c r="AM718" s="3">
        <f>IF(tblOrdenes[[#This Row],[link_checklist]]="","",HYPERLINK(p_ruta_base_checklists&amp;tblOrdenes[[#This Row],[link_checklist]],"abrir"))</f>
        <v/>
      </c>
      <c r="AN718" s="6" t="n"/>
      <c r="AO718" s="3">
        <f>IF(tblOrdenes[[#This Row],[orden]]="","",tblOrdenes[[#This Row],[orden]]&amp;IF(tblOrdenes[[#This Row],[operacion]]="","0010",tblOrdenes[[#This Row],[operacion]]))</f>
        <v/>
      </c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11" t="n"/>
      <c r="K719" s="3" t="n"/>
      <c r="L719" s="10" t="n"/>
      <c r="M719" s="6" t="n"/>
      <c r="N7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19" s="3">
        <f>IF(tblOrdenes[[#This Row],[fecha_inicio]]="","",YEAR(tblOrdenes[[#This Row],[fecha_inicio]]))</f>
        <v/>
      </c>
      <c r="R719" s="3">
        <f>IF(tblOrdenes[[#This Row],[fecha_inicio]]="","",MONTH(tblOrdenes[[#This Row],[fecha_inicio]]))</f>
        <v/>
      </c>
      <c r="S719" s="3">
        <f>IF(tblOrdenes[[#This Row],[fecha_inicio]]="","",INDEX(lista_dias,WEEKDAY(tblOrdenes[[#This Row],[fecha_inicio]],2)))</f>
        <v/>
      </c>
      <c r="T719" s="3">
        <f>IF(tblOrdenes[[#This Row],[tipo_ot]]="","",_xlfn.XLOOKUP(tblOrdenes[[#This Row],[tipo_ot]],tblTiposOT[codigo],tblTiposOT[clasificacion],"sin_clasificar"))</f>
        <v/>
      </c>
      <c r="U719" s="3">
        <f>IF(tblOrdenes[[#This Row],[centro_costo]]="","",_xlfn.XLOOKUP(tblOrdenes[[#This Row],[centro_costo]],tblCECO[codigo],tblCECO[linea],"(sin catálogo)"))</f>
        <v/>
      </c>
      <c r="V719" s="3">
        <f>IF(tblOrdenes[[#This Row],[centro_costo]]="","",_xlfn.XLOOKUP(tblOrdenes[[#This Row],[centro_costo]],tblCECO[codigo],tblCECO[area],"(sin catálogo)"))</f>
        <v/>
      </c>
      <c r="W719" s="3">
        <f>IF(tblOrdenes[[#This Row],[centro_costo]]="","",_xlfn.XLOOKUP(tblOrdenes[[#This Row],[centro_costo]],tblCECO[codigo],tblCECO[coordinador],"(sin catálogo)"))</f>
        <v/>
      </c>
      <c r="X719" s="3">
        <f>IF(tblOrdenes[[#This Row],[puesto_trabajo]]="","",_xlfn.XLOOKUP(tblOrdenes[[#This Row],[puesto_trabajo]],tblPuestos[codigo],tblPuestos[especialidad],"(sin catálogo)"))</f>
        <v/>
      </c>
      <c r="Y719" s="3">
        <f>IF(tblOrdenes[[#This Row],[cod_actividad]]="","",_xlfn.XLOOKUP(tblOrdenes[[#This Row],[cod_actividad]],tblActividades[codigo],tblActividades[descripcion],"(sin catálogo)"))</f>
        <v/>
      </c>
      <c r="Z719" s="12">
        <f>IF(tblOrdenes[[#This Row],[fecha_inicio]]="","",TODAY()-tblOrdenes[[#This Row],[fecha_inicio]])</f>
        <v/>
      </c>
      <c r="AA719" s="3">
        <f>IF(tblOrdenes[[#This Row],[backlog_dias]]="","",IF(tblOrdenes[[#This Row],[backlog_dias]]&lt;0,"FUTURO",IF(tblOrdenes[[#This Row],[backlog_dias]]&gt;p_dias_backlog_max,"BACKLOG","MES CORRIENTE")))</f>
        <v/>
      </c>
      <c r="AB719" s="3">
        <f>IF(tblOrdenes[[#This Row],[backlog_dias]]="",FALSE,AND(tblOrdenes[[#This Row],[backlog_dias]]&gt;p_dias_backlog_min,tblOrdenes[[#This Row],[backlog_dias]]&lt;=p_dias_backlog_max))</f>
        <v/>
      </c>
      <c r="AC719" s="6" t="n"/>
      <c r="AD7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19" s="10">
        <f>IF(tblOrdenes[[#This Row],[orden]]="","",_xlfn.XLOOKUP(tblOrdenes[[#This Row],[id_operacion]],tblEjecucion[id_operacion],tblEjecucion[precio],0))</f>
        <v/>
      </c>
      <c r="AH719" s="10">
        <f>IF(tblOrdenes[[#This Row],[orden]]="","",MAX(0,_xlfn.XLOOKUP(tblOrdenes[[#This Row],[id_operacion]],tblEjecucion[id_operacion],tblEjecucion[costo_plan_total],0)-tblOrdenes[[#This Row],[costo_servicio]]))</f>
        <v/>
      </c>
      <c r="AI719" s="10">
        <f>IF(tblOrdenes[[#This Row],[orden]]="","",tblOrdenes[[#This Row],[costo_servicio]]+tblOrdenes[[#This Row],[costo_materiales]])</f>
        <v/>
      </c>
      <c r="AJ719" s="6" t="n"/>
      <c r="AK719" s="6" t="n"/>
      <c r="AL719" s="6" t="n"/>
      <c r="AM719" s="3">
        <f>IF(tblOrdenes[[#This Row],[link_checklist]]="","",HYPERLINK(p_ruta_base_checklists&amp;tblOrdenes[[#This Row],[link_checklist]],"abrir"))</f>
        <v/>
      </c>
      <c r="AN719" s="6" t="n"/>
      <c r="AO719" s="3">
        <f>IF(tblOrdenes[[#This Row],[orden]]="","",tblOrdenes[[#This Row],[orden]]&amp;IF(tblOrdenes[[#This Row],[operacion]]="","0010",tblOrdenes[[#This Row],[operacion]]))</f>
        <v/>
      </c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11" t="n"/>
      <c r="K720" s="3" t="n"/>
      <c r="L720" s="10" t="n"/>
      <c r="M720" s="6" t="n"/>
      <c r="N7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20" s="3">
        <f>IF(tblOrdenes[[#This Row],[fecha_inicio]]="","",YEAR(tblOrdenes[[#This Row],[fecha_inicio]]))</f>
        <v/>
      </c>
      <c r="R720" s="3">
        <f>IF(tblOrdenes[[#This Row],[fecha_inicio]]="","",MONTH(tblOrdenes[[#This Row],[fecha_inicio]]))</f>
        <v/>
      </c>
      <c r="S720" s="3">
        <f>IF(tblOrdenes[[#This Row],[fecha_inicio]]="","",INDEX(lista_dias,WEEKDAY(tblOrdenes[[#This Row],[fecha_inicio]],2)))</f>
        <v/>
      </c>
      <c r="T720" s="3">
        <f>IF(tblOrdenes[[#This Row],[tipo_ot]]="","",_xlfn.XLOOKUP(tblOrdenes[[#This Row],[tipo_ot]],tblTiposOT[codigo],tblTiposOT[clasificacion],"sin_clasificar"))</f>
        <v/>
      </c>
      <c r="U720" s="3">
        <f>IF(tblOrdenes[[#This Row],[centro_costo]]="","",_xlfn.XLOOKUP(tblOrdenes[[#This Row],[centro_costo]],tblCECO[codigo],tblCECO[linea],"(sin catálogo)"))</f>
        <v/>
      </c>
      <c r="V720" s="3">
        <f>IF(tblOrdenes[[#This Row],[centro_costo]]="","",_xlfn.XLOOKUP(tblOrdenes[[#This Row],[centro_costo]],tblCECO[codigo],tblCECO[area],"(sin catálogo)"))</f>
        <v/>
      </c>
      <c r="W720" s="3">
        <f>IF(tblOrdenes[[#This Row],[centro_costo]]="","",_xlfn.XLOOKUP(tblOrdenes[[#This Row],[centro_costo]],tblCECO[codigo],tblCECO[coordinador],"(sin catálogo)"))</f>
        <v/>
      </c>
      <c r="X720" s="3">
        <f>IF(tblOrdenes[[#This Row],[puesto_trabajo]]="","",_xlfn.XLOOKUP(tblOrdenes[[#This Row],[puesto_trabajo]],tblPuestos[codigo],tblPuestos[especialidad],"(sin catálogo)"))</f>
        <v/>
      </c>
      <c r="Y720" s="3">
        <f>IF(tblOrdenes[[#This Row],[cod_actividad]]="","",_xlfn.XLOOKUP(tblOrdenes[[#This Row],[cod_actividad]],tblActividades[codigo],tblActividades[descripcion],"(sin catálogo)"))</f>
        <v/>
      </c>
      <c r="Z720" s="12">
        <f>IF(tblOrdenes[[#This Row],[fecha_inicio]]="","",TODAY()-tblOrdenes[[#This Row],[fecha_inicio]])</f>
        <v/>
      </c>
      <c r="AA720" s="3">
        <f>IF(tblOrdenes[[#This Row],[backlog_dias]]="","",IF(tblOrdenes[[#This Row],[backlog_dias]]&lt;0,"FUTURO",IF(tblOrdenes[[#This Row],[backlog_dias]]&gt;p_dias_backlog_max,"BACKLOG","MES CORRIENTE")))</f>
        <v/>
      </c>
      <c r="AB720" s="3">
        <f>IF(tblOrdenes[[#This Row],[backlog_dias]]="",FALSE,AND(tblOrdenes[[#This Row],[backlog_dias]]&gt;p_dias_backlog_min,tblOrdenes[[#This Row],[backlog_dias]]&lt;=p_dias_backlog_max))</f>
        <v/>
      </c>
      <c r="AC720" s="6" t="n"/>
      <c r="AD7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20" s="10">
        <f>IF(tblOrdenes[[#This Row],[orden]]="","",_xlfn.XLOOKUP(tblOrdenes[[#This Row],[id_operacion]],tblEjecucion[id_operacion],tblEjecucion[precio],0))</f>
        <v/>
      </c>
      <c r="AH720" s="10">
        <f>IF(tblOrdenes[[#This Row],[orden]]="","",MAX(0,_xlfn.XLOOKUP(tblOrdenes[[#This Row],[id_operacion]],tblEjecucion[id_operacion],tblEjecucion[costo_plan_total],0)-tblOrdenes[[#This Row],[costo_servicio]]))</f>
        <v/>
      </c>
      <c r="AI720" s="10">
        <f>IF(tblOrdenes[[#This Row],[orden]]="","",tblOrdenes[[#This Row],[costo_servicio]]+tblOrdenes[[#This Row],[costo_materiales]])</f>
        <v/>
      </c>
      <c r="AJ720" s="6" t="n"/>
      <c r="AK720" s="6" t="n"/>
      <c r="AL720" s="6" t="n"/>
      <c r="AM720" s="3">
        <f>IF(tblOrdenes[[#This Row],[link_checklist]]="","",HYPERLINK(p_ruta_base_checklists&amp;tblOrdenes[[#This Row],[link_checklist]],"abrir"))</f>
        <v/>
      </c>
      <c r="AN720" s="6" t="n"/>
      <c r="AO720" s="3">
        <f>IF(tblOrdenes[[#This Row],[orden]]="","",tblOrdenes[[#This Row],[orden]]&amp;IF(tblOrdenes[[#This Row],[operacion]]="","0010",tblOrdenes[[#This Row],[operacion]]))</f>
        <v/>
      </c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11" t="n"/>
      <c r="K721" s="3" t="n"/>
      <c r="L721" s="10" t="n"/>
      <c r="M721" s="6" t="n"/>
      <c r="N7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21" s="3">
        <f>IF(tblOrdenes[[#This Row],[fecha_inicio]]="","",YEAR(tblOrdenes[[#This Row],[fecha_inicio]]))</f>
        <v/>
      </c>
      <c r="R721" s="3">
        <f>IF(tblOrdenes[[#This Row],[fecha_inicio]]="","",MONTH(tblOrdenes[[#This Row],[fecha_inicio]]))</f>
        <v/>
      </c>
      <c r="S721" s="3">
        <f>IF(tblOrdenes[[#This Row],[fecha_inicio]]="","",INDEX(lista_dias,WEEKDAY(tblOrdenes[[#This Row],[fecha_inicio]],2)))</f>
        <v/>
      </c>
      <c r="T721" s="3">
        <f>IF(tblOrdenes[[#This Row],[tipo_ot]]="","",_xlfn.XLOOKUP(tblOrdenes[[#This Row],[tipo_ot]],tblTiposOT[codigo],tblTiposOT[clasificacion],"sin_clasificar"))</f>
        <v/>
      </c>
      <c r="U721" s="3">
        <f>IF(tblOrdenes[[#This Row],[centro_costo]]="","",_xlfn.XLOOKUP(tblOrdenes[[#This Row],[centro_costo]],tblCECO[codigo],tblCECO[linea],"(sin catálogo)"))</f>
        <v/>
      </c>
      <c r="V721" s="3">
        <f>IF(tblOrdenes[[#This Row],[centro_costo]]="","",_xlfn.XLOOKUP(tblOrdenes[[#This Row],[centro_costo]],tblCECO[codigo],tblCECO[area],"(sin catálogo)"))</f>
        <v/>
      </c>
      <c r="W721" s="3">
        <f>IF(tblOrdenes[[#This Row],[centro_costo]]="","",_xlfn.XLOOKUP(tblOrdenes[[#This Row],[centro_costo]],tblCECO[codigo],tblCECO[coordinador],"(sin catálogo)"))</f>
        <v/>
      </c>
      <c r="X721" s="3">
        <f>IF(tblOrdenes[[#This Row],[puesto_trabajo]]="","",_xlfn.XLOOKUP(tblOrdenes[[#This Row],[puesto_trabajo]],tblPuestos[codigo],tblPuestos[especialidad],"(sin catálogo)"))</f>
        <v/>
      </c>
      <c r="Y721" s="3">
        <f>IF(tblOrdenes[[#This Row],[cod_actividad]]="","",_xlfn.XLOOKUP(tblOrdenes[[#This Row],[cod_actividad]],tblActividades[codigo],tblActividades[descripcion],"(sin catálogo)"))</f>
        <v/>
      </c>
      <c r="Z721" s="12">
        <f>IF(tblOrdenes[[#This Row],[fecha_inicio]]="","",TODAY()-tblOrdenes[[#This Row],[fecha_inicio]])</f>
        <v/>
      </c>
      <c r="AA721" s="3">
        <f>IF(tblOrdenes[[#This Row],[backlog_dias]]="","",IF(tblOrdenes[[#This Row],[backlog_dias]]&lt;0,"FUTURO",IF(tblOrdenes[[#This Row],[backlog_dias]]&gt;p_dias_backlog_max,"BACKLOG","MES CORRIENTE")))</f>
        <v/>
      </c>
      <c r="AB721" s="3">
        <f>IF(tblOrdenes[[#This Row],[backlog_dias]]="",FALSE,AND(tblOrdenes[[#This Row],[backlog_dias]]&gt;p_dias_backlog_min,tblOrdenes[[#This Row],[backlog_dias]]&lt;=p_dias_backlog_max))</f>
        <v/>
      </c>
      <c r="AC721" s="6" t="n"/>
      <c r="AD7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21" s="10">
        <f>IF(tblOrdenes[[#This Row],[orden]]="","",_xlfn.XLOOKUP(tblOrdenes[[#This Row],[id_operacion]],tblEjecucion[id_operacion],tblEjecucion[precio],0))</f>
        <v/>
      </c>
      <c r="AH721" s="10">
        <f>IF(tblOrdenes[[#This Row],[orden]]="","",MAX(0,_xlfn.XLOOKUP(tblOrdenes[[#This Row],[id_operacion]],tblEjecucion[id_operacion],tblEjecucion[costo_plan_total],0)-tblOrdenes[[#This Row],[costo_servicio]]))</f>
        <v/>
      </c>
      <c r="AI721" s="10">
        <f>IF(tblOrdenes[[#This Row],[orden]]="","",tblOrdenes[[#This Row],[costo_servicio]]+tblOrdenes[[#This Row],[costo_materiales]])</f>
        <v/>
      </c>
      <c r="AJ721" s="6" t="n"/>
      <c r="AK721" s="6" t="n"/>
      <c r="AL721" s="6" t="n"/>
      <c r="AM721" s="3">
        <f>IF(tblOrdenes[[#This Row],[link_checklist]]="","",HYPERLINK(p_ruta_base_checklists&amp;tblOrdenes[[#This Row],[link_checklist]],"abrir"))</f>
        <v/>
      </c>
      <c r="AN721" s="6" t="n"/>
      <c r="AO721" s="3">
        <f>IF(tblOrdenes[[#This Row],[orden]]="","",tblOrdenes[[#This Row],[orden]]&amp;IF(tblOrdenes[[#This Row],[operacion]]="","0010",tblOrdenes[[#This Row],[operacion]]))</f>
        <v/>
      </c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11" t="n"/>
      <c r="K722" s="3" t="n"/>
      <c r="L722" s="10" t="n"/>
      <c r="M722" s="6" t="n"/>
      <c r="N7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22" s="3">
        <f>IF(tblOrdenes[[#This Row],[fecha_inicio]]="","",YEAR(tblOrdenes[[#This Row],[fecha_inicio]]))</f>
        <v/>
      </c>
      <c r="R722" s="3">
        <f>IF(tblOrdenes[[#This Row],[fecha_inicio]]="","",MONTH(tblOrdenes[[#This Row],[fecha_inicio]]))</f>
        <v/>
      </c>
      <c r="S722" s="3">
        <f>IF(tblOrdenes[[#This Row],[fecha_inicio]]="","",INDEX(lista_dias,WEEKDAY(tblOrdenes[[#This Row],[fecha_inicio]],2)))</f>
        <v/>
      </c>
      <c r="T722" s="3">
        <f>IF(tblOrdenes[[#This Row],[tipo_ot]]="","",_xlfn.XLOOKUP(tblOrdenes[[#This Row],[tipo_ot]],tblTiposOT[codigo],tblTiposOT[clasificacion],"sin_clasificar"))</f>
        <v/>
      </c>
      <c r="U722" s="3">
        <f>IF(tblOrdenes[[#This Row],[centro_costo]]="","",_xlfn.XLOOKUP(tblOrdenes[[#This Row],[centro_costo]],tblCECO[codigo],tblCECO[linea],"(sin catálogo)"))</f>
        <v/>
      </c>
      <c r="V722" s="3">
        <f>IF(tblOrdenes[[#This Row],[centro_costo]]="","",_xlfn.XLOOKUP(tblOrdenes[[#This Row],[centro_costo]],tblCECO[codigo],tblCECO[area],"(sin catálogo)"))</f>
        <v/>
      </c>
      <c r="W722" s="3">
        <f>IF(tblOrdenes[[#This Row],[centro_costo]]="","",_xlfn.XLOOKUP(tblOrdenes[[#This Row],[centro_costo]],tblCECO[codigo],tblCECO[coordinador],"(sin catálogo)"))</f>
        <v/>
      </c>
      <c r="X722" s="3">
        <f>IF(tblOrdenes[[#This Row],[puesto_trabajo]]="","",_xlfn.XLOOKUP(tblOrdenes[[#This Row],[puesto_trabajo]],tblPuestos[codigo],tblPuestos[especialidad],"(sin catálogo)"))</f>
        <v/>
      </c>
      <c r="Y722" s="3">
        <f>IF(tblOrdenes[[#This Row],[cod_actividad]]="","",_xlfn.XLOOKUP(tblOrdenes[[#This Row],[cod_actividad]],tblActividades[codigo],tblActividades[descripcion],"(sin catálogo)"))</f>
        <v/>
      </c>
      <c r="Z722" s="12">
        <f>IF(tblOrdenes[[#This Row],[fecha_inicio]]="","",TODAY()-tblOrdenes[[#This Row],[fecha_inicio]])</f>
        <v/>
      </c>
      <c r="AA722" s="3">
        <f>IF(tblOrdenes[[#This Row],[backlog_dias]]="","",IF(tblOrdenes[[#This Row],[backlog_dias]]&lt;0,"FUTURO",IF(tblOrdenes[[#This Row],[backlog_dias]]&gt;p_dias_backlog_max,"BACKLOG","MES CORRIENTE")))</f>
        <v/>
      </c>
      <c r="AB722" s="3">
        <f>IF(tblOrdenes[[#This Row],[backlog_dias]]="",FALSE,AND(tblOrdenes[[#This Row],[backlog_dias]]&gt;p_dias_backlog_min,tblOrdenes[[#This Row],[backlog_dias]]&lt;=p_dias_backlog_max))</f>
        <v/>
      </c>
      <c r="AC722" s="6" t="n"/>
      <c r="AD7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22" s="10">
        <f>IF(tblOrdenes[[#This Row],[orden]]="","",_xlfn.XLOOKUP(tblOrdenes[[#This Row],[id_operacion]],tblEjecucion[id_operacion],tblEjecucion[precio],0))</f>
        <v/>
      </c>
      <c r="AH722" s="10">
        <f>IF(tblOrdenes[[#This Row],[orden]]="","",MAX(0,_xlfn.XLOOKUP(tblOrdenes[[#This Row],[id_operacion]],tblEjecucion[id_operacion],tblEjecucion[costo_plan_total],0)-tblOrdenes[[#This Row],[costo_servicio]]))</f>
        <v/>
      </c>
      <c r="AI722" s="10">
        <f>IF(tblOrdenes[[#This Row],[orden]]="","",tblOrdenes[[#This Row],[costo_servicio]]+tblOrdenes[[#This Row],[costo_materiales]])</f>
        <v/>
      </c>
      <c r="AJ722" s="6" t="n"/>
      <c r="AK722" s="6" t="n"/>
      <c r="AL722" s="6" t="n"/>
      <c r="AM722" s="3">
        <f>IF(tblOrdenes[[#This Row],[link_checklist]]="","",HYPERLINK(p_ruta_base_checklists&amp;tblOrdenes[[#This Row],[link_checklist]],"abrir"))</f>
        <v/>
      </c>
      <c r="AN722" s="6" t="n"/>
      <c r="AO722" s="3">
        <f>IF(tblOrdenes[[#This Row],[orden]]="","",tblOrdenes[[#This Row],[orden]]&amp;IF(tblOrdenes[[#This Row],[operacion]]="","0010",tblOrdenes[[#This Row],[operacion]]))</f>
        <v/>
      </c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11" t="n"/>
      <c r="K723" s="3" t="n"/>
      <c r="L723" s="10" t="n"/>
      <c r="M723" s="6" t="n"/>
      <c r="N7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23" s="3">
        <f>IF(tblOrdenes[[#This Row],[fecha_inicio]]="","",YEAR(tblOrdenes[[#This Row],[fecha_inicio]]))</f>
        <v/>
      </c>
      <c r="R723" s="3">
        <f>IF(tblOrdenes[[#This Row],[fecha_inicio]]="","",MONTH(tblOrdenes[[#This Row],[fecha_inicio]]))</f>
        <v/>
      </c>
      <c r="S723" s="3">
        <f>IF(tblOrdenes[[#This Row],[fecha_inicio]]="","",INDEX(lista_dias,WEEKDAY(tblOrdenes[[#This Row],[fecha_inicio]],2)))</f>
        <v/>
      </c>
      <c r="T723" s="3">
        <f>IF(tblOrdenes[[#This Row],[tipo_ot]]="","",_xlfn.XLOOKUP(tblOrdenes[[#This Row],[tipo_ot]],tblTiposOT[codigo],tblTiposOT[clasificacion],"sin_clasificar"))</f>
        <v/>
      </c>
      <c r="U723" s="3">
        <f>IF(tblOrdenes[[#This Row],[centro_costo]]="","",_xlfn.XLOOKUP(tblOrdenes[[#This Row],[centro_costo]],tblCECO[codigo],tblCECO[linea],"(sin catálogo)"))</f>
        <v/>
      </c>
      <c r="V723" s="3">
        <f>IF(tblOrdenes[[#This Row],[centro_costo]]="","",_xlfn.XLOOKUP(tblOrdenes[[#This Row],[centro_costo]],tblCECO[codigo],tblCECO[area],"(sin catálogo)"))</f>
        <v/>
      </c>
      <c r="W723" s="3">
        <f>IF(tblOrdenes[[#This Row],[centro_costo]]="","",_xlfn.XLOOKUP(tblOrdenes[[#This Row],[centro_costo]],tblCECO[codigo],tblCECO[coordinador],"(sin catálogo)"))</f>
        <v/>
      </c>
      <c r="X723" s="3">
        <f>IF(tblOrdenes[[#This Row],[puesto_trabajo]]="","",_xlfn.XLOOKUP(tblOrdenes[[#This Row],[puesto_trabajo]],tblPuestos[codigo],tblPuestos[especialidad],"(sin catálogo)"))</f>
        <v/>
      </c>
      <c r="Y723" s="3">
        <f>IF(tblOrdenes[[#This Row],[cod_actividad]]="","",_xlfn.XLOOKUP(tblOrdenes[[#This Row],[cod_actividad]],tblActividades[codigo],tblActividades[descripcion],"(sin catálogo)"))</f>
        <v/>
      </c>
      <c r="Z723" s="12">
        <f>IF(tblOrdenes[[#This Row],[fecha_inicio]]="","",TODAY()-tblOrdenes[[#This Row],[fecha_inicio]])</f>
        <v/>
      </c>
      <c r="AA723" s="3">
        <f>IF(tblOrdenes[[#This Row],[backlog_dias]]="","",IF(tblOrdenes[[#This Row],[backlog_dias]]&lt;0,"FUTURO",IF(tblOrdenes[[#This Row],[backlog_dias]]&gt;p_dias_backlog_max,"BACKLOG","MES CORRIENTE")))</f>
        <v/>
      </c>
      <c r="AB723" s="3">
        <f>IF(tblOrdenes[[#This Row],[backlog_dias]]="",FALSE,AND(tblOrdenes[[#This Row],[backlog_dias]]&gt;p_dias_backlog_min,tblOrdenes[[#This Row],[backlog_dias]]&lt;=p_dias_backlog_max))</f>
        <v/>
      </c>
      <c r="AC723" s="6" t="n"/>
      <c r="AD7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23" s="10">
        <f>IF(tblOrdenes[[#This Row],[orden]]="","",_xlfn.XLOOKUP(tblOrdenes[[#This Row],[id_operacion]],tblEjecucion[id_operacion],tblEjecucion[precio],0))</f>
        <v/>
      </c>
      <c r="AH723" s="10">
        <f>IF(tblOrdenes[[#This Row],[orden]]="","",MAX(0,_xlfn.XLOOKUP(tblOrdenes[[#This Row],[id_operacion]],tblEjecucion[id_operacion],tblEjecucion[costo_plan_total],0)-tblOrdenes[[#This Row],[costo_servicio]]))</f>
        <v/>
      </c>
      <c r="AI723" s="10">
        <f>IF(tblOrdenes[[#This Row],[orden]]="","",tblOrdenes[[#This Row],[costo_servicio]]+tblOrdenes[[#This Row],[costo_materiales]])</f>
        <v/>
      </c>
      <c r="AJ723" s="6" t="n"/>
      <c r="AK723" s="6" t="n"/>
      <c r="AL723" s="6" t="n"/>
      <c r="AM723" s="3">
        <f>IF(tblOrdenes[[#This Row],[link_checklist]]="","",HYPERLINK(p_ruta_base_checklists&amp;tblOrdenes[[#This Row],[link_checklist]],"abrir"))</f>
        <v/>
      </c>
      <c r="AN723" s="6" t="n"/>
      <c r="AO723" s="3">
        <f>IF(tblOrdenes[[#This Row],[orden]]="","",tblOrdenes[[#This Row],[orden]]&amp;IF(tblOrdenes[[#This Row],[operacion]]="","0010",tblOrdenes[[#This Row],[operacion]]))</f>
        <v/>
      </c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11" t="n"/>
      <c r="K724" s="3" t="n"/>
      <c r="L724" s="10" t="n"/>
      <c r="M724" s="6" t="n"/>
      <c r="N7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24" s="3">
        <f>IF(tblOrdenes[[#This Row],[fecha_inicio]]="","",YEAR(tblOrdenes[[#This Row],[fecha_inicio]]))</f>
        <v/>
      </c>
      <c r="R724" s="3">
        <f>IF(tblOrdenes[[#This Row],[fecha_inicio]]="","",MONTH(tblOrdenes[[#This Row],[fecha_inicio]]))</f>
        <v/>
      </c>
      <c r="S724" s="3">
        <f>IF(tblOrdenes[[#This Row],[fecha_inicio]]="","",INDEX(lista_dias,WEEKDAY(tblOrdenes[[#This Row],[fecha_inicio]],2)))</f>
        <v/>
      </c>
      <c r="T724" s="3">
        <f>IF(tblOrdenes[[#This Row],[tipo_ot]]="","",_xlfn.XLOOKUP(tblOrdenes[[#This Row],[tipo_ot]],tblTiposOT[codigo],tblTiposOT[clasificacion],"sin_clasificar"))</f>
        <v/>
      </c>
      <c r="U724" s="3">
        <f>IF(tblOrdenes[[#This Row],[centro_costo]]="","",_xlfn.XLOOKUP(tblOrdenes[[#This Row],[centro_costo]],tblCECO[codigo],tblCECO[linea],"(sin catálogo)"))</f>
        <v/>
      </c>
      <c r="V724" s="3">
        <f>IF(tblOrdenes[[#This Row],[centro_costo]]="","",_xlfn.XLOOKUP(tblOrdenes[[#This Row],[centro_costo]],tblCECO[codigo],tblCECO[area],"(sin catálogo)"))</f>
        <v/>
      </c>
      <c r="W724" s="3">
        <f>IF(tblOrdenes[[#This Row],[centro_costo]]="","",_xlfn.XLOOKUP(tblOrdenes[[#This Row],[centro_costo]],tblCECO[codigo],tblCECO[coordinador],"(sin catálogo)"))</f>
        <v/>
      </c>
      <c r="X724" s="3">
        <f>IF(tblOrdenes[[#This Row],[puesto_trabajo]]="","",_xlfn.XLOOKUP(tblOrdenes[[#This Row],[puesto_trabajo]],tblPuestos[codigo],tblPuestos[especialidad],"(sin catálogo)"))</f>
        <v/>
      </c>
      <c r="Y724" s="3">
        <f>IF(tblOrdenes[[#This Row],[cod_actividad]]="","",_xlfn.XLOOKUP(tblOrdenes[[#This Row],[cod_actividad]],tblActividades[codigo],tblActividades[descripcion],"(sin catálogo)"))</f>
        <v/>
      </c>
      <c r="Z724" s="12">
        <f>IF(tblOrdenes[[#This Row],[fecha_inicio]]="","",TODAY()-tblOrdenes[[#This Row],[fecha_inicio]])</f>
        <v/>
      </c>
      <c r="AA724" s="3">
        <f>IF(tblOrdenes[[#This Row],[backlog_dias]]="","",IF(tblOrdenes[[#This Row],[backlog_dias]]&lt;0,"FUTURO",IF(tblOrdenes[[#This Row],[backlog_dias]]&gt;p_dias_backlog_max,"BACKLOG","MES CORRIENTE")))</f>
        <v/>
      </c>
      <c r="AB724" s="3">
        <f>IF(tblOrdenes[[#This Row],[backlog_dias]]="",FALSE,AND(tblOrdenes[[#This Row],[backlog_dias]]&gt;p_dias_backlog_min,tblOrdenes[[#This Row],[backlog_dias]]&lt;=p_dias_backlog_max))</f>
        <v/>
      </c>
      <c r="AC724" s="6" t="n"/>
      <c r="AD7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24" s="10">
        <f>IF(tblOrdenes[[#This Row],[orden]]="","",_xlfn.XLOOKUP(tblOrdenes[[#This Row],[id_operacion]],tblEjecucion[id_operacion],tblEjecucion[precio],0))</f>
        <v/>
      </c>
      <c r="AH724" s="10">
        <f>IF(tblOrdenes[[#This Row],[orden]]="","",MAX(0,_xlfn.XLOOKUP(tblOrdenes[[#This Row],[id_operacion]],tblEjecucion[id_operacion],tblEjecucion[costo_plan_total],0)-tblOrdenes[[#This Row],[costo_servicio]]))</f>
        <v/>
      </c>
      <c r="AI724" s="10">
        <f>IF(tblOrdenes[[#This Row],[orden]]="","",tblOrdenes[[#This Row],[costo_servicio]]+tblOrdenes[[#This Row],[costo_materiales]])</f>
        <v/>
      </c>
      <c r="AJ724" s="6" t="n"/>
      <c r="AK724" s="6" t="n"/>
      <c r="AL724" s="6" t="n"/>
      <c r="AM724" s="3">
        <f>IF(tblOrdenes[[#This Row],[link_checklist]]="","",HYPERLINK(p_ruta_base_checklists&amp;tblOrdenes[[#This Row],[link_checklist]],"abrir"))</f>
        <v/>
      </c>
      <c r="AN724" s="6" t="n"/>
      <c r="AO724" s="3">
        <f>IF(tblOrdenes[[#This Row],[orden]]="","",tblOrdenes[[#This Row],[orden]]&amp;IF(tblOrdenes[[#This Row],[operacion]]="","0010",tblOrdenes[[#This Row],[operacion]]))</f>
        <v/>
      </c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11" t="n"/>
      <c r="K725" s="3" t="n"/>
      <c r="L725" s="10" t="n"/>
      <c r="M725" s="6" t="n"/>
      <c r="N7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25" s="3">
        <f>IF(tblOrdenes[[#This Row],[fecha_inicio]]="","",YEAR(tblOrdenes[[#This Row],[fecha_inicio]]))</f>
        <v/>
      </c>
      <c r="R725" s="3">
        <f>IF(tblOrdenes[[#This Row],[fecha_inicio]]="","",MONTH(tblOrdenes[[#This Row],[fecha_inicio]]))</f>
        <v/>
      </c>
      <c r="S725" s="3">
        <f>IF(tblOrdenes[[#This Row],[fecha_inicio]]="","",INDEX(lista_dias,WEEKDAY(tblOrdenes[[#This Row],[fecha_inicio]],2)))</f>
        <v/>
      </c>
      <c r="T725" s="3">
        <f>IF(tblOrdenes[[#This Row],[tipo_ot]]="","",_xlfn.XLOOKUP(tblOrdenes[[#This Row],[tipo_ot]],tblTiposOT[codigo],tblTiposOT[clasificacion],"sin_clasificar"))</f>
        <v/>
      </c>
      <c r="U725" s="3">
        <f>IF(tblOrdenes[[#This Row],[centro_costo]]="","",_xlfn.XLOOKUP(tblOrdenes[[#This Row],[centro_costo]],tblCECO[codigo],tblCECO[linea],"(sin catálogo)"))</f>
        <v/>
      </c>
      <c r="V725" s="3">
        <f>IF(tblOrdenes[[#This Row],[centro_costo]]="","",_xlfn.XLOOKUP(tblOrdenes[[#This Row],[centro_costo]],tblCECO[codigo],tblCECO[area],"(sin catálogo)"))</f>
        <v/>
      </c>
      <c r="W725" s="3">
        <f>IF(tblOrdenes[[#This Row],[centro_costo]]="","",_xlfn.XLOOKUP(tblOrdenes[[#This Row],[centro_costo]],tblCECO[codigo],tblCECO[coordinador],"(sin catálogo)"))</f>
        <v/>
      </c>
      <c r="X725" s="3">
        <f>IF(tblOrdenes[[#This Row],[puesto_trabajo]]="","",_xlfn.XLOOKUP(tblOrdenes[[#This Row],[puesto_trabajo]],tblPuestos[codigo],tblPuestos[especialidad],"(sin catálogo)"))</f>
        <v/>
      </c>
      <c r="Y725" s="3">
        <f>IF(tblOrdenes[[#This Row],[cod_actividad]]="","",_xlfn.XLOOKUP(tblOrdenes[[#This Row],[cod_actividad]],tblActividades[codigo],tblActividades[descripcion],"(sin catálogo)"))</f>
        <v/>
      </c>
      <c r="Z725" s="12">
        <f>IF(tblOrdenes[[#This Row],[fecha_inicio]]="","",TODAY()-tblOrdenes[[#This Row],[fecha_inicio]])</f>
        <v/>
      </c>
      <c r="AA725" s="3">
        <f>IF(tblOrdenes[[#This Row],[backlog_dias]]="","",IF(tblOrdenes[[#This Row],[backlog_dias]]&lt;0,"FUTURO",IF(tblOrdenes[[#This Row],[backlog_dias]]&gt;p_dias_backlog_max,"BACKLOG","MES CORRIENTE")))</f>
        <v/>
      </c>
      <c r="AB725" s="3">
        <f>IF(tblOrdenes[[#This Row],[backlog_dias]]="",FALSE,AND(tblOrdenes[[#This Row],[backlog_dias]]&gt;p_dias_backlog_min,tblOrdenes[[#This Row],[backlog_dias]]&lt;=p_dias_backlog_max))</f>
        <v/>
      </c>
      <c r="AC725" s="6" t="n"/>
      <c r="AD7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25" s="10">
        <f>IF(tblOrdenes[[#This Row],[orden]]="","",_xlfn.XLOOKUP(tblOrdenes[[#This Row],[id_operacion]],tblEjecucion[id_operacion],tblEjecucion[precio],0))</f>
        <v/>
      </c>
      <c r="AH725" s="10">
        <f>IF(tblOrdenes[[#This Row],[orden]]="","",MAX(0,_xlfn.XLOOKUP(tblOrdenes[[#This Row],[id_operacion]],tblEjecucion[id_operacion],tblEjecucion[costo_plan_total],0)-tblOrdenes[[#This Row],[costo_servicio]]))</f>
        <v/>
      </c>
      <c r="AI725" s="10">
        <f>IF(tblOrdenes[[#This Row],[orden]]="","",tblOrdenes[[#This Row],[costo_servicio]]+tblOrdenes[[#This Row],[costo_materiales]])</f>
        <v/>
      </c>
      <c r="AJ725" s="6" t="n"/>
      <c r="AK725" s="6" t="n"/>
      <c r="AL725" s="6" t="n"/>
      <c r="AM725" s="3">
        <f>IF(tblOrdenes[[#This Row],[link_checklist]]="","",HYPERLINK(p_ruta_base_checklists&amp;tblOrdenes[[#This Row],[link_checklist]],"abrir"))</f>
        <v/>
      </c>
      <c r="AN725" s="6" t="n"/>
      <c r="AO725" s="3">
        <f>IF(tblOrdenes[[#This Row],[orden]]="","",tblOrdenes[[#This Row],[orden]]&amp;IF(tblOrdenes[[#This Row],[operacion]]="","0010",tblOrdenes[[#This Row],[operacion]]))</f>
        <v/>
      </c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11" t="n"/>
      <c r="K726" s="3" t="n"/>
      <c r="L726" s="10" t="n"/>
      <c r="M726" s="6" t="n"/>
      <c r="N7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26" s="3">
        <f>IF(tblOrdenes[[#This Row],[fecha_inicio]]="","",YEAR(tblOrdenes[[#This Row],[fecha_inicio]]))</f>
        <v/>
      </c>
      <c r="R726" s="3">
        <f>IF(tblOrdenes[[#This Row],[fecha_inicio]]="","",MONTH(tblOrdenes[[#This Row],[fecha_inicio]]))</f>
        <v/>
      </c>
      <c r="S726" s="3">
        <f>IF(tblOrdenes[[#This Row],[fecha_inicio]]="","",INDEX(lista_dias,WEEKDAY(tblOrdenes[[#This Row],[fecha_inicio]],2)))</f>
        <v/>
      </c>
      <c r="T726" s="3">
        <f>IF(tblOrdenes[[#This Row],[tipo_ot]]="","",_xlfn.XLOOKUP(tblOrdenes[[#This Row],[tipo_ot]],tblTiposOT[codigo],tblTiposOT[clasificacion],"sin_clasificar"))</f>
        <v/>
      </c>
      <c r="U726" s="3">
        <f>IF(tblOrdenes[[#This Row],[centro_costo]]="","",_xlfn.XLOOKUP(tblOrdenes[[#This Row],[centro_costo]],tblCECO[codigo],tblCECO[linea],"(sin catálogo)"))</f>
        <v/>
      </c>
      <c r="V726" s="3">
        <f>IF(tblOrdenes[[#This Row],[centro_costo]]="","",_xlfn.XLOOKUP(tblOrdenes[[#This Row],[centro_costo]],tblCECO[codigo],tblCECO[area],"(sin catálogo)"))</f>
        <v/>
      </c>
      <c r="W726" s="3">
        <f>IF(tblOrdenes[[#This Row],[centro_costo]]="","",_xlfn.XLOOKUP(tblOrdenes[[#This Row],[centro_costo]],tblCECO[codigo],tblCECO[coordinador],"(sin catálogo)"))</f>
        <v/>
      </c>
      <c r="X726" s="3">
        <f>IF(tblOrdenes[[#This Row],[puesto_trabajo]]="","",_xlfn.XLOOKUP(tblOrdenes[[#This Row],[puesto_trabajo]],tblPuestos[codigo],tblPuestos[especialidad],"(sin catálogo)"))</f>
        <v/>
      </c>
      <c r="Y726" s="3">
        <f>IF(tblOrdenes[[#This Row],[cod_actividad]]="","",_xlfn.XLOOKUP(tblOrdenes[[#This Row],[cod_actividad]],tblActividades[codigo],tblActividades[descripcion],"(sin catálogo)"))</f>
        <v/>
      </c>
      <c r="Z726" s="12">
        <f>IF(tblOrdenes[[#This Row],[fecha_inicio]]="","",TODAY()-tblOrdenes[[#This Row],[fecha_inicio]])</f>
        <v/>
      </c>
      <c r="AA726" s="3">
        <f>IF(tblOrdenes[[#This Row],[backlog_dias]]="","",IF(tblOrdenes[[#This Row],[backlog_dias]]&lt;0,"FUTURO",IF(tblOrdenes[[#This Row],[backlog_dias]]&gt;p_dias_backlog_max,"BACKLOG","MES CORRIENTE")))</f>
        <v/>
      </c>
      <c r="AB726" s="3">
        <f>IF(tblOrdenes[[#This Row],[backlog_dias]]="",FALSE,AND(tblOrdenes[[#This Row],[backlog_dias]]&gt;p_dias_backlog_min,tblOrdenes[[#This Row],[backlog_dias]]&lt;=p_dias_backlog_max))</f>
        <v/>
      </c>
      <c r="AC726" s="6" t="n"/>
      <c r="AD7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26" s="10">
        <f>IF(tblOrdenes[[#This Row],[orden]]="","",_xlfn.XLOOKUP(tblOrdenes[[#This Row],[id_operacion]],tblEjecucion[id_operacion],tblEjecucion[precio],0))</f>
        <v/>
      </c>
      <c r="AH726" s="10">
        <f>IF(tblOrdenes[[#This Row],[orden]]="","",MAX(0,_xlfn.XLOOKUP(tblOrdenes[[#This Row],[id_operacion]],tblEjecucion[id_operacion],tblEjecucion[costo_plan_total],0)-tblOrdenes[[#This Row],[costo_servicio]]))</f>
        <v/>
      </c>
      <c r="AI726" s="10">
        <f>IF(tblOrdenes[[#This Row],[orden]]="","",tblOrdenes[[#This Row],[costo_servicio]]+tblOrdenes[[#This Row],[costo_materiales]])</f>
        <v/>
      </c>
      <c r="AJ726" s="6" t="n"/>
      <c r="AK726" s="6" t="n"/>
      <c r="AL726" s="6" t="n"/>
      <c r="AM726" s="3">
        <f>IF(tblOrdenes[[#This Row],[link_checklist]]="","",HYPERLINK(p_ruta_base_checklists&amp;tblOrdenes[[#This Row],[link_checklist]],"abrir"))</f>
        <v/>
      </c>
      <c r="AN726" s="6" t="n"/>
      <c r="AO726" s="3">
        <f>IF(tblOrdenes[[#This Row],[orden]]="","",tblOrdenes[[#This Row],[orden]]&amp;IF(tblOrdenes[[#This Row],[operacion]]="","0010",tblOrdenes[[#This Row],[operacion]]))</f>
        <v/>
      </c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11" t="n"/>
      <c r="K727" s="3" t="n"/>
      <c r="L727" s="10" t="n"/>
      <c r="M727" s="6" t="n"/>
      <c r="N7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27" s="3">
        <f>IF(tblOrdenes[[#This Row],[fecha_inicio]]="","",YEAR(tblOrdenes[[#This Row],[fecha_inicio]]))</f>
        <v/>
      </c>
      <c r="R727" s="3">
        <f>IF(tblOrdenes[[#This Row],[fecha_inicio]]="","",MONTH(tblOrdenes[[#This Row],[fecha_inicio]]))</f>
        <v/>
      </c>
      <c r="S727" s="3">
        <f>IF(tblOrdenes[[#This Row],[fecha_inicio]]="","",INDEX(lista_dias,WEEKDAY(tblOrdenes[[#This Row],[fecha_inicio]],2)))</f>
        <v/>
      </c>
      <c r="T727" s="3">
        <f>IF(tblOrdenes[[#This Row],[tipo_ot]]="","",_xlfn.XLOOKUP(tblOrdenes[[#This Row],[tipo_ot]],tblTiposOT[codigo],tblTiposOT[clasificacion],"sin_clasificar"))</f>
        <v/>
      </c>
      <c r="U727" s="3">
        <f>IF(tblOrdenes[[#This Row],[centro_costo]]="","",_xlfn.XLOOKUP(tblOrdenes[[#This Row],[centro_costo]],tblCECO[codigo],tblCECO[linea],"(sin catálogo)"))</f>
        <v/>
      </c>
      <c r="V727" s="3">
        <f>IF(tblOrdenes[[#This Row],[centro_costo]]="","",_xlfn.XLOOKUP(tblOrdenes[[#This Row],[centro_costo]],tblCECO[codigo],tblCECO[area],"(sin catálogo)"))</f>
        <v/>
      </c>
      <c r="W727" s="3">
        <f>IF(tblOrdenes[[#This Row],[centro_costo]]="","",_xlfn.XLOOKUP(tblOrdenes[[#This Row],[centro_costo]],tblCECO[codigo],tblCECO[coordinador],"(sin catálogo)"))</f>
        <v/>
      </c>
      <c r="X727" s="3">
        <f>IF(tblOrdenes[[#This Row],[puesto_trabajo]]="","",_xlfn.XLOOKUP(tblOrdenes[[#This Row],[puesto_trabajo]],tblPuestos[codigo],tblPuestos[especialidad],"(sin catálogo)"))</f>
        <v/>
      </c>
      <c r="Y727" s="3">
        <f>IF(tblOrdenes[[#This Row],[cod_actividad]]="","",_xlfn.XLOOKUP(tblOrdenes[[#This Row],[cod_actividad]],tblActividades[codigo],tblActividades[descripcion],"(sin catálogo)"))</f>
        <v/>
      </c>
      <c r="Z727" s="12">
        <f>IF(tblOrdenes[[#This Row],[fecha_inicio]]="","",TODAY()-tblOrdenes[[#This Row],[fecha_inicio]])</f>
        <v/>
      </c>
      <c r="AA727" s="3">
        <f>IF(tblOrdenes[[#This Row],[backlog_dias]]="","",IF(tblOrdenes[[#This Row],[backlog_dias]]&lt;0,"FUTURO",IF(tblOrdenes[[#This Row],[backlog_dias]]&gt;p_dias_backlog_max,"BACKLOG","MES CORRIENTE")))</f>
        <v/>
      </c>
      <c r="AB727" s="3">
        <f>IF(tblOrdenes[[#This Row],[backlog_dias]]="",FALSE,AND(tblOrdenes[[#This Row],[backlog_dias]]&gt;p_dias_backlog_min,tblOrdenes[[#This Row],[backlog_dias]]&lt;=p_dias_backlog_max))</f>
        <v/>
      </c>
      <c r="AC727" s="6" t="n"/>
      <c r="AD7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27" s="10">
        <f>IF(tblOrdenes[[#This Row],[orden]]="","",_xlfn.XLOOKUP(tblOrdenes[[#This Row],[id_operacion]],tblEjecucion[id_operacion],tblEjecucion[precio],0))</f>
        <v/>
      </c>
      <c r="AH727" s="10">
        <f>IF(tblOrdenes[[#This Row],[orden]]="","",MAX(0,_xlfn.XLOOKUP(tblOrdenes[[#This Row],[id_operacion]],tblEjecucion[id_operacion],tblEjecucion[costo_plan_total],0)-tblOrdenes[[#This Row],[costo_servicio]]))</f>
        <v/>
      </c>
      <c r="AI727" s="10">
        <f>IF(tblOrdenes[[#This Row],[orden]]="","",tblOrdenes[[#This Row],[costo_servicio]]+tblOrdenes[[#This Row],[costo_materiales]])</f>
        <v/>
      </c>
      <c r="AJ727" s="6" t="n"/>
      <c r="AK727" s="6" t="n"/>
      <c r="AL727" s="6" t="n"/>
      <c r="AM727" s="3">
        <f>IF(tblOrdenes[[#This Row],[link_checklist]]="","",HYPERLINK(p_ruta_base_checklists&amp;tblOrdenes[[#This Row],[link_checklist]],"abrir"))</f>
        <v/>
      </c>
      <c r="AN727" s="6" t="n"/>
      <c r="AO727" s="3">
        <f>IF(tblOrdenes[[#This Row],[orden]]="","",tblOrdenes[[#This Row],[orden]]&amp;IF(tblOrdenes[[#This Row],[operacion]]="","0010",tblOrdenes[[#This Row],[operacion]]))</f>
        <v/>
      </c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11" t="n"/>
      <c r="K728" s="3" t="n"/>
      <c r="L728" s="10" t="n"/>
      <c r="M728" s="6" t="n"/>
      <c r="N7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28" s="3">
        <f>IF(tblOrdenes[[#This Row],[fecha_inicio]]="","",YEAR(tblOrdenes[[#This Row],[fecha_inicio]]))</f>
        <v/>
      </c>
      <c r="R728" s="3">
        <f>IF(tblOrdenes[[#This Row],[fecha_inicio]]="","",MONTH(tblOrdenes[[#This Row],[fecha_inicio]]))</f>
        <v/>
      </c>
      <c r="S728" s="3">
        <f>IF(tblOrdenes[[#This Row],[fecha_inicio]]="","",INDEX(lista_dias,WEEKDAY(tblOrdenes[[#This Row],[fecha_inicio]],2)))</f>
        <v/>
      </c>
      <c r="T728" s="3">
        <f>IF(tblOrdenes[[#This Row],[tipo_ot]]="","",_xlfn.XLOOKUP(tblOrdenes[[#This Row],[tipo_ot]],tblTiposOT[codigo],tblTiposOT[clasificacion],"sin_clasificar"))</f>
        <v/>
      </c>
      <c r="U728" s="3">
        <f>IF(tblOrdenes[[#This Row],[centro_costo]]="","",_xlfn.XLOOKUP(tblOrdenes[[#This Row],[centro_costo]],tblCECO[codigo],tblCECO[linea],"(sin catálogo)"))</f>
        <v/>
      </c>
      <c r="V728" s="3">
        <f>IF(tblOrdenes[[#This Row],[centro_costo]]="","",_xlfn.XLOOKUP(tblOrdenes[[#This Row],[centro_costo]],tblCECO[codigo],tblCECO[area],"(sin catálogo)"))</f>
        <v/>
      </c>
      <c r="W728" s="3">
        <f>IF(tblOrdenes[[#This Row],[centro_costo]]="","",_xlfn.XLOOKUP(tblOrdenes[[#This Row],[centro_costo]],tblCECO[codigo],tblCECO[coordinador],"(sin catálogo)"))</f>
        <v/>
      </c>
      <c r="X728" s="3">
        <f>IF(tblOrdenes[[#This Row],[puesto_trabajo]]="","",_xlfn.XLOOKUP(tblOrdenes[[#This Row],[puesto_trabajo]],tblPuestos[codigo],tblPuestos[especialidad],"(sin catálogo)"))</f>
        <v/>
      </c>
      <c r="Y728" s="3">
        <f>IF(tblOrdenes[[#This Row],[cod_actividad]]="","",_xlfn.XLOOKUP(tblOrdenes[[#This Row],[cod_actividad]],tblActividades[codigo],tblActividades[descripcion],"(sin catálogo)"))</f>
        <v/>
      </c>
      <c r="Z728" s="12">
        <f>IF(tblOrdenes[[#This Row],[fecha_inicio]]="","",TODAY()-tblOrdenes[[#This Row],[fecha_inicio]])</f>
        <v/>
      </c>
      <c r="AA728" s="3">
        <f>IF(tblOrdenes[[#This Row],[backlog_dias]]="","",IF(tblOrdenes[[#This Row],[backlog_dias]]&lt;0,"FUTURO",IF(tblOrdenes[[#This Row],[backlog_dias]]&gt;p_dias_backlog_max,"BACKLOG","MES CORRIENTE")))</f>
        <v/>
      </c>
      <c r="AB728" s="3">
        <f>IF(tblOrdenes[[#This Row],[backlog_dias]]="",FALSE,AND(tblOrdenes[[#This Row],[backlog_dias]]&gt;p_dias_backlog_min,tblOrdenes[[#This Row],[backlog_dias]]&lt;=p_dias_backlog_max))</f>
        <v/>
      </c>
      <c r="AC728" s="6" t="n"/>
      <c r="AD7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28" s="10">
        <f>IF(tblOrdenes[[#This Row],[orden]]="","",_xlfn.XLOOKUP(tblOrdenes[[#This Row],[id_operacion]],tblEjecucion[id_operacion],tblEjecucion[precio],0))</f>
        <v/>
      </c>
      <c r="AH728" s="10">
        <f>IF(tblOrdenes[[#This Row],[orden]]="","",MAX(0,_xlfn.XLOOKUP(tblOrdenes[[#This Row],[id_operacion]],tblEjecucion[id_operacion],tblEjecucion[costo_plan_total],0)-tblOrdenes[[#This Row],[costo_servicio]]))</f>
        <v/>
      </c>
      <c r="AI728" s="10">
        <f>IF(tblOrdenes[[#This Row],[orden]]="","",tblOrdenes[[#This Row],[costo_servicio]]+tblOrdenes[[#This Row],[costo_materiales]])</f>
        <v/>
      </c>
      <c r="AJ728" s="6" t="n"/>
      <c r="AK728" s="6" t="n"/>
      <c r="AL728" s="6" t="n"/>
      <c r="AM728" s="3">
        <f>IF(tblOrdenes[[#This Row],[link_checklist]]="","",HYPERLINK(p_ruta_base_checklists&amp;tblOrdenes[[#This Row],[link_checklist]],"abrir"))</f>
        <v/>
      </c>
      <c r="AN728" s="6" t="n"/>
      <c r="AO728" s="3">
        <f>IF(tblOrdenes[[#This Row],[orden]]="","",tblOrdenes[[#This Row],[orden]]&amp;IF(tblOrdenes[[#This Row],[operacion]]="","0010",tblOrdenes[[#This Row],[operacion]]))</f>
        <v/>
      </c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11" t="n"/>
      <c r="K729" s="3" t="n"/>
      <c r="L729" s="10" t="n"/>
      <c r="M729" s="6" t="n"/>
      <c r="N7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29" s="3">
        <f>IF(tblOrdenes[[#This Row],[fecha_inicio]]="","",YEAR(tblOrdenes[[#This Row],[fecha_inicio]]))</f>
        <v/>
      </c>
      <c r="R729" s="3">
        <f>IF(tblOrdenes[[#This Row],[fecha_inicio]]="","",MONTH(tblOrdenes[[#This Row],[fecha_inicio]]))</f>
        <v/>
      </c>
      <c r="S729" s="3">
        <f>IF(tblOrdenes[[#This Row],[fecha_inicio]]="","",INDEX(lista_dias,WEEKDAY(tblOrdenes[[#This Row],[fecha_inicio]],2)))</f>
        <v/>
      </c>
      <c r="T729" s="3">
        <f>IF(tblOrdenes[[#This Row],[tipo_ot]]="","",_xlfn.XLOOKUP(tblOrdenes[[#This Row],[tipo_ot]],tblTiposOT[codigo],tblTiposOT[clasificacion],"sin_clasificar"))</f>
        <v/>
      </c>
      <c r="U729" s="3">
        <f>IF(tblOrdenes[[#This Row],[centro_costo]]="","",_xlfn.XLOOKUP(tblOrdenes[[#This Row],[centro_costo]],tblCECO[codigo],tblCECO[linea],"(sin catálogo)"))</f>
        <v/>
      </c>
      <c r="V729" s="3">
        <f>IF(tblOrdenes[[#This Row],[centro_costo]]="","",_xlfn.XLOOKUP(tblOrdenes[[#This Row],[centro_costo]],tblCECO[codigo],tblCECO[area],"(sin catálogo)"))</f>
        <v/>
      </c>
      <c r="W729" s="3">
        <f>IF(tblOrdenes[[#This Row],[centro_costo]]="","",_xlfn.XLOOKUP(tblOrdenes[[#This Row],[centro_costo]],tblCECO[codigo],tblCECO[coordinador],"(sin catálogo)"))</f>
        <v/>
      </c>
      <c r="X729" s="3">
        <f>IF(tblOrdenes[[#This Row],[puesto_trabajo]]="","",_xlfn.XLOOKUP(tblOrdenes[[#This Row],[puesto_trabajo]],tblPuestos[codigo],tblPuestos[especialidad],"(sin catálogo)"))</f>
        <v/>
      </c>
      <c r="Y729" s="3">
        <f>IF(tblOrdenes[[#This Row],[cod_actividad]]="","",_xlfn.XLOOKUP(tblOrdenes[[#This Row],[cod_actividad]],tblActividades[codigo],tblActividades[descripcion],"(sin catálogo)"))</f>
        <v/>
      </c>
      <c r="Z729" s="12">
        <f>IF(tblOrdenes[[#This Row],[fecha_inicio]]="","",TODAY()-tblOrdenes[[#This Row],[fecha_inicio]])</f>
        <v/>
      </c>
      <c r="AA729" s="3">
        <f>IF(tblOrdenes[[#This Row],[backlog_dias]]="","",IF(tblOrdenes[[#This Row],[backlog_dias]]&lt;0,"FUTURO",IF(tblOrdenes[[#This Row],[backlog_dias]]&gt;p_dias_backlog_max,"BACKLOG","MES CORRIENTE")))</f>
        <v/>
      </c>
      <c r="AB729" s="3">
        <f>IF(tblOrdenes[[#This Row],[backlog_dias]]="",FALSE,AND(tblOrdenes[[#This Row],[backlog_dias]]&gt;p_dias_backlog_min,tblOrdenes[[#This Row],[backlog_dias]]&lt;=p_dias_backlog_max))</f>
        <v/>
      </c>
      <c r="AC729" s="6" t="n"/>
      <c r="AD7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29" s="10">
        <f>IF(tblOrdenes[[#This Row],[orden]]="","",_xlfn.XLOOKUP(tblOrdenes[[#This Row],[id_operacion]],tblEjecucion[id_operacion],tblEjecucion[precio],0))</f>
        <v/>
      </c>
      <c r="AH729" s="10">
        <f>IF(tblOrdenes[[#This Row],[orden]]="","",MAX(0,_xlfn.XLOOKUP(tblOrdenes[[#This Row],[id_operacion]],tblEjecucion[id_operacion],tblEjecucion[costo_plan_total],0)-tblOrdenes[[#This Row],[costo_servicio]]))</f>
        <v/>
      </c>
      <c r="AI729" s="10">
        <f>IF(tblOrdenes[[#This Row],[orden]]="","",tblOrdenes[[#This Row],[costo_servicio]]+tblOrdenes[[#This Row],[costo_materiales]])</f>
        <v/>
      </c>
      <c r="AJ729" s="6" t="n"/>
      <c r="AK729" s="6" t="n"/>
      <c r="AL729" s="6" t="n"/>
      <c r="AM729" s="3">
        <f>IF(tblOrdenes[[#This Row],[link_checklist]]="","",HYPERLINK(p_ruta_base_checklists&amp;tblOrdenes[[#This Row],[link_checklist]],"abrir"))</f>
        <v/>
      </c>
      <c r="AN729" s="6" t="n"/>
      <c r="AO729" s="3">
        <f>IF(tblOrdenes[[#This Row],[orden]]="","",tblOrdenes[[#This Row],[orden]]&amp;IF(tblOrdenes[[#This Row],[operacion]]="","0010",tblOrdenes[[#This Row],[operacion]]))</f>
        <v/>
      </c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11" t="n"/>
      <c r="K730" s="3" t="n"/>
      <c r="L730" s="10" t="n"/>
      <c r="M730" s="6" t="n"/>
      <c r="N7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30" s="3">
        <f>IF(tblOrdenes[[#This Row],[fecha_inicio]]="","",YEAR(tblOrdenes[[#This Row],[fecha_inicio]]))</f>
        <v/>
      </c>
      <c r="R730" s="3">
        <f>IF(tblOrdenes[[#This Row],[fecha_inicio]]="","",MONTH(tblOrdenes[[#This Row],[fecha_inicio]]))</f>
        <v/>
      </c>
      <c r="S730" s="3">
        <f>IF(tblOrdenes[[#This Row],[fecha_inicio]]="","",INDEX(lista_dias,WEEKDAY(tblOrdenes[[#This Row],[fecha_inicio]],2)))</f>
        <v/>
      </c>
      <c r="T730" s="3">
        <f>IF(tblOrdenes[[#This Row],[tipo_ot]]="","",_xlfn.XLOOKUP(tblOrdenes[[#This Row],[tipo_ot]],tblTiposOT[codigo],tblTiposOT[clasificacion],"sin_clasificar"))</f>
        <v/>
      </c>
      <c r="U730" s="3">
        <f>IF(tblOrdenes[[#This Row],[centro_costo]]="","",_xlfn.XLOOKUP(tblOrdenes[[#This Row],[centro_costo]],tblCECO[codigo],tblCECO[linea],"(sin catálogo)"))</f>
        <v/>
      </c>
      <c r="V730" s="3">
        <f>IF(tblOrdenes[[#This Row],[centro_costo]]="","",_xlfn.XLOOKUP(tblOrdenes[[#This Row],[centro_costo]],tblCECO[codigo],tblCECO[area],"(sin catálogo)"))</f>
        <v/>
      </c>
      <c r="W730" s="3">
        <f>IF(tblOrdenes[[#This Row],[centro_costo]]="","",_xlfn.XLOOKUP(tblOrdenes[[#This Row],[centro_costo]],tblCECO[codigo],tblCECO[coordinador],"(sin catálogo)"))</f>
        <v/>
      </c>
      <c r="X730" s="3">
        <f>IF(tblOrdenes[[#This Row],[puesto_trabajo]]="","",_xlfn.XLOOKUP(tblOrdenes[[#This Row],[puesto_trabajo]],tblPuestos[codigo],tblPuestos[especialidad],"(sin catálogo)"))</f>
        <v/>
      </c>
      <c r="Y730" s="3">
        <f>IF(tblOrdenes[[#This Row],[cod_actividad]]="","",_xlfn.XLOOKUP(tblOrdenes[[#This Row],[cod_actividad]],tblActividades[codigo],tblActividades[descripcion],"(sin catálogo)"))</f>
        <v/>
      </c>
      <c r="Z730" s="12">
        <f>IF(tblOrdenes[[#This Row],[fecha_inicio]]="","",TODAY()-tblOrdenes[[#This Row],[fecha_inicio]])</f>
        <v/>
      </c>
      <c r="AA730" s="3">
        <f>IF(tblOrdenes[[#This Row],[backlog_dias]]="","",IF(tblOrdenes[[#This Row],[backlog_dias]]&lt;0,"FUTURO",IF(tblOrdenes[[#This Row],[backlog_dias]]&gt;p_dias_backlog_max,"BACKLOG","MES CORRIENTE")))</f>
        <v/>
      </c>
      <c r="AB730" s="3">
        <f>IF(tblOrdenes[[#This Row],[backlog_dias]]="",FALSE,AND(tblOrdenes[[#This Row],[backlog_dias]]&gt;p_dias_backlog_min,tblOrdenes[[#This Row],[backlog_dias]]&lt;=p_dias_backlog_max))</f>
        <v/>
      </c>
      <c r="AC730" s="6" t="n"/>
      <c r="AD7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30" s="10">
        <f>IF(tblOrdenes[[#This Row],[orden]]="","",_xlfn.XLOOKUP(tblOrdenes[[#This Row],[id_operacion]],tblEjecucion[id_operacion],tblEjecucion[precio],0))</f>
        <v/>
      </c>
      <c r="AH730" s="10">
        <f>IF(tblOrdenes[[#This Row],[orden]]="","",MAX(0,_xlfn.XLOOKUP(tblOrdenes[[#This Row],[id_operacion]],tblEjecucion[id_operacion],tblEjecucion[costo_plan_total],0)-tblOrdenes[[#This Row],[costo_servicio]]))</f>
        <v/>
      </c>
      <c r="AI730" s="10">
        <f>IF(tblOrdenes[[#This Row],[orden]]="","",tblOrdenes[[#This Row],[costo_servicio]]+tblOrdenes[[#This Row],[costo_materiales]])</f>
        <v/>
      </c>
      <c r="AJ730" s="6" t="n"/>
      <c r="AK730" s="6" t="n"/>
      <c r="AL730" s="6" t="n"/>
      <c r="AM730" s="3">
        <f>IF(tblOrdenes[[#This Row],[link_checklist]]="","",HYPERLINK(p_ruta_base_checklists&amp;tblOrdenes[[#This Row],[link_checklist]],"abrir"))</f>
        <v/>
      </c>
      <c r="AN730" s="6" t="n"/>
      <c r="AO730" s="3">
        <f>IF(tblOrdenes[[#This Row],[orden]]="","",tblOrdenes[[#This Row],[orden]]&amp;IF(tblOrdenes[[#This Row],[operacion]]="","0010",tblOrdenes[[#This Row],[operacion]]))</f>
        <v/>
      </c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11" t="n"/>
      <c r="K731" s="3" t="n"/>
      <c r="L731" s="10" t="n"/>
      <c r="M731" s="6" t="n"/>
      <c r="N7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31" s="3">
        <f>IF(tblOrdenes[[#This Row],[fecha_inicio]]="","",YEAR(tblOrdenes[[#This Row],[fecha_inicio]]))</f>
        <v/>
      </c>
      <c r="R731" s="3">
        <f>IF(tblOrdenes[[#This Row],[fecha_inicio]]="","",MONTH(tblOrdenes[[#This Row],[fecha_inicio]]))</f>
        <v/>
      </c>
      <c r="S731" s="3">
        <f>IF(tblOrdenes[[#This Row],[fecha_inicio]]="","",INDEX(lista_dias,WEEKDAY(tblOrdenes[[#This Row],[fecha_inicio]],2)))</f>
        <v/>
      </c>
      <c r="T731" s="3">
        <f>IF(tblOrdenes[[#This Row],[tipo_ot]]="","",_xlfn.XLOOKUP(tblOrdenes[[#This Row],[tipo_ot]],tblTiposOT[codigo],tblTiposOT[clasificacion],"sin_clasificar"))</f>
        <v/>
      </c>
      <c r="U731" s="3">
        <f>IF(tblOrdenes[[#This Row],[centro_costo]]="","",_xlfn.XLOOKUP(tblOrdenes[[#This Row],[centro_costo]],tblCECO[codigo],tblCECO[linea],"(sin catálogo)"))</f>
        <v/>
      </c>
      <c r="V731" s="3">
        <f>IF(tblOrdenes[[#This Row],[centro_costo]]="","",_xlfn.XLOOKUP(tblOrdenes[[#This Row],[centro_costo]],tblCECO[codigo],tblCECO[area],"(sin catálogo)"))</f>
        <v/>
      </c>
      <c r="W731" s="3">
        <f>IF(tblOrdenes[[#This Row],[centro_costo]]="","",_xlfn.XLOOKUP(tblOrdenes[[#This Row],[centro_costo]],tblCECO[codigo],tblCECO[coordinador],"(sin catálogo)"))</f>
        <v/>
      </c>
      <c r="X731" s="3">
        <f>IF(tblOrdenes[[#This Row],[puesto_trabajo]]="","",_xlfn.XLOOKUP(tblOrdenes[[#This Row],[puesto_trabajo]],tblPuestos[codigo],tblPuestos[especialidad],"(sin catálogo)"))</f>
        <v/>
      </c>
      <c r="Y731" s="3">
        <f>IF(tblOrdenes[[#This Row],[cod_actividad]]="","",_xlfn.XLOOKUP(tblOrdenes[[#This Row],[cod_actividad]],tblActividades[codigo],tblActividades[descripcion],"(sin catálogo)"))</f>
        <v/>
      </c>
      <c r="Z731" s="12">
        <f>IF(tblOrdenes[[#This Row],[fecha_inicio]]="","",TODAY()-tblOrdenes[[#This Row],[fecha_inicio]])</f>
        <v/>
      </c>
      <c r="AA731" s="3">
        <f>IF(tblOrdenes[[#This Row],[backlog_dias]]="","",IF(tblOrdenes[[#This Row],[backlog_dias]]&lt;0,"FUTURO",IF(tblOrdenes[[#This Row],[backlog_dias]]&gt;p_dias_backlog_max,"BACKLOG","MES CORRIENTE")))</f>
        <v/>
      </c>
      <c r="AB731" s="3">
        <f>IF(tblOrdenes[[#This Row],[backlog_dias]]="",FALSE,AND(tblOrdenes[[#This Row],[backlog_dias]]&gt;p_dias_backlog_min,tblOrdenes[[#This Row],[backlog_dias]]&lt;=p_dias_backlog_max))</f>
        <v/>
      </c>
      <c r="AC731" s="6" t="n"/>
      <c r="AD7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31" s="10">
        <f>IF(tblOrdenes[[#This Row],[orden]]="","",_xlfn.XLOOKUP(tblOrdenes[[#This Row],[id_operacion]],tblEjecucion[id_operacion],tblEjecucion[precio],0))</f>
        <v/>
      </c>
      <c r="AH731" s="10">
        <f>IF(tblOrdenes[[#This Row],[orden]]="","",MAX(0,_xlfn.XLOOKUP(tblOrdenes[[#This Row],[id_operacion]],tblEjecucion[id_operacion],tblEjecucion[costo_plan_total],0)-tblOrdenes[[#This Row],[costo_servicio]]))</f>
        <v/>
      </c>
      <c r="AI731" s="10">
        <f>IF(tblOrdenes[[#This Row],[orden]]="","",tblOrdenes[[#This Row],[costo_servicio]]+tblOrdenes[[#This Row],[costo_materiales]])</f>
        <v/>
      </c>
      <c r="AJ731" s="6" t="n"/>
      <c r="AK731" s="6" t="n"/>
      <c r="AL731" s="6" t="n"/>
      <c r="AM731" s="3">
        <f>IF(tblOrdenes[[#This Row],[link_checklist]]="","",HYPERLINK(p_ruta_base_checklists&amp;tblOrdenes[[#This Row],[link_checklist]],"abrir"))</f>
        <v/>
      </c>
      <c r="AN731" s="6" t="n"/>
      <c r="AO731" s="3">
        <f>IF(tblOrdenes[[#This Row],[orden]]="","",tblOrdenes[[#This Row],[orden]]&amp;IF(tblOrdenes[[#This Row],[operacion]]="","0010",tblOrdenes[[#This Row],[operacion]]))</f>
        <v/>
      </c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11" t="n"/>
      <c r="K732" s="3" t="n"/>
      <c r="L732" s="10" t="n"/>
      <c r="M732" s="6" t="n"/>
      <c r="N7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32" s="3">
        <f>IF(tblOrdenes[[#This Row],[fecha_inicio]]="","",YEAR(tblOrdenes[[#This Row],[fecha_inicio]]))</f>
        <v/>
      </c>
      <c r="R732" s="3">
        <f>IF(tblOrdenes[[#This Row],[fecha_inicio]]="","",MONTH(tblOrdenes[[#This Row],[fecha_inicio]]))</f>
        <v/>
      </c>
      <c r="S732" s="3">
        <f>IF(tblOrdenes[[#This Row],[fecha_inicio]]="","",INDEX(lista_dias,WEEKDAY(tblOrdenes[[#This Row],[fecha_inicio]],2)))</f>
        <v/>
      </c>
      <c r="T732" s="3">
        <f>IF(tblOrdenes[[#This Row],[tipo_ot]]="","",_xlfn.XLOOKUP(tblOrdenes[[#This Row],[tipo_ot]],tblTiposOT[codigo],tblTiposOT[clasificacion],"sin_clasificar"))</f>
        <v/>
      </c>
      <c r="U732" s="3">
        <f>IF(tblOrdenes[[#This Row],[centro_costo]]="","",_xlfn.XLOOKUP(tblOrdenes[[#This Row],[centro_costo]],tblCECO[codigo],tblCECO[linea],"(sin catálogo)"))</f>
        <v/>
      </c>
      <c r="V732" s="3">
        <f>IF(tblOrdenes[[#This Row],[centro_costo]]="","",_xlfn.XLOOKUP(tblOrdenes[[#This Row],[centro_costo]],tblCECO[codigo],tblCECO[area],"(sin catálogo)"))</f>
        <v/>
      </c>
      <c r="W732" s="3">
        <f>IF(tblOrdenes[[#This Row],[centro_costo]]="","",_xlfn.XLOOKUP(tblOrdenes[[#This Row],[centro_costo]],tblCECO[codigo],tblCECO[coordinador],"(sin catálogo)"))</f>
        <v/>
      </c>
      <c r="X732" s="3">
        <f>IF(tblOrdenes[[#This Row],[puesto_trabajo]]="","",_xlfn.XLOOKUP(tblOrdenes[[#This Row],[puesto_trabajo]],tblPuestos[codigo],tblPuestos[especialidad],"(sin catálogo)"))</f>
        <v/>
      </c>
      <c r="Y732" s="3">
        <f>IF(tblOrdenes[[#This Row],[cod_actividad]]="","",_xlfn.XLOOKUP(tblOrdenes[[#This Row],[cod_actividad]],tblActividades[codigo],tblActividades[descripcion],"(sin catálogo)"))</f>
        <v/>
      </c>
      <c r="Z732" s="12">
        <f>IF(tblOrdenes[[#This Row],[fecha_inicio]]="","",TODAY()-tblOrdenes[[#This Row],[fecha_inicio]])</f>
        <v/>
      </c>
      <c r="AA732" s="3">
        <f>IF(tblOrdenes[[#This Row],[backlog_dias]]="","",IF(tblOrdenes[[#This Row],[backlog_dias]]&lt;0,"FUTURO",IF(tblOrdenes[[#This Row],[backlog_dias]]&gt;p_dias_backlog_max,"BACKLOG","MES CORRIENTE")))</f>
        <v/>
      </c>
      <c r="AB732" s="3">
        <f>IF(tblOrdenes[[#This Row],[backlog_dias]]="",FALSE,AND(tblOrdenes[[#This Row],[backlog_dias]]&gt;p_dias_backlog_min,tblOrdenes[[#This Row],[backlog_dias]]&lt;=p_dias_backlog_max))</f>
        <v/>
      </c>
      <c r="AC732" s="6" t="n"/>
      <c r="AD7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32" s="10">
        <f>IF(tblOrdenes[[#This Row],[orden]]="","",_xlfn.XLOOKUP(tblOrdenes[[#This Row],[id_operacion]],tblEjecucion[id_operacion],tblEjecucion[precio],0))</f>
        <v/>
      </c>
      <c r="AH732" s="10">
        <f>IF(tblOrdenes[[#This Row],[orden]]="","",MAX(0,_xlfn.XLOOKUP(tblOrdenes[[#This Row],[id_operacion]],tblEjecucion[id_operacion],tblEjecucion[costo_plan_total],0)-tblOrdenes[[#This Row],[costo_servicio]]))</f>
        <v/>
      </c>
      <c r="AI732" s="10">
        <f>IF(tblOrdenes[[#This Row],[orden]]="","",tblOrdenes[[#This Row],[costo_servicio]]+tblOrdenes[[#This Row],[costo_materiales]])</f>
        <v/>
      </c>
      <c r="AJ732" s="6" t="n"/>
      <c r="AK732" s="6" t="n"/>
      <c r="AL732" s="6" t="n"/>
      <c r="AM732" s="3">
        <f>IF(tblOrdenes[[#This Row],[link_checklist]]="","",HYPERLINK(p_ruta_base_checklists&amp;tblOrdenes[[#This Row],[link_checklist]],"abrir"))</f>
        <v/>
      </c>
      <c r="AN732" s="6" t="n"/>
      <c r="AO732" s="3">
        <f>IF(tblOrdenes[[#This Row],[orden]]="","",tblOrdenes[[#This Row],[orden]]&amp;IF(tblOrdenes[[#This Row],[operacion]]="","0010",tblOrdenes[[#This Row],[operacion]]))</f>
        <v/>
      </c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11" t="n"/>
      <c r="K733" s="3" t="n"/>
      <c r="L733" s="10" t="n"/>
      <c r="M733" s="6" t="n"/>
      <c r="N7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33" s="3">
        <f>IF(tblOrdenes[[#This Row],[fecha_inicio]]="","",YEAR(tblOrdenes[[#This Row],[fecha_inicio]]))</f>
        <v/>
      </c>
      <c r="R733" s="3">
        <f>IF(tblOrdenes[[#This Row],[fecha_inicio]]="","",MONTH(tblOrdenes[[#This Row],[fecha_inicio]]))</f>
        <v/>
      </c>
      <c r="S733" s="3">
        <f>IF(tblOrdenes[[#This Row],[fecha_inicio]]="","",INDEX(lista_dias,WEEKDAY(tblOrdenes[[#This Row],[fecha_inicio]],2)))</f>
        <v/>
      </c>
      <c r="T733" s="3">
        <f>IF(tblOrdenes[[#This Row],[tipo_ot]]="","",_xlfn.XLOOKUP(tblOrdenes[[#This Row],[tipo_ot]],tblTiposOT[codigo],tblTiposOT[clasificacion],"sin_clasificar"))</f>
        <v/>
      </c>
      <c r="U733" s="3">
        <f>IF(tblOrdenes[[#This Row],[centro_costo]]="","",_xlfn.XLOOKUP(tblOrdenes[[#This Row],[centro_costo]],tblCECO[codigo],tblCECO[linea],"(sin catálogo)"))</f>
        <v/>
      </c>
      <c r="V733" s="3">
        <f>IF(tblOrdenes[[#This Row],[centro_costo]]="","",_xlfn.XLOOKUP(tblOrdenes[[#This Row],[centro_costo]],tblCECO[codigo],tblCECO[area],"(sin catálogo)"))</f>
        <v/>
      </c>
      <c r="W733" s="3">
        <f>IF(tblOrdenes[[#This Row],[centro_costo]]="","",_xlfn.XLOOKUP(tblOrdenes[[#This Row],[centro_costo]],tblCECO[codigo],tblCECO[coordinador],"(sin catálogo)"))</f>
        <v/>
      </c>
      <c r="X733" s="3">
        <f>IF(tblOrdenes[[#This Row],[puesto_trabajo]]="","",_xlfn.XLOOKUP(tblOrdenes[[#This Row],[puesto_trabajo]],tblPuestos[codigo],tblPuestos[especialidad],"(sin catálogo)"))</f>
        <v/>
      </c>
      <c r="Y733" s="3">
        <f>IF(tblOrdenes[[#This Row],[cod_actividad]]="","",_xlfn.XLOOKUP(tblOrdenes[[#This Row],[cod_actividad]],tblActividades[codigo],tblActividades[descripcion],"(sin catálogo)"))</f>
        <v/>
      </c>
      <c r="Z733" s="12">
        <f>IF(tblOrdenes[[#This Row],[fecha_inicio]]="","",TODAY()-tblOrdenes[[#This Row],[fecha_inicio]])</f>
        <v/>
      </c>
      <c r="AA733" s="3">
        <f>IF(tblOrdenes[[#This Row],[backlog_dias]]="","",IF(tblOrdenes[[#This Row],[backlog_dias]]&lt;0,"FUTURO",IF(tblOrdenes[[#This Row],[backlog_dias]]&gt;p_dias_backlog_max,"BACKLOG","MES CORRIENTE")))</f>
        <v/>
      </c>
      <c r="AB733" s="3">
        <f>IF(tblOrdenes[[#This Row],[backlog_dias]]="",FALSE,AND(tblOrdenes[[#This Row],[backlog_dias]]&gt;p_dias_backlog_min,tblOrdenes[[#This Row],[backlog_dias]]&lt;=p_dias_backlog_max))</f>
        <v/>
      </c>
      <c r="AC733" s="6" t="n"/>
      <c r="AD7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33" s="10">
        <f>IF(tblOrdenes[[#This Row],[orden]]="","",_xlfn.XLOOKUP(tblOrdenes[[#This Row],[id_operacion]],tblEjecucion[id_operacion],tblEjecucion[precio],0))</f>
        <v/>
      </c>
      <c r="AH733" s="10">
        <f>IF(tblOrdenes[[#This Row],[orden]]="","",MAX(0,_xlfn.XLOOKUP(tblOrdenes[[#This Row],[id_operacion]],tblEjecucion[id_operacion],tblEjecucion[costo_plan_total],0)-tblOrdenes[[#This Row],[costo_servicio]]))</f>
        <v/>
      </c>
      <c r="AI733" s="10">
        <f>IF(tblOrdenes[[#This Row],[orden]]="","",tblOrdenes[[#This Row],[costo_servicio]]+tblOrdenes[[#This Row],[costo_materiales]])</f>
        <v/>
      </c>
      <c r="AJ733" s="6" t="n"/>
      <c r="AK733" s="6" t="n"/>
      <c r="AL733" s="6" t="n"/>
      <c r="AM733" s="3">
        <f>IF(tblOrdenes[[#This Row],[link_checklist]]="","",HYPERLINK(p_ruta_base_checklists&amp;tblOrdenes[[#This Row],[link_checklist]],"abrir"))</f>
        <v/>
      </c>
      <c r="AN733" s="6" t="n"/>
      <c r="AO733" s="3">
        <f>IF(tblOrdenes[[#This Row],[orden]]="","",tblOrdenes[[#This Row],[orden]]&amp;IF(tblOrdenes[[#This Row],[operacion]]="","0010",tblOrdenes[[#This Row],[operacion]]))</f>
        <v/>
      </c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11" t="n"/>
      <c r="K734" s="3" t="n"/>
      <c r="L734" s="10" t="n"/>
      <c r="M734" s="6" t="n"/>
      <c r="N7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34" s="3">
        <f>IF(tblOrdenes[[#This Row],[fecha_inicio]]="","",YEAR(tblOrdenes[[#This Row],[fecha_inicio]]))</f>
        <v/>
      </c>
      <c r="R734" s="3">
        <f>IF(tblOrdenes[[#This Row],[fecha_inicio]]="","",MONTH(tblOrdenes[[#This Row],[fecha_inicio]]))</f>
        <v/>
      </c>
      <c r="S734" s="3">
        <f>IF(tblOrdenes[[#This Row],[fecha_inicio]]="","",INDEX(lista_dias,WEEKDAY(tblOrdenes[[#This Row],[fecha_inicio]],2)))</f>
        <v/>
      </c>
      <c r="T734" s="3">
        <f>IF(tblOrdenes[[#This Row],[tipo_ot]]="","",_xlfn.XLOOKUP(tblOrdenes[[#This Row],[tipo_ot]],tblTiposOT[codigo],tblTiposOT[clasificacion],"sin_clasificar"))</f>
        <v/>
      </c>
      <c r="U734" s="3">
        <f>IF(tblOrdenes[[#This Row],[centro_costo]]="","",_xlfn.XLOOKUP(tblOrdenes[[#This Row],[centro_costo]],tblCECO[codigo],tblCECO[linea],"(sin catálogo)"))</f>
        <v/>
      </c>
      <c r="V734" s="3">
        <f>IF(tblOrdenes[[#This Row],[centro_costo]]="","",_xlfn.XLOOKUP(tblOrdenes[[#This Row],[centro_costo]],tblCECO[codigo],tblCECO[area],"(sin catálogo)"))</f>
        <v/>
      </c>
      <c r="W734" s="3">
        <f>IF(tblOrdenes[[#This Row],[centro_costo]]="","",_xlfn.XLOOKUP(tblOrdenes[[#This Row],[centro_costo]],tblCECO[codigo],tblCECO[coordinador],"(sin catálogo)"))</f>
        <v/>
      </c>
      <c r="X734" s="3">
        <f>IF(tblOrdenes[[#This Row],[puesto_trabajo]]="","",_xlfn.XLOOKUP(tblOrdenes[[#This Row],[puesto_trabajo]],tblPuestos[codigo],tblPuestos[especialidad],"(sin catálogo)"))</f>
        <v/>
      </c>
      <c r="Y734" s="3">
        <f>IF(tblOrdenes[[#This Row],[cod_actividad]]="","",_xlfn.XLOOKUP(tblOrdenes[[#This Row],[cod_actividad]],tblActividades[codigo],tblActividades[descripcion],"(sin catálogo)"))</f>
        <v/>
      </c>
      <c r="Z734" s="12">
        <f>IF(tblOrdenes[[#This Row],[fecha_inicio]]="","",TODAY()-tblOrdenes[[#This Row],[fecha_inicio]])</f>
        <v/>
      </c>
      <c r="AA734" s="3">
        <f>IF(tblOrdenes[[#This Row],[backlog_dias]]="","",IF(tblOrdenes[[#This Row],[backlog_dias]]&lt;0,"FUTURO",IF(tblOrdenes[[#This Row],[backlog_dias]]&gt;p_dias_backlog_max,"BACKLOG","MES CORRIENTE")))</f>
        <v/>
      </c>
      <c r="AB734" s="3">
        <f>IF(tblOrdenes[[#This Row],[backlog_dias]]="",FALSE,AND(tblOrdenes[[#This Row],[backlog_dias]]&gt;p_dias_backlog_min,tblOrdenes[[#This Row],[backlog_dias]]&lt;=p_dias_backlog_max))</f>
        <v/>
      </c>
      <c r="AC734" s="6" t="n"/>
      <c r="AD7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34" s="10">
        <f>IF(tblOrdenes[[#This Row],[orden]]="","",_xlfn.XLOOKUP(tblOrdenes[[#This Row],[id_operacion]],tblEjecucion[id_operacion],tblEjecucion[precio],0))</f>
        <v/>
      </c>
      <c r="AH734" s="10">
        <f>IF(tblOrdenes[[#This Row],[orden]]="","",MAX(0,_xlfn.XLOOKUP(tblOrdenes[[#This Row],[id_operacion]],tblEjecucion[id_operacion],tblEjecucion[costo_plan_total],0)-tblOrdenes[[#This Row],[costo_servicio]]))</f>
        <v/>
      </c>
      <c r="AI734" s="10">
        <f>IF(tblOrdenes[[#This Row],[orden]]="","",tblOrdenes[[#This Row],[costo_servicio]]+tblOrdenes[[#This Row],[costo_materiales]])</f>
        <v/>
      </c>
      <c r="AJ734" s="6" t="n"/>
      <c r="AK734" s="6" t="n"/>
      <c r="AL734" s="6" t="n"/>
      <c r="AM734" s="3">
        <f>IF(tblOrdenes[[#This Row],[link_checklist]]="","",HYPERLINK(p_ruta_base_checklists&amp;tblOrdenes[[#This Row],[link_checklist]],"abrir"))</f>
        <v/>
      </c>
      <c r="AN734" s="6" t="n"/>
      <c r="AO734" s="3">
        <f>IF(tblOrdenes[[#This Row],[orden]]="","",tblOrdenes[[#This Row],[orden]]&amp;IF(tblOrdenes[[#This Row],[operacion]]="","0010",tblOrdenes[[#This Row],[operacion]]))</f>
        <v/>
      </c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11" t="n"/>
      <c r="K735" s="3" t="n"/>
      <c r="L735" s="10" t="n"/>
      <c r="M735" s="6" t="n"/>
      <c r="N7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35" s="3">
        <f>IF(tblOrdenes[[#This Row],[fecha_inicio]]="","",YEAR(tblOrdenes[[#This Row],[fecha_inicio]]))</f>
        <v/>
      </c>
      <c r="R735" s="3">
        <f>IF(tblOrdenes[[#This Row],[fecha_inicio]]="","",MONTH(tblOrdenes[[#This Row],[fecha_inicio]]))</f>
        <v/>
      </c>
      <c r="S735" s="3">
        <f>IF(tblOrdenes[[#This Row],[fecha_inicio]]="","",INDEX(lista_dias,WEEKDAY(tblOrdenes[[#This Row],[fecha_inicio]],2)))</f>
        <v/>
      </c>
      <c r="T735" s="3">
        <f>IF(tblOrdenes[[#This Row],[tipo_ot]]="","",_xlfn.XLOOKUP(tblOrdenes[[#This Row],[tipo_ot]],tblTiposOT[codigo],tblTiposOT[clasificacion],"sin_clasificar"))</f>
        <v/>
      </c>
      <c r="U735" s="3">
        <f>IF(tblOrdenes[[#This Row],[centro_costo]]="","",_xlfn.XLOOKUP(tblOrdenes[[#This Row],[centro_costo]],tblCECO[codigo],tblCECO[linea],"(sin catálogo)"))</f>
        <v/>
      </c>
      <c r="V735" s="3">
        <f>IF(tblOrdenes[[#This Row],[centro_costo]]="","",_xlfn.XLOOKUP(tblOrdenes[[#This Row],[centro_costo]],tblCECO[codigo],tblCECO[area],"(sin catálogo)"))</f>
        <v/>
      </c>
      <c r="W735" s="3">
        <f>IF(tblOrdenes[[#This Row],[centro_costo]]="","",_xlfn.XLOOKUP(tblOrdenes[[#This Row],[centro_costo]],tblCECO[codigo],tblCECO[coordinador],"(sin catálogo)"))</f>
        <v/>
      </c>
      <c r="X735" s="3">
        <f>IF(tblOrdenes[[#This Row],[puesto_trabajo]]="","",_xlfn.XLOOKUP(tblOrdenes[[#This Row],[puesto_trabajo]],tblPuestos[codigo],tblPuestos[especialidad],"(sin catálogo)"))</f>
        <v/>
      </c>
      <c r="Y735" s="3">
        <f>IF(tblOrdenes[[#This Row],[cod_actividad]]="","",_xlfn.XLOOKUP(tblOrdenes[[#This Row],[cod_actividad]],tblActividades[codigo],tblActividades[descripcion],"(sin catálogo)"))</f>
        <v/>
      </c>
      <c r="Z735" s="12">
        <f>IF(tblOrdenes[[#This Row],[fecha_inicio]]="","",TODAY()-tblOrdenes[[#This Row],[fecha_inicio]])</f>
        <v/>
      </c>
      <c r="AA735" s="3">
        <f>IF(tblOrdenes[[#This Row],[backlog_dias]]="","",IF(tblOrdenes[[#This Row],[backlog_dias]]&lt;0,"FUTURO",IF(tblOrdenes[[#This Row],[backlog_dias]]&gt;p_dias_backlog_max,"BACKLOG","MES CORRIENTE")))</f>
        <v/>
      </c>
      <c r="AB735" s="3">
        <f>IF(tblOrdenes[[#This Row],[backlog_dias]]="",FALSE,AND(tblOrdenes[[#This Row],[backlog_dias]]&gt;p_dias_backlog_min,tblOrdenes[[#This Row],[backlog_dias]]&lt;=p_dias_backlog_max))</f>
        <v/>
      </c>
      <c r="AC735" s="6" t="n"/>
      <c r="AD7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35" s="10">
        <f>IF(tblOrdenes[[#This Row],[orden]]="","",_xlfn.XLOOKUP(tblOrdenes[[#This Row],[id_operacion]],tblEjecucion[id_operacion],tblEjecucion[precio],0))</f>
        <v/>
      </c>
      <c r="AH735" s="10">
        <f>IF(tblOrdenes[[#This Row],[orden]]="","",MAX(0,_xlfn.XLOOKUP(tblOrdenes[[#This Row],[id_operacion]],tblEjecucion[id_operacion],tblEjecucion[costo_plan_total],0)-tblOrdenes[[#This Row],[costo_servicio]]))</f>
        <v/>
      </c>
      <c r="AI735" s="10">
        <f>IF(tblOrdenes[[#This Row],[orden]]="","",tblOrdenes[[#This Row],[costo_servicio]]+tblOrdenes[[#This Row],[costo_materiales]])</f>
        <v/>
      </c>
      <c r="AJ735" s="6" t="n"/>
      <c r="AK735" s="6" t="n"/>
      <c r="AL735" s="6" t="n"/>
      <c r="AM735" s="3">
        <f>IF(tblOrdenes[[#This Row],[link_checklist]]="","",HYPERLINK(p_ruta_base_checklists&amp;tblOrdenes[[#This Row],[link_checklist]],"abrir"))</f>
        <v/>
      </c>
      <c r="AN735" s="6" t="n"/>
      <c r="AO735" s="3">
        <f>IF(tblOrdenes[[#This Row],[orden]]="","",tblOrdenes[[#This Row],[orden]]&amp;IF(tblOrdenes[[#This Row],[operacion]]="","0010",tblOrdenes[[#This Row],[operacion]]))</f>
        <v/>
      </c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11" t="n"/>
      <c r="K736" s="3" t="n"/>
      <c r="L736" s="10" t="n"/>
      <c r="M736" s="6" t="n"/>
      <c r="N7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36" s="3">
        <f>IF(tblOrdenes[[#This Row],[fecha_inicio]]="","",YEAR(tblOrdenes[[#This Row],[fecha_inicio]]))</f>
        <v/>
      </c>
      <c r="R736" s="3">
        <f>IF(tblOrdenes[[#This Row],[fecha_inicio]]="","",MONTH(tblOrdenes[[#This Row],[fecha_inicio]]))</f>
        <v/>
      </c>
      <c r="S736" s="3">
        <f>IF(tblOrdenes[[#This Row],[fecha_inicio]]="","",INDEX(lista_dias,WEEKDAY(tblOrdenes[[#This Row],[fecha_inicio]],2)))</f>
        <v/>
      </c>
      <c r="T736" s="3">
        <f>IF(tblOrdenes[[#This Row],[tipo_ot]]="","",_xlfn.XLOOKUP(tblOrdenes[[#This Row],[tipo_ot]],tblTiposOT[codigo],tblTiposOT[clasificacion],"sin_clasificar"))</f>
        <v/>
      </c>
      <c r="U736" s="3">
        <f>IF(tblOrdenes[[#This Row],[centro_costo]]="","",_xlfn.XLOOKUP(tblOrdenes[[#This Row],[centro_costo]],tblCECO[codigo],tblCECO[linea],"(sin catálogo)"))</f>
        <v/>
      </c>
      <c r="V736" s="3">
        <f>IF(tblOrdenes[[#This Row],[centro_costo]]="","",_xlfn.XLOOKUP(tblOrdenes[[#This Row],[centro_costo]],tblCECO[codigo],tblCECO[area],"(sin catálogo)"))</f>
        <v/>
      </c>
      <c r="W736" s="3">
        <f>IF(tblOrdenes[[#This Row],[centro_costo]]="","",_xlfn.XLOOKUP(tblOrdenes[[#This Row],[centro_costo]],tblCECO[codigo],tblCECO[coordinador],"(sin catálogo)"))</f>
        <v/>
      </c>
      <c r="X736" s="3">
        <f>IF(tblOrdenes[[#This Row],[puesto_trabajo]]="","",_xlfn.XLOOKUP(tblOrdenes[[#This Row],[puesto_trabajo]],tblPuestos[codigo],tblPuestos[especialidad],"(sin catálogo)"))</f>
        <v/>
      </c>
      <c r="Y736" s="3">
        <f>IF(tblOrdenes[[#This Row],[cod_actividad]]="","",_xlfn.XLOOKUP(tblOrdenes[[#This Row],[cod_actividad]],tblActividades[codigo],tblActividades[descripcion],"(sin catálogo)"))</f>
        <v/>
      </c>
      <c r="Z736" s="12">
        <f>IF(tblOrdenes[[#This Row],[fecha_inicio]]="","",TODAY()-tblOrdenes[[#This Row],[fecha_inicio]])</f>
        <v/>
      </c>
      <c r="AA736" s="3">
        <f>IF(tblOrdenes[[#This Row],[backlog_dias]]="","",IF(tblOrdenes[[#This Row],[backlog_dias]]&lt;0,"FUTURO",IF(tblOrdenes[[#This Row],[backlog_dias]]&gt;p_dias_backlog_max,"BACKLOG","MES CORRIENTE")))</f>
        <v/>
      </c>
      <c r="AB736" s="3">
        <f>IF(tblOrdenes[[#This Row],[backlog_dias]]="",FALSE,AND(tblOrdenes[[#This Row],[backlog_dias]]&gt;p_dias_backlog_min,tblOrdenes[[#This Row],[backlog_dias]]&lt;=p_dias_backlog_max))</f>
        <v/>
      </c>
      <c r="AC736" s="6" t="n"/>
      <c r="AD7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36" s="10">
        <f>IF(tblOrdenes[[#This Row],[orden]]="","",_xlfn.XLOOKUP(tblOrdenes[[#This Row],[id_operacion]],tblEjecucion[id_operacion],tblEjecucion[precio],0))</f>
        <v/>
      </c>
      <c r="AH736" s="10">
        <f>IF(tblOrdenes[[#This Row],[orden]]="","",MAX(0,_xlfn.XLOOKUP(tblOrdenes[[#This Row],[id_operacion]],tblEjecucion[id_operacion],tblEjecucion[costo_plan_total],0)-tblOrdenes[[#This Row],[costo_servicio]]))</f>
        <v/>
      </c>
      <c r="AI736" s="10">
        <f>IF(tblOrdenes[[#This Row],[orden]]="","",tblOrdenes[[#This Row],[costo_servicio]]+tblOrdenes[[#This Row],[costo_materiales]])</f>
        <v/>
      </c>
      <c r="AJ736" s="6" t="n"/>
      <c r="AK736" s="6" t="n"/>
      <c r="AL736" s="6" t="n"/>
      <c r="AM736" s="3">
        <f>IF(tblOrdenes[[#This Row],[link_checklist]]="","",HYPERLINK(p_ruta_base_checklists&amp;tblOrdenes[[#This Row],[link_checklist]],"abrir"))</f>
        <v/>
      </c>
      <c r="AN736" s="6" t="n"/>
      <c r="AO736" s="3">
        <f>IF(tblOrdenes[[#This Row],[orden]]="","",tblOrdenes[[#This Row],[orden]]&amp;IF(tblOrdenes[[#This Row],[operacion]]="","0010",tblOrdenes[[#This Row],[operacion]]))</f>
        <v/>
      </c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11" t="n"/>
      <c r="K737" s="3" t="n"/>
      <c r="L737" s="10" t="n"/>
      <c r="M737" s="6" t="n"/>
      <c r="N7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37" s="3">
        <f>IF(tblOrdenes[[#This Row],[fecha_inicio]]="","",YEAR(tblOrdenes[[#This Row],[fecha_inicio]]))</f>
        <v/>
      </c>
      <c r="R737" s="3">
        <f>IF(tblOrdenes[[#This Row],[fecha_inicio]]="","",MONTH(tblOrdenes[[#This Row],[fecha_inicio]]))</f>
        <v/>
      </c>
      <c r="S737" s="3">
        <f>IF(tblOrdenes[[#This Row],[fecha_inicio]]="","",INDEX(lista_dias,WEEKDAY(tblOrdenes[[#This Row],[fecha_inicio]],2)))</f>
        <v/>
      </c>
      <c r="T737" s="3">
        <f>IF(tblOrdenes[[#This Row],[tipo_ot]]="","",_xlfn.XLOOKUP(tblOrdenes[[#This Row],[tipo_ot]],tblTiposOT[codigo],tblTiposOT[clasificacion],"sin_clasificar"))</f>
        <v/>
      </c>
      <c r="U737" s="3">
        <f>IF(tblOrdenes[[#This Row],[centro_costo]]="","",_xlfn.XLOOKUP(tblOrdenes[[#This Row],[centro_costo]],tblCECO[codigo],tblCECO[linea],"(sin catálogo)"))</f>
        <v/>
      </c>
      <c r="V737" s="3">
        <f>IF(tblOrdenes[[#This Row],[centro_costo]]="","",_xlfn.XLOOKUP(tblOrdenes[[#This Row],[centro_costo]],tblCECO[codigo],tblCECO[area],"(sin catálogo)"))</f>
        <v/>
      </c>
      <c r="W737" s="3">
        <f>IF(tblOrdenes[[#This Row],[centro_costo]]="","",_xlfn.XLOOKUP(tblOrdenes[[#This Row],[centro_costo]],tblCECO[codigo],tblCECO[coordinador],"(sin catálogo)"))</f>
        <v/>
      </c>
      <c r="X737" s="3">
        <f>IF(tblOrdenes[[#This Row],[puesto_trabajo]]="","",_xlfn.XLOOKUP(tblOrdenes[[#This Row],[puesto_trabajo]],tblPuestos[codigo],tblPuestos[especialidad],"(sin catálogo)"))</f>
        <v/>
      </c>
      <c r="Y737" s="3">
        <f>IF(tblOrdenes[[#This Row],[cod_actividad]]="","",_xlfn.XLOOKUP(tblOrdenes[[#This Row],[cod_actividad]],tblActividades[codigo],tblActividades[descripcion],"(sin catálogo)"))</f>
        <v/>
      </c>
      <c r="Z737" s="12">
        <f>IF(tblOrdenes[[#This Row],[fecha_inicio]]="","",TODAY()-tblOrdenes[[#This Row],[fecha_inicio]])</f>
        <v/>
      </c>
      <c r="AA737" s="3">
        <f>IF(tblOrdenes[[#This Row],[backlog_dias]]="","",IF(tblOrdenes[[#This Row],[backlog_dias]]&lt;0,"FUTURO",IF(tblOrdenes[[#This Row],[backlog_dias]]&gt;p_dias_backlog_max,"BACKLOG","MES CORRIENTE")))</f>
        <v/>
      </c>
      <c r="AB737" s="3">
        <f>IF(tblOrdenes[[#This Row],[backlog_dias]]="",FALSE,AND(tblOrdenes[[#This Row],[backlog_dias]]&gt;p_dias_backlog_min,tblOrdenes[[#This Row],[backlog_dias]]&lt;=p_dias_backlog_max))</f>
        <v/>
      </c>
      <c r="AC737" s="6" t="n"/>
      <c r="AD7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37" s="10">
        <f>IF(tblOrdenes[[#This Row],[orden]]="","",_xlfn.XLOOKUP(tblOrdenes[[#This Row],[id_operacion]],tblEjecucion[id_operacion],tblEjecucion[precio],0))</f>
        <v/>
      </c>
      <c r="AH737" s="10">
        <f>IF(tblOrdenes[[#This Row],[orden]]="","",MAX(0,_xlfn.XLOOKUP(tblOrdenes[[#This Row],[id_operacion]],tblEjecucion[id_operacion],tblEjecucion[costo_plan_total],0)-tblOrdenes[[#This Row],[costo_servicio]]))</f>
        <v/>
      </c>
      <c r="AI737" s="10">
        <f>IF(tblOrdenes[[#This Row],[orden]]="","",tblOrdenes[[#This Row],[costo_servicio]]+tblOrdenes[[#This Row],[costo_materiales]])</f>
        <v/>
      </c>
      <c r="AJ737" s="6" t="n"/>
      <c r="AK737" s="6" t="n"/>
      <c r="AL737" s="6" t="n"/>
      <c r="AM737" s="3">
        <f>IF(tblOrdenes[[#This Row],[link_checklist]]="","",HYPERLINK(p_ruta_base_checklists&amp;tblOrdenes[[#This Row],[link_checklist]],"abrir"))</f>
        <v/>
      </c>
      <c r="AN737" s="6" t="n"/>
      <c r="AO737" s="3">
        <f>IF(tblOrdenes[[#This Row],[orden]]="","",tblOrdenes[[#This Row],[orden]]&amp;IF(tblOrdenes[[#This Row],[operacion]]="","0010",tblOrdenes[[#This Row],[operacion]]))</f>
        <v/>
      </c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11" t="n"/>
      <c r="K738" s="3" t="n"/>
      <c r="L738" s="10" t="n"/>
      <c r="M738" s="6" t="n"/>
      <c r="N7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38" s="3">
        <f>IF(tblOrdenes[[#This Row],[fecha_inicio]]="","",YEAR(tblOrdenes[[#This Row],[fecha_inicio]]))</f>
        <v/>
      </c>
      <c r="R738" s="3">
        <f>IF(tblOrdenes[[#This Row],[fecha_inicio]]="","",MONTH(tblOrdenes[[#This Row],[fecha_inicio]]))</f>
        <v/>
      </c>
      <c r="S738" s="3">
        <f>IF(tblOrdenes[[#This Row],[fecha_inicio]]="","",INDEX(lista_dias,WEEKDAY(tblOrdenes[[#This Row],[fecha_inicio]],2)))</f>
        <v/>
      </c>
      <c r="T738" s="3">
        <f>IF(tblOrdenes[[#This Row],[tipo_ot]]="","",_xlfn.XLOOKUP(tblOrdenes[[#This Row],[tipo_ot]],tblTiposOT[codigo],tblTiposOT[clasificacion],"sin_clasificar"))</f>
        <v/>
      </c>
      <c r="U738" s="3">
        <f>IF(tblOrdenes[[#This Row],[centro_costo]]="","",_xlfn.XLOOKUP(tblOrdenes[[#This Row],[centro_costo]],tblCECO[codigo],tblCECO[linea],"(sin catálogo)"))</f>
        <v/>
      </c>
      <c r="V738" s="3">
        <f>IF(tblOrdenes[[#This Row],[centro_costo]]="","",_xlfn.XLOOKUP(tblOrdenes[[#This Row],[centro_costo]],tblCECO[codigo],tblCECO[area],"(sin catálogo)"))</f>
        <v/>
      </c>
      <c r="W738" s="3">
        <f>IF(tblOrdenes[[#This Row],[centro_costo]]="","",_xlfn.XLOOKUP(tblOrdenes[[#This Row],[centro_costo]],tblCECO[codigo],tblCECO[coordinador],"(sin catálogo)"))</f>
        <v/>
      </c>
      <c r="X738" s="3">
        <f>IF(tblOrdenes[[#This Row],[puesto_trabajo]]="","",_xlfn.XLOOKUP(tblOrdenes[[#This Row],[puesto_trabajo]],tblPuestos[codigo],tblPuestos[especialidad],"(sin catálogo)"))</f>
        <v/>
      </c>
      <c r="Y738" s="3">
        <f>IF(tblOrdenes[[#This Row],[cod_actividad]]="","",_xlfn.XLOOKUP(tblOrdenes[[#This Row],[cod_actividad]],tblActividades[codigo],tblActividades[descripcion],"(sin catálogo)"))</f>
        <v/>
      </c>
      <c r="Z738" s="12">
        <f>IF(tblOrdenes[[#This Row],[fecha_inicio]]="","",TODAY()-tblOrdenes[[#This Row],[fecha_inicio]])</f>
        <v/>
      </c>
      <c r="AA738" s="3">
        <f>IF(tblOrdenes[[#This Row],[backlog_dias]]="","",IF(tblOrdenes[[#This Row],[backlog_dias]]&lt;0,"FUTURO",IF(tblOrdenes[[#This Row],[backlog_dias]]&gt;p_dias_backlog_max,"BACKLOG","MES CORRIENTE")))</f>
        <v/>
      </c>
      <c r="AB738" s="3">
        <f>IF(tblOrdenes[[#This Row],[backlog_dias]]="",FALSE,AND(tblOrdenes[[#This Row],[backlog_dias]]&gt;p_dias_backlog_min,tblOrdenes[[#This Row],[backlog_dias]]&lt;=p_dias_backlog_max))</f>
        <v/>
      </c>
      <c r="AC738" s="6" t="n"/>
      <c r="AD7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38" s="10">
        <f>IF(tblOrdenes[[#This Row],[orden]]="","",_xlfn.XLOOKUP(tblOrdenes[[#This Row],[id_operacion]],tblEjecucion[id_operacion],tblEjecucion[precio],0))</f>
        <v/>
      </c>
      <c r="AH738" s="10">
        <f>IF(tblOrdenes[[#This Row],[orden]]="","",MAX(0,_xlfn.XLOOKUP(tblOrdenes[[#This Row],[id_operacion]],tblEjecucion[id_operacion],tblEjecucion[costo_plan_total],0)-tblOrdenes[[#This Row],[costo_servicio]]))</f>
        <v/>
      </c>
      <c r="AI738" s="10">
        <f>IF(tblOrdenes[[#This Row],[orden]]="","",tblOrdenes[[#This Row],[costo_servicio]]+tblOrdenes[[#This Row],[costo_materiales]])</f>
        <v/>
      </c>
      <c r="AJ738" s="6" t="n"/>
      <c r="AK738" s="6" t="n"/>
      <c r="AL738" s="6" t="n"/>
      <c r="AM738" s="3">
        <f>IF(tblOrdenes[[#This Row],[link_checklist]]="","",HYPERLINK(p_ruta_base_checklists&amp;tblOrdenes[[#This Row],[link_checklist]],"abrir"))</f>
        <v/>
      </c>
      <c r="AN738" s="6" t="n"/>
      <c r="AO738" s="3">
        <f>IF(tblOrdenes[[#This Row],[orden]]="","",tblOrdenes[[#This Row],[orden]]&amp;IF(tblOrdenes[[#This Row],[operacion]]="","0010",tblOrdenes[[#This Row],[operacion]]))</f>
        <v/>
      </c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11" t="n"/>
      <c r="K739" s="3" t="n"/>
      <c r="L739" s="10" t="n"/>
      <c r="M739" s="6" t="n"/>
      <c r="N7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39" s="3">
        <f>IF(tblOrdenes[[#This Row],[fecha_inicio]]="","",YEAR(tblOrdenes[[#This Row],[fecha_inicio]]))</f>
        <v/>
      </c>
      <c r="R739" s="3">
        <f>IF(tblOrdenes[[#This Row],[fecha_inicio]]="","",MONTH(tblOrdenes[[#This Row],[fecha_inicio]]))</f>
        <v/>
      </c>
      <c r="S739" s="3">
        <f>IF(tblOrdenes[[#This Row],[fecha_inicio]]="","",INDEX(lista_dias,WEEKDAY(tblOrdenes[[#This Row],[fecha_inicio]],2)))</f>
        <v/>
      </c>
      <c r="T739" s="3">
        <f>IF(tblOrdenes[[#This Row],[tipo_ot]]="","",_xlfn.XLOOKUP(tblOrdenes[[#This Row],[tipo_ot]],tblTiposOT[codigo],tblTiposOT[clasificacion],"sin_clasificar"))</f>
        <v/>
      </c>
      <c r="U739" s="3">
        <f>IF(tblOrdenes[[#This Row],[centro_costo]]="","",_xlfn.XLOOKUP(tblOrdenes[[#This Row],[centro_costo]],tblCECO[codigo],tblCECO[linea],"(sin catálogo)"))</f>
        <v/>
      </c>
      <c r="V739" s="3">
        <f>IF(tblOrdenes[[#This Row],[centro_costo]]="","",_xlfn.XLOOKUP(tblOrdenes[[#This Row],[centro_costo]],tblCECO[codigo],tblCECO[area],"(sin catálogo)"))</f>
        <v/>
      </c>
      <c r="W739" s="3">
        <f>IF(tblOrdenes[[#This Row],[centro_costo]]="","",_xlfn.XLOOKUP(tblOrdenes[[#This Row],[centro_costo]],tblCECO[codigo],tblCECO[coordinador],"(sin catálogo)"))</f>
        <v/>
      </c>
      <c r="X739" s="3">
        <f>IF(tblOrdenes[[#This Row],[puesto_trabajo]]="","",_xlfn.XLOOKUP(tblOrdenes[[#This Row],[puesto_trabajo]],tblPuestos[codigo],tblPuestos[especialidad],"(sin catálogo)"))</f>
        <v/>
      </c>
      <c r="Y739" s="3">
        <f>IF(tblOrdenes[[#This Row],[cod_actividad]]="","",_xlfn.XLOOKUP(tblOrdenes[[#This Row],[cod_actividad]],tblActividades[codigo],tblActividades[descripcion],"(sin catálogo)"))</f>
        <v/>
      </c>
      <c r="Z739" s="12">
        <f>IF(tblOrdenes[[#This Row],[fecha_inicio]]="","",TODAY()-tblOrdenes[[#This Row],[fecha_inicio]])</f>
        <v/>
      </c>
      <c r="AA739" s="3">
        <f>IF(tblOrdenes[[#This Row],[backlog_dias]]="","",IF(tblOrdenes[[#This Row],[backlog_dias]]&lt;0,"FUTURO",IF(tblOrdenes[[#This Row],[backlog_dias]]&gt;p_dias_backlog_max,"BACKLOG","MES CORRIENTE")))</f>
        <v/>
      </c>
      <c r="AB739" s="3">
        <f>IF(tblOrdenes[[#This Row],[backlog_dias]]="",FALSE,AND(tblOrdenes[[#This Row],[backlog_dias]]&gt;p_dias_backlog_min,tblOrdenes[[#This Row],[backlog_dias]]&lt;=p_dias_backlog_max))</f>
        <v/>
      </c>
      <c r="AC739" s="6" t="n"/>
      <c r="AD7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39" s="10">
        <f>IF(tblOrdenes[[#This Row],[orden]]="","",_xlfn.XLOOKUP(tblOrdenes[[#This Row],[id_operacion]],tblEjecucion[id_operacion],tblEjecucion[precio],0))</f>
        <v/>
      </c>
      <c r="AH739" s="10">
        <f>IF(tblOrdenes[[#This Row],[orden]]="","",MAX(0,_xlfn.XLOOKUP(tblOrdenes[[#This Row],[id_operacion]],tblEjecucion[id_operacion],tblEjecucion[costo_plan_total],0)-tblOrdenes[[#This Row],[costo_servicio]]))</f>
        <v/>
      </c>
      <c r="AI739" s="10">
        <f>IF(tblOrdenes[[#This Row],[orden]]="","",tblOrdenes[[#This Row],[costo_servicio]]+tblOrdenes[[#This Row],[costo_materiales]])</f>
        <v/>
      </c>
      <c r="AJ739" s="6" t="n"/>
      <c r="AK739" s="6" t="n"/>
      <c r="AL739" s="6" t="n"/>
      <c r="AM739" s="3">
        <f>IF(tblOrdenes[[#This Row],[link_checklist]]="","",HYPERLINK(p_ruta_base_checklists&amp;tblOrdenes[[#This Row],[link_checklist]],"abrir"))</f>
        <v/>
      </c>
      <c r="AN739" s="6" t="n"/>
      <c r="AO739" s="3">
        <f>IF(tblOrdenes[[#This Row],[orden]]="","",tblOrdenes[[#This Row],[orden]]&amp;IF(tblOrdenes[[#This Row],[operacion]]="","0010",tblOrdenes[[#This Row],[operacion]]))</f>
        <v/>
      </c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11" t="n"/>
      <c r="K740" s="3" t="n"/>
      <c r="L740" s="10" t="n"/>
      <c r="M740" s="6" t="n"/>
      <c r="N7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40" s="3">
        <f>IF(tblOrdenes[[#This Row],[fecha_inicio]]="","",YEAR(tblOrdenes[[#This Row],[fecha_inicio]]))</f>
        <v/>
      </c>
      <c r="R740" s="3">
        <f>IF(tblOrdenes[[#This Row],[fecha_inicio]]="","",MONTH(tblOrdenes[[#This Row],[fecha_inicio]]))</f>
        <v/>
      </c>
      <c r="S740" s="3">
        <f>IF(tblOrdenes[[#This Row],[fecha_inicio]]="","",INDEX(lista_dias,WEEKDAY(tblOrdenes[[#This Row],[fecha_inicio]],2)))</f>
        <v/>
      </c>
      <c r="T740" s="3">
        <f>IF(tblOrdenes[[#This Row],[tipo_ot]]="","",_xlfn.XLOOKUP(tblOrdenes[[#This Row],[tipo_ot]],tblTiposOT[codigo],tblTiposOT[clasificacion],"sin_clasificar"))</f>
        <v/>
      </c>
      <c r="U740" s="3">
        <f>IF(tblOrdenes[[#This Row],[centro_costo]]="","",_xlfn.XLOOKUP(tblOrdenes[[#This Row],[centro_costo]],tblCECO[codigo],tblCECO[linea],"(sin catálogo)"))</f>
        <v/>
      </c>
      <c r="V740" s="3">
        <f>IF(tblOrdenes[[#This Row],[centro_costo]]="","",_xlfn.XLOOKUP(tblOrdenes[[#This Row],[centro_costo]],tblCECO[codigo],tblCECO[area],"(sin catálogo)"))</f>
        <v/>
      </c>
      <c r="W740" s="3">
        <f>IF(tblOrdenes[[#This Row],[centro_costo]]="","",_xlfn.XLOOKUP(tblOrdenes[[#This Row],[centro_costo]],tblCECO[codigo],tblCECO[coordinador],"(sin catálogo)"))</f>
        <v/>
      </c>
      <c r="X740" s="3">
        <f>IF(tblOrdenes[[#This Row],[puesto_trabajo]]="","",_xlfn.XLOOKUP(tblOrdenes[[#This Row],[puesto_trabajo]],tblPuestos[codigo],tblPuestos[especialidad],"(sin catálogo)"))</f>
        <v/>
      </c>
      <c r="Y740" s="3">
        <f>IF(tblOrdenes[[#This Row],[cod_actividad]]="","",_xlfn.XLOOKUP(tblOrdenes[[#This Row],[cod_actividad]],tblActividades[codigo],tblActividades[descripcion],"(sin catálogo)"))</f>
        <v/>
      </c>
      <c r="Z740" s="12">
        <f>IF(tblOrdenes[[#This Row],[fecha_inicio]]="","",TODAY()-tblOrdenes[[#This Row],[fecha_inicio]])</f>
        <v/>
      </c>
      <c r="AA740" s="3">
        <f>IF(tblOrdenes[[#This Row],[backlog_dias]]="","",IF(tblOrdenes[[#This Row],[backlog_dias]]&lt;0,"FUTURO",IF(tblOrdenes[[#This Row],[backlog_dias]]&gt;p_dias_backlog_max,"BACKLOG","MES CORRIENTE")))</f>
        <v/>
      </c>
      <c r="AB740" s="3">
        <f>IF(tblOrdenes[[#This Row],[backlog_dias]]="",FALSE,AND(tblOrdenes[[#This Row],[backlog_dias]]&gt;p_dias_backlog_min,tblOrdenes[[#This Row],[backlog_dias]]&lt;=p_dias_backlog_max))</f>
        <v/>
      </c>
      <c r="AC740" s="6" t="n"/>
      <c r="AD7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40" s="10">
        <f>IF(tblOrdenes[[#This Row],[orden]]="","",_xlfn.XLOOKUP(tblOrdenes[[#This Row],[id_operacion]],tblEjecucion[id_operacion],tblEjecucion[precio],0))</f>
        <v/>
      </c>
      <c r="AH740" s="10">
        <f>IF(tblOrdenes[[#This Row],[orden]]="","",MAX(0,_xlfn.XLOOKUP(tblOrdenes[[#This Row],[id_operacion]],tblEjecucion[id_operacion],tblEjecucion[costo_plan_total],0)-tblOrdenes[[#This Row],[costo_servicio]]))</f>
        <v/>
      </c>
      <c r="AI740" s="10">
        <f>IF(tblOrdenes[[#This Row],[orden]]="","",tblOrdenes[[#This Row],[costo_servicio]]+tblOrdenes[[#This Row],[costo_materiales]])</f>
        <v/>
      </c>
      <c r="AJ740" s="6" t="n"/>
      <c r="AK740" s="6" t="n"/>
      <c r="AL740" s="6" t="n"/>
      <c r="AM740" s="3">
        <f>IF(tblOrdenes[[#This Row],[link_checklist]]="","",HYPERLINK(p_ruta_base_checklists&amp;tblOrdenes[[#This Row],[link_checklist]],"abrir"))</f>
        <v/>
      </c>
      <c r="AN740" s="6" t="n"/>
      <c r="AO740" s="3">
        <f>IF(tblOrdenes[[#This Row],[orden]]="","",tblOrdenes[[#This Row],[orden]]&amp;IF(tblOrdenes[[#This Row],[operacion]]="","0010",tblOrdenes[[#This Row],[operacion]]))</f>
        <v/>
      </c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11" t="n"/>
      <c r="K741" s="3" t="n"/>
      <c r="L741" s="10" t="n"/>
      <c r="M741" s="6" t="n"/>
      <c r="N7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41" s="3">
        <f>IF(tblOrdenes[[#This Row],[fecha_inicio]]="","",YEAR(tblOrdenes[[#This Row],[fecha_inicio]]))</f>
        <v/>
      </c>
      <c r="R741" s="3">
        <f>IF(tblOrdenes[[#This Row],[fecha_inicio]]="","",MONTH(tblOrdenes[[#This Row],[fecha_inicio]]))</f>
        <v/>
      </c>
      <c r="S741" s="3">
        <f>IF(tblOrdenes[[#This Row],[fecha_inicio]]="","",INDEX(lista_dias,WEEKDAY(tblOrdenes[[#This Row],[fecha_inicio]],2)))</f>
        <v/>
      </c>
      <c r="T741" s="3">
        <f>IF(tblOrdenes[[#This Row],[tipo_ot]]="","",_xlfn.XLOOKUP(tblOrdenes[[#This Row],[tipo_ot]],tblTiposOT[codigo],tblTiposOT[clasificacion],"sin_clasificar"))</f>
        <v/>
      </c>
      <c r="U741" s="3">
        <f>IF(tblOrdenes[[#This Row],[centro_costo]]="","",_xlfn.XLOOKUP(tblOrdenes[[#This Row],[centro_costo]],tblCECO[codigo],tblCECO[linea],"(sin catálogo)"))</f>
        <v/>
      </c>
      <c r="V741" s="3">
        <f>IF(tblOrdenes[[#This Row],[centro_costo]]="","",_xlfn.XLOOKUP(tblOrdenes[[#This Row],[centro_costo]],tblCECO[codigo],tblCECO[area],"(sin catálogo)"))</f>
        <v/>
      </c>
      <c r="W741" s="3">
        <f>IF(tblOrdenes[[#This Row],[centro_costo]]="","",_xlfn.XLOOKUP(tblOrdenes[[#This Row],[centro_costo]],tblCECO[codigo],tblCECO[coordinador],"(sin catálogo)"))</f>
        <v/>
      </c>
      <c r="X741" s="3">
        <f>IF(tblOrdenes[[#This Row],[puesto_trabajo]]="","",_xlfn.XLOOKUP(tblOrdenes[[#This Row],[puesto_trabajo]],tblPuestos[codigo],tblPuestos[especialidad],"(sin catálogo)"))</f>
        <v/>
      </c>
      <c r="Y741" s="3">
        <f>IF(tblOrdenes[[#This Row],[cod_actividad]]="","",_xlfn.XLOOKUP(tblOrdenes[[#This Row],[cod_actividad]],tblActividades[codigo],tblActividades[descripcion],"(sin catálogo)"))</f>
        <v/>
      </c>
      <c r="Z741" s="12">
        <f>IF(tblOrdenes[[#This Row],[fecha_inicio]]="","",TODAY()-tblOrdenes[[#This Row],[fecha_inicio]])</f>
        <v/>
      </c>
      <c r="AA741" s="3">
        <f>IF(tblOrdenes[[#This Row],[backlog_dias]]="","",IF(tblOrdenes[[#This Row],[backlog_dias]]&lt;0,"FUTURO",IF(tblOrdenes[[#This Row],[backlog_dias]]&gt;p_dias_backlog_max,"BACKLOG","MES CORRIENTE")))</f>
        <v/>
      </c>
      <c r="AB741" s="3">
        <f>IF(tblOrdenes[[#This Row],[backlog_dias]]="",FALSE,AND(tblOrdenes[[#This Row],[backlog_dias]]&gt;p_dias_backlog_min,tblOrdenes[[#This Row],[backlog_dias]]&lt;=p_dias_backlog_max))</f>
        <v/>
      </c>
      <c r="AC741" s="6" t="n"/>
      <c r="AD7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41" s="10">
        <f>IF(tblOrdenes[[#This Row],[orden]]="","",_xlfn.XLOOKUP(tblOrdenes[[#This Row],[id_operacion]],tblEjecucion[id_operacion],tblEjecucion[precio],0))</f>
        <v/>
      </c>
      <c r="AH741" s="10">
        <f>IF(tblOrdenes[[#This Row],[orden]]="","",MAX(0,_xlfn.XLOOKUP(tblOrdenes[[#This Row],[id_operacion]],tblEjecucion[id_operacion],tblEjecucion[costo_plan_total],0)-tblOrdenes[[#This Row],[costo_servicio]]))</f>
        <v/>
      </c>
      <c r="AI741" s="10">
        <f>IF(tblOrdenes[[#This Row],[orden]]="","",tblOrdenes[[#This Row],[costo_servicio]]+tblOrdenes[[#This Row],[costo_materiales]])</f>
        <v/>
      </c>
      <c r="AJ741" s="6" t="n"/>
      <c r="AK741" s="6" t="n"/>
      <c r="AL741" s="6" t="n"/>
      <c r="AM741" s="3">
        <f>IF(tblOrdenes[[#This Row],[link_checklist]]="","",HYPERLINK(p_ruta_base_checklists&amp;tblOrdenes[[#This Row],[link_checklist]],"abrir"))</f>
        <v/>
      </c>
      <c r="AN741" s="6" t="n"/>
      <c r="AO741" s="3">
        <f>IF(tblOrdenes[[#This Row],[orden]]="","",tblOrdenes[[#This Row],[orden]]&amp;IF(tblOrdenes[[#This Row],[operacion]]="","0010",tblOrdenes[[#This Row],[operacion]]))</f>
        <v/>
      </c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11" t="n"/>
      <c r="K742" s="3" t="n"/>
      <c r="L742" s="10" t="n"/>
      <c r="M742" s="6" t="n"/>
      <c r="N7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42" s="3">
        <f>IF(tblOrdenes[[#This Row],[fecha_inicio]]="","",YEAR(tblOrdenes[[#This Row],[fecha_inicio]]))</f>
        <v/>
      </c>
      <c r="R742" s="3">
        <f>IF(tblOrdenes[[#This Row],[fecha_inicio]]="","",MONTH(tblOrdenes[[#This Row],[fecha_inicio]]))</f>
        <v/>
      </c>
      <c r="S742" s="3">
        <f>IF(tblOrdenes[[#This Row],[fecha_inicio]]="","",INDEX(lista_dias,WEEKDAY(tblOrdenes[[#This Row],[fecha_inicio]],2)))</f>
        <v/>
      </c>
      <c r="T742" s="3">
        <f>IF(tblOrdenes[[#This Row],[tipo_ot]]="","",_xlfn.XLOOKUP(tblOrdenes[[#This Row],[tipo_ot]],tblTiposOT[codigo],tblTiposOT[clasificacion],"sin_clasificar"))</f>
        <v/>
      </c>
      <c r="U742" s="3">
        <f>IF(tblOrdenes[[#This Row],[centro_costo]]="","",_xlfn.XLOOKUP(tblOrdenes[[#This Row],[centro_costo]],tblCECO[codigo],tblCECO[linea],"(sin catálogo)"))</f>
        <v/>
      </c>
      <c r="V742" s="3">
        <f>IF(tblOrdenes[[#This Row],[centro_costo]]="","",_xlfn.XLOOKUP(tblOrdenes[[#This Row],[centro_costo]],tblCECO[codigo],tblCECO[area],"(sin catálogo)"))</f>
        <v/>
      </c>
      <c r="W742" s="3">
        <f>IF(tblOrdenes[[#This Row],[centro_costo]]="","",_xlfn.XLOOKUP(tblOrdenes[[#This Row],[centro_costo]],tblCECO[codigo],tblCECO[coordinador],"(sin catálogo)"))</f>
        <v/>
      </c>
      <c r="X742" s="3">
        <f>IF(tblOrdenes[[#This Row],[puesto_trabajo]]="","",_xlfn.XLOOKUP(tblOrdenes[[#This Row],[puesto_trabajo]],tblPuestos[codigo],tblPuestos[especialidad],"(sin catálogo)"))</f>
        <v/>
      </c>
      <c r="Y742" s="3">
        <f>IF(tblOrdenes[[#This Row],[cod_actividad]]="","",_xlfn.XLOOKUP(tblOrdenes[[#This Row],[cod_actividad]],tblActividades[codigo],tblActividades[descripcion],"(sin catálogo)"))</f>
        <v/>
      </c>
      <c r="Z742" s="12">
        <f>IF(tblOrdenes[[#This Row],[fecha_inicio]]="","",TODAY()-tblOrdenes[[#This Row],[fecha_inicio]])</f>
        <v/>
      </c>
      <c r="AA742" s="3">
        <f>IF(tblOrdenes[[#This Row],[backlog_dias]]="","",IF(tblOrdenes[[#This Row],[backlog_dias]]&lt;0,"FUTURO",IF(tblOrdenes[[#This Row],[backlog_dias]]&gt;p_dias_backlog_max,"BACKLOG","MES CORRIENTE")))</f>
        <v/>
      </c>
      <c r="AB742" s="3">
        <f>IF(tblOrdenes[[#This Row],[backlog_dias]]="",FALSE,AND(tblOrdenes[[#This Row],[backlog_dias]]&gt;p_dias_backlog_min,tblOrdenes[[#This Row],[backlog_dias]]&lt;=p_dias_backlog_max))</f>
        <v/>
      </c>
      <c r="AC742" s="6" t="n"/>
      <c r="AD7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42" s="10">
        <f>IF(tblOrdenes[[#This Row],[orden]]="","",_xlfn.XLOOKUP(tblOrdenes[[#This Row],[id_operacion]],tblEjecucion[id_operacion],tblEjecucion[precio],0))</f>
        <v/>
      </c>
      <c r="AH742" s="10">
        <f>IF(tblOrdenes[[#This Row],[orden]]="","",MAX(0,_xlfn.XLOOKUP(tblOrdenes[[#This Row],[id_operacion]],tblEjecucion[id_operacion],tblEjecucion[costo_plan_total],0)-tblOrdenes[[#This Row],[costo_servicio]]))</f>
        <v/>
      </c>
      <c r="AI742" s="10">
        <f>IF(tblOrdenes[[#This Row],[orden]]="","",tblOrdenes[[#This Row],[costo_servicio]]+tblOrdenes[[#This Row],[costo_materiales]])</f>
        <v/>
      </c>
      <c r="AJ742" s="6" t="n"/>
      <c r="AK742" s="6" t="n"/>
      <c r="AL742" s="6" t="n"/>
      <c r="AM742" s="3">
        <f>IF(tblOrdenes[[#This Row],[link_checklist]]="","",HYPERLINK(p_ruta_base_checklists&amp;tblOrdenes[[#This Row],[link_checklist]],"abrir"))</f>
        <v/>
      </c>
      <c r="AN742" s="6" t="n"/>
      <c r="AO742" s="3">
        <f>IF(tblOrdenes[[#This Row],[orden]]="","",tblOrdenes[[#This Row],[orden]]&amp;IF(tblOrdenes[[#This Row],[operacion]]="","0010",tblOrdenes[[#This Row],[operacion]]))</f>
        <v/>
      </c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11" t="n"/>
      <c r="K743" s="3" t="n"/>
      <c r="L743" s="10" t="n"/>
      <c r="M743" s="6" t="n"/>
      <c r="N7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43" s="3">
        <f>IF(tblOrdenes[[#This Row],[fecha_inicio]]="","",YEAR(tblOrdenes[[#This Row],[fecha_inicio]]))</f>
        <v/>
      </c>
      <c r="R743" s="3">
        <f>IF(tblOrdenes[[#This Row],[fecha_inicio]]="","",MONTH(tblOrdenes[[#This Row],[fecha_inicio]]))</f>
        <v/>
      </c>
      <c r="S743" s="3">
        <f>IF(tblOrdenes[[#This Row],[fecha_inicio]]="","",INDEX(lista_dias,WEEKDAY(tblOrdenes[[#This Row],[fecha_inicio]],2)))</f>
        <v/>
      </c>
      <c r="T743" s="3">
        <f>IF(tblOrdenes[[#This Row],[tipo_ot]]="","",_xlfn.XLOOKUP(tblOrdenes[[#This Row],[tipo_ot]],tblTiposOT[codigo],tblTiposOT[clasificacion],"sin_clasificar"))</f>
        <v/>
      </c>
      <c r="U743" s="3">
        <f>IF(tblOrdenes[[#This Row],[centro_costo]]="","",_xlfn.XLOOKUP(tblOrdenes[[#This Row],[centro_costo]],tblCECO[codigo],tblCECO[linea],"(sin catálogo)"))</f>
        <v/>
      </c>
      <c r="V743" s="3">
        <f>IF(tblOrdenes[[#This Row],[centro_costo]]="","",_xlfn.XLOOKUP(tblOrdenes[[#This Row],[centro_costo]],tblCECO[codigo],tblCECO[area],"(sin catálogo)"))</f>
        <v/>
      </c>
      <c r="W743" s="3">
        <f>IF(tblOrdenes[[#This Row],[centro_costo]]="","",_xlfn.XLOOKUP(tblOrdenes[[#This Row],[centro_costo]],tblCECO[codigo],tblCECO[coordinador],"(sin catálogo)"))</f>
        <v/>
      </c>
      <c r="X743" s="3">
        <f>IF(tblOrdenes[[#This Row],[puesto_trabajo]]="","",_xlfn.XLOOKUP(tblOrdenes[[#This Row],[puesto_trabajo]],tblPuestos[codigo],tblPuestos[especialidad],"(sin catálogo)"))</f>
        <v/>
      </c>
      <c r="Y743" s="3">
        <f>IF(tblOrdenes[[#This Row],[cod_actividad]]="","",_xlfn.XLOOKUP(tblOrdenes[[#This Row],[cod_actividad]],tblActividades[codigo],tblActividades[descripcion],"(sin catálogo)"))</f>
        <v/>
      </c>
      <c r="Z743" s="12">
        <f>IF(tblOrdenes[[#This Row],[fecha_inicio]]="","",TODAY()-tblOrdenes[[#This Row],[fecha_inicio]])</f>
        <v/>
      </c>
      <c r="AA743" s="3">
        <f>IF(tblOrdenes[[#This Row],[backlog_dias]]="","",IF(tblOrdenes[[#This Row],[backlog_dias]]&lt;0,"FUTURO",IF(tblOrdenes[[#This Row],[backlog_dias]]&gt;p_dias_backlog_max,"BACKLOG","MES CORRIENTE")))</f>
        <v/>
      </c>
      <c r="AB743" s="3">
        <f>IF(tblOrdenes[[#This Row],[backlog_dias]]="",FALSE,AND(tblOrdenes[[#This Row],[backlog_dias]]&gt;p_dias_backlog_min,tblOrdenes[[#This Row],[backlog_dias]]&lt;=p_dias_backlog_max))</f>
        <v/>
      </c>
      <c r="AC743" s="6" t="n"/>
      <c r="AD7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43" s="10">
        <f>IF(tblOrdenes[[#This Row],[orden]]="","",_xlfn.XLOOKUP(tblOrdenes[[#This Row],[id_operacion]],tblEjecucion[id_operacion],tblEjecucion[precio],0))</f>
        <v/>
      </c>
      <c r="AH743" s="10">
        <f>IF(tblOrdenes[[#This Row],[orden]]="","",MAX(0,_xlfn.XLOOKUP(tblOrdenes[[#This Row],[id_operacion]],tblEjecucion[id_operacion],tblEjecucion[costo_plan_total],0)-tblOrdenes[[#This Row],[costo_servicio]]))</f>
        <v/>
      </c>
      <c r="AI743" s="10">
        <f>IF(tblOrdenes[[#This Row],[orden]]="","",tblOrdenes[[#This Row],[costo_servicio]]+tblOrdenes[[#This Row],[costo_materiales]])</f>
        <v/>
      </c>
      <c r="AJ743" s="6" t="n"/>
      <c r="AK743" s="6" t="n"/>
      <c r="AL743" s="6" t="n"/>
      <c r="AM743" s="3">
        <f>IF(tblOrdenes[[#This Row],[link_checklist]]="","",HYPERLINK(p_ruta_base_checklists&amp;tblOrdenes[[#This Row],[link_checklist]],"abrir"))</f>
        <v/>
      </c>
      <c r="AN743" s="6" t="n"/>
      <c r="AO743" s="3">
        <f>IF(tblOrdenes[[#This Row],[orden]]="","",tblOrdenes[[#This Row],[orden]]&amp;IF(tblOrdenes[[#This Row],[operacion]]="","0010",tblOrdenes[[#This Row],[operacion]]))</f>
        <v/>
      </c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11" t="n"/>
      <c r="K744" s="3" t="n"/>
      <c r="L744" s="10" t="n"/>
      <c r="M744" s="6" t="n"/>
      <c r="N7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44" s="3">
        <f>IF(tblOrdenes[[#This Row],[fecha_inicio]]="","",YEAR(tblOrdenes[[#This Row],[fecha_inicio]]))</f>
        <v/>
      </c>
      <c r="R744" s="3">
        <f>IF(tblOrdenes[[#This Row],[fecha_inicio]]="","",MONTH(tblOrdenes[[#This Row],[fecha_inicio]]))</f>
        <v/>
      </c>
      <c r="S744" s="3">
        <f>IF(tblOrdenes[[#This Row],[fecha_inicio]]="","",INDEX(lista_dias,WEEKDAY(tblOrdenes[[#This Row],[fecha_inicio]],2)))</f>
        <v/>
      </c>
      <c r="T744" s="3">
        <f>IF(tblOrdenes[[#This Row],[tipo_ot]]="","",_xlfn.XLOOKUP(tblOrdenes[[#This Row],[tipo_ot]],tblTiposOT[codigo],tblTiposOT[clasificacion],"sin_clasificar"))</f>
        <v/>
      </c>
      <c r="U744" s="3">
        <f>IF(tblOrdenes[[#This Row],[centro_costo]]="","",_xlfn.XLOOKUP(tblOrdenes[[#This Row],[centro_costo]],tblCECO[codigo],tblCECO[linea],"(sin catálogo)"))</f>
        <v/>
      </c>
      <c r="V744" s="3">
        <f>IF(tblOrdenes[[#This Row],[centro_costo]]="","",_xlfn.XLOOKUP(tblOrdenes[[#This Row],[centro_costo]],tblCECO[codigo],tblCECO[area],"(sin catálogo)"))</f>
        <v/>
      </c>
      <c r="W744" s="3">
        <f>IF(tblOrdenes[[#This Row],[centro_costo]]="","",_xlfn.XLOOKUP(tblOrdenes[[#This Row],[centro_costo]],tblCECO[codigo],tblCECO[coordinador],"(sin catálogo)"))</f>
        <v/>
      </c>
      <c r="X744" s="3">
        <f>IF(tblOrdenes[[#This Row],[puesto_trabajo]]="","",_xlfn.XLOOKUP(tblOrdenes[[#This Row],[puesto_trabajo]],tblPuestos[codigo],tblPuestos[especialidad],"(sin catálogo)"))</f>
        <v/>
      </c>
      <c r="Y744" s="3">
        <f>IF(tblOrdenes[[#This Row],[cod_actividad]]="","",_xlfn.XLOOKUP(tblOrdenes[[#This Row],[cod_actividad]],tblActividades[codigo],tblActividades[descripcion],"(sin catálogo)"))</f>
        <v/>
      </c>
      <c r="Z744" s="12">
        <f>IF(tblOrdenes[[#This Row],[fecha_inicio]]="","",TODAY()-tblOrdenes[[#This Row],[fecha_inicio]])</f>
        <v/>
      </c>
      <c r="AA744" s="3">
        <f>IF(tblOrdenes[[#This Row],[backlog_dias]]="","",IF(tblOrdenes[[#This Row],[backlog_dias]]&lt;0,"FUTURO",IF(tblOrdenes[[#This Row],[backlog_dias]]&gt;p_dias_backlog_max,"BACKLOG","MES CORRIENTE")))</f>
        <v/>
      </c>
      <c r="AB744" s="3">
        <f>IF(tblOrdenes[[#This Row],[backlog_dias]]="",FALSE,AND(tblOrdenes[[#This Row],[backlog_dias]]&gt;p_dias_backlog_min,tblOrdenes[[#This Row],[backlog_dias]]&lt;=p_dias_backlog_max))</f>
        <v/>
      </c>
      <c r="AC744" s="6" t="n"/>
      <c r="AD7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44" s="10">
        <f>IF(tblOrdenes[[#This Row],[orden]]="","",_xlfn.XLOOKUP(tblOrdenes[[#This Row],[id_operacion]],tblEjecucion[id_operacion],tblEjecucion[precio],0))</f>
        <v/>
      </c>
      <c r="AH744" s="10">
        <f>IF(tblOrdenes[[#This Row],[orden]]="","",MAX(0,_xlfn.XLOOKUP(tblOrdenes[[#This Row],[id_operacion]],tblEjecucion[id_operacion],tblEjecucion[costo_plan_total],0)-tblOrdenes[[#This Row],[costo_servicio]]))</f>
        <v/>
      </c>
      <c r="AI744" s="10">
        <f>IF(tblOrdenes[[#This Row],[orden]]="","",tblOrdenes[[#This Row],[costo_servicio]]+tblOrdenes[[#This Row],[costo_materiales]])</f>
        <v/>
      </c>
      <c r="AJ744" s="6" t="n"/>
      <c r="AK744" s="6" t="n"/>
      <c r="AL744" s="6" t="n"/>
      <c r="AM744" s="3">
        <f>IF(tblOrdenes[[#This Row],[link_checklist]]="","",HYPERLINK(p_ruta_base_checklists&amp;tblOrdenes[[#This Row],[link_checklist]],"abrir"))</f>
        <v/>
      </c>
      <c r="AN744" s="6" t="n"/>
      <c r="AO744" s="3">
        <f>IF(tblOrdenes[[#This Row],[orden]]="","",tblOrdenes[[#This Row],[orden]]&amp;IF(tblOrdenes[[#This Row],[operacion]]="","0010",tblOrdenes[[#This Row],[operacion]]))</f>
        <v/>
      </c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11" t="n"/>
      <c r="K745" s="3" t="n"/>
      <c r="L745" s="10" t="n"/>
      <c r="M745" s="6" t="n"/>
      <c r="N7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45" s="3">
        <f>IF(tblOrdenes[[#This Row],[fecha_inicio]]="","",YEAR(tblOrdenes[[#This Row],[fecha_inicio]]))</f>
        <v/>
      </c>
      <c r="R745" s="3">
        <f>IF(tblOrdenes[[#This Row],[fecha_inicio]]="","",MONTH(tblOrdenes[[#This Row],[fecha_inicio]]))</f>
        <v/>
      </c>
      <c r="S745" s="3">
        <f>IF(tblOrdenes[[#This Row],[fecha_inicio]]="","",INDEX(lista_dias,WEEKDAY(tblOrdenes[[#This Row],[fecha_inicio]],2)))</f>
        <v/>
      </c>
      <c r="T745" s="3">
        <f>IF(tblOrdenes[[#This Row],[tipo_ot]]="","",_xlfn.XLOOKUP(tblOrdenes[[#This Row],[tipo_ot]],tblTiposOT[codigo],tblTiposOT[clasificacion],"sin_clasificar"))</f>
        <v/>
      </c>
      <c r="U745" s="3">
        <f>IF(tblOrdenes[[#This Row],[centro_costo]]="","",_xlfn.XLOOKUP(tblOrdenes[[#This Row],[centro_costo]],tblCECO[codigo],tblCECO[linea],"(sin catálogo)"))</f>
        <v/>
      </c>
      <c r="V745" s="3">
        <f>IF(tblOrdenes[[#This Row],[centro_costo]]="","",_xlfn.XLOOKUP(tblOrdenes[[#This Row],[centro_costo]],tblCECO[codigo],tblCECO[area],"(sin catálogo)"))</f>
        <v/>
      </c>
      <c r="W745" s="3">
        <f>IF(tblOrdenes[[#This Row],[centro_costo]]="","",_xlfn.XLOOKUP(tblOrdenes[[#This Row],[centro_costo]],tblCECO[codigo],tblCECO[coordinador],"(sin catálogo)"))</f>
        <v/>
      </c>
      <c r="X745" s="3">
        <f>IF(tblOrdenes[[#This Row],[puesto_trabajo]]="","",_xlfn.XLOOKUP(tblOrdenes[[#This Row],[puesto_trabajo]],tblPuestos[codigo],tblPuestos[especialidad],"(sin catálogo)"))</f>
        <v/>
      </c>
      <c r="Y745" s="3">
        <f>IF(tblOrdenes[[#This Row],[cod_actividad]]="","",_xlfn.XLOOKUP(tblOrdenes[[#This Row],[cod_actividad]],tblActividades[codigo],tblActividades[descripcion],"(sin catálogo)"))</f>
        <v/>
      </c>
      <c r="Z745" s="12">
        <f>IF(tblOrdenes[[#This Row],[fecha_inicio]]="","",TODAY()-tblOrdenes[[#This Row],[fecha_inicio]])</f>
        <v/>
      </c>
      <c r="AA745" s="3">
        <f>IF(tblOrdenes[[#This Row],[backlog_dias]]="","",IF(tblOrdenes[[#This Row],[backlog_dias]]&lt;0,"FUTURO",IF(tblOrdenes[[#This Row],[backlog_dias]]&gt;p_dias_backlog_max,"BACKLOG","MES CORRIENTE")))</f>
        <v/>
      </c>
      <c r="AB745" s="3">
        <f>IF(tblOrdenes[[#This Row],[backlog_dias]]="",FALSE,AND(tblOrdenes[[#This Row],[backlog_dias]]&gt;p_dias_backlog_min,tblOrdenes[[#This Row],[backlog_dias]]&lt;=p_dias_backlog_max))</f>
        <v/>
      </c>
      <c r="AC745" s="6" t="n"/>
      <c r="AD7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45" s="10">
        <f>IF(tblOrdenes[[#This Row],[orden]]="","",_xlfn.XLOOKUP(tblOrdenes[[#This Row],[id_operacion]],tblEjecucion[id_operacion],tblEjecucion[precio],0))</f>
        <v/>
      </c>
      <c r="AH745" s="10">
        <f>IF(tblOrdenes[[#This Row],[orden]]="","",MAX(0,_xlfn.XLOOKUP(tblOrdenes[[#This Row],[id_operacion]],tblEjecucion[id_operacion],tblEjecucion[costo_plan_total],0)-tblOrdenes[[#This Row],[costo_servicio]]))</f>
        <v/>
      </c>
      <c r="AI745" s="10">
        <f>IF(tblOrdenes[[#This Row],[orden]]="","",tblOrdenes[[#This Row],[costo_servicio]]+tblOrdenes[[#This Row],[costo_materiales]])</f>
        <v/>
      </c>
      <c r="AJ745" s="6" t="n"/>
      <c r="AK745" s="6" t="n"/>
      <c r="AL745" s="6" t="n"/>
      <c r="AM745" s="3">
        <f>IF(tblOrdenes[[#This Row],[link_checklist]]="","",HYPERLINK(p_ruta_base_checklists&amp;tblOrdenes[[#This Row],[link_checklist]],"abrir"))</f>
        <v/>
      </c>
      <c r="AN745" s="6" t="n"/>
      <c r="AO745" s="3">
        <f>IF(tblOrdenes[[#This Row],[orden]]="","",tblOrdenes[[#This Row],[orden]]&amp;IF(tblOrdenes[[#This Row],[operacion]]="","0010",tblOrdenes[[#This Row],[operacion]]))</f>
        <v/>
      </c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11" t="n"/>
      <c r="K746" s="3" t="n"/>
      <c r="L746" s="10" t="n"/>
      <c r="M746" s="6" t="n"/>
      <c r="N7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46" s="3">
        <f>IF(tblOrdenes[[#This Row],[fecha_inicio]]="","",YEAR(tblOrdenes[[#This Row],[fecha_inicio]]))</f>
        <v/>
      </c>
      <c r="R746" s="3">
        <f>IF(tblOrdenes[[#This Row],[fecha_inicio]]="","",MONTH(tblOrdenes[[#This Row],[fecha_inicio]]))</f>
        <v/>
      </c>
      <c r="S746" s="3">
        <f>IF(tblOrdenes[[#This Row],[fecha_inicio]]="","",INDEX(lista_dias,WEEKDAY(tblOrdenes[[#This Row],[fecha_inicio]],2)))</f>
        <v/>
      </c>
      <c r="T746" s="3">
        <f>IF(tblOrdenes[[#This Row],[tipo_ot]]="","",_xlfn.XLOOKUP(tblOrdenes[[#This Row],[tipo_ot]],tblTiposOT[codigo],tblTiposOT[clasificacion],"sin_clasificar"))</f>
        <v/>
      </c>
      <c r="U746" s="3">
        <f>IF(tblOrdenes[[#This Row],[centro_costo]]="","",_xlfn.XLOOKUP(tblOrdenes[[#This Row],[centro_costo]],tblCECO[codigo],tblCECO[linea],"(sin catálogo)"))</f>
        <v/>
      </c>
      <c r="V746" s="3">
        <f>IF(tblOrdenes[[#This Row],[centro_costo]]="","",_xlfn.XLOOKUP(tblOrdenes[[#This Row],[centro_costo]],tblCECO[codigo],tblCECO[area],"(sin catálogo)"))</f>
        <v/>
      </c>
      <c r="W746" s="3">
        <f>IF(tblOrdenes[[#This Row],[centro_costo]]="","",_xlfn.XLOOKUP(tblOrdenes[[#This Row],[centro_costo]],tblCECO[codigo],tblCECO[coordinador],"(sin catálogo)"))</f>
        <v/>
      </c>
      <c r="X746" s="3">
        <f>IF(tblOrdenes[[#This Row],[puesto_trabajo]]="","",_xlfn.XLOOKUP(tblOrdenes[[#This Row],[puesto_trabajo]],tblPuestos[codigo],tblPuestos[especialidad],"(sin catálogo)"))</f>
        <v/>
      </c>
      <c r="Y746" s="3">
        <f>IF(tblOrdenes[[#This Row],[cod_actividad]]="","",_xlfn.XLOOKUP(tblOrdenes[[#This Row],[cod_actividad]],tblActividades[codigo],tblActividades[descripcion],"(sin catálogo)"))</f>
        <v/>
      </c>
      <c r="Z746" s="12">
        <f>IF(tblOrdenes[[#This Row],[fecha_inicio]]="","",TODAY()-tblOrdenes[[#This Row],[fecha_inicio]])</f>
        <v/>
      </c>
      <c r="AA746" s="3">
        <f>IF(tblOrdenes[[#This Row],[backlog_dias]]="","",IF(tblOrdenes[[#This Row],[backlog_dias]]&lt;0,"FUTURO",IF(tblOrdenes[[#This Row],[backlog_dias]]&gt;p_dias_backlog_max,"BACKLOG","MES CORRIENTE")))</f>
        <v/>
      </c>
      <c r="AB746" s="3">
        <f>IF(tblOrdenes[[#This Row],[backlog_dias]]="",FALSE,AND(tblOrdenes[[#This Row],[backlog_dias]]&gt;p_dias_backlog_min,tblOrdenes[[#This Row],[backlog_dias]]&lt;=p_dias_backlog_max))</f>
        <v/>
      </c>
      <c r="AC746" s="6" t="n"/>
      <c r="AD7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46" s="10">
        <f>IF(tblOrdenes[[#This Row],[orden]]="","",_xlfn.XLOOKUP(tblOrdenes[[#This Row],[id_operacion]],tblEjecucion[id_operacion],tblEjecucion[precio],0))</f>
        <v/>
      </c>
      <c r="AH746" s="10">
        <f>IF(tblOrdenes[[#This Row],[orden]]="","",MAX(0,_xlfn.XLOOKUP(tblOrdenes[[#This Row],[id_operacion]],tblEjecucion[id_operacion],tblEjecucion[costo_plan_total],0)-tblOrdenes[[#This Row],[costo_servicio]]))</f>
        <v/>
      </c>
      <c r="AI746" s="10">
        <f>IF(tblOrdenes[[#This Row],[orden]]="","",tblOrdenes[[#This Row],[costo_servicio]]+tblOrdenes[[#This Row],[costo_materiales]])</f>
        <v/>
      </c>
      <c r="AJ746" s="6" t="n"/>
      <c r="AK746" s="6" t="n"/>
      <c r="AL746" s="6" t="n"/>
      <c r="AM746" s="3">
        <f>IF(tblOrdenes[[#This Row],[link_checklist]]="","",HYPERLINK(p_ruta_base_checklists&amp;tblOrdenes[[#This Row],[link_checklist]],"abrir"))</f>
        <v/>
      </c>
      <c r="AN746" s="6" t="n"/>
      <c r="AO746" s="3">
        <f>IF(tblOrdenes[[#This Row],[orden]]="","",tblOrdenes[[#This Row],[orden]]&amp;IF(tblOrdenes[[#This Row],[operacion]]="","0010",tblOrdenes[[#This Row],[operacion]]))</f>
        <v/>
      </c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11" t="n"/>
      <c r="K747" s="3" t="n"/>
      <c r="L747" s="10" t="n"/>
      <c r="M747" s="6" t="n"/>
      <c r="N7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47" s="3">
        <f>IF(tblOrdenes[[#This Row],[fecha_inicio]]="","",YEAR(tblOrdenes[[#This Row],[fecha_inicio]]))</f>
        <v/>
      </c>
      <c r="R747" s="3">
        <f>IF(tblOrdenes[[#This Row],[fecha_inicio]]="","",MONTH(tblOrdenes[[#This Row],[fecha_inicio]]))</f>
        <v/>
      </c>
      <c r="S747" s="3">
        <f>IF(tblOrdenes[[#This Row],[fecha_inicio]]="","",INDEX(lista_dias,WEEKDAY(tblOrdenes[[#This Row],[fecha_inicio]],2)))</f>
        <v/>
      </c>
      <c r="T747" s="3">
        <f>IF(tblOrdenes[[#This Row],[tipo_ot]]="","",_xlfn.XLOOKUP(tblOrdenes[[#This Row],[tipo_ot]],tblTiposOT[codigo],tblTiposOT[clasificacion],"sin_clasificar"))</f>
        <v/>
      </c>
      <c r="U747" s="3">
        <f>IF(tblOrdenes[[#This Row],[centro_costo]]="","",_xlfn.XLOOKUP(tblOrdenes[[#This Row],[centro_costo]],tblCECO[codigo],tblCECO[linea],"(sin catálogo)"))</f>
        <v/>
      </c>
      <c r="V747" s="3">
        <f>IF(tblOrdenes[[#This Row],[centro_costo]]="","",_xlfn.XLOOKUP(tblOrdenes[[#This Row],[centro_costo]],tblCECO[codigo],tblCECO[area],"(sin catálogo)"))</f>
        <v/>
      </c>
      <c r="W747" s="3">
        <f>IF(tblOrdenes[[#This Row],[centro_costo]]="","",_xlfn.XLOOKUP(tblOrdenes[[#This Row],[centro_costo]],tblCECO[codigo],tblCECO[coordinador],"(sin catálogo)"))</f>
        <v/>
      </c>
      <c r="X747" s="3">
        <f>IF(tblOrdenes[[#This Row],[puesto_trabajo]]="","",_xlfn.XLOOKUP(tblOrdenes[[#This Row],[puesto_trabajo]],tblPuestos[codigo],tblPuestos[especialidad],"(sin catálogo)"))</f>
        <v/>
      </c>
      <c r="Y747" s="3">
        <f>IF(tblOrdenes[[#This Row],[cod_actividad]]="","",_xlfn.XLOOKUP(tblOrdenes[[#This Row],[cod_actividad]],tblActividades[codigo],tblActividades[descripcion],"(sin catálogo)"))</f>
        <v/>
      </c>
      <c r="Z747" s="12">
        <f>IF(tblOrdenes[[#This Row],[fecha_inicio]]="","",TODAY()-tblOrdenes[[#This Row],[fecha_inicio]])</f>
        <v/>
      </c>
      <c r="AA747" s="3">
        <f>IF(tblOrdenes[[#This Row],[backlog_dias]]="","",IF(tblOrdenes[[#This Row],[backlog_dias]]&lt;0,"FUTURO",IF(tblOrdenes[[#This Row],[backlog_dias]]&gt;p_dias_backlog_max,"BACKLOG","MES CORRIENTE")))</f>
        <v/>
      </c>
      <c r="AB747" s="3">
        <f>IF(tblOrdenes[[#This Row],[backlog_dias]]="",FALSE,AND(tblOrdenes[[#This Row],[backlog_dias]]&gt;p_dias_backlog_min,tblOrdenes[[#This Row],[backlog_dias]]&lt;=p_dias_backlog_max))</f>
        <v/>
      </c>
      <c r="AC747" s="6" t="n"/>
      <c r="AD7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47" s="10">
        <f>IF(tblOrdenes[[#This Row],[orden]]="","",_xlfn.XLOOKUP(tblOrdenes[[#This Row],[id_operacion]],tblEjecucion[id_operacion],tblEjecucion[precio],0))</f>
        <v/>
      </c>
      <c r="AH747" s="10">
        <f>IF(tblOrdenes[[#This Row],[orden]]="","",MAX(0,_xlfn.XLOOKUP(tblOrdenes[[#This Row],[id_operacion]],tblEjecucion[id_operacion],tblEjecucion[costo_plan_total],0)-tblOrdenes[[#This Row],[costo_servicio]]))</f>
        <v/>
      </c>
      <c r="AI747" s="10">
        <f>IF(tblOrdenes[[#This Row],[orden]]="","",tblOrdenes[[#This Row],[costo_servicio]]+tblOrdenes[[#This Row],[costo_materiales]])</f>
        <v/>
      </c>
      <c r="AJ747" s="6" t="n"/>
      <c r="AK747" s="6" t="n"/>
      <c r="AL747" s="6" t="n"/>
      <c r="AM747" s="3">
        <f>IF(tblOrdenes[[#This Row],[link_checklist]]="","",HYPERLINK(p_ruta_base_checklists&amp;tblOrdenes[[#This Row],[link_checklist]],"abrir"))</f>
        <v/>
      </c>
      <c r="AN747" s="6" t="n"/>
      <c r="AO747" s="3">
        <f>IF(tblOrdenes[[#This Row],[orden]]="","",tblOrdenes[[#This Row],[orden]]&amp;IF(tblOrdenes[[#This Row],[operacion]]="","0010",tblOrdenes[[#This Row],[operacion]]))</f>
        <v/>
      </c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11" t="n"/>
      <c r="K748" s="3" t="n"/>
      <c r="L748" s="10" t="n"/>
      <c r="M748" s="6" t="n"/>
      <c r="N7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48" s="3">
        <f>IF(tblOrdenes[[#This Row],[fecha_inicio]]="","",YEAR(tblOrdenes[[#This Row],[fecha_inicio]]))</f>
        <v/>
      </c>
      <c r="R748" s="3">
        <f>IF(tblOrdenes[[#This Row],[fecha_inicio]]="","",MONTH(tblOrdenes[[#This Row],[fecha_inicio]]))</f>
        <v/>
      </c>
      <c r="S748" s="3">
        <f>IF(tblOrdenes[[#This Row],[fecha_inicio]]="","",INDEX(lista_dias,WEEKDAY(tblOrdenes[[#This Row],[fecha_inicio]],2)))</f>
        <v/>
      </c>
      <c r="T748" s="3">
        <f>IF(tblOrdenes[[#This Row],[tipo_ot]]="","",_xlfn.XLOOKUP(tblOrdenes[[#This Row],[tipo_ot]],tblTiposOT[codigo],tblTiposOT[clasificacion],"sin_clasificar"))</f>
        <v/>
      </c>
      <c r="U748" s="3">
        <f>IF(tblOrdenes[[#This Row],[centro_costo]]="","",_xlfn.XLOOKUP(tblOrdenes[[#This Row],[centro_costo]],tblCECO[codigo],tblCECO[linea],"(sin catálogo)"))</f>
        <v/>
      </c>
      <c r="V748" s="3">
        <f>IF(tblOrdenes[[#This Row],[centro_costo]]="","",_xlfn.XLOOKUP(tblOrdenes[[#This Row],[centro_costo]],tblCECO[codigo],tblCECO[area],"(sin catálogo)"))</f>
        <v/>
      </c>
      <c r="W748" s="3">
        <f>IF(tblOrdenes[[#This Row],[centro_costo]]="","",_xlfn.XLOOKUP(tblOrdenes[[#This Row],[centro_costo]],tblCECO[codigo],tblCECO[coordinador],"(sin catálogo)"))</f>
        <v/>
      </c>
      <c r="X748" s="3">
        <f>IF(tblOrdenes[[#This Row],[puesto_trabajo]]="","",_xlfn.XLOOKUP(tblOrdenes[[#This Row],[puesto_trabajo]],tblPuestos[codigo],tblPuestos[especialidad],"(sin catálogo)"))</f>
        <v/>
      </c>
      <c r="Y748" s="3">
        <f>IF(tblOrdenes[[#This Row],[cod_actividad]]="","",_xlfn.XLOOKUP(tblOrdenes[[#This Row],[cod_actividad]],tblActividades[codigo],tblActividades[descripcion],"(sin catálogo)"))</f>
        <v/>
      </c>
      <c r="Z748" s="12">
        <f>IF(tblOrdenes[[#This Row],[fecha_inicio]]="","",TODAY()-tblOrdenes[[#This Row],[fecha_inicio]])</f>
        <v/>
      </c>
      <c r="AA748" s="3">
        <f>IF(tblOrdenes[[#This Row],[backlog_dias]]="","",IF(tblOrdenes[[#This Row],[backlog_dias]]&lt;0,"FUTURO",IF(tblOrdenes[[#This Row],[backlog_dias]]&gt;p_dias_backlog_max,"BACKLOG","MES CORRIENTE")))</f>
        <v/>
      </c>
      <c r="AB748" s="3">
        <f>IF(tblOrdenes[[#This Row],[backlog_dias]]="",FALSE,AND(tblOrdenes[[#This Row],[backlog_dias]]&gt;p_dias_backlog_min,tblOrdenes[[#This Row],[backlog_dias]]&lt;=p_dias_backlog_max))</f>
        <v/>
      </c>
      <c r="AC748" s="6" t="n"/>
      <c r="AD7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48" s="10">
        <f>IF(tblOrdenes[[#This Row],[orden]]="","",_xlfn.XLOOKUP(tblOrdenes[[#This Row],[id_operacion]],tblEjecucion[id_operacion],tblEjecucion[precio],0))</f>
        <v/>
      </c>
      <c r="AH748" s="10">
        <f>IF(tblOrdenes[[#This Row],[orden]]="","",MAX(0,_xlfn.XLOOKUP(tblOrdenes[[#This Row],[id_operacion]],tblEjecucion[id_operacion],tblEjecucion[costo_plan_total],0)-tblOrdenes[[#This Row],[costo_servicio]]))</f>
        <v/>
      </c>
      <c r="AI748" s="10">
        <f>IF(tblOrdenes[[#This Row],[orden]]="","",tblOrdenes[[#This Row],[costo_servicio]]+tblOrdenes[[#This Row],[costo_materiales]])</f>
        <v/>
      </c>
      <c r="AJ748" s="6" t="n"/>
      <c r="AK748" s="6" t="n"/>
      <c r="AL748" s="6" t="n"/>
      <c r="AM748" s="3">
        <f>IF(tblOrdenes[[#This Row],[link_checklist]]="","",HYPERLINK(p_ruta_base_checklists&amp;tblOrdenes[[#This Row],[link_checklist]],"abrir"))</f>
        <v/>
      </c>
      <c r="AN748" s="6" t="n"/>
      <c r="AO748" s="3">
        <f>IF(tblOrdenes[[#This Row],[orden]]="","",tblOrdenes[[#This Row],[orden]]&amp;IF(tblOrdenes[[#This Row],[operacion]]="","0010",tblOrdenes[[#This Row],[operacion]]))</f>
        <v/>
      </c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11" t="n"/>
      <c r="K749" s="3" t="n"/>
      <c r="L749" s="10" t="n"/>
      <c r="M749" s="6" t="n"/>
      <c r="N7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49" s="3">
        <f>IF(tblOrdenes[[#This Row],[fecha_inicio]]="","",YEAR(tblOrdenes[[#This Row],[fecha_inicio]]))</f>
        <v/>
      </c>
      <c r="R749" s="3">
        <f>IF(tblOrdenes[[#This Row],[fecha_inicio]]="","",MONTH(tblOrdenes[[#This Row],[fecha_inicio]]))</f>
        <v/>
      </c>
      <c r="S749" s="3">
        <f>IF(tblOrdenes[[#This Row],[fecha_inicio]]="","",INDEX(lista_dias,WEEKDAY(tblOrdenes[[#This Row],[fecha_inicio]],2)))</f>
        <v/>
      </c>
      <c r="T749" s="3">
        <f>IF(tblOrdenes[[#This Row],[tipo_ot]]="","",_xlfn.XLOOKUP(tblOrdenes[[#This Row],[tipo_ot]],tblTiposOT[codigo],tblTiposOT[clasificacion],"sin_clasificar"))</f>
        <v/>
      </c>
      <c r="U749" s="3">
        <f>IF(tblOrdenes[[#This Row],[centro_costo]]="","",_xlfn.XLOOKUP(tblOrdenes[[#This Row],[centro_costo]],tblCECO[codigo],tblCECO[linea],"(sin catálogo)"))</f>
        <v/>
      </c>
      <c r="V749" s="3">
        <f>IF(tblOrdenes[[#This Row],[centro_costo]]="","",_xlfn.XLOOKUP(tblOrdenes[[#This Row],[centro_costo]],tblCECO[codigo],tblCECO[area],"(sin catálogo)"))</f>
        <v/>
      </c>
      <c r="W749" s="3">
        <f>IF(tblOrdenes[[#This Row],[centro_costo]]="","",_xlfn.XLOOKUP(tblOrdenes[[#This Row],[centro_costo]],tblCECO[codigo],tblCECO[coordinador],"(sin catálogo)"))</f>
        <v/>
      </c>
      <c r="X749" s="3">
        <f>IF(tblOrdenes[[#This Row],[puesto_trabajo]]="","",_xlfn.XLOOKUP(tblOrdenes[[#This Row],[puesto_trabajo]],tblPuestos[codigo],tblPuestos[especialidad],"(sin catálogo)"))</f>
        <v/>
      </c>
      <c r="Y749" s="3">
        <f>IF(tblOrdenes[[#This Row],[cod_actividad]]="","",_xlfn.XLOOKUP(tblOrdenes[[#This Row],[cod_actividad]],tblActividades[codigo],tblActividades[descripcion],"(sin catálogo)"))</f>
        <v/>
      </c>
      <c r="Z749" s="12">
        <f>IF(tblOrdenes[[#This Row],[fecha_inicio]]="","",TODAY()-tblOrdenes[[#This Row],[fecha_inicio]])</f>
        <v/>
      </c>
      <c r="AA749" s="3">
        <f>IF(tblOrdenes[[#This Row],[backlog_dias]]="","",IF(tblOrdenes[[#This Row],[backlog_dias]]&lt;0,"FUTURO",IF(tblOrdenes[[#This Row],[backlog_dias]]&gt;p_dias_backlog_max,"BACKLOG","MES CORRIENTE")))</f>
        <v/>
      </c>
      <c r="AB749" s="3">
        <f>IF(tblOrdenes[[#This Row],[backlog_dias]]="",FALSE,AND(tblOrdenes[[#This Row],[backlog_dias]]&gt;p_dias_backlog_min,tblOrdenes[[#This Row],[backlog_dias]]&lt;=p_dias_backlog_max))</f>
        <v/>
      </c>
      <c r="AC749" s="6" t="n"/>
      <c r="AD7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49" s="10">
        <f>IF(tblOrdenes[[#This Row],[orden]]="","",_xlfn.XLOOKUP(tblOrdenes[[#This Row],[id_operacion]],tblEjecucion[id_operacion],tblEjecucion[precio],0))</f>
        <v/>
      </c>
      <c r="AH749" s="10">
        <f>IF(tblOrdenes[[#This Row],[orden]]="","",MAX(0,_xlfn.XLOOKUP(tblOrdenes[[#This Row],[id_operacion]],tblEjecucion[id_operacion],tblEjecucion[costo_plan_total],0)-tblOrdenes[[#This Row],[costo_servicio]]))</f>
        <v/>
      </c>
      <c r="AI749" s="10">
        <f>IF(tblOrdenes[[#This Row],[orden]]="","",tblOrdenes[[#This Row],[costo_servicio]]+tblOrdenes[[#This Row],[costo_materiales]])</f>
        <v/>
      </c>
      <c r="AJ749" s="6" t="n"/>
      <c r="AK749" s="6" t="n"/>
      <c r="AL749" s="6" t="n"/>
      <c r="AM749" s="3">
        <f>IF(tblOrdenes[[#This Row],[link_checklist]]="","",HYPERLINK(p_ruta_base_checklists&amp;tblOrdenes[[#This Row],[link_checklist]],"abrir"))</f>
        <v/>
      </c>
      <c r="AN749" s="6" t="n"/>
      <c r="AO749" s="3">
        <f>IF(tblOrdenes[[#This Row],[orden]]="","",tblOrdenes[[#This Row],[orden]]&amp;IF(tblOrdenes[[#This Row],[operacion]]="","0010",tblOrdenes[[#This Row],[operacion]]))</f>
        <v/>
      </c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11" t="n"/>
      <c r="K750" s="3" t="n"/>
      <c r="L750" s="10" t="n"/>
      <c r="M750" s="6" t="n"/>
      <c r="N7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50" s="3">
        <f>IF(tblOrdenes[[#This Row],[fecha_inicio]]="","",YEAR(tblOrdenes[[#This Row],[fecha_inicio]]))</f>
        <v/>
      </c>
      <c r="R750" s="3">
        <f>IF(tblOrdenes[[#This Row],[fecha_inicio]]="","",MONTH(tblOrdenes[[#This Row],[fecha_inicio]]))</f>
        <v/>
      </c>
      <c r="S750" s="3">
        <f>IF(tblOrdenes[[#This Row],[fecha_inicio]]="","",INDEX(lista_dias,WEEKDAY(tblOrdenes[[#This Row],[fecha_inicio]],2)))</f>
        <v/>
      </c>
      <c r="T750" s="3">
        <f>IF(tblOrdenes[[#This Row],[tipo_ot]]="","",_xlfn.XLOOKUP(tblOrdenes[[#This Row],[tipo_ot]],tblTiposOT[codigo],tblTiposOT[clasificacion],"sin_clasificar"))</f>
        <v/>
      </c>
      <c r="U750" s="3">
        <f>IF(tblOrdenes[[#This Row],[centro_costo]]="","",_xlfn.XLOOKUP(tblOrdenes[[#This Row],[centro_costo]],tblCECO[codigo],tblCECO[linea],"(sin catálogo)"))</f>
        <v/>
      </c>
      <c r="V750" s="3">
        <f>IF(tblOrdenes[[#This Row],[centro_costo]]="","",_xlfn.XLOOKUP(tblOrdenes[[#This Row],[centro_costo]],tblCECO[codigo],tblCECO[area],"(sin catálogo)"))</f>
        <v/>
      </c>
      <c r="W750" s="3">
        <f>IF(tblOrdenes[[#This Row],[centro_costo]]="","",_xlfn.XLOOKUP(tblOrdenes[[#This Row],[centro_costo]],tblCECO[codigo],tblCECO[coordinador],"(sin catálogo)"))</f>
        <v/>
      </c>
      <c r="X750" s="3">
        <f>IF(tblOrdenes[[#This Row],[puesto_trabajo]]="","",_xlfn.XLOOKUP(tblOrdenes[[#This Row],[puesto_trabajo]],tblPuestos[codigo],tblPuestos[especialidad],"(sin catálogo)"))</f>
        <v/>
      </c>
      <c r="Y750" s="3">
        <f>IF(tblOrdenes[[#This Row],[cod_actividad]]="","",_xlfn.XLOOKUP(tblOrdenes[[#This Row],[cod_actividad]],tblActividades[codigo],tblActividades[descripcion],"(sin catálogo)"))</f>
        <v/>
      </c>
      <c r="Z750" s="12">
        <f>IF(tblOrdenes[[#This Row],[fecha_inicio]]="","",TODAY()-tblOrdenes[[#This Row],[fecha_inicio]])</f>
        <v/>
      </c>
      <c r="AA750" s="3">
        <f>IF(tblOrdenes[[#This Row],[backlog_dias]]="","",IF(tblOrdenes[[#This Row],[backlog_dias]]&lt;0,"FUTURO",IF(tblOrdenes[[#This Row],[backlog_dias]]&gt;p_dias_backlog_max,"BACKLOG","MES CORRIENTE")))</f>
        <v/>
      </c>
      <c r="AB750" s="3">
        <f>IF(tblOrdenes[[#This Row],[backlog_dias]]="",FALSE,AND(tblOrdenes[[#This Row],[backlog_dias]]&gt;p_dias_backlog_min,tblOrdenes[[#This Row],[backlog_dias]]&lt;=p_dias_backlog_max))</f>
        <v/>
      </c>
      <c r="AC750" s="6" t="n"/>
      <c r="AD7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50" s="10">
        <f>IF(tblOrdenes[[#This Row],[orden]]="","",_xlfn.XLOOKUP(tblOrdenes[[#This Row],[id_operacion]],tblEjecucion[id_operacion],tblEjecucion[precio],0))</f>
        <v/>
      </c>
      <c r="AH750" s="10">
        <f>IF(tblOrdenes[[#This Row],[orden]]="","",MAX(0,_xlfn.XLOOKUP(tblOrdenes[[#This Row],[id_operacion]],tblEjecucion[id_operacion],tblEjecucion[costo_plan_total],0)-tblOrdenes[[#This Row],[costo_servicio]]))</f>
        <v/>
      </c>
      <c r="AI750" s="10">
        <f>IF(tblOrdenes[[#This Row],[orden]]="","",tblOrdenes[[#This Row],[costo_servicio]]+tblOrdenes[[#This Row],[costo_materiales]])</f>
        <v/>
      </c>
      <c r="AJ750" s="6" t="n"/>
      <c r="AK750" s="6" t="n"/>
      <c r="AL750" s="6" t="n"/>
      <c r="AM750" s="3">
        <f>IF(tblOrdenes[[#This Row],[link_checklist]]="","",HYPERLINK(p_ruta_base_checklists&amp;tblOrdenes[[#This Row],[link_checklist]],"abrir"))</f>
        <v/>
      </c>
      <c r="AN750" s="6" t="n"/>
      <c r="AO750" s="3">
        <f>IF(tblOrdenes[[#This Row],[orden]]="","",tblOrdenes[[#This Row],[orden]]&amp;IF(tblOrdenes[[#This Row],[operacion]]="","0010",tblOrdenes[[#This Row],[operacion]]))</f>
        <v/>
      </c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11" t="n"/>
      <c r="K751" s="3" t="n"/>
      <c r="L751" s="10" t="n"/>
      <c r="M751" s="6" t="n"/>
      <c r="N7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51" s="3">
        <f>IF(tblOrdenes[[#This Row],[fecha_inicio]]="","",YEAR(tblOrdenes[[#This Row],[fecha_inicio]]))</f>
        <v/>
      </c>
      <c r="R751" s="3">
        <f>IF(tblOrdenes[[#This Row],[fecha_inicio]]="","",MONTH(tblOrdenes[[#This Row],[fecha_inicio]]))</f>
        <v/>
      </c>
      <c r="S751" s="3">
        <f>IF(tblOrdenes[[#This Row],[fecha_inicio]]="","",INDEX(lista_dias,WEEKDAY(tblOrdenes[[#This Row],[fecha_inicio]],2)))</f>
        <v/>
      </c>
      <c r="T751" s="3">
        <f>IF(tblOrdenes[[#This Row],[tipo_ot]]="","",_xlfn.XLOOKUP(tblOrdenes[[#This Row],[tipo_ot]],tblTiposOT[codigo],tblTiposOT[clasificacion],"sin_clasificar"))</f>
        <v/>
      </c>
      <c r="U751" s="3">
        <f>IF(tblOrdenes[[#This Row],[centro_costo]]="","",_xlfn.XLOOKUP(tblOrdenes[[#This Row],[centro_costo]],tblCECO[codigo],tblCECO[linea],"(sin catálogo)"))</f>
        <v/>
      </c>
      <c r="V751" s="3">
        <f>IF(tblOrdenes[[#This Row],[centro_costo]]="","",_xlfn.XLOOKUP(tblOrdenes[[#This Row],[centro_costo]],tblCECO[codigo],tblCECO[area],"(sin catálogo)"))</f>
        <v/>
      </c>
      <c r="W751" s="3">
        <f>IF(tblOrdenes[[#This Row],[centro_costo]]="","",_xlfn.XLOOKUP(tblOrdenes[[#This Row],[centro_costo]],tblCECO[codigo],tblCECO[coordinador],"(sin catálogo)"))</f>
        <v/>
      </c>
      <c r="X751" s="3">
        <f>IF(tblOrdenes[[#This Row],[puesto_trabajo]]="","",_xlfn.XLOOKUP(tblOrdenes[[#This Row],[puesto_trabajo]],tblPuestos[codigo],tblPuestos[especialidad],"(sin catálogo)"))</f>
        <v/>
      </c>
      <c r="Y751" s="3">
        <f>IF(tblOrdenes[[#This Row],[cod_actividad]]="","",_xlfn.XLOOKUP(tblOrdenes[[#This Row],[cod_actividad]],tblActividades[codigo],tblActividades[descripcion],"(sin catálogo)"))</f>
        <v/>
      </c>
      <c r="Z751" s="12">
        <f>IF(tblOrdenes[[#This Row],[fecha_inicio]]="","",TODAY()-tblOrdenes[[#This Row],[fecha_inicio]])</f>
        <v/>
      </c>
      <c r="AA751" s="3">
        <f>IF(tblOrdenes[[#This Row],[backlog_dias]]="","",IF(tblOrdenes[[#This Row],[backlog_dias]]&lt;0,"FUTURO",IF(tblOrdenes[[#This Row],[backlog_dias]]&gt;p_dias_backlog_max,"BACKLOG","MES CORRIENTE")))</f>
        <v/>
      </c>
      <c r="AB751" s="3">
        <f>IF(tblOrdenes[[#This Row],[backlog_dias]]="",FALSE,AND(tblOrdenes[[#This Row],[backlog_dias]]&gt;p_dias_backlog_min,tblOrdenes[[#This Row],[backlog_dias]]&lt;=p_dias_backlog_max))</f>
        <v/>
      </c>
      <c r="AC751" s="6" t="n"/>
      <c r="AD7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51" s="10">
        <f>IF(tblOrdenes[[#This Row],[orden]]="","",_xlfn.XLOOKUP(tblOrdenes[[#This Row],[id_operacion]],tblEjecucion[id_operacion],tblEjecucion[precio],0))</f>
        <v/>
      </c>
      <c r="AH751" s="10">
        <f>IF(tblOrdenes[[#This Row],[orden]]="","",MAX(0,_xlfn.XLOOKUP(tblOrdenes[[#This Row],[id_operacion]],tblEjecucion[id_operacion],tblEjecucion[costo_plan_total],0)-tblOrdenes[[#This Row],[costo_servicio]]))</f>
        <v/>
      </c>
      <c r="AI751" s="10">
        <f>IF(tblOrdenes[[#This Row],[orden]]="","",tblOrdenes[[#This Row],[costo_servicio]]+tblOrdenes[[#This Row],[costo_materiales]])</f>
        <v/>
      </c>
      <c r="AJ751" s="6" t="n"/>
      <c r="AK751" s="6" t="n"/>
      <c r="AL751" s="6" t="n"/>
      <c r="AM751" s="3">
        <f>IF(tblOrdenes[[#This Row],[link_checklist]]="","",HYPERLINK(p_ruta_base_checklists&amp;tblOrdenes[[#This Row],[link_checklist]],"abrir"))</f>
        <v/>
      </c>
      <c r="AN751" s="6" t="n"/>
      <c r="AO751" s="3">
        <f>IF(tblOrdenes[[#This Row],[orden]]="","",tblOrdenes[[#This Row],[orden]]&amp;IF(tblOrdenes[[#This Row],[operacion]]="","0010",tblOrdenes[[#This Row],[operacion]]))</f>
        <v/>
      </c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11" t="n"/>
      <c r="K752" s="3" t="n"/>
      <c r="L752" s="10" t="n"/>
      <c r="M752" s="6" t="n"/>
      <c r="N7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52" s="3">
        <f>IF(tblOrdenes[[#This Row],[fecha_inicio]]="","",YEAR(tblOrdenes[[#This Row],[fecha_inicio]]))</f>
        <v/>
      </c>
      <c r="R752" s="3">
        <f>IF(tblOrdenes[[#This Row],[fecha_inicio]]="","",MONTH(tblOrdenes[[#This Row],[fecha_inicio]]))</f>
        <v/>
      </c>
      <c r="S752" s="3">
        <f>IF(tblOrdenes[[#This Row],[fecha_inicio]]="","",INDEX(lista_dias,WEEKDAY(tblOrdenes[[#This Row],[fecha_inicio]],2)))</f>
        <v/>
      </c>
      <c r="T752" s="3">
        <f>IF(tblOrdenes[[#This Row],[tipo_ot]]="","",_xlfn.XLOOKUP(tblOrdenes[[#This Row],[tipo_ot]],tblTiposOT[codigo],tblTiposOT[clasificacion],"sin_clasificar"))</f>
        <v/>
      </c>
      <c r="U752" s="3">
        <f>IF(tblOrdenes[[#This Row],[centro_costo]]="","",_xlfn.XLOOKUP(tblOrdenes[[#This Row],[centro_costo]],tblCECO[codigo],tblCECO[linea],"(sin catálogo)"))</f>
        <v/>
      </c>
      <c r="V752" s="3">
        <f>IF(tblOrdenes[[#This Row],[centro_costo]]="","",_xlfn.XLOOKUP(tblOrdenes[[#This Row],[centro_costo]],tblCECO[codigo],tblCECO[area],"(sin catálogo)"))</f>
        <v/>
      </c>
      <c r="W752" s="3">
        <f>IF(tblOrdenes[[#This Row],[centro_costo]]="","",_xlfn.XLOOKUP(tblOrdenes[[#This Row],[centro_costo]],tblCECO[codigo],tblCECO[coordinador],"(sin catálogo)"))</f>
        <v/>
      </c>
      <c r="X752" s="3">
        <f>IF(tblOrdenes[[#This Row],[puesto_trabajo]]="","",_xlfn.XLOOKUP(tblOrdenes[[#This Row],[puesto_trabajo]],tblPuestos[codigo],tblPuestos[especialidad],"(sin catálogo)"))</f>
        <v/>
      </c>
      <c r="Y752" s="3">
        <f>IF(tblOrdenes[[#This Row],[cod_actividad]]="","",_xlfn.XLOOKUP(tblOrdenes[[#This Row],[cod_actividad]],tblActividades[codigo],tblActividades[descripcion],"(sin catálogo)"))</f>
        <v/>
      </c>
      <c r="Z752" s="12">
        <f>IF(tblOrdenes[[#This Row],[fecha_inicio]]="","",TODAY()-tblOrdenes[[#This Row],[fecha_inicio]])</f>
        <v/>
      </c>
      <c r="AA752" s="3">
        <f>IF(tblOrdenes[[#This Row],[backlog_dias]]="","",IF(tblOrdenes[[#This Row],[backlog_dias]]&lt;0,"FUTURO",IF(tblOrdenes[[#This Row],[backlog_dias]]&gt;p_dias_backlog_max,"BACKLOG","MES CORRIENTE")))</f>
        <v/>
      </c>
      <c r="AB752" s="3">
        <f>IF(tblOrdenes[[#This Row],[backlog_dias]]="",FALSE,AND(tblOrdenes[[#This Row],[backlog_dias]]&gt;p_dias_backlog_min,tblOrdenes[[#This Row],[backlog_dias]]&lt;=p_dias_backlog_max))</f>
        <v/>
      </c>
      <c r="AC752" s="6" t="n"/>
      <c r="AD7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52" s="10">
        <f>IF(tblOrdenes[[#This Row],[orden]]="","",_xlfn.XLOOKUP(tblOrdenes[[#This Row],[id_operacion]],tblEjecucion[id_operacion],tblEjecucion[precio],0))</f>
        <v/>
      </c>
      <c r="AH752" s="10">
        <f>IF(tblOrdenes[[#This Row],[orden]]="","",MAX(0,_xlfn.XLOOKUP(tblOrdenes[[#This Row],[id_operacion]],tblEjecucion[id_operacion],tblEjecucion[costo_plan_total],0)-tblOrdenes[[#This Row],[costo_servicio]]))</f>
        <v/>
      </c>
      <c r="AI752" s="10">
        <f>IF(tblOrdenes[[#This Row],[orden]]="","",tblOrdenes[[#This Row],[costo_servicio]]+tblOrdenes[[#This Row],[costo_materiales]])</f>
        <v/>
      </c>
      <c r="AJ752" s="6" t="n"/>
      <c r="AK752" s="6" t="n"/>
      <c r="AL752" s="6" t="n"/>
      <c r="AM752" s="3">
        <f>IF(tblOrdenes[[#This Row],[link_checklist]]="","",HYPERLINK(p_ruta_base_checklists&amp;tblOrdenes[[#This Row],[link_checklist]],"abrir"))</f>
        <v/>
      </c>
      <c r="AN752" s="6" t="n"/>
      <c r="AO752" s="3">
        <f>IF(tblOrdenes[[#This Row],[orden]]="","",tblOrdenes[[#This Row],[orden]]&amp;IF(tblOrdenes[[#This Row],[operacion]]="","0010",tblOrdenes[[#This Row],[operacion]]))</f>
        <v/>
      </c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11" t="n"/>
      <c r="K753" s="3" t="n"/>
      <c r="L753" s="10" t="n"/>
      <c r="M753" s="6" t="n"/>
      <c r="N7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53" s="3">
        <f>IF(tblOrdenes[[#This Row],[fecha_inicio]]="","",YEAR(tblOrdenes[[#This Row],[fecha_inicio]]))</f>
        <v/>
      </c>
      <c r="R753" s="3">
        <f>IF(tblOrdenes[[#This Row],[fecha_inicio]]="","",MONTH(tblOrdenes[[#This Row],[fecha_inicio]]))</f>
        <v/>
      </c>
      <c r="S753" s="3">
        <f>IF(tblOrdenes[[#This Row],[fecha_inicio]]="","",INDEX(lista_dias,WEEKDAY(tblOrdenes[[#This Row],[fecha_inicio]],2)))</f>
        <v/>
      </c>
      <c r="T753" s="3">
        <f>IF(tblOrdenes[[#This Row],[tipo_ot]]="","",_xlfn.XLOOKUP(tblOrdenes[[#This Row],[tipo_ot]],tblTiposOT[codigo],tblTiposOT[clasificacion],"sin_clasificar"))</f>
        <v/>
      </c>
      <c r="U753" s="3">
        <f>IF(tblOrdenes[[#This Row],[centro_costo]]="","",_xlfn.XLOOKUP(tblOrdenes[[#This Row],[centro_costo]],tblCECO[codigo],tblCECO[linea],"(sin catálogo)"))</f>
        <v/>
      </c>
      <c r="V753" s="3">
        <f>IF(tblOrdenes[[#This Row],[centro_costo]]="","",_xlfn.XLOOKUP(tblOrdenes[[#This Row],[centro_costo]],tblCECO[codigo],tblCECO[area],"(sin catálogo)"))</f>
        <v/>
      </c>
      <c r="W753" s="3">
        <f>IF(tblOrdenes[[#This Row],[centro_costo]]="","",_xlfn.XLOOKUP(tblOrdenes[[#This Row],[centro_costo]],tblCECO[codigo],tblCECO[coordinador],"(sin catálogo)"))</f>
        <v/>
      </c>
      <c r="X753" s="3">
        <f>IF(tblOrdenes[[#This Row],[puesto_trabajo]]="","",_xlfn.XLOOKUP(tblOrdenes[[#This Row],[puesto_trabajo]],tblPuestos[codigo],tblPuestos[especialidad],"(sin catálogo)"))</f>
        <v/>
      </c>
      <c r="Y753" s="3">
        <f>IF(tblOrdenes[[#This Row],[cod_actividad]]="","",_xlfn.XLOOKUP(tblOrdenes[[#This Row],[cod_actividad]],tblActividades[codigo],tblActividades[descripcion],"(sin catálogo)"))</f>
        <v/>
      </c>
      <c r="Z753" s="12">
        <f>IF(tblOrdenes[[#This Row],[fecha_inicio]]="","",TODAY()-tblOrdenes[[#This Row],[fecha_inicio]])</f>
        <v/>
      </c>
      <c r="AA753" s="3">
        <f>IF(tblOrdenes[[#This Row],[backlog_dias]]="","",IF(tblOrdenes[[#This Row],[backlog_dias]]&lt;0,"FUTURO",IF(tblOrdenes[[#This Row],[backlog_dias]]&gt;p_dias_backlog_max,"BACKLOG","MES CORRIENTE")))</f>
        <v/>
      </c>
      <c r="AB753" s="3">
        <f>IF(tblOrdenes[[#This Row],[backlog_dias]]="",FALSE,AND(tblOrdenes[[#This Row],[backlog_dias]]&gt;p_dias_backlog_min,tblOrdenes[[#This Row],[backlog_dias]]&lt;=p_dias_backlog_max))</f>
        <v/>
      </c>
      <c r="AC753" s="6" t="n"/>
      <c r="AD7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53" s="10">
        <f>IF(tblOrdenes[[#This Row],[orden]]="","",_xlfn.XLOOKUP(tblOrdenes[[#This Row],[id_operacion]],tblEjecucion[id_operacion],tblEjecucion[precio],0))</f>
        <v/>
      </c>
      <c r="AH753" s="10">
        <f>IF(tblOrdenes[[#This Row],[orden]]="","",MAX(0,_xlfn.XLOOKUP(tblOrdenes[[#This Row],[id_operacion]],tblEjecucion[id_operacion],tblEjecucion[costo_plan_total],0)-tblOrdenes[[#This Row],[costo_servicio]]))</f>
        <v/>
      </c>
      <c r="AI753" s="10">
        <f>IF(tblOrdenes[[#This Row],[orden]]="","",tblOrdenes[[#This Row],[costo_servicio]]+tblOrdenes[[#This Row],[costo_materiales]])</f>
        <v/>
      </c>
      <c r="AJ753" s="6" t="n"/>
      <c r="AK753" s="6" t="n"/>
      <c r="AL753" s="6" t="n"/>
      <c r="AM753" s="3">
        <f>IF(tblOrdenes[[#This Row],[link_checklist]]="","",HYPERLINK(p_ruta_base_checklists&amp;tblOrdenes[[#This Row],[link_checklist]],"abrir"))</f>
        <v/>
      </c>
      <c r="AN753" s="6" t="n"/>
      <c r="AO753" s="3">
        <f>IF(tblOrdenes[[#This Row],[orden]]="","",tblOrdenes[[#This Row],[orden]]&amp;IF(tblOrdenes[[#This Row],[operacion]]="","0010",tblOrdenes[[#This Row],[operacion]]))</f>
        <v/>
      </c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11" t="n"/>
      <c r="K754" s="3" t="n"/>
      <c r="L754" s="10" t="n"/>
      <c r="M754" s="6" t="n"/>
      <c r="N7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54" s="3">
        <f>IF(tblOrdenes[[#This Row],[fecha_inicio]]="","",YEAR(tblOrdenes[[#This Row],[fecha_inicio]]))</f>
        <v/>
      </c>
      <c r="R754" s="3">
        <f>IF(tblOrdenes[[#This Row],[fecha_inicio]]="","",MONTH(tblOrdenes[[#This Row],[fecha_inicio]]))</f>
        <v/>
      </c>
      <c r="S754" s="3">
        <f>IF(tblOrdenes[[#This Row],[fecha_inicio]]="","",INDEX(lista_dias,WEEKDAY(tblOrdenes[[#This Row],[fecha_inicio]],2)))</f>
        <v/>
      </c>
      <c r="T754" s="3">
        <f>IF(tblOrdenes[[#This Row],[tipo_ot]]="","",_xlfn.XLOOKUP(tblOrdenes[[#This Row],[tipo_ot]],tblTiposOT[codigo],tblTiposOT[clasificacion],"sin_clasificar"))</f>
        <v/>
      </c>
      <c r="U754" s="3">
        <f>IF(tblOrdenes[[#This Row],[centro_costo]]="","",_xlfn.XLOOKUP(tblOrdenes[[#This Row],[centro_costo]],tblCECO[codigo],tblCECO[linea],"(sin catálogo)"))</f>
        <v/>
      </c>
      <c r="V754" s="3">
        <f>IF(tblOrdenes[[#This Row],[centro_costo]]="","",_xlfn.XLOOKUP(tblOrdenes[[#This Row],[centro_costo]],tblCECO[codigo],tblCECO[area],"(sin catálogo)"))</f>
        <v/>
      </c>
      <c r="W754" s="3">
        <f>IF(tblOrdenes[[#This Row],[centro_costo]]="","",_xlfn.XLOOKUP(tblOrdenes[[#This Row],[centro_costo]],tblCECO[codigo],tblCECO[coordinador],"(sin catálogo)"))</f>
        <v/>
      </c>
      <c r="X754" s="3">
        <f>IF(tblOrdenes[[#This Row],[puesto_trabajo]]="","",_xlfn.XLOOKUP(tblOrdenes[[#This Row],[puesto_trabajo]],tblPuestos[codigo],tblPuestos[especialidad],"(sin catálogo)"))</f>
        <v/>
      </c>
      <c r="Y754" s="3">
        <f>IF(tblOrdenes[[#This Row],[cod_actividad]]="","",_xlfn.XLOOKUP(tblOrdenes[[#This Row],[cod_actividad]],tblActividades[codigo],tblActividades[descripcion],"(sin catálogo)"))</f>
        <v/>
      </c>
      <c r="Z754" s="12">
        <f>IF(tblOrdenes[[#This Row],[fecha_inicio]]="","",TODAY()-tblOrdenes[[#This Row],[fecha_inicio]])</f>
        <v/>
      </c>
      <c r="AA754" s="3">
        <f>IF(tblOrdenes[[#This Row],[backlog_dias]]="","",IF(tblOrdenes[[#This Row],[backlog_dias]]&lt;0,"FUTURO",IF(tblOrdenes[[#This Row],[backlog_dias]]&gt;p_dias_backlog_max,"BACKLOG","MES CORRIENTE")))</f>
        <v/>
      </c>
      <c r="AB754" s="3">
        <f>IF(tblOrdenes[[#This Row],[backlog_dias]]="",FALSE,AND(tblOrdenes[[#This Row],[backlog_dias]]&gt;p_dias_backlog_min,tblOrdenes[[#This Row],[backlog_dias]]&lt;=p_dias_backlog_max))</f>
        <v/>
      </c>
      <c r="AC754" s="6" t="n"/>
      <c r="AD7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54" s="10">
        <f>IF(tblOrdenes[[#This Row],[orden]]="","",_xlfn.XLOOKUP(tblOrdenes[[#This Row],[id_operacion]],tblEjecucion[id_operacion],tblEjecucion[precio],0))</f>
        <v/>
      </c>
      <c r="AH754" s="10">
        <f>IF(tblOrdenes[[#This Row],[orden]]="","",MAX(0,_xlfn.XLOOKUP(tblOrdenes[[#This Row],[id_operacion]],tblEjecucion[id_operacion],tblEjecucion[costo_plan_total],0)-tblOrdenes[[#This Row],[costo_servicio]]))</f>
        <v/>
      </c>
      <c r="AI754" s="10">
        <f>IF(tblOrdenes[[#This Row],[orden]]="","",tblOrdenes[[#This Row],[costo_servicio]]+tblOrdenes[[#This Row],[costo_materiales]])</f>
        <v/>
      </c>
      <c r="AJ754" s="6" t="n"/>
      <c r="AK754" s="6" t="n"/>
      <c r="AL754" s="6" t="n"/>
      <c r="AM754" s="3">
        <f>IF(tblOrdenes[[#This Row],[link_checklist]]="","",HYPERLINK(p_ruta_base_checklists&amp;tblOrdenes[[#This Row],[link_checklist]],"abrir"))</f>
        <v/>
      </c>
      <c r="AN754" s="6" t="n"/>
      <c r="AO754" s="3">
        <f>IF(tblOrdenes[[#This Row],[orden]]="","",tblOrdenes[[#This Row],[orden]]&amp;IF(tblOrdenes[[#This Row],[operacion]]="","0010",tblOrdenes[[#This Row],[operacion]]))</f>
        <v/>
      </c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11" t="n"/>
      <c r="K755" s="3" t="n"/>
      <c r="L755" s="10" t="n"/>
      <c r="M755" s="6" t="n"/>
      <c r="N7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55" s="3">
        <f>IF(tblOrdenes[[#This Row],[fecha_inicio]]="","",YEAR(tblOrdenes[[#This Row],[fecha_inicio]]))</f>
        <v/>
      </c>
      <c r="R755" s="3">
        <f>IF(tblOrdenes[[#This Row],[fecha_inicio]]="","",MONTH(tblOrdenes[[#This Row],[fecha_inicio]]))</f>
        <v/>
      </c>
      <c r="S755" s="3">
        <f>IF(tblOrdenes[[#This Row],[fecha_inicio]]="","",INDEX(lista_dias,WEEKDAY(tblOrdenes[[#This Row],[fecha_inicio]],2)))</f>
        <v/>
      </c>
      <c r="T755" s="3">
        <f>IF(tblOrdenes[[#This Row],[tipo_ot]]="","",_xlfn.XLOOKUP(tblOrdenes[[#This Row],[tipo_ot]],tblTiposOT[codigo],tblTiposOT[clasificacion],"sin_clasificar"))</f>
        <v/>
      </c>
      <c r="U755" s="3">
        <f>IF(tblOrdenes[[#This Row],[centro_costo]]="","",_xlfn.XLOOKUP(tblOrdenes[[#This Row],[centro_costo]],tblCECO[codigo],tblCECO[linea],"(sin catálogo)"))</f>
        <v/>
      </c>
      <c r="V755" s="3">
        <f>IF(tblOrdenes[[#This Row],[centro_costo]]="","",_xlfn.XLOOKUP(tblOrdenes[[#This Row],[centro_costo]],tblCECO[codigo],tblCECO[area],"(sin catálogo)"))</f>
        <v/>
      </c>
      <c r="W755" s="3">
        <f>IF(tblOrdenes[[#This Row],[centro_costo]]="","",_xlfn.XLOOKUP(tblOrdenes[[#This Row],[centro_costo]],tblCECO[codigo],tblCECO[coordinador],"(sin catálogo)"))</f>
        <v/>
      </c>
      <c r="X755" s="3">
        <f>IF(tblOrdenes[[#This Row],[puesto_trabajo]]="","",_xlfn.XLOOKUP(tblOrdenes[[#This Row],[puesto_trabajo]],tblPuestos[codigo],tblPuestos[especialidad],"(sin catálogo)"))</f>
        <v/>
      </c>
      <c r="Y755" s="3">
        <f>IF(tblOrdenes[[#This Row],[cod_actividad]]="","",_xlfn.XLOOKUP(tblOrdenes[[#This Row],[cod_actividad]],tblActividades[codigo],tblActividades[descripcion],"(sin catálogo)"))</f>
        <v/>
      </c>
      <c r="Z755" s="12">
        <f>IF(tblOrdenes[[#This Row],[fecha_inicio]]="","",TODAY()-tblOrdenes[[#This Row],[fecha_inicio]])</f>
        <v/>
      </c>
      <c r="AA755" s="3">
        <f>IF(tblOrdenes[[#This Row],[backlog_dias]]="","",IF(tblOrdenes[[#This Row],[backlog_dias]]&lt;0,"FUTURO",IF(tblOrdenes[[#This Row],[backlog_dias]]&gt;p_dias_backlog_max,"BACKLOG","MES CORRIENTE")))</f>
        <v/>
      </c>
      <c r="AB755" s="3">
        <f>IF(tblOrdenes[[#This Row],[backlog_dias]]="",FALSE,AND(tblOrdenes[[#This Row],[backlog_dias]]&gt;p_dias_backlog_min,tblOrdenes[[#This Row],[backlog_dias]]&lt;=p_dias_backlog_max))</f>
        <v/>
      </c>
      <c r="AC755" s="6" t="n"/>
      <c r="AD7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55" s="10">
        <f>IF(tblOrdenes[[#This Row],[orden]]="","",_xlfn.XLOOKUP(tblOrdenes[[#This Row],[id_operacion]],tblEjecucion[id_operacion],tblEjecucion[precio],0))</f>
        <v/>
      </c>
      <c r="AH755" s="10">
        <f>IF(tblOrdenes[[#This Row],[orden]]="","",MAX(0,_xlfn.XLOOKUP(tblOrdenes[[#This Row],[id_operacion]],tblEjecucion[id_operacion],tblEjecucion[costo_plan_total],0)-tblOrdenes[[#This Row],[costo_servicio]]))</f>
        <v/>
      </c>
      <c r="AI755" s="10">
        <f>IF(tblOrdenes[[#This Row],[orden]]="","",tblOrdenes[[#This Row],[costo_servicio]]+tblOrdenes[[#This Row],[costo_materiales]])</f>
        <v/>
      </c>
      <c r="AJ755" s="6" t="n"/>
      <c r="AK755" s="6" t="n"/>
      <c r="AL755" s="6" t="n"/>
      <c r="AM755" s="3">
        <f>IF(tblOrdenes[[#This Row],[link_checklist]]="","",HYPERLINK(p_ruta_base_checklists&amp;tblOrdenes[[#This Row],[link_checklist]],"abrir"))</f>
        <v/>
      </c>
      <c r="AN755" s="6" t="n"/>
      <c r="AO755" s="3">
        <f>IF(tblOrdenes[[#This Row],[orden]]="","",tblOrdenes[[#This Row],[orden]]&amp;IF(tblOrdenes[[#This Row],[operacion]]="","0010",tblOrdenes[[#This Row],[operacion]]))</f>
        <v/>
      </c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11" t="n"/>
      <c r="K756" s="3" t="n"/>
      <c r="L756" s="10" t="n"/>
      <c r="M756" s="6" t="n"/>
      <c r="N7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56" s="3">
        <f>IF(tblOrdenes[[#This Row],[fecha_inicio]]="","",YEAR(tblOrdenes[[#This Row],[fecha_inicio]]))</f>
        <v/>
      </c>
      <c r="R756" s="3">
        <f>IF(tblOrdenes[[#This Row],[fecha_inicio]]="","",MONTH(tblOrdenes[[#This Row],[fecha_inicio]]))</f>
        <v/>
      </c>
      <c r="S756" s="3">
        <f>IF(tblOrdenes[[#This Row],[fecha_inicio]]="","",INDEX(lista_dias,WEEKDAY(tblOrdenes[[#This Row],[fecha_inicio]],2)))</f>
        <v/>
      </c>
      <c r="T756" s="3">
        <f>IF(tblOrdenes[[#This Row],[tipo_ot]]="","",_xlfn.XLOOKUP(tblOrdenes[[#This Row],[tipo_ot]],tblTiposOT[codigo],tblTiposOT[clasificacion],"sin_clasificar"))</f>
        <v/>
      </c>
      <c r="U756" s="3">
        <f>IF(tblOrdenes[[#This Row],[centro_costo]]="","",_xlfn.XLOOKUP(tblOrdenes[[#This Row],[centro_costo]],tblCECO[codigo],tblCECO[linea],"(sin catálogo)"))</f>
        <v/>
      </c>
      <c r="V756" s="3">
        <f>IF(tblOrdenes[[#This Row],[centro_costo]]="","",_xlfn.XLOOKUP(tblOrdenes[[#This Row],[centro_costo]],tblCECO[codigo],tblCECO[area],"(sin catálogo)"))</f>
        <v/>
      </c>
      <c r="W756" s="3">
        <f>IF(tblOrdenes[[#This Row],[centro_costo]]="","",_xlfn.XLOOKUP(tblOrdenes[[#This Row],[centro_costo]],tblCECO[codigo],tblCECO[coordinador],"(sin catálogo)"))</f>
        <v/>
      </c>
      <c r="X756" s="3">
        <f>IF(tblOrdenes[[#This Row],[puesto_trabajo]]="","",_xlfn.XLOOKUP(tblOrdenes[[#This Row],[puesto_trabajo]],tblPuestos[codigo],tblPuestos[especialidad],"(sin catálogo)"))</f>
        <v/>
      </c>
      <c r="Y756" s="3">
        <f>IF(tblOrdenes[[#This Row],[cod_actividad]]="","",_xlfn.XLOOKUP(tblOrdenes[[#This Row],[cod_actividad]],tblActividades[codigo],tblActividades[descripcion],"(sin catálogo)"))</f>
        <v/>
      </c>
      <c r="Z756" s="12">
        <f>IF(tblOrdenes[[#This Row],[fecha_inicio]]="","",TODAY()-tblOrdenes[[#This Row],[fecha_inicio]])</f>
        <v/>
      </c>
      <c r="AA756" s="3">
        <f>IF(tblOrdenes[[#This Row],[backlog_dias]]="","",IF(tblOrdenes[[#This Row],[backlog_dias]]&lt;0,"FUTURO",IF(tblOrdenes[[#This Row],[backlog_dias]]&gt;p_dias_backlog_max,"BACKLOG","MES CORRIENTE")))</f>
        <v/>
      </c>
      <c r="AB756" s="3">
        <f>IF(tblOrdenes[[#This Row],[backlog_dias]]="",FALSE,AND(tblOrdenes[[#This Row],[backlog_dias]]&gt;p_dias_backlog_min,tblOrdenes[[#This Row],[backlog_dias]]&lt;=p_dias_backlog_max))</f>
        <v/>
      </c>
      <c r="AC756" s="6" t="n"/>
      <c r="AD7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56" s="10">
        <f>IF(tblOrdenes[[#This Row],[orden]]="","",_xlfn.XLOOKUP(tblOrdenes[[#This Row],[id_operacion]],tblEjecucion[id_operacion],tblEjecucion[precio],0))</f>
        <v/>
      </c>
      <c r="AH756" s="10">
        <f>IF(tblOrdenes[[#This Row],[orden]]="","",MAX(0,_xlfn.XLOOKUP(tblOrdenes[[#This Row],[id_operacion]],tblEjecucion[id_operacion],tblEjecucion[costo_plan_total],0)-tblOrdenes[[#This Row],[costo_servicio]]))</f>
        <v/>
      </c>
      <c r="AI756" s="10">
        <f>IF(tblOrdenes[[#This Row],[orden]]="","",tblOrdenes[[#This Row],[costo_servicio]]+tblOrdenes[[#This Row],[costo_materiales]])</f>
        <v/>
      </c>
      <c r="AJ756" s="6" t="n"/>
      <c r="AK756" s="6" t="n"/>
      <c r="AL756" s="6" t="n"/>
      <c r="AM756" s="3">
        <f>IF(tblOrdenes[[#This Row],[link_checklist]]="","",HYPERLINK(p_ruta_base_checklists&amp;tblOrdenes[[#This Row],[link_checklist]],"abrir"))</f>
        <v/>
      </c>
      <c r="AN756" s="6" t="n"/>
      <c r="AO756" s="3">
        <f>IF(tblOrdenes[[#This Row],[orden]]="","",tblOrdenes[[#This Row],[orden]]&amp;IF(tblOrdenes[[#This Row],[operacion]]="","0010",tblOrdenes[[#This Row],[operacion]]))</f>
        <v/>
      </c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11" t="n"/>
      <c r="K757" s="3" t="n"/>
      <c r="L757" s="10" t="n"/>
      <c r="M757" s="6" t="n"/>
      <c r="N7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57" s="3">
        <f>IF(tblOrdenes[[#This Row],[fecha_inicio]]="","",YEAR(tblOrdenes[[#This Row],[fecha_inicio]]))</f>
        <v/>
      </c>
      <c r="R757" s="3">
        <f>IF(tblOrdenes[[#This Row],[fecha_inicio]]="","",MONTH(tblOrdenes[[#This Row],[fecha_inicio]]))</f>
        <v/>
      </c>
      <c r="S757" s="3">
        <f>IF(tblOrdenes[[#This Row],[fecha_inicio]]="","",INDEX(lista_dias,WEEKDAY(tblOrdenes[[#This Row],[fecha_inicio]],2)))</f>
        <v/>
      </c>
      <c r="T757" s="3">
        <f>IF(tblOrdenes[[#This Row],[tipo_ot]]="","",_xlfn.XLOOKUP(tblOrdenes[[#This Row],[tipo_ot]],tblTiposOT[codigo],tblTiposOT[clasificacion],"sin_clasificar"))</f>
        <v/>
      </c>
      <c r="U757" s="3">
        <f>IF(tblOrdenes[[#This Row],[centro_costo]]="","",_xlfn.XLOOKUP(tblOrdenes[[#This Row],[centro_costo]],tblCECO[codigo],tblCECO[linea],"(sin catálogo)"))</f>
        <v/>
      </c>
      <c r="V757" s="3">
        <f>IF(tblOrdenes[[#This Row],[centro_costo]]="","",_xlfn.XLOOKUP(tblOrdenes[[#This Row],[centro_costo]],tblCECO[codigo],tblCECO[area],"(sin catálogo)"))</f>
        <v/>
      </c>
      <c r="W757" s="3">
        <f>IF(tblOrdenes[[#This Row],[centro_costo]]="","",_xlfn.XLOOKUP(tblOrdenes[[#This Row],[centro_costo]],tblCECO[codigo],tblCECO[coordinador],"(sin catálogo)"))</f>
        <v/>
      </c>
      <c r="X757" s="3">
        <f>IF(tblOrdenes[[#This Row],[puesto_trabajo]]="","",_xlfn.XLOOKUP(tblOrdenes[[#This Row],[puesto_trabajo]],tblPuestos[codigo],tblPuestos[especialidad],"(sin catálogo)"))</f>
        <v/>
      </c>
      <c r="Y757" s="3">
        <f>IF(tblOrdenes[[#This Row],[cod_actividad]]="","",_xlfn.XLOOKUP(tblOrdenes[[#This Row],[cod_actividad]],tblActividades[codigo],tblActividades[descripcion],"(sin catálogo)"))</f>
        <v/>
      </c>
      <c r="Z757" s="12">
        <f>IF(tblOrdenes[[#This Row],[fecha_inicio]]="","",TODAY()-tblOrdenes[[#This Row],[fecha_inicio]])</f>
        <v/>
      </c>
      <c r="AA757" s="3">
        <f>IF(tblOrdenes[[#This Row],[backlog_dias]]="","",IF(tblOrdenes[[#This Row],[backlog_dias]]&lt;0,"FUTURO",IF(tblOrdenes[[#This Row],[backlog_dias]]&gt;p_dias_backlog_max,"BACKLOG","MES CORRIENTE")))</f>
        <v/>
      </c>
      <c r="AB757" s="3">
        <f>IF(tblOrdenes[[#This Row],[backlog_dias]]="",FALSE,AND(tblOrdenes[[#This Row],[backlog_dias]]&gt;p_dias_backlog_min,tblOrdenes[[#This Row],[backlog_dias]]&lt;=p_dias_backlog_max))</f>
        <v/>
      </c>
      <c r="AC757" s="6" t="n"/>
      <c r="AD7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57" s="10">
        <f>IF(tblOrdenes[[#This Row],[orden]]="","",_xlfn.XLOOKUP(tblOrdenes[[#This Row],[id_operacion]],tblEjecucion[id_operacion],tblEjecucion[precio],0))</f>
        <v/>
      </c>
      <c r="AH757" s="10">
        <f>IF(tblOrdenes[[#This Row],[orden]]="","",MAX(0,_xlfn.XLOOKUP(tblOrdenes[[#This Row],[id_operacion]],tblEjecucion[id_operacion],tblEjecucion[costo_plan_total],0)-tblOrdenes[[#This Row],[costo_servicio]]))</f>
        <v/>
      </c>
      <c r="AI757" s="10">
        <f>IF(tblOrdenes[[#This Row],[orden]]="","",tblOrdenes[[#This Row],[costo_servicio]]+tblOrdenes[[#This Row],[costo_materiales]])</f>
        <v/>
      </c>
      <c r="AJ757" s="6" t="n"/>
      <c r="AK757" s="6" t="n"/>
      <c r="AL757" s="6" t="n"/>
      <c r="AM757" s="3">
        <f>IF(tblOrdenes[[#This Row],[link_checklist]]="","",HYPERLINK(p_ruta_base_checklists&amp;tblOrdenes[[#This Row],[link_checklist]],"abrir"))</f>
        <v/>
      </c>
      <c r="AN757" s="6" t="n"/>
      <c r="AO757" s="3">
        <f>IF(tblOrdenes[[#This Row],[orden]]="","",tblOrdenes[[#This Row],[orden]]&amp;IF(tblOrdenes[[#This Row],[operacion]]="","0010",tblOrdenes[[#This Row],[operacion]]))</f>
        <v/>
      </c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11" t="n"/>
      <c r="K758" s="3" t="n"/>
      <c r="L758" s="10" t="n"/>
      <c r="M758" s="6" t="n"/>
      <c r="N7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58" s="3">
        <f>IF(tblOrdenes[[#This Row],[fecha_inicio]]="","",YEAR(tblOrdenes[[#This Row],[fecha_inicio]]))</f>
        <v/>
      </c>
      <c r="R758" s="3">
        <f>IF(tblOrdenes[[#This Row],[fecha_inicio]]="","",MONTH(tblOrdenes[[#This Row],[fecha_inicio]]))</f>
        <v/>
      </c>
      <c r="S758" s="3">
        <f>IF(tblOrdenes[[#This Row],[fecha_inicio]]="","",INDEX(lista_dias,WEEKDAY(tblOrdenes[[#This Row],[fecha_inicio]],2)))</f>
        <v/>
      </c>
      <c r="T758" s="3">
        <f>IF(tblOrdenes[[#This Row],[tipo_ot]]="","",_xlfn.XLOOKUP(tblOrdenes[[#This Row],[tipo_ot]],tblTiposOT[codigo],tblTiposOT[clasificacion],"sin_clasificar"))</f>
        <v/>
      </c>
      <c r="U758" s="3">
        <f>IF(tblOrdenes[[#This Row],[centro_costo]]="","",_xlfn.XLOOKUP(tblOrdenes[[#This Row],[centro_costo]],tblCECO[codigo],tblCECO[linea],"(sin catálogo)"))</f>
        <v/>
      </c>
      <c r="V758" s="3">
        <f>IF(tblOrdenes[[#This Row],[centro_costo]]="","",_xlfn.XLOOKUP(tblOrdenes[[#This Row],[centro_costo]],tblCECO[codigo],tblCECO[area],"(sin catálogo)"))</f>
        <v/>
      </c>
      <c r="W758" s="3">
        <f>IF(tblOrdenes[[#This Row],[centro_costo]]="","",_xlfn.XLOOKUP(tblOrdenes[[#This Row],[centro_costo]],tblCECO[codigo],tblCECO[coordinador],"(sin catálogo)"))</f>
        <v/>
      </c>
      <c r="X758" s="3">
        <f>IF(tblOrdenes[[#This Row],[puesto_trabajo]]="","",_xlfn.XLOOKUP(tblOrdenes[[#This Row],[puesto_trabajo]],tblPuestos[codigo],tblPuestos[especialidad],"(sin catálogo)"))</f>
        <v/>
      </c>
      <c r="Y758" s="3">
        <f>IF(tblOrdenes[[#This Row],[cod_actividad]]="","",_xlfn.XLOOKUP(tblOrdenes[[#This Row],[cod_actividad]],tblActividades[codigo],tblActividades[descripcion],"(sin catálogo)"))</f>
        <v/>
      </c>
      <c r="Z758" s="12">
        <f>IF(tblOrdenes[[#This Row],[fecha_inicio]]="","",TODAY()-tblOrdenes[[#This Row],[fecha_inicio]])</f>
        <v/>
      </c>
      <c r="AA758" s="3">
        <f>IF(tblOrdenes[[#This Row],[backlog_dias]]="","",IF(tblOrdenes[[#This Row],[backlog_dias]]&lt;0,"FUTURO",IF(tblOrdenes[[#This Row],[backlog_dias]]&gt;p_dias_backlog_max,"BACKLOG","MES CORRIENTE")))</f>
        <v/>
      </c>
      <c r="AB758" s="3">
        <f>IF(tblOrdenes[[#This Row],[backlog_dias]]="",FALSE,AND(tblOrdenes[[#This Row],[backlog_dias]]&gt;p_dias_backlog_min,tblOrdenes[[#This Row],[backlog_dias]]&lt;=p_dias_backlog_max))</f>
        <v/>
      </c>
      <c r="AC758" s="6" t="n"/>
      <c r="AD7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58" s="10">
        <f>IF(tblOrdenes[[#This Row],[orden]]="","",_xlfn.XLOOKUP(tblOrdenes[[#This Row],[id_operacion]],tblEjecucion[id_operacion],tblEjecucion[precio],0))</f>
        <v/>
      </c>
      <c r="AH758" s="10">
        <f>IF(tblOrdenes[[#This Row],[orden]]="","",MAX(0,_xlfn.XLOOKUP(tblOrdenes[[#This Row],[id_operacion]],tblEjecucion[id_operacion],tblEjecucion[costo_plan_total],0)-tblOrdenes[[#This Row],[costo_servicio]]))</f>
        <v/>
      </c>
      <c r="AI758" s="10">
        <f>IF(tblOrdenes[[#This Row],[orden]]="","",tblOrdenes[[#This Row],[costo_servicio]]+tblOrdenes[[#This Row],[costo_materiales]])</f>
        <v/>
      </c>
      <c r="AJ758" s="6" t="n"/>
      <c r="AK758" s="6" t="n"/>
      <c r="AL758" s="6" t="n"/>
      <c r="AM758" s="3">
        <f>IF(tblOrdenes[[#This Row],[link_checklist]]="","",HYPERLINK(p_ruta_base_checklists&amp;tblOrdenes[[#This Row],[link_checklist]],"abrir"))</f>
        <v/>
      </c>
      <c r="AN758" s="6" t="n"/>
      <c r="AO758" s="3">
        <f>IF(tblOrdenes[[#This Row],[orden]]="","",tblOrdenes[[#This Row],[orden]]&amp;IF(tblOrdenes[[#This Row],[operacion]]="","0010",tblOrdenes[[#This Row],[operacion]]))</f>
        <v/>
      </c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11" t="n"/>
      <c r="K759" s="3" t="n"/>
      <c r="L759" s="10" t="n"/>
      <c r="M759" s="6" t="n"/>
      <c r="N7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59" s="3">
        <f>IF(tblOrdenes[[#This Row],[fecha_inicio]]="","",YEAR(tblOrdenes[[#This Row],[fecha_inicio]]))</f>
        <v/>
      </c>
      <c r="R759" s="3">
        <f>IF(tblOrdenes[[#This Row],[fecha_inicio]]="","",MONTH(tblOrdenes[[#This Row],[fecha_inicio]]))</f>
        <v/>
      </c>
      <c r="S759" s="3">
        <f>IF(tblOrdenes[[#This Row],[fecha_inicio]]="","",INDEX(lista_dias,WEEKDAY(tblOrdenes[[#This Row],[fecha_inicio]],2)))</f>
        <v/>
      </c>
      <c r="T759" s="3">
        <f>IF(tblOrdenes[[#This Row],[tipo_ot]]="","",_xlfn.XLOOKUP(tblOrdenes[[#This Row],[tipo_ot]],tblTiposOT[codigo],tblTiposOT[clasificacion],"sin_clasificar"))</f>
        <v/>
      </c>
      <c r="U759" s="3">
        <f>IF(tblOrdenes[[#This Row],[centro_costo]]="","",_xlfn.XLOOKUP(tblOrdenes[[#This Row],[centro_costo]],tblCECO[codigo],tblCECO[linea],"(sin catálogo)"))</f>
        <v/>
      </c>
      <c r="V759" s="3">
        <f>IF(tblOrdenes[[#This Row],[centro_costo]]="","",_xlfn.XLOOKUP(tblOrdenes[[#This Row],[centro_costo]],tblCECO[codigo],tblCECO[area],"(sin catálogo)"))</f>
        <v/>
      </c>
      <c r="W759" s="3">
        <f>IF(tblOrdenes[[#This Row],[centro_costo]]="","",_xlfn.XLOOKUP(tblOrdenes[[#This Row],[centro_costo]],tblCECO[codigo],tblCECO[coordinador],"(sin catálogo)"))</f>
        <v/>
      </c>
      <c r="X759" s="3">
        <f>IF(tblOrdenes[[#This Row],[puesto_trabajo]]="","",_xlfn.XLOOKUP(tblOrdenes[[#This Row],[puesto_trabajo]],tblPuestos[codigo],tblPuestos[especialidad],"(sin catálogo)"))</f>
        <v/>
      </c>
      <c r="Y759" s="3">
        <f>IF(tblOrdenes[[#This Row],[cod_actividad]]="","",_xlfn.XLOOKUP(tblOrdenes[[#This Row],[cod_actividad]],tblActividades[codigo],tblActividades[descripcion],"(sin catálogo)"))</f>
        <v/>
      </c>
      <c r="Z759" s="12">
        <f>IF(tblOrdenes[[#This Row],[fecha_inicio]]="","",TODAY()-tblOrdenes[[#This Row],[fecha_inicio]])</f>
        <v/>
      </c>
      <c r="AA759" s="3">
        <f>IF(tblOrdenes[[#This Row],[backlog_dias]]="","",IF(tblOrdenes[[#This Row],[backlog_dias]]&lt;0,"FUTURO",IF(tblOrdenes[[#This Row],[backlog_dias]]&gt;p_dias_backlog_max,"BACKLOG","MES CORRIENTE")))</f>
        <v/>
      </c>
      <c r="AB759" s="3">
        <f>IF(tblOrdenes[[#This Row],[backlog_dias]]="",FALSE,AND(tblOrdenes[[#This Row],[backlog_dias]]&gt;p_dias_backlog_min,tblOrdenes[[#This Row],[backlog_dias]]&lt;=p_dias_backlog_max))</f>
        <v/>
      </c>
      <c r="AC759" s="6" t="n"/>
      <c r="AD7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59" s="10">
        <f>IF(tblOrdenes[[#This Row],[orden]]="","",_xlfn.XLOOKUP(tblOrdenes[[#This Row],[id_operacion]],tblEjecucion[id_operacion],tblEjecucion[precio],0))</f>
        <v/>
      </c>
      <c r="AH759" s="10">
        <f>IF(tblOrdenes[[#This Row],[orden]]="","",MAX(0,_xlfn.XLOOKUP(tblOrdenes[[#This Row],[id_operacion]],tblEjecucion[id_operacion],tblEjecucion[costo_plan_total],0)-tblOrdenes[[#This Row],[costo_servicio]]))</f>
        <v/>
      </c>
      <c r="AI759" s="10">
        <f>IF(tblOrdenes[[#This Row],[orden]]="","",tblOrdenes[[#This Row],[costo_servicio]]+tblOrdenes[[#This Row],[costo_materiales]])</f>
        <v/>
      </c>
      <c r="AJ759" s="6" t="n"/>
      <c r="AK759" s="6" t="n"/>
      <c r="AL759" s="6" t="n"/>
      <c r="AM759" s="3">
        <f>IF(tblOrdenes[[#This Row],[link_checklist]]="","",HYPERLINK(p_ruta_base_checklists&amp;tblOrdenes[[#This Row],[link_checklist]],"abrir"))</f>
        <v/>
      </c>
      <c r="AN759" s="6" t="n"/>
      <c r="AO759" s="3">
        <f>IF(tblOrdenes[[#This Row],[orden]]="","",tblOrdenes[[#This Row],[orden]]&amp;IF(tblOrdenes[[#This Row],[operacion]]="","0010",tblOrdenes[[#This Row],[operacion]]))</f>
        <v/>
      </c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11" t="n"/>
      <c r="K760" s="3" t="n"/>
      <c r="L760" s="10" t="n"/>
      <c r="M760" s="6" t="n"/>
      <c r="N7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60" s="3">
        <f>IF(tblOrdenes[[#This Row],[fecha_inicio]]="","",YEAR(tblOrdenes[[#This Row],[fecha_inicio]]))</f>
        <v/>
      </c>
      <c r="R760" s="3">
        <f>IF(tblOrdenes[[#This Row],[fecha_inicio]]="","",MONTH(tblOrdenes[[#This Row],[fecha_inicio]]))</f>
        <v/>
      </c>
      <c r="S760" s="3">
        <f>IF(tblOrdenes[[#This Row],[fecha_inicio]]="","",INDEX(lista_dias,WEEKDAY(tblOrdenes[[#This Row],[fecha_inicio]],2)))</f>
        <v/>
      </c>
      <c r="T760" s="3">
        <f>IF(tblOrdenes[[#This Row],[tipo_ot]]="","",_xlfn.XLOOKUP(tblOrdenes[[#This Row],[tipo_ot]],tblTiposOT[codigo],tblTiposOT[clasificacion],"sin_clasificar"))</f>
        <v/>
      </c>
      <c r="U760" s="3">
        <f>IF(tblOrdenes[[#This Row],[centro_costo]]="","",_xlfn.XLOOKUP(tblOrdenes[[#This Row],[centro_costo]],tblCECO[codigo],tblCECO[linea],"(sin catálogo)"))</f>
        <v/>
      </c>
      <c r="V760" s="3">
        <f>IF(tblOrdenes[[#This Row],[centro_costo]]="","",_xlfn.XLOOKUP(tblOrdenes[[#This Row],[centro_costo]],tblCECO[codigo],tblCECO[area],"(sin catálogo)"))</f>
        <v/>
      </c>
      <c r="W760" s="3">
        <f>IF(tblOrdenes[[#This Row],[centro_costo]]="","",_xlfn.XLOOKUP(tblOrdenes[[#This Row],[centro_costo]],tblCECO[codigo],tblCECO[coordinador],"(sin catálogo)"))</f>
        <v/>
      </c>
      <c r="X760" s="3">
        <f>IF(tblOrdenes[[#This Row],[puesto_trabajo]]="","",_xlfn.XLOOKUP(tblOrdenes[[#This Row],[puesto_trabajo]],tblPuestos[codigo],tblPuestos[especialidad],"(sin catálogo)"))</f>
        <v/>
      </c>
      <c r="Y760" s="3">
        <f>IF(tblOrdenes[[#This Row],[cod_actividad]]="","",_xlfn.XLOOKUP(tblOrdenes[[#This Row],[cod_actividad]],tblActividades[codigo],tblActividades[descripcion],"(sin catálogo)"))</f>
        <v/>
      </c>
      <c r="Z760" s="12">
        <f>IF(tblOrdenes[[#This Row],[fecha_inicio]]="","",TODAY()-tblOrdenes[[#This Row],[fecha_inicio]])</f>
        <v/>
      </c>
      <c r="AA760" s="3">
        <f>IF(tblOrdenes[[#This Row],[backlog_dias]]="","",IF(tblOrdenes[[#This Row],[backlog_dias]]&lt;0,"FUTURO",IF(tblOrdenes[[#This Row],[backlog_dias]]&gt;p_dias_backlog_max,"BACKLOG","MES CORRIENTE")))</f>
        <v/>
      </c>
      <c r="AB760" s="3">
        <f>IF(tblOrdenes[[#This Row],[backlog_dias]]="",FALSE,AND(tblOrdenes[[#This Row],[backlog_dias]]&gt;p_dias_backlog_min,tblOrdenes[[#This Row],[backlog_dias]]&lt;=p_dias_backlog_max))</f>
        <v/>
      </c>
      <c r="AC760" s="6" t="n"/>
      <c r="AD7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60" s="10">
        <f>IF(tblOrdenes[[#This Row],[orden]]="","",_xlfn.XLOOKUP(tblOrdenes[[#This Row],[id_operacion]],tblEjecucion[id_operacion],tblEjecucion[precio],0))</f>
        <v/>
      </c>
      <c r="AH760" s="10">
        <f>IF(tblOrdenes[[#This Row],[orden]]="","",MAX(0,_xlfn.XLOOKUP(tblOrdenes[[#This Row],[id_operacion]],tblEjecucion[id_operacion],tblEjecucion[costo_plan_total],0)-tblOrdenes[[#This Row],[costo_servicio]]))</f>
        <v/>
      </c>
      <c r="AI760" s="10">
        <f>IF(tblOrdenes[[#This Row],[orden]]="","",tblOrdenes[[#This Row],[costo_servicio]]+tblOrdenes[[#This Row],[costo_materiales]])</f>
        <v/>
      </c>
      <c r="AJ760" s="6" t="n"/>
      <c r="AK760" s="6" t="n"/>
      <c r="AL760" s="6" t="n"/>
      <c r="AM760" s="3">
        <f>IF(tblOrdenes[[#This Row],[link_checklist]]="","",HYPERLINK(p_ruta_base_checklists&amp;tblOrdenes[[#This Row],[link_checklist]],"abrir"))</f>
        <v/>
      </c>
      <c r="AN760" s="6" t="n"/>
      <c r="AO760" s="3">
        <f>IF(tblOrdenes[[#This Row],[orden]]="","",tblOrdenes[[#This Row],[orden]]&amp;IF(tblOrdenes[[#This Row],[operacion]]="","0010",tblOrdenes[[#This Row],[operacion]]))</f>
        <v/>
      </c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11" t="n"/>
      <c r="K761" s="3" t="n"/>
      <c r="L761" s="10" t="n"/>
      <c r="M761" s="6" t="n"/>
      <c r="N7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61" s="3">
        <f>IF(tblOrdenes[[#This Row],[fecha_inicio]]="","",YEAR(tblOrdenes[[#This Row],[fecha_inicio]]))</f>
        <v/>
      </c>
      <c r="R761" s="3">
        <f>IF(tblOrdenes[[#This Row],[fecha_inicio]]="","",MONTH(tblOrdenes[[#This Row],[fecha_inicio]]))</f>
        <v/>
      </c>
      <c r="S761" s="3">
        <f>IF(tblOrdenes[[#This Row],[fecha_inicio]]="","",INDEX(lista_dias,WEEKDAY(tblOrdenes[[#This Row],[fecha_inicio]],2)))</f>
        <v/>
      </c>
      <c r="T761" s="3">
        <f>IF(tblOrdenes[[#This Row],[tipo_ot]]="","",_xlfn.XLOOKUP(tblOrdenes[[#This Row],[tipo_ot]],tblTiposOT[codigo],tblTiposOT[clasificacion],"sin_clasificar"))</f>
        <v/>
      </c>
      <c r="U761" s="3">
        <f>IF(tblOrdenes[[#This Row],[centro_costo]]="","",_xlfn.XLOOKUP(tblOrdenes[[#This Row],[centro_costo]],tblCECO[codigo],tblCECO[linea],"(sin catálogo)"))</f>
        <v/>
      </c>
      <c r="V761" s="3">
        <f>IF(tblOrdenes[[#This Row],[centro_costo]]="","",_xlfn.XLOOKUP(tblOrdenes[[#This Row],[centro_costo]],tblCECO[codigo],tblCECO[area],"(sin catálogo)"))</f>
        <v/>
      </c>
      <c r="W761" s="3">
        <f>IF(tblOrdenes[[#This Row],[centro_costo]]="","",_xlfn.XLOOKUP(tblOrdenes[[#This Row],[centro_costo]],tblCECO[codigo],tblCECO[coordinador],"(sin catálogo)"))</f>
        <v/>
      </c>
      <c r="X761" s="3">
        <f>IF(tblOrdenes[[#This Row],[puesto_trabajo]]="","",_xlfn.XLOOKUP(tblOrdenes[[#This Row],[puesto_trabajo]],tblPuestos[codigo],tblPuestos[especialidad],"(sin catálogo)"))</f>
        <v/>
      </c>
      <c r="Y761" s="3">
        <f>IF(tblOrdenes[[#This Row],[cod_actividad]]="","",_xlfn.XLOOKUP(tblOrdenes[[#This Row],[cod_actividad]],tblActividades[codigo],tblActividades[descripcion],"(sin catálogo)"))</f>
        <v/>
      </c>
      <c r="Z761" s="12">
        <f>IF(tblOrdenes[[#This Row],[fecha_inicio]]="","",TODAY()-tblOrdenes[[#This Row],[fecha_inicio]])</f>
        <v/>
      </c>
      <c r="AA761" s="3">
        <f>IF(tblOrdenes[[#This Row],[backlog_dias]]="","",IF(tblOrdenes[[#This Row],[backlog_dias]]&lt;0,"FUTURO",IF(tblOrdenes[[#This Row],[backlog_dias]]&gt;p_dias_backlog_max,"BACKLOG","MES CORRIENTE")))</f>
        <v/>
      </c>
      <c r="AB761" s="3">
        <f>IF(tblOrdenes[[#This Row],[backlog_dias]]="",FALSE,AND(tblOrdenes[[#This Row],[backlog_dias]]&gt;p_dias_backlog_min,tblOrdenes[[#This Row],[backlog_dias]]&lt;=p_dias_backlog_max))</f>
        <v/>
      </c>
      <c r="AC761" s="6" t="n"/>
      <c r="AD7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61" s="10">
        <f>IF(tblOrdenes[[#This Row],[orden]]="","",_xlfn.XLOOKUP(tblOrdenes[[#This Row],[id_operacion]],tblEjecucion[id_operacion],tblEjecucion[precio],0))</f>
        <v/>
      </c>
      <c r="AH761" s="10">
        <f>IF(tblOrdenes[[#This Row],[orden]]="","",MAX(0,_xlfn.XLOOKUP(tblOrdenes[[#This Row],[id_operacion]],tblEjecucion[id_operacion],tblEjecucion[costo_plan_total],0)-tblOrdenes[[#This Row],[costo_servicio]]))</f>
        <v/>
      </c>
      <c r="AI761" s="10">
        <f>IF(tblOrdenes[[#This Row],[orden]]="","",tblOrdenes[[#This Row],[costo_servicio]]+tblOrdenes[[#This Row],[costo_materiales]])</f>
        <v/>
      </c>
      <c r="AJ761" s="6" t="n"/>
      <c r="AK761" s="6" t="n"/>
      <c r="AL761" s="6" t="n"/>
      <c r="AM761" s="3">
        <f>IF(tblOrdenes[[#This Row],[link_checklist]]="","",HYPERLINK(p_ruta_base_checklists&amp;tblOrdenes[[#This Row],[link_checklist]],"abrir"))</f>
        <v/>
      </c>
      <c r="AN761" s="6" t="n"/>
      <c r="AO761" s="3">
        <f>IF(tblOrdenes[[#This Row],[orden]]="","",tblOrdenes[[#This Row],[orden]]&amp;IF(tblOrdenes[[#This Row],[operacion]]="","0010",tblOrdenes[[#This Row],[operacion]]))</f>
        <v/>
      </c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11" t="n"/>
      <c r="K762" s="3" t="n"/>
      <c r="L762" s="10" t="n"/>
      <c r="M762" s="6" t="n"/>
      <c r="N7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62" s="3">
        <f>IF(tblOrdenes[[#This Row],[fecha_inicio]]="","",YEAR(tblOrdenes[[#This Row],[fecha_inicio]]))</f>
        <v/>
      </c>
      <c r="R762" s="3">
        <f>IF(tblOrdenes[[#This Row],[fecha_inicio]]="","",MONTH(tblOrdenes[[#This Row],[fecha_inicio]]))</f>
        <v/>
      </c>
      <c r="S762" s="3">
        <f>IF(tblOrdenes[[#This Row],[fecha_inicio]]="","",INDEX(lista_dias,WEEKDAY(tblOrdenes[[#This Row],[fecha_inicio]],2)))</f>
        <v/>
      </c>
      <c r="T762" s="3">
        <f>IF(tblOrdenes[[#This Row],[tipo_ot]]="","",_xlfn.XLOOKUP(tblOrdenes[[#This Row],[tipo_ot]],tblTiposOT[codigo],tblTiposOT[clasificacion],"sin_clasificar"))</f>
        <v/>
      </c>
      <c r="U762" s="3">
        <f>IF(tblOrdenes[[#This Row],[centro_costo]]="","",_xlfn.XLOOKUP(tblOrdenes[[#This Row],[centro_costo]],tblCECO[codigo],tblCECO[linea],"(sin catálogo)"))</f>
        <v/>
      </c>
      <c r="V762" s="3">
        <f>IF(tblOrdenes[[#This Row],[centro_costo]]="","",_xlfn.XLOOKUP(tblOrdenes[[#This Row],[centro_costo]],tblCECO[codigo],tblCECO[area],"(sin catálogo)"))</f>
        <v/>
      </c>
      <c r="W762" s="3">
        <f>IF(tblOrdenes[[#This Row],[centro_costo]]="","",_xlfn.XLOOKUP(tblOrdenes[[#This Row],[centro_costo]],tblCECO[codigo],tblCECO[coordinador],"(sin catálogo)"))</f>
        <v/>
      </c>
      <c r="X762" s="3">
        <f>IF(tblOrdenes[[#This Row],[puesto_trabajo]]="","",_xlfn.XLOOKUP(tblOrdenes[[#This Row],[puesto_trabajo]],tblPuestos[codigo],tblPuestos[especialidad],"(sin catálogo)"))</f>
        <v/>
      </c>
      <c r="Y762" s="3">
        <f>IF(tblOrdenes[[#This Row],[cod_actividad]]="","",_xlfn.XLOOKUP(tblOrdenes[[#This Row],[cod_actividad]],tblActividades[codigo],tblActividades[descripcion],"(sin catálogo)"))</f>
        <v/>
      </c>
      <c r="Z762" s="12">
        <f>IF(tblOrdenes[[#This Row],[fecha_inicio]]="","",TODAY()-tblOrdenes[[#This Row],[fecha_inicio]])</f>
        <v/>
      </c>
      <c r="AA762" s="3">
        <f>IF(tblOrdenes[[#This Row],[backlog_dias]]="","",IF(tblOrdenes[[#This Row],[backlog_dias]]&lt;0,"FUTURO",IF(tblOrdenes[[#This Row],[backlog_dias]]&gt;p_dias_backlog_max,"BACKLOG","MES CORRIENTE")))</f>
        <v/>
      </c>
      <c r="AB762" s="3">
        <f>IF(tblOrdenes[[#This Row],[backlog_dias]]="",FALSE,AND(tblOrdenes[[#This Row],[backlog_dias]]&gt;p_dias_backlog_min,tblOrdenes[[#This Row],[backlog_dias]]&lt;=p_dias_backlog_max))</f>
        <v/>
      </c>
      <c r="AC762" s="6" t="n"/>
      <c r="AD7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62" s="10">
        <f>IF(tblOrdenes[[#This Row],[orden]]="","",_xlfn.XLOOKUP(tblOrdenes[[#This Row],[id_operacion]],tblEjecucion[id_operacion],tblEjecucion[precio],0))</f>
        <v/>
      </c>
      <c r="AH762" s="10">
        <f>IF(tblOrdenes[[#This Row],[orden]]="","",MAX(0,_xlfn.XLOOKUP(tblOrdenes[[#This Row],[id_operacion]],tblEjecucion[id_operacion],tblEjecucion[costo_plan_total],0)-tblOrdenes[[#This Row],[costo_servicio]]))</f>
        <v/>
      </c>
      <c r="AI762" s="10">
        <f>IF(tblOrdenes[[#This Row],[orden]]="","",tblOrdenes[[#This Row],[costo_servicio]]+tblOrdenes[[#This Row],[costo_materiales]])</f>
        <v/>
      </c>
      <c r="AJ762" s="6" t="n"/>
      <c r="AK762" s="6" t="n"/>
      <c r="AL762" s="6" t="n"/>
      <c r="AM762" s="3">
        <f>IF(tblOrdenes[[#This Row],[link_checklist]]="","",HYPERLINK(p_ruta_base_checklists&amp;tblOrdenes[[#This Row],[link_checklist]],"abrir"))</f>
        <v/>
      </c>
      <c r="AN762" s="6" t="n"/>
      <c r="AO762" s="3">
        <f>IF(tblOrdenes[[#This Row],[orden]]="","",tblOrdenes[[#This Row],[orden]]&amp;IF(tblOrdenes[[#This Row],[operacion]]="","0010",tblOrdenes[[#This Row],[operacion]]))</f>
        <v/>
      </c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11" t="n"/>
      <c r="K763" s="3" t="n"/>
      <c r="L763" s="10" t="n"/>
      <c r="M763" s="6" t="n"/>
      <c r="N7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63" s="3">
        <f>IF(tblOrdenes[[#This Row],[fecha_inicio]]="","",YEAR(tblOrdenes[[#This Row],[fecha_inicio]]))</f>
        <v/>
      </c>
      <c r="R763" s="3">
        <f>IF(tblOrdenes[[#This Row],[fecha_inicio]]="","",MONTH(tblOrdenes[[#This Row],[fecha_inicio]]))</f>
        <v/>
      </c>
      <c r="S763" s="3">
        <f>IF(tblOrdenes[[#This Row],[fecha_inicio]]="","",INDEX(lista_dias,WEEKDAY(tblOrdenes[[#This Row],[fecha_inicio]],2)))</f>
        <v/>
      </c>
      <c r="T763" s="3">
        <f>IF(tblOrdenes[[#This Row],[tipo_ot]]="","",_xlfn.XLOOKUP(tblOrdenes[[#This Row],[tipo_ot]],tblTiposOT[codigo],tblTiposOT[clasificacion],"sin_clasificar"))</f>
        <v/>
      </c>
      <c r="U763" s="3">
        <f>IF(tblOrdenes[[#This Row],[centro_costo]]="","",_xlfn.XLOOKUP(tblOrdenes[[#This Row],[centro_costo]],tblCECO[codigo],tblCECO[linea],"(sin catálogo)"))</f>
        <v/>
      </c>
      <c r="V763" s="3">
        <f>IF(tblOrdenes[[#This Row],[centro_costo]]="","",_xlfn.XLOOKUP(tblOrdenes[[#This Row],[centro_costo]],tblCECO[codigo],tblCECO[area],"(sin catálogo)"))</f>
        <v/>
      </c>
      <c r="W763" s="3">
        <f>IF(tblOrdenes[[#This Row],[centro_costo]]="","",_xlfn.XLOOKUP(tblOrdenes[[#This Row],[centro_costo]],tblCECO[codigo],tblCECO[coordinador],"(sin catálogo)"))</f>
        <v/>
      </c>
      <c r="X763" s="3">
        <f>IF(tblOrdenes[[#This Row],[puesto_trabajo]]="","",_xlfn.XLOOKUP(tblOrdenes[[#This Row],[puesto_trabajo]],tblPuestos[codigo],tblPuestos[especialidad],"(sin catálogo)"))</f>
        <v/>
      </c>
      <c r="Y763" s="3">
        <f>IF(tblOrdenes[[#This Row],[cod_actividad]]="","",_xlfn.XLOOKUP(tblOrdenes[[#This Row],[cod_actividad]],tblActividades[codigo],tblActividades[descripcion],"(sin catálogo)"))</f>
        <v/>
      </c>
      <c r="Z763" s="12">
        <f>IF(tblOrdenes[[#This Row],[fecha_inicio]]="","",TODAY()-tblOrdenes[[#This Row],[fecha_inicio]])</f>
        <v/>
      </c>
      <c r="AA763" s="3">
        <f>IF(tblOrdenes[[#This Row],[backlog_dias]]="","",IF(tblOrdenes[[#This Row],[backlog_dias]]&lt;0,"FUTURO",IF(tblOrdenes[[#This Row],[backlog_dias]]&gt;p_dias_backlog_max,"BACKLOG","MES CORRIENTE")))</f>
        <v/>
      </c>
      <c r="AB763" s="3">
        <f>IF(tblOrdenes[[#This Row],[backlog_dias]]="",FALSE,AND(tblOrdenes[[#This Row],[backlog_dias]]&gt;p_dias_backlog_min,tblOrdenes[[#This Row],[backlog_dias]]&lt;=p_dias_backlog_max))</f>
        <v/>
      </c>
      <c r="AC763" s="6" t="n"/>
      <c r="AD7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63" s="10">
        <f>IF(tblOrdenes[[#This Row],[orden]]="","",_xlfn.XLOOKUP(tblOrdenes[[#This Row],[id_operacion]],tblEjecucion[id_operacion],tblEjecucion[precio],0))</f>
        <v/>
      </c>
      <c r="AH763" s="10">
        <f>IF(tblOrdenes[[#This Row],[orden]]="","",MAX(0,_xlfn.XLOOKUP(tblOrdenes[[#This Row],[id_operacion]],tblEjecucion[id_operacion],tblEjecucion[costo_plan_total],0)-tblOrdenes[[#This Row],[costo_servicio]]))</f>
        <v/>
      </c>
      <c r="AI763" s="10">
        <f>IF(tblOrdenes[[#This Row],[orden]]="","",tblOrdenes[[#This Row],[costo_servicio]]+tblOrdenes[[#This Row],[costo_materiales]])</f>
        <v/>
      </c>
      <c r="AJ763" s="6" t="n"/>
      <c r="AK763" s="6" t="n"/>
      <c r="AL763" s="6" t="n"/>
      <c r="AM763" s="3">
        <f>IF(tblOrdenes[[#This Row],[link_checklist]]="","",HYPERLINK(p_ruta_base_checklists&amp;tblOrdenes[[#This Row],[link_checklist]],"abrir"))</f>
        <v/>
      </c>
      <c r="AN763" s="6" t="n"/>
      <c r="AO763" s="3">
        <f>IF(tblOrdenes[[#This Row],[orden]]="","",tblOrdenes[[#This Row],[orden]]&amp;IF(tblOrdenes[[#This Row],[operacion]]="","0010",tblOrdenes[[#This Row],[operacion]]))</f>
        <v/>
      </c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11" t="n"/>
      <c r="K764" s="3" t="n"/>
      <c r="L764" s="10" t="n"/>
      <c r="M764" s="6" t="n"/>
      <c r="N7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64" s="3">
        <f>IF(tblOrdenes[[#This Row],[fecha_inicio]]="","",YEAR(tblOrdenes[[#This Row],[fecha_inicio]]))</f>
        <v/>
      </c>
      <c r="R764" s="3">
        <f>IF(tblOrdenes[[#This Row],[fecha_inicio]]="","",MONTH(tblOrdenes[[#This Row],[fecha_inicio]]))</f>
        <v/>
      </c>
      <c r="S764" s="3">
        <f>IF(tblOrdenes[[#This Row],[fecha_inicio]]="","",INDEX(lista_dias,WEEKDAY(tblOrdenes[[#This Row],[fecha_inicio]],2)))</f>
        <v/>
      </c>
      <c r="T764" s="3">
        <f>IF(tblOrdenes[[#This Row],[tipo_ot]]="","",_xlfn.XLOOKUP(tblOrdenes[[#This Row],[tipo_ot]],tblTiposOT[codigo],tblTiposOT[clasificacion],"sin_clasificar"))</f>
        <v/>
      </c>
      <c r="U764" s="3">
        <f>IF(tblOrdenes[[#This Row],[centro_costo]]="","",_xlfn.XLOOKUP(tblOrdenes[[#This Row],[centro_costo]],tblCECO[codigo],tblCECO[linea],"(sin catálogo)"))</f>
        <v/>
      </c>
      <c r="V764" s="3">
        <f>IF(tblOrdenes[[#This Row],[centro_costo]]="","",_xlfn.XLOOKUP(tblOrdenes[[#This Row],[centro_costo]],tblCECO[codigo],tblCECO[area],"(sin catálogo)"))</f>
        <v/>
      </c>
      <c r="W764" s="3">
        <f>IF(tblOrdenes[[#This Row],[centro_costo]]="","",_xlfn.XLOOKUP(tblOrdenes[[#This Row],[centro_costo]],tblCECO[codigo],tblCECO[coordinador],"(sin catálogo)"))</f>
        <v/>
      </c>
      <c r="X764" s="3">
        <f>IF(tblOrdenes[[#This Row],[puesto_trabajo]]="","",_xlfn.XLOOKUP(tblOrdenes[[#This Row],[puesto_trabajo]],tblPuestos[codigo],tblPuestos[especialidad],"(sin catálogo)"))</f>
        <v/>
      </c>
      <c r="Y764" s="3">
        <f>IF(tblOrdenes[[#This Row],[cod_actividad]]="","",_xlfn.XLOOKUP(tblOrdenes[[#This Row],[cod_actividad]],tblActividades[codigo],tblActividades[descripcion],"(sin catálogo)"))</f>
        <v/>
      </c>
      <c r="Z764" s="12">
        <f>IF(tblOrdenes[[#This Row],[fecha_inicio]]="","",TODAY()-tblOrdenes[[#This Row],[fecha_inicio]])</f>
        <v/>
      </c>
      <c r="AA764" s="3">
        <f>IF(tblOrdenes[[#This Row],[backlog_dias]]="","",IF(tblOrdenes[[#This Row],[backlog_dias]]&lt;0,"FUTURO",IF(tblOrdenes[[#This Row],[backlog_dias]]&gt;p_dias_backlog_max,"BACKLOG","MES CORRIENTE")))</f>
        <v/>
      </c>
      <c r="AB764" s="3">
        <f>IF(tblOrdenes[[#This Row],[backlog_dias]]="",FALSE,AND(tblOrdenes[[#This Row],[backlog_dias]]&gt;p_dias_backlog_min,tblOrdenes[[#This Row],[backlog_dias]]&lt;=p_dias_backlog_max))</f>
        <v/>
      </c>
      <c r="AC764" s="6" t="n"/>
      <c r="AD7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64" s="10">
        <f>IF(tblOrdenes[[#This Row],[orden]]="","",_xlfn.XLOOKUP(tblOrdenes[[#This Row],[id_operacion]],tblEjecucion[id_operacion],tblEjecucion[precio],0))</f>
        <v/>
      </c>
      <c r="AH764" s="10">
        <f>IF(tblOrdenes[[#This Row],[orden]]="","",MAX(0,_xlfn.XLOOKUP(tblOrdenes[[#This Row],[id_operacion]],tblEjecucion[id_operacion],tblEjecucion[costo_plan_total],0)-tblOrdenes[[#This Row],[costo_servicio]]))</f>
        <v/>
      </c>
      <c r="AI764" s="10">
        <f>IF(tblOrdenes[[#This Row],[orden]]="","",tblOrdenes[[#This Row],[costo_servicio]]+tblOrdenes[[#This Row],[costo_materiales]])</f>
        <v/>
      </c>
      <c r="AJ764" s="6" t="n"/>
      <c r="AK764" s="6" t="n"/>
      <c r="AL764" s="6" t="n"/>
      <c r="AM764" s="3">
        <f>IF(tblOrdenes[[#This Row],[link_checklist]]="","",HYPERLINK(p_ruta_base_checklists&amp;tblOrdenes[[#This Row],[link_checklist]],"abrir"))</f>
        <v/>
      </c>
      <c r="AN764" s="6" t="n"/>
      <c r="AO764" s="3">
        <f>IF(tblOrdenes[[#This Row],[orden]]="","",tblOrdenes[[#This Row],[orden]]&amp;IF(tblOrdenes[[#This Row],[operacion]]="","0010",tblOrdenes[[#This Row],[operacion]]))</f>
        <v/>
      </c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11" t="n"/>
      <c r="K765" s="3" t="n"/>
      <c r="L765" s="10" t="n"/>
      <c r="M765" s="6" t="n"/>
      <c r="N7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65" s="3">
        <f>IF(tblOrdenes[[#This Row],[fecha_inicio]]="","",YEAR(tblOrdenes[[#This Row],[fecha_inicio]]))</f>
        <v/>
      </c>
      <c r="R765" s="3">
        <f>IF(tblOrdenes[[#This Row],[fecha_inicio]]="","",MONTH(tblOrdenes[[#This Row],[fecha_inicio]]))</f>
        <v/>
      </c>
      <c r="S765" s="3">
        <f>IF(tblOrdenes[[#This Row],[fecha_inicio]]="","",INDEX(lista_dias,WEEKDAY(tblOrdenes[[#This Row],[fecha_inicio]],2)))</f>
        <v/>
      </c>
      <c r="T765" s="3">
        <f>IF(tblOrdenes[[#This Row],[tipo_ot]]="","",_xlfn.XLOOKUP(tblOrdenes[[#This Row],[tipo_ot]],tblTiposOT[codigo],tblTiposOT[clasificacion],"sin_clasificar"))</f>
        <v/>
      </c>
      <c r="U765" s="3">
        <f>IF(tblOrdenes[[#This Row],[centro_costo]]="","",_xlfn.XLOOKUP(tblOrdenes[[#This Row],[centro_costo]],tblCECO[codigo],tblCECO[linea],"(sin catálogo)"))</f>
        <v/>
      </c>
      <c r="V765" s="3">
        <f>IF(tblOrdenes[[#This Row],[centro_costo]]="","",_xlfn.XLOOKUP(tblOrdenes[[#This Row],[centro_costo]],tblCECO[codigo],tblCECO[area],"(sin catálogo)"))</f>
        <v/>
      </c>
      <c r="W765" s="3">
        <f>IF(tblOrdenes[[#This Row],[centro_costo]]="","",_xlfn.XLOOKUP(tblOrdenes[[#This Row],[centro_costo]],tblCECO[codigo],tblCECO[coordinador],"(sin catálogo)"))</f>
        <v/>
      </c>
      <c r="X765" s="3">
        <f>IF(tblOrdenes[[#This Row],[puesto_trabajo]]="","",_xlfn.XLOOKUP(tblOrdenes[[#This Row],[puesto_trabajo]],tblPuestos[codigo],tblPuestos[especialidad],"(sin catálogo)"))</f>
        <v/>
      </c>
      <c r="Y765" s="3">
        <f>IF(tblOrdenes[[#This Row],[cod_actividad]]="","",_xlfn.XLOOKUP(tblOrdenes[[#This Row],[cod_actividad]],tblActividades[codigo],tblActividades[descripcion],"(sin catálogo)"))</f>
        <v/>
      </c>
      <c r="Z765" s="12">
        <f>IF(tblOrdenes[[#This Row],[fecha_inicio]]="","",TODAY()-tblOrdenes[[#This Row],[fecha_inicio]])</f>
        <v/>
      </c>
      <c r="AA765" s="3">
        <f>IF(tblOrdenes[[#This Row],[backlog_dias]]="","",IF(tblOrdenes[[#This Row],[backlog_dias]]&lt;0,"FUTURO",IF(tblOrdenes[[#This Row],[backlog_dias]]&gt;p_dias_backlog_max,"BACKLOG","MES CORRIENTE")))</f>
        <v/>
      </c>
      <c r="AB765" s="3">
        <f>IF(tblOrdenes[[#This Row],[backlog_dias]]="",FALSE,AND(tblOrdenes[[#This Row],[backlog_dias]]&gt;p_dias_backlog_min,tblOrdenes[[#This Row],[backlog_dias]]&lt;=p_dias_backlog_max))</f>
        <v/>
      </c>
      <c r="AC765" s="6" t="n"/>
      <c r="AD7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65" s="10">
        <f>IF(tblOrdenes[[#This Row],[orden]]="","",_xlfn.XLOOKUP(tblOrdenes[[#This Row],[id_operacion]],tblEjecucion[id_operacion],tblEjecucion[precio],0))</f>
        <v/>
      </c>
      <c r="AH765" s="10">
        <f>IF(tblOrdenes[[#This Row],[orden]]="","",MAX(0,_xlfn.XLOOKUP(tblOrdenes[[#This Row],[id_operacion]],tblEjecucion[id_operacion],tblEjecucion[costo_plan_total],0)-tblOrdenes[[#This Row],[costo_servicio]]))</f>
        <v/>
      </c>
      <c r="AI765" s="10">
        <f>IF(tblOrdenes[[#This Row],[orden]]="","",tblOrdenes[[#This Row],[costo_servicio]]+tblOrdenes[[#This Row],[costo_materiales]])</f>
        <v/>
      </c>
      <c r="AJ765" s="6" t="n"/>
      <c r="AK765" s="6" t="n"/>
      <c r="AL765" s="6" t="n"/>
      <c r="AM765" s="3">
        <f>IF(tblOrdenes[[#This Row],[link_checklist]]="","",HYPERLINK(p_ruta_base_checklists&amp;tblOrdenes[[#This Row],[link_checklist]],"abrir"))</f>
        <v/>
      </c>
      <c r="AN765" s="6" t="n"/>
      <c r="AO765" s="3">
        <f>IF(tblOrdenes[[#This Row],[orden]]="","",tblOrdenes[[#This Row],[orden]]&amp;IF(tblOrdenes[[#This Row],[operacion]]="","0010",tblOrdenes[[#This Row],[operacion]]))</f>
        <v/>
      </c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11" t="n"/>
      <c r="K766" s="3" t="n"/>
      <c r="L766" s="10" t="n"/>
      <c r="M766" s="6" t="n"/>
      <c r="N7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66" s="3">
        <f>IF(tblOrdenes[[#This Row],[fecha_inicio]]="","",YEAR(tblOrdenes[[#This Row],[fecha_inicio]]))</f>
        <v/>
      </c>
      <c r="R766" s="3">
        <f>IF(tblOrdenes[[#This Row],[fecha_inicio]]="","",MONTH(tblOrdenes[[#This Row],[fecha_inicio]]))</f>
        <v/>
      </c>
      <c r="S766" s="3">
        <f>IF(tblOrdenes[[#This Row],[fecha_inicio]]="","",INDEX(lista_dias,WEEKDAY(tblOrdenes[[#This Row],[fecha_inicio]],2)))</f>
        <v/>
      </c>
      <c r="T766" s="3">
        <f>IF(tblOrdenes[[#This Row],[tipo_ot]]="","",_xlfn.XLOOKUP(tblOrdenes[[#This Row],[tipo_ot]],tblTiposOT[codigo],tblTiposOT[clasificacion],"sin_clasificar"))</f>
        <v/>
      </c>
      <c r="U766" s="3">
        <f>IF(tblOrdenes[[#This Row],[centro_costo]]="","",_xlfn.XLOOKUP(tblOrdenes[[#This Row],[centro_costo]],tblCECO[codigo],tblCECO[linea],"(sin catálogo)"))</f>
        <v/>
      </c>
      <c r="V766" s="3">
        <f>IF(tblOrdenes[[#This Row],[centro_costo]]="","",_xlfn.XLOOKUP(tblOrdenes[[#This Row],[centro_costo]],tblCECO[codigo],tblCECO[area],"(sin catálogo)"))</f>
        <v/>
      </c>
      <c r="W766" s="3">
        <f>IF(tblOrdenes[[#This Row],[centro_costo]]="","",_xlfn.XLOOKUP(tblOrdenes[[#This Row],[centro_costo]],tblCECO[codigo],tblCECO[coordinador],"(sin catálogo)"))</f>
        <v/>
      </c>
      <c r="X766" s="3">
        <f>IF(tblOrdenes[[#This Row],[puesto_trabajo]]="","",_xlfn.XLOOKUP(tblOrdenes[[#This Row],[puesto_trabajo]],tblPuestos[codigo],tblPuestos[especialidad],"(sin catálogo)"))</f>
        <v/>
      </c>
      <c r="Y766" s="3">
        <f>IF(tblOrdenes[[#This Row],[cod_actividad]]="","",_xlfn.XLOOKUP(tblOrdenes[[#This Row],[cod_actividad]],tblActividades[codigo],tblActividades[descripcion],"(sin catálogo)"))</f>
        <v/>
      </c>
      <c r="Z766" s="12">
        <f>IF(tblOrdenes[[#This Row],[fecha_inicio]]="","",TODAY()-tblOrdenes[[#This Row],[fecha_inicio]])</f>
        <v/>
      </c>
      <c r="AA766" s="3">
        <f>IF(tblOrdenes[[#This Row],[backlog_dias]]="","",IF(tblOrdenes[[#This Row],[backlog_dias]]&lt;0,"FUTURO",IF(tblOrdenes[[#This Row],[backlog_dias]]&gt;p_dias_backlog_max,"BACKLOG","MES CORRIENTE")))</f>
        <v/>
      </c>
      <c r="AB766" s="3">
        <f>IF(tblOrdenes[[#This Row],[backlog_dias]]="",FALSE,AND(tblOrdenes[[#This Row],[backlog_dias]]&gt;p_dias_backlog_min,tblOrdenes[[#This Row],[backlog_dias]]&lt;=p_dias_backlog_max))</f>
        <v/>
      </c>
      <c r="AC766" s="6" t="n"/>
      <c r="AD7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66" s="10">
        <f>IF(tblOrdenes[[#This Row],[orden]]="","",_xlfn.XLOOKUP(tblOrdenes[[#This Row],[id_operacion]],tblEjecucion[id_operacion],tblEjecucion[precio],0))</f>
        <v/>
      </c>
      <c r="AH766" s="10">
        <f>IF(tblOrdenes[[#This Row],[orden]]="","",MAX(0,_xlfn.XLOOKUP(tblOrdenes[[#This Row],[id_operacion]],tblEjecucion[id_operacion],tblEjecucion[costo_plan_total],0)-tblOrdenes[[#This Row],[costo_servicio]]))</f>
        <v/>
      </c>
      <c r="AI766" s="10">
        <f>IF(tblOrdenes[[#This Row],[orden]]="","",tblOrdenes[[#This Row],[costo_servicio]]+tblOrdenes[[#This Row],[costo_materiales]])</f>
        <v/>
      </c>
      <c r="AJ766" s="6" t="n"/>
      <c r="AK766" s="6" t="n"/>
      <c r="AL766" s="6" t="n"/>
      <c r="AM766" s="3">
        <f>IF(tblOrdenes[[#This Row],[link_checklist]]="","",HYPERLINK(p_ruta_base_checklists&amp;tblOrdenes[[#This Row],[link_checklist]],"abrir"))</f>
        <v/>
      </c>
      <c r="AN766" s="6" t="n"/>
      <c r="AO766" s="3">
        <f>IF(tblOrdenes[[#This Row],[orden]]="","",tblOrdenes[[#This Row],[orden]]&amp;IF(tblOrdenes[[#This Row],[operacion]]="","0010",tblOrdenes[[#This Row],[operacion]]))</f>
        <v/>
      </c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11" t="n"/>
      <c r="K767" s="3" t="n"/>
      <c r="L767" s="10" t="n"/>
      <c r="M767" s="6" t="n"/>
      <c r="N7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67" s="3">
        <f>IF(tblOrdenes[[#This Row],[fecha_inicio]]="","",YEAR(tblOrdenes[[#This Row],[fecha_inicio]]))</f>
        <v/>
      </c>
      <c r="R767" s="3">
        <f>IF(tblOrdenes[[#This Row],[fecha_inicio]]="","",MONTH(tblOrdenes[[#This Row],[fecha_inicio]]))</f>
        <v/>
      </c>
      <c r="S767" s="3">
        <f>IF(tblOrdenes[[#This Row],[fecha_inicio]]="","",INDEX(lista_dias,WEEKDAY(tblOrdenes[[#This Row],[fecha_inicio]],2)))</f>
        <v/>
      </c>
      <c r="T767" s="3">
        <f>IF(tblOrdenes[[#This Row],[tipo_ot]]="","",_xlfn.XLOOKUP(tblOrdenes[[#This Row],[tipo_ot]],tblTiposOT[codigo],tblTiposOT[clasificacion],"sin_clasificar"))</f>
        <v/>
      </c>
      <c r="U767" s="3">
        <f>IF(tblOrdenes[[#This Row],[centro_costo]]="","",_xlfn.XLOOKUP(tblOrdenes[[#This Row],[centro_costo]],tblCECO[codigo],tblCECO[linea],"(sin catálogo)"))</f>
        <v/>
      </c>
      <c r="V767" s="3">
        <f>IF(tblOrdenes[[#This Row],[centro_costo]]="","",_xlfn.XLOOKUP(tblOrdenes[[#This Row],[centro_costo]],tblCECO[codigo],tblCECO[area],"(sin catálogo)"))</f>
        <v/>
      </c>
      <c r="W767" s="3">
        <f>IF(tblOrdenes[[#This Row],[centro_costo]]="","",_xlfn.XLOOKUP(tblOrdenes[[#This Row],[centro_costo]],tblCECO[codigo],tblCECO[coordinador],"(sin catálogo)"))</f>
        <v/>
      </c>
      <c r="X767" s="3">
        <f>IF(tblOrdenes[[#This Row],[puesto_trabajo]]="","",_xlfn.XLOOKUP(tblOrdenes[[#This Row],[puesto_trabajo]],tblPuestos[codigo],tblPuestos[especialidad],"(sin catálogo)"))</f>
        <v/>
      </c>
      <c r="Y767" s="3">
        <f>IF(tblOrdenes[[#This Row],[cod_actividad]]="","",_xlfn.XLOOKUP(tblOrdenes[[#This Row],[cod_actividad]],tblActividades[codigo],tblActividades[descripcion],"(sin catálogo)"))</f>
        <v/>
      </c>
      <c r="Z767" s="12">
        <f>IF(tblOrdenes[[#This Row],[fecha_inicio]]="","",TODAY()-tblOrdenes[[#This Row],[fecha_inicio]])</f>
        <v/>
      </c>
      <c r="AA767" s="3">
        <f>IF(tblOrdenes[[#This Row],[backlog_dias]]="","",IF(tblOrdenes[[#This Row],[backlog_dias]]&lt;0,"FUTURO",IF(tblOrdenes[[#This Row],[backlog_dias]]&gt;p_dias_backlog_max,"BACKLOG","MES CORRIENTE")))</f>
        <v/>
      </c>
      <c r="AB767" s="3">
        <f>IF(tblOrdenes[[#This Row],[backlog_dias]]="",FALSE,AND(tblOrdenes[[#This Row],[backlog_dias]]&gt;p_dias_backlog_min,tblOrdenes[[#This Row],[backlog_dias]]&lt;=p_dias_backlog_max))</f>
        <v/>
      </c>
      <c r="AC767" s="6" t="n"/>
      <c r="AD7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67" s="10">
        <f>IF(tblOrdenes[[#This Row],[orden]]="","",_xlfn.XLOOKUP(tblOrdenes[[#This Row],[id_operacion]],tblEjecucion[id_operacion],tblEjecucion[precio],0))</f>
        <v/>
      </c>
      <c r="AH767" s="10">
        <f>IF(tblOrdenes[[#This Row],[orden]]="","",MAX(0,_xlfn.XLOOKUP(tblOrdenes[[#This Row],[id_operacion]],tblEjecucion[id_operacion],tblEjecucion[costo_plan_total],0)-tblOrdenes[[#This Row],[costo_servicio]]))</f>
        <v/>
      </c>
      <c r="AI767" s="10">
        <f>IF(tblOrdenes[[#This Row],[orden]]="","",tblOrdenes[[#This Row],[costo_servicio]]+tblOrdenes[[#This Row],[costo_materiales]])</f>
        <v/>
      </c>
      <c r="AJ767" s="6" t="n"/>
      <c r="AK767" s="6" t="n"/>
      <c r="AL767" s="6" t="n"/>
      <c r="AM767" s="3">
        <f>IF(tblOrdenes[[#This Row],[link_checklist]]="","",HYPERLINK(p_ruta_base_checklists&amp;tblOrdenes[[#This Row],[link_checklist]],"abrir"))</f>
        <v/>
      </c>
      <c r="AN767" s="6" t="n"/>
      <c r="AO767" s="3">
        <f>IF(tblOrdenes[[#This Row],[orden]]="","",tblOrdenes[[#This Row],[orden]]&amp;IF(tblOrdenes[[#This Row],[operacion]]="","0010",tblOrdenes[[#This Row],[operacion]]))</f>
        <v/>
      </c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11" t="n"/>
      <c r="K768" s="3" t="n"/>
      <c r="L768" s="10" t="n"/>
      <c r="M768" s="6" t="n"/>
      <c r="N7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68" s="3">
        <f>IF(tblOrdenes[[#This Row],[fecha_inicio]]="","",YEAR(tblOrdenes[[#This Row],[fecha_inicio]]))</f>
        <v/>
      </c>
      <c r="R768" s="3">
        <f>IF(tblOrdenes[[#This Row],[fecha_inicio]]="","",MONTH(tblOrdenes[[#This Row],[fecha_inicio]]))</f>
        <v/>
      </c>
      <c r="S768" s="3">
        <f>IF(tblOrdenes[[#This Row],[fecha_inicio]]="","",INDEX(lista_dias,WEEKDAY(tblOrdenes[[#This Row],[fecha_inicio]],2)))</f>
        <v/>
      </c>
      <c r="T768" s="3">
        <f>IF(tblOrdenes[[#This Row],[tipo_ot]]="","",_xlfn.XLOOKUP(tblOrdenes[[#This Row],[tipo_ot]],tblTiposOT[codigo],tblTiposOT[clasificacion],"sin_clasificar"))</f>
        <v/>
      </c>
      <c r="U768" s="3">
        <f>IF(tblOrdenes[[#This Row],[centro_costo]]="","",_xlfn.XLOOKUP(tblOrdenes[[#This Row],[centro_costo]],tblCECO[codigo],tblCECO[linea],"(sin catálogo)"))</f>
        <v/>
      </c>
      <c r="V768" s="3">
        <f>IF(tblOrdenes[[#This Row],[centro_costo]]="","",_xlfn.XLOOKUP(tblOrdenes[[#This Row],[centro_costo]],tblCECO[codigo],tblCECO[area],"(sin catálogo)"))</f>
        <v/>
      </c>
      <c r="W768" s="3">
        <f>IF(tblOrdenes[[#This Row],[centro_costo]]="","",_xlfn.XLOOKUP(tblOrdenes[[#This Row],[centro_costo]],tblCECO[codigo],tblCECO[coordinador],"(sin catálogo)"))</f>
        <v/>
      </c>
      <c r="X768" s="3">
        <f>IF(tblOrdenes[[#This Row],[puesto_trabajo]]="","",_xlfn.XLOOKUP(tblOrdenes[[#This Row],[puesto_trabajo]],tblPuestos[codigo],tblPuestos[especialidad],"(sin catálogo)"))</f>
        <v/>
      </c>
      <c r="Y768" s="3">
        <f>IF(tblOrdenes[[#This Row],[cod_actividad]]="","",_xlfn.XLOOKUP(tblOrdenes[[#This Row],[cod_actividad]],tblActividades[codigo],tblActividades[descripcion],"(sin catálogo)"))</f>
        <v/>
      </c>
      <c r="Z768" s="12">
        <f>IF(tblOrdenes[[#This Row],[fecha_inicio]]="","",TODAY()-tblOrdenes[[#This Row],[fecha_inicio]])</f>
        <v/>
      </c>
      <c r="AA768" s="3">
        <f>IF(tblOrdenes[[#This Row],[backlog_dias]]="","",IF(tblOrdenes[[#This Row],[backlog_dias]]&lt;0,"FUTURO",IF(tblOrdenes[[#This Row],[backlog_dias]]&gt;p_dias_backlog_max,"BACKLOG","MES CORRIENTE")))</f>
        <v/>
      </c>
      <c r="AB768" s="3">
        <f>IF(tblOrdenes[[#This Row],[backlog_dias]]="",FALSE,AND(tblOrdenes[[#This Row],[backlog_dias]]&gt;p_dias_backlog_min,tblOrdenes[[#This Row],[backlog_dias]]&lt;=p_dias_backlog_max))</f>
        <v/>
      </c>
      <c r="AC768" s="6" t="n"/>
      <c r="AD7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68" s="10">
        <f>IF(tblOrdenes[[#This Row],[orden]]="","",_xlfn.XLOOKUP(tblOrdenes[[#This Row],[id_operacion]],tblEjecucion[id_operacion],tblEjecucion[precio],0))</f>
        <v/>
      </c>
      <c r="AH768" s="10">
        <f>IF(tblOrdenes[[#This Row],[orden]]="","",MAX(0,_xlfn.XLOOKUP(tblOrdenes[[#This Row],[id_operacion]],tblEjecucion[id_operacion],tblEjecucion[costo_plan_total],0)-tblOrdenes[[#This Row],[costo_servicio]]))</f>
        <v/>
      </c>
      <c r="AI768" s="10">
        <f>IF(tblOrdenes[[#This Row],[orden]]="","",tblOrdenes[[#This Row],[costo_servicio]]+tblOrdenes[[#This Row],[costo_materiales]])</f>
        <v/>
      </c>
      <c r="AJ768" s="6" t="n"/>
      <c r="AK768" s="6" t="n"/>
      <c r="AL768" s="6" t="n"/>
      <c r="AM768" s="3">
        <f>IF(tblOrdenes[[#This Row],[link_checklist]]="","",HYPERLINK(p_ruta_base_checklists&amp;tblOrdenes[[#This Row],[link_checklist]],"abrir"))</f>
        <v/>
      </c>
      <c r="AN768" s="6" t="n"/>
      <c r="AO768" s="3">
        <f>IF(tblOrdenes[[#This Row],[orden]]="","",tblOrdenes[[#This Row],[orden]]&amp;IF(tblOrdenes[[#This Row],[operacion]]="","0010",tblOrdenes[[#This Row],[operacion]]))</f>
        <v/>
      </c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11" t="n"/>
      <c r="K769" s="3" t="n"/>
      <c r="L769" s="10" t="n"/>
      <c r="M769" s="6" t="n"/>
      <c r="N7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69" s="3">
        <f>IF(tblOrdenes[[#This Row],[fecha_inicio]]="","",YEAR(tblOrdenes[[#This Row],[fecha_inicio]]))</f>
        <v/>
      </c>
      <c r="R769" s="3">
        <f>IF(tblOrdenes[[#This Row],[fecha_inicio]]="","",MONTH(tblOrdenes[[#This Row],[fecha_inicio]]))</f>
        <v/>
      </c>
      <c r="S769" s="3">
        <f>IF(tblOrdenes[[#This Row],[fecha_inicio]]="","",INDEX(lista_dias,WEEKDAY(tblOrdenes[[#This Row],[fecha_inicio]],2)))</f>
        <v/>
      </c>
      <c r="T769" s="3">
        <f>IF(tblOrdenes[[#This Row],[tipo_ot]]="","",_xlfn.XLOOKUP(tblOrdenes[[#This Row],[tipo_ot]],tblTiposOT[codigo],tblTiposOT[clasificacion],"sin_clasificar"))</f>
        <v/>
      </c>
      <c r="U769" s="3">
        <f>IF(tblOrdenes[[#This Row],[centro_costo]]="","",_xlfn.XLOOKUP(tblOrdenes[[#This Row],[centro_costo]],tblCECO[codigo],tblCECO[linea],"(sin catálogo)"))</f>
        <v/>
      </c>
      <c r="V769" s="3">
        <f>IF(tblOrdenes[[#This Row],[centro_costo]]="","",_xlfn.XLOOKUP(tblOrdenes[[#This Row],[centro_costo]],tblCECO[codigo],tblCECO[area],"(sin catálogo)"))</f>
        <v/>
      </c>
      <c r="W769" s="3">
        <f>IF(tblOrdenes[[#This Row],[centro_costo]]="","",_xlfn.XLOOKUP(tblOrdenes[[#This Row],[centro_costo]],tblCECO[codigo],tblCECO[coordinador],"(sin catálogo)"))</f>
        <v/>
      </c>
      <c r="X769" s="3">
        <f>IF(tblOrdenes[[#This Row],[puesto_trabajo]]="","",_xlfn.XLOOKUP(tblOrdenes[[#This Row],[puesto_trabajo]],tblPuestos[codigo],tblPuestos[especialidad],"(sin catálogo)"))</f>
        <v/>
      </c>
      <c r="Y769" s="3">
        <f>IF(tblOrdenes[[#This Row],[cod_actividad]]="","",_xlfn.XLOOKUP(tblOrdenes[[#This Row],[cod_actividad]],tblActividades[codigo],tblActividades[descripcion],"(sin catálogo)"))</f>
        <v/>
      </c>
      <c r="Z769" s="12">
        <f>IF(tblOrdenes[[#This Row],[fecha_inicio]]="","",TODAY()-tblOrdenes[[#This Row],[fecha_inicio]])</f>
        <v/>
      </c>
      <c r="AA769" s="3">
        <f>IF(tblOrdenes[[#This Row],[backlog_dias]]="","",IF(tblOrdenes[[#This Row],[backlog_dias]]&lt;0,"FUTURO",IF(tblOrdenes[[#This Row],[backlog_dias]]&gt;p_dias_backlog_max,"BACKLOG","MES CORRIENTE")))</f>
        <v/>
      </c>
      <c r="AB769" s="3">
        <f>IF(tblOrdenes[[#This Row],[backlog_dias]]="",FALSE,AND(tblOrdenes[[#This Row],[backlog_dias]]&gt;p_dias_backlog_min,tblOrdenes[[#This Row],[backlog_dias]]&lt;=p_dias_backlog_max))</f>
        <v/>
      </c>
      <c r="AC769" s="6" t="n"/>
      <c r="AD7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69" s="10">
        <f>IF(tblOrdenes[[#This Row],[orden]]="","",_xlfn.XLOOKUP(tblOrdenes[[#This Row],[id_operacion]],tblEjecucion[id_operacion],tblEjecucion[precio],0))</f>
        <v/>
      </c>
      <c r="AH769" s="10">
        <f>IF(tblOrdenes[[#This Row],[orden]]="","",MAX(0,_xlfn.XLOOKUP(tblOrdenes[[#This Row],[id_operacion]],tblEjecucion[id_operacion],tblEjecucion[costo_plan_total],0)-tblOrdenes[[#This Row],[costo_servicio]]))</f>
        <v/>
      </c>
      <c r="AI769" s="10">
        <f>IF(tblOrdenes[[#This Row],[orden]]="","",tblOrdenes[[#This Row],[costo_servicio]]+tblOrdenes[[#This Row],[costo_materiales]])</f>
        <v/>
      </c>
      <c r="AJ769" s="6" t="n"/>
      <c r="AK769" s="6" t="n"/>
      <c r="AL769" s="6" t="n"/>
      <c r="AM769" s="3">
        <f>IF(tblOrdenes[[#This Row],[link_checklist]]="","",HYPERLINK(p_ruta_base_checklists&amp;tblOrdenes[[#This Row],[link_checklist]],"abrir"))</f>
        <v/>
      </c>
      <c r="AN769" s="6" t="n"/>
      <c r="AO769" s="3">
        <f>IF(tblOrdenes[[#This Row],[orden]]="","",tblOrdenes[[#This Row],[orden]]&amp;IF(tblOrdenes[[#This Row],[operacion]]="","0010",tblOrdenes[[#This Row],[operacion]]))</f>
        <v/>
      </c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11" t="n"/>
      <c r="K770" s="3" t="n"/>
      <c r="L770" s="10" t="n"/>
      <c r="M770" s="6" t="n"/>
      <c r="N7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70" s="3">
        <f>IF(tblOrdenes[[#This Row],[fecha_inicio]]="","",YEAR(tblOrdenes[[#This Row],[fecha_inicio]]))</f>
        <v/>
      </c>
      <c r="R770" s="3">
        <f>IF(tblOrdenes[[#This Row],[fecha_inicio]]="","",MONTH(tblOrdenes[[#This Row],[fecha_inicio]]))</f>
        <v/>
      </c>
      <c r="S770" s="3">
        <f>IF(tblOrdenes[[#This Row],[fecha_inicio]]="","",INDEX(lista_dias,WEEKDAY(tblOrdenes[[#This Row],[fecha_inicio]],2)))</f>
        <v/>
      </c>
      <c r="T770" s="3">
        <f>IF(tblOrdenes[[#This Row],[tipo_ot]]="","",_xlfn.XLOOKUP(tblOrdenes[[#This Row],[tipo_ot]],tblTiposOT[codigo],tblTiposOT[clasificacion],"sin_clasificar"))</f>
        <v/>
      </c>
      <c r="U770" s="3">
        <f>IF(tblOrdenes[[#This Row],[centro_costo]]="","",_xlfn.XLOOKUP(tblOrdenes[[#This Row],[centro_costo]],tblCECO[codigo],tblCECO[linea],"(sin catálogo)"))</f>
        <v/>
      </c>
      <c r="V770" s="3">
        <f>IF(tblOrdenes[[#This Row],[centro_costo]]="","",_xlfn.XLOOKUP(tblOrdenes[[#This Row],[centro_costo]],tblCECO[codigo],tblCECO[area],"(sin catálogo)"))</f>
        <v/>
      </c>
      <c r="W770" s="3">
        <f>IF(tblOrdenes[[#This Row],[centro_costo]]="","",_xlfn.XLOOKUP(tblOrdenes[[#This Row],[centro_costo]],tblCECO[codigo],tblCECO[coordinador],"(sin catálogo)"))</f>
        <v/>
      </c>
      <c r="X770" s="3">
        <f>IF(tblOrdenes[[#This Row],[puesto_trabajo]]="","",_xlfn.XLOOKUP(tblOrdenes[[#This Row],[puesto_trabajo]],tblPuestos[codigo],tblPuestos[especialidad],"(sin catálogo)"))</f>
        <v/>
      </c>
      <c r="Y770" s="3">
        <f>IF(tblOrdenes[[#This Row],[cod_actividad]]="","",_xlfn.XLOOKUP(tblOrdenes[[#This Row],[cod_actividad]],tblActividades[codigo],tblActividades[descripcion],"(sin catálogo)"))</f>
        <v/>
      </c>
      <c r="Z770" s="12">
        <f>IF(tblOrdenes[[#This Row],[fecha_inicio]]="","",TODAY()-tblOrdenes[[#This Row],[fecha_inicio]])</f>
        <v/>
      </c>
      <c r="AA770" s="3">
        <f>IF(tblOrdenes[[#This Row],[backlog_dias]]="","",IF(tblOrdenes[[#This Row],[backlog_dias]]&lt;0,"FUTURO",IF(tblOrdenes[[#This Row],[backlog_dias]]&gt;p_dias_backlog_max,"BACKLOG","MES CORRIENTE")))</f>
        <v/>
      </c>
      <c r="AB770" s="3">
        <f>IF(tblOrdenes[[#This Row],[backlog_dias]]="",FALSE,AND(tblOrdenes[[#This Row],[backlog_dias]]&gt;p_dias_backlog_min,tblOrdenes[[#This Row],[backlog_dias]]&lt;=p_dias_backlog_max))</f>
        <v/>
      </c>
      <c r="AC770" s="6" t="n"/>
      <c r="AD7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70" s="10">
        <f>IF(tblOrdenes[[#This Row],[orden]]="","",_xlfn.XLOOKUP(tblOrdenes[[#This Row],[id_operacion]],tblEjecucion[id_operacion],tblEjecucion[precio],0))</f>
        <v/>
      </c>
      <c r="AH770" s="10">
        <f>IF(tblOrdenes[[#This Row],[orden]]="","",MAX(0,_xlfn.XLOOKUP(tblOrdenes[[#This Row],[id_operacion]],tblEjecucion[id_operacion],tblEjecucion[costo_plan_total],0)-tblOrdenes[[#This Row],[costo_servicio]]))</f>
        <v/>
      </c>
      <c r="AI770" s="10">
        <f>IF(tblOrdenes[[#This Row],[orden]]="","",tblOrdenes[[#This Row],[costo_servicio]]+tblOrdenes[[#This Row],[costo_materiales]])</f>
        <v/>
      </c>
      <c r="AJ770" s="6" t="n"/>
      <c r="AK770" s="6" t="n"/>
      <c r="AL770" s="6" t="n"/>
      <c r="AM770" s="3">
        <f>IF(tblOrdenes[[#This Row],[link_checklist]]="","",HYPERLINK(p_ruta_base_checklists&amp;tblOrdenes[[#This Row],[link_checklist]],"abrir"))</f>
        <v/>
      </c>
      <c r="AN770" s="6" t="n"/>
      <c r="AO770" s="3">
        <f>IF(tblOrdenes[[#This Row],[orden]]="","",tblOrdenes[[#This Row],[orden]]&amp;IF(tblOrdenes[[#This Row],[operacion]]="","0010",tblOrdenes[[#This Row],[operacion]]))</f>
        <v/>
      </c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11" t="n"/>
      <c r="K771" s="3" t="n"/>
      <c r="L771" s="10" t="n"/>
      <c r="M771" s="6" t="n"/>
      <c r="N7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71" s="3">
        <f>IF(tblOrdenes[[#This Row],[fecha_inicio]]="","",YEAR(tblOrdenes[[#This Row],[fecha_inicio]]))</f>
        <v/>
      </c>
      <c r="R771" s="3">
        <f>IF(tblOrdenes[[#This Row],[fecha_inicio]]="","",MONTH(tblOrdenes[[#This Row],[fecha_inicio]]))</f>
        <v/>
      </c>
      <c r="S771" s="3">
        <f>IF(tblOrdenes[[#This Row],[fecha_inicio]]="","",INDEX(lista_dias,WEEKDAY(tblOrdenes[[#This Row],[fecha_inicio]],2)))</f>
        <v/>
      </c>
      <c r="T771" s="3">
        <f>IF(tblOrdenes[[#This Row],[tipo_ot]]="","",_xlfn.XLOOKUP(tblOrdenes[[#This Row],[tipo_ot]],tblTiposOT[codigo],tblTiposOT[clasificacion],"sin_clasificar"))</f>
        <v/>
      </c>
      <c r="U771" s="3">
        <f>IF(tblOrdenes[[#This Row],[centro_costo]]="","",_xlfn.XLOOKUP(tblOrdenes[[#This Row],[centro_costo]],tblCECO[codigo],tblCECO[linea],"(sin catálogo)"))</f>
        <v/>
      </c>
      <c r="V771" s="3">
        <f>IF(tblOrdenes[[#This Row],[centro_costo]]="","",_xlfn.XLOOKUP(tblOrdenes[[#This Row],[centro_costo]],tblCECO[codigo],tblCECO[area],"(sin catálogo)"))</f>
        <v/>
      </c>
      <c r="W771" s="3">
        <f>IF(tblOrdenes[[#This Row],[centro_costo]]="","",_xlfn.XLOOKUP(tblOrdenes[[#This Row],[centro_costo]],tblCECO[codigo],tblCECO[coordinador],"(sin catálogo)"))</f>
        <v/>
      </c>
      <c r="X771" s="3">
        <f>IF(tblOrdenes[[#This Row],[puesto_trabajo]]="","",_xlfn.XLOOKUP(tblOrdenes[[#This Row],[puesto_trabajo]],tblPuestos[codigo],tblPuestos[especialidad],"(sin catálogo)"))</f>
        <v/>
      </c>
      <c r="Y771" s="3">
        <f>IF(tblOrdenes[[#This Row],[cod_actividad]]="","",_xlfn.XLOOKUP(tblOrdenes[[#This Row],[cod_actividad]],tblActividades[codigo],tblActividades[descripcion],"(sin catálogo)"))</f>
        <v/>
      </c>
      <c r="Z771" s="12">
        <f>IF(tblOrdenes[[#This Row],[fecha_inicio]]="","",TODAY()-tblOrdenes[[#This Row],[fecha_inicio]])</f>
        <v/>
      </c>
      <c r="AA771" s="3">
        <f>IF(tblOrdenes[[#This Row],[backlog_dias]]="","",IF(tblOrdenes[[#This Row],[backlog_dias]]&lt;0,"FUTURO",IF(tblOrdenes[[#This Row],[backlog_dias]]&gt;p_dias_backlog_max,"BACKLOG","MES CORRIENTE")))</f>
        <v/>
      </c>
      <c r="AB771" s="3">
        <f>IF(tblOrdenes[[#This Row],[backlog_dias]]="",FALSE,AND(tblOrdenes[[#This Row],[backlog_dias]]&gt;p_dias_backlog_min,tblOrdenes[[#This Row],[backlog_dias]]&lt;=p_dias_backlog_max))</f>
        <v/>
      </c>
      <c r="AC771" s="6" t="n"/>
      <c r="AD7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71" s="10">
        <f>IF(tblOrdenes[[#This Row],[orden]]="","",_xlfn.XLOOKUP(tblOrdenes[[#This Row],[id_operacion]],tblEjecucion[id_operacion],tblEjecucion[precio],0))</f>
        <v/>
      </c>
      <c r="AH771" s="10">
        <f>IF(tblOrdenes[[#This Row],[orden]]="","",MAX(0,_xlfn.XLOOKUP(tblOrdenes[[#This Row],[id_operacion]],tblEjecucion[id_operacion],tblEjecucion[costo_plan_total],0)-tblOrdenes[[#This Row],[costo_servicio]]))</f>
        <v/>
      </c>
      <c r="AI771" s="10">
        <f>IF(tblOrdenes[[#This Row],[orden]]="","",tblOrdenes[[#This Row],[costo_servicio]]+tblOrdenes[[#This Row],[costo_materiales]])</f>
        <v/>
      </c>
      <c r="AJ771" s="6" t="n"/>
      <c r="AK771" s="6" t="n"/>
      <c r="AL771" s="6" t="n"/>
      <c r="AM771" s="3">
        <f>IF(tblOrdenes[[#This Row],[link_checklist]]="","",HYPERLINK(p_ruta_base_checklists&amp;tblOrdenes[[#This Row],[link_checklist]],"abrir"))</f>
        <v/>
      </c>
      <c r="AN771" s="6" t="n"/>
      <c r="AO771" s="3">
        <f>IF(tblOrdenes[[#This Row],[orden]]="","",tblOrdenes[[#This Row],[orden]]&amp;IF(tblOrdenes[[#This Row],[operacion]]="","0010",tblOrdenes[[#This Row],[operacion]]))</f>
        <v/>
      </c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11" t="n"/>
      <c r="K772" s="3" t="n"/>
      <c r="L772" s="10" t="n"/>
      <c r="M772" s="6" t="n"/>
      <c r="N7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72" s="3">
        <f>IF(tblOrdenes[[#This Row],[fecha_inicio]]="","",YEAR(tblOrdenes[[#This Row],[fecha_inicio]]))</f>
        <v/>
      </c>
      <c r="R772" s="3">
        <f>IF(tblOrdenes[[#This Row],[fecha_inicio]]="","",MONTH(tblOrdenes[[#This Row],[fecha_inicio]]))</f>
        <v/>
      </c>
      <c r="S772" s="3">
        <f>IF(tblOrdenes[[#This Row],[fecha_inicio]]="","",INDEX(lista_dias,WEEKDAY(tblOrdenes[[#This Row],[fecha_inicio]],2)))</f>
        <v/>
      </c>
      <c r="T772" s="3">
        <f>IF(tblOrdenes[[#This Row],[tipo_ot]]="","",_xlfn.XLOOKUP(tblOrdenes[[#This Row],[tipo_ot]],tblTiposOT[codigo],tblTiposOT[clasificacion],"sin_clasificar"))</f>
        <v/>
      </c>
      <c r="U772" s="3">
        <f>IF(tblOrdenes[[#This Row],[centro_costo]]="","",_xlfn.XLOOKUP(tblOrdenes[[#This Row],[centro_costo]],tblCECO[codigo],tblCECO[linea],"(sin catálogo)"))</f>
        <v/>
      </c>
      <c r="V772" s="3">
        <f>IF(tblOrdenes[[#This Row],[centro_costo]]="","",_xlfn.XLOOKUP(tblOrdenes[[#This Row],[centro_costo]],tblCECO[codigo],tblCECO[area],"(sin catálogo)"))</f>
        <v/>
      </c>
      <c r="W772" s="3">
        <f>IF(tblOrdenes[[#This Row],[centro_costo]]="","",_xlfn.XLOOKUP(tblOrdenes[[#This Row],[centro_costo]],tblCECO[codigo],tblCECO[coordinador],"(sin catálogo)"))</f>
        <v/>
      </c>
      <c r="X772" s="3">
        <f>IF(tblOrdenes[[#This Row],[puesto_trabajo]]="","",_xlfn.XLOOKUP(tblOrdenes[[#This Row],[puesto_trabajo]],tblPuestos[codigo],tblPuestos[especialidad],"(sin catálogo)"))</f>
        <v/>
      </c>
      <c r="Y772" s="3">
        <f>IF(tblOrdenes[[#This Row],[cod_actividad]]="","",_xlfn.XLOOKUP(tblOrdenes[[#This Row],[cod_actividad]],tblActividades[codigo],tblActividades[descripcion],"(sin catálogo)"))</f>
        <v/>
      </c>
      <c r="Z772" s="12">
        <f>IF(tblOrdenes[[#This Row],[fecha_inicio]]="","",TODAY()-tblOrdenes[[#This Row],[fecha_inicio]])</f>
        <v/>
      </c>
      <c r="AA772" s="3">
        <f>IF(tblOrdenes[[#This Row],[backlog_dias]]="","",IF(tblOrdenes[[#This Row],[backlog_dias]]&lt;0,"FUTURO",IF(tblOrdenes[[#This Row],[backlog_dias]]&gt;p_dias_backlog_max,"BACKLOG","MES CORRIENTE")))</f>
        <v/>
      </c>
      <c r="AB772" s="3">
        <f>IF(tblOrdenes[[#This Row],[backlog_dias]]="",FALSE,AND(tblOrdenes[[#This Row],[backlog_dias]]&gt;p_dias_backlog_min,tblOrdenes[[#This Row],[backlog_dias]]&lt;=p_dias_backlog_max))</f>
        <v/>
      </c>
      <c r="AC772" s="6" t="n"/>
      <c r="AD7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72" s="10">
        <f>IF(tblOrdenes[[#This Row],[orden]]="","",_xlfn.XLOOKUP(tblOrdenes[[#This Row],[id_operacion]],tblEjecucion[id_operacion],tblEjecucion[precio],0))</f>
        <v/>
      </c>
      <c r="AH772" s="10">
        <f>IF(tblOrdenes[[#This Row],[orden]]="","",MAX(0,_xlfn.XLOOKUP(tblOrdenes[[#This Row],[id_operacion]],tblEjecucion[id_operacion],tblEjecucion[costo_plan_total],0)-tblOrdenes[[#This Row],[costo_servicio]]))</f>
        <v/>
      </c>
      <c r="AI772" s="10">
        <f>IF(tblOrdenes[[#This Row],[orden]]="","",tblOrdenes[[#This Row],[costo_servicio]]+tblOrdenes[[#This Row],[costo_materiales]])</f>
        <v/>
      </c>
      <c r="AJ772" s="6" t="n"/>
      <c r="AK772" s="6" t="n"/>
      <c r="AL772" s="6" t="n"/>
      <c r="AM772" s="3">
        <f>IF(tblOrdenes[[#This Row],[link_checklist]]="","",HYPERLINK(p_ruta_base_checklists&amp;tblOrdenes[[#This Row],[link_checklist]],"abrir"))</f>
        <v/>
      </c>
      <c r="AN772" s="6" t="n"/>
      <c r="AO772" s="3">
        <f>IF(tblOrdenes[[#This Row],[orden]]="","",tblOrdenes[[#This Row],[orden]]&amp;IF(tblOrdenes[[#This Row],[operacion]]="","0010",tblOrdenes[[#This Row],[operacion]]))</f>
        <v/>
      </c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11" t="n"/>
      <c r="K773" s="3" t="n"/>
      <c r="L773" s="10" t="n"/>
      <c r="M773" s="6" t="n"/>
      <c r="N7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73" s="3">
        <f>IF(tblOrdenes[[#This Row],[fecha_inicio]]="","",YEAR(tblOrdenes[[#This Row],[fecha_inicio]]))</f>
        <v/>
      </c>
      <c r="R773" s="3">
        <f>IF(tblOrdenes[[#This Row],[fecha_inicio]]="","",MONTH(tblOrdenes[[#This Row],[fecha_inicio]]))</f>
        <v/>
      </c>
      <c r="S773" s="3">
        <f>IF(tblOrdenes[[#This Row],[fecha_inicio]]="","",INDEX(lista_dias,WEEKDAY(tblOrdenes[[#This Row],[fecha_inicio]],2)))</f>
        <v/>
      </c>
      <c r="T773" s="3">
        <f>IF(tblOrdenes[[#This Row],[tipo_ot]]="","",_xlfn.XLOOKUP(tblOrdenes[[#This Row],[tipo_ot]],tblTiposOT[codigo],tblTiposOT[clasificacion],"sin_clasificar"))</f>
        <v/>
      </c>
      <c r="U773" s="3">
        <f>IF(tblOrdenes[[#This Row],[centro_costo]]="","",_xlfn.XLOOKUP(tblOrdenes[[#This Row],[centro_costo]],tblCECO[codigo],tblCECO[linea],"(sin catálogo)"))</f>
        <v/>
      </c>
      <c r="V773" s="3">
        <f>IF(tblOrdenes[[#This Row],[centro_costo]]="","",_xlfn.XLOOKUP(tblOrdenes[[#This Row],[centro_costo]],tblCECO[codigo],tblCECO[area],"(sin catálogo)"))</f>
        <v/>
      </c>
      <c r="W773" s="3">
        <f>IF(tblOrdenes[[#This Row],[centro_costo]]="","",_xlfn.XLOOKUP(tblOrdenes[[#This Row],[centro_costo]],tblCECO[codigo],tblCECO[coordinador],"(sin catálogo)"))</f>
        <v/>
      </c>
      <c r="X773" s="3">
        <f>IF(tblOrdenes[[#This Row],[puesto_trabajo]]="","",_xlfn.XLOOKUP(tblOrdenes[[#This Row],[puesto_trabajo]],tblPuestos[codigo],tblPuestos[especialidad],"(sin catálogo)"))</f>
        <v/>
      </c>
      <c r="Y773" s="3">
        <f>IF(tblOrdenes[[#This Row],[cod_actividad]]="","",_xlfn.XLOOKUP(tblOrdenes[[#This Row],[cod_actividad]],tblActividades[codigo],tblActividades[descripcion],"(sin catálogo)"))</f>
        <v/>
      </c>
      <c r="Z773" s="12">
        <f>IF(tblOrdenes[[#This Row],[fecha_inicio]]="","",TODAY()-tblOrdenes[[#This Row],[fecha_inicio]])</f>
        <v/>
      </c>
      <c r="AA773" s="3">
        <f>IF(tblOrdenes[[#This Row],[backlog_dias]]="","",IF(tblOrdenes[[#This Row],[backlog_dias]]&lt;0,"FUTURO",IF(tblOrdenes[[#This Row],[backlog_dias]]&gt;p_dias_backlog_max,"BACKLOG","MES CORRIENTE")))</f>
        <v/>
      </c>
      <c r="AB773" s="3">
        <f>IF(tblOrdenes[[#This Row],[backlog_dias]]="",FALSE,AND(tblOrdenes[[#This Row],[backlog_dias]]&gt;p_dias_backlog_min,tblOrdenes[[#This Row],[backlog_dias]]&lt;=p_dias_backlog_max))</f>
        <v/>
      </c>
      <c r="AC773" s="6" t="n"/>
      <c r="AD7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73" s="10">
        <f>IF(tblOrdenes[[#This Row],[orden]]="","",_xlfn.XLOOKUP(tblOrdenes[[#This Row],[id_operacion]],tblEjecucion[id_operacion],tblEjecucion[precio],0))</f>
        <v/>
      </c>
      <c r="AH773" s="10">
        <f>IF(tblOrdenes[[#This Row],[orden]]="","",MAX(0,_xlfn.XLOOKUP(tblOrdenes[[#This Row],[id_operacion]],tblEjecucion[id_operacion],tblEjecucion[costo_plan_total],0)-tblOrdenes[[#This Row],[costo_servicio]]))</f>
        <v/>
      </c>
      <c r="AI773" s="10">
        <f>IF(tblOrdenes[[#This Row],[orden]]="","",tblOrdenes[[#This Row],[costo_servicio]]+tblOrdenes[[#This Row],[costo_materiales]])</f>
        <v/>
      </c>
      <c r="AJ773" s="6" t="n"/>
      <c r="AK773" s="6" t="n"/>
      <c r="AL773" s="6" t="n"/>
      <c r="AM773" s="3">
        <f>IF(tblOrdenes[[#This Row],[link_checklist]]="","",HYPERLINK(p_ruta_base_checklists&amp;tblOrdenes[[#This Row],[link_checklist]],"abrir"))</f>
        <v/>
      </c>
      <c r="AN773" s="6" t="n"/>
      <c r="AO773" s="3">
        <f>IF(tblOrdenes[[#This Row],[orden]]="","",tblOrdenes[[#This Row],[orden]]&amp;IF(tblOrdenes[[#This Row],[operacion]]="","0010",tblOrdenes[[#This Row],[operacion]]))</f>
        <v/>
      </c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11" t="n"/>
      <c r="K774" s="3" t="n"/>
      <c r="L774" s="10" t="n"/>
      <c r="M774" s="6" t="n"/>
      <c r="N7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74" s="3">
        <f>IF(tblOrdenes[[#This Row],[fecha_inicio]]="","",YEAR(tblOrdenes[[#This Row],[fecha_inicio]]))</f>
        <v/>
      </c>
      <c r="R774" s="3">
        <f>IF(tblOrdenes[[#This Row],[fecha_inicio]]="","",MONTH(tblOrdenes[[#This Row],[fecha_inicio]]))</f>
        <v/>
      </c>
      <c r="S774" s="3">
        <f>IF(tblOrdenes[[#This Row],[fecha_inicio]]="","",INDEX(lista_dias,WEEKDAY(tblOrdenes[[#This Row],[fecha_inicio]],2)))</f>
        <v/>
      </c>
      <c r="T774" s="3">
        <f>IF(tblOrdenes[[#This Row],[tipo_ot]]="","",_xlfn.XLOOKUP(tblOrdenes[[#This Row],[tipo_ot]],tblTiposOT[codigo],tblTiposOT[clasificacion],"sin_clasificar"))</f>
        <v/>
      </c>
      <c r="U774" s="3">
        <f>IF(tblOrdenes[[#This Row],[centro_costo]]="","",_xlfn.XLOOKUP(tblOrdenes[[#This Row],[centro_costo]],tblCECO[codigo],tblCECO[linea],"(sin catálogo)"))</f>
        <v/>
      </c>
      <c r="V774" s="3">
        <f>IF(tblOrdenes[[#This Row],[centro_costo]]="","",_xlfn.XLOOKUP(tblOrdenes[[#This Row],[centro_costo]],tblCECO[codigo],tblCECO[area],"(sin catálogo)"))</f>
        <v/>
      </c>
      <c r="W774" s="3">
        <f>IF(tblOrdenes[[#This Row],[centro_costo]]="","",_xlfn.XLOOKUP(tblOrdenes[[#This Row],[centro_costo]],tblCECO[codigo],tblCECO[coordinador],"(sin catálogo)"))</f>
        <v/>
      </c>
      <c r="X774" s="3">
        <f>IF(tblOrdenes[[#This Row],[puesto_trabajo]]="","",_xlfn.XLOOKUP(tblOrdenes[[#This Row],[puesto_trabajo]],tblPuestos[codigo],tblPuestos[especialidad],"(sin catálogo)"))</f>
        <v/>
      </c>
      <c r="Y774" s="3">
        <f>IF(tblOrdenes[[#This Row],[cod_actividad]]="","",_xlfn.XLOOKUP(tblOrdenes[[#This Row],[cod_actividad]],tblActividades[codigo],tblActividades[descripcion],"(sin catálogo)"))</f>
        <v/>
      </c>
      <c r="Z774" s="12">
        <f>IF(tblOrdenes[[#This Row],[fecha_inicio]]="","",TODAY()-tblOrdenes[[#This Row],[fecha_inicio]])</f>
        <v/>
      </c>
      <c r="AA774" s="3">
        <f>IF(tblOrdenes[[#This Row],[backlog_dias]]="","",IF(tblOrdenes[[#This Row],[backlog_dias]]&lt;0,"FUTURO",IF(tblOrdenes[[#This Row],[backlog_dias]]&gt;p_dias_backlog_max,"BACKLOG","MES CORRIENTE")))</f>
        <v/>
      </c>
      <c r="AB774" s="3">
        <f>IF(tblOrdenes[[#This Row],[backlog_dias]]="",FALSE,AND(tblOrdenes[[#This Row],[backlog_dias]]&gt;p_dias_backlog_min,tblOrdenes[[#This Row],[backlog_dias]]&lt;=p_dias_backlog_max))</f>
        <v/>
      </c>
      <c r="AC774" s="6" t="n"/>
      <c r="AD7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74" s="10">
        <f>IF(tblOrdenes[[#This Row],[orden]]="","",_xlfn.XLOOKUP(tblOrdenes[[#This Row],[id_operacion]],tblEjecucion[id_operacion],tblEjecucion[precio],0))</f>
        <v/>
      </c>
      <c r="AH774" s="10">
        <f>IF(tblOrdenes[[#This Row],[orden]]="","",MAX(0,_xlfn.XLOOKUP(tblOrdenes[[#This Row],[id_operacion]],tblEjecucion[id_operacion],tblEjecucion[costo_plan_total],0)-tblOrdenes[[#This Row],[costo_servicio]]))</f>
        <v/>
      </c>
      <c r="AI774" s="10">
        <f>IF(tblOrdenes[[#This Row],[orden]]="","",tblOrdenes[[#This Row],[costo_servicio]]+tblOrdenes[[#This Row],[costo_materiales]])</f>
        <v/>
      </c>
      <c r="AJ774" s="6" t="n"/>
      <c r="AK774" s="6" t="n"/>
      <c r="AL774" s="6" t="n"/>
      <c r="AM774" s="3">
        <f>IF(tblOrdenes[[#This Row],[link_checklist]]="","",HYPERLINK(p_ruta_base_checklists&amp;tblOrdenes[[#This Row],[link_checklist]],"abrir"))</f>
        <v/>
      </c>
      <c r="AN774" s="6" t="n"/>
      <c r="AO774" s="3">
        <f>IF(tblOrdenes[[#This Row],[orden]]="","",tblOrdenes[[#This Row],[orden]]&amp;IF(tblOrdenes[[#This Row],[operacion]]="","0010",tblOrdenes[[#This Row],[operacion]]))</f>
        <v/>
      </c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11" t="n"/>
      <c r="K775" s="3" t="n"/>
      <c r="L775" s="10" t="n"/>
      <c r="M775" s="6" t="n"/>
      <c r="N7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75" s="3">
        <f>IF(tblOrdenes[[#This Row],[fecha_inicio]]="","",YEAR(tblOrdenes[[#This Row],[fecha_inicio]]))</f>
        <v/>
      </c>
      <c r="R775" s="3">
        <f>IF(tblOrdenes[[#This Row],[fecha_inicio]]="","",MONTH(tblOrdenes[[#This Row],[fecha_inicio]]))</f>
        <v/>
      </c>
      <c r="S775" s="3">
        <f>IF(tblOrdenes[[#This Row],[fecha_inicio]]="","",INDEX(lista_dias,WEEKDAY(tblOrdenes[[#This Row],[fecha_inicio]],2)))</f>
        <v/>
      </c>
      <c r="T775" s="3">
        <f>IF(tblOrdenes[[#This Row],[tipo_ot]]="","",_xlfn.XLOOKUP(tblOrdenes[[#This Row],[tipo_ot]],tblTiposOT[codigo],tblTiposOT[clasificacion],"sin_clasificar"))</f>
        <v/>
      </c>
      <c r="U775" s="3">
        <f>IF(tblOrdenes[[#This Row],[centro_costo]]="","",_xlfn.XLOOKUP(tblOrdenes[[#This Row],[centro_costo]],tblCECO[codigo],tblCECO[linea],"(sin catálogo)"))</f>
        <v/>
      </c>
      <c r="V775" s="3">
        <f>IF(tblOrdenes[[#This Row],[centro_costo]]="","",_xlfn.XLOOKUP(tblOrdenes[[#This Row],[centro_costo]],tblCECO[codigo],tblCECO[area],"(sin catálogo)"))</f>
        <v/>
      </c>
      <c r="W775" s="3">
        <f>IF(tblOrdenes[[#This Row],[centro_costo]]="","",_xlfn.XLOOKUP(tblOrdenes[[#This Row],[centro_costo]],tblCECO[codigo],tblCECO[coordinador],"(sin catálogo)"))</f>
        <v/>
      </c>
      <c r="X775" s="3">
        <f>IF(tblOrdenes[[#This Row],[puesto_trabajo]]="","",_xlfn.XLOOKUP(tblOrdenes[[#This Row],[puesto_trabajo]],tblPuestos[codigo],tblPuestos[especialidad],"(sin catálogo)"))</f>
        <v/>
      </c>
      <c r="Y775" s="3">
        <f>IF(tblOrdenes[[#This Row],[cod_actividad]]="","",_xlfn.XLOOKUP(tblOrdenes[[#This Row],[cod_actividad]],tblActividades[codigo],tblActividades[descripcion],"(sin catálogo)"))</f>
        <v/>
      </c>
      <c r="Z775" s="12">
        <f>IF(tblOrdenes[[#This Row],[fecha_inicio]]="","",TODAY()-tblOrdenes[[#This Row],[fecha_inicio]])</f>
        <v/>
      </c>
      <c r="AA775" s="3">
        <f>IF(tblOrdenes[[#This Row],[backlog_dias]]="","",IF(tblOrdenes[[#This Row],[backlog_dias]]&lt;0,"FUTURO",IF(tblOrdenes[[#This Row],[backlog_dias]]&gt;p_dias_backlog_max,"BACKLOG","MES CORRIENTE")))</f>
        <v/>
      </c>
      <c r="AB775" s="3">
        <f>IF(tblOrdenes[[#This Row],[backlog_dias]]="",FALSE,AND(tblOrdenes[[#This Row],[backlog_dias]]&gt;p_dias_backlog_min,tblOrdenes[[#This Row],[backlog_dias]]&lt;=p_dias_backlog_max))</f>
        <v/>
      </c>
      <c r="AC775" s="6" t="n"/>
      <c r="AD7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75" s="10">
        <f>IF(tblOrdenes[[#This Row],[orden]]="","",_xlfn.XLOOKUP(tblOrdenes[[#This Row],[id_operacion]],tblEjecucion[id_operacion],tblEjecucion[precio],0))</f>
        <v/>
      </c>
      <c r="AH775" s="10">
        <f>IF(tblOrdenes[[#This Row],[orden]]="","",MAX(0,_xlfn.XLOOKUP(tblOrdenes[[#This Row],[id_operacion]],tblEjecucion[id_operacion],tblEjecucion[costo_plan_total],0)-tblOrdenes[[#This Row],[costo_servicio]]))</f>
        <v/>
      </c>
      <c r="AI775" s="10">
        <f>IF(tblOrdenes[[#This Row],[orden]]="","",tblOrdenes[[#This Row],[costo_servicio]]+tblOrdenes[[#This Row],[costo_materiales]])</f>
        <v/>
      </c>
      <c r="AJ775" s="6" t="n"/>
      <c r="AK775" s="6" t="n"/>
      <c r="AL775" s="6" t="n"/>
      <c r="AM775" s="3">
        <f>IF(tblOrdenes[[#This Row],[link_checklist]]="","",HYPERLINK(p_ruta_base_checklists&amp;tblOrdenes[[#This Row],[link_checklist]],"abrir"))</f>
        <v/>
      </c>
      <c r="AN775" s="6" t="n"/>
      <c r="AO775" s="3">
        <f>IF(tblOrdenes[[#This Row],[orden]]="","",tblOrdenes[[#This Row],[orden]]&amp;IF(tblOrdenes[[#This Row],[operacion]]="","0010",tblOrdenes[[#This Row],[operacion]]))</f>
        <v/>
      </c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11" t="n"/>
      <c r="K776" s="3" t="n"/>
      <c r="L776" s="10" t="n"/>
      <c r="M776" s="6" t="n"/>
      <c r="N7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76" s="3">
        <f>IF(tblOrdenes[[#This Row],[fecha_inicio]]="","",YEAR(tblOrdenes[[#This Row],[fecha_inicio]]))</f>
        <v/>
      </c>
      <c r="R776" s="3">
        <f>IF(tblOrdenes[[#This Row],[fecha_inicio]]="","",MONTH(tblOrdenes[[#This Row],[fecha_inicio]]))</f>
        <v/>
      </c>
      <c r="S776" s="3">
        <f>IF(tblOrdenes[[#This Row],[fecha_inicio]]="","",INDEX(lista_dias,WEEKDAY(tblOrdenes[[#This Row],[fecha_inicio]],2)))</f>
        <v/>
      </c>
      <c r="T776" s="3">
        <f>IF(tblOrdenes[[#This Row],[tipo_ot]]="","",_xlfn.XLOOKUP(tblOrdenes[[#This Row],[tipo_ot]],tblTiposOT[codigo],tblTiposOT[clasificacion],"sin_clasificar"))</f>
        <v/>
      </c>
      <c r="U776" s="3">
        <f>IF(tblOrdenes[[#This Row],[centro_costo]]="","",_xlfn.XLOOKUP(tblOrdenes[[#This Row],[centro_costo]],tblCECO[codigo],tblCECO[linea],"(sin catálogo)"))</f>
        <v/>
      </c>
      <c r="V776" s="3">
        <f>IF(tblOrdenes[[#This Row],[centro_costo]]="","",_xlfn.XLOOKUP(tblOrdenes[[#This Row],[centro_costo]],tblCECO[codigo],tblCECO[area],"(sin catálogo)"))</f>
        <v/>
      </c>
      <c r="W776" s="3">
        <f>IF(tblOrdenes[[#This Row],[centro_costo]]="","",_xlfn.XLOOKUP(tblOrdenes[[#This Row],[centro_costo]],tblCECO[codigo],tblCECO[coordinador],"(sin catálogo)"))</f>
        <v/>
      </c>
      <c r="X776" s="3">
        <f>IF(tblOrdenes[[#This Row],[puesto_trabajo]]="","",_xlfn.XLOOKUP(tblOrdenes[[#This Row],[puesto_trabajo]],tblPuestos[codigo],tblPuestos[especialidad],"(sin catálogo)"))</f>
        <v/>
      </c>
      <c r="Y776" s="3">
        <f>IF(tblOrdenes[[#This Row],[cod_actividad]]="","",_xlfn.XLOOKUP(tblOrdenes[[#This Row],[cod_actividad]],tblActividades[codigo],tblActividades[descripcion],"(sin catálogo)"))</f>
        <v/>
      </c>
      <c r="Z776" s="12">
        <f>IF(tblOrdenes[[#This Row],[fecha_inicio]]="","",TODAY()-tblOrdenes[[#This Row],[fecha_inicio]])</f>
        <v/>
      </c>
      <c r="AA776" s="3">
        <f>IF(tblOrdenes[[#This Row],[backlog_dias]]="","",IF(tblOrdenes[[#This Row],[backlog_dias]]&lt;0,"FUTURO",IF(tblOrdenes[[#This Row],[backlog_dias]]&gt;p_dias_backlog_max,"BACKLOG","MES CORRIENTE")))</f>
        <v/>
      </c>
      <c r="AB776" s="3">
        <f>IF(tblOrdenes[[#This Row],[backlog_dias]]="",FALSE,AND(tblOrdenes[[#This Row],[backlog_dias]]&gt;p_dias_backlog_min,tblOrdenes[[#This Row],[backlog_dias]]&lt;=p_dias_backlog_max))</f>
        <v/>
      </c>
      <c r="AC776" s="6" t="n"/>
      <c r="AD7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76" s="10">
        <f>IF(tblOrdenes[[#This Row],[orden]]="","",_xlfn.XLOOKUP(tblOrdenes[[#This Row],[id_operacion]],tblEjecucion[id_operacion],tblEjecucion[precio],0))</f>
        <v/>
      </c>
      <c r="AH776" s="10">
        <f>IF(tblOrdenes[[#This Row],[orden]]="","",MAX(0,_xlfn.XLOOKUP(tblOrdenes[[#This Row],[id_operacion]],tblEjecucion[id_operacion],tblEjecucion[costo_plan_total],0)-tblOrdenes[[#This Row],[costo_servicio]]))</f>
        <v/>
      </c>
      <c r="AI776" s="10">
        <f>IF(tblOrdenes[[#This Row],[orden]]="","",tblOrdenes[[#This Row],[costo_servicio]]+tblOrdenes[[#This Row],[costo_materiales]])</f>
        <v/>
      </c>
      <c r="AJ776" s="6" t="n"/>
      <c r="AK776" s="6" t="n"/>
      <c r="AL776" s="6" t="n"/>
      <c r="AM776" s="3">
        <f>IF(tblOrdenes[[#This Row],[link_checklist]]="","",HYPERLINK(p_ruta_base_checklists&amp;tblOrdenes[[#This Row],[link_checklist]],"abrir"))</f>
        <v/>
      </c>
      <c r="AN776" s="6" t="n"/>
      <c r="AO776" s="3">
        <f>IF(tblOrdenes[[#This Row],[orden]]="","",tblOrdenes[[#This Row],[orden]]&amp;IF(tblOrdenes[[#This Row],[operacion]]="","0010",tblOrdenes[[#This Row],[operacion]]))</f>
        <v/>
      </c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11" t="n"/>
      <c r="K777" s="3" t="n"/>
      <c r="L777" s="10" t="n"/>
      <c r="M777" s="6" t="n"/>
      <c r="N7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77" s="3">
        <f>IF(tblOrdenes[[#This Row],[fecha_inicio]]="","",YEAR(tblOrdenes[[#This Row],[fecha_inicio]]))</f>
        <v/>
      </c>
      <c r="R777" s="3">
        <f>IF(tblOrdenes[[#This Row],[fecha_inicio]]="","",MONTH(tblOrdenes[[#This Row],[fecha_inicio]]))</f>
        <v/>
      </c>
      <c r="S777" s="3">
        <f>IF(tblOrdenes[[#This Row],[fecha_inicio]]="","",INDEX(lista_dias,WEEKDAY(tblOrdenes[[#This Row],[fecha_inicio]],2)))</f>
        <v/>
      </c>
      <c r="T777" s="3">
        <f>IF(tblOrdenes[[#This Row],[tipo_ot]]="","",_xlfn.XLOOKUP(tblOrdenes[[#This Row],[tipo_ot]],tblTiposOT[codigo],tblTiposOT[clasificacion],"sin_clasificar"))</f>
        <v/>
      </c>
      <c r="U777" s="3">
        <f>IF(tblOrdenes[[#This Row],[centro_costo]]="","",_xlfn.XLOOKUP(tblOrdenes[[#This Row],[centro_costo]],tblCECO[codigo],tblCECO[linea],"(sin catálogo)"))</f>
        <v/>
      </c>
      <c r="V777" s="3">
        <f>IF(tblOrdenes[[#This Row],[centro_costo]]="","",_xlfn.XLOOKUP(tblOrdenes[[#This Row],[centro_costo]],tblCECO[codigo],tblCECO[area],"(sin catálogo)"))</f>
        <v/>
      </c>
      <c r="W777" s="3">
        <f>IF(tblOrdenes[[#This Row],[centro_costo]]="","",_xlfn.XLOOKUP(tblOrdenes[[#This Row],[centro_costo]],tblCECO[codigo],tblCECO[coordinador],"(sin catálogo)"))</f>
        <v/>
      </c>
      <c r="X777" s="3">
        <f>IF(tblOrdenes[[#This Row],[puesto_trabajo]]="","",_xlfn.XLOOKUP(tblOrdenes[[#This Row],[puesto_trabajo]],tblPuestos[codigo],tblPuestos[especialidad],"(sin catálogo)"))</f>
        <v/>
      </c>
      <c r="Y777" s="3">
        <f>IF(tblOrdenes[[#This Row],[cod_actividad]]="","",_xlfn.XLOOKUP(tblOrdenes[[#This Row],[cod_actividad]],tblActividades[codigo],tblActividades[descripcion],"(sin catálogo)"))</f>
        <v/>
      </c>
      <c r="Z777" s="12">
        <f>IF(tblOrdenes[[#This Row],[fecha_inicio]]="","",TODAY()-tblOrdenes[[#This Row],[fecha_inicio]])</f>
        <v/>
      </c>
      <c r="AA777" s="3">
        <f>IF(tblOrdenes[[#This Row],[backlog_dias]]="","",IF(tblOrdenes[[#This Row],[backlog_dias]]&lt;0,"FUTURO",IF(tblOrdenes[[#This Row],[backlog_dias]]&gt;p_dias_backlog_max,"BACKLOG","MES CORRIENTE")))</f>
        <v/>
      </c>
      <c r="AB777" s="3">
        <f>IF(tblOrdenes[[#This Row],[backlog_dias]]="",FALSE,AND(tblOrdenes[[#This Row],[backlog_dias]]&gt;p_dias_backlog_min,tblOrdenes[[#This Row],[backlog_dias]]&lt;=p_dias_backlog_max))</f>
        <v/>
      </c>
      <c r="AC777" s="6" t="n"/>
      <c r="AD7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77" s="10">
        <f>IF(tblOrdenes[[#This Row],[orden]]="","",_xlfn.XLOOKUP(tblOrdenes[[#This Row],[id_operacion]],tblEjecucion[id_operacion],tblEjecucion[precio],0))</f>
        <v/>
      </c>
      <c r="AH777" s="10">
        <f>IF(tblOrdenes[[#This Row],[orden]]="","",MAX(0,_xlfn.XLOOKUP(tblOrdenes[[#This Row],[id_operacion]],tblEjecucion[id_operacion],tblEjecucion[costo_plan_total],0)-tblOrdenes[[#This Row],[costo_servicio]]))</f>
        <v/>
      </c>
      <c r="AI777" s="10">
        <f>IF(tblOrdenes[[#This Row],[orden]]="","",tblOrdenes[[#This Row],[costo_servicio]]+tblOrdenes[[#This Row],[costo_materiales]])</f>
        <v/>
      </c>
      <c r="AJ777" s="6" t="n"/>
      <c r="AK777" s="6" t="n"/>
      <c r="AL777" s="6" t="n"/>
      <c r="AM777" s="3">
        <f>IF(tblOrdenes[[#This Row],[link_checklist]]="","",HYPERLINK(p_ruta_base_checklists&amp;tblOrdenes[[#This Row],[link_checklist]],"abrir"))</f>
        <v/>
      </c>
      <c r="AN777" s="6" t="n"/>
      <c r="AO777" s="3">
        <f>IF(tblOrdenes[[#This Row],[orden]]="","",tblOrdenes[[#This Row],[orden]]&amp;IF(tblOrdenes[[#This Row],[operacion]]="","0010",tblOrdenes[[#This Row],[operacion]]))</f>
        <v/>
      </c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11" t="n"/>
      <c r="K778" s="3" t="n"/>
      <c r="L778" s="10" t="n"/>
      <c r="M778" s="6" t="n"/>
      <c r="N7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78" s="3">
        <f>IF(tblOrdenes[[#This Row],[fecha_inicio]]="","",YEAR(tblOrdenes[[#This Row],[fecha_inicio]]))</f>
        <v/>
      </c>
      <c r="R778" s="3">
        <f>IF(tblOrdenes[[#This Row],[fecha_inicio]]="","",MONTH(tblOrdenes[[#This Row],[fecha_inicio]]))</f>
        <v/>
      </c>
      <c r="S778" s="3">
        <f>IF(tblOrdenes[[#This Row],[fecha_inicio]]="","",INDEX(lista_dias,WEEKDAY(tblOrdenes[[#This Row],[fecha_inicio]],2)))</f>
        <v/>
      </c>
      <c r="T778" s="3">
        <f>IF(tblOrdenes[[#This Row],[tipo_ot]]="","",_xlfn.XLOOKUP(tblOrdenes[[#This Row],[tipo_ot]],tblTiposOT[codigo],tblTiposOT[clasificacion],"sin_clasificar"))</f>
        <v/>
      </c>
      <c r="U778" s="3">
        <f>IF(tblOrdenes[[#This Row],[centro_costo]]="","",_xlfn.XLOOKUP(tblOrdenes[[#This Row],[centro_costo]],tblCECO[codigo],tblCECO[linea],"(sin catálogo)"))</f>
        <v/>
      </c>
      <c r="V778" s="3">
        <f>IF(tblOrdenes[[#This Row],[centro_costo]]="","",_xlfn.XLOOKUP(tblOrdenes[[#This Row],[centro_costo]],tblCECO[codigo],tblCECO[area],"(sin catálogo)"))</f>
        <v/>
      </c>
      <c r="W778" s="3">
        <f>IF(tblOrdenes[[#This Row],[centro_costo]]="","",_xlfn.XLOOKUP(tblOrdenes[[#This Row],[centro_costo]],tblCECO[codigo],tblCECO[coordinador],"(sin catálogo)"))</f>
        <v/>
      </c>
      <c r="X778" s="3">
        <f>IF(tblOrdenes[[#This Row],[puesto_trabajo]]="","",_xlfn.XLOOKUP(tblOrdenes[[#This Row],[puesto_trabajo]],tblPuestos[codigo],tblPuestos[especialidad],"(sin catálogo)"))</f>
        <v/>
      </c>
      <c r="Y778" s="3">
        <f>IF(tblOrdenes[[#This Row],[cod_actividad]]="","",_xlfn.XLOOKUP(tblOrdenes[[#This Row],[cod_actividad]],tblActividades[codigo],tblActividades[descripcion],"(sin catálogo)"))</f>
        <v/>
      </c>
      <c r="Z778" s="12">
        <f>IF(tblOrdenes[[#This Row],[fecha_inicio]]="","",TODAY()-tblOrdenes[[#This Row],[fecha_inicio]])</f>
        <v/>
      </c>
      <c r="AA778" s="3">
        <f>IF(tblOrdenes[[#This Row],[backlog_dias]]="","",IF(tblOrdenes[[#This Row],[backlog_dias]]&lt;0,"FUTURO",IF(tblOrdenes[[#This Row],[backlog_dias]]&gt;p_dias_backlog_max,"BACKLOG","MES CORRIENTE")))</f>
        <v/>
      </c>
      <c r="AB778" s="3">
        <f>IF(tblOrdenes[[#This Row],[backlog_dias]]="",FALSE,AND(tblOrdenes[[#This Row],[backlog_dias]]&gt;p_dias_backlog_min,tblOrdenes[[#This Row],[backlog_dias]]&lt;=p_dias_backlog_max))</f>
        <v/>
      </c>
      <c r="AC778" s="6" t="n"/>
      <c r="AD7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78" s="10">
        <f>IF(tblOrdenes[[#This Row],[orden]]="","",_xlfn.XLOOKUP(tblOrdenes[[#This Row],[id_operacion]],tblEjecucion[id_operacion],tblEjecucion[precio],0))</f>
        <v/>
      </c>
      <c r="AH778" s="10">
        <f>IF(tblOrdenes[[#This Row],[orden]]="","",MAX(0,_xlfn.XLOOKUP(tblOrdenes[[#This Row],[id_operacion]],tblEjecucion[id_operacion],tblEjecucion[costo_plan_total],0)-tblOrdenes[[#This Row],[costo_servicio]]))</f>
        <v/>
      </c>
      <c r="AI778" s="10">
        <f>IF(tblOrdenes[[#This Row],[orden]]="","",tblOrdenes[[#This Row],[costo_servicio]]+tblOrdenes[[#This Row],[costo_materiales]])</f>
        <v/>
      </c>
      <c r="AJ778" s="6" t="n"/>
      <c r="AK778" s="6" t="n"/>
      <c r="AL778" s="6" t="n"/>
      <c r="AM778" s="3">
        <f>IF(tblOrdenes[[#This Row],[link_checklist]]="","",HYPERLINK(p_ruta_base_checklists&amp;tblOrdenes[[#This Row],[link_checklist]],"abrir"))</f>
        <v/>
      </c>
      <c r="AN778" s="6" t="n"/>
      <c r="AO778" s="3">
        <f>IF(tblOrdenes[[#This Row],[orden]]="","",tblOrdenes[[#This Row],[orden]]&amp;IF(tblOrdenes[[#This Row],[operacion]]="","0010",tblOrdenes[[#This Row],[operacion]]))</f>
        <v/>
      </c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11" t="n"/>
      <c r="K779" s="3" t="n"/>
      <c r="L779" s="10" t="n"/>
      <c r="M779" s="6" t="n"/>
      <c r="N7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79" s="3">
        <f>IF(tblOrdenes[[#This Row],[fecha_inicio]]="","",YEAR(tblOrdenes[[#This Row],[fecha_inicio]]))</f>
        <v/>
      </c>
      <c r="R779" s="3">
        <f>IF(tblOrdenes[[#This Row],[fecha_inicio]]="","",MONTH(tblOrdenes[[#This Row],[fecha_inicio]]))</f>
        <v/>
      </c>
      <c r="S779" s="3">
        <f>IF(tblOrdenes[[#This Row],[fecha_inicio]]="","",INDEX(lista_dias,WEEKDAY(tblOrdenes[[#This Row],[fecha_inicio]],2)))</f>
        <v/>
      </c>
      <c r="T779" s="3">
        <f>IF(tblOrdenes[[#This Row],[tipo_ot]]="","",_xlfn.XLOOKUP(tblOrdenes[[#This Row],[tipo_ot]],tblTiposOT[codigo],tblTiposOT[clasificacion],"sin_clasificar"))</f>
        <v/>
      </c>
      <c r="U779" s="3">
        <f>IF(tblOrdenes[[#This Row],[centro_costo]]="","",_xlfn.XLOOKUP(tblOrdenes[[#This Row],[centro_costo]],tblCECO[codigo],tblCECO[linea],"(sin catálogo)"))</f>
        <v/>
      </c>
      <c r="V779" s="3">
        <f>IF(tblOrdenes[[#This Row],[centro_costo]]="","",_xlfn.XLOOKUP(tblOrdenes[[#This Row],[centro_costo]],tblCECO[codigo],tblCECO[area],"(sin catálogo)"))</f>
        <v/>
      </c>
      <c r="W779" s="3">
        <f>IF(tblOrdenes[[#This Row],[centro_costo]]="","",_xlfn.XLOOKUP(tblOrdenes[[#This Row],[centro_costo]],tblCECO[codigo],tblCECO[coordinador],"(sin catálogo)"))</f>
        <v/>
      </c>
      <c r="X779" s="3">
        <f>IF(tblOrdenes[[#This Row],[puesto_trabajo]]="","",_xlfn.XLOOKUP(tblOrdenes[[#This Row],[puesto_trabajo]],tblPuestos[codigo],tblPuestos[especialidad],"(sin catálogo)"))</f>
        <v/>
      </c>
      <c r="Y779" s="3">
        <f>IF(tblOrdenes[[#This Row],[cod_actividad]]="","",_xlfn.XLOOKUP(tblOrdenes[[#This Row],[cod_actividad]],tblActividades[codigo],tblActividades[descripcion],"(sin catálogo)"))</f>
        <v/>
      </c>
      <c r="Z779" s="12">
        <f>IF(tblOrdenes[[#This Row],[fecha_inicio]]="","",TODAY()-tblOrdenes[[#This Row],[fecha_inicio]])</f>
        <v/>
      </c>
      <c r="AA779" s="3">
        <f>IF(tblOrdenes[[#This Row],[backlog_dias]]="","",IF(tblOrdenes[[#This Row],[backlog_dias]]&lt;0,"FUTURO",IF(tblOrdenes[[#This Row],[backlog_dias]]&gt;p_dias_backlog_max,"BACKLOG","MES CORRIENTE")))</f>
        <v/>
      </c>
      <c r="AB779" s="3">
        <f>IF(tblOrdenes[[#This Row],[backlog_dias]]="",FALSE,AND(tblOrdenes[[#This Row],[backlog_dias]]&gt;p_dias_backlog_min,tblOrdenes[[#This Row],[backlog_dias]]&lt;=p_dias_backlog_max))</f>
        <v/>
      </c>
      <c r="AC779" s="6" t="n"/>
      <c r="AD7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79" s="10">
        <f>IF(tblOrdenes[[#This Row],[orden]]="","",_xlfn.XLOOKUP(tblOrdenes[[#This Row],[id_operacion]],tblEjecucion[id_operacion],tblEjecucion[precio],0))</f>
        <v/>
      </c>
      <c r="AH779" s="10">
        <f>IF(tblOrdenes[[#This Row],[orden]]="","",MAX(0,_xlfn.XLOOKUP(tblOrdenes[[#This Row],[id_operacion]],tblEjecucion[id_operacion],tblEjecucion[costo_plan_total],0)-tblOrdenes[[#This Row],[costo_servicio]]))</f>
        <v/>
      </c>
      <c r="AI779" s="10">
        <f>IF(tblOrdenes[[#This Row],[orden]]="","",tblOrdenes[[#This Row],[costo_servicio]]+tblOrdenes[[#This Row],[costo_materiales]])</f>
        <v/>
      </c>
      <c r="AJ779" s="6" t="n"/>
      <c r="AK779" s="6" t="n"/>
      <c r="AL779" s="6" t="n"/>
      <c r="AM779" s="3">
        <f>IF(tblOrdenes[[#This Row],[link_checklist]]="","",HYPERLINK(p_ruta_base_checklists&amp;tblOrdenes[[#This Row],[link_checklist]],"abrir"))</f>
        <v/>
      </c>
      <c r="AN779" s="6" t="n"/>
      <c r="AO779" s="3">
        <f>IF(tblOrdenes[[#This Row],[orden]]="","",tblOrdenes[[#This Row],[orden]]&amp;IF(tblOrdenes[[#This Row],[operacion]]="","0010",tblOrdenes[[#This Row],[operacion]]))</f>
        <v/>
      </c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11" t="n"/>
      <c r="K780" s="3" t="n"/>
      <c r="L780" s="10" t="n"/>
      <c r="M780" s="6" t="n"/>
      <c r="N7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80" s="3">
        <f>IF(tblOrdenes[[#This Row],[fecha_inicio]]="","",YEAR(tblOrdenes[[#This Row],[fecha_inicio]]))</f>
        <v/>
      </c>
      <c r="R780" s="3">
        <f>IF(tblOrdenes[[#This Row],[fecha_inicio]]="","",MONTH(tblOrdenes[[#This Row],[fecha_inicio]]))</f>
        <v/>
      </c>
      <c r="S780" s="3">
        <f>IF(tblOrdenes[[#This Row],[fecha_inicio]]="","",INDEX(lista_dias,WEEKDAY(tblOrdenes[[#This Row],[fecha_inicio]],2)))</f>
        <v/>
      </c>
      <c r="T780" s="3">
        <f>IF(tblOrdenes[[#This Row],[tipo_ot]]="","",_xlfn.XLOOKUP(tblOrdenes[[#This Row],[tipo_ot]],tblTiposOT[codigo],tblTiposOT[clasificacion],"sin_clasificar"))</f>
        <v/>
      </c>
      <c r="U780" s="3">
        <f>IF(tblOrdenes[[#This Row],[centro_costo]]="","",_xlfn.XLOOKUP(tblOrdenes[[#This Row],[centro_costo]],tblCECO[codigo],tblCECO[linea],"(sin catálogo)"))</f>
        <v/>
      </c>
      <c r="V780" s="3">
        <f>IF(tblOrdenes[[#This Row],[centro_costo]]="","",_xlfn.XLOOKUP(tblOrdenes[[#This Row],[centro_costo]],tblCECO[codigo],tblCECO[area],"(sin catálogo)"))</f>
        <v/>
      </c>
      <c r="W780" s="3">
        <f>IF(tblOrdenes[[#This Row],[centro_costo]]="","",_xlfn.XLOOKUP(tblOrdenes[[#This Row],[centro_costo]],tblCECO[codigo],tblCECO[coordinador],"(sin catálogo)"))</f>
        <v/>
      </c>
      <c r="X780" s="3">
        <f>IF(tblOrdenes[[#This Row],[puesto_trabajo]]="","",_xlfn.XLOOKUP(tblOrdenes[[#This Row],[puesto_trabajo]],tblPuestos[codigo],tblPuestos[especialidad],"(sin catálogo)"))</f>
        <v/>
      </c>
      <c r="Y780" s="3">
        <f>IF(tblOrdenes[[#This Row],[cod_actividad]]="","",_xlfn.XLOOKUP(tblOrdenes[[#This Row],[cod_actividad]],tblActividades[codigo],tblActividades[descripcion],"(sin catálogo)"))</f>
        <v/>
      </c>
      <c r="Z780" s="12">
        <f>IF(tblOrdenes[[#This Row],[fecha_inicio]]="","",TODAY()-tblOrdenes[[#This Row],[fecha_inicio]])</f>
        <v/>
      </c>
      <c r="AA780" s="3">
        <f>IF(tblOrdenes[[#This Row],[backlog_dias]]="","",IF(tblOrdenes[[#This Row],[backlog_dias]]&lt;0,"FUTURO",IF(tblOrdenes[[#This Row],[backlog_dias]]&gt;p_dias_backlog_max,"BACKLOG","MES CORRIENTE")))</f>
        <v/>
      </c>
      <c r="AB780" s="3">
        <f>IF(tblOrdenes[[#This Row],[backlog_dias]]="",FALSE,AND(tblOrdenes[[#This Row],[backlog_dias]]&gt;p_dias_backlog_min,tblOrdenes[[#This Row],[backlog_dias]]&lt;=p_dias_backlog_max))</f>
        <v/>
      </c>
      <c r="AC780" s="6" t="n"/>
      <c r="AD7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80" s="10">
        <f>IF(tblOrdenes[[#This Row],[orden]]="","",_xlfn.XLOOKUP(tblOrdenes[[#This Row],[id_operacion]],tblEjecucion[id_operacion],tblEjecucion[precio],0))</f>
        <v/>
      </c>
      <c r="AH780" s="10">
        <f>IF(tblOrdenes[[#This Row],[orden]]="","",MAX(0,_xlfn.XLOOKUP(tblOrdenes[[#This Row],[id_operacion]],tblEjecucion[id_operacion],tblEjecucion[costo_plan_total],0)-tblOrdenes[[#This Row],[costo_servicio]]))</f>
        <v/>
      </c>
      <c r="AI780" s="10">
        <f>IF(tblOrdenes[[#This Row],[orden]]="","",tblOrdenes[[#This Row],[costo_servicio]]+tblOrdenes[[#This Row],[costo_materiales]])</f>
        <v/>
      </c>
      <c r="AJ780" s="6" t="n"/>
      <c r="AK780" s="6" t="n"/>
      <c r="AL780" s="6" t="n"/>
      <c r="AM780" s="3">
        <f>IF(tblOrdenes[[#This Row],[link_checklist]]="","",HYPERLINK(p_ruta_base_checklists&amp;tblOrdenes[[#This Row],[link_checklist]],"abrir"))</f>
        <v/>
      </c>
      <c r="AN780" s="6" t="n"/>
      <c r="AO780" s="3">
        <f>IF(tblOrdenes[[#This Row],[orden]]="","",tblOrdenes[[#This Row],[orden]]&amp;IF(tblOrdenes[[#This Row],[operacion]]="","0010",tblOrdenes[[#This Row],[operacion]]))</f>
        <v/>
      </c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11" t="n"/>
      <c r="K781" s="3" t="n"/>
      <c r="L781" s="10" t="n"/>
      <c r="M781" s="6" t="n"/>
      <c r="N7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81" s="3">
        <f>IF(tblOrdenes[[#This Row],[fecha_inicio]]="","",YEAR(tblOrdenes[[#This Row],[fecha_inicio]]))</f>
        <v/>
      </c>
      <c r="R781" s="3">
        <f>IF(tblOrdenes[[#This Row],[fecha_inicio]]="","",MONTH(tblOrdenes[[#This Row],[fecha_inicio]]))</f>
        <v/>
      </c>
      <c r="S781" s="3">
        <f>IF(tblOrdenes[[#This Row],[fecha_inicio]]="","",INDEX(lista_dias,WEEKDAY(tblOrdenes[[#This Row],[fecha_inicio]],2)))</f>
        <v/>
      </c>
      <c r="T781" s="3">
        <f>IF(tblOrdenes[[#This Row],[tipo_ot]]="","",_xlfn.XLOOKUP(tblOrdenes[[#This Row],[tipo_ot]],tblTiposOT[codigo],tblTiposOT[clasificacion],"sin_clasificar"))</f>
        <v/>
      </c>
      <c r="U781" s="3">
        <f>IF(tblOrdenes[[#This Row],[centro_costo]]="","",_xlfn.XLOOKUP(tblOrdenes[[#This Row],[centro_costo]],tblCECO[codigo],tblCECO[linea],"(sin catálogo)"))</f>
        <v/>
      </c>
      <c r="V781" s="3">
        <f>IF(tblOrdenes[[#This Row],[centro_costo]]="","",_xlfn.XLOOKUP(tblOrdenes[[#This Row],[centro_costo]],tblCECO[codigo],tblCECO[area],"(sin catálogo)"))</f>
        <v/>
      </c>
      <c r="W781" s="3">
        <f>IF(tblOrdenes[[#This Row],[centro_costo]]="","",_xlfn.XLOOKUP(tblOrdenes[[#This Row],[centro_costo]],tblCECO[codigo],tblCECO[coordinador],"(sin catálogo)"))</f>
        <v/>
      </c>
      <c r="X781" s="3">
        <f>IF(tblOrdenes[[#This Row],[puesto_trabajo]]="","",_xlfn.XLOOKUP(tblOrdenes[[#This Row],[puesto_trabajo]],tblPuestos[codigo],tblPuestos[especialidad],"(sin catálogo)"))</f>
        <v/>
      </c>
      <c r="Y781" s="3">
        <f>IF(tblOrdenes[[#This Row],[cod_actividad]]="","",_xlfn.XLOOKUP(tblOrdenes[[#This Row],[cod_actividad]],tblActividades[codigo],tblActividades[descripcion],"(sin catálogo)"))</f>
        <v/>
      </c>
      <c r="Z781" s="12">
        <f>IF(tblOrdenes[[#This Row],[fecha_inicio]]="","",TODAY()-tblOrdenes[[#This Row],[fecha_inicio]])</f>
        <v/>
      </c>
      <c r="AA781" s="3">
        <f>IF(tblOrdenes[[#This Row],[backlog_dias]]="","",IF(tblOrdenes[[#This Row],[backlog_dias]]&lt;0,"FUTURO",IF(tblOrdenes[[#This Row],[backlog_dias]]&gt;p_dias_backlog_max,"BACKLOG","MES CORRIENTE")))</f>
        <v/>
      </c>
      <c r="AB781" s="3">
        <f>IF(tblOrdenes[[#This Row],[backlog_dias]]="",FALSE,AND(tblOrdenes[[#This Row],[backlog_dias]]&gt;p_dias_backlog_min,tblOrdenes[[#This Row],[backlog_dias]]&lt;=p_dias_backlog_max))</f>
        <v/>
      </c>
      <c r="AC781" s="6" t="n"/>
      <c r="AD7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81" s="10">
        <f>IF(tblOrdenes[[#This Row],[orden]]="","",_xlfn.XLOOKUP(tblOrdenes[[#This Row],[id_operacion]],tblEjecucion[id_operacion],tblEjecucion[precio],0))</f>
        <v/>
      </c>
      <c r="AH781" s="10">
        <f>IF(tblOrdenes[[#This Row],[orden]]="","",MAX(0,_xlfn.XLOOKUP(tblOrdenes[[#This Row],[id_operacion]],tblEjecucion[id_operacion],tblEjecucion[costo_plan_total],0)-tblOrdenes[[#This Row],[costo_servicio]]))</f>
        <v/>
      </c>
      <c r="AI781" s="10">
        <f>IF(tblOrdenes[[#This Row],[orden]]="","",tblOrdenes[[#This Row],[costo_servicio]]+tblOrdenes[[#This Row],[costo_materiales]])</f>
        <v/>
      </c>
      <c r="AJ781" s="6" t="n"/>
      <c r="AK781" s="6" t="n"/>
      <c r="AL781" s="6" t="n"/>
      <c r="AM781" s="3">
        <f>IF(tblOrdenes[[#This Row],[link_checklist]]="","",HYPERLINK(p_ruta_base_checklists&amp;tblOrdenes[[#This Row],[link_checklist]],"abrir"))</f>
        <v/>
      </c>
      <c r="AN781" s="6" t="n"/>
      <c r="AO781" s="3">
        <f>IF(tblOrdenes[[#This Row],[orden]]="","",tblOrdenes[[#This Row],[orden]]&amp;IF(tblOrdenes[[#This Row],[operacion]]="","0010",tblOrdenes[[#This Row],[operacion]]))</f>
        <v/>
      </c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11" t="n"/>
      <c r="K782" s="3" t="n"/>
      <c r="L782" s="10" t="n"/>
      <c r="M782" s="6" t="n"/>
      <c r="N7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82" s="3">
        <f>IF(tblOrdenes[[#This Row],[fecha_inicio]]="","",YEAR(tblOrdenes[[#This Row],[fecha_inicio]]))</f>
        <v/>
      </c>
      <c r="R782" s="3">
        <f>IF(tblOrdenes[[#This Row],[fecha_inicio]]="","",MONTH(tblOrdenes[[#This Row],[fecha_inicio]]))</f>
        <v/>
      </c>
      <c r="S782" s="3">
        <f>IF(tblOrdenes[[#This Row],[fecha_inicio]]="","",INDEX(lista_dias,WEEKDAY(tblOrdenes[[#This Row],[fecha_inicio]],2)))</f>
        <v/>
      </c>
      <c r="T782" s="3">
        <f>IF(tblOrdenes[[#This Row],[tipo_ot]]="","",_xlfn.XLOOKUP(tblOrdenes[[#This Row],[tipo_ot]],tblTiposOT[codigo],tblTiposOT[clasificacion],"sin_clasificar"))</f>
        <v/>
      </c>
      <c r="U782" s="3">
        <f>IF(tblOrdenes[[#This Row],[centro_costo]]="","",_xlfn.XLOOKUP(tblOrdenes[[#This Row],[centro_costo]],tblCECO[codigo],tblCECO[linea],"(sin catálogo)"))</f>
        <v/>
      </c>
      <c r="V782" s="3">
        <f>IF(tblOrdenes[[#This Row],[centro_costo]]="","",_xlfn.XLOOKUP(tblOrdenes[[#This Row],[centro_costo]],tblCECO[codigo],tblCECO[area],"(sin catálogo)"))</f>
        <v/>
      </c>
      <c r="W782" s="3">
        <f>IF(tblOrdenes[[#This Row],[centro_costo]]="","",_xlfn.XLOOKUP(tblOrdenes[[#This Row],[centro_costo]],tblCECO[codigo],tblCECO[coordinador],"(sin catálogo)"))</f>
        <v/>
      </c>
      <c r="X782" s="3">
        <f>IF(tblOrdenes[[#This Row],[puesto_trabajo]]="","",_xlfn.XLOOKUP(tblOrdenes[[#This Row],[puesto_trabajo]],tblPuestos[codigo],tblPuestos[especialidad],"(sin catálogo)"))</f>
        <v/>
      </c>
      <c r="Y782" s="3">
        <f>IF(tblOrdenes[[#This Row],[cod_actividad]]="","",_xlfn.XLOOKUP(tblOrdenes[[#This Row],[cod_actividad]],tblActividades[codigo],tblActividades[descripcion],"(sin catálogo)"))</f>
        <v/>
      </c>
      <c r="Z782" s="12">
        <f>IF(tblOrdenes[[#This Row],[fecha_inicio]]="","",TODAY()-tblOrdenes[[#This Row],[fecha_inicio]])</f>
        <v/>
      </c>
      <c r="AA782" s="3">
        <f>IF(tblOrdenes[[#This Row],[backlog_dias]]="","",IF(tblOrdenes[[#This Row],[backlog_dias]]&lt;0,"FUTURO",IF(tblOrdenes[[#This Row],[backlog_dias]]&gt;p_dias_backlog_max,"BACKLOG","MES CORRIENTE")))</f>
        <v/>
      </c>
      <c r="AB782" s="3">
        <f>IF(tblOrdenes[[#This Row],[backlog_dias]]="",FALSE,AND(tblOrdenes[[#This Row],[backlog_dias]]&gt;p_dias_backlog_min,tblOrdenes[[#This Row],[backlog_dias]]&lt;=p_dias_backlog_max))</f>
        <v/>
      </c>
      <c r="AC782" s="6" t="n"/>
      <c r="AD7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82" s="10">
        <f>IF(tblOrdenes[[#This Row],[orden]]="","",_xlfn.XLOOKUP(tblOrdenes[[#This Row],[id_operacion]],tblEjecucion[id_operacion],tblEjecucion[precio],0))</f>
        <v/>
      </c>
      <c r="AH782" s="10">
        <f>IF(tblOrdenes[[#This Row],[orden]]="","",MAX(0,_xlfn.XLOOKUP(tblOrdenes[[#This Row],[id_operacion]],tblEjecucion[id_operacion],tblEjecucion[costo_plan_total],0)-tblOrdenes[[#This Row],[costo_servicio]]))</f>
        <v/>
      </c>
      <c r="AI782" s="10">
        <f>IF(tblOrdenes[[#This Row],[orden]]="","",tblOrdenes[[#This Row],[costo_servicio]]+tblOrdenes[[#This Row],[costo_materiales]])</f>
        <v/>
      </c>
      <c r="AJ782" s="6" t="n"/>
      <c r="AK782" s="6" t="n"/>
      <c r="AL782" s="6" t="n"/>
      <c r="AM782" s="3">
        <f>IF(tblOrdenes[[#This Row],[link_checklist]]="","",HYPERLINK(p_ruta_base_checklists&amp;tblOrdenes[[#This Row],[link_checklist]],"abrir"))</f>
        <v/>
      </c>
      <c r="AN782" s="6" t="n"/>
      <c r="AO782" s="3">
        <f>IF(tblOrdenes[[#This Row],[orden]]="","",tblOrdenes[[#This Row],[orden]]&amp;IF(tblOrdenes[[#This Row],[operacion]]="","0010",tblOrdenes[[#This Row],[operacion]]))</f>
        <v/>
      </c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11" t="n"/>
      <c r="K783" s="3" t="n"/>
      <c r="L783" s="10" t="n"/>
      <c r="M783" s="6" t="n"/>
      <c r="N7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83" s="3">
        <f>IF(tblOrdenes[[#This Row],[fecha_inicio]]="","",YEAR(tblOrdenes[[#This Row],[fecha_inicio]]))</f>
        <v/>
      </c>
      <c r="R783" s="3">
        <f>IF(tblOrdenes[[#This Row],[fecha_inicio]]="","",MONTH(tblOrdenes[[#This Row],[fecha_inicio]]))</f>
        <v/>
      </c>
      <c r="S783" s="3">
        <f>IF(tblOrdenes[[#This Row],[fecha_inicio]]="","",INDEX(lista_dias,WEEKDAY(tblOrdenes[[#This Row],[fecha_inicio]],2)))</f>
        <v/>
      </c>
      <c r="T783" s="3">
        <f>IF(tblOrdenes[[#This Row],[tipo_ot]]="","",_xlfn.XLOOKUP(tblOrdenes[[#This Row],[tipo_ot]],tblTiposOT[codigo],tblTiposOT[clasificacion],"sin_clasificar"))</f>
        <v/>
      </c>
      <c r="U783" s="3">
        <f>IF(tblOrdenes[[#This Row],[centro_costo]]="","",_xlfn.XLOOKUP(tblOrdenes[[#This Row],[centro_costo]],tblCECO[codigo],tblCECO[linea],"(sin catálogo)"))</f>
        <v/>
      </c>
      <c r="V783" s="3">
        <f>IF(tblOrdenes[[#This Row],[centro_costo]]="","",_xlfn.XLOOKUP(tblOrdenes[[#This Row],[centro_costo]],tblCECO[codigo],tblCECO[area],"(sin catálogo)"))</f>
        <v/>
      </c>
      <c r="W783" s="3">
        <f>IF(tblOrdenes[[#This Row],[centro_costo]]="","",_xlfn.XLOOKUP(tblOrdenes[[#This Row],[centro_costo]],tblCECO[codigo],tblCECO[coordinador],"(sin catálogo)"))</f>
        <v/>
      </c>
      <c r="X783" s="3">
        <f>IF(tblOrdenes[[#This Row],[puesto_trabajo]]="","",_xlfn.XLOOKUP(tblOrdenes[[#This Row],[puesto_trabajo]],tblPuestos[codigo],tblPuestos[especialidad],"(sin catálogo)"))</f>
        <v/>
      </c>
      <c r="Y783" s="3">
        <f>IF(tblOrdenes[[#This Row],[cod_actividad]]="","",_xlfn.XLOOKUP(tblOrdenes[[#This Row],[cod_actividad]],tblActividades[codigo],tblActividades[descripcion],"(sin catálogo)"))</f>
        <v/>
      </c>
      <c r="Z783" s="12">
        <f>IF(tblOrdenes[[#This Row],[fecha_inicio]]="","",TODAY()-tblOrdenes[[#This Row],[fecha_inicio]])</f>
        <v/>
      </c>
      <c r="AA783" s="3">
        <f>IF(tblOrdenes[[#This Row],[backlog_dias]]="","",IF(tblOrdenes[[#This Row],[backlog_dias]]&lt;0,"FUTURO",IF(tblOrdenes[[#This Row],[backlog_dias]]&gt;p_dias_backlog_max,"BACKLOG","MES CORRIENTE")))</f>
        <v/>
      </c>
      <c r="AB783" s="3">
        <f>IF(tblOrdenes[[#This Row],[backlog_dias]]="",FALSE,AND(tblOrdenes[[#This Row],[backlog_dias]]&gt;p_dias_backlog_min,tblOrdenes[[#This Row],[backlog_dias]]&lt;=p_dias_backlog_max))</f>
        <v/>
      </c>
      <c r="AC783" s="6" t="n"/>
      <c r="AD7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83" s="10">
        <f>IF(tblOrdenes[[#This Row],[orden]]="","",_xlfn.XLOOKUP(tblOrdenes[[#This Row],[id_operacion]],tblEjecucion[id_operacion],tblEjecucion[precio],0))</f>
        <v/>
      </c>
      <c r="AH783" s="10">
        <f>IF(tblOrdenes[[#This Row],[orden]]="","",MAX(0,_xlfn.XLOOKUP(tblOrdenes[[#This Row],[id_operacion]],tblEjecucion[id_operacion],tblEjecucion[costo_plan_total],0)-tblOrdenes[[#This Row],[costo_servicio]]))</f>
        <v/>
      </c>
      <c r="AI783" s="10">
        <f>IF(tblOrdenes[[#This Row],[orden]]="","",tblOrdenes[[#This Row],[costo_servicio]]+tblOrdenes[[#This Row],[costo_materiales]])</f>
        <v/>
      </c>
      <c r="AJ783" s="6" t="n"/>
      <c r="AK783" s="6" t="n"/>
      <c r="AL783" s="6" t="n"/>
      <c r="AM783" s="3">
        <f>IF(tblOrdenes[[#This Row],[link_checklist]]="","",HYPERLINK(p_ruta_base_checklists&amp;tblOrdenes[[#This Row],[link_checklist]],"abrir"))</f>
        <v/>
      </c>
      <c r="AN783" s="6" t="n"/>
      <c r="AO783" s="3">
        <f>IF(tblOrdenes[[#This Row],[orden]]="","",tblOrdenes[[#This Row],[orden]]&amp;IF(tblOrdenes[[#This Row],[operacion]]="","0010",tblOrdenes[[#This Row],[operacion]]))</f>
        <v/>
      </c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11" t="n"/>
      <c r="K784" s="3" t="n"/>
      <c r="L784" s="10" t="n"/>
      <c r="M784" s="6" t="n"/>
      <c r="N7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84" s="3">
        <f>IF(tblOrdenes[[#This Row],[fecha_inicio]]="","",YEAR(tblOrdenes[[#This Row],[fecha_inicio]]))</f>
        <v/>
      </c>
      <c r="R784" s="3">
        <f>IF(tblOrdenes[[#This Row],[fecha_inicio]]="","",MONTH(tblOrdenes[[#This Row],[fecha_inicio]]))</f>
        <v/>
      </c>
      <c r="S784" s="3">
        <f>IF(tblOrdenes[[#This Row],[fecha_inicio]]="","",INDEX(lista_dias,WEEKDAY(tblOrdenes[[#This Row],[fecha_inicio]],2)))</f>
        <v/>
      </c>
      <c r="T784" s="3">
        <f>IF(tblOrdenes[[#This Row],[tipo_ot]]="","",_xlfn.XLOOKUP(tblOrdenes[[#This Row],[tipo_ot]],tblTiposOT[codigo],tblTiposOT[clasificacion],"sin_clasificar"))</f>
        <v/>
      </c>
      <c r="U784" s="3">
        <f>IF(tblOrdenes[[#This Row],[centro_costo]]="","",_xlfn.XLOOKUP(tblOrdenes[[#This Row],[centro_costo]],tblCECO[codigo],tblCECO[linea],"(sin catálogo)"))</f>
        <v/>
      </c>
      <c r="V784" s="3">
        <f>IF(tblOrdenes[[#This Row],[centro_costo]]="","",_xlfn.XLOOKUP(tblOrdenes[[#This Row],[centro_costo]],tblCECO[codigo],tblCECO[area],"(sin catálogo)"))</f>
        <v/>
      </c>
      <c r="W784" s="3">
        <f>IF(tblOrdenes[[#This Row],[centro_costo]]="","",_xlfn.XLOOKUP(tblOrdenes[[#This Row],[centro_costo]],tblCECO[codigo],tblCECO[coordinador],"(sin catálogo)"))</f>
        <v/>
      </c>
      <c r="X784" s="3">
        <f>IF(tblOrdenes[[#This Row],[puesto_trabajo]]="","",_xlfn.XLOOKUP(tblOrdenes[[#This Row],[puesto_trabajo]],tblPuestos[codigo],tblPuestos[especialidad],"(sin catálogo)"))</f>
        <v/>
      </c>
      <c r="Y784" s="3">
        <f>IF(tblOrdenes[[#This Row],[cod_actividad]]="","",_xlfn.XLOOKUP(tblOrdenes[[#This Row],[cod_actividad]],tblActividades[codigo],tblActividades[descripcion],"(sin catálogo)"))</f>
        <v/>
      </c>
      <c r="Z784" s="12">
        <f>IF(tblOrdenes[[#This Row],[fecha_inicio]]="","",TODAY()-tblOrdenes[[#This Row],[fecha_inicio]])</f>
        <v/>
      </c>
      <c r="AA784" s="3">
        <f>IF(tblOrdenes[[#This Row],[backlog_dias]]="","",IF(tblOrdenes[[#This Row],[backlog_dias]]&lt;0,"FUTURO",IF(tblOrdenes[[#This Row],[backlog_dias]]&gt;p_dias_backlog_max,"BACKLOG","MES CORRIENTE")))</f>
        <v/>
      </c>
      <c r="AB784" s="3">
        <f>IF(tblOrdenes[[#This Row],[backlog_dias]]="",FALSE,AND(tblOrdenes[[#This Row],[backlog_dias]]&gt;p_dias_backlog_min,tblOrdenes[[#This Row],[backlog_dias]]&lt;=p_dias_backlog_max))</f>
        <v/>
      </c>
      <c r="AC784" s="6" t="n"/>
      <c r="AD7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84" s="10">
        <f>IF(tblOrdenes[[#This Row],[orden]]="","",_xlfn.XLOOKUP(tblOrdenes[[#This Row],[id_operacion]],tblEjecucion[id_operacion],tblEjecucion[precio],0))</f>
        <v/>
      </c>
      <c r="AH784" s="10">
        <f>IF(tblOrdenes[[#This Row],[orden]]="","",MAX(0,_xlfn.XLOOKUP(tblOrdenes[[#This Row],[id_operacion]],tblEjecucion[id_operacion],tblEjecucion[costo_plan_total],0)-tblOrdenes[[#This Row],[costo_servicio]]))</f>
        <v/>
      </c>
      <c r="AI784" s="10">
        <f>IF(tblOrdenes[[#This Row],[orden]]="","",tblOrdenes[[#This Row],[costo_servicio]]+tblOrdenes[[#This Row],[costo_materiales]])</f>
        <v/>
      </c>
      <c r="AJ784" s="6" t="n"/>
      <c r="AK784" s="6" t="n"/>
      <c r="AL784" s="6" t="n"/>
      <c r="AM784" s="3">
        <f>IF(tblOrdenes[[#This Row],[link_checklist]]="","",HYPERLINK(p_ruta_base_checklists&amp;tblOrdenes[[#This Row],[link_checklist]],"abrir"))</f>
        <v/>
      </c>
      <c r="AN784" s="6" t="n"/>
      <c r="AO784" s="3">
        <f>IF(tblOrdenes[[#This Row],[orden]]="","",tblOrdenes[[#This Row],[orden]]&amp;IF(tblOrdenes[[#This Row],[operacion]]="","0010",tblOrdenes[[#This Row],[operacion]]))</f>
        <v/>
      </c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11" t="n"/>
      <c r="K785" s="3" t="n"/>
      <c r="L785" s="10" t="n"/>
      <c r="M785" s="6" t="n"/>
      <c r="N7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85" s="3">
        <f>IF(tblOrdenes[[#This Row],[fecha_inicio]]="","",YEAR(tblOrdenes[[#This Row],[fecha_inicio]]))</f>
        <v/>
      </c>
      <c r="R785" s="3">
        <f>IF(tblOrdenes[[#This Row],[fecha_inicio]]="","",MONTH(tblOrdenes[[#This Row],[fecha_inicio]]))</f>
        <v/>
      </c>
      <c r="S785" s="3">
        <f>IF(tblOrdenes[[#This Row],[fecha_inicio]]="","",INDEX(lista_dias,WEEKDAY(tblOrdenes[[#This Row],[fecha_inicio]],2)))</f>
        <v/>
      </c>
      <c r="T785" s="3">
        <f>IF(tblOrdenes[[#This Row],[tipo_ot]]="","",_xlfn.XLOOKUP(tblOrdenes[[#This Row],[tipo_ot]],tblTiposOT[codigo],tblTiposOT[clasificacion],"sin_clasificar"))</f>
        <v/>
      </c>
      <c r="U785" s="3">
        <f>IF(tblOrdenes[[#This Row],[centro_costo]]="","",_xlfn.XLOOKUP(tblOrdenes[[#This Row],[centro_costo]],tblCECO[codigo],tblCECO[linea],"(sin catálogo)"))</f>
        <v/>
      </c>
      <c r="V785" s="3">
        <f>IF(tblOrdenes[[#This Row],[centro_costo]]="","",_xlfn.XLOOKUP(tblOrdenes[[#This Row],[centro_costo]],tblCECO[codigo],tblCECO[area],"(sin catálogo)"))</f>
        <v/>
      </c>
      <c r="W785" s="3">
        <f>IF(tblOrdenes[[#This Row],[centro_costo]]="","",_xlfn.XLOOKUP(tblOrdenes[[#This Row],[centro_costo]],tblCECO[codigo],tblCECO[coordinador],"(sin catálogo)"))</f>
        <v/>
      </c>
      <c r="X785" s="3">
        <f>IF(tblOrdenes[[#This Row],[puesto_trabajo]]="","",_xlfn.XLOOKUP(tblOrdenes[[#This Row],[puesto_trabajo]],tblPuestos[codigo],tblPuestos[especialidad],"(sin catálogo)"))</f>
        <v/>
      </c>
      <c r="Y785" s="3">
        <f>IF(tblOrdenes[[#This Row],[cod_actividad]]="","",_xlfn.XLOOKUP(tblOrdenes[[#This Row],[cod_actividad]],tblActividades[codigo],tblActividades[descripcion],"(sin catálogo)"))</f>
        <v/>
      </c>
      <c r="Z785" s="12">
        <f>IF(tblOrdenes[[#This Row],[fecha_inicio]]="","",TODAY()-tblOrdenes[[#This Row],[fecha_inicio]])</f>
        <v/>
      </c>
      <c r="AA785" s="3">
        <f>IF(tblOrdenes[[#This Row],[backlog_dias]]="","",IF(tblOrdenes[[#This Row],[backlog_dias]]&lt;0,"FUTURO",IF(tblOrdenes[[#This Row],[backlog_dias]]&gt;p_dias_backlog_max,"BACKLOG","MES CORRIENTE")))</f>
        <v/>
      </c>
      <c r="AB785" s="3">
        <f>IF(tblOrdenes[[#This Row],[backlog_dias]]="",FALSE,AND(tblOrdenes[[#This Row],[backlog_dias]]&gt;p_dias_backlog_min,tblOrdenes[[#This Row],[backlog_dias]]&lt;=p_dias_backlog_max))</f>
        <v/>
      </c>
      <c r="AC785" s="6" t="n"/>
      <c r="AD7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85" s="10">
        <f>IF(tblOrdenes[[#This Row],[orden]]="","",_xlfn.XLOOKUP(tblOrdenes[[#This Row],[id_operacion]],tblEjecucion[id_operacion],tblEjecucion[precio],0))</f>
        <v/>
      </c>
      <c r="AH785" s="10">
        <f>IF(tblOrdenes[[#This Row],[orden]]="","",MAX(0,_xlfn.XLOOKUP(tblOrdenes[[#This Row],[id_operacion]],tblEjecucion[id_operacion],tblEjecucion[costo_plan_total],0)-tblOrdenes[[#This Row],[costo_servicio]]))</f>
        <v/>
      </c>
      <c r="AI785" s="10">
        <f>IF(tblOrdenes[[#This Row],[orden]]="","",tblOrdenes[[#This Row],[costo_servicio]]+tblOrdenes[[#This Row],[costo_materiales]])</f>
        <v/>
      </c>
      <c r="AJ785" s="6" t="n"/>
      <c r="AK785" s="6" t="n"/>
      <c r="AL785" s="6" t="n"/>
      <c r="AM785" s="3">
        <f>IF(tblOrdenes[[#This Row],[link_checklist]]="","",HYPERLINK(p_ruta_base_checklists&amp;tblOrdenes[[#This Row],[link_checklist]],"abrir"))</f>
        <v/>
      </c>
      <c r="AN785" s="6" t="n"/>
      <c r="AO785" s="3">
        <f>IF(tblOrdenes[[#This Row],[orden]]="","",tblOrdenes[[#This Row],[orden]]&amp;IF(tblOrdenes[[#This Row],[operacion]]="","0010",tblOrdenes[[#This Row],[operacion]]))</f>
        <v/>
      </c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11" t="n"/>
      <c r="K786" s="3" t="n"/>
      <c r="L786" s="10" t="n"/>
      <c r="M786" s="6" t="n"/>
      <c r="N7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86" s="3">
        <f>IF(tblOrdenes[[#This Row],[fecha_inicio]]="","",YEAR(tblOrdenes[[#This Row],[fecha_inicio]]))</f>
        <v/>
      </c>
      <c r="R786" s="3">
        <f>IF(tblOrdenes[[#This Row],[fecha_inicio]]="","",MONTH(tblOrdenes[[#This Row],[fecha_inicio]]))</f>
        <v/>
      </c>
      <c r="S786" s="3">
        <f>IF(tblOrdenes[[#This Row],[fecha_inicio]]="","",INDEX(lista_dias,WEEKDAY(tblOrdenes[[#This Row],[fecha_inicio]],2)))</f>
        <v/>
      </c>
      <c r="T786" s="3">
        <f>IF(tblOrdenes[[#This Row],[tipo_ot]]="","",_xlfn.XLOOKUP(tblOrdenes[[#This Row],[tipo_ot]],tblTiposOT[codigo],tblTiposOT[clasificacion],"sin_clasificar"))</f>
        <v/>
      </c>
      <c r="U786" s="3">
        <f>IF(tblOrdenes[[#This Row],[centro_costo]]="","",_xlfn.XLOOKUP(tblOrdenes[[#This Row],[centro_costo]],tblCECO[codigo],tblCECO[linea],"(sin catálogo)"))</f>
        <v/>
      </c>
      <c r="V786" s="3">
        <f>IF(tblOrdenes[[#This Row],[centro_costo]]="","",_xlfn.XLOOKUP(tblOrdenes[[#This Row],[centro_costo]],tblCECO[codigo],tblCECO[area],"(sin catálogo)"))</f>
        <v/>
      </c>
      <c r="W786" s="3">
        <f>IF(tblOrdenes[[#This Row],[centro_costo]]="","",_xlfn.XLOOKUP(tblOrdenes[[#This Row],[centro_costo]],tblCECO[codigo],tblCECO[coordinador],"(sin catálogo)"))</f>
        <v/>
      </c>
      <c r="X786" s="3">
        <f>IF(tblOrdenes[[#This Row],[puesto_trabajo]]="","",_xlfn.XLOOKUP(tblOrdenes[[#This Row],[puesto_trabajo]],tblPuestos[codigo],tblPuestos[especialidad],"(sin catálogo)"))</f>
        <v/>
      </c>
      <c r="Y786" s="3">
        <f>IF(tblOrdenes[[#This Row],[cod_actividad]]="","",_xlfn.XLOOKUP(tblOrdenes[[#This Row],[cod_actividad]],tblActividades[codigo],tblActividades[descripcion],"(sin catálogo)"))</f>
        <v/>
      </c>
      <c r="Z786" s="12">
        <f>IF(tblOrdenes[[#This Row],[fecha_inicio]]="","",TODAY()-tblOrdenes[[#This Row],[fecha_inicio]])</f>
        <v/>
      </c>
      <c r="AA786" s="3">
        <f>IF(tblOrdenes[[#This Row],[backlog_dias]]="","",IF(tblOrdenes[[#This Row],[backlog_dias]]&lt;0,"FUTURO",IF(tblOrdenes[[#This Row],[backlog_dias]]&gt;p_dias_backlog_max,"BACKLOG","MES CORRIENTE")))</f>
        <v/>
      </c>
      <c r="AB786" s="3">
        <f>IF(tblOrdenes[[#This Row],[backlog_dias]]="",FALSE,AND(tblOrdenes[[#This Row],[backlog_dias]]&gt;p_dias_backlog_min,tblOrdenes[[#This Row],[backlog_dias]]&lt;=p_dias_backlog_max))</f>
        <v/>
      </c>
      <c r="AC786" s="6" t="n"/>
      <c r="AD7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86" s="10">
        <f>IF(tblOrdenes[[#This Row],[orden]]="","",_xlfn.XLOOKUP(tblOrdenes[[#This Row],[id_operacion]],tblEjecucion[id_operacion],tblEjecucion[precio],0))</f>
        <v/>
      </c>
      <c r="AH786" s="10">
        <f>IF(tblOrdenes[[#This Row],[orden]]="","",MAX(0,_xlfn.XLOOKUP(tblOrdenes[[#This Row],[id_operacion]],tblEjecucion[id_operacion],tblEjecucion[costo_plan_total],0)-tblOrdenes[[#This Row],[costo_servicio]]))</f>
        <v/>
      </c>
      <c r="AI786" s="10">
        <f>IF(tblOrdenes[[#This Row],[orden]]="","",tblOrdenes[[#This Row],[costo_servicio]]+tblOrdenes[[#This Row],[costo_materiales]])</f>
        <v/>
      </c>
      <c r="AJ786" s="6" t="n"/>
      <c r="AK786" s="6" t="n"/>
      <c r="AL786" s="6" t="n"/>
      <c r="AM786" s="3">
        <f>IF(tblOrdenes[[#This Row],[link_checklist]]="","",HYPERLINK(p_ruta_base_checklists&amp;tblOrdenes[[#This Row],[link_checklist]],"abrir"))</f>
        <v/>
      </c>
      <c r="AN786" s="6" t="n"/>
      <c r="AO786" s="3">
        <f>IF(tblOrdenes[[#This Row],[orden]]="","",tblOrdenes[[#This Row],[orden]]&amp;IF(tblOrdenes[[#This Row],[operacion]]="","0010",tblOrdenes[[#This Row],[operacion]]))</f>
        <v/>
      </c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11" t="n"/>
      <c r="K787" s="3" t="n"/>
      <c r="L787" s="10" t="n"/>
      <c r="M787" s="6" t="n"/>
      <c r="N7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87" s="3">
        <f>IF(tblOrdenes[[#This Row],[fecha_inicio]]="","",YEAR(tblOrdenes[[#This Row],[fecha_inicio]]))</f>
        <v/>
      </c>
      <c r="R787" s="3">
        <f>IF(tblOrdenes[[#This Row],[fecha_inicio]]="","",MONTH(tblOrdenes[[#This Row],[fecha_inicio]]))</f>
        <v/>
      </c>
      <c r="S787" s="3">
        <f>IF(tblOrdenes[[#This Row],[fecha_inicio]]="","",INDEX(lista_dias,WEEKDAY(tblOrdenes[[#This Row],[fecha_inicio]],2)))</f>
        <v/>
      </c>
      <c r="T787" s="3">
        <f>IF(tblOrdenes[[#This Row],[tipo_ot]]="","",_xlfn.XLOOKUP(tblOrdenes[[#This Row],[tipo_ot]],tblTiposOT[codigo],tblTiposOT[clasificacion],"sin_clasificar"))</f>
        <v/>
      </c>
      <c r="U787" s="3">
        <f>IF(tblOrdenes[[#This Row],[centro_costo]]="","",_xlfn.XLOOKUP(tblOrdenes[[#This Row],[centro_costo]],tblCECO[codigo],tblCECO[linea],"(sin catálogo)"))</f>
        <v/>
      </c>
      <c r="V787" s="3">
        <f>IF(tblOrdenes[[#This Row],[centro_costo]]="","",_xlfn.XLOOKUP(tblOrdenes[[#This Row],[centro_costo]],tblCECO[codigo],tblCECO[area],"(sin catálogo)"))</f>
        <v/>
      </c>
      <c r="W787" s="3">
        <f>IF(tblOrdenes[[#This Row],[centro_costo]]="","",_xlfn.XLOOKUP(tblOrdenes[[#This Row],[centro_costo]],tblCECO[codigo],tblCECO[coordinador],"(sin catálogo)"))</f>
        <v/>
      </c>
      <c r="X787" s="3">
        <f>IF(tblOrdenes[[#This Row],[puesto_trabajo]]="","",_xlfn.XLOOKUP(tblOrdenes[[#This Row],[puesto_trabajo]],tblPuestos[codigo],tblPuestos[especialidad],"(sin catálogo)"))</f>
        <v/>
      </c>
      <c r="Y787" s="3">
        <f>IF(tblOrdenes[[#This Row],[cod_actividad]]="","",_xlfn.XLOOKUP(tblOrdenes[[#This Row],[cod_actividad]],tblActividades[codigo],tblActividades[descripcion],"(sin catálogo)"))</f>
        <v/>
      </c>
      <c r="Z787" s="12">
        <f>IF(tblOrdenes[[#This Row],[fecha_inicio]]="","",TODAY()-tblOrdenes[[#This Row],[fecha_inicio]])</f>
        <v/>
      </c>
      <c r="AA787" s="3">
        <f>IF(tblOrdenes[[#This Row],[backlog_dias]]="","",IF(tblOrdenes[[#This Row],[backlog_dias]]&lt;0,"FUTURO",IF(tblOrdenes[[#This Row],[backlog_dias]]&gt;p_dias_backlog_max,"BACKLOG","MES CORRIENTE")))</f>
        <v/>
      </c>
      <c r="AB787" s="3">
        <f>IF(tblOrdenes[[#This Row],[backlog_dias]]="",FALSE,AND(tblOrdenes[[#This Row],[backlog_dias]]&gt;p_dias_backlog_min,tblOrdenes[[#This Row],[backlog_dias]]&lt;=p_dias_backlog_max))</f>
        <v/>
      </c>
      <c r="AC787" s="6" t="n"/>
      <c r="AD7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87" s="10">
        <f>IF(tblOrdenes[[#This Row],[orden]]="","",_xlfn.XLOOKUP(tblOrdenes[[#This Row],[id_operacion]],tblEjecucion[id_operacion],tblEjecucion[precio],0))</f>
        <v/>
      </c>
      <c r="AH787" s="10">
        <f>IF(tblOrdenes[[#This Row],[orden]]="","",MAX(0,_xlfn.XLOOKUP(tblOrdenes[[#This Row],[id_operacion]],tblEjecucion[id_operacion],tblEjecucion[costo_plan_total],0)-tblOrdenes[[#This Row],[costo_servicio]]))</f>
        <v/>
      </c>
      <c r="AI787" s="10">
        <f>IF(tblOrdenes[[#This Row],[orden]]="","",tblOrdenes[[#This Row],[costo_servicio]]+tblOrdenes[[#This Row],[costo_materiales]])</f>
        <v/>
      </c>
      <c r="AJ787" s="6" t="n"/>
      <c r="AK787" s="6" t="n"/>
      <c r="AL787" s="6" t="n"/>
      <c r="AM787" s="3">
        <f>IF(tblOrdenes[[#This Row],[link_checklist]]="","",HYPERLINK(p_ruta_base_checklists&amp;tblOrdenes[[#This Row],[link_checklist]],"abrir"))</f>
        <v/>
      </c>
      <c r="AN787" s="6" t="n"/>
      <c r="AO787" s="3">
        <f>IF(tblOrdenes[[#This Row],[orden]]="","",tblOrdenes[[#This Row],[orden]]&amp;IF(tblOrdenes[[#This Row],[operacion]]="","0010",tblOrdenes[[#This Row],[operacion]]))</f>
        <v/>
      </c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11" t="n"/>
      <c r="K788" s="3" t="n"/>
      <c r="L788" s="10" t="n"/>
      <c r="M788" s="6" t="n"/>
      <c r="N7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88" s="3">
        <f>IF(tblOrdenes[[#This Row],[fecha_inicio]]="","",YEAR(tblOrdenes[[#This Row],[fecha_inicio]]))</f>
        <v/>
      </c>
      <c r="R788" s="3">
        <f>IF(tblOrdenes[[#This Row],[fecha_inicio]]="","",MONTH(tblOrdenes[[#This Row],[fecha_inicio]]))</f>
        <v/>
      </c>
      <c r="S788" s="3">
        <f>IF(tblOrdenes[[#This Row],[fecha_inicio]]="","",INDEX(lista_dias,WEEKDAY(tblOrdenes[[#This Row],[fecha_inicio]],2)))</f>
        <v/>
      </c>
      <c r="T788" s="3">
        <f>IF(tblOrdenes[[#This Row],[tipo_ot]]="","",_xlfn.XLOOKUP(tblOrdenes[[#This Row],[tipo_ot]],tblTiposOT[codigo],tblTiposOT[clasificacion],"sin_clasificar"))</f>
        <v/>
      </c>
      <c r="U788" s="3">
        <f>IF(tblOrdenes[[#This Row],[centro_costo]]="","",_xlfn.XLOOKUP(tblOrdenes[[#This Row],[centro_costo]],tblCECO[codigo],tblCECO[linea],"(sin catálogo)"))</f>
        <v/>
      </c>
      <c r="V788" s="3">
        <f>IF(tblOrdenes[[#This Row],[centro_costo]]="","",_xlfn.XLOOKUP(tblOrdenes[[#This Row],[centro_costo]],tblCECO[codigo],tblCECO[area],"(sin catálogo)"))</f>
        <v/>
      </c>
      <c r="W788" s="3">
        <f>IF(tblOrdenes[[#This Row],[centro_costo]]="","",_xlfn.XLOOKUP(tblOrdenes[[#This Row],[centro_costo]],tblCECO[codigo],tblCECO[coordinador],"(sin catálogo)"))</f>
        <v/>
      </c>
      <c r="X788" s="3">
        <f>IF(tblOrdenes[[#This Row],[puesto_trabajo]]="","",_xlfn.XLOOKUP(tblOrdenes[[#This Row],[puesto_trabajo]],tblPuestos[codigo],tblPuestos[especialidad],"(sin catálogo)"))</f>
        <v/>
      </c>
      <c r="Y788" s="3">
        <f>IF(tblOrdenes[[#This Row],[cod_actividad]]="","",_xlfn.XLOOKUP(tblOrdenes[[#This Row],[cod_actividad]],tblActividades[codigo],tblActividades[descripcion],"(sin catálogo)"))</f>
        <v/>
      </c>
      <c r="Z788" s="12">
        <f>IF(tblOrdenes[[#This Row],[fecha_inicio]]="","",TODAY()-tblOrdenes[[#This Row],[fecha_inicio]])</f>
        <v/>
      </c>
      <c r="AA788" s="3">
        <f>IF(tblOrdenes[[#This Row],[backlog_dias]]="","",IF(tblOrdenes[[#This Row],[backlog_dias]]&lt;0,"FUTURO",IF(tblOrdenes[[#This Row],[backlog_dias]]&gt;p_dias_backlog_max,"BACKLOG","MES CORRIENTE")))</f>
        <v/>
      </c>
      <c r="AB788" s="3">
        <f>IF(tblOrdenes[[#This Row],[backlog_dias]]="",FALSE,AND(tblOrdenes[[#This Row],[backlog_dias]]&gt;p_dias_backlog_min,tblOrdenes[[#This Row],[backlog_dias]]&lt;=p_dias_backlog_max))</f>
        <v/>
      </c>
      <c r="AC788" s="6" t="n"/>
      <c r="AD7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88" s="10">
        <f>IF(tblOrdenes[[#This Row],[orden]]="","",_xlfn.XLOOKUP(tblOrdenes[[#This Row],[id_operacion]],tblEjecucion[id_operacion],tblEjecucion[precio],0))</f>
        <v/>
      </c>
      <c r="AH788" s="10">
        <f>IF(tblOrdenes[[#This Row],[orden]]="","",MAX(0,_xlfn.XLOOKUP(tblOrdenes[[#This Row],[id_operacion]],tblEjecucion[id_operacion],tblEjecucion[costo_plan_total],0)-tblOrdenes[[#This Row],[costo_servicio]]))</f>
        <v/>
      </c>
      <c r="AI788" s="10">
        <f>IF(tblOrdenes[[#This Row],[orden]]="","",tblOrdenes[[#This Row],[costo_servicio]]+tblOrdenes[[#This Row],[costo_materiales]])</f>
        <v/>
      </c>
      <c r="AJ788" s="6" t="n"/>
      <c r="AK788" s="6" t="n"/>
      <c r="AL788" s="6" t="n"/>
      <c r="AM788" s="3">
        <f>IF(tblOrdenes[[#This Row],[link_checklist]]="","",HYPERLINK(p_ruta_base_checklists&amp;tblOrdenes[[#This Row],[link_checklist]],"abrir"))</f>
        <v/>
      </c>
      <c r="AN788" s="6" t="n"/>
      <c r="AO788" s="3">
        <f>IF(tblOrdenes[[#This Row],[orden]]="","",tblOrdenes[[#This Row],[orden]]&amp;IF(tblOrdenes[[#This Row],[operacion]]="","0010",tblOrdenes[[#This Row],[operacion]]))</f>
        <v/>
      </c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11" t="n"/>
      <c r="K789" s="3" t="n"/>
      <c r="L789" s="10" t="n"/>
      <c r="M789" s="6" t="n"/>
      <c r="N7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89" s="3">
        <f>IF(tblOrdenes[[#This Row],[fecha_inicio]]="","",YEAR(tblOrdenes[[#This Row],[fecha_inicio]]))</f>
        <v/>
      </c>
      <c r="R789" s="3">
        <f>IF(tblOrdenes[[#This Row],[fecha_inicio]]="","",MONTH(tblOrdenes[[#This Row],[fecha_inicio]]))</f>
        <v/>
      </c>
      <c r="S789" s="3">
        <f>IF(tblOrdenes[[#This Row],[fecha_inicio]]="","",INDEX(lista_dias,WEEKDAY(tblOrdenes[[#This Row],[fecha_inicio]],2)))</f>
        <v/>
      </c>
      <c r="T789" s="3">
        <f>IF(tblOrdenes[[#This Row],[tipo_ot]]="","",_xlfn.XLOOKUP(tblOrdenes[[#This Row],[tipo_ot]],tblTiposOT[codigo],tblTiposOT[clasificacion],"sin_clasificar"))</f>
        <v/>
      </c>
      <c r="U789" s="3">
        <f>IF(tblOrdenes[[#This Row],[centro_costo]]="","",_xlfn.XLOOKUP(tblOrdenes[[#This Row],[centro_costo]],tblCECO[codigo],tblCECO[linea],"(sin catálogo)"))</f>
        <v/>
      </c>
      <c r="V789" s="3">
        <f>IF(tblOrdenes[[#This Row],[centro_costo]]="","",_xlfn.XLOOKUP(tblOrdenes[[#This Row],[centro_costo]],tblCECO[codigo],tblCECO[area],"(sin catálogo)"))</f>
        <v/>
      </c>
      <c r="W789" s="3">
        <f>IF(tblOrdenes[[#This Row],[centro_costo]]="","",_xlfn.XLOOKUP(tblOrdenes[[#This Row],[centro_costo]],tblCECO[codigo],tblCECO[coordinador],"(sin catálogo)"))</f>
        <v/>
      </c>
      <c r="X789" s="3">
        <f>IF(tblOrdenes[[#This Row],[puesto_trabajo]]="","",_xlfn.XLOOKUP(tblOrdenes[[#This Row],[puesto_trabajo]],tblPuestos[codigo],tblPuestos[especialidad],"(sin catálogo)"))</f>
        <v/>
      </c>
      <c r="Y789" s="3">
        <f>IF(tblOrdenes[[#This Row],[cod_actividad]]="","",_xlfn.XLOOKUP(tblOrdenes[[#This Row],[cod_actividad]],tblActividades[codigo],tblActividades[descripcion],"(sin catálogo)"))</f>
        <v/>
      </c>
      <c r="Z789" s="12">
        <f>IF(tblOrdenes[[#This Row],[fecha_inicio]]="","",TODAY()-tblOrdenes[[#This Row],[fecha_inicio]])</f>
        <v/>
      </c>
      <c r="AA789" s="3">
        <f>IF(tblOrdenes[[#This Row],[backlog_dias]]="","",IF(tblOrdenes[[#This Row],[backlog_dias]]&lt;0,"FUTURO",IF(tblOrdenes[[#This Row],[backlog_dias]]&gt;p_dias_backlog_max,"BACKLOG","MES CORRIENTE")))</f>
        <v/>
      </c>
      <c r="AB789" s="3">
        <f>IF(tblOrdenes[[#This Row],[backlog_dias]]="",FALSE,AND(tblOrdenes[[#This Row],[backlog_dias]]&gt;p_dias_backlog_min,tblOrdenes[[#This Row],[backlog_dias]]&lt;=p_dias_backlog_max))</f>
        <v/>
      </c>
      <c r="AC789" s="6" t="n"/>
      <c r="AD7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89" s="10">
        <f>IF(tblOrdenes[[#This Row],[orden]]="","",_xlfn.XLOOKUP(tblOrdenes[[#This Row],[id_operacion]],tblEjecucion[id_operacion],tblEjecucion[precio],0))</f>
        <v/>
      </c>
      <c r="AH789" s="10">
        <f>IF(tblOrdenes[[#This Row],[orden]]="","",MAX(0,_xlfn.XLOOKUP(tblOrdenes[[#This Row],[id_operacion]],tblEjecucion[id_operacion],tblEjecucion[costo_plan_total],0)-tblOrdenes[[#This Row],[costo_servicio]]))</f>
        <v/>
      </c>
      <c r="AI789" s="10">
        <f>IF(tblOrdenes[[#This Row],[orden]]="","",tblOrdenes[[#This Row],[costo_servicio]]+tblOrdenes[[#This Row],[costo_materiales]])</f>
        <v/>
      </c>
      <c r="AJ789" s="6" t="n"/>
      <c r="AK789" s="6" t="n"/>
      <c r="AL789" s="6" t="n"/>
      <c r="AM789" s="3">
        <f>IF(tblOrdenes[[#This Row],[link_checklist]]="","",HYPERLINK(p_ruta_base_checklists&amp;tblOrdenes[[#This Row],[link_checklist]],"abrir"))</f>
        <v/>
      </c>
      <c r="AN789" s="6" t="n"/>
      <c r="AO789" s="3">
        <f>IF(tblOrdenes[[#This Row],[orden]]="","",tblOrdenes[[#This Row],[orden]]&amp;IF(tblOrdenes[[#This Row],[operacion]]="","0010",tblOrdenes[[#This Row],[operacion]]))</f>
        <v/>
      </c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11" t="n"/>
      <c r="K790" s="3" t="n"/>
      <c r="L790" s="10" t="n"/>
      <c r="M790" s="6" t="n"/>
      <c r="N7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90" s="3">
        <f>IF(tblOrdenes[[#This Row],[fecha_inicio]]="","",YEAR(tblOrdenes[[#This Row],[fecha_inicio]]))</f>
        <v/>
      </c>
      <c r="R790" s="3">
        <f>IF(tblOrdenes[[#This Row],[fecha_inicio]]="","",MONTH(tblOrdenes[[#This Row],[fecha_inicio]]))</f>
        <v/>
      </c>
      <c r="S790" s="3">
        <f>IF(tblOrdenes[[#This Row],[fecha_inicio]]="","",INDEX(lista_dias,WEEKDAY(tblOrdenes[[#This Row],[fecha_inicio]],2)))</f>
        <v/>
      </c>
      <c r="T790" s="3">
        <f>IF(tblOrdenes[[#This Row],[tipo_ot]]="","",_xlfn.XLOOKUP(tblOrdenes[[#This Row],[tipo_ot]],tblTiposOT[codigo],tblTiposOT[clasificacion],"sin_clasificar"))</f>
        <v/>
      </c>
      <c r="U790" s="3">
        <f>IF(tblOrdenes[[#This Row],[centro_costo]]="","",_xlfn.XLOOKUP(tblOrdenes[[#This Row],[centro_costo]],tblCECO[codigo],tblCECO[linea],"(sin catálogo)"))</f>
        <v/>
      </c>
      <c r="V790" s="3">
        <f>IF(tblOrdenes[[#This Row],[centro_costo]]="","",_xlfn.XLOOKUP(tblOrdenes[[#This Row],[centro_costo]],tblCECO[codigo],tblCECO[area],"(sin catálogo)"))</f>
        <v/>
      </c>
      <c r="W790" s="3">
        <f>IF(tblOrdenes[[#This Row],[centro_costo]]="","",_xlfn.XLOOKUP(tblOrdenes[[#This Row],[centro_costo]],tblCECO[codigo],tblCECO[coordinador],"(sin catálogo)"))</f>
        <v/>
      </c>
      <c r="X790" s="3">
        <f>IF(tblOrdenes[[#This Row],[puesto_trabajo]]="","",_xlfn.XLOOKUP(tblOrdenes[[#This Row],[puesto_trabajo]],tblPuestos[codigo],tblPuestos[especialidad],"(sin catálogo)"))</f>
        <v/>
      </c>
      <c r="Y790" s="3">
        <f>IF(tblOrdenes[[#This Row],[cod_actividad]]="","",_xlfn.XLOOKUP(tblOrdenes[[#This Row],[cod_actividad]],tblActividades[codigo],tblActividades[descripcion],"(sin catálogo)"))</f>
        <v/>
      </c>
      <c r="Z790" s="12">
        <f>IF(tblOrdenes[[#This Row],[fecha_inicio]]="","",TODAY()-tblOrdenes[[#This Row],[fecha_inicio]])</f>
        <v/>
      </c>
      <c r="AA790" s="3">
        <f>IF(tblOrdenes[[#This Row],[backlog_dias]]="","",IF(tblOrdenes[[#This Row],[backlog_dias]]&lt;0,"FUTURO",IF(tblOrdenes[[#This Row],[backlog_dias]]&gt;p_dias_backlog_max,"BACKLOG","MES CORRIENTE")))</f>
        <v/>
      </c>
      <c r="AB790" s="3">
        <f>IF(tblOrdenes[[#This Row],[backlog_dias]]="",FALSE,AND(tblOrdenes[[#This Row],[backlog_dias]]&gt;p_dias_backlog_min,tblOrdenes[[#This Row],[backlog_dias]]&lt;=p_dias_backlog_max))</f>
        <v/>
      </c>
      <c r="AC790" s="6" t="n"/>
      <c r="AD7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90" s="10">
        <f>IF(tblOrdenes[[#This Row],[orden]]="","",_xlfn.XLOOKUP(tblOrdenes[[#This Row],[id_operacion]],tblEjecucion[id_operacion],tblEjecucion[precio],0))</f>
        <v/>
      </c>
      <c r="AH790" s="10">
        <f>IF(tblOrdenes[[#This Row],[orden]]="","",MAX(0,_xlfn.XLOOKUP(tblOrdenes[[#This Row],[id_operacion]],tblEjecucion[id_operacion],tblEjecucion[costo_plan_total],0)-tblOrdenes[[#This Row],[costo_servicio]]))</f>
        <v/>
      </c>
      <c r="AI790" s="10">
        <f>IF(tblOrdenes[[#This Row],[orden]]="","",tblOrdenes[[#This Row],[costo_servicio]]+tblOrdenes[[#This Row],[costo_materiales]])</f>
        <v/>
      </c>
      <c r="AJ790" s="6" t="n"/>
      <c r="AK790" s="6" t="n"/>
      <c r="AL790" s="6" t="n"/>
      <c r="AM790" s="3">
        <f>IF(tblOrdenes[[#This Row],[link_checklist]]="","",HYPERLINK(p_ruta_base_checklists&amp;tblOrdenes[[#This Row],[link_checklist]],"abrir"))</f>
        <v/>
      </c>
      <c r="AN790" s="6" t="n"/>
      <c r="AO790" s="3">
        <f>IF(tblOrdenes[[#This Row],[orden]]="","",tblOrdenes[[#This Row],[orden]]&amp;IF(tblOrdenes[[#This Row],[operacion]]="","0010",tblOrdenes[[#This Row],[operacion]]))</f>
        <v/>
      </c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11" t="n"/>
      <c r="K791" s="3" t="n"/>
      <c r="L791" s="10" t="n"/>
      <c r="M791" s="6" t="n"/>
      <c r="N7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91" s="3">
        <f>IF(tblOrdenes[[#This Row],[fecha_inicio]]="","",YEAR(tblOrdenes[[#This Row],[fecha_inicio]]))</f>
        <v/>
      </c>
      <c r="R791" s="3">
        <f>IF(tblOrdenes[[#This Row],[fecha_inicio]]="","",MONTH(tblOrdenes[[#This Row],[fecha_inicio]]))</f>
        <v/>
      </c>
      <c r="S791" s="3">
        <f>IF(tblOrdenes[[#This Row],[fecha_inicio]]="","",INDEX(lista_dias,WEEKDAY(tblOrdenes[[#This Row],[fecha_inicio]],2)))</f>
        <v/>
      </c>
      <c r="T791" s="3">
        <f>IF(tblOrdenes[[#This Row],[tipo_ot]]="","",_xlfn.XLOOKUP(tblOrdenes[[#This Row],[tipo_ot]],tblTiposOT[codigo],tblTiposOT[clasificacion],"sin_clasificar"))</f>
        <v/>
      </c>
      <c r="U791" s="3">
        <f>IF(tblOrdenes[[#This Row],[centro_costo]]="","",_xlfn.XLOOKUP(tblOrdenes[[#This Row],[centro_costo]],tblCECO[codigo],tblCECO[linea],"(sin catálogo)"))</f>
        <v/>
      </c>
      <c r="V791" s="3">
        <f>IF(tblOrdenes[[#This Row],[centro_costo]]="","",_xlfn.XLOOKUP(tblOrdenes[[#This Row],[centro_costo]],tblCECO[codigo],tblCECO[area],"(sin catálogo)"))</f>
        <v/>
      </c>
      <c r="W791" s="3">
        <f>IF(tblOrdenes[[#This Row],[centro_costo]]="","",_xlfn.XLOOKUP(tblOrdenes[[#This Row],[centro_costo]],tblCECO[codigo],tblCECO[coordinador],"(sin catálogo)"))</f>
        <v/>
      </c>
      <c r="X791" s="3">
        <f>IF(tblOrdenes[[#This Row],[puesto_trabajo]]="","",_xlfn.XLOOKUP(tblOrdenes[[#This Row],[puesto_trabajo]],tblPuestos[codigo],tblPuestos[especialidad],"(sin catálogo)"))</f>
        <v/>
      </c>
      <c r="Y791" s="3">
        <f>IF(tblOrdenes[[#This Row],[cod_actividad]]="","",_xlfn.XLOOKUP(tblOrdenes[[#This Row],[cod_actividad]],tblActividades[codigo],tblActividades[descripcion],"(sin catálogo)"))</f>
        <v/>
      </c>
      <c r="Z791" s="12">
        <f>IF(tblOrdenes[[#This Row],[fecha_inicio]]="","",TODAY()-tblOrdenes[[#This Row],[fecha_inicio]])</f>
        <v/>
      </c>
      <c r="AA791" s="3">
        <f>IF(tblOrdenes[[#This Row],[backlog_dias]]="","",IF(tblOrdenes[[#This Row],[backlog_dias]]&lt;0,"FUTURO",IF(tblOrdenes[[#This Row],[backlog_dias]]&gt;p_dias_backlog_max,"BACKLOG","MES CORRIENTE")))</f>
        <v/>
      </c>
      <c r="AB791" s="3">
        <f>IF(tblOrdenes[[#This Row],[backlog_dias]]="",FALSE,AND(tblOrdenes[[#This Row],[backlog_dias]]&gt;p_dias_backlog_min,tblOrdenes[[#This Row],[backlog_dias]]&lt;=p_dias_backlog_max))</f>
        <v/>
      </c>
      <c r="AC791" s="6" t="n"/>
      <c r="AD7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91" s="10">
        <f>IF(tblOrdenes[[#This Row],[orden]]="","",_xlfn.XLOOKUP(tblOrdenes[[#This Row],[id_operacion]],tblEjecucion[id_operacion],tblEjecucion[precio],0))</f>
        <v/>
      </c>
      <c r="AH791" s="10">
        <f>IF(tblOrdenes[[#This Row],[orden]]="","",MAX(0,_xlfn.XLOOKUP(tblOrdenes[[#This Row],[id_operacion]],tblEjecucion[id_operacion],tblEjecucion[costo_plan_total],0)-tblOrdenes[[#This Row],[costo_servicio]]))</f>
        <v/>
      </c>
      <c r="AI791" s="10">
        <f>IF(tblOrdenes[[#This Row],[orden]]="","",tblOrdenes[[#This Row],[costo_servicio]]+tblOrdenes[[#This Row],[costo_materiales]])</f>
        <v/>
      </c>
      <c r="AJ791" s="6" t="n"/>
      <c r="AK791" s="6" t="n"/>
      <c r="AL791" s="6" t="n"/>
      <c r="AM791" s="3">
        <f>IF(tblOrdenes[[#This Row],[link_checklist]]="","",HYPERLINK(p_ruta_base_checklists&amp;tblOrdenes[[#This Row],[link_checklist]],"abrir"))</f>
        <v/>
      </c>
      <c r="AN791" s="6" t="n"/>
      <c r="AO791" s="3">
        <f>IF(tblOrdenes[[#This Row],[orden]]="","",tblOrdenes[[#This Row],[orden]]&amp;IF(tblOrdenes[[#This Row],[operacion]]="","0010",tblOrdenes[[#This Row],[operacion]]))</f>
        <v/>
      </c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11" t="n"/>
      <c r="K792" s="3" t="n"/>
      <c r="L792" s="10" t="n"/>
      <c r="M792" s="6" t="n"/>
      <c r="N7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92" s="3">
        <f>IF(tblOrdenes[[#This Row],[fecha_inicio]]="","",YEAR(tblOrdenes[[#This Row],[fecha_inicio]]))</f>
        <v/>
      </c>
      <c r="R792" s="3">
        <f>IF(tblOrdenes[[#This Row],[fecha_inicio]]="","",MONTH(tblOrdenes[[#This Row],[fecha_inicio]]))</f>
        <v/>
      </c>
      <c r="S792" s="3">
        <f>IF(tblOrdenes[[#This Row],[fecha_inicio]]="","",INDEX(lista_dias,WEEKDAY(tblOrdenes[[#This Row],[fecha_inicio]],2)))</f>
        <v/>
      </c>
      <c r="T792" s="3">
        <f>IF(tblOrdenes[[#This Row],[tipo_ot]]="","",_xlfn.XLOOKUP(tblOrdenes[[#This Row],[tipo_ot]],tblTiposOT[codigo],tblTiposOT[clasificacion],"sin_clasificar"))</f>
        <v/>
      </c>
      <c r="U792" s="3">
        <f>IF(tblOrdenes[[#This Row],[centro_costo]]="","",_xlfn.XLOOKUP(tblOrdenes[[#This Row],[centro_costo]],tblCECO[codigo],tblCECO[linea],"(sin catálogo)"))</f>
        <v/>
      </c>
      <c r="V792" s="3">
        <f>IF(tblOrdenes[[#This Row],[centro_costo]]="","",_xlfn.XLOOKUP(tblOrdenes[[#This Row],[centro_costo]],tblCECO[codigo],tblCECO[area],"(sin catálogo)"))</f>
        <v/>
      </c>
      <c r="W792" s="3">
        <f>IF(tblOrdenes[[#This Row],[centro_costo]]="","",_xlfn.XLOOKUP(tblOrdenes[[#This Row],[centro_costo]],tblCECO[codigo],tblCECO[coordinador],"(sin catálogo)"))</f>
        <v/>
      </c>
      <c r="X792" s="3">
        <f>IF(tblOrdenes[[#This Row],[puesto_trabajo]]="","",_xlfn.XLOOKUP(tblOrdenes[[#This Row],[puesto_trabajo]],tblPuestos[codigo],tblPuestos[especialidad],"(sin catálogo)"))</f>
        <v/>
      </c>
      <c r="Y792" s="3">
        <f>IF(tblOrdenes[[#This Row],[cod_actividad]]="","",_xlfn.XLOOKUP(tblOrdenes[[#This Row],[cod_actividad]],tblActividades[codigo],tblActividades[descripcion],"(sin catálogo)"))</f>
        <v/>
      </c>
      <c r="Z792" s="12">
        <f>IF(tblOrdenes[[#This Row],[fecha_inicio]]="","",TODAY()-tblOrdenes[[#This Row],[fecha_inicio]])</f>
        <v/>
      </c>
      <c r="AA792" s="3">
        <f>IF(tblOrdenes[[#This Row],[backlog_dias]]="","",IF(tblOrdenes[[#This Row],[backlog_dias]]&lt;0,"FUTURO",IF(tblOrdenes[[#This Row],[backlog_dias]]&gt;p_dias_backlog_max,"BACKLOG","MES CORRIENTE")))</f>
        <v/>
      </c>
      <c r="AB792" s="3">
        <f>IF(tblOrdenes[[#This Row],[backlog_dias]]="",FALSE,AND(tblOrdenes[[#This Row],[backlog_dias]]&gt;p_dias_backlog_min,tblOrdenes[[#This Row],[backlog_dias]]&lt;=p_dias_backlog_max))</f>
        <v/>
      </c>
      <c r="AC792" s="6" t="n"/>
      <c r="AD7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92" s="10">
        <f>IF(tblOrdenes[[#This Row],[orden]]="","",_xlfn.XLOOKUP(tblOrdenes[[#This Row],[id_operacion]],tblEjecucion[id_operacion],tblEjecucion[precio],0))</f>
        <v/>
      </c>
      <c r="AH792" s="10">
        <f>IF(tblOrdenes[[#This Row],[orden]]="","",MAX(0,_xlfn.XLOOKUP(tblOrdenes[[#This Row],[id_operacion]],tblEjecucion[id_operacion],tblEjecucion[costo_plan_total],0)-tblOrdenes[[#This Row],[costo_servicio]]))</f>
        <v/>
      </c>
      <c r="AI792" s="10">
        <f>IF(tblOrdenes[[#This Row],[orden]]="","",tblOrdenes[[#This Row],[costo_servicio]]+tblOrdenes[[#This Row],[costo_materiales]])</f>
        <v/>
      </c>
      <c r="AJ792" s="6" t="n"/>
      <c r="AK792" s="6" t="n"/>
      <c r="AL792" s="6" t="n"/>
      <c r="AM792" s="3">
        <f>IF(tblOrdenes[[#This Row],[link_checklist]]="","",HYPERLINK(p_ruta_base_checklists&amp;tblOrdenes[[#This Row],[link_checklist]],"abrir"))</f>
        <v/>
      </c>
      <c r="AN792" s="6" t="n"/>
      <c r="AO792" s="3">
        <f>IF(tblOrdenes[[#This Row],[orden]]="","",tblOrdenes[[#This Row],[orden]]&amp;IF(tblOrdenes[[#This Row],[operacion]]="","0010",tblOrdenes[[#This Row],[operacion]]))</f>
        <v/>
      </c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11" t="n"/>
      <c r="K793" s="3" t="n"/>
      <c r="L793" s="10" t="n"/>
      <c r="M793" s="6" t="n"/>
      <c r="N7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93" s="3">
        <f>IF(tblOrdenes[[#This Row],[fecha_inicio]]="","",YEAR(tblOrdenes[[#This Row],[fecha_inicio]]))</f>
        <v/>
      </c>
      <c r="R793" s="3">
        <f>IF(tblOrdenes[[#This Row],[fecha_inicio]]="","",MONTH(tblOrdenes[[#This Row],[fecha_inicio]]))</f>
        <v/>
      </c>
      <c r="S793" s="3">
        <f>IF(tblOrdenes[[#This Row],[fecha_inicio]]="","",INDEX(lista_dias,WEEKDAY(tblOrdenes[[#This Row],[fecha_inicio]],2)))</f>
        <v/>
      </c>
      <c r="T793" s="3">
        <f>IF(tblOrdenes[[#This Row],[tipo_ot]]="","",_xlfn.XLOOKUP(tblOrdenes[[#This Row],[tipo_ot]],tblTiposOT[codigo],tblTiposOT[clasificacion],"sin_clasificar"))</f>
        <v/>
      </c>
      <c r="U793" s="3">
        <f>IF(tblOrdenes[[#This Row],[centro_costo]]="","",_xlfn.XLOOKUP(tblOrdenes[[#This Row],[centro_costo]],tblCECO[codigo],tblCECO[linea],"(sin catálogo)"))</f>
        <v/>
      </c>
      <c r="V793" s="3">
        <f>IF(tblOrdenes[[#This Row],[centro_costo]]="","",_xlfn.XLOOKUP(tblOrdenes[[#This Row],[centro_costo]],tblCECO[codigo],tblCECO[area],"(sin catálogo)"))</f>
        <v/>
      </c>
      <c r="W793" s="3">
        <f>IF(tblOrdenes[[#This Row],[centro_costo]]="","",_xlfn.XLOOKUP(tblOrdenes[[#This Row],[centro_costo]],tblCECO[codigo],tblCECO[coordinador],"(sin catálogo)"))</f>
        <v/>
      </c>
      <c r="X793" s="3">
        <f>IF(tblOrdenes[[#This Row],[puesto_trabajo]]="","",_xlfn.XLOOKUP(tblOrdenes[[#This Row],[puesto_trabajo]],tblPuestos[codigo],tblPuestos[especialidad],"(sin catálogo)"))</f>
        <v/>
      </c>
      <c r="Y793" s="3">
        <f>IF(tblOrdenes[[#This Row],[cod_actividad]]="","",_xlfn.XLOOKUP(tblOrdenes[[#This Row],[cod_actividad]],tblActividades[codigo],tblActividades[descripcion],"(sin catálogo)"))</f>
        <v/>
      </c>
      <c r="Z793" s="12">
        <f>IF(tblOrdenes[[#This Row],[fecha_inicio]]="","",TODAY()-tblOrdenes[[#This Row],[fecha_inicio]])</f>
        <v/>
      </c>
      <c r="AA793" s="3">
        <f>IF(tblOrdenes[[#This Row],[backlog_dias]]="","",IF(tblOrdenes[[#This Row],[backlog_dias]]&lt;0,"FUTURO",IF(tblOrdenes[[#This Row],[backlog_dias]]&gt;p_dias_backlog_max,"BACKLOG","MES CORRIENTE")))</f>
        <v/>
      </c>
      <c r="AB793" s="3">
        <f>IF(tblOrdenes[[#This Row],[backlog_dias]]="",FALSE,AND(tblOrdenes[[#This Row],[backlog_dias]]&gt;p_dias_backlog_min,tblOrdenes[[#This Row],[backlog_dias]]&lt;=p_dias_backlog_max))</f>
        <v/>
      </c>
      <c r="AC793" s="6" t="n"/>
      <c r="AD7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93" s="10">
        <f>IF(tblOrdenes[[#This Row],[orden]]="","",_xlfn.XLOOKUP(tblOrdenes[[#This Row],[id_operacion]],tblEjecucion[id_operacion],tblEjecucion[precio],0))</f>
        <v/>
      </c>
      <c r="AH793" s="10">
        <f>IF(tblOrdenes[[#This Row],[orden]]="","",MAX(0,_xlfn.XLOOKUP(tblOrdenes[[#This Row],[id_operacion]],tblEjecucion[id_operacion],tblEjecucion[costo_plan_total],0)-tblOrdenes[[#This Row],[costo_servicio]]))</f>
        <v/>
      </c>
      <c r="AI793" s="10">
        <f>IF(tblOrdenes[[#This Row],[orden]]="","",tblOrdenes[[#This Row],[costo_servicio]]+tblOrdenes[[#This Row],[costo_materiales]])</f>
        <v/>
      </c>
      <c r="AJ793" s="6" t="n"/>
      <c r="AK793" s="6" t="n"/>
      <c r="AL793" s="6" t="n"/>
      <c r="AM793" s="3">
        <f>IF(tblOrdenes[[#This Row],[link_checklist]]="","",HYPERLINK(p_ruta_base_checklists&amp;tblOrdenes[[#This Row],[link_checklist]],"abrir"))</f>
        <v/>
      </c>
      <c r="AN793" s="6" t="n"/>
      <c r="AO793" s="3">
        <f>IF(tblOrdenes[[#This Row],[orden]]="","",tblOrdenes[[#This Row],[orden]]&amp;IF(tblOrdenes[[#This Row],[operacion]]="","0010",tblOrdenes[[#This Row],[operacion]]))</f>
        <v/>
      </c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11" t="n"/>
      <c r="K794" s="3" t="n"/>
      <c r="L794" s="10" t="n"/>
      <c r="M794" s="6" t="n"/>
      <c r="N7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94" s="3">
        <f>IF(tblOrdenes[[#This Row],[fecha_inicio]]="","",YEAR(tblOrdenes[[#This Row],[fecha_inicio]]))</f>
        <v/>
      </c>
      <c r="R794" s="3">
        <f>IF(tblOrdenes[[#This Row],[fecha_inicio]]="","",MONTH(tblOrdenes[[#This Row],[fecha_inicio]]))</f>
        <v/>
      </c>
      <c r="S794" s="3">
        <f>IF(tblOrdenes[[#This Row],[fecha_inicio]]="","",INDEX(lista_dias,WEEKDAY(tblOrdenes[[#This Row],[fecha_inicio]],2)))</f>
        <v/>
      </c>
      <c r="T794" s="3">
        <f>IF(tblOrdenes[[#This Row],[tipo_ot]]="","",_xlfn.XLOOKUP(tblOrdenes[[#This Row],[tipo_ot]],tblTiposOT[codigo],tblTiposOT[clasificacion],"sin_clasificar"))</f>
        <v/>
      </c>
      <c r="U794" s="3">
        <f>IF(tblOrdenes[[#This Row],[centro_costo]]="","",_xlfn.XLOOKUP(tblOrdenes[[#This Row],[centro_costo]],tblCECO[codigo],tblCECO[linea],"(sin catálogo)"))</f>
        <v/>
      </c>
      <c r="V794" s="3">
        <f>IF(tblOrdenes[[#This Row],[centro_costo]]="","",_xlfn.XLOOKUP(tblOrdenes[[#This Row],[centro_costo]],tblCECO[codigo],tblCECO[area],"(sin catálogo)"))</f>
        <v/>
      </c>
      <c r="W794" s="3">
        <f>IF(tblOrdenes[[#This Row],[centro_costo]]="","",_xlfn.XLOOKUP(tblOrdenes[[#This Row],[centro_costo]],tblCECO[codigo],tblCECO[coordinador],"(sin catálogo)"))</f>
        <v/>
      </c>
      <c r="X794" s="3">
        <f>IF(tblOrdenes[[#This Row],[puesto_trabajo]]="","",_xlfn.XLOOKUP(tblOrdenes[[#This Row],[puesto_trabajo]],tblPuestos[codigo],tblPuestos[especialidad],"(sin catálogo)"))</f>
        <v/>
      </c>
      <c r="Y794" s="3">
        <f>IF(tblOrdenes[[#This Row],[cod_actividad]]="","",_xlfn.XLOOKUP(tblOrdenes[[#This Row],[cod_actividad]],tblActividades[codigo],tblActividades[descripcion],"(sin catálogo)"))</f>
        <v/>
      </c>
      <c r="Z794" s="12">
        <f>IF(tblOrdenes[[#This Row],[fecha_inicio]]="","",TODAY()-tblOrdenes[[#This Row],[fecha_inicio]])</f>
        <v/>
      </c>
      <c r="AA794" s="3">
        <f>IF(tblOrdenes[[#This Row],[backlog_dias]]="","",IF(tblOrdenes[[#This Row],[backlog_dias]]&lt;0,"FUTURO",IF(tblOrdenes[[#This Row],[backlog_dias]]&gt;p_dias_backlog_max,"BACKLOG","MES CORRIENTE")))</f>
        <v/>
      </c>
      <c r="AB794" s="3">
        <f>IF(tblOrdenes[[#This Row],[backlog_dias]]="",FALSE,AND(tblOrdenes[[#This Row],[backlog_dias]]&gt;p_dias_backlog_min,tblOrdenes[[#This Row],[backlog_dias]]&lt;=p_dias_backlog_max))</f>
        <v/>
      </c>
      <c r="AC794" s="6" t="n"/>
      <c r="AD7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94" s="10">
        <f>IF(tblOrdenes[[#This Row],[orden]]="","",_xlfn.XLOOKUP(tblOrdenes[[#This Row],[id_operacion]],tblEjecucion[id_operacion],tblEjecucion[precio],0))</f>
        <v/>
      </c>
      <c r="AH794" s="10">
        <f>IF(tblOrdenes[[#This Row],[orden]]="","",MAX(0,_xlfn.XLOOKUP(tblOrdenes[[#This Row],[id_operacion]],tblEjecucion[id_operacion],tblEjecucion[costo_plan_total],0)-tblOrdenes[[#This Row],[costo_servicio]]))</f>
        <v/>
      </c>
      <c r="AI794" s="10">
        <f>IF(tblOrdenes[[#This Row],[orden]]="","",tblOrdenes[[#This Row],[costo_servicio]]+tblOrdenes[[#This Row],[costo_materiales]])</f>
        <v/>
      </c>
      <c r="AJ794" s="6" t="n"/>
      <c r="AK794" s="6" t="n"/>
      <c r="AL794" s="6" t="n"/>
      <c r="AM794" s="3">
        <f>IF(tblOrdenes[[#This Row],[link_checklist]]="","",HYPERLINK(p_ruta_base_checklists&amp;tblOrdenes[[#This Row],[link_checklist]],"abrir"))</f>
        <v/>
      </c>
      <c r="AN794" s="6" t="n"/>
      <c r="AO794" s="3">
        <f>IF(tblOrdenes[[#This Row],[orden]]="","",tblOrdenes[[#This Row],[orden]]&amp;IF(tblOrdenes[[#This Row],[operacion]]="","0010",tblOrdenes[[#This Row],[operacion]]))</f>
        <v/>
      </c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11" t="n"/>
      <c r="K795" s="3" t="n"/>
      <c r="L795" s="10" t="n"/>
      <c r="M795" s="6" t="n"/>
      <c r="N7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95" s="3">
        <f>IF(tblOrdenes[[#This Row],[fecha_inicio]]="","",YEAR(tblOrdenes[[#This Row],[fecha_inicio]]))</f>
        <v/>
      </c>
      <c r="R795" s="3">
        <f>IF(tblOrdenes[[#This Row],[fecha_inicio]]="","",MONTH(tblOrdenes[[#This Row],[fecha_inicio]]))</f>
        <v/>
      </c>
      <c r="S795" s="3">
        <f>IF(tblOrdenes[[#This Row],[fecha_inicio]]="","",INDEX(lista_dias,WEEKDAY(tblOrdenes[[#This Row],[fecha_inicio]],2)))</f>
        <v/>
      </c>
      <c r="T795" s="3">
        <f>IF(tblOrdenes[[#This Row],[tipo_ot]]="","",_xlfn.XLOOKUP(tblOrdenes[[#This Row],[tipo_ot]],tblTiposOT[codigo],tblTiposOT[clasificacion],"sin_clasificar"))</f>
        <v/>
      </c>
      <c r="U795" s="3">
        <f>IF(tblOrdenes[[#This Row],[centro_costo]]="","",_xlfn.XLOOKUP(tblOrdenes[[#This Row],[centro_costo]],tblCECO[codigo],tblCECO[linea],"(sin catálogo)"))</f>
        <v/>
      </c>
      <c r="V795" s="3">
        <f>IF(tblOrdenes[[#This Row],[centro_costo]]="","",_xlfn.XLOOKUP(tblOrdenes[[#This Row],[centro_costo]],tblCECO[codigo],tblCECO[area],"(sin catálogo)"))</f>
        <v/>
      </c>
      <c r="W795" s="3">
        <f>IF(tblOrdenes[[#This Row],[centro_costo]]="","",_xlfn.XLOOKUP(tblOrdenes[[#This Row],[centro_costo]],tblCECO[codigo],tblCECO[coordinador],"(sin catálogo)"))</f>
        <v/>
      </c>
      <c r="X795" s="3">
        <f>IF(tblOrdenes[[#This Row],[puesto_trabajo]]="","",_xlfn.XLOOKUP(tblOrdenes[[#This Row],[puesto_trabajo]],tblPuestos[codigo],tblPuestos[especialidad],"(sin catálogo)"))</f>
        <v/>
      </c>
      <c r="Y795" s="3">
        <f>IF(tblOrdenes[[#This Row],[cod_actividad]]="","",_xlfn.XLOOKUP(tblOrdenes[[#This Row],[cod_actividad]],tblActividades[codigo],tblActividades[descripcion],"(sin catálogo)"))</f>
        <v/>
      </c>
      <c r="Z795" s="12">
        <f>IF(tblOrdenes[[#This Row],[fecha_inicio]]="","",TODAY()-tblOrdenes[[#This Row],[fecha_inicio]])</f>
        <v/>
      </c>
      <c r="AA795" s="3">
        <f>IF(tblOrdenes[[#This Row],[backlog_dias]]="","",IF(tblOrdenes[[#This Row],[backlog_dias]]&lt;0,"FUTURO",IF(tblOrdenes[[#This Row],[backlog_dias]]&gt;p_dias_backlog_max,"BACKLOG","MES CORRIENTE")))</f>
        <v/>
      </c>
      <c r="AB795" s="3">
        <f>IF(tblOrdenes[[#This Row],[backlog_dias]]="",FALSE,AND(tblOrdenes[[#This Row],[backlog_dias]]&gt;p_dias_backlog_min,tblOrdenes[[#This Row],[backlog_dias]]&lt;=p_dias_backlog_max))</f>
        <v/>
      </c>
      <c r="AC795" s="6" t="n"/>
      <c r="AD7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95" s="10">
        <f>IF(tblOrdenes[[#This Row],[orden]]="","",_xlfn.XLOOKUP(tblOrdenes[[#This Row],[id_operacion]],tblEjecucion[id_operacion],tblEjecucion[precio],0))</f>
        <v/>
      </c>
      <c r="AH795" s="10">
        <f>IF(tblOrdenes[[#This Row],[orden]]="","",MAX(0,_xlfn.XLOOKUP(tblOrdenes[[#This Row],[id_operacion]],tblEjecucion[id_operacion],tblEjecucion[costo_plan_total],0)-tblOrdenes[[#This Row],[costo_servicio]]))</f>
        <v/>
      </c>
      <c r="AI795" s="10">
        <f>IF(tblOrdenes[[#This Row],[orden]]="","",tblOrdenes[[#This Row],[costo_servicio]]+tblOrdenes[[#This Row],[costo_materiales]])</f>
        <v/>
      </c>
      <c r="AJ795" s="6" t="n"/>
      <c r="AK795" s="6" t="n"/>
      <c r="AL795" s="6" t="n"/>
      <c r="AM795" s="3">
        <f>IF(tblOrdenes[[#This Row],[link_checklist]]="","",HYPERLINK(p_ruta_base_checklists&amp;tblOrdenes[[#This Row],[link_checklist]],"abrir"))</f>
        <v/>
      </c>
      <c r="AN795" s="6" t="n"/>
      <c r="AO795" s="3">
        <f>IF(tblOrdenes[[#This Row],[orden]]="","",tblOrdenes[[#This Row],[orden]]&amp;IF(tblOrdenes[[#This Row],[operacion]]="","0010",tblOrdenes[[#This Row],[operacion]]))</f>
        <v/>
      </c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11" t="n"/>
      <c r="K796" s="3" t="n"/>
      <c r="L796" s="10" t="n"/>
      <c r="M796" s="6" t="n"/>
      <c r="N7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96" s="3">
        <f>IF(tblOrdenes[[#This Row],[fecha_inicio]]="","",YEAR(tblOrdenes[[#This Row],[fecha_inicio]]))</f>
        <v/>
      </c>
      <c r="R796" s="3">
        <f>IF(tblOrdenes[[#This Row],[fecha_inicio]]="","",MONTH(tblOrdenes[[#This Row],[fecha_inicio]]))</f>
        <v/>
      </c>
      <c r="S796" s="3">
        <f>IF(tblOrdenes[[#This Row],[fecha_inicio]]="","",INDEX(lista_dias,WEEKDAY(tblOrdenes[[#This Row],[fecha_inicio]],2)))</f>
        <v/>
      </c>
      <c r="T796" s="3">
        <f>IF(tblOrdenes[[#This Row],[tipo_ot]]="","",_xlfn.XLOOKUP(tblOrdenes[[#This Row],[tipo_ot]],tblTiposOT[codigo],tblTiposOT[clasificacion],"sin_clasificar"))</f>
        <v/>
      </c>
      <c r="U796" s="3">
        <f>IF(tblOrdenes[[#This Row],[centro_costo]]="","",_xlfn.XLOOKUP(tblOrdenes[[#This Row],[centro_costo]],tblCECO[codigo],tblCECO[linea],"(sin catálogo)"))</f>
        <v/>
      </c>
      <c r="V796" s="3">
        <f>IF(tblOrdenes[[#This Row],[centro_costo]]="","",_xlfn.XLOOKUP(tblOrdenes[[#This Row],[centro_costo]],tblCECO[codigo],tblCECO[area],"(sin catálogo)"))</f>
        <v/>
      </c>
      <c r="W796" s="3">
        <f>IF(tblOrdenes[[#This Row],[centro_costo]]="","",_xlfn.XLOOKUP(tblOrdenes[[#This Row],[centro_costo]],tblCECO[codigo],tblCECO[coordinador],"(sin catálogo)"))</f>
        <v/>
      </c>
      <c r="X796" s="3">
        <f>IF(tblOrdenes[[#This Row],[puesto_trabajo]]="","",_xlfn.XLOOKUP(tblOrdenes[[#This Row],[puesto_trabajo]],tblPuestos[codigo],tblPuestos[especialidad],"(sin catálogo)"))</f>
        <v/>
      </c>
      <c r="Y796" s="3">
        <f>IF(tblOrdenes[[#This Row],[cod_actividad]]="","",_xlfn.XLOOKUP(tblOrdenes[[#This Row],[cod_actividad]],tblActividades[codigo],tblActividades[descripcion],"(sin catálogo)"))</f>
        <v/>
      </c>
      <c r="Z796" s="12">
        <f>IF(tblOrdenes[[#This Row],[fecha_inicio]]="","",TODAY()-tblOrdenes[[#This Row],[fecha_inicio]])</f>
        <v/>
      </c>
      <c r="AA796" s="3">
        <f>IF(tblOrdenes[[#This Row],[backlog_dias]]="","",IF(tblOrdenes[[#This Row],[backlog_dias]]&lt;0,"FUTURO",IF(tblOrdenes[[#This Row],[backlog_dias]]&gt;p_dias_backlog_max,"BACKLOG","MES CORRIENTE")))</f>
        <v/>
      </c>
      <c r="AB796" s="3">
        <f>IF(tblOrdenes[[#This Row],[backlog_dias]]="",FALSE,AND(tblOrdenes[[#This Row],[backlog_dias]]&gt;p_dias_backlog_min,tblOrdenes[[#This Row],[backlog_dias]]&lt;=p_dias_backlog_max))</f>
        <v/>
      </c>
      <c r="AC796" s="6" t="n"/>
      <c r="AD7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96" s="10">
        <f>IF(tblOrdenes[[#This Row],[orden]]="","",_xlfn.XLOOKUP(tblOrdenes[[#This Row],[id_operacion]],tblEjecucion[id_operacion],tblEjecucion[precio],0))</f>
        <v/>
      </c>
      <c r="AH796" s="10">
        <f>IF(tblOrdenes[[#This Row],[orden]]="","",MAX(0,_xlfn.XLOOKUP(tblOrdenes[[#This Row],[id_operacion]],tblEjecucion[id_operacion],tblEjecucion[costo_plan_total],0)-tblOrdenes[[#This Row],[costo_servicio]]))</f>
        <v/>
      </c>
      <c r="AI796" s="10">
        <f>IF(tblOrdenes[[#This Row],[orden]]="","",tblOrdenes[[#This Row],[costo_servicio]]+tblOrdenes[[#This Row],[costo_materiales]])</f>
        <v/>
      </c>
      <c r="AJ796" s="6" t="n"/>
      <c r="AK796" s="6" t="n"/>
      <c r="AL796" s="6" t="n"/>
      <c r="AM796" s="3">
        <f>IF(tblOrdenes[[#This Row],[link_checklist]]="","",HYPERLINK(p_ruta_base_checklists&amp;tblOrdenes[[#This Row],[link_checklist]],"abrir"))</f>
        <v/>
      </c>
      <c r="AN796" s="6" t="n"/>
      <c r="AO796" s="3">
        <f>IF(tblOrdenes[[#This Row],[orden]]="","",tblOrdenes[[#This Row],[orden]]&amp;IF(tblOrdenes[[#This Row],[operacion]]="","0010",tblOrdenes[[#This Row],[operacion]]))</f>
        <v/>
      </c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11" t="n"/>
      <c r="K797" s="3" t="n"/>
      <c r="L797" s="10" t="n"/>
      <c r="M797" s="6" t="n"/>
      <c r="N7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97" s="3">
        <f>IF(tblOrdenes[[#This Row],[fecha_inicio]]="","",YEAR(tblOrdenes[[#This Row],[fecha_inicio]]))</f>
        <v/>
      </c>
      <c r="R797" s="3">
        <f>IF(tblOrdenes[[#This Row],[fecha_inicio]]="","",MONTH(tblOrdenes[[#This Row],[fecha_inicio]]))</f>
        <v/>
      </c>
      <c r="S797" s="3">
        <f>IF(tblOrdenes[[#This Row],[fecha_inicio]]="","",INDEX(lista_dias,WEEKDAY(tblOrdenes[[#This Row],[fecha_inicio]],2)))</f>
        <v/>
      </c>
      <c r="T797" s="3">
        <f>IF(tblOrdenes[[#This Row],[tipo_ot]]="","",_xlfn.XLOOKUP(tblOrdenes[[#This Row],[tipo_ot]],tblTiposOT[codigo],tblTiposOT[clasificacion],"sin_clasificar"))</f>
        <v/>
      </c>
      <c r="U797" s="3">
        <f>IF(tblOrdenes[[#This Row],[centro_costo]]="","",_xlfn.XLOOKUP(tblOrdenes[[#This Row],[centro_costo]],tblCECO[codigo],tblCECO[linea],"(sin catálogo)"))</f>
        <v/>
      </c>
      <c r="V797" s="3">
        <f>IF(tblOrdenes[[#This Row],[centro_costo]]="","",_xlfn.XLOOKUP(tblOrdenes[[#This Row],[centro_costo]],tblCECO[codigo],tblCECO[area],"(sin catálogo)"))</f>
        <v/>
      </c>
      <c r="W797" s="3">
        <f>IF(tblOrdenes[[#This Row],[centro_costo]]="","",_xlfn.XLOOKUP(tblOrdenes[[#This Row],[centro_costo]],tblCECO[codigo],tblCECO[coordinador],"(sin catálogo)"))</f>
        <v/>
      </c>
      <c r="X797" s="3">
        <f>IF(tblOrdenes[[#This Row],[puesto_trabajo]]="","",_xlfn.XLOOKUP(tblOrdenes[[#This Row],[puesto_trabajo]],tblPuestos[codigo],tblPuestos[especialidad],"(sin catálogo)"))</f>
        <v/>
      </c>
      <c r="Y797" s="3">
        <f>IF(tblOrdenes[[#This Row],[cod_actividad]]="","",_xlfn.XLOOKUP(tblOrdenes[[#This Row],[cod_actividad]],tblActividades[codigo],tblActividades[descripcion],"(sin catálogo)"))</f>
        <v/>
      </c>
      <c r="Z797" s="12">
        <f>IF(tblOrdenes[[#This Row],[fecha_inicio]]="","",TODAY()-tblOrdenes[[#This Row],[fecha_inicio]])</f>
        <v/>
      </c>
      <c r="AA797" s="3">
        <f>IF(tblOrdenes[[#This Row],[backlog_dias]]="","",IF(tblOrdenes[[#This Row],[backlog_dias]]&lt;0,"FUTURO",IF(tblOrdenes[[#This Row],[backlog_dias]]&gt;p_dias_backlog_max,"BACKLOG","MES CORRIENTE")))</f>
        <v/>
      </c>
      <c r="AB797" s="3">
        <f>IF(tblOrdenes[[#This Row],[backlog_dias]]="",FALSE,AND(tblOrdenes[[#This Row],[backlog_dias]]&gt;p_dias_backlog_min,tblOrdenes[[#This Row],[backlog_dias]]&lt;=p_dias_backlog_max))</f>
        <v/>
      </c>
      <c r="AC797" s="6" t="n"/>
      <c r="AD7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97" s="10">
        <f>IF(tblOrdenes[[#This Row],[orden]]="","",_xlfn.XLOOKUP(tblOrdenes[[#This Row],[id_operacion]],tblEjecucion[id_operacion],tblEjecucion[precio],0))</f>
        <v/>
      </c>
      <c r="AH797" s="10">
        <f>IF(tblOrdenes[[#This Row],[orden]]="","",MAX(0,_xlfn.XLOOKUP(tblOrdenes[[#This Row],[id_operacion]],tblEjecucion[id_operacion],tblEjecucion[costo_plan_total],0)-tblOrdenes[[#This Row],[costo_servicio]]))</f>
        <v/>
      </c>
      <c r="AI797" s="10">
        <f>IF(tblOrdenes[[#This Row],[orden]]="","",tblOrdenes[[#This Row],[costo_servicio]]+tblOrdenes[[#This Row],[costo_materiales]])</f>
        <v/>
      </c>
      <c r="AJ797" s="6" t="n"/>
      <c r="AK797" s="6" t="n"/>
      <c r="AL797" s="6" t="n"/>
      <c r="AM797" s="3">
        <f>IF(tblOrdenes[[#This Row],[link_checklist]]="","",HYPERLINK(p_ruta_base_checklists&amp;tblOrdenes[[#This Row],[link_checklist]],"abrir"))</f>
        <v/>
      </c>
      <c r="AN797" s="6" t="n"/>
      <c r="AO797" s="3">
        <f>IF(tblOrdenes[[#This Row],[orden]]="","",tblOrdenes[[#This Row],[orden]]&amp;IF(tblOrdenes[[#This Row],[operacion]]="","0010",tblOrdenes[[#This Row],[operacion]]))</f>
        <v/>
      </c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11" t="n"/>
      <c r="K798" s="3" t="n"/>
      <c r="L798" s="10" t="n"/>
      <c r="M798" s="6" t="n"/>
      <c r="N7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98" s="3">
        <f>IF(tblOrdenes[[#This Row],[fecha_inicio]]="","",YEAR(tblOrdenes[[#This Row],[fecha_inicio]]))</f>
        <v/>
      </c>
      <c r="R798" s="3">
        <f>IF(tblOrdenes[[#This Row],[fecha_inicio]]="","",MONTH(tblOrdenes[[#This Row],[fecha_inicio]]))</f>
        <v/>
      </c>
      <c r="S798" s="3">
        <f>IF(tblOrdenes[[#This Row],[fecha_inicio]]="","",INDEX(lista_dias,WEEKDAY(tblOrdenes[[#This Row],[fecha_inicio]],2)))</f>
        <v/>
      </c>
      <c r="T798" s="3">
        <f>IF(tblOrdenes[[#This Row],[tipo_ot]]="","",_xlfn.XLOOKUP(tblOrdenes[[#This Row],[tipo_ot]],tblTiposOT[codigo],tblTiposOT[clasificacion],"sin_clasificar"))</f>
        <v/>
      </c>
      <c r="U798" s="3">
        <f>IF(tblOrdenes[[#This Row],[centro_costo]]="","",_xlfn.XLOOKUP(tblOrdenes[[#This Row],[centro_costo]],tblCECO[codigo],tblCECO[linea],"(sin catálogo)"))</f>
        <v/>
      </c>
      <c r="V798" s="3">
        <f>IF(tblOrdenes[[#This Row],[centro_costo]]="","",_xlfn.XLOOKUP(tblOrdenes[[#This Row],[centro_costo]],tblCECO[codigo],tblCECO[area],"(sin catálogo)"))</f>
        <v/>
      </c>
      <c r="W798" s="3">
        <f>IF(tblOrdenes[[#This Row],[centro_costo]]="","",_xlfn.XLOOKUP(tblOrdenes[[#This Row],[centro_costo]],tblCECO[codigo],tblCECO[coordinador],"(sin catálogo)"))</f>
        <v/>
      </c>
      <c r="X798" s="3">
        <f>IF(tblOrdenes[[#This Row],[puesto_trabajo]]="","",_xlfn.XLOOKUP(tblOrdenes[[#This Row],[puesto_trabajo]],tblPuestos[codigo],tblPuestos[especialidad],"(sin catálogo)"))</f>
        <v/>
      </c>
      <c r="Y798" s="3">
        <f>IF(tblOrdenes[[#This Row],[cod_actividad]]="","",_xlfn.XLOOKUP(tblOrdenes[[#This Row],[cod_actividad]],tblActividades[codigo],tblActividades[descripcion],"(sin catálogo)"))</f>
        <v/>
      </c>
      <c r="Z798" s="12">
        <f>IF(tblOrdenes[[#This Row],[fecha_inicio]]="","",TODAY()-tblOrdenes[[#This Row],[fecha_inicio]])</f>
        <v/>
      </c>
      <c r="AA798" s="3">
        <f>IF(tblOrdenes[[#This Row],[backlog_dias]]="","",IF(tblOrdenes[[#This Row],[backlog_dias]]&lt;0,"FUTURO",IF(tblOrdenes[[#This Row],[backlog_dias]]&gt;p_dias_backlog_max,"BACKLOG","MES CORRIENTE")))</f>
        <v/>
      </c>
      <c r="AB798" s="3">
        <f>IF(tblOrdenes[[#This Row],[backlog_dias]]="",FALSE,AND(tblOrdenes[[#This Row],[backlog_dias]]&gt;p_dias_backlog_min,tblOrdenes[[#This Row],[backlog_dias]]&lt;=p_dias_backlog_max))</f>
        <v/>
      </c>
      <c r="AC798" s="6" t="n"/>
      <c r="AD7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98" s="10">
        <f>IF(tblOrdenes[[#This Row],[orden]]="","",_xlfn.XLOOKUP(tblOrdenes[[#This Row],[id_operacion]],tblEjecucion[id_operacion],tblEjecucion[precio],0))</f>
        <v/>
      </c>
      <c r="AH798" s="10">
        <f>IF(tblOrdenes[[#This Row],[orden]]="","",MAX(0,_xlfn.XLOOKUP(tblOrdenes[[#This Row],[id_operacion]],tblEjecucion[id_operacion],tblEjecucion[costo_plan_total],0)-tblOrdenes[[#This Row],[costo_servicio]]))</f>
        <v/>
      </c>
      <c r="AI798" s="10">
        <f>IF(tblOrdenes[[#This Row],[orden]]="","",tblOrdenes[[#This Row],[costo_servicio]]+tblOrdenes[[#This Row],[costo_materiales]])</f>
        <v/>
      </c>
      <c r="AJ798" s="6" t="n"/>
      <c r="AK798" s="6" t="n"/>
      <c r="AL798" s="6" t="n"/>
      <c r="AM798" s="3">
        <f>IF(tblOrdenes[[#This Row],[link_checklist]]="","",HYPERLINK(p_ruta_base_checklists&amp;tblOrdenes[[#This Row],[link_checklist]],"abrir"))</f>
        <v/>
      </c>
      <c r="AN798" s="6" t="n"/>
      <c r="AO798" s="3">
        <f>IF(tblOrdenes[[#This Row],[orden]]="","",tblOrdenes[[#This Row],[orden]]&amp;IF(tblOrdenes[[#This Row],[operacion]]="","0010",tblOrdenes[[#This Row],[operacion]]))</f>
        <v/>
      </c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11" t="n"/>
      <c r="K799" s="3" t="n"/>
      <c r="L799" s="10" t="n"/>
      <c r="M799" s="6" t="n"/>
      <c r="N7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7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7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799" s="3">
        <f>IF(tblOrdenes[[#This Row],[fecha_inicio]]="","",YEAR(tblOrdenes[[#This Row],[fecha_inicio]]))</f>
        <v/>
      </c>
      <c r="R799" s="3">
        <f>IF(tblOrdenes[[#This Row],[fecha_inicio]]="","",MONTH(tblOrdenes[[#This Row],[fecha_inicio]]))</f>
        <v/>
      </c>
      <c r="S799" s="3">
        <f>IF(tblOrdenes[[#This Row],[fecha_inicio]]="","",INDEX(lista_dias,WEEKDAY(tblOrdenes[[#This Row],[fecha_inicio]],2)))</f>
        <v/>
      </c>
      <c r="T799" s="3">
        <f>IF(tblOrdenes[[#This Row],[tipo_ot]]="","",_xlfn.XLOOKUP(tblOrdenes[[#This Row],[tipo_ot]],tblTiposOT[codigo],tblTiposOT[clasificacion],"sin_clasificar"))</f>
        <v/>
      </c>
      <c r="U799" s="3">
        <f>IF(tblOrdenes[[#This Row],[centro_costo]]="","",_xlfn.XLOOKUP(tblOrdenes[[#This Row],[centro_costo]],tblCECO[codigo],tblCECO[linea],"(sin catálogo)"))</f>
        <v/>
      </c>
      <c r="V799" s="3">
        <f>IF(tblOrdenes[[#This Row],[centro_costo]]="","",_xlfn.XLOOKUP(tblOrdenes[[#This Row],[centro_costo]],tblCECO[codigo],tblCECO[area],"(sin catálogo)"))</f>
        <v/>
      </c>
      <c r="W799" s="3">
        <f>IF(tblOrdenes[[#This Row],[centro_costo]]="","",_xlfn.XLOOKUP(tblOrdenes[[#This Row],[centro_costo]],tblCECO[codigo],tblCECO[coordinador],"(sin catálogo)"))</f>
        <v/>
      </c>
      <c r="X799" s="3">
        <f>IF(tblOrdenes[[#This Row],[puesto_trabajo]]="","",_xlfn.XLOOKUP(tblOrdenes[[#This Row],[puesto_trabajo]],tblPuestos[codigo],tblPuestos[especialidad],"(sin catálogo)"))</f>
        <v/>
      </c>
      <c r="Y799" s="3">
        <f>IF(tblOrdenes[[#This Row],[cod_actividad]]="","",_xlfn.XLOOKUP(tblOrdenes[[#This Row],[cod_actividad]],tblActividades[codigo],tblActividades[descripcion],"(sin catálogo)"))</f>
        <v/>
      </c>
      <c r="Z799" s="12">
        <f>IF(tblOrdenes[[#This Row],[fecha_inicio]]="","",TODAY()-tblOrdenes[[#This Row],[fecha_inicio]])</f>
        <v/>
      </c>
      <c r="AA799" s="3">
        <f>IF(tblOrdenes[[#This Row],[backlog_dias]]="","",IF(tblOrdenes[[#This Row],[backlog_dias]]&lt;0,"FUTURO",IF(tblOrdenes[[#This Row],[backlog_dias]]&gt;p_dias_backlog_max,"BACKLOG","MES CORRIENTE")))</f>
        <v/>
      </c>
      <c r="AB799" s="3">
        <f>IF(tblOrdenes[[#This Row],[backlog_dias]]="",FALSE,AND(tblOrdenes[[#This Row],[backlog_dias]]&gt;p_dias_backlog_min,tblOrdenes[[#This Row],[backlog_dias]]&lt;=p_dias_backlog_max))</f>
        <v/>
      </c>
      <c r="AC799" s="6" t="n"/>
      <c r="AD7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7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7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799" s="10">
        <f>IF(tblOrdenes[[#This Row],[orden]]="","",_xlfn.XLOOKUP(tblOrdenes[[#This Row],[id_operacion]],tblEjecucion[id_operacion],tblEjecucion[precio],0))</f>
        <v/>
      </c>
      <c r="AH799" s="10">
        <f>IF(tblOrdenes[[#This Row],[orden]]="","",MAX(0,_xlfn.XLOOKUP(tblOrdenes[[#This Row],[id_operacion]],tblEjecucion[id_operacion],tblEjecucion[costo_plan_total],0)-tblOrdenes[[#This Row],[costo_servicio]]))</f>
        <v/>
      </c>
      <c r="AI799" s="10">
        <f>IF(tblOrdenes[[#This Row],[orden]]="","",tblOrdenes[[#This Row],[costo_servicio]]+tblOrdenes[[#This Row],[costo_materiales]])</f>
        <v/>
      </c>
      <c r="AJ799" s="6" t="n"/>
      <c r="AK799" s="6" t="n"/>
      <c r="AL799" s="6" t="n"/>
      <c r="AM799" s="3">
        <f>IF(tblOrdenes[[#This Row],[link_checklist]]="","",HYPERLINK(p_ruta_base_checklists&amp;tblOrdenes[[#This Row],[link_checklist]],"abrir"))</f>
        <v/>
      </c>
      <c r="AN799" s="6" t="n"/>
      <c r="AO799" s="3">
        <f>IF(tblOrdenes[[#This Row],[orden]]="","",tblOrdenes[[#This Row],[orden]]&amp;IF(tblOrdenes[[#This Row],[operacion]]="","0010",tblOrdenes[[#This Row],[operacion]]))</f>
        <v/>
      </c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11" t="n"/>
      <c r="K800" s="3" t="n"/>
      <c r="L800" s="10" t="n"/>
      <c r="M800" s="6" t="n"/>
      <c r="N8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00" s="3">
        <f>IF(tblOrdenes[[#This Row],[fecha_inicio]]="","",YEAR(tblOrdenes[[#This Row],[fecha_inicio]]))</f>
        <v/>
      </c>
      <c r="R800" s="3">
        <f>IF(tblOrdenes[[#This Row],[fecha_inicio]]="","",MONTH(tblOrdenes[[#This Row],[fecha_inicio]]))</f>
        <v/>
      </c>
      <c r="S800" s="3">
        <f>IF(tblOrdenes[[#This Row],[fecha_inicio]]="","",INDEX(lista_dias,WEEKDAY(tblOrdenes[[#This Row],[fecha_inicio]],2)))</f>
        <v/>
      </c>
      <c r="T800" s="3">
        <f>IF(tblOrdenes[[#This Row],[tipo_ot]]="","",_xlfn.XLOOKUP(tblOrdenes[[#This Row],[tipo_ot]],tblTiposOT[codigo],tblTiposOT[clasificacion],"sin_clasificar"))</f>
        <v/>
      </c>
      <c r="U800" s="3">
        <f>IF(tblOrdenes[[#This Row],[centro_costo]]="","",_xlfn.XLOOKUP(tblOrdenes[[#This Row],[centro_costo]],tblCECO[codigo],tblCECO[linea],"(sin catálogo)"))</f>
        <v/>
      </c>
      <c r="V800" s="3">
        <f>IF(tblOrdenes[[#This Row],[centro_costo]]="","",_xlfn.XLOOKUP(tblOrdenes[[#This Row],[centro_costo]],tblCECO[codigo],tblCECO[area],"(sin catálogo)"))</f>
        <v/>
      </c>
      <c r="W800" s="3">
        <f>IF(tblOrdenes[[#This Row],[centro_costo]]="","",_xlfn.XLOOKUP(tblOrdenes[[#This Row],[centro_costo]],tblCECO[codigo],tblCECO[coordinador],"(sin catálogo)"))</f>
        <v/>
      </c>
      <c r="X800" s="3">
        <f>IF(tblOrdenes[[#This Row],[puesto_trabajo]]="","",_xlfn.XLOOKUP(tblOrdenes[[#This Row],[puesto_trabajo]],tblPuestos[codigo],tblPuestos[especialidad],"(sin catálogo)"))</f>
        <v/>
      </c>
      <c r="Y800" s="3">
        <f>IF(tblOrdenes[[#This Row],[cod_actividad]]="","",_xlfn.XLOOKUP(tblOrdenes[[#This Row],[cod_actividad]],tblActividades[codigo],tblActividades[descripcion],"(sin catálogo)"))</f>
        <v/>
      </c>
      <c r="Z800" s="12">
        <f>IF(tblOrdenes[[#This Row],[fecha_inicio]]="","",TODAY()-tblOrdenes[[#This Row],[fecha_inicio]])</f>
        <v/>
      </c>
      <c r="AA800" s="3">
        <f>IF(tblOrdenes[[#This Row],[backlog_dias]]="","",IF(tblOrdenes[[#This Row],[backlog_dias]]&lt;0,"FUTURO",IF(tblOrdenes[[#This Row],[backlog_dias]]&gt;p_dias_backlog_max,"BACKLOG","MES CORRIENTE")))</f>
        <v/>
      </c>
      <c r="AB800" s="3">
        <f>IF(tblOrdenes[[#This Row],[backlog_dias]]="",FALSE,AND(tblOrdenes[[#This Row],[backlog_dias]]&gt;p_dias_backlog_min,tblOrdenes[[#This Row],[backlog_dias]]&lt;=p_dias_backlog_max))</f>
        <v/>
      </c>
      <c r="AC800" s="6" t="n"/>
      <c r="AD8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00" s="10">
        <f>IF(tblOrdenes[[#This Row],[orden]]="","",_xlfn.XLOOKUP(tblOrdenes[[#This Row],[id_operacion]],tblEjecucion[id_operacion],tblEjecucion[precio],0))</f>
        <v/>
      </c>
      <c r="AH800" s="10">
        <f>IF(tblOrdenes[[#This Row],[orden]]="","",MAX(0,_xlfn.XLOOKUP(tblOrdenes[[#This Row],[id_operacion]],tblEjecucion[id_operacion],tblEjecucion[costo_plan_total],0)-tblOrdenes[[#This Row],[costo_servicio]]))</f>
        <v/>
      </c>
      <c r="AI800" s="10">
        <f>IF(tblOrdenes[[#This Row],[orden]]="","",tblOrdenes[[#This Row],[costo_servicio]]+tblOrdenes[[#This Row],[costo_materiales]])</f>
        <v/>
      </c>
      <c r="AJ800" s="6" t="n"/>
      <c r="AK800" s="6" t="n"/>
      <c r="AL800" s="6" t="n"/>
      <c r="AM800" s="3">
        <f>IF(tblOrdenes[[#This Row],[link_checklist]]="","",HYPERLINK(p_ruta_base_checklists&amp;tblOrdenes[[#This Row],[link_checklist]],"abrir"))</f>
        <v/>
      </c>
      <c r="AN800" s="6" t="n"/>
      <c r="AO800" s="3">
        <f>IF(tblOrdenes[[#This Row],[orden]]="","",tblOrdenes[[#This Row],[orden]]&amp;IF(tblOrdenes[[#This Row],[operacion]]="","0010",tblOrdenes[[#This Row],[operacion]]))</f>
        <v/>
      </c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11" t="n"/>
      <c r="K801" s="3" t="n"/>
      <c r="L801" s="10" t="n"/>
      <c r="M801" s="6" t="n"/>
      <c r="N8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01" s="3">
        <f>IF(tblOrdenes[[#This Row],[fecha_inicio]]="","",YEAR(tblOrdenes[[#This Row],[fecha_inicio]]))</f>
        <v/>
      </c>
      <c r="R801" s="3">
        <f>IF(tblOrdenes[[#This Row],[fecha_inicio]]="","",MONTH(tblOrdenes[[#This Row],[fecha_inicio]]))</f>
        <v/>
      </c>
      <c r="S801" s="3">
        <f>IF(tblOrdenes[[#This Row],[fecha_inicio]]="","",INDEX(lista_dias,WEEKDAY(tblOrdenes[[#This Row],[fecha_inicio]],2)))</f>
        <v/>
      </c>
      <c r="T801" s="3">
        <f>IF(tblOrdenes[[#This Row],[tipo_ot]]="","",_xlfn.XLOOKUP(tblOrdenes[[#This Row],[tipo_ot]],tblTiposOT[codigo],tblTiposOT[clasificacion],"sin_clasificar"))</f>
        <v/>
      </c>
      <c r="U801" s="3">
        <f>IF(tblOrdenes[[#This Row],[centro_costo]]="","",_xlfn.XLOOKUP(tblOrdenes[[#This Row],[centro_costo]],tblCECO[codigo],tblCECO[linea],"(sin catálogo)"))</f>
        <v/>
      </c>
      <c r="V801" s="3">
        <f>IF(tblOrdenes[[#This Row],[centro_costo]]="","",_xlfn.XLOOKUP(tblOrdenes[[#This Row],[centro_costo]],tblCECO[codigo],tblCECO[area],"(sin catálogo)"))</f>
        <v/>
      </c>
      <c r="W801" s="3">
        <f>IF(tblOrdenes[[#This Row],[centro_costo]]="","",_xlfn.XLOOKUP(tblOrdenes[[#This Row],[centro_costo]],tblCECO[codigo],tblCECO[coordinador],"(sin catálogo)"))</f>
        <v/>
      </c>
      <c r="X801" s="3">
        <f>IF(tblOrdenes[[#This Row],[puesto_trabajo]]="","",_xlfn.XLOOKUP(tblOrdenes[[#This Row],[puesto_trabajo]],tblPuestos[codigo],tblPuestos[especialidad],"(sin catálogo)"))</f>
        <v/>
      </c>
      <c r="Y801" s="3">
        <f>IF(tblOrdenes[[#This Row],[cod_actividad]]="","",_xlfn.XLOOKUP(tblOrdenes[[#This Row],[cod_actividad]],tblActividades[codigo],tblActividades[descripcion],"(sin catálogo)"))</f>
        <v/>
      </c>
      <c r="Z801" s="12">
        <f>IF(tblOrdenes[[#This Row],[fecha_inicio]]="","",TODAY()-tblOrdenes[[#This Row],[fecha_inicio]])</f>
        <v/>
      </c>
      <c r="AA801" s="3">
        <f>IF(tblOrdenes[[#This Row],[backlog_dias]]="","",IF(tblOrdenes[[#This Row],[backlog_dias]]&lt;0,"FUTURO",IF(tblOrdenes[[#This Row],[backlog_dias]]&gt;p_dias_backlog_max,"BACKLOG","MES CORRIENTE")))</f>
        <v/>
      </c>
      <c r="AB801" s="3">
        <f>IF(tblOrdenes[[#This Row],[backlog_dias]]="",FALSE,AND(tblOrdenes[[#This Row],[backlog_dias]]&gt;p_dias_backlog_min,tblOrdenes[[#This Row],[backlog_dias]]&lt;=p_dias_backlog_max))</f>
        <v/>
      </c>
      <c r="AC801" s="6" t="n"/>
      <c r="AD8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01" s="10">
        <f>IF(tblOrdenes[[#This Row],[orden]]="","",_xlfn.XLOOKUP(tblOrdenes[[#This Row],[id_operacion]],tblEjecucion[id_operacion],tblEjecucion[precio],0))</f>
        <v/>
      </c>
      <c r="AH801" s="10">
        <f>IF(tblOrdenes[[#This Row],[orden]]="","",MAX(0,_xlfn.XLOOKUP(tblOrdenes[[#This Row],[id_operacion]],tblEjecucion[id_operacion],tblEjecucion[costo_plan_total],0)-tblOrdenes[[#This Row],[costo_servicio]]))</f>
        <v/>
      </c>
      <c r="AI801" s="10">
        <f>IF(tblOrdenes[[#This Row],[orden]]="","",tblOrdenes[[#This Row],[costo_servicio]]+tblOrdenes[[#This Row],[costo_materiales]])</f>
        <v/>
      </c>
      <c r="AJ801" s="6" t="n"/>
      <c r="AK801" s="6" t="n"/>
      <c r="AL801" s="6" t="n"/>
      <c r="AM801" s="3">
        <f>IF(tblOrdenes[[#This Row],[link_checklist]]="","",HYPERLINK(p_ruta_base_checklists&amp;tblOrdenes[[#This Row],[link_checklist]],"abrir"))</f>
        <v/>
      </c>
      <c r="AN801" s="6" t="n"/>
      <c r="AO801" s="3">
        <f>IF(tblOrdenes[[#This Row],[orden]]="","",tblOrdenes[[#This Row],[orden]]&amp;IF(tblOrdenes[[#This Row],[operacion]]="","0010",tblOrdenes[[#This Row],[operacion]]))</f>
        <v/>
      </c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11" t="n"/>
      <c r="K802" s="3" t="n"/>
      <c r="L802" s="10" t="n"/>
      <c r="M802" s="6" t="n"/>
      <c r="N8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02" s="3">
        <f>IF(tblOrdenes[[#This Row],[fecha_inicio]]="","",YEAR(tblOrdenes[[#This Row],[fecha_inicio]]))</f>
        <v/>
      </c>
      <c r="R802" s="3">
        <f>IF(tblOrdenes[[#This Row],[fecha_inicio]]="","",MONTH(tblOrdenes[[#This Row],[fecha_inicio]]))</f>
        <v/>
      </c>
      <c r="S802" s="3">
        <f>IF(tblOrdenes[[#This Row],[fecha_inicio]]="","",INDEX(lista_dias,WEEKDAY(tblOrdenes[[#This Row],[fecha_inicio]],2)))</f>
        <v/>
      </c>
      <c r="T802" s="3">
        <f>IF(tblOrdenes[[#This Row],[tipo_ot]]="","",_xlfn.XLOOKUP(tblOrdenes[[#This Row],[tipo_ot]],tblTiposOT[codigo],tblTiposOT[clasificacion],"sin_clasificar"))</f>
        <v/>
      </c>
      <c r="U802" s="3">
        <f>IF(tblOrdenes[[#This Row],[centro_costo]]="","",_xlfn.XLOOKUP(tblOrdenes[[#This Row],[centro_costo]],tblCECO[codigo],tblCECO[linea],"(sin catálogo)"))</f>
        <v/>
      </c>
      <c r="V802" s="3">
        <f>IF(tblOrdenes[[#This Row],[centro_costo]]="","",_xlfn.XLOOKUP(tblOrdenes[[#This Row],[centro_costo]],tblCECO[codigo],tblCECO[area],"(sin catálogo)"))</f>
        <v/>
      </c>
      <c r="W802" s="3">
        <f>IF(tblOrdenes[[#This Row],[centro_costo]]="","",_xlfn.XLOOKUP(tblOrdenes[[#This Row],[centro_costo]],tblCECO[codigo],tblCECO[coordinador],"(sin catálogo)"))</f>
        <v/>
      </c>
      <c r="X802" s="3">
        <f>IF(tblOrdenes[[#This Row],[puesto_trabajo]]="","",_xlfn.XLOOKUP(tblOrdenes[[#This Row],[puesto_trabajo]],tblPuestos[codigo],tblPuestos[especialidad],"(sin catálogo)"))</f>
        <v/>
      </c>
      <c r="Y802" s="3">
        <f>IF(tblOrdenes[[#This Row],[cod_actividad]]="","",_xlfn.XLOOKUP(tblOrdenes[[#This Row],[cod_actividad]],tblActividades[codigo],tblActividades[descripcion],"(sin catálogo)"))</f>
        <v/>
      </c>
      <c r="Z802" s="12">
        <f>IF(tblOrdenes[[#This Row],[fecha_inicio]]="","",TODAY()-tblOrdenes[[#This Row],[fecha_inicio]])</f>
        <v/>
      </c>
      <c r="AA802" s="3">
        <f>IF(tblOrdenes[[#This Row],[backlog_dias]]="","",IF(tblOrdenes[[#This Row],[backlog_dias]]&lt;0,"FUTURO",IF(tblOrdenes[[#This Row],[backlog_dias]]&gt;p_dias_backlog_max,"BACKLOG","MES CORRIENTE")))</f>
        <v/>
      </c>
      <c r="AB802" s="3">
        <f>IF(tblOrdenes[[#This Row],[backlog_dias]]="",FALSE,AND(tblOrdenes[[#This Row],[backlog_dias]]&gt;p_dias_backlog_min,tblOrdenes[[#This Row],[backlog_dias]]&lt;=p_dias_backlog_max))</f>
        <v/>
      </c>
      <c r="AC802" s="6" t="n"/>
      <c r="AD8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02" s="10">
        <f>IF(tblOrdenes[[#This Row],[orden]]="","",_xlfn.XLOOKUP(tblOrdenes[[#This Row],[id_operacion]],tblEjecucion[id_operacion],tblEjecucion[precio],0))</f>
        <v/>
      </c>
      <c r="AH802" s="10">
        <f>IF(tblOrdenes[[#This Row],[orden]]="","",MAX(0,_xlfn.XLOOKUP(tblOrdenes[[#This Row],[id_operacion]],tblEjecucion[id_operacion],tblEjecucion[costo_plan_total],0)-tblOrdenes[[#This Row],[costo_servicio]]))</f>
        <v/>
      </c>
      <c r="AI802" s="10">
        <f>IF(tblOrdenes[[#This Row],[orden]]="","",tblOrdenes[[#This Row],[costo_servicio]]+tblOrdenes[[#This Row],[costo_materiales]])</f>
        <v/>
      </c>
      <c r="AJ802" s="6" t="n"/>
      <c r="AK802" s="6" t="n"/>
      <c r="AL802" s="6" t="n"/>
      <c r="AM802" s="3">
        <f>IF(tblOrdenes[[#This Row],[link_checklist]]="","",HYPERLINK(p_ruta_base_checklists&amp;tblOrdenes[[#This Row],[link_checklist]],"abrir"))</f>
        <v/>
      </c>
      <c r="AN802" s="6" t="n"/>
      <c r="AO802" s="3">
        <f>IF(tblOrdenes[[#This Row],[orden]]="","",tblOrdenes[[#This Row],[orden]]&amp;IF(tblOrdenes[[#This Row],[operacion]]="","0010",tblOrdenes[[#This Row],[operacion]]))</f>
        <v/>
      </c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11" t="n"/>
      <c r="K803" s="3" t="n"/>
      <c r="L803" s="10" t="n"/>
      <c r="M803" s="6" t="n"/>
      <c r="N8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03" s="3">
        <f>IF(tblOrdenes[[#This Row],[fecha_inicio]]="","",YEAR(tblOrdenes[[#This Row],[fecha_inicio]]))</f>
        <v/>
      </c>
      <c r="R803" s="3">
        <f>IF(tblOrdenes[[#This Row],[fecha_inicio]]="","",MONTH(tblOrdenes[[#This Row],[fecha_inicio]]))</f>
        <v/>
      </c>
      <c r="S803" s="3">
        <f>IF(tblOrdenes[[#This Row],[fecha_inicio]]="","",INDEX(lista_dias,WEEKDAY(tblOrdenes[[#This Row],[fecha_inicio]],2)))</f>
        <v/>
      </c>
      <c r="T803" s="3">
        <f>IF(tblOrdenes[[#This Row],[tipo_ot]]="","",_xlfn.XLOOKUP(tblOrdenes[[#This Row],[tipo_ot]],tblTiposOT[codigo],tblTiposOT[clasificacion],"sin_clasificar"))</f>
        <v/>
      </c>
      <c r="U803" s="3">
        <f>IF(tblOrdenes[[#This Row],[centro_costo]]="","",_xlfn.XLOOKUP(tblOrdenes[[#This Row],[centro_costo]],tblCECO[codigo],tblCECO[linea],"(sin catálogo)"))</f>
        <v/>
      </c>
      <c r="V803" s="3">
        <f>IF(tblOrdenes[[#This Row],[centro_costo]]="","",_xlfn.XLOOKUP(tblOrdenes[[#This Row],[centro_costo]],tblCECO[codigo],tblCECO[area],"(sin catálogo)"))</f>
        <v/>
      </c>
      <c r="W803" s="3">
        <f>IF(tblOrdenes[[#This Row],[centro_costo]]="","",_xlfn.XLOOKUP(tblOrdenes[[#This Row],[centro_costo]],tblCECO[codigo],tblCECO[coordinador],"(sin catálogo)"))</f>
        <v/>
      </c>
      <c r="X803" s="3">
        <f>IF(tblOrdenes[[#This Row],[puesto_trabajo]]="","",_xlfn.XLOOKUP(tblOrdenes[[#This Row],[puesto_trabajo]],tblPuestos[codigo],tblPuestos[especialidad],"(sin catálogo)"))</f>
        <v/>
      </c>
      <c r="Y803" s="3">
        <f>IF(tblOrdenes[[#This Row],[cod_actividad]]="","",_xlfn.XLOOKUP(tblOrdenes[[#This Row],[cod_actividad]],tblActividades[codigo],tblActividades[descripcion],"(sin catálogo)"))</f>
        <v/>
      </c>
      <c r="Z803" s="12">
        <f>IF(tblOrdenes[[#This Row],[fecha_inicio]]="","",TODAY()-tblOrdenes[[#This Row],[fecha_inicio]])</f>
        <v/>
      </c>
      <c r="AA803" s="3">
        <f>IF(tblOrdenes[[#This Row],[backlog_dias]]="","",IF(tblOrdenes[[#This Row],[backlog_dias]]&lt;0,"FUTURO",IF(tblOrdenes[[#This Row],[backlog_dias]]&gt;p_dias_backlog_max,"BACKLOG","MES CORRIENTE")))</f>
        <v/>
      </c>
      <c r="AB803" s="3">
        <f>IF(tblOrdenes[[#This Row],[backlog_dias]]="",FALSE,AND(tblOrdenes[[#This Row],[backlog_dias]]&gt;p_dias_backlog_min,tblOrdenes[[#This Row],[backlog_dias]]&lt;=p_dias_backlog_max))</f>
        <v/>
      </c>
      <c r="AC803" s="6" t="n"/>
      <c r="AD8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03" s="10">
        <f>IF(tblOrdenes[[#This Row],[orden]]="","",_xlfn.XLOOKUP(tblOrdenes[[#This Row],[id_operacion]],tblEjecucion[id_operacion],tblEjecucion[precio],0))</f>
        <v/>
      </c>
      <c r="AH803" s="10">
        <f>IF(tblOrdenes[[#This Row],[orden]]="","",MAX(0,_xlfn.XLOOKUP(tblOrdenes[[#This Row],[id_operacion]],tblEjecucion[id_operacion],tblEjecucion[costo_plan_total],0)-tblOrdenes[[#This Row],[costo_servicio]]))</f>
        <v/>
      </c>
      <c r="AI803" s="10">
        <f>IF(tblOrdenes[[#This Row],[orden]]="","",tblOrdenes[[#This Row],[costo_servicio]]+tblOrdenes[[#This Row],[costo_materiales]])</f>
        <v/>
      </c>
      <c r="AJ803" s="6" t="n"/>
      <c r="AK803" s="6" t="n"/>
      <c r="AL803" s="6" t="n"/>
      <c r="AM803" s="3">
        <f>IF(tblOrdenes[[#This Row],[link_checklist]]="","",HYPERLINK(p_ruta_base_checklists&amp;tblOrdenes[[#This Row],[link_checklist]],"abrir"))</f>
        <v/>
      </c>
      <c r="AN803" s="6" t="n"/>
      <c r="AO803" s="3">
        <f>IF(tblOrdenes[[#This Row],[orden]]="","",tblOrdenes[[#This Row],[orden]]&amp;IF(tblOrdenes[[#This Row],[operacion]]="","0010",tblOrdenes[[#This Row],[operacion]]))</f>
        <v/>
      </c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11" t="n"/>
      <c r="K804" s="3" t="n"/>
      <c r="L804" s="10" t="n"/>
      <c r="M804" s="6" t="n"/>
      <c r="N80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0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0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04" s="3">
        <f>IF(tblOrdenes[[#This Row],[fecha_inicio]]="","",YEAR(tblOrdenes[[#This Row],[fecha_inicio]]))</f>
        <v/>
      </c>
      <c r="R804" s="3">
        <f>IF(tblOrdenes[[#This Row],[fecha_inicio]]="","",MONTH(tblOrdenes[[#This Row],[fecha_inicio]]))</f>
        <v/>
      </c>
      <c r="S804" s="3">
        <f>IF(tblOrdenes[[#This Row],[fecha_inicio]]="","",INDEX(lista_dias,WEEKDAY(tblOrdenes[[#This Row],[fecha_inicio]],2)))</f>
        <v/>
      </c>
      <c r="T804" s="3">
        <f>IF(tblOrdenes[[#This Row],[tipo_ot]]="","",_xlfn.XLOOKUP(tblOrdenes[[#This Row],[tipo_ot]],tblTiposOT[codigo],tblTiposOT[clasificacion],"sin_clasificar"))</f>
        <v/>
      </c>
      <c r="U804" s="3">
        <f>IF(tblOrdenes[[#This Row],[centro_costo]]="","",_xlfn.XLOOKUP(tblOrdenes[[#This Row],[centro_costo]],tblCECO[codigo],tblCECO[linea],"(sin catálogo)"))</f>
        <v/>
      </c>
      <c r="V804" s="3">
        <f>IF(tblOrdenes[[#This Row],[centro_costo]]="","",_xlfn.XLOOKUP(tblOrdenes[[#This Row],[centro_costo]],tblCECO[codigo],tblCECO[area],"(sin catálogo)"))</f>
        <v/>
      </c>
      <c r="W804" s="3">
        <f>IF(tblOrdenes[[#This Row],[centro_costo]]="","",_xlfn.XLOOKUP(tblOrdenes[[#This Row],[centro_costo]],tblCECO[codigo],tblCECO[coordinador],"(sin catálogo)"))</f>
        <v/>
      </c>
      <c r="X804" s="3">
        <f>IF(tblOrdenes[[#This Row],[puesto_trabajo]]="","",_xlfn.XLOOKUP(tblOrdenes[[#This Row],[puesto_trabajo]],tblPuestos[codigo],tblPuestos[especialidad],"(sin catálogo)"))</f>
        <v/>
      </c>
      <c r="Y804" s="3">
        <f>IF(tblOrdenes[[#This Row],[cod_actividad]]="","",_xlfn.XLOOKUP(tblOrdenes[[#This Row],[cod_actividad]],tblActividades[codigo],tblActividades[descripcion],"(sin catálogo)"))</f>
        <v/>
      </c>
      <c r="Z804" s="12">
        <f>IF(tblOrdenes[[#This Row],[fecha_inicio]]="","",TODAY()-tblOrdenes[[#This Row],[fecha_inicio]])</f>
        <v/>
      </c>
      <c r="AA804" s="3">
        <f>IF(tblOrdenes[[#This Row],[backlog_dias]]="","",IF(tblOrdenes[[#This Row],[backlog_dias]]&lt;0,"FUTURO",IF(tblOrdenes[[#This Row],[backlog_dias]]&gt;p_dias_backlog_max,"BACKLOG","MES CORRIENTE")))</f>
        <v/>
      </c>
      <c r="AB804" s="3">
        <f>IF(tblOrdenes[[#This Row],[backlog_dias]]="",FALSE,AND(tblOrdenes[[#This Row],[backlog_dias]]&gt;p_dias_backlog_min,tblOrdenes[[#This Row],[backlog_dias]]&lt;=p_dias_backlog_max))</f>
        <v/>
      </c>
      <c r="AC804" s="6" t="n"/>
      <c r="AD80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0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0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04" s="10">
        <f>IF(tblOrdenes[[#This Row],[orden]]="","",_xlfn.XLOOKUP(tblOrdenes[[#This Row],[id_operacion]],tblEjecucion[id_operacion],tblEjecucion[precio],0))</f>
        <v/>
      </c>
      <c r="AH804" s="10">
        <f>IF(tblOrdenes[[#This Row],[orden]]="","",MAX(0,_xlfn.XLOOKUP(tblOrdenes[[#This Row],[id_operacion]],tblEjecucion[id_operacion],tblEjecucion[costo_plan_total],0)-tblOrdenes[[#This Row],[costo_servicio]]))</f>
        <v/>
      </c>
      <c r="AI804" s="10">
        <f>IF(tblOrdenes[[#This Row],[orden]]="","",tblOrdenes[[#This Row],[costo_servicio]]+tblOrdenes[[#This Row],[costo_materiales]])</f>
        <v/>
      </c>
      <c r="AJ804" s="6" t="n"/>
      <c r="AK804" s="6" t="n"/>
      <c r="AL804" s="6" t="n"/>
      <c r="AM804" s="3">
        <f>IF(tblOrdenes[[#This Row],[link_checklist]]="","",HYPERLINK(p_ruta_base_checklists&amp;tblOrdenes[[#This Row],[link_checklist]],"abrir"))</f>
        <v/>
      </c>
      <c r="AN804" s="6" t="n"/>
      <c r="AO804" s="3">
        <f>IF(tblOrdenes[[#This Row],[orden]]="","",tblOrdenes[[#This Row],[orden]]&amp;IF(tblOrdenes[[#This Row],[operacion]]="","0010",tblOrdenes[[#This Row],[operacion]]))</f>
        <v/>
      </c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11" t="n"/>
      <c r="K805" s="3" t="n"/>
      <c r="L805" s="10" t="n"/>
      <c r="M805" s="6" t="n"/>
      <c r="N80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0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0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05" s="3">
        <f>IF(tblOrdenes[[#This Row],[fecha_inicio]]="","",YEAR(tblOrdenes[[#This Row],[fecha_inicio]]))</f>
        <v/>
      </c>
      <c r="R805" s="3">
        <f>IF(tblOrdenes[[#This Row],[fecha_inicio]]="","",MONTH(tblOrdenes[[#This Row],[fecha_inicio]]))</f>
        <v/>
      </c>
      <c r="S805" s="3">
        <f>IF(tblOrdenes[[#This Row],[fecha_inicio]]="","",INDEX(lista_dias,WEEKDAY(tblOrdenes[[#This Row],[fecha_inicio]],2)))</f>
        <v/>
      </c>
      <c r="T805" s="3">
        <f>IF(tblOrdenes[[#This Row],[tipo_ot]]="","",_xlfn.XLOOKUP(tblOrdenes[[#This Row],[tipo_ot]],tblTiposOT[codigo],tblTiposOT[clasificacion],"sin_clasificar"))</f>
        <v/>
      </c>
      <c r="U805" s="3">
        <f>IF(tblOrdenes[[#This Row],[centro_costo]]="","",_xlfn.XLOOKUP(tblOrdenes[[#This Row],[centro_costo]],tblCECO[codigo],tblCECO[linea],"(sin catálogo)"))</f>
        <v/>
      </c>
      <c r="V805" s="3">
        <f>IF(tblOrdenes[[#This Row],[centro_costo]]="","",_xlfn.XLOOKUP(tblOrdenes[[#This Row],[centro_costo]],tblCECO[codigo],tblCECO[area],"(sin catálogo)"))</f>
        <v/>
      </c>
      <c r="W805" s="3">
        <f>IF(tblOrdenes[[#This Row],[centro_costo]]="","",_xlfn.XLOOKUP(tblOrdenes[[#This Row],[centro_costo]],tblCECO[codigo],tblCECO[coordinador],"(sin catálogo)"))</f>
        <v/>
      </c>
      <c r="X805" s="3">
        <f>IF(tblOrdenes[[#This Row],[puesto_trabajo]]="","",_xlfn.XLOOKUP(tblOrdenes[[#This Row],[puesto_trabajo]],tblPuestos[codigo],tblPuestos[especialidad],"(sin catálogo)"))</f>
        <v/>
      </c>
      <c r="Y805" s="3">
        <f>IF(tblOrdenes[[#This Row],[cod_actividad]]="","",_xlfn.XLOOKUP(tblOrdenes[[#This Row],[cod_actividad]],tblActividades[codigo],tblActividades[descripcion],"(sin catálogo)"))</f>
        <v/>
      </c>
      <c r="Z805" s="12">
        <f>IF(tblOrdenes[[#This Row],[fecha_inicio]]="","",TODAY()-tblOrdenes[[#This Row],[fecha_inicio]])</f>
        <v/>
      </c>
      <c r="AA805" s="3">
        <f>IF(tblOrdenes[[#This Row],[backlog_dias]]="","",IF(tblOrdenes[[#This Row],[backlog_dias]]&lt;0,"FUTURO",IF(tblOrdenes[[#This Row],[backlog_dias]]&gt;p_dias_backlog_max,"BACKLOG","MES CORRIENTE")))</f>
        <v/>
      </c>
      <c r="AB805" s="3">
        <f>IF(tblOrdenes[[#This Row],[backlog_dias]]="",FALSE,AND(tblOrdenes[[#This Row],[backlog_dias]]&gt;p_dias_backlog_min,tblOrdenes[[#This Row],[backlog_dias]]&lt;=p_dias_backlog_max))</f>
        <v/>
      </c>
      <c r="AC805" s="6" t="n"/>
      <c r="AD80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0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0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05" s="10">
        <f>IF(tblOrdenes[[#This Row],[orden]]="","",_xlfn.XLOOKUP(tblOrdenes[[#This Row],[id_operacion]],tblEjecucion[id_operacion],tblEjecucion[precio],0))</f>
        <v/>
      </c>
      <c r="AH805" s="10">
        <f>IF(tblOrdenes[[#This Row],[orden]]="","",MAX(0,_xlfn.XLOOKUP(tblOrdenes[[#This Row],[id_operacion]],tblEjecucion[id_operacion],tblEjecucion[costo_plan_total],0)-tblOrdenes[[#This Row],[costo_servicio]]))</f>
        <v/>
      </c>
      <c r="AI805" s="10">
        <f>IF(tblOrdenes[[#This Row],[orden]]="","",tblOrdenes[[#This Row],[costo_servicio]]+tblOrdenes[[#This Row],[costo_materiales]])</f>
        <v/>
      </c>
      <c r="AJ805" s="6" t="n"/>
      <c r="AK805" s="6" t="n"/>
      <c r="AL805" s="6" t="n"/>
      <c r="AM805" s="3">
        <f>IF(tblOrdenes[[#This Row],[link_checklist]]="","",HYPERLINK(p_ruta_base_checklists&amp;tblOrdenes[[#This Row],[link_checklist]],"abrir"))</f>
        <v/>
      </c>
      <c r="AN805" s="6" t="n"/>
      <c r="AO805" s="3">
        <f>IF(tblOrdenes[[#This Row],[orden]]="","",tblOrdenes[[#This Row],[orden]]&amp;IF(tblOrdenes[[#This Row],[operacion]]="","0010",tblOrdenes[[#This Row],[operacion]]))</f>
        <v/>
      </c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11" t="n"/>
      <c r="K806" s="3" t="n"/>
      <c r="L806" s="10" t="n"/>
      <c r="M806" s="6" t="n"/>
      <c r="N80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0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0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06" s="3">
        <f>IF(tblOrdenes[[#This Row],[fecha_inicio]]="","",YEAR(tblOrdenes[[#This Row],[fecha_inicio]]))</f>
        <v/>
      </c>
      <c r="R806" s="3">
        <f>IF(tblOrdenes[[#This Row],[fecha_inicio]]="","",MONTH(tblOrdenes[[#This Row],[fecha_inicio]]))</f>
        <v/>
      </c>
      <c r="S806" s="3">
        <f>IF(tblOrdenes[[#This Row],[fecha_inicio]]="","",INDEX(lista_dias,WEEKDAY(tblOrdenes[[#This Row],[fecha_inicio]],2)))</f>
        <v/>
      </c>
      <c r="T806" s="3">
        <f>IF(tblOrdenes[[#This Row],[tipo_ot]]="","",_xlfn.XLOOKUP(tblOrdenes[[#This Row],[tipo_ot]],tblTiposOT[codigo],tblTiposOT[clasificacion],"sin_clasificar"))</f>
        <v/>
      </c>
      <c r="U806" s="3">
        <f>IF(tblOrdenes[[#This Row],[centro_costo]]="","",_xlfn.XLOOKUP(tblOrdenes[[#This Row],[centro_costo]],tblCECO[codigo],tblCECO[linea],"(sin catálogo)"))</f>
        <v/>
      </c>
      <c r="V806" s="3">
        <f>IF(tblOrdenes[[#This Row],[centro_costo]]="","",_xlfn.XLOOKUP(tblOrdenes[[#This Row],[centro_costo]],tblCECO[codigo],tblCECO[area],"(sin catálogo)"))</f>
        <v/>
      </c>
      <c r="W806" s="3">
        <f>IF(tblOrdenes[[#This Row],[centro_costo]]="","",_xlfn.XLOOKUP(tblOrdenes[[#This Row],[centro_costo]],tblCECO[codigo],tblCECO[coordinador],"(sin catálogo)"))</f>
        <v/>
      </c>
      <c r="X806" s="3">
        <f>IF(tblOrdenes[[#This Row],[puesto_trabajo]]="","",_xlfn.XLOOKUP(tblOrdenes[[#This Row],[puesto_trabajo]],tblPuestos[codigo],tblPuestos[especialidad],"(sin catálogo)"))</f>
        <v/>
      </c>
      <c r="Y806" s="3">
        <f>IF(tblOrdenes[[#This Row],[cod_actividad]]="","",_xlfn.XLOOKUP(tblOrdenes[[#This Row],[cod_actividad]],tblActividades[codigo],tblActividades[descripcion],"(sin catálogo)"))</f>
        <v/>
      </c>
      <c r="Z806" s="12">
        <f>IF(tblOrdenes[[#This Row],[fecha_inicio]]="","",TODAY()-tblOrdenes[[#This Row],[fecha_inicio]])</f>
        <v/>
      </c>
      <c r="AA806" s="3">
        <f>IF(tblOrdenes[[#This Row],[backlog_dias]]="","",IF(tblOrdenes[[#This Row],[backlog_dias]]&lt;0,"FUTURO",IF(tblOrdenes[[#This Row],[backlog_dias]]&gt;p_dias_backlog_max,"BACKLOG","MES CORRIENTE")))</f>
        <v/>
      </c>
      <c r="AB806" s="3">
        <f>IF(tblOrdenes[[#This Row],[backlog_dias]]="",FALSE,AND(tblOrdenes[[#This Row],[backlog_dias]]&gt;p_dias_backlog_min,tblOrdenes[[#This Row],[backlog_dias]]&lt;=p_dias_backlog_max))</f>
        <v/>
      </c>
      <c r="AC806" s="6" t="n"/>
      <c r="AD80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0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0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06" s="10">
        <f>IF(tblOrdenes[[#This Row],[orden]]="","",_xlfn.XLOOKUP(tblOrdenes[[#This Row],[id_operacion]],tblEjecucion[id_operacion],tblEjecucion[precio],0))</f>
        <v/>
      </c>
      <c r="AH806" s="10">
        <f>IF(tblOrdenes[[#This Row],[orden]]="","",MAX(0,_xlfn.XLOOKUP(tblOrdenes[[#This Row],[id_operacion]],tblEjecucion[id_operacion],tblEjecucion[costo_plan_total],0)-tblOrdenes[[#This Row],[costo_servicio]]))</f>
        <v/>
      </c>
      <c r="AI806" s="10">
        <f>IF(tblOrdenes[[#This Row],[orden]]="","",tblOrdenes[[#This Row],[costo_servicio]]+tblOrdenes[[#This Row],[costo_materiales]])</f>
        <v/>
      </c>
      <c r="AJ806" s="6" t="n"/>
      <c r="AK806" s="6" t="n"/>
      <c r="AL806" s="6" t="n"/>
      <c r="AM806" s="3">
        <f>IF(tblOrdenes[[#This Row],[link_checklist]]="","",HYPERLINK(p_ruta_base_checklists&amp;tblOrdenes[[#This Row],[link_checklist]],"abrir"))</f>
        <v/>
      </c>
      <c r="AN806" s="6" t="n"/>
      <c r="AO806" s="3">
        <f>IF(tblOrdenes[[#This Row],[orden]]="","",tblOrdenes[[#This Row],[orden]]&amp;IF(tblOrdenes[[#This Row],[operacion]]="","0010",tblOrdenes[[#This Row],[operacion]]))</f>
        <v/>
      </c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11" t="n"/>
      <c r="K807" s="3" t="n"/>
      <c r="L807" s="10" t="n"/>
      <c r="M807" s="6" t="n"/>
      <c r="N80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0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0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07" s="3">
        <f>IF(tblOrdenes[[#This Row],[fecha_inicio]]="","",YEAR(tblOrdenes[[#This Row],[fecha_inicio]]))</f>
        <v/>
      </c>
      <c r="R807" s="3">
        <f>IF(tblOrdenes[[#This Row],[fecha_inicio]]="","",MONTH(tblOrdenes[[#This Row],[fecha_inicio]]))</f>
        <v/>
      </c>
      <c r="S807" s="3">
        <f>IF(tblOrdenes[[#This Row],[fecha_inicio]]="","",INDEX(lista_dias,WEEKDAY(tblOrdenes[[#This Row],[fecha_inicio]],2)))</f>
        <v/>
      </c>
      <c r="T807" s="3">
        <f>IF(tblOrdenes[[#This Row],[tipo_ot]]="","",_xlfn.XLOOKUP(tblOrdenes[[#This Row],[tipo_ot]],tblTiposOT[codigo],tblTiposOT[clasificacion],"sin_clasificar"))</f>
        <v/>
      </c>
      <c r="U807" s="3">
        <f>IF(tblOrdenes[[#This Row],[centro_costo]]="","",_xlfn.XLOOKUP(tblOrdenes[[#This Row],[centro_costo]],tblCECO[codigo],tblCECO[linea],"(sin catálogo)"))</f>
        <v/>
      </c>
      <c r="V807" s="3">
        <f>IF(tblOrdenes[[#This Row],[centro_costo]]="","",_xlfn.XLOOKUP(tblOrdenes[[#This Row],[centro_costo]],tblCECO[codigo],tblCECO[area],"(sin catálogo)"))</f>
        <v/>
      </c>
      <c r="W807" s="3">
        <f>IF(tblOrdenes[[#This Row],[centro_costo]]="","",_xlfn.XLOOKUP(tblOrdenes[[#This Row],[centro_costo]],tblCECO[codigo],tblCECO[coordinador],"(sin catálogo)"))</f>
        <v/>
      </c>
      <c r="X807" s="3">
        <f>IF(tblOrdenes[[#This Row],[puesto_trabajo]]="","",_xlfn.XLOOKUP(tblOrdenes[[#This Row],[puesto_trabajo]],tblPuestos[codigo],tblPuestos[especialidad],"(sin catálogo)"))</f>
        <v/>
      </c>
      <c r="Y807" s="3">
        <f>IF(tblOrdenes[[#This Row],[cod_actividad]]="","",_xlfn.XLOOKUP(tblOrdenes[[#This Row],[cod_actividad]],tblActividades[codigo],tblActividades[descripcion],"(sin catálogo)"))</f>
        <v/>
      </c>
      <c r="Z807" s="12">
        <f>IF(tblOrdenes[[#This Row],[fecha_inicio]]="","",TODAY()-tblOrdenes[[#This Row],[fecha_inicio]])</f>
        <v/>
      </c>
      <c r="AA807" s="3">
        <f>IF(tblOrdenes[[#This Row],[backlog_dias]]="","",IF(tblOrdenes[[#This Row],[backlog_dias]]&lt;0,"FUTURO",IF(tblOrdenes[[#This Row],[backlog_dias]]&gt;p_dias_backlog_max,"BACKLOG","MES CORRIENTE")))</f>
        <v/>
      </c>
      <c r="AB807" s="3">
        <f>IF(tblOrdenes[[#This Row],[backlog_dias]]="",FALSE,AND(tblOrdenes[[#This Row],[backlog_dias]]&gt;p_dias_backlog_min,tblOrdenes[[#This Row],[backlog_dias]]&lt;=p_dias_backlog_max))</f>
        <v/>
      </c>
      <c r="AC807" s="6" t="n"/>
      <c r="AD80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0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0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07" s="10">
        <f>IF(tblOrdenes[[#This Row],[orden]]="","",_xlfn.XLOOKUP(tblOrdenes[[#This Row],[id_operacion]],tblEjecucion[id_operacion],tblEjecucion[precio],0))</f>
        <v/>
      </c>
      <c r="AH807" s="10">
        <f>IF(tblOrdenes[[#This Row],[orden]]="","",MAX(0,_xlfn.XLOOKUP(tblOrdenes[[#This Row],[id_operacion]],tblEjecucion[id_operacion],tblEjecucion[costo_plan_total],0)-tblOrdenes[[#This Row],[costo_servicio]]))</f>
        <v/>
      </c>
      <c r="AI807" s="10">
        <f>IF(tblOrdenes[[#This Row],[orden]]="","",tblOrdenes[[#This Row],[costo_servicio]]+tblOrdenes[[#This Row],[costo_materiales]])</f>
        <v/>
      </c>
      <c r="AJ807" s="6" t="n"/>
      <c r="AK807" s="6" t="n"/>
      <c r="AL807" s="6" t="n"/>
      <c r="AM807" s="3">
        <f>IF(tblOrdenes[[#This Row],[link_checklist]]="","",HYPERLINK(p_ruta_base_checklists&amp;tblOrdenes[[#This Row],[link_checklist]],"abrir"))</f>
        <v/>
      </c>
      <c r="AN807" s="6" t="n"/>
      <c r="AO807" s="3">
        <f>IF(tblOrdenes[[#This Row],[orden]]="","",tblOrdenes[[#This Row],[orden]]&amp;IF(tblOrdenes[[#This Row],[operacion]]="","0010",tblOrdenes[[#This Row],[operacion]]))</f>
        <v/>
      </c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11" t="n"/>
      <c r="K808" s="3" t="n"/>
      <c r="L808" s="10" t="n"/>
      <c r="M808" s="6" t="n"/>
      <c r="N80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0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0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08" s="3">
        <f>IF(tblOrdenes[[#This Row],[fecha_inicio]]="","",YEAR(tblOrdenes[[#This Row],[fecha_inicio]]))</f>
        <v/>
      </c>
      <c r="R808" s="3">
        <f>IF(tblOrdenes[[#This Row],[fecha_inicio]]="","",MONTH(tblOrdenes[[#This Row],[fecha_inicio]]))</f>
        <v/>
      </c>
      <c r="S808" s="3">
        <f>IF(tblOrdenes[[#This Row],[fecha_inicio]]="","",INDEX(lista_dias,WEEKDAY(tblOrdenes[[#This Row],[fecha_inicio]],2)))</f>
        <v/>
      </c>
      <c r="T808" s="3">
        <f>IF(tblOrdenes[[#This Row],[tipo_ot]]="","",_xlfn.XLOOKUP(tblOrdenes[[#This Row],[tipo_ot]],tblTiposOT[codigo],tblTiposOT[clasificacion],"sin_clasificar"))</f>
        <v/>
      </c>
      <c r="U808" s="3">
        <f>IF(tblOrdenes[[#This Row],[centro_costo]]="","",_xlfn.XLOOKUP(tblOrdenes[[#This Row],[centro_costo]],tblCECO[codigo],tblCECO[linea],"(sin catálogo)"))</f>
        <v/>
      </c>
      <c r="V808" s="3">
        <f>IF(tblOrdenes[[#This Row],[centro_costo]]="","",_xlfn.XLOOKUP(tblOrdenes[[#This Row],[centro_costo]],tblCECO[codigo],tblCECO[area],"(sin catálogo)"))</f>
        <v/>
      </c>
      <c r="W808" s="3">
        <f>IF(tblOrdenes[[#This Row],[centro_costo]]="","",_xlfn.XLOOKUP(tblOrdenes[[#This Row],[centro_costo]],tblCECO[codigo],tblCECO[coordinador],"(sin catálogo)"))</f>
        <v/>
      </c>
      <c r="X808" s="3">
        <f>IF(tblOrdenes[[#This Row],[puesto_trabajo]]="","",_xlfn.XLOOKUP(tblOrdenes[[#This Row],[puesto_trabajo]],tblPuestos[codigo],tblPuestos[especialidad],"(sin catálogo)"))</f>
        <v/>
      </c>
      <c r="Y808" s="3">
        <f>IF(tblOrdenes[[#This Row],[cod_actividad]]="","",_xlfn.XLOOKUP(tblOrdenes[[#This Row],[cod_actividad]],tblActividades[codigo],tblActividades[descripcion],"(sin catálogo)"))</f>
        <v/>
      </c>
      <c r="Z808" s="12">
        <f>IF(tblOrdenes[[#This Row],[fecha_inicio]]="","",TODAY()-tblOrdenes[[#This Row],[fecha_inicio]])</f>
        <v/>
      </c>
      <c r="AA808" s="3">
        <f>IF(tblOrdenes[[#This Row],[backlog_dias]]="","",IF(tblOrdenes[[#This Row],[backlog_dias]]&lt;0,"FUTURO",IF(tblOrdenes[[#This Row],[backlog_dias]]&gt;p_dias_backlog_max,"BACKLOG","MES CORRIENTE")))</f>
        <v/>
      </c>
      <c r="AB808" s="3">
        <f>IF(tblOrdenes[[#This Row],[backlog_dias]]="",FALSE,AND(tblOrdenes[[#This Row],[backlog_dias]]&gt;p_dias_backlog_min,tblOrdenes[[#This Row],[backlog_dias]]&lt;=p_dias_backlog_max))</f>
        <v/>
      </c>
      <c r="AC808" s="6" t="n"/>
      <c r="AD80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0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0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08" s="10">
        <f>IF(tblOrdenes[[#This Row],[orden]]="","",_xlfn.XLOOKUP(tblOrdenes[[#This Row],[id_operacion]],tblEjecucion[id_operacion],tblEjecucion[precio],0))</f>
        <v/>
      </c>
      <c r="AH808" s="10">
        <f>IF(tblOrdenes[[#This Row],[orden]]="","",MAX(0,_xlfn.XLOOKUP(tblOrdenes[[#This Row],[id_operacion]],tblEjecucion[id_operacion],tblEjecucion[costo_plan_total],0)-tblOrdenes[[#This Row],[costo_servicio]]))</f>
        <v/>
      </c>
      <c r="AI808" s="10">
        <f>IF(tblOrdenes[[#This Row],[orden]]="","",tblOrdenes[[#This Row],[costo_servicio]]+tblOrdenes[[#This Row],[costo_materiales]])</f>
        <v/>
      </c>
      <c r="AJ808" s="6" t="n"/>
      <c r="AK808" s="6" t="n"/>
      <c r="AL808" s="6" t="n"/>
      <c r="AM808" s="3">
        <f>IF(tblOrdenes[[#This Row],[link_checklist]]="","",HYPERLINK(p_ruta_base_checklists&amp;tblOrdenes[[#This Row],[link_checklist]],"abrir"))</f>
        <v/>
      </c>
      <c r="AN808" s="6" t="n"/>
      <c r="AO808" s="3">
        <f>IF(tblOrdenes[[#This Row],[orden]]="","",tblOrdenes[[#This Row],[orden]]&amp;IF(tblOrdenes[[#This Row],[operacion]]="","0010",tblOrdenes[[#This Row],[operacion]]))</f>
        <v/>
      </c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11" t="n"/>
      <c r="K809" s="3" t="n"/>
      <c r="L809" s="10" t="n"/>
      <c r="M809" s="6" t="n"/>
      <c r="N80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0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0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09" s="3">
        <f>IF(tblOrdenes[[#This Row],[fecha_inicio]]="","",YEAR(tblOrdenes[[#This Row],[fecha_inicio]]))</f>
        <v/>
      </c>
      <c r="R809" s="3">
        <f>IF(tblOrdenes[[#This Row],[fecha_inicio]]="","",MONTH(tblOrdenes[[#This Row],[fecha_inicio]]))</f>
        <v/>
      </c>
      <c r="S809" s="3">
        <f>IF(tblOrdenes[[#This Row],[fecha_inicio]]="","",INDEX(lista_dias,WEEKDAY(tblOrdenes[[#This Row],[fecha_inicio]],2)))</f>
        <v/>
      </c>
      <c r="T809" s="3">
        <f>IF(tblOrdenes[[#This Row],[tipo_ot]]="","",_xlfn.XLOOKUP(tblOrdenes[[#This Row],[tipo_ot]],tblTiposOT[codigo],tblTiposOT[clasificacion],"sin_clasificar"))</f>
        <v/>
      </c>
      <c r="U809" s="3">
        <f>IF(tblOrdenes[[#This Row],[centro_costo]]="","",_xlfn.XLOOKUP(tblOrdenes[[#This Row],[centro_costo]],tblCECO[codigo],tblCECO[linea],"(sin catálogo)"))</f>
        <v/>
      </c>
      <c r="V809" s="3">
        <f>IF(tblOrdenes[[#This Row],[centro_costo]]="","",_xlfn.XLOOKUP(tblOrdenes[[#This Row],[centro_costo]],tblCECO[codigo],tblCECO[area],"(sin catálogo)"))</f>
        <v/>
      </c>
      <c r="W809" s="3">
        <f>IF(tblOrdenes[[#This Row],[centro_costo]]="","",_xlfn.XLOOKUP(tblOrdenes[[#This Row],[centro_costo]],tblCECO[codigo],tblCECO[coordinador],"(sin catálogo)"))</f>
        <v/>
      </c>
      <c r="X809" s="3">
        <f>IF(tblOrdenes[[#This Row],[puesto_trabajo]]="","",_xlfn.XLOOKUP(tblOrdenes[[#This Row],[puesto_trabajo]],tblPuestos[codigo],tblPuestos[especialidad],"(sin catálogo)"))</f>
        <v/>
      </c>
      <c r="Y809" s="3">
        <f>IF(tblOrdenes[[#This Row],[cod_actividad]]="","",_xlfn.XLOOKUP(tblOrdenes[[#This Row],[cod_actividad]],tblActividades[codigo],tblActividades[descripcion],"(sin catálogo)"))</f>
        <v/>
      </c>
      <c r="Z809" s="12">
        <f>IF(tblOrdenes[[#This Row],[fecha_inicio]]="","",TODAY()-tblOrdenes[[#This Row],[fecha_inicio]])</f>
        <v/>
      </c>
      <c r="AA809" s="3">
        <f>IF(tblOrdenes[[#This Row],[backlog_dias]]="","",IF(tblOrdenes[[#This Row],[backlog_dias]]&lt;0,"FUTURO",IF(tblOrdenes[[#This Row],[backlog_dias]]&gt;p_dias_backlog_max,"BACKLOG","MES CORRIENTE")))</f>
        <v/>
      </c>
      <c r="AB809" s="3">
        <f>IF(tblOrdenes[[#This Row],[backlog_dias]]="",FALSE,AND(tblOrdenes[[#This Row],[backlog_dias]]&gt;p_dias_backlog_min,tblOrdenes[[#This Row],[backlog_dias]]&lt;=p_dias_backlog_max))</f>
        <v/>
      </c>
      <c r="AC809" s="6" t="n"/>
      <c r="AD80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0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0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09" s="10">
        <f>IF(tblOrdenes[[#This Row],[orden]]="","",_xlfn.XLOOKUP(tblOrdenes[[#This Row],[id_operacion]],tblEjecucion[id_operacion],tblEjecucion[precio],0))</f>
        <v/>
      </c>
      <c r="AH809" s="10">
        <f>IF(tblOrdenes[[#This Row],[orden]]="","",MAX(0,_xlfn.XLOOKUP(tblOrdenes[[#This Row],[id_operacion]],tblEjecucion[id_operacion],tblEjecucion[costo_plan_total],0)-tblOrdenes[[#This Row],[costo_servicio]]))</f>
        <v/>
      </c>
      <c r="AI809" s="10">
        <f>IF(tblOrdenes[[#This Row],[orden]]="","",tblOrdenes[[#This Row],[costo_servicio]]+tblOrdenes[[#This Row],[costo_materiales]])</f>
        <v/>
      </c>
      <c r="AJ809" s="6" t="n"/>
      <c r="AK809" s="6" t="n"/>
      <c r="AL809" s="6" t="n"/>
      <c r="AM809" s="3">
        <f>IF(tblOrdenes[[#This Row],[link_checklist]]="","",HYPERLINK(p_ruta_base_checklists&amp;tblOrdenes[[#This Row],[link_checklist]],"abrir"))</f>
        <v/>
      </c>
      <c r="AN809" s="6" t="n"/>
      <c r="AO809" s="3">
        <f>IF(tblOrdenes[[#This Row],[orden]]="","",tblOrdenes[[#This Row],[orden]]&amp;IF(tblOrdenes[[#This Row],[operacion]]="","0010",tblOrdenes[[#This Row],[operacion]]))</f>
        <v/>
      </c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11" t="n"/>
      <c r="K810" s="3" t="n"/>
      <c r="L810" s="10" t="n"/>
      <c r="M810" s="6" t="n"/>
      <c r="N8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10" s="3">
        <f>IF(tblOrdenes[[#This Row],[fecha_inicio]]="","",YEAR(tblOrdenes[[#This Row],[fecha_inicio]]))</f>
        <v/>
      </c>
      <c r="R810" s="3">
        <f>IF(tblOrdenes[[#This Row],[fecha_inicio]]="","",MONTH(tblOrdenes[[#This Row],[fecha_inicio]]))</f>
        <v/>
      </c>
      <c r="S810" s="3">
        <f>IF(tblOrdenes[[#This Row],[fecha_inicio]]="","",INDEX(lista_dias,WEEKDAY(tblOrdenes[[#This Row],[fecha_inicio]],2)))</f>
        <v/>
      </c>
      <c r="T810" s="3">
        <f>IF(tblOrdenes[[#This Row],[tipo_ot]]="","",_xlfn.XLOOKUP(tblOrdenes[[#This Row],[tipo_ot]],tblTiposOT[codigo],tblTiposOT[clasificacion],"sin_clasificar"))</f>
        <v/>
      </c>
      <c r="U810" s="3">
        <f>IF(tblOrdenes[[#This Row],[centro_costo]]="","",_xlfn.XLOOKUP(tblOrdenes[[#This Row],[centro_costo]],tblCECO[codigo],tblCECO[linea],"(sin catálogo)"))</f>
        <v/>
      </c>
      <c r="V810" s="3">
        <f>IF(tblOrdenes[[#This Row],[centro_costo]]="","",_xlfn.XLOOKUP(tblOrdenes[[#This Row],[centro_costo]],tblCECO[codigo],tblCECO[area],"(sin catálogo)"))</f>
        <v/>
      </c>
      <c r="W810" s="3">
        <f>IF(tblOrdenes[[#This Row],[centro_costo]]="","",_xlfn.XLOOKUP(tblOrdenes[[#This Row],[centro_costo]],tblCECO[codigo],tblCECO[coordinador],"(sin catálogo)"))</f>
        <v/>
      </c>
      <c r="X810" s="3">
        <f>IF(tblOrdenes[[#This Row],[puesto_trabajo]]="","",_xlfn.XLOOKUP(tblOrdenes[[#This Row],[puesto_trabajo]],tblPuestos[codigo],tblPuestos[especialidad],"(sin catálogo)"))</f>
        <v/>
      </c>
      <c r="Y810" s="3">
        <f>IF(tblOrdenes[[#This Row],[cod_actividad]]="","",_xlfn.XLOOKUP(tblOrdenes[[#This Row],[cod_actividad]],tblActividades[codigo],tblActividades[descripcion],"(sin catálogo)"))</f>
        <v/>
      </c>
      <c r="Z810" s="12">
        <f>IF(tblOrdenes[[#This Row],[fecha_inicio]]="","",TODAY()-tblOrdenes[[#This Row],[fecha_inicio]])</f>
        <v/>
      </c>
      <c r="AA810" s="3">
        <f>IF(tblOrdenes[[#This Row],[backlog_dias]]="","",IF(tblOrdenes[[#This Row],[backlog_dias]]&lt;0,"FUTURO",IF(tblOrdenes[[#This Row],[backlog_dias]]&gt;p_dias_backlog_max,"BACKLOG","MES CORRIENTE")))</f>
        <v/>
      </c>
      <c r="AB810" s="3">
        <f>IF(tblOrdenes[[#This Row],[backlog_dias]]="",FALSE,AND(tblOrdenes[[#This Row],[backlog_dias]]&gt;p_dias_backlog_min,tblOrdenes[[#This Row],[backlog_dias]]&lt;=p_dias_backlog_max))</f>
        <v/>
      </c>
      <c r="AC810" s="6" t="n"/>
      <c r="AD8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10" s="10">
        <f>IF(tblOrdenes[[#This Row],[orden]]="","",_xlfn.XLOOKUP(tblOrdenes[[#This Row],[id_operacion]],tblEjecucion[id_operacion],tblEjecucion[precio],0))</f>
        <v/>
      </c>
      <c r="AH810" s="10">
        <f>IF(tblOrdenes[[#This Row],[orden]]="","",MAX(0,_xlfn.XLOOKUP(tblOrdenes[[#This Row],[id_operacion]],tblEjecucion[id_operacion],tblEjecucion[costo_plan_total],0)-tblOrdenes[[#This Row],[costo_servicio]]))</f>
        <v/>
      </c>
      <c r="AI810" s="10">
        <f>IF(tblOrdenes[[#This Row],[orden]]="","",tblOrdenes[[#This Row],[costo_servicio]]+tblOrdenes[[#This Row],[costo_materiales]])</f>
        <v/>
      </c>
      <c r="AJ810" s="6" t="n"/>
      <c r="AK810" s="6" t="n"/>
      <c r="AL810" s="6" t="n"/>
      <c r="AM810" s="3">
        <f>IF(tblOrdenes[[#This Row],[link_checklist]]="","",HYPERLINK(p_ruta_base_checklists&amp;tblOrdenes[[#This Row],[link_checklist]],"abrir"))</f>
        <v/>
      </c>
      <c r="AN810" s="6" t="n"/>
      <c r="AO810" s="3">
        <f>IF(tblOrdenes[[#This Row],[orden]]="","",tblOrdenes[[#This Row],[orden]]&amp;IF(tblOrdenes[[#This Row],[operacion]]="","0010",tblOrdenes[[#This Row],[operacion]]))</f>
        <v/>
      </c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11" t="n"/>
      <c r="K811" s="3" t="n"/>
      <c r="L811" s="10" t="n"/>
      <c r="M811" s="6" t="n"/>
      <c r="N8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11" s="3">
        <f>IF(tblOrdenes[[#This Row],[fecha_inicio]]="","",YEAR(tblOrdenes[[#This Row],[fecha_inicio]]))</f>
        <v/>
      </c>
      <c r="R811" s="3">
        <f>IF(tblOrdenes[[#This Row],[fecha_inicio]]="","",MONTH(tblOrdenes[[#This Row],[fecha_inicio]]))</f>
        <v/>
      </c>
      <c r="S811" s="3">
        <f>IF(tblOrdenes[[#This Row],[fecha_inicio]]="","",INDEX(lista_dias,WEEKDAY(tblOrdenes[[#This Row],[fecha_inicio]],2)))</f>
        <v/>
      </c>
      <c r="T811" s="3">
        <f>IF(tblOrdenes[[#This Row],[tipo_ot]]="","",_xlfn.XLOOKUP(tblOrdenes[[#This Row],[tipo_ot]],tblTiposOT[codigo],tblTiposOT[clasificacion],"sin_clasificar"))</f>
        <v/>
      </c>
      <c r="U811" s="3">
        <f>IF(tblOrdenes[[#This Row],[centro_costo]]="","",_xlfn.XLOOKUP(tblOrdenes[[#This Row],[centro_costo]],tblCECO[codigo],tblCECO[linea],"(sin catálogo)"))</f>
        <v/>
      </c>
      <c r="V811" s="3">
        <f>IF(tblOrdenes[[#This Row],[centro_costo]]="","",_xlfn.XLOOKUP(tblOrdenes[[#This Row],[centro_costo]],tblCECO[codigo],tblCECO[area],"(sin catálogo)"))</f>
        <v/>
      </c>
      <c r="W811" s="3">
        <f>IF(tblOrdenes[[#This Row],[centro_costo]]="","",_xlfn.XLOOKUP(tblOrdenes[[#This Row],[centro_costo]],tblCECO[codigo],tblCECO[coordinador],"(sin catálogo)"))</f>
        <v/>
      </c>
      <c r="X811" s="3">
        <f>IF(tblOrdenes[[#This Row],[puesto_trabajo]]="","",_xlfn.XLOOKUP(tblOrdenes[[#This Row],[puesto_trabajo]],tblPuestos[codigo],tblPuestos[especialidad],"(sin catálogo)"))</f>
        <v/>
      </c>
      <c r="Y811" s="3">
        <f>IF(tblOrdenes[[#This Row],[cod_actividad]]="","",_xlfn.XLOOKUP(tblOrdenes[[#This Row],[cod_actividad]],tblActividades[codigo],tblActividades[descripcion],"(sin catálogo)"))</f>
        <v/>
      </c>
      <c r="Z811" s="12">
        <f>IF(tblOrdenes[[#This Row],[fecha_inicio]]="","",TODAY()-tblOrdenes[[#This Row],[fecha_inicio]])</f>
        <v/>
      </c>
      <c r="AA811" s="3">
        <f>IF(tblOrdenes[[#This Row],[backlog_dias]]="","",IF(tblOrdenes[[#This Row],[backlog_dias]]&lt;0,"FUTURO",IF(tblOrdenes[[#This Row],[backlog_dias]]&gt;p_dias_backlog_max,"BACKLOG","MES CORRIENTE")))</f>
        <v/>
      </c>
      <c r="AB811" s="3">
        <f>IF(tblOrdenes[[#This Row],[backlog_dias]]="",FALSE,AND(tblOrdenes[[#This Row],[backlog_dias]]&gt;p_dias_backlog_min,tblOrdenes[[#This Row],[backlog_dias]]&lt;=p_dias_backlog_max))</f>
        <v/>
      </c>
      <c r="AC811" s="6" t="n"/>
      <c r="AD8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11" s="10">
        <f>IF(tblOrdenes[[#This Row],[orden]]="","",_xlfn.XLOOKUP(tblOrdenes[[#This Row],[id_operacion]],tblEjecucion[id_operacion],tblEjecucion[precio],0))</f>
        <v/>
      </c>
      <c r="AH811" s="10">
        <f>IF(tblOrdenes[[#This Row],[orden]]="","",MAX(0,_xlfn.XLOOKUP(tblOrdenes[[#This Row],[id_operacion]],tblEjecucion[id_operacion],tblEjecucion[costo_plan_total],0)-tblOrdenes[[#This Row],[costo_servicio]]))</f>
        <v/>
      </c>
      <c r="AI811" s="10">
        <f>IF(tblOrdenes[[#This Row],[orden]]="","",tblOrdenes[[#This Row],[costo_servicio]]+tblOrdenes[[#This Row],[costo_materiales]])</f>
        <v/>
      </c>
      <c r="AJ811" s="6" t="n"/>
      <c r="AK811" s="6" t="n"/>
      <c r="AL811" s="6" t="n"/>
      <c r="AM811" s="3">
        <f>IF(tblOrdenes[[#This Row],[link_checklist]]="","",HYPERLINK(p_ruta_base_checklists&amp;tblOrdenes[[#This Row],[link_checklist]],"abrir"))</f>
        <v/>
      </c>
      <c r="AN811" s="6" t="n"/>
      <c r="AO811" s="3">
        <f>IF(tblOrdenes[[#This Row],[orden]]="","",tblOrdenes[[#This Row],[orden]]&amp;IF(tblOrdenes[[#This Row],[operacion]]="","0010",tblOrdenes[[#This Row],[operacion]]))</f>
        <v/>
      </c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11" t="n"/>
      <c r="K812" s="3" t="n"/>
      <c r="L812" s="10" t="n"/>
      <c r="M812" s="6" t="n"/>
      <c r="N8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12" s="3">
        <f>IF(tblOrdenes[[#This Row],[fecha_inicio]]="","",YEAR(tblOrdenes[[#This Row],[fecha_inicio]]))</f>
        <v/>
      </c>
      <c r="R812" s="3">
        <f>IF(tblOrdenes[[#This Row],[fecha_inicio]]="","",MONTH(tblOrdenes[[#This Row],[fecha_inicio]]))</f>
        <v/>
      </c>
      <c r="S812" s="3">
        <f>IF(tblOrdenes[[#This Row],[fecha_inicio]]="","",INDEX(lista_dias,WEEKDAY(tblOrdenes[[#This Row],[fecha_inicio]],2)))</f>
        <v/>
      </c>
      <c r="T812" s="3">
        <f>IF(tblOrdenes[[#This Row],[tipo_ot]]="","",_xlfn.XLOOKUP(tblOrdenes[[#This Row],[tipo_ot]],tblTiposOT[codigo],tblTiposOT[clasificacion],"sin_clasificar"))</f>
        <v/>
      </c>
      <c r="U812" s="3">
        <f>IF(tblOrdenes[[#This Row],[centro_costo]]="","",_xlfn.XLOOKUP(tblOrdenes[[#This Row],[centro_costo]],tblCECO[codigo],tblCECO[linea],"(sin catálogo)"))</f>
        <v/>
      </c>
      <c r="V812" s="3">
        <f>IF(tblOrdenes[[#This Row],[centro_costo]]="","",_xlfn.XLOOKUP(tblOrdenes[[#This Row],[centro_costo]],tblCECO[codigo],tblCECO[area],"(sin catálogo)"))</f>
        <v/>
      </c>
      <c r="W812" s="3">
        <f>IF(tblOrdenes[[#This Row],[centro_costo]]="","",_xlfn.XLOOKUP(tblOrdenes[[#This Row],[centro_costo]],tblCECO[codigo],tblCECO[coordinador],"(sin catálogo)"))</f>
        <v/>
      </c>
      <c r="X812" s="3">
        <f>IF(tblOrdenes[[#This Row],[puesto_trabajo]]="","",_xlfn.XLOOKUP(tblOrdenes[[#This Row],[puesto_trabajo]],tblPuestos[codigo],tblPuestos[especialidad],"(sin catálogo)"))</f>
        <v/>
      </c>
      <c r="Y812" s="3">
        <f>IF(tblOrdenes[[#This Row],[cod_actividad]]="","",_xlfn.XLOOKUP(tblOrdenes[[#This Row],[cod_actividad]],tblActividades[codigo],tblActividades[descripcion],"(sin catálogo)"))</f>
        <v/>
      </c>
      <c r="Z812" s="12">
        <f>IF(tblOrdenes[[#This Row],[fecha_inicio]]="","",TODAY()-tblOrdenes[[#This Row],[fecha_inicio]])</f>
        <v/>
      </c>
      <c r="AA812" s="3">
        <f>IF(tblOrdenes[[#This Row],[backlog_dias]]="","",IF(tblOrdenes[[#This Row],[backlog_dias]]&lt;0,"FUTURO",IF(tblOrdenes[[#This Row],[backlog_dias]]&gt;p_dias_backlog_max,"BACKLOG","MES CORRIENTE")))</f>
        <v/>
      </c>
      <c r="AB812" s="3">
        <f>IF(tblOrdenes[[#This Row],[backlog_dias]]="",FALSE,AND(tblOrdenes[[#This Row],[backlog_dias]]&gt;p_dias_backlog_min,tblOrdenes[[#This Row],[backlog_dias]]&lt;=p_dias_backlog_max))</f>
        <v/>
      </c>
      <c r="AC812" s="6" t="n"/>
      <c r="AD8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12" s="10">
        <f>IF(tblOrdenes[[#This Row],[orden]]="","",_xlfn.XLOOKUP(tblOrdenes[[#This Row],[id_operacion]],tblEjecucion[id_operacion],tblEjecucion[precio],0))</f>
        <v/>
      </c>
      <c r="AH812" s="10">
        <f>IF(tblOrdenes[[#This Row],[orden]]="","",MAX(0,_xlfn.XLOOKUP(tblOrdenes[[#This Row],[id_operacion]],tblEjecucion[id_operacion],tblEjecucion[costo_plan_total],0)-tblOrdenes[[#This Row],[costo_servicio]]))</f>
        <v/>
      </c>
      <c r="AI812" s="10">
        <f>IF(tblOrdenes[[#This Row],[orden]]="","",tblOrdenes[[#This Row],[costo_servicio]]+tblOrdenes[[#This Row],[costo_materiales]])</f>
        <v/>
      </c>
      <c r="AJ812" s="6" t="n"/>
      <c r="AK812" s="6" t="n"/>
      <c r="AL812" s="6" t="n"/>
      <c r="AM812" s="3">
        <f>IF(tblOrdenes[[#This Row],[link_checklist]]="","",HYPERLINK(p_ruta_base_checklists&amp;tblOrdenes[[#This Row],[link_checklist]],"abrir"))</f>
        <v/>
      </c>
      <c r="AN812" s="6" t="n"/>
      <c r="AO812" s="3">
        <f>IF(tblOrdenes[[#This Row],[orden]]="","",tblOrdenes[[#This Row],[orden]]&amp;IF(tblOrdenes[[#This Row],[operacion]]="","0010",tblOrdenes[[#This Row],[operacion]]))</f>
        <v/>
      </c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11" t="n"/>
      <c r="K813" s="3" t="n"/>
      <c r="L813" s="10" t="n"/>
      <c r="M813" s="6" t="n"/>
      <c r="N8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13" s="3">
        <f>IF(tblOrdenes[[#This Row],[fecha_inicio]]="","",YEAR(tblOrdenes[[#This Row],[fecha_inicio]]))</f>
        <v/>
      </c>
      <c r="R813" s="3">
        <f>IF(tblOrdenes[[#This Row],[fecha_inicio]]="","",MONTH(tblOrdenes[[#This Row],[fecha_inicio]]))</f>
        <v/>
      </c>
      <c r="S813" s="3">
        <f>IF(tblOrdenes[[#This Row],[fecha_inicio]]="","",INDEX(lista_dias,WEEKDAY(tblOrdenes[[#This Row],[fecha_inicio]],2)))</f>
        <v/>
      </c>
      <c r="T813" s="3">
        <f>IF(tblOrdenes[[#This Row],[tipo_ot]]="","",_xlfn.XLOOKUP(tblOrdenes[[#This Row],[tipo_ot]],tblTiposOT[codigo],tblTiposOT[clasificacion],"sin_clasificar"))</f>
        <v/>
      </c>
      <c r="U813" s="3">
        <f>IF(tblOrdenes[[#This Row],[centro_costo]]="","",_xlfn.XLOOKUP(tblOrdenes[[#This Row],[centro_costo]],tblCECO[codigo],tblCECO[linea],"(sin catálogo)"))</f>
        <v/>
      </c>
      <c r="V813" s="3">
        <f>IF(tblOrdenes[[#This Row],[centro_costo]]="","",_xlfn.XLOOKUP(tblOrdenes[[#This Row],[centro_costo]],tblCECO[codigo],tblCECO[area],"(sin catálogo)"))</f>
        <v/>
      </c>
      <c r="W813" s="3">
        <f>IF(tblOrdenes[[#This Row],[centro_costo]]="","",_xlfn.XLOOKUP(tblOrdenes[[#This Row],[centro_costo]],tblCECO[codigo],tblCECO[coordinador],"(sin catálogo)"))</f>
        <v/>
      </c>
      <c r="X813" s="3">
        <f>IF(tblOrdenes[[#This Row],[puesto_trabajo]]="","",_xlfn.XLOOKUP(tblOrdenes[[#This Row],[puesto_trabajo]],tblPuestos[codigo],tblPuestos[especialidad],"(sin catálogo)"))</f>
        <v/>
      </c>
      <c r="Y813" s="3">
        <f>IF(tblOrdenes[[#This Row],[cod_actividad]]="","",_xlfn.XLOOKUP(tblOrdenes[[#This Row],[cod_actividad]],tblActividades[codigo],tblActividades[descripcion],"(sin catálogo)"))</f>
        <v/>
      </c>
      <c r="Z813" s="12">
        <f>IF(tblOrdenes[[#This Row],[fecha_inicio]]="","",TODAY()-tblOrdenes[[#This Row],[fecha_inicio]])</f>
        <v/>
      </c>
      <c r="AA813" s="3">
        <f>IF(tblOrdenes[[#This Row],[backlog_dias]]="","",IF(tblOrdenes[[#This Row],[backlog_dias]]&lt;0,"FUTURO",IF(tblOrdenes[[#This Row],[backlog_dias]]&gt;p_dias_backlog_max,"BACKLOG","MES CORRIENTE")))</f>
        <v/>
      </c>
      <c r="AB813" s="3">
        <f>IF(tblOrdenes[[#This Row],[backlog_dias]]="",FALSE,AND(tblOrdenes[[#This Row],[backlog_dias]]&gt;p_dias_backlog_min,tblOrdenes[[#This Row],[backlog_dias]]&lt;=p_dias_backlog_max))</f>
        <v/>
      </c>
      <c r="AC813" s="6" t="n"/>
      <c r="AD8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13" s="10">
        <f>IF(tblOrdenes[[#This Row],[orden]]="","",_xlfn.XLOOKUP(tblOrdenes[[#This Row],[id_operacion]],tblEjecucion[id_operacion],tblEjecucion[precio],0))</f>
        <v/>
      </c>
      <c r="AH813" s="10">
        <f>IF(tblOrdenes[[#This Row],[orden]]="","",MAX(0,_xlfn.XLOOKUP(tblOrdenes[[#This Row],[id_operacion]],tblEjecucion[id_operacion],tblEjecucion[costo_plan_total],0)-tblOrdenes[[#This Row],[costo_servicio]]))</f>
        <v/>
      </c>
      <c r="AI813" s="10">
        <f>IF(tblOrdenes[[#This Row],[orden]]="","",tblOrdenes[[#This Row],[costo_servicio]]+tblOrdenes[[#This Row],[costo_materiales]])</f>
        <v/>
      </c>
      <c r="AJ813" s="6" t="n"/>
      <c r="AK813" s="6" t="n"/>
      <c r="AL813" s="6" t="n"/>
      <c r="AM813" s="3">
        <f>IF(tblOrdenes[[#This Row],[link_checklist]]="","",HYPERLINK(p_ruta_base_checklists&amp;tblOrdenes[[#This Row],[link_checklist]],"abrir"))</f>
        <v/>
      </c>
      <c r="AN813" s="6" t="n"/>
      <c r="AO813" s="3">
        <f>IF(tblOrdenes[[#This Row],[orden]]="","",tblOrdenes[[#This Row],[orden]]&amp;IF(tblOrdenes[[#This Row],[operacion]]="","0010",tblOrdenes[[#This Row],[operacion]]))</f>
        <v/>
      </c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11" t="n"/>
      <c r="K814" s="3" t="n"/>
      <c r="L814" s="10" t="n"/>
      <c r="M814" s="6" t="n"/>
      <c r="N8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14" s="3">
        <f>IF(tblOrdenes[[#This Row],[fecha_inicio]]="","",YEAR(tblOrdenes[[#This Row],[fecha_inicio]]))</f>
        <v/>
      </c>
      <c r="R814" s="3">
        <f>IF(tblOrdenes[[#This Row],[fecha_inicio]]="","",MONTH(tblOrdenes[[#This Row],[fecha_inicio]]))</f>
        <v/>
      </c>
      <c r="S814" s="3">
        <f>IF(tblOrdenes[[#This Row],[fecha_inicio]]="","",INDEX(lista_dias,WEEKDAY(tblOrdenes[[#This Row],[fecha_inicio]],2)))</f>
        <v/>
      </c>
      <c r="T814" s="3">
        <f>IF(tblOrdenes[[#This Row],[tipo_ot]]="","",_xlfn.XLOOKUP(tblOrdenes[[#This Row],[tipo_ot]],tblTiposOT[codigo],tblTiposOT[clasificacion],"sin_clasificar"))</f>
        <v/>
      </c>
      <c r="U814" s="3">
        <f>IF(tblOrdenes[[#This Row],[centro_costo]]="","",_xlfn.XLOOKUP(tblOrdenes[[#This Row],[centro_costo]],tblCECO[codigo],tblCECO[linea],"(sin catálogo)"))</f>
        <v/>
      </c>
      <c r="V814" s="3">
        <f>IF(tblOrdenes[[#This Row],[centro_costo]]="","",_xlfn.XLOOKUP(tblOrdenes[[#This Row],[centro_costo]],tblCECO[codigo],tblCECO[area],"(sin catálogo)"))</f>
        <v/>
      </c>
      <c r="W814" s="3">
        <f>IF(tblOrdenes[[#This Row],[centro_costo]]="","",_xlfn.XLOOKUP(tblOrdenes[[#This Row],[centro_costo]],tblCECO[codigo],tblCECO[coordinador],"(sin catálogo)"))</f>
        <v/>
      </c>
      <c r="X814" s="3">
        <f>IF(tblOrdenes[[#This Row],[puesto_trabajo]]="","",_xlfn.XLOOKUP(tblOrdenes[[#This Row],[puesto_trabajo]],tblPuestos[codigo],tblPuestos[especialidad],"(sin catálogo)"))</f>
        <v/>
      </c>
      <c r="Y814" s="3">
        <f>IF(tblOrdenes[[#This Row],[cod_actividad]]="","",_xlfn.XLOOKUP(tblOrdenes[[#This Row],[cod_actividad]],tblActividades[codigo],tblActividades[descripcion],"(sin catálogo)"))</f>
        <v/>
      </c>
      <c r="Z814" s="12">
        <f>IF(tblOrdenes[[#This Row],[fecha_inicio]]="","",TODAY()-tblOrdenes[[#This Row],[fecha_inicio]])</f>
        <v/>
      </c>
      <c r="AA814" s="3">
        <f>IF(tblOrdenes[[#This Row],[backlog_dias]]="","",IF(tblOrdenes[[#This Row],[backlog_dias]]&lt;0,"FUTURO",IF(tblOrdenes[[#This Row],[backlog_dias]]&gt;p_dias_backlog_max,"BACKLOG","MES CORRIENTE")))</f>
        <v/>
      </c>
      <c r="AB814" s="3">
        <f>IF(tblOrdenes[[#This Row],[backlog_dias]]="",FALSE,AND(tblOrdenes[[#This Row],[backlog_dias]]&gt;p_dias_backlog_min,tblOrdenes[[#This Row],[backlog_dias]]&lt;=p_dias_backlog_max))</f>
        <v/>
      </c>
      <c r="AC814" s="6" t="n"/>
      <c r="AD8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14" s="10">
        <f>IF(tblOrdenes[[#This Row],[orden]]="","",_xlfn.XLOOKUP(tblOrdenes[[#This Row],[id_operacion]],tblEjecucion[id_operacion],tblEjecucion[precio],0))</f>
        <v/>
      </c>
      <c r="AH814" s="10">
        <f>IF(tblOrdenes[[#This Row],[orden]]="","",MAX(0,_xlfn.XLOOKUP(tblOrdenes[[#This Row],[id_operacion]],tblEjecucion[id_operacion],tblEjecucion[costo_plan_total],0)-tblOrdenes[[#This Row],[costo_servicio]]))</f>
        <v/>
      </c>
      <c r="AI814" s="10">
        <f>IF(tblOrdenes[[#This Row],[orden]]="","",tblOrdenes[[#This Row],[costo_servicio]]+tblOrdenes[[#This Row],[costo_materiales]])</f>
        <v/>
      </c>
      <c r="AJ814" s="6" t="n"/>
      <c r="AK814" s="6" t="n"/>
      <c r="AL814" s="6" t="n"/>
      <c r="AM814" s="3">
        <f>IF(tblOrdenes[[#This Row],[link_checklist]]="","",HYPERLINK(p_ruta_base_checklists&amp;tblOrdenes[[#This Row],[link_checklist]],"abrir"))</f>
        <v/>
      </c>
      <c r="AN814" s="6" t="n"/>
      <c r="AO814" s="3">
        <f>IF(tblOrdenes[[#This Row],[orden]]="","",tblOrdenes[[#This Row],[orden]]&amp;IF(tblOrdenes[[#This Row],[operacion]]="","0010",tblOrdenes[[#This Row],[operacion]]))</f>
        <v/>
      </c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11" t="n"/>
      <c r="K815" s="3" t="n"/>
      <c r="L815" s="10" t="n"/>
      <c r="M815" s="6" t="n"/>
      <c r="N8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15" s="3">
        <f>IF(tblOrdenes[[#This Row],[fecha_inicio]]="","",YEAR(tblOrdenes[[#This Row],[fecha_inicio]]))</f>
        <v/>
      </c>
      <c r="R815" s="3">
        <f>IF(tblOrdenes[[#This Row],[fecha_inicio]]="","",MONTH(tblOrdenes[[#This Row],[fecha_inicio]]))</f>
        <v/>
      </c>
      <c r="S815" s="3">
        <f>IF(tblOrdenes[[#This Row],[fecha_inicio]]="","",INDEX(lista_dias,WEEKDAY(tblOrdenes[[#This Row],[fecha_inicio]],2)))</f>
        <v/>
      </c>
      <c r="T815" s="3">
        <f>IF(tblOrdenes[[#This Row],[tipo_ot]]="","",_xlfn.XLOOKUP(tblOrdenes[[#This Row],[tipo_ot]],tblTiposOT[codigo],tblTiposOT[clasificacion],"sin_clasificar"))</f>
        <v/>
      </c>
      <c r="U815" s="3">
        <f>IF(tblOrdenes[[#This Row],[centro_costo]]="","",_xlfn.XLOOKUP(tblOrdenes[[#This Row],[centro_costo]],tblCECO[codigo],tblCECO[linea],"(sin catálogo)"))</f>
        <v/>
      </c>
      <c r="V815" s="3">
        <f>IF(tblOrdenes[[#This Row],[centro_costo]]="","",_xlfn.XLOOKUP(tblOrdenes[[#This Row],[centro_costo]],tblCECO[codigo],tblCECO[area],"(sin catálogo)"))</f>
        <v/>
      </c>
      <c r="W815" s="3">
        <f>IF(tblOrdenes[[#This Row],[centro_costo]]="","",_xlfn.XLOOKUP(tblOrdenes[[#This Row],[centro_costo]],tblCECO[codigo],tblCECO[coordinador],"(sin catálogo)"))</f>
        <v/>
      </c>
      <c r="X815" s="3">
        <f>IF(tblOrdenes[[#This Row],[puesto_trabajo]]="","",_xlfn.XLOOKUP(tblOrdenes[[#This Row],[puesto_trabajo]],tblPuestos[codigo],tblPuestos[especialidad],"(sin catálogo)"))</f>
        <v/>
      </c>
      <c r="Y815" s="3">
        <f>IF(tblOrdenes[[#This Row],[cod_actividad]]="","",_xlfn.XLOOKUP(tblOrdenes[[#This Row],[cod_actividad]],tblActividades[codigo],tblActividades[descripcion],"(sin catálogo)"))</f>
        <v/>
      </c>
      <c r="Z815" s="12">
        <f>IF(tblOrdenes[[#This Row],[fecha_inicio]]="","",TODAY()-tblOrdenes[[#This Row],[fecha_inicio]])</f>
        <v/>
      </c>
      <c r="AA815" s="3">
        <f>IF(tblOrdenes[[#This Row],[backlog_dias]]="","",IF(tblOrdenes[[#This Row],[backlog_dias]]&lt;0,"FUTURO",IF(tblOrdenes[[#This Row],[backlog_dias]]&gt;p_dias_backlog_max,"BACKLOG","MES CORRIENTE")))</f>
        <v/>
      </c>
      <c r="AB815" s="3">
        <f>IF(tblOrdenes[[#This Row],[backlog_dias]]="",FALSE,AND(tblOrdenes[[#This Row],[backlog_dias]]&gt;p_dias_backlog_min,tblOrdenes[[#This Row],[backlog_dias]]&lt;=p_dias_backlog_max))</f>
        <v/>
      </c>
      <c r="AC815" s="6" t="n"/>
      <c r="AD8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15" s="10">
        <f>IF(tblOrdenes[[#This Row],[orden]]="","",_xlfn.XLOOKUP(tblOrdenes[[#This Row],[id_operacion]],tblEjecucion[id_operacion],tblEjecucion[precio],0))</f>
        <v/>
      </c>
      <c r="AH815" s="10">
        <f>IF(tblOrdenes[[#This Row],[orden]]="","",MAX(0,_xlfn.XLOOKUP(tblOrdenes[[#This Row],[id_operacion]],tblEjecucion[id_operacion],tblEjecucion[costo_plan_total],0)-tblOrdenes[[#This Row],[costo_servicio]]))</f>
        <v/>
      </c>
      <c r="AI815" s="10">
        <f>IF(tblOrdenes[[#This Row],[orden]]="","",tblOrdenes[[#This Row],[costo_servicio]]+tblOrdenes[[#This Row],[costo_materiales]])</f>
        <v/>
      </c>
      <c r="AJ815" s="6" t="n"/>
      <c r="AK815" s="6" t="n"/>
      <c r="AL815" s="6" t="n"/>
      <c r="AM815" s="3">
        <f>IF(tblOrdenes[[#This Row],[link_checklist]]="","",HYPERLINK(p_ruta_base_checklists&amp;tblOrdenes[[#This Row],[link_checklist]],"abrir"))</f>
        <v/>
      </c>
      <c r="AN815" s="6" t="n"/>
      <c r="AO815" s="3">
        <f>IF(tblOrdenes[[#This Row],[orden]]="","",tblOrdenes[[#This Row],[orden]]&amp;IF(tblOrdenes[[#This Row],[operacion]]="","0010",tblOrdenes[[#This Row],[operacion]]))</f>
        <v/>
      </c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11" t="n"/>
      <c r="K816" s="3" t="n"/>
      <c r="L816" s="10" t="n"/>
      <c r="M816" s="6" t="n"/>
      <c r="N8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16" s="3">
        <f>IF(tblOrdenes[[#This Row],[fecha_inicio]]="","",YEAR(tblOrdenes[[#This Row],[fecha_inicio]]))</f>
        <v/>
      </c>
      <c r="R816" s="3">
        <f>IF(tblOrdenes[[#This Row],[fecha_inicio]]="","",MONTH(tblOrdenes[[#This Row],[fecha_inicio]]))</f>
        <v/>
      </c>
      <c r="S816" s="3">
        <f>IF(tblOrdenes[[#This Row],[fecha_inicio]]="","",INDEX(lista_dias,WEEKDAY(tblOrdenes[[#This Row],[fecha_inicio]],2)))</f>
        <v/>
      </c>
      <c r="T816" s="3">
        <f>IF(tblOrdenes[[#This Row],[tipo_ot]]="","",_xlfn.XLOOKUP(tblOrdenes[[#This Row],[tipo_ot]],tblTiposOT[codigo],tblTiposOT[clasificacion],"sin_clasificar"))</f>
        <v/>
      </c>
      <c r="U816" s="3">
        <f>IF(tblOrdenes[[#This Row],[centro_costo]]="","",_xlfn.XLOOKUP(tblOrdenes[[#This Row],[centro_costo]],tblCECO[codigo],tblCECO[linea],"(sin catálogo)"))</f>
        <v/>
      </c>
      <c r="V816" s="3">
        <f>IF(tblOrdenes[[#This Row],[centro_costo]]="","",_xlfn.XLOOKUP(tblOrdenes[[#This Row],[centro_costo]],tblCECO[codigo],tblCECO[area],"(sin catálogo)"))</f>
        <v/>
      </c>
      <c r="W816" s="3">
        <f>IF(tblOrdenes[[#This Row],[centro_costo]]="","",_xlfn.XLOOKUP(tblOrdenes[[#This Row],[centro_costo]],tblCECO[codigo],tblCECO[coordinador],"(sin catálogo)"))</f>
        <v/>
      </c>
      <c r="X816" s="3">
        <f>IF(tblOrdenes[[#This Row],[puesto_trabajo]]="","",_xlfn.XLOOKUP(tblOrdenes[[#This Row],[puesto_trabajo]],tblPuestos[codigo],tblPuestos[especialidad],"(sin catálogo)"))</f>
        <v/>
      </c>
      <c r="Y816" s="3">
        <f>IF(tblOrdenes[[#This Row],[cod_actividad]]="","",_xlfn.XLOOKUP(tblOrdenes[[#This Row],[cod_actividad]],tblActividades[codigo],tblActividades[descripcion],"(sin catálogo)"))</f>
        <v/>
      </c>
      <c r="Z816" s="12">
        <f>IF(tblOrdenes[[#This Row],[fecha_inicio]]="","",TODAY()-tblOrdenes[[#This Row],[fecha_inicio]])</f>
        <v/>
      </c>
      <c r="AA816" s="3">
        <f>IF(tblOrdenes[[#This Row],[backlog_dias]]="","",IF(tblOrdenes[[#This Row],[backlog_dias]]&lt;0,"FUTURO",IF(tblOrdenes[[#This Row],[backlog_dias]]&gt;p_dias_backlog_max,"BACKLOG","MES CORRIENTE")))</f>
        <v/>
      </c>
      <c r="AB816" s="3">
        <f>IF(tblOrdenes[[#This Row],[backlog_dias]]="",FALSE,AND(tblOrdenes[[#This Row],[backlog_dias]]&gt;p_dias_backlog_min,tblOrdenes[[#This Row],[backlog_dias]]&lt;=p_dias_backlog_max))</f>
        <v/>
      </c>
      <c r="AC816" s="6" t="n"/>
      <c r="AD8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16" s="10">
        <f>IF(tblOrdenes[[#This Row],[orden]]="","",_xlfn.XLOOKUP(tblOrdenes[[#This Row],[id_operacion]],tblEjecucion[id_operacion],tblEjecucion[precio],0))</f>
        <v/>
      </c>
      <c r="AH816" s="10">
        <f>IF(tblOrdenes[[#This Row],[orden]]="","",MAX(0,_xlfn.XLOOKUP(tblOrdenes[[#This Row],[id_operacion]],tblEjecucion[id_operacion],tblEjecucion[costo_plan_total],0)-tblOrdenes[[#This Row],[costo_servicio]]))</f>
        <v/>
      </c>
      <c r="AI816" s="10">
        <f>IF(tblOrdenes[[#This Row],[orden]]="","",tblOrdenes[[#This Row],[costo_servicio]]+tblOrdenes[[#This Row],[costo_materiales]])</f>
        <v/>
      </c>
      <c r="AJ816" s="6" t="n"/>
      <c r="AK816" s="6" t="n"/>
      <c r="AL816" s="6" t="n"/>
      <c r="AM816" s="3">
        <f>IF(tblOrdenes[[#This Row],[link_checklist]]="","",HYPERLINK(p_ruta_base_checklists&amp;tblOrdenes[[#This Row],[link_checklist]],"abrir"))</f>
        <v/>
      </c>
      <c r="AN816" s="6" t="n"/>
      <c r="AO816" s="3">
        <f>IF(tblOrdenes[[#This Row],[orden]]="","",tblOrdenes[[#This Row],[orden]]&amp;IF(tblOrdenes[[#This Row],[operacion]]="","0010",tblOrdenes[[#This Row],[operacion]]))</f>
        <v/>
      </c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11" t="n"/>
      <c r="K817" s="3" t="n"/>
      <c r="L817" s="10" t="n"/>
      <c r="M817" s="6" t="n"/>
      <c r="N8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17" s="3">
        <f>IF(tblOrdenes[[#This Row],[fecha_inicio]]="","",YEAR(tblOrdenes[[#This Row],[fecha_inicio]]))</f>
        <v/>
      </c>
      <c r="R817" s="3">
        <f>IF(tblOrdenes[[#This Row],[fecha_inicio]]="","",MONTH(tblOrdenes[[#This Row],[fecha_inicio]]))</f>
        <v/>
      </c>
      <c r="S817" s="3">
        <f>IF(tblOrdenes[[#This Row],[fecha_inicio]]="","",INDEX(lista_dias,WEEKDAY(tblOrdenes[[#This Row],[fecha_inicio]],2)))</f>
        <v/>
      </c>
      <c r="T817" s="3">
        <f>IF(tblOrdenes[[#This Row],[tipo_ot]]="","",_xlfn.XLOOKUP(tblOrdenes[[#This Row],[tipo_ot]],tblTiposOT[codigo],tblTiposOT[clasificacion],"sin_clasificar"))</f>
        <v/>
      </c>
      <c r="U817" s="3">
        <f>IF(tblOrdenes[[#This Row],[centro_costo]]="","",_xlfn.XLOOKUP(tblOrdenes[[#This Row],[centro_costo]],tblCECO[codigo],tblCECO[linea],"(sin catálogo)"))</f>
        <v/>
      </c>
      <c r="V817" s="3">
        <f>IF(tblOrdenes[[#This Row],[centro_costo]]="","",_xlfn.XLOOKUP(tblOrdenes[[#This Row],[centro_costo]],tblCECO[codigo],tblCECO[area],"(sin catálogo)"))</f>
        <v/>
      </c>
      <c r="W817" s="3">
        <f>IF(tblOrdenes[[#This Row],[centro_costo]]="","",_xlfn.XLOOKUP(tblOrdenes[[#This Row],[centro_costo]],tblCECO[codigo],tblCECO[coordinador],"(sin catálogo)"))</f>
        <v/>
      </c>
      <c r="X817" s="3">
        <f>IF(tblOrdenes[[#This Row],[puesto_trabajo]]="","",_xlfn.XLOOKUP(tblOrdenes[[#This Row],[puesto_trabajo]],tblPuestos[codigo],tblPuestos[especialidad],"(sin catálogo)"))</f>
        <v/>
      </c>
      <c r="Y817" s="3">
        <f>IF(tblOrdenes[[#This Row],[cod_actividad]]="","",_xlfn.XLOOKUP(tblOrdenes[[#This Row],[cod_actividad]],tblActividades[codigo],tblActividades[descripcion],"(sin catálogo)"))</f>
        <v/>
      </c>
      <c r="Z817" s="12">
        <f>IF(tblOrdenes[[#This Row],[fecha_inicio]]="","",TODAY()-tblOrdenes[[#This Row],[fecha_inicio]])</f>
        <v/>
      </c>
      <c r="AA817" s="3">
        <f>IF(tblOrdenes[[#This Row],[backlog_dias]]="","",IF(tblOrdenes[[#This Row],[backlog_dias]]&lt;0,"FUTURO",IF(tblOrdenes[[#This Row],[backlog_dias]]&gt;p_dias_backlog_max,"BACKLOG","MES CORRIENTE")))</f>
        <v/>
      </c>
      <c r="AB817" s="3">
        <f>IF(tblOrdenes[[#This Row],[backlog_dias]]="",FALSE,AND(tblOrdenes[[#This Row],[backlog_dias]]&gt;p_dias_backlog_min,tblOrdenes[[#This Row],[backlog_dias]]&lt;=p_dias_backlog_max))</f>
        <v/>
      </c>
      <c r="AC817" s="6" t="n"/>
      <c r="AD8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17" s="10">
        <f>IF(tblOrdenes[[#This Row],[orden]]="","",_xlfn.XLOOKUP(tblOrdenes[[#This Row],[id_operacion]],tblEjecucion[id_operacion],tblEjecucion[precio],0))</f>
        <v/>
      </c>
      <c r="AH817" s="10">
        <f>IF(tblOrdenes[[#This Row],[orden]]="","",MAX(0,_xlfn.XLOOKUP(tblOrdenes[[#This Row],[id_operacion]],tblEjecucion[id_operacion],tblEjecucion[costo_plan_total],0)-tblOrdenes[[#This Row],[costo_servicio]]))</f>
        <v/>
      </c>
      <c r="AI817" s="10">
        <f>IF(tblOrdenes[[#This Row],[orden]]="","",tblOrdenes[[#This Row],[costo_servicio]]+tblOrdenes[[#This Row],[costo_materiales]])</f>
        <v/>
      </c>
      <c r="AJ817" s="6" t="n"/>
      <c r="AK817" s="6" t="n"/>
      <c r="AL817" s="6" t="n"/>
      <c r="AM817" s="3">
        <f>IF(tblOrdenes[[#This Row],[link_checklist]]="","",HYPERLINK(p_ruta_base_checklists&amp;tblOrdenes[[#This Row],[link_checklist]],"abrir"))</f>
        <v/>
      </c>
      <c r="AN817" s="6" t="n"/>
      <c r="AO817" s="3">
        <f>IF(tblOrdenes[[#This Row],[orden]]="","",tblOrdenes[[#This Row],[orden]]&amp;IF(tblOrdenes[[#This Row],[operacion]]="","0010",tblOrdenes[[#This Row],[operacion]]))</f>
        <v/>
      </c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11" t="n"/>
      <c r="K818" s="3" t="n"/>
      <c r="L818" s="10" t="n"/>
      <c r="M818" s="6" t="n"/>
      <c r="N8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18" s="3">
        <f>IF(tblOrdenes[[#This Row],[fecha_inicio]]="","",YEAR(tblOrdenes[[#This Row],[fecha_inicio]]))</f>
        <v/>
      </c>
      <c r="R818" s="3">
        <f>IF(tblOrdenes[[#This Row],[fecha_inicio]]="","",MONTH(tblOrdenes[[#This Row],[fecha_inicio]]))</f>
        <v/>
      </c>
      <c r="S818" s="3">
        <f>IF(tblOrdenes[[#This Row],[fecha_inicio]]="","",INDEX(lista_dias,WEEKDAY(tblOrdenes[[#This Row],[fecha_inicio]],2)))</f>
        <v/>
      </c>
      <c r="T818" s="3">
        <f>IF(tblOrdenes[[#This Row],[tipo_ot]]="","",_xlfn.XLOOKUP(tblOrdenes[[#This Row],[tipo_ot]],tblTiposOT[codigo],tblTiposOT[clasificacion],"sin_clasificar"))</f>
        <v/>
      </c>
      <c r="U818" s="3">
        <f>IF(tblOrdenes[[#This Row],[centro_costo]]="","",_xlfn.XLOOKUP(tblOrdenes[[#This Row],[centro_costo]],tblCECO[codigo],tblCECO[linea],"(sin catálogo)"))</f>
        <v/>
      </c>
      <c r="V818" s="3">
        <f>IF(tblOrdenes[[#This Row],[centro_costo]]="","",_xlfn.XLOOKUP(tblOrdenes[[#This Row],[centro_costo]],tblCECO[codigo],tblCECO[area],"(sin catálogo)"))</f>
        <v/>
      </c>
      <c r="W818" s="3">
        <f>IF(tblOrdenes[[#This Row],[centro_costo]]="","",_xlfn.XLOOKUP(tblOrdenes[[#This Row],[centro_costo]],tblCECO[codigo],tblCECO[coordinador],"(sin catálogo)"))</f>
        <v/>
      </c>
      <c r="X818" s="3">
        <f>IF(tblOrdenes[[#This Row],[puesto_trabajo]]="","",_xlfn.XLOOKUP(tblOrdenes[[#This Row],[puesto_trabajo]],tblPuestos[codigo],tblPuestos[especialidad],"(sin catálogo)"))</f>
        <v/>
      </c>
      <c r="Y818" s="3">
        <f>IF(tblOrdenes[[#This Row],[cod_actividad]]="","",_xlfn.XLOOKUP(tblOrdenes[[#This Row],[cod_actividad]],tblActividades[codigo],tblActividades[descripcion],"(sin catálogo)"))</f>
        <v/>
      </c>
      <c r="Z818" s="12">
        <f>IF(tblOrdenes[[#This Row],[fecha_inicio]]="","",TODAY()-tblOrdenes[[#This Row],[fecha_inicio]])</f>
        <v/>
      </c>
      <c r="AA818" s="3">
        <f>IF(tblOrdenes[[#This Row],[backlog_dias]]="","",IF(tblOrdenes[[#This Row],[backlog_dias]]&lt;0,"FUTURO",IF(tblOrdenes[[#This Row],[backlog_dias]]&gt;p_dias_backlog_max,"BACKLOG","MES CORRIENTE")))</f>
        <v/>
      </c>
      <c r="AB818" s="3">
        <f>IF(tblOrdenes[[#This Row],[backlog_dias]]="",FALSE,AND(tblOrdenes[[#This Row],[backlog_dias]]&gt;p_dias_backlog_min,tblOrdenes[[#This Row],[backlog_dias]]&lt;=p_dias_backlog_max))</f>
        <v/>
      </c>
      <c r="AC818" s="6" t="n"/>
      <c r="AD8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18" s="10">
        <f>IF(tblOrdenes[[#This Row],[orden]]="","",_xlfn.XLOOKUP(tblOrdenes[[#This Row],[id_operacion]],tblEjecucion[id_operacion],tblEjecucion[precio],0))</f>
        <v/>
      </c>
      <c r="AH818" s="10">
        <f>IF(tblOrdenes[[#This Row],[orden]]="","",MAX(0,_xlfn.XLOOKUP(tblOrdenes[[#This Row],[id_operacion]],tblEjecucion[id_operacion],tblEjecucion[costo_plan_total],0)-tblOrdenes[[#This Row],[costo_servicio]]))</f>
        <v/>
      </c>
      <c r="AI818" s="10">
        <f>IF(tblOrdenes[[#This Row],[orden]]="","",tblOrdenes[[#This Row],[costo_servicio]]+tblOrdenes[[#This Row],[costo_materiales]])</f>
        <v/>
      </c>
      <c r="AJ818" s="6" t="n"/>
      <c r="AK818" s="6" t="n"/>
      <c r="AL818" s="6" t="n"/>
      <c r="AM818" s="3">
        <f>IF(tblOrdenes[[#This Row],[link_checklist]]="","",HYPERLINK(p_ruta_base_checklists&amp;tblOrdenes[[#This Row],[link_checklist]],"abrir"))</f>
        <v/>
      </c>
      <c r="AN818" s="6" t="n"/>
      <c r="AO818" s="3">
        <f>IF(tblOrdenes[[#This Row],[orden]]="","",tblOrdenes[[#This Row],[orden]]&amp;IF(tblOrdenes[[#This Row],[operacion]]="","0010",tblOrdenes[[#This Row],[operacion]]))</f>
        <v/>
      </c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11" t="n"/>
      <c r="K819" s="3" t="n"/>
      <c r="L819" s="10" t="n"/>
      <c r="M819" s="6" t="n"/>
      <c r="N8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19" s="3">
        <f>IF(tblOrdenes[[#This Row],[fecha_inicio]]="","",YEAR(tblOrdenes[[#This Row],[fecha_inicio]]))</f>
        <v/>
      </c>
      <c r="R819" s="3">
        <f>IF(tblOrdenes[[#This Row],[fecha_inicio]]="","",MONTH(tblOrdenes[[#This Row],[fecha_inicio]]))</f>
        <v/>
      </c>
      <c r="S819" s="3">
        <f>IF(tblOrdenes[[#This Row],[fecha_inicio]]="","",INDEX(lista_dias,WEEKDAY(tblOrdenes[[#This Row],[fecha_inicio]],2)))</f>
        <v/>
      </c>
      <c r="T819" s="3">
        <f>IF(tblOrdenes[[#This Row],[tipo_ot]]="","",_xlfn.XLOOKUP(tblOrdenes[[#This Row],[tipo_ot]],tblTiposOT[codigo],tblTiposOT[clasificacion],"sin_clasificar"))</f>
        <v/>
      </c>
      <c r="U819" s="3">
        <f>IF(tblOrdenes[[#This Row],[centro_costo]]="","",_xlfn.XLOOKUP(tblOrdenes[[#This Row],[centro_costo]],tblCECO[codigo],tblCECO[linea],"(sin catálogo)"))</f>
        <v/>
      </c>
      <c r="V819" s="3">
        <f>IF(tblOrdenes[[#This Row],[centro_costo]]="","",_xlfn.XLOOKUP(tblOrdenes[[#This Row],[centro_costo]],tblCECO[codigo],tblCECO[area],"(sin catálogo)"))</f>
        <v/>
      </c>
      <c r="W819" s="3">
        <f>IF(tblOrdenes[[#This Row],[centro_costo]]="","",_xlfn.XLOOKUP(tblOrdenes[[#This Row],[centro_costo]],tblCECO[codigo],tblCECO[coordinador],"(sin catálogo)"))</f>
        <v/>
      </c>
      <c r="X819" s="3">
        <f>IF(tblOrdenes[[#This Row],[puesto_trabajo]]="","",_xlfn.XLOOKUP(tblOrdenes[[#This Row],[puesto_trabajo]],tblPuestos[codigo],tblPuestos[especialidad],"(sin catálogo)"))</f>
        <v/>
      </c>
      <c r="Y819" s="3">
        <f>IF(tblOrdenes[[#This Row],[cod_actividad]]="","",_xlfn.XLOOKUP(tblOrdenes[[#This Row],[cod_actividad]],tblActividades[codigo],tblActividades[descripcion],"(sin catálogo)"))</f>
        <v/>
      </c>
      <c r="Z819" s="12">
        <f>IF(tblOrdenes[[#This Row],[fecha_inicio]]="","",TODAY()-tblOrdenes[[#This Row],[fecha_inicio]])</f>
        <v/>
      </c>
      <c r="AA819" s="3">
        <f>IF(tblOrdenes[[#This Row],[backlog_dias]]="","",IF(tblOrdenes[[#This Row],[backlog_dias]]&lt;0,"FUTURO",IF(tblOrdenes[[#This Row],[backlog_dias]]&gt;p_dias_backlog_max,"BACKLOG","MES CORRIENTE")))</f>
        <v/>
      </c>
      <c r="AB819" s="3">
        <f>IF(tblOrdenes[[#This Row],[backlog_dias]]="",FALSE,AND(tblOrdenes[[#This Row],[backlog_dias]]&gt;p_dias_backlog_min,tblOrdenes[[#This Row],[backlog_dias]]&lt;=p_dias_backlog_max))</f>
        <v/>
      </c>
      <c r="AC819" s="6" t="n"/>
      <c r="AD8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19" s="10">
        <f>IF(tblOrdenes[[#This Row],[orden]]="","",_xlfn.XLOOKUP(tblOrdenes[[#This Row],[id_operacion]],tblEjecucion[id_operacion],tblEjecucion[precio],0))</f>
        <v/>
      </c>
      <c r="AH819" s="10">
        <f>IF(tblOrdenes[[#This Row],[orden]]="","",MAX(0,_xlfn.XLOOKUP(tblOrdenes[[#This Row],[id_operacion]],tblEjecucion[id_operacion],tblEjecucion[costo_plan_total],0)-tblOrdenes[[#This Row],[costo_servicio]]))</f>
        <v/>
      </c>
      <c r="AI819" s="10">
        <f>IF(tblOrdenes[[#This Row],[orden]]="","",tblOrdenes[[#This Row],[costo_servicio]]+tblOrdenes[[#This Row],[costo_materiales]])</f>
        <v/>
      </c>
      <c r="AJ819" s="6" t="n"/>
      <c r="AK819" s="6" t="n"/>
      <c r="AL819" s="6" t="n"/>
      <c r="AM819" s="3">
        <f>IF(tblOrdenes[[#This Row],[link_checklist]]="","",HYPERLINK(p_ruta_base_checklists&amp;tblOrdenes[[#This Row],[link_checklist]],"abrir"))</f>
        <v/>
      </c>
      <c r="AN819" s="6" t="n"/>
      <c r="AO819" s="3">
        <f>IF(tblOrdenes[[#This Row],[orden]]="","",tblOrdenes[[#This Row],[orden]]&amp;IF(tblOrdenes[[#This Row],[operacion]]="","0010",tblOrdenes[[#This Row],[operacion]]))</f>
        <v/>
      </c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11" t="n"/>
      <c r="K820" s="3" t="n"/>
      <c r="L820" s="10" t="n"/>
      <c r="M820" s="6" t="n"/>
      <c r="N8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20" s="3">
        <f>IF(tblOrdenes[[#This Row],[fecha_inicio]]="","",YEAR(tblOrdenes[[#This Row],[fecha_inicio]]))</f>
        <v/>
      </c>
      <c r="R820" s="3">
        <f>IF(tblOrdenes[[#This Row],[fecha_inicio]]="","",MONTH(tblOrdenes[[#This Row],[fecha_inicio]]))</f>
        <v/>
      </c>
      <c r="S820" s="3">
        <f>IF(tblOrdenes[[#This Row],[fecha_inicio]]="","",INDEX(lista_dias,WEEKDAY(tblOrdenes[[#This Row],[fecha_inicio]],2)))</f>
        <v/>
      </c>
      <c r="T820" s="3">
        <f>IF(tblOrdenes[[#This Row],[tipo_ot]]="","",_xlfn.XLOOKUP(tblOrdenes[[#This Row],[tipo_ot]],tblTiposOT[codigo],tblTiposOT[clasificacion],"sin_clasificar"))</f>
        <v/>
      </c>
      <c r="U820" s="3">
        <f>IF(tblOrdenes[[#This Row],[centro_costo]]="","",_xlfn.XLOOKUP(tblOrdenes[[#This Row],[centro_costo]],tblCECO[codigo],tblCECO[linea],"(sin catálogo)"))</f>
        <v/>
      </c>
      <c r="V820" s="3">
        <f>IF(tblOrdenes[[#This Row],[centro_costo]]="","",_xlfn.XLOOKUP(tblOrdenes[[#This Row],[centro_costo]],tblCECO[codigo],tblCECO[area],"(sin catálogo)"))</f>
        <v/>
      </c>
      <c r="W820" s="3">
        <f>IF(tblOrdenes[[#This Row],[centro_costo]]="","",_xlfn.XLOOKUP(tblOrdenes[[#This Row],[centro_costo]],tblCECO[codigo],tblCECO[coordinador],"(sin catálogo)"))</f>
        <v/>
      </c>
      <c r="X820" s="3">
        <f>IF(tblOrdenes[[#This Row],[puesto_trabajo]]="","",_xlfn.XLOOKUP(tblOrdenes[[#This Row],[puesto_trabajo]],tblPuestos[codigo],tblPuestos[especialidad],"(sin catálogo)"))</f>
        <v/>
      </c>
      <c r="Y820" s="3">
        <f>IF(tblOrdenes[[#This Row],[cod_actividad]]="","",_xlfn.XLOOKUP(tblOrdenes[[#This Row],[cod_actividad]],tblActividades[codigo],tblActividades[descripcion],"(sin catálogo)"))</f>
        <v/>
      </c>
      <c r="Z820" s="12">
        <f>IF(tblOrdenes[[#This Row],[fecha_inicio]]="","",TODAY()-tblOrdenes[[#This Row],[fecha_inicio]])</f>
        <v/>
      </c>
      <c r="AA820" s="3">
        <f>IF(tblOrdenes[[#This Row],[backlog_dias]]="","",IF(tblOrdenes[[#This Row],[backlog_dias]]&lt;0,"FUTURO",IF(tblOrdenes[[#This Row],[backlog_dias]]&gt;p_dias_backlog_max,"BACKLOG","MES CORRIENTE")))</f>
        <v/>
      </c>
      <c r="AB820" s="3">
        <f>IF(tblOrdenes[[#This Row],[backlog_dias]]="",FALSE,AND(tblOrdenes[[#This Row],[backlog_dias]]&gt;p_dias_backlog_min,tblOrdenes[[#This Row],[backlog_dias]]&lt;=p_dias_backlog_max))</f>
        <v/>
      </c>
      <c r="AC820" s="6" t="n"/>
      <c r="AD8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20" s="10">
        <f>IF(tblOrdenes[[#This Row],[orden]]="","",_xlfn.XLOOKUP(tblOrdenes[[#This Row],[id_operacion]],tblEjecucion[id_operacion],tblEjecucion[precio],0))</f>
        <v/>
      </c>
      <c r="AH820" s="10">
        <f>IF(tblOrdenes[[#This Row],[orden]]="","",MAX(0,_xlfn.XLOOKUP(tblOrdenes[[#This Row],[id_operacion]],tblEjecucion[id_operacion],tblEjecucion[costo_plan_total],0)-tblOrdenes[[#This Row],[costo_servicio]]))</f>
        <v/>
      </c>
      <c r="AI820" s="10">
        <f>IF(tblOrdenes[[#This Row],[orden]]="","",tblOrdenes[[#This Row],[costo_servicio]]+tblOrdenes[[#This Row],[costo_materiales]])</f>
        <v/>
      </c>
      <c r="AJ820" s="6" t="n"/>
      <c r="AK820" s="6" t="n"/>
      <c r="AL820" s="6" t="n"/>
      <c r="AM820" s="3">
        <f>IF(tblOrdenes[[#This Row],[link_checklist]]="","",HYPERLINK(p_ruta_base_checklists&amp;tblOrdenes[[#This Row],[link_checklist]],"abrir"))</f>
        <v/>
      </c>
      <c r="AN820" s="6" t="n"/>
      <c r="AO820" s="3">
        <f>IF(tblOrdenes[[#This Row],[orden]]="","",tblOrdenes[[#This Row],[orden]]&amp;IF(tblOrdenes[[#This Row],[operacion]]="","0010",tblOrdenes[[#This Row],[operacion]]))</f>
        <v/>
      </c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11" t="n"/>
      <c r="K821" s="3" t="n"/>
      <c r="L821" s="10" t="n"/>
      <c r="M821" s="6" t="n"/>
      <c r="N8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21" s="3">
        <f>IF(tblOrdenes[[#This Row],[fecha_inicio]]="","",YEAR(tblOrdenes[[#This Row],[fecha_inicio]]))</f>
        <v/>
      </c>
      <c r="R821" s="3">
        <f>IF(tblOrdenes[[#This Row],[fecha_inicio]]="","",MONTH(tblOrdenes[[#This Row],[fecha_inicio]]))</f>
        <v/>
      </c>
      <c r="S821" s="3">
        <f>IF(tblOrdenes[[#This Row],[fecha_inicio]]="","",INDEX(lista_dias,WEEKDAY(tblOrdenes[[#This Row],[fecha_inicio]],2)))</f>
        <v/>
      </c>
      <c r="T821" s="3">
        <f>IF(tblOrdenes[[#This Row],[tipo_ot]]="","",_xlfn.XLOOKUP(tblOrdenes[[#This Row],[tipo_ot]],tblTiposOT[codigo],tblTiposOT[clasificacion],"sin_clasificar"))</f>
        <v/>
      </c>
      <c r="U821" s="3">
        <f>IF(tblOrdenes[[#This Row],[centro_costo]]="","",_xlfn.XLOOKUP(tblOrdenes[[#This Row],[centro_costo]],tblCECO[codigo],tblCECO[linea],"(sin catálogo)"))</f>
        <v/>
      </c>
      <c r="V821" s="3">
        <f>IF(tblOrdenes[[#This Row],[centro_costo]]="","",_xlfn.XLOOKUP(tblOrdenes[[#This Row],[centro_costo]],tblCECO[codigo],tblCECO[area],"(sin catálogo)"))</f>
        <v/>
      </c>
      <c r="W821" s="3">
        <f>IF(tblOrdenes[[#This Row],[centro_costo]]="","",_xlfn.XLOOKUP(tblOrdenes[[#This Row],[centro_costo]],tblCECO[codigo],tblCECO[coordinador],"(sin catálogo)"))</f>
        <v/>
      </c>
      <c r="X821" s="3">
        <f>IF(tblOrdenes[[#This Row],[puesto_trabajo]]="","",_xlfn.XLOOKUP(tblOrdenes[[#This Row],[puesto_trabajo]],tblPuestos[codigo],tblPuestos[especialidad],"(sin catálogo)"))</f>
        <v/>
      </c>
      <c r="Y821" s="3">
        <f>IF(tblOrdenes[[#This Row],[cod_actividad]]="","",_xlfn.XLOOKUP(tblOrdenes[[#This Row],[cod_actividad]],tblActividades[codigo],tblActividades[descripcion],"(sin catálogo)"))</f>
        <v/>
      </c>
      <c r="Z821" s="12">
        <f>IF(tblOrdenes[[#This Row],[fecha_inicio]]="","",TODAY()-tblOrdenes[[#This Row],[fecha_inicio]])</f>
        <v/>
      </c>
      <c r="AA821" s="3">
        <f>IF(tblOrdenes[[#This Row],[backlog_dias]]="","",IF(tblOrdenes[[#This Row],[backlog_dias]]&lt;0,"FUTURO",IF(tblOrdenes[[#This Row],[backlog_dias]]&gt;p_dias_backlog_max,"BACKLOG","MES CORRIENTE")))</f>
        <v/>
      </c>
      <c r="AB821" s="3">
        <f>IF(tblOrdenes[[#This Row],[backlog_dias]]="",FALSE,AND(tblOrdenes[[#This Row],[backlog_dias]]&gt;p_dias_backlog_min,tblOrdenes[[#This Row],[backlog_dias]]&lt;=p_dias_backlog_max))</f>
        <v/>
      </c>
      <c r="AC821" s="6" t="n"/>
      <c r="AD8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21" s="10">
        <f>IF(tblOrdenes[[#This Row],[orden]]="","",_xlfn.XLOOKUP(tblOrdenes[[#This Row],[id_operacion]],tblEjecucion[id_operacion],tblEjecucion[precio],0))</f>
        <v/>
      </c>
      <c r="AH821" s="10">
        <f>IF(tblOrdenes[[#This Row],[orden]]="","",MAX(0,_xlfn.XLOOKUP(tblOrdenes[[#This Row],[id_operacion]],tblEjecucion[id_operacion],tblEjecucion[costo_plan_total],0)-tblOrdenes[[#This Row],[costo_servicio]]))</f>
        <v/>
      </c>
      <c r="AI821" s="10">
        <f>IF(tblOrdenes[[#This Row],[orden]]="","",tblOrdenes[[#This Row],[costo_servicio]]+tblOrdenes[[#This Row],[costo_materiales]])</f>
        <v/>
      </c>
      <c r="AJ821" s="6" t="n"/>
      <c r="AK821" s="6" t="n"/>
      <c r="AL821" s="6" t="n"/>
      <c r="AM821" s="3">
        <f>IF(tblOrdenes[[#This Row],[link_checklist]]="","",HYPERLINK(p_ruta_base_checklists&amp;tblOrdenes[[#This Row],[link_checklist]],"abrir"))</f>
        <v/>
      </c>
      <c r="AN821" s="6" t="n"/>
      <c r="AO821" s="3">
        <f>IF(tblOrdenes[[#This Row],[orden]]="","",tblOrdenes[[#This Row],[orden]]&amp;IF(tblOrdenes[[#This Row],[operacion]]="","0010",tblOrdenes[[#This Row],[operacion]]))</f>
        <v/>
      </c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11" t="n"/>
      <c r="K822" s="3" t="n"/>
      <c r="L822" s="10" t="n"/>
      <c r="M822" s="6" t="n"/>
      <c r="N8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22" s="3">
        <f>IF(tblOrdenes[[#This Row],[fecha_inicio]]="","",YEAR(tblOrdenes[[#This Row],[fecha_inicio]]))</f>
        <v/>
      </c>
      <c r="R822" s="3">
        <f>IF(tblOrdenes[[#This Row],[fecha_inicio]]="","",MONTH(tblOrdenes[[#This Row],[fecha_inicio]]))</f>
        <v/>
      </c>
      <c r="S822" s="3">
        <f>IF(tblOrdenes[[#This Row],[fecha_inicio]]="","",INDEX(lista_dias,WEEKDAY(tblOrdenes[[#This Row],[fecha_inicio]],2)))</f>
        <v/>
      </c>
      <c r="T822" s="3">
        <f>IF(tblOrdenes[[#This Row],[tipo_ot]]="","",_xlfn.XLOOKUP(tblOrdenes[[#This Row],[tipo_ot]],tblTiposOT[codigo],tblTiposOT[clasificacion],"sin_clasificar"))</f>
        <v/>
      </c>
      <c r="U822" s="3">
        <f>IF(tblOrdenes[[#This Row],[centro_costo]]="","",_xlfn.XLOOKUP(tblOrdenes[[#This Row],[centro_costo]],tblCECO[codigo],tblCECO[linea],"(sin catálogo)"))</f>
        <v/>
      </c>
      <c r="V822" s="3">
        <f>IF(tblOrdenes[[#This Row],[centro_costo]]="","",_xlfn.XLOOKUP(tblOrdenes[[#This Row],[centro_costo]],tblCECO[codigo],tblCECO[area],"(sin catálogo)"))</f>
        <v/>
      </c>
      <c r="W822" s="3">
        <f>IF(tblOrdenes[[#This Row],[centro_costo]]="","",_xlfn.XLOOKUP(tblOrdenes[[#This Row],[centro_costo]],tblCECO[codigo],tblCECO[coordinador],"(sin catálogo)"))</f>
        <v/>
      </c>
      <c r="X822" s="3">
        <f>IF(tblOrdenes[[#This Row],[puesto_trabajo]]="","",_xlfn.XLOOKUP(tblOrdenes[[#This Row],[puesto_trabajo]],tblPuestos[codigo],tblPuestos[especialidad],"(sin catálogo)"))</f>
        <v/>
      </c>
      <c r="Y822" s="3">
        <f>IF(tblOrdenes[[#This Row],[cod_actividad]]="","",_xlfn.XLOOKUP(tblOrdenes[[#This Row],[cod_actividad]],tblActividades[codigo],tblActividades[descripcion],"(sin catálogo)"))</f>
        <v/>
      </c>
      <c r="Z822" s="12">
        <f>IF(tblOrdenes[[#This Row],[fecha_inicio]]="","",TODAY()-tblOrdenes[[#This Row],[fecha_inicio]])</f>
        <v/>
      </c>
      <c r="AA822" s="3">
        <f>IF(tblOrdenes[[#This Row],[backlog_dias]]="","",IF(tblOrdenes[[#This Row],[backlog_dias]]&lt;0,"FUTURO",IF(tblOrdenes[[#This Row],[backlog_dias]]&gt;p_dias_backlog_max,"BACKLOG","MES CORRIENTE")))</f>
        <v/>
      </c>
      <c r="AB822" s="3">
        <f>IF(tblOrdenes[[#This Row],[backlog_dias]]="",FALSE,AND(tblOrdenes[[#This Row],[backlog_dias]]&gt;p_dias_backlog_min,tblOrdenes[[#This Row],[backlog_dias]]&lt;=p_dias_backlog_max))</f>
        <v/>
      </c>
      <c r="AC822" s="6" t="n"/>
      <c r="AD8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22" s="10">
        <f>IF(tblOrdenes[[#This Row],[orden]]="","",_xlfn.XLOOKUP(tblOrdenes[[#This Row],[id_operacion]],tblEjecucion[id_operacion],tblEjecucion[precio],0))</f>
        <v/>
      </c>
      <c r="AH822" s="10">
        <f>IF(tblOrdenes[[#This Row],[orden]]="","",MAX(0,_xlfn.XLOOKUP(tblOrdenes[[#This Row],[id_operacion]],tblEjecucion[id_operacion],tblEjecucion[costo_plan_total],0)-tblOrdenes[[#This Row],[costo_servicio]]))</f>
        <v/>
      </c>
      <c r="AI822" s="10">
        <f>IF(tblOrdenes[[#This Row],[orden]]="","",tblOrdenes[[#This Row],[costo_servicio]]+tblOrdenes[[#This Row],[costo_materiales]])</f>
        <v/>
      </c>
      <c r="AJ822" s="6" t="n"/>
      <c r="AK822" s="6" t="n"/>
      <c r="AL822" s="6" t="n"/>
      <c r="AM822" s="3">
        <f>IF(tblOrdenes[[#This Row],[link_checklist]]="","",HYPERLINK(p_ruta_base_checklists&amp;tblOrdenes[[#This Row],[link_checklist]],"abrir"))</f>
        <v/>
      </c>
      <c r="AN822" s="6" t="n"/>
      <c r="AO822" s="3">
        <f>IF(tblOrdenes[[#This Row],[orden]]="","",tblOrdenes[[#This Row],[orden]]&amp;IF(tblOrdenes[[#This Row],[operacion]]="","0010",tblOrdenes[[#This Row],[operacion]]))</f>
        <v/>
      </c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11" t="n"/>
      <c r="K823" s="3" t="n"/>
      <c r="L823" s="10" t="n"/>
      <c r="M823" s="6" t="n"/>
      <c r="N8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23" s="3">
        <f>IF(tblOrdenes[[#This Row],[fecha_inicio]]="","",YEAR(tblOrdenes[[#This Row],[fecha_inicio]]))</f>
        <v/>
      </c>
      <c r="R823" s="3">
        <f>IF(tblOrdenes[[#This Row],[fecha_inicio]]="","",MONTH(tblOrdenes[[#This Row],[fecha_inicio]]))</f>
        <v/>
      </c>
      <c r="S823" s="3">
        <f>IF(tblOrdenes[[#This Row],[fecha_inicio]]="","",INDEX(lista_dias,WEEKDAY(tblOrdenes[[#This Row],[fecha_inicio]],2)))</f>
        <v/>
      </c>
      <c r="T823" s="3">
        <f>IF(tblOrdenes[[#This Row],[tipo_ot]]="","",_xlfn.XLOOKUP(tblOrdenes[[#This Row],[tipo_ot]],tblTiposOT[codigo],tblTiposOT[clasificacion],"sin_clasificar"))</f>
        <v/>
      </c>
      <c r="U823" s="3">
        <f>IF(tblOrdenes[[#This Row],[centro_costo]]="","",_xlfn.XLOOKUP(tblOrdenes[[#This Row],[centro_costo]],tblCECO[codigo],tblCECO[linea],"(sin catálogo)"))</f>
        <v/>
      </c>
      <c r="V823" s="3">
        <f>IF(tblOrdenes[[#This Row],[centro_costo]]="","",_xlfn.XLOOKUP(tblOrdenes[[#This Row],[centro_costo]],tblCECO[codigo],tblCECO[area],"(sin catálogo)"))</f>
        <v/>
      </c>
      <c r="W823" s="3">
        <f>IF(tblOrdenes[[#This Row],[centro_costo]]="","",_xlfn.XLOOKUP(tblOrdenes[[#This Row],[centro_costo]],tblCECO[codigo],tblCECO[coordinador],"(sin catálogo)"))</f>
        <v/>
      </c>
      <c r="X823" s="3">
        <f>IF(tblOrdenes[[#This Row],[puesto_trabajo]]="","",_xlfn.XLOOKUP(tblOrdenes[[#This Row],[puesto_trabajo]],tblPuestos[codigo],tblPuestos[especialidad],"(sin catálogo)"))</f>
        <v/>
      </c>
      <c r="Y823" s="3">
        <f>IF(tblOrdenes[[#This Row],[cod_actividad]]="","",_xlfn.XLOOKUP(tblOrdenes[[#This Row],[cod_actividad]],tblActividades[codigo],tblActividades[descripcion],"(sin catálogo)"))</f>
        <v/>
      </c>
      <c r="Z823" s="12">
        <f>IF(tblOrdenes[[#This Row],[fecha_inicio]]="","",TODAY()-tblOrdenes[[#This Row],[fecha_inicio]])</f>
        <v/>
      </c>
      <c r="AA823" s="3">
        <f>IF(tblOrdenes[[#This Row],[backlog_dias]]="","",IF(tblOrdenes[[#This Row],[backlog_dias]]&lt;0,"FUTURO",IF(tblOrdenes[[#This Row],[backlog_dias]]&gt;p_dias_backlog_max,"BACKLOG","MES CORRIENTE")))</f>
        <v/>
      </c>
      <c r="AB823" s="3">
        <f>IF(tblOrdenes[[#This Row],[backlog_dias]]="",FALSE,AND(tblOrdenes[[#This Row],[backlog_dias]]&gt;p_dias_backlog_min,tblOrdenes[[#This Row],[backlog_dias]]&lt;=p_dias_backlog_max))</f>
        <v/>
      </c>
      <c r="AC823" s="6" t="n"/>
      <c r="AD8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23" s="10">
        <f>IF(tblOrdenes[[#This Row],[orden]]="","",_xlfn.XLOOKUP(tblOrdenes[[#This Row],[id_operacion]],tblEjecucion[id_operacion],tblEjecucion[precio],0))</f>
        <v/>
      </c>
      <c r="AH823" s="10">
        <f>IF(tblOrdenes[[#This Row],[orden]]="","",MAX(0,_xlfn.XLOOKUP(tblOrdenes[[#This Row],[id_operacion]],tblEjecucion[id_operacion],tblEjecucion[costo_plan_total],0)-tblOrdenes[[#This Row],[costo_servicio]]))</f>
        <v/>
      </c>
      <c r="AI823" s="10">
        <f>IF(tblOrdenes[[#This Row],[orden]]="","",tblOrdenes[[#This Row],[costo_servicio]]+tblOrdenes[[#This Row],[costo_materiales]])</f>
        <v/>
      </c>
      <c r="AJ823" s="6" t="n"/>
      <c r="AK823" s="6" t="n"/>
      <c r="AL823" s="6" t="n"/>
      <c r="AM823" s="3">
        <f>IF(tblOrdenes[[#This Row],[link_checklist]]="","",HYPERLINK(p_ruta_base_checklists&amp;tblOrdenes[[#This Row],[link_checklist]],"abrir"))</f>
        <v/>
      </c>
      <c r="AN823" s="6" t="n"/>
      <c r="AO823" s="3">
        <f>IF(tblOrdenes[[#This Row],[orden]]="","",tblOrdenes[[#This Row],[orden]]&amp;IF(tblOrdenes[[#This Row],[operacion]]="","0010",tblOrdenes[[#This Row],[operacion]]))</f>
        <v/>
      </c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11" t="n"/>
      <c r="K824" s="3" t="n"/>
      <c r="L824" s="10" t="n"/>
      <c r="M824" s="6" t="n"/>
      <c r="N8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24" s="3">
        <f>IF(tblOrdenes[[#This Row],[fecha_inicio]]="","",YEAR(tblOrdenes[[#This Row],[fecha_inicio]]))</f>
        <v/>
      </c>
      <c r="R824" s="3">
        <f>IF(tblOrdenes[[#This Row],[fecha_inicio]]="","",MONTH(tblOrdenes[[#This Row],[fecha_inicio]]))</f>
        <v/>
      </c>
      <c r="S824" s="3">
        <f>IF(tblOrdenes[[#This Row],[fecha_inicio]]="","",INDEX(lista_dias,WEEKDAY(tblOrdenes[[#This Row],[fecha_inicio]],2)))</f>
        <v/>
      </c>
      <c r="T824" s="3">
        <f>IF(tblOrdenes[[#This Row],[tipo_ot]]="","",_xlfn.XLOOKUP(tblOrdenes[[#This Row],[tipo_ot]],tblTiposOT[codigo],tblTiposOT[clasificacion],"sin_clasificar"))</f>
        <v/>
      </c>
      <c r="U824" s="3">
        <f>IF(tblOrdenes[[#This Row],[centro_costo]]="","",_xlfn.XLOOKUP(tblOrdenes[[#This Row],[centro_costo]],tblCECO[codigo],tblCECO[linea],"(sin catálogo)"))</f>
        <v/>
      </c>
      <c r="V824" s="3">
        <f>IF(tblOrdenes[[#This Row],[centro_costo]]="","",_xlfn.XLOOKUP(tblOrdenes[[#This Row],[centro_costo]],tblCECO[codigo],tblCECO[area],"(sin catálogo)"))</f>
        <v/>
      </c>
      <c r="W824" s="3">
        <f>IF(tblOrdenes[[#This Row],[centro_costo]]="","",_xlfn.XLOOKUP(tblOrdenes[[#This Row],[centro_costo]],tblCECO[codigo],tblCECO[coordinador],"(sin catálogo)"))</f>
        <v/>
      </c>
      <c r="X824" s="3">
        <f>IF(tblOrdenes[[#This Row],[puesto_trabajo]]="","",_xlfn.XLOOKUP(tblOrdenes[[#This Row],[puesto_trabajo]],tblPuestos[codigo],tblPuestos[especialidad],"(sin catálogo)"))</f>
        <v/>
      </c>
      <c r="Y824" s="3">
        <f>IF(tblOrdenes[[#This Row],[cod_actividad]]="","",_xlfn.XLOOKUP(tblOrdenes[[#This Row],[cod_actividad]],tblActividades[codigo],tblActividades[descripcion],"(sin catálogo)"))</f>
        <v/>
      </c>
      <c r="Z824" s="12">
        <f>IF(tblOrdenes[[#This Row],[fecha_inicio]]="","",TODAY()-tblOrdenes[[#This Row],[fecha_inicio]])</f>
        <v/>
      </c>
      <c r="AA824" s="3">
        <f>IF(tblOrdenes[[#This Row],[backlog_dias]]="","",IF(tblOrdenes[[#This Row],[backlog_dias]]&lt;0,"FUTURO",IF(tblOrdenes[[#This Row],[backlog_dias]]&gt;p_dias_backlog_max,"BACKLOG","MES CORRIENTE")))</f>
        <v/>
      </c>
      <c r="AB824" s="3">
        <f>IF(tblOrdenes[[#This Row],[backlog_dias]]="",FALSE,AND(tblOrdenes[[#This Row],[backlog_dias]]&gt;p_dias_backlog_min,tblOrdenes[[#This Row],[backlog_dias]]&lt;=p_dias_backlog_max))</f>
        <v/>
      </c>
      <c r="AC824" s="6" t="n"/>
      <c r="AD8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24" s="10">
        <f>IF(tblOrdenes[[#This Row],[orden]]="","",_xlfn.XLOOKUP(tblOrdenes[[#This Row],[id_operacion]],tblEjecucion[id_operacion],tblEjecucion[precio],0))</f>
        <v/>
      </c>
      <c r="AH824" s="10">
        <f>IF(tblOrdenes[[#This Row],[orden]]="","",MAX(0,_xlfn.XLOOKUP(tblOrdenes[[#This Row],[id_operacion]],tblEjecucion[id_operacion],tblEjecucion[costo_plan_total],0)-tblOrdenes[[#This Row],[costo_servicio]]))</f>
        <v/>
      </c>
      <c r="AI824" s="10">
        <f>IF(tblOrdenes[[#This Row],[orden]]="","",tblOrdenes[[#This Row],[costo_servicio]]+tblOrdenes[[#This Row],[costo_materiales]])</f>
        <v/>
      </c>
      <c r="AJ824" s="6" t="n"/>
      <c r="AK824" s="6" t="n"/>
      <c r="AL824" s="6" t="n"/>
      <c r="AM824" s="3">
        <f>IF(tblOrdenes[[#This Row],[link_checklist]]="","",HYPERLINK(p_ruta_base_checklists&amp;tblOrdenes[[#This Row],[link_checklist]],"abrir"))</f>
        <v/>
      </c>
      <c r="AN824" s="6" t="n"/>
      <c r="AO824" s="3">
        <f>IF(tblOrdenes[[#This Row],[orden]]="","",tblOrdenes[[#This Row],[orden]]&amp;IF(tblOrdenes[[#This Row],[operacion]]="","0010",tblOrdenes[[#This Row],[operacion]]))</f>
        <v/>
      </c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11" t="n"/>
      <c r="K825" s="3" t="n"/>
      <c r="L825" s="10" t="n"/>
      <c r="M825" s="6" t="n"/>
      <c r="N8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25" s="3">
        <f>IF(tblOrdenes[[#This Row],[fecha_inicio]]="","",YEAR(tblOrdenes[[#This Row],[fecha_inicio]]))</f>
        <v/>
      </c>
      <c r="R825" s="3">
        <f>IF(tblOrdenes[[#This Row],[fecha_inicio]]="","",MONTH(tblOrdenes[[#This Row],[fecha_inicio]]))</f>
        <v/>
      </c>
      <c r="S825" s="3">
        <f>IF(tblOrdenes[[#This Row],[fecha_inicio]]="","",INDEX(lista_dias,WEEKDAY(tblOrdenes[[#This Row],[fecha_inicio]],2)))</f>
        <v/>
      </c>
      <c r="T825" s="3">
        <f>IF(tblOrdenes[[#This Row],[tipo_ot]]="","",_xlfn.XLOOKUP(tblOrdenes[[#This Row],[tipo_ot]],tblTiposOT[codigo],tblTiposOT[clasificacion],"sin_clasificar"))</f>
        <v/>
      </c>
      <c r="U825" s="3">
        <f>IF(tblOrdenes[[#This Row],[centro_costo]]="","",_xlfn.XLOOKUP(tblOrdenes[[#This Row],[centro_costo]],tblCECO[codigo],tblCECO[linea],"(sin catálogo)"))</f>
        <v/>
      </c>
      <c r="V825" s="3">
        <f>IF(tblOrdenes[[#This Row],[centro_costo]]="","",_xlfn.XLOOKUP(tblOrdenes[[#This Row],[centro_costo]],tblCECO[codigo],tblCECO[area],"(sin catálogo)"))</f>
        <v/>
      </c>
      <c r="W825" s="3">
        <f>IF(tblOrdenes[[#This Row],[centro_costo]]="","",_xlfn.XLOOKUP(tblOrdenes[[#This Row],[centro_costo]],tblCECO[codigo],tblCECO[coordinador],"(sin catálogo)"))</f>
        <v/>
      </c>
      <c r="X825" s="3">
        <f>IF(tblOrdenes[[#This Row],[puesto_trabajo]]="","",_xlfn.XLOOKUP(tblOrdenes[[#This Row],[puesto_trabajo]],tblPuestos[codigo],tblPuestos[especialidad],"(sin catálogo)"))</f>
        <v/>
      </c>
      <c r="Y825" s="3">
        <f>IF(tblOrdenes[[#This Row],[cod_actividad]]="","",_xlfn.XLOOKUP(tblOrdenes[[#This Row],[cod_actividad]],tblActividades[codigo],tblActividades[descripcion],"(sin catálogo)"))</f>
        <v/>
      </c>
      <c r="Z825" s="12">
        <f>IF(tblOrdenes[[#This Row],[fecha_inicio]]="","",TODAY()-tblOrdenes[[#This Row],[fecha_inicio]])</f>
        <v/>
      </c>
      <c r="AA825" s="3">
        <f>IF(tblOrdenes[[#This Row],[backlog_dias]]="","",IF(tblOrdenes[[#This Row],[backlog_dias]]&lt;0,"FUTURO",IF(tblOrdenes[[#This Row],[backlog_dias]]&gt;p_dias_backlog_max,"BACKLOG","MES CORRIENTE")))</f>
        <v/>
      </c>
      <c r="AB825" s="3">
        <f>IF(tblOrdenes[[#This Row],[backlog_dias]]="",FALSE,AND(tblOrdenes[[#This Row],[backlog_dias]]&gt;p_dias_backlog_min,tblOrdenes[[#This Row],[backlog_dias]]&lt;=p_dias_backlog_max))</f>
        <v/>
      </c>
      <c r="AC825" s="6" t="n"/>
      <c r="AD8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25" s="10">
        <f>IF(tblOrdenes[[#This Row],[orden]]="","",_xlfn.XLOOKUP(tblOrdenes[[#This Row],[id_operacion]],tblEjecucion[id_operacion],tblEjecucion[precio],0))</f>
        <v/>
      </c>
      <c r="AH825" s="10">
        <f>IF(tblOrdenes[[#This Row],[orden]]="","",MAX(0,_xlfn.XLOOKUP(tblOrdenes[[#This Row],[id_operacion]],tblEjecucion[id_operacion],tblEjecucion[costo_plan_total],0)-tblOrdenes[[#This Row],[costo_servicio]]))</f>
        <v/>
      </c>
      <c r="AI825" s="10">
        <f>IF(tblOrdenes[[#This Row],[orden]]="","",tblOrdenes[[#This Row],[costo_servicio]]+tblOrdenes[[#This Row],[costo_materiales]])</f>
        <v/>
      </c>
      <c r="AJ825" s="6" t="n"/>
      <c r="AK825" s="6" t="n"/>
      <c r="AL825" s="6" t="n"/>
      <c r="AM825" s="3">
        <f>IF(tblOrdenes[[#This Row],[link_checklist]]="","",HYPERLINK(p_ruta_base_checklists&amp;tblOrdenes[[#This Row],[link_checklist]],"abrir"))</f>
        <v/>
      </c>
      <c r="AN825" s="6" t="n"/>
      <c r="AO825" s="3">
        <f>IF(tblOrdenes[[#This Row],[orden]]="","",tblOrdenes[[#This Row],[orden]]&amp;IF(tblOrdenes[[#This Row],[operacion]]="","0010",tblOrdenes[[#This Row],[operacion]]))</f>
        <v/>
      </c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11" t="n"/>
      <c r="K826" s="3" t="n"/>
      <c r="L826" s="10" t="n"/>
      <c r="M826" s="6" t="n"/>
      <c r="N8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26" s="3">
        <f>IF(tblOrdenes[[#This Row],[fecha_inicio]]="","",YEAR(tblOrdenes[[#This Row],[fecha_inicio]]))</f>
        <v/>
      </c>
      <c r="R826" s="3">
        <f>IF(tblOrdenes[[#This Row],[fecha_inicio]]="","",MONTH(tblOrdenes[[#This Row],[fecha_inicio]]))</f>
        <v/>
      </c>
      <c r="S826" s="3">
        <f>IF(tblOrdenes[[#This Row],[fecha_inicio]]="","",INDEX(lista_dias,WEEKDAY(tblOrdenes[[#This Row],[fecha_inicio]],2)))</f>
        <v/>
      </c>
      <c r="T826" s="3">
        <f>IF(tblOrdenes[[#This Row],[tipo_ot]]="","",_xlfn.XLOOKUP(tblOrdenes[[#This Row],[tipo_ot]],tblTiposOT[codigo],tblTiposOT[clasificacion],"sin_clasificar"))</f>
        <v/>
      </c>
      <c r="U826" s="3">
        <f>IF(tblOrdenes[[#This Row],[centro_costo]]="","",_xlfn.XLOOKUP(tblOrdenes[[#This Row],[centro_costo]],tblCECO[codigo],tblCECO[linea],"(sin catálogo)"))</f>
        <v/>
      </c>
      <c r="V826" s="3">
        <f>IF(tblOrdenes[[#This Row],[centro_costo]]="","",_xlfn.XLOOKUP(tblOrdenes[[#This Row],[centro_costo]],tblCECO[codigo],tblCECO[area],"(sin catálogo)"))</f>
        <v/>
      </c>
      <c r="W826" s="3">
        <f>IF(tblOrdenes[[#This Row],[centro_costo]]="","",_xlfn.XLOOKUP(tblOrdenes[[#This Row],[centro_costo]],tblCECO[codigo],tblCECO[coordinador],"(sin catálogo)"))</f>
        <v/>
      </c>
      <c r="X826" s="3">
        <f>IF(tblOrdenes[[#This Row],[puesto_trabajo]]="","",_xlfn.XLOOKUP(tblOrdenes[[#This Row],[puesto_trabajo]],tblPuestos[codigo],tblPuestos[especialidad],"(sin catálogo)"))</f>
        <v/>
      </c>
      <c r="Y826" s="3">
        <f>IF(tblOrdenes[[#This Row],[cod_actividad]]="","",_xlfn.XLOOKUP(tblOrdenes[[#This Row],[cod_actividad]],tblActividades[codigo],tblActividades[descripcion],"(sin catálogo)"))</f>
        <v/>
      </c>
      <c r="Z826" s="12">
        <f>IF(tblOrdenes[[#This Row],[fecha_inicio]]="","",TODAY()-tblOrdenes[[#This Row],[fecha_inicio]])</f>
        <v/>
      </c>
      <c r="AA826" s="3">
        <f>IF(tblOrdenes[[#This Row],[backlog_dias]]="","",IF(tblOrdenes[[#This Row],[backlog_dias]]&lt;0,"FUTURO",IF(tblOrdenes[[#This Row],[backlog_dias]]&gt;p_dias_backlog_max,"BACKLOG","MES CORRIENTE")))</f>
        <v/>
      </c>
      <c r="AB826" s="3">
        <f>IF(tblOrdenes[[#This Row],[backlog_dias]]="",FALSE,AND(tblOrdenes[[#This Row],[backlog_dias]]&gt;p_dias_backlog_min,tblOrdenes[[#This Row],[backlog_dias]]&lt;=p_dias_backlog_max))</f>
        <v/>
      </c>
      <c r="AC826" s="6" t="n"/>
      <c r="AD8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26" s="10">
        <f>IF(tblOrdenes[[#This Row],[orden]]="","",_xlfn.XLOOKUP(tblOrdenes[[#This Row],[id_operacion]],tblEjecucion[id_operacion],tblEjecucion[precio],0))</f>
        <v/>
      </c>
      <c r="AH826" s="10">
        <f>IF(tblOrdenes[[#This Row],[orden]]="","",MAX(0,_xlfn.XLOOKUP(tblOrdenes[[#This Row],[id_operacion]],tblEjecucion[id_operacion],tblEjecucion[costo_plan_total],0)-tblOrdenes[[#This Row],[costo_servicio]]))</f>
        <v/>
      </c>
      <c r="AI826" s="10">
        <f>IF(tblOrdenes[[#This Row],[orden]]="","",tblOrdenes[[#This Row],[costo_servicio]]+tblOrdenes[[#This Row],[costo_materiales]])</f>
        <v/>
      </c>
      <c r="AJ826" s="6" t="n"/>
      <c r="AK826" s="6" t="n"/>
      <c r="AL826" s="6" t="n"/>
      <c r="AM826" s="3">
        <f>IF(tblOrdenes[[#This Row],[link_checklist]]="","",HYPERLINK(p_ruta_base_checklists&amp;tblOrdenes[[#This Row],[link_checklist]],"abrir"))</f>
        <v/>
      </c>
      <c r="AN826" s="6" t="n"/>
      <c r="AO826" s="3">
        <f>IF(tblOrdenes[[#This Row],[orden]]="","",tblOrdenes[[#This Row],[orden]]&amp;IF(tblOrdenes[[#This Row],[operacion]]="","0010",tblOrdenes[[#This Row],[operacion]]))</f>
        <v/>
      </c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11" t="n"/>
      <c r="K827" s="3" t="n"/>
      <c r="L827" s="10" t="n"/>
      <c r="M827" s="6" t="n"/>
      <c r="N8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27" s="3">
        <f>IF(tblOrdenes[[#This Row],[fecha_inicio]]="","",YEAR(tblOrdenes[[#This Row],[fecha_inicio]]))</f>
        <v/>
      </c>
      <c r="R827" s="3">
        <f>IF(tblOrdenes[[#This Row],[fecha_inicio]]="","",MONTH(tblOrdenes[[#This Row],[fecha_inicio]]))</f>
        <v/>
      </c>
      <c r="S827" s="3">
        <f>IF(tblOrdenes[[#This Row],[fecha_inicio]]="","",INDEX(lista_dias,WEEKDAY(tblOrdenes[[#This Row],[fecha_inicio]],2)))</f>
        <v/>
      </c>
      <c r="T827" s="3">
        <f>IF(tblOrdenes[[#This Row],[tipo_ot]]="","",_xlfn.XLOOKUP(tblOrdenes[[#This Row],[tipo_ot]],tblTiposOT[codigo],tblTiposOT[clasificacion],"sin_clasificar"))</f>
        <v/>
      </c>
      <c r="U827" s="3">
        <f>IF(tblOrdenes[[#This Row],[centro_costo]]="","",_xlfn.XLOOKUP(tblOrdenes[[#This Row],[centro_costo]],tblCECO[codigo],tblCECO[linea],"(sin catálogo)"))</f>
        <v/>
      </c>
      <c r="V827" s="3">
        <f>IF(tblOrdenes[[#This Row],[centro_costo]]="","",_xlfn.XLOOKUP(tblOrdenes[[#This Row],[centro_costo]],tblCECO[codigo],tblCECO[area],"(sin catálogo)"))</f>
        <v/>
      </c>
      <c r="W827" s="3">
        <f>IF(tblOrdenes[[#This Row],[centro_costo]]="","",_xlfn.XLOOKUP(tblOrdenes[[#This Row],[centro_costo]],tblCECO[codigo],tblCECO[coordinador],"(sin catálogo)"))</f>
        <v/>
      </c>
      <c r="X827" s="3">
        <f>IF(tblOrdenes[[#This Row],[puesto_trabajo]]="","",_xlfn.XLOOKUP(tblOrdenes[[#This Row],[puesto_trabajo]],tblPuestos[codigo],tblPuestos[especialidad],"(sin catálogo)"))</f>
        <v/>
      </c>
      <c r="Y827" s="3">
        <f>IF(tblOrdenes[[#This Row],[cod_actividad]]="","",_xlfn.XLOOKUP(tblOrdenes[[#This Row],[cod_actividad]],tblActividades[codigo],tblActividades[descripcion],"(sin catálogo)"))</f>
        <v/>
      </c>
      <c r="Z827" s="12">
        <f>IF(tblOrdenes[[#This Row],[fecha_inicio]]="","",TODAY()-tblOrdenes[[#This Row],[fecha_inicio]])</f>
        <v/>
      </c>
      <c r="AA827" s="3">
        <f>IF(tblOrdenes[[#This Row],[backlog_dias]]="","",IF(tblOrdenes[[#This Row],[backlog_dias]]&lt;0,"FUTURO",IF(tblOrdenes[[#This Row],[backlog_dias]]&gt;p_dias_backlog_max,"BACKLOG","MES CORRIENTE")))</f>
        <v/>
      </c>
      <c r="AB827" s="3">
        <f>IF(tblOrdenes[[#This Row],[backlog_dias]]="",FALSE,AND(tblOrdenes[[#This Row],[backlog_dias]]&gt;p_dias_backlog_min,tblOrdenes[[#This Row],[backlog_dias]]&lt;=p_dias_backlog_max))</f>
        <v/>
      </c>
      <c r="AC827" s="6" t="n"/>
      <c r="AD8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27" s="10">
        <f>IF(tblOrdenes[[#This Row],[orden]]="","",_xlfn.XLOOKUP(tblOrdenes[[#This Row],[id_operacion]],tblEjecucion[id_operacion],tblEjecucion[precio],0))</f>
        <v/>
      </c>
      <c r="AH827" s="10">
        <f>IF(tblOrdenes[[#This Row],[orden]]="","",MAX(0,_xlfn.XLOOKUP(tblOrdenes[[#This Row],[id_operacion]],tblEjecucion[id_operacion],tblEjecucion[costo_plan_total],0)-tblOrdenes[[#This Row],[costo_servicio]]))</f>
        <v/>
      </c>
      <c r="AI827" s="10">
        <f>IF(tblOrdenes[[#This Row],[orden]]="","",tblOrdenes[[#This Row],[costo_servicio]]+tblOrdenes[[#This Row],[costo_materiales]])</f>
        <v/>
      </c>
      <c r="AJ827" s="6" t="n"/>
      <c r="AK827" s="6" t="n"/>
      <c r="AL827" s="6" t="n"/>
      <c r="AM827" s="3">
        <f>IF(tblOrdenes[[#This Row],[link_checklist]]="","",HYPERLINK(p_ruta_base_checklists&amp;tblOrdenes[[#This Row],[link_checklist]],"abrir"))</f>
        <v/>
      </c>
      <c r="AN827" s="6" t="n"/>
      <c r="AO827" s="3">
        <f>IF(tblOrdenes[[#This Row],[orden]]="","",tblOrdenes[[#This Row],[orden]]&amp;IF(tblOrdenes[[#This Row],[operacion]]="","0010",tblOrdenes[[#This Row],[operacion]]))</f>
        <v/>
      </c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11" t="n"/>
      <c r="K828" s="3" t="n"/>
      <c r="L828" s="10" t="n"/>
      <c r="M828" s="6" t="n"/>
      <c r="N8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28" s="3">
        <f>IF(tblOrdenes[[#This Row],[fecha_inicio]]="","",YEAR(tblOrdenes[[#This Row],[fecha_inicio]]))</f>
        <v/>
      </c>
      <c r="R828" s="3">
        <f>IF(tblOrdenes[[#This Row],[fecha_inicio]]="","",MONTH(tblOrdenes[[#This Row],[fecha_inicio]]))</f>
        <v/>
      </c>
      <c r="S828" s="3">
        <f>IF(tblOrdenes[[#This Row],[fecha_inicio]]="","",INDEX(lista_dias,WEEKDAY(tblOrdenes[[#This Row],[fecha_inicio]],2)))</f>
        <v/>
      </c>
      <c r="T828" s="3">
        <f>IF(tblOrdenes[[#This Row],[tipo_ot]]="","",_xlfn.XLOOKUP(tblOrdenes[[#This Row],[tipo_ot]],tblTiposOT[codigo],tblTiposOT[clasificacion],"sin_clasificar"))</f>
        <v/>
      </c>
      <c r="U828" s="3">
        <f>IF(tblOrdenes[[#This Row],[centro_costo]]="","",_xlfn.XLOOKUP(tblOrdenes[[#This Row],[centro_costo]],tblCECO[codigo],tblCECO[linea],"(sin catálogo)"))</f>
        <v/>
      </c>
      <c r="V828" s="3">
        <f>IF(tblOrdenes[[#This Row],[centro_costo]]="","",_xlfn.XLOOKUP(tblOrdenes[[#This Row],[centro_costo]],tblCECO[codigo],tblCECO[area],"(sin catálogo)"))</f>
        <v/>
      </c>
      <c r="W828" s="3">
        <f>IF(tblOrdenes[[#This Row],[centro_costo]]="","",_xlfn.XLOOKUP(tblOrdenes[[#This Row],[centro_costo]],tblCECO[codigo],tblCECO[coordinador],"(sin catálogo)"))</f>
        <v/>
      </c>
      <c r="X828" s="3">
        <f>IF(tblOrdenes[[#This Row],[puesto_trabajo]]="","",_xlfn.XLOOKUP(tblOrdenes[[#This Row],[puesto_trabajo]],tblPuestos[codigo],tblPuestos[especialidad],"(sin catálogo)"))</f>
        <v/>
      </c>
      <c r="Y828" s="3">
        <f>IF(tblOrdenes[[#This Row],[cod_actividad]]="","",_xlfn.XLOOKUP(tblOrdenes[[#This Row],[cod_actividad]],tblActividades[codigo],tblActividades[descripcion],"(sin catálogo)"))</f>
        <v/>
      </c>
      <c r="Z828" s="12">
        <f>IF(tblOrdenes[[#This Row],[fecha_inicio]]="","",TODAY()-tblOrdenes[[#This Row],[fecha_inicio]])</f>
        <v/>
      </c>
      <c r="AA828" s="3">
        <f>IF(tblOrdenes[[#This Row],[backlog_dias]]="","",IF(tblOrdenes[[#This Row],[backlog_dias]]&lt;0,"FUTURO",IF(tblOrdenes[[#This Row],[backlog_dias]]&gt;p_dias_backlog_max,"BACKLOG","MES CORRIENTE")))</f>
        <v/>
      </c>
      <c r="AB828" s="3">
        <f>IF(tblOrdenes[[#This Row],[backlog_dias]]="",FALSE,AND(tblOrdenes[[#This Row],[backlog_dias]]&gt;p_dias_backlog_min,tblOrdenes[[#This Row],[backlog_dias]]&lt;=p_dias_backlog_max))</f>
        <v/>
      </c>
      <c r="AC828" s="6" t="n"/>
      <c r="AD8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28" s="10">
        <f>IF(tblOrdenes[[#This Row],[orden]]="","",_xlfn.XLOOKUP(tblOrdenes[[#This Row],[id_operacion]],tblEjecucion[id_operacion],tblEjecucion[precio],0))</f>
        <v/>
      </c>
      <c r="AH828" s="10">
        <f>IF(tblOrdenes[[#This Row],[orden]]="","",MAX(0,_xlfn.XLOOKUP(tblOrdenes[[#This Row],[id_operacion]],tblEjecucion[id_operacion],tblEjecucion[costo_plan_total],0)-tblOrdenes[[#This Row],[costo_servicio]]))</f>
        <v/>
      </c>
      <c r="AI828" s="10">
        <f>IF(tblOrdenes[[#This Row],[orden]]="","",tblOrdenes[[#This Row],[costo_servicio]]+tblOrdenes[[#This Row],[costo_materiales]])</f>
        <v/>
      </c>
      <c r="AJ828" s="6" t="n"/>
      <c r="AK828" s="6" t="n"/>
      <c r="AL828" s="6" t="n"/>
      <c r="AM828" s="3">
        <f>IF(tblOrdenes[[#This Row],[link_checklist]]="","",HYPERLINK(p_ruta_base_checklists&amp;tblOrdenes[[#This Row],[link_checklist]],"abrir"))</f>
        <v/>
      </c>
      <c r="AN828" s="6" t="n"/>
      <c r="AO828" s="3">
        <f>IF(tblOrdenes[[#This Row],[orden]]="","",tblOrdenes[[#This Row],[orden]]&amp;IF(tblOrdenes[[#This Row],[operacion]]="","0010",tblOrdenes[[#This Row],[operacion]]))</f>
        <v/>
      </c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11" t="n"/>
      <c r="K829" s="3" t="n"/>
      <c r="L829" s="10" t="n"/>
      <c r="M829" s="6" t="n"/>
      <c r="N8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29" s="3">
        <f>IF(tblOrdenes[[#This Row],[fecha_inicio]]="","",YEAR(tblOrdenes[[#This Row],[fecha_inicio]]))</f>
        <v/>
      </c>
      <c r="R829" s="3">
        <f>IF(tblOrdenes[[#This Row],[fecha_inicio]]="","",MONTH(tblOrdenes[[#This Row],[fecha_inicio]]))</f>
        <v/>
      </c>
      <c r="S829" s="3">
        <f>IF(tblOrdenes[[#This Row],[fecha_inicio]]="","",INDEX(lista_dias,WEEKDAY(tblOrdenes[[#This Row],[fecha_inicio]],2)))</f>
        <v/>
      </c>
      <c r="T829" s="3">
        <f>IF(tblOrdenes[[#This Row],[tipo_ot]]="","",_xlfn.XLOOKUP(tblOrdenes[[#This Row],[tipo_ot]],tblTiposOT[codigo],tblTiposOT[clasificacion],"sin_clasificar"))</f>
        <v/>
      </c>
      <c r="U829" s="3">
        <f>IF(tblOrdenes[[#This Row],[centro_costo]]="","",_xlfn.XLOOKUP(tblOrdenes[[#This Row],[centro_costo]],tblCECO[codigo],tblCECO[linea],"(sin catálogo)"))</f>
        <v/>
      </c>
      <c r="V829" s="3">
        <f>IF(tblOrdenes[[#This Row],[centro_costo]]="","",_xlfn.XLOOKUP(tblOrdenes[[#This Row],[centro_costo]],tblCECO[codigo],tblCECO[area],"(sin catálogo)"))</f>
        <v/>
      </c>
      <c r="W829" s="3">
        <f>IF(tblOrdenes[[#This Row],[centro_costo]]="","",_xlfn.XLOOKUP(tblOrdenes[[#This Row],[centro_costo]],tblCECO[codigo],tblCECO[coordinador],"(sin catálogo)"))</f>
        <v/>
      </c>
      <c r="X829" s="3">
        <f>IF(tblOrdenes[[#This Row],[puesto_trabajo]]="","",_xlfn.XLOOKUP(tblOrdenes[[#This Row],[puesto_trabajo]],tblPuestos[codigo],tblPuestos[especialidad],"(sin catálogo)"))</f>
        <v/>
      </c>
      <c r="Y829" s="3">
        <f>IF(tblOrdenes[[#This Row],[cod_actividad]]="","",_xlfn.XLOOKUP(tblOrdenes[[#This Row],[cod_actividad]],tblActividades[codigo],tblActividades[descripcion],"(sin catálogo)"))</f>
        <v/>
      </c>
      <c r="Z829" s="12">
        <f>IF(tblOrdenes[[#This Row],[fecha_inicio]]="","",TODAY()-tblOrdenes[[#This Row],[fecha_inicio]])</f>
        <v/>
      </c>
      <c r="AA829" s="3">
        <f>IF(tblOrdenes[[#This Row],[backlog_dias]]="","",IF(tblOrdenes[[#This Row],[backlog_dias]]&lt;0,"FUTURO",IF(tblOrdenes[[#This Row],[backlog_dias]]&gt;p_dias_backlog_max,"BACKLOG","MES CORRIENTE")))</f>
        <v/>
      </c>
      <c r="AB829" s="3">
        <f>IF(tblOrdenes[[#This Row],[backlog_dias]]="",FALSE,AND(tblOrdenes[[#This Row],[backlog_dias]]&gt;p_dias_backlog_min,tblOrdenes[[#This Row],[backlog_dias]]&lt;=p_dias_backlog_max))</f>
        <v/>
      </c>
      <c r="AC829" s="6" t="n"/>
      <c r="AD8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29" s="10">
        <f>IF(tblOrdenes[[#This Row],[orden]]="","",_xlfn.XLOOKUP(tblOrdenes[[#This Row],[id_operacion]],tblEjecucion[id_operacion],tblEjecucion[precio],0))</f>
        <v/>
      </c>
      <c r="AH829" s="10">
        <f>IF(tblOrdenes[[#This Row],[orden]]="","",MAX(0,_xlfn.XLOOKUP(tblOrdenes[[#This Row],[id_operacion]],tblEjecucion[id_operacion],tblEjecucion[costo_plan_total],0)-tblOrdenes[[#This Row],[costo_servicio]]))</f>
        <v/>
      </c>
      <c r="AI829" s="10">
        <f>IF(tblOrdenes[[#This Row],[orden]]="","",tblOrdenes[[#This Row],[costo_servicio]]+tblOrdenes[[#This Row],[costo_materiales]])</f>
        <v/>
      </c>
      <c r="AJ829" s="6" t="n"/>
      <c r="AK829" s="6" t="n"/>
      <c r="AL829" s="6" t="n"/>
      <c r="AM829" s="3">
        <f>IF(tblOrdenes[[#This Row],[link_checklist]]="","",HYPERLINK(p_ruta_base_checklists&amp;tblOrdenes[[#This Row],[link_checklist]],"abrir"))</f>
        <v/>
      </c>
      <c r="AN829" s="6" t="n"/>
      <c r="AO829" s="3">
        <f>IF(tblOrdenes[[#This Row],[orden]]="","",tblOrdenes[[#This Row],[orden]]&amp;IF(tblOrdenes[[#This Row],[operacion]]="","0010",tblOrdenes[[#This Row],[operacion]]))</f>
        <v/>
      </c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11" t="n"/>
      <c r="K830" s="3" t="n"/>
      <c r="L830" s="10" t="n"/>
      <c r="M830" s="6" t="n"/>
      <c r="N8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30" s="3">
        <f>IF(tblOrdenes[[#This Row],[fecha_inicio]]="","",YEAR(tblOrdenes[[#This Row],[fecha_inicio]]))</f>
        <v/>
      </c>
      <c r="R830" s="3">
        <f>IF(tblOrdenes[[#This Row],[fecha_inicio]]="","",MONTH(tblOrdenes[[#This Row],[fecha_inicio]]))</f>
        <v/>
      </c>
      <c r="S830" s="3">
        <f>IF(tblOrdenes[[#This Row],[fecha_inicio]]="","",INDEX(lista_dias,WEEKDAY(tblOrdenes[[#This Row],[fecha_inicio]],2)))</f>
        <v/>
      </c>
      <c r="T830" s="3">
        <f>IF(tblOrdenes[[#This Row],[tipo_ot]]="","",_xlfn.XLOOKUP(tblOrdenes[[#This Row],[tipo_ot]],tblTiposOT[codigo],tblTiposOT[clasificacion],"sin_clasificar"))</f>
        <v/>
      </c>
      <c r="U830" s="3">
        <f>IF(tblOrdenes[[#This Row],[centro_costo]]="","",_xlfn.XLOOKUP(tblOrdenes[[#This Row],[centro_costo]],tblCECO[codigo],tblCECO[linea],"(sin catálogo)"))</f>
        <v/>
      </c>
      <c r="V830" s="3">
        <f>IF(tblOrdenes[[#This Row],[centro_costo]]="","",_xlfn.XLOOKUP(tblOrdenes[[#This Row],[centro_costo]],tblCECO[codigo],tblCECO[area],"(sin catálogo)"))</f>
        <v/>
      </c>
      <c r="W830" s="3">
        <f>IF(tblOrdenes[[#This Row],[centro_costo]]="","",_xlfn.XLOOKUP(tblOrdenes[[#This Row],[centro_costo]],tblCECO[codigo],tblCECO[coordinador],"(sin catálogo)"))</f>
        <v/>
      </c>
      <c r="X830" s="3">
        <f>IF(tblOrdenes[[#This Row],[puesto_trabajo]]="","",_xlfn.XLOOKUP(tblOrdenes[[#This Row],[puesto_trabajo]],tblPuestos[codigo],tblPuestos[especialidad],"(sin catálogo)"))</f>
        <v/>
      </c>
      <c r="Y830" s="3">
        <f>IF(tblOrdenes[[#This Row],[cod_actividad]]="","",_xlfn.XLOOKUP(tblOrdenes[[#This Row],[cod_actividad]],tblActividades[codigo],tblActividades[descripcion],"(sin catálogo)"))</f>
        <v/>
      </c>
      <c r="Z830" s="12">
        <f>IF(tblOrdenes[[#This Row],[fecha_inicio]]="","",TODAY()-tblOrdenes[[#This Row],[fecha_inicio]])</f>
        <v/>
      </c>
      <c r="AA830" s="3">
        <f>IF(tblOrdenes[[#This Row],[backlog_dias]]="","",IF(tblOrdenes[[#This Row],[backlog_dias]]&lt;0,"FUTURO",IF(tblOrdenes[[#This Row],[backlog_dias]]&gt;p_dias_backlog_max,"BACKLOG","MES CORRIENTE")))</f>
        <v/>
      </c>
      <c r="AB830" s="3">
        <f>IF(tblOrdenes[[#This Row],[backlog_dias]]="",FALSE,AND(tblOrdenes[[#This Row],[backlog_dias]]&gt;p_dias_backlog_min,tblOrdenes[[#This Row],[backlog_dias]]&lt;=p_dias_backlog_max))</f>
        <v/>
      </c>
      <c r="AC830" s="6" t="n"/>
      <c r="AD8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30" s="10">
        <f>IF(tblOrdenes[[#This Row],[orden]]="","",_xlfn.XLOOKUP(tblOrdenes[[#This Row],[id_operacion]],tblEjecucion[id_operacion],tblEjecucion[precio],0))</f>
        <v/>
      </c>
      <c r="AH830" s="10">
        <f>IF(tblOrdenes[[#This Row],[orden]]="","",MAX(0,_xlfn.XLOOKUP(tblOrdenes[[#This Row],[id_operacion]],tblEjecucion[id_operacion],tblEjecucion[costo_plan_total],0)-tblOrdenes[[#This Row],[costo_servicio]]))</f>
        <v/>
      </c>
      <c r="AI830" s="10">
        <f>IF(tblOrdenes[[#This Row],[orden]]="","",tblOrdenes[[#This Row],[costo_servicio]]+tblOrdenes[[#This Row],[costo_materiales]])</f>
        <v/>
      </c>
      <c r="AJ830" s="6" t="n"/>
      <c r="AK830" s="6" t="n"/>
      <c r="AL830" s="6" t="n"/>
      <c r="AM830" s="3">
        <f>IF(tblOrdenes[[#This Row],[link_checklist]]="","",HYPERLINK(p_ruta_base_checklists&amp;tblOrdenes[[#This Row],[link_checklist]],"abrir"))</f>
        <v/>
      </c>
      <c r="AN830" s="6" t="n"/>
      <c r="AO830" s="3">
        <f>IF(tblOrdenes[[#This Row],[orden]]="","",tblOrdenes[[#This Row],[orden]]&amp;IF(tblOrdenes[[#This Row],[operacion]]="","0010",tblOrdenes[[#This Row],[operacion]]))</f>
        <v/>
      </c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11" t="n"/>
      <c r="K831" s="3" t="n"/>
      <c r="L831" s="10" t="n"/>
      <c r="M831" s="6" t="n"/>
      <c r="N8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31" s="3">
        <f>IF(tblOrdenes[[#This Row],[fecha_inicio]]="","",YEAR(tblOrdenes[[#This Row],[fecha_inicio]]))</f>
        <v/>
      </c>
      <c r="R831" s="3">
        <f>IF(tblOrdenes[[#This Row],[fecha_inicio]]="","",MONTH(tblOrdenes[[#This Row],[fecha_inicio]]))</f>
        <v/>
      </c>
      <c r="S831" s="3">
        <f>IF(tblOrdenes[[#This Row],[fecha_inicio]]="","",INDEX(lista_dias,WEEKDAY(tblOrdenes[[#This Row],[fecha_inicio]],2)))</f>
        <v/>
      </c>
      <c r="T831" s="3">
        <f>IF(tblOrdenes[[#This Row],[tipo_ot]]="","",_xlfn.XLOOKUP(tblOrdenes[[#This Row],[tipo_ot]],tblTiposOT[codigo],tblTiposOT[clasificacion],"sin_clasificar"))</f>
        <v/>
      </c>
      <c r="U831" s="3">
        <f>IF(tblOrdenes[[#This Row],[centro_costo]]="","",_xlfn.XLOOKUP(tblOrdenes[[#This Row],[centro_costo]],tblCECO[codigo],tblCECO[linea],"(sin catálogo)"))</f>
        <v/>
      </c>
      <c r="V831" s="3">
        <f>IF(tblOrdenes[[#This Row],[centro_costo]]="","",_xlfn.XLOOKUP(tblOrdenes[[#This Row],[centro_costo]],tblCECO[codigo],tblCECO[area],"(sin catálogo)"))</f>
        <v/>
      </c>
      <c r="W831" s="3">
        <f>IF(tblOrdenes[[#This Row],[centro_costo]]="","",_xlfn.XLOOKUP(tblOrdenes[[#This Row],[centro_costo]],tblCECO[codigo],tblCECO[coordinador],"(sin catálogo)"))</f>
        <v/>
      </c>
      <c r="X831" s="3">
        <f>IF(tblOrdenes[[#This Row],[puesto_trabajo]]="","",_xlfn.XLOOKUP(tblOrdenes[[#This Row],[puesto_trabajo]],tblPuestos[codigo],tblPuestos[especialidad],"(sin catálogo)"))</f>
        <v/>
      </c>
      <c r="Y831" s="3">
        <f>IF(tblOrdenes[[#This Row],[cod_actividad]]="","",_xlfn.XLOOKUP(tblOrdenes[[#This Row],[cod_actividad]],tblActividades[codigo],tblActividades[descripcion],"(sin catálogo)"))</f>
        <v/>
      </c>
      <c r="Z831" s="12">
        <f>IF(tblOrdenes[[#This Row],[fecha_inicio]]="","",TODAY()-tblOrdenes[[#This Row],[fecha_inicio]])</f>
        <v/>
      </c>
      <c r="AA831" s="3">
        <f>IF(tblOrdenes[[#This Row],[backlog_dias]]="","",IF(tblOrdenes[[#This Row],[backlog_dias]]&lt;0,"FUTURO",IF(tblOrdenes[[#This Row],[backlog_dias]]&gt;p_dias_backlog_max,"BACKLOG","MES CORRIENTE")))</f>
        <v/>
      </c>
      <c r="AB831" s="3">
        <f>IF(tblOrdenes[[#This Row],[backlog_dias]]="",FALSE,AND(tblOrdenes[[#This Row],[backlog_dias]]&gt;p_dias_backlog_min,tblOrdenes[[#This Row],[backlog_dias]]&lt;=p_dias_backlog_max))</f>
        <v/>
      </c>
      <c r="AC831" s="6" t="n"/>
      <c r="AD8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31" s="10">
        <f>IF(tblOrdenes[[#This Row],[orden]]="","",_xlfn.XLOOKUP(tblOrdenes[[#This Row],[id_operacion]],tblEjecucion[id_operacion],tblEjecucion[precio],0))</f>
        <v/>
      </c>
      <c r="AH831" s="10">
        <f>IF(tblOrdenes[[#This Row],[orden]]="","",MAX(0,_xlfn.XLOOKUP(tblOrdenes[[#This Row],[id_operacion]],tblEjecucion[id_operacion],tblEjecucion[costo_plan_total],0)-tblOrdenes[[#This Row],[costo_servicio]]))</f>
        <v/>
      </c>
      <c r="AI831" s="10">
        <f>IF(tblOrdenes[[#This Row],[orden]]="","",tblOrdenes[[#This Row],[costo_servicio]]+tblOrdenes[[#This Row],[costo_materiales]])</f>
        <v/>
      </c>
      <c r="AJ831" s="6" t="n"/>
      <c r="AK831" s="6" t="n"/>
      <c r="AL831" s="6" t="n"/>
      <c r="AM831" s="3">
        <f>IF(tblOrdenes[[#This Row],[link_checklist]]="","",HYPERLINK(p_ruta_base_checklists&amp;tblOrdenes[[#This Row],[link_checklist]],"abrir"))</f>
        <v/>
      </c>
      <c r="AN831" s="6" t="n"/>
      <c r="AO831" s="3">
        <f>IF(tblOrdenes[[#This Row],[orden]]="","",tblOrdenes[[#This Row],[orden]]&amp;IF(tblOrdenes[[#This Row],[operacion]]="","0010",tblOrdenes[[#This Row],[operacion]]))</f>
        <v/>
      </c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11" t="n"/>
      <c r="K832" s="3" t="n"/>
      <c r="L832" s="10" t="n"/>
      <c r="M832" s="6" t="n"/>
      <c r="N8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32" s="3">
        <f>IF(tblOrdenes[[#This Row],[fecha_inicio]]="","",YEAR(tblOrdenes[[#This Row],[fecha_inicio]]))</f>
        <v/>
      </c>
      <c r="R832" s="3">
        <f>IF(tblOrdenes[[#This Row],[fecha_inicio]]="","",MONTH(tblOrdenes[[#This Row],[fecha_inicio]]))</f>
        <v/>
      </c>
      <c r="S832" s="3">
        <f>IF(tblOrdenes[[#This Row],[fecha_inicio]]="","",INDEX(lista_dias,WEEKDAY(tblOrdenes[[#This Row],[fecha_inicio]],2)))</f>
        <v/>
      </c>
      <c r="T832" s="3">
        <f>IF(tblOrdenes[[#This Row],[tipo_ot]]="","",_xlfn.XLOOKUP(tblOrdenes[[#This Row],[tipo_ot]],tblTiposOT[codigo],tblTiposOT[clasificacion],"sin_clasificar"))</f>
        <v/>
      </c>
      <c r="U832" s="3">
        <f>IF(tblOrdenes[[#This Row],[centro_costo]]="","",_xlfn.XLOOKUP(tblOrdenes[[#This Row],[centro_costo]],tblCECO[codigo],tblCECO[linea],"(sin catálogo)"))</f>
        <v/>
      </c>
      <c r="V832" s="3">
        <f>IF(tblOrdenes[[#This Row],[centro_costo]]="","",_xlfn.XLOOKUP(tblOrdenes[[#This Row],[centro_costo]],tblCECO[codigo],tblCECO[area],"(sin catálogo)"))</f>
        <v/>
      </c>
      <c r="W832" s="3">
        <f>IF(tblOrdenes[[#This Row],[centro_costo]]="","",_xlfn.XLOOKUP(tblOrdenes[[#This Row],[centro_costo]],tblCECO[codigo],tblCECO[coordinador],"(sin catálogo)"))</f>
        <v/>
      </c>
      <c r="X832" s="3">
        <f>IF(tblOrdenes[[#This Row],[puesto_trabajo]]="","",_xlfn.XLOOKUP(tblOrdenes[[#This Row],[puesto_trabajo]],tblPuestos[codigo],tblPuestos[especialidad],"(sin catálogo)"))</f>
        <v/>
      </c>
      <c r="Y832" s="3">
        <f>IF(tblOrdenes[[#This Row],[cod_actividad]]="","",_xlfn.XLOOKUP(tblOrdenes[[#This Row],[cod_actividad]],tblActividades[codigo],tblActividades[descripcion],"(sin catálogo)"))</f>
        <v/>
      </c>
      <c r="Z832" s="12">
        <f>IF(tblOrdenes[[#This Row],[fecha_inicio]]="","",TODAY()-tblOrdenes[[#This Row],[fecha_inicio]])</f>
        <v/>
      </c>
      <c r="AA832" s="3">
        <f>IF(tblOrdenes[[#This Row],[backlog_dias]]="","",IF(tblOrdenes[[#This Row],[backlog_dias]]&lt;0,"FUTURO",IF(tblOrdenes[[#This Row],[backlog_dias]]&gt;p_dias_backlog_max,"BACKLOG","MES CORRIENTE")))</f>
        <v/>
      </c>
      <c r="AB832" s="3">
        <f>IF(tblOrdenes[[#This Row],[backlog_dias]]="",FALSE,AND(tblOrdenes[[#This Row],[backlog_dias]]&gt;p_dias_backlog_min,tblOrdenes[[#This Row],[backlog_dias]]&lt;=p_dias_backlog_max))</f>
        <v/>
      </c>
      <c r="AC832" s="6" t="n"/>
      <c r="AD8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32" s="10">
        <f>IF(tblOrdenes[[#This Row],[orden]]="","",_xlfn.XLOOKUP(tblOrdenes[[#This Row],[id_operacion]],tblEjecucion[id_operacion],tblEjecucion[precio],0))</f>
        <v/>
      </c>
      <c r="AH832" s="10">
        <f>IF(tblOrdenes[[#This Row],[orden]]="","",MAX(0,_xlfn.XLOOKUP(tblOrdenes[[#This Row],[id_operacion]],tblEjecucion[id_operacion],tblEjecucion[costo_plan_total],0)-tblOrdenes[[#This Row],[costo_servicio]]))</f>
        <v/>
      </c>
      <c r="AI832" s="10">
        <f>IF(tblOrdenes[[#This Row],[orden]]="","",tblOrdenes[[#This Row],[costo_servicio]]+tblOrdenes[[#This Row],[costo_materiales]])</f>
        <v/>
      </c>
      <c r="AJ832" s="6" t="n"/>
      <c r="AK832" s="6" t="n"/>
      <c r="AL832" s="6" t="n"/>
      <c r="AM832" s="3">
        <f>IF(tblOrdenes[[#This Row],[link_checklist]]="","",HYPERLINK(p_ruta_base_checklists&amp;tblOrdenes[[#This Row],[link_checklist]],"abrir"))</f>
        <v/>
      </c>
      <c r="AN832" s="6" t="n"/>
      <c r="AO832" s="3">
        <f>IF(tblOrdenes[[#This Row],[orden]]="","",tblOrdenes[[#This Row],[orden]]&amp;IF(tblOrdenes[[#This Row],[operacion]]="","0010",tblOrdenes[[#This Row],[operacion]]))</f>
        <v/>
      </c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11" t="n"/>
      <c r="K833" s="3" t="n"/>
      <c r="L833" s="10" t="n"/>
      <c r="M833" s="6" t="n"/>
      <c r="N8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33" s="3">
        <f>IF(tblOrdenes[[#This Row],[fecha_inicio]]="","",YEAR(tblOrdenes[[#This Row],[fecha_inicio]]))</f>
        <v/>
      </c>
      <c r="R833" s="3">
        <f>IF(tblOrdenes[[#This Row],[fecha_inicio]]="","",MONTH(tblOrdenes[[#This Row],[fecha_inicio]]))</f>
        <v/>
      </c>
      <c r="S833" s="3">
        <f>IF(tblOrdenes[[#This Row],[fecha_inicio]]="","",INDEX(lista_dias,WEEKDAY(tblOrdenes[[#This Row],[fecha_inicio]],2)))</f>
        <v/>
      </c>
      <c r="T833" s="3">
        <f>IF(tblOrdenes[[#This Row],[tipo_ot]]="","",_xlfn.XLOOKUP(tblOrdenes[[#This Row],[tipo_ot]],tblTiposOT[codigo],tblTiposOT[clasificacion],"sin_clasificar"))</f>
        <v/>
      </c>
      <c r="U833" s="3">
        <f>IF(tblOrdenes[[#This Row],[centro_costo]]="","",_xlfn.XLOOKUP(tblOrdenes[[#This Row],[centro_costo]],tblCECO[codigo],tblCECO[linea],"(sin catálogo)"))</f>
        <v/>
      </c>
      <c r="V833" s="3">
        <f>IF(tblOrdenes[[#This Row],[centro_costo]]="","",_xlfn.XLOOKUP(tblOrdenes[[#This Row],[centro_costo]],tblCECO[codigo],tblCECO[area],"(sin catálogo)"))</f>
        <v/>
      </c>
      <c r="W833" s="3">
        <f>IF(tblOrdenes[[#This Row],[centro_costo]]="","",_xlfn.XLOOKUP(tblOrdenes[[#This Row],[centro_costo]],tblCECO[codigo],tblCECO[coordinador],"(sin catálogo)"))</f>
        <v/>
      </c>
      <c r="X833" s="3">
        <f>IF(tblOrdenes[[#This Row],[puesto_trabajo]]="","",_xlfn.XLOOKUP(tblOrdenes[[#This Row],[puesto_trabajo]],tblPuestos[codigo],tblPuestos[especialidad],"(sin catálogo)"))</f>
        <v/>
      </c>
      <c r="Y833" s="3">
        <f>IF(tblOrdenes[[#This Row],[cod_actividad]]="","",_xlfn.XLOOKUP(tblOrdenes[[#This Row],[cod_actividad]],tblActividades[codigo],tblActividades[descripcion],"(sin catálogo)"))</f>
        <v/>
      </c>
      <c r="Z833" s="12">
        <f>IF(tblOrdenes[[#This Row],[fecha_inicio]]="","",TODAY()-tblOrdenes[[#This Row],[fecha_inicio]])</f>
        <v/>
      </c>
      <c r="AA833" s="3">
        <f>IF(tblOrdenes[[#This Row],[backlog_dias]]="","",IF(tblOrdenes[[#This Row],[backlog_dias]]&lt;0,"FUTURO",IF(tblOrdenes[[#This Row],[backlog_dias]]&gt;p_dias_backlog_max,"BACKLOG","MES CORRIENTE")))</f>
        <v/>
      </c>
      <c r="AB833" s="3">
        <f>IF(tblOrdenes[[#This Row],[backlog_dias]]="",FALSE,AND(tblOrdenes[[#This Row],[backlog_dias]]&gt;p_dias_backlog_min,tblOrdenes[[#This Row],[backlog_dias]]&lt;=p_dias_backlog_max))</f>
        <v/>
      </c>
      <c r="AC833" s="6" t="n"/>
      <c r="AD8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33" s="10">
        <f>IF(tblOrdenes[[#This Row],[orden]]="","",_xlfn.XLOOKUP(tblOrdenes[[#This Row],[id_operacion]],tblEjecucion[id_operacion],tblEjecucion[precio],0))</f>
        <v/>
      </c>
      <c r="AH833" s="10">
        <f>IF(tblOrdenes[[#This Row],[orden]]="","",MAX(0,_xlfn.XLOOKUP(tblOrdenes[[#This Row],[id_operacion]],tblEjecucion[id_operacion],tblEjecucion[costo_plan_total],0)-tblOrdenes[[#This Row],[costo_servicio]]))</f>
        <v/>
      </c>
      <c r="AI833" s="10">
        <f>IF(tblOrdenes[[#This Row],[orden]]="","",tblOrdenes[[#This Row],[costo_servicio]]+tblOrdenes[[#This Row],[costo_materiales]])</f>
        <v/>
      </c>
      <c r="AJ833" s="6" t="n"/>
      <c r="AK833" s="6" t="n"/>
      <c r="AL833" s="6" t="n"/>
      <c r="AM833" s="3">
        <f>IF(tblOrdenes[[#This Row],[link_checklist]]="","",HYPERLINK(p_ruta_base_checklists&amp;tblOrdenes[[#This Row],[link_checklist]],"abrir"))</f>
        <v/>
      </c>
      <c r="AN833" s="6" t="n"/>
      <c r="AO833" s="3">
        <f>IF(tblOrdenes[[#This Row],[orden]]="","",tblOrdenes[[#This Row],[orden]]&amp;IF(tblOrdenes[[#This Row],[operacion]]="","0010",tblOrdenes[[#This Row],[operacion]]))</f>
        <v/>
      </c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11" t="n"/>
      <c r="K834" s="3" t="n"/>
      <c r="L834" s="10" t="n"/>
      <c r="M834" s="6" t="n"/>
      <c r="N8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34" s="3">
        <f>IF(tblOrdenes[[#This Row],[fecha_inicio]]="","",YEAR(tblOrdenes[[#This Row],[fecha_inicio]]))</f>
        <v/>
      </c>
      <c r="R834" s="3">
        <f>IF(tblOrdenes[[#This Row],[fecha_inicio]]="","",MONTH(tblOrdenes[[#This Row],[fecha_inicio]]))</f>
        <v/>
      </c>
      <c r="S834" s="3">
        <f>IF(tblOrdenes[[#This Row],[fecha_inicio]]="","",INDEX(lista_dias,WEEKDAY(tblOrdenes[[#This Row],[fecha_inicio]],2)))</f>
        <v/>
      </c>
      <c r="T834" s="3">
        <f>IF(tblOrdenes[[#This Row],[tipo_ot]]="","",_xlfn.XLOOKUP(tblOrdenes[[#This Row],[tipo_ot]],tblTiposOT[codigo],tblTiposOT[clasificacion],"sin_clasificar"))</f>
        <v/>
      </c>
      <c r="U834" s="3">
        <f>IF(tblOrdenes[[#This Row],[centro_costo]]="","",_xlfn.XLOOKUP(tblOrdenes[[#This Row],[centro_costo]],tblCECO[codigo],tblCECO[linea],"(sin catálogo)"))</f>
        <v/>
      </c>
      <c r="V834" s="3">
        <f>IF(tblOrdenes[[#This Row],[centro_costo]]="","",_xlfn.XLOOKUP(tblOrdenes[[#This Row],[centro_costo]],tblCECO[codigo],tblCECO[area],"(sin catálogo)"))</f>
        <v/>
      </c>
      <c r="W834" s="3">
        <f>IF(tblOrdenes[[#This Row],[centro_costo]]="","",_xlfn.XLOOKUP(tblOrdenes[[#This Row],[centro_costo]],tblCECO[codigo],tblCECO[coordinador],"(sin catálogo)"))</f>
        <v/>
      </c>
      <c r="X834" s="3">
        <f>IF(tblOrdenes[[#This Row],[puesto_trabajo]]="","",_xlfn.XLOOKUP(tblOrdenes[[#This Row],[puesto_trabajo]],tblPuestos[codigo],tblPuestos[especialidad],"(sin catálogo)"))</f>
        <v/>
      </c>
      <c r="Y834" s="3">
        <f>IF(tblOrdenes[[#This Row],[cod_actividad]]="","",_xlfn.XLOOKUP(tblOrdenes[[#This Row],[cod_actividad]],tblActividades[codigo],tblActividades[descripcion],"(sin catálogo)"))</f>
        <v/>
      </c>
      <c r="Z834" s="12">
        <f>IF(tblOrdenes[[#This Row],[fecha_inicio]]="","",TODAY()-tblOrdenes[[#This Row],[fecha_inicio]])</f>
        <v/>
      </c>
      <c r="AA834" s="3">
        <f>IF(tblOrdenes[[#This Row],[backlog_dias]]="","",IF(tblOrdenes[[#This Row],[backlog_dias]]&lt;0,"FUTURO",IF(tblOrdenes[[#This Row],[backlog_dias]]&gt;p_dias_backlog_max,"BACKLOG","MES CORRIENTE")))</f>
        <v/>
      </c>
      <c r="AB834" s="3">
        <f>IF(tblOrdenes[[#This Row],[backlog_dias]]="",FALSE,AND(tblOrdenes[[#This Row],[backlog_dias]]&gt;p_dias_backlog_min,tblOrdenes[[#This Row],[backlog_dias]]&lt;=p_dias_backlog_max))</f>
        <v/>
      </c>
      <c r="AC834" s="6" t="n"/>
      <c r="AD8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34" s="10">
        <f>IF(tblOrdenes[[#This Row],[orden]]="","",_xlfn.XLOOKUP(tblOrdenes[[#This Row],[id_operacion]],tblEjecucion[id_operacion],tblEjecucion[precio],0))</f>
        <v/>
      </c>
      <c r="AH834" s="10">
        <f>IF(tblOrdenes[[#This Row],[orden]]="","",MAX(0,_xlfn.XLOOKUP(tblOrdenes[[#This Row],[id_operacion]],tblEjecucion[id_operacion],tblEjecucion[costo_plan_total],0)-tblOrdenes[[#This Row],[costo_servicio]]))</f>
        <v/>
      </c>
      <c r="AI834" s="10">
        <f>IF(tblOrdenes[[#This Row],[orden]]="","",tblOrdenes[[#This Row],[costo_servicio]]+tblOrdenes[[#This Row],[costo_materiales]])</f>
        <v/>
      </c>
      <c r="AJ834" s="6" t="n"/>
      <c r="AK834" s="6" t="n"/>
      <c r="AL834" s="6" t="n"/>
      <c r="AM834" s="3">
        <f>IF(tblOrdenes[[#This Row],[link_checklist]]="","",HYPERLINK(p_ruta_base_checklists&amp;tblOrdenes[[#This Row],[link_checklist]],"abrir"))</f>
        <v/>
      </c>
      <c r="AN834" s="6" t="n"/>
      <c r="AO834" s="3">
        <f>IF(tblOrdenes[[#This Row],[orden]]="","",tblOrdenes[[#This Row],[orden]]&amp;IF(tblOrdenes[[#This Row],[operacion]]="","0010",tblOrdenes[[#This Row],[operacion]]))</f>
        <v/>
      </c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11" t="n"/>
      <c r="K835" s="3" t="n"/>
      <c r="L835" s="10" t="n"/>
      <c r="M835" s="6" t="n"/>
      <c r="N8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35" s="3">
        <f>IF(tblOrdenes[[#This Row],[fecha_inicio]]="","",YEAR(tblOrdenes[[#This Row],[fecha_inicio]]))</f>
        <v/>
      </c>
      <c r="R835" s="3">
        <f>IF(tblOrdenes[[#This Row],[fecha_inicio]]="","",MONTH(tblOrdenes[[#This Row],[fecha_inicio]]))</f>
        <v/>
      </c>
      <c r="S835" s="3">
        <f>IF(tblOrdenes[[#This Row],[fecha_inicio]]="","",INDEX(lista_dias,WEEKDAY(tblOrdenes[[#This Row],[fecha_inicio]],2)))</f>
        <v/>
      </c>
      <c r="T835" s="3">
        <f>IF(tblOrdenes[[#This Row],[tipo_ot]]="","",_xlfn.XLOOKUP(tblOrdenes[[#This Row],[tipo_ot]],tblTiposOT[codigo],tblTiposOT[clasificacion],"sin_clasificar"))</f>
        <v/>
      </c>
      <c r="U835" s="3">
        <f>IF(tblOrdenes[[#This Row],[centro_costo]]="","",_xlfn.XLOOKUP(tblOrdenes[[#This Row],[centro_costo]],tblCECO[codigo],tblCECO[linea],"(sin catálogo)"))</f>
        <v/>
      </c>
      <c r="V835" s="3">
        <f>IF(tblOrdenes[[#This Row],[centro_costo]]="","",_xlfn.XLOOKUP(tblOrdenes[[#This Row],[centro_costo]],tblCECO[codigo],tblCECO[area],"(sin catálogo)"))</f>
        <v/>
      </c>
      <c r="W835" s="3">
        <f>IF(tblOrdenes[[#This Row],[centro_costo]]="","",_xlfn.XLOOKUP(tblOrdenes[[#This Row],[centro_costo]],tblCECO[codigo],tblCECO[coordinador],"(sin catálogo)"))</f>
        <v/>
      </c>
      <c r="X835" s="3">
        <f>IF(tblOrdenes[[#This Row],[puesto_trabajo]]="","",_xlfn.XLOOKUP(tblOrdenes[[#This Row],[puesto_trabajo]],tblPuestos[codigo],tblPuestos[especialidad],"(sin catálogo)"))</f>
        <v/>
      </c>
      <c r="Y835" s="3">
        <f>IF(tblOrdenes[[#This Row],[cod_actividad]]="","",_xlfn.XLOOKUP(tblOrdenes[[#This Row],[cod_actividad]],tblActividades[codigo],tblActividades[descripcion],"(sin catálogo)"))</f>
        <v/>
      </c>
      <c r="Z835" s="12">
        <f>IF(tblOrdenes[[#This Row],[fecha_inicio]]="","",TODAY()-tblOrdenes[[#This Row],[fecha_inicio]])</f>
        <v/>
      </c>
      <c r="AA835" s="3">
        <f>IF(tblOrdenes[[#This Row],[backlog_dias]]="","",IF(tblOrdenes[[#This Row],[backlog_dias]]&lt;0,"FUTURO",IF(tblOrdenes[[#This Row],[backlog_dias]]&gt;p_dias_backlog_max,"BACKLOG","MES CORRIENTE")))</f>
        <v/>
      </c>
      <c r="AB835" s="3">
        <f>IF(tblOrdenes[[#This Row],[backlog_dias]]="",FALSE,AND(tblOrdenes[[#This Row],[backlog_dias]]&gt;p_dias_backlog_min,tblOrdenes[[#This Row],[backlog_dias]]&lt;=p_dias_backlog_max))</f>
        <v/>
      </c>
      <c r="AC835" s="6" t="n"/>
      <c r="AD8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35" s="10">
        <f>IF(tblOrdenes[[#This Row],[orden]]="","",_xlfn.XLOOKUP(tblOrdenes[[#This Row],[id_operacion]],tblEjecucion[id_operacion],tblEjecucion[precio],0))</f>
        <v/>
      </c>
      <c r="AH835" s="10">
        <f>IF(tblOrdenes[[#This Row],[orden]]="","",MAX(0,_xlfn.XLOOKUP(tblOrdenes[[#This Row],[id_operacion]],tblEjecucion[id_operacion],tblEjecucion[costo_plan_total],0)-tblOrdenes[[#This Row],[costo_servicio]]))</f>
        <v/>
      </c>
      <c r="AI835" s="10">
        <f>IF(tblOrdenes[[#This Row],[orden]]="","",tblOrdenes[[#This Row],[costo_servicio]]+tblOrdenes[[#This Row],[costo_materiales]])</f>
        <v/>
      </c>
      <c r="AJ835" s="6" t="n"/>
      <c r="AK835" s="6" t="n"/>
      <c r="AL835" s="6" t="n"/>
      <c r="AM835" s="3">
        <f>IF(tblOrdenes[[#This Row],[link_checklist]]="","",HYPERLINK(p_ruta_base_checklists&amp;tblOrdenes[[#This Row],[link_checklist]],"abrir"))</f>
        <v/>
      </c>
      <c r="AN835" s="6" t="n"/>
      <c r="AO835" s="3">
        <f>IF(tblOrdenes[[#This Row],[orden]]="","",tblOrdenes[[#This Row],[orden]]&amp;IF(tblOrdenes[[#This Row],[operacion]]="","0010",tblOrdenes[[#This Row],[operacion]]))</f>
        <v/>
      </c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11" t="n"/>
      <c r="K836" s="3" t="n"/>
      <c r="L836" s="10" t="n"/>
      <c r="M836" s="6" t="n"/>
      <c r="N8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36" s="3">
        <f>IF(tblOrdenes[[#This Row],[fecha_inicio]]="","",YEAR(tblOrdenes[[#This Row],[fecha_inicio]]))</f>
        <v/>
      </c>
      <c r="R836" s="3">
        <f>IF(tblOrdenes[[#This Row],[fecha_inicio]]="","",MONTH(tblOrdenes[[#This Row],[fecha_inicio]]))</f>
        <v/>
      </c>
      <c r="S836" s="3">
        <f>IF(tblOrdenes[[#This Row],[fecha_inicio]]="","",INDEX(lista_dias,WEEKDAY(tblOrdenes[[#This Row],[fecha_inicio]],2)))</f>
        <v/>
      </c>
      <c r="T836" s="3">
        <f>IF(tblOrdenes[[#This Row],[tipo_ot]]="","",_xlfn.XLOOKUP(tblOrdenes[[#This Row],[tipo_ot]],tblTiposOT[codigo],tblTiposOT[clasificacion],"sin_clasificar"))</f>
        <v/>
      </c>
      <c r="U836" s="3">
        <f>IF(tblOrdenes[[#This Row],[centro_costo]]="","",_xlfn.XLOOKUP(tblOrdenes[[#This Row],[centro_costo]],tblCECO[codigo],tblCECO[linea],"(sin catálogo)"))</f>
        <v/>
      </c>
      <c r="V836" s="3">
        <f>IF(tblOrdenes[[#This Row],[centro_costo]]="","",_xlfn.XLOOKUP(tblOrdenes[[#This Row],[centro_costo]],tblCECO[codigo],tblCECO[area],"(sin catálogo)"))</f>
        <v/>
      </c>
      <c r="W836" s="3">
        <f>IF(tblOrdenes[[#This Row],[centro_costo]]="","",_xlfn.XLOOKUP(tblOrdenes[[#This Row],[centro_costo]],tblCECO[codigo],tblCECO[coordinador],"(sin catálogo)"))</f>
        <v/>
      </c>
      <c r="X836" s="3">
        <f>IF(tblOrdenes[[#This Row],[puesto_trabajo]]="","",_xlfn.XLOOKUP(tblOrdenes[[#This Row],[puesto_trabajo]],tblPuestos[codigo],tblPuestos[especialidad],"(sin catálogo)"))</f>
        <v/>
      </c>
      <c r="Y836" s="3">
        <f>IF(tblOrdenes[[#This Row],[cod_actividad]]="","",_xlfn.XLOOKUP(tblOrdenes[[#This Row],[cod_actividad]],tblActividades[codigo],tblActividades[descripcion],"(sin catálogo)"))</f>
        <v/>
      </c>
      <c r="Z836" s="12">
        <f>IF(tblOrdenes[[#This Row],[fecha_inicio]]="","",TODAY()-tblOrdenes[[#This Row],[fecha_inicio]])</f>
        <v/>
      </c>
      <c r="AA836" s="3">
        <f>IF(tblOrdenes[[#This Row],[backlog_dias]]="","",IF(tblOrdenes[[#This Row],[backlog_dias]]&lt;0,"FUTURO",IF(tblOrdenes[[#This Row],[backlog_dias]]&gt;p_dias_backlog_max,"BACKLOG","MES CORRIENTE")))</f>
        <v/>
      </c>
      <c r="AB836" s="3">
        <f>IF(tblOrdenes[[#This Row],[backlog_dias]]="",FALSE,AND(tblOrdenes[[#This Row],[backlog_dias]]&gt;p_dias_backlog_min,tblOrdenes[[#This Row],[backlog_dias]]&lt;=p_dias_backlog_max))</f>
        <v/>
      </c>
      <c r="AC836" s="6" t="n"/>
      <c r="AD8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36" s="10">
        <f>IF(tblOrdenes[[#This Row],[orden]]="","",_xlfn.XLOOKUP(tblOrdenes[[#This Row],[id_operacion]],tblEjecucion[id_operacion],tblEjecucion[precio],0))</f>
        <v/>
      </c>
      <c r="AH836" s="10">
        <f>IF(tblOrdenes[[#This Row],[orden]]="","",MAX(0,_xlfn.XLOOKUP(tblOrdenes[[#This Row],[id_operacion]],tblEjecucion[id_operacion],tblEjecucion[costo_plan_total],0)-tblOrdenes[[#This Row],[costo_servicio]]))</f>
        <v/>
      </c>
      <c r="AI836" s="10">
        <f>IF(tblOrdenes[[#This Row],[orden]]="","",tblOrdenes[[#This Row],[costo_servicio]]+tblOrdenes[[#This Row],[costo_materiales]])</f>
        <v/>
      </c>
      <c r="AJ836" s="6" t="n"/>
      <c r="AK836" s="6" t="n"/>
      <c r="AL836" s="6" t="n"/>
      <c r="AM836" s="3">
        <f>IF(tblOrdenes[[#This Row],[link_checklist]]="","",HYPERLINK(p_ruta_base_checklists&amp;tblOrdenes[[#This Row],[link_checklist]],"abrir"))</f>
        <v/>
      </c>
      <c r="AN836" s="6" t="n"/>
      <c r="AO836" s="3">
        <f>IF(tblOrdenes[[#This Row],[orden]]="","",tblOrdenes[[#This Row],[orden]]&amp;IF(tblOrdenes[[#This Row],[operacion]]="","0010",tblOrdenes[[#This Row],[operacion]]))</f>
        <v/>
      </c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11" t="n"/>
      <c r="K837" s="3" t="n"/>
      <c r="L837" s="10" t="n"/>
      <c r="M837" s="6" t="n"/>
      <c r="N8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37" s="3">
        <f>IF(tblOrdenes[[#This Row],[fecha_inicio]]="","",YEAR(tblOrdenes[[#This Row],[fecha_inicio]]))</f>
        <v/>
      </c>
      <c r="R837" s="3">
        <f>IF(tblOrdenes[[#This Row],[fecha_inicio]]="","",MONTH(tblOrdenes[[#This Row],[fecha_inicio]]))</f>
        <v/>
      </c>
      <c r="S837" s="3">
        <f>IF(tblOrdenes[[#This Row],[fecha_inicio]]="","",INDEX(lista_dias,WEEKDAY(tblOrdenes[[#This Row],[fecha_inicio]],2)))</f>
        <v/>
      </c>
      <c r="T837" s="3">
        <f>IF(tblOrdenes[[#This Row],[tipo_ot]]="","",_xlfn.XLOOKUP(tblOrdenes[[#This Row],[tipo_ot]],tblTiposOT[codigo],tblTiposOT[clasificacion],"sin_clasificar"))</f>
        <v/>
      </c>
      <c r="U837" s="3">
        <f>IF(tblOrdenes[[#This Row],[centro_costo]]="","",_xlfn.XLOOKUP(tblOrdenes[[#This Row],[centro_costo]],tblCECO[codigo],tblCECO[linea],"(sin catálogo)"))</f>
        <v/>
      </c>
      <c r="V837" s="3">
        <f>IF(tblOrdenes[[#This Row],[centro_costo]]="","",_xlfn.XLOOKUP(tblOrdenes[[#This Row],[centro_costo]],tblCECO[codigo],tblCECO[area],"(sin catálogo)"))</f>
        <v/>
      </c>
      <c r="W837" s="3">
        <f>IF(tblOrdenes[[#This Row],[centro_costo]]="","",_xlfn.XLOOKUP(tblOrdenes[[#This Row],[centro_costo]],tblCECO[codigo],tblCECO[coordinador],"(sin catálogo)"))</f>
        <v/>
      </c>
      <c r="X837" s="3">
        <f>IF(tblOrdenes[[#This Row],[puesto_trabajo]]="","",_xlfn.XLOOKUP(tblOrdenes[[#This Row],[puesto_trabajo]],tblPuestos[codigo],tblPuestos[especialidad],"(sin catálogo)"))</f>
        <v/>
      </c>
      <c r="Y837" s="3">
        <f>IF(tblOrdenes[[#This Row],[cod_actividad]]="","",_xlfn.XLOOKUP(tblOrdenes[[#This Row],[cod_actividad]],tblActividades[codigo],tblActividades[descripcion],"(sin catálogo)"))</f>
        <v/>
      </c>
      <c r="Z837" s="12">
        <f>IF(tblOrdenes[[#This Row],[fecha_inicio]]="","",TODAY()-tblOrdenes[[#This Row],[fecha_inicio]])</f>
        <v/>
      </c>
      <c r="AA837" s="3">
        <f>IF(tblOrdenes[[#This Row],[backlog_dias]]="","",IF(tblOrdenes[[#This Row],[backlog_dias]]&lt;0,"FUTURO",IF(tblOrdenes[[#This Row],[backlog_dias]]&gt;p_dias_backlog_max,"BACKLOG","MES CORRIENTE")))</f>
        <v/>
      </c>
      <c r="AB837" s="3">
        <f>IF(tblOrdenes[[#This Row],[backlog_dias]]="",FALSE,AND(tblOrdenes[[#This Row],[backlog_dias]]&gt;p_dias_backlog_min,tblOrdenes[[#This Row],[backlog_dias]]&lt;=p_dias_backlog_max))</f>
        <v/>
      </c>
      <c r="AC837" s="6" t="n"/>
      <c r="AD8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37" s="10">
        <f>IF(tblOrdenes[[#This Row],[orden]]="","",_xlfn.XLOOKUP(tblOrdenes[[#This Row],[id_operacion]],tblEjecucion[id_operacion],tblEjecucion[precio],0))</f>
        <v/>
      </c>
      <c r="AH837" s="10">
        <f>IF(tblOrdenes[[#This Row],[orden]]="","",MAX(0,_xlfn.XLOOKUP(tblOrdenes[[#This Row],[id_operacion]],tblEjecucion[id_operacion],tblEjecucion[costo_plan_total],0)-tblOrdenes[[#This Row],[costo_servicio]]))</f>
        <v/>
      </c>
      <c r="AI837" s="10">
        <f>IF(tblOrdenes[[#This Row],[orden]]="","",tblOrdenes[[#This Row],[costo_servicio]]+tblOrdenes[[#This Row],[costo_materiales]])</f>
        <v/>
      </c>
      <c r="AJ837" s="6" t="n"/>
      <c r="AK837" s="6" t="n"/>
      <c r="AL837" s="6" t="n"/>
      <c r="AM837" s="3">
        <f>IF(tblOrdenes[[#This Row],[link_checklist]]="","",HYPERLINK(p_ruta_base_checklists&amp;tblOrdenes[[#This Row],[link_checklist]],"abrir"))</f>
        <v/>
      </c>
      <c r="AN837" s="6" t="n"/>
      <c r="AO837" s="3">
        <f>IF(tblOrdenes[[#This Row],[orden]]="","",tblOrdenes[[#This Row],[orden]]&amp;IF(tblOrdenes[[#This Row],[operacion]]="","0010",tblOrdenes[[#This Row],[operacion]]))</f>
        <v/>
      </c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11" t="n"/>
      <c r="K838" s="3" t="n"/>
      <c r="L838" s="10" t="n"/>
      <c r="M838" s="6" t="n"/>
      <c r="N8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38" s="3">
        <f>IF(tblOrdenes[[#This Row],[fecha_inicio]]="","",YEAR(tblOrdenes[[#This Row],[fecha_inicio]]))</f>
        <v/>
      </c>
      <c r="R838" s="3">
        <f>IF(tblOrdenes[[#This Row],[fecha_inicio]]="","",MONTH(tblOrdenes[[#This Row],[fecha_inicio]]))</f>
        <v/>
      </c>
      <c r="S838" s="3">
        <f>IF(tblOrdenes[[#This Row],[fecha_inicio]]="","",INDEX(lista_dias,WEEKDAY(tblOrdenes[[#This Row],[fecha_inicio]],2)))</f>
        <v/>
      </c>
      <c r="T838" s="3">
        <f>IF(tblOrdenes[[#This Row],[tipo_ot]]="","",_xlfn.XLOOKUP(tblOrdenes[[#This Row],[tipo_ot]],tblTiposOT[codigo],tblTiposOT[clasificacion],"sin_clasificar"))</f>
        <v/>
      </c>
      <c r="U838" s="3">
        <f>IF(tblOrdenes[[#This Row],[centro_costo]]="","",_xlfn.XLOOKUP(tblOrdenes[[#This Row],[centro_costo]],tblCECO[codigo],tblCECO[linea],"(sin catálogo)"))</f>
        <v/>
      </c>
      <c r="V838" s="3">
        <f>IF(tblOrdenes[[#This Row],[centro_costo]]="","",_xlfn.XLOOKUP(tblOrdenes[[#This Row],[centro_costo]],tblCECO[codigo],tblCECO[area],"(sin catálogo)"))</f>
        <v/>
      </c>
      <c r="W838" s="3">
        <f>IF(tblOrdenes[[#This Row],[centro_costo]]="","",_xlfn.XLOOKUP(tblOrdenes[[#This Row],[centro_costo]],tblCECO[codigo],tblCECO[coordinador],"(sin catálogo)"))</f>
        <v/>
      </c>
      <c r="X838" s="3">
        <f>IF(tblOrdenes[[#This Row],[puesto_trabajo]]="","",_xlfn.XLOOKUP(tblOrdenes[[#This Row],[puesto_trabajo]],tblPuestos[codigo],tblPuestos[especialidad],"(sin catálogo)"))</f>
        <v/>
      </c>
      <c r="Y838" s="3">
        <f>IF(tblOrdenes[[#This Row],[cod_actividad]]="","",_xlfn.XLOOKUP(tblOrdenes[[#This Row],[cod_actividad]],tblActividades[codigo],tblActividades[descripcion],"(sin catálogo)"))</f>
        <v/>
      </c>
      <c r="Z838" s="12">
        <f>IF(tblOrdenes[[#This Row],[fecha_inicio]]="","",TODAY()-tblOrdenes[[#This Row],[fecha_inicio]])</f>
        <v/>
      </c>
      <c r="AA838" s="3">
        <f>IF(tblOrdenes[[#This Row],[backlog_dias]]="","",IF(tblOrdenes[[#This Row],[backlog_dias]]&lt;0,"FUTURO",IF(tblOrdenes[[#This Row],[backlog_dias]]&gt;p_dias_backlog_max,"BACKLOG","MES CORRIENTE")))</f>
        <v/>
      </c>
      <c r="AB838" s="3">
        <f>IF(tblOrdenes[[#This Row],[backlog_dias]]="",FALSE,AND(tblOrdenes[[#This Row],[backlog_dias]]&gt;p_dias_backlog_min,tblOrdenes[[#This Row],[backlog_dias]]&lt;=p_dias_backlog_max))</f>
        <v/>
      </c>
      <c r="AC838" s="6" t="n"/>
      <c r="AD8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38" s="10">
        <f>IF(tblOrdenes[[#This Row],[orden]]="","",_xlfn.XLOOKUP(tblOrdenes[[#This Row],[id_operacion]],tblEjecucion[id_operacion],tblEjecucion[precio],0))</f>
        <v/>
      </c>
      <c r="AH838" s="10">
        <f>IF(tblOrdenes[[#This Row],[orden]]="","",MAX(0,_xlfn.XLOOKUP(tblOrdenes[[#This Row],[id_operacion]],tblEjecucion[id_operacion],tblEjecucion[costo_plan_total],0)-tblOrdenes[[#This Row],[costo_servicio]]))</f>
        <v/>
      </c>
      <c r="AI838" s="10">
        <f>IF(tblOrdenes[[#This Row],[orden]]="","",tblOrdenes[[#This Row],[costo_servicio]]+tblOrdenes[[#This Row],[costo_materiales]])</f>
        <v/>
      </c>
      <c r="AJ838" s="6" t="n"/>
      <c r="AK838" s="6" t="n"/>
      <c r="AL838" s="6" t="n"/>
      <c r="AM838" s="3">
        <f>IF(tblOrdenes[[#This Row],[link_checklist]]="","",HYPERLINK(p_ruta_base_checklists&amp;tblOrdenes[[#This Row],[link_checklist]],"abrir"))</f>
        <v/>
      </c>
      <c r="AN838" s="6" t="n"/>
      <c r="AO838" s="3">
        <f>IF(tblOrdenes[[#This Row],[orden]]="","",tblOrdenes[[#This Row],[orden]]&amp;IF(tblOrdenes[[#This Row],[operacion]]="","0010",tblOrdenes[[#This Row],[operacion]]))</f>
        <v/>
      </c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11" t="n"/>
      <c r="K839" s="3" t="n"/>
      <c r="L839" s="10" t="n"/>
      <c r="M839" s="6" t="n"/>
      <c r="N8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39" s="3">
        <f>IF(tblOrdenes[[#This Row],[fecha_inicio]]="","",YEAR(tblOrdenes[[#This Row],[fecha_inicio]]))</f>
        <v/>
      </c>
      <c r="R839" s="3">
        <f>IF(tblOrdenes[[#This Row],[fecha_inicio]]="","",MONTH(tblOrdenes[[#This Row],[fecha_inicio]]))</f>
        <v/>
      </c>
      <c r="S839" s="3">
        <f>IF(tblOrdenes[[#This Row],[fecha_inicio]]="","",INDEX(lista_dias,WEEKDAY(tblOrdenes[[#This Row],[fecha_inicio]],2)))</f>
        <v/>
      </c>
      <c r="T839" s="3">
        <f>IF(tblOrdenes[[#This Row],[tipo_ot]]="","",_xlfn.XLOOKUP(tblOrdenes[[#This Row],[tipo_ot]],tblTiposOT[codigo],tblTiposOT[clasificacion],"sin_clasificar"))</f>
        <v/>
      </c>
      <c r="U839" s="3">
        <f>IF(tblOrdenes[[#This Row],[centro_costo]]="","",_xlfn.XLOOKUP(tblOrdenes[[#This Row],[centro_costo]],tblCECO[codigo],tblCECO[linea],"(sin catálogo)"))</f>
        <v/>
      </c>
      <c r="V839" s="3">
        <f>IF(tblOrdenes[[#This Row],[centro_costo]]="","",_xlfn.XLOOKUP(tblOrdenes[[#This Row],[centro_costo]],tblCECO[codigo],tblCECO[area],"(sin catálogo)"))</f>
        <v/>
      </c>
      <c r="W839" s="3">
        <f>IF(tblOrdenes[[#This Row],[centro_costo]]="","",_xlfn.XLOOKUP(tblOrdenes[[#This Row],[centro_costo]],tblCECO[codigo],tblCECO[coordinador],"(sin catálogo)"))</f>
        <v/>
      </c>
      <c r="X839" s="3">
        <f>IF(tblOrdenes[[#This Row],[puesto_trabajo]]="","",_xlfn.XLOOKUP(tblOrdenes[[#This Row],[puesto_trabajo]],tblPuestos[codigo],tblPuestos[especialidad],"(sin catálogo)"))</f>
        <v/>
      </c>
      <c r="Y839" s="3">
        <f>IF(tblOrdenes[[#This Row],[cod_actividad]]="","",_xlfn.XLOOKUP(tblOrdenes[[#This Row],[cod_actividad]],tblActividades[codigo],tblActividades[descripcion],"(sin catálogo)"))</f>
        <v/>
      </c>
      <c r="Z839" s="12">
        <f>IF(tblOrdenes[[#This Row],[fecha_inicio]]="","",TODAY()-tblOrdenes[[#This Row],[fecha_inicio]])</f>
        <v/>
      </c>
      <c r="AA839" s="3">
        <f>IF(tblOrdenes[[#This Row],[backlog_dias]]="","",IF(tblOrdenes[[#This Row],[backlog_dias]]&lt;0,"FUTURO",IF(tblOrdenes[[#This Row],[backlog_dias]]&gt;p_dias_backlog_max,"BACKLOG","MES CORRIENTE")))</f>
        <v/>
      </c>
      <c r="AB839" s="3">
        <f>IF(tblOrdenes[[#This Row],[backlog_dias]]="",FALSE,AND(tblOrdenes[[#This Row],[backlog_dias]]&gt;p_dias_backlog_min,tblOrdenes[[#This Row],[backlog_dias]]&lt;=p_dias_backlog_max))</f>
        <v/>
      </c>
      <c r="AC839" s="6" t="n"/>
      <c r="AD8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39" s="10">
        <f>IF(tblOrdenes[[#This Row],[orden]]="","",_xlfn.XLOOKUP(tblOrdenes[[#This Row],[id_operacion]],tblEjecucion[id_operacion],tblEjecucion[precio],0))</f>
        <v/>
      </c>
      <c r="AH839" s="10">
        <f>IF(tblOrdenes[[#This Row],[orden]]="","",MAX(0,_xlfn.XLOOKUP(tblOrdenes[[#This Row],[id_operacion]],tblEjecucion[id_operacion],tblEjecucion[costo_plan_total],0)-tblOrdenes[[#This Row],[costo_servicio]]))</f>
        <v/>
      </c>
      <c r="AI839" s="10">
        <f>IF(tblOrdenes[[#This Row],[orden]]="","",tblOrdenes[[#This Row],[costo_servicio]]+tblOrdenes[[#This Row],[costo_materiales]])</f>
        <v/>
      </c>
      <c r="AJ839" s="6" t="n"/>
      <c r="AK839" s="6" t="n"/>
      <c r="AL839" s="6" t="n"/>
      <c r="AM839" s="3">
        <f>IF(tblOrdenes[[#This Row],[link_checklist]]="","",HYPERLINK(p_ruta_base_checklists&amp;tblOrdenes[[#This Row],[link_checklist]],"abrir"))</f>
        <v/>
      </c>
      <c r="AN839" s="6" t="n"/>
      <c r="AO839" s="3">
        <f>IF(tblOrdenes[[#This Row],[orden]]="","",tblOrdenes[[#This Row],[orden]]&amp;IF(tblOrdenes[[#This Row],[operacion]]="","0010",tblOrdenes[[#This Row],[operacion]]))</f>
        <v/>
      </c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11" t="n"/>
      <c r="K840" s="3" t="n"/>
      <c r="L840" s="10" t="n"/>
      <c r="M840" s="6" t="n"/>
      <c r="N8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40" s="3">
        <f>IF(tblOrdenes[[#This Row],[fecha_inicio]]="","",YEAR(tblOrdenes[[#This Row],[fecha_inicio]]))</f>
        <v/>
      </c>
      <c r="R840" s="3">
        <f>IF(tblOrdenes[[#This Row],[fecha_inicio]]="","",MONTH(tblOrdenes[[#This Row],[fecha_inicio]]))</f>
        <v/>
      </c>
      <c r="S840" s="3">
        <f>IF(tblOrdenes[[#This Row],[fecha_inicio]]="","",INDEX(lista_dias,WEEKDAY(tblOrdenes[[#This Row],[fecha_inicio]],2)))</f>
        <v/>
      </c>
      <c r="T840" s="3">
        <f>IF(tblOrdenes[[#This Row],[tipo_ot]]="","",_xlfn.XLOOKUP(tblOrdenes[[#This Row],[tipo_ot]],tblTiposOT[codigo],tblTiposOT[clasificacion],"sin_clasificar"))</f>
        <v/>
      </c>
      <c r="U840" s="3">
        <f>IF(tblOrdenes[[#This Row],[centro_costo]]="","",_xlfn.XLOOKUP(tblOrdenes[[#This Row],[centro_costo]],tblCECO[codigo],tblCECO[linea],"(sin catálogo)"))</f>
        <v/>
      </c>
      <c r="V840" s="3">
        <f>IF(tblOrdenes[[#This Row],[centro_costo]]="","",_xlfn.XLOOKUP(tblOrdenes[[#This Row],[centro_costo]],tblCECO[codigo],tblCECO[area],"(sin catálogo)"))</f>
        <v/>
      </c>
      <c r="W840" s="3">
        <f>IF(tblOrdenes[[#This Row],[centro_costo]]="","",_xlfn.XLOOKUP(tblOrdenes[[#This Row],[centro_costo]],tblCECO[codigo],tblCECO[coordinador],"(sin catálogo)"))</f>
        <v/>
      </c>
      <c r="X840" s="3">
        <f>IF(tblOrdenes[[#This Row],[puesto_trabajo]]="","",_xlfn.XLOOKUP(tblOrdenes[[#This Row],[puesto_trabajo]],tblPuestos[codigo],tblPuestos[especialidad],"(sin catálogo)"))</f>
        <v/>
      </c>
      <c r="Y840" s="3">
        <f>IF(tblOrdenes[[#This Row],[cod_actividad]]="","",_xlfn.XLOOKUP(tblOrdenes[[#This Row],[cod_actividad]],tblActividades[codigo],tblActividades[descripcion],"(sin catálogo)"))</f>
        <v/>
      </c>
      <c r="Z840" s="12">
        <f>IF(tblOrdenes[[#This Row],[fecha_inicio]]="","",TODAY()-tblOrdenes[[#This Row],[fecha_inicio]])</f>
        <v/>
      </c>
      <c r="AA840" s="3">
        <f>IF(tblOrdenes[[#This Row],[backlog_dias]]="","",IF(tblOrdenes[[#This Row],[backlog_dias]]&lt;0,"FUTURO",IF(tblOrdenes[[#This Row],[backlog_dias]]&gt;p_dias_backlog_max,"BACKLOG","MES CORRIENTE")))</f>
        <v/>
      </c>
      <c r="AB840" s="3">
        <f>IF(tblOrdenes[[#This Row],[backlog_dias]]="",FALSE,AND(tblOrdenes[[#This Row],[backlog_dias]]&gt;p_dias_backlog_min,tblOrdenes[[#This Row],[backlog_dias]]&lt;=p_dias_backlog_max))</f>
        <v/>
      </c>
      <c r="AC840" s="6" t="n"/>
      <c r="AD8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40" s="10">
        <f>IF(tblOrdenes[[#This Row],[orden]]="","",_xlfn.XLOOKUP(tblOrdenes[[#This Row],[id_operacion]],tblEjecucion[id_operacion],tblEjecucion[precio],0))</f>
        <v/>
      </c>
      <c r="AH840" s="10">
        <f>IF(tblOrdenes[[#This Row],[orden]]="","",MAX(0,_xlfn.XLOOKUP(tblOrdenes[[#This Row],[id_operacion]],tblEjecucion[id_operacion],tblEjecucion[costo_plan_total],0)-tblOrdenes[[#This Row],[costo_servicio]]))</f>
        <v/>
      </c>
      <c r="AI840" s="10">
        <f>IF(tblOrdenes[[#This Row],[orden]]="","",tblOrdenes[[#This Row],[costo_servicio]]+tblOrdenes[[#This Row],[costo_materiales]])</f>
        <v/>
      </c>
      <c r="AJ840" s="6" t="n"/>
      <c r="AK840" s="6" t="n"/>
      <c r="AL840" s="6" t="n"/>
      <c r="AM840" s="3">
        <f>IF(tblOrdenes[[#This Row],[link_checklist]]="","",HYPERLINK(p_ruta_base_checklists&amp;tblOrdenes[[#This Row],[link_checklist]],"abrir"))</f>
        <v/>
      </c>
      <c r="AN840" s="6" t="n"/>
      <c r="AO840" s="3">
        <f>IF(tblOrdenes[[#This Row],[orden]]="","",tblOrdenes[[#This Row],[orden]]&amp;IF(tblOrdenes[[#This Row],[operacion]]="","0010",tblOrdenes[[#This Row],[operacion]]))</f>
        <v/>
      </c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11" t="n"/>
      <c r="K841" s="3" t="n"/>
      <c r="L841" s="10" t="n"/>
      <c r="M841" s="6" t="n"/>
      <c r="N8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41" s="3">
        <f>IF(tblOrdenes[[#This Row],[fecha_inicio]]="","",YEAR(tblOrdenes[[#This Row],[fecha_inicio]]))</f>
        <v/>
      </c>
      <c r="R841" s="3">
        <f>IF(tblOrdenes[[#This Row],[fecha_inicio]]="","",MONTH(tblOrdenes[[#This Row],[fecha_inicio]]))</f>
        <v/>
      </c>
      <c r="S841" s="3">
        <f>IF(tblOrdenes[[#This Row],[fecha_inicio]]="","",INDEX(lista_dias,WEEKDAY(tblOrdenes[[#This Row],[fecha_inicio]],2)))</f>
        <v/>
      </c>
      <c r="T841" s="3">
        <f>IF(tblOrdenes[[#This Row],[tipo_ot]]="","",_xlfn.XLOOKUP(tblOrdenes[[#This Row],[tipo_ot]],tblTiposOT[codigo],tblTiposOT[clasificacion],"sin_clasificar"))</f>
        <v/>
      </c>
      <c r="U841" s="3">
        <f>IF(tblOrdenes[[#This Row],[centro_costo]]="","",_xlfn.XLOOKUP(tblOrdenes[[#This Row],[centro_costo]],tblCECO[codigo],tblCECO[linea],"(sin catálogo)"))</f>
        <v/>
      </c>
      <c r="V841" s="3">
        <f>IF(tblOrdenes[[#This Row],[centro_costo]]="","",_xlfn.XLOOKUP(tblOrdenes[[#This Row],[centro_costo]],tblCECO[codigo],tblCECO[area],"(sin catálogo)"))</f>
        <v/>
      </c>
      <c r="W841" s="3">
        <f>IF(tblOrdenes[[#This Row],[centro_costo]]="","",_xlfn.XLOOKUP(tblOrdenes[[#This Row],[centro_costo]],tblCECO[codigo],tblCECO[coordinador],"(sin catálogo)"))</f>
        <v/>
      </c>
      <c r="X841" s="3">
        <f>IF(tblOrdenes[[#This Row],[puesto_trabajo]]="","",_xlfn.XLOOKUP(tblOrdenes[[#This Row],[puesto_trabajo]],tblPuestos[codigo],tblPuestos[especialidad],"(sin catálogo)"))</f>
        <v/>
      </c>
      <c r="Y841" s="3">
        <f>IF(tblOrdenes[[#This Row],[cod_actividad]]="","",_xlfn.XLOOKUP(tblOrdenes[[#This Row],[cod_actividad]],tblActividades[codigo],tblActividades[descripcion],"(sin catálogo)"))</f>
        <v/>
      </c>
      <c r="Z841" s="12">
        <f>IF(tblOrdenes[[#This Row],[fecha_inicio]]="","",TODAY()-tblOrdenes[[#This Row],[fecha_inicio]])</f>
        <v/>
      </c>
      <c r="AA841" s="3">
        <f>IF(tblOrdenes[[#This Row],[backlog_dias]]="","",IF(tblOrdenes[[#This Row],[backlog_dias]]&lt;0,"FUTURO",IF(tblOrdenes[[#This Row],[backlog_dias]]&gt;p_dias_backlog_max,"BACKLOG","MES CORRIENTE")))</f>
        <v/>
      </c>
      <c r="AB841" s="3">
        <f>IF(tblOrdenes[[#This Row],[backlog_dias]]="",FALSE,AND(tblOrdenes[[#This Row],[backlog_dias]]&gt;p_dias_backlog_min,tblOrdenes[[#This Row],[backlog_dias]]&lt;=p_dias_backlog_max))</f>
        <v/>
      </c>
      <c r="AC841" s="6" t="n"/>
      <c r="AD8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41" s="10">
        <f>IF(tblOrdenes[[#This Row],[orden]]="","",_xlfn.XLOOKUP(tblOrdenes[[#This Row],[id_operacion]],tblEjecucion[id_operacion],tblEjecucion[precio],0))</f>
        <v/>
      </c>
      <c r="AH841" s="10">
        <f>IF(tblOrdenes[[#This Row],[orden]]="","",MAX(0,_xlfn.XLOOKUP(tblOrdenes[[#This Row],[id_operacion]],tblEjecucion[id_operacion],tblEjecucion[costo_plan_total],0)-tblOrdenes[[#This Row],[costo_servicio]]))</f>
        <v/>
      </c>
      <c r="AI841" s="10">
        <f>IF(tblOrdenes[[#This Row],[orden]]="","",tblOrdenes[[#This Row],[costo_servicio]]+tblOrdenes[[#This Row],[costo_materiales]])</f>
        <v/>
      </c>
      <c r="AJ841" s="6" t="n"/>
      <c r="AK841" s="6" t="n"/>
      <c r="AL841" s="6" t="n"/>
      <c r="AM841" s="3">
        <f>IF(tblOrdenes[[#This Row],[link_checklist]]="","",HYPERLINK(p_ruta_base_checklists&amp;tblOrdenes[[#This Row],[link_checklist]],"abrir"))</f>
        <v/>
      </c>
      <c r="AN841" s="6" t="n"/>
      <c r="AO841" s="3">
        <f>IF(tblOrdenes[[#This Row],[orden]]="","",tblOrdenes[[#This Row],[orden]]&amp;IF(tblOrdenes[[#This Row],[operacion]]="","0010",tblOrdenes[[#This Row],[operacion]]))</f>
        <v/>
      </c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11" t="n"/>
      <c r="K842" s="3" t="n"/>
      <c r="L842" s="10" t="n"/>
      <c r="M842" s="6" t="n"/>
      <c r="N8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42" s="3">
        <f>IF(tblOrdenes[[#This Row],[fecha_inicio]]="","",YEAR(tblOrdenes[[#This Row],[fecha_inicio]]))</f>
        <v/>
      </c>
      <c r="R842" s="3">
        <f>IF(tblOrdenes[[#This Row],[fecha_inicio]]="","",MONTH(tblOrdenes[[#This Row],[fecha_inicio]]))</f>
        <v/>
      </c>
      <c r="S842" s="3">
        <f>IF(tblOrdenes[[#This Row],[fecha_inicio]]="","",INDEX(lista_dias,WEEKDAY(tblOrdenes[[#This Row],[fecha_inicio]],2)))</f>
        <v/>
      </c>
      <c r="T842" s="3">
        <f>IF(tblOrdenes[[#This Row],[tipo_ot]]="","",_xlfn.XLOOKUP(tblOrdenes[[#This Row],[tipo_ot]],tblTiposOT[codigo],tblTiposOT[clasificacion],"sin_clasificar"))</f>
        <v/>
      </c>
      <c r="U842" s="3">
        <f>IF(tblOrdenes[[#This Row],[centro_costo]]="","",_xlfn.XLOOKUP(tblOrdenes[[#This Row],[centro_costo]],tblCECO[codigo],tblCECO[linea],"(sin catálogo)"))</f>
        <v/>
      </c>
      <c r="V842" s="3">
        <f>IF(tblOrdenes[[#This Row],[centro_costo]]="","",_xlfn.XLOOKUP(tblOrdenes[[#This Row],[centro_costo]],tblCECO[codigo],tblCECO[area],"(sin catálogo)"))</f>
        <v/>
      </c>
      <c r="W842" s="3">
        <f>IF(tblOrdenes[[#This Row],[centro_costo]]="","",_xlfn.XLOOKUP(tblOrdenes[[#This Row],[centro_costo]],tblCECO[codigo],tblCECO[coordinador],"(sin catálogo)"))</f>
        <v/>
      </c>
      <c r="X842" s="3">
        <f>IF(tblOrdenes[[#This Row],[puesto_trabajo]]="","",_xlfn.XLOOKUP(tblOrdenes[[#This Row],[puesto_trabajo]],tblPuestos[codigo],tblPuestos[especialidad],"(sin catálogo)"))</f>
        <v/>
      </c>
      <c r="Y842" s="3">
        <f>IF(tblOrdenes[[#This Row],[cod_actividad]]="","",_xlfn.XLOOKUP(tblOrdenes[[#This Row],[cod_actividad]],tblActividades[codigo],tblActividades[descripcion],"(sin catálogo)"))</f>
        <v/>
      </c>
      <c r="Z842" s="12">
        <f>IF(tblOrdenes[[#This Row],[fecha_inicio]]="","",TODAY()-tblOrdenes[[#This Row],[fecha_inicio]])</f>
        <v/>
      </c>
      <c r="AA842" s="3">
        <f>IF(tblOrdenes[[#This Row],[backlog_dias]]="","",IF(tblOrdenes[[#This Row],[backlog_dias]]&lt;0,"FUTURO",IF(tblOrdenes[[#This Row],[backlog_dias]]&gt;p_dias_backlog_max,"BACKLOG","MES CORRIENTE")))</f>
        <v/>
      </c>
      <c r="AB842" s="3">
        <f>IF(tblOrdenes[[#This Row],[backlog_dias]]="",FALSE,AND(tblOrdenes[[#This Row],[backlog_dias]]&gt;p_dias_backlog_min,tblOrdenes[[#This Row],[backlog_dias]]&lt;=p_dias_backlog_max))</f>
        <v/>
      </c>
      <c r="AC842" s="6" t="n"/>
      <c r="AD8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42" s="10">
        <f>IF(tblOrdenes[[#This Row],[orden]]="","",_xlfn.XLOOKUP(tblOrdenes[[#This Row],[id_operacion]],tblEjecucion[id_operacion],tblEjecucion[precio],0))</f>
        <v/>
      </c>
      <c r="AH842" s="10">
        <f>IF(tblOrdenes[[#This Row],[orden]]="","",MAX(0,_xlfn.XLOOKUP(tblOrdenes[[#This Row],[id_operacion]],tblEjecucion[id_operacion],tblEjecucion[costo_plan_total],0)-tblOrdenes[[#This Row],[costo_servicio]]))</f>
        <v/>
      </c>
      <c r="AI842" s="10">
        <f>IF(tblOrdenes[[#This Row],[orden]]="","",tblOrdenes[[#This Row],[costo_servicio]]+tblOrdenes[[#This Row],[costo_materiales]])</f>
        <v/>
      </c>
      <c r="AJ842" s="6" t="n"/>
      <c r="AK842" s="6" t="n"/>
      <c r="AL842" s="6" t="n"/>
      <c r="AM842" s="3">
        <f>IF(tblOrdenes[[#This Row],[link_checklist]]="","",HYPERLINK(p_ruta_base_checklists&amp;tblOrdenes[[#This Row],[link_checklist]],"abrir"))</f>
        <v/>
      </c>
      <c r="AN842" s="6" t="n"/>
      <c r="AO842" s="3">
        <f>IF(tblOrdenes[[#This Row],[orden]]="","",tblOrdenes[[#This Row],[orden]]&amp;IF(tblOrdenes[[#This Row],[operacion]]="","0010",tblOrdenes[[#This Row],[operacion]]))</f>
        <v/>
      </c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11" t="n"/>
      <c r="K843" s="3" t="n"/>
      <c r="L843" s="10" t="n"/>
      <c r="M843" s="6" t="n"/>
      <c r="N8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43" s="3">
        <f>IF(tblOrdenes[[#This Row],[fecha_inicio]]="","",YEAR(tblOrdenes[[#This Row],[fecha_inicio]]))</f>
        <v/>
      </c>
      <c r="R843" s="3">
        <f>IF(tblOrdenes[[#This Row],[fecha_inicio]]="","",MONTH(tblOrdenes[[#This Row],[fecha_inicio]]))</f>
        <v/>
      </c>
      <c r="S843" s="3">
        <f>IF(tblOrdenes[[#This Row],[fecha_inicio]]="","",INDEX(lista_dias,WEEKDAY(tblOrdenes[[#This Row],[fecha_inicio]],2)))</f>
        <v/>
      </c>
      <c r="T843" s="3">
        <f>IF(tblOrdenes[[#This Row],[tipo_ot]]="","",_xlfn.XLOOKUP(tblOrdenes[[#This Row],[tipo_ot]],tblTiposOT[codigo],tblTiposOT[clasificacion],"sin_clasificar"))</f>
        <v/>
      </c>
      <c r="U843" s="3">
        <f>IF(tblOrdenes[[#This Row],[centro_costo]]="","",_xlfn.XLOOKUP(tblOrdenes[[#This Row],[centro_costo]],tblCECO[codigo],tblCECO[linea],"(sin catálogo)"))</f>
        <v/>
      </c>
      <c r="V843" s="3">
        <f>IF(tblOrdenes[[#This Row],[centro_costo]]="","",_xlfn.XLOOKUP(tblOrdenes[[#This Row],[centro_costo]],tblCECO[codigo],tblCECO[area],"(sin catálogo)"))</f>
        <v/>
      </c>
      <c r="W843" s="3">
        <f>IF(tblOrdenes[[#This Row],[centro_costo]]="","",_xlfn.XLOOKUP(tblOrdenes[[#This Row],[centro_costo]],tblCECO[codigo],tblCECO[coordinador],"(sin catálogo)"))</f>
        <v/>
      </c>
      <c r="X843" s="3">
        <f>IF(tblOrdenes[[#This Row],[puesto_trabajo]]="","",_xlfn.XLOOKUP(tblOrdenes[[#This Row],[puesto_trabajo]],tblPuestos[codigo],tblPuestos[especialidad],"(sin catálogo)"))</f>
        <v/>
      </c>
      <c r="Y843" s="3">
        <f>IF(tblOrdenes[[#This Row],[cod_actividad]]="","",_xlfn.XLOOKUP(tblOrdenes[[#This Row],[cod_actividad]],tblActividades[codigo],tblActividades[descripcion],"(sin catálogo)"))</f>
        <v/>
      </c>
      <c r="Z843" s="12">
        <f>IF(tblOrdenes[[#This Row],[fecha_inicio]]="","",TODAY()-tblOrdenes[[#This Row],[fecha_inicio]])</f>
        <v/>
      </c>
      <c r="AA843" s="3">
        <f>IF(tblOrdenes[[#This Row],[backlog_dias]]="","",IF(tblOrdenes[[#This Row],[backlog_dias]]&lt;0,"FUTURO",IF(tblOrdenes[[#This Row],[backlog_dias]]&gt;p_dias_backlog_max,"BACKLOG","MES CORRIENTE")))</f>
        <v/>
      </c>
      <c r="AB843" s="3">
        <f>IF(tblOrdenes[[#This Row],[backlog_dias]]="",FALSE,AND(tblOrdenes[[#This Row],[backlog_dias]]&gt;p_dias_backlog_min,tblOrdenes[[#This Row],[backlog_dias]]&lt;=p_dias_backlog_max))</f>
        <v/>
      </c>
      <c r="AC843" s="6" t="n"/>
      <c r="AD8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43" s="10">
        <f>IF(tblOrdenes[[#This Row],[orden]]="","",_xlfn.XLOOKUP(tblOrdenes[[#This Row],[id_operacion]],tblEjecucion[id_operacion],tblEjecucion[precio],0))</f>
        <v/>
      </c>
      <c r="AH843" s="10">
        <f>IF(tblOrdenes[[#This Row],[orden]]="","",MAX(0,_xlfn.XLOOKUP(tblOrdenes[[#This Row],[id_operacion]],tblEjecucion[id_operacion],tblEjecucion[costo_plan_total],0)-tblOrdenes[[#This Row],[costo_servicio]]))</f>
        <v/>
      </c>
      <c r="AI843" s="10">
        <f>IF(tblOrdenes[[#This Row],[orden]]="","",tblOrdenes[[#This Row],[costo_servicio]]+tblOrdenes[[#This Row],[costo_materiales]])</f>
        <v/>
      </c>
      <c r="AJ843" s="6" t="n"/>
      <c r="AK843" s="6" t="n"/>
      <c r="AL843" s="6" t="n"/>
      <c r="AM843" s="3">
        <f>IF(tblOrdenes[[#This Row],[link_checklist]]="","",HYPERLINK(p_ruta_base_checklists&amp;tblOrdenes[[#This Row],[link_checklist]],"abrir"))</f>
        <v/>
      </c>
      <c r="AN843" s="6" t="n"/>
      <c r="AO843" s="3">
        <f>IF(tblOrdenes[[#This Row],[orden]]="","",tblOrdenes[[#This Row],[orden]]&amp;IF(tblOrdenes[[#This Row],[operacion]]="","0010",tblOrdenes[[#This Row],[operacion]]))</f>
        <v/>
      </c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11" t="n"/>
      <c r="K844" s="3" t="n"/>
      <c r="L844" s="10" t="n"/>
      <c r="M844" s="6" t="n"/>
      <c r="N8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44" s="3">
        <f>IF(tblOrdenes[[#This Row],[fecha_inicio]]="","",YEAR(tblOrdenes[[#This Row],[fecha_inicio]]))</f>
        <v/>
      </c>
      <c r="R844" s="3">
        <f>IF(tblOrdenes[[#This Row],[fecha_inicio]]="","",MONTH(tblOrdenes[[#This Row],[fecha_inicio]]))</f>
        <v/>
      </c>
      <c r="S844" s="3">
        <f>IF(tblOrdenes[[#This Row],[fecha_inicio]]="","",INDEX(lista_dias,WEEKDAY(tblOrdenes[[#This Row],[fecha_inicio]],2)))</f>
        <v/>
      </c>
      <c r="T844" s="3">
        <f>IF(tblOrdenes[[#This Row],[tipo_ot]]="","",_xlfn.XLOOKUP(tblOrdenes[[#This Row],[tipo_ot]],tblTiposOT[codigo],tblTiposOT[clasificacion],"sin_clasificar"))</f>
        <v/>
      </c>
      <c r="U844" s="3">
        <f>IF(tblOrdenes[[#This Row],[centro_costo]]="","",_xlfn.XLOOKUP(tblOrdenes[[#This Row],[centro_costo]],tblCECO[codigo],tblCECO[linea],"(sin catálogo)"))</f>
        <v/>
      </c>
      <c r="V844" s="3">
        <f>IF(tblOrdenes[[#This Row],[centro_costo]]="","",_xlfn.XLOOKUP(tblOrdenes[[#This Row],[centro_costo]],tblCECO[codigo],tblCECO[area],"(sin catálogo)"))</f>
        <v/>
      </c>
      <c r="W844" s="3">
        <f>IF(tblOrdenes[[#This Row],[centro_costo]]="","",_xlfn.XLOOKUP(tblOrdenes[[#This Row],[centro_costo]],tblCECO[codigo],tblCECO[coordinador],"(sin catálogo)"))</f>
        <v/>
      </c>
      <c r="X844" s="3">
        <f>IF(tblOrdenes[[#This Row],[puesto_trabajo]]="","",_xlfn.XLOOKUP(tblOrdenes[[#This Row],[puesto_trabajo]],tblPuestos[codigo],tblPuestos[especialidad],"(sin catálogo)"))</f>
        <v/>
      </c>
      <c r="Y844" s="3">
        <f>IF(tblOrdenes[[#This Row],[cod_actividad]]="","",_xlfn.XLOOKUP(tblOrdenes[[#This Row],[cod_actividad]],tblActividades[codigo],tblActividades[descripcion],"(sin catálogo)"))</f>
        <v/>
      </c>
      <c r="Z844" s="12">
        <f>IF(tblOrdenes[[#This Row],[fecha_inicio]]="","",TODAY()-tblOrdenes[[#This Row],[fecha_inicio]])</f>
        <v/>
      </c>
      <c r="AA844" s="3">
        <f>IF(tblOrdenes[[#This Row],[backlog_dias]]="","",IF(tblOrdenes[[#This Row],[backlog_dias]]&lt;0,"FUTURO",IF(tblOrdenes[[#This Row],[backlog_dias]]&gt;p_dias_backlog_max,"BACKLOG","MES CORRIENTE")))</f>
        <v/>
      </c>
      <c r="AB844" s="3">
        <f>IF(tblOrdenes[[#This Row],[backlog_dias]]="",FALSE,AND(tblOrdenes[[#This Row],[backlog_dias]]&gt;p_dias_backlog_min,tblOrdenes[[#This Row],[backlog_dias]]&lt;=p_dias_backlog_max))</f>
        <v/>
      </c>
      <c r="AC844" s="6" t="n"/>
      <c r="AD8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44" s="10">
        <f>IF(tblOrdenes[[#This Row],[orden]]="","",_xlfn.XLOOKUP(tblOrdenes[[#This Row],[id_operacion]],tblEjecucion[id_operacion],tblEjecucion[precio],0))</f>
        <v/>
      </c>
      <c r="AH844" s="10">
        <f>IF(tblOrdenes[[#This Row],[orden]]="","",MAX(0,_xlfn.XLOOKUP(tblOrdenes[[#This Row],[id_operacion]],tblEjecucion[id_operacion],tblEjecucion[costo_plan_total],0)-tblOrdenes[[#This Row],[costo_servicio]]))</f>
        <v/>
      </c>
      <c r="AI844" s="10">
        <f>IF(tblOrdenes[[#This Row],[orden]]="","",tblOrdenes[[#This Row],[costo_servicio]]+tblOrdenes[[#This Row],[costo_materiales]])</f>
        <v/>
      </c>
      <c r="AJ844" s="6" t="n"/>
      <c r="AK844" s="6" t="n"/>
      <c r="AL844" s="6" t="n"/>
      <c r="AM844" s="3">
        <f>IF(tblOrdenes[[#This Row],[link_checklist]]="","",HYPERLINK(p_ruta_base_checklists&amp;tblOrdenes[[#This Row],[link_checklist]],"abrir"))</f>
        <v/>
      </c>
      <c r="AN844" s="6" t="n"/>
      <c r="AO844" s="3">
        <f>IF(tblOrdenes[[#This Row],[orden]]="","",tblOrdenes[[#This Row],[orden]]&amp;IF(tblOrdenes[[#This Row],[operacion]]="","0010",tblOrdenes[[#This Row],[operacion]]))</f>
        <v/>
      </c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11" t="n"/>
      <c r="K845" s="3" t="n"/>
      <c r="L845" s="10" t="n"/>
      <c r="M845" s="6" t="n"/>
      <c r="N8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45" s="3">
        <f>IF(tblOrdenes[[#This Row],[fecha_inicio]]="","",YEAR(tblOrdenes[[#This Row],[fecha_inicio]]))</f>
        <v/>
      </c>
      <c r="R845" s="3">
        <f>IF(tblOrdenes[[#This Row],[fecha_inicio]]="","",MONTH(tblOrdenes[[#This Row],[fecha_inicio]]))</f>
        <v/>
      </c>
      <c r="S845" s="3">
        <f>IF(tblOrdenes[[#This Row],[fecha_inicio]]="","",INDEX(lista_dias,WEEKDAY(tblOrdenes[[#This Row],[fecha_inicio]],2)))</f>
        <v/>
      </c>
      <c r="T845" s="3">
        <f>IF(tblOrdenes[[#This Row],[tipo_ot]]="","",_xlfn.XLOOKUP(tblOrdenes[[#This Row],[tipo_ot]],tblTiposOT[codigo],tblTiposOT[clasificacion],"sin_clasificar"))</f>
        <v/>
      </c>
      <c r="U845" s="3">
        <f>IF(tblOrdenes[[#This Row],[centro_costo]]="","",_xlfn.XLOOKUP(tblOrdenes[[#This Row],[centro_costo]],tblCECO[codigo],tblCECO[linea],"(sin catálogo)"))</f>
        <v/>
      </c>
      <c r="V845" s="3">
        <f>IF(tblOrdenes[[#This Row],[centro_costo]]="","",_xlfn.XLOOKUP(tblOrdenes[[#This Row],[centro_costo]],tblCECO[codigo],tblCECO[area],"(sin catálogo)"))</f>
        <v/>
      </c>
      <c r="W845" s="3">
        <f>IF(tblOrdenes[[#This Row],[centro_costo]]="","",_xlfn.XLOOKUP(tblOrdenes[[#This Row],[centro_costo]],tblCECO[codigo],tblCECO[coordinador],"(sin catálogo)"))</f>
        <v/>
      </c>
      <c r="X845" s="3">
        <f>IF(tblOrdenes[[#This Row],[puesto_trabajo]]="","",_xlfn.XLOOKUP(tblOrdenes[[#This Row],[puesto_trabajo]],tblPuestos[codigo],tblPuestos[especialidad],"(sin catálogo)"))</f>
        <v/>
      </c>
      <c r="Y845" s="3">
        <f>IF(tblOrdenes[[#This Row],[cod_actividad]]="","",_xlfn.XLOOKUP(tblOrdenes[[#This Row],[cod_actividad]],tblActividades[codigo],tblActividades[descripcion],"(sin catálogo)"))</f>
        <v/>
      </c>
      <c r="Z845" s="12">
        <f>IF(tblOrdenes[[#This Row],[fecha_inicio]]="","",TODAY()-tblOrdenes[[#This Row],[fecha_inicio]])</f>
        <v/>
      </c>
      <c r="AA845" s="3">
        <f>IF(tblOrdenes[[#This Row],[backlog_dias]]="","",IF(tblOrdenes[[#This Row],[backlog_dias]]&lt;0,"FUTURO",IF(tblOrdenes[[#This Row],[backlog_dias]]&gt;p_dias_backlog_max,"BACKLOG","MES CORRIENTE")))</f>
        <v/>
      </c>
      <c r="AB845" s="3">
        <f>IF(tblOrdenes[[#This Row],[backlog_dias]]="",FALSE,AND(tblOrdenes[[#This Row],[backlog_dias]]&gt;p_dias_backlog_min,tblOrdenes[[#This Row],[backlog_dias]]&lt;=p_dias_backlog_max))</f>
        <v/>
      </c>
      <c r="AC845" s="6" t="n"/>
      <c r="AD8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45" s="10">
        <f>IF(tblOrdenes[[#This Row],[orden]]="","",_xlfn.XLOOKUP(tblOrdenes[[#This Row],[id_operacion]],tblEjecucion[id_operacion],tblEjecucion[precio],0))</f>
        <v/>
      </c>
      <c r="AH845" s="10">
        <f>IF(tblOrdenes[[#This Row],[orden]]="","",MAX(0,_xlfn.XLOOKUP(tblOrdenes[[#This Row],[id_operacion]],tblEjecucion[id_operacion],tblEjecucion[costo_plan_total],0)-tblOrdenes[[#This Row],[costo_servicio]]))</f>
        <v/>
      </c>
      <c r="AI845" s="10">
        <f>IF(tblOrdenes[[#This Row],[orden]]="","",tblOrdenes[[#This Row],[costo_servicio]]+tblOrdenes[[#This Row],[costo_materiales]])</f>
        <v/>
      </c>
      <c r="AJ845" s="6" t="n"/>
      <c r="AK845" s="6" t="n"/>
      <c r="AL845" s="6" t="n"/>
      <c r="AM845" s="3">
        <f>IF(tblOrdenes[[#This Row],[link_checklist]]="","",HYPERLINK(p_ruta_base_checklists&amp;tblOrdenes[[#This Row],[link_checklist]],"abrir"))</f>
        <v/>
      </c>
      <c r="AN845" s="6" t="n"/>
      <c r="AO845" s="3">
        <f>IF(tblOrdenes[[#This Row],[orden]]="","",tblOrdenes[[#This Row],[orden]]&amp;IF(tblOrdenes[[#This Row],[operacion]]="","0010",tblOrdenes[[#This Row],[operacion]]))</f>
        <v/>
      </c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11" t="n"/>
      <c r="K846" s="3" t="n"/>
      <c r="L846" s="10" t="n"/>
      <c r="M846" s="6" t="n"/>
      <c r="N8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46" s="3">
        <f>IF(tblOrdenes[[#This Row],[fecha_inicio]]="","",YEAR(tblOrdenes[[#This Row],[fecha_inicio]]))</f>
        <v/>
      </c>
      <c r="R846" s="3">
        <f>IF(tblOrdenes[[#This Row],[fecha_inicio]]="","",MONTH(tblOrdenes[[#This Row],[fecha_inicio]]))</f>
        <v/>
      </c>
      <c r="S846" s="3">
        <f>IF(tblOrdenes[[#This Row],[fecha_inicio]]="","",INDEX(lista_dias,WEEKDAY(tblOrdenes[[#This Row],[fecha_inicio]],2)))</f>
        <v/>
      </c>
      <c r="T846" s="3">
        <f>IF(tblOrdenes[[#This Row],[tipo_ot]]="","",_xlfn.XLOOKUP(tblOrdenes[[#This Row],[tipo_ot]],tblTiposOT[codigo],tblTiposOT[clasificacion],"sin_clasificar"))</f>
        <v/>
      </c>
      <c r="U846" s="3">
        <f>IF(tblOrdenes[[#This Row],[centro_costo]]="","",_xlfn.XLOOKUP(tblOrdenes[[#This Row],[centro_costo]],tblCECO[codigo],tblCECO[linea],"(sin catálogo)"))</f>
        <v/>
      </c>
      <c r="V846" s="3">
        <f>IF(tblOrdenes[[#This Row],[centro_costo]]="","",_xlfn.XLOOKUP(tblOrdenes[[#This Row],[centro_costo]],tblCECO[codigo],tblCECO[area],"(sin catálogo)"))</f>
        <v/>
      </c>
      <c r="W846" s="3">
        <f>IF(tblOrdenes[[#This Row],[centro_costo]]="","",_xlfn.XLOOKUP(tblOrdenes[[#This Row],[centro_costo]],tblCECO[codigo],tblCECO[coordinador],"(sin catálogo)"))</f>
        <v/>
      </c>
      <c r="X846" s="3">
        <f>IF(tblOrdenes[[#This Row],[puesto_trabajo]]="","",_xlfn.XLOOKUP(tblOrdenes[[#This Row],[puesto_trabajo]],tblPuestos[codigo],tblPuestos[especialidad],"(sin catálogo)"))</f>
        <v/>
      </c>
      <c r="Y846" s="3">
        <f>IF(tblOrdenes[[#This Row],[cod_actividad]]="","",_xlfn.XLOOKUP(tblOrdenes[[#This Row],[cod_actividad]],tblActividades[codigo],tblActividades[descripcion],"(sin catálogo)"))</f>
        <v/>
      </c>
      <c r="Z846" s="12">
        <f>IF(tblOrdenes[[#This Row],[fecha_inicio]]="","",TODAY()-tblOrdenes[[#This Row],[fecha_inicio]])</f>
        <v/>
      </c>
      <c r="AA846" s="3">
        <f>IF(tblOrdenes[[#This Row],[backlog_dias]]="","",IF(tblOrdenes[[#This Row],[backlog_dias]]&lt;0,"FUTURO",IF(tblOrdenes[[#This Row],[backlog_dias]]&gt;p_dias_backlog_max,"BACKLOG","MES CORRIENTE")))</f>
        <v/>
      </c>
      <c r="AB846" s="3">
        <f>IF(tblOrdenes[[#This Row],[backlog_dias]]="",FALSE,AND(tblOrdenes[[#This Row],[backlog_dias]]&gt;p_dias_backlog_min,tblOrdenes[[#This Row],[backlog_dias]]&lt;=p_dias_backlog_max))</f>
        <v/>
      </c>
      <c r="AC846" s="6" t="n"/>
      <c r="AD8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46" s="10">
        <f>IF(tblOrdenes[[#This Row],[orden]]="","",_xlfn.XLOOKUP(tblOrdenes[[#This Row],[id_operacion]],tblEjecucion[id_operacion],tblEjecucion[precio],0))</f>
        <v/>
      </c>
      <c r="AH846" s="10">
        <f>IF(tblOrdenes[[#This Row],[orden]]="","",MAX(0,_xlfn.XLOOKUP(tblOrdenes[[#This Row],[id_operacion]],tblEjecucion[id_operacion],tblEjecucion[costo_plan_total],0)-tblOrdenes[[#This Row],[costo_servicio]]))</f>
        <v/>
      </c>
      <c r="AI846" s="10">
        <f>IF(tblOrdenes[[#This Row],[orden]]="","",tblOrdenes[[#This Row],[costo_servicio]]+tblOrdenes[[#This Row],[costo_materiales]])</f>
        <v/>
      </c>
      <c r="AJ846" s="6" t="n"/>
      <c r="AK846" s="6" t="n"/>
      <c r="AL846" s="6" t="n"/>
      <c r="AM846" s="3">
        <f>IF(tblOrdenes[[#This Row],[link_checklist]]="","",HYPERLINK(p_ruta_base_checklists&amp;tblOrdenes[[#This Row],[link_checklist]],"abrir"))</f>
        <v/>
      </c>
      <c r="AN846" s="6" t="n"/>
      <c r="AO846" s="3">
        <f>IF(tblOrdenes[[#This Row],[orden]]="","",tblOrdenes[[#This Row],[orden]]&amp;IF(tblOrdenes[[#This Row],[operacion]]="","0010",tblOrdenes[[#This Row],[operacion]]))</f>
        <v/>
      </c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11" t="n"/>
      <c r="K847" s="3" t="n"/>
      <c r="L847" s="10" t="n"/>
      <c r="M847" s="6" t="n"/>
      <c r="N8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47" s="3">
        <f>IF(tblOrdenes[[#This Row],[fecha_inicio]]="","",YEAR(tblOrdenes[[#This Row],[fecha_inicio]]))</f>
        <v/>
      </c>
      <c r="R847" s="3">
        <f>IF(tblOrdenes[[#This Row],[fecha_inicio]]="","",MONTH(tblOrdenes[[#This Row],[fecha_inicio]]))</f>
        <v/>
      </c>
      <c r="S847" s="3">
        <f>IF(tblOrdenes[[#This Row],[fecha_inicio]]="","",INDEX(lista_dias,WEEKDAY(tblOrdenes[[#This Row],[fecha_inicio]],2)))</f>
        <v/>
      </c>
      <c r="T847" s="3">
        <f>IF(tblOrdenes[[#This Row],[tipo_ot]]="","",_xlfn.XLOOKUP(tblOrdenes[[#This Row],[tipo_ot]],tblTiposOT[codigo],tblTiposOT[clasificacion],"sin_clasificar"))</f>
        <v/>
      </c>
      <c r="U847" s="3">
        <f>IF(tblOrdenes[[#This Row],[centro_costo]]="","",_xlfn.XLOOKUP(tblOrdenes[[#This Row],[centro_costo]],tblCECO[codigo],tblCECO[linea],"(sin catálogo)"))</f>
        <v/>
      </c>
      <c r="V847" s="3">
        <f>IF(tblOrdenes[[#This Row],[centro_costo]]="","",_xlfn.XLOOKUP(tblOrdenes[[#This Row],[centro_costo]],tblCECO[codigo],tblCECO[area],"(sin catálogo)"))</f>
        <v/>
      </c>
      <c r="W847" s="3">
        <f>IF(tblOrdenes[[#This Row],[centro_costo]]="","",_xlfn.XLOOKUP(tblOrdenes[[#This Row],[centro_costo]],tblCECO[codigo],tblCECO[coordinador],"(sin catálogo)"))</f>
        <v/>
      </c>
      <c r="X847" s="3">
        <f>IF(tblOrdenes[[#This Row],[puesto_trabajo]]="","",_xlfn.XLOOKUP(tblOrdenes[[#This Row],[puesto_trabajo]],tblPuestos[codigo],tblPuestos[especialidad],"(sin catálogo)"))</f>
        <v/>
      </c>
      <c r="Y847" s="3">
        <f>IF(tblOrdenes[[#This Row],[cod_actividad]]="","",_xlfn.XLOOKUP(tblOrdenes[[#This Row],[cod_actividad]],tblActividades[codigo],tblActividades[descripcion],"(sin catálogo)"))</f>
        <v/>
      </c>
      <c r="Z847" s="12">
        <f>IF(tblOrdenes[[#This Row],[fecha_inicio]]="","",TODAY()-tblOrdenes[[#This Row],[fecha_inicio]])</f>
        <v/>
      </c>
      <c r="AA847" s="3">
        <f>IF(tblOrdenes[[#This Row],[backlog_dias]]="","",IF(tblOrdenes[[#This Row],[backlog_dias]]&lt;0,"FUTURO",IF(tblOrdenes[[#This Row],[backlog_dias]]&gt;p_dias_backlog_max,"BACKLOG","MES CORRIENTE")))</f>
        <v/>
      </c>
      <c r="AB847" s="3">
        <f>IF(tblOrdenes[[#This Row],[backlog_dias]]="",FALSE,AND(tblOrdenes[[#This Row],[backlog_dias]]&gt;p_dias_backlog_min,tblOrdenes[[#This Row],[backlog_dias]]&lt;=p_dias_backlog_max))</f>
        <v/>
      </c>
      <c r="AC847" s="6" t="n"/>
      <c r="AD8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47" s="10">
        <f>IF(tblOrdenes[[#This Row],[orden]]="","",_xlfn.XLOOKUP(tblOrdenes[[#This Row],[id_operacion]],tblEjecucion[id_operacion],tblEjecucion[precio],0))</f>
        <v/>
      </c>
      <c r="AH847" s="10">
        <f>IF(tblOrdenes[[#This Row],[orden]]="","",MAX(0,_xlfn.XLOOKUP(tblOrdenes[[#This Row],[id_operacion]],tblEjecucion[id_operacion],tblEjecucion[costo_plan_total],0)-tblOrdenes[[#This Row],[costo_servicio]]))</f>
        <v/>
      </c>
      <c r="AI847" s="10">
        <f>IF(tblOrdenes[[#This Row],[orden]]="","",tblOrdenes[[#This Row],[costo_servicio]]+tblOrdenes[[#This Row],[costo_materiales]])</f>
        <v/>
      </c>
      <c r="AJ847" s="6" t="n"/>
      <c r="AK847" s="6" t="n"/>
      <c r="AL847" s="6" t="n"/>
      <c r="AM847" s="3">
        <f>IF(tblOrdenes[[#This Row],[link_checklist]]="","",HYPERLINK(p_ruta_base_checklists&amp;tblOrdenes[[#This Row],[link_checklist]],"abrir"))</f>
        <v/>
      </c>
      <c r="AN847" s="6" t="n"/>
      <c r="AO847" s="3">
        <f>IF(tblOrdenes[[#This Row],[orden]]="","",tblOrdenes[[#This Row],[orden]]&amp;IF(tblOrdenes[[#This Row],[operacion]]="","0010",tblOrdenes[[#This Row],[operacion]]))</f>
        <v/>
      </c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11" t="n"/>
      <c r="K848" s="3" t="n"/>
      <c r="L848" s="10" t="n"/>
      <c r="M848" s="6" t="n"/>
      <c r="N8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48" s="3">
        <f>IF(tblOrdenes[[#This Row],[fecha_inicio]]="","",YEAR(tblOrdenes[[#This Row],[fecha_inicio]]))</f>
        <v/>
      </c>
      <c r="R848" s="3">
        <f>IF(tblOrdenes[[#This Row],[fecha_inicio]]="","",MONTH(tblOrdenes[[#This Row],[fecha_inicio]]))</f>
        <v/>
      </c>
      <c r="S848" s="3">
        <f>IF(tblOrdenes[[#This Row],[fecha_inicio]]="","",INDEX(lista_dias,WEEKDAY(tblOrdenes[[#This Row],[fecha_inicio]],2)))</f>
        <v/>
      </c>
      <c r="T848" s="3">
        <f>IF(tblOrdenes[[#This Row],[tipo_ot]]="","",_xlfn.XLOOKUP(tblOrdenes[[#This Row],[tipo_ot]],tblTiposOT[codigo],tblTiposOT[clasificacion],"sin_clasificar"))</f>
        <v/>
      </c>
      <c r="U848" s="3">
        <f>IF(tblOrdenes[[#This Row],[centro_costo]]="","",_xlfn.XLOOKUP(tblOrdenes[[#This Row],[centro_costo]],tblCECO[codigo],tblCECO[linea],"(sin catálogo)"))</f>
        <v/>
      </c>
      <c r="V848" s="3">
        <f>IF(tblOrdenes[[#This Row],[centro_costo]]="","",_xlfn.XLOOKUP(tblOrdenes[[#This Row],[centro_costo]],tblCECO[codigo],tblCECO[area],"(sin catálogo)"))</f>
        <v/>
      </c>
      <c r="W848" s="3">
        <f>IF(tblOrdenes[[#This Row],[centro_costo]]="","",_xlfn.XLOOKUP(tblOrdenes[[#This Row],[centro_costo]],tblCECO[codigo],tblCECO[coordinador],"(sin catálogo)"))</f>
        <v/>
      </c>
      <c r="X848" s="3">
        <f>IF(tblOrdenes[[#This Row],[puesto_trabajo]]="","",_xlfn.XLOOKUP(tblOrdenes[[#This Row],[puesto_trabajo]],tblPuestos[codigo],tblPuestos[especialidad],"(sin catálogo)"))</f>
        <v/>
      </c>
      <c r="Y848" s="3">
        <f>IF(tblOrdenes[[#This Row],[cod_actividad]]="","",_xlfn.XLOOKUP(tblOrdenes[[#This Row],[cod_actividad]],tblActividades[codigo],tblActividades[descripcion],"(sin catálogo)"))</f>
        <v/>
      </c>
      <c r="Z848" s="12">
        <f>IF(tblOrdenes[[#This Row],[fecha_inicio]]="","",TODAY()-tblOrdenes[[#This Row],[fecha_inicio]])</f>
        <v/>
      </c>
      <c r="AA848" s="3">
        <f>IF(tblOrdenes[[#This Row],[backlog_dias]]="","",IF(tblOrdenes[[#This Row],[backlog_dias]]&lt;0,"FUTURO",IF(tblOrdenes[[#This Row],[backlog_dias]]&gt;p_dias_backlog_max,"BACKLOG","MES CORRIENTE")))</f>
        <v/>
      </c>
      <c r="AB848" s="3">
        <f>IF(tblOrdenes[[#This Row],[backlog_dias]]="",FALSE,AND(tblOrdenes[[#This Row],[backlog_dias]]&gt;p_dias_backlog_min,tblOrdenes[[#This Row],[backlog_dias]]&lt;=p_dias_backlog_max))</f>
        <v/>
      </c>
      <c r="AC848" s="6" t="n"/>
      <c r="AD8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48" s="10">
        <f>IF(tblOrdenes[[#This Row],[orden]]="","",_xlfn.XLOOKUP(tblOrdenes[[#This Row],[id_operacion]],tblEjecucion[id_operacion],tblEjecucion[precio],0))</f>
        <v/>
      </c>
      <c r="AH848" s="10">
        <f>IF(tblOrdenes[[#This Row],[orden]]="","",MAX(0,_xlfn.XLOOKUP(tblOrdenes[[#This Row],[id_operacion]],tblEjecucion[id_operacion],tblEjecucion[costo_plan_total],0)-tblOrdenes[[#This Row],[costo_servicio]]))</f>
        <v/>
      </c>
      <c r="AI848" s="10">
        <f>IF(tblOrdenes[[#This Row],[orden]]="","",tblOrdenes[[#This Row],[costo_servicio]]+tblOrdenes[[#This Row],[costo_materiales]])</f>
        <v/>
      </c>
      <c r="AJ848" s="6" t="n"/>
      <c r="AK848" s="6" t="n"/>
      <c r="AL848" s="6" t="n"/>
      <c r="AM848" s="3">
        <f>IF(tblOrdenes[[#This Row],[link_checklist]]="","",HYPERLINK(p_ruta_base_checklists&amp;tblOrdenes[[#This Row],[link_checklist]],"abrir"))</f>
        <v/>
      </c>
      <c r="AN848" s="6" t="n"/>
      <c r="AO848" s="3">
        <f>IF(tblOrdenes[[#This Row],[orden]]="","",tblOrdenes[[#This Row],[orden]]&amp;IF(tblOrdenes[[#This Row],[operacion]]="","0010",tblOrdenes[[#This Row],[operacion]]))</f>
        <v/>
      </c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11" t="n"/>
      <c r="K849" s="3" t="n"/>
      <c r="L849" s="10" t="n"/>
      <c r="M849" s="6" t="n"/>
      <c r="N8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49" s="3">
        <f>IF(tblOrdenes[[#This Row],[fecha_inicio]]="","",YEAR(tblOrdenes[[#This Row],[fecha_inicio]]))</f>
        <v/>
      </c>
      <c r="R849" s="3">
        <f>IF(tblOrdenes[[#This Row],[fecha_inicio]]="","",MONTH(tblOrdenes[[#This Row],[fecha_inicio]]))</f>
        <v/>
      </c>
      <c r="S849" s="3">
        <f>IF(tblOrdenes[[#This Row],[fecha_inicio]]="","",INDEX(lista_dias,WEEKDAY(tblOrdenes[[#This Row],[fecha_inicio]],2)))</f>
        <v/>
      </c>
      <c r="T849" s="3">
        <f>IF(tblOrdenes[[#This Row],[tipo_ot]]="","",_xlfn.XLOOKUP(tblOrdenes[[#This Row],[tipo_ot]],tblTiposOT[codigo],tblTiposOT[clasificacion],"sin_clasificar"))</f>
        <v/>
      </c>
      <c r="U849" s="3">
        <f>IF(tblOrdenes[[#This Row],[centro_costo]]="","",_xlfn.XLOOKUP(tblOrdenes[[#This Row],[centro_costo]],tblCECO[codigo],tblCECO[linea],"(sin catálogo)"))</f>
        <v/>
      </c>
      <c r="V849" s="3">
        <f>IF(tblOrdenes[[#This Row],[centro_costo]]="","",_xlfn.XLOOKUP(tblOrdenes[[#This Row],[centro_costo]],tblCECO[codigo],tblCECO[area],"(sin catálogo)"))</f>
        <v/>
      </c>
      <c r="W849" s="3">
        <f>IF(tblOrdenes[[#This Row],[centro_costo]]="","",_xlfn.XLOOKUP(tblOrdenes[[#This Row],[centro_costo]],tblCECO[codigo],tblCECO[coordinador],"(sin catálogo)"))</f>
        <v/>
      </c>
      <c r="X849" s="3">
        <f>IF(tblOrdenes[[#This Row],[puesto_trabajo]]="","",_xlfn.XLOOKUP(tblOrdenes[[#This Row],[puesto_trabajo]],tblPuestos[codigo],tblPuestos[especialidad],"(sin catálogo)"))</f>
        <v/>
      </c>
      <c r="Y849" s="3">
        <f>IF(tblOrdenes[[#This Row],[cod_actividad]]="","",_xlfn.XLOOKUP(tblOrdenes[[#This Row],[cod_actividad]],tblActividades[codigo],tblActividades[descripcion],"(sin catálogo)"))</f>
        <v/>
      </c>
      <c r="Z849" s="12">
        <f>IF(tblOrdenes[[#This Row],[fecha_inicio]]="","",TODAY()-tblOrdenes[[#This Row],[fecha_inicio]])</f>
        <v/>
      </c>
      <c r="AA849" s="3">
        <f>IF(tblOrdenes[[#This Row],[backlog_dias]]="","",IF(tblOrdenes[[#This Row],[backlog_dias]]&lt;0,"FUTURO",IF(tblOrdenes[[#This Row],[backlog_dias]]&gt;p_dias_backlog_max,"BACKLOG","MES CORRIENTE")))</f>
        <v/>
      </c>
      <c r="AB849" s="3">
        <f>IF(tblOrdenes[[#This Row],[backlog_dias]]="",FALSE,AND(tblOrdenes[[#This Row],[backlog_dias]]&gt;p_dias_backlog_min,tblOrdenes[[#This Row],[backlog_dias]]&lt;=p_dias_backlog_max))</f>
        <v/>
      </c>
      <c r="AC849" s="6" t="n"/>
      <c r="AD8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49" s="10">
        <f>IF(tblOrdenes[[#This Row],[orden]]="","",_xlfn.XLOOKUP(tblOrdenes[[#This Row],[id_operacion]],tblEjecucion[id_operacion],tblEjecucion[precio],0))</f>
        <v/>
      </c>
      <c r="AH849" s="10">
        <f>IF(tblOrdenes[[#This Row],[orden]]="","",MAX(0,_xlfn.XLOOKUP(tblOrdenes[[#This Row],[id_operacion]],tblEjecucion[id_operacion],tblEjecucion[costo_plan_total],0)-tblOrdenes[[#This Row],[costo_servicio]]))</f>
        <v/>
      </c>
      <c r="AI849" s="10">
        <f>IF(tblOrdenes[[#This Row],[orden]]="","",tblOrdenes[[#This Row],[costo_servicio]]+tblOrdenes[[#This Row],[costo_materiales]])</f>
        <v/>
      </c>
      <c r="AJ849" s="6" t="n"/>
      <c r="AK849" s="6" t="n"/>
      <c r="AL849" s="6" t="n"/>
      <c r="AM849" s="3">
        <f>IF(tblOrdenes[[#This Row],[link_checklist]]="","",HYPERLINK(p_ruta_base_checklists&amp;tblOrdenes[[#This Row],[link_checklist]],"abrir"))</f>
        <v/>
      </c>
      <c r="AN849" s="6" t="n"/>
      <c r="AO849" s="3">
        <f>IF(tblOrdenes[[#This Row],[orden]]="","",tblOrdenes[[#This Row],[orden]]&amp;IF(tblOrdenes[[#This Row],[operacion]]="","0010",tblOrdenes[[#This Row],[operacion]]))</f>
        <v/>
      </c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11" t="n"/>
      <c r="K850" s="3" t="n"/>
      <c r="L850" s="10" t="n"/>
      <c r="M850" s="6" t="n"/>
      <c r="N8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50" s="3">
        <f>IF(tblOrdenes[[#This Row],[fecha_inicio]]="","",YEAR(tblOrdenes[[#This Row],[fecha_inicio]]))</f>
        <v/>
      </c>
      <c r="R850" s="3">
        <f>IF(tblOrdenes[[#This Row],[fecha_inicio]]="","",MONTH(tblOrdenes[[#This Row],[fecha_inicio]]))</f>
        <v/>
      </c>
      <c r="S850" s="3">
        <f>IF(tblOrdenes[[#This Row],[fecha_inicio]]="","",INDEX(lista_dias,WEEKDAY(tblOrdenes[[#This Row],[fecha_inicio]],2)))</f>
        <v/>
      </c>
      <c r="T850" s="3">
        <f>IF(tblOrdenes[[#This Row],[tipo_ot]]="","",_xlfn.XLOOKUP(tblOrdenes[[#This Row],[tipo_ot]],tblTiposOT[codigo],tblTiposOT[clasificacion],"sin_clasificar"))</f>
        <v/>
      </c>
      <c r="U850" s="3">
        <f>IF(tblOrdenes[[#This Row],[centro_costo]]="","",_xlfn.XLOOKUP(tblOrdenes[[#This Row],[centro_costo]],tblCECO[codigo],tblCECO[linea],"(sin catálogo)"))</f>
        <v/>
      </c>
      <c r="V850" s="3">
        <f>IF(tblOrdenes[[#This Row],[centro_costo]]="","",_xlfn.XLOOKUP(tblOrdenes[[#This Row],[centro_costo]],tblCECO[codigo],tblCECO[area],"(sin catálogo)"))</f>
        <v/>
      </c>
      <c r="W850" s="3">
        <f>IF(tblOrdenes[[#This Row],[centro_costo]]="","",_xlfn.XLOOKUP(tblOrdenes[[#This Row],[centro_costo]],tblCECO[codigo],tblCECO[coordinador],"(sin catálogo)"))</f>
        <v/>
      </c>
      <c r="X850" s="3">
        <f>IF(tblOrdenes[[#This Row],[puesto_trabajo]]="","",_xlfn.XLOOKUP(tblOrdenes[[#This Row],[puesto_trabajo]],tblPuestos[codigo],tblPuestos[especialidad],"(sin catálogo)"))</f>
        <v/>
      </c>
      <c r="Y850" s="3">
        <f>IF(tblOrdenes[[#This Row],[cod_actividad]]="","",_xlfn.XLOOKUP(tblOrdenes[[#This Row],[cod_actividad]],tblActividades[codigo],tblActividades[descripcion],"(sin catálogo)"))</f>
        <v/>
      </c>
      <c r="Z850" s="12">
        <f>IF(tblOrdenes[[#This Row],[fecha_inicio]]="","",TODAY()-tblOrdenes[[#This Row],[fecha_inicio]])</f>
        <v/>
      </c>
      <c r="AA850" s="3">
        <f>IF(tblOrdenes[[#This Row],[backlog_dias]]="","",IF(tblOrdenes[[#This Row],[backlog_dias]]&lt;0,"FUTURO",IF(tblOrdenes[[#This Row],[backlog_dias]]&gt;p_dias_backlog_max,"BACKLOG","MES CORRIENTE")))</f>
        <v/>
      </c>
      <c r="AB850" s="3">
        <f>IF(tblOrdenes[[#This Row],[backlog_dias]]="",FALSE,AND(tblOrdenes[[#This Row],[backlog_dias]]&gt;p_dias_backlog_min,tblOrdenes[[#This Row],[backlog_dias]]&lt;=p_dias_backlog_max))</f>
        <v/>
      </c>
      <c r="AC850" s="6" t="n"/>
      <c r="AD8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50" s="10">
        <f>IF(tblOrdenes[[#This Row],[orden]]="","",_xlfn.XLOOKUP(tblOrdenes[[#This Row],[id_operacion]],tblEjecucion[id_operacion],tblEjecucion[precio],0))</f>
        <v/>
      </c>
      <c r="AH850" s="10">
        <f>IF(tblOrdenes[[#This Row],[orden]]="","",MAX(0,_xlfn.XLOOKUP(tblOrdenes[[#This Row],[id_operacion]],tblEjecucion[id_operacion],tblEjecucion[costo_plan_total],0)-tblOrdenes[[#This Row],[costo_servicio]]))</f>
        <v/>
      </c>
      <c r="AI850" s="10">
        <f>IF(tblOrdenes[[#This Row],[orden]]="","",tblOrdenes[[#This Row],[costo_servicio]]+tblOrdenes[[#This Row],[costo_materiales]])</f>
        <v/>
      </c>
      <c r="AJ850" s="6" t="n"/>
      <c r="AK850" s="6" t="n"/>
      <c r="AL850" s="6" t="n"/>
      <c r="AM850" s="3">
        <f>IF(tblOrdenes[[#This Row],[link_checklist]]="","",HYPERLINK(p_ruta_base_checklists&amp;tblOrdenes[[#This Row],[link_checklist]],"abrir"))</f>
        <v/>
      </c>
      <c r="AN850" s="6" t="n"/>
      <c r="AO850" s="3">
        <f>IF(tblOrdenes[[#This Row],[orden]]="","",tblOrdenes[[#This Row],[orden]]&amp;IF(tblOrdenes[[#This Row],[operacion]]="","0010",tblOrdenes[[#This Row],[operacion]]))</f>
        <v/>
      </c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11" t="n"/>
      <c r="K851" s="3" t="n"/>
      <c r="L851" s="10" t="n"/>
      <c r="M851" s="6" t="n"/>
      <c r="N8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51" s="3">
        <f>IF(tblOrdenes[[#This Row],[fecha_inicio]]="","",YEAR(tblOrdenes[[#This Row],[fecha_inicio]]))</f>
        <v/>
      </c>
      <c r="R851" s="3">
        <f>IF(tblOrdenes[[#This Row],[fecha_inicio]]="","",MONTH(tblOrdenes[[#This Row],[fecha_inicio]]))</f>
        <v/>
      </c>
      <c r="S851" s="3">
        <f>IF(tblOrdenes[[#This Row],[fecha_inicio]]="","",INDEX(lista_dias,WEEKDAY(tblOrdenes[[#This Row],[fecha_inicio]],2)))</f>
        <v/>
      </c>
      <c r="T851" s="3">
        <f>IF(tblOrdenes[[#This Row],[tipo_ot]]="","",_xlfn.XLOOKUP(tblOrdenes[[#This Row],[tipo_ot]],tblTiposOT[codigo],tblTiposOT[clasificacion],"sin_clasificar"))</f>
        <v/>
      </c>
      <c r="U851" s="3">
        <f>IF(tblOrdenes[[#This Row],[centro_costo]]="","",_xlfn.XLOOKUP(tblOrdenes[[#This Row],[centro_costo]],tblCECO[codigo],tblCECO[linea],"(sin catálogo)"))</f>
        <v/>
      </c>
      <c r="V851" s="3">
        <f>IF(tblOrdenes[[#This Row],[centro_costo]]="","",_xlfn.XLOOKUP(tblOrdenes[[#This Row],[centro_costo]],tblCECO[codigo],tblCECO[area],"(sin catálogo)"))</f>
        <v/>
      </c>
      <c r="W851" s="3">
        <f>IF(tblOrdenes[[#This Row],[centro_costo]]="","",_xlfn.XLOOKUP(tblOrdenes[[#This Row],[centro_costo]],tblCECO[codigo],tblCECO[coordinador],"(sin catálogo)"))</f>
        <v/>
      </c>
      <c r="X851" s="3">
        <f>IF(tblOrdenes[[#This Row],[puesto_trabajo]]="","",_xlfn.XLOOKUP(tblOrdenes[[#This Row],[puesto_trabajo]],tblPuestos[codigo],tblPuestos[especialidad],"(sin catálogo)"))</f>
        <v/>
      </c>
      <c r="Y851" s="3">
        <f>IF(tblOrdenes[[#This Row],[cod_actividad]]="","",_xlfn.XLOOKUP(tblOrdenes[[#This Row],[cod_actividad]],tblActividades[codigo],tblActividades[descripcion],"(sin catálogo)"))</f>
        <v/>
      </c>
      <c r="Z851" s="12">
        <f>IF(tblOrdenes[[#This Row],[fecha_inicio]]="","",TODAY()-tblOrdenes[[#This Row],[fecha_inicio]])</f>
        <v/>
      </c>
      <c r="AA851" s="3">
        <f>IF(tblOrdenes[[#This Row],[backlog_dias]]="","",IF(tblOrdenes[[#This Row],[backlog_dias]]&lt;0,"FUTURO",IF(tblOrdenes[[#This Row],[backlog_dias]]&gt;p_dias_backlog_max,"BACKLOG","MES CORRIENTE")))</f>
        <v/>
      </c>
      <c r="AB851" s="3">
        <f>IF(tblOrdenes[[#This Row],[backlog_dias]]="",FALSE,AND(tblOrdenes[[#This Row],[backlog_dias]]&gt;p_dias_backlog_min,tblOrdenes[[#This Row],[backlog_dias]]&lt;=p_dias_backlog_max))</f>
        <v/>
      </c>
      <c r="AC851" s="6" t="n"/>
      <c r="AD8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51" s="10">
        <f>IF(tblOrdenes[[#This Row],[orden]]="","",_xlfn.XLOOKUP(tblOrdenes[[#This Row],[id_operacion]],tblEjecucion[id_operacion],tblEjecucion[precio],0))</f>
        <v/>
      </c>
      <c r="AH851" s="10">
        <f>IF(tblOrdenes[[#This Row],[orden]]="","",MAX(0,_xlfn.XLOOKUP(tblOrdenes[[#This Row],[id_operacion]],tblEjecucion[id_operacion],tblEjecucion[costo_plan_total],0)-tblOrdenes[[#This Row],[costo_servicio]]))</f>
        <v/>
      </c>
      <c r="AI851" s="10">
        <f>IF(tblOrdenes[[#This Row],[orden]]="","",tblOrdenes[[#This Row],[costo_servicio]]+tblOrdenes[[#This Row],[costo_materiales]])</f>
        <v/>
      </c>
      <c r="AJ851" s="6" t="n"/>
      <c r="AK851" s="6" t="n"/>
      <c r="AL851" s="6" t="n"/>
      <c r="AM851" s="3">
        <f>IF(tblOrdenes[[#This Row],[link_checklist]]="","",HYPERLINK(p_ruta_base_checklists&amp;tblOrdenes[[#This Row],[link_checklist]],"abrir"))</f>
        <v/>
      </c>
      <c r="AN851" s="6" t="n"/>
      <c r="AO851" s="3">
        <f>IF(tblOrdenes[[#This Row],[orden]]="","",tblOrdenes[[#This Row],[orden]]&amp;IF(tblOrdenes[[#This Row],[operacion]]="","0010",tblOrdenes[[#This Row],[operacion]]))</f>
        <v/>
      </c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11" t="n"/>
      <c r="K852" s="3" t="n"/>
      <c r="L852" s="10" t="n"/>
      <c r="M852" s="6" t="n"/>
      <c r="N8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52" s="3">
        <f>IF(tblOrdenes[[#This Row],[fecha_inicio]]="","",YEAR(tblOrdenes[[#This Row],[fecha_inicio]]))</f>
        <v/>
      </c>
      <c r="R852" s="3">
        <f>IF(tblOrdenes[[#This Row],[fecha_inicio]]="","",MONTH(tblOrdenes[[#This Row],[fecha_inicio]]))</f>
        <v/>
      </c>
      <c r="S852" s="3">
        <f>IF(tblOrdenes[[#This Row],[fecha_inicio]]="","",INDEX(lista_dias,WEEKDAY(tblOrdenes[[#This Row],[fecha_inicio]],2)))</f>
        <v/>
      </c>
      <c r="T852" s="3">
        <f>IF(tblOrdenes[[#This Row],[tipo_ot]]="","",_xlfn.XLOOKUP(tblOrdenes[[#This Row],[tipo_ot]],tblTiposOT[codigo],tblTiposOT[clasificacion],"sin_clasificar"))</f>
        <v/>
      </c>
      <c r="U852" s="3">
        <f>IF(tblOrdenes[[#This Row],[centro_costo]]="","",_xlfn.XLOOKUP(tblOrdenes[[#This Row],[centro_costo]],tblCECO[codigo],tblCECO[linea],"(sin catálogo)"))</f>
        <v/>
      </c>
      <c r="V852" s="3">
        <f>IF(tblOrdenes[[#This Row],[centro_costo]]="","",_xlfn.XLOOKUP(tblOrdenes[[#This Row],[centro_costo]],tblCECO[codigo],tblCECO[area],"(sin catálogo)"))</f>
        <v/>
      </c>
      <c r="W852" s="3">
        <f>IF(tblOrdenes[[#This Row],[centro_costo]]="","",_xlfn.XLOOKUP(tblOrdenes[[#This Row],[centro_costo]],tblCECO[codigo],tblCECO[coordinador],"(sin catálogo)"))</f>
        <v/>
      </c>
      <c r="X852" s="3">
        <f>IF(tblOrdenes[[#This Row],[puesto_trabajo]]="","",_xlfn.XLOOKUP(tblOrdenes[[#This Row],[puesto_trabajo]],tblPuestos[codigo],tblPuestos[especialidad],"(sin catálogo)"))</f>
        <v/>
      </c>
      <c r="Y852" s="3">
        <f>IF(tblOrdenes[[#This Row],[cod_actividad]]="","",_xlfn.XLOOKUP(tblOrdenes[[#This Row],[cod_actividad]],tblActividades[codigo],tblActividades[descripcion],"(sin catálogo)"))</f>
        <v/>
      </c>
      <c r="Z852" s="12">
        <f>IF(tblOrdenes[[#This Row],[fecha_inicio]]="","",TODAY()-tblOrdenes[[#This Row],[fecha_inicio]])</f>
        <v/>
      </c>
      <c r="AA852" s="3">
        <f>IF(tblOrdenes[[#This Row],[backlog_dias]]="","",IF(tblOrdenes[[#This Row],[backlog_dias]]&lt;0,"FUTURO",IF(tblOrdenes[[#This Row],[backlog_dias]]&gt;p_dias_backlog_max,"BACKLOG","MES CORRIENTE")))</f>
        <v/>
      </c>
      <c r="AB852" s="3">
        <f>IF(tblOrdenes[[#This Row],[backlog_dias]]="",FALSE,AND(tblOrdenes[[#This Row],[backlog_dias]]&gt;p_dias_backlog_min,tblOrdenes[[#This Row],[backlog_dias]]&lt;=p_dias_backlog_max))</f>
        <v/>
      </c>
      <c r="AC852" s="6" t="n"/>
      <c r="AD8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52" s="10">
        <f>IF(tblOrdenes[[#This Row],[orden]]="","",_xlfn.XLOOKUP(tblOrdenes[[#This Row],[id_operacion]],tblEjecucion[id_operacion],tblEjecucion[precio],0))</f>
        <v/>
      </c>
      <c r="AH852" s="10">
        <f>IF(tblOrdenes[[#This Row],[orden]]="","",MAX(0,_xlfn.XLOOKUP(tblOrdenes[[#This Row],[id_operacion]],tblEjecucion[id_operacion],tblEjecucion[costo_plan_total],0)-tblOrdenes[[#This Row],[costo_servicio]]))</f>
        <v/>
      </c>
      <c r="AI852" s="10">
        <f>IF(tblOrdenes[[#This Row],[orden]]="","",tblOrdenes[[#This Row],[costo_servicio]]+tblOrdenes[[#This Row],[costo_materiales]])</f>
        <v/>
      </c>
      <c r="AJ852" s="6" t="n"/>
      <c r="AK852" s="6" t="n"/>
      <c r="AL852" s="6" t="n"/>
      <c r="AM852" s="3">
        <f>IF(tblOrdenes[[#This Row],[link_checklist]]="","",HYPERLINK(p_ruta_base_checklists&amp;tblOrdenes[[#This Row],[link_checklist]],"abrir"))</f>
        <v/>
      </c>
      <c r="AN852" s="6" t="n"/>
      <c r="AO852" s="3">
        <f>IF(tblOrdenes[[#This Row],[orden]]="","",tblOrdenes[[#This Row],[orden]]&amp;IF(tblOrdenes[[#This Row],[operacion]]="","0010",tblOrdenes[[#This Row],[operacion]]))</f>
        <v/>
      </c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11" t="n"/>
      <c r="K853" s="3" t="n"/>
      <c r="L853" s="10" t="n"/>
      <c r="M853" s="6" t="n"/>
      <c r="N8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53" s="3">
        <f>IF(tblOrdenes[[#This Row],[fecha_inicio]]="","",YEAR(tblOrdenes[[#This Row],[fecha_inicio]]))</f>
        <v/>
      </c>
      <c r="R853" s="3">
        <f>IF(tblOrdenes[[#This Row],[fecha_inicio]]="","",MONTH(tblOrdenes[[#This Row],[fecha_inicio]]))</f>
        <v/>
      </c>
      <c r="S853" s="3">
        <f>IF(tblOrdenes[[#This Row],[fecha_inicio]]="","",INDEX(lista_dias,WEEKDAY(tblOrdenes[[#This Row],[fecha_inicio]],2)))</f>
        <v/>
      </c>
      <c r="T853" s="3">
        <f>IF(tblOrdenes[[#This Row],[tipo_ot]]="","",_xlfn.XLOOKUP(tblOrdenes[[#This Row],[tipo_ot]],tblTiposOT[codigo],tblTiposOT[clasificacion],"sin_clasificar"))</f>
        <v/>
      </c>
      <c r="U853" s="3">
        <f>IF(tblOrdenes[[#This Row],[centro_costo]]="","",_xlfn.XLOOKUP(tblOrdenes[[#This Row],[centro_costo]],tblCECO[codigo],tblCECO[linea],"(sin catálogo)"))</f>
        <v/>
      </c>
      <c r="V853" s="3">
        <f>IF(tblOrdenes[[#This Row],[centro_costo]]="","",_xlfn.XLOOKUP(tblOrdenes[[#This Row],[centro_costo]],tblCECO[codigo],tblCECO[area],"(sin catálogo)"))</f>
        <v/>
      </c>
      <c r="W853" s="3">
        <f>IF(tblOrdenes[[#This Row],[centro_costo]]="","",_xlfn.XLOOKUP(tblOrdenes[[#This Row],[centro_costo]],tblCECO[codigo],tblCECO[coordinador],"(sin catálogo)"))</f>
        <v/>
      </c>
      <c r="X853" s="3">
        <f>IF(tblOrdenes[[#This Row],[puesto_trabajo]]="","",_xlfn.XLOOKUP(tblOrdenes[[#This Row],[puesto_trabajo]],tblPuestos[codigo],tblPuestos[especialidad],"(sin catálogo)"))</f>
        <v/>
      </c>
      <c r="Y853" s="3">
        <f>IF(tblOrdenes[[#This Row],[cod_actividad]]="","",_xlfn.XLOOKUP(tblOrdenes[[#This Row],[cod_actividad]],tblActividades[codigo],tblActividades[descripcion],"(sin catálogo)"))</f>
        <v/>
      </c>
      <c r="Z853" s="12">
        <f>IF(tblOrdenes[[#This Row],[fecha_inicio]]="","",TODAY()-tblOrdenes[[#This Row],[fecha_inicio]])</f>
        <v/>
      </c>
      <c r="AA853" s="3">
        <f>IF(tblOrdenes[[#This Row],[backlog_dias]]="","",IF(tblOrdenes[[#This Row],[backlog_dias]]&lt;0,"FUTURO",IF(tblOrdenes[[#This Row],[backlog_dias]]&gt;p_dias_backlog_max,"BACKLOG","MES CORRIENTE")))</f>
        <v/>
      </c>
      <c r="AB853" s="3">
        <f>IF(tblOrdenes[[#This Row],[backlog_dias]]="",FALSE,AND(tblOrdenes[[#This Row],[backlog_dias]]&gt;p_dias_backlog_min,tblOrdenes[[#This Row],[backlog_dias]]&lt;=p_dias_backlog_max))</f>
        <v/>
      </c>
      <c r="AC853" s="6" t="n"/>
      <c r="AD8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53" s="10">
        <f>IF(tblOrdenes[[#This Row],[orden]]="","",_xlfn.XLOOKUP(tblOrdenes[[#This Row],[id_operacion]],tblEjecucion[id_operacion],tblEjecucion[precio],0))</f>
        <v/>
      </c>
      <c r="AH853" s="10">
        <f>IF(tblOrdenes[[#This Row],[orden]]="","",MAX(0,_xlfn.XLOOKUP(tblOrdenes[[#This Row],[id_operacion]],tblEjecucion[id_operacion],tblEjecucion[costo_plan_total],0)-tblOrdenes[[#This Row],[costo_servicio]]))</f>
        <v/>
      </c>
      <c r="AI853" s="10">
        <f>IF(tblOrdenes[[#This Row],[orden]]="","",tblOrdenes[[#This Row],[costo_servicio]]+tblOrdenes[[#This Row],[costo_materiales]])</f>
        <v/>
      </c>
      <c r="AJ853" s="6" t="n"/>
      <c r="AK853" s="6" t="n"/>
      <c r="AL853" s="6" t="n"/>
      <c r="AM853" s="3">
        <f>IF(tblOrdenes[[#This Row],[link_checklist]]="","",HYPERLINK(p_ruta_base_checklists&amp;tblOrdenes[[#This Row],[link_checklist]],"abrir"))</f>
        <v/>
      </c>
      <c r="AN853" s="6" t="n"/>
      <c r="AO853" s="3">
        <f>IF(tblOrdenes[[#This Row],[orden]]="","",tblOrdenes[[#This Row],[orden]]&amp;IF(tblOrdenes[[#This Row],[operacion]]="","0010",tblOrdenes[[#This Row],[operacion]]))</f>
        <v/>
      </c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11" t="n"/>
      <c r="K854" s="3" t="n"/>
      <c r="L854" s="10" t="n"/>
      <c r="M854" s="6" t="n"/>
      <c r="N8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54" s="3">
        <f>IF(tblOrdenes[[#This Row],[fecha_inicio]]="","",YEAR(tblOrdenes[[#This Row],[fecha_inicio]]))</f>
        <v/>
      </c>
      <c r="R854" s="3">
        <f>IF(tblOrdenes[[#This Row],[fecha_inicio]]="","",MONTH(tblOrdenes[[#This Row],[fecha_inicio]]))</f>
        <v/>
      </c>
      <c r="S854" s="3">
        <f>IF(tblOrdenes[[#This Row],[fecha_inicio]]="","",INDEX(lista_dias,WEEKDAY(tblOrdenes[[#This Row],[fecha_inicio]],2)))</f>
        <v/>
      </c>
      <c r="T854" s="3">
        <f>IF(tblOrdenes[[#This Row],[tipo_ot]]="","",_xlfn.XLOOKUP(tblOrdenes[[#This Row],[tipo_ot]],tblTiposOT[codigo],tblTiposOT[clasificacion],"sin_clasificar"))</f>
        <v/>
      </c>
      <c r="U854" s="3">
        <f>IF(tblOrdenes[[#This Row],[centro_costo]]="","",_xlfn.XLOOKUP(tblOrdenes[[#This Row],[centro_costo]],tblCECO[codigo],tblCECO[linea],"(sin catálogo)"))</f>
        <v/>
      </c>
      <c r="V854" s="3">
        <f>IF(tblOrdenes[[#This Row],[centro_costo]]="","",_xlfn.XLOOKUP(tblOrdenes[[#This Row],[centro_costo]],tblCECO[codigo],tblCECO[area],"(sin catálogo)"))</f>
        <v/>
      </c>
      <c r="W854" s="3">
        <f>IF(tblOrdenes[[#This Row],[centro_costo]]="","",_xlfn.XLOOKUP(tblOrdenes[[#This Row],[centro_costo]],tblCECO[codigo],tblCECO[coordinador],"(sin catálogo)"))</f>
        <v/>
      </c>
      <c r="X854" s="3">
        <f>IF(tblOrdenes[[#This Row],[puesto_trabajo]]="","",_xlfn.XLOOKUP(tblOrdenes[[#This Row],[puesto_trabajo]],tblPuestos[codigo],tblPuestos[especialidad],"(sin catálogo)"))</f>
        <v/>
      </c>
      <c r="Y854" s="3">
        <f>IF(tblOrdenes[[#This Row],[cod_actividad]]="","",_xlfn.XLOOKUP(tblOrdenes[[#This Row],[cod_actividad]],tblActividades[codigo],tblActividades[descripcion],"(sin catálogo)"))</f>
        <v/>
      </c>
      <c r="Z854" s="12">
        <f>IF(tblOrdenes[[#This Row],[fecha_inicio]]="","",TODAY()-tblOrdenes[[#This Row],[fecha_inicio]])</f>
        <v/>
      </c>
      <c r="AA854" s="3">
        <f>IF(tblOrdenes[[#This Row],[backlog_dias]]="","",IF(tblOrdenes[[#This Row],[backlog_dias]]&lt;0,"FUTURO",IF(tblOrdenes[[#This Row],[backlog_dias]]&gt;p_dias_backlog_max,"BACKLOG","MES CORRIENTE")))</f>
        <v/>
      </c>
      <c r="AB854" s="3">
        <f>IF(tblOrdenes[[#This Row],[backlog_dias]]="",FALSE,AND(tblOrdenes[[#This Row],[backlog_dias]]&gt;p_dias_backlog_min,tblOrdenes[[#This Row],[backlog_dias]]&lt;=p_dias_backlog_max))</f>
        <v/>
      </c>
      <c r="AC854" s="6" t="n"/>
      <c r="AD8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54" s="10">
        <f>IF(tblOrdenes[[#This Row],[orden]]="","",_xlfn.XLOOKUP(tblOrdenes[[#This Row],[id_operacion]],tblEjecucion[id_operacion],tblEjecucion[precio],0))</f>
        <v/>
      </c>
      <c r="AH854" s="10">
        <f>IF(tblOrdenes[[#This Row],[orden]]="","",MAX(0,_xlfn.XLOOKUP(tblOrdenes[[#This Row],[id_operacion]],tblEjecucion[id_operacion],tblEjecucion[costo_plan_total],0)-tblOrdenes[[#This Row],[costo_servicio]]))</f>
        <v/>
      </c>
      <c r="AI854" s="10">
        <f>IF(tblOrdenes[[#This Row],[orden]]="","",tblOrdenes[[#This Row],[costo_servicio]]+tblOrdenes[[#This Row],[costo_materiales]])</f>
        <v/>
      </c>
      <c r="AJ854" s="6" t="n"/>
      <c r="AK854" s="6" t="n"/>
      <c r="AL854" s="6" t="n"/>
      <c r="AM854" s="3">
        <f>IF(tblOrdenes[[#This Row],[link_checklist]]="","",HYPERLINK(p_ruta_base_checklists&amp;tblOrdenes[[#This Row],[link_checklist]],"abrir"))</f>
        <v/>
      </c>
      <c r="AN854" s="6" t="n"/>
      <c r="AO854" s="3">
        <f>IF(tblOrdenes[[#This Row],[orden]]="","",tblOrdenes[[#This Row],[orden]]&amp;IF(tblOrdenes[[#This Row],[operacion]]="","0010",tblOrdenes[[#This Row],[operacion]]))</f>
        <v/>
      </c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11" t="n"/>
      <c r="K855" s="3" t="n"/>
      <c r="L855" s="10" t="n"/>
      <c r="M855" s="6" t="n"/>
      <c r="N8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55" s="3">
        <f>IF(tblOrdenes[[#This Row],[fecha_inicio]]="","",YEAR(tblOrdenes[[#This Row],[fecha_inicio]]))</f>
        <v/>
      </c>
      <c r="R855" s="3">
        <f>IF(tblOrdenes[[#This Row],[fecha_inicio]]="","",MONTH(tblOrdenes[[#This Row],[fecha_inicio]]))</f>
        <v/>
      </c>
      <c r="S855" s="3">
        <f>IF(tblOrdenes[[#This Row],[fecha_inicio]]="","",INDEX(lista_dias,WEEKDAY(tblOrdenes[[#This Row],[fecha_inicio]],2)))</f>
        <v/>
      </c>
      <c r="T855" s="3">
        <f>IF(tblOrdenes[[#This Row],[tipo_ot]]="","",_xlfn.XLOOKUP(tblOrdenes[[#This Row],[tipo_ot]],tblTiposOT[codigo],tblTiposOT[clasificacion],"sin_clasificar"))</f>
        <v/>
      </c>
      <c r="U855" s="3">
        <f>IF(tblOrdenes[[#This Row],[centro_costo]]="","",_xlfn.XLOOKUP(tblOrdenes[[#This Row],[centro_costo]],tblCECO[codigo],tblCECO[linea],"(sin catálogo)"))</f>
        <v/>
      </c>
      <c r="V855" s="3">
        <f>IF(tblOrdenes[[#This Row],[centro_costo]]="","",_xlfn.XLOOKUP(tblOrdenes[[#This Row],[centro_costo]],tblCECO[codigo],tblCECO[area],"(sin catálogo)"))</f>
        <v/>
      </c>
      <c r="W855" s="3">
        <f>IF(tblOrdenes[[#This Row],[centro_costo]]="","",_xlfn.XLOOKUP(tblOrdenes[[#This Row],[centro_costo]],tblCECO[codigo],tblCECO[coordinador],"(sin catálogo)"))</f>
        <v/>
      </c>
      <c r="X855" s="3">
        <f>IF(tblOrdenes[[#This Row],[puesto_trabajo]]="","",_xlfn.XLOOKUP(tblOrdenes[[#This Row],[puesto_trabajo]],tblPuestos[codigo],tblPuestos[especialidad],"(sin catálogo)"))</f>
        <v/>
      </c>
      <c r="Y855" s="3">
        <f>IF(tblOrdenes[[#This Row],[cod_actividad]]="","",_xlfn.XLOOKUP(tblOrdenes[[#This Row],[cod_actividad]],tblActividades[codigo],tblActividades[descripcion],"(sin catálogo)"))</f>
        <v/>
      </c>
      <c r="Z855" s="12">
        <f>IF(tblOrdenes[[#This Row],[fecha_inicio]]="","",TODAY()-tblOrdenes[[#This Row],[fecha_inicio]])</f>
        <v/>
      </c>
      <c r="AA855" s="3">
        <f>IF(tblOrdenes[[#This Row],[backlog_dias]]="","",IF(tblOrdenes[[#This Row],[backlog_dias]]&lt;0,"FUTURO",IF(tblOrdenes[[#This Row],[backlog_dias]]&gt;p_dias_backlog_max,"BACKLOG","MES CORRIENTE")))</f>
        <v/>
      </c>
      <c r="AB855" s="3">
        <f>IF(tblOrdenes[[#This Row],[backlog_dias]]="",FALSE,AND(tblOrdenes[[#This Row],[backlog_dias]]&gt;p_dias_backlog_min,tblOrdenes[[#This Row],[backlog_dias]]&lt;=p_dias_backlog_max))</f>
        <v/>
      </c>
      <c r="AC855" s="6" t="n"/>
      <c r="AD8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55" s="10">
        <f>IF(tblOrdenes[[#This Row],[orden]]="","",_xlfn.XLOOKUP(tblOrdenes[[#This Row],[id_operacion]],tblEjecucion[id_operacion],tblEjecucion[precio],0))</f>
        <v/>
      </c>
      <c r="AH855" s="10">
        <f>IF(tblOrdenes[[#This Row],[orden]]="","",MAX(0,_xlfn.XLOOKUP(tblOrdenes[[#This Row],[id_operacion]],tblEjecucion[id_operacion],tblEjecucion[costo_plan_total],0)-tblOrdenes[[#This Row],[costo_servicio]]))</f>
        <v/>
      </c>
      <c r="AI855" s="10">
        <f>IF(tblOrdenes[[#This Row],[orden]]="","",tblOrdenes[[#This Row],[costo_servicio]]+tblOrdenes[[#This Row],[costo_materiales]])</f>
        <v/>
      </c>
      <c r="AJ855" s="6" t="n"/>
      <c r="AK855" s="6" t="n"/>
      <c r="AL855" s="6" t="n"/>
      <c r="AM855" s="3">
        <f>IF(tblOrdenes[[#This Row],[link_checklist]]="","",HYPERLINK(p_ruta_base_checklists&amp;tblOrdenes[[#This Row],[link_checklist]],"abrir"))</f>
        <v/>
      </c>
      <c r="AN855" s="6" t="n"/>
      <c r="AO855" s="3">
        <f>IF(tblOrdenes[[#This Row],[orden]]="","",tblOrdenes[[#This Row],[orden]]&amp;IF(tblOrdenes[[#This Row],[operacion]]="","0010",tblOrdenes[[#This Row],[operacion]]))</f>
        <v/>
      </c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11" t="n"/>
      <c r="K856" s="3" t="n"/>
      <c r="L856" s="10" t="n"/>
      <c r="M856" s="6" t="n"/>
      <c r="N8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56" s="3">
        <f>IF(tblOrdenes[[#This Row],[fecha_inicio]]="","",YEAR(tblOrdenes[[#This Row],[fecha_inicio]]))</f>
        <v/>
      </c>
      <c r="R856" s="3">
        <f>IF(tblOrdenes[[#This Row],[fecha_inicio]]="","",MONTH(tblOrdenes[[#This Row],[fecha_inicio]]))</f>
        <v/>
      </c>
      <c r="S856" s="3">
        <f>IF(tblOrdenes[[#This Row],[fecha_inicio]]="","",INDEX(lista_dias,WEEKDAY(tblOrdenes[[#This Row],[fecha_inicio]],2)))</f>
        <v/>
      </c>
      <c r="T856" s="3">
        <f>IF(tblOrdenes[[#This Row],[tipo_ot]]="","",_xlfn.XLOOKUP(tblOrdenes[[#This Row],[tipo_ot]],tblTiposOT[codigo],tblTiposOT[clasificacion],"sin_clasificar"))</f>
        <v/>
      </c>
      <c r="U856" s="3">
        <f>IF(tblOrdenes[[#This Row],[centro_costo]]="","",_xlfn.XLOOKUP(tblOrdenes[[#This Row],[centro_costo]],tblCECO[codigo],tblCECO[linea],"(sin catálogo)"))</f>
        <v/>
      </c>
      <c r="V856" s="3">
        <f>IF(tblOrdenes[[#This Row],[centro_costo]]="","",_xlfn.XLOOKUP(tblOrdenes[[#This Row],[centro_costo]],tblCECO[codigo],tblCECO[area],"(sin catálogo)"))</f>
        <v/>
      </c>
      <c r="W856" s="3">
        <f>IF(tblOrdenes[[#This Row],[centro_costo]]="","",_xlfn.XLOOKUP(tblOrdenes[[#This Row],[centro_costo]],tblCECO[codigo],tblCECO[coordinador],"(sin catálogo)"))</f>
        <v/>
      </c>
      <c r="X856" s="3">
        <f>IF(tblOrdenes[[#This Row],[puesto_trabajo]]="","",_xlfn.XLOOKUP(tblOrdenes[[#This Row],[puesto_trabajo]],tblPuestos[codigo],tblPuestos[especialidad],"(sin catálogo)"))</f>
        <v/>
      </c>
      <c r="Y856" s="3">
        <f>IF(tblOrdenes[[#This Row],[cod_actividad]]="","",_xlfn.XLOOKUP(tblOrdenes[[#This Row],[cod_actividad]],tblActividades[codigo],tblActividades[descripcion],"(sin catálogo)"))</f>
        <v/>
      </c>
      <c r="Z856" s="12">
        <f>IF(tblOrdenes[[#This Row],[fecha_inicio]]="","",TODAY()-tblOrdenes[[#This Row],[fecha_inicio]])</f>
        <v/>
      </c>
      <c r="AA856" s="3">
        <f>IF(tblOrdenes[[#This Row],[backlog_dias]]="","",IF(tblOrdenes[[#This Row],[backlog_dias]]&lt;0,"FUTURO",IF(tblOrdenes[[#This Row],[backlog_dias]]&gt;p_dias_backlog_max,"BACKLOG","MES CORRIENTE")))</f>
        <v/>
      </c>
      <c r="AB856" s="3">
        <f>IF(tblOrdenes[[#This Row],[backlog_dias]]="",FALSE,AND(tblOrdenes[[#This Row],[backlog_dias]]&gt;p_dias_backlog_min,tblOrdenes[[#This Row],[backlog_dias]]&lt;=p_dias_backlog_max))</f>
        <v/>
      </c>
      <c r="AC856" s="6" t="n"/>
      <c r="AD8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56" s="10">
        <f>IF(tblOrdenes[[#This Row],[orden]]="","",_xlfn.XLOOKUP(tblOrdenes[[#This Row],[id_operacion]],tblEjecucion[id_operacion],tblEjecucion[precio],0))</f>
        <v/>
      </c>
      <c r="AH856" s="10">
        <f>IF(tblOrdenes[[#This Row],[orden]]="","",MAX(0,_xlfn.XLOOKUP(tblOrdenes[[#This Row],[id_operacion]],tblEjecucion[id_operacion],tblEjecucion[costo_plan_total],0)-tblOrdenes[[#This Row],[costo_servicio]]))</f>
        <v/>
      </c>
      <c r="AI856" s="10">
        <f>IF(tblOrdenes[[#This Row],[orden]]="","",tblOrdenes[[#This Row],[costo_servicio]]+tblOrdenes[[#This Row],[costo_materiales]])</f>
        <v/>
      </c>
      <c r="AJ856" s="6" t="n"/>
      <c r="AK856" s="6" t="n"/>
      <c r="AL856" s="6" t="n"/>
      <c r="AM856" s="3">
        <f>IF(tblOrdenes[[#This Row],[link_checklist]]="","",HYPERLINK(p_ruta_base_checklists&amp;tblOrdenes[[#This Row],[link_checklist]],"abrir"))</f>
        <v/>
      </c>
      <c r="AN856" s="6" t="n"/>
      <c r="AO856" s="3">
        <f>IF(tblOrdenes[[#This Row],[orden]]="","",tblOrdenes[[#This Row],[orden]]&amp;IF(tblOrdenes[[#This Row],[operacion]]="","0010",tblOrdenes[[#This Row],[operacion]]))</f>
        <v/>
      </c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11" t="n"/>
      <c r="K857" s="3" t="n"/>
      <c r="L857" s="10" t="n"/>
      <c r="M857" s="6" t="n"/>
      <c r="N8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57" s="3">
        <f>IF(tblOrdenes[[#This Row],[fecha_inicio]]="","",YEAR(tblOrdenes[[#This Row],[fecha_inicio]]))</f>
        <v/>
      </c>
      <c r="R857" s="3">
        <f>IF(tblOrdenes[[#This Row],[fecha_inicio]]="","",MONTH(tblOrdenes[[#This Row],[fecha_inicio]]))</f>
        <v/>
      </c>
      <c r="S857" s="3">
        <f>IF(tblOrdenes[[#This Row],[fecha_inicio]]="","",INDEX(lista_dias,WEEKDAY(tblOrdenes[[#This Row],[fecha_inicio]],2)))</f>
        <v/>
      </c>
      <c r="T857" s="3">
        <f>IF(tblOrdenes[[#This Row],[tipo_ot]]="","",_xlfn.XLOOKUP(tblOrdenes[[#This Row],[tipo_ot]],tblTiposOT[codigo],tblTiposOT[clasificacion],"sin_clasificar"))</f>
        <v/>
      </c>
      <c r="U857" s="3">
        <f>IF(tblOrdenes[[#This Row],[centro_costo]]="","",_xlfn.XLOOKUP(tblOrdenes[[#This Row],[centro_costo]],tblCECO[codigo],tblCECO[linea],"(sin catálogo)"))</f>
        <v/>
      </c>
      <c r="V857" s="3">
        <f>IF(tblOrdenes[[#This Row],[centro_costo]]="","",_xlfn.XLOOKUP(tblOrdenes[[#This Row],[centro_costo]],tblCECO[codigo],tblCECO[area],"(sin catálogo)"))</f>
        <v/>
      </c>
      <c r="W857" s="3">
        <f>IF(tblOrdenes[[#This Row],[centro_costo]]="","",_xlfn.XLOOKUP(tblOrdenes[[#This Row],[centro_costo]],tblCECO[codigo],tblCECO[coordinador],"(sin catálogo)"))</f>
        <v/>
      </c>
      <c r="X857" s="3">
        <f>IF(tblOrdenes[[#This Row],[puesto_trabajo]]="","",_xlfn.XLOOKUP(tblOrdenes[[#This Row],[puesto_trabajo]],tblPuestos[codigo],tblPuestos[especialidad],"(sin catálogo)"))</f>
        <v/>
      </c>
      <c r="Y857" s="3">
        <f>IF(tblOrdenes[[#This Row],[cod_actividad]]="","",_xlfn.XLOOKUP(tblOrdenes[[#This Row],[cod_actividad]],tblActividades[codigo],tblActividades[descripcion],"(sin catálogo)"))</f>
        <v/>
      </c>
      <c r="Z857" s="12">
        <f>IF(tblOrdenes[[#This Row],[fecha_inicio]]="","",TODAY()-tblOrdenes[[#This Row],[fecha_inicio]])</f>
        <v/>
      </c>
      <c r="AA857" s="3">
        <f>IF(tblOrdenes[[#This Row],[backlog_dias]]="","",IF(tblOrdenes[[#This Row],[backlog_dias]]&lt;0,"FUTURO",IF(tblOrdenes[[#This Row],[backlog_dias]]&gt;p_dias_backlog_max,"BACKLOG","MES CORRIENTE")))</f>
        <v/>
      </c>
      <c r="AB857" s="3">
        <f>IF(tblOrdenes[[#This Row],[backlog_dias]]="",FALSE,AND(tblOrdenes[[#This Row],[backlog_dias]]&gt;p_dias_backlog_min,tblOrdenes[[#This Row],[backlog_dias]]&lt;=p_dias_backlog_max))</f>
        <v/>
      </c>
      <c r="AC857" s="6" t="n"/>
      <c r="AD8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57" s="10">
        <f>IF(tblOrdenes[[#This Row],[orden]]="","",_xlfn.XLOOKUP(tblOrdenes[[#This Row],[id_operacion]],tblEjecucion[id_operacion],tblEjecucion[precio],0))</f>
        <v/>
      </c>
      <c r="AH857" s="10">
        <f>IF(tblOrdenes[[#This Row],[orden]]="","",MAX(0,_xlfn.XLOOKUP(tblOrdenes[[#This Row],[id_operacion]],tblEjecucion[id_operacion],tblEjecucion[costo_plan_total],0)-tblOrdenes[[#This Row],[costo_servicio]]))</f>
        <v/>
      </c>
      <c r="AI857" s="10">
        <f>IF(tblOrdenes[[#This Row],[orden]]="","",tblOrdenes[[#This Row],[costo_servicio]]+tblOrdenes[[#This Row],[costo_materiales]])</f>
        <v/>
      </c>
      <c r="AJ857" s="6" t="n"/>
      <c r="AK857" s="6" t="n"/>
      <c r="AL857" s="6" t="n"/>
      <c r="AM857" s="3">
        <f>IF(tblOrdenes[[#This Row],[link_checklist]]="","",HYPERLINK(p_ruta_base_checklists&amp;tblOrdenes[[#This Row],[link_checklist]],"abrir"))</f>
        <v/>
      </c>
      <c r="AN857" s="6" t="n"/>
      <c r="AO857" s="3">
        <f>IF(tblOrdenes[[#This Row],[orden]]="","",tblOrdenes[[#This Row],[orden]]&amp;IF(tblOrdenes[[#This Row],[operacion]]="","0010",tblOrdenes[[#This Row],[operacion]]))</f>
        <v/>
      </c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11" t="n"/>
      <c r="K858" s="3" t="n"/>
      <c r="L858" s="10" t="n"/>
      <c r="M858" s="6" t="n"/>
      <c r="N8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58" s="3">
        <f>IF(tblOrdenes[[#This Row],[fecha_inicio]]="","",YEAR(tblOrdenes[[#This Row],[fecha_inicio]]))</f>
        <v/>
      </c>
      <c r="R858" s="3">
        <f>IF(tblOrdenes[[#This Row],[fecha_inicio]]="","",MONTH(tblOrdenes[[#This Row],[fecha_inicio]]))</f>
        <v/>
      </c>
      <c r="S858" s="3">
        <f>IF(tblOrdenes[[#This Row],[fecha_inicio]]="","",INDEX(lista_dias,WEEKDAY(tblOrdenes[[#This Row],[fecha_inicio]],2)))</f>
        <v/>
      </c>
      <c r="T858" s="3">
        <f>IF(tblOrdenes[[#This Row],[tipo_ot]]="","",_xlfn.XLOOKUP(tblOrdenes[[#This Row],[tipo_ot]],tblTiposOT[codigo],tblTiposOT[clasificacion],"sin_clasificar"))</f>
        <v/>
      </c>
      <c r="U858" s="3">
        <f>IF(tblOrdenes[[#This Row],[centro_costo]]="","",_xlfn.XLOOKUP(tblOrdenes[[#This Row],[centro_costo]],tblCECO[codigo],tblCECO[linea],"(sin catálogo)"))</f>
        <v/>
      </c>
      <c r="V858" s="3">
        <f>IF(tblOrdenes[[#This Row],[centro_costo]]="","",_xlfn.XLOOKUP(tblOrdenes[[#This Row],[centro_costo]],tblCECO[codigo],tblCECO[area],"(sin catálogo)"))</f>
        <v/>
      </c>
      <c r="W858" s="3">
        <f>IF(tblOrdenes[[#This Row],[centro_costo]]="","",_xlfn.XLOOKUP(tblOrdenes[[#This Row],[centro_costo]],tblCECO[codigo],tblCECO[coordinador],"(sin catálogo)"))</f>
        <v/>
      </c>
      <c r="X858" s="3">
        <f>IF(tblOrdenes[[#This Row],[puesto_trabajo]]="","",_xlfn.XLOOKUP(tblOrdenes[[#This Row],[puesto_trabajo]],tblPuestos[codigo],tblPuestos[especialidad],"(sin catálogo)"))</f>
        <v/>
      </c>
      <c r="Y858" s="3">
        <f>IF(tblOrdenes[[#This Row],[cod_actividad]]="","",_xlfn.XLOOKUP(tblOrdenes[[#This Row],[cod_actividad]],tblActividades[codigo],tblActividades[descripcion],"(sin catálogo)"))</f>
        <v/>
      </c>
      <c r="Z858" s="12">
        <f>IF(tblOrdenes[[#This Row],[fecha_inicio]]="","",TODAY()-tblOrdenes[[#This Row],[fecha_inicio]])</f>
        <v/>
      </c>
      <c r="AA858" s="3">
        <f>IF(tblOrdenes[[#This Row],[backlog_dias]]="","",IF(tblOrdenes[[#This Row],[backlog_dias]]&lt;0,"FUTURO",IF(tblOrdenes[[#This Row],[backlog_dias]]&gt;p_dias_backlog_max,"BACKLOG","MES CORRIENTE")))</f>
        <v/>
      </c>
      <c r="AB858" s="3">
        <f>IF(tblOrdenes[[#This Row],[backlog_dias]]="",FALSE,AND(tblOrdenes[[#This Row],[backlog_dias]]&gt;p_dias_backlog_min,tblOrdenes[[#This Row],[backlog_dias]]&lt;=p_dias_backlog_max))</f>
        <v/>
      </c>
      <c r="AC858" s="6" t="n"/>
      <c r="AD8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58" s="10">
        <f>IF(tblOrdenes[[#This Row],[orden]]="","",_xlfn.XLOOKUP(tblOrdenes[[#This Row],[id_operacion]],tblEjecucion[id_operacion],tblEjecucion[precio],0))</f>
        <v/>
      </c>
      <c r="AH858" s="10">
        <f>IF(tblOrdenes[[#This Row],[orden]]="","",MAX(0,_xlfn.XLOOKUP(tblOrdenes[[#This Row],[id_operacion]],tblEjecucion[id_operacion],tblEjecucion[costo_plan_total],0)-tblOrdenes[[#This Row],[costo_servicio]]))</f>
        <v/>
      </c>
      <c r="AI858" s="10">
        <f>IF(tblOrdenes[[#This Row],[orden]]="","",tblOrdenes[[#This Row],[costo_servicio]]+tblOrdenes[[#This Row],[costo_materiales]])</f>
        <v/>
      </c>
      <c r="AJ858" s="6" t="n"/>
      <c r="AK858" s="6" t="n"/>
      <c r="AL858" s="6" t="n"/>
      <c r="AM858" s="3">
        <f>IF(tblOrdenes[[#This Row],[link_checklist]]="","",HYPERLINK(p_ruta_base_checklists&amp;tblOrdenes[[#This Row],[link_checklist]],"abrir"))</f>
        <v/>
      </c>
      <c r="AN858" s="6" t="n"/>
      <c r="AO858" s="3">
        <f>IF(tblOrdenes[[#This Row],[orden]]="","",tblOrdenes[[#This Row],[orden]]&amp;IF(tblOrdenes[[#This Row],[operacion]]="","0010",tblOrdenes[[#This Row],[operacion]]))</f>
        <v/>
      </c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11" t="n"/>
      <c r="K859" s="3" t="n"/>
      <c r="L859" s="10" t="n"/>
      <c r="M859" s="6" t="n"/>
      <c r="N8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59" s="3">
        <f>IF(tblOrdenes[[#This Row],[fecha_inicio]]="","",YEAR(tblOrdenes[[#This Row],[fecha_inicio]]))</f>
        <v/>
      </c>
      <c r="R859" s="3">
        <f>IF(tblOrdenes[[#This Row],[fecha_inicio]]="","",MONTH(tblOrdenes[[#This Row],[fecha_inicio]]))</f>
        <v/>
      </c>
      <c r="S859" s="3">
        <f>IF(tblOrdenes[[#This Row],[fecha_inicio]]="","",INDEX(lista_dias,WEEKDAY(tblOrdenes[[#This Row],[fecha_inicio]],2)))</f>
        <v/>
      </c>
      <c r="T859" s="3">
        <f>IF(tblOrdenes[[#This Row],[tipo_ot]]="","",_xlfn.XLOOKUP(tblOrdenes[[#This Row],[tipo_ot]],tblTiposOT[codigo],tblTiposOT[clasificacion],"sin_clasificar"))</f>
        <v/>
      </c>
      <c r="U859" s="3">
        <f>IF(tblOrdenes[[#This Row],[centro_costo]]="","",_xlfn.XLOOKUP(tblOrdenes[[#This Row],[centro_costo]],tblCECO[codigo],tblCECO[linea],"(sin catálogo)"))</f>
        <v/>
      </c>
      <c r="V859" s="3">
        <f>IF(tblOrdenes[[#This Row],[centro_costo]]="","",_xlfn.XLOOKUP(tblOrdenes[[#This Row],[centro_costo]],tblCECO[codigo],tblCECO[area],"(sin catálogo)"))</f>
        <v/>
      </c>
      <c r="W859" s="3">
        <f>IF(tblOrdenes[[#This Row],[centro_costo]]="","",_xlfn.XLOOKUP(tblOrdenes[[#This Row],[centro_costo]],tblCECO[codigo],tblCECO[coordinador],"(sin catálogo)"))</f>
        <v/>
      </c>
      <c r="X859" s="3">
        <f>IF(tblOrdenes[[#This Row],[puesto_trabajo]]="","",_xlfn.XLOOKUP(tblOrdenes[[#This Row],[puesto_trabajo]],tblPuestos[codigo],tblPuestos[especialidad],"(sin catálogo)"))</f>
        <v/>
      </c>
      <c r="Y859" s="3">
        <f>IF(tblOrdenes[[#This Row],[cod_actividad]]="","",_xlfn.XLOOKUP(tblOrdenes[[#This Row],[cod_actividad]],tblActividades[codigo],tblActividades[descripcion],"(sin catálogo)"))</f>
        <v/>
      </c>
      <c r="Z859" s="12">
        <f>IF(tblOrdenes[[#This Row],[fecha_inicio]]="","",TODAY()-tblOrdenes[[#This Row],[fecha_inicio]])</f>
        <v/>
      </c>
      <c r="AA859" s="3">
        <f>IF(tblOrdenes[[#This Row],[backlog_dias]]="","",IF(tblOrdenes[[#This Row],[backlog_dias]]&lt;0,"FUTURO",IF(tblOrdenes[[#This Row],[backlog_dias]]&gt;p_dias_backlog_max,"BACKLOG","MES CORRIENTE")))</f>
        <v/>
      </c>
      <c r="AB859" s="3">
        <f>IF(tblOrdenes[[#This Row],[backlog_dias]]="",FALSE,AND(tblOrdenes[[#This Row],[backlog_dias]]&gt;p_dias_backlog_min,tblOrdenes[[#This Row],[backlog_dias]]&lt;=p_dias_backlog_max))</f>
        <v/>
      </c>
      <c r="AC859" s="6" t="n"/>
      <c r="AD8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59" s="10">
        <f>IF(tblOrdenes[[#This Row],[orden]]="","",_xlfn.XLOOKUP(tblOrdenes[[#This Row],[id_operacion]],tblEjecucion[id_operacion],tblEjecucion[precio],0))</f>
        <v/>
      </c>
      <c r="AH859" s="10">
        <f>IF(tblOrdenes[[#This Row],[orden]]="","",MAX(0,_xlfn.XLOOKUP(tblOrdenes[[#This Row],[id_operacion]],tblEjecucion[id_operacion],tblEjecucion[costo_plan_total],0)-tblOrdenes[[#This Row],[costo_servicio]]))</f>
        <v/>
      </c>
      <c r="AI859" s="10">
        <f>IF(tblOrdenes[[#This Row],[orden]]="","",tblOrdenes[[#This Row],[costo_servicio]]+tblOrdenes[[#This Row],[costo_materiales]])</f>
        <v/>
      </c>
      <c r="AJ859" s="6" t="n"/>
      <c r="AK859" s="6" t="n"/>
      <c r="AL859" s="6" t="n"/>
      <c r="AM859" s="3">
        <f>IF(tblOrdenes[[#This Row],[link_checklist]]="","",HYPERLINK(p_ruta_base_checklists&amp;tblOrdenes[[#This Row],[link_checklist]],"abrir"))</f>
        <v/>
      </c>
      <c r="AN859" s="6" t="n"/>
      <c r="AO859" s="3">
        <f>IF(tblOrdenes[[#This Row],[orden]]="","",tblOrdenes[[#This Row],[orden]]&amp;IF(tblOrdenes[[#This Row],[operacion]]="","0010",tblOrdenes[[#This Row],[operacion]]))</f>
        <v/>
      </c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11" t="n"/>
      <c r="K860" s="3" t="n"/>
      <c r="L860" s="10" t="n"/>
      <c r="M860" s="6" t="n"/>
      <c r="N8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60" s="3">
        <f>IF(tblOrdenes[[#This Row],[fecha_inicio]]="","",YEAR(tblOrdenes[[#This Row],[fecha_inicio]]))</f>
        <v/>
      </c>
      <c r="R860" s="3">
        <f>IF(tblOrdenes[[#This Row],[fecha_inicio]]="","",MONTH(tblOrdenes[[#This Row],[fecha_inicio]]))</f>
        <v/>
      </c>
      <c r="S860" s="3">
        <f>IF(tblOrdenes[[#This Row],[fecha_inicio]]="","",INDEX(lista_dias,WEEKDAY(tblOrdenes[[#This Row],[fecha_inicio]],2)))</f>
        <v/>
      </c>
      <c r="T860" s="3">
        <f>IF(tblOrdenes[[#This Row],[tipo_ot]]="","",_xlfn.XLOOKUP(tblOrdenes[[#This Row],[tipo_ot]],tblTiposOT[codigo],tblTiposOT[clasificacion],"sin_clasificar"))</f>
        <v/>
      </c>
      <c r="U860" s="3">
        <f>IF(tblOrdenes[[#This Row],[centro_costo]]="","",_xlfn.XLOOKUP(tblOrdenes[[#This Row],[centro_costo]],tblCECO[codigo],tblCECO[linea],"(sin catálogo)"))</f>
        <v/>
      </c>
      <c r="V860" s="3">
        <f>IF(tblOrdenes[[#This Row],[centro_costo]]="","",_xlfn.XLOOKUP(tblOrdenes[[#This Row],[centro_costo]],tblCECO[codigo],tblCECO[area],"(sin catálogo)"))</f>
        <v/>
      </c>
      <c r="W860" s="3">
        <f>IF(tblOrdenes[[#This Row],[centro_costo]]="","",_xlfn.XLOOKUP(tblOrdenes[[#This Row],[centro_costo]],tblCECO[codigo],tblCECO[coordinador],"(sin catálogo)"))</f>
        <v/>
      </c>
      <c r="X860" s="3">
        <f>IF(tblOrdenes[[#This Row],[puesto_trabajo]]="","",_xlfn.XLOOKUP(tblOrdenes[[#This Row],[puesto_trabajo]],tblPuestos[codigo],tblPuestos[especialidad],"(sin catálogo)"))</f>
        <v/>
      </c>
      <c r="Y860" s="3">
        <f>IF(tblOrdenes[[#This Row],[cod_actividad]]="","",_xlfn.XLOOKUP(tblOrdenes[[#This Row],[cod_actividad]],tblActividades[codigo],tblActividades[descripcion],"(sin catálogo)"))</f>
        <v/>
      </c>
      <c r="Z860" s="12">
        <f>IF(tblOrdenes[[#This Row],[fecha_inicio]]="","",TODAY()-tblOrdenes[[#This Row],[fecha_inicio]])</f>
        <v/>
      </c>
      <c r="AA860" s="3">
        <f>IF(tblOrdenes[[#This Row],[backlog_dias]]="","",IF(tblOrdenes[[#This Row],[backlog_dias]]&lt;0,"FUTURO",IF(tblOrdenes[[#This Row],[backlog_dias]]&gt;p_dias_backlog_max,"BACKLOG","MES CORRIENTE")))</f>
        <v/>
      </c>
      <c r="AB860" s="3">
        <f>IF(tblOrdenes[[#This Row],[backlog_dias]]="",FALSE,AND(tblOrdenes[[#This Row],[backlog_dias]]&gt;p_dias_backlog_min,tblOrdenes[[#This Row],[backlog_dias]]&lt;=p_dias_backlog_max))</f>
        <v/>
      </c>
      <c r="AC860" s="6" t="n"/>
      <c r="AD8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60" s="10">
        <f>IF(tblOrdenes[[#This Row],[orden]]="","",_xlfn.XLOOKUP(tblOrdenes[[#This Row],[id_operacion]],tblEjecucion[id_operacion],tblEjecucion[precio],0))</f>
        <v/>
      </c>
      <c r="AH860" s="10">
        <f>IF(tblOrdenes[[#This Row],[orden]]="","",MAX(0,_xlfn.XLOOKUP(tblOrdenes[[#This Row],[id_operacion]],tblEjecucion[id_operacion],tblEjecucion[costo_plan_total],0)-tblOrdenes[[#This Row],[costo_servicio]]))</f>
        <v/>
      </c>
      <c r="AI860" s="10">
        <f>IF(tblOrdenes[[#This Row],[orden]]="","",tblOrdenes[[#This Row],[costo_servicio]]+tblOrdenes[[#This Row],[costo_materiales]])</f>
        <v/>
      </c>
      <c r="AJ860" s="6" t="n"/>
      <c r="AK860" s="6" t="n"/>
      <c r="AL860" s="6" t="n"/>
      <c r="AM860" s="3">
        <f>IF(tblOrdenes[[#This Row],[link_checklist]]="","",HYPERLINK(p_ruta_base_checklists&amp;tblOrdenes[[#This Row],[link_checklist]],"abrir"))</f>
        <v/>
      </c>
      <c r="AN860" s="6" t="n"/>
      <c r="AO860" s="3">
        <f>IF(tblOrdenes[[#This Row],[orden]]="","",tblOrdenes[[#This Row],[orden]]&amp;IF(tblOrdenes[[#This Row],[operacion]]="","0010",tblOrdenes[[#This Row],[operacion]]))</f>
        <v/>
      </c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11" t="n"/>
      <c r="K861" s="3" t="n"/>
      <c r="L861" s="10" t="n"/>
      <c r="M861" s="6" t="n"/>
      <c r="N8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61" s="3">
        <f>IF(tblOrdenes[[#This Row],[fecha_inicio]]="","",YEAR(tblOrdenes[[#This Row],[fecha_inicio]]))</f>
        <v/>
      </c>
      <c r="R861" s="3">
        <f>IF(tblOrdenes[[#This Row],[fecha_inicio]]="","",MONTH(tblOrdenes[[#This Row],[fecha_inicio]]))</f>
        <v/>
      </c>
      <c r="S861" s="3">
        <f>IF(tblOrdenes[[#This Row],[fecha_inicio]]="","",INDEX(lista_dias,WEEKDAY(tblOrdenes[[#This Row],[fecha_inicio]],2)))</f>
        <v/>
      </c>
      <c r="T861" s="3">
        <f>IF(tblOrdenes[[#This Row],[tipo_ot]]="","",_xlfn.XLOOKUP(tblOrdenes[[#This Row],[tipo_ot]],tblTiposOT[codigo],tblTiposOT[clasificacion],"sin_clasificar"))</f>
        <v/>
      </c>
      <c r="U861" s="3">
        <f>IF(tblOrdenes[[#This Row],[centro_costo]]="","",_xlfn.XLOOKUP(tblOrdenes[[#This Row],[centro_costo]],tblCECO[codigo],tblCECO[linea],"(sin catálogo)"))</f>
        <v/>
      </c>
      <c r="V861" s="3">
        <f>IF(tblOrdenes[[#This Row],[centro_costo]]="","",_xlfn.XLOOKUP(tblOrdenes[[#This Row],[centro_costo]],tblCECO[codigo],tblCECO[area],"(sin catálogo)"))</f>
        <v/>
      </c>
      <c r="W861" s="3">
        <f>IF(tblOrdenes[[#This Row],[centro_costo]]="","",_xlfn.XLOOKUP(tblOrdenes[[#This Row],[centro_costo]],tblCECO[codigo],tblCECO[coordinador],"(sin catálogo)"))</f>
        <v/>
      </c>
      <c r="X861" s="3">
        <f>IF(tblOrdenes[[#This Row],[puesto_trabajo]]="","",_xlfn.XLOOKUP(tblOrdenes[[#This Row],[puesto_trabajo]],tblPuestos[codigo],tblPuestos[especialidad],"(sin catálogo)"))</f>
        <v/>
      </c>
      <c r="Y861" s="3">
        <f>IF(tblOrdenes[[#This Row],[cod_actividad]]="","",_xlfn.XLOOKUP(tblOrdenes[[#This Row],[cod_actividad]],tblActividades[codigo],tblActividades[descripcion],"(sin catálogo)"))</f>
        <v/>
      </c>
      <c r="Z861" s="12">
        <f>IF(tblOrdenes[[#This Row],[fecha_inicio]]="","",TODAY()-tblOrdenes[[#This Row],[fecha_inicio]])</f>
        <v/>
      </c>
      <c r="AA861" s="3">
        <f>IF(tblOrdenes[[#This Row],[backlog_dias]]="","",IF(tblOrdenes[[#This Row],[backlog_dias]]&lt;0,"FUTURO",IF(tblOrdenes[[#This Row],[backlog_dias]]&gt;p_dias_backlog_max,"BACKLOG","MES CORRIENTE")))</f>
        <v/>
      </c>
      <c r="AB861" s="3">
        <f>IF(tblOrdenes[[#This Row],[backlog_dias]]="",FALSE,AND(tblOrdenes[[#This Row],[backlog_dias]]&gt;p_dias_backlog_min,tblOrdenes[[#This Row],[backlog_dias]]&lt;=p_dias_backlog_max))</f>
        <v/>
      </c>
      <c r="AC861" s="6" t="n"/>
      <c r="AD8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61" s="10">
        <f>IF(tblOrdenes[[#This Row],[orden]]="","",_xlfn.XLOOKUP(tblOrdenes[[#This Row],[id_operacion]],tblEjecucion[id_operacion],tblEjecucion[precio],0))</f>
        <v/>
      </c>
      <c r="AH861" s="10">
        <f>IF(tblOrdenes[[#This Row],[orden]]="","",MAX(0,_xlfn.XLOOKUP(tblOrdenes[[#This Row],[id_operacion]],tblEjecucion[id_operacion],tblEjecucion[costo_plan_total],0)-tblOrdenes[[#This Row],[costo_servicio]]))</f>
        <v/>
      </c>
      <c r="AI861" s="10">
        <f>IF(tblOrdenes[[#This Row],[orden]]="","",tblOrdenes[[#This Row],[costo_servicio]]+tblOrdenes[[#This Row],[costo_materiales]])</f>
        <v/>
      </c>
      <c r="AJ861" s="6" t="n"/>
      <c r="AK861" s="6" t="n"/>
      <c r="AL861" s="6" t="n"/>
      <c r="AM861" s="3">
        <f>IF(tblOrdenes[[#This Row],[link_checklist]]="","",HYPERLINK(p_ruta_base_checklists&amp;tblOrdenes[[#This Row],[link_checklist]],"abrir"))</f>
        <v/>
      </c>
      <c r="AN861" s="6" t="n"/>
      <c r="AO861" s="3">
        <f>IF(tblOrdenes[[#This Row],[orden]]="","",tblOrdenes[[#This Row],[orden]]&amp;IF(tblOrdenes[[#This Row],[operacion]]="","0010",tblOrdenes[[#This Row],[operacion]]))</f>
        <v/>
      </c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11" t="n"/>
      <c r="K862" s="3" t="n"/>
      <c r="L862" s="10" t="n"/>
      <c r="M862" s="6" t="n"/>
      <c r="N8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62" s="3">
        <f>IF(tblOrdenes[[#This Row],[fecha_inicio]]="","",YEAR(tblOrdenes[[#This Row],[fecha_inicio]]))</f>
        <v/>
      </c>
      <c r="R862" s="3">
        <f>IF(tblOrdenes[[#This Row],[fecha_inicio]]="","",MONTH(tblOrdenes[[#This Row],[fecha_inicio]]))</f>
        <v/>
      </c>
      <c r="S862" s="3">
        <f>IF(tblOrdenes[[#This Row],[fecha_inicio]]="","",INDEX(lista_dias,WEEKDAY(tblOrdenes[[#This Row],[fecha_inicio]],2)))</f>
        <v/>
      </c>
      <c r="T862" s="3">
        <f>IF(tblOrdenes[[#This Row],[tipo_ot]]="","",_xlfn.XLOOKUP(tblOrdenes[[#This Row],[tipo_ot]],tblTiposOT[codigo],tblTiposOT[clasificacion],"sin_clasificar"))</f>
        <v/>
      </c>
      <c r="U862" s="3">
        <f>IF(tblOrdenes[[#This Row],[centro_costo]]="","",_xlfn.XLOOKUP(tblOrdenes[[#This Row],[centro_costo]],tblCECO[codigo],tblCECO[linea],"(sin catálogo)"))</f>
        <v/>
      </c>
      <c r="V862" s="3">
        <f>IF(tblOrdenes[[#This Row],[centro_costo]]="","",_xlfn.XLOOKUP(tblOrdenes[[#This Row],[centro_costo]],tblCECO[codigo],tblCECO[area],"(sin catálogo)"))</f>
        <v/>
      </c>
      <c r="W862" s="3">
        <f>IF(tblOrdenes[[#This Row],[centro_costo]]="","",_xlfn.XLOOKUP(tblOrdenes[[#This Row],[centro_costo]],tblCECO[codigo],tblCECO[coordinador],"(sin catálogo)"))</f>
        <v/>
      </c>
      <c r="X862" s="3">
        <f>IF(tblOrdenes[[#This Row],[puesto_trabajo]]="","",_xlfn.XLOOKUP(tblOrdenes[[#This Row],[puesto_trabajo]],tblPuestos[codigo],tblPuestos[especialidad],"(sin catálogo)"))</f>
        <v/>
      </c>
      <c r="Y862" s="3">
        <f>IF(tblOrdenes[[#This Row],[cod_actividad]]="","",_xlfn.XLOOKUP(tblOrdenes[[#This Row],[cod_actividad]],tblActividades[codigo],tblActividades[descripcion],"(sin catálogo)"))</f>
        <v/>
      </c>
      <c r="Z862" s="12">
        <f>IF(tblOrdenes[[#This Row],[fecha_inicio]]="","",TODAY()-tblOrdenes[[#This Row],[fecha_inicio]])</f>
        <v/>
      </c>
      <c r="AA862" s="3">
        <f>IF(tblOrdenes[[#This Row],[backlog_dias]]="","",IF(tblOrdenes[[#This Row],[backlog_dias]]&lt;0,"FUTURO",IF(tblOrdenes[[#This Row],[backlog_dias]]&gt;p_dias_backlog_max,"BACKLOG","MES CORRIENTE")))</f>
        <v/>
      </c>
      <c r="AB862" s="3">
        <f>IF(tblOrdenes[[#This Row],[backlog_dias]]="",FALSE,AND(tblOrdenes[[#This Row],[backlog_dias]]&gt;p_dias_backlog_min,tblOrdenes[[#This Row],[backlog_dias]]&lt;=p_dias_backlog_max))</f>
        <v/>
      </c>
      <c r="AC862" s="6" t="n"/>
      <c r="AD8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62" s="10">
        <f>IF(tblOrdenes[[#This Row],[orden]]="","",_xlfn.XLOOKUP(tblOrdenes[[#This Row],[id_operacion]],tblEjecucion[id_operacion],tblEjecucion[precio],0))</f>
        <v/>
      </c>
      <c r="AH862" s="10">
        <f>IF(tblOrdenes[[#This Row],[orden]]="","",MAX(0,_xlfn.XLOOKUP(tblOrdenes[[#This Row],[id_operacion]],tblEjecucion[id_operacion],tblEjecucion[costo_plan_total],0)-tblOrdenes[[#This Row],[costo_servicio]]))</f>
        <v/>
      </c>
      <c r="AI862" s="10">
        <f>IF(tblOrdenes[[#This Row],[orden]]="","",tblOrdenes[[#This Row],[costo_servicio]]+tblOrdenes[[#This Row],[costo_materiales]])</f>
        <v/>
      </c>
      <c r="AJ862" s="6" t="n"/>
      <c r="AK862" s="6" t="n"/>
      <c r="AL862" s="6" t="n"/>
      <c r="AM862" s="3">
        <f>IF(tblOrdenes[[#This Row],[link_checklist]]="","",HYPERLINK(p_ruta_base_checklists&amp;tblOrdenes[[#This Row],[link_checklist]],"abrir"))</f>
        <v/>
      </c>
      <c r="AN862" s="6" t="n"/>
      <c r="AO862" s="3">
        <f>IF(tblOrdenes[[#This Row],[orden]]="","",tblOrdenes[[#This Row],[orden]]&amp;IF(tblOrdenes[[#This Row],[operacion]]="","0010",tblOrdenes[[#This Row],[operacion]]))</f>
        <v/>
      </c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11" t="n"/>
      <c r="K863" s="3" t="n"/>
      <c r="L863" s="10" t="n"/>
      <c r="M863" s="6" t="n"/>
      <c r="N8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63" s="3">
        <f>IF(tblOrdenes[[#This Row],[fecha_inicio]]="","",YEAR(tblOrdenes[[#This Row],[fecha_inicio]]))</f>
        <v/>
      </c>
      <c r="R863" s="3">
        <f>IF(tblOrdenes[[#This Row],[fecha_inicio]]="","",MONTH(tblOrdenes[[#This Row],[fecha_inicio]]))</f>
        <v/>
      </c>
      <c r="S863" s="3">
        <f>IF(tblOrdenes[[#This Row],[fecha_inicio]]="","",INDEX(lista_dias,WEEKDAY(tblOrdenes[[#This Row],[fecha_inicio]],2)))</f>
        <v/>
      </c>
      <c r="T863" s="3">
        <f>IF(tblOrdenes[[#This Row],[tipo_ot]]="","",_xlfn.XLOOKUP(tblOrdenes[[#This Row],[tipo_ot]],tblTiposOT[codigo],tblTiposOT[clasificacion],"sin_clasificar"))</f>
        <v/>
      </c>
      <c r="U863" s="3">
        <f>IF(tblOrdenes[[#This Row],[centro_costo]]="","",_xlfn.XLOOKUP(tblOrdenes[[#This Row],[centro_costo]],tblCECO[codigo],tblCECO[linea],"(sin catálogo)"))</f>
        <v/>
      </c>
      <c r="V863" s="3">
        <f>IF(tblOrdenes[[#This Row],[centro_costo]]="","",_xlfn.XLOOKUP(tblOrdenes[[#This Row],[centro_costo]],tblCECO[codigo],tblCECO[area],"(sin catálogo)"))</f>
        <v/>
      </c>
      <c r="W863" s="3">
        <f>IF(tblOrdenes[[#This Row],[centro_costo]]="","",_xlfn.XLOOKUP(tblOrdenes[[#This Row],[centro_costo]],tblCECO[codigo],tblCECO[coordinador],"(sin catálogo)"))</f>
        <v/>
      </c>
      <c r="X863" s="3">
        <f>IF(tblOrdenes[[#This Row],[puesto_trabajo]]="","",_xlfn.XLOOKUP(tblOrdenes[[#This Row],[puesto_trabajo]],tblPuestos[codigo],tblPuestos[especialidad],"(sin catálogo)"))</f>
        <v/>
      </c>
      <c r="Y863" s="3">
        <f>IF(tblOrdenes[[#This Row],[cod_actividad]]="","",_xlfn.XLOOKUP(tblOrdenes[[#This Row],[cod_actividad]],tblActividades[codigo],tblActividades[descripcion],"(sin catálogo)"))</f>
        <v/>
      </c>
      <c r="Z863" s="12">
        <f>IF(tblOrdenes[[#This Row],[fecha_inicio]]="","",TODAY()-tblOrdenes[[#This Row],[fecha_inicio]])</f>
        <v/>
      </c>
      <c r="AA863" s="3">
        <f>IF(tblOrdenes[[#This Row],[backlog_dias]]="","",IF(tblOrdenes[[#This Row],[backlog_dias]]&lt;0,"FUTURO",IF(tblOrdenes[[#This Row],[backlog_dias]]&gt;p_dias_backlog_max,"BACKLOG","MES CORRIENTE")))</f>
        <v/>
      </c>
      <c r="AB863" s="3">
        <f>IF(tblOrdenes[[#This Row],[backlog_dias]]="",FALSE,AND(tblOrdenes[[#This Row],[backlog_dias]]&gt;p_dias_backlog_min,tblOrdenes[[#This Row],[backlog_dias]]&lt;=p_dias_backlog_max))</f>
        <v/>
      </c>
      <c r="AC863" s="6" t="n"/>
      <c r="AD8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63" s="10">
        <f>IF(tblOrdenes[[#This Row],[orden]]="","",_xlfn.XLOOKUP(tblOrdenes[[#This Row],[id_operacion]],tblEjecucion[id_operacion],tblEjecucion[precio],0))</f>
        <v/>
      </c>
      <c r="AH863" s="10">
        <f>IF(tblOrdenes[[#This Row],[orden]]="","",MAX(0,_xlfn.XLOOKUP(tblOrdenes[[#This Row],[id_operacion]],tblEjecucion[id_operacion],tblEjecucion[costo_plan_total],0)-tblOrdenes[[#This Row],[costo_servicio]]))</f>
        <v/>
      </c>
      <c r="AI863" s="10">
        <f>IF(tblOrdenes[[#This Row],[orden]]="","",tblOrdenes[[#This Row],[costo_servicio]]+tblOrdenes[[#This Row],[costo_materiales]])</f>
        <v/>
      </c>
      <c r="AJ863" s="6" t="n"/>
      <c r="AK863" s="6" t="n"/>
      <c r="AL863" s="6" t="n"/>
      <c r="AM863" s="3">
        <f>IF(tblOrdenes[[#This Row],[link_checklist]]="","",HYPERLINK(p_ruta_base_checklists&amp;tblOrdenes[[#This Row],[link_checklist]],"abrir"))</f>
        <v/>
      </c>
      <c r="AN863" s="6" t="n"/>
      <c r="AO863" s="3">
        <f>IF(tblOrdenes[[#This Row],[orden]]="","",tblOrdenes[[#This Row],[orden]]&amp;IF(tblOrdenes[[#This Row],[operacion]]="","0010",tblOrdenes[[#This Row],[operacion]]))</f>
        <v/>
      </c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11" t="n"/>
      <c r="K864" s="3" t="n"/>
      <c r="L864" s="10" t="n"/>
      <c r="M864" s="6" t="n"/>
      <c r="N8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64" s="3">
        <f>IF(tblOrdenes[[#This Row],[fecha_inicio]]="","",YEAR(tblOrdenes[[#This Row],[fecha_inicio]]))</f>
        <v/>
      </c>
      <c r="R864" s="3">
        <f>IF(tblOrdenes[[#This Row],[fecha_inicio]]="","",MONTH(tblOrdenes[[#This Row],[fecha_inicio]]))</f>
        <v/>
      </c>
      <c r="S864" s="3">
        <f>IF(tblOrdenes[[#This Row],[fecha_inicio]]="","",INDEX(lista_dias,WEEKDAY(tblOrdenes[[#This Row],[fecha_inicio]],2)))</f>
        <v/>
      </c>
      <c r="T864" s="3">
        <f>IF(tblOrdenes[[#This Row],[tipo_ot]]="","",_xlfn.XLOOKUP(tblOrdenes[[#This Row],[tipo_ot]],tblTiposOT[codigo],tblTiposOT[clasificacion],"sin_clasificar"))</f>
        <v/>
      </c>
      <c r="U864" s="3">
        <f>IF(tblOrdenes[[#This Row],[centro_costo]]="","",_xlfn.XLOOKUP(tblOrdenes[[#This Row],[centro_costo]],tblCECO[codigo],tblCECO[linea],"(sin catálogo)"))</f>
        <v/>
      </c>
      <c r="V864" s="3">
        <f>IF(tblOrdenes[[#This Row],[centro_costo]]="","",_xlfn.XLOOKUP(tblOrdenes[[#This Row],[centro_costo]],tblCECO[codigo],tblCECO[area],"(sin catálogo)"))</f>
        <v/>
      </c>
      <c r="W864" s="3">
        <f>IF(tblOrdenes[[#This Row],[centro_costo]]="","",_xlfn.XLOOKUP(tblOrdenes[[#This Row],[centro_costo]],tblCECO[codigo],tblCECO[coordinador],"(sin catálogo)"))</f>
        <v/>
      </c>
      <c r="X864" s="3">
        <f>IF(tblOrdenes[[#This Row],[puesto_trabajo]]="","",_xlfn.XLOOKUP(tblOrdenes[[#This Row],[puesto_trabajo]],tblPuestos[codigo],tblPuestos[especialidad],"(sin catálogo)"))</f>
        <v/>
      </c>
      <c r="Y864" s="3">
        <f>IF(tblOrdenes[[#This Row],[cod_actividad]]="","",_xlfn.XLOOKUP(tblOrdenes[[#This Row],[cod_actividad]],tblActividades[codigo],tblActividades[descripcion],"(sin catálogo)"))</f>
        <v/>
      </c>
      <c r="Z864" s="12">
        <f>IF(tblOrdenes[[#This Row],[fecha_inicio]]="","",TODAY()-tblOrdenes[[#This Row],[fecha_inicio]])</f>
        <v/>
      </c>
      <c r="AA864" s="3">
        <f>IF(tblOrdenes[[#This Row],[backlog_dias]]="","",IF(tblOrdenes[[#This Row],[backlog_dias]]&lt;0,"FUTURO",IF(tblOrdenes[[#This Row],[backlog_dias]]&gt;p_dias_backlog_max,"BACKLOG","MES CORRIENTE")))</f>
        <v/>
      </c>
      <c r="AB864" s="3">
        <f>IF(tblOrdenes[[#This Row],[backlog_dias]]="",FALSE,AND(tblOrdenes[[#This Row],[backlog_dias]]&gt;p_dias_backlog_min,tblOrdenes[[#This Row],[backlog_dias]]&lt;=p_dias_backlog_max))</f>
        <v/>
      </c>
      <c r="AC864" s="6" t="n"/>
      <c r="AD8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64" s="10">
        <f>IF(tblOrdenes[[#This Row],[orden]]="","",_xlfn.XLOOKUP(tblOrdenes[[#This Row],[id_operacion]],tblEjecucion[id_operacion],tblEjecucion[precio],0))</f>
        <v/>
      </c>
      <c r="AH864" s="10">
        <f>IF(tblOrdenes[[#This Row],[orden]]="","",MAX(0,_xlfn.XLOOKUP(tblOrdenes[[#This Row],[id_operacion]],tblEjecucion[id_operacion],tblEjecucion[costo_plan_total],0)-tblOrdenes[[#This Row],[costo_servicio]]))</f>
        <v/>
      </c>
      <c r="AI864" s="10">
        <f>IF(tblOrdenes[[#This Row],[orden]]="","",tblOrdenes[[#This Row],[costo_servicio]]+tblOrdenes[[#This Row],[costo_materiales]])</f>
        <v/>
      </c>
      <c r="AJ864" s="6" t="n"/>
      <c r="AK864" s="6" t="n"/>
      <c r="AL864" s="6" t="n"/>
      <c r="AM864" s="3">
        <f>IF(tblOrdenes[[#This Row],[link_checklist]]="","",HYPERLINK(p_ruta_base_checklists&amp;tblOrdenes[[#This Row],[link_checklist]],"abrir"))</f>
        <v/>
      </c>
      <c r="AN864" s="6" t="n"/>
      <c r="AO864" s="3">
        <f>IF(tblOrdenes[[#This Row],[orden]]="","",tblOrdenes[[#This Row],[orden]]&amp;IF(tblOrdenes[[#This Row],[operacion]]="","0010",tblOrdenes[[#This Row],[operacion]]))</f>
        <v/>
      </c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11" t="n"/>
      <c r="K865" s="3" t="n"/>
      <c r="L865" s="10" t="n"/>
      <c r="M865" s="6" t="n"/>
      <c r="N8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65" s="3">
        <f>IF(tblOrdenes[[#This Row],[fecha_inicio]]="","",YEAR(tblOrdenes[[#This Row],[fecha_inicio]]))</f>
        <v/>
      </c>
      <c r="R865" s="3">
        <f>IF(tblOrdenes[[#This Row],[fecha_inicio]]="","",MONTH(tblOrdenes[[#This Row],[fecha_inicio]]))</f>
        <v/>
      </c>
      <c r="S865" s="3">
        <f>IF(tblOrdenes[[#This Row],[fecha_inicio]]="","",INDEX(lista_dias,WEEKDAY(tblOrdenes[[#This Row],[fecha_inicio]],2)))</f>
        <v/>
      </c>
      <c r="T865" s="3">
        <f>IF(tblOrdenes[[#This Row],[tipo_ot]]="","",_xlfn.XLOOKUP(tblOrdenes[[#This Row],[tipo_ot]],tblTiposOT[codigo],tblTiposOT[clasificacion],"sin_clasificar"))</f>
        <v/>
      </c>
      <c r="U865" s="3">
        <f>IF(tblOrdenes[[#This Row],[centro_costo]]="","",_xlfn.XLOOKUP(tblOrdenes[[#This Row],[centro_costo]],tblCECO[codigo],tblCECO[linea],"(sin catálogo)"))</f>
        <v/>
      </c>
      <c r="V865" s="3">
        <f>IF(tblOrdenes[[#This Row],[centro_costo]]="","",_xlfn.XLOOKUP(tblOrdenes[[#This Row],[centro_costo]],tblCECO[codigo],tblCECO[area],"(sin catálogo)"))</f>
        <v/>
      </c>
      <c r="W865" s="3">
        <f>IF(tblOrdenes[[#This Row],[centro_costo]]="","",_xlfn.XLOOKUP(tblOrdenes[[#This Row],[centro_costo]],tblCECO[codigo],tblCECO[coordinador],"(sin catálogo)"))</f>
        <v/>
      </c>
      <c r="X865" s="3">
        <f>IF(tblOrdenes[[#This Row],[puesto_trabajo]]="","",_xlfn.XLOOKUP(tblOrdenes[[#This Row],[puesto_trabajo]],tblPuestos[codigo],tblPuestos[especialidad],"(sin catálogo)"))</f>
        <v/>
      </c>
      <c r="Y865" s="3">
        <f>IF(tblOrdenes[[#This Row],[cod_actividad]]="","",_xlfn.XLOOKUP(tblOrdenes[[#This Row],[cod_actividad]],tblActividades[codigo],tblActividades[descripcion],"(sin catálogo)"))</f>
        <v/>
      </c>
      <c r="Z865" s="12">
        <f>IF(tblOrdenes[[#This Row],[fecha_inicio]]="","",TODAY()-tblOrdenes[[#This Row],[fecha_inicio]])</f>
        <v/>
      </c>
      <c r="AA865" s="3">
        <f>IF(tblOrdenes[[#This Row],[backlog_dias]]="","",IF(tblOrdenes[[#This Row],[backlog_dias]]&lt;0,"FUTURO",IF(tblOrdenes[[#This Row],[backlog_dias]]&gt;p_dias_backlog_max,"BACKLOG","MES CORRIENTE")))</f>
        <v/>
      </c>
      <c r="AB865" s="3">
        <f>IF(tblOrdenes[[#This Row],[backlog_dias]]="",FALSE,AND(tblOrdenes[[#This Row],[backlog_dias]]&gt;p_dias_backlog_min,tblOrdenes[[#This Row],[backlog_dias]]&lt;=p_dias_backlog_max))</f>
        <v/>
      </c>
      <c r="AC865" s="6" t="n"/>
      <c r="AD8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65" s="10">
        <f>IF(tblOrdenes[[#This Row],[orden]]="","",_xlfn.XLOOKUP(tblOrdenes[[#This Row],[id_operacion]],tblEjecucion[id_operacion],tblEjecucion[precio],0))</f>
        <v/>
      </c>
      <c r="AH865" s="10">
        <f>IF(tblOrdenes[[#This Row],[orden]]="","",MAX(0,_xlfn.XLOOKUP(tblOrdenes[[#This Row],[id_operacion]],tblEjecucion[id_operacion],tblEjecucion[costo_plan_total],0)-tblOrdenes[[#This Row],[costo_servicio]]))</f>
        <v/>
      </c>
      <c r="AI865" s="10">
        <f>IF(tblOrdenes[[#This Row],[orden]]="","",tblOrdenes[[#This Row],[costo_servicio]]+tblOrdenes[[#This Row],[costo_materiales]])</f>
        <v/>
      </c>
      <c r="AJ865" s="6" t="n"/>
      <c r="AK865" s="6" t="n"/>
      <c r="AL865" s="6" t="n"/>
      <c r="AM865" s="3">
        <f>IF(tblOrdenes[[#This Row],[link_checklist]]="","",HYPERLINK(p_ruta_base_checklists&amp;tblOrdenes[[#This Row],[link_checklist]],"abrir"))</f>
        <v/>
      </c>
      <c r="AN865" s="6" t="n"/>
      <c r="AO865" s="3">
        <f>IF(tblOrdenes[[#This Row],[orden]]="","",tblOrdenes[[#This Row],[orden]]&amp;IF(tblOrdenes[[#This Row],[operacion]]="","0010",tblOrdenes[[#This Row],[operacion]]))</f>
        <v/>
      </c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11" t="n"/>
      <c r="K866" s="3" t="n"/>
      <c r="L866" s="10" t="n"/>
      <c r="M866" s="6" t="n"/>
      <c r="N8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66" s="3">
        <f>IF(tblOrdenes[[#This Row],[fecha_inicio]]="","",YEAR(tblOrdenes[[#This Row],[fecha_inicio]]))</f>
        <v/>
      </c>
      <c r="R866" s="3">
        <f>IF(tblOrdenes[[#This Row],[fecha_inicio]]="","",MONTH(tblOrdenes[[#This Row],[fecha_inicio]]))</f>
        <v/>
      </c>
      <c r="S866" s="3">
        <f>IF(tblOrdenes[[#This Row],[fecha_inicio]]="","",INDEX(lista_dias,WEEKDAY(tblOrdenes[[#This Row],[fecha_inicio]],2)))</f>
        <v/>
      </c>
      <c r="T866" s="3">
        <f>IF(tblOrdenes[[#This Row],[tipo_ot]]="","",_xlfn.XLOOKUP(tblOrdenes[[#This Row],[tipo_ot]],tblTiposOT[codigo],tblTiposOT[clasificacion],"sin_clasificar"))</f>
        <v/>
      </c>
      <c r="U866" s="3">
        <f>IF(tblOrdenes[[#This Row],[centro_costo]]="","",_xlfn.XLOOKUP(tblOrdenes[[#This Row],[centro_costo]],tblCECO[codigo],tblCECO[linea],"(sin catálogo)"))</f>
        <v/>
      </c>
      <c r="V866" s="3">
        <f>IF(tblOrdenes[[#This Row],[centro_costo]]="","",_xlfn.XLOOKUP(tblOrdenes[[#This Row],[centro_costo]],tblCECO[codigo],tblCECO[area],"(sin catálogo)"))</f>
        <v/>
      </c>
      <c r="W866" s="3">
        <f>IF(tblOrdenes[[#This Row],[centro_costo]]="","",_xlfn.XLOOKUP(tblOrdenes[[#This Row],[centro_costo]],tblCECO[codigo],tblCECO[coordinador],"(sin catálogo)"))</f>
        <v/>
      </c>
      <c r="X866" s="3">
        <f>IF(tblOrdenes[[#This Row],[puesto_trabajo]]="","",_xlfn.XLOOKUP(tblOrdenes[[#This Row],[puesto_trabajo]],tblPuestos[codigo],tblPuestos[especialidad],"(sin catálogo)"))</f>
        <v/>
      </c>
      <c r="Y866" s="3">
        <f>IF(tblOrdenes[[#This Row],[cod_actividad]]="","",_xlfn.XLOOKUP(tblOrdenes[[#This Row],[cod_actividad]],tblActividades[codigo],tblActividades[descripcion],"(sin catálogo)"))</f>
        <v/>
      </c>
      <c r="Z866" s="12">
        <f>IF(tblOrdenes[[#This Row],[fecha_inicio]]="","",TODAY()-tblOrdenes[[#This Row],[fecha_inicio]])</f>
        <v/>
      </c>
      <c r="AA866" s="3">
        <f>IF(tblOrdenes[[#This Row],[backlog_dias]]="","",IF(tblOrdenes[[#This Row],[backlog_dias]]&lt;0,"FUTURO",IF(tblOrdenes[[#This Row],[backlog_dias]]&gt;p_dias_backlog_max,"BACKLOG","MES CORRIENTE")))</f>
        <v/>
      </c>
      <c r="AB866" s="3">
        <f>IF(tblOrdenes[[#This Row],[backlog_dias]]="",FALSE,AND(tblOrdenes[[#This Row],[backlog_dias]]&gt;p_dias_backlog_min,tblOrdenes[[#This Row],[backlog_dias]]&lt;=p_dias_backlog_max))</f>
        <v/>
      </c>
      <c r="AC866" s="6" t="n"/>
      <c r="AD8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66" s="10">
        <f>IF(tblOrdenes[[#This Row],[orden]]="","",_xlfn.XLOOKUP(tblOrdenes[[#This Row],[id_operacion]],tblEjecucion[id_operacion],tblEjecucion[precio],0))</f>
        <v/>
      </c>
      <c r="AH866" s="10">
        <f>IF(tblOrdenes[[#This Row],[orden]]="","",MAX(0,_xlfn.XLOOKUP(tblOrdenes[[#This Row],[id_operacion]],tblEjecucion[id_operacion],tblEjecucion[costo_plan_total],0)-tblOrdenes[[#This Row],[costo_servicio]]))</f>
        <v/>
      </c>
      <c r="AI866" s="10">
        <f>IF(tblOrdenes[[#This Row],[orden]]="","",tblOrdenes[[#This Row],[costo_servicio]]+tblOrdenes[[#This Row],[costo_materiales]])</f>
        <v/>
      </c>
      <c r="AJ866" s="6" t="n"/>
      <c r="AK866" s="6" t="n"/>
      <c r="AL866" s="6" t="n"/>
      <c r="AM866" s="3">
        <f>IF(tblOrdenes[[#This Row],[link_checklist]]="","",HYPERLINK(p_ruta_base_checklists&amp;tblOrdenes[[#This Row],[link_checklist]],"abrir"))</f>
        <v/>
      </c>
      <c r="AN866" s="6" t="n"/>
      <c r="AO866" s="3">
        <f>IF(tblOrdenes[[#This Row],[orden]]="","",tblOrdenes[[#This Row],[orden]]&amp;IF(tblOrdenes[[#This Row],[operacion]]="","0010",tblOrdenes[[#This Row],[operacion]]))</f>
        <v/>
      </c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11" t="n"/>
      <c r="K867" s="3" t="n"/>
      <c r="L867" s="10" t="n"/>
      <c r="M867" s="6" t="n"/>
      <c r="N8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67" s="3">
        <f>IF(tblOrdenes[[#This Row],[fecha_inicio]]="","",YEAR(tblOrdenes[[#This Row],[fecha_inicio]]))</f>
        <v/>
      </c>
      <c r="R867" s="3">
        <f>IF(tblOrdenes[[#This Row],[fecha_inicio]]="","",MONTH(tblOrdenes[[#This Row],[fecha_inicio]]))</f>
        <v/>
      </c>
      <c r="S867" s="3">
        <f>IF(tblOrdenes[[#This Row],[fecha_inicio]]="","",INDEX(lista_dias,WEEKDAY(tblOrdenes[[#This Row],[fecha_inicio]],2)))</f>
        <v/>
      </c>
      <c r="T867" s="3">
        <f>IF(tblOrdenes[[#This Row],[tipo_ot]]="","",_xlfn.XLOOKUP(tblOrdenes[[#This Row],[tipo_ot]],tblTiposOT[codigo],tblTiposOT[clasificacion],"sin_clasificar"))</f>
        <v/>
      </c>
      <c r="U867" s="3">
        <f>IF(tblOrdenes[[#This Row],[centro_costo]]="","",_xlfn.XLOOKUP(tblOrdenes[[#This Row],[centro_costo]],tblCECO[codigo],tblCECO[linea],"(sin catálogo)"))</f>
        <v/>
      </c>
      <c r="V867" s="3">
        <f>IF(tblOrdenes[[#This Row],[centro_costo]]="","",_xlfn.XLOOKUP(tblOrdenes[[#This Row],[centro_costo]],tblCECO[codigo],tblCECO[area],"(sin catálogo)"))</f>
        <v/>
      </c>
      <c r="W867" s="3">
        <f>IF(tblOrdenes[[#This Row],[centro_costo]]="","",_xlfn.XLOOKUP(tblOrdenes[[#This Row],[centro_costo]],tblCECO[codigo],tblCECO[coordinador],"(sin catálogo)"))</f>
        <v/>
      </c>
      <c r="X867" s="3">
        <f>IF(tblOrdenes[[#This Row],[puesto_trabajo]]="","",_xlfn.XLOOKUP(tblOrdenes[[#This Row],[puesto_trabajo]],tblPuestos[codigo],tblPuestos[especialidad],"(sin catálogo)"))</f>
        <v/>
      </c>
      <c r="Y867" s="3">
        <f>IF(tblOrdenes[[#This Row],[cod_actividad]]="","",_xlfn.XLOOKUP(tblOrdenes[[#This Row],[cod_actividad]],tblActividades[codigo],tblActividades[descripcion],"(sin catálogo)"))</f>
        <v/>
      </c>
      <c r="Z867" s="12">
        <f>IF(tblOrdenes[[#This Row],[fecha_inicio]]="","",TODAY()-tblOrdenes[[#This Row],[fecha_inicio]])</f>
        <v/>
      </c>
      <c r="AA867" s="3">
        <f>IF(tblOrdenes[[#This Row],[backlog_dias]]="","",IF(tblOrdenes[[#This Row],[backlog_dias]]&lt;0,"FUTURO",IF(tblOrdenes[[#This Row],[backlog_dias]]&gt;p_dias_backlog_max,"BACKLOG","MES CORRIENTE")))</f>
        <v/>
      </c>
      <c r="AB867" s="3">
        <f>IF(tblOrdenes[[#This Row],[backlog_dias]]="",FALSE,AND(tblOrdenes[[#This Row],[backlog_dias]]&gt;p_dias_backlog_min,tblOrdenes[[#This Row],[backlog_dias]]&lt;=p_dias_backlog_max))</f>
        <v/>
      </c>
      <c r="AC867" s="6" t="n"/>
      <c r="AD8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67" s="10">
        <f>IF(tblOrdenes[[#This Row],[orden]]="","",_xlfn.XLOOKUP(tblOrdenes[[#This Row],[id_operacion]],tblEjecucion[id_operacion],tblEjecucion[precio],0))</f>
        <v/>
      </c>
      <c r="AH867" s="10">
        <f>IF(tblOrdenes[[#This Row],[orden]]="","",MAX(0,_xlfn.XLOOKUP(tblOrdenes[[#This Row],[id_operacion]],tblEjecucion[id_operacion],tblEjecucion[costo_plan_total],0)-tblOrdenes[[#This Row],[costo_servicio]]))</f>
        <v/>
      </c>
      <c r="AI867" s="10">
        <f>IF(tblOrdenes[[#This Row],[orden]]="","",tblOrdenes[[#This Row],[costo_servicio]]+tblOrdenes[[#This Row],[costo_materiales]])</f>
        <v/>
      </c>
      <c r="AJ867" s="6" t="n"/>
      <c r="AK867" s="6" t="n"/>
      <c r="AL867" s="6" t="n"/>
      <c r="AM867" s="3">
        <f>IF(tblOrdenes[[#This Row],[link_checklist]]="","",HYPERLINK(p_ruta_base_checklists&amp;tblOrdenes[[#This Row],[link_checklist]],"abrir"))</f>
        <v/>
      </c>
      <c r="AN867" s="6" t="n"/>
      <c r="AO867" s="3">
        <f>IF(tblOrdenes[[#This Row],[orden]]="","",tblOrdenes[[#This Row],[orden]]&amp;IF(tblOrdenes[[#This Row],[operacion]]="","0010",tblOrdenes[[#This Row],[operacion]]))</f>
        <v/>
      </c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11" t="n"/>
      <c r="K868" s="3" t="n"/>
      <c r="L868" s="10" t="n"/>
      <c r="M868" s="6" t="n"/>
      <c r="N8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68" s="3">
        <f>IF(tblOrdenes[[#This Row],[fecha_inicio]]="","",YEAR(tblOrdenes[[#This Row],[fecha_inicio]]))</f>
        <v/>
      </c>
      <c r="R868" s="3">
        <f>IF(tblOrdenes[[#This Row],[fecha_inicio]]="","",MONTH(tblOrdenes[[#This Row],[fecha_inicio]]))</f>
        <v/>
      </c>
      <c r="S868" s="3">
        <f>IF(tblOrdenes[[#This Row],[fecha_inicio]]="","",INDEX(lista_dias,WEEKDAY(tblOrdenes[[#This Row],[fecha_inicio]],2)))</f>
        <v/>
      </c>
      <c r="T868" s="3">
        <f>IF(tblOrdenes[[#This Row],[tipo_ot]]="","",_xlfn.XLOOKUP(tblOrdenes[[#This Row],[tipo_ot]],tblTiposOT[codigo],tblTiposOT[clasificacion],"sin_clasificar"))</f>
        <v/>
      </c>
      <c r="U868" s="3">
        <f>IF(tblOrdenes[[#This Row],[centro_costo]]="","",_xlfn.XLOOKUP(tblOrdenes[[#This Row],[centro_costo]],tblCECO[codigo],tblCECO[linea],"(sin catálogo)"))</f>
        <v/>
      </c>
      <c r="V868" s="3">
        <f>IF(tblOrdenes[[#This Row],[centro_costo]]="","",_xlfn.XLOOKUP(tblOrdenes[[#This Row],[centro_costo]],tblCECO[codigo],tblCECO[area],"(sin catálogo)"))</f>
        <v/>
      </c>
      <c r="W868" s="3">
        <f>IF(tblOrdenes[[#This Row],[centro_costo]]="","",_xlfn.XLOOKUP(tblOrdenes[[#This Row],[centro_costo]],tblCECO[codigo],tblCECO[coordinador],"(sin catálogo)"))</f>
        <v/>
      </c>
      <c r="X868" s="3">
        <f>IF(tblOrdenes[[#This Row],[puesto_trabajo]]="","",_xlfn.XLOOKUP(tblOrdenes[[#This Row],[puesto_trabajo]],tblPuestos[codigo],tblPuestos[especialidad],"(sin catálogo)"))</f>
        <v/>
      </c>
      <c r="Y868" s="3">
        <f>IF(tblOrdenes[[#This Row],[cod_actividad]]="","",_xlfn.XLOOKUP(tblOrdenes[[#This Row],[cod_actividad]],tblActividades[codigo],tblActividades[descripcion],"(sin catálogo)"))</f>
        <v/>
      </c>
      <c r="Z868" s="12">
        <f>IF(tblOrdenes[[#This Row],[fecha_inicio]]="","",TODAY()-tblOrdenes[[#This Row],[fecha_inicio]])</f>
        <v/>
      </c>
      <c r="AA868" s="3">
        <f>IF(tblOrdenes[[#This Row],[backlog_dias]]="","",IF(tblOrdenes[[#This Row],[backlog_dias]]&lt;0,"FUTURO",IF(tblOrdenes[[#This Row],[backlog_dias]]&gt;p_dias_backlog_max,"BACKLOG","MES CORRIENTE")))</f>
        <v/>
      </c>
      <c r="AB868" s="3">
        <f>IF(tblOrdenes[[#This Row],[backlog_dias]]="",FALSE,AND(tblOrdenes[[#This Row],[backlog_dias]]&gt;p_dias_backlog_min,tblOrdenes[[#This Row],[backlog_dias]]&lt;=p_dias_backlog_max))</f>
        <v/>
      </c>
      <c r="AC868" s="6" t="n"/>
      <c r="AD8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68" s="10">
        <f>IF(tblOrdenes[[#This Row],[orden]]="","",_xlfn.XLOOKUP(tblOrdenes[[#This Row],[id_operacion]],tblEjecucion[id_operacion],tblEjecucion[precio],0))</f>
        <v/>
      </c>
      <c r="AH868" s="10">
        <f>IF(tblOrdenes[[#This Row],[orden]]="","",MAX(0,_xlfn.XLOOKUP(tblOrdenes[[#This Row],[id_operacion]],tblEjecucion[id_operacion],tblEjecucion[costo_plan_total],0)-tblOrdenes[[#This Row],[costo_servicio]]))</f>
        <v/>
      </c>
      <c r="AI868" s="10">
        <f>IF(tblOrdenes[[#This Row],[orden]]="","",tblOrdenes[[#This Row],[costo_servicio]]+tblOrdenes[[#This Row],[costo_materiales]])</f>
        <v/>
      </c>
      <c r="AJ868" s="6" t="n"/>
      <c r="AK868" s="6" t="n"/>
      <c r="AL868" s="6" t="n"/>
      <c r="AM868" s="3">
        <f>IF(tblOrdenes[[#This Row],[link_checklist]]="","",HYPERLINK(p_ruta_base_checklists&amp;tblOrdenes[[#This Row],[link_checklist]],"abrir"))</f>
        <v/>
      </c>
      <c r="AN868" s="6" t="n"/>
      <c r="AO868" s="3">
        <f>IF(tblOrdenes[[#This Row],[orden]]="","",tblOrdenes[[#This Row],[orden]]&amp;IF(tblOrdenes[[#This Row],[operacion]]="","0010",tblOrdenes[[#This Row],[operacion]]))</f>
        <v/>
      </c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11" t="n"/>
      <c r="K869" s="3" t="n"/>
      <c r="L869" s="10" t="n"/>
      <c r="M869" s="6" t="n"/>
      <c r="N8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69" s="3">
        <f>IF(tblOrdenes[[#This Row],[fecha_inicio]]="","",YEAR(tblOrdenes[[#This Row],[fecha_inicio]]))</f>
        <v/>
      </c>
      <c r="R869" s="3">
        <f>IF(tblOrdenes[[#This Row],[fecha_inicio]]="","",MONTH(tblOrdenes[[#This Row],[fecha_inicio]]))</f>
        <v/>
      </c>
      <c r="S869" s="3">
        <f>IF(tblOrdenes[[#This Row],[fecha_inicio]]="","",INDEX(lista_dias,WEEKDAY(tblOrdenes[[#This Row],[fecha_inicio]],2)))</f>
        <v/>
      </c>
      <c r="T869" s="3">
        <f>IF(tblOrdenes[[#This Row],[tipo_ot]]="","",_xlfn.XLOOKUP(tblOrdenes[[#This Row],[tipo_ot]],tblTiposOT[codigo],tblTiposOT[clasificacion],"sin_clasificar"))</f>
        <v/>
      </c>
      <c r="U869" s="3">
        <f>IF(tblOrdenes[[#This Row],[centro_costo]]="","",_xlfn.XLOOKUP(tblOrdenes[[#This Row],[centro_costo]],tblCECO[codigo],tblCECO[linea],"(sin catálogo)"))</f>
        <v/>
      </c>
      <c r="V869" s="3">
        <f>IF(tblOrdenes[[#This Row],[centro_costo]]="","",_xlfn.XLOOKUP(tblOrdenes[[#This Row],[centro_costo]],tblCECO[codigo],tblCECO[area],"(sin catálogo)"))</f>
        <v/>
      </c>
      <c r="W869" s="3">
        <f>IF(tblOrdenes[[#This Row],[centro_costo]]="","",_xlfn.XLOOKUP(tblOrdenes[[#This Row],[centro_costo]],tblCECO[codigo],tblCECO[coordinador],"(sin catálogo)"))</f>
        <v/>
      </c>
      <c r="X869" s="3">
        <f>IF(tblOrdenes[[#This Row],[puesto_trabajo]]="","",_xlfn.XLOOKUP(tblOrdenes[[#This Row],[puesto_trabajo]],tblPuestos[codigo],tblPuestos[especialidad],"(sin catálogo)"))</f>
        <v/>
      </c>
      <c r="Y869" s="3">
        <f>IF(tblOrdenes[[#This Row],[cod_actividad]]="","",_xlfn.XLOOKUP(tblOrdenes[[#This Row],[cod_actividad]],tblActividades[codigo],tblActividades[descripcion],"(sin catálogo)"))</f>
        <v/>
      </c>
      <c r="Z869" s="12">
        <f>IF(tblOrdenes[[#This Row],[fecha_inicio]]="","",TODAY()-tblOrdenes[[#This Row],[fecha_inicio]])</f>
        <v/>
      </c>
      <c r="AA869" s="3">
        <f>IF(tblOrdenes[[#This Row],[backlog_dias]]="","",IF(tblOrdenes[[#This Row],[backlog_dias]]&lt;0,"FUTURO",IF(tblOrdenes[[#This Row],[backlog_dias]]&gt;p_dias_backlog_max,"BACKLOG","MES CORRIENTE")))</f>
        <v/>
      </c>
      <c r="AB869" s="3">
        <f>IF(tblOrdenes[[#This Row],[backlog_dias]]="",FALSE,AND(tblOrdenes[[#This Row],[backlog_dias]]&gt;p_dias_backlog_min,tblOrdenes[[#This Row],[backlog_dias]]&lt;=p_dias_backlog_max))</f>
        <v/>
      </c>
      <c r="AC869" s="6" t="n"/>
      <c r="AD8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69" s="10">
        <f>IF(tblOrdenes[[#This Row],[orden]]="","",_xlfn.XLOOKUP(tblOrdenes[[#This Row],[id_operacion]],tblEjecucion[id_operacion],tblEjecucion[precio],0))</f>
        <v/>
      </c>
      <c r="AH869" s="10">
        <f>IF(tblOrdenes[[#This Row],[orden]]="","",MAX(0,_xlfn.XLOOKUP(tblOrdenes[[#This Row],[id_operacion]],tblEjecucion[id_operacion],tblEjecucion[costo_plan_total],0)-tblOrdenes[[#This Row],[costo_servicio]]))</f>
        <v/>
      </c>
      <c r="AI869" s="10">
        <f>IF(tblOrdenes[[#This Row],[orden]]="","",tblOrdenes[[#This Row],[costo_servicio]]+tblOrdenes[[#This Row],[costo_materiales]])</f>
        <v/>
      </c>
      <c r="AJ869" s="6" t="n"/>
      <c r="AK869" s="6" t="n"/>
      <c r="AL869" s="6" t="n"/>
      <c r="AM869" s="3">
        <f>IF(tblOrdenes[[#This Row],[link_checklist]]="","",HYPERLINK(p_ruta_base_checklists&amp;tblOrdenes[[#This Row],[link_checklist]],"abrir"))</f>
        <v/>
      </c>
      <c r="AN869" s="6" t="n"/>
      <c r="AO869" s="3">
        <f>IF(tblOrdenes[[#This Row],[orden]]="","",tblOrdenes[[#This Row],[orden]]&amp;IF(tblOrdenes[[#This Row],[operacion]]="","0010",tblOrdenes[[#This Row],[operacion]]))</f>
        <v/>
      </c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11" t="n"/>
      <c r="K870" s="3" t="n"/>
      <c r="L870" s="10" t="n"/>
      <c r="M870" s="6" t="n"/>
      <c r="N8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70" s="3">
        <f>IF(tblOrdenes[[#This Row],[fecha_inicio]]="","",YEAR(tblOrdenes[[#This Row],[fecha_inicio]]))</f>
        <v/>
      </c>
      <c r="R870" s="3">
        <f>IF(tblOrdenes[[#This Row],[fecha_inicio]]="","",MONTH(tblOrdenes[[#This Row],[fecha_inicio]]))</f>
        <v/>
      </c>
      <c r="S870" s="3">
        <f>IF(tblOrdenes[[#This Row],[fecha_inicio]]="","",INDEX(lista_dias,WEEKDAY(tblOrdenes[[#This Row],[fecha_inicio]],2)))</f>
        <v/>
      </c>
      <c r="T870" s="3">
        <f>IF(tblOrdenes[[#This Row],[tipo_ot]]="","",_xlfn.XLOOKUP(tblOrdenes[[#This Row],[tipo_ot]],tblTiposOT[codigo],tblTiposOT[clasificacion],"sin_clasificar"))</f>
        <v/>
      </c>
      <c r="U870" s="3">
        <f>IF(tblOrdenes[[#This Row],[centro_costo]]="","",_xlfn.XLOOKUP(tblOrdenes[[#This Row],[centro_costo]],tblCECO[codigo],tblCECO[linea],"(sin catálogo)"))</f>
        <v/>
      </c>
      <c r="V870" s="3">
        <f>IF(tblOrdenes[[#This Row],[centro_costo]]="","",_xlfn.XLOOKUP(tblOrdenes[[#This Row],[centro_costo]],tblCECO[codigo],tblCECO[area],"(sin catálogo)"))</f>
        <v/>
      </c>
      <c r="W870" s="3">
        <f>IF(tblOrdenes[[#This Row],[centro_costo]]="","",_xlfn.XLOOKUP(tblOrdenes[[#This Row],[centro_costo]],tblCECO[codigo],tblCECO[coordinador],"(sin catálogo)"))</f>
        <v/>
      </c>
      <c r="X870" s="3">
        <f>IF(tblOrdenes[[#This Row],[puesto_trabajo]]="","",_xlfn.XLOOKUP(tblOrdenes[[#This Row],[puesto_trabajo]],tblPuestos[codigo],tblPuestos[especialidad],"(sin catálogo)"))</f>
        <v/>
      </c>
      <c r="Y870" s="3">
        <f>IF(tblOrdenes[[#This Row],[cod_actividad]]="","",_xlfn.XLOOKUP(tblOrdenes[[#This Row],[cod_actividad]],tblActividades[codigo],tblActividades[descripcion],"(sin catálogo)"))</f>
        <v/>
      </c>
      <c r="Z870" s="12">
        <f>IF(tblOrdenes[[#This Row],[fecha_inicio]]="","",TODAY()-tblOrdenes[[#This Row],[fecha_inicio]])</f>
        <v/>
      </c>
      <c r="AA870" s="3">
        <f>IF(tblOrdenes[[#This Row],[backlog_dias]]="","",IF(tblOrdenes[[#This Row],[backlog_dias]]&lt;0,"FUTURO",IF(tblOrdenes[[#This Row],[backlog_dias]]&gt;p_dias_backlog_max,"BACKLOG","MES CORRIENTE")))</f>
        <v/>
      </c>
      <c r="AB870" s="3">
        <f>IF(tblOrdenes[[#This Row],[backlog_dias]]="",FALSE,AND(tblOrdenes[[#This Row],[backlog_dias]]&gt;p_dias_backlog_min,tblOrdenes[[#This Row],[backlog_dias]]&lt;=p_dias_backlog_max))</f>
        <v/>
      </c>
      <c r="AC870" s="6" t="n"/>
      <c r="AD8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70" s="10">
        <f>IF(tblOrdenes[[#This Row],[orden]]="","",_xlfn.XLOOKUP(tblOrdenes[[#This Row],[id_operacion]],tblEjecucion[id_operacion],tblEjecucion[precio],0))</f>
        <v/>
      </c>
      <c r="AH870" s="10">
        <f>IF(tblOrdenes[[#This Row],[orden]]="","",MAX(0,_xlfn.XLOOKUP(tblOrdenes[[#This Row],[id_operacion]],tblEjecucion[id_operacion],tblEjecucion[costo_plan_total],0)-tblOrdenes[[#This Row],[costo_servicio]]))</f>
        <v/>
      </c>
      <c r="AI870" s="10">
        <f>IF(tblOrdenes[[#This Row],[orden]]="","",tblOrdenes[[#This Row],[costo_servicio]]+tblOrdenes[[#This Row],[costo_materiales]])</f>
        <v/>
      </c>
      <c r="AJ870" s="6" t="n"/>
      <c r="AK870" s="6" t="n"/>
      <c r="AL870" s="6" t="n"/>
      <c r="AM870" s="3">
        <f>IF(tblOrdenes[[#This Row],[link_checklist]]="","",HYPERLINK(p_ruta_base_checklists&amp;tblOrdenes[[#This Row],[link_checklist]],"abrir"))</f>
        <v/>
      </c>
      <c r="AN870" s="6" t="n"/>
      <c r="AO870" s="3">
        <f>IF(tblOrdenes[[#This Row],[orden]]="","",tblOrdenes[[#This Row],[orden]]&amp;IF(tblOrdenes[[#This Row],[operacion]]="","0010",tblOrdenes[[#This Row],[operacion]]))</f>
        <v/>
      </c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11" t="n"/>
      <c r="K871" s="3" t="n"/>
      <c r="L871" s="10" t="n"/>
      <c r="M871" s="6" t="n"/>
      <c r="N8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71" s="3">
        <f>IF(tblOrdenes[[#This Row],[fecha_inicio]]="","",YEAR(tblOrdenes[[#This Row],[fecha_inicio]]))</f>
        <v/>
      </c>
      <c r="R871" s="3">
        <f>IF(tblOrdenes[[#This Row],[fecha_inicio]]="","",MONTH(tblOrdenes[[#This Row],[fecha_inicio]]))</f>
        <v/>
      </c>
      <c r="S871" s="3">
        <f>IF(tblOrdenes[[#This Row],[fecha_inicio]]="","",INDEX(lista_dias,WEEKDAY(tblOrdenes[[#This Row],[fecha_inicio]],2)))</f>
        <v/>
      </c>
      <c r="T871" s="3">
        <f>IF(tblOrdenes[[#This Row],[tipo_ot]]="","",_xlfn.XLOOKUP(tblOrdenes[[#This Row],[tipo_ot]],tblTiposOT[codigo],tblTiposOT[clasificacion],"sin_clasificar"))</f>
        <v/>
      </c>
      <c r="U871" s="3">
        <f>IF(tblOrdenes[[#This Row],[centro_costo]]="","",_xlfn.XLOOKUP(tblOrdenes[[#This Row],[centro_costo]],tblCECO[codigo],tblCECO[linea],"(sin catálogo)"))</f>
        <v/>
      </c>
      <c r="V871" s="3">
        <f>IF(tblOrdenes[[#This Row],[centro_costo]]="","",_xlfn.XLOOKUP(tblOrdenes[[#This Row],[centro_costo]],tblCECO[codigo],tblCECO[area],"(sin catálogo)"))</f>
        <v/>
      </c>
      <c r="W871" s="3">
        <f>IF(tblOrdenes[[#This Row],[centro_costo]]="","",_xlfn.XLOOKUP(tblOrdenes[[#This Row],[centro_costo]],tblCECO[codigo],tblCECO[coordinador],"(sin catálogo)"))</f>
        <v/>
      </c>
      <c r="X871" s="3">
        <f>IF(tblOrdenes[[#This Row],[puesto_trabajo]]="","",_xlfn.XLOOKUP(tblOrdenes[[#This Row],[puesto_trabajo]],tblPuestos[codigo],tblPuestos[especialidad],"(sin catálogo)"))</f>
        <v/>
      </c>
      <c r="Y871" s="3">
        <f>IF(tblOrdenes[[#This Row],[cod_actividad]]="","",_xlfn.XLOOKUP(tblOrdenes[[#This Row],[cod_actividad]],tblActividades[codigo],tblActividades[descripcion],"(sin catálogo)"))</f>
        <v/>
      </c>
      <c r="Z871" s="12">
        <f>IF(tblOrdenes[[#This Row],[fecha_inicio]]="","",TODAY()-tblOrdenes[[#This Row],[fecha_inicio]])</f>
        <v/>
      </c>
      <c r="AA871" s="3">
        <f>IF(tblOrdenes[[#This Row],[backlog_dias]]="","",IF(tblOrdenes[[#This Row],[backlog_dias]]&lt;0,"FUTURO",IF(tblOrdenes[[#This Row],[backlog_dias]]&gt;p_dias_backlog_max,"BACKLOG","MES CORRIENTE")))</f>
        <v/>
      </c>
      <c r="AB871" s="3">
        <f>IF(tblOrdenes[[#This Row],[backlog_dias]]="",FALSE,AND(tblOrdenes[[#This Row],[backlog_dias]]&gt;p_dias_backlog_min,tblOrdenes[[#This Row],[backlog_dias]]&lt;=p_dias_backlog_max))</f>
        <v/>
      </c>
      <c r="AC871" s="6" t="n"/>
      <c r="AD8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71" s="10">
        <f>IF(tblOrdenes[[#This Row],[orden]]="","",_xlfn.XLOOKUP(tblOrdenes[[#This Row],[id_operacion]],tblEjecucion[id_operacion],tblEjecucion[precio],0))</f>
        <v/>
      </c>
      <c r="AH871" s="10">
        <f>IF(tblOrdenes[[#This Row],[orden]]="","",MAX(0,_xlfn.XLOOKUP(tblOrdenes[[#This Row],[id_operacion]],tblEjecucion[id_operacion],tblEjecucion[costo_plan_total],0)-tblOrdenes[[#This Row],[costo_servicio]]))</f>
        <v/>
      </c>
      <c r="AI871" s="10">
        <f>IF(tblOrdenes[[#This Row],[orden]]="","",tblOrdenes[[#This Row],[costo_servicio]]+tblOrdenes[[#This Row],[costo_materiales]])</f>
        <v/>
      </c>
      <c r="AJ871" s="6" t="n"/>
      <c r="AK871" s="6" t="n"/>
      <c r="AL871" s="6" t="n"/>
      <c r="AM871" s="3">
        <f>IF(tblOrdenes[[#This Row],[link_checklist]]="","",HYPERLINK(p_ruta_base_checklists&amp;tblOrdenes[[#This Row],[link_checklist]],"abrir"))</f>
        <v/>
      </c>
      <c r="AN871" s="6" t="n"/>
      <c r="AO871" s="3">
        <f>IF(tblOrdenes[[#This Row],[orden]]="","",tblOrdenes[[#This Row],[orden]]&amp;IF(tblOrdenes[[#This Row],[operacion]]="","0010",tblOrdenes[[#This Row],[operacion]]))</f>
        <v/>
      </c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11" t="n"/>
      <c r="K872" s="3" t="n"/>
      <c r="L872" s="10" t="n"/>
      <c r="M872" s="6" t="n"/>
      <c r="N8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72" s="3">
        <f>IF(tblOrdenes[[#This Row],[fecha_inicio]]="","",YEAR(tblOrdenes[[#This Row],[fecha_inicio]]))</f>
        <v/>
      </c>
      <c r="R872" s="3">
        <f>IF(tblOrdenes[[#This Row],[fecha_inicio]]="","",MONTH(tblOrdenes[[#This Row],[fecha_inicio]]))</f>
        <v/>
      </c>
      <c r="S872" s="3">
        <f>IF(tblOrdenes[[#This Row],[fecha_inicio]]="","",INDEX(lista_dias,WEEKDAY(tblOrdenes[[#This Row],[fecha_inicio]],2)))</f>
        <v/>
      </c>
      <c r="T872" s="3">
        <f>IF(tblOrdenes[[#This Row],[tipo_ot]]="","",_xlfn.XLOOKUP(tblOrdenes[[#This Row],[tipo_ot]],tblTiposOT[codigo],tblTiposOT[clasificacion],"sin_clasificar"))</f>
        <v/>
      </c>
      <c r="U872" s="3">
        <f>IF(tblOrdenes[[#This Row],[centro_costo]]="","",_xlfn.XLOOKUP(tblOrdenes[[#This Row],[centro_costo]],tblCECO[codigo],tblCECO[linea],"(sin catálogo)"))</f>
        <v/>
      </c>
      <c r="V872" s="3">
        <f>IF(tblOrdenes[[#This Row],[centro_costo]]="","",_xlfn.XLOOKUP(tblOrdenes[[#This Row],[centro_costo]],tblCECO[codigo],tblCECO[area],"(sin catálogo)"))</f>
        <v/>
      </c>
      <c r="W872" s="3">
        <f>IF(tblOrdenes[[#This Row],[centro_costo]]="","",_xlfn.XLOOKUP(tblOrdenes[[#This Row],[centro_costo]],tblCECO[codigo],tblCECO[coordinador],"(sin catálogo)"))</f>
        <v/>
      </c>
      <c r="X872" s="3">
        <f>IF(tblOrdenes[[#This Row],[puesto_trabajo]]="","",_xlfn.XLOOKUP(tblOrdenes[[#This Row],[puesto_trabajo]],tblPuestos[codigo],tblPuestos[especialidad],"(sin catálogo)"))</f>
        <v/>
      </c>
      <c r="Y872" s="3">
        <f>IF(tblOrdenes[[#This Row],[cod_actividad]]="","",_xlfn.XLOOKUP(tblOrdenes[[#This Row],[cod_actividad]],tblActividades[codigo],tblActividades[descripcion],"(sin catálogo)"))</f>
        <v/>
      </c>
      <c r="Z872" s="12">
        <f>IF(tblOrdenes[[#This Row],[fecha_inicio]]="","",TODAY()-tblOrdenes[[#This Row],[fecha_inicio]])</f>
        <v/>
      </c>
      <c r="AA872" s="3">
        <f>IF(tblOrdenes[[#This Row],[backlog_dias]]="","",IF(tblOrdenes[[#This Row],[backlog_dias]]&lt;0,"FUTURO",IF(tblOrdenes[[#This Row],[backlog_dias]]&gt;p_dias_backlog_max,"BACKLOG","MES CORRIENTE")))</f>
        <v/>
      </c>
      <c r="AB872" s="3">
        <f>IF(tblOrdenes[[#This Row],[backlog_dias]]="",FALSE,AND(tblOrdenes[[#This Row],[backlog_dias]]&gt;p_dias_backlog_min,tblOrdenes[[#This Row],[backlog_dias]]&lt;=p_dias_backlog_max))</f>
        <v/>
      </c>
      <c r="AC872" s="6" t="n"/>
      <c r="AD8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72" s="10">
        <f>IF(tblOrdenes[[#This Row],[orden]]="","",_xlfn.XLOOKUP(tblOrdenes[[#This Row],[id_operacion]],tblEjecucion[id_operacion],tblEjecucion[precio],0))</f>
        <v/>
      </c>
      <c r="AH872" s="10">
        <f>IF(tblOrdenes[[#This Row],[orden]]="","",MAX(0,_xlfn.XLOOKUP(tblOrdenes[[#This Row],[id_operacion]],tblEjecucion[id_operacion],tblEjecucion[costo_plan_total],0)-tblOrdenes[[#This Row],[costo_servicio]]))</f>
        <v/>
      </c>
      <c r="AI872" s="10">
        <f>IF(tblOrdenes[[#This Row],[orden]]="","",tblOrdenes[[#This Row],[costo_servicio]]+tblOrdenes[[#This Row],[costo_materiales]])</f>
        <v/>
      </c>
      <c r="AJ872" s="6" t="n"/>
      <c r="AK872" s="6" t="n"/>
      <c r="AL872" s="6" t="n"/>
      <c r="AM872" s="3">
        <f>IF(tblOrdenes[[#This Row],[link_checklist]]="","",HYPERLINK(p_ruta_base_checklists&amp;tblOrdenes[[#This Row],[link_checklist]],"abrir"))</f>
        <v/>
      </c>
      <c r="AN872" s="6" t="n"/>
      <c r="AO872" s="3">
        <f>IF(tblOrdenes[[#This Row],[orden]]="","",tblOrdenes[[#This Row],[orden]]&amp;IF(tblOrdenes[[#This Row],[operacion]]="","0010",tblOrdenes[[#This Row],[operacion]]))</f>
        <v/>
      </c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11" t="n"/>
      <c r="K873" s="3" t="n"/>
      <c r="L873" s="10" t="n"/>
      <c r="M873" s="6" t="n"/>
      <c r="N8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73" s="3">
        <f>IF(tblOrdenes[[#This Row],[fecha_inicio]]="","",YEAR(tblOrdenes[[#This Row],[fecha_inicio]]))</f>
        <v/>
      </c>
      <c r="R873" s="3">
        <f>IF(tblOrdenes[[#This Row],[fecha_inicio]]="","",MONTH(tblOrdenes[[#This Row],[fecha_inicio]]))</f>
        <v/>
      </c>
      <c r="S873" s="3">
        <f>IF(tblOrdenes[[#This Row],[fecha_inicio]]="","",INDEX(lista_dias,WEEKDAY(tblOrdenes[[#This Row],[fecha_inicio]],2)))</f>
        <v/>
      </c>
      <c r="T873" s="3">
        <f>IF(tblOrdenes[[#This Row],[tipo_ot]]="","",_xlfn.XLOOKUP(tblOrdenes[[#This Row],[tipo_ot]],tblTiposOT[codigo],tblTiposOT[clasificacion],"sin_clasificar"))</f>
        <v/>
      </c>
      <c r="U873" s="3">
        <f>IF(tblOrdenes[[#This Row],[centro_costo]]="","",_xlfn.XLOOKUP(tblOrdenes[[#This Row],[centro_costo]],tblCECO[codigo],tblCECO[linea],"(sin catálogo)"))</f>
        <v/>
      </c>
      <c r="V873" s="3">
        <f>IF(tblOrdenes[[#This Row],[centro_costo]]="","",_xlfn.XLOOKUP(tblOrdenes[[#This Row],[centro_costo]],tblCECO[codigo],tblCECO[area],"(sin catálogo)"))</f>
        <v/>
      </c>
      <c r="W873" s="3">
        <f>IF(tblOrdenes[[#This Row],[centro_costo]]="","",_xlfn.XLOOKUP(tblOrdenes[[#This Row],[centro_costo]],tblCECO[codigo],tblCECO[coordinador],"(sin catálogo)"))</f>
        <v/>
      </c>
      <c r="X873" s="3">
        <f>IF(tblOrdenes[[#This Row],[puesto_trabajo]]="","",_xlfn.XLOOKUP(tblOrdenes[[#This Row],[puesto_trabajo]],tblPuestos[codigo],tblPuestos[especialidad],"(sin catálogo)"))</f>
        <v/>
      </c>
      <c r="Y873" s="3">
        <f>IF(tblOrdenes[[#This Row],[cod_actividad]]="","",_xlfn.XLOOKUP(tblOrdenes[[#This Row],[cod_actividad]],tblActividades[codigo],tblActividades[descripcion],"(sin catálogo)"))</f>
        <v/>
      </c>
      <c r="Z873" s="12">
        <f>IF(tblOrdenes[[#This Row],[fecha_inicio]]="","",TODAY()-tblOrdenes[[#This Row],[fecha_inicio]])</f>
        <v/>
      </c>
      <c r="AA873" s="3">
        <f>IF(tblOrdenes[[#This Row],[backlog_dias]]="","",IF(tblOrdenes[[#This Row],[backlog_dias]]&lt;0,"FUTURO",IF(tblOrdenes[[#This Row],[backlog_dias]]&gt;p_dias_backlog_max,"BACKLOG","MES CORRIENTE")))</f>
        <v/>
      </c>
      <c r="AB873" s="3">
        <f>IF(tblOrdenes[[#This Row],[backlog_dias]]="",FALSE,AND(tblOrdenes[[#This Row],[backlog_dias]]&gt;p_dias_backlog_min,tblOrdenes[[#This Row],[backlog_dias]]&lt;=p_dias_backlog_max))</f>
        <v/>
      </c>
      <c r="AC873" s="6" t="n"/>
      <c r="AD8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73" s="10">
        <f>IF(tblOrdenes[[#This Row],[orden]]="","",_xlfn.XLOOKUP(tblOrdenes[[#This Row],[id_operacion]],tblEjecucion[id_operacion],tblEjecucion[precio],0))</f>
        <v/>
      </c>
      <c r="AH873" s="10">
        <f>IF(tblOrdenes[[#This Row],[orden]]="","",MAX(0,_xlfn.XLOOKUP(tblOrdenes[[#This Row],[id_operacion]],tblEjecucion[id_operacion],tblEjecucion[costo_plan_total],0)-tblOrdenes[[#This Row],[costo_servicio]]))</f>
        <v/>
      </c>
      <c r="AI873" s="10">
        <f>IF(tblOrdenes[[#This Row],[orden]]="","",tblOrdenes[[#This Row],[costo_servicio]]+tblOrdenes[[#This Row],[costo_materiales]])</f>
        <v/>
      </c>
      <c r="AJ873" s="6" t="n"/>
      <c r="AK873" s="6" t="n"/>
      <c r="AL873" s="6" t="n"/>
      <c r="AM873" s="3">
        <f>IF(tblOrdenes[[#This Row],[link_checklist]]="","",HYPERLINK(p_ruta_base_checklists&amp;tblOrdenes[[#This Row],[link_checklist]],"abrir"))</f>
        <v/>
      </c>
      <c r="AN873" s="6" t="n"/>
      <c r="AO873" s="3">
        <f>IF(tblOrdenes[[#This Row],[orden]]="","",tblOrdenes[[#This Row],[orden]]&amp;IF(tblOrdenes[[#This Row],[operacion]]="","0010",tblOrdenes[[#This Row],[operacion]]))</f>
        <v/>
      </c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11" t="n"/>
      <c r="K874" s="3" t="n"/>
      <c r="L874" s="10" t="n"/>
      <c r="M874" s="6" t="n"/>
      <c r="N8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74" s="3">
        <f>IF(tblOrdenes[[#This Row],[fecha_inicio]]="","",YEAR(tblOrdenes[[#This Row],[fecha_inicio]]))</f>
        <v/>
      </c>
      <c r="R874" s="3">
        <f>IF(tblOrdenes[[#This Row],[fecha_inicio]]="","",MONTH(tblOrdenes[[#This Row],[fecha_inicio]]))</f>
        <v/>
      </c>
      <c r="S874" s="3">
        <f>IF(tblOrdenes[[#This Row],[fecha_inicio]]="","",INDEX(lista_dias,WEEKDAY(tblOrdenes[[#This Row],[fecha_inicio]],2)))</f>
        <v/>
      </c>
      <c r="T874" s="3">
        <f>IF(tblOrdenes[[#This Row],[tipo_ot]]="","",_xlfn.XLOOKUP(tblOrdenes[[#This Row],[tipo_ot]],tblTiposOT[codigo],tblTiposOT[clasificacion],"sin_clasificar"))</f>
        <v/>
      </c>
      <c r="U874" s="3">
        <f>IF(tblOrdenes[[#This Row],[centro_costo]]="","",_xlfn.XLOOKUP(tblOrdenes[[#This Row],[centro_costo]],tblCECO[codigo],tblCECO[linea],"(sin catálogo)"))</f>
        <v/>
      </c>
      <c r="V874" s="3">
        <f>IF(tblOrdenes[[#This Row],[centro_costo]]="","",_xlfn.XLOOKUP(tblOrdenes[[#This Row],[centro_costo]],tblCECO[codigo],tblCECO[area],"(sin catálogo)"))</f>
        <v/>
      </c>
      <c r="W874" s="3">
        <f>IF(tblOrdenes[[#This Row],[centro_costo]]="","",_xlfn.XLOOKUP(tblOrdenes[[#This Row],[centro_costo]],tblCECO[codigo],tblCECO[coordinador],"(sin catálogo)"))</f>
        <v/>
      </c>
      <c r="X874" s="3">
        <f>IF(tblOrdenes[[#This Row],[puesto_trabajo]]="","",_xlfn.XLOOKUP(tblOrdenes[[#This Row],[puesto_trabajo]],tblPuestos[codigo],tblPuestos[especialidad],"(sin catálogo)"))</f>
        <v/>
      </c>
      <c r="Y874" s="3">
        <f>IF(tblOrdenes[[#This Row],[cod_actividad]]="","",_xlfn.XLOOKUP(tblOrdenes[[#This Row],[cod_actividad]],tblActividades[codigo],tblActividades[descripcion],"(sin catálogo)"))</f>
        <v/>
      </c>
      <c r="Z874" s="12">
        <f>IF(tblOrdenes[[#This Row],[fecha_inicio]]="","",TODAY()-tblOrdenes[[#This Row],[fecha_inicio]])</f>
        <v/>
      </c>
      <c r="AA874" s="3">
        <f>IF(tblOrdenes[[#This Row],[backlog_dias]]="","",IF(tblOrdenes[[#This Row],[backlog_dias]]&lt;0,"FUTURO",IF(tblOrdenes[[#This Row],[backlog_dias]]&gt;p_dias_backlog_max,"BACKLOG","MES CORRIENTE")))</f>
        <v/>
      </c>
      <c r="AB874" s="3">
        <f>IF(tblOrdenes[[#This Row],[backlog_dias]]="",FALSE,AND(tblOrdenes[[#This Row],[backlog_dias]]&gt;p_dias_backlog_min,tblOrdenes[[#This Row],[backlog_dias]]&lt;=p_dias_backlog_max))</f>
        <v/>
      </c>
      <c r="AC874" s="6" t="n"/>
      <c r="AD8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74" s="10">
        <f>IF(tblOrdenes[[#This Row],[orden]]="","",_xlfn.XLOOKUP(tblOrdenes[[#This Row],[id_operacion]],tblEjecucion[id_operacion],tblEjecucion[precio],0))</f>
        <v/>
      </c>
      <c r="AH874" s="10">
        <f>IF(tblOrdenes[[#This Row],[orden]]="","",MAX(0,_xlfn.XLOOKUP(tblOrdenes[[#This Row],[id_operacion]],tblEjecucion[id_operacion],tblEjecucion[costo_plan_total],0)-tblOrdenes[[#This Row],[costo_servicio]]))</f>
        <v/>
      </c>
      <c r="AI874" s="10">
        <f>IF(tblOrdenes[[#This Row],[orden]]="","",tblOrdenes[[#This Row],[costo_servicio]]+tblOrdenes[[#This Row],[costo_materiales]])</f>
        <v/>
      </c>
      <c r="AJ874" s="6" t="n"/>
      <c r="AK874" s="6" t="n"/>
      <c r="AL874" s="6" t="n"/>
      <c r="AM874" s="3">
        <f>IF(tblOrdenes[[#This Row],[link_checklist]]="","",HYPERLINK(p_ruta_base_checklists&amp;tblOrdenes[[#This Row],[link_checklist]],"abrir"))</f>
        <v/>
      </c>
      <c r="AN874" s="6" t="n"/>
      <c r="AO874" s="3">
        <f>IF(tblOrdenes[[#This Row],[orden]]="","",tblOrdenes[[#This Row],[orden]]&amp;IF(tblOrdenes[[#This Row],[operacion]]="","0010",tblOrdenes[[#This Row],[operacion]]))</f>
        <v/>
      </c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11" t="n"/>
      <c r="K875" s="3" t="n"/>
      <c r="L875" s="10" t="n"/>
      <c r="M875" s="6" t="n"/>
      <c r="N8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75" s="3">
        <f>IF(tblOrdenes[[#This Row],[fecha_inicio]]="","",YEAR(tblOrdenes[[#This Row],[fecha_inicio]]))</f>
        <v/>
      </c>
      <c r="R875" s="3">
        <f>IF(tblOrdenes[[#This Row],[fecha_inicio]]="","",MONTH(tblOrdenes[[#This Row],[fecha_inicio]]))</f>
        <v/>
      </c>
      <c r="S875" s="3">
        <f>IF(tblOrdenes[[#This Row],[fecha_inicio]]="","",INDEX(lista_dias,WEEKDAY(tblOrdenes[[#This Row],[fecha_inicio]],2)))</f>
        <v/>
      </c>
      <c r="T875" s="3">
        <f>IF(tblOrdenes[[#This Row],[tipo_ot]]="","",_xlfn.XLOOKUP(tblOrdenes[[#This Row],[tipo_ot]],tblTiposOT[codigo],tblTiposOT[clasificacion],"sin_clasificar"))</f>
        <v/>
      </c>
      <c r="U875" s="3">
        <f>IF(tblOrdenes[[#This Row],[centro_costo]]="","",_xlfn.XLOOKUP(tblOrdenes[[#This Row],[centro_costo]],tblCECO[codigo],tblCECO[linea],"(sin catálogo)"))</f>
        <v/>
      </c>
      <c r="V875" s="3">
        <f>IF(tblOrdenes[[#This Row],[centro_costo]]="","",_xlfn.XLOOKUP(tblOrdenes[[#This Row],[centro_costo]],tblCECO[codigo],tblCECO[area],"(sin catálogo)"))</f>
        <v/>
      </c>
      <c r="W875" s="3">
        <f>IF(tblOrdenes[[#This Row],[centro_costo]]="","",_xlfn.XLOOKUP(tblOrdenes[[#This Row],[centro_costo]],tblCECO[codigo],tblCECO[coordinador],"(sin catálogo)"))</f>
        <v/>
      </c>
      <c r="X875" s="3">
        <f>IF(tblOrdenes[[#This Row],[puesto_trabajo]]="","",_xlfn.XLOOKUP(tblOrdenes[[#This Row],[puesto_trabajo]],tblPuestos[codigo],tblPuestos[especialidad],"(sin catálogo)"))</f>
        <v/>
      </c>
      <c r="Y875" s="3">
        <f>IF(tblOrdenes[[#This Row],[cod_actividad]]="","",_xlfn.XLOOKUP(tblOrdenes[[#This Row],[cod_actividad]],tblActividades[codigo],tblActividades[descripcion],"(sin catálogo)"))</f>
        <v/>
      </c>
      <c r="Z875" s="12">
        <f>IF(tblOrdenes[[#This Row],[fecha_inicio]]="","",TODAY()-tblOrdenes[[#This Row],[fecha_inicio]])</f>
        <v/>
      </c>
      <c r="AA875" s="3">
        <f>IF(tblOrdenes[[#This Row],[backlog_dias]]="","",IF(tblOrdenes[[#This Row],[backlog_dias]]&lt;0,"FUTURO",IF(tblOrdenes[[#This Row],[backlog_dias]]&gt;p_dias_backlog_max,"BACKLOG","MES CORRIENTE")))</f>
        <v/>
      </c>
      <c r="AB875" s="3">
        <f>IF(tblOrdenes[[#This Row],[backlog_dias]]="",FALSE,AND(tblOrdenes[[#This Row],[backlog_dias]]&gt;p_dias_backlog_min,tblOrdenes[[#This Row],[backlog_dias]]&lt;=p_dias_backlog_max))</f>
        <v/>
      </c>
      <c r="AC875" s="6" t="n"/>
      <c r="AD8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75" s="10">
        <f>IF(tblOrdenes[[#This Row],[orden]]="","",_xlfn.XLOOKUP(tblOrdenes[[#This Row],[id_operacion]],tblEjecucion[id_operacion],tblEjecucion[precio],0))</f>
        <v/>
      </c>
      <c r="AH875" s="10">
        <f>IF(tblOrdenes[[#This Row],[orden]]="","",MAX(0,_xlfn.XLOOKUP(tblOrdenes[[#This Row],[id_operacion]],tblEjecucion[id_operacion],tblEjecucion[costo_plan_total],0)-tblOrdenes[[#This Row],[costo_servicio]]))</f>
        <v/>
      </c>
      <c r="AI875" s="10">
        <f>IF(tblOrdenes[[#This Row],[orden]]="","",tblOrdenes[[#This Row],[costo_servicio]]+tblOrdenes[[#This Row],[costo_materiales]])</f>
        <v/>
      </c>
      <c r="AJ875" s="6" t="n"/>
      <c r="AK875" s="6" t="n"/>
      <c r="AL875" s="6" t="n"/>
      <c r="AM875" s="3">
        <f>IF(tblOrdenes[[#This Row],[link_checklist]]="","",HYPERLINK(p_ruta_base_checklists&amp;tblOrdenes[[#This Row],[link_checklist]],"abrir"))</f>
        <v/>
      </c>
      <c r="AN875" s="6" t="n"/>
      <c r="AO875" s="3">
        <f>IF(tblOrdenes[[#This Row],[orden]]="","",tblOrdenes[[#This Row],[orden]]&amp;IF(tblOrdenes[[#This Row],[operacion]]="","0010",tblOrdenes[[#This Row],[operacion]]))</f>
        <v/>
      </c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11" t="n"/>
      <c r="K876" s="3" t="n"/>
      <c r="L876" s="10" t="n"/>
      <c r="M876" s="6" t="n"/>
      <c r="N8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76" s="3">
        <f>IF(tblOrdenes[[#This Row],[fecha_inicio]]="","",YEAR(tblOrdenes[[#This Row],[fecha_inicio]]))</f>
        <v/>
      </c>
      <c r="R876" s="3">
        <f>IF(tblOrdenes[[#This Row],[fecha_inicio]]="","",MONTH(tblOrdenes[[#This Row],[fecha_inicio]]))</f>
        <v/>
      </c>
      <c r="S876" s="3">
        <f>IF(tblOrdenes[[#This Row],[fecha_inicio]]="","",INDEX(lista_dias,WEEKDAY(tblOrdenes[[#This Row],[fecha_inicio]],2)))</f>
        <v/>
      </c>
      <c r="T876" s="3">
        <f>IF(tblOrdenes[[#This Row],[tipo_ot]]="","",_xlfn.XLOOKUP(tblOrdenes[[#This Row],[tipo_ot]],tblTiposOT[codigo],tblTiposOT[clasificacion],"sin_clasificar"))</f>
        <v/>
      </c>
      <c r="U876" s="3">
        <f>IF(tblOrdenes[[#This Row],[centro_costo]]="","",_xlfn.XLOOKUP(tblOrdenes[[#This Row],[centro_costo]],tblCECO[codigo],tblCECO[linea],"(sin catálogo)"))</f>
        <v/>
      </c>
      <c r="V876" s="3">
        <f>IF(tblOrdenes[[#This Row],[centro_costo]]="","",_xlfn.XLOOKUP(tblOrdenes[[#This Row],[centro_costo]],tblCECO[codigo],tblCECO[area],"(sin catálogo)"))</f>
        <v/>
      </c>
      <c r="W876" s="3">
        <f>IF(tblOrdenes[[#This Row],[centro_costo]]="","",_xlfn.XLOOKUP(tblOrdenes[[#This Row],[centro_costo]],tblCECO[codigo],tblCECO[coordinador],"(sin catálogo)"))</f>
        <v/>
      </c>
      <c r="X876" s="3">
        <f>IF(tblOrdenes[[#This Row],[puesto_trabajo]]="","",_xlfn.XLOOKUP(tblOrdenes[[#This Row],[puesto_trabajo]],tblPuestos[codigo],tblPuestos[especialidad],"(sin catálogo)"))</f>
        <v/>
      </c>
      <c r="Y876" s="3">
        <f>IF(tblOrdenes[[#This Row],[cod_actividad]]="","",_xlfn.XLOOKUP(tblOrdenes[[#This Row],[cod_actividad]],tblActividades[codigo],tblActividades[descripcion],"(sin catálogo)"))</f>
        <v/>
      </c>
      <c r="Z876" s="12">
        <f>IF(tblOrdenes[[#This Row],[fecha_inicio]]="","",TODAY()-tblOrdenes[[#This Row],[fecha_inicio]])</f>
        <v/>
      </c>
      <c r="AA876" s="3">
        <f>IF(tblOrdenes[[#This Row],[backlog_dias]]="","",IF(tblOrdenes[[#This Row],[backlog_dias]]&lt;0,"FUTURO",IF(tblOrdenes[[#This Row],[backlog_dias]]&gt;p_dias_backlog_max,"BACKLOG","MES CORRIENTE")))</f>
        <v/>
      </c>
      <c r="AB876" s="3">
        <f>IF(tblOrdenes[[#This Row],[backlog_dias]]="",FALSE,AND(tblOrdenes[[#This Row],[backlog_dias]]&gt;p_dias_backlog_min,tblOrdenes[[#This Row],[backlog_dias]]&lt;=p_dias_backlog_max))</f>
        <v/>
      </c>
      <c r="AC876" s="6" t="n"/>
      <c r="AD8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76" s="10">
        <f>IF(tblOrdenes[[#This Row],[orden]]="","",_xlfn.XLOOKUP(tblOrdenes[[#This Row],[id_operacion]],tblEjecucion[id_operacion],tblEjecucion[precio],0))</f>
        <v/>
      </c>
      <c r="AH876" s="10">
        <f>IF(tblOrdenes[[#This Row],[orden]]="","",MAX(0,_xlfn.XLOOKUP(tblOrdenes[[#This Row],[id_operacion]],tblEjecucion[id_operacion],tblEjecucion[costo_plan_total],0)-tblOrdenes[[#This Row],[costo_servicio]]))</f>
        <v/>
      </c>
      <c r="AI876" s="10">
        <f>IF(tblOrdenes[[#This Row],[orden]]="","",tblOrdenes[[#This Row],[costo_servicio]]+tblOrdenes[[#This Row],[costo_materiales]])</f>
        <v/>
      </c>
      <c r="AJ876" s="6" t="n"/>
      <c r="AK876" s="6" t="n"/>
      <c r="AL876" s="6" t="n"/>
      <c r="AM876" s="3">
        <f>IF(tblOrdenes[[#This Row],[link_checklist]]="","",HYPERLINK(p_ruta_base_checklists&amp;tblOrdenes[[#This Row],[link_checklist]],"abrir"))</f>
        <v/>
      </c>
      <c r="AN876" s="6" t="n"/>
      <c r="AO876" s="3">
        <f>IF(tblOrdenes[[#This Row],[orden]]="","",tblOrdenes[[#This Row],[orden]]&amp;IF(tblOrdenes[[#This Row],[operacion]]="","0010",tblOrdenes[[#This Row],[operacion]]))</f>
        <v/>
      </c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11" t="n"/>
      <c r="K877" s="3" t="n"/>
      <c r="L877" s="10" t="n"/>
      <c r="M877" s="6" t="n"/>
      <c r="N8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77" s="3">
        <f>IF(tblOrdenes[[#This Row],[fecha_inicio]]="","",YEAR(tblOrdenes[[#This Row],[fecha_inicio]]))</f>
        <v/>
      </c>
      <c r="R877" s="3">
        <f>IF(tblOrdenes[[#This Row],[fecha_inicio]]="","",MONTH(tblOrdenes[[#This Row],[fecha_inicio]]))</f>
        <v/>
      </c>
      <c r="S877" s="3">
        <f>IF(tblOrdenes[[#This Row],[fecha_inicio]]="","",INDEX(lista_dias,WEEKDAY(tblOrdenes[[#This Row],[fecha_inicio]],2)))</f>
        <v/>
      </c>
      <c r="T877" s="3">
        <f>IF(tblOrdenes[[#This Row],[tipo_ot]]="","",_xlfn.XLOOKUP(tblOrdenes[[#This Row],[tipo_ot]],tblTiposOT[codigo],tblTiposOT[clasificacion],"sin_clasificar"))</f>
        <v/>
      </c>
      <c r="U877" s="3">
        <f>IF(tblOrdenes[[#This Row],[centro_costo]]="","",_xlfn.XLOOKUP(tblOrdenes[[#This Row],[centro_costo]],tblCECO[codigo],tblCECO[linea],"(sin catálogo)"))</f>
        <v/>
      </c>
      <c r="V877" s="3">
        <f>IF(tblOrdenes[[#This Row],[centro_costo]]="","",_xlfn.XLOOKUP(tblOrdenes[[#This Row],[centro_costo]],tblCECO[codigo],tblCECO[area],"(sin catálogo)"))</f>
        <v/>
      </c>
      <c r="W877" s="3">
        <f>IF(tblOrdenes[[#This Row],[centro_costo]]="","",_xlfn.XLOOKUP(tblOrdenes[[#This Row],[centro_costo]],tblCECO[codigo],tblCECO[coordinador],"(sin catálogo)"))</f>
        <v/>
      </c>
      <c r="X877" s="3">
        <f>IF(tblOrdenes[[#This Row],[puesto_trabajo]]="","",_xlfn.XLOOKUP(tblOrdenes[[#This Row],[puesto_trabajo]],tblPuestos[codigo],tblPuestos[especialidad],"(sin catálogo)"))</f>
        <v/>
      </c>
      <c r="Y877" s="3">
        <f>IF(tblOrdenes[[#This Row],[cod_actividad]]="","",_xlfn.XLOOKUP(tblOrdenes[[#This Row],[cod_actividad]],tblActividades[codigo],tblActividades[descripcion],"(sin catálogo)"))</f>
        <v/>
      </c>
      <c r="Z877" s="12">
        <f>IF(tblOrdenes[[#This Row],[fecha_inicio]]="","",TODAY()-tblOrdenes[[#This Row],[fecha_inicio]])</f>
        <v/>
      </c>
      <c r="AA877" s="3">
        <f>IF(tblOrdenes[[#This Row],[backlog_dias]]="","",IF(tblOrdenes[[#This Row],[backlog_dias]]&lt;0,"FUTURO",IF(tblOrdenes[[#This Row],[backlog_dias]]&gt;p_dias_backlog_max,"BACKLOG","MES CORRIENTE")))</f>
        <v/>
      </c>
      <c r="AB877" s="3">
        <f>IF(tblOrdenes[[#This Row],[backlog_dias]]="",FALSE,AND(tblOrdenes[[#This Row],[backlog_dias]]&gt;p_dias_backlog_min,tblOrdenes[[#This Row],[backlog_dias]]&lt;=p_dias_backlog_max))</f>
        <v/>
      </c>
      <c r="AC877" s="6" t="n"/>
      <c r="AD8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77" s="10">
        <f>IF(tblOrdenes[[#This Row],[orden]]="","",_xlfn.XLOOKUP(tblOrdenes[[#This Row],[id_operacion]],tblEjecucion[id_operacion],tblEjecucion[precio],0))</f>
        <v/>
      </c>
      <c r="AH877" s="10">
        <f>IF(tblOrdenes[[#This Row],[orden]]="","",MAX(0,_xlfn.XLOOKUP(tblOrdenes[[#This Row],[id_operacion]],tblEjecucion[id_operacion],tblEjecucion[costo_plan_total],0)-tblOrdenes[[#This Row],[costo_servicio]]))</f>
        <v/>
      </c>
      <c r="AI877" s="10">
        <f>IF(tblOrdenes[[#This Row],[orden]]="","",tblOrdenes[[#This Row],[costo_servicio]]+tblOrdenes[[#This Row],[costo_materiales]])</f>
        <v/>
      </c>
      <c r="AJ877" s="6" t="n"/>
      <c r="AK877" s="6" t="n"/>
      <c r="AL877" s="6" t="n"/>
      <c r="AM877" s="3">
        <f>IF(tblOrdenes[[#This Row],[link_checklist]]="","",HYPERLINK(p_ruta_base_checklists&amp;tblOrdenes[[#This Row],[link_checklist]],"abrir"))</f>
        <v/>
      </c>
      <c r="AN877" s="6" t="n"/>
      <c r="AO877" s="3">
        <f>IF(tblOrdenes[[#This Row],[orden]]="","",tblOrdenes[[#This Row],[orden]]&amp;IF(tblOrdenes[[#This Row],[operacion]]="","0010",tblOrdenes[[#This Row],[operacion]]))</f>
        <v/>
      </c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11" t="n"/>
      <c r="K878" s="3" t="n"/>
      <c r="L878" s="10" t="n"/>
      <c r="M878" s="6" t="n"/>
      <c r="N8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78" s="3">
        <f>IF(tblOrdenes[[#This Row],[fecha_inicio]]="","",YEAR(tblOrdenes[[#This Row],[fecha_inicio]]))</f>
        <v/>
      </c>
      <c r="R878" s="3">
        <f>IF(tblOrdenes[[#This Row],[fecha_inicio]]="","",MONTH(tblOrdenes[[#This Row],[fecha_inicio]]))</f>
        <v/>
      </c>
      <c r="S878" s="3">
        <f>IF(tblOrdenes[[#This Row],[fecha_inicio]]="","",INDEX(lista_dias,WEEKDAY(tblOrdenes[[#This Row],[fecha_inicio]],2)))</f>
        <v/>
      </c>
      <c r="T878" s="3">
        <f>IF(tblOrdenes[[#This Row],[tipo_ot]]="","",_xlfn.XLOOKUP(tblOrdenes[[#This Row],[tipo_ot]],tblTiposOT[codigo],tblTiposOT[clasificacion],"sin_clasificar"))</f>
        <v/>
      </c>
      <c r="U878" s="3">
        <f>IF(tblOrdenes[[#This Row],[centro_costo]]="","",_xlfn.XLOOKUP(tblOrdenes[[#This Row],[centro_costo]],tblCECO[codigo],tblCECO[linea],"(sin catálogo)"))</f>
        <v/>
      </c>
      <c r="V878" s="3">
        <f>IF(tblOrdenes[[#This Row],[centro_costo]]="","",_xlfn.XLOOKUP(tblOrdenes[[#This Row],[centro_costo]],tblCECO[codigo],tblCECO[area],"(sin catálogo)"))</f>
        <v/>
      </c>
      <c r="W878" s="3">
        <f>IF(tblOrdenes[[#This Row],[centro_costo]]="","",_xlfn.XLOOKUP(tblOrdenes[[#This Row],[centro_costo]],tblCECO[codigo],tblCECO[coordinador],"(sin catálogo)"))</f>
        <v/>
      </c>
      <c r="X878" s="3">
        <f>IF(tblOrdenes[[#This Row],[puesto_trabajo]]="","",_xlfn.XLOOKUP(tblOrdenes[[#This Row],[puesto_trabajo]],tblPuestos[codigo],tblPuestos[especialidad],"(sin catálogo)"))</f>
        <v/>
      </c>
      <c r="Y878" s="3">
        <f>IF(tblOrdenes[[#This Row],[cod_actividad]]="","",_xlfn.XLOOKUP(tblOrdenes[[#This Row],[cod_actividad]],tblActividades[codigo],tblActividades[descripcion],"(sin catálogo)"))</f>
        <v/>
      </c>
      <c r="Z878" s="12">
        <f>IF(tblOrdenes[[#This Row],[fecha_inicio]]="","",TODAY()-tblOrdenes[[#This Row],[fecha_inicio]])</f>
        <v/>
      </c>
      <c r="AA878" s="3">
        <f>IF(tblOrdenes[[#This Row],[backlog_dias]]="","",IF(tblOrdenes[[#This Row],[backlog_dias]]&lt;0,"FUTURO",IF(tblOrdenes[[#This Row],[backlog_dias]]&gt;p_dias_backlog_max,"BACKLOG","MES CORRIENTE")))</f>
        <v/>
      </c>
      <c r="AB878" s="3">
        <f>IF(tblOrdenes[[#This Row],[backlog_dias]]="",FALSE,AND(tblOrdenes[[#This Row],[backlog_dias]]&gt;p_dias_backlog_min,tblOrdenes[[#This Row],[backlog_dias]]&lt;=p_dias_backlog_max))</f>
        <v/>
      </c>
      <c r="AC878" s="6" t="n"/>
      <c r="AD8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78" s="10">
        <f>IF(tblOrdenes[[#This Row],[orden]]="","",_xlfn.XLOOKUP(tblOrdenes[[#This Row],[id_operacion]],tblEjecucion[id_operacion],tblEjecucion[precio],0))</f>
        <v/>
      </c>
      <c r="AH878" s="10">
        <f>IF(tblOrdenes[[#This Row],[orden]]="","",MAX(0,_xlfn.XLOOKUP(tblOrdenes[[#This Row],[id_operacion]],tblEjecucion[id_operacion],tblEjecucion[costo_plan_total],0)-tblOrdenes[[#This Row],[costo_servicio]]))</f>
        <v/>
      </c>
      <c r="AI878" s="10">
        <f>IF(tblOrdenes[[#This Row],[orden]]="","",tblOrdenes[[#This Row],[costo_servicio]]+tblOrdenes[[#This Row],[costo_materiales]])</f>
        <v/>
      </c>
      <c r="AJ878" s="6" t="n"/>
      <c r="AK878" s="6" t="n"/>
      <c r="AL878" s="6" t="n"/>
      <c r="AM878" s="3">
        <f>IF(tblOrdenes[[#This Row],[link_checklist]]="","",HYPERLINK(p_ruta_base_checklists&amp;tblOrdenes[[#This Row],[link_checklist]],"abrir"))</f>
        <v/>
      </c>
      <c r="AN878" s="6" t="n"/>
      <c r="AO878" s="3">
        <f>IF(tblOrdenes[[#This Row],[orden]]="","",tblOrdenes[[#This Row],[orden]]&amp;IF(tblOrdenes[[#This Row],[operacion]]="","0010",tblOrdenes[[#This Row],[operacion]]))</f>
        <v/>
      </c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11" t="n"/>
      <c r="K879" s="3" t="n"/>
      <c r="L879" s="10" t="n"/>
      <c r="M879" s="6" t="n"/>
      <c r="N8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79" s="3">
        <f>IF(tblOrdenes[[#This Row],[fecha_inicio]]="","",YEAR(tblOrdenes[[#This Row],[fecha_inicio]]))</f>
        <v/>
      </c>
      <c r="R879" s="3">
        <f>IF(tblOrdenes[[#This Row],[fecha_inicio]]="","",MONTH(tblOrdenes[[#This Row],[fecha_inicio]]))</f>
        <v/>
      </c>
      <c r="S879" s="3">
        <f>IF(tblOrdenes[[#This Row],[fecha_inicio]]="","",INDEX(lista_dias,WEEKDAY(tblOrdenes[[#This Row],[fecha_inicio]],2)))</f>
        <v/>
      </c>
      <c r="T879" s="3">
        <f>IF(tblOrdenes[[#This Row],[tipo_ot]]="","",_xlfn.XLOOKUP(tblOrdenes[[#This Row],[tipo_ot]],tblTiposOT[codigo],tblTiposOT[clasificacion],"sin_clasificar"))</f>
        <v/>
      </c>
      <c r="U879" s="3">
        <f>IF(tblOrdenes[[#This Row],[centro_costo]]="","",_xlfn.XLOOKUP(tblOrdenes[[#This Row],[centro_costo]],tblCECO[codigo],tblCECO[linea],"(sin catálogo)"))</f>
        <v/>
      </c>
      <c r="V879" s="3">
        <f>IF(tblOrdenes[[#This Row],[centro_costo]]="","",_xlfn.XLOOKUP(tblOrdenes[[#This Row],[centro_costo]],tblCECO[codigo],tblCECO[area],"(sin catálogo)"))</f>
        <v/>
      </c>
      <c r="W879" s="3">
        <f>IF(tblOrdenes[[#This Row],[centro_costo]]="","",_xlfn.XLOOKUP(tblOrdenes[[#This Row],[centro_costo]],tblCECO[codigo],tblCECO[coordinador],"(sin catálogo)"))</f>
        <v/>
      </c>
      <c r="X879" s="3">
        <f>IF(tblOrdenes[[#This Row],[puesto_trabajo]]="","",_xlfn.XLOOKUP(tblOrdenes[[#This Row],[puesto_trabajo]],tblPuestos[codigo],tblPuestos[especialidad],"(sin catálogo)"))</f>
        <v/>
      </c>
      <c r="Y879" s="3">
        <f>IF(tblOrdenes[[#This Row],[cod_actividad]]="","",_xlfn.XLOOKUP(tblOrdenes[[#This Row],[cod_actividad]],tblActividades[codigo],tblActividades[descripcion],"(sin catálogo)"))</f>
        <v/>
      </c>
      <c r="Z879" s="12">
        <f>IF(tblOrdenes[[#This Row],[fecha_inicio]]="","",TODAY()-tblOrdenes[[#This Row],[fecha_inicio]])</f>
        <v/>
      </c>
      <c r="AA879" s="3">
        <f>IF(tblOrdenes[[#This Row],[backlog_dias]]="","",IF(tblOrdenes[[#This Row],[backlog_dias]]&lt;0,"FUTURO",IF(tblOrdenes[[#This Row],[backlog_dias]]&gt;p_dias_backlog_max,"BACKLOG","MES CORRIENTE")))</f>
        <v/>
      </c>
      <c r="AB879" s="3">
        <f>IF(tblOrdenes[[#This Row],[backlog_dias]]="",FALSE,AND(tblOrdenes[[#This Row],[backlog_dias]]&gt;p_dias_backlog_min,tblOrdenes[[#This Row],[backlog_dias]]&lt;=p_dias_backlog_max))</f>
        <v/>
      </c>
      <c r="AC879" s="6" t="n"/>
      <c r="AD8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79" s="10">
        <f>IF(tblOrdenes[[#This Row],[orden]]="","",_xlfn.XLOOKUP(tblOrdenes[[#This Row],[id_operacion]],tblEjecucion[id_operacion],tblEjecucion[precio],0))</f>
        <v/>
      </c>
      <c r="AH879" s="10">
        <f>IF(tblOrdenes[[#This Row],[orden]]="","",MAX(0,_xlfn.XLOOKUP(tblOrdenes[[#This Row],[id_operacion]],tblEjecucion[id_operacion],tblEjecucion[costo_plan_total],0)-tblOrdenes[[#This Row],[costo_servicio]]))</f>
        <v/>
      </c>
      <c r="AI879" s="10">
        <f>IF(tblOrdenes[[#This Row],[orden]]="","",tblOrdenes[[#This Row],[costo_servicio]]+tblOrdenes[[#This Row],[costo_materiales]])</f>
        <v/>
      </c>
      <c r="AJ879" s="6" t="n"/>
      <c r="AK879" s="6" t="n"/>
      <c r="AL879" s="6" t="n"/>
      <c r="AM879" s="3">
        <f>IF(tblOrdenes[[#This Row],[link_checklist]]="","",HYPERLINK(p_ruta_base_checklists&amp;tblOrdenes[[#This Row],[link_checklist]],"abrir"))</f>
        <v/>
      </c>
      <c r="AN879" s="6" t="n"/>
      <c r="AO879" s="3">
        <f>IF(tblOrdenes[[#This Row],[orden]]="","",tblOrdenes[[#This Row],[orden]]&amp;IF(tblOrdenes[[#This Row],[operacion]]="","0010",tblOrdenes[[#This Row],[operacion]]))</f>
        <v/>
      </c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11" t="n"/>
      <c r="K880" s="3" t="n"/>
      <c r="L880" s="10" t="n"/>
      <c r="M880" s="6" t="n"/>
      <c r="N8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80" s="3">
        <f>IF(tblOrdenes[[#This Row],[fecha_inicio]]="","",YEAR(tblOrdenes[[#This Row],[fecha_inicio]]))</f>
        <v/>
      </c>
      <c r="R880" s="3">
        <f>IF(tblOrdenes[[#This Row],[fecha_inicio]]="","",MONTH(tblOrdenes[[#This Row],[fecha_inicio]]))</f>
        <v/>
      </c>
      <c r="S880" s="3">
        <f>IF(tblOrdenes[[#This Row],[fecha_inicio]]="","",INDEX(lista_dias,WEEKDAY(tblOrdenes[[#This Row],[fecha_inicio]],2)))</f>
        <v/>
      </c>
      <c r="T880" s="3">
        <f>IF(tblOrdenes[[#This Row],[tipo_ot]]="","",_xlfn.XLOOKUP(tblOrdenes[[#This Row],[tipo_ot]],tblTiposOT[codigo],tblTiposOT[clasificacion],"sin_clasificar"))</f>
        <v/>
      </c>
      <c r="U880" s="3">
        <f>IF(tblOrdenes[[#This Row],[centro_costo]]="","",_xlfn.XLOOKUP(tblOrdenes[[#This Row],[centro_costo]],tblCECO[codigo],tblCECO[linea],"(sin catálogo)"))</f>
        <v/>
      </c>
      <c r="V880" s="3">
        <f>IF(tblOrdenes[[#This Row],[centro_costo]]="","",_xlfn.XLOOKUP(tblOrdenes[[#This Row],[centro_costo]],tblCECO[codigo],tblCECO[area],"(sin catálogo)"))</f>
        <v/>
      </c>
      <c r="W880" s="3">
        <f>IF(tblOrdenes[[#This Row],[centro_costo]]="","",_xlfn.XLOOKUP(tblOrdenes[[#This Row],[centro_costo]],tblCECO[codigo],tblCECO[coordinador],"(sin catálogo)"))</f>
        <v/>
      </c>
      <c r="X880" s="3">
        <f>IF(tblOrdenes[[#This Row],[puesto_trabajo]]="","",_xlfn.XLOOKUP(tblOrdenes[[#This Row],[puesto_trabajo]],tblPuestos[codigo],tblPuestos[especialidad],"(sin catálogo)"))</f>
        <v/>
      </c>
      <c r="Y880" s="3">
        <f>IF(tblOrdenes[[#This Row],[cod_actividad]]="","",_xlfn.XLOOKUP(tblOrdenes[[#This Row],[cod_actividad]],tblActividades[codigo],tblActividades[descripcion],"(sin catálogo)"))</f>
        <v/>
      </c>
      <c r="Z880" s="12">
        <f>IF(tblOrdenes[[#This Row],[fecha_inicio]]="","",TODAY()-tblOrdenes[[#This Row],[fecha_inicio]])</f>
        <v/>
      </c>
      <c r="AA880" s="3">
        <f>IF(tblOrdenes[[#This Row],[backlog_dias]]="","",IF(tblOrdenes[[#This Row],[backlog_dias]]&lt;0,"FUTURO",IF(tblOrdenes[[#This Row],[backlog_dias]]&gt;p_dias_backlog_max,"BACKLOG","MES CORRIENTE")))</f>
        <v/>
      </c>
      <c r="AB880" s="3">
        <f>IF(tblOrdenes[[#This Row],[backlog_dias]]="",FALSE,AND(tblOrdenes[[#This Row],[backlog_dias]]&gt;p_dias_backlog_min,tblOrdenes[[#This Row],[backlog_dias]]&lt;=p_dias_backlog_max))</f>
        <v/>
      </c>
      <c r="AC880" s="6" t="n"/>
      <c r="AD8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80" s="10">
        <f>IF(tblOrdenes[[#This Row],[orden]]="","",_xlfn.XLOOKUP(tblOrdenes[[#This Row],[id_operacion]],tblEjecucion[id_operacion],tblEjecucion[precio],0))</f>
        <v/>
      </c>
      <c r="AH880" s="10">
        <f>IF(tblOrdenes[[#This Row],[orden]]="","",MAX(0,_xlfn.XLOOKUP(tblOrdenes[[#This Row],[id_operacion]],tblEjecucion[id_operacion],tblEjecucion[costo_plan_total],0)-tblOrdenes[[#This Row],[costo_servicio]]))</f>
        <v/>
      </c>
      <c r="AI880" s="10">
        <f>IF(tblOrdenes[[#This Row],[orden]]="","",tblOrdenes[[#This Row],[costo_servicio]]+tblOrdenes[[#This Row],[costo_materiales]])</f>
        <v/>
      </c>
      <c r="AJ880" s="6" t="n"/>
      <c r="AK880" s="6" t="n"/>
      <c r="AL880" s="6" t="n"/>
      <c r="AM880" s="3">
        <f>IF(tblOrdenes[[#This Row],[link_checklist]]="","",HYPERLINK(p_ruta_base_checklists&amp;tblOrdenes[[#This Row],[link_checklist]],"abrir"))</f>
        <v/>
      </c>
      <c r="AN880" s="6" t="n"/>
      <c r="AO880" s="3">
        <f>IF(tblOrdenes[[#This Row],[orden]]="","",tblOrdenes[[#This Row],[orden]]&amp;IF(tblOrdenes[[#This Row],[operacion]]="","0010",tblOrdenes[[#This Row],[operacion]]))</f>
        <v/>
      </c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11" t="n"/>
      <c r="K881" s="3" t="n"/>
      <c r="L881" s="10" t="n"/>
      <c r="M881" s="6" t="n"/>
      <c r="N8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81" s="3">
        <f>IF(tblOrdenes[[#This Row],[fecha_inicio]]="","",YEAR(tblOrdenes[[#This Row],[fecha_inicio]]))</f>
        <v/>
      </c>
      <c r="R881" s="3">
        <f>IF(tblOrdenes[[#This Row],[fecha_inicio]]="","",MONTH(tblOrdenes[[#This Row],[fecha_inicio]]))</f>
        <v/>
      </c>
      <c r="S881" s="3">
        <f>IF(tblOrdenes[[#This Row],[fecha_inicio]]="","",INDEX(lista_dias,WEEKDAY(tblOrdenes[[#This Row],[fecha_inicio]],2)))</f>
        <v/>
      </c>
      <c r="T881" s="3">
        <f>IF(tblOrdenes[[#This Row],[tipo_ot]]="","",_xlfn.XLOOKUP(tblOrdenes[[#This Row],[tipo_ot]],tblTiposOT[codigo],tblTiposOT[clasificacion],"sin_clasificar"))</f>
        <v/>
      </c>
      <c r="U881" s="3">
        <f>IF(tblOrdenes[[#This Row],[centro_costo]]="","",_xlfn.XLOOKUP(tblOrdenes[[#This Row],[centro_costo]],tblCECO[codigo],tblCECO[linea],"(sin catálogo)"))</f>
        <v/>
      </c>
      <c r="V881" s="3">
        <f>IF(tblOrdenes[[#This Row],[centro_costo]]="","",_xlfn.XLOOKUP(tblOrdenes[[#This Row],[centro_costo]],tblCECO[codigo],tblCECO[area],"(sin catálogo)"))</f>
        <v/>
      </c>
      <c r="W881" s="3">
        <f>IF(tblOrdenes[[#This Row],[centro_costo]]="","",_xlfn.XLOOKUP(tblOrdenes[[#This Row],[centro_costo]],tblCECO[codigo],tblCECO[coordinador],"(sin catálogo)"))</f>
        <v/>
      </c>
      <c r="X881" s="3">
        <f>IF(tblOrdenes[[#This Row],[puesto_trabajo]]="","",_xlfn.XLOOKUP(tblOrdenes[[#This Row],[puesto_trabajo]],tblPuestos[codigo],tblPuestos[especialidad],"(sin catálogo)"))</f>
        <v/>
      </c>
      <c r="Y881" s="3">
        <f>IF(tblOrdenes[[#This Row],[cod_actividad]]="","",_xlfn.XLOOKUP(tblOrdenes[[#This Row],[cod_actividad]],tblActividades[codigo],tblActividades[descripcion],"(sin catálogo)"))</f>
        <v/>
      </c>
      <c r="Z881" s="12">
        <f>IF(tblOrdenes[[#This Row],[fecha_inicio]]="","",TODAY()-tblOrdenes[[#This Row],[fecha_inicio]])</f>
        <v/>
      </c>
      <c r="AA881" s="3">
        <f>IF(tblOrdenes[[#This Row],[backlog_dias]]="","",IF(tblOrdenes[[#This Row],[backlog_dias]]&lt;0,"FUTURO",IF(tblOrdenes[[#This Row],[backlog_dias]]&gt;p_dias_backlog_max,"BACKLOG","MES CORRIENTE")))</f>
        <v/>
      </c>
      <c r="AB881" s="3">
        <f>IF(tblOrdenes[[#This Row],[backlog_dias]]="",FALSE,AND(tblOrdenes[[#This Row],[backlog_dias]]&gt;p_dias_backlog_min,tblOrdenes[[#This Row],[backlog_dias]]&lt;=p_dias_backlog_max))</f>
        <v/>
      </c>
      <c r="AC881" s="6" t="n"/>
      <c r="AD8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81" s="10">
        <f>IF(tblOrdenes[[#This Row],[orden]]="","",_xlfn.XLOOKUP(tblOrdenes[[#This Row],[id_operacion]],tblEjecucion[id_operacion],tblEjecucion[precio],0))</f>
        <v/>
      </c>
      <c r="AH881" s="10">
        <f>IF(tblOrdenes[[#This Row],[orden]]="","",MAX(0,_xlfn.XLOOKUP(tblOrdenes[[#This Row],[id_operacion]],tblEjecucion[id_operacion],tblEjecucion[costo_plan_total],0)-tblOrdenes[[#This Row],[costo_servicio]]))</f>
        <v/>
      </c>
      <c r="AI881" s="10">
        <f>IF(tblOrdenes[[#This Row],[orden]]="","",tblOrdenes[[#This Row],[costo_servicio]]+tblOrdenes[[#This Row],[costo_materiales]])</f>
        <v/>
      </c>
      <c r="AJ881" s="6" t="n"/>
      <c r="AK881" s="6" t="n"/>
      <c r="AL881" s="6" t="n"/>
      <c r="AM881" s="3">
        <f>IF(tblOrdenes[[#This Row],[link_checklist]]="","",HYPERLINK(p_ruta_base_checklists&amp;tblOrdenes[[#This Row],[link_checklist]],"abrir"))</f>
        <v/>
      </c>
      <c r="AN881" s="6" t="n"/>
      <c r="AO881" s="3">
        <f>IF(tblOrdenes[[#This Row],[orden]]="","",tblOrdenes[[#This Row],[orden]]&amp;IF(tblOrdenes[[#This Row],[operacion]]="","0010",tblOrdenes[[#This Row],[operacion]]))</f>
        <v/>
      </c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11" t="n"/>
      <c r="K882" s="3" t="n"/>
      <c r="L882" s="10" t="n"/>
      <c r="M882" s="6" t="n"/>
      <c r="N8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82" s="3">
        <f>IF(tblOrdenes[[#This Row],[fecha_inicio]]="","",YEAR(tblOrdenes[[#This Row],[fecha_inicio]]))</f>
        <v/>
      </c>
      <c r="R882" s="3">
        <f>IF(tblOrdenes[[#This Row],[fecha_inicio]]="","",MONTH(tblOrdenes[[#This Row],[fecha_inicio]]))</f>
        <v/>
      </c>
      <c r="S882" s="3">
        <f>IF(tblOrdenes[[#This Row],[fecha_inicio]]="","",INDEX(lista_dias,WEEKDAY(tblOrdenes[[#This Row],[fecha_inicio]],2)))</f>
        <v/>
      </c>
      <c r="T882" s="3">
        <f>IF(tblOrdenes[[#This Row],[tipo_ot]]="","",_xlfn.XLOOKUP(tblOrdenes[[#This Row],[tipo_ot]],tblTiposOT[codigo],tblTiposOT[clasificacion],"sin_clasificar"))</f>
        <v/>
      </c>
      <c r="U882" s="3">
        <f>IF(tblOrdenes[[#This Row],[centro_costo]]="","",_xlfn.XLOOKUP(tblOrdenes[[#This Row],[centro_costo]],tblCECO[codigo],tblCECO[linea],"(sin catálogo)"))</f>
        <v/>
      </c>
      <c r="V882" s="3">
        <f>IF(tblOrdenes[[#This Row],[centro_costo]]="","",_xlfn.XLOOKUP(tblOrdenes[[#This Row],[centro_costo]],tblCECO[codigo],tblCECO[area],"(sin catálogo)"))</f>
        <v/>
      </c>
      <c r="W882" s="3">
        <f>IF(tblOrdenes[[#This Row],[centro_costo]]="","",_xlfn.XLOOKUP(tblOrdenes[[#This Row],[centro_costo]],tblCECO[codigo],tblCECO[coordinador],"(sin catálogo)"))</f>
        <v/>
      </c>
      <c r="X882" s="3">
        <f>IF(tblOrdenes[[#This Row],[puesto_trabajo]]="","",_xlfn.XLOOKUP(tblOrdenes[[#This Row],[puesto_trabajo]],tblPuestos[codigo],tblPuestos[especialidad],"(sin catálogo)"))</f>
        <v/>
      </c>
      <c r="Y882" s="3">
        <f>IF(tblOrdenes[[#This Row],[cod_actividad]]="","",_xlfn.XLOOKUP(tblOrdenes[[#This Row],[cod_actividad]],tblActividades[codigo],tblActividades[descripcion],"(sin catálogo)"))</f>
        <v/>
      </c>
      <c r="Z882" s="12">
        <f>IF(tblOrdenes[[#This Row],[fecha_inicio]]="","",TODAY()-tblOrdenes[[#This Row],[fecha_inicio]])</f>
        <v/>
      </c>
      <c r="AA882" s="3">
        <f>IF(tblOrdenes[[#This Row],[backlog_dias]]="","",IF(tblOrdenes[[#This Row],[backlog_dias]]&lt;0,"FUTURO",IF(tblOrdenes[[#This Row],[backlog_dias]]&gt;p_dias_backlog_max,"BACKLOG","MES CORRIENTE")))</f>
        <v/>
      </c>
      <c r="AB882" s="3">
        <f>IF(tblOrdenes[[#This Row],[backlog_dias]]="",FALSE,AND(tblOrdenes[[#This Row],[backlog_dias]]&gt;p_dias_backlog_min,tblOrdenes[[#This Row],[backlog_dias]]&lt;=p_dias_backlog_max))</f>
        <v/>
      </c>
      <c r="AC882" s="6" t="n"/>
      <c r="AD8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82" s="10">
        <f>IF(tblOrdenes[[#This Row],[orden]]="","",_xlfn.XLOOKUP(tblOrdenes[[#This Row],[id_operacion]],tblEjecucion[id_operacion],tblEjecucion[precio],0))</f>
        <v/>
      </c>
      <c r="AH882" s="10">
        <f>IF(tblOrdenes[[#This Row],[orden]]="","",MAX(0,_xlfn.XLOOKUP(tblOrdenes[[#This Row],[id_operacion]],tblEjecucion[id_operacion],tblEjecucion[costo_plan_total],0)-tblOrdenes[[#This Row],[costo_servicio]]))</f>
        <v/>
      </c>
      <c r="AI882" s="10">
        <f>IF(tblOrdenes[[#This Row],[orden]]="","",tblOrdenes[[#This Row],[costo_servicio]]+tblOrdenes[[#This Row],[costo_materiales]])</f>
        <v/>
      </c>
      <c r="AJ882" s="6" t="n"/>
      <c r="AK882" s="6" t="n"/>
      <c r="AL882" s="6" t="n"/>
      <c r="AM882" s="3">
        <f>IF(tblOrdenes[[#This Row],[link_checklist]]="","",HYPERLINK(p_ruta_base_checklists&amp;tblOrdenes[[#This Row],[link_checklist]],"abrir"))</f>
        <v/>
      </c>
      <c r="AN882" s="6" t="n"/>
      <c r="AO882" s="3">
        <f>IF(tblOrdenes[[#This Row],[orden]]="","",tblOrdenes[[#This Row],[orden]]&amp;IF(tblOrdenes[[#This Row],[operacion]]="","0010",tblOrdenes[[#This Row],[operacion]]))</f>
        <v/>
      </c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11" t="n"/>
      <c r="K883" s="3" t="n"/>
      <c r="L883" s="10" t="n"/>
      <c r="M883" s="6" t="n"/>
      <c r="N8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83" s="3">
        <f>IF(tblOrdenes[[#This Row],[fecha_inicio]]="","",YEAR(tblOrdenes[[#This Row],[fecha_inicio]]))</f>
        <v/>
      </c>
      <c r="R883" s="3">
        <f>IF(tblOrdenes[[#This Row],[fecha_inicio]]="","",MONTH(tblOrdenes[[#This Row],[fecha_inicio]]))</f>
        <v/>
      </c>
      <c r="S883" s="3">
        <f>IF(tblOrdenes[[#This Row],[fecha_inicio]]="","",INDEX(lista_dias,WEEKDAY(tblOrdenes[[#This Row],[fecha_inicio]],2)))</f>
        <v/>
      </c>
      <c r="T883" s="3">
        <f>IF(tblOrdenes[[#This Row],[tipo_ot]]="","",_xlfn.XLOOKUP(tblOrdenes[[#This Row],[tipo_ot]],tblTiposOT[codigo],tblTiposOT[clasificacion],"sin_clasificar"))</f>
        <v/>
      </c>
      <c r="U883" s="3">
        <f>IF(tblOrdenes[[#This Row],[centro_costo]]="","",_xlfn.XLOOKUP(tblOrdenes[[#This Row],[centro_costo]],tblCECO[codigo],tblCECO[linea],"(sin catálogo)"))</f>
        <v/>
      </c>
      <c r="V883" s="3">
        <f>IF(tblOrdenes[[#This Row],[centro_costo]]="","",_xlfn.XLOOKUP(tblOrdenes[[#This Row],[centro_costo]],tblCECO[codigo],tblCECO[area],"(sin catálogo)"))</f>
        <v/>
      </c>
      <c r="W883" s="3">
        <f>IF(tblOrdenes[[#This Row],[centro_costo]]="","",_xlfn.XLOOKUP(tblOrdenes[[#This Row],[centro_costo]],tblCECO[codigo],tblCECO[coordinador],"(sin catálogo)"))</f>
        <v/>
      </c>
      <c r="X883" s="3">
        <f>IF(tblOrdenes[[#This Row],[puesto_trabajo]]="","",_xlfn.XLOOKUP(tblOrdenes[[#This Row],[puesto_trabajo]],tblPuestos[codigo],tblPuestos[especialidad],"(sin catálogo)"))</f>
        <v/>
      </c>
      <c r="Y883" s="3">
        <f>IF(tblOrdenes[[#This Row],[cod_actividad]]="","",_xlfn.XLOOKUP(tblOrdenes[[#This Row],[cod_actividad]],tblActividades[codigo],tblActividades[descripcion],"(sin catálogo)"))</f>
        <v/>
      </c>
      <c r="Z883" s="12">
        <f>IF(tblOrdenes[[#This Row],[fecha_inicio]]="","",TODAY()-tblOrdenes[[#This Row],[fecha_inicio]])</f>
        <v/>
      </c>
      <c r="AA883" s="3">
        <f>IF(tblOrdenes[[#This Row],[backlog_dias]]="","",IF(tblOrdenes[[#This Row],[backlog_dias]]&lt;0,"FUTURO",IF(tblOrdenes[[#This Row],[backlog_dias]]&gt;p_dias_backlog_max,"BACKLOG","MES CORRIENTE")))</f>
        <v/>
      </c>
      <c r="AB883" s="3">
        <f>IF(tblOrdenes[[#This Row],[backlog_dias]]="",FALSE,AND(tblOrdenes[[#This Row],[backlog_dias]]&gt;p_dias_backlog_min,tblOrdenes[[#This Row],[backlog_dias]]&lt;=p_dias_backlog_max))</f>
        <v/>
      </c>
      <c r="AC883" s="6" t="n"/>
      <c r="AD8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83" s="10">
        <f>IF(tblOrdenes[[#This Row],[orden]]="","",_xlfn.XLOOKUP(tblOrdenes[[#This Row],[id_operacion]],tblEjecucion[id_operacion],tblEjecucion[precio],0))</f>
        <v/>
      </c>
      <c r="AH883" s="10">
        <f>IF(tblOrdenes[[#This Row],[orden]]="","",MAX(0,_xlfn.XLOOKUP(tblOrdenes[[#This Row],[id_operacion]],tblEjecucion[id_operacion],tblEjecucion[costo_plan_total],0)-tblOrdenes[[#This Row],[costo_servicio]]))</f>
        <v/>
      </c>
      <c r="AI883" s="10">
        <f>IF(tblOrdenes[[#This Row],[orden]]="","",tblOrdenes[[#This Row],[costo_servicio]]+tblOrdenes[[#This Row],[costo_materiales]])</f>
        <v/>
      </c>
      <c r="AJ883" s="6" t="n"/>
      <c r="AK883" s="6" t="n"/>
      <c r="AL883" s="6" t="n"/>
      <c r="AM883" s="3">
        <f>IF(tblOrdenes[[#This Row],[link_checklist]]="","",HYPERLINK(p_ruta_base_checklists&amp;tblOrdenes[[#This Row],[link_checklist]],"abrir"))</f>
        <v/>
      </c>
      <c r="AN883" s="6" t="n"/>
      <c r="AO883" s="3">
        <f>IF(tblOrdenes[[#This Row],[orden]]="","",tblOrdenes[[#This Row],[orden]]&amp;IF(tblOrdenes[[#This Row],[operacion]]="","0010",tblOrdenes[[#This Row],[operacion]]))</f>
        <v/>
      </c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11" t="n"/>
      <c r="K884" s="3" t="n"/>
      <c r="L884" s="10" t="n"/>
      <c r="M884" s="6" t="n"/>
      <c r="N8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84" s="3">
        <f>IF(tblOrdenes[[#This Row],[fecha_inicio]]="","",YEAR(tblOrdenes[[#This Row],[fecha_inicio]]))</f>
        <v/>
      </c>
      <c r="R884" s="3">
        <f>IF(tblOrdenes[[#This Row],[fecha_inicio]]="","",MONTH(tblOrdenes[[#This Row],[fecha_inicio]]))</f>
        <v/>
      </c>
      <c r="S884" s="3">
        <f>IF(tblOrdenes[[#This Row],[fecha_inicio]]="","",INDEX(lista_dias,WEEKDAY(tblOrdenes[[#This Row],[fecha_inicio]],2)))</f>
        <v/>
      </c>
      <c r="T884" s="3">
        <f>IF(tblOrdenes[[#This Row],[tipo_ot]]="","",_xlfn.XLOOKUP(tblOrdenes[[#This Row],[tipo_ot]],tblTiposOT[codigo],tblTiposOT[clasificacion],"sin_clasificar"))</f>
        <v/>
      </c>
      <c r="U884" s="3">
        <f>IF(tblOrdenes[[#This Row],[centro_costo]]="","",_xlfn.XLOOKUP(tblOrdenes[[#This Row],[centro_costo]],tblCECO[codigo],tblCECO[linea],"(sin catálogo)"))</f>
        <v/>
      </c>
      <c r="V884" s="3">
        <f>IF(tblOrdenes[[#This Row],[centro_costo]]="","",_xlfn.XLOOKUP(tblOrdenes[[#This Row],[centro_costo]],tblCECO[codigo],tblCECO[area],"(sin catálogo)"))</f>
        <v/>
      </c>
      <c r="W884" s="3">
        <f>IF(tblOrdenes[[#This Row],[centro_costo]]="","",_xlfn.XLOOKUP(tblOrdenes[[#This Row],[centro_costo]],tblCECO[codigo],tblCECO[coordinador],"(sin catálogo)"))</f>
        <v/>
      </c>
      <c r="X884" s="3">
        <f>IF(tblOrdenes[[#This Row],[puesto_trabajo]]="","",_xlfn.XLOOKUP(tblOrdenes[[#This Row],[puesto_trabajo]],tblPuestos[codigo],tblPuestos[especialidad],"(sin catálogo)"))</f>
        <v/>
      </c>
      <c r="Y884" s="3">
        <f>IF(tblOrdenes[[#This Row],[cod_actividad]]="","",_xlfn.XLOOKUP(tblOrdenes[[#This Row],[cod_actividad]],tblActividades[codigo],tblActividades[descripcion],"(sin catálogo)"))</f>
        <v/>
      </c>
      <c r="Z884" s="12">
        <f>IF(tblOrdenes[[#This Row],[fecha_inicio]]="","",TODAY()-tblOrdenes[[#This Row],[fecha_inicio]])</f>
        <v/>
      </c>
      <c r="AA884" s="3">
        <f>IF(tblOrdenes[[#This Row],[backlog_dias]]="","",IF(tblOrdenes[[#This Row],[backlog_dias]]&lt;0,"FUTURO",IF(tblOrdenes[[#This Row],[backlog_dias]]&gt;p_dias_backlog_max,"BACKLOG","MES CORRIENTE")))</f>
        <v/>
      </c>
      <c r="AB884" s="3">
        <f>IF(tblOrdenes[[#This Row],[backlog_dias]]="",FALSE,AND(tblOrdenes[[#This Row],[backlog_dias]]&gt;p_dias_backlog_min,tblOrdenes[[#This Row],[backlog_dias]]&lt;=p_dias_backlog_max))</f>
        <v/>
      </c>
      <c r="AC884" s="6" t="n"/>
      <c r="AD8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84" s="10">
        <f>IF(tblOrdenes[[#This Row],[orden]]="","",_xlfn.XLOOKUP(tblOrdenes[[#This Row],[id_operacion]],tblEjecucion[id_operacion],tblEjecucion[precio],0))</f>
        <v/>
      </c>
      <c r="AH884" s="10">
        <f>IF(tblOrdenes[[#This Row],[orden]]="","",MAX(0,_xlfn.XLOOKUP(tblOrdenes[[#This Row],[id_operacion]],tblEjecucion[id_operacion],tblEjecucion[costo_plan_total],0)-tblOrdenes[[#This Row],[costo_servicio]]))</f>
        <v/>
      </c>
      <c r="AI884" s="10">
        <f>IF(tblOrdenes[[#This Row],[orden]]="","",tblOrdenes[[#This Row],[costo_servicio]]+tblOrdenes[[#This Row],[costo_materiales]])</f>
        <v/>
      </c>
      <c r="AJ884" s="6" t="n"/>
      <c r="AK884" s="6" t="n"/>
      <c r="AL884" s="6" t="n"/>
      <c r="AM884" s="3">
        <f>IF(tblOrdenes[[#This Row],[link_checklist]]="","",HYPERLINK(p_ruta_base_checklists&amp;tblOrdenes[[#This Row],[link_checklist]],"abrir"))</f>
        <v/>
      </c>
      <c r="AN884" s="6" t="n"/>
      <c r="AO884" s="3">
        <f>IF(tblOrdenes[[#This Row],[orden]]="","",tblOrdenes[[#This Row],[orden]]&amp;IF(tblOrdenes[[#This Row],[operacion]]="","0010",tblOrdenes[[#This Row],[operacion]]))</f>
        <v/>
      </c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11" t="n"/>
      <c r="K885" s="3" t="n"/>
      <c r="L885" s="10" t="n"/>
      <c r="M885" s="6" t="n"/>
      <c r="N8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85" s="3">
        <f>IF(tblOrdenes[[#This Row],[fecha_inicio]]="","",YEAR(tblOrdenes[[#This Row],[fecha_inicio]]))</f>
        <v/>
      </c>
      <c r="R885" s="3">
        <f>IF(tblOrdenes[[#This Row],[fecha_inicio]]="","",MONTH(tblOrdenes[[#This Row],[fecha_inicio]]))</f>
        <v/>
      </c>
      <c r="S885" s="3">
        <f>IF(tblOrdenes[[#This Row],[fecha_inicio]]="","",INDEX(lista_dias,WEEKDAY(tblOrdenes[[#This Row],[fecha_inicio]],2)))</f>
        <v/>
      </c>
      <c r="T885" s="3">
        <f>IF(tblOrdenes[[#This Row],[tipo_ot]]="","",_xlfn.XLOOKUP(tblOrdenes[[#This Row],[tipo_ot]],tblTiposOT[codigo],tblTiposOT[clasificacion],"sin_clasificar"))</f>
        <v/>
      </c>
      <c r="U885" s="3">
        <f>IF(tblOrdenes[[#This Row],[centro_costo]]="","",_xlfn.XLOOKUP(tblOrdenes[[#This Row],[centro_costo]],tblCECO[codigo],tblCECO[linea],"(sin catálogo)"))</f>
        <v/>
      </c>
      <c r="V885" s="3">
        <f>IF(tblOrdenes[[#This Row],[centro_costo]]="","",_xlfn.XLOOKUP(tblOrdenes[[#This Row],[centro_costo]],tblCECO[codigo],tblCECO[area],"(sin catálogo)"))</f>
        <v/>
      </c>
      <c r="W885" s="3">
        <f>IF(tblOrdenes[[#This Row],[centro_costo]]="","",_xlfn.XLOOKUP(tblOrdenes[[#This Row],[centro_costo]],tblCECO[codigo],tblCECO[coordinador],"(sin catálogo)"))</f>
        <v/>
      </c>
      <c r="X885" s="3">
        <f>IF(tblOrdenes[[#This Row],[puesto_trabajo]]="","",_xlfn.XLOOKUP(tblOrdenes[[#This Row],[puesto_trabajo]],tblPuestos[codigo],tblPuestos[especialidad],"(sin catálogo)"))</f>
        <v/>
      </c>
      <c r="Y885" s="3">
        <f>IF(tblOrdenes[[#This Row],[cod_actividad]]="","",_xlfn.XLOOKUP(tblOrdenes[[#This Row],[cod_actividad]],tblActividades[codigo],tblActividades[descripcion],"(sin catálogo)"))</f>
        <v/>
      </c>
      <c r="Z885" s="12">
        <f>IF(tblOrdenes[[#This Row],[fecha_inicio]]="","",TODAY()-tblOrdenes[[#This Row],[fecha_inicio]])</f>
        <v/>
      </c>
      <c r="AA885" s="3">
        <f>IF(tblOrdenes[[#This Row],[backlog_dias]]="","",IF(tblOrdenes[[#This Row],[backlog_dias]]&lt;0,"FUTURO",IF(tblOrdenes[[#This Row],[backlog_dias]]&gt;p_dias_backlog_max,"BACKLOG","MES CORRIENTE")))</f>
        <v/>
      </c>
      <c r="AB885" s="3">
        <f>IF(tblOrdenes[[#This Row],[backlog_dias]]="",FALSE,AND(tblOrdenes[[#This Row],[backlog_dias]]&gt;p_dias_backlog_min,tblOrdenes[[#This Row],[backlog_dias]]&lt;=p_dias_backlog_max))</f>
        <v/>
      </c>
      <c r="AC885" s="6" t="n"/>
      <c r="AD8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85" s="10">
        <f>IF(tblOrdenes[[#This Row],[orden]]="","",_xlfn.XLOOKUP(tblOrdenes[[#This Row],[id_operacion]],tblEjecucion[id_operacion],tblEjecucion[precio],0))</f>
        <v/>
      </c>
      <c r="AH885" s="10">
        <f>IF(tblOrdenes[[#This Row],[orden]]="","",MAX(0,_xlfn.XLOOKUP(tblOrdenes[[#This Row],[id_operacion]],tblEjecucion[id_operacion],tblEjecucion[costo_plan_total],0)-tblOrdenes[[#This Row],[costo_servicio]]))</f>
        <v/>
      </c>
      <c r="AI885" s="10">
        <f>IF(tblOrdenes[[#This Row],[orden]]="","",tblOrdenes[[#This Row],[costo_servicio]]+tblOrdenes[[#This Row],[costo_materiales]])</f>
        <v/>
      </c>
      <c r="AJ885" s="6" t="n"/>
      <c r="AK885" s="6" t="n"/>
      <c r="AL885" s="6" t="n"/>
      <c r="AM885" s="3">
        <f>IF(tblOrdenes[[#This Row],[link_checklist]]="","",HYPERLINK(p_ruta_base_checklists&amp;tblOrdenes[[#This Row],[link_checklist]],"abrir"))</f>
        <v/>
      </c>
      <c r="AN885" s="6" t="n"/>
      <c r="AO885" s="3">
        <f>IF(tblOrdenes[[#This Row],[orden]]="","",tblOrdenes[[#This Row],[orden]]&amp;IF(tblOrdenes[[#This Row],[operacion]]="","0010",tblOrdenes[[#This Row],[operacion]]))</f>
        <v/>
      </c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11" t="n"/>
      <c r="K886" s="3" t="n"/>
      <c r="L886" s="10" t="n"/>
      <c r="M886" s="6" t="n"/>
      <c r="N8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86" s="3">
        <f>IF(tblOrdenes[[#This Row],[fecha_inicio]]="","",YEAR(tblOrdenes[[#This Row],[fecha_inicio]]))</f>
        <v/>
      </c>
      <c r="R886" s="3">
        <f>IF(tblOrdenes[[#This Row],[fecha_inicio]]="","",MONTH(tblOrdenes[[#This Row],[fecha_inicio]]))</f>
        <v/>
      </c>
      <c r="S886" s="3">
        <f>IF(tblOrdenes[[#This Row],[fecha_inicio]]="","",INDEX(lista_dias,WEEKDAY(tblOrdenes[[#This Row],[fecha_inicio]],2)))</f>
        <v/>
      </c>
      <c r="T886" s="3">
        <f>IF(tblOrdenes[[#This Row],[tipo_ot]]="","",_xlfn.XLOOKUP(tblOrdenes[[#This Row],[tipo_ot]],tblTiposOT[codigo],tblTiposOT[clasificacion],"sin_clasificar"))</f>
        <v/>
      </c>
      <c r="U886" s="3">
        <f>IF(tblOrdenes[[#This Row],[centro_costo]]="","",_xlfn.XLOOKUP(tblOrdenes[[#This Row],[centro_costo]],tblCECO[codigo],tblCECO[linea],"(sin catálogo)"))</f>
        <v/>
      </c>
      <c r="V886" s="3">
        <f>IF(tblOrdenes[[#This Row],[centro_costo]]="","",_xlfn.XLOOKUP(tblOrdenes[[#This Row],[centro_costo]],tblCECO[codigo],tblCECO[area],"(sin catálogo)"))</f>
        <v/>
      </c>
      <c r="W886" s="3">
        <f>IF(tblOrdenes[[#This Row],[centro_costo]]="","",_xlfn.XLOOKUP(tblOrdenes[[#This Row],[centro_costo]],tblCECO[codigo],tblCECO[coordinador],"(sin catálogo)"))</f>
        <v/>
      </c>
      <c r="X886" s="3">
        <f>IF(tblOrdenes[[#This Row],[puesto_trabajo]]="","",_xlfn.XLOOKUP(tblOrdenes[[#This Row],[puesto_trabajo]],tblPuestos[codigo],tblPuestos[especialidad],"(sin catálogo)"))</f>
        <v/>
      </c>
      <c r="Y886" s="3">
        <f>IF(tblOrdenes[[#This Row],[cod_actividad]]="","",_xlfn.XLOOKUP(tblOrdenes[[#This Row],[cod_actividad]],tblActividades[codigo],tblActividades[descripcion],"(sin catálogo)"))</f>
        <v/>
      </c>
      <c r="Z886" s="12">
        <f>IF(tblOrdenes[[#This Row],[fecha_inicio]]="","",TODAY()-tblOrdenes[[#This Row],[fecha_inicio]])</f>
        <v/>
      </c>
      <c r="AA886" s="3">
        <f>IF(tblOrdenes[[#This Row],[backlog_dias]]="","",IF(tblOrdenes[[#This Row],[backlog_dias]]&lt;0,"FUTURO",IF(tblOrdenes[[#This Row],[backlog_dias]]&gt;p_dias_backlog_max,"BACKLOG","MES CORRIENTE")))</f>
        <v/>
      </c>
      <c r="AB886" s="3">
        <f>IF(tblOrdenes[[#This Row],[backlog_dias]]="",FALSE,AND(tblOrdenes[[#This Row],[backlog_dias]]&gt;p_dias_backlog_min,tblOrdenes[[#This Row],[backlog_dias]]&lt;=p_dias_backlog_max))</f>
        <v/>
      </c>
      <c r="AC886" s="6" t="n"/>
      <c r="AD8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86" s="10">
        <f>IF(tblOrdenes[[#This Row],[orden]]="","",_xlfn.XLOOKUP(tblOrdenes[[#This Row],[id_operacion]],tblEjecucion[id_operacion],tblEjecucion[precio],0))</f>
        <v/>
      </c>
      <c r="AH886" s="10">
        <f>IF(tblOrdenes[[#This Row],[orden]]="","",MAX(0,_xlfn.XLOOKUP(tblOrdenes[[#This Row],[id_operacion]],tblEjecucion[id_operacion],tblEjecucion[costo_plan_total],0)-tblOrdenes[[#This Row],[costo_servicio]]))</f>
        <v/>
      </c>
      <c r="AI886" s="10">
        <f>IF(tblOrdenes[[#This Row],[orden]]="","",tblOrdenes[[#This Row],[costo_servicio]]+tblOrdenes[[#This Row],[costo_materiales]])</f>
        <v/>
      </c>
      <c r="AJ886" s="6" t="n"/>
      <c r="AK886" s="6" t="n"/>
      <c r="AL886" s="6" t="n"/>
      <c r="AM886" s="3">
        <f>IF(tblOrdenes[[#This Row],[link_checklist]]="","",HYPERLINK(p_ruta_base_checklists&amp;tblOrdenes[[#This Row],[link_checklist]],"abrir"))</f>
        <v/>
      </c>
      <c r="AN886" s="6" t="n"/>
      <c r="AO886" s="3">
        <f>IF(tblOrdenes[[#This Row],[orden]]="","",tblOrdenes[[#This Row],[orden]]&amp;IF(tblOrdenes[[#This Row],[operacion]]="","0010",tblOrdenes[[#This Row],[operacion]]))</f>
        <v/>
      </c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11" t="n"/>
      <c r="K887" s="3" t="n"/>
      <c r="L887" s="10" t="n"/>
      <c r="M887" s="6" t="n"/>
      <c r="N8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87" s="3">
        <f>IF(tblOrdenes[[#This Row],[fecha_inicio]]="","",YEAR(tblOrdenes[[#This Row],[fecha_inicio]]))</f>
        <v/>
      </c>
      <c r="R887" s="3">
        <f>IF(tblOrdenes[[#This Row],[fecha_inicio]]="","",MONTH(tblOrdenes[[#This Row],[fecha_inicio]]))</f>
        <v/>
      </c>
      <c r="S887" s="3">
        <f>IF(tblOrdenes[[#This Row],[fecha_inicio]]="","",INDEX(lista_dias,WEEKDAY(tblOrdenes[[#This Row],[fecha_inicio]],2)))</f>
        <v/>
      </c>
      <c r="T887" s="3">
        <f>IF(tblOrdenes[[#This Row],[tipo_ot]]="","",_xlfn.XLOOKUP(tblOrdenes[[#This Row],[tipo_ot]],tblTiposOT[codigo],tblTiposOT[clasificacion],"sin_clasificar"))</f>
        <v/>
      </c>
      <c r="U887" s="3">
        <f>IF(tblOrdenes[[#This Row],[centro_costo]]="","",_xlfn.XLOOKUP(tblOrdenes[[#This Row],[centro_costo]],tblCECO[codigo],tblCECO[linea],"(sin catálogo)"))</f>
        <v/>
      </c>
      <c r="V887" s="3">
        <f>IF(tblOrdenes[[#This Row],[centro_costo]]="","",_xlfn.XLOOKUP(tblOrdenes[[#This Row],[centro_costo]],tblCECO[codigo],tblCECO[area],"(sin catálogo)"))</f>
        <v/>
      </c>
      <c r="W887" s="3">
        <f>IF(tblOrdenes[[#This Row],[centro_costo]]="","",_xlfn.XLOOKUP(tblOrdenes[[#This Row],[centro_costo]],tblCECO[codigo],tblCECO[coordinador],"(sin catálogo)"))</f>
        <v/>
      </c>
      <c r="X887" s="3">
        <f>IF(tblOrdenes[[#This Row],[puesto_trabajo]]="","",_xlfn.XLOOKUP(tblOrdenes[[#This Row],[puesto_trabajo]],tblPuestos[codigo],tblPuestos[especialidad],"(sin catálogo)"))</f>
        <v/>
      </c>
      <c r="Y887" s="3">
        <f>IF(tblOrdenes[[#This Row],[cod_actividad]]="","",_xlfn.XLOOKUP(tblOrdenes[[#This Row],[cod_actividad]],tblActividades[codigo],tblActividades[descripcion],"(sin catálogo)"))</f>
        <v/>
      </c>
      <c r="Z887" s="12">
        <f>IF(tblOrdenes[[#This Row],[fecha_inicio]]="","",TODAY()-tblOrdenes[[#This Row],[fecha_inicio]])</f>
        <v/>
      </c>
      <c r="AA887" s="3">
        <f>IF(tblOrdenes[[#This Row],[backlog_dias]]="","",IF(tblOrdenes[[#This Row],[backlog_dias]]&lt;0,"FUTURO",IF(tblOrdenes[[#This Row],[backlog_dias]]&gt;p_dias_backlog_max,"BACKLOG","MES CORRIENTE")))</f>
        <v/>
      </c>
      <c r="AB887" s="3">
        <f>IF(tblOrdenes[[#This Row],[backlog_dias]]="",FALSE,AND(tblOrdenes[[#This Row],[backlog_dias]]&gt;p_dias_backlog_min,tblOrdenes[[#This Row],[backlog_dias]]&lt;=p_dias_backlog_max))</f>
        <v/>
      </c>
      <c r="AC887" s="6" t="n"/>
      <c r="AD8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87" s="10">
        <f>IF(tblOrdenes[[#This Row],[orden]]="","",_xlfn.XLOOKUP(tblOrdenes[[#This Row],[id_operacion]],tblEjecucion[id_operacion],tblEjecucion[precio],0))</f>
        <v/>
      </c>
      <c r="AH887" s="10">
        <f>IF(tblOrdenes[[#This Row],[orden]]="","",MAX(0,_xlfn.XLOOKUP(tblOrdenes[[#This Row],[id_operacion]],tblEjecucion[id_operacion],tblEjecucion[costo_plan_total],0)-tblOrdenes[[#This Row],[costo_servicio]]))</f>
        <v/>
      </c>
      <c r="AI887" s="10">
        <f>IF(tblOrdenes[[#This Row],[orden]]="","",tblOrdenes[[#This Row],[costo_servicio]]+tblOrdenes[[#This Row],[costo_materiales]])</f>
        <v/>
      </c>
      <c r="AJ887" s="6" t="n"/>
      <c r="AK887" s="6" t="n"/>
      <c r="AL887" s="6" t="n"/>
      <c r="AM887" s="3">
        <f>IF(tblOrdenes[[#This Row],[link_checklist]]="","",HYPERLINK(p_ruta_base_checklists&amp;tblOrdenes[[#This Row],[link_checklist]],"abrir"))</f>
        <v/>
      </c>
      <c r="AN887" s="6" t="n"/>
      <c r="AO887" s="3">
        <f>IF(tblOrdenes[[#This Row],[orden]]="","",tblOrdenes[[#This Row],[orden]]&amp;IF(tblOrdenes[[#This Row],[operacion]]="","0010",tblOrdenes[[#This Row],[operacion]]))</f>
        <v/>
      </c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11" t="n"/>
      <c r="K888" s="3" t="n"/>
      <c r="L888" s="10" t="n"/>
      <c r="M888" s="6" t="n"/>
      <c r="N8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88" s="3">
        <f>IF(tblOrdenes[[#This Row],[fecha_inicio]]="","",YEAR(tblOrdenes[[#This Row],[fecha_inicio]]))</f>
        <v/>
      </c>
      <c r="R888" s="3">
        <f>IF(tblOrdenes[[#This Row],[fecha_inicio]]="","",MONTH(tblOrdenes[[#This Row],[fecha_inicio]]))</f>
        <v/>
      </c>
      <c r="S888" s="3">
        <f>IF(tblOrdenes[[#This Row],[fecha_inicio]]="","",INDEX(lista_dias,WEEKDAY(tblOrdenes[[#This Row],[fecha_inicio]],2)))</f>
        <v/>
      </c>
      <c r="T888" s="3">
        <f>IF(tblOrdenes[[#This Row],[tipo_ot]]="","",_xlfn.XLOOKUP(tblOrdenes[[#This Row],[tipo_ot]],tblTiposOT[codigo],tblTiposOT[clasificacion],"sin_clasificar"))</f>
        <v/>
      </c>
      <c r="U888" s="3">
        <f>IF(tblOrdenes[[#This Row],[centro_costo]]="","",_xlfn.XLOOKUP(tblOrdenes[[#This Row],[centro_costo]],tblCECO[codigo],tblCECO[linea],"(sin catálogo)"))</f>
        <v/>
      </c>
      <c r="V888" s="3">
        <f>IF(tblOrdenes[[#This Row],[centro_costo]]="","",_xlfn.XLOOKUP(tblOrdenes[[#This Row],[centro_costo]],tblCECO[codigo],tblCECO[area],"(sin catálogo)"))</f>
        <v/>
      </c>
      <c r="W888" s="3">
        <f>IF(tblOrdenes[[#This Row],[centro_costo]]="","",_xlfn.XLOOKUP(tblOrdenes[[#This Row],[centro_costo]],tblCECO[codigo],tblCECO[coordinador],"(sin catálogo)"))</f>
        <v/>
      </c>
      <c r="X888" s="3">
        <f>IF(tblOrdenes[[#This Row],[puesto_trabajo]]="","",_xlfn.XLOOKUP(tblOrdenes[[#This Row],[puesto_trabajo]],tblPuestos[codigo],tblPuestos[especialidad],"(sin catálogo)"))</f>
        <v/>
      </c>
      <c r="Y888" s="3">
        <f>IF(tblOrdenes[[#This Row],[cod_actividad]]="","",_xlfn.XLOOKUP(tblOrdenes[[#This Row],[cod_actividad]],tblActividades[codigo],tblActividades[descripcion],"(sin catálogo)"))</f>
        <v/>
      </c>
      <c r="Z888" s="12">
        <f>IF(tblOrdenes[[#This Row],[fecha_inicio]]="","",TODAY()-tblOrdenes[[#This Row],[fecha_inicio]])</f>
        <v/>
      </c>
      <c r="AA888" s="3">
        <f>IF(tblOrdenes[[#This Row],[backlog_dias]]="","",IF(tblOrdenes[[#This Row],[backlog_dias]]&lt;0,"FUTURO",IF(tblOrdenes[[#This Row],[backlog_dias]]&gt;p_dias_backlog_max,"BACKLOG","MES CORRIENTE")))</f>
        <v/>
      </c>
      <c r="AB888" s="3">
        <f>IF(tblOrdenes[[#This Row],[backlog_dias]]="",FALSE,AND(tblOrdenes[[#This Row],[backlog_dias]]&gt;p_dias_backlog_min,tblOrdenes[[#This Row],[backlog_dias]]&lt;=p_dias_backlog_max))</f>
        <v/>
      </c>
      <c r="AC888" s="6" t="n"/>
      <c r="AD8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88" s="10">
        <f>IF(tblOrdenes[[#This Row],[orden]]="","",_xlfn.XLOOKUP(tblOrdenes[[#This Row],[id_operacion]],tblEjecucion[id_operacion],tblEjecucion[precio],0))</f>
        <v/>
      </c>
      <c r="AH888" s="10">
        <f>IF(tblOrdenes[[#This Row],[orden]]="","",MAX(0,_xlfn.XLOOKUP(tblOrdenes[[#This Row],[id_operacion]],tblEjecucion[id_operacion],tblEjecucion[costo_plan_total],0)-tblOrdenes[[#This Row],[costo_servicio]]))</f>
        <v/>
      </c>
      <c r="AI888" s="10">
        <f>IF(tblOrdenes[[#This Row],[orden]]="","",tblOrdenes[[#This Row],[costo_servicio]]+tblOrdenes[[#This Row],[costo_materiales]])</f>
        <v/>
      </c>
      <c r="AJ888" s="6" t="n"/>
      <c r="AK888" s="6" t="n"/>
      <c r="AL888" s="6" t="n"/>
      <c r="AM888" s="3">
        <f>IF(tblOrdenes[[#This Row],[link_checklist]]="","",HYPERLINK(p_ruta_base_checklists&amp;tblOrdenes[[#This Row],[link_checklist]],"abrir"))</f>
        <v/>
      </c>
      <c r="AN888" s="6" t="n"/>
      <c r="AO888" s="3">
        <f>IF(tblOrdenes[[#This Row],[orden]]="","",tblOrdenes[[#This Row],[orden]]&amp;IF(tblOrdenes[[#This Row],[operacion]]="","0010",tblOrdenes[[#This Row],[operacion]]))</f>
        <v/>
      </c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11" t="n"/>
      <c r="K889" s="3" t="n"/>
      <c r="L889" s="10" t="n"/>
      <c r="M889" s="6" t="n"/>
      <c r="N8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89" s="3">
        <f>IF(tblOrdenes[[#This Row],[fecha_inicio]]="","",YEAR(tblOrdenes[[#This Row],[fecha_inicio]]))</f>
        <v/>
      </c>
      <c r="R889" s="3">
        <f>IF(tblOrdenes[[#This Row],[fecha_inicio]]="","",MONTH(tblOrdenes[[#This Row],[fecha_inicio]]))</f>
        <v/>
      </c>
      <c r="S889" s="3">
        <f>IF(tblOrdenes[[#This Row],[fecha_inicio]]="","",INDEX(lista_dias,WEEKDAY(tblOrdenes[[#This Row],[fecha_inicio]],2)))</f>
        <v/>
      </c>
      <c r="T889" s="3">
        <f>IF(tblOrdenes[[#This Row],[tipo_ot]]="","",_xlfn.XLOOKUP(tblOrdenes[[#This Row],[tipo_ot]],tblTiposOT[codigo],tblTiposOT[clasificacion],"sin_clasificar"))</f>
        <v/>
      </c>
      <c r="U889" s="3">
        <f>IF(tblOrdenes[[#This Row],[centro_costo]]="","",_xlfn.XLOOKUP(tblOrdenes[[#This Row],[centro_costo]],tblCECO[codigo],tblCECO[linea],"(sin catálogo)"))</f>
        <v/>
      </c>
      <c r="V889" s="3">
        <f>IF(tblOrdenes[[#This Row],[centro_costo]]="","",_xlfn.XLOOKUP(tblOrdenes[[#This Row],[centro_costo]],tblCECO[codigo],tblCECO[area],"(sin catálogo)"))</f>
        <v/>
      </c>
      <c r="W889" s="3">
        <f>IF(tblOrdenes[[#This Row],[centro_costo]]="","",_xlfn.XLOOKUP(tblOrdenes[[#This Row],[centro_costo]],tblCECO[codigo],tblCECO[coordinador],"(sin catálogo)"))</f>
        <v/>
      </c>
      <c r="X889" s="3">
        <f>IF(tblOrdenes[[#This Row],[puesto_trabajo]]="","",_xlfn.XLOOKUP(tblOrdenes[[#This Row],[puesto_trabajo]],tblPuestos[codigo],tblPuestos[especialidad],"(sin catálogo)"))</f>
        <v/>
      </c>
      <c r="Y889" s="3">
        <f>IF(tblOrdenes[[#This Row],[cod_actividad]]="","",_xlfn.XLOOKUP(tblOrdenes[[#This Row],[cod_actividad]],tblActividades[codigo],tblActividades[descripcion],"(sin catálogo)"))</f>
        <v/>
      </c>
      <c r="Z889" s="12">
        <f>IF(tblOrdenes[[#This Row],[fecha_inicio]]="","",TODAY()-tblOrdenes[[#This Row],[fecha_inicio]])</f>
        <v/>
      </c>
      <c r="AA889" s="3">
        <f>IF(tblOrdenes[[#This Row],[backlog_dias]]="","",IF(tblOrdenes[[#This Row],[backlog_dias]]&lt;0,"FUTURO",IF(tblOrdenes[[#This Row],[backlog_dias]]&gt;p_dias_backlog_max,"BACKLOG","MES CORRIENTE")))</f>
        <v/>
      </c>
      <c r="AB889" s="3">
        <f>IF(tblOrdenes[[#This Row],[backlog_dias]]="",FALSE,AND(tblOrdenes[[#This Row],[backlog_dias]]&gt;p_dias_backlog_min,tblOrdenes[[#This Row],[backlog_dias]]&lt;=p_dias_backlog_max))</f>
        <v/>
      </c>
      <c r="AC889" s="6" t="n"/>
      <c r="AD8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89" s="10">
        <f>IF(tblOrdenes[[#This Row],[orden]]="","",_xlfn.XLOOKUP(tblOrdenes[[#This Row],[id_operacion]],tblEjecucion[id_operacion],tblEjecucion[precio],0))</f>
        <v/>
      </c>
      <c r="AH889" s="10">
        <f>IF(tblOrdenes[[#This Row],[orden]]="","",MAX(0,_xlfn.XLOOKUP(tblOrdenes[[#This Row],[id_operacion]],tblEjecucion[id_operacion],tblEjecucion[costo_plan_total],0)-tblOrdenes[[#This Row],[costo_servicio]]))</f>
        <v/>
      </c>
      <c r="AI889" s="10">
        <f>IF(tblOrdenes[[#This Row],[orden]]="","",tblOrdenes[[#This Row],[costo_servicio]]+tblOrdenes[[#This Row],[costo_materiales]])</f>
        <v/>
      </c>
      <c r="AJ889" s="6" t="n"/>
      <c r="AK889" s="6" t="n"/>
      <c r="AL889" s="6" t="n"/>
      <c r="AM889" s="3">
        <f>IF(tblOrdenes[[#This Row],[link_checklist]]="","",HYPERLINK(p_ruta_base_checklists&amp;tblOrdenes[[#This Row],[link_checklist]],"abrir"))</f>
        <v/>
      </c>
      <c r="AN889" s="6" t="n"/>
      <c r="AO889" s="3">
        <f>IF(tblOrdenes[[#This Row],[orden]]="","",tblOrdenes[[#This Row],[orden]]&amp;IF(tblOrdenes[[#This Row],[operacion]]="","0010",tblOrdenes[[#This Row],[operacion]]))</f>
        <v/>
      </c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11" t="n"/>
      <c r="K890" s="3" t="n"/>
      <c r="L890" s="10" t="n"/>
      <c r="M890" s="6" t="n"/>
      <c r="N8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90" s="3">
        <f>IF(tblOrdenes[[#This Row],[fecha_inicio]]="","",YEAR(tblOrdenes[[#This Row],[fecha_inicio]]))</f>
        <v/>
      </c>
      <c r="R890" s="3">
        <f>IF(tblOrdenes[[#This Row],[fecha_inicio]]="","",MONTH(tblOrdenes[[#This Row],[fecha_inicio]]))</f>
        <v/>
      </c>
      <c r="S890" s="3">
        <f>IF(tblOrdenes[[#This Row],[fecha_inicio]]="","",INDEX(lista_dias,WEEKDAY(tblOrdenes[[#This Row],[fecha_inicio]],2)))</f>
        <v/>
      </c>
      <c r="T890" s="3">
        <f>IF(tblOrdenes[[#This Row],[tipo_ot]]="","",_xlfn.XLOOKUP(tblOrdenes[[#This Row],[tipo_ot]],tblTiposOT[codigo],tblTiposOT[clasificacion],"sin_clasificar"))</f>
        <v/>
      </c>
      <c r="U890" s="3">
        <f>IF(tblOrdenes[[#This Row],[centro_costo]]="","",_xlfn.XLOOKUP(tblOrdenes[[#This Row],[centro_costo]],tblCECO[codigo],tblCECO[linea],"(sin catálogo)"))</f>
        <v/>
      </c>
      <c r="V890" s="3">
        <f>IF(tblOrdenes[[#This Row],[centro_costo]]="","",_xlfn.XLOOKUP(tblOrdenes[[#This Row],[centro_costo]],tblCECO[codigo],tblCECO[area],"(sin catálogo)"))</f>
        <v/>
      </c>
      <c r="W890" s="3">
        <f>IF(tblOrdenes[[#This Row],[centro_costo]]="","",_xlfn.XLOOKUP(tblOrdenes[[#This Row],[centro_costo]],tblCECO[codigo],tblCECO[coordinador],"(sin catálogo)"))</f>
        <v/>
      </c>
      <c r="X890" s="3">
        <f>IF(tblOrdenes[[#This Row],[puesto_trabajo]]="","",_xlfn.XLOOKUP(tblOrdenes[[#This Row],[puesto_trabajo]],tblPuestos[codigo],tblPuestos[especialidad],"(sin catálogo)"))</f>
        <v/>
      </c>
      <c r="Y890" s="3">
        <f>IF(tblOrdenes[[#This Row],[cod_actividad]]="","",_xlfn.XLOOKUP(tblOrdenes[[#This Row],[cod_actividad]],tblActividades[codigo],tblActividades[descripcion],"(sin catálogo)"))</f>
        <v/>
      </c>
      <c r="Z890" s="12">
        <f>IF(tblOrdenes[[#This Row],[fecha_inicio]]="","",TODAY()-tblOrdenes[[#This Row],[fecha_inicio]])</f>
        <v/>
      </c>
      <c r="AA890" s="3">
        <f>IF(tblOrdenes[[#This Row],[backlog_dias]]="","",IF(tblOrdenes[[#This Row],[backlog_dias]]&lt;0,"FUTURO",IF(tblOrdenes[[#This Row],[backlog_dias]]&gt;p_dias_backlog_max,"BACKLOG","MES CORRIENTE")))</f>
        <v/>
      </c>
      <c r="AB890" s="3">
        <f>IF(tblOrdenes[[#This Row],[backlog_dias]]="",FALSE,AND(tblOrdenes[[#This Row],[backlog_dias]]&gt;p_dias_backlog_min,tblOrdenes[[#This Row],[backlog_dias]]&lt;=p_dias_backlog_max))</f>
        <v/>
      </c>
      <c r="AC890" s="6" t="n"/>
      <c r="AD8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90" s="10">
        <f>IF(tblOrdenes[[#This Row],[orden]]="","",_xlfn.XLOOKUP(tblOrdenes[[#This Row],[id_operacion]],tblEjecucion[id_operacion],tblEjecucion[precio],0))</f>
        <v/>
      </c>
      <c r="AH890" s="10">
        <f>IF(tblOrdenes[[#This Row],[orden]]="","",MAX(0,_xlfn.XLOOKUP(tblOrdenes[[#This Row],[id_operacion]],tblEjecucion[id_operacion],tblEjecucion[costo_plan_total],0)-tblOrdenes[[#This Row],[costo_servicio]]))</f>
        <v/>
      </c>
      <c r="AI890" s="10">
        <f>IF(tblOrdenes[[#This Row],[orden]]="","",tblOrdenes[[#This Row],[costo_servicio]]+tblOrdenes[[#This Row],[costo_materiales]])</f>
        <v/>
      </c>
      <c r="AJ890" s="6" t="n"/>
      <c r="AK890" s="6" t="n"/>
      <c r="AL890" s="6" t="n"/>
      <c r="AM890" s="3">
        <f>IF(tblOrdenes[[#This Row],[link_checklist]]="","",HYPERLINK(p_ruta_base_checklists&amp;tblOrdenes[[#This Row],[link_checklist]],"abrir"))</f>
        <v/>
      </c>
      <c r="AN890" s="6" t="n"/>
      <c r="AO890" s="3">
        <f>IF(tblOrdenes[[#This Row],[orden]]="","",tblOrdenes[[#This Row],[orden]]&amp;IF(tblOrdenes[[#This Row],[operacion]]="","0010",tblOrdenes[[#This Row],[operacion]]))</f>
        <v/>
      </c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11" t="n"/>
      <c r="K891" s="3" t="n"/>
      <c r="L891" s="10" t="n"/>
      <c r="M891" s="6" t="n"/>
      <c r="N8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91" s="3">
        <f>IF(tblOrdenes[[#This Row],[fecha_inicio]]="","",YEAR(tblOrdenes[[#This Row],[fecha_inicio]]))</f>
        <v/>
      </c>
      <c r="R891" s="3">
        <f>IF(tblOrdenes[[#This Row],[fecha_inicio]]="","",MONTH(tblOrdenes[[#This Row],[fecha_inicio]]))</f>
        <v/>
      </c>
      <c r="S891" s="3">
        <f>IF(tblOrdenes[[#This Row],[fecha_inicio]]="","",INDEX(lista_dias,WEEKDAY(tblOrdenes[[#This Row],[fecha_inicio]],2)))</f>
        <v/>
      </c>
      <c r="T891" s="3">
        <f>IF(tblOrdenes[[#This Row],[tipo_ot]]="","",_xlfn.XLOOKUP(tblOrdenes[[#This Row],[tipo_ot]],tblTiposOT[codigo],tblTiposOT[clasificacion],"sin_clasificar"))</f>
        <v/>
      </c>
      <c r="U891" s="3">
        <f>IF(tblOrdenes[[#This Row],[centro_costo]]="","",_xlfn.XLOOKUP(tblOrdenes[[#This Row],[centro_costo]],tblCECO[codigo],tblCECO[linea],"(sin catálogo)"))</f>
        <v/>
      </c>
      <c r="V891" s="3">
        <f>IF(tblOrdenes[[#This Row],[centro_costo]]="","",_xlfn.XLOOKUP(tblOrdenes[[#This Row],[centro_costo]],tblCECO[codigo],tblCECO[area],"(sin catálogo)"))</f>
        <v/>
      </c>
      <c r="W891" s="3">
        <f>IF(tblOrdenes[[#This Row],[centro_costo]]="","",_xlfn.XLOOKUP(tblOrdenes[[#This Row],[centro_costo]],tblCECO[codigo],tblCECO[coordinador],"(sin catálogo)"))</f>
        <v/>
      </c>
      <c r="X891" s="3">
        <f>IF(tblOrdenes[[#This Row],[puesto_trabajo]]="","",_xlfn.XLOOKUP(tblOrdenes[[#This Row],[puesto_trabajo]],tblPuestos[codigo],tblPuestos[especialidad],"(sin catálogo)"))</f>
        <v/>
      </c>
      <c r="Y891" s="3">
        <f>IF(tblOrdenes[[#This Row],[cod_actividad]]="","",_xlfn.XLOOKUP(tblOrdenes[[#This Row],[cod_actividad]],tblActividades[codigo],tblActividades[descripcion],"(sin catálogo)"))</f>
        <v/>
      </c>
      <c r="Z891" s="12">
        <f>IF(tblOrdenes[[#This Row],[fecha_inicio]]="","",TODAY()-tblOrdenes[[#This Row],[fecha_inicio]])</f>
        <v/>
      </c>
      <c r="AA891" s="3">
        <f>IF(tblOrdenes[[#This Row],[backlog_dias]]="","",IF(tblOrdenes[[#This Row],[backlog_dias]]&lt;0,"FUTURO",IF(tblOrdenes[[#This Row],[backlog_dias]]&gt;p_dias_backlog_max,"BACKLOG","MES CORRIENTE")))</f>
        <v/>
      </c>
      <c r="AB891" s="3">
        <f>IF(tblOrdenes[[#This Row],[backlog_dias]]="",FALSE,AND(tblOrdenes[[#This Row],[backlog_dias]]&gt;p_dias_backlog_min,tblOrdenes[[#This Row],[backlog_dias]]&lt;=p_dias_backlog_max))</f>
        <v/>
      </c>
      <c r="AC891" s="6" t="n"/>
      <c r="AD8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91" s="10">
        <f>IF(tblOrdenes[[#This Row],[orden]]="","",_xlfn.XLOOKUP(tblOrdenes[[#This Row],[id_operacion]],tblEjecucion[id_operacion],tblEjecucion[precio],0))</f>
        <v/>
      </c>
      <c r="AH891" s="10">
        <f>IF(tblOrdenes[[#This Row],[orden]]="","",MAX(0,_xlfn.XLOOKUP(tblOrdenes[[#This Row],[id_operacion]],tblEjecucion[id_operacion],tblEjecucion[costo_plan_total],0)-tblOrdenes[[#This Row],[costo_servicio]]))</f>
        <v/>
      </c>
      <c r="AI891" s="10">
        <f>IF(tblOrdenes[[#This Row],[orden]]="","",tblOrdenes[[#This Row],[costo_servicio]]+tblOrdenes[[#This Row],[costo_materiales]])</f>
        <v/>
      </c>
      <c r="AJ891" s="6" t="n"/>
      <c r="AK891" s="6" t="n"/>
      <c r="AL891" s="6" t="n"/>
      <c r="AM891" s="3">
        <f>IF(tblOrdenes[[#This Row],[link_checklist]]="","",HYPERLINK(p_ruta_base_checklists&amp;tblOrdenes[[#This Row],[link_checklist]],"abrir"))</f>
        <v/>
      </c>
      <c r="AN891" s="6" t="n"/>
      <c r="AO891" s="3">
        <f>IF(tblOrdenes[[#This Row],[orden]]="","",tblOrdenes[[#This Row],[orden]]&amp;IF(tblOrdenes[[#This Row],[operacion]]="","0010",tblOrdenes[[#This Row],[operacion]]))</f>
        <v/>
      </c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11" t="n"/>
      <c r="K892" s="3" t="n"/>
      <c r="L892" s="10" t="n"/>
      <c r="M892" s="6" t="n"/>
      <c r="N8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92" s="3">
        <f>IF(tblOrdenes[[#This Row],[fecha_inicio]]="","",YEAR(tblOrdenes[[#This Row],[fecha_inicio]]))</f>
        <v/>
      </c>
      <c r="R892" s="3">
        <f>IF(tblOrdenes[[#This Row],[fecha_inicio]]="","",MONTH(tblOrdenes[[#This Row],[fecha_inicio]]))</f>
        <v/>
      </c>
      <c r="S892" s="3">
        <f>IF(tblOrdenes[[#This Row],[fecha_inicio]]="","",INDEX(lista_dias,WEEKDAY(tblOrdenes[[#This Row],[fecha_inicio]],2)))</f>
        <v/>
      </c>
      <c r="T892" s="3">
        <f>IF(tblOrdenes[[#This Row],[tipo_ot]]="","",_xlfn.XLOOKUP(tblOrdenes[[#This Row],[tipo_ot]],tblTiposOT[codigo],tblTiposOT[clasificacion],"sin_clasificar"))</f>
        <v/>
      </c>
      <c r="U892" s="3">
        <f>IF(tblOrdenes[[#This Row],[centro_costo]]="","",_xlfn.XLOOKUP(tblOrdenes[[#This Row],[centro_costo]],tblCECO[codigo],tblCECO[linea],"(sin catálogo)"))</f>
        <v/>
      </c>
      <c r="V892" s="3">
        <f>IF(tblOrdenes[[#This Row],[centro_costo]]="","",_xlfn.XLOOKUP(tblOrdenes[[#This Row],[centro_costo]],tblCECO[codigo],tblCECO[area],"(sin catálogo)"))</f>
        <v/>
      </c>
      <c r="W892" s="3">
        <f>IF(tblOrdenes[[#This Row],[centro_costo]]="","",_xlfn.XLOOKUP(tblOrdenes[[#This Row],[centro_costo]],tblCECO[codigo],tblCECO[coordinador],"(sin catálogo)"))</f>
        <v/>
      </c>
      <c r="X892" s="3">
        <f>IF(tblOrdenes[[#This Row],[puesto_trabajo]]="","",_xlfn.XLOOKUP(tblOrdenes[[#This Row],[puesto_trabajo]],tblPuestos[codigo],tblPuestos[especialidad],"(sin catálogo)"))</f>
        <v/>
      </c>
      <c r="Y892" s="3">
        <f>IF(tblOrdenes[[#This Row],[cod_actividad]]="","",_xlfn.XLOOKUP(tblOrdenes[[#This Row],[cod_actividad]],tblActividades[codigo],tblActividades[descripcion],"(sin catálogo)"))</f>
        <v/>
      </c>
      <c r="Z892" s="12">
        <f>IF(tblOrdenes[[#This Row],[fecha_inicio]]="","",TODAY()-tblOrdenes[[#This Row],[fecha_inicio]])</f>
        <v/>
      </c>
      <c r="AA892" s="3">
        <f>IF(tblOrdenes[[#This Row],[backlog_dias]]="","",IF(tblOrdenes[[#This Row],[backlog_dias]]&lt;0,"FUTURO",IF(tblOrdenes[[#This Row],[backlog_dias]]&gt;p_dias_backlog_max,"BACKLOG","MES CORRIENTE")))</f>
        <v/>
      </c>
      <c r="AB892" s="3">
        <f>IF(tblOrdenes[[#This Row],[backlog_dias]]="",FALSE,AND(tblOrdenes[[#This Row],[backlog_dias]]&gt;p_dias_backlog_min,tblOrdenes[[#This Row],[backlog_dias]]&lt;=p_dias_backlog_max))</f>
        <v/>
      </c>
      <c r="AC892" s="6" t="n"/>
      <c r="AD8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92" s="10">
        <f>IF(tblOrdenes[[#This Row],[orden]]="","",_xlfn.XLOOKUP(tblOrdenes[[#This Row],[id_operacion]],tblEjecucion[id_operacion],tblEjecucion[precio],0))</f>
        <v/>
      </c>
      <c r="AH892" s="10">
        <f>IF(tblOrdenes[[#This Row],[orden]]="","",MAX(0,_xlfn.XLOOKUP(tblOrdenes[[#This Row],[id_operacion]],tblEjecucion[id_operacion],tblEjecucion[costo_plan_total],0)-tblOrdenes[[#This Row],[costo_servicio]]))</f>
        <v/>
      </c>
      <c r="AI892" s="10">
        <f>IF(tblOrdenes[[#This Row],[orden]]="","",tblOrdenes[[#This Row],[costo_servicio]]+tblOrdenes[[#This Row],[costo_materiales]])</f>
        <v/>
      </c>
      <c r="AJ892" s="6" t="n"/>
      <c r="AK892" s="6" t="n"/>
      <c r="AL892" s="6" t="n"/>
      <c r="AM892" s="3">
        <f>IF(tblOrdenes[[#This Row],[link_checklist]]="","",HYPERLINK(p_ruta_base_checklists&amp;tblOrdenes[[#This Row],[link_checklist]],"abrir"))</f>
        <v/>
      </c>
      <c r="AN892" s="6" t="n"/>
      <c r="AO892" s="3">
        <f>IF(tblOrdenes[[#This Row],[orden]]="","",tblOrdenes[[#This Row],[orden]]&amp;IF(tblOrdenes[[#This Row],[operacion]]="","0010",tblOrdenes[[#This Row],[operacion]]))</f>
        <v/>
      </c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11" t="n"/>
      <c r="K893" s="3" t="n"/>
      <c r="L893" s="10" t="n"/>
      <c r="M893" s="6" t="n"/>
      <c r="N8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93" s="3">
        <f>IF(tblOrdenes[[#This Row],[fecha_inicio]]="","",YEAR(tblOrdenes[[#This Row],[fecha_inicio]]))</f>
        <v/>
      </c>
      <c r="R893" s="3">
        <f>IF(tblOrdenes[[#This Row],[fecha_inicio]]="","",MONTH(tblOrdenes[[#This Row],[fecha_inicio]]))</f>
        <v/>
      </c>
      <c r="S893" s="3">
        <f>IF(tblOrdenes[[#This Row],[fecha_inicio]]="","",INDEX(lista_dias,WEEKDAY(tblOrdenes[[#This Row],[fecha_inicio]],2)))</f>
        <v/>
      </c>
      <c r="T893" s="3">
        <f>IF(tblOrdenes[[#This Row],[tipo_ot]]="","",_xlfn.XLOOKUP(tblOrdenes[[#This Row],[tipo_ot]],tblTiposOT[codigo],tblTiposOT[clasificacion],"sin_clasificar"))</f>
        <v/>
      </c>
      <c r="U893" s="3">
        <f>IF(tblOrdenes[[#This Row],[centro_costo]]="","",_xlfn.XLOOKUP(tblOrdenes[[#This Row],[centro_costo]],tblCECO[codigo],tblCECO[linea],"(sin catálogo)"))</f>
        <v/>
      </c>
      <c r="V893" s="3">
        <f>IF(tblOrdenes[[#This Row],[centro_costo]]="","",_xlfn.XLOOKUP(tblOrdenes[[#This Row],[centro_costo]],tblCECO[codigo],tblCECO[area],"(sin catálogo)"))</f>
        <v/>
      </c>
      <c r="W893" s="3">
        <f>IF(tblOrdenes[[#This Row],[centro_costo]]="","",_xlfn.XLOOKUP(tblOrdenes[[#This Row],[centro_costo]],tblCECO[codigo],tblCECO[coordinador],"(sin catálogo)"))</f>
        <v/>
      </c>
      <c r="X893" s="3">
        <f>IF(tblOrdenes[[#This Row],[puesto_trabajo]]="","",_xlfn.XLOOKUP(tblOrdenes[[#This Row],[puesto_trabajo]],tblPuestos[codigo],tblPuestos[especialidad],"(sin catálogo)"))</f>
        <v/>
      </c>
      <c r="Y893" s="3">
        <f>IF(tblOrdenes[[#This Row],[cod_actividad]]="","",_xlfn.XLOOKUP(tblOrdenes[[#This Row],[cod_actividad]],tblActividades[codigo],tblActividades[descripcion],"(sin catálogo)"))</f>
        <v/>
      </c>
      <c r="Z893" s="12">
        <f>IF(tblOrdenes[[#This Row],[fecha_inicio]]="","",TODAY()-tblOrdenes[[#This Row],[fecha_inicio]])</f>
        <v/>
      </c>
      <c r="AA893" s="3">
        <f>IF(tblOrdenes[[#This Row],[backlog_dias]]="","",IF(tblOrdenes[[#This Row],[backlog_dias]]&lt;0,"FUTURO",IF(tblOrdenes[[#This Row],[backlog_dias]]&gt;p_dias_backlog_max,"BACKLOG","MES CORRIENTE")))</f>
        <v/>
      </c>
      <c r="AB893" s="3">
        <f>IF(tblOrdenes[[#This Row],[backlog_dias]]="",FALSE,AND(tblOrdenes[[#This Row],[backlog_dias]]&gt;p_dias_backlog_min,tblOrdenes[[#This Row],[backlog_dias]]&lt;=p_dias_backlog_max))</f>
        <v/>
      </c>
      <c r="AC893" s="6" t="n"/>
      <c r="AD8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93" s="10">
        <f>IF(tblOrdenes[[#This Row],[orden]]="","",_xlfn.XLOOKUP(tblOrdenes[[#This Row],[id_operacion]],tblEjecucion[id_operacion],tblEjecucion[precio],0))</f>
        <v/>
      </c>
      <c r="AH893" s="10">
        <f>IF(tblOrdenes[[#This Row],[orden]]="","",MAX(0,_xlfn.XLOOKUP(tblOrdenes[[#This Row],[id_operacion]],tblEjecucion[id_operacion],tblEjecucion[costo_plan_total],0)-tblOrdenes[[#This Row],[costo_servicio]]))</f>
        <v/>
      </c>
      <c r="AI893" s="10">
        <f>IF(tblOrdenes[[#This Row],[orden]]="","",tblOrdenes[[#This Row],[costo_servicio]]+tblOrdenes[[#This Row],[costo_materiales]])</f>
        <v/>
      </c>
      <c r="AJ893" s="6" t="n"/>
      <c r="AK893" s="6" t="n"/>
      <c r="AL893" s="6" t="n"/>
      <c r="AM893" s="3">
        <f>IF(tblOrdenes[[#This Row],[link_checklist]]="","",HYPERLINK(p_ruta_base_checklists&amp;tblOrdenes[[#This Row],[link_checklist]],"abrir"))</f>
        <v/>
      </c>
      <c r="AN893" s="6" t="n"/>
      <c r="AO893" s="3">
        <f>IF(tblOrdenes[[#This Row],[orden]]="","",tblOrdenes[[#This Row],[orden]]&amp;IF(tblOrdenes[[#This Row],[operacion]]="","0010",tblOrdenes[[#This Row],[operacion]]))</f>
        <v/>
      </c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11" t="n"/>
      <c r="K894" s="3" t="n"/>
      <c r="L894" s="10" t="n"/>
      <c r="M894" s="6" t="n"/>
      <c r="N8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94" s="3">
        <f>IF(tblOrdenes[[#This Row],[fecha_inicio]]="","",YEAR(tblOrdenes[[#This Row],[fecha_inicio]]))</f>
        <v/>
      </c>
      <c r="R894" s="3">
        <f>IF(tblOrdenes[[#This Row],[fecha_inicio]]="","",MONTH(tblOrdenes[[#This Row],[fecha_inicio]]))</f>
        <v/>
      </c>
      <c r="S894" s="3">
        <f>IF(tblOrdenes[[#This Row],[fecha_inicio]]="","",INDEX(lista_dias,WEEKDAY(tblOrdenes[[#This Row],[fecha_inicio]],2)))</f>
        <v/>
      </c>
      <c r="T894" s="3">
        <f>IF(tblOrdenes[[#This Row],[tipo_ot]]="","",_xlfn.XLOOKUP(tblOrdenes[[#This Row],[tipo_ot]],tblTiposOT[codigo],tblTiposOT[clasificacion],"sin_clasificar"))</f>
        <v/>
      </c>
      <c r="U894" s="3">
        <f>IF(tblOrdenes[[#This Row],[centro_costo]]="","",_xlfn.XLOOKUP(tblOrdenes[[#This Row],[centro_costo]],tblCECO[codigo],tblCECO[linea],"(sin catálogo)"))</f>
        <v/>
      </c>
      <c r="V894" s="3">
        <f>IF(tblOrdenes[[#This Row],[centro_costo]]="","",_xlfn.XLOOKUP(tblOrdenes[[#This Row],[centro_costo]],tblCECO[codigo],tblCECO[area],"(sin catálogo)"))</f>
        <v/>
      </c>
      <c r="W894" s="3">
        <f>IF(tblOrdenes[[#This Row],[centro_costo]]="","",_xlfn.XLOOKUP(tblOrdenes[[#This Row],[centro_costo]],tblCECO[codigo],tblCECO[coordinador],"(sin catálogo)"))</f>
        <v/>
      </c>
      <c r="X894" s="3">
        <f>IF(tblOrdenes[[#This Row],[puesto_trabajo]]="","",_xlfn.XLOOKUP(tblOrdenes[[#This Row],[puesto_trabajo]],tblPuestos[codigo],tblPuestos[especialidad],"(sin catálogo)"))</f>
        <v/>
      </c>
      <c r="Y894" s="3">
        <f>IF(tblOrdenes[[#This Row],[cod_actividad]]="","",_xlfn.XLOOKUP(tblOrdenes[[#This Row],[cod_actividad]],tblActividades[codigo],tblActividades[descripcion],"(sin catálogo)"))</f>
        <v/>
      </c>
      <c r="Z894" s="12">
        <f>IF(tblOrdenes[[#This Row],[fecha_inicio]]="","",TODAY()-tblOrdenes[[#This Row],[fecha_inicio]])</f>
        <v/>
      </c>
      <c r="AA894" s="3">
        <f>IF(tblOrdenes[[#This Row],[backlog_dias]]="","",IF(tblOrdenes[[#This Row],[backlog_dias]]&lt;0,"FUTURO",IF(tblOrdenes[[#This Row],[backlog_dias]]&gt;p_dias_backlog_max,"BACKLOG","MES CORRIENTE")))</f>
        <v/>
      </c>
      <c r="AB894" s="3">
        <f>IF(tblOrdenes[[#This Row],[backlog_dias]]="",FALSE,AND(tblOrdenes[[#This Row],[backlog_dias]]&gt;p_dias_backlog_min,tblOrdenes[[#This Row],[backlog_dias]]&lt;=p_dias_backlog_max))</f>
        <v/>
      </c>
      <c r="AC894" s="6" t="n"/>
      <c r="AD8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94" s="10">
        <f>IF(tblOrdenes[[#This Row],[orden]]="","",_xlfn.XLOOKUP(tblOrdenes[[#This Row],[id_operacion]],tblEjecucion[id_operacion],tblEjecucion[precio],0))</f>
        <v/>
      </c>
      <c r="AH894" s="10">
        <f>IF(tblOrdenes[[#This Row],[orden]]="","",MAX(0,_xlfn.XLOOKUP(tblOrdenes[[#This Row],[id_operacion]],tblEjecucion[id_operacion],tblEjecucion[costo_plan_total],0)-tblOrdenes[[#This Row],[costo_servicio]]))</f>
        <v/>
      </c>
      <c r="AI894" s="10">
        <f>IF(tblOrdenes[[#This Row],[orden]]="","",tblOrdenes[[#This Row],[costo_servicio]]+tblOrdenes[[#This Row],[costo_materiales]])</f>
        <v/>
      </c>
      <c r="AJ894" s="6" t="n"/>
      <c r="AK894" s="6" t="n"/>
      <c r="AL894" s="6" t="n"/>
      <c r="AM894" s="3">
        <f>IF(tblOrdenes[[#This Row],[link_checklist]]="","",HYPERLINK(p_ruta_base_checklists&amp;tblOrdenes[[#This Row],[link_checklist]],"abrir"))</f>
        <v/>
      </c>
      <c r="AN894" s="6" t="n"/>
      <c r="AO894" s="3">
        <f>IF(tblOrdenes[[#This Row],[orden]]="","",tblOrdenes[[#This Row],[orden]]&amp;IF(tblOrdenes[[#This Row],[operacion]]="","0010",tblOrdenes[[#This Row],[operacion]]))</f>
        <v/>
      </c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11" t="n"/>
      <c r="K895" s="3" t="n"/>
      <c r="L895" s="10" t="n"/>
      <c r="M895" s="6" t="n"/>
      <c r="N8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95" s="3">
        <f>IF(tblOrdenes[[#This Row],[fecha_inicio]]="","",YEAR(tblOrdenes[[#This Row],[fecha_inicio]]))</f>
        <v/>
      </c>
      <c r="R895" s="3">
        <f>IF(tblOrdenes[[#This Row],[fecha_inicio]]="","",MONTH(tblOrdenes[[#This Row],[fecha_inicio]]))</f>
        <v/>
      </c>
      <c r="S895" s="3">
        <f>IF(tblOrdenes[[#This Row],[fecha_inicio]]="","",INDEX(lista_dias,WEEKDAY(tblOrdenes[[#This Row],[fecha_inicio]],2)))</f>
        <v/>
      </c>
      <c r="T895" s="3">
        <f>IF(tblOrdenes[[#This Row],[tipo_ot]]="","",_xlfn.XLOOKUP(tblOrdenes[[#This Row],[tipo_ot]],tblTiposOT[codigo],tblTiposOT[clasificacion],"sin_clasificar"))</f>
        <v/>
      </c>
      <c r="U895" s="3">
        <f>IF(tblOrdenes[[#This Row],[centro_costo]]="","",_xlfn.XLOOKUP(tblOrdenes[[#This Row],[centro_costo]],tblCECO[codigo],tblCECO[linea],"(sin catálogo)"))</f>
        <v/>
      </c>
      <c r="V895" s="3">
        <f>IF(tblOrdenes[[#This Row],[centro_costo]]="","",_xlfn.XLOOKUP(tblOrdenes[[#This Row],[centro_costo]],tblCECO[codigo],tblCECO[area],"(sin catálogo)"))</f>
        <v/>
      </c>
      <c r="W895" s="3">
        <f>IF(tblOrdenes[[#This Row],[centro_costo]]="","",_xlfn.XLOOKUP(tblOrdenes[[#This Row],[centro_costo]],tblCECO[codigo],tblCECO[coordinador],"(sin catálogo)"))</f>
        <v/>
      </c>
      <c r="X895" s="3">
        <f>IF(tblOrdenes[[#This Row],[puesto_trabajo]]="","",_xlfn.XLOOKUP(tblOrdenes[[#This Row],[puesto_trabajo]],tblPuestos[codigo],tblPuestos[especialidad],"(sin catálogo)"))</f>
        <v/>
      </c>
      <c r="Y895" s="3">
        <f>IF(tblOrdenes[[#This Row],[cod_actividad]]="","",_xlfn.XLOOKUP(tblOrdenes[[#This Row],[cod_actividad]],tblActividades[codigo],tblActividades[descripcion],"(sin catálogo)"))</f>
        <v/>
      </c>
      <c r="Z895" s="12">
        <f>IF(tblOrdenes[[#This Row],[fecha_inicio]]="","",TODAY()-tblOrdenes[[#This Row],[fecha_inicio]])</f>
        <v/>
      </c>
      <c r="AA895" s="3">
        <f>IF(tblOrdenes[[#This Row],[backlog_dias]]="","",IF(tblOrdenes[[#This Row],[backlog_dias]]&lt;0,"FUTURO",IF(tblOrdenes[[#This Row],[backlog_dias]]&gt;p_dias_backlog_max,"BACKLOG","MES CORRIENTE")))</f>
        <v/>
      </c>
      <c r="AB895" s="3">
        <f>IF(tblOrdenes[[#This Row],[backlog_dias]]="",FALSE,AND(tblOrdenes[[#This Row],[backlog_dias]]&gt;p_dias_backlog_min,tblOrdenes[[#This Row],[backlog_dias]]&lt;=p_dias_backlog_max))</f>
        <v/>
      </c>
      <c r="AC895" s="6" t="n"/>
      <c r="AD8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95" s="10">
        <f>IF(tblOrdenes[[#This Row],[orden]]="","",_xlfn.XLOOKUP(tblOrdenes[[#This Row],[id_operacion]],tblEjecucion[id_operacion],tblEjecucion[precio],0))</f>
        <v/>
      </c>
      <c r="AH895" s="10">
        <f>IF(tblOrdenes[[#This Row],[orden]]="","",MAX(0,_xlfn.XLOOKUP(tblOrdenes[[#This Row],[id_operacion]],tblEjecucion[id_operacion],tblEjecucion[costo_plan_total],0)-tblOrdenes[[#This Row],[costo_servicio]]))</f>
        <v/>
      </c>
      <c r="AI895" s="10">
        <f>IF(tblOrdenes[[#This Row],[orden]]="","",tblOrdenes[[#This Row],[costo_servicio]]+tblOrdenes[[#This Row],[costo_materiales]])</f>
        <v/>
      </c>
      <c r="AJ895" s="6" t="n"/>
      <c r="AK895" s="6" t="n"/>
      <c r="AL895" s="6" t="n"/>
      <c r="AM895" s="3">
        <f>IF(tblOrdenes[[#This Row],[link_checklist]]="","",HYPERLINK(p_ruta_base_checklists&amp;tblOrdenes[[#This Row],[link_checklist]],"abrir"))</f>
        <v/>
      </c>
      <c r="AN895" s="6" t="n"/>
      <c r="AO895" s="3">
        <f>IF(tblOrdenes[[#This Row],[orden]]="","",tblOrdenes[[#This Row],[orden]]&amp;IF(tblOrdenes[[#This Row],[operacion]]="","0010",tblOrdenes[[#This Row],[operacion]]))</f>
        <v/>
      </c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11" t="n"/>
      <c r="K896" s="3" t="n"/>
      <c r="L896" s="10" t="n"/>
      <c r="M896" s="6" t="n"/>
      <c r="N8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96" s="3">
        <f>IF(tblOrdenes[[#This Row],[fecha_inicio]]="","",YEAR(tblOrdenes[[#This Row],[fecha_inicio]]))</f>
        <v/>
      </c>
      <c r="R896" s="3">
        <f>IF(tblOrdenes[[#This Row],[fecha_inicio]]="","",MONTH(tblOrdenes[[#This Row],[fecha_inicio]]))</f>
        <v/>
      </c>
      <c r="S896" s="3">
        <f>IF(tblOrdenes[[#This Row],[fecha_inicio]]="","",INDEX(lista_dias,WEEKDAY(tblOrdenes[[#This Row],[fecha_inicio]],2)))</f>
        <v/>
      </c>
      <c r="T896" s="3">
        <f>IF(tblOrdenes[[#This Row],[tipo_ot]]="","",_xlfn.XLOOKUP(tblOrdenes[[#This Row],[tipo_ot]],tblTiposOT[codigo],tblTiposOT[clasificacion],"sin_clasificar"))</f>
        <v/>
      </c>
      <c r="U896" s="3">
        <f>IF(tblOrdenes[[#This Row],[centro_costo]]="","",_xlfn.XLOOKUP(tblOrdenes[[#This Row],[centro_costo]],tblCECO[codigo],tblCECO[linea],"(sin catálogo)"))</f>
        <v/>
      </c>
      <c r="V896" s="3">
        <f>IF(tblOrdenes[[#This Row],[centro_costo]]="","",_xlfn.XLOOKUP(tblOrdenes[[#This Row],[centro_costo]],tblCECO[codigo],tblCECO[area],"(sin catálogo)"))</f>
        <v/>
      </c>
      <c r="W896" s="3">
        <f>IF(tblOrdenes[[#This Row],[centro_costo]]="","",_xlfn.XLOOKUP(tblOrdenes[[#This Row],[centro_costo]],tblCECO[codigo],tblCECO[coordinador],"(sin catálogo)"))</f>
        <v/>
      </c>
      <c r="X896" s="3">
        <f>IF(tblOrdenes[[#This Row],[puesto_trabajo]]="","",_xlfn.XLOOKUP(tblOrdenes[[#This Row],[puesto_trabajo]],tblPuestos[codigo],tblPuestos[especialidad],"(sin catálogo)"))</f>
        <v/>
      </c>
      <c r="Y896" s="3">
        <f>IF(tblOrdenes[[#This Row],[cod_actividad]]="","",_xlfn.XLOOKUP(tblOrdenes[[#This Row],[cod_actividad]],tblActividades[codigo],tblActividades[descripcion],"(sin catálogo)"))</f>
        <v/>
      </c>
      <c r="Z896" s="12">
        <f>IF(tblOrdenes[[#This Row],[fecha_inicio]]="","",TODAY()-tblOrdenes[[#This Row],[fecha_inicio]])</f>
        <v/>
      </c>
      <c r="AA896" s="3">
        <f>IF(tblOrdenes[[#This Row],[backlog_dias]]="","",IF(tblOrdenes[[#This Row],[backlog_dias]]&lt;0,"FUTURO",IF(tblOrdenes[[#This Row],[backlog_dias]]&gt;p_dias_backlog_max,"BACKLOG","MES CORRIENTE")))</f>
        <v/>
      </c>
      <c r="AB896" s="3">
        <f>IF(tblOrdenes[[#This Row],[backlog_dias]]="",FALSE,AND(tblOrdenes[[#This Row],[backlog_dias]]&gt;p_dias_backlog_min,tblOrdenes[[#This Row],[backlog_dias]]&lt;=p_dias_backlog_max))</f>
        <v/>
      </c>
      <c r="AC896" s="6" t="n"/>
      <c r="AD8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96" s="10">
        <f>IF(tblOrdenes[[#This Row],[orden]]="","",_xlfn.XLOOKUP(tblOrdenes[[#This Row],[id_operacion]],tblEjecucion[id_operacion],tblEjecucion[precio],0))</f>
        <v/>
      </c>
      <c r="AH896" s="10">
        <f>IF(tblOrdenes[[#This Row],[orden]]="","",MAX(0,_xlfn.XLOOKUP(tblOrdenes[[#This Row],[id_operacion]],tblEjecucion[id_operacion],tblEjecucion[costo_plan_total],0)-tblOrdenes[[#This Row],[costo_servicio]]))</f>
        <v/>
      </c>
      <c r="AI896" s="10">
        <f>IF(tblOrdenes[[#This Row],[orden]]="","",tblOrdenes[[#This Row],[costo_servicio]]+tblOrdenes[[#This Row],[costo_materiales]])</f>
        <v/>
      </c>
      <c r="AJ896" s="6" t="n"/>
      <c r="AK896" s="6" t="n"/>
      <c r="AL896" s="6" t="n"/>
      <c r="AM896" s="3">
        <f>IF(tblOrdenes[[#This Row],[link_checklist]]="","",HYPERLINK(p_ruta_base_checklists&amp;tblOrdenes[[#This Row],[link_checklist]],"abrir"))</f>
        <v/>
      </c>
      <c r="AN896" s="6" t="n"/>
      <c r="AO896" s="3">
        <f>IF(tblOrdenes[[#This Row],[orden]]="","",tblOrdenes[[#This Row],[orden]]&amp;IF(tblOrdenes[[#This Row],[operacion]]="","0010",tblOrdenes[[#This Row],[operacion]]))</f>
        <v/>
      </c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11" t="n"/>
      <c r="K897" s="3" t="n"/>
      <c r="L897" s="10" t="n"/>
      <c r="M897" s="6" t="n"/>
      <c r="N8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97" s="3">
        <f>IF(tblOrdenes[[#This Row],[fecha_inicio]]="","",YEAR(tblOrdenes[[#This Row],[fecha_inicio]]))</f>
        <v/>
      </c>
      <c r="R897" s="3">
        <f>IF(tblOrdenes[[#This Row],[fecha_inicio]]="","",MONTH(tblOrdenes[[#This Row],[fecha_inicio]]))</f>
        <v/>
      </c>
      <c r="S897" s="3">
        <f>IF(tblOrdenes[[#This Row],[fecha_inicio]]="","",INDEX(lista_dias,WEEKDAY(tblOrdenes[[#This Row],[fecha_inicio]],2)))</f>
        <v/>
      </c>
      <c r="T897" s="3">
        <f>IF(tblOrdenes[[#This Row],[tipo_ot]]="","",_xlfn.XLOOKUP(tblOrdenes[[#This Row],[tipo_ot]],tblTiposOT[codigo],tblTiposOT[clasificacion],"sin_clasificar"))</f>
        <v/>
      </c>
      <c r="U897" s="3">
        <f>IF(tblOrdenes[[#This Row],[centro_costo]]="","",_xlfn.XLOOKUP(tblOrdenes[[#This Row],[centro_costo]],tblCECO[codigo],tblCECO[linea],"(sin catálogo)"))</f>
        <v/>
      </c>
      <c r="V897" s="3">
        <f>IF(tblOrdenes[[#This Row],[centro_costo]]="","",_xlfn.XLOOKUP(tblOrdenes[[#This Row],[centro_costo]],tblCECO[codigo],tblCECO[area],"(sin catálogo)"))</f>
        <v/>
      </c>
      <c r="W897" s="3">
        <f>IF(tblOrdenes[[#This Row],[centro_costo]]="","",_xlfn.XLOOKUP(tblOrdenes[[#This Row],[centro_costo]],tblCECO[codigo],tblCECO[coordinador],"(sin catálogo)"))</f>
        <v/>
      </c>
      <c r="X897" s="3">
        <f>IF(tblOrdenes[[#This Row],[puesto_trabajo]]="","",_xlfn.XLOOKUP(tblOrdenes[[#This Row],[puesto_trabajo]],tblPuestos[codigo],tblPuestos[especialidad],"(sin catálogo)"))</f>
        <v/>
      </c>
      <c r="Y897" s="3">
        <f>IF(tblOrdenes[[#This Row],[cod_actividad]]="","",_xlfn.XLOOKUP(tblOrdenes[[#This Row],[cod_actividad]],tblActividades[codigo],tblActividades[descripcion],"(sin catálogo)"))</f>
        <v/>
      </c>
      <c r="Z897" s="12">
        <f>IF(tblOrdenes[[#This Row],[fecha_inicio]]="","",TODAY()-tblOrdenes[[#This Row],[fecha_inicio]])</f>
        <v/>
      </c>
      <c r="AA897" s="3">
        <f>IF(tblOrdenes[[#This Row],[backlog_dias]]="","",IF(tblOrdenes[[#This Row],[backlog_dias]]&lt;0,"FUTURO",IF(tblOrdenes[[#This Row],[backlog_dias]]&gt;p_dias_backlog_max,"BACKLOG","MES CORRIENTE")))</f>
        <v/>
      </c>
      <c r="AB897" s="3">
        <f>IF(tblOrdenes[[#This Row],[backlog_dias]]="",FALSE,AND(tblOrdenes[[#This Row],[backlog_dias]]&gt;p_dias_backlog_min,tblOrdenes[[#This Row],[backlog_dias]]&lt;=p_dias_backlog_max))</f>
        <v/>
      </c>
      <c r="AC897" s="6" t="n"/>
      <c r="AD8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97" s="10">
        <f>IF(tblOrdenes[[#This Row],[orden]]="","",_xlfn.XLOOKUP(tblOrdenes[[#This Row],[id_operacion]],tblEjecucion[id_operacion],tblEjecucion[precio],0))</f>
        <v/>
      </c>
      <c r="AH897" s="10">
        <f>IF(tblOrdenes[[#This Row],[orden]]="","",MAX(0,_xlfn.XLOOKUP(tblOrdenes[[#This Row],[id_operacion]],tblEjecucion[id_operacion],tblEjecucion[costo_plan_total],0)-tblOrdenes[[#This Row],[costo_servicio]]))</f>
        <v/>
      </c>
      <c r="AI897" s="10">
        <f>IF(tblOrdenes[[#This Row],[orden]]="","",tblOrdenes[[#This Row],[costo_servicio]]+tblOrdenes[[#This Row],[costo_materiales]])</f>
        <v/>
      </c>
      <c r="AJ897" s="6" t="n"/>
      <c r="AK897" s="6" t="n"/>
      <c r="AL897" s="6" t="n"/>
      <c r="AM897" s="3">
        <f>IF(tblOrdenes[[#This Row],[link_checklist]]="","",HYPERLINK(p_ruta_base_checklists&amp;tblOrdenes[[#This Row],[link_checklist]],"abrir"))</f>
        <v/>
      </c>
      <c r="AN897" s="6" t="n"/>
      <c r="AO897" s="3">
        <f>IF(tblOrdenes[[#This Row],[orden]]="","",tblOrdenes[[#This Row],[orden]]&amp;IF(tblOrdenes[[#This Row],[operacion]]="","0010",tblOrdenes[[#This Row],[operacion]]))</f>
        <v/>
      </c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11" t="n"/>
      <c r="K898" s="3" t="n"/>
      <c r="L898" s="10" t="n"/>
      <c r="M898" s="6" t="n"/>
      <c r="N8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98" s="3">
        <f>IF(tblOrdenes[[#This Row],[fecha_inicio]]="","",YEAR(tblOrdenes[[#This Row],[fecha_inicio]]))</f>
        <v/>
      </c>
      <c r="R898" s="3">
        <f>IF(tblOrdenes[[#This Row],[fecha_inicio]]="","",MONTH(tblOrdenes[[#This Row],[fecha_inicio]]))</f>
        <v/>
      </c>
      <c r="S898" s="3">
        <f>IF(tblOrdenes[[#This Row],[fecha_inicio]]="","",INDEX(lista_dias,WEEKDAY(tblOrdenes[[#This Row],[fecha_inicio]],2)))</f>
        <v/>
      </c>
      <c r="T898" s="3">
        <f>IF(tblOrdenes[[#This Row],[tipo_ot]]="","",_xlfn.XLOOKUP(tblOrdenes[[#This Row],[tipo_ot]],tblTiposOT[codigo],tblTiposOT[clasificacion],"sin_clasificar"))</f>
        <v/>
      </c>
      <c r="U898" s="3">
        <f>IF(tblOrdenes[[#This Row],[centro_costo]]="","",_xlfn.XLOOKUP(tblOrdenes[[#This Row],[centro_costo]],tblCECO[codigo],tblCECO[linea],"(sin catálogo)"))</f>
        <v/>
      </c>
      <c r="V898" s="3">
        <f>IF(tblOrdenes[[#This Row],[centro_costo]]="","",_xlfn.XLOOKUP(tblOrdenes[[#This Row],[centro_costo]],tblCECO[codigo],tblCECO[area],"(sin catálogo)"))</f>
        <v/>
      </c>
      <c r="W898" s="3">
        <f>IF(tblOrdenes[[#This Row],[centro_costo]]="","",_xlfn.XLOOKUP(tblOrdenes[[#This Row],[centro_costo]],tblCECO[codigo],tblCECO[coordinador],"(sin catálogo)"))</f>
        <v/>
      </c>
      <c r="X898" s="3">
        <f>IF(tblOrdenes[[#This Row],[puesto_trabajo]]="","",_xlfn.XLOOKUP(tblOrdenes[[#This Row],[puesto_trabajo]],tblPuestos[codigo],tblPuestos[especialidad],"(sin catálogo)"))</f>
        <v/>
      </c>
      <c r="Y898" s="3">
        <f>IF(tblOrdenes[[#This Row],[cod_actividad]]="","",_xlfn.XLOOKUP(tblOrdenes[[#This Row],[cod_actividad]],tblActividades[codigo],tblActividades[descripcion],"(sin catálogo)"))</f>
        <v/>
      </c>
      <c r="Z898" s="12">
        <f>IF(tblOrdenes[[#This Row],[fecha_inicio]]="","",TODAY()-tblOrdenes[[#This Row],[fecha_inicio]])</f>
        <v/>
      </c>
      <c r="AA898" s="3">
        <f>IF(tblOrdenes[[#This Row],[backlog_dias]]="","",IF(tblOrdenes[[#This Row],[backlog_dias]]&lt;0,"FUTURO",IF(tblOrdenes[[#This Row],[backlog_dias]]&gt;p_dias_backlog_max,"BACKLOG","MES CORRIENTE")))</f>
        <v/>
      </c>
      <c r="AB898" s="3">
        <f>IF(tblOrdenes[[#This Row],[backlog_dias]]="",FALSE,AND(tblOrdenes[[#This Row],[backlog_dias]]&gt;p_dias_backlog_min,tblOrdenes[[#This Row],[backlog_dias]]&lt;=p_dias_backlog_max))</f>
        <v/>
      </c>
      <c r="AC898" s="6" t="n"/>
      <c r="AD8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98" s="10">
        <f>IF(tblOrdenes[[#This Row],[orden]]="","",_xlfn.XLOOKUP(tblOrdenes[[#This Row],[id_operacion]],tblEjecucion[id_operacion],tblEjecucion[precio],0))</f>
        <v/>
      </c>
      <c r="AH898" s="10">
        <f>IF(tblOrdenes[[#This Row],[orden]]="","",MAX(0,_xlfn.XLOOKUP(tblOrdenes[[#This Row],[id_operacion]],tblEjecucion[id_operacion],tblEjecucion[costo_plan_total],0)-tblOrdenes[[#This Row],[costo_servicio]]))</f>
        <v/>
      </c>
      <c r="AI898" s="10">
        <f>IF(tblOrdenes[[#This Row],[orden]]="","",tblOrdenes[[#This Row],[costo_servicio]]+tblOrdenes[[#This Row],[costo_materiales]])</f>
        <v/>
      </c>
      <c r="AJ898" s="6" t="n"/>
      <c r="AK898" s="6" t="n"/>
      <c r="AL898" s="6" t="n"/>
      <c r="AM898" s="3">
        <f>IF(tblOrdenes[[#This Row],[link_checklist]]="","",HYPERLINK(p_ruta_base_checklists&amp;tblOrdenes[[#This Row],[link_checklist]],"abrir"))</f>
        <v/>
      </c>
      <c r="AN898" s="6" t="n"/>
      <c r="AO898" s="3">
        <f>IF(tblOrdenes[[#This Row],[orden]]="","",tblOrdenes[[#This Row],[orden]]&amp;IF(tblOrdenes[[#This Row],[operacion]]="","0010",tblOrdenes[[#This Row],[operacion]]))</f>
        <v/>
      </c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11" t="n"/>
      <c r="K899" s="3" t="n"/>
      <c r="L899" s="10" t="n"/>
      <c r="M899" s="6" t="n"/>
      <c r="N8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8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8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899" s="3">
        <f>IF(tblOrdenes[[#This Row],[fecha_inicio]]="","",YEAR(tblOrdenes[[#This Row],[fecha_inicio]]))</f>
        <v/>
      </c>
      <c r="R899" s="3">
        <f>IF(tblOrdenes[[#This Row],[fecha_inicio]]="","",MONTH(tblOrdenes[[#This Row],[fecha_inicio]]))</f>
        <v/>
      </c>
      <c r="S899" s="3">
        <f>IF(tblOrdenes[[#This Row],[fecha_inicio]]="","",INDEX(lista_dias,WEEKDAY(tblOrdenes[[#This Row],[fecha_inicio]],2)))</f>
        <v/>
      </c>
      <c r="T899" s="3">
        <f>IF(tblOrdenes[[#This Row],[tipo_ot]]="","",_xlfn.XLOOKUP(tblOrdenes[[#This Row],[tipo_ot]],tblTiposOT[codigo],tblTiposOT[clasificacion],"sin_clasificar"))</f>
        <v/>
      </c>
      <c r="U899" s="3">
        <f>IF(tblOrdenes[[#This Row],[centro_costo]]="","",_xlfn.XLOOKUP(tblOrdenes[[#This Row],[centro_costo]],tblCECO[codigo],tblCECO[linea],"(sin catálogo)"))</f>
        <v/>
      </c>
      <c r="V899" s="3">
        <f>IF(tblOrdenes[[#This Row],[centro_costo]]="","",_xlfn.XLOOKUP(tblOrdenes[[#This Row],[centro_costo]],tblCECO[codigo],tblCECO[area],"(sin catálogo)"))</f>
        <v/>
      </c>
      <c r="W899" s="3">
        <f>IF(tblOrdenes[[#This Row],[centro_costo]]="","",_xlfn.XLOOKUP(tblOrdenes[[#This Row],[centro_costo]],tblCECO[codigo],tblCECO[coordinador],"(sin catálogo)"))</f>
        <v/>
      </c>
      <c r="X899" s="3">
        <f>IF(tblOrdenes[[#This Row],[puesto_trabajo]]="","",_xlfn.XLOOKUP(tblOrdenes[[#This Row],[puesto_trabajo]],tblPuestos[codigo],tblPuestos[especialidad],"(sin catálogo)"))</f>
        <v/>
      </c>
      <c r="Y899" s="3">
        <f>IF(tblOrdenes[[#This Row],[cod_actividad]]="","",_xlfn.XLOOKUP(tblOrdenes[[#This Row],[cod_actividad]],tblActividades[codigo],tblActividades[descripcion],"(sin catálogo)"))</f>
        <v/>
      </c>
      <c r="Z899" s="12">
        <f>IF(tblOrdenes[[#This Row],[fecha_inicio]]="","",TODAY()-tblOrdenes[[#This Row],[fecha_inicio]])</f>
        <v/>
      </c>
      <c r="AA899" s="3">
        <f>IF(tblOrdenes[[#This Row],[backlog_dias]]="","",IF(tblOrdenes[[#This Row],[backlog_dias]]&lt;0,"FUTURO",IF(tblOrdenes[[#This Row],[backlog_dias]]&gt;p_dias_backlog_max,"BACKLOG","MES CORRIENTE")))</f>
        <v/>
      </c>
      <c r="AB899" s="3">
        <f>IF(tblOrdenes[[#This Row],[backlog_dias]]="",FALSE,AND(tblOrdenes[[#This Row],[backlog_dias]]&gt;p_dias_backlog_min,tblOrdenes[[#This Row],[backlog_dias]]&lt;=p_dias_backlog_max))</f>
        <v/>
      </c>
      <c r="AC899" s="6" t="n"/>
      <c r="AD8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8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8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899" s="10">
        <f>IF(tblOrdenes[[#This Row],[orden]]="","",_xlfn.XLOOKUP(tblOrdenes[[#This Row],[id_operacion]],tblEjecucion[id_operacion],tblEjecucion[precio],0))</f>
        <v/>
      </c>
      <c r="AH899" s="10">
        <f>IF(tblOrdenes[[#This Row],[orden]]="","",MAX(0,_xlfn.XLOOKUP(tblOrdenes[[#This Row],[id_operacion]],tblEjecucion[id_operacion],tblEjecucion[costo_plan_total],0)-tblOrdenes[[#This Row],[costo_servicio]]))</f>
        <v/>
      </c>
      <c r="AI899" s="10">
        <f>IF(tblOrdenes[[#This Row],[orden]]="","",tblOrdenes[[#This Row],[costo_servicio]]+tblOrdenes[[#This Row],[costo_materiales]])</f>
        <v/>
      </c>
      <c r="AJ899" s="6" t="n"/>
      <c r="AK899" s="6" t="n"/>
      <c r="AL899" s="6" t="n"/>
      <c r="AM899" s="3">
        <f>IF(tblOrdenes[[#This Row],[link_checklist]]="","",HYPERLINK(p_ruta_base_checklists&amp;tblOrdenes[[#This Row],[link_checklist]],"abrir"))</f>
        <v/>
      </c>
      <c r="AN899" s="6" t="n"/>
      <c r="AO899" s="3">
        <f>IF(tblOrdenes[[#This Row],[orden]]="","",tblOrdenes[[#This Row],[orden]]&amp;IF(tblOrdenes[[#This Row],[operacion]]="","0010",tblOrdenes[[#This Row],[operacion]]))</f>
        <v/>
      </c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11" t="n"/>
      <c r="K900" s="3" t="n"/>
      <c r="L900" s="10" t="n"/>
      <c r="M900" s="6" t="n"/>
      <c r="N9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00" s="3">
        <f>IF(tblOrdenes[[#This Row],[fecha_inicio]]="","",YEAR(tblOrdenes[[#This Row],[fecha_inicio]]))</f>
        <v/>
      </c>
      <c r="R900" s="3">
        <f>IF(tblOrdenes[[#This Row],[fecha_inicio]]="","",MONTH(tblOrdenes[[#This Row],[fecha_inicio]]))</f>
        <v/>
      </c>
      <c r="S900" s="3">
        <f>IF(tblOrdenes[[#This Row],[fecha_inicio]]="","",INDEX(lista_dias,WEEKDAY(tblOrdenes[[#This Row],[fecha_inicio]],2)))</f>
        <v/>
      </c>
      <c r="T900" s="3">
        <f>IF(tblOrdenes[[#This Row],[tipo_ot]]="","",_xlfn.XLOOKUP(tblOrdenes[[#This Row],[tipo_ot]],tblTiposOT[codigo],tblTiposOT[clasificacion],"sin_clasificar"))</f>
        <v/>
      </c>
      <c r="U900" s="3">
        <f>IF(tblOrdenes[[#This Row],[centro_costo]]="","",_xlfn.XLOOKUP(tblOrdenes[[#This Row],[centro_costo]],tblCECO[codigo],tblCECO[linea],"(sin catálogo)"))</f>
        <v/>
      </c>
      <c r="V900" s="3">
        <f>IF(tblOrdenes[[#This Row],[centro_costo]]="","",_xlfn.XLOOKUP(tblOrdenes[[#This Row],[centro_costo]],tblCECO[codigo],tblCECO[area],"(sin catálogo)"))</f>
        <v/>
      </c>
      <c r="W900" s="3">
        <f>IF(tblOrdenes[[#This Row],[centro_costo]]="","",_xlfn.XLOOKUP(tblOrdenes[[#This Row],[centro_costo]],tblCECO[codigo],tblCECO[coordinador],"(sin catálogo)"))</f>
        <v/>
      </c>
      <c r="X900" s="3">
        <f>IF(tblOrdenes[[#This Row],[puesto_trabajo]]="","",_xlfn.XLOOKUP(tblOrdenes[[#This Row],[puesto_trabajo]],tblPuestos[codigo],tblPuestos[especialidad],"(sin catálogo)"))</f>
        <v/>
      </c>
      <c r="Y900" s="3">
        <f>IF(tblOrdenes[[#This Row],[cod_actividad]]="","",_xlfn.XLOOKUP(tblOrdenes[[#This Row],[cod_actividad]],tblActividades[codigo],tblActividades[descripcion],"(sin catálogo)"))</f>
        <v/>
      </c>
      <c r="Z900" s="12">
        <f>IF(tblOrdenes[[#This Row],[fecha_inicio]]="","",TODAY()-tblOrdenes[[#This Row],[fecha_inicio]])</f>
        <v/>
      </c>
      <c r="AA900" s="3">
        <f>IF(tblOrdenes[[#This Row],[backlog_dias]]="","",IF(tblOrdenes[[#This Row],[backlog_dias]]&lt;0,"FUTURO",IF(tblOrdenes[[#This Row],[backlog_dias]]&gt;p_dias_backlog_max,"BACKLOG","MES CORRIENTE")))</f>
        <v/>
      </c>
      <c r="AB900" s="3">
        <f>IF(tblOrdenes[[#This Row],[backlog_dias]]="",FALSE,AND(tblOrdenes[[#This Row],[backlog_dias]]&gt;p_dias_backlog_min,tblOrdenes[[#This Row],[backlog_dias]]&lt;=p_dias_backlog_max))</f>
        <v/>
      </c>
      <c r="AC900" s="6" t="n"/>
      <c r="AD9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00" s="10">
        <f>IF(tblOrdenes[[#This Row],[orden]]="","",_xlfn.XLOOKUP(tblOrdenes[[#This Row],[id_operacion]],tblEjecucion[id_operacion],tblEjecucion[precio],0))</f>
        <v/>
      </c>
      <c r="AH900" s="10">
        <f>IF(tblOrdenes[[#This Row],[orden]]="","",MAX(0,_xlfn.XLOOKUP(tblOrdenes[[#This Row],[id_operacion]],tblEjecucion[id_operacion],tblEjecucion[costo_plan_total],0)-tblOrdenes[[#This Row],[costo_servicio]]))</f>
        <v/>
      </c>
      <c r="AI900" s="10">
        <f>IF(tblOrdenes[[#This Row],[orden]]="","",tblOrdenes[[#This Row],[costo_servicio]]+tblOrdenes[[#This Row],[costo_materiales]])</f>
        <v/>
      </c>
      <c r="AJ900" s="6" t="n"/>
      <c r="AK900" s="6" t="n"/>
      <c r="AL900" s="6" t="n"/>
      <c r="AM900" s="3">
        <f>IF(tblOrdenes[[#This Row],[link_checklist]]="","",HYPERLINK(p_ruta_base_checklists&amp;tblOrdenes[[#This Row],[link_checklist]],"abrir"))</f>
        <v/>
      </c>
      <c r="AN900" s="6" t="n"/>
      <c r="AO900" s="3">
        <f>IF(tblOrdenes[[#This Row],[orden]]="","",tblOrdenes[[#This Row],[orden]]&amp;IF(tblOrdenes[[#This Row],[operacion]]="","0010",tblOrdenes[[#This Row],[operacion]]))</f>
        <v/>
      </c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11" t="n"/>
      <c r="K901" s="3" t="n"/>
      <c r="L901" s="10" t="n"/>
      <c r="M901" s="6" t="n"/>
      <c r="N9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01" s="3">
        <f>IF(tblOrdenes[[#This Row],[fecha_inicio]]="","",YEAR(tblOrdenes[[#This Row],[fecha_inicio]]))</f>
        <v/>
      </c>
      <c r="R901" s="3">
        <f>IF(tblOrdenes[[#This Row],[fecha_inicio]]="","",MONTH(tblOrdenes[[#This Row],[fecha_inicio]]))</f>
        <v/>
      </c>
      <c r="S901" s="3">
        <f>IF(tblOrdenes[[#This Row],[fecha_inicio]]="","",INDEX(lista_dias,WEEKDAY(tblOrdenes[[#This Row],[fecha_inicio]],2)))</f>
        <v/>
      </c>
      <c r="T901" s="3">
        <f>IF(tblOrdenes[[#This Row],[tipo_ot]]="","",_xlfn.XLOOKUP(tblOrdenes[[#This Row],[tipo_ot]],tblTiposOT[codigo],tblTiposOT[clasificacion],"sin_clasificar"))</f>
        <v/>
      </c>
      <c r="U901" s="3">
        <f>IF(tblOrdenes[[#This Row],[centro_costo]]="","",_xlfn.XLOOKUP(tblOrdenes[[#This Row],[centro_costo]],tblCECO[codigo],tblCECO[linea],"(sin catálogo)"))</f>
        <v/>
      </c>
      <c r="V901" s="3">
        <f>IF(tblOrdenes[[#This Row],[centro_costo]]="","",_xlfn.XLOOKUP(tblOrdenes[[#This Row],[centro_costo]],tblCECO[codigo],tblCECO[area],"(sin catálogo)"))</f>
        <v/>
      </c>
      <c r="W901" s="3">
        <f>IF(tblOrdenes[[#This Row],[centro_costo]]="","",_xlfn.XLOOKUP(tblOrdenes[[#This Row],[centro_costo]],tblCECO[codigo],tblCECO[coordinador],"(sin catálogo)"))</f>
        <v/>
      </c>
      <c r="X901" s="3">
        <f>IF(tblOrdenes[[#This Row],[puesto_trabajo]]="","",_xlfn.XLOOKUP(tblOrdenes[[#This Row],[puesto_trabajo]],tblPuestos[codigo],tblPuestos[especialidad],"(sin catálogo)"))</f>
        <v/>
      </c>
      <c r="Y901" s="3">
        <f>IF(tblOrdenes[[#This Row],[cod_actividad]]="","",_xlfn.XLOOKUP(tblOrdenes[[#This Row],[cod_actividad]],tblActividades[codigo],tblActividades[descripcion],"(sin catálogo)"))</f>
        <v/>
      </c>
      <c r="Z901" s="12">
        <f>IF(tblOrdenes[[#This Row],[fecha_inicio]]="","",TODAY()-tblOrdenes[[#This Row],[fecha_inicio]])</f>
        <v/>
      </c>
      <c r="AA901" s="3">
        <f>IF(tblOrdenes[[#This Row],[backlog_dias]]="","",IF(tblOrdenes[[#This Row],[backlog_dias]]&lt;0,"FUTURO",IF(tblOrdenes[[#This Row],[backlog_dias]]&gt;p_dias_backlog_max,"BACKLOG","MES CORRIENTE")))</f>
        <v/>
      </c>
      <c r="AB901" s="3">
        <f>IF(tblOrdenes[[#This Row],[backlog_dias]]="",FALSE,AND(tblOrdenes[[#This Row],[backlog_dias]]&gt;p_dias_backlog_min,tblOrdenes[[#This Row],[backlog_dias]]&lt;=p_dias_backlog_max))</f>
        <v/>
      </c>
      <c r="AC901" s="6" t="n"/>
      <c r="AD9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01" s="10">
        <f>IF(tblOrdenes[[#This Row],[orden]]="","",_xlfn.XLOOKUP(tblOrdenes[[#This Row],[id_operacion]],tblEjecucion[id_operacion],tblEjecucion[precio],0))</f>
        <v/>
      </c>
      <c r="AH901" s="10">
        <f>IF(tblOrdenes[[#This Row],[orden]]="","",MAX(0,_xlfn.XLOOKUP(tblOrdenes[[#This Row],[id_operacion]],tblEjecucion[id_operacion],tblEjecucion[costo_plan_total],0)-tblOrdenes[[#This Row],[costo_servicio]]))</f>
        <v/>
      </c>
      <c r="AI901" s="10">
        <f>IF(tblOrdenes[[#This Row],[orden]]="","",tblOrdenes[[#This Row],[costo_servicio]]+tblOrdenes[[#This Row],[costo_materiales]])</f>
        <v/>
      </c>
      <c r="AJ901" s="6" t="n"/>
      <c r="AK901" s="6" t="n"/>
      <c r="AL901" s="6" t="n"/>
      <c r="AM901" s="3">
        <f>IF(tblOrdenes[[#This Row],[link_checklist]]="","",HYPERLINK(p_ruta_base_checklists&amp;tblOrdenes[[#This Row],[link_checklist]],"abrir"))</f>
        <v/>
      </c>
      <c r="AN901" s="6" t="n"/>
      <c r="AO901" s="3">
        <f>IF(tblOrdenes[[#This Row],[orden]]="","",tblOrdenes[[#This Row],[orden]]&amp;IF(tblOrdenes[[#This Row],[operacion]]="","0010",tblOrdenes[[#This Row],[operacion]]))</f>
        <v/>
      </c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11" t="n"/>
      <c r="K902" s="3" t="n"/>
      <c r="L902" s="10" t="n"/>
      <c r="M902" s="6" t="n"/>
      <c r="N9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02" s="3">
        <f>IF(tblOrdenes[[#This Row],[fecha_inicio]]="","",YEAR(tblOrdenes[[#This Row],[fecha_inicio]]))</f>
        <v/>
      </c>
      <c r="R902" s="3">
        <f>IF(tblOrdenes[[#This Row],[fecha_inicio]]="","",MONTH(tblOrdenes[[#This Row],[fecha_inicio]]))</f>
        <v/>
      </c>
      <c r="S902" s="3">
        <f>IF(tblOrdenes[[#This Row],[fecha_inicio]]="","",INDEX(lista_dias,WEEKDAY(tblOrdenes[[#This Row],[fecha_inicio]],2)))</f>
        <v/>
      </c>
      <c r="T902" s="3">
        <f>IF(tblOrdenes[[#This Row],[tipo_ot]]="","",_xlfn.XLOOKUP(tblOrdenes[[#This Row],[tipo_ot]],tblTiposOT[codigo],tblTiposOT[clasificacion],"sin_clasificar"))</f>
        <v/>
      </c>
      <c r="U902" s="3">
        <f>IF(tblOrdenes[[#This Row],[centro_costo]]="","",_xlfn.XLOOKUP(tblOrdenes[[#This Row],[centro_costo]],tblCECO[codigo],tblCECO[linea],"(sin catálogo)"))</f>
        <v/>
      </c>
      <c r="V902" s="3">
        <f>IF(tblOrdenes[[#This Row],[centro_costo]]="","",_xlfn.XLOOKUP(tblOrdenes[[#This Row],[centro_costo]],tblCECO[codigo],tblCECO[area],"(sin catálogo)"))</f>
        <v/>
      </c>
      <c r="W902" s="3">
        <f>IF(tblOrdenes[[#This Row],[centro_costo]]="","",_xlfn.XLOOKUP(tblOrdenes[[#This Row],[centro_costo]],tblCECO[codigo],tblCECO[coordinador],"(sin catálogo)"))</f>
        <v/>
      </c>
      <c r="X902" s="3">
        <f>IF(tblOrdenes[[#This Row],[puesto_trabajo]]="","",_xlfn.XLOOKUP(tblOrdenes[[#This Row],[puesto_trabajo]],tblPuestos[codigo],tblPuestos[especialidad],"(sin catálogo)"))</f>
        <v/>
      </c>
      <c r="Y902" s="3">
        <f>IF(tblOrdenes[[#This Row],[cod_actividad]]="","",_xlfn.XLOOKUP(tblOrdenes[[#This Row],[cod_actividad]],tblActividades[codigo],tblActividades[descripcion],"(sin catálogo)"))</f>
        <v/>
      </c>
      <c r="Z902" s="12">
        <f>IF(tblOrdenes[[#This Row],[fecha_inicio]]="","",TODAY()-tblOrdenes[[#This Row],[fecha_inicio]])</f>
        <v/>
      </c>
      <c r="AA902" s="3">
        <f>IF(tblOrdenes[[#This Row],[backlog_dias]]="","",IF(tblOrdenes[[#This Row],[backlog_dias]]&lt;0,"FUTURO",IF(tblOrdenes[[#This Row],[backlog_dias]]&gt;p_dias_backlog_max,"BACKLOG","MES CORRIENTE")))</f>
        <v/>
      </c>
      <c r="AB902" s="3">
        <f>IF(tblOrdenes[[#This Row],[backlog_dias]]="",FALSE,AND(tblOrdenes[[#This Row],[backlog_dias]]&gt;p_dias_backlog_min,tblOrdenes[[#This Row],[backlog_dias]]&lt;=p_dias_backlog_max))</f>
        <v/>
      </c>
      <c r="AC902" s="6" t="n"/>
      <c r="AD9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02" s="10">
        <f>IF(tblOrdenes[[#This Row],[orden]]="","",_xlfn.XLOOKUP(tblOrdenes[[#This Row],[id_operacion]],tblEjecucion[id_operacion],tblEjecucion[precio],0))</f>
        <v/>
      </c>
      <c r="AH902" s="10">
        <f>IF(tblOrdenes[[#This Row],[orden]]="","",MAX(0,_xlfn.XLOOKUP(tblOrdenes[[#This Row],[id_operacion]],tblEjecucion[id_operacion],tblEjecucion[costo_plan_total],0)-tblOrdenes[[#This Row],[costo_servicio]]))</f>
        <v/>
      </c>
      <c r="AI902" s="10">
        <f>IF(tblOrdenes[[#This Row],[orden]]="","",tblOrdenes[[#This Row],[costo_servicio]]+tblOrdenes[[#This Row],[costo_materiales]])</f>
        <v/>
      </c>
      <c r="AJ902" s="6" t="n"/>
      <c r="AK902" s="6" t="n"/>
      <c r="AL902" s="6" t="n"/>
      <c r="AM902" s="3">
        <f>IF(tblOrdenes[[#This Row],[link_checklist]]="","",HYPERLINK(p_ruta_base_checklists&amp;tblOrdenes[[#This Row],[link_checklist]],"abrir"))</f>
        <v/>
      </c>
      <c r="AN902" s="6" t="n"/>
      <c r="AO902" s="3">
        <f>IF(tblOrdenes[[#This Row],[orden]]="","",tblOrdenes[[#This Row],[orden]]&amp;IF(tblOrdenes[[#This Row],[operacion]]="","0010",tblOrdenes[[#This Row],[operacion]]))</f>
        <v/>
      </c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11" t="n"/>
      <c r="K903" s="3" t="n"/>
      <c r="L903" s="10" t="n"/>
      <c r="M903" s="6" t="n"/>
      <c r="N9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03" s="3">
        <f>IF(tblOrdenes[[#This Row],[fecha_inicio]]="","",YEAR(tblOrdenes[[#This Row],[fecha_inicio]]))</f>
        <v/>
      </c>
      <c r="R903" s="3">
        <f>IF(tblOrdenes[[#This Row],[fecha_inicio]]="","",MONTH(tblOrdenes[[#This Row],[fecha_inicio]]))</f>
        <v/>
      </c>
      <c r="S903" s="3">
        <f>IF(tblOrdenes[[#This Row],[fecha_inicio]]="","",INDEX(lista_dias,WEEKDAY(tblOrdenes[[#This Row],[fecha_inicio]],2)))</f>
        <v/>
      </c>
      <c r="T903" s="3">
        <f>IF(tblOrdenes[[#This Row],[tipo_ot]]="","",_xlfn.XLOOKUP(tblOrdenes[[#This Row],[tipo_ot]],tblTiposOT[codigo],tblTiposOT[clasificacion],"sin_clasificar"))</f>
        <v/>
      </c>
      <c r="U903" s="3">
        <f>IF(tblOrdenes[[#This Row],[centro_costo]]="","",_xlfn.XLOOKUP(tblOrdenes[[#This Row],[centro_costo]],tblCECO[codigo],tblCECO[linea],"(sin catálogo)"))</f>
        <v/>
      </c>
      <c r="V903" s="3">
        <f>IF(tblOrdenes[[#This Row],[centro_costo]]="","",_xlfn.XLOOKUP(tblOrdenes[[#This Row],[centro_costo]],tblCECO[codigo],tblCECO[area],"(sin catálogo)"))</f>
        <v/>
      </c>
      <c r="W903" s="3">
        <f>IF(tblOrdenes[[#This Row],[centro_costo]]="","",_xlfn.XLOOKUP(tblOrdenes[[#This Row],[centro_costo]],tblCECO[codigo],tblCECO[coordinador],"(sin catálogo)"))</f>
        <v/>
      </c>
      <c r="X903" s="3">
        <f>IF(tblOrdenes[[#This Row],[puesto_trabajo]]="","",_xlfn.XLOOKUP(tblOrdenes[[#This Row],[puesto_trabajo]],tblPuestos[codigo],tblPuestos[especialidad],"(sin catálogo)"))</f>
        <v/>
      </c>
      <c r="Y903" s="3">
        <f>IF(tblOrdenes[[#This Row],[cod_actividad]]="","",_xlfn.XLOOKUP(tblOrdenes[[#This Row],[cod_actividad]],tblActividades[codigo],tblActividades[descripcion],"(sin catálogo)"))</f>
        <v/>
      </c>
      <c r="Z903" s="12">
        <f>IF(tblOrdenes[[#This Row],[fecha_inicio]]="","",TODAY()-tblOrdenes[[#This Row],[fecha_inicio]])</f>
        <v/>
      </c>
      <c r="AA903" s="3">
        <f>IF(tblOrdenes[[#This Row],[backlog_dias]]="","",IF(tblOrdenes[[#This Row],[backlog_dias]]&lt;0,"FUTURO",IF(tblOrdenes[[#This Row],[backlog_dias]]&gt;p_dias_backlog_max,"BACKLOG","MES CORRIENTE")))</f>
        <v/>
      </c>
      <c r="AB903" s="3">
        <f>IF(tblOrdenes[[#This Row],[backlog_dias]]="",FALSE,AND(tblOrdenes[[#This Row],[backlog_dias]]&gt;p_dias_backlog_min,tblOrdenes[[#This Row],[backlog_dias]]&lt;=p_dias_backlog_max))</f>
        <v/>
      </c>
      <c r="AC903" s="6" t="n"/>
      <c r="AD9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03" s="10">
        <f>IF(tblOrdenes[[#This Row],[orden]]="","",_xlfn.XLOOKUP(tblOrdenes[[#This Row],[id_operacion]],tblEjecucion[id_operacion],tblEjecucion[precio],0))</f>
        <v/>
      </c>
      <c r="AH903" s="10">
        <f>IF(tblOrdenes[[#This Row],[orden]]="","",MAX(0,_xlfn.XLOOKUP(tblOrdenes[[#This Row],[id_operacion]],tblEjecucion[id_operacion],tblEjecucion[costo_plan_total],0)-tblOrdenes[[#This Row],[costo_servicio]]))</f>
        <v/>
      </c>
      <c r="AI903" s="10">
        <f>IF(tblOrdenes[[#This Row],[orden]]="","",tblOrdenes[[#This Row],[costo_servicio]]+tblOrdenes[[#This Row],[costo_materiales]])</f>
        <v/>
      </c>
      <c r="AJ903" s="6" t="n"/>
      <c r="AK903" s="6" t="n"/>
      <c r="AL903" s="6" t="n"/>
      <c r="AM903" s="3">
        <f>IF(tblOrdenes[[#This Row],[link_checklist]]="","",HYPERLINK(p_ruta_base_checklists&amp;tblOrdenes[[#This Row],[link_checklist]],"abrir"))</f>
        <v/>
      </c>
      <c r="AN903" s="6" t="n"/>
      <c r="AO903" s="3">
        <f>IF(tblOrdenes[[#This Row],[orden]]="","",tblOrdenes[[#This Row],[orden]]&amp;IF(tblOrdenes[[#This Row],[operacion]]="","0010",tblOrdenes[[#This Row],[operacion]]))</f>
        <v/>
      </c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11" t="n"/>
      <c r="K904" s="3" t="n"/>
      <c r="L904" s="10" t="n"/>
      <c r="M904" s="6" t="n"/>
      <c r="N90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0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0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04" s="3">
        <f>IF(tblOrdenes[[#This Row],[fecha_inicio]]="","",YEAR(tblOrdenes[[#This Row],[fecha_inicio]]))</f>
        <v/>
      </c>
      <c r="R904" s="3">
        <f>IF(tblOrdenes[[#This Row],[fecha_inicio]]="","",MONTH(tblOrdenes[[#This Row],[fecha_inicio]]))</f>
        <v/>
      </c>
      <c r="S904" s="3">
        <f>IF(tblOrdenes[[#This Row],[fecha_inicio]]="","",INDEX(lista_dias,WEEKDAY(tblOrdenes[[#This Row],[fecha_inicio]],2)))</f>
        <v/>
      </c>
      <c r="T904" s="3">
        <f>IF(tblOrdenes[[#This Row],[tipo_ot]]="","",_xlfn.XLOOKUP(tblOrdenes[[#This Row],[tipo_ot]],tblTiposOT[codigo],tblTiposOT[clasificacion],"sin_clasificar"))</f>
        <v/>
      </c>
      <c r="U904" s="3">
        <f>IF(tblOrdenes[[#This Row],[centro_costo]]="","",_xlfn.XLOOKUP(tblOrdenes[[#This Row],[centro_costo]],tblCECO[codigo],tblCECO[linea],"(sin catálogo)"))</f>
        <v/>
      </c>
      <c r="V904" s="3">
        <f>IF(tblOrdenes[[#This Row],[centro_costo]]="","",_xlfn.XLOOKUP(tblOrdenes[[#This Row],[centro_costo]],tblCECO[codigo],tblCECO[area],"(sin catálogo)"))</f>
        <v/>
      </c>
      <c r="W904" s="3">
        <f>IF(tblOrdenes[[#This Row],[centro_costo]]="","",_xlfn.XLOOKUP(tblOrdenes[[#This Row],[centro_costo]],tblCECO[codigo],tblCECO[coordinador],"(sin catálogo)"))</f>
        <v/>
      </c>
      <c r="X904" s="3">
        <f>IF(tblOrdenes[[#This Row],[puesto_trabajo]]="","",_xlfn.XLOOKUP(tblOrdenes[[#This Row],[puesto_trabajo]],tblPuestos[codigo],tblPuestos[especialidad],"(sin catálogo)"))</f>
        <v/>
      </c>
      <c r="Y904" s="3">
        <f>IF(tblOrdenes[[#This Row],[cod_actividad]]="","",_xlfn.XLOOKUP(tblOrdenes[[#This Row],[cod_actividad]],tblActividades[codigo],tblActividades[descripcion],"(sin catálogo)"))</f>
        <v/>
      </c>
      <c r="Z904" s="12">
        <f>IF(tblOrdenes[[#This Row],[fecha_inicio]]="","",TODAY()-tblOrdenes[[#This Row],[fecha_inicio]])</f>
        <v/>
      </c>
      <c r="AA904" s="3">
        <f>IF(tblOrdenes[[#This Row],[backlog_dias]]="","",IF(tblOrdenes[[#This Row],[backlog_dias]]&lt;0,"FUTURO",IF(tblOrdenes[[#This Row],[backlog_dias]]&gt;p_dias_backlog_max,"BACKLOG","MES CORRIENTE")))</f>
        <v/>
      </c>
      <c r="AB904" s="3">
        <f>IF(tblOrdenes[[#This Row],[backlog_dias]]="",FALSE,AND(tblOrdenes[[#This Row],[backlog_dias]]&gt;p_dias_backlog_min,tblOrdenes[[#This Row],[backlog_dias]]&lt;=p_dias_backlog_max))</f>
        <v/>
      </c>
      <c r="AC904" s="6" t="n"/>
      <c r="AD90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0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0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04" s="10">
        <f>IF(tblOrdenes[[#This Row],[orden]]="","",_xlfn.XLOOKUP(tblOrdenes[[#This Row],[id_operacion]],tblEjecucion[id_operacion],tblEjecucion[precio],0))</f>
        <v/>
      </c>
      <c r="AH904" s="10">
        <f>IF(tblOrdenes[[#This Row],[orden]]="","",MAX(0,_xlfn.XLOOKUP(tblOrdenes[[#This Row],[id_operacion]],tblEjecucion[id_operacion],tblEjecucion[costo_plan_total],0)-tblOrdenes[[#This Row],[costo_servicio]]))</f>
        <v/>
      </c>
      <c r="AI904" s="10">
        <f>IF(tblOrdenes[[#This Row],[orden]]="","",tblOrdenes[[#This Row],[costo_servicio]]+tblOrdenes[[#This Row],[costo_materiales]])</f>
        <v/>
      </c>
      <c r="AJ904" s="6" t="n"/>
      <c r="AK904" s="6" t="n"/>
      <c r="AL904" s="6" t="n"/>
      <c r="AM904" s="3">
        <f>IF(tblOrdenes[[#This Row],[link_checklist]]="","",HYPERLINK(p_ruta_base_checklists&amp;tblOrdenes[[#This Row],[link_checklist]],"abrir"))</f>
        <v/>
      </c>
      <c r="AN904" s="6" t="n"/>
      <c r="AO904" s="3">
        <f>IF(tblOrdenes[[#This Row],[orden]]="","",tblOrdenes[[#This Row],[orden]]&amp;IF(tblOrdenes[[#This Row],[operacion]]="","0010",tblOrdenes[[#This Row],[operacion]]))</f>
        <v/>
      </c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11" t="n"/>
      <c r="K905" s="3" t="n"/>
      <c r="L905" s="10" t="n"/>
      <c r="M905" s="6" t="n"/>
      <c r="N90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0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0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05" s="3">
        <f>IF(tblOrdenes[[#This Row],[fecha_inicio]]="","",YEAR(tblOrdenes[[#This Row],[fecha_inicio]]))</f>
        <v/>
      </c>
      <c r="R905" s="3">
        <f>IF(tblOrdenes[[#This Row],[fecha_inicio]]="","",MONTH(tblOrdenes[[#This Row],[fecha_inicio]]))</f>
        <v/>
      </c>
      <c r="S905" s="3">
        <f>IF(tblOrdenes[[#This Row],[fecha_inicio]]="","",INDEX(lista_dias,WEEKDAY(tblOrdenes[[#This Row],[fecha_inicio]],2)))</f>
        <v/>
      </c>
      <c r="T905" s="3">
        <f>IF(tblOrdenes[[#This Row],[tipo_ot]]="","",_xlfn.XLOOKUP(tblOrdenes[[#This Row],[tipo_ot]],tblTiposOT[codigo],tblTiposOT[clasificacion],"sin_clasificar"))</f>
        <v/>
      </c>
      <c r="U905" s="3">
        <f>IF(tblOrdenes[[#This Row],[centro_costo]]="","",_xlfn.XLOOKUP(tblOrdenes[[#This Row],[centro_costo]],tblCECO[codigo],tblCECO[linea],"(sin catálogo)"))</f>
        <v/>
      </c>
      <c r="V905" s="3">
        <f>IF(tblOrdenes[[#This Row],[centro_costo]]="","",_xlfn.XLOOKUP(tblOrdenes[[#This Row],[centro_costo]],tblCECO[codigo],tblCECO[area],"(sin catálogo)"))</f>
        <v/>
      </c>
      <c r="W905" s="3">
        <f>IF(tblOrdenes[[#This Row],[centro_costo]]="","",_xlfn.XLOOKUP(tblOrdenes[[#This Row],[centro_costo]],tblCECO[codigo],tblCECO[coordinador],"(sin catálogo)"))</f>
        <v/>
      </c>
      <c r="X905" s="3">
        <f>IF(tblOrdenes[[#This Row],[puesto_trabajo]]="","",_xlfn.XLOOKUP(tblOrdenes[[#This Row],[puesto_trabajo]],tblPuestos[codigo],tblPuestos[especialidad],"(sin catálogo)"))</f>
        <v/>
      </c>
      <c r="Y905" s="3">
        <f>IF(tblOrdenes[[#This Row],[cod_actividad]]="","",_xlfn.XLOOKUP(tblOrdenes[[#This Row],[cod_actividad]],tblActividades[codigo],tblActividades[descripcion],"(sin catálogo)"))</f>
        <v/>
      </c>
      <c r="Z905" s="12">
        <f>IF(tblOrdenes[[#This Row],[fecha_inicio]]="","",TODAY()-tblOrdenes[[#This Row],[fecha_inicio]])</f>
        <v/>
      </c>
      <c r="AA905" s="3">
        <f>IF(tblOrdenes[[#This Row],[backlog_dias]]="","",IF(tblOrdenes[[#This Row],[backlog_dias]]&lt;0,"FUTURO",IF(tblOrdenes[[#This Row],[backlog_dias]]&gt;p_dias_backlog_max,"BACKLOG","MES CORRIENTE")))</f>
        <v/>
      </c>
      <c r="AB905" s="3">
        <f>IF(tblOrdenes[[#This Row],[backlog_dias]]="",FALSE,AND(tblOrdenes[[#This Row],[backlog_dias]]&gt;p_dias_backlog_min,tblOrdenes[[#This Row],[backlog_dias]]&lt;=p_dias_backlog_max))</f>
        <v/>
      </c>
      <c r="AC905" s="6" t="n"/>
      <c r="AD90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0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0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05" s="10">
        <f>IF(tblOrdenes[[#This Row],[orden]]="","",_xlfn.XLOOKUP(tblOrdenes[[#This Row],[id_operacion]],tblEjecucion[id_operacion],tblEjecucion[precio],0))</f>
        <v/>
      </c>
      <c r="AH905" s="10">
        <f>IF(tblOrdenes[[#This Row],[orden]]="","",MAX(0,_xlfn.XLOOKUP(tblOrdenes[[#This Row],[id_operacion]],tblEjecucion[id_operacion],tblEjecucion[costo_plan_total],0)-tblOrdenes[[#This Row],[costo_servicio]]))</f>
        <v/>
      </c>
      <c r="AI905" s="10">
        <f>IF(tblOrdenes[[#This Row],[orden]]="","",tblOrdenes[[#This Row],[costo_servicio]]+tblOrdenes[[#This Row],[costo_materiales]])</f>
        <v/>
      </c>
      <c r="AJ905" s="6" t="n"/>
      <c r="AK905" s="6" t="n"/>
      <c r="AL905" s="6" t="n"/>
      <c r="AM905" s="3">
        <f>IF(tblOrdenes[[#This Row],[link_checklist]]="","",HYPERLINK(p_ruta_base_checklists&amp;tblOrdenes[[#This Row],[link_checklist]],"abrir"))</f>
        <v/>
      </c>
      <c r="AN905" s="6" t="n"/>
      <c r="AO905" s="3">
        <f>IF(tblOrdenes[[#This Row],[orden]]="","",tblOrdenes[[#This Row],[orden]]&amp;IF(tblOrdenes[[#This Row],[operacion]]="","0010",tblOrdenes[[#This Row],[operacion]]))</f>
        <v/>
      </c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11" t="n"/>
      <c r="K906" s="3" t="n"/>
      <c r="L906" s="10" t="n"/>
      <c r="M906" s="6" t="n"/>
      <c r="N90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0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0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06" s="3">
        <f>IF(tblOrdenes[[#This Row],[fecha_inicio]]="","",YEAR(tblOrdenes[[#This Row],[fecha_inicio]]))</f>
        <v/>
      </c>
      <c r="R906" s="3">
        <f>IF(tblOrdenes[[#This Row],[fecha_inicio]]="","",MONTH(tblOrdenes[[#This Row],[fecha_inicio]]))</f>
        <v/>
      </c>
      <c r="S906" s="3">
        <f>IF(tblOrdenes[[#This Row],[fecha_inicio]]="","",INDEX(lista_dias,WEEKDAY(tblOrdenes[[#This Row],[fecha_inicio]],2)))</f>
        <v/>
      </c>
      <c r="T906" s="3">
        <f>IF(tblOrdenes[[#This Row],[tipo_ot]]="","",_xlfn.XLOOKUP(tblOrdenes[[#This Row],[tipo_ot]],tblTiposOT[codigo],tblTiposOT[clasificacion],"sin_clasificar"))</f>
        <v/>
      </c>
      <c r="U906" s="3">
        <f>IF(tblOrdenes[[#This Row],[centro_costo]]="","",_xlfn.XLOOKUP(tblOrdenes[[#This Row],[centro_costo]],tblCECO[codigo],tblCECO[linea],"(sin catálogo)"))</f>
        <v/>
      </c>
      <c r="V906" s="3">
        <f>IF(tblOrdenes[[#This Row],[centro_costo]]="","",_xlfn.XLOOKUP(tblOrdenes[[#This Row],[centro_costo]],tblCECO[codigo],tblCECO[area],"(sin catálogo)"))</f>
        <v/>
      </c>
      <c r="W906" s="3">
        <f>IF(tblOrdenes[[#This Row],[centro_costo]]="","",_xlfn.XLOOKUP(tblOrdenes[[#This Row],[centro_costo]],tblCECO[codigo],tblCECO[coordinador],"(sin catálogo)"))</f>
        <v/>
      </c>
      <c r="X906" s="3">
        <f>IF(tblOrdenes[[#This Row],[puesto_trabajo]]="","",_xlfn.XLOOKUP(tblOrdenes[[#This Row],[puesto_trabajo]],tblPuestos[codigo],tblPuestos[especialidad],"(sin catálogo)"))</f>
        <v/>
      </c>
      <c r="Y906" s="3">
        <f>IF(tblOrdenes[[#This Row],[cod_actividad]]="","",_xlfn.XLOOKUP(tblOrdenes[[#This Row],[cod_actividad]],tblActividades[codigo],tblActividades[descripcion],"(sin catálogo)"))</f>
        <v/>
      </c>
      <c r="Z906" s="12">
        <f>IF(tblOrdenes[[#This Row],[fecha_inicio]]="","",TODAY()-tblOrdenes[[#This Row],[fecha_inicio]])</f>
        <v/>
      </c>
      <c r="AA906" s="3">
        <f>IF(tblOrdenes[[#This Row],[backlog_dias]]="","",IF(tblOrdenes[[#This Row],[backlog_dias]]&lt;0,"FUTURO",IF(tblOrdenes[[#This Row],[backlog_dias]]&gt;p_dias_backlog_max,"BACKLOG","MES CORRIENTE")))</f>
        <v/>
      </c>
      <c r="AB906" s="3">
        <f>IF(tblOrdenes[[#This Row],[backlog_dias]]="",FALSE,AND(tblOrdenes[[#This Row],[backlog_dias]]&gt;p_dias_backlog_min,tblOrdenes[[#This Row],[backlog_dias]]&lt;=p_dias_backlog_max))</f>
        <v/>
      </c>
      <c r="AC906" s="6" t="n"/>
      <c r="AD90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0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0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06" s="10">
        <f>IF(tblOrdenes[[#This Row],[orden]]="","",_xlfn.XLOOKUP(tblOrdenes[[#This Row],[id_operacion]],tblEjecucion[id_operacion],tblEjecucion[precio],0))</f>
        <v/>
      </c>
      <c r="AH906" s="10">
        <f>IF(tblOrdenes[[#This Row],[orden]]="","",MAX(0,_xlfn.XLOOKUP(tblOrdenes[[#This Row],[id_operacion]],tblEjecucion[id_operacion],tblEjecucion[costo_plan_total],0)-tblOrdenes[[#This Row],[costo_servicio]]))</f>
        <v/>
      </c>
      <c r="AI906" s="10">
        <f>IF(tblOrdenes[[#This Row],[orden]]="","",tblOrdenes[[#This Row],[costo_servicio]]+tblOrdenes[[#This Row],[costo_materiales]])</f>
        <v/>
      </c>
      <c r="AJ906" s="6" t="n"/>
      <c r="AK906" s="6" t="n"/>
      <c r="AL906" s="6" t="n"/>
      <c r="AM906" s="3">
        <f>IF(tblOrdenes[[#This Row],[link_checklist]]="","",HYPERLINK(p_ruta_base_checklists&amp;tblOrdenes[[#This Row],[link_checklist]],"abrir"))</f>
        <v/>
      </c>
      <c r="AN906" s="6" t="n"/>
      <c r="AO906" s="3">
        <f>IF(tblOrdenes[[#This Row],[orden]]="","",tblOrdenes[[#This Row],[orden]]&amp;IF(tblOrdenes[[#This Row],[operacion]]="","0010",tblOrdenes[[#This Row],[operacion]]))</f>
        <v/>
      </c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11" t="n"/>
      <c r="K907" s="3" t="n"/>
      <c r="L907" s="10" t="n"/>
      <c r="M907" s="6" t="n"/>
      <c r="N90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0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0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07" s="3">
        <f>IF(tblOrdenes[[#This Row],[fecha_inicio]]="","",YEAR(tblOrdenes[[#This Row],[fecha_inicio]]))</f>
        <v/>
      </c>
      <c r="R907" s="3">
        <f>IF(tblOrdenes[[#This Row],[fecha_inicio]]="","",MONTH(tblOrdenes[[#This Row],[fecha_inicio]]))</f>
        <v/>
      </c>
      <c r="S907" s="3">
        <f>IF(tblOrdenes[[#This Row],[fecha_inicio]]="","",INDEX(lista_dias,WEEKDAY(tblOrdenes[[#This Row],[fecha_inicio]],2)))</f>
        <v/>
      </c>
      <c r="T907" s="3">
        <f>IF(tblOrdenes[[#This Row],[tipo_ot]]="","",_xlfn.XLOOKUP(tblOrdenes[[#This Row],[tipo_ot]],tblTiposOT[codigo],tblTiposOT[clasificacion],"sin_clasificar"))</f>
        <v/>
      </c>
      <c r="U907" s="3">
        <f>IF(tblOrdenes[[#This Row],[centro_costo]]="","",_xlfn.XLOOKUP(tblOrdenes[[#This Row],[centro_costo]],tblCECO[codigo],tblCECO[linea],"(sin catálogo)"))</f>
        <v/>
      </c>
      <c r="V907" s="3">
        <f>IF(tblOrdenes[[#This Row],[centro_costo]]="","",_xlfn.XLOOKUP(tblOrdenes[[#This Row],[centro_costo]],tblCECO[codigo],tblCECO[area],"(sin catálogo)"))</f>
        <v/>
      </c>
      <c r="W907" s="3">
        <f>IF(tblOrdenes[[#This Row],[centro_costo]]="","",_xlfn.XLOOKUP(tblOrdenes[[#This Row],[centro_costo]],tblCECO[codigo],tblCECO[coordinador],"(sin catálogo)"))</f>
        <v/>
      </c>
      <c r="X907" s="3">
        <f>IF(tblOrdenes[[#This Row],[puesto_trabajo]]="","",_xlfn.XLOOKUP(tblOrdenes[[#This Row],[puesto_trabajo]],tblPuestos[codigo],tblPuestos[especialidad],"(sin catálogo)"))</f>
        <v/>
      </c>
      <c r="Y907" s="3">
        <f>IF(tblOrdenes[[#This Row],[cod_actividad]]="","",_xlfn.XLOOKUP(tblOrdenes[[#This Row],[cod_actividad]],tblActividades[codigo],tblActividades[descripcion],"(sin catálogo)"))</f>
        <v/>
      </c>
      <c r="Z907" s="12">
        <f>IF(tblOrdenes[[#This Row],[fecha_inicio]]="","",TODAY()-tblOrdenes[[#This Row],[fecha_inicio]])</f>
        <v/>
      </c>
      <c r="AA907" s="3">
        <f>IF(tblOrdenes[[#This Row],[backlog_dias]]="","",IF(tblOrdenes[[#This Row],[backlog_dias]]&lt;0,"FUTURO",IF(tblOrdenes[[#This Row],[backlog_dias]]&gt;p_dias_backlog_max,"BACKLOG","MES CORRIENTE")))</f>
        <v/>
      </c>
      <c r="AB907" s="3">
        <f>IF(tblOrdenes[[#This Row],[backlog_dias]]="",FALSE,AND(tblOrdenes[[#This Row],[backlog_dias]]&gt;p_dias_backlog_min,tblOrdenes[[#This Row],[backlog_dias]]&lt;=p_dias_backlog_max))</f>
        <v/>
      </c>
      <c r="AC907" s="6" t="n"/>
      <c r="AD90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0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0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07" s="10">
        <f>IF(tblOrdenes[[#This Row],[orden]]="","",_xlfn.XLOOKUP(tblOrdenes[[#This Row],[id_operacion]],tblEjecucion[id_operacion],tblEjecucion[precio],0))</f>
        <v/>
      </c>
      <c r="AH907" s="10">
        <f>IF(tblOrdenes[[#This Row],[orden]]="","",MAX(0,_xlfn.XLOOKUP(tblOrdenes[[#This Row],[id_operacion]],tblEjecucion[id_operacion],tblEjecucion[costo_plan_total],0)-tblOrdenes[[#This Row],[costo_servicio]]))</f>
        <v/>
      </c>
      <c r="AI907" s="10">
        <f>IF(tblOrdenes[[#This Row],[orden]]="","",tblOrdenes[[#This Row],[costo_servicio]]+tblOrdenes[[#This Row],[costo_materiales]])</f>
        <v/>
      </c>
      <c r="AJ907" s="6" t="n"/>
      <c r="AK907" s="6" t="n"/>
      <c r="AL907" s="6" t="n"/>
      <c r="AM907" s="3">
        <f>IF(tblOrdenes[[#This Row],[link_checklist]]="","",HYPERLINK(p_ruta_base_checklists&amp;tblOrdenes[[#This Row],[link_checklist]],"abrir"))</f>
        <v/>
      </c>
      <c r="AN907" s="6" t="n"/>
      <c r="AO907" s="3">
        <f>IF(tblOrdenes[[#This Row],[orden]]="","",tblOrdenes[[#This Row],[orden]]&amp;IF(tblOrdenes[[#This Row],[operacion]]="","0010",tblOrdenes[[#This Row],[operacion]]))</f>
        <v/>
      </c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11" t="n"/>
      <c r="K908" s="3" t="n"/>
      <c r="L908" s="10" t="n"/>
      <c r="M908" s="6" t="n"/>
      <c r="N90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0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0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08" s="3">
        <f>IF(tblOrdenes[[#This Row],[fecha_inicio]]="","",YEAR(tblOrdenes[[#This Row],[fecha_inicio]]))</f>
        <v/>
      </c>
      <c r="R908" s="3">
        <f>IF(tblOrdenes[[#This Row],[fecha_inicio]]="","",MONTH(tblOrdenes[[#This Row],[fecha_inicio]]))</f>
        <v/>
      </c>
      <c r="S908" s="3">
        <f>IF(tblOrdenes[[#This Row],[fecha_inicio]]="","",INDEX(lista_dias,WEEKDAY(tblOrdenes[[#This Row],[fecha_inicio]],2)))</f>
        <v/>
      </c>
      <c r="T908" s="3">
        <f>IF(tblOrdenes[[#This Row],[tipo_ot]]="","",_xlfn.XLOOKUP(tblOrdenes[[#This Row],[tipo_ot]],tblTiposOT[codigo],tblTiposOT[clasificacion],"sin_clasificar"))</f>
        <v/>
      </c>
      <c r="U908" s="3">
        <f>IF(tblOrdenes[[#This Row],[centro_costo]]="","",_xlfn.XLOOKUP(tblOrdenes[[#This Row],[centro_costo]],tblCECO[codigo],tblCECO[linea],"(sin catálogo)"))</f>
        <v/>
      </c>
      <c r="V908" s="3">
        <f>IF(tblOrdenes[[#This Row],[centro_costo]]="","",_xlfn.XLOOKUP(tblOrdenes[[#This Row],[centro_costo]],tblCECO[codigo],tblCECO[area],"(sin catálogo)"))</f>
        <v/>
      </c>
      <c r="W908" s="3">
        <f>IF(tblOrdenes[[#This Row],[centro_costo]]="","",_xlfn.XLOOKUP(tblOrdenes[[#This Row],[centro_costo]],tblCECO[codigo],tblCECO[coordinador],"(sin catálogo)"))</f>
        <v/>
      </c>
      <c r="X908" s="3">
        <f>IF(tblOrdenes[[#This Row],[puesto_trabajo]]="","",_xlfn.XLOOKUP(tblOrdenes[[#This Row],[puesto_trabajo]],tblPuestos[codigo],tblPuestos[especialidad],"(sin catálogo)"))</f>
        <v/>
      </c>
      <c r="Y908" s="3">
        <f>IF(tblOrdenes[[#This Row],[cod_actividad]]="","",_xlfn.XLOOKUP(tblOrdenes[[#This Row],[cod_actividad]],tblActividades[codigo],tblActividades[descripcion],"(sin catálogo)"))</f>
        <v/>
      </c>
      <c r="Z908" s="12">
        <f>IF(tblOrdenes[[#This Row],[fecha_inicio]]="","",TODAY()-tblOrdenes[[#This Row],[fecha_inicio]])</f>
        <v/>
      </c>
      <c r="AA908" s="3">
        <f>IF(tblOrdenes[[#This Row],[backlog_dias]]="","",IF(tblOrdenes[[#This Row],[backlog_dias]]&lt;0,"FUTURO",IF(tblOrdenes[[#This Row],[backlog_dias]]&gt;p_dias_backlog_max,"BACKLOG","MES CORRIENTE")))</f>
        <v/>
      </c>
      <c r="AB908" s="3">
        <f>IF(tblOrdenes[[#This Row],[backlog_dias]]="",FALSE,AND(tblOrdenes[[#This Row],[backlog_dias]]&gt;p_dias_backlog_min,tblOrdenes[[#This Row],[backlog_dias]]&lt;=p_dias_backlog_max))</f>
        <v/>
      </c>
      <c r="AC908" s="6" t="n"/>
      <c r="AD90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0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0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08" s="10">
        <f>IF(tblOrdenes[[#This Row],[orden]]="","",_xlfn.XLOOKUP(tblOrdenes[[#This Row],[id_operacion]],tblEjecucion[id_operacion],tblEjecucion[precio],0))</f>
        <v/>
      </c>
      <c r="AH908" s="10">
        <f>IF(tblOrdenes[[#This Row],[orden]]="","",MAX(0,_xlfn.XLOOKUP(tblOrdenes[[#This Row],[id_operacion]],tblEjecucion[id_operacion],tblEjecucion[costo_plan_total],0)-tblOrdenes[[#This Row],[costo_servicio]]))</f>
        <v/>
      </c>
      <c r="AI908" s="10">
        <f>IF(tblOrdenes[[#This Row],[orden]]="","",tblOrdenes[[#This Row],[costo_servicio]]+tblOrdenes[[#This Row],[costo_materiales]])</f>
        <v/>
      </c>
      <c r="AJ908" s="6" t="n"/>
      <c r="AK908" s="6" t="n"/>
      <c r="AL908" s="6" t="n"/>
      <c r="AM908" s="3">
        <f>IF(tblOrdenes[[#This Row],[link_checklist]]="","",HYPERLINK(p_ruta_base_checklists&amp;tblOrdenes[[#This Row],[link_checklist]],"abrir"))</f>
        <v/>
      </c>
      <c r="AN908" s="6" t="n"/>
      <c r="AO908" s="3">
        <f>IF(tblOrdenes[[#This Row],[orden]]="","",tblOrdenes[[#This Row],[orden]]&amp;IF(tblOrdenes[[#This Row],[operacion]]="","0010",tblOrdenes[[#This Row],[operacion]]))</f>
        <v/>
      </c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11" t="n"/>
      <c r="K909" s="3" t="n"/>
      <c r="L909" s="10" t="n"/>
      <c r="M909" s="6" t="n"/>
      <c r="N90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0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0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09" s="3">
        <f>IF(tblOrdenes[[#This Row],[fecha_inicio]]="","",YEAR(tblOrdenes[[#This Row],[fecha_inicio]]))</f>
        <v/>
      </c>
      <c r="R909" s="3">
        <f>IF(tblOrdenes[[#This Row],[fecha_inicio]]="","",MONTH(tblOrdenes[[#This Row],[fecha_inicio]]))</f>
        <v/>
      </c>
      <c r="S909" s="3">
        <f>IF(tblOrdenes[[#This Row],[fecha_inicio]]="","",INDEX(lista_dias,WEEKDAY(tblOrdenes[[#This Row],[fecha_inicio]],2)))</f>
        <v/>
      </c>
      <c r="T909" s="3">
        <f>IF(tblOrdenes[[#This Row],[tipo_ot]]="","",_xlfn.XLOOKUP(tblOrdenes[[#This Row],[tipo_ot]],tblTiposOT[codigo],tblTiposOT[clasificacion],"sin_clasificar"))</f>
        <v/>
      </c>
      <c r="U909" s="3">
        <f>IF(tblOrdenes[[#This Row],[centro_costo]]="","",_xlfn.XLOOKUP(tblOrdenes[[#This Row],[centro_costo]],tblCECO[codigo],tblCECO[linea],"(sin catálogo)"))</f>
        <v/>
      </c>
      <c r="V909" s="3">
        <f>IF(tblOrdenes[[#This Row],[centro_costo]]="","",_xlfn.XLOOKUP(tblOrdenes[[#This Row],[centro_costo]],tblCECO[codigo],tblCECO[area],"(sin catálogo)"))</f>
        <v/>
      </c>
      <c r="W909" s="3">
        <f>IF(tblOrdenes[[#This Row],[centro_costo]]="","",_xlfn.XLOOKUP(tblOrdenes[[#This Row],[centro_costo]],tblCECO[codigo],tblCECO[coordinador],"(sin catálogo)"))</f>
        <v/>
      </c>
      <c r="X909" s="3">
        <f>IF(tblOrdenes[[#This Row],[puesto_trabajo]]="","",_xlfn.XLOOKUP(tblOrdenes[[#This Row],[puesto_trabajo]],tblPuestos[codigo],tblPuestos[especialidad],"(sin catálogo)"))</f>
        <v/>
      </c>
      <c r="Y909" s="3">
        <f>IF(tblOrdenes[[#This Row],[cod_actividad]]="","",_xlfn.XLOOKUP(tblOrdenes[[#This Row],[cod_actividad]],tblActividades[codigo],tblActividades[descripcion],"(sin catálogo)"))</f>
        <v/>
      </c>
      <c r="Z909" s="12">
        <f>IF(tblOrdenes[[#This Row],[fecha_inicio]]="","",TODAY()-tblOrdenes[[#This Row],[fecha_inicio]])</f>
        <v/>
      </c>
      <c r="AA909" s="3">
        <f>IF(tblOrdenes[[#This Row],[backlog_dias]]="","",IF(tblOrdenes[[#This Row],[backlog_dias]]&lt;0,"FUTURO",IF(tblOrdenes[[#This Row],[backlog_dias]]&gt;p_dias_backlog_max,"BACKLOG","MES CORRIENTE")))</f>
        <v/>
      </c>
      <c r="AB909" s="3">
        <f>IF(tblOrdenes[[#This Row],[backlog_dias]]="",FALSE,AND(tblOrdenes[[#This Row],[backlog_dias]]&gt;p_dias_backlog_min,tblOrdenes[[#This Row],[backlog_dias]]&lt;=p_dias_backlog_max))</f>
        <v/>
      </c>
      <c r="AC909" s="6" t="n"/>
      <c r="AD90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0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0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09" s="10">
        <f>IF(tblOrdenes[[#This Row],[orden]]="","",_xlfn.XLOOKUP(tblOrdenes[[#This Row],[id_operacion]],tblEjecucion[id_operacion],tblEjecucion[precio],0))</f>
        <v/>
      </c>
      <c r="AH909" s="10">
        <f>IF(tblOrdenes[[#This Row],[orden]]="","",MAX(0,_xlfn.XLOOKUP(tblOrdenes[[#This Row],[id_operacion]],tblEjecucion[id_operacion],tblEjecucion[costo_plan_total],0)-tblOrdenes[[#This Row],[costo_servicio]]))</f>
        <v/>
      </c>
      <c r="AI909" s="10">
        <f>IF(tblOrdenes[[#This Row],[orden]]="","",tblOrdenes[[#This Row],[costo_servicio]]+tblOrdenes[[#This Row],[costo_materiales]])</f>
        <v/>
      </c>
      <c r="AJ909" s="6" t="n"/>
      <c r="AK909" s="6" t="n"/>
      <c r="AL909" s="6" t="n"/>
      <c r="AM909" s="3">
        <f>IF(tblOrdenes[[#This Row],[link_checklist]]="","",HYPERLINK(p_ruta_base_checklists&amp;tblOrdenes[[#This Row],[link_checklist]],"abrir"))</f>
        <v/>
      </c>
      <c r="AN909" s="6" t="n"/>
      <c r="AO909" s="3">
        <f>IF(tblOrdenes[[#This Row],[orden]]="","",tblOrdenes[[#This Row],[orden]]&amp;IF(tblOrdenes[[#This Row],[operacion]]="","0010",tblOrdenes[[#This Row],[operacion]]))</f>
        <v/>
      </c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11" t="n"/>
      <c r="K910" s="3" t="n"/>
      <c r="L910" s="10" t="n"/>
      <c r="M910" s="6" t="n"/>
      <c r="N9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10" s="3">
        <f>IF(tblOrdenes[[#This Row],[fecha_inicio]]="","",YEAR(tblOrdenes[[#This Row],[fecha_inicio]]))</f>
        <v/>
      </c>
      <c r="R910" s="3">
        <f>IF(tblOrdenes[[#This Row],[fecha_inicio]]="","",MONTH(tblOrdenes[[#This Row],[fecha_inicio]]))</f>
        <v/>
      </c>
      <c r="S910" s="3">
        <f>IF(tblOrdenes[[#This Row],[fecha_inicio]]="","",INDEX(lista_dias,WEEKDAY(tblOrdenes[[#This Row],[fecha_inicio]],2)))</f>
        <v/>
      </c>
      <c r="T910" s="3">
        <f>IF(tblOrdenes[[#This Row],[tipo_ot]]="","",_xlfn.XLOOKUP(tblOrdenes[[#This Row],[tipo_ot]],tblTiposOT[codigo],tblTiposOT[clasificacion],"sin_clasificar"))</f>
        <v/>
      </c>
      <c r="U910" s="3">
        <f>IF(tblOrdenes[[#This Row],[centro_costo]]="","",_xlfn.XLOOKUP(tblOrdenes[[#This Row],[centro_costo]],tblCECO[codigo],tblCECO[linea],"(sin catálogo)"))</f>
        <v/>
      </c>
      <c r="V910" s="3">
        <f>IF(tblOrdenes[[#This Row],[centro_costo]]="","",_xlfn.XLOOKUP(tblOrdenes[[#This Row],[centro_costo]],tblCECO[codigo],tblCECO[area],"(sin catálogo)"))</f>
        <v/>
      </c>
      <c r="W910" s="3">
        <f>IF(tblOrdenes[[#This Row],[centro_costo]]="","",_xlfn.XLOOKUP(tblOrdenes[[#This Row],[centro_costo]],tblCECO[codigo],tblCECO[coordinador],"(sin catálogo)"))</f>
        <v/>
      </c>
      <c r="X910" s="3">
        <f>IF(tblOrdenes[[#This Row],[puesto_trabajo]]="","",_xlfn.XLOOKUP(tblOrdenes[[#This Row],[puesto_trabajo]],tblPuestos[codigo],tblPuestos[especialidad],"(sin catálogo)"))</f>
        <v/>
      </c>
      <c r="Y910" s="3">
        <f>IF(tblOrdenes[[#This Row],[cod_actividad]]="","",_xlfn.XLOOKUP(tblOrdenes[[#This Row],[cod_actividad]],tblActividades[codigo],tblActividades[descripcion],"(sin catálogo)"))</f>
        <v/>
      </c>
      <c r="Z910" s="12">
        <f>IF(tblOrdenes[[#This Row],[fecha_inicio]]="","",TODAY()-tblOrdenes[[#This Row],[fecha_inicio]])</f>
        <v/>
      </c>
      <c r="AA910" s="3">
        <f>IF(tblOrdenes[[#This Row],[backlog_dias]]="","",IF(tblOrdenes[[#This Row],[backlog_dias]]&lt;0,"FUTURO",IF(tblOrdenes[[#This Row],[backlog_dias]]&gt;p_dias_backlog_max,"BACKLOG","MES CORRIENTE")))</f>
        <v/>
      </c>
      <c r="AB910" s="3">
        <f>IF(tblOrdenes[[#This Row],[backlog_dias]]="",FALSE,AND(tblOrdenes[[#This Row],[backlog_dias]]&gt;p_dias_backlog_min,tblOrdenes[[#This Row],[backlog_dias]]&lt;=p_dias_backlog_max))</f>
        <v/>
      </c>
      <c r="AC910" s="6" t="n"/>
      <c r="AD9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10" s="10">
        <f>IF(tblOrdenes[[#This Row],[orden]]="","",_xlfn.XLOOKUP(tblOrdenes[[#This Row],[id_operacion]],tblEjecucion[id_operacion],tblEjecucion[precio],0))</f>
        <v/>
      </c>
      <c r="AH910" s="10">
        <f>IF(tblOrdenes[[#This Row],[orden]]="","",MAX(0,_xlfn.XLOOKUP(tblOrdenes[[#This Row],[id_operacion]],tblEjecucion[id_operacion],tblEjecucion[costo_plan_total],0)-tblOrdenes[[#This Row],[costo_servicio]]))</f>
        <v/>
      </c>
      <c r="AI910" s="10">
        <f>IF(tblOrdenes[[#This Row],[orden]]="","",tblOrdenes[[#This Row],[costo_servicio]]+tblOrdenes[[#This Row],[costo_materiales]])</f>
        <v/>
      </c>
      <c r="AJ910" s="6" t="n"/>
      <c r="AK910" s="6" t="n"/>
      <c r="AL910" s="6" t="n"/>
      <c r="AM910" s="3">
        <f>IF(tblOrdenes[[#This Row],[link_checklist]]="","",HYPERLINK(p_ruta_base_checklists&amp;tblOrdenes[[#This Row],[link_checklist]],"abrir"))</f>
        <v/>
      </c>
      <c r="AN910" s="6" t="n"/>
      <c r="AO910" s="3">
        <f>IF(tblOrdenes[[#This Row],[orden]]="","",tblOrdenes[[#This Row],[orden]]&amp;IF(tblOrdenes[[#This Row],[operacion]]="","0010",tblOrdenes[[#This Row],[operacion]]))</f>
        <v/>
      </c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11" t="n"/>
      <c r="K911" s="3" t="n"/>
      <c r="L911" s="10" t="n"/>
      <c r="M911" s="6" t="n"/>
      <c r="N9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11" s="3">
        <f>IF(tblOrdenes[[#This Row],[fecha_inicio]]="","",YEAR(tblOrdenes[[#This Row],[fecha_inicio]]))</f>
        <v/>
      </c>
      <c r="R911" s="3">
        <f>IF(tblOrdenes[[#This Row],[fecha_inicio]]="","",MONTH(tblOrdenes[[#This Row],[fecha_inicio]]))</f>
        <v/>
      </c>
      <c r="S911" s="3">
        <f>IF(tblOrdenes[[#This Row],[fecha_inicio]]="","",INDEX(lista_dias,WEEKDAY(tblOrdenes[[#This Row],[fecha_inicio]],2)))</f>
        <v/>
      </c>
      <c r="T911" s="3">
        <f>IF(tblOrdenes[[#This Row],[tipo_ot]]="","",_xlfn.XLOOKUP(tblOrdenes[[#This Row],[tipo_ot]],tblTiposOT[codigo],tblTiposOT[clasificacion],"sin_clasificar"))</f>
        <v/>
      </c>
      <c r="U911" s="3">
        <f>IF(tblOrdenes[[#This Row],[centro_costo]]="","",_xlfn.XLOOKUP(tblOrdenes[[#This Row],[centro_costo]],tblCECO[codigo],tblCECO[linea],"(sin catálogo)"))</f>
        <v/>
      </c>
      <c r="V911" s="3">
        <f>IF(tblOrdenes[[#This Row],[centro_costo]]="","",_xlfn.XLOOKUP(tblOrdenes[[#This Row],[centro_costo]],tblCECO[codigo],tblCECO[area],"(sin catálogo)"))</f>
        <v/>
      </c>
      <c r="W911" s="3">
        <f>IF(tblOrdenes[[#This Row],[centro_costo]]="","",_xlfn.XLOOKUP(tblOrdenes[[#This Row],[centro_costo]],tblCECO[codigo],tblCECO[coordinador],"(sin catálogo)"))</f>
        <v/>
      </c>
      <c r="X911" s="3">
        <f>IF(tblOrdenes[[#This Row],[puesto_trabajo]]="","",_xlfn.XLOOKUP(tblOrdenes[[#This Row],[puesto_trabajo]],tblPuestos[codigo],tblPuestos[especialidad],"(sin catálogo)"))</f>
        <v/>
      </c>
      <c r="Y911" s="3">
        <f>IF(tblOrdenes[[#This Row],[cod_actividad]]="","",_xlfn.XLOOKUP(tblOrdenes[[#This Row],[cod_actividad]],tblActividades[codigo],tblActividades[descripcion],"(sin catálogo)"))</f>
        <v/>
      </c>
      <c r="Z911" s="12">
        <f>IF(tblOrdenes[[#This Row],[fecha_inicio]]="","",TODAY()-tblOrdenes[[#This Row],[fecha_inicio]])</f>
        <v/>
      </c>
      <c r="AA911" s="3">
        <f>IF(tblOrdenes[[#This Row],[backlog_dias]]="","",IF(tblOrdenes[[#This Row],[backlog_dias]]&lt;0,"FUTURO",IF(tblOrdenes[[#This Row],[backlog_dias]]&gt;p_dias_backlog_max,"BACKLOG","MES CORRIENTE")))</f>
        <v/>
      </c>
      <c r="AB911" s="3">
        <f>IF(tblOrdenes[[#This Row],[backlog_dias]]="",FALSE,AND(tblOrdenes[[#This Row],[backlog_dias]]&gt;p_dias_backlog_min,tblOrdenes[[#This Row],[backlog_dias]]&lt;=p_dias_backlog_max))</f>
        <v/>
      </c>
      <c r="AC911" s="6" t="n"/>
      <c r="AD9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11" s="10">
        <f>IF(tblOrdenes[[#This Row],[orden]]="","",_xlfn.XLOOKUP(tblOrdenes[[#This Row],[id_operacion]],tblEjecucion[id_operacion],tblEjecucion[precio],0))</f>
        <v/>
      </c>
      <c r="AH911" s="10">
        <f>IF(tblOrdenes[[#This Row],[orden]]="","",MAX(0,_xlfn.XLOOKUP(tblOrdenes[[#This Row],[id_operacion]],tblEjecucion[id_operacion],tblEjecucion[costo_plan_total],0)-tblOrdenes[[#This Row],[costo_servicio]]))</f>
        <v/>
      </c>
      <c r="AI911" s="10">
        <f>IF(tblOrdenes[[#This Row],[orden]]="","",tblOrdenes[[#This Row],[costo_servicio]]+tblOrdenes[[#This Row],[costo_materiales]])</f>
        <v/>
      </c>
      <c r="AJ911" s="6" t="n"/>
      <c r="AK911" s="6" t="n"/>
      <c r="AL911" s="6" t="n"/>
      <c r="AM911" s="3">
        <f>IF(tblOrdenes[[#This Row],[link_checklist]]="","",HYPERLINK(p_ruta_base_checklists&amp;tblOrdenes[[#This Row],[link_checklist]],"abrir"))</f>
        <v/>
      </c>
      <c r="AN911" s="6" t="n"/>
      <c r="AO911" s="3">
        <f>IF(tblOrdenes[[#This Row],[orden]]="","",tblOrdenes[[#This Row],[orden]]&amp;IF(tblOrdenes[[#This Row],[operacion]]="","0010",tblOrdenes[[#This Row],[operacion]]))</f>
        <v/>
      </c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11" t="n"/>
      <c r="K912" s="3" t="n"/>
      <c r="L912" s="10" t="n"/>
      <c r="M912" s="6" t="n"/>
      <c r="N9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12" s="3">
        <f>IF(tblOrdenes[[#This Row],[fecha_inicio]]="","",YEAR(tblOrdenes[[#This Row],[fecha_inicio]]))</f>
        <v/>
      </c>
      <c r="R912" s="3">
        <f>IF(tblOrdenes[[#This Row],[fecha_inicio]]="","",MONTH(tblOrdenes[[#This Row],[fecha_inicio]]))</f>
        <v/>
      </c>
      <c r="S912" s="3">
        <f>IF(tblOrdenes[[#This Row],[fecha_inicio]]="","",INDEX(lista_dias,WEEKDAY(tblOrdenes[[#This Row],[fecha_inicio]],2)))</f>
        <v/>
      </c>
      <c r="T912" s="3">
        <f>IF(tblOrdenes[[#This Row],[tipo_ot]]="","",_xlfn.XLOOKUP(tblOrdenes[[#This Row],[tipo_ot]],tblTiposOT[codigo],tblTiposOT[clasificacion],"sin_clasificar"))</f>
        <v/>
      </c>
      <c r="U912" s="3">
        <f>IF(tblOrdenes[[#This Row],[centro_costo]]="","",_xlfn.XLOOKUP(tblOrdenes[[#This Row],[centro_costo]],tblCECO[codigo],tblCECO[linea],"(sin catálogo)"))</f>
        <v/>
      </c>
      <c r="V912" s="3">
        <f>IF(tblOrdenes[[#This Row],[centro_costo]]="","",_xlfn.XLOOKUP(tblOrdenes[[#This Row],[centro_costo]],tblCECO[codigo],tblCECO[area],"(sin catálogo)"))</f>
        <v/>
      </c>
      <c r="W912" s="3">
        <f>IF(tblOrdenes[[#This Row],[centro_costo]]="","",_xlfn.XLOOKUP(tblOrdenes[[#This Row],[centro_costo]],tblCECO[codigo],tblCECO[coordinador],"(sin catálogo)"))</f>
        <v/>
      </c>
      <c r="X912" s="3">
        <f>IF(tblOrdenes[[#This Row],[puesto_trabajo]]="","",_xlfn.XLOOKUP(tblOrdenes[[#This Row],[puesto_trabajo]],tblPuestos[codigo],tblPuestos[especialidad],"(sin catálogo)"))</f>
        <v/>
      </c>
      <c r="Y912" s="3">
        <f>IF(tblOrdenes[[#This Row],[cod_actividad]]="","",_xlfn.XLOOKUP(tblOrdenes[[#This Row],[cod_actividad]],tblActividades[codigo],tblActividades[descripcion],"(sin catálogo)"))</f>
        <v/>
      </c>
      <c r="Z912" s="12">
        <f>IF(tblOrdenes[[#This Row],[fecha_inicio]]="","",TODAY()-tblOrdenes[[#This Row],[fecha_inicio]])</f>
        <v/>
      </c>
      <c r="AA912" s="3">
        <f>IF(tblOrdenes[[#This Row],[backlog_dias]]="","",IF(tblOrdenes[[#This Row],[backlog_dias]]&lt;0,"FUTURO",IF(tblOrdenes[[#This Row],[backlog_dias]]&gt;p_dias_backlog_max,"BACKLOG","MES CORRIENTE")))</f>
        <v/>
      </c>
      <c r="AB912" s="3">
        <f>IF(tblOrdenes[[#This Row],[backlog_dias]]="",FALSE,AND(tblOrdenes[[#This Row],[backlog_dias]]&gt;p_dias_backlog_min,tblOrdenes[[#This Row],[backlog_dias]]&lt;=p_dias_backlog_max))</f>
        <v/>
      </c>
      <c r="AC912" s="6" t="n"/>
      <c r="AD9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12" s="10">
        <f>IF(tblOrdenes[[#This Row],[orden]]="","",_xlfn.XLOOKUP(tblOrdenes[[#This Row],[id_operacion]],tblEjecucion[id_operacion],tblEjecucion[precio],0))</f>
        <v/>
      </c>
      <c r="AH912" s="10">
        <f>IF(tblOrdenes[[#This Row],[orden]]="","",MAX(0,_xlfn.XLOOKUP(tblOrdenes[[#This Row],[id_operacion]],tblEjecucion[id_operacion],tblEjecucion[costo_plan_total],0)-tblOrdenes[[#This Row],[costo_servicio]]))</f>
        <v/>
      </c>
      <c r="AI912" s="10">
        <f>IF(tblOrdenes[[#This Row],[orden]]="","",tblOrdenes[[#This Row],[costo_servicio]]+tblOrdenes[[#This Row],[costo_materiales]])</f>
        <v/>
      </c>
      <c r="AJ912" s="6" t="n"/>
      <c r="AK912" s="6" t="n"/>
      <c r="AL912" s="6" t="n"/>
      <c r="AM912" s="3">
        <f>IF(tblOrdenes[[#This Row],[link_checklist]]="","",HYPERLINK(p_ruta_base_checklists&amp;tblOrdenes[[#This Row],[link_checklist]],"abrir"))</f>
        <v/>
      </c>
      <c r="AN912" s="6" t="n"/>
      <c r="AO912" s="3">
        <f>IF(tblOrdenes[[#This Row],[orden]]="","",tblOrdenes[[#This Row],[orden]]&amp;IF(tblOrdenes[[#This Row],[operacion]]="","0010",tblOrdenes[[#This Row],[operacion]]))</f>
        <v/>
      </c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11" t="n"/>
      <c r="K913" s="3" t="n"/>
      <c r="L913" s="10" t="n"/>
      <c r="M913" s="6" t="n"/>
      <c r="N9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13" s="3">
        <f>IF(tblOrdenes[[#This Row],[fecha_inicio]]="","",YEAR(tblOrdenes[[#This Row],[fecha_inicio]]))</f>
        <v/>
      </c>
      <c r="R913" s="3">
        <f>IF(tblOrdenes[[#This Row],[fecha_inicio]]="","",MONTH(tblOrdenes[[#This Row],[fecha_inicio]]))</f>
        <v/>
      </c>
      <c r="S913" s="3">
        <f>IF(tblOrdenes[[#This Row],[fecha_inicio]]="","",INDEX(lista_dias,WEEKDAY(tblOrdenes[[#This Row],[fecha_inicio]],2)))</f>
        <v/>
      </c>
      <c r="T913" s="3">
        <f>IF(tblOrdenes[[#This Row],[tipo_ot]]="","",_xlfn.XLOOKUP(tblOrdenes[[#This Row],[tipo_ot]],tblTiposOT[codigo],tblTiposOT[clasificacion],"sin_clasificar"))</f>
        <v/>
      </c>
      <c r="U913" s="3">
        <f>IF(tblOrdenes[[#This Row],[centro_costo]]="","",_xlfn.XLOOKUP(tblOrdenes[[#This Row],[centro_costo]],tblCECO[codigo],tblCECO[linea],"(sin catálogo)"))</f>
        <v/>
      </c>
      <c r="V913" s="3">
        <f>IF(tblOrdenes[[#This Row],[centro_costo]]="","",_xlfn.XLOOKUP(tblOrdenes[[#This Row],[centro_costo]],tblCECO[codigo],tblCECO[area],"(sin catálogo)"))</f>
        <v/>
      </c>
      <c r="W913" s="3">
        <f>IF(tblOrdenes[[#This Row],[centro_costo]]="","",_xlfn.XLOOKUP(tblOrdenes[[#This Row],[centro_costo]],tblCECO[codigo],tblCECO[coordinador],"(sin catálogo)"))</f>
        <v/>
      </c>
      <c r="X913" s="3">
        <f>IF(tblOrdenes[[#This Row],[puesto_trabajo]]="","",_xlfn.XLOOKUP(tblOrdenes[[#This Row],[puesto_trabajo]],tblPuestos[codigo],tblPuestos[especialidad],"(sin catálogo)"))</f>
        <v/>
      </c>
      <c r="Y913" s="3">
        <f>IF(tblOrdenes[[#This Row],[cod_actividad]]="","",_xlfn.XLOOKUP(tblOrdenes[[#This Row],[cod_actividad]],tblActividades[codigo],tblActividades[descripcion],"(sin catálogo)"))</f>
        <v/>
      </c>
      <c r="Z913" s="12">
        <f>IF(tblOrdenes[[#This Row],[fecha_inicio]]="","",TODAY()-tblOrdenes[[#This Row],[fecha_inicio]])</f>
        <v/>
      </c>
      <c r="AA913" s="3">
        <f>IF(tblOrdenes[[#This Row],[backlog_dias]]="","",IF(tblOrdenes[[#This Row],[backlog_dias]]&lt;0,"FUTURO",IF(tblOrdenes[[#This Row],[backlog_dias]]&gt;p_dias_backlog_max,"BACKLOG","MES CORRIENTE")))</f>
        <v/>
      </c>
      <c r="AB913" s="3">
        <f>IF(tblOrdenes[[#This Row],[backlog_dias]]="",FALSE,AND(tblOrdenes[[#This Row],[backlog_dias]]&gt;p_dias_backlog_min,tblOrdenes[[#This Row],[backlog_dias]]&lt;=p_dias_backlog_max))</f>
        <v/>
      </c>
      <c r="AC913" s="6" t="n"/>
      <c r="AD9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13" s="10">
        <f>IF(tblOrdenes[[#This Row],[orden]]="","",_xlfn.XLOOKUP(tblOrdenes[[#This Row],[id_operacion]],tblEjecucion[id_operacion],tblEjecucion[precio],0))</f>
        <v/>
      </c>
      <c r="AH913" s="10">
        <f>IF(tblOrdenes[[#This Row],[orden]]="","",MAX(0,_xlfn.XLOOKUP(tblOrdenes[[#This Row],[id_operacion]],tblEjecucion[id_operacion],tblEjecucion[costo_plan_total],0)-tblOrdenes[[#This Row],[costo_servicio]]))</f>
        <v/>
      </c>
      <c r="AI913" s="10">
        <f>IF(tblOrdenes[[#This Row],[orden]]="","",tblOrdenes[[#This Row],[costo_servicio]]+tblOrdenes[[#This Row],[costo_materiales]])</f>
        <v/>
      </c>
      <c r="AJ913" s="6" t="n"/>
      <c r="AK913" s="6" t="n"/>
      <c r="AL913" s="6" t="n"/>
      <c r="AM913" s="3">
        <f>IF(tblOrdenes[[#This Row],[link_checklist]]="","",HYPERLINK(p_ruta_base_checklists&amp;tblOrdenes[[#This Row],[link_checklist]],"abrir"))</f>
        <v/>
      </c>
      <c r="AN913" s="6" t="n"/>
      <c r="AO913" s="3">
        <f>IF(tblOrdenes[[#This Row],[orden]]="","",tblOrdenes[[#This Row],[orden]]&amp;IF(tblOrdenes[[#This Row],[operacion]]="","0010",tblOrdenes[[#This Row],[operacion]]))</f>
        <v/>
      </c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11" t="n"/>
      <c r="K914" s="3" t="n"/>
      <c r="L914" s="10" t="n"/>
      <c r="M914" s="6" t="n"/>
      <c r="N9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14" s="3">
        <f>IF(tblOrdenes[[#This Row],[fecha_inicio]]="","",YEAR(tblOrdenes[[#This Row],[fecha_inicio]]))</f>
        <v/>
      </c>
      <c r="R914" s="3">
        <f>IF(tblOrdenes[[#This Row],[fecha_inicio]]="","",MONTH(tblOrdenes[[#This Row],[fecha_inicio]]))</f>
        <v/>
      </c>
      <c r="S914" s="3">
        <f>IF(tblOrdenes[[#This Row],[fecha_inicio]]="","",INDEX(lista_dias,WEEKDAY(tblOrdenes[[#This Row],[fecha_inicio]],2)))</f>
        <v/>
      </c>
      <c r="T914" s="3">
        <f>IF(tblOrdenes[[#This Row],[tipo_ot]]="","",_xlfn.XLOOKUP(tblOrdenes[[#This Row],[tipo_ot]],tblTiposOT[codigo],tblTiposOT[clasificacion],"sin_clasificar"))</f>
        <v/>
      </c>
      <c r="U914" s="3">
        <f>IF(tblOrdenes[[#This Row],[centro_costo]]="","",_xlfn.XLOOKUP(tblOrdenes[[#This Row],[centro_costo]],tblCECO[codigo],tblCECO[linea],"(sin catálogo)"))</f>
        <v/>
      </c>
      <c r="V914" s="3">
        <f>IF(tblOrdenes[[#This Row],[centro_costo]]="","",_xlfn.XLOOKUP(tblOrdenes[[#This Row],[centro_costo]],tblCECO[codigo],tblCECO[area],"(sin catálogo)"))</f>
        <v/>
      </c>
      <c r="W914" s="3">
        <f>IF(tblOrdenes[[#This Row],[centro_costo]]="","",_xlfn.XLOOKUP(tblOrdenes[[#This Row],[centro_costo]],tblCECO[codigo],tblCECO[coordinador],"(sin catálogo)"))</f>
        <v/>
      </c>
      <c r="X914" s="3">
        <f>IF(tblOrdenes[[#This Row],[puesto_trabajo]]="","",_xlfn.XLOOKUP(tblOrdenes[[#This Row],[puesto_trabajo]],tblPuestos[codigo],tblPuestos[especialidad],"(sin catálogo)"))</f>
        <v/>
      </c>
      <c r="Y914" s="3">
        <f>IF(tblOrdenes[[#This Row],[cod_actividad]]="","",_xlfn.XLOOKUP(tblOrdenes[[#This Row],[cod_actividad]],tblActividades[codigo],tblActividades[descripcion],"(sin catálogo)"))</f>
        <v/>
      </c>
      <c r="Z914" s="12">
        <f>IF(tblOrdenes[[#This Row],[fecha_inicio]]="","",TODAY()-tblOrdenes[[#This Row],[fecha_inicio]])</f>
        <v/>
      </c>
      <c r="AA914" s="3">
        <f>IF(tblOrdenes[[#This Row],[backlog_dias]]="","",IF(tblOrdenes[[#This Row],[backlog_dias]]&lt;0,"FUTURO",IF(tblOrdenes[[#This Row],[backlog_dias]]&gt;p_dias_backlog_max,"BACKLOG","MES CORRIENTE")))</f>
        <v/>
      </c>
      <c r="AB914" s="3">
        <f>IF(tblOrdenes[[#This Row],[backlog_dias]]="",FALSE,AND(tblOrdenes[[#This Row],[backlog_dias]]&gt;p_dias_backlog_min,tblOrdenes[[#This Row],[backlog_dias]]&lt;=p_dias_backlog_max))</f>
        <v/>
      </c>
      <c r="AC914" s="6" t="n"/>
      <c r="AD9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14" s="10">
        <f>IF(tblOrdenes[[#This Row],[orden]]="","",_xlfn.XLOOKUP(tblOrdenes[[#This Row],[id_operacion]],tblEjecucion[id_operacion],tblEjecucion[precio],0))</f>
        <v/>
      </c>
      <c r="AH914" s="10">
        <f>IF(tblOrdenes[[#This Row],[orden]]="","",MAX(0,_xlfn.XLOOKUP(tblOrdenes[[#This Row],[id_operacion]],tblEjecucion[id_operacion],tblEjecucion[costo_plan_total],0)-tblOrdenes[[#This Row],[costo_servicio]]))</f>
        <v/>
      </c>
      <c r="AI914" s="10">
        <f>IF(tblOrdenes[[#This Row],[orden]]="","",tblOrdenes[[#This Row],[costo_servicio]]+tblOrdenes[[#This Row],[costo_materiales]])</f>
        <v/>
      </c>
      <c r="AJ914" s="6" t="n"/>
      <c r="AK914" s="6" t="n"/>
      <c r="AL914" s="6" t="n"/>
      <c r="AM914" s="3">
        <f>IF(tblOrdenes[[#This Row],[link_checklist]]="","",HYPERLINK(p_ruta_base_checklists&amp;tblOrdenes[[#This Row],[link_checklist]],"abrir"))</f>
        <v/>
      </c>
      <c r="AN914" s="6" t="n"/>
      <c r="AO914" s="3">
        <f>IF(tblOrdenes[[#This Row],[orden]]="","",tblOrdenes[[#This Row],[orden]]&amp;IF(tblOrdenes[[#This Row],[operacion]]="","0010",tblOrdenes[[#This Row],[operacion]]))</f>
        <v/>
      </c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11" t="n"/>
      <c r="K915" s="3" t="n"/>
      <c r="L915" s="10" t="n"/>
      <c r="M915" s="6" t="n"/>
      <c r="N9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15" s="3">
        <f>IF(tblOrdenes[[#This Row],[fecha_inicio]]="","",YEAR(tblOrdenes[[#This Row],[fecha_inicio]]))</f>
        <v/>
      </c>
      <c r="R915" s="3">
        <f>IF(tblOrdenes[[#This Row],[fecha_inicio]]="","",MONTH(tblOrdenes[[#This Row],[fecha_inicio]]))</f>
        <v/>
      </c>
      <c r="S915" s="3">
        <f>IF(tblOrdenes[[#This Row],[fecha_inicio]]="","",INDEX(lista_dias,WEEKDAY(tblOrdenes[[#This Row],[fecha_inicio]],2)))</f>
        <v/>
      </c>
      <c r="T915" s="3">
        <f>IF(tblOrdenes[[#This Row],[tipo_ot]]="","",_xlfn.XLOOKUP(tblOrdenes[[#This Row],[tipo_ot]],tblTiposOT[codigo],tblTiposOT[clasificacion],"sin_clasificar"))</f>
        <v/>
      </c>
      <c r="U915" s="3">
        <f>IF(tblOrdenes[[#This Row],[centro_costo]]="","",_xlfn.XLOOKUP(tblOrdenes[[#This Row],[centro_costo]],tblCECO[codigo],tblCECO[linea],"(sin catálogo)"))</f>
        <v/>
      </c>
      <c r="V915" s="3">
        <f>IF(tblOrdenes[[#This Row],[centro_costo]]="","",_xlfn.XLOOKUP(tblOrdenes[[#This Row],[centro_costo]],tblCECO[codigo],tblCECO[area],"(sin catálogo)"))</f>
        <v/>
      </c>
      <c r="W915" s="3">
        <f>IF(tblOrdenes[[#This Row],[centro_costo]]="","",_xlfn.XLOOKUP(tblOrdenes[[#This Row],[centro_costo]],tblCECO[codigo],tblCECO[coordinador],"(sin catálogo)"))</f>
        <v/>
      </c>
      <c r="X915" s="3">
        <f>IF(tblOrdenes[[#This Row],[puesto_trabajo]]="","",_xlfn.XLOOKUP(tblOrdenes[[#This Row],[puesto_trabajo]],tblPuestos[codigo],tblPuestos[especialidad],"(sin catálogo)"))</f>
        <v/>
      </c>
      <c r="Y915" s="3">
        <f>IF(tblOrdenes[[#This Row],[cod_actividad]]="","",_xlfn.XLOOKUP(tblOrdenes[[#This Row],[cod_actividad]],tblActividades[codigo],tblActividades[descripcion],"(sin catálogo)"))</f>
        <v/>
      </c>
      <c r="Z915" s="12">
        <f>IF(tblOrdenes[[#This Row],[fecha_inicio]]="","",TODAY()-tblOrdenes[[#This Row],[fecha_inicio]])</f>
        <v/>
      </c>
      <c r="AA915" s="3">
        <f>IF(tblOrdenes[[#This Row],[backlog_dias]]="","",IF(tblOrdenes[[#This Row],[backlog_dias]]&lt;0,"FUTURO",IF(tblOrdenes[[#This Row],[backlog_dias]]&gt;p_dias_backlog_max,"BACKLOG","MES CORRIENTE")))</f>
        <v/>
      </c>
      <c r="AB915" s="3">
        <f>IF(tblOrdenes[[#This Row],[backlog_dias]]="",FALSE,AND(tblOrdenes[[#This Row],[backlog_dias]]&gt;p_dias_backlog_min,tblOrdenes[[#This Row],[backlog_dias]]&lt;=p_dias_backlog_max))</f>
        <v/>
      </c>
      <c r="AC915" s="6" t="n"/>
      <c r="AD9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15" s="10">
        <f>IF(tblOrdenes[[#This Row],[orden]]="","",_xlfn.XLOOKUP(tblOrdenes[[#This Row],[id_operacion]],tblEjecucion[id_operacion],tblEjecucion[precio],0))</f>
        <v/>
      </c>
      <c r="AH915" s="10">
        <f>IF(tblOrdenes[[#This Row],[orden]]="","",MAX(0,_xlfn.XLOOKUP(tblOrdenes[[#This Row],[id_operacion]],tblEjecucion[id_operacion],tblEjecucion[costo_plan_total],0)-tblOrdenes[[#This Row],[costo_servicio]]))</f>
        <v/>
      </c>
      <c r="AI915" s="10">
        <f>IF(tblOrdenes[[#This Row],[orden]]="","",tblOrdenes[[#This Row],[costo_servicio]]+tblOrdenes[[#This Row],[costo_materiales]])</f>
        <v/>
      </c>
      <c r="AJ915" s="6" t="n"/>
      <c r="AK915" s="6" t="n"/>
      <c r="AL915" s="6" t="n"/>
      <c r="AM915" s="3">
        <f>IF(tblOrdenes[[#This Row],[link_checklist]]="","",HYPERLINK(p_ruta_base_checklists&amp;tblOrdenes[[#This Row],[link_checklist]],"abrir"))</f>
        <v/>
      </c>
      <c r="AN915" s="6" t="n"/>
      <c r="AO915" s="3">
        <f>IF(tblOrdenes[[#This Row],[orden]]="","",tblOrdenes[[#This Row],[orden]]&amp;IF(tblOrdenes[[#This Row],[operacion]]="","0010",tblOrdenes[[#This Row],[operacion]]))</f>
        <v/>
      </c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11" t="n"/>
      <c r="K916" s="3" t="n"/>
      <c r="L916" s="10" t="n"/>
      <c r="M916" s="6" t="n"/>
      <c r="N9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16" s="3">
        <f>IF(tblOrdenes[[#This Row],[fecha_inicio]]="","",YEAR(tblOrdenes[[#This Row],[fecha_inicio]]))</f>
        <v/>
      </c>
      <c r="R916" s="3">
        <f>IF(tblOrdenes[[#This Row],[fecha_inicio]]="","",MONTH(tblOrdenes[[#This Row],[fecha_inicio]]))</f>
        <v/>
      </c>
      <c r="S916" s="3">
        <f>IF(tblOrdenes[[#This Row],[fecha_inicio]]="","",INDEX(lista_dias,WEEKDAY(tblOrdenes[[#This Row],[fecha_inicio]],2)))</f>
        <v/>
      </c>
      <c r="T916" s="3">
        <f>IF(tblOrdenes[[#This Row],[tipo_ot]]="","",_xlfn.XLOOKUP(tblOrdenes[[#This Row],[tipo_ot]],tblTiposOT[codigo],tblTiposOT[clasificacion],"sin_clasificar"))</f>
        <v/>
      </c>
      <c r="U916" s="3">
        <f>IF(tblOrdenes[[#This Row],[centro_costo]]="","",_xlfn.XLOOKUP(tblOrdenes[[#This Row],[centro_costo]],tblCECO[codigo],tblCECO[linea],"(sin catálogo)"))</f>
        <v/>
      </c>
      <c r="V916" s="3">
        <f>IF(tblOrdenes[[#This Row],[centro_costo]]="","",_xlfn.XLOOKUP(tblOrdenes[[#This Row],[centro_costo]],tblCECO[codigo],tblCECO[area],"(sin catálogo)"))</f>
        <v/>
      </c>
      <c r="W916" s="3">
        <f>IF(tblOrdenes[[#This Row],[centro_costo]]="","",_xlfn.XLOOKUP(tblOrdenes[[#This Row],[centro_costo]],tblCECO[codigo],tblCECO[coordinador],"(sin catálogo)"))</f>
        <v/>
      </c>
      <c r="X916" s="3">
        <f>IF(tblOrdenes[[#This Row],[puesto_trabajo]]="","",_xlfn.XLOOKUP(tblOrdenes[[#This Row],[puesto_trabajo]],tblPuestos[codigo],tblPuestos[especialidad],"(sin catálogo)"))</f>
        <v/>
      </c>
      <c r="Y916" s="3">
        <f>IF(tblOrdenes[[#This Row],[cod_actividad]]="","",_xlfn.XLOOKUP(tblOrdenes[[#This Row],[cod_actividad]],tblActividades[codigo],tblActividades[descripcion],"(sin catálogo)"))</f>
        <v/>
      </c>
      <c r="Z916" s="12">
        <f>IF(tblOrdenes[[#This Row],[fecha_inicio]]="","",TODAY()-tblOrdenes[[#This Row],[fecha_inicio]])</f>
        <v/>
      </c>
      <c r="AA916" s="3">
        <f>IF(tblOrdenes[[#This Row],[backlog_dias]]="","",IF(tblOrdenes[[#This Row],[backlog_dias]]&lt;0,"FUTURO",IF(tblOrdenes[[#This Row],[backlog_dias]]&gt;p_dias_backlog_max,"BACKLOG","MES CORRIENTE")))</f>
        <v/>
      </c>
      <c r="AB916" s="3">
        <f>IF(tblOrdenes[[#This Row],[backlog_dias]]="",FALSE,AND(tblOrdenes[[#This Row],[backlog_dias]]&gt;p_dias_backlog_min,tblOrdenes[[#This Row],[backlog_dias]]&lt;=p_dias_backlog_max))</f>
        <v/>
      </c>
      <c r="AC916" s="6" t="n"/>
      <c r="AD9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16" s="10">
        <f>IF(tblOrdenes[[#This Row],[orden]]="","",_xlfn.XLOOKUP(tblOrdenes[[#This Row],[id_operacion]],tblEjecucion[id_operacion],tblEjecucion[precio],0))</f>
        <v/>
      </c>
      <c r="AH916" s="10">
        <f>IF(tblOrdenes[[#This Row],[orden]]="","",MAX(0,_xlfn.XLOOKUP(tblOrdenes[[#This Row],[id_operacion]],tblEjecucion[id_operacion],tblEjecucion[costo_plan_total],0)-tblOrdenes[[#This Row],[costo_servicio]]))</f>
        <v/>
      </c>
      <c r="AI916" s="10">
        <f>IF(tblOrdenes[[#This Row],[orden]]="","",tblOrdenes[[#This Row],[costo_servicio]]+tblOrdenes[[#This Row],[costo_materiales]])</f>
        <v/>
      </c>
      <c r="AJ916" s="6" t="n"/>
      <c r="AK916" s="6" t="n"/>
      <c r="AL916" s="6" t="n"/>
      <c r="AM916" s="3">
        <f>IF(tblOrdenes[[#This Row],[link_checklist]]="","",HYPERLINK(p_ruta_base_checklists&amp;tblOrdenes[[#This Row],[link_checklist]],"abrir"))</f>
        <v/>
      </c>
      <c r="AN916" s="6" t="n"/>
      <c r="AO916" s="3">
        <f>IF(tblOrdenes[[#This Row],[orden]]="","",tblOrdenes[[#This Row],[orden]]&amp;IF(tblOrdenes[[#This Row],[operacion]]="","0010",tblOrdenes[[#This Row],[operacion]]))</f>
        <v/>
      </c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11" t="n"/>
      <c r="K917" s="3" t="n"/>
      <c r="L917" s="10" t="n"/>
      <c r="M917" s="6" t="n"/>
      <c r="N9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17" s="3">
        <f>IF(tblOrdenes[[#This Row],[fecha_inicio]]="","",YEAR(tblOrdenes[[#This Row],[fecha_inicio]]))</f>
        <v/>
      </c>
      <c r="R917" s="3">
        <f>IF(tblOrdenes[[#This Row],[fecha_inicio]]="","",MONTH(tblOrdenes[[#This Row],[fecha_inicio]]))</f>
        <v/>
      </c>
      <c r="S917" s="3">
        <f>IF(tblOrdenes[[#This Row],[fecha_inicio]]="","",INDEX(lista_dias,WEEKDAY(tblOrdenes[[#This Row],[fecha_inicio]],2)))</f>
        <v/>
      </c>
      <c r="T917" s="3">
        <f>IF(tblOrdenes[[#This Row],[tipo_ot]]="","",_xlfn.XLOOKUP(tblOrdenes[[#This Row],[tipo_ot]],tblTiposOT[codigo],tblTiposOT[clasificacion],"sin_clasificar"))</f>
        <v/>
      </c>
      <c r="U917" s="3">
        <f>IF(tblOrdenes[[#This Row],[centro_costo]]="","",_xlfn.XLOOKUP(tblOrdenes[[#This Row],[centro_costo]],tblCECO[codigo],tblCECO[linea],"(sin catálogo)"))</f>
        <v/>
      </c>
      <c r="V917" s="3">
        <f>IF(tblOrdenes[[#This Row],[centro_costo]]="","",_xlfn.XLOOKUP(tblOrdenes[[#This Row],[centro_costo]],tblCECO[codigo],tblCECO[area],"(sin catálogo)"))</f>
        <v/>
      </c>
      <c r="W917" s="3">
        <f>IF(tblOrdenes[[#This Row],[centro_costo]]="","",_xlfn.XLOOKUP(tblOrdenes[[#This Row],[centro_costo]],tblCECO[codigo],tblCECO[coordinador],"(sin catálogo)"))</f>
        <v/>
      </c>
      <c r="X917" s="3">
        <f>IF(tblOrdenes[[#This Row],[puesto_trabajo]]="","",_xlfn.XLOOKUP(tblOrdenes[[#This Row],[puesto_trabajo]],tblPuestos[codigo],tblPuestos[especialidad],"(sin catálogo)"))</f>
        <v/>
      </c>
      <c r="Y917" s="3">
        <f>IF(tblOrdenes[[#This Row],[cod_actividad]]="","",_xlfn.XLOOKUP(tblOrdenes[[#This Row],[cod_actividad]],tblActividades[codigo],tblActividades[descripcion],"(sin catálogo)"))</f>
        <v/>
      </c>
      <c r="Z917" s="12">
        <f>IF(tblOrdenes[[#This Row],[fecha_inicio]]="","",TODAY()-tblOrdenes[[#This Row],[fecha_inicio]])</f>
        <v/>
      </c>
      <c r="AA917" s="3">
        <f>IF(tblOrdenes[[#This Row],[backlog_dias]]="","",IF(tblOrdenes[[#This Row],[backlog_dias]]&lt;0,"FUTURO",IF(tblOrdenes[[#This Row],[backlog_dias]]&gt;p_dias_backlog_max,"BACKLOG","MES CORRIENTE")))</f>
        <v/>
      </c>
      <c r="AB917" s="3">
        <f>IF(tblOrdenes[[#This Row],[backlog_dias]]="",FALSE,AND(tblOrdenes[[#This Row],[backlog_dias]]&gt;p_dias_backlog_min,tblOrdenes[[#This Row],[backlog_dias]]&lt;=p_dias_backlog_max))</f>
        <v/>
      </c>
      <c r="AC917" s="6" t="n"/>
      <c r="AD9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17" s="10">
        <f>IF(tblOrdenes[[#This Row],[orden]]="","",_xlfn.XLOOKUP(tblOrdenes[[#This Row],[id_operacion]],tblEjecucion[id_operacion],tblEjecucion[precio],0))</f>
        <v/>
      </c>
      <c r="AH917" s="10">
        <f>IF(tblOrdenes[[#This Row],[orden]]="","",MAX(0,_xlfn.XLOOKUP(tblOrdenes[[#This Row],[id_operacion]],tblEjecucion[id_operacion],tblEjecucion[costo_plan_total],0)-tblOrdenes[[#This Row],[costo_servicio]]))</f>
        <v/>
      </c>
      <c r="AI917" s="10">
        <f>IF(tblOrdenes[[#This Row],[orden]]="","",tblOrdenes[[#This Row],[costo_servicio]]+tblOrdenes[[#This Row],[costo_materiales]])</f>
        <v/>
      </c>
      <c r="AJ917" s="6" t="n"/>
      <c r="AK917" s="6" t="n"/>
      <c r="AL917" s="6" t="n"/>
      <c r="AM917" s="3">
        <f>IF(tblOrdenes[[#This Row],[link_checklist]]="","",HYPERLINK(p_ruta_base_checklists&amp;tblOrdenes[[#This Row],[link_checklist]],"abrir"))</f>
        <v/>
      </c>
      <c r="AN917" s="6" t="n"/>
      <c r="AO917" s="3">
        <f>IF(tblOrdenes[[#This Row],[orden]]="","",tblOrdenes[[#This Row],[orden]]&amp;IF(tblOrdenes[[#This Row],[operacion]]="","0010",tblOrdenes[[#This Row],[operacion]]))</f>
        <v/>
      </c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11" t="n"/>
      <c r="K918" s="3" t="n"/>
      <c r="L918" s="10" t="n"/>
      <c r="M918" s="6" t="n"/>
      <c r="N9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18" s="3">
        <f>IF(tblOrdenes[[#This Row],[fecha_inicio]]="","",YEAR(tblOrdenes[[#This Row],[fecha_inicio]]))</f>
        <v/>
      </c>
      <c r="R918" s="3">
        <f>IF(tblOrdenes[[#This Row],[fecha_inicio]]="","",MONTH(tblOrdenes[[#This Row],[fecha_inicio]]))</f>
        <v/>
      </c>
      <c r="S918" s="3">
        <f>IF(tblOrdenes[[#This Row],[fecha_inicio]]="","",INDEX(lista_dias,WEEKDAY(tblOrdenes[[#This Row],[fecha_inicio]],2)))</f>
        <v/>
      </c>
      <c r="T918" s="3">
        <f>IF(tblOrdenes[[#This Row],[tipo_ot]]="","",_xlfn.XLOOKUP(tblOrdenes[[#This Row],[tipo_ot]],tblTiposOT[codigo],tblTiposOT[clasificacion],"sin_clasificar"))</f>
        <v/>
      </c>
      <c r="U918" s="3">
        <f>IF(tblOrdenes[[#This Row],[centro_costo]]="","",_xlfn.XLOOKUP(tblOrdenes[[#This Row],[centro_costo]],tblCECO[codigo],tblCECO[linea],"(sin catálogo)"))</f>
        <v/>
      </c>
      <c r="V918" s="3">
        <f>IF(tblOrdenes[[#This Row],[centro_costo]]="","",_xlfn.XLOOKUP(tblOrdenes[[#This Row],[centro_costo]],tblCECO[codigo],tblCECO[area],"(sin catálogo)"))</f>
        <v/>
      </c>
      <c r="W918" s="3">
        <f>IF(tblOrdenes[[#This Row],[centro_costo]]="","",_xlfn.XLOOKUP(tblOrdenes[[#This Row],[centro_costo]],tblCECO[codigo],tblCECO[coordinador],"(sin catálogo)"))</f>
        <v/>
      </c>
      <c r="X918" s="3">
        <f>IF(tblOrdenes[[#This Row],[puesto_trabajo]]="","",_xlfn.XLOOKUP(tblOrdenes[[#This Row],[puesto_trabajo]],tblPuestos[codigo],tblPuestos[especialidad],"(sin catálogo)"))</f>
        <v/>
      </c>
      <c r="Y918" s="3">
        <f>IF(tblOrdenes[[#This Row],[cod_actividad]]="","",_xlfn.XLOOKUP(tblOrdenes[[#This Row],[cod_actividad]],tblActividades[codigo],tblActividades[descripcion],"(sin catálogo)"))</f>
        <v/>
      </c>
      <c r="Z918" s="12">
        <f>IF(tblOrdenes[[#This Row],[fecha_inicio]]="","",TODAY()-tblOrdenes[[#This Row],[fecha_inicio]])</f>
        <v/>
      </c>
      <c r="AA918" s="3">
        <f>IF(tblOrdenes[[#This Row],[backlog_dias]]="","",IF(tblOrdenes[[#This Row],[backlog_dias]]&lt;0,"FUTURO",IF(tblOrdenes[[#This Row],[backlog_dias]]&gt;p_dias_backlog_max,"BACKLOG","MES CORRIENTE")))</f>
        <v/>
      </c>
      <c r="AB918" s="3">
        <f>IF(tblOrdenes[[#This Row],[backlog_dias]]="",FALSE,AND(tblOrdenes[[#This Row],[backlog_dias]]&gt;p_dias_backlog_min,tblOrdenes[[#This Row],[backlog_dias]]&lt;=p_dias_backlog_max))</f>
        <v/>
      </c>
      <c r="AC918" s="6" t="n"/>
      <c r="AD9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18" s="10">
        <f>IF(tblOrdenes[[#This Row],[orden]]="","",_xlfn.XLOOKUP(tblOrdenes[[#This Row],[id_operacion]],tblEjecucion[id_operacion],tblEjecucion[precio],0))</f>
        <v/>
      </c>
      <c r="AH918" s="10">
        <f>IF(tblOrdenes[[#This Row],[orden]]="","",MAX(0,_xlfn.XLOOKUP(tblOrdenes[[#This Row],[id_operacion]],tblEjecucion[id_operacion],tblEjecucion[costo_plan_total],0)-tblOrdenes[[#This Row],[costo_servicio]]))</f>
        <v/>
      </c>
      <c r="AI918" s="10">
        <f>IF(tblOrdenes[[#This Row],[orden]]="","",tblOrdenes[[#This Row],[costo_servicio]]+tblOrdenes[[#This Row],[costo_materiales]])</f>
        <v/>
      </c>
      <c r="AJ918" s="6" t="n"/>
      <c r="AK918" s="6" t="n"/>
      <c r="AL918" s="6" t="n"/>
      <c r="AM918" s="3">
        <f>IF(tblOrdenes[[#This Row],[link_checklist]]="","",HYPERLINK(p_ruta_base_checklists&amp;tblOrdenes[[#This Row],[link_checklist]],"abrir"))</f>
        <v/>
      </c>
      <c r="AN918" s="6" t="n"/>
      <c r="AO918" s="3">
        <f>IF(tblOrdenes[[#This Row],[orden]]="","",tblOrdenes[[#This Row],[orden]]&amp;IF(tblOrdenes[[#This Row],[operacion]]="","0010",tblOrdenes[[#This Row],[operacion]]))</f>
        <v/>
      </c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11" t="n"/>
      <c r="K919" s="3" t="n"/>
      <c r="L919" s="10" t="n"/>
      <c r="M919" s="6" t="n"/>
      <c r="N9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19" s="3">
        <f>IF(tblOrdenes[[#This Row],[fecha_inicio]]="","",YEAR(tblOrdenes[[#This Row],[fecha_inicio]]))</f>
        <v/>
      </c>
      <c r="R919" s="3">
        <f>IF(tblOrdenes[[#This Row],[fecha_inicio]]="","",MONTH(tblOrdenes[[#This Row],[fecha_inicio]]))</f>
        <v/>
      </c>
      <c r="S919" s="3">
        <f>IF(tblOrdenes[[#This Row],[fecha_inicio]]="","",INDEX(lista_dias,WEEKDAY(tblOrdenes[[#This Row],[fecha_inicio]],2)))</f>
        <v/>
      </c>
      <c r="T919" s="3">
        <f>IF(tblOrdenes[[#This Row],[tipo_ot]]="","",_xlfn.XLOOKUP(tblOrdenes[[#This Row],[tipo_ot]],tblTiposOT[codigo],tblTiposOT[clasificacion],"sin_clasificar"))</f>
        <v/>
      </c>
      <c r="U919" s="3">
        <f>IF(tblOrdenes[[#This Row],[centro_costo]]="","",_xlfn.XLOOKUP(tblOrdenes[[#This Row],[centro_costo]],tblCECO[codigo],tblCECO[linea],"(sin catálogo)"))</f>
        <v/>
      </c>
      <c r="V919" s="3">
        <f>IF(tblOrdenes[[#This Row],[centro_costo]]="","",_xlfn.XLOOKUP(tblOrdenes[[#This Row],[centro_costo]],tblCECO[codigo],tblCECO[area],"(sin catálogo)"))</f>
        <v/>
      </c>
      <c r="W919" s="3">
        <f>IF(tblOrdenes[[#This Row],[centro_costo]]="","",_xlfn.XLOOKUP(tblOrdenes[[#This Row],[centro_costo]],tblCECO[codigo],tblCECO[coordinador],"(sin catálogo)"))</f>
        <v/>
      </c>
      <c r="X919" s="3">
        <f>IF(tblOrdenes[[#This Row],[puesto_trabajo]]="","",_xlfn.XLOOKUP(tblOrdenes[[#This Row],[puesto_trabajo]],tblPuestos[codigo],tblPuestos[especialidad],"(sin catálogo)"))</f>
        <v/>
      </c>
      <c r="Y919" s="3">
        <f>IF(tblOrdenes[[#This Row],[cod_actividad]]="","",_xlfn.XLOOKUP(tblOrdenes[[#This Row],[cod_actividad]],tblActividades[codigo],tblActividades[descripcion],"(sin catálogo)"))</f>
        <v/>
      </c>
      <c r="Z919" s="12">
        <f>IF(tblOrdenes[[#This Row],[fecha_inicio]]="","",TODAY()-tblOrdenes[[#This Row],[fecha_inicio]])</f>
        <v/>
      </c>
      <c r="AA919" s="3">
        <f>IF(tblOrdenes[[#This Row],[backlog_dias]]="","",IF(tblOrdenes[[#This Row],[backlog_dias]]&lt;0,"FUTURO",IF(tblOrdenes[[#This Row],[backlog_dias]]&gt;p_dias_backlog_max,"BACKLOG","MES CORRIENTE")))</f>
        <v/>
      </c>
      <c r="AB919" s="3">
        <f>IF(tblOrdenes[[#This Row],[backlog_dias]]="",FALSE,AND(tblOrdenes[[#This Row],[backlog_dias]]&gt;p_dias_backlog_min,tblOrdenes[[#This Row],[backlog_dias]]&lt;=p_dias_backlog_max))</f>
        <v/>
      </c>
      <c r="AC919" s="6" t="n"/>
      <c r="AD9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19" s="10">
        <f>IF(tblOrdenes[[#This Row],[orden]]="","",_xlfn.XLOOKUP(tblOrdenes[[#This Row],[id_operacion]],tblEjecucion[id_operacion],tblEjecucion[precio],0))</f>
        <v/>
      </c>
      <c r="AH919" s="10">
        <f>IF(tblOrdenes[[#This Row],[orden]]="","",MAX(0,_xlfn.XLOOKUP(tblOrdenes[[#This Row],[id_operacion]],tblEjecucion[id_operacion],tblEjecucion[costo_plan_total],0)-tblOrdenes[[#This Row],[costo_servicio]]))</f>
        <v/>
      </c>
      <c r="AI919" s="10">
        <f>IF(tblOrdenes[[#This Row],[orden]]="","",tblOrdenes[[#This Row],[costo_servicio]]+tblOrdenes[[#This Row],[costo_materiales]])</f>
        <v/>
      </c>
      <c r="AJ919" s="6" t="n"/>
      <c r="AK919" s="6" t="n"/>
      <c r="AL919" s="6" t="n"/>
      <c r="AM919" s="3">
        <f>IF(tblOrdenes[[#This Row],[link_checklist]]="","",HYPERLINK(p_ruta_base_checklists&amp;tblOrdenes[[#This Row],[link_checklist]],"abrir"))</f>
        <v/>
      </c>
      <c r="AN919" s="6" t="n"/>
      <c r="AO919" s="3">
        <f>IF(tblOrdenes[[#This Row],[orden]]="","",tblOrdenes[[#This Row],[orden]]&amp;IF(tblOrdenes[[#This Row],[operacion]]="","0010",tblOrdenes[[#This Row],[operacion]]))</f>
        <v/>
      </c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11" t="n"/>
      <c r="K920" s="3" t="n"/>
      <c r="L920" s="10" t="n"/>
      <c r="M920" s="6" t="n"/>
      <c r="N9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20" s="3">
        <f>IF(tblOrdenes[[#This Row],[fecha_inicio]]="","",YEAR(tblOrdenes[[#This Row],[fecha_inicio]]))</f>
        <v/>
      </c>
      <c r="R920" s="3">
        <f>IF(tblOrdenes[[#This Row],[fecha_inicio]]="","",MONTH(tblOrdenes[[#This Row],[fecha_inicio]]))</f>
        <v/>
      </c>
      <c r="S920" s="3">
        <f>IF(tblOrdenes[[#This Row],[fecha_inicio]]="","",INDEX(lista_dias,WEEKDAY(tblOrdenes[[#This Row],[fecha_inicio]],2)))</f>
        <v/>
      </c>
      <c r="T920" s="3">
        <f>IF(tblOrdenes[[#This Row],[tipo_ot]]="","",_xlfn.XLOOKUP(tblOrdenes[[#This Row],[tipo_ot]],tblTiposOT[codigo],tblTiposOT[clasificacion],"sin_clasificar"))</f>
        <v/>
      </c>
      <c r="U920" s="3">
        <f>IF(tblOrdenes[[#This Row],[centro_costo]]="","",_xlfn.XLOOKUP(tblOrdenes[[#This Row],[centro_costo]],tblCECO[codigo],tblCECO[linea],"(sin catálogo)"))</f>
        <v/>
      </c>
      <c r="V920" s="3">
        <f>IF(tblOrdenes[[#This Row],[centro_costo]]="","",_xlfn.XLOOKUP(tblOrdenes[[#This Row],[centro_costo]],tblCECO[codigo],tblCECO[area],"(sin catálogo)"))</f>
        <v/>
      </c>
      <c r="W920" s="3">
        <f>IF(tblOrdenes[[#This Row],[centro_costo]]="","",_xlfn.XLOOKUP(tblOrdenes[[#This Row],[centro_costo]],tblCECO[codigo],tblCECO[coordinador],"(sin catálogo)"))</f>
        <v/>
      </c>
      <c r="X920" s="3">
        <f>IF(tblOrdenes[[#This Row],[puesto_trabajo]]="","",_xlfn.XLOOKUP(tblOrdenes[[#This Row],[puesto_trabajo]],tblPuestos[codigo],tblPuestos[especialidad],"(sin catálogo)"))</f>
        <v/>
      </c>
      <c r="Y920" s="3">
        <f>IF(tblOrdenes[[#This Row],[cod_actividad]]="","",_xlfn.XLOOKUP(tblOrdenes[[#This Row],[cod_actividad]],tblActividades[codigo],tblActividades[descripcion],"(sin catálogo)"))</f>
        <v/>
      </c>
      <c r="Z920" s="12">
        <f>IF(tblOrdenes[[#This Row],[fecha_inicio]]="","",TODAY()-tblOrdenes[[#This Row],[fecha_inicio]])</f>
        <v/>
      </c>
      <c r="AA920" s="3">
        <f>IF(tblOrdenes[[#This Row],[backlog_dias]]="","",IF(tblOrdenes[[#This Row],[backlog_dias]]&lt;0,"FUTURO",IF(tblOrdenes[[#This Row],[backlog_dias]]&gt;p_dias_backlog_max,"BACKLOG","MES CORRIENTE")))</f>
        <v/>
      </c>
      <c r="AB920" s="3">
        <f>IF(tblOrdenes[[#This Row],[backlog_dias]]="",FALSE,AND(tblOrdenes[[#This Row],[backlog_dias]]&gt;p_dias_backlog_min,tblOrdenes[[#This Row],[backlog_dias]]&lt;=p_dias_backlog_max))</f>
        <v/>
      </c>
      <c r="AC920" s="6" t="n"/>
      <c r="AD9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20" s="10">
        <f>IF(tblOrdenes[[#This Row],[orden]]="","",_xlfn.XLOOKUP(tblOrdenes[[#This Row],[id_operacion]],tblEjecucion[id_operacion],tblEjecucion[precio],0))</f>
        <v/>
      </c>
      <c r="AH920" s="10">
        <f>IF(tblOrdenes[[#This Row],[orden]]="","",MAX(0,_xlfn.XLOOKUP(tblOrdenes[[#This Row],[id_operacion]],tblEjecucion[id_operacion],tblEjecucion[costo_plan_total],0)-tblOrdenes[[#This Row],[costo_servicio]]))</f>
        <v/>
      </c>
      <c r="AI920" s="10">
        <f>IF(tblOrdenes[[#This Row],[orden]]="","",tblOrdenes[[#This Row],[costo_servicio]]+tblOrdenes[[#This Row],[costo_materiales]])</f>
        <v/>
      </c>
      <c r="AJ920" s="6" t="n"/>
      <c r="AK920" s="6" t="n"/>
      <c r="AL920" s="6" t="n"/>
      <c r="AM920" s="3">
        <f>IF(tblOrdenes[[#This Row],[link_checklist]]="","",HYPERLINK(p_ruta_base_checklists&amp;tblOrdenes[[#This Row],[link_checklist]],"abrir"))</f>
        <v/>
      </c>
      <c r="AN920" s="6" t="n"/>
      <c r="AO920" s="3">
        <f>IF(tblOrdenes[[#This Row],[orden]]="","",tblOrdenes[[#This Row],[orden]]&amp;IF(tblOrdenes[[#This Row],[operacion]]="","0010",tblOrdenes[[#This Row],[operacion]]))</f>
        <v/>
      </c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11" t="n"/>
      <c r="K921" s="3" t="n"/>
      <c r="L921" s="10" t="n"/>
      <c r="M921" s="6" t="n"/>
      <c r="N9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21" s="3">
        <f>IF(tblOrdenes[[#This Row],[fecha_inicio]]="","",YEAR(tblOrdenes[[#This Row],[fecha_inicio]]))</f>
        <v/>
      </c>
      <c r="R921" s="3">
        <f>IF(tblOrdenes[[#This Row],[fecha_inicio]]="","",MONTH(tblOrdenes[[#This Row],[fecha_inicio]]))</f>
        <v/>
      </c>
      <c r="S921" s="3">
        <f>IF(tblOrdenes[[#This Row],[fecha_inicio]]="","",INDEX(lista_dias,WEEKDAY(tblOrdenes[[#This Row],[fecha_inicio]],2)))</f>
        <v/>
      </c>
      <c r="T921" s="3">
        <f>IF(tblOrdenes[[#This Row],[tipo_ot]]="","",_xlfn.XLOOKUP(tblOrdenes[[#This Row],[tipo_ot]],tblTiposOT[codigo],tblTiposOT[clasificacion],"sin_clasificar"))</f>
        <v/>
      </c>
      <c r="U921" s="3">
        <f>IF(tblOrdenes[[#This Row],[centro_costo]]="","",_xlfn.XLOOKUP(tblOrdenes[[#This Row],[centro_costo]],tblCECO[codigo],tblCECO[linea],"(sin catálogo)"))</f>
        <v/>
      </c>
      <c r="V921" s="3">
        <f>IF(tblOrdenes[[#This Row],[centro_costo]]="","",_xlfn.XLOOKUP(tblOrdenes[[#This Row],[centro_costo]],tblCECO[codigo],tblCECO[area],"(sin catálogo)"))</f>
        <v/>
      </c>
      <c r="W921" s="3">
        <f>IF(tblOrdenes[[#This Row],[centro_costo]]="","",_xlfn.XLOOKUP(tblOrdenes[[#This Row],[centro_costo]],tblCECO[codigo],tblCECO[coordinador],"(sin catálogo)"))</f>
        <v/>
      </c>
      <c r="X921" s="3">
        <f>IF(tblOrdenes[[#This Row],[puesto_trabajo]]="","",_xlfn.XLOOKUP(tblOrdenes[[#This Row],[puesto_trabajo]],tblPuestos[codigo],tblPuestos[especialidad],"(sin catálogo)"))</f>
        <v/>
      </c>
      <c r="Y921" s="3">
        <f>IF(tblOrdenes[[#This Row],[cod_actividad]]="","",_xlfn.XLOOKUP(tblOrdenes[[#This Row],[cod_actividad]],tblActividades[codigo],tblActividades[descripcion],"(sin catálogo)"))</f>
        <v/>
      </c>
      <c r="Z921" s="12">
        <f>IF(tblOrdenes[[#This Row],[fecha_inicio]]="","",TODAY()-tblOrdenes[[#This Row],[fecha_inicio]])</f>
        <v/>
      </c>
      <c r="AA921" s="3">
        <f>IF(tblOrdenes[[#This Row],[backlog_dias]]="","",IF(tblOrdenes[[#This Row],[backlog_dias]]&lt;0,"FUTURO",IF(tblOrdenes[[#This Row],[backlog_dias]]&gt;p_dias_backlog_max,"BACKLOG","MES CORRIENTE")))</f>
        <v/>
      </c>
      <c r="AB921" s="3">
        <f>IF(tblOrdenes[[#This Row],[backlog_dias]]="",FALSE,AND(tblOrdenes[[#This Row],[backlog_dias]]&gt;p_dias_backlog_min,tblOrdenes[[#This Row],[backlog_dias]]&lt;=p_dias_backlog_max))</f>
        <v/>
      </c>
      <c r="AC921" s="6" t="n"/>
      <c r="AD9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21" s="10">
        <f>IF(tblOrdenes[[#This Row],[orden]]="","",_xlfn.XLOOKUP(tblOrdenes[[#This Row],[id_operacion]],tblEjecucion[id_operacion],tblEjecucion[precio],0))</f>
        <v/>
      </c>
      <c r="AH921" s="10">
        <f>IF(tblOrdenes[[#This Row],[orden]]="","",MAX(0,_xlfn.XLOOKUP(tblOrdenes[[#This Row],[id_operacion]],tblEjecucion[id_operacion],tblEjecucion[costo_plan_total],0)-tblOrdenes[[#This Row],[costo_servicio]]))</f>
        <v/>
      </c>
      <c r="AI921" s="10">
        <f>IF(tblOrdenes[[#This Row],[orden]]="","",tblOrdenes[[#This Row],[costo_servicio]]+tblOrdenes[[#This Row],[costo_materiales]])</f>
        <v/>
      </c>
      <c r="AJ921" s="6" t="n"/>
      <c r="AK921" s="6" t="n"/>
      <c r="AL921" s="6" t="n"/>
      <c r="AM921" s="3">
        <f>IF(tblOrdenes[[#This Row],[link_checklist]]="","",HYPERLINK(p_ruta_base_checklists&amp;tblOrdenes[[#This Row],[link_checklist]],"abrir"))</f>
        <v/>
      </c>
      <c r="AN921" s="6" t="n"/>
      <c r="AO921" s="3">
        <f>IF(tblOrdenes[[#This Row],[orden]]="","",tblOrdenes[[#This Row],[orden]]&amp;IF(tblOrdenes[[#This Row],[operacion]]="","0010",tblOrdenes[[#This Row],[operacion]]))</f>
        <v/>
      </c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11" t="n"/>
      <c r="K922" s="3" t="n"/>
      <c r="L922" s="10" t="n"/>
      <c r="M922" s="6" t="n"/>
      <c r="N9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22" s="3">
        <f>IF(tblOrdenes[[#This Row],[fecha_inicio]]="","",YEAR(tblOrdenes[[#This Row],[fecha_inicio]]))</f>
        <v/>
      </c>
      <c r="R922" s="3">
        <f>IF(tblOrdenes[[#This Row],[fecha_inicio]]="","",MONTH(tblOrdenes[[#This Row],[fecha_inicio]]))</f>
        <v/>
      </c>
      <c r="S922" s="3">
        <f>IF(tblOrdenes[[#This Row],[fecha_inicio]]="","",INDEX(lista_dias,WEEKDAY(tblOrdenes[[#This Row],[fecha_inicio]],2)))</f>
        <v/>
      </c>
      <c r="T922" s="3">
        <f>IF(tblOrdenes[[#This Row],[tipo_ot]]="","",_xlfn.XLOOKUP(tblOrdenes[[#This Row],[tipo_ot]],tblTiposOT[codigo],tblTiposOT[clasificacion],"sin_clasificar"))</f>
        <v/>
      </c>
      <c r="U922" s="3">
        <f>IF(tblOrdenes[[#This Row],[centro_costo]]="","",_xlfn.XLOOKUP(tblOrdenes[[#This Row],[centro_costo]],tblCECO[codigo],tblCECO[linea],"(sin catálogo)"))</f>
        <v/>
      </c>
      <c r="V922" s="3">
        <f>IF(tblOrdenes[[#This Row],[centro_costo]]="","",_xlfn.XLOOKUP(tblOrdenes[[#This Row],[centro_costo]],tblCECO[codigo],tblCECO[area],"(sin catálogo)"))</f>
        <v/>
      </c>
      <c r="W922" s="3">
        <f>IF(tblOrdenes[[#This Row],[centro_costo]]="","",_xlfn.XLOOKUP(tblOrdenes[[#This Row],[centro_costo]],tblCECO[codigo],tblCECO[coordinador],"(sin catálogo)"))</f>
        <v/>
      </c>
      <c r="X922" s="3">
        <f>IF(tblOrdenes[[#This Row],[puesto_trabajo]]="","",_xlfn.XLOOKUP(tblOrdenes[[#This Row],[puesto_trabajo]],tblPuestos[codigo],tblPuestos[especialidad],"(sin catálogo)"))</f>
        <v/>
      </c>
      <c r="Y922" s="3">
        <f>IF(tblOrdenes[[#This Row],[cod_actividad]]="","",_xlfn.XLOOKUP(tblOrdenes[[#This Row],[cod_actividad]],tblActividades[codigo],tblActividades[descripcion],"(sin catálogo)"))</f>
        <v/>
      </c>
      <c r="Z922" s="12">
        <f>IF(tblOrdenes[[#This Row],[fecha_inicio]]="","",TODAY()-tblOrdenes[[#This Row],[fecha_inicio]])</f>
        <v/>
      </c>
      <c r="AA922" s="3">
        <f>IF(tblOrdenes[[#This Row],[backlog_dias]]="","",IF(tblOrdenes[[#This Row],[backlog_dias]]&lt;0,"FUTURO",IF(tblOrdenes[[#This Row],[backlog_dias]]&gt;p_dias_backlog_max,"BACKLOG","MES CORRIENTE")))</f>
        <v/>
      </c>
      <c r="AB922" s="3">
        <f>IF(tblOrdenes[[#This Row],[backlog_dias]]="",FALSE,AND(tblOrdenes[[#This Row],[backlog_dias]]&gt;p_dias_backlog_min,tblOrdenes[[#This Row],[backlog_dias]]&lt;=p_dias_backlog_max))</f>
        <v/>
      </c>
      <c r="AC922" s="6" t="n"/>
      <c r="AD9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22" s="10">
        <f>IF(tblOrdenes[[#This Row],[orden]]="","",_xlfn.XLOOKUP(tblOrdenes[[#This Row],[id_operacion]],tblEjecucion[id_operacion],tblEjecucion[precio],0))</f>
        <v/>
      </c>
      <c r="AH922" s="10">
        <f>IF(tblOrdenes[[#This Row],[orden]]="","",MAX(0,_xlfn.XLOOKUP(tblOrdenes[[#This Row],[id_operacion]],tblEjecucion[id_operacion],tblEjecucion[costo_plan_total],0)-tblOrdenes[[#This Row],[costo_servicio]]))</f>
        <v/>
      </c>
      <c r="AI922" s="10">
        <f>IF(tblOrdenes[[#This Row],[orden]]="","",tblOrdenes[[#This Row],[costo_servicio]]+tblOrdenes[[#This Row],[costo_materiales]])</f>
        <v/>
      </c>
      <c r="AJ922" s="6" t="n"/>
      <c r="AK922" s="6" t="n"/>
      <c r="AL922" s="6" t="n"/>
      <c r="AM922" s="3">
        <f>IF(tblOrdenes[[#This Row],[link_checklist]]="","",HYPERLINK(p_ruta_base_checklists&amp;tblOrdenes[[#This Row],[link_checklist]],"abrir"))</f>
        <v/>
      </c>
      <c r="AN922" s="6" t="n"/>
      <c r="AO922" s="3">
        <f>IF(tblOrdenes[[#This Row],[orden]]="","",tblOrdenes[[#This Row],[orden]]&amp;IF(tblOrdenes[[#This Row],[operacion]]="","0010",tblOrdenes[[#This Row],[operacion]]))</f>
        <v/>
      </c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11" t="n"/>
      <c r="K923" s="3" t="n"/>
      <c r="L923" s="10" t="n"/>
      <c r="M923" s="6" t="n"/>
      <c r="N9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23" s="3">
        <f>IF(tblOrdenes[[#This Row],[fecha_inicio]]="","",YEAR(tblOrdenes[[#This Row],[fecha_inicio]]))</f>
        <v/>
      </c>
      <c r="R923" s="3">
        <f>IF(tblOrdenes[[#This Row],[fecha_inicio]]="","",MONTH(tblOrdenes[[#This Row],[fecha_inicio]]))</f>
        <v/>
      </c>
      <c r="S923" s="3">
        <f>IF(tblOrdenes[[#This Row],[fecha_inicio]]="","",INDEX(lista_dias,WEEKDAY(tblOrdenes[[#This Row],[fecha_inicio]],2)))</f>
        <v/>
      </c>
      <c r="T923" s="3">
        <f>IF(tblOrdenes[[#This Row],[tipo_ot]]="","",_xlfn.XLOOKUP(tblOrdenes[[#This Row],[tipo_ot]],tblTiposOT[codigo],tblTiposOT[clasificacion],"sin_clasificar"))</f>
        <v/>
      </c>
      <c r="U923" s="3">
        <f>IF(tblOrdenes[[#This Row],[centro_costo]]="","",_xlfn.XLOOKUP(tblOrdenes[[#This Row],[centro_costo]],tblCECO[codigo],tblCECO[linea],"(sin catálogo)"))</f>
        <v/>
      </c>
      <c r="V923" s="3">
        <f>IF(tblOrdenes[[#This Row],[centro_costo]]="","",_xlfn.XLOOKUP(tblOrdenes[[#This Row],[centro_costo]],tblCECO[codigo],tblCECO[area],"(sin catálogo)"))</f>
        <v/>
      </c>
      <c r="W923" s="3">
        <f>IF(tblOrdenes[[#This Row],[centro_costo]]="","",_xlfn.XLOOKUP(tblOrdenes[[#This Row],[centro_costo]],tblCECO[codigo],tblCECO[coordinador],"(sin catálogo)"))</f>
        <v/>
      </c>
      <c r="X923" s="3">
        <f>IF(tblOrdenes[[#This Row],[puesto_trabajo]]="","",_xlfn.XLOOKUP(tblOrdenes[[#This Row],[puesto_trabajo]],tblPuestos[codigo],tblPuestos[especialidad],"(sin catálogo)"))</f>
        <v/>
      </c>
      <c r="Y923" s="3">
        <f>IF(tblOrdenes[[#This Row],[cod_actividad]]="","",_xlfn.XLOOKUP(tblOrdenes[[#This Row],[cod_actividad]],tblActividades[codigo],tblActividades[descripcion],"(sin catálogo)"))</f>
        <v/>
      </c>
      <c r="Z923" s="12">
        <f>IF(tblOrdenes[[#This Row],[fecha_inicio]]="","",TODAY()-tblOrdenes[[#This Row],[fecha_inicio]])</f>
        <v/>
      </c>
      <c r="AA923" s="3">
        <f>IF(tblOrdenes[[#This Row],[backlog_dias]]="","",IF(tblOrdenes[[#This Row],[backlog_dias]]&lt;0,"FUTURO",IF(tblOrdenes[[#This Row],[backlog_dias]]&gt;p_dias_backlog_max,"BACKLOG","MES CORRIENTE")))</f>
        <v/>
      </c>
      <c r="AB923" s="3">
        <f>IF(tblOrdenes[[#This Row],[backlog_dias]]="",FALSE,AND(tblOrdenes[[#This Row],[backlog_dias]]&gt;p_dias_backlog_min,tblOrdenes[[#This Row],[backlog_dias]]&lt;=p_dias_backlog_max))</f>
        <v/>
      </c>
      <c r="AC923" s="6" t="n"/>
      <c r="AD9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23" s="10">
        <f>IF(tblOrdenes[[#This Row],[orden]]="","",_xlfn.XLOOKUP(tblOrdenes[[#This Row],[id_operacion]],tblEjecucion[id_operacion],tblEjecucion[precio],0))</f>
        <v/>
      </c>
      <c r="AH923" s="10">
        <f>IF(tblOrdenes[[#This Row],[orden]]="","",MAX(0,_xlfn.XLOOKUP(tblOrdenes[[#This Row],[id_operacion]],tblEjecucion[id_operacion],tblEjecucion[costo_plan_total],0)-tblOrdenes[[#This Row],[costo_servicio]]))</f>
        <v/>
      </c>
      <c r="AI923" s="10">
        <f>IF(tblOrdenes[[#This Row],[orden]]="","",tblOrdenes[[#This Row],[costo_servicio]]+tblOrdenes[[#This Row],[costo_materiales]])</f>
        <v/>
      </c>
      <c r="AJ923" s="6" t="n"/>
      <c r="AK923" s="6" t="n"/>
      <c r="AL923" s="6" t="n"/>
      <c r="AM923" s="3">
        <f>IF(tblOrdenes[[#This Row],[link_checklist]]="","",HYPERLINK(p_ruta_base_checklists&amp;tblOrdenes[[#This Row],[link_checklist]],"abrir"))</f>
        <v/>
      </c>
      <c r="AN923" s="6" t="n"/>
      <c r="AO923" s="3">
        <f>IF(tblOrdenes[[#This Row],[orden]]="","",tblOrdenes[[#This Row],[orden]]&amp;IF(tblOrdenes[[#This Row],[operacion]]="","0010",tblOrdenes[[#This Row],[operacion]]))</f>
        <v/>
      </c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11" t="n"/>
      <c r="K924" s="3" t="n"/>
      <c r="L924" s="10" t="n"/>
      <c r="M924" s="6" t="n"/>
      <c r="N9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24" s="3">
        <f>IF(tblOrdenes[[#This Row],[fecha_inicio]]="","",YEAR(tblOrdenes[[#This Row],[fecha_inicio]]))</f>
        <v/>
      </c>
      <c r="R924" s="3">
        <f>IF(tblOrdenes[[#This Row],[fecha_inicio]]="","",MONTH(tblOrdenes[[#This Row],[fecha_inicio]]))</f>
        <v/>
      </c>
      <c r="S924" s="3">
        <f>IF(tblOrdenes[[#This Row],[fecha_inicio]]="","",INDEX(lista_dias,WEEKDAY(tblOrdenes[[#This Row],[fecha_inicio]],2)))</f>
        <v/>
      </c>
      <c r="T924" s="3">
        <f>IF(tblOrdenes[[#This Row],[tipo_ot]]="","",_xlfn.XLOOKUP(tblOrdenes[[#This Row],[tipo_ot]],tblTiposOT[codigo],tblTiposOT[clasificacion],"sin_clasificar"))</f>
        <v/>
      </c>
      <c r="U924" s="3">
        <f>IF(tblOrdenes[[#This Row],[centro_costo]]="","",_xlfn.XLOOKUP(tblOrdenes[[#This Row],[centro_costo]],tblCECO[codigo],tblCECO[linea],"(sin catálogo)"))</f>
        <v/>
      </c>
      <c r="V924" s="3">
        <f>IF(tblOrdenes[[#This Row],[centro_costo]]="","",_xlfn.XLOOKUP(tblOrdenes[[#This Row],[centro_costo]],tblCECO[codigo],tblCECO[area],"(sin catálogo)"))</f>
        <v/>
      </c>
      <c r="W924" s="3">
        <f>IF(tblOrdenes[[#This Row],[centro_costo]]="","",_xlfn.XLOOKUP(tblOrdenes[[#This Row],[centro_costo]],tblCECO[codigo],tblCECO[coordinador],"(sin catálogo)"))</f>
        <v/>
      </c>
      <c r="X924" s="3">
        <f>IF(tblOrdenes[[#This Row],[puesto_trabajo]]="","",_xlfn.XLOOKUP(tblOrdenes[[#This Row],[puesto_trabajo]],tblPuestos[codigo],tblPuestos[especialidad],"(sin catálogo)"))</f>
        <v/>
      </c>
      <c r="Y924" s="3">
        <f>IF(tblOrdenes[[#This Row],[cod_actividad]]="","",_xlfn.XLOOKUP(tblOrdenes[[#This Row],[cod_actividad]],tblActividades[codigo],tblActividades[descripcion],"(sin catálogo)"))</f>
        <v/>
      </c>
      <c r="Z924" s="12">
        <f>IF(tblOrdenes[[#This Row],[fecha_inicio]]="","",TODAY()-tblOrdenes[[#This Row],[fecha_inicio]])</f>
        <v/>
      </c>
      <c r="AA924" s="3">
        <f>IF(tblOrdenes[[#This Row],[backlog_dias]]="","",IF(tblOrdenes[[#This Row],[backlog_dias]]&lt;0,"FUTURO",IF(tblOrdenes[[#This Row],[backlog_dias]]&gt;p_dias_backlog_max,"BACKLOG","MES CORRIENTE")))</f>
        <v/>
      </c>
      <c r="AB924" s="3">
        <f>IF(tblOrdenes[[#This Row],[backlog_dias]]="",FALSE,AND(tblOrdenes[[#This Row],[backlog_dias]]&gt;p_dias_backlog_min,tblOrdenes[[#This Row],[backlog_dias]]&lt;=p_dias_backlog_max))</f>
        <v/>
      </c>
      <c r="AC924" s="6" t="n"/>
      <c r="AD9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24" s="10">
        <f>IF(tblOrdenes[[#This Row],[orden]]="","",_xlfn.XLOOKUP(tblOrdenes[[#This Row],[id_operacion]],tblEjecucion[id_operacion],tblEjecucion[precio],0))</f>
        <v/>
      </c>
      <c r="AH924" s="10">
        <f>IF(tblOrdenes[[#This Row],[orden]]="","",MAX(0,_xlfn.XLOOKUP(tblOrdenes[[#This Row],[id_operacion]],tblEjecucion[id_operacion],tblEjecucion[costo_plan_total],0)-tblOrdenes[[#This Row],[costo_servicio]]))</f>
        <v/>
      </c>
      <c r="AI924" s="10">
        <f>IF(tblOrdenes[[#This Row],[orden]]="","",tblOrdenes[[#This Row],[costo_servicio]]+tblOrdenes[[#This Row],[costo_materiales]])</f>
        <v/>
      </c>
      <c r="AJ924" s="6" t="n"/>
      <c r="AK924" s="6" t="n"/>
      <c r="AL924" s="6" t="n"/>
      <c r="AM924" s="3">
        <f>IF(tblOrdenes[[#This Row],[link_checklist]]="","",HYPERLINK(p_ruta_base_checklists&amp;tblOrdenes[[#This Row],[link_checklist]],"abrir"))</f>
        <v/>
      </c>
      <c r="AN924" s="6" t="n"/>
      <c r="AO924" s="3">
        <f>IF(tblOrdenes[[#This Row],[orden]]="","",tblOrdenes[[#This Row],[orden]]&amp;IF(tblOrdenes[[#This Row],[operacion]]="","0010",tblOrdenes[[#This Row],[operacion]]))</f>
        <v/>
      </c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11" t="n"/>
      <c r="K925" s="3" t="n"/>
      <c r="L925" s="10" t="n"/>
      <c r="M925" s="6" t="n"/>
      <c r="N9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25" s="3">
        <f>IF(tblOrdenes[[#This Row],[fecha_inicio]]="","",YEAR(tblOrdenes[[#This Row],[fecha_inicio]]))</f>
        <v/>
      </c>
      <c r="R925" s="3">
        <f>IF(tblOrdenes[[#This Row],[fecha_inicio]]="","",MONTH(tblOrdenes[[#This Row],[fecha_inicio]]))</f>
        <v/>
      </c>
      <c r="S925" s="3">
        <f>IF(tblOrdenes[[#This Row],[fecha_inicio]]="","",INDEX(lista_dias,WEEKDAY(tblOrdenes[[#This Row],[fecha_inicio]],2)))</f>
        <v/>
      </c>
      <c r="T925" s="3">
        <f>IF(tblOrdenes[[#This Row],[tipo_ot]]="","",_xlfn.XLOOKUP(tblOrdenes[[#This Row],[tipo_ot]],tblTiposOT[codigo],tblTiposOT[clasificacion],"sin_clasificar"))</f>
        <v/>
      </c>
      <c r="U925" s="3">
        <f>IF(tblOrdenes[[#This Row],[centro_costo]]="","",_xlfn.XLOOKUP(tblOrdenes[[#This Row],[centro_costo]],tblCECO[codigo],tblCECO[linea],"(sin catálogo)"))</f>
        <v/>
      </c>
      <c r="V925" s="3">
        <f>IF(tblOrdenes[[#This Row],[centro_costo]]="","",_xlfn.XLOOKUP(tblOrdenes[[#This Row],[centro_costo]],tblCECO[codigo],tblCECO[area],"(sin catálogo)"))</f>
        <v/>
      </c>
      <c r="W925" s="3">
        <f>IF(tblOrdenes[[#This Row],[centro_costo]]="","",_xlfn.XLOOKUP(tblOrdenes[[#This Row],[centro_costo]],tblCECO[codigo],tblCECO[coordinador],"(sin catálogo)"))</f>
        <v/>
      </c>
      <c r="X925" s="3">
        <f>IF(tblOrdenes[[#This Row],[puesto_trabajo]]="","",_xlfn.XLOOKUP(tblOrdenes[[#This Row],[puesto_trabajo]],tblPuestos[codigo],tblPuestos[especialidad],"(sin catálogo)"))</f>
        <v/>
      </c>
      <c r="Y925" s="3">
        <f>IF(tblOrdenes[[#This Row],[cod_actividad]]="","",_xlfn.XLOOKUP(tblOrdenes[[#This Row],[cod_actividad]],tblActividades[codigo],tblActividades[descripcion],"(sin catálogo)"))</f>
        <v/>
      </c>
      <c r="Z925" s="12">
        <f>IF(tblOrdenes[[#This Row],[fecha_inicio]]="","",TODAY()-tblOrdenes[[#This Row],[fecha_inicio]])</f>
        <v/>
      </c>
      <c r="AA925" s="3">
        <f>IF(tblOrdenes[[#This Row],[backlog_dias]]="","",IF(tblOrdenes[[#This Row],[backlog_dias]]&lt;0,"FUTURO",IF(tblOrdenes[[#This Row],[backlog_dias]]&gt;p_dias_backlog_max,"BACKLOG","MES CORRIENTE")))</f>
        <v/>
      </c>
      <c r="AB925" s="3">
        <f>IF(tblOrdenes[[#This Row],[backlog_dias]]="",FALSE,AND(tblOrdenes[[#This Row],[backlog_dias]]&gt;p_dias_backlog_min,tblOrdenes[[#This Row],[backlog_dias]]&lt;=p_dias_backlog_max))</f>
        <v/>
      </c>
      <c r="AC925" s="6" t="n"/>
      <c r="AD9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25" s="10">
        <f>IF(tblOrdenes[[#This Row],[orden]]="","",_xlfn.XLOOKUP(tblOrdenes[[#This Row],[id_operacion]],tblEjecucion[id_operacion],tblEjecucion[precio],0))</f>
        <v/>
      </c>
      <c r="AH925" s="10">
        <f>IF(tblOrdenes[[#This Row],[orden]]="","",MAX(0,_xlfn.XLOOKUP(tblOrdenes[[#This Row],[id_operacion]],tblEjecucion[id_operacion],tblEjecucion[costo_plan_total],0)-tblOrdenes[[#This Row],[costo_servicio]]))</f>
        <v/>
      </c>
      <c r="AI925" s="10">
        <f>IF(tblOrdenes[[#This Row],[orden]]="","",tblOrdenes[[#This Row],[costo_servicio]]+tblOrdenes[[#This Row],[costo_materiales]])</f>
        <v/>
      </c>
      <c r="AJ925" s="6" t="n"/>
      <c r="AK925" s="6" t="n"/>
      <c r="AL925" s="6" t="n"/>
      <c r="AM925" s="3">
        <f>IF(tblOrdenes[[#This Row],[link_checklist]]="","",HYPERLINK(p_ruta_base_checklists&amp;tblOrdenes[[#This Row],[link_checklist]],"abrir"))</f>
        <v/>
      </c>
      <c r="AN925" s="6" t="n"/>
      <c r="AO925" s="3">
        <f>IF(tblOrdenes[[#This Row],[orden]]="","",tblOrdenes[[#This Row],[orden]]&amp;IF(tblOrdenes[[#This Row],[operacion]]="","0010",tblOrdenes[[#This Row],[operacion]]))</f>
        <v/>
      </c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11" t="n"/>
      <c r="K926" s="3" t="n"/>
      <c r="L926" s="10" t="n"/>
      <c r="M926" s="6" t="n"/>
      <c r="N9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26" s="3">
        <f>IF(tblOrdenes[[#This Row],[fecha_inicio]]="","",YEAR(tblOrdenes[[#This Row],[fecha_inicio]]))</f>
        <v/>
      </c>
      <c r="R926" s="3">
        <f>IF(tblOrdenes[[#This Row],[fecha_inicio]]="","",MONTH(tblOrdenes[[#This Row],[fecha_inicio]]))</f>
        <v/>
      </c>
      <c r="S926" s="3">
        <f>IF(tblOrdenes[[#This Row],[fecha_inicio]]="","",INDEX(lista_dias,WEEKDAY(tblOrdenes[[#This Row],[fecha_inicio]],2)))</f>
        <v/>
      </c>
      <c r="T926" s="3">
        <f>IF(tblOrdenes[[#This Row],[tipo_ot]]="","",_xlfn.XLOOKUP(tblOrdenes[[#This Row],[tipo_ot]],tblTiposOT[codigo],tblTiposOT[clasificacion],"sin_clasificar"))</f>
        <v/>
      </c>
      <c r="U926" s="3">
        <f>IF(tblOrdenes[[#This Row],[centro_costo]]="","",_xlfn.XLOOKUP(tblOrdenes[[#This Row],[centro_costo]],tblCECO[codigo],tblCECO[linea],"(sin catálogo)"))</f>
        <v/>
      </c>
      <c r="V926" s="3">
        <f>IF(tblOrdenes[[#This Row],[centro_costo]]="","",_xlfn.XLOOKUP(tblOrdenes[[#This Row],[centro_costo]],tblCECO[codigo],tblCECO[area],"(sin catálogo)"))</f>
        <v/>
      </c>
      <c r="W926" s="3">
        <f>IF(tblOrdenes[[#This Row],[centro_costo]]="","",_xlfn.XLOOKUP(tblOrdenes[[#This Row],[centro_costo]],tblCECO[codigo],tblCECO[coordinador],"(sin catálogo)"))</f>
        <v/>
      </c>
      <c r="X926" s="3">
        <f>IF(tblOrdenes[[#This Row],[puesto_trabajo]]="","",_xlfn.XLOOKUP(tblOrdenes[[#This Row],[puesto_trabajo]],tblPuestos[codigo],tblPuestos[especialidad],"(sin catálogo)"))</f>
        <v/>
      </c>
      <c r="Y926" s="3">
        <f>IF(tblOrdenes[[#This Row],[cod_actividad]]="","",_xlfn.XLOOKUP(tblOrdenes[[#This Row],[cod_actividad]],tblActividades[codigo],tblActividades[descripcion],"(sin catálogo)"))</f>
        <v/>
      </c>
      <c r="Z926" s="12">
        <f>IF(tblOrdenes[[#This Row],[fecha_inicio]]="","",TODAY()-tblOrdenes[[#This Row],[fecha_inicio]])</f>
        <v/>
      </c>
      <c r="AA926" s="3">
        <f>IF(tblOrdenes[[#This Row],[backlog_dias]]="","",IF(tblOrdenes[[#This Row],[backlog_dias]]&lt;0,"FUTURO",IF(tblOrdenes[[#This Row],[backlog_dias]]&gt;p_dias_backlog_max,"BACKLOG","MES CORRIENTE")))</f>
        <v/>
      </c>
      <c r="AB926" s="3">
        <f>IF(tblOrdenes[[#This Row],[backlog_dias]]="",FALSE,AND(tblOrdenes[[#This Row],[backlog_dias]]&gt;p_dias_backlog_min,tblOrdenes[[#This Row],[backlog_dias]]&lt;=p_dias_backlog_max))</f>
        <v/>
      </c>
      <c r="AC926" s="6" t="n"/>
      <c r="AD9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26" s="10">
        <f>IF(tblOrdenes[[#This Row],[orden]]="","",_xlfn.XLOOKUP(tblOrdenes[[#This Row],[id_operacion]],tblEjecucion[id_operacion],tblEjecucion[precio],0))</f>
        <v/>
      </c>
      <c r="AH926" s="10">
        <f>IF(tblOrdenes[[#This Row],[orden]]="","",MAX(0,_xlfn.XLOOKUP(tblOrdenes[[#This Row],[id_operacion]],tblEjecucion[id_operacion],tblEjecucion[costo_plan_total],0)-tblOrdenes[[#This Row],[costo_servicio]]))</f>
        <v/>
      </c>
      <c r="AI926" s="10">
        <f>IF(tblOrdenes[[#This Row],[orden]]="","",tblOrdenes[[#This Row],[costo_servicio]]+tblOrdenes[[#This Row],[costo_materiales]])</f>
        <v/>
      </c>
      <c r="AJ926" s="6" t="n"/>
      <c r="AK926" s="6" t="n"/>
      <c r="AL926" s="6" t="n"/>
      <c r="AM926" s="3">
        <f>IF(tblOrdenes[[#This Row],[link_checklist]]="","",HYPERLINK(p_ruta_base_checklists&amp;tblOrdenes[[#This Row],[link_checklist]],"abrir"))</f>
        <v/>
      </c>
      <c r="AN926" s="6" t="n"/>
      <c r="AO926" s="3">
        <f>IF(tblOrdenes[[#This Row],[orden]]="","",tblOrdenes[[#This Row],[orden]]&amp;IF(tblOrdenes[[#This Row],[operacion]]="","0010",tblOrdenes[[#This Row],[operacion]]))</f>
        <v/>
      </c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11" t="n"/>
      <c r="K927" s="3" t="n"/>
      <c r="L927" s="10" t="n"/>
      <c r="M927" s="6" t="n"/>
      <c r="N9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27" s="3">
        <f>IF(tblOrdenes[[#This Row],[fecha_inicio]]="","",YEAR(tblOrdenes[[#This Row],[fecha_inicio]]))</f>
        <v/>
      </c>
      <c r="R927" s="3">
        <f>IF(tblOrdenes[[#This Row],[fecha_inicio]]="","",MONTH(tblOrdenes[[#This Row],[fecha_inicio]]))</f>
        <v/>
      </c>
      <c r="S927" s="3">
        <f>IF(tblOrdenes[[#This Row],[fecha_inicio]]="","",INDEX(lista_dias,WEEKDAY(tblOrdenes[[#This Row],[fecha_inicio]],2)))</f>
        <v/>
      </c>
      <c r="T927" s="3">
        <f>IF(tblOrdenes[[#This Row],[tipo_ot]]="","",_xlfn.XLOOKUP(tblOrdenes[[#This Row],[tipo_ot]],tblTiposOT[codigo],tblTiposOT[clasificacion],"sin_clasificar"))</f>
        <v/>
      </c>
      <c r="U927" s="3">
        <f>IF(tblOrdenes[[#This Row],[centro_costo]]="","",_xlfn.XLOOKUP(tblOrdenes[[#This Row],[centro_costo]],tblCECO[codigo],tblCECO[linea],"(sin catálogo)"))</f>
        <v/>
      </c>
      <c r="V927" s="3">
        <f>IF(tblOrdenes[[#This Row],[centro_costo]]="","",_xlfn.XLOOKUP(tblOrdenes[[#This Row],[centro_costo]],tblCECO[codigo],tblCECO[area],"(sin catálogo)"))</f>
        <v/>
      </c>
      <c r="W927" s="3">
        <f>IF(tblOrdenes[[#This Row],[centro_costo]]="","",_xlfn.XLOOKUP(tblOrdenes[[#This Row],[centro_costo]],tblCECO[codigo],tblCECO[coordinador],"(sin catálogo)"))</f>
        <v/>
      </c>
      <c r="X927" s="3">
        <f>IF(tblOrdenes[[#This Row],[puesto_trabajo]]="","",_xlfn.XLOOKUP(tblOrdenes[[#This Row],[puesto_trabajo]],tblPuestos[codigo],tblPuestos[especialidad],"(sin catálogo)"))</f>
        <v/>
      </c>
      <c r="Y927" s="3">
        <f>IF(tblOrdenes[[#This Row],[cod_actividad]]="","",_xlfn.XLOOKUP(tblOrdenes[[#This Row],[cod_actividad]],tblActividades[codigo],tblActividades[descripcion],"(sin catálogo)"))</f>
        <v/>
      </c>
      <c r="Z927" s="12">
        <f>IF(tblOrdenes[[#This Row],[fecha_inicio]]="","",TODAY()-tblOrdenes[[#This Row],[fecha_inicio]])</f>
        <v/>
      </c>
      <c r="AA927" s="3">
        <f>IF(tblOrdenes[[#This Row],[backlog_dias]]="","",IF(tblOrdenes[[#This Row],[backlog_dias]]&lt;0,"FUTURO",IF(tblOrdenes[[#This Row],[backlog_dias]]&gt;p_dias_backlog_max,"BACKLOG","MES CORRIENTE")))</f>
        <v/>
      </c>
      <c r="AB927" s="3">
        <f>IF(tblOrdenes[[#This Row],[backlog_dias]]="",FALSE,AND(tblOrdenes[[#This Row],[backlog_dias]]&gt;p_dias_backlog_min,tblOrdenes[[#This Row],[backlog_dias]]&lt;=p_dias_backlog_max))</f>
        <v/>
      </c>
      <c r="AC927" s="6" t="n"/>
      <c r="AD9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27" s="10">
        <f>IF(tblOrdenes[[#This Row],[orden]]="","",_xlfn.XLOOKUP(tblOrdenes[[#This Row],[id_operacion]],tblEjecucion[id_operacion],tblEjecucion[precio],0))</f>
        <v/>
      </c>
      <c r="AH927" s="10">
        <f>IF(tblOrdenes[[#This Row],[orden]]="","",MAX(0,_xlfn.XLOOKUP(tblOrdenes[[#This Row],[id_operacion]],tblEjecucion[id_operacion],tblEjecucion[costo_plan_total],0)-tblOrdenes[[#This Row],[costo_servicio]]))</f>
        <v/>
      </c>
      <c r="AI927" s="10">
        <f>IF(tblOrdenes[[#This Row],[orden]]="","",tblOrdenes[[#This Row],[costo_servicio]]+tblOrdenes[[#This Row],[costo_materiales]])</f>
        <v/>
      </c>
      <c r="AJ927" s="6" t="n"/>
      <c r="AK927" s="6" t="n"/>
      <c r="AL927" s="6" t="n"/>
      <c r="AM927" s="3">
        <f>IF(tblOrdenes[[#This Row],[link_checklist]]="","",HYPERLINK(p_ruta_base_checklists&amp;tblOrdenes[[#This Row],[link_checklist]],"abrir"))</f>
        <v/>
      </c>
      <c r="AN927" s="6" t="n"/>
      <c r="AO927" s="3">
        <f>IF(tblOrdenes[[#This Row],[orden]]="","",tblOrdenes[[#This Row],[orden]]&amp;IF(tblOrdenes[[#This Row],[operacion]]="","0010",tblOrdenes[[#This Row],[operacion]]))</f>
        <v/>
      </c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11" t="n"/>
      <c r="K928" s="3" t="n"/>
      <c r="L928" s="10" t="n"/>
      <c r="M928" s="6" t="n"/>
      <c r="N9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28" s="3">
        <f>IF(tblOrdenes[[#This Row],[fecha_inicio]]="","",YEAR(tblOrdenes[[#This Row],[fecha_inicio]]))</f>
        <v/>
      </c>
      <c r="R928" s="3">
        <f>IF(tblOrdenes[[#This Row],[fecha_inicio]]="","",MONTH(tblOrdenes[[#This Row],[fecha_inicio]]))</f>
        <v/>
      </c>
      <c r="S928" s="3">
        <f>IF(tblOrdenes[[#This Row],[fecha_inicio]]="","",INDEX(lista_dias,WEEKDAY(tblOrdenes[[#This Row],[fecha_inicio]],2)))</f>
        <v/>
      </c>
      <c r="T928" s="3">
        <f>IF(tblOrdenes[[#This Row],[tipo_ot]]="","",_xlfn.XLOOKUP(tblOrdenes[[#This Row],[tipo_ot]],tblTiposOT[codigo],tblTiposOT[clasificacion],"sin_clasificar"))</f>
        <v/>
      </c>
      <c r="U928" s="3">
        <f>IF(tblOrdenes[[#This Row],[centro_costo]]="","",_xlfn.XLOOKUP(tblOrdenes[[#This Row],[centro_costo]],tblCECO[codigo],tblCECO[linea],"(sin catálogo)"))</f>
        <v/>
      </c>
      <c r="V928" s="3">
        <f>IF(tblOrdenes[[#This Row],[centro_costo]]="","",_xlfn.XLOOKUP(tblOrdenes[[#This Row],[centro_costo]],tblCECO[codigo],tblCECO[area],"(sin catálogo)"))</f>
        <v/>
      </c>
      <c r="W928" s="3">
        <f>IF(tblOrdenes[[#This Row],[centro_costo]]="","",_xlfn.XLOOKUP(tblOrdenes[[#This Row],[centro_costo]],tblCECO[codigo],tblCECO[coordinador],"(sin catálogo)"))</f>
        <v/>
      </c>
      <c r="X928" s="3">
        <f>IF(tblOrdenes[[#This Row],[puesto_trabajo]]="","",_xlfn.XLOOKUP(tblOrdenes[[#This Row],[puesto_trabajo]],tblPuestos[codigo],tblPuestos[especialidad],"(sin catálogo)"))</f>
        <v/>
      </c>
      <c r="Y928" s="3">
        <f>IF(tblOrdenes[[#This Row],[cod_actividad]]="","",_xlfn.XLOOKUP(tblOrdenes[[#This Row],[cod_actividad]],tblActividades[codigo],tblActividades[descripcion],"(sin catálogo)"))</f>
        <v/>
      </c>
      <c r="Z928" s="12">
        <f>IF(tblOrdenes[[#This Row],[fecha_inicio]]="","",TODAY()-tblOrdenes[[#This Row],[fecha_inicio]])</f>
        <v/>
      </c>
      <c r="AA928" s="3">
        <f>IF(tblOrdenes[[#This Row],[backlog_dias]]="","",IF(tblOrdenes[[#This Row],[backlog_dias]]&lt;0,"FUTURO",IF(tblOrdenes[[#This Row],[backlog_dias]]&gt;p_dias_backlog_max,"BACKLOG","MES CORRIENTE")))</f>
        <v/>
      </c>
      <c r="AB928" s="3">
        <f>IF(tblOrdenes[[#This Row],[backlog_dias]]="",FALSE,AND(tblOrdenes[[#This Row],[backlog_dias]]&gt;p_dias_backlog_min,tblOrdenes[[#This Row],[backlog_dias]]&lt;=p_dias_backlog_max))</f>
        <v/>
      </c>
      <c r="AC928" s="6" t="n"/>
      <c r="AD9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28" s="10">
        <f>IF(tblOrdenes[[#This Row],[orden]]="","",_xlfn.XLOOKUP(tblOrdenes[[#This Row],[id_operacion]],tblEjecucion[id_operacion],tblEjecucion[precio],0))</f>
        <v/>
      </c>
      <c r="AH928" s="10">
        <f>IF(tblOrdenes[[#This Row],[orden]]="","",MAX(0,_xlfn.XLOOKUP(tblOrdenes[[#This Row],[id_operacion]],tblEjecucion[id_operacion],tblEjecucion[costo_plan_total],0)-tblOrdenes[[#This Row],[costo_servicio]]))</f>
        <v/>
      </c>
      <c r="AI928" s="10">
        <f>IF(tblOrdenes[[#This Row],[orden]]="","",tblOrdenes[[#This Row],[costo_servicio]]+tblOrdenes[[#This Row],[costo_materiales]])</f>
        <v/>
      </c>
      <c r="AJ928" s="6" t="n"/>
      <c r="AK928" s="6" t="n"/>
      <c r="AL928" s="6" t="n"/>
      <c r="AM928" s="3">
        <f>IF(tblOrdenes[[#This Row],[link_checklist]]="","",HYPERLINK(p_ruta_base_checklists&amp;tblOrdenes[[#This Row],[link_checklist]],"abrir"))</f>
        <v/>
      </c>
      <c r="AN928" s="6" t="n"/>
      <c r="AO928" s="3">
        <f>IF(tblOrdenes[[#This Row],[orden]]="","",tblOrdenes[[#This Row],[orden]]&amp;IF(tblOrdenes[[#This Row],[operacion]]="","0010",tblOrdenes[[#This Row],[operacion]]))</f>
        <v/>
      </c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11" t="n"/>
      <c r="K929" s="3" t="n"/>
      <c r="L929" s="10" t="n"/>
      <c r="M929" s="6" t="n"/>
      <c r="N9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29" s="3">
        <f>IF(tblOrdenes[[#This Row],[fecha_inicio]]="","",YEAR(tblOrdenes[[#This Row],[fecha_inicio]]))</f>
        <v/>
      </c>
      <c r="R929" s="3">
        <f>IF(tblOrdenes[[#This Row],[fecha_inicio]]="","",MONTH(tblOrdenes[[#This Row],[fecha_inicio]]))</f>
        <v/>
      </c>
      <c r="S929" s="3">
        <f>IF(tblOrdenes[[#This Row],[fecha_inicio]]="","",INDEX(lista_dias,WEEKDAY(tblOrdenes[[#This Row],[fecha_inicio]],2)))</f>
        <v/>
      </c>
      <c r="T929" s="3">
        <f>IF(tblOrdenes[[#This Row],[tipo_ot]]="","",_xlfn.XLOOKUP(tblOrdenes[[#This Row],[tipo_ot]],tblTiposOT[codigo],tblTiposOT[clasificacion],"sin_clasificar"))</f>
        <v/>
      </c>
      <c r="U929" s="3">
        <f>IF(tblOrdenes[[#This Row],[centro_costo]]="","",_xlfn.XLOOKUP(tblOrdenes[[#This Row],[centro_costo]],tblCECO[codigo],tblCECO[linea],"(sin catálogo)"))</f>
        <v/>
      </c>
      <c r="V929" s="3">
        <f>IF(tblOrdenes[[#This Row],[centro_costo]]="","",_xlfn.XLOOKUP(tblOrdenes[[#This Row],[centro_costo]],tblCECO[codigo],tblCECO[area],"(sin catálogo)"))</f>
        <v/>
      </c>
      <c r="W929" s="3">
        <f>IF(tblOrdenes[[#This Row],[centro_costo]]="","",_xlfn.XLOOKUP(tblOrdenes[[#This Row],[centro_costo]],tblCECO[codigo],tblCECO[coordinador],"(sin catálogo)"))</f>
        <v/>
      </c>
      <c r="X929" s="3">
        <f>IF(tblOrdenes[[#This Row],[puesto_trabajo]]="","",_xlfn.XLOOKUP(tblOrdenes[[#This Row],[puesto_trabajo]],tblPuestos[codigo],tblPuestos[especialidad],"(sin catálogo)"))</f>
        <v/>
      </c>
      <c r="Y929" s="3">
        <f>IF(tblOrdenes[[#This Row],[cod_actividad]]="","",_xlfn.XLOOKUP(tblOrdenes[[#This Row],[cod_actividad]],tblActividades[codigo],tblActividades[descripcion],"(sin catálogo)"))</f>
        <v/>
      </c>
      <c r="Z929" s="12">
        <f>IF(tblOrdenes[[#This Row],[fecha_inicio]]="","",TODAY()-tblOrdenes[[#This Row],[fecha_inicio]])</f>
        <v/>
      </c>
      <c r="AA929" s="3">
        <f>IF(tblOrdenes[[#This Row],[backlog_dias]]="","",IF(tblOrdenes[[#This Row],[backlog_dias]]&lt;0,"FUTURO",IF(tblOrdenes[[#This Row],[backlog_dias]]&gt;p_dias_backlog_max,"BACKLOG","MES CORRIENTE")))</f>
        <v/>
      </c>
      <c r="AB929" s="3">
        <f>IF(tblOrdenes[[#This Row],[backlog_dias]]="",FALSE,AND(tblOrdenes[[#This Row],[backlog_dias]]&gt;p_dias_backlog_min,tblOrdenes[[#This Row],[backlog_dias]]&lt;=p_dias_backlog_max))</f>
        <v/>
      </c>
      <c r="AC929" s="6" t="n"/>
      <c r="AD9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29" s="10">
        <f>IF(tblOrdenes[[#This Row],[orden]]="","",_xlfn.XLOOKUP(tblOrdenes[[#This Row],[id_operacion]],tblEjecucion[id_operacion],tblEjecucion[precio],0))</f>
        <v/>
      </c>
      <c r="AH929" s="10">
        <f>IF(tblOrdenes[[#This Row],[orden]]="","",MAX(0,_xlfn.XLOOKUP(tblOrdenes[[#This Row],[id_operacion]],tblEjecucion[id_operacion],tblEjecucion[costo_plan_total],0)-tblOrdenes[[#This Row],[costo_servicio]]))</f>
        <v/>
      </c>
      <c r="AI929" s="10">
        <f>IF(tblOrdenes[[#This Row],[orden]]="","",tblOrdenes[[#This Row],[costo_servicio]]+tblOrdenes[[#This Row],[costo_materiales]])</f>
        <v/>
      </c>
      <c r="AJ929" s="6" t="n"/>
      <c r="AK929" s="6" t="n"/>
      <c r="AL929" s="6" t="n"/>
      <c r="AM929" s="3">
        <f>IF(tblOrdenes[[#This Row],[link_checklist]]="","",HYPERLINK(p_ruta_base_checklists&amp;tblOrdenes[[#This Row],[link_checklist]],"abrir"))</f>
        <v/>
      </c>
      <c r="AN929" s="6" t="n"/>
      <c r="AO929" s="3">
        <f>IF(tblOrdenes[[#This Row],[orden]]="","",tblOrdenes[[#This Row],[orden]]&amp;IF(tblOrdenes[[#This Row],[operacion]]="","0010",tblOrdenes[[#This Row],[operacion]]))</f>
        <v/>
      </c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11" t="n"/>
      <c r="K930" s="3" t="n"/>
      <c r="L930" s="10" t="n"/>
      <c r="M930" s="6" t="n"/>
      <c r="N9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30" s="3">
        <f>IF(tblOrdenes[[#This Row],[fecha_inicio]]="","",YEAR(tblOrdenes[[#This Row],[fecha_inicio]]))</f>
        <v/>
      </c>
      <c r="R930" s="3">
        <f>IF(tblOrdenes[[#This Row],[fecha_inicio]]="","",MONTH(tblOrdenes[[#This Row],[fecha_inicio]]))</f>
        <v/>
      </c>
      <c r="S930" s="3">
        <f>IF(tblOrdenes[[#This Row],[fecha_inicio]]="","",INDEX(lista_dias,WEEKDAY(tblOrdenes[[#This Row],[fecha_inicio]],2)))</f>
        <v/>
      </c>
      <c r="T930" s="3">
        <f>IF(tblOrdenes[[#This Row],[tipo_ot]]="","",_xlfn.XLOOKUP(tblOrdenes[[#This Row],[tipo_ot]],tblTiposOT[codigo],tblTiposOT[clasificacion],"sin_clasificar"))</f>
        <v/>
      </c>
      <c r="U930" s="3">
        <f>IF(tblOrdenes[[#This Row],[centro_costo]]="","",_xlfn.XLOOKUP(tblOrdenes[[#This Row],[centro_costo]],tblCECO[codigo],tblCECO[linea],"(sin catálogo)"))</f>
        <v/>
      </c>
      <c r="V930" s="3">
        <f>IF(tblOrdenes[[#This Row],[centro_costo]]="","",_xlfn.XLOOKUP(tblOrdenes[[#This Row],[centro_costo]],tblCECO[codigo],tblCECO[area],"(sin catálogo)"))</f>
        <v/>
      </c>
      <c r="W930" s="3">
        <f>IF(tblOrdenes[[#This Row],[centro_costo]]="","",_xlfn.XLOOKUP(tblOrdenes[[#This Row],[centro_costo]],tblCECO[codigo],tblCECO[coordinador],"(sin catálogo)"))</f>
        <v/>
      </c>
      <c r="X930" s="3">
        <f>IF(tblOrdenes[[#This Row],[puesto_trabajo]]="","",_xlfn.XLOOKUP(tblOrdenes[[#This Row],[puesto_trabajo]],tblPuestos[codigo],tblPuestos[especialidad],"(sin catálogo)"))</f>
        <v/>
      </c>
      <c r="Y930" s="3">
        <f>IF(tblOrdenes[[#This Row],[cod_actividad]]="","",_xlfn.XLOOKUP(tblOrdenes[[#This Row],[cod_actividad]],tblActividades[codigo],tblActividades[descripcion],"(sin catálogo)"))</f>
        <v/>
      </c>
      <c r="Z930" s="12">
        <f>IF(tblOrdenes[[#This Row],[fecha_inicio]]="","",TODAY()-tblOrdenes[[#This Row],[fecha_inicio]])</f>
        <v/>
      </c>
      <c r="AA930" s="3">
        <f>IF(tblOrdenes[[#This Row],[backlog_dias]]="","",IF(tblOrdenes[[#This Row],[backlog_dias]]&lt;0,"FUTURO",IF(tblOrdenes[[#This Row],[backlog_dias]]&gt;p_dias_backlog_max,"BACKLOG","MES CORRIENTE")))</f>
        <v/>
      </c>
      <c r="AB930" s="3">
        <f>IF(tblOrdenes[[#This Row],[backlog_dias]]="",FALSE,AND(tblOrdenes[[#This Row],[backlog_dias]]&gt;p_dias_backlog_min,tblOrdenes[[#This Row],[backlog_dias]]&lt;=p_dias_backlog_max))</f>
        <v/>
      </c>
      <c r="AC930" s="6" t="n"/>
      <c r="AD9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30" s="10">
        <f>IF(tblOrdenes[[#This Row],[orden]]="","",_xlfn.XLOOKUP(tblOrdenes[[#This Row],[id_operacion]],tblEjecucion[id_operacion],tblEjecucion[precio],0))</f>
        <v/>
      </c>
      <c r="AH930" s="10">
        <f>IF(tblOrdenes[[#This Row],[orden]]="","",MAX(0,_xlfn.XLOOKUP(tblOrdenes[[#This Row],[id_operacion]],tblEjecucion[id_operacion],tblEjecucion[costo_plan_total],0)-tblOrdenes[[#This Row],[costo_servicio]]))</f>
        <v/>
      </c>
      <c r="AI930" s="10">
        <f>IF(tblOrdenes[[#This Row],[orden]]="","",tblOrdenes[[#This Row],[costo_servicio]]+tblOrdenes[[#This Row],[costo_materiales]])</f>
        <v/>
      </c>
      <c r="AJ930" s="6" t="n"/>
      <c r="AK930" s="6" t="n"/>
      <c r="AL930" s="6" t="n"/>
      <c r="AM930" s="3">
        <f>IF(tblOrdenes[[#This Row],[link_checklist]]="","",HYPERLINK(p_ruta_base_checklists&amp;tblOrdenes[[#This Row],[link_checklist]],"abrir"))</f>
        <v/>
      </c>
      <c r="AN930" s="6" t="n"/>
      <c r="AO930" s="3">
        <f>IF(tblOrdenes[[#This Row],[orden]]="","",tblOrdenes[[#This Row],[orden]]&amp;IF(tblOrdenes[[#This Row],[operacion]]="","0010",tblOrdenes[[#This Row],[operacion]]))</f>
        <v/>
      </c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11" t="n"/>
      <c r="K931" s="3" t="n"/>
      <c r="L931" s="10" t="n"/>
      <c r="M931" s="6" t="n"/>
      <c r="N9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31" s="3">
        <f>IF(tblOrdenes[[#This Row],[fecha_inicio]]="","",YEAR(tblOrdenes[[#This Row],[fecha_inicio]]))</f>
        <v/>
      </c>
      <c r="R931" s="3">
        <f>IF(tblOrdenes[[#This Row],[fecha_inicio]]="","",MONTH(tblOrdenes[[#This Row],[fecha_inicio]]))</f>
        <v/>
      </c>
      <c r="S931" s="3">
        <f>IF(tblOrdenes[[#This Row],[fecha_inicio]]="","",INDEX(lista_dias,WEEKDAY(tblOrdenes[[#This Row],[fecha_inicio]],2)))</f>
        <v/>
      </c>
      <c r="T931" s="3">
        <f>IF(tblOrdenes[[#This Row],[tipo_ot]]="","",_xlfn.XLOOKUP(tblOrdenes[[#This Row],[tipo_ot]],tblTiposOT[codigo],tblTiposOT[clasificacion],"sin_clasificar"))</f>
        <v/>
      </c>
      <c r="U931" s="3">
        <f>IF(tblOrdenes[[#This Row],[centro_costo]]="","",_xlfn.XLOOKUP(tblOrdenes[[#This Row],[centro_costo]],tblCECO[codigo],tblCECO[linea],"(sin catálogo)"))</f>
        <v/>
      </c>
      <c r="V931" s="3">
        <f>IF(tblOrdenes[[#This Row],[centro_costo]]="","",_xlfn.XLOOKUP(tblOrdenes[[#This Row],[centro_costo]],tblCECO[codigo],tblCECO[area],"(sin catálogo)"))</f>
        <v/>
      </c>
      <c r="W931" s="3">
        <f>IF(tblOrdenes[[#This Row],[centro_costo]]="","",_xlfn.XLOOKUP(tblOrdenes[[#This Row],[centro_costo]],tblCECO[codigo],tblCECO[coordinador],"(sin catálogo)"))</f>
        <v/>
      </c>
      <c r="X931" s="3">
        <f>IF(tblOrdenes[[#This Row],[puesto_trabajo]]="","",_xlfn.XLOOKUP(tblOrdenes[[#This Row],[puesto_trabajo]],tblPuestos[codigo],tblPuestos[especialidad],"(sin catálogo)"))</f>
        <v/>
      </c>
      <c r="Y931" s="3">
        <f>IF(tblOrdenes[[#This Row],[cod_actividad]]="","",_xlfn.XLOOKUP(tblOrdenes[[#This Row],[cod_actividad]],tblActividades[codigo],tblActividades[descripcion],"(sin catálogo)"))</f>
        <v/>
      </c>
      <c r="Z931" s="12">
        <f>IF(tblOrdenes[[#This Row],[fecha_inicio]]="","",TODAY()-tblOrdenes[[#This Row],[fecha_inicio]])</f>
        <v/>
      </c>
      <c r="AA931" s="3">
        <f>IF(tblOrdenes[[#This Row],[backlog_dias]]="","",IF(tblOrdenes[[#This Row],[backlog_dias]]&lt;0,"FUTURO",IF(tblOrdenes[[#This Row],[backlog_dias]]&gt;p_dias_backlog_max,"BACKLOG","MES CORRIENTE")))</f>
        <v/>
      </c>
      <c r="AB931" s="3">
        <f>IF(tblOrdenes[[#This Row],[backlog_dias]]="",FALSE,AND(tblOrdenes[[#This Row],[backlog_dias]]&gt;p_dias_backlog_min,tblOrdenes[[#This Row],[backlog_dias]]&lt;=p_dias_backlog_max))</f>
        <v/>
      </c>
      <c r="AC931" s="6" t="n"/>
      <c r="AD9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31" s="10">
        <f>IF(tblOrdenes[[#This Row],[orden]]="","",_xlfn.XLOOKUP(tblOrdenes[[#This Row],[id_operacion]],tblEjecucion[id_operacion],tblEjecucion[precio],0))</f>
        <v/>
      </c>
      <c r="AH931" s="10">
        <f>IF(tblOrdenes[[#This Row],[orden]]="","",MAX(0,_xlfn.XLOOKUP(tblOrdenes[[#This Row],[id_operacion]],tblEjecucion[id_operacion],tblEjecucion[costo_plan_total],0)-tblOrdenes[[#This Row],[costo_servicio]]))</f>
        <v/>
      </c>
      <c r="AI931" s="10">
        <f>IF(tblOrdenes[[#This Row],[orden]]="","",tblOrdenes[[#This Row],[costo_servicio]]+tblOrdenes[[#This Row],[costo_materiales]])</f>
        <v/>
      </c>
      <c r="AJ931" s="6" t="n"/>
      <c r="AK931" s="6" t="n"/>
      <c r="AL931" s="6" t="n"/>
      <c r="AM931" s="3">
        <f>IF(tblOrdenes[[#This Row],[link_checklist]]="","",HYPERLINK(p_ruta_base_checklists&amp;tblOrdenes[[#This Row],[link_checklist]],"abrir"))</f>
        <v/>
      </c>
      <c r="AN931" s="6" t="n"/>
      <c r="AO931" s="3">
        <f>IF(tblOrdenes[[#This Row],[orden]]="","",tblOrdenes[[#This Row],[orden]]&amp;IF(tblOrdenes[[#This Row],[operacion]]="","0010",tblOrdenes[[#This Row],[operacion]]))</f>
        <v/>
      </c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11" t="n"/>
      <c r="K932" s="3" t="n"/>
      <c r="L932" s="10" t="n"/>
      <c r="M932" s="6" t="n"/>
      <c r="N9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32" s="3">
        <f>IF(tblOrdenes[[#This Row],[fecha_inicio]]="","",YEAR(tblOrdenes[[#This Row],[fecha_inicio]]))</f>
        <v/>
      </c>
      <c r="R932" s="3">
        <f>IF(tblOrdenes[[#This Row],[fecha_inicio]]="","",MONTH(tblOrdenes[[#This Row],[fecha_inicio]]))</f>
        <v/>
      </c>
      <c r="S932" s="3">
        <f>IF(tblOrdenes[[#This Row],[fecha_inicio]]="","",INDEX(lista_dias,WEEKDAY(tblOrdenes[[#This Row],[fecha_inicio]],2)))</f>
        <v/>
      </c>
      <c r="T932" s="3">
        <f>IF(tblOrdenes[[#This Row],[tipo_ot]]="","",_xlfn.XLOOKUP(tblOrdenes[[#This Row],[tipo_ot]],tblTiposOT[codigo],tblTiposOT[clasificacion],"sin_clasificar"))</f>
        <v/>
      </c>
      <c r="U932" s="3">
        <f>IF(tblOrdenes[[#This Row],[centro_costo]]="","",_xlfn.XLOOKUP(tblOrdenes[[#This Row],[centro_costo]],tblCECO[codigo],tblCECO[linea],"(sin catálogo)"))</f>
        <v/>
      </c>
      <c r="V932" s="3">
        <f>IF(tblOrdenes[[#This Row],[centro_costo]]="","",_xlfn.XLOOKUP(tblOrdenes[[#This Row],[centro_costo]],tblCECO[codigo],tblCECO[area],"(sin catálogo)"))</f>
        <v/>
      </c>
      <c r="W932" s="3">
        <f>IF(tblOrdenes[[#This Row],[centro_costo]]="","",_xlfn.XLOOKUP(tblOrdenes[[#This Row],[centro_costo]],tblCECO[codigo],tblCECO[coordinador],"(sin catálogo)"))</f>
        <v/>
      </c>
      <c r="X932" s="3">
        <f>IF(tblOrdenes[[#This Row],[puesto_trabajo]]="","",_xlfn.XLOOKUP(tblOrdenes[[#This Row],[puesto_trabajo]],tblPuestos[codigo],tblPuestos[especialidad],"(sin catálogo)"))</f>
        <v/>
      </c>
      <c r="Y932" s="3">
        <f>IF(tblOrdenes[[#This Row],[cod_actividad]]="","",_xlfn.XLOOKUP(tblOrdenes[[#This Row],[cod_actividad]],tblActividades[codigo],tblActividades[descripcion],"(sin catálogo)"))</f>
        <v/>
      </c>
      <c r="Z932" s="12">
        <f>IF(tblOrdenes[[#This Row],[fecha_inicio]]="","",TODAY()-tblOrdenes[[#This Row],[fecha_inicio]])</f>
        <v/>
      </c>
      <c r="AA932" s="3">
        <f>IF(tblOrdenes[[#This Row],[backlog_dias]]="","",IF(tblOrdenes[[#This Row],[backlog_dias]]&lt;0,"FUTURO",IF(tblOrdenes[[#This Row],[backlog_dias]]&gt;p_dias_backlog_max,"BACKLOG","MES CORRIENTE")))</f>
        <v/>
      </c>
      <c r="AB932" s="3">
        <f>IF(tblOrdenes[[#This Row],[backlog_dias]]="",FALSE,AND(tblOrdenes[[#This Row],[backlog_dias]]&gt;p_dias_backlog_min,tblOrdenes[[#This Row],[backlog_dias]]&lt;=p_dias_backlog_max))</f>
        <v/>
      </c>
      <c r="AC932" s="6" t="n"/>
      <c r="AD9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32" s="10">
        <f>IF(tblOrdenes[[#This Row],[orden]]="","",_xlfn.XLOOKUP(tblOrdenes[[#This Row],[id_operacion]],tblEjecucion[id_operacion],tblEjecucion[precio],0))</f>
        <v/>
      </c>
      <c r="AH932" s="10">
        <f>IF(tblOrdenes[[#This Row],[orden]]="","",MAX(0,_xlfn.XLOOKUP(tblOrdenes[[#This Row],[id_operacion]],tblEjecucion[id_operacion],tblEjecucion[costo_plan_total],0)-tblOrdenes[[#This Row],[costo_servicio]]))</f>
        <v/>
      </c>
      <c r="AI932" s="10">
        <f>IF(tblOrdenes[[#This Row],[orden]]="","",tblOrdenes[[#This Row],[costo_servicio]]+tblOrdenes[[#This Row],[costo_materiales]])</f>
        <v/>
      </c>
      <c r="AJ932" s="6" t="n"/>
      <c r="AK932" s="6" t="n"/>
      <c r="AL932" s="6" t="n"/>
      <c r="AM932" s="3">
        <f>IF(tblOrdenes[[#This Row],[link_checklist]]="","",HYPERLINK(p_ruta_base_checklists&amp;tblOrdenes[[#This Row],[link_checklist]],"abrir"))</f>
        <v/>
      </c>
      <c r="AN932" s="6" t="n"/>
      <c r="AO932" s="3">
        <f>IF(tblOrdenes[[#This Row],[orden]]="","",tblOrdenes[[#This Row],[orden]]&amp;IF(tblOrdenes[[#This Row],[operacion]]="","0010",tblOrdenes[[#This Row],[operacion]]))</f>
        <v/>
      </c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11" t="n"/>
      <c r="K933" s="3" t="n"/>
      <c r="L933" s="10" t="n"/>
      <c r="M933" s="6" t="n"/>
      <c r="N9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33" s="3">
        <f>IF(tblOrdenes[[#This Row],[fecha_inicio]]="","",YEAR(tblOrdenes[[#This Row],[fecha_inicio]]))</f>
        <v/>
      </c>
      <c r="R933" s="3">
        <f>IF(tblOrdenes[[#This Row],[fecha_inicio]]="","",MONTH(tblOrdenes[[#This Row],[fecha_inicio]]))</f>
        <v/>
      </c>
      <c r="S933" s="3">
        <f>IF(tblOrdenes[[#This Row],[fecha_inicio]]="","",INDEX(lista_dias,WEEKDAY(tblOrdenes[[#This Row],[fecha_inicio]],2)))</f>
        <v/>
      </c>
      <c r="T933" s="3">
        <f>IF(tblOrdenes[[#This Row],[tipo_ot]]="","",_xlfn.XLOOKUP(tblOrdenes[[#This Row],[tipo_ot]],tblTiposOT[codigo],tblTiposOT[clasificacion],"sin_clasificar"))</f>
        <v/>
      </c>
      <c r="U933" s="3">
        <f>IF(tblOrdenes[[#This Row],[centro_costo]]="","",_xlfn.XLOOKUP(tblOrdenes[[#This Row],[centro_costo]],tblCECO[codigo],tblCECO[linea],"(sin catálogo)"))</f>
        <v/>
      </c>
      <c r="V933" s="3">
        <f>IF(tblOrdenes[[#This Row],[centro_costo]]="","",_xlfn.XLOOKUP(tblOrdenes[[#This Row],[centro_costo]],tblCECO[codigo],tblCECO[area],"(sin catálogo)"))</f>
        <v/>
      </c>
      <c r="W933" s="3">
        <f>IF(tblOrdenes[[#This Row],[centro_costo]]="","",_xlfn.XLOOKUP(tblOrdenes[[#This Row],[centro_costo]],tblCECO[codigo],tblCECO[coordinador],"(sin catálogo)"))</f>
        <v/>
      </c>
      <c r="X933" s="3">
        <f>IF(tblOrdenes[[#This Row],[puesto_trabajo]]="","",_xlfn.XLOOKUP(tblOrdenes[[#This Row],[puesto_trabajo]],tblPuestos[codigo],tblPuestos[especialidad],"(sin catálogo)"))</f>
        <v/>
      </c>
      <c r="Y933" s="3">
        <f>IF(tblOrdenes[[#This Row],[cod_actividad]]="","",_xlfn.XLOOKUP(tblOrdenes[[#This Row],[cod_actividad]],tblActividades[codigo],tblActividades[descripcion],"(sin catálogo)"))</f>
        <v/>
      </c>
      <c r="Z933" s="12">
        <f>IF(tblOrdenes[[#This Row],[fecha_inicio]]="","",TODAY()-tblOrdenes[[#This Row],[fecha_inicio]])</f>
        <v/>
      </c>
      <c r="AA933" s="3">
        <f>IF(tblOrdenes[[#This Row],[backlog_dias]]="","",IF(tblOrdenes[[#This Row],[backlog_dias]]&lt;0,"FUTURO",IF(tblOrdenes[[#This Row],[backlog_dias]]&gt;p_dias_backlog_max,"BACKLOG","MES CORRIENTE")))</f>
        <v/>
      </c>
      <c r="AB933" s="3">
        <f>IF(tblOrdenes[[#This Row],[backlog_dias]]="",FALSE,AND(tblOrdenes[[#This Row],[backlog_dias]]&gt;p_dias_backlog_min,tblOrdenes[[#This Row],[backlog_dias]]&lt;=p_dias_backlog_max))</f>
        <v/>
      </c>
      <c r="AC933" s="6" t="n"/>
      <c r="AD9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33" s="10">
        <f>IF(tblOrdenes[[#This Row],[orden]]="","",_xlfn.XLOOKUP(tblOrdenes[[#This Row],[id_operacion]],tblEjecucion[id_operacion],tblEjecucion[precio],0))</f>
        <v/>
      </c>
      <c r="AH933" s="10">
        <f>IF(tblOrdenes[[#This Row],[orden]]="","",MAX(0,_xlfn.XLOOKUP(tblOrdenes[[#This Row],[id_operacion]],tblEjecucion[id_operacion],tblEjecucion[costo_plan_total],0)-tblOrdenes[[#This Row],[costo_servicio]]))</f>
        <v/>
      </c>
      <c r="AI933" s="10">
        <f>IF(tblOrdenes[[#This Row],[orden]]="","",tblOrdenes[[#This Row],[costo_servicio]]+tblOrdenes[[#This Row],[costo_materiales]])</f>
        <v/>
      </c>
      <c r="AJ933" s="6" t="n"/>
      <c r="AK933" s="6" t="n"/>
      <c r="AL933" s="6" t="n"/>
      <c r="AM933" s="3">
        <f>IF(tblOrdenes[[#This Row],[link_checklist]]="","",HYPERLINK(p_ruta_base_checklists&amp;tblOrdenes[[#This Row],[link_checklist]],"abrir"))</f>
        <v/>
      </c>
      <c r="AN933" s="6" t="n"/>
      <c r="AO933" s="3">
        <f>IF(tblOrdenes[[#This Row],[orden]]="","",tblOrdenes[[#This Row],[orden]]&amp;IF(tblOrdenes[[#This Row],[operacion]]="","0010",tblOrdenes[[#This Row],[operacion]]))</f>
        <v/>
      </c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11" t="n"/>
      <c r="K934" s="3" t="n"/>
      <c r="L934" s="10" t="n"/>
      <c r="M934" s="6" t="n"/>
      <c r="N9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34" s="3">
        <f>IF(tblOrdenes[[#This Row],[fecha_inicio]]="","",YEAR(tblOrdenes[[#This Row],[fecha_inicio]]))</f>
        <v/>
      </c>
      <c r="R934" s="3">
        <f>IF(tblOrdenes[[#This Row],[fecha_inicio]]="","",MONTH(tblOrdenes[[#This Row],[fecha_inicio]]))</f>
        <v/>
      </c>
      <c r="S934" s="3">
        <f>IF(tblOrdenes[[#This Row],[fecha_inicio]]="","",INDEX(lista_dias,WEEKDAY(tblOrdenes[[#This Row],[fecha_inicio]],2)))</f>
        <v/>
      </c>
      <c r="T934" s="3">
        <f>IF(tblOrdenes[[#This Row],[tipo_ot]]="","",_xlfn.XLOOKUP(tblOrdenes[[#This Row],[tipo_ot]],tblTiposOT[codigo],tblTiposOT[clasificacion],"sin_clasificar"))</f>
        <v/>
      </c>
      <c r="U934" s="3">
        <f>IF(tblOrdenes[[#This Row],[centro_costo]]="","",_xlfn.XLOOKUP(tblOrdenes[[#This Row],[centro_costo]],tblCECO[codigo],tblCECO[linea],"(sin catálogo)"))</f>
        <v/>
      </c>
      <c r="V934" s="3">
        <f>IF(tblOrdenes[[#This Row],[centro_costo]]="","",_xlfn.XLOOKUP(tblOrdenes[[#This Row],[centro_costo]],tblCECO[codigo],tblCECO[area],"(sin catálogo)"))</f>
        <v/>
      </c>
      <c r="W934" s="3">
        <f>IF(tblOrdenes[[#This Row],[centro_costo]]="","",_xlfn.XLOOKUP(tblOrdenes[[#This Row],[centro_costo]],tblCECO[codigo],tblCECO[coordinador],"(sin catálogo)"))</f>
        <v/>
      </c>
      <c r="X934" s="3">
        <f>IF(tblOrdenes[[#This Row],[puesto_trabajo]]="","",_xlfn.XLOOKUP(tblOrdenes[[#This Row],[puesto_trabajo]],tblPuestos[codigo],tblPuestos[especialidad],"(sin catálogo)"))</f>
        <v/>
      </c>
      <c r="Y934" s="3">
        <f>IF(tblOrdenes[[#This Row],[cod_actividad]]="","",_xlfn.XLOOKUP(tblOrdenes[[#This Row],[cod_actividad]],tblActividades[codigo],tblActividades[descripcion],"(sin catálogo)"))</f>
        <v/>
      </c>
      <c r="Z934" s="12">
        <f>IF(tblOrdenes[[#This Row],[fecha_inicio]]="","",TODAY()-tblOrdenes[[#This Row],[fecha_inicio]])</f>
        <v/>
      </c>
      <c r="AA934" s="3">
        <f>IF(tblOrdenes[[#This Row],[backlog_dias]]="","",IF(tblOrdenes[[#This Row],[backlog_dias]]&lt;0,"FUTURO",IF(tblOrdenes[[#This Row],[backlog_dias]]&gt;p_dias_backlog_max,"BACKLOG","MES CORRIENTE")))</f>
        <v/>
      </c>
      <c r="AB934" s="3">
        <f>IF(tblOrdenes[[#This Row],[backlog_dias]]="",FALSE,AND(tblOrdenes[[#This Row],[backlog_dias]]&gt;p_dias_backlog_min,tblOrdenes[[#This Row],[backlog_dias]]&lt;=p_dias_backlog_max))</f>
        <v/>
      </c>
      <c r="AC934" s="6" t="n"/>
      <c r="AD9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34" s="10">
        <f>IF(tblOrdenes[[#This Row],[orden]]="","",_xlfn.XLOOKUP(tblOrdenes[[#This Row],[id_operacion]],tblEjecucion[id_operacion],tblEjecucion[precio],0))</f>
        <v/>
      </c>
      <c r="AH934" s="10">
        <f>IF(tblOrdenes[[#This Row],[orden]]="","",MAX(0,_xlfn.XLOOKUP(tblOrdenes[[#This Row],[id_operacion]],tblEjecucion[id_operacion],tblEjecucion[costo_plan_total],0)-tblOrdenes[[#This Row],[costo_servicio]]))</f>
        <v/>
      </c>
      <c r="AI934" s="10">
        <f>IF(tblOrdenes[[#This Row],[orden]]="","",tblOrdenes[[#This Row],[costo_servicio]]+tblOrdenes[[#This Row],[costo_materiales]])</f>
        <v/>
      </c>
      <c r="AJ934" s="6" t="n"/>
      <c r="AK934" s="6" t="n"/>
      <c r="AL934" s="6" t="n"/>
      <c r="AM934" s="3">
        <f>IF(tblOrdenes[[#This Row],[link_checklist]]="","",HYPERLINK(p_ruta_base_checklists&amp;tblOrdenes[[#This Row],[link_checklist]],"abrir"))</f>
        <v/>
      </c>
      <c r="AN934" s="6" t="n"/>
      <c r="AO934" s="3">
        <f>IF(tblOrdenes[[#This Row],[orden]]="","",tblOrdenes[[#This Row],[orden]]&amp;IF(tblOrdenes[[#This Row],[operacion]]="","0010",tblOrdenes[[#This Row],[operacion]]))</f>
        <v/>
      </c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11" t="n"/>
      <c r="K935" s="3" t="n"/>
      <c r="L935" s="10" t="n"/>
      <c r="M935" s="6" t="n"/>
      <c r="N9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35" s="3">
        <f>IF(tblOrdenes[[#This Row],[fecha_inicio]]="","",YEAR(tblOrdenes[[#This Row],[fecha_inicio]]))</f>
        <v/>
      </c>
      <c r="R935" s="3">
        <f>IF(tblOrdenes[[#This Row],[fecha_inicio]]="","",MONTH(tblOrdenes[[#This Row],[fecha_inicio]]))</f>
        <v/>
      </c>
      <c r="S935" s="3">
        <f>IF(tblOrdenes[[#This Row],[fecha_inicio]]="","",INDEX(lista_dias,WEEKDAY(tblOrdenes[[#This Row],[fecha_inicio]],2)))</f>
        <v/>
      </c>
      <c r="T935" s="3">
        <f>IF(tblOrdenes[[#This Row],[tipo_ot]]="","",_xlfn.XLOOKUP(tblOrdenes[[#This Row],[tipo_ot]],tblTiposOT[codigo],tblTiposOT[clasificacion],"sin_clasificar"))</f>
        <v/>
      </c>
      <c r="U935" s="3">
        <f>IF(tblOrdenes[[#This Row],[centro_costo]]="","",_xlfn.XLOOKUP(tblOrdenes[[#This Row],[centro_costo]],tblCECO[codigo],tblCECO[linea],"(sin catálogo)"))</f>
        <v/>
      </c>
      <c r="V935" s="3">
        <f>IF(tblOrdenes[[#This Row],[centro_costo]]="","",_xlfn.XLOOKUP(tblOrdenes[[#This Row],[centro_costo]],tblCECO[codigo],tblCECO[area],"(sin catálogo)"))</f>
        <v/>
      </c>
      <c r="W935" s="3">
        <f>IF(tblOrdenes[[#This Row],[centro_costo]]="","",_xlfn.XLOOKUP(tblOrdenes[[#This Row],[centro_costo]],tblCECO[codigo],tblCECO[coordinador],"(sin catálogo)"))</f>
        <v/>
      </c>
      <c r="X935" s="3">
        <f>IF(tblOrdenes[[#This Row],[puesto_trabajo]]="","",_xlfn.XLOOKUP(tblOrdenes[[#This Row],[puesto_trabajo]],tblPuestos[codigo],tblPuestos[especialidad],"(sin catálogo)"))</f>
        <v/>
      </c>
      <c r="Y935" s="3">
        <f>IF(tblOrdenes[[#This Row],[cod_actividad]]="","",_xlfn.XLOOKUP(tblOrdenes[[#This Row],[cod_actividad]],tblActividades[codigo],tblActividades[descripcion],"(sin catálogo)"))</f>
        <v/>
      </c>
      <c r="Z935" s="12">
        <f>IF(tblOrdenes[[#This Row],[fecha_inicio]]="","",TODAY()-tblOrdenes[[#This Row],[fecha_inicio]])</f>
        <v/>
      </c>
      <c r="AA935" s="3">
        <f>IF(tblOrdenes[[#This Row],[backlog_dias]]="","",IF(tblOrdenes[[#This Row],[backlog_dias]]&lt;0,"FUTURO",IF(tblOrdenes[[#This Row],[backlog_dias]]&gt;p_dias_backlog_max,"BACKLOG","MES CORRIENTE")))</f>
        <v/>
      </c>
      <c r="AB935" s="3">
        <f>IF(tblOrdenes[[#This Row],[backlog_dias]]="",FALSE,AND(tblOrdenes[[#This Row],[backlog_dias]]&gt;p_dias_backlog_min,tblOrdenes[[#This Row],[backlog_dias]]&lt;=p_dias_backlog_max))</f>
        <v/>
      </c>
      <c r="AC935" s="6" t="n"/>
      <c r="AD9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35" s="10">
        <f>IF(tblOrdenes[[#This Row],[orden]]="","",_xlfn.XLOOKUP(tblOrdenes[[#This Row],[id_operacion]],tblEjecucion[id_operacion],tblEjecucion[precio],0))</f>
        <v/>
      </c>
      <c r="AH935" s="10">
        <f>IF(tblOrdenes[[#This Row],[orden]]="","",MAX(0,_xlfn.XLOOKUP(tblOrdenes[[#This Row],[id_operacion]],tblEjecucion[id_operacion],tblEjecucion[costo_plan_total],0)-tblOrdenes[[#This Row],[costo_servicio]]))</f>
        <v/>
      </c>
      <c r="AI935" s="10">
        <f>IF(tblOrdenes[[#This Row],[orden]]="","",tblOrdenes[[#This Row],[costo_servicio]]+tblOrdenes[[#This Row],[costo_materiales]])</f>
        <v/>
      </c>
      <c r="AJ935" s="6" t="n"/>
      <c r="AK935" s="6" t="n"/>
      <c r="AL935" s="6" t="n"/>
      <c r="AM935" s="3">
        <f>IF(tblOrdenes[[#This Row],[link_checklist]]="","",HYPERLINK(p_ruta_base_checklists&amp;tblOrdenes[[#This Row],[link_checklist]],"abrir"))</f>
        <v/>
      </c>
      <c r="AN935" s="6" t="n"/>
      <c r="AO935" s="3">
        <f>IF(tblOrdenes[[#This Row],[orden]]="","",tblOrdenes[[#This Row],[orden]]&amp;IF(tblOrdenes[[#This Row],[operacion]]="","0010",tblOrdenes[[#This Row],[operacion]]))</f>
        <v/>
      </c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11" t="n"/>
      <c r="K936" s="3" t="n"/>
      <c r="L936" s="10" t="n"/>
      <c r="M936" s="6" t="n"/>
      <c r="N9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36" s="3">
        <f>IF(tblOrdenes[[#This Row],[fecha_inicio]]="","",YEAR(tblOrdenes[[#This Row],[fecha_inicio]]))</f>
        <v/>
      </c>
      <c r="R936" s="3">
        <f>IF(tblOrdenes[[#This Row],[fecha_inicio]]="","",MONTH(tblOrdenes[[#This Row],[fecha_inicio]]))</f>
        <v/>
      </c>
      <c r="S936" s="3">
        <f>IF(tblOrdenes[[#This Row],[fecha_inicio]]="","",INDEX(lista_dias,WEEKDAY(tblOrdenes[[#This Row],[fecha_inicio]],2)))</f>
        <v/>
      </c>
      <c r="T936" s="3">
        <f>IF(tblOrdenes[[#This Row],[tipo_ot]]="","",_xlfn.XLOOKUP(tblOrdenes[[#This Row],[tipo_ot]],tblTiposOT[codigo],tblTiposOT[clasificacion],"sin_clasificar"))</f>
        <v/>
      </c>
      <c r="U936" s="3">
        <f>IF(tblOrdenes[[#This Row],[centro_costo]]="","",_xlfn.XLOOKUP(tblOrdenes[[#This Row],[centro_costo]],tblCECO[codigo],tblCECO[linea],"(sin catálogo)"))</f>
        <v/>
      </c>
      <c r="V936" s="3">
        <f>IF(tblOrdenes[[#This Row],[centro_costo]]="","",_xlfn.XLOOKUP(tblOrdenes[[#This Row],[centro_costo]],tblCECO[codigo],tblCECO[area],"(sin catálogo)"))</f>
        <v/>
      </c>
      <c r="W936" s="3">
        <f>IF(tblOrdenes[[#This Row],[centro_costo]]="","",_xlfn.XLOOKUP(tblOrdenes[[#This Row],[centro_costo]],tblCECO[codigo],tblCECO[coordinador],"(sin catálogo)"))</f>
        <v/>
      </c>
      <c r="X936" s="3">
        <f>IF(tblOrdenes[[#This Row],[puesto_trabajo]]="","",_xlfn.XLOOKUP(tblOrdenes[[#This Row],[puesto_trabajo]],tblPuestos[codigo],tblPuestos[especialidad],"(sin catálogo)"))</f>
        <v/>
      </c>
      <c r="Y936" s="3">
        <f>IF(tblOrdenes[[#This Row],[cod_actividad]]="","",_xlfn.XLOOKUP(tblOrdenes[[#This Row],[cod_actividad]],tblActividades[codigo],tblActividades[descripcion],"(sin catálogo)"))</f>
        <v/>
      </c>
      <c r="Z936" s="12">
        <f>IF(tblOrdenes[[#This Row],[fecha_inicio]]="","",TODAY()-tblOrdenes[[#This Row],[fecha_inicio]])</f>
        <v/>
      </c>
      <c r="AA936" s="3">
        <f>IF(tblOrdenes[[#This Row],[backlog_dias]]="","",IF(tblOrdenes[[#This Row],[backlog_dias]]&lt;0,"FUTURO",IF(tblOrdenes[[#This Row],[backlog_dias]]&gt;p_dias_backlog_max,"BACKLOG","MES CORRIENTE")))</f>
        <v/>
      </c>
      <c r="AB936" s="3">
        <f>IF(tblOrdenes[[#This Row],[backlog_dias]]="",FALSE,AND(tblOrdenes[[#This Row],[backlog_dias]]&gt;p_dias_backlog_min,tblOrdenes[[#This Row],[backlog_dias]]&lt;=p_dias_backlog_max))</f>
        <v/>
      </c>
      <c r="AC936" s="6" t="n"/>
      <c r="AD9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36" s="10">
        <f>IF(tblOrdenes[[#This Row],[orden]]="","",_xlfn.XLOOKUP(tblOrdenes[[#This Row],[id_operacion]],tblEjecucion[id_operacion],tblEjecucion[precio],0))</f>
        <v/>
      </c>
      <c r="AH936" s="10">
        <f>IF(tblOrdenes[[#This Row],[orden]]="","",MAX(0,_xlfn.XLOOKUP(tblOrdenes[[#This Row],[id_operacion]],tblEjecucion[id_operacion],tblEjecucion[costo_plan_total],0)-tblOrdenes[[#This Row],[costo_servicio]]))</f>
        <v/>
      </c>
      <c r="AI936" s="10">
        <f>IF(tblOrdenes[[#This Row],[orden]]="","",tblOrdenes[[#This Row],[costo_servicio]]+tblOrdenes[[#This Row],[costo_materiales]])</f>
        <v/>
      </c>
      <c r="AJ936" s="6" t="n"/>
      <c r="AK936" s="6" t="n"/>
      <c r="AL936" s="6" t="n"/>
      <c r="AM936" s="3">
        <f>IF(tblOrdenes[[#This Row],[link_checklist]]="","",HYPERLINK(p_ruta_base_checklists&amp;tblOrdenes[[#This Row],[link_checklist]],"abrir"))</f>
        <v/>
      </c>
      <c r="AN936" s="6" t="n"/>
      <c r="AO936" s="3">
        <f>IF(tblOrdenes[[#This Row],[orden]]="","",tblOrdenes[[#This Row],[orden]]&amp;IF(tblOrdenes[[#This Row],[operacion]]="","0010",tblOrdenes[[#This Row],[operacion]]))</f>
        <v/>
      </c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11" t="n"/>
      <c r="K937" s="3" t="n"/>
      <c r="L937" s="10" t="n"/>
      <c r="M937" s="6" t="n"/>
      <c r="N9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37" s="3">
        <f>IF(tblOrdenes[[#This Row],[fecha_inicio]]="","",YEAR(tblOrdenes[[#This Row],[fecha_inicio]]))</f>
        <v/>
      </c>
      <c r="R937" s="3">
        <f>IF(tblOrdenes[[#This Row],[fecha_inicio]]="","",MONTH(tblOrdenes[[#This Row],[fecha_inicio]]))</f>
        <v/>
      </c>
      <c r="S937" s="3">
        <f>IF(tblOrdenes[[#This Row],[fecha_inicio]]="","",INDEX(lista_dias,WEEKDAY(tblOrdenes[[#This Row],[fecha_inicio]],2)))</f>
        <v/>
      </c>
      <c r="T937" s="3">
        <f>IF(tblOrdenes[[#This Row],[tipo_ot]]="","",_xlfn.XLOOKUP(tblOrdenes[[#This Row],[tipo_ot]],tblTiposOT[codigo],tblTiposOT[clasificacion],"sin_clasificar"))</f>
        <v/>
      </c>
      <c r="U937" s="3">
        <f>IF(tblOrdenes[[#This Row],[centro_costo]]="","",_xlfn.XLOOKUP(tblOrdenes[[#This Row],[centro_costo]],tblCECO[codigo],tblCECO[linea],"(sin catálogo)"))</f>
        <v/>
      </c>
      <c r="V937" s="3">
        <f>IF(tblOrdenes[[#This Row],[centro_costo]]="","",_xlfn.XLOOKUP(tblOrdenes[[#This Row],[centro_costo]],tblCECO[codigo],tblCECO[area],"(sin catálogo)"))</f>
        <v/>
      </c>
      <c r="W937" s="3">
        <f>IF(tblOrdenes[[#This Row],[centro_costo]]="","",_xlfn.XLOOKUP(tblOrdenes[[#This Row],[centro_costo]],tblCECO[codigo],tblCECO[coordinador],"(sin catálogo)"))</f>
        <v/>
      </c>
      <c r="X937" s="3">
        <f>IF(tblOrdenes[[#This Row],[puesto_trabajo]]="","",_xlfn.XLOOKUP(tblOrdenes[[#This Row],[puesto_trabajo]],tblPuestos[codigo],tblPuestos[especialidad],"(sin catálogo)"))</f>
        <v/>
      </c>
      <c r="Y937" s="3">
        <f>IF(tblOrdenes[[#This Row],[cod_actividad]]="","",_xlfn.XLOOKUP(tblOrdenes[[#This Row],[cod_actividad]],tblActividades[codigo],tblActividades[descripcion],"(sin catálogo)"))</f>
        <v/>
      </c>
      <c r="Z937" s="12">
        <f>IF(tblOrdenes[[#This Row],[fecha_inicio]]="","",TODAY()-tblOrdenes[[#This Row],[fecha_inicio]])</f>
        <v/>
      </c>
      <c r="AA937" s="3">
        <f>IF(tblOrdenes[[#This Row],[backlog_dias]]="","",IF(tblOrdenes[[#This Row],[backlog_dias]]&lt;0,"FUTURO",IF(tblOrdenes[[#This Row],[backlog_dias]]&gt;p_dias_backlog_max,"BACKLOG","MES CORRIENTE")))</f>
        <v/>
      </c>
      <c r="AB937" s="3">
        <f>IF(tblOrdenes[[#This Row],[backlog_dias]]="",FALSE,AND(tblOrdenes[[#This Row],[backlog_dias]]&gt;p_dias_backlog_min,tblOrdenes[[#This Row],[backlog_dias]]&lt;=p_dias_backlog_max))</f>
        <v/>
      </c>
      <c r="AC937" s="6" t="n"/>
      <c r="AD9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37" s="10">
        <f>IF(tblOrdenes[[#This Row],[orden]]="","",_xlfn.XLOOKUP(tblOrdenes[[#This Row],[id_operacion]],tblEjecucion[id_operacion],tblEjecucion[precio],0))</f>
        <v/>
      </c>
      <c r="AH937" s="10">
        <f>IF(tblOrdenes[[#This Row],[orden]]="","",MAX(0,_xlfn.XLOOKUP(tblOrdenes[[#This Row],[id_operacion]],tblEjecucion[id_operacion],tblEjecucion[costo_plan_total],0)-tblOrdenes[[#This Row],[costo_servicio]]))</f>
        <v/>
      </c>
      <c r="AI937" s="10">
        <f>IF(tblOrdenes[[#This Row],[orden]]="","",tblOrdenes[[#This Row],[costo_servicio]]+tblOrdenes[[#This Row],[costo_materiales]])</f>
        <v/>
      </c>
      <c r="AJ937" s="6" t="n"/>
      <c r="AK937" s="6" t="n"/>
      <c r="AL937" s="6" t="n"/>
      <c r="AM937" s="3">
        <f>IF(tblOrdenes[[#This Row],[link_checklist]]="","",HYPERLINK(p_ruta_base_checklists&amp;tblOrdenes[[#This Row],[link_checklist]],"abrir"))</f>
        <v/>
      </c>
      <c r="AN937" s="6" t="n"/>
      <c r="AO937" s="3">
        <f>IF(tblOrdenes[[#This Row],[orden]]="","",tblOrdenes[[#This Row],[orden]]&amp;IF(tblOrdenes[[#This Row],[operacion]]="","0010",tblOrdenes[[#This Row],[operacion]]))</f>
        <v/>
      </c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11" t="n"/>
      <c r="K938" s="3" t="n"/>
      <c r="L938" s="10" t="n"/>
      <c r="M938" s="6" t="n"/>
      <c r="N9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38" s="3">
        <f>IF(tblOrdenes[[#This Row],[fecha_inicio]]="","",YEAR(tblOrdenes[[#This Row],[fecha_inicio]]))</f>
        <v/>
      </c>
      <c r="R938" s="3">
        <f>IF(tblOrdenes[[#This Row],[fecha_inicio]]="","",MONTH(tblOrdenes[[#This Row],[fecha_inicio]]))</f>
        <v/>
      </c>
      <c r="S938" s="3">
        <f>IF(tblOrdenes[[#This Row],[fecha_inicio]]="","",INDEX(lista_dias,WEEKDAY(tblOrdenes[[#This Row],[fecha_inicio]],2)))</f>
        <v/>
      </c>
      <c r="T938" s="3">
        <f>IF(tblOrdenes[[#This Row],[tipo_ot]]="","",_xlfn.XLOOKUP(tblOrdenes[[#This Row],[tipo_ot]],tblTiposOT[codigo],tblTiposOT[clasificacion],"sin_clasificar"))</f>
        <v/>
      </c>
      <c r="U938" s="3">
        <f>IF(tblOrdenes[[#This Row],[centro_costo]]="","",_xlfn.XLOOKUP(tblOrdenes[[#This Row],[centro_costo]],tblCECO[codigo],tblCECO[linea],"(sin catálogo)"))</f>
        <v/>
      </c>
      <c r="V938" s="3">
        <f>IF(tblOrdenes[[#This Row],[centro_costo]]="","",_xlfn.XLOOKUP(tblOrdenes[[#This Row],[centro_costo]],tblCECO[codigo],tblCECO[area],"(sin catálogo)"))</f>
        <v/>
      </c>
      <c r="W938" s="3">
        <f>IF(tblOrdenes[[#This Row],[centro_costo]]="","",_xlfn.XLOOKUP(tblOrdenes[[#This Row],[centro_costo]],tblCECO[codigo],tblCECO[coordinador],"(sin catálogo)"))</f>
        <v/>
      </c>
      <c r="X938" s="3">
        <f>IF(tblOrdenes[[#This Row],[puesto_trabajo]]="","",_xlfn.XLOOKUP(tblOrdenes[[#This Row],[puesto_trabajo]],tblPuestos[codigo],tblPuestos[especialidad],"(sin catálogo)"))</f>
        <v/>
      </c>
      <c r="Y938" s="3">
        <f>IF(tblOrdenes[[#This Row],[cod_actividad]]="","",_xlfn.XLOOKUP(tblOrdenes[[#This Row],[cod_actividad]],tblActividades[codigo],tblActividades[descripcion],"(sin catálogo)"))</f>
        <v/>
      </c>
      <c r="Z938" s="12">
        <f>IF(tblOrdenes[[#This Row],[fecha_inicio]]="","",TODAY()-tblOrdenes[[#This Row],[fecha_inicio]])</f>
        <v/>
      </c>
      <c r="AA938" s="3">
        <f>IF(tblOrdenes[[#This Row],[backlog_dias]]="","",IF(tblOrdenes[[#This Row],[backlog_dias]]&lt;0,"FUTURO",IF(tblOrdenes[[#This Row],[backlog_dias]]&gt;p_dias_backlog_max,"BACKLOG","MES CORRIENTE")))</f>
        <v/>
      </c>
      <c r="AB938" s="3">
        <f>IF(tblOrdenes[[#This Row],[backlog_dias]]="",FALSE,AND(tblOrdenes[[#This Row],[backlog_dias]]&gt;p_dias_backlog_min,tblOrdenes[[#This Row],[backlog_dias]]&lt;=p_dias_backlog_max))</f>
        <v/>
      </c>
      <c r="AC938" s="6" t="n"/>
      <c r="AD9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38" s="10">
        <f>IF(tblOrdenes[[#This Row],[orden]]="","",_xlfn.XLOOKUP(tblOrdenes[[#This Row],[id_operacion]],tblEjecucion[id_operacion],tblEjecucion[precio],0))</f>
        <v/>
      </c>
      <c r="AH938" s="10">
        <f>IF(tblOrdenes[[#This Row],[orden]]="","",MAX(0,_xlfn.XLOOKUP(tblOrdenes[[#This Row],[id_operacion]],tblEjecucion[id_operacion],tblEjecucion[costo_plan_total],0)-tblOrdenes[[#This Row],[costo_servicio]]))</f>
        <v/>
      </c>
      <c r="AI938" s="10">
        <f>IF(tblOrdenes[[#This Row],[orden]]="","",tblOrdenes[[#This Row],[costo_servicio]]+tblOrdenes[[#This Row],[costo_materiales]])</f>
        <v/>
      </c>
      <c r="AJ938" s="6" t="n"/>
      <c r="AK938" s="6" t="n"/>
      <c r="AL938" s="6" t="n"/>
      <c r="AM938" s="3">
        <f>IF(tblOrdenes[[#This Row],[link_checklist]]="","",HYPERLINK(p_ruta_base_checklists&amp;tblOrdenes[[#This Row],[link_checklist]],"abrir"))</f>
        <v/>
      </c>
      <c r="AN938" s="6" t="n"/>
      <c r="AO938" s="3">
        <f>IF(tblOrdenes[[#This Row],[orden]]="","",tblOrdenes[[#This Row],[orden]]&amp;IF(tblOrdenes[[#This Row],[operacion]]="","0010",tblOrdenes[[#This Row],[operacion]]))</f>
        <v/>
      </c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11" t="n"/>
      <c r="K939" s="3" t="n"/>
      <c r="L939" s="10" t="n"/>
      <c r="M939" s="6" t="n"/>
      <c r="N9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39" s="3">
        <f>IF(tblOrdenes[[#This Row],[fecha_inicio]]="","",YEAR(tblOrdenes[[#This Row],[fecha_inicio]]))</f>
        <v/>
      </c>
      <c r="R939" s="3">
        <f>IF(tblOrdenes[[#This Row],[fecha_inicio]]="","",MONTH(tblOrdenes[[#This Row],[fecha_inicio]]))</f>
        <v/>
      </c>
      <c r="S939" s="3">
        <f>IF(tblOrdenes[[#This Row],[fecha_inicio]]="","",INDEX(lista_dias,WEEKDAY(tblOrdenes[[#This Row],[fecha_inicio]],2)))</f>
        <v/>
      </c>
      <c r="T939" s="3">
        <f>IF(tblOrdenes[[#This Row],[tipo_ot]]="","",_xlfn.XLOOKUP(tblOrdenes[[#This Row],[tipo_ot]],tblTiposOT[codigo],tblTiposOT[clasificacion],"sin_clasificar"))</f>
        <v/>
      </c>
      <c r="U939" s="3">
        <f>IF(tblOrdenes[[#This Row],[centro_costo]]="","",_xlfn.XLOOKUP(tblOrdenes[[#This Row],[centro_costo]],tblCECO[codigo],tblCECO[linea],"(sin catálogo)"))</f>
        <v/>
      </c>
      <c r="V939" s="3">
        <f>IF(tblOrdenes[[#This Row],[centro_costo]]="","",_xlfn.XLOOKUP(tblOrdenes[[#This Row],[centro_costo]],tblCECO[codigo],tblCECO[area],"(sin catálogo)"))</f>
        <v/>
      </c>
      <c r="W939" s="3">
        <f>IF(tblOrdenes[[#This Row],[centro_costo]]="","",_xlfn.XLOOKUP(tblOrdenes[[#This Row],[centro_costo]],tblCECO[codigo],tblCECO[coordinador],"(sin catálogo)"))</f>
        <v/>
      </c>
      <c r="X939" s="3">
        <f>IF(tblOrdenes[[#This Row],[puesto_trabajo]]="","",_xlfn.XLOOKUP(tblOrdenes[[#This Row],[puesto_trabajo]],tblPuestos[codigo],tblPuestos[especialidad],"(sin catálogo)"))</f>
        <v/>
      </c>
      <c r="Y939" s="3">
        <f>IF(tblOrdenes[[#This Row],[cod_actividad]]="","",_xlfn.XLOOKUP(tblOrdenes[[#This Row],[cod_actividad]],tblActividades[codigo],tblActividades[descripcion],"(sin catálogo)"))</f>
        <v/>
      </c>
      <c r="Z939" s="12">
        <f>IF(tblOrdenes[[#This Row],[fecha_inicio]]="","",TODAY()-tblOrdenes[[#This Row],[fecha_inicio]])</f>
        <v/>
      </c>
      <c r="AA939" s="3">
        <f>IF(tblOrdenes[[#This Row],[backlog_dias]]="","",IF(tblOrdenes[[#This Row],[backlog_dias]]&lt;0,"FUTURO",IF(tblOrdenes[[#This Row],[backlog_dias]]&gt;p_dias_backlog_max,"BACKLOG","MES CORRIENTE")))</f>
        <v/>
      </c>
      <c r="AB939" s="3">
        <f>IF(tblOrdenes[[#This Row],[backlog_dias]]="",FALSE,AND(tblOrdenes[[#This Row],[backlog_dias]]&gt;p_dias_backlog_min,tblOrdenes[[#This Row],[backlog_dias]]&lt;=p_dias_backlog_max))</f>
        <v/>
      </c>
      <c r="AC939" s="6" t="n"/>
      <c r="AD9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39" s="10">
        <f>IF(tblOrdenes[[#This Row],[orden]]="","",_xlfn.XLOOKUP(tblOrdenes[[#This Row],[id_operacion]],tblEjecucion[id_operacion],tblEjecucion[precio],0))</f>
        <v/>
      </c>
      <c r="AH939" s="10">
        <f>IF(tblOrdenes[[#This Row],[orden]]="","",MAX(0,_xlfn.XLOOKUP(tblOrdenes[[#This Row],[id_operacion]],tblEjecucion[id_operacion],tblEjecucion[costo_plan_total],0)-tblOrdenes[[#This Row],[costo_servicio]]))</f>
        <v/>
      </c>
      <c r="AI939" s="10">
        <f>IF(tblOrdenes[[#This Row],[orden]]="","",tblOrdenes[[#This Row],[costo_servicio]]+tblOrdenes[[#This Row],[costo_materiales]])</f>
        <v/>
      </c>
      <c r="AJ939" s="6" t="n"/>
      <c r="AK939" s="6" t="n"/>
      <c r="AL939" s="6" t="n"/>
      <c r="AM939" s="3">
        <f>IF(tblOrdenes[[#This Row],[link_checklist]]="","",HYPERLINK(p_ruta_base_checklists&amp;tblOrdenes[[#This Row],[link_checklist]],"abrir"))</f>
        <v/>
      </c>
      <c r="AN939" s="6" t="n"/>
      <c r="AO939" s="3">
        <f>IF(tblOrdenes[[#This Row],[orden]]="","",tblOrdenes[[#This Row],[orden]]&amp;IF(tblOrdenes[[#This Row],[operacion]]="","0010",tblOrdenes[[#This Row],[operacion]]))</f>
        <v/>
      </c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11" t="n"/>
      <c r="K940" s="3" t="n"/>
      <c r="L940" s="10" t="n"/>
      <c r="M940" s="6" t="n"/>
      <c r="N9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40" s="3">
        <f>IF(tblOrdenes[[#This Row],[fecha_inicio]]="","",YEAR(tblOrdenes[[#This Row],[fecha_inicio]]))</f>
        <v/>
      </c>
      <c r="R940" s="3">
        <f>IF(tblOrdenes[[#This Row],[fecha_inicio]]="","",MONTH(tblOrdenes[[#This Row],[fecha_inicio]]))</f>
        <v/>
      </c>
      <c r="S940" s="3">
        <f>IF(tblOrdenes[[#This Row],[fecha_inicio]]="","",INDEX(lista_dias,WEEKDAY(tblOrdenes[[#This Row],[fecha_inicio]],2)))</f>
        <v/>
      </c>
      <c r="T940" s="3">
        <f>IF(tblOrdenes[[#This Row],[tipo_ot]]="","",_xlfn.XLOOKUP(tblOrdenes[[#This Row],[tipo_ot]],tblTiposOT[codigo],tblTiposOT[clasificacion],"sin_clasificar"))</f>
        <v/>
      </c>
      <c r="U940" s="3">
        <f>IF(tblOrdenes[[#This Row],[centro_costo]]="","",_xlfn.XLOOKUP(tblOrdenes[[#This Row],[centro_costo]],tblCECO[codigo],tblCECO[linea],"(sin catálogo)"))</f>
        <v/>
      </c>
      <c r="V940" s="3">
        <f>IF(tblOrdenes[[#This Row],[centro_costo]]="","",_xlfn.XLOOKUP(tblOrdenes[[#This Row],[centro_costo]],tblCECO[codigo],tblCECO[area],"(sin catálogo)"))</f>
        <v/>
      </c>
      <c r="W940" s="3">
        <f>IF(tblOrdenes[[#This Row],[centro_costo]]="","",_xlfn.XLOOKUP(tblOrdenes[[#This Row],[centro_costo]],tblCECO[codigo],tblCECO[coordinador],"(sin catálogo)"))</f>
        <v/>
      </c>
      <c r="X940" s="3">
        <f>IF(tblOrdenes[[#This Row],[puesto_trabajo]]="","",_xlfn.XLOOKUP(tblOrdenes[[#This Row],[puesto_trabajo]],tblPuestos[codigo],tblPuestos[especialidad],"(sin catálogo)"))</f>
        <v/>
      </c>
      <c r="Y940" s="3">
        <f>IF(tblOrdenes[[#This Row],[cod_actividad]]="","",_xlfn.XLOOKUP(tblOrdenes[[#This Row],[cod_actividad]],tblActividades[codigo],tblActividades[descripcion],"(sin catálogo)"))</f>
        <v/>
      </c>
      <c r="Z940" s="12">
        <f>IF(tblOrdenes[[#This Row],[fecha_inicio]]="","",TODAY()-tblOrdenes[[#This Row],[fecha_inicio]])</f>
        <v/>
      </c>
      <c r="AA940" s="3">
        <f>IF(tblOrdenes[[#This Row],[backlog_dias]]="","",IF(tblOrdenes[[#This Row],[backlog_dias]]&lt;0,"FUTURO",IF(tblOrdenes[[#This Row],[backlog_dias]]&gt;p_dias_backlog_max,"BACKLOG","MES CORRIENTE")))</f>
        <v/>
      </c>
      <c r="AB940" s="3">
        <f>IF(tblOrdenes[[#This Row],[backlog_dias]]="",FALSE,AND(tblOrdenes[[#This Row],[backlog_dias]]&gt;p_dias_backlog_min,tblOrdenes[[#This Row],[backlog_dias]]&lt;=p_dias_backlog_max))</f>
        <v/>
      </c>
      <c r="AC940" s="6" t="n"/>
      <c r="AD9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40" s="10">
        <f>IF(tblOrdenes[[#This Row],[orden]]="","",_xlfn.XLOOKUP(tblOrdenes[[#This Row],[id_operacion]],tblEjecucion[id_operacion],tblEjecucion[precio],0))</f>
        <v/>
      </c>
      <c r="AH940" s="10">
        <f>IF(tblOrdenes[[#This Row],[orden]]="","",MAX(0,_xlfn.XLOOKUP(tblOrdenes[[#This Row],[id_operacion]],tblEjecucion[id_operacion],tblEjecucion[costo_plan_total],0)-tblOrdenes[[#This Row],[costo_servicio]]))</f>
        <v/>
      </c>
      <c r="AI940" s="10">
        <f>IF(tblOrdenes[[#This Row],[orden]]="","",tblOrdenes[[#This Row],[costo_servicio]]+tblOrdenes[[#This Row],[costo_materiales]])</f>
        <v/>
      </c>
      <c r="AJ940" s="6" t="n"/>
      <c r="AK940" s="6" t="n"/>
      <c r="AL940" s="6" t="n"/>
      <c r="AM940" s="3">
        <f>IF(tblOrdenes[[#This Row],[link_checklist]]="","",HYPERLINK(p_ruta_base_checklists&amp;tblOrdenes[[#This Row],[link_checklist]],"abrir"))</f>
        <v/>
      </c>
      <c r="AN940" s="6" t="n"/>
      <c r="AO940" s="3">
        <f>IF(tblOrdenes[[#This Row],[orden]]="","",tblOrdenes[[#This Row],[orden]]&amp;IF(tblOrdenes[[#This Row],[operacion]]="","0010",tblOrdenes[[#This Row],[operacion]]))</f>
        <v/>
      </c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11" t="n"/>
      <c r="K941" s="3" t="n"/>
      <c r="L941" s="10" t="n"/>
      <c r="M941" s="6" t="n"/>
      <c r="N9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41" s="3">
        <f>IF(tblOrdenes[[#This Row],[fecha_inicio]]="","",YEAR(tblOrdenes[[#This Row],[fecha_inicio]]))</f>
        <v/>
      </c>
      <c r="R941" s="3">
        <f>IF(tblOrdenes[[#This Row],[fecha_inicio]]="","",MONTH(tblOrdenes[[#This Row],[fecha_inicio]]))</f>
        <v/>
      </c>
      <c r="S941" s="3">
        <f>IF(tblOrdenes[[#This Row],[fecha_inicio]]="","",INDEX(lista_dias,WEEKDAY(tblOrdenes[[#This Row],[fecha_inicio]],2)))</f>
        <v/>
      </c>
      <c r="T941" s="3">
        <f>IF(tblOrdenes[[#This Row],[tipo_ot]]="","",_xlfn.XLOOKUP(tblOrdenes[[#This Row],[tipo_ot]],tblTiposOT[codigo],tblTiposOT[clasificacion],"sin_clasificar"))</f>
        <v/>
      </c>
      <c r="U941" s="3">
        <f>IF(tblOrdenes[[#This Row],[centro_costo]]="","",_xlfn.XLOOKUP(tblOrdenes[[#This Row],[centro_costo]],tblCECO[codigo],tblCECO[linea],"(sin catálogo)"))</f>
        <v/>
      </c>
      <c r="V941" s="3">
        <f>IF(tblOrdenes[[#This Row],[centro_costo]]="","",_xlfn.XLOOKUP(tblOrdenes[[#This Row],[centro_costo]],tblCECO[codigo],tblCECO[area],"(sin catálogo)"))</f>
        <v/>
      </c>
      <c r="W941" s="3">
        <f>IF(tblOrdenes[[#This Row],[centro_costo]]="","",_xlfn.XLOOKUP(tblOrdenes[[#This Row],[centro_costo]],tblCECO[codigo],tblCECO[coordinador],"(sin catálogo)"))</f>
        <v/>
      </c>
      <c r="X941" s="3">
        <f>IF(tblOrdenes[[#This Row],[puesto_trabajo]]="","",_xlfn.XLOOKUP(tblOrdenes[[#This Row],[puesto_trabajo]],tblPuestos[codigo],tblPuestos[especialidad],"(sin catálogo)"))</f>
        <v/>
      </c>
      <c r="Y941" s="3">
        <f>IF(tblOrdenes[[#This Row],[cod_actividad]]="","",_xlfn.XLOOKUP(tblOrdenes[[#This Row],[cod_actividad]],tblActividades[codigo],tblActividades[descripcion],"(sin catálogo)"))</f>
        <v/>
      </c>
      <c r="Z941" s="12">
        <f>IF(tblOrdenes[[#This Row],[fecha_inicio]]="","",TODAY()-tblOrdenes[[#This Row],[fecha_inicio]])</f>
        <v/>
      </c>
      <c r="AA941" s="3">
        <f>IF(tblOrdenes[[#This Row],[backlog_dias]]="","",IF(tblOrdenes[[#This Row],[backlog_dias]]&lt;0,"FUTURO",IF(tblOrdenes[[#This Row],[backlog_dias]]&gt;p_dias_backlog_max,"BACKLOG","MES CORRIENTE")))</f>
        <v/>
      </c>
      <c r="AB941" s="3">
        <f>IF(tblOrdenes[[#This Row],[backlog_dias]]="",FALSE,AND(tblOrdenes[[#This Row],[backlog_dias]]&gt;p_dias_backlog_min,tblOrdenes[[#This Row],[backlog_dias]]&lt;=p_dias_backlog_max))</f>
        <v/>
      </c>
      <c r="AC941" s="6" t="n"/>
      <c r="AD9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41" s="10">
        <f>IF(tblOrdenes[[#This Row],[orden]]="","",_xlfn.XLOOKUP(tblOrdenes[[#This Row],[id_operacion]],tblEjecucion[id_operacion],tblEjecucion[precio],0))</f>
        <v/>
      </c>
      <c r="AH941" s="10">
        <f>IF(tblOrdenes[[#This Row],[orden]]="","",MAX(0,_xlfn.XLOOKUP(tblOrdenes[[#This Row],[id_operacion]],tblEjecucion[id_operacion],tblEjecucion[costo_plan_total],0)-tblOrdenes[[#This Row],[costo_servicio]]))</f>
        <v/>
      </c>
      <c r="AI941" s="10">
        <f>IF(tblOrdenes[[#This Row],[orden]]="","",tblOrdenes[[#This Row],[costo_servicio]]+tblOrdenes[[#This Row],[costo_materiales]])</f>
        <v/>
      </c>
      <c r="AJ941" s="6" t="n"/>
      <c r="AK941" s="6" t="n"/>
      <c r="AL941" s="6" t="n"/>
      <c r="AM941" s="3">
        <f>IF(tblOrdenes[[#This Row],[link_checklist]]="","",HYPERLINK(p_ruta_base_checklists&amp;tblOrdenes[[#This Row],[link_checklist]],"abrir"))</f>
        <v/>
      </c>
      <c r="AN941" s="6" t="n"/>
      <c r="AO941" s="3">
        <f>IF(tblOrdenes[[#This Row],[orden]]="","",tblOrdenes[[#This Row],[orden]]&amp;IF(tblOrdenes[[#This Row],[operacion]]="","0010",tblOrdenes[[#This Row],[operacion]]))</f>
        <v/>
      </c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11" t="n"/>
      <c r="K942" s="3" t="n"/>
      <c r="L942" s="10" t="n"/>
      <c r="M942" s="6" t="n"/>
      <c r="N9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42" s="3">
        <f>IF(tblOrdenes[[#This Row],[fecha_inicio]]="","",YEAR(tblOrdenes[[#This Row],[fecha_inicio]]))</f>
        <v/>
      </c>
      <c r="R942" s="3">
        <f>IF(tblOrdenes[[#This Row],[fecha_inicio]]="","",MONTH(tblOrdenes[[#This Row],[fecha_inicio]]))</f>
        <v/>
      </c>
      <c r="S942" s="3">
        <f>IF(tblOrdenes[[#This Row],[fecha_inicio]]="","",INDEX(lista_dias,WEEKDAY(tblOrdenes[[#This Row],[fecha_inicio]],2)))</f>
        <v/>
      </c>
      <c r="T942" s="3">
        <f>IF(tblOrdenes[[#This Row],[tipo_ot]]="","",_xlfn.XLOOKUP(tblOrdenes[[#This Row],[tipo_ot]],tblTiposOT[codigo],tblTiposOT[clasificacion],"sin_clasificar"))</f>
        <v/>
      </c>
      <c r="U942" s="3">
        <f>IF(tblOrdenes[[#This Row],[centro_costo]]="","",_xlfn.XLOOKUP(tblOrdenes[[#This Row],[centro_costo]],tblCECO[codigo],tblCECO[linea],"(sin catálogo)"))</f>
        <v/>
      </c>
      <c r="V942" s="3">
        <f>IF(tblOrdenes[[#This Row],[centro_costo]]="","",_xlfn.XLOOKUP(tblOrdenes[[#This Row],[centro_costo]],tblCECO[codigo],tblCECO[area],"(sin catálogo)"))</f>
        <v/>
      </c>
      <c r="W942" s="3">
        <f>IF(tblOrdenes[[#This Row],[centro_costo]]="","",_xlfn.XLOOKUP(tblOrdenes[[#This Row],[centro_costo]],tblCECO[codigo],tblCECO[coordinador],"(sin catálogo)"))</f>
        <v/>
      </c>
      <c r="X942" s="3">
        <f>IF(tblOrdenes[[#This Row],[puesto_trabajo]]="","",_xlfn.XLOOKUP(tblOrdenes[[#This Row],[puesto_trabajo]],tblPuestos[codigo],tblPuestos[especialidad],"(sin catálogo)"))</f>
        <v/>
      </c>
      <c r="Y942" s="3">
        <f>IF(tblOrdenes[[#This Row],[cod_actividad]]="","",_xlfn.XLOOKUP(tblOrdenes[[#This Row],[cod_actividad]],tblActividades[codigo],tblActividades[descripcion],"(sin catálogo)"))</f>
        <v/>
      </c>
      <c r="Z942" s="12">
        <f>IF(tblOrdenes[[#This Row],[fecha_inicio]]="","",TODAY()-tblOrdenes[[#This Row],[fecha_inicio]])</f>
        <v/>
      </c>
      <c r="AA942" s="3">
        <f>IF(tblOrdenes[[#This Row],[backlog_dias]]="","",IF(tblOrdenes[[#This Row],[backlog_dias]]&lt;0,"FUTURO",IF(tblOrdenes[[#This Row],[backlog_dias]]&gt;p_dias_backlog_max,"BACKLOG","MES CORRIENTE")))</f>
        <v/>
      </c>
      <c r="AB942" s="3">
        <f>IF(tblOrdenes[[#This Row],[backlog_dias]]="",FALSE,AND(tblOrdenes[[#This Row],[backlog_dias]]&gt;p_dias_backlog_min,tblOrdenes[[#This Row],[backlog_dias]]&lt;=p_dias_backlog_max))</f>
        <v/>
      </c>
      <c r="AC942" s="6" t="n"/>
      <c r="AD9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42" s="10">
        <f>IF(tblOrdenes[[#This Row],[orden]]="","",_xlfn.XLOOKUP(tblOrdenes[[#This Row],[id_operacion]],tblEjecucion[id_operacion],tblEjecucion[precio],0))</f>
        <v/>
      </c>
      <c r="AH942" s="10">
        <f>IF(tblOrdenes[[#This Row],[orden]]="","",MAX(0,_xlfn.XLOOKUP(tblOrdenes[[#This Row],[id_operacion]],tblEjecucion[id_operacion],tblEjecucion[costo_plan_total],0)-tblOrdenes[[#This Row],[costo_servicio]]))</f>
        <v/>
      </c>
      <c r="AI942" s="10">
        <f>IF(tblOrdenes[[#This Row],[orden]]="","",tblOrdenes[[#This Row],[costo_servicio]]+tblOrdenes[[#This Row],[costo_materiales]])</f>
        <v/>
      </c>
      <c r="AJ942" s="6" t="n"/>
      <c r="AK942" s="6" t="n"/>
      <c r="AL942" s="6" t="n"/>
      <c r="AM942" s="3">
        <f>IF(tblOrdenes[[#This Row],[link_checklist]]="","",HYPERLINK(p_ruta_base_checklists&amp;tblOrdenes[[#This Row],[link_checklist]],"abrir"))</f>
        <v/>
      </c>
      <c r="AN942" s="6" t="n"/>
      <c r="AO942" s="3">
        <f>IF(tblOrdenes[[#This Row],[orden]]="","",tblOrdenes[[#This Row],[orden]]&amp;IF(tblOrdenes[[#This Row],[operacion]]="","0010",tblOrdenes[[#This Row],[operacion]]))</f>
        <v/>
      </c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11" t="n"/>
      <c r="K943" s="3" t="n"/>
      <c r="L943" s="10" t="n"/>
      <c r="M943" s="6" t="n"/>
      <c r="N9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43" s="3">
        <f>IF(tblOrdenes[[#This Row],[fecha_inicio]]="","",YEAR(tblOrdenes[[#This Row],[fecha_inicio]]))</f>
        <v/>
      </c>
      <c r="R943" s="3">
        <f>IF(tblOrdenes[[#This Row],[fecha_inicio]]="","",MONTH(tblOrdenes[[#This Row],[fecha_inicio]]))</f>
        <v/>
      </c>
      <c r="S943" s="3">
        <f>IF(tblOrdenes[[#This Row],[fecha_inicio]]="","",INDEX(lista_dias,WEEKDAY(tblOrdenes[[#This Row],[fecha_inicio]],2)))</f>
        <v/>
      </c>
      <c r="T943" s="3">
        <f>IF(tblOrdenes[[#This Row],[tipo_ot]]="","",_xlfn.XLOOKUP(tblOrdenes[[#This Row],[tipo_ot]],tblTiposOT[codigo],tblTiposOT[clasificacion],"sin_clasificar"))</f>
        <v/>
      </c>
      <c r="U943" s="3">
        <f>IF(tblOrdenes[[#This Row],[centro_costo]]="","",_xlfn.XLOOKUP(tblOrdenes[[#This Row],[centro_costo]],tblCECO[codigo],tblCECO[linea],"(sin catálogo)"))</f>
        <v/>
      </c>
      <c r="V943" s="3">
        <f>IF(tblOrdenes[[#This Row],[centro_costo]]="","",_xlfn.XLOOKUP(tblOrdenes[[#This Row],[centro_costo]],tblCECO[codigo],tblCECO[area],"(sin catálogo)"))</f>
        <v/>
      </c>
      <c r="W943" s="3">
        <f>IF(tblOrdenes[[#This Row],[centro_costo]]="","",_xlfn.XLOOKUP(tblOrdenes[[#This Row],[centro_costo]],tblCECO[codigo],tblCECO[coordinador],"(sin catálogo)"))</f>
        <v/>
      </c>
      <c r="X943" s="3">
        <f>IF(tblOrdenes[[#This Row],[puesto_trabajo]]="","",_xlfn.XLOOKUP(tblOrdenes[[#This Row],[puesto_trabajo]],tblPuestos[codigo],tblPuestos[especialidad],"(sin catálogo)"))</f>
        <v/>
      </c>
      <c r="Y943" s="3">
        <f>IF(tblOrdenes[[#This Row],[cod_actividad]]="","",_xlfn.XLOOKUP(tblOrdenes[[#This Row],[cod_actividad]],tblActividades[codigo],tblActividades[descripcion],"(sin catálogo)"))</f>
        <v/>
      </c>
      <c r="Z943" s="12">
        <f>IF(tblOrdenes[[#This Row],[fecha_inicio]]="","",TODAY()-tblOrdenes[[#This Row],[fecha_inicio]])</f>
        <v/>
      </c>
      <c r="AA943" s="3">
        <f>IF(tblOrdenes[[#This Row],[backlog_dias]]="","",IF(tblOrdenes[[#This Row],[backlog_dias]]&lt;0,"FUTURO",IF(tblOrdenes[[#This Row],[backlog_dias]]&gt;p_dias_backlog_max,"BACKLOG","MES CORRIENTE")))</f>
        <v/>
      </c>
      <c r="AB943" s="3">
        <f>IF(tblOrdenes[[#This Row],[backlog_dias]]="",FALSE,AND(tblOrdenes[[#This Row],[backlog_dias]]&gt;p_dias_backlog_min,tblOrdenes[[#This Row],[backlog_dias]]&lt;=p_dias_backlog_max))</f>
        <v/>
      </c>
      <c r="AC943" s="6" t="n"/>
      <c r="AD9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43" s="10">
        <f>IF(tblOrdenes[[#This Row],[orden]]="","",_xlfn.XLOOKUP(tblOrdenes[[#This Row],[id_operacion]],tblEjecucion[id_operacion],tblEjecucion[precio],0))</f>
        <v/>
      </c>
      <c r="AH943" s="10">
        <f>IF(tblOrdenes[[#This Row],[orden]]="","",MAX(0,_xlfn.XLOOKUP(tblOrdenes[[#This Row],[id_operacion]],tblEjecucion[id_operacion],tblEjecucion[costo_plan_total],0)-tblOrdenes[[#This Row],[costo_servicio]]))</f>
        <v/>
      </c>
      <c r="AI943" s="10">
        <f>IF(tblOrdenes[[#This Row],[orden]]="","",tblOrdenes[[#This Row],[costo_servicio]]+tblOrdenes[[#This Row],[costo_materiales]])</f>
        <v/>
      </c>
      <c r="AJ943" s="6" t="n"/>
      <c r="AK943" s="6" t="n"/>
      <c r="AL943" s="6" t="n"/>
      <c r="AM943" s="3">
        <f>IF(tblOrdenes[[#This Row],[link_checklist]]="","",HYPERLINK(p_ruta_base_checklists&amp;tblOrdenes[[#This Row],[link_checklist]],"abrir"))</f>
        <v/>
      </c>
      <c r="AN943" s="6" t="n"/>
      <c r="AO943" s="3">
        <f>IF(tblOrdenes[[#This Row],[orden]]="","",tblOrdenes[[#This Row],[orden]]&amp;IF(tblOrdenes[[#This Row],[operacion]]="","0010",tblOrdenes[[#This Row],[operacion]]))</f>
        <v/>
      </c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11" t="n"/>
      <c r="K944" s="3" t="n"/>
      <c r="L944" s="10" t="n"/>
      <c r="M944" s="6" t="n"/>
      <c r="N9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44" s="3">
        <f>IF(tblOrdenes[[#This Row],[fecha_inicio]]="","",YEAR(tblOrdenes[[#This Row],[fecha_inicio]]))</f>
        <v/>
      </c>
      <c r="R944" s="3">
        <f>IF(tblOrdenes[[#This Row],[fecha_inicio]]="","",MONTH(tblOrdenes[[#This Row],[fecha_inicio]]))</f>
        <v/>
      </c>
      <c r="S944" s="3">
        <f>IF(tblOrdenes[[#This Row],[fecha_inicio]]="","",INDEX(lista_dias,WEEKDAY(tblOrdenes[[#This Row],[fecha_inicio]],2)))</f>
        <v/>
      </c>
      <c r="T944" s="3">
        <f>IF(tblOrdenes[[#This Row],[tipo_ot]]="","",_xlfn.XLOOKUP(tblOrdenes[[#This Row],[tipo_ot]],tblTiposOT[codigo],tblTiposOT[clasificacion],"sin_clasificar"))</f>
        <v/>
      </c>
      <c r="U944" s="3">
        <f>IF(tblOrdenes[[#This Row],[centro_costo]]="","",_xlfn.XLOOKUP(tblOrdenes[[#This Row],[centro_costo]],tblCECO[codigo],tblCECO[linea],"(sin catálogo)"))</f>
        <v/>
      </c>
      <c r="V944" s="3">
        <f>IF(tblOrdenes[[#This Row],[centro_costo]]="","",_xlfn.XLOOKUP(tblOrdenes[[#This Row],[centro_costo]],tblCECO[codigo],tblCECO[area],"(sin catálogo)"))</f>
        <v/>
      </c>
      <c r="W944" s="3">
        <f>IF(tblOrdenes[[#This Row],[centro_costo]]="","",_xlfn.XLOOKUP(tblOrdenes[[#This Row],[centro_costo]],tblCECO[codigo],tblCECO[coordinador],"(sin catálogo)"))</f>
        <v/>
      </c>
      <c r="X944" s="3">
        <f>IF(tblOrdenes[[#This Row],[puesto_trabajo]]="","",_xlfn.XLOOKUP(tblOrdenes[[#This Row],[puesto_trabajo]],tblPuestos[codigo],tblPuestos[especialidad],"(sin catálogo)"))</f>
        <v/>
      </c>
      <c r="Y944" s="3">
        <f>IF(tblOrdenes[[#This Row],[cod_actividad]]="","",_xlfn.XLOOKUP(tblOrdenes[[#This Row],[cod_actividad]],tblActividades[codigo],tblActividades[descripcion],"(sin catálogo)"))</f>
        <v/>
      </c>
      <c r="Z944" s="12">
        <f>IF(tblOrdenes[[#This Row],[fecha_inicio]]="","",TODAY()-tblOrdenes[[#This Row],[fecha_inicio]])</f>
        <v/>
      </c>
      <c r="AA944" s="3">
        <f>IF(tblOrdenes[[#This Row],[backlog_dias]]="","",IF(tblOrdenes[[#This Row],[backlog_dias]]&lt;0,"FUTURO",IF(tblOrdenes[[#This Row],[backlog_dias]]&gt;p_dias_backlog_max,"BACKLOG","MES CORRIENTE")))</f>
        <v/>
      </c>
      <c r="AB944" s="3">
        <f>IF(tblOrdenes[[#This Row],[backlog_dias]]="",FALSE,AND(tblOrdenes[[#This Row],[backlog_dias]]&gt;p_dias_backlog_min,tblOrdenes[[#This Row],[backlog_dias]]&lt;=p_dias_backlog_max))</f>
        <v/>
      </c>
      <c r="AC944" s="6" t="n"/>
      <c r="AD9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44" s="10">
        <f>IF(tblOrdenes[[#This Row],[orden]]="","",_xlfn.XLOOKUP(tblOrdenes[[#This Row],[id_operacion]],tblEjecucion[id_operacion],tblEjecucion[precio],0))</f>
        <v/>
      </c>
      <c r="AH944" s="10">
        <f>IF(tblOrdenes[[#This Row],[orden]]="","",MAX(0,_xlfn.XLOOKUP(tblOrdenes[[#This Row],[id_operacion]],tblEjecucion[id_operacion],tblEjecucion[costo_plan_total],0)-tblOrdenes[[#This Row],[costo_servicio]]))</f>
        <v/>
      </c>
      <c r="AI944" s="10">
        <f>IF(tblOrdenes[[#This Row],[orden]]="","",tblOrdenes[[#This Row],[costo_servicio]]+tblOrdenes[[#This Row],[costo_materiales]])</f>
        <v/>
      </c>
      <c r="AJ944" s="6" t="n"/>
      <c r="AK944" s="6" t="n"/>
      <c r="AL944" s="6" t="n"/>
      <c r="AM944" s="3">
        <f>IF(tblOrdenes[[#This Row],[link_checklist]]="","",HYPERLINK(p_ruta_base_checklists&amp;tblOrdenes[[#This Row],[link_checklist]],"abrir"))</f>
        <v/>
      </c>
      <c r="AN944" s="6" t="n"/>
      <c r="AO944" s="3">
        <f>IF(tblOrdenes[[#This Row],[orden]]="","",tblOrdenes[[#This Row],[orden]]&amp;IF(tblOrdenes[[#This Row],[operacion]]="","0010",tblOrdenes[[#This Row],[operacion]]))</f>
        <v/>
      </c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11" t="n"/>
      <c r="K945" s="3" t="n"/>
      <c r="L945" s="10" t="n"/>
      <c r="M945" s="6" t="n"/>
      <c r="N9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45" s="3">
        <f>IF(tblOrdenes[[#This Row],[fecha_inicio]]="","",YEAR(tblOrdenes[[#This Row],[fecha_inicio]]))</f>
        <v/>
      </c>
      <c r="R945" s="3">
        <f>IF(tblOrdenes[[#This Row],[fecha_inicio]]="","",MONTH(tblOrdenes[[#This Row],[fecha_inicio]]))</f>
        <v/>
      </c>
      <c r="S945" s="3">
        <f>IF(tblOrdenes[[#This Row],[fecha_inicio]]="","",INDEX(lista_dias,WEEKDAY(tblOrdenes[[#This Row],[fecha_inicio]],2)))</f>
        <v/>
      </c>
      <c r="T945" s="3">
        <f>IF(tblOrdenes[[#This Row],[tipo_ot]]="","",_xlfn.XLOOKUP(tblOrdenes[[#This Row],[tipo_ot]],tblTiposOT[codigo],tblTiposOT[clasificacion],"sin_clasificar"))</f>
        <v/>
      </c>
      <c r="U945" s="3">
        <f>IF(tblOrdenes[[#This Row],[centro_costo]]="","",_xlfn.XLOOKUP(tblOrdenes[[#This Row],[centro_costo]],tblCECO[codigo],tblCECO[linea],"(sin catálogo)"))</f>
        <v/>
      </c>
      <c r="V945" s="3">
        <f>IF(tblOrdenes[[#This Row],[centro_costo]]="","",_xlfn.XLOOKUP(tblOrdenes[[#This Row],[centro_costo]],tblCECO[codigo],tblCECO[area],"(sin catálogo)"))</f>
        <v/>
      </c>
      <c r="W945" s="3">
        <f>IF(tblOrdenes[[#This Row],[centro_costo]]="","",_xlfn.XLOOKUP(tblOrdenes[[#This Row],[centro_costo]],tblCECO[codigo],tblCECO[coordinador],"(sin catálogo)"))</f>
        <v/>
      </c>
      <c r="X945" s="3">
        <f>IF(tblOrdenes[[#This Row],[puesto_trabajo]]="","",_xlfn.XLOOKUP(tblOrdenes[[#This Row],[puesto_trabajo]],tblPuestos[codigo],tblPuestos[especialidad],"(sin catálogo)"))</f>
        <v/>
      </c>
      <c r="Y945" s="3">
        <f>IF(tblOrdenes[[#This Row],[cod_actividad]]="","",_xlfn.XLOOKUP(tblOrdenes[[#This Row],[cod_actividad]],tblActividades[codigo],tblActividades[descripcion],"(sin catálogo)"))</f>
        <v/>
      </c>
      <c r="Z945" s="12">
        <f>IF(tblOrdenes[[#This Row],[fecha_inicio]]="","",TODAY()-tblOrdenes[[#This Row],[fecha_inicio]])</f>
        <v/>
      </c>
      <c r="AA945" s="3">
        <f>IF(tblOrdenes[[#This Row],[backlog_dias]]="","",IF(tblOrdenes[[#This Row],[backlog_dias]]&lt;0,"FUTURO",IF(tblOrdenes[[#This Row],[backlog_dias]]&gt;p_dias_backlog_max,"BACKLOG","MES CORRIENTE")))</f>
        <v/>
      </c>
      <c r="AB945" s="3">
        <f>IF(tblOrdenes[[#This Row],[backlog_dias]]="",FALSE,AND(tblOrdenes[[#This Row],[backlog_dias]]&gt;p_dias_backlog_min,tblOrdenes[[#This Row],[backlog_dias]]&lt;=p_dias_backlog_max))</f>
        <v/>
      </c>
      <c r="AC945" s="6" t="n"/>
      <c r="AD9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45" s="10">
        <f>IF(tblOrdenes[[#This Row],[orden]]="","",_xlfn.XLOOKUP(tblOrdenes[[#This Row],[id_operacion]],tblEjecucion[id_operacion],tblEjecucion[precio],0))</f>
        <v/>
      </c>
      <c r="AH945" s="10">
        <f>IF(tblOrdenes[[#This Row],[orden]]="","",MAX(0,_xlfn.XLOOKUP(tblOrdenes[[#This Row],[id_operacion]],tblEjecucion[id_operacion],tblEjecucion[costo_plan_total],0)-tblOrdenes[[#This Row],[costo_servicio]]))</f>
        <v/>
      </c>
      <c r="AI945" s="10">
        <f>IF(tblOrdenes[[#This Row],[orden]]="","",tblOrdenes[[#This Row],[costo_servicio]]+tblOrdenes[[#This Row],[costo_materiales]])</f>
        <v/>
      </c>
      <c r="AJ945" s="6" t="n"/>
      <c r="AK945" s="6" t="n"/>
      <c r="AL945" s="6" t="n"/>
      <c r="AM945" s="3">
        <f>IF(tblOrdenes[[#This Row],[link_checklist]]="","",HYPERLINK(p_ruta_base_checklists&amp;tblOrdenes[[#This Row],[link_checklist]],"abrir"))</f>
        <v/>
      </c>
      <c r="AN945" s="6" t="n"/>
      <c r="AO945" s="3">
        <f>IF(tblOrdenes[[#This Row],[orden]]="","",tblOrdenes[[#This Row],[orden]]&amp;IF(tblOrdenes[[#This Row],[operacion]]="","0010",tblOrdenes[[#This Row],[operacion]]))</f>
        <v/>
      </c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11" t="n"/>
      <c r="K946" s="3" t="n"/>
      <c r="L946" s="10" t="n"/>
      <c r="M946" s="6" t="n"/>
      <c r="N9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46" s="3">
        <f>IF(tblOrdenes[[#This Row],[fecha_inicio]]="","",YEAR(tblOrdenes[[#This Row],[fecha_inicio]]))</f>
        <v/>
      </c>
      <c r="R946" s="3">
        <f>IF(tblOrdenes[[#This Row],[fecha_inicio]]="","",MONTH(tblOrdenes[[#This Row],[fecha_inicio]]))</f>
        <v/>
      </c>
      <c r="S946" s="3">
        <f>IF(tblOrdenes[[#This Row],[fecha_inicio]]="","",INDEX(lista_dias,WEEKDAY(tblOrdenes[[#This Row],[fecha_inicio]],2)))</f>
        <v/>
      </c>
      <c r="T946" s="3">
        <f>IF(tblOrdenes[[#This Row],[tipo_ot]]="","",_xlfn.XLOOKUP(tblOrdenes[[#This Row],[tipo_ot]],tblTiposOT[codigo],tblTiposOT[clasificacion],"sin_clasificar"))</f>
        <v/>
      </c>
      <c r="U946" s="3">
        <f>IF(tblOrdenes[[#This Row],[centro_costo]]="","",_xlfn.XLOOKUP(tblOrdenes[[#This Row],[centro_costo]],tblCECO[codigo],tblCECO[linea],"(sin catálogo)"))</f>
        <v/>
      </c>
      <c r="V946" s="3">
        <f>IF(tblOrdenes[[#This Row],[centro_costo]]="","",_xlfn.XLOOKUP(tblOrdenes[[#This Row],[centro_costo]],tblCECO[codigo],tblCECO[area],"(sin catálogo)"))</f>
        <v/>
      </c>
      <c r="W946" s="3">
        <f>IF(tblOrdenes[[#This Row],[centro_costo]]="","",_xlfn.XLOOKUP(tblOrdenes[[#This Row],[centro_costo]],tblCECO[codigo],tblCECO[coordinador],"(sin catálogo)"))</f>
        <v/>
      </c>
      <c r="X946" s="3">
        <f>IF(tblOrdenes[[#This Row],[puesto_trabajo]]="","",_xlfn.XLOOKUP(tblOrdenes[[#This Row],[puesto_trabajo]],tblPuestos[codigo],tblPuestos[especialidad],"(sin catálogo)"))</f>
        <v/>
      </c>
      <c r="Y946" s="3">
        <f>IF(tblOrdenes[[#This Row],[cod_actividad]]="","",_xlfn.XLOOKUP(tblOrdenes[[#This Row],[cod_actividad]],tblActividades[codigo],tblActividades[descripcion],"(sin catálogo)"))</f>
        <v/>
      </c>
      <c r="Z946" s="12">
        <f>IF(tblOrdenes[[#This Row],[fecha_inicio]]="","",TODAY()-tblOrdenes[[#This Row],[fecha_inicio]])</f>
        <v/>
      </c>
      <c r="AA946" s="3">
        <f>IF(tblOrdenes[[#This Row],[backlog_dias]]="","",IF(tblOrdenes[[#This Row],[backlog_dias]]&lt;0,"FUTURO",IF(tblOrdenes[[#This Row],[backlog_dias]]&gt;p_dias_backlog_max,"BACKLOG","MES CORRIENTE")))</f>
        <v/>
      </c>
      <c r="AB946" s="3">
        <f>IF(tblOrdenes[[#This Row],[backlog_dias]]="",FALSE,AND(tblOrdenes[[#This Row],[backlog_dias]]&gt;p_dias_backlog_min,tblOrdenes[[#This Row],[backlog_dias]]&lt;=p_dias_backlog_max))</f>
        <v/>
      </c>
      <c r="AC946" s="6" t="n"/>
      <c r="AD9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46" s="10">
        <f>IF(tblOrdenes[[#This Row],[orden]]="","",_xlfn.XLOOKUP(tblOrdenes[[#This Row],[id_operacion]],tblEjecucion[id_operacion],tblEjecucion[precio],0))</f>
        <v/>
      </c>
      <c r="AH946" s="10">
        <f>IF(tblOrdenes[[#This Row],[orden]]="","",MAX(0,_xlfn.XLOOKUP(tblOrdenes[[#This Row],[id_operacion]],tblEjecucion[id_operacion],tblEjecucion[costo_plan_total],0)-tblOrdenes[[#This Row],[costo_servicio]]))</f>
        <v/>
      </c>
      <c r="AI946" s="10">
        <f>IF(tblOrdenes[[#This Row],[orden]]="","",tblOrdenes[[#This Row],[costo_servicio]]+tblOrdenes[[#This Row],[costo_materiales]])</f>
        <v/>
      </c>
      <c r="AJ946" s="6" t="n"/>
      <c r="AK946" s="6" t="n"/>
      <c r="AL946" s="6" t="n"/>
      <c r="AM946" s="3">
        <f>IF(tblOrdenes[[#This Row],[link_checklist]]="","",HYPERLINK(p_ruta_base_checklists&amp;tblOrdenes[[#This Row],[link_checklist]],"abrir"))</f>
        <v/>
      </c>
      <c r="AN946" s="6" t="n"/>
      <c r="AO946" s="3">
        <f>IF(tblOrdenes[[#This Row],[orden]]="","",tblOrdenes[[#This Row],[orden]]&amp;IF(tblOrdenes[[#This Row],[operacion]]="","0010",tblOrdenes[[#This Row],[operacion]]))</f>
        <v/>
      </c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11" t="n"/>
      <c r="K947" s="3" t="n"/>
      <c r="L947" s="10" t="n"/>
      <c r="M947" s="6" t="n"/>
      <c r="N9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47" s="3">
        <f>IF(tblOrdenes[[#This Row],[fecha_inicio]]="","",YEAR(tblOrdenes[[#This Row],[fecha_inicio]]))</f>
        <v/>
      </c>
      <c r="R947" s="3">
        <f>IF(tblOrdenes[[#This Row],[fecha_inicio]]="","",MONTH(tblOrdenes[[#This Row],[fecha_inicio]]))</f>
        <v/>
      </c>
      <c r="S947" s="3">
        <f>IF(tblOrdenes[[#This Row],[fecha_inicio]]="","",INDEX(lista_dias,WEEKDAY(tblOrdenes[[#This Row],[fecha_inicio]],2)))</f>
        <v/>
      </c>
      <c r="T947" s="3">
        <f>IF(tblOrdenes[[#This Row],[tipo_ot]]="","",_xlfn.XLOOKUP(tblOrdenes[[#This Row],[tipo_ot]],tblTiposOT[codigo],tblTiposOT[clasificacion],"sin_clasificar"))</f>
        <v/>
      </c>
      <c r="U947" s="3">
        <f>IF(tblOrdenes[[#This Row],[centro_costo]]="","",_xlfn.XLOOKUP(tblOrdenes[[#This Row],[centro_costo]],tblCECO[codigo],tblCECO[linea],"(sin catálogo)"))</f>
        <v/>
      </c>
      <c r="V947" s="3">
        <f>IF(tblOrdenes[[#This Row],[centro_costo]]="","",_xlfn.XLOOKUP(tblOrdenes[[#This Row],[centro_costo]],tblCECO[codigo],tblCECO[area],"(sin catálogo)"))</f>
        <v/>
      </c>
      <c r="W947" s="3">
        <f>IF(tblOrdenes[[#This Row],[centro_costo]]="","",_xlfn.XLOOKUP(tblOrdenes[[#This Row],[centro_costo]],tblCECO[codigo],tblCECO[coordinador],"(sin catálogo)"))</f>
        <v/>
      </c>
      <c r="X947" s="3">
        <f>IF(tblOrdenes[[#This Row],[puesto_trabajo]]="","",_xlfn.XLOOKUP(tblOrdenes[[#This Row],[puesto_trabajo]],tblPuestos[codigo],tblPuestos[especialidad],"(sin catálogo)"))</f>
        <v/>
      </c>
      <c r="Y947" s="3">
        <f>IF(tblOrdenes[[#This Row],[cod_actividad]]="","",_xlfn.XLOOKUP(tblOrdenes[[#This Row],[cod_actividad]],tblActividades[codigo],tblActividades[descripcion],"(sin catálogo)"))</f>
        <v/>
      </c>
      <c r="Z947" s="12">
        <f>IF(tblOrdenes[[#This Row],[fecha_inicio]]="","",TODAY()-tblOrdenes[[#This Row],[fecha_inicio]])</f>
        <v/>
      </c>
      <c r="AA947" s="3">
        <f>IF(tblOrdenes[[#This Row],[backlog_dias]]="","",IF(tblOrdenes[[#This Row],[backlog_dias]]&lt;0,"FUTURO",IF(tblOrdenes[[#This Row],[backlog_dias]]&gt;p_dias_backlog_max,"BACKLOG","MES CORRIENTE")))</f>
        <v/>
      </c>
      <c r="AB947" s="3">
        <f>IF(tblOrdenes[[#This Row],[backlog_dias]]="",FALSE,AND(tblOrdenes[[#This Row],[backlog_dias]]&gt;p_dias_backlog_min,tblOrdenes[[#This Row],[backlog_dias]]&lt;=p_dias_backlog_max))</f>
        <v/>
      </c>
      <c r="AC947" s="6" t="n"/>
      <c r="AD9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47" s="10">
        <f>IF(tblOrdenes[[#This Row],[orden]]="","",_xlfn.XLOOKUP(tblOrdenes[[#This Row],[id_operacion]],tblEjecucion[id_operacion],tblEjecucion[precio],0))</f>
        <v/>
      </c>
      <c r="AH947" s="10">
        <f>IF(tblOrdenes[[#This Row],[orden]]="","",MAX(0,_xlfn.XLOOKUP(tblOrdenes[[#This Row],[id_operacion]],tblEjecucion[id_operacion],tblEjecucion[costo_plan_total],0)-tblOrdenes[[#This Row],[costo_servicio]]))</f>
        <v/>
      </c>
      <c r="AI947" s="10">
        <f>IF(tblOrdenes[[#This Row],[orden]]="","",tblOrdenes[[#This Row],[costo_servicio]]+tblOrdenes[[#This Row],[costo_materiales]])</f>
        <v/>
      </c>
      <c r="AJ947" s="6" t="n"/>
      <c r="AK947" s="6" t="n"/>
      <c r="AL947" s="6" t="n"/>
      <c r="AM947" s="3">
        <f>IF(tblOrdenes[[#This Row],[link_checklist]]="","",HYPERLINK(p_ruta_base_checklists&amp;tblOrdenes[[#This Row],[link_checklist]],"abrir"))</f>
        <v/>
      </c>
      <c r="AN947" s="6" t="n"/>
      <c r="AO947" s="3">
        <f>IF(tblOrdenes[[#This Row],[orden]]="","",tblOrdenes[[#This Row],[orden]]&amp;IF(tblOrdenes[[#This Row],[operacion]]="","0010",tblOrdenes[[#This Row],[operacion]]))</f>
        <v/>
      </c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11" t="n"/>
      <c r="K948" s="3" t="n"/>
      <c r="L948" s="10" t="n"/>
      <c r="M948" s="6" t="n"/>
      <c r="N9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48" s="3">
        <f>IF(tblOrdenes[[#This Row],[fecha_inicio]]="","",YEAR(tblOrdenes[[#This Row],[fecha_inicio]]))</f>
        <v/>
      </c>
      <c r="R948" s="3">
        <f>IF(tblOrdenes[[#This Row],[fecha_inicio]]="","",MONTH(tblOrdenes[[#This Row],[fecha_inicio]]))</f>
        <v/>
      </c>
      <c r="S948" s="3">
        <f>IF(tblOrdenes[[#This Row],[fecha_inicio]]="","",INDEX(lista_dias,WEEKDAY(tblOrdenes[[#This Row],[fecha_inicio]],2)))</f>
        <v/>
      </c>
      <c r="T948" s="3">
        <f>IF(tblOrdenes[[#This Row],[tipo_ot]]="","",_xlfn.XLOOKUP(tblOrdenes[[#This Row],[tipo_ot]],tblTiposOT[codigo],tblTiposOT[clasificacion],"sin_clasificar"))</f>
        <v/>
      </c>
      <c r="U948" s="3">
        <f>IF(tblOrdenes[[#This Row],[centro_costo]]="","",_xlfn.XLOOKUP(tblOrdenes[[#This Row],[centro_costo]],tblCECO[codigo],tblCECO[linea],"(sin catálogo)"))</f>
        <v/>
      </c>
      <c r="V948" s="3">
        <f>IF(tblOrdenes[[#This Row],[centro_costo]]="","",_xlfn.XLOOKUP(tblOrdenes[[#This Row],[centro_costo]],tblCECO[codigo],tblCECO[area],"(sin catálogo)"))</f>
        <v/>
      </c>
      <c r="W948" s="3">
        <f>IF(tblOrdenes[[#This Row],[centro_costo]]="","",_xlfn.XLOOKUP(tblOrdenes[[#This Row],[centro_costo]],tblCECO[codigo],tblCECO[coordinador],"(sin catálogo)"))</f>
        <v/>
      </c>
      <c r="X948" s="3">
        <f>IF(tblOrdenes[[#This Row],[puesto_trabajo]]="","",_xlfn.XLOOKUP(tblOrdenes[[#This Row],[puesto_trabajo]],tblPuestos[codigo],tblPuestos[especialidad],"(sin catálogo)"))</f>
        <v/>
      </c>
      <c r="Y948" s="3">
        <f>IF(tblOrdenes[[#This Row],[cod_actividad]]="","",_xlfn.XLOOKUP(tblOrdenes[[#This Row],[cod_actividad]],tblActividades[codigo],tblActividades[descripcion],"(sin catálogo)"))</f>
        <v/>
      </c>
      <c r="Z948" s="12">
        <f>IF(tblOrdenes[[#This Row],[fecha_inicio]]="","",TODAY()-tblOrdenes[[#This Row],[fecha_inicio]])</f>
        <v/>
      </c>
      <c r="AA948" s="3">
        <f>IF(tblOrdenes[[#This Row],[backlog_dias]]="","",IF(tblOrdenes[[#This Row],[backlog_dias]]&lt;0,"FUTURO",IF(tblOrdenes[[#This Row],[backlog_dias]]&gt;p_dias_backlog_max,"BACKLOG","MES CORRIENTE")))</f>
        <v/>
      </c>
      <c r="AB948" s="3">
        <f>IF(tblOrdenes[[#This Row],[backlog_dias]]="",FALSE,AND(tblOrdenes[[#This Row],[backlog_dias]]&gt;p_dias_backlog_min,tblOrdenes[[#This Row],[backlog_dias]]&lt;=p_dias_backlog_max))</f>
        <v/>
      </c>
      <c r="AC948" s="6" t="n"/>
      <c r="AD9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48" s="10">
        <f>IF(tblOrdenes[[#This Row],[orden]]="","",_xlfn.XLOOKUP(tblOrdenes[[#This Row],[id_operacion]],tblEjecucion[id_operacion],tblEjecucion[precio],0))</f>
        <v/>
      </c>
      <c r="AH948" s="10">
        <f>IF(tblOrdenes[[#This Row],[orden]]="","",MAX(0,_xlfn.XLOOKUP(tblOrdenes[[#This Row],[id_operacion]],tblEjecucion[id_operacion],tblEjecucion[costo_plan_total],0)-tblOrdenes[[#This Row],[costo_servicio]]))</f>
        <v/>
      </c>
      <c r="AI948" s="10">
        <f>IF(tblOrdenes[[#This Row],[orden]]="","",tblOrdenes[[#This Row],[costo_servicio]]+tblOrdenes[[#This Row],[costo_materiales]])</f>
        <v/>
      </c>
      <c r="AJ948" s="6" t="n"/>
      <c r="AK948" s="6" t="n"/>
      <c r="AL948" s="6" t="n"/>
      <c r="AM948" s="3">
        <f>IF(tblOrdenes[[#This Row],[link_checklist]]="","",HYPERLINK(p_ruta_base_checklists&amp;tblOrdenes[[#This Row],[link_checklist]],"abrir"))</f>
        <v/>
      </c>
      <c r="AN948" s="6" t="n"/>
      <c r="AO948" s="3">
        <f>IF(tblOrdenes[[#This Row],[orden]]="","",tblOrdenes[[#This Row],[orden]]&amp;IF(tblOrdenes[[#This Row],[operacion]]="","0010",tblOrdenes[[#This Row],[operacion]]))</f>
        <v/>
      </c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11" t="n"/>
      <c r="K949" s="3" t="n"/>
      <c r="L949" s="10" t="n"/>
      <c r="M949" s="6" t="n"/>
      <c r="N9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49" s="3">
        <f>IF(tblOrdenes[[#This Row],[fecha_inicio]]="","",YEAR(tblOrdenes[[#This Row],[fecha_inicio]]))</f>
        <v/>
      </c>
      <c r="R949" s="3">
        <f>IF(tblOrdenes[[#This Row],[fecha_inicio]]="","",MONTH(tblOrdenes[[#This Row],[fecha_inicio]]))</f>
        <v/>
      </c>
      <c r="S949" s="3">
        <f>IF(tblOrdenes[[#This Row],[fecha_inicio]]="","",INDEX(lista_dias,WEEKDAY(tblOrdenes[[#This Row],[fecha_inicio]],2)))</f>
        <v/>
      </c>
      <c r="T949" s="3">
        <f>IF(tblOrdenes[[#This Row],[tipo_ot]]="","",_xlfn.XLOOKUP(tblOrdenes[[#This Row],[tipo_ot]],tblTiposOT[codigo],tblTiposOT[clasificacion],"sin_clasificar"))</f>
        <v/>
      </c>
      <c r="U949" s="3">
        <f>IF(tblOrdenes[[#This Row],[centro_costo]]="","",_xlfn.XLOOKUP(tblOrdenes[[#This Row],[centro_costo]],tblCECO[codigo],tblCECO[linea],"(sin catálogo)"))</f>
        <v/>
      </c>
      <c r="V949" s="3">
        <f>IF(tblOrdenes[[#This Row],[centro_costo]]="","",_xlfn.XLOOKUP(tblOrdenes[[#This Row],[centro_costo]],tblCECO[codigo],tblCECO[area],"(sin catálogo)"))</f>
        <v/>
      </c>
      <c r="W949" s="3">
        <f>IF(tblOrdenes[[#This Row],[centro_costo]]="","",_xlfn.XLOOKUP(tblOrdenes[[#This Row],[centro_costo]],tblCECO[codigo],tblCECO[coordinador],"(sin catálogo)"))</f>
        <v/>
      </c>
      <c r="X949" s="3">
        <f>IF(tblOrdenes[[#This Row],[puesto_trabajo]]="","",_xlfn.XLOOKUP(tblOrdenes[[#This Row],[puesto_trabajo]],tblPuestos[codigo],tblPuestos[especialidad],"(sin catálogo)"))</f>
        <v/>
      </c>
      <c r="Y949" s="3">
        <f>IF(tblOrdenes[[#This Row],[cod_actividad]]="","",_xlfn.XLOOKUP(tblOrdenes[[#This Row],[cod_actividad]],tblActividades[codigo],tblActividades[descripcion],"(sin catálogo)"))</f>
        <v/>
      </c>
      <c r="Z949" s="12">
        <f>IF(tblOrdenes[[#This Row],[fecha_inicio]]="","",TODAY()-tblOrdenes[[#This Row],[fecha_inicio]])</f>
        <v/>
      </c>
      <c r="AA949" s="3">
        <f>IF(tblOrdenes[[#This Row],[backlog_dias]]="","",IF(tblOrdenes[[#This Row],[backlog_dias]]&lt;0,"FUTURO",IF(tblOrdenes[[#This Row],[backlog_dias]]&gt;p_dias_backlog_max,"BACKLOG","MES CORRIENTE")))</f>
        <v/>
      </c>
      <c r="AB949" s="3">
        <f>IF(tblOrdenes[[#This Row],[backlog_dias]]="",FALSE,AND(tblOrdenes[[#This Row],[backlog_dias]]&gt;p_dias_backlog_min,tblOrdenes[[#This Row],[backlog_dias]]&lt;=p_dias_backlog_max))</f>
        <v/>
      </c>
      <c r="AC949" s="6" t="n"/>
      <c r="AD9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49" s="10">
        <f>IF(tblOrdenes[[#This Row],[orden]]="","",_xlfn.XLOOKUP(tblOrdenes[[#This Row],[id_operacion]],tblEjecucion[id_operacion],tblEjecucion[precio],0))</f>
        <v/>
      </c>
      <c r="AH949" s="10">
        <f>IF(tblOrdenes[[#This Row],[orden]]="","",MAX(0,_xlfn.XLOOKUP(tblOrdenes[[#This Row],[id_operacion]],tblEjecucion[id_operacion],tblEjecucion[costo_plan_total],0)-tblOrdenes[[#This Row],[costo_servicio]]))</f>
        <v/>
      </c>
      <c r="AI949" s="10">
        <f>IF(tblOrdenes[[#This Row],[orden]]="","",tblOrdenes[[#This Row],[costo_servicio]]+tblOrdenes[[#This Row],[costo_materiales]])</f>
        <v/>
      </c>
      <c r="AJ949" s="6" t="n"/>
      <c r="AK949" s="6" t="n"/>
      <c r="AL949" s="6" t="n"/>
      <c r="AM949" s="3">
        <f>IF(tblOrdenes[[#This Row],[link_checklist]]="","",HYPERLINK(p_ruta_base_checklists&amp;tblOrdenes[[#This Row],[link_checklist]],"abrir"))</f>
        <v/>
      </c>
      <c r="AN949" s="6" t="n"/>
      <c r="AO949" s="3">
        <f>IF(tblOrdenes[[#This Row],[orden]]="","",tblOrdenes[[#This Row],[orden]]&amp;IF(tblOrdenes[[#This Row],[operacion]]="","0010",tblOrdenes[[#This Row],[operacion]]))</f>
        <v/>
      </c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11" t="n"/>
      <c r="K950" s="3" t="n"/>
      <c r="L950" s="10" t="n"/>
      <c r="M950" s="6" t="n"/>
      <c r="N9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50" s="3">
        <f>IF(tblOrdenes[[#This Row],[fecha_inicio]]="","",YEAR(tblOrdenes[[#This Row],[fecha_inicio]]))</f>
        <v/>
      </c>
      <c r="R950" s="3">
        <f>IF(tblOrdenes[[#This Row],[fecha_inicio]]="","",MONTH(tblOrdenes[[#This Row],[fecha_inicio]]))</f>
        <v/>
      </c>
      <c r="S950" s="3">
        <f>IF(tblOrdenes[[#This Row],[fecha_inicio]]="","",INDEX(lista_dias,WEEKDAY(tblOrdenes[[#This Row],[fecha_inicio]],2)))</f>
        <v/>
      </c>
      <c r="T950" s="3">
        <f>IF(tblOrdenes[[#This Row],[tipo_ot]]="","",_xlfn.XLOOKUP(tblOrdenes[[#This Row],[tipo_ot]],tblTiposOT[codigo],tblTiposOT[clasificacion],"sin_clasificar"))</f>
        <v/>
      </c>
      <c r="U950" s="3">
        <f>IF(tblOrdenes[[#This Row],[centro_costo]]="","",_xlfn.XLOOKUP(tblOrdenes[[#This Row],[centro_costo]],tblCECO[codigo],tblCECO[linea],"(sin catálogo)"))</f>
        <v/>
      </c>
      <c r="V950" s="3">
        <f>IF(tblOrdenes[[#This Row],[centro_costo]]="","",_xlfn.XLOOKUP(tblOrdenes[[#This Row],[centro_costo]],tblCECO[codigo],tblCECO[area],"(sin catálogo)"))</f>
        <v/>
      </c>
      <c r="W950" s="3">
        <f>IF(tblOrdenes[[#This Row],[centro_costo]]="","",_xlfn.XLOOKUP(tblOrdenes[[#This Row],[centro_costo]],tblCECO[codigo],tblCECO[coordinador],"(sin catálogo)"))</f>
        <v/>
      </c>
      <c r="X950" s="3">
        <f>IF(tblOrdenes[[#This Row],[puesto_trabajo]]="","",_xlfn.XLOOKUP(tblOrdenes[[#This Row],[puesto_trabajo]],tblPuestos[codigo],tblPuestos[especialidad],"(sin catálogo)"))</f>
        <v/>
      </c>
      <c r="Y950" s="3">
        <f>IF(tblOrdenes[[#This Row],[cod_actividad]]="","",_xlfn.XLOOKUP(tblOrdenes[[#This Row],[cod_actividad]],tblActividades[codigo],tblActividades[descripcion],"(sin catálogo)"))</f>
        <v/>
      </c>
      <c r="Z950" s="12">
        <f>IF(tblOrdenes[[#This Row],[fecha_inicio]]="","",TODAY()-tblOrdenes[[#This Row],[fecha_inicio]])</f>
        <v/>
      </c>
      <c r="AA950" s="3">
        <f>IF(tblOrdenes[[#This Row],[backlog_dias]]="","",IF(tblOrdenes[[#This Row],[backlog_dias]]&lt;0,"FUTURO",IF(tblOrdenes[[#This Row],[backlog_dias]]&gt;p_dias_backlog_max,"BACKLOG","MES CORRIENTE")))</f>
        <v/>
      </c>
      <c r="AB950" s="3">
        <f>IF(tblOrdenes[[#This Row],[backlog_dias]]="",FALSE,AND(tblOrdenes[[#This Row],[backlog_dias]]&gt;p_dias_backlog_min,tblOrdenes[[#This Row],[backlog_dias]]&lt;=p_dias_backlog_max))</f>
        <v/>
      </c>
      <c r="AC950" s="6" t="n"/>
      <c r="AD9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50" s="10">
        <f>IF(tblOrdenes[[#This Row],[orden]]="","",_xlfn.XLOOKUP(tblOrdenes[[#This Row],[id_operacion]],tblEjecucion[id_operacion],tblEjecucion[precio],0))</f>
        <v/>
      </c>
      <c r="AH950" s="10">
        <f>IF(tblOrdenes[[#This Row],[orden]]="","",MAX(0,_xlfn.XLOOKUP(tblOrdenes[[#This Row],[id_operacion]],tblEjecucion[id_operacion],tblEjecucion[costo_plan_total],0)-tblOrdenes[[#This Row],[costo_servicio]]))</f>
        <v/>
      </c>
      <c r="AI950" s="10">
        <f>IF(tblOrdenes[[#This Row],[orden]]="","",tblOrdenes[[#This Row],[costo_servicio]]+tblOrdenes[[#This Row],[costo_materiales]])</f>
        <v/>
      </c>
      <c r="AJ950" s="6" t="n"/>
      <c r="AK950" s="6" t="n"/>
      <c r="AL950" s="6" t="n"/>
      <c r="AM950" s="3">
        <f>IF(tblOrdenes[[#This Row],[link_checklist]]="","",HYPERLINK(p_ruta_base_checklists&amp;tblOrdenes[[#This Row],[link_checklist]],"abrir"))</f>
        <v/>
      </c>
      <c r="AN950" s="6" t="n"/>
      <c r="AO950" s="3">
        <f>IF(tblOrdenes[[#This Row],[orden]]="","",tblOrdenes[[#This Row],[orden]]&amp;IF(tblOrdenes[[#This Row],[operacion]]="","0010",tblOrdenes[[#This Row],[operacion]]))</f>
        <v/>
      </c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11" t="n"/>
      <c r="K951" s="3" t="n"/>
      <c r="L951" s="10" t="n"/>
      <c r="M951" s="6" t="n"/>
      <c r="N9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51" s="3">
        <f>IF(tblOrdenes[[#This Row],[fecha_inicio]]="","",YEAR(tblOrdenes[[#This Row],[fecha_inicio]]))</f>
        <v/>
      </c>
      <c r="R951" s="3">
        <f>IF(tblOrdenes[[#This Row],[fecha_inicio]]="","",MONTH(tblOrdenes[[#This Row],[fecha_inicio]]))</f>
        <v/>
      </c>
      <c r="S951" s="3">
        <f>IF(tblOrdenes[[#This Row],[fecha_inicio]]="","",INDEX(lista_dias,WEEKDAY(tblOrdenes[[#This Row],[fecha_inicio]],2)))</f>
        <v/>
      </c>
      <c r="T951" s="3">
        <f>IF(tblOrdenes[[#This Row],[tipo_ot]]="","",_xlfn.XLOOKUP(tblOrdenes[[#This Row],[tipo_ot]],tblTiposOT[codigo],tblTiposOT[clasificacion],"sin_clasificar"))</f>
        <v/>
      </c>
      <c r="U951" s="3">
        <f>IF(tblOrdenes[[#This Row],[centro_costo]]="","",_xlfn.XLOOKUP(tblOrdenes[[#This Row],[centro_costo]],tblCECO[codigo],tblCECO[linea],"(sin catálogo)"))</f>
        <v/>
      </c>
      <c r="V951" s="3">
        <f>IF(tblOrdenes[[#This Row],[centro_costo]]="","",_xlfn.XLOOKUP(tblOrdenes[[#This Row],[centro_costo]],tblCECO[codigo],tblCECO[area],"(sin catálogo)"))</f>
        <v/>
      </c>
      <c r="W951" s="3">
        <f>IF(tblOrdenes[[#This Row],[centro_costo]]="","",_xlfn.XLOOKUP(tblOrdenes[[#This Row],[centro_costo]],tblCECO[codigo],tblCECO[coordinador],"(sin catálogo)"))</f>
        <v/>
      </c>
      <c r="X951" s="3">
        <f>IF(tblOrdenes[[#This Row],[puesto_trabajo]]="","",_xlfn.XLOOKUP(tblOrdenes[[#This Row],[puesto_trabajo]],tblPuestos[codigo],tblPuestos[especialidad],"(sin catálogo)"))</f>
        <v/>
      </c>
      <c r="Y951" s="3">
        <f>IF(tblOrdenes[[#This Row],[cod_actividad]]="","",_xlfn.XLOOKUP(tblOrdenes[[#This Row],[cod_actividad]],tblActividades[codigo],tblActividades[descripcion],"(sin catálogo)"))</f>
        <v/>
      </c>
      <c r="Z951" s="12">
        <f>IF(tblOrdenes[[#This Row],[fecha_inicio]]="","",TODAY()-tblOrdenes[[#This Row],[fecha_inicio]])</f>
        <v/>
      </c>
      <c r="AA951" s="3">
        <f>IF(tblOrdenes[[#This Row],[backlog_dias]]="","",IF(tblOrdenes[[#This Row],[backlog_dias]]&lt;0,"FUTURO",IF(tblOrdenes[[#This Row],[backlog_dias]]&gt;p_dias_backlog_max,"BACKLOG","MES CORRIENTE")))</f>
        <v/>
      </c>
      <c r="AB951" s="3">
        <f>IF(tblOrdenes[[#This Row],[backlog_dias]]="",FALSE,AND(tblOrdenes[[#This Row],[backlog_dias]]&gt;p_dias_backlog_min,tblOrdenes[[#This Row],[backlog_dias]]&lt;=p_dias_backlog_max))</f>
        <v/>
      </c>
      <c r="AC951" s="6" t="n"/>
      <c r="AD9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51" s="10">
        <f>IF(tblOrdenes[[#This Row],[orden]]="","",_xlfn.XLOOKUP(tblOrdenes[[#This Row],[id_operacion]],tblEjecucion[id_operacion],tblEjecucion[precio],0))</f>
        <v/>
      </c>
      <c r="AH951" s="10">
        <f>IF(tblOrdenes[[#This Row],[orden]]="","",MAX(0,_xlfn.XLOOKUP(tblOrdenes[[#This Row],[id_operacion]],tblEjecucion[id_operacion],tblEjecucion[costo_plan_total],0)-tblOrdenes[[#This Row],[costo_servicio]]))</f>
        <v/>
      </c>
      <c r="AI951" s="10">
        <f>IF(tblOrdenes[[#This Row],[orden]]="","",tblOrdenes[[#This Row],[costo_servicio]]+tblOrdenes[[#This Row],[costo_materiales]])</f>
        <v/>
      </c>
      <c r="AJ951" s="6" t="n"/>
      <c r="AK951" s="6" t="n"/>
      <c r="AL951" s="6" t="n"/>
      <c r="AM951" s="3">
        <f>IF(tblOrdenes[[#This Row],[link_checklist]]="","",HYPERLINK(p_ruta_base_checklists&amp;tblOrdenes[[#This Row],[link_checklist]],"abrir"))</f>
        <v/>
      </c>
      <c r="AN951" s="6" t="n"/>
      <c r="AO951" s="3">
        <f>IF(tblOrdenes[[#This Row],[orden]]="","",tblOrdenes[[#This Row],[orden]]&amp;IF(tblOrdenes[[#This Row],[operacion]]="","0010",tblOrdenes[[#This Row],[operacion]]))</f>
        <v/>
      </c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11" t="n"/>
      <c r="K952" s="3" t="n"/>
      <c r="L952" s="10" t="n"/>
      <c r="M952" s="6" t="n"/>
      <c r="N9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52" s="3">
        <f>IF(tblOrdenes[[#This Row],[fecha_inicio]]="","",YEAR(tblOrdenes[[#This Row],[fecha_inicio]]))</f>
        <v/>
      </c>
      <c r="R952" s="3">
        <f>IF(tblOrdenes[[#This Row],[fecha_inicio]]="","",MONTH(tblOrdenes[[#This Row],[fecha_inicio]]))</f>
        <v/>
      </c>
      <c r="S952" s="3">
        <f>IF(tblOrdenes[[#This Row],[fecha_inicio]]="","",INDEX(lista_dias,WEEKDAY(tblOrdenes[[#This Row],[fecha_inicio]],2)))</f>
        <v/>
      </c>
      <c r="T952" s="3">
        <f>IF(tblOrdenes[[#This Row],[tipo_ot]]="","",_xlfn.XLOOKUP(tblOrdenes[[#This Row],[tipo_ot]],tblTiposOT[codigo],tblTiposOT[clasificacion],"sin_clasificar"))</f>
        <v/>
      </c>
      <c r="U952" s="3">
        <f>IF(tblOrdenes[[#This Row],[centro_costo]]="","",_xlfn.XLOOKUP(tblOrdenes[[#This Row],[centro_costo]],tblCECO[codigo],tblCECO[linea],"(sin catálogo)"))</f>
        <v/>
      </c>
      <c r="V952" s="3">
        <f>IF(tblOrdenes[[#This Row],[centro_costo]]="","",_xlfn.XLOOKUP(tblOrdenes[[#This Row],[centro_costo]],tblCECO[codigo],tblCECO[area],"(sin catálogo)"))</f>
        <v/>
      </c>
      <c r="W952" s="3">
        <f>IF(tblOrdenes[[#This Row],[centro_costo]]="","",_xlfn.XLOOKUP(tblOrdenes[[#This Row],[centro_costo]],tblCECO[codigo],tblCECO[coordinador],"(sin catálogo)"))</f>
        <v/>
      </c>
      <c r="X952" s="3">
        <f>IF(tblOrdenes[[#This Row],[puesto_trabajo]]="","",_xlfn.XLOOKUP(tblOrdenes[[#This Row],[puesto_trabajo]],tblPuestos[codigo],tblPuestos[especialidad],"(sin catálogo)"))</f>
        <v/>
      </c>
      <c r="Y952" s="3">
        <f>IF(tblOrdenes[[#This Row],[cod_actividad]]="","",_xlfn.XLOOKUP(tblOrdenes[[#This Row],[cod_actividad]],tblActividades[codigo],tblActividades[descripcion],"(sin catálogo)"))</f>
        <v/>
      </c>
      <c r="Z952" s="12">
        <f>IF(tblOrdenes[[#This Row],[fecha_inicio]]="","",TODAY()-tblOrdenes[[#This Row],[fecha_inicio]])</f>
        <v/>
      </c>
      <c r="AA952" s="3">
        <f>IF(tblOrdenes[[#This Row],[backlog_dias]]="","",IF(tblOrdenes[[#This Row],[backlog_dias]]&lt;0,"FUTURO",IF(tblOrdenes[[#This Row],[backlog_dias]]&gt;p_dias_backlog_max,"BACKLOG","MES CORRIENTE")))</f>
        <v/>
      </c>
      <c r="AB952" s="3">
        <f>IF(tblOrdenes[[#This Row],[backlog_dias]]="",FALSE,AND(tblOrdenes[[#This Row],[backlog_dias]]&gt;p_dias_backlog_min,tblOrdenes[[#This Row],[backlog_dias]]&lt;=p_dias_backlog_max))</f>
        <v/>
      </c>
      <c r="AC952" s="6" t="n"/>
      <c r="AD9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52" s="10">
        <f>IF(tblOrdenes[[#This Row],[orden]]="","",_xlfn.XLOOKUP(tblOrdenes[[#This Row],[id_operacion]],tblEjecucion[id_operacion],tblEjecucion[precio],0))</f>
        <v/>
      </c>
      <c r="AH952" s="10">
        <f>IF(tblOrdenes[[#This Row],[orden]]="","",MAX(0,_xlfn.XLOOKUP(tblOrdenes[[#This Row],[id_operacion]],tblEjecucion[id_operacion],tblEjecucion[costo_plan_total],0)-tblOrdenes[[#This Row],[costo_servicio]]))</f>
        <v/>
      </c>
      <c r="AI952" s="10">
        <f>IF(tblOrdenes[[#This Row],[orden]]="","",tblOrdenes[[#This Row],[costo_servicio]]+tblOrdenes[[#This Row],[costo_materiales]])</f>
        <v/>
      </c>
      <c r="AJ952" s="6" t="n"/>
      <c r="AK952" s="6" t="n"/>
      <c r="AL952" s="6" t="n"/>
      <c r="AM952" s="3">
        <f>IF(tblOrdenes[[#This Row],[link_checklist]]="","",HYPERLINK(p_ruta_base_checklists&amp;tblOrdenes[[#This Row],[link_checklist]],"abrir"))</f>
        <v/>
      </c>
      <c r="AN952" s="6" t="n"/>
      <c r="AO952" s="3">
        <f>IF(tblOrdenes[[#This Row],[orden]]="","",tblOrdenes[[#This Row],[orden]]&amp;IF(tblOrdenes[[#This Row],[operacion]]="","0010",tblOrdenes[[#This Row],[operacion]]))</f>
        <v/>
      </c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11" t="n"/>
      <c r="K953" s="3" t="n"/>
      <c r="L953" s="10" t="n"/>
      <c r="M953" s="6" t="n"/>
      <c r="N9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53" s="3">
        <f>IF(tblOrdenes[[#This Row],[fecha_inicio]]="","",YEAR(tblOrdenes[[#This Row],[fecha_inicio]]))</f>
        <v/>
      </c>
      <c r="R953" s="3">
        <f>IF(tblOrdenes[[#This Row],[fecha_inicio]]="","",MONTH(tblOrdenes[[#This Row],[fecha_inicio]]))</f>
        <v/>
      </c>
      <c r="S953" s="3">
        <f>IF(tblOrdenes[[#This Row],[fecha_inicio]]="","",INDEX(lista_dias,WEEKDAY(tblOrdenes[[#This Row],[fecha_inicio]],2)))</f>
        <v/>
      </c>
      <c r="T953" s="3">
        <f>IF(tblOrdenes[[#This Row],[tipo_ot]]="","",_xlfn.XLOOKUP(tblOrdenes[[#This Row],[tipo_ot]],tblTiposOT[codigo],tblTiposOT[clasificacion],"sin_clasificar"))</f>
        <v/>
      </c>
      <c r="U953" s="3">
        <f>IF(tblOrdenes[[#This Row],[centro_costo]]="","",_xlfn.XLOOKUP(tblOrdenes[[#This Row],[centro_costo]],tblCECO[codigo],tblCECO[linea],"(sin catálogo)"))</f>
        <v/>
      </c>
      <c r="V953" s="3">
        <f>IF(tblOrdenes[[#This Row],[centro_costo]]="","",_xlfn.XLOOKUP(tblOrdenes[[#This Row],[centro_costo]],tblCECO[codigo],tblCECO[area],"(sin catálogo)"))</f>
        <v/>
      </c>
      <c r="W953" s="3">
        <f>IF(tblOrdenes[[#This Row],[centro_costo]]="","",_xlfn.XLOOKUP(tblOrdenes[[#This Row],[centro_costo]],tblCECO[codigo],tblCECO[coordinador],"(sin catálogo)"))</f>
        <v/>
      </c>
      <c r="X953" s="3">
        <f>IF(tblOrdenes[[#This Row],[puesto_trabajo]]="","",_xlfn.XLOOKUP(tblOrdenes[[#This Row],[puesto_trabajo]],tblPuestos[codigo],tblPuestos[especialidad],"(sin catálogo)"))</f>
        <v/>
      </c>
      <c r="Y953" s="3">
        <f>IF(tblOrdenes[[#This Row],[cod_actividad]]="","",_xlfn.XLOOKUP(tblOrdenes[[#This Row],[cod_actividad]],tblActividades[codigo],tblActividades[descripcion],"(sin catálogo)"))</f>
        <v/>
      </c>
      <c r="Z953" s="12">
        <f>IF(tblOrdenes[[#This Row],[fecha_inicio]]="","",TODAY()-tblOrdenes[[#This Row],[fecha_inicio]])</f>
        <v/>
      </c>
      <c r="AA953" s="3">
        <f>IF(tblOrdenes[[#This Row],[backlog_dias]]="","",IF(tblOrdenes[[#This Row],[backlog_dias]]&lt;0,"FUTURO",IF(tblOrdenes[[#This Row],[backlog_dias]]&gt;p_dias_backlog_max,"BACKLOG","MES CORRIENTE")))</f>
        <v/>
      </c>
      <c r="AB953" s="3">
        <f>IF(tblOrdenes[[#This Row],[backlog_dias]]="",FALSE,AND(tblOrdenes[[#This Row],[backlog_dias]]&gt;p_dias_backlog_min,tblOrdenes[[#This Row],[backlog_dias]]&lt;=p_dias_backlog_max))</f>
        <v/>
      </c>
      <c r="AC953" s="6" t="n"/>
      <c r="AD9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53" s="10">
        <f>IF(tblOrdenes[[#This Row],[orden]]="","",_xlfn.XLOOKUP(tblOrdenes[[#This Row],[id_operacion]],tblEjecucion[id_operacion],tblEjecucion[precio],0))</f>
        <v/>
      </c>
      <c r="AH953" s="10">
        <f>IF(tblOrdenes[[#This Row],[orden]]="","",MAX(0,_xlfn.XLOOKUP(tblOrdenes[[#This Row],[id_operacion]],tblEjecucion[id_operacion],tblEjecucion[costo_plan_total],0)-tblOrdenes[[#This Row],[costo_servicio]]))</f>
        <v/>
      </c>
      <c r="AI953" s="10">
        <f>IF(tblOrdenes[[#This Row],[orden]]="","",tblOrdenes[[#This Row],[costo_servicio]]+tblOrdenes[[#This Row],[costo_materiales]])</f>
        <v/>
      </c>
      <c r="AJ953" s="6" t="n"/>
      <c r="AK953" s="6" t="n"/>
      <c r="AL953" s="6" t="n"/>
      <c r="AM953" s="3">
        <f>IF(tblOrdenes[[#This Row],[link_checklist]]="","",HYPERLINK(p_ruta_base_checklists&amp;tblOrdenes[[#This Row],[link_checklist]],"abrir"))</f>
        <v/>
      </c>
      <c r="AN953" s="6" t="n"/>
      <c r="AO953" s="3">
        <f>IF(tblOrdenes[[#This Row],[orden]]="","",tblOrdenes[[#This Row],[orden]]&amp;IF(tblOrdenes[[#This Row],[operacion]]="","0010",tblOrdenes[[#This Row],[operacion]]))</f>
        <v/>
      </c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11" t="n"/>
      <c r="K954" s="3" t="n"/>
      <c r="L954" s="10" t="n"/>
      <c r="M954" s="6" t="n"/>
      <c r="N9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54" s="3">
        <f>IF(tblOrdenes[[#This Row],[fecha_inicio]]="","",YEAR(tblOrdenes[[#This Row],[fecha_inicio]]))</f>
        <v/>
      </c>
      <c r="R954" s="3">
        <f>IF(tblOrdenes[[#This Row],[fecha_inicio]]="","",MONTH(tblOrdenes[[#This Row],[fecha_inicio]]))</f>
        <v/>
      </c>
      <c r="S954" s="3">
        <f>IF(tblOrdenes[[#This Row],[fecha_inicio]]="","",INDEX(lista_dias,WEEKDAY(tblOrdenes[[#This Row],[fecha_inicio]],2)))</f>
        <v/>
      </c>
      <c r="T954" s="3">
        <f>IF(tblOrdenes[[#This Row],[tipo_ot]]="","",_xlfn.XLOOKUP(tblOrdenes[[#This Row],[tipo_ot]],tblTiposOT[codigo],tblTiposOT[clasificacion],"sin_clasificar"))</f>
        <v/>
      </c>
      <c r="U954" s="3">
        <f>IF(tblOrdenes[[#This Row],[centro_costo]]="","",_xlfn.XLOOKUP(tblOrdenes[[#This Row],[centro_costo]],tblCECO[codigo],tblCECO[linea],"(sin catálogo)"))</f>
        <v/>
      </c>
      <c r="V954" s="3">
        <f>IF(tblOrdenes[[#This Row],[centro_costo]]="","",_xlfn.XLOOKUP(tblOrdenes[[#This Row],[centro_costo]],tblCECO[codigo],tblCECO[area],"(sin catálogo)"))</f>
        <v/>
      </c>
      <c r="W954" s="3">
        <f>IF(tblOrdenes[[#This Row],[centro_costo]]="","",_xlfn.XLOOKUP(tblOrdenes[[#This Row],[centro_costo]],tblCECO[codigo],tblCECO[coordinador],"(sin catálogo)"))</f>
        <v/>
      </c>
      <c r="X954" s="3">
        <f>IF(tblOrdenes[[#This Row],[puesto_trabajo]]="","",_xlfn.XLOOKUP(tblOrdenes[[#This Row],[puesto_trabajo]],tblPuestos[codigo],tblPuestos[especialidad],"(sin catálogo)"))</f>
        <v/>
      </c>
      <c r="Y954" s="3">
        <f>IF(tblOrdenes[[#This Row],[cod_actividad]]="","",_xlfn.XLOOKUP(tblOrdenes[[#This Row],[cod_actividad]],tblActividades[codigo],tblActividades[descripcion],"(sin catálogo)"))</f>
        <v/>
      </c>
      <c r="Z954" s="12">
        <f>IF(tblOrdenes[[#This Row],[fecha_inicio]]="","",TODAY()-tblOrdenes[[#This Row],[fecha_inicio]])</f>
        <v/>
      </c>
      <c r="AA954" s="3">
        <f>IF(tblOrdenes[[#This Row],[backlog_dias]]="","",IF(tblOrdenes[[#This Row],[backlog_dias]]&lt;0,"FUTURO",IF(tblOrdenes[[#This Row],[backlog_dias]]&gt;p_dias_backlog_max,"BACKLOG","MES CORRIENTE")))</f>
        <v/>
      </c>
      <c r="AB954" s="3">
        <f>IF(tblOrdenes[[#This Row],[backlog_dias]]="",FALSE,AND(tblOrdenes[[#This Row],[backlog_dias]]&gt;p_dias_backlog_min,tblOrdenes[[#This Row],[backlog_dias]]&lt;=p_dias_backlog_max))</f>
        <v/>
      </c>
      <c r="AC954" s="6" t="n"/>
      <c r="AD9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54" s="10">
        <f>IF(tblOrdenes[[#This Row],[orden]]="","",_xlfn.XLOOKUP(tblOrdenes[[#This Row],[id_operacion]],tblEjecucion[id_operacion],tblEjecucion[precio],0))</f>
        <v/>
      </c>
      <c r="AH954" s="10">
        <f>IF(tblOrdenes[[#This Row],[orden]]="","",MAX(0,_xlfn.XLOOKUP(tblOrdenes[[#This Row],[id_operacion]],tblEjecucion[id_operacion],tblEjecucion[costo_plan_total],0)-tblOrdenes[[#This Row],[costo_servicio]]))</f>
        <v/>
      </c>
      <c r="AI954" s="10">
        <f>IF(tblOrdenes[[#This Row],[orden]]="","",tblOrdenes[[#This Row],[costo_servicio]]+tblOrdenes[[#This Row],[costo_materiales]])</f>
        <v/>
      </c>
      <c r="AJ954" s="6" t="n"/>
      <c r="AK954" s="6" t="n"/>
      <c r="AL954" s="6" t="n"/>
      <c r="AM954" s="3">
        <f>IF(tblOrdenes[[#This Row],[link_checklist]]="","",HYPERLINK(p_ruta_base_checklists&amp;tblOrdenes[[#This Row],[link_checklist]],"abrir"))</f>
        <v/>
      </c>
      <c r="AN954" s="6" t="n"/>
      <c r="AO954" s="3">
        <f>IF(tblOrdenes[[#This Row],[orden]]="","",tblOrdenes[[#This Row],[orden]]&amp;IF(tblOrdenes[[#This Row],[operacion]]="","0010",tblOrdenes[[#This Row],[operacion]]))</f>
        <v/>
      </c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11" t="n"/>
      <c r="K955" s="3" t="n"/>
      <c r="L955" s="10" t="n"/>
      <c r="M955" s="6" t="n"/>
      <c r="N9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55" s="3">
        <f>IF(tblOrdenes[[#This Row],[fecha_inicio]]="","",YEAR(tblOrdenes[[#This Row],[fecha_inicio]]))</f>
        <v/>
      </c>
      <c r="R955" s="3">
        <f>IF(tblOrdenes[[#This Row],[fecha_inicio]]="","",MONTH(tblOrdenes[[#This Row],[fecha_inicio]]))</f>
        <v/>
      </c>
      <c r="S955" s="3">
        <f>IF(tblOrdenes[[#This Row],[fecha_inicio]]="","",INDEX(lista_dias,WEEKDAY(tblOrdenes[[#This Row],[fecha_inicio]],2)))</f>
        <v/>
      </c>
      <c r="T955" s="3">
        <f>IF(tblOrdenes[[#This Row],[tipo_ot]]="","",_xlfn.XLOOKUP(tblOrdenes[[#This Row],[tipo_ot]],tblTiposOT[codigo],tblTiposOT[clasificacion],"sin_clasificar"))</f>
        <v/>
      </c>
      <c r="U955" s="3">
        <f>IF(tblOrdenes[[#This Row],[centro_costo]]="","",_xlfn.XLOOKUP(tblOrdenes[[#This Row],[centro_costo]],tblCECO[codigo],tblCECO[linea],"(sin catálogo)"))</f>
        <v/>
      </c>
      <c r="V955" s="3">
        <f>IF(tblOrdenes[[#This Row],[centro_costo]]="","",_xlfn.XLOOKUP(tblOrdenes[[#This Row],[centro_costo]],tblCECO[codigo],tblCECO[area],"(sin catálogo)"))</f>
        <v/>
      </c>
      <c r="W955" s="3">
        <f>IF(tblOrdenes[[#This Row],[centro_costo]]="","",_xlfn.XLOOKUP(tblOrdenes[[#This Row],[centro_costo]],tblCECO[codigo],tblCECO[coordinador],"(sin catálogo)"))</f>
        <v/>
      </c>
      <c r="X955" s="3">
        <f>IF(tblOrdenes[[#This Row],[puesto_trabajo]]="","",_xlfn.XLOOKUP(tblOrdenes[[#This Row],[puesto_trabajo]],tblPuestos[codigo],tblPuestos[especialidad],"(sin catálogo)"))</f>
        <v/>
      </c>
      <c r="Y955" s="3">
        <f>IF(tblOrdenes[[#This Row],[cod_actividad]]="","",_xlfn.XLOOKUP(tblOrdenes[[#This Row],[cod_actividad]],tblActividades[codigo],tblActividades[descripcion],"(sin catálogo)"))</f>
        <v/>
      </c>
      <c r="Z955" s="12">
        <f>IF(tblOrdenes[[#This Row],[fecha_inicio]]="","",TODAY()-tblOrdenes[[#This Row],[fecha_inicio]])</f>
        <v/>
      </c>
      <c r="AA955" s="3">
        <f>IF(tblOrdenes[[#This Row],[backlog_dias]]="","",IF(tblOrdenes[[#This Row],[backlog_dias]]&lt;0,"FUTURO",IF(tblOrdenes[[#This Row],[backlog_dias]]&gt;p_dias_backlog_max,"BACKLOG","MES CORRIENTE")))</f>
        <v/>
      </c>
      <c r="AB955" s="3">
        <f>IF(tblOrdenes[[#This Row],[backlog_dias]]="",FALSE,AND(tblOrdenes[[#This Row],[backlog_dias]]&gt;p_dias_backlog_min,tblOrdenes[[#This Row],[backlog_dias]]&lt;=p_dias_backlog_max))</f>
        <v/>
      </c>
      <c r="AC955" s="6" t="n"/>
      <c r="AD9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55" s="10">
        <f>IF(tblOrdenes[[#This Row],[orden]]="","",_xlfn.XLOOKUP(tblOrdenes[[#This Row],[id_operacion]],tblEjecucion[id_operacion],tblEjecucion[precio],0))</f>
        <v/>
      </c>
      <c r="AH955" s="10">
        <f>IF(tblOrdenes[[#This Row],[orden]]="","",MAX(0,_xlfn.XLOOKUP(tblOrdenes[[#This Row],[id_operacion]],tblEjecucion[id_operacion],tblEjecucion[costo_plan_total],0)-tblOrdenes[[#This Row],[costo_servicio]]))</f>
        <v/>
      </c>
      <c r="AI955" s="10">
        <f>IF(tblOrdenes[[#This Row],[orden]]="","",tblOrdenes[[#This Row],[costo_servicio]]+tblOrdenes[[#This Row],[costo_materiales]])</f>
        <v/>
      </c>
      <c r="AJ955" s="6" t="n"/>
      <c r="AK955" s="6" t="n"/>
      <c r="AL955" s="6" t="n"/>
      <c r="AM955" s="3">
        <f>IF(tblOrdenes[[#This Row],[link_checklist]]="","",HYPERLINK(p_ruta_base_checklists&amp;tblOrdenes[[#This Row],[link_checklist]],"abrir"))</f>
        <v/>
      </c>
      <c r="AN955" s="6" t="n"/>
      <c r="AO955" s="3">
        <f>IF(tblOrdenes[[#This Row],[orden]]="","",tblOrdenes[[#This Row],[orden]]&amp;IF(tblOrdenes[[#This Row],[operacion]]="","0010",tblOrdenes[[#This Row],[operacion]]))</f>
        <v/>
      </c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11" t="n"/>
      <c r="K956" s="3" t="n"/>
      <c r="L956" s="10" t="n"/>
      <c r="M956" s="6" t="n"/>
      <c r="N9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56" s="3">
        <f>IF(tblOrdenes[[#This Row],[fecha_inicio]]="","",YEAR(tblOrdenes[[#This Row],[fecha_inicio]]))</f>
        <v/>
      </c>
      <c r="R956" s="3">
        <f>IF(tblOrdenes[[#This Row],[fecha_inicio]]="","",MONTH(tblOrdenes[[#This Row],[fecha_inicio]]))</f>
        <v/>
      </c>
      <c r="S956" s="3">
        <f>IF(tblOrdenes[[#This Row],[fecha_inicio]]="","",INDEX(lista_dias,WEEKDAY(tblOrdenes[[#This Row],[fecha_inicio]],2)))</f>
        <v/>
      </c>
      <c r="T956" s="3">
        <f>IF(tblOrdenes[[#This Row],[tipo_ot]]="","",_xlfn.XLOOKUP(tblOrdenes[[#This Row],[tipo_ot]],tblTiposOT[codigo],tblTiposOT[clasificacion],"sin_clasificar"))</f>
        <v/>
      </c>
      <c r="U956" s="3">
        <f>IF(tblOrdenes[[#This Row],[centro_costo]]="","",_xlfn.XLOOKUP(tblOrdenes[[#This Row],[centro_costo]],tblCECO[codigo],tblCECO[linea],"(sin catálogo)"))</f>
        <v/>
      </c>
      <c r="V956" s="3">
        <f>IF(tblOrdenes[[#This Row],[centro_costo]]="","",_xlfn.XLOOKUP(tblOrdenes[[#This Row],[centro_costo]],tblCECO[codigo],tblCECO[area],"(sin catálogo)"))</f>
        <v/>
      </c>
      <c r="W956" s="3">
        <f>IF(tblOrdenes[[#This Row],[centro_costo]]="","",_xlfn.XLOOKUP(tblOrdenes[[#This Row],[centro_costo]],tblCECO[codigo],tblCECO[coordinador],"(sin catálogo)"))</f>
        <v/>
      </c>
      <c r="X956" s="3">
        <f>IF(tblOrdenes[[#This Row],[puesto_trabajo]]="","",_xlfn.XLOOKUP(tblOrdenes[[#This Row],[puesto_trabajo]],tblPuestos[codigo],tblPuestos[especialidad],"(sin catálogo)"))</f>
        <v/>
      </c>
      <c r="Y956" s="3">
        <f>IF(tblOrdenes[[#This Row],[cod_actividad]]="","",_xlfn.XLOOKUP(tblOrdenes[[#This Row],[cod_actividad]],tblActividades[codigo],tblActividades[descripcion],"(sin catálogo)"))</f>
        <v/>
      </c>
      <c r="Z956" s="12">
        <f>IF(tblOrdenes[[#This Row],[fecha_inicio]]="","",TODAY()-tblOrdenes[[#This Row],[fecha_inicio]])</f>
        <v/>
      </c>
      <c r="AA956" s="3">
        <f>IF(tblOrdenes[[#This Row],[backlog_dias]]="","",IF(tblOrdenes[[#This Row],[backlog_dias]]&lt;0,"FUTURO",IF(tblOrdenes[[#This Row],[backlog_dias]]&gt;p_dias_backlog_max,"BACKLOG","MES CORRIENTE")))</f>
        <v/>
      </c>
      <c r="AB956" s="3">
        <f>IF(tblOrdenes[[#This Row],[backlog_dias]]="",FALSE,AND(tblOrdenes[[#This Row],[backlog_dias]]&gt;p_dias_backlog_min,tblOrdenes[[#This Row],[backlog_dias]]&lt;=p_dias_backlog_max))</f>
        <v/>
      </c>
      <c r="AC956" s="6" t="n"/>
      <c r="AD9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56" s="10">
        <f>IF(tblOrdenes[[#This Row],[orden]]="","",_xlfn.XLOOKUP(tblOrdenes[[#This Row],[id_operacion]],tblEjecucion[id_operacion],tblEjecucion[precio],0))</f>
        <v/>
      </c>
      <c r="AH956" s="10">
        <f>IF(tblOrdenes[[#This Row],[orden]]="","",MAX(0,_xlfn.XLOOKUP(tblOrdenes[[#This Row],[id_operacion]],tblEjecucion[id_operacion],tblEjecucion[costo_plan_total],0)-tblOrdenes[[#This Row],[costo_servicio]]))</f>
        <v/>
      </c>
      <c r="AI956" s="10">
        <f>IF(tblOrdenes[[#This Row],[orden]]="","",tblOrdenes[[#This Row],[costo_servicio]]+tblOrdenes[[#This Row],[costo_materiales]])</f>
        <v/>
      </c>
      <c r="AJ956" s="6" t="n"/>
      <c r="AK956" s="6" t="n"/>
      <c r="AL956" s="6" t="n"/>
      <c r="AM956" s="3">
        <f>IF(tblOrdenes[[#This Row],[link_checklist]]="","",HYPERLINK(p_ruta_base_checklists&amp;tblOrdenes[[#This Row],[link_checklist]],"abrir"))</f>
        <v/>
      </c>
      <c r="AN956" s="6" t="n"/>
      <c r="AO956" s="3">
        <f>IF(tblOrdenes[[#This Row],[orden]]="","",tblOrdenes[[#This Row],[orden]]&amp;IF(tblOrdenes[[#This Row],[operacion]]="","0010",tblOrdenes[[#This Row],[operacion]]))</f>
        <v/>
      </c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11" t="n"/>
      <c r="K957" s="3" t="n"/>
      <c r="L957" s="10" t="n"/>
      <c r="M957" s="6" t="n"/>
      <c r="N9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57" s="3">
        <f>IF(tblOrdenes[[#This Row],[fecha_inicio]]="","",YEAR(tblOrdenes[[#This Row],[fecha_inicio]]))</f>
        <v/>
      </c>
      <c r="R957" s="3">
        <f>IF(tblOrdenes[[#This Row],[fecha_inicio]]="","",MONTH(tblOrdenes[[#This Row],[fecha_inicio]]))</f>
        <v/>
      </c>
      <c r="S957" s="3">
        <f>IF(tblOrdenes[[#This Row],[fecha_inicio]]="","",INDEX(lista_dias,WEEKDAY(tblOrdenes[[#This Row],[fecha_inicio]],2)))</f>
        <v/>
      </c>
      <c r="T957" s="3">
        <f>IF(tblOrdenes[[#This Row],[tipo_ot]]="","",_xlfn.XLOOKUP(tblOrdenes[[#This Row],[tipo_ot]],tblTiposOT[codigo],tblTiposOT[clasificacion],"sin_clasificar"))</f>
        <v/>
      </c>
      <c r="U957" s="3">
        <f>IF(tblOrdenes[[#This Row],[centro_costo]]="","",_xlfn.XLOOKUP(tblOrdenes[[#This Row],[centro_costo]],tblCECO[codigo],tblCECO[linea],"(sin catálogo)"))</f>
        <v/>
      </c>
      <c r="V957" s="3">
        <f>IF(tblOrdenes[[#This Row],[centro_costo]]="","",_xlfn.XLOOKUP(tblOrdenes[[#This Row],[centro_costo]],tblCECO[codigo],tblCECO[area],"(sin catálogo)"))</f>
        <v/>
      </c>
      <c r="W957" s="3">
        <f>IF(tblOrdenes[[#This Row],[centro_costo]]="","",_xlfn.XLOOKUP(tblOrdenes[[#This Row],[centro_costo]],tblCECO[codigo],tblCECO[coordinador],"(sin catálogo)"))</f>
        <v/>
      </c>
      <c r="X957" s="3">
        <f>IF(tblOrdenes[[#This Row],[puesto_trabajo]]="","",_xlfn.XLOOKUP(tblOrdenes[[#This Row],[puesto_trabajo]],tblPuestos[codigo],tblPuestos[especialidad],"(sin catálogo)"))</f>
        <v/>
      </c>
      <c r="Y957" s="3">
        <f>IF(tblOrdenes[[#This Row],[cod_actividad]]="","",_xlfn.XLOOKUP(tblOrdenes[[#This Row],[cod_actividad]],tblActividades[codigo],tblActividades[descripcion],"(sin catálogo)"))</f>
        <v/>
      </c>
      <c r="Z957" s="12">
        <f>IF(tblOrdenes[[#This Row],[fecha_inicio]]="","",TODAY()-tblOrdenes[[#This Row],[fecha_inicio]])</f>
        <v/>
      </c>
      <c r="AA957" s="3">
        <f>IF(tblOrdenes[[#This Row],[backlog_dias]]="","",IF(tblOrdenes[[#This Row],[backlog_dias]]&lt;0,"FUTURO",IF(tblOrdenes[[#This Row],[backlog_dias]]&gt;p_dias_backlog_max,"BACKLOG","MES CORRIENTE")))</f>
        <v/>
      </c>
      <c r="AB957" s="3">
        <f>IF(tblOrdenes[[#This Row],[backlog_dias]]="",FALSE,AND(tblOrdenes[[#This Row],[backlog_dias]]&gt;p_dias_backlog_min,tblOrdenes[[#This Row],[backlog_dias]]&lt;=p_dias_backlog_max))</f>
        <v/>
      </c>
      <c r="AC957" s="6" t="n"/>
      <c r="AD9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57" s="10">
        <f>IF(tblOrdenes[[#This Row],[orden]]="","",_xlfn.XLOOKUP(tblOrdenes[[#This Row],[id_operacion]],tblEjecucion[id_operacion],tblEjecucion[precio],0))</f>
        <v/>
      </c>
      <c r="AH957" s="10">
        <f>IF(tblOrdenes[[#This Row],[orden]]="","",MAX(0,_xlfn.XLOOKUP(tblOrdenes[[#This Row],[id_operacion]],tblEjecucion[id_operacion],tblEjecucion[costo_plan_total],0)-tblOrdenes[[#This Row],[costo_servicio]]))</f>
        <v/>
      </c>
      <c r="AI957" s="10">
        <f>IF(tblOrdenes[[#This Row],[orden]]="","",tblOrdenes[[#This Row],[costo_servicio]]+tblOrdenes[[#This Row],[costo_materiales]])</f>
        <v/>
      </c>
      <c r="AJ957" s="6" t="n"/>
      <c r="AK957" s="6" t="n"/>
      <c r="AL957" s="6" t="n"/>
      <c r="AM957" s="3">
        <f>IF(tblOrdenes[[#This Row],[link_checklist]]="","",HYPERLINK(p_ruta_base_checklists&amp;tblOrdenes[[#This Row],[link_checklist]],"abrir"))</f>
        <v/>
      </c>
      <c r="AN957" s="6" t="n"/>
      <c r="AO957" s="3">
        <f>IF(tblOrdenes[[#This Row],[orden]]="","",tblOrdenes[[#This Row],[orden]]&amp;IF(tblOrdenes[[#This Row],[operacion]]="","0010",tblOrdenes[[#This Row],[operacion]]))</f>
        <v/>
      </c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11" t="n"/>
      <c r="K958" s="3" t="n"/>
      <c r="L958" s="10" t="n"/>
      <c r="M958" s="6" t="n"/>
      <c r="N9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58" s="3">
        <f>IF(tblOrdenes[[#This Row],[fecha_inicio]]="","",YEAR(tblOrdenes[[#This Row],[fecha_inicio]]))</f>
        <v/>
      </c>
      <c r="R958" s="3">
        <f>IF(tblOrdenes[[#This Row],[fecha_inicio]]="","",MONTH(tblOrdenes[[#This Row],[fecha_inicio]]))</f>
        <v/>
      </c>
      <c r="S958" s="3">
        <f>IF(tblOrdenes[[#This Row],[fecha_inicio]]="","",INDEX(lista_dias,WEEKDAY(tblOrdenes[[#This Row],[fecha_inicio]],2)))</f>
        <v/>
      </c>
      <c r="T958" s="3">
        <f>IF(tblOrdenes[[#This Row],[tipo_ot]]="","",_xlfn.XLOOKUP(tblOrdenes[[#This Row],[tipo_ot]],tblTiposOT[codigo],tblTiposOT[clasificacion],"sin_clasificar"))</f>
        <v/>
      </c>
      <c r="U958" s="3">
        <f>IF(tblOrdenes[[#This Row],[centro_costo]]="","",_xlfn.XLOOKUP(tblOrdenes[[#This Row],[centro_costo]],tblCECO[codigo],tblCECO[linea],"(sin catálogo)"))</f>
        <v/>
      </c>
      <c r="V958" s="3">
        <f>IF(tblOrdenes[[#This Row],[centro_costo]]="","",_xlfn.XLOOKUP(tblOrdenes[[#This Row],[centro_costo]],tblCECO[codigo],tblCECO[area],"(sin catálogo)"))</f>
        <v/>
      </c>
      <c r="W958" s="3">
        <f>IF(tblOrdenes[[#This Row],[centro_costo]]="","",_xlfn.XLOOKUP(tblOrdenes[[#This Row],[centro_costo]],tblCECO[codigo],tblCECO[coordinador],"(sin catálogo)"))</f>
        <v/>
      </c>
      <c r="X958" s="3">
        <f>IF(tblOrdenes[[#This Row],[puesto_trabajo]]="","",_xlfn.XLOOKUP(tblOrdenes[[#This Row],[puesto_trabajo]],tblPuestos[codigo],tblPuestos[especialidad],"(sin catálogo)"))</f>
        <v/>
      </c>
      <c r="Y958" s="3">
        <f>IF(tblOrdenes[[#This Row],[cod_actividad]]="","",_xlfn.XLOOKUP(tblOrdenes[[#This Row],[cod_actividad]],tblActividades[codigo],tblActividades[descripcion],"(sin catálogo)"))</f>
        <v/>
      </c>
      <c r="Z958" s="12">
        <f>IF(tblOrdenes[[#This Row],[fecha_inicio]]="","",TODAY()-tblOrdenes[[#This Row],[fecha_inicio]])</f>
        <v/>
      </c>
      <c r="AA958" s="3">
        <f>IF(tblOrdenes[[#This Row],[backlog_dias]]="","",IF(tblOrdenes[[#This Row],[backlog_dias]]&lt;0,"FUTURO",IF(tblOrdenes[[#This Row],[backlog_dias]]&gt;p_dias_backlog_max,"BACKLOG","MES CORRIENTE")))</f>
        <v/>
      </c>
      <c r="AB958" s="3">
        <f>IF(tblOrdenes[[#This Row],[backlog_dias]]="",FALSE,AND(tblOrdenes[[#This Row],[backlog_dias]]&gt;p_dias_backlog_min,tblOrdenes[[#This Row],[backlog_dias]]&lt;=p_dias_backlog_max))</f>
        <v/>
      </c>
      <c r="AC958" s="6" t="n"/>
      <c r="AD9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58" s="10">
        <f>IF(tblOrdenes[[#This Row],[orden]]="","",_xlfn.XLOOKUP(tblOrdenes[[#This Row],[id_operacion]],tblEjecucion[id_operacion],tblEjecucion[precio],0))</f>
        <v/>
      </c>
      <c r="AH958" s="10">
        <f>IF(tblOrdenes[[#This Row],[orden]]="","",MAX(0,_xlfn.XLOOKUP(tblOrdenes[[#This Row],[id_operacion]],tblEjecucion[id_operacion],tblEjecucion[costo_plan_total],0)-tblOrdenes[[#This Row],[costo_servicio]]))</f>
        <v/>
      </c>
      <c r="AI958" s="10">
        <f>IF(tblOrdenes[[#This Row],[orden]]="","",tblOrdenes[[#This Row],[costo_servicio]]+tblOrdenes[[#This Row],[costo_materiales]])</f>
        <v/>
      </c>
      <c r="AJ958" s="6" t="n"/>
      <c r="AK958" s="6" t="n"/>
      <c r="AL958" s="6" t="n"/>
      <c r="AM958" s="3">
        <f>IF(tblOrdenes[[#This Row],[link_checklist]]="","",HYPERLINK(p_ruta_base_checklists&amp;tblOrdenes[[#This Row],[link_checklist]],"abrir"))</f>
        <v/>
      </c>
      <c r="AN958" s="6" t="n"/>
      <c r="AO958" s="3">
        <f>IF(tblOrdenes[[#This Row],[orden]]="","",tblOrdenes[[#This Row],[orden]]&amp;IF(tblOrdenes[[#This Row],[operacion]]="","0010",tblOrdenes[[#This Row],[operacion]]))</f>
        <v/>
      </c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11" t="n"/>
      <c r="K959" s="3" t="n"/>
      <c r="L959" s="10" t="n"/>
      <c r="M959" s="6" t="n"/>
      <c r="N9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59" s="3">
        <f>IF(tblOrdenes[[#This Row],[fecha_inicio]]="","",YEAR(tblOrdenes[[#This Row],[fecha_inicio]]))</f>
        <v/>
      </c>
      <c r="R959" s="3">
        <f>IF(tblOrdenes[[#This Row],[fecha_inicio]]="","",MONTH(tblOrdenes[[#This Row],[fecha_inicio]]))</f>
        <v/>
      </c>
      <c r="S959" s="3">
        <f>IF(tblOrdenes[[#This Row],[fecha_inicio]]="","",INDEX(lista_dias,WEEKDAY(tblOrdenes[[#This Row],[fecha_inicio]],2)))</f>
        <v/>
      </c>
      <c r="T959" s="3">
        <f>IF(tblOrdenes[[#This Row],[tipo_ot]]="","",_xlfn.XLOOKUP(tblOrdenes[[#This Row],[tipo_ot]],tblTiposOT[codigo],tblTiposOT[clasificacion],"sin_clasificar"))</f>
        <v/>
      </c>
      <c r="U959" s="3">
        <f>IF(tblOrdenes[[#This Row],[centro_costo]]="","",_xlfn.XLOOKUP(tblOrdenes[[#This Row],[centro_costo]],tblCECO[codigo],tblCECO[linea],"(sin catálogo)"))</f>
        <v/>
      </c>
      <c r="V959" s="3">
        <f>IF(tblOrdenes[[#This Row],[centro_costo]]="","",_xlfn.XLOOKUP(tblOrdenes[[#This Row],[centro_costo]],tblCECO[codigo],tblCECO[area],"(sin catálogo)"))</f>
        <v/>
      </c>
      <c r="W959" s="3">
        <f>IF(tblOrdenes[[#This Row],[centro_costo]]="","",_xlfn.XLOOKUP(tblOrdenes[[#This Row],[centro_costo]],tblCECO[codigo],tblCECO[coordinador],"(sin catálogo)"))</f>
        <v/>
      </c>
      <c r="X959" s="3">
        <f>IF(tblOrdenes[[#This Row],[puesto_trabajo]]="","",_xlfn.XLOOKUP(tblOrdenes[[#This Row],[puesto_trabajo]],tblPuestos[codigo],tblPuestos[especialidad],"(sin catálogo)"))</f>
        <v/>
      </c>
      <c r="Y959" s="3">
        <f>IF(tblOrdenes[[#This Row],[cod_actividad]]="","",_xlfn.XLOOKUP(tblOrdenes[[#This Row],[cod_actividad]],tblActividades[codigo],tblActividades[descripcion],"(sin catálogo)"))</f>
        <v/>
      </c>
      <c r="Z959" s="12">
        <f>IF(tblOrdenes[[#This Row],[fecha_inicio]]="","",TODAY()-tblOrdenes[[#This Row],[fecha_inicio]])</f>
        <v/>
      </c>
      <c r="AA959" s="3">
        <f>IF(tblOrdenes[[#This Row],[backlog_dias]]="","",IF(tblOrdenes[[#This Row],[backlog_dias]]&lt;0,"FUTURO",IF(tblOrdenes[[#This Row],[backlog_dias]]&gt;p_dias_backlog_max,"BACKLOG","MES CORRIENTE")))</f>
        <v/>
      </c>
      <c r="AB959" s="3">
        <f>IF(tblOrdenes[[#This Row],[backlog_dias]]="",FALSE,AND(tblOrdenes[[#This Row],[backlog_dias]]&gt;p_dias_backlog_min,tblOrdenes[[#This Row],[backlog_dias]]&lt;=p_dias_backlog_max))</f>
        <v/>
      </c>
      <c r="AC959" s="6" t="n"/>
      <c r="AD9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59" s="10">
        <f>IF(tblOrdenes[[#This Row],[orden]]="","",_xlfn.XLOOKUP(tblOrdenes[[#This Row],[id_operacion]],tblEjecucion[id_operacion],tblEjecucion[precio],0))</f>
        <v/>
      </c>
      <c r="AH959" s="10">
        <f>IF(tblOrdenes[[#This Row],[orden]]="","",MAX(0,_xlfn.XLOOKUP(tblOrdenes[[#This Row],[id_operacion]],tblEjecucion[id_operacion],tblEjecucion[costo_plan_total],0)-tblOrdenes[[#This Row],[costo_servicio]]))</f>
        <v/>
      </c>
      <c r="AI959" s="10">
        <f>IF(tblOrdenes[[#This Row],[orden]]="","",tblOrdenes[[#This Row],[costo_servicio]]+tblOrdenes[[#This Row],[costo_materiales]])</f>
        <v/>
      </c>
      <c r="AJ959" s="6" t="n"/>
      <c r="AK959" s="6" t="n"/>
      <c r="AL959" s="6" t="n"/>
      <c r="AM959" s="3">
        <f>IF(tblOrdenes[[#This Row],[link_checklist]]="","",HYPERLINK(p_ruta_base_checklists&amp;tblOrdenes[[#This Row],[link_checklist]],"abrir"))</f>
        <v/>
      </c>
      <c r="AN959" s="6" t="n"/>
      <c r="AO959" s="3">
        <f>IF(tblOrdenes[[#This Row],[orden]]="","",tblOrdenes[[#This Row],[orden]]&amp;IF(tblOrdenes[[#This Row],[operacion]]="","0010",tblOrdenes[[#This Row],[operacion]]))</f>
        <v/>
      </c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11" t="n"/>
      <c r="K960" s="3" t="n"/>
      <c r="L960" s="10" t="n"/>
      <c r="M960" s="6" t="n"/>
      <c r="N9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60" s="3">
        <f>IF(tblOrdenes[[#This Row],[fecha_inicio]]="","",YEAR(tblOrdenes[[#This Row],[fecha_inicio]]))</f>
        <v/>
      </c>
      <c r="R960" s="3">
        <f>IF(tblOrdenes[[#This Row],[fecha_inicio]]="","",MONTH(tblOrdenes[[#This Row],[fecha_inicio]]))</f>
        <v/>
      </c>
      <c r="S960" s="3">
        <f>IF(tblOrdenes[[#This Row],[fecha_inicio]]="","",INDEX(lista_dias,WEEKDAY(tblOrdenes[[#This Row],[fecha_inicio]],2)))</f>
        <v/>
      </c>
      <c r="T960" s="3">
        <f>IF(tblOrdenes[[#This Row],[tipo_ot]]="","",_xlfn.XLOOKUP(tblOrdenes[[#This Row],[tipo_ot]],tblTiposOT[codigo],tblTiposOT[clasificacion],"sin_clasificar"))</f>
        <v/>
      </c>
      <c r="U960" s="3">
        <f>IF(tblOrdenes[[#This Row],[centro_costo]]="","",_xlfn.XLOOKUP(tblOrdenes[[#This Row],[centro_costo]],tblCECO[codigo],tblCECO[linea],"(sin catálogo)"))</f>
        <v/>
      </c>
      <c r="V960" s="3">
        <f>IF(tblOrdenes[[#This Row],[centro_costo]]="","",_xlfn.XLOOKUP(tblOrdenes[[#This Row],[centro_costo]],tblCECO[codigo],tblCECO[area],"(sin catálogo)"))</f>
        <v/>
      </c>
      <c r="W960" s="3">
        <f>IF(tblOrdenes[[#This Row],[centro_costo]]="","",_xlfn.XLOOKUP(tblOrdenes[[#This Row],[centro_costo]],tblCECO[codigo],tblCECO[coordinador],"(sin catálogo)"))</f>
        <v/>
      </c>
      <c r="X960" s="3">
        <f>IF(tblOrdenes[[#This Row],[puesto_trabajo]]="","",_xlfn.XLOOKUP(tblOrdenes[[#This Row],[puesto_trabajo]],tblPuestos[codigo],tblPuestos[especialidad],"(sin catálogo)"))</f>
        <v/>
      </c>
      <c r="Y960" s="3">
        <f>IF(tblOrdenes[[#This Row],[cod_actividad]]="","",_xlfn.XLOOKUP(tblOrdenes[[#This Row],[cod_actividad]],tblActividades[codigo],tblActividades[descripcion],"(sin catálogo)"))</f>
        <v/>
      </c>
      <c r="Z960" s="12">
        <f>IF(tblOrdenes[[#This Row],[fecha_inicio]]="","",TODAY()-tblOrdenes[[#This Row],[fecha_inicio]])</f>
        <v/>
      </c>
      <c r="AA960" s="3">
        <f>IF(tblOrdenes[[#This Row],[backlog_dias]]="","",IF(tblOrdenes[[#This Row],[backlog_dias]]&lt;0,"FUTURO",IF(tblOrdenes[[#This Row],[backlog_dias]]&gt;p_dias_backlog_max,"BACKLOG","MES CORRIENTE")))</f>
        <v/>
      </c>
      <c r="AB960" s="3">
        <f>IF(tblOrdenes[[#This Row],[backlog_dias]]="",FALSE,AND(tblOrdenes[[#This Row],[backlog_dias]]&gt;p_dias_backlog_min,tblOrdenes[[#This Row],[backlog_dias]]&lt;=p_dias_backlog_max))</f>
        <v/>
      </c>
      <c r="AC960" s="6" t="n"/>
      <c r="AD9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60" s="10">
        <f>IF(tblOrdenes[[#This Row],[orden]]="","",_xlfn.XLOOKUP(tblOrdenes[[#This Row],[id_operacion]],tblEjecucion[id_operacion],tblEjecucion[precio],0))</f>
        <v/>
      </c>
      <c r="AH960" s="10">
        <f>IF(tblOrdenes[[#This Row],[orden]]="","",MAX(0,_xlfn.XLOOKUP(tblOrdenes[[#This Row],[id_operacion]],tblEjecucion[id_operacion],tblEjecucion[costo_plan_total],0)-tblOrdenes[[#This Row],[costo_servicio]]))</f>
        <v/>
      </c>
      <c r="AI960" s="10">
        <f>IF(tblOrdenes[[#This Row],[orden]]="","",tblOrdenes[[#This Row],[costo_servicio]]+tblOrdenes[[#This Row],[costo_materiales]])</f>
        <v/>
      </c>
      <c r="AJ960" s="6" t="n"/>
      <c r="AK960" s="6" t="n"/>
      <c r="AL960" s="6" t="n"/>
      <c r="AM960" s="3">
        <f>IF(tblOrdenes[[#This Row],[link_checklist]]="","",HYPERLINK(p_ruta_base_checklists&amp;tblOrdenes[[#This Row],[link_checklist]],"abrir"))</f>
        <v/>
      </c>
      <c r="AN960" s="6" t="n"/>
      <c r="AO960" s="3">
        <f>IF(tblOrdenes[[#This Row],[orden]]="","",tblOrdenes[[#This Row],[orden]]&amp;IF(tblOrdenes[[#This Row],[operacion]]="","0010",tblOrdenes[[#This Row],[operacion]]))</f>
        <v/>
      </c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11" t="n"/>
      <c r="K961" s="3" t="n"/>
      <c r="L961" s="10" t="n"/>
      <c r="M961" s="6" t="n"/>
      <c r="N9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61" s="3">
        <f>IF(tblOrdenes[[#This Row],[fecha_inicio]]="","",YEAR(tblOrdenes[[#This Row],[fecha_inicio]]))</f>
        <v/>
      </c>
      <c r="R961" s="3">
        <f>IF(tblOrdenes[[#This Row],[fecha_inicio]]="","",MONTH(tblOrdenes[[#This Row],[fecha_inicio]]))</f>
        <v/>
      </c>
      <c r="S961" s="3">
        <f>IF(tblOrdenes[[#This Row],[fecha_inicio]]="","",INDEX(lista_dias,WEEKDAY(tblOrdenes[[#This Row],[fecha_inicio]],2)))</f>
        <v/>
      </c>
      <c r="T961" s="3">
        <f>IF(tblOrdenes[[#This Row],[tipo_ot]]="","",_xlfn.XLOOKUP(tblOrdenes[[#This Row],[tipo_ot]],tblTiposOT[codigo],tblTiposOT[clasificacion],"sin_clasificar"))</f>
        <v/>
      </c>
      <c r="U961" s="3">
        <f>IF(tblOrdenes[[#This Row],[centro_costo]]="","",_xlfn.XLOOKUP(tblOrdenes[[#This Row],[centro_costo]],tblCECO[codigo],tblCECO[linea],"(sin catálogo)"))</f>
        <v/>
      </c>
      <c r="V961" s="3">
        <f>IF(tblOrdenes[[#This Row],[centro_costo]]="","",_xlfn.XLOOKUP(tblOrdenes[[#This Row],[centro_costo]],tblCECO[codigo],tblCECO[area],"(sin catálogo)"))</f>
        <v/>
      </c>
      <c r="W961" s="3">
        <f>IF(tblOrdenes[[#This Row],[centro_costo]]="","",_xlfn.XLOOKUP(tblOrdenes[[#This Row],[centro_costo]],tblCECO[codigo],tblCECO[coordinador],"(sin catálogo)"))</f>
        <v/>
      </c>
      <c r="X961" s="3">
        <f>IF(tblOrdenes[[#This Row],[puesto_trabajo]]="","",_xlfn.XLOOKUP(tblOrdenes[[#This Row],[puesto_trabajo]],tblPuestos[codigo],tblPuestos[especialidad],"(sin catálogo)"))</f>
        <v/>
      </c>
      <c r="Y961" s="3">
        <f>IF(tblOrdenes[[#This Row],[cod_actividad]]="","",_xlfn.XLOOKUP(tblOrdenes[[#This Row],[cod_actividad]],tblActividades[codigo],tblActividades[descripcion],"(sin catálogo)"))</f>
        <v/>
      </c>
      <c r="Z961" s="12">
        <f>IF(tblOrdenes[[#This Row],[fecha_inicio]]="","",TODAY()-tblOrdenes[[#This Row],[fecha_inicio]])</f>
        <v/>
      </c>
      <c r="AA961" s="3">
        <f>IF(tblOrdenes[[#This Row],[backlog_dias]]="","",IF(tblOrdenes[[#This Row],[backlog_dias]]&lt;0,"FUTURO",IF(tblOrdenes[[#This Row],[backlog_dias]]&gt;p_dias_backlog_max,"BACKLOG","MES CORRIENTE")))</f>
        <v/>
      </c>
      <c r="AB961" s="3">
        <f>IF(tblOrdenes[[#This Row],[backlog_dias]]="",FALSE,AND(tblOrdenes[[#This Row],[backlog_dias]]&gt;p_dias_backlog_min,tblOrdenes[[#This Row],[backlog_dias]]&lt;=p_dias_backlog_max))</f>
        <v/>
      </c>
      <c r="AC961" s="6" t="n"/>
      <c r="AD9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61" s="10">
        <f>IF(tblOrdenes[[#This Row],[orden]]="","",_xlfn.XLOOKUP(tblOrdenes[[#This Row],[id_operacion]],tblEjecucion[id_operacion],tblEjecucion[precio],0))</f>
        <v/>
      </c>
      <c r="AH961" s="10">
        <f>IF(tblOrdenes[[#This Row],[orden]]="","",MAX(0,_xlfn.XLOOKUP(tblOrdenes[[#This Row],[id_operacion]],tblEjecucion[id_operacion],tblEjecucion[costo_plan_total],0)-tblOrdenes[[#This Row],[costo_servicio]]))</f>
        <v/>
      </c>
      <c r="AI961" s="10">
        <f>IF(tblOrdenes[[#This Row],[orden]]="","",tblOrdenes[[#This Row],[costo_servicio]]+tblOrdenes[[#This Row],[costo_materiales]])</f>
        <v/>
      </c>
      <c r="AJ961" s="6" t="n"/>
      <c r="AK961" s="6" t="n"/>
      <c r="AL961" s="6" t="n"/>
      <c r="AM961" s="3">
        <f>IF(tblOrdenes[[#This Row],[link_checklist]]="","",HYPERLINK(p_ruta_base_checklists&amp;tblOrdenes[[#This Row],[link_checklist]],"abrir"))</f>
        <v/>
      </c>
      <c r="AN961" s="6" t="n"/>
      <c r="AO961" s="3">
        <f>IF(tblOrdenes[[#This Row],[orden]]="","",tblOrdenes[[#This Row],[orden]]&amp;IF(tblOrdenes[[#This Row],[operacion]]="","0010",tblOrdenes[[#This Row],[operacion]]))</f>
        <v/>
      </c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11" t="n"/>
      <c r="K962" s="3" t="n"/>
      <c r="L962" s="10" t="n"/>
      <c r="M962" s="6" t="n"/>
      <c r="N9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62" s="3">
        <f>IF(tblOrdenes[[#This Row],[fecha_inicio]]="","",YEAR(tblOrdenes[[#This Row],[fecha_inicio]]))</f>
        <v/>
      </c>
      <c r="R962" s="3">
        <f>IF(tblOrdenes[[#This Row],[fecha_inicio]]="","",MONTH(tblOrdenes[[#This Row],[fecha_inicio]]))</f>
        <v/>
      </c>
      <c r="S962" s="3">
        <f>IF(tblOrdenes[[#This Row],[fecha_inicio]]="","",INDEX(lista_dias,WEEKDAY(tblOrdenes[[#This Row],[fecha_inicio]],2)))</f>
        <v/>
      </c>
      <c r="T962" s="3">
        <f>IF(tblOrdenes[[#This Row],[tipo_ot]]="","",_xlfn.XLOOKUP(tblOrdenes[[#This Row],[tipo_ot]],tblTiposOT[codigo],tblTiposOT[clasificacion],"sin_clasificar"))</f>
        <v/>
      </c>
      <c r="U962" s="3">
        <f>IF(tblOrdenes[[#This Row],[centro_costo]]="","",_xlfn.XLOOKUP(tblOrdenes[[#This Row],[centro_costo]],tblCECO[codigo],tblCECO[linea],"(sin catálogo)"))</f>
        <v/>
      </c>
      <c r="V962" s="3">
        <f>IF(tblOrdenes[[#This Row],[centro_costo]]="","",_xlfn.XLOOKUP(tblOrdenes[[#This Row],[centro_costo]],tblCECO[codigo],tblCECO[area],"(sin catálogo)"))</f>
        <v/>
      </c>
      <c r="W962" s="3">
        <f>IF(tblOrdenes[[#This Row],[centro_costo]]="","",_xlfn.XLOOKUP(tblOrdenes[[#This Row],[centro_costo]],tblCECO[codigo],tblCECO[coordinador],"(sin catálogo)"))</f>
        <v/>
      </c>
      <c r="X962" s="3">
        <f>IF(tblOrdenes[[#This Row],[puesto_trabajo]]="","",_xlfn.XLOOKUP(tblOrdenes[[#This Row],[puesto_trabajo]],tblPuestos[codigo],tblPuestos[especialidad],"(sin catálogo)"))</f>
        <v/>
      </c>
      <c r="Y962" s="3">
        <f>IF(tblOrdenes[[#This Row],[cod_actividad]]="","",_xlfn.XLOOKUP(tblOrdenes[[#This Row],[cod_actividad]],tblActividades[codigo],tblActividades[descripcion],"(sin catálogo)"))</f>
        <v/>
      </c>
      <c r="Z962" s="12">
        <f>IF(tblOrdenes[[#This Row],[fecha_inicio]]="","",TODAY()-tblOrdenes[[#This Row],[fecha_inicio]])</f>
        <v/>
      </c>
      <c r="AA962" s="3">
        <f>IF(tblOrdenes[[#This Row],[backlog_dias]]="","",IF(tblOrdenes[[#This Row],[backlog_dias]]&lt;0,"FUTURO",IF(tblOrdenes[[#This Row],[backlog_dias]]&gt;p_dias_backlog_max,"BACKLOG","MES CORRIENTE")))</f>
        <v/>
      </c>
      <c r="AB962" s="3">
        <f>IF(tblOrdenes[[#This Row],[backlog_dias]]="",FALSE,AND(tblOrdenes[[#This Row],[backlog_dias]]&gt;p_dias_backlog_min,tblOrdenes[[#This Row],[backlog_dias]]&lt;=p_dias_backlog_max))</f>
        <v/>
      </c>
      <c r="AC962" s="6" t="n"/>
      <c r="AD9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62" s="10">
        <f>IF(tblOrdenes[[#This Row],[orden]]="","",_xlfn.XLOOKUP(tblOrdenes[[#This Row],[id_operacion]],tblEjecucion[id_operacion],tblEjecucion[precio],0))</f>
        <v/>
      </c>
      <c r="AH962" s="10">
        <f>IF(tblOrdenes[[#This Row],[orden]]="","",MAX(0,_xlfn.XLOOKUP(tblOrdenes[[#This Row],[id_operacion]],tblEjecucion[id_operacion],tblEjecucion[costo_plan_total],0)-tblOrdenes[[#This Row],[costo_servicio]]))</f>
        <v/>
      </c>
      <c r="AI962" s="10">
        <f>IF(tblOrdenes[[#This Row],[orden]]="","",tblOrdenes[[#This Row],[costo_servicio]]+tblOrdenes[[#This Row],[costo_materiales]])</f>
        <v/>
      </c>
      <c r="AJ962" s="6" t="n"/>
      <c r="AK962" s="6" t="n"/>
      <c r="AL962" s="6" t="n"/>
      <c r="AM962" s="3">
        <f>IF(tblOrdenes[[#This Row],[link_checklist]]="","",HYPERLINK(p_ruta_base_checklists&amp;tblOrdenes[[#This Row],[link_checklist]],"abrir"))</f>
        <v/>
      </c>
      <c r="AN962" s="6" t="n"/>
      <c r="AO962" s="3">
        <f>IF(tblOrdenes[[#This Row],[orden]]="","",tblOrdenes[[#This Row],[orden]]&amp;IF(tblOrdenes[[#This Row],[operacion]]="","0010",tblOrdenes[[#This Row],[operacion]]))</f>
        <v/>
      </c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11" t="n"/>
      <c r="K963" s="3" t="n"/>
      <c r="L963" s="10" t="n"/>
      <c r="M963" s="6" t="n"/>
      <c r="N9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63" s="3">
        <f>IF(tblOrdenes[[#This Row],[fecha_inicio]]="","",YEAR(tblOrdenes[[#This Row],[fecha_inicio]]))</f>
        <v/>
      </c>
      <c r="R963" s="3">
        <f>IF(tblOrdenes[[#This Row],[fecha_inicio]]="","",MONTH(tblOrdenes[[#This Row],[fecha_inicio]]))</f>
        <v/>
      </c>
      <c r="S963" s="3">
        <f>IF(tblOrdenes[[#This Row],[fecha_inicio]]="","",INDEX(lista_dias,WEEKDAY(tblOrdenes[[#This Row],[fecha_inicio]],2)))</f>
        <v/>
      </c>
      <c r="T963" s="3">
        <f>IF(tblOrdenes[[#This Row],[tipo_ot]]="","",_xlfn.XLOOKUP(tblOrdenes[[#This Row],[tipo_ot]],tblTiposOT[codigo],tblTiposOT[clasificacion],"sin_clasificar"))</f>
        <v/>
      </c>
      <c r="U963" s="3">
        <f>IF(tblOrdenes[[#This Row],[centro_costo]]="","",_xlfn.XLOOKUP(tblOrdenes[[#This Row],[centro_costo]],tblCECO[codigo],tblCECO[linea],"(sin catálogo)"))</f>
        <v/>
      </c>
      <c r="V963" s="3">
        <f>IF(tblOrdenes[[#This Row],[centro_costo]]="","",_xlfn.XLOOKUP(tblOrdenes[[#This Row],[centro_costo]],tblCECO[codigo],tblCECO[area],"(sin catálogo)"))</f>
        <v/>
      </c>
      <c r="W963" s="3">
        <f>IF(tblOrdenes[[#This Row],[centro_costo]]="","",_xlfn.XLOOKUP(tblOrdenes[[#This Row],[centro_costo]],tblCECO[codigo],tblCECO[coordinador],"(sin catálogo)"))</f>
        <v/>
      </c>
      <c r="X963" s="3">
        <f>IF(tblOrdenes[[#This Row],[puesto_trabajo]]="","",_xlfn.XLOOKUP(tblOrdenes[[#This Row],[puesto_trabajo]],tblPuestos[codigo],tblPuestos[especialidad],"(sin catálogo)"))</f>
        <v/>
      </c>
      <c r="Y963" s="3">
        <f>IF(tblOrdenes[[#This Row],[cod_actividad]]="","",_xlfn.XLOOKUP(tblOrdenes[[#This Row],[cod_actividad]],tblActividades[codigo],tblActividades[descripcion],"(sin catálogo)"))</f>
        <v/>
      </c>
      <c r="Z963" s="12">
        <f>IF(tblOrdenes[[#This Row],[fecha_inicio]]="","",TODAY()-tblOrdenes[[#This Row],[fecha_inicio]])</f>
        <v/>
      </c>
      <c r="AA963" s="3">
        <f>IF(tblOrdenes[[#This Row],[backlog_dias]]="","",IF(tblOrdenes[[#This Row],[backlog_dias]]&lt;0,"FUTURO",IF(tblOrdenes[[#This Row],[backlog_dias]]&gt;p_dias_backlog_max,"BACKLOG","MES CORRIENTE")))</f>
        <v/>
      </c>
      <c r="AB963" s="3">
        <f>IF(tblOrdenes[[#This Row],[backlog_dias]]="",FALSE,AND(tblOrdenes[[#This Row],[backlog_dias]]&gt;p_dias_backlog_min,tblOrdenes[[#This Row],[backlog_dias]]&lt;=p_dias_backlog_max))</f>
        <v/>
      </c>
      <c r="AC963" s="6" t="n"/>
      <c r="AD9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63" s="10">
        <f>IF(tblOrdenes[[#This Row],[orden]]="","",_xlfn.XLOOKUP(tblOrdenes[[#This Row],[id_operacion]],tblEjecucion[id_operacion],tblEjecucion[precio],0))</f>
        <v/>
      </c>
      <c r="AH963" s="10">
        <f>IF(tblOrdenes[[#This Row],[orden]]="","",MAX(0,_xlfn.XLOOKUP(tblOrdenes[[#This Row],[id_operacion]],tblEjecucion[id_operacion],tblEjecucion[costo_plan_total],0)-tblOrdenes[[#This Row],[costo_servicio]]))</f>
        <v/>
      </c>
      <c r="AI963" s="10">
        <f>IF(tblOrdenes[[#This Row],[orden]]="","",tblOrdenes[[#This Row],[costo_servicio]]+tblOrdenes[[#This Row],[costo_materiales]])</f>
        <v/>
      </c>
      <c r="AJ963" s="6" t="n"/>
      <c r="AK963" s="6" t="n"/>
      <c r="AL963" s="6" t="n"/>
      <c r="AM963" s="3">
        <f>IF(tblOrdenes[[#This Row],[link_checklist]]="","",HYPERLINK(p_ruta_base_checklists&amp;tblOrdenes[[#This Row],[link_checklist]],"abrir"))</f>
        <v/>
      </c>
      <c r="AN963" s="6" t="n"/>
      <c r="AO963" s="3">
        <f>IF(tblOrdenes[[#This Row],[orden]]="","",tblOrdenes[[#This Row],[orden]]&amp;IF(tblOrdenes[[#This Row],[operacion]]="","0010",tblOrdenes[[#This Row],[operacion]]))</f>
        <v/>
      </c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11" t="n"/>
      <c r="K964" s="3" t="n"/>
      <c r="L964" s="10" t="n"/>
      <c r="M964" s="6" t="n"/>
      <c r="N9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64" s="3">
        <f>IF(tblOrdenes[[#This Row],[fecha_inicio]]="","",YEAR(tblOrdenes[[#This Row],[fecha_inicio]]))</f>
        <v/>
      </c>
      <c r="R964" s="3">
        <f>IF(tblOrdenes[[#This Row],[fecha_inicio]]="","",MONTH(tblOrdenes[[#This Row],[fecha_inicio]]))</f>
        <v/>
      </c>
      <c r="S964" s="3">
        <f>IF(tblOrdenes[[#This Row],[fecha_inicio]]="","",INDEX(lista_dias,WEEKDAY(tblOrdenes[[#This Row],[fecha_inicio]],2)))</f>
        <v/>
      </c>
      <c r="T964" s="3">
        <f>IF(tblOrdenes[[#This Row],[tipo_ot]]="","",_xlfn.XLOOKUP(tblOrdenes[[#This Row],[tipo_ot]],tblTiposOT[codigo],tblTiposOT[clasificacion],"sin_clasificar"))</f>
        <v/>
      </c>
      <c r="U964" s="3">
        <f>IF(tblOrdenes[[#This Row],[centro_costo]]="","",_xlfn.XLOOKUP(tblOrdenes[[#This Row],[centro_costo]],tblCECO[codigo],tblCECO[linea],"(sin catálogo)"))</f>
        <v/>
      </c>
      <c r="V964" s="3">
        <f>IF(tblOrdenes[[#This Row],[centro_costo]]="","",_xlfn.XLOOKUP(tblOrdenes[[#This Row],[centro_costo]],tblCECO[codigo],tblCECO[area],"(sin catálogo)"))</f>
        <v/>
      </c>
      <c r="W964" s="3">
        <f>IF(tblOrdenes[[#This Row],[centro_costo]]="","",_xlfn.XLOOKUP(tblOrdenes[[#This Row],[centro_costo]],tblCECO[codigo],tblCECO[coordinador],"(sin catálogo)"))</f>
        <v/>
      </c>
      <c r="X964" s="3">
        <f>IF(tblOrdenes[[#This Row],[puesto_trabajo]]="","",_xlfn.XLOOKUP(tblOrdenes[[#This Row],[puesto_trabajo]],tblPuestos[codigo],tblPuestos[especialidad],"(sin catálogo)"))</f>
        <v/>
      </c>
      <c r="Y964" s="3">
        <f>IF(tblOrdenes[[#This Row],[cod_actividad]]="","",_xlfn.XLOOKUP(tblOrdenes[[#This Row],[cod_actividad]],tblActividades[codigo],tblActividades[descripcion],"(sin catálogo)"))</f>
        <v/>
      </c>
      <c r="Z964" s="12">
        <f>IF(tblOrdenes[[#This Row],[fecha_inicio]]="","",TODAY()-tblOrdenes[[#This Row],[fecha_inicio]])</f>
        <v/>
      </c>
      <c r="AA964" s="3">
        <f>IF(tblOrdenes[[#This Row],[backlog_dias]]="","",IF(tblOrdenes[[#This Row],[backlog_dias]]&lt;0,"FUTURO",IF(tblOrdenes[[#This Row],[backlog_dias]]&gt;p_dias_backlog_max,"BACKLOG","MES CORRIENTE")))</f>
        <v/>
      </c>
      <c r="AB964" s="3">
        <f>IF(tblOrdenes[[#This Row],[backlog_dias]]="",FALSE,AND(tblOrdenes[[#This Row],[backlog_dias]]&gt;p_dias_backlog_min,tblOrdenes[[#This Row],[backlog_dias]]&lt;=p_dias_backlog_max))</f>
        <v/>
      </c>
      <c r="AC964" s="6" t="n"/>
      <c r="AD9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64" s="10">
        <f>IF(tblOrdenes[[#This Row],[orden]]="","",_xlfn.XLOOKUP(tblOrdenes[[#This Row],[id_operacion]],tblEjecucion[id_operacion],tblEjecucion[precio],0))</f>
        <v/>
      </c>
      <c r="AH964" s="10">
        <f>IF(tblOrdenes[[#This Row],[orden]]="","",MAX(0,_xlfn.XLOOKUP(tblOrdenes[[#This Row],[id_operacion]],tblEjecucion[id_operacion],tblEjecucion[costo_plan_total],0)-tblOrdenes[[#This Row],[costo_servicio]]))</f>
        <v/>
      </c>
      <c r="AI964" s="10">
        <f>IF(tblOrdenes[[#This Row],[orden]]="","",tblOrdenes[[#This Row],[costo_servicio]]+tblOrdenes[[#This Row],[costo_materiales]])</f>
        <v/>
      </c>
      <c r="AJ964" s="6" t="n"/>
      <c r="AK964" s="6" t="n"/>
      <c r="AL964" s="6" t="n"/>
      <c r="AM964" s="3">
        <f>IF(tblOrdenes[[#This Row],[link_checklist]]="","",HYPERLINK(p_ruta_base_checklists&amp;tblOrdenes[[#This Row],[link_checklist]],"abrir"))</f>
        <v/>
      </c>
      <c r="AN964" s="6" t="n"/>
      <c r="AO964" s="3">
        <f>IF(tblOrdenes[[#This Row],[orden]]="","",tblOrdenes[[#This Row],[orden]]&amp;IF(tblOrdenes[[#This Row],[operacion]]="","0010",tblOrdenes[[#This Row],[operacion]]))</f>
        <v/>
      </c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11" t="n"/>
      <c r="K965" s="3" t="n"/>
      <c r="L965" s="10" t="n"/>
      <c r="M965" s="6" t="n"/>
      <c r="N9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65" s="3">
        <f>IF(tblOrdenes[[#This Row],[fecha_inicio]]="","",YEAR(tblOrdenes[[#This Row],[fecha_inicio]]))</f>
        <v/>
      </c>
      <c r="R965" s="3">
        <f>IF(tblOrdenes[[#This Row],[fecha_inicio]]="","",MONTH(tblOrdenes[[#This Row],[fecha_inicio]]))</f>
        <v/>
      </c>
      <c r="S965" s="3">
        <f>IF(tblOrdenes[[#This Row],[fecha_inicio]]="","",INDEX(lista_dias,WEEKDAY(tblOrdenes[[#This Row],[fecha_inicio]],2)))</f>
        <v/>
      </c>
      <c r="T965" s="3">
        <f>IF(tblOrdenes[[#This Row],[tipo_ot]]="","",_xlfn.XLOOKUP(tblOrdenes[[#This Row],[tipo_ot]],tblTiposOT[codigo],tblTiposOT[clasificacion],"sin_clasificar"))</f>
        <v/>
      </c>
      <c r="U965" s="3">
        <f>IF(tblOrdenes[[#This Row],[centro_costo]]="","",_xlfn.XLOOKUP(tblOrdenes[[#This Row],[centro_costo]],tblCECO[codigo],tblCECO[linea],"(sin catálogo)"))</f>
        <v/>
      </c>
      <c r="V965" s="3">
        <f>IF(tblOrdenes[[#This Row],[centro_costo]]="","",_xlfn.XLOOKUP(tblOrdenes[[#This Row],[centro_costo]],tblCECO[codigo],tblCECO[area],"(sin catálogo)"))</f>
        <v/>
      </c>
      <c r="W965" s="3">
        <f>IF(tblOrdenes[[#This Row],[centro_costo]]="","",_xlfn.XLOOKUP(tblOrdenes[[#This Row],[centro_costo]],tblCECO[codigo],tblCECO[coordinador],"(sin catálogo)"))</f>
        <v/>
      </c>
      <c r="X965" s="3">
        <f>IF(tblOrdenes[[#This Row],[puesto_trabajo]]="","",_xlfn.XLOOKUP(tblOrdenes[[#This Row],[puesto_trabajo]],tblPuestos[codigo],tblPuestos[especialidad],"(sin catálogo)"))</f>
        <v/>
      </c>
      <c r="Y965" s="3">
        <f>IF(tblOrdenes[[#This Row],[cod_actividad]]="","",_xlfn.XLOOKUP(tblOrdenes[[#This Row],[cod_actividad]],tblActividades[codigo],tblActividades[descripcion],"(sin catálogo)"))</f>
        <v/>
      </c>
      <c r="Z965" s="12">
        <f>IF(tblOrdenes[[#This Row],[fecha_inicio]]="","",TODAY()-tblOrdenes[[#This Row],[fecha_inicio]])</f>
        <v/>
      </c>
      <c r="AA965" s="3">
        <f>IF(tblOrdenes[[#This Row],[backlog_dias]]="","",IF(tblOrdenes[[#This Row],[backlog_dias]]&lt;0,"FUTURO",IF(tblOrdenes[[#This Row],[backlog_dias]]&gt;p_dias_backlog_max,"BACKLOG","MES CORRIENTE")))</f>
        <v/>
      </c>
      <c r="AB965" s="3">
        <f>IF(tblOrdenes[[#This Row],[backlog_dias]]="",FALSE,AND(tblOrdenes[[#This Row],[backlog_dias]]&gt;p_dias_backlog_min,tblOrdenes[[#This Row],[backlog_dias]]&lt;=p_dias_backlog_max))</f>
        <v/>
      </c>
      <c r="AC965" s="6" t="n"/>
      <c r="AD9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65" s="10">
        <f>IF(tblOrdenes[[#This Row],[orden]]="","",_xlfn.XLOOKUP(tblOrdenes[[#This Row],[id_operacion]],tblEjecucion[id_operacion],tblEjecucion[precio],0))</f>
        <v/>
      </c>
      <c r="AH965" s="10">
        <f>IF(tblOrdenes[[#This Row],[orden]]="","",MAX(0,_xlfn.XLOOKUP(tblOrdenes[[#This Row],[id_operacion]],tblEjecucion[id_operacion],tblEjecucion[costo_plan_total],0)-tblOrdenes[[#This Row],[costo_servicio]]))</f>
        <v/>
      </c>
      <c r="AI965" s="10">
        <f>IF(tblOrdenes[[#This Row],[orden]]="","",tblOrdenes[[#This Row],[costo_servicio]]+tblOrdenes[[#This Row],[costo_materiales]])</f>
        <v/>
      </c>
      <c r="AJ965" s="6" t="n"/>
      <c r="AK965" s="6" t="n"/>
      <c r="AL965" s="6" t="n"/>
      <c r="AM965" s="3">
        <f>IF(tblOrdenes[[#This Row],[link_checklist]]="","",HYPERLINK(p_ruta_base_checklists&amp;tblOrdenes[[#This Row],[link_checklist]],"abrir"))</f>
        <v/>
      </c>
      <c r="AN965" s="6" t="n"/>
      <c r="AO965" s="3">
        <f>IF(tblOrdenes[[#This Row],[orden]]="","",tblOrdenes[[#This Row],[orden]]&amp;IF(tblOrdenes[[#This Row],[operacion]]="","0010",tblOrdenes[[#This Row],[operacion]]))</f>
        <v/>
      </c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11" t="n"/>
      <c r="K966" s="3" t="n"/>
      <c r="L966" s="10" t="n"/>
      <c r="M966" s="6" t="n"/>
      <c r="N9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66" s="3">
        <f>IF(tblOrdenes[[#This Row],[fecha_inicio]]="","",YEAR(tblOrdenes[[#This Row],[fecha_inicio]]))</f>
        <v/>
      </c>
      <c r="R966" s="3">
        <f>IF(tblOrdenes[[#This Row],[fecha_inicio]]="","",MONTH(tblOrdenes[[#This Row],[fecha_inicio]]))</f>
        <v/>
      </c>
      <c r="S966" s="3">
        <f>IF(tblOrdenes[[#This Row],[fecha_inicio]]="","",INDEX(lista_dias,WEEKDAY(tblOrdenes[[#This Row],[fecha_inicio]],2)))</f>
        <v/>
      </c>
      <c r="T966" s="3">
        <f>IF(tblOrdenes[[#This Row],[tipo_ot]]="","",_xlfn.XLOOKUP(tblOrdenes[[#This Row],[tipo_ot]],tblTiposOT[codigo],tblTiposOT[clasificacion],"sin_clasificar"))</f>
        <v/>
      </c>
      <c r="U966" s="3">
        <f>IF(tblOrdenes[[#This Row],[centro_costo]]="","",_xlfn.XLOOKUP(tblOrdenes[[#This Row],[centro_costo]],tblCECO[codigo],tblCECO[linea],"(sin catálogo)"))</f>
        <v/>
      </c>
      <c r="V966" s="3">
        <f>IF(tblOrdenes[[#This Row],[centro_costo]]="","",_xlfn.XLOOKUP(tblOrdenes[[#This Row],[centro_costo]],tblCECO[codigo],tblCECO[area],"(sin catálogo)"))</f>
        <v/>
      </c>
      <c r="W966" s="3">
        <f>IF(tblOrdenes[[#This Row],[centro_costo]]="","",_xlfn.XLOOKUP(tblOrdenes[[#This Row],[centro_costo]],tblCECO[codigo],tblCECO[coordinador],"(sin catálogo)"))</f>
        <v/>
      </c>
      <c r="X966" s="3">
        <f>IF(tblOrdenes[[#This Row],[puesto_trabajo]]="","",_xlfn.XLOOKUP(tblOrdenes[[#This Row],[puesto_trabajo]],tblPuestos[codigo],tblPuestos[especialidad],"(sin catálogo)"))</f>
        <v/>
      </c>
      <c r="Y966" s="3">
        <f>IF(tblOrdenes[[#This Row],[cod_actividad]]="","",_xlfn.XLOOKUP(tblOrdenes[[#This Row],[cod_actividad]],tblActividades[codigo],tblActividades[descripcion],"(sin catálogo)"))</f>
        <v/>
      </c>
      <c r="Z966" s="12">
        <f>IF(tblOrdenes[[#This Row],[fecha_inicio]]="","",TODAY()-tblOrdenes[[#This Row],[fecha_inicio]])</f>
        <v/>
      </c>
      <c r="AA966" s="3">
        <f>IF(tblOrdenes[[#This Row],[backlog_dias]]="","",IF(tblOrdenes[[#This Row],[backlog_dias]]&lt;0,"FUTURO",IF(tblOrdenes[[#This Row],[backlog_dias]]&gt;p_dias_backlog_max,"BACKLOG","MES CORRIENTE")))</f>
        <v/>
      </c>
      <c r="AB966" s="3">
        <f>IF(tblOrdenes[[#This Row],[backlog_dias]]="",FALSE,AND(tblOrdenes[[#This Row],[backlog_dias]]&gt;p_dias_backlog_min,tblOrdenes[[#This Row],[backlog_dias]]&lt;=p_dias_backlog_max))</f>
        <v/>
      </c>
      <c r="AC966" s="6" t="n"/>
      <c r="AD9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66" s="10">
        <f>IF(tblOrdenes[[#This Row],[orden]]="","",_xlfn.XLOOKUP(tblOrdenes[[#This Row],[id_operacion]],tblEjecucion[id_operacion],tblEjecucion[precio],0))</f>
        <v/>
      </c>
      <c r="AH966" s="10">
        <f>IF(tblOrdenes[[#This Row],[orden]]="","",MAX(0,_xlfn.XLOOKUP(tblOrdenes[[#This Row],[id_operacion]],tblEjecucion[id_operacion],tblEjecucion[costo_plan_total],0)-tblOrdenes[[#This Row],[costo_servicio]]))</f>
        <v/>
      </c>
      <c r="AI966" s="10">
        <f>IF(tblOrdenes[[#This Row],[orden]]="","",tblOrdenes[[#This Row],[costo_servicio]]+tblOrdenes[[#This Row],[costo_materiales]])</f>
        <v/>
      </c>
      <c r="AJ966" s="6" t="n"/>
      <c r="AK966" s="6" t="n"/>
      <c r="AL966" s="6" t="n"/>
      <c r="AM966" s="3">
        <f>IF(tblOrdenes[[#This Row],[link_checklist]]="","",HYPERLINK(p_ruta_base_checklists&amp;tblOrdenes[[#This Row],[link_checklist]],"abrir"))</f>
        <v/>
      </c>
      <c r="AN966" s="6" t="n"/>
      <c r="AO966" s="3">
        <f>IF(tblOrdenes[[#This Row],[orden]]="","",tblOrdenes[[#This Row],[orden]]&amp;IF(tblOrdenes[[#This Row],[operacion]]="","0010",tblOrdenes[[#This Row],[operacion]]))</f>
        <v/>
      </c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11" t="n"/>
      <c r="K967" s="3" t="n"/>
      <c r="L967" s="10" t="n"/>
      <c r="M967" s="6" t="n"/>
      <c r="N9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67" s="3">
        <f>IF(tblOrdenes[[#This Row],[fecha_inicio]]="","",YEAR(tblOrdenes[[#This Row],[fecha_inicio]]))</f>
        <v/>
      </c>
      <c r="R967" s="3">
        <f>IF(tblOrdenes[[#This Row],[fecha_inicio]]="","",MONTH(tblOrdenes[[#This Row],[fecha_inicio]]))</f>
        <v/>
      </c>
      <c r="S967" s="3">
        <f>IF(tblOrdenes[[#This Row],[fecha_inicio]]="","",INDEX(lista_dias,WEEKDAY(tblOrdenes[[#This Row],[fecha_inicio]],2)))</f>
        <v/>
      </c>
      <c r="T967" s="3">
        <f>IF(tblOrdenes[[#This Row],[tipo_ot]]="","",_xlfn.XLOOKUP(tblOrdenes[[#This Row],[tipo_ot]],tblTiposOT[codigo],tblTiposOT[clasificacion],"sin_clasificar"))</f>
        <v/>
      </c>
      <c r="U967" s="3">
        <f>IF(tblOrdenes[[#This Row],[centro_costo]]="","",_xlfn.XLOOKUP(tblOrdenes[[#This Row],[centro_costo]],tblCECO[codigo],tblCECO[linea],"(sin catálogo)"))</f>
        <v/>
      </c>
      <c r="V967" s="3">
        <f>IF(tblOrdenes[[#This Row],[centro_costo]]="","",_xlfn.XLOOKUP(tblOrdenes[[#This Row],[centro_costo]],tblCECO[codigo],tblCECO[area],"(sin catálogo)"))</f>
        <v/>
      </c>
      <c r="W967" s="3">
        <f>IF(tblOrdenes[[#This Row],[centro_costo]]="","",_xlfn.XLOOKUP(tblOrdenes[[#This Row],[centro_costo]],tblCECO[codigo],tblCECO[coordinador],"(sin catálogo)"))</f>
        <v/>
      </c>
      <c r="X967" s="3">
        <f>IF(tblOrdenes[[#This Row],[puesto_trabajo]]="","",_xlfn.XLOOKUP(tblOrdenes[[#This Row],[puesto_trabajo]],tblPuestos[codigo],tblPuestos[especialidad],"(sin catálogo)"))</f>
        <v/>
      </c>
      <c r="Y967" s="3">
        <f>IF(tblOrdenes[[#This Row],[cod_actividad]]="","",_xlfn.XLOOKUP(tblOrdenes[[#This Row],[cod_actividad]],tblActividades[codigo],tblActividades[descripcion],"(sin catálogo)"))</f>
        <v/>
      </c>
      <c r="Z967" s="12">
        <f>IF(tblOrdenes[[#This Row],[fecha_inicio]]="","",TODAY()-tblOrdenes[[#This Row],[fecha_inicio]])</f>
        <v/>
      </c>
      <c r="AA967" s="3">
        <f>IF(tblOrdenes[[#This Row],[backlog_dias]]="","",IF(tblOrdenes[[#This Row],[backlog_dias]]&lt;0,"FUTURO",IF(tblOrdenes[[#This Row],[backlog_dias]]&gt;p_dias_backlog_max,"BACKLOG","MES CORRIENTE")))</f>
        <v/>
      </c>
      <c r="AB967" s="3">
        <f>IF(tblOrdenes[[#This Row],[backlog_dias]]="",FALSE,AND(tblOrdenes[[#This Row],[backlog_dias]]&gt;p_dias_backlog_min,tblOrdenes[[#This Row],[backlog_dias]]&lt;=p_dias_backlog_max))</f>
        <v/>
      </c>
      <c r="AC967" s="6" t="n"/>
      <c r="AD9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67" s="10">
        <f>IF(tblOrdenes[[#This Row],[orden]]="","",_xlfn.XLOOKUP(tblOrdenes[[#This Row],[id_operacion]],tblEjecucion[id_operacion],tblEjecucion[precio],0))</f>
        <v/>
      </c>
      <c r="AH967" s="10">
        <f>IF(tblOrdenes[[#This Row],[orden]]="","",MAX(0,_xlfn.XLOOKUP(tblOrdenes[[#This Row],[id_operacion]],tblEjecucion[id_operacion],tblEjecucion[costo_plan_total],0)-tblOrdenes[[#This Row],[costo_servicio]]))</f>
        <v/>
      </c>
      <c r="AI967" s="10">
        <f>IF(tblOrdenes[[#This Row],[orden]]="","",tblOrdenes[[#This Row],[costo_servicio]]+tblOrdenes[[#This Row],[costo_materiales]])</f>
        <v/>
      </c>
      <c r="AJ967" s="6" t="n"/>
      <c r="AK967" s="6" t="n"/>
      <c r="AL967" s="6" t="n"/>
      <c r="AM967" s="3">
        <f>IF(tblOrdenes[[#This Row],[link_checklist]]="","",HYPERLINK(p_ruta_base_checklists&amp;tblOrdenes[[#This Row],[link_checklist]],"abrir"))</f>
        <v/>
      </c>
      <c r="AN967" s="6" t="n"/>
      <c r="AO967" s="3">
        <f>IF(tblOrdenes[[#This Row],[orden]]="","",tblOrdenes[[#This Row],[orden]]&amp;IF(tblOrdenes[[#This Row],[operacion]]="","0010",tblOrdenes[[#This Row],[operacion]]))</f>
        <v/>
      </c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11" t="n"/>
      <c r="K968" s="3" t="n"/>
      <c r="L968" s="10" t="n"/>
      <c r="M968" s="6" t="n"/>
      <c r="N9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68" s="3">
        <f>IF(tblOrdenes[[#This Row],[fecha_inicio]]="","",YEAR(tblOrdenes[[#This Row],[fecha_inicio]]))</f>
        <v/>
      </c>
      <c r="R968" s="3">
        <f>IF(tblOrdenes[[#This Row],[fecha_inicio]]="","",MONTH(tblOrdenes[[#This Row],[fecha_inicio]]))</f>
        <v/>
      </c>
      <c r="S968" s="3">
        <f>IF(tblOrdenes[[#This Row],[fecha_inicio]]="","",INDEX(lista_dias,WEEKDAY(tblOrdenes[[#This Row],[fecha_inicio]],2)))</f>
        <v/>
      </c>
      <c r="T968" s="3">
        <f>IF(tblOrdenes[[#This Row],[tipo_ot]]="","",_xlfn.XLOOKUP(tblOrdenes[[#This Row],[tipo_ot]],tblTiposOT[codigo],tblTiposOT[clasificacion],"sin_clasificar"))</f>
        <v/>
      </c>
      <c r="U968" s="3">
        <f>IF(tblOrdenes[[#This Row],[centro_costo]]="","",_xlfn.XLOOKUP(tblOrdenes[[#This Row],[centro_costo]],tblCECO[codigo],tblCECO[linea],"(sin catálogo)"))</f>
        <v/>
      </c>
      <c r="V968" s="3">
        <f>IF(tblOrdenes[[#This Row],[centro_costo]]="","",_xlfn.XLOOKUP(tblOrdenes[[#This Row],[centro_costo]],tblCECO[codigo],tblCECO[area],"(sin catálogo)"))</f>
        <v/>
      </c>
      <c r="W968" s="3">
        <f>IF(tblOrdenes[[#This Row],[centro_costo]]="","",_xlfn.XLOOKUP(tblOrdenes[[#This Row],[centro_costo]],tblCECO[codigo],tblCECO[coordinador],"(sin catálogo)"))</f>
        <v/>
      </c>
      <c r="X968" s="3">
        <f>IF(tblOrdenes[[#This Row],[puesto_trabajo]]="","",_xlfn.XLOOKUP(tblOrdenes[[#This Row],[puesto_trabajo]],tblPuestos[codigo],tblPuestos[especialidad],"(sin catálogo)"))</f>
        <v/>
      </c>
      <c r="Y968" s="3">
        <f>IF(tblOrdenes[[#This Row],[cod_actividad]]="","",_xlfn.XLOOKUP(tblOrdenes[[#This Row],[cod_actividad]],tblActividades[codigo],tblActividades[descripcion],"(sin catálogo)"))</f>
        <v/>
      </c>
      <c r="Z968" s="12">
        <f>IF(tblOrdenes[[#This Row],[fecha_inicio]]="","",TODAY()-tblOrdenes[[#This Row],[fecha_inicio]])</f>
        <v/>
      </c>
      <c r="AA968" s="3">
        <f>IF(tblOrdenes[[#This Row],[backlog_dias]]="","",IF(tblOrdenes[[#This Row],[backlog_dias]]&lt;0,"FUTURO",IF(tblOrdenes[[#This Row],[backlog_dias]]&gt;p_dias_backlog_max,"BACKLOG","MES CORRIENTE")))</f>
        <v/>
      </c>
      <c r="AB968" s="3">
        <f>IF(tblOrdenes[[#This Row],[backlog_dias]]="",FALSE,AND(tblOrdenes[[#This Row],[backlog_dias]]&gt;p_dias_backlog_min,tblOrdenes[[#This Row],[backlog_dias]]&lt;=p_dias_backlog_max))</f>
        <v/>
      </c>
      <c r="AC968" s="6" t="n"/>
      <c r="AD9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68" s="10">
        <f>IF(tblOrdenes[[#This Row],[orden]]="","",_xlfn.XLOOKUP(tblOrdenes[[#This Row],[id_operacion]],tblEjecucion[id_operacion],tblEjecucion[precio],0))</f>
        <v/>
      </c>
      <c r="AH968" s="10">
        <f>IF(tblOrdenes[[#This Row],[orden]]="","",MAX(0,_xlfn.XLOOKUP(tblOrdenes[[#This Row],[id_operacion]],tblEjecucion[id_operacion],tblEjecucion[costo_plan_total],0)-tblOrdenes[[#This Row],[costo_servicio]]))</f>
        <v/>
      </c>
      <c r="AI968" s="10">
        <f>IF(tblOrdenes[[#This Row],[orden]]="","",tblOrdenes[[#This Row],[costo_servicio]]+tblOrdenes[[#This Row],[costo_materiales]])</f>
        <v/>
      </c>
      <c r="AJ968" s="6" t="n"/>
      <c r="AK968" s="6" t="n"/>
      <c r="AL968" s="6" t="n"/>
      <c r="AM968" s="3">
        <f>IF(tblOrdenes[[#This Row],[link_checklist]]="","",HYPERLINK(p_ruta_base_checklists&amp;tblOrdenes[[#This Row],[link_checklist]],"abrir"))</f>
        <v/>
      </c>
      <c r="AN968" s="6" t="n"/>
      <c r="AO968" s="3">
        <f>IF(tblOrdenes[[#This Row],[orden]]="","",tblOrdenes[[#This Row],[orden]]&amp;IF(tblOrdenes[[#This Row],[operacion]]="","0010",tblOrdenes[[#This Row],[operacion]]))</f>
        <v/>
      </c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11" t="n"/>
      <c r="K969" s="3" t="n"/>
      <c r="L969" s="10" t="n"/>
      <c r="M969" s="6" t="n"/>
      <c r="N9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69" s="3">
        <f>IF(tblOrdenes[[#This Row],[fecha_inicio]]="","",YEAR(tblOrdenes[[#This Row],[fecha_inicio]]))</f>
        <v/>
      </c>
      <c r="R969" s="3">
        <f>IF(tblOrdenes[[#This Row],[fecha_inicio]]="","",MONTH(tblOrdenes[[#This Row],[fecha_inicio]]))</f>
        <v/>
      </c>
      <c r="S969" s="3">
        <f>IF(tblOrdenes[[#This Row],[fecha_inicio]]="","",INDEX(lista_dias,WEEKDAY(tblOrdenes[[#This Row],[fecha_inicio]],2)))</f>
        <v/>
      </c>
      <c r="T969" s="3">
        <f>IF(tblOrdenes[[#This Row],[tipo_ot]]="","",_xlfn.XLOOKUP(tblOrdenes[[#This Row],[tipo_ot]],tblTiposOT[codigo],tblTiposOT[clasificacion],"sin_clasificar"))</f>
        <v/>
      </c>
      <c r="U969" s="3">
        <f>IF(tblOrdenes[[#This Row],[centro_costo]]="","",_xlfn.XLOOKUP(tblOrdenes[[#This Row],[centro_costo]],tblCECO[codigo],tblCECO[linea],"(sin catálogo)"))</f>
        <v/>
      </c>
      <c r="V969" s="3">
        <f>IF(tblOrdenes[[#This Row],[centro_costo]]="","",_xlfn.XLOOKUP(tblOrdenes[[#This Row],[centro_costo]],tblCECO[codigo],tblCECO[area],"(sin catálogo)"))</f>
        <v/>
      </c>
      <c r="W969" s="3">
        <f>IF(tblOrdenes[[#This Row],[centro_costo]]="","",_xlfn.XLOOKUP(tblOrdenes[[#This Row],[centro_costo]],tblCECO[codigo],tblCECO[coordinador],"(sin catálogo)"))</f>
        <v/>
      </c>
      <c r="X969" s="3">
        <f>IF(tblOrdenes[[#This Row],[puesto_trabajo]]="","",_xlfn.XLOOKUP(tblOrdenes[[#This Row],[puesto_trabajo]],tblPuestos[codigo],tblPuestos[especialidad],"(sin catálogo)"))</f>
        <v/>
      </c>
      <c r="Y969" s="3">
        <f>IF(tblOrdenes[[#This Row],[cod_actividad]]="","",_xlfn.XLOOKUP(tblOrdenes[[#This Row],[cod_actividad]],tblActividades[codigo],tblActividades[descripcion],"(sin catálogo)"))</f>
        <v/>
      </c>
      <c r="Z969" s="12">
        <f>IF(tblOrdenes[[#This Row],[fecha_inicio]]="","",TODAY()-tblOrdenes[[#This Row],[fecha_inicio]])</f>
        <v/>
      </c>
      <c r="AA969" s="3">
        <f>IF(tblOrdenes[[#This Row],[backlog_dias]]="","",IF(tblOrdenes[[#This Row],[backlog_dias]]&lt;0,"FUTURO",IF(tblOrdenes[[#This Row],[backlog_dias]]&gt;p_dias_backlog_max,"BACKLOG","MES CORRIENTE")))</f>
        <v/>
      </c>
      <c r="AB969" s="3">
        <f>IF(tblOrdenes[[#This Row],[backlog_dias]]="",FALSE,AND(tblOrdenes[[#This Row],[backlog_dias]]&gt;p_dias_backlog_min,tblOrdenes[[#This Row],[backlog_dias]]&lt;=p_dias_backlog_max))</f>
        <v/>
      </c>
      <c r="AC969" s="6" t="n"/>
      <c r="AD9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69" s="10">
        <f>IF(tblOrdenes[[#This Row],[orden]]="","",_xlfn.XLOOKUP(tblOrdenes[[#This Row],[id_operacion]],tblEjecucion[id_operacion],tblEjecucion[precio],0))</f>
        <v/>
      </c>
      <c r="AH969" s="10">
        <f>IF(tblOrdenes[[#This Row],[orden]]="","",MAX(0,_xlfn.XLOOKUP(tblOrdenes[[#This Row],[id_operacion]],tblEjecucion[id_operacion],tblEjecucion[costo_plan_total],0)-tblOrdenes[[#This Row],[costo_servicio]]))</f>
        <v/>
      </c>
      <c r="AI969" s="10">
        <f>IF(tblOrdenes[[#This Row],[orden]]="","",tblOrdenes[[#This Row],[costo_servicio]]+tblOrdenes[[#This Row],[costo_materiales]])</f>
        <v/>
      </c>
      <c r="AJ969" s="6" t="n"/>
      <c r="AK969" s="6" t="n"/>
      <c r="AL969" s="6" t="n"/>
      <c r="AM969" s="3">
        <f>IF(tblOrdenes[[#This Row],[link_checklist]]="","",HYPERLINK(p_ruta_base_checklists&amp;tblOrdenes[[#This Row],[link_checklist]],"abrir"))</f>
        <v/>
      </c>
      <c r="AN969" s="6" t="n"/>
      <c r="AO969" s="3">
        <f>IF(tblOrdenes[[#This Row],[orden]]="","",tblOrdenes[[#This Row],[orden]]&amp;IF(tblOrdenes[[#This Row],[operacion]]="","0010",tblOrdenes[[#This Row],[operacion]]))</f>
        <v/>
      </c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11" t="n"/>
      <c r="K970" s="3" t="n"/>
      <c r="L970" s="10" t="n"/>
      <c r="M970" s="6" t="n"/>
      <c r="N9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70" s="3">
        <f>IF(tblOrdenes[[#This Row],[fecha_inicio]]="","",YEAR(tblOrdenes[[#This Row],[fecha_inicio]]))</f>
        <v/>
      </c>
      <c r="R970" s="3">
        <f>IF(tblOrdenes[[#This Row],[fecha_inicio]]="","",MONTH(tblOrdenes[[#This Row],[fecha_inicio]]))</f>
        <v/>
      </c>
      <c r="S970" s="3">
        <f>IF(tblOrdenes[[#This Row],[fecha_inicio]]="","",INDEX(lista_dias,WEEKDAY(tblOrdenes[[#This Row],[fecha_inicio]],2)))</f>
        <v/>
      </c>
      <c r="T970" s="3">
        <f>IF(tblOrdenes[[#This Row],[tipo_ot]]="","",_xlfn.XLOOKUP(tblOrdenes[[#This Row],[tipo_ot]],tblTiposOT[codigo],tblTiposOT[clasificacion],"sin_clasificar"))</f>
        <v/>
      </c>
      <c r="U970" s="3">
        <f>IF(tblOrdenes[[#This Row],[centro_costo]]="","",_xlfn.XLOOKUP(tblOrdenes[[#This Row],[centro_costo]],tblCECO[codigo],tblCECO[linea],"(sin catálogo)"))</f>
        <v/>
      </c>
      <c r="V970" s="3">
        <f>IF(tblOrdenes[[#This Row],[centro_costo]]="","",_xlfn.XLOOKUP(tblOrdenes[[#This Row],[centro_costo]],tblCECO[codigo],tblCECO[area],"(sin catálogo)"))</f>
        <v/>
      </c>
      <c r="W970" s="3">
        <f>IF(tblOrdenes[[#This Row],[centro_costo]]="","",_xlfn.XLOOKUP(tblOrdenes[[#This Row],[centro_costo]],tblCECO[codigo],tblCECO[coordinador],"(sin catálogo)"))</f>
        <v/>
      </c>
      <c r="X970" s="3">
        <f>IF(tblOrdenes[[#This Row],[puesto_trabajo]]="","",_xlfn.XLOOKUP(tblOrdenes[[#This Row],[puesto_trabajo]],tblPuestos[codigo],tblPuestos[especialidad],"(sin catálogo)"))</f>
        <v/>
      </c>
      <c r="Y970" s="3">
        <f>IF(tblOrdenes[[#This Row],[cod_actividad]]="","",_xlfn.XLOOKUP(tblOrdenes[[#This Row],[cod_actividad]],tblActividades[codigo],tblActividades[descripcion],"(sin catálogo)"))</f>
        <v/>
      </c>
      <c r="Z970" s="12">
        <f>IF(tblOrdenes[[#This Row],[fecha_inicio]]="","",TODAY()-tblOrdenes[[#This Row],[fecha_inicio]])</f>
        <v/>
      </c>
      <c r="AA970" s="3">
        <f>IF(tblOrdenes[[#This Row],[backlog_dias]]="","",IF(tblOrdenes[[#This Row],[backlog_dias]]&lt;0,"FUTURO",IF(tblOrdenes[[#This Row],[backlog_dias]]&gt;p_dias_backlog_max,"BACKLOG","MES CORRIENTE")))</f>
        <v/>
      </c>
      <c r="AB970" s="3">
        <f>IF(tblOrdenes[[#This Row],[backlog_dias]]="",FALSE,AND(tblOrdenes[[#This Row],[backlog_dias]]&gt;p_dias_backlog_min,tblOrdenes[[#This Row],[backlog_dias]]&lt;=p_dias_backlog_max))</f>
        <v/>
      </c>
      <c r="AC970" s="6" t="n"/>
      <c r="AD9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70" s="10">
        <f>IF(tblOrdenes[[#This Row],[orden]]="","",_xlfn.XLOOKUP(tblOrdenes[[#This Row],[id_operacion]],tblEjecucion[id_operacion],tblEjecucion[precio],0))</f>
        <v/>
      </c>
      <c r="AH970" s="10">
        <f>IF(tblOrdenes[[#This Row],[orden]]="","",MAX(0,_xlfn.XLOOKUP(tblOrdenes[[#This Row],[id_operacion]],tblEjecucion[id_operacion],tblEjecucion[costo_plan_total],0)-tblOrdenes[[#This Row],[costo_servicio]]))</f>
        <v/>
      </c>
      <c r="AI970" s="10">
        <f>IF(tblOrdenes[[#This Row],[orden]]="","",tblOrdenes[[#This Row],[costo_servicio]]+tblOrdenes[[#This Row],[costo_materiales]])</f>
        <v/>
      </c>
      <c r="AJ970" s="6" t="n"/>
      <c r="AK970" s="6" t="n"/>
      <c r="AL970" s="6" t="n"/>
      <c r="AM970" s="3">
        <f>IF(tblOrdenes[[#This Row],[link_checklist]]="","",HYPERLINK(p_ruta_base_checklists&amp;tblOrdenes[[#This Row],[link_checklist]],"abrir"))</f>
        <v/>
      </c>
      <c r="AN970" s="6" t="n"/>
      <c r="AO970" s="3">
        <f>IF(tblOrdenes[[#This Row],[orden]]="","",tblOrdenes[[#This Row],[orden]]&amp;IF(tblOrdenes[[#This Row],[operacion]]="","0010",tblOrdenes[[#This Row],[operacion]]))</f>
        <v/>
      </c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11" t="n"/>
      <c r="K971" s="3" t="n"/>
      <c r="L971" s="10" t="n"/>
      <c r="M971" s="6" t="n"/>
      <c r="N9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71" s="3">
        <f>IF(tblOrdenes[[#This Row],[fecha_inicio]]="","",YEAR(tblOrdenes[[#This Row],[fecha_inicio]]))</f>
        <v/>
      </c>
      <c r="R971" s="3">
        <f>IF(tblOrdenes[[#This Row],[fecha_inicio]]="","",MONTH(tblOrdenes[[#This Row],[fecha_inicio]]))</f>
        <v/>
      </c>
      <c r="S971" s="3">
        <f>IF(tblOrdenes[[#This Row],[fecha_inicio]]="","",INDEX(lista_dias,WEEKDAY(tblOrdenes[[#This Row],[fecha_inicio]],2)))</f>
        <v/>
      </c>
      <c r="T971" s="3">
        <f>IF(tblOrdenes[[#This Row],[tipo_ot]]="","",_xlfn.XLOOKUP(tblOrdenes[[#This Row],[tipo_ot]],tblTiposOT[codigo],tblTiposOT[clasificacion],"sin_clasificar"))</f>
        <v/>
      </c>
      <c r="U971" s="3">
        <f>IF(tblOrdenes[[#This Row],[centro_costo]]="","",_xlfn.XLOOKUP(tblOrdenes[[#This Row],[centro_costo]],tblCECO[codigo],tblCECO[linea],"(sin catálogo)"))</f>
        <v/>
      </c>
      <c r="V971" s="3">
        <f>IF(tblOrdenes[[#This Row],[centro_costo]]="","",_xlfn.XLOOKUP(tblOrdenes[[#This Row],[centro_costo]],tblCECO[codigo],tblCECO[area],"(sin catálogo)"))</f>
        <v/>
      </c>
      <c r="W971" s="3">
        <f>IF(tblOrdenes[[#This Row],[centro_costo]]="","",_xlfn.XLOOKUP(tblOrdenes[[#This Row],[centro_costo]],tblCECO[codigo],tblCECO[coordinador],"(sin catálogo)"))</f>
        <v/>
      </c>
      <c r="X971" s="3">
        <f>IF(tblOrdenes[[#This Row],[puesto_trabajo]]="","",_xlfn.XLOOKUP(tblOrdenes[[#This Row],[puesto_trabajo]],tblPuestos[codigo],tblPuestos[especialidad],"(sin catálogo)"))</f>
        <v/>
      </c>
      <c r="Y971" s="3">
        <f>IF(tblOrdenes[[#This Row],[cod_actividad]]="","",_xlfn.XLOOKUP(tblOrdenes[[#This Row],[cod_actividad]],tblActividades[codigo],tblActividades[descripcion],"(sin catálogo)"))</f>
        <v/>
      </c>
      <c r="Z971" s="12">
        <f>IF(tblOrdenes[[#This Row],[fecha_inicio]]="","",TODAY()-tblOrdenes[[#This Row],[fecha_inicio]])</f>
        <v/>
      </c>
      <c r="AA971" s="3">
        <f>IF(tblOrdenes[[#This Row],[backlog_dias]]="","",IF(tblOrdenes[[#This Row],[backlog_dias]]&lt;0,"FUTURO",IF(tblOrdenes[[#This Row],[backlog_dias]]&gt;p_dias_backlog_max,"BACKLOG","MES CORRIENTE")))</f>
        <v/>
      </c>
      <c r="AB971" s="3">
        <f>IF(tblOrdenes[[#This Row],[backlog_dias]]="",FALSE,AND(tblOrdenes[[#This Row],[backlog_dias]]&gt;p_dias_backlog_min,tblOrdenes[[#This Row],[backlog_dias]]&lt;=p_dias_backlog_max))</f>
        <v/>
      </c>
      <c r="AC971" s="6" t="n"/>
      <c r="AD9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71" s="10">
        <f>IF(tblOrdenes[[#This Row],[orden]]="","",_xlfn.XLOOKUP(tblOrdenes[[#This Row],[id_operacion]],tblEjecucion[id_operacion],tblEjecucion[precio],0))</f>
        <v/>
      </c>
      <c r="AH971" s="10">
        <f>IF(tblOrdenes[[#This Row],[orden]]="","",MAX(0,_xlfn.XLOOKUP(tblOrdenes[[#This Row],[id_operacion]],tblEjecucion[id_operacion],tblEjecucion[costo_plan_total],0)-tblOrdenes[[#This Row],[costo_servicio]]))</f>
        <v/>
      </c>
      <c r="AI971" s="10">
        <f>IF(tblOrdenes[[#This Row],[orden]]="","",tblOrdenes[[#This Row],[costo_servicio]]+tblOrdenes[[#This Row],[costo_materiales]])</f>
        <v/>
      </c>
      <c r="AJ971" s="6" t="n"/>
      <c r="AK971" s="6" t="n"/>
      <c r="AL971" s="6" t="n"/>
      <c r="AM971" s="3">
        <f>IF(tblOrdenes[[#This Row],[link_checklist]]="","",HYPERLINK(p_ruta_base_checklists&amp;tblOrdenes[[#This Row],[link_checklist]],"abrir"))</f>
        <v/>
      </c>
      <c r="AN971" s="6" t="n"/>
      <c r="AO971" s="3">
        <f>IF(tblOrdenes[[#This Row],[orden]]="","",tblOrdenes[[#This Row],[orden]]&amp;IF(tblOrdenes[[#This Row],[operacion]]="","0010",tblOrdenes[[#This Row],[operacion]]))</f>
        <v/>
      </c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11" t="n"/>
      <c r="K972" s="3" t="n"/>
      <c r="L972" s="10" t="n"/>
      <c r="M972" s="6" t="n"/>
      <c r="N9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72" s="3">
        <f>IF(tblOrdenes[[#This Row],[fecha_inicio]]="","",YEAR(tblOrdenes[[#This Row],[fecha_inicio]]))</f>
        <v/>
      </c>
      <c r="R972" s="3">
        <f>IF(tblOrdenes[[#This Row],[fecha_inicio]]="","",MONTH(tblOrdenes[[#This Row],[fecha_inicio]]))</f>
        <v/>
      </c>
      <c r="S972" s="3">
        <f>IF(tblOrdenes[[#This Row],[fecha_inicio]]="","",INDEX(lista_dias,WEEKDAY(tblOrdenes[[#This Row],[fecha_inicio]],2)))</f>
        <v/>
      </c>
      <c r="T972" s="3">
        <f>IF(tblOrdenes[[#This Row],[tipo_ot]]="","",_xlfn.XLOOKUP(tblOrdenes[[#This Row],[tipo_ot]],tblTiposOT[codigo],tblTiposOT[clasificacion],"sin_clasificar"))</f>
        <v/>
      </c>
      <c r="U972" s="3">
        <f>IF(tblOrdenes[[#This Row],[centro_costo]]="","",_xlfn.XLOOKUP(tblOrdenes[[#This Row],[centro_costo]],tblCECO[codigo],tblCECO[linea],"(sin catálogo)"))</f>
        <v/>
      </c>
      <c r="V972" s="3">
        <f>IF(tblOrdenes[[#This Row],[centro_costo]]="","",_xlfn.XLOOKUP(tblOrdenes[[#This Row],[centro_costo]],tblCECO[codigo],tblCECO[area],"(sin catálogo)"))</f>
        <v/>
      </c>
      <c r="W972" s="3">
        <f>IF(tblOrdenes[[#This Row],[centro_costo]]="","",_xlfn.XLOOKUP(tblOrdenes[[#This Row],[centro_costo]],tblCECO[codigo],tblCECO[coordinador],"(sin catálogo)"))</f>
        <v/>
      </c>
      <c r="X972" s="3">
        <f>IF(tblOrdenes[[#This Row],[puesto_trabajo]]="","",_xlfn.XLOOKUP(tblOrdenes[[#This Row],[puesto_trabajo]],tblPuestos[codigo],tblPuestos[especialidad],"(sin catálogo)"))</f>
        <v/>
      </c>
      <c r="Y972" s="3">
        <f>IF(tblOrdenes[[#This Row],[cod_actividad]]="","",_xlfn.XLOOKUP(tblOrdenes[[#This Row],[cod_actividad]],tblActividades[codigo],tblActividades[descripcion],"(sin catálogo)"))</f>
        <v/>
      </c>
      <c r="Z972" s="12">
        <f>IF(tblOrdenes[[#This Row],[fecha_inicio]]="","",TODAY()-tblOrdenes[[#This Row],[fecha_inicio]])</f>
        <v/>
      </c>
      <c r="AA972" s="3">
        <f>IF(tblOrdenes[[#This Row],[backlog_dias]]="","",IF(tblOrdenes[[#This Row],[backlog_dias]]&lt;0,"FUTURO",IF(tblOrdenes[[#This Row],[backlog_dias]]&gt;p_dias_backlog_max,"BACKLOG","MES CORRIENTE")))</f>
        <v/>
      </c>
      <c r="AB972" s="3">
        <f>IF(tblOrdenes[[#This Row],[backlog_dias]]="",FALSE,AND(tblOrdenes[[#This Row],[backlog_dias]]&gt;p_dias_backlog_min,tblOrdenes[[#This Row],[backlog_dias]]&lt;=p_dias_backlog_max))</f>
        <v/>
      </c>
      <c r="AC972" s="6" t="n"/>
      <c r="AD9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72" s="10">
        <f>IF(tblOrdenes[[#This Row],[orden]]="","",_xlfn.XLOOKUP(tblOrdenes[[#This Row],[id_operacion]],tblEjecucion[id_operacion],tblEjecucion[precio],0))</f>
        <v/>
      </c>
      <c r="AH972" s="10">
        <f>IF(tblOrdenes[[#This Row],[orden]]="","",MAX(0,_xlfn.XLOOKUP(tblOrdenes[[#This Row],[id_operacion]],tblEjecucion[id_operacion],tblEjecucion[costo_plan_total],0)-tblOrdenes[[#This Row],[costo_servicio]]))</f>
        <v/>
      </c>
      <c r="AI972" s="10">
        <f>IF(tblOrdenes[[#This Row],[orden]]="","",tblOrdenes[[#This Row],[costo_servicio]]+tblOrdenes[[#This Row],[costo_materiales]])</f>
        <v/>
      </c>
      <c r="AJ972" s="6" t="n"/>
      <c r="AK972" s="6" t="n"/>
      <c r="AL972" s="6" t="n"/>
      <c r="AM972" s="3">
        <f>IF(tblOrdenes[[#This Row],[link_checklist]]="","",HYPERLINK(p_ruta_base_checklists&amp;tblOrdenes[[#This Row],[link_checklist]],"abrir"))</f>
        <v/>
      </c>
      <c r="AN972" s="6" t="n"/>
      <c r="AO972" s="3">
        <f>IF(tblOrdenes[[#This Row],[orden]]="","",tblOrdenes[[#This Row],[orden]]&amp;IF(tblOrdenes[[#This Row],[operacion]]="","0010",tblOrdenes[[#This Row],[operacion]]))</f>
        <v/>
      </c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11" t="n"/>
      <c r="K973" s="3" t="n"/>
      <c r="L973" s="10" t="n"/>
      <c r="M973" s="6" t="n"/>
      <c r="N9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73" s="3">
        <f>IF(tblOrdenes[[#This Row],[fecha_inicio]]="","",YEAR(tblOrdenes[[#This Row],[fecha_inicio]]))</f>
        <v/>
      </c>
      <c r="R973" s="3">
        <f>IF(tblOrdenes[[#This Row],[fecha_inicio]]="","",MONTH(tblOrdenes[[#This Row],[fecha_inicio]]))</f>
        <v/>
      </c>
      <c r="S973" s="3">
        <f>IF(tblOrdenes[[#This Row],[fecha_inicio]]="","",INDEX(lista_dias,WEEKDAY(tblOrdenes[[#This Row],[fecha_inicio]],2)))</f>
        <v/>
      </c>
      <c r="T973" s="3">
        <f>IF(tblOrdenes[[#This Row],[tipo_ot]]="","",_xlfn.XLOOKUP(tblOrdenes[[#This Row],[tipo_ot]],tblTiposOT[codigo],tblTiposOT[clasificacion],"sin_clasificar"))</f>
        <v/>
      </c>
      <c r="U973" s="3">
        <f>IF(tblOrdenes[[#This Row],[centro_costo]]="","",_xlfn.XLOOKUP(tblOrdenes[[#This Row],[centro_costo]],tblCECO[codigo],tblCECO[linea],"(sin catálogo)"))</f>
        <v/>
      </c>
      <c r="V973" s="3">
        <f>IF(tblOrdenes[[#This Row],[centro_costo]]="","",_xlfn.XLOOKUP(tblOrdenes[[#This Row],[centro_costo]],tblCECO[codigo],tblCECO[area],"(sin catálogo)"))</f>
        <v/>
      </c>
      <c r="W973" s="3">
        <f>IF(tblOrdenes[[#This Row],[centro_costo]]="","",_xlfn.XLOOKUP(tblOrdenes[[#This Row],[centro_costo]],tblCECO[codigo],tblCECO[coordinador],"(sin catálogo)"))</f>
        <v/>
      </c>
      <c r="X973" s="3">
        <f>IF(tblOrdenes[[#This Row],[puesto_trabajo]]="","",_xlfn.XLOOKUP(tblOrdenes[[#This Row],[puesto_trabajo]],tblPuestos[codigo],tblPuestos[especialidad],"(sin catálogo)"))</f>
        <v/>
      </c>
      <c r="Y973" s="3">
        <f>IF(tblOrdenes[[#This Row],[cod_actividad]]="","",_xlfn.XLOOKUP(tblOrdenes[[#This Row],[cod_actividad]],tblActividades[codigo],tblActividades[descripcion],"(sin catálogo)"))</f>
        <v/>
      </c>
      <c r="Z973" s="12">
        <f>IF(tblOrdenes[[#This Row],[fecha_inicio]]="","",TODAY()-tblOrdenes[[#This Row],[fecha_inicio]])</f>
        <v/>
      </c>
      <c r="AA973" s="3">
        <f>IF(tblOrdenes[[#This Row],[backlog_dias]]="","",IF(tblOrdenes[[#This Row],[backlog_dias]]&lt;0,"FUTURO",IF(tblOrdenes[[#This Row],[backlog_dias]]&gt;p_dias_backlog_max,"BACKLOG","MES CORRIENTE")))</f>
        <v/>
      </c>
      <c r="AB973" s="3">
        <f>IF(tblOrdenes[[#This Row],[backlog_dias]]="",FALSE,AND(tblOrdenes[[#This Row],[backlog_dias]]&gt;p_dias_backlog_min,tblOrdenes[[#This Row],[backlog_dias]]&lt;=p_dias_backlog_max))</f>
        <v/>
      </c>
      <c r="AC973" s="6" t="n"/>
      <c r="AD9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73" s="10">
        <f>IF(tblOrdenes[[#This Row],[orden]]="","",_xlfn.XLOOKUP(tblOrdenes[[#This Row],[id_operacion]],tblEjecucion[id_operacion],tblEjecucion[precio],0))</f>
        <v/>
      </c>
      <c r="AH973" s="10">
        <f>IF(tblOrdenes[[#This Row],[orden]]="","",MAX(0,_xlfn.XLOOKUP(tblOrdenes[[#This Row],[id_operacion]],tblEjecucion[id_operacion],tblEjecucion[costo_plan_total],0)-tblOrdenes[[#This Row],[costo_servicio]]))</f>
        <v/>
      </c>
      <c r="AI973" s="10">
        <f>IF(tblOrdenes[[#This Row],[orden]]="","",tblOrdenes[[#This Row],[costo_servicio]]+tblOrdenes[[#This Row],[costo_materiales]])</f>
        <v/>
      </c>
      <c r="AJ973" s="6" t="n"/>
      <c r="AK973" s="6" t="n"/>
      <c r="AL973" s="6" t="n"/>
      <c r="AM973" s="3">
        <f>IF(tblOrdenes[[#This Row],[link_checklist]]="","",HYPERLINK(p_ruta_base_checklists&amp;tblOrdenes[[#This Row],[link_checklist]],"abrir"))</f>
        <v/>
      </c>
      <c r="AN973" s="6" t="n"/>
      <c r="AO973" s="3">
        <f>IF(tblOrdenes[[#This Row],[orden]]="","",tblOrdenes[[#This Row],[orden]]&amp;IF(tblOrdenes[[#This Row],[operacion]]="","0010",tblOrdenes[[#This Row],[operacion]]))</f>
        <v/>
      </c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11" t="n"/>
      <c r="K974" s="3" t="n"/>
      <c r="L974" s="10" t="n"/>
      <c r="M974" s="6" t="n"/>
      <c r="N9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74" s="3">
        <f>IF(tblOrdenes[[#This Row],[fecha_inicio]]="","",YEAR(tblOrdenes[[#This Row],[fecha_inicio]]))</f>
        <v/>
      </c>
      <c r="R974" s="3">
        <f>IF(tblOrdenes[[#This Row],[fecha_inicio]]="","",MONTH(tblOrdenes[[#This Row],[fecha_inicio]]))</f>
        <v/>
      </c>
      <c r="S974" s="3">
        <f>IF(tblOrdenes[[#This Row],[fecha_inicio]]="","",INDEX(lista_dias,WEEKDAY(tblOrdenes[[#This Row],[fecha_inicio]],2)))</f>
        <v/>
      </c>
      <c r="T974" s="3">
        <f>IF(tblOrdenes[[#This Row],[tipo_ot]]="","",_xlfn.XLOOKUP(tblOrdenes[[#This Row],[tipo_ot]],tblTiposOT[codigo],tblTiposOT[clasificacion],"sin_clasificar"))</f>
        <v/>
      </c>
      <c r="U974" s="3">
        <f>IF(tblOrdenes[[#This Row],[centro_costo]]="","",_xlfn.XLOOKUP(tblOrdenes[[#This Row],[centro_costo]],tblCECO[codigo],tblCECO[linea],"(sin catálogo)"))</f>
        <v/>
      </c>
      <c r="V974" s="3">
        <f>IF(tblOrdenes[[#This Row],[centro_costo]]="","",_xlfn.XLOOKUP(tblOrdenes[[#This Row],[centro_costo]],tblCECO[codigo],tblCECO[area],"(sin catálogo)"))</f>
        <v/>
      </c>
      <c r="W974" s="3">
        <f>IF(tblOrdenes[[#This Row],[centro_costo]]="","",_xlfn.XLOOKUP(tblOrdenes[[#This Row],[centro_costo]],tblCECO[codigo],tblCECO[coordinador],"(sin catálogo)"))</f>
        <v/>
      </c>
      <c r="X974" s="3">
        <f>IF(tblOrdenes[[#This Row],[puesto_trabajo]]="","",_xlfn.XLOOKUP(tblOrdenes[[#This Row],[puesto_trabajo]],tblPuestos[codigo],tblPuestos[especialidad],"(sin catálogo)"))</f>
        <v/>
      </c>
      <c r="Y974" s="3">
        <f>IF(tblOrdenes[[#This Row],[cod_actividad]]="","",_xlfn.XLOOKUP(tblOrdenes[[#This Row],[cod_actividad]],tblActividades[codigo],tblActividades[descripcion],"(sin catálogo)"))</f>
        <v/>
      </c>
      <c r="Z974" s="12">
        <f>IF(tblOrdenes[[#This Row],[fecha_inicio]]="","",TODAY()-tblOrdenes[[#This Row],[fecha_inicio]])</f>
        <v/>
      </c>
      <c r="AA974" s="3">
        <f>IF(tblOrdenes[[#This Row],[backlog_dias]]="","",IF(tblOrdenes[[#This Row],[backlog_dias]]&lt;0,"FUTURO",IF(tblOrdenes[[#This Row],[backlog_dias]]&gt;p_dias_backlog_max,"BACKLOG","MES CORRIENTE")))</f>
        <v/>
      </c>
      <c r="AB974" s="3">
        <f>IF(tblOrdenes[[#This Row],[backlog_dias]]="",FALSE,AND(tblOrdenes[[#This Row],[backlog_dias]]&gt;p_dias_backlog_min,tblOrdenes[[#This Row],[backlog_dias]]&lt;=p_dias_backlog_max))</f>
        <v/>
      </c>
      <c r="AC974" s="6" t="n"/>
      <c r="AD9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74" s="10">
        <f>IF(tblOrdenes[[#This Row],[orden]]="","",_xlfn.XLOOKUP(tblOrdenes[[#This Row],[id_operacion]],tblEjecucion[id_operacion],tblEjecucion[precio],0))</f>
        <v/>
      </c>
      <c r="AH974" s="10">
        <f>IF(tblOrdenes[[#This Row],[orden]]="","",MAX(0,_xlfn.XLOOKUP(tblOrdenes[[#This Row],[id_operacion]],tblEjecucion[id_operacion],tblEjecucion[costo_plan_total],0)-tblOrdenes[[#This Row],[costo_servicio]]))</f>
        <v/>
      </c>
      <c r="AI974" s="10">
        <f>IF(tblOrdenes[[#This Row],[orden]]="","",tblOrdenes[[#This Row],[costo_servicio]]+tblOrdenes[[#This Row],[costo_materiales]])</f>
        <v/>
      </c>
      <c r="AJ974" s="6" t="n"/>
      <c r="AK974" s="6" t="n"/>
      <c r="AL974" s="6" t="n"/>
      <c r="AM974" s="3">
        <f>IF(tblOrdenes[[#This Row],[link_checklist]]="","",HYPERLINK(p_ruta_base_checklists&amp;tblOrdenes[[#This Row],[link_checklist]],"abrir"))</f>
        <v/>
      </c>
      <c r="AN974" s="6" t="n"/>
      <c r="AO974" s="3">
        <f>IF(tblOrdenes[[#This Row],[orden]]="","",tblOrdenes[[#This Row],[orden]]&amp;IF(tblOrdenes[[#This Row],[operacion]]="","0010",tblOrdenes[[#This Row],[operacion]]))</f>
        <v/>
      </c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11" t="n"/>
      <c r="K975" s="3" t="n"/>
      <c r="L975" s="10" t="n"/>
      <c r="M975" s="6" t="n"/>
      <c r="N9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75" s="3">
        <f>IF(tblOrdenes[[#This Row],[fecha_inicio]]="","",YEAR(tblOrdenes[[#This Row],[fecha_inicio]]))</f>
        <v/>
      </c>
      <c r="R975" s="3">
        <f>IF(tblOrdenes[[#This Row],[fecha_inicio]]="","",MONTH(tblOrdenes[[#This Row],[fecha_inicio]]))</f>
        <v/>
      </c>
      <c r="S975" s="3">
        <f>IF(tblOrdenes[[#This Row],[fecha_inicio]]="","",INDEX(lista_dias,WEEKDAY(tblOrdenes[[#This Row],[fecha_inicio]],2)))</f>
        <v/>
      </c>
      <c r="T975" s="3">
        <f>IF(tblOrdenes[[#This Row],[tipo_ot]]="","",_xlfn.XLOOKUP(tblOrdenes[[#This Row],[tipo_ot]],tblTiposOT[codigo],tblTiposOT[clasificacion],"sin_clasificar"))</f>
        <v/>
      </c>
      <c r="U975" s="3">
        <f>IF(tblOrdenes[[#This Row],[centro_costo]]="","",_xlfn.XLOOKUP(tblOrdenes[[#This Row],[centro_costo]],tblCECO[codigo],tblCECO[linea],"(sin catálogo)"))</f>
        <v/>
      </c>
      <c r="V975" s="3">
        <f>IF(tblOrdenes[[#This Row],[centro_costo]]="","",_xlfn.XLOOKUP(tblOrdenes[[#This Row],[centro_costo]],tblCECO[codigo],tblCECO[area],"(sin catálogo)"))</f>
        <v/>
      </c>
      <c r="W975" s="3">
        <f>IF(tblOrdenes[[#This Row],[centro_costo]]="","",_xlfn.XLOOKUP(tblOrdenes[[#This Row],[centro_costo]],tblCECO[codigo],tblCECO[coordinador],"(sin catálogo)"))</f>
        <v/>
      </c>
      <c r="X975" s="3">
        <f>IF(tblOrdenes[[#This Row],[puesto_trabajo]]="","",_xlfn.XLOOKUP(tblOrdenes[[#This Row],[puesto_trabajo]],tblPuestos[codigo],tblPuestos[especialidad],"(sin catálogo)"))</f>
        <v/>
      </c>
      <c r="Y975" s="3">
        <f>IF(tblOrdenes[[#This Row],[cod_actividad]]="","",_xlfn.XLOOKUP(tblOrdenes[[#This Row],[cod_actividad]],tblActividades[codigo],tblActividades[descripcion],"(sin catálogo)"))</f>
        <v/>
      </c>
      <c r="Z975" s="12">
        <f>IF(tblOrdenes[[#This Row],[fecha_inicio]]="","",TODAY()-tblOrdenes[[#This Row],[fecha_inicio]])</f>
        <v/>
      </c>
      <c r="AA975" s="3">
        <f>IF(tblOrdenes[[#This Row],[backlog_dias]]="","",IF(tblOrdenes[[#This Row],[backlog_dias]]&lt;0,"FUTURO",IF(tblOrdenes[[#This Row],[backlog_dias]]&gt;p_dias_backlog_max,"BACKLOG","MES CORRIENTE")))</f>
        <v/>
      </c>
      <c r="AB975" s="3">
        <f>IF(tblOrdenes[[#This Row],[backlog_dias]]="",FALSE,AND(tblOrdenes[[#This Row],[backlog_dias]]&gt;p_dias_backlog_min,tblOrdenes[[#This Row],[backlog_dias]]&lt;=p_dias_backlog_max))</f>
        <v/>
      </c>
      <c r="AC975" s="6" t="n"/>
      <c r="AD9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75" s="10">
        <f>IF(tblOrdenes[[#This Row],[orden]]="","",_xlfn.XLOOKUP(tblOrdenes[[#This Row],[id_operacion]],tblEjecucion[id_operacion],tblEjecucion[precio],0))</f>
        <v/>
      </c>
      <c r="AH975" s="10">
        <f>IF(tblOrdenes[[#This Row],[orden]]="","",MAX(0,_xlfn.XLOOKUP(tblOrdenes[[#This Row],[id_operacion]],tblEjecucion[id_operacion],tblEjecucion[costo_plan_total],0)-tblOrdenes[[#This Row],[costo_servicio]]))</f>
        <v/>
      </c>
      <c r="AI975" s="10">
        <f>IF(tblOrdenes[[#This Row],[orden]]="","",tblOrdenes[[#This Row],[costo_servicio]]+tblOrdenes[[#This Row],[costo_materiales]])</f>
        <v/>
      </c>
      <c r="AJ975" s="6" t="n"/>
      <c r="AK975" s="6" t="n"/>
      <c r="AL975" s="6" t="n"/>
      <c r="AM975" s="3">
        <f>IF(tblOrdenes[[#This Row],[link_checklist]]="","",HYPERLINK(p_ruta_base_checklists&amp;tblOrdenes[[#This Row],[link_checklist]],"abrir"))</f>
        <v/>
      </c>
      <c r="AN975" s="6" t="n"/>
      <c r="AO975" s="3">
        <f>IF(tblOrdenes[[#This Row],[orden]]="","",tblOrdenes[[#This Row],[orden]]&amp;IF(tblOrdenes[[#This Row],[operacion]]="","0010",tblOrdenes[[#This Row],[operacion]]))</f>
        <v/>
      </c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11" t="n"/>
      <c r="K976" s="3" t="n"/>
      <c r="L976" s="10" t="n"/>
      <c r="M976" s="6" t="n"/>
      <c r="N9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76" s="3">
        <f>IF(tblOrdenes[[#This Row],[fecha_inicio]]="","",YEAR(tblOrdenes[[#This Row],[fecha_inicio]]))</f>
        <v/>
      </c>
      <c r="R976" s="3">
        <f>IF(tblOrdenes[[#This Row],[fecha_inicio]]="","",MONTH(tblOrdenes[[#This Row],[fecha_inicio]]))</f>
        <v/>
      </c>
      <c r="S976" s="3">
        <f>IF(tblOrdenes[[#This Row],[fecha_inicio]]="","",INDEX(lista_dias,WEEKDAY(tblOrdenes[[#This Row],[fecha_inicio]],2)))</f>
        <v/>
      </c>
      <c r="T976" s="3">
        <f>IF(tblOrdenes[[#This Row],[tipo_ot]]="","",_xlfn.XLOOKUP(tblOrdenes[[#This Row],[tipo_ot]],tblTiposOT[codigo],tblTiposOT[clasificacion],"sin_clasificar"))</f>
        <v/>
      </c>
      <c r="U976" s="3">
        <f>IF(tblOrdenes[[#This Row],[centro_costo]]="","",_xlfn.XLOOKUP(tblOrdenes[[#This Row],[centro_costo]],tblCECO[codigo],tblCECO[linea],"(sin catálogo)"))</f>
        <v/>
      </c>
      <c r="V976" s="3">
        <f>IF(tblOrdenes[[#This Row],[centro_costo]]="","",_xlfn.XLOOKUP(tblOrdenes[[#This Row],[centro_costo]],tblCECO[codigo],tblCECO[area],"(sin catálogo)"))</f>
        <v/>
      </c>
      <c r="W976" s="3">
        <f>IF(tblOrdenes[[#This Row],[centro_costo]]="","",_xlfn.XLOOKUP(tblOrdenes[[#This Row],[centro_costo]],tblCECO[codigo],tblCECO[coordinador],"(sin catálogo)"))</f>
        <v/>
      </c>
      <c r="X976" s="3">
        <f>IF(tblOrdenes[[#This Row],[puesto_trabajo]]="","",_xlfn.XLOOKUP(tblOrdenes[[#This Row],[puesto_trabajo]],tblPuestos[codigo],tblPuestos[especialidad],"(sin catálogo)"))</f>
        <v/>
      </c>
      <c r="Y976" s="3">
        <f>IF(tblOrdenes[[#This Row],[cod_actividad]]="","",_xlfn.XLOOKUP(tblOrdenes[[#This Row],[cod_actividad]],tblActividades[codigo],tblActividades[descripcion],"(sin catálogo)"))</f>
        <v/>
      </c>
      <c r="Z976" s="12">
        <f>IF(tblOrdenes[[#This Row],[fecha_inicio]]="","",TODAY()-tblOrdenes[[#This Row],[fecha_inicio]])</f>
        <v/>
      </c>
      <c r="AA976" s="3">
        <f>IF(tblOrdenes[[#This Row],[backlog_dias]]="","",IF(tblOrdenes[[#This Row],[backlog_dias]]&lt;0,"FUTURO",IF(tblOrdenes[[#This Row],[backlog_dias]]&gt;p_dias_backlog_max,"BACKLOG","MES CORRIENTE")))</f>
        <v/>
      </c>
      <c r="AB976" s="3">
        <f>IF(tblOrdenes[[#This Row],[backlog_dias]]="",FALSE,AND(tblOrdenes[[#This Row],[backlog_dias]]&gt;p_dias_backlog_min,tblOrdenes[[#This Row],[backlog_dias]]&lt;=p_dias_backlog_max))</f>
        <v/>
      </c>
      <c r="AC976" s="6" t="n"/>
      <c r="AD9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76" s="10">
        <f>IF(tblOrdenes[[#This Row],[orden]]="","",_xlfn.XLOOKUP(tblOrdenes[[#This Row],[id_operacion]],tblEjecucion[id_operacion],tblEjecucion[precio],0))</f>
        <v/>
      </c>
      <c r="AH976" s="10">
        <f>IF(tblOrdenes[[#This Row],[orden]]="","",MAX(0,_xlfn.XLOOKUP(tblOrdenes[[#This Row],[id_operacion]],tblEjecucion[id_operacion],tblEjecucion[costo_plan_total],0)-tblOrdenes[[#This Row],[costo_servicio]]))</f>
        <v/>
      </c>
      <c r="AI976" s="10">
        <f>IF(tblOrdenes[[#This Row],[orden]]="","",tblOrdenes[[#This Row],[costo_servicio]]+tblOrdenes[[#This Row],[costo_materiales]])</f>
        <v/>
      </c>
      <c r="AJ976" s="6" t="n"/>
      <c r="AK976" s="6" t="n"/>
      <c r="AL976" s="6" t="n"/>
      <c r="AM976" s="3">
        <f>IF(tblOrdenes[[#This Row],[link_checklist]]="","",HYPERLINK(p_ruta_base_checklists&amp;tblOrdenes[[#This Row],[link_checklist]],"abrir"))</f>
        <v/>
      </c>
      <c r="AN976" s="6" t="n"/>
      <c r="AO976" s="3">
        <f>IF(tblOrdenes[[#This Row],[orden]]="","",tblOrdenes[[#This Row],[orden]]&amp;IF(tblOrdenes[[#This Row],[operacion]]="","0010",tblOrdenes[[#This Row],[operacion]]))</f>
        <v/>
      </c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11" t="n"/>
      <c r="K977" s="3" t="n"/>
      <c r="L977" s="10" t="n"/>
      <c r="M977" s="6" t="n"/>
      <c r="N9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77" s="3">
        <f>IF(tblOrdenes[[#This Row],[fecha_inicio]]="","",YEAR(tblOrdenes[[#This Row],[fecha_inicio]]))</f>
        <v/>
      </c>
      <c r="R977" s="3">
        <f>IF(tblOrdenes[[#This Row],[fecha_inicio]]="","",MONTH(tblOrdenes[[#This Row],[fecha_inicio]]))</f>
        <v/>
      </c>
      <c r="S977" s="3">
        <f>IF(tblOrdenes[[#This Row],[fecha_inicio]]="","",INDEX(lista_dias,WEEKDAY(tblOrdenes[[#This Row],[fecha_inicio]],2)))</f>
        <v/>
      </c>
      <c r="T977" s="3">
        <f>IF(tblOrdenes[[#This Row],[tipo_ot]]="","",_xlfn.XLOOKUP(tblOrdenes[[#This Row],[tipo_ot]],tblTiposOT[codigo],tblTiposOT[clasificacion],"sin_clasificar"))</f>
        <v/>
      </c>
      <c r="U977" s="3">
        <f>IF(tblOrdenes[[#This Row],[centro_costo]]="","",_xlfn.XLOOKUP(tblOrdenes[[#This Row],[centro_costo]],tblCECO[codigo],tblCECO[linea],"(sin catálogo)"))</f>
        <v/>
      </c>
      <c r="V977" s="3">
        <f>IF(tblOrdenes[[#This Row],[centro_costo]]="","",_xlfn.XLOOKUP(tblOrdenes[[#This Row],[centro_costo]],tblCECO[codigo],tblCECO[area],"(sin catálogo)"))</f>
        <v/>
      </c>
      <c r="W977" s="3">
        <f>IF(tblOrdenes[[#This Row],[centro_costo]]="","",_xlfn.XLOOKUP(tblOrdenes[[#This Row],[centro_costo]],tblCECO[codigo],tblCECO[coordinador],"(sin catálogo)"))</f>
        <v/>
      </c>
      <c r="X977" s="3">
        <f>IF(tblOrdenes[[#This Row],[puesto_trabajo]]="","",_xlfn.XLOOKUP(tblOrdenes[[#This Row],[puesto_trabajo]],tblPuestos[codigo],tblPuestos[especialidad],"(sin catálogo)"))</f>
        <v/>
      </c>
      <c r="Y977" s="3">
        <f>IF(tblOrdenes[[#This Row],[cod_actividad]]="","",_xlfn.XLOOKUP(tblOrdenes[[#This Row],[cod_actividad]],tblActividades[codigo],tblActividades[descripcion],"(sin catálogo)"))</f>
        <v/>
      </c>
      <c r="Z977" s="12">
        <f>IF(tblOrdenes[[#This Row],[fecha_inicio]]="","",TODAY()-tblOrdenes[[#This Row],[fecha_inicio]])</f>
        <v/>
      </c>
      <c r="AA977" s="3">
        <f>IF(tblOrdenes[[#This Row],[backlog_dias]]="","",IF(tblOrdenes[[#This Row],[backlog_dias]]&lt;0,"FUTURO",IF(tblOrdenes[[#This Row],[backlog_dias]]&gt;p_dias_backlog_max,"BACKLOG","MES CORRIENTE")))</f>
        <v/>
      </c>
      <c r="AB977" s="3">
        <f>IF(tblOrdenes[[#This Row],[backlog_dias]]="",FALSE,AND(tblOrdenes[[#This Row],[backlog_dias]]&gt;p_dias_backlog_min,tblOrdenes[[#This Row],[backlog_dias]]&lt;=p_dias_backlog_max))</f>
        <v/>
      </c>
      <c r="AC977" s="6" t="n"/>
      <c r="AD9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77" s="10">
        <f>IF(tblOrdenes[[#This Row],[orden]]="","",_xlfn.XLOOKUP(tblOrdenes[[#This Row],[id_operacion]],tblEjecucion[id_operacion],tblEjecucion[precio],0))</f>
        <v/>
      </c>
      <c r="AH977" s="10">
        <f>IF(tblOrdenes[[#This Row],[orden]]="","",MAX(0,_xlfn.XLOOKUP(tblOrdenes[[#This Row],[id_operacion]],tblEjecucion[id_operacion],tblEjecucion[costo_plan_total],0)-tblOrdenes[[#This Row],[costo_servicio]]))</f>
        <v/>
      </c>
      <c r="AI977" s="10">
        <f>IF(tblOrdenes[[#This Row],[orden]]="","",tblOrdenes[[#This Row],[costo_servicio]]+tblOrdenes[[#This Row],[costo_materiales]])</f>
        <v/>
      </c>
      <c r="AJ977" s="6" t="n"/>
      <c r="AK977" s="6" t="n"/>
      <c r="AL977" s="6" t="n"/>
      <c r="AM977" s="3">
        <f>IF(tblOrdenes[[#This Row],[link_checklist]]="","",HYPERLINK(p_ruta_base_checklists&amp;tblOrdenes[[#This Row],[link_checklist]],"abrir"))</f>
        <v/>
      </c>
      <c r="AN977" s="6" t="n"/>
      <c r="AO977" s="3">
        <f>IF(tblOrdenes[[#This Row],[orden]]="","",tblOrdenes[[#This Row],[orden]]&amp;IF(tblOrdenes[[#This Row],[operacion]]="","0010",tblOrdenes[[#This Row],[operacion]]))</f>
        <v/>
      </c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11" t="n"/>
      <c r="K978" s="3" t="n"/>
      <c r="L978" s="10" t="n"/>
      <c r="M978" s="6" t="n"/>
      <c r="N9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78" s="3">
        <f>IF(tblOrdenes[[#This Row],[fecha_inicio]]="","",YEAR(tblOrdenes[[#This Row],[fecha_inicio]]))</f>
        <v/>
      </c>
      <c r="R978" s="3">
        <f>IF(tblOrdenes[[#This Row],[fecha_inicio]]="","",MONTH(tblOrdenes[[#This Row],[fecha_inicio]]))</f>
        <v/>
      </c>
      <c r="S978" s="3">
        <f>IF(tblOrdenes[[#This Row],[fecha_inicio]]="","",INDEX(lista_dias,WEEKDAY(tblOrdenes[[#This Row],[fecha_inicio]],2)))</f>
        <v/>
      </c>
      <c r="T978" s="3">
        <f>IF(tblOrdenes[[#This Row],[tipo_ot]]="","",_xlfn.XLOOKUP(tblOrdenes[[#This Row],[tipo_ot]],tblTiposOT[codigo],tblTiposOT[clasificacion],"sin_clasificar"))</f>
        <v/>
      </c>
      <c r="U978" s="3">
        <f>IF(tblOrdenes[[#This Row],[centro_costo]]="","",_xlfn.XLOOKUP(tblOrdenes[[#This Row],[centro_costo]],tblCECO[codigo],tblCECO[linea],"(sin catálogo)"))</f>
        <v/>
      </c>
      <c r="V978" s="3">
        <f>IF(tblOrdenes[[#This Row],[centro_costo]]="","",_xlfn.XLOOKUP(tblOrdenes[[#This Row],[centro_costo]],tblCECO[codigo],tblCECO[area],"(sin catálogo)"))</f>
        <v/>
      </c>
      <c r="W978" s="3">
        <f>IF(tblOrdenes[[#This Row],[centro_costo]]="","",_xlfn.XLOOKUP(tblOrdenes[[#This Row],[centro_costo]],tblCECO[codigo],tblCECO[coordinador],"(sin catálogo)"))</f>
        <v/>
      </c>
      <c r="X978" s="3">
        <f>IF(tblOrdenes[[#This Row],[puesto_trabajo]]="","",_xlfn.XLOOKUP(tblOrdenes[[#This Row],[puesto_trabajo]],tblPuestos[codigo],tblPuestos[especialidad],"(sin catálogo)"))</f>
        <v/>
      </c>
      <c r="Y978" s="3">
        <f>IF(tblOrdenes[[#This Row],[cod_actividad]]="","",_xlfn.XLOOKUP(tblOrdenes[[#This Row],[cod_actividad]],tblActividades[codigo],tblActividades[descripcion],"(sin catálogo)"))</f>
        <v/>
      </c>
      <c r="Z978" s="12">
        <f>IF(tblOrdenes[[#This Row],[fecha_inicio]]="","",TODAY()-tblOrdenes[[#This Row],[fecha_inicio]])</f>
        <v/>
      </c>
      <c r="AA978" s="3">
        <f>IF(tblOrdenes[[#This Row],[backlog_dias]]="","",IF(tblOrdenes[[#This Row],[backlog_dias]]&lt;0,"FUTURO",IF(tblOrdenes[[#This Row],[backlog_dias]]&gt;p_dias_backlog_max,"BACKLOG","MES CORRIENTE")))</f>
        <v/>
      </c>
      <c r="AB978" s="3">
        <f>IF(tblOrdenes[[#This Row],[backlog_dias]]="",FALSE,AND(tblOrdenes[[#This Row],[backlog_dias]]&gt;p_dias_backlog_min,tblOrdenes[[#This Row],[backlog_dias]]&lt;=p_dias_backlog_max))</f>
        <v/>
      </c>
      <c r="AC978" s="6" t="n"/>
      <c r="AD9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78" s="10">
        <f>IF(tblOrdenes[[#This Row],[orden]]="","",_xlfn.XLOOKUP(tblOrdenes[[#This Row],[id_operacion]],tblEjecucion[id_operacion],tblEjecucion[precio],0))</f>
        <v/>
      </c>
      <c r="AH978" s="10">
        <f>IF(tblOrdenes[[#This Row],[orden]]="","",MAX(0,_xlfn.XLOOKUP(tblOrdenes[[#This Row],[id_operacion]],tblEjecucion[id_operacion],tblEjecucion[costo_plan_total],0)-tblOrdenes[[#This Row],[costo_servicio]]))</f>
        <v/>
      </c>
      <c r="AI978" s="10">
        <f>IF(tblOrdenes[[#This Row],[orden]]="","",tblOrdenes[[#This Row],[costo_servicio]]+tblOrdenes[[#This Row],[costo_materiales]])</f>
        <v/>
      </c>
      <c r="AJ978" s="6" t="n"/>
      <c r="AK978" s="6" t="n"/>
      <c r="AL978" s="6" t="n"/>
      <c r="AM978" s="3">
        <f>IF(tblOrdenes[[#This Row],[link_checklist]]="","",HYPERLINK(p_ruta_base_checklists&amp;tblOrdenes[[#This Row],[link_checklist]],"abrir"))</f>
        <v/>
      </c>
      <c r="AN978" s="6" t="n"/>
      <c r="AO978" s="3">
        <f>IF(tblOrdenes[[#This Row],[orden]]="","",tblOrdenes[[#This Row],[orden]]&amp;IF(tblOrdenes[[#This Row],[operacion]]="","0010",tblOrdenes[[#This Row],[operacion]]))</f>
        <v/>
      </c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11" t="n"/>
      <c r="K979" s="3" t="n"/>
      <c r="L979" s="10" t="n"/>
      <c r="M979" s="6" t="n"/>
      <c r="N9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79" s="3">
        <f>IF(tblOrdenes[[#This Row],[fecha_inicio]]="","",YEAR(tblOrdenes[[#This Row],[fecha_inicio]]))</f>
        <v/>
      </c>
      <c r="R979" s="3">
        <f>IF(tblOrdenes[[#This Row],[fecha_inicio]]="","",MONTH(tblOrdenes[[#This Row],[fecha_inicio]]))</f>
        <v/>
      </c>
      <c r="S979" s="3">
        <f>IF(tblOrdenes[[#This Row],[fecha_inicio]]="","",INDEX(lista_dias,WEEKDAY(tblOrdenes[[#This Row],[fecha_inicio]],2)))</f>
        <v/>
      </c>
      <c r="T979" s="3">
        <f>IF(tblOrdenes[[#This Row],[tipo_ot]]="","",_xlfn.XLOOKUP(tblOrdenes[[#This Row],[tipo_ot]],tblTiposOT[codigo],tblTiposOT[clasificacion],"sin_clasificar"))</f>
        <v/>
      </c>
      <c r="U979" s="3">
        <f>IF(tblOrdenes[[#This Row],[centro_costo]]="","",_xlfn.XLOOKUP(tblOrdenes[[#This Row],[centro_costo]],tblCECO[codigo],tblCECO[linea],"(sin catálogo)"))</f>
        <v/>
      </c>
      <c r="V979" s="3">
        <f>IF(tblOrdenes[[#This Row],[centro_costo]]="","",_xlfn.XLOOKUP(tblOrdenes[[#This Row],[centro_costo]],tblCECO[codigo],tblCECO[area],"(sin catálogo)"))</f>
        <v/>
      </c>
      <c r="W979" s="3">
        <f>IF(tblOrdenes[[#This Row],[centro_costo]]="","",_xlfn.XLOOKUP(tblOrdenes[[#This Row],[centro_costo]],tblCECO[codigo],tblCECO[coordinador],"(sin catálogo)"))</f>
        <v/>
      </c>
      <c r="X979" s="3">
        <f>IF(tblOrdenes[[#This Row],[puesto_trabajo]]="","",_xlfn.XLOOKUP(tblOrdenes[[#This Row],[puesto_trabajo]],tblPuestos[codigo],tblPuestos[especialidad],"(sin catálogo)"))</f>
        <v/>
      </c>
      <c r="Y979" s="3">
        <f>IF(tblOrdenes[[#This Row],[cod_actividad]]="","",_xlfn.XLOOKUP(tblOrdenes[[#This Row],[cod_actividad]],tblActividades[codigo],tblActividades[descripcion],"(sin catálogo)"))</f>
        <v/>
      </c>
      <c r="Z979" s="12">
        <f>IF(tblOrdenes[[#This Row],[fecha_inicio]]="","",TODAY()-tblOrdenes[[#This Row],[fecha_inicio]])</f>
        <v/>
      </c>
      <c r="AA979" s="3">
        <f>IF(tblOrdenes[[#This Row],[backlog_dias]]="","",IF(tblOrdenes[[#This Row],[backlog_dias]]&lt;0,"FUTURO",IF(tblOrdenes[[#This Row],[backlog_dias]]&gt;p_dias_backlog_max,"BACKLOG","MES CORRIENTE")))</f>
        <v/>
      </c>
      <c r="AB979" s="3">
        <f>IF(tblOrdenes[[#This Row],[backlog_dias]]="",FALSE,AND(tblOrdenes[[#This Row],[backlog_dias]]&gt;p_dias_backlog_min,tblOrdenes[[#This Row],[backlog_dias]]&lt;=p_dias_backlog_max))</f>
        <v/>
      </c>
      <c r="AC979" s="6" t="n"/>
      <c r="AD9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79" s="10">
        <f>IF(tblOrdenes[[#This Row],[orden]]="","",_xlfn.XLOOKUP(tblOrdenes[[#This Row],[id_operacion]],tblEjecucion[id_operacion],tblEjecucion[precio],0))</f>
        <v/>
      </c>
      <c r="AH979" s="10">
        <f>IF(tblOrdenes[[#This Row],[orden]]="","",MAX(0,_xlfn.XLOOKUP(tblOrdenes[[#This Row],[id_operacion]],tblEjecucion[id_operacion],tblEjecucion[costo_plan_total],0)-tblOrdenes[[#This Row],[costo_servicio]]))</f>
        <v/>
      </c>
      <c r="AI979" s="10">
        <f>IF(tblOrdenes[[#This Row],[orden]]="","",tblOrdenes[[#This Row],[costo_servicio]]+tblOrdenes[[#This Row],[costo_materiales]])</f>
        <v/>
      </c>
      <c r="AJ979" s="6" t="n"/>
      <c r="AK979" s="6" t="n"/>
      <c r="AL979" s="6" t="n"/>
      <c r="AM979" s="3">
        <f>IF(tblOrdenes[[#This Row],[link_checklist]]="","",HYPERLINK(p_ruta_base_checklists&amp;tblOrdenes[[#This Row],[link_checklist]],"abrir"))</f>
        <v/>
      </c>
      <c r="AN979" s="6" t="n"/>
      <c r="AO979" s="3">
        <f>IF(tblOrdenes[[#This Row],[orden]]="","",tblOrdenes[[#This Row],[orden]]&amp;IF(tblOrdenes[[#This Row],[operacion]]="","0010",tblOrdenes[[#This Row],[operacion]]))</f>
        <v/>
      </c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11" t="n"/>
      <c r="K980" s="3" t="n"/>
      <c r="L980" s="10" t="n"/>
      <c r="M980" s="6" t="n"/>
      <c r="N9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80" s="3">
        <f>IF(tblOrdenes[[#This Row],[fecha_inicio]]="","",YEAR(tblOrdenes[[#This Row],[fecha_inicio]]))</f>
        <v/>
      </c>
      <c r="R980" s="3">
        <f>IF(tblOrdenes[[#This Row],[fecha_inicio]]="","",MONTH(tblOrdenes[[#This Row],[fecha_inicio]]))</f>
        <v/>
      </c>
      <c r="S980" s="3">
        <f>IF(tblOrdenes[[#This Row],[fecha_inicio]]="","",INDEX(lista_dias,WEEKDAY(tblOrdenes[[#This Row],[fecha_inicio]],2)))</f>
        <v/>
      </c>
      <c r="T980" s="3">
        <f>IF(tblOrdenes[[#This Row],[tipo_ot]]="","",_xlfn.XLOOKUP(tblOrdenes[[#This Row],[tipo_ot]],tblTiposOT[codigo],tblTiposOT[clasificacion],"sin_clasificar"))</f>
        <v/>
      </c>
      <c r="U980" s="3">
        <f>IF(tblOrdenes[[#This Row],[centro_costo]]="","",_xlfn.XLOOKUP(tblOrdenes[[#This Row],[centro_costo]],tblCECO[codigo],tblCECO[linea],"(sin catálogo)"))</f>
        <v/>
      </c>
      <c r="V980" s="3">
        <f>IF(tblOrdenes[[#This Row],[centro_costo]]="","",_xlfn.XLOOKUP(tblOrdenes[[#This Row],[centro_costo]],tblCECO[codigo],tblCECO[area],"(sin catálogo)"))</f>
        <v/>
      </c>
      <c r="W980" s="3">
        <f>IF(tblOrdenes[[#This Row],[centro_costo]]="","",_xlfn.XLOOKUP(tblOrdenes[[#This Row],[centro_costo]],tblCECO[codigo],tblCECO[coordinador],"(sin catálogo)"))</f>
        <v/>
      </c>
      <c r="X980" s="3">
        <f>IF(tblOrdenes[[#This Row],[puesto_trabajo]]="","",_xlfn.XLOOKUP(tblOrdenes[[#This Row],[puesto_trabajo]],tblPuestos[codigo],tblPuestos[especialidad],"(sin catálogo)"))</f>
        <v/>
      </c>
      <c r="Y980" s="3">
        <f>IF(tblOrdenes[[#This Row],[cod_actividad]]="","",_xlfn.XLOOKUP(tblOrdenes[[#This Row],[cod_actividad]],tblActividades[codigo],tblActividades[descripcion],"(sin catálogo)"))</f>
        <v/>
      </c>
      <c r="Z980" s="12">
        <f>IF(tblOrdenes[[#This Row],[fecha_inicio]]="","",TODAY()-tblOrdenes[[#This Row],[fecha_inicio]])</f>
        <v/>
      </c>
      <c r="AA980" s="3">
        <f>IF(tblOrdenes[[#This Row],[backlog_dias]]="","",IF(tblOrdenes[[#This Row],[backlog_dias]]&lt;0,"FUTURO",IF(tblOrdenes[[#This Row],[backlog_dias]]&gt;p_dias_backlog_max,"BACKLOG","MES CORRIENTE")))</f>
        <v/>
      </c>
      <c r="AB980" s="3">
        <f>IF(tblOrdenes[[#This Row],[backlog_dias]]="",FALSE,AND(tblOrdenes[[#This Row],[backlog_dias]]&gt;p_dias_backlog_min,tblOrdenes[[#This Row],[backlog_dias]]&lt;=p_dias_backlog_max))</f>
        <v/>
      </c>
      <c r="AC980" s="6" t="n"/>
      <c r="AD9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80" s="10">
        <f>IF(tblOrdenes[[#This Row],[orden]]="","",_xlfn.XLOOKUP(tblOrdenes[[#This Row],[id_operacion]],tblEjecucion[id_operacion],tblEjecucion[precio],0))</f>
        <v/>
      </c>
      <c r="AH980" s="10">
        <f>IF(tblOrdenes[[#This Row],[orden]]="","",MAX(0,_xlfn.XLOOKUP(tblOrdenes[[#This Row],[id_operacion]],tblEjecucion[id_operacion],tblEjecucion[costo_plan_total],0)-tblOrdenes[[#This Row],[costo_servicio]]))</f>
        <v/>
      </c>
      <c r="AI980" s="10">
        <f>IF(tblOrdenes[[#This Row],[orden]]="","",tblOrdenes[[#This Row],[costo_servicio]]+tblOrdenes[[#This Row],[costo_materiales]])</f>
        <v/>
      </c>
      <c r="AJ980" s="6" t="n"/>
      <c r="AK980" s="6" t="n"/>
      <c r="AL980" s="6" t="n"/>
      <c r="AM980" s="3">
        <f>IF(tblOrdenes[[#This Row],[link_checklist]]="","",HYPERLINK(p_ruta_base_checklists&amp;tblOrdenes[[#This Row],[link_checklist]],"abrir"))</f>
        <v/>
      </c>
      <c r="AN980" s="6" t="n"/>
      <c r="AO980" s="3">
        <f>IF(tblOrdenes[[#This Row],[orden]]="","",tblOrdenes[[#This Row],[orden]]&amp;IF(tblOrdenes[[#This Row],[operacion]]="","0010",tblOrdenes[[#This Row],[operacion]]))</f>
        <v/>
      </c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11" t="n"/>
      <c r="K981" s="3" t="n"/>
      <c r="L981" s="10" t="n"/>
      <c r="M981" s="6" t="n"/>
      <c r="N9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81" s="3">
        <f>IF(tblOrdenes[[#This Row],[fecha_inicio]]="","",YEAR(tblOrdenes[[#This Row],[fecha_inicio]]))</f>
        <v/>
      </c>
      <c r="R981" s="3">
        <f>IF(tblOrdenes[[#This Row],[fecha_inicio]]="","",MONTH(tblOrdenes[[#This Row],[fecha_inicio]]))</f>
        <v/>
      </c>
      <c r="S981" s="3">
        <f>IF(tblOrdenes[[#This Row],[fecha_inicio]]="","",INDEX(lista_dias,WEEKDAY(tblOrdenes[[#This Row],[fecha_inicio]],2)))</f>
        <v/>
      </c>
      <c r="T981" s="3">
        <f>IF(tblOrdenes[[#This Row],[tipo_ot]]="","",_xlfn.XLOOKUP(tblOrdenes[[#This Row],[tipo_ot]],tblTiposOT[codigo],tblTiposOT[clasificacion],"sin_clasificar"))</f>
        <v/>
      </c>
      <c r="U981" s="3">
        <f>IF(tblOrdenes[[#This Row],[centro_costo]]="","",_xlfn.XLOOKUP(tblOrdenes[[#This Row],[centro_costo]],tblCECO[codigo],tblCECO[linea],"(sin catálogo)"))</f>
        <v/>
      </c>
      <c r="V981" s="3">
        <f>IF(tblOrdenes[[#This Row],[centro_costo]]="","",_xlfn.XLOOKUP(tblOrdenes[[#This Row],[centro_costo]],tblCECO[codigo],tblCECO[area],"(sin catálogo)"))</f>
        <v/>
      </c>
      <c r="W981" s="3">
        <f>IF(tblOrdenes[[#This Row],[centro_costo]]="","",_xlfn.XLOOKUP(tblOrdenes[[#This Row],[centro_costo]],tblCECO[codigo],tblCECO[coordinador],"(sin catálogo)"))</f>
        <v/>
      </c>
      <c r="X981" s="3">
        <f>IF(tblOrdenes[[#This Row],[puesto_trabajo]]="","",_xlfn.XLOOKUP(tblOrdenes[[#This Row],[puesto_trabajo]],tblPuestos[codigo],tblPuestos[especialidad],"(sin catálogo)"))</f>
        <v/>
      </c>
      <c r="Y981" s="3">
        <f>IF(tblOrdenes[[#This Row],[cod_actividad]]="","",_xlfn.XLOOKUP(tblOrdenes[[#This Row],[cod_actividad]],tblActividades[codigo],tblActividades[descripcion],"(sin catálogo)"))</f>
        <v/>
      </c>
      <c r="Z981" s="12">
        <f>IF(tblOrdenes[[#This Row],[fecha_inicio]]="","",TODAY()-tblOrdenes[[#This Row],[fecha_inicio]])</f>
        <v/>
      </c>
      <c r="AA981" s="3">
        <f>IF(tblOrdenes[[#This Row],[backlog_dias]]="","",IF(tblOrdenes[[#This Row],[backlog_dias]]&lt;0,"FUTURO",IF(tblOrdenes[[#This Row],[backlog_dias]]&gt;p_dias_backlog_max,"BACKLOG","MES CORRIENTE")))</f>
        <v/>
      </c>
      <c r="AB981" s="3">
        <f>IF(tblOrdenes[[#This Row],[backlog_dias]]="",FALSE,AND(tblOrdenes[[#This Row],[backlog_dias]]&gt;p_dias_backlog_min,tblOrdenes[[#This Row],[backlog_dias]]&lt;=p_dias_backlog_max))</f>
        <v/>
      </c>
      <c r="AC981" s="6" t="n"/>
      <c r="AD9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81" s="10">
        <f>IF(tblOrdenes[[#This Row],[orden]]="","",_xlfn.XLOOKUP(tblOrdenes[[#This Row],[id_operacion]],tblEjecucion[id_operacion],tblEjecucion[precio],0))</f>
        <v/>
      </c>
      <c r="AH981" s="10">
        <f>IF(tblOrdenes[[#This Row],[orden]]="","",MAX(0,_xlfn.XLOOKUP(tblOrdenes[[#This Row],[id_operacion]],tblEjecucion[id_operacion],tblEjecucion[costo_plan_total],0)-tblOrdenes[[#This Row],[costo_servicio]]))</f>
        <v/>
      </c>
      <c r="AI981" s="10">
        <f>IF(tblOrdenes[[#This Row],[orden]]="","",tblOrdenes[[#This Row],[costo_servicio]]+tblOrdenes[[#This Row],[costo_materiales]])</f>
        <v/>
      </c>
      <c r="AJ981" s="6" t="n"/>
      <c r="AK981" s="6" t="n"/>
      <c r="AL981" s="6" t="n"/>
      <c r="AM981" s="3">
        <f>IF(tblOrdenes[[#This Row],[link_checklist]]="","",HYPERLINK(p_ruta_base_checklists&amp;tblOrdenes[[#This Row],[link_checklist]],"abrir"))</f>
        <v/>
      </c>
      <c r="AN981" s="6" t="n"/>
      <c r="AO981" s="3">
        <f>IF(tblOrdenes[[#This Row],[orden]]="","",tblOrdenes[[#This Row],[orden]]&amp;IF(tblOrdenes[[#This Row],[operacion]]="","0010",tblOrdenes[[#This Row],[operacion]]))</f>
        <v/>
      </c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11" t="n"/>
      <c r="K982" s="3" t="n"/>
      <c r="L982" s="10" t="n"/>
      <c r="M982" s="6" t="n"/>
      <c r="N9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82" s="3">
        <f>IF(tblOrdenes[[#This Row],[fecha_inicio]]="","",YEAR(tblOrdenes[[#This Row],[fecha_inicio]]))</f>
        <v/>
      </c>
      <c r="R982" s="3">
        <f>IF(tblOrdenes[[#This Row],[fecha_inicio]]="","",MONTH(tblOrdenes[[#This Row],[fecha_inicio]]))</f>
        <v/>
      </c>
      <c r="S982" s="3">
        <f>IF(tblOrdenes[[#This Row],[fecha_inicio]]="","",INDEX(lista_dias,WEEKDAY(tblOrdenes[[#This Row],[fecha_inicio]],2)))</f>
        <v/>
      </c>
      <c r="T982" s="3">
        <f>IF(tblOrdenes[[#This Row],[tipo_ot]]="","",_xlfn.XLOOKUP(tblOrdenes[[#This Row],[tipo_ot]],tblTiposOT[codigo],tblTiposOT[clasificacion],"sin_clasificar"))</f>
        <v/>
      </c>
      <c r="U982" s="3">
        <f>IF(tblOrdenes[[#This Row],[centro_costo]]="","",_xlfn.XLOOKUP(tblOrdenes[[#This Row],[centro_costo]],tblCECO[codigo],tblCECO[linea],"(sin catálogo)"))</f>
        <v/>
      </c>
      <c r="V982" s="3">
        <f>IF(tblOrdenes[[#This Row],[centro_costo]]="","",_xlfn.XLOOKUP(tblOrdenes[[#This Row],[centro_costo]],tblCECO[codigo],tblCECO[area],"(sin catálogo)"))</f>
        <v/>
      </c>
      <c r="W982" s="3">
        <f>IF(tblOrdenes[[#This Row],[centro_costo]]="","",_xlfn.XLOOKUP(tblOrdenes[[#This Row],[centro_costo]],tblCECO[codigo],tblCECO[coordinador],"(sin catálogo)"))</f>
        <v/>
      </c>
      <c r="X982" s="3">
        <f>IF(tblOrdenes[[#This Row],[puesto_trabajo]]="","",_xlfn.XLOOKUP(tblOrdenes[[#This Row],[puesto_trabajo]],tblPuestos[codigo],tblPuestos[especialidad],"(sin catálogo)"))</f>
        <v/>
      </c>
      <c r="Y982" s="3">
        <f>IF(tblOrdenes[[#This Row],[cod_actividad]]="","",_xlfn.XLOOKUP(tblOrdenes[[#This Row],[cod_actividad]],tblActividades[codigo],tblActividades[descripcion],"(sin catálogo)"))</f>
        <v/>
      </c>
      <c r="Z982" s="12">
        <f>IF(tblOrdenes[[#This Row],[fecha_inicio]]="","",TODAY()-tblOrdenes[[#This Row],[fecha_inicio]])</f>
        <v/>
      </c>
      <c r="AA982" s="3">
        <f>IF(tblOrdenes[[#This Row],[backlog_dias]]="","",IF(tblOrdenes[[#This Row],[backlog_dias]]&lt;0,"FUTURO",IF(tblOrdenes[[#This Row],[backlog_dias]]&gt;p_dias_backlog_max,"BACKLOG","MES CORRIENTE")))</f>
        <v/>
      </c>
      <c r="AB982" s="3">
        <f>IF(tblOrdenes[[#This Row],[backlog_dias]]="",FALSE,AND(tblOrdenes[[#This Row],[backlog_dias]]&gt;p_dias_backlog_min,tblOrdenes[[#This Row],[backlog_dias]]&lt;=p_dias_backlog_max))</f>
        <v/>
      </c>
      <c r="AC982" s="6" t="n"/>
      <c r="AD9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82" s="10">
        <f>IF(tblOrdenes[[#This Row],[orden]]="","",_xlfn.XLOOKUP(tblOrdenes[[#This Row],[id_operacion]],tblEjecucion[id_operacion],tblEjecucion[precio],0))</f>
        <v/>
      </c>
      <c r="AH982" s="10">
        <f>IF(tblOrdenes[[#This Row],[orden]]="","",MAX(0,_xlfn.XLOOKUP(tblOrdenes[[#This Row],[id_operacion]],tblEjecucion[id_operacion],tblEjecucion[costo_plan_total],0)-tblOrdenes[[#This Row],[costo_servicio]]))</f>
        <v/>
      </c>
      <c r="AI982" s="10">
        <f>IF(tblOrdenes[[#This Row],[orden]]="","",tblOrdenes[[#This Row],[costo_servicio]]+tblOrdenes[[#This Row],[costo_materiales]])</f>
        <v/>
      </c>
      <c r="AJ982" s="6" t="n"/>
      <c r="AK982" s="6" t="n"/>
      <c r="AL982" s="6" t="n"/>
      <c r="AM982" s="3">
        <f>IF(tblOrdenes[[#This Row],[link_checklist]]="","",HYPERLINK(p_ruta_base_checklists&amp;tblOrdenes[[#This Row],[link_checklist]],"abrir"))</f>
        <v/>
      </c>
      <c r="AN982" s="6" t="n"/>
      <c r="AO982" s="3">
        <f>IF(tblOrdenes[[#This Row],[orden]]="","",tblOrdenes[[#This Row],[orden]]&amp;IF(tblOrdenes[[#This Row],[operacion]]="","0010",tblOrdenes[[#This Row],[operacion]]))</f>
        <v/>
      </c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11" t="n"/>
      <c r="K983" s="3" t="n"/>
      <c r="L983" s="10" t="n"/>
      <c r="M983" s="6" t="n"/>
      <c r="N9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83" s="3">
        <f>IF(tblOrdenes[[#This Row],[fecha_inicio]]="","",YEAR(tblOrdenes[[#This Row],[fecha_inicio]]))</f>
        <v/>
      </c>
      <c r="R983" s="3">
        <f>IF(tblOrdenes[[#This Row],[fecha_inicio]]="","",MONTH(tblOrdenes[[#This Row],[fecha_inicio]]))</f>
        <v/>
      </c>
      <c r="S983" s="3">
        <f>IF(tblOrdenes[[#This Row],[fecha_inicio]]="","",INDEX(lista_dias,WEEKDAY(tblOrdenes[[#This Row],[fecha_inicio]],2)))</f>
        <v/>
      </c>
      <c r="T983" s="3">
        <f>IF(tblOrdenes[[#This Row],[tipo_ot]]="","",_xlfn.XLOOKUP(tblOrdenes[[#This Row],[tipo_ot]],tblTiposOT[codigo],tblTiposOT[clasificacion],"sin_clasificar"))</f>
        <v/>
      </c>
      <c r="U983" s="3">
        <f>IF(tblOrdenes[[#This Row],[centro_costo]]="","",_xlfn.XLOOKUP(tblOrdenes[[#This Row],[centro_costo]],tblCECO[codigo],tblCECO[linea],"(sin catálogo)"))</f>
        <v/>
      </c>
      <c r="V983" s="3">
        <f>IF(tblOrdenes[[#This Row],[centro_costo]]="","",_xlfn.XLOOKUP(tblOrdenes[[#This Row],[centro_costo]],tblCECO[codigo],tblCECO[area],"(sin catálogo)"))</f>
        <v/>
      </c>
      <c r="W983" s="3">
        <f>IF(tblOrdenes[[#This Row],[centro_costo]]="","",_xlfn.XLOOKUP(tblOrdenes[[#This Row],[centro_costo]],tblCECO[codigo],tblCECO[coordinador],"(sin catálogo)"))</f>
        <v/>
      </c>
      <c r="X983" s="3">
        <f>IF(tblOrdenes[[#This Row],[puesto_trabajo]]="","",_xlfn.XLOOKUP(tblOrdenes[[#This Row],[puesto_trabajo]],tblPuestos[codigo],tblPuestos[especialidad],"(sin catálogo)"))</f>
        <v/>
      </c>
      <c r="Y983" s="3">
        <f>IF(tblOrdenes[[#This Row],[cod_actividad]]="","",_xlfn.XLOOKUP(tblOrdenes[[#This Row],[cod_actividad]],tblActividades[codigo],tblActividades[descripcion],"(sin catálogo)"))</f>
        <v/>
      </c>
      <c r="Z983" s="12">
        <f>IF(tblOrdenes[[#This Row],[fecha_inicio]]="","",TODAY()-tblOrdenes[[#This Row],[fecha_inicio]])</f>
        <v/>
      </c>
      <c r="AA983" s="3">
        <f>IF(tblOrdenes[[#This Row],[backlog_dias]]="","",IF(tblOrdenes[[#This Row],[backlog_dias]]&lt;0,"FUTURO",IF(tblOrdenes[[#This Row],[backlog_dias]]&gt;p_dias_backlog_max,"BACKLOG","MES CORRIENTE")))</f>
        <v/>
      </c>
      <c r="AB983" s="3">
        <f>IF(tblOrdenes[[#This Row],[backlog_dias]]="",FALSE,AND(tblOrdenes[[#This Row],[backlog_dias]]&gt;p_dias_backlog_min,tblOrdenes[[#This Row],[backlog_dias]]&lt;=p_dias_backlog_max))</f>
        <v/>
      </c>
      <c r="AC983" s="6" t="n"/>
      <c r="AD9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83" s="10">
        <f>IF(tblOrdenes[[#This Row],[orden]]="","",_xlfn.XLOOKUP(tblOrdenes[[#This Row],[id_operacion]],tblEjecucion[id_operacion],tblEjecucion[precio],0))</f>
        <v/>
      </c>
      <c r="AH983" s="10">
        <f>IF(tblOrdenes[[#This Row],[orden]]="","",MAX(0,_xlfn.XLOOKUP(tblOrdenes[[#This Row],[id_operacion]],tblEjecucion[id_operacion],tblEjecucion[costo_plan_total],0)-tblOrdenes[[#This Row],[costo_servicio]]))</f>
        <v/>
      </c>
      <c r="AI983" s="10">
        <f>IF(tblOrdenes[[#This Row],[orden]]="","",tblOrdenes[[#This Row],[costo_servicio]]+tblOrdenes[[#This Row],[costo_materiales]])</f>
        <v/>
      </c>
      <c r="AJ983" s="6" t="n"/>
      <c r="AK983" s="6" t="n"/>
      <c r="AL983" s="6" t="n"/>
      <c r="AM983" s="3">
        <f>IF(tblOrdenes[[#This Row],[link_checklist]]="","",HYPERLINK(p_ruta_base_checklists&amp;tblOrdenes[[#This Row],[link_checklist]],"abrir"))</f>
        <v/>
      </c>
      <c r="AN983" s="6" t="n"/>
      <c r="AO983" s="3">
        <f>IF(tblOrdenes[[#This Row],[orden]]="","",tblOrdenes[[#This Row],[orden]]&amp;IF(tblOrdenes[[#This Row],[operacion]]="","0010",tblOrdenes[[#This Row],[operacion]]))</f>
        <v/>
      </c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11" t="n"/>
      <c r="K984" s="3" t="n"/>
      <c r="L984" s="10" t="n"/>
      <c r="M984" s="6" t="n"/>
      <c r="N9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84" s="3">
        <f>IF(tblOrdenes[[#This Row],[fecha_inicio]]="","",YEAR(tblOrdenes[[#This Row],[fecha_inicio]]))</f>
        <v/>
      </c>
      <c r="R984" s="3">
        <f>IF(tblOrdenes[[#This Row],[fecha_inicio]]="","",MONTH(tblOrdenes[[#This Row],[fecha_inicio]]))</f>
        <v/>
      </c>
      <c r="S984" s="3">
        <f>IF(tblOrdenes[[#This Row],[fecha_inicio]]="","",INDEX(lista_dias,WEEKDAY(tblOrdenes[[#This Row],[fecha_inicio]],2)))</f>
        <v/>
      </c>
      <c r="T984" s="3">
        <f>IF(tblOrdenes[[#This Row],[tipo_ot]]="","",_xlfn.XLOOKUP(tblOrdenes[[#This Row],[tipo_ot]],tblTiposOT[codigo],tblTiposOT[clasificacion],"sin_clasificar"))</f>
        <v/>
      </c>
      <c r="U984" s="3">
        <f>IF(tblOrdenes[[#This Row],[centro_costo]]="","",_xlfn.XLOOKUP(tblOrdenes[[#This Row],[centro_costo]],tblCECO[codigo],tblCECO[linea],"(sin catálogo)"))</f>
        <v/>
      </c>
      <c r="V984" s="3">
        <f>IF(tblOrdenes[[#This Row],[centro_costo]]="","",_xlfn.XLOOKUP(tblOrdenes[[#This Row],[centro_costo]],tblCECO[codigo],tblCECO[area],"(sin catálogo)"))</f>
        <v/>
      </c>
      <c r="W984" s="3">
        <f>IF(tblOrdenes[[#This Row],[centro_costo]]="","",_xlfn.XLOOKUP(tblOrdenes[[#This Row],[centro_costo]],tblCECO[codigo],tblCECO[coordinador],"(sin catálogo)"))</f>
        <v/>
      </c>
      <c r="X984" s="3">
        <f>IF(tblOrdenes[[#This Row],[puesto_trabajo]]="","",_xlfn.XLOOKUP(tblOrdenes[[#This Row],[puesto_trabajo]],tblPuestos[codigo],tblPuestos[especialidad],"(sin catálogo)"))</f>
        <v/>
      </c>
      <c r="Y984" s="3">
        <f>IF(tblOrdenes[[#This Row],[cod_actividad]]="","",_xlfn.XLOOKUP(tblOrdenes[[#This Row],[cod_actividad]],tblActividades[codigo],tblActividades[descripcion],"(sin catálogo)"))</f>
        <v/>
      </c>
      <c r="Z984" s="12">
        <f>IF(tblOrdenes[[#This Row],[fecha_inicio]]="","",TODAY()-tblOrdenes[[#This Row],[fecha_inicio]])</f>
        <v/>
      </c>
      <c r="AA984" s="3">
        <f>IF(tblOrdenes[[#This Row],[backlog_dias]]="","",IF(tblOrdenes[[#This Row],[backlog_dias]]&lt;0,"FUTURO",IF(tblOrdenes[[#This Row],[backlog_dias]]&gt;p_dias_backlog_max,"BACKLOG","MES CORRIENTE")))</f>
        <v/>
      </c>
      <c r="AB984" s="3">
        <f>IF(tblOrdenes[[#This Row],[backlog_dias]]="",FALSE,AND(tblOrdenes[[#This Row],[backlog_dias]]&gt;p_dias_backlog_min,tblOrdenes[[#This Row],[backlog_dias]]&lt;=p_dias_backlog_max))</f>
        <v/>
      </c>
      <c r="AC984" s="6" t="n"/>
      <c r="AD9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84" s="10">
        <f>IF(tblOrdenes[[#This Row],[orden]]="","",_xlfn.XLOOKUP(tblOrdenes[[#This Row],[id_operacion]],tblEjecucion[id_operacion],tblEjecucion[precio],0))</f>
        <v/>
      </c>
      <c r="AH984" s="10">
        <f>IF(tblOrdenes[[#This Row],[orden]]="","",MAX(0,_xlfn.XLOOKUP(tblOrdenes[[#This Row],[id_operacion]],tblEjecucion[id_operacion],tblEjecucion[costo_plan_total],0)-tblOrdenes[[#This Row],[costo_servicio]]))</f>
        <v/>
      </c>
      <c r="AI984" s="10">
        <f>IF(tblOrdenes[[#This Row],[orden]]="","",tblOrdenes[[#This Row],[costo_servicio]]+tblOrdenes[[#This Row],[costo_materiales]])</f>
        <v/>
      </c>
      <c r="AJ984" s="6" t="n"/>
      <c r="AK984" s="6" t="n"/>
      <c r="AL984" s="6" t="n"/>
      <c r="AM984" s="3">
        <f>IF(tblOrdenes[[#This Row],[link_checklist]]="","",HYPERLINK(p_ruta_base_checklists&amp;tblOrdenes[[#This Row],[link_checklist]],"abrir"))</f>
        <v/>
      </c>
      <c r="AN984" s="6" t="n"/>
      <c r="AO984" s="3">
        <f>IF(tblOrdenes[[#This Row],[orden]]="","",tblOrdenes[[#This Row],[orden]]&amp;IF(tblOrdenes[[#This Row],[operacion]]="","0010",tblOrdenes[[#This Row],[operacion]]))</f>
        <v/>
      </c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11" t="n"/>
      <c r="K985" s="3" t="n"/>
      <c r="L985" s="10" t="n"/>
      <c r="M985" s="6" t="n"/>
      <c r="N9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85" s="3">
        <f>IF(tblOrdenes[[#This Row],[fecha_inicio]]="","",YEAR(tblOrdenes[[#This Row],[fecha_inicio]]))</f>
        <v/>
      </c>
      <c r="R985" s="3">
        <f>IF(tblOrdenes[[#This Row],[fecha_inicio]]="","",MONTH(tblOrdenes[[#This Row],[fecha_inicio]]))</f>
        <v/>
      </c>
      <c r="S985" s="3">
        <f>IF(tblOrdenes[[#This Row],[fecha_inicio]]="","",INDEX(lista_dias,WEEKDAY(tblOrdenes[[#This Row],[fecha_inicio]],2)))</f>
        <v/>
      </c>
      <c r="T985" s="3">
        <f>IF(tblOrdenes[[#This Row],[tipo_ot]]="","",_xlfn.XLOOKUP(tblOrdenes[[#This Row],[tipo_ot]],tblTiposOT[codigo],tblTiposOT[clasificacion],"sin_clasificar"))</f>
        <v/>
      </c>
      <c r="U985" s="3">
        <f>IF(tblOrdenes[[#This Row],[centro_costo]]="","",_xlfn.XLOOKUP(tblOrdenes[[#This Row],[centro_costo]],tblCECO[codigo],tblCECO[linea],"(sin catálogo)"))</f>
        <v/>
      </c>
      <c r="V985" s="3">
        <f>IF(tblOrdenes[[#This Row],[centro_costo]]="","",_xlfn.XLOOKUP(tblOrdenes[[#This Row],[centro_costo]],tblCECO[codigo],tblCECO[area],"(sin catálogo)"))</f>
        <v/>
      </c>
      <c r="W985" s="3">
        <f>IF(tblOrdenes[[#This Row],[centro_costo]]="","",_xlfn.XLOOKUP(tblOrdenes[[#This Row],[centro_costo]],tblCECO[codigo],tblCECO[coordinador],"(sin catálogo)"))</f>
        <v/>
      </c>
      <c r="X985" s="3">
        <f>IF(tblOrdenes[[#This Row],[puesto_trabajo]]="","",_xlfn.XLOOKUP(tblOrdenes[[#This Row],[puesto_trabajo]],tblPuestos[codigo],tblPuestos[especialidad],"(sin catálogo)"))</f>
        <v/>
      </c>
      <c r="Y985" s="3">
        <f>IF(tblOrdenes[[#This Row],[cod_actividad]]="","",_xlfn.XLOOKUP(tblOrdenes[[#This Row],[cod_actividad]],tblActividades[codigo],tblActividades[descripcion],"(sin catálogo)"))</f>
        <v/>
      </c>
      <c r="Z985" s="12">
        <f>IF(tblOrdenes[[#This Row],[fecha_inicio]]="","",TODAY()-tblOrdenes[[#This Row],[fecha_inicio]])</f>
        <v/>
      </c>
      <c r="AA985" s="3">
        <f>IF(tblOrdenes[[#This Row],[backlog_dias]]="","",IF(tblOrdenes[[#This Row],[backlog_dias]]&lt;0,"FUTURO",IF(tblOrdenes[[#This Row],[backlog_dias]]&gt;p_dias_backlog_max,"BACKLOG","MES CORRIENTE")))</f>
        <v/>
      </c>
      <c r="AB985" s="3">
        <f>IF(tblOrdenes[[#This Row],[backlog_dias]]="",FALSE,AND(tblOrdenes[[#This Row],[backlog_dias]]&gt;p_dias_backlog_min,tblOrdenes[[#This Row],[backlog_dias]]&lt;=p_dias_backlog_max))</f>
        <v/>
      </c>
      <c r="AC985" s="6" t="n"/>
      <c r="AD9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85" s="10">
        <f>IF(tblOrdenes[[#This Row],[orden]]="","",_xlfn.XLOOKUP(tblOrdenes[[#This Row],[id_operacion]],tblEjecucion[id_operacion],tblEjecucion[precio],0))</f>
        <v/>
      </c>
      <c r="AH985" s="10">
        <f>IF(tblOrdenes[[#This Row],[orden]]="","",MAX(0,_xlfn.XLOOKUP(tblOrdenes[[#This Row],[id_operacion]],tblEjecucion[id_operacion],tblEjecucion[costo_plan_total],0)-tblOrdenes[[#This Row],[costo_servicio]]))</f>
        <v/>
      </c>
      <c r="AI985" s="10">
        <f>IF(tblOrdenes[[#This Row],[orden]]="","",tblOrdenes[[#This Row],[costo_servicio]]+tblOrdenes[[#This Row],[costo_materiales]])</f>
        <v/>
      </c>
      <c r="AJ985" s="6" t="n"/>
      <c r="AK985" s="6" t="n"/>
      <c r="AL985" s="6" t="n"/>
      <c r="AM985" s="3">
        <f>IF(tblOrdenes[[#This Row],[link_checklist]]="","",HYPERLINK(p_ruta_base_checklists&amp;tblOrdenes[[#This Row],[link_checklist]],"abrir"))</f>
        <v/>
      </c>
      <c r="AN985" s="6" t="n"/>
      <c r="AO985" s="3">
        <f>IF(tblOrdenes[[#This Row],[orden]]="","",tblOrdenes[[#This Row],[orden]]&amp;IF(tblOrdenes[[#This Row],[operacion]]="","0010",tblOrdenes[[#This Row],[operacion]]))</f>
        <v/>
      </c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11" t="n"/>
      <c r="K986" s="3" t="n"/>
      <c r="L986" s="10" t="n"/>
      <c r="M986" s="6" t="n"/>
      <c r="N9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86" s="3">
        <f>IF(tblOrdenes[[#This Row],[fecha_inicio]]="","",YEAR(tblOrdenes[[#This Row],[fecha_inicio]]))</f>
        <v/>
      </c>
      <c r="R986" s="3">
        <f>IF(tblOrdenes[[#This Row],[fecha_inicio]]="","",MONTH(tblOrdenes[[#This Row],[fecha_inicio]]))</f>
        <v/>
      </c>
      <c r="S986" s="3">
        <f>IF(tblOrdenes[[#This Row],[fecha_inicio]]="","",INDEX(lista_dias,WEEKDAY(tblOrdenes[[#This Row],[fecha_inicio]],2)))</f>
        <v/>
      </c>
      <c r="T986" s="3">
        <f>IF(tblOrdenes[[#This Row],[tipo_ot]]="","",_xlfn.XLOOKUP(tblOrdenes[[#This Row],[tipo_ot]],tblTiposOT[codigo],tblTiposOT[clasificacion],"sin_clasificar"))</f>
        <v/>
      </c>
      <c r="U986" s="3">
        <f>IF(tblOrdenes[[#This Row],[centro_costo]]="","",_xlfn.XLOOKUP(tblOrdenes[[#This Row],[centro_costo]],tblCECO[codigo],tblCECO[linea],"(sin catálogo)"))</f>
        <v/>
      </c>
      <c r="V986" s="3">
        <f>IF(tblOrdenes[[#This Row],[centro_costo]]="","",_xlfn.XLOOKUP(tblOrdenes[[#This Row],[centro_costo]],tblCECO[codigo],tblCECO[area],"(sin catálogo)"))</f>
        <v/>
      </c>
      <c r="W986" s="3">
        <f>IF(tblOrdenes[[#This Row],[centro_costo]]="","",_xlfn.XLOOKUP(tblOrdenes[[#This Row],[centro_costo]],tblCECO[codigo],tblCECO[coordinador],"(sin catálogo)"))</f>
        <v/>
      </c>
      <c r="X986" s="3">
        <f>IF(tblOrdenes[[#This Row],[puesto_trabajo]]="","",_xlfn.XLOOKUP(tblOrdenes[[#This Row],[puesto_trabajo]],tblPuestos[codigo],tblPuestos[especialidad],"(sin catálogo)"))</f>
        <v/>
      </c>
      <c r="Y986" s="3">
        <f>IF(tblOrdenes[[#This Row],[cod_actividad]]="","",_xlfn.XLOOKUP(tblOrdenes[[#This Row],[cod_actividad]],tblActividades[codigo],tblActividades[descripcion],"(sin catálogo)"))</f>
        <v/>
      </c>
      <c r="Z986" s="12">
        <f>IF(tblOrdenes[[#This Row],[fecha_inicio]]="","",TODAY()-tblOrdenes[[#This Row],[fecha_inicio]])</f>
        <v/>
      </c>
      <c r="AA986" s="3">
        <f>IF(tblOrdenes[[#This Row],[backlog_dias]]="","",IF(tblOrdenes[[#This Row],[backlog_dias]]&lt;0,"FUTURO",IF(tblOrdenes[[#This Row],[backlog_dias]]&gt;p_dias_backlog_max,"BACKLOG","MES CORRIENTE")))</f>
        <v/>
      </c>
      <c r="AB986" s="3">
        <f>IF(tblOrdenes[[#This Row],[backlog_dias]]="",FALSE,AND(tblOrdenes[[#This Row],[backlog_dias]]&gt;p_dias_backlog_min,tblOrdenes[[#This Row],[backlog_dias]]&lt;=p_dias_backlog_max))</f>
        <v/>
      </c>
      <c r="AC986" s="6" t="n"/>
      <c r="AD9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86" s="10">
        <f>IF(tblOrdenes[[#This Row],[orden]]="","",_xlfn.XLOOKUP(tblOrdenes[[#This Row],[id_operacion]],tblEjecucion[id_operacion],tblEjecucion[precio],0))</f>
        <v/>
      </c>
      <c r="AH986" s="10">
        <f>IF(tblOrdenes[[#This Row],[orden]]="","",MAX(0,_xlfn.XLOOKUP(tblOrdenes[[#This Row],[id_operacion]],tblEjecucion[id_operacion],tblEjecucion[costo_plan_total],0)-tblOrdenes[[#This Row],[costo_servicio]]))</f>
        <v/>
      </c>
      <c r="AI986" s="10">
        <f>IF(tblOrdenes[[#This Row],[orden]]="","",tblOrdenes[[#This Row],[costo_servicio]]+tblOrdenes[[#This Row],[costo_materiales]])</f>
        <v/>
      </c>
      <c r="AJ986" s="6" t="n"/>
      <c r="AK986" s="6" t="n"/>
      <c r="AL986" s="6" t="n"/>
      <c r="AM986" s="3">
        <f>IF(tblOrdenes[[#This Row],[link_checklist]]="","",HYPERLINK(p_ruta_base_checklists&amp;tblOrdenes[[#This Row],[link_checklist]],"abrir"))</f>
        <v/>
      </c>
      <c r="AN986" s="6" t="n"/>
      <c r="AO986" s="3">
        <f>IF(tblOrdenes[[#This Row],[orden]]="","",tblOrdenes[[#This Row],[orden]]&amp;IF(tblOrdenes[[#This Row],[operacion]]="","0010",tblOrdenes[[#This Row],[operacion]]))</f>
        <v/>
      </c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11" t="n"/>
      <c r="K987" s="3" t="n"/>
      <c r="L987" s="10" t="n"/>
      <c r="M987" s="6" t="n"/>
      <c r="N9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87" s="3">
        <f>IF(tblOrdenes[[#This Row],[fecha_inicio]]="","",YEAR(tblOrdenes[[#This Row],[fecha_inicio]]))</f>
        <v/>
      </c>
      <c r="R987" s="3">
        <f>IF(tblOrdenes[[#This Row],[fecha_inicio]]="","",MONTH(tblOrdenes[[#This Row],[fecha_inicio]]))</f>
        <v/>
      </c>
      <c r="S987" s="3">
        <f>IF(tblOrdenes[[#This Row],[fecha_inicio]]="","",INDEX(lista_dias,WEEKDAY(tblOrdenes[[#This Row],[fecha_inicio]],2)))</f>
        <v/>
      </c>
      <c r="T987" s="3">
        <f>IF(tblOrdenes[[#This Row],[tipo_ot]]="","",_xlfn.XLOOKUP(tblOrdenes[[#This Row],[tipo_ot]],tblTiposOT[codigo],tblTiposOT[clasificacion],"sin_clasificar"))</f>
        <v/>
      </c>
      <c r="U987" s="3">
        <f>IF(tblOrdenes[[#This Row],[centro_costo]]="","",_xlfn.XLOOKUP(tblOrdenes[[#This Row],[centro_costo]],tblCECO[codigo],tblCECO[linea],"(sin catálogo)"))</f>
        <v/>
      </c>
      <c r="V987" s="3">
        <f>IF(tblOrdenes[[#This Row],[centro_costo]]="","",_xlfn.XLOOKUP(tblOrdenes[[#This Row],[centro_costo]],tblCECO[codigo],tblCECO[area],"(sin catálogo)"))</f>
        <v/>
      </c>
      <c r="W987" s="3">
        <f>IF(tblOrdenes[[#This Row],[centro_costo]]="","",_xlfn.XLOOKUP(tblOrdenes[[#This Row],[centro_costo]],tblCECO[codigo],tblCECO[coordinador],"(sin catálogo)"))</f>
        <v/>
      </c>
      <c r="X987" s="3">
        <f>IF(tblOrdenes[[#This Row],[puesto_trabajo]]="","",_xlfn.XLOOKUP(tblOrdenes[[#This Row],[puesto_trabajo]],tblPuestos[codigo],tblPuestos[especialidad],"(sin catálogo)"))</f>
        <v/>
      </c>
      <c r="Y987" s="3">
        <f>IF(tblOrdenes[[#This Row],[cod_actividad]]="","",_xlfn.XLOOKUP(tblOrdenes[[#This Row],[cod_actividad]],tblActividades[codigo],tblActividades[descripcion],"(sin catálogo)"))</f>
        <v/>
      </c>
      <c r="Z987" s="12">
        <f>IF(tblOrdenes[[#This Row],[fecha_inicio]]="","",TODAY()-tblOrdenes[[#This Row],[fecha_inicio]])</f>
        <v/>
      </c>
      <c r="AA987" s="3">
        <f>IF(tblOrdenes[[#This Row],[backlog_dias]]="","",IF(tblOrdenes[[#This Row],[backlog_dias]]&lt;0,"FUTURO",IF(tblOrdenes[[#This Row],[backlog_dias]]&gt;p_dias_backlog_max,"BACKLOG","MES CORRIENTE")))</f>
        <v/>
      </c>
      <c r="AB987" s="3">
        <f>IF(tblOrdenes[[#This Row],[backlog_dias]]="",FALSE,AND(tblOrdenes[[#This Row],[backlog_dias]]&gt;p_dias_backlog_min,tblOrdenes[[#This Row],[backlog_dias]]&lt;=p_dias_backlog_max))</f>
        <v/>
      </c>
      <c r="AC987" s="6" t="n"/>
      <c r="AD9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87" s="10">
        <f>IF(tblOrdenes[[#This Row],[orden]]="","",_xlfn.XLOOKUP(tblOrdenes[[#This Row],[id_operacion]],tblEjecucion[id_operacion],tblEjecucion[precio],0))</f>
        <v/>
      </c>
      <c r="AH987" s="10">
        <f>IF(tblOrdenes[[#This Row],[orden]]="","",MAX(0,_xlfn.XLOOKUP(tblOrdenes[[#This Row],[id_operacion]],tblEjecucion[id_operacion],tblEjecucion[costo_plan_total],0)-tblOrdenes[[#This Row],[costo_servicio]]))</f>
        <v/>
      </c>
      <c r="AI987" s="10">
        <f>IF(tblOrdenes[[#This Row],[orden]]="","",tblOrdenes[[#This Row],[costo_servicio]]+tblOrdenes[[#This Row],[costo_materiales]])</f>
        <v/>
      </c>
      <c r="AJ987" s="6" t="n"/>
      <c r="AK987" s="6" t="n"/>
      <c r="AL987" s="6" t="n"/>
      <c r="AM987" s="3">
        <f>IF(tblOrdenes[[#This Row],[link_checklist]]="","",HYPERLINK(p_ruta_base_checklists&amp;tblOrdenes[[#This Row],[link_checklist]],"abrir"))</f>
        <v/>
      </c>
      <c r="AN987" s="6" t="n"/>
      <c r="AO987" s="3">
        <f>IF(tblOrdenes[[#This Row],[orden]]="","",tblOrdenes[[#This Row],[orden]]&amp;IF(tblOrdenes[[#This Row],[operacion]]="","0010",tblOrdenes[[#This Row],[operacion]]))</f>
        <v/>
      </c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11" t="n"/>
      <c r="K988" s="3" t="n"/>
      <c r="L988" s="10" t="n"/>
      <c r="M988" s="6" t="n"/>
      <c r="N9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88" s="3">
        <f>IF(tblOrdenes[[#This Row],[fecha_inicio]]="","",YEAR(tblOrdenes[[#This Row],[fecha_inicio]]))</f>
        <v/>
      </c>
      <c r="R988" s="3">
        <f>IF(tblOrdenes[[#This Row],[fecha_inicio]]="","",MONTH(tblOrdenes[[#This Row],[fecha_inicio]]))</f>
        <v/>
      </c>
      <c r="S988" s="3">
        <f>IF(tblOrdenes[[#This Row],[fecha_inicio]]="","",INDEX(lista_dias,WEEKDAY(tblOrdenes[[#This Row],[fecha_inicio]],2)))</f>
        <v/>
      </c>
      <c r="T988" s="3">
        <f>IF(tblOrdenes[[#This Row],[tipo_ot]]="","",_xlfn.XLOOKUP(tblOrdenes[[#This Row],[tipo_ot]],tblTiposOT[codigo],tblTiposOT[clasificacion],"sin_clasificar"))</f>
        <v/>
      </c>
      <c r="U988" s="3">
        <f>IF(tblOrdenes[[#This Row],[centro_costo]]="","",_xlfn.XLOOKUP(tblOrdenes[[#This Row],[centro_costo]],tblCECO[codigo],tblCECO[linea],"(sin catálogo)"))</f>
        <v/>
      </c>
      <c r="V988" s="3">
        <f>IF(tblOrdenes[[#This Row],[centro_costo]]="","",_xlfn.XLOOKUP(tblOrdenes[[#This Row],[centro_costo]],tblCECO[codigo],tblCECO[area],"(sin catálogo)"))</f>
        <v/>
      </c>
      <c r="W988" s="3">
        <f>IF(tblOrdenes[[#This Row],[centro_costo]]="","",_xlfn.XLOOKUP(tblOrdenes[[#This Row],[centro_costo]],tblCECO[codigo],tblCECO[coordinador],"(sin catálogo)"))</f>
        <v/>
      </c>
      <c r="X988" s="3">
        <f>IF(tblOrdenes[[#This Row],[puesto_trabajo]]="","",_xlfn.XLOOKUP(tblOrdenes[[#This Row],[puesto_trabajo]],tblPuestos[codigo],tblPuestos[especialidad],"(sin catálogo)"))</f>
        <v/>
      </c>
      <c r="Y988" s="3">
        <f>IF(tblOrdenes[[#This Row],[cod_actividad]]="","",_xlfn.XLOOKUP(tblOrdenes[[#This Row],[cod_actividad]],tblActividades[codigo],tblActividades[descripcion],"(sin catálogo)"))</f>
        <v/>
      </c>
      <c r="Z988" s="12">
        <f>IF(tblOrdenes[[#This Row],[fecha_inicio]]="","",TODAY()-tblOrdenes[[#This Row],[fecha_inicio]])</f>
        <v/>
      </c>
      <c r="AA988" s="3">
        <f>IF(tblOrdenes[[#This Row],[backlog_dias]]="","",IF(tblOrdenes[[#This Row],[backlog_dias]]&lt;0,"FUTURO",IF(tblOrdenes[[#This Row],[backlog_dias]]&gt;p_dias_backlog_max,"BACKLOG","MES CORRIENTE")))</f>
        <v/>
      </c>
      <c r="AB988" s="3">
        <f>IF(tblOrdenes[[#This Row],[backlog_dias]]="",FALSE,AND(tblOrdenes[[#This Row],[backlog_dias]]&gt;p_dias_backlog_min,tblOrdenes[[#This Row],[backlog_dias]]&lt;=p_dias_backlog_max))</f>
        <v/>
      </c>
      <c r="AC988" s="6" t="n"/>
      <c r="AD9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88" s="10">
        <f>IF(tblOrdenes[[#This Row],[orden]]="","",_xlfn.XLOOKUP(tblOrdenes[[#This Row],[id_operacion]],tblEjecucion[id_operacion],tblEjecucion[precio],0))</f>
        <v/>
      </c>
      <c r="AH988" s="10">
        <f>IF(tblOrdenes[[#This Row],[orden]]="","",MAX(0,_xlfn.XLOOKUP(tblOrdenes[[#This Row],[id_operacion]],tblEjecucion[id_operacion],tblEjecucion[costo_plan_total],0)-tblOrdenes[[#This Row],[costo_servicio]]))</f>
        <v/>
      </c>
      <c r="AI988" s="10">
        <f>IF(tblOrdenes[[#This Row],[orden]]="","",tblOrdenes[[#This Row],[costo_servicio]]+tblOrdenes[[#This Row],[costo_materiales]])</f>
        <v/>
      </c>
      <c r="AJ988" s="6" t="n"/>
      <c r="AK988" s="6" t="n"/>
      <c r="AL988" s="6" t="n"/>
      <c r="AM988" s="3">
        <f>IF(tblOrdenes[[#This Row],[link_checklist]]="","",HYPERLINK(p_ruta_base_checklists&amp;tblOrdenes[[#This Row],[link_checklist]],"abrir"))</f>
        <v/>
      </c>
      <c r="AN988" s="6" t="n"/>
      <c r="AO988" s="3">
        <f>IF(tblOrdenes[[#This Row],[orden]]="","",tblOrdenes[[#This Row],[orden]]&amp;IF(tblOrdenes[[#This Row],[operacion]]="","0010",tblOrdenes[[#This Row],[operacion]]))</f>
        <v/>
      </c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11" t="n"/>
      <c r="K989" s="3" t="n"/>
      <c r="L989" s="10" t="n"/>
      <c r="M989" s="6" t="n"/>
      <c r="N9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89" s="3">
        <f>IF(tblOrdenes[[#This Row],[fecha_inicio]]="","",YEAR(tblOrdenes[[#This Row],[fecha_inicio]]))</f>
        <v/>
      </c>
      <c r="R989" s="3">
        <f>IF(tblOrdenes[[#This Row],[fecha_inicio]]="","",MONTH(tblOrdenes[[#This Row],[fecha_inicio]]))</f>
        <v/>
      </c>
      <c r="S989" s="3">
        <f>IF(tblOrdenes[[#This Row],[fecha_inicio]]="","",INDEX(lista_dias,WEEKDAY(tblOrdenes[[#This Row],[fecha_inicio]],2)))</f>
        <v/>
      </c>
      <c r="T989" s="3">
        <f>IF(tblOrdenes[[#This Row],[tipo_ot]]="","",_xlfn.XLOOKUP(tblOrdenes[[#This Row],[tipo_ot]],tblTiposOT[codigo],tblTiposOT[clasificacion],"sin_clasificar"))</f>
        <v/>
      </c>
      <c r="U989" s="3">
        <f>IF(tblOrdenes[[#This Row],[centro_costo]]="","",_xlfn.XLOOKUP(tblOrdenes[[#This Row],[centro_costo]],tblCECO[codigo],tblCECO[linea],"(sin catálogo)"))</f>
        <v/>
      </c>
      <c r="V989" s="3">
        <f>IF(tblOrdenes[[#This Row],[centro_costo]]="","",_xlfn.XLOOKUP(tblOrdenes[[#This Row],[centro_costo]],tblCECO[codigo],tblCECO[area],"(sin catálogo)"))</f>
        <v/>
      </c>
      <c r="W989" s="3">
        <f>IF(tblOrdenes[[#This Row],[centro_costo]]="","",_xlfn.XLOOKUP(tblOrdenes[[#This Row],[centro_costo]],tblCECO[codigo],tblCECO[coordinador],"(sin catálogo)"))</f>
        <v/>
      </c>
      <c r="X989" s="3">
        <f>IF(tblOrdenes[[#This Row],[puesto_trabajo]]="","",_xlfn.XLOOKUP(tblOrdenes[[#This Row],[puesto_trabajo]],tblPuestos[codigo],tblPuestos[especialidad],"(sin catálogo)"))</f>
        <v/>
      </c>
      <c r="Y989" s="3">
        <f>IF(tblOrdenes[[#This Row],[cod_actividad]]="","",_xlfn.XLOOKUP(tblOrdenes[[#This Row],[cod_actividad]],tblActividades[codigo],tblActividades[descripcion],"(sin catálogo)"))</f>
        <v/>
      </c>
      <c r="Z989" s="12">
        <f>IF(tblOrdenes[[#This Row],[fecha_inicio]]="","",TODAY()-tblOrdenes[[#This Row],[fecha_inicio]])</f>
        <v/>
      </c>
      <c r="AA989" s="3">
        <f>IF(tblOrdenes[[#This Row],[backlog_dias]]="","",IF(tblOrdenes[[#This Row],[backlog_dias]]&lt;0,"FUTURO",IF(tblOrdenes[[#This Row],[backlog_dias]]&gt;p_dias_backlog_max,"BACKLOG","MES CORRIENTE")))</f>
        <v/>
      </c>
      <c r="AB989" s="3">
        <f>IF(tblOrdenes[[#This Row],[backlog_dias]]="",FALSE,AND(tblOrdenes[[#This Row],[backlog_dias]]&gt;p_dias_backlog_min,tblOrdenes[[#This Row],[backlog_dias]]&lt;=p_dias_backlog_max))</f>
        <v/>
      </c>
      <c r="AC989" s="6" t="n"/>
      <c r="AD9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89" s="10">
        <f>IF(tblOrdenes[[#This Row],[orden]]="","",_xlfn.XLOOKUP(tblOrdenes[[#This Row],[id_operacion]],tblEjecucion[id_operacion],tblEjecucion[precio],0))</f>
        <v/>
      </c>
      <c r="AH989" s="10">
        <f>IF(tblOrdenes[[#This Row],[orden]]="","",MAX(0,_xlfn.XLOOKUP(tblOrdenes[[#This Row],[id_operacion]],tblEjecucion[id_operacion],tblEjecucion[costo_plan_total],0)-tblOrdenes[[#This Row],[costo_servicio]]))</f>
        <v/>
      </c>
      <c r="AI989" s="10">
        <f>IF(tblOrdenes[[#This Row],[orden]]="","",tblOrdenes[[#This Row],[costo_servicio]]+tblOrdenes[[#This Row],[costo_materiales]])</f>
        <v/>
      </c>
      <c r="AJ989" s="6" t="n"/>
      <c r="AK989" s="6" t="n"/>
      <c r="AL989" s="6" t="n"/>
      <c r="AM989" s="3">
        <f>IF(tblOrdenes[[#This Row],[link_checklist]]="","",HYPERLINK(p_ruta_base_checklists&amp;tblOrdenes[[#This Row],[link_checklist]],"abrir"))</f>
        <v/>
      </c>
      <c r="AN989" s="6" t="n"/>
      <c r="AO989" s="3">
        <f>IF(tblOrdenes[[#This Row],[orden]]="","",tblOrdenes[[#This Row],[orden]]&amp;IF(tblOrdenes[[#This Row],[operacion]]="","0010",tblOrdenes[[#This Row],[operacion]]))</f>
        <v/>
      </c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11" t="n"/>
      <c r="K990" s="3" t="n"/>
      <c r="L990" s="10" t="n"/>
      <c r="M990" s="6" t="n"/>
      <c r="N9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90" s="3">
        <f>IF(tblOrdenes[[#This Row],[fecha_inicio]]="","",YEAR(tblOrdenes[[#This Row],[fecha_inicio]]))</f>
        <v/>
      </c>
      <c r="R990" s="3">
        <f>IF(tblOrdenes[[#This Row],[fecha_inicio]]="","",MONTH(tblOrdenes[[#This Row],[fecha_inicio]]))</f>
        <v/>
      </c>
      <c r="S990" s="3">
        <f>IF(tblOrdenes[[#This Row],[fecha_inicio]]="","",INDEX(lista_dias,WEEKDAY(tblOrdenes[[#This Row],[fecha_inicio]],2)))</f>
        <v/>
      </c>
      <c r="T990" s="3">
        <f>IF(tblOrdenes[[#This Row],[tipo_ot]]="","",_xlfn.XLOOKUP(tblOrdenes[[#This Row],[tipo_ot]],tblTiposOT[codigo],tblTiposOT[clasificacion],"sin_clasificar"))</f>
        <v/>
      </c>
      <c r="U990" s="3">
        <f>IF(tblOrdenes[[#This Row],[centro_costo]]="","",_xlfn.XLOOKUP(tblOrdenes[[#This Row],[centro_costo]],tblCECO[codigo],tblCECO[linea],"(sin catálogo)"))</f>
        <v/>
      </c>
      <c r="V990" s="3">
        <f>IF(tblOrdenes[[#This Row],[centro_costo]]="","",_xlfn.XLOOKUP(tblOrdenes[[#This Row],[centro_costo]],tblCECO[codigo],tblCECO[area],"(sin catálogo)"))</f>
        <v/>
      </c>
      <c r="W990" s="3">
        <f>IF(tblOrdenes[[#This Row],[centro_costo]]="","",_xlfn.XLOOKUP(tblOrdenes[[#This Row],[centro_costo]],tblCECO[codigo],tblCECO[coordinador],"(sin catálogo)"))</f>
        <v/>
      </c>
      <c r="X990" s="3">
        <f>IF(tblOrdenes[[#This Row],[puesto_trabajo]]="","",_xlfn.XLOOKUP(tblOrdenes[[#This Row],[puesto_trabajo]],tblPuestos[codigo],tblPuestos[especialidad],"(sin catálogo)"))</f>
        <v/>
      </c>
      <c r="Y990" s="3">
        <f>IF(tblOrdenes[[#This Row],[cod_actividad]]="","",_xlfn.XLOOKUP(tblOrdenes[[#This Row],[cod_actividad]],tblActividades[codigo],tblActividades[descripcion],"(sin catálogo)"))</f>
        <v/>
      </c>
      <c r="Z990" s="12">
        <f>IF(tblOrdenes[[#This Row],[fecha_inicio]]="","",TODAY()-tblOrdenes[[#This Row],[fecha_inicio]])</f>
        <v/>
      </c>
      <c r="AA990" s="3">
        <f>IF(tblOrdenes[[#This Row],[backlog_dias]]="","",IF(tblOrdenes[[#This Row],[backlog_dias]]&lt;0,"FUTURO",IF(tblOrdenes[[#This Row],[backlog_dias]]&gt;p_dias_backlog_max,"BACKLOG","MES CORRIENTE")))</f>
        <v/>
      </c>
      <c r="AB990" s="3">
        <f>IF(tblOrdenes[[#This Row],[backlog_dias]]="",FALSE,AND(tblOrdenes[[#This Row],[backlog_dias]]&gt;p_dias_backlog_min,tblOrdenes[[#This Row],[backlog_dias]]&lt;=p_dias_backlog_max))</f>
        <v/>
      </c>
      <c r="AC990" s="6" t="n"/>
      <c r="AD9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90" s="10">
        <f>IF(tblOrdenes[[#This Row],[orden]]="","",_xlfn.XLOOKUP(tblOrdenes[[#This Row],[id_operacion]],tblEjecucion[id_operacion],tblEjecucion[precio],0))</f>
        <v/>
      </c>
      <c r="AH990" s="10">
        <f>IF(tblOrdenes[[#This Row],[orden]]="","",MAX(0,_xlfn.XLOOKUP(tblOrdenes[[#This Row],[id_operacion]],tblEjecucion[id_operacion],tblEjecucion[costo_plan_total],0)-tblOrdenes[[#This Row],[costo_servicio]]))</f>
        <v/>
      </c>
      <c r="AI990" s="10">
        <f>IF(tblOrdenes[[#This Row],[orden]]="","",tblOrdenes[[#This Row],[costo_servicio]]+tblOrdenes[[#This Row],[costo_materiales]])</f>
        <v/>
      </c>
      <c r="AJ990" s="6" t="n"/>
      <c r="AK990" s="6" t="n"/>
      <c r="AL990" s="6" t="n"/>
      <c r="AM990" s="3">
        <f>IF(tblOrdenes[[#This Row],[link_checklist]]="","",HYPERLINK(p_ruta_base_checklists&amp;tblOrdenes[[#This Row],[link_checklist]],"abrir"))</f>
        <v/>
      </c>
      <c r="AN990" s="6" t="n"/>
      <c r="AO990" s="3">
        <f>IF(tblOrdenes[[#This Row],[orden]]="","",tblOrdenes[[#This Row],[orden]]&amp;IF(tblOrdenes[[#This Row],[operacion]]="","0010",tblOrdenes[[#This Row],[operacion]]))</f>
        <v/>
      </c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11" t="n"/>
      <c r="K991" s="3" t="n"/>
      <c r="L991" s="10" t="n"/>
      <c r="M991" s="6" t="n"/>
      <c r="N9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91" s="3">
        <f>IF(tblOrdenes[[#This Row],[fecha_inicio]]="","",YEAR(tblOrdenes[[#This Row],[fecha_inicio]]))</f>
        <v/>
      </c>
      <c r="R991" s="3">
        <f>IF(tblOrdenes[[#This Row],[fecha_inicio]]="","",MONTH(tblOrdenes[[#This Row],[fecha_inicio]]))</f>
        <v/>
      </c>
      <c r="S991" s="3">
        <f>IF(tblOrdenes[[#This Row],[fecha_inicio]]="","",INDEX(lista_dias,WEEKDAY(tblOrdenes[[#This Row],[fecha_inicio]],2)))</f>
        <v/>
      </c>
      <c r="T991" s="3">
        <f>IF(tblOrdenes[[#This Row],[tipo_ot]]="","",_xlfn.XLOOKUP(tblOrdenes[[#This Row],[tipo_ot]],tblTiposOT[codigo],tblTiposOT[clasificacion],"sin_clasificar"))</f>
        <v/>
      </c>
      <c r="U991" s="3">
        <f>IF(tblOrdenes[[#This Row],[centro_costo]]="","",_xlfn.XLOOKUP(tblOrdenes[[#This Row],[centro_costo]],tblCECO[codigo],tblCECO[linea],"(sin catálogo)"))</f>
        <v/>
      </c>
      <c r="V991" s="3">
        <f>IF(tblOrdenes[[#This Row],[centro_costo]]="","",_xlfn.XLOOKUP(tblOrdenes[[#This Row],[centro_costo]],tblCECO[codigo],tblCECO[area],"(sin catálogo)"))</f>
        <v/>
      </c>
      <c r="W991" s="3">
        <f>IF(tblOrdenes[[#This Row],[centro_costo]]="","",_xlfn.XLOOKUP(tblOrdenes[[#This Row],[centro_costo]],tblCECO[codigo],tblCECO[coordinador],"(sin catálogo)"))</f>
        <v/>
      </c>
      <c r="X991" s="3">
        <f>IF(tblOrdenes[[#This Row],[puesto_trabajo]]="","",_xlfn.XLOOKUP(tblOrdenes[[#This Row],[puesto_trabajo]],tblPuestos[codigo],tblPuestos[especialidad],"(sin catálogo)"))</f>
        <v/>
      </c>
      <c r="Y991" s="3">
        <f>IF(tblOrdenes[[#This Row],[cod_actividad]]="","",_xlfn.XLOOKUP(tblOrdenes[[#This Row],[cod_actividad]],tblActividades[codigo],tblActividades[descripcion],"(sin catálogo)"))</f>
        <v/>
      </c>
      <c r="Z991" s="12">
        <f>IF(tblOrdenes[[#This Row],[fecha_inicio]]="","",TODAY()-tblOrdenes[[#This Row],[fecha_inicio]])</f>
        <v/>
      </c>
      <c r="AA991" s="3">
        <f>IF(tblOrdenes[[#This Row],[backlog_dias]]="","",IF(tblOrdenes[[#This Row],[backlog_dias]]&lt;0,"FUTURO",IF(tblOrdenes[[#This Row],[backlog_dias]]&gt;p_dias_backlog_max,"BACKLOG","MES CORRIENTE")))</f>
        <v/>
      </c>
      <c r="AB991" s="3">
        <f>IF(tblOrdenes[[#This Row],[backlog_dias]]="",FALSE,AND(tblOrdenes[[#This Row],[backlog_dias]]&gt;p_dias_backlog_min,tblOrdenes[[#This Row],[backlog_dias]]&lt;=p_dias_backlog_max))</f>
        <v/>
      </c>
      <c r="AC991" s="6" t="n"/>
      <c r="AD9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91" s="10">
        <f>IF(tblOrdenes[[#This Row],[orden]]="","",_xlfn.XLOOKUP(tblOrdenes[[#This Row],[id_operacion]],tblEjecucion[id_operacion],tblEjecucion[precio],0))</f>
        <v/>
      </c>
      <c r="AH991" s="10">
        <f>IF(tblOrdenes[[#This Row],[orden]]="","",MAX(0,_xlfn.XLOOKUP(tblOrdenes[[#This Row],[id_operacion]],tblEjecucion[id_operacion],tblEjecucion[costo_plan_total],0)-tblOrdenes[[#This Row],[costo_servicio]]))</f>
        <v/>
      </c>
      <c r="AI991" s="10">
        <f>IF(tblOrdenes[[#This Row],[orden]]="","",tblOrdenes[[#This Row],[costo_servicio]]+tblOrdenes[[#This Row],[costo_materiales]])</f>
        <v/>
      </c>
      <c r="AJ991" s="6" t="n"/>
      <c r="AK991" s="6" t="n"/>
      <c r="AL991" s="6" t="n"/>
      <c r="AM991" s="3">
        <f>IF(tblOrdenes[[#This Row],[link_checklist]]="","",HYPERLINK(p_ruta_base_checklists&amp;tblOrdenes[[#This Row],[link_checklist]],"abrir"))</f>
        <v/>
      </c>
      <c r="AN991" s="6" t="n"/>
      <c r="AO991" s="3">
        <f>IF(tblOrdenes[[#This Row],[orden]]="","",tblOrdenes[[#This Row],[orden]]&amp;IF(tblOrdenes[[#This Row],[operacion]]="","0010",tblOrdenes[[#This Row],[operacion]]))</f>
        <v/>
      </c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11" t="n"/>
      <c r="K992" s="3" t="n"/>
      <c r="L992" s="10" t="n"/>
      <c r="M992" s="6" t="n"/>
      <c r="N9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92" s="3">
        <f>IF(tblOrdenes[[#This Row],[fecha_inicio]]="","",YEAR(tblOrdenes[[#This Row],[fecha_inicio]]))</f>
        <v/>
      </c>
      <c r="R992" s="3">
        <f>IF(tblOrdenes[[#This Row],[fecha_inicio]]="","",MONTH(tblOrdenes[[#This Row],[fecha_inicio]]))</f>
        <v/>
      </c>
      <c r="S992" s="3">
        <f>IF(tblOrdenes[[#This Row],[fecha_inicio]]="","",INDEX(lista_dias,WEEKDAY(tblOrdenes[[#This Row],[fecha_inicio]],2)))</f>
        <v/>
      </c>
      <c r="T992" s="3">
        <f>IF(tblOrdenes[[#This Row],[tipo_ot]]="","",_xlfn.XLOOKUP(tblOrdenes[[#This Row],[tipo_ot]],tblTiposOT[codigo],tblTiposOT[clasificacion],"sin_clasificar"))</f>
        <v/>
      </c>
      <c r="U992" s="3">
        <f>IF(tblOrdenes[[#This Row],[centro_costo]]="","",_xlfn.XLOOKUP(tblOrdenes[[#This Row],[centro_costo]],tblCECO[codigo],tblCECO[linea],"(sin catálogo)"))</f>
        <v/>
      </c>
      <c r="V992" s="3">
        <f>IF(tblOrdenes[[#This Row],[centro_costo]]="","",_xlfn.XLOOKUP(tblOrdenes[[#This Row],[centro_costo]],tblCECO[codigo],tblCECO[area],"(sin catálogo)"))</f>
        <v/>
      </c>
      <c r="W992" s="3">
        <f>IF(tblOrdenes[[#This Row],[centro_costo]]="","",_xlfn.XLOOKUP(tblOrdenes[[#This Row],[centro_costo]],tblCECO[codigo],tblCECO[coordinador],"(sin catálogo)"))</f>
        <v/>
      </c>
      <c r="X992" s="3">
        <f>IF(tblOrdenes[[#This Row],[puesto_trabajo]]="","",_xlfn.XLOOKUP(tblOrdenes[[#This Row],[puesto_trabajo]],tblPuestos[codigo],tblPuestos[especialidad],"(sin catálogo)"))</f>
        <v/>
      </c>
      <c r="Y992" s="3">
        <f>IF(tblOrdenes[[#This Row],[cod_actividad]]="","",_xlfn.XLOOKUP(tblOrdenes[[#This Row],[cod_actividad]],tblActividades[codigo],tblActividades[descripcion],"(sin catálogo)"))</f>
        <v/>
      </c>
      <c r="Z992" s="12">
        <f>IF(tblOrdenes[[#This Row],[fecha_inicio]]="","",TODAY()-tblOrdenes[[#This Row],[fecha_inicio]])</f>
        <v/>
      </c>
      <c r="AA992" s="3">
        <f>IF(tblOrdenes[[#This Row],[backlog_dias]]="","",IF(tblOrdenes[[#This Row],[backlog_dias]]&lt;0,"FUTURO",IF(tblOrdenes[[#This Row],[backlog_dias]]&gt;p_dias_backlog_max,"BACKLOG","MES CORRIENTE")))</f>
        <v/>
      </c>
      <c r="AB992" s="3">
        <f>IF(tblOrdenes[[#This Row],[backlog_dias]]="",FALSE,AND(tblOrdenes[[#This Row],[backlog_dias]]&gt;p_dias_backlog_min,tblOrdenes[[#This Row],[backlog_dias]]&lt;=p_dias_backlog_max))</f>
        <v/>
      </c>
      <c r="AC992" s="6" t="n"/>
      <c r="AD9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92" s="10">
        <f>IF(tblOrdenes[[#This Row],[orden]]="","",_xlfn.XLOOKUP(tblOrdenes[[#This Row],[id_operacion]],tblEjecucion[id_operacion],tblEjecucion[precio],0))</f>
        <v/>
      </c>
      <c r="AH992" s="10">
        <f>IF(tblOrdenes[[#This Row],[orden]]="","",MAX(0,_xlfn.XLOOKUP(tblOrdenes[[#This Row],[id_operacion]],tblEjecucion[id_operacion],tblEjecucion[costo_plan_total],0)-tblOrdenes[[#This Row],[costo_servicio]]))</f>
        <v/>
      </c>
      <c r="AI992" s="10">
        <f>IF(tblOrdenes[[#This Row],[orden]]="","",tblOrdenes[[#This Row],[costo_servicio]]+tblOrdenes[[#This Row],[costo_materiales]])</f>
        <v/>
      </c>
      <c r="AJ992" s="6" t="n"/>
      <c r="AK992" s="6" t="n"/>
      <c r="AL992" s="6" t="n"/>
      <c r="AM992" s="3">
        <f>IF(tblOrdenes[[#This Row],[link_checklist]]="","",HYPERLINK(p_ruta_base_checklists&amp;tblOrdenes[[#This Row],[link_checklist]],"abrir"))</f>
        <v/>
      </c>
      <c r="AN992" s="6" t="n"/>
      <c r="AO992" s="3">
        <f>IF(tblOrdenes[[#This Row],[orden]]="","",tblOrdenes[[#This Row],[orden]]&amp;IF(tblOrdenes[[#This Row],[operacion]]="","0010",tblOrdenes[[#This Row],[operacion]]))</f>
        <v/>
      </c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11" t="n"/>
      <c r="K993" s="3" t="n"/>
      <c r="L993" s="10" t="n"/>
      <c r="M993" s="6" t="n"/>
      <c r="N9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93" s="3">
        <f>IF(tblOrdenes[[#This Row],[fecha_inicio]]="","",YEAR(tblOrdenes[[#This Row],[fecha_inicio]]))</f>
        <v/>
      </c>
      <c r="R993" s="3">
        <f>IF(tblOrdenes[[#This Row],[fecha_inicio]]="","",MONTH(tblOrdenes[[#This Row],[fecha_inicio]]))</f>
        <v/>
      </c>
      <c r="S993" s="3">
        <f>IF(tblOrdenes[[#This Row],[fecha_inicio]]="","",INDEX(lista_dias,WEEKDAY(tblOrdenes[[#This Row],[fecha_inicio]],2)))</f>
        <v/>
      </c>
      <c r="T993" s="3">
        <f>IF(tblOrdenes[[#This Row],[tipo_ot]]="","",_xlfn.XLOOKUP(tblOrdenes[[#This Row],[tipo_ot]],tblTiposOT[codigo],tblTiposOT[clasificacion],"sin_clasificar"))</f>
        <v/>
      </c>
      <c r="U993" s="3">
        <f>IF(tblOrdenes[[#This Row],[centro_costo]]="","",_xlfn.XLOOKUP(tblOrdenes[[#This Row],[centro_costo]],tblCECO[codigo],tblCECO[linea],"(sin catálogo)"))</f>
        <v/>
      </c>
      <c r="V993" s="3">
        <f>IF(tblOrdenes[[#This Row],[centro_costo]]="","",_xlfn.XLOOKUP(tblOrdenes[[#This Row],[centro_costo]],tblCECO[codigo],tblCECO[area],"(sin catálogo)"))</f>
        <v/>
      </c>
      <c r="W993" s="3">
        <f>IF(tblOrdenes[[#This Row],[centro_costo]]="","",_xlfn.XLOOKUP(tblOrdenes[[#This Row],[centro_costo]],tblCECO[codigo],tblCECO[coordinador],"(sin catálogo)"))</f>
        <v/>
      </c>
      <c r="X993" s="3">
        <f>IF(tblOrdenes[[#This Row],[puesto_trabajo]]="","",_xlfn.XLOOKUP(tblOrdenes[[#This Row],[puesto_trabajo]],tblPuestos[codigo],tblPuestos[especialidad],"(sin catálogo)"))</f>
        <v/>
      </c>
      <c r="Y993" s="3">
        <f>IF(tblOrdenes[[#This Row],[cod_actividad]]="","",_xlfn.XLOOKUP(tblOrdenes[[#This Row],[cod_actividad]],tblActividades[codigo],tblActividades[descripcion],"(sin catálogo)"))</f>
        <v/>
      </c>
      <c r="Z993" s="12">
        <f>IF(tblOrdenes[[#This Row],[fecha_inicio]]="","",TODAY()-tblOrdenes[[#This Row],[fecha_inicio]])</f>
        <v/>
      </c>
      <c r="AA993" s="3">
        <f>IF(tblOrdenes[[#This Row],[backlog_dias]]="","",IF(tblOrdenes[[#This Row],[backlog_dias]]&lt;0,"FUTURO",IF(tblOrdenes[[#This Row],[backlog_dias]]&gt;p_dias_backlog_max,"BACKLOG","MES CORRIENTE")))</f>
        <v/>
      </c>
      <c r="AB993" s="3">
        <f>IF(tblOrdenes[[#This Row],[backlog_dias]]="",FALSE,AND(tblOrdenes[[#This Row],[backlog_dias]]&gt;p_dias_backlog_min,tblOrdenes[[#This Row],[backlog_dias]]&lt;=p_dias_backlog_max))</f>
        <v/>
      </c>
      <c r="AC993" s="6" t="n"/>
      <c r="AD9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93" s="10">
        <f>IF(tblOrdenes[[#This Row],[orden]]="","",_xlfn.XLOOKUP(tblOrdenes[[#This Row],[id_operacion]],tblEjecucion[id_operacion],tblEjecucion[precio],0))</f>
        <v/>
      </c>
      <c r="AH993" s="10">
        <f>IF(tblOrdenes[[#This Row],[orden]]="","",MAX(0,_xlfn.XLOOKUP(tblOrdenes[[#This Row],[id_operacion]],tblEjecucion[id_operacion],tblEjecucion[costo_plan_total],0)-tblOrdenes[[#This Row],[costo_servicio]]))</f>
        <v/>
      </c>
      <c r="AI993" s="10">
        <f>IF(tblOrdenes[[#This Row],[orden]]="","",tblOrdenes[[#This Row],[costo_servicio]]+tblOrdenes[[#This Row],[costo_materiales]])</f>
        <v/>
      </c>
      <c r="AJ993" s="6" t="n"/>
      <c r="AK993" s="6" t="n"/>
      <c r="AL993" s="6" t="n"/>
      <c r="AM993" s="3">
        <f>IF(tblOrdenes[[#This Row],[link_checklist]]="","",HYPERLINK(p_ruta_base_checklists&amp;tblOrdenes[[#This Row],[link_checklist]],"abrir"))</f>
        <v/>
      </c>
      <c r="AN993" s="6" t="n"/>
      <c r="AO993" s="3">
        <f>IF(tblOrdenes[[#This Row],[orden]]="","",tblOrdenes[[#This Row],[orden]]&amp;IF(tblOrdenes[[#This Row],[operacion]]="","0010",tblOrdenes[[#This Row],[operacion]]))</f>
        <v/>
      </c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11" t="n"/>
      <c r="K994" s="3" t="n"/>
      <c r="L994" s="10" t="n"/>
      <c r="M994" s="6" t="n"/>
      <c r="N9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94" s="3">
        <f>IF(tblOrdenes[[#This Row],[fecha_inicio]]="","",YEAR(tblOrdenes[[#This Row],[fecha_inicio]]))</f>
        <v/>
      </c>
      <c r="R994" s="3">
        <f>IF(tblOrdenes[[#This Row],[fecha_inicio]]="","",MONTH(tblOrdenes[[#This Row],[fecha_inicio]]))</f>
        <v/>
      </c>
      <c r="S994" s="3">
        <f>IF(tblOrdenes[[#This Row],[fecha_inicio]]="","",INDEX(lista_dias,WEEKDAY(tblOrdenes[[#This Row],[fecha_inicio]],2)))</f>
        <v/>
      </c>
      <c r="T994" s="3">
        <f>IF(tblOrdenes[[#This Row],[tipo_ot]]="","",_xlfn.XLOOKUP(tblOrdenes[[#This Row],[tipo_ot]],tblTiposOT[codigo],tblTiposOT[clasificacion],"sin_clasificar"))</f>
        <v/>
      </c>
      <c r="U994" s="3">
        <f>IF(tblOrdenes[[#This Row],[centro_costo]]="","",_xlfn.XLOOKUP(tblOrdenes[[#This Row],[centro_costo]],tblCECO[codigo],tblCECO[linea],"(sin catálogo)"))</f>
        <v/>
      </c>
      <c r="V994" s="3">
        <f>IF(tblOrdenes[[#This Row],[centro_costo]]="","",_xlfn.XLOOKUP(tblOrdenes[[#This Row],[centro_costo]],tblCECO[codigo],tblCECO[area],"(sin catálogo)"))</f>
        <v/>
      </c>
      <c r="W994" s="3">
        <f>IF(tblOrdenes[[#This Row],[centro_costo]]="","",_xlfn.XLOOKUP(tblOrdenes[[#This Row],[centro_costo]],tblCECO[codigo],tblCECO[coordinador],"(sin catálogo)"))</f>
        <v/>
      </c>
      <c r="X994" s="3">
        <f>IF(tblOrdenes[[#This Row],[puesto_trabajo]]="","",_xlfn.XLOOKUP(tblOrdenes[[#This Row],[puesto_trabajo]],tblPuestos[codigo],tblPuestos[especialidad],"(sin catálogo)"))</f>
        <v/>
      </c>
      <c r="Y994" s="3">
        <f>IF(tblOrdenes[[#This Row],[cod_actividad]]="","",_xlfn.XLOOKUP(tblOrdenes[[#This Row],[cod_actividad]],tblActividades[codigo],tblActividades[descripcion],"(sin catálogo)"))</f>
        <v/>
      </c>
      <c r="Z994" s="12">
        <f>IF(tblOrdenes[[#This Row],[fecha_inicio]]="","",TODAY()-tblOrdenes[[#This Row],[fecha_inicio]])</f>
        <v/>
      </c>
      <c r="AA994" s="3">
        <f>IF(tblOrdenes[[#This Row],[backlog_dias]]="","",IF(tblOrdenes[[#This Row],[backlog_dias]]&lt;0,"FUTURO",IF(tblOrdenes[[#This Row],[backlog_dias]]&gt;p_dias_backlog_max,"BACKLOG","MES CORRIENTE")))</f>
        <v/>
      </c>
      <c r="AB994" s="3">
        <f>IF(tblOrdenes[[#This Row],[backlog_dias]]="",FALSE,AND(tblOrdenes[[#This Row],[backlog_dias]]&gt;p_dias_backlog_min,tblOrdenes[[#This Row],[backlog_dias]]&lt;=p_dias_backlog_max))</f>
        <v/>
      </c>
      <c r="AC994" s="6" t="n"/>
      <c r="AD9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94" s="10">
        <f>IF(tblOrdenes[[#This Row],[orden]]="","",_xlfn.XLOOKUP(tblOrdenes[[#This Row],[id_operacion]],tblEjecucion[id_operacion],tblEjecucion[precio],0))</f>
        <v/>
      </c>
      <c r="AH994" s="10">
        <f>IF(tblOrdenes[[#This Row],[orden]]="","",MAX(0,_xlfn.XLOOKUP(tblOrdenes[[#This Row],[id_operacion]],tblEjecucion[id_operacion],tblEjecucion[costo_plan_total],0)-tblOrdenes[[#This Row],[costo_servicio]]))</f>
        <v/>
      </c>
      <c r="AI994" s="10">
        <f>IF(tblOrdenes[[#This Row],[orden]]="","",tblOrdenes[[#This Row],[costo_servicio]]+tblOrdenes[[#This Row],[costo_materiales]])</f>
        <v/>
      </c>
      <c r="AJ994" s="6" t="n"/>
      <c r="AK994" s="6" t="n"/>
      <c r="AL994" s="6" t="n"/>
      <c r="AM994" s="3">
        <f>IF(tblOrdenes[[#This Row],[link_checklist]]="","",HYPERLINK(p_ruta_base_checklists&amp;tblOrdenes[[#This Row],[link_checklist]],"abrir"))</f>
        <v/>
      </c>
      <c r="AN994" s="6" t="n"/>
      <c r="AO994" s="3">
        <f>IF(tblOrdenes[[#This Row],[orden]]="","",tblOrdenes[[#This Row],[orden]]&amp;IF(tblOrdenes[[#This Row],[operacion]]="","0010",tblOrdenes[[#This Row],[operacion]]))</f>
        <v/>
      </c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11" t="n"/>
      <c r="K995" s="3" t="n"/>
      <c r="L995" s="10" t="n"/>
      <c r="M995" s="6" t="n"/>
      <c r="N9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95" s="3">
        <f>IF(tblOrdenes[[#This Row],[fecha_inicio]]="","",YEAR(tblOrdenes[[#This Row],[fecha_inicio]]))</f>
        <v/>
      </c>
      <c r="R995" s="3">
        <f>IF(tblOrdenes[[#This Row],[fecha_inicio]]="","",MONTH(tblOrdenes[[#This Row],[fecha_inicio]]))</f>
        <v/>
      </c>
      <c r="S995" s="3">
        <f>IF(tblOrdenes[[#This Row],[fecha_inicio]]="","",INDEX(lista_dias,WEEKDAY(tblOrdenes[[#This Row],[fecha_inicio]],2)))</f>
        <v/>
      </c>
      <c r="T995" s="3">
        <f>IF(tblOrdenes[[#This Row],[tipo_ot]]="","",_xlfn.XLOOKUP(tblOrdenes[[#This Row],[tipo_ot]],tblTiposOT[codigo],tblTiposOT[clasificacion],"sin_clasificar"))</f>
        <v/>
      </c>
      <c r="U995" s="3">
        <f>IF(tblOrdenes[[#This Row],[centro_costo]]="","",_xlfn.XLOOKUP(tblOrdenes[[#This Row],[centro_costo]],tblCECO[codigo],tblCECO[linea],"(sin catálogo)"))</f>
        <v/>
      </c>
      <c r="V995" s="3">
        <f>IF(tblOrdenes[[#This Row],[centro_costo]]="","",_xlfn.XLOOKUP(tblOrdenes[[#This Row],[centro_costo]],tblCECO[codigo],tblCECO[area],"(sin catálogo)"))</f>
        <v/>
      </c>
      <c r="W995" s="3">
        <f>IF(tblOrdenes[[#This Row],[centro_costo]]="","",_xlfn.XLOOKUP(tblOrdenes[[#This Row],[centro_costo]],tblCECO[codigo],tblCECO[coordinador],"(sin catálogo)"))</f>
        <v/>
      </c>
      <c r="X995" s="3">
        <f>IF(tblOrdenes[[#This Row],[puesto_trabajo]]="","",_xlfn.XLOOKUP(tblOrdenes[[#This Row],[puesto_trabajo]],tblPuestos[codigo],tblPuestos[especialidad],"(sin catálogo)"))</f>
        <v/>
      </c>
      <c r="Y995" s="3">
        <f>IF(tblOrdenes[[#This Row],[cod_actividad]]="","",_xlfn.XLOOKUP(tblOrdenes[[#This Row],[cod_actividad]],tblActividades[codigo],tblActividades[descripcion],"(sin catálogo)"))</f>
        <v/>
      </c>
      <c r="Z995" s="12">
        <f>IF(tblOrdenes[[#This Row],[fecha_inicio]]="","",TODAY()-tblOrdenes[[#This Row],[fecha_inicio]])</f>
        <v/>
      </c>
      <c r="AA995" s="3">
        <f>IF(tblOrdenes[[#This Row],[backlog_dias]]="","",IF(tblOrdenes[[#This Row],[backlog_dias]]&lt;0,"FUTURO",IF(tblOrdenes[[#This Row],[backlog_dias]]&gt;p_dias_backlog_max,"BACKLOG","MES CORRIENTE")))</f>
        <v/>
      </c>
      <c r="AB995" s="3">
        <f>IF(tblOrdenes[[#This Row],[backlog_dias]]="",FALSE,AND(tblOrdenes[[#This Row],[backlog_dias]]&gt;p_dias_backlog_min,tblOrdenes[[#This Row],[backlog_dias]]&lt;=p_dias_backlog_max))</f>
        <v/>
      </c>
      <c r="AC995" s="6" t="n"/>
      <c r="AD9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95" s="10">
        <f>IF(tblOrdenes[[#This Row],[orden]]="","",_xlfn.XLOOKUP(tblOrdenes[[#This Row],[id_operacion]],tblEjecucion[id_operacion],tblEjecucion[precio],0))</f>
        <v/>
      </c>
      <c r="AH995" s="10">
        <f>IF(tblOrdenes[[#This Row],[orden]]="","",MAX(0,_xlfn.XLOOKUP(tblOrdenes[[#This Row],[id_operacion]],tblEjecucion[id_operacion],tblEjecucion[costo_plan_total],0)-tblOrdenes[[#This Row],[costo_servicio]]))</f>
        <v/>
      </c>
      <c r="AI995" s="10">
        <f>IF(tblOrdenes[[#This Row],[orden]]="","",tblOrdenes[[#This Row],[costo_servicio]]+tblOrdenes[[#This Row],[costo_materiales]])</f>
        <v/>
      </c>
      <c r="AJ995" s="6" t="n"/>
      <c r="AK995" s="6" t="n"/>
      <c r="AL995" s="6" t="n"/>
      <c r="AM995" s="3">
        <f>IF(tblOrdenes[[#This Row],[link_checklist]]="","",HYPERLINK(p_ruta_base_checklists&amp;tblOrdenes[[#This Row],[link_checklist]],"abrir"))</f>
        <v/>
      </c>
      <c r="AN995" s="6" t="n"/>
      <c r="AO995" s="3">
        <f>IF(tblOrdenes[[#This Row],[orden]]="","",tblOrdenes[[#This Row],[orden]]&amp;IF(tblOrdenes[[#This Row],[operacion]]="","0010",tblOrdenes[[#This Row],[operacion]]))</f>
        <v/>
      </c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11" t="n"/>
      <c r="K996" s="3" t="n"/>
      <c r="L996" s="10" t="n"/>
      <c r="M996" s="6" t="n"/>
      <c r="N9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96" s="3">
        <f>IF(tblOrdenes[[#This Row],[fecha_inicio]]="","",YEAR(tblOrdenes[[#This Row],[fecha_inicio]]))</f>
        <v/>
      </c>
      <c r="R996" s="3">
        <f>IF(tblOrdenes[[#This Row],[fecha_inicio]]="","",MONTH(tblOrdenes[[#This Row],[fecha_inicio]]))</f>
        <v/>
      </c>
      <c r="S996" s="3">
        <f>IF(tblOrdenes[[#This Row],[fecha_inicio]]="","",INDEX(lista_dias,WEEKDAY(tblOrdenes[[#This Row],[fecha_inicio]],2)))</f>
        <v/>
      </c>
      <c r="T996" s="3">
        <f>IF(tblOrdenes[[#This Row],[tipo_ot]]="","",_xlfn.XLOOKUP(tblOrdenes[[#This Row],[tipo_ot]],tblTiposOT[codigo],tblTiposOT[clasificacion],"sin_clasificar"))</f>
        <v/>
      </c>
      <c r="U996" s="3">
        <f>IF(tblOrdenes[[#This Row],[centro_costo]]="","",_xlfn.XLOOKUP(tblOrdenes[[#This Row],[centro_costo]],tblCECO[codigo],tblCECO[linea],"(sin catálogo)"))</f>
        <v/>
      </c>
      <c r="V996" s="3">
        <f>IF(tblOrdenes[[#This Row],[centro_costo]]="","",_xlfn.XLOOKUP(tblOrdenes[[#This Row],[centro_costo]],tblCECO[codigo],tblCECO[area],"(sin catálogo)"))</f>
        <v/>
      </c>
      <c r="W996" s="3">
        <f>IF(tblOrdenes[[#This Row],[centro_costo]]="","",_xlfn.XLOOKUP(tblOrdenes[[#This Row],[centro_costo]],tblCECO[codigo],tblCECO[coordinador],"(sin catálogo)"))</f>
        <v/>
      </c>
      <c r="X996" s="3">
        <f>IF(tblOrdenes[[#This Row],[puesto_trabajo]]="","",_xlfn.XLOOKUP(tblOrdenes[[#This Row],[puesto_trabajo]],tblPuestos[codigo],tblPuestos[especialidad],"(sin catálogo)"))</f>
        <v/>
      </c>
      <c r="Y996" s="3">
        <f>IF(tblOrdenes[[#This Row],[cod_actividad]]="","",_xlfn.XLOOKUP(tblOrdenes[[#This Row],[cod_actividad]],tblActividades[codigo],tblActividades[descripcion],"(sin catálogo)"))</f>
        <v/>
      </c>
      <c r="Z996" s="12">
        <f>IF(tblOrdenes[[#This Row],[fecha_inicio]]="","",TODAY()-tblOrdenes[[#This Row],[fecha_inicio]])</f>
        <v/>
      </c>
      <c r="AA996" s="3">
        <f>IF(tblOrdenes[[#This Row],[backlog_dias]]="","",IF(tblOrdenes[[#This Row],[backlog_dias]]&lt;0,"FUTURO",IF(tblOrdenes[[#This Row],[backlog_dias]]&gt;p_dias_backlog_max,"BACKLOG","MES CORRIENTE")))</f>
        <v/>
      </c>
      <c r="AB996" s="3">
        <f>IF(tblOrdenes[[#This Row],[backlog_dias]]="",FALSE,AND(tblOrdenes[[#This Row],[backlog_dias]]&gt;p_dias_backlog_min,tblOrdenes[[#This Row],[backlog_dias]]&lt;=p_dias_backlog_max))</f>
        <v/>
      </c>
      <c r="AC996" s="6" t="n"/>
      <c r="AD9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96" s="10">
        <f>IF(tblOrdenes[[#This Row],[orden]]="","",_xlfn.XLOOKUP(tblOrdenes[[#This Row],[id_operacion]],tblEjecucion[id_operacion],tblEjecucion[precio],0))</f>
        <v/>
      </c>
      <c r="AH996" s="10">
        <f>IF(tblOrdenes[[#This Row],[orden]]="","",MAX(0,_xlfn.XLOOKUP(tblOrdenes[[#This Row],[id_operacion]],tblEjecucion[id_operacion],tblEjecucion[costo_plan_total],0)-tblOrdenes[[#This Row],[costo_servicio]]))</f>
        <v/>
      </c>
      <c r="AI996" s="10">
        <f>IF(tblOrdenes[[#This Row],[orden]]="","",tblOrdenes[[#This Row],[costo_servicio]]+tblOrdenes[[#This Row],[costo_materiales]])</f>
        <v/>
      </c>
      <c r="AJ996" s="6" t="n"/>
      <c r="AK996" s="6" t="n"/>
      <c r="AL996" s="6" t="n"/>
      <c r="AM996" s="3">
        <f>IF(tblOrdenes[[#This Row],[link_checklist]]="","",HYPERLINK(p_ruta_base_checklists&amp;tblOrdenes[[#This Row],[link_checklist]],"abrir"))</f>
        <v/>
      </c>
      <c r="AN996" s="6" t="n"/>
      <c r="AO996" s="3">
        <f>IF(tblOrdenes[[#This Row],[orden]]="","",tblOrdenes[[#This Row],[orden]]&amp;IF(tblOrdenes[[#This Row],[operacion]]="","0010",tblOrdenes[[#This Row],[operacion]]))</f>
        <v/>
      </c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11" t="n"/>
      <c r="K997" s="3" t="n"/>
      <c r="L997" s="10" t="n"/>
      <c r="M997" s="6" t="n"/>
      <c r="N9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97" s="3">
        <f>IF(tblOrdenes[[#This Row],[fecha_inicio]]="","",YEAR(tblOrdenes[[#This Row],[fecha_inicio]]))</f>
        <v/>
      </c>
      <c r="R997" s="3">
        <f>IF(tblOrdenes[[#This Row],[fecha_inicio]]="","",MONTH(tblOrdenes[[#This Row],[fecha_inicio]]))</f>
        <v/>
      </c>
      <c r="S997" s="3">
        <f>IF(tblOrdenes[[#This Row],[fecha_inicio]]="","",INDEX(lista_dias,WEEKDAY(tblOrdenes[[#This Row],[fecha_inicio]],2)))</f>
        <v/>
      </c>
      <c r="T997" s="3">
        <f>IF(tblOrdenes[[#This Row],[tipo_ot]]="","",_xlfn.XLOOKUP(tblOrdenes[[#This Row],[tipo_ot]],tblTiposOT[codigo],tblTiposOT[clasificacion],"sin_clasificar"))</f>
        <v/>
      </c>
      <c r="U997" s="3">
        <f>IF(tblOrdenes[[#This Row],[centro_costo]]="","",_xlfn.XLOOKUP(tblOrdenes[[#This Row],[centro_costo]],tblCECO[codigo],tblCECO[linea],"(sin catálogo)"))</f>
        <v/>
      </c>
      <c r="V997" s="3">
        <f>IF(tblOrdenes[[#This Row],[centro_costo]]="","",_xlfn.XLOOKUP(tblOrdenes[[#This Row],[centro_costo]],tblCECO[codigo],tblCECO[area],"(sin catálogo)"))</f>
        <v/>
      </c>
      <c r="W997" s="3">
        <f>IF(tblOrdenes[[#This Row],[centro_costo]]="","",_xlfn.XLOOKUP(tblOrdenes[[#This Row],[centro_costo]],tblCECO[codigo],tblCECO[coordinador],"(sin catálogo)"))</f>
        <v/>
      </c>
      <c r="X997" s="3">
        <f>IF(tblOrdenes[[#This Row],[puesto_trabajo]]="","",_xlfn.XLOOKUP(tblOrdenes[[#This Row],[puesto_trabajo]],tblPuestos[codigo],tblPuestos[especialidad],"(sin catálogo)"))</f>
        <v/>
      </c>
      <c r="Y997" s="3">
        <f>IF(tblOrdenes[[#This Row],[cod_actividad]]="","",_xlfn.XLOOKUP(tblOrdenes[[#This Row],[cod_actividad]],tblActividades[codigo],tblActividades[descripcion],"(sin catálogo)"))</f>
        <v/>
      </c>
      <c r="Z997" s="12">
        <f>IF(tblOrdenes[[#This Row],[fecha_inicio]]="","",TODAY()-tblOrdenes[[#This Row],[fecha_inicio]])</f>
        <v/>
      </c>
      <c r="AA997" s="3">
        <f>IF(tblOrdenes[[#This Row],[backlog_dias]]="","",IF(tblOrdenes[[#This Row],[backlog_dias]]&lt;0,"FUTURO",IF(tblOrdenes[[#This Row],[backlog_dias]]&gt;p_dias_backlog_max,"BACKLOG","MES CORRIENTE")))</f>
        <v/>
      </c>
      <c r="AB997" s="3">
        <f>IF(tblOrdenes[[#This Row],[backlog_dias]]="",FALSE,AND(tblOrdenes[[#This Row],[backlog_dias]]&gt;p_dias_backlog_min,tblOrdenes[[#This Row],[backlog_dias]]&lt;=p_dias_backlog_max))</f>
        <v/>
      </c>
      <c r="AC997" s="6" t="n"/>
      <c r="AD9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97" s="10">
        <f>IF(tblOrdenes[[#This Row],[orden]]="","",_xlfn.XLOOKUP(tblOrdenes[[#This Row],[id_operacion]],tblEjecucion[id_operacion],tblEjecucion[precio],0))</f>
        <v/>
      </c>
      <c r="AH997" s="10">
        <f>IF(tblOrdenes[[#This Row],[orden]]="","",MAX(0,_xlfn.XLOOKUP(tblOrdenes[[#This Row],[id_operacion]],tblEjecucion[id_operacion],tblEjecucion[costo_plan_total],0)-tblOrdenes[[#This Row],[costo_servicio]]))</f>
        <v/>
      </c>
      <c r="AI997" s="10">
        <f>IF(tblOrdenes[[#This Row],[orden]]="","",tblOrdenes[[#This Row],[costo_servicio]]+tblOrdenes[[#This Row],[costo_materiales]])</f>
        <v/>
      </c>
      <c r="AJ997" s="6" t="n"/>
      <c r="AK997" s="6" t="n"/>
      <c r="AL997" s="6" t="n"/>
      <c r="AM997" s="3">
        <f>IF(tblOrdenes[[#This Row],[link_checklist]]="","",HYPERLINK(p_ruta_base_checklists&amp;tblOrdenes[[#This Row],[link_checklist]],"abrir"))</f>
        <v/>
      </c>
      <c r="AN997" s="6" t="n"/>
      <c r="AO997" s="3">
        <f>IF(tblOrdenes[[#This Row],[orden]]="","",tblOrdenes[[#This Row],[orden]]&amp;IF(tblOrdenes[[#This Row],[operacion]]="","0010",tblOrdenes[[#This Row],[operacion]]))</f>
        <v/>
      </c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11" t="n"/>
      <c r="K998" s="3" t="n"/>
      <c r="L998" s="10" t="n"/>
      <c r="M998" s="6" t="n"/>
      <c r="N9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98" s="3">
        <f>IF(tblOrdenes[[#This Row],[fecha_inicio]]="","",YEAR(tblOrdenes[[#This Row],[fecha_inicio]]))</f>
        <v/>
      </c>
      <c r="R998" s="3">
        <f>IF(tblOrdenes[[#This Row],[fecha_inicio]]="","",MONTH(tblOrdenes[[#This Row],[fecha_inicio]]))</f>
        <v/>
      </c>
      <c r="S998" s="3">
        <f>IF(tblOrdenes[[#This Row],[fecha_inicio]]="","",INDEX(lista_dias,WEEKDAY(tblOrdenes[[#This Row],[fecha_inicio]],2)))</f>
        <v/>
      </c>
      <c r="T998" s="3">
        <f>IF(tblOrdenes[[#This Row],[tipo_ot]]="","",_xlfn.XLOOKUP(tblOrdenes[[#This Row],[tipo_ot]],tblTiposOT[codigo],tblTiposOT[clasificacion],"sin_clasificar"))</f>
        <v/>
      </c>
      <c r="U998" s="3">
        <f>IF(tblOrdenes[[#This Row],[centro_costo]]="","",_xlfn.XLOOKUP(tblOrdenes[[#This Row],[centro_costo]],tblCECO[codigo],tblCECO[linea],"(sin catálogo)"))</f>
        <v/>
      </c>
      <c r="V998" s="3">
        <f>IF(tblOrdenes[[#This Row],[centro_costo]]="","",_xlfn.XLOOKUP(tblOrdenes[[#This Row],[centro_costo]],tblCECO[codigo],tblCECO[area],"(sin catálogo)"))</f>
        <v/>
      </c>
      <c r="W998" s="3">
        <f>IF(tblOrdenes[[#This Row],[centro_costo]]="","",_xlfn.XLOOKUP(tblOrdenes[[#This Row],[centro_costo]],tblCECO[codigo],tblCECO[coordinador],"(sin catálogo)"))</f>
        <v/>
      </c>
      <c r="X998" s="3">
        <f>IF(tblOrdenes[[#This Row],[puesto_trabajo]]="","",_xlfn.XLOOKUP(tblOrdenes[[#This Row],[puesto_trabajo]],tblPuestos[codigo],tblPuestos[especialidad],"(sin catálogo)"))</f>
        <v/>
      </c>
      <c r="Y998" s="3">
        <f>IF(tblOrdenes[[#This Row],[cod_actividad]]="","",_xlfn.XLOOKUP(tblOrdenes[[#This Row],[cod_actividad]],tblActividades[codigo],tblActividades[descripcion],"(sin catálogo)"))</f>
        <v/>
      </c>
      <c r="Z998" s="12">
        <f>IF(tblOrdenes[[#This Row],[fecha_inicio]]="","",TODAY()-tblOrdenes[[#This Row],[fecha_inicio]])</f>
        <v/>
      </c>
      <c r="AA998" s="3">
        <f>IF(tblOrdenes[[#This Row],[backlog_dias]]="","",IF(tblOrdenes[[#This Row],[backlog_dias]]&lt;0,"FUTURO",IF(tblOrdenes[[#This Row],[backlog_dias]]&gt;p_dias_backlog_max,"BACKLOG","MES CORRIENTE")))</f>
        <v/>
      </c>
      <c r="AB998" s="3">
        <f>IF(tblOrdenes[[#This Row],[backlog_dias]]="",FALSE,AND(tblOrdenes[[#This Row],[backlog_dias]]&gt;p_dias_backlog_min,tblOrdenes[[#This Row],[backlog_dias]]&lt;=p_dias_backlog_max))</f>
        <v/>
      </c>
      <c r="AC998" s="6" t="n"/>
      <c r="AD9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98" s="10">
        <f>IF(tblOrdenes[[#This Row],[orden]]="","",_xlfn.XLOOKUP(tblOrdenes[[#This Row],[id_operacion]],tblEjecucion[id_operacion],tblEjecucion[precio],0))</f>
        <v/>
      </c>
      <c r="AH998" s="10">
        <f>IF(tblOrdenes[[#This Row],[orden]]="","",MAX(0,_xlfn.XLOOKUP(tblOrdenes[[#This Row],[id_operacion]],tblEjecucion[id_operacion],tblEjecucion[costo_plan_total],0)-tblOrdenes[[#This Row],[costo_servicio]]))</f>
        <v/>
      </c>
      <c r="AI998" s="10">
        <f>IF(tblOrdenes[[#This Row],[orden]]="","",tblOrdenes[[#This Row],[costo_servicio]]+tblOrdenes[[#This Row],[costo_materiales]])</f>
        <v/>
      </c>
      <c r="AJ998" s="6" t="n"/>
      <c r="AK998" s="6" t="n"/>
      <c r="AL998" s="6" t="n"/>
      <c r="AM998" s="3">
        <f>IF(tblOrdenes[[#This Row],[link_checklist]]="","",HYPERLINK(p_ruta_base_checklists&amp;tblOrdenes[[#This Row],[link_checklist]],"abrir"))</f>
        <v/>
      </c>
      <c r="AN998" s="6" t="n"/>
      <c r="AO998" s="3">
        <f>IF(tblOrdenes[[#This Row],[orden]]="","",tblOrdenes[[#This Row],[orden]]&amp;IF(tblOrdenes[[#This Row],[operacion]]="","0010",tblOrdenes[[#This Row],[operacion]]))</f>
        <v/>
      </c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11" t="n"/>
      <c r="K999" s="3" t="n"/>
      <c r="L999" s="10" t="n"/>
      <c r="M999" s="6" t="n"/>
      <c r="N9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9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9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999" s="3">
        <f>IF(tblOrdenes[[#This Row],[fecha_inicio]]="","",YEAR(tblOrdenes[[#This Row],[fecha_inicio]]))</f>
        <v/>
      </c>
      <c r="R999" s="3">
        <f>IF(tblOrdenes[[#This Row],[fecha_inicio]]="","",MONTH(tblOrdenes[[#This Row],[fecha_inicio]]))</f>
        <v/>
      </c>
      <c r="S999" s="3">
        <f>IF(tblOrdenes[[#This Row],[fecha_inicio]]="","",INDEX(lista_dias,WEEKDAY(tblOrdenes[[#This Row],[fecha_inicio]],2)))</f>
        <v/>
      </c>
      <c r="T999" s="3">
        <f>IF(tblOrdenes[[#This Row],[tipo_ot]]="","",_xlfn.XLOOKUP(tblOrdenes[[#This Row],[tipo_ot]],tblTiposOT[codigo],tblTiposOT[clasificacion],"sin_clasificar"))</f>
        <v/>
      </c>
      <c r="U999" s="3">
        <f>IF(tblOrdenes[[#This Row],[centro_costo]]="","",_xlfn.XLOOKUP(tblOrdenes[[#This Row],[centro_costo]],tblCECO[codigo],tblCECO[linea],"(sin catálogo)"))</f>
        <v/>
      </c>
      <c r="V999" s="3">
        <f>IF(tblOrdenes[[#This Row],[centro_costo]]="","",_xlfn.XLOOKUP(tblOrdenes[[#This Row],[centro_costo]],tblCECO[codigo],tblCECO[area],"(sin catálogo)"))</f>
        <v/>
      </c>
      <c r="W999" s="3">
        <f>IF(tblOrdenes[[#This Row],[centro_costo]]="","",_xlfn.XLOOKUP(tblOrdenes[[#This Row],[centro_costo]],tblCECO[codigo],tblCECO[coordinador],"(sin catálogo)"))</f>
        <v/>
      </c>
      <c r="X999" s="3">
        <f>IF(tblOrdenes[[#This Row],[puesto_trabajo]]="","",_xlfn.XLOOKUP(tblOrdenes[[#This Row],[puesto_trabajo]],tblPuestos[codigo],tblPuestos[especialidad],"(sin catálogo)"))</f>
        <v/>
      </c>
      <c r="Y999" s="3">
        <f>IF(tblOrdenes[[#This Row],[cod_actividad]]="","",_xlfn.XLOOKUP(tblOrdenes[[#This Row],[cod_actividad]],tblActividades[codigo],tblActividades[descripcion],"(sin catálogo)"))</f>
        <v/>
      </c>
      <c r="Z999" s="12">
        <f>IF(tblOrdenes[[#This Row],[fecha_inicio]]="","",TODAY()-tblOrdenes[[#This Row],[fecha_inicio]])</f>
        <v/>
      </c>
      <c r="AA999" s="3">
        <f>IF(tblOrdenes[[#This Row],[backlog_dias]]="","",IF(tblOrdenes[[#This Row],[backlog_dias]]&lt;0,"FUTURO",IF(tblOrdenes[[#This Row],[backlog_dias]]&gt;p_dias_backlog_max,"BACKLOG","MES CORRIENTE")))</f>
        <v/>
      </c>
      <c r="AB999" s="3">
        <f>IF(tblOrdenes[[#This Row],[backlog_dias]]="",FALSE,AND(tblOrdenes[[#This Row],[backlog_dias]]&gt;p_dias_backlog_min,tblOrdenes[[#This Row],[backlog_dias]]&lt;=p_dias_backlog_max))</f>
        <v/>
      </c>
      <c r="AC999" s="6" t="n"/>
      <c r="AD9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9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9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999" s="10">
        <f>IF(tblOrdenes[[#This Row],[orden]]="","",_xlfn.XLOOKUP(tblOrdenes[[#This Row],[id_operacion]],tblEjecucion[id_operacion],tblEjecucion[precio],0))</f>
        <v/>
      </c>
      <c r="AH999" s="10">
        <f>IF(tblOrdenes[[#This Row],[orden]]="","",MAX(0,_xlfn.XLOOKUP(tblOrdenes[[#This Row],[id_operacion]],tblEjecucion[id_operacion],tblEjecucion[costo_plan_total],0)-tblOrdenes[[#This Row],[costo_servicio]]))</f>
        <v/>
      </c>
      <c r="AI999" s="10">
        <f>IF(tblOrdenes[[#This Row],[orden]]="","",tblOrdenes[[#This Row],[costo_servicio]]+tblOrdenes[[#This Row],[costo_materiales]])</f>
        <v/>
      </c>
      <c r="AJ999" s="6" t="n"/>
      <c r="AK999" s="6" t="n"/>
      <c r="AL999" s="6" t="n"/>
      <c r="AM999" s="3">
        <f>IF(tblOrdenes[[#This Row],[link_checklist]]="","",HYPERLINK(p_ruta_base_checklists&amp;tblOrdenes[[#This Row],[link_checklist]],"abrir"))</f>
        <v/>
      </c>
      <c r="AN999" s="6" t="n"/>
      <c r="AO999" s="3">
        <f>IF(tblOrdenes[[#This Row],[orden]]="","",tblOrdenes[[#This Row],[orden]]&amp;IF(tblOrdenes[[#This Row],[operacion]]="","0010",tblOrdenes[[#This Row],[operacion]]))</f>
        <v/>
      </c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11" t="n"/>
      <c r="K1000" s="3" t="n"/>
      <c r="L1000" s="10" t="n"/>
      <c r="M1000" s="6" t="n"/>
      <c r="N10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00" s="3">
        <f>IF(tblOrdenes[[#This Row],[fecha_inicio]]="","",YEAR(tblOrdenes[[#This Row],[fecha_inicio]]))</f>
        <v/>
      </c>
      <c r="R1000" s="3">
        <f>IF(tblOrdenes[[#This Row],[fecha_inicio]]="","",MONTH(tblOrdenes[[#This Row],[fecha_inicio]]))</f>
        <v/>
      </c>
      <c r="S1000" s="3">
        <f>IF(tblOrdenes[[#This Row],[fecha_inicio]]="","",INDEX(lista_dias,WEEKDAY(tblOrdenes[[#This Row],[fecha_inicio]],2)))</f>
        <v/>
      </c>
      <c r="T1000" s="3">
        <f>IF(tblOrdenes[[#This Row],[tipo_ot]]="","",_xlfn.XLOOKUP(tblOrdenes[[#This Row],[tipo_ot]],tblTiposOT[codigo],tblTiposOT[clasificacion],"sin_clasificar"))</f>
        <v/>
      </c>
      <c r="U1000" s="3">
        <f>IF(tblOrdenes[[#This Row],[centro_costo]]="","",_xlfn.XLOOKUP(tblOrdenes[[#This Row],[centro_costo]],tblCECO[codigo],tblCECO[linea],"(sin catálogo)"))</f>
        <v/>
      </c>
      <c r="V1000" s="3">
        <f>IF(tblOrdenes[[#This Row],[centro_costo]]="","",_xlfn.XLOOKUP(tblOrdenes[[#This Row],[centro_costo]],tblCECO[codigo],tblCECO[area],"(sin catálogo)"))</f>
        <v/>
      </c>
      <c r="W1000" s="3">
        <f>IF(tblOrdenes[[#This Row],[centro_costo]]="","",_xlfn.XLOOKUP(tblOrdenes[[#This Row],[centro_costo]],tblCECO[codigo],tblCECO[coordinador],"(sin catálogo)"))</f>
        <v/>
      </c>
      <c r="X1000" s="3">
        <f>IF(tblOrdenes[[#This Row],[puesto_trabajo]]="","",_xlfn.XLOOKUP(tblOrdenes[[#This Row],[puesto_trabajo]],tblPuestos[codigo],tblPuestos[especialidad],"(sin catálogo)"))</f>
        <v/>
      </c>
      <c r="Y1000" s="3">
        <f>IF(tblOrdenes[[#This Row],[cod_actividad]]="","",_xlfn.XLOOKUP(tblOrdenes[[#This Row],[cod_actividad]],tblActividades[codigo],tblActividades[descripcion],"(sin catálogo)"))</f>
        <v/>
      </c>
      <c r="Z1000" s="12">
        <f>IF(tblOrdenes[[#This Row],[fecha_inicio]]="","",TODAY()-tblOrdenes[[#This Row],[fecha_inicio]])</f>
        <v/>
      </c>
      <c r="AA1000" s="3">
        <f>IF(tblOrdenes[[#This Row],[backlog_dias]]="","",IF(tblOrdenes[[#This Row],[backlog_dias]]&lt;0,"FUTURO",IF(tblOrdenes[[#This Row],[backlog_dias]]&gt;p_dias_backlog_max,"BACKLOG","MES CORRIENTE")))</f>
        <v/>
      </c>
      <c r="AB1000" s="3">
        <f>IF(tblOrdenes[[#This Row],[backlog_dias]]="",FALSE,AND(tblOrdenes[[#This Row],[backlog_dias]]&gt;p_dias_backlog_min,tblOrdenes[[#This Row],[backlog_dias]]&lt;=p_dias_backlog_max))</f>
        <v/>
      </c>
      <c r="AC1000" s="6" t="n"/>
      <c r="AD10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00" s="10">
        <f>IF(tblOrdenes[[#This Row],[orden]]="","",_xlfn.XLOOKUP(tblOrdenes[[#This Row],[id_operacion]],tblEjecucion[id_operacion],tblEjecucion[precio],0))</f>
        <v/>
      </c>
      <c r="AH1000" s="10">
        <f>IF(tblOrdenes[[#This Row],[orden]]="","",MAX(0,_xlfn.XLOOKUP(tblOrdenes[[#This Row],[id_operacion]],tblEjecucion[id_operacion],tblEjecucion[costo_plan_total],0)-tblOrdenes[[#This Row],[costo_servicio]]))</f>
        <v/>
      </c>
      <c r="AI1000" s="10">
        <f>IF(tblOrdenes[[#This Row],[orden]]="","",tblOrdenes[[#This Row],[costo_servicio]]+tblOrdenes[[#This Row],[costo_materiales]])</f>
        <v/>
      </c>
      <c r="AJ1000" s="6" t="n"/>
      <c r="AK1000" s="6" t="n"/>
      <c r="AL1000" s="6" t="n"/>
      <c r="AM1000" s="3">
        <f>IF(tblOrdenes[[#This Row],[link_checklist]]="","",HYPERLINK(p_ruta_base_checklists&amp;tblOrdenes[[#This Row],[link_checklist]],"abrir"))</f>
        <v/>
      </c>
      <c r="AN1000" s="6" t="n"/>
      <c r="AO1000" s="3">
        <f>IF(tblOrdenes[[#This Row],[orden]]="","",tblOrdenes[[#This Row],[orden]]&amp;IF(tblOrdenes[[#This Row],[operacion]]="","0010",tblOrdenes[[#This Row],[operacion]]))</f>
        <v/>
      </c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11" t="n"/>
      <c r="K1001" s="3" t="n"/>
      <c r="L1001" s="10" t="n"/>
      <c r="M1001" s="6" t="n"/>
      <c r="N10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01" s="3">
        <f>IF(tblOrdenes[[#This Row],[fecha_inicio]]="","",YEAR(tblOrdenes[[#This Row],[fecha_inicio]]))</f>
        <v/>
      </c>
      <c r="R1001" s="3">
        <f>IF(tblOrdenes[[#This Row],[fecha_inicio]]="","",MONTH(tblOrdenes[[#This Row],[fecha_inicio]]))</f>
        <v/>
      </c>
      <c r="S1001" s="3">
        <f>IF(tblOrdenes[[#This Row],[fecha_inicio]]="","",INDEX(lista_dias,WEEKDAY(tblOrdenes[[#This Row],[fecha_inicio]],2)))</f>
        <v/>
      </c>
      <c r="T1001" s="3">
        <f>IF(tblOrdenes[[#This Row],[tipo_ot]]="","",_xlfn.XLOOKUP(tblOrdenes[[#This Row],[tipo_ot]],tblTiposOT[codigo],tblTiposOT[clasificacion],"sin_clasificar"))</f>
        <v/>
      </c>
      <c r="U1001" s="3">
        <f>IF(tblOrdenes[[#This Row],[centro_costo]]="","",_xlfn.XLOOKUP(tblOrdenes[[#This Row],[centro_costo]],tblCECO[codigo],tblCECO[linea],"(sin catálogo)"))</f>
        <v/>
      </c>
      <c r="V1001" s="3">
        <f>IF(tblOrdenes[[#This Row],[centro_costo]]="","",_xlfn.XLOOKUP(tblOrdenes[[#This Row],[centro_costo]],tblCECO[codigo],tblCECO[area],"(sin catálogo)"))</f>
        <v/>
      </c>
      <c r="W1001" s="3">
        <f>IF(tblOrdenes[[#This Row],[centro_costo]]="","",_xlfn.XLOOKUP(tblOrdenes[[#This Row],[centro_costo]],tblCECO[codigo],tblCECO[coordinador],"(sin catálogo)"))</f>
        <v/>
      </c>
      <c r="X1001" s="3">
        <f>IF(tblOrdenes[[#This Row],[puesto_trabajo]]="","",_xlfn.XLOOKUP(tblOrdenes[[#This Row],[puesto_trabajo]],tblPuestos[codigo],tblPuestos[especialidad],"(sin catálogo)"))</f>
        <v/>
      </c>
      <c r="Y1001" s="3">
        <f>IF(tblOrdenes[[#This Row],[cod_actividad]]="","",_xlfn.XLOOKUP(tblOrdenes[[#This Row],[cod_actividad]],tblActividades[codigo],tblActividades[descripcion],"(sin catálogo)"))</f>
        <v/>
      </c>
      <c r="Z1001" s="12">
        <f>IF(tblOrdenes[[#This Row],[fecha_inicio]]="","",TODAY()-tblOrdenes[[#This Row],[fecha_inicio]])</f>
        <v/>
      </c>
      <c r="AA1001" s="3">
        <f>IF(tblOrdenes[[#This Row],[backlog_dias]]="","",IF(tblOrdenes[[#This Row],[backlog_dias]]&lt;0,"FUTURO",IF(tblOrdenes[[#This Row],[backlog_dias]]&gt;p_dias_backlog_max,"BACKLOG","MES CORRIENTE")))</f>
        <v/>
      </c>
      <c r="AB1001" s="3">
        <f>IF(tblOrdenes[[#This Row],[backlog_dias]]="",FALSE,AND(tblOrdenes[[#This Row],[backlog_dias]]&gt;p_dias_backlog_min,tblOrdenes[[#This Row],[backlog_dias]]&lt;=p_dias_backlog_max))</f>
        <v/>
      </c>
      <c r="AC1001" s="6" t="n"/>
      <c r="AD10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01" s="10">
        <f>IF(tblOrdenes[[#This Row],[orden]]="","",_xlfn.XLOOKUP(tblOrdenes[[#This Row],[id_operacion]],tblEjecucion[id_operacion],tblEjecucion[precio],0))</f>
        <v/>
      </c>
      <c r="AH1001" s="10">
        <f>IF(tblOrdenes[[#This Row],[orden]]="","",MAX(0,_xlfn.XLOOKUP(tblOrdenes[[#This Row],[id_operacion]],tblEjecucion[id_operacion],tblEjecucion[costo_plan_total],0)-tblOrdenes[[#This Row],[costo_servicio]]))</f>
        <v/>
      </c>
      <c r="AI1001" s="10">
        <f>IF(tblOrdenes[[#This Row],[orden]]="","",tblOrdenes[[#This Row],[costo_servicio]]+tblOrdenes[[#This Row],[costo_materiales]])</f>
        <v/>
      </c>
      <c r="AJ1001" s="6" t="n"/>
      <c r="AK1001" s="6" t="n"/>
      <c r="AL1001" s="6" t="n"/>
      <c r="AM1001" s="3">
        <f>IF(tblOrdenes[[#This Row],[link_checklist]]="","",HYPERLINK(p_ruta_base_checklists&amp;tblOrdenes[[#This Row],[link_checklist]],"abrir"))</f>
        <v/>
      </c>
      <c r="AN1001" s="6" t="n"/>
      <c r="AO1001" s="3">
        <f>IF(tblOrdenes[[#This Row],[orden]]="","",tblOrdenes[[#This Row],[orden]]&amp;IF(tblOrdenes[[#This Row],[operacion]]="","0010",tblOrdenes[[#This Row],[operacion]]))</f>
        <v/>
      </c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11" t="n"/>
      <c r="K1002" s="3" t="n"/>
      <c r="L1002" s="10" t="n"/>
      <c r="M1002" s="6" t="n"/>
      <c r="N10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02" s="3">
        <f>IF(tblOrdenes[[#This Row],[fecha_inicio]]="","",YEAR(tblOrdenes[[#This Row],[fecha_inicio]]))</f>
        <v/>
      </c>
      <c r="R1002" s="3">
        <f>IF(tblOrdenes[[#This Row],[fecha_inicio]]="","",MONTH(tblOrdenes[[#This Row],[fecha_inicio]]))</f>
        <v/>
      </c>
      <c r="S1002" s="3">
        <f>IF(tblOrdenes[[#This Row],[fecha_inicio]]="","",INDEX(lista_dias,WEEKDAY(tblOrdenes[[#This Row],[fecha_inicio]],2)))</f>
        <v/>
      </c>
      <c r="T1002" s="3">
        <f>IF(tblOrdenes[[#This Row],[tipo_ot]]="","",_xlfn.XLOOKUP(tblOrdenes[[#This Row],[tipo_ot]],tblTiposOT[codigo],tblTiposOT[clasificacion],"sin_clasificar"))</f>
        <v/>
      </c>
      <c r="U1002" s="3">
        <f>IF(tblOrdenes[[#This Row],[centro_costo]]="","",_xlfn.XLOOKUP(tblOrdenes[[#This Row],[centro_costo]],tblCECO[codigo],tblCECO[linea],"(sin catálogo)"))</f>
        <v/>
      </c>
      <c r="V1002" s="3">
        <f>IF(tblOrdenes[[#This Row],[centro_costo]]="","",_xlfn.XLOOKUP(tblOrdenes[[#This Row],[centro_costo]],tblCECO[codigo],tblCECO[area],"(sin catálogo)"))</f>
        <v/>
      </c>
      <c r="W1002" s="3">
        <f>IF(tblOrdenes[[#This Row],[centro_costo]]="","",_xlfn.XLOOKUP(tblOrdenes[[#This Row],[centro_costo]],tblCECO[codigo],tblCECO[coordinador],"(sin catálogo)"))</f>
        <v/>
      </c>
      <c r="X1002" s="3">
        <f>IF(tblOrdenes[[#This Row],[puesto_trabajo]]="","",_xlfn.XLOOKUP(tblOrdenes[[#This Row],[puesto_trabajo]],tblPuestos[codigo],tblPuestos[especialidad],"(sin catálogo)"))</f>
        <v/>
      </c>
      <c r="Y1002" s="3">
        <f>IF(tblOrdenes[[#This Row],[cod_actividad]]="","",_xlfn.XLOOKUP(tblOrdenes[[#This Row],[cod_actividad]],tblActividades[codigo],tblActividades[descripcion],"(sin catálogo)"))</f>
        <v/>
      </c>
      <c r="Z1002" s="12">
        <f>IF(tblOrdenes[[#This Row],[fecha_inicio]]="","",TODAY()-tblOrdenes[[#This Row],[fecha_inicio]])</f>
        <v/>
      </c>
      <c r="AA1002" s="3">
        <f>IF(tblOrdenes[[#This Row],[backlog_dias]]="","",IF(tblOrdenes[[#This Row],[backlog_dias]]&lt;0,"FUTURO",IF(tblOrdenes[[#This Row],[backlog_dias]]&gt;p_dias_backlog_max,"BACKLOG","MES CORRIENTE")))</f>
        <v/>
      </c>
      <c r="AB1002" s="3">
        <f>IF(tblOrdenes[[#This Row],[backlog_dias]]="",FALSE,AND(tblOrdenes[[#This Row],[backlog_dias]]&gt;p_dias_backlog_min,tblOrdenes[[#This Row],[backlog_dias]]&lt;=p_dias_backlog_max))</f>
        <v/>
      </c>
      <c r="AC1002" s="6" t="n"/>
      <c r="AD10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02" s="10">
        <f>IF(tblOrdenes[[#This Row],[orden]]="","",_xlfn.XLOOKUP(tblOrdenes[[#This Row],[id_operacion]],tblEjecucion[id_operacion],tblEjecucion[precio],0))</f>
        <v/>
      </c>
      <c r="AH1002" s="10">
        <f>IF(tblOrdenes[[#This Row],[orden]]="","",MAX(0,_xlfn.XLOOKUP(tblOrdenes[[#This Row],[id_operacion]],tblEjecucion[id_operacion],tblEjecucion[costo_plan_total],0)-tblOrdenes[[#This Row],[costo_servicio]]))</f>
        <v/>
      </c>
      <c r="AI1002" s="10">
        <f>IF(tblOrdenes[[#This Row],[orden]]="","",tblOrdenes[[#This Row],[costo_servicio]]+tblOrdenes[[#This Row],[costo_materiales]])</f>
        <v/>
      </c>
      <c r="AJ1002" s="6" t="n"/>
      <c r="AK1002" s="6" t="n"/>
      <c r="AL1002" s="6" t="n"/>
      <c r="AM1002" s="3">
        <f>IF(tblOrdenes[[#This Row],[link_checklist]]="","",HYPERLINK(p_ruta_base_checklists&amp;tblOrdenes[[#This Row],[link_checklist]],"abrir"))</f>
        <v/>
      </c>
      <c r="AN1002" s="6" t="n"/>
      <c r="AO1002" s="3">
        <f>IF(tblOrdenes[[#This Row],[orden]]="","",tblOrdenes[[#This Row],[orden]]&amp;IF(tblOrdenes[[#This Row],[operacion]]="","0010",tblOrdenes[[#This Row],[operacion]]))</f>
        <v/>
      </c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11" t="n"/>
      <c r="K1003" s="3" t="n"/>
      <c r="L1003" s="10" t="n"/>
      <c r="M1003" s="6" t="n"/>
      <c r="N10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03" s="3">
        <f>IF(tblOrdenes[[#This Row],[fecha_inicio]]="","",YEAR(tblOrdenes[[#This Row],[fecha_inicio]]))</f>
        <v/>
      </c>
      <c r="R1003" s="3">
        <f>IF(tblOrdenes[[#This Row],[fecha_inicio]]="","",MONTH(tblOrdenes[[#This Row],[fecha_inicio]]))</f>
        <v/>
      </c>
      <c r="S1003" s="3">
        <f>IF(tblOrdenes[[#This Row],[fecha_inicio]]="","",INDEX(lista_dias,WEEKDAY(tblOrdenes[[#This Row],[fecha_inicio]],2)))</f>
        <v/>
      </c>
      <c r="T1003" s="3">
        <f>IF(tblOrdenes[[#This Row],[tipo_ot]]="","",_xlfn.XLOOKUP(tblOrdenes[[#This Row],[tipo_ot]],tblTiposOT[codigo],tblTiposOT[clasificacion],"sin_clasificar"))</f>
        <v/>
      </c>
      <c r="U1003" s="3">
        <f>IF(tblOrdenes[[#This Row],[centro_costo]]="","",_xlfn.XLOOKUP(tblOrdenes[[#This Row],[centro_costo]],tblCECO[codigo],tblCECO[linea],"(sin catálogo)"))</f>
        <v/>
      </c>
      <c r="V1003" s="3">
        <f>IF(tblOrdenes[[#This Row],[centro_costo]]="","",_xlfn.XLOOKUP(tblOrdenes[[#This Row],[centro_costo]],tblCECO[codigo],tblCECO[area],"(sin catálogo)"))</f>
        <v/>
      </c>
      <c r="W1003" s="3">
        <f>IF(tblOrdenes[[#This Row],[centro_costo]]="","",_xlfn.XLOOKUP(tblOrdenes[[#This Row],[centro_costo]],tblCECO[codigo],tblCECO[coordinador],"(sin catálogo)"))</f>
        <v/>
      </c>
      <c r="X1003" s="3">
        <f>IF(tblOrdenes[[#This Row],[puesto_trabajo]]="","",_xlfn.XLOOKUP(tblOrdenes[[#This Row],[puesto_trabajo]],tblPuestos[codigo],tblPuestos[especialidad],"(sin catálogo)"))</f>
        <v/>
      </c>
      <c r="Y1003" s="3">
        <f>IF(tblOrdenes[[#This Row],[cod_actividad]]="","",_xlfn.XLOOKUP(tblOrdenes[[#This Row],[cod_actividad]],tblActividades[codigo],tblActividades[descripcion],"(sin catálogo)"))</f>
        <v/>
      </c>
      <c r="Z1003" s="12">
        <f>IF(tblOrdenes[[#This Row],[fecha_inicio]]="","",TODAY()-tblOrdenes[[#This Row],[fecha_inicio]])</f>
        <v/>
      </c>
      <c r="AA1003" s="3">
        <f>IF(tblOrdenes[[#This Row],[backlog_dias]]="","",IF(tblOrdenes[[#This Row],[backlog_dias]]&lt;0,"FUTURO",IF(tblOrdenes[[#This Row],[backlog_dias]]&gt;p_dias_backlog_max,"BACKLOG","MES CORRIENTE")))</f>
        <v/>
      </c>
      <c r="AB1003" s="3">
        <f>IF(tblOrdenes[[#This Row],[backlog_dias]]="",FALSE,AND(tblOrdenes[[#This Row],[backlog_dias]]&gt;p_dias_backlog_min,tblOrdenes[[#This Row],[backlog_dias]]&lt;=p_dias_backlog_max))</f>
        <v/>
      </c>
      <c r="AC1003" s="6" t="n"/>
      <c r="AD10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03" s="10">
        <f>IF(tblOrdenes[[#This Row],[orden]]="","",_xlfn.XLOOKUP(tblOrdenes[[#This Row],[id_operacion]],tblEjecucion[id_operacion],tblEjecucion[precio],0))</f>
        <v/>
      </c>
      <c r="AH1003" s="10">
        <f>IF(tblOrdenes[[#This Row],[orden]]="","",MAX(0,_xlfn.XLOOKUP(tblOrdenes[[#This Row],[id_operacion]],tblEjecucion[id_operacion],tblEjecucion[costo_plan_total],0)-tblOrdenes[[#This Row],[costo_servicio]]))</f>
        <v/>
      </c>
      <c r="AI1003" s="10">
        <f>IF(tblOrdenes[[#This Row],[orden]]="","",tblOrdenes[[#This Row],[costo_servicio]]+tblOrdenes[[#This Row],[costo_materiales]])</f>
        <v/>
      </c>
      <c r="AJ1003" s="6" t="n"/>
      <c r="AK1003" s="6" t="n"/>
      <c r="AL1003" s="6" t="n"/>
      <c r="AM1003" s="3">
        <f>IF(tblOrdenes[[#This Row],[link_checklist]]="","",HYPERLINK(p_ruta_base_checklists&amp;tblOrdenes[[#This Row],[link_checklist]],"abrir"))</f>
        <v/>
      </c>
      <c r="AN1003" s="6" t="n"/>
      <c r="AO1003" s="3">
        <f>IF(tblOrdenes[[#This Row],[orden]]="","",tblOrdenes[[#This Row],[orden]]&amp;IF(tblOrdenes[[#This Row],[operacion]]="","0010",tblOrdenes[[#This Row],[operacion]]))</f>
        <v/>
      </c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11" t="n"/>
      <c r="K1004" s="3" t="n"/>
      <c r="L1004" s="10" t="n"/>
      <c r="M1004" s="6" t="n"/>
      <c r="N100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0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0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04" s="3">
        <f>IF(tblOrdenes[[#This Row],[fecha_inicio]]="","",YEAR(tblOrdenes[[#This Row],[fecha_inicio]]))</f>
        <v/>
      </c>
      <c r="R1004" s="3">
        <f>IF(tblOrdenes[[#This Row],[fecha_inicio]]="","",MONTH(tblOrdenes[[#This Row],[fecha_inicio]]))</f>
        <v/>
      </c>
      <c r="S1004" s="3">
        <f>IF(tblOrdenes[[#This Row],[fecha_inicio]]="","",INDEX(lista_dias,WEEKDAY(tblOrdenes[[#This Row],[fecha_inicio]],2)))</f>
        <v/>
      </c>
      <c r="T1004" s="3">
        <f>IF(tblOrdenes[[#This Row],[tipo_ot]]="","",_xlfn.XLOOKUP(tblOrdenes[[#This Row],[tipo_ot]],tblTiposOT[codigo],tblTiposOT[clasificacion],"sin_clasificar"))</f>
        <v/>
      </c>
      <c r="U1004" s="3">
        <f>IF(tblOrdenes[[#This Row],[centro_costo]]="","",_xlfn.XLOOKUP(tblOrdenes[[#This Row],[centro_costo]],tblCECO[codigo],tblCECO[linea],"(sin catálogo)"))</f>
        <v/>
      </c>
      <c r="V1004" s="3">
        <f>IF(tblOrdenes[[#This Row],[centro_costo]]="","",_xlfn.XLOOKUP(tblOrdenes[[#This Row],[centro_costo]],tblCECO[codigo],tblCECO[area],"(sin catálogo)"))</f>
        <v/>
      </c>
      <c r="W1004" s="3">
        <f>IF(tblOrdenes[[#This Row],[centro_costo]]="","",_xlfn.XLOOKUP(tblOrdenes[[#This Row],[centro_costo]],tblCECO[codigo],tblCECO[coordinador],"(sin catálogo)"))</f>
        <v/>
      </c>
      <c r="X1004" s="3">
        <f>IF(tblOrdenes[[#This Row],[puesto_trabajo]]="","",_xlfn.XLOOKUP(tblOrdenes[[#This Row],[puesto_trabajo]],tblPuestos[codigo],tblPuestos[especialidad],"(sin catálogo)"))</f>
        <v/>
      </c>
      <c r="Y1004" s="3">
        <f>IF(tblOrdenes[[#This Row],[cod_actividad]]="","",_xlfn.XLOOKUP(tblOrdenes[[#This Row],[cod_actividad]],tblActividades[codigo],tblActividades[descripcion],"(sin catálogo)"))</f>
        <v/>
      </c>
      <c r="Z1004" s="12">
        <f>IF(tblOrdenes[[#This Row],[fecha_inicio]]="","",TODAY()-tblOrdenes[[#This Row],[fecha_inicio]])</f>
        <v/>
      </c>
      <c r="AA1004" s="3">
        <f>IF(tblOrdenes[[#This Row],[backlog_dias]]="","",IF(tblOrdenes[[#This Row],[backlog_dias]]&lt;0,"FUTURO",IF(tblOrdenes[[#This Row],[backlog_dias]]&gt;p_dias_backlog_max,"BACKLOG","MES CORRIENTE")))</f>
        <v/>
      </c>
      <c r="AB1004" s="3">
        <f>IF(tblOrdenes[[#This Row],[backlog_dias]]="",FALSE,AND(tblOrdenes[[#This Row],[backlog_dias]]&gt;p_dias_backlog_min,tblOrdenes[[#This Row],[backlog_dias]]&lt;=p_dias_backlog_max))</f>
        <v/>
      </c>
      <c r="AC1004" s="6" t="n"/>
      <c r="AD100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0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0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04" s="10">
        <f>IF(tblOrdenes[[#This Row],[orden]]="","",_xlfn.XLOOKUP(tblOrdenes[[#This Row],[id_operacion]],tblEjecucion[id_operacion],tblEjecucion[precio],0))</f>
        <v/>
      </c>
      <c r="AH1004" s="10">
        <f>IF(tblOrdenes[[#This Row],[orden]]="","",MAX(0,_xlfn.XLOOKUP(tblOrdenes[[#This Row],[id_operacion]],tblEjecucion[id_operacion],tblEjecucion[costo_plan_total],0)-tblOrdenes[[#This Row],[costo_servicio]]))</f>
        <v/>
      </c>
      <c r="AI1004" s="10">
        <f>IF(tblOrdenes[[#This Row],[orden]]="","",tblOrdenes[[#This Row],[costo_servicio]]+tblOrdenes[[#This Row],[costo_materiales]])</f>
        <v/>
      </c>
      <c r="AJ1004" s="6" t="n"/>
      <c r="AK1004" s="6" t="n"/>
      <c r="AL1004" s="6" t="n"/>
      <c r="AM1004" s="3">
        <f>IF(tblOrdenes[[#This Row],[link_checklist]]="","",HYPERLINK(p_ruta_base_checklists&amp;tblOrdenes[[#This Row],[link_checklist]],"abrir"))</f>
        <v/>
      </c>
      <c r="AN1004" s="6" t="n"/>
      <c r="AO1004" s="3">
        <f>IF(tblOrdenes[[#This Row],[orden]]="","",tblOrdenes[[#This Row],[orden]]&amp;IF(tblOrdenes[[#This Row],[operacion]]="","0010",tblOrdenes[[#This Row],[operacion]]))</f>
        <v/>
      </c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11" t="n"/>
      <c r="K1005" s="3" t="n"/>
      <c r="L1005" s="10" t="n"/>
      <c r="M1005" s="6" t="n"/>
      <c r="N100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0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0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05" s="3">
        <f>IF(tblOrdenes[[#This Row],[fecha_inicio]]="","",YEAR(tblOrdenes[[#This Row],[fecha_inicio]]))</f>
        <v/>
      </c>
      <c r="R1005" s="3">
        <f>IF(tblOrdenes[[#This Row],[fecha_inicio]]="","",MONTH(tblOrdenes[[#This Row],[fecha_inicio]]))</f>
        <v/>
      </c>
      <c r="S1005" s="3">
        <f>IF(tblOrdenes[[#This Row],[fecha_inicio]]="","",INDEX(lista_dias,WEEKDAY(tblOrdenes[[#This Row],[fecha_inicio]],2)))</f>
        <v/>
      </c>
      <c r="T1005" s="3">
        <f>IF(tblOrdenes[[#This Row],[tipo_ot]]="","",_xlfn.XLOOKUP(tblOrdenes[[#This Row],[tipo_ot]],tblTiposOT[codigo],tblTiposOT[clasificacion],"sin_clasificar"))</f>
        <v/>
      </c>
      <c r="U1005" s="3">
        <f>IF(tblOrdenes[[#This Row],[centro_costo]]="","",_xlfn.XLOOKUP(tblOrdenes[[#This Row],[centro_costo]],tblCECO[codigo],tblCECO[linea],"(sin catálogo)"))</f>
        <v/>
      </c>
      <c r="V1005" s="3">
        <f>IF(tblOrdenes[[#This Row],[centro_costo]]="","",_xlfn.XLOOKUP(tblOrdenes[[#This Row],[centro_costo]],tblCECO[codigo],tblCECO[area],"(sin catálogo)"))</f>
        <v/>
      </c>
      <c r="W1005" s="3">
        <f>IF(tblOrdenes[[#This Row],[centro_costo]]="","",_xlfn.XLOOKUP(tblOrdenes[[#This Row],[centro_costo]],tblCECO[codigo],tblCECO[coordinador],"(sin catálogo)"))</f>
        <v/>
      </c>
      <c r="X1005" s="3">
        <f>IF(tblOrdenes[[#This Row],[puesto_trabajo]]="","",_xlfn.XLOOKUP(tblOrdenes[[#This Row],[puesto_trabajo]],tblPuestos[codigo],tblPuestos[especialidad],"(sin catálogo)"))</f>
        <v/>
      </c>
      <c r="Y1005" s="3">
        <f>IF(tblOrdenes[[#This Row],[cod_actividad]]="","",_xlfn.XLOOKUP(tblOrdenes[[#This Row],[cod_actividad]],tblActividades[codigo],tblActividades[descripcion],"(sin catálogo)"))</f>
        <v/>
      </c>
      <c r="Z1005" s="12">
        <f>IF(tblOrdenes[[#This Row],[fecha_inicio]]="","",TODAY()-tblOrdenes[[#This Row],[fecha_inicio]])</f>
        <v/>
      </c>
      <c r="AA1005" s="3">
        <f>IF(tblOrdenes[[#This Row],[backlog_dias]]="","",IF(tblOrdenes[[#This Row],[backlog_dias]]&lt;0,"FUTURO",IF(tblOrdenes[[#This Row],[backlog_dias]]&gt;p_dias_backlog_max,"BACKLOG","MES CORRIENTE")))</f>
        <v/>
      </c>
      <c r="AB1005" s="3">
        <f>IF(tblOrdenes[[#This Row],[backlog_dias]]="",FALSE,AND(tblOrdenes[[#This Row],[backlog_dias]]&gt;p_dias_backlog_min,tblOrdenes[[#This Row],[backlog_dias]]&lt;=p_dias_backlog_max))</f>
        <v/>
      </c>
      <c r="AC1005" s="6" t="n"/>
      <c r="AD100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0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0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05" s="10">
        <f>IF(tblOrdenes[[#This Row],[orden]]="","",_xlfn.XLOOKUP(tblOrdenes[[#This Row],[id_operacion]],tblEjecucion[id_operacion],tblEjecucion[precio],0))</f>
        <v/>
      </c>
      <c r="AH1005" s="10">
        <f>IF(tblOrdenes[[#This Row],[orden]]="","",MAX(0,_xlfn.XLOOKUP(tblOrdenes[[#This Row],[id_operacion]],tblEjecucion[id_operacion],tblEjecucion[costo_plan_total],0)-tblOrdenes[[#This Row],[costo_servicio]]))</f>
        <v/>
      </c>
      <c r="AI1005" s="10">
        <f>IF(tblOrdenes[[#This Row],[orden]]="","",tblOrdenes[[#This Row],[costo_servicio]]+tblOrdenes[[#This Row],[costo_materiales]])</f>
        <v/>
      </c>
      <c r="AJ1005" s="6" t="n"/>
      <c r="AK1005" s="6" t="n"/>
      <c r="AL1005" s="6" t="n"/>
      <c r="AM1005" s="3">
        <f>IF(tblOrdenes[[#This Row],[link_checklist]]="","",HYPERLINK(p_ruta_base_checklists&amp;tblOrdenes[[#This Row],[link_checklist]],"abrir"))</f>
        <v/>
      </c>
      <c r="AN1005" s="6" t="n"/>
      <c r="AO1005" s="3">
        <f>IF(tblOrdenes[[#This Row],[orden]]="","",tblOrdenes[[#This Row],[orden]]&amp;IF(tblOrdenes[[#This Row],[operacion]]="","0010",tblOrdenes[[#This Row],[operacion]]))</f>
        <v/>
      </c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11" t="n"/>
      <c r="K1006" s="3" t="n"/>
      <c r="L1006" s="10" t="n"/>
      <c r="M1006" s="6" t="n"/>
      <c r="N100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0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0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06" s="3">
        <f>IF(tblOrdenes[[#This Row],[fecha_inicio]]="","",YEAR(tblOrdenes[[#This Row],[fecha_inicio]]))</f>
        <v/>
      </c>
      <c r="R1006" s="3">
        <f>IF(tblOrdenes[[#This Row],[fecha_inicio]]="","",MONTH(tblOrdenes[[#This Row],[fecha_inicio]]))</f>
        <v/>
      </c>
      <c r="S1006" s="3">
        <f>IF(tblOrdenes[[#This Row],[fecha_inicio]]="","",INDEX(lista_dias,WEEKDAY(tblOrdenes[[#This Row],[fecha_inicio]],2)))</f>
        <v/>
      </c>
      <c r="T1006" s="3">
        <f>IF(tblOrdenes[[#This Row],[tipo_ot]]="","",_xlfn.XLOOKUP(tblOrdenes[[#This Row],[tipo_ot]],tblTiposOT[codigo],tblTiposOT[clasificacion],"sin_clasificar"))</f>
        <v/>
      </c>
      <c r="U1006" s="3">
        <f>IF(tblOrdenes[[#This Row],[centro_costo]]="","",_xlfn.XLOOKUP(tblOrdenes[[#This Row],[centro_costo]],tblCECO[codigo],tblCECO[linea],"(sin catálogo)"))</f>
        <v/>
      </c>
      <c r="V1006" s="3">
        <f>IF(tblOrdenes[[#This Row],[centro_costo]]="","",_xlfn.XLOOKUP(tblOrdenes[[#This Row],[centro_costo]],tblCECO[codigo],tblCECO[area],"(sin catálogo)"))</f>
        <v/>
      </c>
      <c r="W1006" s="3">
        <f>IF(tblOrdenes[[#This Row],[centro_costo]]="","",_xlfn.XLOOKUP(tblOrdenes[[#This Row],[centro_costo]],tblCECO[codigo],tblCECO[coordinador],"(sin catálogo)"))</f>
        <v/>
      </c>
      <c r="X1006" s="3">
        <f>IF(tblOrdenes[[#This Row],[puesto_trabajo]]="","",_xlfn.XLOOKUP(tblOrdenes[[#This Row],[puesto_trabajo]],tblPuestos[codigo],tblPuestos[especialidad],"(sin catálogo)"))</f>
        <v/>
      </c>
      <c r="Y1006" s="3">
        <f>IF(tblOrdenes[[#This Row],[cod_actividad]]="","",_xlfn.XLOOKUP(tblOrdenes[[#This Row],[cod_actividad]],tblActividades[codigo],tblActividades[descripcion],"(sin catálogo)"))</f>
        <v/>
      </c>
      <c r="Z1006" s="12">
        <f>IF(tblOrdenes[[#This Row],[fecha_inicio]]="","",TODAY()-tblOrdenes[[#This Row],[fecha_inicio]])</f>
        <v/>
      </c>
      <c r="AA1006" s="3">
        <f>IF(tblOrdenes[[#This Row],[backlog_dias]]="","",IF(tblOrdenes[[#This Row],[backlog_dias]]&lt;0,"FUTURO",IF(tblOrdenes[[#This Row],[backlog_dias]]&gt;p_dias_backlog_max,"BACKLOG","MES CORRIENTE")))</f>
        <v/>
      </c>
      <c r="AB1006" s="3">
        <f>IF(tblOrdenes[[#This Row],[backlog_dias]]="",FALSE,AND(tblOrdenes[[#This Row],[backlog_dias]]&gt;p_dias_backlog_min,tblOrdenes[[#This Row],[backlog_dias]]&lt;=p_dias_backlog_max))</f>
        <v/>
      </c>
      <c r="AC1006" s="6" t="n"/>
      <c r="AD100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0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0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06" s="10">
        <f>IF(tblOrdenes[[#This Row],[orden]]="","",_xlfn.XLOOKUP(tblOrdenes[[#This Row],[id_operacion]],tblEjecucion[id_operacion],tblEjecucion[precio],0))</f>
        <v/>
      </c>
      <c r="AH1006" s="10">
        <f>IF(tblOrdenes[[#This Row],[orden]]="","",MAX(0,_xlfn.XLOOKUP(tblOrdenes[[#This Row],[id_operacion]],tblEjecucion[id_operacion],tblEjecucion[costo_plan_total],0)-tblOrdenes[[#This Row],[costo_servicio]]))</f>
        <v/>
      </c>
      <c r="AI1006" s="10">
        <f>IF(tblOrdenes[[#This Row],[orden]]="","",tblOrdenes[[#This Row],[costo_servicio]]+tblOrdenes[[#This Row],[costo_materiales]])</f>
        <v/>
      </c>
      <c r="AJ1006" s="6" t="n"/>
      <c r="AK1006" s="6" t="n"/>
      <c r="AL1006" s="6" t="n"/>
      <c r="AM1006" s="3">
        <f>IF(tblOrdenes[[#This Row],[link_checklist]]="","",HYPERLINK(p_ruta_base_checklists&amp;tblOrdenes[[#This Row],[link_checklist]],"abrir"))</f>
        <v/>
      </c>
      <c r="AN1006" s="6" t="n"/>
      <c r="AO1006" s="3">
        <f>IF(tblOrdenes[[#This Row],[orden]]="","",tblOrdenes[[#This Row],[orden]]&amp;IF(tblOrdenes[[#This Row],[operacion]]="","0010",tblOrdenes[[#This Row],[operacion]]))</f>
        <v/>
      </c>
    </row>
    <row r="1007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11" t="n"/>
      <c r="K1007" s="3" t="n"/>
      <c r="L1007" s="10" t="n"/>
      <c r="M1007" s="6" t="n"/>
      <c r="N100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0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0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07" s="3">
        <f>IF(tblOrdenes[[#This Row],[fecha_inicio]]="","",YEAR(tblOrdenes[[#This Row],[fecha_inicio]]))</f>
        <v/>
      </c>
      <c r="R1007" s="3">
        <f>IF(tblOrdenes[[#This Row],[fecha_inicio]]="","",MONTH(tblOrdenes[[#This Row],[fecha_inicio]]))</f>
        <v/>
      </c>
      <c r="S1007" s="3">
        <f>IF(tblOrdenes[[#This Row],[fecha_inicio]]="","",INDEX(lista_dias,WEEKDAY(tblOrdenes[[#This Row],[fecha_inicio]],2)))</f>
        <v/>
      </c>
      <c r="T1007" s="3">
        <f>IF(tblOrdenes[[#This Row],[tipo_ot]]="","",_xlfn.XLOOKUP(tblOrdenes[[#This Row],[tipo_ot]],tblTiposOT[codigo],tblTiposOT[clasificacion],"sin_clasificar"))</f>
        <v/>
      </c>
      <c r="U1007" s="3">
        <f>IF(tblOrdenes[[#This Row],[centro_costo]]="","",_xlfn.XLOOKUP(tblOrdenes[[#This Row],[centro_costo]],tblCECO[codigo],tblCECO[linea],"(sin catálogo)"))</f>
        <v/>
      </c>
      <c r="V1007" s="3">
        <f>IF(tblOrdenes[[#This Row],[centro_costo]]="","",_xlfn.XLOOKUP(tblOrdenes[[#This Row],[centro_costo]],tblCECO[codigo],tblCECO[area],"(sin catálogo)"))</f>
        <v/>
      </c>
      <c r="W1007" s="3">
        <f>IF(tblOrdenes[[#This Row],[centro_costo]]="","",_xlfn.XLOOKUP(tblOrdenes[[#This Row],[centro_costo]],tblCECO[codigo],tblCECO[coordinador],"(sin catálogo)"))</f>
        <v/>
      </c>
      <c r="X1007" s="3">
        <f>IF(tblOrdenes[[#This Row],[puesto_trabajo]]="","",_xlfn.XLOOKUP(tblOrdenes[[#This Row],[puesto_trabajo]],tblPuestos[codigo],tblPuestos[especialidad],"(sin catálogo)"))</f>
        <v/>
      </c>
      <c r="Y1007" s="3">
        <f>IF(tblOrdenes[[#This Row],[cod_actividad]]="","",_xlfn.XLOOKUP(tblOrdenes[[#This Row],[cod_actividad]],tblActividades[codigo],tblActividades[descripcion],"(sin catálogo)"))</f>
        <v/>
      </c>
      <c r="Z1007" s="12">
        <f>IF(tblOrdenes[[#This Row],[fecha_inicio]]="","",TODAY()-tblOrdenes[[#This Row],[fecha_inicio]])</f>
        <v/>
      </c>
      <c r="AA1007" s="3">
        <f>IF(tblOrdenes[[#This Row],[backlog_dias]]="","",IF(tblOrdenes[[#This Row],[backlog_dias]]&lt;0,"FUTURO",IF(tblOrdenes[[#This Row],[backlog_dias]]&gt;p_dias_backlog_max,"BACKLOG","MES CORRIENTE")))</f>
        <v/>
      </c>
      <c r="AB1007" s="3">
        <f>IF(tblOrdenes[[#This Row],[backlog_dias]]="",FALSE,AND(tblOrdenes[[#This Row],[backlog_dias]]&gt;p_dias_backlog_min,tblOrdenes[[#This Row],[backlog_dias]]&lt;=p_dias_backlog_max))</f>
        <v/>
      </c>
      <c r="AC1007" s="6" t="n"/>
      <c r="AD100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0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0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07" s="10">
        <f>IF(tblOrdenes[[#This Row],[orden]]="","",_xlfn.XLOOKUP(tblOrdenes[[#This Row],[id_operacion]],tblEjecucion[id_operacion],tblEjecucion[precio],0))</f>
        <v/>
      </c>
      <c r="AH1007" s="10">
        <f>IF(tblOrdenes[[#This Row],[orden]]="","",MAX(0,_xlfn.XLOOKUP(tblOrdenes[[#This Row],[id_operacion]],tblEjecucion[id_operacion],tblEjecucion[costo_plan_total],0)-tblOrdenes[[#This Row],[costo_servicio]]))</f>
        <v/>
      </c>
      <c r="AI1007" s="10">
        <f>IF(tblOrdenes[[#This Row],[orden]]="","",tblOrdenes[[#This Row],[costo_servicio]]+tblOrdenes[[#This Row],[costo_materiales]])</f>
        <v/>
      </c>
      <c r="AJ1007" s="6" t="n"/>
      <c r="AK1007" s="6" t="n"/>
      <c r="AL1007" s="6" t="n"/>
      <c r="AM1007" s="3">
        <f>IF(tblOrdenes[[#This Row],[link_checklist]]="","",HYPERLINK(p_ruta_base_checklists&amp;tblOrdenes[[#This Row],[link_checklist]],"abrir"))</f>
        <v/>
      </c>
      <c r="AN1007" s="6" t="n"/>
      <c r="AO1007" s="3">
        <f>IF(tblOrdenes[[#This Row],[orden]]="","",tblOrdenes[[#This Row],[orden]]&amp;IF(tblOrdenes[[#This Row],[operacion]]="","0010",tblOrdenes[[#This Row],[operacion]]))</f>
        <v/>
      </c>
    </row>
    <row r="1008">
      <c r="A1008" s="3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11" t="n"/>
      <c r="K1008" s="3" t="n"/>
      <c r="L1008" s="10" t="n"/>
      <c r="M1008" s="6" t="n"/>
      <c r="N100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0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0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08" s="3">
        <f>IF(tblOrdenes[[#This Row],[fecha_inicio]]="","",YEAR(tblOrdenes[[#This Row],[fecha_inicio]]))</f>
        <v/>
      </c>
      <c r="R1008" s="3">
        <f>IF(tblOrdenes[[#This Row],[fecha_inicio]]="","",MONTH(tblOrdenes[[#This Row],[fecha_inicio]]))</f>
        <v/>
      </c>
      <c r="S1008" s="3">
        <f>IF(tblOrdenes[[#This Row],[fecha_inicio]]="","",INDEX(lista_dias,WEEKDAY(tblOrdenes[[#This Row],[fecha_inicio]],2)))</f>
        <v/>
      </c>
      <c r="T1008" s="3">
        <f>IF(tblOrdenes[[#This Row],[tipo_ot]]="","",_xlfn.XLOOKUP(tblOrdenes[[#This Row],[tipo_ot]],tblTiposOT[codigo],tblTiposOT[clasificacion],"sin_clasificar"))</f>
        <v/>
      </c>
      <c r="U1008" s="3">
        <f>IF(tblOrdenes[[#This Row],[centro_costo]]="","",_xlfn.XLOOKUP(tblOrdenes[[#This Row],[centro_costo]],tblCECO[codigo],tblCECO[linea],"(sin catálogo)"))</f>
        <v/>
      </c>
      <c r="V1008" s="3">
        <f>IF(tblOrdenes[[#This Row],[centro_costo]]="","",_xlfn.XLOOKUP(tblOrdenes[[#This Row],[centro_costo]],tblCECO[codigo],tblCECO[area],"(sin catálogo)"))</f>
        <v/>
      </c>
      <c r="W1008" s="3">
        <f>IF(tblOrdenes[[#This Row],[centro_costo]]="","",_xlfn.XLOOKUP(tblOrdenes[[#This Row],[centro_costo]],tblCECO[codigo],tblCECO[coordinador],"(sin catálogo)"))</f>
        <v/>
      </c>
      <c r="X1008" s="3">
        <f>IF(tblOrdenes[[#This Row],[puesto_trabajo]]="","",_xlfn.XLOOKUP(tblOrdenes[[#This Row],[puesto_trabajo]],tblPuestos[codigo],tblPuestos[especialidad],"(sin catálogo)"))</f>
        <v/>
      </c>
      <c r="Y1008" s="3">
        <f>IF(tblOrdenes[[#This Row],[cod_actividad]]="","",_xlfn.XLOOKUP(tblOrdenes[[#This Row],[cod_actividad]],tblActividades[codigo],tblActividades[descripcion],"(sin catálogo)"))</f>
        <v/>
      </c>
      <c r="Z1008" s="12">
        <f>IF(tblOrdenes[[#This Row],[fecha_inicio]]="","",TODAY()-tblOrdenes[[#This Row],[fecha_inicio]])</f>
        <v/>
      </c>
      <c r="AA1008" s="3">
        <f>IF(tblOrdenes[[#This Row],[backlog_dias]]="","",IF(tblOrdenes[[#This Row],[backlog_dias]]&lt;0,"FUTURO",IF(tblOrdenes[[#This Row],[backlog_dias]]&gt;p_dias_backlog_max,"BACKLOG","MES CORRIENTE")))</f>
        <v/>
      </c>
      <c r="AB1008" s="3">
        <f>IF(tblOrdenes[[#This Row],[backlog_dias]]="",FALSE,AND(tblOrdenes[[#This Row],[backlog_dias]]&gt;p_dias_backlog_min,tblOrdenes[[#This Row],[backlog_dias]]&lt;=p_dias_backlog_max))</f>
        <v/>
      </c>
      <c r="AC1008" s="6" t="n"/>
      <c r="AD100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0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0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08" s="10">
        <f>IF(tblOrdenes[[#This Row],[orden]]="","",_xlfn.XLOOKUP(tblOrdenes[[#This Row],[id_operacion]],tblEjecucion[id_operacion],tblEjecucion[precio],0))</f>
        <v/>
      </c>
      <c r="AH1008" s="10">
        <f>IF(tblOrdenes[[#This Row],[orden]]="","",MAX(0,_xlfn.XLOOKUP(tblOrdenes[[#This Row],[id_operacion]],tblEjecucion[id_operacion],tblEjecucion[costo_plan_total],0)-tblOrdenes[[#This Row],[costo_servicio]]))</f>
        <v/>
      </c>
      <c r="AI1008" s="10">
        <f>IF(tblOrdenes[[#This Row],[orden]]="","",tblOrdenes[[#This Row],[costo_servicio]]+tblOrdenes[[#This Row],[costo_materiales]])</f>
        <v/>
      </c>
      <c r="AJ1008" s="6" t="n"/>
      <c r="AK1008" s="6" t="n"/>
      <c r="AL1008" s="6" t="n"/>
      <c r="AM1008" s="3">
        <f>IF(tblOrdenes[[#This Row],[link_checklist]]="","",HYPERLINK(p_ruta_base_checklists&amp;tblOrdenes[[#This Row],[link_checklist]],"abrir"))</f>
        <v/>
      </c>
      <c r="AN1008" s="6" t="n"/>
      <c r="AO1008" s="3">
        <f>IF(tblOrdenes[[#This Row],[orden]]="","",tblOrdenes[[#This Row],[orden]]&amp;IF(tblOrdenes[[#This Row],[operacion]]="","0010",tblOrdenes[[#This Row],[operacion]]))</f>
        <v/>
      </c>
    </row>
    <row r="1009">
      <c r="A1009" s="3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11" t="n"/>
      <c r="K1009" s="3" t="n"/>
      <c r="L1009" s="10" t="n"/>
      <c r="M1009" s="6" t="n"/>
      <c r="N100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0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0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09" s="3">
        <f>IF(tblOrdenes[[#This Row],[fecha_inicio]]="","",YEAR(tblOrdenes[[#This Row],[fecha_inicio]]))</f>
        <v/>
      </c>
      <c r="R1009" s="3">
        <f>IF(tblOrdenes[[#This Row],[fecha_inicio]]="","",MONTH(tblOrdenes[[#This Row],[fecha_inicio]]))</f>
        <v/>
      </c>
      <c r="S1009" s="3">
        <f>IF(tblOrdenes[[#This Row],[fecha_inicio]]="","",INDEX(lista_dias,WEEKDAY(tblOrdenes[[#This Row],[fecha_inicio]],2)))</f>
        <v/>
      </c>
      <c r="T1009" s="3">
        <f>IF(tblOrdenes[[#This Row],[tipo_ot]]="","",_xlfn.XLOOKUP(tblOrdenes[[#This Row],[tipo_ot]],tblTiposOT[codigo],tblTiposOT[clasificacion],"sin_clasificar"))</f>
        <v/>
      </c>
      <c r="U1009" s="3">
        <f>IF(tblOrdenes[[#This Row],[centro_costo]]="","",_xlfn.XLOOKUP(tblOrdenes[[#This Row],[centro_costo]],tblCECO[codigo],tblCECO[linea],"(sin catálogo)"))</f>
        <v/>
      </c>
      <c r="V1009" s="3">
        <f>IF(tblOrdenes[[#This Row],[centro_costo]]="","",_xlfn.XLOOKUP(tblOrdenes[[#This Row],[centro_costo]],tblCECO[codigo],tblCECO[area],"(sin catálogo)"))</f>
        <v/>
      </c>
      <c r="W1009" s="3">
        <f>IF(tblOrdenes[[#This Row],[centro_costo]]="","",_xlfn.XLOOKUP(tblOrdenes[[#This Row],[centro_costo]],tblCECO[codigo],tblCECO[coordinador],"(sin catálogo)"))</f>
        <v/>
      </c>
      <c r="X1009" s="3">
        <f>IF(tblOrdenes[[#This Row],[puesto_trabajo]]="","",_xlfn.XLOOKUP(tblOrdenes[[#This Row],[puesto_trabajo]],tblPuestos[codigo],tblPuestos[especialidad],"(sin catálogo)"))</f>
        <v/>
      </c>
      <c r="Y1009" s="3">
        <f>IF(tblOrdenes[[#This Row],[cod_actividad]]="","",_xlfn.XLOOKUP(tblOrdenes[[#This Row],[cod_actividad]],tblActividades[codigo],tblActividades[descripcion],"(sin catálogo)"))</f>
        <v/>
      </c>
      <c r="Z1009" s="12">
        <f>IF(tblOrdenes[[#This Row],[fecha_inicio]]="","",TODAY()-tblOrdenes[[#This Row],[fecha_inicio]])</f>
        <v/>
      </c>
      <c r="AA1009" s="3">
        <f>IF(tblOrdenes[[#This Row],[backlog_dias]]="","",IF(tblOrdenes[[#This Row],[backlog_dias]]&lt;0,"FUTURO",IF(tblOrdenes[[#This Row],[backlog_dias]]&gt;p_dias_backlog_max,"BACKLOG","MES CORRIENTE")))</f>
        <v/>
      </c>
      <c r="AB1009" s="3">
        <f>IF(tblOrdenes[[#This Row],[backlog_dias]]="",FALSE,AND(tblOrdenes[[#This Row],[backlog_dias]]&gt;p_dias_backlog_min,tblOrdenes[[#This Row],[backlog_dias]]&lt;=p_dias_backlog_max))</f>
        <v/>
      </c>
      <c r="AC1009" s="6" t="n"/>
      <c r="AD100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0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0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09" s="10">
        <f>IF(tblOrdenes[[#This Row],[orden]]="","",_xlfn.XLOOKUP(tblOrdenes[[#This Row],[id_operacion]],tblEjecucion[id_operacion],tblEjecucion[precio],0))</f>
        <v/>
      </c>
      <c r="AH1009" s="10">
        <f>IF(tblOrdenes[[#This Row],[orden]]="","",MAX(0,_xlfn.XLOOKUP(tblOrdenes[[#This Row],[id_operacion]],tblEjecucion[id_operacion],tblEjecucion[costo_plan_total],0)-tblOrdenes[[#This Row],[costo_servicio]]))</f>
        <v/>
      </c>
      <c r="AI1009" s="10">
        <f>IF(tblOrdenes[[#This Row],[orden]]="","",tblOrdenes[[#This Row],[costo_servicio]]+tblOrdenes[[#This Row],[costo_materiales]])</f>
        <v/>
      </c>
      <c r="AJ1009" s="6" t="n"/>
      <c r="AK1009" s="6" t="n"/>
      <c r="AL1009" s="6" t="n"/>
      <c r="AM1009" s="3">
        <f>IF(tblOrdenes[[#This Row],[link_checklist]]="","",HYPERLINK(p_ruta_base_checklists&amp;tblOrdenes[[#This Row],[link_checklist]],"abrir"))</f>
        <v/>
      </c>
      <c r="AN1009" s="6" t="n"/>
      <c r="AO1009" s="3">
        <f>IF(tblOrdenes[[#This Row],[orden]]="","",tblOrdenes[[#This Row],[orden]]&amp;IF(tblOrdenes[[#This Row],[operacion]]="","0010",tblOrdenes[[#This Row],[operacion]]))</f>
        <v/>
      </c>
    </row>
    <row r="1010">
      <c r="A1010" s="3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11" t="n"/>
      <c r="K1010" s="3" t="n"/>
      <c r="L1010" s="10" t="n"/>
      <c r="M1010" s="6" t="n"/>
      <c r="N10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10" s="3">
        <f>IF(tblOrdenes[[#This Row],[fecha_inicio]]="","",YEAR(tblOrdenes[[#This Row],[fecha_inicio]]))</f>
        <v/>
      </c>
      <c r="R1010" s="3">
        <f>IF(tblOrdenes[[#This Row],[fecha_inicio]]="","",MONTH(tblOrdenes[[#This Row],[fecha_inicio]]))</f>
        <v/>
      </c>
      <c r="S1010" s="3">
        <f>IF(tblOrdenes[[#This Row],[fecha_inicio]]="","",INDEX(lista_dias,WEEKDAY(tblOrdenes[[#This Row],[fecha_inicio]],2)))</f>
        <v/>
      </c>
      <c r="T1010" s="3">
        <f>IF(tblOrdenes[[#This Row],[tipo_ot]]="","",_xlfn.XLOOKUP(tblOrdenes[[#This Row],[tipo_ot]],tblTiposOT[codigo],tblTiposOT[clasificacion],"sin_clasificar"))</f>
        <v/>
      </c>
      <c r="U1010" s="3">
        <f>IF(tblOrdenes[[#This Row],[centro_costo]]="","",_xlfn.XLOOKUP(tblOrdenes[[#This Row],[centro_costo]],tblCECO[codigo],tblCECO[linea],"(sin catálogo)"))</f>
        <v/>
      </c>
      <c r="V1010" s="3">
        <f>IF(tblOrdenes[[#This Row],[centro_costo]]="","",_xlfn.XLOOKUP(tblOrdenes[[#This Row],[centro_costo]],tblCECO[codigo],tblCECO[area],"(sin catálogo)"))</f>
        <v/>
      </c>
      <c r="W1010" s="3">
        <f>IF(tblOrdenes[[#This Row],[centro_costo]]="","",_xlfn.XLOOKUP(tblOrdenes[[#This Row],[centro_costo]],tblCECO[codigo],tblCECO[coordinador],"(sin catálogo)"))</f>
        <v/>
      </c>
      <c r="X1010" s="3">
        <f>IF(tblOrdenes[[#This Row],[puesto_trabajo]]="","",_xlfn.XLOOKUP(tblOrdenes[[#This Row],[puesto_trabajo]],tblPuestos[codigo],tblPuestos[especialidad],"(sin catálogo)"))</f>
        <v/>
      </c>
      <c r="Y1010" s="3">
        <f>IF(tblOrdenes[[#This Row],[cod_actividad]]="","",_xlfn.XLOOKUP(tblOrdenes[[#This Row],[cod_actividad]],tblActividades[codigo],tblActividades[descripcion],"(sin catálogo)"))</f>
        <v/>
      </c>
      <c r="Z1010" s="12">
        <f>IF(tblOrdenes[[#This Row],[fecha_inicio]]="","",TODAY()-tblOrdenes[[#This Row],[fecha_inicio]])</f>
        <v/>
      </c>
      <c r="AA1010" s="3">
        <f>IF(tblOrdenes[[#This Row],[backlog_dias]]="","",IF(tblOrdenes[[#This Row],[backlog_dias]]&lt;0,"FUTURO",IF(tblOrdenes[[#This Row],[backlog_dias]]&gt;p_dias_backlog_max,"BACKLOG","MES CORRIENTE")))</f>
        <v/>
      </c>
      <c r="AB1010" s="3">
        <f>IF(tblOrdenes[[#This Row],[backlog_dias]]="",FALSE,AND(tblOrdenes[[#This Row],[backlog_dias]]&gt;p_dias_backlog_min,tblOrdenes[[#This Row],[backlog_dias]]&lt;=p_dias_backlog_max))</f>
        <v/>
      </c>
      <c r="AC1010" s="6" t="n"/>
      <c r="AD10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10" s="10">
        <f>IF(tblOrdenes[[#This Row],[orden]]="","",_xlfn.XLOOKUP(tblOrdenes[[#This Row],[id_operacion]],tblEjecucion[id_operacion],tblEjecucion[precio],0))</f>
        <v/>
      </c>
      <c r="AH1010" s="10">
        <f>IF(tblOrdenes[[#This Row],[orden]]="","",MAX(0,_xlfn.XLOOKUP(tblOrdenes[[#This Row],[id_operacion]],tblEjecucion[id_operacion],tblEjecucion[costo_plan_total],0)-tblOrdenes[[#This Row],[costo_servicio]]))</f>
        <v/>
      </c>
      <c r="AI1010" s="10">
        <f>IF(tblOrdenes[[#This Row],[orden]]="","",tblOrdenes[[#This Row],[costo_servicio]]+tblOrdenes[[#This Row],[costo_materiales]])</f>
        <v/>
      </c>
      <c r="AJ1010" s="6" t="n"/>
      <c r="AK1010" s="6" t="n"/>
      <c r="AL1010" s="6" t="n"/>
      <c r="AM1010" s="3">
        <f>IF(tblOrdenes[[#This Row],[link_checklist]]="","",HYPERLINK(p_ruta_base_checklists&amp;tblOrdenes[[#This Row],[link_checklist]],"abrir"))</f>
        <v/>
      </c>
      <c r="AN1010" s="6" t="n"/>
      <c r="AO1010" s="3">
        <f>IF(tblOrdenes[[#This Row],[orden]]="","",tblOrdenes[[#This Row],[orden]]&amp;IF(tblOrdenes[[#This Row],[operacion]]="","0010",tblOrdenes[[#This Row],[operacion]]))</f>
        <v/>
      </c>
    </row>
    <row r="1011">
      <c r="A1011" s="3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11" t="n"/>
      <c r="K1011" s="3" t="n"/>
      <c r="L1011" s="10" t="n"/>
      <c r="M1011" s="6" t="n"/>
      <c r="N10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11" s="3">
        <f>IF(tblOrdenes[[#This Row],[fecha_inicio]]="","",YEAR(tblOrdenes[[#This Row],[fecha_inicio]]))</f>
        <v/>
      </c>
      <c r="R1011" s="3">
        <f>IF(tblOrdenes[[#This Row],[fecha_inicio]]="","",MONTH(tblOrdenes[[#This Row],[fecha_inicio]]))</f>
        <v/>
      </c>
      <c r="S1011" s="3">
        <f>IF(tblOrdenes[[#This Row],[fecha_inicio]]="","",INDEX(lista_dias,WEEKDAY(tblOrdenes[[#This Row],[fecha_inicio]],2)))</f>
        <v/>
      </c>
      <c r="T1011" s="3">
        <f>IF(tblOrdenes[[#This Row],[tipo_ot]]="","",_xlfn.XLOOKUP(tblOrdenes[[#This Row],[tipo_ot]],tblTiposOT[codigo],tblTiposOT[clasificacion],"sin_clasificar"))</f>
        <v/>
      </c>
      <c r="U1011" s="3">
        <f>IF(tblOrdenes[[#This Row],[centro_costo]]="","",_xlfn.XLOOKUP(tblOrdenes[[#This Row],[centro_costo]],tblCECO[codigo],tblCECO[linea],"(sin catálogo)"))</f>
        <v/>
      </c>
      <c r="V1011" s="3">
        <f>IF(tblOrdenes[[#This Row],[centro_costo]]="","",_xlfn.XLOOKUP(tblOrdenes[[#This Row],[centro_costo]],tblCECO[codigo],tblCECO[area],"(sin catálogo)"))</f>
        <v/>
      </c>
      <c r="W1011" s="3">
        <f>IF(tblOrdenes[[#This Row],[centro_costo]]="","",_xlfn.XLOOKUP(tblOrdenes[[#This Row],[centro_costo]],tblCECO[codigo],tblCECO[coordinador],"(sin catálogo)"))</f>
        <v/>
      </c>
      <c r="X1011" s="3">
        <f>IF(tblOrdenes[[#This Row],[puesto_trabajo]]="","",_xlfn.XLOOKUP(tblOrdenes[[#This Row],[puesto_trabajo]],tblPuestos[codigo],tblPuestos[especialidad],"(sin catálogo)"))</f>
        <v/>
      </c>
      <c r="Y1011" s="3">
        <f>IF(tblOrdenes[[#This Row],[cod_actividad]]="","",_xlfn.XLOOKUP(tblOrdenes[[#This Row],[cod_actividad]],tblActividades[codigo],tblActividades[descripcion],"(sin catálogo)"))</f>
        <v/>
      </c>
      <c r="Z1011" s="12">
        <f>IF(tblOrdenes[[#This Row],[fecha_inicio]]="","",TODAY()-tblOrdenes[[#This Row],[fecha_inicio]])</f>
        <v/>
      </c>
      <c r="AA1011" s="3">
        <f>IF(tblOrdenes[[#This Row],[backlog_dias]]="","",IF(tblOrdenes[[#This Row],[backlog_dias]]&lt;0,"FUTURO",IF(tblOrdenes[[#This Row],[backlog_dias]]&gt;p_dias_backlog_max,"BACKLOG","MES CORRIENTE")))</f>
        <v/>
      </c>
      <c r="AB1011" s="3">
        <f>IF(tblOrdenes[[#This Row],[backlog_dias]]="",FALSE,AND(tblOrdenes[[#This Row],[backlog_dias]]&gt;p_dias_backlog_min,tblOrdenes[[#This Row],[backlog_dias]]&lt;=p_dias_backlog_max))</f>
        <v/>
      </c>
      <c r="AC1011" s="6" t="n"/>
      <c r="AD10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11" s="10">
        <f>IF(tblOrdenes[[#This Row],[orden]]="","",_xlfn.XLOOKUP(tblOrdenes[[#This Row],[id_operacion]],tblEjecucion[id_operacion],tblEjecucion[precio],0))</f>
        <v/>
      </c>
      <c r="AH1011" s="10">
        <f>IF(tblOrdenes[[#This Row],[orden]]="","",MAX(0,_xlfn.XLOOKUP(tblOrdenes[[#This Row],[id_operacion]],tblEjecucion[id_operacion],tblEjecucion[costo_plan_total],0)-tblOrdenes[[#This Row],[costo_servicio]]))</f>
        <v/>
      </c>
      <c r="AI1011" s="10">
        <f>IF(tblOrdenes[[#This Row],[orden]]="","",tblOrdenes[[#This Row],[costo_servicio]]+tblOrdenes[[#This Row],[costo_materiales]])</f>
        <v/>
      </c>
      <c r="AJ1011" s="6" t="n"/>
      <c r="AK1011" s="6" t="n"/>
      <c r="AL1011" s="6" t="n"/>
      <c r="AM1011" s="3">
        <f>IF(tblOrdenes[[#This Row],[link_checklist]]="","",HYPERLINK(p_ruta_base_checklists&amp;tblOrdenes[[#This Row],[link_checklist]],"abrir"))</f>
        <v/>
      </c>
      <c r="AN1011" s="6" t="n"/>
      <c r="AO1011" s="3">
        <f>IF(tblOrdenes[[#This Row],[orden]]="","",tblOrdenes[[#This Row],[orden]]&amp;IF(tblOrdenes[[#This Row],[operacion]]="","0010",tblOrdenes[[#This Row],[operacion]]))</f>
        <v/>
      </c>
    </row>
    <row r="1012">
      <c r="A1012" s="3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11" t="n"/>
      <c r="K1012" s="3" t="n"/>
      <c r="L1012" s="10" t="n"/>
      <c r="M1012" s="6" t="n"/>
      <c r="N10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12" s="3">
        <f>IF(tblOrdenes[[#This Row],[fecha_inicio]]="","",YEAR(tblOrdenes[[#This Row],[fecha_inicio]]))</f>
        <v/>
      </c>
      <c r="R1012" s="3">
        <f>IF(tblOrdenes[[#This Row],[fecha_inicio]]="","",MONTH(tblOrdenes[[#This Row],[fecha_inicio]]))</f>
        <v/>
      </c>
      <c r="S1012" s="3">
        <f>IF(tblOrdenes[[#This Row],[fecha_inicio]]="","",INDEX(lista_dias,WEEKDAY(tblOrdenes[[#This Row],[fecha_inicio]],2)))</f>
        <v/>
      </c>
      <c r="T1012" s="3">
        <f>IF(tblOrdenes[[#This Row],[tipo_ot]]="","",_xlfn.XLOOKUP(tblOrdenes[[#This Row],[tipo_ot]],tblTiposOT[codigo],tblTiposOT[clasificacion],"sin_clasificar"))</f>
        <v/>
      </c>
      <c r="U1012" s="3">
        <f>IF(tblOrdenes[[#This Row],[centro_costo]]="","",_xlfn.XLOOKUP(tblOrdenes[[#This Row],[centro_costo]],tblCECO[codigo],tblCECO[linea],"(sin catálogo)"))</f>
        <v/>
      </c>
      <c r="V1012" s="3">
        <f>IF(tblOrdenes[[#This Row],[centro_costo]]="","",_xlfn.XLOOKUP(tblOrdenes[[#This Row],[centro_costo]],tblCECO[codigo],tblCECO[area],"(sin catálogo)"))</f>
        <v/>
      </c>
      <c r="W1012" s="3">
        <f>IF(tblOrdenes[[#This Row],[centro_costo]]="","",_xlfn.XLOOKUP(tblOrdenes[[#This Row],[centro_costo]],tblCECO[codigo],tblCECO[coordinador],"(sin catálogo)"))</f>
        <v/>
      </c>
      <c r="X1012" s="3">
        <f>IF(tblOrdenes[[#This Row],[puesto_trabajo]]="","",_xlfn.XLOOKUP(tblOrdenes[[#This Row],[puesto_trabajo]],tblPuestos[codigo],tblPuestos[especialidad],"(sin catálogo)"))</f>
        <v/>
      </c>
      <c r="Y1012" s="3">
        <f>IF(tblOrdenes[[#This Row],[cod_actividad]]="","",_xlfn.XLOOKUP(tblOrdenes[[#This Row],[cod_actividad]],tblActividades[codigo],tblActividades[descripcion],"(sin catálogo)"))</f>
        <v/>
      </c>
      <c r="Z1012" s="12">
        <f>IF(tblOrdenes[[#This Row],[fecha_inicio]]="","",TODAY()-tblOrdenes[[#This Row],[fecha_inicio]])</f>
        <v/>
      </c>
      <c r="AA1012" s="3">
        <f>IF(tblOrdenes[[#This Row],[backlog_dias]]="","",IF(tblOrdenes[[#This Row],[backlog_dias]]&lt;0,"FUTURO",IF(tblOrdenes[[#This Row],[backlog_dias]]&gt;p_dias_backlog_max,"BACKLOG","MES CORRIENTE")))</f>
        <v/>
      </c>
      <c r="AB1012" s="3">
        <f>IF(tblOrdenes[[#This Row],[backlog_dias]]="",FALSE,AND(tblOrdenes[[#This Row],[backlog_dias]]&gt;p_dias_backlog_min,tblOrdenes[[#This Row],[backlog_dias]]&lt;=p_dias_backlog_max))</f>
        <v/>
      </c>
      <c r="AC1012" s="6" t="n"/>
      <c r="AD10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12" s="10">
        <f>IF(tblOrdenes[[#This Row],[orden]]="","",_xlfn.XLOOKUP(tblOrdenes[[#This Row],[id_operacion]],tblEjecucion[id_operacion],tblEjecucion[precio],0))</f>
        <v/>
      </c>
      <c r="AH1012" s="10">
        <f>IF(tblOrdenes[[#This Row],[orden]]="","",MAX(0,_xlfn.XLOOKUP(tblOrdenes[[#This Row],[id_operacion]],tblEjecucion[id_operacion],tblEjecucion[costo_plan_total],0)-tblOrdenes[[#This Row],[costo_servicio]]))</f>
        <v/>
      </c>
      <c r="AI1012" s="10">
        <f>IF(tblOrdenes[[#This Row],[orden]]="","",tblOrdenes[[#This Row],[costo_servicio]]+tblOrdenes[[#This Row],[costo_materiales]])</f>
        <v/>
      </c>
      <c r="AJ1012" s="6" t="n"/>
      <c r="AK1012" s="6" t="n"/>
      <c r="AL1012" s="6" t="n"/>
      <c r="AM1012" s="3">
        <f>IF(tblOrdenes[[#This Row],[link_checklist]]="","",HYPERLINK(p_ruta_base_checklists&amp;tblOrdenes[[#This Row],[link_checklist]],"abrir"))</f>
        <v/>
      </c>
      <c r="AN1012" s="6" t="n"/>
      <c r="AO1012" s="3">
        <f>IF(tblOrdenes[[#This Row],[orden]]="","",tblOrdenes[[#This Row],[orden]]&amp;IF(tblOrdenes[[#This Row],[operacion]]="","0010",tblOrdenes[[#This Row],[operacion]]))</f>
        <v/>
      </c>
    </row>
    <row r="1013">
      <c r="A1013" s="3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11" t="n"/>
      <c r="K1013" s="3" t="n"/>
      <c r="L1013" s="10" t="n"/>
      <c r="M1013" s="6" t="n"/>
      <c r="N10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13" s="3">
        <f>IF(tblOrdenes[[#This Row],[fecha_inicio]]="","",YEAR(tblOrdenes[[#This Row],[fecha_inicio]]))</f>
        <v/>
      </c>
      <c r="R1013" s="3">
        <f>IF(tblOrdenes[[#This Row],[fecha_inicio]]="","",MONTH(tblOrdenes[[#This Row],[fecha_inicio]]))</f>
        <v/>
      </c>
      <c r="S1013" s="3">
        <f>IF(tblOrdenes[[#This Row],[fecha_inicio]]="","",INDEX(lista_dias,WEEKDAY(tblOrdenes[[#This Row],[fecha_inicio]],2)))</f>
        <v/>
      </c>
      <c r="T1013" s="3">
        <f>IF(tblOrdenes[[#This Row],[tipo_ot]]="","",_xlfn.XLOOKUP(tblOrdenes[[#This Row],[tipo_ot]],tblTiposOT[codigo],tblTiposOT[clasificacion],"sin_clasificar"))</f>
        <v/>
      </c>
      <c r="U1013" s="3">
        <f>IF(tblOrdenes[[#This Row],[centro_costo]]="","",_xlfn.XLOOKUP(tblOrdenes[[#This Row],[centro_costo]],tblCECO[codigo],tblCECO[linea],"(sin catálogo)"))</f>
        <v/>
      </c>
      <c r="V1013" s="3">
        <f>IF(tblOrdenes[[#This Row],[centro_costo]]="","",_xlfn.XLOOKUP(tblOrdenes[[#This Row],[centro_costo]],tblCECO[codigo],tblCECO[area],"(sin catálogo)"))</f>
        <v/>
      </c>
      <c r="W1013" s="3">
        <f>IF(tblOrdenes[[#This Row],[centro_costo]]="","",_xlfn.XLOOKUP(tblOrdenes[[#This Row],[centro_costo]],tblCECO[codigo],tblCECO[coordinador],"(sin catálogo)"))</f>
        <v/>
      </c>
      <c r="X1013" s="3">
        <f>IF(tblOrdenes[[#This Row],[puesto_trabajo]]="","",_xlfn.XLOOKUP(tblOrdenes[[#This Row],[puesto_trabajo]],tblPuestos[codigo],tblPuestos[especialidad],"(sin catálogo)"))</f>
        <v/>
      </c>
      <c r="Y1013" s="3">
        <f>IF(tblOrdenes[[#This Row],[cod_actividad]]="","",_xlfn.XLOOKUP(tblOrdenes[[#This Row],[cod_actividad]],tblActividades[codigo],tblActividades[descripcion],"(sin catálogo)"))</f>
        <v/>
      </c>
      <c r="Z1013" s="12">
        <f>IF(tblOrdenes[[#This Row],[fecha_inicio]]="","",TODAY()-tblOrdenes[[#This Row],[fecha_inicio]])</f>
        <v/>
      </c>
      <c r="AA1013" s="3">
        <f>IF(tblOrdenes[[#This Row],[backlog_dias]]="","",IF(tblOrdenes[[#This Row],[backlog_dias]]&lt;0,"FUTURO",IF(tblOrdenes[[#This Row],[backlog_dias]]&gt;p_dias_backlog_max,"BACKLOG","MES CORRIENTE")))</f>
        <v/>
      </c>
      <c r="AB1013" s="3">
        <f>IF(tblOrdenes[[#This Row],[backlog_dias]]="",FALSE,AND(tblOrdenes[[#This Row],[backlog_dias]]&gt;p_dias_backlog_min,tblOrdenes[[#This Row],[backlog_dias]]&lt;=p_dias_backlog_max))</f>
        <v/>
      </c>
      <c r="AC1013" s="6" t="n"/>
      <c r="AD10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13" s="10">
        <f>IF(tblOrdenes[[#This Row],[orden]]="","",_xlfn.XLOOKUP(tblOrdenes[[#This Row],[id_operacion]],tblEjecucion[id_operacion],tblEjecucion[precio],0))</f>
        <v/>
      </c>
      <c r="AH1013" s="10">
        <f>IF(tblOrdenes[[#This Row],[orden]]="","",MAX(0,_xlfn.XLOOKUP(tblOrdenes[[#This Row],[id_operacion]],tblEjecucion[id_operacion],tblEjecucion[costo_plan_total],0)-tblOrdenes[[#This Row],[costo_servicio]]))</f>
        <v/>
      </c>
      <c r="AI1013" s="10">
        <f>IF(tblOrdenes[[#This Row],[orden]]="","",tblOrdenes[[#This Row],[costo_servicio]]+tblOrdenes[[#This Row],[costo_materiales]])</f>
        <v/>
      </c>
      <c r="AJ1013" s="6" t="n"/>
      <c r="AK1013" s="6" t="n"/>
      <c r="AL1013" s="6" t="n"/>
      <c r="AM1013" s="3">
        <f>IF(tblOrdenes[[#This Row],[link_checklist]]="","",HYPERLINK(p_ruta_base_checklists&amp;tblOrdenes[[#This Row],[link_checklist]],"abrir"))</f>
        <v/>
      </c>
      <c r="AN1013" s="6" t="n"/>
      <c r="AO1013" s="3">
        <f>IF(tblOrdenes[[#This Row],[orden]]="","",tblOrdenes[[#This Row],[orden]]&amp;IF(tblOrdenes[[#This Row],[operacion]]="","0010",tblOrdenes[[#This Row],[operacion]]))</f>
        <v/>
      </c>
    </row>
    <row r="1014">
      <c r="A1014" s="3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11" t="n"/>
      <c r="K1014" s="3" t="n"/>
      <c r="L1014" s="10" t="n"/>
      <c r="M1014" s="6" t="n"/>
      <c r="N10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14" s="3">
        <f>IF(tblOrdenes[[#This Row],[fecha_inicio]]="","",YEAR(tblOrdenes[[#This Row],[fecha_inicio]]))</f>
        <v/>
      </c>
      <c r="R1014" s="3">
        <f>IF(tblOrdenes[[#This Row],[fecha_inicio]]="","",MONTH(tblOrdenes[[#This Row],[fecha_inicio]]))</f>
        <v/>
      </c>
      <c r="S1014" s="3">
        <f>IF(tblOrdenes[[#This Row],[fecha_inicio]]="","",INDEX(lista_dias,WEEKDAY(tblOrdenes[[#This Row],[fecha_inicio]],2)))</f>
        <v/>
      </c>
      <c r="T1014" s="3">
        <f>IF(tblOrdenes[[#This Row],[tipo_ot]]="","",_xlfn.XLOOKUP(tblOrdenes[[#This Row],[tipo_ot]],tblTiposOT[codigo],tblTiposOT[clasificacion],"sin_clasificar"))</f>
        <v/>
      </c>
      <c r="U1014" s="3">
        <f>IF(tblOrdenes[[#This Row],[centro_costo]]="","",_xlfn.XLOOKUP(tblOrdenes[[#This Row],[centro_costo]],tblCECO[codigo],tblCECO[linea],"(sin catálogo)"))</f>
        <v/>
      </c>
      <c r="V1014" s="3">
        <f>IF(tblOrdenes[[#This Row],[centro_costo]]="","",_xlfn.XLOOKUP(tblOrdenes[[#This Row],[centro_costo]],tblCECO[codigo],tblCECO[area],"(sin catálogo)"))</f>
        <v/>
      </c>
      <c r="W1014" s="3">
        <f>IF(tblOrdenes[[#This Row],[centro_costo]]="","",_xlfn.XLOOKUP(tblOrdenes[[#This Row],[centro_costo]],tblCECO[codigo],tblCECO[coordinador],"(sin catálogo)"))</f>
        <v/>
      </c>
      <c r="X1014" s="3">
        <f>IF(tblOrdenes[[#This Row],[puesto_trabajo]]="","",_xlfn.XLOOKUP(tblOrdenes[[#This Row],[puesto_trabajo]],tblPuestos[codigo],tblPuestos[especialidad],"(sin catálogo)"))</f>
        <v/>
      </c>
      <c r="Y1014" s="3">
        <f>IF(tblOrdenes[[#This Row],[cod_actividad]]="","",_xlfn.XLOOKUP(tblOrdenes[[#This Row],[cod_actividad]],tblActividades[codigo],tblActividades[descripcion],"(sin catálogo)"))</f>
        <v/>
      </c>
      <c r="Z1014" s="12">
        <f>IF(tblOrdenes[[#This Row],[fecha_inicio]]="","",TODAY()-tblOrdenes[[#This Row],[fecha_inicio]])</f>
        <v/>
      </c>
      <c r="AA1014" s="3">
        <f>IF(tblOrdenes[[#This Row],[backlog_dias]]="","",IF(tblOrdenes[[#This Row],[backlog_dias]]&lt;0,"FUTURO",IF(tblOrdenes[[#This Row],[backlog_dias]]&gt;p_dias_backlog_max,"BACKLOG","MES CORRIENTE")))</f>
        <v/>
      </c>
      <c r="AB1014" s="3">
        <f>IF(tblOrdenes[[#This Row],[backlog_dias]]="",FALSE,AND(tblOrdenes[[#This Row],[backlog_dias]]&gt;p_dias_backlog_min,tblOrdenes[[#This Row],[backlog_dias]]&lt;=p_dias_backlog_max))</f>
        <v/>
      </c>
      <c r="AC1014" s="6" t="n"/>
      <c r="AD10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14" s="10">
        <f>IF(tblOrdenes[[#This Row],[orden]]="","",_xlfn.XLOOKUP(tblOrdenes[[#This Row],[id_operacion]],tblEjecucion[id_operacion],tblEjecucion[precio],0))</f>
        <v/>
      </c>
      <c r="AH1014" s="10">
        <f>IF(tblOrdenes[[#This Row],[orden]]="","",MAX(0,_xlfn.XLOOKUP(tblOrdenes[[#This Row],[id_operacion]],tblEjecucion[id_operacion],tblEjecucion[costo_plan_total],0)-tblOrdenes[[#This Row],[costo_servicio]]))</f>
        <v/>
      </c>
      <c r="AI1014" s="10">
        <f>IF(tblOrdenes[[#This Row],[orden]]="","",tblOrdenes[[#This Row],[costo_servicio]]+tblOrdenes[[#This Row],[costo_materiales]])</f>
        <v/>
      </c>
      <c r="AJ1014" s="6" t="n"/>
      <c r="AK1014" s="6" t="n"/>
      <c r="AL1014" s="6" t="n"/>
      <c r="AM1014" s="3">
        <f>IF(tblOrdenes[[#This Row],[link_checklist]]="","",HYPERLINK(p_ruta_base_checklists&amp;tblOrdenes[[#This Row],[link_checklist]],"abrir"))</f>
        <v/>
      </c>
      <c r="AN1014" s="6" t="n"/>
      <c r="AO1014" s="3">
        <f>IF(tblOrdenes[[#This Row],[orden]]="","",tblOrdenes[[#This Row],[orden]]&amp;IF(tblOrdenes[[#This Row],[operacion]]="","0010",tblOrdenes[[#This Row],[operacion]]))</f>
        <v/>
      </c>
    </row>
    <row r="1015">
      <c r="A1015" s="3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11" t="n"/>
      <c r="K1015" s="3" t="n"/>
      <c r="L1015" s="10" t="n"/>
      <c r="M1015" s="6" t="n"/>
      <c r="N10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15" s="3">
        <f>IF(tblOrdenes[[#This Row],[fecha_inicio]]="","",YEAR(tblOrdenes[[#This Row],[fecha_inicio]]))</f>
        <v/>
      </c>
      <c r="R1015" s="3">
        <f>IF(tblOrdenes[[#This Row],[fecha_inicio]]="","",MONTH(tblOrdenes[[#This Row],[fecha_inicio]]))</f>
        <v/>
      </c>
      <c r="S1015" s="3">
        <f>IF(tblOrdenes[[#This Row],[fecha_inicio]]="","",INDEX(lista_dias,WEEKDAY(tblOrdenes[[#This Row],[fecha_inicio]],2)))</f>
        <v/>
      </c>
      <c r="T1015" s="3">
        <f>IF(tblOrdenes[[#This Row],[tipo_ot]]="","",_xlfn.XLOOKUP(tblOrdenes[[#This Row],[tipo_ot]],tblTiposOT[codigo],tblTiposOT[clasificacion],"sin_clasificar"))</f>
        <v/>
      </c>
      <c r="U1015" s="3">
        <f>IF(tblOrdenes[[#This Row],[centro_costo]]="","",_xlfn.XLOOKUP(tblOrdenes[[#This Row],[centro_costo]],tblCECO[codigo],tblCECO[linea],"(sin catálogo)"))</f>
        <v/>
      </c>
      <c r="V1015" s="3">
        <f>IF(tblOrdenes[[#This Row],[centro_costo]]="","",_xlfn.XLOOKUP(tblOrdenes[[#This Row],[centro_costo]],tblCECO[codigo],tblCECO[area],"(sin catálogo)"))</f>
        <v/>
      </c>
      <c r="W1015" s="3">
        <f>IF(tblOrdenes[[#This Row],[centro_costo]]="","",_xlfn.XLOOKUP(tblOrdenes[[#This Row],[centro_costo]],tblCECO[codigo],tblCECO[coordinador],"(sin catálogo)"))</f>
        <v/>
      </c>
      <c r="X1015" s="3">
        <f>IF(tblOrdenes[[#This Row],[puesto_trabajo]]="","",_xlfn.XLOOKUP(tblOrdenes[[#This Row],[puesto_trabajo]],tblPuestos[codigo],tblPuestos[especialidad],"(sin catálogo)"))</f>
        <v/>
      </c>
      <c r="Y1015" s="3">
        <f>IF(tblOrdenes[[#This Row],[cod_actividad]]="","",_xlfn.XLOOKUP(tblOrdenes[[#This Row],[cod_actividad]],tblActividades[codigo],tblActividades[descripcion],"(sin catálogo)"))</f>
        <v/>
      </c>
      <c r="Z1015" s="12">
        <f>IF(tblOrdenes[[#This Row],[fecha_inicio]]="","",TODAY()-tblOrdenes[[#This Row],[fecha_inicio]])</f>
        <v/>
      </c>
      <c r="AA1015" s="3">
        <f>IF(tblOrdenes[[#This Row],[backlog_dias]]="","",IF(tblOrdenes[[#This Row],[backlog_dias]]&lt;0,"FUTURO",IF(tblOrdenes[[#This Row],[backlog_dias]]&gt;p_dias_backlog_max,"BACKLOG","MES CORRIENTE")))</f>
        <v/>
      </c>
      <c r="AB1015" s="3">
        <f>IF(tblOrdenes[[#This Row],[backlog_dias]]="",FALSE,AND(tblOrdenes[[#This Row],[backlog_dias]]&gt;p_dias_backlog_min,tblOrdenes[[#This Row],[backlog_dias]]&lt;=p_dias_backlog_max))</f>
        <v/>
      </c>
      <c r="AC1015" s="6" t="n"/>
      <c r="AD10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15" s="10">
        <f>IF(tblOrdenes[[#This Row],[orden]]="","",_xlfn.XLOOKUP(tblOrdenes[[#This Row],[id_operacion]],tblEjecucion[id_operacion],tblEjecucion[precio],0))</f>
        <v/>
      </c>
      <c r="AH1015" s="10">
        <f>IF(tblOrdenes[[#This Row],[orden]]="","",MAX(0,_xlfn.XLOOKUP(tblOrdenes[[#This Row],[id_operacion]],tblEjecucion[id_operacion],tblEjecucion[costo_plan_total],0)-tblOrdenes[[#This Row],[costo_servicio]]))</f>
        <v/>
      </c>
      <c r="AI1015" s="10">
        <f>IF(tblOrdenes[[#This Row],[orden]]="","",tblOrdenes[[#This Row],[costo_servicio]]+tblOrdenes[[#This Row],[costo_materiales]])</f>
        <v/>
      </c>
      <c r="AJ1015" s="6" t="n"/>
      <c r="AK1015" s="6" t="n"/>
      <c r="AL1015" s="6" t="n"/>
      <c r="AM1015" s="3">
        <f>IF(tblOrdenes[[#This Row],[link_checklist]]="","",HYPERLINK(p_ruta_base_checklists&amp;tblOrdenes[[#This Row],[link_checklist]],"abrir"))</f>
        <v/>
      </c>
      <c r="AN1015" s="6" t="n"/>
      <c r="AO1015" s="3">
        <f>IF(tblOrdenes[[#This Row],[orden]]="","",tblOrdenes[[#This Row],[orden]]&amp;IF(tblOrdenes[[#This Row],[operacion]]="","0010",tblOrdenes[[#This Row],[operacion]]))</f>
        <v/>
      </c>
    </row>
    <row r="1016">
      <c r="A1016" s="3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11" t="n"/>
      <c r="K1016" s="3" t="n"/>
      <c r="L1016" s="10" t="n"/>
      <c r="M1016" s="6" t="n"/>
      <c r="N10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16" s="3">
        <f>IF(tblOrdenes[[#This Row],[fecha_inicio]]="","",YEAR(tblOrdenes[[#This Row],[fecha_inicio]]))</f>
        <v/>
      </c>
      <c r="R1016" s="3">
        <f>IF(tblOrdenes[[#This Row],[fecha_inicio]]="","",MONTH(tblOrdenes[[#This Row],[fecha_inicio]]))</f>
        <v/>
      </c>
      <c r="S1016" s="3">
        <f>IF(tblOrdenes[[#This Row],[fecha_inicio]]="","",INDEX(lista_dias,WEEKDAY(tblOrdenes[[#This Row],[fecha_inicio]],2)))</f>
        <v/>
      </c>
      <c r="T1016" s="3">
        <f>IF(tblOrdenes[[#This Row],[tipo_ot]]="","",_xlfn.XLOOKUP(tblOrdenes[[#This Row],[tipo_ot]],tblTiposOT[codigo],tblTiposOT[clasificacion],"sin_clasificar"))</f>
        <v/>
      </c>
      <c r="U1016" s="3">
        <f>IF(tblOrdenes[[#This Row],[centro_costo]]="","",_xlfn.XLOOKUP(tblOrdenes[[#This Row],[centro_costo]],tblCECO[codigo],tblCECO[linea],"(sin catálogo)"))</f>
        <v/>
      </c>
      <c r="V1016" s="3">
        <f>IF(tblOrdenes[[#This Row],[centro_costo]]="","",_xlfn.XLOOKUP(tblOrdenes[[#This Row],[centro_costo]],tblCECO[codigo],tblCECO[area],"(sin catálogo)"))</f>
        <v/>
      </c>
      <c r="W1016" s="3">
        <f>IF(tblOrdenes[[#This Row],[centro_costo]]="","",_xlfn.XLOOKUP(tblOrdenes[[#This Row],[centro_costo]],tblCECO[codigo],tblCECO[coordinador],"(sin catálogo)"))</f>
        <v/>
      </c>
      <c r="X1016" s="3">
        <f>IF(tblOrdenes[[#This Row],[puesto_trabajo]]="","",_xlfn.XLOOKUP(tblOrdenes[[#This Row],[puesto_trabajo]],tblPuestos[codigo],tblPuestos[especialidad],"(sin catálogo)"))</f>
        <v/>
      </c>
      <c r="Y1016" s="3">
        <f>IF(tblOrdenes[[#This Row],[cod_actividad]]="","",_xlfn.XLOOKUP(tblOrdenes[[#This Row],[cod_actividad]],tblActividades[codigo],tblActividades[descripcion],"(sin catálogo)"))</f>
        <v/>
      </c>
      <c r="Z1016" s="12">
        <f>IF(tblOrdenes[[#This Row],[fecha_inicio]]="","",TODAY()-tblOrdenes[[#This Row],[fecha_inicio]])</f>
        <v/>
      </c>
      <c r="AA1016" s="3">
        <f>IF(tblOrdenes[[#This Row],[backlog_dias]]="","",IF(tblOrdenes[[#This Row],[backlog_dias]]&lt;0,"FUTURO",IF(tblOrdenes[[#This Row],[backlog_dias]]&gt;p_dias_backlog_max,"BACKLOG","MES CORRIENTE")))</f>
        <v/>
      </c>
      <c r="AB1016" s="3">
        <f>IF(tblOrdenes[[#This Row],[backlog_dias]]="",FALSE,AND(tblOrdenes[[#This Row],[backlog_dias]]&gt;p_dias_backlog_min,tblOrdenes[[#This Row],[backlog_dias]]&lt;=p_dias_backlog_max))</f>
        <v/>
      </c>
      <c r="AC1016" s="6" t="n"/>
      <c r="AD10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16" s="10">
        <f>IF(tblOrdenes[[#This Row],[orden]]="","",_xlfn.XLOOKUP(tblOrdenes[[#This Row],[id_operacion]],tblEjecucion[id_operacion],tblEjecucion[precio],0))</f>
        <v/>
      </c>
      <c r="AH1016" s="10">
        <f>IF(tblOrdenes[[#This Row],[orden]]="","",MAX(0,_xlfn.XLOOKUP(tblOrdenes[[#This Row],[id_operacion]],tblEjecucion[id_operacion],tblEjecucion[costo_plan_total],0)-tblOrdenes[[#This Row],[costo_servicio]]))</f>
        <v/>
      </c>
      <c r="AI1016" s="10">
        <f>IF(tblOrdenes[[#This Row],[orden]]="","",tblOrdenes[[#This Row],[costo_servicio]]+tblOrdenes[[#This Row],[costo_materiales]])</f>
        <v/>
      </c>
      <c r="AJ1016" s="6" t="n"/>
      <c r="AK1016" s="6" t="n"/>
      <c r="AL1016" s="6" t="n"/>
      <c r="AM1016" s="3">
        <f>IF(tblOrdenes[[#This Row],[link_checklist]]="","",HYPERLINK(p_ruta_base_checklists&amp;tblOrdenes[[#This Row],[link_checklist]],"abrir"))</f>
        <v/>
      </c>
      <c r="AN1016" s="6" t="n"/>
      <c r="AO1016" s="3">
        <f>IF(tblOrdenes[[#This Row],[orden]]="","",tblOrdenes[[#This Row],[orden]]&amp;IF(tblOrdenes[[#This Row],[operacion]]="","0010",tblOrdenes[[#This Row],[operacion]]))</f>
        <v/>
      </c>
    </row>
    <row r="1017">
      <c r="A1017" s="3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11" t="n"/>
      <c r="K1017" s="3" t="n"/>
      <c r="L1017" s="10" t="n"/>
      <c r="M1017" s="6" t="n"/>
      <c r="N10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17" s="3">
        <f>IF(tblOrdenes[[#This Row],[fecha_inicio]]="","",YEAR(tblOrdenes[[#This Row],[fecha_inicio]]))</f>
        <v/>
      </c>
      <c r="R1017" s="3">
        <f>IF(tblOrdenes[[#This Row],[fecha_inicio]]="","",MONTH(tblOrdenes[[#This Row],[fecha_inicio]]))</f>
        <v/>
      </c>
      <c r="S1017" s="3">
        <f>IF(tblOrdenes[[#This Row],[fecha_inicio]]="","",INDEX(lista_dias,WEEKDAY(tblOrdenes[[#This Row],[fecha_inicio]],2)))</f>
        <v/>
      </c>
      <c r="T1017" s="3">
        <f>IF(tblOrdenes[[#This Row],[tipo_ot]]="","",_xlfn.XLOOKUP(tblOrdenes[[#This Row],[tipo_ot]],tblTiposOT[codigo],tblTiposOT[clasificacion],"sin_clasificar"))</f>
        <v/>
      </c>
      <c r="U1017" s="3">
        <f>IF(tblOrdenes[[#This Row],[centro_costo]]="","",_xlfn.XLOOKUP(tblOrdenes[[#This Row],[centro_costo]],tblCECO[codigo],tblCECO[linea],"(sin catálogo)"))</f>
        <v/>
      </c>
      <c r="V1017" s="3">
        <f>IF(tblOrdenes[[#This Row],[centro_costo]]="","",_xlfn.XLOOKUP(tblOrdenes[[#This Row],[centro_costo]],tblCECO[codigo],tblCECO[area],"(sin catálogo)"))</f>
        <v/>
      </c>
      <c r="W1017" s="3">
        <f>IF(tblOrdenes[[#This Row],[centro_costo]]="","",_xlfn.XLOOKUP(tblOrdenes[[#This Row],[centro_costo]],tblCECO[codigo],tblCECO[coordinador],"(sin catálogo)"))</f>
        <v/>
      </c>
      <c r="X1017" s="3">
        <f>IF(tblOrdenes[[#This Row],[puesto_trabajo]]="","",_xlfn.XLOOKUP(tblOrdenes[[#This Row],[puesto_trabajo]],tblPuestos[codigo],tblPuestos[especialidad],"(sin catálogo)"))</f>
        <v/>
      </c>
      <c r="Y1017" s="3">
        <f>IF(tblOrdenes[[#This Row],[cod_actividad]]="","",_xlfn.XLOOKUP(tblOrdenes[[#This Row],[cod_actividad]],tblActividades[codigo],tblActividades[descripcion],"(sin catálogo)"))</f>
        <v/>
      </c>
      <c r="Z1017" s="12">
        <f>IF(tblOrdenes[[#This Row],[fecha_inicio]]="","",TODAY()-tblOrdenes[[#This Row],[fecha_inicio]])</f>
        <v/>
      </c>
      <c r="AA1017" s="3">
        <f>IF(tblOrdenes[[#This Row],[backlog_dias]]="","",IF(tblOrdenes[[#This Row],[backlog_dias]]&lt;0,"FUTURO",IF(tblOrdenes[[#This Row],[backlog_dias]]&gt;p_dias_backlog_max,"BACKLOG","MES CORRIENTE")))</f>
        <v/>
      </c>
      <c r="AB1017" s="3">
        <f>IF(tblOrdenes[[#This Row],[backlog_dias]]="",FALSE,AND(tblOrdenes[[#This Row],[backlog_dias]]&gt;p_dias_backlog_min,tblOrdenes[[#This Row],[backlog_dias]]&lt;=p_dias_backlog_max))</f>
        <v/>
      </c>
      <c r="AC1017" s="6" t="n"/>
      <c r="AD10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17" s="10">
        <f>IF(tblOrdenes[[#This Row],[orden]]="","",_xlfn.XLOOKUP(tblOrdenes[[#This Row],[id_operacion]],tblEjecucion[id_operacion],tblEjecucion[precio],0))</f>
        <v/>
      </c>
      <c r="AH1017" s="10">
        <f>IF(tblOrdenes[[#This Row],[orden]]="","",MAX(0,_xlfn.XLOOKUP(tblOrdenes[[#This Row],[id_operacion]],tblEjecucion[id_operacion],tblEjecucion[costo_plan_total],0)-tblOrdenes[[#This Row],[costo_servicio]]))</f>
        <v/>
      </c>
      <c r="AI1017" s="10">
        <f>IF(tblOrdenes[[#This Row],[orden]]="","",tblOrdenes[[#This Row],[costo_servicio]]+tblOrdenes[[#This Row],[costo_materiales]])</f>
        <v/>
      </c>
      <c r="AJ1017" s="6" t="n"/>
      <c r="AK1017" s="6" t="n"/>
      <c r="AL1017" s="6" t="n"/>
      <c r="AM1017" s="3">
        <f>IF(tblOrdenes[[#This Row],[link_checklist]]="","",HYPERLINK(p_ruta_base_checklists&amp;tblOrdenes[[#This Row],[link_checklist]],"abrir"))</f>
        <v/>
      </c>
      <c r="AN1017" s="6" t="n"/>
      <c r="AO1017" s="3">
        <f>IF(tblOrdenes[[#This Row],[orden]]="","",tblOrdenes[[#This Row],[orden]]&amp;IF(tblOrdenes[[#This Row],[operacion]]="","0010",tblOrdenes[[#This Row],[operacion]]))</f>
        <v/>
      </c>
    </row>
    <row r="1018">
      <c r="A1018" s="3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11" t="n"/>
      <c r="K1018" s="3" t="n"/>
      <c r="L1018" s="10" t="n"/>
      <c r="M1018" s="6" t="n"/>
      <c r="N10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18" s="3">
        <f>IF(tblOrdenes[[#This Row],[fecha_inicio]]="","",YEAR(tblOrdenes[[#This Row],[fecha_inicio]]))</f>
        <v/>
      </c>
      <c r="R1018" s="3">
        <f>IF(tblOrdenes[[#This Row],[fecha_inicio]]="","",MONTH(tblOrdenes[[#This Row],[fecha_inicio]]))</f>
        <v/>
      </c>
      <c r="S1018" s="3">
        <f>IF(tblOrdenes[[#This Row],[fecha_inicio]]="","",INDEX(lista_dias,WEEKDAY(tblOrdenes[[#This Row],[fecha_inicio]],2)))</f>
        <v/>
      </c>
      <c r="T1018" s="3">
        <f>IF(tblOrdenes[[#This Row],[tipo_ot]]="","",_xlfn.XLOOKUP(tblOrdenes[[#This Row],[tipo_ot]],tblTiposOT[codigo],tblTiposOT[clasificacion],"sin_clasificar"))</f>
        <v/>
      </c>
      <c r="U1018" s="3">
        <f>IF(tblOrdenes[[#This Row],[centro_costo]]="","",_xlfn.XLOOKUP(tblOrdenes[[#This Row],[centro_costo]],tblCECO[codigo],tblCECO[linea],"(sin catálogo)"))</f>
        <v/>
      </c>
      <c r="V1018" s="3">
        <f>IF(tblOrdenes[[#This Row],[centro_costo]]="","",_xlfn.XLOOKUP(tblOrdenes[[#This Row],[centro_costo]],tblCECO[codigo],tblCECO[area],"(sin catálogo)"))</f>
        <v/>
      </c>
      <c r="W1018" s="3">
        <f>IF(tblOrdenes[[#This Row],[centro_costo]]="","",_xlfn.XLOOKUP(tblOrdenes[[#This Row],[centro_costo]],tblCECO[codigo],tblCECO[coordinador],"(sin catálogo)"))</f>
        <v/>
      </c>
      <c r="X1018" s="3">
        <f>IF(tblOrdenes[[#This Row],[puesto_trabajo]]="","",_xlfn.XLOOKUP(tblOrdenes[[#This Row],[puesto_trabajo]],tblPuestos[codigo],tblPuestos[especialidad],"(sin catálogo)"))</f>
        <v/>
      </c>
      <c r="Y1018" s="3">
        <f>IF(tblOrdenes[[#This Row],[cod_actividad]]="","",_xlfn.XLOOKUP(tblOrdenes[[#This Row],[cod_actividad]],tblActividades[codigo],tblActividades[descripcion],"(sin catálogo)"))</f>
        <v/>
      </c>
      <c r="Z1018" s="12">
        <f>IF(tblOrdenes[[#This Row],[fecha_inicio]]="","",TODAY()-tblOrdenes[[#This Row],[fecha_inicio]])</f>
        <v/>
      </c>
      <c r="AA1018" s="3">
        <f>IF(tblOrdenes[[#This Row],[backlog_dias]]="","",IF(tblOrdenes[[#This Row],[backlog_dias]]&lt;0,"FUTURO",IF(tblOrdenes[[#This Row],[backlog_dias]]&gt;p_dias_backlog_max,"BACKLOG","MES CORRIENTE")))</f>
        <v/>
      </c>
      <c r="AB1018" s="3">
        <f>IF(tblOrdenes[[#This Row],[backlog_dias]]="",FALSE,AND(tblOrdenes[[#This Row],[backlog_dias]]&gt;p_dias_backlog_min,tblOrdenes[[#This Row],[backlog_dias]]&lt;=p_dias_backlog_max))</f>
        <v/>
      </c>
      <c r="AC1018" s="6" t="n"/>
      <c r="AD10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18" s="10">
        <f>IF(tblOrdenes[[#This Row],[orden]]="","",_xlfn.XLOOKUP(tblOrdenes[[#This Row],[id_operacion]],tblEjecucion[id_operacion],tblEjecucion[precio],0))</f>
        <v/>
      </c>
      <c r="AH1018" s="10">
        <f>IF(tblOrdenes[[#This Row],[orden]]="","",MAX(0,_xlfn.XLOOKUP(tblOrdenes[[#This Row],[id_operacion]],tblEjecucion[id_operacion],tblEjecucion[costo_plan_total],0)-tblOrdenes[[#This Row],[costo_servicio]]))</f>
        <v/>
      </c>
      <c r="AI1018" s="10">
        <f>IF(tblOrdenes[[#This Row],[orden]]="","",tblOrdenes[[#This Row],[costo_servicio]]+tblOrdenes[[#This Row],[costo_materiales]])</f>
        <v/>
      </c>
      <c r="AJ1018" s="6" t="n"/>
      <c r="AK1018" s="6" t="n"/>
      <c r="AL1018" s="6" t="n"/>
      <c r="AM1018" s="3">
        <f>IF(tblOrdenes[[#This Row],[link_checklist]]="","",HYPERLINK(p_ruta_base_checklists&amp;tblOrdenes[[#This Row],[link_checklist]],"abrir"))</f>
        <v/>
      </c>
      <c r="AN1018" s="6" t="n"/>
      <c r="AO1018" s="3">
        <f>IF(tblOrdenes[[#This Row],[orden]]="","",tblOrdenes[[#This Row],[orden]]&amp;IF(tblOrdenes[[#This Row],[operacion]]="","0010",tblOrdenes[[#This Row],[operacion]]))</f>
        <v/>
      </c>
    </row>
    <row r="1019">
      <c r="A1019" s="3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11" t="n"/>
      <c r="K1019" s="3" t="n"/>
      <c r="L1019" s="10" t="n"/>
      <c r="M1019" s="6" t="n"/>
      <c r="N10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19" s="3">
        <f>IF(tblOrdenes[[#This Row],[fecha_inicio]]="","",YEAR(tblOrdenes[[#This Row],[fecha_inicio]]))</f>
        <v/>
      </c>
      <c r="R1019" s="3">
        <f>IF(tblOrdenes[[#This Row],[fecha_inicio]]="","",MONTH(tblOrdenes[[#This Row],[fecha_inicio]]))</f>
        <v/>
      </c>
      <c r="S1019" s="3">
        <f>IF(tblOrdenes[[#This Row],[fecha_inicio]]="","",INDEX(lista_dias,WEEKDAY(tblOrdenes[[#This Row],[fecha_inicio]],2)))</f>
        <v/>
      </c>
      <c r="T1019" s="3">
        <f>IF(tblOrdenes[[#This Row],[tipo_ot]]="","",_xlfn.XLOOKUP(tblOrdenes[[#This Row],[tipo_ot]],tblTiposOT[codigo],tblTiposOT[clasificacion],"sin_clasificar"))</f>
        <v/>
      </c>
      <c r="U1019" s="3">
        <f>IF(tblOrdenes[[#This Row],[centro_costo]]="","",_xlfn.XLOOKUP(tblOrdenes[[#This Row],[centro_costo]],tblCECO[codigo],tblCECO[linea],"(sin catálogo)"))</f>
        <v/>
      </c>
      <c r="V1019" s="3">
        <f>IF(tblOrdenes[[#This Row],[centro_costo]]="","",_xlfn.XLOOKUP(tblOrdenes[[#This Row],[centro_costo]],tblCECO[codigo],tblCECO[area],"(sin catálogo)"))</f>
        <v/>
      </c>
      <c r="W1019" s="3">
        <f>IF(tblOrdenes[[#This Row],[centro_costo]]="","",_xlfn.XLOOKUP(tblOrdenes[[#This Row],[centro_costo]],tblCECO[codigo],tblCECO[coordinador],"(sin catálogo)"))</f>
        <v/>
      </c>
      <c r="X1019" s="3">
        <f>IF(tblOrdenes[[#This Row],[puesto_trabajo]]="","",_xlfn.XLOOKUP(tblOrdenes[[#This Row],[puesto_trabajo]],tblPuestos[codigo],tblPuestos[especialidad],"(sin catálogo)"))</f>
        <v/>
      </c>
      <c r="Y1019" s="3">
        <f>IF(tblOrdenes[[#This Row],[cod_actividad]]="","",_xlfn.XLOOKUP(tblOrdenes[[#This Row],[cod_actividad]],tblActividades[codigo],tblActividades[descripcion],"(sin catálogo)"))</f>
        <v/>
      </c>
      <c r="Z1019" s="12">
        <f>IF(tblOrdenes[[#This Row],[fecha_inicio]]="","",TODAY()-tblOrdenes[[#This Row],[fecha_inicio]])</f>
        <v/>
      </c>
      <c r="AA1019" s="3">
        <f>IF(tblOrdenes[[#This Row],[backlog_dias]]="","",IF(tblOrdenes[[#This Row],[backlog_dias]]&lt;0,"FUTURO",IF(tblOrdenes[[#This Row],[backlog_dias]]&gt;p_dias_backlog_max,"BACKLOG","MES CORRIENTE")))</f>
        <v/>
      </c>
      <c r="AB1019" s="3">
        <f>IF(tblOrdenes[[#This Row],[backlog_dias]]="",FALSE,AND(tblOrdenes[[#This Row],[backlog_dias]]&gt;p_dias_backlog_min,tblOrdenes[[#This Row],[backlog_dias]]&lt;=p_dias_backlog_max))</f>
        <v/>
      </c>
      <c r="AC1019" s="6" t="n"/>
      <c r="AD10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19" s="10">
        <f>IF(tblOrdenes[[#This Row],[orden]]="","",_xlfn.XLOOKUP(tblOrdenes[[#This Row],[id_operacion]],tblEjecucion[id_operacion],tblEjecucion[precio],0))</f>
        <v/>
      </c>
      <c r="AH1019" s="10">
        <f>IF(tblOrdenes[[#This Row],[orden]]="","",MAX(0,_xlfn.XLOOKUP(tblOrdenes[[#This Row],[id_operacion]],tblEjecucion[id_operacion],tblEjecucion[costo_plan_total],0)-tblOrdenes[[#This Row],[costo_servicio]]))</f>
        <v/>
      </c>
      <c r="AI1019" s="10">
        <f>IF(tblOrdenes[[#This Row],[orden]]="","",tblOrdenes[[#This Row],[costo_servicio]]+tblOrdenes[[#This Row],[costo_materiales]])</f>
        <v/>
      </c>
      <c r="AJ1019" s="6" t="n"/>
      <c r="AK1019" s="6" t="n"/>
      <c r="AL1019" s="6" t="n"/>
      <c r="AM1019" s="3">
        <f>IF(tblOrdenes[[#This Row],[link_checklist]]="","",HYPERLINK(p_ruta_base_checklists&amp;tblOrdenes[[#This Row],[link_checklist]],"abrir"))</f>
        <v/>
      </c>
      <c r="AN1019" s="6" t="n"/>
      <c r="AO1019" s="3">
        <f>IF(tblOrdenes[[#This Row],[orden]]="","",tblOrdenes[[#This Row],[orden]]&amp;IF(tblOrdenes[[#This Row],[operacion]]="","0010",tblOrdenes[[#This Row],[operacion]]))</f>
        <v/>
      </c>
    </row>
    <row r="1020">
      <c r="A1020" s="3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11" t="n"/>
      <c r="K1020" s="3" t="n"/>
      <c r="L1020" s="10" t="n"/>
      <c r="M1020" s="6" t="n"/>
      <c r="N10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20" s="3">
        <f>IF(tblOrdenes[[#This Row],[fecha_inicio]]="","",YEAR(tblOrdenes[[#This Row],[fecha_inicio]]))</f>
        <v/>
      </c>
      <c r="R1020" s="3">
        <f>IF(tblOrdenes[[#This Row],[fecha_inicio]]="","",MONTH(tblOrdenes[[#This Row],[fecha_inicio]]))</f>
        <v/>
      </c>
      <c r="S1020" s="3">
        <f>IF(tblOrdenes[[#This Row],[fecha_inicio]]="","",INDEX(lista_dias,WEEKDAY(tblOrdenes[[#This Row],[fecha_inicio]],2)))</f>
        <v/>
      </c>
      <c r="T1020" s="3">
        <f>IF(tblOrdenes[[#This Row],[tipo_ot]]="","",_xlfn.XLOOKUP(tblOrdenes[[#This Row],[tipo_ot]],tblTiposOT[codigo],tblTiposOT[clasificacion],"sin_clasificar"))</f>
        <v/>
      </c>
      <c r="U1020" s="3">
        <f>IF(tblOrdenes[[#This Row],[centro_costo]]="","",_xlfn.XLOOKUP(tblOrdenes[[#This Row],[centro_costo]],tblCECO[codigo],tblCECO[linea],"(sin catálogo)"))</f>
        <v/>
      </c>
      <c r="V1020" s="3">
        <f>IF(tblOrdenes[[#This Row],[centro_costo]]="","",_xlfn.XLOOKUP(tblOrdenes[[#This Row],[centro_costo]],tblCECO[codigo],tblCECO[area],"(sin catálogo)"))</f>
        <v/>
      </c>
      <c r="W1020" s="3">
        <f>IF(tblOrdenes[[#This Row],[centro_costo]]="","",_xlfn.XLOOKUP(tblOrdenes[[#This Row],[centro_costo]],tblCECO[codigo],tblCECO[coordinador],"(sin catálogo)"))</f>
        <v/>
      </c>
      <c r="X1020" s="3">
        <f>IF(tblOrdenes[[#This Row],[puesto_trabajo]]="","",_xlfn.XLOOKUP(tblOrdenes[[#This Row],[puesto_trabajo]],tblPuestos[codigo],tblPuestos[especialidad],"(sin catálogo)"))</f>
        <v/>
      </c>
      <c r="Y1020" s="3">
        <f>IF(tblOrdenes[[#This Row],[cod_actividad]]="","",_xlfn.XLOOKUP(tblOrdenes[[#This Row],[cod_actividad]],tblActividades[codigo],tblActividades[descripcion],"(sin catálogo)"))</f>
        <v/>
      </c>
      <c r="Z1020" s="12">
        <f>IF(tblOrdenes[[#This Row],[fecha_inicio]]="","",TODAY()-tblOrdenes[[#This Row],[fecha_inicio]])</f>
        <v/>
      </c>
      <c r="AA1020" s="3">
        <f>IF(tblOrdenes[[#This Row],[backlog_dias]]="","",IF(tblOrdenes[[#This Row],[backlog_dias]]&lt;0,"FUTURO",IF(tblOrdenes[[#This Row],[backlog_dias]]&gt;p_dias_backlog_max,"BACKLOG","MES CORRIENTE")))</f>
        <v/>
      </c>
      <c r="AB1020" s="3">
        <f>IF(tblOrdenes[[#This Row],[backlog_dias]]="",FALSE,AND(tblOrdenes[[#This Row],[backlog_dias]]&gt;p_dias_backlog_min,tblOrdenes[[#This Row],[backlog_dias]]&lt;=p_dias_backlog_max))</f>
        <v/>
      </c>
      <c r="AC1020" s="6" t="n"/>
      <c r="AD10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20" s="10">
        <f>IF(tblOrdenes[[#This Row],[orden]]="","",_xlfn.XLOOKUP(tblOrdenes[[#This Row],[id_operacion]],tblEjecucion[id_operacion],tblEjecucion[precio],0))</f>
        <v/>
      </c>
      <c r="AH1020" s="10">
        <f>IF(tblOrdenes[[#This Row],[orden]]="","",MAX(0,_xlfn.XLOOKUP(tblOrdenes[[#This Row],[id_operacion]],tblEjecucion[id_operacion],tblEjecucion[costo_plan_total],0)-tblOrdenes[[#This Row],[costo_servicio]]))</f>
        <v/>
      </c>
      <c r="AI1020" s="10">
        <f>IF(tblOrdenes[[#This Row],[orden]]="","",tblOrdenes[[#This Row],[costo_servicio]]+tblOrdenes[[#This Row],[costo_materiales]])</f>
        <v/>
      </c>
      <c r="AJ1020" s="6" t="n"/>
      <c r="AK1020" s="6" t="n"/>
      <c r="AL1020" s="6" t="n"/>
      <c r="AM1020" s="3">
        <f>IF(tblOrdenes[[#This Row],[link_checklist]]="","",HYPERLINK(p_ruta_base_checklists&amp;tblOrdenes[[#This Row],[link_checklist]],"abrir"))</f>
        <v/>
      </c>
      <c r="AN1020" s="6" t="n"/>
      <c r="AO1020" s="3">
        <f>IF(tblOrdenes[[#This Row],[orden]]="","",tblOrdenes[[#This Row],[orden]]&amp;IF(tblOrdenes[[#This Row],[operacion]]="","0010",tblOrdenes[[#This Row],[operacion]]))</f>
        <v/>
      </c>
    </row>
    <row r="1021">
      <c r="A1021" s="3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11" t="n"/>
      <c r="K1021" s="3" t="n"/>
      <c r="L1021" s="10" t="n"/>
      <c r="M1021" s="6" t="n"/>
      <c r="N10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21" s="3">
        <f>IF(tblOrdenes[[#This Row],[fecha_inicio]]="","",YEAR(tblOrdenes[[#This Row],[fecha_inicio]]))</f>
        <v/>
      </c>
      <c r="R1021" s="3">
        <f>IF(tblOrdenes[[#This Row],[fecha_inicio]]="","",MONTH(tblOrdenes[[#This Row],[fecha_inicio]]))</f>
        <v/>
      </c>
      <c r="S1021" s="3">
        <f>IF(tblOrdenes[[#This Row],[fecha_inicio]]="","",INDEX(lista_dias,WEEKDAY(tblOrdenes[[#This Row],[fecha_inicio]],2)))</f>
        <v/>
      </c>
      <c r="T1021" s="3">
        <f>IF(tblOrdenes[[#This Row],[tipo_ot]]="","",_xlfn.XLOOKUP(tblOrdenes[[#This Row],[tipo_ot]],tblTiposOT[codigo],tblTiposOT[clasificacion],"sin_clasificar"))</f>
        <v/>
      </c>
      <c r="U1021" s="3">
        <f>IF(tblOrdenes[[#This Row],[centro_costo]]="","",_xlfn.XLOOKUP(tblOrdenes[[#This Row],[centro_costo]],tblCECO[codigo],tblCECO[linea],"(sin catálogo)"))</f>
        <v/>
      </c>
      <c r="V1021" s="3">
        <f>IF(tblOrdenes[[#This Row],[centro_costo]]="","",_xlfn.XLOOKUP(tblOrdenes[[#This Row],[centro_costo]],tblCECO[codigo],tblCECO[area],"(sin catálogo)"))</f>
        <v/>
      </c>
      <c r="W1021" s="3">
        <f>IF(tblOrdenes[[#This Row],[centro_costo]]="","",_xlfn.XLOOKUP(tblOrdenes[[#This Row],[centro_costo]],tblCECO[codigo],tblCECO[coordinador],"(sin catálogo)"))</f>
        <v/>
      </c>
      <c r="X1021" s="3">
        <f>IF(tblOrdenes[[#This Row],[puesto_trabajo]]="","",_xlfn.XLOOKUP(tblOrdenes[[#This Row],[puesto_trabajo]],tblPuestos[codigo],tblPuestos[especialidad],"(sin catálogo)"))</f>
        <v/>
      </c>
      <c r="Y1021" s="3">
        <f>IF(tblOrdenes[[#This Row],[cod_actividad]]="","",_xlfn.XLOOKUP(tblOrdenes[[#This Row],[cod_actividad]],tblActividades[codigo],tblActividades[descripcion],"(sin catálogo)"))</f>
        <v/>
      </c>
      <c r="Z1021" s="12">
        <f>IF(tblOrdenes[[#This Row],[fecha_inicio]]="","",TODAY()-tblOrdenes[[#This Row],[fecha_inicio]])</f>
        <v/>
      </c>
      <c r="AA1021" s="3">
        <f>IF(tblOrdenes[[#This Row],[backlog_dias]]="","",IF(tblOrdenes[[#This Row],[backlog_dias]]&lt;0,"FUTURO",IF(tblOrdenes[[#This Row],[backlog_dias]]&gt;p_dias_backlog_max,"BACKLOG","MES CORRIENTE")))</f>
        <v/>
      </c>
      <c r="AB1021" s="3">
        <f>IF(tblOrdenes[[#This Row],[backlog_dias]]="",FALSE,AND(tblOrdenes[[#This Row],[backlog_dias]]&gt;p_dias_backlog_min,tblOrdenes[[#This Row],[backlog_dias]]&lt;=p_dias_backlog_max))</f>
        <v/>
      </c>
      <c r="AC1021" s="6" t="n"/>
      <c r="AD10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21" s="10">
        <f>IF(tblOrdenes[[#This Row],[orden]]="","",_xlfn.XLOOKUP(tblOrdenes[[#This Row],[id_operacion]],tblEjecucion[id_operacion],tblEjecucion[precio],0))</f>
        <v/>
      </c>
      <c r="AH1021" s="10">
        <f>IF(tblOrdenes[[#This Row],[orden]]="","",MAX(0,_xlfn.XLOOKUP(tblOrdenes[[#This Row],[id_operacion]],tblEjecucion[id_operacion],tblEjecucion[costo_plan_total],0)-tblOrdenes[[#This Row],[costo_servicio]]))</f>
        <v/>
      </c>
      <c r="AI1021" s="10">
        <f>IF(tblOrdenes[[#This Row],[orden]]="","",tblOrdenes[[#This Row],[costo_servicio]]+tblOrdenes[[#This Row],[costo_materiales]])</f>
        <v/>
      </c>
      <c r="AJ1021" s="6" t="n"/>
      <c r="AK1021" s="6" t="n"/>
      <c r="AL1021" s="6" t="n"/>
      <c r="AM1021" s="3">
        <f>IF(tblOrdenes[[#This Row],[link_checklist]]="","",HYPERLINK(p_ruta_base_checklists&amp;tblOrdenes[[#This Row],[link_checklist]],"abrir"))</f>
        <v/>
      </c>
      <c r="AN1021" s="6" t="n"/>
      <c r="AO1021" s="3">
        <f>IF(tblOrdenes[[#This Row],[orden]]="","",tblOrdenes[[#This Row],[orden]]&amp;IF(tblOrdenes[[#This Row],[operacion]]="","0010",tblOrdenes[[#This Row],[operacion]]))</f>
        <v/>
      </c>
    </row>
    <row r="1022">
      <c r="A1022" s="3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11" t="n"/>
      <c r="K1022" s="3" t="n"/>
      <c r="L1022" s="10" t="n"/>
      <c r="M1022" s="6" t="n"/>
      <c r="N10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22" s="3">
        <f>IF(tblOrdenes[[#This Row],[fecha_inicio]]="","",YEAR(tblOrdenes[[#This Row],[fecha_inicio]]))</f>
        <v/>
      </c>
      <c r="R1022" s="3">
        <f>IF(tblOrdenes[[#This Row],[fecha_inicio]]="","",MONTH(tblOrdenes[[#This Row],[fecha_inicio]]))</f>
        <v/>
      </c>
      <c r="S1022" s="3">
        <f>IF(tblOrdenes[[#This Row],[fecha_inicio]]="","",INDEX(lista_dias,WEEKDAY(tblOrdenes[[#This Row],[fecha_inicio]],2)))</f>
        <v/>
      </c>
      <c r="T1022" s="3">
        <f>IF(tblOrdenes[[#This Row],[tipo_ot]]="","",_xlfn.XLOOKUP(tblOrdenes[[#This Row],[tipo_ot]],tblTiposOT[codigo],tblTiposOT[clasificacion],"sin_clasificar"))</f>
        <v/>
      </c>
      <c r="U1022" s="3">
        <f>IF(tblOrdenes[[#This Row],[centro_costo]]="","",_xlfn.XLOOKUP(tblOrdenes[[#This Row],[centro_costo]],tblCECO[codigo],tblCECO[linea],"(sin catálogo)"))</f>
        <v/>
      </c>
      <c r="V1022" s="3">
        <f>IF(tblOrdenes[[#This Row],[centro_costo]]="","",_xlfn.XLOOKUP(tblOrdenes[[#This Row],[centro_costo]],tblCECO[codigo],tblCECO[area],"(sin catálogo)"))</f>
        <v/>
      </c>
      <c r="W1022" s="3">
        <f>IF(tblOrdenes[[#This Row],[centro_costo]]="","",_xlfn.XLOOKUP(tblOrdenes[[#This Row],[centro_costo]],tblCECO[codigo],tblCECO[coordinador],"(sin catálogo)"))</f>
        <v/>
      </c>
      <c r="X1022" s="3">
        <f>IF(tblOrdenes[[#This Row],[puesto_trabajo]]="","",_xlfn.XLOOKUP(tblOrdenes[[#This Row],[puesto_trabajo]],tblPuestos[codigo],tblPuestos[especialidad],"(sin catálogo)"))</f>
        <v/>
      </c>
      <c r="Y1022" s="3">
        <f>IF(tblOrdenes[[#This Row],[cod_actividad]]="","",_xlfn.XLOOKUP(tblOrdenes[[#This Row],[cod_actividad]],tblActividades[codigo],tblActividades[descripcion],"(sin catálogo)"))</f>
        <v/>
      </c>
      <c r="Z1022" s="12">
        <f>IF(tblOrdenes[[#This Row],[fecha_inicio]]="","",TODAY()-tblOrdenes[[#This Row],[fecha_inicio]])</f>
        <v/>
      </c>
      <c r="AA1022" s="3">
        <f>IF(tblOrdenes[[#This Row],[backlog_dias]]="","",IF(tblOrdenes[[#This Row],[backlog_dias]]&lt;0,"FUTURO",IF(tblOrdenes[[#This Row],[backlog_dias]]&gt;p_dias_backlog_max,"BACKLOG","MES CORRIENTE")))</f>
        <v/>
      </c>
      <c r="AB1022" s="3">
        <f>IF(tblOrdenes[[#This Row],[backlog_dias]]="",FALSE,AND(tblOrdenes[[#This Row],[backlog_dias]]&gt;p_dias_backlog_min,tblOrdenes[[#This Row],[backlog_dias]]&lt;=p_dias_backlog_max))</f>
        <v/>
      </c>
      <c r="AC1022" s="6" t="n"/>
      <c r="AD10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22" s="10">
        <f>IF(tblOrdenes[[#This Row],[orden]]="","",_xlfn.XLOOKUP(tblOrdenes[[#This Row],[id_operacion]],tblEjecucion[id_operacion],tblEjecucion[precio],0))</f>
        <v/>
      </c>
      <c r="AH1022" s="10">
        <f>IF(tblOrdenes[[#This Row],[orden]]="","",MAX(0,_xlfn.XLOOKUP(tblOrdenes[[#This Row],[id_operacion]],tblEjecucion[id_operacion],tblEjecucion[costo_plan_total],0)-tblOrdenes[[#This Row],[costo_servicio]]))</f>
        <v/>
      </c>
      <c r="AI1022" s="10">
        <f>IF(tblOrdenes[[#This Row],[orden]]="","",tblOrdenes[[#This Row],[costo_servicio]]+tblOrdenes[[#This Row],[costo_materiales]])</f>
        <v/>
      </c>
      <c r="AJ1022" s="6" t="n"/>
      <c r="AK1022" s="6" t="n"/>
      <c r="AL1022" s="6" t="n"/>
      <c r="AM1022" s="3">
        <f>IF(tblOrdenes[[#This Row],[link_checklist]]="","",HYPERLINK(p_ruta_base_checklists&amp;tblOrdenes[[#This Row],[link_checklist]],"abrir"))</f>
        <v/>
      </c>
      <c r="AN1022" s="6" t="n"/>
      <c r="AO1022" s="3">
        <f>IF(tblOrdenes[[#This Row],[orden]]="","",tblOrdenes[[#This Row],[orden]]&amp;IF(tblOrdenes[[#This Row],[operacion]]="","0010",tblOrdenes[[#This Row],[operacion]]))</f>
        <v/>
      </c>
    </row>
    <row r="1023">
      <c r="A1023" s="3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11" t="n"/>
      <c r="K1023" s="3" t="n"/>
      <c r="L1023" s="10" t="n"/>
      <c r="M1023" s="6" t="n"/>
      <c r="N10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23" s="3">
        <f>IF(tblOrdenes[[#This Row],[fecha_inicio]]="","",YEAR(tblOrdenes[[#This Row],[fecha_inicio]]))</f>
        <v/>
      </c>
      <c r="R1023" s="3">
        <f>IF(tblOrdenes[[#This Row],[fecha_inicio]]="","",MONTH(tblOrdenes[[#This Row],[fecha_inicio]]))</f>
        <v/>
      </c>
      <c r="S1023" s="3">
        <f>IF(tblOrdenes[[#This Row],[fecha_inicio]]="","",INDEX(lista_dias,WEEKDAY(tblOrdenes[[#This Row],[fecha_inicio]],2)))</f>
        <v/>
      </c>
      <c r="T1023" s="3">
        <f>IF(tblOrdenes[[#This Row],[tipo_ot]]="","",_xlfn.XLOOKUP(tblOrdenes[[#This Row],[tipo_ot]],tblTiposOT[codigo],tblTiposOT[clasificacion],"sin_clasificar"))</f>
        <v/>
      </c>
      <c r="U1023" s="3">
        <f>IF(tblOrdenes[[#This Row],[centro_costo]]="","",_xlfn.XLOOKUP(tblOrdenes[[#This Row],[centro_costo]],tblCECO[codigo],tblCECO[linea],"(sin catálogo)"))</f>
        <v/>
      </c>
      <c r="V1023" s="3">
        <f>IF(tblOrdenes[[#This Row],[centro_costo]]="","",_xlfn.XLOOKUP(tblOrdenes[[#This Row],[centro_costo]],tblCECO[codigo],tblCECO[area],"(sin catálogo)"))</f>
        <v/>
      </c>
      <c r="W1023" s="3">
        <f>IF(tblOrdenes[[#This Row],[centro_costo]]="","",_xlfn.XLOOKUP(tblOrdenes[[#This Row],[centro_costo]],tblCECO[codigo],tblCECO[coordinador],"(sin catálogo)"))</f>
        <v/>
      </c>
      <c r="X1023" s="3">
        <f>IF(tblOrdenes[[#This Row],[puesto_trabajo]]="","",_xlfn.XLOOKUP(tblOrdenes[[#This Row],[puesto_trabajo]],tblPuestos[codigo],tblPuestos[especialidad],"(sin catálogo)"))</f>
        <v/>
      </c>
      <c r="Y1023" s="3">
        <f>IF(tblOrdenes[[#This Row],[cod_actividad]]="","",_xlfn.XLOOKUP(tblOrdenes[[#This Row],[cod_actividad]],tblActividades[codigo],tblActividades[descripcion],"(sin catálogo)"))</f>
        <v/>
      </c>
      <c r="Z1023" s="12">
        <f>IF(tblOrdenes[[#This Row],[fecha_inicio]]="","",TODAY()-tblOrdenes[[#This Row],[fecha_inicio]])</f>
        <v/>
      </c>
      <c r="AA1023" s="3">
        <f>IF(tblOrdenes[[#This Row],[backlog_dias]]="","",IF(tblOrdenes[[#This Row],[backlog_dias]]&lt;0,"FUTURO",IF(tblOrdenes[[#This Row],[backlog_dias]]&gt;p_dias_backlog_max,"BACKLOG","MES CORRIENTE")))</f>
        <v/>
      </c>
      <c r="AB1023" s="3">
        <f>IF(tblOrdenes[[#This Row],[backlog_dias]]="",FALSE,AND(tblOrdenes[[#This Row],[backlog_dias]]&gt;p_dias_backlog_min,tblOrdenes[[#This Row],[backlog_dias]]&lt;=p_dias_backlog_max))</f>
        <v/>
      </c>
      <c r="AC1023" s="6" t="n"/>
      <c r="AD10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23" s="10">
        <f>IF(tblOrdenes[[#This Row],[orden]]="","",_xlfn.XLOOKUP(tblOrdenes[[#This Row],[id_operacion]],tblEjecucion[id_operacion],tblEjecucion[precio],0))</f>
        <v/>
      </c>
      <c r="AH1023" s="10">
        <f>IF(tblOrdenes[[#This Row],[orden]]="","",MAX(0,_xlfn.XLOOKUP(tblOrdenes[[#This Row],[id_operacion]],tblEjecucion[id_operacion],tblEjecucion[costo_plan_total],0)-tblOrdenes[[#This Row],[costo_servicio]]))</f>
        <v/>
      </c>
      <c r="AI1023" s="10">
        <f>IF(tblOrdenes[[#This Row],[orden]]="","",tblOrdenes[[#This Row],[costo_servicio]]+tblOrdenes[[#This Row],[costo_materiales]])</f>
        <v/>
      </c>
      <c r="AJ1023" s="6" t="n"/>
      <c r="AK1023" s="6" t="n"/>
      <c r="AL1023" s="6" t="n"/>
      <c r="AM1023" s="3">
        <f>IF(tblOrdenes[[#This Row],[link_checklist]]="","",HYPERLINK(p_ruta_base_checklists&amp;tblOrdenes[[#This Row],[link_checklist]],"abrir"))</f>
        <v/>
      </c>
      <c r="AN1023" s="6" t="n"/>
      <c r="AO1023" s="3">
        <f>IF(tblOrdenes[[#This Row],[orden]]="","",tblOrdenes[[#This Row],[orden]]&amp;IF(tblOrdenes[[#This Row],[operacion]]="","0010",tblOrdenes[[#This Row],[operacion]]))</f>
        <v/>
      </c>
    </row>
    <row r="1024">
      <c r="A1024" s="3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11" t="n"/>
      <c r="K1024" s="3" t="n"/>
      <c r="L1024" s="10" t="n"/>
      <c r="M1024" s="6" t="n"/>
      <c r="N10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24" s="3">
        <f>IF(tblOrdenes[[#This Row],[fecha_inicio]]="","",YEAR(tblOrdenes[[#This Row],[fecha_inicio]]))</f>
        <v/>
      </c>
      <c r="R1024" s="3">
        <f>IF(tblOrdenes[[#This Row],[fecha_inicio]]="","",MONTH(tblOrdenes[[#This Row],[fecha_inicio]]))</f>
        <v/>
      </c>
      <c r="S1024" s="3">
        <f>IF(tblOrdenes[[#This Row],[fecha_inicio]]="","",INDEX(lista_dias,WEEKDAY(tblOrdenes[[#This Row],[fecha_inicio]],2)))</f>
        <v/>
      </c>
      <c r="T1024" s="3">
        <f>IF(tblOrdenes[[#This Row],[tipo_ot]]="","",_xlfn.XLOOKUP(tblOrdenes[[#This Row],[tipo_ot]],tblTiposOT[codigo],tblTiposOT[clasificacion],"sin_clasificar"))</f>
        <v/>
      </c>
      <c r="U1024" s="3">
        <f>IF(tblOrdenes[[#This Row],[centro_costo]]="","",_xlfn.XLOOKUP(tblOrdenes[[#This Row],[centro_costo]],tblCECO[codigo],tblCECO[linea],"(sin catálogo)"))</f>
        <v/>
      </c>
      <c r="V1024" s="3">
        <f>IF(tblOrdenes[[#This Row],[centro_costo]]="","",_xlfn.XLOOKUP(tblOrdenes[[#This Row],[centro_costo]],tblCECO[codigo],tblCECO[area],"(sin catálogo)"))</f>
        <v/>
      </c>
      <c r="W1024" s="3">
        <f>IF(tblOrdenes[[#This Row],[centro_costo]]="","",_xlfn.XLOOKUP(tblOrdenes[[#This Row],[centro_costo]],tblCECO[codigo],tblCECO[coordinador],"(sin catálogo)"))</f>
        <v/>
      </c>
      <c r="X1024" s="3">
        <f>IF(tblOrdenes[[#This Row],[puesto_trabajo]]="","",_xlfn.XLOOKUP(tblOrdenes[[#This Row],[puesto_trabajo]],tblPuestos[codigo],tblPuestos[especialidad],"(sin catálogo)"))</f>
        <v/>
      </c>
      <c r="Y1024" s="3">
        <f>IF(tblOrdenes[[#This Row],[cod_actividad]]="","",_xlfn.XLOOKUP(tblOrdenes[[#This Row],[cod_actividad]],tblActividades[codigo],tblActividades[descripcion],"(sin catálogo)"))</f>
        <v/>
      </c>
      <c r="Z1024" s="12">
        <f>IF(tblOrdenes[[#This Row],[fecha_inicio]]="","",TODAY()-tblOrdenes[[#This Row],[fecha_inicio]])</f>
        <v/>
      </c>
      <c r="AA1024" s="3">
        <f>IF(tblOrdenes[[#This Row],[backlog_dias]]="","",IF(tblOrdenes[[#This Row],[backlog_dias]]&lt;0,"FUTURO",IF(tblOrdenes[[#This Row],[backlog_dias]]&gt;p_dias_backlog_max,"BACKLOG","MES CORRIENTE")))</f>
        <v/>
      </c>
      <c r="AB1024" s="3">
        <f>IF(tblOrdenes[[#This Row],[backlog_dias]]="",FALSE,AND(tblOrdenes[[#This Row],[backlog_dias]]&gt;p_dias_backlog_min,tblOrdenes[[#This Row],[backlog_dias]]&lt;=p_dias_backlog_max))</f>
        <v/>
      </c>
      <c r="AC1024" s="6" t="n"/>
      <c r="AD10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24" s="10">
        <f>IF(tblOrdenes[[#This Row],[orden]]="","",_xlfn.XLOOKUP(tblOrdenes[[#This Row],[id_operacion]],tblEjecucion[id_operacion],tblEjecucion[precio],0))</f>
        <v/>
      </c>
      <c r="AH1024" s="10">
        <f>IF(tblOrdenes[[#This Row],[orden]]="","",MAX(0,_xlfn.XLOOKUP(tblOrdenes[[#This Row],[id_operacion]],tblEjecucion[id_operacion],tblEjecucion[costo_plan_total],0)-tblOrdenes[[#This Row],[costo_servicio]]))</f>
        <v/>
      </c>
      <c r="AI1024" s="10">
        <f>IF(tblOrdenes[[#This Row],[orden]]="","",tblOrdenes[[#This Row],[costo_servicio]]+tblOrdenes[[#This Row],[costo_materiales]])</f>
        <v/>
      </c>
      <c r="AJ1024" s="6" t="n"/>
      <c r="AK1024" s="6" t="n"/>
      <c r="AL1024" s="6" t="n"/>
      <c r="AM1024" s="3">
        <f>IF(tblOrdenes[[#This Row],[link_checklist]]="","",HYPERLINK(p_ruta_base_checklists&amp;tblOrdenes[[#This Row],[link_checklist]],"abrir"))</f>
        <v/>
      </c>
      <c r="AN1024" s="6" t="n"/>
      <c r="AO1024" s="3">
        <f>IF(tblOrdenes[[#This Row],[orden]]="","",tblOrdenes[[#This Row],[orden]]&amp;IF(tblOrdenes[[#This Row],[operacion]]="","0010",tblOrdenes[[#This Row],[operacion]]))</f>
        <v/>
      </c>
    </row>
    <row r="1025">
      <c r="A1025" s="3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11" t="n"/>
      <c r="K1025" s="3" t="n"/>
      <c r="L1025" s="10" t="n"/>
      <c r="M1025" s="6" t="n"/>
      <c r="N10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25" s="3">
        <f>IF(tblOrdenes[[#This Row],[fecha_inicio]]="","",YEAR(tblOrdenes[[#This Row],[fecha_inicio]]))</f>
        <v/>
      </c>
      <c r="R1025" s="3">
        <f>IF(tblOrdenes[[#This Row],[fecha_inicio]]="","",MONTH(tblOrdenes[[#This Row],[fecha_inicio]]))</f>
        <v/>
      </c>
      <c r="S1025" s="3">
        <f>IF(tblOrdenes[[#This Row],[fecha_inicio]]="","",INDEX(lista_dias,WEEKDAY(tblOrdenes[[#This Row],[fecha_inicio]],2)))</f>
        <v/>
      </c>
      <c r="T1025" s="3">
        <f>IF(tblOrdenes[[#This Row],[tipo_ot]]="","",_xlfn.XLOOKUP(tblOrdenes[[#This Row],[tipo_ot]],tblTiposOT[codigo],tblTiposOT[clasificacion],"sin_clasificar"))</f>
        <v/>
      </c>
      <c r="U1025" s="3">
        <f>IF(tblOrdenes[[#This Row],[centro_costo]]="","",_xlfn.XLOOKUP(tblOrdenes[[#This Row],[centro_costo]],tblCECO[codigo],tblCECO[linea],"(sin catálogo)"))</f>
        <v/>
      </c>
      <c r="V1025" s="3">
        <f>IF(tblOrdenes[[#This Row],[centro_costo]]="","",_xlfn.XLOOKUP(tblOrdenes[[#This Row],[centro_costo]],tblCECO[codigo],tblCECO[area],"(sin catálogo)"))</f>
        <v/>
      </c>
      <c r="W1025" s="3">
        <f>IF(tblOrdenes[[#This Row],[centro_costo]]="","",_xlfn.XLOOKUP(tblOrdenes[[#This Row],[centro_costo]],tblCECO[codigo],tblCECO[coordinador],"(sin catálogo)"))</f>
        <v/>
      </c>
      <c r="X1025" s="3">
        <f>IF(tblOrdenes[[#This Row],[puesto_trabajo]]="","",_xlfn.XLOOKUP(tblOrdenes[[#This Row],[puesto_trabajo]],tblPuestos[codigo],tblPuestos[especialidad],"(sin catálogo)"))</f>
        <v/>
      </c>
      <c r="Y1025" s="3">
        <f>IF(tblOrdenes[[#This Row],[cod_actividad]]="","",_xlfn.XLOOKUP(tblOrdenes[[#This Row],[cod_actividad]],tblActividades[codigo],tblActividades[descripcion],"(sin catálogo)"))</f>
        <v/>
      </c>
      <c r="Z1025" s="12">
        <f>IF(tblOrdenes[[#This Row],[fecha_inicio]]="","",TODAY()-tblOrdenes[[#This Row],[fecha_inicio]])</f>
        <v/>
      </c>
      <c r="AA1025" s="3">
        <f>IF(tblOrdenes[[#This Row],[backlog_dias]]="","",IF(tblOrdenes[[#This Row],[backlog_dias]]&lt;0,"FUTURO",IF(tblOrdenes[[#This Row],[backlog_dias]]&gt;p_dias_backlog_max,"BACKLOG","MES CORRIENTE")))</f>
        <v/>
      </c>
      <c r="AB1025" s="3">
        <f>IF(tblOrdenes[[#This Row],[backlog_dias]]="",FALSE,AND(tblOrdenes[[#This Row],[backlog_dias]]&gt;p_dias_backlog_min,tblOrdenes[[#This Row],[backlog_dias]]&lt;=p_dias_backlog_max))</f>
        <v/>
      </c>
      <c r="AC1025" s="6" t="n"/>
      <c r="AD10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25" s="10">
        <f>IF(tblOrdenes[[#This Row],[orden]]="","",_xlfn.XLOOKUP(tblOrdenes[[#This Row],[id_operacion]],tblEjecucion[id_operacion],tblEjecucion[precio],0))</f>
        <v/>
      </c>
      <c r="AH1025" s="10">
        <f>IF(tblOrdenes[[#This Row],[orden]]="","",MAX(0,_xlfn.XLOOKUP(tblOrdenes[[#This Row],[id_operacion]],tblEjecucion[id_operacion],tblEjecucion[costo_plan_total],0)-tblOrdenes[[#This Row],[costo_servicio]]))</f>
        <v/>
      </c>
      <c r="AI1025" s="10">
        <f>IF(tblOrdenes[[#This Row],[orden]]="","",tblOrdenes[[#This Row],[costo_servicio]]+tblOrdenes[[#This Row],[costo_materiales]])</f>
        <v/>
      </c>
      <c r="AJ1025" s="6" t="n"/>
      <c r="AK1025" s="6" t="n"/>
      <c r="AL1025" s="6" t="n"/>
      <c r="AM1025" s="3">
        <f>IF(tblOrdenes[[#This Row],[link_checklist]]="","",HYPERLINK(p_ruta_base_checklists&amp;tblOrdenes[[#This Row],[link_checklist]],"abrir"))</f>
        <v/>
      </c>
      <c r="AN1025" s="6" t="n"/>
      <c r="AO1025" s="3">
        <f>IF(tblOrdenes[[#This Row],[orden]]="","",tblOrdenes[[#This Row],[orden]]&amp;IF(tblOrdenes[[#This Row],[operacion]]="","0010",tblOrdenes[[#This Row],[operacion]]))</f>
        <v/>
      </c>
    </row>
    <row r="1026">
      <c r="A1026" s="3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11" t="n"/>
      <c r="K1026" s="3" t="n"/>
      <c r="L1026" s="10" t="n"/>
      <c r="M1026" s="6" t="n"/>
      <c r="N10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26" s="3">
        <f>IF(tblOrdenes[[#This Row],[fecha_inicio]]="","",YEAR(tblOrdenes[[#This Row],[fecha_inicio]]))</f>
        <v/>
      </c>
      <c r="R1026" s="3">
        <f>IF(tblOrdenes[[#This Row],[fecha_inicio]]="","",MONTH(tblOrdenes[[#This Row],[fecha_inicio]]))</f>
        <v/>
      </c>
      <c r="S1026" s="3">
        <f>IF(tblOrdenes[[#This Row],[fecha_inicio]]="","",INDEX(lista_dias,WEEKDAY(tblOrdenes[[#This Row],[fecha_inicio]],2)))</f>
        <v/>
      </c>
      <c r="T1026" s="3">
        <f>IF(tblOrdenes[[#This Row],[tipo_ot]]="","",_xlfn.XLOOKUP(tblOrdenes[[#This Row],[tipo_ot]],tblTiposOT[codigo],tblTiposOT[clasificacion],"sin_clasificar"))</f>
        <v/>
      </c>
      <c r="U1026" s="3">
        <f>IF(tblOrdenes[[#This Row],[centro_costo]]="","",_xlfn.XLOOKUP(tblOrdenes[[#This Row],[centro_costo]],tblCECO[codigo],tblCECO[linea],"(sin catálogo)"))</f>
        <v/>
      </c>
      <c r="V1026" s="3">
        <f>IF(tblOrdenes[[#This Row],[centro_costo]]="","",_xlfn.XLOOKUP(tblOrdenes[[#This Row],[centro_costo]],tblCECO[codigo],tblCECO[area],"(sin catálogo)"))</f>
        <v/>
      </c>
      <c r="W1026" s="3">
        <f>IF(tblOrdenes[[#This Row],[centro_costo]]="","",_xlfn.XLOOKUP(tblOrdenes[[#This Row],[centro_costo]],tblCECO[codigo],tblCECO[coordinador],"(sin catálogo)"))</f>
        <v/>
      </c>
      <c r="X1026" s="3">
        <f>IF(tblOrdenes[[#This Row],[puesto_trabajo]]="","",_xlfn.XLOOKUP(tblOrdenes[[#This Row],[puesto_trabajo]],tblPuestos[codigo],tblPuestos[especialidad],"(sin catálogo)"))</f>
        <v/>
      </c>
      <c r="Y1026" s="3">
        <f>IF(tblOrdenes[[#This Row],[cod_actividad]]="","",_xlfn.XLOOKUP(tblOrdenes[[#This Row],[cod_actividad]],tblActividades[codigo],tblActividades[descripcion],"(sin catálogo)"))</f>
        <v/>
      </c>
      <c r="Z1026" s="12">
        <f>IF(tblOrdenes[[#This Row],[fecha_inicio]]="","",TODAY()-tblOrdenes[[#This Row],[fecha_inicio]])</f>
        <v/>
      </c>
      <c r="AA1026" s="3">
        <f>IF(tblOrdenes[[#This Row],[backlog_dias]]="","",IF(tblOrdenes[[#This Row],[backlog_dias]]&lt;0,"FUTURO",IF(tblOrdenes[[#This Row],[backlog_dias]]&gt;p_dias_backlog_max,"BACKLOG","MES CORRIENTE")))</f>
        <v/>
      </c>
      <c r="AB1026" s="3">
        <f>IF(tblOrdenes[[#This Row],[backlog_dias]]="",FALSE,AND(tblOrdenes[[#This Row],[backlog_dias]]&gt;p_dias_backlog_min,tblOrdenes[[#This Row],[backlog_dias]]&lt;=p_dias_backlog_max))</f>
        <v/>
      </c>
      <c r="AC1026" s="6" t="n"/>
      <c r="AD10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26" s="10">
        <f>IF(tblOrdenes[[#This Row],[orden]]="","",_xlfn.XLOOKUP(tblOrdenes[[#This Row],[id_operacion]],tblEjecucion[id_operacion],tblEjecucion[precio],0))</f>
        <v/>
      </c>
      <c r="AH1026" s="10">
        <f>IF(tblOrdenes[[#This Row],[orden]]="","",MAX(0,_xlfn.XLOOKUP(tblOrdenes[[#This Row],[id_operacion]],tblEjecucion[id_operacion],tblEjecucion[costo_plan_total],0)-tblOrdenes[[#This Row],[costo_servicio]]))</f>
        <v/>
      </c>
      <c r="AI1026" s="10">
        <f>IF(tblOrdenes[[#This Row],[orden]]="","",tblOrdenes[[#This Row],[costo_servicio]]+tblOrdenes[[#This Row],[costo_materiales]])</f>
        <v/>
      </c>
      <c r="AJ1026" s="6" t="n"/>
      <c r="AK1026" s="6" t="n"/>
      <c r="AL1026" s="6" t="n"/>
      <c r="AM1026" s="3">
        <f>IF(tblOrdenes[[#This Row],[link_checklist]]="","",HYPERLINK(p_ruta_base_checklists&amp;tblOrdenes[[#This Row],[link_checklist]],"abrir"))</f>
        <v/>
      </c>
      <c r="AN1026" s="6" t="n"/>
      <c r="AO1026" s="3">
        <f>IF(tblOrdenes[[#This Row],[orden]]="","",tblOrdenes[[#This Row],[orden]]&amp;IF(tblOrdenes[[#This Row],[operacion]]="","0010",tblOrdenes[[#This Row],[operacion]]))</f>
        <v/>
      </c>
    </row>
    <row r="1027">
      <c r="A1027" s="3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11" t="n"/>
      <c r="K1027" s="3" t="n"/>
      <c r="L1027" s="10" t="n"/>
      <c r="M1027" s="6" t="n"/>
      <c r="N10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27" s="3">
        <f>IF(tblOrdenes[[#This Row],[fecha_inicio]]="","",YEAR(tblOrdenes[[#This Row],[fecha_inicio]]))</f>
        <v/>
      </c>
      <c r="R1027" s="3">
        <f>IF(tblOrdenes[[#This Row],[fecha_inicio]]="","",MONTH(tblOrdenes[[#This Row],[fecha_inicio]]))</f>
        <v/>
      </c>
      <c r="S1027" s="3">
        <f>IF(tblOrdenes[[#This Row],[fecha_inicio]]="","",INDEX(lista_dias,WEEKDAY(tblOrdenes[[#This Row],[fecha_inicio]],2)))</f>
        <v/>
      </c>
      <c r="T1027" s="3">
        <f>IF(tblOrdenes[[#This Row],[tipo_ot]]="","",_xlfn.XLOOKUP(tblOrdenes[[#This Row],[tipo_ot]],tblTiposOT[codigo],tblTiposOT[clasificacion],"sin_clasificar"))</f>
        <v/>
      </c>
      <c r="U1027" s="3">
        <f>IF(tblOrdenes[[#This Row],[centro_costo]]="","",_xlfn.XLOOKUP(tblOrdenes[[#This Row],[centro_costo]],tblCECO[codigo],tblCECO[linea],"(sin catálogo)"))</f>
        <v/>
      </c>
      <c r="V1027" s="3">
        <f>IF(tblOrdenes[[#This Row],[centro_costo]]="","",_xlfn.XLOOKUP(tblOrdenes[[#This Row],[centro_costo]],tblCECO[codigo],tblCECO[area],"(sin catálogo)"))</f>
        <v/>
      </c>
      <c r="W1027" s="3">
        <f>IF(tblOrdenes[[#This Row],[centro_costo]]="","",_xlfn.XLOOKUP(tblOrdenes[[#This Row],[centro_costo]],tblCECO[codigo],tblCECO[coordinador],"(sin catálogo)"))</f>
        <v/>
      </c>
      <c r="X1027" s="3">
        <f>IF(tblOrdenes[[#This Row],[puesto_trabajo]]="","",_xlfn.XLOOKUP(tblOrdenes[[#This Row],[puesto_trabajo]],tblPuestos[codigo],tblPuestos[especialidad],"(sin catálogo)"))</f>
        <v/>
      </c>
      <c r="Y1027" s="3">
        <f>IF(tblOrdenes[[#This Row],[cod_actividad]]="","",_xlfn.XLOOKUP(tblOrdenes[[#This Row],[cod_actividad]],tblActividades[codigo],tblActividades[descripcion],"(sin catálogo)"))</f>
        <v/>
      </c>
      <c r="Z1027" s="12">
        <f>IF(tblOrdenes[[#This Row],[fecha_inicio]]="","",TODAY()-tblOrdenes[[#This Row],[fecha_inicio]])</f>
        <v/>
      </c>
      <c r="AA1027" s="3">
        <f>IF(tblOrdenes[[#This Row],[backlog_dias]]="","",IF(tblOrdenes[[#This Row],[backlog_dias]]&lt;0,"FUTURO",IF(tblOrdenes[[#This Row],[backlog_dias]]&gt;p_dias_backlog_max,"BACKLOG","MES CORRIENTE")))</f>
        <v/>
      </c>
      <c r="AB1027" s="3">
        <f>IF(tblOrdenes[[#This Row],[backlog_dias]]="",FALSE,AND(tblOrdenes[[#This Row],[backlog_dias]]&gt;p_dias_backlog_min,tblOrdenes[[#This Row],[backlog_dias]]&lt;=p_dias_backlog_max))</f>
        <v/>
      </c>
      <c r="AC1027" s="6" t="n"/>
      <c r="AD10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27" s="10">
        <f>IF(tblOrdenes[[#This Row],[orden]]="","",_xlfn.XLOOKUP(tblOrdenes[[#This Row],[id_operacion]],tblEjecucion[id_operacion],tblEjecucion[precio],0))</f>
        <v/>
      </c>
      <c r="AH1027" s="10">
        <f>IF(tblOrdenes[[#This Row],[orden]]="","",MAX(0,_xlfn.XLOOKUP(tblOrdenes[[#This Row],[id_operacion]],tblEjecucion[id_operacion],tblEjecucion[costo_plan_total],0)-tblOrdenes[[#This Row],[costo_servicio]]))</f>
        <v/>
      </c>
      <c r="AI1027" s="10">
        <f>IF(tblOrdenes[[#This Row],[orden]]="","",tblOrdenes[[#This Row],[costo_servicio]]+tblOrdenes[[#This Row],[costo_materiales]])</f>
        <v/>
      </c>
      <c r="AJ1027" s="6" t="n"/>
      <c r="AK1027" s="6" t="n"/>
      <c r="AL1027" s="6" t="n"/>
      <c r="AM1027" s="3">
        <f>IF(tblOrdenes[[#This Row],[link_checklist]]="","",HYPERLINK(p_ruta_base_checklists&amp;tblOrdenes[[#This Row],[link_checklist]],"abrir"))</f>
        <v/>
      </c>
      <c r="AN1027" s="6" t="n"/>
      <c r="AO1027" s="3">
        <f>IF(tblOrdenes[[#This Row],[orden]]="","",tblOrdenes[[#This Row],[orden]]&amp;IF(tblOrdenes[[#This Row],[operacion]]="","0010",tblOrdenes[[#This Row],[operacion]]))</f>
        <v/>
      </c>
    </row>
    <row r="1028">
      <c r="A1028" s="3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11" t="n"/>
      <c r="K1028" s="3" t="n"/>
      <c r="L1028" s="10" t="n"/>
      <c r="M1028" s="6" t="n"/>
      <c r="N10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28" s="3">
        <f>IF(tblOrdenes[[#This Row],[fecha_inicio]]="","",YEAR(tblOrdenes[[#This Row],[fecha_inicio]]))</f>
        <v/>
      </c>
      <c r="R1028" s="3">
        <f>IF(tblOrdenes[[#This Row],[fecha_inicio]]="","",MONTH(tblOrdenes[[#This Row],[fecha_inicio]]))</f>
        <v/>
      </c>
      <c r="S1028" s="3">
        <f>IF(tblOrdenes[[#This Row],[fecha_inicio]]="","",INDEX(lista_dias,WEEKDAY(tblOrdenes[[#This Row],[fecha_inicio]],2)))</f>
        <v/>
      </c>
      <c r="T1028" s="3">
        <f>IF(tblOrdenes[[#This Row],[tipo_ot]]="","",_xlfn.XLOOKUP(tblOrdenes[[#This Row],[tipo_ot]],tblTiposOT[codigo],tblTiposOT[clasificacion],"sin_clasificar"))</f>
        <v/>
      </c>
      <c r="U1028" s="3">
        <f>IF(tblOrdenes[[#This Row],[centro_costo]]="","",_xlfn.XLOOKUP(tblOrdenes[[#This Row],[centro_costo]],tblCECO[codigo],tblCECO[linea],"(sin catálogo)"))</f>
        <v/>
      </c>
      <c r="V1028" s="3">
        <f>IF(tblOrdenes[[#This Row],[centro_costo]]="","",_xlfn.XLOOKUP(tblOrdenes[[#This Row],[centro_costo]],tblCECO[codigo],tblCECO[area],"(sin catálogo)"))</f>
        <v/>
      </c>
      <c r="W1028" s="3">
        <f>IF(tblOrdenes[[#This Row],[centro_costo]]="","",_xlfn.XLOOKUP(tblOrdenes[[#This Row],[centro_costo]],tblCECO[codigo],tblCECO[coordinador],"(sin catálogo)"))</f>
        <v/>
      </c>
      <c r="X1028" s="3">
        <f>IF(tblOrdenes[[#This Row],[puesto_trabajo]]="","",_xlfn.XLOOKUP(tblOrdenes[[#This Row],[puesto_trabajo]],tblPuestos[codigo],tblPuestos[especialidad],"(sin catálogo)"))</f>
        <v/>
      </c>
      <c r="Y1028" s="3">
        <f>IF(tblOrdenes[[#This Row],[cod_actividad]]="","",_xlfn.XLOOKUP(tblOrdenes[[#This Row],[cod_actividad]],tblActividades[codigo],tblActividades[descripcion],"(sin catálogo)"))</f>
        <v/>
      </c>
      <c r="Z1028" s="12">
        <f>IF(tblOrdenes[[#This Row],[fecha_inicio]]="","",TODAY()-tblOrdenes[[#This Row],[fecha_inicio]])</f>
        <v/>
      </c>
      <c r="AA1028" s="3">
        <f>IF(tblOrdenes[[#This Row],[backlog_dias]]="","",IF(tblOrdenes[[#This Row],[backlog_dias]]&lt;0,"FUTURO",IF(tblOrdenes[[#This Row],[backlog_dias]]&gt;p_dias_backlog_max,"BACKLOG","MES CORRIENTE")))</f>
        <v/>
      </c>
      <c r="AB1028" s="3">
        <f>IF(tblOrdenes[[#This Row],[backlog_dias]]="",FALSE,AND(tblOrdenes[[#This Row],[backlog_dias]]&gt;p_dias_backlog_min,tblOrdenes[[#This Row],[backlog_dias]]&lt;=p_dias_backlog_max))</f>
        <v/>
      </c>
      <c r="AC1028" s="6" t="n"/>
      <c r="AD10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28" s="10">
        <f>IF(tblOrdenes[[#This Row],[orden]]="","",_xlfn.XLOOKUP(tblOrdenes[[#This Row],[id_operacion]],tblEjecucion[id_operacion],tblEjecucion[precio],0))</f>
        <v/>
      </c>
      <c r="AH1028" s="10">
        <f>IF(tblOrdenes[[#This Row],[orden]]="","",MAX(0,_xlfn.XLOOKUP(tblOrdenes[[#This Row],[id_operacion]],tblEjecucion[id_operacion],tblEjecucion[costo_plan_total],0)-tblOrdenes[[#This Row],[costo_servicio]]))</f>
        <v/>
      </c>
      <c r="AI1028" s="10">
        <f>IF(tblOrdenes[[#This Row],[orden]]="","",tblOrdenes[[#This Row],[costo_servicio]]+tblOrdenes[[#This Row],[costo_materiales]])</f>
        <v/>
      </c>
      <c r="AJ1028" s="6" t="n"/>
      <c r="AK1028" s="6" t="n"/>
      <c r="AL1028" s="6" t="n"/>
      <c r="AM1028" s="3">
        <f>IF(tblOrdenes[[#This Row],[link_checklist]]="","",HYPERLINK(p_ruta_base_checklists&amp;tblOrdenes[[#This Row],[link_checklist]],"abrir"))</f>
        <v/>
      </c>
      <c r="AN1028" s="6" t="n"/>
      <c r="AO1028" s="3">
        <f>IF(tblOrdenes[[#This Row],[orden]]="","",tblOrdenes[[#This Row],[orden]]&amp;IF(tblOrdenes[[#This Row],[operacion]]="","0010",tblOrdenes[[#This Row],[operacion]]))</f>
        <v/>
      </c>
    </row>
    <row r="1029">
      <c r="A1029" s="3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11" t="n"/>
      <c r="K1029" s="3" t="n"/>
      <c r="L1029" s="10" t="n"/>
      <c r="M1029" s="6" t="n"/>
      <c r="N10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29" s="3">
        <f>IF(tblOrdenes[[#This Row],[fecha_inicio]]="","",YEAR(tblOrdenes[[#This Row],[fecha_inicio]]))</f>
        <v/>
      </c>
      <c r="R1029" s="3">
        <f>IF(tblOrdenes[[#This Row],[fecha_inicio]]="","",MONTH(tblOrdenes[[#This Row],[fecha_inicio]]))</f>
        <v/>
      </c>
      <c r="S1029" s="3">
        <f>IF(tblOrdenes[[#This Row],[fecha_inicio]]="","",INDEX(lista_dias,WEEKDAY(tblOrdenes[[#This Row],[fecha_inicio]],2)))</f>
        <v/>
      </c>
      <c r="T1029" s="3">
        <f>IF(tblOrdenes[[#This Row],[tipo_ot]]="","",_xlfn.XLOOKUP(tblOrdenes[[#This Row],[tipo_ot]],tblTiposOT[codigo],tblTiposOT[clasificacion],"sin_clasificar"))</f>
        <v/>
      </c>
      <c r="U1029" s="3">
        <f>IF(tblOrdenes[[#This Row],[centro_costo]]="","",_xlfn.XLOOKUP(tblOrdenes[[#This Row],[centro_costo]],tblCECO[codigo],tblCECO[linea],"(sin catálogo)"))</f>
        <v/>
      </c>
      <c r="V1029" s="3">
        <f>IF(tblOrdenes[[#This Row],[centro_costo]]="","",_xlfn.XLOOKUP(tblOrdenes[[#This Row],[centro_costo]],tblCECO[codigo],tblCECO[area],"(sin catálogo)"))</f>
        <v/>
      </c>
      <c r="W1029" s="3">
        <f>IF(tblOrdenes[[#This Row],[centro_costo]]="","",_xlfn.XLOOKUP(tblOrdenes[[#This Row],[centro_costo]],tblCECO[codigo],tblCECO[coordinador],"(sin catálogo)"))</f>
        <v/>
      </c>
      <c r="X1029" s="3">
        <f>IF(tblOrdenes[[#This Row],[puesto_trabajo]]="","",_xlfn.XLOOKUP(tblOrdenes[[#This Row],[puesto_trabajo]],tblPuestos[codigo],tblPuestos[especialidad],"(sin catálogo)"))</f>
        <v/>
      </c>
      <c r="Y1029" s="3">
        <f>IF(tblOrdenes[[#This Row],[cod_actividad]]="","",_xlfn.XLOOKUP(tblOrdenes[[#This Row],[cod_actividad]],tblActividades[codigo],tblActividades[descripcion],"(sin catálogo)"))</f>
        <v/>
      </c>
      <c r="Z1029" s="12">
        <f>IF(tblOrdenes[[#This Row],[fecha_inicio]]="","",TODAY()-tblOrdenes[[#This Row],[fecha_inicio]])</f>
        <v/>
      </c>
      <c r="AA1029" s="3">
        <f>IF(tblOrdenes[[#This Row],[backlog_dias]]="","",IF(tblOrdenes[[#This Row],[backlog_dias]]&lt;0,"FUTURO",IF(tblOrdenes[[#This Row],[backlog_dias]]&gt;p_dias_backlog_max,"BACKLOG","MES CORRIENTE")))</f>
        <v/>
      </c>
      <c r="AB1029" s="3">
        <f>IF(tblOrdenes[[#This Row],[backlog_dias]]="",FALSE,AND(tblOrdenes[[#This Row],[backlog_dias]]&gt;p_dias_backlog_min,tblOrdenes[[#This Row],[backlog_dias]]&lt;=p_dias_backlog_max))</f>
        <v/>
      </c>
      <c r="AC1029" s="6" t="n"/>
      <c r="AD10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29" s="10">
        <f>IF(tblOrdenes[[#This Row],[orden]]="","",_xlfn.XLOOKUP(tblOrdenes[[#This Row],[id_operacion]],tblEjecucion[id_operacion],tblEjecucion[precio],0))</f>
        <v/>
      </c>
      <c r="AH1029" s="10">
        <f>IF(tblOrdenes[[#This Row],[orden]]="","",MAX(0,_xlfn.XLOOKUP(tblOrdenes[[#This Row],[id_operacion]],tblEjecucion[id_operacion],tblEjecucion[costo_plan_total],0)-tblOrdenes[[#This Row],[costo_servicio]]))</f>
        <v/>
      </c>
      <c r="AI1029" s="10">
        <f>IF(tblOrdenes[[#This Row],[orden]]="","",tblOrdenes[[#This Row],[costo_servicio]]+tblOrdenes[[#This Row],[costo_materiales]])</f>
        <v/>
      </c>
      <c r="AJ1029" s="6" t="n"/>
      <c r="AK1029" s="6" t="n"/>
      <c r="AL1029" s="6" t="n"/>
      <c r="AM1029" s="3">
        <f>IF(tblOrdenes[[#This Row],[link_checklist]]="","",HYPERLINK(p_ruta_base_checklists&amp;tblOrdenes[[#This Row],[link_checklist]],"abrir"))</f>
        <v/>
      </c>
      <c r="AN1029" s="6" t="n"/>
      <c r="AO1029" s="3">
        <f>IF(tblOrdenes[[#This Row],[orden]]="","",tblOrdenes[[#This Row],[orden]]&amp;IF(tblOrdenes[[#This Row],[operacion]]="","0010",tblOrdenes[[#This Row],[operacion]]))</f>
        <v/>
      </c>
    </row>
    <row r="1030">
      <c r="A1030" s="3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11" t="n"/>
      <c r="K1030" s="3" t="n"/>
      <c r="L1030" s="10" t="n"/>
      <c r="M1030" s="6" t="n"/>
      <c r="N10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30" s="3">
        <f>IF(tblOrdenes[[#This Row],[fecha_inicio]]="","",YEAR(tblOrdenes[[#This Row],[fecha_inicio]]))</f>
        <v/>
      </c>
      <c r="R1030" s="3">
        <f>IF(tblOrdenes[[#This Row],[fecha_inicio]]="","",MONTH(tblOrdenes[[#This Row],[fecha_inicio]]))</f>
        <v/>
      </c>
      <c r="S1030" s="3">
        <f>IF(tblOrdenes[[#This Row],[fecha_inicio]]="","",INDEX(lista_dias,WEEKDAY(tblOrdenes[[#This Row],[fecha_inicio]],2)))</f>
        <v/>
      </c>
      <c r="T1030" s="3">
        <f>IF(tblOrdenes[[#This Row],[tipo_ot]]="","",_xlfn.XLOOKUP(tblOrdenes[[#This Row],[tipo_ot]],tblTiposOT[codigo],tblTiposOT[clasificacion],"sin_clasificar"))</f>
        <v/>
      </c>
      <c r="U1030" s="3">
        <f>IF(tblOrdenes[[#This Row],[centro_costo]]="","",_xlfn.XLOOKUP(tblOrdenes[[#This Row],[centro_costo]],tblCECO[codigo],tblCECO[linea],"(sin catálogo)"))</f>
        <v/>
      </c>
      <c r="V1030" s="3">
        <f>IF(tblOrdenes[[#This Row],[centro_costo]]="","",_xlfn.XLOOKUP(tblOrdenes[[#This Row],[centro_costo]],tblCECO[codigo],tblCECO[area],"(sin catálogo)"))</f>
        <v/>
      </c>
      <c r="W1030" s="3">
        <f>IF(tblOrdenes[[#This Row],[centro_costo]]="","",_xlfn.XLOOKUP(tblOrdenes[[#This Row],[centro_costo]],tblCECO[codigo],tblCECO[coordinador],"(sin catálogo)"))</f>
        <v/>
      </c>
      <c r="X1030" s="3">
        <f>IF(tblOrdenes[[#This Row],[puesto_trabajo]]="","",_xlfn.XLOOKUP(tblOrdenes[[#This Row],[puesto_trabajo]],tblPuestos[codigo],tblPuestos[especialidad],"(sin catálogo)"))</f>
        <v/>
      </c>
      <c r="Y1030" s="3">
        <f>IF(tblOrdenes[[#This Row],[cod_actividad]]="","",_xlfn.XLOOKUP(tblOrdenes[[#This Row],[cod_actividad]],tblActividades[codigo],tblActividades[descripcion],"(sin catálogo)"))</f>
        <v/>
      </c>
      <c r="Z1030" s="12">
        <f>IF(tblOrdenes[[#This Row],[fecha_inicio]]="","",TODAY()-tblOrdenes[[#This Row],[fecha_inicio]])</f>
        <v/>
      </c>
      <c r="AA1030" s="3">
        <f>IF(tblOrdenes[[#This Row],[backlog_dias]]="","",IF(tblOrdenes[[#This Row],[backlog_dias]]&lt;0,"FUTURO",IF(tblOrdenes[[#This Row],[backlog_dias]]&gt;p_dias_backlog_max,"BACKLOG","MES CORRIENTE")))</f>
        <v/>
      </c>
      <c r="AB1030" s="3">
        <f>IF(tblOrdenes[[#This Row],[backlog_dias]]="",FALSE,AND(tblOrdenes[[#This Row],[backlog_dias]]&gt;p_dias_backlog_min,tblOrdenes[[#This Row],[backlog_dias]]&lt;=p_dias_backlog_max))</f>
        <v/>
      </c>
      <c r="AC1030" s="6" t="n"/>
      <c r="AD10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30" s="10">
        <f>IF(tblOrdenes[[#This Row],[orden]]="","",_xlfn.XLOOKUP(tblOrdenes[[#This Row],[id_operacion]],tblEjecucion[id_operacion],tblEjecucion[precio],0))</f>
        <v/>
      </c>
      <c r="AH1030" s="10">
        <f>IF(tblOrdenes[[#This Row],[orden]]="","",MAX(0,_xlfn.XLOOKUP(tblOrdenes[[#This Row],[id_operacion]],tblEjecucion[id_operacion],tblEjecucion[costo_plan_total],0)-tblOrdenes[[#This Row],[costo_servicio]]))</f>
        <v/>
      </c>
      <c r="AI1030" s="10">
        <f>IF(tblOrdenes[[#This Row],[orden]]="","",tblOrdenes[[#This Row],[costo_servicio]]+tblOrdenes[[#This Row],[costo_materiales]])</f>
        <v/>
      </c>
      <c r="AJ1030" s="6" t="n"/>
      <c r="AK1030" s="6" t="n"/>
      <c r="AL1030" s="6" t="n"/>
      <c r="AM1030" s="3">
        <f>IF(tblOrdenes[[#This Row],[link_checklist]]="","",HYPERLINK(p_ruta_base_checklists&amp;tblOrdenes[[#This Row],[link_checklist]],"abrir"))</f>
        <v/>
      </c>
      <c r="AN1030" s="6" t="n"/>
      <c r="AO1030" s="3">
        <f>IF(tblOrdenes[[#This Row],[orden]]="","",tblOrdenes[[#This Row],[orden]]&amp;IF(tblOrdenes[[#This Row],[operacion]]="","0010",tblOrdenes[[#This Row],[operacion]]))</f>
        <v/>
      </c>
    </row>
    <row r="1031">
      <c r="A1031" s="3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11" t="n"/>
      <c r="K1031" s="3" t="n"/>
      <c r="L1031" s="10" t="n"/>
      <c r="M1031" s="6" t="n"/>
      <c r="N10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31" s="3">
        <f>IF(tblOrdenes[[#This Row],[fecha_inicio]]="","",YEAR(tblOrdenes[[#This Row],[fecha_inicio]]))</f>
        <v/>
      </c>
      <c r="R1031" s="3">
        <f>IF(tblOrdenes[[#This Row],[fecha_inicio]]="","",MONTH(tblOrdenes[[#This Row],[fecha_inicio]]))</f>
        <v/>
      </c>
      <c r="S1031" s="3">
        <f>IF(tblOrdenes[[#This Row],[fecha_inicio]]="","",INDEX(lista_dias,WEEKDAY(tblOrdenes[[#This Row],[fecha_inicio]],2)))</f>
        <v/>
      </c>
      <c r="T1031" s="3">
        <f>IF(tblOrdenes[[#This Row],[tipo_ot]]="","",_xlfn.XLOOKUP(tblOrdenes[[#This Row],[tipo_ot]],tblTiposOT[codigo],tblTiposOT[clasificacion],"sin_clasificar"))</f>
        <v/>
      </c>
      <c r="U1031" s="3">
        <f>IF(tblOrdenes[[#This Row],[centro_costo]]="","",_xlfn.XLOOKUP(tblOrdenes[[#This Row],[centro_costo]],tblCECO[codigo],tblCECO[linea],"(sin catálogo)"))</f>
        <v/>
      </c>
      <c r="V1031" s="3">
        <f>IF(tblOrdenes[[#This Row],[centro_costo]]="","",_xlfn.XLOOKUP(tblOrdenes[[#This Row],[centro_costo]],tblCECO[codigo],tblCECO[area],"(sin catálogo)"))</f>
        <v/>
      </c>
      <c r="W1031" s="3">
        <f>IF(tblOrdenes[[#This Row],[centro_costo]]="","",_xlfn.XLOOKUP(tblOrdenes[[#This Row],[centro_costo]],tblCECO[codigo],tblCECO[coordinador],"(sin catálogo)"))</f>
        <v/>
      </c>
      <c r="X1031" s="3">
        <f>IF(tblOrdenes[[#This Row],[puesto_trabajo]]="","",_xlfn.XLOOKUP(tblOrdenes[[#This Row],[puesto_trabajo]],tblPuestos[codigo],tblPuestos[especialidad],"(sin catálogo)"))</f>
        <v/>
      </c>
      <c r="Y1031" s="3">
        <f>IF(tblOrdenes[[#This Row],[cod_actividad]]="","",_xlfn.XLOOKUP(tblOrdenes[[#This Row],[cod_actividad]],tblActividades[codigo],tblActividades[descripcion],"(sin catálogo)"))</f>
        <v/>
      </c>
      <c r="Z1031" s="12">
        <f>IF(tblOrdenes[[#This Row],[fecha_inicio]]="","",TODAY()-tblOrdenes[[#This Row],[fecha_inicio]])</f>
        <v/>
      </c>
      <c r="AA1031" s="3">
        <f>IF(tblOrdenes[[#This Row],[backlog_dias]]="","",IF(tblOrdenes[[#This Row],[backlog_dias]]&lt;0,"FUTURO",IF(tblOrdenes[[#This Row],[backlog_dias]]&gt;p_dias_backlog_max,"BACKLOG","MES CORRIENTE")))</f>
        <v/>
      </c>
      <c r="AB1031" s="3">
        <f>IF(tblOrdenes[[#This Row],[backlog_dias]]="",FALSE,AND(tblOrdenes[[#This Row],[backlog_dias]]&gt;p_dias_backlog_min,tblOrdenes[[#This Row],[backlog_dias]]&lt;=p_dias_backlog_max))</f>
        <v/>
      </c>
      <c r="AC1031" s="6" t="n"/>
      <c r="AD10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31" s="10">
        <f>IF(tblOrdenes[[#This Row],[orden]]="","",_xlfn.XLOOKUP(tblOrdenes[[#This Row],[id_operacion]],tblEjecucion[id_operacion],tblEjecucion[precio],0))</f>
        <v/>
      </c>
      <c r="AH1031" s="10">
        <f>IF(tblOrdenes[[#This Row],[orden]]="","",MAX(0,_xlfn.XLOOKUP(tblOrdenes[[#This Row],[id_operacion]],tblEjecucion[id_operacion],tblEjecucion[costo_plan_total],0)-tblOrdenes[[#This Row],[costo_servicio]]))</f>
        <v/>
      </c>
      <c r="AI1031" s="10">
        <f>IF(tblOrdenes[[#This Row],[orden]]="","",tblOrdenes[[#This Row],[costo_servicio]]+tblOrdenes[[#This Row],[costo_materiales]])</f>
        <v/>
      </c>
      <c r="AJ1031" s="6" t="n"/>
      <c r="AK1031" s="6" t="n"/>
      <c r="AL1031" s="6" t="n"/>
      <c r="AM1031" s="3">
        <f>IF(tblOrdenes[[#This Row],[link_checklist]]="","",HYPERLINK(p_ruta_base_checklists&amp;tblOrdenes[[#This Row],[link_checklist]],"abrir"))</f>
        <v/>
      </c>
      <c r="AN1031" s="6" t="n"/>
      <c r="AO1031" s="3">
        <f>IF(tblOrdenes[[#This Row],[orden]]="","",tblOrdenes[[#This Row],[orden]]&amp;IF(tblOrdenes[[#This Row],[operacion]]="","0010",tblOrdenes[[#This Row],[operacion]]))</f>
        <v/>
      </c>
    </row>
    <row r="1032">
      <c r="A1032" s="3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11" t="n"/>
      <c r="K1032" s="3" t="n"/>
      <c r="L1032" s="10" t="n"/>
      <c r="M1032" s="6" t="n"/>
      <c r="N10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32" s="3">
        <f>IF(tblOrdenes[[#This Row],[fecha_inicio]]="","",YEAR(tblOrdenes[[#This Row],[fecha_inicio]]))</f>
        <v/>
      </c>
      <c r="R1032" s="3">
        <f>IF(tblOrdenes[[#This Row],[fecha_inicio]]="","",MONTH(tblOrdenes[[#This Row],[fecha_inicio]]))</f>
        <v/>
      </c>
      <c r="S1032" s="3">
        <f>IF(tblOrdenes[[#This Row],[fecha_inicio]]="","",INDEX(lista_dias,WEEKDAY(tblOrdenes[[#This Row],[fecha_inicio]],2)))</f>
        <v/>
      </c>
      <c r="T1032" s="3">
        <f>IF(tblOrdenes[[#This Row],[tipo_ot]]="","",_xlfn.XLOOKUP(tblOrdenes[[#This Row],[tipo_ot]],tblTiposOT[codigo],tblTiposOT[clasificacion],"sin_clasificar"))</f>
        <v/>
      </c>
      <c r="U1032" s="3">
        <f>IF(tblOrdenes[[#This Row],[centro_costo]]="","",_xlfn.XLOOKUP(tblOrdenes[[#This Row],[centro_costo]],tblCECO[codigo],tblCECO[linea],"(sin catálogo)"))</f>
        <v/>
      </c>
      <c r="V1032" s="3">
        <f>IF(tblOrdenes[[#This Row],[centro_costo]]="","",_xlfn.XLOOKUP(tblOrdenes[[#This Row],[centro_costo]],tblCECO[codigo],tblCECO[area],"(sin catálogo)"))</f>
        <v/>
      </c>
      <c r="W1032" s="3">
        <f>IF(tblOrdenes[[#This Row],[centro_costo]]="","",_xlfn.XLOOKUP(tblOrdenes[[#This Row],[centro_costo]],tblCECO[codigo],tblCECO[coordinador],"(sin catálogo)"))</f>
        <v/>
      </c>
      <c r="X1032" s="3">
        <f>IF(tblOrdenes[[#This Row],[puesto_trabajo]]="","",_xlfn.XLOOKUP(tblOrdenes[[#This Row],[puesto_trabajo]],tblPuestos[codigo],tblPuestos[especialidad],"(sin catálogo)"))</f>
        <v/>
      </c>
      <c r="Y1032" s="3">
        <f>IF(tblOrdenes[[#This Row],[cod_actividad]]="","",_xlfn.XLOOKUP(tblOrdenes[[#This Row],[cod_actividad]],tblActividades[codigo],tblActividades[descripcion],"(sin catálogo)"))</f>
        <v/>
      </c>
      <c r="Z1032" s="12">
        <f>IF(tblOrdenes[[#This Row],[fecha_inicio]]="","",TODAY()-tblOrdenes[[#This Row],[fecha_inicio]])</f>
        <v/>
      </c>
      <c r="AA1032" s="3">
        <f>IF(tblOrdenes[[#This Row],[backlog_dias]]="","",IF(tblOrdenes[[#This Row],[backlog_dias]]&lt;0,"FUTURO",IF(tblOrdenes[[#This Row],[backlog_dias]]&gt;p_dias_backlog_max,"BACKLOG","MES CORRIENTE")))</f>
        <v/>
      </c>
      <c r="AB1032" s="3">
        <f>IF(tblOrdenes[[#This Row],[backlog_dias]]="",FALSE,AND(tblOrdenes[[#This Row],[backlog_dias]]&gt;p_dias_backlog_min,tblOrdenes[[#This Row],[backlog_dias]]&lt;=p_dias_backlog_max))</f>
        <v/>
      </c>
      <c r="AC1032" s="6" t="n"/>
      <c r="AD10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32" s="10">
        <f>IF(tblOrdenes[[#This Row],[orden]]="","",_xlfn.XLOOKUP(tblOrdenes[[#This Row],[id_operacion]],tblEjecucion[id_operacion],tblEjecucion[precio],0))</f>
        <v/>
      </c>
      <c r="AH1032" s="10">
        <f>IF(tblOrdenes[[#This Row],[orden]]="","",MAX(0,_xlfn.XLOOKUP(tblOrdenes[[#This Row],[id_operacion]],tblEjecucion[id_operacion],tblEjecucion[costo_plan_total],0)-tblOrdenes[[#This Row],[costo_servicio]]))</f>
        <v/>
      </c>
      <c r="AI1032" s="10">
        <f>IF(tblOrdenes[[#This Row],[orden]]="","",tblOrdenes[[#This Row],[costo_servicio]]+tblOrdenes[[#This Row],[costo_materiales]])</f>
        <v/>
      </c>
      <c r="AJ1032" s="6" t="n"/>
      <c r="AK1032" s="6" t="n"/>
      <c r="AL1032" s="6" t="n"/>
      <c r="AM1032" s="3">
        <f>IF(tblOrdenes[[#This Row],[link_checklist]]="","",HYPERLINK(p_ruta_base_checklists&amp;tblOrdenes[[#This Row],[link_checklist]],"abrir"))</f>
        <v/>
      </c>
      <c r="AN1032" s="6" t="n"/>
      <c r="AO1032" s="3">
        <f>IF(tblOrdenes[[#This Row],[orden]]="","",tblOrdenes[[#This Row],[orden]]&amp;IF(tblOrdenes[[#This Row],[operacion]]="","0010",tblOrdenes[[#This Row],[operacion]]))</f>
        <v/>
      </c>
    </row>
    <row r="1033">
      <c r="A1033" s="3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11" t="n"/>
      <c r="K1033" s="3" t="n"/>
      <c r="L1033" s="10" t="n"/>
      <c r="M1033" s="6" t="n"/>
      <c r="N10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33" s="3">
        <f>IF(tblOrdenes[[#This Row],[fecha_inicio]]="","",YEAR(tblOrdenes[[#This Row],[fecha_inicio]]))</f>
        <v/>
      </c>
      <c r="R1033" s="3">
        <f>IF(tblOrdenes[[#This Row],[fecha_inicio]]="","",MONTH(tblOrdenes[[#This Row],[fecha_inicio]]))</f>
        <v/>
      </c>
      <c r="S1033" s="3">
        <f>IF(tblOrdenes[[#This Row],[fecha_inicio]]="","",INDEX(lista_dias,WEEKDAY(tblOrdenes[[#This Row],[fecha_inicio]],2)))</f>
        <v/>
      </c>
      <c r="T1033" s="3">
        <f>IF(tblOrdenes[[#This Row],[tipo_ot]]="","",_xlfn.XLOOKUP(tblOrdenes[[#This Row],[tipo_ot]],tblTiposOT[codigo],tblTiposOT[clasificacion],"sin_clasificar"))</f>
        <v/>
      </c>
      <c r="U1033" s="3">
        <f>IF(tblOrdenes[[#This Row],[centro_costo]]="","",_xlfn.XLOOKUP(tblOrdenes[[#This Row],[centro_costo]],tblCECO[codigo],tblCECO[linea],"(sin catálogo)"))</f>
        <v/>
      </c>
      <c r="V1033" s="3">
        <f>IF(tblOrdenes[[#This Row],[centro_costo]]="","",_xlfn.XLOOKUP(tblOrdenes[[#This Row],[centro_costo]],tblCECO[codigo],tblCECO[area],"(sin catálogo)"))</f>
        <v/>
      </c>
      <c r="W1033" s="3">
        <f>IF(tblOrdenes[[#This Row],[centro_costo]]="","",_xlfn.XLOOKUP(tblOrdenes[[#This Row],[centro_costo]],tblCECO[codigo],tblCECO[coordinador],"(sin catálogo)"))</f>
        <v/>
      </c>
      <c r="X1033" s="3">
        <f>IF(tblOrdenes[[#This Row],[puesto_trabajo]]="","",_xlfn.XLOOKUP(tblOrdenes[[#This Row],[puesto_trabajo]],tblPuestos[codigo],tblPuestos[especialidad],"(sin catálogo)"))</f>
        <v/>
      </c>
      <c r="Y1033" s="3">
        <f>IF(tblOrdenes[[#This Row],[cod_actividad]]="","",_xlfn.XLOOKUP(tblOrdenes[[#This Row],[cod_actividad]],tblActividades[codigo],tblActividades[descripcion],"(sin catálogo)"))</f>
        <v/>
      </c>
      <c r="Z1033" s="12">
        <f>IF(tblOrdenes[[#This Row],[fecha_inicio]]="","",TODAY()-tblOrdenes[[#This Row],[fecha_inicio]])</f>
        <v/>
      </c>
      <c r="AA1033" s="3">
        <f>IF(tblOrdenes[[#This Row],[backlog_dias]]="","",IF(tblOrdenes[[#This Row],[backlog_dias]]&lt;0,"FUTURO",IF(tblOrdenes[[#This Row],[backlog_dias]]&gt;p_dias_backlog_max,"BACKLOG","MES CORRIENTE")))</f>
        <v/>
      </c>
      <c r="AB1033" s="3">
        <f>IF(tblOrdenes[[#This Row],[backlog_dias]]="",FALSE,AND(tblOrdenes[[#This Row],[backlog_dias]]&gt;p_dias_backlog_min,tblOrdenes[[#This Row],[backlog_dias]]&lt;=p_dias_backlog_max))</f>
        <v/>
      </c>
      <c r="AC1033" s="6" t="n"/>
      <c r="AD10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33" s="10">
        <f>IF(tblOrdenes[[#This Row],[orden]]="","",_xlfn.XLOOKUP(tblOrdenes[[#This Row],[id_operacion]],tblEjecucion[id_operacion],tblEjecucion[precio],0))</f>
        <v/>
      </c>
      <c r="AH1033" s="10">
        <f>IF(tblOrdenes[[#This Row],[orden]]="","",MAX(0,_xlfn.XLOOKUP(tblOrdenes[[#This Row],[id_operacion]],tblEjecucion[id_operacion],tblEjecucion[costo_plan_total],0)-tblOrdenes[[#This Row],[costo_servicio]]))</f>
        <v/>
      </c>
      <c r="AI1033" s="10">
        <f>IF(tblOrdenes[[#This Row],[orden]]="","",tblOrdenes[[#This Row],[costo_servicio]]+tblOrdenes[[#This Row],[costo_materiales]])</f>
        <v/>
      </c>
      <c r="AJ1033" s="6" t="n"/>
      <c r="AK1033" s="6" t="n"/>
      <c r="AL1033" s="6" t="n"/>
      <c r="AM1033" s="3">
        <f>IF(tblOrdenes[[#This Row],[link_checklist]]="","",HYPERLINK(p_ruta_base_checklists&amp;tblOrdenes[[#This Row],[link_checklist]],"abrir"))</f>
        <v/>
      </c>
      <c r="AN1033" s="6" t="n"/>
      <c r="AO1033" s="3">
        <f>IF(tblOrdenes[[#This Row],[orden]]="","",tblOrdenes[[#This Row],[orden]]&amp;IF(tblOrdenes[[#This Row],[operacion]]="","0010",tblOrdenes[[#This Row],[operacion]]))</f>
        <v/>
      </c>
    </row>
    <row r="1034">
      <c r="A1034" s="3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11" t="n"/>
      <c r="K1034" s="3" t="n"/>
      <c r="L1034" s="10" t="n"/>
      <c r="M1034" s="6" t="n"/>
      <c r="N10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34" s="3">
        <f>IF(tblOrdenes[[#This Row],[fecha_inicio]]="","",YEAR(tblOrdenes[[#This Row],[fecha_inicio]]))</f>
        <v/>
      </c>
      <c r="R1034" s="3">
        <f>IF(tblOrdenes[[#This Row],[fecha_inicio]]="","",MONTH(tblOrdenes[[#This Row],[fecha_inicio]]))</f>
        <v/>
      </c>
      <c r="S1034" s="3">
        <f>IF(tblOrdenes[[#This Row],[fecha_inicio]]="","",INDEX(lista_dias,WEEKDAY(tblOrdenes[[#This Row],[fecha_inicio]],2)))</f>
        <v/>
      </c>
      <c r="T1034" s="3">
        <f>IF(tblOrdenes[[#This Row],[tipo_ot]]="","",_xlfn.XLOOKUP(tblOrdenes[[#This Row],[tipo_ot]],tblTiposOT[codigo],tblTiposOT[clasificacion],"sin_clasificar"))</f>
        <v/>
      </c>
      <c r="U1034" s="3">
        <f>IF(tblOrdenes[[#This Row],[centro_costo]]="","",_xlfn.XLOOKUP(tblOrdenes[[#This Row],[centro_costo]],tblCECO[codigo],tblCECO[linea],"(sin catálogo)"))</f>
        <v/>
      </c>
      <c r="V1034" s="3">
        <f>IF(tblOrdenes[[#This Row],[centro_costo]]="","",_xlfn.XLOOKUP(tblOrdenes[[#This Row],[centro_costo]],tblCECO[codigo],tblCECO[area],"(sin catálogo)"))</f>
        <v/>
      </c>
      <c r="W1034" s="3">
        <f>IF(tblOrdenes[[#This Row],[centro_costo]]="","",_xlfn.XLOOKUP(tblOrdenes[[#This Row],[centro_costo]],tblCECO[codigo],tblCECO[coordinador],"(sin catálogo)"))</f>
        <v/>
      </c>
      <c r="X1034" s="3">
        <f>IF(tblOrdenes[[#This Row],[puesto_trabajo]]="","",_xlfn.XLOOKUP(tblOrdenes[[#This Row],[puesto_trabajo]],tblPuestos[codigo],tblPuestos[especialidad],"(sin catálogo)"))</f>
        <v/>
      </c>
      <c r="Y1034" s="3">
        <f>IF(tblOrdenes[[#This Row],[cod_actividad]]="","",_xlfn.XLOOKUP(tblOrdenes[[#This Row],[cod_actividad]],tblActividades[codigo],tblActividades[descripcion],"(sin catálogo)"))</f>
        <v/>
      </c>
      <c r="Z1034" s="12">
        <f>IF(tblOrdenes[[#This Row],[fecha_inicio]]="","",TODAY()-tblOrdenes[[#This Row],[fecha_inicio]])</f>
        <v/>
      </c>
      <c r="AA1034" s="3">
        <f>IF(tblOrdenes[[#This Row],[backlog_dias]]="","",IF(tblOrdenes[[#This Row],[backlog_dias]]&lt;0,"FUTURO",IF(tblOrdenes[[#This Row],[backlog_dias]]&gt;p_dias_backlog_max,"BACKLOG","MES CORRIENTE")))</f>
        <v/>
      </c>
      <c r="AB1034" s="3">
        <f>IF(tblOrdenes[[#This Row],[backlog_dias]]="",FALSE,AND(tblOrdenes[[#This Row],[backlog_dias]]&gt;p_dias_backlog_min,tblOrdenes[[#This Row],[backlog_dias]]&lt;=p_dias_backlog_max))</f>
        <v/>
      </c>
      <c r="AC1034" s="6" t="n"/>
      <c r="AD10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34" s="10">
        <f>IF(tblOrdenes[[#This Row],[orden]]="","",_xlfn.XLOOKUP(tblOrdenes[[#This Row],[id_operacion]],tblEjecucion[id_operacion],tblEjecucion[precio],0))</f>
        <v/>
      </c>
      <c r="AH1034" s="10">
        <f>IF(tblOrdenes[[#This Row],[orden]]="","",MAX(0,_xlfn.XLOOKUP(tblOrdenes[[#This Row],[id_operacion]],tblEjecucion[id_operacion],tblEjecucion[costo_plan_total],0)-tblOrdenes[[#This Row],[costo_servicio]]))</f>
        <v/>
      </c>
      <c r="AI1034" s="10">
        <f>IF(tblOrdenes[[#This Row],[orden]]="","",tblOrdenes[[#This Row],[costo_servicio]]+tblOrdenes[[#This Row],[costo_materiales]])</f>
        <v/>
      </c>
      <c r="AJ1034" s="6" t="n"/>
      <c r="AK1034" s="6" t="n"/>
      <c r="AL1034" s="6" t="n"/>
      <c r="AM1034" s="3">
        <f>IF(tblOrdenes[[#This Row],[link_checklist]]="","",HYPERLINK(p_ruta_base_checklists&amp;tblOrdenes[[#This Row],[link_checklist]],"abrir"))</f>
        <v/>
      </c>
      <c r="AN1034" s="6" t="n"/>
      <c r="AO1034" s="3">
        <f>IF(tblOrdenes[[#This Row],[orden]]="","",tblOrdenes[[#This Row],[orden]]&amp;IF(tblOrdenes[[#This Row],[operacion]]="","0010",tblOrdenes[[#This Row],[operacion]]))</f>
        <v/>
      </c>
    </row>
    <row r="1035">
      <c r="A1035" s="3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11" t="n"/>
      <c r="K1035" s="3" t="n"/>
      <c r="L1035" s="10" t="n"/>
      <c r="M1035" s="6" t="n"/>
      <c r="N10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35" s="3">
        <f>IF(tblOrdenes[[#This Row],[fecha_inicio]]="","",YEAR(tblOrdenes[[#This Row],[fecha_inicio]]))</f>
        <v/>
      </c>
      <c r="R1035" s="3">
        <f>IF(tblOrdenes[[#This Row],[fecha_inicio]]="","",MONTH(tblOrdenes[[#This Row],[fecha_inicio]]))</f>
        <v/>
      </c>
      <c r="S1035" s="3">
        <f>IF(tblOrdenes[[#This Row],[fecha_inicio]]="","",INDEX(lista_dias,WEEKDAY(tblOrdenes[[#This Row],[fecha_inicio]],2)))</f>
        <v/>
      </c>
      <c r="T1035" s="3">
        <f>IF(tblOrdenes[[#This Row],[tipo_ot]]="","",_xlfn.XLOOKUP(tblOrdenes[[#This Row],[tipo_ot]],tblTiposOT[codigo],tblTiposOT[clasificacion],"sin_clasificar"))</f>
        <v/>
      </c>
      <c r="U1035" s="3">
        <f>IF(tblOrdenes[[#This Row],[centro_costo]]="","",_xlfn.XLOOKUP(tblOrdenes[[#This Row],[centro_costo]],tblCECO[codigo],tblCECO[linea],"(sin catálogo)"))</f>
        <v/>
      </c>
      <c r="V1035" s="3">
        <f>IF(tblOrdenes[[#This Row],[centro_costo]]="","",_xlfn.XLOOKUP(tblOrdenes[[#This Row],[centro_costo]],tblCECO[codigo],tblCECO[area],"(sin catálogo)"))</f>
        <v/>
      </c>
      <c r="W1035" s="3">
        <f>IF(tblOrdenes[[#This Row],[centro_costo]]="","",_xlfn.XLOOKUP(tblOrdenes[[#This Row],[centro_costo]],tblCECO[codigo],tblCECO[coordinador],"(sin catálogo)"))</f>
        <v/>
      </c>
      <c r="X1035" s="3">
        <f>IF(tblOrdenes[[#This Row],[puesto_trabajo]]="","",_xlfn.XLOOKUP(tblOrdenes[[#This Row],[puesto_trabajo]],tblPuestos[codigo],tblPuestos[especialidad],"(sin catálogo)"))</f>
        <v/>
      </c>
      <c r="Y1035" s="3">
        <f>IF(tblOrdenes[[#This Row],[cod_actividad]]="","",_xlfn.XLOOKUP(tblOrdenes[[#This Row],[cod_actividad]],tblActividades[codigo],tblActividades[descripcion],"(sin catálogo)"))</f>
        <v/>
      </c>
      <c r="Z1035" s="12">
        <f>IF(tblOrdenes[[#This Row],[fecha_inicio]]="","",TODAY()-tblOrdenes[[#This Row],[fecha_inicio]])</f>
        <v/>
      </c>
      <c r="AA1035" s="3">
        <f>IF(tblOrdenes[[#This Row],[backlog_dias]]="","",IF(tblOrdenes[[#This Row],[backlog_dias]]&lt;0,"FUTURO",IF(tblOrdenes[[#This Row],[backlog_dias]]&gt;p_dias_backlog_max,"BACKLOG","MES CORRIENTE")))</f>
        <v/>
      </c>
      <c r="AB1035" s="3">
        <f>IF(tblOrdenes[[#This Row],[backlog_dias]]="",FALSE,AND(tblOrdenes[[#This Row],[backlog_dias]]&gt;p_dias_backlog_min,tblOrdenes[[#This Row],[backlog_dias]]&lt;=p_dias_backlog_max))</f>
        <v/>
      </c>
      <c r="AC1035" s="6" t="n"/>
      <c r="AD10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35" s="10">
        <f>IF(tblOrdenes[[#This Row],[orden]]="","",_xlfn.XLOOKUP(tblOrdenes[[#This Row],[id_operacion]],tblEjecucion[id_operacion],tblEjecucion[precio],0))</f>
        <v/>
      </c>
      <c r="AH1035" s="10">
        <f>IF(tblOrdenes[[#This Row],[orden]]="","",MAX(0,_xlfn.XLOOKUP(tblOrdenes[[#This Row],[id_operacion]],tblEjecucion[id_operacion],tblEjecucion[costo_plan_total],0)-tblOrdenes[[#This Row],[costo_servicio]]))</f>
        <v/>
      </c>
      <c r="AI1035" s="10">
        <f>IF(tblOrdenes[[#This Row],[orden]]="","",tblOrdenes[[#This Row],[costo_servicio]]+tblOrdenes[[#This Row],[costo_materiales]])</f>
        <v/>
      </c>
      <c r="AJ1035" s="6" t="n"/>
      <c r="AK1035" s="6" t="n"/>
      <c r="AL1035" s="6" t="n"/>
      <c r="AM1035" s="3">
        <f>IF(tblOrdenes[[#This Row],[link_checklist]]="","",HYPERLINK(p_ruta_base_checklists&amp;tblOrdenes[[#This Row],[link_checklist]],"abrir"))</f>
        <v/>
      </c>
      <c r="AN1035" s="6" t="n"/>
      <c r="AO1035" s="3">
        <f>IF(tblOrdenes[[#This Row],[orden]]="","",tblOrdenes[[#This Row],[orden]]&amp;IF(tblOrdenes[[#This Row],[operacion]]="","0010",tblOrdenes[[#This Row],[operacion]]))</f>
        <v/>
      </c>
    </row>
    <row r="1036">
      <c r="A1036" s="3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11" t="n"/>
      <c r="K1036" s="3" t="n"/>
      <c r="L1036" s="10" t="n"/>
      <c r="M1036" s="6" t="n"/>
      <c r="N10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36" s="3">
        <f>IF(tblOrdenes[[#This Row],[fecha_inicio]]="","",YEAR(tblOrdenes[[#This Row],[fecha_inicio]]))</f>
        <v/>
      </c>
      <c r="R1036" s="3">
        <f>IF(tblOrdenes[[#This Row],[fecha_inicio]]="","",MONTH(tblOrdenes[[#This Row],[fecha_inicio]]))</f>
        <v/>
      </c>
      <c r="S1036" s="3">
        <f>IF(tblOrdenes[[#This Row],[fecha_inicio]]="","",INDEX(lista_dias,WEEKDAY(tblOrdenes[[#This Row],[fecha_inicio]],2)))</f>
        <v/>
      </c>
      <c r="T1036" s="3">
        <f>IF(tblOrdenes[[#This Row],[tipo_ot]]="","",_xlfn.XLOOKUP(tblOrdenes[[#This Row],[tipo_ot]],tblTiposOT[codigo],tblTiposOT[clasificacion],"sin_clasificar"))</f>
        <v/>
      </c>
      <c r="U1036" s="3">
        <f>IF(tblOrdenes[[#This Row],[centro_costo]]="","",_xlfn.XLOOKUP(tblOrdenes[[#This Row],[centro_costo]],tblCECO[codigo],tblCECO[linea],"(sin catálogo)"))</f>
        <v/>
      </c>
      <c r="V1036" s="3">
        <f>IF(tblOrdenes[[#This Row],[centro_costo]]="","",_xlfn.XLOOKUP(tblOrdenes[[#This Row],[centro_costo]],tblCECO[codigo],tblCECO[area],"(sin catálogo)"))</f>
        <v/>
      </c>
      <c r="W1036" s="3">
        <f>IF(tblOrdenes[[#This Row],[centro_costo]]="","",_xlfn.XLOOKUP(tblOrdenes[[#This Row],[centro_costo]],tblCECO[codigo],tblCECO[coordinador],"(sin catálogo)"))</f>
        <v/>
      </c>
      <c r="X1036" s="3">
        <f>IF(tblOrdenes[[#This Row],[puesto_trabajo]]="","",_xlfn.XLOOKUP(tblOrdenes[[#This Row],[puesto_trabajo]],tblPuestos[codigo],tblPuestos[especialidad],"(sin catálogo)"))</f>
        <v/>
      </c>
      <c r="Y1036" s="3">
        <f>IF(tblOrdenes[[#This Row],[cod_actividad]]="","",_xlfn.XLOOKUP(tblOrdenes[[#This Row],[cod_actividad]],tblActividades[codigo],tblActividades[descripcion],"(sin catálogo)"))</f>
        <v/>
      </c>
      <c r="Z1036" s="12">
        <f>IF(tblOrdenes[[#This Row],[fecha_inicio]]="","",TODAY()-tblOrdenes[[#This Row],[fecha_inicio]])</f>
        <v/>
      </c>
      <c r="AA1036" s="3">
        <f>IF(tblOrdenes[[#This Row],[backlog_dias]]="","",IF(tblOrdenes[[#This Row],[backlog_dias]]&lt;0,"FUTURO",IF(tblOrdenes[[#This Row],[backlog_dias]]&gt;p_dias_backlog_max,"BACKLOG","MES CORRIENTE")))</f>
        <v/>
      </c>
      <c r="AB1036" s="3">
        <f>IF(tblOrdenes[[#This Row],[backlog_dias]]="",FALSE,AND(tblOrdenes[[#This Row],[backlog_dias]]&gt;p_dias_backlog_min,tblOrdenes[[#This Row],[backlog_dias]]&lt;=p_dias_backlog_max))</f>
        <v/>
      </c>
      <c r="AC1036" s="6" t="n"/>
      <c r="AD10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36" s="10">
        <f>IF(tblOrdenes[[#This Row],[orden]]="","",_xlfn.XLOOKUP(tblOrdenes[[#This Row],[id_operacion]],tblEjecucion[id_operacion],tblEjecucion[precio],0))</f>
        <v/>
      </c>
      <c r="AH1036" s="10">
        <f>IF(tblOrdenes[[#This Row],[orden]]="","",MAX(0,_xlfn.XLOOKUP(tblOrdenes[[#This Row],[id_operacion]],tblEjecucion[id_operacion],tblEjecucion[costo_plan_total],0)-tblOrdenes[[#This Row],[costo_servicio]]))</f>
        <v/>
      </c>
      <c r="AI1036" s="10">
        <f>IF(tblOrdenes[[#This Row],[orden]]="","",tblOrdenes[[#This Row],[costo_servicio]]+tblOrdenes[[#This Row],[costo_materiales]])</f>
        <v/>
      </c>
      <c r="AJ1036" s="6" t="n"/>
      <c r="AK1036" s="6" t="n"/>
      <c r="AL1036" s="6" t="n"/>
      <c r="AM1036" s="3">
        <f>IF(tblOrdenes[[#This Row],[link_checklist]]="","",HYPERLINK(p_ruta_base_checklists&amp;tblOrdenes[[#This Row],[link_checklist]],"abrir"))</f>
        <v/>
      </c>
      <c r="AN1036" s="6" t="n"/>
      <c r="AO1036" s="3">
        <f>IF(tblOrdenes[[#This Row],[orden]]="","",tblOrdenes[[#This Row],[orden]]&amp;IF(tblOrdenes[[#This Row],[operacion]]="","0010",tblOrdenes[[#This Row],[operacion]]))</f>
        <v/>
      </c>
    </row>
    <row r="1037">
      <c r="A1037" s="3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11" t="n"/>
      <c r="K1037" s="3" t="n"/>
      <c r="L1037" s="10" t="n"/>
      <c r="M1037" s="6" t="n"/>
      <c r="N10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37" s="3">
        <f>IF(tblOrdenes[[#This Row],[fecha_inicio]]="","",YEAR(tblOrdenes[[#This Row],[fecha_inicio]]))</f>
        <v/>
      </c>
      <c r="R1037" s="3">
        <f>IF(tblOrdenes[[#This Row],[fecha_inicio]]="","",MONTH(tblOrdenes[[#This Row],[fecha_inicio]]))</f>
        <v/>
      </c>
      <c r="S1037" s="3">
        <f>IF(tblOrdenes[[#This Row],[fecha_inicio]]="","",INDEX(lista_dias,WEEKDAY(tblOrdenes[[#This Row],[fecha_inicio]],2)))</f>
        <v/>
      </c>
      <c r="T1037" s="3">
        <f>IF(tblOrdenes[[#This Row],[tipo_ot]]="","",_xlfn.XLOOKUP(tblOrdenes[[#This Row],[tipo_ot]],tblTiposOT[codigo],tblTiposOT[clasificacion],"sin_clasificar"))</f>
        <v/>
      </c>
      <c r="U1037" s="3">
        <f>IF(tblOrdenes[[#This Row],[centro_costo]]="","",_xlfn.XLOOKUP(tblOrdenes[[#This Row],[centro_costo]],tblCECO[codigo],tblCECO[linea],"(sin catálogo)"))</f>
        <v/>
      </c>
      <c r="V1037" s="3">
        <f>IF(tblOrdenes[[#This Row],[centro_costo]]="","",_xlfn.XLOOKUP(tblOrdenes[[#This Row],[centro_costo]],tblCECO[codigo],tblCECO[area],"(sin catálogo)"))</f>
        <v/>
      </c>
      <c r="W1037" s="3">
        <f>IF(tblOrdenes[[#This Row],[centro_costo]]="","",_xlfn.XLOOKUP(tblOrdenes[[#This Row],[centro_costo]],tblCECO[codigo],tblCECO[coordinador],"(sin catálogo)"))</f>
        <v/>
      </c>
      <c r="X1037" s="3">
        <f>IF(tblOrdenes[[#This Row],[puesto_trabajo]]="","",_xlfn.XLOOKUP(tblOrdenes[[#This Row],[puesto_trabajo]],tblPuestos[codigo],tblPuestos[especialidad],"(sin catálogo)"))</f>
        <v/>
      </c>
      <c r="Y1037" s="3">
        <f>IF(tblOrdenes[[#This Row],[cod_actividad]]="","",_xlfn.XLOOKUP(tblOrdenes[[#This Row],[cod_actividad]],tblActividades[codigo],tblActividades[descripcion],"(sin catálogo)"))</f>
        <v/>
      </c>
      <c r="Z1037" s="12">
        <f>IF(tblOrdenes[[#This Row],[fecha_inicio]]="","",TODAY()-tblOrdenes[[#This Row],[fecha_inicio]])</f>
        <v/>
      </c>
      <c r="AA1037" s="3">
        <f>IF(tblOrdenes[[#This Row],[backlog_dias]]="","",IF(tblOrdenes[[#This Row],[backlog_dias]]&lt;0,"FUTURO",IF(tblOrdenes[[#This Row],[backlog_dias]]&gt;p_dias_backlog_max,"BACKLOG","MES CORRIENTE")))</f>
        <v/>
      </c>
      <c r="AB1037" s="3">
        <f>IF(tblOrdenes[[#This Row],[backlog_dias]]="",FALSE,AND(tblOrdenes[[#This Row],[backlog_dias]]&gt;p_dias_backlog_min,tblOrdenes[[#This Row],[backlog_dias]]&lt;=p_dias_backlog_max))</f>
        <v/>
      </c>
      <c r="AC1037" s="6" t="n"/>
      <c r="AD10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37" s="10">
        <f>IF(tblOrdenes[[#This Row],[orden]]="","",_xlfn.XLOOKUP(tblOrdenes[[#This Row],[id_operacion]],tblEjecucion[id_operacion],tblEjecucion[precio],0))</f>
        <v/>
      </c>
      <c r="AH1037" s="10">
        <f>IF(tblOrdenes[[#This Row],[orden]]="","",MAX(0,_xlfn.XLOOKUP(tblOrdenes[[#This Row],[id_operacion]],tblEjecucion[id_operacion],tblEjecucion[costo_plan_total],0)-tblOrdenes[[#This Row],[costo_servicio]]))</f>
        <v/>
      </c>
      <c r="AI1037" s="10">
        <f>IF(tblOrdenes[[#This Row],[orden]]="","",tblOrdenes[[#This Row],[costo_servicio]]+tblOrdenes[[#This Row],[costo_materiales]])</f>
        <v/>
      </c>
      <c r="AJ1037" s="6" t="n"/>
      <c r="AK1037" s="6" t="n"/>
      <c r="AL1037" s="6" t="n"/>
      <c r="AM1037" s="3">
        <f>IF(tblOrdenes[[#This Row],[link_checklist]]="","",HYPERLINK(p_ruta_base_checklists&amp;tblOrdenes[[#This Row],[link_checklist]],"abrir"))</f>
        <v/>
      </c>
      <c r="AN1037" s="6" t="n"/>
      <c r="AO1037" s="3">
        <f>IF(tblOrdenes[[#This Row],[orden]]="","",tblOrdenes[[#This Row],[orden]]&amp;IF(tblOrdenes[[#This Row],[operacion]]="","0010",tblOrdenes[[#This Row],[operacion]]))</f>
        <v/>
      </c>
    </row>
    <row r="1038">
      <c r="A1038" s="3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11" t="n"/>
      <c r="K1038" s="3" t="n"/>
      <c r="L1038" s="10" t="n"/>
      <c r="M1038" s="6" t="n"/>
      <c r="N10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38" s="3">
        <f>IF(tblOrdenes[[#This Row],[fecha_inicio]]="","",YEAR(tblOrdenes[[#This Row],[fecha_inicio]]))</f>
        <v/>
      </c>
      <c r="R1038" s="3">
        <f>IF(tblOrdenes[[#This Row],[fecha_inicio]]="","",MONTH(tblOrdenes[[#This Row],[fecha_inicio]]))</f>
        <v/>
      </c>
      <c r="S1038" s="3">
        <f>IF(tblOrdenes[[#This Row],[fecha_inicio]]="","",INDEX(lista_dias,WEEKDAY(tblOrdenes[[#This Row],[fecha_inicio]],2)))</f>
        <v/>
      </c>
      <c r="T1038" s="3">
        <f>IF(tblOrdenes[[#This Row],[tipo_ot]]="","",_xlfn.XLOOKUP(tblOrdenes[[#This Row],[tipo_ot]],tblTiposOT[codigo],tblTiposOT[clasificacion],"sin_clasificar"))</f>
        <v/>
      </c>
      <c r="U1038" s="3">
        <f>IF(tblOrdenes[[#This Row],[centro_costo]]="","",_xlfn.XLOOKUP(tblOrdenes[[#This Row],[centro_costo]],tblCECO[codigo],tblCECO[linea],"(sin catálogo)"))</f>
        <v/>
      </c>
      <c r="V1038" s="3">
        <f>IF(tblOrdenes[[#This Row],[centro_costo]]="","",_xlfn.XLOOKUP(tblOrdenes[[#This Row],[centro_costo]],tblCECO[codigo],tblCECO[area],"(sin catálogo)"))</f>
        <v/>
      </c>
      <c r="W1038" s="3">
        <f>IF(tblOrdenes[[#This Row],[centro_costo]]="","",_xlfn.XLOOKUP(tblOrdenes[[#This Row],[centro_costo]],tblCECO[codigo],tblCECO[coordinador],"(sin catálogo)"))</f>
        <v/>
      </c>
      <c r="X1038" s="3">
        <f>IF(tblOrdenes[[#This Row],[puesto_trabajo]]="","",_xlfn.XLOOKUP(tblOrdenes[[#This Row],[puesto_trabajo]],tblPuestos[codigo],tblPuestos[especialidad],"(sin catálogo)"))</f>
        <v/>
      </c>
      <c r="Y1038" s="3">
        <f>IF(tblOrdenes[[#This Row],[cod_actividad]]="","",_xlfn.XLOOKUP(tblOrdenes[[#This Row],[cod_actividad]],tblActividades[codigo],tblActividades[descripcion],"(sin catálogo)"))</f>
        <v/>
      </c>
      <c r="Z1038" s="12">
        <f>IF(tblOrdenes[[#This Row],[fecha_inicio]]="","",TODAY()-tblOrdenes[[#This Row],[fecha_inicio]])</f>
        <v/>
      </c>
      <c r="AA1038" s="3">
        <f>IF(tblOrdenes[[#This Row],[backlog_dias]]="","",IF(tblOrdenes[[#This Row],[backlog_dias]]&lt;0,"FUTURO",IF(tblOrdenes[[#This Row],[backlog_dias]]&gt;p_dias_backlog_max,"BACKLOG","MES CORRIENTE")))</f>
        <v/>
      </c>
      <c r="AB1038" s="3">
        <f>IF(tblOrdenes[[#This Row],[backlog_dias]]="",FALSE,AND(tblOrdenes[[#This Row],[backlog_dias]]&gt;p_dias_backlog_min,tblOrdenes[[#This Row],[backlog_dias]]&lt;=p_dias_backlog_max))</f>
        <v/>
      </c>
      <c r="AC1038" s="6" t="n"/>
      <c r="AD10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38" s="10">
        <f>IF(tblOrdenes[[#This Row],[orden]]="","",_xlfn.XLOOKUP(tblOrdenes[[#This Row],[id_operacion]],tblEjecucion[id_operacion],tblEjecucion[precio],0))</f>
        <v/>
      </c>
      <c r="AH1038" s="10">
        <f>IF(tblOrdenes[[#This Row],[orden]]="","",MAX(0,_xlfn.XLOOKUP(tblOrdenes[[#This Row],[id_operacion]],tblEjecucion[id_operacion],tblEjecucion[costo_plan_total],0)-tblOrdenes[[#This Row],[costo_servicio]]))</f>
        <v/>
      </c>
      <c r="AI1038" s="10">
        <f>IF(tblOrdenes[[#This Row],[orden]]="","",tblOrdenes[[#This Row],[costo_servicio]]+tblOrdenes[[#This Row],[costo_materiales]])</f>
        <v/>
      </c>
      <c r="AJ1038" s="6" t="n"/>
      <c r="AK1038" s="6" t="n"/>
      <c r="AL1038" s="6" t="n"/>
      <c r="AM1038" s="3">
        <f>IF(tblOrdenes[[#This Row],[link_checklist]]="","",HYPERLINK(p_ruta_base_checklists&amp;tblOrdenes[[#This Row],[link_checklist]],"abrir"))</f>
        <v/>
      </c>
      <c r="AN1038" s="6" t="n"/>
      <c r="AO1038" s="3">
        <f>IF(tblOrdenes[[#This Row],[orden]]="","",tblOrdenes[[#This Row],[orden]]&amp;IF(tblOrdenes[[#This Row],[operacion]]="","0010",tblOrdenes[[#This Row],[operacion]]))</f>
        <v/>
      </c>
    </row>
    <row r="1039">
      <c r="A1039" s="3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11" t="n"/>
      <c r="K1039" s="3" t="n"/>
      <c r="L1039" s="10" t="n"/>
      <c r="M1039" s="6" t="n"/>
      <c r="N10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39" s="3">
        <f>IF(tblOrdenes[[#This Row],[fecha_inicio]]="","",YEAR(tblOrdenes[[#This Row],[fecha_inicio]]))</f>
        <v/>
      </c>
      <c r="R1039" s="3">
        <f>IF(tblOrdenes[[#This Row],[fecha_inicio]]="","",MONTH(tblOrdenes[[#This Row],[fecha_inicio]]))</f>
        <v/>
      </c>
      <c r="S1039" s="3">
        <f>IF(tblOrdenes[[#This Row],[fecha_inicio]]="","",INDEX(lista_dias,WEEKDAY(tblOrdenes[[#This Row],[fecha_inicio]],2)))</f>
        <v/>
      </c>
      <c r="T1039" s="3">
        <f>IF(tblOrdenes[[#This Row],[tipo_ot]]="","",_xlfn.XLOOKUP(tblOrdenes[[#This Row],[tipo_ot]],tblTiposOT[codigo],tblTiposOT[clasificacion],"sin_clasificar"))</f>
        <v/>
      </c>
      <c r="U1039" s="3">
        <f>IF(tblOrdenes[[#This Row],[centro_costo]]="","",_xlfn.XLOOKUP(tblOrdenes[[#This Row],[centro_costo]],tblCECO[codigo],tblCECO[linea],"(sin catálogo)"))</f>
        <v/>
      </c>
      <c r="V1039" s="3">
        <f>IF(tblOrdenes[[#This Row],[centro_costo]]="","",_xlfn.XLOOKUP(tblOrdenes[[#This Row],[centro_costo]],tblCECO[codigo],tblCECO[area],"(sin catálogo)"))</f>
        <v/>
      </c>
      <c r="W1039" s="3">
        <f>IF(tblOrdenes[[#This Row],[centro_costo]]="","",_xlfn.XLOOKUP(tblOrdenes[[#This Row],[centro_costo]],tblCECO[codigo],tblCECO[coordinador],"(sin catálogo)"))</f>
        <v/>
      </c>
      <c r="X1039" s="3">
        <f>IF(tblOrdenes[[#This Row],[puesto_trabajo]]="","",_xlfn.XLOOKUP(tblOrdenes[[#This Row],[puesto_trabajo]],tblPuestos[codigo],tblPuestos[especialidad],"(sin catálogo)"))</f>
        <v/>
      </c>
      <c r="Y1039" s="3">
        <f>IF(tblOrdenes[[#This Row],[cod_actividad]]="","",_xlfn.XLOOKUP(tblOrdenes[[#This Row],[cod_actividad]],tblActividades[codigo],tblActividades[descripcion],"(sin catálogo)"))</f>
        <v/>
      </c>
      <c r="Z1039" s="12">
        <f>IF(tblOrdenes[[#This Row],[fecha_inicio]]="","",TODAY()-tblOrdenes[[#This Row],[fecha_inicio]])</f>
        <v/>
      </c>
      <c r="AA1039" s="3">
        <f>IF(tblOrdenes[[#This Row],[backlog_dias]]="","",IF(tblOrdenes[[#This Row],[backlog_dias]]&lt;0,"FUTURO",IF(tblOrdenes[[#This Row],[backlog_dias]]&gt;p_dias_backlog_max,"BACKLOG","MES CORRIENTE")))</f>
        <v/>
      </c>
      <c r="AB1039" s="3">
        <f>IF(tblOrdenes[[#This Row],[backlog_dias]]="",FALSE,AND(tblOrdenes[[#This Row],[backlog_dias]]&gt;p_dias_backlog_min,tblOrdenes[[#This Row],[backlog_dias]]&lt;=p_dias_backlog_max))</f>
        <v/>
      </c>
      <c r="AC1039" s="6" t="n"/>
      <c r="AD10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39" s="10">
        <f>IF(tblOrdenes[[#This Row],[orden]]="","",_xlfn.XLOOKUP(tblOrdenes[[#This Row],[id_operacion]],tblEjecucion[id_operacion],tblEjecucion[precio],0))</f>
        <v/>
      </c>
      <c r="AH1039" s="10">
        <f>IF(tblOrdenes[[#This Row],[orden]]="","",MAX(0,_xlfn.XLOOKUP(tblOrdenes[[#This Row],[id_operacion]],tblEjecucion[id_operacion],tblEjecucion[costo_plan_total],0)-tblOrdenes[[#This Row],[costo_servicio]]))</f>
        <v/>
      </c>
      <c r="AI1039" s="10">
        <f>IF(tblOrdenes[[#This Row],[orden]]="","",tblOrdenes[[#This Row],[costo_servicio]]+tblOrdenes[[#This Row],[costo_materiales]])</f>
        <v/>
      </c>
      <c r="AJ1039" s="6" t="n"/>
      <c r="AK1039" s="6" t="n"/>
      <c r="AL1039" s="6" t="n"/>
      <c r="AM1039" s="3">
        <f>IF(tblOrdenes[[#This Row],[link_checklist]]="","",HYPERLINK(p_ruta_base_checklists&amp;tblOrdenes[[#This Row],[link_checklist]],"abrir"))</f>
        <v/>
      </c>
      <c r="AN1039" s="6" t="n"/>
      <c r="AO1039" s="3">
        <f>IF(tblOrdenes[[#This Row],[orden]]="","",tblOrdenes[[#This Row],[orden]]&amp;IF(tblOrdenes[[#This Row],[operacion]]="","0010",tblOrdenes[[#This Row],[operacion]]))</f>
        <v/>
      </c>
    </row>
    <row r="1040">
      <c r="A1040" s="3" t="n"/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11" t="n"/>
      <c r="K1040" s="3" t="n"/>
      <c r="L1040" s="10" t="n"/>
      <c r="M1040" s="6" t="n"/>
      <c r="N10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40" s="3">
        <f>IF(tblOrdenes[[#This Row],[fecha_inicio]]="","",YEAR(tblOrdenes[[#This Row],[fecha_inicio]]))</f>
        <v/>
      </c>
      <c r="R1040" s="3">
        <f>IF(tblOrdenes[[#This Row],[fecha_inicio]]="","",MONTH(tblOrdenes[[#This Row],[fecha_inicio]]))</f>
        <v/>
      </c>
      <c r="S1040" s="3">
        <f>IF(tblOrdenes[[#This Row],[fecha_inicio]]="","",INDEX(lista_dias,WEEKDAY(tblOrdenes[[#This Row],[fecha_inicio]],2)))</f>
        <v/>
      </c>
      <c r="T1040" s="3">
        <f>IF(tblOrdenes[[#This Row],[tipo_ot]]="","",_xlfn.XLOOKUP(tblOrdenes[[#This Row],[tipo_ot]],tblTiposOT[codigo],tblTiposOT[clasificacion],"sin_clasificar"))</f>
        <v/>
      </c>
      <c r="U1040" s="3">
        <f>IF(tblOrdenes[[#This Row],[centro_costo]]="","",_xlfn.XLOOKUP(tblOrdenes[[#This Row],[centro_costo]],tblCECO[codigo],tblCECO[linea],"(sin catálogo)"))</f>
        <v/>
      </c>
      <c r="V1040" s="3">
        <f>IF(tblOrdenes[[#This Row],[centro_costo]]="","",_xlfn.XLOOKUP(tblOrdenes[[#This Row],[centro_costo]],tblCECO[codigo],tblCECO[area],"(sin catálogo)"))</f>
        <v/>
      </c>
      <c r="W1040" s="3">
        <f>IF(tblOrdenes[[#This Row],[centro_costo]]="","",_xlfn.XLOOKUP(tblOrdenes[[#This Row],[centro_costo]],tblCECO[codigo],tblCECO[coordinador],"(sin catálogo)"))</f>
        <v/>
      </c>
      <c r="X1040" s="3">
        <f>IF(tblOrdenes[[#This Row],[puesto_trabajo]]="","",_xlfn.XLOOKUP(tblOrdenes[[#This Row],[puesto_trabajo]],tblPuestos[codigo],tblPuestos[especialidad],"(sin catálogo)"))</f>
        <v/>
      </c>
      <c r="Y1040" s="3">
        <f>IF(tblOrdenes[[#This Row],[cod_actividad]]="","",_xlfn.XLOOKUP(tblOrdenes[[#This Row],[cod_actividad]],tblActividades[codigo],tblActividades[descripcion],"(sin catálogo)"))</f>
        <v/>
      </c>
      <c r="Z1040" s="12">
        <f>IF(tblOrdenes[[#This Row],[fecha_inicio]]="","",TODAY()-tblOrdenes[[#This Row],[fecha_inicio]])</f>
        <v/>
      </c>
      <c r="AA1040" s="3">
        <f>IF(tblOrdenes[[#This Row],[backlog_dias]]="","",IF(tblOrdenes[[#This Row],[backlog_dias]]&lt;0,"FUTURO",IF(tblOrdenes[[#This Row],[backlog_dias]]&gt;p_dias_backlog_max,"BACKLOG","MES CORRIENTE")))</f>
        <v/>
      </c>
      <c r="AB1040" s="3">
        <f>IF(tblOrdenes[[#This Row],[backlog_dias]]="",FALSE,AND(tblOrdenes[[#This Row],[backlog_dias]]&gt;p_dias_backlog_min,tblOrdenes[[#This Row],[backlog_dias]]&lt;=p_dias_backlog_max))</f>
        <v/>
      </c>
      <c r="AC1040" s="6" t="n"/>
      <c r="AD10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40" s="10">
        <f>IF(tblOrdenes[[#This Row],[orden]]="","",_xlfn.XLOOKUP(tblOrdenes[[#This Row],[id_operacion]],tblEjecucion[id_operacion],tblEjecucion[precio],0))</f>
        <v/>
      </c>
      <c r="AH1040" s="10">
        <f>IF(tblOrdenes[[#This Row],[orden]]="","",MAX(0,_xlfn.XLOOKUP(tblOrdenes[[#This Row],[id_operacion]],tblEjecucion[id_operacion],tblEjecucion[costo_plan_total],0)-tblOrdenes[[#This Row],[costo_servicio]]))</f>
        <v/>
      </c>
      <c r="AI1040" s="10">
        <f>IF(tblOrdenes[[#This Row],[orden]]="","",tblOrdenes[[#This Row],[costo_servicio]]+tblOrdenes[[#This Row],[costo_materiales]])</f>
        <v/>
      </c>
      <c r="AJ1040" s="6" t="n"/>
      <c r="AK1040" s="6" t="n"/>
      <c r="AL1040" s="6" t="n"/>
      <c r="AM1040" s="3">
        <f>IF(tblOrdenes[[#This Row],[link_checklist]]="","",HYPERLINK(p_ruta_base_checklists&amp;tblOrdenes[[#This Row],[link_checklist]],"abrir"))</f>
        <v/>
      </c>
      <c r="AN1040" s="6" t="n"/>
      <c r="AO1040" s="3">
        <f>IF(tblOrdenes[[#This Row],[orden]]="","",tblOrdenes[[#This Row],[orden]]&amp;IF(tblOrdenes[[#This Row],[operacion]]="","0010",tblOrdenes[[#This Row],[operacion]]))</f>
        <v/>
      </c>
    </row>
    <row r="1041">
      <c r="A1041" s="3" t="n"/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11" t="n"/>
      <c r="K1041" s="3" t="n"/>
      <c r="L1041" s="10" t="n"/>
      <c r="M1041" s="6" t="n"/>
      <c r="N10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41" s="3">
        <f>IF(tblOrdenes[[#This Row],[fecha_inicio]]="","",YEAR(tblOrdenes[[#This Row],[fecha_inicio]]))</f>
        <v/>
      </c>
      <c r="R1041" s="3">
        <f>IF(tblOrdenes[[#This Row],[fecha_inicio]]="","",MONTH(tblOrdenes[[#This Row],[fecha_inicio]]))</f>
        <v/>
      </c>
      <c r="S1041" s="3">
        <f>IF(tblOrdenes[[#This Row],[fecha_inicio]]="","",INDEX(lista_dias,WEEKDAY(tblOrdenes[[#This Row],[fecha_inicio]],2)))</f>
        <v/>
      </c>
      <c r="T1041" s="3">
        <f>IF(tblOrdenes[[#This Row],[tipo_ot]]="","",_xlfn.XLOOKUP(tblOrdenes[[#This Row],[tipo_ot]],tblTiposOT[codigo],tblTiposOT[clasificacion],"sin_clasificar"))</f>
        <v/>
      </c>
      <c r="U1041" s="3">
        <f>IF(tblOrdenes[[#This Row],[centro_costo]]="","",_xlfn.XLOOKUP(tblOrdenes[[#This Row],[centro_costo]],tblCECO[codigo],tblCECO[linea],"(sin catálogo)"))</f>
        <v/>
      </c>
      <c r="V1041" s="3">
        <f>IF(tblOrdenes[[#This Row],[centro_costo]]="","",_xlfn.XLOOKUP(tblOrdenes[[#This Row],[centro_costo]],tblCECO[codigo],tblCECO[area],"(sin catálogo)"))</f>
        <v/>
      </c>
      <c r="W1041" s="3">
        <f>IF(tblOrdenes[[#This Row],[centro_costo]]="","",_xlfn.XLOOKUP(tblOrdenes[[#This Row],[centro_costo]],tblCECO[codigo],tblCECO[coordinador],"(sin catálogo)"))</f>
        <v/>
      </c>
      <c r="X1041" s="3">
        <f>IF(tblOrdenes[[#This Row],[puesto_trabajo]]="","",_xlfn.XLOOKUP(tblOrdenes[[#This Row],[puesto_trabajo]],tblPuestos[codigo],tblPuestos[especialidad],"(sin catálogo)"))</f>
        <v/>
      </c>
      <c r="Y1041" s="3">
        <f>IF(tblOrdenes[[#This Row],[cod_actividad]]="","",_xlfn.XLOOKUP(tblOrdenes[[#This Row],[cod_actividad]],tblActividades[codigo],tblActividades[descripcion],"(sin catálogo)"))</f>
        <v/>
      </c>
      <c r="Z1041" s="12">
        <f>IF(tblOrdenes[[#This Row],[fecha_inicio]]="","",TODAY()-tblOrdenes[[#This Row],[fecha_inicio]])</f>
        <v/>
      </c>
      <c r="AA1041" s="3">
        <f>IF(tblOrdenes[[#This Row],[backlog_dias]]="","",IF(tblOrdenes[[#This Row],[backlog_dias]]&lt;0,"FUTURO",IF(tblOrdenes[[#This Row],[backlog_dias]]&gt;p_dias_backlog_max,"BACKLOG","MES CORRIENTE")))</f>
        <v/>
      </c>
      <c r="AB1041" s="3">
        <f>IF(tblOrdenes[[#This Row],[backlog_dias]]="",FALSE,AND(tblOrdenes[[#This Row],[backlog_dias]]&gt;p_dias_backlog_min,tblOrdenes[[#This Row],[backlog_dias]]&lt;=p_dias_backlog_max))</f>
        <v/>
      </c>
      <c r="AC1041" s="6" t="n"/>
      <c r="AD10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41" s="10">
        <f>IF(tblOrdenes[[#This Row],[orden]]="","",_xlfn.XLOOKUP(tblOrdenes[[#This Row],[id_operacion]],tblEjecucion[id_operacion],tblEjecucion[precio],0))</f>
        <v/>
      </c>
      <c r="AH1041" s="10">
        <f>IF(tblOrdenes[[#This Row],[orden]]="","",MAX(0,_xlfn.XLOOKUP(tblOrdenes[[#This Row],[id_operacion]],tblEjecucion[id_operacion],tblEjecucion[costo_plan_total],0)-tblOrdenes[[#This Row],[costo_servicio]]))</f>
        <v/>
      </c>
      <c r="AI1041" s="10">
        <f>IF(tblOrdenes[[#This Row],[orden]]="","",tblOrdenes[[#This Row],[costo_servicio]]+tblOrdenes[[#This Row],[costo_materiales]])</f>
        <v/>
      </c>
      <c r="AJ1041" s="6" t="n"/>
      <c r="AK1041" s="6" t="n"/>
      <c r="AL1041" s="6" t="n"/>
      <c r="AM1041" s="3">
        <f>IF(tblOrdenes[[#This Row],[link_checklist]]="","",HYPERLINK(p_ruta_base_checklists&amp;tblOrdenes[[#This Row],[link_checklist]],"abrir"))</f>
        <v/>
      </c>
      <c r="AN1041" s="6" t="n"/>
      <c r="AO1041" s="3">
        <f>IF(tblOrdenes[[#This Row],[orden]]="","",tblOrdenes[[#This Row],[orden]]&amp;IF(tblOrdenes[[#This Row],[operacion]]="","0010",tblOrdenes[[#This Row],[operacion]]))</f>
        <v/>
      </c>
    </row>
    <row r="1042">
      <c r="A1042" s="3" t="n"/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11" t="n"/>
      <c r="K1042" s="3" t="n"/>
      <c r="L1042" s="10" t="n"/>
      <c r="M1042" s="6" t="n"/>
      <c r="N10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42" s="3">
        <f>IF(tblOrdenes[[#This Row],[fecha_inicio]]="","",YEAR(tblOrdenes[[#This Row],[fecha_inicio]]))</f>
        <v/>
      </c>
      <c r="R1042" s="3">
        <f>IF(tblOrdenes[[#This Row],[fecha_inicio]]="","",MONTH(tblOrdenes[[#This Row],[fecha_inicio]]))</f>
        <v/>
      </c>
      <c r="S1042" s="3">
        <f>IF(tblOrdenes[[#This Row],[fecha_inicio]]="","",INDEX(lista_dias,WEEKDAY(tblOrdenes[[#This Row],[fecha_inicio]],2)))</f>
        <v/>
      </c>
      <c r="T1042" s="3">
        <f>IF(tblOrdenes[[#This Row],[tipo_ot]]="","",_xlfn.XLOOKUP(tblOrdenes[[#This Row],[tipo_ot]],tblTiposOT[codigo],tblTiposOT[clasificacion],"sin_clasificar"))</f>
        <v/>
      </c>
      <c r="U1042" s="3">
        <f>IF(tblOrdenes[[#This Row],[centro_costo]]="","",_xlfn.XLOOKUP(tblOrdenes[[#This Row],[centro_costo]],tblCECO[codigo],tblCECO[linea],"(sin catálogo)"))</f>
        <v/>
      </c>
      <c r="V1042" s="3">
        <f>IF(tblOrdenes[[#This Row],[centro_costo]]="","",_xlfn.XLOOKUP(tblOrdenes[[#This Row],[centro_costo]],tblCECO[codigo],tblCECO[area],"(sin catálogo)"))</f>
        <v/>
      </c>
      <c r="W1042" s="3">
        <f>IF(tblOrdenes[[#This Row],[centro_costo]]="","",_xlfn.XLOOKUP(tblOrdenes[[#This Row],[centro_costo]],tblCECO[codigo],tblCECO[coordinador],"(sin catálogo)"))</f>
        <v/>
      </c>
      <c r="X1042" s="3">
        <f>IF(tblOrdenes[[#This Row],[puesto_trabajo]]="","",_xlfn.XLOOKUP(tblOrdenes[[#This Row],[puesto_trabajo]],tblPuestos[codigo],tblPuestos[especialidad],"(sin catálogo)"))</f>
        <v/>
      </c>
      <c r="Y1042" s="3">
        <f>IF(tblOrdenes[[#This Row],[cod_actividad]]="","",_xlfn.XLOOKUP(tblOrdenes[[#This Row],[cod_actividad]],tblActividades[codigo],tblActividades[descripcion],"(sin catálogo)"))</f>
        <v/>
      </c>
      <c r="Z1042" s="12">
        <f>IF(tblOrdenes[[#This Row],[fecha_inicio]]="","",TODAY()-tblOrdenes[[#This Row],[fecha_inicio]])</f>
        <v/>
      </c>
      <c r="AA1042" s="3">
        <f>IF(tblOrdenes[[#This Row],[backlog_dias]]="","",IF(tblOrdenes[[#This Row],[backlog_dias]]&lt;0,"FUTURO",IF(tblOrdenes[[#This Row],[backlog_dias]]&gt;p_dias_backlog_max,"BACKLOG","MES CORRIENTE")))</f>
        <v/>
      </c>
      <c r="AB1042" s="3">
        <f>IF(tblOrdenes[[#This Row],[backlog_dias]]="",FALSE,AND(tblOrdenes[[#This Row],[backlog_dias]]&gt;p_dias_backlog_min,tblOrdenes[[#This Row],[backlog_dias]]&lt;=p_dias_backlog_max))</f>
        <v/>
      </c>
      <c r="AC1042" s="6" t="n"/>
      <c r="AD10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42" s="10">
        <f>IF(tblOrdenes[[#This Row],[orden]]="","",_xlfn.XLOOKUP(tblOrdenes[[#This Row],[id_operacion]],tblEjecucion[id_operacion],tblEjecucion[precio],0))</f>
        <v/>
      </c>
      <c r="AH1042" s="10">
        <f>IF(tblOrdenes[[#This Row],[orden]]="","",MAX(0,_xlfn.XLOOKUP(tblOrdenes[[#This Row],[id_operacion]],tblEjecucion[id_operacion],tblEjecucion[costo_plan_total],0)-tblOrdenes[[#This Row],[costo_servicio]]))</f>
        <v/>
      </c>
      <c r="AI1042" s="10">
        <f>IF(tblOrdenes[[#This Row],[orden]]="","",tblOrdenes[[#This Row],[costo_servicio]]+tblOrdenes[[#This Row],[costo_materiales]])</f>
        <v/>
      </c>
      <c r="AJ1042" s="6" t="n"/>
      <c r="AK1042" s="6" t="n"/>
      <c r="AL1042" s="6" t="n"/>
      <c r="AM1042" s="3">
        <f>IF(tblOrdenes[[#This Row],[link_checklist]]="","",HYPERLINK(p_ruta_base_checklists&amp;tblOrdenes[[#This Row],[link_checklist]],"abrir"))</f>
        <v/>
      </c>
      <c r="AN1042" s="6" t="n"/>
      <c r="AO1042" s="3">
        <f>IF(tblOrdenes[[#This Row],[orden]]="","",tblOrdenes[[#This Row],[orden]]&amp;IF(tblOrdenes[[#This Row],[operacion]]="","0010",tblOrdenes[[#This Row],[operacion]]))</f>
        <v/>
      </c>
    </row>
    <row r="1043">
      <c r="A1043" s="3" t="n"/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11" t="n"/>
      <c r="K1043" s="3" t="n"/>
      <c r="L1043" s="10" t="n"/>
      <c r="M1043" s="6" t="n"/>
      <c r="N10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43" s="3">
        <f>IF(tblOrdenes[[#This Row],[fecha_inicio]]="","",YEAR(tblOrdenes[[#This Row],[fecha_inicio]]))</f>
        <v/>
      </c>
      <c r="R1043" s="3">
        <f>IF(tblOrdenes[[#This Row],[fecha_inicio]]="","",MONTH(tblOrdenes[[#This Row],[fecha_inicio]]))</f>
        <v/>
      </c>
      <c r="S1043" s="3">
        <f>IF(tblOrdenes[[#This Row],[fecha_inicio]]="","",INDEX(lista_dias,WEEKDAY(tblOrdenes[[#This Row],[fecha_inicio]],2)))</f>
        <v/>
      </c>
      <c r="T1043" s="3">
        <f>IF(tblOrdenes[[#This Row],[tipo_ot]]="","",_xlfn.XLOOKUP(tblOrdenes[[#This Row],[tipo_ot]],tblTiposOT[codigo],tblTiposOT[clasificacion],"sin_clasificar"))</f>
        <v/>
      </c>
      <c r="U1043" s="3">
        <f>IF(tblOrdenes[[#This Row],[centro_costo]]="","",_xlfn.XLOOKUP(tblOrdenes[[#This Row],[centro_costo]],tblCECO[codigo],tblCECO[linea],"(sin catálogo)"))</f>
        <v/>
      </c>
      <c r="V1043" s="3">
        <f>IF(tblOrdenes[[#This Row],[centro_costo]]="","",_xlfn.XLOOKUP(tblOrdenes[[#This Row],[centro_costo]],tblCECO[codigo],tblCECO[area],"(sin catálogo)"))</f>
        <v/>
      </c>
      <c r="W1043" s="3">
        <f>IF(tblOrdenes[[#This Row],[centro_costo]]="","",_xlfn.XLOOKUP(tblOrdenes[[#This Row],[centro_costo]],tblCECO[codigo],tblCECO[coordinador],"(sin catálogo)"))</f>
        <v/>
      </c>
      <c r="X1043" s="3">
        <f>IF(tblOrdenes[[#This Row],[puesto_trabajo]]="","",_xlfn.XLOOKUP(tblOrdenes[[#This Row],[puesto_trabajo]],tblPuestos[codigo],tblPuestos[especialidad],"(sin catálogo)"))</f>
        <v/>
      </c>
      <c r="Y1043" s="3">
        <f>IF(tblOrdenes[[#This Row],[cod_actividad]]="","",_xlfn.XLOOKUP(tblOrdenes[[#This Row],[cod_actividad]],tblActividades[codigo],tblActividades[descripcion],"(sin catálogo)"))</f>
        <v/>
      </c>
      <c r="Z1043" s="12">
        <f>IF(tblOrdenes[[#This Row],[fecha_inicio]]="","",TODAY()-tblOrdenes[[#This Row],[fecha_inicio]])</f>
        <v/>
      </c>
      <c r="AA1043" s="3">
        <f>IF(tblOrdenes[[#This Row],[backlog_dias]]="","",IF(tblOrdenes[[#This Row],[backlog_dias]]&lt;0,"FUTURO",IF(tblOrdenes[[#This Row],[backlog_dias]]&gt;p_dias_backlog_max,"BACKLOG","MES CORRIENTE")))</f>
        <v/>
      </c>
      <c r="AB1043" s="3">
        <f>IF(tblOrdenes[[#This Row],[backlog_dias]]="",FALSE,AND(tblOrdenes[[#This Row],[backlog_dias]]&gt;p_dias_backlog_min,tblOrdenes[[#This Row],[backlog_dias]]&lt;=p_dias_backlog_max))</f>
        <v/>
      </c>
      <c r="AC1043" s="6" t="n"/>
      <c r="AD10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43" s="10">
        <f>IF(tblOrdenes[[#This Row],[orden]]="","",_xlfn.XLOOKUP(tblOrdenes[[#This Row],[id_operacion]],tblEjecucion[id_operacion],tblEjecucion[precio],0))</f>
        <v/>
      </c>
      <c r="AH1043" s="10">
        <f>IF(tblOrdenes[[#This Row],[orden]]="","",MAX(0,_xlfn.XLOOKUP(tblOrdenes[[#This Row],[id_operacion]],tblEjecucion[id_operacion],tblEjecucion[costo_plan_total],0)-tblOrdenes[[#This Row],[costo_servicio]]))</f>
        <v/>
      </c>
      <c r="AI1043" s="10">
        <f>IF(tblOrdenes[[#This Row],[orden]]="","",tblOrdenes[[#This Row],[costo_servicio]]+tblOrdenes[[#This Row],[costo_materiales]])</f>
        <v/>
      </c>
      <c r="AJ1043" s="6" t="n"/>
      <c r="AK1043" s="6" t="n"/>
      <c r="AL1043" s="6" t="n"/>
      <c r="AM1043" s="3">
        <f>IF(tblOrdenes[[#This Row],[link_checklist]]="","",HYPERLINK(p_ruta_base_checklists&amp;tblOrdenes[[#This Row],[link_checklist]],"abrir"))</f>
        <v/>
      </c>
      <c r="AN1043" s="6" t="n"/>
      <c r="AO1043" s="3">
        <f>IF(tblOrdenes[[#This Row],[orden]]="","",tblOrdenes[[#This Row],[orden]]&amp;IF(tblOrdenes[[#This Row],[operacion]]="","0010",tblOrdenes[[#This Row],[operacion]]))</f>
        <v/>
      </c>
    </row>
    <row r="1044">
      <c r="A1044" s="3" t="n"/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11" t="n"/>
      <c r="K1044" s="3" t="n"/>
      <c r="L1044" s="10" t="n"/>
      <c r="M1044" s="6" t="n"/>
      <c r="N10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44" s="3">
        <f>IF(tblOrdenes[[#This Row],[fecha_inicio]]="","",YEAR(tblOrdenes[[#This Row],[fecha_inicio]]))</f>
        <v/>
      </c>
      <c r="R1044" s="3">
        <f>IF(tblOrdenes[[#This Row],[fecha_inicio]]="","",MONTH(tblOrdenes[[#This Row],[fecha_inicio]]))</f>
        <v/>
      </c>
      <c r="S1044" s="3">
        <f>IF(tblOrdenes[[#This Row],[fecha_inicio]]="","",INDEX(lista_dias,WEEKDAY(tblOrdenes[[#This Row],[fecha_inicio]],2)))</f>
        <v/>
      </c>
      <c r="T1044" s="3">
        <f>IF(tblOrdenes[[#This Row],[tipo_ot]]="","",_xlfn.XLOOKUP(tblOrdenes[[#This Row],[tipo_ot]],tblTiposOT[codigo],tblTiposOT[clasificacion],"sin_clasificar"))</f>
        <v/>
      </c>
      <c r="U1044" s="3">
        <f>IF(tblOrdenes[[#This Row],[centro_costo]]="","",_xlfn.XLOOKUP(tblOrdenes[[#This Row],[centro_costo]],tblCECO[codigo],tblCECO[linea],"(sin catálogo)"))</f>
        <v/>
      </c>
      <c r="V1044" s="3">
        <f>IF(tblOrdenes[[#This Row],[centro_costo]]="","",_xlfn.XLOOKUP(tblOrdenes[[#This Row],[centro_costo]],tblCECO[codigo],tblCECO[area],"(sin catálogo)"))</f>
        <v/>
      </c>
      <c r="W1044" s="3">
        <f>IF(tblOrdenes[[#This Row],[centro_costo]]="","",_xlfn.XLOOKUP(tblOrdenes[[#This Row],[centro_costo]],tblCECO[codigo],tblCECO[coordinador],"(sin catálogo)"))</f>
        <v/>
      </c>
      <c r="X1044" s="3">
        <f>IF(tblOrdenes[[#This Row],[puesto_trabajo]]="","",_xlfn.XLOOKUP(tblOrdenes[[#This Row],[puesto_trabajo]],tblPuestos[codigo],tblPuestos[especialidad],"(sin catálogo)"))</f>
        <v/>
      </c>
      <c r="Y1044" s="3">
        <f>IF(tblOrdenes[[#This Row],[cod_actividad]]="","",_xlfn.XLOOKUP(tblOrdenes[[#This Row],[cod_actividad]],tblActividades[codigo],tblActividades[descripcion],"(sin catálogo)"))</f>
        <v/>
      </c>
      <c r="Z1044" s="12">
        <f>IF(tblOrdenes[[#This Row],[fecha_inicio]]="","",TODAY()-tblOrdenes[[#This Row],[fecha_inicio]])</f>
        <v/>
      </c>
      <c r="AA1044" s="3">
        <f>IF(tblOrdenes[[#This Row],[backlog_dias]]="","",IF(tblOrdenes[[#This Row],[backlog_dias]]&lt;0,"FUTURO",IF(tblOrdenes[[#This Row],[backlog_dias]]&gt;p_dias_backlog_max,"BACKLOG","MES CORRIENTE")))</f>
        <v/>
      </c>
      <c r="AB1044" s="3">
        <f>IF(tblOrdenes[[#This Row],[backlog_dias]]="",FALSE,AND(tblOrdenes[[#This Row],[backlog_dias]]&gt;p_dias_backlog_min,tblOrdenes[[#This Row],[backlog_dias]]&lt;=p_dias_backlog_max))</f>
        <v/>
      </c>
      <c r="AC1044" s="6" t="n"/>
      <c r="AD10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44" s="10">
        <f>IF(tblOrdenes[[#This Row],[orden]]="","",_xlfn.XLOOKUP(tblOrdenes[[#This Row],[id_operacion]],tblEjecucion[id_operacion],tblEjecucion[precio],0))</f>
        <v/>
      </c>
      <c r="AH1044" s="10">
        <f>IF(tblOrdenes[[#This Row],[orden]]="","",MAX(0,_xlfn.XLOOKUP(tblOrdenes[[#This Row],[id_operacion]],tblEjecucion[id_operacion],tblEjecucion[costo_plan_total],0)-tblOrdenes[[#This Row],[costo_servicio]]))</f>
        <v/>
      </c>
      <c r="AI1044" s="10">
        <f>IF(tblOrdenes[[#This Row],[orden]]="","",tblOrdenes[[#This Row],[costo_servicio]]+tblOrdenes[[#This Row],[costo_materiales]])</f>
        <v/>
      </c>
      <c r="AJ1044" s="6" t="n"/>
      <c r="AK1044" s="6" t="n"/>
      <c r="AL1044" s="6" t="n"/>
      <c r="AM1044" s="3">
        <f>IF(tblOrdenes[[#This Row],[link_checklist]]="","",HYPERLINK(p_ruta_base_checklists&amp;tblOrdenes[[#This Row],[link_checklist]],"abrir"))</f>
        <v/>
      </c>
      <c r="AN1044" s="6" t="n"/>
      <c r="AO1044" s="3">
        <f>IF(tblOrdenes[[#This Row],[orden]]="","",tblOrdenes[[#This Row],[orden]]&amp;IF(tblOrdenes[[#This Row],[operacion]]="","0010",tblOrdenes[[#This Row],[operacion]]))</f>
        <v/>
      </c>
    </row>
    <row r="1045">
      <c r="A1045" s="3" t="n"/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11" t="n"/>
      <c r="K1045" s="3" t="n"/>
      <c r="L1045" s="10" t="n"/>
      <c r="M1045" s="6" t="n"/>
      <c r="N10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45" s="3">
        <f>IF(tblOrdenes[[#This Row],[fecha_inicio]]="","",YEAR(tblOrdenes[[#This Row],[fecha_inicio]]))</f>
        <v/>
      </c>
      <c r="R1045" s="3">
        <f>IF(tblOrdenes[[#This Row],[fecha_inicio]]="","",MONTH(tblOrdenes[[#This Row],[fecha_inicio]]))</f>
        <v/>
      </c>
      <c r="S1045" s="3">
        <f>IF(tblOrdenes[[#This Row],[fecha_inicio]]="","",INDEX(lista_dias,WEEKDAY(tblOrdenes[[#This Row],[fecha_inicio]],2)))</f>
        <v/>
      </c>
      <c r="T1045" s="3">
        <f>IF(tblOrdenes[[#This Row],[tipo_ot]]="","",_xlfn.XLOOKUP(tblOrdenes[[#This Row],[tipo_ot]],tblTiposOT[codigo],tblTiposOT[clasificacion],"sin_clasificar"))</f>
        <v/>
      </c>
      <c r="U1045" s="3">
        <f>IF(tblOrdenes[[#This Row],[centro_costo]]="","",_xlfn.XLOOKUP(tblOrdenes[[#This Row],[centro_costo]],tblCECO[codigo],tblCECO[linea],"(sin catálogo)"))</f>
        <v/>
      </c>
      <c r="V1045" s="3">
        <f>IF(tblOrdenes[[#This Row],[centro_costo]]="","",_xlfn.XLOOKUP(tblOrdenes[[#This Row],[centro_costo]],tblCECO[codigo],tblCECO[area],"(sin catálogo)"))</f>
        <v/>
      </c>
      <c r="W1045" s="3">
        <f>IF(tblOrdenes[[#This Row],[centro_costo]]="","",_xlfn.XLOOKUP(tblOrdenes[[#This Row],[centro_costo]],tblCECO[codigo],tblCECO[coordinador],"(sin catálogo)"))</f>
        <v/>
      </c>
      <c r="X1045" s="3">
        <f>IF(tblOrdenes[[#This Row],[puesto_trabajo]]="","",_xlfn.XLOOKUP(tblOrdenes[[#This Row],[puesto_trabajo]],tblPuestos[codigo],tblPuestos[especialidad],"(sin catálogo)"))</f>
        <v/>
      </c>
      <c r="Y1045" s="3">
        <f>IF(tblOrdenes[[#This Row],[cod_actividad]]="","",_xlfn.XLOOKUP(tblOrdenes[[#This Row],[cod_actividad]],tblActividades[codigo],tblActividades[descripcion],"(sin catálogo)"))</f>
        <v/>
      </c>
      <c r="Z1045" s="12">
        <f>IF(tblOrdenes[[#This Row],[fecha_inicio]]="","",TODAY()-tblOrdenes[[#This Row],[fecha_inicio]])</f>
        <v/>
      </c>
      <c r="AA1045" s="3">
        <f>IF(tblOrdenes[[#This Row],[backlog_dias]]="","",IF(tblOrdenes[[#This Row],[backlog_dias]]&lt;0,"FUTURO",IF(tblOrdenes[[#This Row],[backlog_dias]]&gt;p_dias_backlog_max,"BACKLOG","MES CORRIENTE")))</f>
        <v/>
      </c>
      <c r="AB1045" s="3">
        <f>IF(tblOrdenes[[#This Row],[backlog_dias]]="",FALSE,AND(tblOrdenes[[#This Row],[backlog_dias]]&gt;p_dias_backlog_min,tblOrdenes[[#This Row],[backlog_dias]]&lt;=p_dias_backlog_max))</f>
        <v/>
      </c>
      <c r="AC1045" s="6" t="n"/>
      <c r="AD10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45" s="10">
        <f>IF(tblOrdenes[[#This Row],[orden]]="","",_xlfn.XLOOKUP(tblOrdenes[[#This Row],[id_operacion]],tblEjecucion[id_operacion],tblEjecucion[precio],0))</f>
        <v/>
      </c>
      <c r="AH1045" s="10">
        <f>IF(tblOrdenes[[#This Row],[orden]]="","",MAX(0,_xlfn.XLOOKUP(tblOrdenes[[#This Row],[id_operacion]],tblEjecucion[id_operacion],tblEjecucion[costo_plan_total],0)-tblOrdenes[[#This Row],[costo_servicio]]))</f>
        <v/>
      </c>
      <c r="AI1045" s="10">
        <f>IF(tblOrdenes[[#This Row],[orden]]="","",tblOrdenes[[#This Row],[costo_servicio]]+tblOrdenes[[#This Row],[costo_materiales]])</f>
        <v/>
      </c>
      <c r="AJ1045" s="6" t="n"/>
      <c r="AK1045" s="6" t="n"/>
      <c r="AL1045" s="6" t="n"/>
      <c r="AM1045" s="3">
        <f>IF(tblOrdenes[[#This Row],[link_checklist]]="","",HYPERLINK(p_ruta_base_checklists&amp;tblOrdenes[[#This Row],[link_checklist]],"abrir"))</f>
        <v/>
      </c>
      <c r="AN1045" s="6" t="n"/>
      <c r="AO1045" s="3">
        <f>IF(tblOrdenes[[#This Row],[orden]]="","",tblOrdenes[[#This Row],[orden]]&amp;IF(tblOrdenes[[#This Row],[operacion]]="","0010",tblOrdenes[[#This Row],[operacion]]))</f>
        <v/>
      </c>
    </row>
    <row r="1046">
      <c r="A1046" s="3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11" t="n"/>
      <c r="K1046" s="3" t="n"/>
      <c r="L1046" s="10" t="n"/>
      <c r="M1046" s="6" t="n"/>
      <c r="N10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46" s="3">
        <f>IF(tblOrdenes[[#This Row],[fecha_inicio]]="","",YEAR(tblOrdenes[[#This Row],[fecha_inicio]]))</f>
        <v/>
      </c>
      <c r="R1046" s="3">
        <f>IF(tblOrdenes[[#This Row],[fecha_inicio]]="","",MONTH(tblOrdenes[[#This Row],[fecha_inicio]]))</f>
        <v/>
      </c>
      <c r="S1046" s="3">
        <f>IF(tblOrdenes[[#This Row],[fecha_inicio]]="","",INDEX(lista_dias,WEEKDAY(tblOrdenes[[#This Row],[fecha_inicio]],2)))</f>
        <v/>
      </c>
      <c r="T1046" s="3">
        <f>IF(tblOrdenes[[#This Row],[tipo_ot]]="","",_xlfn.XLOOKUP(tblOrdenes[[#This Row],[tipo_ot]],tblTiposOT[codigo],tblTiposOT[clasificacion],"sin_clasificar"))</f>
        <v/>
      </c>
      <c r="U1046" s="3">
        <f>IF(tblOrdenes[[#This Row],[centro_costo]]="","",_xlfn.XLOOKUP(tblOrdenes[[#This Row],[centro_costo]],tblCECO[codigo],tblCECO[linea],"(sin catálogo)"))</f>
        <v/>
      </c>
      <c r="V1046" s="3">
        <f>IF(tblOrdenes[[#This Row],[centro_costo]]="","",_xlfn.XLOOKUP(tblOrdenes[[#This Row],[centro_costo]],tblCECO[codigo],tblCECO[area],"(sin catálogo)"))</f>
        <v/>
      </c>
      <c r="W1046" s="3">
        <f>IF(tblOrdenes[[#This Row],[centro_costo]]="","",_xlfn.XLOOKUP(tblOrdenes[[#This Row],[centro_costo]],tblCECO[codigo],tblCECO[coordinador],"(sin catálogo)"))</f>
        <v/>
      </c>
      <c r="X1046" s="3">
        <f>IF(tblOrdenes[[#This Row],[puesto_trabajo]]="","",_xlfn.XLOOKUP(tblOrdenes[[#This Row],[puesto_trabajo]],tblPuestos[codigo],tblPuestos[especialidad],"(sin catálogo)"))</f>
        <v/>
      </c>
      <c r="Y1046" s="3">
        <f>IF(tblOrdenes[[#This Row],[cod_actividad]]="","",_xlfn.XLOOKUP(tblOrdenes[[#This Row],[cod_actividad]],tblActividades[codigo],tblActividades[descripcion],"(sin catálogo)"))</f>
        <v/>
      </c>
      <c r="Z1046" s="12">
        <f>IF(tblOrdenes[[#This Row],[fecha_inicio]]="","",TODAY()-tblOrdenes[[#This Row],[fecha_inicio]])</f>
        <v/>
      </c>
      <c r="AA1046" s="3">
        <f>IF(tblOrdenes[[#This Row],[backlog_dias]]="","",IF(tblOrdenes[[#This Row],[backlog_dias]]&lt;0,"FUTURO",IF(tblOrdenes[[#This Row],[backlog_dias]]&gt;p_dias_backlog_max,"BACKLOG","MES CORRIENTE")))</f>
        <v/>
      </c>
      <c r="AB1046" s="3">
        <f>IF(tblOrdenes[[#This Row],[backlog_dias]]="",FALSE,AND(tblOrdenes[[#This Row],[backlog_dias]]&gt;p_dias_backlog_min,tblOrdenes[[#This Row],[backlog_dias]]&lt;=p_dias_backlog_max))</f>
        <v/>
      </c>
      <c r="AC1046" s="6" t="n"/>
      <c r="AD10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46" s="10">
        <f>IF(tblOrdenes[[#This Row],[orden]]="","",_xlfn.XLOOKUP(tblOrdenes[[#This Row],[id_operacion]],tblEjecucion[id_operacion],tblEjecucion[precio],0))</f>
        <v/>
      </c>
      <c r="AH1046" s="10">
        <f>IF(tblOrdenes[[#This Row],[orden]]="","",MAX(0,_xlfn.XLOOKUP(tblOrdenes[[#This Row],[id_operacion]],tblEjecucion[id_operacion],tblEjecucion[costo_plan_total],0)-tblOrdenes[[#This Row],[costo_servicio]]))</f>
        <v/>
      </c>
      <c r="AI1046" s="10">
        <f>IF(tblOrdenes[[#This Row],[orden]]="","",tblOrdenes[[#This Row],[costo_servicio]]+tblOrdenes[[#This Row],[costo_materiales]])</f>
        <v/>
      </c>
      <c r="AJ1046" s="6" t="n"/>
      <c r="AK1046" s="6" t="n"/>
      <c r="AL1046" s="6" t="n"/>
      <c r="AM1046" s="3">
        <f>IF(tblOrdenes[[#This Row],[link_checklist]]="","",HYPERLINK(p_ruta_base_checklists&amp;tblOrdenes[[#This Row],[link_checklist]],"abrir"))</f>
        <v/>
      </c>
      <c r="AN1046" s="6" t="n"/>
      <c r="AO1046" s="3">
        <f>IF(tblOrdenes[[#This Row],[orden]]="","",tblOrdenes[[#This Row],[orden]]&amp;IF(tblOrdenes[[#This Row],[operacion]]="","0010",tblOrdenes[[#This Row],[operacion]]))</f>
        <v/>
      </c>
    </row>
    <row r="1047">
      <c r="A1047" s="3" t="n"/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11" t="n"/>
      <c r="K1047" s="3" t="n"/>
      <c r="L1047" s="10" t="n"/>
      <c r="M1047" s="6" t="n"/>
      <c r="N10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47" s="3">
        <f>IF(tblOrdenes[[#This Row],[fecha_inicio]]="","",YEAR(tblOrdenes[[#This Row],[fecha_inicio]]))</f>
        <v/>
      </c>
      <c r="R1047" s="3">
        <f>IF(tblOrdenes[[#This Row],[fecha_inicio]]="","",MONTH(tblOrdenes[[#This Row],[fecha_inicio]]))</f>
        <v/>
      </c>
      <c r="S1047" s="3">
        <f>IF(tblOrdenes[[#This Row],[fecha_inicio]]="","",INDEX(lista_dias,WEEKDAY(tblOrdenes[[#This Row],[fecha_inicio]],2)))</f>
        <v/>
      </c>
      <c r="T1047" s="3">
        <f>IF(tblOrdenes[[#This Row],[tipo_ot]]="","",_xlfn.XLOOKUP(tblOrdenes[[#This Row],[tipo_ot]],tblTiposOT[codigo],tblTiposOT[clasificacion],"sin_clasificar"))</f>
        <v/>
      </c>
      <c r="U1047" s="3">
        <f>IF(tblOrdenes[[#This Row],[centro_costo]]="","",_xlfn.XLOOKUP(tblOrdenes[[#This Row],[centro_costo]],tblCECO[codigo],tblCECO[linea],"(sin catálogo)"))</f>
        <v/>
      </c>
      <c r="V1047" s="3">
        <f>IF(tblOrdenes[[#This Row],[centro_costo]]="","",_xlfn.XLOOKUP(tblOrdenes[[#This Row],[centro_costo]],tblCECO[codigo],tblCECO[area],"(sin catálogo)"))</f>
        <v/>
      </c>
      <c r="W1047" s="3">
        <f>IF(tblOrdenes[[#This Row],[centro_costo]]="","",_xlfn.XLOOKUP(tblOrdenes[[#This Row],[centro_costo]],tblCECO[codigo],tblCECO[coordinador],"(sin catálogo)"))</f>
        <v/>
      </c>
      <c r="X1047" s="3">
        <f>IF(tblOrdenes[[#This Row],[puesto_trabajo]]="","",_xlfn.XLOOKUP(tblOrdenes[[#This Row],[puesto_trabajo]],tblPuestos[codigo],tblPuestos[especialidad],"(sin catálogo)"))</f>
        <v/>
      </c>
      <c r="Y1047" s="3">
        <f>IF(tblOrdenes[[#This Row],[cod_actividad]]="","",_xlfn.XLOOKUP(tblOrdenes[[#This Row],[cod_actividad]],tblActividades[codigo],tblActividades[descripcion],"(sin catálogo)"))</f>
        <v/>
      </c>
      <c r="Z1047" s="12">
        <f>IF(tblOrdenes[[#This Row],[fecha_inicio]]="","",TODAY()-tblOrdenes[[#This Row],[fecha_inicio]])</f>
        <v/>
      </c>
      <c r="AA1047" s="3">
        <f>IF(tblOrdenes[[#This Row],[backlog_dias]]="","",IF(tblOrdenes[[#This Row],[backlog_dias]]&lt;0,"FUTURO",IF(tblOrdenes[[#This Row],[backlog_dias]]&gt;p_dias_backlog_max,"BACKLOG","MES CORRIENTE")))</f>
        <v/>
      </c>
      <c r="AB1047" s="3">
        <f>IF(tblOrdenes[[#This Row],[backlog_dias]]="",FALSE,AND(tblOrdenes[[#This Row],[backlog_dias]]&gt;p_dias_backlog_min,tblOrdenes[[#This Row],[backlog_dias]]&lt;=p_dias_backlog_max))</f>
        <v/>
      </c>
      <c r="AC1047" s="6" t="n"/>
      <c r="AD10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47" s="10">
        <f>IF(tblOrdenes[[#This Row],[orden]]="","",_xlfn.XLOOKUP(tblOrdenes[[#This Row],[id_operacion]],tblEjecucion[id_operacion],tblEjecucion[precio],0))</f>
        <v/>
      </c>
      <c r="AH1047" s="10">
        <f>IF(tblOrdenes[[#This Row],[orden]]="","",MAX(0,_xlfn.XLOOKUP(tblOrdenes[[#This Row],[id_operacion]],tblEjecucion[id_operacion],tblEjecucion[costo_plan_total],0)-tblOrdenes[[#This Row],[costo_servicio]]))</f>
        <v/>
      </c>
      <c r="AI1047" s="10">
        <f>IF(tblOrdenes[[#This Row],[orden]]="","",tblOrdenes[[#This Row],[costo_servicio]]+tblOrdenes[[#This Row],[costo_materiales]])</f>
        <v/>
      </c>
      <c r="AJ1047" s="6" t="n"/>
      <c r="AK1047" s="6" t="n"/>
      <c r="AL1047" s="6" t="n"/>
      <c r="AM1047" s="3">
        <f>IF(tblOrdenes[[#This Row],[link_checklist]]="","",HYPERLINK(p_ruta_base_checklists&amp;tblOrdenes[[#This Row],[link_checklist]],"abrir"))</f>
        <v/>
      </c>
      <c r="AN1047" s="6" t="n"/>
      <c r="AO1047" s="3">
        <f>IF(tblOrdenes[[#This Row],[orden]]="","",tblOrdenes[[#This Row],[orden]]&amp;IF(tblOrdenes[[#This Row],[operacion]]="","0010",tblOrdenes[[#This Row],[operacion]]))</f>
        <v/>
      </c>
    </row>
    <row r="1048">
      <c r="A1048" s="3" t="n"/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11" t="n"/>
      <c r="K1048" s="3" t="n"/>
      <c r="L1048" s="10" t="n"/>
      <c r="M1048" s="6" t="n"/>
      <c r="N10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48" s="3">
        <f>IF(tblOrdenes[[#This Row],[fecha_inicio]]="","",YEAR(tblOrdenes[[#This Row],[fecha_inicio]]))</f>
        <v/>
      </c>
      <c r="R1048" s="3">
        <f>IF(tblOrdenes[[#This Row],[fecha_inicio]]="","",MONTH(tblOrdenes[[#This Row],[fecha_inicio]]))</f>
        <v/>
      </c>
      <c r="S1048" s="3">
        <f>IF(tblOrdenes[[#This Row],[fecha_inicio]]="","",INDEX(lista_dias,WEEKDAY(tblOrdenes[[#This Row],[fecha_inicio]],2)))</f>
        <v/>
      </c>
      <c r="T1048" s="3">
        <f>IF(tblOrdenes[[#This Row],[tipo_ot]]="","",_xlfn.XLOOKUP(tblOrdenes[[#This Row],[tipo_ot]],tblTiposOT[codigo],tblTiposOT[clasificacion],"sin_clasificar"))</f>
        <v/>
      </c>
      <c r="U1048" s="3">
        <f>IF(tblOrdenes[[#This Row],[centro_costo]]="","",_xlfn.XLOOKUP(tblOrdenes[[#This Row],[centro_costo]],tblCECO[codigo],tblCECO[linea],"(sin catálogo)"))</f>
        <v/>
      </c>
      <c r="V1048" s="3">
        <f>IF(tblOrdenes[[#This Row],[centro_costo]]="","",_xlfn.XLOOKUP(tblOrdenes[[#This Row],[centro_costo]],tblCECO[codigo],tblCECO[area],"(sin catálogo)"))</f>
        <v/>
      </c>
      <c r="W1048" s="3">
        <f>IF(tblOrdenes[[#This Row],[centro_costo]]="","",_xlfn.XLOOKUP(tblOrdenes[[#This Row],[centro_costo]],tblCECO[codigo],tblCECO[coordinador],"(sin catálogo)"))</f>
        <v/>
      </c>
      <c r="X1048" s="3">
        <f>IF(tblOrdenes[[#This Row],[puesto_trabajo]]="","",_xlfn.XLOOKUP(tblOrdenes[[#This Row],[puesto_trabajo]],tblPuestos[codigo],tblPuestos[especialidad],"(sin catálogo)"))</f>
        <v/>
      </c>
      <c r="Y1048" s="3">
        <f>IF(tblOrdenes[[#This Row],[cod_actividad]]="","",_xlfn.XLOOKUP(tblOrdenes[[#This Row],[cod_actividad]],tblActividades[codigo],tblActividades[descripcion],"(sin catálogo)"))</f>
        <v/>
      </c>
      <c r="Z1048" s="12">
        <f>IF(tblOrdenes[[#This Row],[fecha_inicio]]="","",TODAY()-tblOrdenes[[#This Row],[fecha_inicio]])</f>
        <v/>
      </c>
      <c r="AA1048" s="3">
        <f>IF(tblOrdenes[[#This Row],[backlog_dias]]="","",IF(tblOrdenes[[#This Row],[backlog_dias]]&lt;0,"FUTURO",IF(tblOrdenes[[#This Row],[backlog_dias]]&gt;p_dias_backlog_max,"BACKLOG","MES CORRIENTE")))</f>
        <v/>
      </c>
      <c r="AB1048" s="3">
        <f>IF(tblOrdenes[[#This Row],[backlog_dias]]="",FALSE,AND(tblOrdenes[[#This Row],[backlog_dias]]&gt;p_dias_backlog_min,tblOrdenes[[#This Row],[backlog_dias]]&lt;=p_dias_backlog_max))</f>
        <v/>
      </c>
      <c r="AC1048" s="6" t="n"/>
      <c r="AD10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48" s="10">
        <f>IF(tblOrdenes[[#This Row],[orden]]="","",_xlfn.XLOOKUP(tblOrdenes[[#This Row],[id_operacion]],tblEjecucion[id_operacion],tblEjecucion[precio],0))</f>
        <v/>
      </c>
      <c r="AH1048" s="10">
        <f>IF(tblOrdenes[[#This Row],[orden]]="","",MAX(0,_xlfn.XLOOKUP(tblOrdenes[[#This Row],[id_operacion]],tblEjecucion[id_operacion],tblEjecucion[costo_plan_total],0)-tblOrdenes[[#This Row],[costo_servicio]]))</f>
        <v/>
      </c>
      <c r="AI1048" s="10">
        <f>IF(tblOrdenes[[#This Row],[orden]]="","",tblOrdenes[[#This Row],[costo_servicio]]+tblOrdenes[[#This Row],[costo_materiales]])</f>
        <v/>
      </c>
      <c r="AJ1048" s="6" t="n"/>
      <c r="AK1048" s="6" t="n"/>
      <c r="AL1048" s="6" t="n"/>
      <c r="AM1048" s="3">
        <f>IF(tblOrdenes[[#This Row],[link_checklist]]="","",HYPERLINK(p_ruta_base_checklists&amp;tblOrdenes[[#This Row],[link_checklist]],"abrir"))</f>
        <v/>
      </c>
      <c r="AN1048" s="6" t="n"/>
      <c r="AO1048" s="3">
        <f>IF(tblOrdenes[[#This Row],[orden]]="","",tblOrdenes[[#This Row],[orden]]&amp;IF(tblOrdenes[[#This Row],[operacion]]="","0010",tblOrdenes[[#This Row],[operacion]]))</f>
        <v/>
      </c>
    </row>
    <row r="1049">
      <c r="A1049" s="3" t="n"/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11" t="n"/>
      <c r="K1049" s="3" t="n"/>
      <c r="L1049" s="10" t="n"/>
      <c r="M1049" s="6" t="n"/>
      <c r="N10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49" s="3">
        <f>IF(tblOrdenes[[#This Row],[fecha_inicio]]="","",YEAR(tblOrdenes[[#This Row],[fecha_inicio]]))</f>
        <v/>
      </c>
      <c r="R1049" s="3">
        <f>IF(tblOrdenes[[#This Row],[fecha_inicio]]="","",MONTH(tblOrdenes[[#This Row],[fecha_inicio]]))</f>
        <v/>
      </c>
      <c r="S1049" s="3">
        <f>IF(tblOrdenes[[#This Row],[fecha_inicio]]="","",INDEX(lista_dias,WEEKDAY(tblOrdenes[[#This Row],[fecha_inicio]],2)))</f>
        <v/>
      </c>
      <c r="T1049" s="3">
        <f>IF(tblOrdenes[[#This Row],[tipo_ot]]="","",_xlfn.XLOOKUP(tblOrdenes[[#This Row],[tipo_ot]],tblTiposOT[codigo],tblTiposOT[clasificacion],"sin_clasificar"))</f>
        <v/>
      </c>
      <c r="U1049" s="3">
        <f>IF(tblOrdenes[[#This Row],[centro_costo]]="","",_xlfn.XLOOKUP(tblOrdenes[[#This Row],[centro_costo]],tblCECO[codigo],tblCECO[linea],"(sin catálogo)"))</f>
        <v/>
      </c>
      <c r="V1049" s="3">
        <f>IF(tblOrdenes[[#This Row],[centro_costo]]="","",_xlfn.XLOOKUP(tblOrdenes[[#This Row],[centro_costo]],tblCECO[codigo],tblCECO[area],"(sin catálogo)"))</f>
        <v/>
      </c>
      <c r="W1049" s="3">
        <f>IF(tblOrdenes[[#This Row],[centro_costo]]="","",_xlfn.XLOOKUP(tblOrdenes[[#This Row],[centro_costo]],tblCECO[codigo],tblCECO[coordinador],"(sin catálogo)"))</f>
        <v/>
      </c>
      <c r="X1049" s="3">
        <f>IF(tblOrdenes[[#This Row],[puesto_trabajo]]="","",_xlfn.XLOOKUP(tblOrdenes[[#This Row],[puesto_trabajo]],tblPuestos[codigo],tblPuestos[especialidad],"(sin catálogo)"))</f>
        <v/>
      </c>
      <c r="Y1049" s="3">
        <f>IF(tblOrdenes[[#This Row],[cod_actividad]]="","",_xlfn.XLOOKUP(tblOrdenes[[#This Row],[cod_actividad]],tblActividades[codigo],tblActividades[descripcion],"(sin catálogo)"))</f>
        <v/>
      </c>
      <c r="Z1049" s="12">
        <f>IF(tblOrdenes[[#This Row],[fecha_inicio]]="","",TODAY()-tblOrdenes[[#This Row],[fecha_inicio]])</f>
        <v/>
      </c>
      <c r="AA1049" s="3">
        <f>IF(tblOrdenes[[#This Row],[backlog_dias]]="","",IF(tblOrdenes[[#This Row],[backlog_dias]]&lt;0,"FUTURO",IF(tblOrdenes[[#This Row],[backlog_dias]]&gt;p_dias_backlog_max,"BACKLOG","MES CORRIENTE")))</f>
        <v/>
      </c>
      <c r="AB1049" s="3">
        <f>IF(tblOrdenes[[#This Row],[backlog_dias]]="",FALSE,AND(tblOrdenes[[#This Row],[backlog_dias]]&gt;p_dias_backlog_min,tblOrdenes[[#This Row],[backlog_dias]]&lt;=p_dias_backlog_max))</f>
        <v/>
      </c>
      <c r="AC1049" s="6" t="n"/>
      <c r="AD10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49" s="10">
        <f>IF(tblOrdenes[[#This Row],[orden]]="","",_xlfn.XLOOKUP(tblOrdenes[[#This Row],[id_operacion]],tblEjecucion[id_operacion],tblEjecucion[precio],0))</f>
        <v/>
      </c>
      <c r="AH1049" s="10">
        <f>IF(tblOrdenes[[#This Row],[orden]]="","",MAX(0,_xlfn.XLOOKUP(tblOrdenes[[#This Row],[id_operacion]],tblEjecucion[id_operacion],tblEjecucion[costo_plan_total],0)-tblOrdenes[[#This Row],[costo_servicio]]))</f>
        <v/>
      </c>
      <c r="AI1049" s="10">
        <f>IF(tblOrdenes[[#This Row],[orden]]="","",tblOrdenes[[#This Row],[costo_servicio]]+tblOrdenes[[#This Row],[costo_materiales]])</f>
        <v/>
      </c>
      <c r="AJ1049" s="6" t="n"/>
      <c r="AK1049" s="6" t="n"/>
      <c r="AL1049" s="6" t="n"/>
      <c r="AM1049" s="3">
        <f>IF(tblOrdenes[[#This Row],[link_checklist]]="","",HYPERLINK(p_ruta_base_checklists&amp;tblOrdenes[[#This Row],[link_checklist]],"abrir"))</f>
        <v/>
      </c>
      <c r="AN1049" s="6" t="n"/>
      <c r="AO1049" s="3">
        <f>IF(tblOrdenes[[#This Row],[orden]]="","",tblOrdenes[[#This Row],[orden]]&amp;IF(tblOrdenes[[#This Row],[operacion]]="","0010",tblOrdenes[[#This Row],[operacion]]))</f>
        <v/>
      </c>
    </row>
    <row r="1050">
      <c r="A1050" s="3" t="n"/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11" t="n"/>
      <c r="K1050" s="3" t="n"/>
      <c r="L1050" s="10" t="n"/>
      <c r="M1050" s="6" t="n"/>
      <c r="N10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50" s="3">
        <f>IF(tblOrdenes[[#This Row],[fecha_inicio]]="","",YEAR(tblOrdenes[[#This Row],[fecha_inicio]]))</f>
        <v/>
      </c>
      <c r="R1050" s="3">
        <f>IF(tblOrdenes[[#This Row],[fecha_inicio]]="","",MONTH(tblOrdenes[[#This Row],[fecha_inicio]]))</f>
        <v/>
      </c>
      <c r="S1050" s="3">
        <f>IF(tblOrdenes[[#This Row],[fecha_inicio]]="","",INDEX(lista_dias,WEEKDAY(tblOrdenes[[#This Row],[fecha_inicio]],2)))</f>
        <v/>
      </c>
      <c r="T1050" s="3">
        <f>IF(tblOrdenes[[#This Row],[tipo_ot]]="","",_xlfn.XLOOKUP(tblOrdenes[[#This Row],[tipo_ot]],tblTiposOT[codigo],tblTiposOT[clasificacion],"sin_clasificar"))</f>
        <v/>
      </c>
      <c r="U1050" s="3">
        <f>IF(tblOrdenes[[#This Row],[centro_costo]]="","",_xlfn.XLOOKUP(tblOrdenes[[#This Row],[centro_costo]],tblCECO[codigo],tblCECO[linea],"(sin catálogo)"))</f>
        <v/>
      </c>
      <c r="V1050" s="3">
        <f>IF(tblOrdenes[[#This Row],[centro_costo]]="","",_xlfn.XLOOKUP(tblOrdenes[[#This Row],[centro_costo]],tblCECO[codigo],tblCECO[area],"(sin catálogo)"))</f>
        <v/>
      </c>
      <c r="W1050" s="3">
        <f>IF(tblOrdenes[[#This Row],[centro_costo]]="","",_xlfn.XLOOKUP(tblOrdenes[[#This Row],[centro_costo]],tblCECO[codigo],tblCECO[coordinador],"(sin catálogo)"))</f>
        <v/>
      </c>
      <c r="X1050" s="3">
        <f>IF(tblOrdenes[[#This Row],[puesto_trabajo]]="","",_xlfn.XLOOKUP(tblOrdenes[[#This Row],[puesto_trabajo]],tblPuestos[codigo],tblPuestos[especialidad],"(sin catálogo)"))</f>
        <v/>
      </c>
      <c r="Y1050" s="3">
        <f>IF(tblOrdenes[[#This Row],[cod_actividad]]="","",_xlfn.XLOOKUP(tblOrdenes[[#This Row],[cod_actividad]],tblActividades[codigo],tblActividades[descripcion],"(sin catálogo)"))</f>
        <v/>
      </c>
      <c r="Z1050" s="12">
        <f>IF(tblOrdenes[[#This Row],[fecha_inicio]]="","",TODAY()-tblOrdenes[[#This Row],[fecha_inicio]])</f>
        <v/>
      </c>
      <c r="AA1050" s="3">
        <f>IF(tblOrdenes[[#This Row],[backlog_dias]]="","",IF(tblOrdenes[[#This Row],[backlog_dias]]&lt;0,"FUTURO",IF(tblOrdenes[[#This Row],[backlog_dias]]&gt;p_dias_backlog_max,"BACKLOG","MES CORRIENTE")))</f>
        <v/>
      </c>
      <c r="AB1050" s="3">
        <f>IF(tblOrdenes[[#This Row],[backlog_dias]]="",FALSE,AND(tblOrdenes[[#This Row],[backlog_dias]]&gt;p_dias_backlog_min,tblOrdenes[[#This Row],[backlog_dias]]&lt;=p_dias_backlog_max))</f>
        <v/>
      </c>
      <c r="AC1050" s="6" t="n"/>
      <c r="AD10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50" s="10">
        <f>IF(tblOrdenes[[#This Row],[orden]]="","",_xlfn.XLOOKUP(tblOrdenes[[#This Row],[id_operacion]],tblEjecucion[id_operacion],tblEjecucion[precio],0))</f>
        <v/>
      </c>
      <c r="AH1050" s="10">
        <f>IF(tblOrdenes[[#This Row],[orden]]="","",MAX(0,_xlfn.XLOOKUP(tblOrdenes[[#This Row],[id_operacion]],tblEjecucion[id_operacion],tblEjecucion[costo_plan_total],0)-tblOrdenes[[#This Row],[costo_servicio]]))</f>
        <v/>
      </c>
      <c r="AI1050" s="10">
        <f>IF(tblOrdenes[[#This Row],[orden]]="","",tblOrdenes[[#This Row],[costo_servicio]]+tblOrdenes[[#This Row],[costo_materiales]])</f>
        <v/>
      </c>
      <c r="AJ1050" s="6" t="n"/>
      <c r="AK1050" s="6" t="n"/>
      <c r="AL1050" s="6" t="n"/>
      <c r="AM1050" s="3">
        <f>IF(tblOrdenes[[#This Row],[link_checklist]]="","",HYPERLINK(p_ruta_base_checklists&amp;tblOrdenes[[#This Row],[link_checklist]],"abrir"))</f>
        <v/>
      </c>
      <c r="AN1050" s="6" t="n"/>
      <c r="AO1050" s="3">
        <f>IF(tblOrdenes[[#This Row],[orden]]="","",tblOrdenes[[#This Row],[orden]]&amp;IF(tblOrdenes[[#This Row],[operacion]]="","0010",tblOrdenes[[#This Row],[operacion]]))</f>
        <v/>
      </c>
    </row>
    <row r="1051">
      <c r="A1051" s="3" t="n"/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11" t="n"/>
      <c r="K1051" s="3" t="n"/>
      <c r="L1051" s="10" t="n"/>
      <c r="M1051" s="6" t="n"/>
      <c r="N10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51" s="3">
        <f>IF(tblOrdenes[[#This Row],[fecha_inicio]]="","",YEAR(tblOrdenes[[#This Row],[fecha_inicio]]))</f>
        <v/>
      </c>
      <c r="R1051" s="3">
        <f>IF(tblOrdenes[[#This Row],[fecha_inicio]]="","",MONTH(tblOrdenes[[#This Row],[fecha_inicio]]))</f>
        <v/>
      </c>
      <c r="S1051" s="3">
        <f>IF(tblOrdenes[[#This Row],[fecha_inicio]]="","",INDEX(lista_dias,WEEKDAY(tblOrdenes[[#This Row],[fecha_inicio]],2)))</f>
        <v/>
      </c>
      <c r="T1051" s="3">
        <f>IF(tblOrdenes[[#This Row],[tipo_ot]]="","",_xlfn.XLOOKUP(tblOrdenes[[#This Row],[tipo_ot]],tblTiposOT[codigo],tblTiposOT[clasificacion],"sin_clasificar"))</f>
        <v/>
      </c>
      <c r="U1051" s="3">
        <f>IF(tblOrdenes[[#This Row],[centro_costo]]="","",_xlfn.XLOOKUP(tblOrdenes[[#This Row],[centro_costo]],tblCECO[codigo],tblCECO[linea],"(sin catálogo)"))</f>
        <v/>
      </c>
      <c r="V1051" s="3">
        <f>IF(tblOrdenes[[#This Row],[centro_costo]]="","",_xlfn.XLOOKUP(tblOrdenes[[#This Row],[centro_costo]],tblCECO[codigo],tblCECO[area],"(sin catálogo)"))</f>
        <v/>
      </c>
      <c r="W1051" s="3">
        <f>IF(tblOrdenes[[#This Row],[centro_costo]]="","",_xlfn.XLOOKUP(tblOrdenes[[#This Row],[centro_costo]],tblCECO[codigo],tblCECO[coordinador],"(sin catálogo)"))</f>
        <v/>
      </c>
      <c r="X1051" s="3">
        <f>IF(tblOrdenes[[#This Row],[puesto_trabajo]]="","",_xlfn.XLOOKUP(tblOrdenes[[#This Row],[puesto_trabajo]],tblPuestos[codigo],tblPuestos[especialidad],"(sin catálogo)"))</f>
        <v/>
      </c>
      <c r="Y1051" s="3">
        <f>IF(tblOrdenes[[#This Row],[cod_actividad]]="","",_xlfn.XLOOKUP(tblOrdenes[[#This Row],[cod_actividad]],tblActividades[codigo],tblActividades[descripcion],"(sin catálogo)"))</f>
        <v/>
      </c>
      <c r="Z1051" s="12">
        <f>IF(tblOrdenes[[#This Row],[fecha_inicio]]="","",TODAY()-tblOrdenes[[#This Row],[fecha_inicio]])</f>
        <v/>
      </c>
      <c r="AA1051" s="3">
        <f>IF(tblOrdenes[[#This Row],[backlog_dias]]="","",IF(tblOrdenes[[#This Row],[backlog_dias]]&lt;0,"FUTURO",IF(tblOrdenes[[#This Row],[backlog_dias]]&gt;p_dias_backlog_max,"BACKLOG","MES CORRIENTE")))</f>
        <v/>
      </c>
      <c r="AB1051" s="3">
        <f>IF(tblOrdenes[[#This Row],[backlog_dias]]="",FALSE,AND(tblOrdenes[[#This Row],[backlog_dias]]&gt;p_dias_backlog_min,tblOrdenes[[#This Row],[backlog_dias]]&lt;=p_dias_backlog_max))</f>
        <v/>
      </c>
      <c r="AC1051" s="6" t="n"/>
      <c r="AD10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51" s="10">
        <f>IF(tblOrdenes[[#This Row],[orden]]="","",_xlfn.XLOOKUP(tblOrdenes[[#This Row],[id_operacion]],tblEjecucion[id_operacion],tblEjecucion[precio],0))</f>
        <v/>
      </c>
      <c r="AH1051" s="10">
        <f>IF(tblOrdenes[[#This Row],[orden]]="","",MAX(0,_xlfn.XLOOKUP(tblOrdenes[[#This Row],[id_operacion]],tblEjecucion[id_operacion],tblEjecucion[costo_plan_total],0)-tblOrdenes[[#This Row],[costo_servicio]]))</f>
        <v/>
      </c>
      <c r="AI1051" s="10">
        <f>IF(tblOrdenes[[#This Row],[orden]]="","",tblOrdenes[[#This Row],[costo_servicio]]+tblOrdenes[[#This Row],[costo_materiales]])</f>
        <v/>
      </c>
      <c r="AJ1051" s="6" t="n"/>
      <c r="AK1051" s="6" t="n"/>
      <c r="AL1051" s="6" t="n"/>
      <c r="AM1051" s="3">
        <f>IF(tblOrdenes[[#This Row],[link_checklist]]="","",HYPERLINK(p_ruta_base_checklists&amp;tblOrdenes[[#This Row],[link_checklist]],"abrir"))</f>
        <v/>
      </c>
      <c r="AN1051" s="6" t="n"/>
      <c r="AO1051" s="3">
        <f>IF(tblOrdenes[[#This Row],[orden]]="","",tblOrdenes[[#This Row],[orden]]&amp;IF(tblOrdenes[[#This Row],[operacion]]="","0010",tblOrdenes[[#This Row],[operacion]]))</f>
        <v/>
      </c>
    </row>
    <row r="1052">
      <c r="A1052" s="3" t="n"/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11" t="n"/>
      <c r="K1052" s="3" t="n"/>
      <c r="L1052" s="10" t="n"/>
      <c r="M1052" s="6" t="n"/>
      <c r="N10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52" s="3">
        <f>IF(tblOrdenes[[#This Row],[fecha_inicio]]="","",YEAR(tblOrdenes[[#This Row],[fecha_inicio]]))</f>
        <v/>
      </c>
      <c r="R1052" s="3">
        <f>IF(tblOrdenes[[#This Row],[fecha_inicio]]="","",MONTH(tblOrdenes[[#This Row],[fecha_inicio]]))</f>
        <v/>
      </c>
      <c r="S1052" s="3">
        <f>IF(tblOrdenes[[#This Row],[fecha_inicio]]="","",INDEX(lista_dias,WEEKDAY(tblOrdenes[[#This Row],[fecha_inicio]],2)))</f>
        <v/>
      </c>
      <c r="T1052" s="3">
        <f>IF(tblOrdenes[[#This Row],[tipo_ot]]="","",_xlfn.XLOOKUP(tblOrdenes[[#This Row],[tipo_ot]],tblTiposOT[codigo],tblTiposOT[clasificacion],"sin_clasificar"))</f>
        <v/>
      </c>
      <c r="U1052" s="3">
        <f>IF(tblOrdenes[[#This Row],[centro_costo]]="","",_xlfn.XLOOKUP(tblOrdenes[[#This Row],[centro_costo]],tblCECO[codigo],tblCECO[linea],"(sin catálogo)"))</f>
        <v/>
      </c>
      <c r="V1052" s="3">
        <f>IF(tblOrdenes[[#This Row],[centro_costo]]="","",_xlfn.XLOOKUP(tblOrdenes[[#This Row],[centro_costo]],tblCECO[codigo],tblCECO[area],"(sin catálogo)"))</f>
        <v/>
      </c>
      <c r="W1052" s="3">
        <f>IF(tblOrdenes[[#This Row],[centro_costo]]="","",_xlfn.XLOOKUP(tblOrdenes[[#This Row],[centro_costo]],tblCECO[codigo],tblCECO[coordinador],"(sin catálogo)"))</f>
        <v/>
      </c>
      <c r="X1052" s="3">
        <f>IF(tblOrdenes[[#This Row],[puesto_trabajo]]="","",_xlfn.XLOOKUP(tblOrdenes[[#This Row],[puesto_trabajo]],tblPuestos[codigo],tblPuestos[especialidad],"(sin catálogo)"))</f>
        <v/>
      </c>
      <c r="Y1052" s="3">
        <f>IF(tblOrdenes[[#This Row],[cod_actividad]]="","",_xlfn.XLOOKUP(tblOrdenes[[#This Row],[cod_actividad]],tblActividades[codigo],tblActividades[descripcion],"(sin catálogo)"))</f>
        <v/>
      </c>
      <c r="Z1052" s="12">
        <f>IF(tblOrdenes[[#This Row],[fecha_inicio]]="","",TODAY()-tblOrdenes[[#This Row],[fecha_inicio]])</f>
        <v/>
      </c>
      <c r="AA1052" s="3">
        <f>IF(tblOrdenes[[#This Row],[backlog_dias]]="","",IF(tblOrdenes[[#This Row],[backlog_dias]]&lt;0,"FUTURO",IF(tblOrdenes[[#This Row],[backlog_dias]]&gt;p_dias_backlog_max,"BACKLOG","MES CORRIENTE")))</f>
        <v/>
      </c>
      <c r="AB1052" s="3">
        <f>IF(tblOrdenes[[#This Row],[backlog_dias]]="",FALSE,AND(tblOrdenes[[#This Row],[backlog_dias]]&gt;p_dias_backlog_min,tblOrdenes[[#This Row],[backlog_dias]]&lt;=p_dias_backlog_max))</f>
        <v/>
      </c>
      <c r="AC1052" s="6" t="n"/>
      <c r="AD10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52" s="10">
        <f>IF(tblOrdenes[[#This Row],[orden]]="","",_xlfn.XLOOKUP(tblOrdenes[[#This Row],[id_operacion]],tblEjecucion[id_operacion],tblEjecucion[precio],0))</f>
        <v/>
      </c>
      <c r="AH1052" s="10">
        <f>IF(tblOrdenes[[#This Row],[orden]]="","",MAX(0,_xlfn.XLOOKUP(tblOrdenes[[#This Row],[id_operacion]],tblEjecucion[id_operacion],tblEjecucion[costo_plan_total],0)-tblOrdenes[[#This Row],[costo_servicio]]))</f>
        <v/>
      </c>
      <c r="AI1052" s="10">
        <f>IF(tblOrdenes[[#This Row],[orden]]="","",tblOrdenes[[#This Row],[costo_servicio]]+tblOrdenes[[#This Row],[costo_materiales]])</f>
        <v/>
      </c>
      <c r="AJ1052" s="6" t="n"/>
      <c r="AK1052" s="6" t="n"/>
      <c r="AL1052" s="6" t="n"/>
      <c r="AM1052" s="3">
        <f>IF(tblOrdenes[[#This Row],[link_checklist]]="","",HYPERLINK(p_ruta_base_checklists&amp;tblOrdenes[[#This Row],[link_checklist]],"abrir"))</f>
        <v/>
      </c>
      <c r="AN1052" s="6" t="n"/>
      <c r="AO1052" s="3">
        <f>IF(tblOrdenes[[#This Row],[orden]]="","",tblOrdenes[[#This Row],[orden]]&amp;IF(tblOrdenes[[#This Row],[operacion]]="","0010",tblOrdenes[[#This Row],[operacion]]))</f>
        <v/>
      </c>
    </row>
    <row r="1053">
      <c r="A1053" s="3" t="n"/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11" t="n"/>
      <c r="K1053" s="3" t="n"/>
      <c r="L1053" s="10" t="n"/>
      <c r="M1053" s="6" t="n"/>
      <c r="N10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53" s="3">
        <f>IF(tblOrdenes[[#This Row],[fecha_inicio]]="","",YEAR(tblOrdenes[[#This Row],[fecha_inicio]]))</f>
        <v/>
      </c>
      <c r="R1053" s="3">
        <f>IF(tblOrdenes[[#This Row],[fecha_inicio]]="","",MONTH(tblOrdenes[[#This Row],[fecha_inicio]]))</f>
        <v/>
      </c>
      <c r="S1053" s="3">
        <f>IF(tblOrdenes[[#This Row],[fecha_inicio]]="","",INDEX(lista_dias,WEEKDAY(tblOrdenes[[#This Row],[fecha_inicio]],2)))</f>
        <v/>
      </c>
      <c r="T1053" s="3">
        <f>IF(tblOrdenes[[#This Row],[tipo_ot]]="","",_xlfn.XLOOKUP(tblOrdenes[[#This Row],[tipo_ot]],tblTiposOT[codigo],tblTiposOT[clasificacion],"sin_clasificar"))</f>
        <v/>
      </c>
      <c r="U1053" s="3">
        <f>IF(tblOrdenes[[#This Row],[centro_costo]]="","",_xlfn.XLOOKUP(tblOrdenes[[#This Row],[centro_costo]],tblCECO[codigo],tblCECO[linea],"(sin catálogo)"))</f>
        <v/>
      </c>
      <c r="V1053" s="3">
        <f>IF(tblOrdenes[[#This Row],[centro_costo]]="","",_xlfn.XLOOKUP(tblOrdenes[[#This Row],[centro_costo]],tblCECO[codigo],tblCECO[area],"(sin catálogo)"))</f>
        <v/>
      </c>
      <c r="W1053" s="3">
        <f>IF(tblOrdenes[[#This Row],[centro_costo]]="","",_xlfn.XLOOKUP(tblOrdenes[[#This Row],[centro_costo]],tblCECO[codigo],tblCECO[coordinador],"(sin catálogo)"))</f>
        <v/>
      </c>
      <c r="X1053" s="3">
        <f>IF(tblOrdenes[[#This Row],[puesto_trabajo]]="","",_xlfn.XLOOKUP(tblOrdenes[[#This Row],[puesto_trabajo]],tblPuestos[codigo],tblPuestos[especialidad],"(sin catálogo)"))</f>
        <v/>
      </c>
      <c r="Y1053" s="3">
        <f>IF(tblOrdenes[[#This Row],[cod_actividad]]="","",_xlfn.XLOOKUP(tblOrdenes[[#This Row],[cod_actividad]],tblActividades[codigo],tblActividades[descripcion],"(sin catálogo)"))</f>
        <v/>
      </c>
      <c r="Z1053" s="12">
        <f>IF(tblOrdenes[[#This Row],[fecha_inicio]]="","",TODAY()-tblOrdenes[[#This Row],[fecha_inicio]])</f>
        <v/>
      </c>
      <c r="AA1053" s="3">
        <f>IF(tblOrdenes[[#This Row],[backlog_dias]]="","",IF(tblOrdenes[[#This Row],[backlog_dias]]&lt;0,"FUTURO",IF(tblOrdenes[[#This Row],[backlog_dias]]&gt;p_dias_backlog_max,"BACKLOG","MES CORRIENTE")))</f>
        <v/>
      </c>
      <c r="AB1053" s="3">
        <f>IF(tblOrdenes[[#This Row],[backlog_dias]]="",FALSE,AND(tblOrdenes[[#This Row],[backlog_dias]]&gt;p_dias_backlog_min,tblOrdenes[[#This Row],[backlog_dias]]&lt;=p_dias_backlog_max))</f>
        <v/>
      </c>
      <c r="AC1053" s="6" t="n"/>
      <c r="AD10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53" s="10">
        <f>IF(tblOrdenes[[#This Row],[orden]]="","",_xlfn.XLOOKUP(tblOrdenes[[#This Row],[id_operacion]],tblEjecucion[id_operacion],tblEjecucion[precio],0))</f>
        <v/>
      </c>
      <c r="AH1053" s="10">
        <f>IF(tblOrdenes[[#This Row],[orden]]="","",MAX(0,_xlfn.XLOOKUP(tblOrdenes[[#This Row],[id_operacion]],tblEjecucion[id_operacion],tblEjecucion[costo_plan_total],0)-tblOrdenes[[#This Row],[costo_servicio]]))</f>
        <v/>
      </c>
      <c r="AI1053" s="10">
        <f>IF(tblOrdenes[[#This Row],[orden]]="","",tblOrdenes[[#This Row],[costo_servicio]]+tblOrdenes[[#This Row],[costo_materiales]])</f>
        <v/>
      </c>
      <c r="AJ1053" s="6" t="n"/>
      <c r="AK1053" s="6" t="n"/>
      <c r="AL1053" s="6" t="n"/>
      <c r="AM1053" s="3">
        <f>IF(tblOrdenes[[#This Row],[link_checklist]]="","",HYPERLINK(p_ruta_base_checklists&amp;tblOrdenes[[#This Row],[link_checklist]],"abrir"))</f>
        <v/>
      </c>
      <c r="AN1053" s="6" t="n"/>
      <c r="AO1053" s="3">
        <f>IF(tblOrdenes[[#This Row],[orden]]="","",tblOrdenes[[#This Row],[orden]]&amp;IF(tblOrdenes[[#This Row],[operacion]]="","0010",tblOrdenes[[#This Row],[operacion]]))</f>
        <v/>
      </c>
    </row>
    <row r="1054">
      <c r="A1054" s="3" t="n"/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11" t="n"/>
      <c r="K1054" s="3" t="n"/>
      <c r="L1054" s="10" t="n"/>
      <c r="M1054" s="6" t="n"/>
      <c r="N10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54" s="3">
        <f>IF(tblOrdenes[[#This Row],[fecha_inicio]]="","",YEAR(tblOrdenes[[#This Row],[fecha_inicio]]))</f>
        <v/>
      </c>
      <c r="R1054" s="3">
        <f>IF(tblOrdenes[[#This Row],[fecha_inicio]]="","",MONTH(tblOrdenes[[#This Row],[fecha_inicio]]))</f>
        <v/>
      </c>
      <c r="S1054" s="3">
        <f>IF(tblOrdenes[[#This Row],[fecha_inicio]]="","",INDEX(lista_dias,WEEKDAY(tblOrdenes[[#This Row],[fecha_inicio]],2)))</f>
        <v/>
      </c>
      <c r="T1054" s="3">
        <f>IF(tblOrdenes[[#This Row],[tipo_ot]]="","",_xlfn.XLOOKUP(tblOrdenes[[#This Row],[tipo_ot]],tblTiposOT[codigo],tblTiposOT[clasificacion],"sin_clasificar"))</f>
        <v/>
      </c>
      <c r="U1054" s="3">
        <f>IF(tblOrdenes[[#This Row],[centro_costo]]="","",_xlfn.XLOOKUP(tblOrdenes[[#This Row],[centro_costo]],tblCECO[codigo],tblCECO[linea],"(sin catálogo)"))</f>
        <v/>
      </c>
      <c r="V1054" s="3">
        <f>IF(tblOrdenes[[#This Row],[centro_costo]]="","",_xlfn.XLOOKUP(tblOrdenes[[#This Row],[centro_costo]],tblCECO[codigo],tblCECO[area],"(sin catálogo)"))</f>
        <v/>
      </c>
      <c r="W1054" s="3">
        <f>IF(tblOrdenes[[#This Row],[centro_costo]]="","",_xlfn.XLOOKUP(tblOrdenes[[#This Row],[centro_costo]],tblCECO[codigo],tblCECO[coordinador],"(sin catálogo)"))</f>
        <v/>
      </c>
      <c r="X1054" s="3">
        <f>IF(tblOrdenes[[#This Row],[puesto_trabajo]]="","",_xlfn.XLOOKUP(tblOrdenes[[#This Row],[puesto_trabajo]],tblPuestos[codigo],tblPuestos[especialidad],"(sin catálogo)"))</f>
        <v/>
      </c>
      <c r="Y1054" s="3">
        <f>IF(tblOrdenes[[#This Row],[cod_actividad]]="","",_xlfn.XLOOKUP(tblOrdenes[[#This Row],[cod_actividad]],tblActividades[codigo],tblActividades[descripcion],"(sin catálogo)"))</f>
        <v/>
      </c>
      <c r="Z1054" s="12">
        <f>IF(tblOrdenes[[#This Row],[fecha_inicio]]="","",TODAY()-tblOrdenes[[#This Row],[fecha_inicio]])</f>
        <v/>
      </c>
      <c r="AA1054" s="3">
        <f>IF(tblOrdenes[[#This Row],[backlog_dias]]="","",IF(tblOrdenes[[#This Row],[backlog_dias]]&lt;0,"FUTURO",IF(tblOrdenes[[#This Row],[backlog_dias]]&gt;p_dias_backlog_max,"BACKLOG","MES CORRIENTE")))</f>
        <v/>
      </c>
      <c r="AB1054" s="3">
        <f>IF(tblOrdenes[[#This Row],[backlog_dias]]="",FALSE,AND(tblOrdenes[[#This Row],[backlog_dias]]&gt;p_dias_backlog_min,tblOrdenes[[#This Row],[backlog_dias]]&lt;=p_dias_backlog_max))</f>
        <v/>
      </c>
      <c r="AC1054" s="6" t="n"/>
      <c r="AD10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54" s="10">
        <f>IF(tblOrdenes[[#This Row],[orden]]="","",_xlfn.XLOOKUP(tblOrdenes[[#This Row],[id_operacion]],tblEjecucion[id_operacion],tblEjecucion[precio],0))</f>
        <v/>
      </c>
      <c r="AH1054" s="10">
        <f>IF(tblOrdenes[[#This Row],[orden]]="","",MAX(0,_xlfn.XLOOKUP(tblOrdenes[[#This Row],[id_operacion]],tblEjecucion[id_operacion],tblEjecucion[costo_plan_total],0)-tblOrdenes[[#This Row],[costo_servicio]]))</f>
        <v/>
      </c>
      <c r="AI1054" s="10">
        <f>IF(tblOrdenes[[#This Row],[orden]]="","",tblOrdenes[[#This Row],[costo_servicio]]+tblOrdenes[[#This Row],[costo_materiales]])</f>
        <v/>
      </c>
      <c r="AJ1054" s="6" t="n"/>
      <c r="AK1054" s="6" t="n"/>
      <c r="AL1054" s="6" t="n"/>
      <c r="AM1054" s="3">
        <f>IF(tblOrdenes[[#This Row],[link_checklist]]="","",HYPERLINK(p_ruta_base_checklists&amp;tblOrdenes[[#This Row],[link_checklist]],"abrir"))</f>
        <v/>
      </c>
      <c r="AN1054" s="6" t="n"/>
      <c r="AO1054" s="3">
        <f>IF(tblOrdenes[[#This Row],[orden]]="","",tblOrdenes[[#This Row],[orden]]&amp;IF(tblOrdenes[[#This Row],[operacion]]="","0010",tblOrdenes[[#This Row],[operacion]]))</f>
        <v/>
      </c>
    </row>
    <row r="1055">
      <c r="A1055" s="3" t="n"/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11" t="n"/>
      <c r="K1055" s="3" t="n"/>
      <c r="L1055" s="10" t="n"/>
      <c r="M1055" s="6" t="n"/>
      <c r="N10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55" s="3">
        <f>IF(tblOrdenes[[#This Row],[fecha_inicio]]="","",YEAR(tblOrdenes[[#This Row],[fecha_inicio]]))</f>
        <v/>
      </c>
      <c r="R1055" s="3">
        <f>IF(tblOrdenes[[#This Row],[fecha_inicio]]="","",MONTH(tblOrdenes[[#This Row],[fecha_inicio]]))</f>
        <v/>
      </c>
      <c r="S1055" s="3">
        <f>IF(tblOrdenes[[#This Row],[fecha_inicio]]="","",INDEX(lista_dias,WEEKDAY(tblOrdenes[[#This Row],[fecha_inicio]],2)))</f>
        <v/>
      </c>
      <c r="T1055" s="3">
        <f>IF(tblOrdenes[[#This Row],[tipo_ot]]="","",_xlfn.XLOOKUP(tblOrdenes[[#This Row],[tipo_ot]],tblTiposOT[codigo],tblTiposOT[clasificacion],"sin_clasificar"))</f>
        <v/>
      </c>
      <c r="U1055" s="3">
        <f>IF(tblOrdenes[[#This Row],[centro_costo]]="","",_xlfn.XLOOKUP(tblOrdenes[[#This Row],[centro_costo]],tblCECO[codigo],tblCECO[linea],"(sin catálogo)"))</f>
        <v/>
      </c>
      <c r="V1055" s="3">
        <f>IF(tblOrdenes[[#This Row],[centro_costo]]="","",_xlfn.XLOOKUP(tblOrdenes[[#This Row],[centro_costo]],tblCECO[codigo],tblCECO[area],"(sin catálogo)"))</f>
        <v/>
      </c>
      <c r="W1055" s="3">
        <f>IF(tblOrdenes[[#This Row],[centro_costo]]="","",_xlfn.XLOOKUP(tblOrdenes[[#This Row],[centro_costo]],tblCECO[codigo],tblCECO[coordinador],"(sin catálogo)"))</f>
        <v/>
      </c>
      <c r="X1055" s="3">
        <f>IF(tblOrdenes[[#This Row],[puesto_trabajo]]="","",_xlfn.XLOOKUP(tblOrdenes[[#This Row],[puesto_trabajo]],tblPuestos[codigo],tblPuestos[especialidad],"(sin catálogo)"))</f>
        <v/>
      </c>
      <c r="Y1055" s="3">
        <f>IF(tblOrdenes[[#This Row],[cod_actividad]]="","",_xlfn.XLOOKUP(tblOrdenes[[#This Row],[cod_actividad]],tblActividades[codigo],tblActividades[descripcion],"(sin catálogo)"))</f>
        <v/>
      </c>
      <c r="Z1055" s="12">
        <f>IF(tblOrdenes[[#This Row],[fecha_inicio]]="","",TODAY()-tblOrdenes[[#This Row],[fecha_inicio]])</f>
        <v/>
      </c>
      <c r="AA1055" s="3">
        <f>IF(tblOrdenes[[#This Row],[backlog_dias]]="","",IF(tblOrdenes[[#This Row],[backlog_dias]]&lt;0,"FUTURO",IF(tblOrdenes[[#This Row],[backlog_dias]]&gt;p_dias_backlog_max,"BACKLOG","MES CORRIENTE")))</f>
        <v/>
      </c>
      <c r="AB1055" s="3">
        <f>IF(tblOrdenes[[#This Row],[backlog_dias]]="",FALSE,AND(tblOrdenes[[#This Row],[backlog_dias]]&gt;p_dias_backlog_min,tblOrdenes[[#This Row],[backlog_dias]]&lt;=p_dias_backlog_max))</f>
        <v/>
      </c>
      <c r="AC1055" s="6" t="n"/>
      <c r="AD10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55" s="10">
        <f>IF(tblOrdenes[[#This Row],[orden]]="","",_xlfn.XLOOKUP(tblOrdenes[[#This Row],[id_operacion]],tblEjecucion[id_operacion],tblEjecucion[precio],0))</f>
        <v/>
      </c>
      <c r="AH1055" s="10">
        <f>IF(tblOrdenes[[#This Row],[orden]]="","",MAX(0,_xlfn.XLOOKUP(tblOrdenes[[#This Row],[id_operacion]],tblEjecucion[id_operacion],tblEjecucion[costo_plan_total],0)-tblOrdenes[[#This Row],[costo_servicio]]))</f>
        <v/>
      </c>
      <c r="AI1055" s="10">
        <f>IF(tblOrdenes[[#This Row],[orden]]="","",tblOrdenes[[#This Row],[costo_servicio]]+tblOrdenes[[#This Row],[costo_materiales]])</f>
        <v/>
      </c>
      <c r="AJ1055" s="6" t="n"/>
      <c r="AK1055" s="6" t="n"/>
      <c r="AL1055" s="6" t="n"/>
      <c r="AM1055" s="3">
        <f>IF(tblOrdenes[[#This Row],[link_checklist]]="","",HYPERLINK(p_ruta_base_checklists&amp;tblOrdenes[[#This Row],[link_checklist]],"abrir"))</f>
        <v/>
      </c>
      <c r="AN1055" s="6" t="n"/>
      <c r="AO1055" s="3">
        <f>IF(tblOrdenes[[#This Row],[orden]]="","",tblOrdenes[[#This Row],[orden]]&amp;IF(tblOrdenes[[#This Row],[operacion]]="","0010",tblOrdenes[[#This Row],[operacion]]))</f>
        <v/>
      </c>
    </row>
    <row r="1056">
      <c r="A1056" s="3" t="n"/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11" t="n"/>
      <c r="K1056" s="3" t="n"/>
      <c r="L1056" s="10" t="n"/>
      <c r="M1056" s="6" t="n"/>
      <c r="N10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56" s="3">
        <f>IF(tblOrdenes[[#This Row],[fecha_inicio]]="","",YEAR(tblOrdenes[[#This Row],[fecha_inicio]]))</f>
        <v/>
      </c>
      <c r="R1056" s="3">
        <f>IF(tblOrdenes[[#This Row],[fecha_inicio]]="","",MONTH(tblOrdenes[[#This Row],[fecha_inicio]]))</f>
        <v/>
      </c>
      <c r="S1056" s="3">
        <f>IF(tblOrdenes[[#This Row],[fecha_inicio]]="","",INDEX(lista_dias,WEEKDAY(tblOrdenes[[#This Row],[fecha_inicio]],2)))</f>
        <v/>
      </c>
      <c r="T1056" s="3">
        <f>IF(tblOrdenes[[#This Row],[tipo_ot]]="","",_xlfn.XLOOKUP(tblOrdenes[[#This Row],[tipo_ot]],tblTiposOT[codigo],tblTiposOT[clasificacion],"sin_clasificar"))</f>
        <v/>
      </c>
      <c r="U1056" s="3">
        <f>IF(tblOrdenes[[#This Row],[centro_costo]]="","",_xlfn.XLOOKUP(tblOrdenes[[#This Row],[centro_costo]],tblCECO[codigo],tblCECO[linea],"(sin catálogo)"))</f>
        <v/>
      </c>
      <c r="V1056" s="3">
        <f>IF(tblOrdenes[[#This Row],[centro_costo]]="","",_xlfn.XLOOKUP(tblOrdenes[[#This Row],[centro_costo]],tblCECO[codigo],tblCECO[area],"(sin catálogo)"))</f>
        <v/>
      </c>
      <c r="W1056" s="3">
        <f>IF(tblOrdenes[[#This Row],[centro_costo]]="","",_xlfn.XLOOKUP(tblOrdenes[[#This Row],[centro_costo]],tblCECO[codigo],tblCECO[coordinador],"(sin catálogo)"))</f>
        <v/>
      </c>
      <c r="X1056" s="3">
        <f>IF(tblOrdenes[[#This Row],[puesto_trabajo]]="","",_xlfn.XLOOKUP(tblOrdenes[[#This Row],[puesto_trabajo]],tblPuestos[codigo],tblPuestos[especialidad],"(sin catálogo)"))</f>
        <v/>
      </c>
      <c r="Y1056" s="3">
        <f>IF(tblOrdenes[[#This Row],[cod_actividad]]="","",_xlfn.XLOOKUP(tblOrdenes[[#This Row],[cod_actividad]],tblActividades[codigo],tblActividades[descripcion],"(sin catálogo)"))</f>
        <v/>
      </c>
      <c r="Z1056" s="12">
        <f>IF(tblOrdenes[[#This Row],[fecha_inicio]]="","",TODAY()-tblOrdenes[[#This Row],[fecha_inicio]])</f>
        <v/>
      </c>
      <c r="AA1056" s="3">
        <f>IF(tblOrdenes[[#This Row],[backlog_dias]]="","",IF(tblOrdenes[[#This Row],[backlog_dias]]&lt;0,"FUTURO",IF(tblOrdenes[[#This Row],[backlog_dias]]&gt;p_dias_backlog_max,"BACKLOG","MES CORRIENTE")))</f>
        <v/>
      </c>
      <c r="AB1056" s="3">
        <f>IF(tblOrdenes[[#This Row],[backlog_dias]]="",FALSE,AND(tblOrdenes[[#This Row],[backlog_dias]]&gt;p_dias_backlog_min,tblOrdenes[[#This Row],[backlog_dias]]&lt;=p_dias_backlog_max))</f>
        <v/>
      </c>
      <c r="AC1056" s="6" t="n"/>
      <c r="AD10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56" s="10">
        <f>IF(tblOrdenes[[#This Row],[orden]]="","",_xlfn.XLOOKUP(tblOrdenes[[#This Row],[id_operacion]],tblEjecucion[id_operacion],tblEjecucion[precio],0))</f>
        <v/>
      </c>
      <c r="AH1056" s="10">
        <f>IF(tblOrdenes[[#This Row],[orden]]="","",MAX(0,_xlfn.XLOOKUP(tblOrdenes[[#This Row],[id_operacion]],tblEjecucion[id_operacion],tblEjecucion[costo_plan_total],0)-tblOrdenes[[#This Row],[costo_servicio]]))</f>
        <v/>
      </c>
      <c r="AI1056" s="10">
        <f>IF(tblOrdenes[[#This Row],[orden]]="","",tblOrdenes[[#This Row],[costo_servicio]]+tblOrdenes[[#This Row],[costo_materiales]])</f>
        <v/>
      </c>
      <c r="AJ1056" s="6" t="n"/>
      <c r="AK1056" s="6" t="n"/>
      <c r="AL1056" s="6" t="n"/>
      <c r="AM1056" s="3">
        <f>IF(tblOrdenes[[#This Row],[link_checklist]]="","",HYPERLINK(p_ruta_base_checklists&amp;tblOrdenes[[#This Row],[link_checklist]],"abrir"))</f>
        <v/>
      </c>
      <c r="AN1056" s="6" t="n"/>
      <c r="AO1056" s="3">
        <f>IF(tblOrdenes[[#This Row],[orden]]="","",tblOrdenes[[#This Row],[orden]]&amp;IF(tblOrdenes[[#This Row],[operacion]]="","0010",tblOrdenes[[#This Row],[operacion]]))</f>
        <v/>
      </c>
    </row>
    <row r="1057">
      <c r="A1057" s="3" t="n"/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11" t="n"/>
      <c r="K1057" s="3" t="n"/>
      <c r="L1057" s="10" t="n"/>
      <c r="M1057" s="6" t="n"/>
      <c r="N10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57" s="3">
        <f>IF(tblOrdenes[[#This Row],[fecha_inicio]]="","",YEAR(tblOrdenes[[#This Row],[fecha_inicio]]))</f>
        <v/>
      </c>
      <c r="R1057" s="3">
        <f>IF(tblOrdenes[[#This Row],[fecha_inicio]]="","",MONTH(tblOrdenes[[#This Row],[fecha_inicio]]))</f>
        <v/>
      </c>
      <c r="S1057" s="3">
        <f>IF(tblOrdenes[[#This Row],[fecha_inicio]]="","",INDEX(lista_dias,WEEKDAY(tblOrdenes[[#This Row],[fecha_inicio]],2)))</f>
        <v/>
      </c>
      <c r="T1057" s="3">
        <f>IF(tblOrdenes[[#This Row],[tipo_ot]]="","",_xlfn.XLOOKUP(tblOrdenes[[#This Row],[tipo_ot]],tblTiposOT[codigo],tblTiposOT[clasificacion],"sin_clasificar"))</f>
        <v/>
      </c>
      <c r="U1057" s="3">
        <f>IF(tblOrdenes[[#This Row],[centro_costo]]="","",_xlfn.XLOOKUP(tblOrdenes[[#This Row],[centro_costo]],tblCECO[codigo],tblCECO[linea],"(sin catálogo)"))</f>
        <v/>
      </c>
      <c r="V1057" s="3">
        <f>IF(tblOrdenes[[#This Row],[centro_costo]]="","",_xlfn.XLOOKUP(tblOrdenes[[#This Row],[centro_costo]],tblCECO[codigo],tblCECO[area],"(sin catálogo)"))</f>
        <v/>
      </c>
      <c r="W1057" s="3">
        <f>IF(tblOrdenes[[#This Row],[centro_costo]]="","",_xlfn.XLOOKUP(tblOrdenes[[#This Row],[centro_costo]],tblCECO[codigo],tblCECO[coordinador],"(sin catálogo)"))</f>
        <v/>
      </c>
      <c r="X1057" s="3">
        <f>IF(tblOrdenes[[#This Row],[puesto_trabajo]]="","",_xlfn.XLOOKUP(tblOrdenes[[#This Row],[puesto_trabajo]],tblPuestos[codigo],tblPuestos[especialidad],"(sin catálogo)"))</f>
        <v/>
      </c>
      <c r="Y1057" s="3">
        <f>IF(tblOrdenes[[#This Row],[cod_actividad]]="","",_xlfn.XLOOKUP(tblOrdenes[[#This Row],[cod_actividad]],tblActividades[codigo],tblActividades[descripcion],"(sin catálogo)"))</f>
        <v/>
      </c>
      <c r="Z1057" s="12">
        <f>IF(tblOrdenes[[#This Row],[fecha_inicio]]="","",TODAY()-tblOrdenes[[#This Row],[fecha_inicio]])</f>
        <v/>
      </c>
      <c r="AA1057" s="3">
        <f>IF(tblOrdenes[[#This Row],[backlog_dias]]="","",IF(tblOrdenes[[#This Row],[backlog_dias]]&lt;0,"FUTURO",IF(tblOrdenes[[#This Row],[backlog_dias]]&gt;p_dias_backlog_max,"BACKLOG","MES CORRIENTE")))</f>
        <v/>
      </c>
      <c r="AB1057" s="3">
        <f>IF(tblOrdenes[[#This Row],[backlog_dias]]="",FALSE,AND(tblOrdenes[[#This Row],[backlog_dias]]&gt;p_dias_backlog_min,tblOrdenes[[#This Row],[backlog_dias]]&lt;=p_dias_backlog_max))</f>
        <v/>
      </c>
      <c r="AC1057" s="6" t="n"/>
      <c r="AD10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57" s="10">
        <f>IF(tblOrdenes[[#This Row],[orden]]="","",_xlfn.XLOOKUP(tblOrdenes[[#This Row],[id_operacion]],tblEjecucion[id_operacion],tblEjecucion[precio],0))</f>
        <v/>
      </c>
      <c r="AH1057" s="10">
        <f>IF(tblOrdenes[[#This Row],[orden]]="","",MAX(0,_xlfn.XLOOKUP(tblOrdenes[[#This Row],[id_operacion]],tblEjecucion[id_operacion],tblEjecucion[costo_plan_total],0)-tblOrdenes[[#This Row],[costo_servicio]]))</f>
        <v/>
      </c>
      <c r="AI1057" s="10">
        <f>IF(tblOrdenes[[#This Row],[orden]]="","",tblOrdenes[[#This Row],[costo_servicio]]+tblOrdenes[[#This Row],[costo_materiales]])</f>
        <v/>
      </c>
      <c r="AJ1057" s="6" t="n"/>
      <c r="AK1057" s="6" t="n"/>
      <c r="AL1057" s="6" t="n"/>
      <c r="AM1057" s="3">
        <f>IF(tblOrdenes[[#This Row],[link_checklist]]="","",HYPERLINK(p_ruta_base_checklists&amp;tblOrdenes[[#This Row],[link_checklist]],"abrir"))</f>
        <v/>
      </c>
      <c r="AN1057" s="6" t="n"/>
      <c r="AO1057" s="3">
        <f>IF(tblOrdenes[[#This Row],[orden]]="","",tblOrdenes[[#This Row],[orden]]&amp;IF(tblOrdenes[[#This Row],[operacion]]="","0010",tblOrdenes[[#This Row],[operacion]]))</f>
        <v/>
      </c>
    </row>
    <row r="1058">
      <c r="A1058" s="3" t="n"/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11" t="n"/>
      <c r="K1058" s="3" t="n"/>
      <c r="L1058" s="10" t="n"/>
      <c r="M1058" s="6" t="n"/>
      <c r="N10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58" s="3">
        <f>IF(tblOrdenes[[#This Row],[fecha_inicio]]="","",YEAR(tblOrdenes[[#This Row],[fecha_inicio]]))</f>
        <v/>
      </c>
      <c r="R1058" s="3">
        <f>IF(tblOrdenes[[#This Row],[fecha_inicio]]="","",MONTH(tblOrdenes[[#This Row],[fecha_inicio]]))</f>
        <v/>
      </c>
      <c r="S1058" s="3">
        <f>IF(tblOrdenes[[#This Row],[fecha_inicio]]="","",INDEX(lista_dias,WEEKDAY(tblOrdenes[[#This Row],[fecha_inicio]],2)))</f>
        <v/>
      </c>
      <c r="T1058" s="3">
        <f>IF(tblOrdenes[[#This Row],[tipo_ot]]="","",_xlfn.XLOOKUP(tblOrdenes[[#This Row],[tipo_ot]],tblTiposOT[codigo],tblTiposOT[clasificacion],"sin_clasificar"))</f>
        <v/>
      </c>
      <c r="U1058" s="3">
        <f>IF(tblOrdenes[[#This Row],[centro_costo]]="","",_xlfn.XLOOKUP(tblOrdenes[[#This Row],[centro_costo]],tblCECO[codigo],tblCECO[linea],"(sin catálogo)"))</f>
        <v/>
      </c>
      <c r="V1058" s="3">
        <f>IF(tblOrdenes[[#This Row],[centro_costo]]="","",_xlfn.XLOOKUP(tblOrdenes[[#This Row],[centro_costo]],tblCECO[codigo],tblCECO[area],"(sin catálogo)"))</f>
        <v/>
      </c>
      <c r="W1058" s="3">
        <f>IF(tblOrdenes[[#This Row],[centro_costo]]="","",_xlfn.XLOOKUP(tblOrdenes[[#This Row],[centro_costo]],tblCECO[codigo],tblCECO[coordinador],"(sin catálogo)"))</f>
        <v/>
      </c>
      <c r="X1058" s="3">
        <f>IF(tblOrdenes[[#This Row],[puesto_trabajo]]="","",_xlfn.XLOOKUP(tblOrdenes[[#This Row],[puesto_trabajo]],tblPuestos[codigo],tblPuestos[especialidad],"(sin catálogo)"))</f>
        <v/>
      </c>
      <c r="Y1058" s="3">
        <f>IF(tblOrdenes[[#This Row],[cod_actividad]]="","",_xlfn.XLOOKUP(tblOrdenes[[#This Row],[cod_actividad]],tblActividades[codigo],tblActividades[descripcion],"(sin catálogo)"))</f>
        <v/>
      </c>
      <c r="Z1058" s="12">
        <f>IF(tblOrdenes[[#This Row],[fecha_inicio]]="","",TODAY()-tblOrdenes[[#This Row],[fecha_inicio]])</f>
        <v/>
      </c>
      <c r="AA1058" s="3">
        <f>IF(tblOrdenes[[#This Row],[backlog_dias]]="","",IF(tblOrdenes[[#This Row],[backlog_dias]]&lt;0,"FUTURO",IF(tblOrdenes[[#This Row],[backlog_dias]]&gt;p_dias_backlog_max,"BACKLOG","MES CORRIENTE")))</f>
        <v/>
      </c>
      <c r="AB1058" s="3">
        <f>IF(tblOrdenes[[#This Row],[backlog_dias]]="",FALSE,AND(tblOrdenes[[#This Row],[backlog_dias]]&gt;p_dias_backlog_min,tblOrdenes[[#This Row],[backlog_dias]]&lt;=p_dias_backlog_max))</f>
        <v/>
      </c>
      <c r="AC1058" s="6" t="n"/>
      <c r="AD10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58" s="10">
        <f>IF(tblOrdenes[[#This Row],[orden]]="","",_xlfn.XLOOKUP(tblOrdenes[[#This Row],[id_operacion]],tblEjecucion[id_operacion],tblEjecucion[precio],0))</f>
        <v/>
      </c>
      <c r="AH1058" s="10">
        <f>IF(tblOrdenes[[#This Row],[orden]]="","",MAX(0,_xlfn.XLOOKUP(tblOrdenes[[#This Row],[id_operacion]],tblEjecucion[id_operacion],tblEjecucion[costo_plan_total],0)-tblOrdenes[[#This Row],[costo_servicio]]))</f>
        <v/>
      </c>
      <c r="AI1058" s="10">
        <f>IF(tblOrdenes[[#This Row],[orden]]="","",tblOrdenes[[#This Row],[costo_servicio]]+tblOrdenes[[#This Row],[costo_materiales]])</f>
        <v/>
      </c>
      <c r="AJ1058" s="6" t="n"/>
      <c r="AK1058" s="6" t="n"/>
      <c r="AL1058" s="6" t="n"/>
      <c r="AM1058" s="3">
        <f>IF(tblOrdenes[[#This Row],[link_checklist]]="","",HYPERLINK(p_ruta_base_checklists&amp;tblOrdenes[[#This Row],[link_checklist]],"abrir"))</f>
        <v/>
      </c>
      <c r="AN1058" s="6" t="n"/>
      <c r="AO1058" s="3">
        <f>IF(tblOrdenes[[#This Row],[orden]]="","",tblOrdenes[[#This Row],[orden]]&amp;IF(tblOrdenes[[#This Row],[operacion]]="","0010",tblOrdenes[[#This Row],[operacion]]))</f>
        <v/>
      </c>
    </row>
    <row r="1059">
      <c r="A1059" s="3" t="n"/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11" t="n"/>
      <c r="K1059" s="3" t="n"/>
      <c r="L1059" s="10" t="n"/>
      <c r="M1059" s="6" t="n"/>
      <c r="N10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59" s="3">
        <f>IF(tblOrdenes[[#This Row],[fecha_inicio]]="","",YEAR(tblOrdenes[[#This Row],[fecha_inicio]]))</f>
        <v/>
      </c>
      <c r="R1059" s="3">
        <f>IF(tblOrdenes[[#This Row],[fecha_inicio]]="","",MONTH(tblOrdenes[[#This Row],[fecha_inicio]]))</f>
        <v/>
      </c>
      <c r="S1059" s="3">
        <f>IF(tblOrdenes[[#This Row],[fecha_inicio]]="","",INDEX(lista_dias,WEEKDAY(tblOrdenes[[#This Row],[fecha_inicio]],2)))</f>
        <v/>
      </c>
      <c r="T1059" s="3">
        <f>IF(tblOrdenes[[#This Row],[tipo_ot]]="","",_xlfn.XLOOKUP(tblOrdenes[[#This Row],[tipo_ot]],tblTiposOT[codigo],tblTiposOT[clasificacion],"sin_clasificar"))</f>
        <v/>
      </c>
      <c r="U1059" s="3">
        <f>IF(tblOrdenes[[#This Row],[centro_costo]]="","",_xlfn.XLOOKUP(tblOrdenes[[#This Row],[centro_costo]],tblCECO[codigo],tblCECO[linea],"(sin catálogo)"))</f>
        <v/>
      </c>
      <c r="V1059" s="3">
        <f>IF(tblOrdenes[[#This Row],[centro_costo]]="","",_xlfn.XLOOKUP(tblOrdenes[[#This Row],[centro_costo]],tblCECO[codigo],tblCECO[area],"(sin catálogo)"))</f>
        <v/>
      </c>
      <c r="W1059" s="3">
        <f>IF(tblOrdenes[[#This Row],[centro_costo]]="","",_xlfn.XLOOKUP(tblOrdenes[[#This Row],[centro_costo]],tblCECO[codigo],tblCECO[coordinador],"(sin catálogo)"))</f>
        <v/>
      </c>
      <c r="X1059" s="3">
        <f>IF(tblOrdenes[[#This Row],[puesto_trabajo]]="","",_xlfn.XLOOKUP(tblOrdenes[[#This Row],[puesto_trabajo]],tblPuestos[codigo],tblPuestos[especialidad],"(sin catálogo)"))</f>
        <v/>
      </c>
      <c r="Y1059" s="3">
        <f>IF(tblOrdenes[[#This Row],[cod_actividad]]="","",_xlfn.XLOOKUP(tblOrdenes[[#This Row],[cod_actividad]],tblActividades[codigo],tblActividades[descripcion],"(sin catálogo)"))</f>
        <v/>
      </c>
      <c r="Z1059" s="12">
        <f>IF(tblOrdenes[[#This Row],[fecha_inicio]]="","",TODAY()-tblOrdenes[[#This Row],[fecha_inicio]])</f>
        <v/>
      </c>
      <c r="AA1059" s="3">
        <f>IF(tblOrdenes[[#This Row],[backlog_dias]]="","",IF(tblOrdenes[[#This Row],[backlog_dias]]&lt;0,"FUTURO",IF(tblOrdenes[[#This Row],[backlog_dias]]&gt;p_dias_backlog_max,"BACKLOG","MES CORRIENTE")))</f>
        <v/>
      </c>
      <c r="AB1059" s="3">
        <f>IF(tblOrdenes[[#This Row],[backlog_dias]]="",FALSE,AND(tblOrdenes[[#This Row],[backlog_dias]]&gt;p_dias_backlog_min,tblOrdenes[[#This Row],[backlog_dias]]&lt;=p_dias_backlog_max))</f>
        <v/>
      </c>
      <c r="AC1059" s="6" t="n"/>
      <c r="AD10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59" s="10">
        <f>IF(tblOrdenes[[#This Row],[orden]]="","",_xlfn.XLOOKUP(tblOrdenes[[#This Row],[id_operacion]],tblEjecucion[id_operacion],tblEjecucion[precio],0))</f>
        <v/>
      </c>
      <c r="AH1059" s="10">
        <f>IF(tblOrdenes[[#This Row],[orden]]="","",MAX(0,_xlfn.XLOOKUP(tblOrdenes[[#This Row],[id_operacion]],tblEjecucion[id_operacion],tblEjecucion[costo_plan_total],0)-tblOrdenes[[#This Row],[costo_servicio]]))</f>
        <v/>
      </c>
      <c r="AI1059" s="10">
        <f>IF(tblOrdenes[[#This Row],[orden]]="","",tblOrdenes[[#This Row],[costo_servicio]]+tblOrdenes[[#This Row],[costo_materiales]])</f>
        <v/>
      </c>
      <c r="AJ1059" s="6" t="n"/>
      <c r="AK1059" s="6" t="n"/>
      <c r="AL1059" s="6" t="n"/>
      <c r="AM1059" s="3">
        <f>IF(tblOrdenes[[#This Row],[link_checklist]]="","",HYPERLINK(p_ruta_base_checklists&amp;tblOrdenes[[#This Row],[link_checklist]],"abrir"))</f>
        <v/>
      </c>
      <c r="AN1059" s="6" t="n"/>
      <c r="AO1059" s="3">
        <f>IF(tblOrdenes[[#This Row],[orden]]="","",tblOrdenes[[#This Row],[orden]]&amp;IF(tblOrdenes[[#This Row],[operacion]]="","0010",tblOrdenes[[#This Row],[operacion]]))</f>
        <v/>
      </c>
    </row>
    <row r="1060">
      <c r="A1060" s="3" t="n"/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11" t="n"/>
      <c r="K1060" s="3" t="n"/>
      <c r="L1060" s="10" t="n"/>
      <c r="M1060" s="6" t="n"/>
      <c r="N10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60" s="3">
        <f>IF(tblOrdenes[[#This Row],[fecha_inicio]]="","",YEAR(tblOrdenes[[#This Row],[fecha_inicio]]))</f>
        <v/>
      </c>
      <c r="R1060" s="3">
        <f>IF(tblOrdenes[[#This Row],[fecha_inicio]]="","",MONTH(tblOrdenes[[#This Row],[fecha_inicio]]))</f>
        <v/>
      </c>
      <c r="S1060" s="3">
        <f>IF(tblOrdenes[[#This Row],[fecha_inicio]]="","",INDEX(lista_dias,WEEKDAY(tblOrdenes[[#This Row],[fecha_inicio]],2)))</f>
        <v/>
      </c>
      <c r="T1060" s="3">
        <f>IF(tblOrdenes[[#This Row],[tipo_ot]]="","",_xlfn.XLOOKUP(tblOrdenes[[#This Row],[tipo_ot]],tblTiposOT[codigo],tblTiposOT[clasificacion],"sin_clasificar"))</f>
        <v/>
      </c>
      <c r="U1060" s="3">
        <f>IF(tblOrdenes[[#This Row],[centro_costo]]="","",_xlfn.XLOOKUP(tblOrdenes[[#This Row],[centro_costo]],tblCECO[codigo],tblCECO[linea],"(sin catálogo)"))</f>
        <v/>
      </c>
      <c r="V1060" s="3">
        <f>IF(tblOrdenes[[#This Row],[centro_costo]]="","",_xlfn.XLOOKUP(tblOrdenes[[#This Row],[centro_costo]],tblCECO[codigo],tblCECO[area],"(sin catálogo)"))</f>
        <v/>
      </c>
      <c r="W1060" s="3">
        <f>IF(tblOrdenes[[#This Row],[centro_costo]]="","",_xlfn.XLOOKUP(tblOrdenes[[#This Row],[centro_costo]],tblCECO[codigo],tblCECO[coordinador],"(sin catálogo)"))</f>
        <v/>
      </c>
      <c r="X1060" s="3">
        <f>IF(tblOrdenes[[#This Row],[puesto_trabajo]]="","",_xlfn.XLOOKUP(tblOrdenes[[#This Row],[puesto_trabajo]],tblPuestos[codigo],tblPuestos[especialidad],"(sin catálogo)"))</f>
        <v/>
      </c>
      <c r="Y1060" s="3">
        <f>IF(tblOrdenes[[#This Row],[cod_actividad]]="","",_xlfn.XLOOKUP(tblOrdenes[[#This Row],[cod_actividad]],tblActividades[codigo],tblActividades[descripcion],"(sin catálogo)"))</f>
        <v/>
      </c>
      <c r="Z1060" s="12">
        <f>IF(tblOrdenes[[#This Row],[fecha_inicio]]="","",TODAY()-tblOrdenes[[#This Row],[fecha_inicio]])</f>
        <v/>
      </c>
      <c r="AA1060" s="3">
        <f>IF(tblOrdenes[[#This Row],[backlog_dias]]="","",IF(tblOrdenes[[#This Row],[backlog_dias]]&lt;0,"FUTURO",IF(tblOrdenes[[#This Row],[backlog_dias]]&gt;p_dias_backlog_max,"BACKLOG","MES CORRIENTE")))</f>
        <v/>
      </c>
      <c r="AB1060" s="3">
        <f>IF(tblOrdenes[[#This Row],[backlog_dias]]="",FALSE,AND(tblOrdenes[[#This Row],[backlog_dias]]&gt;p_dias_backlog_min,tblOrdenes[[#This Row],[backlog_dias]]&lt;=p_dias_backlog_max))</f>
        <v/>
      </c>
      <c r="AC1060" s="6" t="n"/>
      <c r="AD10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60" s="10">
        <f>IF(tblOrdenes[[#This Row],[orden]]="","",_xlfn.XLOOKUP(tblOrdenes[[#This Row],[id_operacion]],tblEjecucion[id_operacion],tblEjecucion[precio],0))</f>
        <v/>
      </c>
      <c r="AH1060" s="10">
        <f>IF(tblOrdenes[[#This Row],[orden]]="","",MAX(0,_xlfn.XLOOKUP(tblOrdenes[[#This Row],[id_operacion]],tblEjecucion[id_operacion],tblEjecucion[costo_plan_total],0)-tblOrdenes[[#This Row],[costo_servicio]]))</f>
        <v/>
      </c>
      <c r="AI1060" s="10">
        <f>IF(tblOrdenes[[#This Row],[orden]]="","",tblOrdenes[[#This Row],[costo_servicio]]+tblOrdenes[[#This Row],[costo_materiales]])</f>
        <v/>
      </c>
      <c r="AJ1060" s="6" t="n"/>
      <c r="AK1060" s="6" t="n"/>
      <c r="AL1060" s="6" t="n"/>
      <c r="AM1060" s="3">
        <f>IF(tblOrdenes[[#This Row],[link_checklist]]="","",HYPERLINK(p_ruta_base_checklists&amp;tblOrdenes[[#This Row],[link_checklist]],"abrir"))</f>
        <v/>
      </c>
      <c r="AN1060" s="6" t="n"/>
      <c r="AO1060" s="3">
        <f>IF(tblOrdenes[[#This Row],[orden]]="","",tblOrdenes[[#This Row],[orden]]&amp;IF(tblOrdenes[[#This Row],[operacion]]="","0010",tblOrdenes[[#This Row],[operacion]]))</f>
        <v/>
      </c>
    </row>
    <row r="1061">
      <c r="A1061" s="3" t="n"/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11" t="n"/>
      <c r="K1061" s="3" t="n"/>
      <c r="L1061" s="10" t="n"/>
      <c r="M1061" s="6" t="n"/>
      <c r="N10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61" s="3">
        <f>IF(tblOrdenes[[#This Row],[fecha_inicio]]="","",YEAR(tblOrdenes[[#This Row],[fecha_inicio]]))</f>
        <v/>
      </c>
      <c r="R1061" s="3">
        <f>IF(tblOrdenes[[#This Row],[fecha_inicio]]="","",MONTH(tblOrdenes[[#This Row],[fecha_inicio]]))</f>
        <v/>
      </c>
      <c r="S1061" s="3">
        <f>IF(tblOrdenes[[#This Row],[fecha_inicio]]="","",INDEX(lista_dias,WEEKDAY(tblOrdenes[[#This Row],[fecha_inicio]],2)))</f>
        <v/>
      </c>
      <c r="T1061" s="3">
        <f>IF(tblOrdenes[[#This Row],[tipo_ot]]="","",_xlfn.XLOOKUP(tblOrdenes[[#This Row],[tipo_ot]],tblTiposOT[codigo],tblTiposOT[clasificacion],"sin_clasificar"))</f>
        <v/>
      </c>
      <c r="U1061" s="3">
        <f>IF(tblOrdenes[[#This Row],[centro_costo]]="","",_xlfn.XLOOKUP(tblOrdenes[[#This Row],[centro_costo]],tblCECO[codigo],tblCECO[linea],"(sin catálogo)"))</f>
        <v/>
      </c>
      <c r="V1061" s="3">
        <f>IF(tblOrdenes[[#This Row],[centro_costo]]="","",_xlfn.XLOOKUP(tblOrdenes[[#This Row],[centro_costo]],tblCECO[codigo],tblCECO[area],"(sin catálogo)"))</f>
        <v/>
      </c>
      <c r="W1061" s="3">
        <f>IF(tblOrdenes[[#This Row],[centro_costo]]="","",_xlfn.XLOOKUP(tblOrdenes[[#This Row],[centro_costo]],tblCECO[codigo],tblCECO[coordinador],"(sin catálogo)"))</f>
        <v/>
      </c>
      <c r="X1061" s="3">
        <f>IF(tblOrdenes[[#This Row],[puesto_trabajo]]="","",_xlfn.XLOOKUP(tblOrdenes[[#This Row],[puesto_trabajo]],tblPuestos[codigo],tblPuestos[especialidad],"(sin catálogo)"))</f>
        <v/>
      </c>
      <c r="Y1061" s="3">
        <f>IF(tblOrdenes[[#This Row],[cod_actividad]]="","",_xlfn.XLOOKUP(tblOrdenes[[#This Row],[cod_actividad]],tblActividades[codigo],tblActividades[descripcion],"(sin catálogo)"))</f>
        <v/>
      </c>
      <c r="Z1061" s="12">
        <f>IF(tblOrdenes[[#This Row],[fecha_inicio]]="","",TODAY()-tblOrdenes[[#This Row],[fecha_inicio]])</f>
        <v/>
      </c>
      <c r="AA1061" s="3">
        <f>IF(tblOrdenes[[#This Row],[backlog_dias]]="","",IF(tblOrdenes[[#This Row],[backlog_dias]]&lt;0,"FUTURO",IF(tblOrdenes[[#This Row],[backlog_dias]]&gt;p_dias_backlog_max,"BACKLOG","MES CORRIENTE")))</f>
        <v/>
      </c>
      <c r="AB1061" s="3">
        <f>IF(tblOrdenes[[#This Row],[backlog_dias]]="",FALSE,AND(tblOrdenes[[#This Row],[backlog_dias]]&gt;p_dias_backlog_min,tblOrdenes[[#This Row],[backlog_dias]]&lt;=p_dias_backlog_max))</f>
        <v/>
      </c>
      <c r="AC1061" s="6" t="n"/>
      <c r="AD10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61" s="10">
        <f>IF(tblOrdenes[[#This Row],[orden]]="","",_xlfn.XLOOKUP(tblOrdenes[[#This Row],[id_operacion]],tblEjecucion[id_operacion],tblEjecucion[precio],0))</f>
        <v/>
      </c>
      <c r="AH1061" s="10">
        <f>IF(tblOrdenes[[#This Row],[orden]]="","",MAX(0,_xlfn.XLOOKUP(tblOrdenes[[#This Row],[id_operacion]],tblEjecucion[id_operacion],tblEjecucion[costo_plan_total],0)-tblOrdenes[[#This Row],[costo_servicio]]))</f>
        <v/>
      </c>
      <c r="AI1061" s="10">
        <f>IF(tblOrdenes[[#This Row],[orden]]="","",tblOrdenes[[#This Row],[costo_servicio]]+tblOrdenes[[#This Row],[costo_materiales]])</f>
        <v/>
      </c>
      <c r="AJ1061" s="6" t="n"/>
      <c r="AK1061" s="6" t="n"/>
      <c r="AL1061" s="6" t="n"/>
      <c r="AM1061" s="3">
        <f>IF(tblOrdenes[[#This Row],[link_checklist]]="","",HYPERLINK(p_ruta_base_checklists&amp;tblOrdenes[[#This Row],[link_checklist]],"abrir"))</f>
        <v/>
      </c>
      <c r="AN1061" s="6" t="n"/>
      <c r="AO1061" s="3">
        <f>IF(tblOrdenes[[#This Row],[orden]]="","",tblOrdenes[[#This Row],[orden]]&amp;IF(tblOrdenes[[#This Row],[operacion]]="","0010",tblOrdenes[[#This Row],[operacion]]))</f>
        <v/>
      </c>
    </row>
    <row r="1062">
      <c r="A1062" s="3" t="n"/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11" t="n"/>
      <c r="K1062" s="3" t="n"/>
      <c r="L1062" s="10" t="n"/>
      <c r="M1062" s="6" t="n"/>
      <c r="N10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62" s="3">
        <f>IF(tblOrdenes[[#This Row],[fecha_inicio]]="","",YEAR(tblOrdenes[[#This Row],[fecha_inicio]]))</f>
        <v/>
      </c>
      <c r="R1062" s="3">
        <f>IF(tblOrdenes[[#This Row],[fecha_inicio]]="","",MONTH(tblOrdenes[[#This Row],[fecha_inicio]]))</f>
        <v/>
      </c>
      <c r="S1062" s="3">
        <f>IF(tblOrdenes[[#This Row],[fecha_inicio]]="","",INDEX(lista_dias,WEEKDAY(tblOrdenes[[#This Row],[fecha_inicio]],2)))</f>
        <v/>
      </c>
      <c r="T1062" s="3">
        <f>IF(tblOrdenes[[#This Row],[tipo_ot]]="","",_xlfn.XLOOKUP(tblOrdenes[[#This Row],[tipo_ot]],tblTiposOT[codigo],tblTiposOT[clasificacion],"sin_clasificar"))</f>
        <v/>
      </c>
      <c r="U1062" s="3">
        <f>IF(tblOrdenes[[#This Row],[centro_costo]]="","",_xlfn.XLOOKUP(tblOrdenes[[#This Row],[centro_costo]],tblCECO[codigo],tblCECO[linea],"(sin catálogo)"))</f>
        <v/>
      </c>
      <c r="V1062" s="3">
        <f>IF(tblOrdenes[[#This Row],[centro_costo]]="","",_xlfn.XLOOKUP(tblOrdenes[[#This Row],[centro_costo]],tblCECO[codigo],tblCECO[area],"(sin catálogo)"))</f>
        <v/>
      </c>
      <c r="W1062" s="3">
        <f>IF(tblOrdenes[[#This Row],[centro_costo]]="","",_xlfn.XLOOKUP(tblOrdenes[[#This Row],[centro_costo]],tblCECO[codigo],tblCECO[coordinador],"(sin catálogo)"))</f>
        <v/>
      </c>
      <c r="X1062" s="3">
        <f>IF(tblOrdenes[[#This Row],[puesto_trabajo]]="","",_xlfn.XLOOKUP(tblOrdenes[[#This Row],[puesto_trabajo]],tblPuestos[codigo],tblPuestos[especialidad],"(sin catálogo)"))</f>
        <v/>
      </c>
      <c r="Y1062" s="3">
        <f>IF(tblOrdenes[[#This Row],[cod_actividad]]="","",_xlfn.XLOOKUP(tblOrdenes[[#This Row],[cod_actividad]],tblActividades[codigo],tblActividades[descripcion],"(sin catálogo)"))</f>
        <v/>
      </c>
      <c r="Z1062" s="12">
        <f>IF(tblOrdenes[[#This Row],[fecha_inicio]]="","",TODAY()-tblOrdenes[[#This Row],[fecha_inicio]])</f>
        <v/>
      </c>
      <c r="AA1062" s="3">
        <f>IF(tblOrdenes[[#This Row],[backlog_dias]]="","",IF(tblOrdenes[[#This Row],[backlog_dias]]&lt;0,"FUTURO",IF(tblOrdenes[[#This Row],[backlog_dias]]&gt;p_dias_backlog_max,"BACKLOG","MES CORRIENTE")))</f>
        <v/>
      </c>
      <c r="AB1062" s="3">
        <f>IF(tblOrdenes[[#This Row],[backlog_dias]]="",FALSE,AND(tblOrdenes[[#This Row],[backlog_dias]]&gt;p_dias_backlog_min,tblOrdenes[[#This Row],[backlog_dias]]&lt;=p_dias_backlog_max))</f>
        <v/>
      </c>
      <c r="AC1062" s="6" t="n"/>
      <c r="AD10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62" s="10">
        <f>IF(tblOrdenes[[#This Row],[orden]]="","",_xlfn.XLOOKUP(tblOrdenes[[#This Row],[id_operacion]],tblEjecucion[id_operacion],tblEjecucion[precio],0))</f>
        <v/>
      </c>
      <c r="AH1062" s="10">
        <f>IF(tblOrdenes[[#This Row],[orden]]="","",MAX(0,_xlfn.XLOOKUP(tblOrdenes[[#This Row],[id_operacion]],tblEjecucion[id_operacion],tblEjecucion[costo_plan_total],0)-tblOrdenes[[#This Row],[costo_servicio]]))</f>
        <v/>
      </c>
      <c r="AI1062" s="10">
        <f>IF(tblOrdenes[[#This Row],[orden]]="","",tblOrdenes[[#This Row],[costo_servicio]]+tblOrdenes[[#This Row],[costo_materiales]])</f>
        <v/>
      </c>
      <c r="AJ1062" s="6" t="n"/>
      <c r="AK1062" s="6" t="n"/>
      <c r="AL1062" s="6" t="n"/>
      <c r="AM1062" s="3">
        <f>IF(tblOrdenes[[#This Row],[link_checklist]]="","",HYPERLINK(p_ruta_base_checklists&amp;tblOrdenes[[#This Row],[link_checklist]],"abrir"))</f>
        <v/>
      </c>
      <c r="AN1062" s="6" t="n"/>
      <c r="AO1062" s="3">
        <f>IF(tblOrdenes[[#This Row],[orden]]="","",tblOrdenes[[#This Row],[orden]]&amp;IF(tblOrdenes[[#This Row],[operacion]]="","0010",tblOrdenes[[#This Row],[operacion]]))</f>
        <v/>
      </c>
    </row>
    <row r="1063">
      <c r="A1063" s="3" t="n"/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11" t="n"/>
      <c r="K1063" s="3" t="n"/>
      <c r="L1063" s="10" t="n"/>
      <c r="M1063" s="6" t="n"/>
      <c r="N10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63" s="3">
        <f>IF(tblOrdenes[[#This Row],[fecha_inicio]]="","",YEAR(tblOrdenes[[#This Row],[fecha_inicio]]))</f>
        <v/>
      </c>
      <c r="R1063" s="3">
        <f>IF(tblOrdenes[[#This Row],[fecha_inicio]]="","",MONTH(tblOrdenes[[#This Row],[fecha_inicio]]))</f>
        <v/>
      </c>
      <c r="S1063" s="3">
        <f>IF(tblOrdenes[[#This Row],[fecha_inicio]]="","",INDEX(lista_dias,WEEKDAY(tblOrdenes[[#This Row],[fecha_inicio]],2)))</f>
        <v/>
      </c>
      <c r="T1063" s="3">
        <f>IF(tblOrdenes[[#This Row],[tipo_ot]]="","",_xlfn.XLOOKUP(tblOrdenes[[#This Row],[tipo_ot]],tblTiposOT[codigo],tblTiposOT[clasificacion],"sin_clasificar"))</f>
        <v/>
      </c>
      <c r="U1063" s="3">
        <f>IF(tblOrdenes[[#This Row],[centro_costo]]="","",_xlfn.XLOOKUP(tblOrdenes[[#This Row],[centro_costo]],tblCECO[codigo],tblCECO[linea],"(sin catálogo)"))</f>
        <v/>
      </c>
      <c r="V1063" s="3">
        <f>IF(tblOrdenes[[#This Row],[centro_costo]]="","",_xlfn.XLOOKUP(tblOrdenes[[#This Row],[centro_costo]],tblCECO[codigo],tblCECO[area],"(sin catálogo)"))</f>
        <v/>
      </c>
      <c r="W1063" s="3">
        <f>IF(tblOrdenes[[#This Row],[centro_costo]]="","",_xlfn.XLOOKUP(tblOrdenes[[#This Row],[centro_costo]],tblCECO[codigo],tblCECO[coordinador],"(sin catálogo)"))</f>
        <v/>
      </c>
      <c r="X1063" s="3">
        <f>IF(tblOrdenes[[#This Row],[puesto_trabajo]]="","",_xlfn.XLOOKUP(tblOrdenes[[#This Row],[puesto_trabajo]],tblPuestos[codigo],tblPuestos[especialidad],"(sin catálogo)"))</f>
        <v/>
      </c>
      <c r="Y1063" s="3">
        <f>IF(tblOrdenes[[#This Row],[cod_actividad]]="","",_xlfn.XLOOKUP(tblOrdenes[[#This Row],[cod_actividad]],tblActividades[codigo],tblActividades[descripcion],"(sin catálogo)"))</f>
        <v/>
      </c>
      <c r="Z1063" s="12">
        <f>IF(tblOrdenes[[#This Row],[fecha_inicio]]="","",TODAY()-tblOrdenes[[#This Row],[fecha_inicio]])</f>
        <v/>
      </c>
      <c r="AA1063" s="3">
        <f>IF(tblOrdenes[[#This Row],[backlog_dias]]="","",IF(tblOrdenes[[#This Row],[backlog_dias]]&lt;0,"FUTURO",IF(tblOrdenes[[#This Row],[backlog_dias]]&gt;p_dias_backlog_max,"BACKLOG","MES CORRIENTE")))</f>
        <v/>
      </c>
      <c r="AB1063" s="3">
        <f>IF(tblOrdenes[[#This Row],[backlog_dias]]="",FALSE,AND(tblOrdenes[[#This Row],[backlog_dias]]&gt;p_dias_backlog_min,tblOrdenes[[#This Row],[backlog_dias]]&lt;=p_dias_backlog_max))</f>
        <v/>
      </c>
      <c r="AC1063" s="6" t="n"/>
      <c r="AD10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63" s="10">
        <f>IF(tblOrdenes[[#This Row],[orden]]="","",_xlfn.XLOOKUP(tblOrdenes[[#This Row],[id_operacion]],tblEjecucion[id_operacion],tblEjecucion[precio],0))</f>
        <v/>
      </c>
      <c r="AH1063" s="10">
        <f>IF(tblOrdenes[[#This Row],[orden]]="","",MAX(0,_xlfn.XLOOKUP(tblOrdenes[[#This Row],[id_operacion]],tblEjecucion[id_operacion],tblEjecucion[costo_plan_total],0)-tblOrdenes[[#This Row],[costo_servicio]]))</f>
        <v/>
      </c>
      <c r="AI1063" s="10">
        <f>IF(tblOrdenes[[#This Row],[orden]]="","",tblOrdenes[[#This Row],[costo_servicio]]+tblOrdenes[[#This Row],[costo_materiales]])</f>
        <v/>
      </c>
      <c r="AJ1063" s="6" t="n"/>
      <c r="AK1063" s="6" t="n"/>
      <c r="AL1063" s="6" t="n"/>
      <c r="AM1063" s="3">
        <f>IF(tblOrdenes[[#This Row],[link_checklist]]="","",HYPERLINK(p_ruta_base_checklists&amp;tblOrdenes[[#This Row],[link_checklist]],"abrir"))</f>
        <v/>
      </c>
      <c r="AN1063" s="6" t="n"/>
      <c r="AO1063" s="3">
        <f>IF(tblOrdenes[[#This Row],[orden]]="","",tblOrdenes[[#This Row],[orden]]&amp;IF(tblOrdenes[[#This Row],[operacion]]="","0010",tblOrdenes[[#This Row],[operacion]]))</f>
        <v/>
      </c>
    </row>
    <row r="1064">
      <c r="A1064" s="3" t="n"/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11" t="n"/>
      <c r="K1064" s="3" t="n"/>
      <c r="L1064" s="10" t="n"/>
      <c r="M1064" s="6" t="n"/>
      <c r="N10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64" s="3">
        <f>IF(tblOrdenes[[#This Row],[fecha_inicio]]="","",YEAR(tblOrdenes[[#This Row],[fecha_inicio]]))</f>
        <v/>
      </c>
      <c r="R1064" s="3">
        <f>IF(tblOrdenes[[#This Row],[fecha_inicio]]="","",MONTH(tblOrdenes[[#This Row],[fecha_inicio]]))</f>
        <v/>
      </c>
      <c r="S1064" s="3">
        <f>IF(tblOrdenes[[#This Row],[fecha_inicio]]="","",INDEX(lista_dias,WEEKDAY(tblOrdenes[[#This Row],[fecha_inicio]],2)))</f>
        <v/>
      </c>
      <c r="T1064" s="3">
        <f>IF(tblOrdenes[[#This Row],[tipo_ot]]="","",_xlfn.XLOOKUP(tblOrdenes[[#This Row],[tipo_ot]],tblTiposOT[codigo],tblTiposOT[clasificacion],"sin_clasificar"))</f>
        <v/>
      </c>
      <c r="U1064" s="3">
        <f>IF(tblOrdenes[[#This Row],[centro_costo]]="","",_xlfn.XLOOKUP(tblOrdenes[[#This Row],[centro_costo]],tblCECO[codigo],tblCECO[linea],"(sin catálogo)"))</f>
        <v/>
      </c>
      <c r="V1064" s="3">
        <f>IF(tblOrdenes[[#This Row],[centro_costo]]="","",_xlfn.XLOOKUP(tblOrdenes[[#This Row],[centro_costo]],tblCECO[codigo],tblCECO[area],"(sin catálogo)"))</f>
        <v/>
      </c>
      <c r="W1064" s="3">
        <f>IF(tblOrdenes[[#This Row],[centro_costo]]="","",_xlfn.XLOOKUP(tblOrdenes[[#This Row],[centro_costo]],tblCECO[codigo],tblCECO[coordinador],"(sin catálogo)"))</f>
        <v/>
      </c>
      <c r="X1064" s="3">
        <f>IF(tblOrdenes[[#This Row],[puesto_trabajo]]="","",_xlfn.XLOOKUP(tblOrdenes[[#This Row],[puesto_trabajo]],tblPuestos[codigo],tblPuestos[especialidad],"(sin catálogo)"))</f>
        <v/>
      </c>
      <c r="Y1064" s="3">
        <f>IF(tblOrdenes[[#This Row],[cod_actividad]]="","",_xlfn.XLOOKUP(tblOrdenes[[#This Row],[cod_actividad]],tblActividades[codigo],tblActividades[descripcion],"(sin catálogo)"))</f>
        <v/>
      </c>
      <c r="Z1064" s="12">
        <f>IF(tblOrdenes[[#This Row],[fecha_inicio]]="","",TODAY()-tblOrdenes[[#This Row],[fecha_inicio]])</f>
        <v/>
      </c>
      <c r="AA1064" s="3">
        <f>IF(tblOrdenes[[#This Row],[backlog_dias]]="","",IF(tblOrdenes[[#This Row],[backlog_dias]]&lt;0,"FUTURO",IF(tblOrdenes[[#This Row],[backlog_dias]]&gt;p_dias_backlog_max,"BACKLOG","MES CORRIENTE")))</f>
        <v/>
      </c>
      <c r="AB1064" s="3">
        <f>IF(tblOrdenes[[#This Row],[backlog_dias]]="",FALSE,AND(tblOrdenes[[#This Row],[backlog_dias]]&gt;p_dias_backlog_min,tblOrdenes[[#This Row],[backlog_dias]]&lt;=p_dias_backlog_max))</f>
        <v/>
      </c>
      <c r="AC1064" s="6" t="n"/>
      <c r="AD10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64" s="10">
        <f>IF(tblOrdenes[[#This Row],[orden]]="","",_xlfn.XLOOKUP(tblOrdenes[[#This Row],[id_operacion]],tblEjecucion[id_operacion],tblEjecucion[precio],0))</f>
        <v/>
      </c>
      <c r="AH1064" s="10">
        <f>IF(tblOrdenes[[#This Row],[orden]]="","",MAX(0,_xlfn.XLOOKUP(tblOrdenes[[#This Row],[id_operacion]],tblEjecucion[id_operacion],tblEjecucion[costo_plan_total],0)-tblOrdenes[[#This Row],[costo_servicio]]))</f>
        <v/>
      </c>
      <c r="AI1064" s="10">
        <f>IF(tblOrdenes[[#This Row],[orden]]="","",tblOrdenes[[#This Row],[costo_servicio]]+tblOrdenes[[#This Row],[costo_materiales]])</f>
        <v/>
      </c>
      <c r="AJ1064" s="6" t="n"/>
      <c r="AK1064" s="6" t="n"/>
      <c r="AL1064" s="6" t="n"/>
      <c r="AM1064" s="3">
        <f>IF(tblOrdenes[[#This Row],[link_checklist]]="","",HYPERLINK(p_ruta_base_checklists&amp;tblOrdenes[[#This Row],[link_checklist]],"abrir"))</f>
        <v/>
      </c>
      <c r="AN1064" s="6" t="n"/>
      <c r="AO1064" s="3">
        <f>IF(tblOrdenes[[#This Row],[orden]]="","",tblOrdenes[[#This Row],[orden]]&amp;IF(tblOrdenes[[#This Row],[operacion]]="","0010",tblOrdenes[[#This Row],[operacion]]))</f>
        <v/>
      </c>
    </row>
    <row r="1065">
      <c r="A1065" s="3" t="n"/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11" t="n"/>
      <c r="K1065" s="3" t="n"/>
      <c r="L1065" s="10" t="n"/>
      <c r="M1065" s="6" t="n"/>
      <c r="N10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65" s="3">
        <f>IF(tblOrdenes[[#This Row],[fecha_inicio]]="","",YEAR(tblOrdenes[[#This Row],[fecha_inicio]]))</f>
        <v/>
      </c>
      <c r="R1065" s="3">
        <f>IF(tblOrdenes[[#This Row],[fecha_inicio]]="","",MONTH(tblOrdenes[[#This Row],[fecha_inicio]]))</f>
        <v/>
      </c>
      <c r="S1065" s="3">
        <f>IF(tblOrdenes[[#This Row],[fecha_inicio]]="","",INDEX(lista_dias,WEEKDAY(tblOrdenes[[#This Row],[fecha_inicio]],2)))</f>
        <v/>
      </c>
      <c r="T1065" s="3">
        <f>IF(tblOrdenes[[#This Row],[tipo_ot]]="","",_xlfn.XLOOKUP(tblOrdenes[[#This Row],[tipo_ot]],tblTiposOT[codigo],tblTiposOT[clasificacion],"sin_clasificar"))</f>
        <v/>
      </c>
      <c r="U1065" s="3">
        <f>IF(tblOrdenes[[#This Row],[centro_costo]]="","",_xlfn.XLOOKUP(tblOrdenes[[#This Row],[centro_costo]],tblCECO[codigo],tblCECO[linea],"(sin catálogo)"))</f>
        <v/>
      </c>
      <c r="V1065" s="3">
        <f>IF(tblOrdenes[[#This Row],[centro_costo]]="","",_xlfn.XLOOKUP(tblOrdenes[[#This Row],[centro_costo]],tblCECO[codigo],tblCECO[area],"(sin catálogo)"))</f>
        <v/>
      </c>
      <c r="W1065" s="3">
        <f>IF(tblOrdenes[[#This Row],[centro_costo]]="","",_xlfn.XLOOKUP(tblOrdenes[[#This Row],[centro_costo]],tblCECO[codigo],tblCECO[coordinador],"(sin catálogo)"))</f>
        <v/>
      </c>
      <c r="X1065" s="3">
        <f>IF(tblOrdenes[[#This Row],[puesto_trabajo]]="","",_xlfn.XLOOKUP(tblOrdenes[[#This Row],[puesto_trabajo]],tblPuestos[codigo],tblPuestos[especialidad],"(sin catálogo)"))</f>
        <v/>
      </c>
      <c r="Y1065" s="3">
        <f>IF(tblOrdenes[[#This Row],[cod_actividad]]="","",_xlfn.XLOOKUP(tblOrdenes[[#This Row],[cod_actividad]],tblActividades[codigo],tblActividades[descripcion],"(sin catálogo)"))</f>
        <v/>
      </c>
      <c r="Z1065" s="12">
        <f>IF(tblOrdenes[[#This Row],[fecha_inicio]]="","",TODAY()-tblOrdenes[[#This Row],[fecha_inicio]])</f>
        <v/>
      </c>
      <c r="AA1065" s="3">
        <f>IF(tblOrdenes[[#This Row],[backlog_dias]]="","",IF(tblOrdenes[[#This Row],[backlog_dias]]&lt;0,"FUTURO",IF(tblOrdenes[[#This Row],[backlog_dias]]&gt;p_dias_backlog_max,"BACKLOG","MES CORRIENTE")))</f>
        <v/>
      </c>
      <c r="AB1065" s="3">
        <f>IF(tblOrdenes[[#This Row],[backlog_dias]]="",FALSE,AND(tblOrdenes[[#This Row],[backlog_dias]]&gt;p_dias_backlog_min,tblOrdenes[[#This Row],[backlog_dias]]&lt;=p_dias_backlog_max))</f>
        <v/>
      </c>
      <c r="AC1065" s="6" t="n"/>
      <c r="AD10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65" s="10">
        <f>IF(tblOrdenes[[#This Row],[orden]]="","",_xlfn.XLOOKUP(tblOrdenes[[#This Row],[id_operacion]],tblEjecucion[id_operacion],tblEjecucion[precio],0))</f>
        <v/>
      </c>
      <c r="AH1065" s="10">
        <f>IF(tblOrdenes[[#This Row],[orden]]="","",MAX(0,_xlfn.XLOOKUP(tblOrdenes[[#This Row],[id_operacion]],tblEjecucion[id_operacion],tblEjecucion[costo_plan_total],0)-tblOrdenes[[#This Row],[costo_servicio]]))</f>
        <v/>
      </c>
      <c r="AI1065" s="10">
        <f>IF(tblOrdenes[[#This Row],[orden]]="","",tblOrdenes[[#This Row],[costo_servicio]]+tblOrdenes[[#This Row],[costo_materiales]])</f>
        <v/>
      </c>
      <c r="AJ1065" s="6" t="n"/>
      <c r="AK1065" s="6" t="n"/>
      <c r="AL1065" s="6" t="n"/>
      <c r="AM1065" s="3">
        <f>IF(tblOrdenes[[#This Row],[link_checklist]]="","",HYPERLINK(p_ruta_base_checklists&amp;tblOrdenes[[#This Row],[link_checklist]],"abrir"))</f>
        <v/>
      </c>
      <c r="AN1065" s="6" t="n"/>
      <c r="AO1065" s="3">
        <f>IF(tblOrdenes[[#This Row],[orden]]="","",tblOrdenes[[#This Row],[orden]]&amp;IF(tblOrdenes[[#This Row],[operacion]]="","0010",tblOrdenes[[#This Row],[operacion]]))</f>
        <v/>
      </c>
    </row>
    <row r="1066">
      <c r="A1066" s="3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11" t="n"/>
      <c r="K1066" s="3" t="n"/>
      <c r="L1066" s="10" t="n"/>
      <c r="M1066" s="6" t="n"/>
      <c r="N10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66" s="3">
        <f>IF(tblOrdenes[[#This Row],[fecha_inicio]]="","",YEAR(tblOrdenes[[#This Row],[fecha_inicio]]))</f>
        <v/>
      </c>
      <c r="R1066" s="3">
        <f>IF(tblOrdenes[[#This Row],[fecha_inicio]]="","",MONTH(tblOrdenes[[#This Row],[fecha_inicio]]))</f>
        <v/>
      </c>
      <c r="S1066" s="3">
        <f>IF(tblOrdenes[[#This Row],[fecha_inicio]]="","",INDEX(lista_dias,WEEKDAY(tblOrdenes[[#This Row],[fecha_inicio]],2)))</f>
        <v/>
      </c>
      <c r="T1066" s="3">
        <f>IF(tblOrdenes[[#This Row],[tipo_ot]]="","",_xlfn.XLOOKUP(tblOrdenes[[#This Row],[tipo_ot]],tblTiposOT[codigo],tblTiposOT[clasificacion],"sin_clasificar"))</f>
        <v/>
      </c>
      <c r="U1066" s="3">
        <f>IF(tblOrdenes[[#This Row],[centro_costo]]="","",_xlfn.XLOOKUP(tblOrdenes[[#This Row],[centro_costo]],tblCECO[codigo],tblCECO[linea],"(sin catálogo)"))</f>
        <v/>
      </c>
      <c r="V1066" s="3">
        <f>IF(tblOrdenes[[#This Row],[centro_costo]]="","",_xlfn.XLOOKUP(tblOrdenes[[#This Row],[centro_costo]],tblCECO[codigo],tblCECO[area],"(sin catálogo)"))</f>
        <v/>
      </c>
      <c r="W1066" s="3">
        <f>IF(tblOrdenes[[#This Row],[centro_costo]]="","",_xlfn.XLOOKUP(tblOrdenes[[#This Row],[centro_costo]],tblCECO[codigo],tblCECO[coordinador],"(sin catálogo)"))</f>
        <v/>
      </c>
      <c r="X1066" s="3">
        <f>IF(tblOrdenes[[#This Row],[puesto_trabajo]]="","",_xlfn.XLOOKUP(tblOrdenes[[#This Row],[puesto_trabajo]],tblPuestos[codigo],tblPuestos[especialidad],"(sin catálogo)"))</f>
        <v/>
      </c>
      <c r="Y1066" s="3">
        <f>IF(tblOrdenes[[#This Row],[cod_actividad]]="","",_xlfn.XLOOKUP(tblOrdenes[[#This Row],[cod_actividad]],tblActividades[codigo],tblActividades[descripcion],"(sin catálogo)"))</f>
        <v/>
      </c>
      <c r="Z1066" s="12">
        <f>IF(tblOrdenes[[#This Row],[fecha_inicio]]="","",TODAY()-tblOrdenes[[#This Row],[fecha_inicio]])</f>
        <v/>
      </c>
      <c r="AA1066" s="3">
        <f>IF(tblOrdenes[[#This Row],[backlog_dias]]="","",IF(tblOrdenes[[#This Row],[backlog_dias]]&lt;0,"FUTURO",IF(tblOrdenes[[#This Row],[backlog_dias]]&gt;p_dias_backlog_max,"BACKLOG","MES CORRIENTE")))</f>
        <v/>
      </c>
      <c r="AB1066" s="3">
        <f>IF(tblOrdenes[[#This Row],[backlog_dias]]="",FALSE,AND(tblOrdenes[[#This Row],[backlog_dias]]&gt;p_dias_backlog_min,tblOrdenes[[#This Row],[backlog_dias]]&lt;=p_dias_backlog_max))</f>
        <v/>
      </c>
      <c r="AC1066" s="6" t="n"/>
      <c r="AD10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66" s="10">
        <f>IF(tblOrdenes[[#This Row],[orden]]="","",_xlfn.XLOOKUP(tblOrdenes[[#This Row],[id_operacion]],tblEjecucion[id_operacion],tblEjecucion[precio],0))</f>
        <v/>
      </c>
      <c r="AH1066" s="10">
        <f>IF(tblOrdenes[[#This Row],[orden]]="","",MAX(0,_xlfn.XLOOKUP(tblOrdenes[[#This Row],[id_operacion]],tblEjecucion[id_operacion],tblEjecucion[costo_plan_total],0)-tblOrdenes[[#This Row],[costo_servicio]]))</f>
        <v/>
      </c>
      <c r="AI1066" s="10">
        <f>IF(tblOrdenes[[#This Row],[orden]]="","",tblOrdenes[[#This Row],[costo_servicio]]+tblOrdenes[[#This Row],[costo_materiales]])</f>
        <v/>
      </c>
      <c r="AJ1066" s="6" t="n"/>
      <c r="AK1066" s="6" t="n"/>
      <c r="AL1066" s="6" t="n"/>
      <c r="AM1066" s="3">
        <f>IF(tblOrdenes[[#This Row],[link_checklist]]="","",HYPERLINK(p_ruta_base_checklists&amp;tblOrdenes[[#This Row],[link_checklist]],"abrir"))</f>
        <v/>
      </c>
      <c r="AN1066" s="6" t="n"/>
      <c r="AO1066" s="3">
        <f>IF(tblOrdenes[[#This Row],[orden]]="","",tblOrdenes[[#This Row],[orden]]&amp;IF(tblOrdenes[[#This Row],[operacion]]="","0010",tblOrdenes[[#This Row],[operacion]]))</f>
        <v/>
      </c>
    </row>
    <row r="1067">
      <c r="A1067" s="3" t="n"/>
      <c r="B1067" s="3" t="n"/>
      <c r="C1067" s="3" t="n"/>
      <c r="D1067" s="3" t="n"/>
      <c r="E1067" s="3" t="n"/>
      <c r="F1067" s="3" t="n"/>
      <c r="G1067" s="3" t="n"/>
      <c r="H1067" s="3" t="n"/>
      <c r="I1067" s="3" t="n"/>
      <c r="J1067" s="11" t="n"/>
      <c r="K1067" s="3" t="n"/>
      <c r="L1067" s="10" t="n"/>
      <c r="M1067" s="6" t="n"/>
      <c r="N10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67" s="3">
        <f>IF(tblOrdenes[[#This Row],[fecha_inicio]]="","",YEAR(tblOrdenes[[#This Row],[fecha_inicio]]))</f>
        <v/>
      </c>
      <c r="R1067" s="3">
        <f>IF(tblOrdenes[[#This Row],[fecha_inicio]]="","",MONTH(tblOrdenes[[#This Row],[fecha_inicio]]))</f>
        <v/>
      </c>
      <c r="S1067" s="3">
        <f>IF(tblOrdenes[[#This Row],[fecha_inicio]]="","",INDEX(lista_dias,WEEKDAY(tblOrdenes[[#This Row],[fecha_inicio]],2)))</f>
        <v/>
      </c>
      <c r="T1067" s="3">
        <f>IF(tblOrdenes[[#This Row],[tipo_ot]]="","",_xlfn.XLOOKUP(tblOrdenes[[#This Row],[tipo_ot]],tblTiposOT[codigo],tblTiposOT[clasificacion],"sin_clasificar"))</f>
        <v/>
      </c>
      <c r="U1067" s="3">
        <f>IF(tblOrdenes[[#This Row],[centro_costo]]="","",_xlfn.XLOOKUP(tblOrdenes[[#This Row],[centro_costo]],tblCECO[codigo],tblCECO[linea],"(sin catálogo)"))</f>
        <v/>
      </c>
      <c r="V1067" s="3">
        <f>IF(tblOrdenes[[#This Row],[centro_costo]]="","",_xlfn.XLOOKUP(tblOrdenes[[#This Row],[centro_costo]],tblCECO[codigo],tblCECO[area],"(sin catálogo)"))</f>
        <v/>
      </c>
      <c r="W1067" s="3">
        <f>IF(tblOrdenes[[#This Row],[centro_costo]]="","",_xlfn.XLOOKUP(tblOrdenes[[#This Row],[centro_costo]],tblCECO[codigo],tblCECO[coordinador],"(sin catálogo)"))</f>
        <v/>
      </c>
      <c r="X1067" s="3">
        <f>IF(tblOrdenes[[#This Row],[puesto_trabajo]]="","",_xlfn.XLOOKUP(tblOrdenes[[#This Row],[puesto_trabajo]],tblPuestos[codigo],tblPuestos[especialidad],"(sin catálogo)"))</f>
        <v/>
      </c>
      <c r="Y1067" s="3">
        <f>IF(tblOrdenes[[#This Row],[cod_actividad]]="","",_xlfn.XLOOKUP(tblOrdenes[[#This Row],[cod_actividad]],tblActividades[codigo],tblActividades[descripcion],"(sin catálogo)"))</f>
        <v/>
      </c>
      <c r="Z1067" s="12">
        <f>IF(tblOrdenes[[#This Row],[fecha_inicio]]="","",TODAY()-tblOrdenes[[#This Row],[fecha_inicio]])</f>
        <v/>
      </c>
      <c r="AA1067" s="3">
        <f>IF(tblOrdenes[[#This Row],[backlog_dias]]="","",IF(tblOrdenes[[#This Row],[backlog_dias]]&lt;0,"FUTURO",IF(tblOrdenes[[#This Row],[backlog_dias]]&gt;p_dias_backlog_max,"BACKLOG","MES CORRIENTE")))</f>
        <v/>
      </c>
      <c r="AB1067" s="3">
        <f>IF(tblOrdenes[[#This Row],[backlog_dias]]="",FALSE,AND(tblOrdenes[[#This Row],[backlog_dias]]&gt;p_dias_backlog_min,tblOrdenes[[#This Row],[backlog_dias]]&lt;=p_dias_backlog_max))</f>
        <v/>
      </c>
      <c r="AC1067" s="6" t="n"/>
      <c r="AD10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67" s="10">
        <f>IF(tblOrdenes[[#This Row],[orden]]="","",_xlfn.XLOOKUP(tblOrdenes[[#This Row],[id_operacion]],tblEjecucion[id_operacion],tblEjecucion[precio],0))</f>
        <v/>
      </c>
      <c r="AH1067" s="10">
        <f>IF(tblOrdenes[[#This Row],[orden]]="","",MAX(0,_xlfn.XLOOKUP(tblOrdenes[[#This Row],[id_operacion]],tblEjecucion[id_operacion],tblEjecucion[costo_plan_total],0)-tblOrdenes[[#This Row],[costo_servicio]]))</f>
        <v/>
      </c>
      <c r="AI1067" s="10">
        <f>IF(tblOrdenes[[#This Row],[orden]]="","",tblOrdenes[[#This Row],[costo_servicio]]+tblOrdenes[[#This Row],[costo_materiales]])</f>
        <v/>
      </c>
      <c r="AJ1067" s="6" t="n"/>
      <c r="AK1067" s="6" t="n"/>
      <c r="AL1067" s="6" t="n"/>
      <c r="AM1067" s="3">
        <f>IF(tblOrdenes[[#This Row],[link_checklist]]="","",HYPERLINK(p_ruta_base_checklists&amp;tblOrdenes[[#This Row],[link_checklist]],"abrir"))</f>
        <v/>
      </c>
      <c r="AN1067" s="6" t="n"/>
      <c r="AO1067" s="3">
        <f>IF(tblOrdenes[[#This Row],[orden]]="","",tblOrdenes[[#This Row],[orden]]&amp;IF(tblOrdenes[[#This Row],[operacion]]="","0010",tblOrdenes[[#This Row],[operacion]]))</f>
        <v/>
      </c>
    </row>
    <row r="1068">
      <c r="A1068" s="3" t="n"/>
      <c r="B1068" s="3" t="n"/>
      <c r="C1068" s="3" t="n"/>
      <c r="D1068" s="3" t="n"/>
      <c r="E1068" s="3" t="n"/>
      <c r="F1068" s="3" t="n"/>
      <c r="G1068" s="3" t="n"/>
      <c r="H1068" s="3" t="n"/>
      <c r="I1068" s="3" t="n"/>
      <c r="J1068" s="11" t="n"/>
      <c r="K1068" s="3" t="n"/>
      <c r="L1068" s="10" t="n"/>
      <c r="M1068" s="6" t="n"/>
      <c r="N10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68" s="3">
        <f>IF(tblOrdenes[[#This Row],[fecha_inicio]]="","",YEAR(tblOrdenes[[#This Row],[fecha_inicio]]))</f>
        <v/>
      </c>
      <c r="R1068" s="3">
        <f>IF(tblOrdenes[[#This Row],[fecha_inicio]]="","",MONTH(tblOrdenes[[#This Row],[fecha_inicio]]))</f>
        <v/>
      </c>
      <c r="S1068" s="3">
        <f>IF(tblOrdenes[[#This Row],[fecha_inicio]]="","",INDEX(lista_dias,WEEKDAY(tblOrdenes[[#This Row],[fecha_inicio]],2)))</f>
        <v/>
      </c>
      <c r="T1068" s="3">
        <f>IF(tblOrdenes[[#This Row],[tipo_ot]]="","",_xlfn.XLOOKUP(tblOrdenes[[#This Row],[tipo_ot]],tblTiposOT[codigo],tblTiposOT[clasificacion],"sin_clasificar"))</f>
        <v/>
      </c>
      <c r="U1068" s="3">
        <f>IF(tblOrdenes[[#This Row],[centro_costo]]="","",_xlfn.XLOOKUP(tblOrdenes[[#This Row],[centro_costo]],tblCECO[codigo],tblCECO[linea],"(sin catálogo)"))</f>
        <v/>
      </c>
      <c r="V1068" s="3">
        <f>IF(tblOrdenes[[#This Row],[centro_costo]]="","",_xlfn.XLOOKUP(tblOrdenes[[#This Row],[centro_costo]],tblCECO[codigo],tblCECO[area],"(sin catálogo)"))</f>
        <v/>
      </c>
      <c r="W1068" s="3">
        <f>IF(tblOrdenes[[#This Row],[centro_costo]]="","",_xlfn.XLOOKUP(tblOrdenes[[#This Row],[centro_costo]],tblCECO[codigo],tblCECO[coordinador],"(sin catálogo)"))</f>
        <v/>
      </c>
      <c r="X1068" s="3">
        <f>IF(tblOrdenes[[#This Row],[puesto_trabajo]]="","",_xlfn.XLOOKUP(tblOrdenes[[#This Row],[puesto_trabajo]],tblPuestos[codigo],tblPuestos[especialidad],"(sin catálogo)"))</f>
        <v/>
      </c>
      <c r="Y1068" s="3">
        <f>IF(tblOrdenes[[#This Row],[cod_actividad]]="","",_xlfn.XLOOKUP(tblOrdenes[[#This Row],[cod_actividad]],tblActividades[codigo],tblActividades[descripcion],"(sin catálogo)"))</f>
        <v/>
      </c>
      <c r="Z1068" s="12">
        <f>IF(tblOrdenes[[#This Row],[fecha_inicio]]="","",TODAY()-tblOrdenes[[#This Row],[fecha_inicio]])</f>
        <v/>
      </c>
      <c r="AA1068" s="3">
        <f>IF(tblOrdenes[[#This Row],[backlog_dias]]="","",IF(tblOrdenes[[#This Row],[backlog_dias]]&lt;0,"FUTURO",IF(tblOrdenes[[#This Row],[backlog_dias]]&gt;p_dias_backlog_max,"BACKLOG","MES CORRIENTE")))</f>
        <v/>
      </c>
      <c r="AB1068" s="3">
        <f>IF(tblOrdenes[[#This Row],[backlog_dias]]="",FALSE,AND(tblOrdenes[[#This Row],[backlog_dias]]&gt;p_dias_backlog_min,tblOrdenes[[#This Row],[backlog_dias]]&lt;=p_dias_backlog_max))</f>
        <v/>
      </c>
      <c r="AC1068" s="6" t="n"/>
      <c r="AD10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68" s="10">
        <f>IF(tblOrdenes[[#This Row],[orden]]="","",_xlfn.XLOOKUP(tblOrdenes[[#This Row],[id_operacion]],tblEjecucion[id_operacion],tblEjecucion[precio],0))</f>
        <v/>
      </c>
      <c r="AH1068" s="10">
        <f>IF(tblOrdenes[[#This Row],[orden]]="","",MAX(0,_xlfn.XLOOKUP(tblOrdenes[[#This Row],[id_operacion]],tblEjecucion[id_operacion],tblEjecucion[costo_plan_total],0)-tblOrdenes[[#This Row],[costo_servicio]]))</f>
        <v/>
      </c>
      <c r="AI1068" s="10">
        <f>IF(tblOrdenes[[#This Row],[orden]]="","",tblOrdenes[[#This Row],[costo_servicio]]+tblOrdenes[[#This Row],[costo_materiales]])</f>
        <v/>
      </c>
      <c r="AJ1068" s="6" t="n"/>
      <c r="AK1068" s="6" t="n"/>
      <c r="AL1068" s="6" t="n"/>
      <c r="AM1068" s="3">
        <f>IF(tblOrdenes[[#This Row],[link_checklist]]="","",HYPERLINK(p_ruta_base_checklists&amp;tblOrdenes[[#This Row],[link_checklist]],"abrir"))</f>
        <v/>
      </c>
      <c r="AN1068" s="6" t="n"/>
      <c r="AO1068" s="3">
        <f>IF(tblOrdenes[[#This Row],[orden]]="","",tblOrdenes[[#This Row],[orden]]&amp;IF(tblOrdenes[[#This Row],[operacion]]="","0010",tblOrdenes[[#This Row],[operacion]]))</f>
        <v/>
      </c>
    </row>
    <row r="1069">
      <c r="A1069" s="3" t="n"/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11" t="n"/>
      <c r="K1069" s="3" t="n"/>
      <c r="L1069" s="10" t="n"/>
      <c r="M1069" s="6" t="n"/>
      <c r="N10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69" s="3">
        <f>IF(tblOrdenes[[#This Row],[fecha_inicio]]="","",YEAR(tblOrdenes[[#This Row],[fecha_inicio]]))</f>
        <v/>
      </c>
      <c r="R1069" s="3">
        <f>IF(tblOrdenes[[#This Row],[fecha_inicio]]="","",MONTH(tblOrdenes[[#This Row],[fecha_inicio]]))</f>
        <v/>
      </c>
      <c r="S1069" s="3">
        <f>IF(tblOrdenes[[#This Row],[fecha_inicio]]="","",INDEX(lista_dias,WEEKDAY(tblOrdenes[[#This Row],[fecha_inicio]],2)))</f>
        <v/>
      </c>
      <c r="T1069" s="3">
        <f>IF(tblOrdenes[[#This Row],[tipo_ot]]="","",_xlfn.XLOOKUP(tblOrdenes[[#This Row],[tipo_ot]],tblTiposOT[codigo],tblTiposOT[clasificacion],"sin_clasificar"))</f>
        <v/>
      </c>
      <c r="U1069" s="3">
        <f>IF(tblOrdenes[[#This Row],[centro_costo]]="","",_xlfn.XLOOKUP(tblOrdenes[[#This Row],[centro_costo]],tblCECO[codigo],tblCECO[linea],"(sin catálogo)"))</f>
        <v/>
      </c>
      <c r="V1069" s="3">
        <f>IF(tblOrdenes[[#This Row],[centro_costo]]="","",_xlfn.XLOOKUP(tblOrdenes[[#This Row],[centro_costo]],tblCECO[codigo],tblCECO[area],"(sin catálogo)"))</f>
        <v/>
      </c>
      <c r="W1069" s="3">
        <f>IF(tblOrdenes[[#This Row],[centro_costo]]="","",_xlfn.XLOOKUP(tblOrdenes[[#This Row],[centro_costo]],tblCECO[codigo],tblCECO[coordinador],"(sin catálogo)"))</f>
        <v/>
      </c>
      <c r="X1069" s="3">
        <f>IF(tblOrdenes[[#This Row],[puesto_trabajo]]="","",_xlfn.XLOOKUP(tblOrdenes[[#This Row],[puesto_trabajo]],tblPuestos[codigo],tblPuestos[especialidad],"(sin catálogo)"))</f>
        <v/>
      </c>
      <c r="Y1069" s="3">
        <f>IF(tblOrdenes[[#This Row],[cod_actividad]]="","",_xlfn.XLOOKUP(tblOrdenes[[#This Row],[cod_actividad]],tblActividades[codigo],tblActividades[descripcion],"(sin catálogo)"))</f>
        <v/>
      </c>
      <c r="Z1069" s="12">
        <f>IF(tblOrdenes[[#This Row],[fecha_inicio]]="","",TODAY()-tblOrdenes[[#This Row],[fecha_inicio]])</f>
        <v/>
      </c>
      <c r="AA1069" s="3">
        <f>IF(tblOrdenes[[#This Row],[backlog_dias]]="","",IF(tblOrdenes[[#This Row],[backlog_dias]]&lt;0,"FUTURO",IF(tblOrdenes[[#This Row],[backlog_dias]]&gt;p_dias_backlog_max,"BACKLOG","MES CORRIENTE")))</f>
        <v/>
      </c>
      <c r="AB1069" s="3">
        <f>IF(tblOrdenes[[#This Row],[backlog_dias]]="",FALSE,AND(tblOrdenes[[#This Row],[backlog_dias]]&gt;p_dias_backlog_min,tblOrdenes[[#This Row],[backlog_dias]]&lt;=p_dias_backlog_max))</f>
        <v/>
      </c>
      <c r="AC1069" s="6" t="n"/>
      <c r="AD10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69" s="10">
        <f>IF(tblOrdenes[[#This Row],[orden]]="","",_xlfn.XLOOKUP(tblOrdenes[[#This Row],[id_operacion]],tblEjecucion[id_operacion],tblEjecucion[precio],0))</f>
        <v/>
      </c>
      <c r="AH1069" s="10">
        <f>IF(tblOrdenes[[#This Row],[orden]]="","",MAX(0,_xlfn.XLOOKUP(tblOrdenes[[#This Row],[id_operacion]],tblEjecucion[id_operacion],tblEjecucion[costo_plan_total],0)-tblOrdenes[[#This Row],[costo_servicio]]))</f>
        <v/>
      </c>
      <c r="AI1069" s="10">
        <f>IF(tblOrdenes[[#This Row],[orden]]="","",tblOrdenes[[#This Row],[costo_servicio]]+tblOrdenes[[#This Row],[costo_materiales]])</f>
        <v/>
      </c>
      <c r="AJ1069" s="6" t="n"/>
      <c r="AK1069" s="6" t="n"/>
      <c r="AL1069" s="6" t="n"/>
      <c r="AM1069" s="3">
        <f>IF(tblOrdenes[[#This Row],[link_checklist]]="","",HYPERLINK(p_ruta_base_checklists&amp;tblOrdenes[[#This Row],[link_checklist]],"abrir"))</f>
        <v/>
      </c>
      <c r="AN1069" s="6" t="n"/>
      <c r="AO1069" s="3">
        <f>IF(tblOrdenes[[#This Row],[orden]]="","",tblOrdenes[[#This Row],[orden]]&amp;IF(tblOrdenes[[#This Row],[operacion]]="","0010",tblOrdenes[[#This Row],[operacion]]))</f>
        <v/>
      </c>
    </row>
    <row r="1070">
      <c r="A1070" s="3" t="n"/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11" t="n"/>
      <c r="K1070" s="3" t="n"/>
      <c r="L1070" s="10" t="n"/>
      <c r="M1070" s="6" t="n"/>
      <c r="N10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70" s="3">
        <f>IF(tblOrdenes[[#This Row],[fecha_inicio]]="","",YEAR(tblOrdenes[[#This Row],[fecha_inicio]]))</f>
        <v/>
      </c>
      <c r="R1070" s="3">
        <f>IF(tblOrdenes[[#This Row],[fecha_inicio]]="","",MONTH(tblOrdenes[[#This Row],[fecha_inicio]]))</f>
        <v/>
      </c>
      <c r="S1070" s="3">
        <f>IF(tblOrdenes[[#This Row],[fecha_inicio]]="","",INDEX(lista_dias,WEEKDAY(tblOrdenes[[#This Row],[fecha_inicio]],2)))</f>
        <v/>
      </c>
      <c r="T1070" s="3">
        <f>IF(tblOrdenes[[#This Row],[tipo_ot]]="","",_xlfn.XLOOKUP(tblOrdenes[[#This Row],[tipo_ot]],tblTiposOT[codigo],tblTiposOT[clasificacion],"sin_clasificar"))</f>
        <v/>
      </c>
      <c r="U1070" s="3">
        <f>IF(tblOrdenes[[#This Row],[centro_costo]]="","",_xlfn.XLOOKUP(tblOrdenes[[#This Row],[centro_costo]],tblCECO[codigo],tblCECO[linea],"(sin catálogo)"))</f>
        <v/>
      </c>
      <c r="V1070" s="3">
        <f>IF(tblOrdenes[[#This Row],[centro_costo]]="","",_xlfn.XLOOKUP(tblOrdenes[[#This Row],[centro_costo]],tblCECO[codigo],tblCECO[area],"(sin catálogo)"))</f>
        <v/>
      </c>
      <c r="W1070" s="3">
        <f>IF(tblOrdenes[[#This Row],[centro_costo]]="","",_xlfn.XLOOKUP(tblOrdenes[[#This Row],[centro_costo]],tblCECO[codigo],tblCECO[coordinador],"(sin catálogo)"))</f>
        <v/>
      </c>
      <c r="X1070" s="3">
        <f>IF(tblOrdenes[[#This Row],[puesto_trabajo]]="","",_xlfn.XLOOKUP(tblOrdenes[[#This Row],[puesto_trabajo]],tblPuestos[codigo],tblPuestos[especialidad],"(sin catálogo)"))</f>
        <v/>
      </c>
      <c r="Y1070" s="3">
        <f>IF(tblOrdenes[[#This Row],[cod_actividad]]="","",_xlfn.XLOOKUP(tblOrdenes[[#This Row],[cod_actividad]],tblActividades[codigo],tblActividades[descripcion],"(sin catálogo)"))</f>
        <v/>
      </c>
      <c r="Z1070" s="12">
        <f>IF(tblOrdenes[[#This Row],[fecha_inicio]]="","",TODAY()-tblOrdenes[[#This Row],[fecha_inicio]])</f>
        <v/>
      </c>
      <c r="AA1070" s="3">
        <f>IF(tblOrdenes[[#This Row],[backlog_dias]]="","",IF(tblOrdenes[[#This Row],[backlog_dias]]&lt;0,"FUTURO",IF(tblOrdenes[[#This Row],[backlog_dias]]&gt;p_dias_backlog_max,"BACKLOG","MES CORRIENTE")))</f>
        <v/>
      </c>
      <c r="AB1070" s="3">
        <f>IF(tblOrdenes[[#This Row],[backlog_dias]]="",FALSE,AND(tblOrdenes[[#This Row],[backlog_dias]]&gt;p_dias_backlog_min,tblOrdenes[[#This Row],[backlog_dias]]&lt;=p_dias_backlog_max))</f>
        <v/>
      </c>
      <c r="AC1070" s="6" t="n"/>
      <c r="AD10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70" s="10">
        <f>IF(tblOrdenes[[#This Row],[orden]]="","",_xlfn.XLOOKUP(tblOrdenes[[#This Row],[id_operacion]],tblEjecucion[id_operacion],tblEjecucion[precio],0))</f>
        <v/>
      </c>
      <c r="AH1070" s="10">
        <f>IF(tblOrdenes[[#This Row],[orden]]="","",MAX(0,_xlfn.XLOOKUP(tblOrdenes[[#This Row],[id_operacion]],tblEjecucion[id_operacion],tblEjecucion[costo_plan_total],0)-tblOrdenes[[#This Row],[costo_servicio]]))</f>
        <v/>
      </c>
      <c r="AI1070" s="10">
        <f>IF(tblOrdenes[[#This Row],[orden]]="","",tblOrdenes[[#This Row],[costo_servicio]]+tblOrdenes[[#This Row],[costo_materiales]])</f>
        <v/>
      </c>
      <c r="AJ1070" s="6" t="n"/>
      <c r="AK1070" s="6" t="n"/>
      <c r="AL1070" s="6" t="n"/>
      <c r="AM1070" s="3">
        <f>IF(tblOrdenes[[#This Row],[link_checklist]]="","",HYPERLINK(p_ruta_base_checklists&amp;tblOrdenes[[#This Row],[link_checklist]],"abrir"))</f>
        <v/>
      </c>
      <c r="AN1070" s="6" t="n"/>
      <c r="AO1070" s="3">
        <f>IF(tblOrdenes[[#This Row],[orden]]="","",tblOrdenes[[#This Row],[orden]]&amp;IF(tblOrdenes[[#This Row],[operacion]]="","0010",tblOrdenes[[#This Row],[operacion]]))</f>
        <v/>
      </c>
    </row>
    <row r="1071">
      <c r="A1071" s="3" t="n"/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11" t="n"/>
      <c r="K1071" s="3" t="n"/>
      <c r="L1071" s="10" t="n"/>
      <c r="M1071" s="6" t="n"/>
      <c r="N10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71" s="3">
        <f>IF(tblOrdenes[[#This Row],[fecha_inicio]]="","",YEAR(tblOrdenes[[#This Row],[fecha_inicio]]))</f>
        <v/>
      </c>
      <c r="R1071" s="3">
        <f>IF(tblOrdenes[[#This Row],[fecha_inicio]]="","",MONTH(tblOrdenes[[#This Row],[fecha_inicio]]))</f>
        <v/>
      </c>
      <c r="S1071" s="3">
        <f>IF(tblOrdenes[[#This Row],[fecha_inicio]]="","",INDEX(lista_dias,WEEKDAY(tblOrdenes[[#This Row],[fecha_inicio]],2)))</f>
        <v/>
      </c>
      <c r="T1071" s="3">
        <f>IF(tblOrdenes[[#This Row],[tipo_ot]]="","",_xlfn.XLOOKUP(tblOrdenes[[#This Row],[tipo_ot]],tblTiposOT[codigo],tblTiposOT[clasificacion],"sin_clasificar"))</f>
        <v/>
      </c>
      <c r="U1071" s="3">
        <f>IF(tblOrdenes[[#This Row],[centro_costo]]="","",_xlfn.XLOOKUP(tblOrdenes[[#This Row],[centro_costo]],tblCECO[codigo],tblCECO[linea],"(sin catálogo)"))</f>
        <v/>
      </c>
      <c r="V1071" s="3">
        <f>IF(tblOrdenes[[#This Row],[centro_costo]]="","",_xlfn.XLOOKUP(tblOrdenes[[#This Row],[centro_costo]],tblCECO[codigo],tblCECO[area],"(sin catálogo)"))</f>
        <v/>
      </c>
      <c r="W1071" s="3">
        <f>IF(tblOrdenes[[#This Row],[centro_costo]]="","",_xlfn.XLOOKUP(tblOrdenes[[#This Row],[centro_costo]],tblCECO[codigo],tblCECO[coordinador],"(sin catálogo)"))</f>
        <v/>
      </c>
      <c r="X1071" s="3">
        <f>IF(tblOrdenes[[#This Row],[puesto_trabajo]]="","",_xlfn.XLOOKUP(tblOrdenes[[#This Row],[puesto_trabajo]],tblPuestos[codigo],tblPuestos[especialidad],"(sin catálogo)"))</f>
        <v/>
      </c>
      <c r="Y1071" s="3">
        <f>IF(tblOrdenes[[#This Row],[cod_actividad]]="","",_xlfn.XLOOKUP(tblOrdenes[[#This Row],[cod_actividad]],tblActividades[codigo],tblActividades[descripcion],"(sin catálogo)"))</f>
        <v/>
      </c>
      <c r="Z1071" s="12">
        <f>IF(tblOrdenes[[#This Row],[fecha_inicio]]="","",TODAY()-tblOrdenes[[#This Row],[fecha_inicio]])</f>
        <v/>
      </c>
      <c r="AA1071" s="3">
        <f>IF(tblOrdenes[[#This Row],[backlog_dias]]="","",IF(tblOrdenes[[#This Row],[backlog_dias]]&lt;0,"FUTURO",IF(tblOrdenes[[#This Row],[backlog_dias]]&gt;p_dias_backlog_max,"BACKLOG","MES CORRIENTE")))</f>
        <v/>
      </c>
      <c r="AB1071" s="3">
        <f>IF(tblOrdenes[[#This Row],[backlog_dias]]="",FALSE,AND(tblOrdenes[[#This Row],[backlog_dias]]&gt;p_dias_backlog_min,tblOrdenes[[#This Row],[backlog_dias]]&lt;=p_dias_backlog_max))</f>
        <v/>
      </c>
      <c r="AC1071" s="6" t="n"/>
      <c r="AD10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71" s="10">
        <f>IF(tblOrdenes[[#This Row],[orden]]="","",_xlfn.XLOOKUP(tblOrdenes[[#This Row],[id_operacion]],tblEjecucion[id_operacion],tblEjecucion[precio],0))</f>
        <v/>
      </c>
      <c r="AH1071" s="10">
        <f>IF(tblOrdenes[[#This Row],[orden]]="","",MAX(0,_xlfn.XLOOKUP(tblOrdenes[[#This Row],[id_operacion]],tblEjecucion[id_operacion],tblEjecucion[costo_plan_total],0)-tblOrdenes[[#This Row],[costo_servicio]]))</f>
        <v/>
      </c>
      <c r="AI1071" s="10">
        <f>IF(tblOrdenes[[#This Row],[orden]]="","",tblOrdenes[[#This Row],[costo_servicio]]+tblOrdenes[[#This Row],[costo_materiales]])</f>
        <v/>
      </c>
      <c r="AJ1071" s="6" t="n"/>
      <c r="AK1071" s="6" t="n"/>
      <c r="AL1071" s="6" t="n"/>
      <c r="AM1071" s="3">
        <f>IF(tblOrdenes[[#This Row],[link_checklist]]="","",HYPERLINK(p_ruta_base_checklists&amp;tblOrdenes[[#This Row],[link_checklist]],"abrir"))</f>
        <v/>
      </c>
      <c r="AN1071" s="6" t="n"/>
      <c r="AO1071" s="3">
        <f>IF(tblOrdenes[[#This Row],[orden]]="","",tblOrdenes[[#This Row],[orden]]&amp;IF(tblOrdenes[[#This Row],[operacion]]="","0010",tblOrdenes[[#This Row],[operacion]]))</f>
        <v/>
      </c>
    </row>
    <row r="1072">
      <c r="A1072" s="3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11" t="n"/>
      <c r="K1072" s="3" t="n"/>
      <c r="L1072" s="10" t="n"/>
      <c r="M1072" s="6" t="n"/>
      <c r="N10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72" s="3">
        <f>IF(tblOrdenes[[#This Row],[fecha_inicio]]="","",YEAR(tblOrdenes[[#This Row],[fecha_inicio]]))</f>
        <v/>
      </c>
      <c r="R1072" s="3">
        <f>IF(tblOrdenes[[#This Row],[fecha_inicio]]="","",MONTH(tblOrdenes[[#This Row],[fecha_inicio]]))</f>
        <v/>
      </c>
      <c r="S1072" s="3">
        <f>IF(tblOrdenes[[#This Row],[fecha_inicio]]="","",INDEX(lista_dias,WEEKDAY(tblOrdenes[[#This Row],[fecha_inicio]],2)))</f>
        <v/>
      </c>
      <c r="T1072" s="3">
        <f>IF(tblOrdenes[[#This Row],[tipo_ot]]="","",_xlfn.XLOOKUP(tblOrdenes[[#This Row],[tipo_ot]],tblTiposOT[codigo],tblTiposOT[clasificacion],"sin_clasificar"))</f>
        <v/>
      </c>
      <c r="U1072" s="3">
        <f>IF(tblOrdenes[[#This Row],[centro_costo]]="","",_xlfn.XLOOKUP(tblOrdenes[[#This Row],[centro_costo]],tblCECO[codigo],tblCECO[linea],"(sin catálogo)"))</f>
        <v/>
      </c>
      <c r="V1072" s="3">
        <f>IF(tblOrdenes[[#This Row],[centro_costo]]="","",_xlfn.XLOOKUP(tblOrdenes[[#This Row],[centro_costo]],tblCECO[codigo],tblCECO[area],"(sin catálogo)"))</f>
        <v/>
      </c>
      <c r="W1072" s="3">
        <f>IF(tblOrdenes[[#This Row],[centro_costo]]="","",_xlfn.XLOOKUP(tblOrdenes[[#This Row],[centro_costo]],tblCECO[codigo],tblCECO[coordinador],"(sin catálogo)"))</f>
        <v/>
      </c>
      <c r="X1072" s="3">
        <f>IF(tblOrdenes[[#This Row],[puesto_trabajo]]="","",_xlfn.XLOOKUP(tblOrdenes[[#This Row],[puesto_trabajo]],tblPuestos[codigo],tblPuestos[especialidad],"(sin catálogo)"))</f>
        <v/>
      </c>
      <c r="Y1072" s="3">
        <f>IF(tblOrdenes[[#This Row],[cod_actividad]]="","",_xlfn.XLOOKUP(tblOrdenes[[#This Row],[cod_actividad]],tblActividades[codigo],tblActividades[descripcion],"(sin catálogo)"))</f>
        <v/>
      </c>
      <c r="Z1072" s="12">
        <f>IF(tblOrdenes[[#This Row],[fecha_inicio]]="","",TODAY()-tblOrdenes[[#This Row],[fecha_inicio]])</f>
        <v/>
      </c>
      <c r="AA1072" s="3">
        <f>IF(tblOrdenes[[#This Row],[backlog_dias]]="","",IF(tblOrdenes[[#This Row],[backlog_dias]]&lt;0,"FUTURO",IF(tblOrdenes[[#This Row],[backlog_dias]]&gt;p_dias_backlog_max,"BACKLOG","MES CORRIENTE")))</f>
        <v/>
      </c>
      <c r="AB1072" s="3">
        <f>IF(tblOrdenes[[#This Row],[backlog_dias]]="",FALSE,AND(tblOrdenes[[#This Row],[backlog_dias]]&gt;p_dias_backlog_min,tblOrdenes[[#This Row],[backlog_dias]]&lt;=p_dias_backlog_max))</f>
        <v/>
      </c>
      <c r="AC1072" s="6" t="n"/>
      <c r="AD10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72" s="10">
        <f>IF(tblOrdenes[[#This Row],[orden]]="","",_xlfn.XLOOKUP(tblOrdenes[[#This Row],[id_operacion]],tblEjecucion[id_operacion],tblEjecucion[precio],0))</f>
        <v/>
      </c>
      <c r="AH1072" s="10">
        <f>IF(tblOrdenes[[#This Row],[orden]]="","",MAX(0,_xlfn.XLOOKUP(tblOrdenes[[#This Row],[id_operacion]],tblEjecucion[id_operacion],tblEjecucion[costo_plan_total],0)-tblOrdenes[[#This Row],[costo_servicio]]))</f>
        <v/>
      </c>
      <c r="AI1072" s="10">
        <f>IF(tblOrdenes[[#This Row],[orden]]="","",tblOrdenes[[#This Row],[costo_servicio]]+tblOrdenes[[#This Row],[costo_materiales]])</f>
        <v/>
      </c>
      <c r="AJ1072" s="6" t="n"/>
      <c r="AK1072" s="6" t="n"/>
      <c r="AL1072" s="6" t="n"/>
      <c r="AM1072" s="3">
        <f>IF(tblOrdenes[[#This Row],[link_checklist]]="","",HYPERLINK(p_ruta_base_checklists&amp;tblOrdenes[[#This Row],[link_checklist]],"abrir"))</f>
        <v/>
      </c>
      <c r="AN1072" s="6" t="n"/>
      <c r="AO1072" s="3">
        <f>IF(tblOrdenes[[#This Row],[orden]]="","",tblOrdenes[[#This Row],[orden]]&amp;IF(tblOrdenes[[#This Row],[operacion]]="","0010",tblOrdenes[[#This Row],[operacion]]))</f>
        <v/>
      </c>
    </row>
    <row r="1073">
      <c r="A1073" s="3" t="n"/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11" t="n"/>
      <c r="K1073" s="3" t="n"/>
      <c r="L1073" s="10" t="n"/>
      <c r="M1073" s="6" t="n"/>
      <c r="N10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73" s="3">
        <f>IF(tblOrdenes[[#This Row],[fecha_inicio]]="","",YEAR(tblOrdenes[[#This Row],[fecha_inicio]]))</f>
        <v/>
      </c>
      <c r="R1073" s="3">
        <f>IF(tblOrdenes[[#This Row],[fecha_inicio]]="","",MONTH(tblOrdenes[[#This Row],[fecha_inicio]]))</f>
        <v/>
      </c>
      <c r="S1073" s="3">
        <f>IF(tblOrdenes[[#This Row],[fecha_inicio]]="","",INDEX(lista_dias,WEEKDAY(tblOrdenes[[#This Row],[fecha_inicio]],2)))</f>
        <v/>
      </c>
      <c r="T1073" s="3">
        <f>IF(tblOrdenes[[#This Row],[tipo_ot]]="","",_xlfn.XLOOKUP(tblOrdenes[[#This Row],[tipo_ot]],tblTiposOT[codigo],tblTiposOT[clasificacion],"sin_clasificar"))</f>
        <v/>
      </c>
      <c r="U1073" s="3">
        <f>IF(tblOrdenes[[#This Row],[centro_costo]]="","",_xlfn.XLOOKUP(tblOrdenes[[#This Row],[centro_costo]],tblCECO[codigo],tblCECO[linea],"(sin catálogo)"))</f>
        <v/>
      </c>
      <c r="V1073" s="3">
        <f>IF(tblOrdenes[[#This Row],[centro_costo]]="","",_xlfn.XLOOKUP(tblOrdenes[[#This Row],[centro_costo]],tblCECO[codigo],tblCECO[area],"(sin catálogo)"))</f>
        <v/>
      </c>
      <c r="W1073" s="3">
        <f>IF(tblOrdenes[[#This Row],[centro_costo]]="","",_xlfn.XLOOKUP(tblOrdenes[[#This Row],[centro_costo]],tblCECO[codigo],tblCECO[coordinador],"(sin catálogo)"))</f>
        <v/>
      </c>
      <c r="X1073" s="3">
        <f>IF(tblOrdenes[[#This Row],[puesto_trabajo]]="","",_xlfn.XLOOKUP(tblOrdenes[[#This Row],[puesto_trabajo]],tblPuestos[codigo],tblPuestos[especialidad],"(sin catálogo)"))</f>
        <v/>
      </c>
      <c r="Y1073" s="3">
        <f>IF(tblOrdenes[[#This Row],[cod_actividad]]="","",_xlfn.XLOOKUP(tblOrdenes[[#This Row],[cod_actividad]],tblActividades[codigo],tblActividades[descripcion],"(sin catálogo)"))</f>
        <v/>
      </c>
      <c r="Z1073" s="12">
        <f>IF(tblOrdenes[[#This Row],[fecha_inicio]]="","",TODAY()-tblOrdenes[[#This Row],[fecha_inicio]])</f>
        <v/>
      </c>
      <c r="AA1073" s="3">
        <f>IF(tblOrdenes[[#This Row],[backlog_dias]]="","",IF(tblOrdenes[[#This Row],[backlog_dias]]&lt;0,"FUTURO",IF(tblOrdenes[[#This Row],[backlog_dias]]&gt;p_dias_backlog_max,"BACKLOG","MES CORRIENTE")))</f>
        <v/>
      </c>
      <c r="AB1073" s="3">
        <f>IF(tblOrdenes[[#This Row],[backlog_dias]]="",FALSE,AND(tblOrdenes[[#This Row],[backlog_dias]]&gt;p_dias_backlog_min,tblOrdenes[[#This Row],[backlog_dias]]&lt;=p_dias_backlog_max))</f>
        <v/>
      </c>
      <c r="AC1073" s="6" t="n"/>
      <c r="AD10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73" s="10">
        <f>IF(tblOrdenes[[#This Row],[orden]]="","",_xlfn.XLOOKUP(tblOrdenes[[#This Row],[id_operacion]],tblEjecucion[id_operacion],tblEjecucion[precio],0))</f>
        <v/>
      </c>
      <c r="AH1073" s="10">
        <f>IF(tblOrdenes[[#This Row],[orden]]="","",MAX(0,_xlfn.XLOOKUP(tblOrdenes[[#This Row],[id_operacion]],tblEjecucion[id_operacion],tblEjecucion[costo_plan_total],0)-tblOrdenes[[#This Row],[costo_servicio]]))</f>
        <v/>
      </c>
      <c r="AI1073" s="10">
        <f>IF(tblOrdenes[[#This Row],[orden]]="","",tblOrdenes[[#This Row],[costo_servicio]]+tblOrdenes[[#This Row],[costo_materiales]])</f>
        <v/>
      </c>
      <c r="AJ1073" s="6" t="n"/>
      <c r="AK1073" s="6" t="n"/>
      <c r="AL1073" s="6" t="n"/>
      <c r="AM1073" s="3">
        <f>IF(tblOrdenes[[#This Row],[link_checklist]]="","",HYPERLINK(p_ruta_base_checklists&amp;tblOrdenes[[#This Row],[link_checklist]],"abrir"))</f>
        <v/>
      </c>
      <c r="AN1073" s="6" t="n"/>
      <c r="AO1073" s="3">
        <f>IF(tblOrdenes[[#This Row],[orden]]="","",tblOrdenes[[#This Row],[orden]]&amp;IF(tblOrdenes[[#This Row],[operacion]]="","0010",tblOrdenes[[#This Row],[operacion]]))</f>
        <v/>
      </c>
    </row>
    <row r="1074">
      <c r="A1074" s="3" t="n"/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11" t="n"/>
      <c r="K1074" s="3" t="n"/>
      <c r="L1074" s="10" t="n"/>
      <c r="M1074" s="6" t="n"/>
      <c r="N10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74" s="3">
        <f>IF(tblOrdenes[[#This Row],[fecha_inicio]]="","",YEAR(tblOrdenes[[#This Row],[fecha_inicio]]))</f>
        <v/>
      </c>
      <c r="R1074" s="3">
        <f>IF(tblOrdenes[[#This Row],[fecha_inicio]]="","",MONTH(tblOrdenes[[#This Row],[fecha_inicio]]))</f>
        <v/>
      </c>
      <c r="S1074" s="3">
        <f>IF(tblOrdenes[[#This Row],[fecha_inicio]]="","",INDEX(lista_dias,WEEKDAY(tblOrdenes[[#This Row],[fecha_inicio]],2)))</f>
        <v/>
      </c>
      <c r="T1074" s="3">
        <f>IF(tblOrdenes[[#This Row],[tipo_ot]]="","",_xlfn.XLOOKUP(tblOrdenes[[#This Row],[tipo_ot]],tblTiposOT[codigo],tblTiposOT[clasificacion],"sin_clasificar"))</f>
        <v/>
      </c>
      <c r="U1074" s="3">
        <f>IF(tblOrdenes[[#This Row],[centro_costo]]="","",_xlfn.XLOOKUP(tblOrdenes[[#This Row],[centro_costo]],tblCECO[codigo],tblCECO[linea],"(sin catálogo)"))</f>
        <v/>
      </c>
      <c r="V1074" s="3">
        <f>IF(tblOrdenes[[#This Row],[centro_costo]]="","",_xlfn.XLOOKUP(tblOrdenes[[#This Row],[centro_costo]],tblCECO[codigo],tblCECO[area],"(sin catálogo)"))</f>
        <v/>
      </c>
      <c r="W1074" s="3">
        <f>IF(tblOrdenes[[#This Row],[centro_costo]]="","",_xlfn.XLOOKUP(tblOrdenes[[#This Row],[centro_costo]],tblCECO[codigo],tblCECO[coordinador],"(sin catálogo)"))</f>
        <v/>
      </c>
      <c r="X1074" s="3">
        <f>IF(tblOrdenes[[#This Row],[puesto_trabajo]]="","",_xlfn.XLOOKUP(tblOrdenes[[#This Row],[puesto_trabajo]],tblPuestos[codigo],tblPuestos[especialidad],"(sin catálogo)"))</f>
        <v/>
      </c>
      <c r="Y1074" s="3">
        <f>IF(tblOrdenes[[#This Row],[cod_actividad]]="","",_xlfn.XLOOKUP(tblOrdenes[[#This Row],[cod_actividad]],tblActividades[codigo],tblActividades[descripcion],"(sin catálogo)"))</f>
        <v/>
      </c>
      <c r="Z1074" s="12">
        <f>IF(tblOrdenes[[#This Row],[fecha_inicio]]="","",TODAY()-tblOrdenes[[#This Row],[fecha_inicio]])</f>
        <v/>
      </c>
      <c r="AA1074" s="3">
        <f>IF(tblOrdenes[[#This Row],[backlog_dias]]="","",IF(tblOrdenes[[#This Row],[backlog_dias]]&lt;0,"FUTURO",IF(tblOrdenes[[#This Row],[backlog_dias]]&gt;p_dias_backlog_max,"BACKLOG","MES CORRIENTE")))</f>
        <v/>
      </c>
      <c r="AB1074" s="3">
        <f>IF(tblOrdenes[[#This Row],[backlog_dias]]="",FALSE,AND(tblOrdenes[[#This Row],[backlog_dias]]&gt;p_dias_backlog_min,tblOrdenes[[#This Row],[backlog_dias]]&lt;=p_dias_backlog_max))</f>
        <v/>
      </c>
      <c r="AC1074" s="6" t="n"/>
      <c r="AD10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74" s="10">
        <f>IF(tblOrdenes[[#This Row],[orden]]="","",_xlfn.XLOOKUP(tblOrdenes[[#This Row],[id_operacion]],tblEjecucion[id_operacion],tblEjecucion[precio],0))</f>
        <v/>
      </c>
      <c r="AH1074" s="10">
        <f>IF(tblOrdenes[[#This Row],[orden]]="","",MAX(0,_xlfn.XLOOKUP(tblOrdenes[[#This Row],[id_operacion]],tblEjecucion[id_operacion],tblEjecucion[costo_plan_total],0)-tblOrdenes[[#This Row],[costo_servicio]]))</f>
        <v/>
      </c>
      <c r="AI1074" s="10">
        <f>IF(tblOrdenes[[#This Row],[orden]]="","",tblOrdenes[[#This Row],[costo_servicio]]+tblOrdenes[[#This Row],[costo_materiales]])</f>
        <v/>
      </c>
      <c r="AJ1074" s="6" t="n"/>
      <c r="AK1074" s="6" t="n"/>
      <c r="AL1074" s="6" t="n"/>
      <c r="AM1074" s="3">
        <f>IF(tblOrdenes[[#This Row],[link_checklist]]="","",HYPERLINK(p_ruta_base_checklists&amp;tblOrdenes[[#This Row],[link_checklist]],"abrir"))</f>
        <v/>
      </c>
      <c r="AN1074" s="6" t="n"/>
      <c r="AO1074" s="3">
        <f>IF(tblOrdenes[[#This Row],[orden]]="","",tblOrdenes[[#This Row],[orden]]&amp;IF(tblOrdenes[[#This Row],[operacion]]="","0010",tblOrdenes[[#This Row],[operacion]]))</f>
        <v/>
      </c>
    </row>
    <row r="1075">
      <c r="A1075" s="3" t="n"/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11" t="n"/>
      <c r="K1075" s="3" t="n"/>
      <c r="L1075" s="10" t="n"/>
      <c r="M1075" s="6" t="n"/>
      <c r="N10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75" s="3">
        <f>IF(tblOrdenes[[#This Row],[fecha_inicio]]="","",YEAR(tblOrdenes[[#This Row],[fecha_inicio]]))</f>
        <v/>
      </c>
      <c r="R1075" s="3">
        <f>IF(tblOrdenes[[#This Row],[fecha_inicio]]="","",MONTH(tblOrdenes[[#This Row],[fecha_inicio]]))</f>
        <v/>
      </c>
      <c r="S1075" s="3">
        <f>IF(tblOrdenes[[#This Row],[fecha_inicio]]="","",INDEX(lista_dias,WEEKDAY(tblOrdenes[[#This Row],[fecha_inicio]],2)))</f>
        <v/>
      </c>
      <c r="T1075" s="3">
        <f>IF(tblOrdenes[[#This Row],[tipo_ot]]="","",_xlfn.XLOOKUP(tblOrdenes[[#This Row],[tipo_ot]],tblTiposOT[codigo],tblTiposOT[clasificacion],"sin_clasificar"))</f>
        <v/>
      </c>
      <c r="U1075" s="3">
        <f>IF(tblOrdenes[[#This Row],[centro_costo]]="","",_xlfn.XLOOKUP(tblOrdenes[[#This Row],[centro_costo]],tblCECO[codigo],tblCECO[linea],"(sin catálogo)"))</f>
        <v/>
      </c>
      <c r="V1075" s="3">
        <f>IF(tblOrdenes[[#This Row],[centro_costo]]="","",_xlfn.XLOOKUP(tblOrdenes[[#This Row],[centro_costo]],tblCECO[codigo],tblCECO[area],"(sin catálogo)"))</f>
        <v/>
      </c>
      <c r="W1075" s="3">
        <f>IF(tblOrdenes[[#This Row],[centro_costo]]="","",_xlfn.XLOOKUP(tblOrdenes[[#This Row],[centro_costo]],tblCECO[codigo],tblCECO[coordinador],"(sin catálogo)"))</f>
        <v/>
      </c>
      <c r="X1075" s="3">
        <f>IF(tblOrdenes[[#This Row],[puesto_trabajo]]="","",_xlfn.XLOOKUP(tblOrdenes[[#This Row],[puesto_trabajo]],tblPuestos[codigo],tblPuestos[especialidad],"(sin catálogo)"))</f>
        <v/>
      </c>
      <c r="Y1075" s="3">
        <f>IF(tblOrdenes[[#This Row],[cod_actividad]]="","",_xlfn.XLOOKUP(tblOrdenes[[#This Row],[cod_actividad]],tblActividades[codigo],tblActividades[descripcion],"(sin catálogo)"))</f>
        <v/>
      </c>
      <c r="Z1075" s="12">
        <f>IF(tblOrdenes[[#This Row],[fecha_inicio]]="","",TODAY()-tblOrdenes[[#This Row],[fecha_inicio]])</f>
        <v/>
      </c>
      <c r="AA1075" s="3">
        <f>IF(tblOrdenes[[#This Row],[backlog_dias]]="","",IF(tblOrdenes[[#This Row],[backlog_dias]]&lt;0,"FUTURO",IF(tblOrdenes[[#This Row],[backlog_dias]]&gt;p_dias_backlog_max,"BACKLOG","MES CORRIENTE")))</f>
        <v/>
      </c>
      <c r="AB1075" s="3">
        <f>IF(tblOrdenes[[#This Row],[backlog_dias]]="",FALSE,AND(tblOrdenes[[#This Row],[backlog_dias]]&gt;p_dias_backlog_min,tblOrdenes[[#This Row],[backlog_dias]]&lt;=p_dias_backlog_max))</f>
        <v/>
      </c>
      <c r="AC1075" s="6" t="n"/>
      <c r="AD10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75" s="10">
        <f>IF(tblOrdenes[[#This Row],[orden]]="","",_xlfn.XLOOKUP(tblOrdenes[[#This Row],[id_operacion]],tblEjecucion[id_operacion],tblEjecucion[precio],0))</f>
        <v/>
      </c>
      <c r="AH1075" s="10">
        <f>IF(tblOrdenes[[#This Row],[orden]]="","",MAX(0,_xlfn.XLOOKUP(tblOrdenes[[#This Row],[id_operacion]],tblEjecucion[id_operacion],tblEjecucion[costo_plan_total],0)-tblOrdenes[[#This Row],[costo_servicio]]))</f>
        <v/>
      </c>
      <c r="AI1075" s="10">
        <f>IF(tblOrdenes[[#This Row],[orden]]="","",tblOrdenes[[#This Row],[costo_servicio]]+tblOrdenes[[#This Row],[costo_materiales]])</f>
        <v/>
      </c>
      <c r="AJ1075" s="6" t="n"/>
      <c r="AK1075" s="6" t="n"/>
      <c r="AL1075" s="6" t="n"/>
      <c r="AM1075" s="3">
        <f>IF(tblOrdenes[[#This Row],[link_checklist]]="","",HYPERLINK(p_ruta_base_checklists&amp;tblOrdenes[[#This Row],[link_checklist]],"abrir"))</f>
        <v/>
      </c>
      <c r="AN1075" s="6" t="n"/>
      <c r="AO1075" s="3">
        <f>IF(tblOrdenes[[#This Row],[orden]]="","",tblOrdenes[[#This Row],[orden]]&amp;IF(tblOrdenes[[#This Row],[operacion]]="","0010",tblOrdenes[[#This Row],[operacion]]))</f>
        <v/>
      </c>
    </row>
    <row r="1076">
      <c r="A1076" s="3" t="n"/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11" t="n"/>
      <c r="K1076" s="3" t="n"/>
      <c r="L1076" s="10" t="n"/>
      <c r="M1076" s="6" t="n"/>
      <c r="N10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76" s="3">
        <f>IF(tblOrdenes[[#This Row],[fecha_inicio]]="","",YEAR(tblOrdenes[[#This Row],[fecha_inicio]]))</f>
        <v/>
      </c>
      <c r="R1076" s="3">
        <f>IF(tblOrdenes[[#This Row],[fecha_inicio]]="","",MONTH(tblOrdenes[[#This Row],[fecha_inicio]]))</f>
        <v/>
      </c>
      <c r="S1076" s="3">
        <f>IF(tblOrdenes[[#This Row],[fecha_inicio]]="","",INDEX(lista_dias,WEEKDAY(tblOrdenes[[#This Row],[fecha_inicio]],2)))</f>
        <v/>
      </c>
      <c r="T1076" s="3">
        <f>IF(tblOrdenes[[#This Row],[tipo_ot]]="","",_xlfn.XLOOKUP(tblOrdenes[[#This Row],[tipo_ot]],tblTiposOT[codigo],tblTiposOT[clasificacion],"sin_clasificar"))</f>
        <v/>
      </c>
      <c r="U1076" s="3">
        <f>IF(tblOrdenes[[#This Row],[centro_costo]]="","",_xlfn.XLOOKUP(tblOrdenes[[#This Row],[centro_costo]],tblCECO[codigo],tblCECO[linea],"(sin catálogo)"))</f>
        <v/>
      </c>
      <c r="V1076" s="3">
        <f>IF(tblOrdenes[[#This Row],[centro_costo]]="","",_xlfn.XLOOKUP(tblOrdenes[[#This Row],[centro_costo]],tblCECO[codigo],tblCECO[area],"(sin catálogo)"))</f>
        <v/>
      </c>
      <c r="W1076" s="3">
        <f>IF(tblOrdenes[[#This Row],[centro_costo]]="","",_xlfn.XLOOKUP(tblOrdenes[[#This Row],[centro_costo]],tblCECO[codigo],tblCECO[coordinador],"(sin catálogo)"))</f>
        <v/>
      </c>
      <c r="X1076" s="3">
        <f>IF(tblOrdenes[[#This Row],[puesto_trabajo]]="","",_xlfn.XLOOKUP(tblOrdenes[[#This Row],[puesto_trabajo]],tblPuestos[codigo],tblPuestos[especialidad],"(sin catálogo)"))</f>
        <v/>
      </c>
      <c r="Y1076" s="3">
        <f>IF(tblOrdenes[[#This Row],[cod_actividad]]="","",_xlfn.XLOOKUP(tblOrdenes[[#This Row],[cod_actividad]],tblActividades[codigo],tblActividades[descripcion],"(sin catálogo)"))</f>
        <v/>
      </c>
      <c r="Z1076" s="12">
        <f>IF(tblOrdenes[[#This Row],[fecha_inicio]]="","",TODAY()-tblOrdenes[[#This Row],[fecha_inicio]])</f>
        <v/>
      </c>
      <c r="AA1076" s="3">
        <f>IF(tblOrdenes[[#This Row],[backlog_dias]]="","",IF(tblOrdenes[[#This Row],[backlog_dias]]&lt;0,"FUTURO",IF(tblOrdenes[[#This Row],[backlog_dias]]&gt;p_dias_backlog_max,"BACKLOG","MES CORRIENTE")))</f>
        <v/>
      </c>
      <c r="AB1076" s="3">
        <f>IF(tblOrdenes[[#This Row],[backlog_dias]]="",FALSE,AND(tblOrdenes[[#This Row],[backlog_dias]]&gt;p_dias_backlog_min,tblOrdenes[[#This Row],[backlog_dias]]&lt;=p_dias_backlog_max))</f>
        <v/>
      </c>
      <c r="AC1076" s="6" t="n"/>
      <c r="AD10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76" s="10">
        <f>IF(tblOrdenes[[#This Row],[orden]]="","",_xlfn.XLOOKUP(tblOrdenes[[#This Row],[id_operacion]],tblEjecucion[id_operacion],tblEjecucion[precio],0))</f>
        <v/>
      </c>
      <c r="AH1076" s="10">
        <f>IF(tblOrdenes[[#This Row],[orden]]="","",MAX(0,_xlfn.XLOOKUP(tblOrdenes[[#This Row],[id_operacion]],tblEjecucion[id_operacion],tblEjecucion[costo_plan_total],0)-tblOrdenes[[#This Row],[costo_servicio]]))</f>
        <v/>
      </c>
      <c r="AI1076" s="10">
        <f>IF(tblOrdenes[[#This Row],[orden]]="","",tblOrdenes[[#This Row],[costo_servicio]]+tblOrdenes[[#This Row],[costo_materiales]])</f>
        <v/>
      </c>
      <c r="AJ1076" s="6" t="n"/>
      <c r="AK1076" s="6" t="n"/>
      <c r="AL1076" s="6" t="n"/>
      <c r="AM1076" s="3">
        <f>IF(tblOrdenes[[#This Row],[link_checklist]]="","",HYPERLINK(p_ruta_base_checklists&amp;tblOrdenes[[#This Row],[link_checklist]],"abrir"))</f>
        <v/>
      </c>
      <c r="AN1076" s="6" t="n"/>
      <c r="AO1076" s="3">
        <f>IF(tblOrdenes[[#This Row],[orden]]="","",tblOrdenes[[#This Row],[orden]]&amp;IF(tblOrdenes[[#This Row],[operacion]]="","0010",tblOrdenes[[#This Row],[operacion]]))</f>
        <v/>
      </c>
    </row>
    <row r="1077">
      <c r="A1077" s="3" t="n"/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11" t="n"/>
      <c r="K1077" s="3" t="n"/>
      <c r="L1077" s="10" t="n"/>
      <c r="M1077" s="6" t="n"/>
      <c r="N10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77" s="3">
        <f>IF(tblOrdenes[[#This Row],[fecha_inicio]]="","",YEAR(tblOrdenes[[#This Row],[fecha_inicio]]))</f>
        <v/>
      </c>
      <c r="R1077" s="3">
        <f>IF(tblOrdenes[[#This Row],[fecha_inicio]]="","",MONTH(tblOrdenes[[#This Row],[fecha_inicio]]))</f>
        <v/>
      </c>
      <c r="S1077" s="3">
        <f>IF(tblOrdenes[[#This Row],[fecha_inicio]]="","",INDEX(lista_dias,WEEKDAY(tblOrdenes[[#This Row],[fecha_inicio]],2)))</f>
        <v/>
      </c>
      <c r="T1077" s="3">
        <f>IF(tblOrdenes[[#This Row],[tipo_ot]]="","",_xlfn.XLOOKUP(tblOrdenes[[#This Row],[tipo_ot]],tblTiposOT[codigo],tblTiposOT[clasificacion],"sin_clasificar"))</f>
        <v/>
      </c>
      <c r="U1077" s="3">
        <f>IF(tblOrdenes[[#This Row],[centro_costo]]="","",_xlfn.XLOOKUP(tblOrdenes[[#This Row],[centro_costo]],tblCECO[codigo],tblCECO[linea],"(sin catálogo)"))</f>
        <v/>
      </c>
      <c r="V1077" s="3">
        <f>IF(tblOrdenes[[#This Row],[centro_costo]]="","",_xlfn.XLOOKUP(tblOrdenes[[#This Row],[centro_costo]],tblCECO[codigo],tblCECO[area],"(sin catálogo)"))</f>
        <v/>
      </c>
      <c r="W1077" s="3">
        <f>IF(tblOrdenes[[#This Row],[centro_costo]]="","",_xlfn.XLOOKUP(tblOrdenes[[#This Row],[centro_costo]],tblCECO[codigo],tblCECO[coordinador],"(sin catálogo)"))</f>
        <v/>
      </c>
      <c r="X1077" s="3">
        <f>IF(tblOrdenes[[#This Row],[puesto_trabajo]]="","",_xlfn.XLOOKUP(tblOrdenes[[#This Row],[puesto_trabajo]],tblPuestos[codigo],tblPuestos[especialidad],"(sin catálogo)"))</f>
        <v/>
      </c>
      <c r="Y1077" s="3">
        <f>IF(tblOrdenes[[#This Row],[cod_actividad]]="","",_xlfn.XLOOKUP(tblOrdenes[[#This Row],[cod_actividad]],tblActividades[codigo],tblActividades[descripcion],"(sin catálogo)"))</f>
        <v/>
      </c>
      <c r="Z1077" s="12">
        <f>IF(tblOrdenes[[#This Row],[fecha_inicio]]="","",TODAY()-tblOrdenes[[#This Row],[fecha_inicio]])</f>
        <v/>
      </c>
      <c r="AA1077" s="3">
        <f>IF(tblOrdenes[[#This Row],[backlog_dias]]="","",IF(tblOrdenes[[#This Row],[backlog_dias]]&lt;0,"FUTURO",IF(tblOrdenes[[#This Row],[backlog_dias]]&gt;p_dias_backlog_max,"BACKLOG","MES CORRIENTE")))</f>
        <v/>
      </c>
      <c r="AB1077" s="3">
        <f>IF(tblOrdenes[[#This Row],[backlog_dias]]="",FALSE,AND(tblOrdenes[[#This Row],[backlog_dias]]&gt;p_dias_backlog_min,tblOrdenes[[#This Row],[backlog_dias]]&lt;=p_dias_backlog_max))</f>
        <v/>
      </c>
      <c r="AC1077" s="6" t="n"/>
      <c r="AD10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77" s="10">
        <f>IF(tblOrdenes[[#This Row],[orden]]="","",_xlfn.XLOOKUP(tblOrdenes[[#This Row],[id_operacion]],tblEjecucion[id_operacion],tblEjecucion[precio],0))</f>
        <v/>
      </c>
      <c r="AH1077" s="10">
        <f>IF(tblOrdenes[[#This Row],[orden]]="","",MAX(0,_xlfn.XLOOKUP(tblOrdenes[[#This Row],[id_operacion]],tblEjecucion[id_operacion],tblEjecucion[costo_plan_total],0)-tblOrdenes[[#This Row],[costo_servicio]]))</f>
        <v/>
      </c>
      <c r="AI1077" s="10">
        <f>IF(tblOrdenes[[#This Row],[orden]]="","",tblOrdenes[[#This Row],[costo_servicio]]+tblOrdenes[[#This Row],[costo_materiales]])</f>
        <v/>
      </c>
      <c r="AJ1077" s="6" t="n"/>
      <c r="AK1077" s="6" t="n"/>
      <c r="AL1077" s="6" t="n"/>
      <c r="AM1077" s="3">
        <f>IF(tblOrdenes[[#This Row],[link_checklist]]="","",HYPERLINK(p_ruta_base_checklists&amp;tblOrdenes[[#This Row],[link_checklist]],"abrir"))</f>
        <v/>
      </c>
      <c r="AN1077" s="6" t="n"/>
      <c r="AO1077" s="3">
        <f>IF(tblOrdenes[[#This Row],[orden]]="","",tblOrdenes[[#This Row],[orden]]&amp;IF(tblOrdenes[[#This Row],[operacion]]="","0010",tblOrdenes[[#This Row],[operacion]]))</f>
        <v/>
      </c>
    </row>
    <row r="1078">
      <c r="A1078" s="3" t="n"/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11" t="n"/>
      <c r="K1078" s="3" t="n"/>
      <c r="L1078" s="10" t="n"/>
      <c r="M1078" s="6" t="n"/>
      <c r="N10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78" s="3">
        <f>IF(tblOrdenes[[#This Row],[fecha_inicio]]="","",YEAR(tblOrdenes[[#This Row],[fecha_inicio]]))</f>
        <v/>
      </c>
      <c r="R1078" s="3">
        <f>IF(tblOrdenes[[#This Row],[fecha_inicio]]="","",MONTH(tblOrdenes[[#This Row],[fecha_inicio]]))</f>
        <v/>
      </c>
      <c r="S1078" s="3">
        <f>IF(tblOrdenes[[#This Row],[fecha_inicio]]="","",INDEX(lista_dias,WEEKDAY(tblOrdenes[[#This Row],[fecha_inicio]],2)))</f>
        <v/>
      </c>
      <c r="T1078" s="3">
        <f>IF(tblOrdenes[[#This Row],[tipo_ot]]="","",_xlfn.XLOOKUP(tblOrdenes[[#This Row],[tipo_ot]],tblTiposOT[codigo],tblTiposOT[clasificacion],"sin_clasificar"))</f>
        <v/>
      </c>
      <c r="U1078" s="3">
        <f>IF(tblOrdenes[[#This Row],[centro_costo]]="","",_xlfn.XLOOKUP(tblOrdenes[[#This Row],[centro_costo]],tblCECO[codigo],tblCECO[linea],"(sin catálogo)"))</f>
        <v/>
      </c>
      <c r="V1078" s="3">
        <f>IF(tblOrdenes[[#This Row],[centro_costo]]="","",_xlfn.XLOOKUP(tblOrdenes[[#This Row],[centro_costo]],tblCECO[codigo],tblCECO[area],"(sin catálogo)"))</f>
        <v/>
      </c>
      <c r="W1078" s="3">
        <f>IF(tblOrdenes[[#This Row],[centro_costo]]="","",_xlfn.XLOOKUP(tblOrdenes[[#This Row],[centro_costo]],tblCECO[codigo],tblCECO[coordinador],"(sin catálogo)"))</f>
        <v/>
      </c>
      <c r="X1078" s="3">
        <f>IF(tblOrdenes[[#This Row],[puesto_trabajo]]="","",_xlfn.XLOOKUP(tblOrdenes[[#This Row],[puesto_trabajo]],tblPuestos[codigo],tblPuestos[especialidad],"(sin catálogo)"))</f>
        <v/>
      </c>
      <c r="Y1078" s="3">
        <f>IF(tblOrdenes[[#This Row],[cod_actividad]]="","",_xlfn.XLOOKUP(tblOrdenes[[#This Row],[cod_actividad]],tblActividades[codigo],tblActividades[descripcion],"(sin catálogo)"))</f>
        <v/>
      </c>
      <c r="Z1078" s="12">
        <f>IF(tblOrdenes[[#This Row],[fecha_inicio]]="","",TODAY()-tblOrdenes[[#This Row],[fecha_inicio]])</f>
        <v/>
      </c>
      <c r="AA1078" s="3">
        <f>IF(tblOrdenes[[#This Row],[backlog_dias]]="","",IF(tblOrdenes[[#This Row],[backlog_dias]]&lt;0,"FUTURO",IF(tblOrdenes[[#This Row],[backlog_dias]]&gt;p_dias_backlog_max,"BACKLOG","MES CORRIENTE")))</f>
        <v/>
      </c>
      <c r="AB1078" s="3">
        <f>IF(tblOrdenes[[#This Row],[backlog_dias]]="",FALSE,AND(tblOrdenes[[#This Row],[backlog_dias]]&gt;p_dias_backlog_min,tblOrdenes[[#This Row],[backlog_dias]]&lt;=p_dias_backlog_max))</f>
        <v/>
      </c>
      <c r="AC1078" s="6" t="n"/>
      <c r="AD10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78" s="10">
        <f>IF(tblOrdenes[[#This Row],[orden]]="","",_xlfn.XLOOKUP(tblOrdenes[[#This Row],[id_operacion]],tblEjecucion[id_operacion],tblEjecucion[precio],0))</f>
        <v/>
      </c>
      <c r="AH1078" s="10">
        <f>IF(tblOrdenes[[#This Row],[orden]]="","",MAX(0,_xlfn.XLOOKUP(tblOrdenes[[#This Row],[id_operacion]],tblEjecucion[id_operacion],tblEjecucion[costo_plan_total],0)-tblOrdenes[[#This Row],[costo_servicio]]))</f>
        <v/>
      </c>
      <c r="AI1078" s="10">
        <f>IF(tblOrdenes[[#This Row],[orden]]="","",tblOrdenes[[#This Row],[costo_servicio]]+tblOrdenes[[#This Row],[costo_materiales]])</f>
        <v/>
      </c>
      <c r="AJ1078" s="6" t="n"/>
      <c r="AK1078" s="6" t="n"/>
      <c r="AL1078" s="6" t="n"/>
      <c r="AM1078" s="3">
        <f>IF(tblOrdenes[[#This Row],[link_checklist]]="","",HYPERLINK(p_ruta_base_checklists&amp;tblOrdenes[[#This Row],[link_checklist]],"abrir"))</f>
        <v/>
      </c>
      <c r="AN1078" s="6" t="n"/>
      <c r="AO1078" s="3">
        <f>IF(tblOrdenes[[#This Row],[orden]]="","",tblOrdenes[[#This Row],[orden]]&amp;IF(tblOrdenes[[#This Row],[operacion]]="","0010",tblOrdenes[[#This Row],[operacion]]))</f>
        <v/>
      </c>
    </row>
    <row r="1079">
      <c r="A1079" s="3" t="n"/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11" t="n"/>
      <c r="K1079" s="3" t="n"/>
      <c r="L1079" s="10" t="n"/>
      <c r="M1079" s="6" t="n"/>
      <c r="N10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79" s="3">
        <f>IF(tblOrdenes[[#This Row],[fecha_inicio]]="","",YEAR(tblOrdenes[[#This Row],[fecha_inicio]]))</f>
        <v/>
      </c>
      <c r="R1079" s="3">
        <f>IF(tblOrdenes[[#This Row],[fecha_inicio]]="","",MONTH(tblOrdenes[[#This Row],[fecha_inicio]]))</f>
        <v/>
      </c>
      <c r="S1079" s="3">
        <f>IF(tblOrdenes[[#This Row],[fecha_inicio]]="","",INDEX(lista_dias,WEEKDAY(tblOrdenes[[#This Row],[fecha_inicio]],2)))</f>
        <v/>
      </c>
      <c r="T1079" s="3">
        <f>IF(tblOrdenes[[#This Row],[tipo_ot]]="","",_xlfn.XLOOKUP(tblOrdenes[[#This Row],[tipo_ot]],tblTiposOT[codigo],tblTiposOT[clasificacion],"sin_clasificar"))</f>
        <v/>
      </c>
      <c r="U1079" s="3">
        <f>IF(tblOrdenes[[#This Row],[centro_costo]]="","",_xlfn.XLOOKUP(tblOrdenes[[#This Row],[centro_costo]],tblCECO[codigo],tblCECO[linea],"(sin catálogo)"))</f>
        <v/>
      </c>
      <c r="V1079" s="3">
        <f>IF(tblOrdenes[[#This Row],[centro_costo]]="","",_xlfn.XLOOKUP(tblOrdenes[[#This Row],[centro_costo]],tblCECO[codigo],tblCECO[area],"(sin catálogo)"))</f>
        <v/>
      </c>
      <c r="W1079" s="3">
        <f>IF(tblOrdenes[[#This Row],[centro_costo]]="","",_xlfn.XLOOKUP(tblOrdenes[[#This Row],[centro_costo]],tblCECO[codigo],tblCECO[coordinador],"(sin catálogo)"))</f>
        <v/>
      </c>
      <c r="X1079" s="3">
        <f>IF(tblOrdenes[[#This Row],[puesto_trabajo]]="","",_xlfn.XLOOKUP(tblOrdenes[[#This Row],[puesto_trabajo]],tblPuestos[codigo],tblPuestos[especialidad],"(sin catálogo)"))</f>
        <v/>
      </c>
      <c r="Y1079" s="3">
        <f>IF(tblOrdenes[[#This Row],[cod_actividad]]="","",_xlfn.XLOOKUP(tblOrdenes[[#This Row],[cod_actividad]],tblActividades[codigo],tblActividades[descripcion],"(sin catálogo)"))</f>
        <v/>
      </c>
      <c r="Z1079" s="12">
        <f>IF(tblOrdenes[[#This Row],[fecha_inicio]]="","",TODAY()-tblOrdenes[[#This Row],[fecha_inicio]])</f>
        <v/>
      </c>
      <c r="AA1079" s="3">
        <f>IF(tblOrdenes[[#This Row],[backlog_dias]]="","",IF(tblOrdenes[[#This Row],[backlog_dias]]&lt;0,"FUTURO",IF(tblOrdenes[[#This Row],[backlog_dias]]&gt;p_dias_backlog_max,"BACKLOG","MES CORRIENTE")))</f>
        <v/>
      </c>
      <c r="AB1079" s="3">
        <f>IF(tblOrdenes[[#This Row],[backlog_dias]]="",FALSE,AND(tblOrdenes[[#This Row],[backlog_dias]]&gt;p_dias_backlog_min,tblOrdenes[[#This Row],[backlog_dias]]&lt;=p_dias_backlog_max))</f>
        <v/>
      </c>
      <c r="AC1079" s="6" t="n"/>
      <c r="AD10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79" s="10">
        <f>IF(tblOrdenes[[#This Row],[orden]]="","",_xlfn.XLOOKUP(tblOrdenes[[#This Row],[id_operacion]],tblEjecucion[id_operacion],tblEjecucion[precio],0))</f>
        <v/>
      </c>
      <c r="AH1079" s="10">
        <f>IF(tblOrdenes[[#This Row],[orden]]="","",MAX(0,_xlfn.XLOOKUP(tblOrdenes[[#This Row],[id_operacion]],tblEjecucion[id_operacion],tblEjecucion[costo_plan_total],0)-tblOrdenes[[#This Row],[costo_servicio]]))</f>
        <v/>
      </c>
      <c r="AI1079" s="10">
        <f>IF(tblOrdenes[[#This Row],[orden]]="","",tblOrdenes[[#This Row],[costo_servicio]]+tblOrdenes[[#This Row],[costo_materiales]])</f>
        <v/>
      </c>
      <c r="AJ1079" s="6" t="n"/>
      <c r="AK1079" s="6" t="n"/>
      <c r="AL1079" s="6" t="n"/>
      <c r="AM1079" s="3">
        <f>IF(tblOrdenes[[#This Row],[link_checklist]]="","",HYPERLINK(p_ruta_base_checklists&amp;tblOrdenes[[#This Row],[link_checklist]],"abrir"))</f>
        <v/>
      </c>
      <c r="AN1079" s="6" t="n"/>
      <c r="AO1079" s="3">
        <f>IF(tblOrdenes[[#This Row],[orden]]="","",tblOrdenes[[#This Row],[orden]]&amp;IF(tblOrdenes[[#This Row],[operacion]]="","0010",tblOrdenes[[#This Row],[operacion]]))</f>
        <v/>
      </c>
    </row>
    <row r="1080">
      <c r="A1080" s="3" t="n"/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11" t="n"/>
      <c r="K1080" s="3" t="n"/>
      <c r="L1080" s="10" t="n"/>
      <c r="M1080" s="6" t="n"/>
      <c r="N10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80" s="3">
        <f>IF(tblOrdenes[[#This Row],[fecha_inicio]]="","",YEAR(tblOrdenes[[#This Row],[fecha_inicio]]))</f>
        <v/>
      </c>
      <c r="R1080" s="3">
        <f>IF(tblOrdenes[[#This Row],[fecha_inicio]]="","",MONTH(tblOrdenes[[#This Row],[fecha_inicio]]))</f>
        <v/>
      </c>
      <c r="S1080" s="3">
        <f>IF(tblOrdenes[[#This Row],[fecha_inicio]]="","",INDEX(lista_dias,WEEKDAY(tblOrdenes[[#This Row],[fecha_inicio]],2)))</f>
        <v/>
      </c>
      <c r="T1080" s="3">
        <f>IF(tblOrdenes[[#This Row],[tipo_ot]]="","",_xlfn.XLOOKUP(tblOrdenes[[#This Row],[tipo_ot]],tblTiposOT[codigo],tblTiposOT[clasificacion],"sin_clasificar"))</f>
        <v/>
      </c>
      <c r="U1080" s="3">
        <f>IF(tblOrdenes[[#This Row],[centro_costo]]="","",_xlfn.XLOOKUP(tblOrdenes[[#This Row],[centro_costo]],tblCECO[codigo],tblCECO[linea],"(sin catálogo)"))</f>
        <v/>
      </c>
      <c r="V1080" s="3">
        <f>IF(tblOrdenes[[#This Row],[centro_costo]]="","",_xlfn.XLOOKUP(tblOrdenes[[#This Row],[centro_costo]],tblCECO[codigo],tblCECO[area],"(sin catálogo)"))</f>
        <v/>
      </c>
      <c r="W1080" s="3">
        <f>IF(tblOrdenes[[#This Row],[centro_costo]]="","",_xlfn.XLOOKUP(tblOrdenes[[#This Row],[centro_costo]],tblCECO[codigo],tblCECO[coordinador],"(sin catálogo)"))</f>
        <v/>
      </c>
      <c r="X1080" s="3">
        <f>IF(tblOrdenes[[#This Row],[puesto_trabajo]]="","",_xlfn.XLOOKUP(tblOrdenes[[#This Row],[puesto_trabajo]],tblPuestos[codigo],tblPuestos[especialidad],"(sin catálogo)"))</f>
        <v/>
      </c>
      <c r="Y1080" s="3">
        <f>IF(tblOrdenes[[#This Row],[cod_actividad]]="","",_xlfn.XLOOKUP(tblOrdenes[[#This Row],[cod_actividad]],tblActividades[codigo],tblActividades[descripcion],"(sin catálogo)"))</f>
        <v/>
      </c>
      <c r="Z1080" s="12">
        <f>IF(tblOrdenes[[#This Row],[fecha_inicio]]="","",TODAY()-tblOrdenes[[#This Row],[fecha_inicio]])</f>
        <v/>
      </c>
      <c r="AA1080" s="3">
        <f>IF(tblOrdenes[[#This Row],[backlog_dias]]="","",IF(tblOrdenes[[#This Row],[backlog_dias]]&lt;0,"FUTURO",IF(tblOrdenes[[#This Row],[backlog_dias]]&gt;p_dias_backlog_max,"BACKLOG","MES CORRIENTE")))</f>
        <v/>
      </c>
      <c r="AB1080" s="3">
        <f>IF(tblOrdenes[[#This Row],[backlog_dias]]="",FALSE,AND(tblOrdenes[[#This Row],[backlog_dias]]&gt;p_dias_backlog_min,tblOrdenes[[#This Row],[backlog_dias]]&lt;=p_dias_backlog_max))</f>
        <v/>
      </c>
      <c r="AC1080" s="6" t="n"/>
      <c r="AD10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80" s="10">
        <f>IF(tblOrdenes[[#This Row],[orden]]="","",_xlfn.XLOOKUP(tblOrdenes[[#This Row],[id_operacion]],tblEjecucion[id_operacion],tblEjecucion[precio],0))</f>
        <v/>
      </c>
      <c r="AH1080" s="10">
        <f>IF(tblOrdenes[[#This Row],[orden]]="","",MAX(0,_xlfn.XLOOKUP(tblOrdenes[[#This Row],[id_operacion]],tblEjecucion[id_operacion],tblEjecucion[costo_plan_total],0)-tblOrdenes[[#This Row],[costo_servicio]]))</f>
        <v/>
      </c>
      <c r="AI1080" s="10">
        <f>IF(tblOrdenes[[#This Row],[orden]]="","",tblOrdenes[[#This Row],[costo_servicio]]+tblOrdenes[[#This Row],[costo_materiales]])</f>
        <v/>
      </c>
      <c r="AJ1080" s="6" t="n"/>
      <c r="AK1080" s="6" t="n"/>
      <c r="AL1080" s="6" t="n"/>
      <c r="AM1080" s="3">
        <f>IF(tblOrdenes[[#This Row],[link_checklist]]="","",HYPERLINK(p_ruta_base_checklists&amp;tblOrdenes[[#This Row],[link_checklist]],"abrir"))</f>
        <v/>
      </c>
      <c r="AN1080" s="6" t="n"/>
      <c r="AO1080" s="3">
        <f>IF(tblOrdenes[[#This Row],[orden]]="","",tblOrdenes[[#This Row],[orden]]&amp;IF(tblOrdenes[[#This Row],[operacion]]="","0010",tblOrdenes[[#This Row],[operacion]]))</f>
        <v/>
      </c>
    </row>
    <row r="1081">
      <c r="A1081" s="3" t="n"/>
      <c r="B1081" s="3" t="n"/>
      <c r="C1081" s="3" t="n"/>
      <c r="D1081" s="3" t="n"/>
      <c r="E1081" s="3" t="n"/>
      <c r="F1081" s="3" t="n"/>
      <c r="G1081" s="3" t="n"/>
      <c r="H1081" s="3" t="n"/>
      <c r="I1081" s="3" t="n"/>
      <c r="J1081" s="11" t="n"/>
      <c r="K1081" s="3" t="n"/>
      <c r="L1081" s="10" t="n"/>
      <c r="M1081" s="6" t="n"/>
      <c r="N10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81" s="3">
        <f>IF(tblOrdenes[[#This Row],[fecha_inicio]]="","",YEAR(tblOrdenes[[#This Row],[fecha_inicio]]))</f>
        <v/>
      </c>
      <c r="R1081" s="3">
        <f>IF(tblOrdenes[[#This Row],[fecha_inicio]]="","",MONTH(tblOrdenes[[#This Row],[fecha_inicio]]))</f>
        <v/>
      </c>
      <c r="S1081" s="3">
        <f>IF(tblOrdenes[[#This Row],[fecha_inicio]]="","",INDEX(lista_dias,WEEKDAY(tblOrdenes[[#This Row],[fecha_inicio]],2)))</f>
        <v/>
      </c>
      <c r="T1081" s="3">
        <f>IF(tblOrdenes[[#This Row],[tipo_ot]]="","",_xlfn.XLOOKUP(tblOrdenes[[#This Row],[tipo_ot]],tblTiposOT[codigo],tblTiposOT[clasificacion],"sin_clasificar"))</f>
        <v/>
      </c>
      <c r="U1081" s="3">
        <f>IF(tblOrdenes[[#This Row],[centro_costo]]="","",_xlfn.XLOOKUP(tblOrdenes[[#This Row],[centro_costo]],tblCECO[codigo],tblCECO[linea],"(sin catálogo)"))</f>
        <v/>
      </c>
      <c r="V1081" s="3">
        <f>IF(tblOrdenes[[#This Row],[centro_costo]]="","",_xlfn.XLOOKUP(tblOrdenes[[#This Row],[centro_costo]],tblCECO[codigo],tblCECO[area],"(sin catálogo)"))</f>
        <v/>
      </c>
      <c r="W1081" s="3">
        <f>IF(tblOrdenes[[#This Row],[centro_costo]]="","",_xlfn.XLOOKUP(tblOrdenes[[#This Row],[centro_costo]],tblCECO[codigo],tblCECO[coordinador],"(sin catálogo)"))</f>
        <v/>
      </c>
      <c r="X1081" s="3">
        <f>IF(tblOrdenes[[#This Row],[puesto_trabajo]]="","",_xlfn.XLOOKUP(tblOrdenes[[#This Row],[puesto_trabajo]],tblPuestos[codigo],tblPuestos[especialidad],"(sin catálogo)"))</f>
        <v/>
      </c>
      <c r="Y1081" s="3">
        <f>IF(tblOrdenes[[#This Row],[cod_actividad]]="","",_xlfn.XLOOKUP(tblOrdenes[[#This Row],[cod_actividad]],tblActividades[codigo],tblActividades[descripcion],"(sin catálogo)"))</f>
        <v/>
      </c>
      <c r="Z1081" s="12">
        <f>IF(tblOrdenes[[#This Row],[fecha_inicio]]="","",TODAY()-tblOrdenes[[#This Row],[fecha_inicio]])</f>
        <v/>
      </c>
      <c r="AA1081" s="3">
        <f>IF(tblOrdenes[[#This Row],[backlog_dias]]="","",IF(tblOrdenes[[#This Row],[backlog_dias]]&lt;0,"FUTURO",IF(tblOrdenes[[#This Row],[backlog_dias]]&gt;p_dias_backlog_max,"BACKLOG","MES CORRIENTE")))</f>
        <v/>
      </c>
      <c r="AB1081" s="3">
        <f>IF(tblOrdenes[[#This Row],[backlog_dias]]="",FALSE,AND(tblOrdenes[[#This Row],[backlog_dias]]&gt;p_dias_backlog_min,tblOrdenes[[#This Row],[backlog_dias]]&lt;=p_dias_backlog_max))</f>
        <v/>
      </c>
      <c r="AC1081" s="6" t="n"/>
      <c r="AD10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81" s="10">
        <f>IF(tblOrdenes[[#This Row],[orden]]="","",_xlfn.XLOOKUP(tblOrdenes[[#This Row],[id_operacion]],tblEjecucion[id_operacion],tblEjecucion[precio],0))</f>
        <v/>
      </c>
      <c r="AH1081" s="10">
        <f>IF(tblOrdenes[[#This Row],[orden]]="","",MAX(0,_xlfn.XLOOKUP(tblOrdenes[[#This Row],[id_operacion]],tblEjecucion[id_operacion],tblEjecucion[costo_plan_total],0)-tblOrdenes[[#This Row],[costo_servicio]]))</f>
        <v/>
      </c>
      <c r="AI1081" s="10">
        <f>IF(tblOrdenes[[#This Row],[orden]]="","",tblOrdenes[[#This Row],[costo_servicio]]+tblOrdenes[[#This Row],[costo_materiales]])</f>
        <v/>
      </c>
      <c r="AJ1081" s="6" t="n"/>
      <c r="AK1081" s="6" t="n"/>
      <c r="AL1081" s="6" t="n"/>
      <c r="AM1081" s="3">
        <f>IF(tblOrdenes[[#This Row],[link_checklist]]="","",HYPERLINK(p_ruta_base_checklists&amp;tblOrdenes[[#This Row],[link_checklist]],"abrir"))</f>
        <v/>
      </c>
      <c r="AN1081" s="6" t="n"/>
      <c r="AO1081" s="3">
        <f>IF(tblOrdenes[[#This Row],[orden]]="","",tblOrdenes[[#This Row],[orden]]&amp;IF(tblOrdenes[[#This Row],[operacion]]="","0010",tblOrdenes[[#This Row],[operacion]]))</f>
        <v/>
      </c>
    </row>
    <row r="1082">
      <c r="A1082" s="3" t="n"/>
      <c r="B1082" s="3" t="n"/>
      <c r="C1082" s="3" t="n"/>
      <c r="D1082" s="3" t="n"/>
      <c r="E1082" s="3" t="n"/>
      <c r="F1082" s="3" t="n"/>
      <c r="G1082" s="3" t="n"/>
      <c r="H1082" s="3" t="n"/>
      <c r="I1082" s="3" t="n"/>
      <c r="J1082" s="11" t="n"/>
      <c r="K1082" s="3" t="n"/>
      <c r="L1082" s="10" t="n"/>
      <c r="M1082" s="6" t="n"/>
      <c r="N10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82" s="3">
        <f>IF(tblOrdenes[[#This Row],[fecha_inicio]]="","",YEAR(tblOrdenes[[#This Row],[fecha_inicio]]))</f>
        <v/>
      </c>
      <c r="R1082" s="3">
        <f>IF(tblOrdenes[[#This Row],[fecha_inicio]]="","",MONTH(tblOrdenes[[#This Row],[fecha_inicio]]))</f>
        <v/>
      </c>
      <c r="S1082" s="3">
        <f>IF(tblOrdenes[[#This Row],[fecha_inicio]]="","",INDEX(lista_dias,WEEKDAY(tblOrdenes[[#This Row],[fecha_inicio]],2)))</f>
        <v/>
      </c>
      <c r="T1082" s="3">
        <f>IF(tblOrdenes[[#This Row],[tipo_ot]]="","",_xlfn.XLOOKUP(tblOrdenes[[#This Row],[tipo_ot]],tblTiposOT[codigo],tblTiposOT[clasificacion],"sin_clasificar"))</f>
        <v/>
      </c>
      <c r="U1082" s="3">
        <f>IF(tblOrdenes[[#This Row],[centro_costo]]="","",_xlfn.XLOOKUP(tblOrdenes[[#This Row],[centro_costo]],tblCECO[codigo],tblCECO[linea],"(sin catálogo)"))</f>
        <v/>
      </c>
      <c r="V1082" s="3">
        <f>IF(tblOrdenes[[#This Row],[centro_costo]]="","",_xlfn.XLOOKUP(tblOrdenes[[#This Row],[centro_costo]],tblCECO[codigo],tblCECO[area],"(sin catálogo)"))</f>
        <v/>
      </c>
      <c r="W1082" s="3">
        <f>IF(tblOrdenes[[#This Row],[centro_costo]]="","",_xlfn.XLOOKUP(tblOrdenes[[#This Row],[centro_costo]],tblCECO[codigo],tblCECO[coordinador],"(sin catálogo)"))</f>
        <v/>
      </c>
      <c r="X1082" s="3">
        <f>IF(tblOrdenes[[#This Row],[puesto_trabajo]]="","",_xlfn.XLOOKUP(tblOrdenes[[#This Row],[puesto_trabajo]],tblPuestos[codigo],tblPuestos[especialidad],"(sin catálogo)"))</f>
        <v/>
      </c>
      <c r="Y1082" s="3">
        <f>IF(tblOrdenes[[#This Row],[cod_actividad]]="","",_xlfn.XLOOKUP(tblOrdenes[[#This Row],[cod_actividad]],tblActividades[codigo],tblActividades[descripcion],"(sin catálogo)"))</f>
        <v/>
      </c>
      <c r="Z1082" s="12">
        <f>IF(tblOrdenes[[#This Row],[fecha_inicio]]="","",TODAY()-tblOrdenes[[#This Row],[fecha_inicio]])</f>
        <v/>
      </c>
      <c r="AA1082" s="3">
        <f>IF(tblOrdenes[[#This Row],[backlog_dias]]="","",IF(tblOrdenes[[#This Row],[backlog_dias]]&lt;0,"FUTURO",IF(tblOrdenes[[#This Row],[backlog_dias]]&gt;p_dias_backlog_max,"BACKLOG","MES CORRIENTE")))</f>
        <v/>
      </c>
      <c r="AB1082" s="3">
        <f>IF(tblOrdenes[[#This Row],[backlog_dias]]="",FALSE,AND(tblOrdenes[[#This Row],[backlog_dias]]&gt;p_dias_backlog_min,tblOrdenes[[#This Row],[backlog_dias]]&lt;=p_dias_backlog_max))</f>
        <v/>
      </c>
      <c r="AC1082" s="6" t="n"/>
      <c r="AD10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82" s="10">
        <f>IF(tblOrdenes[[#This Row],[orden]]="","",_xlfn.XLOOKUP(tblOrdenes[[#This Row],[id_operacion]],tblEjecucion[id_operacion],tblEjecucion[precio],0))</f>
        <v/>
      </c>
      <c r="AH1082" s="10">
        <f>IF(tblOrdenes[[#This Row],[orden]]="","",MAX(0,_xlfn.XLOOKUP(tblOrdenes[[#This Row],[id_operacion]],tblEjecucion[id_operacion],tblEjecucion[costo_plan_total],0)-tblOrdenes[[#This Row],[costo_servicio]]))</f>
        <v/>
      </c>
      <c r="AI1082" s="10">
        <f>IF(tblOrdenes[[#This Row],[orden]]="","",tblOrdenes[[#This Row],[costo_servicio]]+tblOrdenes[[#This Row],[costo_materiales]])</f>
        <v/>
      </c>
      <c r="AJ1082" s="6" t="n"/>
      <c r="AK1082" s="6" t="n"/>
      <c r="AL1082" s="6" t="n"/>
      <c r="AM1082" s="3">
        <f>IF(tblOrdenes[[#This Row],[link_checklist]]="","",HYPERLINK(p_ruta_base_checklists&amp;tblOrdenes[[#This Row],[link_checklist]],"abrir"))</f>
        <v/>
      </c>
      <c r="AN1082" s="6" t="n"/>
      <c r="AO1082" s="3">
        <f>IF(tblOrdenes[[#This Row],[orden]]="","",tblOrdenes[[#This Row],[orden]]&amp;IF(tblOrdenes[[#This Row],[operacion]]="","0010",tblOrdenes[[#This Row],[operacion]]))</f>
        <v/>
      </c>
    </row>
    <row r="1083">
      <c r="A1083" s="3" t="n"/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11" t="n"/>
      <c r="K1083" s="3" t="n"/>
      <c r="L1083" s="10" t="n"/>
      <c r="M1083" s="6" t="n"/>
      <c r="N10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83" s="3">
        <f>IF(tblOrdenes[[#This Row],[fecha_inicio]]="","",YEAR(tblOrdenes[[#This Row],[fecha_inicio]]))</f>
        <v/>
      </c>
      <c r="R1083" s="3">
        <f>IF(tblOrdenes[[#This Row],[fecha_inicio]]="","",MONTH(tblOrdenes[[#This Row],[fecha_inicio]]))</f>
        <v/>
      </c>
      <c r="S1083" s="3">
        <f>IF(tblOrdenes[[#This Row],[fecha_inicio]]="","",INDEX(lista_dias,WEEKDAY(tblOrdenes[[#This Row],[fecha_inicio]],2)))</f>
        <v/>
      </c>
      <c r="T1083" s="3">
        <f>IF(tblOrdenes[[#This Row],[tipo_ot]]="","",_xlfn.XLOOKUP(tblOrdenes[[#This Row],[tipo_ot]],tblTiposOT[codigo],tblTiposOT[clasificacion],"sin_clasificar"))</f>
        <v/>
      </c>
      <c r="U1083" s="3">
        <f>IF(tblOrdenes[[#This Row],[centro_costo]]="","",_xlfn.XLOOKUP(tblOrdenes[[#This Row],[centro_costo]],tblCECO[codigo],tblCECO[linea],"(sin catálogo)"))</f>
        <v/>
      </c>
      <c r="V1083" s="3">
        <f>IF(tblOrdenes[[#This Row],[centro_costo]]="","",_xlfn.XLOOKUP(tblOrdenes[[#This Row],[centro_costo]],tblCECO[codigo],tblCECO[area],"(sin catálogo)"))</f>
        <v/>
      </c>
      <c r="W1083" s="3">
        <f>IF(tblOrdenes[[#This Row],[centro_costo]]="","",_xlfn.XLOOKUP(tblOrdenes[[#This Row],[centro_costo]],tblCECO[codigo],tblCECO[coordinador],"(sin catálogo)"))</f>
        <v/>
      </c>
      <c r="X1083" s="3">
        <f>IF(tblOrdenes[[#This Row],[puesto_trabajo]]="","",_xlfn.XLOOKUP(tblOrdenes[[#This Row],[puesto_trabajo]],tblPuestos[codigo],tblPuestos[especialidad],"(sin catálogo)"))</f>
        <v/>
      </c>
      <c r="Y1083" s="3">
        <f>IF(tblOrdenes[[#This Row],[cod_actividad]]="","",_xlfn.XLOOKUP(tblOrdenes[[#This Row],[cod_actividad]],tblActividades[codigo],tblActividades[descripcion],"(sin catálogo)"))</f>
        <v/>
      </c>
      <c r="Z1083" s="12">
        <f>IF(tblOrdenes[[#This Row],[fecha_inicio]]="","",TODAY()-tblOrdenes[[#This Row],[fecha_inicio]])</f>
        <v/>
      </c>
      <c r="AA1083" s="3">
        <f>IF(tblOrdenes[[#This Row],[backlog_dias]]="","",IF(tblOrdenes[[#This Row],[backlog_dias]]&lt;0,"FUTURO",IF(tblOrdenes[[#This Row],[backlog_dias]]&gt;p_dias_backlog_max,"BACKLOG","MES CORRIENTE")))</f>
        <v/>
      </c>
      <c r="AB1083" s="3">
        <f>IF(tblOrdenes[[#This Row],[backlog_dias]]="",FALSE,AND(tblOrdenes[[#This Row],[backlog_dias]]&gt;p_dias_backlog_min,tblOrdenes[[#This Row],[backlog_dias]]&lt;=p_dias_backlog_max))</f>
        <v/>
      </c>
      <c r="AC1083" s="6" t="n"/>
      <c r="AD10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83" s="10">
        <f>IF(tblOrdenes[[#This Row],[orden]]="","",_xlfn.XLOOKUP(tblOrdenes[[#This Row],[id_operacion]],tblEjecucion[id_operacion],tblEjecucion[precio],0))</f>
        <v/>
      </c>
      <c r="AH1083" s="10">
        <f>IF(tblOrdenes[[#This Row],[orden]]="","",MAX(0,_xlfn.XLOOKUP(tblOrdenes[[#This Row],[id_operacion]],tblEjecucion[id_operacion],tblEjecucion[costo_plan_total],0)-tblOrdenes[[#This Row],[costo_servicio]]))</f>
        <v/>
      </c>
      <c r="AI1083" s="10">
        <f>IF(tblOrdenes[[#This Row],[orden]]="","",tblOrdenes[[#This Row],[costo_servicio]]+tblOrdenes[[#This Row],[costo_materiales]])</f>
        <v/>
      </c>
      <c r="AJ1083" s="6" t="n"/>
      <c r="AK1083" s="6" t="n"/>
      <c r="AL1083" s="6" t="n"/>
      <c r="AM1083" s="3">
        <f>IF(tblOrdenes[[#This Row],[link_checklist]]="","",HYPERLINK(p_ruta_base_checklists&amp;tblOrdenes[[#This Row],[link_checklist]],"abrir"))</f>
        <v/>
      </c>
      <c r="AN1083" s="6" t="n"/>
      <c r="AO1083" s="3">
        <f>IF(tblOrdenes[[#This Row],[orden]]="","",tblOrdenes[[#This Row],[orden]]&amp;IF(tblOrdenes[[#This Row],[operacion]]="","0010",tblOrdenes[[#This Row],[operacion]]))</f>
        <v/>
      </c>
    </row>
    <row r="1084">
      <c r="A1084" s="3" t="n"/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11" t="n"/>
      <c r="K1084" s="3" t="n"/>
      <c r="L1084" s="10" t="n"/>
      <c r="M1084" s="6" t="n"/>
      <c r="N10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84" s="3">
        <f>IF(tblOrdenes[[#This Row],[fecha_inicio]]="","",YEAR(tblOrdenes[[#This Row],[fecha_inicio]]))</f>
        <v/>
      </c>
      <c r="R1084" s="3">
        <f>IF(tblOrdenes[[#This Row],[fecha_inicio]]="","",MONTH(tblOrdenes[[#This Row],[fecha_inicio]]))</f>
        <v/>
      </c>
      <c r="S1084" s="3">
        <f>IF(tblOrdenes[[#This Row],[fecha_inicio]]="","",INDEX(lista_dias,WEEKDAY(tblOrdenes[[#This Row],[fecha_inicio]],2)))</f>
        <v/>
      </c>
      <c r="T1084" s="3">
        <f>IF(tblOrdenes[[#This Row],[tipo_ot]]="","",_xlfn.XLOOKUP(tblOrdenes[[#This Row],[tipo_ot]],tblTiposOT[codigo],tblTiposOT[clasificacion],"sin_clasificar"))</f>
        <v/>
      </c>
      <c r="U1084" s="3">
        <f>IF(tblOrdenes[[#This Row],[centro_costo]]="","",_xlfn.XLOOKUP(tblOrdenes[[#This Row],[centro_costo]],tblCECO[codigo],tblCECO[linea],"(sin catálogo)"))</f>
        <v/>
      </c>
      <c r="V1084" s="3">
        <f>IF(tblOrdenes[[#This Row],[centro_costo]]="","",_xlfn.XLOOKUP(tblOrdenes[[#This Row],[centro_costo]],tblCECO[codigo],tblCECO[area],"(sin catálogo)"))</f>
        <v/>
      </c>
      <c r="W1084" s="3">
        <f>IF(tblOrdenes[[#This Row],[centro_costo]]="","",_xlfn.XLOOKUP(tblOrdenes[[#This Row],[centro_costo]],tblCECO[codigo],tblCECO[coordinador],"(sin catálogo)"))</f>
        <v/>
      </c>
      <c r="X1084" s="3">
        <f>IF(tblOrdenes[[#This Row],[puesto_trabajo]]="","",_xlfn.XLOOKUP(tblOrdenes[[#This Row],[puesto_trabajo]],tblPuestos[codigo],tblPuestos[especialidad],"(sin catálogo)"))</f>
        <v/>
      </c>
      <c r="Y1084" s="3">
        <f>IF(tblOrdenes[[#This Row],[cod_actividad]]="","",_xlfn.XLOOKUP(tblOrdenes[[#This Row],[cod_actividad]],tblActividades[codigo],tblActividades[descripcion],"(sin catálogo)"))</f>
        <v/>
      </c>
      <c r="Z1084" s="12">
        <f>IF(tblOrdenes[[#This Row],[fecha_inicio]]="","",TODAY()-tblOrdenes[[#This Row],[fecha_inicio]])</f>
        <v/>
      </c>
      <c r="AA1084" s="3">
        <f>IF(tblOrdenes[[#This Row],[backlog_dias]]="","",IF(tblOrdenes[[#This Row],[backlog_dias]]&lt;0,"FUTURO",IF(tblOrdenes[[#This Row],[backlog_dias]]&gt;p_dias_backlog_max,"BACKLOG","MES CORRIENTE")))</f>
        <v/>
      </c>
      <c r="AB1084" s="3">
        <f>IF(tblOrdenes[[#This Row],[backlog_dias]]="",FALSE,AND(tblOrdenes[[#This Row],[backlog_dias]]&gt;p_dias_backlog_min,tblOrdenes[[#This Row],[backlog_dias]]&lt;=p_dias_backlog_max))</f>
        <v/>
      </c>
      <c r="AC1084" s="6" t="n"/>
      <c r="AD10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84" s="10">
        <f>IF(tblOrdenes[[#This Row],[orden]]="","",_xlfn.XLOOKUP(tblOrdenes[[#This Row],[id_operacion]],tblEjecucion[id_operacion],tblEjecucion[precio],0))</f>
        <v/>
      </c>
      <c r="AH1084" s="10">
        <f>IF(tblOrdenes[[#This Row],[orden]]="","",MAX(0,_xlfn.XLOOKUP(tblOrdenes[[#This Row],[id_operacion]],tblEjecucion[id_operacion],tblEjecucion[costo_plan_total],0)-tblOrdenes[[#This Row],[costo_servicio]]))</f>
        <v/>
      </c>
      <c r="AI1084" s="10">
        <f>IF(tblOrdenes[[#This Row],[orden]]="","",tblOrdenes[[#This Row],[costo_servicio]]+tblOrdenes[[#This Row],[costo_materiales]])</f>
        <v/>
      </c>
      <c r="AJ1084" s="6" t="n"/>
      <c r="AK1084" s="6" t="n"/>
      <c r="AL1084" s="6" t="n"/>
      <c r="AM1084" s="3">
        <f>IF(tblOrdenes[[#This Row],[link_checklist]]="","",HYPERLINK(p_ruta_base_checklists&amp;tblOrdenes[[#This Row],[link_checklist]],"abrir"))</f>
        <v/>
      </c>
      <c r="AN1084" s="6" t="n"/>
      <c r="AO1084" s="3">
        <f>IF(tblOrdenes[[#This Row],[orden]]="","",tblOrdenes[[#This Row],[orden]]&amp;IF(tblOrdenes[[#This Row],[operacion]]="","0010",tblOrdenes[[#This Row],[operacion]]))</f>
        <v/>
      </c>
    </row>
    <row r="1085">
      <c r="A1085" s="3" t="n"/>
      <c r="B1085" s="3" t="n"/>
      <c r="C1085" s="3" t="n"/>
      <c r="D1085" s="3" t="n"/>
      <c r="E1085" s="3" t="n"/>
      <c r="F1085" s="3" t="n"/>
      <c r="G1085" s="3" t="n"/>
      <c r="H1085" s="3" t="n"/>
      <c r="I1085" s="3" t="n"/>
      <c r="J1085" s="11" t="n"/>
      <c r="K1085" s="3" t="n"/>
      <c r="L1085" s="10" t="n"/>
      <c r="M1085" s="6" t="n"/>
      <c r="N10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85" s="3">
        <f>IF(tblOrdenes[[#This Row],[fecha_inicio]]="","",YEAR(tblOrdenes[[#This Row],[fecha_inicio]]))</f>
        <v/>
      </c>
      <c r="R1085" s="3">
        <f>IF(tblOrdenes[[#This Row],[fecha_inicio]]="","",MONTH(tblOrdenes[[#This Row],[fecha_inicio]]))</f>
        <v/>
      </c>
      <c r="S1085" s="3">
        <f>IF(tblOrdenes[[#This Row],[fecha_inicio]]="","",INDEX(lista_dias,WEEKDAY(tblOrdenes[[#This Row],[fecha_inicio]],2)))</f>
        <v/>
      </c>
      <c r="T1085" s="3">
        <f>IF(tblOrdenes[[#This Row],[tipo_ot]]="","",_xlfn.XLOOKUP(tblOrdenes[[#This Row],[tipo_ot]],tblTiposOT[codigo],tblTiposOT[clasificacion],"sin_clasificar"))</f>
        <v/>
      </c>
      <c r="U1085" s="3">
        <f>IF(tblOrdenes[[#This Row],[centro_costo]]="","",_xlfn.XLOOKUP(tblOrdenes[[#This Row],[centro_costo]],tblCECO[codigo],tblCECO[linea],"(sin catálogo)"))</f>
        <v/>
      </c>
      <c r="V1085" s="3">
        <f>IF(tblOrdenes[[#This Row],[centro_costo]]="","",_xlfn.XLOOKUP(tblOrdenes[[#This Row],[centro_costo]],tblCECO[codigo],tblCECO[area],"(sin catálogo)"))</f>
        <v/>
      </c>
      <c r="W1085" s="3">
        <f>IF(tblOrdenes[[#This Row],[centro_costo]]="","",_xlfn.XLOOKUP(tblOrdenes[[#This Row],[centro_costo]],tblCECO[codigo],tblCECO[coordinador],"(sin catálogo)"))</f>
        <v/>
      </c>
      <c r="X1085" s="3">
        <f>IF(tblOrdenes[[#This Row],[puesto_trabajo]]="","",_xlfn.XLOOKUP(tblOrdenes[[#This Row],[puesto_trabajo]],tblPuestos[codigo],tblPuestos[especialidad],"(sin catálogo)"))</f>
        <v/>
      </c>
      <c r="Y1085" s="3">
        <f>IF(tblOrdenes[[#This Row],[cod_actividad]]="","",_xlfn.XLOOKUP(tblOrdenes[[#This Row],[cod_actividad]],tblActividades[codigo],tblActividades[descripcion],"(sin catálogo)"))</f>
        <v/>
      </c>
      <c r="Z1085" s="12">
        <f>IF(tblOrdenes[[#This Row],[fecha_inicio]]="","",TODAY()-tblOrdenes[[#This Row],[fecha_inicio]])</f>
        <v/>
      </c>
      <c r="AA1085" s="3">
        <f>IF(tblOrdenes[[#This Row],[backlog_dias]]="","",IF(tblOrdenes[[#This Row],[backlog_dias]]&lt;0,"FUTURO",IF(tblOrdenes[[#This Row],[backlog_dias]]&gt;p_dias_backlog_max,"BACKLOG","MES CORRIENTE")))</f>
        <v/>
      </c>
      <c r="AB1085" s="3">
        <f>IF(tblOrdenes[[#This Row],[backlog_dias]]="",FALSE,AND(tblOrdenes[[#This Row],[backlog_dias]]&gt;p_dias_backlog_min,tblOrdenes[[#This Row],[backlog_dias]]&lt;=p_dias_backlog_max))</f>
        <v/>
      </c>
      <c r="AC1085" s="6" t="n"/>
      <c r="AD10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85" s="10">
        <f>IF(tblOrdenes[[#This Row],[orden]]="","",_xlfn.XLOOKUP(tblOrdenes[[#This Row],[id_operacion]],tblEjecucion[id_operacion],tblEjecucion[precio],0))</f>
        <v/>
      </c>
      <c r="AH1085" s="10">
        <f>IF(tblOrdenes[[#This Row],[orden]]="","",MAX(0,_xlfn.XLOOKUP(tblOrdenes[[#This Row],[id_operacion]],tblEjecucion[id_operacion],tblEjecucion[costo_plan_total],0)-tblOrdenes[[#This Row],[costo_servicio]]))</f>
        <v/>
      </c>
      <c r="AI1085" s="10">
        <f>IF(tblOrdenes[[#This Row],[orden]]="","",tblOrdenes[[#This Row],[costo_servicio]]+tblOrdenes[[#This Row],[costo_materiales]])</f>
        <v/>
      </c>
      <c r="AJ1085" s="6" t="n"/>
      <c r="AK1085" s="6" t="n"/>
      <c r="AL1085" s="6" t="n"/>
      <c r="AM1085" s="3">
        <f>IF(tblOrdenes[[#This Row],[link_checklist]]="","",HYPERLINK(p_ruta_base_checklists&amp;tblOrdenes[[#This Row],[link_checklist]],"abrir"))</f>
        <v/>
      </c>
      <c r="AN1085" s="6" t="n"/>
      <c r="AO1085" s="3">
        <f>IF(tblOrdenes[[#This Row],[orden]]="","",tblOrdenes[[#This Row],[orden]]&amp;IF(tblOrdenes[[#This Row],[operacion]]="","0010",tblOrdenes[[#This Row],[operacion]]))</f>
        <v/>
      </c>
    </row>
    <row r="1086">
      <c r="A1086" s="3" t="n"/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11" t="n"/>
      <c r="K1086" s="3" t="n"/>
      <c r="L1086" s="10" t="n"/>
      <c r="M1086" s="6" t="n"/>
      <c r="N10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86" s="3">
        <f>IF(tblOrdenes[[#This Row],[fecha_inicio]]="","",YEAR(tblOrdenes[[#This Row],[fecha_inicio]]))</f>
        <v/>
      </c>
      <c r="R1086" s="3">
        <f>IF(tblOrdenes[[#This Row],[fecha_inicio]]="","",MONTH(tblOrdenes[[#This Row],[fecha_inicio]]))</f>
        <v/>
      </c>
      <c r="S1086" s="3">
        <f>IF(tblOrdenes[[#This Row],[fecha_inicio]]="","",INDEX(lista_dias,WEEKDAY(tblOrdenes[[#This Row],[fecha_inicio]],2)))</f>
        <v/>
      </c>
      <c r="T1086" s="3">
        <f>IF(tblOrdenes[[#This Row],[tipo_ot]]="","",_xlfn.XLOOKUP(tblOrdenes[[#This Row],[tipo_ot]],tblTiposOT[codigo],tblTiposOT[clasificacion],"sin_clasificar"))</f>
        <v/>
      </c>
      <c r="U1086" s="3">
        <f>IF(tblOrdenes[[#This Row],[centro_costo]]="","",_xlfn.XLOOKUP(tblOrdenes[[#This Row],[centro_costo]],tblCECO[codigo],tblCECO[linea],"(sin catálogo)"))</f>
        <v/>
      </c>
      <c r="V1086" s="3">
        <f>IF(tblOrdenes[[#This Row],[centro_costo]]="","",_xlfn.XLOOKUP(tblOrdenes[[#This Row],[centro_costo]],tblCECO[codigo],tblCECO[area],"(sin catálogo)"))</f>
        <v/>
      </c>
      <c r="W1086" s="3">
        <f>IF(tblOrdenes[[#This Row],[centro_costo]]="","",_xlfn.XLOOKUP(tblOrdenes[[#This Row],[centro_costo]],tblCECO[codigo],tblCECO[coordinador],"(sin catálogo)"))</f>
        <v/>
      </c>
      <c r="X1086" s="3">
        <f>IF(tblOrdenes[[#This Row],[puesto_trabajo]]="","",_xlfn.XLOOKUP(tblOrdenes[[#This Row],[puesto_trabajo]],tblPuestos[codigo],tblPuestos[especialidad],"(sin catálogo)"))</f>
        <v/>
      </c>
      <c r="Y1086" s="3">
        <f>IF(tblOrdenes[[#This Row],[cod_actividad]]="","",_xlfn.XLOOKUP(tblOrdenes[[#This Row],[cod_actividad]],tblActividades[codigo],tblActividades[descripcion],"(sin catálogo)"))</f>
        <v/>
      </c>
      <c r="Z1086" s="12">
        <f>IF(tblOrdenes[[#This Row],[fecha_inicio]]="","",TODAY()-tblOrdenes[[#This Row],[fecha_inicio]])</f>
        <v/>
      </c>
      <c r="AA1086" s="3">
        <f>IF(tblOrdenes[[#This Row],[backlog_dias]]="","",IF(tblOrdenes[[#This Row],[backlog_dias]]&lt;0,"FUTURO",IF(tblOrdenes[[#This Row],[backlog_dias]]&gt;p_dias_backlog_max,"BACKLOG","MES CORRIENTE")))</f>
        <v/>
      </c>
      <c r="AB1086" s="3">
        <f>IF(tblOrdenes[[#This Row],[backlog_dias]]="",FALSE,AND(tblOrdenes[[#This Row],[backlog_dias]]&gt;p_dias_backlog_min,tblOrdenes[[#This Row],[backlog_dias]]&lt;=p_dias_backlog_max))</f>
        <v/>
      </c>
      <c r="AC1086" s="6" t="n"/>
      <c r="AD10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86" s="10">
        <f>IF(tblOrdenes[[#This Row],[orden]]="","",_xlfn.XLOOKUP(tblOrdenes[[#This Row],[id_operacion]],tblEjecucion[id_operacion],tblEjecucion[precio],0))</f>
        <v/>
      </c>
      <c r="AH1086" s="10">
        <f>IF(tblOrdenes[[#This Row],[orden]]="","",MAX(0,_xlfn.XLOOKUP(tblOrdenes[[#This Row],[id_operacion]],tblEjecucion[id_operacion],tblEjecucion[costo_plan_total],0)-tblOrdenes[[#This Row],[costo_servicio]]))</f>
        <v/>
      </c>
      <c r="AI1086" s="10">
        <f>IF(tblOrdenes[[#This Row],[orden]]="","",tblOrdenes[[#This Row],[costo_servicio]]+tblOrdenes[[#This Row],[costo_materiales]])</f>
        <v/>
      </c>
      <c r="AJ1086" s="6" t="n"/>
      <c r="AK1086" s="6" t="n"/>
      <c r="AL1086" s="6" t="n"/>
      <c r="AM1086" s="3">
        <f>IF(tblOrdenes[[#This Row],[link_checklist]]="","",HYPERLINK(p_ruta_base_checklists&amp;tblOrdenes[[#This Row],[link_checklist]],"abrir"))</f>
        <v/>
      </c>
      <c r="AN1086" s="6" t="n"/>
      <c r="AO1086" s="3">
        <f>IF(tblOrdenes[[#This Row],[orden]]="","",tblOrdenes[[#This Row],[orden]]&amp;IF(tblOrdenes[[#This Row],[operacion]]="","0010",tblOrdenes[[#This Row],[operacion]]))</f>
        <v/>
      </c>
    </row>
    <row r="1087">
      <c r="A1087" s="3" t="n"/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11" t="n"/>
      <c r="K1087" s="3" t="n"/>
      <c r="L1087" s="10" t="n"/>
      <c r="M1087" s="6" t="n"/>
      <c r="N10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87" s="3">
        <f>IF(tblOrdenes[[#This Row],[fecha_inicio]]="","",YEAR(tblOrdenes[[#This Row],[fecha_inicio]]))</f>
        <v/>
      </c>
      <c r="R1087" s="3">
        <f>IF(tblOrdenes[[#This Row],[fecha_inicio]]="","",MONTH(tblOrdenes[[#This Row],[fecha_inicio]]))</f>
        <v/>
      </c>
      <c r="S1087" s="3">
        <f>IF(tblOrdenes[[#This Row],[fecha_inicio]]="","",INDEX(lista_dias,WEEKDAY(tblOrdenes[[#This Row],[fecha_inicio]],2)))</f>
        <v/>
      </c>
      <c r="T1087" s="3">
        <f>IF(tblOrdenes[[#This Row],[tipo_ot]]="","",_xlfn.XLOOKUP(tblOrdenes[[#This Row],[tipo_ot]],tblTiposOT[codigo],tblTiposOT[clasificacion],"sin_clasificar"))</f>
        <v/>
      </c>
      <c r="U1087" s="3">
        <f>IF(tblOrdenes[[#This Row],[centro_costo]]="","",_xlfn.XLOOKUP(tblOrdenes[[#This Row],[centro_costo]],tblCECO[codigo],tblCECO[linea],"(sin catálogo)"))</f>
        <v/>
      </c>
      <c r="V1087" s="3">
        <f>IF(tblOrdenes[[#This Row],[centro_costo]]="","",_xlfn.XLOOKUP(tblOrdenes[[#This Row],[centro_costo]],tblCECO[codigo],tblCECO[area],"(sin catálogo)"))</f>
        <v/>
      </c>
      <c r="W1087" s="3">
        <f>IF(tblOrdenes[[#This Row],[centro_costo]]="","",_xlfn.XLOOKUP(tblOrdenes[[#This Row],[centro_costo]],tblCECO[codigo],tblCECO[coordinador],"(sin catálogo)"))</f>
        <v/>
      </c>
      <c r="X1087" s="3">
        <f>IF(tblOrdenes[[#This Row],[puesto_trabajo]]="","",_xlfn.XLOOKUP(tblOrdenes[[#This Row],[puesto_trabajo]],tblPuestos[codigo],tblPuestos[especialidad],"(sin catálogo)"))</f>
        <v/>
      </c>
      <c r="Y1087" s="3">
        <f>IF(tblOrdenes[[#This Row],[cod_actividad]]="","",_xlfn.XLOOKUP(tblOrdenes[[#This Row],[cod_actividad]],tblActividades[codigo],tblActividades[descripcion],"(sin catálogo)"))</f>
        <v/>
      </c>
      <c r="Z1087" s="12">
        <f>IF(tblOrdenes[[#This Row],[fecha_inicio]]="","",TODAY()-tblOrdenes[[#This Row],[fecha_inicio]])</f>
        <v/>
      </c>
      <c r="AA1087" s="3">
        <f>IF(tblOrdenes[[#This Row],[backlog_dias]]="","",IF(tblOrdenes[[#This Row],[backlog_dias]]&lt;0,"FUTURO",IF(tblOrdenes[[#This Row],[backlog_dias]]&gt;p_dias_backlog_max,"BACKLOG","MES CORRIENTE")))</f>
        <v/>
      </c>
      <c r="AB1087" s="3">
        <f>IF(tblOrdenes[[#This Row],[backlog_dias]]="",FALSE,AND(tblOrdenes[[#This Row],[backlog_dias]]&gt;p_dias_backlog_min,tblOrdenes[[#This Row],[backlog_dias]]&lt;=p_dias_backlog_max))</f>
        <v/>
      </c>
      <c r="AC1087" s="6" t="n"/>
      <c r="AD10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87" s="10">
        <f>IF(tblOrdenes[[#This Row],[orden]]="","",_xlfn.XLOOKUP(tblOrdenes[[#This Row],[id_operacion]],tblEjecucion[id_operacion],tblEjecucion[precio],0))</f>
        <v/>
      </c>
      <c r="AH1087" s="10">
        <f>IF(tblOrdenes[[#This Row],[orden]]="","",MAX(0,_xlfn.XLOOKUP(tblOrdenes[[#This Row],[id_operacion]],tblEjecucion[id_operacion],tblEjecucion[costo_plan_total],0)-tblOrdenes[[#This Row],[costo_servicio]]))</f>
        <v/>
      </c>
      <c r="AI1087" s="10">
        <f>IF(tblOrdenes[[#This Row],[orden]]="","",tblOrdenes[[#This Row],[costo_servicio]]+tblOrdenes[[#This Row],[costo_materiales]])</f>
        <v/>
      </c>
      <c r="AJ1087" s="6" t="n"/>
      <c r="AK1087" s="6" t="n"/>
      <c r="AL1087" s="6" t="n"/>
      <c r="AM1087" s="3">
        <f>IF(tblOrdenes[[#This Row],[link_checklist]]="","",HYPERLINK(p_ruta_base_checklists&amp;tblOrdenes[[#This Row],[link_checklist]],"abrir"))</f>
        <v/>
      </c>
      <c r="AN1087" s="6" t="n"/>
      <c r="AO1087" s="3">
        <f>IF(tblOrdenes[[#This Row],[orden]]="","",tblOrdenes[[#This Row],[orden]]&amp;IF(tblOrdenes[[#This Row],[operacion]]="","0010",tblOrdenes[[#This Row],[operacion]]))</f>
        <v/>
      </c>
    </row>
    <row r="1088">
      <c r="A1088" s="3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11" t="n"/>
      <c r="K1088" s="3" t="n"/>
      <c r="L1088" s="10" t="n"/>
      <c r="M1088" s="6" t="n"/>
      <c r="N10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88" s="3">
        <f>IF(tblOrdenes[[#This Row],[fecha_inicio]]="","",YEAR(tblOrdenes[[#This Row],[fecha_inicio]]))</f>
        <v/>
      </c>
      <c r="R1088" s="3">
        <f>IF(tblOrdenes[[#This Row],[fecha_inicio]]="","",MONTH(tblOrdenes[[#This Row],[fecha_inicio]]))</f>
        <v/>
      </c>
      <c r="S1088" s="3">
        <f>IF(tblOrdenes[[#This Row],[fecha_inicio]]="","",INDEX(lista_dias,WEEKDAY(tblOrdenes[[#This Row],[fecha_inicio]],2)))</f>
        <v/>
      </c>
      <c r="T1088" s="3">
        <f>IF(tblOrdenes[[#This Row],[tipo_ot]]="","",_xlfn.XLOOKUP(tblOrdenes[[#This Row],[tipo_ot]],tblTiposOT[codigo],tblTiposOT[clasificacion],"sin_clasificar"))</f>
        <v/>
      </c>
      <c r="U1088" s="3">
        <f>IF(tblOrdenes[[#This Row],[centro_costo]]="","",_xlfn.XLOOKUP(tblOrdenes[[#This Row],[centro_costo]],tblCECO[codigo],tblCECO[linea],"(sin catálogo)"))</f>
        <v/>
      </c>
      <c r="V1088" s="3">
        <f>IF(tblOrdenes[[#This Row],[centro_costo]]="","",_xlfn.XLOOKUP(tblOrdenes[[#This Row],[centro_costo]],tblCECO[codigo],tblCECO[area],"(sin catálogo)"))</f>
        <v/>
      </c>
      <c r="W1088" s="3">
        <f>IF(tblOrdenes[[#This Row],[centro_costo]]="","",_xlfn.XLOOKUP(tblOrdenes[[#This Row],[centro_costo]],tblCECO[codigo],tblCECO[coordinador],"(sin catálogo)"))</f>
        <v/>
      </c>
      <c r="X1088" s="3">
        <f>IF(tblOrdenes[[#This Row],[puesto_trabajo]]="","",_xlfn.XLOOKUP(tblOrdenes[[#This Row],[puesto_trabajo]],tblPuestos[codigo],tblPuestos[especialidad],"(sin catálogo)"))</f>
        <v/>
      </c>
      <c r="Y1088" s="3">
        <f>IF(tblOrdenes[[#This Row],[cod_actividad]]="","",_xlfn.XLOOKUP(tblOrdenes[[#This Row],[cod_actividad]],tblActividades[codigo],tblActividades[descripcion],"(sin catálogo)"))</f>
        <v/>
      </c>
      <c r="Z1088" s="12">
        <f>IF(tblOrdenes[[#This Row],[fecha_inicio]]="","",TODAY()-tblOrdenes[[#This Row],[fecha_inicio]])</f>
        <v/>
      </c>
      <c r="AA1088" s="3">
        <f>IF(tblOrdenes[[#This Row],[backlog_dias]]="","",IF(tblOrdenes[[#This Row],[backlog_dias]]&lt;0,"FUTURO",IF(tblOrdenes[[#This Row],[backlog_dias]]&gt;p_dias_backlog_max,"BACKLOG","MES CORRIENTE")))</f>
        <v/>
      </c>
      <c r="AB1088" s="3">
        <f>IF(tblOrdenes[[#This Row],[backlog_dias]]="",FALSE,AND(tblOrdenes[[#This Row],[backlog_dias]]&gt;p_dias_backlog_min,tblOrdenes[[#This Row],[backlog_dias]]&lt;=p_dias_backlog_max))</f>
        <v/>
      </c>
      <c r="AC1088" s="6" t="n"/>
      <c r="AD10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88" s="10">
        <f>IF(tblOrdenes[[#This Row],[orden]]="","",_xlfn.XLOOKUP(tblOrdenes[[#This Row],[id_operacion]],tblEjecucion[id_operacion],tblEjecucion[precio],0))</f>
        <v/>
      </c>
      <c r="AH1088" s="10">
        <f>IF(tblOrdenes[[#This Row],[orden]]="","",MAX(0,_xlfn.XLOOKUP(tblOrdenes[[#This Row],[id_operacion]],tblEjecucion[id_operacion],tblEjecucion[costo_plan_total],0)-tblOrdenes[[#This Row],[costo_servicio]]))</f>
        <v/>
      </c>
      <c r="AI1088" s="10">
        <f>IF(tblOrdenes[[#This Row],[orden]]="","",tblOrdenes[[#This Row],[costo_servicio]]+tblOrdenes[[#This Row],[costo_materiales]])</f>
        <v/>
      </c>
      <c r="AJ1088" s="6" t="n"/>
      <c r="AK1088" s="6" t="n"/>
      <c r="AL1088" s="6" t="n"/>
      <c r="AM1088" s="3">
        <f>IF(tblOrdenes[[#This Row],[link_checklist]]="","",HYPERLINK(p_ruta_base_checklists&amp;tblOrdenes[[#This Row],[link_checklist]],"abrir"))</f>
        <v/>
      </c>
      <c r="AN1088" s="6" t="n"/>
      <c r="AO1088" s="3">
        <f>IF(tblOrdenes[[#This Row],[orden]]="","",tblOrdenes[[#This Row],[orden]]&amp;IF(tblOrdenes[[#This Row],[operacion]]="","0010",tblOrdenes[[#This Row],[operacion]]))</f>
        <v/>
      </c>
    </row>
    <row r="1089">
      <c r="A1089" s="3" t="n"/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11" t="n"/>
      <c r="K1089" s="3" t="n"/>
      <c r="L1089" s="10" t="n"/>
      <c r="M1089" s="6" t="n"/>
      <c r="N10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89" s="3">
        <f>IF(tblOrdenes[[#This Row],[fecha_inicio]]="","",YEAR(tblOrdenes[[#This Row],[fecha_inicio]]))</f>
        <v/>
      </c>
      <c r="R1089" s="3">
        <f>IF(tblOrdenes[[#This Row],[fecha_inicio]]="","",MONTH(tblOrdenes[[#This Row],[fecha_inicio]]))</f>
        <v/>
      </c>
      <c r="S1089" s="3">
        <f>IF(tblOrdenes[[#This Row],[fecha_inicio]]="","",INDEX(lista_dias,WEEKDAY(tblOrdenes[[#This Row],[fecha_inicio]],2)))</f>
        <v/>
      </c>
      <c r="T1089" s="3">
        <f>IF(tblOrdenes[[#This Row],[tipo_ot]]="","",_xlfn.XLOOKUP(tblOrdenes[[#This Row],[tipo_ot]],tblTiposOT[codigo],tblTiposOT[clasificacion],"sin_clasificar"))</f>
        <v/>
      </c>
      <c r="U1089" s="3">
        <f>IF(tblOrdenes[[#This Row],[centro_costo]]="","",_xlfn.XLOOKUP(tblOrdenes[[#This Row],[centro_costo]],tblCECO[codigo],tblCECO[linea],"(sin catálogo)"))</f>
        <v/>
      </c>
      <c r="V1089" s="3">
        <f>IF(tblOrdenes[[#This Row],[centro_costo]]="","",_xlfn.XLOOKUP(tblOrdenes[[#This Row],[centro_costo]],tblCECO[codigo],tblCECO[area],"(sin catálogo)"))</f>
        <v/>
      </c>
      <c r="W1089" s="3">
        <f>IF(tblOrdenes[[#This Row],[centro_costo]]="","",_xlfn.XLOOKUP(tblOrdenes[[#This Row],[centro_costo]],tblCECO[codigo],tblCECO[coordinador],"(sin catálogo)"))</f>
        <v/>
      </c>
      <c r="X1089" s="3">
        <f>IF(tblOrdenes[[#This Row],[puesto_trabajo]]="","",_xlfn.XLOOKUP(tblOrdenes[[#This Row],[puesto_trabajo]],tblPuestos[codigo],tblPuestos[especialidad],"(sin catálogo)"))</f>
        <v/>
      </c>
      <c r="Y1089" s="3">
        <f>IF(tblOrdenes[[#This Row],[cod_actividad]]="","",_xlfn.XLOOKUP(tblOrdenes[[#This Row],[cod_actividad]],tblActividades[codigo],tblActividades[descripcion],"(sin catálogo)"))</f>
        <v/>
      </c>
      <c r="Z1089" s="12">
        <f>IF(tblOrdenes[[#This Row],[fecha_inicio]]="","",TODAY()-tblOrdenes[[#This Row],[fecha_inicio]])</f>
        <v/>
      </c>
      <c r="AA1089" s="3">
        <f>IF(tblOrdenes[[#This Row],[backlog_dias]]="","",IF(tblOrdenes[[#This Row],[backlog_dias]]&lt;0,"FUTURO",IF(tblOrdenes[[#This Row],[backlog_dias]]&gt;p_dias_backlog_max,"BACKLOG","MES CORRIENTE")))</f>
        <v/>
      </c>
      <c r="AB1089" s="3">
        <f>IF(tblOrdenes[[#This Row],[backlog_dias]]="",FALSE,AND(tblOrdenes[[#This Row],[backlog_dias]]&gt;p_dias_backlog_min,tblOrdenes[[#This Row],[backlog_dias]]&lt;=p_dias_backlog_max))</f>
        <v/>
      </c>
      <c r="AC1089" s="6" t="n"/>
      <c r="AD10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89" s="10">
        <f>IF(tblOrdenes[[#This Row],[orden]]="","",_xlfn.XLOOKUP(tblOrdenes[[#This Row],[id_operacion]],tblEjecucion[id_operacion],tblEjecucion[precio],0))</f>
        <v/>
      </c>
      <c r="AH1089" s="10">
        <f>IF(tblOrdenes[[#This Row],[orden]]="","",MAX(0,_xlfn.XLOOKUP(tblOrdenes[[#This Row],[id_operacion]],tblEjecucion[id_operacion],tblEjecucion[costo_plan_total],0)-tblOrdenes[[#This Row],[costo_servicio]]))</f>
        <v/>
      </c>
      <c r="AI1089" s="10">
        <f>IF(tblOrdenes[[#This Row],[orden]]="","",tblOrdenes[[#This Row],[costo_servicio]]+tblOrdenes[[#This Row],[costo_materiales]])</f>
        <v/>
      </c>
      <c r="AJ1089" s="6" t="n"/>
      <c r="AK1089" s="6" t="n"/>
      <c r="AL1089" s="6" t="n"/>
      <c r="AM1089" s="3">
        <f>IF(tblOrdenes[[#This Row],[link_checklist]]="","",HYPERLINK(p_ruta_base_checklists&amp;tblOrdenes[[#This Row],[link_checklist]],"abrir"))</f>
        <v/>
      </c>
      <c r="AN1089" s="6" t="n"/>
      <c r="AO1089" s="3">
        <f>IF(tblOrdenes[[#This Row],[orden]]="","",tblOrdenes[[#This Row],[orden]]&amp;IF(tblOrdenes[[#This Row],[operacion]]="","0010",tblOrdenes[[#This Row],[operacion]]))</f>
        <v/>
      </c>
    </row>
    <row r="1090">
      <c r="A1090" s="3" t="n"/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11" t="n"/>
      <c r="K1090" s="3" t="n"/>
      <c r="L1090" s="10" t="n"/>
      <c r="M1090" s="6" t="n"/>
      <c r="N10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90" s="3">
        <f>IF(tblOrdenes[[#This Row],[fecha_inicio]]="","",YEAR(tblOrdenes[[#This Row],[fecha_inicio]]))</f>
        <v/>
      </c>
      <c r="R1090" s="3">
        <f>IF(tblOrdenes[[#This Row],[fecha_inicio]]="","",MONTH(tblOrdenes[[#This Row],[fecha_inicio]]))</f>
        <v/>
      </c>
      <c r="S1090" s="3">
        <f>IF(tblOrdenes[[#This Row],[fecha_inicio]]="","",INDEX(lista_dias,WEEKDAY(tblOrdenes[[#This Row],[fecha_inicio]],2)))</f>
        <v/>
      </c>
      <c r="T1090" s="3">
        <f>IF(tblOrdenes[[#This Row],[tipo_ot]]="","",_xlfn.XLOOKUP(tblOrdenes[[#This Row],[tipo_ot]],tblTiposOT[codigo],tblTiposOT[clasificacion],"sin_clasificar"))</f>
        <v/>
      </c>
      <c r="U1090" s="3">
        <f>IF(tblOrdenes[[#This Row],[centro_costo]]="","",_xlfn.XLOOKUP(tblOrdenes[[#This Row],[centro_costo]],tblCECO[codigo],tblCECO[linea],"(sin catálogo)"))</f>
        <v/>
      </c>
      <c r="V1090" s="3">
        <f>IF(tblOrdenes[[#This Row],[centro_costo]]="","",_xlfn.XLOOKUP(tblOrdenes[[#This Row],[centro_costo]],tblCECO[codigo],tblCECO[area],"(sin catálogo)"))</f>
        <v/>
      </c>
      <c r="W1090" s="3">
        <f>IF(tblOrdenes[[#This Row],[centro_costo]]="","",_xlfn.XLOOKUP(tblOrdenes[[#This Row],[centro_costo]],tblCECO[codigo],tblCECO[coordinador],"(sin catálogo)"))</f>
        <v/>
      </c>
      <c r="X1090" s="3">
        <f>IF(tblOrdenes[[#This Row],[puesto_trabajo]]="","",_xlfn.XLOOKUP(tblOrdenes[[#This Row],[puesto_trabajo]],tblPuestos[codigo],tblPuestos[especialidad],"(sin catálogo)"))</f>
        <v/>
      </c>
      <c r="Y1090" s="3">
        <f>IF(tblOrdenes[[#This Row],[cod_actividad]]="","",_xlfn.XLOOKUP(tblOrdenes[[#This Row],[cod_actividad]],tblActividades[codigo],tblActividades[descripcion],"(sin catálogo)"))</f>
        <v/>
      </c>
      <c r="Z1090" s="12">
        <f>IF(tblOrdenes[[#This Row],[fecha_inicio]]="","",TODAY()-tblOrdenes[[#This Row],[fecha_inicio]])</f>
        <v/>
      </c>
      <c r="AA1090" s="3">
        <f>IF(tblOrdenes[[#This Row],[backlog_dias]]="","",IF(tblOrdenes[[#This Row],[backlog_dias]]&lt;0,"FUTURO",IF(tblOrdenes[[#This Row],[backlog_dias]]&gt;p_dias_backlog_max,"BACKLOG","MES CORRIENTE")))</f>
        <v/>
      </c>
      <c r="AB1090" s="3">
        <f>IF(tblOrdenes[[#This Row],[backlog_dias]]="",FALSE,AND(tblOrdenes[[#This Row],[backlog_dias]]&gt;p_dias_backlog_min,tblOrdenes[[#This Row],[backlog_dias]]&lt;=p_dias_backlog_max))</f>
        <v/>
      </c>
      <c r="AC1090" s="6" t="n"/>
      <c r="AD10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90" s="10">
        <f>IF(tblOrdenes[[#This Row],[orden]]="","",_xlfn.XLOOKUP(tblOrdenes[[#This Row],[id_operacion]],tblEjecucion[id_operacion],tblEjecucion[precio],0))</f>
        <v/>
      </c>
      <c r="AH1090" s="10">
        <f>IF(tblOrdenes[[#This Row],[orden]]="","",MAX(0,_xlfn.XLOOKUP(tblOrdenes[[#This Row],[id_operacion]],tblEjecucion[id_operacion],tblEjecucion[costo_plan_total],0)-tblOrdenes[[#This Row],[costo_servicio]]))</f>
        <v/>
      </c>
      <c r="AI1090" s="10">
        <f>IF(tblOrdenes[[#This Row],[orden]]="","",tblOrdenes[[#This Row],[costo_servicio]]+tblOrdenes[[#This Row],[costo_materiales]])</f>
        <v/>
      </c>
      <c r="AJ1090" s="6" t="n"/>
      <c r="AK1090" s="6" t="n"/>
      <c r="AL1090" s="6" t="n"/>
      <c r="AM1090" s="3">
        <f>IF(tblOrdenes[[#This Row],[link_checklist]]="","",HYPERLINK(p_ruta_base_checklists&amp;tblOrdenes[[#This Row],[link_checklist]],"abrir"))</f>
        <v/>
      </c>
      <c r="AN1090" s="6" t="n"/>
      <c r="AO1090" s="3">
        <f>IF(tblOrdenes[[#This Row],[orden]]="","",tblOrdenes[[#This Row],[orden]]&amp;IF(tblOrdenes[[#This Row],[operacion]]="","0010",tblOrdenes[[#This Row],[operacion]]))</f>
        <v/>
      </c>
    </row>
    <row r="1091">
      <c r="A1091" s="3" t="n"/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11" t="n"/>
      <c r="K1091" s="3" t="n"/>
      <c r="L1091" s="10" t="n"/>
      <c r="M1091" s="6" t="n"/>
      <c r="N10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91" s="3">
        <f>IF(tblOrdenes[[#This Row],[fecha_inicio]]="","",YEAR(tblOrdenes[[#This Row],[fecha_inicio]]))</f>
        <v/>
      </c>
      <c r="R1091" s="3">
        <f>IF(tblOrdenes[[#This Row],[fecha_inicio]]="","",MONTH(tblOrdenes[[#This Row],[fecha_inicio]]))</f>
        <v/>
      </c>
      <c r="S1091" s="3">
        <f>IF(tblOrdenes[[#This Row],[fecha_inicio]]="","",INDEX(lista_dias,WEEKDAY(tblOrdenes[[#This Row],[fecha_inicio]],2)))</f>
        <v/>
      </c>
      <c r="T1091" s="3">
        <f>IF(tblOrdenes[[#This Row],[tipo_ot]]="","",_xlfn.XLOOKUP(tblOrdenes[[#This Row],[tipo_ot]],tblTiposOT[codigo],tblTiposOT[clasificacion],"sin_clasificar"))</f>
        <v/>
      </c>
      <c r="U1091" s="3">
        <f>IF(tblOrdenes[[#This Row],[centro_costo]]="","",_xlfn.XLOOKUP(tblOrdenes[[#This Row],[centro_costo]],tblCECO[codigo],tblCECO[linea],"(sin catálogo)"))</f>
        <v/>
      </c>
      <c r="V1091" s="3">
        <f>IF(tblOrdenes[[#This Row],[centro_costo]]="","",_xlfn.XLOOKUP(tblOrdenes[[#This Row],[centro_costo]],tblCECO[codigo],tblCECO[area],"(sin catálogo)"))</f>
        <v/>
      </c>
      <c r="W1091" s="3">
        <f>IF(tblOrdenes[[#This Row],[centro_costo]]="","",_xlfn.XLOOKUP(tblOrdenes[[#This Row],[centro_costo]],tblCECO[codigo],tblCECO[coordinador],"(sin catálogo)"))</f>
        <v/>
      </c>
      <c r="X1091" s="3">
        <f>IF(tblOrdenes[[#This Row],[puesto_trabajo]]="","",_xlfn.XLOOKUP(tblOrdenes[[#This Row],[puesto_trabajo]],tblPuestos[codigo],tblPuestos[especialidad],"(sin catálogo)"))</f>
        <v/>
      </c>
      <c r="Y1091" s="3">
        <f>IF(tblOrdenes[[#This Row],[cod_actividad]]="","",_xlfn.XLOOKUP(tblOrdenes[[#This Row],[cod_actividad]],tblActividades[codigo],tblActividades[descripcion],"(sin catálogo)"))</f>
        <v/>
      </c>
      <c r="Z1091" s="12">
        <f>IF(tblOrdenes[[#This Row],[fecha_inicio]]="","",TODAY()-tblOrdenes[[#This Row],[fecha_inicio]])</f>
        <v/>
      </c>
      <c r="AA1091" s="3">
        <f>IF(tblOrdenes[[#This Row],[backlog_dias]]="","",IF(tblOrdenes[[#This Row],[backlog_dias]]&lt;0,"FUTURO",IF(tblOrdenes[[#This Row],[backlog_dias]]&gt;p_dias_backlog_max,"BACKLOG","MES CORRIENTE")))</f>
        <v/>
      </c>
      <c r="AB1091" s="3">
        <f>IF(tblOrdenes[[#This Row],[backlog_dias]]="",FALSE,AND(tblOrdenes[[#This Row],[backlog_dias]]&gt;p_dias_backlog_min,tblOrdenes[[#This Row],[backlog_dias]]&lt;=p_dias_backlog_max))</f>
        <v/>
      </c>
      <c r="AC1091" s="6" t="n"/>
      <c r="AD10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91" s="10">
        <f>IF(tblOrdenes[[#This Row],[orden]]="","",_xlfn.XLOOKUP(tblOrdenes[[#This Row],[id_operacion]],tblEjecucion[id_operacion],tblEjecucion[precio],0))</f>
        <v/>
      </c>
      <c r="AH1091" s="10">
        <f>IF(tblOrdenes[[#This Row],[orden]]="","",MAX(0,_xlfn.XLOOKUP(tblOrdenes[[#This Row],[id_operacion]],tblEjecucion[id_operacion],tblEjecucion[costo_plan_total],0)-tblOrdenes[[#This Row],[costo_servicio]]))</f>
        <v/>
      </c>
      <c r="AI1091" s="10">
        <f>IF(tblOrdenes[[#This Row],[orden]]="","",tblOrdenes[[#This Row],[costo_servicio]]+tblOrdenes[[#This Row],[costo_materiales]])</f>
        <v/>
      </c>
      <c r="AJ1091" s="6" t="n"/>
      <c r="AK1091" s="6" t="n"/>
      <c r="AL1091" s="6" t="n"/>
      <c r="AM1091" s="3">
        <f>IF(tblOrdenes[[#This Row],[link_checklist]]="","",HYPERLINK(p_ruta_base_checklists&amp;tblOrdenes[[#This Row],[link_checklist]],"abrir"))</f>
        <v/>
      </c>
      <c r="AN1091" s="6" t="n"/>
      <c r="AO1091" s="3">
        <f>IF(tblOrdenes[[#This Row],[orden]]="","",tblOrdenes[[#This Row],[orden]]&amp;IF(tblOrdenes[[#This Row],[operacion]]="","0010",tblOrdenes[[#This Row],[operacion]]))</f>
        <v/>
      </c>
    </row>
    <row r="1092">
      <c r="A1092" s="3" t="n"/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11" t="n"/>
      <c r="K1092" s="3" t="n"/>
      <c r="L1092" s="10" t="n"/>
      <c r="M1092" s="6" t="n"/>
      <c r="N10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92" s="3">
        <f>IF(tblOrdenes[[#This Row],[fecha_inicio]]="","",YEAR(tblOrdenes[[#This Row],[fecha_inicio]]))</f>
        <v/>
      </c>
      <c r="R1092" s="3">
        <f>IF(tblOrdenes[[#This Row],[fecha_inicio]]="","",MONTH(tblOrdenes[[#This Row],[fecha_inicio]]))</f>
        <v/>
      </c>
      <c r="S1092" s="3">
        <f>IF(tblOrdenes[[#This Row],[fecha_inicio]]="","",INDEX(lista_dias,WEEKDAY(tblOrdenes[[#This Row],[fecha_inicio]],2)))</f>
        <v/>
      </c>
      <c r="T1092" s="3">
        <f>IF(tblOrdenes[[#This Row],[tipo_ot]]="","",_xlfn.XLOOKUP(tblOrdenes[[#This Row],[tipo_ot]],tblTiposOT[codigo],tblTiposOT[clasificacion],"sin_clasificar"))</f>
        <v/>
      </c>
      <c r="U1092" s="3">
        <f>IF(tblOrdenes[[#This Row],[centro_costo]]="","",_xlfn.XLOOKUP(tblOrdenes[[#This Row],[centro_costo]],tblCECO[codigo],tblCECO[linea],"(sin catálogo)"))</f>
        <v/>
      </c>
      <c r="V1092" s="3">
        <f>IF(tblOrdenes[[#This Row],[centro_costo]]="","",_xlfn.XLOOKUP(tblOrdenes[[#This Row],[centro_costo]],tblCECO[codigo],tblCECO[area],"(sin catálogo)"))</f>
        <v/>
      </c>
      <c r="W1092" s="3">
        <f>IF(tblOrdenes[[#This Row],[centro_costo]]="","",_xlfn.XLOOKUP(tblOrdenes[[#This Row],[centro_costo]],tblCECO[codigo],tblCECO[coordinador],"(sin catálogo)"))</f>
        <v/>
      </c>
      <c r="X1092" s="3">
        <f>IF(tblOrdenes[[#This Row],[puesto_trabajo]]="","",_xlfn.XLOOKUP(tblOrdenes[[#This Row],[puesto_trabajo]],tblPuestos[codigo],tblPuestos[especialidad],"(sin catálogo)"))</f>
        <v/>
      </c>
      <c r="Y1092" s="3">
        <f>IF(tblOrdenes[[#This Row],[cod_actividad]]="","",_xlfn.XLOOKUP(tblOrdenes[[#This Row],[cod_actividad]],tblActividades[codigo],tblActividades[descripcion],"(sin catálogo)"))</f>
        <v/>
      </c>
      <c r="Z1092" s="12">
        <f>IF(tblOrdenes[[#This Row],[fecha_inicio]]="","",TODAY()-tblOrdenes[[#This Row],[fecha_inicio]])</f>
        <v/>
      </c>
      <c r="AA1092" s="3">
        <f>IF(tblOrdenes[[#This Row],[backlog_dias]]="","",IF(tblOrdenes[[#This Row],[backlog_dias]]&lt;0,"FUTURO",IF(tblOrdenes[[#This Row],[backlog_dias]]&gt;p_dias_backlog_max,"BACKLOG","MES CORRIENTE")))</f>
        <v/>
      </c>
      <c r="AB1092" s="3">
        <f>IF(tblOrdenes[[#This Row],[backlog_dias]]="",FALSE,AND(tblOrdenes[[#This Row],[backlog_dias]]&gt;p_dias_backlog_min,tblOrdenes[[#This Row],[backlog_dias]]&lt;=p_dias_backlog_max))</f>
        <v/>
      </c>
      <c r="AC1092" s="6" t="n"/>
      <c r="AD10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92" s="10">
        <f>IF(tblOrdenes[[#This Row],[orden]]="","",_xlfn.XLOOKUP(tblOrdenes[[#This Row],[id_operacion]],tblEjecucion[id_operacion],tblEjecucion[precio],0))</f>
        <v/>
      </c>
      <c r="AH1092" s="10">
        <f>IF(tblOrdenes[[#This Row],[orden]]="","",MAX(0,_xlfn.XLOOKUP(tblOrdenes[[#This Row],[id_operacion]],tblEjecucion[id_operacion],tblEjecucion[costo_plan_total],0)-tblOrdenes[[#This Row],[costo_servicio]]))</f>
        <v/>
      </c>
      <c r="AI1092" s="10">
        <f>IF(tblOrdenes[[#This Row],[orden]]="","",tblOrdenes[[#This Row],[costo_servicio]]+tblOrdenes[[#This Row],[costo_materiales]])</f>
        <v/>
      </c>
      <c r="AJ1092" s="6" t="n"/>
      <c r="AK1092" s="6" t="n"/>
      <c r="AL1092" s="6" t="n"/>
      <c r="AM1092" s="3">
        <f>IF(tblOrdenes[[#This Row],[link_checklist]]="","",HYPERLINK(p_ruta_base_checklists&amp;tblOrdenes[[#This Row],[link_checklist]],"abrir"))</f>
        <v/>
      </c>
      <c r="AN1092" s="6" t="n"/>
      <c r="AO1092" s="3">
        <f>IF(tblOrdenes[[#This Row],[orden]]="","",tblOrdenes[[#This Row],[orden]]&amp;IF(tblOrdenes[[#This Row],[operacion]]="","0010",tblOrdenes[[#This Row],[operacion]]))</f>
        <v/>
      </c>
    </row>
    <row r="1093">
      <c r="A1093" s="3" t="n"/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11" t="n"/>
      <c r="K1093" s="3" t="n"/>
      <c r="L1093" s="10" t="n"/>
      <c r="M1093" s="6" t="n"/>
      <c r="N10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93" s="3">
        <f>IF(tblOrdenes[[#This Row],[fecha_inicio]]="","",YEAR(tblOrdenes[[#This Row],[fecha_inicio]]))</f>
        <v/>
      </c>
      <c r="R1093" s="3">
        <f>IF(tblOrdenes[[#This Row],[fecha_inicio]]="","",MONTH(tblOrdenes[[#This Row],[fecha_inicio]]))</f>
        <v/>
      </c>
      <c r="S1093" s="3">
        <f>IF(tblOrdenes[[#This Row],[fecha_inicio]]="","",INDEX(lista_dias,WEEKDAY(tblOrdenes[[#This Row],[fecha_inicio]],2)))</f>
        <v/>
      </c>
      <c r="T1093" s="3">
        <f>IF(tblOrdenes[[#This Row],[tipo_ot]]="","",_xlfn.XLOOKUP(tblOrdenes[[#This Row],[tipo_ot]],tblTiposOT[codigo],tblTiposOT[clasificacion],"sin_clasificar"))</f>
        <v/>
      </c>
      <c r="U1093" s="3">
        <f>IF(tblOrdenes[[#This Row],[centro_costo]]="","",_xlfn.XLOOKUP(tblOrdenes[[#This Row],[centro_costo]],tblCECO[codigo],tblCECO[linea],"(sin catálogo)"))</f>
        <v/>
      </c>
      <c r="V1093" s="3">
        <f>IF(tblOrdenes[[#This Row],[centro_costo]]="","",_xlfn.XLOOKUP(tblOrdenes[[#This Row],[centro_costo]],tblCECO[codigo],tblCECO[area],"(sin catálogo)"))</f>
        <v/>
      </c>
      <c r="W1093" s="3">
        <f>IF(tblOrdenes[[#This Row],[centro_costo]]="","",_xlfn.XLOOKUP(tblOrdenes[[#This Row],[centro_costo]],tblCECO[codigo],tblCECO[coordinador],"(sin catálogo)"))</f>
        <v/>
      </c>
      <c r="X1093" s="3">
        <f>IF(tblOrdenes[[#This Row],[puesto_trabajo]]="","",_xlfn.XLOOKUP(tblOrdenes[[#This Row],[puesto_trabajo]],tblPuestos[codigo],tblPuestos[especialidad],"(sin catálogo)"))</f>
        <v/>
      </c>
      <c r="Y1093" s="3">
        <f>IF(tblOrdenes[[#This Row],[cod_actividad]]="","",_xlfn.XLOOKUP(tblOrdenes[[#This Row],[cod_actividad]],tblActividades[codigo],tblActividades[descripcion],"(sin catálogo)"))</f>
        <v/>
      </c>
      <c r="Z1093" s="12">
        <f>IF(tblOrdenes[[#This Row],[fecha_inicio]]="","",TODAY()-tblOrdenes[[#This Row],[fecha_inicio]])</f>
        <v/>
      </c>
      <c r="AA1093" s="3">
        <f>IF(tblOrdenes[[#This Row],[backlog_dias]]="","",IF(tblOrdenes[[#This Row],[backlog_dias]]&lt;0,"FUTURO",IF(tblOrdenes[[#This Row],[backlog_dias]]&gt;p_dias_backlog_max,"BACKLOG","MES CORRIENTE")))</f>
        <v/>
      </c>
      <c r="AB1093" s="3">
        <f>IF(tblOrdenes[[#This Row],[backlog_dias]]="",FALSE,AND(tblOrdenes[[#This Row],[backlog_dias]]&gt;p_dias_backlog_min,tblOrdenes[[#This Row],[backlog_dias]]&lt;=p_dias_backlog_max))</f>
        <v/>
      </c>
      <c r="AC1093" s="6" t="n"/>
      <c r="AD10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93" s="10">
        <f>IF(tblOrdenes[[#This Row],[orden]]="","",_xlfn.XLOOKUP(tblOrdenes[[#This Row],[id_operacion]],tblEjecucion[id_operacion],tblEjecucion[precio],0))</f>
        <v/>
      </c>
      <c r="AH1093" s="10">
        <f>IF(tblOrdenes[[#This Row],[orden]]="","",MAX(0,_xlfn.XLOOKUP(tblOrdenes[[#This Row],[id_operacion]],tblEjecucion[id_operacion],tblEjecucion[costo_plan_total],0)-tblOrdenes[[#This Row],[costo_servicio]]))</f>
        <v/>
      </c>
      <c r="AI1093" s="10">
        <f>IF(tblOrdenes[[#This Row],[orden]]="","",tblOrdenes[[#This Row],[costo_servicio]]+tblOrdenes[[#This Row],[costo_materiales]])</f>
        <v/>
      </c>
      <c r="AJ1093" s="6" t="n"/>
      <c r="AK1093" s="6" t="n"/>
      <c r="AL1093" s="6" t="n"/>
      <c r="AM1093" s="3">
        <f>IF(tblOrdenes[[#This Row],[link_checklist]]="","",HYPERLINK(p_ruta_base_checklists&amp;tblOrdenes[[#This Row],[link_checklist]],"abrir"))</f>
        <v/>
      </c>
      <c r="AN1093" s="6" t="n"/>
      <c r="AO1093" s="3">
        <f>IF(tblOrdenes[[#This Row],[orden]]="","",tblOrdenes[[#This Row],[orden]]&amp;IF(tblOrdenes[[#This Row],[operacion]]="","0010",tblOrdenes[[#This Row],[operacion]]))</f>
        <v/>
      </c>
    </row>
    <row r="1094">
      <c r="A1094" s="3" t="n"/>
      <c r="B1094" s="3" t="n"/>
      <c r="C1094" s="3" t="n"/>
      <c r="D1094" s="3" t="n"/>
      <c r="E1094" s="3" t="n"/>
      <c r="F1094" s="3" t="n"/>
      <c r="G1094" s="3" t="n"/>
      <c r="H1094" s="3" t="n"/>
      <c r="I1094" s="3" t="n"/>
      <c r="J1094" s="11" t="n"/>
      <c r="K1094" s="3" t="n"/>
      <c r="L1094" s="10" t="n"/>
      <c r="M1094" s="6" t="n"/>
      <c r="N10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94" s="3">
        <f>IF(tblOrdenes[[#This Row],[fecha_inicio]]="","",YEAR(tblOrdenes[[#This Row],[fecha_inicio]]))</f>
        <v/>
      </c>
      <c r="R1094" s="3">
        <f>IF(tblOrdenes[[#This Row],[fecha_inicio]]="","",MONTH(tblOrdenes[[#This Row],[fecha_inicio]]))</f>
        <v/>
      </c>
      <c r="S1094" s="3">
        <f>IF(tblOrdenes[[#This Row],[fecha_inicio]]="","",INDEX(lista_dias,WEEKDAY(tblOrdenes[[#This Row],[fecha_inicio]],2)))</f>
        <v/>
      </c>
      <c r="T1094" s="3">
        <f>IF(tblOrdenes[[#This Row],[tipo_ot]]="","",_xlfn.XLOOKUP(tblOrdenes[[#This Row],[tipo_ot]],tblTiposOT[codigo],tblTiposOT[clasificacion],"sin_clasificar"))</f>
        <v/>
      </c>
      <c r="U1094" s="3">
        <f>IF(tblOrdenes[[#This Row],[centro_costo]]="","",_xlfn.XLOOKUP(tblOrdenes[[#This Row],[centro_costo]],tblCECO[codigo],tblCECO[linea],"(sin catálogo)"))</f>
        <v/>
      </c>
      <c r="V1094" s="3">
        <f>IF(tblOrdenes[[#This Row],[centro_costo]]="","",_xlfn.XLOOKUP(tblOrdenes[[#This Row],[centro_costo]],tblCECO[codigo],tblCECO[area],"(sin catálogo)"))</f>
        <v/>
      </c>
      <c r="W1094" s="3">
        <f>IF(tblOrdenes[[#This Row],[centro_costo]]="","",_xlfn.XLOOKUP(tblOrdenes[[#This Row],[centro_costo]],tblCECO[codigo],tblCECO[coordinador],"(sin catálogo)"))</f>
        <v/>
      </c>
      <c r="X1094" s="3">
        <f>IF(tblOrdenes[[#This Row],[puesto_trabajo]]="","",_xlfn.XLOOKUP(tblOrdenes[[#This Row],[puesto_trabajo]],tblPuestos[codigo],tblPuestos[especialidad],"(sin catálogo)"))</f>
        <v/>
      </c>
      <c r="Y1094" s="3">
        <f>IF(tblOrdenes[[#This Row],[cod_actividad]]="","",_xlfn.XLOOKUP(tblOrdenes[[#This Row],[cod_actividad]],tblActividades[codigo],tblActividades[descripcion],"(sin catálogo)"))</f>
        <v/>
      </c>
      <c r="Z1094" s="12">
        <f>IF(tblOrdenes[[#This Row],[fecha_inicio]]="","",TODAY()-tblOrdenes[[#This Row],[fecha_inicio]])</f>
        <v/>
      </c>
      <c r="AA1094" s="3">
        <f>IF(tblOrdenes[[#This Row],[backlog_dias]]="","",IF(tblOrdenes[[#This Row],[backlog_dias]]&lt;0,"FUTURO",IF(tblOrdenes[[#This Row],[backlog_dias]]&gt;p_dias_backlog_max,"BACKLOG","MES CORRIENTE")))</f>
        <v/>
      </c>
      <c r="AB1094" s="3">
        <f>IF(tblOrdenes[[#This Row],[backlog_dias]]="",FALSE,AND(tblOrdenes[[#This Row],[backlog_dias]]&gt;p_dias_backlog_min,tblOrdenes[[#This Row],[backlog_dias]]&lt;=p_dias_backlog_max))</f>
        <v/>
      </c>
      <c r="AC1094" s="6" t="n"/>
      <c r="AD10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94" s="10">
        <f>IF(tblOrdenes[[#This Row],[orden]]="","",_xlfn.XLOOKUP(tblOrdenes[[#This Row],[id_operacion]],tblEjecucion[id_operacion],tblEjecucion[precio],0))</f>
        <v/>
      </c>
      <c r="AH1094" s="10">
        <f>IF(tblOrdenes[[#This Row],[orden]]="","",MAX(0,_xlfn.XLOOKUP(tblOrdenes[[#This Row],[id_operacion]],tblEjecucion[id_operacion],tblEjecucion[costo_plan_total],0)-tblOrdenes[[#This Row],[costo_servicio]]))</f>
        <v/>
      </c>
      <c r="AI1094" s="10">
        <f>IF(tblOrdenes[[#This Row],[orden]]="","",tblOrdenes[[#This Row],[costo_servicio]]+tblOrdenes[[#This Row],[costo_materiales]])</f>
        <v/>
      </c>
      <c r="AJ1094" s="6" t="n"/>
      <c r="AK1094" s="6" t="n"/>
      <c r="AL1094" s="6" t="n"/>
      <c r="AM1094" s="3">
        <f>IF(tblOrdenes[[#This Row],[link_checklist]]="","",HYPERLINK(p_ruta_base_checklists&amp;tblOrdenes[[#This Row],[link_checklist]],"abrir"))</f>
        <v/>
      </c>
      <c r="AN1094" s="6" t="n"/>
      <c r="AO1094" s="3">
        <f>IF(tblOrdenes[[#This Row],[orden]]="","",tblOrdenes[[#This Row],[orden]]&amp;IF(tblOrdenes[[#This Row],[operacion]]="","0010",tblOrdenes[[#This Row],[operacion]]))</f>
        <v/>
      </c>
    </row>
    <row r="1095">
      <c r="A1095" s="3" t="n"/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11" t="n"/>
      <c r="K1095" s="3" t="n"/>
      <c r="L1095" s="10" t="n"/>
      <c r="M1095" s="6" t="n"/>
      <c r="N10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95" s="3">
        <f>IF(tblOrdenes[[#This Row],[fecha_inicio]]="","",YEAR(tblOrdenes[[#This Row],[fecha_inicio]]))</f>
        <v/>
      </c>
      <c r="R1095" s="3">
        <f>IF(tblOrdenes[[#This Row],[fecha_inicio]]="","",MONTH(tblOrdenes[[#This Row],[fecha_inicio]]))</f>
        <v/>
      </c>
      <c r="S1095" s="3">
        <f>IF(tblOrdenes[[#This Row],[fecha_inicio]]="","",INDEX(lista_dias,WEEKDAY(tblOrdenes[[#This Row],[fecha_inicio]],2)))</f>
        <v/>
      </c>
      <c r="T1095" s="3">
        <f>IF(tblOrdenes[[#This Row],[tipo_ot]]="","",_xlfn.XLOOKUP(tblOrdenes[[#This Row],[tipo_ot]],tblTiposOT[codigo],tblTiposOT[clasificacion],"sin_clasificar"))</f>
        <v/>
      </c>
      <c r="U1095" s="3">
        <f>IF(tblOrdenes[[#This Row],[centro_costo]]="","",_xlfn.XLOOKUP(tblOrdenes[[#This Row],[centro_costo]],tblCECO[codigo],tblCECO[linea],"(sin catálogo)"))</f>
        <v/>
      </c>
      <c r="V1095" s="3">
        <f>IF(tblOrdenes[[#This Row],[centro_costo]]="","",_xlfn.XLOOKUP(tblOrdenes[[#This Row],[centro_costo]],tblCECO[codigo],tblCECO[area],"(sin catálogo)"))</f>
        <v/>
      </c>
      <c r="W1095" s="3">
        <f>IF(tblOrdenes[[#This Row],[centro_costo]]="","",_xlfn.XLOOKUP(tblOrdenes[[#This Row],[centro_costo]],tblCECO[codigo],tblCECO[coordinador],"(sin catálogo)"))</f>
        <v/>
      </c>
      <c r="X1095" s="3">
        <f>IF(tblOrdenes[[#This Row],[puesto_trabajo]]="","",_xlfn.XLOOKUP(tblOrdenes[[#This Row],[puesto_trabajo]],tblPuestos[codigo],tblPuestos[especialidad],"(sin catálogo)"))</f>
        <v/>
      </c>
      <c r="Y1095" s="3">
        <f>IF(tblOrdenes[[#This Row],[cod_actividad]]="","",_xlfn.XLOOKUP(tblOrdenes[[#This Row],[cod_actividad]],tblActividades[codigo],tblActividades[descripcion],"(sin catálogo)"))</f>
        <v/>
      </c>
      <c r="Z1095" s="12">
        <f>IF(tblOrdenes[[#This Row],[fecha_inicio]]="","",TODAY()-tblOrdenes[[#This Row],[fecha_inicio]])</f>
        <v/>
      </c>
      <c r="AA1095" s="3">
        <f>IF(tblOrdenes[[#This Row],[backlog_dias]]="","",IF(tblOrdenes[[#This Row],[backlog_dias]]&lt;0,"FUTURO",IF(tblOrdenes[[#This Row],[backlog_dias]]&gt;p_dias_backlog_max,"BACKLOG","MES CORRIENTE")))</f>
        <v/>
      </c>
      <c r="AB1095" s="3">
        <f>IF(tblOrdenes[[#This Row],[backlog_dias]]="",FALSE,AND(tblOrdenes[[#This Row],[backlog_dias]]&gt;p_dias_backlog_min,tblOrdenes[[#This Row],[backlog_dias]]&lt;=p_dias_backlog_max))</f>
        <v/>
      </c>
      <c r="AC1095" s="6" t="n"/>
      <c r="AD10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95" s="10">
        <f>IF(tblOrdenes[[#This Row],[orden]]="","",_xlfn.XLOOKUP(tblOrdenes[[#This Row],[id_operacion]],tblEjecucion[id_operacion],tblEjecucion[precio],0))</f>
        <v/>
      </c>
      <c r="AH1095" s="10">
        <f>IF(tblOrdenes[[#This Row],[orden]]="","",MAX(0,_xlfn.XLOOKUP(tblOrdenes[[#This Row],[id_operacion]],tblEjecucion[id_operacion],tblEjecucion[costo_plan_total],0)-tblOrdenes[[#This Row],[costo_servicio]]))</f>
        <v/>
      </c>
      <c r="AI1095" s="10">
        <f>IF(tblOrdenes[[#This Row],[orden]]="","",tblOrdenes[[#This Row],[costo_servicio]]+tblOrdenes[[#This Row],[costo_materiales]])</f>
        <v/>
      </c>
      <c r="AJ1095" s="6" t="n"/>
      <c r="AK1095" s="6" t="n"/>
      <c r="AL1095" s="6" t="n"/>
      <c r="AM1095" s="3">
        <f>IF(tblOrdenes[[#This Row],[link_checklist]]="","",HYPERLINK(p_ruta_base_checklists&amp;tblOrdenes[[#This Row],[link_checklist]],"abrir"))</f>
        <v/>
      </c>
      <c r="AN1095" s="6" t="n"/>
      <c r="AO1095" s="3">
        <f>IF(tblOrdenes[[#This Row],[orden]]="","",tblOrdenes[[#This Row],[orden]]&amp;IF(tblOrdenes[[#This Row],[operacion]]="","0010",tblOrdenes[[#This Row],[operacion]]))</f>
        <v/>
      </c>
    </row>
    <row r="1096">
      <c r="A1096" s="3" t="n"/>
      <c r="B1096" s="3" t="n"/>
      <c r="C1096" s="3" t="n"/>
      <c r="D1096" s="3" t="n"/>
      <c r="E1096" s="3" t="n"/>
      <c r="F1096" s="3" t="n"/>
      <c r="G1096" s="3" t="n"/>
      <c r="H1096" s="3" t="n"/>
      <c r="I1096" s="3" t="n"/>
      <c r="J1096" s="11" t="n"/>
      <c r="K1096" s="3" t="n"/>
      <c r="L1096" s="10" t="n"/>
      <c r="M1096" s="6" t="n"/>
      <c r="N10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96" s="3">
        <f>IF(tblOrdenes[[#This Row],[fecha_inicio]]="","",YEAR(tblOrdenes[[#This Row],[fecha_inicio]]))</f>
        <v/>
      </c>
      <c r="R1096" s="3">
        <f>IF(tblOrdenes[[#This Row],[fecha_inicio]]="","",MONTH(tblOrdenes[[#This Row],[fecha_inicio]]))</f>
        <v/>
      </c>
      <c r="S1096" s="3">
        <f>IF(tblOrdenes[[#This Row],[fecha_inicio]]="","",INDEX(lista_dias,WEEKDAY(tblOrdenes[[#This Row],[fecha_inicio]],2)))</f>
        <v/>
      </c>
      <c r="T1096" s="3">
        <f>IF(tblOrdenes[[#This Row],[tipo_ot]]="","",_xlfn.XLOOKUP(tblOrdenes[[#This Row],[tipo_ot]],tblTiposOT[codigo],tblTiposOT[clasificacion],"sin_clasificar"))</f>
        <v/>
      </c>
      <c r="U1096" s="3">
        <f>IF(tblOrdenes[[#This Row],[centro_costo]]="","",_xlfn.XLOOKUP(tblOrdenes[[#This Row],[centro_costo]],tblCECO[codigo],tblCECO[linea],"(sin catálogo)"))</f>
        <v/>
      </c>
      <c r="V1096" s="3">
        <f>IF(tblOrdenes[[#This Row],[centro_costo]]="","",_xlfn.XLOOKUP(tblOrdenes[[#This Row],[centro_costo]],tblCECO[codigo],tblCECO[area],"(sin catálogo)"))</f>
        <v/>
      </c>
      <c r="W1096" s="3">
        <f>IF(tblOrdenes[[#This Row],[centro_costo]]="","",_xlfn.XLOOKUP(tblOrdenes[[#This Row],[centro_costo]],tblCECO[codigo],tblCECO[coordinador],"(sin catálogo)"))</f>
        <v/>
      </c>
      <c r="X1096" s="3">
        <f>IF(tblOrdenes[[#This Row],[puesto_trabajo]]="","",_xlfn.XLOOKUP(tblOrdenes[[#This Row],[puesto_trabajo]],tblPuestos[codigo],tblPuestos[especialidad],"(sin catálogo)"))</f>
        <v/>
      </c>
      <c r="Y1096" s="3">
        <f>IF(tblOrdenes[[#This Row],[cod_actividad]]="","",_xlfn.XLOOKUP(tblOrdenes[[#This Row],[cod_actividad]],tblActividades[codigo],tblActividades[descripcion],"(sin catálogo)"))</f>
        <v/>
      </c>
      <c r="Z1096" s="12">
        <f>IF(tblOrdenes[[#This Row],[fecha_inicio]]="","",TODAY()-tblOrdenes[[#This Row],[fecha_inicio]])</f>
        <v/>
      </c>
      <c r="AA1096" s="3">
        <f>IF(tblOrdenes[[#This Row],[backlog_dias]]="","",IF(tblOrdenes[[#This Row],[backlog_dias]]&lt;0,"FUTURO",IF(tblOrdenes[[#This Row],[backlog_dias]]&gt;p_dias_backlog_max,"BACKLOG","MES CORRIENTE")))</f>
        <v/>
      </c>
      <c r="AB1096" s="3">
        <f>IF(tblOrdenes[[#This Row],[backlog_dias]]="",FALSE,AND(tblOrdenes[[#This Row],[backlog_dias]]&gt;p_dias_backlog_min,tblOrdenes[[#This Row],[backlog_dias]]&lt;=p_dias_backlog_max))</f>
        <v/>
      </c>
      <c r="AC1096" s="6" t="n"/>
      <c r="AD10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96" s="10">
        <f>IF(tblOrdenes[[#This Row],[orden]]="","",_xlfn.XLOOKUP(tblOrdenes[[#This Row],[id_operacion]],tblEjecucion[id_operacion],tblEjecucion[precio],0))</f>
        <v/>
      </c>
      <c r="AH1096" s="10">
        <f>IF(tblOrdenes[[#This Row],[orden]]="","",MAX(0,_xlfn.XLOOKUP(tblOrdenes[[#This Row],[id_operacion]],tblEjecucion[id_operacion],tblEjecucion[costo_plan_total],0)-tblOrdenes[[#This Row],[costo_servicio]]))</f>
        <v/>
      </c>
      <c r="AI1096" s="10">
        <f>IF(tblOrdenes[[#This Row],[orden]]="","",tblOrdenes[[#This Row],[costo_servicio]]+tblOrdenes[[#This Row],[costo_materiales]])</f>
        <v/>
      </c>
      <c r="AJ1096" s="6" t="n"/>
      <c r="AK1096" s="6" t="n"/>
      <c r="AL1096" s="6" t="n"/>
      <c r="AM1096" s="3">
        <f>IF(tblOrdenes[[#This Row],[link_checklist]]="","",HYPERLINK(p_ruta_base_checklists&amp;tblOrdenes[[#This Row],[link_checklist]],"abrir"))</f>
        <v/>
      </c>
      <c r="AN1096" s="6" t="n"/>
      <c r="AO1096" s="3">
        <f>IF(tblOrdenes[[#This Row],[orden]]="","",tblOrdenes[[#This Row],[orden]]&amp;IF(tblOrdenes[[#This Row],[operacion]]="","0010",tblOrdenes[[#This Row],[operacion]]))</f>
        <v/>
      </c>
    </row>
    <row r="1097">
      <c r="A1097" s="3" t="n"/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11" t="n"/>
      <c r="K1097" s="3" t="n"/>
      <c r="L1097" s="10" t="n"/>
      <c r="M1097" s="6" t="n"/>
      <c r="N10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97" s="3">
        <f>IF(tblOrdenes[[#This Row],[fecha_inicio]]="","",YEAR(tblOrdenes[[#This Row],[fecha_inicio]]))</f>
        <v/>
      </c>
      <c r="R1097" s="3">
        <f>IF(tblOrdenes[[#This Row],[fecha_inicio]]="","",MONTH(tblOrdenes[[#This Row],[fecha_inicio]]))</f>
        <v/>
      </c>
      <c r="S1097" s="3">
        <f>IF(tblOrdenes[[#This Row],[fecha_inicio]]="","",INDEX(lista_dias,WEEKDAY(tblOrdenes[[#This Row],[fecha_inicio]],2)))</f>
        <v/>
      </c>
      <c r="T1097" s="3">
        <f>IF(tblOrdenes[[#This Row],[tipo_ot]]="","",_xlfn.XLOOKUP(tblOrdenes[[#This Row],[tipo_ot]],tblTiposOT[codigo],tblTiposOT[clasificacion],"sin_clasificar"))</f>
        <v/>
      </c>
      <c r="U1097" s="3">
        <f>IF(tblOrdenes[[#This Row],[centro_costo]]="","",_xlfn.XLOOKUP(tblOrdenes[[#This Row],[centro_costo]],tblCECO[codigo],tblCECO[linea],"(sin catálogo)"))</f>
        <v/>
      </c>
      <c r="V1097" s="3">
        <f>IF(tblOrdenes[[#This Row],[centro_costo]]="","",_xlfn.XLOOKUP(tblOrdenes[[#This Row],[centro_costo]],tblCECO[codigo],tblCECO[area],"(sin catálogo)"))</f>
        <v/>
      </c>
      <c r="W1097" s="3">
        <f>IF(tblOrdenes[[#This Row],[centro_costo]]="","",_xlfn.XLOOKUP(tblOrdenes[[#This Row],[centro_costo]],tblCECO[codigo],tblCECO[coordinador],"(sin catálogo)"))</f>
        <v/>
      </c>
      <c r="X1097" s="3">
        <f>IF(tblOrdenes[[#This Row],[puesto_trabajo]]="","",_xlfn.XLOOKUP(tblOrdenes[[#This Row],[puesto_trabajo]],tblPuestos[codigo],tblPuestos[especialidad],"(sin catálogo)"))</f>
        <v/>
      </c>
      <c r="Y1097" s="3">
        <f>IF(tblOrdenes[[#This Row],[cod_actividad]]="","",_xlfn.XLOOKUP(tblOrdenes[[#This Row],[cod_actividad]],tblActividades[codigo],tblActividades[descripcion],"(sin catálogo)"))</f>
        <v/>
      </c>
      <c r="Z1097" s="12">
        <f>IF(tblOrdenes[[#This Row],[fecha_inicio]]="","",TODAY()-tblOrdenes[[#This Row],[fecha_inicio]])</f>
        <v/>
      </c>
      <c r="AA1097" s="3">
        <f>IF(tblOrdenes[[#This Row],[backlog_dias]]="","",IF(tblOrdenes[[#This Row],[backlog_dias]]&lt;0,"FUTURO",IF(tblOrdenes[[#This Row],[backlog_dias]]&gt;p_dias_backlog_max,"BACKLOG","MES CORRIENTE")))</f>
        <v/>
      </c>
      <c r="AB1097" s="3">
        <f>IF(tblOrdenes[[#This Row],[backlog_dias]]="",FALSE,AND(tblOrdenes[[#This Row],[backlog_dias]]&gt;p_dias_backlog_min,tblOrdenes[[#This Row],[backlog_dias]]&lt;=p_dias_backlog_max))</f>
        <v/>
      </c>
      <c r="AC1097" s="6" t="n"/>
      <c r="AD10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97" s="10">
        <f>IF(tblOrdenes[[#This Row],[orden]]="","",_xlfn.XLOOKUP(tblOrdenes[[#This Row],[id_operacion]],tblEjecucion[id_operacion],tblEjecucion[precio],0))</f>
        <v/>
      </c>
      <c r="AH1097" s="10">
        <f>IF(tblOrdenes[[#This Row],[orden]]="","",MAX(0,_xlfn.XLOOKUP(tblOrdenes[[#This Row],[id_operacion]],tblEjecucion[id_operacion],tblEjecucion[costo_plan_total],0)-tblOrdenes[[#This Row],[costo_servicio]]))</f>
        <v/>
      </c>
      <c r="AI1097" s="10">
        <f>IF(tblOrdenes[[#This Row],[orden]]="","",tblOrdenes[[#This Row],[costo_servicio]]+tblOrdenes[[#This Row],[costo_materiales]])</f>
        <v/>
      </c>
      <c r="AJ1097" s="6" t="n"/>
      <c r="AK1097" s="6" t="n"/>
      <c r="AL1097" s="6" t="n"/>
      <c r="AM1097" s="3">
        <f>IF(tblOrdenes[[#This Row],[link_checklist]]="","",HYPERLINK(p_ruta_base_checklists&amp;tblOrdenes[[#This Row],[link_checklist]],"abrir"))</f>
        <v/>
      </c>
      <c r="AN1097" s="6" t="n"/>
      <c r="AO1097" s="3">
        <f>IF(tblOrdenes[[#This Row],[orden]]="","",tblOrdenes[[#This Row],[orden]]&amp;IF(tblOrdenes[[#This Row],[operacion]]="","0010",tblOrdenes[[#This Row],[operacion]]))</f>
        <v/>
      </c>
    </row>
    <row r="1098">
      <c r="A1098" s="3" t="n"/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11" t="n"/>
      <c r="K1098" s="3" t="n"/>
      <c r="L1098" s="10" t="n"/>
      <c r="M1098" s="6" t="n"/>
      <c r="N10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98" s="3">
        <f>IF(tblOrdenes[[#This Row],[fecha_inicio]]="","",YEAR(tblOrdenes[[#This Row],[fecha_inicio]]))</f>
        <v/>
      </c>
      <c r="R1098" s="3">
        <f>IF(tblOrdenes[[#This Row],[fecha_inicio]]="","",MONTH(tblOrdenes[[#This Row],[fecha_inicio]]))</f>
        <v/>
      </c>
      <c r="S1098" s="3">
        <f>IF(tblOrdenes[[#This Row],[fecha_inicio]]="","",INDEX(lista_dias,WEEKDAY(tblOrdenes[[#This Row],[fecha_inicio]],2)))</f>
        <v/>
      </c>
      <c r="T1098" s="3">
        <f>IF(tblOrdenes[[#This Row],[tipo_ot]]="","",_xlfn.XLOOKUP(tblOrdenes[[#This Row],[tipo_ot]],tblTiposOT[codigo],tblTiposOT[clasificacion],"sin_clasificar"))</f>
        <v/>
      </c>
      <c r="U1098" s="3">
        <f>IF(tblOrdenes[[#This Row],[centro_costo]]="","",_xlfn.XLOOKUP(tblOrdenes[[#This Row],[centro_costo]],tblCECO[codigo],tblCECO[linea],"(sin catálogo)"))</f>
        <v/>
      </c>
      <c r="V1098" s="3">
        <f>IF(tblOrdenes[[#This Row],[centro_costo]]="","",_xlfn.XLOOKUP(tblOrdenes[[#This Row],[centro_costo]],tblCECO[codigo],tblCECO[area],"(sin catálogo)"))</f>
        <v/>
      </c>
      <c r="W1098" s="3">
        <f>IF(tblOrdenes[[#This Row],[centro_costo]]="","",_xlfn.XLOOKUP(tblOrdenes[[#This Row],[centro_costo]],tblCECO[codigo],tblCECO[coordinador],"(sin catálogo)"))</f>
        <v/>
      </c>
      <c r="X1098" s="3">
        <f>IF(tblOrdenes[[#This Row],[puesto_trabajo]]="","",_xlfn.XLOOKUP(tblOrdenes[[#This Row],[puesto_trabajo]],tblPuestos[codigo],tblPuestos[especialidad],"(sin catálogo)"))</f>
        <v/>
      </c>
      <c r="Y1098" s="3">
        <f>IF(tblOrdenes[[#This Row],[cod_actividad]]="","",_xlfn.XLOOKUP(tblOrdenes[[#This Row],[cod_actividad]],tblActividades[codigo],tblActividades[descripcion],"(sin catálogo)"))</f>
        <v/>
      </c>
      <c r="Z1098" s="12">
        <f>IF(tblOrdenes[[#This Row],[fecha_inicio]]="","",TODAY()-tblOrdenes[[#This Row],[fecha_inicio]])</f>
        <v/>
      </c>
      <c r="AA1098" s="3">
        <f>IF(tblOrdenes[[#This Row],[backlog_dias]]="","",IF(tblOrdenes[[#This Row],[backlog_dias]]&lt;0,"FUTURO",IF(tblOrdenes[[#This Row],[backlog_dias]]&gt;p_dias_backlog_max,"BACKLOG","MES CORRIENTE")))</f>
        <v/>
      </c>
      <c r="AB1098" s="3">
        <f>IF(tblOrdenes[[#This Row],[backlog_dias]]="",FALSE,AND(tblOrdenes[[#This Row],[backlog_dias]]&gt;p_dias_backlog_min,tblOrdenes[[#This Row],[backlog_dias]]&lt;=p_dias_backlog_max))</f>
        <v/>
      </c>
      <c r="AC1098" s="6" t="n"/>
      <c r="AD10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98" s="10">
        <f>IF(tblOrdenes[[#This Row],[orden]]="","",_xlfn.XLOOKUP(tblOrdenes[[#This Row],[id_operacion]],tblEjecucion[id_operacion],tblEjecucion[precio],0))</f>
        <v/>
      </c>
      <c r="AH1098" s="10">
        <f>IF(tblOrdenes[[#This Row],[orden]]="","",MAX(0,_xlfn.XLOOKUP(tblOrdenes[[#This Row],[id_operacion]],tblEjecucion[id_operacion],tblEjecucion[costo_plan_total],0)-tblOrdenes[[#This Row],[costo_servicio]]))</f>
        <v/>
      </c>
      <c r="AI1098" s="10">
        <f>IF(tblOrdenes[[#This Row],[orden]]="","",tblOrdenes[[#This Row],[costo_servicio]]+tblOrdenes[[#This Row],[costo_materiales]])</f>
        <v/>
      </c>
      <c r="AJ1098" s="6" t="n"/>
      <c r="AK1098" s="6" t="n"/>
      <c r="AL1098" s="6" t="n"/>
      <c r="AM1098" s="3">
        <f>IF(tblOrdenes[[#This Row],[link_checklist]]="","",HYPERLINK(p_ruta_base_checklists&amp;tblOrdenes[[#This Row],[link_checklist]],"abrir"))</f>
        <v/>
      </c>
      <c r="AN1098" s="6" t="n"/>
      <c r="AO1098" s="3">
        <f>IF(tblOrdenes[[#This Row],[orden]]="","",tblOrdenes[[#This Row],[orden]]&amp;IF(tblOrdenes[[#This Row],[operacion]]="","0010",tblOrdenes[[#This Row],[operacion]]))</f>
        <v/>
      </c>
    </row>
    <row r="1099">
      <c r="A1099" s="3" t="n"/>
      <c r="B1099" s="3" t="n"/>
      <c r="C1099" s="3" t="n"/>
      <c r="D1099" s="3" t="n"/>
      <c r="E1099" s="3" t="n"/>
      <c r="F1099" s="3" t="n"/>
      <c r="G1099" s="3" t="n"/>
      <c r="H1099" s="3" t="n"/>
      <c r="I1099" s="3" t="n"/>
      <c r="J1099" s="11" t="n"/>
      <c r="K1099" s="3" t="n"/>
      <c r="L1099" s="10" t="n"/>
      <c r="M1099" s="6" t="n"/>
      <c r="N10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0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0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099" s="3">
        <f>IF(tblOrdenes[[#This Row],[fecha_inicio]]="","",YEAR(tblOrdenes[[#This Row],[fecha_inicio]]))</f>
        <v/>
      </c>
      <c r="R1099" s="3">
        <f>IF(tblOrdenes[[#This Row],[fecha_inicio]]="","",MONTH(tblOrdenes[[#This Row],[fecha_inicio]]))</f>
        <v/>
      </c>
      <c r="S1099" s="3">
        <f>IF(tblOrdenes[[#This Row],[fecha_inicio]]="","",INDEX(lista_dias,WEEKDAY(tblOrdenes[[#This Row],[fecha_inicio]],2)))</f>
        <v/>
      </c>
      <c r="T1099" s="3">
        <f>IF(tblOrdenes[[#This Row],[tipo_ot]]="","",_xlfn.XLOOKUP(tblOrdenes[[#This Row],[tipo_ot]],tblTiposOT[codigo],tblTiposOT[clasificacion],"sin_clasificar"))</f>
        <v/>
      </c>
      <c r="U1099" s="3">
        <f>IF(tblOrdenes[[#This Row],[centro_costo]]="","",_xlfn.XLOOKUP(tblOrdenes[[#This Row],[centro_costo]],tblCECO[codigo],tblCECO[linea],"(sin catálogo)"))</f>
        <v/>
      </c>
      <c r="V1099" s="3">
        <f>IF(tblOrdenes[[#This Row],[centro_costo]]="","",_xlfn.XLOOKUP(tblOrdenes[[#This Row],[centro_costo]],tblCECO[codigo],tblCECO[area],"(sin catálogo)"))</f>
        <v/>
      </c>
      <c r="W1099" s="3">
        <f>IF(tblOrdenes[[#This Row],[centro_costo]]="","",_xlfn.XLOOKUP(tblOrdenes[[#This Row],[centro_costo]],tblCECO[codigo],tblCECO[coordinador],"(sin catálogo)"))</f>
        <v/>
      </c>
      <c r="X1099" s="3">
        <f>IF(tblOrdenes[[#This Row],[puesto_trabajo]]="","",_xlfn.XLOOKUP(tblOrdenes[[#This Row],[puesto_trabajo]],tblPuestos[codigo],tblPuestos[especialidad],"(sin catálogo)"))</f>
        <v/>
      </c>
      <c r="Y1099" s="3">
        <f>IF(tblOrdenes[[#This Row],[cod_actividad]]="","",_xlfn.XLOOKUP(tblOrdenes[[#This Row],[cod_actividad]],tblActividades[codigo],tblActividades[descripcion],"(sin catálogo)"))</f>
        <v/>
      </c>
      <c r="Z1099" s="12">
        <f>IF(tblOrdenes[[#This Row],[fecha_inicio]]="","",TODAY()-tblOrdenes[[#This Row],[fecha_inicio]])</f>
        <v/>
      </c>
      <c r="AA1099" s="3">
        <f>IF(tblOrdenes[[#This Row],[backlog_dias]]="","",IF(tblOrdenes[[#This Row],[backlog_dias]]&lt;0,"FUTURO",IF(tblOrdenes[[#This Row],[backlog_dias]]&gt;p_dias_backlog_max,"BACKLOG","MES CORRIENTE")))</f>
        <v/>
      </c>
      <c r="AB1099" s="3">
        <f>IF(tblOrdenes[[#This Row],[backlog_dias]]="",FALSE,AND(tblOrdenes[[#This Row],[backlog_dias]]&gt;p_dias_backlog_min,tblOrdenes[[#This Row],[backlog_dias]]&lt;=p_dias_backlog_max))</f>
        <v/>
      </c>
      <c r="AC1099" s="6" t="n"/>
      <c r="AD10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0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0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099" s="10">
        <f>IF(tblOrdenes[[#This Row],[orden]]="","",_xlfn.XLOOKUP(tblOrdenes[[#This Row],[id_operacion]],tblEjecucion[id_operacion],tblEjecucion[precio],0))</f>
        <v/>
      </c>
      <c r="AH1099" s="10">
        <f>IF(tblOrdenes[[#This Row],[orden]]="","",MAX(0,_xlfn.XLOOKUP(tblOrdenes[[#This Row],[id_operacion]],tblEjecucion[id_operacion],tblEjecucion[costo_plan_total],0)-tblOrdenes[[#This Row],[costo_servicio]]))</f>
        <v/>
      </c>
      <c r="AI1099" s="10">
        <f>IF(tblOrdenes[[#This Row],[orden]]="","",tblOrdenes[[#This Row],[costo_servicio]]+tblOrdenes[[#This Row],[costo_materiales]])</f>
        <v/>
      </c>
      <c r="AJ1099" s="6" t="n"/>
      <c r="AK1099" s="6" t="n"/>
      <c r="AL1099" s="6" t="n"/>
      <c r="AM1099" s="3">
        <f>IF(tblOrdenes[[#This Row],[link_checklist]]="","",HYPERLINK(p_ruta_base_checklists&amp;tblOrdenes[[#This Row],[link_checklist]],"abrir"))</f>
        <v/>
      </c>
      <c r="AN1099" s="6" t="n"/>
      <c r="AO1099" s="3">
        <f>IF(tblOrdenes[[#This Row],[orden]]="","",tblOrdenes[[#This Row],[orden]]&amp;IF(tblOrdenes[[#This Row],[operacion]]="","0010",tblOrdenes[[#This Row],[operacion]]))</f>
        <v/>
      </c>
    </row>
    <row r="1100">
      <c r="A1100" s="3" t="n"/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11" t="n"/>
      <c r="K1100" s="3" t="n"/>
      <c r="L1100" s="10" t="n"/>
      <c r="M1100" s="6" t="n"/>
      <c r="N11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00" s="3">
        <f>IF(tblOrdenes[[#This Row],[fecha_inicio]]="","",YEAR(tblOrdenes[[#This Row],[fecha_inicio]]))</f>
        <v/>
      </c>
      <c r="R1100" s="3">
        <f>IF(tblOrdenes[[#This Row],[fecha_inicio]]="","",MONTH(tblOrdenes[[#This Row],[fecha_inicio]]))</f>
        <v/>
      </c>
      <c r="S1100" s="3">
        <f>IF(tblOrdenes[[#This Row],[fecha_inicio]]="","",INDEX(lista_dias,WEEKDAY(tblOrdenes[[#This Row],[fecha_inicio]],2)))</f>
        <v/>
      </c>
      <c r="T1100" s="3">
        <f>IF(tblOrdenes[[#This Row],[tipo_ot]]="","",_xlfn.XLOOKUP(tblOrdenes[[#This Row],[tipo_ot]],tblTiposOT[codigo],tblTiposOT[clasificacion],"sin_clasificar"))</f>
        <v/>
      </c>
      <c r="U1100" s="3">
        <f>IF(tblOrdenes[[#This Row],[centro_costo]]="","",_xlfn.XLOOKUP(tblOrdenes[[#This Row],[centro_costo]],tblCECO[codigo],tblCECO[linea],"(sin catálogo)"))</f>
        <v/>
      </c>
      <c r="V1100" s="3">
        <f>IF(tblOrdenes[[#This Row],[centro_costo]]="","",_xlfn.XLOOKUP(tblOrdenes[[#This Row],[centro_costo]],tblCECO[codigo],tblCECO[area],"(sin catálogo)"))</f>
        <v/>
      </c>
      <c r="W1100" s="3">
        <f>IF(tblOrdenes[[#This Row],[centro_costo]]="","",_xlfn.XLOOKUP(tblOrdenes[[#This Row],[centro_costo]],tblCECO[codigo],tblCECO[coordinador],"(sin catálogo)"))</f>
        <v/>
      </c>
      <c r="X1100" s="3">
        <f>IF(tblOrdenes[[#This Row],[puesto_trabajo]]="","",_xlfn.XLOOKUP(tblOrdenes[[#This Row],[puesto_trabajo]],tblPuestos[codigo],tblPuestos[especialidad],"(sin catálogo)"))</f>
        <v/>
      </c>
      <c r="Y1100" s="3">
        <f>IF(tblOrdenes[[#This Row],[cod_actividad]]="","",_xlfn.XLOOKUP(tblOrdenes[[#This Row],[cod_actividad]],tblActividades[codigo],tblActividades[descripcion],"(sin catálogo)"))</f>
        <v/>
      </c>
      <c r="Z1100" s="12">
        <f>IF(tblOrdenes[[#This Row],[fecha_inicio]]="","",TODAY()-tblOrdenes[[#This Row],[fecha_inicio]])</f>
        <v/>
      </c>
      <c r="AA1100" s="3">
        <f>IF(tblOrdenes[[#This Row],[backlog_dias]]="","",IF(tblOrdenes[[#This Row],[backlog_dias]]&lt;0,"FUTURO",IF(tblOrdenes[[#This Row],[backlog_dias]]&gt;p_dias_backlog_max,"BACKLOG","MES CORRIENTE")))</f>
        <v/>
      </c>
      <c r="AB1100" s="3">
        <f>IF(tblOrdenes[[#This Row],[backlog_dias]]="",FALSE,AND(tblOrdenes[[#This Row],[backlog_dias]]&gt;p_dias_backlog_min,tblOrdenes[[#This Row],[backlog_dias]]&lt;=p_dias_backlog_max))</f>
        <v/>
      </c>
      <c r="AC1100" s="6" t="n"/>
      <c r="AD11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00" s="10">
        <f>IF(tblOrdenes[[#This Row],[orden]]="","",_xlfn.XLOOKUP(tblOrdenes[[#This Row],[id_operacion]],tblEjecucion[id_operacion],tblEjecucion[precio],0))</f>
        <v/>
      </c>
      <c r="AH1100" s="10">
        <f>IF(tblOrdenes[[#This Row],[orden]]="","",MAX(0,_xlfn.XLOOKUP(tblOrdenes[[#This Row],[id_operacion]],tblEjecucion[id_operacion],tblEjecucion[costo_plan_total],0)-tblOrdenes[[#This Row],[costo_servicio]]))</f>
        <v/>
      </c>
      <c r="AI1100" s="10">
        <f>IF(tblOrdenes[[#This Row],[orden]]="","",tblOrdenes[[#This Row],[costo_servicio]]+tblOrdenes[[#This Row],[costo_materiales]])</f>
        <v/>
      </c>
      <c r="AJ1100" s="6" t="n"/>
      <c r="AK1100" s="6" t="n"/>
      <c r="AL1100" s="6" t="n"/>
      <c r="AM1100" s="3">
        <f>IF(tblOrdenes[[#This Row],[link_checklist]]="","",HYPERLINK(p_ruta_base_checklists&amp;tblOrdenes[[#This Row],[link_checklist]],"abrir"))</f>
        <v/>
      </c>
      <c r="AN1100" s="6" t="n"/>
      <c r="AO1100" s="3">
        <f>IF(tblOrdenes[[#This Row],[orden]]="","",tblOrdenes[[#This Row],[orden]]&amp;IF(tblOrdenes[[#This Row],[operacion]]="","0010",tblOrdenes[[#This Row],[operacion]]))</f>
        <v/>
      </c>
    </row>
    <row r="1101">
      <c r="A1101" s="3" t="n"/>
      <c r="B1101" s="3" t="n"/>
      <c r="C1101" s="3" t="n"/>
      <c r="D1101" s="3" t="n"/>
      <c r="E1101" s="3" t="n"/>
      <c r="F1101" s="3" t="n"/>
      <c r="G1101" s="3" t="n"/>
      <c r="H1101" s="3" t="n"/>
      <c r="I1101" s="3" t="n"/>
      <c r="J1101" s="11" t="n"/>
      <c r="K1101" s="3" t="n"/>
      <c r="L1101" s="10" t="n"/>
      <c r="M1101" s="6" t="n"/>
      <c r="N11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01" s="3">
        <f>IF(tblOrdenes[[#This Row],[fecha_inicio]]="","",YEAR(tblOrdenes[[#This Row],[fecha_inicio]]))</f>
        <v/>
      </c>
      <c r="R1101" s="3">
        <f>IF(tblOrdenes[[#This Row],[fecha_inicio]]="","",MONTH(tblOrdenes[[#This Row],[fecha_inicio]]))</f>
        <v/>
      </c>
      <c r="S1101" s="3">
        <f>IF(tblOrdenes[[#This Row],[fecha_inicio]]="","",INDEX(lista_dias,WEEKDAY(tblOrdenes[[#This Row],[fecha_inicio]],2)))</f>
        <v/>
      </c>
      <c r="T1101" s="3">
        <f>IF(tblOrdenes[[#This Row],[tipo_ot]]="","",_xlfn.XLOOKUP(tblOrdenes[[#This Row],[tipo_ot]],tblTiposOT[codigo],tblTiposOT[clasificacion],"sin_clasificar"))</f>
        <v/>
      </c>
      <c r="U1101" s="3">
        <f>IF(tblOrdenes[[#This Row],[centro_costo]]="","",_xlfn.XLOOKUP(tblOrdenes[[#This Row],[centro_costo]],tblCECO[codigo],tblCECO[linea],"(sin catálogo)"))</f>
        <v/>
      </c>
      <c r="V1101" s="3">
        <f>IF(tblOrdenes[[#This Row],[centro_costo]]="","",_xlfn.XLOOKUP(tblOrdenes[[#This Row],[centro_costo]],tblCECO[codigo],tblCECO[area],"(sin catálogo)"))</f>
        <v/>
      </c>
      <c r="W1101" s="3">
        <f>IF(tblOrdenes[[#This Row],[centro_costo]]="","",_xlfn.XLOOKUP(tblOrdenes[[#This Row],[centro_costo]],tblCECO[codigo],tblCECO[coordinador],"(sin catálogo)"))</f>
        <v/>
      </c>
      <c r="X1101" s="3">
        <f>IF(tblOrdenes[[#This Row],[puesto_trabajo]]="","",_xlfn.XLOOKUP(tblOrdenes[[#This Row],[puesto_trabajo]],tblPuestos[codigo],tblPuestos[especialidad],"(sin catálogo)"))</f>
        <v/>
      </c>
      <c r="Y1101" s="3">
        <f>IF(tblOrdenes[[#This Row],[cod_actividad]]="","",_xlfn.XLOOKUP(tblOrdenes[[#This Row],[cod_actividad]],tblActividades[codigo],tblActividades[descripcion],"(sin catálogo)"))</f>
        <v/>
      </c>
      <c r="Z1101" s="12">
        <f>IF(tblOrdenes[[#This Row],[fecha_inicio]]="","",TODAY()-tblOrdenes[[#This Row],[fecha_inicio]])</f>
        <v/>
      </c>
      <c r="AA1101" s="3">
        <f>IF(tblOrdenes[[#This Row],[backlog_dias]]="","",IF(tblOrdenes[[#This Row],[backlog_dias]]&lt;0,"FUTURO",IF(tblOrdenes[[#This Row],[backlog_dias]]&gt;p_dias_backlog_max,"BACKLOG","MES CORRIENTE")))</f>
        <v/>
      </c>
      <c r="AB1101" s="3">
        <f>IF(tblOrdenes[[#This Row],[backlog_dias]]="",FALSE,AND(tblOrdenes[[#This Row],[backlog_dias]]&gt;p_dias_backlog_min,tblOrdenes[[#This Row],[backlog_dias]]&lt;=p_dias_backlog_max))</f>
        <v/>
      </c>
      <c r="AC1101" s="6" t="n"/>
      <c r="AD11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01" s="10">
        <f>IF(tblOrdenes[[#This Row],[orden]]="","",_xlfn.XLOOKUP(tblOrdenes[[#This Row],[id_operacion]],tblEjecucion[id_operacion],tblEjecucion[precio],0))</f>
        <v/>
      </c>
      <c r="AH1101" s="10">
        <f>IF(tblOrdenes[[#This Row],[orden]]="","",MAX(0,_xlfn.XLOOKUP(tblOrdenes[[#This Row],[id_operacion]],tblEjecucion[id_operacion],tblEjecucion[costo_plan_total],0)-tblOrdenes[[#This Row],[costo_servicio]]))</f>
        <v/>
      </c>
      <c r="AI1101" s="10">
        <f>IF(tblOrdenes[[#This Row],[orden]]="","",tblOrdenes[[#This Row],[costo_servicio]]+tblOrdenes[[#This Row],[costo_materiales]])</f>
        <v/>
      </c>
      <c r="AJ1101" s="6" t="n"/>
      <c r="AK1101" s="6" t="n"/>
      <c r="AL1101" s="6" t="n"/>
      <c r="AM1101" s="3">
        <f>IF(tblOrdenes[[#This Row],[link_checklist]]="","",HYPERLINK(p_ruta_base_checklists&amp;tblOrdenes[[#This Row],[link_checklist]],"abrir"))</f>
        <v/>
      </c>
      <c r="AN1101" s="6" t="n"/>
      <c r="AO1101" s="3">
        <f>IF(tblOrdenes[[#This Row],[orden]]="","",tblOrdenes[[#This Row],[orden]]&amp;IF(tblOrdenes[[#This Row],[operacion]]="","0010",tblOrdenes[[#This Row],[operacion]]))</f>
        <v/>
      </c>
    </row>
    <row r="1102">
      <c r="A1102" s="3" t="n"/>
      <c r="B1102" s="3" t="n"/>
      <c r="C1102" s="3" t="n"/>
      <c r="D1102" s="3" t="n"/>
      <c r="E1102" s="3" t="n"/>
      <c r="F1102" s="3" t="n"/>
      <c r="G1102" s="3" t="n"/>
      <c r="H1102" s="3" t="n"/>
      <c r="I1102" s="3" t="n"/>
      <c r="J1102" s="11" t="n"/>
      <c r="K1102" s="3" t="n"/>
      <c r="L1102" s="10" t="n"/>
      <c r="M1102" s="6" t="n"/>
      <c r="N11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02" s="3">
        <f>IF(tblOrdenes[[#This Row],[fecha_inicio]]="","",YEAR(tblOrdenes[[#This Row],[fecha_inicio]]))</f>
        <v/>
      </c>
      <c r="R1102" s="3">
        <f>IF(tblOrdenes[[#This Row],[fecha_inicio]]="","",MONTH(tblOrdenes[[#This Row],[fecha_inicio]]))</f>
        <v/>
      </c>
      <c r="S1102" s="3">
        <f>IF(tblOrdenes[[#This Row],[fecha_inicio]]="","",INDEX(lista_dias,WEEKDAY(tblOrdenes[[#This Row],[fecha_inicio]],2)))</f>
        <v/>
      </c>
      <c r="T1102" s="3">
        <f>IF(tblOrdenes[[#This Row],[tipo_ot]]="","",_xlfn.XLOOKUP(tblOrdenes[[#This Row],[tipo_ot]],tblTiposOT[codigo],tblTiposOT[clasificacion],"sin_clasificar"))</f>
        <v/>
      </c>
      <c r="U1102" s="3">
        <f>IF(tblOrdenes[[#This Row],[centro_costo]]="","",_xlfn.XLOOKUP(tblOrdenes[[#This Row],[centro_costo]],tblCECO[codigo],tblCECO[linea],"(sin catálogo)"))</f>
        <v/>
      </c>
      <c r="V1102" s="3">
        <f>IF(tblOrdenes[[#This Row],[centro_costo]]="","",_xlfn.XLOOKUP(tblOrdenes[[#This Row],[centro_costo]],tblCECO[codigo],tblCECO[area],"(sin catálogo)"))</f>
        <v/>
      </c>
      <c r="W1102" s="3">
        <f>IF(tblOrdenes[[#This Row],[centro_costo]]="","",_xlfn.XLOOKUP(tblOrdenes[[#This Row],[centro_costo]],tblCECO[codigo],tblCECO[coordinador],"(sin catálogo)"))</f>
        <v/>
      </c>
      <c r="X1102" s="3">
        <f>IF(tblOrdenes[[#This Row],[puesto_trabajo]]="","",_xlfn.XLOOKUP(tblOrdenes[[#This Row],[puesto_trabajo]],tblPuestos[codigo],tblPuestos[especialidad],"(sin catálogo)"))</f>
        <v/>
      </c>
      <c r="Y1102" s="3">
        <f>IF(tblOrdenes[[#This Row],[cod_actividad]]="","",_xlfn.XLOOKUP(tblOrdenes[[#This Row],[cod_actividad]],tblActividades[codigo],tblActividades[descripcion],"(sin catálogo)"))</f>
        <v/>
      </c>
      <c r="Z1102" s="12">
        <f>IF(tblOrdenes[[#This Row],[fecha_inicio]]="","",TODAY()-tblOrdenes[[#This Row],[fecha_inicio]])</f>
        <v/>
      </c>
      <c r="AA1102" s="3">
        <f>IF(tblOrdenes[[#This Row],[backlog_dias]]="","",IF(tblOrdenes[[#This Row],[backlog_dias]]&lt;0,"FUTURO",IF(tblOrdenes[[#This Row],[backlog_dias]]&gt;p_dias_backlog_max,"BACKLOG","MES CORRIENTE")))</f>
        <v/>
      </c>
      <c r="AB1102" s="3">
        <f>IF(tblOrdenes[[#This Row],[backlog_dias]]="",FALSE,AND(tblOrdenes[[#This Row],[backlog_dias]]&gt;p_dias_backlog_min,tblOrdenes[[#This Row],[backlog_dias]]&lt;=p_dias_backlog_max))</f>
        <v/>
      </c>
      <c r="AC1102" s="6" t="n"/>
      <c r="AD11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02" s="10">
        <f>IF(tblOrdenes[[#This Row],[orden]]="","",_xlfn.XLOOKUP(tblOrdenes[[#This Row],[id_operacion]],tblEjecucion[id_operacion],tblEjecucion[precio],0))</f>
        <v/>
      </c>
      <c r="AH1102" s="10">
        <f>IF(tblOrdenes[[#This Row],[orden]]="","",MAX(0,_xlfn.XLOOKUP(tblOrdenes[[#This Row],[id_operacion]],tblEjecucion[id_operacion],tblEjecucion[costo_plan_total],0)-tblOrdenes[[#This Row],[costo_servicio]]))</f>
        <v/>
      </c>
      <c r="AI1102" s="10">
        <f>IF(tblOrdenes[[#This Row],[orden]]="","",tblOrdenes[[#This Row],[costo_servicio]]+tblOrdenes[[#This Row],[costo_materiales]])</f>
        <v/>
      </c>
      <c r="AJ1102" s="6" t="n"/>
      <c r="AK1102" s="6" t="n"/>
      <c r="AL1102" s="6" t="n"/>
      <c r="AM1102" s="3">
        <f>IF(tblOrdenes[[#This Row],[link_checklist]]="","",HYPERLINK(p_ruta_base_checklists&amp;tblOrdenes[[#This Row],[link_checklist]],"abrir"))</f>
        <v/>
      </c>
      <c r="AN1102" s="6" t="n"/>
      <c r="AO1102" s="3">
        <f>IF(tblOrdenes[[#This Row],[orden]]="","",tblOrdenes[[#This Row],[orden]]&amp;IF(tblOrdenes[[#This Row],[operacion]]="","0010",tblOrdenes[[#This Row],[operacion]]))</f>
        <v/>
      </c>
    </row>
    <row r="1103">
      <c r="A1103" s="3" t="n"/>
      <c r="B1103" s="3" t="n"/>
      <c r="C1103" s="3" t="n"/>
      <c r="D1103" s="3" t="n"/>
      <c r="E1103" s="3" t="n"/>
      <c r="F1103" s="3" t="n"/>
      <c r="G1103" s="3" t="n"/>
      <c r="H1103" s="3" t="n"/>
      <c r="I1103" s="3" t="n"/>
      <c r="J1103" s="11" t="n"/>
      <c r="K1103" s="3" t="n"/>
      <c r="L1103" s="10" t="n"/>
      <c r="M1103" s="6" t="n"/>
      <c r="N11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03" s="3">
        <f>IF(tblOrdenes[[#This Row],[fecha_inicio]]="","",YEAR(tblOrdenes[[#This Row],[fecha_inicio]]))</f>
        <v/>
      </c>
      <c r="R1103" s="3">
        <f>IF(tblOrdenes[[#This Row],[fecha_inicio]]="","",MONTH(tblOrdenes[[#This Row],[fecha_inicio]]))</f>
        <v/>
      </c>
      <c r="S1103" s="3">
        <f>IF(tblOrdenes[[#This Row],[fecha_inicio]]="","",INDEX(lista_dias,WEEKDAY(tblOrdenes[[#This Row],[fecha_inicio]],2)))</f>
        <v/>
      </c>
      <c r="T1103" s="3">
        <f>IF(tblOrdenes[[#This Row],[tipo_ot]]="","",_xlfn.XLOOKUP(tblOrdenes[[#This Row],[tipo_ot]],tblTiposOT[codigo],tblTiposOT[clasificacion],"sin_clasificar"))</f>
        <v/>
      </c>
      <c r="U1103" s="3">
        <f>IF(tblOrdenes[[#This Row],[centro_costo]]="","",_xlfn.XLOOKUP(tblOrdenes[[#This Row],[centro_costo]],tblCECO[codigo],tblCECO[linea],"(sin catálogo)"))</f>
        <v/>
      </c>
      <c r="V1103" s="3">
        <f>IF(tblOrdenes[[#This Row],[centro_costo]]="","",_xlfn.XLOOKUP(tblOrdenes[[#This Row],[centro_costo]],tblCECO[codigo],tblCECO[area],"(sin catálogo)"))</f>
        <v/>
      </c>
      <c r="W1103" s="3">
        <f>IF(tblOrdenes[[#This Row],[centro_costo]]="","",_xlfn.XLOOKUP(tblOrdenes[[#This Row],[centro_costo]],tblCECO[codigo],tblCECO[coordinador],"(sin catálogo)"))</f>
        <v/>
      </c>
      <c r="X1103" s="3">
        <f>IF(tblOrdenes[[#This Row],[puesto_trabajo]]="","",_xlfn.XLOOKUP(tblOrdenes[[#This Row],[puesto_trabajo]],tblPuestos[codigo],tblPuestos[especialidad],"(sin catálogo)"))</f>
        <v/>
      </c>
      <c r="Y1103" s="3">
        <f>IF(tblOrdenes[[#This Row],[cod_actividad]]="","",_xlfn.XLOOKUP(tblOrdenes[[#This Row],[cod_actividad]],tblActividades[codigo],tblActividades[descripcion],"(sin catálogo)"))</f>
        <v/>
      </c>
      <c r="Z1103" s="12">
        <f>IF(tblOrdenes[[#This Row],[fecha_inicio]]="","",TODAY()-tblOrdenes[[#This Row],[fecha_inicio]])</f>
        <v/>
      </c>
      <c r="AA1103" s="3">
        <f>IF(tblOrdenes[[#This Row],[backlog_dias]]="","",IF(tblOrdenes[[#This Row],[backlog_dias]]&lt;0,"FUTURO",IF(tblOrdenes[[#This Row],[backlog_dias]]&gt;p_dias_backlog_max,"BACKLOG","MES CORRIENTE")))</f>
        <v/>
      </c>
      <c r="AB1103" s="3">
        <f>IF(tblOrdenes[[#This Row],[backlog_dias]]="",FALSE,AND(tblOrdenes[[#This Row],[backlog_dias]]&gt;p_dias_backlog_min,tblOrdenes[[#This Row],[backlog_dias]]&lt;=p_dias_backlog_max))</f>
        <v/>
      </c>
      <c r="AC1103" s="6" t="n"/>
      <c r="AD11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03" s="10">
        <f>IF(tblOrdenes[[#This Row],[orden]]="","",_xlfn.XLOOKUP(tblOrdenes[[#This Row],[id_operacion]],tblEjecucion[id_operacion],tblEjecucion[precio],0))</f>
        <v/>
      </c>
      <c r="AH1103" s="10">
        <f>IF(tblOrdenes[[#This Row],[orden]]="","",MAX(0,_xlfn.XLOOKUP(tblOrdenes[[#This Row],[id_operacion]],tblEjecucion[id_operacion],tblEjecucion[costo_plan_total],0)-tblOrdenes[[#This Row],[costo_servicio]]))</f>
        <v/>
      </c>
      <c r="AI1103" s="10">
        <f>IF(tblOrdenes[[#This Row],[orden]]="","",tblOrdenes[[#This Row],[costo_servicio]]+tblOrdenes[[#This Row],[costo_materiales]])</f>
        <v/>
      </c>
      <c r="AJ1103" s="6" t="n"/>
      <c r="AK1103" s="6" t="n"/>
      <c r="AL1103" s="6" t="n"/>
      <c r="AM1103" s="3">
        <f>IF(tblOrdenes[[#This Row],[link_checklist]]="","",HYPERLINK(p_ruta_base_checklists&amp;tblOrdenes[[#This Row],[link_checklist]],"abrir"))</f>
        <v/>
      </c>
      <c r="AN1103" s="6" t="n"/>
      <c r="AO1103" s="3">
        <f>IF(tblOrdenes[[#This Row],[orden]]="","",tblOrdenes[[#This Row],[orden]]&amp;IF(tblOrdenes[[#This Row],[operacion]]="","0010",tblOrdenes[[#This Row],[operacion]]))</f>
        <v/>
      </c>
    </row>
    <row r="1104">
      <c r="A1104" s="3" t="n"/>
      <c r="B1104" s="3" t="n"/>
      <c r="C1104" s="3" t="n"/>
      <c r="D1104" s="3" t="n"/>
      <c r="E1104" s="3" t="n"/>
      <c r="F1104" s="3" t="n"/>
      <c r="G1104" s="3" t="n"/>
      <c r="H1104" s="3" t="n"/>
      <c r="I1104" s="3" t="n"/>
      <c r="J1104" s="11" t="n"/>
      <c r="K1104" s="3" t="n"/>
      <c r="L1104" s="10" t="n"/>
      <c r="M1104" s="6" t="n"/>
      <c r="N110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0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0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04" s="3">
        <f>IF(tblOrdenes[[#This Row],[fecha_inicio]]="","",YEAR(tblOrdenes[[#This Row],[fecha_inicio]]))</f>
        <v/>
      </c>
      <c r="R1104" s="3">
        <f>IF(tblOrdenes[[#This Row],[fecha_inicio]]="","",MONTH(tblOrdenes[[#This Row],[fecha_inicio]]))</f>
        <v/>
      </c>
      <c r="S1104" s="3">
        <f>IF(tblOrdenes[[#This Row],[fecha_inicio]]="","",INDEX(lista_dias,WEEKDAY(tblOrdenes[[#This Row],[fecha_inicio]],2)))</f>
        <v/>
      </c>
      <c r="T1104" s="3">
        <f>IF(tblOrdenes[[#This Row],[tipo_ot]]="","",_xlfn.XLOOKUP(tblOrdenes[[#This Row],[tipo_ot]],tblTiposOT[codigo],tblTiposOT[clasificacion],"sin_clasificar"))</f>
        <v/>
      </c>
      <c r="U1104" s="3">
        <f>IF(tblOrdenes[[#This Row],[centro_costo]]="","",_xlfn.XLOOKUP(tblOrdenes[[#This Row],[centro_costo]],tblCECO[codigo],tblCECO[linea],"(sin catálogo)"))</f>
        <v/>
      </c>
      <c r="V1104" s="3">
        <f>IF(tblOrdenes[[#This Row],[centro_costo]]="","",_xlfn.XLOOKUP(tblOrdenes[[#This Row],[centro_costo]],tblCECO[codigo],tblCECO[area],"(sin catálogo)"))</f>
        <v/>
      </c>
      <c r="W1104" s="3">
        <f>IF(tblOrdenes[[#This Row],[centro_costo]]="","",_xlfn.XLOOKUP(tblOrdenes[[#This Row],[centro_costo]],tblCECO[codigo],tblCECO[coordinador],"(sin catálogo)"))</f>
        <v/>
      </c>
      <c r="X1104" s="3">
        <f>IF(tblOrdenes[[#This Row],[puesto_trabajo]]="","",_xlfn.XLOOKUP(tblOrdenes[[#This Row],[puesto_trabajo]],tblPuestos[codigo],tblPuestos[especialidad],"(sin catálogo)"))</f>
        <v/>
      </c>
      <c r="Y1104" s="3">
        <f>IF(tblOrdenes[[#This Row],[cod_actividad]]="","",_xlfn.XLOOKUP(tblOrdenes[[#This Row],[cod_actividad]],tblActividades[codigo],tblActividades[descripcion],"(sin catálogo)"))</f>
        <v/>
      </c>
      <c r="Z1104" s="12">
        <f>IF(tblOrdenes[[#This Row],[fecha_inicio]]="","",TODAY()-tblOrdenes[[#This Row],[fecha_inicio]])</f>
        <v/>
      </c>
      <c r="AA1104" s="3">
        <f>IF(tblOrdenes[[#This Row],[backlog_dias]]="","",IF(tblOrdenes[[#This Row],[backlog_dias]]&lt;0,"FUTURO",IF(tblOrdenes[[#This Row],[backlog_dias]]&gt;p_dias_backlog_max,"BACKLOG","MES CORRIENTE")))</f>
        <v/>
      </c>
      <c r="AB1104" s="3">
        <f>IF(tblOrdenes[[#This Row],[backlog_dias]]="",FALSE,AND(tblOrdenes[[#This Row],[backlog_dias]]&gt;p_dias_backlog_min,tblOrdenes[[#This Row],[backlog_dias]]&lt;=p_dias_backlog_max))</f>
        <v/>
      </c>
      <c r="AC1104" s="6" t="n"/>
      <c r="AD110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0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0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04" s="10">
        <f>IF(tblOrdenes[[#This Row],[orden]]="","",_xlfn.XLOOKUP(tblOrdenes[[#This Row],[id_operacion]],tblEjecucion[id_operacion],tblEjecucion[precio],0))</f>
        <v/>
      </c>
      <c r="AH1104" s="10">
        <f>IF(tblOrdenes[[#This Row],[orden]]="","",MAX(0,_xlfn.XLOOKUP(tblOrdenes[[#This Row],[id_operacion]],tblEjecucion[id_operacion],tblEjecucion[costo_plan_total],0)-tblOrdenes[[#This Row],[costo_servicio]]))</f>
        <v/>
      </c>
      <c r="AI1104" s="10">
        <f>IF(tblOrdenes[[#This Row],[orden]]="","",tblOrdenes[[#This Row],[costo_servicio]]+tblOrdenes[[#This Row],[costo_materiales]])</f>
        <v/>
      </c>
      <c r="AJ1104" s="6" t="n"/>
      <c r="AK1104" s="6" t="n"/>
      <c r="AL1104" s="6" t="n"/>
      <c r="AM1104" s="3">
        <f>IF(tblOrdenes[[#This Row],[link_checklist]]="","",HYPERLINK(p_ruta_base_checklists&amp;tblOrdenes[[#This Row],[link_checklist]],"abrir"))</f>
        <v/>
      </c>
      <c r="AN1104" s="6" t="n"/>
      <c r="AO1104" s="3">
        <f>IF(tblOrdenes[[#This Row],[orden]]="","",tblOrdenes[[#This Row],[orden]]&amp;IF(tblOrdenes[[#This Row],[operacion]]="","0010",tblOrdenes[[#This Row],[operacion]]))</f>
        <v/>
      </c>
    </row>
    <row r="1105">
      <c r="A1105" s="3" t="n"/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11" t="n"/>
      <c r="K1105" s="3" t="n"/>
      <c r="L1105" s="10" t="n"/>
      <c r="M1105" s="6" t="n"/>
      <c r="N110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0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0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05" s="3">
        <f>IF(tblOrdenes[[#This Row],[fecha_inicio]]="","",YEAR(tblOrdenes[[#This Row],[fecha_inicio]]))</f>
        <v/>
      </c>
      <c r="R1105" s="3">
        <f>IF(tblOrdenes[[#This Row],[fecha_inicio]]="","",MONTH(tblOrdenes[[#This Row],[fecha_inicio]]))</f>
        <v/>
      </c>
      <c r="S1105" s="3">
        <f>IF(tblOrdenes[[#This Row],[fecha_inicio]]="","",INDEX(lista_dias,WEEKDAY(tblOrdenes[[#This Row],[fecha_inicio]],2)))</f>
        <v/>
      </c>
      <c r="T1105" s="3">
        <f>IF(tblOrdenes[[#This Row],[tipo_ot]]="","",_xlfn.XLOOKUP(tblOrdenes[[#This Row],[tipo_ot]],tblTiposOT[codigo],tblTiposOT[clasificacion],"sin_clasificar"))</f>
        <v/>
      </c>
      <c r="U1105" s="3">
        <f>IF(tblOrdenes[[#This Row],[centro_costo]]="","",_xlfn.XLOOKUP(tblOrdenes[[#This Row],[centro_costo]],tblCECO[codigo],tblCECO[linea],"(sin catálogo)"))</f>
        <v/>
      </c>
      <c r="V1105" s="3">
        <f>IF(tblOrdenes[[#This Row],[centro_costo]]="","",_xlfn.XLOOKUP(tblOrdenes[[#This Row],[centro_costo]],tblCECO[codigo],tblCECO[area],"(sin catálogo)"))</f>
        <v/>
      </c>
      <c r="W1105" s="3">
        <f>IF(tblOrdenes[[#This Row],[centro_costo]]="","",_xlfn.XLOOKUP(tblOrdenes[[#This Row],[centro_costo]],tblCECO[codigo],tblCECO[coordinador],"(sin catálogo)"))</f>
        <v/>
      </c>
      <c r="X1105" s="3">
        <f>IF(tblOrdenes[[#This Row],[puesto_trabajo]]="","",_xlfn.XLOOKUP(tblOrdenes[[#This Row],[puesto_trabajo]],tblPuestos[codigo],tblPuestos[especialidad],"(sin catálogo)"))</f>
        <v/>
      </c>
      <c r="Y1105" s="3">
        <f>IF(tblOrdenes[[#This Row],[cod_actividad]]="","",_xlfn.XLOOKUP(tblOrdenes[[#This Row],[cod_actividad]],tblActividades[codigo],tblActividades[descripcion],"(sin catálogo)"))</f>
        <v/>
      </c>
      <c r="Z1105" s="12">
        <f>IF(tblOrdenes[[#This Row],[fecha_inicio]]="","",TODAY()-tblOrdenes[[#This Row],[fecha_inicio]])</f>
        <v/>
      </c>
      <c r="AA1105" s="3">
        <f>IF(tblOrdenes[[#This Row],[backlog_dias]]="","",IF(tblOrdenes[[#This Row],[backlog_dias]]&lt;0,"FUTURO",IF(tblOrdenes[[#This Row],[backlog_dias]]&gt;p_dias_backlog_max,"BACKLOG","MES CORRIENTE")))</f>
        <v/>
      </c>
      <c r="AB1105" s="3">
        <f>IF(tblOrdenes[[#This Row],[backlog_dias]]="",FALSE,AND(tblOrdenes[[#This Row],[backlog_dias]]&gt;p_dias_backlog_min,tblOrdenes[[#This Row],[backlog_dias]]&lt;=p_dias_backlog_max))</f>
        <v/>
      </c>
      <c r="AC1105" s="6" t="n"/>
      <c r="AD110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0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0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05" s="10">
        <f>IF(tblOrdenes[[#This Row],[orden]]="","",_xlfn.XLOOKUP(tblOrdenes[[#This Row],[id_operacion]],tblEjecucion[id_operacion],tblEjecucion[precio],0))</f>
        <v/>
      </c>
      <c r="AH1105" s="10">
        <f>IF(tblOrdenes[[#This Row],[orden]]="","",MAX(0,_xlfn.XLOOKUP(tblOrdenes[[#This Row],[id_operacion]],tblEjecucion[id_operacion],tblEjecucion[costo_plan_total],0)-tblOrdenes[[#This Row],[costo_servicio]]))</f>
        <v/>
      </c>
      <c r="AI1105" s="10">
        <f>IF(tblOrdenes[[#This Row],[orden]]="","",tblOrdenes[[#This Row],[costo_servicio]]+tblOrdenes[[#This Row],[costo_materiales]])</f>
        <v/>
      </c>
      <c r="AJ1105" s="6" t="n"/>
      <c r="AK1105" s="6" t="n"/>
      <c r="AL1105" s="6" t="n"/>
      <c r="AM1105" s="3">
        <f>IF(tblOrdenes[[#This Row],[link_checklist]]="","",HYPERLINK(p_ruta_base_checklists&amp;tblOrdenes[[#This Row],[link_checklist]],"abrir"))</f>
        <v/>
      </c>
      <c r="AN1105" s="6" t="n"/>
      <c r="AO1105" s="3">
        <f>IF(tblOrdenes[[#This Row],[orden]]="","",tblOrdenes[[#This Row],[orden]]&amp;IF(tblOrdenes[[#This Row],[operacion]]="","0010",tblOrdenes[[#This Row],[operacion]]))</f>
        <v/>
      </c>
    </row>
    <row r="1106">
      <c r="A1106" s="3" t="n"/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11" t="n"/>
      <c r="K1106" s="3" t="n"/>
      <c r="L1106" s="10" t="n"/>
      <c r="M1106" s="6" t="n"/>
      <c r="N110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0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0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06" s="3">
        <f>IF(tblOrdenes[[#This Row],[fecha_inicio]]="","",YEAR(tblOrdenes[[#This Row],[fecha_inicio]]))</f>
        <v/>
      </c>
      <c r="R1106" s="3">
        <f>IF(tblOrdenes[[#This Row],[fecha_inicio]]="","",MONTH(tblOrdenes[[#This Row],[fecha_inicio]]))</f>
        <v/>
      </c>
      <c r="S1106" s="3">
        <f>IF(tblOrdenes[[#This Row],[fecha_inicio]]="","",INDEX(lista_dias,WEEKDAY(tblOrdenes[[#This Row],[fecha_inicio]],2)))</f>
        <v/>
      </c>
      <c r="T1106" s="3">
        <f>IF(tblOrdenes[[#This Row],[tipo_ot]]="","",_xlfn.XLOOKUP(tblOrdenes[[#This Row],[tipo_ot]],tblTiposOT[codigo],tblTiposOT[clasificacion],"sin_clasificar"))</f>
        <v/>
      </c>
      <c r="U1106" s="3">
        <f>IF(tblOrdenes[[#This Row],[centro_costo]]="","",_xlfn.XLOOKUP(tblOrdenes[[#This Row],[centro_costo]],tblCECO[codigo],tblCECO[linea],"(sin catálogo)"))</f>
        <v/>
      </c>
      <c r="V1106" s="3">
        <f>IF(tblOrdenes[[#This Row],[centro_costo]]="","",_xlfn.XLOOKUP(tblOrdenes[[#This Row],[centro_costo]],tblCECO[codigo],tblCECO[area],"(sin catálogo)"))</f>
        <v/>
      </c>
      <c r="W1106" s="3">
        <f>IF(tblOrdenes[[#This Row],[centro_costo]]="","",_xlfn.XLOOKUP(tblOrdenes[[#This Row],[centro_costo]],tblCECO[codigo],tblCECO[coordinador],"(sin catálogo)"))</f>
        <v/>
      </c>
      <c r="X1106" s="3">
        <f>IF(tblOrdenes[[#This Row],[puesto_trabajo]]="","",_xlfn.XLOOKUP(tblOrdenes[[#This Row],[puesto_trabajo]],tblPuestos[codigo],tblPuestos[especialidad],"(sin catálogo)"))</f>
        <v/>
      </c>
      <c r="Y1106" s="3">
        <f>IF(tblOrdenes[[#This Row],[cod_actividad]]="","",_xlfn.XLOOKUP(tblOrdenes[[#This Row],[cod_actividad]],tblActividades[codigo],tblActividades[descripcion],"(sin catálogo)"))</f>
        <v/>
      </c>
      <c r="Z1106" s="12">
        <f>IF(tblOrdenes[[#This Row],[fecha_inicio]]="","",TODAY()-tblOrdenes[[#This Row],[fecha_inicio]])</f>
        <v/>
      </c>
      <c r="AA1106" s="3">
        <f>IF(tblOrdenes[[#This Row],[backlog_dias]]="","",IF(tblOrdenes[[#This Row],[backlog_dias]]&lt;0,"FUTURO",IF(tblOrdenes[[#This Row],[backlog_dias]]&gt;p_dias_backlog_max,"BACKLOG","MES CORRIENTE")))</f>
        <v/>
      </c>
      <c r="AB1106" s="3">
        <f>IF(tblOrdenes[[#This Row],[backlog_dias]]="",FALSE,AND(tblOrdenes[[#This Row],[backlog_dias]]&gt;p_dias_backlog_min,tblOrdenes[[#This Row],[backlog_dias]]&lt;=p_dias_backlog_max))</f>
        <v/>
      </c>
      <c r="AC1106" s="6" t="n"/>
      <c r="AD110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0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0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06" s="10">
        <f>IF(tblOrdenes[[#This Row],[orden]]="","",_xlfn.XLOOKUP(tblOrdenes[[#This Row],[id_operacion]],tblEjecucion[id_operacion],tblEjecucion[precio],0))</f>
        <v/>
      </c>
      <c r="AH1106" s="10">
        <f>IF(tblOrdenes[[#This Row],[orden]]="","",MAX(0,_xlfn.XLOOKUP(tblOrdenes[[#This Row],[id_operacion]],tblEjecucion[id_operacion],tblEjecucion[costo_plan_total],0)-tblOrdenes[[#This Row],[costo_servicio]]))</f>
        <v/>
      </c>
      <c r="AI1106" s="10">
        <f>IF(tblOrdenes[[#This Row],[orden]]="","",tblOrdenes[[#This Row],[costo_servicio]]+tblOrdenes[[#This Row],[costo_materiales]])</f>
        <v/>
      </c>
      <c r="AJ1106" s="6" t="n"/>
      <c r="AK1106" s="6" t="n"/>
      <c r="AL1106" s="6" t="n"/>
      <c r="AM1106" s="3">
        <f>IF(tblOrdenes[[#This Row],[link_checklist]]="","",HYPERLINK(p_ruta_base_checklists&amp;tblOrdenes[[#This Row],[link_checklist]],"abrir"))</f>
        <v/>
      </c>
      <c r="AN1106" s="6" t="n"/>
      <c r="AO1106" s="3">
        <f>IF(tblOrdenes[[#This Row],[orden]]="","",tblOrdenes[[#This Row],[orden]]&amp;IF(tblOrdenes[[#This Row],[operacion]]="","0010",tblOrdenes[[#This Row],[operacion]]))</f>
        <v/>
      </c>
    </row>
    <row r="1107">
      <c r="A1107" s="3" t="n"/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11" t="n"/>
      <c r="K1107" s="3" t="n"/>
      <c r="L1107" s="10" t="n"/>
      <c r="M1107" s="6" t="n"/>
      <c r="N110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0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0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07" s="3">
        <f>IF(tblOrdenes[[#This Row],[fecha_inicio]]="","",YEAR(tblOrdenes[[#This Row],[fecha_inicio]]))</f>
        <v/>
      </c>
      <c r="R1107" s="3">
        <f>IF(tblOrdenes[[#This Row],[fecha_inicio]]="","",MONTH(tblOrdenes[[#This Row],[fecha_inicio]]))</f>
        <v/>
      </c>
      <c r="S1107" s="3">
        <f>IF(tblOrdenes[[#This Row],[fecha_inicio]]="","",INDEX(lista_dias,WEEKDAY(tblOrdenes[[#This Row],[fecha_inicio]],2)))</f>
        <v/>
      </c>
      <c r="T1107" s="3">
        <f>IF(tblOrdenes[[#This Row],[tipo_ot]]="","",_xlfn.XLOOKUP(tblOrdenes[[#This Row],[tipo_ot]],tblTiposOT[codigo],tblTiposOT[clasificacion],"sin_clasificar"))</f>
        <v/>
      </c>
      <c r="U1107" s="3">
        <f>IF(tblOrdenes[[#This Row],[centro_costo]]="","",_xlfn.XLOOKUP(tblOrdenes[[#This Row],[centro_costo]],tblCECO[codigo],tblCECO[linea],"(sin catálogo)"))</f>
        <v/>
      </c>
      <c r="V1107" s="3">
        <f>IF(tblOrdenes[[#This Row],[centro_costo]]="","",_xlfn.XLOOKUP(tblOrdenes[[#This Row],[centro_costo]],tblCECO[codigo],tblCECO[area],"(sin catálogo)"))</f>
        <v/>
      </c>
      <c r="W1107" s="3">
        <f>IF(tblOrdenes[[#This Row],[centro_costo]]="","",_xlfn.XLOOKUP(tblOrdenes[[#This Row],[centro_costo]],tblCECO[codigo],tblCECO[coordinador],"(sin catálogo)"))</f>
        <v/>
      </c>
      <c r="X1107" s="3">
        <f>IF(tblOrdenes[[#This Row],[puesto_trabajo]]="","",_xlfn.XLOOKUP(tblOrdenes[[#This Row],[puesto_trabajo]],tblPuestos[codigo],tblPuestos[especialidad],"(sin catálogo)"))</f>
        <v/>
      </c>
      <c r="Y1107" s="3">
        <f>IF(tblOrdenes[[#This Row],[cod_actividad]]="","",_xlfn.XLOOKUP(tblOrdenes[[#This Row],[cod_actividad]],tblActividades[codigo],tblActividades[descripcion],"(sin catálogo)"))</f>
        <v/>
      </c>
      <c r="Z1107" s="12">
        <f>IF(tblOrdenes[[#This Row],[fecha_inicio]]="","",TODAY()-tblOrdenes[[#This Row],[fecha_inicio]])</f>
        <v/>
      </c>
      <c r="AA1107" s="3">
        <f>IF(tblOrdenes[[#This Row],[backlog_dias]]="","",IF(tblOrdenes[[#This Row],[backlog_dias]]&lt;0,"FUTURO",IF(tblOrdenes[[#This Row],[backlog_dias]]&gt;p_dias_backlog_max,"BACKLOG","MES CORRIENTE")))</f>
        <v/>
      </c>
      <c r="AB1107" s="3">
        <f>IF(tblOrdenes[[#This Row],[backlog_dias]]="",FALSE,AND(tblOrdenes[[#This Row],[backlog_dias]]&gt;p_dias_backlog_min,tblOrdenes[[#This Row],[backlog_dias]]&lt;=p_dias_backlog_max))</f>
        <v/>
      </c>
      <c r="AC1107" s="6" t="n"/>
      <c r="AD110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0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0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07" s="10">
        <f>IF(tblOrdenes[[#This Row],[orden]]="","",_xlfn.XLOOKUP(tblOrdenes[[#This Row],[id_operacion]],tblEjecucion[id_operacion],tblEjecucion[precio],0))</f>
        <v/>
      </c>
      <c r="AH1107" s="10">
        <f>IF(tblOrdenes[[#This Row],[orden]]="","",MAX(0,_xlfn.XLOOKUP(tblOrdenes[[#This Row],[id_operacion]],tblEjecucion[id_operacion],tblEjecucion[costo_plan_total],0)-tblOrdenes[[#This Row],[costo_servicio]]))</f>
        <v/>
      </c>
      <c r="AI1107" s="10">
        <f>IF(tblOrdenes[[#This Row],[orden]]="","",tblOrdenes[[#This Row],[costo_servicio]]+tblOrdenes[[#This Row],[costo_materiales]])</f>
        <v/>
      </c>
      <c r="AJ1107" s="6" t="n"/>
      <c r="AK1107" s="6" t="n"/>
      <c r="AL1107" s="6" t="n"/>
      <c r="AM1107" s="3">
        <f>IF(tblOrdenes[[#This Row],[link_checklist]]="","",HYPERLINK(p_ruta_base_checklists&amp;tblOrdenes[[#This Row],[link_checklist]],"abrir"))</f>
        <v/>
      </c>
      <c r="AN1107" s="6" t="n"/>
      <c r="AO1107" s="3">
        <f>IF(tblOrdenes[[#This Row],[orden]]="","",tblOrdenes[[#This Row],[orden]]&amp;IF(tblOrdenes[[#This Row],[operacion]]="","0010",tblOrdenes[[#This Row],[operacion]]))</f>
        <v/>
      </c>
    </row>
    <row r="1108">
      <c r="A1108" s="3" t="n"/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11" t="n"/>
      <c r="K1108" s="3" t="n"/>
      <c r="L1108" s="10" t="n"/>
      <c r="M1108" s="6" t="n"/>
      <c r="N110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0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0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08" s="3">
        <f>IF(tblOrdenes[[#This Row],[fecha_inicio]]="","",YEAR(tblOrdenes[[#This Row],[fecha_inicio]]))</f>
        <v/>
      </c>
      <c r="R1108" s="3">
        <f>IF(tblOrdenes[[#This Row],[fecha_inicio]]="","",MONTH(tblOrdenes[[#This Row],[fecha_inicio]]))</f>
        <v/>
      </c>
      <c r="S1108" s="3">
        <f>IF(tblOrdenes[[#This Row],[fecha_inicio]]="","",INDEX(lista_dias,WEEKDAY(tblOrdenes[[#This Row],[fecha_inicio]],2)))</f>
        <v/>
      </c>
      <c r="T1108" s="3">
        <f>IF(tblOrdenes[[#This Row],[tipo_ot]]="","",_xlfn.XLOOKUP(tblOrdenes[[#This Row],[tipo_ot]],tblTiposOT[codigo],tblTiposOT[clasificacion],"sin_clasificar"))</f>
        <v/>
      </c>
      <c r="U1108" s="3">
        <f>IF(tblOrdenes[[#This Row],[centro_costo]]="","",_xlfn.XLOOKUP(tblOrdenes[[#This Row],[centro_costo]],tblCECO[codigo],tblCECO[linea],"(sin catálogo)"))</f>
        <v/>
      </c>
      <c r="V1108" s="3">
        <f>IF(tblOrdenes[[#This Row],[centro_costo]]="","",_xlfn.XLOOKUP(tblOrdenes[[#This Row],[centro_costo]],tblCECO[codigo],tblCECO[area],"(sin catálogo)"))</f>
        <v/>
      </c>
      <c r="W1108" s="3">
        <f>IF(tblOrdenes[[#This Row],[centro_costo]]="","",_xlfn.XLOOKUP(tblOrdenes[[#This Row],[centro_costo]],tblCECO[codigo],tblCECO[coordinador],"(sin catálogo)"))</f>
        <v/>
      </c>
      <c r="X1108" s="3">
        <f>IF(tblOrdenes[[#This Row],[puesto_trabajo]]="","",_xlfn.XLOOKUP(tblOrdenes[[#This Row],[puesto_trabajo]],tblPuestos[codigo],tblPuestos[especialidad],"(sin catálogo)"))</f>
        <v/>
      </c>
      <c r="Y1108" s="3">
        <f>IF(tblOrdenes[[#This Row],[cod_actividad]]="","",_xlfn.XLOOKUP(tblOrdenes[[#This Row],[cod_actividad]],tblActividades[codigo],tblActividades[descripcion],"(sin catálogo)"))</f>
        <v/>
      </c>
      <c r="Z1108" s="12">
        <f>IF(tblOrdenes[[#This Row],[fecha_inicio]]="","",TODAY()-tblOrdenes[[#This Row],[fecha_inicio]])</f>
        <v/>
      </c>
      <c r="AA1108" s="3">
        <f>IF(tblOrdenes[[#This Row],[backlog_dias]]="","",IF(tblOrdenes[[#This Row],[backlog_dias]]&lt;0,"FUTURO",IF(tblOrdenes[[#This Row],[backlog_dias]]&gt;p_dias_backlog_max,"BACKLOG","MES CORRIENTE")))</f>
        <v/>
      </c>
      <c r="AB1108" s="3">
        <f>IF(tblOrdenes[[#This Row],[backlog_dias]]="",FALSE,AND(tblOrdenes[[#This Row],[backlog_dias]]&gt;p_dias_backlog_min,tblOrdenes[[#This Row],[backlog_dias]]&lt;=p_dias_backlog_max))</f>
        <v/>
      </c>
      <c r="AC1108" s="6" t="n"/>
      <c r="AD110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0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0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08" s="10">
        <f>IF(tblOrdenes[[#This Row],[orden]]="","",_xlfn.XLOOKUP(tblOrdenes[[#This Row],[id_operacion]],tblEjecucion[id_operacion],tblEjecucion[precio],0))</f>
        <v/>
      </c>
      <c r="AH1108" s="10">
        <f>IF(tblOrdenes[[#This Row],[orden]]="","",MAX(0,_xlfn.XLOOKUP(tblOrdenes[[#This Row],[id_operacion]],tblEjecucion[id_operacion],tblEjecucion[costo_plan_total],0)-tblOrdenes[[#This Row],[costo_servicio]]))</f>
        <v/>
      </c>
      <c r="AI1108" s="10">
        <f>IF(tblOrdenes[[#This Row],[orden]]="","",tblOrdenes[[#This Row],[costo_servicio]]+tblOrdenes[[#This Row],[costo_materiales]])</f>
        <v/>
      </c>
      <c r="AJ1108" s="6" t="n"/>
      <c r="AK1108" s="6" t="n"/>
      <c r="AL1108" s="6" t="n"/>
      <c r="AM1108" s="3">
        <f>IF(tblOrdenes[[#This Row],[link_checklist]]="","",HYPERLINK(p_ruta_base_checklists&amp;tblOrdenes[[#This Row],[link_checklist]],"abrir"))</f>
        <v/>
      </c>
      <c r="AN1108" s="6" t="n"/>
      <c r="AO1108" s="3">
        <f>IF(tblOrdenes[[#This Row],[orden]]="","",tblOrdenes[[#This Row],[orden]]&amp;IF(tblOrdenes[[#This Row],[operacion]]="","0010",tblOrdenes[[#This Row],[operacion]]))</f>
        <v/>
      </c>
    </row>
    <row r="1109">
      <c r="A1109" s="3" t="n"/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11" t="n"/>
      <c r="K1109" s="3" t="n"/>
      <c r="L1109" s="10" t="n"/>
      <c r="M1109" s="6" t="n"/>
      <c r="N110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0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0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09" s="3">
        <f>IF(tblOrdenes[[#This Row],[fecha_inicio]]="","",YEAR(tblOrdenes[[#This Row],[fecha_inicio]]))</f>
        <v/>
      </c>
      <c r="R1109" s="3">
        <f>IF(tblOrdenes[[#This Row],[fecha_inicio]]="","",MONTH(tblOrdenes[[#This Row],[fecha_inicio]]))</f>
        <v/>
      </c>
      <c r="S1109" s="3">
        <f>IF(tblOrdenes[[#This Row],[fecha_inicio]]="","",INDEX(lista_dias,WEEKDAY(tblOrdenes[[#This Row],[fecha_inicio]],2)))</f>
        <v/>
      </c>
      <c r="T1109" s="3">
        <f>IF(tblOrdenes[[#This Row],[tipo_ot]]="","",_xlfn.XLOOKUP(tblOrdenes[[#This Row],[tipo_ot]],tblTiposOT[codigo],tblTiposOT[clasificacion],"sin_clasificar"))</f>
        <v/>
      </c>
      <c r="U1109" s="3">
        <f>IF(tblOrdenes[[#This Row],[centro_costo]]="","",_xlfn.XLOOKUP(tblOrdenes[[#This Row],[centro_costo]],tblCECO[codigo],tblCECO[linea],"(sin catálogo)"))</f>
        <v/>
      </c>
      <c r="V1109" s="3">
        <f>IF(tblOrdenes[[#This Row],[centro_costo]]="","",_xlfn.XLOOKUP(tblOrdenes[[#This Row],[centro_costo]],tblCECO[codigo],tblCECO[area],"(sin catálogo)"))</f>
        <v/>
      </c>
      <c r="W1109" s="3">
        <f>IF(tblOrdenes[[#This Row],[centro_costo]]="","",_xlfn.XLOOKUP(tblOrdenes[[#This Row],[centro_costo]],tblCECO[codigo],tblCECO[coordinador],"(sin catálogo)"))</f>
        <v/>
      </c>
      <c r="X1109" s="3">
        <f>IF(tblOrdenes[[#This Row],[puesto_trabajo]]="","",_xlfn.XLOOKUP(tblOrdenes[[#This Row],[puesto_trabajo]],tblPuestos[codigo],tblPuestos[especialidad],"(sin catálogo)"))</f>
        <v/>
      </c>
      <c r="Y1109" s="3">
        <f>IF(tblOrdenes[[#This Row],[cod_actividad]]="","",_xlfn.XLOOKUP(tblOrdenes[[#This Row],[cod_actividad]],tblActividades[codigo],tblActividades[descripcion],"(sin catálogo)"))</f>
        <v/>
      </c>
      <c r="Z1109" s="12">
        <f>IF(tblOrdenes[[#This Row],[fecha_inicio]]="","",TODAY()-tblOrdenes[[#This Row],[fecha_inicio]])</f>
        <v/>
      </c>
      <c r="AA1109" s="3">
        <f>IF(tblOrdenes[[#This Row],[backlog_dias]]="","",IF(tblOrdenes[[#This Row],[backlog_dias]]&lt;0,"FUTURO",IF(tblOrdenes[[#This Row],[backlog_dias]]&gt;p_dias_backlog_max,"BACKLOG","MES CORRIENTE")))</f>
        <v/>
      </c>
      <c r="AB1109" s="3">
        <f>IF(tblOrdenes[[#This Row],[backlog_dias]]="",FALSE,AND(tblOrdenes[[#This Row],[backlog_dias]]&gt;p_dias_backlog_min,tblOrdenes[[#This Row],[backlog_dias]]&lt;=p_dias_backlog_max))</f>
        <v/>
      </c>
      <c r="AC1109" s="6" t="n"/>
      <c r="AD110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0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0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09" s="10">
        <f>IF(tblOrdenes[[#This Row],[orden]]="","",_xlfn.XLOOKUP(tblOrdenes[[#This Row],[id_operacion]],tblEjecucion[id_operacion],tblEjecucion[precio],0))</f>
        <v/>
      </c>
      <c r="AH1109" s="10">
        <f>IF(tblOrdenes[[#This Row],[orden]]="","",MAX(0,_xlfn.XLOOKUP(tblOrdenes[[#This Row],[id_operacion]],tblEjecucion[id_operacion],tblEjecucion[costo_plan_total],0)-tblOrdenes[[#This Row],[costo_servicio]]))</f>
        <v/>
      </c>
      <c r="AI1109" s="10">
        <f>IF(tblOrdenes[[#This Row],[orden]]="","",tblOrdenes[[#This Row],[costo_servicio]]+tblOrdenes[[#This Row],[costo_materiales]])</f>
        <v/>
      </c>
      <c r="AJ1109" s="6" t="n"/>
      <c r="AK1109" s="6" t="n"/>
      <c r="AL1109" s="6" t="n"/>
      <c r="AM1109" s="3">
        <f>IF(tblOrdenes[[#This Row],[link_checklist]]="","",HYPERLINK(p_ruta_base_checklists&amp;tblOrdenes[[#This Row],[link_checklist]],"abrir"))</f>
        <v/>
      </c>
      <c r="AN1109" s="6" t="n"/>
      <c r="AO1109" s="3">
        <f>IF(tblOrdenes[[#This Row],[orden]]="","",tblOrdenes[[#This Row],[orden]]&amp;IF(tblOrdenes[[#This Row],[operacion]]="","0010",tblOrdenes[[#This Row],[operacion]]))</f>
        <v/>
      </c>
    </row>
    <row r="1110">
      <c r="A1110" s="3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11" t="n"/>
      <c r="K1110" s="3" t="n"/>
      <c r="L1110" s="10" t="n"/>
      <c r="M1110" s="6" t="n"/>
      <c r="N111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1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1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10" s="3">
        <f>IF(tblOrdenes[[#This Row],[fecha_inicio]]="","",YEAR(tblOrdenes[[#This Row],[fecha_inicio]]))</f>
        <v/>
      </c>
      <c r="R1110" s="3">
        <f>IF(tblOrdenes[[#This Row],[fecha_inicio]]="","",MONTH(tblOrdenes[[#This Row],[fecha_inicio]]))</f>
        <v/>
      </c>
      <c r="S1110" s="3">
        <f>IF(tblOrdenes[[#This Row],[fecha_inicio]]="","",INDEX(lista_dias,WEEKDAY(tblOrdenes[[#This Row],[fecha_inicio]],2)))</f>
        <v/>
      </c>
      <c r="T1110" s="3">
        <f>IF(tblOrdenes[[#This Row],[tipo_ot]]="","",_xlfn.XLOOKUP(tblOrdenes[[#This Row],[tipo_ot]],tblTiposOT[codigo],tblTiposOT[clasificacion],"sin_clasificar"))</f>
        <v/>
      </c>
      <c r="U1110" s="3">
        <f>IF(tblOrdenes[[#This Row],[centro_costo]]="","",_xlfn.XLOOKUP(tblOrdenes[[#This Row],[centro_costo]],tblCECO[codigo],tblCECO[linea],"(sin catálogo)"))</f>
        <v/>
      </c>
      <c r="V1110" s="3">
        <f>IF(tblOrdenes[[#This Row],[centro_costo]]="","",_xlfn.XLOOKUP(tblOrdenes[[#This Row],[centro_costo]],tblCECO[codigo],tblCECO[area],"(sin catálogo)"))</f>
        <v/>
      </c>
      <c r="W1110" s="3">
        <f>IF(tblOrdenes[[#This Row],[centro_costo]]="","",_xlfn.XLOOKUP(tblOrdenes[[#This Row],[centro_costo]],tblCECO[codigo],tblCECO[coordinador],"(sin catálogo)"))</f>
        <v/>
      </c>
      <c r="X1110" s="3">
        <f>IF(tblOrdenes[[#This Row],[puesto_trabajo]]="","",_xlfn.XLOOKUP(tblOrdenes[[#This Row],[puesto_trabajo]],tblPuestos[codigo],tblPuestos[especialidad],"(sin catálogo)"))</f>
        <v/>
      </c>
      <c r="Y1110" s="3">
        <f>IF(tblOrdenes[[#This Row],[cod_actividad]]="","",_xlfn.XLOOKUP(tblOrdenes[[#This Row],[cod_actividad]],tblActividades[codigo],tblActividades[descripcion],"(sin catálogo)"))</f>
        <v/>
      </c>
      <c r="Z1110" s="12">
        <f>IF(tblOrdenes[[#This Row],[fecha_inicio]]="","",TODAY()-tblOrdenes[[#This Row],[fecha_inicio]])</f>
        <v/>
      </c>
      <c r="AA1110" s="3">
        <f>IF(tblOrdenes[[#This Row],[backlog_dias]]="","",IF(tblOrdenes[[#This Row],[backlog_dias]]&lt;0,"FUTURO",IF(tblOrdenes[[#This Row],[backlog_dias]]&gt;p_dias_backlog_max,"BACKLOG","MES CORRIENTE")))</f>
        <v/>
      </c>
      <c r="AB1110" s="3">
        <f>IF(tblOrdenes[[#This Row],[backlog_dias]]="",FALSE,AND(tblOrdenes[[#This Row],[backlog_dias]]&gt;p_dias_backlog_min,tblOrdenes[[#This Row],[backlog_dias]]&lt;=p_dias_backlog_max))</f>
        <v/>
      </c>
      <c r="AC1110" s="6" t="n"/>
      <c r="AD111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1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1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10" s="10">
        <f>IF(tblOrdenes[[#This Row],[orden]]="","",_xlfn.XLOOKUP(tblOrdenes[[#This Row],[id_operacion]],tblEjecucion[id_operacion],tblEjecucion[precio],0))</f>
        <v/>
      </c>
      <c r="AH1110" s="10">
        <f>IF(tblOrdenes[[#This Row],[orden]]="","",MAX(0,_xlfn.XLOOKUP(tblOrdenes[[#This Row],[id_operacion]],tblEjecucion[id_operacion],tblEjecucion[costo_plan_total],0)-tblOrdenes[[#This Row],[costo_servicio]]))</f>
        <v/>
      </c>
      <c r="AI1110" s="10">
        <f>IF(tblOrdenes[[#This Row],[orden]]="","",tblOrdenes[[#This Row],[costo_servicio]]+tblOrdenes[[#This Row],[costo_materiales]])</f>
        <v/>
      </c>
      <c r="AJ1110" s="6" t="n"/>
      <c r="AK1110" s="6" t="n"/>
      <c r="AL1110" s="6" t="n"/>
      <c r="AM1110" s="3">
        <f>IF(tblOrdenes[[#This Row],[link_checklist]]="","",HYPERLINK(p_ruta_base_checklists&amp;tblOrdenes[[#This Row],[link_checklist]],"abrir"))</f>
        <v/>
      </c>
      <c r="AN1110" s="6" t="n"/>
      <c r="AO1110" s="3">
        <f>IF(tblOrdenes[[#This Row],[orden]]="","",tblOrdenes[[#This Row],[orden]]&amp;IF(tblOrdenes[[#This Row],[operacion]]="","0010",tblOrdenes[[#This Row],[operacion]]))</f>
        <v/>
      </c>
    </row>
    <row r="1111">
      <c r="A1111" s="3" t="n"/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11" t="n"/>
      <c r="K1111" s="3" t="n"/>
      <c r="L1111" s="10" t="n"/>
      <c r="M1111" s="6" t="n"/>
      <c r="N111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1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1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11" s="3">
        <f>IF(tblOrdenes[[#This Row],[fecha_inicio]]="","",YEAR(tblOrdenes[[#This Row],[fecha_inicio]]))</f>
        <v/>
      </c>
      <c r="R1111" s="3">
        <f>IF(tblOrdenes[[#This Row],[fecha_inicio]]="","",MONTH(tblOrdenes[[#This Row],[fecha_inicio]]))</f>
        <v/>
      </c>
      <c r="S1111" s="3">
        <f>IF(tblOrdenes[[#This Row],[fecha_inicio]]="","",INDEX(lista_dias,WEEKDAY(tblOrdenes[[#This Row],[fecha_inicio]],2)))</f>
        <v/>
      </c>
      <c r="T1111" s="3">
        <f>IF(tblOrdenes[[#This Row],[tipo_ot]]="","",_xlfn.XLOOKUP(tblOrdenes[[#This Row],[tipo_ot]],tblTiposOT[codigo],tblTiposOT[clasificacion],"sin_clasificar"))</f>
        <v/>
      </c>
      <c r="U1111" s="3">
        <f>IF(tblOrdenes[[#This Row],[centro_costo]]="","",_xlfn.XLOOKUP(tblOrdenes[[#This Row],[centro_costo]],tblCECO[codigo],tblCECO[linea],"(sin catálogo)"))</f>
        <v/>
      </c>
      <c r="V1111" s="3">
        <f>IF(tblOrdenes[[#This Row],[centro_costo]]="","",_xlfn.XLOOKUP(tblOrdenes[[#This Row],[centro_costo]],tblCECO[codigo],tblCECO[area],"(sin catálogo)"))</f>
        <v/>
      </c>
      <c r="W1111" s="3">
        <f>IF(tblOrdenes[[#This Row],[centro_costo]]="","",_xlfn.XLOOKUP(tblOrdenes[[#This Row],[centro_costo]],tblCECO[codigo],tblCECO[coordinador],"(sin catálogo)"))</f>
        <v/>
      </c>
      <c r="X1111" s="3">
        <f>IF(tblOrdenes[[#This Row],[puesto_trabajo]]="","",_xlfn.XLOOKUP(tblOrdenes[[#This Row],[puesto_trabajo]],tblPuestos[codigo],tblPuestos[especialidad],"(sin catálogo)"))</f>
        <v/>
      </c>
      <c r="Y1111" s="3">
        <f>IF(tblOrdenes[[#This Row],[cod_actividad]]="","",_xlfn.XLOOKUP(tblOrdenes[[#This Row],[cod_actividad]],tblActividades[codigo],tblActividades[descripcion],"(sin catálogo)"))</f>
        <v/>
      </c>
      <c r="Z1111" s="12">
        <f>IF(tblOrdenes[[#This Row],[fecha_inicio]]="","",TODAY()-tblOrdenes[[#This Row],[fecha_inicio]])</f>
        <v/>
      </c>
      <c r="AA1111" s="3">
        <f>IF(tblOrdenes[[#This Row],[backlog_dias]]="","",IF(tblOrdenes[[#This Row],[backlog_dias]]&lt;0,"FUTURO",IF(tblOrdenes[[#This Row],[backlog_dias]]&gt;p_dias_backlog_max,"BACKLOG","MES CORRIENTE")))</f>
        <v/>
      </c>
      <c r="AB1111" s="3">
        <f>IF(tblOrdenes[[#This Row],[backlog_dias]]="",FALSE,AND(tblOrdenes[[#This Row],[backlog_dias]]&gt;p_dias_backlog_min,tblOrdenes[[#This Row],[backlog_dias]]&lt;=p_dias_backlog_max))</f>
        <v/>
      </c>
      <c r="AC1111" s="6" t="n"/>
      <c r="AD111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1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1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11" s="10">
        <f>IF(tblOrdenes[[#This Row],[orden]]="","",_xlfn.XLOOKUP(tblOrdenes[[#This Row],[id_operacion]],tblEjecucion[id_operacion],tblEjecucion[precio],0))</f>
        <v/>
      </c>
      <c r="AH1111" s="10">
        <f>IF(tblOrdenes[[#This Row],[orden]]="","",MAX(0,_xlfn.XLOOKUP(tblOrdenes[[#This Row],[id_operacion]],tblEjecucion[id_operacion],tblEjecucion[costo_plan_total],0)-tblOrdenes[[#This Row],[costo_servicio]]))</f>
        <v/>
      </c>
      <c r="AI1111" s="10">
        <f>IF(tblOrdenes[[#This Row],[orden]]="","",tblOrdenes[[#This Row],[costo_servicio]]+tblOrdenes[[#This Row],[costo_materiales]])</f>
        <v/>
      </c>
      <c r="AJ1111" s="6" t="n"/>
      <c r="AK1111" s="6" t="n"/>
      <c r="AL1111" s="6" t="n"/>
      <c r="AM1111" s="3">
        <f>IF(tblOrdenes[[#This Row],[link_checklist]]="","",HYPERLINK(p_ruta_base_checklists&amp;tblOrdenes[[#This Row],[link_checklist]],"abrir"))</f>
        <v/>
      </c>
      <c r="AN1111" s="6" t="n"/>
      <c r="AO1111" s="3">
        <f>IF(tblOrdenes[[#This Row],[orden]]="","",tblOrdenes[[#This Row],[orden]]&amp;IF(tblOrdenes[[#This Row],[operacion]]="","0010",tblOrdenes[[#This Row],[operacion]]))</f>
        <v/>
      </c>
    </row>
    <row r="1112">
      <c r="A1112" s="3" t="n"/>
      <c r="B1112" s="3" t="n"/>
      <c r="C1112" s="3" t="n"/>
      <c r="D1112" s="3" t="n"/>
      <c r="E1112" s="3" t="n"/>
      <c r="F1112" s="3" t="n"/>
      <c r="G1112" s="3" t="n"/>
      <c r="H1112" s="3" t="n"/>
      <c r="I1112" s="3" t="n"/>
      <c r="J1112" s="11" t="n"/>
      <c r="K1112" s="3" t="n"/>
      <c r="L1112" s="10" t="n"/>
      <c r="M1112" s="6" t="n"/>
      <c r="N111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1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1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12" s="3">
        <f>IF(tblOrdenes[[#This Row],[fecha_inicio]]="","",YEAR(tblOrdenes[[#This Row],[fecha_inicio]]))</f>
        <v/>
      </c>
      <c r="R1112" s="3">
        <f>IF(tblOrdenes[[#This Row],[fecha_inicio]]="","",MONTH(tblOrdenes[[#This Row],[fecha_inicio]]))</f>
        <v/>
      </c>
      <c r="S1112" s="3">
        <f>IF(tblOrdenes[[#This Row],[fecha_inicio]]="","",INDEX(lista_dias,WEEKDAY(tblOrdenes[[#This Row],[fecha_inicio]],2)))</f>
        <v/>
      </c>
      <c r="T1112" s="3">
        <f>IF(tblOrdenes[[#This Row],[tipo_ot]]="","",_xlfn.XLOOKUP(tblOrdenes[[#This Row],[tipo_ot]],tblTiposOT[codigo],tblTiposOT[clasificacion],"sin_clasificar"))</f>
        <v/>
      </c>
      <c r="U1112" s="3">
        <f>IF(tblOrdenes[[#This Row],[centro_costo]]="","",_xlfn.XLOOKUP(tblOrdenes[[#This Row],[centro_costo]],tblCECO[codigo],tblCECO[linea],"(sin catálogo)"))</f>
        <v/>
      </c>
      <c r="V1112" s="3">
        <f>IF(tblOrdenes[[#This Row],[centro_costo]]="","",_xlfn.XLOOKUP(tblOrdenes[[#This Row],[centro_costo]],tblCECO[codigo],tblCECO[area],"(sin catálogo)"))</f>
        <v/>
      </c>
      <c r="W1112" s="3">
        <f>IF(tblOrdenes[[#This Row],[centro_costo]]="","",_xlfn.XLOOKUP(tblOrdenes[[#This Row],[centro_costo]],tblCECO[codigo],tblCECO[coordinador],"(sin catálogo)"))</f>
        <v/>
      </c>
      <c r="X1112" s="3">
        <f>IF(tblOrdenes[[#This Row],[puesto_trabajo]]="","",_xlfn.XLOOKUP(tblOrdenes[[#This Row],[puesto_trabajo]],tblPuestos[codigo],tblPuestos[especialidad],"(sin catálogo)"))</f>
        <v/>
      </c>
      <c r="Y1112" s="3">
        <f>IF(tblOrdenes[[#This Row],[cod_actividad]]="","",_xlfn.XLOOKUP(tblOrdenes[[#This Row],[cod_actividad]],tblActividades[codigo],tblActividades[descripcion],"(sin catálogo)"))</f>
        <v/>
      </c>
      <c r="Z1112" s="12">
        <f>IF(tblOrdenes[[#This Row],[fecha_inicio]]="","",TODAY()-tblOrdenes[[#This Row],[fecha_inicio]])</f>
        <v/>
      </c>
      <c r="AA1112" s="3">
        <f>IF(tblOrdenes[[#This Row],[backlog_dias]]="","",IF(tblOrdenes[[#This Row],[backlog_dias]]&lt;0,"FUTURO",IF(tblOrdenes[[#This Row],[backlog_dias]]&gt;p_dias_backlog_max,"BACKLOG","MES CORRIENTE")))</f>
        <v/>
      </c>
      <c r="AB1112" s="3">
        <f>IF(tblOrdenes[[#This Row],[backlog_dias]]="",FALSE,AND(tblOrdenes[[#This Row],[backlog_dias]]&gt;p_dias_backlog_min,tblOrdenes[[#This Row],[backlog_dias]]&lt;=p_dias_backlog_max))</f>
        <v/>
      </c>
      <c r="AC1112" s="6" t="n"/>
      <c r="AD111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1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1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12" s="10">
        <f>IF(tblOrdenes[[#This Row],[orden]]="","",_xlfn.XLOOKUP(tblOrdenes[[#This Row],[id_operacion]],tblEjecucion[id_operacion],tblEjecucion[precio],0))</f>
        <v/>
      </c>
      <c r="AH1112" s="10">
        <f>IF(tblOrdenes[[#This Row],[orden]]="","",MAX(0,_xlfn.XLOOKUP(tblOrdenes[[#This Row],[id_operacion]],tblEjecucion[id_operacion],tblEjecucion[costo_plan_total],0)-tblOrdenes[[#This Row],[costo_servicio]]))</f>
        <v/>
      </c>
      <c r="AI1112" s="10">
        <f>IF(tblOrdenes[[#This Row],[orden]]="","",tblOrdenes[[#This Row],[costo_servicio]]+tblOrdenes[[#This Row],[costo_materiales]])</f>
        <v/>
      </c>
      <c r="AJ1112" s="6" t="n"/>
      <c r="AK1112" s="6" t="n"/>
      <c r="AL1112" s="6" t="n"/>
      <c r="AM1112" s="3">
        <f>IF(tblOrdenes[[#This Row],[link_checklist]]="","",HYPERLINK(p_ruta_base_checklists&amp;tblOrdenes[[#This Row],[link_checklist]],"abrir"))</f>
        <v/>
      </c>
      <c r="AN1112" s="6" t="n"/>
      <c r="AO1112" s="3">
        <f>IF(tblOrdenes[[#This Row],[orden]]="","",tblOrdenes[[#This Row],[orden]]&amp;IF(tblOrdenes[[#This Row],[operacion]]="","0010",tblOrdenes[[#This Row],[operacion]]))</f>
        <v/>
      </c>
    </row>
    <row r="1113">
      <c r="A1113" s="3" t="n"/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11" t="n"/>
      <c r="K1113" s="3" t="n"/>
      <c r="L1113" s="10" t="n"/>
      <c r="M1113" s="6" t="n"/>
      <c r="N111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1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1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13" s="3">
        <f>IF(tblOrdenes[[#This Row],[fecha_inicio]]="","",YEAR(tblOrdenes[[#This Row],[fecha_inicio]]))</f>
        <v/>
      </c>
      <c r="R1113" s="3">
        <f>IF(tblOrdenes[[#This Row],[fecha_inicio]]="","",MONTH(tblOrdenes[[#This Row],[fecha_inicio]]))</f>
        <v/>
      </c>
      <c r="S1113" s="3">
        <f>IF(tblOrdenes[[#This Row],[fecha_inicio]]="","",INDEX(lista_dias,WEEKDAY(tblOrdenes[[#This Row],[fecha_inicio]],2)))</f>
        <v/>
      </c>
      <c r="T1113" s="3">
        <f>IF(tblOrdenes[[#This Row],[tipo_ot]]="","",_xlfn.XLOOKUP(tblOrdenes[[#This Row],[tipo_ot]],tblTiposOT[codigo],tblTiposOT[clasificacion],"sin_clasificar"))</f>
        <v/>
      </c>
      <c r="U1113" s="3">
        <f>IF(tblOrdenes[[#This Row],[centro_costo]]="","",_xlfn.XLOOKUP(tblOrdenes[[#This Row],[centro_costo]],tblCECO[codigo],tblCECO[linea],"(sin catálogo)"))</f>
        <v/>
      </c>
      <c r="V1113" s="3">
        <f>IF(tblOrdenes[[#This Row],[centro_costo]]="","",_xlfn.XLOOKUP(tblOrdenes[[#This Row],[centro_costo]],tblCECO[codigo],tblCECO[area],"(sin catálogo)"))</f>
        <v/>
      </c>
      <c r="W1113" s="3">
        <f>IF(tblOrdenes[[#This Row],[centro_costo]]="","",_xlfn.XLOOKUP(tblOrdenes[[#This Row],[centro_costo]],tblCECO[codigo],tblCECO[coordinador],"(sin catálogo)"))</f>
        <v/>
      </c>
      <c r="X1113" s="3">
        <f>IF(tblOrdenes[[#This Row],[puesto_trabajo]]="","",_xlfn.XLOOKUP(tblOrdenes[[#This Row],[puesto_trabajo]],tblPuestos[codigo],tblPuestos[especialidad],"(sin catálogo)"))</f>
        <v/>
      </c>
      <c r="Y1113" s="3">
        <f>IF(tblOrdenes[[#This Row],[cod_actividad]]="","",_xlfn.XLOOKUP(tblOrdenes[[#This Row],[cod_actividad]],tblActividades[codigo],tblActividades[descripcion],"(sin catálogo)"))</f>
        <v/>
      </c>
      <c r="Z1113" s="12">
        <f>IF(tblOrdenes[[#This Row],[fecha_inicio]]="","",TODAY()-tblOrdenes[[#This Row],[fecha_inicio]])</f>
        <v/>
      </c>
      <c r="AA1113" s="3">
        <f>IF(tblOrdenes[[#This Row],[backlog_dias]]="","",IF(tblOrdenes[[#This Row],[backlog_dias]]&lt;0,"FUTURO",IF(tblOrdenes[[#This Row],[backlog_dias]]&gt;p_dias_backlog_max,"BACKLOG","MES CORRIENTE")))</f>
        <v/>
      </c>
      <c r="AB1113" s="3">
        <f>IF(tblOrdenes[[#This Row],[backlog_dias]]="",FALSE,AND(tblOrdenes[[#This Row],[backlog_dias]]&gt;p_dias_backlog_min,tblOrdenes[[#This Row],[backlog_dias]]&lt;=p_dias_backlog_max))</f>
        <v/>
      </c>
      <c r="AC1113" s="6" t="n"/>
      <c r="AD111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1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1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13" s="10">
        <f>IF(tblOrdenes[[#This Row],[orden]]="","",_xlfn.XLOOKUP(tblOrdenes[[#This Row],[id_operacion]],tblEjecucion[id_operacion],tblEjecucion[precio],0))</f>
        <v/>
      </c>
      <c r="AH1113" s="10">
        <f>IF(tblOrdenes[[#This Row],[orden]]="","",MAX(0,_xlfn.XLOOKUP(tblOrdenes[[#This Row],[id_operacion]],tblEjecucion[id_operacion],tblEjecucion[costo_plan_total],0)-tblOrdenes[[#This Row],[costo_servicio]]))</f>
        <v/>
      </c>
      <c r="AI1113" s="10">
        <f>IF(tblOrdenes[[#This Row],[orden]]="","",tblOrdenes[[#This Row],[costo_servicio]]+tblOrdenes[[#This Row],[costo_materiales]])</f>
        <v/>
      </c>
      <c r="AJ1113" s="6" t="n"/>
      <c r="AK1113" s="6" t="n"/>
      <c r="AL1113" s="6" t="n"/>
      <c r="AM1113" s="3">
        <f>IF(tblOrdenes[[#This Row],[link_checklist]]="","",HYPERLINK(p_ruta_base_checklists&amp;tblOrdenes[[#This Row],[link_checklist]],"abrir"))</f>
        <v/>
      </c>
      <c r="AN1113" s="6" t="n"/>
      <c r="AO1113" s="3">
        <f>IF(tblOrdenes[[#This Row],[orden]]="","",tblOrdenes[[#This Row],[orden]]&amp;IF(tblOrdenes[[#This Row],[operacion]]="","0010",tblOrdenes[[#This Row],[operacion]]))</f>
        <v/>
      </c>
    </row>
    <row r="1114">
      <c r="A1114" s="3" t="n"/>
      <c r="B1114" s="3" t="n"/>
      <c r="C1114" s="3" t="n"/>
      <c r="D1114" s="3" t="n"/>
      <c r="E1114" s="3" t="n"/>
      <c r="F1114" s="3" t="n"/>
      <c r="G1114" s="3" t="n"/>
      <c r="H1114" s="3" t="n"/>
      <c r="I1114" s="3" t="n"/>
      <c r="J1114" s="11" t="n"/>
      <c r="K1114" s="3" t="n"/>
      <c r="L1114" s="10" t="n"/>
      <c r="M1114" s="6" t="n"/>
      <c r="N111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1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1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14" s="3">
        <f>IF(tblOrdenes[[#This Row],[fecha_inicio]]="","",YEAR(tblOrdenes[[#This Row],[fecha_inicio]]))</f>
        <v/>
      </c>
      <c r="R1114" s="3">
        <f>IF(tblOrdenes[[#This Row],[fecha_inicio]]="","",MONTH(tblOrdenes[[#This Row],[fecha_inicio]]))</f>
        <v/>
      </c>
      <c r="S1114" s="3">
        <f>IF(tblOrdenes[[#This Row],[fecha_inicio]]="","",INDEX(lista_dias,WEEKDAY(tblOrdenes[[#This Row],[fecha_inicio]],2)))</f>
        <v/>
      </c>
      <c r="T1114" s="3">
        <f>IF(tblOrdenes[[#This Row],[tipo_ot]]="","",_xlfn.XLOOKUP(tblOrdenes[[#This Row],[tipo_ot]],tblTiposOT[codigo],tblTiposOT[clasificacion],"sin_clasificar"))</f>
        <v/>
      </c>
      <c r="U1114" s="3">
        <f>IF(tblOrdenes[[#This Row],[centro_costo]]="","",_xlfn.XLOOKUP(tblOrdenes[[#This Row],[centro_costo]],tblCECO[codigo],tblCECO[linea],"(sin catálogo)"))</f>
        <v/>
      </c>
      <c r="V1114" s="3">
        <f>IF(tblOrdenes[[#This Row],[centro_costo]]="","",_xlfn.XLOOKUP(tblOrdenes[[#This Row],[centro_costo]],tblCECO[codigo],tblCECO[area],"(sin catálogo)"))</f>
        <v/>
      </c>
      <c r="W1114" s="3">
        <f>IF(tblOrdenes[[#This Row],[centro_costo]]="","",_xlfn.XLOOKUP(tblOrdenes[[#This Row],[centro_costo]],tblCECO[codigo],tblCECO[coordinador],"(sin catálogo)"))</f>
        <v/>
      </c>
      <c r="X1114" s="3">
        <f>IF(tblOrdenes[[#This Row],[puesto_trabajo]]="","",_xlfn.XLOOKUP(tblOrdenes[[#This Row],[puesto_trabajo]],tblPuestos[codigo],tblPuestos[especialidad],"(sin catálogo)"))</f>
        <v/>
      </c>
      <c r="Y1114" s="3">
        <f>IF(tblOrdenes[[#This Row],[cod_actividad]]="","",_xlfn.XLOOKUP(tblOrdenes[[#This Row],[cod_actividad]],tblActividades[codigo],tblActividades[descripcion],"(sin catálogo)"))</f>
        <v/>
      </c>
      <c r="Z1114" s="12">
        <f>IF(tblOrdenes[[#This Row],[fecha_inicio]]="","",TODAY()-tblOrdenes[[#This Row],[fecha_inicio]])</f>
        <v/>
      </c>
      <c r="AA1114" s="3">
        <f>IF(tblOrdenes[[#This Row],[backlog_dias]]="","",IF(tblOrdenes[[#This Row],[backlog_dias]]&lt;0,"FUTURO",IF(tblOrdenes[[#This Row],[backlog_dias]]&gt;p_dias_backlog_max,"BACKLOG","MES CORRIENTE")))</f>
        <v/>
      </c>
      <c r="AB1114" s="3">
        <f>IF(tblOrdenes[[#This Row],[backlog_dias]]="",FALSE,AND(tblOrdenes[[#This Row],[backlog_dias]]&gt;p_dias_backlog_min,tblOrdenes[[#This Row],[backlog_dias]]&lt;=p_dias_backlog_max))</f>
        <v/>
      </c>
      <c r="AC1114" s="6" t="n"/>
      <c r="AD111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1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1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14" s="10">
        <f>IF(tblOrdenes[[#This Row],[orden]]="","",_xlfn.XLOOKUP(tblOrdenes[[#This Row],[id_operacion]],tblEjecucion[id_operacion],tblEjecucion[precio],0))</f>
        <v/>
      </c>
      <c r="AH1114" s="10">
        <f>IF(tblOrdenes[[#This Row],[orden]]="","",MAX(0,_xlfn.XLOOKUP(tblOrdenes[[#This Row],[id_operacion]],tblEjecucion[id_operacion],tblEjecucion[costo_plan_total],0)-tblOrdenes[[#This Row],[costo_servicio]]))</f>
        <v/>
      </c>
      <c r="AI1114" s="10">
        <f>IF(tblOrdenes[[#This Row],[orden]]="","",tblOrdenes[[#This Row],[costo_servicio]]+tblOrdenes[[#This Row],[costo_materiales]])</f>
        <v/>
      </c>
      <c r="AJ1114" s="6" t="n"/>
      <c r="AK1114" s="6" t="n"/>
      <c r="AL1114" s="6" t="n"/>
      <c r="AM1114" s="3">
        <f>IF(tblOrdenes[[#This Row],[link_checklist]]="","",HYPERLINK(p_ruta_base_checklists&amp;tblOrdenes[[#This Row],[link_checklist]],"abrir"))</f>
        <v/>
      </c>
      <c r="AN1114" s="6" t="n"/>
      <c r="AO1114" s="3">
        <f>IF(tblOrdenes[[#This Row],[orden]]="","",tblOrdenes[[#This Row],[orden]]&amp;IF(tblOrdenes[[#This Row],[operacion]]="","0010",tblOrdenes[[#This Row],[operacion]]))</f>
        <v/>
      </c>
    </row>
    <row r="1115">
      <c r="A1115" s="3" t="n"/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11" t="n"/>
      <c r="K1115" s="3" t="n"/>
      <c r="L1115" s="10" t="n"/>
      <c r="M1115" s="6" t="n"/>
      <c r="N111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1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1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15" s="3">
        <f>IF(tblOrdenes[[#This Row],[fecha_inicio]]="","",YEAR(tblOrdenes[[#This Row],[fecha_inicio]]))</f>
        <v/>
      </c>
      <c r="R1115" s="3">
        <f>IF(tblOrdenes[[#This Row],[fecha_inicio]]="","",MONTH(tblOrdenes[[#This Row],[fecha_inicio]]))</f>
        <v/>
      </c>
      <c r="S1115" s="3">
        <f>IF(tblOrdenes[[#This Row],[fecha_inicio]]="","",INDEX(lista_dias,WEEKDAY(tblOrdenes[[#This Row],[fecha_inicio]],2)))</f>
        <v/>
      </c>
      <c r="T1115" s="3">
        <f>IF(tblOrdenes[[#This Row],[tipo_ot]]="","",_xlfn.XLOOKUP(tblOrdenes[[#This Row],[tipo_ot]],tblTiposOT[codigo],tblTiposOT[clasificacion],"sin_clasificar"))</f>
        <v/>
      </c>
      <c r="U1115" s="3">
        <f>IF(tblOrdenes[[#This Row],[centro_costo]]="","",_xlfn.XLOOKUP(tblOrdenes[[#This Row],[centro_costo]],tblCECO[codigo],tblCECO[linea],"(sin catálogo)"))</f>
        <v/>
      </c>
      <c r="V1115" s="3">
        <f>IF(tblOrdenes[[#This Row],[centro_costo]]="","",_xlfn.XLOOKUP(tblOrdenes[[#This Row],[centro_costo]],tblCECO[codigo],tblCECO[area],"(sin catálogo)"))</f>
        <v/>
      </c>
      <c r="W1115" s="3">
        <f>IF(tblOrdenes[[#This Row],[centro_costo]]="","",_xlfn.XLOOKUP(tblOrdenes[[#This Row],[centro_costo]],tblCECO[codigo],tblCECO[coordinador],"(sin catálogo)"))</f>
        <v/>
      </c>
      <c r="X1115" s="3">
        <f>IF(tblOrdenes[[#This Row],[puesto_trabajo]]="","",_xlfn.XLOOKUP(tblOrdenes[[#This Row],[puesto_trabajo]],tblPuestos[codigo],tblPuestos[especialidad],"(sin catálogo)"))</f>
        <v/>
      </c>
      <c r="Y1115" s="3">
        <f>IF(tblOrdenes[[#This Row],[cod_actividad]]="","",_xlfn.XLOOKUP(tblOrdenes[[#This Row],[cod_actividad]],tblActividades[codigo],tblActividades[descripcion],"(sin catálogo)"))</f>
        <v/>
      </c>
      <c r="Z1115" s="12">
        <f>IF(tblOrdenes[[#This Row],[fecha_inicio]]="","",TODAY()-tblOrdenes[[#This Row],[fecha_inicio]])</f>
        <v/>
      </c>
      <c r="AA1115" s="3">
        <f>IF(tblOrdenes[[#This Row],[backlog_dias]]="","",IF(tblOrdenes[[#This Row],[backlog_dias]]&lt;0,"FUTURO",IF(tblOrdenes[[#This Row],[backlog_dias]]&gt;p_dias_backlog_max,"BACKLOG","MES CORRIENTE")))</f>
        <v/>
      </c>
      <c r="AB1115" s="3">
        <f>IF(tblOrdenes[[#This Row],[backlog_dias]]="",FALSE,AND(tblOrdenes[[#This Row],[backlog_dias]]&gt;p_dias_backlog_min,tblOrdenes[[#This Row],[backlog_dias]]&lt;=p_dias_backlog_max))</f>
        <v/>
      </c>
      <c r="AC1115" s="6" t="n"/>
      <c r="AD111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1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1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15" s="10">
        <f>IF(tblOrdenes[[#This Row],[orden]]="","",_xlfn.XLOOKUP(tblOrdenes[[#This Row],[id_operacion]],tblEjecucion[id_operacion],tblEjecucion[precio],0))</f>
        <v/>
      </c>
      <c r="AH1115" s="10">
        <f>IF(tblOrdenes[[#This Row],[orden]]="","",MAX(0,_xlfn.XLOOKUP(tblOrdenes[[#This Row],[id_operacion]],tblEjecucion[id_operacion],tblEjecucion[costo_plan_total],0)-tblOrdenes[[#This Row],[costo_servicio]]))</f>
        <v/>
      </c>
      <c r="AI1115" s="10">
        <f>IF(tblOrdenes[[#This Row],[orden]]="","",tblOrdenes[[#This Row],[costo_servicio]]+tblOrdenes[[#This Row],[costo_materiales]])</f>
        <v/>
      </c>
      <c r="AJ1115" s="6" t="n"/>
      <c r="AK1115" s="6" t="n"/>
      <c r="AL1115" s="6" t="n"/>
      <c r="AM1115" s="3">
        <f>IF(tblOrdenes[[#This Row],[link_checklist]]="","",HYPERLINK(p_ruta_base_checklists&amp;tblOrdenes[[#This Row],[link_checklist]],"abrir"))</f>
        <v/>
      </c>
      <c r="AN1115" s="6" t="n"/>
      <c r="AO1115" s="3">
        <f>IF(tblOrdenes[[#This Row],[orden]]="","",tblOrdenes[[#This Row],[orden]]&amp;IF(tblOrdenes[[#This Row],[operacion]]="","0010",tblOrdenes[[#This Row],[operacion]]))</f>
        <v/>
      </c>
    </row>
    <row r="1116">
      <c r="A1116" s="3" t="n"/>
      <c r="B1116" s="3" t="n"/>
      <c r="C1116" s="3" t="n"/>
      <c r="D1116" s="3" t="n"/>
      <c r="E1116" s="3" t="n"/>
      <c r="F1116" s="3" t="n"/>
      <c r="G1116" s="3" t="n"/>
      <c r="H1116" s="3" t="n"/>
      <c r="I1116" s="3" t="n"/>
      <c r="J1116" s="11" t="n"/>
      <c r="K1116" s="3" t="n"/>
      <c r="L1116" s="10" t="n"/>
      <c r="M1116" s="6" t="n"/>
      <c r="N111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1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1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16" s="3">
        <f>IF(tblOrdenes[[#This Row],[fecha_inicio]]="","",YEAR(tblOrdenes[[#This Row],[fecha_inicio]]))</f>
        <v/>
      </c>
      <c r="R1116" s="3">
        <f>IF(tblOrdenes[[#This Row],[fecha_inicio]]="","",MONTH(tblOrdenes[[#This Row],[fecha_inicio]]))</f>
        <v/>
      </c>
      <c r="S1116" s="3">
        <f>IF(tblOrdenes[[#This Row],[fecha_inicio]]="","",INDEX(lista_dias,WEEKDAY(tblOrdenes[[#This Row],[fecha_inicio]],2)))</f>
        <v/>
      </c>
      <c r="T1116" s="3">
        <f>IF(tblOrdenes[[#This Row],[tipo_ot]]="","",_xlfn.XLOOKUP(tblOrdenes[[#This Row],[tipo_ot]],tblTiposOT[codigo],tblTiposOT[clasificacion],"sin_clasificar"))</f>
        <v/>
      </c>
      <c r="U1116" s="3">
        <f>IF(tblOrdenes[[#This Row],[centro_costo]]="","",_xlfn.XLOOKUP(tblOrdenes[[#This Row],[centro_costo]],tblCECO[codigo],tblCECO[linea],"(sin catálogo)"))</f>
        <v/>
      </c>
      <c r="V1116" s="3">
        <f>IF(tblOrdenes[[#This Row],[centro_costo]]="","",_xlfn.XLOOKUP(tblOrdenes[[#This Row],[centro_costo]],tblCECO[codigo],tblCECO[area],"(sin catálogo)"))</f>
        <v/>
      </c>
      <c r="W1116" s="3">
        <f>IF(tblOrdenes[[#This Row],[centro_costo]]="","",_xlfn.XLOOKUP(tblOrdenes[[#This Row],[centro_costo]],tblCECO[codigo],tblCECO[coordinador],"(sin catálogo)"))</f>
        <v/>
      </c>
      <c r="X1116" s="3">
        <f>IF(tblOrdenes[[#This Row],[puesto_trabajo]]="","",_xlfn.XLOOKUP(tblOrdenes[[#This Row],[puesto_trabajo]],tblPuestos[codigo],tblPuestos[especialidad],"(sin catálogo)"))</f>
        <v/>
      </c>
      <c r="Y1116" s="3">
        <f>IF(tblOrdenes[[#This Row],[cod_actividad]]="","",_xlfn.XLOOKUP(tblOrdenes[[#This Row],[cod_actividad]],tblActividades[codigo],tblActividades[descripcion],"(sin catálogo)"))</f>
        <v/>
      </c>
      <c r="Z1116" s="12">
        <f>IF(tblOrdenes[[#This Row],[fecha_inicio]]="","",TODAY()-tblOrdenes[[#This Row],[fecha_inicio]])</f>
        <v/>
      </c>
      <c r="AA1116" s="3">
        <f>IF(tblOrdenes[[#This Row],[backlog_dias]]="","",IF(tblOrdenes[[#This Row],[backlog_dias]]&lt;0,"FUTURO",IF(tblOrdenes[[#This Row],[backlog_dias]]&gt;p_dias_backlog_max,"BACKLOG","MES CORRIENTE")))</f>
        <v/>
      </c>
      <c r="AB1116" s="3">
        <f>IF(tblOrdenes[[#This Row],[backlog_dias]]="",FALSE,AND(tblOrdenes[[#This Row],[backlog_dias]]&gt;p_dias_backlog_min,tblOrdenes[[#This Row],[backlog_dias]]&lt;=p_dias_backlog_max))</f>
        <v/>
      </c>
      <c r="AC1116" s="6" t="n"/>
      <c r="AD111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1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1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16" s="10">
        <f>IF(tblOrdenes[[#This Row],[orden]]="","",_xlfn.XLOOKUP(tblOrdenes[[#This Row],[id_operacion]],tblEjecucion[id_operacion],tblEjecucion[precio],0))</f>
        <v/>
      </c>
      <c r="AH1116" s="10">
        <f>IF(tblOrdenes[[#This Row],[orden]]="","",MAX(0,_xlfn.XLOOKUP(tblOrdenes[[#This Row],[id_operacion]],tblEjecucion[id_operacion],tblEjecucion[costo_plan_total],0)-tblOrdenes[[#This Row],[costo_servicio]]))</f>
        <v/>
      </c>
      <c r="AI1116" s="10">
        <f>IF(tblOrdenes[[#This Row],[orden]]="","",tblOrdenes[[#This Row],[costo_servicio]]+tblOrdenes[[#This Row],[costo_materiales]])</f>
        <v/>
      </c>
      <c r="AJ1116" s="6" t="n"/>
      <c r="AK1116" s="6" t="n"/>
      <c r="AL1116" s="6" t="n"/>
      <c r="AM1116" s="3">
        <f>IF(tblOrdenes[[#This Row],[link_checklist]]="","",HYPERLINK(p_ruta_base_checklists&amp;tblOrdenes[[#This Row],[link_checklist]],"abrir"))</f>
        <v/>
      </c>
      <c r="AN1116" s="6" t="n"/>
      <c r="AO1116" s="3">
        <f>IF(tblOrdenes[[#This Row],[orden]]="","",tblOrdenes[[#This Row],[orden]]&amp;IF(tblOrdenes[[#This Row],[operacion]]="","0010",tblOrdenes[[#This Row],[operacion]]))</f>
        <v/>
      </c>
    </row>
    <row r="1117">
      <c r="A1117" s="3" t="n"/>
      <c r="B1117" s="3" t="n"/>
      <c r="C1117" s="3" t="n"/>
      <c r="D1117" s="3" t="n"/>
      <c r="E1117" s="3" t="n"/>
      <c r="F1117" s="3" t="n"/>
      <c r="G1117" s="3" t="n"/>
      <c r="H1117" s="3" t="n"/>
      <c r="I1117" s="3" t="n"/>
      <c r="J1117" s="11" t="n"/>
      <c r="K1117" s="3" t="n"/>
      <c r="L1117" s="10" t="n"/>
      <c r="M1117" s="6" t="n"/>
      <c r="N111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1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1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17" s="3">
        <f>IF(tblOrdenes[[#This Row],[fecha_inicio]]="","",YEAR(tblOrdenes[[#This Row],[fecha_inicio]]))</f>
        <v/>
      </c>
      <c r="R1117" s="3">
        <f>IF(tblOrdenes[[#This Row],[fecha_inicio]]="","",MONTH(tblOrdenes[[#This Row],[fecha_inicio]]))</f>
        <v/>
      </c>
      <c r="S1117" s="3">
        <f>IF(tblOrdenes[[#This Row],[fecha_inicio]]="","",INDEX(lista_dias,WEEKDAY(tblOrdenes[[#This Row],[fecha_inicio]],2)))</f>
        <v/>
      </c>
      <c r="T1117" s="3">
        <f>IF(tblOrdenes[[#This Row],[tipo_ot]]="","",_xlfn.XLOOKUP(tblOrdenes[[#This Row],[tipo_ot]],tblTiposOT[codigo],tblTiposOT[clasificacion],"sin_clasificar"))</f>
        <v/>
      </c>
      <c r="U1117" s="3">
        <f>IF(tblOrdenes[[#This Row],[centro_costo]]="","",_xlfn.XLOOKUP(tblOrdenes[[#This Row],[centro_costo]],tblCECO[codigo],tblCECO[linea],"(sin catálogo)"))</f>
        <v/>
      </c>
      <c r="V1117" s="3">
        <f>IF(tblOrdenes[[#This Row],[centro_costo]]="","",_xlfn.XLOOKUP(tblOrdenes[[#This Row],[centro_costo]],tblCECO[codigo],tblCECO[area],"(sin catálogo)"))</f>
        <v/>
      </c>
      <c r="W1117" s="3">
        <f>IF(tblOrdenes[[#This Row],[centro_costo]]="","",_xlfn.XLOOKUP(tblOrdenes[[#This Row],[centro_costo]],tblCECO[codigo],tblCECO[coordinador],"(sin catálogo)"))</f>
        <v/>
      </c>
      <c r="X1117" s="3">
        <f>IF(tblOrdenes[[#This Row],[puesto_trabajo]]="","",_xlfn.XLOOKUP(tblOrdenes[[#This Row],[puesto_trabajo]],tblPuestos[codigo],tblPuestos[especialidad],"(sin catálogo)"))</f>
        <v/>
      </c>
      <c r="Y1117" s="3">
        <f>IF(tblOrdenes[[#This Row],[cod_actividad]]="","",_xlfn.XLOOKUP(tblOrdenes[[#This Row],[cod_actividad]],tblActividades[codigo],tblActividades[descripcion],"(sin catálogo)"))</f>
        <v/>
      </c>
      <c r="Z1117" s="12">
        <f>IF(tblOrdenes[[#This Row],[fecha_inicio]]="","",TODAY()-tblOrdenes[[#This Row],[fecha_inicio]])</f>
        <v/>
      </c>
      <c r="AA1117" s="3">
        <f>IF(tblOrdenes[[#This Row],[backlog_dias]]="","",IF(tblOrdenes[[#This Row],[backlog_dias]]&lt;0,"FUTURO",IF(tblOrdenes[[#This Row],[backlog_dias]]&gt;p_dias_backlog_max,"BACKLOG","MES CORRIENTE")))</f>
        <v/>
      </c>
      <c r="AB1117" s="3">
        <f>IF(tblOrdenes[[#This Row],[backlog_dias]]="",FALSE,AND(tblOrdenes[[#This Row],[backlog_dias]]&gt;p_dias_backlog_min,tblOrdenes[[#This Row],[backlog_dias]]&lt;=p_dias_backlog_max))</f>
        <v/>
      </c>
      <c r="AC1117" s="6" t="n"/>
      <c r="AD111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1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1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17" s="10">
        <f>IF(tblOrdenes[[#This Row],[orden]]="","",_xlfn.XLOOKUP(tblOrdenes[[#This Row],[id_operacion]],tblEjecucion[id_operacion],tblEjecucion[precio],0))</f>
        <v/>
      </c>
      <c r="AH1117" s="10">
        <f>IF(tblOrdenes[[#This Row],[orden]]="","",MAX(0,_xlfn.XLOOKUP(tblOrdenes[[#This Row],[id_operacion]],tblEjecucion[id_operacion],tblEjecucion[costo_plan_total],0)-tblOrdenes[[#This Row],[costo_servicio]]))</f>
        <v/>
      </c>
      <c r="AI1117" s="10">
        <f>IF(tblOrdenes[[#This Row],[orden]]="","",tblOrdenes[[#This Row],[costo_servicio]]+tblOrdenes[[#This Row],[costo_materiales]])</f>
        <v/>
      </c>
      <c r="AJ1117" s="6" t="n"/>
      <c r="AK1117" s="6" t="n"/>
      <c r="AL1117" s="6" t="n"/>
      <c r="AM1117" s="3">
        <f>IF(tblOrdenes[[#This Row],[link_checklist]]="","",HYPERLINK(p_ruta_base_checklists&amp;tblOrdenes[[#This Row],[link_checklist]],"abrir"))</f>
        <v/>
      </c>
      <c r="AN1117" s="6" t="n"/>
      <c r="AO1117" s="3">
        <f>IF(tblOrdenes[[#This Row],[orden]]="","",tblOrdenes[[#This Row],[orden]]&amp;IF(tblOrdenes[[#This Row],[operacion]]="","0010",tblOrdenes[[#This Row],[operacion]]))</f>
        <v/>
      </c>
    </row>
    <row r="1118">
      <c r="A1118" s="3" t="n"/>
      <c r="B1118" s="3" t="n"/>
      <c r="C1118" s="3" t="n"/>
      <c r="D1118" s="3" t="n"/>
      <c r="E1118" s="3" t="n"/>
      <c r="F1118" s="3" t="n"/>
      <c r="G1118" s="3" t="n"/>
      <c r="H1118" s="3" t="n"/>
      <c r="I1118" s="3" t="n"/>
      <c r="J1118" s="11" t="n"/>
      <c r="K1118" s="3" t="n"/>
      <c r="L1118" s="10" t="n"/>
      <c r="M1118" s="6" t="n"/>
      <c r="N111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1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1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18" s="3">
        <f>IF(tblOrdenes[[#This Row],[fecha_inicio]]="","",YEAR(tblOrdenes[[#This Row],[fecha_inicio]]))</f>
        <v/>
      </c>
      <c r="R1118" s="3">
        <f>IF(tblOrdenes[[#This Row],[fecha_inicio]]="","",MONTH(tblOrdenes[[#This Row],[fecha_inicio]]))</f>
        <v/>
      </c>
      <c r="S1118" s="3">
        <f>IF(tblOrdenes[[#This Row],[fecha_inicio]]="","",INDEX(lista_dias,WEEKDAY(tblOrdenes[[#This Row],[fecha_inicio]],2)))</f>
        <v/>
      </c>
      <c r="T1118" s="3">
        <f>IF(tblOrdenes[[#This Row],[tipo_ot]]="","",_xlfn.XLOOKUP(tblOrdenes[[#This Row],[tipo_ot]],tblTiposOT[codigo],tblTiposOT[clasificacion],"sin_clasificar"))</f>
        <v/>
      </c>
      <c r="U1118" s="3">
        <f>IF(tblOrdenes[[#This Row],[centro_costo]]="","",_xlfn.XLOOKUP(tblOrdenes[[#This Row],[centro_costo]],tblCECO[codigo],tblCECO[linea],"(sin catálogo)"))</f>
        <v/>
      </c>
      <c r="V1118" s="3">
        <f>IF(tblOrdenes[[#This Row],[centro_costo]]="","",_xlfn.XLOOKUP(tblOrdenes[[#This Row],[centro_costo]],tblCECO[codigo],tblCECO[area],"(sin catálogo)"))</f>
        <v/>
      </c>
      <c r="W1118" s="3">
        <f>IF(tblOrdenes[[#This Row],[centro_costo]]="","",_xlfn.XLOOKUP(tblOrdenes[[#This Row],[centro_costo]],tblCECO[codigo],tblCECO[coordinador],"(sin catálogo)"))</f>
        <v/>
      </c>
      <c r="X1118" s="3">
        <f>IF(tblOrdenes[[#This Row],[puesto_trabajo]]="","",_xlfn.XLOOKUP(tblOrdenes[[#This Row],[puesto_trabajo]],tblPuestos[codigo],tblPuestos[especialidad],"(sin catálogo)"))</f>
        <v/>
      </c>
      <c r="Y1118" s="3">
        <f>IF(tblOrdenes[[#This Row],[cod_actividad]]="","",_xlfn.XLOOKUP(tblOrdenes[[#This Row],[cod_actividad]],tblActividades[codigo],tblActividades[descripcion],"(sin catálogo)"))</f>
        <v/>
      </c>
      <c r="Z1118" s="12">
        <f>IF(tblOrdenes[[#This Row],[fecha_inicio]]="","",TODAY()-tblOrdenes[[#This Row],[fecha_inicio]])</f>
        <v/>
      </c>
      <c r="AA1118" s="3">
        <f>IF(tblOrdenes[[#This Row],[backlog_dias]]="","",IF(tblOrdenes[[#This Row],[backlog_dias]]&lt;0,"FUTURO",IF(tblOrdenes[[#This Row],[backlog_dias]]&gt;p_dias_backlog_max,"BACKLOG","MES CORRIENTE")))</f>
        <v/>
      </c>
      <c r="AB1118" s="3">
        <f>IF(tblOrdenes[[#This Row],[backlog_dias]]="",FALSE,AND(tblOrdenes[[#This Row],[backlog_dias]]&gt;p_dias_backlog_min,tblOrdenes[[#This Row],[backlog_dias]]&lt;=p_dias_backlog_max))</f>
        <v/>
      </c>
      <c r="AC1118" s="6" t="n"/>
      <c r="AD111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1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1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18" s="10">
        <f>IF(tblOrdenes[[#This Row],[orden]]="","",_xlfn.XLOOKUP(tblOrdenes[[#This Row],[id_operacion]],tblEjecucion[id_operacion],tblEjecucion[precio],0))</f>
        <v/>
      </c>
      <c r="AH1118" s="10">
        <f>IF(tblOrdenes[[#This Row],[orden]]="","",MAX(0,_xlfn.XLOOKUP(tblOrdenes[[#This Row],[id_operacion]],tblEjecucion[id_operacion],tblEjecucion[costo_plan_total],0)-tblOrdenes[[#This Row],[costo_servicio]]))</f>
        <v/>
      </c>
      <c r="AI1118" s="10">
        <f>IF(tblOrdenes[[#This Row],[orden]]="","",tblOrdenes[[#This Row],[costo_servicio]]+tblOrdenes[[#This Row],[costo_materiales]])</f>
        <v/>
      </c>
      <c r="AJ1118" s="6" t="n"/>
      <c r="AK1118" s="6" t="n"/>
      <c r="AL1118" s="6" t="n"/>
      <c r="AM1118" s="3">
        <f>IF(tblOrdenes[[#This Row],[link_checklist]]="","",HYPERLINK(p_ruta_base_checklists&amp;tblOrdenes[[#This Row],[link_checklist]],"abrir"))</f>
        <v/>
      </c>
      <c r="AN1118" s="6" t="n"/>
      <c r="AO1118" s="3">
        <f>IF(tblOrdenes[[#This Row],[orden]]="","",tblOrdenes[[#This Row],[orden]]&amp;IF(tblOrdenes[[#This Row],[operacion]]="","0010",tblOrdenes[[#This Row],[operacion]]))</f>
        <v/>
      </c>
    </row>
    <row r="1119">
      <c r="A1119" s="3" t="n"/>
      <c r="B1119" s="3" t="n"/>
      <c r="C1119" s="3" t="n"/>
      <c r="D1119" s="3" t="n"/>
      <c r="E1119" s="3" t="n"/>
      <c r="F1119" s="3" t="n"/>
      <c r="G1119" s="3" t="n"/>
      <c r="H1119" s="3" t="n"/>
      <c r="I1119" s="3" t="n"/>
      <c r="J1119" s="11" t="n"/>
      <c r="K1119" s="3" t="n"/>
      <c r="L1119" s="10" t="n"/>
      <c r="M1119" s="6" t="n"/>
      <c r="N111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1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1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19" s="3">
        <f>IF(tblOrdenes[[#This Row],[fecha_inicio]]="","",YEAR(tblOrdenes[[#This Row],[fecha_inicio]]))</f>
        <v/>
      </c>
      <c r="R1119" s="3">
        <f>IF(tblOrdenes[[#This Row],[fecha_inicio]]="","",MONTH(tblOrdenes[[#This Row],[fecha_inicio]]))</f>
        <v/>
      </c>
      <c r="S1119" s="3">
        <f>IF(tblOrdenes[[#This Row],[fecha_inicio]]="","",INDEX(lista_dias,WEEKDAY(tblOrdenes[[#This Row],[fecha_inicio]],2)))</f>
        <v/>
      </c>
      <c r="T1119" s="3">
        <f>IF(tblOrdenes[[#This Row],[tipo_ot]]="","",_xlfn.XLOOKUP(tblOrdenes[[#This Row],[tipo_ot]],tblTiposOT[codigo],tblTiposOT[clasificacion],"sin_clasificar"))</f>
        <v/>
      </c>
      <c r="U1119" s="3">
        <f>IF(tblOrdenes[[#This Row],[centro_costo]]="","",_xlfn.XLOOKUP(tblOrdenes[[#This Row],[centro_costo]],tblCECO[codigo],tblCECO[linea],"(sin catálogo)"))</f>
        <v/>
      </c>
      <c r="V1119" s="3">
        <f>IF(tblOrdenes[[#This Row],[centro_costo]]="","",_xlfn.XLOOKUP(tblOrdenes[[#This Row],[centro_costo]],tblCECO[codigo],tblCECO[area],"(sin catálogo)"))</f>
        <v/>
      </c>
      <c r="W1119" s="3">
        <f>IF(tblOrdenes[[#This Row],[centro_costo]]="","",_xlfn.XLOOKUP(tblOrdenes[[#This Row],[centro_costo]],tblCECO[codigo],tblCECO[coordinador],"(sin catálogo)"))</f>
        <v/>
      </c>
      <c r="X1119" s="3">
        <f>IF(tblOrdenes[[#This Row],[puesto_trabajo]]="","",_xlfn.XLOOKUP(tblOrdenes[[#This Row],[puesto_trabajo]],tblPuestos[codigo],tblPuestos[especialidad],"(sin catálogo)"))</f>
        <v/>
      </c>
      <c r="Y1119" s="3">
        <f>IF(tblOrdenes[[#This Row],[cod_actividad]]="","",_xlfn.XLOOKUP(tblOrdenes[[#This Row],[cod_actividad]],tblActividades[codigo],tblActividades[descripcion],"(sin catálogo)"))</f>
        <v/>
      </c>
      <c r="Z1119" s="12">
        <f>IF(tblOrdenes[[#This Row],[fecha_inicio]]="","",TODAY()-tblOrdenes[[#This Row],[fecha_inicio]])</f>
        <v/>
      </c>
      <c r="AA1119" s="3">
        <f>IF(tblOrdenes[[#This Row],[backlog_dias]]="","",IF(tblOrdenes[[#This Row],[backlog_dias]]&lt;0,"FUTURO",IF(tblOrdenes[[#This Row],[backlog_dias]]&gt;p_dias_backlog_max,"BACKLOG","MES CORRIENTE")))</f>
        <v/>
      </c>
      <c r="AB1119" s="3">
        <f>IF(tblOrdenes[[#This Row],[backlog_dias]]="",FALSE,AND(tblOrdenes[[#This Row],[backlog_dias]]&gt;p_dias_backlog_min,tblOrdenes[[#This Row],[backlog_dias]]&lt;=p_dias_backlog_max))</f>
        <v/>
      </c>
      <c r="AC1119" s="6" t="n"/>
      <c r="AD111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1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1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19" s="10">
        <f>IF(tblOrdenes[[#This Row],[orden]]="","",_xlfn.XLOOKUP(tblOrdenes[[#This Row],[id_operacion]],tblEjecucion[id_operacion],tblEjecucion[precio],0))</f>
        <v/>
      </c>
      <c r="AH1119" s="10">
        <f>IF(tblOrdenes[[#This Row],[orden]]="","",MAX(0,_xlfn.XLOOKUP(tblOrdenes[[#This Row],[id_operacion]],tblEjecucion[id_operacion],tblEjecucion[costo_plan_total],0)-tblOrdenes[[#This Row],[costo_servicio]]))</f>
        <v/>
      </c>
      <c r="AI1119" s="10">
        <f>IF(tblOrdenes[[#This Row],[orden]]="","",tblOrdenes[[#This Row],[costo_servicio]]+tblOrdenes[[#This Row],[costo_materiales]])</f>
        <v/>
      </c>
      <c r="AJ1119" s="6" t="n"/>
      <c r="AK1119" s="6" t="n"/>
      <c r="AL1119" s="6" t="n"/>
      <c r="AM1119" s="3">
        <f>IF(tblOrdenes[[#This Row],[link_checklist]]="","",HYPERLINK(p_ruta_base_checklists&amp;tblOrdenes[[#This Row],[link_checklist]],"abrir"))</f>
        <v/>
      </c>
      <c r="AN1119" s="6" t="n"/>
      <c r="AO1119" s="3">
        <f>IF(tblOrdenes[[#This Row],[orden]]="","",tblOrdenes[[#This Row],[orden]]&amp;IF(tblOrdenes[[#This Row],[operacion]]="","0010",tblOrdenes[[#This Row],[operacion]]))</f>
        <v/>
      </c>
    </row>
    <row r="1120">
      <c r="A1120" s="3" t="n"/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11" t="n"/>
      <c r="K1120" s="3" t="n"/>
      <c r="L1120" s="10" t="n"/>
      <c r="M1120" s="6" t="n"/>
      <c r="N112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2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2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20" s="3">
        <f>IF(tblOrdenes[[#This Row],[fecha_inicio]]="","",YEAR(tblOrdenes[[#This Row],[fecha_inicio]]))</f>
        <v/>
      </c>
      <c r="R1120" s="3">
        <f>IF(tblOrdenes[[#This Row],[fecha_inicio]]="","",MONTH(tblOrdenes[[#This Row],[fecha_inicio]]))</f>
        <v/>
      </c>
      <c r="S1120" s="3">
        <f>IF(tblOrdenes[[#This Row],[fecha_inicio]]="","",INDEX(lista_dias,WEEKDAY(tblOrdenes[[#This Row],[fecha_inicio]],2)))</f>
        <v/>
      </c>
      <c r="T1120" s="3">
        <f>IF(tblOrdenes[[#This Row],[tipo_ot]]="","",_xlfn.XLOOKUP(tblOrdenes[[#This Row],[tipo_ot]],tblTiposOT[codigo],tblTiposOT[clasificacion],"sin_clasificar"))</f>
        <v/>
      </c>
      <c r="U1120" s="3">
        <f>IF(tblOrdenes[[#This Row],[centro_costo]]="","",_xlfn.XLOOKUP(tblOrdenes[[#This Row],[centro_costo]],tblCECO[codigo],tblCECO[linea],"(sin catálogo)"))</f>
        <v/>
      </c>
      <c r="V1120" s="3">
        <f>IF(tblOrdenes[[#This Row],[centro_costo]]="","",_xlfn.XLOOKUP(tblOrdenes[[#This Row],[centro_costo]],tblCECO[codigo],tblCECO[area],"(sin catálogo)"))</f>
        <v/>
      </c>
      <c r="W1120" s="3">
        <f>IF(tblOrdenes[[#This Row],[centro_costo]]="","",_xlfn.XLOOKUP(tblOrdenes[[#This Row],[centro_costo]],tblCECO[codigo],tblCECO[coordinador],"(sin catálogo)"))</f>
        <v/>
      </c>
      <c r="X1120" s="3">
        <f>IF(tblOrdenes[[#This Row],[puesto_trabajo]]="","",_xlfn.XLOOKUP(tblOrdenes[[#This Row],[puesto_trabajo]],tblPuestos[codigo],tblPuestos[especialidad],"(sin catálogo)"))</f>
        <v/>
      </c>
      <c r="Y1120" s="3">
        <f>IF(tblOrdenes[[#This Row],[cod_actividad]]="","",_xlfn.XLOOKUP(tblOrdenes[[#This Row],[cod_actividad]],tblActividades[codigo],tblActividades[descripcion],"(sin catálogo)"))</f>
        <v/>
      </c>
      <c r="Z1120" s="12">
        <f>IF(tblOrdenes[[#This Row],[fecha_inicio]]="","",TODAY()-tblOrdenes[[#This Row],[fecha_inicio]])</f>
        <v/>
      </c>
      <c r="AA1120" s="3">
        <f>IF(tblOrdenes[[#This Row],[backlog_dias]]="","",IF(tblOrdenes[[#This Row],[backlog_dias]]&lt;0,"FUTURO",IF(tblOrdenes[[#This Row],[backlog_dias]]&gt;p_dias_backlog_max,"BACKLOG","MES CORRIENTE")))</f>
        <v/>
      </c>
      <c r="AB1120" s="3">
        <f>IF(tblOrdenes[[#This Row],[backlog_dias]]="",FALSE,AND(tblOrdenes[[#This Row],[backlog_dias]]&gt;p_dias_backlog_min,tblOrdenes[[#This Row],[backlog_dias]]&lt;=p_dias_backlog_max))</f>
        <v/>
      </c>
      <c r="AC1120" s="6" t="n"/>
      <c r="AD112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2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2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20" s="10">
        <f>IF(tblOrdenes[[#This Row],[orden]]="","",_xlfn.XLOOKUP(tblOrdenes[[#This Row],[id_operacion]],tblEjecucion[id_operacion],tblEjecucion[precio],0))</f>
        <v/>
      </c>
      <c r="AH1120" s="10">
        <f>IF(tblOrdenes[[#This Row],[orden]]="","",MAX(0,_xlfn.XLOOKUP(tblOrdenes[[#This Row],[id_operacion]],tblEjecucion[id_operacion],tblEjecucion[costo_plan_total],0)-tblOrdenes[[#This Row],[costo_servicio]]))</f>
        <v/>
      </c>
      <c r="AI1120" s="10">
        <f>IF(tblOrdenes[[#This Row],[orden]]="","",tblOrdenes[[#This Row],[costo_servicio]]+tblOrdenes[[#This Row],[costo_materiales]])</f>
        <v/>
      </c>
      <c r="AJ1120" s="6" t="n"/>
      <c r="AK1120" s="6" t="n"/>
      <c r="AL1120" s="6" t="n"/>
      <c r="AM1120" s="3">
        <f>IF(tblOrdenes[[#This Row],[link_checklist]]="","",HYPERLINK(p_ruta_base_checklists&amp;tblOrdenes[[#This Row],[link_checklist]],"abrir"))</f>
        <v/>
      </c>
      <c r="AN1120" s="6" t="n"/>
      <c r="AO1120" s="3">
        <f>IF(tblOrdenes[[#This Row],[orden]]="","",tblOrdenes[[#This Row],[orden]]&amp;IF(tblOrdenes[[#This Row],[operacion]]="","0010",tblOrdenes[[#This Row],[operacion]]))</f>
        <v/>
      </c>
    </row>
    <row r="1121">
      <c r="A1121" s="3" t="n"/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11" t="n"/>
      <c r="K1121" s="3" t="n"/>
      <c r="L1121" s="10" t="n"/>
      <c r="M1121" s="6" t="n"/>
      <c r="N112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2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2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21" s="3">
        <f>IF(tblOrdenes[[#This Row],[fecha_inicio]]="","",YEAR(tblOrdenes[[#This Row],[fecha_inicio]]))</f>
        <v/>
      </c>
      <c r="R1121" s="3">
        <f>IF(tblOrdenes[[#This Row],[fecha_inicio]]="","",MONTH(tblOrdenes[[#This Row],[fecha_inicio]]))</f>
        <v/>
      </c>
      <c r="S1121" s="3">
        <f>IF(tblOrdenes[[#This Row],[fecha_inicio]]="","",INDEX(lista_dias,WEEKDAY(tblOrdenes[[#This Row],[fecha_inicio]],2)))</f>
        <v/>
      </c>
      <c r="T1121" s="3">
        <f>IF(tblOrdenes[[#This Row],[tipo_ot]]="","",_xlfn.XLOOKUP(tblOrdenes[[#This Row],[tipo_ot]],tblTiposOT[codigo],tblTiposOT[clasificacion],"sin_clasificar"))</f>
        <v/>
      </c>
      <c r="U1121" s="3">
        <f>IF(tblOrdenes[[#This Row],[centro_costo]]="","",_xlfn.XLOOKUP(tblOrdenes[[#This Row],[centro_costo]],tblCECO[codigo],tblCECO[linea],"(sin catálogo)"))</f>
        <v/>
      </c>
      <c r="V1121" s="3">
        <f>IF(tblOrdenes[[#This Row],[centro_costo]]="","",_xlfn.XLOOKUP(tblOrdenes[[#This Row],[centro_costo]],tblCECO[codigo],tblCECO[area],"(sin catálogo)"))</f>
        <v/>
      </c>
      <c r="W1121" s="3">
        <f>IF(tblOrdenes[[#This Row],[centro_costo]]="","",_xlfn.XLOOKUP(tblOrdenes[[#This Row],[centro_costo]],tblCECO[codigo],tblCECO[coordinador],"(sin catálogo)"))</f>
        <v/>
      </c>
      <c r="X1121" s="3">
        <f>IF(tblOrdenes[[#This Row],[puesto_trabajo]]="","",_xlfn.XLOOKUP(tblOrdenes[[#This Row],[puesto_trabajo]],tblPuestos[codigo],tblPuestos[especialidad],"(sin catálogo)"))</f>
        <v/>
      </c>
      <c r="Y1121" s="3">
        <f>IF(tblOrdenes[[#This Row],[cod_actividad]]="","",_xlfn.XLOOKUP(tblOrdenes[[#This Row],[cod_actividad]],tblActividades[codigo],tblActividades[descripcion],"(sin catálogo)"))</f>
        <v/>
      </c>
      <c r="Z1121" s="12">
        <f>IF(tblOrdenes[[#This Row],[fecha_inicio]]="","",TODAY()-tblOrdenes[[#This Row],[fecha_inicio]])</f>
        <v/>
      </c>
      <c r="AA1121" s="3">
        <f>IF(tblOrdenes[[#This Row],[backlog_dias]]="","",IF(tblOrdenes[[#This Row],[backlog_dias]]&lt;0,"FUTURO",IF(tblOrdenes[[#This Row],[backlog_dias]]&gt;p_dias_backlog_max,"BACKLOG","MES CORRIENTE")))</f>
        <v/>
      </c>
      <c r="AB1121" s="3">
        <f>IF(tblOrdenes[[#This Row],[backlog_dias]]="",FALSE,AND(tblOrdenes[[#This Row],[backlog_dias]]&gt;p_dias_backlog_min,tblOrdenes[[#This Row],[backlog_dias]]&lt;=p_dias_backlog_max))</f>
        <v/>
      </c>
      <c r="AC1121" s="6" t="n"/>
      <c r="AD112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2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2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21" s="10">
        <f>IF(tblOrdenes[[#This Row],[orden]]="","",_xlfn.XLOOKUP(tblOrdenes[[#This Row],[id_operacion]],tblEjecucion[id_operacion],tblEjecucion[precio],0))</f>
        <v/>
      </c>
      <c r="AH1121" s="10">
        <f>IF(tblOrdenes[[#This Row],[orden]]="","",MAX(0,_xlfn.XLOOKUP(tblOrdenes[[#This Row],[id_operacion]],tblEjecucion[id_operacion],tblEjecucion[costo_plan_total],0)-tblOrdenes[[#This Row],[costo_servicio]]))</f>
        <v/>
      </c>
      <c r="AI1121" s="10">
        <f>IF(tblOrdenes[[#This Row],[orden]]="","",tblOrdenes[[#This Row],[costo_servicio]]+tblOrdenes[[#This Row],[costo_materiales]])</f>
        <v/>
      </c>
      <c r="AJ1121" s="6" t="n"/>
      <c r="AK1121" s="6" t="n"/>
      <c r="AL1121" s="6" t="n"/>
      <c r="AM1121" s="3">
        <f>IF(tblOrdenes[[#This Row],[link_checklist]]="","",HYPERLINK(p_ruta_base_checklists&amp;tblOrdenes[[#This Row],[link_checklist]],"abrir"))</f>
        <v/>
      </c>
      <c r="AN1121" s="6" t="n"/>
      <c r="AO1121" s="3">
        <f>IF(tblOrdenes[[#This Row],[orden]]="","",tblOrdenes[[#This Row],[orden]]&amp;IF(tblOrdenes[[#This Row],[operacion]]="","0010",tblOrdenes[[#This Row],[operacion]]))</f>
        <v/>
      </c>
    </row>
    <row r="1122">
      <c r="A1122" s="3" t="n"/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11" t="n"/>
      <c r="K1122" s="3" t="n"/>
      <c r="L1122" s="10" t="n"/>
      <c r="M1122" s="6" t="n"/>
      <c r="N112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2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2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22" s="3">
        <f>IF(tblOrdenes[[#This Row],[fecha_inicio]]="","",YEAR(tblOrdenes[[#This Row],[fecha_inicio]]))</f>
        <v/>
      </c>
      <c r="R1122" s="3">
        <f>IF(tblOrdenes[[#This Row],[fecha_inicio]]="","",MONTH(tblOrdenes[[#This Row],[fecha_inicio]]))</f>
        <v/>
      </c>
      <c r="S1122" s="3">
        <f>IF(tblOrdenes[[#This Row],[fecha_inicio]]="","",INDEX(lista_dias,WEEKDAY(tblOrdenes[[#This Row],[fecha_inicio]],2)))</f>
        <v/>
      </c>
      <c r="T1122" s="3">
        <f>IF(tblOrdenes[[#This Row],[tipo_ot]]="","",_xlfn.XLOOKUP(tblOrdenes[[#This Row],[tipo_ot]],tblTiposOT[codigo],tblTiposOT[clasificacion],"sin_clasificar"))</f>
        <v/>
      </c>
      <c r="U1122" s="3">
        <f>IF(tblOrdenes[[#This Row],[centro_costo]]="","",_xlfn.XLOOKUP(tblOrdenes[[#This Row],[centro_costo]],tblCECO[codigo],tblCECO[linea],"(sin catálogo)"))</f>
        <v/>
      </c>
      <c r="V1122" s="3">
        <f>IF(tblOrdenes[[#This Row],[centro_costo]]="","",_xlfn.XLOOKUP(tblOrdenes[[#This Row],[centro_costo]],tblCECO[codigo],tblCECO[area],"(sin catálogo)"))</f>
        <v/>
      </c>
      <c r="W1122" s="3">
        <f>IF(tblOrdenes[[#This Row],[centro_costo]]="","",_xlfn.XLOOKUP(tblOrdenes[[#This Row],[centro_costo]],tblCECO[codigo],tblCECO[coordinador],"(sin catálogo)"))</f>
        <v/>
      </c>
      <c r="X1122" s="3">
        <f>IF(tblOrdenes[[#This Row],[puesto_trabajo]]="","",_xlfn.XLOOKUP(tblOrdenes[[#This Row],[puesto_trabajo]],tblPuestos[codigo],tblPuestos[especialidad],"(sin catálogo)"))</f>
        <v/>
      </c>
      <c r="Y1122" s="3">
        <f>IF(tblOrdenes[[#This Row],[cod_actividad]]="","",_xlfn.XLOOKUP(tblOrdenes[[#This Row],[cod_actividad]],tblActividades[codigo],tblActividades[descripcion],"(sin catálogo)"))</f>
        <v/>
      </c>
      <c r="Z1122" s="12">
        <f>IF(tblOrdenes[[#This Row],[fecha_inicio]]="","",TODAY()-tblOrdenes[[#This Row],[fecha_inicio]])</f>
        <v/>
      </c>
      <c r="AA1122" s="3">
        <f>IF(tblOrdenes[[#This Row],[backlog_dias]]="","",IF(tblOrdenes[[#This Row],[backlog_dias]]&lt;0,"FUTURO",IF(tblOrdenes[[#This Row],[backlog_dias]]&gt;p_dias_backlog_max,"BACKLOG","MES CORRIENTE")))</f>
        <v/>
      </c>
      <c r="AB1122" s="3">
        <f>IF(tblOrdenes[[#This Row],[backlog_dias]]="",FALSE,AND(tblOrdenes[[#This Row],[backlog_dias]]&gt;p_dias_backlog_min,tblOrdenes[[#This Row],[backlog_dias]]&lt;=p_dias_backlog_max))</f>
        <v/>
      </c>
      <c r="AC1122" s="6" t="n"/>
      <c r="AD112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2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2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22" s="10">
        <f>IF(tblOrdenes[[#This Row],[orden]]="","",_xlfn.XLOOKUP(tblOrdenes[[#This Row],[id_operacion]],tblEjecucion[id_operacion],tblEjecucion[precio],0))</f>
        <v/>
      </c>
      <c r="AH1122" s="10">
        <f>IF(tblOrdenes[[#This Row],[orden]]="","",MAX(0,_xlfn.XLOOKUP(tblOrdenes[[#This Row],[id_operacion]],tblEjecucion[id_operacion],tblEjecucion[costo_plan_total],0)-tblOrdenes[[#This Row],[costo_servicio]]))</f>
        <v/>
      </c>
      <c r="AI1122" s="10">
        <f>IF(tblOrdenes[[#This Row],[orden]]="","",tblOrdenes[[#This Row],[costo_servicio]]+tblOrdenes[[#This Row],[costo_materiales]])</f>
        <v/>
      </c>
      <c r="AJ1122" s="6" t="n"/>
      <c r="AK1122" s="6" t="n"/>
      <c r="AL1122" s="6" t="n"/>
      <c r="AM1122" s="3">
        <f>IF(tblOrdenes[[#This Row],[link_checklist]]="","",HYPERLINK(p_ruta_base_checklists&amp;tblOrdenes[[#This Row],[link_checklist]],"abrir"))</f>
        <v/>
      </c>
      <c r="AN1122" s="6" t="n"/>
      <c r="AO1122" s="3">
        <f>IF(tblOrdenes[[#This Row],[orden]]="","",tblOrdenes[[#This Row],[orden]]&amp;IF(tblOrdenes[[#This Row],[operacion]]="","0010",tblOrdenes[[#This Row],[operacion]]))</f>
        <v/>
      </c>
    </row>
    <row r="1123">
      <c r="A1123" s="3" t="n"/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11" t="n"/>
      <c r="K1123" s="3" t="n"/>
      <c r="L1123" s="10" t="n"/>
      <c r="M1123" s="6" t="n"/>
      <c r="N112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2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2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23" s="3">
        <f>IF(tblOrdenes[[#This Row],[fecha_inicio]]="","",YEAR(tblOrdenes[[#This Row],[fecha_inicio]]))</f>
        <v/>
      </c>
      <c r="R1123" s="3">
        <f>IF(tblOrdenes[[#This Row],[fecha_inicio]]="","",MONTH(tblOrdenes[[#This Row],[fecha_inicio]]))</f>
        <v/>
      </c>
      <c r="S1123" s="3">
        <f>IF(tblOrdenes[[#This Row],[fecha_inicio]]="","",INDEX(lista_dias,WEEKDAY(tblOrdenes[[#This Row],[fecha_inicio]],2)))</f>
        <v/>
      </c>
      <c r="T1123" s="3">
        <f>IF(tblOrdenes[[#This Row],[tipo_ot]]="","",_xlfn.XLOOKUP(tblOrdenes[[#This Row],[tipo_ot]],tblTiposOT[codigo],tblTiposOT[clasificacion],"sin_clasificar"))</f>
        <v/>
      </c>
      <c r="U1123" s="3">
        <f>IF(tblOrdenes[[#This Row],[centro_costo]]="","",_xlfn.XLOOKUP(tblOrdenes[[#This Row],[centro_costo]],tblCECO[codigo],tblCECO[linea],"(sin catálogo)"))</f>
        <v/>
      </c>
      <c r="V1123" s="3">
        <f>IF(tblOrdenes[[#This Row],[centro_costo]]="","",_xlfn.XLOOKUP(tblOrdenes[[#This Row],[centro_costo]],tblCECO[codigo],tblCECO[area],"(sin catálogo)"))</f>
        <v/>
      </c>
      <c r="W1123" s="3">
        <f>IF(tblOrdenes[[#This Row],[centro_costo]]="","",_xlfn.XLOOKUP(tblOrdenes[[#This Row],[centro_costo]],tblCECO[codigo],tblCECO[coordinador],"(sin catálogo)"))</f>
        <v/>
      </c>
      <c r="X1123" s="3">
        <f>IF(tblOrdenes[[#This Row],[puesto_trabajo]]="","",_xlfn.XLOOKUP(tblOrdenes[[#This Row],[puesto_trabajo]],tblPuestos[codigo],tblPuestos[especialidad],"(sin catálogo)"))</f>
        <v/>
      </c>
      <c r="Y1123" s="3">
        <f>IF(tblOrdenes[[#This Row],[cod_actividad]]="","",_xlfn.XLOOKUP(tblOrdenes[[#This Row],[cod_actividad]],tblActividades[codigo],tblActividades[descripcion],"(sin catálogo)"))</f>
        <v/>
      </c>
      <c r="Z1123" s="12">
        <f>IF(tblOrdenes[[#This Row],[fecha_inicio]]="","",TODAY()-tblOrdenes[[#This Row],[fecha_inicio]])</f>
        <v/>
      </c>
      <c r="AA1123" s="3">
        <f>IF(tblOrdenes[[#This Row],[backlog_dias]]="","",IF(tblOrdenes[[#This Row],[backlog_dias]]&lt;0,"FUTURO",IF(tblOrdenes[[#This Row],[backlog_dias]]&gt;p_dias_backlog_max,"BACKLOG","MES CORRIENTE")))</f>
        <v/>
      </c>
      <c r="AB1123" s="3">
        <f>IF(tblOrdenes[[#This Row],[backlog_dias]]="",FALSE,AND(tblOrdenes[[#This Row],[backlog_dias]]&gt;p_dias_backlog_min,tblOrdenes[[#This Row],[backlog_dias]]&lt;=p_dias_backlog_max))</f>
        <v/>
      </c>
      <c r="AC1123" s="6" t="n"/>
      <c r="AD112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2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2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23" s="10">
        <f>IF(tblOrdenes[[#This Row],[orden]]="","",_xlfn.XLOOKUP(tblOrdenes[[#This Row],[id_operacion]],tblEjecucion[id_operacion],tblEjecucion[precio],0))</f>
        <v/>
      </c>
      <c r="AH1123" s="10">
        <f>IF(tblOrdenes[[#This Row],[orden]]="","",MAX(0,_xlfn.XLOOKUP(tblOrdenes[[#This Row],[id_operacion]],tblEjecucion[id_operacion],tblEjecucion[costo_plan_total],0)-tblOrdenes[[#This Row],[costo_servicio]]))</f>
        <v/>
      </c>
      <c r="AI1123" s="10">
        <f>IF(tblOrdenes[[#This Row],[orden]]="","",tblOrdenes[[#This Row],[costo_servicio]]+tblOrdenes[[#This Row],[costo_materiales]])</f>
        <v/>
      </c>
      <c r="AJ1123" s="6" t="n"/>
      <c r="AK1123" s="6" t="n"/>
      <c r="AL1123" s="6" t="n"/>
      <c r="AM1123" s="3">
        <f>IF(tblOrdenes[[#This Row],[link_checklist]]="","",HYPERLINK(p_ruta_base_checklists&amp;tblOrdenes[[#This Row],[link_checklist]],"abrir"))</f>
        <v/>
      </c>
      <c r="AN1123" s="6" t="n"/>
      <c r="AO1123" s="3">
        <f>IF(tblOrdenes[[#This Row],[orden]]="","",tblOrdenes[[#This Row],[orden]]&amp;IF(tblOrdenes[[#This Row],[operacion]]="","0010",tblOrdenes[[#This Row],[operacion]]))</f>
        <v/>
      </c>
    </row>
    <row r="1124">
      <c r="A1124" s="3" t="n"/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11" t="n"/>
      <c r="K1124" s="3" t="n"/>
      <c r="L1124" s="10" t="n"/>
      <c r="M1124" s="6" t="n"/>
      <c r="N112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2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2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24" s="3">
        <f>IF(tblOrdenes[[#This Row],[fecha_inicio]]="","",YEAR(tblOrdenes[[#This Row],[fecha_inicio]]))</f>
        <v/>
      </c>
      <c r="R1124" s="3">
        <f>IF(tblOrdenes[[#This Row],[fecha_inicio]]="","",MONTH(tblOrdenes[[#This Row],[fecha_inicio]]))</f>
        <v/>
      </c>
      <c r="S1124" s="3">
        <f>IF(tblOrdenes[[#This Row],[fecha_inicio]]="","",INDEX(lista_dias,WEEKDAY(tblOrdenes[[#This Row],[fecha_inicio]],2)))</f>
        <v/>
      </c>
      <c r="T1124" s="3">
        <f>IF(tblOrdenes[[#This Row],[tipo_ot]]="","",_xlfn.XLOOKUP(tblOrdenes[[#This Row],[tipo_ot]],tblTiposOT[codigo],tblTiposOT[clasificacion],"sin_clasificar"))</f>
        <v/>
      </c>
      <c r="U1124" s="3">
        <f>IF(tblOrdenes[[#This Row],[centro_costo]]="","",_xlfn.XLOOKUP(tblOrdenes[[#This Row],[centro_costo]],tblCECO[codigo],tblCECO[linea],"(sin catálogo)"))</f>
        <v/>
      </c>
      <c r="V1124" s="3">
        <f>IF(tblOrdenes[[#This Row],[centro_costo]]="","",_xlfn.XLOOKUP(tblOrdenes[[#This Row],[centro_costo]],tblCECO[codigo],tblCECO[area],"(sin catálogo)"))</f>
        <v/>
      </c>
      <c r="W1124" s="3">
        <f>IF(tblOrdenes[[#This Row],[centro_costo]]="","",_xlfn.XLOOKUP(tblOrdenes[[#This Row],[centro_costo]],tblCECO[codigo],tblCECO[coordinador],"(sin catálogo)"))</f>
        <v/>
      </c>
      <c r="X1124" s="3">
        <f>IF(tblOrdenes[[#This Row],[puesto_trabajo]]="","",_xlfn.XLOOKUP(tblOrdenes[[#This Row],[puesto_trabajo]],tblPuestos[codigo],tblPuestos[especialidad],"(sin catálogo)"))</f>
        <v/>
      </c>
      <c r="Y1124" s="3">
        <f>IF(tblOrdenes[[#This Row],[cod_actividad]]="","",_xlfn.XLOOKUP(tblOrdenes[[#This Row],[cod_actividad]],tblActividades[codigo],tblActividades[descripcion],"(sin catálogo)"))</f>
        <v/>
      </c>
      <c r="Z1124" s="12">
        <f>IF(tblOrdenes[[#This Row],[fecha_inicio]]="","",TODAY()-tblOrdenes[[#This Row],[fecha_inicio]])</f>
        <v/>
      </c>
      <c r="AA1124" s="3">
        <f>IF(tblOrdenes[[#This Row],[backlog_dias]]="","",IF(tblOrdenes[[#This Row],[backlog_dias]]&lt;0,"FUTURO",IF(tblOrdenes[[#This Row],[backlog_dias]]&gt;p_dias_backlog_max,"BACKLOG","MES CORRIENTE")))</f>
        <v/>
      </c>
      <c r="AB1124" s="3">
        <f>IF(tblOrdenes[[#This Row],[backlog_dias]]="",FALSE,AND(tblOrdenes[[#This Row],[backlog_dias]]&gt;p_dias_backlog_min,tblOrdenes[[#This Row],[backlog_dias]]&lt;=p_dias_backlog_max))</f>
        <v/>
      </c>
      <c r="AC1124" s="6" t="n"/>
      <c r="AD112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2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2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24" s="10">
        <f>IF(tblOrdenes[[#This Row],[orden]]="","",_xlfn.XLOOKUP(tblOrdenes[[#This Row],[id_operacion]],tblEjecucion[id_operacion],tblEjecucion[precio],0))</f>
        <v/>
      </c>
      <c r="AH1124" s="10">
        <f>IF(tblOrdenes[[#This Row],[orden]]="","",MAX(0,_xlfn.XLOOKUP(tblOrdenes[[#This Row],[id_operacion]],tblEjecucion[id_operacion],tblEjecucion[costo_plan_total],0)-tblOrdenes[[#This Row],[costo_servicio]]))</f>
        <v/>
      </c>
      <c r="AI1124" s="10">
        <f>IF(tblOrdenes[[#This Row],[orden]]="","",tblOrdenes[[#This Row],[costo_servicio]]+tblOrdenes[[#This Row],[costo_materiales]])</f>
        <v/>
      </c>
      <c r="AJ1124" s="6" t="n"/>
      <c r="AK1124" s="6" t="n"/>
      <c r="AL1124" s="6" t="n"/>
      <c r="AM1124" s="3">
        <f>IF(tblOrdenes[[#This Row],[link_checklist]]="","",HYPERLINK(p_ruta_base_checklists&amp;tblOrdenes[[#This Row],[link_checklist]],"abrir"))</f>
        <v/>
      </c>
      <c r="AN1124" s="6" t="n"/>
      <c r="AO1124" s="3">
        <f>IF(tblOrdenes[[#This Row],[orden]]="","",tblOrdenes[[#This Row],[orden]]&amp;IF(tblOrdenes[[#This Row],[operacion]]="","0010",tblOrdenes[[#This Row],[operacion]]))</f>
        <v/>
      </c>
    </row>
    <row r="1125">
      <c r="A1125" s="3" t="n"/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11" t="n"/>
      <c r="K1125" s="3" t="n"/>
      <c r="L1125" s="10" t="n"/>
      <c r="M1125" s="6" t="n"/>
      <c r="N112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2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2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25" s="3">
        <f>IF(tblOrdenes[[#This Row],[fecha_inicio]]="","",YEAR(tblOrdenes[[#This Row],[fecha_inicio]]))</f>
        <v/>
      </c>
      <c r="R1125" s="3">
        <f>IF(tblOrdenes[[#This Row],[fecha_inicio]]="","",MONTH(tblOrdenes[[#This Row],[fecha_inicio]]))</f>
        <v/>
      </c>
      <c r="S1125" s="3">
        <f>IF(tblOrdenes[[#This Row],[fecha_inicio]]="","",INDEX(lista_dias,WEEKDAY(tblOrdenes[[#This Row],[fecha_inicio]],2)))</f>
        <v/>
      </c>
      <c r="T1125" s="3">
        <f>IF(tblOrdenes[[#This Row],[tipo_ot]]="","",_xlfn.XLOOKUP(tblOrdenes[[#This Row],[tipo_ot]],tblTiposOT[codigo],tblTiposOT[clasificacion],"sin_clasificar"))</f>
        <v/>
      </c>
      <c r="U1125" s="3">
        <f>IF(tblOrdenes[[#This Row],[centro_costo]]="","",_xlfn.XLOOKUP(tblOrdenes[[#This Row],[centro_costo]],tblCECO[codigo],tblCECO[linea],"(sin catálogo)"))</f>
        <v/>
      </c>
      <c r="V1125" s="3">
        <f>IF(tblOrdenes[[#This Row],[centro_costo]]="","",_xlfn.XLOOKUP(tblOrdenes[[#This Row],[centro_costo]],tblCECO[codigo],tblCECO[area],"(sin catálogo)"))</f>
        <v/>
      </c>
      <c r="W1125" s="3">
        <f>IF(tblOrdenes[[#This Row],[centro_costo]]="","",_xlfn.XLOOKUP(tblOrdenes[[#This Row],[centro_costo]],tblCECO[codigo],tblCECO[coordinador],"(sin catálogo)"))</f>
        <v/>
      </c>
      <c r="X1125" s="3">
        <f>IF(tblOrdenes[[#This Row],[puesto_trabajo]]="","",_xlfn.XLOOKUP(tblOrdenes[[#This Row],[puesto_trabajo]],tblPuestos[codigo],tblPuestos[especialidad],"(sin catálogo)"))</f>
        <v/>
      </c>
      <c r="Y1125" s="3">
        <f>IF(tblOrdenes[[#This Row],[cod_actividad]]="","",_xlfn.XLOOKUP(tblOrdenes[[#This Row],[cod_actividad]],tblActividades[codigo],tblActividades[descripcion],"(sin catálogo)"))</f>
        <v/>
      </c>
      <c r="Z1125" s="12">
        <f>IF(tblOrdenes[[#This Row],[fecha_inicio]]="","",TODAY()-tblOrdenes[[#This Row],[fecha_inicio]])</f>
        <v/>
      </c>
      <c r="AA1125" s="3">
        <f>IF(tblOrdenes[[#This Row],[backlog_dias]]="","",IF(tblOrdenes[[#This Row],[backlog_dias]]&lt;0,"FUTURO",IF(tblOrdenes[[#This Row],[backlog_dias]]&gt;p_dias_backlog_max,"BACKLOG","MES CORRIENTE")))</f>
        <v/>
      </c>
      <c r="AB1125" s="3">
        <f>IF(tblOrdenes[[#This Row],[backlog_dias]]="",FALSE,AND(tblOrdenes[[#This Row],[backlog_dias]]&gt;p_dias_backlog_min,tblOrdenes[[#This Row],[backlog_dias]]&lt;=p_dias_backlog_max))</f>
        <v/>
      </c>
      <c r="AC1125" s="6" t="n"/>
      <c r="AD112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2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2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25" s="10">
        <f>IF(tblOrdenes[[#This Row],[orden]]="","",_xlfn.XLOOKUP(tblOrdenes[[#This Row],[id_operacion]],tblEjecucion[id_operacion],tblEjecucion[precio],0))</f>
        <v/>
      </c>
      <c r="AH1125" s="10">
        <f>IF(tblOrdenes[[#This Row],[orden]]="","",MAX(0,_xlfn.XLOOKUP(tblOrdenes[[#This Row],[id_operacion]],tblEjecucion[id_operacion],tblEjecucion[costo_plan_total],0)-tblOrdenes[[#This Row],[costo_servicio]]))</f>
        <v/>
      </c>
      <c r="AI1125" s="10">
        <f>IF(tblOrdenes[[#This Row],[orden]]="","",tblOrdenes[[#This Row],[costo_servicio]]+tblOrdenes[[#This Row],[costo_materiales]])</f>
        <v/>
      </c>
      <c r="AJ1125" s="6" t="n"/>
      <c r="AK1125" s="6" t="n"/>
      <c r="AL1125" s="6" t="n"/>
      <c r="AM1125" s="3">
        <f>IF(tblOrdenes[[#This Row],[link_checklist]]="","",HYPERLINK(p_ruta_base_checklists&amp;tblOrdenes[[#This Row],[link_checklist]],"abrir"))</f>
        <v/>
      </c>
      <c r="AN1125" s="6" t="n"/>
      <c r="AO1125" s="3">
        <f>IF(tblOrdenes[[#This Row],[orden]]="","",tblOrdenes[[#This Row],[orden]]&amp;IF(tblOrdenes[[#This Row],[operacion]]="","0010",tblOrdenes[[#This Row],[operacion]]))</f>
        <v/>
      </c>
    </row>
    <row r="1126">
      <c r="A1126" s="3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11" t="n"/>
      <c r="K1126" s="3" t="n"/>
      <c r="L1126" s="10" t="n"/>
      <c r="M1126" s="6" t="n"/>
      <c r="N112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2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2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26" s="3">
        <f>IF(tblOrdenes[[#This Row],[fecha_inicio]]="","",YEAR(tblOrdenes[[#This Row],[fecha_inicio]]))</f>
        <v/>
      </c>
      <c r="R1126" s="3">
        <f>IF(tblOrdenes[[#This Row],[fecha_inicio]]="","",MONTH(tblOrdenes[[#This Row],[fecha_inicio]]))</f>
        <v/>
      </c>
      <c r="S1126" s="3">
        <f>IF(tblOrdenes[[#This Row],[fecha_inicio]]="","",INDEX(lista_dias,WEEKDAY(tblOrdenes[[#This Row],[fecha_inicio]],2)))</f>
        <v/>
      </c>
      <c r="T1126" s="3">
        <f>IF(tblOrdenes[[#This Row],[tipo_ot]]="","",_xlfn.XLOOKUP(tblOrdenes[[#This Row],[tipo_ot]],tblTiposOT[codigo],tblTiposOT[clasificacion],"sin_clasificar"))</f>
        <v/>
      </c>
      <c r="U1126" s="3">
        <f>IF(tblOrdenes[[#This Row],[centro_costo]]="","",_xlfn.XLOOKUP(tblOrdenes[[#This Row],[centro_costo]],tblCECO[codigo],tblCECO[linea],"(sin catálogo)"))</f>
        <v/>
      </c>
      <c r="V1126" s="3">
        <f>IF(tblOrdenes[[#This Row],[centro_costo]]="","",_xlfn.XLOOKUP(tblOrdenes[[#This Row],[centro_costo]],tblCECO[codigo],tblCECO[area],"(sin catálogo)"))</f>
        <v/>
      </c>
      <c r="W1126" s="3">
        <f>IF(tblOrdenes[[#This Row],[centro_costo]]="","",_xlfn.XLOOKUP(tblOrdenes[[#This Row],[centro_costo]],tblCECO[codigo],tblCECO[coordinador],"(sin catálogo)"))</f>
        <v/>
      </c>
      <c r="X1126" s="3">
        <f>IF(tblOrdenes[[#This Row],[puesto_trabajo]]="","",_xlfn.XLOOKUP(tblOrdenes[[#This Row],[puesto_trabajo]],tblPuestos[codigo],tblPuestos[especialidad],"(sin catálogo)"))</f>
        <v/>
      </c>
      <c r="Y1126" s="3">
        <f>IF(tblOrdenes[[#This Row],[cod_actividad]]="","",_xlfn.XLOOKUP(tblOrdenes[[#This Row],[cod_actividad]],tblActividades[codigo],tblActividades[descripcion],"(sin catálogo)"))</f>
        <v/>
      </c>
      <c r="Z1126" s="12">
        <f>IF(tblOrdenes[[#This Row],[fecha_inicio]]="","",TODAY()-tblOrdenes[[#This Row],[fecha_inicio]])</f>
        <v/>
      </c>
      <c r="AA1126" s="3">
        <f>IF(tblOrdenes[[#This Row],[backlog_dias]]="","",IF(tblOrdenes[[#This Row],[backlog_dias]]&lt;0,"FUTURO",IF(tblOrdenes[[#This Row],[backlog_dias]]&gt;p_dias_backlog_max,"BACKLOG","MES CORRIENTE")))</f>
        <v/>
      </c>
      <c r="AB1126" s="3">
        <f>IF(tblOrdenes[[#This Row],[backlog_dias]]="",FALSE,AND(tblOrdenes[[#This Row],[backlog_dias]]&gt;p_dias_backlog_min,tblOrdenes[[#This Row],[backlog_dias]]&lt;=p_dias_backlog_max))</f>
        <v/>
      </c>
      <c r="AC1126" s="6" t="n"/>
      <c r="AD112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2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2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26" s="10">
        <f>IF(tblOrdenes[[#This Row],[orden]]="","",_xlfn.XLOOKUP(tblOrdenes[[#This Row],[id_operacion]],tblEjecucion[id_operacion],tblEjecucion[precio],0))</f>
        <v/>
      </c>
      <c r="AH1126" s="10">
        <f>IF(tblOrdenes[[#This Row],[orden]]="","",MAX(0,_xlfn.XLOOKUP(tblOrdenes[[#This Row],[id_operacion]],tblEjecucion[id_operacion],tblEjecucion[costo_plan_total],0)-tblOrdenes[[#This Row],[costo_servicio]]))</f>
        <v/>
      </c>
      <c r="AI1126" s="10">
        <f>IF(tblOrdenes[[#This Row],[orden]]="","",tblOrdenes[[#This Row],[costo_servicio]]+tblOrdenes[[#This Row],[costo_materiales]])</f>
        <v/>
      </c>
      <c r="AJ1126" s="6" t="n"/>
      <c r="AK1126" s="6" t="n"/>
      <c r="AL1126" s="6" t="n"/>
      <c r="AM1126" s="3">
        <f>IF(tblOrdenes[[#This Row],[link_checklist]]="","",HYPERLINK(p_ruta_base_checklists&amp;tblOrdenes[[#This Row],[link_checklist]],"abrir"))</f>
        <v/>
      </c>
      <c r="AN1126" s="6" t="n"/>
      <c r="AO1126" s="3">
        <f>IF(tblOrdenes[[#This Row],[orden]]="","",tblOrdenes[[#This Row],[orden]]&amp;IF(tblOrdenes[[#This Row],[operacion]]="","0010",tblOrdenes[[#This Row],[operacion]]))</f>
        <v/>
      </c>
    </row>
    <row r="1127">
      <c r="A1127" s="3" t="n"/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11" t="n"/>
      <c r="K1127" s="3" t="n"/>
      <c r="L1127" s="10" t="n"/>
      <c r="M1127" s="6" t="n"/>
      <c r="N112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2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2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27" s="3">
        <f>IF(tblOrdenes[[#This Row],[fecha_inicio]]="","",YEAR(tblOrdenes[[#This Row],[fecha_inicio]]))</f>
        <v/>
      </c>
      <c r="R1127" s="3">
        <f>IF(tblOrdenes[[#This Row],[fecha_inicio]]="","",MONTH(tblOrdenes[[#This Row],[fecha_inicio]]))</f>
        <v/>
      </c>
      <c r="S1127" s="3">
        <f>IF(tblOrdenes[[#This Row],[fecha_inicio]]="","",INDEX(lista_dias,WEEKDAY(tblOrdenes[[#This Row],[fecha_inicio]],2)))</f>
        <v/>
      </c>
      <c r="T1127" s="3">
        <f>IF(tblOrdenes[[#This Row],[tipo_ot]]="","",_xlfn.XLOOKUP(tblOrdenes[[#This Row],[tipo_ot]],tblTiposOT[codigo],tblTiposOT[clasificacion],"sin_clasificar"))</f>
        <v/>
      </c>
      <c r="U1127" s="3">
        <f>IF(tblOrdenes[[#This Row],[centro_costo]]="","",_xlfn.XLOOKUP(tblOrdenes[[#This Row],[centro_costo]],tblCECO[codigo],tblCECO[linea],"(sin catálogo)"))</f>
        <v/>
      </c>
      <c r="V1127" s="3">
        <f>IF(tblOrdenes[[#This Row],[centro_costo]]="","",_xlfn.XLOOKUP(tblOrdenes[[#This Row],[centro_costo]],tblCECO[codigo],tblCECO[area],"(sin catálogo)"))</f>
        <v/>
      </c>
      <c r="W1127" s="3">
        <f>IF(tblOrdenes[[#This Row],[centro_costo]]="","",_xlfn.XLOOKUP(tblOrdenes[[#This Row],[centro_costo]],tblCECO[codigo],tblCECO[coordinador],"(sin catálogo)"))</f>
        <v/>
      </c>
      <c r="X1127" s="3">
        <f>IF(tblOrdenes[[#This Row],[puesto_trabajo]]="","",_xlfn.XLOOKUP(tblOrdenes[[#This Row],[puesto_trabajo]],tblPuestos[codigo],tblPuestos[especialidad],"(sin catálogo)"))</f>
        <v/>
      </c>
      <c r="Y1127" s="3">
        <f>IF(tblOrdenes[[#This Row],[cod_actividad]]="","",_xlfn.XLOOKUP(tblOrdenes[[#This Row],[cod_actividad]],tblActividades[codigo],tblActividades[descripcion],"(sin catálogo)"))</f>
        <v/>
      </c>
      <c r="Z1127" s="12">
        <f>IF(tblOrdenes[[#This Row],[fecha_inicio]]="","",TODAY()-tblOrdenes[[#This Row],[fecha_inicio]])</f>
        <v/>
      </c>
      <c r="AA1127" s="3">
        <f>IF(tblOrdenes[[#This Row],[backlog_dias]]="","",IF(tblOrdenes[[#This Row],[backlog_dias]]&lt;0,"FUTURO",IF(tblOrdenes[[#This Row],[backlog_dias]]&gt;p_dias_backlog_max,"BACKLOG","MES CORRIENTE")))</f>
        <v/>
      </c>
      <c r="AB1127" s="3">
        <f>IF(tblOrdenes[[#This Row],[backlog_dias]]="",FALSE,AND(tblOrdenes[[#This Row],[backlog_dias]]&gt;p_dias_backlog_min,tblOrdenes[[#This Row],[backlog_dias]]&lt;=p_dias_backlog_max))</f>
        <v/>
      </c>
      <c r="AC1127" s="6" t="n"/>
      <c r="AD112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2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2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27" s="10">
        <f>IF(tblOrdenes[[#This Row],[orden]]="","",_xlfn.XLOOKUP(tblOrdenes[[#This Row],[id_operacion]],tblEjecucion[id_operacion],tblEjecucion[precio],0))</f>
        <v/>
      </c>
      <c r="AH1127" s="10">
        <f>IF(tblOrdenes[[#This Row],[orden]]="","",MAX(0,_xlfn.XLOOKUP(tblOrdenes[[#This Row],[id_operacion]],tblEjecucion[id_operacion],tblEjecucion[costo_plan_total],0)-tblOrdenes[[#This Row],[costo_servicio]]))</f>
        <v/>
      </c>
      <c r="AI1127" s="10">
        <f>IF(tblOrdenes[[#This Row],[orden]]="","",tblOrdenes[[#This Row],[costo_servicio]]+tblOrdenes[[#This Row],[costo_materiales]])</f>
        <v/>
      </c>
      <c r="AJ1127" s="6" t="n"/>
      <c r="AK1127" s="6" t="n"/>
      <c r="AL1127" s="6" t="n"/>
      <c r="AM1127" s="3">
        <f>IF(tblOrdenes[[#This Row],[link_checklist]]="","",HYPERLINK(p_ruta_base_checklists&amp;tblOrdenes[[#This Row],[link_checklist]],"abrir"))</f>
        <v/>
      </c>
      <c r="AN1127" s="6" t="n"/>
      <c r="AO1127" s="3">
        <f>IF(tblOrdenes[[#This Row],[orden]]="","",tblOrdenes[[#This Row],[orden]]&amp;IF(tblOrdenes[[#This Row],[operacion]]="","0010",tblOrdenes[[#This Row],[operacion]]))</f>
        <v/>
      </c>
    </row>
    <row r="1128">
      <c r="A1128" s="3" t="n"/>
      <c r="B1128" s="3" t="n"/>
      <c r="C1128" s="3" t="n"/>
      <c r="D1128" s="3" t="n"/>
      <c r="E1128" s="3" t="n"/>
      <c r="F1128" s="3" t="n"/>
      <c r="G1128" s="3" t="n"/>
      <c r="H1128" s="3" t="n"/>
      <c r="I1128" s="3" t="n"/>
      <c r="J1128" s="11" t="n"/>
      <c r="K1128" s="3" t="n"/>
      <c r="L1128" s="10" t="n"/>
      <c r="M1128" s="6" t="n"/>
      <c r="N112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2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2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28" s="3">
        <f>IF(tblOrdenes[[#This Row],[fecha_inicio]]="","",YEAR(tblOrdenes[[#This Row],[fecha_inicio]]))</f>
        <v/>
      </c>
      <c r="R1128" s="3">
        <f>IF(tblOrdenes[[#This Row],[fecha_inicio]]="","",MONTH(tblOrdenes[[#This Row],[fecha_inicio]]))</f>
        <v/>
      </c>
      <c r="S1128" s="3">
        <f>IF(tblOrdenes[[#This Row],[fecha_inicio]]="","",INDEX(lista_dias,WEEKDAY(tblOrdenes[[#This Row],[fecha_inicio]],2)))</f>
        <v/>
      </c>
      <c r="T1128" s="3">
        <f>IF(tblOrdenes[[#This Row],[tipo_ot]]="","",_xlfn.XLOOKUP(tblOrdenes[[#This Row],[tipo_ot]],tblTiposOT[codigo],tblTiposOT[clasificacion],"sin_clasificar"))</f>
        <v/>
      </c>
      <c r="U1128" s="3">
        <f>IF(tblOrdenes[[#This Row],[centro_costo]]="","",_xlfn.XLOOKUP(tblOrdenes[[#This Row],[centro_costo]],tblCECO[codigo],tblCECO[linea],"(sin catálogo)"))</f>
        <v/>
      </c>
      <c r="V1128" s="3">
        <f>IF(tblOrdenes[[#This Row],[centro_costo]]="","",_xlfn.XLOOKUP(tblOrdenes[[#This Row],[centro_costo]],tblCECO[codigo],tblCECO[area],"(sin catálogo)"))</f>
        <v/>
      </c>
      <c r="W1128" s="3">
        <f>IF(tblOrdenes[[#This Row],[centro_costo]]="","",_xlfn.XLOOKUP(tblOrdenes[[#This Row],[centro_costo]],tblCECO[codigo],tblCECO[coordinador],"(sin catálogo)"))</f>
        <v/>
      </c>
      <c r="X1128" s="3">
        <f>IF(tblOrdenes[[#This Row],[puesto_trabajo]]="","",_xlfn.XLOOKUP(tblOrdenes[[#This Row],[puesto_trabajo]],tblPuestos[codigo],tblPuestos[especialidad],"(sin catálogo)"))</f>
        <v/>
      </c>
      <c r="Y1128" s="3">
        <f>IF(tblOrdenes[[#This Row],[cod_actividad]]="","",_xlfn.XLOOKUP(tblOrdenes[[#This Row],[cod_actividad]],tblActividades[codigo],tblActividades[descripcion],"(sin catálogo)"))</f>
        <v/>
      </c>
      <c r="Z1128" s="12">
        <f>IF(tblOrdenes[[#This Row],[fecha_inicio]]="","",TODAY()-tblOrdenes[[#This Row],[fecha_inicio]])</f>
        <v/>
      </c>
      <c r="AA1128" s="3">
        <f>IF(tblOrdenes[[#This Row],[backlog_dias]]="","",IF(tblOrdenes[[#This Row],[backlog_dias]]&lt;0,"FUTURO",IF(tblOrdenes[[#This Row],[backlog_dias]]&gt;p_dias_backlog_max,"BACKLOG","MES CORRIENTE")))</f>
        <v/>
      </c>
      <c r="AB1128" s="3">
        <f>IF(tblOrdenes[[#This Row],[backlog_dias]]="",FALSE,AND(tblOrdenes[[#This Row],[backlog_dias]]&gt;p_dias_backlog_min,tblOrdenes[[#This Row],[backlog_dias]]&lt;=p_dias_backlog_max))</f>
        <v/>
      </c>
      <c r="AC1128" s="6" t="n"/>
      <c r="AD112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2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2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28" s="10">
        <f>IF(tblOrdenes[[#This Row],[orden]]="","",_xlfn.XLOOKUP(tblOrdenes[[#This Row],[id_operacion]],tblEjecucion[id_operacion],tblEjecucion[precio],0))</f>
        <v/>
      </c>
      <c r="AH1128" s="10">
        <f>IF(tblOrdenes[[#This Row],[orden]]="","",MAX(0,_xlfn.XLOOKUP(tblOrdenes[[#This Row],[id_operacion]],tblEjecucion[id_operacion],tblEjecucion[costo_plan_total],0)-tblOrdenes[[#This Row],[costo_servicio]]))</f>
        <v/>
      </c>
      <c r="AI1128" s="10">
        <f>IF(tblOrdenes[[#This Row],[orden]]="","",tblOrdenes[[#This Row],[costo_servicio]]+tblOrdenes[[#This Row],[costo_materiales]])</f>
        <v/>
      </c>
      <c r="AJ1128" s="6" t="n"/>
      <c r="AK1128" s="6" t="n"/>
      <c r="AL1128" s="6" t="n"/>
      <c r="AM1128" s="3">
        <f>IF(tblOrdenes[[#This Row],[link_checklist]]="","",HYPERLINK(p_ruta_base_checklists&amp;tblOrdenes[[#This Row],[link_checklist]],"abrir"))</f>
        <v/>
      </c>
      <c r="AN1128" s="6" t="n"/>
      <c r="AO1128" s="3">
        <f>IF(tblOrdenes[[#This Row],[orden]]="","",tblOrdenes[[#This Row],[orden]]&amp;IF(tblOrdenes[[#This Row],[operacion]]="","0010",tblOrdenes[[#This Row],[operacion]]))</f>
        <v/>
      </c>
    </row>
    <row r="1129">
      <c r="A1129" s="3" t="n"/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11" t="n"/>
      <c r="K1129" s="3" t="n"/>
      <c r="L1129" s="10" t="n"/>
      <c r="M1129" s="6" t="n"/>
      <c r="N112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2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2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29" s="3">
        <f>IF(tblOrdenes[[#This Row],[fecha_inicio]]="","",YEAR(tblOrdenes[[#This Row],[fecha_inicio]]))</f>
        <v/>
      </c>
      <c r="R1129" s="3">
        <f>IF(tblOrdenes[[#This Row],[fecha_inicio]]="","",MONTH(tblOrdenes[[#This Row],[fecha_inicio]]))</f>
        <v/>
      </c>
      <c r="S1129" s="3">
        <f>IF(tblOrdenes[[#This Row],[fecha_inicio]]="","",INDEX(lista_dias,WEEKDAY(tblOrdenes[[#This Row],[fecha_inicio]],2)))</f>
        <v/>
      </c>
      <c r="T1129" s="3">
        <f>IF(tblOrdenes[[#This Row],[tipo_ot]]="","",_xlfn.XLOOKUP(tblOrdenes[[#This Row],[tipo_ot]],tblTiposOT[codigo],tblTiposOT[clasificacion],"sin_clasificar"))</f>
        <v/>
      </c>
      <c r="U1129" s="3">
        <f>IF(tblOrdenes[[#This Row],[centro_costo]]="","",_xlfn.XLOOKUP(tblOrdenes[[#This Row],[centro_costo]],tblCECO[codigo],tblCECO[linea],"(sin catálogo)"))</f>
        <v/>
      </c>
      <c r="V1129" s="3">
        <f>IF(tblOrdenes[[#This Row],[centro_costo]]="","",_xlfn.XLOOKUP(tblOrdenes[[#This Row],[centro_costo]],tblCECO[codigo],tblCECO[area],"(sin catálogo)"))</f>
        <v/>
      </c>
      <c r="W1129" s="3">
        <f>IF(tblOrdenes[[#This Row],[centro_costo]]="","",_xlfn.XLOOKUP(tblOrdenes[[#This Row],[centro_costo]],tblCECO[codigo],tblCECO[coordinador],"(sin catálogo)"))</f>
        <v/>
      </c>
      <c r="X1129" s="3">
        <f>IF(tblOrdenes[[#This Row],[puesto_trabajo]]="","",_xlfn.XLOOKUP(tblOrdenes[[#This Row],[puesto_trabajo]],tblPuestos[codigo],tblPuestos[especialidad],"(sin catálogo)"))</f>
        <v/>
      </c>
      <c r="Y1129" s="3">
        <f>IF(tblOrdenes[[#This Row],[cod_actividad]]="","",_xlfn.XLOOKUP(tblOrdenes[[#This Row],[cod_actividad]],tblActividades[codigo],tblActividades[descripcion],"(sin catálogo)"))</f>
        <v/>
      </c>
      <c r="Z1129" s="12">
        <f>IF(tblOrdenes[[#This Row],[fecha_inicio]]="","",TODAY()-tblOrdenes[[#This Row],[fecha_inicio]])</f>
        <v/>
      </c>
      <c r="AA1129" s="3">
        <f>IF(tblOrdenes[[#This Row],[backlog_dias]]="","",IF(tblOrdenes[[#This Row],[backlog_dias]]&lt;0,"FUTURO",IF(tblOrdenes[[#This Row],[backlog_dias]]&gt;p_dias_backlog_max,"BACKLOG","MES CORRIENTE")))</f>
        <v/>
      </c>
      <c r="AB1129" s="3">
        <f>IF(tblOrdenes[[#This Row],[backlog_dias]]="",FALSE,AND(tblOrdenes[[#This Row],[backlog_dias]]&gt;p_dias_backlog_min,tblOrdenes[[#This Row],[backlog_dias]]&lt;=p_dias_backlog_max))</f>
        <v/>
      </c>
      <c r="AC1129" s="6" t="n"/>
      <c r="AD112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2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2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29" s="10">
        <f>IF(tblOrdenes[[#This Row],[orden]]="","",_xlfn.XLOOKUP(tblOrdenes[[#This Row],[id_operacion]],tblEjecucion[id_operacion],tblEjecucion[precio],0))</f>
        <v/>
      </c>
      <c r="AH1129" s="10">
        <f>IF(tblOrdenes[[#This Row],[orden]]="","",MAX(0,_xlfn.XLOOKUP(tblOrdenes[[#This Row],[id_operacion]],tblEjecucion[id_operacion],tblEjecucion[costo_plan_total],0)-tblOrdenes[[#This Row],[costo_servicio]]))</f>
        <v/>
      </c>
      <c r="AI1129" s="10">
        <f>IF(tblOrdenes[[#This Row],[orden]]="","",tblOrdenes[[#This Row],[costo_servicio]]+tblOrdenes[[#This Row],[costo_materiales]])</f>
        <v/>
      </c>
      <c r="AJ1129" s="6" t="n"/>
      <c r="AK1129" s="6" t="n"/>
      <c r="AL1129" s="6" t="n"/>
      <c r="AM1129" s="3">
        <f>IF(tblOrdenes[[#This Row],[link_checklist]]="","",HYPERLINK(p_ruta_base_checklists&amp;tblOrdenes[[#This Row],[link_checklist]],"abrir"))</f>
        <v/>
      </c>
      <c r="AN1129" s="6" t="n"/>
      <c r="AO1129" s="3">
        <f>IF(tblOrdenes[[#This Row],[orden]]="","",tblOrdenes[[#This Row],[orden]]&amp;IF(tblOrdenes[[#This Row],[operacion]]="","0010",tblOrdenes[[#This Row],[operacion]]))</f>
        <v/>
      </c>
    </row>
    <row r="1130">
      <c r="A1130" s="3" t="n"/>
      <c r="B1130" s="3" t="n"/>
      <c r="C1130" s="3" t="n"/>
      <c r="D1130" s="3" t="n"/>
      <c r="E1130" s="3" t="n"/>
      <c r="F1130" s="3" t="n"/>
      <c r="G1130" s="3" t="n"/>
      <c r="H1130" s="3" t="n"/>
      <c r="I1130" s="3" t="n"/>
      <c r="J1130" s="11" t="n"/>
      <c r="K1130" s="3" t="n"/>
      <c r="L1130" s="10" t="n"/>
      <c r="M1130" s="6" t="n"/>
      <c r="N113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3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3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30" s="3">
        <f>IF(tblOrdenes[[#This Row],[fecha_inicio]]="","",YEAR(tblOrdenes[[#This Row],[fecha_inicio]]))</f>
        <v/>
      </c>
      <c r="R1130" s="3">
        <f>IF(tblOrdenes[[#This Row],[fecha_inicio]]="","",MONTH(tblOrdenes[[#This Row],[fecha_inicio]]))</f>
        <v/>
      </c>
      <c r="S1130" s="3">
        <f>IF(tblOrdenes[[#This Row],[fecha_inicio]]="","",INDEX(lista_dias,WEEKDAY(tblOrdenes[[#This Row],[fecha_inicio]],2)))</f>
        <v/>
      </c>
      <c r="T1130" s="3">
        <f>IF(tblOrdenes[[#This Row],[tipo_ot]]="","",_xlfn.XLOOKUP(tblOrdenes[[#This Row],[tipo_ot]],tblTiposOT[codigo],tblTiposOT[clasificacion],"sin_clasificar"))</f>
        <v/>
      </c>
      <c r="U1130" s="3">
        <f>IF(tblOrdenes[[#This Row],[centro_costo]]="","",_xlfn.XLOOKUP(tblOrdenes[[#This Row],[centro_costo]],tblCECO[codigo],tblCECO[linea],"(sin catálogo)"))</f>
        <v/>
      </c>
      <c r="V1130" s="3">
        <f>IF(tblOrdenes[[#This Row],[centro_costo]]="","",_xlfn.XLOOKUP(tblOrdenes[[#This Row],[centro_costo]],tblCECO[codigo],tblCECO[area],"(sin catálogo)"))</f>
        <v/>
      </c>
      <c r="W1130" s="3">
        <f>IF(tblOrdenes[[#This Row],[centro_costo]]="","",_xlfn.XLOOKUP(tblOrdenes[[#This Row],[centro_costo]],tblCECO[codigo],tblCECO[coordinador],"(sin catálogo)"))</f>
        <v/>
      </c>
      <c r="X1130" s="3">
        <f>IF(tblOrdenes[[#This Row],[puesto_trabajo]]="","",_xlfn.XLOOKUP(tblOrdenes[[#This Row],[puesto_trabajo]],tblPuestos[codigo],tblPuestos[especialidad],"(sin catálogo)"))</f>
        <v/>
      </c>
      <c r="Y1130" s="3">
        <f>IF(tblOrdenes[[#This Row],[cod_actividad]]="","",_xlfn.XLOOKUP(tblOrdenes[[#This Row],[cod_actividad]],tblActividades[codigo],tblActividades[descripcion],"(sin catálogo)"))</f>
        <v/>
      </c>
      <c r="Z1130" s="12">
        <f>IF(tblOrdenes[[#This Row],[fecha_inicio]]="","",TODAY()-tblOrdenes[[#This Row],[fecha_inicio]])</f>
        <v/>
      </c>
      <c r="AA1130" s="3">
        <f>IF(tblOrdenes[[#This Row],[backlog_dias]]="","",IF(tblOrdenes[[#This Row],[backlog_dias]]&lt;0,"FUTURO",IF(tblOrdenes[[#This Row],[backlog_dias]]&gt;p_dias_backlog_max,"BACKLOG","MES CORRIENTE")))</f>
        <v/>
      </c>
      <c r="AB1130" s="3">
        <f>IF(tblOrdenes[[#This Row],[backlog_dias]]="",FALSE,AND(tblOrdenes[[#This Row],[backlog_dias]]&gt;p_dias_backlog_min,tblOrdenes[[#This Row],[backlog_dias]]&lt;=p_dias_backlog_max))</f>
        <v/>
      </c>
      <c r="AC1130" s="6" t="n"/>
      <c r="AD113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3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3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30" s="10">
        <f>IF(tblOrdenes[[#This Row],[orden]]="","",_xlfn.XLOOKUP(tblOrdenes[[#This Row],[id_operacion]],tblEjecucion[id_operacion],tblEjecucion[precio],0))</f>
        <v/>
      </c>
      <c r="AH1130" s="10">
        <f>IF(tblOrdenes[[#This Row],[orden]]="","",MAX(0,_xlfn.XLOOKUP(tblOrdenes[[#This Row],[id_operacion]],tblEjecucion[id_operacion],tblEjecucion[costo_plan_total],0)-tblOrdenes[[#This Row],[costo_servicio]]))</f>
        <v/>
      </c>
      <c r="AI1130" s="10">
        <f>IF(tblOrdenes[[#This Row],[orden]]="","",tblOrdenes[[#This Row],[costo_servicio]]+tblOrdenes[[#This Row],[costo_materiales]])</f>
        <v/>
      </c>
      <c r="AJ1130" s="6" t="n"/>
      <c r="AK1130" s="6" t="n"/>
      <c r="AL1130" s="6" t="n"/>
      <c r="AM1130" s="3">
        <f>IF(tblOrdenes[[#This Row],[link_checklist]]="","",HYPERLINK(p_ruta_base_checklists&amp;tblOrdenes[[#This Row],[link_checklist]],"abrir"))</f>
        <v/>
      </c>
      <c r="AN1130" s="6" t="n"/>
      <c r="AO1130" s="3">
        <f>IF(tblOrdenes[[#This Row],[orden]]="","",tblOrdenes[[#This Row],[orden]]&amp;IF(tblOrdenes[[#This Row],[operacion]]="","0010",tblOrdenes[[#This Row],[operacion]]))</f>
        <v/>
      </c>
    </row>
    <row r="1131">
      <c r="A1131" s="3" t="n"/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11" t="n"/>
      <c r="K1131" s="3" t="n"/>
      <c r="L1131" s="10" t="n"/>
      <c r="M1131" s="6" t="n"/>
      <c r="N113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3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3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31" s="3">
        <f>IF(tblOrdenes[[#This Row],[fecha_inicio]]="","",YEAR(tblOrdenes[[#This Row],[fecha_inicio]]))</f>
        <v/>
      </c>
      <c r="R1131" s="3">
        <f>IF(tblOrdenes[[#This Row],[fecha_inicio]]="","",MONTH(tblOrdenes[[#This Row],[fecha_inicio]]))</f>
        <v/>
      </c>
      <c r="S1131" s="3">
        <f>IF(tblOrdenes[[#This Row],[fecha_inicio]]="","",INDEX(lista_dias,WEEKDAY(tblOrdenes[[#This Row],[fecha_inicio]],2)))</f>
        <v/>
      </c>
      <c r="T1131" s="3">
        <f>IF(tblOrdenes[[#This Row],[tipo_ot]]="","",_xlfn.XLOOKUP(tblOrdenes[[#This Row],[tipo_ot]],tblTiposOT[codigo],tblTiposOT[clasificacion],"sin_clasificar"))</f>
        <v/>
      </c>
      <c r="U1131" s="3">
        <f>IF(tblOrdenes[[#This Row],[centro_costo]]="","",_xlfn.XLOOKUP(tblOrdenes[[#This Row],[centro_costo]],tblCECO[codigo],tblCECO[linea],"(sin catálogo)"))</f>
        <v/>
      </c>
      <c r="V1131" s="3">
        <f>IF(tblOrdenes[[#This Row],[centro_costo]]="","",_xlfn.XLOOKUP(tblOrdenes[[#This Row],[centro_costo]],tblCECO[codigo],tblCECO[area],"(sin catálogo)"))</f>
        <v/>
      </c>
      <c r="W1131" s="3">
        <f>IF(tblOrdenes[[#This Row],[centro_costo]]="","",_xlfn.XLOOKUP(tblOrdenes[[#This Row],[centro_costo]],tblCECO[codigo],tblCECO[coordinador],"(sin catálogo)"))</f>
        <v/>
      </c>
      <c r="X1131" s="3">
        <f>IF(tblOrdenes[[#This Row],[puesto_trabajo]]="","",_xlfn.XLOOKUP(tblOrdenes[[#This Row],[puesto_trabajo]],tblPuestos[codigo],tblPuestos[especialidad],"(sin catálogo)"))</f>
        <v/>
      </c>
      <c r="Y1131" s="3">
        <f>IF(tblOrdenes[[#This Row],[cod_actividad]]="","",_xlfn.XLOOKUP(tblOrdenes[[#This Row],[cod_actividad]],tblActividades[codigo],tblActividades[descripcion],"(sin catálogo)"))</f>
        <v/>
      </c>
      <c r="Z1131" s="12">
        <f>IF(tblOrdenes[[#This Row],[fecha_inicio]]="","",TODAY()-tblOrdenes[[#This Row],[fecha_inicio]])</f>
        <v/>
      </c>
      <c r="AA1131" s="3">
        <f>IF(tblOrdenes[[#This Row],[backlog_dias]]="","",IF(tblOrdenes[[#This Row],[backlog_dias]]&lt;0,"FUTURO",IF(tblOrdenes[[#This Row],[backlog_dias]]&gt;p_dias_backlog_max,"BACKLOG","MES CORRIENTE")))</f>
        <v/>
      </c>
      <c r="AB1131" s="3">
        <f>IF(tblOrdenes[[#This Row],[backlog_dias]]="",FALSE,AND(tblOrdenes[[#This Row],[backlog_dias]]&gt;p_dias_backlog_min,tblOrdenes[[#This Row],[backlog_dias]]&lt;=p_dias_backlog_max))</f>
        <v/>
      </c>
      <c r="AC1131" s="6" t="n"/>
      <c r="AD113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3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3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31" s="10">
        <f>IF(tblOrdenes[[#This Row],[orden]]="","",_xlfn.XLOOKUP(tblOrdenes[[#This Row],[id_operacion]],tblEjecucion[id_operacion],tblEjecucion[precio],0))</f>
        <v/>
      </c>
      <c r="AH1131" s="10">
        <f>IF(tblOrdenes[[#This Row],[orden]]="","",MAX(0,_xlfn.XLOOKUP(tblOrdenes[[#This Row],[id_operacion]],tblEjecucion[id_operacion],tblEjecucion[costo_plan_total],0)-tblOrdenes[[#This Row],[costo_servicio]]))</f>
        <v/>
      </c>
      <c r="AI1131" s="10">
        <f>IF(tblOrdenes[[#This Row],[orden]]="","",tblOrdenes[[#This Row],[costo_servicio]]+tblOrdenes[[#This Row],[costo_materiales]])</f>
        <v/>
      </c>
      <c r="AJ1131" s="6" t="n"/>
      <c r="AK1131" s="6" t="n"/>
      <c r="AL1131" s="6" t="n"/>
      <c r="AM1131" s="3">
        <f>IF(tblOrdenes[[#This Row],[link_checklist]]="","",HYPERLINK(p_ruta_base_checklists&amp;tblOrdenes[[#This Row],[link_checklist]],"abrir"))</f>
        <v/>
      </c>
      <c r="AN1131" s="6" t="n"/>
      <c r="AO1131" s="3">
        <f>IF(tblOrdenes[[#This Row],[orden]]="","",tblOrdenes[[#This Row],[orden]]&amp;IF(tblOrdenes[[#This Row],[operacion]]="","0010",tblOrdenes[[#This Row],[operacion]]))</f>
        <v/>
      </c>
    </row>
    <row r="1132">
      <c r="A1132" s="3" t="n"/>
      <c r="B1132" s="3" t="n"/>
      <c r="C1132" s="3" t="n"/>
      <c r="D1132" s="3" t="n"/>
      <c r="E1132" s="3" t="n"/>
      <c r="F1132" s="3" t="n"/>
      <c r="G1132" s="3" t="n"/>
      <c r="H1132" s="3" t="n"/>
      <c r="I1132" s="3" t="n"/>
      <c r="J1132" s="11" t="n"/>
      <c r="K1132" s="3" t="n"/>
      <c r="L1132" s="10" t="n"/>
      <c r="M1132" s="6" t="n"/>
      <c r="N113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3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3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32" s="3">
        <f>IF(tblOrdenes[[#This Row],[fecha_inicio]]="","",YEAR(tblOrdenes[[#This Row],[fecha_inicio]]))</f>
        <v/>
      </c>
      <c r="R1132" s="3">
        <f>IF(tblOrdenes[[#This Row],[fecha_inicio]]="","",MONTH(tblOrdenes[[#This Row],[fecha_inicio]]))</f>
        <v/>
      </c>
      <c r="S1132" s="3">
        <f>IF(tblOrdenes[[#This Row],[fecha_inicio]]="","",INDEX(lista_dias,WEEKDAY(tblOrdenes[[#This Row],[fecha_inicio]],2)))</f>
        <v/>
      </c>
      <c r="T1132" s="3">
        <f>IF(tblOrdenes[[#This Row],[tipo_ot]]="","",_xlfn.XLOOKUP(tblOrdenes[[#This Row],[tipo_ot]],tblTiposOT[codigo],tblTiposOT[clasificacion],"sin_clasificar"))</f>
        <v/>
      </c>
      <c r="U1132" s="3">
        <f>IF(tblOrdenes[[#This Row],[centro_costo]]="","",_xlfn.XLOOKUP(tblOrdenes[[#This Row],[centro_costo]],tblCECO[codigo],tblCECO[linea],"(sin catálogo)"))</f>
        <v/>
      </c>
      <c r="V1132" s="3">
        <f>IF(tblOrdenes[[#This Row],[centro_costo]]="","",_xlfn.XLOOKUP(tblOrdenes[[#This Row],[centro_costo]],tblCECO[codigo],tblCECO[area],"(sin catálogo)"))</f>
        <v/>
      </c>
      <c r="W1132" s="3">
        <f>IF(tblOrdenes[[#This Row],[centro_costo]]="","",_xlfn.XLOOKUP(tblOrdenes[[#This Row],[centro_costo]],tblCECO[codigo],tblCECO[coordinador],"(sin catálogo)"))</f>
        <v/>
      </c>
      <c r="X1132" s="3">
        <f>IF(tblOrdenes[[#This Row],[puesto_trabajo]]="","",_xlfn.XLOOKUP(tblOrdenes[[#This Row],[puesto_trabajo]],tblPuestos[codigo],tblPuestos[especialidad],"(sin catálogo)"))</f>
        <v/>
      </c>
      <c r="Y1132" s="3">
        <f>IF(tblOrdenes[[#This Row],[cod_actividad]]="","",_xlfn.XLOOKUP(tblOrdenes[[#This Row],[cod_actividad]],tblActividades[codigo],tblActividades[descripcion],"(sin catálogo)"))</f>
        <v/>
      </c>
      <c r="Z1132" s="12">
        <f>IF(tblOrdenes[[#This Row],[fecha_inicio]]="","",TODAY()-tblOrdenes[[#This Row],[fecha_inicio]])</f>
        <v/>
      </c>
      <c r="AA1132" s="3">
        <f>IF(tblOrdenes[[#This Row],[backlog_dias]]="","",IF(tblOrdenes[[#This Row],[backlog_dias]]&lt;0,"FUTURO",IF(tblOrdenes[[#This Row],[backlog_dias]]&gt;p_dias_backlog_max,"BACKLOG","MES CORRIENTE")))</f>
        <v/>
      </c>
      <c r="AB1132" s="3">
        <f>IF(tblOrdenes[[#This Row],[backlog_dias]]="",FALSE,AND(tblOrdenes[[#This Row],[backlog_dias]]&gt;p_dias_backlog_min,tblOrdenes[[#This Row],[backlog_dias]]&lt;=p_dias_backlog_max))</f>
        <v/>
      </c>
      <c r="AC1132" s="6" t="n"/>
      <c r="AD113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3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3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32" s="10">
        <f>IF(tblOrdenes[[#This Row],[orden]]="","",_xlfn.XLOOKUP(tblOrdenes[[#This Row],[id_operacion]],tblEjecucion[id_operacion],tblEjecucion[precio],0))</f>
        <v/>
      </c>
      <c r="AH1132" s="10">
        <f>IF(tblOrdenes[[#This Row],[orden]]="","",MAX(0,_xlfn.XLOOKUP(tblOrdenes[[#This Row],[id_operacion]],tblEjecucion[id_operacion],tblEjecucion[costo_plan_total],0)-tblOrdenes[[#This Row],[costo_servicio]]))</f>
        <v/>
      </c>
      <c r="AI1132" s="10">
        <f>IF(tblOrdenes[[#This Row],[orden]]="","",tblOrdenes[[#This Row],[costo_servicio]]+tblOrdenes[[#This Row],[costo_materiales]])</f>
        <v/>
      </c>
      <c r="AJ1132" s="6" t="n"/>
      <c r="AK1132" s="6" t="n"/>
      <c r="AL1132" s="6" t="n"/>
      <c r="AM1132" s="3">
        <f>IF(tblOrdenes[[#This Row],[link_checklist]]="","",HYPERLINK(p_ruta_base_checklists&amp;tblOrdenes[[#This Row],[link_checklist]],"abrir"))</f>
        <v/>
      </c>
      <c r="AN1132" s="6" t="n"/>
      <c r="AO1132" s="3">
        <f>IF(tblOrdenes[[#This Row],[orden]]="","",tblOrdenes[[#This Row],[orden]]&amp;IF(tblOrdenes[[#This Row],[operacion]]="","0010",tblOrdenes[[#This Row],[operacion]]))</f>
        <v/>
      </c>
    </row>
    <row r="1133">
      <c r="A1133" s="3" t="n"/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11" t="n"/>
      <c r="K1133" s="3" t="n"/>
      <c r="L1133" s="10" t="n"/>
      <c r="M1133" s="6" t="n"/>
      <c r="N113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3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3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33" s="3">
        <f>IF(tblOrdenes[[#This Row],[fecha_inicio]]="","",YEAR(tblOrdenes[[#This Row],[fecha_inicio]]))</f>
        <v/>
      </c>
      <c r="R1133" s="3">
        <f>IF(tblOrdenes[[#This Row],[fecha_inicio]]="","",MONTH(tblOrdenes[[#This Row],[fecha_inicio]]))</f>
        <v/>
      </c>
      <c r="S1133" s="3">
        <f>IF(tblOrdenes[[#This Row],[fecha_inicio]]="","",INDEX(lista_dias,WEEKDAY(tblOrdenes[[#This Row],[fecha_inicio]],2)))</f>
        <v/>
      </c>
      <c r="T1133" s="3">
        <f>IF(tblOrdenes[[#This Row],[tipo_ot]]="","",_xlfn.XLOOKUP(tblOrdenes[[#This Row],[tipo_ot]],tblTiposOT[codigo],tblTiposOT[clasificacion],"sin_clasificar"))</f>
        <v/>
      </c>
      <c r="U1133" s="3">
        <f>IF(tblOrdenes[[#This Row],[centro_costo]]="","",_xlfn.XLOOKUP(tblOrdenes[[#This Row],[centro_costo]],tblCECO[codigo],tblCECO[linea],"(sin catálogo)"))</f>
        <v/>
      </c>
      <c r="V1133" s="3">
        <f>IF(tblOrdenes[[#This Row],[centro_costo]]="","",_xlfn.XLOOKUP(tblOrdenes[[#This Row],[centro_costo]],tblCECO[codigo],tblCECO[area],"(sin catálogo)"))</f>
        <v/>
      </c>
      <c r="W1133" s="3">
        <f>IF(tblOrdenes[[#This Row],[centro_costo]]="","",_xlfn.XLOOKUP(tblOrdenes[[#This Row],[centro_costo]],tblCECO[codigo],tblCECO[coordinador],"(sin catálogo)"))</f>
        <v/>
      </c>
      <c r="X1133" s="3">
        <f>IF(tblOrdenes[[#This Row],[puesto_trabajo]]="","",_xlfn.XLOOKUP(tblOrdenes[[#This Row],[puesto_trabajo]],tblPuestos[codigo],tblPuestos[especialidad],"(sin catálogo)"))</f>
        <v/>
      </c>
      <c r="Y1133" s="3">
        <f>IF(tblOrdenes[[#This Row],[cod_actividad]]="","",_xlfn.XLOOKUP(tblOrdenes[[#This Row],[cod_actividad]],tblActividades[codigo],tblActividades[descripcion],"(sin catálogo)"))</f>
        <v/>
      </c>
      <c r="Z1133" s="12">
        <f>IF(tblOrdenes[[#This Row],[fecha_inicio]]="","",TODAY()-tblOrdenes[[#This Row],[fecha_inicio]])</f>
        <v/>
      </c>
      <c r="AA1133" s="3">
        <f>IF(tblOrdenes[[#This Row],[backlog_dias]]="","",IF(tblOrdenes[[#This Row],[backlog_dias]]&lt;0,"FUTURO",IF(tblOrdenes[[#This Row],[backlog_dias]]&gt;p_dias_backlog_max,"BACKLOG","MES CORRIENTE")))</f>
        <v/>
      </c>
      <c r="AB1133" s="3">
        <f>IF(tblOrdenes[[#This Row],[backlog_dias]]="",FALSE,AND(tblOrdenes[[#This Row],[backlog_dias]]&gt;p_dias_backlog_min,tblOrdenes[[#This Row],[backlog_dias]]&lt;=p_dias_backlog_max))</f>
        <v/>
      </c>
      <c r="AC1133" s="6" t="n"/>
      <c r="AD113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3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3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33" s="10">
        <f>IF(tblOrdenes[[#This Row],[orden]]="","",_xlfn.XLOOKUP(tblOrdenes[[#This Row],[id_operacion]],tblEjecucion[id_operacion],tblEjecucion[precio],0))</f>
        <v/>
      </c>
      <c r="AH1133" s="10">
        <f>IF(tblOrdenes[[#This Row],[orden]]="","",MAX(0,_xlfn.XLOOKUP(tblOrdenes[[#This Row],[id_operacion]],tblEjecucion[id_operacion],tblEjecucion[costo_plan_total],0)-tblOrdenes[[#This Row],[costo_servicio]]))</f>
        <v/>
      </c>
      <c r="AI1133" s="10">
        <f>IF(tblOrdenes[[#This Row],[orden]]="","",tblOrdenes[[#This Row],[costo_servicio]]+tblOrdenes[[#This Row],[costo_materiales]])</f>
        <v/>
      </c>
      <c r="AJ1133" s="6" t="n"/>
      <c r="AK1133" s="6" t="n"/>
      <c r="AL1133" s="6" t="n"/>
      <c r="AM1133" s="3">
        <f>IF(tblOrdenes[[#This Row],[link_checklist]]="","",HYPERLINK(p_ruta_base_checklists&amp;tblOrdenes[[#This Row],[link_checklist]],"abrir"))</f>
        <v/>
      </c>
      <c r="AN1133" s="6" t="n"/>
      <c r="AO1133" s="3">
        <f>IF(tblOrdenes[[#This Row],[orden]]="","",tblOrdenes[[#This Row],[orden]]&amp;IF(tblOrdenes[[#This Row],[operacion]]="","0010",tblOrdenes[[#This Row],[operacion]]))</f>
        <v/>
      </c>
    </row>
    <row r="1134">
      <c r="A1134" s="3" t="n"/>
      <c r="B1134" s="3" t="n"/>
      <c r="C1134" s="3" t="n"/>
      <c r="D1134" s="3" t="n"/>
      <c r="E1134" s="3" t="n"/>
      <c r="F1134" s="3" t="n"/>
      <c r="G1134" s="3" t="n"/>
      <c r="H1134" s="3" t="n"/>
      <c r="I1134" s="3" t="n"/>
      <c r="J1134" s="11" t="n"/>
      <c r="K1134" s="3" t="n"/>
      <c r="L1134" s="10" t="n"/>
      <c r="M1134" s="6" t="n"/>
      <c r="N113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3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3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34" s="3">
        <f>IF(tblOrdenes[[#This Row],[fecha_inicio]]="","",YEAR(tblOrdenes[[#This Row],[fecha_inicio]]))</f>
        <v/>
      </c>
      <c r="R1134" s="3">
        <f>IF(tblOrdenes[[#This Row],[fecha_inicio]]="","",MONTH(tblOrdenes[[#This Row],[fecha_inicio]]))</f>
        <v/>
      </c>
      <c r="S1134" s="3">
        <f>IF(tblOrdenes[[#This Row],[fecha_inicio]]="","",INDEX(lista_dias,WEEKDAY(tblOrdenes[[#This Row],[fecha_inicio]],2)))</f>
        <v/>
      </c>
      <c r="T1134" s="3">
        <f>IF(tblOrdenes[[#This Row],[tipo_ot]]="","",_xlfn.XLOOKUP(tblOrdenes[[#This Row],[tipo_ot]],tblTiposOT[codigo],tblTiposOT[clasificacion],"sin_clasificar"))</f>
        <v/>
      </c>
      <c r="U1134" s="3">
        <f>IF(tblOrdenes[[#This Row],[centro_costo]]="","",_xlfn.XLOOKUP(tblOrdenes[[#This Row],[centro_costo]],tblCECO[codigo],tblCECO[linea],"(sin catálogo)"))</f>
        <v/>
      </c>
      <c r="V1134" s="3">
        <f>IF(tblOrdenes[[#This Row],[centro_costo]]="","",_xlfn.XLOOKUP(tblOrdenes[[#This Row],[centro_costo]],tblCECO[codigo],tblCECO[area],"(sin catálogo)"))</f>
        <v/>
      </c>
      <c r="W1134" s="3">
        <f>IF(tblOrdenes[[#This Row],[centro_costo]]="","",_xlfn.XLOOKUP(tblOrdenes[[#This Row],[centro_costo]],tblCECO[codigo],tblCECO[coordinador],"(sin catálogo)"))</f>
        <v/>
      </c>
      <c r="X1134" s="3">
        <f>IF(tblOrdenes[[#This Row],[puesto_trabajo]]="","",_xlfn.XLOOKUP(tblOrdenes[[#This Row],[puesto_trabajo]],tblPuestos[codigo],tblPuestos[especialidad],"(sin catálogo)"))</f>
        <v/>
      </c>
      <c r="Y1134" s="3">
        <f>IF(tblOrdenes[[#This Row],[cod_actividad]]="","",_xlfn.XLOOKUP(tblOrdenes[[#This Row],[cod_actividad]],tblActividades[codigo],tblActividades[descripcion],"(sin catálogo)"))</f>
        <v/>
      </c>
      <c r="Z1134" s="12">
        <f>IF(tblOrdenes[[#This Row],[fecha_inicio]]="","",TODAY()-tblOrdenes[[#This Row],[fecha_inicio]])</f>
        <v/>
      </c>
      <c r="AA1134" s="3">
        <f>IF(tblOrdenes[[#This Row],[backlog_dias]]="","",IF(tblOrdenes[[#This Row],[backlog_dias]]&lt;0,"FUTURO",IF(tblOrdenes[[#This Row],[backlog_dias]]&gt;p_dias_backlog_max,"BACKLOG","MES CORRIENTE")))</f>
        <v/>
      </c>
      <c r="AB1134" s="3">
        <f>IF(tblOrdenes[[#This Row],[backlog_dias]]="",FALSE,AND(tblOrdenes[[#This Row],[backlog_dias]]&gt;p_dias_backlog_min,tblOrdenes[[#This Row],[backlog_dias]]&lt;=p_dias_backlog_max))</f>
        <v/>
      </c>
      <c r="AC1134" s="6" t="n"/>
      <c r="AD113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3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3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34" s="10">
        <f>IF(tblOrdenes[[#This Row],[orden]]="","",_xlfn.XLOOKUP(tblOrdenes[[#This Row],[id_operacion]],tblEjecucion[id_operacion],tblEjecucion[precio],0))</f>
        <v/>
      </c>
      <c r="AH1134" s="10">
        <f>IF(tblOrdenes[[#This Row],[orden]]="","",MAX(0,_xlfn.XLOOKUP(tblOrdenes[[#This Row],[id_operacion]],tblEjecucion[id_operacion],tblEjecucion[costo_plan_total],0)-tblOrdenes[[#This Row],[costo_servicio]]))</f>
        <v/>
      </c>
      <c r="AI1134" s="10">
        <f>IF(tblOrdenes[[#This Row],[orden]]="","",tblOrdenes[[#This Row],[costo_servicio]]+tblOrdenes[[#This Row],[costo_materiales]])</f>
        <v/>
      </c>
      <c r="AJ1134" s="6" t="n"/>
      <c r="AK1134" s="6" t="n"/>
      <c r="AL1134" s="6" t="n"/>
      <c r="AM1134" s="3">
        <f>IF(tblOrdenes[[#This Row],[link_checklist]]="","",HYPERLINK(p_ruta_base_checklists&amp;tblOrdenes[[#This Row],[link_checklist]],"abrir"))</f>
        <v/>
      </c>
      <c r="AN1134" s="6" t="n"/>
      <c r="AO1134" s="3">
        <f>IF(tblOrdenes[[#This Row],[orden]]="","",tblOrdenes[[#This Row],[orden]]&amp;IF(tblOrdenes[[#This Row],[operacion]]="","0010",tblOrdenes[[#This Row],[operacion]]))</f>
        <v/>
      </c>
    </row>
    <row r="1135">
      <c r="A1135" s="3" t="n"/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11" t="n"/>
      <c r="K1135" s="3" t="n"/>
      <c r="L1135" s="10" t="n"/>
      <c r="M1135" s="6" t="n"/>
      <c r="N113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3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3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35" s="3">
        <f>IF(tblOrdenes[[#This Row],[fecha_inicio]]="","",YEAR(tblOrdenes[[#This Row],[fecha_inicio]]))</f>
        <v/>
      </c>
      <c r="R1135" s="3">
        <f>IF(tblOrdenes[[#This Row],[fecha_inicio]]="","",MONTH(tblOrdenes[[#This Row],[fecha_inicio]]))</f>
        <v/>
      </c>
      <c r="S1135" s="3">
        <f>IF(tblOrdenes[[#This Row],[fecha_inicio]]="","",INDEX(lista_dias,WEEKDAY(tblOrdenes[[#This Row],[fecha_inicio]],2)))</f>
        <v/>
      </c>
      <c r="T1135" s="3">
        <f>IF(tblOrdenes[[#This Row],[tipo_ot]]="","",_xlfn.XLOOKUP(tblOrdenes[[#This Row],[tipo_ot]],tblTiposOT[codigo],tblTiposOT[clasificacion],"sin_clasificar"))</f>
        <v/>
      </c>
      <c r="U1135" s="3">
        <f>IF(tblOrdenes[[#This Row],[centro_costo]]="","",_xlfn.XLOOKUP(tblOrdenes[[#This Row],[centro_costo]],tblCECO[codigo],tblCECO[linea],"(sin catálogo)"))</f>
        <v/>
      </c>
      <c r="V1135" s="3">
        <f>IF(tblOrdenes[[#This Row],[centro_costo]]="","",_xlfn.XLOOKUP(tblOrdenes[[#This Row],[centro_costo]],tblCECO[codigo],tblCECO[area],"(sin catálogo)"))</f>
        <v/>
      </c>
      <c r="W1135" s="3">
        <f>IF(tblOrdenes[[#This Row],[centro_costo]]="","",_xlfn.XLOOKUP(tblOrdenes[[#This Row],[centro_costo]],tblCECO[codigo],tblCECO[coordinador],"(sin catálogo)"))</f>
        <v/>
      </c>
      <c r="X1135" s="3">
        <f>IF(tblOrdenes[[#This Row],[puesto_trabajo]]="","",_xlfn.XLOOKUP(tblOrdenes[[#This Row],[puesto_trabajo]],tblPuestos[codigo],tblPuestos[especialidad],"(sin catálogo)"))</f>
        <v/>
      </c>
      <c r="Y1135" s="3">
        <f>IF(tblOrdenes[[#This Row],[cod_actividad]]="","",_xlfn.XLOOKUP(tblOrdenes[[#This Row],[cod_actividad]],tblActividades[codigo],tblActividades[descripcion],"(sin catálogo)"))</f>
        <v/>
      </c>
      <c r="Z1135" s="12">
        <f>IF(tblOrdenes[[#This Row],[fecha_inicio]]="","",TODAY()-tblOrdenes[[#This Row],[fecha_inicio]])</f>
        <v/>
      </c>
      <c r="AA1135" s="3">
        <f>IF(tblOrdenes[[#This Row],[backlog_dias]]="","",IF(tblOrdenes[[#This Row],[backlog_dias]]&lt;0,"FUTURO",IF(tblOrdenes[[#This Row],[backlog_dias]]&gt;p_dias_backlog_max,"BACKLOG","MES CORRIENTE")))</f>
        <v/>
      </c>
      <c r="AB1135" s="3">
        <f>IF(tblOrdenes[[#This Row],[backlog_dias]]="",FALSE,AND(tblOrdenes[[#This Row],[backlog_dias]]&gt;p_dias_backlog_min,tblOrdenes[[#This Row],[backlog_dias]]&lt;=p_dias_backlog_max))</f>
        <v/>
      </c>
      <c r="AC1135" s="6" t="n"/>
      <c r="AD113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3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3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35" s="10">
        <f>IF(tblOrdenes[[#This Row],[orden]]="","",_xlfn.XLOOKUP(tblOrdenes[[#This Row],[id_operacion]],tblEjecucion[id_operacion],tblEjecucion[precio],0))</f>
        <v/>
      </c>
      <c r="AH1135" s="10">
        <f>IF(tblOrdenes[[#This Row],[orden]]="","",MAX(0,_xlfn.XLOOKUP(tblOrdenes[[#This Row],[id_operacion]],tblEjecucion[id_operacion],tblEjecucion[costo_plan_total],0)-tblOrdenes[[#This Row],[costo_servicio]]))</f>
        <v/>
      </c>
      <c r="AI1135" s="10">
        <f>IF(tblOrdenes[[#This Row],[orden]]="","",tblOrdenes[[#This Row],[costo_servicio]]+tblOrdenes[[#This Row],[costo_materiales]])</f>
        <v/>
      </c>
      <c r="AJ1135" s="6" t="n"/>
      <c r="AK1135" s="6" t="n"/>
      <c r="AL1135" s="6" t="n"/>
      <c r="AM1135" s="3">
        <f>IF(tblOrdenes[[#This Row],[link_checklist]]="","",HYPERLINK(p_ruta_base_checklists&amp;tblOrdenes[[#This Row],[link_checklist]],"abrir"))</f>
        <v/>
      </c>
      <c r="AN1135" s="6" t="n"/>
      <c r="AO1135" s="3">
        <f>IF(tblOrdenes[[#This Row],[orden]]="","",tblOrdenes[[#This Row],[orden]]&amp;IF(tblOrdenes[[#This Row],[operacion]]="","0010",tblOrdenes[[#This Row],[operacion]]))</f>
        <v/>
      </c>
    </row>
    <row r="1136">
      <c r="A1136" s="3" t="n"/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11" t="n"/>
      <c r="K1136" s="3" t="n"/>
      <c r="L1136" s="10" t="n"/>
      <c r="M1136" s="6" t="n"/>
      <c r="N113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3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3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36" s="3">
        <f>IF(tblOrdenes[[#This Row],[fecha_inicio]]="","",YEAR(tblOrdenes[[#This Row],[fecha_inicio]]))</f>
        <v/>
      </c>
      <c r="R1136" s="3">
        <f>IF(tblOrdenes[[#This Row],[fecha_inicio]]="","",MONTH(tblOrdenes[[#This Row],[fecha_inicio]]))</f>
        <v/>
      </c>
      <c r="S1136" s="3">
        <f>IF(tblOrdenes[[#This Row],[fecha_inicio]]="","",INDEX(lista_dias,WEEKDAY(tblOrdenes[[#This Row],[fecha_inicio]],2)))</f>
        <v/>
      </c>
      <c r="T1136" s="3">
        <f>IF(tblOrdenes[[#This Row],[tipo_ot]]="","",_xlfn.XLOOKUP(tblOrdenes[[#This Row],[tipo_ot]],tblTiposOT[codigo],tblTiposOT[clasificacion],"sin_clasificar"))</f>
        <v/>
      </c>
      <c r="U1136" s="3">
        <f>IF(tblOrdenes[[#This Row],[centro_costo]]="","",_xlfn.XLOOKUP(tblOrdenes[[#This Row],[centro_costo]],tblCECO[codigo],tblCECO[linea],"(sin catálogo)"))</f>
        <v/>
      </c>
      <c r="V1136" s="3">
        <f>IF(tblOrdenes[[#This Row],[centro_costo]]="","",_xlfn.XLOOKUP(tblOrdenes[[#This Row],[centro_costo]],tblCECO[codigo],tblCECO[area],"(sin catálogo)"))</f>
        <v/>
      </c>
      <c r="W1136" s="3">
        <f>IF(tblOrdenes[[#This Row],[centro_costo]]="","",_xlfn.XLOOKUP(tblOrdenes[[#This Row],[centro_costo]],tblCECO[codigo],tblCECO[coordinador],"(sin catálogo)"))</f>
        <v/>
      </c>
      <c r="X1136" s="3">
        <f>IF(tblOrdenes[[#This Row],[puesto_trabajo]]="","",_xlfn.XLOOKUP(tblOrdenes[[#This Row],[puesto_trabajo]],tblPuestos[codigo],tblPuestos[especialidad],"(sin catálogo)"))</f>
        <v/>
      </c>
      <c r="Y1136" s="3">
        <f>IF(tblOrdenes[[#This Row],[cod_actividad]]="","",_xlfn.XLOOKUP(tblOrdenes[[#This Row],[cod_actividad]],tblActividades[codigo],tblActividades[descripcion],"(sin catálogo)"))</f>
        <v/>
      </c>
      <c r="Z1136" s="12">
        <f>IF(tblOrdenes[[#This Row],[fecha_inicio]]="","",TODAY()-tblOrdenes[[#This Row],[fecha_inicio]])</f>
        <v/>
      </c>
      <c r="AA1136" s="3">
        <f>IF(tblOrdenes[[#This Row],[backlog_dias]]="","",IF(tblOrdenes[[#This Row],[backlog_dias]]&lt;0,"FUTURO",IF(tblOrdenes[[#This Row],[backlog_dias]]&gt;p_dias_backlog_max,"BACKLOG","MES CORRIENTE")))</f>
        <v/>
      </c>
      <c r="AB1136" s="3">
        <f>IF(tblOrdenes[[#This Row],[backlog_dias]]="",FALSE,AND(tblOrdenes[[#This Row],[backlog_dias]]&gt;p_dias_backlog_min,tblOrdenes[[#This Row],[backlog_dias]]&lt;=p_dias_backlog_max))</f>
        <v/>
      </c>
      <c r="AC1136" s="6" t="n"/>
      <c r="AD113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3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3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36" s="10">
        <f>IF(tblOrdenes[[#This Row],[orden]]="","",_xlfn.XLOOKUP(tblOrdenes[[#This Row],[id_operacion]],tblEjecucion[id_operacion],tblEjecucion[precio],0))</f>
        <v/>
      </c>
      <c r="AH1136" s="10">
        <f>IF(tblOrdenes[[#This Row],[orden]]="","",MAX(0,_xlfn.XLOOKUP(tblOrdenes[[#This Row],[id_operacion]],tblEjecucion[id_operacion],tblEjecucion[costo_plan_total],0)-tblOrdenes[[#This Row],[costo_servicio]]))</f>
        <v/>
      </c>
      <c r="AI1136" s="10">
        <f>IF(tblOrdenes[[#This Row],[orden]]="","",tblOrdenes[[#This Row],[costo_servicio]]+tblOrdenes[[#This Row],[costo_materiales]])</f>
        <v/>
      </c>
      <c r="AJ1136" s="6" t="n"/>
      <c r="AK1136" s="6" t="n"/>
      <c r="AL1136" s="6" t="n"/>
      <c r="AM1136" s="3">
        <f>IF(tblOrdenes[[#This Row],[link_checklist]]="","",HYPERLINK(p_ruta_base_checklists&amp;tblOrdenes[[#This Row],[link_checklist]],"abrir"))</f>
        <v/>
      </c>
      <c r="AN1136" s="6" t="n"/>
      <c r="AO1136" s="3">
        <f>IF(tblOrdenes[[#This Row],[orden]]="","",tblOrdenes[[#This Row],[orden]]&amp;IF(tblOrdenes[[#This Row],[operacion]]="","0010",tblOrdenes[[#This Row],[operacion]]))</f>
        <v/>
      </c>
    </row>
    <row r="1137">
      <c r="A1137" s="3" t="n"/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11" t="n"/>
      <c r="K1137" s="3" t="n"/>
      <c r="L1137" s="10" t="n"/>
      <c r="M1137" s="6" t="n"/>
      <c r="N113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3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3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37" s="3">
        <f>IF(tblOrdenes[[#This Row],[fecha_inicio]]="","",YEAR(tblOrdenes[[#This Row],[fecha_inicio]]))</f>
        <v/>
      </c>
      <c r="R1137" s="3">
        <f>IF(tblOrdenes[[#This Row],[fecha_inicio]]="","",MONTH(tblOrdenes[[#This Row],[fecha_inicio]]))</f>
        <v/>
      </c>
      <c r="S1137" s="3">
        <f>IF(tblOrdenes[[#This Row],[fecha_inicio]]="","",INDEX(lista_dias,WEEKDAY(tblOrdenes[[#This Row],[fecha_inicio]],2)))</f>
        <v/>
      </c>
      <c r="T1137" s="3">
        <f>IF(tblOrdenes[[#This Row],[tipo_ot]]="","",_xlfn.XLOOKUP(tblOrdenes[[#This Row],[tipo_ot]],tblTiposOT[codigo],tblTiposOT[clasificacion],"sin_clasificar"))</f>
        <v/>
      </c>
      <c r="U1137" s="3">
        <f>IF(tblOrdenes[[#This Row],[centro_costo]]="","",_xlfn.XLOOKUP(tblOrdenes[[#This Row],[centro_costo]],tblCECO[codigo],tblCECO[linea],"(sin catálogo)"))</f>
        <v/>
      </c>
      <c r="V1137" s="3">
        <f>IF(tblOrdenes[[#This Row],[centro_costo]]="","",_xlfn.XLOOKUP(tblOrdenes[[#This Row],[centro_costo]],tblCECO[codigo],tblCECO[area],"(sin catálogo)"))</f>
        <v/>
      </c>
      <c r="W1137" s="3">
        <f>IF(tblOrdenes[[#This Row],[centro_costo]]="","",_xlfn.XLOOKUP(tblOrdenes[[#This Row],[centro_costo]],tblCECO[codigo],tblCECO[coordinador],"(sin catálogo)"))</f>
        <v/>
      </c>
      <c r="X1137" s="3">
        <f>IF(tblOrdenes[[#This Row],[puesto_trabajo]]="","",_xlfn.XLOOKUP(tblOrdenes[[#This Row],[puesto_trabajo]],tblPuestos[codigo],tblPuestos[especialidad],"(sin catálogo)"))</f>
        <v/>
      </c>
      <c r="Y1137" s="3">
        <f>IF(tblOrdenes[[#This Row],[cod_actividad]]="","",_xlfn.XLOOKUP(tblOrdenes[[#This Row],[cod_actividad]],tblActividades[codigo],tblActividades[descripcion],"(sin catálogo)"))</f>
        <v/>
      </c>
      <c r="Z1137" s="12">
        <f>IF(tblOrdenes[[#This Row],[fecha_inicio]]="","",TODAY()-tblOrdenes[[#This Row],[fecha_inicio]])</f>
        <v/>
      </c>
      <c r="AA1137" s="3">
        <f>IF(tblOrdenes[[#This Row],[backlog_dias]]="","",IF(tblOrdenes[[#This Row],[backlog_dias]]&lt;0,"FUTURO",IF(tblOrdenes[[#This Row],[backlog_dias]]&gt;p_dias_backlog_max,"BACKLOG","MES CORRIENTE")))</f>
        <v/>
      </c>
      <c r="AB1137" s="3">
        <f>IF(tblOrdenes[[#This Row],[backlog_dias]]="",FALSE,AND(tblOrdenes[[#This Row],[backlog_dias]]&gt;p_dias_backlog_min,tblOrdenes[[#This Row],[backlog_dias]]&lt;=p_dias_backlog_max))</f>
        <v/>
      </c>
      <c r="AC1137" s="6" t="n"/>
      <c r="AD113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3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3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37" s="10">
        <f>IF(tblOrdenes[[#This Row],[orden]]="","",_xlfn.XLOOKUP(tblOrdenes[[#This Row],[id_operacion]],tblEjecucion[id_operacion],tblEjecucion[precio],0))</f>
        <v/>
      </c>
      <c r="AH1137" s="10">
        <f>IF(tblOrdenes[[#This Row],[orden]]="","",MAX(0,_xlfn.XLOOKUP(tblOrdenes[[#This Row],[id_operacion]],tblEjecucion[id_operacion],tblEjecucion[costo_plan_total],0)-tblOrdenes[[#This Row],[costo_servicio]]))</f>
        <v/>
      </c>
      <c r="AI1137" s="10">
        <f>IF(tblOrdenes[[#This Row],[orden]]="","",tblOrdenes[[#This Row],[costo_servicio]]+tblOrdenes[[#This Row],[costo_materiales]])</f>
        <v/>
      </c>
      <c r="AJ1137" s="6" t="n"/>
      <c r="AK1137" s="6" t="n"/>
      <c r="AL1137" s="6" t="n"/>
      <c r="AM1137" s="3">
        <f>IF(tblOrdenes[[#This Row],[link_checklist]]="","",HYPERLINK(p_ruta_base_checklists&amp;tblOrdenes[[#This Row],[link_checklist]],"abrir"))</f>
        <v/>
      </c>
      <c r="AN1137" s="6" t="n"/>
      <c r="AO1137" s="3">
        <f>IF(tblOrdenes[[#This Row],[orden]]="","",tblOrdenes[[#This Row],[orden]]&amp;IF(tblOrdenes[[#This Row],[operacion]]="","0010",tblOrdenes[[#This Row],[operacion]]))</f>
        <v/>
      </c>
    </row>
    <row r="1138">
      <c r="A1138" s="3" t="n"/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11" t="n"/>
      <c r="K1138" s="3" t="n"/>
      <c r="L1138" s="10" t="n"/>
      <c r="M1138" s="6" t="n"/>
      <c r="N113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3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3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38" s="3">
        <f>IF(tblOrdenes[[#This Row],[fecha_inicio]]="","",YEAR(tblOrdenes[[#This Row],[fecha_inicio]]))</f>
        <v/>
      </c>
      <c r="R1138" s="3">
        <f>IF(tblOrdenes[[#This Row],[fecha_inicio]]="","",MONTH(tblOrdenes[[#This Row],[fecha_inicio]]))</f>
        <v/>
      </c>
      <c r="S1138" s="3">
        <f>IF(tblOrdenes[[#This Row],[fecha_inicio]]="","",INDEX(lista_dias,WEEKDAY(tblOrdenes[[#This Row],[fecha_inicio]],2)))</f>
        <v/>
      </c>
      <c r="T1138" s="3">
        <f>IF(tblOrdenes[[#This Row],[tipo_ot]]="","",_xlfn.XLOOKUP(tblOrdenes[[#This Row],[tipo_ot]],tblTiposOT[codigo],tblTiposOT[clasificacion],"sin_clasificar"))</f>
        <v/>
      </c>
      <c r="U1138" s="3">
        <f>IF(tblOrdenes[[#This Row],[centro_costo]]="","",_xlfn.XLOOKUP(tblOrdenes[[#This Row],[centro_costo]],tblCECO[codigo],tblCECO[linea],"(sin catálogo)"))</f>
        <v/>
      </c>
      <c r="V1138" s="3">
        <f>IF(tblOrdenes[[#This Row],[centro_costo]]="","",_xlfn.XLOOKUP(tblOrdenes[[#This Row],[centro_costo]],tblCECO[codigo],tblCECO[area],"(sin catálogo)"))</f>
        <v/>
      </c>
      <c r="W1138" s="3">
        <f>IF(tblOrdenes[[#This Row],[centro_costo]]="","",_xlfn.XLOOKUP(tblOrdenes[[#This Row],[centro_costo]],tblCECO[codigo],tblCECO[coordinador],"(sin catálogo)"))</f>
        <v/>
      </c>
      <c r="X1138" s="3">
        <f>IF(tblOrdenes[[#This Row],[puesto_trabajo]]="","",_xlfn.XLOOKUP(tblOrdenes[[#This Row],[puesto_trabajo]],tblPuestos[codigo],tblPuestos[especialidad],"(sin catálogo)"))</f>
        <v/>
      </c>
      <c r="Y1138" s="3">
        <f>IF(tblOrdenes[[#This Row],[cod_actividad]]="","",_xlfn.XLOOKUP(tblOrdenes[[#This Row],[cod_actividad]],tblActividades[codigo],tblActividades[descripcion],"(sin catálogo)"))</f>
        <v/>
      </c>
      <c r="Z1138" s="12">
        <f>IF(tblOrdenes[[#This Row],[fecha_inicio]]="","",TODAY()-tblOrdenes[[#This Row],[fecha_inicio]])</f>
        <v/>
      </c>
      <c r="AA1138" s="3">
        <f>IF(tblOrdenes[[#This Row],[backlog_dias]]="","",IF(tblOrdenes[[#This Row],[backlog_dias]]&lt;0,"FUTURO",IF(tblOrdenes[[#This Row],[backlog_dias]]&gt;p_dias_backlog_max,"BACKLOG","MES CORRIENTE")))</f>
        <v/>
      </c>
      <c r="AB1138" s="3">
        <f>IF(tblOrdenes[[#This Row],[backlog_dias]]="",FALSE,AND(tblOrdenes[[#This Row],[backlog_dias]]&gt;p_dias_backlog_min,tblOrdenes[[#This Row],[backlog_dias]]&lt;=p_dias_backlog_max))</f>
        <v/>
      </c>
      <c r="AC1138" s="6" t="n"/>
      <c r="AD113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3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3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38" s="10">
        <f>IF(tblOrdenes[[#This Row],[orden]]="","",_xlfn.XLOOKUP(tblOrdenes[[#This Row],[id_operacion]],tblEjecucion[id_operacion],tblEjecucion[precio],0))</f>
        <v/>
      </c>
      <c r="AH1138" s="10">
        <f>IF(tblOrdenes[[#This Row],[orden]]="","",MAX(0,_xlfn.XLOOKUP(tblOrdenes[[#This Row],[id_operacion]],tblEjecucion[id_operacion],tblEjecucion[costo_plan_total],0)-tblOrdenes[[#This Row],[costo_servicio]]))</f>
        <v/>
      </c>
      <c r="AI1138" s="10">
        <f>IF(tblOrdenes[[#This Row],[orden]]="","",tblOrdenes[[#This Row],[costo_servicio]]+tblOrdenes[[#This Row],[costo_materiales]])</f>
        <v/>
      </c>
      <c r="AJ1138" s="6" t="n"/>
      <c r="AK1138" s="6" t="n"/>
      <c r="AL1138" s="6" t="n"/>
      <c r="AM1138" s="3">
        <f>IF(tblOrdenes[[#This Row],[link_checklist]]="","",HYPERLINK(p_ruta_base_checklists&amp;tblOrdenes[[#This Row],[link_checklist]],"abrir"))</f>
        <v/>
      </c>
      <c r="AN1138" s="6" t="n"/>
      <c r="AO1138" s="3">
        <f>IF(tblOrdenes[[#This Row],[orden]]="","",tblOrdenes[[#This Row],[orden]]&amp;IF(tblOrdenes[[#This Row],[operacion]]="","0010",tblOrdenes[[#This Row],[operacion]]))</f>
        <v/>
      </c>
    </row>
    <row r="1139">
      <c r="A1139" s="3" t="n"/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11" t="n"/>
      <c r="K1139" s="3" t="n"/>
      <c r="L1139" s="10" t="n"/>
      <c r="M1139" s="6" t="n"/>
      <c r="N113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3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3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39" s="3">
        <f>IF(tblOrdenes[[#This Row],[fecha_inicio]]="","",YEAR(tblOrdenes[[#This Row],[fecha_inicio]]))</f>
        <v/>
      </c>
      <c r="R1139" s="3">
        <f>IF(tblOrdenes[[#This Row],[fecha_inicio]]="","",MONTH(tblOrdenes[[#This Row],[fecha_inicio]]))</f>
        <v/>
      </c>
      <c r="S1139" s="3">
        <f>IF(tblOrdenes[[#This Row],[fecha_inicio]]="","",INDEX(lista_dias,WEEKDAY(tblOrdenes[[#This Row],[fecha_inicio]],2)))</f>
        <v/>
      </c>
      <c r="T1139" s="3">
        <f>IF(tblOrdenes[[#This Row],[tipo_ot]]="","",_xlfn.XLOOKUP(tblOrdenes[[#This Row],[tipo_ot]],tblTiposOT[codigo],tblTiposOT[clasificacion],"sin_clasificar"))</f>
        <v/>
      </c>
      <c r="U1139" s="3">
        <f>IF(tblOrdenes[[#This Row],[centro_costo]]="","",_xlfn.XLOOKUP(tblOrdenes[[#This Row],[centro_costo]],tblCECO[codigo],tblCECO[linea],"(sin catálogo)"))</f>
        <v/>
      </c>
      <c r="V1139" s="3">
        <f>IF(tblOrdenes[[#This Row],[centro_costo]]="","",_xlfn.XLOOKUP(tblOrdenes[[#This Row],[centro_costo]],tblCECO[codigo],tblCECO[area],"(sin catálogo)"))</f>
        <v/>
      </c>
      <c r="W1139" s="3">
        <f>IF(tblOrdenes[[#This Row],[centro_costo]]="","",_xlfn.XLOOKUP(tblOrdenes[[#This Row],[centro_costo]],tblCECO[codigo],tblCECO[coordinador],"(sin catálogo)"))</f>
        <v/>
      </c>
      <c r="X1139" s="3">
        <f>IF(tblOrdenes[[#This Row],[puesto_trabajo]]="","",_xlfn.XLOOKUP(tblOrdenes[[#This Row],[puesto_trabajo]],tblPuestos[codigo],tblPuestos[especialidad],"(sin catálogo)"))</f>
        <v/>
      </c>
      <c r="Y1139" s="3">
        <f>IF(tblOrdenes[[#This Row],[cod_actividad]]="","",_xlfn.XLOOKUP(tblOrdenes[[#This Row],[cod_actividad]],tblActividades[codigo],tblActividades[descripcion],"(sin catálogo)"))</f>
        <v/>
      </c>
      <c r="Z1139" s="12">
        <f>IF(tblOrdenes[[#This Row],[fecha_inicio]]="","",TODAY()-tblOrdenes[[#This Row],[fecha_inicio]])</f>
        <v/>
      </c>
      <c r="AA1139" s="3">
        <f>IF(tblOrdenes[[#This Row],[backlog_dias]]="","",IF(tblOrdenes[[#This Row],[backlog_dias]]&lt;0,"FUTURO",IF(tblOrdenes[[#This Row],[backlog_dias]]&gt;p_dias_backlog_max,"BACKLOG","MES CORRIENTE")))</f>
        <v/>
      </c>
      <c r="AB1139" s="3">
        <f>IF(tblOrdenes[[#This Row],[backlog_dias]]="",FALSE,AND(tblOrdenes[[#This Row],[backlog_dias]]&gt;p_dias_backlog_min,tblOrdenes[[#This Row],[backlog_dias]]&lt;=p_dias_backlog_max))</f>
        <v/>
      </c>
      <c r="AC1139" s="6" t="n"/>
      <c r="AD113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3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3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39" s="10">
        <f>IF(tblOrdenes[[#This Row],[orden]]="","",_xlfn.XLOOKUP(tblOrdenes[[#This Row],[id_operacion]],tblEjecucion[id_operacion],tblEjecucion[precio],0))</f>
        <v/>
      </c>
      <c r="AH1139" s="10">
        <f>IF(tblOrdenes[[#This Row],[orden]]="","",MAX(0,_xlfn.XLOOKUP(tblOrdenes[[#This Row],[id_operacion]],tblEjecucion[id_operacion],tblEjecucion[costo_plan_total],0)-tblOrdenes[[#This Row],[costo_servicio]]))</f>
        <v/>
      </c>
      <c r="AI1139" s="10">
        <f>IF(tblOrdenes[[#This Row],[orden]]="","",tblOrdenes[[#This Row],[costo_servicio]]+tblOrdenes[[#This Row],[costo_materiales]])</f>
        <v/>
      </c>
      <c r="AJ1139" s="6" t="n"/>
      <c r="AK1139" s="6" t="n"/>
      <c r="AL1139" s="6" t="n"/>
      <c r="AM1139" s="3">
        <f>IF(tblOrdenes[[#This Row],[link_checklist]]="","",HYPERLINK(p_ruta_base_checklists&amp;tblOrdenes[[#This Row],[link_checklist]],"abrir"))</f>
        <v/>
      </c>
      <c r="AN1139" s="6" t="n"/>
      <c r="AO1139" s="3">
        <f>IF(tblOrdenes[[#This Row],[orden]]="","",tblOrdenes[[#This Row],[orden]]&amp;IF(tblOrdenes[[#This Row],[operacion]]="","0010",tblOrdenes[[#This Row],[operacion]]))</f>
        <v/>
      </c>
    </row>
    <row r="1140">
      <c r="A1140" s="3" t="n"/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11" t="n"/>
      <c r="K1140" s="3" t="n"/>
      <c r="L1140" s="10" t="n"/>
      <c r="M1140" s="6" t="n"/>
      <c r="N114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4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4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40" s="3">
        <f>IF(tblOrdenes[[#This Row],[fecha_inicio]]="","",YEAR(tblOrdenes[[#This Row],[fecha_inicio]]))</f>
        <v/>
      </c>
      <c r="R1140" s="3">
        <f>IF(tblOrdenes[[#This Row],[fecha_inicio]]="","",MONTH(tblOrdenes[[#This Row],[fecha_inicio]]))</f>
        <v/>
      </c>
      <c r="S1140" s="3">
        <f>IF(tblOrdenes[[#This Row],[fecha_inicio]]="","",INDEX(lista_dias,WEEKDAY(tblOrdenes[[#This Row],[fecha_inicio]],2)))</f>
        <v/>
      </c>
      <c r="T1140" s="3">
        <f>IF(tblOrdenes[[#This Row],[tipo_ot]]="","",_xlfn.XLOOKUP(tblOrdenes[[#This Row],[tipo_ot]],tblTiposOT[codigo],tblTiposOT[clasificacion],"sin_clasificar"))</f>
        <v/>
      </c>
      <c r="U1140" s="3">
        <f>IF(tblOrdenes[[#This Row],[centro_costo]]="","",_xlfn.XLOOKUP(tblOrdenes[[#This Row],[centro_costo]],tblCECO[codigo],tblCECO[linea],"(sin catálogo)"))</f>
        <v/>
      </c>
      <c r="V1140" s="3">
        <f>IF(tblOrdenes[[#This Row],[centro_costo]]="","",_xlfn.XLOOKUP(tblOrdenes[[#This Row],[centro_costo]],tblCECO[codigo],tblCECO[area],"(sin catálogo)"))</f>
        <v/>
      </c>
      <c r="W1140" s="3">
        <f>IF(tblOrdenes[[#This Row],[centro_costo]]="","",_xlfn.XLOOKUP(tblOrdenes[[#This Row],[centro_costo]],tblCECO[codigo],tblCECO[coordinador],"(sin catálogo)"))</f>
        <v/>
      </c>
      <c r="X1140" s="3">
        <f>IF(tblOrdenes[[#This Row],[puesto_trabajo]]="","",_xlfn.XLOOKUP(tblOrdenes[[#This Row],[puesto_trabajo]],tblPuestos[codigo],tblPuestos[especialidad],"(sin catálogo)"))</f>
        <v/>
      </c>
      <c r="Y1140" s="3">
        <f>IF(tblOrdenes[[#This Row],[cod_actividad]]="","",_xlfn.XLOOKUP(tblOrdenes[[#This Row],[cod_actividad]],tblActividades[codigo],tblActividades[descripcion],"(sin catálogo)"))</f>
        <v/>
      </c>
      <c r="Z1140" s="12">
        <f>IF(tblOrdenes[[#This Row],[fecha_inicio]]="","",TODAY()-tblOrdenes[[#This Row],[fecha_inicio]])</f>
        <v/>
      </c>
      <c r="AA1140" s="3">
        <f>IF(tblOrdenes[[#This Row],[backlog_dias]]="","",IF(tblOrdenes[[#This Row],[backlog_dias]]&lt;0,"FUTURO",IF(tblOrdenes[[#This Row],[backlog_dias]]&gt;p_dias_backlog_max,"BACKLOG","MES CORRIENTE")))</f>
        <v/>
      </c>
      <c r="AB1140" s="3">
        <f>IF(tblOrdenes[[#This Row],[backlog_dias]]="",FALSE,AND(tblOrdenes[[#This Row],[backlog_dias]]&gt;p_dias_backlog_min,tblOrdenes[[#This Row],[backlog_dias]]&lt;=p_dias_backlog_max))</f>
        <v/>
      </c>
      <c r="AC1140" s="6" t="n"/>
      <c r="AD114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4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4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40" s="10">
        <f>IF(tblOrdenes[[#This Row],[orden]]="","",_xlfn.XLOOKUP(tblOrdenes[[#This Row],[id_operacion]],tblEjecucion[id_operacion],tblEjecucion[precio],0))</f>
        <v/>
      </c>
      <c r="AH1140" s="10">
        <f>IF(tblOrdenes[[#This Row],[orden]]="","",MAX(0,_xlfn.XLOOKUP(tblOrdenes[[#This Row],[id_operacion]],tblEjecucion[id_operacion],tblEjecucion[costo_plan_total],0)-tblOrdenes[[#This Row],[costo_servicio]]))</f>
        <v/>
      </c>
      <c r="AI1140" s="10">
        <f>IF(tblOrdenes[[#This Row],[orden]]="","",tblOrdenes[[#This Row],[costo_servicio]]+tblOrdenes[[#This Row],[costo_materiales]])</f>
        <v/>
      </c>
      <c r="AJ1140" s="6" t="n"/>
      <c r="AK1140" s="6" t="n"/>
      <c r="AL1140" s="6" t="n"/>
      <c r="AM1140" s="3">
        <f>IF(tblOrdenes[[#This Row],[link_checklist]]="","",HYPERLINK(p_ruta_base_checklists&amp;tblOrdenes[[#This Row],[link_checklist]],"abrir"))</f>
        <v/>
      </c>
      <c r="AN1140" s="6" t="n"/>
      <c r="AO1140" s="3">
        <f>IF(tblOrdenes[[#This Row],[orden]]="","",tblOrdenes[[#This Row],[orden]]&amp;IF(tblOrdenes[[#This Row],[operacion]]="","0010",tblOrdenes[[#This Row],[operacion]]))</f>
        <v/>
      </c>
    </row>
    <row r="1141">
      <c r="A1141" s="3" t="n"/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11" t="n"/>
      <c r="K1141" s="3" t="n"/>
      <c r="L1141" s="10" t="n"/>
      <c r="M1141" s="6" t="n"/>
      <c r="N114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4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4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41" s="3">
        <f>IF(tblOrdenes[[#This Row],[fecha_inicio]]="","",YEAR(tblOrdenes[[#This Row],[fecha_inicio]]))</f>
        <v/>
      </c>
      <c r="R1141" s="3">
        <f>IF(tblOrdenes[[#This Row],[fecha_inicio]]="","",MONTH(tblOrdenes[[#This Row],[fecha_inicio]]))</f>
        <v/>
      </c>
      <c r="S1141" s="3">
        <f>IF(tblOrdenes[[#This Row],[fecha_inicio]]="","",INDEX(lista_dias,WEEKDAY(tblOrdenes[[#This Row],[fecha_inicio]],2)))</f>
        <v/>
      </c>
      <c r="T1141" s="3">
        <f>IF(tblOrdenes[[#This Row],[tipo_ot]]="","",_xlfn.XLOOKUP(tblOrdenes[[#This Row],[tipo_ot]],tblTiposOT[codigo],tblTiposOT[clasificacion],"sin_clasificar"))</f>
        <v/>
      </c>
      <c r="U1141" s="3">
        <f>IF(tblOrdenes[[#This Row],[centro_costo]]="","",_xlfn.XLOOKUP(tblOrdenes[[#This Row],[centro_costo]],tblCECO[codigo],tblCECO[linea],"(sin catálogo)"))</f>
        <v/>
      </c>
      <c r="V1141" s="3">
        <f>IF(tblOrdenes[[#This Row],[centro_costo]]="","",_xlfn.XLOOKUP(tblOrdenes[[#This Row],[centro_costo]],tblCECO[codigo],tblCECO[area],"(sin catálogo)"))</f>
        <v/>
      </c>
      <c r="W1141" s="3">
        <f>IF(tblOrdenes[[#This Row],[centro_costo]]="","",_xlfn.XLOOKUP(tblOrdenes[[#This Row],[centro_costo]],tblCECO[codigo],tblCECO[coordinador],"(sin catálogo)"))</f>
        <v/>
      </c>
      <c r="X1141" s="3">
        <f>IF(tblOrdenes[[#This Row],[puesto_trabajo]]="","",_xlfn.XLOOKUP(tblOrdenes[[#This Row],[puesto_trabajo]],tblPuestos[codigo],tblPuestos[especialidad],"(sin catálogo)"))</f>
        <v/>
      </c>
      <c r="Y1141" s="3">
        <f>IF(tblOrdenes[[#This Row],[cod_actividad]]="","",_xlfn.XLOOKUP(tblOrdenes[[#This Row],[cod_actividad]],tblActividades[codigo],tblActividades[descripcion],"(sin catálogo)"))</f>
        <v/>
      </c>
      <c r="Z1141" s="12">
        <f>IF(tblOrdenes[[#This Row],[fecha_inicio]]="","",TODAY()-tblOrdenes[[#This Row],[fecha_inicio]])</f>
        <v/>
      </c>
      <c r="AA1141" s="3">
        <f>IF(tblOrdenes[[#This Row],[backlog_dias]]="","",IF(tblOrdenes[[#This Row],[backlog_dias]]&lt;0,"FUTURO",IF(tblOrdenes[[#This Row],[backlog_dias]]&gt;p_dias_backlog_max,"BACKLOG","MES CORRIENTE")))</f>
        <v/>
      </c>
      <c r="AB1141" s="3">
        <f>IF(tblOrdenes[[#This Row],[backlog_dias]]="",FALSE,AND(tblOrdenes[[#This Row],[backlog_dias]]&gt;p_dias_backlog_min,tblOrdenes[[#This Row],[backlog_dias]]&lt;=p_dias_backlog_max))</f>
        <v/>
      </c>
      <c r="AC1141" s="6" t="n"/>
      <c r="AD114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4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4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41" s="10">
        <f>IF(tblOrdenes[[#This Row],[orden]]="","",_xlfn.XLOOKUP(tblOrdenes[[#This Row],[id_operacion]],tblEjecucion[id_operacion],tblEjecucion[precio],0))</f>
        <v/>
      </c>
      <c r="AH1141" s="10">
        <f>IF(tblOrdenes[[#This Row],[orden]]="","",MAX(0,_xlfn.XLOOKUP(tblOrdenes[[#This Row],[id_operacion]],tblEjecucion[id_operacion],tblEjecucion[costo_plan_total],0)-tblOrdenes[[#This Row],[costo_servicio]]))</f>
        <v/>
      </c>
      <c r="AI1141" s="10">
        <f>IF(tblOrdenes[[#This Row],[orden]]="","",tblOrdenes[[#This Row],[costo_servicio]]+tblOrdenes[[#This Row],[costo_materiales]])</f>
        <v/>
      </c>
      <c r="AJ1141" s="6" t="n"/>
      <c r="AK1141" s="6" t="n"/>
      <c r="AL1141" s="6" t="n"/>
      <c r="AM1141" s="3">
        <f>IF(tblOrdenes[[#This Row],[link_checklist]]="","",HYPERLINK(p_ruta_base_checklists&amp;tblOrdenes[[#This Row],[link_checklist]],"abrir"))</f>
        <v/>
      </c>
      <c r="AN1141" s="6" t="n"/>
      <c r="AO1141" s="3">
        <f>IF(tblOrdenes[[#This Row],[orden]]="","",tblOrdenes[[#This Row],[orden]]&amp;IF(tblOrdenes[[#This Row],[operacion]]="","0010",tblOrdenes[[#This Row],[operacion]]))</f>
        <v/>
      </c>
    </row>
    <row r="1142">
      <c r="A1142" s="3" t="n"/>
      <c r="B1142" s="3" t="n"/>
      <c r="C1142" s="3" t="n"/>
      <c r="D1142" s="3" t="n"/>
      <c r="E1142" s="3" t="n"/>
      <c r="F1142" s="3" t="n"/>
      <c r="G1142" s="3" t="n"/>
      <c r="H1142" s="3" t="n"/>
      <c r="I1142" s="3" t="n"/>
      <c r="J1142" s="11" t="n"/>
      <c r="K1142" s="3" t="n"/>
      <c r="L1142" s="10" t="n"/>
      <c r="M1142" s="6" t="n"/>
      <c r="N114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4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4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42" s="3">
        <f>IF(tblOrdenes[[#This Row],[fecha_inicio]]="","",YEAR(tblOrdenes[[#This Row],[fecha_inicio]]))</f>
        <v/>
      </c>
      <c r="R1142" s="3">
        <f>IF(tblOrdenes[[#This Row],[fecha_inicio]]="","",MONTH(tblOrdenes[[#This Row],[fecha_inicio]]))</f>
        <v/>
      </c>
      <c r="S1142" s="3">
        <f>IF(tblOrdenes[[#This Row],[fecha_inicio]]="","",INDEX(lista_dias,WEEKDAY(tblOrdenes[[#This Row],[fecha_inicio]],2)))</f>
        <v/>
      </c>
      <c r="T1142" s="3">
        <f>IF(tblOrdenes[[#This Row],[tipo_ot]]="","",_xlfn.XLOOKUP(tblOrdenes[[#This Row],[tipo_ot]],tblTiposOT[codigo],tblTiposOT[clasificacion],"sin_clasificar"))</f>
        <v/>
      </c>
      <c r="U1142" s="3">
        <f>IF(tblOrdenes[[#This Row],[centro_costo]]="","",_xlfn.XLOOKUP(tblOrdenes[[#This Row],[centro_costo]],tblCECO[codigo],tblCECO[linea],"(sin catálogo)"))</f>
        <v/>
      </c>
      <c r="V1142" s="3">
        <f>IF(tblOrdenes[[#This Row],[centro_costo]]="","",_xlfn.XLOOKUP(tblOrdenes[[#This Row],[centro_costo]],tblCECO[codigo],tblCECO[area],"(sin catálogo)"))</f>
        <v/>
      </c>
      <c r="W1142" s="3">
        <f>IF(tblOrdenes[[#This Row],[centro_costo]]="","",_xlfn.XLOOKUP(tblOrdenes[[#This Row],[centro_costo]],tblCECO[codigo],tblCECO[coordinador],"(sin catálogo)"))</f>
        <v/>
      </c>
      <c r="X1142" s="3">
        <f>IF(tblOrdenes[[#This Row],[puesto_trabajo]]="","",_xlfn.XLOOKUP(tblOrdenes[[#This Row],[puesto_trabajo]],tblPuestos[codigo],tblPuestos[especialidad],"(sin catálogo)"))</f>
        <v/>
      </c>
      <c r="Y1142" s="3">
        <f>IF(tblOrdenes[[#This Row],[cod_actividad]]="","",_xlfn.XLOOKUP(tblOrdenes[[#This Row],[cod_actividad]],tblActividades[codigo],tblActividades[descripcion],"(sin catálogo)"))</f>
        <v/>
      </c>
      <c r="Z1142" s="12">
        <f>IF(tblOrdenes[[#This Row],[fecha_inicio]]="","",TODAY()-tblOrdenes[[#This Row],[fecha_inicio]])</f>
        <v/>
      </c>
      <c r="AA1142" s="3">
        <f>IF(tblOrdenes[[#This Row],[backlog_dias]]="","",IF(tblOrdenes[[#This Row],[backlog_dias]]&lt;0,"FUTURO",IF(tblOrdenes[[#This Row],[backlog_dias]]&gt;p_dias_backlog_max,"BACKLOG","MES CORRIENTE")))</f>
        <v/>
      </c>
      <c r="AB1142" s="3">
        <f>IF(tblOrdenes[[#This Row],[backlog_dias]]="",FALSE,AND(tblOrdenes[[#This Row],[backlog_dias]]&gt;p_dias_backlog_min,tblOrdenes[[#This Row],[backlog_dias]]&lt;=p_dias_backlog_max))</f>
        <v/>
      </c>
      <c r="AC1142" s="6" t="n"/>
      <c r="AD114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4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4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42" s="10">
        <f>IF(tblOrdenes[[#This Row],[orden]]="","",_xlfn.XLOOKUP(tblOrdenes[[#This Row],[id_operacion]],tblEjecucion[id_operacion],tblEjecucion[precio],0))</f>
        <v/>
      </c>
      <c r="AH1142" s="10">
        <f>IF(tblOrdenes[[#This Row],[orden]]="","",MAX(0,_xlfn.XLOOKUP(tblOrdenes[[#This Row],[id_operacion]],tblEjecucion[id_operacion],tblEjecucion[costo_plan_total],0)-tblOrdenes[[#This Row],[costo_servicio]]))</f>
        <v/>
      </c>
      <c r="AI1142" s="10">
        <f>IF(tblOrdenes[[#This Row],[orden]]="","",tblOrdenes[[#This Row],[costo_servicio]]+tblOrdenes[[#This Row],[costo_materiales]])</f>
        <v/>
      </c>
      <c r="AJ1142" s="6" t="n"/>
      <c r="AK1142" s="6" t="n"/>
      <c r="AL1142" s="6" t="n"/>
      <c r="AM1142" s="3">
        <f>IF(tblOrdenes[[#This Row],[link_checklist]]="","",HYPERLINK(p_ruta_base_checklists&amp;tblOrdenes[[#This Row],[link_checklist]],"abrir"))</f>
        <v/>
      </c>
      <c r="AN1142" s="6" t="n"/>
      <c r="AO1142" s="3">
        <f>IF(tblOrdenes[[#This Row],[orden]]="","",tblOrdenes[[#This Row],[orden]]&amp;IF(tblOrdenes[[#This Row],[operacion]]="","0010",tblOrdenes[[#This Row],[operacion]]))</f>
        <v/>
      </c>
    </row>
    <row r="1143">
      <c r="A1143" s="3" t="n"/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11" t="n"/>
      <c r="K1143" s="3" t="n"/>
      <c r="L1143" s="10" t="n"/>
      <c r="M1143" s="6" t="n"/>
      <c r="N114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4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4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43" s="3">
        <f>IF(tblOrdenes[[#This Row],[fecha_inicio]]="","",YEAR(tblOrdenes[[#This Row],[fecha_inicio]]))</f>
        <v/>
      </c>
      <c r="R1143" s="3">
        <f>IF(tblOrdenes[[#This Row],[fecha_inicio]]="","",MONTH(tblOrdenes[[#This Row],[fecha_inicio]]))</f>
        <v/>
      </c>
      <c r="S1143" s="3">
        <f>IF(tblOrdenes[[#This Row],[fecha_inicio]]="","",INDEX(lista_dias,WEEKDAY(tblOrdenes[[#This Row],[fecha_inicio]],2)))</f>
        <v/>
      </c>
      <c r="T1143" s="3">
        <f>IF(tblOrdenes[[#This Row],[tipo_ot]]="","",_xlfn.XLOOKUP(tblOrdenes[[#This Row],[tipo_ot]],tblTiposOT[codigo],tblTiposOT[clasificacion],"sin_clasificar"))</f>
        <v/>
      </c>
      <c r="U1143" s="3">
        <f>IF(tblOrdenes[[#This Row],[centro_costo]]="","",_xlfn.XLOOKUP(tblOrdenes[[#This Row],[centro_costo]],tblCECO[codigo],tblCECO[linea],"(sin catálogo)"))</f>
        <v/>
      </c>
      <c r="V1143" s="3">
        <f>IF(tblOrdenes[[#This Row],[centro_costo]]="","",_xlfn.XLOOKUP(tblOrdenes[[#This Row],[centro_costo]],tblCECO[codigo],tblCECO[area],"(sin catálogo)"))</f>
        <v/>
      </c>
      <c r="W1143" s="3">
        <f>IF(tblOrdenes[[#This Row],[centro_costo]]="","",_xlfn.XLOOKUP(tblOrdenes[[#This Row],[centro_costo]],tblCECO[codigo],tblCECO[coordinador],"(sin catálogo)"))</f>
        <v/>
      </c>
      <c r="X1143" s="3">
        <f>IF(tblOrdenes[[#This Row],[puesto_trabajo]]="","",_xlfn.XLOOKUP(tblOrdenes[[#This Row],[puesto_trabajo]],tblPuestos[codigo],tblPuestos[especialidad],"(sin catálogo)"))</f>
        <v/>
      </c>
      <c r="Y1143" s="3">
        <f>IF(tblOrdenes[[#This Row],[cod_actividad]]="","",_xlfn.XLOOKUP(tblOrdenes[[#This Row],[cod_actividad]],tblActividades[codigo],tblActividades[descripcion],"(sin catálogo)"))</f>
        <v/>
      </c>
      <c r="Z1143" s="12">
        <f>IF(tblOrdenes[[#This Row],[fecha_inicio]]="","",TODAY()-tblOrdenes[[#This Row],[fecha_inicio]])</f>
        <v/>
      </c>
      <c r="AA1143" s="3">
        <f>IF(tblOrdenes[[#This Row],[backlog_dias]]="","",IF(tblOrdenes[[#This Row],[backlog_dias]]&lt;0,"FUTURO",IF(tblOrdenes[[#This Row],[backlog_dias]]&gt;p_dias_backlog_max,"BACKLOG","MES CORRIENTE")))</f>
        <v/>
      </c>
      <c r="AB1143" s="3">
        <f>IF(tblOrdenes[[#This Row],[backlog_dias]]="",FALSE,AND(tblOrdenes[[#This Row],[backlog_dias]]&gt;p_dias_backlog_min,tblOrdenes[[#This Row],[backlog_dias]]&lt;=p_dias_backlog_max))</f>
        <v/>
      </c>
      <c r="AC1143" s="6" t="n"/>
      <c r="AD114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4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4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43" s="10">
        <f>IF(tblOrdenes[[#This Row],[orden]]="","",_xlfn.XLOOKUP(tblOrdenes[[#This Row],[id_operacion]],tblEjecucion[id_operacion],tblEjecucion[precio],0))</f>
        <v/>
      </c>
      <c r="AH1143" s="10">
        <f>IF(tblOrdenes[[#This Row],[orden]]="","",MAX(0,_xlfn.XLOOKUP(tblOrdenes[[#This Row],[id_operacion]],tblEjecucion[id_operacion],tblEjecucion[costo_plan_total],0)-tblOrdenes[[#This Row],[costo_servicio]]))</f>
        <v/>
      </c>
      <c r="AI1143" s="10">
        <f>IF(tblOrdenes[[#This Row],[orden]]="","",tblOrdenes[[#This Row],[costo_servicio]]+tblOrdenes[[#This Row],[costo_materiales]])</f>
        <v/>
      </c>
      <c r="AJ1143" s="6" t="n"/>
      <c r="AK1143" s="6" t="n"/>
      <c r="AL1143" s="6" t="n"/>
      <c r="AM1143" s="3">
        <f>IF(tblOrdenes[[#This Row],[link_checklist]]="","",HYPERLINK(p_ruta_base_checklists&amp;tblOrdenes[[#This Row],[link_checklist]],"abrir"))</f>
        <v/>
      </c>
      <c r="AN1143" s="6" t="n"/>
      <c r="AO1143" s="3">
        <f>IF(tblOrdenes[[#This Row],[orden]]="","",tblOrdenes[[#This Row],[orden]]&amp;IF(tblOrdenes[[#This Row],[operacion]]="","0010",tblOrdenes[[#This Row],[operacion]]))</f>
        <v/>
      </c>
    </row>
    <row r="1144">
      <c r="A1144" s="3" t="n"/>
      <c r="B1144" s="3" t="n"/>
      <c r="C1144" s="3" t="n"/>
      <c r="D1144" s="3" t="n"/>
      <c r="E1144" s="3" t="n"/>
      <c r="F1144" s="3" t="n"/>
      <c r="G1144" s="3" t="n"/>
      <c r="H1144" s="3" t="n"/>
      <c r="I1144" s="3" t="n"/>
      <c r="J1144" s="11" t="n"/>
      <c r="K1144" s="3" t="n"/>
      <c r="L1144" s="10" t="n"/>
      <c r="M1144" s="6" t="n"/>
      <c r="N114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4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4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44" s="3">
        <f>IF(tblOrdenes[[#This Row],[fecha_inicio]]="","",YEAR(tblOrdenes[[#This Row],[fecha_inicio]]))</f>
        <v/>
      </c>
      <c r="R1144" s="3">
        <f>IF(tblOrdenes[[#This Row],[fecha_inicio]]="","",MONTH(tblOrdenes[[#This Row],[fecha_inicio]]))</f>
        <v/>
      </c>
      <c r="S1144" s="3">
        <f>IF(tblOrdenes[[#This Row],[fecha_inicio]]="","",INDEX(lista_dias,WEEKDAY(tblOrdenes[[#This Row],[fecha_inicio]],2)))</f>
        <v/>
      </c>
      <c r="T1144" s="3">
        <f>IF(tblOrdenes[[#This Row],[tipo_ot]]="","",_xlfn.XLOOKUP(tblOrdenes[[#This Row],[tipo_ot]],tblTiposOT[codigo],tblTiposOT[clasificacion],"sin_clasificar"))</f>
        <v/>
      </c>
      <c r="U1144" s="3">
        <f>IF(tblOrdenes[[#This Row],[centro_costo]]="","",_xlfn.XLOOKUP(tblOrdenes[[#This Row],[centro_costo]],tblCECO[codigo],tblCECO[linea],"(sin catálogo)"))</f>
        <v/>
      </c>
      <c r="V1144" s="3">
        <f>IF(tblOrdenes[[#This Row],[centro_costo]]="","",_xlfn.XLOOKUP(tblOrdenes[[#This Row],[centro_costo]],tblCECO[codigo],tblCECO[area],"(sin catálogo)"))</f>
        <v/>
      </c>
      <c r="W1144" s="3">
        <f>IF(tblOrdenes[[#This Row],[centro_costo]]="","",_xlfn.XLOOKUP(tblOrdenes[[#This Row],[centro_costo]],tblCECO[codigo],tblCECO[coordinador],"(sin catálogo)"))</f>
        <v/>
      </c>
      <c r="X1144" s="3">
        <f>IF(tblOrdenes[[#This Row],[puesto_trabajo]]="","",_xlfn.XLOOKUP(tblOrdenes[[#This Row],[puesto_trabajo]],tblPuestos[codigo],tblPuestos[especialidad],"(sin catálogo)"))</f>
        <v/>
      </c>
      <c r="Y1144" s="3">
        <f>IF(tblOrdenes[[#This Row],[cod_actividad]]="","",_xlfn.XLOOKUP(tblOrdenes[[#This Row],[cod_actividad]],tblActividades[codigo],tblActividades[descripcion],"(sin catálogo)"))</f>
        <v/>
      </c>
      <c r="Z1144" s="12">
        <f>IF(tblOrdenes[[#This Row],[fecha_inicio]]="","",TODAY()-tblOrdenes[[#This Row],[fecha_inicio]])</f>
        <v/>
      </c>
      <c r="AA1144" s="3">
        <f>IF(tblOrdenes[[#This Row],[backlog_dias]]="","",IF(tblOrdenes[[#This Row],[backlog_dias]]&lt;0,"FUTURO",IF(tblOrdenes[[#This Row],[backlog_dias]]&gt;p_dias_backlog_max,"BACKLOG","MES CORRIENTE")))</f>
        <v/>
      </c>
      <c r="AB1144" s="3">
        <f>IF(tblOrdenes[[#This Row],[backlog_dias]]="",FALSE,AND(tblOrdenes[[#This Row],[backlog_dias]]&gt;p_dias_backlog_min,tblOrdenes[[#This Row],[backlog_dias]]&lt;=p_dias_backlog_max))</f>
        <v/>
      </c>
      <c r="AC1144" s="6" t="n"/>
      <c r="AD114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4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4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44" s="10">
        <f>IF(tblOrdenes[[#This Row],[orden]]="","",_xlfn.XLOOKUP(tblOrdenes[[#This Row],[id_operacion]],tblEjecucion[id_operacion],tblEjecucion[precio],0))</f>
        <v/>
      </c>
      <c r="AH1144" s="10">
        <f>IF(tblOrdenes[[#This Row],[orden]]="","",MAX(0,_xlfn.XLOOKUP(tblOrdenes[[#This Row],[id_operacion]],tblEjecucion[id_operacion],tblEjecucion[costo_plan_total],0)-tblOrdenes[[#This Row],[costo_servicio]]))</f>
        <v/>
      </c>
      <c r="AI1144" s="10">
        <f>IF(tblOrdenes[[#This Row],[orden]]="","",tblOrdenes[[#This Row],[costo_servicio]]+tblOrdenes[[#This Row],[costo_materiales]])</f>
        <v/>
      </c>
      <c r="AJ1144" s="6" t="n"/>
      <c r="AK1144" s="6" t="n"/>
      <c r="AL1144" s="6" t="n"/>
      <c r="AM1144" s="3">
        <f>IF(tblOrdenes[[#This Row],[link_checklist]]="","",HYPERLINK(p_ruta_base_checklists&amp;tblOrdenes[[#This Row],[link_checklist]],"abrir"))</f>
        <v/>
      </c>
      <c r="AN1144" s="6" t="n"/>
      <c r="AO1144" s="3">
        <f>IF(tblOrdenes[[#This Row],[orden]]="","",tblOrdenes[[#This Row],[orden]]&amp;IF(tblOrdenes[[#This Row],[operacion]]="","0010",tblOrdenes[[#This Row],[operacion]]))</f>
        <v/>
      </c>
    </row>
    <row r="1145">
      <c r="A1145" s="3" t="n"/>
      <c r="B1145" s="3" t="n"/>
      <c r="C1145" s="3" t="n"/>
      <c r="D1145" s="3" t="n"/>
      <c r="E1145" s="3" t="n"/>
      <c r="F1145" s="3" t="n"/>
      <c r="G1145" s="3" t="n"/>
      <c r="H1145" s="3" t="n"/>
      <c r="I1145" s="3" t="n"/>
      <c r="J1145" s="11" t="n"/>
      <c r="K1145" s="3" t="n"/>
      <c r="L1145" s="10" t="n"/>
      <c r="M1145" s="6" t="n"/>
      <c r="N114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4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4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45" s="3">
        <f>IF(tblOrdenes[[#This Row],[fecha_inicio]]="","",YEAR(tblOrdenes[[#This Row],[fecha_inicio]]))</f>
        <v/>
      </c>
      <c r="R1145" s="3">
        <f>IF(tblOrdenes[[#This Row],[fecha_inicio]]="","",MONTH(tblOrdenes[[#This Row],[fecha_inicio]]))</f>
        <v/>
      </c>
      <c r="S1145" s="3">
        <f>IF(tblOrdenes[[#This Row],[fecha_inicio]]="","",INDEX(lista_dias,WEEKDAY(tblOrdenes[[#This Row],[fecha_inicio]],2)))</f>
        <v/>
      </c>
      <c r="T1145" s="3">
        <f>IF(tblOrdenes[[#This Row],[tipo_ot]]="","",_xlfn.XLOOKUP(tblOrdenes[[#This Row],[tipo_ot]],tblTiposOT[codigo],tblTiposOT[clasificacion],"sin_clasificar"))</f>
        <v/>
      </c>
      <c r="U1145" s="3">
        <f>IF(tblOrdenes[[#This Row],[centro_costo]]="","",_xlfn.XLOOKUP(tblOrdenes[[#This Row],[centro_costo]],tblCECO[codigo],tblCECO[linea],"(sin catálogo)"))</f>
        <v/>
      </c>
      <c r="V1145" s="3">
        <f>IF(tblOrdenes[[#This Row],[centro_costo]]="","",_xlfn.XLOOKUP(tblOrdenes[[#This Row],[centro_costo]],tblCECO[codigo],tblCECO[area],"(sin catálogo)"))</f>
        <v/>
      </c>
      <c r="W1145" s="3">
        <f>IF(tblOrdenes[[#This Row],[centro_costo]]="","",_xlfn.XLOOKUP(tblOrdenes[[#This Row],[centro_costo]],tblCECO[codigo],tblCECO[coordinador],"(sin catálogo)"))</f>
        <v/>
      </c>
      <c r="X1145" s="3">
        <f>IF(tblOrdenes[[#This Row],[puesto_trabajo]]="","",_xlfn.XLOOKUP(tblOrdenes[[#This Row],[puesto_trabajo]],tblPuestos[codigo],tblPuestos[especialidad],"(sin catálogo)"))</f>
        <v/>
      </c>
      <c r="Y1145" s="3">
        <f>IF(tblOrdenes[[#This Row],[cod_actividad]]="","",_xlfn.XLOOKUP(tblOrdenes[[#This Row],[cod_actividad]],tblActividades[codigo],tblActividades[descripcion],"(sin catálogo)"))</f>
        <v/>
      </c>
      <c r="Z1145" s="12">
        <f>IF(tblOrdenes[[#This Row],[fecha_inicio]]="","",TODAY()-tblOrdenes[[#This Row],[fecha_inicio]])</f>
        <v/>
      </c>
      <c r="AA1145" s="3">
        <f>IF(tblOrdenes[[#This Row],[backlog_dias]]="","",IF(tblOrdenes[[#This Row],[backlog_dias]]&lt;0,"FUTURO",IF(tblOrdenes[[#This Row],[backlog_dias]]&gt;p_dias_backlog_max,"BACKLOG","MES CORRIENTE")))</f>
        <v/>
      </c>
      <c r="AB1145" s="3">
        <f>IF(tblOrdenes[[#This Row],[backlog_dias]]="",FALSE,AND(tblOrdenes[[#This Row],[backlog_dias]]&gt;p_dias_backlog_min,tblOrdenes[[#This Row],[backlog_dias]]&lt;=p_dias_backlog_max))</f>
        <v/>
      </c>
      <c r="AC1145" s="6" t="n"/>
      <c r="AD114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4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4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45" s="10">
        <f>IF(tblOrdenes[[#This Row],[orden]]="","",_xlfn.XLOOKUP(tblOrdenes[[#This Row],[id_operacion]],tblEjecucion[id_operacion],tblEjecucion[precio],0))</f>
        <v/>
      </c>
      <c r="AH1145" s="10">
        <f>IF(tblOrdenes[[#This Row],[orden]]="","",MAX(0,_xlfn.XLOOKUP(tblOrdenes[[#This Row],[id_operacion]],tblEjecucion[id_operacion],tblEjecucion[costo_plan_total],0)-tblOrdenes[[#This Row],[costo_servicio]]))</f>
        <v/>
      </c>
      <c r="AI1145" s="10">
        <f>IF(tblOrdenes[[#This Row],[orden]]="","",tblOrdenes[[#This Row],[costo_servicio]]+tblOrdenes[[#This Row],[costo_materiales]])</f>
        <v/>
      </c>
      <c r="AJ1145" s="6" t="n"/>
      <c r="AK1145" s="6" t="n"/>
      <c r="AL1145" s="6" t="n"/>
      <c r="AM1145" s="3">
        <f>IF(tblOrdenes[[#This Row],[link_checklist]]="","",HYPERLINK(p_ruta_base_checklists&amp;tblOrdenes[[#This Row],[link_checklist]],"abrir"))</f>
        <v/>
      </c>
      <c r="AN1145" s="6" t="n"/>
      <c r="AO1145" s="3">
        <f>IF(tblOrdenes[[#This Row],[orden]]="","",tblOrdenes[[#This Row],[orden]]&amp;IF(tblOrdenes[[#This Row],[operacion]]="","0010",tblOrdenes[[#This Row],[operacion]]))</f>
        <v/>
      </c>
    </row>
    <row r="1146">
      <c r="A1146" s="3" t="n"/>
      <c r="B1146" s="3" t="n"/>
      <c r="C1146" s="3" t="n"/>
      <c r="D1146" s="3" t="n"/>
      <c r="E1146" s="3" t="n"/>
      <c r="F1146" s="3" t="n"/>
      <c r="G1146" s="3" t="n"/>
      <c r="H1146" s="3" t="n"/>
      <c r="I1146" s="3" t="n"/>
      <c r="J1146" s="11" t="n"/>
      <c r="K1146" s="3" t="n"/>
      <c r="L1146" s="10" t="n"/>
      <c r="M1146" s="6" t="n"/>
      <c r="N114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4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4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46" s="3">
        <f>IF(tblOrdenes[[#This Row],[fecha_inicio]]="","",YEAR(tblOrdenes[[#This Row],[fecha_inicio]]))</f>
        <v/>
      </c>
      <c r="R1146" s="3">
        <f>IF(tblOrdenes[[#This Row],[fecha_inicio]]="","",MONTH(tblOrdenes[[#This Row],[fecha_inicio]]))</f>
        <v/>
      </c>
      <c r="S1146" s="3">
        <f>IF(tblOrdenes[[#This Row],[fecha_inicio]]="","",INDEX(lista_dias,WEEKDAY(tblOrdenes[[#This Row],[fecha_inicio]],2)))</f>
        <v/>
      </c>
      <c r="T1146" s="3">
        <f>IF(tblOrdenes[[#This Row],[tipo_ot]]="","",_xlfn.XLOOKUP(tblOrdenes[[#This Row],[tipo_ot]],tblTiposOT[codigo],tblTiposOT[clasificacion],"sin_clasificar"))</f>
        <v/>
      </c>
      <c r="U1146" s="3">
        <f>IF(tblOrdenes[[#This Row],[centro_costo]]="","",_xlfn.XLOOKUP(tblOrdenes[[#This Row],[centro_costo]],tblCECO[codigo],tblCECO[linea],"(sin catálogo)"))</f>
        <v/>
      </c>
      <c r="V1146" s="3">
        <f>IF(tblOrdenes[[#This Row],[centro_costo]]="","",_xlfn.XLOOKUP(tblOrdenes[[#This Row],[centro_costo]],tblCECO[codigo],tblCECO[area],"(sin catálogo)"))</f>
        <v/>
      </c>
      <c r="W1146" s="3">
        <f>IF(tblOrdenes[[#This Row],[centro_costo]]="","",_xlfn.XLOOKUP(tblOrdenes[[#This Row],[centro_costo]],tblCECO[codigo],tblCECO[coordinador],"(sin catálogo)"))</f>
        <v/>
      </c>
      <c r="X1146" s="3">
        <f>IF(tblOrdenes[[#This Row],[puesto_trabajo]]="","",_xlfn.XLOOKUP(tblOrdenes[[#This Row],[puesto_trabajo]],tblPuestos[codigo],tblPuestos[especialidad],"(sin catálogo)"))</f>
        <v/>
      </c>
      <c r="Y1146" s="3">
        <f>IF(tblOrdenes[[#This Row],[cod_actividad]]="","",_xlfn.XLOOKUP(tblOrdenes[[#This Row],[cod_actividad]],tblActividades[codigo],tblActividades[descripcion],"(sin catálogo)"))</f>
        <v/>
      </c>
      <c r="Z1146" s="12">
        <f>IF(tblOrdenes[[#This Row],[fecha_inicio]]="","",TODAY()-tblOrdenes[[#This Row],[fecha_inicio]])</f>
        <v/>
      </c>
      <c r="AA1146" s="3">
        <f>IF(tblOrdenes[[#This Row],[backlog_dias]]="","",IF(tblOrdenes[[#This Row],[backlog_dias]]&lt;0,"FUTURO",IF(tblOrdenes[[#This Row],[backlog_dias]]&gt;p_dias_backlog_max,"BACKLOG","MES CORRIENTE")))</f>
        <v/>
      </c>
      <c r="AB1146" s="3">
        <f>IF(tblOrdenes[[#This Row],[backlog_dias]]="",FALSE,AND(tblOrdenes[[#This Row],[backlog_dias]]&gt;p_dias_backlog_min,tblOrdenes[[#This Row],[backlog_dias]]&lt;=p_dias_backlog_max))</f>
        <v/>
      </c>
      <c r="AC1146" s="6" t="n"/>
      <c r="AD114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4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4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46" s="10">
        <f>IF(tblOrdenes[[#This Row],[orden]]="","",_xlfn.XLOOKUP(tblOrdenes[[#This Row],[id_operacion]],tblEjecucion[id_operacion],tblEjecucion[precio],0))</f>
        <v/>
      </c>
      <c r="AH1146" s="10">
        <f>IF(tblOrdenes[[#This Row],[orden]]="","",MAX(0,_xlfn.XLOOKUP(tblOrdenes[[#This Row],[id_operacion]],tblEjecucion[id_operacion],tblEjecucion[costo_plan_total],0)-tblOrdenes[[#This Row],[costo_servicio]]))</f>
        <v/>
      </c>
      <c r="AI1146" s="10">
        <f>IF(tblOrdenes[[#This Row],[orden]]="","",tblOrdenes[[#This Row],[costo_servicio]]+tblOrdenes[[#This Row],[costo_materiales]])</f>
        <v/>
      </c>
      <c r="AJ1146" s="6" t="n"/>
      <c r="AK1146" s="6" t="n"/>
      <c r="AL1146" s="6" t="n"/>
      <c r="AM1146" s="3">
        <f>IF(tblOrdenes[[#This Row],[link_checklist]]="","",HYPERLINK(p_ruta_base_checklists&amp;tblOrdenes[[#This Row],[link_checklist]],"abrir"))</f>
        <v/>
      </c>
      <c r="AN1146" s="6" t="n"/>
      <c r="AO1146" s="3">
        <f>IF(tblOrdenes[[#This Row],[orden]]="","",tblOrdenes[[#This Row],[orden]]&amp;IF(tblOrdenes[[#This Row],[operacion]]="","0010",tblOrdenes[[#This Row],[operacion]]))</f>
        <v/>
      </c>
    </row>
    <row r="1147">
      <c r="A1147" s="3" t="n"/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11" t="n"/>
      <c r="K1147" s="3" t="n"/>
      <c r="L1147" s="10" t="n"/>
      <c r="M1147" s="6" t="n"/>
      <c r="N114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4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4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47" s="3">
        <f>IF(tblOrdenes[[#This Row],[fecha_inicio]]="","",YEAR(tblOrdenes[[#This Row],[fecha_inicio]]))</f>
        <v/>
      </c>
      <c r="R1147" s="3">
        <f>IF(tblOrdenes[[#This Row],[fecha_inicio]]="","",MONTH(tblOrdenes[[#This Row],[fecha_inicio]]))</f>
        <v/>
      </c>
      <c r="S1147" s="3">
        <f>IF(tblOrdenes[[#This Row],[fecha_inicio]]="","",INDEX(lista_dias,WEEKDAY(tblOrdenes[[#This Row],[fecha_inicio]],2)))</f>
        <v/>
      </c>
      <c r="T1147" s="3">
        <f>IF(tblOrdenes[[#This Row],[tipo_ot]]="","",_xlfn.XLOOKUP(tblOrdenes[[#This Row],[tipo_ot]],tblTiposOT[codigo],tblTiposOT[clasificacion],"sin_clasificar"))</f>
        <v/>
      </c>
      <c r="U1147" s="3">
        <f>IF(tblOrdenes[[#This Row],[centro_costo]]="","",_xlfn.XLOOKUP(tblOrdenes[[#This Row],[centro_costo]],tblCECO[codigo],tblCECO[linea],"(sin catálogo)"))</f>
        <v/>
      </c>
      <c r="V1147" s="3">
        <f>IF(tblOrdenes[[#This Row],[centro_costo]]="","",_xlfn.XLOOKUP(tblOrdenes[[#This Row],[centro_costo]],tblCECO[codigo],tblCECO[area],"(sin catálogo)"))</f>
        <v/>
      </c>
      <c r="W1147" s="3">
        <f>IF(tblOrdenes[[#This Row],[centro_costo]]="","",_xlfn.XLOOKUP(tblOrdenes[[#This Row],[centro_costo]],tblCECO[codigo],tblCECO[coordinador],"(sin catálogo)"))</f>
        <v/>
      </c>
      <c r="X1147" s="3">
        <f>IF(tblOrdenes[[#This Row],[puesto_trabajo]]="","",_xlfn.XLOOKUP(tblOrdenes[[#This Row],[puesto_trabajo]],tblPuestos[codigo],tblPuestos[especialidad],"(sin catálogo)"))</f>
        <v/>
      </c>
      <c r="Y1147" s="3">
        <f>IF(tblOrdenes[[#This Row],[cod_actividad]]="","",_xlfn.XLOOKUP(tblOrdenes[[#This Row],[cod_actividad]],tblActividades[codigo],tblActividades[descripcion],"(sin catálogo)"))</f>
        <v/>
      </c>
      <c r="Z1147" s="12">
        <f>IF(tblOrdenes[[#This Row],[fecha_inicio]]="","",TODAY()-tblOrdenes[[#This Row],[fecha_inicio]])</f>
        <v/>
      </c>
      <c r="AA1147" s="3">
        <f>IF(tblOrdenes[[#This Row],[backlog_dias]]="","",IF(tblOrdenes[[#This Row],[backlog_dias]]&lt;0,"FUTURO",IF(tblOrdenes[[#This Row],[backlog_dias]]&gt;p_dias_backlog_max,"BACKLOG","MES CORRIENTE")))</f>
        <v/>
      </c>
      <c r="AB1147" s="3">
        <f>IF(tblOrdenes[[#This Row],[backlog_dias]]="",FALSE,AND(tblOrdenes[[#This Row],[backlog_dias]]&gt;p_dias_backlog_min,tblOrdenes[[#This Row],[backlog_dias]]&lt;=p_dias_backlog_max))</f>
        <v/>
      </c>
      <c r="AC1147" s="6" t="n"/>
      <c r="AD114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4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4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47" s="10">
        <f>IF(tblOrdenes[[#This Row],[orden]]="","",_xlfn.XLOOKUP(tblOrdenes[[#This Row],[id_operacion]],tblEjecucion[id_operacion],tblEjecucion[precio],0))</f>
        <v/>
      </c>
      <c r="AH1147" s="10">
        <f>IF(tblOrdenes[[#This Row],[orden]]="","",MAX(0,_xlfn.XLOOKUP(tblOrdenes[[#This Row],[id_operacion]],tblEjecucion[id_operacion],tblEjecucion[costo_plan_total],0)-tblOrdenes[[#This Row],[costo_servicio]]))</f>
        <v/>
      </c>
      <c r="AI1147" s="10">
        <f>IF(tblOrdenes[[#This Row],[orden]]="","",tblOrdenes[[#This Row],[costo_servicio]]+tblOrdenes[[#This Row],[costo_materiales]])</f>
        <v/>
      </c>
      <c r="AJ1147" s="6" t="n"/>
      <c r="AK1147" s="6" t="n"/>
      <c r="AL1147" s="6" t="n"/>
      <c r="AM1147" s="3">
        <f>IF(tblOrdenes[[#This Row],[link_checklist]]="","",HYPERLINK(p_ruta_base_checklists&amp;tblOrdenes[[#This Row],[link_checklist]],"abrir"))</f>
        <v/>
      </c>
      <c r="AN1147" s="6" t="n"/>
      <c r="AO1147" s="3">
        <f>IF(tblOrdenes[[#This Row],[orden]]="","",tblOrdenes[[#This Row],[orden]]&amp;IF(tblOrdenes[[#This Row],[operacion]]="","0010",tblOrdenes[[#This Row],[operacion]]))</f>
        <v/>
      </c>
    </row>
    <row r="1148">
      <c r="A1148" s="3" t="n"/>
      <c r="B1148" s="3" t="n"/>
      <c r="C1148" s="3" t="n"/>
      <c r="D1148" s="3" t="n"/>
      <c r="E1148" s="3" t="n"/>
      <c r="F1148" s="3" t="n"/>
      <c r="G1148" s="3" t="n"/>
      <c r="H1148" s="3" t="n"/>
      <c r="I1148" s="3" t="n"/>
      <c r="J1148" s="11" t="n"/>
      <c r="K1148" s="3" t="n"/>
      <c r="L1148" s="10" t="n"/>
      <c r="M1148" s="6" t="n"/>
      <c r="N114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4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4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48" s="3">
        <f>IF(tblOrdenes[[#This Row],[fecha_inicio]]="","",YEAR(tblOrdenes[[#This Row],[fecha_inicio]]))</f>
        <v/>
      </c>
      <c r="R1148" s="3">
        <f>IF(tblOrdenes[[#This Row],[fecha_inicio]]="","",MONTH(tblOrdenes[[#This Row],[fecha_inicio]]))</f>
        <v/>
      </c>
      <c r="S1148" s="3">
        <f>IF(tblOrdenes[[#This Row],[fecha_inicio]]="","",INDEX(lista_dias,WEEKDAY(tblOrdenes[[#This Row],[fecha_inicio]],2)))</f>
        <v/>
      </c>
      <c r="T1148" s="3">
        <f>IF(tblOrdenes[[#This Row],[tipo_ot]]="","",_xlfn.XLOOKUP(tblOrdenes[[#This Row],[tipo_ot]],tblTiposOT[codigo],tblTiposOT[clasificacion],"sin_clasificar"))</f>
        <v/>
      </c>
      <c r="U1148" s="3">
        <f>IF(tblOrdenes[[#This Row],[centro_costo]]="","",_xlfn.XLOOKUP(tblOrdenes[[#This Row],[centro_costo]],tblCECO[codigo],tblCECO[linea],"(sin catálogo)"))</f>
        <v/>
      </c>
      <c r="V1148" s="3">
        <f>IF(tblOrdenes[[#This Row],[centro_costo]]="","",_xlfn.XLOOKUP(tblOrdenes[[#This Row],[centro_costo]],tblCECO[codigo],tblCECO[area],"(sin catálogo)"))</f>
        <v/>
      </c>
      <c r="W1148" s="3">
        <f>IF(tblOrdenes[[#This Row],[centro_costo]]="","",_xlfn.XLOOKUP(tblOrdenes[[#This Row],[centro_costo]],tblCECO[codigo],tblCECO[coordinador],"(sin catálogo)"))</f>
        <v/>
      </c>
      <c r="X1148" s="3">
        <f>IF(tblOrdenes[[#This Row],[puesto_trabajo]]="","",_xlfn.XLOOKUP(tblOrdenes[[#This Row],[puesto_trabajo]],tblPuestos[codigo],tblPuestos[especialidad],"(sin catálogo)"))</f>
        <v/>
      </c>
      <c r="Y1148" s="3">
        <f>IF(tblOrdenes[[#This Row],[cod_actividad]]="","",_xlfn.XLOOKUP(tblOrdenes[[#This Row],[cod_actividad]],tblActividades[codigo],tblActividades[descripcion],"(sin catálogo)"))</f>
        <v/>
      </c>
      <c r="Z1148" s="12">
        <f>IF(tblOrdenes[[#This Row],[fecha_inicio]]="","",TODAY()-tblOrdenes[[#This Row],[fecha_inicio]])</f>
        <v/>
      </c>
      <c r="AA1148" s="3">
        <f>IF(tblOrdenes[[#This Row],[backlog_dias]]="","",IF(tblOrdenes[[#This Row],[backlog_dias]]&lt;0,"FUTURO",IF(tblOrdenes[[#This Row],[backlog_dias]]&gt;p_dias_backlog_max,"BACKLOG","MES CORRIENTE")))</f>
        <v/>
      </c>
      <c r="AB1148" s="3">
        <f>IF(tblOrdenes[[#This Row],[backlog_dias]]="",FALSE,AND(tblOrdenes[[#This Row],[backlog_dias]]&gt;p_dias_backlog_min,tblOrdenes[[#This Row],[backlog_dias]]&lt;=p_dias_backlog_max))</f>
        <v/>
      </c>
      <c r="AC1148" s="6" t="n"/>
      <c r="AD114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4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4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48" s="10">
        <f>IF(tblOrdenes[[#This Row],[orden]]="","",_xlfn.XLOOKUP(tblOrdenes[[#This Row],[id_operacion]],tblEjecucion[id_operacion],tblEjecucion[precio],0))</f>
        <v/>
      </c>
      <c r="AH1148" s="10">
        <f>IF(tblOrdenes[[#This Row],[orden]]="","",MAX(0,_xlfn.XLOOKUP(tblOrdenes[[#This Row],[id_operacion]],tblEjecucion[id_operacion],tblEjecucion[costo_plan_total],0)-tblOrdenes[[#This Row],[costo_servicio]]))</f>
        <v/>
      </c>
      <c r="AI1148" s="10">
        <f>IF(tblOrdenes[[#This Row],[orden]]="","",tblOrdenes[[#This Row],[costo_servicio]]+tblOrdenes[[#This Row],[costo_materiales]])</f>
        <v/>
      </c>
      <c r="AJ1148" s="6" t="n"/>
      <c r="AK1148" s="6" t="n"/>
      <c r="AL1148" s="6" t="n"/>
      <c r="AM1148" s="3">
        <f>IF(tblOrdenes[[#This Row],[link_checklist]]="","",HYPERLINK(p_ruta_base_checklists&amp;tblOrdenes[[#This Row],[link_checklist]],"abrir"))</f>
        <v/>
      </c>
      <c r="AN1148" s="6" t="n"/>
      <c r="AO1148" s="3">
        <f>IF(tblOrdenes[[#This Row],[orden]]="","",tblOrdenes[[#This Row],[orden]]&amp;IF(tblOrdenes[[#This Row],[operacion]]="","0010",tblOrdenes[[#This Row],[operacion]]))</f>
        <v/>
      </c>
    </row>
    <row r="1149">
      <c r="A1149" s="3" t="n"/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11" t="n"/>
      <c r="K1149" s="3" t="n"/>
      <c r="L1149" s="10" t="n"/>
      <c r="M1149" s="6" t="n"/>
      <c r="N114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4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4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49" s="3">
        <f>IF(tblOrdenes[[#This Row],[fecha_inicio]]="","",YEAR(tblOrdenes[[#This Row],[fecha_inicio]]))</f>
        <v/>
      </c>
      <c r="R1149" s="3">
        <f>IF(tblOrdenes[[#This Row],[fecha_inicio]]="","",MONTH(tblOrdenes[[#This Row],[fecha_inicio]]))</f>
        <v/>
      </c>
      <c r="S1149" s="3">
        <f>IF(tblOrdenes[[#This Row],[fecha_inicio]]="","",INDEX(lista_dias,WEEKDAY(tblOrdenes[[#This Row],[fecha_inicio]],2)))</f>
        <v/>
      </c>
      <c r="T1149" s="3">
        <f>IF(tblOrdenes[[#This Row],[tipo_ot]]="","",_xlfn.XLOOKUP(tblOrdenes[[#This Row],[tipo_ot]],tblTiposOT[codigo],tblTiposOT[clasificacion],"sin_clasificar"))</f>
        <v/>
      </c>
      <c r="U1149" s="3">
        <f>IF(tblOrdenes[[#This Row],[centro_costo]]="","",_xlfn.XLOOKUP(tblOrdenes[[#This Row],[centro_costo]],tblCECO[codigo],tblCECO[linea],"(sin catálogo)"))</f>
        <v/>
      </c>
      <c r="V1149" s="3">
        <f>IF(tblOrdenes[[#This Row],[centro_costo]]="","",_xlfn.XLOOKUP(tblOrdenes[[#This Row],[centro_costo]],tblCECO[codigo],tblCECO[area],"(sin catálogo)"))</f>
        <v/>
      </c>
      <c r="W1149" s="3">
        <f>IF(tblOrdenes[[#This Row],[centro_costo]]="","",_xlfn.XLOOKUP(tblOrdenes[[#This Row],[centro_costo]],tblCECO[codigo],tblCECO[coordinador],"(sin catálogo)"))</f>
        <v/>
      </c>
      <c r="X1149" s="3">
        <f>IF(tblOrdenes[[#This Row],[puesto_trabajo]]="","",_xlfn.XLOOKUP(tblOrdenes[[#This Row],[puesto_trabajo]],tblPuestos[codigo],tblPuestos[especialidad],"(sin catálogo)"))</f>
        <v/>
      </c>
      <c r="Y1149" s="3">
        <f>IF(tblOrdenes[[#This Row],[cod_actividad]]="","",_xlfn.XLOOKUP(tblOrdenes[[#This Row],[cod_actividad]],tblActividades[codigo],tblActividades[descripcion],"(sin catálogo)"))</f>
        <v/>
      </c>
      <c r="Z1149" s="12">
        <f>IF(tblOrdenes[[#This Row],[fecha_inicio]]="","",TODAY()-tblOrdenes[[#This Row],[fecha_inicio]])</f>
        <v/>
      </c>
      <c r="AA1149" s="3">
        <f>IF(tblOrdenes[[#This Row],[backlog_dias]]="","",IF(tblOrdenes[[#This Row],[backlog_dias]]&lt;0,"FUTURO",IF(tblOrdenes[[#This Row],[backlog_dias]]&gt;p_dias_backlog_max,"BACKLOG","MES CORRIENTE")))</f>
        <v/>
      </c>
      <c r="AB1149" s="3">
        <f>IF(tblOrdenes[[#This Row],[backlog_dias]]="",FALSE,AND(tblOrdenes[[#This Row],[backlog_dias]]&gt;p_dias_backlog_min,tblOrdenes[[#This Row],[backlog_dias]]&lt;=p_dias_backlog_max))</f>
        <v/>
      </c>
      <c r="AC1149" s="6" t="n"/>
      <c r="AD114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4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4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49" s="10">
        <f>IF(tblOrdenes[[#This Row],[orden]]="","",_xlfn.XLOOKUP(tblOrdenes[[#This Row],[id_operacion]],tblEjecucion[id_operacion],tblEjecucion[precio],0))</f>
        <v/>
      </c>
      <c r="AH1149" s="10">
        <f>IF(tblOrdenes[[#This Row],[orden]]="","",MAX(0,_xlfn.XLOOKUP(tblOrdenes[[#This Row],[id_operacion]],tblEjecucion[id_operacion],tblEjecucion[costo_plan_total],0)-tblOrdenes[[#This Row],[costo_servicio]]))</f>
        <v/>
      </c>
      <c r="AI1149" s="10">
        <f>IF(tblOrdenes[[#This Row],[orden]]="","",tblOrdenes[[#This Row],[costo_servicio]]+tblOrdenes[[#This Row],[costo_materiales]])</f>
        <v/>
      </c>
      <c r="AJ1149" s="6" t="n"/>
      <c r="AK1149" s="6" t="n"/>
      <c r="AL1149" s="6" t="n"/>
      <c r="AM1149" s="3">
        <f>IF(tblOrdenes[[#This Row],[link_checklist]]="","",HYPERLINK(p_ruta_base_checklists&amp;tblOrdenes[[#This Row],[link_checklist]],"abrir"))</f>
        <v/>
      </c>
      <c r="AN1149" s="6" t="n"/>
      <c r="AO1149" s="3">
        <f>IF(tblOrdenes[[#This Row],[orden]]="","",tblOrdenes[[#This Row],[orden]]&amp;IF(tblOrdenes[[#This Row],[operacion]]="","0010",tblOrdenes[[#This Row],[operacion]]))</f>
        <v/>
      </c>
    </row>
    <row r="1150">
      <c r="A1150" s="3" t="n"/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11" t="n"/>
      <c r="K1150" s="3" t="n"/>
      <c r="L1150" s="10" t="n"/>
      <c r="M1150" s="6" t="n"/>
      <c r="N115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5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5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50" s="3">
        <f>IF(tblOrdenes[[#This Row],[fecha_inicio]]="","",YEAR(tblOrdenes[[#This Row],[fecha_inicio]]))</f>
        <v/>
      </c>
      <c r="R1150" s="3">
        <f>IF(tblOrdenes[[#This Row],[fecha_inicio]]="","",MONTH(tblOrdenes[[#This Row],[fecha_inicio]]))</f>
        <v/>
      </c>
      <c r="S1150" s="3">
        <f>IF(tblOrdenes[[#This Row],[fecha_inicio]]="","",INDEX(lista_dias,WEEKDAY(tblOrdenes[[#This Row],[fecha_inicio]],2)))</f>
        <v/>
      </c>
      <c r="T1150" s="3">
        <f>IF(tblOrdenes[[#This Row],[tipo_ot]]="","",_xlfn.XLOOKUP(tblOrdenes[[#This Row],[tipo_ot]],tblTiposOT[codigo],tblTiposOT[clasificacion],"sin_clasificar"))</f>
        <v/>
      </c>
      <c r="U1150" s="3">
        <f>IF(tblOrdenes[[#This Row],[centro_costo]]="","",_xlfn.XLOOKUP(tblOrdenes[[#This Row],[centro_costo]],tblCECO[codigo],tblCECO[linea],"(sin catálogo)"))</f>
        <v/>
      </c>
      <c r="V1150" s="3">
        <f>IF(tblOrdenes[[#This Row],[centro_costo]]="","",_xlfn.XLOOKUP(tblOrdenes[[#This Row],[centro_costo]],tblCECO[codigo],tblCECO[area],"(sin catálogo)"))</f>
        <v/>
      </c>
      <c r="W1150" s="3">
        <f>IF(tblOrdenes[[#This Row],[centro_costo]]="","",_xlfn.XLOOKUP(tblOrdenes[[#This Row],[centro_costo]],tblCECO[codigo],tblCECO[coordinador],"(sin catálogo)"))</f>
        <v/>
      </c>
      <c r="X1150" s="3">
        <f>IF(tblOrdenes[[#This Row],[puesto_trabajo]]="","",_xlfn.XLOOKUP(tblOrdenes[[#This Row],[puesto_trabajo]],tblPuestos[codigo],tblPuestos[especialidad],"(sin catálogo)"))</f>
        <v/>
      </c>
      <c r="Y1150" s="3">
        <f>IF(tblOrdenes[[#This Row],[cod_actividad]]="","",_xlfn.XLOOKUP(tblOrdenes[[#This Row],[cod_actividad]],tblActividades[codigo],tblActividades[descripcion],"(sin catálogo)"))</f>
        <v/>
      </c>
      <c r="Z1150" s="12">
        <f>IF(tblOrdenes[[#This Row],[fecha_inicio]]="","",TODAY()-tblOrdenes[[#This Row],[fecha_inicio]])</f>
        <v/>
      </c>
      <c r="AA1150" s="3">
        <f>IF(tblOrdenes[[#This Row],[backlog_dias]]="","",IF(tblOrdenes[[#This Row],[backlog_dias]]&lt;0,"FUTURO",IF(tblOrdenes[[#This Row],[backlog_dias]]&gt;p_dias_backlog_max,"BACKLOG","MES CORRIENTE")))</f>
        <v/>
      </c>
      <c r="AB1150" s="3">
        <f>IF(tblOrdenes[[#This Row],[backlog_dias]]="",FALSE,AND(tblOrdenes[[#This Row],[backlog_dias]]&gt;p_dias_backlog_min,tblOrdenes[[#This Row],[backlog_dias]]&lt;=p_dias_backlog_max))</f>
        <v/>
      </c>
      <c r="AC1150" s="6" t="n"/>
      <c r="AD115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5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5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50" s="10">
        <f>IF(tblOrdenes[[#This Row],[orden]]="","",_xlfn.XLOOKUP(tblOrdenes[[#This Row],[id_operacion]],tblEjecucion[id_operacion],tblEjecucion[precio],0))</f>
        <v/>
      </c>
      <c r="AH1150" s="10">
        <f>IF(tblOrdenes[[#This Row],[orden]]="","",MAX(0,_xlfn.XLOOKUP(tblOrdenes[[#This Row],[id_operacion]],tblEjecucion[id_operacion],tblEjecucion[costo_plan_total],0)-tblOrdenes[[#This Row],[costo_servicio]]))</f>
        <v/>
      </c>
      <c r="AI1150" s="10">
        <f>IF(tblOrdenes[[#This Row],[orden]]="","",tblOrdenes[[#This Row],[costo_servicio]]+tblOrdenes[[#This Row],[costo_materiales]])</f>
        <v/>
      </c>
      <c r="AJ1150" s="6" t="n"/>
      <c r="AK1150" s="6" t="n"/>
      <c r="AL1150" s="6" t="n"/>
      <c r="AM1150" s="3">
        <f>IF(tblOrdenes[[#This Row],[link_checklist]]="","",HYPERLINK(p_ruta_base_checklists&amp;tblOrdenes[[#This Row],[link_checklist]],"abrir"))</f>
        <v/>
      </c>
      <c r="AN1150" s="6" t="n"/>
      <c r="AO1150" s="3">
        <f>IF(tblOrdenes[[#This Row],[orden]]="","",tblOrdenes[[#This Row],[orden]]&amp;IF(tblOrdenes[[#This Row],[operacion]]="","0010",tblOrdenes[[#This Row],[operacion]]))</f>
        <v/>
      </c>
    </row>
    <row r="1151">
      <c r="A1151" s="3" t="n"/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11" t="n"/>
      <c r="K1151" s="3" t="n"/>
      <c r="L1151" s="10" t="n"/>
      <c r="M1151" s="6" t="n"/>
      <c r="N115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5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5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51" s="3">
        <f>IF(tblOrdenes[[#This Row],[fecha_inicio]]="","",YEAR(tblOrdenes[[#This Row],[fecha_inicio]]))</f>
        <v/>
      </c>
      <c r="R1151" s="3">
        <f>IF(tblOrdenes[[#This Row],[fecha_inicio]]="","",MONTH(tblOrdenes[[#This Row],[fecha_inicio]]))</f>
        <v/>
      </c>
      <c r="S1151" s="3">
        <f>IF(tblOrdenes[[#This Row],[fecha_inicio]]="","",INDEX(lista_dias,WEEKDAY(tblOrdenes[[#This Row],[fecha_inicio]],2)))</f>
        <v/>
      </c>
      <c r="T1151" s="3">
        <f>IF(tblOrdenes[[#This Row],[tipo_ot]]="","",_xlfn.XLOOKUP(tblOrdenes[[#This Row],[tipo_ot]],tblTiposOT[codigo],tblTiposOT[clasificacion],"sin_clasificar"))</f>
        <v/>
      </c>
      <c r="U1151" s="3">
        <f>IF(tblOrdenes[[#This Row],[centro_costo]]="","",_xlfn.XLOOKUP(tblOrdenes[[#This Row],[centro_costo]],tblCECO[codigo],tblCECO[linea],"(sin catálogo)"))</f>
        <v/>
      </c>
      <c r="V1151" s="3">
        <f>IF(tblOrdenes[[#This Row],[centro_costo]]="","",_xlfn.XLOOKUP(tblOrdenes[[#This Row],[centro_costo]],tblCECO[codigo],tblCECO[area],"(sin catálogo)"))</f>
        <v/>
      </c>
      <c r="W1151" s="3">
        <f>IF(tblOrdenes[[#This Row],[centro_costo]]="","",_xlfn.XLOOKUP(tblOrdenes[[#This Row],[centro_costo]],tblCECO[codigo],tblCECO[coordinador],"(sin catálogo)"))</f>
        <v/>
      </c>
      <c r="X1151" s="3">
        <f>IF(tblOrdenes[[#This Row],[puesto_trabajo]]="","",_xlfn.XLOOKUP(tblOrdenes[[#This Row],[puesto_trabajo]],tblPuestos[codigo],tblPuestos[especialidad],"(sin catálogo)"))</f>
        <v/>
      </c>
      <c r="Y1151" s="3">
        <f>IF(tblOrdenes[[#This Row],[cod_actividad]]="","",_xlfn.XLOOKUP(tblOrdenes[[#This Row],[cod_actividad]],tblActividades[codigo],tblActividades[descripcion],"(sin catálogo)"))</f>
        <v/>
      </c>
      <c r="Z1151" s="12">
        <f>IF(tblOrdenes[[#This Row],[fecha_inicio]]="","",TODAY()-tblOrdenes[[#This Row],[fecha_inicio]])</f>
        <v/>
      </c>
      <c r="AA1151" s="3">
        <f>IF(tblOrdenes[[#This Row],[backlog_dias]]="","",IF(tblOrdenes[[#This Row],[backlog_dias]]&lt;0,"FUTURO",IF(tblOrdenes[[#This Row],[backlog_dias]]&gt;p_dias_backlog_max,"BACKLOG","MES CORRIENTE")))</f>
        <v/>
      </c>
      <c r="AB1151" s="3">
        <f>IF(tblOrdenes[[#This Row],[backlog_dias]]="",FALSE,AND(tblOrdenes[[#This Row],[backlog_dias]]&gt;p_dias_backlog_min,tblOrdenes[[#This Row],[backlog_dias]]&lt;=p_dias_backlog_max))</f>
        <v/>
      </c>
      <c r="AC1151" s="6" t="n"/>
      <c r="AD115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5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5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51" s="10">
        <f>IF(tblOrdenes[[#This Row],[orden]]="","",_xlfn.XLOOKUP(tblOrdenes[[#This Row],[id_operacion]],tblEjecucion[id_operacion],tblEjecucion[precio],0))</f>
        <v/>
      </c>
      <c r="AH1151" s="10">
        <f>IF(tblOrdenes[[#This Row],[orden]]="","",MAX(0,_xlfn.XLOOKUP(tblOrdenes[[#This Row],[id_operacion]],tblEjecucion[id_operacion],tblEjecucion[costo_plan_total],0)-tblOrdenes[[#This Row],[costo_servicio]]))</f>
        <v/>
      </c>
      <c r="AI1151" s="10">
        <f>IF(tblOrdenes[[#This Row],[orden]]="","",tblOrdenes[[#This Row],[costo_servicio]]+tblOrdenes[[#This Row],[costo_materiales]])</f>
        <v/>
      </c>
      <c r="AJ1151" s="6" t="n"/>
      <c r="AK1151" s="6" t="n"/>
      <c r="AL1151" s="6" t="n"/>
      <c r="AM1151" s="3">
        <f>IF(tblOrdenes[[#This Row],[link_checklist]]="","",HYPERLINK(p_ruta_base_checklists&amp;tblOrdenes[[#This Row],[link_checklist]],"abrir"))</f>
        <v/>
      </c>
      <c r="AN1151" s="6" t="n"/>
      <c r="AO1151" s="3">
        <f>IF(tblOrdenes[[#This Row],[orden]]="","",tblOrdenes[[#This Row],[orden]]&amp;IF(tblOrdenes[[#This Row],[operacion]]="","0010",tblOrdenes[[#This Row],[operacion]]))</f>
        <v/>
      </c>
    </row>
    <row r="1152">
      <c r="A1152" s="3" t="n"/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11" t="n"/>
      <c r="K1152" s="3" t="n"/>
      <c r="L1152" s="10" t="n"/>
      <c r="M1152" s="6" t="n"/>
      <c r="N115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5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5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52" s="3">
        <f>IF(tblOrdenes[[#This Row],[fecha_inicio]]="","",YEAR(tblOrdenes[[#This Row],[fecha_inicio]]))</f>
        <v/>
      </c>
      <c r="R1152" s="3">
        <f>IF(tblOrdenes[[#This Row],[fecha_inicio]]="","",MONTH(tblOrdenes[[#This Row],[fecha_inicio]]))</f>
        <v/>
      </c>
      <c r="S1152" s="3">
        <f>IF(tblOrdenes[[#This Row],[fecha_inicio]]="","",INDEX(lista_dias,WEEKDAY(tblOrdenes[[#This Row],[fecha_inicio]],2)))</f>
        <v/>
      </c>
      <c r="T1152" s="3">
        <f>IF(tblOrdenes[[#This Row],[tipo_ot]]="","",_xlfn.XLOOKUP(tblOrdenes[[#This Row],[tipo_ot]],tblTiposOT[codigo],tblTiposOT[clasificacion],"sin_clasificar"))</f>
        <v/>
      </c>
      <c r="U1152" s="3">
        <f>IF(tblOrdenes[[#This Row],[centro_costo]]="","",_xlfn.XLOOKUP(tblOrdenes[[#This Row],[centro_costo]],tblCECO[codigo],tblCECO[linea],"(sin catálogo)"))</f>
        <v/>
      </c>
      <c r="V1152" s="3">
        <f>IF(tblOrdenes[[#This Row],[centro_costo]]="","",_xlfn.XLOOKUP(tblOrdenes[[#This Row],[centro_costo]],tblCECO[codigo],tblCECO[area],"(sin catálogo)"))</f>
        <v/>
      </c>
      <c r="W1152" s="3">
        <f>IF(tblOrdenes[[#This Row],[centro_costo]]="","",_xlfn.XLOOKUP(tblOrdenes[[#This Row],[centro_costo]],tblCECO[codigo],tblCECO[coordinador],"(sin catálogo)"))</f>
        <v/>
      </c>
      <c r="X1152" s="3">
        <f>IF(tblOrdenes[[#This Row],[puesto_trabajo]]="","",_xlfn.XLOOKUP(tblOrdenes[[#This Row],[puesto_trabajo]],tblPuestos[codigo],tblPuestos[especialidad],"(sin catálogo)"))</f>
        <v/>
      </c>
      <c r="Y1152" s="3">
        <f>IF(tblOrdenes[[#This Row],[cod_actividad]]="","",_xlfn.XLOOKUP(tblOrdenes[[#This Row],[cod_actividad]],tblActividades[codigo],tblActividades[descripcion],"(sin catálogo)"))</f>
        <v/>
      </c>
      <c r="Z1152" s="12">
        <f>IF(tblOrdenes[[#This Row],[fecha_inicio]]="","",TODAY()-tblOrdenes[[#This Row],[fecha_inicio]])</f>
        <v/>
      </c>
      <c r="AA1152" s="3">
        <f>IF(tblOrdenes[[#This Row],[backlog_dias]]="","",IF(tblOrdenes[[#This Row],[backlog_dias]]&lt;0,"FUTURO",IF(tblOrdenes[[#This Row],[backlog_dias]]&gt;p_dias_backlog_max,"BACKLOG","MES CORRIENTE")))</f>
        <v/>
      </c>
      <c r="AB1152" s="3">
        <f>IF(tblOrdenes[[#This Row],[backlog_dias]]="",FALSE,AND(tblOrdenes[[#This Row],[backlog_dias]]&gt;p_dias_backlog_min,tblOrdenes[[#This Row],[backlog_dias]]&lt;=p_dias_backlog_max))</f>
        <v/>
      </c>
      <c r="AC1152" s="6" t="n"/>
      <c r="AD115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5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5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52" s="10">
        <f>IF(tblOrdenes[[#This Row],[orden]]="","",_xlfn.XLOOKUP(tblOrdenes[[#This Row],[id_operacion]],tblEjecucion[id_operacion],tblEjecucion[precio],0))</f>
        <v/>
      </c>
      <c r="AH1152" s="10">
        <f>IF(tblOrdenes[[#This Row],[orden]]="","",MAX(0,_xlfn.XLOOKUP(tblOrdenes[[#This Row],[id_operacion]],tblEjecucion[id_operacion],tblEjecucion[costo_plan_total],0)-tblOrdenes[[#This Row],[costo_servicio]]))</f>
        <v/>
      </c>
      <c r="AI1152" s="10">
        <f>IF(tblOrdenes[[#This Row],[orden]]="","",tblOrdenes[[#This Row],[costo_servicio]]+tblOrdenes[[#This Row],[costo_materiales]])</f>
        <v/>
      </c>
      <c r="AJ1152" s="6" t="n"/>
      <c r="AK1152" s="6" t="n"/>
      <c r="AL1152" s="6" t="n"/>
      <c r="AM1152" s="3">
        <f>IF(tblOrdenes[[#This Row],[link_checklist]]="","",HYPERLINK(p_ruta_base_checklists&amp;tblOrdenes[[#This Row],[link_checklist]],"abrir"))</f>
        <v/>
      </c>
      <c r="AN1152" s="6" t="n"/>
      <c r="AO1152" s="3">
        <f>IF(tblOrdenes[[#This Row],[orden]]="","",tblOrdenes[[#This Row],[orden]]&amp;IF(tblOrdenes[[#This Row],[operacion]]="","0010",tblOrdenes[[#This Row],[operacion]]))</f>
        <v/>
      </c>
    </row>
    <row r="1153">
      <c r="A1153" s="3" t="n"/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11" t="n"/>
      <c r="K1153" s="3" t="n"/>
      <c r="L1153" s="10" t="n"/>
      <c r="M1153" s="6" t="n"/>
      <c r="N115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5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5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53" s="3">
        <f>IF(tblOrdenes[[#This Row],[fecha_inicio]]="","",YEAR(tblOrdenes[[#This Row],[fecha_inicio]]))</f>
        <v/>
      </c>
      <c r="R1153" s="3">
        <f>IF(tblOrdenes[[#This Row],[fecha_inicio]]="","",MONTH(tblOrdenes[[#This Row],[fecha_inicio]]))</f>
        <v/>
      </c>
      <c r="S1153" s="3">
        <f>IF(tblOrdenes[[#This Row],[fecha_inicio]]="","",INDEX(lista_dias,WEEKDAY(tblOrdenes[[#This Row],[fecha_inicio]],2)))</f>
        <v/>
      </c>
      <c r="T1153" s="3">
        <f>IF(tblOrdenes[[#This Row],[tipo_ot]]="","",_xlfn.XLOOKUP(tblOrdenes[[#This Row],[tipo_ot]],tblTiposOT[codigo],tblTiposOT[clasificacion],"sin_clasificar"))</f>
        <v/>
      </c>
      <c r="U1153" s="3">
        <f>IF(tblOrdenes[[#This Row],[centro_costo]]="","",_xlfn.XLOOKUP(tblOrdenes[[#This Row],[centro_costo]],tblCECO[codigo],tblCECO[linea],"(sin catálogo)"))</f>
        <v/>
      </c>
      <c r="V1153" s="3">
        <f>IF(tblOrdenes[[#This Row],[centro_costo]]="","",_xlfn.XLOOKUP(tblOrdenes[[#This Row],[centro_costo]],tblCECO[codigo],tblCECO[area],"(sin catálogo)"))</f>
        <v/>
      </c>
      <c r="W1153" s="3">
        <f>IF(tblOrdenes[[#This Row],[centro_costo]]="","",_xlfn.XLOOKUP(tblOrdenes[[#This Row],[centro_costo]],tblCECO[codigo],tblCECO[coordinador],"(sin catálogo)"))</f>
        <v/>
      </c>
      <c r="X1153" s="3">
        <f>IF(tblOrdenes[[#This Row],[puesto_trabajo]]="","",_xlfn.XLOOKUP(tblOrdenes[[#This Row],[puesto_trabajo]],tblPuestos[codigo],tblPuestos[especialidad],"(sin catálogo)"))</f>
        <v/>
      </c>
      <c r="Y1153" s="3">
        <f>IF(tblOrdenes[[#This Row],[cod_actividad]]="","",_xlfn.XLOOKUP(tblOrdenes[[#This Row],[cod_actividad]],tblActividades[codigo],tblActividades[descripcion],"(sin catálogo)"))</f>
        <v/>
      </c>
      <c r="Z1153" s="12">
        <f>IF(tblOrdenes[[#This Row],[fecha_inicio]]="","",TODAY()-tblOrdenes[[#This Row],[fecha_inicio]])</f>
        <v/>
      </c>
      <c r="AA1153" s="3">
        <f>IF(tblOrdenes[[#This Row],[backlog_dias]]="","",IF(tblOrdenes[[#This Row],[backlog_dias]]&lt;0,"FUTURO",IF(tblOrdenes[[#This Row],[backlog_dias]]&gt;p_dias_backlog_max,"BACKLOG","MES CORRIENTE")))</f>
        <v/>
      </c>
      <c r="AB1153" s="3">
        <f>IF(tblOrdenes[[#This Row],[backlog_dias]]="",FALSE,AND(tblOrdenes[[#This Row],[backlog_dias]]&gt;p_dias_backlog_min,tblOrdenes[[#This Row],[backlog_dias]]&lt;=p_dias_backlog_max))</f>
        <v/>
      </c>
      <c r="AC1153" s="6" t="n"/>
      <c r="AD115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5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5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53" s="10">
        <f>IF(tblOrdenes[[#This Row],[orden]]="","",_xlfn.XLOOKUP(tblOrdenes[[#This Row],[id_operacion]],tblEjecucion[id_operacion],tblEjecucion[precio],0))</f>
        <v/>
      </c>
      <c r="AH1153" s="10">
        <f>IF(tblOrdenes[[#This Row],[orden]]="","",MAX(0,_xlfn.XLOOKUP(tblOrdenes[[#This Row],[id_operacion]],tblEjecucion[id_operacion],tblEjecucion[costo_plan_total],0)-tblOrdenes[[#This Row],[costo_servicio]]))</f>
        <v/>
      </c>
      <c r="AI1153" s="10">
        <f>IF(tblOrdenes[[#This Row],[orden]]="","",tblOrdenes[[#This Row],[costo_servicio]]+tblOrdenes[[#This Row],[costo_materiales]])</f>
        <v/>
      </c>
      <c r="AJ1153" s="6" t="n"/>
      <c r="AK1153" s="6" t="n"/>
      <c r="AL1153" s="6" t="n"/>
      <c r="AM1153" s="3">
        <f>IF(tblOrdenes[[#This Row],[link_checklist]]="","",HYPERLINK(p_ruta_base_checklists&amp;tblOrdenes[[#This Row],[link_checklist]],"abrir"))</f>
        <v/>
      </c>
      <c r="AN1153" s="6" t="n"/>
      <c r="AO1153" s="3">
        <f>IF(tblOrdenes[[#This Row],[orden]]="","",tblOrdenes[[#This Row],[orden]]&amp;IF(tblOrdenes[[#This Row],[operacion]]="","0010",tblOrdenes[[#This Row],[operacion]]))</f>
        <v/>
      </c>
    </row>
    <row r="1154">
      <c r="A1154" s="3" t="n"/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11" t="n"/>
      <c r="K1154" s="3" t="n"/>
      <c r="L1154" s="10" t="n"/>
      <c r="M1154" s="6" t="n"/>
      <c r="N115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5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5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54" s="3">
        <f>IF(tblOrdenes[[#This Row],[fecha_inicio]]="","",YEAR(tblOrdenes[[#This Row],[fecha_inicio]]))</f>
        <v/>
      </c>
      <c r="R1154" s="3">
        <f>IF(tblOrdenes[[#This Row],[fecha_inicio]]="","",MONTH(tblOrdenes[[#This Row],[fecha_inicio]]))</f>
        <v/>
      </c>
      <c r="S1154" s="3">
        <f>IF(tblOrdenes[[#This Row],[fecha_inicio]]="","",INDEX(lista_dias,WEEKDAY(tblOrdenes[[#This Row],[fecha_inicio]],2)))</f>
        <v/>
      </c>
      <c r="T1154" s="3">
        <f>IF(tblOrdenes[[#This Row],[tipo_ot]]="","",_xlfn.XLOOKUP(tblOrdenes[[#This Row],[tipo_ot]],tblTiposOT[codigo],tblTiposOT[clasificacion],"sin_clasificar"))</f>
        <v/>
      </c>
      <c r="U1154" s="3">
        <f>IF(tblOrdenes[[#This Row],[centro_costo]]="","",_xlfn.XLOOKUP(tblOrdenes[[#This Row],[centro_costo]],tblCECO[codigo],tblCECO[linea],"(sin catálogo)"))</f>
        <v/>
      </c>
      <c r="V1154" s="3">
        <f>IF(tblOrdenes[[#This Row],[centro_costo]]="","",_xlfn.XLOOKUP(tblOrdenes[[#This Row],[centro_costo]],tblCECO[codigo],tblCECO[area],"(sin catálogo)"))</f>
        <v/>
      </c>
      <c r="W1154" s="3">
        <f>IF(tblOrdenes[[#This Row],[centro_costo]]="","",_xlfn.XLOOKUP(tblOrdenes[[#This Row],[centro_costo]],tblCECO[codigo],tblCECO[coordinador],"(sin catálogo)"))</f>
        <v/>
      </c>
      <c r="X1154" s="3">
        <f>IF(tblOrdenes[[#This Row],[puesto_trabajo]]="","",_xlfn.XLOOKUP(tblOrdenes[[#This Row],[puesto_trabajo]],tblPuestos[codigo],tblPuestos[especialidad],"(sin catálogo)"))</f>
        <v/>
      </c>
      <c r="Y1154" s="3">
        <f>IF(tblOrdenes[[#This Row],[cod_actividad]]="","",_xlfn.XLOOKUP(tblOrdenes[[#This Row],[cod_actividad]],tblActividades[codigo],tblActividades[descripcion],"(sin catálogo)"))</f>
        <v/>
      </c>
      <c r="Z1154" s="12">
        <f>IF(tblOrdenes[[#This Row],[fecha_inicio]]="","",TODAY()-tblOrdenes[[#This Row],[fecha_inicio]])</f>
        <v/>
      </c>
      <c r="AA1154" s="3">
        <f>IF(tblOrdenes[[#This Row],[backlog_dias]]="","",IF(tblOrdenes[[#This Row],[backlog_dias]]&lt;0,"FUTURO",IF(tblOrdenes[[#This Row],[backlog_dias]]&gt;p_dias_backlog_max,"BACKLOG","MES CORRIENTE")))</f>
        <v/>
      </c>
      <c r="AB1154" s="3">
        <f>IF(tblOrdenes[[#This Row],[backlog_dias]]="",FALSE,AND(tblOrdenes[[#This Row],[backlog_dias]]&gt;p_dias_backlog_min,tblOrdenes[[#This Row],[backlog_dias]]&lt;=p_dias_backlog_max))</f>
        <v/>
      </c>
      <c r="AC1154" s="6" t="n"/>
      <c r="AD115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5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5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54" s="10">
        <f>IF(tblOrdenes[[#This Row],[orden]]="","",_xlfn.XLOOKUP(tblOrdenes[[#This Row],[id_operacion]],tblEjecucion[id_operacion],tblEjecucion[precio],0))</f>
        <v/>
      </c>
      <c r="AH1154" s="10">
        <f>IF(tblOrdenes[[#This Row],[orden]]="","",MAX(0,_xlfn.XLOOKUP(tblOrdenes[[#This Row],[id_operacion]],tblEjecucion[id_operacion],tblEjecucion[costo_plan_total],0)-tblOrdenes[[#This Row],[costo_servicio]]))</f>
        <v/>
      </c>
      <c r="AI1154" s="10">
        <f>IF(tblOrdenes[[#This Row],[orden]]="","",tblOrdenes[[#This Row],[costo_servicio]]+tblOrdenes[[#This Row],[costo_materiales]])</f>
        <v/>
      </c>
      <c r="AJ1154" s="6" t="n"/>
      <c r="AK1154" s="6" t="n"/>
      <c r="AL1154" s="6" t="n"/>
      <c r="AM1154" s="3">
        <f>IF(tblOrdenes[[#This Row],[link_checklist]]="","",HYPERLINK(p_ruta_base_checklists&amp;tblOrdenes[[#This Row],[link_checklist]],"abrir"))</f>
        <v/>
      </c>
      <c r="AN1154" s="6" t="n"/>
      <c r="AO1154" s="3">
        <f>IF(tblOrdenes[[#This Row],[orden]]="","",tblOrdenes[[#This Row],[orden]]&amp;IF(tblOrdenes[[#This Row],[operacion]]="","0010",tblOrdenes[[#This Row],[operacion]]))</f>
        <v/>
      </c>
    </row>
    <row r="1155">
      <c r="A1155" s="3" t="n"/>
      <c r="B1155" s="3" t="n"/>
      <c r="C1155" s="3" t="n"/>
      <c r="D1155" s="3" t="n"/>
      <c r="E1155" s="3" t="n"/>
      <c r="F1155" s="3" t="n"/>
      <c r="G1155" s="3" t="n"/>
      <c r="H1155" s="3" t="n"/>
      <c r="I1155" s="3" t="n"/>
      <c r="J1155" s="11" t="n"/>
      <c r="K1155" s="3" t="n"/>
      <c r="L1155" s="10" t="n"/>
      <c r="M1155" s="6" t="n"/>
      <c r="N115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5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5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55" s="3">
        <f>IF(tblOrdenes[[#This Row],[fecha_inicio]]="","",YEAR(tblOrdenes[[#This Row],[fecha_inicio]]))</f>
        <v/>
      </c>
      <c r="R1155" s="3">
        <f>IF(tblOrdenes[[#This Row],[fecha_inicio]]="","",MONTH(tblOrdenes[[#This Row],[fecha_inicio]]))</f>
        <v/>
      </c>
      <c r="S1155" s="3">
        <f>IF(tblOrdenes[[#This Row],[fecha_inicio]]="","",INDEX(lista_dias,WEEKDAY(tblOrdenes[[#This Row],[fecha_inicio]],2)))</f>
        <v/>
      </c>
      <c r="T1155" s="3">
        <f>IF(tblOrdenes[[#This Row],[tipo_ot]]="","",_xlfn.XLOOKUP(tblOrdenes[[#This Row],[tipo_ot]],tblTiposOT[codigo],tblTiposOT[clasificacion],"sin_clasificar"))</f>
        <v/>
      </c>
      <c r="U1155" s="3">
        <f>IF(tblOrdenes[[#This Row],[centro_costo]]="","",_xlfn.XLOOKUP(tblOrdenes[[#This Row],[centro_costo]],tblCECO[codigo],tblCECO[linea],"(sin catálogo)"))</f>
        <v/>
      </c>
      <c r="V1155" s="3">
        <f>IF(tblOrdenes[[#This Row],[centro_costo]]="","",_xlfn.XLOOKUP(tblOrdenes[[#This Row],[centro_costo]],tblCECO[codigo],tblCECO[area],"(sin catálogo)"))</f>
        <v/>
      </c>
      <c r="W1155" s="3">
        <f>IF(tblOrdenes[[#This Row],[centro_costo]]="","",_xlfn.XLOOKUP(tblOrdenes[[#This Row],[centro_costo]],tblCECO[codigo],tblCECO[coordinador],"(sin catálogo)"))</f>
        <v/>
      </c>
      <c r="X1155" s="3">
        <f>IF(tblOrdenes[[#This Row],[puesto_trabajo]]="","",_xlfn.XLOOKUP(tblOrdenes[[#This Row],[puesto_trabajo]],tblPuestos[codigo],tblPuestos[especialidad],"(sin catálogo)"))</f>
        <v/>
      </c>
      <c r="Y1155" s="3">
        <f>IF(tblOrdenes[[#This Row],[cod_actividad]]="","",_xlfn.XLOOKUP(tblOrdenes[[#This Row],[cod_actividad]],tblActividades[codigo],tblActividades[descripcion],"(sin catálogo)"))</f>
        <v/>
      </c>
      <c r="Z1155" s="12">
        <f>IF(tblOrdenes[[#This Row],[fecha_inicio]]="","",TODAY()-tblOrdenes[[#This Row],[fecha_inicio]])</f>
        <v/>
      </c>
      <c r="AA1155" s="3">
        <f>IF(tblOrdenes[[#This Row],[backlog_dias]]="","",IF(tblOrdenes[[#This Row],[backlog_dias]]&lt;0,"FUTURO",IF(tblOrdenes[[#This Row],[backlog_dias]]&gt;p_dias_backlog_max,"BACKLOG","MES CORRIENTE")))</f>
        <v/>
      </c>
      <c r="AB1155" s="3">
        <f>IF(tblOrdenes[[#This Row],[backlog_dias]]="",FALSE,AND(tblOrdenes[[#This Row],[backlog_dias]]&gt;p_dias_backlog_min,tblOrdenes[[#This Row],[backlog_dias]]&lt;=p_dias_backlog_max))</f>
        <v/>
      </c>
      <c r="AC1155" s="6" t="n"/>
      <c r="AD115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5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5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55" s="10">
        <f>IF(tblOrdenes[[#This Row],[orden]]="","",_xlfn.XLOOKUP(tblOrdenes[[#This Row],[id_operacion]],tblEjecucion[id_operacion],tblEjecucion[precio],0))</f>
        <v/>
      </c>
      <c r="AH1155" s="10">
        <f>IF(tblOrdenes[[#This Row],[orden]]="","",MAX(0,_xlfn.XLOOKUP(tblOrdenes[[#This Row],[id_operacion]],tblEjecucion[id_operacion],tblEjecucion[costo_plan_total],0)-tblOrdenes[[#This Row],[costo_servicio]]))</f>
        <v/>
      </c>
      <c r="AI1155" s="10">
        <f>IF(tblOrdenes[[#This Row],[orden]]="","",tblOrdenes[[#This Row],[costo_servicio]]+tblOrdenes[[#This Row],[costo_materiales]])</f>
        <v/>
      </c>
      <c r="AJ1155" s="6" t="n"/>
      <c r="AK1155" s="6" t="n"/>
      <c r="AL1155" s="6" t="n"/>
      <c r="AM1155" s="3">
        <f>IF(tblOrdenes[[#This Row],[link_checklist]]="","",HYPERLINK(p_ruta_base_checklists&amp;tblOrdenes[[#This Row],[link_checklist]],"abrir"))</f>
        <v/>
      </c>
      <c r="AN1155" s="6" t="n"/>
      <c r="AO1155" s="3">
        <f>IF(tblOrdenes[[#This Row],[orden]]="","",tblOrdenes[[#This Row],[orden]]&amp;IF(tblOrdenes[[#This Row],[operacion]]="","0010",tblOrdenes[[#This Row],[operacion]]))</f>
        <v/>
      </c>
    </row>
    <row r="1156">
      <c r="A1156" s="3" t="n"/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11" t="n"/>
      <c r="K1156" s="3" t="n"/>
      <c r="L1156" s="10" t="n"/>
      <c r="M1156" s="6" t="n"/>
      <c r="N115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5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5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56" s="3">
        <f>IF(tblOrdenes[[#This Row],[fecha_inicio]]="","",YEAR(tblOrdenes[[#This Row],[fecha_inicio]]))</f>
        <v/>
      </c>
      <c r="R1156" s="3">
        <f>IF(tblOrdenes[[#This Row],[fecha_inicio]]="","",MONTH(tblOrdenes[[#This Row],[fecha_inicio]]))</f>
        <v/>
      </c>
      <c r="S1156" s="3">
        <f>IF(tblOrdenes[[#This Row],[fecha_inicio]]="","",INDEX(lista_dias,WEEKDAY(tblOrdenes[[#This Row],[fecha_inicio]],2)))</f>
        <v/>
      </c>
      <c r="T1156" s="3">
        <f>IF(tblOrdenes[[#This Row],[tipo_ot]]="","",_xlfn.XLOOKUP(tblOrdenes[[#This Row],[tipo_ot]],tblTiposOT[codigo],tblTiposOT[clasificacion],"sin_clasificar"))</f>
        <v/>
      </c>
      <c r="U1156" s="3">
        <f>IF(tblOrdenes[[#This Row],[centro_costo]]="","",_xlfn.XLOOKUP(tblOrdenes[[#This Row],[centro_costo]],tblCECO[codigo],tblCECO[linea],"(sin catálogo)"))</f>
        <v/>
      </c>
      <c r="V1156" s="3">
        <f>IF(tblOrdenes[[#This Row],[centro_costo]]="","",_xlfn.XLOOKUP(tblOrdenes[[#This Row],[centro_costo]],tblCECO[codigo],tblCECO[area],"(sin catálogo)"))</f>
        <v/>
      </c>
      <c r="W1156" s="3">
        <f>IF(tblOrdenes[[#This Row],[centro_costo]]="","",_xlfn.XLOOKUP(tblOrdenes[[#This Row],[centro_costo]],tblCECO[codigo],tblCECO[coordinador],"(sin catálogo)"))</f>
        <v/>
      </c>
      <c r="X1156" s="3">
        <f>IF(tblOrdenes[[#This Row],[puesto_trabajo]]="","",_xlfn.XLOOKUP(tblOrdenes[[#This Row],[puesto_trabajo]],tblPuestos[codigo],tblPuestos[especialidad],"(sin catálogo)"))</f>
        <v/>
      </c>
      <c r="Y1156" s="3">
        <f>IF(tblOrdenes[[#This Row],[cod_actividad]]="","",_xlfn.XLOOKUP(tblOrdenes[[#This Row],[cod_actividad]],tblActividades[codigo],tblActividades[descripcion],"(sin catálogo)"))</f>
        <v/>
      </c>
      <c r="Z1156" s="12">
        <f>IF(tblOrdenes[[#This Row],[fecha_inicio]]="","",TODAY()-tblOrdenes[[#This Row],[fecha_inicio]])</f>
        <v/>
      </c>
      <c r="AA1156" s="3">
        <f>IF(tblOrdenes[[#This Row],[backlog_dias]]="","",IF(tblOrdenes[[#This Row],[backlog_dias]]&lt;0,"FUTURO",IF(tblOrdenes[[#This Row],[backlog_dias]]&gt;p_dias_backlog_max,"BACKLOG","MES CORRIENTE")))</f>
        <v/>
      </c>
      <c r="AB1156" s="3">
        <f>IF(tblOrdenes[[#This Row],[backlog_dias]]="",FALSE,AND(tblOrdenes[[#This Row],[backlog_dias]]&gt;p_dias_backlog_min,tblOrdenes[[#This Row],[backlog_dias]]&lt;=p_dias_backlog_max))</f>
        <v/>
      </c>
      <c r="AC1156" s="6" t="n"/>
      <c r="AD115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5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5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56" s="10">
        <f>IF(tblOrdenes[[#This Row],[orden]]="","",_xlfn.XLOOKUP(tblOrdenes[[#This Row],[id_operacion]],tblEjecucion[id_operacion],tblEjecucion[precio],0))</f>
        <v/>
      </c>
      <c r="AH1156" s="10">
        <f>IF(tblOrdenes[[#This Row],[orden]]="","",MAX(0,_xlfn.XLOOKUP(tblOrdenes[[#This Row],[id_operacion]],tblEjecucion[id_operacion],tblEjecucion[costo_plan_total],0)-tblOrdenes[[#This Row],[costo_servicio]]))</f>
        <v/>
      </c>
      <c r="AI1156" s="10">
        <f>IF(tblOrdenes[[#This Row],[orden]]="","",tblOrdenes[[#This Row],[costo_servicio]]+tblOrdenes[[#This Row],[costo_materiales]])</f>
        <v/>
      </c>
      <c r="AJ1156" s="6" t="n"/>
      <c r="AK1156" s="6" t="n"/>
      <c r="AL1156" s="6" t="n"/>
      <c r="AM1156" s="3">
        <f>IF(tblOrdenes[[#This Row],[link_checklist]]="","",HYPERLINK(p_ruta_base_checklists&amp;tblOrdenes[[#This Row],[link_checklist]],"abrir"))</f>
        <v/>
      </c>
      <c r="AN1156" s="6" t="n"/>
      <c r="AO1156" s="3">
        <f>IF(tblOrdenes[[#This Row],[orden]]="","",tblOrdenes[[#This Row],[orden]]&amp;IF(tblOrdenes[[#This Row],[operacion]]="","0010",tblOrdenes[[#This Row],[operacion]]))</f>
        <v/>
      </c>
    </row>
    <row r="1157">
      <c r="A1157" s="3" t="n"/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11" t="n"/>
      <c r="K1157" s="3" t="n"/>
      <c r="L1157" s="10" t="n"/>
      <c r="M1157" s="6" t="n"/>
      <c r="N115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5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5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57" s="3">
        <f>IF(tblOrdenes[[#This Row],[fecha_inicio]]="","",YEAR(tblOrdenes[[#This Row],[fecha_inicio]]))</f>
        <v/>
      </c>
      <c r="R1157" s="3">
        <f>IF(tblOrdenes[[#This Row],[fecha_inicio]]="","",MONTH(tblOrdenes[[#This Row],[fecha_inicio]]))</f>
        <v/>
      </c>
      <c r="S1157" s="3">
        <f>IF(tblOrdenes[[#This Row],[fecha_inicio]]="","",INDEX(lista_dias,WEEKDAY(tblOrdenes[[#This Row],[fecha_inicio]],2)))</f>
        <v/>
      </c>
      <c r="T1157" s="3">
        <f>IF(tblOrdenes[[#This Row],[tipo_ot]]="","",_xlfn.XLOOKUP(tblOrdenes[[#This Row],[tipo_ot]],tblTiposOT[codigo],tblTiposOT[clasificacion],"sin_clasificar"))</f>
        <v/>
      </c>
      <c r="U1157" s="3">
        <f>IF(tblOrdenes[[#This Row],[centro_costo]]="","",_xlfn.XLOOKUP(tblOrdenes[[#This Row],[centro_costo]],tblCECO[codigo],tblCECO[linea],"(sin catálogo)"))</f>
        <v/>
      </c>
      <c r="V1157" s="3">
        <f>IF(tblOrdenes[[#This Row],[centro_costo]]="","",_xlfn.XLOOKUP(tblOrdenes[[#This Row],[centro_costo]],tblCECO[codigo],tblCECO[area],"(sin catálogo)"))</f>
        <v/>
      </c>
      <c r="W1157" s="3">
        <f>IF(tblOrdenes[[#This Row],[centro_costo]]="","",_xlfn.XLOOKUP(tblOrdenes[[#This Row],[centro_costo]],tblCECO[codigo],tblCECO[coordinador],"(sin catálogo)"))</f>
        <v/>
      </c>
      <c r="X1157" s="3">
        <f>IF(tblOrdenes[[#This Row],[puesto_trabajo]]="","",_xlfn.XLOOKUP(tblOrdenes[[#This Row],[puesto_trabajo]],tblPuestos[codigo],tblPuestos[especialidad],"(sin catálogo)"))</f>
        <v/>
      </c>
      <c r="Y1157" s="3">
        <f>IF(tblOrdenes[[#This Row],[cod_actividad]]="","",_xlfn.XLOOKUP(tblOrdenes[[#This Row],[cod_actividad]],tblActividades[codigo],tblActividades[descripcion],"(sin catálogo)"))</f>
        <v/>
      </c>
      <c r="Z1157" s="12">
        <f>IF(tblOrdenes[[#This Row],[fecha_inicio]]="","",TODAY()-tblOrdenes[[#This Row],[fecha_inicio]])</f>
        <v/>
      </c>
      <c r="AA1157" s="3">
        <f>IF(tblOrdenes[[#This Row],[backlog_dias]]="","",IF(tblOrdenes[[#This Row],[backlog_dias]]&lt;0,"FUTURO",IF(tblOrdenes[[#This Row],[backlog_dias]]&gt;p_dias_backlog_max,"BACKLOG","MES CORRIENTE")))</f>
        <v/>
      </c>
      <c r="AB1157" s="3">
        <f>IF(tblOrdenes[[#This Row],[backlog_dias]]="",FALSE,AND(tblOrdenes[[#This Row],[backlog_dias]]&gt;p_dias_backlog_min,tblOrdenes[[#This Row],[backlog_dias]]&lt;=p_dias_backlog_max))</f>
        <v/>
      </c>
      <c r="AC1157" s="6" t="n"/>
      <c r="AD115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5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5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57" s="10">
        <f>IF(tblOrdenes[[#This Row],[orden]]="","",_xlfn.XLOOKUP(tblOrdenes[[#This Row],[id_operacion]],tblEjecucion[id_operacion],tblEjecucion[precio],0))</f>
        <v/>
      </c>
      <c r="AH1157" s="10">
        <f>IF(tblOrdenes[[#This Row],[orden]]="","",MAX(0,_xlfn.XLOOKUP(tblOrdenes[[#This Row],[id_operacion]],tblEjecucion[id_operacion],tblEjecucion[costo_plan_total],0)-tblOrdenes[[#This Row],[costo_servicio]]))</f>
        <v/>
      </c>
      <c r="AI1157" s="10">
        <f>IF(tblOrdenes[[#This Row],[orden]]="","",tblOrdenes[[#This Row],[costo_servicio]]+tblOrdenes[[#This Row],[costo_materiales]])</f>
        <v/>
      </c>
      <c r="AJ1157" s="6" t="n"/>
      <c r="AK1157" s="6" t="n"/>
      <c r="AL1157" s="6" t="n"/>
      <c r="AM1157" s="3">
        <f>IF(tblOrdenes[[#This Row],[link_checklist]]="","",HYPERLINK(p_ruta_base_checklists&amp;tblOrdenes[[#This Row],[link_checklist]],"abrir"))</f>
        <v/>
      </c>
      <c r="AN1157" s="6" t="n"/>
      <c r="AO1157" s="3">
        <f>IF(tblOrdenes[[#This Row],[orden]]="","",tblOrdenes[[#This Row],[orden]]&amp;IF(tblOrdenes[[#This Row],[operacion]]="","0010",tblOrdenes[[#This Row],[operacion]]))</f>
        <v/>
      </c>
    </row>
    <row r="1158">
      <c r="A1158" s="3" t="n"/>
      <c r="B1158" s="3" t="n"/>
      <c r="C1158" s="3" t="n"/>
      <c r="D1158" s="3" t="n"/>
      <c r="E1158" s="3" t="n"/>
      <c r="F1158" s="3" t="n"/>
      <c r="G1158" s="3" t="n"/>
      <c r="H1158" s="3" t="n"/>
      <c r="I1158" s="3" t="n"/>
      <c r="J1158" s="11" t="n"/>
      <c r="K1158" s="3" t="n"/>
      <c r="L1158" s="10" t="n"/>
      <c r="M1158" s="6" t="n"/>
      <c r="N115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5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5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58" s="3">
        <f>IF(tblOrdenes[[#This Row],[fecha_inicio]]="","",YEAR(tblOrdenes[[#This Row],[fecha_inicio]]))</f>
        <v/>
      </c>
      <c r="R1158" s="3">
        <f>IF(tblOrdenes[[#This Row],[fecha_inicio]]="","",MONTH(tblOrdenes[[#This Row],[fecha_inicio]]))</f>
        <v/>
      </c>
      <c r="S1158" s="3">
        <f>IF(tblOrdenes[[#This Row],[fecha_inicio]]="","",INDEX(lista_dias,WEEKDAY(tblOrdenes[[#This Row],[fecha_inicio]],2)))</f>
        <v/>
      </c>
      <c r="T1158" s="3">
        <f>IF(tblOrdenes[[#This Row],[tipo_ot]]="","",_xlfn.XLOOKUP(tblOrdenes[[#This Row],[tipo_ot]],tblTiposOT[codigo],tblTiposOT[clasificacion],"sin_clasificar"))</f>
        <v/>
      </c>
      <c r="U1158" s="3">
        <f>IF(tblOrdenes[[#This Row],[centro_costo]]="","",_xlfn.XLOOKUP(tblOrdenes[[#This Row],[centro_costo]],tblCECO[codigo],tblCECO[linea],"(sin catálogo)"))</f>
        <v/>
      </c>
      <c r="V1158" s="3">
        <f>IF(tblOrdenes[[#This Row],[centro_costo]]="","",_xlfn.XLOOKUP(tblOrdenes[[#This Row],[centro_costo]],tblCECO[codigo],tblCECO[area],"(sin catálogo)"))</f>
        <v/>
      </c>
      <c r="W1158" s="3">
        <f>IF(tblOrdenes[[#This Row],[centro_costo]]="","",_xlfn.XLOOKUP(tblOrdenes[[#This Row],[centro_costo]],tblCECO[codigo],tblCECO[coordinador],"(sin catálogo)"))</f>
        <v/>
      </c>
      <c r="X1158" s="3">
        <f>IF(tblOrdenes[[#This Row],[puesto_trabajo]]="","",_xlfn.XLOOKUP(tblOrdenes[[#This Row],[puesto_trabajo]],tblPuestos[codigo],tblPuestos[especialidad],"(sin catálogo)"))</f>
        <v/>
      </c>
      <c r="Y1158" s="3">
        <f>IF(tblOrdenes[[#This Row],[cod_actividad]]="","",_xlfn.XLOOKUP(tblOrdenes[[#This Row],[cod_actividad]],tblActividades[codigo],tblActividades[descripcion],"(sin catálogo)"))</f>
        <v/>
      </c>
      <c r="Z1158" s="12">
        <f>IF(tblOrdenes[[#This Row],[fecha_inicio]]="","",TODAY()-tblOrdenes[[#This Row],[fecha_inicio]])</f>
        <v/>
      </c>
      <c r="AA1158" s="3">
        <f>IF(tblOrdenes[[#This Row],[backlog_dias]]="","",IF(tblOrdenes[[#This Row],[backlog_dias]]&lt;0,"FUTURO",IF(tblOrdenes[[#This Row],[backlog_dias]]&gt;p_dias_backlog_max,"BACKLOG","MES CORRIENTE")))</f>
        <v/>
      </c>
      <c r="AB1158" s="3">
        <f>IF(tblOrdenes[[#This Row],[backlog_dias]]="",FALSE,AND(tblOrdenes[[#This Row],[backlog_dias]]&gt;p_dias_backlog_min,tblOrdenes[[#This Row],[backlog_dias]]&lt;=p_dias_backlog_max))</f>
        <v/>
      </c>
      <c r="AC1158" s="6" t="n"/>
      <c r="AD115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5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5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58" s="10">
        <f>IF(tblOrdenes[[#This Row],[orden]]="","",_xlfn.XLOOKUP(tblOrdenes[[#This Row],[id_operacion]],tblEjecucion[id_operacion],tblEjecucion[precio],0))</f>
        <v/>
      </c>
      <c r="AH1158" s="10">
        <f>IF(tblOrdenes[[#This Row],[orden]]="","",MAX(0,_xlfn.XLOOKUP(tblOrdenes[[#This Row],[id_operacion]],tblEjecucion[id_operacion],tblEjecucion[costo_plan_total],0)-tblOrdenes[[#This Row],[costo_servicio]]))</f>
        <v/>
      </c>
      <c r="AI1158" s="10">
        <f>IF(tblOrdenes[[#This Row],[orden]]="","",tblOrdenes[[#This Row],[costo_servicio]]+tblOrdenes[[#This Row],[costo_materiales]])</f>
        <v/>
      </c>
      <c r="AJ1158" s="6" t="n"/>
      <c r="AK1158" s="6" t="n"/>
      <c r="AL1158" s="6" t="n"/>
      <c r="AM1158" s="3">
        <f>IF(tblOrdenes[[#This Row],[link_checklist]]="","",HYPERLINK(p_ruta_base_checklists&amp;tblOrdenes[[#This Row],[link_checklist]],"abrir"))</f>
        <v/>
      </c>
      <c r="AN1158" s="6" t="n"/>
      <c r="AO1158" s="3">
        <f>IF(tblOrdenes[[#This Row],[orden]]="","",tblOrdenes[[#This Row],[orden]]&amp;IF(tblOrdenes[[#This Row],[operacion]]="","0010",tblOrdenes[[#This Row],[operacion]]))</f>
        <v/>
      </c>
    </row>
    <row r="1159">
      <c r="A1159" s="3" t="n"/>
      <c r="B1159" s="3" t="n"/>
      <c r="C1159" s="3" t="n"/>
      <c r="D1159" s="3" t="n"/>
      <c r="E1159" s="3" t="n"/>
      <c r="F1159" s="3" t="n"/>
      <c r="G1159" s="3" t="n"/>
      <c r="H1159" s="3" t="n"/>
      <c r="I1159" s="3" t="n"/>
      <c r="J1159" s="11" t="n"/>
      <c r="K1159" s="3" t="n"/>
      <c r="L1159" s="10" t="n"/>
      <c r="M1159" s="6" t="n"/>
      <c r="N115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5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5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59" s="3">
        <f>IF(tblOrdenes[[#This Row],[fecha_inicio]]="","",YEAR(tblOrdenes[[#This Row],[fecha_inicio]]))</f>
        <v/>
      </c>
      <c r="R1159" s="3">
        <f>IF(tblOrdenes[[#This Row],[fecha_inicio]]="","",MONTH(tblOrdenes[[#This Row],[fecha_inicio]]))</f>
        <v/>
      </c>
      <c r="S1159" s="3">
        <f>IF(tblOrdenes[[#This Row],[fecha_inicio]]="","",INDEX(lista_dias,WEEKDAY(tblOrdenes[[#This Row],[fecha_inicio]],2)))</f>
        <v/>
      </c>
      <c r="T1159" s="3">
        <f>IF(tblOrdenes[[#This Row],[tipo_ot]]="","",_xlfn.XLOOKUP(tblOrdenes[[#This Row],[tipo_ot]],tblTiposOT[codigo],tblTiposOT[clasificacion],"sin_clasificar"))</f>
        <v/>
      </c>
      <c r="U1159" s="3">
        <f>IF(tblOrdenes[[#This Row],[centro_costo]]="","",_xlfn.XLOOKUP(tblOrdenes[[#This Row],[centro_costo]],tblCECO[codigo],tblCECO[linea],"(sin catálogo)"))</f>
        <v/>
      </c>
      <c r="V1159" s="3">
        <f>IF(tblOrdenes[[#This Row],[centro_costo]]="","",_xlfn.XLOOKUP(tblOrdenes[[#This Row],[centro_costo]],tblCECO[codigo],tblCECO[area],"(sin catálogo)"))</f>
        <v/>
      </c>
      <c r="W1159" s="3">
        <f>IF(tblOrdenes[[#This Row],[centro_costo]]="","",_xlfn.XLOOKUP(tblOrdenes[[#This Row],[centro_costo]],tblCECO[codigo],tblCECO[coordinador],"(sin catálogo)"))</f>
        <v/>
      </c>
      <c r="X1159" s="3">
        <f>IF(tblOrdenes[[#This Row],[puesto_trabajo]]="","",_xlfn.XLOOKUP(tblOrdenes[[#This Row],[puesto_trabajo]],tblPuestos[codigo],tblPuestos[especialidad],"(sin catálogo)"))</f>
        <v/>
      </c>
      <c r="Y1159" s="3">
        <f>IF(tblOrdenes[[#This Row],[cod_actividad]]="","",_xlfn.XLOOKUP(tblOrdenes[[#This Row],[cod_actividad]],tblActividades[codigo],tblActividades[descripcion],"(sin catálogo)"))</f>
        <v/>
      </c>
      <c r="Z1159" s="12">
        <f>IF(tblOrdenes[[#This Row],[fecha_inicio]]="","",TODAY()-tblOrdenes[[#This Row],[fecha_inicio]])</f>
        <v/>
      </c>
      <c r="AA1159" s="3">
        <f>IF(tblOrdenes[[#This Row],[backlog_dias]]="","",IF(tblOrdenes[[#This Row],[backlog_dias]]&lt;0,"FUTURO",IF(tblOrdenes[[#This Row],[backlog_dias]]&gt;p_dias_backlog_max,"BACKLOG","MES CORRIENTE")))</f>
        <v/>
      </c>
      <c r="AB1159" s="3">
        <f>IF(tblOrdenes[[#This Row],[backlog_dias]]="",FALSE,AND(tblOrdenes[[#This Row],[backlog_dias]]&gt;p_dias_backlog_min,tblOrdenes[[#This Row],[backlog_dias]]&lt;=p_dias_backlog_max))</f>
        <v/>
      </c>
      <c r="AC1159" s="6" t="n"/>
      <c r="AD115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5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5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59" s="10">
        <f>IF(tblOrdenes[[#This Row],[orden]]="","",_xlfn.XLOOKUP(tblOrdenes[[#This Row],[id_operacion]],tblEjecucion[id_operacion],tblEjecucion[precio],0))</f>
        <v/>
      </c>
      <c r="AH1159" s="10">
        <f>IF(tblOrdenes[[#This Row],[orden]]="","",MAX(0,_xlfn.XLOOKUP(tblOrdenes[[#This Row],[id_operacion]],tblEjecucion[id_operacion],tblEjecucion[costo_plan_total],0)-tblOrdenes[[#This Row],[costo_servicio]]))</f>
        <v/>
      </c>
      <c r="AI1159" s="10">
        <f>IF(tblOrdenes[[#This Row],[orden]]="","",tblOrdenes[[#This Row],[costo_servicio]]+tblOrdenes[[#This Row],[costo_materiales]])</f>
        <v/>
      </c>
      <c r="AJ1159" s="6" t="n"/>
      <c r="AK1159" s="6" t="n"/>
      <c r="AL1159" s="6" t="n"/>
      <c r="AM1159" s="3">
        <f>IF(tblOrdenes[[#This Row],[link_checklist]]="","",HYPERLINK(p_ruta_base_checklists&amp;tblOrdenes[[#This Row],[link_checklist]],"abrir"))</f>
        <v/>
      </c>
      <c r="AN1159" s="6" t="n"/>
      <c r="AO1159" s="3">
        <f>IF(tblOrdenes[[#This Row],[orden]]="","",tblOrdenes[[#This Row],[orden]]&amp;IF(tblOrdenes[[#This Row],[operacion]]="","0010",tblOrdenes[[#This Row],[operacion]]))</f>
        <v/>
      </c>
    </row>
    <row r="1160">
      <c r="A1160" s="3" t="n"/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11" t="n"/>
      <c r="K1160" s="3" t="n"/>
      <c r="L1160" s="10" t="n"/>
      <c r="M1160" s="6" t="n"/>
      <c r="N116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6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6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60" s="3">
        <f>IF(tblOrdenes[[#This Row],[fecha_inicio]]="","",YEAR(tblOrdenes[[#This Row],[fecha_inicio]]))</f>
        <v/>
      </c>
      <c r="R1160" s="3">
        <f>IF(tblOrdenes[[#This Row],[fecha_inicio]]="","",MONTH(tblOrdenes[[#This Row],[fecha_inicio]]))</f>
        <v/>
      </c>
      <c r="S1160" s="3">
        <f>IF(tblOrdenes[[#This Row],[fecha_inicio]]="","",INDEX(lista_dias,WEEKDAY(tblOrdenes[[#This Row],[fecha_inicio]],2)))</f>
        <v/>
      </c>
      <c r="T1160" s="3">
        <f>IF(tblOrdenes[[#This Row],[tipo_ot]]="","",_xlfn.XLOOKUP(tblOrdenes[[#This Row],[tipo_ot]],tblTiposOT[codigo],tblTiposOT[clasificacion],"sin_clasificar"))</f>
        <v/>
      </c>
      <c r="U1160" s="3">
        <f>IF(tblOrdenes[[#This Row],[centro_costo]]="","",_xlfn.XLOOKUP(tblOrdenes[[#This Row],[centro_costo]],tblCECO[codigo],tblCECO[linea],"(sin catálogo)"))</f>
        <v/>
      </c>
      <c r="V1160" s="3">
        <f>IF(tblOrdenes[[#This Row],[centro_costo]]="","",_xlfn.XLOOKUP(tblOrdenes[[#This Row],[centro_costo]],tblCECO[codigo],tblCECO[area],"(sin catálogo)"))</f>
        <v/>
      </c>
      <c r="W1160" s="3">
        <f>IF(tblOrdenes[[#This Row],[centro_costo]]="","",_xlfn.XLOOKUP(tblOrdenes[[#This Row],[centro_costo]],tblCECO[codigo],tblCECO[coordinador],"(sin catálogo)"))</f>
        <v/>
      </c>
      <c r="X1160" s="3">
        <f>IF(tblOrdenes[[#This Row],[puesto_trabajo]]="","",_xlfn.XLOOKUP(tblOrdenes[[#This Row],[puesto_trabajo]],tblPuestos[codigo],tblPuestos[especialidad],"(sin catálogo)"))</f>
        <v/>
      </c>
      <c r="Y1160" s="3">
        <f>IF(tblOrdenes[[#This Row],[cod_actividad]]="","",_xlfn.XLOOKUP(tblOrdenes[[#This Row],[cod_actividad]],tblActividades[codigo],tblActividades[descripcion],"(sin catálogo)"))</f>
        <v/>
      </c>
      <c r="Z1160" s="12">
        <f>IF(tblOrdenes[[#This Row],[fecha_inicio]]="","",TODAY()-tblOrdenes[[#This Row],[fecha_inicio]])</f>
        <v/>
      </c>
      <c r="AA1160" s="3">
        <f>IF(tblOrdenes[[#This Row],[backlog_dias]]="","",IF(tblOrdenes[[#This Row],[backlog_dias]]&lt;0,"FUTURO",IF(tblOrdenes[[#This Row],[backlog_dias]]&gt;p_dias_backlog_max,"BACKLOG","MES CORRIENTE")))</f>
        <v/>
      </c>
      <c r="AB1160" s="3">
        <f>IF(tblOrdenes[[#This Row],[backlog_dias]]="",FALSE,AND(tblOrdenes[[#This Row],[backlog_dias]]&gt;p_dias_backlog_min,tblOrdenes[[#This Row],[backlog_dias]]&lt;=p_dias_backlog_max))</f>
        <v/>
      </c>
      <c r="AC1160" s="6" t="n"/>
      <c r="AD116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6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6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60" s="10">
        <f>IF(tblOrdenes[[#This Row],[orden]]="","",_xlfn.XLOOKUP(tblOrdenes[[#This Row],[id_operacion]],tblEjecucion[id_operacion],tblEjecucion[precio],0))</f>
        <v/>
      </c>
      <c r="AH1160" s="10">
        <f>IF(tblOrdenes[[#This Row],[orden]]="","",MAX(0,_xlfn.XLOOKUP(tblOrdenes[[#This Row],[id_operacion]],tblEjecucion[id_operacion],tblEjecucion[costo_plan_total],0)-tblOrdenes[[#This Row],[costo_servicio]]))</f>
        <v/>
      </c>
      <c r="AI1160" s="10">
        <f>IF(tblOrdenes[[#This Row],[orden]]="","",tblOrdenes[[#This Row],[costo_servicio]]+tblOrdenes[[#This Row],[costo_materiales]])</f>
        <v/>
      </c>
      <c r="AJ1160" s="6" t="n"/>
      <c r="AK1160" s="6" t="n"/>
      <c r="AL1160" s="6" t="n"/>
      <c r="AM1160" s="3">
        <f>IF(tblOrdenes[[#This Row],[link_checklist]]="","",HYPERLINK(p_ruta_base_checklists&amp;tblOrdenes[[#This Row],[link_checklist]],"abrir"))</f>
        <v/>
      </c>
      <c r="AN1160" s="6" t="n"/>
      <c r="AO1160" s="3">
        <f>IF(tblOrdenes[[#This Row],[orden]]="","",tblOrdenes[[#This Row],[orden]]&amp;IF(tblOrdenes[[#This Row],[operacion]]="","0010",tblOrdenes[[#This Row],[operacion]]))</f>
        <v/>
      </c>
    </row>
    <row r="1161">
      <c r="A1161" s="3" t="n"/>
      <c r="B1161" s="3" t="n"/>
      <c r="C1161" s="3" t="n"/>
      <c r="D1161" s="3" t="n"/>
      <c r="E1161" s="3" t="n"/>
      <c r="F1161" s="3" t="n"/>
      <c r="G1161" s="3" t="n"/>
      <c r="H1161" s="3" t="n"/>
      <c r="I1161" s="3" t="n"/>
      <c r="J1161" s="11" t="n"/>
      <c r="K1161" s="3" t="n"/>
      <c r="L1161" s="10" t="n"/>
      <c r="M1161" s="6" t="n"/>
      <c r="N116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6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6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61" s="3">
        <f>IF(tblOrdenes[[#This Row],[fecha_inicio]]="","",YEAR(tblOrdenes[[#This Row],[fecha_inicio]]))</f>
        <v/>
      </c>
      <c r="R1161" s="3">
        <f>IF(tblOrdenes[[#This Row],[fecha_inicio]]="","",MONTH(tblOrdenes[[#This Row],[fecha_inicio]]))</f>
        <v/>
      </c>
      <c r="S1161" s="3">
        <f>IF(tblOrdenes[[#This Row],[fecha_inicio]]="","",INDEX(lista_dias,WEEKDAY(tblOrdenes[[#This Row],[fecha_inicio]],2)))</f>
        <v/>
      </c>
      <c r="T1161" s="3">
        <f>IF(tblOrdenes[[#This Row],[tipo_ot]]="","",_xlfn.XLOOKUP(tblOrdenes[[#This Row],[tipo_ot]],tblTiposOT[codigo],tblTiposOT[clasificacion],"sin_clasificar"))</f>
        <v/>
      </c>
      <c r="U1161" s="3">
        <f>IF(tblOrdenes[[#This Row],[centro_costo]]="","",_xlfn.XLOOKUP(tblOrdenes[[#This Row],[centro_costo]],tblCECO[codigo],tblCECO[linea],"(sin catálogo)"))</f>
        <v/>
      </c>
      <c r="V1161" s="3">
        <f>IF(tblOrdenes[[#This Row],[centro_costo]]="","",_xlfn.XLOOKUP(tblOrdenes[[#This Row],[centro_costo]],tblCECO[codigo],tblCECO[area],"(sin catálogo)"))</f>
        <v/>
      </c>
      <c r="W1161" s="3">
        <f>IF(tblOrdenes[[#This Row],[centro_costo]]="","",_xlfn.XLOOKUP(tblOrdenes[[#This Row],[centro_costo]],tblCECO[codigo],tblCECO[coordinador],"(sin catálogo)"))</f>
        <v/>
      </c>
      <c r="X1161" s="3">
        <f>IF(tblOrdenes[[#This Row],[puesto_trabajo]]="","",_xlfn.XLOOKUP(tblOrdenes[[#This Row],[puesto_trabajo]],tblPuestos[codigo],tblPuestos[especialidad],"(sin catálogo)"))</f>
        <v/>
      </c>
      <c r="Y1161" s="3">
        <f>IF(tblOrdenes[[#This Row],[cod_actividad]]="","",_xlfn.XLOOKUP(tblOrdenes[[#This Row],[cod_actividad]],tblActividades[codigo],tblActividades[descripcion],"(sin catálogo)"))</f>
        <v/>
      </c>
      <c r="Z1161" s="12">
        <f>IF(tblOrdenes[[#This Row],[fecha_inicio]]="","",TODAY()-tblOrdenes[[#This Row],[fecha_inicio]])</f>
        <v/>
      </c>
      <c r="AA1161" s="3">
        <f>IF(tblOrdenes[[#This Row],[backlog_dias]]="","",IF(tblOrdenes[[#This Row],[backlog_dias]]&lt;0,"FUTURO",IF(tblOrdenes[[#This Row],[backlog_dias]]&gt;p_dias_backlog_max,"BACKLOG","MES CORRIENTE")))</f>
        <v/>
      </c>
      <c r="AB1161" s="3">
        <f>IF(tblOrdenes[[#This Row],[backlog_dias]]="",FALSE,AND(tblOrdenes[[#This Row],[backlog_dias]]&gt;p_dias_backlog_min,tblOrdenes[[#This Row],[backlog_dias]]&lt;=p_dias_backlog_max))</f>
        <v/>
      </c>
      <c r="AC1161" s="6" t="n"/>
      <c r="AD116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6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6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61" s="10">
        <f>IF(tblOrdenes[[#This Row],[orden]]="","",_xlfn.XLOOKUP(tblOrdenes[[#This Row],[id_operacion]],tblEjecucion[id_operacion],tblEjecucion[precio],0))</f>
        <v/>
      </c>
      <c r="AH1161" s="10">
        <f>IF(tblOrdenes[[#This Row],[orden]]="","",MAX(0,_xlfn.XLOOKUP(tblOrdenes[[#This Row],[id_operacion]],tblEjecucion[id_operacion],tblEjecucion[costo_plan_total],0)-tblOrdenes[[#This Row],[costo_servicio]]))</f>
        <v/>
      </c>
      <c r="AI1161" s="10">
        <f>IF(tblOrdenes[[#This Row],[orden]]="","",tblOrdenes[[#This Row],[costo_servicio]]+tblOrdenes[[#This Row],[costo_materiales]])</f>
        <v/>
      </c>
      <c r="AJ1161" s="6" t="n"/>
      <c r="AK1161" s="6" t="n"/>
      <c r="AL1161" s="6" t="n"/>
      <c r="AM1161" s="3">
        <f>IF(tblOrdenes[[#This Row],[link_checklist]]="","",HYPERLINK(p_ruta_base_checklists&amp;tblOrdenes[[#This Row],[link_checklist]],"abrir"))</f>
        <v/>
      </c>
      <c r="AN1161" s="6" t="n"/>
      <c r="AO1161" s="3">
        <f>IF(tblOrdenes[[#This Row],[orden]]="","",tblOrdenes[[#This Row],[orden]]&amp;IF(tblOrdenes[[#This Row],[operacion]]="","0010",tblOrdenes[[#This Row],[operacion]]))</f>
        <v/>
      </c>
    </row>
    <row r="1162">
      <c r="A1162" s="3" t="n"/>
      <c r="B1162" s="3" t="n"/>
      <c r="C1162" s="3" t="n"/>
      <c r="D1162" s="3" t="n"/>
      <c r="E1162" s="3" t="n"/>
      <c r="F1162" s="3" t="n"/>
      <c r="G1162" s="3" t="n"/>
      <c r="H1162" s="3" t="n"/>
      <c r="I1162" s="3" t="n"/>
      <c r="J1162" s="11" t="n"/>
      <c r="K1162" s="3" t="n"/>
      <c r="L1162" s="10" t="n"/>
      <c r="M1162" s="6" t="n"/>
      <c r="N116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6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6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62" s="3">
        <f>IF(tblOrdenes[[#This Row],[fecha_inicio]]="","",YEAR(tblOrdenes[[#This Row],[fecha_inicio]]))</f>
        <v/>
      </c>
      <c r="R1162" s="3">
        <f>IF(tblOrdenes[[#This Row],[fecha_inicio]]="","",MONTH(tblOrdenes[[#This Row],[fecha_inicio]]))</f>
        <v/>
      </c>
      <c r="S1162" s="3">
        <f>IF(tblOrdenes[[#This Row],[fecha_inicio]]="","",INDEX(lista_dias,WEEKDAY(tblOrdenes[[#This Row],[fecha_inicio]],2)))</f>
        <v/>
      </c>
      <c r="T1162" s="3">
        <f>IF(tblOrdenes[[#This Row],[tipo_ot]]="","",_xlfn.XLOOKUP(tblOrdenes[[#This Row],[tipo_ot]],tblTiposOT[codigo],tblTiposOT[clasificacion],"sin_clasificar"))</f>
        <v/>
      </c>
      <c r="U1162" s="3">
        <f>IF(tblOrdenes[[#This Row],[centro_costo]]="","",_xlfn.XLOOKUP(tblOrdenes[[#This Row],[centro_costo]],tblCECO[codigo],tblCECO[linea],"(sin catálogo)"))</f>
        <v/>
      </c>
      <c r="V1162" s="3">
        <f>IF(tblOrdenes[[#This Row],[centro_costo]]="","",_xlfn.XLOOKUP(tblOrdenes[[#This Row],[centro_costo]],tblCECO[codigo],tblCECO[area],"(sin catálogo)"))</f>
        <v/>
      </c>
      <c r="W1162" s="3">
        <f>IF(tblOrdenes[[#This Row],[centro_costo]]="","",_xlfn.XLOOKUP(tblOrdenes[[#This Row],[centro_costo]],tblCECO[codigo],tblCECO[coordinador],"(sin catálogo)"))</f>
        <v/>
      </c>
      <c r="X1162" s="3">
        <f>IF(tblOrdenes[[#This Row],[puesto_trabajo]]="","",_xlfn.XLOOKUP(tblOrdenes[[#This Row],[puesto_trabajo]],tblPuestos[codigo],tblPuestos[especialidad],"(sin catálogo)"))</f>
        <v/>
      </c>
      <c r="Y1162" s="3">
        <f>IF(tblOrdenes[[#This Row],[cod_actividad]]="","",_xlfn.XLOOKUP(tblOrdenes[[#This Row],[cod_actividad]],tblActividades[codigo],tblActividades[descripcion],"(sin catálogo)"))</f>
        <v/>
      </c>
      <c r="Z1162" s="12">
        <f>IF(tblOrdenes[[#This Row],[fecha_inicio]]="","",TODAY()-tblOrdenes[[#This Row],[fecha_inicio]])</f>
        <v/>
      </c>
      <c r="AA1162" s="3">
        <f>IF(tblOrdenes[[#This Row],[backlog_dias]]="","",IF(tblOrdenes[[#This Row],[backlog_dias]]&lt;0,"FUTURO",IF(tblOrdenes[[#This Row],[backlog_dias]]&gt;p_dias_backlog_max,"BACKLOG","MES CORRIENTE")))</f>
        <v/>
      </c>
      <c r="AB1162" s="3">
        <f>IF(tblOrdenes[[#This Row],[backlog_dias]]="",FALSE,AND(tblOrdenes[[#This Row],[backlog_dias]]&gt;p_dias_backlog_min,tblOrdenes[[#This Row],[backlog_dias]]&lt;=p_dias_backlog_max))</f>
        <v/>
      </c>
      <c r="AC1162" s="6" t="n"/>
      <c r="AD116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6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6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62" s="10">
        <f>IF(tblOrdenes[[#This Row],[orden]]="","",_xlfn.XLOOKUP(tblOrdenes[[#This Row],[id_operacion]],tblEjecucion[id_operacion],tblEjecucion[precio],0))</f>
        <v/>
      </c>
      <c r="AH1162" s="10">
        <f>IF(tblOrdenes[[#This Row],[orden]]="","",MAX(0,_xlfn.XLOOKUP(tblOrdenes[[#This Row],[id_operacion]],tblEjecucion[id_operacion],tblEjecucion[costo_plan_total],0)-tblOrdenes[[#This Row],[costo_servicio]]))</f>
        <v/>
      </c>
      <c r="AI1162" s="10">
        <f>IF(tblOrdenes[[#This Row],[orden]]="","",tblOrdenes[[#This Row],[costo_servicio]]+tblOrdenes[[#This Row],[costo_materiales]])</f>
        <v/>
      </c>
      <c r="AJ1162" s="6" t="n"/>
      <c r="AK1162" s="6" t="n"/>
      <c r="AL1162" s="6" t="n"/>
      <c r="AM1162" s="3">
        <f>IF(tblOrdenes[[#This Row],[link_checklist]]="","",HYPERLINK(p_ruta_base_checklists&amp;tblOrdenes[[#This Row],[link_checklist]],"abrir"))</f>
        <v/>
      </c>
      <c r="AN1162" s="6" t="n"/>
      <c r="AO1162" s="3">
        <f>IF(tblOrdenes[[#This Row],[orden]]="","",tblOrdenes[[#This Row],[orden]]&amp;IF(tblOrdenes[[#This Row],[operacion]]="","0010",tblOrdenes[[#This Row],[operacion]]))</f>
        <v/>
      </c>
    </row>
    <row r="1163">
      <c r="A1163" s="3" t="n"/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11" t="n"/>
      <c r="K1163" s="3" t="n"/>
      <c r="L1163" s="10" t="n"/>
      <c r="M1163" s="6" t="n"/>
      <c r="N116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6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6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63" s="3">
        <f>IF(tblOrdenes[[#This Row],[fecha_inicio]]="","",YEAR(tblOrdenes[[#This Row],[fecha_inicio]]))</f>
        <v/>
      </c>
      <c r="R1163" s="3">
        <f>IF(tblOrdenes[[#This Row],[fecha_inicio]]="","",MONTH(tblOrdenes[[#This Row],[fecha_inicio]]))</f>
        <v/>
      </c>
      <c r="S1163" s="3">
        <f>IF(tblOrdenes[[#This Row],[fecha_inicio]]="","",INDEX(lista_dias,WEEKDAY(tblOrdenes[[#This Row],[fecha_inicio]],2)))</f>
        <v/>
      </c>
      <c r="T1163" s="3">
        <f>IF(tblOrdenes[[#This Row],[tipo_ot]]="","",_xlfn.XLOOKUP(tblOrdenes[[#This Row],[tipo_ot]],tblTiposOT[codigo],tblTiposOT[clasificacion],"sin_clasificar"))</f>
        <v/>
      </c>
      <c r="U1163" s="3">
        <f>IF(tblOrdenes[[#This Row],[centro_costo]]="","",_xlfn.XLOOKUP(tblOrdenes[[#This Row],[centro_costo]],tblCECO[codigo],tblCECO[linea],"(sin catálogo)"))</f>
        <v/>
      </c>
      <c r="V1163" s="3">
        <f>IF(tblOrdenes[[#This Row],[centro_costo]]="","",_xlfn.XLOOKUP(tblOrdenes[[#This Row],[centro_costo]],tblCECO[codigo],tblCECO[area],"(sin catálogo)"))</f>
        <v/>
      </c>
      <c r="W1163" s="3">
        <f>IF(tblOrdenes[[#This Row],[centro_costo]]="","",_xlfn.XLOOKUP(tblOrdenes[[#This Row],[centro_costo]],tblCECO[codigo],tblCECO[coordinador],"(sin catálogo)"))</f>
        <v/>
      </c>
      <c r="X1163" s="3">
        <f>IF(tblOrdenes[[#This Row],[puesto_trabajo]]="","",_xlfn.XLOOKUP(tblOrdenes[[#This Row],[puesto_trabajo]],tblPuestos[codigo],tblPuestos[especialidad],"(sin catálogo)"))</f>
        <v/>
      </c>
      <c r="Y1163" s="3">
        <f>IF(tblOrdenes[[#This Row],[cod_actividad]]="","",_xlfn.XLOOKUP(tblOrdenes[[#This Row],[cod_actividad]],tblActividades[codigo],tblActividades[descripcion],"(sin catálogo)"))</f>
        <v/>
      </c>
      <c r="Z1163" s="12">
        <f>IF(tblOrdenes[[#This Row],[fecha_inicio]]="","",TODAY()-tblOrdenes[[#This Row],[fecha_inicio]])</f>
        <v/>
      </c>
      <c r="AA1163" s="3">
        <f>IF(tblOrdenes[[#This Row],[backlog_dias]]="","",IF(tblOrdenes[[#This Row],[backlog_dias]]&lt;0,"FUTURO",IF(tblOrdenes[[#This Row],[backlog_dias]]&gt;p_dias_backlog_max,"BACKLOG","MES CORRIENTE")))</f>
        <v/>
      </c>
      <c r="AB1163" s="3">
        <f>IF(tblOrdenes[[#This Row],[backlog_dias]]="",FALSE,AND(tblOrdenes[[#This Row],[backlog_dias]]&gt;p_dias_backlog_min,tblOrdenes[[#This Row],[backlog_dias]]&lt;=p_dias_backlog_max))</f>
        <v/>
      </c>
      <c r="AC1163" s="6" t="n"/>
      <c r="AD116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6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6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63" s="10">
        <f>IF(tblOrdenes[[#This Row],[orden]]="","",_xlfn.XLOOKUP(tblOrdenes[[#This Row],[id_operacion]],tblEjecucion[id_operacion],tblEjecucion[precio],0))</f>
        <v/>
      </c>
      <c r="AH1163" s="10">
        <f>IF(tblOrdenes[[#This Row],[orden]]="","",MAX(0,_xlfn.XLOOKUP(tblOrdenes[[#This Row],[id_operacion]],tblEjecucion[id_operacion],tblEjecucion[costo_plan_total],0)-tblOrdenes[[#This Row],[costo_servicio]]))</f>
        <v/>
      </c>
      <c r="AI1163" s="10">
        <f>IF(tblOrdenes[[#This Row],[orden]]="","",tblOrdenes[[#This Row],[costo_servicio]]+tblOrdenes[[#This Row],[costo_materiales]])</f>
        <v/>
      </c>
      <c r="AJ1163" s="6" t="n"/>
      <c r="AK1163" s="6" t="n"/>
      <c r="AL1163" s="6" t="n"/>
      <c r="AM1163" s="3">
        <f>IF(tblOrdenes[[#This Row],[link_checklist]]="","",HYPERLINK(p_ruta_base_checklists&amp;tblOrdenes[[#This Row],[link_checklist]],"abrir"))</f>
        <v/>
      </c>
      <c r="AN1163" s="6" t="n"/>
      <c r="AO1163" s="3">
        <f>IF(tblOrdenes[[#This Row],[orden]]="","",tblOrdenes[[#This Row],[orden]]&amp;IF(tblOrdenes[[#This Row],[operacion]]="","0010",tblOrdenes[[#This Row],[operacion]]))</f>
        <v/>
      </c>
    </row>
    <row r="1164">
      <c r="A1164" s="3" t="n"/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11" t="n"/>
      <c r="K1164" s="3" t="n"/>
      <c r="L1164" s="10" t="n"/>
      <c r="M1164" s="6" t="n"/>
      <c r="N116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6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6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64" s="3">
        <f>IF(tblOrdenes[[#This Row],[fecha_inicio]]="","",YEAR(tblOrdenes[[#This Row],[fecha_inicio]]))</f>
        <v/>
      </c>
      <c r="R1164" s="3">
        <f>IF(tblOrdenes[[#This Row],[fecha_inicio]]="","",MONTH(tblOrdenes[[#This Row],[fecha_inicio]]))</f>
        <v/>
      </c>
      <c r="S1164" s="3">
        <f>IF(tblOrdenes[[#This Row],[fecha_inicio]]="","",INDEX(lista_dias,WEEKDAY(tblOrdenes[[#This Row],[fecha_inicio]],2)))</f>
        <v/>
      </c>
      <c r="T1164" s="3">
        <f>IF(tblOrdenes[[#This Row],[tipo_ot]]="","",_xlfn.XLOOKUP(tblOrdenes[[#This Row],[tipo_ot]],tblTiposOT[codigo],tblTiposOT[clasificacion],"sin_clasificar"))</f>
        <v/>
      </c>
      <c r="U1164" s="3">
        <f>IF(tblOrdenes[[#This Row],[centro_costo]]="","",_xlfn.XLOOKUP(tblOrdenes[[#This Row],[centro_costo]],tblCECO[codigo],tblCECO[linea],"(sin catálogo)"))</f>
        <v/>
      </c>
      <c r="V1164" s="3">
        <f>IF(tblOrdenes[[#This Row],[centro_costo]]="","",_xlfn.XLOOKUP(tblOrdenes[[#This Row],[centro_costo]],tblCECO[codigo],tblCECO[area],"(sin catálogo)"))</f>
        <v/>
      </c>
      <c r="W1164" s="3">
        <f>IF(tblOrdenes[[#This Row],[centro_costo]]="","",_xlfn.XLOOKUP(tblOrdenes[[#This Row],[centro_costo]],tblCECO[codigo],tblCECO[coordinador],"(sin catálogo)"))</f>
        <v/>
      </c>
      <c r="X1164" s="3">
        <f>IF(tblOrdenes[[#This Row],[puesto_trabajo]]="","",_xlfn.XLOOKUP(tblOrdenes[[#This Row],[puesto_trabajo]],tblPuestos[codigo],tblPuestos[especialidad],"(sin catálogo)"))</f>
        <v/>
      </c>
      <c r="Y1164" s="3">
        <f>IF(tblOrdenes[[#This Row],[cod_actividad]]="","",_xlfn.XLOOKUP(tblOrdenes[[#This Row],[cod_actividad]],tblActividades[codigo],tblActividades[descripcion],"(sin catálogo)"))</f>
        <v/>
      </c>
      <c r="Z1164" s="12">
        <f>IF(tblOrdenes[[#This Row],[fecha_inicio]]="","",TODAY()-tblOrdenes[[#This Row],[fecha_inicio]])</f>
        <v/>
      </c>
      <c r="AA1164" s="3">
        <f>IF(tblOrdenes[[#This Row],[backlog_dias]]="","",IF(tblOrdenes[[#This Row],[backlog_dias]]&lt;0,"FUTURO",IF(tblOrdenes[[#This Row],[backlog_dias]]&gt;p_dias_backlog_max,"BACKLOG","MES CORRIENTE")))</f>
        <v/>
      </c>
      <c r="AB1164" s="3">
        <f>IF(tblOrdenes[[#This Row],[backlog_dias]]="",FALSE,AND(tblOrdenes[[#This Row],[backlog_dias]]&gt;p_dias_backlog_min,tblOrdenes[[#This Row],[backlog_dias]]&lt;=p_dias_backlog_max))</f>
        <v/>
      </c>
      <c r="AC1164" s="6" t="n"/>
      <c r="AD116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6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6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64" s="10">
        <f>IF(tblOrdenes[[#This Row],[orden]]="","",_xlfn.XLOOKUP(tblOrdenes[[#This Row],[id_operacion]],tblEjecucion[id_operacion],tblEjecucion[precio],0))</f>
        <v/>
      </c>
      <c r="AH1164" s="10">
        <f>IF(tblOrdenes[[#This Row],[orden]]="","",MAX(0,_xlfn.XLOOKUP(tblOrdenes[[#This Row],[id_operacion]],tblEjecucion[id_operacion],tblEjecucion[costo_plan_total],0)-tblOrdenes[[#This Row],[costo_servicio]]))</f>
        <v/>
      </c>
      <c r="AI1164" s="10">
        <f>IF(tblOrdenes[[#This Row],[orden]]="","",tblOrdenes[[#This Row],[costo_servicio]]+tblOrdenes[[#This Row],[costo_materiales]])</f>
        <v/>
      </c>
      <c r="AJ1164" s="6" t="n"/>
      <c r="AK1164" s="6" t="n"/>
      <c r="AL1164" s="6" t="n"/>
      <c r="AM1164" s="3">
        <f>IF(tblOrdenes[[#This Row],[link_checklist]]="","",HYPERLINK(p_ruta_base_checklists&amp;tblOrdenes[[#This Row],[link_checklist]],"abrir"))</f>
        <v/>
      </c>
      <c r="AN1164" s="6" t="n"/>
      <c r="AO1164" s="3">
        <f>IF(tblOrdenes[[#This Row],[orden]]="","",tblOrdenes[[#This Row],[orden]]&amp;IF(tblOrdenes[[#This Row],[operacion]]="","0010",tblOrdenes[[#This Row],[operacion]]))</f>
        <v/>
      </c>
    </row>
    <row r="1165">
      <c r="A1165" s="3" t="n"/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11" t="n"/>
      <c r="K1165" s="3" t="n"/>
      <c r="L1165" s="10" t="n"/>
      <c r="M1165" s="6" t="n"/>
      <c r="N116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6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6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65" s="3">
        <f>IF(tblOrdenes[[#This Row],[fecha_inicio]]="","",YEAR(tblOrdenes[[#This Row],[fecha_inicio]]))</f>
        <v/>
      </c>
      <c r="R1165" s="3">
        <f>IF(tblOrdenes[[#This Row],[fecha_inicio]]="","",MONTH(tblOrdenes[[#This Row],[fecha_inicio]]))</f>
        <v/>
      </c>
      <c r="S1165" s="3">
        <f>IF(tblOrdenes[[#This Row],[fecha_inicio]]="","",INDEX(lista_dias,WEEKDAY(tblOrdenes[[#This Row],[fecha_inicio]],2)))</f>
        <v/>
      </c>
      <c r="T1165" s="3">
        <f>IF(tblOrdenes[[#This Row],[tipo_ot]]="","",_xlfn.XLOOKUP(tblOrdenes[[#This Row],[tipo_ot]],tblTiposOT[codigo],tblTiposOT[clasificacion],"sin_clasificar"))</f>
        <v/>
      </c>
      <c r="U1165" s="3">
        <f>IF(tblOrdenes[[#This Row],[centro_costo]]="","",_xlfn.XLOOKUP(tblOrdenes[[#This Row],[centro_costo]],tblCECO[codigo],tblCECO[linea],"(sin catálogo)"))</f>
        <v/>
      </c>
      <c r="V1165" s="3">
        <f>IF(tblOrdenes[[#This Row],[centro_costo]]="","",_xlfn.XLOOKUP(tblOrdenes[[#This Row],[centro_costo]],tblCECO[codigo],tblCECO[area],"(sin catálogo)"))</f>
        <v/>
      </c>
      <c r="W1165" s="3">
        <f>IF(tblOrdenes[[#This Row],[centro_costo]]="","",_xlfn.XLOOKUP(tblOrdenes[[#This Row],[centro_costo]],tblCECO[codigo],tblCECO[coordinador],"(sin catálogo)"))</f>
        <v/>
      </c>
      <c r="X1165" s="3">
        <f>IF(tblOrdenes[[#This Row],[puesto_trabajo]]="","",_xlfn.XLOOKUP(tblOrdenes[[#This Row],[puesto_trabajo]],tblPuestos[codigo],tblPuestos[especialidad],"(sin catálogo)"))</f>
        <v/>
      </c>
      <c r="Y1165" s="3">
        <f>IF(tblOrdenes[[#This Row],[cod_actividad]]="","",_xlfn.XLOOKUP(tblOrdenes[[#This Row],[cod_actividad]],tblActividades[codigo],tblActividades[descripcion],"(sin catálogo)"))</f>
        <v/>
      </c>
      <c r="Z1165" s="12">
        <f>IF(tblOrdenes[[#This Row],[fecha_inicio]]="","",TODAY()-tblOrdenes[[#This Row],[fecha_inicio]])</f>
        <v/>
      </c>
      <c r="AA1165" s="3">
        <f>IF(tblOrdenes[[#This Row],[backlog_dias]]="","",IF(tblOrdenes[[#This Row],[backlog_dias]]&lt;0,"FUTURO",IF(tblOrdenes[[#This Row],[backlog_dias]]&gt;p_dias_backlog_max,"BACKLOG","MES CORRIENTE")))</f>
        <v/>
      </c>
      <c r="AB1165" s="3">
        <f>IF(tblOrdenes[[#This Row],[backlog_dias]]="",FALSE,AND(tblOrdenes[[#This Row],[backlog_dias]]&gt;p_dias_backlog_min,tblOrdenes[[#This Row],[backlog_dias]]&lt;=p_dias_backlog_max))</f>
        <v/>
      </c>
      <c r="AC1165" s="6" t="n"/>
      <c r="AD116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6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6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65" s="10">
        <f>IF(tblOrdenes[[#This Row],[orden]]="","",_xlfn.XLOOKUP(tblOrdenes[[#This Row],[id_operacion]],tblEjecucion[id_operacion],tblEjecucion[precio],0))</f>
        <v/>
      </c>
      <c r="AH1165" s="10">
        <f>IF(tblOrdenes[[#This Row],[orden]]="","",MAX(0,_xlfn.XLOOKUP(tblOrdenes[[#This Row],[id_operacion]],tblEjecucion[id_operacion],tblEjecucion[costo_plan_total],0)-tblOrdenes[[#This Row],[costo_servicio]]))</f>
        <v/>
      </c>
      <c r="AI1165" s="10">
        <f>IF(tblOrdenes[[#This Row],[orden]]="","",tblOrdenes[[#This Row],[costo_servicio]]+tblOrdenes[[#This Row],[costo_materiales]])</f>
        <v/>
      </c>
      <c r="AJ1165" s="6" t="n"/>
      <c r="AK1165" s="6" t="n"/>
      <c r="AL1165" s="6" t="n"/>
      <c r="AM1165" s="3">
        <f>IF(tblOrdenes[[#This Row],[link_checklist]]="","",HYPERLINK(p_ruta_base_checklists&amp;tblOrdenes[[#This Row],[link_checklist]],"abrir"))</f>
        <v/>
      </c>
      <c r="AN1165" s="6" t="n"/>
      <c r="AO1165" s="3">
        <f>IF(tblOrdenes[[#This Row],[orden]]="","",tblOrdenes[[#This Row],[orden]]&amp;IF(tblOrdenes[[#This Row],[operacion]]="","0010",tblOrdenes[[#This Row],[operacion]]))</f>
        <v/>
      </c>
    </row>
    <row r="1166">
      <c r="A1166" s="3" t="n"/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11" t="n"/>
      <c r="K1166" s="3" t="n"/>
      <c r="L1166" s="10" t="n"/>
      <c r="M1166" s="6" t="n"/>
      <c r="N116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6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6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66" s="3">
        <f>IF(tblOrdenes[[#This Row],[fecha_inicio]]="","",YEAR(tblOrdenes[[#This Row],[fecha_inicio]]))</f>
        <v/>
      </c>
      <c r="R1166" s="3">
        <f>IF(tblOrdenes[[#This Row],[fecha_inicio]]="","",MONTH(tblOrdenes[[#This Row],[fecha_inicio]]))</f>
        <v/>
      </c>
      <c r="S1166" s="3">
        <f>IF(tblOrdenes[[#This Row],[fecha_inicio]]="","",INDEX(lista_dias,WEEKDAY(tblOrdenes[[#This Row],[fecha_inicio]],2)))</f>
        <v/>
      </c>
      <c r="T1166" s="3">
        <f>IF(tblOrdenes[[#This Row],[tipo_ot]]="","",_xlfn.XLOOKUP(tblOrdenes[[#This Row],[tipo_ot]],tblTiposOT[codigo],tblTiposOT[clasificacion],"sin_clasificar"))</f>
        <v/>
      </c>
      <c r="U1166" s="3">
        <f>IF(tblOrdenes[[#This Row],[centro_costo]]="","",_xlfn.XLOOKUP(tblOrdenes[[#This Row],[centro_costo]],tblCECO[codigo],tblCECO[linea],"(sin catálogo)"))</f>
        <v/>
      </c>
      <c r="V1166" s="3">
        <f>IF(tblOrdenes[[#This Row],[centro_costo]]="","",_xlfn.XLOOKUP(tblOrdenes[[#This Row],[centro_costo]],tblCECO[codigo],tblCECO[area],"(sin catálogo)"))</f>
        <v/>
      </c>
      <c r="W1166" s="3">
        <f>IF(tblOrdenes[[#This Row],[centro_costo]]="","",_xlfn.XLOOKUP(tblOrdenes[[#This Row],[centro_costo]],tblCECO[codigo],tblCECO[coordinador],"(sin catálogo)"))</f>
        <v/>
      </c>
      <c r="X1166" s="3">
        <f>IF(tblOrdenes[[#This Row],[puesto_trabajo]]="","",_xlfn.XLOOKUP(tblOrdenes[[#This Row],[puesto_trabajo]],tblPuestos[codigo],tblPuestos[especialidad],"(sin catálogo)"))</f>
        <v/>
      </c>
      <c r="Y1166" s="3">
        <f>IF(tblOrdenes[[#This Row],[cod_actividad]]="","",_xlfn.XLOOKUP(tblOrdenes[[#This Row],[cod_actividad]],tblActividades[codigo],tblActividades[descripcion],"(sin catálogo)"))</f>
        <v/>
      </c>
      <c r="Z1166" s="12">
        <f>IF(tblOrdenes[[#This Row],[fecha_inicio]]="","",TODAY()-tblOrdenes[[#This Row],[fecha_inicio]])</f>
        <v/>
      </c>
      <c r="AA1166" s="3">
        <f>IF(tblOrdenes[[#This Row],[backlog_dias]]="","",IF(tblOrdenes[[#This Row],[backlog_dias]]&lt;0,"FUTURO",IF(tblOrdenes[[#This Row],[backlog_dias]]&gt;p_dias_backlog_max,"BACKLOG","MES CORRIENTE")))</f>
        <v/>
      </c>
      <c r="AB1166" s="3">
        <f>IF(tblOrdenes[[#This Row],[backlog_dias]]="",FALSE,AND(tblOrdenes[[#This Row],[backlog_dias]]&gt;p_dias_backlog_min,tblOrdenes[[#This Row],[backlog_dias]]&lt;=p_dias_backlog_max))</f>
        <v/>
      </c>
      <c r="AC1166" s="6" t="n"/>
      <c r="AD116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6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6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66" s="10">
        <f>IF(tblOrdenes[[#This Row],[orden]]="","",_xlfn.XLOOKUP(tblOrdenes[[#This Row],[id_operacion]],tblEjecucion[id_operacion],tblEjecucion[precio],0))</f>
        <v/>
      </c>
      <c r="AH1166" s="10">
        <f>IF(tblOrdenes[[#This Row],[orden]]="","",MAX(0,_xlfn.XLOOKUP(tblOrdenes[[#This Row],[id_operacion]],tblEjecucion[id_operacion],tblEjecucion[costo_plan_total],0)-tblOrdenes[[#This Row],[costo_servicio]]))</f>
        <v/>
      </c>
      <c r="AI1166" s="10">
        <f>IF(tblOrdenes[[#This Row],[orden]]="","",tblOrdenes[[#This Row],[costo_servicio]]+tblOrdenes[[#This Row],[costo_materiales]])</f>
        <v/>
      </c>
      <c r="AJ1166" s="6" t="n"/>
      <c r="AK1166" s="6" t="n"/>
      <c r="AL1166" s="6" t="n"/>
      <c r="AM1166" s="3">
        <f>IF(tblOrdenes[[#This Row],[link_checklist]]="","",HYPERLINK(p_ruta_base_checklists&amp;tblOrdenes[[#This Row],[link_checklist]],"abrir"))</f>
        <v/>
      </c>
      <c r="AN1166" s="6" t="n"/>
      <c r="AO1166" s="3">
        <f>IF(tblOrdenes[[#This Row],[orden]]="","",tblOrdenes[[#This Row],[orden]]&amp;IF(tblOrdenes[[#This Row],[operacion]]="","0010",tblOrdenes[[#This Row],[operacion]]))</f>
        <v/>
      </c>
    </row>
    <row r="1167">
      <c r="A1167" s="3" t="n"/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11" t="n"/>
      <c r="K1167" s="3" t="n"/>
      <c r="L1167" s="10" t="n"/>
      <c r="M1167" s="6" t="n"/>
      <c r="N116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6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6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67" s="3">
        <f>IF(tblOrdenes[[#This Row],[fecha_inicio]]="","",YEAR(tblOrdenes[[#This Row],[fecha_inicio]]))</f>
        <v/>
      </c>
      <c r="R1167" s="3">
        <f>IF(tblOrdenes[[#This Row],[fecha_inicio]]="","",MONTH(tblOrdenes[[#This Row],[fecha_inicio]]))</f>
        <v/>
      </c>
      <c r="S1167" s="3">
        <f>IF(tblOrdenes[[#This Row],[fecha_inicio]]="","",INDEX(lista_dias,WEEKDAY(tblOrdenes[[#This Row],[fecha_inicio]],2)))</f>
        <v/>
      </c>
      <c r="T1167" s="3">
        <f>IF(tblOrdenes[[#This Row],[tipo_ot]]="","",_xlfn.XLOOKUP(tblOrdenes[[#This Row],[tipo_ot]],tblTiposOT[codigo],tblTiposOT[clasificacion],"sin_clasificar"))</f>
        <v/>
      </c>
      <c r="U1167" s="3">
        <f>IF(tblOrdenes[[#This Row],[centro_costo]]="","",_xlfn.XLOOKUP(tblOrdenes[[#This Row],[centro_costo]],tblCECO[codigo],tblCECO[linea],"(sin catálogo)"))</f>
        <v/>
      </c>
      <c r="V1167" s="3">
        <f>IF(tblOrdenes[[#This Row],[centro_costo]]="","",_xlfn.XLOOKUP(tblOrdenes[[#This Row],[centro_costo]],tblCECO[codigo],tblCECO[area],"(sin catálogo)"))</f>
        <v/>
      </c>
      <c r="W1167" s="3">
        <f>IF(tblOrdenes[[#This Row],[centro_costo]]="","",_xlfn.XLOOKUP(tblOrdenes[[#This Row],[centro_costo]],tblCECO[codigo],tblCECO[coordinador],"(sin catálogo)"))</f>
        <v/>
      </c>
      <c r="X1167" s="3">
        <f>IF(tblOrdenes[[#This Row],[puesto_trabajo]]="","",_xlfn.XLOOKUP(tblOrdenes[[#This Row],[puesto_trabajo]],tblPuestos[codigo],tblPuestos[especialidad],"(sin catálogo)"))</f>
        <v/>
      </c>
      <c r="Y1167" s="3">
        <f>IF(tblOrdenes[[#This Row],[cod_actividad]]="","",_xlfn.XLOOKUP(tblOrdenes[[#This Row],[cod_actividad]],tblActividades[codigo],tblActividades[descripcion],"(sin catálogo)"))</f>
        <v/>
      </c>
      <c r="Z1167" s="12">
        <f>IF(tblOrdenes[[#This Row],[fecha_inicio]]="","",TODAY()-tblOrdenes[[#This Row],[fecha_inicio]])</f>
        <v/>
      </c>
      <c r="AA1167" s="3">
        <f>IF(tblOrdenes[[#This Row],[backlog_dias]]="","",IF(tblOrdenes[[#This Row],[backlog_dias]]&lt;0,"FUTURO",IF(tblOrdenes[[#This Row],[backlog_dias]]&gt;p_dias_backlog_max,"BACKLOG","MES CORRIENTE")))</f>
        <v/>
      </c>
      <c r="AB1167" s="3">
        <f>IF(tblOrdenes[[#This Row],[backlog_dias]]="",FALSE,AND(tblOrdenes[[#This Row],[backlog_dias]]&gt;p_dias_backlog_min,tblOrdenes[[#This Row],[backlog_dias]]&lt;=p_dias_backlog_max))</f>
        <v/>
      </c>
      <c r="AC1167" s="6" t="n"/>
      <c r="AD116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6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6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67" s="10">
        <f>IF(tblOrdenes[[#This Row],[orden]]="","",_xlfn.XLOOKUP(tblOrdenes[[#This Row],[id_operacion]],tblEjecucion[id_operacion],tblEjecucion[precio],0))</f>
        <v/>
      </c>
      <c r="AH1167" s="10">
        <f>IF(tblOrdenes[[#This Row],[orden]]="","",MAX(0,_xlfn.XLOOKUP(tblOrdenes[[#This Row],[id_operacion]],tblEjecucion[id_operacion],tblEjecucion[costo_plan_total],0)-tblOrdenes[[#This Row],[costo_servicio]]))</f>
        <v/>
      </c>
      <c r="AI1167" s="10">
        <f>IF(tblOrdenes[[#This Row],[orden]]="","",tblOrdenes[[#This Row],[costo_servicio]]+tblOrdenes[[#This Row],[costo_materiales]])</f>
        <v/>
      </c>
      <c r="AJ1167" s="6" t="n"/>
      <c r="AK1167" s="6" t="n"/>
      <c r="AL1167" s="6" t="n"/>
      <c r="AM1167" s="3">
        <f>IF(tblOrdenes[[#This Row],[link_checklist]]="","",HYPERLINK(p_ruta_base_checklists&amp;tblOrdenes[[#This Row],[link_checklist]],"abrir"))</f>
        <v/>
      </c>
      <c r="AN1167" s="6" t="n"/>
      <c r="AO1167" s="3">
        <f>IF(tblOrdenes[[#This Row],[orden]]="","",tblOrdenes[[#This Row],[orden]]&amp;IF(tblOrdenes[[#This Row],[operacion]]="","0010",tblOrdenes[[#This Row],[operacion]]))</f>
        <v/>
      </c>
    </row>
    <row r="1168">
      <c r="A1168" s="3" t="n"/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11" t="n"/>
      <c r="K1168" s="3" t="n"/>
      <c r="L1168" s="10" t="n"/>
      <c r="M1168" s="6" t="n"/>
      <c r="N116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6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6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68" s="3">
        <f>IF(tblOrdenes[[#This Row],[fecha_inicio]]="","",YEAR(tblOrdenes[[#This Row],[fecha_inicio]]))</f>
        <v/>
      </c>
      <c r="R1168" s="3">
        <f>IF(tblOrdenes[[#This Row],[fecha_inicio]]="","",MONTH(tblOrdenes[[#This Row],[fecha_inicio]]))</f>
        <v/>
      </c>
      <c r="S1168" s="3">
        <f>IF(tblOrdenes[[#This Row],[fecha_inicio]]="","",INDEX(lista_dias,WEEKDAY(tblOrdenes[[#This Row],[fecha_inicio]],2)))</f>
        <v/>
      </c>
      <c r="T1168" s="3">
        <f>IF(tblOrdenes[[#This Row],[tipo_ot]]="","",_xlfn.XLOOKUP(tblOrdenes[[#This Row],[tipo_ot]],tblTiposOT[codigo],tblTiposOT[clasificacion],"sin_clasificar"))</f>
        <v/>
      </c>
      <c r="U1168" s="3">
        <f>IF(tblOrdenes[[#This Row],[centro_costo]]="","",_xlfn.XLOOKUP(tblOrdenes[[#This Row],[centro_costo]],tblCECO[codigo],tblCECO[linea],"(sin catálogo)"))</f>
        <v/>
      </c>
      <c r="V1168" s="3">
        <f>IF(tblOrdenes[[#This Row],[centro_costo]]="","",_xlfn.XLOOKUP(tblOrdenes[[#This Row],[centro_costo]],tblCECO[codigo],tblCECO[area],"(sin catálogo)"))</f>
        <v/>
      </c>
      <c r="W1168" s="3">
        <f>IF(tblOrdenes[[#This Row],[centro_costo]]="","",_xlfn.XLOOKUP(tblOrdenes[[#This Row],[centro_costo]],tblCECO[codigo],tblCECO[coordinador],"(sin catálogo)"))</f>
        <v/>
      </c>
      <c r="X1168" s="3">
        <f>IF(tblOrdenes[[#This Row],[puesto_trabajo]]="","",_xlfn.XLOOKUP(tblOrdenes[[#This Row],[puesto_trabajo]],tblPuestos[codigo],tblPuestos[especialidad],"(sin catálogo)"))</f>
        <v/>
      </c>
      <c r="Y1168" s="3">
        <f>IF(tblOrdenes[[#This Row],[cod_actividad]]="","",_xlfn.XLOOKUP(tblOrdenes[[#This Row],[cod_actividad]],tblActividades[codigo],tblActividades[descripcion],"(sin catálogo)"))</f>
        <v/>
      </c>
      <c r="Z1168" s="12">
        <f>IF(tblOrdenes[[#This Row],[fecha_inicio]]="","",TODAY()-tblOrdenes[[#This Row],[fecha_inicio]])</f>
        <v/>
      </c>
      <c r="AA1168" s="3">
        <f>IF(tblOrdenes[[#This Row],[backlog_dias]]="","",IF(tblOrdenes[[#This Row],[backlog_dias]]&lt;0,"FUTURO",IF(tblOrdenes[[#This Row],[backlog_dias]]&gt;p_dias_backlog_max,"BACKLOG","MES CORRIENTE")))</f>
        <v/>
      </c>
      <c r="AB1168" s="3">
        <f>IF(tblOrdenes[[#This Row],[backlog_dias]]="",FALSE,AND(tblOrdenes[[#This Row],[backlog_dias]]&gt;p_dias_backlog_min,tblOrdenes[[#This Row],[backlog_dias]]&lt;=p_dias_backlog_max))</f>
        <v/>
      </c>
      <c r="AC1168" s="6" t="n"/>
      <c r="AD116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6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6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68" s="10">
        <f>IF(tblOrdenes[[#This Row],[orden]]="","",_xlfn.XLOOKUP(tblOrdenes[[#This Row],[id_operacion]],tblEjecucion[id_operacion],tblEjecucion[precio],0))</f>
        <v/>
      </c>
      <c r="AH1168" s="10">
        <f>IF(tblOrdenes[[#This Row],[orden]]="","",MAX(0,_xlfn.XLOOKUP(tblOrdenes[[#This Row],[id_operacion]],tblEjecucion[id_operacion],tblEjecucion[costo_plan_total],0)-tblOrdenes[[#This Row],[costo_servicio]]))</f>
        <v/>
      </c>
      <c r="AI1168" s="10">
        <f>IF(tblOrdenes[[#This Row],[orden]]="","",tblOrdenes[[#This Row],[costo_servicio]]+tblOrdenes[[#This Row],[costo_materiales]])</f>
        <v/>
      </c>
      <c r="AJ1168" s="6" t="n"/>
      <c r="AK1168" s="6" t="n"/>
      <c r="AL1168" s="6" t="n"/>
      <c r="AM1168" s="3">
        <f>IF(tblOrdenes[[#This Row],[link_checklist]]="","",HYPERLINK(p_ruta_base_checklists&amp;tblOrdenes[[#This Row],[link_checklist]],"abrir"))</f>
        <v/>
      </c>
      <c r="AN1168" s="6" t="n"/>
      <c r="AO1168" s="3">
        <f>IF(tblOrdenes[[#This Row],[orden]]="","",tblOrdenes[[#This Row],[orden]]&amp;IF(tblOrdenes[[#This Row],[operacion]]="","0010",tblOrdenes[[#This Row],[operacion]]))</f>
        <v/>
      </c>
    </row>
    <row r="1169">
      <c r="A1169" s="3" t="n"/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11" t="n"/>
      <c r="K1169" s="3" t="n"/>
      <c r="L1169" s="10" t="n"/>
      <c r="M1169" s="6" t="n"/>
      <c r="N116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6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6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69" s="3">
        <f>IF(tblOrdenes[[#This Row],[fecha_inicio]]="","",YEAR(tblOrdenes[[#This Row],[fecha_inicio]]))</f>
        <v/>
      </c>
      <c r="R1169" s="3">
        <f>IF(tblOrdenes[[#This Row],[fecha_inicio]]="","",MONTH(tblOrdenes[[#This Row],[fecha_inicio]]))</f>
        <v/>
      </c>
      <c r="S1169" s="3">
        <f>IF(tblOrdenes[[#This Row],[fecha_inicio]]="","",INDEX(lista_dias,WEEKDAY(tblOrdenes[[#This Row],[fecha_inicio]],2)))</f>
        <v/>
      </c>
      <c r="T1169" s="3">
        <f>IF(tblOrdenes[[#This Row],[tipo_ot]]="","",_xlfn.XLOOKUP(tblOrdenes[[#This Row],[tipo_ot]],tblTiposOT[codigo],tblTiposOT[clasificacion],"sin_clasificar"))</f>
        <v/>
      </c>
      <c r="U1169" s="3">
        <f>IF(tblOrdenes[[#This Row],[centro_costo]]="","",_xlfn.XLOOKUP(tblOrdenes[[#This Row],[centro_costo]],tblCECO[codigo],tblCECO[linea],"(sin catálogo)"))</f>
        <v/>
      </c>
      <c r="V1169" s="3">
        <f>IF(tblOrdenes[[#This Row],[centro_costo]]="","",_xlfn.XLOOKUP(tblOrdenes[[#This Row],[centro_costo]],tblCECO[codigo],tblCECO[area],"(sin catálogo)"))</f>
        <v/>
      </c>
      <c r="W1169" s="3">
        <f>IF(tblOrdenes[[#This Row],[centro_costo]]="","",_xlfn.XLOOKUP(tblOrdenes[[#This Row],[centro_costo]],tblCECO[codigo],tblCECO[coordinador],"(sin catálogo)"))</f>
        <v/>
      </c>
      <c r="X1169" s="3">
        <f>IF(tblOrdenes[[#This Row],[puesto_trabajo]]="","",_xlfn.XLOOKUP(tblOrdenes[[#This Row],[puesto_trabajo]],tblPuestos[codigo],tblPuestos[especialidad],"(sin catálogo)"))</f>
        <v/>
      </c>
      <c r="Y1169" s="3">
        <f>IF(tblOrdenes[[#This Row],[cod_actividad]]="","",_xlfn.XLOOKUP(tblOrdenes[[#This Row],[cod_actividad]],tblActividades[codigo],tblActividades[descripcion],"(sin catálogo)"))</f>
        <v/>
      </c>
      <c r="Z1169" s="12">
        <f>IF(tblOrdenes[[#This Row],[fecha_inicio]]="","",TODAY()-tblOrdenes[[#This Row],[fecha_inicio]])</f>
        <v/>
      </c>
      <c r="AA1169" s="3">
        <f>IF(tblOrdenes[[#This Row],[backlog_dias]]="","",IF(tblOrdenes[[#This Row],[backlog_dias]]&lt;0,"FUTURO",IF(tblOrdenes[[#This Row],[backlog_dias]]&gt;p_dias_backlog_max,"BACKLOG","MES CORRIENTE")))</f>
        <v/>
      </c>
      <c r="AB1169" s="3">
        <f>IF(tblOrdenes[[#This Row],[backlog_dias]]="",FALSE,AND(tblOrdenes[[#This Row],[backlog_dias]]&gt;p_dias_backlog_min,tblOrdenes[[#This Row],[backlog_dias]]&lt;=p_dias_backlog_max))</f>
        <v/>
      </c>
      <c r="AC1169" s="6" t="n"/>
      <c r="AD116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6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6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69" s="10">
        <f>IF(tblOrdenes[[#This Row],[orden]]="","",_xlfn.XLOOKUP(tblOrdenes[[#This Row],[id_operacion]],tblEjecucion[id_operacion],tblEjecucion[precio],0))</f>
        <v/>
      </c>
      <c r="AH1169" s="10">
        <f>IF(tblOrdenes[[#This Row],[orden]]="","",MAX(0,_xlfn.XLOOKUP(tblOrdenes[[#This Row],[id_operacion]],tblEjecucion[id_operacion],tblEjecucion[costo_plan_total],0)-tblOrdenes[[#This Row],[costo_servicio]]))</f>
        <v/>
      </c>
      <c r="AI1169" s="10">
        <f>IF(tblOrdenes[[#This Row],[orden]]="","",tblOrdenes[[#This Row],[costo_servicio]]+tblOrdenes[[#This Row],[costo_materiales]])</f>
        <v/>
      </c>
      <c r="AJ1169" s="6" t="n"/>
      <c r="AK1169" s="6" t="n"/>
      <c r="AL1169" s="6" t="n"/>
      <c r="AM1169" s="3">
        <f>IF(tblOrdenes[[#This Row],[link_checklist]]="","",HYPERLINK(p_ruta_base_checklists&amp;tblOrdenes[[#This Row],[link_checklist]],"abrir"))</f>
        <v/>
      </c>
      <c r="AN1169" s="6" t="n"/>
      <c r="AO1169" s="3">
        <f>IF(tblOrdenes[[#This Row],[orden]]="","",tblOrdenes[[#This Row],[orden]]&amp;IF(tblOrdenes[[#This Row],[operacion]]="","0010",tblOrdenes[[#This Row],[operacion]]))</f>
        <v/>
      </c>
    </row>
    <row r="1170">
      <c r="A1170" s="3" t="n"/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11" t="n"/>
      <c r="K1170" s="3" t="n"/>
      <c r="L1170" s="10" t="n"/>
      <c r="M1170" s="6" t="n"/>
      <c r="N117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7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7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70" s="3">
        <f>IF(tblOrdenes[[#This Row],[fecha_inicio]]="","",YEAR(tblOrdenes[[#This Row],[fecha_inicio]]))</f>
        <v/>
      </c>
      <c r="R1170" s="3">
        <f>IF(tblOrdenes[[#This Row],[fecha_inicio]]="","",MONTH(tblOrdenes[[#This Row],[fecha_inicio]]))</f>
        <v/>
      </c>
      <c r="S1170" s="3">
        <f>IF(tblOrdenes[[#This Row],[fecha_inicio]]="","",INDEX(lista_dias,WEEKDAY(tblOrdenes[[#This Row],[fecha_inicio]],2)))</f>
        <v/>
      </c>
      <c r="T1170" s="3">
        <f>IF(tblOrdenes[[#This Row],[tipo_ot]]="","",_xlfn.XLOOKUP(tblOrdenes[[#This Row],[tipo_ot]],tblTiposOT[codigo],tblTiposOT[clasificacion],"sin_clasificar"))</f>
        <v/>
      </c>
      <c r="U1170" s="3">
        <f>IF(tblOrdenes[[#This Row],[centro_costo]]="","",_xlfn.XLOOKUP(tblOrdenes[[#This Row],[centro_costo]],tblCECO[codigo],tblCECO[linea],"(sin catálogo)"))</f>
        <v/>
      </c>
      <c r="V1170" s="3">
        <f>IF(tblOrdenes[[#This Row],[centro_costo]]="","",_xlfn.XLOOKUP(tblOrdenes[[#This Row],[centro_costo]],tblCECO[codigo],tblCECO[area],"(sin catálogo)"))</f>
        <v/>
      </c>
      <c r="W1170" s="3">
        <f>IF(tblOrdenes[[#This Row],[centro_costo]]="","",_xlfn.XLOOKUP(tblOrdenes[[#This Row],[centro_costo]],tblCECO[codigo],tblCECO[coordinador],"(sin catálogo)"))</f>
        <v/>
      </c>
      <c r="X1170" s="3">
        <f>IF(tblOrdenes[[#This Row],[puesto_trabajo]]="","",_xlfn.XLOOKUP(tblOrdenes[[#This Row],[puesto_trabajo]],tblPuestos[codigo],tblPuestos[especialidad],"(sin catálogo)"))</f>
        <v/>
      </c>
      <c r="Y1170" s="3">
        <f>IF(tblOrdenes[[#This Row],[cod_actividad]]="","",_xlfn.XLOOKUP(tblOrdenes[[#This Row],[cod_actividad]],tblActividades[codigo],tblActividades[descripcion],"(sin catálogo)"))</f>
        <v/>
      </c>
      <c r="Z1170" s="12">
        <f>IF(tblOrdenes[[#This Row],[fecha_inicio]]="","",TODAY()-tblOrdenes[[#This Row],[fecha_inicio]])</f>
        <v/>
      </c>
      <c r="AA1170" s="3">
        <f>IF(tblOrdenes[[#This Row],[backlog_dias]]="","",IF(tblOrdenes[[#This Row],[backlog_dias]]&lt;0,"FUTURO",IF(tblOrdenes[[#This Row],[backlog_dias]]&gt;p_dias_backlog_max,"BACKLOG","MES CORRIENTE")))</f>
        <v/>
      </c>
      <c r="AB1170" s="3">
        <f>IF(tblOrdenes[[#This Row],[backlog_dias]]="",FALSE,AND(tblOrdenes[[#This Row],[backlog_dias]]&gt;p_dias_backlog_min,tblOrdenes[[#This Row],[backlog_dias]]&lt;=p_dias_backlog_max))</f>
        <v/>
      </c>
      <c r="AC1170" s="6" t="n"/>
      <c r="AD117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7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7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70" s="10">
        <f>IF(tblOrdenes[[#This Row],[orden]]="","",_xlfn.XLOOKUP(tblOrdenes[[#This Row],[id_operacion]],tblEjecucion[id_operacion],tblEjecucion[precio],0))</f>
        <v/>
      </c>
      <c r="AH1170" s="10">
        <f>IF(tblOrdenes[[#This Row],[orden]]="","",MAX(0,_xlfn.XLOOKUP(tblOrdenes[[#This Row],[id_operacion]],tblEjecucion[id_operacion],tblEjecucion[costo_plan_total],0)-tblOrdenes[[#This Row],[costo_servicio]]))</f>
        <v/>
      </c>
      <c r="AI1170" s="10">
        <f>IF(tblOrdenes[[#This Row],[orden]]="","",tblOrdenes[[#This Row],[costo_servicio]]+tblOrdenes[[#This Row],[costo_materiales]])</f>
        <v/>
      </c>
      <c r="AJ1170" s="6" t="n"/>
      <c r="AK1170" s="6" t="n"/>
      <c r="AL1170" s="6" t="n"/>
      <c r="AM1170" s="3">
        <f>IF(tblOrdenes[[#This Row],[link_checklist]]="","",HYPERLINK(p_ruta_base_checklists&amp;tblOrdenes[[#This Row],[link_checklist]],"abrir"))</f>
        <v/>
      </c>
      <c r="AN1170" s="6" t="n"/>
      <c r="AO1170" s="3">
        <f>IF(tblOrdenes[[#This Row],[orden]]="","",tblOrdenes[[#This Row],[orden]]&amp;IF(tblOrdenes[[#This Row],[operacion]]="","0010",tblOrdenes[[#This Row],[operacion]]))</f>
        <v/>
      </c>
    </row>
    <row r="1171">
      <c r="A1171" s="3" t="n"/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11" t="n"/>
      <c r="K1171" s="3" t="n"/>
      <c r="L1171" s="10" t="n"/>
      <c r="M1171" s="6" t="n"/>
      <c r="N117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7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7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71" s="3">
        <f>IF(tblOrdenes[[#This Row],[fecha_inicio]]="","",YEAR(tblOrdenes[[#This Row],[fecha_inicio]]))</f>
        <v/>
      </c>
      <c r="R1171" s="3">
        <f>IF(tblOrdenes[[#This Row],[fecha_inicio]]="","",MONTH(tblOrdenes[[#This Row],[fecha_inicio]]))</f>
        <v/>
      </c>
      <c r="S1171" s="3">
        <f>IF(tblOrdenes[[#This Row],[fecha_inicio]]="","",INDEX(lista_dias,WEEKDAY(tblOrdenes[[#This Row],[fecha_inicio]],2)))</f>
        <v/>
      </c>
      <c r="T1171" s="3">
        <f>IF(tblOrdenes[[#This Row],[tipo_ot]]="","",_xlfn.XLOOKUP(tblOrdenes[[#This Row],[tipo_ot]],tblTiposOT[codigo],tblTiposOT[clasificacion],"sin_clasificar"))</f>
        <v/>
      </c>
      <c r="U1171" s="3">
        <f>IF(tblOrdenes[[#This Row],[centro_costo]]="","",_xlfn.XLOOKUP(tblOrdenes[[#This Row],[centro_costo]],tblCECO[codigo],tblCECO[linea],"(sin catálogo)"))</f>
        <v/>
      </c>
      <c r="V1171" s="3">
        <f>IF(tblOrdenes[[#This Row],[centro_costo]]="","",_xlfn.XLOOKUP(tblOrdenes[[#This Row],[centro_costo]],tblCECO[codigo],tblCECO[area],"(sin catálogo)"))</f>
        <v/>
      </c>
      <c r="W1171" s="3">
        <f>IF(tblOrdenes[[#This Row],[centro_costo]]="","",_xlfn.XLOOKUP(tblOrdenes[[#This Row],[centro_costo]],tblCECO[codigo],tblCECO[coordinador],"(sin catálogo)"))</f>
        <v/>
      </c>
      <c r="X1171" s="3">
        <f>IF(tblOrdenes[[#This Row],[puesto_trabajo]]="","",_xlfn.XLOOKUP(tblOrdenes[[#This Row],[puesto_trabajo]],tblPuestos[codigo],tblPuestos[especialidad],"(sin catálogo)"))</f>
        <v/>
      </c>
      <c r="Y1171" s="3">
        <f>IF(tblOrdenes[[#This Row],[cod_actividad]]="","",_xlfn.XLOOKUP(tblOrdenes[[#This Row],[cod_actividad]],tblActividades[codigo],tblActividades[descripcion],"(sin catálogo)"))</f>
        <v/>
      </c>
      <c r="Z1171" s="12">
        <f>IF(tblOrdenes[[#This Row],[fecha_inicio]]="","",TODAY()-tblOrdenes[[#This Row],[fecha_inicio]])</f>
        <v/>
      </c>
      <c r="AA1171" s="3">
        <f>IF(tblOrdenes[[#This Row],[backlog_dias]]="","",IF(tblOrdenes[[#This Row],[backlog_dias]]&lt;0,"FUTURO",IF(tblOrdenes[[#This Row],[backlog_dias]]&gt;p_dias_backlog_max,"BACKLOG","MES CORRIENTE")))</f>
        <v/>
      </c>
      <c r="AB1171" s="3">
        <f>IF(tblOrdenes[[#This Row],[backlog_dias]]="",FALSE,AND(tblOrdenes[[#This Row],[backlog_dias]]&gt;p_dias_backlog_min,tblOrdenes[[#This Row],[backlog_dias]]&lt;=p_dias_backlog_max))</f>
        <v/>
      </c>
      <c r="AC1171" s="6" t="n"/>
      <c r="AD117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7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7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71" s="10">
        <f>IF(tblOrdenes[[#This Row],[orden]]="","",_xlfn.XLOOKUP(tblOrdenes[[#This Row],[id_operacion]],tblEjecucion[id_operacion],tblEjecucion[precio],0))</f>
        <v/>
      </c>
      <c r="AH1171" s="10">
        <f>IF(tblOrdenes[[#This Row],[orden]]="","",MAX(0,_xlfn.XLOOKUP(tblOrdenes[[#This Row],[id_operacion]],tblEjecucion[id_operacion],tblEjecucion[costo_plan_total],0)-tblOrdenes[[#This Row],[costo_servicio]]))</f>
        <v/>
      </c>
      <c r="AI1171" s="10">
        <f>IF(tblOrdenes[[#This Row],[orden]]="","",tblOrdenes[[#This Row],[costo_servicio]]+tblOrdenes[[#This Row],[costo_materiales]])</f>
        <v/>
      </c>
      <c r="AJ1171" s="6" t="n"/>
      <c r="AK1171" s="6" t="n"/>
      <c r="AL1171" s="6" t="n"/>
      <c r="AM1171" s="3">
        <f>IF(tblOrdenes[[#This Row],[link_checklist]]="","",HYPERLINK(p_ruta_base_checklists&amp;tblOrdenes[[#This Row],[link_checklist]],"abrir"))</f>
        <v/>
      </c>
      <c r="AN1171" s="6" t="n"/>
      <c r="AO1171" s="3">
        <f>IF(tblOrdenes[[#This Row],[orden]]="","",tblOrdenes[[#This Row],[orden]]&amp;IF(tblOrdenes[[#This Row],[operacion]]="","0010",tblOrdenes[[#This Row],[operacion]]))</f>
        <v/>
      </c>
    </row>
    <row r="1172">
      <c r="A1172" s="3" t="n"/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11" t="n"/>
      <c r="K1172" s="3" t="n"/>
      <c r="L1172" s="10" t="n"/>
      <c r="M1172" s="6" t="n"/>
      <c r="N117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7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7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72" s="3">
        <f>IF(tblOrdenes[[#This Row],[fecha_inicio]]="","",YEAR(tblOrdenes[[#This Row],[fecha_inicio]]))</f>
        <v/>
      </c>
      <c r="R1172" s="3">
        <f>IF(tblOrdenes[[#This Row],[fecha_inicio]]="","",MONTH(tblOrdenes[[#This Row],[fecha_inicio]]))</f>
        <v/>
      </c>
      <c r="S1172" s="3">
        <f>IF(tblOrdenes[[#This Row],[fecha_inicio]]="","",INDEX(lista_dias,WEEKDAY(tblOrdenes[[#This Row],[fecha_inicio]],2)))</f>
        <v/>
      </c>
      <c r="T1172" s="3">
        <f>IF(tblOrdenes[[#This Row],[tipo_ot]]="","",_xlfn.XLOOKUP(tblOrdenes[[#This Row],[tipo_ot]],tblTiposOT[codigo],tblTiposOT[clasificacion],"sin_clasificar"))</f>
        <v/>
      </c>
      <c r="U1172" s="3">
        <f>IF(tblOrdenes[[#This Row],[centro_costo]]="","",_xlfn.XLOOKUP(tblOrdenes[[#This Row],[centro_costo]],tblCECO[codigo],tblCECO[linea],"(sin catálogo)"))</f>
        <v/>
      </c>
      <c r="V1172" s="3">
        <f>IF(tblOrdenes[[#This Row],[centro_costo]]="","",_xlfn.XLOOKUP(tblOrdenes[[#This Row],[centro_costo]],tblCECO[codigo],tblCECO[area],"(sin catálogo)"))</f>
        <v/>
      </c>
      <c r="W1172" s="3">
        <f>IF(tblOrdenes[[#This Row],[centro_costo]]="","",_xlfn.XLOOKUP(tblOrdenes[[#This Row],[centro_costo]],tblCECO[codigo],tblCECO[coordinador],"(sin catálogo)"))</f>
        <v/>
      </c>
      <c r="X1172" s="3">
        <f>IF(tblOrdenes[[#This Row],[puesto_trabajo]]="","",_xlfn.XLOOKUP(tblOrdenes[[#This Row],[puesto_trabajo]],tblPuestos[codigo],tblPuestos[especialidad],"(sin catálogo)"))</f>
        <v/>
      </c>
      <c r="Y1172" s="3">
        <f>IF(tblOrdenes[[#This Row],[cod_actividad]]="","",_xlfn.XLOOKUP(tblOrdenes[[#This Row],[cod_actividad]],tblActividades[codigo],tblActividades[descripcion],"(sin catálogo)"))</f>
        <v/>
      </c>
      <c r="Z1172" s="12">
        <f>IF(tblOrdenes[[#This Row],[fecha_inicio]]="","",TODAY()-tblOrdenes[[#This Row],[fecha_inicio]])</f>
        <v/>
      </c>
      <c r="AA1172" s="3">
        <f>IF(tblOrdenes[[#This Row],[backlog_dias]]="","",IF(tblOrdenes[[#This Row],[backlog_dias]]&lt;0,"FUTURO",IF(tblOrdenes[[#This Row],[backlog_dias]]&gt;p_dias_backlog_max,"BACKLOG","MES CORRIENTE")))</f>
        <v/>
      </c>
      <c r="AB1172" s="3">
        <f>IF(tblOrdenes[[#This Row],[backlog_dias]]="",FALSE,AND(tblOrdenes[[#This Row],[backlog_dias]]&gt;p_dias_backlog_min,tblOrdenes[[#This Row],[backlog_dias]]&lt;=p_dias_backlog_max))</f>
        <v/>
      </c>
      <c r="AC1172" s="6" t="n"/>
      <c r="AD117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7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7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72" s="10">
        <f>IF(tblOrdenes[[#This Row],[orden]]="","",_xlfn.XLOOKUP(tblOrdenes[[#This Row],[id_operacion]],tblEjecucion[id_operacion],tblEjecucion[precio],0))</f>
        <v/>
      </c>
      <c r="AH1172" s="10">
        <f>IF(tblOrdenes[[#This Row],[orden]]="","",MAX(0,_xlfn.XLOOKUP(tblOrdenes[[#This Row],[id_operacion]],tblEjecucion[id_operacion],tblEjecucion[costo_plan_total],0)-tblOrdenes[[#This Row],[costo_servicio]]))</f>
        <v/>
      </c>
      <c r="AI1172" s="10">
        <f>IF(tblOrdenes[[#This Row],[orden]]="","",tblOrdenes[[#This Row],[costo_servicio]]+tblOrdenes[[#This Row],[costo_materiales]])</f>
        <v/>
      </c>
      <c r="AJ1172" s="6" t="n"/>
      <c r="AK1172" s="6" t="n"/>
      <c r="AL1172" s="6" t="n"/>
      <c r="AM1172" s="3">
        <f>IF(tblOrdenes[[#This Row],[link_checklist]]="","",HYPERLINK(p_ruta_base_checklists&amp;tblOrdenes[[#This Row],[link_checklist]],"abrir"))</f>
        <v/>
      </c>
      <c r="AN1172" s="6" t="n"/>
      <c r="AO1172" s="3">
        <f>IF(tblOrdenes[[#This Row],[orden]]="","",tblOrdenes[[#This Row],[orden]]&amp;IF(tblOrdenes[[#This Row],[operacion]]="","0010",tblOrdenes[[#This Row],[operacion]]))</f>
        <v/>
      </c>
    </row>
    <row r="1173">
      <c r="A1173" s="3" t="n"/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11" t="n"/>
      <c r="K1173" s="3" t="n"/>
      <c r="L1173" s="10" t="n"/>
      <c r="M1173" s="6" t="n"/>
      <c r="N117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7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7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73" s="3">
        <f>IF(tblOrdenes[[#This Row],[fecha_inicio]]="","",YEAR(tblOrdenes[[#This Row],[fecha_inicio]]))</f>
        <v/>
      </c>
      <c r="R1173" s="3">
        <f>IF(tblOrdenes[[#This Row],[fecha_inicio]]="","",MONTH(tblOrdenes[[#This Row],[fecha_inicio]]))</f>
        <v/>
      </c>
      <c r="S1173" s="3">
        <f>IF(tblOrdenes[[#This Row],[fecha_inicio]]="","",INDEX(lista_dias,WEEKDAY(tblOrdenes[[#This Row],[fecha_inicio]],2)))</f>
        <v/>
      </c>
      <c r="T1173" s="3">
        <f>IF(tblOrdenes[[#This Row],[tipo_ot]]="","",_xlfn.XLOOKUP(tblOrdenes[[#This Row],[tipo_ot]],tblTiposOT[codigo],tblTiposOT[clasificacion],"sin_clasificar"))</f>
        <v/>
      </c>
      <c r="U1173" s="3">
        <f>IF(tblOrdenes[[#This Row],[centro_costo]]="","",_xlfn.XLOOKUP(tblOrdenes[[#This Row],[centro_costo]],tblCECO[codigo],tblCECO[linea],"(sin catálogo)"))</f>
        <v/>
      </c>
      <c r="V1173" s="3">
        <f>IF(tblOrdenes[[#This Row],[centro_costo]]="","",_xlfn.XLOOKUP(tblOrdenes[[#This Row],[centro_costo]],tblCECO[codigo],tblCECO[area],"(sin catálogo)"))</f>
        <v/>
      </c>
      <c r="W1173" s="3">
        <f>IF(tblOrdenes[[#This Row],[centro_costo]]="","",_xlfn.XLOOKUP(tblOrdenes[[#This Row],[centro_costo]],tblCECO[codigo],tblCECO[coordinador],"(sin catálogo)"))</f>
        <v/>
      </c>
      <c r="X1173" s="3">
        <f>IF(tblOrdenes[[#This Row],[puesto_trabajo]]="","",_xlfn.XLOOKUP(tblOrdenes[[#This Row],[puesto_trabajo]],tblPuestos[codigo],tblPuestos[especialidad],"(sin catálogo)"))</f>
        <v/>
      </c>
      <c r="Y1173" s="3">
        <f>IF(tblOrdenes[[#This Row],[cod_actividad]]="","",_xlfn.XLOOKUP(tblOrdenes[[#This Row],[cod_actividad]],tblActividades[codigo],tblActividades[descripcion],"(sin catálogo)"))</f>
        <v/>
      </c>
      <c r="Z1173" s="12">
        <f>IF(tblOrdenes[[#This Row],[fecha_inicio]]="","",TODAY()-tblOrdenes[[#This Row],[fecha_inicio]])</f>
        <v/>
      </c>
      <c r="AA1173" s="3">
        <f>IF(tblOrdenes[[#This Row],[backlog_dias]]="","",IF(tblOrdenes[[#This Row],[backlog_dias]]&lt;0,"FUTURO",IF(tblOrdenes[[#This Row],[backlog_dias]]&gt;p_dias_backlog_max,"BACKLOG","MES CORRIENTE")))</f>
        <v/>
      </c>
      <c r="AB1173" s="3">
        <f>IF(tblOrdenes[[#This Row],[backlog_dias]]="",FALSE,AND(tblOrdenes[[#This Row],[backlog_dias]]&gt;p_dias_backlog_min,tblOrdenes[[#This Row],[backlog_dias]]&lt;=p_dias_backlog_max))</f>
        <v/>
      </c>
      <c r="AC1173" s="6" t="n"/>
      <c r="AD117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7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7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73" s="10">
        <f>IF(tblOrdenes[[#This Row],[orden]]="","",_xlfn.XLOOKUP(tblOrdenes[[#This Row],[id_operacion]],tblEjecucion[id_operacion],tblEjecucion[precio],0))</f>
        <v/>
      </c>
      <c r="AH1173" s="10">
        <f>IF(tblOrdenes[[#This Row],[orden]]="","",MAX(0,_xlfn.XLOOKUP(tblOrdenes[[#This Row],[id_operacion]],tblEjecucion[id_operacion],tblEjecucion[costo_plan_total],0)-tblOrdenes[[#This Row],[costo_servicio]]))</f>
        <v/>
      </c>
      <c r="AI1173" s="10">
        <f>IF(tblOrdenes[[#This Row],[orden]]="","",tblOrdenes[[#This Row],[costo_servicio]]+tblOrdenes[[#This Row],[costo_materiales]])</f>
        <v/>
      </c>
      <c r="AJ1173" s="6" t="n"/>
      <c r="AK1173" s="6" t="n"/>
      <c r="AL1173" s="6" t="n"/>
      <c r="AM1173" s="3">
        <f>IF(tblOrdenes[[#This Row],[link_checklist]]="","",HYPERLINK(p_ruta_base_checklists&amp;tblOrdenes[[#This Row],[link_checklist]],"abrir"))</f>
        <v/>
      </c>
      <c r="AN1173" s="6" t="n"/>
      <c r="AO1173" s="3">
        <f>IF(tblOrdenes[[#This Row],[orden]]="","",tblOrdenes[[#This Row],[orden]]&amp;IF(tblOrdenes[[#This Row],[operacion]]="","0010",tblOrdenes[[#This Row],[operacion]]))</f>
        <v/>
      </c>
    </row>
    <row r="1174">
      <c r="A1174" s="3" t="n"/>
      <c r="B1174" s="3" t="n"/>
      <c r="C1174" s="3" t="n"/>
      <c r="D1174" s="3" t="n"/>
      <c r="E1174" s="3" t="n"/>
      <c r="F1174" s="3" t="n"/>
      <c r="G1174" s="3" t="n"/>
      <c r="H1174" s="3" t="n"/>
      <c r="I1174" s="3" t="n"/>
      <c r="J1174" s="11" t="n"/>
      <c r="K1174" s="3" t="n"/>
      <c r="L1174" s="10" t="n"/>
      <c r="M1174" s="6" t="n"/>
      <c r="N117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7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7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74" s="3">
        <f>IF(tblOrdenes[[#This Row],[fecha_inicio]]="","",YEAR(tblOrdenes[[#This Row],[fecha_inicio]]))</f>
        <v/>
      </c>
      <c r="R1174" s="3">
        <f>IF(tblOrdenes[[#This Row],[fecha_inicio]]="","",MONTH(tblOrdenes[[#This Row],[fecha_inicio]]))</f>
        <v/>
      </c>
      <c r="S1174" s="3">
        <f>IF(tblOrdenes[[#This Row],[fecha_inicio]]="","",INDEX(lista_dias,WEEKDAY(tblOrdenes[[#This Row],[fecha_inicio]],2)))</f>
        <v/>
      </c>
      <c r="T1174" s="3">
        <f>IF(tblOrdenes[[#This Row],[tipo_ot]]="","",_xlfn.XLOOKUP(tblOrdenes[[#This Row],[tipo_ot]],tblTiposOT[codigo],tblTiposOT[clasificacion],"sin_clasificar"))</f>
        <v/>
      </c>
      <c r="U1174" s="3">
        <f>IF(tblOrdenes[[#This Row],[centro_costo]]="","",_xlfn.XLOOKUP(tblOrdenes[[#This Row],[centro_costo]],tblCECO[codigo],tblCECO[linea],"(sin catálogo)"))</f>
        <v/>
      </c>
      <c r="V1174" s="3">
        <f>IF(tblOrdenes[[#This Row],[centro_costo]]="","",_xlfn.XLOOKUP(tblOrdenes[[#This Row],[centro_costo]],tblCECO[codigo],tblCECO[area],"(sin catálogo)"))</f>
        <v/>
      </c>
      <c r="W1174" s="3">
        <f>IF(tblOrdenes[[#This Row],[centro_costo]]="","",_xlfn.XLOOKUP(tblOrdenes[[#This Row],[centro_costo]],tblCECO[codigo],tblCECO[coordinador],"(sin catálogo)"))</f>
        <v/>
      </c>
      <c r="X1174" s="3">
        <f>IF(tblOrdenes[[#This Row],[puesto_trabajo]]="","",_xlfn.XLOOKUP(tblOrdenes[[#This Row],[puesto_trabajo]],tblPuestos[codigo],tblPuestos[especialidad],"(sin catálogo)"))</f>
        <v/>
      </c>
      <c r="Y1174" s="3">
        <f>IF(tblOrdenes[[#This Row],[cod_actividad]]="","",_xlfn.XLOOKUP(tblOrdenes[[#This Row],[cod_actividad]],tblActividades[codigo],tblActividades[descripcion],"(sin catálogo)"))</f>
        <v/>
      </c>
      <c r="Z1174" s="12">
        <f>IF(tblOrdenes[[#This Row],[fecha_inicio]]="","",TODAY()-tblOrdenes[[#This Row],[fecha_inicio]])</f>
        <v/>
      </c>
      <c r="AA1174" s="3">
        <f>IF(tblOrdenes[[#This Row],[backlog_dias]]="","",IF(tblOrdenes[[#This Row],[backlog_dias]]&lt;0,"FUTURO",IF(tblOrdenes[[#This Row],[backlog_dias]]&gt;p_dias_backlog_max,"BACKLOG","MES CORRIENTE")))</f>
        <v/>
      </c>
      <c r="AB1174" s="3">
        <f>IF(tblOrdenes[[#This Row],[backlog_dias]]="",FALSE,AND(tblOrdenes[[#This Row],[backlog_dias]]&gt;p_dias_backlog_min,tblOrdenes[[#This Row],[backlog_dias]]&lt;=p_dias_backlog_max))</f>
        <v/>
      </c>
      <c r="AC1174" s="6" t="n"/>
      <c r="AD117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7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7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74" s="10">
        <f>IF(tblOrdenes[[#This Row],[orden]]="","",_xlfn.XLOOKUP(tblOrdenes[[#This Row],[id_operacion]],tblEjecucion[id_operacion],tblEjecucion[precio],0))</f>
        <v/>
      </c>
      <c r="AH1174" s="10">
        <f>IF(tblOrdenes[[#This Row],[orden]]="","",MAX(0,_xlfn.XLOOKUP(tblOrdenes[[#This Row],[id_operacion]],tblEjecucion[id_operacion],tblEjecucion[costo_plan_total],0)-tblOrdenes[[#This Row],[costo_servicio]]))</f>
        <v/>
      </c>
      <c r="AI1174" s="10">
        <f>IF(tblOrdenes[[#This Row],[orden]]="","",tblOrdenes[[#This Row],[costo_servicio]]+tblOrdenes[[#This Row],[costo_materiales]])</f>
        <v/>
      </c>
      <c r="AJ1174" s="6" t="n"/>
      <c r="AK1174" s="6" t="n"/>
      <c r="AL1174" s="6" t="n"/>
      <c r="AM1174" s="3">
        <f>IF(tblOrdenes[[#This Row],[link_checklist]]="","",HYPERLINK(p_ruta_base_checklists&amp;tblOrdenes[[#This Row],[link_checklist]],"abrir"))</f>
        <v/>
      </c>
      <c r="AN1174" s="6" t="n"/>
      <c r="AO1174" s="3">
        <f>IF(tblOrdenes[[#This Row],[orden]]="","",tblOrdenes[[#This Row],[orden]]&amp;IF(tblOrdenes[[#This Row],[operacion]]="","0010",tblOrdenes[[#This Row],[operacion]]))</f>
        <v/>
      </c>
    </row>
    <row r="1175">
      <c r="A1175" s="3" t="n"/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11" t="n"/>
      <c r="K1175" s="3" t="n"/>
      <c r="L1175" s="10" t="n"/>
      <c r="M1175" s="6" t="n"/>
      <c r="N117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7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7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75" s="3">
        <f>IF(tblOrdenes[[#This Row],[fecha_inicio]]="","",YEAR(tblOrdenes[[#This Row],[fecha_inicio]]))</f>
        <v/>
      </c>
      <c r="R1175" s="3">
        <f>IF(tblOrdenes[[#This Row],[fecha_inicio]]="","",MONTH(tblOrdenes[[#This Row],[fecha_inicio]]))</f>
        <v/>
      </c>
      <c r="S1175" s="3">
        <f>IF(tblOrdenes[[#This Row],[fecha_inicio]]="","",INDEX(lista_dias,WEEKDAY(tblOrdenes[[#This Row],[fecha_inicio]],2)))</f>
        <v/>
      </c>
      <c r="T1175" s="3">
        <f>IF(tblOrdenes[[#This Row],[tipo_ot]]="","",_xlfn.XLOOKUP(tblOrdenes[[#This Row],[tipo_ot]],tblTiposOT[codigo],tblTiposOT[clasificacion],"sin_clasificar"))</f>
        <v/>
      </c>
      <c r="U1175" s="3">
        <f>IF(tblOrdenes[[#This Row],[centro_costo]]="","",_xlfn.XLOOKUP(tblOrdenes[[#This Row],[centro_costo]],tblCECO[codigo],tblCECO[linea],"(sin catálogo)"))</f>
        <v/>
      </c>
      <c r="V1175" s="3">
        <f>IF(tblOrdenes[[#This Row],[centro_costo]]="","",_xlfn.XLOOKUP(tblOrdenes[[#This Row],[centro_costo]],tblCECO[codigo],tblCECO[area],"(sin catálogo)"))</f>
        <v/>
      </c>
      <c r="W1175" s="3">
        <f>IF(tblOrdenes[[#This Row],[centro_costo]]="","",_xlfn.XLOOKUP(tblOrdenes[[#This Row],[centro_costo]],tblCECO[codigo],tblCECO[coordinador],"(sin catálogo)"))</f>
        <v/>
      </c>
      <c r="X1175" s="3">
        <f>IF(tblOrdenes[[#This Row],[puesto_trabajo]]="","",_xlfn.XLOOKUP(tblOrdenes[[#This Row],[puesto_trabajo]],tblPuestos[codigo],tblPuestos[especialidad],"(sin catálogo)"))</f>
        <v/>
      </c>
      <c r="Y1175" s="3">
        <f>IF(tblOrdenes[[#This Row],[cod_actividad]]="","",_xlfn.XLOOKUP(tblOrdenes[[#This Row],[cod_actividad]],tblActividades[codigo],tblActividades[descripcion],"(sin catálogo)"))</f>
        <v/>
      </c>
      <c r="Z1175" s="12">
        <f>IF(tblOrdenes[[#This Row],[fecha_inicio]]="","",TODAY()-tblOrdenes[[#This Row],[fecha_inicio]])</f>
        <v/>
      </c>
      <c r="AA1175" s="3">
        <f>IF(tblOrdenes[[#This Row],[backlog_dias]]="","",IF(tblOrdenes[[#This Row],[backlog_dias]]&lt;0,"FUTURO",IF(tblOrdenes[[#This Row],[backlog_dias]]&gt;p_dias_backlog_max,"BACKLOG","MES CORRIENTE")))</f>
        <v/>
      </c>
      <c r="AB1175" s="3">
        <f>IF(tblOrdenes[[#This Row],[backlog_dias]]="",FALSE,AND(tblOrdenes[[#This Row],[backlog_dias]]&gt;p_dias_backlog_min,tblOrdenes[[#This Row],[backlog_dias]]&lt;=p_dias_backlog_max))</f>
        <v/>
      </c>
      <c r="AC1175" s="6" t="n"/>
      <c r="AD117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7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7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75" s="10">
        <f>IF(tblOrdenes[[#This Row],[orden]]="","",_xlfn.XLOOKUP(tblOrdenes[[#This Row],[id_operacion]],tblEjecucion[id_operacion],tblEjecucion[precio],0))</f>
        <v/>
      </c>
      <c r="AH1175" s="10">
        <f>IF(tblOrdenes[[#This Row],[orden]]="","",MAX(0,_xlfn.XLOOKUP(tblOrdenes[[#This Row],[id_operacion]],tblEjecucion[id_operacion],tblEjecucion[costo_plan_total],0)-tblOrdenes[[#This Row],[costo_servicio]]))</f>
        <v/>
      </c>
      <c r="AI1175" s="10">
        <f>IF(tblOrdenes[[#This Row],[orden]]="","",tblOrdenes[[#This Row],[costo_servicio]]+tblOrdenes[[#This Row],[costo_materiales]])</f>
        <v/>
      </c>
      <c r="AJ1175" s="6" t="n"/>
      <c r="AK1175" s="6" t="n"/>
      <c r="AL1175" s="6" t="n"/>
      <c r="AM1175" s="3">
        <f>IF(tblOrdenes[[#This Row],[link_checklist]]="","",HYPERLINK(p_ruta_base_checklists&amp;tblOrdenes[[#This Row],[link_checklist]],"abrir"))</f>
        <v/>
      </c>
      <c r="AN1175" s="6" t="n"/>
      <c r="AO1175" s="3">
        <f>IF(tblOrdenes[[#This Row],[orden]]="","",tblOrdenes[[#This Row],[orden]]&amp;IF(tblOrdenes[[#This Row],[operacion]]="","0010",tblOrdenes[[#This Row],[operacion]]))</f>
        <v/>
      </c>
    </row>
    <row r="1176">
      <c r="A1176" s="3" t="n"/>
      <c r="B1176" s="3" t="n"/>
      <c r="C1176" s="3" t="n"/>
      <c r="D1176" s="3" t="n"/>
      <c r="E1176" s="3" t="n"/>
      <c r="F1176" s="3" t="n"/>
      <c r="G1176" s="3" t="n"/>
      <c r="H1176" s="3" t="n"/>
      <c r="I1176" s="3" t="n"/>
      <c r="J1176" s="11" t="n"/>
      <c r="K1176" s="3" t="n"/>
      <c r="L1176" s="10" t="n"/>
      <c r="M1176" s="6" t="n"/>
      <c r="N117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7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7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76" s="3">
        <f>IF(tblOrdenes[[#This Row],[fecha_inicio]]="","",YEAR(tblOrdenes[[#This Row],[fecha_inicio]]))</f>
        <v/>
      </c>
      <c r="R1176" s="3">
        <f>IF(tblOrdenes[[#This Row],[fecha_inicio]]="","",MONTH(tblOrdenes[[#This Row],[fecha_inicio]]))</f>
        <v/>
      </c>
      <c r="S1176" s="3">
        <f>IF(tblOrdenes[[#This Row],[fecha_inicio]]="","",INDEX(lista_dias,WEEKDAY(tblOrdenes[[#This Row],[fecha_inicio]],2)))</f>
        <v/>
      </c>
      <c r="T1176" s="3">
        <f>IF(tblOrdenes[[#This Row],[tipo_ot]]="","",_xlfn.XLOOKUP(tblOrdenes[[#This Row],[tipo_ot]],tblTiposOT[codigo],tblTiposOT[clasificacion],"sin_clasificar"))</f>
        <v/>
      </c>
      <c r="U1176" s="3">
        <f>IF(tblOrdenes[[#This Row],[centro_costo]]="","",_xlfn.XLOOKUP(tblOrdenes[[#This Row],[centro_costo]],tblCECO[codigo],tblCECO[linea],"(sin catálogo)"))</f>
        <v/>
      </c>
      <c r="V1176" s="3">
        <f>IF(tblOrdenes[[#This Row],[centro_costo]]="","",_xlfn.XLOOKUP(tblOrdenes[[#This Row],[centro_costo]],tblCECO[codigo],tblCECO[area],"(sin catálogo)"))</f>
        <v/>
      </c>
      <c r="W1176" s="3">
        <f>IF(tblOrdenes[[#This Row],[centro_costo]]="","",_xlfn.XLOOKUP(tblOrdenes[[#This Row],[centro_costo]],tblCECO[codigo],tblCECO[coordinador],"(sin catálogo)"))</f>
        <v/>
      </c>
      <c r="X1176" s="3">
        <f>IF(tblOrdenes[[#This Row],[puesto_trabajo]]="","",_xlfn.XLOOKUP(tblOrdenes[[#This Row],[puesto_trabajo]],tblPuestos[codigo],tblPuestos[especialidad],"(sin catálogo)"))</f>
        <v/>
      </c>
      <c r="Y1176" s="3">
        <f>IF(tblOrdenes[[#This Row],[cod_actividad]]="","",_xlfn.XLOOKUP(tblOrdenes[[#This Row],[cod_actividad]],tblActividades[codigo],tblActividades[descripcion],"(sin catálogo)"))</f>
        <v/>
      </c>
      <c r="Z1176" s="12">
        <f>IF(tblOrdenes[[#This Row],[fecha_inicio]]="","",TODAY()-tblOrdenes[[#This Row],[fecha_inicio]])</f>
        <v/>
      </c>
      <c r="AA1176" s="3">
        <f>IF(tblOrdenes[[#This Row],[backlog_dias]]="","",IF(tblOrdenes[[#This Row],[backlog_dias]]&lt;0,"FUTURO",IF(tblOrdenes[[#This Row],[backlog_dias]]&gt;p_dias_backlog_max,"BACKLOG","MES CORRIENTE")))</f>
        <v/>
      </c>
      <c r="AB1176" s="3">
        <f>IF(tblOrdenes[[#This Row],[backlog_dias]]="",FALSE,AND(tblOrdenes[[#This Row],[backlog_dias]]&gt;p_dias_backlog_min,tblOrdenes[[#This Row],[backlog_dias]]&lt;=p_dias_backlog_max))</f>
        <v/>
      </c>
      <c r="AC1176" s="6" t="n"/>
      <c r="AD117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7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7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76" s="10">
        <f>IF(tblOrdenes[[#This Row],[orden]]="","",_xlfn.XLOOKUP(tblOrdenes[[#This Row],[id_operacion]],tblEjecucion[id_operacion],tblEjecucion[precio],0))</f>
        <v/>
      </c>
      <c r="AH1176" s="10">
        <f>IF(tblOrdenes[[#This Row],[orden]]="","",MAX(0,_xlfn.XLOOKUP(tblOrdenes[[#This Row],[id_operacion]],tblEjecucion[id_operacion],tblEjecucion[costo_plan_total],0)-tblOrdenes[[#This Row],[costo_servicio]]))</f>
        <v/>
      </c>
      <c r="AI1176" s="10">
        <f>IF(tblOrdenes[[#This Row],[orden]]="","",tblOrdenes[[#This Row],[costo_servicio]]+tblOrdenes[[#This Row],[costo_materiales]])</f>
        <v/>
      </c>
      <c r="AJ1176" s="6" t="n"/>
      <c r="AK1176" s="6" t="n"/>
      <c r="AL1176" s="6" t="n"/>
      <c r="AM1176" s="3">
        <f>IF(tblOrdenes[[#This Row],[link_checklist]]="","",HYPERLINK(p_ruta_base_checklists&amp;tblOrdenes[[#This Row],[link_checklist]],"abrir"))</f>
        <v/>
      </c>
      <c r="AN1176" s="6" t="n"/>
      <c r="AO1176" s="3">
        <f>IF(tblOrdenes[[#This Row],[orden]]="","",tblOrdenes[[#This Row],[orden]]&amp;IF(tblOrdenes[[#This Row],[operacion]]="","0010",tblOrdenes[[#This Row],[operacion]]))</f>
        <v/>
      </c>
    </row>
    <row r="1177">
      <c r="A1177" s="3" t="n"/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11" t="n"/>
      <c r="K1177" s="3" t="n"/>
      <c r="L1177" s="10" t="n"/>
      <c r="M1177" s="6" t="n"/>
      <c r="N117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7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7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77" s="3">
        <f>IF(tblOrdenes[[#This Row],[fecha_inicio]]="","",YEAR(tblOrdenes[[#This Row],[fecha_inicio]]))</f>
        <v/>
      </c>
      <c r="R1177" s="3">
        <f>IF(tblOrdenes[[#This Row],[fecha_inicio]]="","",MONTH(tblOrdenes[[#This Row],[fecha_inicio]]))</f>
        <v/>
      </c>
      <c r="S1177" s="3">
        <f>IF(tblOrdenes[[#This Row],[fecha_inicio]]="","",INDEX(lista_dias,WEEKDAY(tblOrdenes[[#This Row],[fecha_inicio]],2)))</f>
        <v/>
      </c>
      <c r="T1177" s="3">
        <f>IF(tblOrdenes[[#This Row],[tipo_ot]]="","",_xlfn.XLOOKUP(tblOrdenes[[#This Row],[tipo_ot]],tblTiposOT[codigo],tblTiposOT[clasificacion],"sin_clasificar"))</f>
        <v/>
      </c>
      <c r="U1177" s="3">
        <f>IF(tblOrdenes[[#This Row],[centro_costo]]="","",_xlfn.XLOOKUP(tblOrdenes[[#This Row],[centro_costo]],tblCECO[codigo],tblCECO[linea],"(sin catálogo)"))</f>
        <v/>
      </c>
      <c r="V1177" s="3">
        <f>IF(tblOrdenes[[#This Row],[centro_costo]]="","",_xlfn.XLOOKUP(tblOrdenes[[#This Row],[centro_costo]],tblCECO[codigo],tblCECO[area],"(sin catálogo)"))</f>
        <v/>
      </c>
      <c r="W1177" s="3">
        <f>IF(tblOrdenes[[#This Row],[centro_costo]]="","",_xlfn.XLOOKUP(tblOrdenes[[#This Row],[centro_costo]],tblCECO[codigo],tblCECO[coordinador],"(sin catálogo)"))</f>
        <v/>
      </c>
      <c r="X1177" s="3">
        <f>IF(tblOrdenes[[#This Row],[puesto_trabajo]]="","",_xlfn.XLOOKUP(tblOrdenes[[#This Row],[puesto_trabajo]],tblPuestos[codigo],tblPuestos[especialidad],"(sin catálogo)"))</f>
        <v/>
      </c>
      <c r="Y1177" s="3">
        <f>IF(tblOrdenes[[#This Row],[cod_actividad]]="","",_xlfn.XLOOKUP(tblOrdenes[[#This Row],[cod_actividad]],tblActividades[codigo],tblActividades[descripcion],"(sin catálogo)"))</f>
        <v/>
      </c>
      <c r="Z1177" s="12">
        <f>IF(tblOrdenes[[#This Row],[fecha_inicio]]="","",TODAY()-tblOrdenes[[#This Row],[fecha_inicio]])</f>
        <v/>
      </c>
      <c r="AA1177" s="3">
        <f>IF(tblOrdenes[[#This Row],[backlog_dias]]="","",IF(tblOrdenes[[#This Row],[backlog_dias]]&lt;0,"FUTURO",IF(tblOrdenes[[#This Row],[backlog_dias]]&gt;p_dias_backlog_max,"BACKLOG","MES CORRIENTE")))</f>
        <v/>
      </c>
      <c r="AB1177" s="3">
        <f>IF(tblOrdenes[[#This Row],[backlog_dias]]="",FALSE,AND(tblOrdenes[[#This Row],[backlog_dias]]&gt;p_dias_backlog_min,tblOrdenes[[#This Row],[backlog_dias]]&lt;=p_dias_backlog_max))</f>
        <v/>
      </c>
      <c r="AC1177" s="6" t="n"/>
      <c r="AD117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7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7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77" s="10">
        <f>IF(tblOrdenes[[#This Row],[orden]]="","",_xlfn.XLOOKUP(tblOrdenes[[#This Row],[id_operacion]],tblEjecucion[id_operacion],tblEjecucion[precio],0))</f>
        <v/>
      </c>
      <c r="AH1177" s="10">
        <f>IF(tblOrdenes[[#This Row],[orden]]="","",MAX(0,_xlfn.XLOOKUP(tblOrdenes[[#This Row],[id_operacion]],tblEjecucion[id_operacion],tblEjecucion[costo_plan_total],0)-tblOrdenes[[#This Row],[costo_servicio]]))</f>
        <v/>
      </c>
      <c r="AI1177" s="10">
        <f>IF(tblOrdenes[[#This Row],[orden]]="","",tblOrdenes[[#This Row],[costo_servicio]]+tblOrdenes[[#This Row],[costo_materiales]])</f>
        <v/>
      </c>
      <c r="AJ1177" s="6" t="n"/>
      <c r="AK1177" s="6" t="n"/>
      <c r="AL1177" s="6" t="n"/>
      <c r="AM1177" s="3">
        <f>IF(tblOrdenes[[#This Row],[link_checklist]]="","",HYPERLINK(p_ruta_base_checklists&amp;tblOrdenes[[#This Row],[link_checklist]],"abrir"))</f>
        <v/>
      </c>
      <c r="AN1177" s="6" t="n"/>
      <c r="AO1177" s="3">
        <f>IF(tblOrdenes[[#This Row],[orden]]="","",tblOrdenes[[#This Row],[orden]]&amp;IF(tblOrdenes[[#This Row],[operacion]]="","0010",tblOrdenes[[#This Row],[operacion]]))</f>
        <v/>
      </c>
    </row>
    <row r="1178">
      <c r="A1178" s="3" t="n"/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11" t="n"/>
      <c r="K1178" s="3" t="n"/>
      <c r="L1178" s="10" t="n"/>
      <c r="M1178" s="6" t="n"/>
      <c r="N117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7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7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78" s="3">
        <f>IF(tblOrdenes[[#This Row],[fecha_inicio]]="","",YEAR(tblOrdenes[[#This Row],[fecha_inicio]]))</f>
        <v/>
      </c>
      <c r="R1178" s="3">
        <f>IF(tblOrdenes[[#This Row],[fecha_inicio]]="","",MONTH(tblOrdenes[[#This Row],[fecha_inicio]]))</f>
        <v/>
      </c>
      <c r="S1178" s="3">
        <f>IF(tblOrdenes[[#This Row],[fecha_inicio]]="","",INDEX(lista_dias,WEEKDAY(tblOrdenes[[#This Row],[fecha_inicio]],2)))</f>
        <v/>
      </c>
      <c r="T1178" s="3">
        <f>IF(tblOrdenes[[#This Row],[tipo_ot]]="","",_xlfn.XLOOKUP(tblOrdenes[[#This Row],[tipo_ot]],tblTiposOT[codigo],tblTiposOT[clasificacion],"sin_clasificar"))</f>
        <v/>
      </c>
      <c r="U1178" s="3">
        <f>IF(tblOrdenes[[#This Row],[centro_costo]]="","",_xlfn.XLOOKUP(tblOrdenes[[#This Row],[centro_costo]],tblCECO[codigo],tblCECO[linea],"(sin catálogo)"))</f>
        <v/>
      </c>
      <c r="V1178" s="3">
        <f>IF(tblOrdenes[[#This Row],[centro_costo]]="","",_xlfn.XLOOKUP(tblOrdenes[[#This Row],[centro_costo]],tblCECO[codigo],tblCECO[area],"(sin catálogo)"))</f>
        <v/>
      </c>
      <c r="W1178" s="3">
        <f>IF(tblOrdenes[[#This Row],[centro_costo]]="","",_xlfn.XLOOKUP(tblOrdenes[[#This Row],[centro_costo]],tblCECO[codigo],tblCECO[coordinador],"(sin catálogo)"))</f>
        <v/>
      </c>
      <c r="X1178" s="3">
        <f>IF(tblOrdenes[[#This Row],[puesto_trabajo]]="","",_xlfn.XLOOKUP(tblOrdenes[[#This Row],[puesto_trabajo]],tblPuestos[codigo],tblPuestos[especialidad],"(sin catálogo)"))</f>
        <v/>
      </c>
      <c r="Y1178" s="3">
        <f>IF(tblOrdenes[[#This Row],[cod_actividad]]="","",_xlfn.XLOOKUP(tblOrdenes[[#This Row],[cod_actividad]],tblActividades[codigo],tblActividades[descripcion],"(sin catálogo)"))</f>
        <v/>
      </c>
      <c r="Z1178" s="12">
        <f>IF(tblOrdenes[[#This Row],[fecha_inicio]]="","",TODAY()-tblOrdenes[[#This Row],[fecha_inicio]])</f>
        <v/>
      </c>
      <c r="AA1178" s="3">
        <f>IF(tblOrdenes[[#This Row],[backlog_dias]]="","",IF(tblOrdenes[[#This Row],[backlog_dias]]&lt;0,"FUTURO",IF(tblOrdenes[[#This Row],[backlog_dias]]&gt;p_dias_backlog_max,"BACKLOG","MES CORRIENTE")))</f>
        <v/>
      </c>
      <c r="AB1178" s="3">
        <f>IF(tblOrdenes[[#This Row],[backlog_dias]]="",FALSE,AND(tblOrdenes[[#This Row],[backlog_dias]]&gt;p_dias_backlog_min,tblOrdenes[[#This Row],[backlog_dias]]&lt;=p_dias_backlog_max))</f>
        <v/>
      </c>
      <c r="AC1178" s="6" t="n"/>
      <c r="AD117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7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7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78" s="10">
        <f>IF(tblOrdenes[[#This Row],[orden]]="","",_xlfn.XLOOKUP(tblOrdenes[[#This Row],[id_operacion]],tblEjecucion[id_operacion],tblEjecucion[precio],0))</f>
        <v/>
      </c>
      <c r="AH1178" s="10">
        <f>IF(tblOrdenes[[#This Row],[orden]]="","",MAX(0,_xlfn.XLOOKUP(tblOrdenes[[#This Row],[id_operacion]],tblEjecucion[id_operacion],tblEjecucion[costo_plan_total],0)-tblOrdenes[[#This Row],[costo_servicio]]))</f>
        <v/>
      </c>
      <c r="AI1178" s="10">
        <f>IF(tblOrdenes[[#This Row],[orden]]="","",tblOrdenes[[#This Row],[costo_servicio]]+tblOrdenes[[#This Row],[costo_materiales]])</f>
        <v/>
      </c>
      <c r="AJ1178" s="6" t="n"/>
      <c r="AK1178" s="6" t="n"/>
      <c r="AL1178" s="6" t="n"/>
      <c r="AM1178" s="3">
        <f>IF(tblOrdenes[[#This Row],[link_checklist]]="","",HYPERLINK(p_ruta_base_checklists&amp;tblOrdenes[[#This Row],[link_checklist]],"abrir"))</f>
        <v/>
      </c>
      <c r="AN1178" s="6" t="n"/>
      <c r="AO1178" s="3">
        <f>IF(tblOrdenes[[#This Row],[orden]]="","",tblOrdenes[[#This Row],[orden]]&amp;IF(tblOrdenes[[#This Row],[operacion]]="","0010",tblOrdenes[[#This Row],[operacion]]))</f>
        <v/>
      </c>
    </row>
    <row r="1179">
      <c r="A1179" s="3" t="n"/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11" t="n"/>
      <c r="K1179" s="3" t="n"/>
      <c r="L1179" s="10" t="n"/>
      <c r="M1179" s="6" t="n"/>
      <c r="N117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7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7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79" s="3">
        <f>IF(tblOrdenes[[#This Row],[fecha_inicio]]="","",YEAR(tblOrdenes[[#This Row],[fecha_inicio]]))</f>
        <v/>
      </c>
      <c r="R1179" s="3">
        <f>IF(tblOrdenes[[#This Row],[fecha_inicio]]="","",MONTH(tblOrdenes[[#This Row],[fecha_inicio]]))</f>
        <v/>
      </c>
      <c r="S1179" s="3">
        <f>IF(tblOrdenes[[#This Row],[fecha_inicio]]="","",INDEX(lista_dias,WEEKDAY(tblOrdenes[[#This Row],[fecha_inicio]],2)))</f>
        <v/>
      </c>
      <c r="T1179" s="3">
        <f>IF(tblOrdenes[[#This Row],[tipo_ot]]="","",_xlfn.XLOOKUP(tblOrdenes[[#This Row],[tipo_ot]],tblTiposOT[codigo],tblTiposOT[clasificacion],"sin_clasificar"))</f>
        <v/>
      </c>
      <c r="U1179" s="3">
        <f>IF(tblOrdenes[[#This Row],[centro_costo]]="","",_xlfn.XLOOKUP(tblOrdenes[[#This Row],[centro_costo]],tblCECO[codigo],tblCECO[linea],"(sin catálogo)"))</f>
        <v/>
      </c>
      <c r="V1179" s="3">
        <f>IF(tblOrdenes[[#This Row],[centro_costo]]="","",_xlfn.XLOOKUP(tblOrdenes[[#This Row],[centro_costo]],tblCECO[codigo],tblCECO[area],"(sin catálogo)"))</f>
        <v/>
      </c>
      <c r="W1179" s="3">
        <f>IF(tblOrdenes[[#This Row],[centro_costo]]="","",_xlfn.XLOOKUP(tblOrdenes[[#This Row],[centro_costo]],tblCECO[codigo],tblCECO[coordinador],"(sin catálogo)"))</f>
        <v/>
      </c>
      <c r="X1179" s="3">
        <f>IF(tblOrdenes[[#This Row],[puesto_trabajo]]="","",_xlfn.XLOOKUP(tblOrdenes[[#This Row],[puesto_trabajo]],tblPuestos[codigo],tblPuestos[especialidad],"(sin catálogo)"))</f>
        <v/>
      </c>
      <c r="Y1179" s="3">
        <f>IF(tblOrdenes[[#This Row],[cod_actividad]]="","",_xlfn.XLOOKUP(tblOrdenes[[#This Row],[cod_actividad]],tblActividades[codigo],tblActividades[descripcion],"(sin catálogo)"))</f>
        <v/>
      </c>
      <c r="Z1179" s="12">
        <f>IF(tblOrdenes[[#This Row],[fecha_inicio]]="","",TODAY()-tblOrdenes[[#This Row],[fecha_inicio]])</f>
        <v/>
      </c>
      <c r="AA1179" s="3">
        <f>IF(tblOrdenes[[#This Row],[backlog_dias]]="","",IF(tblOrdenes[[#This Row],[backlog_dias]]&lt;0,"FUTURO",IF(tblOrdenes[[#This Row],[backlog_dias]]&gt;p_dias_backlog_max,"BACKLOG","MES CORRIENTE")))</f>
        <v/>
      </c>
      <c r="AB1179" s="3">
        <f>IF(tblOrdenes[[#This Row],[backlog_dias]]="",FALSE,AND(tblOrdenes[[#This Row],[backlog_dias]]&gt;p_dias_backlog_min,tblOrdenes[[#This Row],[backlog_dias]]&lt;=p_dias_backlog_max))</f>
        <v/>
      </c>
      <c r="AC1179" s="6" t="n"/>
      <c r="AD117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7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7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79" s="10">
        <f>IF(tblOrdenes[[#This Row],[orden]]="","",_xlfn.XLOOKUP(tblOrdenes[[#This Row],[id_operacion]],tblEjecucion[id_operacion],tblEjecucion[precio],0))</f>
        <v/>
      </c>
      <c r="AH1179" s="10">
        <f>IF(tblOrdenes[[#This Row],[orden]]="","",MAX(0,_xlfn.XLOOKUP(tblOrdenes[[#This Row],[id_operacion]],tblEjecucion[id_operacion],tblEjecucion[costo_plan_total],0)-tblOrdenes[[#This Row],[costo_servicio]]))</f>
        <v/>
      </c>
      <c r="AI1179" s="10">
        <f>IF(tblOrdenes[[#This Row],[orden]]="","",tblOrdenes[[#This Row],[costo_servicio]]+tblOrdenes[[#This Row],[costo_materiales]])</f>
        <v/>
      </c>
      <c r="AJ1179" s="6" t="n"/>
      <c r="AK1179" s="6" t="n"/>
      <c r="AL1179" s="6" t="n"/>
      <c r="AM1179" s="3">
        <f>IF(tblOrdenes[[#This Row],[link_checklist]]="","",HYPERLINK(p_ruta_base_checklists&amp;tblOrdenes[[#This Row],[link_checklist]],"abrir"))</f>
        <v/>
      </c>
      <c r="AN1179" s="6" t="n"/>
      <c r="AO1179" s="3">
        <f>IF(tblOrdenes[[#This Row],[orden]]="","",tblOrdenes[[#This Row],[orden]]&amp;IF(tblOrdenes[[#This Row],[operacion]]="","0010",tblOrdenes[[#This Row],[operacion]]))</f>
        <v/>
      </c>
    </row>
    <row r="1180">
      <c r="A1180" s="3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11" t="n"/>
      <c r="K1180" s="3" t="n"/>
      <c r="L1180" s="10" t="n"/>
      <c r="M1180" s="6" t="n"/>
      <c r="N118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8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8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80" s="3">
        <f>IF(tblOrdenes[[#This Row],[fecha_inicio]]="","",YEAR(tblOrdenes[[#This Row],[fecha_inicio]]))</f>
        <v/>
      </c>
      <c r="R1180" s="3">
        <f>IF(tblOrdenes[[#This Row],[fecha_inicio]]="","",MONTH(tblOrdenes[[#This Row],[fecha_inicio]]))</f>
        <v/>
      </c>
      <c r="S1180" s="3">
        <f>IF(tblOrdenes[[#This Row],[fecha_inicio]]="","",INDEX(lista_dias,WEEKDAY(tblOrdenes[[#This Row],[fecha_inicio]],2)))</f>
        <v/>
      </c>
      <c r="T1180" s="3">
        <f>IF(tblOrdenes[[#This Row],[tipo_ot]]="","",_xlfn.XLOOKUP(tblOrdenes[[#This Row],[tipo_ot]],tblTiposOT[codigo],tblTiposOT[clasificacion],"sin_clasificar"))</f>
        <v/>
      </c>
      <c r="U1180" s="3">
        <f>IF(tblOrdenes[[#This Row],[centro_costo]]="","",_xlfn.XLOOKUP(tblOrdenes[[#This Row],[centro_costo]],tblCECO[codigo],tblCECO[linea],"(sin catálogo)"))</f>
        <v/>
      </c>
      <c r="V1180" s="3">
        <f>IF(tblOrdenes[[#This Row],[centro_costo]]="","",_xlfn.XLOOKUP(tblOrdenes[[#This Row],[centro_costo]],tblCECO[codigo],tblCECO[area],"(sin catálogo)"))</f>
        <v/>
      </c>
      <c r="W1180" s="3">
        <f>IF(tblOrdenes[[#This Row],[centro_costo]]="","",_xlfn.XLOOKUP(tblOrdenes[[#This Row],[centro_costo]],tblCECO[codigo],tblCECO[coordinador],"(sin catálogo)"))</f>
        <v/>
      </c>
      <c r="X1180" s="3">
        <f>IF(tblOrdenes[[#This Row],[puesto_trabajo]]="","",_xlfn.XLOOKUP(tblOrdenes[[#This Row],[puesto_trabajo]],tblPuestos[codigo],tblPuestos[especialidad],"(sin catálogo)"))</f>
        <v/>
      </c>
      <c r="Y1180" s="3">
        <f>IF(tblOrdenes[[#This Row],[cod_actividad]]="","",_xlfn.XLOOKUP(tblOrdenes[[#This Row],[cod_actividad]],tblActividades[codigo],tblActividades[descripcion],"(sin catálogo)"))</f>
        <v/>
      </c>
      <c r="Z1180" s="12">
        <f>IF(tblOrdenes[[#This Row],[fecha_inicio]]="","",TODAY()-tblOrdenes[[#This Row],[fecha_inicio]])</f>
        <v/>
      </c>
      <c r="AA1180" s="3">
        <f>IF(tblOrdenes[[#This Row],[backlog_dias]]="","",IF(tblOrdenes[[#This Row],[backlog_dias]]&lt;0,"FUTURO",IF(tblOrdenes[[#This Row],[backlog_dias]]&gt;p_dias_backlog_max,"BACKLOG","MES CORRIENTE")))</f>
        <v/>
      </c>
      <c r="AB1180" s="3">
        <f>IF(tblOrdenes[[#This Row],[backlog_dias]]="",FALSE,AND(tblOrdenes[[#This Row],[backlog_dias]]&gt;p_dias_backlog_min,tblOrdenes[[#This Row],[backlog_dias]]&lt;=p_dias_backlog_max))</f>
        <v/>
      </c>
      <c r="AC1180" s="6" t="n"/>
      <c r="AD118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8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8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80" s="10">
        <f>IF(tblOrdenes[[#This Row],[orden]]="","",_xlfn.XLOOKUP(tblOrdenes[[#This Row],[id_operacion]],tblEjecucion[id_operacion],tblEjecucion[precio],0))</f>
        <v/>
      </c>
      <c r="AH1180" s="10">
        <f>IF(tblOrdenes[[#This Row],[orden]]="","",MAX(0,_xlfn.XLOOKUP(tblOrdenes[[#This Row],[id_operacion]],tblEjecucion[id_operacion],tblEjecucion[costo_plan_total],0)-tblOrdenes[[#This Row],[costo_servicio]]))</f>
        <v/>
      </c>
      <c r="AI1180" s="10">
        <f>IF(tblOrdenes[[#This Row],[orden]]="","",tblOrdenes[[#This Row],[costo_servicio]]+tblOrdenes[[#This Row],[costo_materiales]])</f>
        <v/>
      </c>
      <c r="AJ1180" s="6" t="n"/>
      <c r="AK1180" s="6" t="n"/>
      <c r="AL1180" s="6" t="n"/>
      <c r="AM1180" s="3">
        <f>IF(tblOrdenes[[#This Row],[link_checklist]]="","",HYPERLINK(p_ruta_base_checklists&amp;tblOrdenes[[#This Row],[link_checklist]],"abrir"))</f>
        <v/>
      </c>
      <c r="AN1180" s="6" t="n"/>
      <c r="AO1180" s="3">
        <f>IF(tblOrdenes[[#This Row],[orden]]="","",tblOrdenes[[#This Row],[orden]]&amp;IF(tblOrdenes[[#This Row],[operacion]]="","0010",tblOrdenes[[#This Row],[operacion]]))</f>
        <v/>
      </c>
    </row>
    <row r="1181">
      <c r="A1181" s="3" t="n"/>
      <c r="B1181" s="3" t="n"/>
      <c r="C1181" s="3" t="n"/>
      <c r="D1181" s="3" t="n"/>
      <c r="E1181" s="3" t="n"/>
      <c r="F1181" s="3" t="n"/>
      <c r="G1181" s="3" t="n"/>
      <c r="H1181" s="3" t="n"/>
      <c r="I1181" s="3" t="n"/>
      <c r="J1181" s="11" t="n"/>
      <c r="K1181" s="3" t="n"/>
      <c r="L1181" s="10" t="n"/>
      <c r="M1181" s="6" t="n"/>
      <c r="N118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8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8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81" s="3">
        <f>IF(tblOrdenes[[#This Row],[fecha_inicio]]="","",YEAR(tblOrdenes[[#This Row],[fecha_inicio]]))</f>
        <v/>
      </c>
      <c r="R1181" s="3">
        <f>IF(tblOrdenes[[#This Row],[fecha_inicio]]="","",MONTH(tblOrdenes[[#This Row],[fecha_inicio]]))</f>
        <v/>
      </c>
      <c r="S1181" s="3">
        <f>IF(tblOrdenes[[#This Row],[fecha_inicio]]="","",INDEX(lista_dias,WEEKDAY(tblOrdenes[[#This Row],[fecha_inicio]],2)))</f>
        <v/>
      </c>
      <c r="T1181" s="3">
        <f>IF(tblOrdenes[[#This Row],[tipo_ot]]="","",_xlfn.XLOOKUP(tblOrdenes[[#This Row],[tipo_ot]],tblTiposOT[codigo],tblTiposOT[clasificacion],"sin_clasificar"))</f>
        <v/>
      </c>
      <c r="U1181" s="3">
        <f>IF(tblOrdenes[[#This Row],[centro_costo]]="","",_xlfn.XLOOKUP(tblOrdenes[[#This Row],[centro_costo]],tblCECO[codigo],tblCECO[linea],"(sin catálogo)"))</f>
        <v/>
      </c>
      <c r="V1181" s="3">
        <f>IF(tblOrdenes[[#This Row],[centro_costo]]="","",_xlfn.XLOOKUP(tblOrdenes[[#This Row],[centro_costo]],tblCECO[codigo],tblCECO[area],"(sin catálogo)"))</f>
        <v/>
      </c>
      <c r="W1181" s="3">
        <f>IF(tblOrdenes[[#This Row],[centro_costo]]="","",_xlfn.XLOOKUP(tblOrdenes[[#This Row],[centro_costo]],tblCECO[codigo],tblCECO[coordinador],"(sin catálogo)"))</f>
        <v/>
      </c>
      <c r="X1181" s="3">
        <f>IF(tblOrdenes[[#This Row],[puesto_trabajo]]="","",_xlfn.XLOOKUP(tblOrdenes[[#This Row],[puesto_trabajo]],tblPuestos[codigo],tblPuestos[especialidad],"(sin catálogo)"))</f>
        <v/>
      </c>
      <c r="Y1181" s="3">
        <f>IF(tblOrdenes[[#This Row],[cod_actividad]]="","",_xlfn.XLOOKUP(tblOrdenes[[#This Row],[cod_actividad]],tblActividades[codigo],tblActividades[descripcion],"(sin catálogo)"))</f>
        <v/>
      </c>
      <c r="Z1181" s="12">
        <f>IF(tblOrdenes[[#This Row],[fecha_inicio]]="","",TODAY()-tblOrdenes[[#This Row],[fecha_inicio]])</f>
        <v/>
      </c>
      <c r="AA1181" s="3">
        <f>IF(tblOrdenes[[#This Row],[backlog_dias]]="","",IF(tblOrdenes[[#This Row],[backlog_dias]]&lt;0,"FUTURO",IF(tblOrdenes[[#This Row],[backlog_dias]]&gt;p_dias_backlog_max,"BACKLOG","MES CORRIENTE")))</f>
        <v/>
      </c>
      <c r="AB1181" s="3">
        <f>IF(tblOrdenes[[#This Row],[backlog_dias]]="",FALSE,AND(tblOrdenes[[#This Row],[backlog_dias]]&gt;p_dias_backlog_min,tblOrdenes[[#This Row],[backlog_dias]]&lt;=p_dias_backlog_max))</f>
        <v/>
      </c>
      <c r="AC1181" s="6" t="n"/>
      <c r="AD118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8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8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81" s="10">
        <f>IF(tblOrdenes[[#This Row],[orden]]="","",_xlfn.XLOOKUP(tblOrdenes[[#This Row],[id_operacion]],tblEjecucion[id_operacion],tblEjecucion[precio],0))</f>
        <v/>
      </c>
      <c r="AH1181" s="10">
        <f>IF(tblOrdenes[[#This Row],[orden]]="","",MAX(0,_xlfn.XLOOKUP(tblOrdenes[[#This Row],[id_operacion]],tblEjecucion[id_operacion],tblEjecucion[costo_plan_total],0)-tblOrdenes[[#This Row],[costo_servicio]]))</f>
        <v/>
      </c>
      <c r="AI1181" s="10">
        <f>IF(tblOrdenes[[#This Row],[orden]]="","",tblOrdenes[[#This Row],[costo_servicio]]+tblOrdenes[[#This Row],[costo_materiales]])</f>
        <v/>
      </c>
      <c r="AJ1181" s="6" t="n"/>
      <c r="AK1181" s="6" t="n"/>
      <c r="AL1181" s="6" t="n"/>
      <c r="AM1181" s="3">
        <f>IF(tblOrdenes[[#This Row],[link_checklist]]="","",HYPERLINK(p_ruta_base_checklists&amp;tblOrdenes[[#This Row],[link_checklist]],"abrir"))</f>
        <v/>
      </c>
      <c r="AN1181" s="6" t="n"/>
      <c r="AO1181" s="3">
        <f>IF(tblOrdenes[[#This Row],[orden]]="","",tblOrdenes[[#This Row],[orden]]&amp;IF(tblOrdenes[[#This Row],[operacion]]="","0010",tblOrdenes[[#This Row],[operacion]]))</f>
        <v/>
      </c>
    </row>
    <row r="1182">
      <c r="A1182" s="3" t="n"/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11" t="n"/>
      <c r="K1182" s="3" t="n"/>
      <c r="L1182" s="10" t="n"/>
      <c r="M1182" s="6" t="n"/>
      <c r="N118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8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8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82" s="3">
        <f>IF(tblOrdenes[[#This Row],[fecha_inicio]]="","",YEAR(tblOrdenes[[#This Row],[fecha_inicio]]))</f>
        <v/>
      </c>
      <c r="R1182" s="3">
        <f>IF(tblOrdenes[[#This Row],[fecha_inicio]]="","",MONTH(tblOrdenes[[#This Row],[fecha_inicio]]))</f>
        <v/>
      </c>
      <c r="S1182" s="3">
        <f>IF(tblOrdenes[[#This Row],[fecha_inicio]]="","",INDEX(lista_dias,WEEKDAY(tblOrdenes[[#This Row],[fecha_inicio]],2)))</f>
        <v/>
      </c>
      <c r="T1182" s="3">
        <f>IF(tblOrdenes[[#This Row],[tipo_ot]]="","",_xlfn.XLOOKUP(tblOrdenes[[#This Row],[tipo_ot]],tblTiposOT[codigo],tblTiposOT[clasificacion],"sin_clasificar"))</f>
        <v/>
      </c>
      <c r="U1182" s="3">
        <f>IF(tblOrdenes[[#This Row],[centro_costo]]="","",_xlfn.XLOOKUP(tblOrdenes[[#This Row],[centro_costo]],tblCECO[codigo],tblCECO[linea],"(sin catálogo)"))</f>
        <v/>
      </c>
      <c r="V1182" s="3">
        <f>IF(tblOrdenes[[#This Row],[centro_costo]]="","",_xlfn.XLOOKUP(tblOrdenes[[#This Row],[centro_costo]],tblCECO[codigo],tblCECO[area],"(sin catálogo)"))</f>
        <v/>
      </c>
      <c r="W1182" s="3">
        <f>IF(tblOrdenes[[#This Row],[centro_costo]]="","",_xlfn.XLOOKUP(tblOrdenes[[#This Row],[centro_costo]],tblCECO[codigo],tblCECO[coordinador],"(sin catálogo)"))</f>
        <v/>
      </c>
      <c r="X1182" s="3">
        <f>IF(tblOrdenes[[#This Row],[puesto_trabajo]]="","",_xlfn.XLOOKUP(tblOrdenes[[#This Row],[puesto_trabajo]],tblPuestos[codigo],tblPuestos[especialidad],"(sin catálogo)"))</f>
        <v/>
      </c>
      <c r="Y1182" s="3">
        <f>IF(tblOrdenes[[#This Row],[cod_actividad]]="","",_xlfn.XLOOKUP(tblOrdenes[[#This Row],[cod_actividad]],tblActividades[codigo],tblActividades[descripcion],"(sin catálogo)"))</f>
        <v/>
      </c>
      <c r="Z1182" s="12">
        <f>IF(tblOrdenes[[#This Row],[fecha_inicio]]="","",TODAY()-tblOrdenes[[#This Row],[fecha_inicio]])</f>
        <v/>
      </c>
      <c r="AA1182" s="3">
        <f>IF(tblOrdenes[[#This Row],[backlog_dias]]="","",IF(tblOrdenes[[#This Row],[backlog_dias]]&lt;0,"FUTURO",IF(tblOrdenes[[#This Row],[backlog_dias]]&gt;p_dias_backlog_max,"BACKLOG","MES CORRIENTE")))</f>
        <v/>
      </c>
      <c r="AB1182" s="3">
        <f>IF(tblOrdenes[[#This Row],[backlog_dias]]="",FALSE,AND(tblOrdenes[[#This Row],[backlog_dias]]&gt;p_dias_backlog_min,tblOrdenes[[#This Row],[backlog_dias]]&lt;=p_dias_backlog_max))</f>
        <v/>
      </c>
      <c r="AC1182" s="6" t="n"/>
      <c r="AD118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8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8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82" s="10">
        <f>IF(tblOrdenes[[#This Row],[orden]]="","",_xlfn.XLOOKUP(tblOrdenes[[#This Row],[id_operacion]],tblEjecucion[id_operacion],tblEjecucion[precio],0))</f>
        <v/>
      </c>
      <c r="AH1182" s="10">
        <f>IF(tblOrdenes[[#This Row],[orden]]="","",MAX(0,_xlfn.XLOOKUP(tblOrdenes[[#This Row],[id_operacion]],tblEjecucion[id_operacion],tblEjecucion[costo_plan_total],0)-tblOrdenes[[#This Row],[costo_servicio]]))</f>
        <v/>
      </c>
      <c r="AI1182" s="10">
        <f>IF(tblOrdenes[[#This Row],[orden]]="","",tblOrdenes[[#This Row],[costo_servicio]]+tblOrdenes[[#This Row],[costo_materiales]])</f>
        <v/>
      </c>
      <c r="AJ1182" s="6" t="n"/>
      <c r="AK1182" s="6" t="n"/>
      <c r="AL1182" s="6" t="n"/>
      <c r="AM1182" s="3">
        <f>IF(tblOrdenes[[#This Row],[link_checklist]]="","",HYPERLINK(p_ruta_base_checklists&amp;tblOrdenes[[#This Row],[link_checklist]],"abrir"))</f>
        <v/>
      </c>
      <c r="AN1182" s="6" t="n"/>
      <c r="AO1182" s="3">
        <f>IF(tblOrdenes[[#This Row],[orden]]="","",tblOrdenes[[#This Row],[orden]]&amp;IF(tblOrdenes[[#This Row],[operacion]]="","0010",tblOrdenes[[#This Row],[operacion]]))</f>
        <v/>
      </c>
    </row>
    <row r="1183">
      <c r="A1183" s="3" t="n"/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11" t="n"/>
      <c r="K1183" s="3" t="n"/>
      <c r="L1183" s="10" t="n"/>
      <c r="M1183" s="6" t="n"/>
      <c r="N118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8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8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83" s="3">
        <f>IF(tblOrdenes[[#This Row],[fecha_inicio]]="","",YEAR(tblOrdenes[[#This Row],[fecha_inicio]]))</f>
        <v/>
      </c>
      <c r="R1183" s="3">
        <f>IF(tblOrdenes[[#This Row],[fecha_inicio]]="","",MONTH(tblOrdenes[[#This Row],[fecha_inicio]]))</f>
        <v/>
      </c>
      <c r="S1183" s="3">
        <f>IF(tblOrdenes[[#This Row],[fecha_inicio]]="","",INDEX(lista_dias,WEEKDAY(tblOrdenes[[#This Row],[fecha_inicio]],2)))</f>
        <v/>
      </c>
      <c r="T1183" s="3">
        <f>IF(tblOrdenes[[#This Row],[tipo_ot]]="","",_xlfn.XLOOKUP(tblOrdenes[[#This Row],[tipo_ot]],tblTiposOT[codigo],tblTiposOT[clasificacion],"sin_clasificar"))</f>
        <v/>
      </c>
      <c r="U1183" s="3">
        <f>IF(tblOrdenes[[#This Row],[centro_costo]]="","",_xlfn.XLOOKUP(tblOrdenes[[#This Row],[centro_costo]],tblCECO[codigo],tblCECO[linea],"(sin catálogo)"))</f>
        <v/>
      </c>
      <c r="V1183" s="3">
        <f>IF(tblOrdenes[[#This Row],[centro_costo]]="","",_xlfn.XLOOKUP(tblOrdenes[[#This Row],[centro_costo]],tblCECO[codigo],tblCECO[area],"(sin catálogo)"))</f>
        <v/>
      </c>
      <c r="W1183" s="3">
        <f>IF(tblOrdenes[[#This Row],[centro_costo]]="","",_xlfn.XLOOKUP(tblOrdenes[[#This Row],[centro_costo]],tblCECO[codigo],tblCECO[coordinador],"(sin catálogo)"))</f>
        <v/>
      </c>
      <c r="X1183" s="3">
        <f>IF(tblOrdenes[[#This Row],[puesto_trabajo]]="","",_xlfn.XLOOKUP(tblOrdenes[[#This Row],[puesto_trabajo]],tblPuestos[codigo],tblPuestos[especialidad],"(sin catálogo)"))</f>
        <v/>
      </c>
      <c r="Y1183" s="3">
        <f>IF(tblOrdenes[[#This Row],[cod_actividad]]="","",_xlfn.XLOOKUP(tblOrdenes[[#This Row],[cod_actividad]],tblActividades[codigo],tblActividades[descripcion],"(sin catálogo)"))</f>
        <v/>
      </c>
      <c r="Z1183" s="12">
        <f>IF(tblOrdenes[[#This Row],[fecha_inicio]]="","",TODAY()-tblOrdenes[[#This Row],[fecha_inicio]])</f>
        <v/>
      </c>
      <c r="AA1183" s="3">
        <f>IF(tblOrdenes[[#This Row],[backlog_dias]]="","",IF(tblOrdenes[[#This Row],[backlog_dias]]&lt;0,"FUTURO",IF(tblOrdenes[[#This Row],[backlog_dias]]&gt;p_dias_backlog_max,"BACKLOG","MES CORRIENTE")))</f>
        <v/>
      </c>
      <c r="AB1183" s="3">
        <f>IF(tblOrdenes[[#This Row],[backlog_dias]]="",FALSE,AND(tblOrdenes[[#This Row],[backlog_dias]]&gt;p_dias_backlog_min,tblOrdenes[[#This Row],[backlog_dias]]&lt;=p_dias_backlog_max))</f>
        <v/>
      </c>
      <c r="AC1183" s="6" t="n"/>
      <c r="AD118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8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8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83" s="10">
        <f>IF(tblOrdenes[[#This Row],[orden]]="","",_xlfn.XLOOKUP(tblOrdenes[[#This Row],[id_operacion]],tblEjecucion[id_operacion],tblEjecucion[precio],0))</f>
        <v/>
      </c>
      <c r="AH1183" s="10">
        <f>IF(tblOrdenes[[#This Row],[orden]]="","",MAX(0,_xlfn.XLOOKUP(tblOrdenes[[#This Row],[id_operacion]],tblEjecucion[id_operacion],tblEjecucion[costo_plan_total],0)-tblOrdenes[[#This Row],[costo_servicio]]))</f>
        <v/>
      </c>
      <c r="AI1183" s="10">
        <f>IF(tblOrdenes[[#This Row],[orden]]="","",tblOrdenes[[#This Row],[costo_servicio]]+tblOrdenes[[#This Row],[costo_materiales]])</f>
        <v/>
      </c>
      <c r="AJ1183" s="6" t="n"/>
      <c r="AK1183" s="6" t="n"/>
      <c r="AL1183" s="6" t="n"/>
      <c r="AM1183" s="3">
        <f>IF(tblOrdenes[[#This Row],[link_checklist]]="","",HYPERLINK(p_ruta_base_checklists&amp;tblOrdenes[[#This Row],[link_checklist]],"abrir"))</f>
        <v/>
      </c>
      <c r="AN1183" s="6" t="n"/>
      <c r="AO1183" s="3">
        <f>IF(tblOrdenes[[#This Row],[orden]]="","",tblOrdenes[[#This Row],[orden]]&amp;IF(tblOrdenes[[#This Row],[operacion]]="","0010",tblOrdenes[[#This Row],[operacion]]))</f>
        <v/>
      </c>
    </row>
    <row r="1184">
      <c r="A1184" s="3" t="n"/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11" t="n"/>
      <c r="K1184" s="3" t="n"/>
      <c r="L1184" s="10" t="n"/>
      <c r="M1184" s="6" t="n"/>
      <c r="N118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8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8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84" s="3">
        <f>IF(tblOrdenes[[#This Row],[fecha_inicio]]="","",YEAR(tblOrdenes[[#This Row],[fecha_inicio]]))</f>
        <v/>
      </c>
      <c r="R1184" s="3">
        <f>IF(tblOrdenes[[#This Row],[fecha_inicio]]="","",MONTH(tblOrdenes[[#This Row],[fecha_inicio]]))</f>
        <v/>
      </c>
      <c r="S1184" s="3">
        <f>IF(tblOrdenes[[#This Row],[fecha_inicio]]="","",INDEX(lista_dias,WEEKDAY(tblOrdenes[[#This Row],[fecha_inicio]],2)))</f>
        <v/>
      </c>
      <c r="T1184" s="3">
        <f>IF(tblOrdenes[[#This Row],[tipo_ot]]="","",_xlfn.XLOOKUP(tblOrdenes[[#This Row],[tipo_ot]],tblTiposOT[codigo],tblTiposOT[clasificacion],"sin_clasificar"))</f>
        <v/>
      </c>
      <c r="U1184" s="3">
        <f>IF(tblOrdenes[[#This Row],[centro_costo]]="","",_xlfn.XLOOKUP(tblOrdenes[[#This Row],[centro_costo]],tblCECO[codigo],tblCECO[linea],"(sin catálogo)"))</f>
        <v/>
      </c>
      <c r="V1184" s="3">
        <f>IF(tblOrdenes[[#This Row],[centro_costo]]="","",_xlfn.XLOOKUP(tblOrdenes[[#This Row],[centro_costo]],tblCECO[codigo],tblCECO[area],"(sin catálogo)"))</f>
        <v/>
      </c>
      <c r="W1184" s="3">
        <f>IF(tblOrdenes[[#This Row],[centro_costo]]="","",_xlfn.XLOOKUP(tblOrdenes[[#This Row],[centro_costo]],tblCECO[codigo],tblCECO[coordinador],"(sin catálogo)"))</f>
        <v/>
      </c>
      <c r="X1184" s="3">
        <f>IF(tblOrdenes[[#This Row],[puesto_trabajo]]="","",_xlfn.XLOOKUP(tblOrdenes[[#This Row],[puesto_trabajo]],tblPuestos[codigo],tblPuestos[especialidad],"(sin catálogo)"))</f>
        <v/>
      </c>
      <c r="Y1184" s="3">
        <f>IF(tblOrdenes[[#This Row],[cod_actividad]]="","",_xlfn.XLOOKUP(tblOrdenes[[#This Row],[cod_actividad]],tblActividades[codigo],tblActividades[descripcion],"(sin catálogo)"))</f>
        <v/>
      </c>
      <c r="Z1184" s="12">
        <f>IF(tblOrdenes[[#This Row],[fecha_inicio]]="","",TODAY()-tblOrdenes[[#This Row],[fecha_inicio]])</f>
        <v/>
      </c>
      <c r="AA1184" s="3">
        <f>IF(tblOrdenes[[#This Row],[backlog_dias]]="","",IF(tblOrdenes[[#This Row],[backlog_dias]]&lt;0,"FUTURO",IF(tblOrdenes[[#This Row],[backlog_dias]]&gt;p_dias_backlog_max,"BACKLOG","MES CORRIENTE")))</f>
        <v/>
      </c>
      <c r="AB1184" s="3">
        <f>IF(tblOrdenes[[#This Row],[backlog_dias]]="",FALSE,AND(tblOrdenes[[#This Row],[backlog_dias]]&gt;p_dias_backlog_min,tblOrdenes[[#This Row],[backlog_dias]]&lt;=p_dias_backlog_max))</f>
        <v/>
      </c>
      <c r="AC1184" s="6" t="n"/>
      <c r="AD118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8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8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84" s="10">
        <f>IF(tblOrdenes[[#This Row],[orden]]="","",_xlfn.XLOOKUP(tblOrdenes[[#This Row],[id_operacion]],tblEjecucion[id_operacion],tblEjecucion[precio],0))</f>
        <v/>
      </c>
      <c r="AH1184" s="10">
        <f>IF(tblOrdenes[[#This Row],[orden]]="","",MAX(0,_xlfn.XLOOKUP(tblOrdenes[[#This Row],[id_operacion]],tblEjecucion[id_operacion],tblEjecucion[costo_plan_total],0)-tblOrdenes[[#This Row],[costo_servicio]]))</f>
        <v/>
      </c>
      <c r="AI1184" s="10">
        <f>IF(tblOrdenes[[#This Row],[orden]]="","",tblOrdenes[[#This Row],[costo_servicio]]+tblOrdenes[[#This Row],[costo_materiales]])</f>
        <v/>
      </c>
      <c r="AJ1184" s="6" t="n"/>
      <c r="AK1184" s="6" t="n"/>
      <c r="AL1184" s="6" t="n"/>
      <c r="AM1184" s="3">
        <f>IF(tblOrdenes[[#This Row],[link_checklist]]="","",HYPERLINK(p_ruta_base_checklists&amp;tblOrdenes[[#This Row],[link_checklist]],"abrir"))</f>
        <v/>
      </c>
      <c r="AN1184" s="6" t="n"/>
      <c r="AO1184" s="3">
        <f>IF(tblOrdenes[[#This Row],[orden]]="","",tblOrdenes[[#This Row],[orden]]&amp;IF(tblOrdenes[[#This Row],[operacion]]="","0010",tblOrdenes[[#This Row],[operacion]]))</f>
        <v/>
      </c>
    </row>
    <row r="1185">
      <c r="A1185" s="3" t="n"/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11" t="n"/>
      <c r="K1185" s="3" t="n"/>
      <c r="L1185" s="10" t="n"/>
      <c r="M1185" s="6" t="n"/>
      <c r="N118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8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8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85" s="3">
        <f>IF(tblOrdenes[[#This Row],[fecha_inicio]]="","",YEAR(tblOrdenes[[#This Row],[fecha_inicio]]))</f>
        <v/>
      </c>
      <c r="R1185" s="3">
        <f>IF(tblOrdenes[[#This Row],[fecha_inicio]]="","",MONTH(tblOrdenes[[#This Row],[fecha_inicio]]))</f>
        <v/>
      </c>
      <c r="S1185" s="3">
        <f>IF(tblOrdenes[[#This Row],[fecha_inicio]]="","",INDEX(lista_dias,WEEKDAY(tblOrdenes[[#This Row],[fecha_inicio]],2)))</f>
        <v/>
      </c>
      <c r="T1185" s="3">
        <f>IF(tblOrdenes[[#This Row],[tipo_ot]]="","",_xlfn.XLOOKUP(tblOrdenes[[#This Row],[tipo_ot]],tblTiposOT[codigo],tblTiposOT[clasificacion],"sin_clasificar"))</f>
        <v/>
      </c>
      <c r="U1185" s="3">
        <f>IF(tblOrdenes[[#This Row],[centro_costo]]="","",_xlfn.XLOOKUP(tblOrdenes[[#This Row],[centro_costo]],tblCECO[codigo],tblCECO[linea],"(sin catálogo)"))</f>
        <v/>
      </c>
      <c r="V1185" s="3">
        <f>IF(tblOrdenes[[#This Row],[centro_costo]]="","",_xlfn.XLOOKUP(tblOrdenes[[#This Row],[centro_costo]],tblCECO[codigo],tblCECO[area],"(sin catálogo)"))</f>
        <v/>
      </c>
      <c r="W1185" s="3">
        <f>IF(tblOrdenes[[#This Row],[centro_costo]]="","",_xlfn.XLOOKUP(tblOrdenes[[#This Row],[centro_costo]],tblCECO[codigo],tblCECO[coordinador],"(sin catálogo)"))</f>
        <v/>
      </c>
      <c r="X1185" s="3">
        <f>IF(tblOrdenes[[#This Row],[puesto_trabajo]]="","",_xlfn.XLOOKUP(tblOrdenes[[#This Row],[puesto_trabajo]],tblPuestos[codigo],tblPuestos[especialidad],"(sin catálogo)"))</f>
        <v/>
      </c>
      <c r="Y1185" s="3">
        <f>IF(tblOrdenes[[#This Row],[cod_actividad]]="","",_xlfn.XLOOKUP(tblOrdenes[[#This Row],[cod_actividad]],tblActividades[codigo],tblActividades[descripcion],"(sin catálogo)"))</f>
        <v/>
      </c>
      <c r="Z1185" s="12">
        <f>IF(tblOrdenes[[#This Row],[fecha_inicio]]="","",TODAY()-tblOrdenes[[#This Row],[fecha_inicio]])</f>
        <v/>
      </c>
      <c r="AA1185" s="3">
        <f>IF(tblOrdenes[[#This Row],[backlog_dias]]="","",IF(tblOrdenes[[#This Row],[backlog_dias]]&lt;0,"FUTURO",IF(tblOrdenes[[#This Row],[backlog_dias]]&gt;p_dias_backlog_max,"BACKLOG","MES CORRIENTE")))</f>
        <v/>
      </c>
      <c r="AB1185" s="3">
        <f>IF(tblOrdenes[[#This Row],[backlog_dias]]="",FALSE,AND(tblOrdenes[[#This Row],[backlog_dias]]&gt;p_dias_backlog_min,tblOrdenes[[#This Row],[backlog_dias]]&lt;=p_dias_backlog_max))</f>
        <v/>
      </c>
      <c r="AC1185" s="6" t="n"/>
      <c r="AD118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8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8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85" s="10">
        <f>IF(tblOrdenes[[#This Row],[orden]]="","",_xlfn.XLOOKUP(tblOrdenes[[#This Row],[id_operacion]],tblEjecucion[id_operacion],tblEjecucion[precio],0))</f>
        <v/>
      </c>
      <c r="AH1185" s="10">
        <f>IF(tblOrdenes[[#This Row],[orden]]="","",MAX(0,_xlfn.XLOOKUP(tblOrdenes[[#This Row],[id_operacion]],tblEjecucion[id_operacion],tblEjecucion[costo_plan_total],0)-tblOrdenes[[#This Row],[costo_servicio]]))</f>
        <v/>
      </c>
      <c r="AI1185" s="10">
        <f>IF(tblOrdenes[[#This Row],[orden]]="","",tblOrdenes[[#This Row],[costo_servicio]]+tblOrdenes[[#This Row],[costo_materiales]])</f>
        <v/>
      </c>
      <c r="AJ1185" s="6" t="n"/>
      <c r="AK1185" s="6" t="n"/>
      <c r="AL1185" s="6" t="n"/>
      <c r="AM1185" s="3">
        <f>IF(tblOrdenes[[#This Row],[link_checklist]]="","",HYPERLINK(p_ruta_base_checklists&amp;tblOrdenes[[#This Row],[link_checklist]],"abrir"))</f>
        <v/>
      </c>
      <c r="AN1185" s="6" t="n"/>
      <c r="AO1185" s="3">
        <f>IF(tblOrdenes[[#This Row],[orden]]="","",tblOrdenes[[#This Row],[orden]]&amp;IF(tblOrdenes[[#This Row],[operacion]]="","0010",tblOrdenes[[#This Row],[operacion]]))</f>
        <v/>
      </c>
    </row>
    <row r="1186">
      <c r="A1186" s="3" t="n"/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11" t="n"/>
      <c r="K1186" s="3" t="n"/>
      <c r="L1186" s="10" t="n"/>
      <c r="M1186" s="6" t="n"/>
      <c r="N118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8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8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86" s="3">
        <f>IF(tblOrdenes[[#This Row],[fecha_inicio]]="","",YEAR(tblOrdenes[[#This Row],[fecha_inicio]]))</f>
        <v/>
      </c>
      <c r="R1186" s="3">
        <f>IF(tblOrdenes[[#This Row],[fecha_inicio]]="","",MONTH(tblOrdenes[[#This Row],[fecha_inicio]]))</f>
        <v/>
      </c>
      <c r="S1186" s="3">
        <f>IF(tblOrdenes[[#This Row],[fecha_inicio]]="","",INDEX(lista_dias,WEEKDAY(tblOrdenes[[#This Row],[fecha_inicio]],2)))</f>
        <v/>
      </c>
      <c r="T1186" s="3">
        <f>IF(tblOrdenes[[#This Row],[tipo_ot]]="","",_xlfn.XLOOKUP(tblOrdenes[[#This Row],[tipo_ot]],tblTiposOT[codigo],tblTiposOT[clasificacion],"sin_clasificar"))</f>
        <v/>
      </c>
      <c r="U1186" s="3">
        <f>IF(tblOrdenes[[#This Row],[centro_costo]]="","",_xlfn.XLOOKUP(tblOrdenes[[#This Row],[centro_costo]],tblCECO[codigo],tblCECO[linea],"(sin catálogo)"))</f>
        <v/>
      </c>
      <c r="V1186" s="3">
        <f>IF(tblOrdenes[[#This Row],[centro_costo]]="","",_xlfn.XLOOKUP(tblOrdenes[[#This Row],[centro_costo]],tblCECO[codigo],tblCECO[area],"(sin catálogo)"))</f>
        <v/>
      </c>
      <c r="W1186" s="3">
        <f>IF(tblOrdenes[[#This Row],[centro_costo]]="","",_xlfn.XLOOKUP(tblOrdenes[[#This Row],[centro_costo]],tblCECO[codigo],tblCECO[coordinador],"(sin catálogo)"))</f>
        <v/>
      </c>
      <c r="X1186" s="3">
        <f>IF(tblOrdenes[[#This Row],[puesto_trabajo]]="","",_xlfn.XLOOKUP(tblOrdenes[[#This Row],[puesto_trabajo]],tblPuestos[codigo],tblPuestos[especialidad],"(sin catálogo)"))</f>
        <v/>
      </c>
      <c r="Y1186" s="3">
        <f>IF(tblOrdenes[[#This Row],[cod_actividad]]="","",_xlfn.XLOOKUP(tblOrdenes[[#This Row],[cod_actividad]],tblActividades[codigo],tblActividades[descripcion],"(sin catálogo)"))</f>
        <v/>
      </c>
      <c r="Z1186" s="12">
        <f>IF(tblOrdenes[[#This Row],[fecha_inicio]]="","",TODAY()-tblOrdenes[[#This Row],[fecha_inicio]])</f>
        <v/>
      </c>
      <c r="AA1186" s="3">
        <f>IF(tblOrdenes[[#This Row],[backlog_dias]]="","",IF(tblOrdenes[[#This Row],[backlog_dias]]&lt;0,"FUTURO",IF(tblOrdenes[[#This Row],[backlog_dias]]&gt;p_dias_backlog_max,"BACKLOG","MES CORRIENTE")))</f>
        <v/>
      </c>
      <c r="AB1186" s="3">
        <f>IF(tblOrdenes[[#This Row],[backlog_dias]]="",FALSE,AND(tblOrdenes[[#This Row],[backlog_dias]]&gt;p_dias_backlog_min,tblOrdenes[[#This Row],[backlog_dias]]&lt;=p_dias_backlog_max))</f>
        <v/>
      </c>
      <c r="AC1186" s="6" t="n"/>
      <c r="AD118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8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8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86" s="10">
        <f>IF(tblOrdenes[[#This Row],[orden]]="","",_xlfn.XLOOKUP(tblOrdenes[[#This Row],[id_operacion]],tblEjecucion[id_operacion],tblEjecucion[precio],0))</f>
        <v/>
      </c>
      <c r="AH1186" s="10">
        <f>IF(tblOrdenes[[#This Row],[orden]]="","",MAX(0,_xlfn.XLOOKUP(tblOrdenes[[#This Row],[id_operacion]],tblEjecucion[id_operacion],tblEjecucion[costo_plan_total],0)-tblOrdenes[[#This Row],[costo_servicio]]))</f>
        <v/>
      </c>
      <c r="AI1186" s="10">
        <f>IF(tblOrdenes[[#This Row],[orden]]="","",tblOrdenes[[#This Row],[costo_servicio]]+tblOrdenes[[#This Row],[costo_materiales]])</f>
        <v/>
      </c>
      <c r="AJ1186" s="6" t="n"/>
      <c r="AK1186" s="6" t="n"/>
      <c r="AL1186" s="6" t="n"/>
      <c r="AM1186" s="3">
        <f>IF(tblOrdenes[[#This Row],[link_checklist]]="","",HYPERLINK(p_ruta_base_checklists&amp;tblOrdenes[[#This Row],[link_checklist]],"abrir"))</f>
        <v/>
      </c>
      <c r="AN1186" s="6" t="n"/>
      <c r="AO1186" s="3">
        <f>IF(tblOrdenes[[#This Row],[orden]]="","",tblOrdenes[[#This Row],[orden]]&amp;IF(tblOrdenes[[#This Row],[operacion]]="","0010",tblOrdenes[[#This Row],[operacion]]))</f>
        <v/>
      </c>
    </row>
    <row r="1187">
      <c r="A1187" s="3" t="n"/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11" t="n"/>
      <c r="K1187" s="3" t="n"/>
      <c r="L1187" s="10" t="n"/>
      <c r="M1187" s="6" t="n"/>
      <c r="N118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8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8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87" s="3">
        <f>IF(tblOrdenes[[#This Row],[fecha_inicio]]="","",YEAR(tblOrdenes[[#This Row],[fecha_inicio]]))</f>
        <v/>
      </c>
      <c r="R1187" s="3">
        <f>IF(tblOrdenes[[#This Row],[fecha_inicio]]="","",MONTH(tblOrdenes[[#This Row],[fecha_inicio]]))</f>
        <v/>
      </c>
      <c r="S1187" s="3">
        <f>IF(tblOrdenes[[#This Row],[fecha_inicio]]="","",INDEX(lista_dias,WEEKDAY(tblOrdenes[[#This Row],[fecha_inicio]],2)))</f>
        <v/>
      </c>
      <c r="T1187" s="3">
        <f>IF(tblOrdenes[[#This Row],[tipo_ot]]="","",_xlfn.XLOOKUP(tblOrdenes[[#This Row],[tipo_ot]],tblTiposOT[codigo],tblTiposOT[clasificacion],"sin_clasificar"))</f>
        <v/>
      </c>
      <c r="U1187" s="3">
        <f>IF(tblOrdenes[[#This Row],[centro_costo]]="","",_xlfn.XLOOKUP(tblOrdenes[[#This Row],[centro_costo]],tblCECO[codigo],tblCECO[linea],"(sin catálogo)"))</f>
        <v/>
      </c>
      <c r="V1187" s="3">
        <f>IF(tblOrdenes[[#This Row],[centro_costo]]="","",_xlfn.XLOOKUP(tblOrdenes[[#This Row],[centro_costo]],tblCECO[codigo],tblCECO[area],"(sin catálogo)"))</f>
        <v/>
      </c>
      <c r="W1187" s="3">
        <f>IF(tblOrdenes[[#This Row],[centro_costo]]="","",_xlfn.XLOOKUP(tblOrdenes[[#This Row],[centro_costo]],tblCECO[codigo],tblCECO[coordinador],"(sin catálogo)"))</f>
        <v/>
      </c>
      <c r="X1187" s="3">
        <f>IF(tblOrdenes[[#This Row],[puesto_trabajo]]="","",_xlfn.XLOOKUP(tblOrdenes[[#This Row],[puesto_trabajo]],tblPuestos[codigo],tblPuestos[especialidad],"(sin catálogo)"))</f>
        <v/>
      </c>
      <c r="Y1187" s="3">
        <f>IF(tblOrdenes[[#This Row],[cod_actividad]]="","",_xlfn.XLOOKUP(tblOrdenes[[#This Row],[cod_actividad]],tblActividades[codigo],tblActividades[descripcion],"(sin catálogo)"))</f>
        <v/>
      </c>
      <c r="Z1187" s="12">
        <f>IF(tblOrdenes[[#This Row],[fecha_inicio]]="","",TODAY()-tblOrdenes[[#This Row],[fecha_inicio]])</f>
        <v/>
      </c>
      <c r="AA1187" s="3">
        <f>IF(tblOrdenes[[#This Row],[backlog_dias]]="","",IF(tblOrdenes[[#This Row],[backlog_dias]]&lt;0,"FUTURO",IF(tblOrdenes[[#This Row],[backlog_dias]]&gt;p_dias_backlog_max,"BACKLOG","MES CORRIENTE")))</f>
        <v/>
      </c>
      <c r="AB1187" s="3">
        <f>IF(tblOrdenes[[#This Row],[backlog_dias]]="",FALSE,AND(tblOrdenes[[#This Row],[backlog_dias]]&gt;p_dias_backlog_min,tblOrdenes[[#This Row],[backlog_dias]]&lt;=p_dias_backlog_max))</f>
        <v/>
      </c>
      <c r="AC1187" s="6" t="n"/>
      <c r="AD118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8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8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87" s="10">
        <f>IF(tblOrdenes[[#This Row],[orden]]="","",_xlfn.XLOOKUP(tblOrdenes[[#This Row],[id_operacion]],tblEjecucion[id_operacion],tblEjecucion[precio],0))</f>
        <v/>
      </c>
      <c r="AH1187" s="10">
        <f>IF(tblOrdenes[[#This Row],[orden]]="","",MAX(0,_xlfn.XLOOKUP(tblOrdenes[[#This Row],[id_operacion]],tblEjecucion[id_operacion],tblEjecucion[costo_plan_total],0)-tblOrdenes[[#This Row],[costo_servicio]]))</f>
        <v/>
      </c>
      <c r="AI1187" s="10">
        <f>IF(tblOrdenes[[#This Row],[orden]]="","",tblOrdenes[[#This Row],[costo_servicio]]+tblOrdenes[[#This Row],[costo_materiales]])</f>
        <v/>
      </c>
      <c r="AJ1187" s="6" t="n"/>
      <c r="AK1187" s="6" t="n"/>
      <c r="AL1187" s="6" t="n"/>
      <c r="AM1187" s="3">
        <f>IF(tblOrdenes[[#This Row],[link_checklist]]="","",HYPERLINK(p_ruta_base_checklists&amp;tblOrdenes[[#This Row],[link_checklist]],"abrir"))</f>
        <v/>
      </c>
      <c r="AN1187" s="6" t="n"/>
      <c r="AO1187" s="3">
        <f>IF(tblOrdenes[[#This Row],[orden]]="","",tblOrdenes[[#This Row],[orden]]&amp;IF(tblOrdenes[[#This Row],[operacion]]="","0010",tblOrdenes[[#This Row],[operacion]]))</f>
        <v/>
      </c>
    </row>
    <row r="1188">
      <c r="A1188" s="3" t="n"/>
      <c r="B1188" s="3" t="n"/>
      <c r="C1188" s="3" t="n"/>
      <c r="D1188" s="3" t="n"/>
      <c r="E1188" s="3" t="n"/>
      <c r="F1188" s="3" t="n"/>
      <c r="G1188" s="3" t="n"/>
      <c r="H1188" s="3" t="n"/>
      <c r="I1188" s="3" t="n"/>
      <c r="J1188" s="11" t="n"/>
      <c r="K1188" s="3" t="n"/>
      <c r="L1188" s="10" t="n"/>
      <c r="M1188" s="6" t="n"/>
      <c r="N118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8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8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88" s="3">
        <f>IF(tblOrdenes[[#This Row],[fecha_inicio]]="","",YEAR(tblOrdenes[[#This Row],[fecha_inicio]]))</f>
        <v/>
      </c>
      <c r="R1188" s="3">
        <f>IF(tblOrdenes[[#This Row],[fecha_inicio]]="","",MONTH(tblOrdenes[[#This Row],[fecha_inicio]]))</f>
        <v/>
      </c>
      <c r="S1188" s="3">
        <f>IF(tblOrdenes[[#This Row],[fecha_inicio]]="","",INDEX(lista_dias,WEEKDAY(tblOrdenes[[#This Row],[fecha_inicio]],2)))</f>
        <v/>
      </c>
      <c r="T1188" s="3">
        <f>IF(tblOrdenes[[#This Row],[tipo_ot]]="","",_xlfn.XLOOKUP(tblOrdenes[[#This Row],[tipo_ot]],tblTiposOT[codigo],tblTiposOT[clasificacion],"sin_clasificar"))</f>
        <v/>
      </c>
      <c r="U1188" s="3">
        <f>IF(tblOrdenes[[#This Row],[centro_costo]]="","",_xlfn.XLOOKUP(tblOrdenes[[#This Row],[centro_costo]],tblCECO[codigo],tblCECO[linea],"(sin catálogo)"))</f>
        <v/>
      </c>
      <c r="V1188" s="3">
        <f>IF(tblOrdenes[[#This Row],[centro_costo]]="","",_xlfn.XLOOKUP(tblOrdenes[[#This Row],[centro_costo]],tblCECO[codigo],tblCECO[area],"(sin catálogo)"))</f>
        <v/>
      </c>
      <c r="W1188" s="3">
        <f>IF(tblOrdenes[[#This Row],[centro_costo]]="","",_xlfn.XLOOKUP(tblOrdenes[[#This Row],[centro_costo]],tblCECO[codigo],tblCECO[coordinador],"(sin catálogo)"))</f>
        <v/>
      </c>
      <c r="X1188" s="3">
        <f>IF(tblOrdenes[[#This Row],[puesto_trabajo]]="","",_xlfn.XLOOKUP(tblOrdenes[[#This Row],[puesto_trabajo]],tblPuestos[codigo],tblPuestos[especialidad],"(sin catálogo)"))</f>
        <v/>
      </c>
      <c r="Y1188" s="3">
        <f>IF(tblOrdenes[[#This Row],[cod_actividad]]="","",_xlfn.XLOOKUP(tblOrdenes[[#This Row],[cod_actividad]],tblActividades[codigo],tblActividades[descripcion],"(sin catálogo)"))</f>
        <v/>
      </c>
      <c r="Z1188" s="12">
        <f>IF(tblOrdenes[[#This Row],[fecha_inicio]]="","",TODAY()-tblOrdenes[[#This Row],[fecha_inicio]])</f>
        <v/>
      </c>
      <c r="AA1188" s="3">
        <f>IF(tblOrdenes[[#This Row],[backlog_dias]]="","",IF(tblOrdenes[[#This Row],[backlog_dias]]&lt;0,"FUTURO",IF(tblOrdenes[[#This Row],[backlog_dias]]&gt;p_dias_backlog_max,"BACKLOG","MES CORRIENTE")))</f>
        <v/>
      </c>
      <c r="AB1188" s="3">
        <f>IF(tblOrdenes[[#This Row],[backlog_dias]]="",FALSE,AND(tblOrdenes[[#This Row],[backlog_dias]]&gt;p_dias_backlog_min,tblOrdenes[[#This Row],[backlog_dias]]&lt;=p_dias_backlog_max))</f>
        <v/>
      </c>
      <c r="AC1188" s="6" t="n"/>
      <c r="AD118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8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8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88" s="10">
        <f>IF(tblOrdenes[[#This Row],[orden]]="","",_xlfn.XLOOKUP(tblOrdenes[[#This Row],[id_operacion]],tblEjecucion[id_operacion],tblEjecucion[precio],0))</f>
        <v/>
      </c>
      <c r="AH1188" s="10">
        <f>IF(tblOrdenes[[#This Row],[orden]]="","",MAX(0,_xlfn.XLOOKUP(tblOrdenes[[#This Row],[id_operacion]],tblEjecucion[id_operacion],tblEjecucion[costo_plan_total],0)-tblOrdenes[[#This Row],[costo_servicio]]))</f>
        <v/>
      </c>
      <c r="AI1188" s="10">
        <f>IF(tblOrdenes[[#This Row],[orden]]="","",tblOrdenes[[#This Row],[costo_servicio]]+tblOrdenes[[#This Row],[costo_materiales]])</f>
        <v/>
      </c>
      <c r="AJ1188" s="6" t="n"/>
      <c r="AK1188" s="6" t="n"/>
      <c r="AL1188" s="6" t="n"/>
      <c r="AM1188" s="3">
        <f>IF(tblOrdenes[[#This Row],[link_checklist]]="","",HYPERLINK(p_ruta_base_checklists&amp;tblOrdenes[[#This Row],[link_checklist]],"abrir"))</f>
        <v/>
      </c>
      <c r="AN1188" s="6" t="n"/>
      <c r="AO1188" s="3">
        <f>IF(tblOrdenes[[#This Row],[orden]]="","",tblOrdenes[[#This Row],[orden]]&amp;IF(tblOrdenes[[#This Row],[operacion]]="","0010",tblOrdenes[[#This Row],[operacion]]))</f>
        <v/>
      </c>
    </row>
    <row r="1189">
      <c r="A1189" s="3" t="n"/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11" t="n"/>
      <c r="K1189" s="3" t="n"/>
      <c r="L1189" s="10" t="n"/>
      <c r="M1189" s="6" t="n"/>
      <c r="N118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8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8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89" s="3">
        <f>IF(tblOrdenes[[#This Row],[fecha_inicio]]="","",YEAR(tblOrdenes[[#This Row],[fecha_inicio]]))</f>
        <v/>
      </c>
      <c r="R1189" s="3">
        <f>IF(tblOrdenes[[#This Row],[fecha_inicio]]="","",MONTH(tblOrdenes[[#This Row],[fecha_inicio]]))</f>
        <v/>
      </c>
      <c r="S1189" s="3">
        <f>IF(tblOrdenes[[#This Row],[fecha_inicio]]="","",INDEX(lista_dias,WEEKDAY(tblOrdenes[[#This Row],[fecha_inicio]],2)))</f>
        <v/>
      </c>
      <c r="T1189" s="3">
        <f>IF(tblOrdenes[[#This Row],[tipo_ot]]="","",_xlfn.XLOOKUP(tblOrdenes[[#This Row],[tipo_ot]],tblTiposOT[codigo],tblTiposOT[clasificacion],"sin_clasificar"))</f>
        <v/>
      </c>
      <c r="U1189" s="3">
        <f>IF(tblOrdenes[[#This Row],[centro_costo]]="","",_xlfn.XLOOKUP(tblOrdenes[[#This Row],[centro_costo]],tblCECO[codigo],tblCECO[linea],"(sin catálogo)"))</f>
        <v/>
      </c>
      <c r="V1189" s="3">
        <f>IF(tblOrdenes[[#This Row],[centro_costo]]="","",_xlfn.XLOOKUP(tblOrdenes[[#This Row],[centro_costo]],tblCECO[codigo],tblCECO[area],"(sin catálogo)"))</f>
        <v/>
      </c>
      <c r="W1189" s="3">
        <f>IF(tblOrdenes[[#This Row],[centro_costo]]="","",_xlfn.XLOOKUP(tblOrdenes[[#This Row],[centro_costo]],tblCECO[codigo],tblCECO[coordinador],"(sin catálogo)"))</f>
        <v/>
      </c>
      <c r="X1189" s="3">
        <f>IF(tblOrdenes[[#This Row],[puesto_trabajo]]="","",_xlfn.XLOOKUP(tblOrdenes[[#This Row],[puesto_trabajo]],tblPuestos[codigo],tblPuestos[especialidad],"(sin catálogo)"))</f>
        <v/>
      </c>
      <c r="Y1189" s="3">
        <f>IF(tblOrdenes[[#This Row],[cod_actividad]]="","",_xlfn.XLOOKUP(tblOrdenes[[#This Row],[cod_actividad]],tblActividades[codigo],tblActividades[descripcion],"(sin catálogo)"))</f>
        <v/>
      </c>
      <c r="Z1189" s="12">
        <f>IF(tblOrdenes[[#This Row],[fecha_inicio]]="","",TODAY()-tblOrdenes[[#This Row],[fecha_inicio]])</f>
        <v/>
      </c>
      <c r="AA1189" s="3">
        <f>IF(tblOrdenes[[#This Row],[backlog_dias]]="","",IF(tblOrdenes[[#This Row],[backlog_dias]]&lt;0,"FUTURO",IF(tblOrdenes[[#This Row],[backlog_dias]]&gt;p_dias_backlog_max,"BACKLOG","MES CORRIENTE")))</f>
        <v/>
      </c>
      <c r="AB1189" s="3">
        <f>IF(tblOrdenes[[#This Row],[backlog_dias]]="",FALSE,AND(tblOrdenes[[#This Row],[backlog_dias]]&gt;p_dias_backlog_min,tblOrdenes[[#This Row],[backlog_dias]]&lt;=p_dias_backlog_max))</f>
        <v/>
      </c>
      <c r="AC1189" s="6" t="n"/>
      <c r="AD118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8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8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89" s="10">
        <f>IF(tblOrdenes[[#This Row],[orden]]="","",_xlfn.XLOOKUP(tblOrdenes[[#This Row],[id_operacion]],tblEjecucion[id_operacion],tblEjecucion[precio],0))</f>
        <v/>
      </c>
      <c r="AH1189" s="10">
        <f>IF(tblOrdenes[[#This Row],[orden]]="","",MAX(0,_xlfn.XLOOKUP(tblOrdenes[[#This Row],[id_operacion]],tblEjecucion[id_operacion],tblEjecucion[costo_plan_total],0)-tblOrdenes[[#This Row],[costo_servicio]]))</f>
        <v/>
      </c>
      <c r="AI1189" s="10">
        <f>IF(tblOrdenes[[#This Row],[orden]]="","",tblOrdenes[[#This Row],[costo_servicio]]+tblOrdenes[[#This Row],[costo_materiales]])</f>
        <v/>
      </c>
      <c r="AJ1189" s="6" t="n"/>
      <c r="AK1189" s="6" t="n"/>
      <c r="AL1189" s="6" t="n"/>
      <c r="AM1189" s="3">
        <f>IF(tblOrdenes[[#This Row],[link_checklist]]="","",HYPERLINK(p_ruta_base_checklists&amp;tblOrdenes[[#This Row],[link_checklist]],"abrir"))</f>
        <v/>
      </c>
      <c r="AN1189" s="6" t="n"/>
      <c r="AO1189" s="3">
        <f>IF(tblOrdenes[[#This Row],[orden]]="","",tblOrdenes[[#This Row],[orden]]&amp;IF(tblOrdenes[[#This Row],[operacion]]="","0010",tblOrdenes[[#This Row],[operacion]]))</f>
        <v/>
      </c>
    </row>
    <row r="1190">
      <c r="A1190" s="3" t="n"/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11" t="n"/>
      <c r="K1190" s="3" t="n"/>
      <c r="L1190" s="10" t="n"/>
      <c r="M1190" s="6" t="n"/>
      <c r="N119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9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9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90" s="3">
        <f>IF(tblOrdenes[[#This Row],[fecha_inicio]]="","",YEAR(tblOrdenes[[#This Row],[fecha_inicio]]))</f>
        <v/>
      </c>
      <c r="R1190" s="3">
        <f>IF(tblOrdenes[[#This Row],[fecha_inicio]]="","",MONTH(tblOrdenes[[#This Row],[fecha_inicio]]))</f>
        <v/>
      </c>
      <c r="S1190" s="3">
        <f>IF(tblOrdenes[[#This Row],[fecha_inicio]]="","",INDEX(lista_dias,WEEKDAY(tblOrdenes[[#This Row],[fecha_inicio]],2)))</f>
        <v/>
      </c>
      <c r="T1190" s="3">
        <f>IF(tblOrdenes[[#This Row],[tipo_ot]]="","",_xlfn.XLOOKUP(tblOrdenes[[#This Row],[tipo_ot]],tblTiposOT[codigo],tblTiposOT[clasificacion],"sin_clasificar"))</f>
        <v/>
      </c>
      <c r="U1190" s="3">
        <f>IF(tblOrdenes[[#This Row],[centro_costo]]="","",_xlfn.XLOOKUP(tblOrdenes[[#This Row],[centro_costo]],tblCECO[codigo],tblCECO[linea],"(sin catálogo)"))</f>
        <v/>
      </c>
      <c r="V1190" s="3">
        <f>IF(tblOrdenes[[#This Row],[centro_costo]]="","",_xlfn.XLOOKUP(tblOrdenes[[#This Row],[centro_costo]],tblCECO[codigo],tblCECO[area],"(sin catálogo)"))</f>
        <v/>
      </c>
      <c r="W1190" s="3">
        <f>IF(tblOrdenes[[#This Row],[centro_costo]]="","",_xlfn.XLOOKUP(tblOrdenes[[#This Row],[centro_costo]],tblCECO[codigo],tblCECO[coordinador],"(sin catálogo)"))</f>
        <v/>
      </c>
      <c r="X1190" s="3">
        <f>IF(tblOrdenes[[#This Row],[puesto_trabajo]]="","",_xlfn.XLOOKUP(tblOrdenes[[#This Row],[puesto_trabajo]],tblPuestos[codigo],tblPuestos[especialidad],"(sin catálogo)"))</f>
        <v/>
      </c>
      <c r="Y1190" s="3">
        <f>IF(tblOrdenes[[#This Row],[cod_actividad]]="","",_xlfn.XLOOKUP(tblOrdenes[[#This Row],[cod_actividad]],tblActividades[codigo],tblActividades[descripcion],"(sin catálogo)"))</f>
        <v/>
      </c>
      <c r="Z1190" s="12">
        <f>IF(tblOrdenes[[#This Row],[fecha_inicio]]="","",TODAY()-tblOrdenes[[#This Row],[fecha_inicio]])</f>
        <v/>
      </c>
      <c r="AA1190" s="3">
        <f>IF(tblOrdenes[[#This Row],[backlog_dias]]="","",IF(tblOrdenes[[#This Row],[backlog_dias]]&lt;0,"FUTURO",IF(tblOrdenes[[#This Row],[backlog_dias]]&gt;p_dias_backlog_max,"BACKLOG","MES CORRIENTE")))</f>
        <v/>
      </c>
      <c r="AB1190" s="3">
        <f>IF(tblOrdenes[[#This Row],[backlog_dias]]="",FALSE,AND(tblOrdenes[[#This Row],[backlog_dias]]&gt;p_dias_backlog_min,tblOrdenes[[#This Row],[backlog_dias]]&lt;=p_dias_backlog_max))</f>
        <v/>
      </c>
      <c r="AC1190" s="6" t="n"/>
      <c r="AD119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9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9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90" s="10">
        <f>IF(tblOrdenes[[#This Row],[orden]]="","",_xlfn.XLOOKUP(tblOrdenes[[#This Row],[id_operacion]],tblEjecucion[id_operacion],tblEjecucion[precio],0))</f>
        <v/>
      </c>
      <c r="AH1190" s="10">
        <f>IF(tblOrdenes[[#This Row],[orden]]="","",MAX(0,_xlfn.XLOOKUP(tblOrdenes[[#This Row],[id_operacion]],tblEjecucion[id_operacion],tblEjecucion[costo_plan_total],0)-tblOrdenes[[#This Row],[costo_servicio]]))</f>
        <v/>
      </c>
      <c r="AI1190" s="10">
        <f>IF(tblOrdenes[[#This Row],[orden]]="","",tblOrdenes[[#This Row],[costo_servicio]]+tblOrdenes[[#This Row],[costo_materiales]])</f>
        <v/>
      </c>
      <c r="AJ1190" s="6" t="n"/>
      <c r="AK1190" s="6" t="n"/>
      <c r="AL1190" s="6" t="n"/>
      <c r="AM1190" s="3">
        <f>IF(tblOrdenes[[#This Row],[link_checklist]]="","",HYPERLINK(p_ruta_base_checklists&amp;tblOrdenes[[#This Row],[link_checklist]],"abrir"))</f>
        <v/>
      </c>
      <c r="AN1190" s="6" t="n"/>
      <c r="AO1190" s="3">
        <f>IF(tblOrdenes[[#This Row],[orden]]="","",tblOrdenes[[#This Row],[orden]]&amp;IF(tblOrdenes[[#This Row],[operacion]]="","0010",tblOrdenes[[#This Row],[operacion]]))</f>
        <v/>
      </c>
    </row>
    <row r="1191">
      <c r="A1191" s="3" t="n"/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11" t="n"/>
      <c r="K1191" s="3" t="n"/>
      <c r="L1191" s="10" t="n"/>
      <c r="M1191" s="6" t="n"/>
      <c r="N119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9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9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91" s="3">
        <f>IF(tblOrdenes[[#This Row],[fecha_inicio]]="","",YEAR(tblOrdenes[[#This Row],[fecha_inicio]]))</f>
        <v/>
      </c>
      <c r="R1191" s="3">
        <f>IF(tblOrdenes[[#This Row],[fecha_inicio]]="","",MONTH(tblOrdenes[[#This Row],[fecha_inicio]]))</f>
        <v/>
      </c>
      <c r="S1191" s="3">
        <f>IF(tblOrdenes[[#This Row],[fecha_inicio]]="","",INDEX(lista_dias,WEEKDAY(tblOrdenes[[#This Row],[fecha_inicio]],2)))</f>
        <v/>
      </c>
      <c r="T1191" s="3">
        <f>IF(tblOrdenes[[#This Row],[tipo_ot]]="","",_xlfn.XLOOKUP(tblOrdenes[[#This Row],[tipo_ot]],tblTiposOT[codigo],tblTiposOT[clasificacion],"sin_clasificar"))</f>
        <v/>
      </c>
      <c r="U1191" s="3">
        <f>IF(tblOrdenes[[#This Row],[centro_costo]]="","",_xlfn.XLOOKUP(tblOrdenes[[#This Row],[centro_costo]],tblCECO[codigo],tblCECO[linea],"(sin catálogo)"))</f>
        <v/>
      </c>
      <c r="V1191" s="3">
        <f>IF(tblOrdenes[[#This Row],[centro_costo]]="","",_xlfn.XLOOKUP(tblOrdenes[[#This Row],[centro_costo]],tblCECO[codigo],tblCECO[area],"(sin catálogo)"))</f>
        <v/>
      </c>
      <c r="W1191" s="3">
        <f>IF(tblOrdenes[[#This Row],[centro_costo]]="","",_xlfn.XLOOKUP(tblOrdenes[[#This Row],[centro_costo]],tblCECO[codigo],tblCECO[coordinador],"(sin catálogo)"))</f>
        <v/>
      </c>
      <c r="X1191" s="3">
        <f>IF(tblOrdenes[[#This Row],[puesto_trabajo]]="","",_xlfn.XLOOKUP(tblOrdenes[[#This Row],[puesto_trabajo]],tblPuestos[codigo],tblPuestos[especialidad],"(sin catálogo)"))</f>
        <v/>
      </c>
      <c r="Y1191" s="3">
        <f>IF(tblOrdenes[[#This Row],[cod_actividad]]="","",_xlfn.XLOOKUP(tblOrdenes[[#This Row],[cod_actividad]],tblActividades[codigo],tblActividades[descripcion],"(sin catálogo)"))</f>
        <v/>
      </c>
      <c r="Z1191" s="12">
        <f>IF(tblOrdenes[[#This Row],[fecha_inicio]]="","",TODAY()-tblOrdenes[[#This Row],[fecha_inicio]])</f>
        <v/>
      </c>
      <c r="AA1191" s="3">
        <f>IF(tblOrdenes[[#This Row],[backlog_dias]]="","",IF(tblOrdenes[[#This Row],[backlog_dias]]&lt;0,"FUTURO",IF(tblOrdenes[[#This Row],[backlog_dias]]&gt;p_dias_backlog_max,"BACKLOG","MES CORRIENTE")))</f>
        <v/>
      </c>
      <c r="AB1191" s="3">
        <f>IF(tblOrdenes[[#This Row],[backlog_dias]]="",FALSE,AND(tblOrdenes[[#This Row],[backlog_dias]]&gt;p_dias_backlog_min,tblOrdenes[[#This Row],[backlog_dias]]&lt;=p_dias_backlog_max))</f>
        <v/>
      </c>
      <c r="AC1191" s="6" t="n"/>
      <c r="AD119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9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9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91" s="10">
        <f>IF(tblOrdenes[[#This Row],[orden]]="","",_xlfn.XLOOKUP(tblOrdenes[[#This Row],[id_operacion]],tblEjecucion[id_operacion],tblEjecucion[precio],0))</f>
        <v/>
      </c>
      <c r="AH1191" s="10">
        <f>IF(tblOrdenes[[#This Row],[orden]]="","",MAX(0,_xlfn.XLOOKUP(tblOrdenes[[#This Row],[id_operacion]],tblEjecucion[id_operacion],tblEjecucion[costo_plan_total],0)-tblOrdenes[[#This Row],[costo_servicio]]))</f>
        <v/>
      </c>
      <c r="AI1191" s="10">
        <f>IF(tblOrdenes[[#This Row],[orden]]="","",tblOrdenes[[#This Row],[costo_servicio]]+tblOrdenes[[#This Row],[costo_materiales]])</f>
        <v/>
      </c>
      <c r="AJ1191" s="6" t="n"/>
      <c r="AK1191" s="6" t="n"/>
      <c r="AL1191" s="6" t="n"/>
      <c r="AM1191" s="3">
        <f>IF(tblOrdenes[[#This Row],[link_checklist]]="","",HYPERLINK(p_ruta_base_checklists&amp;tblOrdenes[[#This Row],[link_checklist]],"abrir"))</f>
        <v/>
      </c>
      <c r="AN1191" s="6" t="n"/>
      <c r="AO1191" s="3">
        <f>IF(tblOrdenes[[#This Row],[orden]]="","",tblOrdenes[[#This Row],[orden]]&amp;IF(tblOrdenes[[#This Row],[operacion]]="","0010",tblOrdenes[[#This Row],[operacion]]))</f>
        <v/>
      </c>
    </row>
    <row r="1192">
      <c r="A1192" s="3" t="n"/>
      <c r="B1192" s="3" t="n"/>
      <c r="C1192" s="3" t="n"/>
      <c r="D1192" s="3" t="n"/>
      <c r="E1192" s="3" t="n"/>
      <c r="F1192" s="3" t="n"/>
      <c r="G1192" s="3" t="n"/>
      <c r="H1192" s="3" t="n"/>
      <c r="I1192" s="3" t="n"/>
      <c r="J1192" s="11" t="n"/>
      <c r="K1192" s="3" t="n"/>
      <c r="L1192" s="10" t="n"/>
      <c r="M1192" s="6" t="n"/>
      <c r="N119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9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9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92" s="3">
        <f>IF(tblOrdenes[[#This Row],[fecha_inicio]]="","",YEAR(tblOrdenes[[#This Row],[fecha_inicio]]))</f>
        <v/>
      </c>
      <c r="R1192" s="3">
        <f>IF(tblOrdenes[[#This Row],[fecha_inicio]]="","",MONTH(tblOrdenes[[#This Row],[fecha_inicio]]))</f>
        <v/>
      </c>
      <c r="S1192" s="3">
        <f>IF(tblOrdenes[[#This Row],[fecha_inicio]]="","",INDEX(lista_dias,WEEKDAY(tblOrdenes[[#This Row],[fecha_inicio]],2)))</f>
        <v/>
      </c>
      <c r="T1192" s="3">
        <f>IF(tblOrdenes[[#This Row],[tipo_ot]]="","",_xlfn.XLOOKUP(tblOrdenes[[#This Row],[tipo_ot]],tblTiposOT[codigo],tblTiposOT[clasificacion],"sin_clasificar"))</f>
        <v/>
      </c>
      <c r="U1192" s="3">
        <f>IF(tblOrdenes[[#This Row],[centro_costo]]="","",_xlfn.XLOOKUP(tblOrdenes[[#This Row],[centro_costo]],tblCECO[codigo],tblCECO[linea],"(sin catálogo)"))</f>
        <v/>
      </c>
      <c r="V1192" s="3">
        <f>IF(tblOrdenes[[#This Row],[centro_costo]]="","",_xlfn.XLOOKUP(tblOrdenes[[#This Row],[centro_costo]],tblCECO[codigo],tblCECO[area],"(sin catálogo)"))</f>
        <v/>
      </c>
      <c r="W1192" s="3">
        <f>IF(tblOrdenes[[#This Row],[centro_costo]]="","",_xlfn.XLOOKUP(tblOrdenes[[#This Row],[centro_costo]],tblCECO[codigo],tblCECO[coordinador],"(sin catálogo)"))</f>
        <v/>
      </c>
      <c r="X1192" s="3">
        <f>IF(tblOrdenes[[#This Row],[puesto_trabajo]]="","",_xlfn.XLOOKUP(tblOrdenes[[#This Row],[puesto_trabajo]],tblPuestos[codigo],tblPuestos[especialidad],"(sin catálogo)"))</f>
        <v/>
      </c>
      <c r="Y1192" s="3">
        <f>IF(tblOrdenes[[#This Row],[cod_actividad]]="","",_xlfn.XLOOKUP(tblOrdenes[[#This Row],[cod_actividad]],tblActividades[codigo],tblActividades[descripcion],"(sin catálogo)"))</f>
        <v/>
      </c>
      <c r="Z1192" s="12">
        <f>IF(tblOrdenes[[#This Row],[fecha_inicio]]="","",TODAY()-tblOrdenes[[#This Row],[fecha_inicio]])</f>
        <v/>
      </c>
      <c r="AA1192" s="3">
        <f>IF(tblOrdenes[[#This Row],[backlog_dias]]="","",IF(tblOrdenes[[#This Row],[backlog_dias]]&lt;0,"FUTURO",IF(tblOrdenes[[#This Row],[backlog_dias]]&gt;p_dias_backlog_max,"BACKLOG","MES CORRIENTE")))</f>
        <v/>
      </c>
      <c r="AB1192" s="3">
        <f>IF(tblOrdenes[[#This Row],[backlog_dias]]="",FALSE,AND(tblOrdenes[[#This Row],[backlog_dias]]&gt;p_dias_backlog_min,tblOrdenes[[#This Row],[backlog_dias]]&lt;=p_dias_backlog_max))</f>
        <v/>
      </c>
      <c r="AC1192" s="6" t="n"/>
      <c r="AD119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9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9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92" s="10">
        <f>IF(tblOrdenes[[#This Row],[orden]]="","",_xlfn.XLOOKUP(tblOrdenes[[#This Row],[id_operacion]],tblEjecucion[id_operacion],tblEjecucion[precio],0))</f>
        <v/>
      </c>
      <c r="AH1192" s="10">
        <f>IF(tblOrdenes[[#This Row],[orden]]="","",MAX(0,_xlfn.XLOOKUP(tblOrdenes[[#This Row],[id_operacion]],tblEjecucion[id_operacion],tblEjecucion[costo_plan_total],0)-tblOrdenes[[#This Row],[costo_servicio]]))</f>
        <v/>
      </c>
      <c r="AI1192" s="10">
        <f>IF(tblOrdenes[[#This Row],[orden]]="","",tblOrdenes[[#This Row],[costo_servicio]]+tblOrdenes[[#This Row],[costo_materiales]])</f>
        <v/>
      </c>
      <c r="AJ1192" s="6" t="n"/>
      <c r="AK1192" s="6" t="n"/>
      <c r="AL1192" s="6" t="n"/>
      <c r="AM1192" s="3">
        <f>IF(tblOrdenes[[#This Row],[link_checklist]]="","",HYPERLINK(p_ruta_base_checklists&amp;tblOrdenes[[#This Row],[link_checklist]],"abrir"))</f>
        <v/>
      </c>
      <c r="AN1192" s="6" t="n"/>
      <c r="AO1192" s="3">
        <f>IF(tblOrdenes[[#This Row],[orden]]="","",tblOrdenes[[#This Row],[orden]]&amp;IF(tblOrdenes[[#This Row],[operacion]]="","0010",tblOrdenes[[#This Row],[operacion]]))</f>
        <v/>
      </c>
    </row>
    <row r="1193">
      <c r="A1193" s="3" t="n"/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11" t="n"/>
      <c r="K1193" s="3" t="n"/>
      <c r="L1193" s="10" t="n"/>
      <c r="M1193" s="6" t="n"/>
      <c r="N119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9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9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93" s="3">
        <f>IF(tblOrdenes[[#This Row],[fecha_inicio]]="","",YEAR(tblOrdenes[[#This Row],[fecha_inicio]]))</f>
        <v/>
      </c>
      <c r="R1193" s="3">
        <f>IF(tblOrdenes[[#This Row],[fecha_inicio]]="","",MONTH(tblOrdenes[[#This Row],[fecha_inicio]]))</f>
        <v/>
      </c>
      <c r="S1193" s="3">
        <f>IF(tblOrdenes[[#This Row],[fecha_inicio]]="","",INDEX(lista_dias,WEEKDAY(tblOrdenes[[#This Row],[fecha_inicio]],2)))</f>
        <v/>
      </c>
      <c r="T1193" s="3">
        <f>IF(tblOrdenes[[#This Row],[tipo_ot]]="","",_xlfn.XLOOKUP(tblOrdenes[[#This Row],[tipo_ot]],tblTiposOT[codigo],tblTiposOT[clasificacion],"sin_clasificar"))</f>
        <v/>
      </c>
      <c r="U1193" s="3">
        <f>IF(tblOrdenes[[#This Row],[centro_costo]]="","",_xlfn.XLOOKUP(tblOrdenes[[#This Row],[centro_costo]],tblCECO[codigo],tblCECO[linea],"(sin catálogo)"))</f>
        <v/>
      </c>
      <c r="V1193" s="3">
        <f>IF(tblOrdenes[[#This Row],[centro_costo]]="","",_xlfn.XLOOKUP(tblOrdenes[[#This Row],[centro_costo]],tblCECO[codigo],tblCECO[area],"(sin catálogo)"))</f>
        <v/>
      </c>
      <c r="W1193" s="3">
        <f>IF(tblOrdenes[[#This Row],[centro_costo]]="","",_xlfn.XLOOKUP(tblOrdenes[[#This Row],[centro_costo]],tblCECO[codigo],tblCECO[coordinador],"(sin catálogo)"))</f>
        <v/>
      </c>
      <c r="X1193" s="3">
        <f>IF(tblOrdenes[[#This Row],[puesto_trabajo]]="","",_xlfn.XLOOKUP(tblOrdenes[[#This Row],[puesto_trabajo]],tblPuestos[codigo],tblPuestos[especialidad],"(sin catálogo)"))</f>
        <v/>
      </c>
      <c r="Y1193" s="3">
        <f>IF(tblOrdenes[[#This Row],[cod_actividad]]="","",_xlfn.XLOOKUP(tblOrdenes[[#This Row],[cod_actividad]],tblActividades[codigo],tblActividades[descripcion],"(sin catálogo)"))</f>
        <v/>
      </c>
      <c r="Z1193" s="12">
        <f>IF(tblOrdenes[[#This Row],[fecha_inicio]]="","",TODAY()-tblOrdenes[[#This Row],[fecha_inicio]])</f>
        <v/>
      </c>
      <c r="AA1193" s="3">
        <f>IF(tblOrdenes[[#This Row],[backlog_dias]]="","",IF(tblOrdenes[[#This Row],[backlog_dias]]&lt;0,"FUTURO",IF(tblOrdenes[[#This Row],[backlog_dias]]&gt;p_dias_backlog_max,"BACKLOG","MES CORRIENTE")))</f>
        <v/>
      </c>
      <c r="AB1193" s="3">
        <f>IF(tblOrdenes[[#This Row],[backlog_dias]]="",FALSE,AND(tblOrdenes[[#This Row],[backlog_dias]]&gt;p_dias_backlog_min,tblOrdenes[[#This Row],[backlog_dias]]&lt;=p_dias_backlog_max))</f>
        <v/>
      </c>
      <c r="AC1193" s="6" t="n"/>
      <c r="AD119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9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9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93" s="10">
        <f>IF(tblOrdenes[[#This Row],[orden]]="","",_xlfn.XLOOKUP(tblOrdenes[[#This Row],[id_operacion]],tblEjecucion[id_operacion],tblEjecucion[precio],0))</f>
        <v/>
      </c>
      <c r="AH1193" s="10">
        <f>IF(tblOrdenes[[#This Row],[orden]]="","",MAX(0,_xlfn.XLOOKUP(tblOrdenes[[#This Row],[id_operacion]],tblEjecucion[id_operacion],tblEjecucion[costo_plan_total],0)-tblOrdenes[[#This Row],[costo_servicio]]))</f>
        <v/>
      </c>
      <c r="AI1193" s="10">
        <f>IF(tblOrdenes[[#This Row],[orden]]="","",tblOrdenes[[#This Row],[costo_servicio]]+tblOrdenes[[#This Row],[costo_materiales]])</f>
        <v/>
      </c>
      <c r="AJ1193" s="6" t="n"/>
      <c r="AK1193" s="6" t="n"/>
      <c r="AL1193" s="6" t="n"/>
      <c r="AM1193" s="3">
        <f>IF(tblOrdenes[[#This Row],[link_checklist]]="","",HYPERLINK(p_ruta_base_checklists&amp;tblOrdenes[[#This Row],[link_checklist]],"abrir"))</f>
        <v/>
      </c>
      <c r="AN1193" s="6" t="n"/>
      <c r="AO1193" s="3">
        <f>IF(tblOrdenes[[#This Row],[orden]]="","",tblOrdenes[[#This Row],[orden]]&amp;IF(tblOrdenes[[#This Row],[operacion]]="","0010",tblOrdenes[[#This Row],[operacion]]))</f>
        <v/>
      </c>
    </row>
    <row r="1194">
      <c r="A1194" s="3" t="n"/>
      <c r="B1194" s="3" t="n"/>
      <c r="C1194" s="3" t="n"/>
      <c r="D1194" s="3" t="n"/>
      <c r="E1194" s="3" t="n"/>
      <c r="F1194" s="3" t="n"/>
      <c r="G1194" s="3" t="n"/>
      <c r="H1194" s="3" t="n"/>
      <c r="I1194" s="3" t="n"/>
      <c r="J1194" s="11" t="n"/>
      <c r="K1194" s="3" t="n"/>
      <c r="L1194" s="10" t="n"/>
      <c r="M1194" s="6" t="n"/>
      <c r="N1194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94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94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94" s="3">
        <f>IF(tblOrdenes[[#This Row],[fecha_inicio]]="","",YEAR(tblOrdenes[[#This Row],[fecha_inicio]]))</f>
        <v/>
      </c>
      <c r="R1194" s="3">
        <f>IF(tblOrdenes[[#This Row],[fecha_inicio]]="","",MONTH(tblOrdenes[[#This Row],[fecha_inicio]]))</f>
        <v/>
      </c>
      <c r="S1194" s="3">
        <f>IF(tblOrdenes[[#This Row],[fecha_inicio]]="","",INDEX(lista_dias,WEEKDAY(tblOrdenes[[#This Row],[fecha_inicio]],2)))</f>
        <v/>
      </c>
      <c r="T1194" s="3">
        <f>IF(tblOrdenes[[#This Row],[tipo_ot]]="","",_xlfn.XLOOKUP(tblOrdenes[[#This Row],[tipo_ot]],tblTiposOT[codigo],tblTiposOT[clasificacion],"sin_clasificar"))</f>
        <v/>
      </c>
      <c r="U1194" s="3">
        <f>IF(tblOrdenes[[#This Row],[centro_costo]]="","",_xlfn.XLOOKUP(tblOrdenes[[#This Row],[centro_costo]],tblCECO[codigo],tblCECO[linea],"(sin catálogo)"))</f>
        <v/>
      </c>
      <c r="V1194" s="3">
        <f>IF(tblOrdenes[[#This Row],[centro_costo]]="","",_xlfn.XLOOKUP(tblOrdenes[[#This Row],[centro_costo]],tblCECO[codigo],tblCECO[area],"(sin catálogo)"))</f>
        <v/>
      </c>
      <c r="W1194" s="3">
        <f>IF(tblOrdenes[[#This Row],[centro_costo]]="","",_xlfn.XLOOKUP(tblOrdenes[[#This Row],[centro_costo]],tblCECO[codigo],tblCECO[coordinador],"(sin catálogo)"))</f>
        <v/>
      </c>
      <c r="X1194" s="3">
        <f>IF(tblOrdenes[[#This Row],[puesto_trabajo]]="","",_xlfn.XLOOKUP(tblOrdenes[[#This Row],[puesto_trabajo]],tblPuestos[codigo],tblPuestos[especialidad],"(sin catálogo)"))</f>
        <v/>
      </c>
      <c r="Y1194" s="3">
        <f>IF(tblOrdenes[[#This Row],[cod_actividad]]="","",_xlfn.XLOOKUP(tblOrdenes[[#This Row],[cod_actividad]],tblActividades[codigo],tblActividades[descripcion],"(sin catálogo)"))</f>
        <v/>
      </c>
      <c r="Z1194" s="12">
        <f>IF(tblOrdenes[[#This Row],[fecha_inicio]]="","",TODAY()-tblOrdenes[[#This Row],[fecha_inicio]])</f>
        <v/>
      </c>
      <c r="AA1194" s="3">
        <f>IF(tblOrdenes[[#This Row],[backlog_dias]]="","",IF(tblOrdenes[[#This Row],[backlog_dias]]&lt;0,"FUTURO",IF(tblOrdenes[[#This Row],[backlog_dias]]&gt;p_dias_backlog_max,"BACKLOG","MES CORRIENTE")))</f>
        <v/>
      </c>
      <c r="AB1194" s="3">
        <f>IF(tblOrdenes[[#This Row],[backlog_dias]]="",FALSE,AND(tblOrdenes[[#This Row],[backlog_dias]]&gt;p_dias_backlog_min,tblOrdenes[[#This Row],[backlog_dias]]&lt;=p_dias_backlog_max))</f>
        <v/>
      </c>
      <c r="AC1194" s="6" t="n"/>
      <c r="AD1194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94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94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94" s="10">
        <f>IF(tblOrdenes[[#This Row],[orden]]="","",_xlfn.XLOOKUP(tblOrdenes[[#This Row],[id_operacion]],tblEjecucion[id_operacion],tblEjecucion[precio],0))</f>
        <v/>
      </c>
      <c r="AH1194" s="10">
        <f>IF(tblOrdenes[[#This Row],[orden]]="","",MAX(0,_xlfn.XLOOKUP(tblOrdenes[[#This Row],[id_operacion]],tblEjecucion[id_operacion],tblEjecucion[costo_plan_total],0)-tblOrdenes[[#This Row],[costo_servicio]]))</f>
        <v/>
      </c>
      <c r="AI1194" s="10">
        <f>IF(tblOrdenes[[#This Row],[orden]]="","",tblOrdenes[[#This Row],[costo_servicio]]+tblOrdenes[[#This Row],[costo_materiales]])</f>
        <v/>
      </c>
      <c r="AJ1194" s="6" t="n"/>
      <c r="AK1194" s="6" t="n"/>
      <c r="AL1194" s="6" t="n"/>
      <c r="AM1194" s="3">
        <f>IF(tblOrdenes[[#This Row],[link_checklist]]="","",HYPERLINK(p_ruta_base_checklists&amp;tblOrdenes[[#This Row],[link_checklist]],"abrir"))</f>
        <v/>
      </c>
      <c r="AN1194" s="6" t="n"/>
      <c r="AO1194" s="3">
        <f>IF(tblOrdenes[[#This Row],[orden]]="","",tblOrdenes[[#This Row],[orden]]&amp;IF(tblOrdenes[[#This Row],[operacion]]="","0010",tblOrdenes[[#This Row],[operacion]]))</f>
        <v/>
      </c>
    </row>
    <row r="1195">
      <c r="A1195" s="3" t="n"/>
      <c r="B1195" s="3" t="n"/>
      <c r="C1195" s="3" t="n"/>
      <c r="D1195" s="3" t="n"/>
      <c r="E1195" s="3" t="n"/>
      <c r="F1195" s="3" t="n"/>
      <c r="G1195" s="3" t="n"/>
      <c r="H1195" s="3" t="n"/>
      <c r="I1195" s="3" t="n"/>
      <c r="J1195" s="11" t="n"/>
      <c r="K1195" s="3" t="n"/>
      <c r="L1195" s="10" t="n"/>
      <c r="M1195" s="6" t="n"/>
      <c r="N1195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95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95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95" s="3">
        <f>IF(tblOrdenes[[#This Row],[fecha_inicio]]="","",YEAR(tblOrdenes[[#This Row],[fecha_inicio]]))</f>
        <v/>
      </c>
      <c r="R1195" s="3">
        <f>IF(tblOrdenes[[#This Row],[fecha_inicio]]="","",MONTH(tblOrdenes[[#This Row],[fecha_inicio]]))</f>
        <v/>
      </c>
      <c r="S1195" s="3">
        <f>IF(tblOrdenes[[#This Row],[fecha_inicio]]="","",INDEX(lista_dias,WEEKDAY(tblOrdenes[[#This Row],[fecha_inicio]],2)))</f>
        <v/>
      </c>
      <c r="T1195" s="3">
        <f>IF(tblOrdenes[[#This Row],[tipo_ot]]="","",_xlfn.XLOOKUP(tblOrdenes[[#This Row],[tipo_ot]],tblTiposOT[codigo],tblTiposOT[clasificacion],"sin_clasificar"))</f>
        <v/>
      </c>
      <c r="U1195" s="3">
        <f>IF(tblOrdenes[[#This Row],[centro_costo]]="","",_xlfn.XLOOKUP(tblOrdenes[[#This Row],[centro_costo]],tblCECO[codigo],tblCECO[linea],"(sin catálogo)"))</f>
        <v/>
      </c>
      <c r="V1195" s="3">
        <f>IF(tblOrdenes[[#This Row],[centro_costo]]="","",_xlfn.XLOOKUP(tblOrdenes[[#This Row],[centro_costo]],tblCECO[codigo],tblCECO[area],"(sin catálogo)"))</f>
        <v/>
      </c>
      <c r="W1195" s="3">
        <f>IF(tblOrdenes[[#This Row],[centro_costo]]="","",_xlfn.XLOOKUP(tblOrdenes[[#This Row],[centro_costo]],tblCECO[codigo],tblCECO[coordinador],"(sin catálogo)"))</f>
        <v/>
      </c>
      <c r="X1195" s="3">
        <f>IF(tblOrdenes[[#This Row],[puesto_trabajo]]="","",_xlfn.XLOOKUP(tblOrdenes[[#This Row],[puesto_trabajo]],tblPuestos[codigo],tblPuestos[especialidad],"(sin catálogo)"))</f>
        <v/>
      </c>
      <c r="Y1195" s="3">
        <f>IF(tblOrdenes[[#This Row],[cod_actividad]]="","",_xlfn.XLOOKUP(tblOrdenes[[#This Row],[cod_actividad]],tblActividades[codigo],tblActividades[descripcion],"(sin catálogo)"))</f>
        <v/>
      </c>
      <c r="Z1195" s="12">
        <f>IF(tblOrdenes[[#This Row],[fecha_inicio]]="","",TODAY()-tblOrdenes[[#This Row],[fecha_inicio]])</f>
        <v/>
      </c>
      <c r="AA1195" s="3">
        <f>IF(tblOrdenes[[#This Row],[backlog_dias]]="","",IF(tblOrdenes[[#This Row],[backlog_dias]]&lt;0,"FUTURO",IF(tblOrdenes[[#This Row],[backlog_dias]]&gt;p_dias_backlog_max,"BACKLOG","MES CORRIENTE")))</f>
        <v/>
      </c>
      <c r="AB1195" s="3">
        <f>IF(tblOrdenes[[#This Row],[backlog_dias]]="",FALSE,AND(tblOrdenes[[#This Row],[backlog_dias]]&gt;p_dias_backlog_min,tblOrdenes[[#This Row],[backlog_dias]]&lt;=p_dias_backlog_max))</f>
        <v/>
      </c>
      <c r="AC1195" s="6" t="n"/>
      <c r="AD1195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95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95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95" s="10">
        <f>IF(tblOrdenes[[#This Row],[orden]]="","",_xlfn.XLOOKUP(tblOrdenes[[#This Row],[id_operacion]],tblEjecucion[id_operacion],tblEjecucion[precio],0))</f>
        <v/>
      </c>
      <c r="AH1195" s="10">
        <f>IF(tblOrdenes[[#This Row],[orden]]="","",MAX(0,_xlfn.XLOOKUP(tblOrdenes[[#This Row],[id_operacion]],tblEjecucion[id_operacion],tblEjecucion[costo_plan_total],0)-tblOrdenes[[#This Row],[costo_servicio]]))</f>
        <v/>
      </c>
      <c r="AI1195" s="10">
        <f>IF(tblOrdenes[[#This Row],[orden]]="","",tblOrdenes[[#This Row],[costo_servicio]]+tblOrdenes[[#This Row],[costo_materiales]])</f>
        <v/>
      </c>
      <c r="AJ1195" s="6" t="n"/>
      <c r="AK1195" s="6" t="n"/>
      <c r="AL1195" s="6" t="n"/>
      <c r="AM1195" s="3">
        <f>IF(tblOrdenes[[#This Row],[link_checklist]]="","",HYPERLINK(p_ruta_base_checklists&amp;tblOrdenes[[#This Row],[link_checklist]],"abrir"))</f>
        <v/>
      </c>
      <c r="AN1195" s="6" t="n"/>
      <c r="AO1195" s="3">
        <f>IF(tblOrdenes[[#This Row],[orden]]="","",tblOrdenes[[#This Row],[orden]]&amp;IF(tblOrdenes[[#This Row],[operacion]]="","0010",tblOrdenes[[#This Row],[operacion]]))</f>
        <v/>
      </c>
    </row>
    <row r="1196">
      <c r="A1196" s="3" t="n"/>
      <c r="B1196" s="3" t="n"/>
      <c r="C1196" s="3" t="n"/>
      <c r="D1196" s="3" t="n"/>
      <c r="E1196" s="3" t="n"/>
      <c r="F1196" s="3" t="n"/>
      <c r="G1196" s="3" t="n"/>
      <c r="H1196" s="3" t="n"/>
      <c r="I1196" s="3" t="n"/>
      <c r="J1196" s="11" t="n"/>
      <c r="K1196" s="3" t="n"/>
      <c r="L1196" s="10" t="n"/>
      <c r="M1196" s="6" t="n"/>
      <c r="N1196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96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96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96" s="3">
        <f>IF(tblOrdenes[[#This Row],[fecha_inicio]]="","",YEAR(tblOrdenes[[#This Row],[fecha_inicio]]))</f>
        <v/>
      </c>
      <c r="R1196" s="3">
        <f>IF(tblOrdenes[[#This Row],[fecha_inicio]]="","",MONTH(tblOrdenes[[#This Row],[fecha_inicio]]))</f>
        <v/>
      </c>
      <c r="S1196" s="3">
        <f>IF(tblOrdenes[[#This Row],[fecha_inicio]]="","",INDEX(lista_dias,WEEKDAY(tblOrdenes[[#This Row],[fecha_inicio]],2)))</f>
        <v/>
      </c>
      <c r="T1196" s="3">
        <f>IF(tblOrdenes[[#This Row],[tipo_ot]]="","",_xlfn.XLOOKUP(tblOrdenes[[#This Row],[tipo_ot]],tblTiposOT[codigo],tblTiposOT[clasificacion],"sin_clasificar"))</f>
        <v/>
      </c>
      <c r="U1196" s="3">
        <f>IF(tblOrdenes[[#This Row],[centro_costo]]="","",_xlfn.XLOOKUP(tblOrdenes[[#This Row],[centro_costo]],tblCECO[codigo],tblCECO[linea],"(sin catálogo)"))</f>
        <v/>
      </c>
      <c r="V1196" s="3">
        <f>IF(tblOrdenes[[#This Row],[centro_costo]]="","",_xlfn.XLOOKUP(tblOrdenes[[#This Row],[centro_costo]],tblCECO[codigo],tblCECO[area],"(sin catálogo)"))</f>
        <v/>
      </c>
      <c r="W1196" s="3">
        <f>IF(tblOrdenes[[#This Row],[centro_costo]]="","",_xlfn.XLOOKUP(tblOrdenes[[#This Row],[centro_costo]],tblCECO[codigo],tblCECO[coordinador],"(sin catálogo)"))</f>
        <v/>
      </c>
      <c r="X1196" s="3">
        <f>IF(tblOrdenes[[#This Row],[puesto_trabajo]]="","",_xlfn.XLOOKUP(tblOrdenes[[#This Row],[puesto_trabajo]],tblPuestos[codigo],tblPuestos[especialidad],"(sin catálogo)"))</f>
        <v/>
      </c>
      <c r="Y1196" s="3">
        <f>IF(tblOrdenes[[#This Row],[cod_actividad]]="","",_xlfn.XLOOKUP(tblOrdenes[[#This Row],[cod_actividad]],tblActividades[codigo],tblActividades[descripcion],"(sin catálogo)"))</f>
        <v/>
      </c>
      <c r="Z1196" s="12">
        <f>IF(tblOrdenes[[#This Row],[fecha_inicio]]="","",TODAY()-tblOrdenes[[#This Row],[fecha_inicio]])</f>
        <v/>
      </c>
      <c r="AA1196" s="3">
        <f>IF(tblOrdenes[[#This Row],[backlog_dias]]="","",IF(tblOrdenes[[#This Row],[backlog_dias]]&lt;0,"FUTURO",IF(tblOrdenes[[#This Row],[backlog_dias]]&gt;p_dias_backlog_max,"BACKLOG","MES CORRIENTE")))</f>
        <v/>
      </c>
      <c r="AB1196" s="3">
        <f>IF(tblOrdenes[[#This Row],[backlog_dias]]="",FALSE,AND(tblOrdenes[[#This Row],[backlog_dias]]&gt;p_dias_backlog_min,tblOrdenes[[#This Row],[backlog_dias]]&lt;=p_dias_backlog_max))</f>
        <v/>
      </c>
      <c r="AC1196" s="6" t="n"/>
      <c r="AD1196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96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96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96" s="10">
        <f>IF(tblOrdenes[[#This Row],[orden]]="","",_xlfn.XLOOKUP(tblOrdenes[[#This Row],[id_operacion]],tblEjecucion[id_operacion],tblEjecucion[precio],0))</f>
        <v/>
      </c>
      <c r="AH1196" s="10">
        <f>IF(tblOrdenes[[#This Row],[orden]]="","",MAX(0,_xlfn.XLOOKUP(tblOrdenes[[#This Row],[id_operacion]],tblEjecucion[id_operacion],tblEjecucion[costo_plan_total],0)-tblOrdenes[[#This Row],[costo_servicio]]))</f>
        <v/>
      </c>
      <c r="AI1196" s="10">
        <f>IF(tblOrdenes[[#This Row],[orden]]="","",tblOrdenes[[#This Row],[costo_servicio]]+tblOrdenes[[#This Row],[costo_materiales]])</f>
        <v/>
      </c>
      <c r="AJ1196" s="6" t="n"/>
      <c r="AK1196" s="6" t="n"/>
      <c r="AL1196" s="6" t="n"/>
      <c r="AM1196" s="3">
        <f>IF(tblOrdenes[[#This Row],[link_checklist]]="","",HYPERLINK(p_ruta_base_checklists&amp;tblOrdenes[[#This Row],[link_checklist]],"abrir"))</f>
        <v/>
      </c>
      <c r="AN1196" s="6" t="n"/>
      <c r="AO1196" s="3">
        <f>IF(tblOrdenes[[#This Row],[orden]]="","",tblOrdenes[[#This Row],[orden]]&amp;IF(tblOrdenes[[#This Row],[operacion]]="","0010",tblOrdenes[[#This Row],[operacion]]))</f>
        <v/>
      </c>
    </row>
    <row r="1197">
      <c r="A1197" s="3" t="n"/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11" t="n"/>
      <c r="K1197" s="3" t="n"/>
      <c r="L1197" s="10" t="n"/>
      <c r="M1197" s="6" t="n"/>
      <c r="N1197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97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97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97" s="3">
        <f>IF(tblOrdenes[[#This Row],[fecha_inicio]]="","",YEAR(tblOrdenes[[#This Row],[fecha_inicio]]))</f>
        <v/>
      </c>
      <c r="R1197" s="3">
        <f>IF(tblOrdenes[[#This Row],[fecha_inicio]]="","",MONTH(tblOrdenes[[#This Row],[fecha_inicio]]))</f>
        <v/>
      </c>
      <c r="S1197" s="3">
        <f>IF(tblOrdenes[[#This Row],[fecha_inicio]]="","",INDEX(lista_dias,WEEKDAY(tblOrdenes[[#This Row],[fecha_inicio]],2)))</f>
        <v/>
      </c>
      <c r="T1197" s="3">
        <f>IF(tblOrdenes[[#This Row],[tipo_ot]]="","",_xlfn.XLOOKUP(tblOrdenes[[#This Row],[tipo_ot]],tblTiposOT[codigo],tblTiposOT[clasificacion],"sin_clasificar"))</f>
        <v/>
      </c>
      <c r="U1197" s="3">
        <f>IF(tblOrdenes[[#This Row],[centro_costo]]="","",_xlfn.XLOOKUP(tblOrdenes[[#This Row],[centro_costo]],tblCECO[codigo],tblCECO[linea],"(sin catálogo)"))</f>
        <v/>
      </c>
      <c r="V1197" s="3">
        <f>IF(tblOrdenes[[#This Row],[centro_costo]]="","",_xlfn.XLOOKUP(tblOrdenes[[#This Row],[centro_costo]],tblCECO[codigo],tblCECO[area],"(sin catálogo)"))</f>
        <v/>
      </c>
      <c r="W1197" s="3">
        <f>IF(tblOrdenes[[#This Row],[centro_costo]]="","",_xlfn.XLOOKUP(tblOrdenes[[#This Row],[centro_costo]],tblCECO[codigo],tblCECO[coordinador],"(sin catálogo)"))</f>
        <v/>
      </c>
      <c r="X1197" s="3">
        <f>IF(tblOrdenes[[#This Row],[puesto_trabajo]]="","",_xlfn.XLOOKUP(tblOrdenes[[#This Row],[puesto_trabajo]],tblPuestos[codigo],tblPuestos[especialidad],"(sin catálogo)"))</f>
        <v/>
      </c>
      <c r="Y1197" s="3">
        <f>IF(tblOrdenes[[#This Row],[cod_actividad]]="","",_xlfn.XLOOKUP(tblOrdenes[[#This Row],[cod_actividad]],tblActividades[codigo],tblActividades[descripcion],"(sin catálogo)"))</f>
        <v/>
      </c>
      <c r="Z1197" s="12">
        <f>IF(tblOrdenes[[#This Row],[fecha_inicio]]="","",TODAY()-tblOrdenes[[#This Row],[fecha_inicio]])</f>
        <v/>
      </c>
      <c r="AA1197" s="3">
        <f>IF(tblOrdenes[[#This Row],[backlog_dias]]="","",IF(tblOrdenes[[#This Row],[backlog_dias]]&lt;0,"FUTURO",IF(tblOrdenes[[#This Row],[backlog_dias]]&gt;p_dias_backlog_max,"BACKLOG","MES CORRIENTE")))</f>
        <v/>
      </c>
      <c r="AB1197" s="3">
        <f>IF(tblOrdenes[[#This Row],[backlog_dias]]="",FALSE,AND(tblOrdenes[[#This Row],[backlog_dias]]&gt;p_dias_backlog_min,tblOrdenes[[#This Row],[backlog_dias]]&lt;=p_dias_backlog_max))</f>
        <v/>
      </c>
      <c r="AC1197" s="6" t="n"/>
      <c r="AD1197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97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97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97" s="10">
        <f>IF(tblOrdenes[[#This Row],[orden]]="","",_xlfn.XLOOKUP(tblOrdenes[[#This Row],[id_operacion]],tblEjecucion[id_operacion],tblEjecucion[precio],0))</f>
        <v/>
      </c>
      <c r="AH1197" s="10">
        <f>IF(tblOrdenes[[#This Row],[orden]]="","",MAX(0,_xlfn.XLOOKUP(tblOrdenes[[#This Row],[id_operacion]],tblEjecucion[id_operacion],tblEjecucion[costo_plan_total],0)-tblOrdenes[[#This Row],[costo_servicio]]))</f>
        <v/>
      </c>
      <c r="AI1197" s="10">
        <f>IF(tblOrdenes[[#This Row],[orden]]="","",tblOrdenes[[#This Row],[costo_servicio]]+tblOrdenes[[#This Row],[costo_materiales]])</f>
        <v/>
      </c>
      <c r="AJ1197" s="6" t="n"/>
      <c r="AK1197" s="6" t="n"/>
      <c r="AL1197" s="6" t="n"/>
      <c r="AM1197" s="3">
        <f>IF(tblOrdenes[[#This Row],[link_checklist]]="","",HYPERLINK(p_ruta_base_checklists&amp;tblOrdenes[[#This Row],[link_checklist]],"abrir"))</f>
        <v/>
      </c>
      <c r="AN1197" s="6" t="n"/>
      <c r="AO1197" s="3">
        <f>IF(tblOrdenes[[#This Row],[orden]]="","",tblOrdenes[[#This Row],[orden]]&amp;IF(tblOrdenes[[#This Row],[operacion]]="","0010",tblOrdenes[[#This Row],[operacion]]))</f>
        <v/>
      </c>
    </row>
    <row r="1198">
      <c r="A1198" s="3" t="n"/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11" t="n"/>
      <c r="K1198" s="3" t="n"/>
      <c r="L1198" s="10" t="n"/>
      <c r="M1198" s="6" t="n"/>
      <c r="N1198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98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98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98" s="3">
        <f>IF(tblOrdenes[[#This Row],[fecha_inicio]]="","",YEAR(tblOrdenes[[#This Row],[fecha_inicio]]))</f>
        <v/>
      </c>
      <c r="R1198" s="3">
        <f>IF(tblOrdenes[[#This Row],[fecha_inicio]]="","",MONTH(tblOrdenes[[#This Row],[fecha_inicio]]))</f>
        <v/>
      </c>
      <c r="S1198" s="3">
        <f>IF(tblOrdenes[[#This Row],[fecha_inicio]]="","",INDEX(lista_dias,WEEKDAY(tblOrdenes[[#This Row],[fecha_inicio]],2)))</f>
        <v/>
      </c>
      <c r="T1198" s="3">
        <f>IF(tblOrdenes[[#This Row],[tipo_ot]]="","",_xlfn.XLOOKUP(tblOrdenes[[#This Row],[tipo_ot]],tblTiposOT[codigo],tblTiposOT[clasificacion],"sin_clasificar"))</f>
        <v/>
      </c>
      <c r="U1198" s="3">
        <f>IF(tblOrdenes[[#This Row],[centro_costo]]="","",_xlfn.XLOOKUP(tblOrdenes[[#This Row],[centro_costo]],tblCECO[codigo],tblCECO[linea],"(sin catálogo)"))</f>
        <v/>
      </c>
      <c r="V1198" s="3">
        <f>IF(tblOrdenes[[#This Row],[centro_costo]]="","",_xlfn.XLOOKUP(tblOrdenes[[#This Row],[centro_costo]],tblCECO[codigo],tblCECO[area],"(sin catálogo)"))</f>
        <v/>
      </c>
      <c r="W1198" s="3">
        <f>IF(tblOrdenes[[#This Row],[centro_costo]]="","",_xlfn.XLOOKUP(tblOrdenes[[#This Row],[centro_costo]],tblCECO[codigo],tblCECO[coordinador],"(sin catálogo)"))</f>
        <v/>
      </c>
      <c r="X1198" s="3">
        <f>IF(tblOrdenes[[#This Row],[puesto_trabajo]]="","",_xlfn.XLOOKUP(tblOrdenes[[#This Row],[puesto_trabajo]],tblPuestos[codigo],tblPuestos[especialidad],"(sin catálogo)"))</f>
        <v/>
      </c>
      <c r="Y1198" s="3">
        <f>IF(tblOrdenes[[#This Row],[cod_actividad]]="","",_xlfn.XLOOKUP(tblOrdenes[[#This Row],[cod_actividad]],tblActividades[codigo],tblActividades[descripcion],"(sin catálogo)"))</f>
        <v/>
      </c>
      <c r="Z1198" s="12">
        <f>IF(tblOrdenes[[#This Row],[fecha_inicio]]="","",TODAY()-tblOrdenes[[#This Row],[fecha_inicio]])</f>
        <v/>
      </c>
      <c r="AA1198" s="3">
        <f>IF(tblOrdenes[[#This Row],[backlog_dias]]="","",IF(tblOrdenes[[#This Row],[backlog_dias]]&lt;0,"FUTURO",IF(tblOrdenes[[#This Row],[backlog_dias]]&gt;p_dias_backlog_max,"BACKLOG","MES CORRIENTE")))</f>
        <v/>
      </c>
      <c r="AB1198" s="3">
        <f>IF(tblOrdenes[[#This Row],[backlog_dias]]="",FALSE,AND(tblOrdenes[[#This Row],[backlog_dias]]&gt;p_dias_backlog_min,tblOrdenes[[#This Row],[backlog_dias]]&lt;=p_dias_backlog_max))</f>
        <v/>
      </c>
      <c r="AC1198" s="6" t="n"/>
      <c r="AD1198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98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98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98" s="10">
        <f>IF(tblOrdenes[[#This Row],[orden]]="","",_xlfn.XLOOKUP(tblOrdenes[[#This Row],[id_operacion]],tblEjecucion[id_operacion],tblEjecucion[precio],0))</f>
        <v/>
      </c>
      <c r="AH1198" s="10">
        <f>IF(tblOrdenes[[#This Row],[orden]]="","",MAX(0,_xlfn.XLOOKUP(tblOrdenes[[#This Row],[id_operacion]],tblEjecucion[id_operacion],tblEjecucion[costo_plan_total],0)-tblOrdenes[[#This Row],[costo_servicio]]))</f>
        <v/>
      </c>
      <c r="AI1198" s="10">
        <f>IF(tblOrdenes[[#This Row],[orden]]="","",tblOrdenes[[#This Row],[costo_servicio]]+tblOrdenes[[#This Row],[costo_materiales]])</f>
        <v/>
      </c>
      <c r="AJ1198" s="6" t="n"/>
      <c r="AK1198" s="6" t="n"/>
      <c r="AL1198" s="6" t="n"/>
      <c r="AM1198" s="3">
        <f>IF(tblOrdenes[[#This Row],[link_checklist]]="","",HYPERLINK(p_ruta_base_checklists&amp;tblOrdenes[[#This Row],[link_checklist]],"abrir"))</f>
        <v/>
      </c>
      <c r="AN1198" s="6" t="n"/>
      <c r="AO1198" s="3">
        <f>IF(tblOrdenes[[#This Row],[orden]]="","",tblOrdenes[[#This Row],[orden]]&amp;IF(tblOrdenes[[#This Row],[operacion]]="","0010",tblOrdenes[[#This Row],[operacion]]))</f>
        <v/>
      </c>
    </row>
    <row r="1199">
      <c r="A1199" s="3" t="n"/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11" t="n"/>
      <c r="K1199" s="3" t="n"/>
      <c r="L1199" s="10" t="n"/>
      <c r="M1199" s="6" t="n"/>
      <c r="N1199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199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199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199" s="3">
        <f>IF(tblOrdenes[[#This Row],[fecha_inicio]]="","",YEAR(tblOrdenes[[#This Row],[fecha_inicio]]))</f>
        <v/>
      </c>
      <c r="R1199" s="3">
        <f>IF(tblOrdenes[[#This Row],[fecha_inicio]]="","",MONTH(tblOrdenes[[#This Row],[fecha_inicio]]))</f>
        <v/>
      </c>
      <c r="S1199" s="3">
        <f>IF(tblOrdenes[[#This Row],[fecha_inicio]]="","",INDEX(lista_dias,WEEKDAY(tblOrdenes[[#This Row],[fecha_inicio]],2)))</f>
        <v/>
      </c>
      <c r="T1199" s="3">
        <f>IF(tblOrdenes[[#This Row],[tipo_ot]]="","",_xlfn.XLOOKUP(tblOrdenes[[#This Row],[tipo_ot]],tblTiposOT[codigo],tblTiposOT[clasificacion],"sin_clasificar"))</f>
        <v/>
      </c>
      <c r="U1199" s="3">
        <f>IF(tblOrdenes[[#This Row],[centro_costo]]="","",_xlfn.XLOOKUP(tblOrdenes[[#This Row],[centro_costo]],tblCECO[codigo],tblCECO[linea],"(sin catálogo)"))</f>
        <v/>
      </c>
      <c r="V1199" s="3">
        <f>IF(tblOrdenes[[#This Row],[centro_costo]]="","",_xlfn.XLOOKUP(tblOrdenes[[#This Row],[centro_costo]],tblCECO[codigo],tblCECO[area],"(sin catálogo)"))</f>
        <v/>
      </c>
      <c r="W1199" s="3">
        <f>IF(tblOrdenes[[#This Row],[centro_costo]]="","",_xlfn.XLOOKUP(tblOrdenes[[#This Row],[centro_costo]],tblCECO[codigo],tblCECO[coordinador],"(sin catálogo)"))</f>
        <v/>
      </c>
      <c r="X1199" s="3">
        <f>IF(tblOrdenes[[#This Row],[puesto_trabajo]]="","",_xlfn.XLOOKUP(tblOrdenes[[#This Row],[puesto_trabajo]],tblPuestos[codigo],tblPuestos[especialidad],"(sin catálogo)"))</f>
        <v/>
      </c>
      <c r="Y1199" s="3">
        <f>IF(tblOrdenes[[#This Row],[cod_actividad]]="","",_xlfn.XLOOKUP(tblOrdenes[[#This Row],[cod_actividad]],tblActividades[codigo],tblActividades[descripcion],"(sin catálogo)"))</f>
        <v/>
      </c>
      <c r="Z1199" s="12">
        <f>IF(tblOrdenes[[#This Row],[fecha_inicio]]="","",TODAY()-tblOrdenes[[#This Row],[fecha_inicio]])</f>
        <v/>
      </c>
      <c r="AA1199" s="3">
        <f>IF(tblOrdenes[[#This Row],[backlog_dias]]="","",IF(tblOrdenes[[#This Row],[backlog_dias]]&lt;0,"FUTURO",IF(tblOrdenes[[#This Row],[backlog_dias]]&gt;p_dias_backlog_max,"BACKLOG","MES CORRIENTE")))</f>
        <v/>
      </c>
      <c r="AB1199" s="3">
        <f>IF(tblOrdenes[[#This Row],[backlog_dias]]="",FALSE,AND(tblOrdenes[[#This Row],[backlog_dias]]&gt;p_dias_backlog_min,tblOrdenes[[#This Row],[backlog_dias]]&lt;=p_dias_backlog_max))</f>
        <v/>
      </c>
      <c r="AC1199" s="6" t="n"/>
      <c r="AD1199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199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199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199" s="10">
        <f>IF(tblOrdenes[[#This Row],[orden]]="","",_xlfn.XLOOKUP(tblOrdenes[[#This Row],[id_operacion]],tblEjecucion[id_operacion],tblEjecucion[precio],0))</f>
        <v/>
      </c>
      <c r="AH1199" s="10">
        <f>IF(tblOrdenes[[#This Row],[orden]]="","",MAX(0,_xlfn.XLOOKUP(tblOrdenes[[#This Row],[id_operacion]],tblEjecucion[id_operacion],tblEjecucion[costo_plan_total],0)-tblOrdenes[[#This Row],[costo_servicio]]))</f>
        <v/>
      </c>
      <c r="AI1199" s="10">
        <f>IF(tblOrdenes[[#This Row],[orden]]="","",tblOrdenes[[#This Row],[costo_servicio]]+tblOrdenes[[#This Row],[costo_materiales]])</f>
        <v/>
      </c>
      <c r="AJ1199" s="6" t="n"/>
      <c r="AK1199" s="6" t="n"/>
      <c r="AL1199" s="6" t="n"/>
      <c r="AM1199" s="3">
        <f>IF(tblOrdenes[[#This Row],[link_checklist]]="","",HYPERLINK(p_ruta_base_checklists&amp;tblOrdenes[[#This Row],[link_checklist]],"abrir"))</f>
        <v/>
      </c>
      <c r="AN1199" s="6" t="n"/>
      <c r="AO1199" s="3">
        <f>IF(tblOrdenes[[#This Row],[orden]]="","",tblOrdenes[[#This Row],[orden]]&amp;IF(tblOrdenes[[#This Row],[operacion]]="","0010",tblOrdenes[[#This Row],[operacion]]))</f>
        <v/>
      </c>
    </row>
    <row r="1200">
      <c r="A1200" s="3" t="n"/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11" t="n"/>
      <c r="K1200" s="3" t="n"/>
      <c r="L1200" s="10" t="n"/>
      <c r="M1200" s="6" t="n"/>
      <c r="N1200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00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00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00" s="3">
        <f>IF(tblOrdenes[[#This Row],[fecha_inicio]]="","",YEAR(tblOrdenes[[#This Row],[fecha_inicio]]))</f>
        <v/>
      </c>
      <c r="R1200" s="3">
        <f>IF(tblOrdenes[[#This Row],[fecha_inicio]]="","",MONTH(tblOrdenes[[#This Row],[fecha_inicio]]))</f>
        <v/>
      </c>
      <c r="S1200" s="3">
        <f>IF(tblOrdenes[[#This Row],[fecha_inicio]]="","",INDEX(lista_dias,WEEKDAY(tblOrdenes[[#This Row],[fecha_inicio]],2)))</f>
        <v/>
      </c>
      <c r="T1200" s="3">
        <f>IF(tblOrdenes[[#This Row],[tipo_ot]]="","",_xlfn.XLOOKUP(tblOrdenes[[#This Row],[tipo_ot]],tblTiposOT[codigo],tblTiposOT[clasificacion],"sin_clasificar"))</f>
        <v/>
      </c>
      <c r="U1200" s="3">
        <f>IF(tblOrdenes[[#This Row],[centro_costo]]="","",_xlfn.XLOOKUP(tblOrdenes[[#This Row],[centro_costo]],tblCECO[codigo],tblCECO[linea],"(sin catálogo)"))</f>
        <v/>
      </c>
      <c r="V1200" s="3">
        <f>IF(tblOrdenes[[#This Row],[centro_costo]]="","",_xlfn.XLOOKUP(tblOrdenes[[#This Row],[centro_costo]],tblCECO[codigo],tblCECO[area],"(sin catálogo)"))</f>
        <v/>
      </c>
      <c r="W1200" s="3">
        <f>IF(tblOrdenes[[#This Row],[centro_costo]]="","",_xlfn.XLOOKUP(tblOrdenes[[#This Row],[centro_costo]],tblCECO[codigo],tblCECO[coordinador],"(sin catálogo)"))</f>
        <v/>
      </c>
      <c r="X1200" s="3">
        <f>IF(tblOrdenes[[#This Row],[puesto_trabajo]]="","",_xlfn.XLOOKUP(tblOrdenes[[#This Row],[puesto_trabajo]],tblPuestos[codigo],tblPuestos[especialidad],"(sin catálogo)"))</f>
        <v/>
      </c>
      <c r="Y1200" s="3">
        <f>IF(tblOrdenes[[#This Row],[cod_actividad]]="","",_xlfn.XLOOKUP(tblOrdenes[[#This Row],[cod_actividad]],tblActividades[codigo],tblActividades[descripcion],"(sin catálogo)"))</f>
        <v/>
      </c>
      <c r="Z1200" s="12">
        <f>IF(tblOrdenes[[#This Row],[fecha_inicio]]="","",TODAY()-tblOrdenes[[#This Row],[fecha_inicio]])</f>
        <v/>
      </c>
      <c r="AA1200" s="3">
        <f>IF(tblOrdenes[[#This Row],[backlog_dias]]="","",IF(tblOrdenes[[#This Row],[backlog_dias]]&lt;0,"FUTURO",IF(tblOrdenes[[#This Row],[backlog_dias]]&gt;p_dias_backlog_max,"BACKLOG","MES CORRIENTE")))</f>
        <v/>
      </c>
      <c r="AB1200" s="3">
        <f>IF(tblOrdenes[[#This Row],[backlog_dias]]="",FALSE,AND(tblOrdenes[[#This Row],[backlog_dias]]&gt;p_dias_backlog_min,tblOrdenes[[#This Row],[backlog_dias]]&lt;=p_dias_backlog_max))</f>
        <v/>
      </c>
      <c r="AC1200" s="6" t="n"/>
      <c r="AD1200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00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00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00" s="10">
        <f>IF(tblOrdenes[[#This Row],[orden]]="","",_xlfn.XLOOKUP(tblOrdenes[[#This Row],[id_operacion]],tblEjecucion[id_operacion],tblEjecucion[precio],0))</f>
        <v/>
      </c>
      <c r="AH1200" s="10">
        <f>IF(tblOrdenes[[#This Row],[orden]]="","",MAX(0,_xlfn.XLOOKUP(tblOrdenes[[#This Row],[id_operacion]],tblEjecucion[id_operacion],tblEjecucion[costo_plan_total],0)-tblOrdenes[[#This Row],[costo_servicio]]))</f>
        <v/>
      </c>
      <c r="AI1200" s="10">
        <f>IF(tblOrdenes[[#This Row],[orden]]="","",tblOrdenes[[#This Row],[costo_servicio]]+tblOrdenes[[#This Row],[costo_materiales]])</f>
        <v/>
      </c>
      <c r="AJ1200" s="6" t="n"/>
      <c r="AK1200" s="6" t="n"/>
      <c r="AL1200" s="6" t="n"/>
      <c r="AM1200" s="3">
        <f>IF(tblOrdenes[[#This Row],[link_checklist]]="","",HYPERLINK(p_ruta_base_checklists&amp;tblOrdenes[[#This Row],[link_checklist]],"abrir"))</f>
        <v/>
      </c>
      <c r="AN1200" s="6" t="n"/>
      <c r="AO1200" s="3">
        <f>IF(tblOrdenes[[#This Row],[orden]]="","",tblOrdenes[[#This Row],[orden]]&amp;IF(tblOrdenes[[#This Row],[operacion]]="","0010",tblOrdenes[[#This Row],[operacion]]))</f>
        <v/>
      </c>
    </row>
    <row r="1201">
      <c r="A1201" s="3" t="n"/>
      <c r="B1201" s="3" t="n"/>
      <c r="C1201" s="3" t="n"/>
      <c r="D1201" s="3" t="n"/>
      <c r="E1201" s="3" t="n"/>
      <c r="F1201" s="3" t="n"/>
      <c r="G1201" s="3" t="n"/>
      <c r="H1201" s="3" t="n"/>
      <c r="I1201" s="3" t="n"/>
      <c r="J1201" s="11" t="n"/>
      <c r="K1201" s="3" t="n"/>
      <c r="L1201" s="10" t="n"/>
      <c r="M1201" s="6" t="n"/>
      <c r="N1201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01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01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01" s="3">
        <f>IF(tblOrdenes[[#This Row],[fecha_inicio]]="","",YEAR(tblOrdenes[[#This Row],[fecha_inicio]]))</f>
        <v/>
      </c>
      <c r="R1201" s="3">
        <f>IF(tblOrdenes[[#This Row],[fecha_inicio]]="","",MONTH(tblOrdenes[[#This Row],[fecha_inicio]]))</f>
        <v/>
      </c>
      <c r="S1201" s="3">
        <f>IF(tblOrdenes[[#This Row],[fecha_inicio]]="","",INDEX(lista_dias,WEEKDAY(tblOrdenes[[#This Row],[fecha_inicio]],2)))</f>
        <v/>
      </c>
      <c r="T1201" s="3">
        <f>IF(tblOrdenes[[#This Row],[tipo_ot]]="","",_xlfn.XLOOKUP(tblOrdenes[[#This Row],[tipo_ot]],tblTiposOT[codigo],tblTiposOT[clasificacion],"sin_clasificar"))</f>
        <v/>
      </c>
      <c r="U1201" s="3">
        <f>IF(tblOrdenes[[#This Row],[centro_costo]]="","",_xlfn.XLOOKUP(tblOrdenes[[#This Row],[centro_costo]],tblCECO[codigo],tblCECO[linea],"(sin catálogo)"))</f>
        <v/>
      </c>
      <c r="V1201" s="3">
        <f>IF(tblOrdenes[[#This Row],[centro_costo]]="","",_xlfn.XLOOKUP(tblOrdenes[[#This Row],[centro_costo]],tblCECO[codigo],tblCECO[area],"(sin catálogo)"))</f>
        <v/>
      </c>
      <c r="W1201" s="3">
        <f>IF(tblOrdenes[[#This Row],[centro_costo]]="","",_xlfn.XLOOKUP(tblOrdenes[[#This Row],[centro_costo]],tblCECO[codigo],tblCECO[coordinador],"(sin catálogo)"))</f>
        <v/>
      </c>
      <c r="X1201" s="3">
        <f>IF(tblOrdenes[[#This Row],[puesto_trabajo]]="","",_xlfn.XLOOKUP(tblOrdenes[[#This Row],[puesto_trabajo]],tblPuestos[codigo],tblPuestos[especialidad],"(sin catálogo)"))</f>
        <v/>
      </c>
      <c r="Y1201" s="3">
        <f>IF(tblOrdenes[[#This Row],[cod_actividad]]="","",_xlfn.XLOOKUP(tblOrdenes[[#This Row],[cod_actividad]],tblActividades[codigo],tblActividades[descripcion],"(sin catálogo)"))</f>
        <v/>
      </c>
      <c r="Z1201" s="12">
        <f>IF(tblOrdenes[[#This Row],[fecha_inicio]]="","",TODAY()-tblOrdenes[[#This Row],[fecha_inicio]])</f>
        <v/>
      </c>
      <c r="AA1201" s="3">
        <f>IF(tblOrdenes[[#This Row],[backlog_dias]]="","",IF(tblOrdenes[[#This Row],[backlog_dias]]&lt;0,"FUTURO",IF(tblOrdenes[[#This Row],[backlog_dias]]&gt;p_dias_backlog_max,"BACKLOG","MES CORRIENTE")))</f>
        <v/>
      </c>
      <c r="AB1201" s="3">
        <f>IF(tblOrdenes[[#This Row],[backlog_dias]]="",FALSE,AND(tblOrdenes[[#This Row],[backlog_dias]]&gt;p_dias_backlog_min,tblOrdenes[[#This Row],[backlog_dias]]&lt;=p_dias_backlog_max))</f>
        <v/>
      </c>
      <c r="AC1201" s="6" t="n"/>
      <c r="AD1201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01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01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01" s="10">
        <f>IF(tblOrdenes[[#This Row],[orden]]="","",_xlfn.XLOOKUP(tblOrdenes[[#This Row],[id_operacion]],tblEjecucion[id_operacion],tblEjecucion[precio],0))</f>
        <v/>
      </c>
      <c r="AH1201" s="10">
        <f>IF(tblOrdenes[[#This Row],[orden]]="","",MAX(0,_xlfn.XLOOKUP(tblOrdenes[[#This Row],[id_operacion]],tblEjecucion[id_operacion],tblEjecucion[costo_plan_total],0)-tblOrdenes[[#This Row],[costo_servicio]]))</f>
        <v/>
      </c>
      <c r="AI1201" s="10">
        <f>IF(tblOrdenes[[#This Row],[orden]]="","",tblOrdenes[[#This Row],[costo_servicio]]+tblOrdenes[[#This Row],[costo_materiales]])</f>
        <v/>
      </c>
      <c r="AJ1201" s="6" t="n"/>
      <c r="AK1201" s="6" t="n"/>
      <c r="AL1201" s="6" t="n"/>
      <c r="AM1201" s="3">
        <f>IF(tblOrdenes[[#This Row],[link_checklist]]="","",HYPERLINK(p_ruta_base_checklists&amp;tblOrdenes[[#This Row],[link_checklist]],"abrir"))</f>
        <v/>
      </c>
      <c r="AN1201" s="6" t="n"/>
      <c r="AO1201" s="3">
        <f>IF(tblOrdenes[[#This Row],[orden]]="","",tblOrdenes[[#This Row],[orden]]&amp;IF(tblOrdenes[[#This Row],[operacion]]="","0010",tblOrdenes[[#This Row],[operacion]]))</f>
        <v/>
      </c>
    </row>
    <row r="1202">
      <c r="A1202" s="3" t="n"/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11" t="n"/>
      <c r="K1202" s="3" t="n"/>
      <c r="L1202" s="10" t="n"/>
      <c r="M1202" s="6" t="n"/>
      <c r="N1202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02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02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02" s="3">
        <f>IF(tblOrdenes[[#This Row],[fecha_inicio]]="","",YEAR(tblOrdenes[[#This Row],[fecha_inicio]]))</f>
        <v/>
      </c>
      <c r="R1202" s="3">
        <f>IF(tblOrdenes[[#This Row],[fecha_inicio]]="","",MONTH(tblOrdenes[[#This Row],[fecha_inicio]]))</f>
        <v/>
      </c>
      <c r="S1202" s="3">
        <f>IF(tblOrdenes[[#This Row],[fecha_inicio]]="","",INDEX(lista_dias,WEEKDAY(tblOrdenes[[#This Row],[fecha_inicio]],2)))</f>
        <v/>
      </c>
      <c r="T1202" s="3">
        <f>IF(tblOrdenes[[#This Row],[tipo_ot]]="","",_xlfn.XLOOKUP(tblOrdenes[[#This Row],[tipo_ot]],tblTiposOT[codigo],tblTiposOT[clasificacion],"sin_clasificar"))</f>
        <v/>
      </c>
      <c r="U1202" s="3">
        <f>IF(tblOrdenes[[#This Row],[centro_costo]]="","",_xlfn.XLOOKUP(tblOrdenes[[#This Row],[centro_costo]],tblCECO[codigo],tblCECO[linea],"(sin catálogo)"))</f>
        <v/>
      </c>
      <c r="V1202" s="3">
        <f>IF(tblOrdenes[[#This Row],[centro_costo]]="","",_xlfn.XLOOKUP(tblOrdenes[[#This Row],[centro_costo]],tblCECO[codigo],tblCECO[area],"(sin catálogo)"))</f>
        <v/>
      </c>
      <c r="W1202" s="3">
        <f>IF(tblOrdenes[[#This Row],[centro_costo]]="","",_xlfn.XLOOKUP(tblOrdenes[[#This Row],[centro_costo]],tblCECO[codigo],tblCECO[coordinador],"(sin catálogo)"))</f>
        <v/>
      </c>
      <c r="X1202" s="3">
        <f>IF(tblOrdenes[[#This Row],[puesto_trabajo]]="","",_xlfn.XLOOKUP(tblOrdenes[[#This Row],[puesto_trabajo]],tblPuestos[codigo],tblPuestos[especialidad],"(sin catálogo)"))</f>
        <v/>
      </c>
      <c r="Y1202" s="3">
        <f>IF(tblOrdenes[[#This Row],[cod_actividad]]="","",_xlfn.XLOOKUP(tblOrdenes[[#This Row],[cod_actividad]],tblActividades[codigo],tblActividades[descripcion],"(sin catálogo)"))</f>
        <v/>
      </c>
      <c r="Z1202" s="12">
        <f>IF(tblOrdenes[[#This Row],[fecha_inicio]]="","",TODAY()-tblOrdenes[[#This Row],[fecha_inicio]])</f>
        <v/>
      </c>
      <c r="AA1202" s="3">
        <f>IF(tblOrdenes[[#This Row],[backlog_dias]]="","",IF(tblOrdenes[[#This Row],[backlog_dias]]&lt;0,"FUTURO",IF(tblOrdenes[[#This Row],[backlog_dias]]&gt;p_dias_backlog_max,"BACKLOG","MES CORRIENTE")))</f>
        <v/>
      </c>
      <c r="AB1202" s="3">
        <f>IF(tblOrdenes[[#This Row],[backlog_dias]]="",FALSE,AND(tblOrdenes[[#This Row],[backlog_dias]]&gt;p_dias_backlog_min,tblOrdenes[[#This Row],[backlog_dias]]&lt;=p_dias_backlog_max))</f>
        <v/>
      </c>
      <c r="AC1202" s="6" t="n"/>
      <c r="AD1202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02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02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02" s="10">
        <f>IF(tblOrdenes[[#This Row],[orden]]="","",_xlfn.XLOOKUP(tblOrdenes[[#This Row],[id_operacion]],tblEjecucion[id_operacion],tblEjecucion[precio],0))</f>
        <v/>
      </c>
      <c r="AH1202" s="10">
        <f>IF(tblOrdenes[[#This Row],[orden]]="","",MAX(0,_xlfn.XLOOKUP(tblOrdenes[[#This Row],[id_operacion]],tblEjecucion[id_operacion],tblEjecucion[costo_plan_total],0)-tblOrdenes[[#This Row],[costo_servicio]]))</f>
        <v/>
      </c>
      <c r="AI1202" s="10">
        <f>IF(tblOrdenes[[#This Row],[orden]]="","",tblOrdenes[[#This Row],[costo_servicio]]+tblOrdenes[[#This Row],[costo_materiales]])</f>
        <v/>
      </c>
      <c r="AJ1202" s="6" t="n"/>
      <c r="AK1202" s="6" t="n"/>
      <c r="AL1202" s="6" t="n"/>
      <c r="AM1202" s="3">
        <f>IF(tblOrdenes[[#This Row],[link_checklist]]="","",HYPERLINK(p_ruta_base_checklists&amp;tblOrdenes[[#This Row],[link_checklist]],"abrir"))</f>
        <v/>
      </c>
      <c r="AN1202" s="6" t="n"/>
      <c r="AO1202" s="3">
        <f>IF(tblOrdenes[[#This Row],[orden]]="","",tblOrdenes[[#This Row],[orden]]&amp;IF(tblOrdenes[[#This Row],[operacion]]="","0010",tblOrdenes[[#This Row],[operacion]]))</f>
        <v/>
      </c>
    </row>
    <row r="1203">
      <c r="A1203" s="3" t="n"/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11" t="n"/>
      <c r="K1203" s="3" t="n"/>
      <c r="L1203" s="10" t="n"/>
      <c r="M1203" s="6" t="n"/>
      <c r="N1203" s="3">
        <f>IF(tblOrdenes[[#This Row],[orden]]="","",IF(tblOrdenes[[#This Row],[horas_ajustadas]]&lt;&gt;"",tblOrdenes[[#This Row],[horas_ajustadas]],IF(tblOrdenes[[#This Row],[horas_estimadas]]="","",tblOrdenes[[#This Row],[horas_estimadas]])))</f>
        <v/>
      </c>
      <c r="O1203" s="3">
        <f>IF(tblOrdenes[[#This Row],[orden]]="","",_xlfn.XLOOKUP(_xlfn.XLOOKUP(tblOrdenes[[#This Row],[id_operacion]],tblEjecucion[id_operacion],tblEjecucion[estado_sistema],""),tblEstados[estado_sistema],tblEstados[estado_normalizado],"Pendiente"))</f>
        <v/>
      </c>
      <c r="P1203" s="3">
        <f>IF(tblOrdenes[[#This Row],[fecha_inicio]]="","",YEAR(tblOrdenes[[#This Row],[fecha_inicio]]+4-WEEKDAY(tblOrdenes[[#This Row],[fecha_inicio]],2))&amp;"-S"&amp;TEXT(_xlfn.ISOWEEKNUM(tblOrdenes[[#This Row],[fecha_inicio]]),"00"))</f>
        <v/>
      </c>
      <c r="Q1203" s="3">
        <f>IF(tblOrdenes[[#This Row],[fecha_inicio]]="","",YEAR(tblOrdenes[[#This Row],[fecha_inicio]]))</f>
        <v/>
      </c>
      <c r="R1203" s="3">
        <f>IF(tblOrdenes[[#This Row],[fecha_inicio]]="","",MONTH(tblOrdenes[[#This Row],[fecha_inicio]]))</f>
        <v/>
      </c>
      <c r="S1203" s="3">
        <f>IF(tblOrdenes[[#This Row],[fecha_inicio]]="","",INDEX(lista_dias,WEEKDAY(tblOrdenes[[#This Row],[fecha_inicio]],2)))</f>
        <v/>
      </c>
      <c r="T1203" s="3">
        <f>IF(tblOrdenes[[#This Row],[tipo_ot]]="","",_xlfn.XLOOKUP(tblOrdenes[[#This Row],[tipo_ot]],tblTiposOT[codigo],tblTiposOT[clasificacion],"sin_clasificar"))</f>
        <v/>
      </c>
      <c r="U1203" s="3">
        <f>IF(tblOrdenes[[#This Row],[centro_costo]]="","",_xlfn.XLOOKUP(tblOrdenes[[#This Row],[centro_costo]],tblCECO[codigo],tblCECO[linea],"(sin catálogo)"))</f>
        <v/>
      </c>
      <c r="V1203" s="3">
        <f>IF(tblOrdenes[[#This Row],[centro_costo]]="","",_xlfn.XLOOKUP(tblOrdenes[[#This Row],[centro_costo]],tblCECO[codigo],tblCECO[area],"(sin catálogo)"))</f>
        <v/>
      </c>
      <c r="W1203" s="3">
        <f>IF(tblOrdenes[[#This Row],[centro_costo]]="","",_xlfn.XLOOKUP(tblOrdenes[[#This Row],[centro_costo]],tblCECO[codigo],tblCECO[coordinador],"(sin catálogo)"))</f>
        <v/>
      </c>
      <c r="X1203" s="3">
        <f>IF(tblOrdenes[[#This Row],[puesto_trabajo]]="","",_xlfn.XLOOKUP(tblOrdenes[[#This Row],[puesto_trabajo]],tblPuestos[codigo],tblPuestos[especialidad],"(sin catálogo)"))</f>
        <v/>
      </c>
      <c r="Y1203" s="3">
        <f>IF(tblOrdenes[[#This Row],[cod_actividad]]="","",_xlfn.XLOOKUP(tblOrdenes[[#This Row],[cod_actividad]],tblActividades[codigo],tblActividades[descripcion],"(sin catálogo)"))</f>
        <v/>
      </c>
      <c r="Z1203" s="12">
        <f>IF(tblOrdenes[[#This Row],[fecha_inicio]]="","",TODAY()-tblOrdenes[[#This Row],[fecha_inicio]])</f>
        <v/>
      </c>
      <c r="AA1203" s="3">
        <f>IF(tblOrdenes[[#This Row],[backlog_dias]]="","",IF(tblOrdenes[[#This Row],[backlog_dias]]&lt;0,"FUTURO",IF(tblOrdenes[[#This Row],[backlog_dias]]&gt;p_dias_backlog_max,"BACKLOG","MES CORRIENTE")))</f>
        <v/>
      </c>
      <c r="AB1203" s="3">
        <f>IF(tblOrdenes[[#This Row],[backlog_dias]]="",FALSE,AND(tblOrdenes[[#This Row],[backlog_dias]]&gt;p_dias_backlog_min,tblOrdenes[[#This Row],[backlog_dias]]&lt;=p_dias_backlog_max))</f>
        <v/>
      </c>
      <c r="AC1203" s="6" t="n"/>
      <c r="AD1203" s="3">
        <f>IF(tblOrdenes[[#This Row],[tecnico_asignado]]="","",_xlfn.XLOOKUP(tblOrdenes[[#This Row],[semana]]&amp;"|"&amp;tblOrdenes[[#This Row],[dia_semana]]&amp;"|"&amp;tblOrdenes[[#This Row],[tecnico_asignado]],tblAsignaciones[clave],tblAsignaciones[turno],""))</f>
        <v/>
      </c>
      <c r="AE1203" s="13">
        <f>IF(tblOrdenes[[#This Row],[tecnico_asignado]]="","",SUMIFS(tblOrdenes[horas_efectivas],tblOrdenes[tecnico_asignado],tblOrdenes[[#This Row],[tecnico_asignado]],tblOrdenes[semana],tblOrdenes[[#This Row],[semana]],tblOrdenes[dia_semana],tblOrdenes[[#This Row],[dia_semana]]))</f>
        <v/>
      </c>
      <c r="AF1203" s="13">
        <f>IF(tblOrdenes[[#This Row],[HHA]]="","",p_factor_productividad*_xlfn.XLOOKUP(tblOrdenes[[#This Row],[semana]]&amp;"|"&amp;tblOrdenes[[#This Row],[dia_semana]]&amp;"|"&amp;tblOrdenes[[#This Row],[tecnico_asignado]],tblAsignaciones[clave],tblAsignaciones[horas_disponibles],0)-tblOrdenes[[#This Row],[HHA]])</f>
        <v/>
      </c>
      <c r="AG1203" s="10">
        <f>IF(tblOrdenes[[#This Row],[orden]]="","",_xlfn.XLOOKUP(tblOrdenes[[#This Row],[id_operacion]],tblEjecucion[id_operacion],tblEjecucion[precio],0))</f>
        <v/>
      </c>
      <c r="AH1203" s="10">
        <f>IF(tblOrdenes[[#This Row],[orden]]="","",MAX(0,_xlfn.XLOOKUP(tblOrdenes[[#This Row],[id_operacion]],tblEjecucion[id_operacion],tblEjecucion[costo_plan_total],0)-tblOrdenes[[#This Row],[costo_servicio]]))</f>
        <v/>
      </c>
      <c r="AI1203" s="10">
        <f>IF(tblOrdenes[[#This Row],[orden]]="","",tblOrdenes[[#This Row],[costo_servicio]]+tblOrdenes[[#This Row],[costo_materiales]])</f>
        <v/>
      </c>
      <c r="AJ1203" s="6" t="n"/>
      <c r="AK1203" s="6" t="n"/>
      <c r="AL1203" s="6" t="n"/>
      <c r="AM1203" s="3">
        <f>IF(tblOrdenes[[#This Row],[link_checklist]]="","",HYPERLINK(p_ruta_base_checklists&amp;tblOrdenes[[#This Row],[link_checklist]],"abrir"))</f>
        <v/>
      </c>
      <c r="AN1203" s="6" t="n"/>
      <c r="AO1203" s="3">
        <f>IF(tblOrdenes[[#This Row],[orden]]="","",tblOrdenes[[#This Row],[orden]]&amp;IF(tblOrdenes[[#This Row],[operacion]]="","0010",tblOrdenes[[#This Row],[operacion]]))</f>
        <v/>
      </c>
    </row>
  </sheetData>
  <conditionalFormatting sqref="Z4:Z1203">
    <cfRule type="cellIs" priority="1" operator="greaterThan" dxfId="0">
      <formula>90</formula>
    </cfRule>
  </conditionalFormatting>
  <conditionalFormatting sqref="AC4:AC1203">
    <cfRule type="expression" priority="2" dxfId="1">
      <formula>AND($AB4=TRUE,$AC4="")</formula>
    </cfRule>
  </conditionalFormatting>
  <conditionalFormatting sqref="AF4:AF1203">
    <cfRule type="cellIs" priority="3" operator="lessThan" dxfId="0">
      <formula>0</formula>
    </cfRule>
  </conditionalFormatting>
  <dataValidations count="1">
    <dataValidation sqref="AC4:AC1203" showDropDown="0" showInputMessage="0" showErrorMessage="0" allowBlank="1" type="list">
      <formula1>lista_tecnicos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6" customWidth="1" min="5" max="5"/>
    <col width="8" customWidth="1" min="6" max="6"/>
  </cols>
  <sheetData>
    <row r="1">
      <c r="A1" s="4" t="inlineStr">
        <is>
          <t>TECNICOS (tblTecnicos) — catálogo editable de personal propio</t>
        </is>
      </c>
    </row>
    <row r="3">
      <c r="A3" s="5" t="inlineStr">
        <is>
          <t>id</t>
        </is>
      </c>
      <c r="B3" s="5" t="inlineStr">
        <is>
          <t>nombre</t>
        </is>
      </c>
      <c r="C3" s="5" t="inlineStr">
        <is>
          <t>especialidad</t>
        </is>
      </c>
      <c r="D3" s="5" t="inlineStr">
        <is>
          <t>area</t>
        </is>
      </c>
      <c r="E3" s="5" t="inlineStr">
        <is>
          <t>coordinador</t>
        </is>
      </c>
      <c r="F3" s="5" t="inlineStr">
        <is>
          <t>activo</t>
        </is>
      </c>
    </row>
    <row r="4">
      <c r="A4" s="6" t="inlineStr">
        <is>
          <t>TEC-01</t>
        </is>
      </c>
      <c r="B4" s="6" t="inlineStr">
        <is>
          <t>Técnico 01</t>
        </is>
      </c>
      <c r="C4" s="6" t="inlineStr">
        <is>
          <t>MEC</t>
        </is>
      </c>
      <c r="D4" s="6" t="inlineStr">
        <is>
          <t>PRODUCCION</t>
        </is>
      </c>
      <c r="E4" s="6" t="inlineStr">
        <is>
          <t>Coordinador A</t>
        </is>
      </c>
      <c r="F4" s="6" t="inlineStr">
        <is>
          <t>SI</t>
        </is>
      </c>
    </row>
    <row r="5">
      <c r="A5" s="6" t="inlineStr">
        <is>
          <t>TEC-02</t>
        </is>
      </c>
      <c r="B5" s="6" t="inlineStr">
        <is>
          <t>Técnico 02</t>
        </is>
      </c>
      <c r="C5" s="6" t="inlineStr">
        <is>
          <t>MEC</t>
        </is>
      </c>
      <c r="D5" s="6" t="inlineStr">
        <is>
          <t>PRODUCCION</t>
        </is>
      </c>
      <c r="E5" s="6" t="inlineStr">
        <is>
          <t>Coordinador A</t>
        </is>
      </c>
      <c r="F5" s="6" t="inlineStr">
        <is>
          <t>SI</t>
        </is>
      </c>
    </row>
    <row r="6">
      <c r="A6" s="6" t="inlineStr">
        <is>
          <t>TEC-03</t>
        </is>
      </c>
      <c r="B6" s="6" t="inlineStr">
        <is>
          <t>Técnico 03</t>
        </is>
      </c>
      <c r="C6" s="6" t="inlineStr">
        <is>
          <t>MEC</t>
        </is>
      </c>
      <c r="D6" s="6" t="inlineStr">
        <is>
          <t>EMPAQUE</t>
        </is>
      </c>
      <c r="E6" s="6" t="inlineStr">
        <is>
          <t>Coordinador B</t>
        </is>
      </c>
      <c r="F6" s="6" t="inlineStr">
        <is>
          <t>SI</t>
        </is>
      </c>
    </row>
    <row r="7">
      <c r="A7" s="6" t="inlineStr">
        <is>
          <t>TEC-04</t>
        </is>
      </c>
      <c r="B7" s="6" t="inlineStr">
        <is>
          <t>Técnico 04</t>
        </is>
      </c>
      <c r="C7" s="6" t="inlineStr">
        <is>
          <t>MEC</t>
        </is>
      </c>
      <c r="D7" s="6" t="inlineStr">
        <is>
          <t>SERVICIOS</t>
        </is>
      </c>
      <c r="E7" s="6" t="inlineStr">
        <is>
          <t>Coordinador C</t>
        </is>
      </c>
      <c r="F7" s="6" t="inlineStr">
        <is>
          <t>SI</t>
        </is>
      </c>
    </row>
    <row r="8">
      <c r="A8" s="6" t="inlineStr">
        <is>
          <t>TEC-05</t>
        </is>
      </c>
      <c r="B8" s="6" t="inlineStr">
        <is>
          <t>Técnico 05</t>
        </is>
      </c>
      <c r="C8" s="6" t="inlineStr">
        <is>
          <t>ELE</t>
        </is>
      </c>
      <c r="D8" s="6" t="inlineStr">
        <is>
          <t>PRODUCCION</t>
        </is>
      </c>
      <c r="E8" s="6" t="inlineStr">
        <is>
          <t>Coordinador A</t>
        </is>
      </c>
      <c r="F8" s="6" t="inlineStr">
        <is>
          <t>SI</t>
        </is>
      </c>
    </row>
    <row r="9">
      <c r="A9" s="6" t="inlineStr">
        <is>
          <t>TEC-06</t>
        </is>
      </c>
      <c r="B9" s="6" t="inlineStr">
        <is>
          <t>Técnico 06</t>
        </is>
      </c>
      <c r="C9" s="6" t="inlineStr">
        <is>
          <t>ELE</t>
        </is>
      </c>
      <c r="D9" s="6" t="inlineStr">
        <is>
          <t>PRODUCCION</t>
        </is>
      </c>
      <c r="E9" s="6" t="inlineStr">
        <is>
          <t>Coordinador A</t>
        </is>
      </c>
      <c r="F9" s="6" t="inlineStr">
        <is>
          <t>SI</t>
        </is>
      </c>
    </row>
    <row r="10">
      <c r="A10" s="6" t="inlineStr">
        <is>
          <t>TEC-07</t>
        </is>
      </c>
      <c r="B10" s="6" t="inlineStr">
        <is>
          <t>Técnico 07</t>
        </is>
      </c>
      <c r="C10" s="6" t="inlineStr">
        <is>
          <t>ELE</t>
        </is>
      </c>
      <c r="D10" s="6" t="inlineStr">
        <is>
          <t>EMPAQUE</t>
        </is>
      </c>
      <c r="E10" s="6" t="inlineStr">
        <is>
          <t>Coordinador B</t>
        </is>
      </c>
      <c r="F10" s="6" t="inlineStr">
        <is>
          <t>SI</t>
        </is>
      </c>
    </row>
    <row r="11">
      <c r="A11" s="6" t="inlineStr">
        <is>
          <t>TEC-08</t>
        </is>
      </c>
      <c r="B11" s="6" t="inlineStr">
        <is>
          <t>Técnico 08</t>
        </is>
      </c>
      <c r="C11" s="6" t="inlineStr">
        <is>
          <t>AUT</t>
        </is>
      </c>
      <c r="D11" s="6" t="inlineStr">
        <is>
          <t>PRODUCCION</t>
        </is>
      </c>
      <c r="E11" s="6" t="inlineStr">
        <is>
          <t>Coordinador A</t>
        </is>
      </c>
      <c r="F11" s="6" t="inlineStr">
        <is>
          <t>SI</t>
        </is>
      </c>
    </row>
    <row r="12">
      <c r="A12" s="6" t="inlineStr">
        <is>
          <t>TEC-09</t>
        </is>
      </c>
      <c r="B12" s="6" t="inlineStr">
        <is>
          <t>Técnico 09</t>
        </is>
      </c>
      <c r="C12" s="6" t="inlineStr">
        <is>
          <t>AUT</t>
        </is>
      </c>
      <c r="D12" s="6" t="inlineStr">
        <is>
          <t>EMPAQUE</t>
        </is>
      </c>
      <c r="E12" s="6" t="inlineStr">
        <is>
          <t>Coordinador B</t>
        </is>
      </c>
      <c r="F12" s="6" t="inlineStr">
        <is>
          <t>SI</t>
        </is>
      </c>
    </row>
    <row r="13">
      <c r="A13" s="6" t="inlineStr">
        <is>
          <t>TEC-10</t>
        </is>
      </c>
      <c r="B13" s="6" t="inlineStr">
        <is>
          <t>Técnico 10</t>
        </is>
      </c>
      <c r="C13" s="6" t="inlineStr">
        <is>
          <t>OP</t>
        </is>
      </c>
      <c r="D13" s="6" t="inlineStr">
        <is>
          <t>PRODUCCION</t>
        </is>
      </c>
      <c r="E13" s="6" t="inlineStr">
        <is>
          <t>Coordinador A</t>
        </is>
      </c>
      <c r="F13" s="6" t="inlineStr">
        <is>
          <t>SI</t>
        </is>
      </c>
    </row>
    <row r="14">
      <c r="A14" s="6" t="inlineStr">
        <is>
          <t>TEC-11</t>
        </is>
      </c>
      <c r="B14" s="6" t="inlineStr">
        <is>
          <t>Técnico 11</t>
        </is>
      </c>
      <c r="C14" s="6" t="inlineStr">
        <is>
          <t>OP</t>
        </is>
      </c>
      <c r="D14" s="6" t="inlineStr">
        <is>
          <t>EMPAQUE</t>
        </is>
      </c>
      <c r="E14" s="6" t="inlineStr">
        <is>
          <t>Coordinador B</t>
        </is>
      </c>
      <c r="F14" s="6" t="inlineStr">
        <is>
          <t>SI</t>
        </is>
      </c>
    </row>
    <row r="15">
      <c r="A15" s="6" t="inlineStr">
        <is>
          <t>TEC-12</t>
        </is>
      </c>
      <c r="B15" s="6" t="inlineStr">
        <is>
          <t>Técnico 12</t>
        </is>
      </c>
      <c r="C15" s="6" t="inlineStr">
        <is>
          <t>OP</t>
        </is>
      </c>
      <c r="D15" s="6" t="inlineStr">
        <is>
          <t>SERVICIOS</t>
        </is>
      </c>
      <c r="E15" s="6" t="inlineStr">
        <is>
          <t>Coordinador C</t>
        </is>
      </c>
      <c r="F15" s="6" t="inlineStr">
        <is>
          <t>SI</t>
        </is>
      </c>
    </row>
  </sheetData>
  <dataValidations count="2">
    <dataValidation sqref="C4:C15" showDropDown="0" showInputMessage="0" showErrorMessage="0" allowBlank="0" type="list">
      <formula1>"ELE,MEC,AUT,OP"</formula1>
    </dataValidation>
    <dataValidation sqref="F4:F15" showDropDown="0" showInputMessage="0" showErrorMessage="0" allowBlank="0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I3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3" customWidth="1" min="4" max="4"/>
    <col width="12" customWidth="1" min="5" max="5"/>
    <col width="8" customWidth="1" min="6" max="6"/>
    <col width="15" customWidth="1" min="7" max="7"/>
    <col width="16" customWidth="1" min="8" max="8"/>
    <col width="26" customWidth="1" min="9" max="9"/>
  </cols>
  <sheetData>
    <row r="1">
      <c r="A1" s="4" t="inlineStr">
        <is>
          <t>ASIGNACIONES — turno por técnico, día y semana. El turno se elige de la lista desplegable; REGLA-5 calcula las horas.</t>
        </is>
      </c>
    </row>
    <row r="3">
      <c r="A3" s="5" t="inlineStr">
        <is>
          <t>semana</t>
        </is>
      </c>
      <c r="B3" s="5" t="inlineStr">
        <is>
          <t>dia</t>
        </is>
      </c>
      <c r="C3" s="5" t="inlineStr">
        <is>
          <t>tecnico</t>
        </is>
      </c>
      <c r="D3" s="5" t="inlineStr">
        <is>
          <t>area</t>
        </is>
      </c>
      <c r="E3" s="5" t="inlineStr">
        <is>
          <t>especialidad</t>
        </is>
      </c>
      <c r="F3" s="5" t="inlineStr">
        <is>
          <t>turno</t>
        </is>
      </c>
      <c r="G3" s="5" t="inlineStr">
        <is>
          <t>coordinador</t>
        </is>
      </c>
      <c r="H3" s="5" t="inlineStr">
        <is>
          <t>horas_disponibles</t>
        </is>
      </c>
      <c r="I3" s="5" t="inlineStr">
        <is>
          <t>clave</t>
        </is>
      </c>
    </row>
    <row r="4">
      <c r="A4" s="3" t="inlineStr">
        <is>
          <t>2026-S29</t>
        </is>
      </c>
      <c r="B4" s="3" t="inlineStr">
        <is>
          <t>lunes</t>
        </is>
      </c>
      <c r="C4" s="3" t="inlineStr">
        <is>
          <t>Técnico 01</t>
        </is>
      </c>
      <c r="D4" s="3">
        <f>_xlfn.XLOOKUP(tblAsignaciones[[#This Row],[tecnico]],tblTecnicos[nombre],tblTecnicos[area],"")</f>
        <v/>
      </c>
      <c r="E4" s="3">
        <f>_xlfn.XLOOKUP(tblAsignaciones[[#This Row],[tecnico]],tblTecnicos[nombre],tblTecnicos[especialidad],"")</f>
        <v/>
      </c>
      <c r="F4" s="6" t="inlineStr">
        <is>
          <t>T1</t>
        </is>
      </c>
      <c r="G4" s="3">
        <f>_xlfn.XLOOKUP(tblAsignaciones[[#This Row],[tecnico]],tblTecnicos[nombre],tblTecnicos[coordinador],"")</f>
        <v/>
      </c>
      <c r="H4" s="3">
        <f>IF(OR(tblAsignaciones[[#This Row],[turno]]="",ISNUMBER(MATCH(tblAsignaciones[[#This Row],[turno]],lista_no_disponible,0))),0,p_horas_jornada)</f>
        <v/>
      </c>
      <c r="I4" s="3">
        <f>tblAsignaciones[[#This Row],[semana]]&amp;"|"&amp;tblAsignaciones[[#This Row],[dia]]&amp;"|"&amp;tblAsignaciones[[#This Row],[tecnico]]</f>
        <v/>
      </c>
    </row>
    <row r="5">
      <c r="A5" s="3" t="inlineStr">
        <is>
          <t>2026-S29</t>
        </is>
      </c>
      <c r="B5" s="3" t="inlineStr">
        <is>
          <t>martes</t>
        </is>
      </c>
      <c r="C5" s="3" t="inlineStr">
        <is>
          <t>Técnico 01</t>
        </is>
      </c>
      <c r="D5" s="3">
        <f>_xlfn.XLOOKUP(tblAsignaciones[[#This Row],[tecnico]],tblTecnicos[nombre],tblTecnicos[area],"")</f>
        <v/>
      </c>
      <c r="E5" s="3">
        <f>_xlfn.XLOOKUP(tblAsignaciones[[#This Row],[tecnico]],tblTecnicos[nombre],tblTecnicos[especialidad],"")</f>
        <v/>
      </c>
      <c r="F5" s="6" t="inlineStr">
        <is>
          <t>T1</t>
        </is>
      </c>
      <c r="G5" s="3">
        <f>_xlfn.XLOOKUP(tblAsignaciones[[#This Row],[tecnico]],tblTecnicos[nombre],tblTecnicos[coordinador],"")</f>
        <v/>
      </c>
      <c r="H5" s="3">
        <f>IF(OR(tblAsignaciones[[#This Row],[turno]]="",ISNUMBER(MATCH(tblAsignaciones[[#This Row],[turno]],lista_no_disponible,0))),0,p_horas_jornada)</f>
        <v/>
      </c>
      <c r="I5" s="3">
        <f>tblAsignaciones[[#This Row],[semana]]&amp;"|"&amp;tblAsignaciones[[#This Row],[dia]]&amp;"|"&amp;tblAsignaciones[[#This Row],[tecnico]]</f>
        <v/>
      </c>
    </row>
    <row r="6">
      <c r="A6" s="3" t="inlineStr">
        <is>
          <t>2026-S29</t>
        </is>
      </c>
      <c r="B6" s="3" t="inlineStr">
        <is>
          <t>miércoles</t>
        </is>
      </c>
      <c r="C6" s="3" t="inlineStr">
        <is>
          <t>Técnico 01</t>
        </is>
      </c>
      <c r="D6" s="3">
        <f>_xlfn.XLOOKUP(tblAsignaciones[[#This Row],[tecnico]],tblTecnicos[nombre],tblTecnicos[area],"")</f>
        <v/>
      </c>
      <c r="E6" s="3">
        <f>_xlfn.XLOOKUP(tblAsignaciones[[#This Row],[tecnico]],tblTecnicos[nombre],tblTecnicos[especialidad],"")</f>
        <v/>
      </c>
      <c r="F6" s="6" t="inlineStr">
        <is>
          <t>T1</t>
        </is>
      </c>
      <c r="G6" s="3">
        <f>_xlfn.XLOOKUP(tblAsignaciones[[#This Row],[tecnico]],tblTecnicos[nombre],tblTecnicos[coordinador],"")</f>
        <v/>
      </c>
      <c r="H6" s="3">
        <f>IF(OR(tblAsignaciones[[#This Row],[turno]]="",ISNUMBER(MATCH(tblAsignaciones[[#This Row],[turno]],lista_no_disponible,0))),0,p_horas_jornada)</f>
        <v/>
      </c>
      <c r="I6" s="3">
        <f>tblAsignaciones[[#This Row],[semana]]&amp;"|"&amp;tblAsignaciones[[#This Row],[dia]]&amp;"|"&amp;tblAsignaciones[[#This Row],[tecnico]]</f>
        <v/>
      </c>
    </row>
    <row r="7">
      <c r="A7" s="3" t="inlineStr">
        <is>
          <t>2026-S29</t>
        </is>
      </c>
      <c r="B7" s="3" t="inlineStr">
        <is>
          <t>jueves</t>
        </is>
      </c>
      <c r="C7" s="3" t="inlineStr">
        <is>
          <t>Técnico 01</t>
        </is>
      </c>
      <c r="D7" s="3">
        <f>_xlfn.XLOOKUP(tblAsignaciones[[#This Row],[tecnico]],tblTecnicos[nombre],tblTecnicos[area],"")</f>
        <v/>
      </c>
      <c r="E7" s="3">
        <f>_xlfn.XLOOKUP(tblAsignaciones[[#This Row],[tecnico]],tblTecnicos[nombre],tblTecnicos[especialidad],"")</f>
        <v/>
      </c>
      <c r="F7" s="6" t="inlineStr">
        <is>
          <t>T1</t>
        </is>
      </c>
      <c r="G7" s="3">
        <f>_xlfn.XLOOKUP(tblAsignaciones[[#This Row],[tecnico]],tblTecnicos[nombre],tblTecnicos[coordinador],"")</f>
        <v/>
      </c>
      <c r="H7" s="3">
        <f>IF(OR(tblAsignaciones[[#This Row],[turno]]="",ISNUMBER(MATCH(tblAsignaciones[[#This Row],[turno]],lista_no_disponible,0))),0,p_horas_jornada)</f>
        <v/>
      </c>
      <c r="I7" s="3">
        <f>tblAsignaciones[[#This Row],[semana]]&amp;"|"&amp;tblAsignaciones[[#This Row],[dia]]&amp;"|"&amp;tblAsignaciones[[#This Row],[tecnico]]</f>
        <v/>
      </c>
    </row>
    <row r="8">
      <c r="A8" s="3" t="inlineStr">
        <is>
          <t>2026-S29</t>
        </is>
      </c>
      <c r="B8" s="3" t="inlineStr">
        <is>
          <t>viernes</t>
        </is>
      </c>
      <c r="C8" s="3" t="inlineStr">
        <is>
          <t>Técnico 01</t>
        </is>
      </c>
      <c r="D8" s="3">
        <f>_xlfn.XLOOKUP(tblAsignaciones[[#This Row],[tecnico]],tblTecnicos[nombre],tblTecnicos[area],"")</f>
        <v/>
      </c>
      <c r="E8" s="3">
        <f>_xlfn.XLOOKUP(tblAsignaciones[[#This Row],[tecnico]],tblTecnicos[nombre],tblTecnicos[especialidad],"")</f>
        <v/>
      </c>
      <c r="F8" s="6" t="inlineStr">
        <is>
          <t>T1</t>
        </is>
      </c>
      <c r="G8" s="3">
        <f>_xlfn.XLOOKUP(tblAsignaciones[[#This Row],[tecnico]],tblTecnicos[nombre],tblTecnicos[coordinador],"")</f>
        <v/>
      </c>
      <c r="H8" s="3">
        <f>IF(OR(tblAsignaciones[[#This Row],[turno]]="",ISNUMBER(MATCH(tblAsignaciones[[#This Row],[turno]],lista_no_disponible,0))),0,p_horas_jornada)</f>
        <v/>
      </c>
      <c r="I8" s="3">
        <f>tblAsignaciones[[#This Row],[semana]]&amp;"|"&amp;tblAsignaciones[[#This Row],[dia]]&amp;"|"&amp;tblAsignaciones[[#This Row],[tecnico]]</f>
        <v/>
      </c>
    </row>
    <row r="9">
      <c r="A9" s="3" t="inlineStr">
        <is>
          <t>2026-S29</t>
        </is>
      </c>
      <c r="B9" s="3" t="inlineStr">
        <is>
          <t>sábado</t>
        </is>
      </c>
      <c r="C9" s="3" t="inlineStr">
        <is>
          <t>Técnico 01</t>
        </is>
      </c>
      <c r="D9" s="3">
        <f>_xlfn.XLOOKUP(tblAsignaciones[[#This Row],[tecnico]],tblTecnicos[nombre],tblTecnicos[area],"")</f>
        <v/>
      </c>
      <c r="E9" s="3">
        <f>_xlfn.XLOOKUP(tblAsignaciones[[#This Row],[tecnico]],tblTecnicos[nombre],tblTecnicos[especialidad],"")</f>
        <v/>
      </c>
      <c r="F9" s="6" t="inlineStr"/>
      <c r="G9" s="3">
        <f>_xlfn.XLOOKUP(tblAsignaciones[[#This Row],[tecnico]],tblTecnicos[nombre],tblTecnicos[coordinador],"")</f>
        <v/>
      </c>
      <c r="H9" s="3">
        <f>IF(OR(tblAsignaciones[[#This Row],[turno]]="",ISNUMBER(MATCH(tblAsignaciones[[#This Row],[turno]],lista_no_disponible,0))),0,p_horas_jornada)</f>
        <v/>
      </c>
      <c r="I9" s="3">
        <f>tblAsignaciones[[#This Row],[semana]]&amp;"|"&amp;tblAsignaciones[[#This Row],[dia]]&amp;"|"&amp;tblAsignaciones[[#This Row],[tecnico]]</f>
        <v/>
      </c>
    </row>
    <row r="10">
      <c r="A10" s="3" t="inlineStr">
        <is>
          <t>2026-S29</t>
        </is>
      </c>
      <c r="B10" s="3" t="inlineStr">
        <is>
          <t>domingo</t>
        </is>
      </c>
      <c r="C10" s="3" t="inlineStr">
        <is>
          <t>Técnico 01</t>
        </is>
      </c>
      <c r="D10" s="3">
        <f>_xlfn.XLOOKUP(tblAsignaciones[[#This Row],[tecnico]],tblTecnicos[nombre],tblTecnicos[area],"")</f>
        <v/>
      </c>
      <c r="E10" s="3">
        <f>_xlfn.XLOOKUP(tblAsignaciones[[#This Row],[tecnico]],tblTecnicos[nombre],tblTecnicos[especialidad],"")</f>
        <v/>
      </c>
      <c r="F10" s="6" t="inlineStr"/>
      <c r="G10" s="3">
        <f>_xlfn.XLOOKUP(tblAsignaciones[[#This Row],[tecnico]],tblTecnicos[nombre],tblTecnicos[coordinador],"")</f>
        <v/>
      </c>
      <c r="H10" s="3">
        <f>IF(OR(tblAsignaciones[[#This Row],[turno]]="",ISNUMBER(MATCH(tblAsignaciones[[#This Row],[turno]],lista_no_disponible,0))),0,p_horas_jornada)</f>
        <v/>
      </c>
      <c r="I10" s="3">
        <f>tblAsignaciones[[#This Row],[semana]]&amp;"|"&amp;tblAsignaciones[[#This Row],[dia]]&amp;"|"&amp;tblAsignaciones[[#This Row],[tecnico]]</f>
        <v/>
      </c>
    </row>
    <row r="11">
      <c r="A11" s="3" t="inlineStr">
        <is>
          <t>2026-S29</t>
        </is>
      </c>
      <c r="B11" s="3" t="inlineStr">
        <is>
          <t>lunes</t>
        </is>
      </c>
      <c r="C11" s="3" t="inlineStr">
        <is>
          <t>Técnico 02</t>
        </is>
      </c>
      <c r="D11" s="3">
        <f>_xlfn.XLOOKUP(tblAsignaciones[[#This Row],[tecnico]],tblTecnicos[nombre],tblTecnicos[area],"")</f>
        <v/>
      </c>
      <c r="E11" s="3">
        <f>_xlfn.XLOOKUP(tblAsignaciones[[#This Row],[tecnico]],tblTecnicos[nombre],tblTecnicos[especialidad],"")</f>
        <v/>
      </c>
      <c r="F11" s="6" t="inlineStr">
        <is>
          <t>T2</t>
        </is>
      </c>
      <c r="G11" s="3">
        <f>_xlfn.XLOOKUP(tblAsignaciones[[#This Row],[tecnico]],tblTecnicos[nombre],tblTecnicos[coordinador],"")</f>
        <v/>
      </c>
      <c r="H11" s="3">
        <f>IF(OR(tblAsignaciones[[#This Row],[turno]]="",ISNUMBER(MATCH(tblAsignaciones[[#This Row],[turno]],lista_no_disponible,0))),0,p_horas_jornada)</f>
        <v/>
      </c>
      <c r="I11" s="3">
        <f>tblAsignaciones[[#This Row],[semana]]&amp;"|"&amp;tblAsignaciones[[#This Row],[dia]]&amp;"|"&amp;tblAsignaciones[[#This Row],[tecnico]]</f>
        <v/>
      </c>
    </row>
    <row r="12">
      <c r="A12" s="3" t="inlineStr">
        <is>
          <t>2026-S29</t>
        </is>
      </c>
      <c r="B12" s="3" t="inlineStr">
        <is>
          <t>martes</t>
        </is>
      </c>
      <c r="C12" s="3" t="inlineStr">
        <is>
          <t>Técnico 02</t>
        </is>
      </c>
      <c r="D12" s="3">
        <f>_xlfn.XLOOKUP(tblAsignaciones[[#This Row],[tecnico]],tblTecnicos[nombre],tblTecnicos[area],"")</f>
        <v/>
      </c>
      <c r="E12" s="3">
        <f>_xlfn.XLOOKUP(tblAsignaciones[[#This Row],[tecnico]],tblTecnicos[nombre],tblTecnicos[especialidad],"")</f>
        <v/>
      </c>
      <c r="F12" s="6" t="inlineStr">
        <is>
          <t>T2</t>
        </is>
      </c>
      <c r="G12" s="3">
        <f>_xlfn.XLOOKUP(tblAsignaciones[[#This Row],[tecnico]],tblTecnicos[nombre],tblTecnicos[coordinador],"")</f>
        <v/>
      </c>
      <c r="H12" s="3">
        <f>IF(OR(tblAsignaciones[[#This Row],[turno]]="",ISNUMBER(MATCH(tblAsignaciones[[#This Row],[turno]],lista_no_disponible,0))),0,p_horas_jornada)</f>
        <v/>
      </c>
      <c r="I12" s="3">
        <f>tblAsignaciones[[#This Row],[semana]]&amp;"|"&amp;tblAsignaciones[[#This Row],[dia]]&amp;"|"&amp;tblAsignaciones[[#This Row],[tecnico]]</f>
        <v/>
      </c>
    </row>
    <row r="13">
      <c r="A13" s="3" t="inlineStr">
        <is>
          <t>2026-S29</t>
        </is>
      </c>
      <c r="B13" s="3" t="inlineStr">
        <is>
          <t>miércoles</t>
        </is>
      </c>
      <c r="C13" s="3" t="inlineStr">
        <is>
          <t>Técnico 02</t>
        </is>
      </c>
      <c r="D13" s="3">
        <f>_xlfn.XLOOKUP(tblAsignaciones[[#This Row],[tecnico]],tblTecnicos[nombre],tblTecnicos[area],"")</f>
        <v/>
      </c>
      <c r="E13" s="3">
        <f>_xlfn.XLOOKUP(tblAsignaciones[[#This Row],[tecnico]],tblTecnicos[nombre],tblTecnicos[especialidad],"")</f>
        <v/>
      </c>
      <c r="F13" s="6" t="inlineStr">
        <is>
          <t>T2</t>
        </is>
      </c>
      <c r="G13" s="3">
        <f>_xlfn.XLOOKUP(tblAsignaciones[[#This Row],[tecnico]],tblTecnicos[nombre],tblTecnicos[coordinador],"")</f>
        <v/>
      </c>
      <c r="H13" s="3">
        <f>IF(OR(tblAsignaciones[[#This Row],[turno]]="",ISNUMBER(MATCH(tblAsignaciones[[#This Row],[turno]],lista_no_disponible,0))),0,p_horas_jornada)</f>
        <v/>
      </c>
      <c r="I13" s="3">
        <f>tblAsignaciones[[#This Row],[semana]]&amp;"|"&amp;tblAsignaciones[[#This Row],[dia]]&amp;"|"&amp;tblAsignaciones[[#This Row],[tecnico]]</f>
        <v/>
      </c>
    </row>
    <row r="14">
      <c r="A14" s="3" t="inlineStr">
        <is>
          <t>2026-S29</t>
        </is>
      </c>
      <c r="B14" s="3" t="inlineStr">
        <is>
          <t>jueves</t>
        </is>
      </c>
      <c r="C14" s="3" t="inlineStr">
        <is>
          <t>Técnico 02</t>
        </is>
      </c>
      <c r="D14" s="3">
        <f>_xlfn.XLOOKUP(tblAsignaciones[[#This Row],[tecnico]],tblTecnicos[nombre],tblTecnicos[area],"")</f>
        <v/>
      </c>
      <c r="E14" s="3">
        <f>_xlfn.XLOOKUP(tblAsignaciones[[#This Row],[tecnico]],tblTecnicos[nombre],tblTecnicos[especialidad],"")</f>
        <v/>
      </c>
      <c r="F14" s="6" t="inlineStr">
        <is>
          <t>T2</t>
        </is>
      </c>
      <c r="G14" s="3">
        <f>_xlfn.XLOOKUP(tblAsignaciones[[#This Row],[tecnico]],tblTecnicos[nombre],tblTecnicos[coordinador],"")</f>
        <v/>
      </c>
      <c r="H14" s="3">
        <f>IF(OR(tblAsignaciones[[#This Row],[turno]]="",ISNUMBER(MATCH(tblAsignaciones[[#This Row],[turno]],lista_no_disponible,0))),0,p_horas_jornada)</f>
        <v/>
      </c>
      <c r="I14" s="3">
        <f>tblAsignaciones[[#This Row],[semana]]&amp;"|"&amp;tblAsignaciones[[#This Row],[dia]]&amp;"|"&amp;tblAsignaciones[[#This Row],[tecnico]]</f>
        <v/>
      </c>
    </row>
    <row r="15">
      <c r="A15" s="3" t="inlineStr">
        <is>
          <t>2026-S29</t>
        </is>
      </c>
      <c r="B15" s="3" t="inlineStr">
        <is>
          <t>viernes</t>
        </is>
      </c>
      <c r="C15" s="3" t="inlineStr">
        <is>
          <t>Técnico 02</t>
        </is>
      </c>
      <c r="D15" s="3">
        <f>_xlfn.XLOOKUP(tblAsignaciones[[#This Row],[tecnico]],tblTecnicos[nombre],tblTecnicos[area],"")</f>
        <v/>
      </c>
      <c r="E15" s="3">
        <f>_xlfn.XLOOKUP(tblAsignaciones[[#This Row],[tecnico]],tblTecnicos[nombre],tblTecnicos[especialidad],"")</f>
        <v/>
      </c>
      <c r="F15" s="6" t="inlineStr">
        <is>
          <t>T2</t>
        </is>
      </c>
      <c r="G15" s="3">
        <f>_xlfn.XLOOKUP(tblAsignaciones[[#This Row],[tecnico]],tblTecnicos[nombre],tblTecnicos[coordinador],"")</f>
        <v/>
      </c>
      <c r="H15" s="3">
        <f>IF(OR(tblAsignaciones[[#This Row],[turno]]="",ISNUMBER(MATCH(tblAsignaciones[[#This Row],[turno]],lista_no_disponible,0))),0,p_horas_jornada)</f>
        <v/>
      </c>
      <c r="I15" s="3">
        <f>tblAsignaciones[[#This Row],[semana]]&amp;"|"&amp;tblAsignaciones[[#This Row],[dia]]&amp;"|"&amp;tblAsignaciones[[#This Row],[tecnico]]</f>
        <v/>
      </c>
    </row>
    <row r="16">
      <c r="A16" s="3" t="inlineStr">
        <is>
          <t>2026-S29</t>
        </is>
      </c>
      <c r="B16" s="3" t="inlineStr">
        <is>
          <t>sábado</t>
        </is>
      </c>
      <c r="C16" s="3" t="inlineStr">
        <is>
          <t>Técnico 02</t>
        </is>
      </c>
      <c r="D16" s="3">
        <f>_xlfn.XLOOKUP(tblAsignaciones[[#This Row],[tecnico]],tblTecnicos[nombre],tblTecnicos[area],"")</f>
        <v/>
      </c>
      <c r="E16" s="3">
        <f>_xlfn.XLOOKUP(tblAsignaciones[[#This Row],[tecnico]],tblTecnicos[nombre],tblTecnicos[especialidad],"")</f>
        <v/>
      </c>
      <c r="F16" s="6" t="inlineStr"/>
      <c r="G16" s="3">
        <f>_xlfn.XLOOKUP(tblAsignaciones[[#This Row],[tecnico]],tblTecnicos[nombre],tblTecnicos[coordinador],"")</f>
        <v/>
      </c>
      <c r="H16" s="3">
        <f>IF(OR(tblAsignaciones[[#This Row],[turno]]="",ISNUMBER(MATCH(tblAsignaciones[[#This Row],[turno]],lista_no_disponible,0))),0,p_horas_jornada)</f>
        <v/>
      </c>
      <c r="I16" s="3">
        <f>tblAsignaciones[[#This Row],[semana]]&amp;"|"&amp;tblAsignaciones[[#This Row],[dia]]&amp;"|"&amp;tblAsignaciones[[#This Row],[tecnico]]</f>
        <v/>
      </c>
    </row>
    <row r="17">
      <c r="A17" s="3" t="inlineStr">
        <is>
          <t>2026-S29</t>
        </is>
      </c>
      <c r="B17" s="3" t="inlineStr">
        <is>
          <t>domingo</t>
        </is>
      </c>
      <c r="C17" s="3" t="inlineStr">
        <is>
          <t>Técnico 02</t>
        </is>
      </c>
      <c r="D17" s="3">
        <f>_xlfn.XLOOKUP(tblAsignaciones[[#This Row],[tecnico]],tblTecnicos[nombre],tblTecnicos[area],"")</f>
        <v/>
      </c>
      <c r="E17" s="3">
        <f>_xlfn.XLOOKUP(tblAsignaciones[[#This Row],[tecnico]],tblTecnicos[nombre],tblTecnicos[especialidad],"")</f>
        <v/>
      </c>
      <c r="F17" s="6" t="inlineStr"/>
      <c r="G17" s="3">
        <f>_xlfn.XLOOKUP(tblAsignaciones[[#This Row],[tecnico]],tblTecnicos[nombre],tblTecnicos[coordinador],"")</f>
        <v/>
      </c>
      <c r="H17" s="3">
        <f>IF(OR(tblAsignaciones[[#This Row],[turno]]="",ISNUMBER(MATCH(tblAsignaciones[[#This Row],[turno]],lista_no_disponible,0))),0,p_horas_jornada)</f>
        <v/>
      </c>
      <c r="I17" s="3">
        <f>tblAsignaciones[[#This Row],[semana]]&amp;"|"&amp;tblAsignaciones[[#This Row],[dia]]&amp;"|"&amp;tblAsignaciones[[#This Row],[tecnico]]</f>
        <v/>
      </c>
    </row>
    <row r="18">
      <c r="A18" s="3" t="inlineStr">
        <is>
          <t>2026-S29</t>
        </is>
      </c>
      <c r="B18" s="3" t="inlineStr">
        <is>
          <t>lunes</t>
        </is>
      </c>
      <c r="C18" s="3" t="inlineStr">
        <is>
          <t>Técnico 03</t>
        </is>
      </c>
      <c r="D18" s="3">
        <f>_xlfn.XLOOKUP(tblAsignaciones[[#This Row],[tecnico]],tblTecnicos[nombre],tblTecnicos[area],"")</f>
        <v/>
      </c>
      <c r="E18" s="3">
        <f>_xlfn.XLOOKUP(tblAsignaciones[[#This Row],[tecnico]],tblTecnicos[nombre],tblTecnicos[especialidad],"")</f>
        <v/>
      </c>
      <c r="F18" s="6" t="inlineStr">
        <is>
          <t>T1</t>
        </is>
      </c>
      <c r="G18" s="3">
        <f>_xlfn.XLOOKUP(tblAsignaciones[[#This Row],[tecnico]],tblTecnicos[nombre],tblTecnicos[coordinador],"")</f>
        <v/>
      </c>
      <c r="H18" s="3">
        <f>IF(OR(tblAsignaciones[[#This Row],[turno]]="",ISNUMBER(MATCH(tblAsignaciones[[#This Row],[turno]],lista_no_disponible,0))),0,p_horas_jornada)</f>
        <v/>
      </c>
      <c r="I18" s="3">
        <f>tblAsignaciones[[#This Row],[semana]]&amp;"|"&amp;tblAsignaciones[[#This Row],[dia]]&amp;"|"&amp;tblAsignaciones[[#This Row],[tecnico]]</f>
        <v/>
      </c>
    </row>
    <row r="19">
      <c r="A19" s="3" t="inlineStr">
        <is>
          <t>2026-S29</t>
        </is>
      </c>
      <c r="B19" s="3" t="inlineStr">
        <is>
          <t>martes</t>
        </is>
      </c>
      <c r="C19" s="3" t="inlineStr">
        <is>
          <t>Técnico 03</t>
        </is>
      </c>
      <c r="D19" s="3">
        <f>_xlfn.XLOOKUP(tblAsignaciones[[#This Row],[tecnico]],tblTecnicos[nombre],tblTecnicos[area],"")</f>
        <v/>
      </c>
      <c r="E19" s="3">
        <f>_xlfn.XLOOKUP(tblAsignaciones[[#This Row],[tecnico]],tblTecnicos[nombre],tblTecnicos[especialidad],"")</f>
        <v/>
      </c>
      <c r="F19" s="6" t="inlineStr">
        <is>
          <t>T1</t>
        </is>
      </c>
      <c r="G19" s="3">
        <f>_xlfn.XLOOKUP(tblAsignaciones[[#This Row],[tecnico]],tblTecnicos[nombre],tblTecnicos[coordinador],"")</f>
        <v/>
      </c>
      <c r="H19" s="3">
        <f>IF(OR(tblAsignaciones[[#This Row],[turno]]="",ISNUMBER(MATCH(tblAsignaciones[[#This Row],[turno]],lista_no_disponible,0))),0,p_horas_jornada)</f>
        <v/>
      </c>
      <c r="I19" s="3">
        <f>tblAsignaciones[[#This Row],[semana]]&amp;"|"&amp;tblAsignaciones[[#This Row],[dia]]&amp;"|"&amp;tblAsignaciones[[#This Row],[tecnico]]</f>
        <v/>
      </c>
    </row>
    <row r="20">
      <c r="A20" s="3" t="inlineStr">
        <is>
          <t>2026-S29</t>
        </is>
      </c>
      <c r="B20" s="3" t="inlineStr">
        <is>
          <t>miércoles</t>
        </is>
      </c>
      <c r="C20" s="3" t="inlineStr">
        <is>
          <t>Técnico 03</t>
        </is>
      </c>
      <c r="D20" s="3">
        <f>_xlfn.XLOOKUP(tblAsignaciones[[#This Row],[tecnico]],tblTecnicos[nombre],tblTecnicos[area],"")</f>
        <v/>
      </c>
      <c r="E20" s="3">
        <f>_xlfn.XLOOKUP(tblAsignaciones[[#This Row],[tecnico]],tblTecnicos[nombre],tblTecnicos[especialidad],"")</f>
        <v/>
      </c>
      <c r="F20" s="6" t="inlineStr">
        <is>
          <t>T1</t>
        </is>
      </c>
      <c r="G20" s="3">
        <f>_xlfn.XLOOKUP(tblAsignaciones[[#This Row],[tecnico]],tblTecnicos[nombre],tblTecnicos[coordinador],"")</f>
        <v/>
      </c>
      <c r="H20" s="3">
        <f>IF(OR(tblAsignaciones[[#This Row],[turno]]="",ISNUMBER(MATCH(tblAsignaciones[[#This Row],[turno]],lista_no_disponible,0))),0,p_horas_jornada)</f>
        <v/>
      </c>
      <c r="I20" s="3">
        <f>tblAsignaciones[[#This Row],[semana]]&amp;"|"&amp;tblAsignaciones[[#This Row],[dia]]&amp;"|"&amp;tblAsignaciones[[#This Row],[tecnico]]</f>
        <v/>
      </c>
    </row>
    <row r="21">
      <c r="A21" s="3" t="inlineStr">
        <is>
          <t>2026-S29</t>
        </is>
      </c>
      <c r="B21" s="3" t="inlineStr">
        <is>
          <t>jueves</t>
        </is>
      </c>
      <c r="C21" s="3" t="inlineStr">
        <is>
          <t>Técnico 03</t>
        </is>
      </c>
      <c r="D21" s="3">
        <f>_xlfn.XLOOKUP(tblAsignaciones[[#This Row],[tecnico]],tblTecnicos[nombre],tblTecnicos[area],"")</f>
        <v/>
      </c>
      <c r="E21" s="3">
        <f>_xlfn.XLOOKUP(tblAsignaciones[[#This Row],[tecnico]],tblTecnicos[nombre],tblTecnicos[especialidad],"")</f>
        <v/>
      </c>
      <c r="F21" s="6" t="inlineStr">
        <is>
          <t>T1</t>
        </is>
      </c>
      <c r="G21" s="3">
        <f>_xlfn.XLOOKUP(tblAsignaciones[[#This Row],[tecnico]],tblTecnicos[nombre],tblTecnicos[coordinador],"")</f>
        <v/>
      </c>
      <c r="H21" s="3">
        <f>IF(OR(tblAsignaciones[[#This Row],[turno]]="",ISNUMBER(MATCH(tblAsignaciones[[#This Row],[turno]],lista_no_disponible,0))),0,p_horas_jornada)</f>
        <v/>
      </c>
      <c r="I21" s="3">
        <f>tblAsignaciones[[#This Row],[semana]]&amp;"|"&amp;tblAsignaciones[[#This Row],[dia]]&amp;"|"&amp;tblAsignaciones[[#This Row],[tecnico]]</f>
        <v/>
      </c>
    </row>
    <row r="22">
      <c r="A22" s="3" t="inlineStr">
        <is>
          <t>2026-S29</t>
        </is>
      </c>
      <c r="B22" s="3" t="inlineStr">
        <is>
          <t>viernes</t>
        </is>
      </c>
      <c r="C22" s="3" t="inlineStr">
        <is>
          <t>Técnico 03</t>
        </is>
      </c>
      <c r="D22" s="3">
        <f>_xlfn.XLOOKUP(tblAsignaciones[[#This Row],[tecnico]],tblTecnicos[nombre],tblTecnicos[area],"")</f>
        <v/>
      </c>
      <c r="E22" s="3">
        <f>_xlfn.XLOOKUP(tblAsignaciones[[#This Row],[tecnico]],tblTecnicos[nombre],tblTecnicos[especialidad],"")</f>
        <v/>
      </c>
      <c r="F22" s="6" t="inlineStr">
        <is>
          <t>T1</t>
        </is>
      </c>
      <c r="G22" s="3">
        <f>_xlfn.XLOOKUP(tblAsignaciones[[#This Row],[tecnico]],tblTecnicos[nombre],tblTecnicos[coordinador],"")</f>
        <v/>
      </c>
      <c r="H22" s="3">
        <f>IF(OR(tblAsignaciones[[#This Row],[turno]]="",ISNUMBER(MATCH(tblAsignaciones[[#This Row],[turno]],lista_no_disponible,0))),0,p_horas_jornada)</f>
        <v/>
      </c>
      <c r="I22" s="3">
        <f>tblAsignaciones[[#This Row],[semana]]&amp;"|"&amp;tblAsignaciones[[#This Row],[dia]]&amp;"|"&amp;tblAsignaciones[[#This Row],[tecnico]]</f>
        <v/>
      </c>
    </row>
    <row r="23">
      <c r="A23" s="3" t="inlineStr">
        <is>
          <t>2026-S29</t>
        </is>
      </c>
      <c r="B23" s="3" t="inlineStr">
        <is>
          <t>sábado</t>
        </is>
      </c>
      <c r="C23" s="3" t="inlineStr">
        <is>
          <t>Técnico 03</t>
        </is>
      </c>
      <c r="D23" s="3">
        <f>_xlfn.XLOOKUP(tblAsignaciones[[#This Row],[tecnico]],tblTecnicos[nombre],tblTecnicos[area],"")</f>
        <v/>
      </c>
      <c r="E23" s="3">
        <f>_xlfn.XLOOKUP(tblAsignaciones[[#This Row],[tecnico]],tblTecnicos[nombre],tblTecnicos[especialidad],"")</f>
        <v/>
      </c>
      <c r="F23" s="6" t="inlineStr"/>
      <c r="G23" s="3">
        <f>_xlfn.XLOOKUP(tblAsignaciones[[#This Row],[tecnico]],tblTecnicos[nombre],tblTecnicos[coordinador],"")</f>
        <v/>
      </c>
      <c r="H23" s="3">
        <f>IF(OR(tblAsignaciones[[#This Row],[turno]]="",ISNUMBER(MATCH(tblAsignaciones[[#This Row],[turno]],lista_no_disponible,0))),0,p_horas_jornada)</f>
        <v/>
      </c>
      <c r="I23" s="3">
        <f>tblAsignaciones[[#This Row],[semana]]&amp;"|"&amp;tblAsignaciones[[#This Row],[dia]]&amp;"|"&amp;tblAsignaciones[[#This Row],[tecnico]]</f>
        <v/>
      </c>
    </row>
    <row r="24">
      <c r="A24" s="3" t="inlineStr">
        <is>
          <t>2026-S29</t>
        </is>
      </c>
      <c r="B24" s="3" t="inlineStr">
        <is>
          <t>domingo</t>
        </is>
      </c>
      <c r="C24" s="3" t="inlineStr">
        <is>
          <t>Técnico 03</t>
        </is>
      </c>
      <c r="D24" s="3">
        <f>_xlfn.XLOOKUP(tblAsignaciones[[#This Row],[tecnico]],tblTecnicos[nombre],tblTecnicos[area],"")</f>
        <v/>
      </c>
      <c r="E24" s="3">
        <f>_xlfn.XLOOKUP(tblAsignaciones[[#This Row],[tecnico]],tblTecnicos[nombre],tblTecnicos[especialidad],"")</f>
        <v/>
      </c>
      <c r="F24" s="6" t="inlineStr"/>
      <c r="G24" s="3">
        <f>_xlfn.XLOOKUP(tblAsignaciones[[#This Row],[tecnico]],tblTecnicos[nombre],tblTecnicos[coordinador],"")</f>
        <v/>
      </c>
      <c r="H24" s="3">
        <f>IF(OR(tblAsignaciones[[#This Row],[turno]]="",ISNUMBER(MATCH(tblAsignaciones[[#This Row],[turno]],lista_no_disponible,0))),0,p_horas_jornada)</f>
        <v/>
      </c>
      <c r="I24" s="3">
        <f>tblAsignaciones[[#This Row],[semana]]&amp;"|"&amp;tblAsignaciones[[#This Row],[dia]]&amp;"|"&amp;tblAsignaciones[[#This Row],[tecnico]]</f>
        <v/>
      </c>
    </row>
    <row r="25">
      <c r="A25" s="3" t="inlineStr">
        <is>
          <t>2026-S29</t>
        </is>
      </c>
      <c r="B25" s="3" t="inlineStr">
        <is>
          <t>lunes</t>
        </is>
      </c>
      <c r="C25" s="3" t="inlineStr">
        <is>
          <t>Técnico 04</t>
        </is>
      </c>
      <c r="D25" s="3">
        <f>_xlfn.XLOOKUP(tblAsignaciones[[#This Row],[tecnico]],tblTecnicos[nombre],tblTecnicos[area],"")</f>
        <v/>
      </c>
      <c r="E25" s="3">
        <f>_xlfn.XLOOKUP(tblAsignaciones[[#This Row],[tecnico]],tblTecnicos[nombre],tblTecnicos[especialidad],"")</f>
        <v/>
      </c>
      <c r="F25" s="6" t="inlineStr">
        <is>
          <t>T1</t>
        </is>
      </c>
      <c r="G25" s="3">
        <f>_xlfn.XLOOKUP(tblAsignaciones[[#This Row],[tecnico]],tblTecnicos[nombre],tblTecnicos[coordinador],"")</f>
        <v/>
      </c>
      <c r="H25" s="3">
        <f>IF(OR(tblAsignaciones[[#This Row],[turno]]="",ISNUMBER(MATCH(tblAsignaciones[[#This Row],[turno]],lista_no_disponible,0))),0,p_horas_jornada)</f>
        <v/>
      </c>
      <c r="I25" s="3">
        <f>tblAsignaciones[[#This Row],[semana]]&amp;"|"&amp;tblAsignaciones[[#This Row],[dia]]&amp;"|"&amp;tblAsignaciones[[#This Row],[tecnico]]</f>
        <v/>
      </c>
    </row>
    <row r="26">
      <c r="A26" s="3" t="inlineStr">
        <is>
          <t>2026-S29</t>
        </is>
      </c>
      <c r="B26" s="3" t="inlineStr">
        <is>
          <t>martes</t>
        </is>
      </c>
      <c r="C26" s="3" t="inlineStr">
        <is>
          <t>Técnico 04</t>
        </is>
      </c>
      <c r="D26" s="3">
        <f>_xlfn.XLOOKUP(tblAsignaciones[[#This Row],[tecnico]],tblTecnicos[nombre],tblTecnicos[area],"")</f>
        <v/>
      </c>
      <c r="E26" s="3">
        <f>_xlfn.XLOOKUP(tblAsignaciones[[#This Row],[tecnico]],tblTecnicos[nombre],tblTecnicos[especialidad],"")</f>
        <v/>
      </c>
      <c r="F26" s="6" t="inlineStr">
        <is>
          <t>T1</t>
        </is>
      </c>
      <c r="G26" s="3">
        <f>_xlfn.XLOOKUP(tblAsignaciones[[#This Row],[tecnico]],tblTecnicos[nombre],tblTecnicos[coordinador],"")</f>
        <v/>
      </c>
      <c r="H26" s="3">
        <f>IF(OR(tblAsignaciones[[#This Row],[turno]]="",ISNUMBER(MATCH(tblAsignaciones[[#This Row],[turno]],lista_no_disponible,0))),0,p_horas_jornada)</f>
        <v/>
      </c>
      <c r="I26" s="3">
        <f>tblAsignaciones[[#This Row],[semana]]&amp;"|"&amp;tblAsignaciones[[#This Row],[dia]]&amp;"|"&amp;tblAsignaciones[[#This Row],[tecnico]]</f>
        <v/>
      </c>
    </row>
    <row r="27">
      <c r="A27" s="3" t="inlineStr">
        <is>
          <t>2026-S29</t>
        </is>
      </c>
      <c r="B27" s="3" t="inlineStr">
        <is>
          <t>miércoles</t>
        </is>
      </c>
      <c r="C27" s="3" t="inlineStr">
        <is>
          <t>Técnico 04</t>
        </is>
      </c>
      <c r="D27" s="3">
        <f>_xlfn.XLOOKUP(tblAsignaciones[[#This Row],[tecnico]],tblTecnicos[nombre],tblTecnicos[area],"")</f>
        <v/>
      </c>
      <c r="E27" s="3">
        <f>_xlfn.XLOOKUP(tblAsignaciones[[#This Row],[tecnico]],tblTecnicos[nombre],tblTecnicos[especialidad],"")</f>
        <v/>
      </c>
      <c r="F27" s="6" t="inlineStr">
        <is>
          <t>T1</t>
        </is>
      </c>
      <c r="G27" s="3">
        <f>_xlfn.XLOOKUP(tblAsignaciones[[#This Row],[tecnico]],tblTecnicos[nombre],tblTecnicos[coordinador],"")</f>
        <v/>
      </c>
      <c r="H27" s="3">
        <f>IF(OR(tblAsignaciones[[#This Row],[turno]]="",ISNUMBER(MATCH(tblAsignaciones[[#This Row],[turno]],lista_no_disponible,0))),0,p_horas_jornada)</f>
        <v/>
      </c>
      <c r="I27" s="3">
        <f>tblAsignaciones[[#This Row],[semana]]&amp;"|"&amp;tblAsignaciones[[#This Row],[dia]]&amp;"|"&amp;tblAsignaciones[[#This Row],[tecnico]]</f>
        <v/>
      </c>
    </row>
    <row r="28">
      <c r="A28" s="3" t="inlineStr">
        <is>
          <t>2026-S29</t>
        </is>
      </c>
      <c r="B28" s="3" t="inlineStr">
        <is>
          <t>jueves</t>
        </is>
      </c>
      <c r="C28" s="3" t="inlineStr">
        <is>
          <t>Técnico 04</t>
        </is>
      </c>
      <c r="D28" s="3">
        <f>_xlfn.XLOOKUP(tblAsignaciones[[#This Row],[tecnico]],tblTecnicos[nombre],tblTecnicos[area],"")</f>
        <v/>
      </c>
      <c r="E28" s="3">
        <f>_xlfn.XLOOKUP(tblAsignaciones[[#This Row],[tecnico]],tblTecnicos[nombre],tblTecnicos[especialidad],"")</f>
        <v/>
      </c>
      <c r="F28" s="6" t="inlineStr">
        <is>
          <t>T1</t>
        </is>
      </c>
      <c r="G28" s="3">
        <f>_xlfn.XLOOKUP(tblAsignaciones[[#This Row],[tecnico]],tblTecnicos[nombre],tblTecnicos[coordinador],"")</f>
        <v/>
      </c>
      <c r="H28" s="3">
        <f>IF(OR(tblAsignaciones[[#This Row],[turno]]="",ISNUMBER(MATCH(tblAsignaciones[[#This Row],[turno]],lista_no_disponible,0))),0,p_horas_jornada)</f>
        <v/>
      </c>
      <c r="I28" s="3">
        <f>tblAsignaciones[[#This Row],[semana]]&amp;"|"&amp;tblAsignaciones[[#This Row],[dia]]&amp;"|"&amp;tblAsignaciones[[#This Row],[tecnico]]</f>
        <v/>
      </c>
    </row>
    <row r="29">
      <c r="A29" s="3" t="inlineStr">
        <is>
          <t>2026-S29</t>
        </is>
      </c>
      <c r="B29" s="3" t="inlineStr">
        <is>
          <t>viernes</t>
        </is>
      </c>
      <c r="C29" s="3" t="inlineStr">
        <is>
          <t>Técnico 04</t>
        </is>
      </c>
      <c r="D29" s="3">
        <f>_xlfn.XLOOKUP(tblAsignaciones[[#This Row],[tecnico]],tblTecnicos[nombre],tblTecnicos[area],"")</f>
        <v/>
      </c>
      <c r="E29" s="3">
        <f>_xlfn.XLOOKUP(tblAsignaciones[[#This Row],[tecnico]],tblTecnicos[nombre],tblTecnicos[especialidad],"")</f>
        <v/>
      </c>
      <c r="F29" s="6" t="inlineStr">
        <is>
          <t>T1</t>
        </is>
      </c>
      <c r="G29" s="3">
        <f>_xlfn.XLOOKUP(tblAsignaciones[[#This Row],[tecnico]],tblTecnicos[nombre],tblTecnicos[coordinador],"")</f>
        <v/>
      </c>
      <c r="H29" s="3">
        <f>IF(OR(tblAsignaciones[[#This Row],[turno]]="",ISNUMBER(MATCH(tblAsignaciones[[#This Row],[turno]],lista_no_disponible,0))),0,p_horas_jornada)</f>
        <v/>
      </c>
      <c r="I29" s="3">
        <f>tblAsignaciones[[#This Row],[semana]]&amp;"|"&amp;tblAsignaciones[[#This Row],[dia]]&amp;"|"&amp;tblAsignaciones[[#This Row],[tecnico]]</f>
        <v/>
      </c>
    </row>
    <row r="30">
      <c r="A30" s="3" t="inlineStr">
        <is>
          <t>2026-S29</t>
        </is>
      </c>
      <c r="B30" s="3" t="inlineStr">
        <is>
          <t>sábado</t>
        </is>
      </c>
      <c r="C30" s="3" t="inlineStr">
        <is>
          <t>Técnico 04</t>
        </is>
      </c>
      <c r="D30" s="3">
        <f>_xlfn.XLOOKUP(tblAsignaciones[[#This Row],[tecnico]],tblTecnicos[nombre],tblTecnicos[area],"")</f>
        <v/>
      </c>
      <c r="E30" s="3">
        <f>_xlfn.XLOOKUP(tblAsignaciones[[#This Row],[tecnico]],tblTecnicos[nombre],tblTecnicos[especialidad],"")</f>
        <v/>
      </c>
      <c r="F30" s="6" t="inlineStr"/>
      <c r="G30" s="3">
        <f>_xlfn.XLOOKUP(tblAsignaciones[[#This Row],[tecnico]],tblTecnicos[nombre],tblTecnicos[coordinador],"")</f>
        <v/>
      </c>
      <c r="H30" s="3">
        <f>IF(OR(tblAsignaciones[[#This Row],[turno]]="",ISNUMBER(MATCH(tblAsignaciones[[#This Row],[turno]],lista_no_disponible,0))),0,p_horas_jornada)</f>
        <v/>
      </c>
      <c r="I30" s="3">
        <f>tblAsignaciones[[#This Row],[semana]]&amp;"|"&amp;tblAsignaciones[[#This Row],[dia]]&amp;"|"&amp;tblAsignaciones[[#This Row],[tecnico]]</f>
        <v/>
      </c>
    </row>
    <row r="31">
      <c r="A31" s="3" t="inlineStr">
        <is>
          <t>2026-S29</t>
        </is>
      </c>
      <c r="B31" s="3" t="inlineStr">
        <is>
          <t>domingo</t>
        </is>
      </c>
      <c r="C31" s="3" t="inlineStr">
        <is>
          <t>Técnico 04</t>
        </is>
      </c>
      <c r="D31" s="3">
        <f>_xlfn.XLOOKUP(tblAsignaciones[[#This Row],[tecnico]],tblTecnicos[nombre],tblTecnicos[area],"")</f>
        <v/>
      </c>
      <c r="E31" s="3">
        <f>_xlfn.XLOOKUP(tblAsignaciones[[#This Row],[tecnico]],tblTecnicos[nombre],tblTecnicos[especialidad],"")</f>
        <v/>
      </c>
      <c r="F31" s="6" t="inlineStr"/>
      <c r="G31" s="3">
        <f>_xlfn.XLOOKUP(tblAsignaciones[[#This Row],[tecnico]],tblTecnicos[nombre],tblTecnicos[coordinador],"")</f>
        <v/>
      </c>
      <c r="H31" s="3">
        <f>IF(OR(tblAsignaciones[[#This Row],[turno]]="",ISNUMBER(MATCH(tblAsignaciones[[#This Row],[turno]],lista_no_disponible,0))),0,p_horas_jornada)</f>
        <v/>
      </c>
      <c r="I31" s="3">
        <f>tblAsignaciones[[#This Row],[semana]]&amp;"|"&amp;tblAsignaciones[[#This Row],[dia]]&amp;"|"&amp;tblAsignaciones[[#This Row],[tecnico]]</f>
        <v/>
      </c>
    </row>
    <row r="32">
      <c r="A32" s="3" t="inlineStr">
        <is>
          <t>2026-S29</t>
        </is>
      </c>
      <c r="B32" s="3" t="inlineStr">
        <is>
          <t>lunes</t>
        </is>
      </c>
      <c r="C32" s="3" t="inlineStr">
        <is>
          <t>Técnico 05</t>
        </is>
      </c>
      <c r="D32" s="3">
        <f>_xlfn.XLOOKUP(tblAsignaciones[[#This Row],[tecnico]],tblTecnicos[nombre],tblTecnicos[area],"")</f>
        <v/>
      </c>
      <c r="E32" s="3">
        <f>_xlfn.XLOOKUP(tblAsignaciones[[#This Row],[tecnico]],tblTecnicos[nombre],tblTecnicos[especialidad],"")</f>
        <v/>
      </c>
      <c r="F32" s="6" t="inlineStr">
        <is>
          <t>T1</t>
        </is>
      </c>
      <c r="G32" s="3">
        <f>_xlfn.XLOOKUP(tblAsignaciones[[#This Row],[tecnico]],tblTecnicos[nombre],tblTecnicos[coordinador],"")</f>
        <v/>
      </c>
      <c r="H32" s="3">
        <f>IF(OR(tblAsignaciones[[#This Row],[turno]]="",ISNUMBER(MATCH(tblAsignaciones[[#This Row],[turno]],lista_no_disponible,0))),0,p_horas_jornada)</f>
        <v/>
      </c>
      <c r="I32" s="3">
        <f>tblAsignaciones[[#This Row],[semana]]&amp;"|"&amp;tblAsignaciones[[#This Row],[dia]]&amp;"|"&amp;tblAsignaciones[[#This Row],[tecnico]]</f>
        <v/>
      </c>
    </row>
    <row r="33">
      <c r="A33" s="3" t="inlineStr">
        <is>
          <t>2026-S29</t>
        </is>
      </c>
      <c r="B33" s="3" t="inlineStr">
        <is>
          <t>martes</t>
        </is>
      </c>
      <c r="C33" s="3" t="inlineStr">
        <is>
          <t>Técnico 05</t>
        </is>
      </c>
      <c r="D33" s="3">
        <f>_xlfn.XLOOKUP(tblAsignaciones[[#This Row],[tecnico]],tblTecnicos[nombre],tblTecnicos[area],"")</f>
        <v/>
      </c>
      <c r="E33" s="3">
        <f>_xlfn.XLOOKUP(tblAsignaciones[[#This Row],[tecnico]],tblTecnicos[nombre],tblTecnicos[especialidad],"")</f>
        <v/>
      </c>
      <c r="F33" s="6" t="inlineStr">
        <is>
          <t>T1</t>
        </is>
      </c>
      <c r="G33" s="3">
        <f>_xlfn.XLOOKUP(tblAsignaciones[[#This Row],[tecnico]],tblTecnicos[nombre],tblTecnicos[coordinador],"")</f>
        <v/>
      </c>
      <c r="H33" s="3">
        <f>IF(OR(tblAsignaciones[[#This Row],[turno]]="",ISNUMBER(MATCH(tblAsignaciones[[#This Row],[turno]],lista_no_disponible,0))),0,p_horas_jornada)</f>
        <v/>
      </c>
      <c r="I33" s="3">
        <f>tblAsignaciones[[#This Row],[semana]]&amp;"|"&amp;tblAsignaciones[[#This Row],[dia]]&amp;"|"&amp;tblAsignaciones[[#This Row],[tecnico]]</f>
        <v/>
      </c>
    </row>
    <row r="34">
      <c r="A34" s="3" t="inlineStr">
        <is>
          <t>2026-S29</t>
        </is>
      </c>
      <c r="B34" s="3" t="inlineStr">
        <is>
          <t>miércoles</t>
        </is>
      </c>
      <c r="C34" s="3" t="inlineStr">
        <is>
          <t>Técnico 05</t>
        </is>
      </c>
      <c r="D34" s="3">
        <f>_xlfn.XLOOKUP(tblAsignaciones[[#This Row],[tecnico]],tblTecnicos[nombre],tblTecnicos[area],"")</f>
        <v/>
      </c>
      <c r="E34" s="3">
        <f>_xlfn.XLOOKUP(tblAsignaciones[[#This Row],[tecnico]],tblTecnicos[nombre],tblTecnicos[especialidad],"")</f>
        <v/>
      </c>
      <c r="F34" s="6" t="inlineStr">
        <is>
          <t>T1</t>
        </is>
      </c>
      <c r="G34" s="3">
        <f>_xlfn.XLOOKUP(tblAsignaciones[[#This Row],[tecnico]],tblTecnicos[nombre],tblTecnicos[coordinador],"")</f>
        <v/>
      </c>
      <c r="H34" s="3">
        <f>IF(OR(tblAsignaciones[[#This Row],[turno]]="",ISNUMBER(MATCH(tblAsignaciones[[#This Row],[turno]],lista_no_disponible,0))),0,p_horas_jornada)</f>
        <v/>
      </c>
      <c r="I34" s="3">
        <f>tblAsignaciones[[#This Row],[semana]]&amp;"|"&amp;tblAsignaciones[[#This Row],[dia]]&amp;"|"&amp;tblAsignaciones[[#This Row],[tecnico]]</f>
        <v/>
      </c>
    </row>
    <row r="35">
      <c r="A35" s="3" t="inlineStr">
        <is>
          <t>2026-S29</t>
        </is>
      </c>
      <c r="B35" s="3" t="inlineStr">
        <is>
          <t>jueves</t>
        </is>
      </c>
      <c r="C35" s="3" t="inlineStr">
        <is>
          <t>Técnico 05</t>
        </is>
      </c>
      <c r="D35" s="3">
        <f>_xlfn.XLOOKUP(tblAsignaciones[[#This Row],[tecnico]],tblTecnicos[nombre],tblTecnicos[area],"")</f>
        <v/>
      </c>
      <c r="E35" s="3">
        <f>_xlfn.XLOOKUP(tblAsignaciones[[#This Row],[tecnico]],tblTecnicos[nombre],tblTecnicos[especialidad],"")</f>
        <v/>
      </c>
      <c r="F35" s="6" t="inlineStr">
        <is>
          <t>T1</t>
        </is>
      </c>
      <c r="G35" s="3">
        <f>_xlfn.XLOOKUP(tblAsignaciones[[#This Row],[tecnico]],tblTecnicos[nombre],tblTecnicos[coordinador],"")</f>
        <v/>
      </c>
      <c r="H35" s="3">
        <f>IF(OR(tblAsignaciones[[#This Row],[turno]]="",ISNUMBER(MATCH(tblAsignaciones[[#This Row],[turno]],lista_no_disponible,0))),0,p_horas_jornada)</f>
        <v/>
      </c>
      <c r="I35" s="3">
        <f>tblAsignaciones[[#This Row],[semana]]&amp;"|"&amp;tblAsignaciones[[#This Row],[dia]]&amp;"|"&amp;tblAsignaciones[[#This Row],[tecnico]]</f>
        <v/>
      </c>
    </row>
    <row r="36">
      <c r="A36" s="3" t="inlineStr">
        <is>
          <t>2026-S29</t>
        </is>
      </c>
      <c r="B36" s="3" t="inlineStr">
        <is>
          <t>viernes</t>
        </is>
      </c>
      <c r="C36" s="3" t="inlineStr">
        <is>
          <t>Técnico 05</t>
        </is>
      </c>
      <c r="D36" s="3">
        <f>_xlfn.XLOOKUP(tblAsignaciones[[#This Row],[tecnico]],tblTecnicos[nombre],tblTecnicos[area],"")</f>
        <v/>
      </c>
      <c r="E36" s="3">
        <f>_xlfn.XLOOKUP(tblAsignaciones[[#This Row],[tecnico]],tblTecnicos[nombre],tblTecnicos[especialidad],"")</f>
        <v/>
      </c>
      <c r="F36" s="6" t="inlineStr">
        <is>
          <t>T1</t>
        </is>
      </c>
      <c r="G36" s="3">
        <f>_xlfn.XLOOKUP(tblAsignaciones[[#This Row],[tecnico]],tblTecnicos[nombre],tblTecnicos[coordinador],"")</f>
        <v/>
      </c>
      <c r="H36" s="3">
        <f>IF(OR(tblAsignaciones[[#This Row],[turno]]="",ISNUMBER(MATCH(tblAsignaciones[[#This Row],[turno]],lista_no_disponible,0))),0,p_horas_jornada)</f>
        <v/>
      </c>
      <c r="I36" s="3">
        <f>tblAsignaciones[[#This Row],[semana]]&amp;"|"&amp;tblAsignaciones[[#This Row],[dia]]&amp;"|"&amp;tblAsignaciones[[#This Row],[tecnico]]</f>
        <v/>
      </c>
    </row>
    <row r="37">
      <c r="A37" s="3" t="inlineStr">
        <is>
          <t>2026-S29</t>
        </is>
      </c>
      <c r="B37" s="3" t="inlineStr">
        <is>
          <t>sábado</t>
        </is>
      </c>
      <c r="C37" s="3" t="inlineStr">
        <is>
          <t>Técnico 05</t>
        </is>
      </c>
      <c r="D37" s="3">
        <f>_xlfn.XLOOKUP(tblAsignaciones[[#This Row],[tecnico]],tblTecnicos[nombre],tblTecnicos[area],"")</f>
        <v/>
      </c>
      <c r="E37" s="3">
        <f>_xlfn.XLOOKUP(tblAsignaciones[[#This Row],[tecnico]],tblTecnicos[nombre],tblTecnicos[especialidad],"")</f>
        <v/>
      </c>
      <c r="F37" s="6" t="inlineStr"/>
      <c r="G37" s="3">
        <f>_xlfn.XLOOKUP(tblAsignaciones[[#This Row],[tecnico]],tblTecnicos[nombre],tblTecnicos[coordinador],"")</f>
        <v/>
      </c>
      <c r="H37" s="3">
        <f>IF(OR(tblAsignaciones[[#This Row],[turno]]="",ISNUMBER(MATCH(tblAsignaciones[[#This Row],[turno]],lista_no_disponible,0))),0,p_horas_jornada)</f>
        <v/>
      </c>
      <c r="I37" s="3">
        <f>tblAsignaciones[[#This Row],[semana]]&amp;"|"&amp;tblAsignaciones[[#This Row],[dia]]&amp;"|"&amp;tblAsignaciones[[#This Row],[tecnico]]</f>
        <v/>
      </c>
    </row>
    <row r="38">
      <c r="A38" s="3" t="inlineStr">
        <is>
          <t>2026-S29</t>
        </is>
      </c>
      <c r="B38" s="3" t="inlineStr">
        <is>
          <t>domingo</t>
        </is>
      </c>
      <c r="C38" s="3" t="inlineStr">
        <is>
          <t>Técnico 05</t>
        </is>
      </c>
      <c r="D38" s="3">
        <f>_xlfn.XLOOKUP(tblAsignaciones[[#This Row],[tecnico]],tblTecnicos[nombre],tblTecnicos[area],"")</f>
        <v/>
      </c>
      <c r="E38" s="3">
        <f>_xlfn.XLOOKUP(tblAsignaciones[[#This Row],[tecnico]],tblTecnicos[nombre],tblTecnicos[especialidad],"")</f>
        <v/>
      </c>
      <c r="F38" s="6" t="inlineStr"/>
      <c r="G38" s="3">
        <f>_xlfn.XLOOKUP(tblAsignaciones[[#This Row],[tecnico]],tblTecnicos[nombre],tblTecnicos[coordinador],"")</f>
        <v/>
      </c>
      <c r="H38" s="3">
        <f>IF(OR(tblAsignaciones[[#This Row],[turno]]="",ISNUMBER(MATCH(tblAsignaciones[[#This Row],[turno]],lista_no_disponible,0))),0,p_horas_jornada)</f>
        <v/>
      </c>
      <c r="I38" s="3">
        <f>tblAsignaciones[[#This Row],[semana]]&amp;"|"&amp;tblAsignaciones[[#This Row],[dia]]&amp;"|"&amp;tblAsignaciones[[#This Row],[tecnico]]</f>
        <v/>
      </c>
    </row>
    <row r="39">
      <c r="A39" s="3" t="inlineStr">
        <is>
          <t>2026-S29</t>
        </is>
      </c>
      <c r="B39" s="3" t="inlineStr">
        <is>
          <t>lunes</t>
        </is>
      </c>
      <c r="C39" s="3" t="inlineStr">
        <is>
          <t>Técnico 06</t>
        </is>
      </c>
      <c r="D39" s="3">
        <f>_xlfn.XLOOKUP(tblAsignaciones[[#This Row],[tecnico]],tblTecnicos[nombre],tblTecnicos[area],"")</f>
        <v/>
      </c>
      <c r="E39" s="3">
        <f>_xlfn.XLOOKUP(tblAsignaciones[[#This Row],[tecnico]],tblTecnicos[nombre],tblTecnicos[especialidad],"")</f>
        <v/>
      </c>
      <c r="F39" s="6" t="inlineStr">
        <is>
          <t>T1</t>
        </is>
      </c>
      <c r="G39" s="3">
        <f>_xlfn.XLOOKUP(tblAsignaciones[[#This Row],[tecnico]],tblTecnicos[nombre],tblTecnicos[coordinador],"")</f>
        <v/>
      </c>
      <c r="H39" s="3">
        <f>IF(OR(tblAsignaciones[[#This Row],[turno]]="",ISNUMBER(MATCH(tblAsignaciones[[#This Row],[turno]],lista_no_disponible,0))),0,p_horas_jornada)</f>
        <v/>
      </c>
      <c r="I39" s="3">
        <f>tblAsignaciones[[#This Row],[semana]]&amp;"|"&amp;tblAsignaciones[[#This Row],[dia]]&amp;"|"&amp;tblAsignaciones[[#This Row],[tecnico]]</f>
        <v/>
      </c>
    </row>
    <row r="40">
      <c r="A40" s="3" t="inlineStr">
        <is>
          <t>2026-S29</t>
        </is>
      </c>
      <c r="B40" s="3" t="inlineStr">
        <is>
          <t>martes</t>
        </is>
      </c>
      <c r="C40" s="3" t="inlineStr">
        <is>
          <t>Técnico 06</t>
        </is>
      </c>
      <c r="D40" s="3">
        <f>_xlfn.XLOOKUP(tblAsignaciones[[#This Row],[tecnico]],tblTecnicos[nombre],tblTecnicos[area],"")</f>
        <v/>
      </c>
      <c r="E40" s="3">
        <f>_xlfn.XLOOKUP(tblAsignaciones[[#This Row],[tecnico]],tblTecnicos[nombre],tblTecnicos[especialidad],"")</f>
        <v/>
      </c>
      <c r="F40" s="6" t="inlineStr">
        <is>
          <t>T1</t>
        </is>
      </c>
      <c r="G40" s="3">
        <f>_xlfn.XLOOKUP(tblAsignaciones[[#This Row],[tecnico]],tblTecnicos[nombre],tblTecnicos[coordinador],"")</f>
        <v/>
      </c>
      <c r="H40" s="3">
        <f>IF(OR(tblAsignaciones[[#This Row],[turno]]="",ISNUMBER(MATCH(tblAsignaciones[[#This Row],[turno]],lista_no_disponible,0))),0,p_horas_jornada)</f>
        <v/>
      </c>
      <c r="I40" s="3">
        <f>tblAsignaciones[[#This Row],[semana]]&amp;"|"&amp;tblAsignaciones[[#This Row],[dia]]&amp;"|"&amp;tblAsignaciones[[#This Row],[tecnico]]</f>
        <v/>
      </c>
    </row>
    <row r="41">
      <c r="A41" s="3" t="inlineStr">
        <is>
          <t>2026-S29</t>
        </is>
      </c>
      <c r="B41" s="3" t="inlineStr">
        <is>
          <t>miércoles</t>
        </is>
      </c>
      <c r="C41" s="3" t="inlineStr">
        <is>
          <t>Técnico 06</t>
        </is>
      </c>
      <c r="D41" s="3">
        <f>_xlfn.XLOOKUP(tblAsignaciones[[#This Row],[tecnico]],tblTecnicos[nombre],tblTecnicos[area],"")</f>
        <v/>
      </c>
      <c r="E41" s="3">
        <f>_xlfn.XLOOKUP(tblAsignaciones[[#This Row],[tecnico]],tblTecnicos[nombre],tblTecnicos[especialidad],"")</f>
        <v/>
      </c>
      <c r="F41" s="6" t="inlineStr">
        <is>
          <t>T1</t>
        </is>
      </c>
      <c r="G41" s="3">
        <f>_xlfn.XLOOKUP(tblAsignaciones[[#This Row],[tecnico]],tblTecnicos[nombre],tblTecnicos[coordinador],"")</f>
        <v/>
      </c>
      <c r="H41" s="3">
        <f>IF(OR(tblAsignaciones[[#This Row],[turno]]="",ISNUMBER(MATCH(tblAsignaciones[[#This Row],[turno]],lista_no_disponible,0))),0,p_horas_jornada)</f>
        <v/>
      </c>
      <c r="I41" s="3">
        <f>tblAsignaciones[[#This Row],[semana]]&amp;"|"&amp;tblAsignaciones[[#This Row],[dia]]&amp;"|"&amp;tblAsignaciones[[#This Row],[tecnico]]</f>
        <v/>
      </c>
    </row>
    <row r="42">
      <c r="A42" s="3" t="inlineStr">
        <is>
          <t>2026-S29</t>
        </is>
      </c>
      <c r="B42" s="3" t="inlineStr">
        <is>
          <t>jueves</t>
        </is>
      </c>
      <c r="C42" s="3" t="inlineStr">
        <is>
          <t>Técnico 06</t>
        </is>
      </c>
      <c r="D42" s="3">
        <f>_xlfn.XLOOKUP(tblAsignaciones[[#This Row],[tecnico]],tblTecnicos[nombre],tblTecnicos[area],"")</f>
        <v/>
      </c>
      <c r="E42" s="3">
        <f>_xlfn.XLOOKUP(tblAsignaciones[[#This Row],[tecnico]],tblTecnicos[nombre],tblTecnicos[especialidad],"")</f>
        <v/>
      </c>
      <c r="F42" s="6" t="inlineStr">
        <is>
          <t>T1</t>
        </is>
      </c>
      <c r="G42" s="3">
        <f>_xlfn.XLOOKUP(tblAsignaciones[[#This Row],[tecnico]],tblTecnicos[nombre],tblTecnicos[coordinador],"")</f>
        <v/>
      </c>
      <c r="H42" s="3">
        <f>IF(OR(tblAsignaciones[[#This Row],[turno]]="",ISNUMBER(MATCH(tblAsignaciones[[#This Row],[turno]],lista_no_disponible,0))),0,p_horas_jornada)</f>
        <v/>
      </c>
      <c r="I42" s="3">
        <f>tblAsignaciones[[#This Row],[semana]]&amp;"|"&amp;tblAsignaciones[[#This Row],[dia]]&amp;"|"&amp;tblAsignaciones[[#This Row],[tecnico]]</f>
        <v/>
      </c>
    </row>
    <row r="43">
      <c r="A43" s="3" t="inlineStr">
        <is>
          <t>2026-S29</t>
        </is>
      </c>
      <c r="B43" s="3" t="inlineStr">
        <is>
          <t>viernes</t>
        </is>
      </c>
      <c r="C43" s="3" t="inlineStr">
        <is>
          <t>Técnico 06</t>
        </is>
      </c>
      <c r="D43" s="3">
        <f>_xlfn.XLOOKUP(tblAsignaciones[[#This Row],[tecnico]],tblTecnicos[nombre],tblTecnicos[area],"")</f>
        <v/>
      </c>
      <c r="E43" s="3">
        <f>_xlfn.XLOOKUP(tblAsignaciones[[#This Row],[tecnico]],tblTecnicos[nombre],tblTecnicos[especialidad],"")</f>
        <v/>
      </c>
      <c r="F43" s="6" t="inlineStr">
        <is>
          <t>T1</t>
        </is>
      </c>
      <c r="G43" s="3">
        <f>_xlfn.XLOOKUP(tblAsignaciones[[#This Row],[tecnico]],tblTecnicos[nombre],tblTecnicos[coordinador],"")</f>
        <v/>
      </c>
      <c r="H43" s="3">
        <f>IF(OR(tblAsignaciones[[#This Row],[turno]]="",ISNUMBER(MATCH(tblAsignaciones[[#This Row],[turno]],lista_no_disponible,0))),0,p_horas_jornada)</f>
        <v/>
      </c>
      <c r="I43" s="3">
        <f>tblAsignaciones[[#This Row],[semana]]&amp;"|"&amp;tblAsignaciones[[#This Row],[dia]]&amp;"|"&amp;tblAsignaciones[[#This Row],[tecnico]]</f>
        <v/>
      </c>
    </row>
    <row r="44">
      <c r="A44" s="3" t="inlineStr">
        <is>
          <t>2026-S29</t>
        </is>
      </c>
      <c r="B44" s="3" t="inlineStr">
        <is>
          <t>sábado</t>
        </is>
      </c>
      <c r="C44" s="3" t="inlineStr">
        <is>
          <t>Técnico 06</t>
        </is>
      </c>
      <c r="D44" s="3">
        <f>_xlfn.XLOOKUP(tblAsignaciones[[#This Row],[tecnico]],tblTecnicos[nombre],tblTecnicos[area],"")</f>
        <v/>
      </c>
      <c r="E44" s="3">
        <f>_xlfn.XLOOKUP(tblAsignaciones[[#This Row],[tecnico]],tblTecnicos[nombre],tblTecnicos[especialidad],"")</f>
        <v/>
      </c>
      <c r="F44" s="6" t="inlineStr"/>
      <c r="G44" s="3">
        <f>_xlfn.XLOOKUP(tblAsignaciones[[#This Row],[tecnico]],tblTecnicos[nombre],tblTecnicos[coordinador],"")</f>
        <v/>
      </c>
      <c r="H44" s="3">
        <f>IF(OR(tblAsignaciones[[#This Row],[turno]]="",ISNUMBER(MATCH(tblAsignaciones[[#This Row],[turno]],lista_no_disponible,0))),0,p_horas_jornada)</f>
        <v/>
      </c>
      <c r="I44" s="3">
        <f>tblAsignaciones[[#This Row],[semana]]&amp;"|"&amp;tblAsignaciones[[#This Row],[dia]]&amp;"|"&amp;tblAsignaciones[[#This Row],[tecnico]]</f>
        <v/>
      </c>
    </row>
    <row r="45">
      <c r="A45" s="3" t="inlineStr">
        <is>
          <t>2026-S29</t>
        </is>
      </c>
      <c r="B45" s="3" t="inlineStr">
        <is>
          <t>domingo</t>
        </is>
      </c>
      <c r="C45" s="3" t="inlineStr">
        <is>
          <t>Técnico 06</t>
        </is>
      </c>
      <c r="D45" s="3">
        <f>_xlfn.XLOOKUP(tblAsignaciones[[#This Row],[tecnico]],tblTecnicos[nombre],tblTecnicos[area],"")</f>
        <v/>
      </c>
      <c r="E45" s="3">
        <f>_xlfn.XLOOKUP(tblAsignaciones[[#This Row],[tecnico]],tblTecnicos[nombre],tblTecnicos[especialidad],"")</f>
        <v/>
      </c>
      <c r="F45" s="6" t="inlineStr"/>
      <c r="G45" s="3">
        <f>_xlfn.XLOOKUP(tblAsignaciones[[#This Row],[tecnico]],tblTecnicos[nombre],tblTecnicos[coordinador],"")</f>
        <v/>
      </c>
      <c r="H45" s="3">
        <f>IF(OR(tblAsignaciones[[#This Row],[turno]]="",ISNUMBER(MATCH(tblAsignaciones[[#This Row],[turno]],lista_no_disponible,0))),0,p_horas_jornada)</f>
        <v/>
      </c>
      <c r="I45" s="3">
        <f>tblAsignaciones[[#This Row],[semana]]&amp;"|"&amp;tblAsignaciones[[#This Row],[dia]]&amp;"|"&amp;tblAsignaciones[[#This Row],[tecnico]]</f>
        <v/>
      </c>
    </row>
    <row r="46">
      <c r="A46" s="3" t="inlineStr">
        <is>
          <t>2026-S29</t>
        </is>
      </c>
      <c r="B46" s="3" t="inlineStr">
        <is>
          <t>lunes</t>
        </is>
      </c>
      <c r="C46" s="3" t="inlineStr">
        <is>
          <t>Técnico 07</t>
        </is>
      </c>
      <c r="D46" s="3">
        <f>_xlfn.XLOOKUP(tblAsignaciones[[#This Row],[tecnico]],tblTecnicos[nombre],tblTecnicos[area],"")</f>
        <v/>
      </c>
      <c r="E46" s="3">
        <f>_xlfn.XLOOKUP(tblAsignaciones[[#This Row],[tecnico]],tblTecnicos[nombre],tblTecnicos[especialidad],"")</f>
        <v/>
      </c>
      <c r="F46" s="6" t="inlineStr">
        <is>
          <t>T1</t>
        </is>
      </c>
      <c r="G46" s="3">
        <f>_xlfn.XLOOKUP(tblAsignaciones[[#This Row],[tecnico]],tblTecnicos[nombre],tblTecnicos[coordinador],"")</f>
        <v/>
      </c>
      <c r="H46" s="3">
        <f>IF(OR(tblAsignaciones[[#This Row],[turno]]="",ISNUMBER(MATCH(tblAsignaciones[[#This Row],[turno]],lista_no_disponible,0))),0,p_horas_jornada)</f>
        <v/>
      </c>
      <c r="I46" s="3">
        <f>tblAsignaciones[[#This Row],[semana]]&amp;"|"&amp;tblAsignaciones[[#This Row],[dia]]&amp;"|"&amp;tblAsignaciones[[#This Row],[tecnico]]</f>
        <v/>
      </c>
    </row>
    <row r="47">
      <c r="A47" s="3" t="inlineStr">
        <is>
          <t>2026-S29</t>
        </is>
      </c>
      <c r="B47" s="3" t="inlineStr">
        <is>
          <t>martes</t>
        </is>
      </c>
      <c r="C47" s="3" t="inlineStr">
        <is>
          <t>Técnico 07</t>
        </is>
      </c>
      <c r="D47" s="3">
        <f>_xlfn.XLOOKUP(tblAsignaciones[[#This Row],[tecnico]],tblTecnicos[nombre],tblTecnicos[area],"")</f>
        <v/>
      </c>
      <c r="E47" s="3">
        <f>_xlfn.XLOOKUP(tblAsignaciones[[#This Row],[tecnico]],tblTecnicos[nombre],tblTecnicos[especialidad],"")</f>
        <v/>
      </c>
      <c r="F47" s="6" t="inlineStr">
        <is>
          <t>T1</t>
        </is>
      </c>
      <c r="G47" s="3">
        <f>_xlfn.XLOOKUP(tblAsignaciones[[#This Row],[tecnico]],tblTecnicos[nombre],tblTecnicos[coordinador],"")</f>
        <v/>
      </c>
      <c r="H47" s="3">
        <f>IF(OR(tblAsignaciones[[#This Row],[turno]]="",ISNUMBER(MATCH(tblAsignaciones[[#This Row],[turno]],lista_no_disponible,0))),0,p_horas_jornada)</f>
        <v/>
      </c>
      <c r="I47" s="3">
        <f>tblAsignaciones[[#This Row],[semana]]&amp;"|"&amp;tblAsignaciones[[#This Row],[dia]]&amp;"|"&amp;tblAsignaciones[[#This Row],[tecnico]]</f>
        <v/>
      </c>
    </row>
    <row r="48">
      <c r="A48" s="3" t="inlineStr">
        <is>
          <t>2026-S29</t>
        </is>
      </c>
      <c r="B48" s="3" t="inlineStr">
        <is>
          <t>miércoles</t>
        </is>
      </c>
      <c r="C48" s="3" t="inlineStr">
        <is>
          <t>Técnico 07</t>
        </is>
      </c>
      <c r="D48" s="3">
        <f>_xlfn.XLOOKUP(tblAsignaciones[[#This Row],[tecnico]],tblTecnicos[nombre],tblTecnicos[area],"")</f>
        <v/>
      </c>
      <c r="E48" s="3">
        <f>_xlfn.XLOOKUP(tblAsignaciones[[#This Row],[tecnico]],tblTecnicos[nombre],tblTecnicos[especialidad],"")</f>
        <v/>
      </c>
      <c r="F48" s="6" t="inlineStr">
        <is>
          <t>T1</t>
        </is>
      </c>
      <c r="G48" s="3">
        <f>_xlfn.XLOOKUP(tblAsignaciones[[#This Row],[tecnico]],tblTecnicos[nombre],tblTecnicos[coordinador],"")</f>
        <v/>
      </c>
      <c r="H48" s="3">
        <f>IF(OR(tblAsignaciones[[#This Row],[turno]]="",ISNUMBER(MATCH(tblAsignaciones[[#This Row],[turno]],lista_no_disponible,0))),0,p_horas_jornada)</f>
        <v/>
      </c>
      <c r="I48" s="3">
        <f>tblAsignaciones[[#This Row],[semana]]&amp;"|"&amp;tblAsignaciones[[#This Row],[dia]]&amp;"|"&amp;tblAsignaciones[[#This Row],[tecnico]]</f>
        <v/>
      </c>
    </row>
    <row r="49">
      <c r="A49" s="3" t="inlineStr">
        <is>
          <t>2026-S29</t>
        </is>
      </c>
      <c r="B49" s="3" t="inlineStr">
        <is>
          <t>jueves</t>
        </is>
      </c>
      <c r="C49" s="3" t="inlineStr">
        <is>
          <t>Técnico 07</t>
        </is>
      </c>
      <c r="D49" s="3">
        <f>_xlfn.XLOOKUP(tblAsignaciones[[#This Row],[tecnico]],tblTecnicos[nombre],tblTecnicos[area],"")</f>
        <v/>
      </c>
      <c r="E49" s="3">
        <f>_xlfn.XLOOKUP(tblAsignaciones[[#This Row],[tecnico]],tblTecnicos[nombre],tblTecnicos[especialidad],"")</f>
        <v/>
      </c>
      <c r="F49" s="6" t="inlineStr">
        <is>
          <t>T1</t>
        </is>
      </c>
      <c r="G49" s="3">
        <f>_xlfn.XLOOKUP(tblAsignaciones[[#This Row],[tecnico]],tblTecnicos[nombre],tblTecnicos[coordinador],"")</f>
        <v/>
      </c>
      <c r="H49" s="3">
        <f>IF(OR(tblAsignaciones[[#This Row],[turno]]="",ISNUMBER(MATCH(tblAsignaciones[[#This Row],[turno]],lista_no_disponible,0))),0,p_horas_jornada)</f>
        <v/>
      </c>
      <c r="I49" s="3">
        <f>tblAsignaciones[[#This Row],[semana]]&amp;"|"&amp;tblAsignaciones[[#This Row],[dia]]&amp;"|"&amp;tblAsignaciones[[#This Row],[tecnico]]</f>
        <v/>
      </c>
    </row>
    <row r="50">
      <c r="A50" s="3" t="inlineStr">
        <is>
          <t>2026-S29</t>
        </is>
      </c>
      <c r="B50" s="3" t="inlineStr">
        <is>
          <t>viernes</t>
        </is>
      </c>
      <c r="C50" s="3" t="inlineStr">
        <is>
          <t>Técnico 07</t>
        </is>
      </c>
      <c r="D50" s="3">
        <f>_xlfn.XLOOKUP(tblAsignaciones[[#This Row],[tecnico]],tblTecnicos[nombre],tblTecnicos[area],"")</f>
        <v/>
      </c>
      <c r="E50" s="3">
        <f>_xlfn.XLOOKUP(tblAsignaciones[[#This Row],[tecnico]],tblTecnicos[nombre],tblTecnicos[especialidad],"")</f>
        <v/>
      </c>
      <c r="F50" s="6" t="inlineStr">
        <is>
          <t>T1</t>
        </is>
      </c>
      <c r="G50" s="3">
        <f>_xlfn.XLOOKUP(tblAsignaciones[[#This Row],[tecnico]],tblTecnicos[nombre],tblTecnicos[coordinador],"")</f>
        <v/>
      </c>
      <c r="H50" s="3">
        <f>IF(OR(tblAsignaciones[[#This Row],[turno]]="",ISNUMBER(MATCH(tblAsignaciones[[#This Row],[turno]],lista_no_disponible,0))),0,p_horas_jornada)</f>
        <v/>
      </c>
      <c r="I50" s="3">
        <f>tblAsignaciones[[#This Row],[semana]]&amp;"|"&amp;tblAsignaciones[[#This Row],[dia]]&amp;"|"&amp;tblAsignaciones[[#This Row],[tecnico]]</f>
        <v/>
      </c>
    </row>
    <row r="51">
      <c r="A51" s="3" t="inlineStr">
        <is>
          <t>2026-S29</t>
        </is>
      </c>
      <c r="B51" s="3" t="inlineStr">
        <is>
          <t>sábado</t>
        </is>
      </c>
      <c r="C51" s="3" t="inlineStr">
        <is>
          <t>Técnico 07</t>
        </is>
      </c>
      <c r="D51" s="3">
        <f>_xlfn.XLOOKUP(tblAsignaciones[[#This Row],[tecnico]],tblTecnicos[nombre],tblTecnicos[area],"")</f>
        <v/>
      </c>
      <c r="E51" s="3">
        <f>_xlfn.XLOOKUP(tblAsignaciones[[#This Row],[tecnico]],tblTecnicos[nombre],tblTecnicos[especialidad],"")</f>
        <v/>
      </c>
      <c r="F51" s="6" t="inlineStr"/>
      <c r="G51" s="3">
        <f>_xlfn.XLOOKUP(tblAsignaciones[[#This Row],[tecnico]],tblTecnicos[nombre],tblTecnicos[coordinador],"")</f>
        <v/>
      </c>
      <c r="H51" s="3">
        <f>IF(OR(tblAsignaciones[[#This Row],[turno]]="",ISNUMBER(MATCH(tblAsignaciones[[#This Row],[turno]],lista_no_disponible,0))),0,p_horas_jornada)</f>
        <v/>
      </c>
      <c r="I51" s="3">
        <f>tblAsignaciones[[#This Row],[semana]]&amp;"|"&amp;tblAsignaciones[[#This Row],[dia]]&amp;"|"&amp;tblAsignaciones[[#This Row],[tecnico]]</f>
        <v/>
      </c>
    </row>
    <row r="52">
      <c r="A52" s="3" t="inlineStr">
        <is>
          <t>2026-S29</t>
        </is>
      </c>
      <c r="B52" s="3" t="inlineStr">
        <is>
          <t>domingo</t>
        </is>
      </c>
      <c r="C52" s="3" t="inlineStr">
        <is>
          <t>Técnico 07</t>
        </is>
      </c>
      <c r="D52" s="3">
        <f>_xlfn.XLOOKUP(tblAsignaciones[[#This Row],[tecnico]],tblTecnicos[nombre],tblTecnicos[area],"")</f>
        <v/>
      </c>
      <c r="E52" s="3">
        <f>_xlfn.XLOOKUP(tblAsignaciones[[#This Row],[tecnico]],tblTecnicos[nombre],tblTecnicos[especialidad],"")</f>
        <v/>
      </c>
      <c r="F52" s="6" t="inlineStr"/>
      <c r="G52" s="3">
        <f>_xlfn.XLOOKUP(tblAsignaciones[[#This Row],[tecnico]],tblTecnicos[nombre],tblTecnicos[coordinador],"")</f>
        <v/>
      </c>
      <c r="H52" s="3">
        <f>IF(OR(tblAsignaciones[[#This Row],[turno]]="",ISNUMBER(MATCH(tblAsignaciones[[#This Row],[turno]],lista_no_disponible,0))),0,p_horas_jornada)</f>
        <v/>
      </c>
      <c r="I52" s="3">
        <f>tblAsignaciones[[#This Row],[semana]]&amp;"|"&amp;tblAsignaciones[[#This Row],[dia]]&amp;"|"&amp;tblAsignaciones[[#This Row],[tecnico]]</f>
        <v/>
      </c>
    </row>
    <row r="53">
      <c r="A53" s="3" t="inlineStr">
        <is>
          <t>2026-S29</t>
        </is>
      </c>
      <c r="B53" s="3" t="inlineStr">
        <is>
          <t>lunes</t>
        </is>
      </c>
      <c r="C53" s="3" t="inlineStr">
        <is>
          <t>Técnico 08</t>
        </is>
      </c>
      <c r="D53" s="3">
        <f>_xlfn.XLOOKUP(tblAsignaciones[[#This Row],[tecnico]],tblTecnicos[nombre],tblTecnicos[area],"")</f>
        <v/>
      </c>
      <c r="E53" s="3">
        <f>_xlfn.XLOOKUP(tblAsignaciones[[#This Row],[tecnico]],tblTecnicos[nombre],tblTecnicos[especialidad],"")</f>
        <v/>
      </c>
      <c r="F53" s="6" t="inlineStr">
        <is>
          <t>T3</t>
        </is>
      </c>
      <c r="G53" s="3">
        <f>_xlfn.XLOOKUP(tblAsignaciones[[#This Row],[tecnico]],tblTecnicos[nombre],tblTecnicos[coordinador],"")</f>
        <v/>
      </c>
      <c r="H53" s="3">
        <f>IF(OR(tblAsignaciones[[#This Row],[turno]]="",ISNUMBER(MATCH(tblAsignaciones[[#This Row],[turno]],lista_no_disponible,0))),0,p_horas_jornada)</f>
        <v/>
      </c>
      <c r="I53" s="3">
        <f>tblAsignaciones[[#This Row],[semana]]&amp;"|"&amp;tblAsignaciones[[#This Row],[dia]]&amp;"|"&amp;tblAsignaciones[[#This Row],[tecnico]]</f>
        <v/>
      </c>
    </row>
    <row r="54">
      <c r="A54" s="3" t="inlineStr">
        <is>
          <t>2026-S29</t>
        </is>
      </c>
      <c r="B54" s="3" t="inlineStr">
        <is>
          <t>martes</t>
        </is>
      </c>
      <c r="C54" s="3" t="inlineStr">
        <is>
          <t>Técnico 08</t>
        </is>
      </c>
      <c r="D54" s="3">
        <f>_xlfn.XLOOKUP(tblAsignaciones[[#This Row],[tecnico]],tblTecnicos[nombre],tblTecnicos[area],"")</f>
        <v/>
      </c>
      <c r="E54" s="3">
        <f>_xlfn.XLOOKUP(tblAsignaciones[[#This Row],[tecnico]],tblTecnicos[nombre],tblTecnicos[especialidad],"")</f>
        <v/>
      </c>
      <c r="F54" s="6" t="inlineStr">
        <is>
          <t>T3</t>
        </is>
      </c>
      <c r="G54" s="3">
        <f>_xlfn.XLOOKUP(tblAsignaciones[[#This Row],[tecnico]],tblTecnicos[nombre],tblTecnicos[coordinador],"")</f>
        <v/>
      </c>
      <c r="H54" s="3">
        <f>IF(OR(tblAsignaciones[[#This Row],[turno]]="",ISNUMBER(MATCH(tblAsignaciones[[#This Row],[turno]],lista_no_disponible,0))),0,p_horas_jornada)</f>
        <v/>
      </c>
      <c r="I54" s="3">
        <f>tblAsignaciones[[#This Row],[semana]]&amp;"|"&amp;tblAsignaciones[[#This Row],[dia]]&amp;"|"&amp;tblAsignaciones[[#This Row],[tecnico]]</f>
        <v/>
      </c>
    </row>
    <row r="55">
      <c r="A55" s="3" t="inlineStr">
        <is>
          <t>2026-S29</t>
        </is>
      </c>
      <c r="B55" s="3" t="inlineStr">
        <is>
          <t>miércoles</t>
        </is>
      </c>
      <c r="C55" s="3" t="inlineStr">
        <is>
          <t>Técnico 08</t>
        </is>
      </c>
      <c r="D55" s="3">
        <f>_xlfn.XLOOKUP(tblAsignaciones[[#This Row],[tecnico]],tblTecnicos[nombre],tblTecnicos[area],"")</f>
        <v/>
      </c>
      <c r="E55" s="3">
        <f>_xlfn.XLOOKUP(tblAsignaciones[[#This Row],[tecnico]],tblTecnicos[nombre],tblTecnicos[especialidad],"")</f>
        <v/>
      </c>
      <c r="F55" s="6" t="inlineStr">
        <is>
          <t>T3</t>
        </is>
      </c>
      <c r="G55" s="3">
        <f>_xlfn.XLOOKUP(tblAsignaciones[[#This Row],[tecnico]],tblTecnicos[nombre],tblTecnicos[coordinador],"")</f>
        <v/>
      </c>
      <c r="H55" s="3">
        <f>IF(OR(tblAsignaciones[[#This Row],[turno]]="",ISNUMBER(MATCH(tblAsignaciones[[#This Row],[turno]],lista_no_disponible,0))),0,p_horas_jornada)</f>
        <v/>
      </c>
      <c r="I55" s="3">
        <f>tblAsignaciones[[#This Row],[semana]]&amp;"|"&amp;tblAsignaciones[[#This Row],[dia]]&amp;"|"&amp;tblAsignaciones[[#This Row],[tecnico]]</f>
        <v/>
      </c>
    </row>
    <row r="56">
      <c r="A56" s="3" t="inlineStr">
        <is>
          <t>2026-S29</t>
        </is>
      </c>
      <c r="B56" s="3" t="inlineStr">
        <is>
          <t>jueves</t>
        </is>
      </c>
      <c r="C56" s="3" t="inlineStr">
        <is>
          <t>Técnico 08</t>
        </is>
      </c>
      <c r="D56" s="3">
        <f>_xlfn.XLOOKUP(tblAsignaciones[[#This Row],[tecnico]],tblTecnicos[nombre],tblTecnicos[area],"")</f>
        <v/>
      </c>
      <c r="E56" s="3">
        <f>_xlfn.XLOOKUP(tblAsignaciones[[#This Row],[tecnico]],tblTecnicos[nombre],tblTecnicos[especialidad],"")</f>
        <v/>
      </c>
      <c r="F56" s="6" t="inlineStr">
        <is>
          <t>T3</t>
        </is>
      </c>
      <c r="G56" s="3">
        <f>_xlfn.XLOOKUP(tblAsignaciones[[#This Row],[tecnico]],tblTecnicos[nombre],tblTecnicos[coordinador],"")</f>
        <v/>
      </c>
      <c r="H56" s="3">
        <f>IF(OR(tblAsignaciones[[#This Row],[turno]]="",ISNUMBER(MATCH(tblAsignaciones[[#This Row],[turno]],lista_no_disponible,0))),0,p_horas_jornada)</f>
        <v/>
      </c>
      <c r="I56" s="3">
        <f>tblAsignaciones[[#This Row],[semana]]&amp;"|"&amp;tblAsignaciones[[#This Row],[dia]]&amp;"|"&amp;tblAsignaciones[[#This Row],[tecnico]]</f>
        <v/>
      </c>
    </row>
    <row r="57">
      <c r="A57" s="3" t="inlineStr">
        <is>
          <t>2026-S29</t>
        </is>
      </c>
      <c r="B57" s="3" t="inlineStr">
        <is>
          <t>viernes</t>
        </is>
      </c>
      <c r="C57" s="3" t="inlineStr">
        <is>
          <t>Técnico 08</t>
        </is>
      </c>
      <c r="D57" s="3">
        <f>_xlfn.XLOOKUP(tblAsignaciones[[#This Row],[tecnico]],tblTecnicos[nombre],tblTecnicos[area],"")</f>
        <v/>
      </c>
      <c r="E57" s="3">
        <f>_xlfn.XLOOKUP(tblAsignaciones[[#This Row],[tecnico]],tblTecnicos[nombre],tblTecnicos[especialidad],"")</f>
        <v/>
      </c>
      <c r="F57" s="6" t="inlineStr">
        <is>
          <t>T3</t>
        </is>
      </c>
      <c r="G57" s="3">
        <f>_xlfn.XLOOKUP(tblAsignaciones[[#This Row],[tecnico]],tblTecnicos[nombre],tblTecnicos[coordinador],"")</f>
        <v/>
      </c>
      <c r="H57" s="3">
        <f>IF(OR(tblAsignaciones[[#This Row],[turno]]="",ISNUMBER(MATCH(tblAsignaciones[[#This Row],[turno]],lista_no_disponible,0))),0,p_horas_jornada)</f>
        <v/>
      </c>
      <c r="I57" s="3">
        <f>tblAsignaciones[[#This Row],[semana]]&amp;"|"&amp;tblAsignaciones[[#This Row],[dia]]&amp;"|"&amp;tblAsignaciones[[#This Row],[tecnico]]</f>
        <v/>
      </c>
    </row>
    <row r="58">
      <c r="A58" s="3" t="inlineStr">
        <is>
          <t>2026-S29</t>
        </is>
      </c>
      <c r="B58" s="3" t="inlineStr">
        <is>
          <t>sábado</t>
        </is>
      </c>
      <c r="C58" s="3" t="inlineStr">
        <is>
          <t>Técnico 08</t>
        </is>
      </c>
      <c r="D58" s="3">
        <f>_xlfn.XLOOKUP(tblAsignaciones[[#This Row],[tecnico]],tblTecnicos[nombre],tblTecnicos[area],"")</f>
        <v/>
      </c>
      <c r="E58" s="3">
        <f>_xlfn.XLOOKUP(tblAsignaciones[[#This Row],[tecnico]],tblTecnicos[nombre],tblTecnicos[especialidad],"")</f>
        <v/>
      </c>
      <c r="F58" s="6" t="inlineStr"/>
      <c r="G58" s="3">
        <f>_xlfn.XLOOKUP(tblAsignaciones[[#This Row],[tecnico]],tblTecnicos[nombre],tblTecnicos[coordinador],"")</f>
        <v/>
      </c>
      <c r="H58" s="3">
        <f>IF(OR(tblAsignaciones[[#This Row],[turno]]="",ISNUMBER(MATCH(tblAsignaciones[[#This Row],[turno]],lista_no_disponible,0))),0,p_horas_jornada)</f>
        <v/>
      </c>
      <c r="I58" s="3">
        <f>tblAsignaciones[[#This Row],[semana]]&amp;"|"&amp;tblAsignaciones[[#This Row],[dia]]&amp;"|"&amp;tblAsignaciones[[#This Row],[tecnico]]</f>
        <v/>
      </c>
    </row>
    <row r="59">
      <c r="A59" s="3" t="inlineStr">
        <is>
          <t>2026-S29</t>
        </is>
      </c>
      <c r="B59" s="3" t="inlineStr">
        <is>
          <t>domingo</t>
        </is>
      </c>
      <c r="C59" s="3" t="inlineStr">
        <is>
          <t>Técnico 08</t>
        </is>
      </c>
      <c r="D59" s="3">
        <f>_xlfn.XLOOKUP(tblAsignaciones[[#This Row],[tecnico]],tblTecnicos[nombre],tblTecnicos[area],"")</f>
        <v/>
      </c>
      <c r="E59" s="3">
        <f>_xlfn.XLOOKUP(tblAsignaciones[[#This Row],[tecnico]],tblTecnicos[nombre],tblTecnicos[especialidad],"")</f>
        <v/>
      </c>
      <c r="F59" s="6" t="inlineStr"/>
      <c r="G59" s="3">
        <f>_xlfn.XLOOKUP(tblAsignaciones[[#This Row],[tecnico]],tblTecnicos[nombre],tblTecnicos[coordinador],"")</f>
        <v/>
      </c>
      <c r="H59" s="3">
        <f>IF(OR(tblAsignaciones[[#This Row],[turno]]="",ISNUMBER(MATCH(tblAsignaciones[[#This Row],[turno]],lista_no_disponible,0))),0,p_horas_jornada)</f>
        <v/>
      </c>
      <c r="I59" s="3">
        <f>tblAsignaciones[[#This Row],[semana]]&amp;"|"&amp;tblAsignaciones[[#This Row],[dia]]&amp;"|"&amp;tblAsignaciones[[#This Row],[tecnico]]</f>
        <v/>
      </c>
    </row>
    <row r="60">
      <c r="A60" s="3" t="inlineStr">
        <is>
          <t>2026-S29</t>
        </is>
      </c>
      <c r="B60" s="3" t="inlineStr">
        <is>
          <t>lunes</t>
        </is>
      </c>
      <c r="C60" s="3" t="inlineStr">
        <is>
          <t>Técnico 09</t>
        </is>
      </c>
      <c r="D60" s="3">
        <f>_xlfn.XLOOKUP(tblAsignaciones[[#This Row],[tecnico]],tblTecnicos[nombre],tblTecnicos[area],"")</f>
        <v/>
      </c>
      <c r="E60" s="3">
        <f>_xlfn.XLOOKUP(tblAsignaciones[[#This Row],[tecnico]],tblTecnicos[nombre],tblTecnicos[especialidad],"")</f>
        <v/>
      </c>
      <c r="F60" s="6" t="inlineStr">
        <is>
          <t>T1</t>
        </is>
      </c>
      <c r="G60" s="3">
        <f>_xlfn.XLOOKUP(tblAsignaciones[[#This Row],[tecnico]],tblTecnicos[nombre],tblTecnicos[coordinador],"")</f>
        <v/>
      </c>
      <c r="H60" s="3">
        <f>IF(OR(tblAsignaciones[[#This Row],[turno]]="",ISNUMBER(MATCH(tblAsignaciones[[#This Row],[turno]],lista_no_disponible,0))),0,p_horas_jornada)</f>
        <v/>
      </c>
      <c r="I60" s="3">
        <f>tblAsignaciones[[#This Row],[semana]]&amp;"|"&amp;tblAsignaciones[[#This Row],[dia]]&amp;"|"&amp;tblAsignaciones[[#This Row],[tecnico]]</f>
        <v/>
      </c>
    </row>
    <row r="61">
      <c r="A61" s="3" t="inlineStr">
        <is>
          <t>2026-S29</t>
        </is>
      </c>
      <c r="B61" s="3" t="inlineStr">
        <is>
          <t>martes</t>
        </is>
      </c>
      <c r="C61" s="3" t="inlineStr">
        <is>
          <t>Técnico 09</t>
        </is>
      </c>
      <c r="D61" s="3">
        <f>_xlfn.XLOOKUP(tblAsignaciones[[#This Row],[tecnico]],tblTecnicos[nombre],tblTecnicos[area],"")</f>
        <v/>
      </c>
      <c r="E61" s="3">
        <f>_xlfn.XLOOKUP(tblAsignaciones[[#This Row],[tecnico]],tblTecnicos[nombre],tblTecnicos[especialidad],"")</f>
        <v/>
      </c>
      <c r="F61" s="6" t="inlineStr">
        <is>
          <t>T1</t>
        </is>
      </c>
      <c r="G61" s="3">
        <f>_xlfn.XLOOKUP(tblAsignaciones[[#This Row],[tecnico]],tblTecnicos[nombre],tblTecnicos[coordinador],"")</f>
        <v/>
      </c>
      <c r="H61" s="3">
        <f>IF(OR(tblAsignaciones[[#This Row],[turno]]="",ISNUMBER(MATCH(tblAsignaciones[[#This Row],[turno]],lista_no_disponible,0))),0,p_horas_jornada)</f>
        <v/>
      </c>
      <c r="I61" s="3">
        <f>tblAsignaciones[[#This Row],[semana]]&amp;"|"&amp;tblAsignaciones[[#This Row],[dia]]&amp;"|"&amp;tblAsignaciones[[#This Row],[tecnico]]</f>
        <v/>
      </c>
    </row>
    <row r="62">
      <c r="A62" s="3" t="inlineStr">
        <is>
          <t>2026-S29</t>
        </is>
      </c>
      <c r="B62" s="3" t="inlineStr">
        <is>
          <t>miércoles</t>
        </is>
      </c>
      <c r="C62" s="3" t="inlineStr">
        <is>
          <t>Técnico 09</t>
        </is>
      </c>
      <c r="D62" s="3">
        <f>_xlfn.XLOOKUP(tblAsignaciones[[#This Row],[tecnico]],tblTecnicos[nombre],tblTecnicos[area],"")</f>
        <v/>
      </c>
      <c r="E62" s="3">
        <f>_xlfn.XLOOKUP(tblAsignaciones[[#This Row],[tecnico]],tblTecnicos[nombre],tblTecnicos[especialidad],"")</f>
        <v/>
      </c>
      <c r="F62" s="6" t="inlineStr">
        <is>
          <t>T1</t>
        </is>
      </c>
      <c r="G62" s="3">
        <f>_xlfn.XLOOKUP(tblAsignaciones[[#This Row],[tecnico]],tblTecnicos[nombre],tblTecnicos[coordinador],"")</f>
        <v/>
      </c>
      <c r="H62" s="3">
        <f>IF(OR(tblAsignaciones[[#This Row],[turno]]="",ISNUMBER(MATCH(tblAsignaciones[[#This Row],[turno]],lista_no_disponible,0))),0,p_horas_jornada)</f>
        <v/>
      </c>
      <c r="I62" s="3">
        <f>tblAsignaciones[[#This Row],[semana]]&amp;"|"&amp;tblAsignaciones[[#This Row],[dia]]&amp;"|"&amp;tblAsignaciones[[#This Row],[tecnico]]</f>
        <v/>
      </c>
    </row>
    <row r="63">
      <c r="A63" s="3" t="inlineStr">
        <is>
          <t>2026-S29</t>
        </is>
      </c>
      <c r="B63" s="3" t="inlineStr">
        <is>
          <t>jueves</t>
        </is>
      </c>
      <c r="C63" s="3" t="inlineStr">
        <is>
          <t>Técnico 09</t>
        </is>
      </c>
      <c r="D63" s="3">
        <f>_xlfn.XLOOKUP(tblAsignaciones[[#This Row],[tecnico]],tblTecnicos[nombre],tblTecnicos[area],"")</f>
        <v/>
      </c>
      <c r="E63" s="3">
        <f>_xlfn.XLOOKUP(tblAsignaciones[[#This Row],[tecnico]],tblTecnicos[nombre],tblTecnicos[especialidad],"")</f>
        <v/>
      </c>
      <c r="F63" s="6" t="inlineStr">
        <is>
          <t>T1</t>
        </is>
      </c>
      <c r="G63" s="3">
        <f>_xlfn.XLOOKUP(tblAsignaciones[[#This Row],[tecnico]],tblTecnicos[nombre],tblTecnicos[coordinador],"")</f>
        <v/>
      </c>
      <c r="H63" s="3">
        <f>IF(OR(tblAsignaciones[[#This Row],[turno]]="",ISNUMBER(MATCH(tblAsignaciones[[#This Row],[turno]],lista_no_disponible,0))),0,p_horas_jornada)</f>
        <v/>
      </c>
      <c r="I63" s="3">
        <f>tblAsignaciones[[#This Row],[semana]]&amp;"|"&amp;tblAsignaciones[[#This Row],[dia]]&amp;"|"&amp;tblAsignaciones[[#This Row],[tecnico]]</f>
        <v/>
      </c>
    </row>
    <row r="64">
      <c r="A64" s="3" t="inlineStr">
        <is>
          <t>2026-S29</t>
        </is>
      </c>
      <c r="B64" s="3" t="inlineStr">
        <is>
          <t>viernes</t>
        </is>
      </c>
      <c r="C64" s="3" t="inlineStr">
        <is>
          <t>Técnico 09</t>
        </is>
      </c>
      <c r="D64" s="3">
        <f>_xlfn.XLOOKUP(tblAsignaciones[[#This Row],[tecnico]],tblTecnicos[nombre],tblTecnicos[area],"")</f>
        <v/>
      </c>
      <c r="E64" s="3">
        <f>_xlfn.XLOOKUP(tblAsignaciones[[#This Row],[tecnico]],tblTecnicos[nombre],tblTecnicos[especialidad],"")</f>
        <v/>
      </c>
      <c r="F64" s="6" t="inlineStr">
        <is>
          <t>T1</t>
        </is>
      </c>
      <c r="G64" s="3">
        <f>_xlfn.XLOOKUP(tblAsignaciones[[#This Row],[tecnico]],tblTecnicos[nombre],tblTecnicos[coordinador],"")</f>
        <v/>
      </c>
      <c r="H64" s="3">
        <f>IF(OR(tblAsignaciones[[#This Row],[turno]]="",ISNUMBER(MATCH(tblAsignaciones[[#This Row],[turno]],lista_no_disponible,0))),0,p_horas_jornada)</f>
        <v/>
      </c>
      <c r="I64" s="3">
        <f>tblAsignaciones[[#This Row],[semana]]&amp;"|"&amp;tblAsignaciones[[#This Row],[dia]]&amp;"|"&amp;tblAsignaciones[[#This Row],[tecnico]]</f>
        <v/>
      </c>
    </row>
    <row r="65">
      <c r="A65" s="3" t="inlineStr">
        <is>
          <t>2026-S29</t>
        </is>
      </c>
      <c r="B65" s="3" t="inlineStr">
        <is>
          <t>sábado</t>
        </is>
      </c>
      <c r="C65" s="3" t="inlineStr">
        <is>
          <t>Técnico 09</t>
        </is>
      </c>
      <c r="D65" s="3">
        <f>_xlfn.XLOOKUP(tblAsignaciones[[#This Row],[tecnico]],tblTecnicos[nombre],tblTecnicos[area],"")</f>
        <v/>
      </c>
      <c r="E65" s="3">
        <f>_xlfn.XLOOKUP(tblAsignaciones[[#This Row],[tecnico]],tblTecnicos[nombre],tblTecnicos[especialidad],"")</f>
        <v/>
      </c>
      <c r="F65" s="6" t="inlineStr"/>
      <c r="G65" s="3">
        <f>_xlfn.XLOOKUP(tblAsignaciones[[#This Row],[tecnico]],tblTecnicos[nombre],tblTecnicos[coordinador],"")</f>
        <v/>
      </c>
      <c r="H65" s="3">
        <f>IF(OR(tblAsignaciones[[#This Row],[turno]]="",ISNUMBER(MATCH(tblAsignaciones[[#This Row],[turno]],lista_no_disponible,0))),0,p_horas_jornada)</f>
        <v/>
      </c>
      <c r="I65" s="3">
        <f>tblAsignaciones[[#This Row],[semana]]&amp;"|"&amp;tblAsignaciones[[#This Row],[dia]]&amp;"|"&amp;tblAsignaciones[[#This Row],[tecnico]]</f>
        <v/>
      </c>
    </row>
    <row r="66">
      <c r="A66" s="3" t="inlineStr">
        <is>
          <t>2026-S29</t>
        </is>
      </c>
      <c r="B66" s="3" t="inlineStr">
        <is>
          <t>domingo</t>
        </is>
      </c>
      <c r="C66" s="3" t="inlineStr">
        <is>
          <t>Técnico 09</t>
        </is>
      </c>
      <c r="D66" s="3">
        <f>_xlfn.XLOOKUP(tblAsignaciones[[#This Row],[tecnico]],tblTecnicos[nombre],tblTecnicos[area],"")</f>
        <v/>
      </c>
      <c r="E66" s="3">
        <f>_xlfn.XLOOKUP(tblAsignaciones[[#This Row],[tecnico]],tblTecnicos[nombre],tblTecnicos[especialidad],"")</f>
        <v/>
      </c>
      <c r="F66" s="6" t="inlineStr"/>
      <c r="G66" s="3">
        <f>_xlfn.XLOOKUP(tblAsignaciones[[#This Row],[tecnico]],tblTecnicos[nombre],tblTecnicos[coordinador],"")</f>
        <v/>
      </c>
      <c r="H66" s="3">
        <f>IF(OR(tblAsignaciones[[#This Row],[turno]]="",ISNUMBER(MATCH(tblAsignaciones[[#This Row],[turno]],lista_no_disponible,0))),0,p_horas_jornada)</f>
        <v/>
      </c>
      <c r="I66" s="3">
        <f>tblAsignaciones[[#This Row],[semana]]&amp;"|"&amp;tblAsignaciones[[#This Row],[dia]]&amp;"|"&amp;tblAsignaciones[[#This Row],[tecnico]]</f>
        <v/>
      </c>
    </row>
    <row r="67">
      <c r="A67" s="3" t="inlineStr">
        <is>
          <t>2026-S29</t>
        </is>
      </c>
      <c r="B67" s="3" t="inlineStr">
        <is>
          <t>lunes</t>
        </is>
      </c>
      <c r="C67" s="3" t="inlineStr">
        <is>
          <t>Técnico 10</t>
        </is>
      </c>
      <c r="D67" s="3">
        <f>_xlfn.XLOOKUP(tblAsignaciones[[#This Row],[tecnico]],tblTecnicos[nombre],tblTecnicos[area],"")</f>
        <v/>
      </c>
      <c r="E67" s="3">
        <f>_xlfn.XLOOKUP(tblAsignaciones[[#This Row],[tecnico]],tblTecnicos[nombre],tblTecnicos[especialidad],"")</f>
        <v/>
      </c>
      <c r="F67" s="6" t="inlineStr">
        <is>
          <t>B1</t>
        </is>
      </c>
      <c r="G67" s="3">
        <f>_xlfn.XLOOKUP(tblAsignaciones[[#This Row],[tecnico]],tblTecnicos[nombre],tblTecnicos[coordinador],"")</f>
        <v/>
      </c>
      <c r="H67" s="3">
        <f>IF(OR(tblAsignaciones[[#This Row],[turno]]="",ISNUMBER(MATCH(tblAsignaciones[[#This Row],[turno]],lista_no_disponible,0))),0,p_horas_jornada)</f>
        <v/>
      </c>
      <c r="I67" s="3">
        <f>tblAsignaciones[[#This Row],[semana]]&amp;"|"&amp;tblAsignaciones[[#This Row],[dia]]&amp;"|"&amp;tblAsignaciones[[#This Row],[tecnico]]</f>
        <v/>
      </c>
    </row>
    <row r="68">
      <c r="A68" s="3" t="inlineStr">
        <is>
          <t>2026-S29</t>
        </is>
      </c>
      <c r="B68" s="3" t="inlineStr">
        <is>
          <t>martes</t>
        </is>
      </c>
      <c r="C68" s="3" t="inlineStr">
        <is>
          <t>Técnico 10</t>
        </is>
      </c>
      <c r="D68" s="3">
        <f>_xlfn.XLOOKUP(tblAsignaciones[[#This Row],[tecnico]],tblTecnicos[nombre],tblTecnicos[area],"")</f>
        <v/>
      </c>
      <c r="E68" s="3">
        <f>_xlfn.XLOOKUP(tblAsignaciones[[#This Row],[tecnico]],tblTecnicos[nombre],tblTecnicos[especialidad],"")</f>
        <v/>
      </c>
      <c r="F68" s="6" t="inlineStr">
        <is>
          <t>B1</t>
        </is>
      </c>
      <c r="G68" s="3">
        <f>_xlfn.XLOOKUP(tblAsignaciones[[#This Row],[tecnico]],tblTecnicos[nombre],tblTecnicos[coordinador],"")</f>
        <v/>
      </c>
      <c r="H68" s="3">
        <f>IF(OR(tblAsignaciones[[#This Row],[turno]]="",ISNUMBER(MATCH(tblAsignaciones[[#This Row],[turno]],lista_no_disponible,0))),0,p_horas_jornada)</f>
        <v/>
      </c>
      <c r="I68" s="3">
        <f>tblAsignaciones[[#This Row],[semana]]&amp;"|"&amp;tblAsignaciones[[#This Row],[dia]]&amp;"|"&amp;tblAsignaciones[[#This Row],[tecnico]]</f>
        <v/>
      </c>
    </row>
    <row r="69">
      <c r="A69" s="3" t="inlineStr">
        <is>
          <t>2026-S29</t>
        </is>
      </c>
      <c r="B69" s="3" t="inlineStr">
        <is>
          <t>miércoles</t>
        </is>
      </c>
      <c r="C69" s="3" t="inlineStr">
        <is>
          <t>Técnico 10</t>
        </is>
      </c>
      <c r="D69" s="3">
        <f>_xlfn.XLOOKUP(tblAsignaciones[[#This Row],[tecnico]],tblTecnicos[nombre],tblTecnicos[area],"")</f>
        <v/>
      </c>
      <c r="E69" s="3">
        <f>_xlfn.XLOOKUP(tblAsignaciones[[#This Row],[tecnico]],tblTecnicos[nombre],tblTecnicos[especialidad],"")</f>
        <v/>
      </c>
      <c r="F69" s="6" t="inlineStr">
        <is>
          <t>B1</t>
        </is>
      </c>
      <c r="G69" s="3">
        <f>_xlfn.XLOOKUP(tblAsignaciones[[#This Row],[tecnico]],tblTecnicos[nombre],tblTecnicos[coordinador],"")</f>
        <v/>
      </c>
      <c r="H69" s="3">
        <f>IF(OR(tblAsignaciones[[#This Row],[turno]]="",ISNUMBER(MATCH(tblAsignaciones[[#This Row],[turno]],lista_no_disponible,0))),0,p_horas_jornada)</f>
        <v/>
      </c>
      <c r="I69" s="3">
        <f>tblAsignaciones[[#This Row],[semana]]&amp;"|"&amp;tblAsignaciones[[#This Row],[dia]]&amp;"|"&amp;tblAsignaciones[[#This Row],[tecnico]]</f>
        <v/>
      </c>
    </row>
    <row r="70">
      <c r="A70" s="3" t="inlineStr">
        <is>
          <t>2026-S29</t>
        </is>
      </c>
      <c r="B70" s="3" t="inlineStr">
        <is>
          <t>jueves</t>
        </is>
      </c>
      <c r="C70" s="3" t="inlineStr">
        <is>
          <t>Técnico 10</t>
        </is>
      </c>
      <c r="D70" s="3">
        <f>_xlfn.XLOOKUP(tblAsignaciones[[#This Row],[tecnico]],tblTecnicos[nombre],tblTecnicos[area],"")</f>
        <v/>
      </c>
      <c r="E70" s="3">
        <f>_xlfn.XLOOKUP(tblAsignaciones[[#This Row],[tecnico]],tblTecnicos[nombre],tblTecnicos[especialidad],"")</f>
        <v/>
      </c>
      <c r="F70" s="6" t="inlineStr">
        <is>
          <t>B1</t>
        </is>
      </c>
      <c r="G70" s="3">
        <f>_xlfn.XLOOKUP(tblAsignaciones[[#This Row],[tecnico]],tblTecnicos[nombre],tblTecnicos[coordinador],"")</f>
        <v/>
      </c>
      <c r="H70" s="3">
        <f>IF(OR(tblAsignaciones[[#This Row],[turno]]="",ISNUMBER(MATCH(tblAsignaciones[[#This Row],[turno]],lista_no_disponible,0))),0,p_horas_jornada)</f>
        <v/>
      </c>
      <c r="I70" s="3">
        <f>tblAsignaciones[[#This Row],[semana]]&amp;"|"&amp;tblAsignaciones[[#This Row],[dia]]&amp;"|"&amp;tblAsignaciones[[#This Row],[tecnico]]</f>
        <v/>
      </c>
    </row>
    <row r="71">
      <c r="A71" s="3" t="inlineStr">
        <is>
          <t>2026-S29</t>
        </is>
      </c>
      <c r="B71" s="3" t="inlineStr">
        <is>
          <t>viernes</t>
        </is>
      </c>
      <c r="C71" s="3" t="inlineStr">
        <is>
          <t>Técnico 10</t>
        </is>
      </c>
      <c r="D71" s="3">
        <f>_xlfn.XLOOKUP(tblAsignaciones[[#This Row],[tecnico]],tblTecnicos[nombre],tblTecnicos[area],"")</f>
        <v/>
      </c>
      <c r="E71" s="3">
        <f>_xlfn.XLOOKUP(tblAsignaciones[[#This Row],[tecnico]],tblTecnicos[nombre],tblTecnicos[especialidad],"")</f>
        <v/>
      </c>
      <c r="F71" s="6" t="inlineStr">
        <is>
          <t>B1</t>
        </is>
      </c>
      <c r="G71" s="3">
        <f>_xlfn.XLOOKUP(tblAsignaciones[[#This Row],[tecnico]],tblTecnicos[nombre],tblTecnicos[coordinador],"")</f>
        <v/>
      </c>
      <c r="H71" s="3">
        <f>IF(OR(tblAsignaciones[[#This Row],[turno]]="",ISNUMBER(MATCH(tblAsignaciones[[#This Row],[turno]],lista_no_disponible,0))),0,p_horas_jornada)</f>
        <v/>
      </c>
      <c r="I71" s="3">
        <f>tblAsignaciones[[#This Row],[semana]]&amp;"|"&amp;tblAsignaciones[[#This Row],[dia]]&amp;"|"&amp;tblAsignaciones[[#This Row],[tecnico]]</f>
        <v/>
      </c>
    </row>
    <row r="72">
      <c r="A72" s="3" t="inlineStr">
        <is>
          <t>2026-S29</t>
        </is>
      </c>
      <c r="B72" s="3" t="inlineStr">
        <is>
          <t>sábado</t>
        </is>
      </c>
      <c r="C72" s="3" t="inlineStr">
        <is>
          <t>Técnico 10</t>
        </is>
      </c>
      <c r="D72" s="3">
        <f>_xlfn.XLOOKUP(tblAsignaciones[[#This Row],[tecnico]],tblTecnicos[nombre],tblTecnicos[area],"")</f>
        <v/>
      </c>
      <c r="E72" s="3">
        <f>_xlfn.XLOOKUP(tblAsignaciones[[#This Row],[tecnico]],tblTecnicos[nombre],tblTecnicos[especialidad],"")</f>
        <v/>
      </c>
      <c r="F72" s="6" t="inlineStr"/>
      <c r="G72" s="3">
        <f>_xlfn.XLOOKUP(tblAsignaciones[[#This Row],[tecnico]],tblTecnicos[nombre],tblTecnicos[coordinador],"")</f>
        <v/>
      </c>
      <c r="H72" s="3">
        <f>IF(OR(tblAsignaciones[[#This Row],[turno]]="",ISNUMBER(MATCH(tblAsignaciones[[#This Row],[turno]],lista_no_disponible,0))),0,p_horas_jornada)</f>
        <v/>
      </c>
      <c r="I72" s="3">
        <f>tblAsignaciones[[#This Row],[semana]]&amp;"|"&amp;tblAsignaciones[[#This Row],[dia]]&amp;"|"&amp;tblAsignaciones[[#This Row],[tecnico]]</f>
        <v/>
      </c>
    </row>
    <row r="73">
      <c r="A73" s="3" t="inlineStr">
        <is>
          <t>2026-S29</t>
        </is>
      </c>
      <c r="B73" s="3" t="inlineStr">
        <is>
          <t>domingo</t>
        </is>
      </c>
      <c r="C73" s="3" t="inlineStr">
        <is>
          <t>Técnico 10</t>
        </is>
      </c>
      <c r="D73" s="3">
        <f>_xlfn.XLOOKUP(tblAsignaciones[[#This Row],[tecnico]],tblTecnicos[nombre],tblTecnicos[area],"")</f>
        <v/>
      </c>
      <c r="E73" s="3">
        <f>_xlfn.XLOOKUP(tblAsignaciones[[#This Row],[tecnico]],tblTecnicos[nombre],tblTecnicos[especialidad],"")</f>
        <v/>
      </c>
      <c r="F73" s="6" t="inlineStr"/>
      <c r="G73" s="3">
        <f>_xlfn.XLOOKUP(tblAsignaciones[[#This Row],[tecnico]],tblTecnicos[nombre],tblTecnicos[coordinador],"")</f>
        <v/>
      </c>
      <c r="H73" s="3">
        <f>IF(OR(tblAsignaciones[[#This Row],[turno]]="",ISNUMBER(MATCH(tblAsignaciones[[#This Row],[turno]],lista_no_disponible,0))),0,p_horas_jornada)</f>
        <v/>
      </c>
      <c r="I73" s="3">
        <f>tblAsignaciones[[#This Row],[semana]]&amp;"|"&amp;tblAsignaciones[[#This Row],[dia]]&amp;"|"&amp;tblAsignaciones[[#This Row],[tecnico]]</f>
        <v/>
      </c>
    </row>
    <row r="74">
      <c r="A74" s="3" t="inlineStr">
        <is>
          <t>2026-S29</t>
        </is>
      </c>
      <c r="B74" s="3" t="inlineStr">
        <is>
          <t>lunes</t>
        </is>
      </c>
      <c r="C74" s="3" t="inlineStr">
        <is>
          <t>Técnico 11</t>
        </is>
      </c>
      <c r="D74" s="3">
        <f>_xlfn.XLOOKUP(tblAsignaciones[[#This Row],[tecnico]],tblTecnicos[nombre],tblTecnicos[area],"")</f>
        <v/>
      </c>
      <c r="E74" s="3">
        <f>_xlfn.XLOOKUP(tblAsignaciones[[#This Row],[tecnico]],tblTecnicos[nombre],tblTecnicos[especialidad],"")</f>
        <v/>
      </c>
      <c r="F74" s="6" t="inlineStr">
        <is>
          <t>T1</t>
        </is>
      </c>
      <c r="G74" s="3">
        <f>_xlfn.XLOOKUP(tblAsignaciones[[#This Row],[tecnico]],tblTecnicos[nombre],tblTecnicos[coordinador],"")</f>
        <v/>
      </c>
      <c r="H74" s="3">
        <f>IF(OR(tblAsignaciones[[#This Row],[turno]]="",ISNUMBER(MATCH(tblAsignaciones[[#This Row],[turno]],lista_no_disponible,0))),0,p_horas_jornada)</f>
        <v/>
      </c>
      <c r="I74" s="3">
        <f>tblAsignaciones[[#This Row],[semana]]&amp;"|"&amp;tblAsignaciones[[#This Row],[dia]]&amp;"|"&amp;tblAsignaciones[[#This Row],[tecnico]]</f>
        <v/>
      </c>
    </row>
    <row r="75">
      <c r="A75" s="3" t="inlineStr">
        <is>
          <t>2026-S29</t>
        </is>
      </c>
      <c r="B75" s="3" t="inlineStr">
        <is>
          <t>martes</t>
        </is>
      </c>
      <c r="C75" s="3" t="inlineStr">
        <is>
          <t>Técnico 11</t>
        </is>
      </c>
      <c r="D75" s="3">
        <f>_xlfn.XLOOKUP(tblAsignaciones[[#This Row],[tecnico]],tblTecnicos[nombre],tblTecnicos[area],"")</f>
        <v/>
      </c>
      <c r="E75" s="3">
        <f>_xlfn.XLOOKUP(tblAsignaciones[[#This Row],[tecnico]],tblTecnicos[nombre],tblTecnicos[especialidad],"")</f>
        <v/>
      </c>
      <c r="F75" s="6" t="inlineStr">
        <is>
          <t>T1</t>
        </is>
      </c>
      <c r="G75" s="3">
        <f>_xlfn.XLOOKUP(tblAsignaciones[[#This Row],[tecnico]],tblTecnicos[nombre],tblTecnicos[coordinador],"")</f>
        <v/>
      </c>
      <c r="H75" s="3">
        <f>IF(OR(tblAsignaciones[[#This Row],[turno]]="",ISNUMBER(MATCH(tblAsignaciones[[#This Row],[turno]],lista_no_disponible,0))),0,p_horas_jornada)</f>
        <v/>
      </c>
      <c r="I75" s="3">
        <f>tblAsignaciones[[#This Row],[semana]]&amp;"|"&amp;tblAsignaciones[[#This Row],[dia]]&amp;"|"&amp;tblAsignaciones[[#This Row],[tecnico]]</f>
        <v/>
      </c>
    </row>
    <row r="76">
      <c r="A76" s="3" t="inlineStr">
        <is>
          <t>2026-S29</t>
        </is>
      </c>
      <c r="B76" s="3" t="inlineStr">
        <is>
          <t>miércoles</t>
        </is>
      </c>
      <c r="C76" s="3" t="inlineStr">
        <is>
          <t>Técnico 11</t>
        </is>
      </c>
      <c r="D76" s="3">
        <f>_xlfn.XLOOKUP(tblAsignaciones[[#This Row],[tecnico]],tblTecnicos[nombre],tblTecnicos[area],"")</f>
        <v/>
      </c>
      <c r="E76" s="3">
        <f>_xlfn.XLOOKUP(tblAsignaciones[[#This Row],[tecnico]],tblTecnicos[nombre],tblTecnicos[especialidad],"")</f>
        <v/>
      </c>
      <c r="F76" s="6" t="inlineStr">
        <is>
          <t>T1</t>
        </is>
      </c>
      <c r="G76" s="3">
        <f>_xlfn.XLOOKUP(tblAsignaciones[[#This Row],[tecnico]],tblTecnicos[nombre],tblTecnicos[coordinador],"")</f>
        <v/>
      </c>
      <c r="H76" s="3">
        <f>IF(OR(tblAsignaciones[[#This Row],[turno]]="",ISNUMBER(MATCH(tblAsignaciones[[#This Row],[turno]],lista_no_disponible,0))),0,p_horas_jornada)</f>
        <v/>
      </c>
      <c r="I76" s="3">
        <f>tblAsignaciones[[#This Row],[semana]]&amp;"|"&amp;tblAsignaciones[[#This Row],[dia]]&amp;"|"&amp;tblAsignaciones[[#This Row],[tecnico]]</f>
        <v/>
      </c>
    </row>
    <row r="77">
      <c r="A77" s="3" t="inlineStr">
        <is>
          <t>2026-S29</t>
        </is>
      </c>
      <c r="B77" s="3" t="inlineStr">
        <is>
          <t>jueves</t>
        </is>
      </c>
      <c r="C77" s="3" t="inlineStr">
        <is>
          <t>Técnico 11</t>
        </is>
      </c>
      <c r="D77" s="3">
        <f>_xlfn.XLOOKUP(tblAsignaciones[[#This Row],[tecnico]],tblTecnicos[nombre],tblTecnicos[area],"")</f>
        <v/>
      </c>
      <c r="E77" s="3">
        <f>_xlfn.XLOOKUP(tblAsignaciones[[#This Row],[tecnico]],tblTecnicos[nombre],tblTecnicos[especialidad],"")</f>
        <v/>
      </c>
      <c r="F77" s="6" t="inlineStr">
        <is>
          <t>T1</t>
        </is>
      </c>
      <c r="G77" s="3">
        <f>_xlfn.XLOOKUP(tblAsignaciones[[#This Row],[tecnico]],tblTecnicos[nombre],tblTecnicos[coordinador],"")</f>
        <v/>
      </c>
      <c r="H77" s="3">
        <f>IF(OR(tblAsignaciones[[#This Row],[turno]]="",ISNUMBER(MATCH(tblAsignaciones[[#This Row],[turno]],lista_no_disponible,0))),0,p_horas_jornada)</f>
        <v/>
      </c>
      <c r="I77" s="3">
        <f>tblAsignaciones[[#This Row],[semana]]&amp;"|"&amp;tblAsignaciones[[#This Row],[dia]]&amp;"|"&amp;tblAsignaciones[[#This Row],[tecnico]]</f>
        <v/>
      </c>
    </row>
    <row r="78">
      <c r="A78" s="3" t="inlineStr">
        <is>
          <t>2026-S29</t>
        </is>
      </c>
      <c r="B78" s="3" t="inlineStr">
        <is>
          <t>viernes</t>
        </is>
      </c>
      <c r="C78" s="3" t="inlineStr">
        <is>
          <t>Técnico 11</t>
        </is>
      </c>
      <c r="D78" s="3">
        <f>_xlfn.XLOOKUP(tblAsignaciones[[#This Row],[tecnico]],tblTecnicos[nombre],tblTecnicos[area],"")</f>
        <v/>
      </c>
      <c r="E78" s="3">
        <f>_xlfn.XLOOKUP(tblAsignaciones[[#This Row],[tecnico]],tblTecnicos[nombre],tblTecnicos[especialidad],"")</f>
        <v/>
      </c>
      <c r="F78" s="6" t="inlineStr">
        <is>
          <t>T1</t>
        </is>
      </c>
      <c r="G78" s="3">
        <f>_xlfn.XLOOKUP(tblAsignaciones[[#This Row],[tecnico]],tblTecnicos[nombre],tblTecnicos[coordinador],"")</f>
        <v/>
      </c>
      <c r="H78" s="3">
        <f>IF(OR(tblAsignaciones[[#This Row],[turno]]="",ISNUMBER(MATCH(tblAsignaciones[[#This Row],[turno]],lista_no_disponible,0))),0,p_horas_jornada)</f>
        <v/>
      </c>
      <c r="I78" s="3">
        <f>tblAsignaciones[[#This Row],[semana]]&amp;"|"&amp;tblAsignaciones[[#This Row],[dia]]&amp;"|"&amp;tblAsignaciones[[#This Row],[tecnico]]</f>
        <v/>
      </c>
    </row>
    <row r="79">
      <c r="A79" s="3" t="inlineStr">
        <is>
          <t>2026-S29</t>
        </is>
      </c>
      <c r="B79" s="3" t="inlineStr">
        <is>
          <t>sábado</t>
        </is>
      </c>
      <c r="C79" s="3" t="inlineStr">
        <is>
          <t>Técnico 11</t>
        </is>
      </c>
      <c r="D79" s="3">
        <f>_xlfn.XLOOKUP(tblAsignaciones[[#This Row],[tecnico]],tblTecnicos[nombre],tblTecnicos[area],"")</f>
        <v/>
      </c>
      <c r="E79" s="3">
        <f>_xlfn.XLOOKUP(tblAsignaciones[[#This Row],[tecnico]],tblTecnicos[nombre],tblTecnicos[especialidad],"")</f>
        <v/>
      </c>
      <c r="F79" s="6" t="inlineStr"/>
      <c r="G79" s="3">
        <f>_xlfn.XLOOKUP(tblAsignaciones[[#This Row],[tecnico]],tblTecnicos[nombre],tblTecnicos[coordinador],"")</f>
        <v/>
      </c>
      <c r="H79" s="3">
        <f>IF(OR(tblAsignaciones[[#This Row],[turno]]="",ISNUMBER(MATCH(tblAsignaciones[[#This Row],[turno]],lista_no_disponible,0))),0,p_horas_jornada)</f>
        <v/>
      </c>
      <c r="I79" s="3">
        <f>tblAsignaciones[[#This Row],[semana]]&amp;"|"&amp;tblAsignaciones[[#This Row],[dia]]&amp;"|"&amp;tblAsignaciones[[#This Row],[tecnico]]</f>
        <v/>
      </c>
    </row>
    <row r="80">
      <c r="A80" s="3" t="inlineStr">
        <is>
          <t>2026-S29</t>
        </is>
      </c>
      <c r="B80" s="3" t="inlineStr">
        <is>
          <t>domingo</t>
        </is>
      </c>
      <c r="C80" s="3" t="inlineStr">
        <is>
          <t>Técnico 11</t>
        </is>
      </c>
      <c r="D80" s="3">
        <f>_xlfn.XLOOKUP(tblAsignaciones[[#This Row],[tecnico]],tblTecnicos[nombre],tblTecnicos[area],"")</f>
        <v/>
      </c>
      <c r="E80" s="3">
        <f>_xlfn.XLOOKUP(tblAsignaciones[[#This Row],[tecnico]],tblTecnicos[nombre],tblTecnicos[especialidad],"")</f>
        <v/>
      </c>
      <c r="F80" s="6" t="inlineStr"/>
      <c r="G80" s="3">
        <f>_xlfn.XLOOKUP(tblAsignaciones[[#This Row],[tecnico]],tblTecnicos[nombre],tblTecnicos[coordinador],"")</f>
        <v/>
      </c>
      <c r="H80" s="3">
        <f>IF(OR(tblAsignaciones[[#This Row],[turno]]="",ISNUMBER(MATCH(tblAsignaciones[[#This Row],[turno]],lista_no_disponible,0))),0,p_horas_jornada)</f>
        <v/>
      </c>
      <c r="I80" s="3">
        <f>tblAsignaciones[[#This Row],[semana]]&amp;"|"&amp;tblAsignaciones[[#This Row],[dia]]&amp;"|"&amp;tblAsignaciones[[#This Row],[tecnico]]</f>
        <v/>
      </c>
    </row>
    <row r="81">
      <c r="A81" s="3" t="inlineStr">
        <is>
          <t>2026-S29</t>
        </is>
      </c>
      <c r="B81" s="3" t="inlineStr">
        <is>
          <t>lunes</t>
        </is>
      </c>
      <c r="C81" s="3" t="inlineStr">
        <is>
          <t>Técnico 12</t>
        </is>
      </c>
      <c r="D81" s="3">
        <f>_xlfn.XLOOKUP(tblAsignaciones[[#This Row],[tecnico]],tblTecnicos[nombre],tblTecnicos[area],"")</f>
        <v/>
      </c>
      <c r="E81" s="3">
        <f>_xlfn.XLOOKUP(tblAsignaciones[[#This Row],[tecnico]],tblTecnicos[nombre],tblTecnicos[especialidad],"")</f>
        <v/>
      </c>
      <c r="F81" s="6" t="inlineStr">
        <is>
          <t>T1</t>
        </is>
      </c>
      <c r="G81" s="3">
        <f>_xlfn.XLOOKUP(tblAsignaciones[[#This Row],[tecnico]],tblTecnicos[nombre],tblTecnicos[coordinador],"")</f>
        <v/>
      </c>
      <c r="H81" s="3">
        <f>IF(OR(tblAsignaciones[[#This Row],[turno]]="",ISNUMBER(MATCH(tblAsignaciones[[#This Row],[turno]],lista_no_disponible,0))),0,p_horas_jornada)</f>
        <v/>
      </c>
      <c r="I81" s="3">
        <f>tblAsignaciones[[#This Row],[semana]]&amp;"|"&amp;tblAsignaciones[[#This Row],[dia]]&amp;"|"&amp;tblAsignaciones[[#This Row],[tecnico]]</f>
        <v/>
      </c>
    </row>
    <row r="82">
      <c r="A82" s="3" t="inlineStr">
        <is>
          <t>2026-S29</t>
        </is>
      </c>
      <c r="B82" s="3" t="inlineStr">
        <is>
          <t>martes</t>
        </is>
      </c>
      <c r="C82" s="3" t="inlineStr">
        <is>
          <t>Técnico 12</t>
        </is>
      </c>
      <c r="D82" s="3">
        <f>_xlfn.XLOOKUP(tblAsignaciones[[#This Row],[tecnico]],tblTecnicos[nombre],tblTecnicos[area],"")</f>
        <v/>
      </c>
      <c r="E82" s="3">
        <f>_xlfn.XLOOKUP(tblAsignaciones[[#This Row],[tecnico]],tblTecnicos[nombre],tblTecnicos[especialidad],"")</f>
        <v/>
      </c>
      <c r="F82" s="6" t="inlineStr">
        <is>
          <t>T1</t>
        </is>
      </c>
      <c r="G82" s="3">
        <f>_xlfn.XLOOKUP(tblAsignaciones[[#This Row],[tecnico]],tblTecnicos[nombre],tblTecnicos[coordinador],"")</f>
        <v/>
      </c>
      <c r="H82" s="3">
        <f>IF(OR(tblAsignaciones[[#This Row],[turno]]="",ISNUMBER(MATCH(tblAsignaciones[[#This Row],[turno]],lista_no_disponible,0))),0,p_horas_jornada)</f>
        <v/>
      </c>
      <c r="I82" s="3">
        <f>tblAsignaciones[[#This Row],[semana]]&amp;"|"&amp;tblAsignaciones[[#This Row],[dia]]&amp;"|"&amp;tblAsignaciones[[#This Row],[tecnico]]</f>
        <v/>
      </c>
    </row>
    <row r="83">
      <c r="A83" s="3" t="inlineStr">
        <is>
          <t>2026-S29</t>
        </is>
      </c>
      <c r="B83" s="3" t="inlineStr">
        <is>
          <t>miércoles</t>
        </is>
      </c>
      <c r="C83" s="3" t="inlineStr">
        <is>
          <t>Técnico 12</t>
        </is>
      </c>
      <c r="D83" s="3">
        <f>_xlfn.XLOOKUP(tblAsignaciones[[#This Row],[tecnico]],tblTecnicos[nombre],tblTecnicos[area],"")</f>
        <v/>
      </c>
      <c r="E83" s="3">
        <f>_xlfn.XLOOKUP(tblAsignaciones[[#This Row],[tecnico]],tblTecnicos[nombre],tblTecnicos[especialidad],"")</f>
        <v/>
      </c>
      <c r="F83" s="6" t="inlineStr">
        <is>
          <t>T1</t>
        </is>
      </c>
      <c r="G83" s="3">
        <f>_xlfn.XLOOKUP(tblAsignaciones[[#This Row],[tecnico]],tblTecnicos[nombre],tblTecnicos[coordinador],"")</f>
        <v/>
      </c>
      <c r="H83" s="3">
        <f>IF(OR(tblAsignaciones[[#This Row],[turno]]="",ISNUMBER(MATCH(tblAsignaciones[[#This Row],[turno]],lista_no_disponible,0))),0,p_horas_jornada)</f>
        <v/>
      </c>
      <c r="I83" s="3">
        <f>tblAsignaciones[[#This Row],[semana]]&amp;"|"&amp;tblAsignaciones[[#This Row],[dia]]&amp;"|"&amp;tblAsignaciones[[#This Row],[tecnico]]</f>
        <v/>
      </c>
    </row>
    <row r="84">
      <c r="A84" s="3" t="inlineStr">
        <is>
          <t>2026-S29</t>
        </is>
      </c>
      <c r="B84" s="3" t="inlineStr">
        <is>
          <t>jueves</t>
        </is>
      </c>
      <c r="C84" s="3" t="inlineStr">
        <is>
          <t>Técnico 12</t>
        </is>
      </c>
      <c r="D84" s="3">
        <f>_xlfn.XLOOKUP(tblAsignaciones[[#This Row],[tecnico]],tblTecnicos[nombre],tblTecnicos[area],"")</f>
        <v/>
      </c>
      <c r="E84" s="3">
        <f>_xlfn.XLOOKUP(tblAsignaciones[[#This Row],[tecnico]],tblTecnicos[nombre],tblTecnicos[especialidad],"")</f>
        <v/>
      </c>
      <c r="F84" s="6" t="inlineStr">
        <is>
          <t>T1</t>
        </is>
      </c>
      <c r="G84" s="3">
        <f>_xlfn.XLOOKUP(tblAsignaciones[[#This Row],[tecnico]],tblTecnicos[nombre],tblTecnicos[coordinador],"")</f>
        <v/>
      </c>
      <c r="H84" s="3">
        <f>IF(OR(tblAsignaciones[[#This Row],[turno]]="",ISNUMBER(MATCH(tblAsignaciones[[#This Row],[turno]],lista_no_disponible,0))),0,p_horas_jornada)</f>
        <v/>
      </c>
      <c r="I84" s="3">
        <f>tblAsignaciones[[#This Row],[semana]]&amp;"|"&amp;tblAsignaciones[[#This Row],[dia]]&amp;"|"&amp;tblAsignaciones[[#This Row],[tecnico]]</f>
        <v/>
      </c>
    </row>
    <row r="85">
      <c r="A85" s="3" t="inlineStr">
        <is>
          <t>2026-S29</t>
        </is>
      </c>
      <c r="B85" s="3" t="inlineStr">
        <is>
          <t>viernes</t>
        </is>
      </c>
      <c r="C85" s="3" t="inlineStr">
        <is>
          <t>Técnico 12</t>
        </is>
      </c>
      <c r="D85" s="3">
        <f>_xlfn.XLOOKUP(tblAsignaciones[[#This Row],[tecnico]],tblTecnicos[nombre],tblTecnicos[area],"")</f>
        <v/>
      </c>
      <c r="E85" s="3">
        <f>_xlfn.XLOOKUP(tblAsignaciones[[#This Row],[tecnico]],tblTecnicos[nombre],tblTecnicos[especialidad],"")</f>
        <v/>
      </c>
      <c r="F85" s="6" t="inlineStr">
        <is>
          <t>T1</t>
        </is>
      </c>
      <c r="G85" s="3">
        <f>_xlfn.XLOOKUP(tblAsignaciones[[#This Row],[tecnico]],tblTecnicos[nombre],tblTecnicos[coordinador],"")</f>
        <v/>
      </c>
      <c r="H85" s="3">
        <f>IF(OR(tblAsignaciones[[#This Row],[turno]]="",ISNUMBER(MATCH(tblAsignaciones[[#This Row],[turno]],lista_no_disponible,0))),0,p_horas_jornada)</f>
        <v/>
      </c>
      <c r="I85" s="3">
        <f>tblAsignaciones[[#This Row],[semana]]&amp;"|"&amp;tblAsignaciones[[#This Row],[dia]]&amp;"|"&amp;tblAsignaciones[[#This Row],[tecnico]]</f>
        <v/>
      </c>
    </row>
    <row r="86">
      <c r="A86" s="3" t="inlineStr">
        <is>
          <t>2026-S29</t>
        </is>
      </c>
      <c r="B86" s="3" t="inlineStr">
        <is>
          <t>sábado</t>
        </is>
      </c>
      <c r="C86" s="3" t="inlineStr">
        <is>
          <t>Técnico 12</t>
        </is>
      </c>
      <c r="D86" s="3">
        <f>_xlfn.XLOOKUP(tblAsignaciones[[#This Row],[tecnico]],tblTecnicos[nombre],tblTecnicos[area],"")</f>
        <v/>
      </c>
      <c r="E86" s="3">
        <f>_xlfn.XLOOKUP(tblAsignaciones[[#This Row],[tecnico]],tblTecnicos[nombre],tblTecnicos[especialidad],"")</f>
        <v/>
      </c>
      <c r="F86" s="6" t="inlineStr"/>
      <c r="G86" s="3">
        <f>_xlfn.XLOOKUP(tblAsignaciones[[#This Row],[tecnico]],tblTecnicos[nombre],tblTecnicos[coordinador],"")</f>
        <v/>
      </c>
      <c r="H86" s="3">
        <f>IF(OR(tblAsignaciones[[#This Row],[turno]]="",ISNUMBER(MATCH(tblAsignaciones[[#This Row],[turno]],lista_no_disponible,0))),0,p_horas_jornada)</f>
        <v/>
      </c>
      <c r="I86" s="3">
        <f>tblAsignaciones[[#This Row],[semana]]&amp;"|"&amp;tblAsignaciones[[#This Row],[dia]]&amp;"|"&amp;tblAsignaciones[[#This Row],[tecnico]]</f>
        <v/>
      </c>
    </row>
    <row r="87">
      <c r="A87" s="3" t="inlineStr">
        <is>
          <t>2026-S29</t>
        </is>
      </c>
      <c r="B87" s="3" t="inlineStr">
        <is>
          <t>domingo</t>
        </is>
      </c>
      <c r="C87" s="3" t="inlineStr">
        <is>
          <t>Técnico 12</t>
        </is>
      </c>
      <c r="D87" s="3">
        <f>_xlfn.XLOOKUP(tblAsignaciones[[#This Row],[tecnico]],tblTecnicos[nombre],tblTecnicos[area],"")</f>
        <v/>
      </c>
      <c r="E87" s="3">
        <f>_xlfn.XLOOKUP(tblAsignaciones[[#This Row],[tecnico]],tblTecnicos[nombre],tblTecnicos[especialidad],"")</f>
        <v/>
      </c>
      <c r="F87" s="6" t="inlineStr"/>
      <c r="G87" s="3">
        <f>_xlfn.XLOOKUP(tblAsignaciones[[#This Row],[tecnico]],tblTecnicos[nombre],tblTecnicos[coordinador],"")</f>
        <v/>
      </c>
      <c r="H87" s="3">
        <f>IF(OR(tblAsignaciones[[#This Row],[turno]]="",ISNUMBER(MATCH(tblAsignaciones[[#This Row],[turno]],lista_no_disponible,0))),0,p_horas_jornada)</f>
        <v/>
      </c>
      <c r="I87" s="3">
        <f>tblAsignaciones[[#This Row],[semana]]&amp;"|"&amp;tblAsignaciones[[#This Row],[dia]]&amp;"|"&amp;tblAsignaciones[[#This Row],[tecnico]]</f>
        <v/>
      </c>
    </row>
    <row r="88">
      <c r="A88" s="3" t="inlineStr">
        <is>
          <t>2026-S30</t>
        </is>
      </c>
      <c r="B88" s="3" t="inlineStr">
        <is>
          <t>lunes</t>
        </is>
      </c>
      <c r="C88" s="3" t="inlineStr">
        <is>
          <t>Técnico 01</t>
        </is>
      </c>
      <c r="D88" s="3">
        <f>_xlfn.XLOOKUP(tblAsignaciones[[#This Row],[tecnico]],tblTecnicos[nombre],tblTecnicos[area],"")</f>
        <v/>
      </c>
      <c r="E88" s="3">
        <f>_xlfn.XLOOKUP(tblAsignaciones[[#This Row],[tecnico]],tblTecnicos[nombre],tblTecnicos[especialidad],"")</f>
        <v/>
      </c>
      <c r="F88" s="6" t="inlineStr">
        <is>
          <t>T1</t>
        </is>
      </c>
      <c r="G88" s="3">
        <f>_xlfn.XLOOKUP(tblAsignaciones[[#This Row],[tecnico]],tblTecnicos[nombre],tblTecnicos[coordinador],"")</f>
        <v/>
      </c>
      <c r="H88" s="3">
        <f>IF(OR(tblAsignaciones[[#This Row],[turno]]="",ISNUMBER(MATCH(tblAsignaciones[[#This Row],[turno]],lista_no_disponible,0))),0,p_horas_jornada)</f>
        <v/>
      </c>
      <c r="I88" s="3">
        <f>tblAsignaciones[[#This Row],[semana]]&amp;"|"&amp;tblAsignaciones[[#This Row],[dia]]&amp;"|"&amp;tblAsignaciones[[#This Row],[tecnico]]</f>
        <v/>
      </c>
    </row>
    <row r="89">
      <c r="A89" s="3" t="inlineStr">
        <is>
          <t>2026-S30</t>
        </is>
      </c>
      <c r="B89" s="3" t="inlineStr">
        <is>
          <t>martes</t>
        </is>
      </c>
      <c r="C89" s="3" t="inlineStr">
        <is>
          <t>Técnico 01</t>
        </is>
      </c>
      <c r="D89" s="3">
        <f>_xlfn.XLOOKUP(tblAsignaciones[[#This Row],[tecnico]],tblTecnicos[nombre],tblTecnicos[area],"")</f>
        <v/>
      </c>
      <c r="E89" s="3">
        <f>_xlfn.XLOOKUP(tblAsignaciones[[#This Row],[tecnico]],tblTecnicos[nombre],tblTecnicos[especialidad],"")</f>
        <v/>
      </c>
      <c r="F89" s="6" t="inlineStr">
        <is>
          <t>T1</t>
        </is>
      </c>
      <c r="G89" s="3">
        <f>_xlfn.XLOOKUP(tblAsignaciones[[#This Row],[tecnico]],tblTecnicos[nombre],tblTecnicos[coordinador],"")</f>
        <v/>
      </c>
      <c r="H89" s="3">
        <f>IF(OR(tblAsignaciones[[#This Row],[turno]]="",ISNUMBER(MATCH(tblAsignaciones[[#This Row],[turno]],lista_no_disponible,0))),0,p_horas_jornada)</f>
        <v/>
      </c>
      <c r="I89" s="3">
        <f>tblAsignaciones[[#This Row],[semana]]&amp;"|"&amp;tblAsignaciones[[#This Row],[dia]]&amp;"|"&amp;tblAsignaciones[[#This Row],[tecnico]]</f>
        <v/>
      </c>
    </row>
    <row r="90">
      <c r="A90" s="3" t="inlineStr">
        <is>
          <t>2026-S30</t>
        </is>
      </c>
      <c r="B90" s="3" t="inlineStr">
        <is>
          <t>miércoles</t>
        </is>
      </c>
      <c r="C90" s="3" t="inlineStr">
        <is>
          <t>Técnico 01</t>
        </is>
      </c>
      <c r="D90" s="3">
        <f>_xlfn.XLOOKUP(tblAsignaciones[[#This Row],[tecnico]],tblTecnicos[nombre],tblTecnicos[area],"")</f>
        <v/>
      </c>
      <c r="E90" s="3">
        <f>_xlfn.XLOOKUP(tblAsignaciones[[#This Row],[tecnico]],tblTecnicos[nombre],tblTecnicos[especialidad],"")</f>
        <v/>
      </c>
      <c r="F90" s="6" t="inlineStr">
        <is>
          <t>T1</t>
        </is>
      </c>
      <c r="G90" s="3">
        <f>_xlfn.XLOOKUP(tblAsignaciones[[#This Row],[tecnico]],tblTecnicos[nombre],tblTecnicos[coordinador],"")</f>
        <v/>
      </c>
      <c r="H90" s="3">
        <f>IF(OR(tblAsignaciones[[#This Row],[turno]]="",ISNUMBER(MATCH(tblAsignaciones[[#This Row],[turno]],lista_no_disponible,0))),0,p_horas_jornada)</f>
        <v/>
      </c>
      <c r="I90" s="3">
        <f>tblAsignaciones[[#This Row],[semana]]&amp;"|"&amp;tblAsignaciones[[#This Row],[dia]]&amp;"|"&amp;tblAsignaciones[[#This Row],[tecnico]]</f>
        <v/>
      </c>
    </row>
    <row r="91">
      <c r="A91" s="3" t="inlineStr">
        <is>
          <t>2026-S30</t>
        </is>
      </c>
      <c r="B91" s="3" t="inlineStr">
        <is>
          <t>jueves</t>
        </is>
      </c>
      <c r="C91" s="3" t="inlineStr">
        <is>
          <t>Técnico 01</t>
        </is>
      </c>
      <c r="D91" s="3">
        <f>_xlfn.XLOOKUP(tblAsignaciones[[#This Row],[tecnico]],tblTecnicos[nombre],tblTecnicos[area],"")</f>
        <v/>
      </c>
      <c r="E91" s="3">
        <f>_xlfn.XLOOKUP(tblAsignaciones[[#This Row],[tecnico]],tblTecnicos[nombre],tblTecnicos[especialidad],"")</f>
        <v/>
      </c>
      <c r="F91" s="6" t="inlineStr">
        <is>
          <t>T1</t>
        </is>
      </c>
      <c r="G91" s="3">
        <f>_xlfn.XLOOKUP(tblAsignaciones[[#This Row],[tecnico]],tblTecnicos[nombre],tblTecnicos[coordinador],"")</f>
        <v/>
      </c>
      <c r="H91" s="3">
        <f>IF(OR(tblAsignaciones[[#This Row],[turno]]="",ISNUMBER(MATCH(tblAsignaciones[[#This Row],[turno]],lista_no_disponible,0))),0,p_horas_jornada)</f>
        <v/>
      </c>
      <c r="I91" s="3">
        <f>tblAsignaciones[[#This Row],[semana]]&amp;"|"&amp;tblAsignaciones[[#This Row],[dia]]&amp;"|"&amp;tblAsignaciones[[#This Row],[tecnico]]</f>
        <v/>
      </c>
    </row>
    <row r="92">
      <c r="A92" s="3" t="inlineStr">
        <is>
          <t>2026-S30</t>
        </is>
      </c>
      <c r="B92" s="3" t="inlineStr">
        <is>
          <t>viernes</t>
        </is>
      </c>
      <c r="C92" s="3" t="inlineStr">
        <is>
          <t>Técnico 01</t>
        </is>
      </c>
      <c r="D92" s="3">
        <f>_xlfn.XLOOKUP(tblAsignaciones[[#This Row],[tecnico]],tblTecnicos[nombre],tblTecnicos[area],"")</f>
        <v/>
      </c>
      <c r="E92" s="3">
        <f>_xlfn.XLOOKUP(tblAsignaciones[[#This Row],[tecnico]],tblTecnicos[nombre],tblTecnicos[especialidad],"")</f>
        <v/>
      </c>
      <c r="F92" s="6" t="inlineStr">
        <is>
          <t>T1</t>
        </is>
      </c>
      <c r="G92" s="3">
        <f>_xlfn.XLOOKUP(tblAsignaciones[[#This Row],[tecnico]],tblTecnicos[nombre],tblTecnicos[coordinador],"")</f>
        <v/>
      </c>
      <c r="H92" s="3">
        <f>IF(OR(tblAsignaciones[[#This Row],[turno]]="",ISNUMBER(MATCH(tblAsignaciones[[#This Row],[turno]],lista_no_disponible,0))),0,p_horas_jornada)</f>
        <v/>
      </c>
      <c r="I92" s="3">
        <f>tblAsignaciones[[#This Row],[semana]]&amp;"|"&amp;tblAsignaciones[[#This Row],[dia]]&amp;"|"&amp;tblAsignaciones[[#This Row],[tecnico]]</f>
        <v/>
      </c>
    </row>
    <row r="93">
      <c r="A93" s="3" t="inlineStr">
        <is>
          <t>2026-S30</t>
        </is>
      </c>
      <c r="B93" s="3" t="inlineStr">
        <is>
          <t>sábado</t>
        </is>
      </c>
      <c r="C93" s="3" t="inlineStr">
        <is>
          <t>Técnico 01</t>
        </is>
      </c>
      <c r="D93" s="3">
        <f>_xlfn.XLOOKUP(tblAsignaciones[[#This Row],[tecnico]],tblTecnicos[nombre],tblTecnicos[area],"")</f>
        <v/>
      </c>
      <c r="E93" s="3">
        <f>_xlfn.XLOOKUP(tblAsignaciones[[#This Row],[tecnico]],tblTecnicos[nombre],tblTecnicos[especialidad],"")</f>
        <v/>
      </c>
      <c r="F93" s="6" t="inlineStr"/>
      <c r="G93" s="3">
        <f>_xlfn.XLOOKUP(tblAsignaciones[[#This Row],[tecnico]],tblTecnicos[nombre],tblTecnicos[coordinador],"")</f>
        <v/>
      </c>
      <c r="H93" s="3">
        <f>IF(OR(tblAsignaciones[[#This Row],[turno]]="",ISNUMBER(MATCH(tblAsignaciones[[#This Row],[turno]],lista_no_disponible,0))),0,p_horas_jornada)</f>
        <v/>
      </c>
      <c r="I93" s="3">
        <f>tblAsignaciones[[#This Row],[semana]]&amp;"|"&amp;tblAsignaciones[[#This Row],[dia]]&amp;"|"&amp;tblAsignaciones[[#This Row],[tecnico]]</f>
        <v/>
      </c>
    </row>
    <row r="94">
      <c r="A94" s="3" t="inlineStr">
        <is>
          <t>2026-S30</t>
        </is>
      </c>
      <c r="B94" s="3" t="inlineStr">
        <is>
          <t>domingo</t>
        </is>
      </c>
      <c r="C94" s="3" t="inlineStr">
        <is>
          <t>Técnico 01</t>
        </is>
      </c>
      <c r="D94" s="3">
        <f>_xlfn.XLOOKUP(tblAsignaciones[[#This Row],[tecnico]],tblTecnicos[nombre],tblTecnicos[area],"")</f>
        <v/>
      </c>
      <c r="E94" s="3">
        <f>_xlfn.XLOOKUP(tblAsignaciones[[#This Row],[tecnico]],tblTecnicos[nombre],tblTecnicos[especialidad],"")</f>
        <v/>
      </c>
      <c r="F94" s="6" t="inlineStr"/>
      <c r="G94" s="3">
        <f>_xlfn.XLOOKUP(tblAsignaciones[[#This Row],[tecnico]],tblTecnicos[nombre],tblTecnicos[coordinador],"")</f>
        <v/>
      </c>
      <c r="H94" s="3">
        <f>IF(OR(tblAsignaciones[[#This Row],[turno]]="",ISNUMBER(MATCH(tblAsignaciones[[#This Row],[turno]],lista_no_disponible,0))),0,p_horas_jornada)</f>
        <v/>
      </c>
      <c r="I94" s="3">
        <f>tblAsignaciones[[#This Row],[semana]]&amp;"|"&amp;tblAsignaciones[[#This Row],[dia]]&amp;"|"&amp;tblAsignaciones[[#This Row],[tecnico]]</f>
        <v/>
      </c>
    </row>
    <row r="95">
      <c r="A95" s="3" t="inlineStr">
        <is>
          <t>2026-S30</t>
        </is>
      </c>
      <c r="B95" s="3" t="inlineStr">
        <is>
          <t>lunes</t>
        </is>
      </c>
      <c r="C95" s="3" t="inlineStr">
        <is>
          <t>Técnico 02</t>
        </is>
      </c>
      <c r="D95" s="3">
        <f>_xlfn.XLOOKUP(tblAsignaciones[[#This Row],[tecnico]],tblTecnicos[nombre],tblTecnicos[area],"")</f>
        <v/>
      </c>
      <c r="E95" s="3">
        <f>_xlfn.XLOOKUP(tblAsignaciones[[#This Row],[tecnico]],tblTecnicos[nombre],tblTecnicos[especialidad],"")</f>
        <v/>
      </c>
      <c r="F95" s="6" t="inlineStr">
        <is>
          <t>T2</t>
        </is>
      </c>
      <c r="G95" s="3">
        <f>_xlfn.XLOOKUP(tblAsignaciones[[#This Row],[tecnico]],tblTecnicos[nombre],tblTecnicos[coordinador],"")</f>
        <v/>
      </c>
      <c r="H95" s="3">
        <f>IF(OR(tblAsignaciones[[#This Row],[turno]]="",ISNUMBER(MATCH(tblAsignaciones[[#This Row],[turno]],lista_no_disponible,0))),0,p_horas_jornada)</f>
        <v/>
      </c>
      <c r="I95" s="3">
        <f>tblAsignaciones[[#This Row],[semana]]&amp;"|"&amp;tblAsignaciones[[#This Row],[dia]]&amp;"|"&amp;tblAsignaciones[[#This Row],[tecnico]]</f>
        <v/>
      </c>
    </row>
    <row r="96">
      <c r="A96" s="3" t="inlineStr">
        <is>
          <t>2026-S30</t>
        </is>
      </c>
      <c r="B96" s="3" t="inlineStr">
        <is>
          <t>martes</t>
        </is>
      </c>
      <c r="C96" s="3" t="inlineStr">
        <is>
          <t>Técnico 02</t>
        </is>
      </c>
      <c r="D96" s="3">
        <f>_xlfn.XLOOKUP(tblAsignaciones[[#This Row],[tecnico]],tblTecnicos[nombre],tblTecnicos[area],"")</f>
        <v/>
      </c>
      <c r="E96" s="3">
        <f>_xlfn.XLOOKUP(tblAsignaciones[[#This Row],[tecnico]],tblTecnicos[nombre],tblTecnicos[especialidad],"")</f>
        <v/>
      </c>
      <c r="F96" s="6" t="inlineStr">
        <is>
          <t>T2</t>
        </is>
      </c>
      <c r="G96" s="3">
        <f>_xlfn.XLOOKUP(tblAsignaciones[[#This Row],[tecnico]],tblTecnicos[nombre],tblTecnicos[coordinador],"")</f>
        <v/>
      </c>
      <c r="H96" s="3">
        <f>IF(OR(tblAsignaciones[[#This Row],[turno]]="",ISNUMBER(MATCH(tblAsignaciones[[#This Row],[turno]],lista_no_disponible,0))),0,p_horas_jornada)</f>
        <v/>
      </c>
      <c r="I96" s="3">
        <f>tblAsignaciones[[#This Row],[semana]]&amp;"|"&amp;tblAsignaciones[[#This Row],[dia]]&amp;"|"&amp;tblAsignaciones[[#This Row],[tecnico]]</f>
        <v/>
      </c>
    </row>
    <row r="97">
      <c r="A97" s="3" t="inlineStr">
        <is>
          <t>2026-S30</t>
        </is>
      </c>
      <c r="B97" s="3" t="inlineStr">
        <is>
          <t>miércoles</t>
        </is>
      </c>
      <c r="C97" s="3" t="inlineStr">
        <is>
          <t>Técnico 02</t>
        </is>
      </c>
      <c r="D97" s="3">
        <f>_xlfn.XLOOKUP(tblAsignaciones[[#This Row],[tecnico]],tblTecnicos[nombre],tblTecnicos[area],"")</f>
        <v/>
      </c>
      <c r="E97" s="3">
        <f>_xlfn.XLOOKUP(tblAsignaciones[[#This Row],[tecnico]],tblTecnicos[nombre],tblTecnicos[especialidad],"")</f>
        <v/>
      </c>
      <c r="F97" s="6" t="inlineStr">
        <is>
          <t>T2</t>
        </is>
      </c>
      <c r="G97" s="3">
        <f>_xlfn.XLOOKUP(tblAsignaciones[[#This Row],[tecnico]],tblTecnicos[nombre],tblTecnicos[coordinador],"")</f>
        <v/>
      </c>
      <c r="H97" s="3">
        <f>IF(OR(tblAsignaciones[[#This Row],[turno]]="",ISNUMBER(MATCH(tblAsignaciones[[#This Row],[turno]],lista_no_disponible,0))),0,p_horas_jornada)</f>
        <v/>
      </c>
      <c r="I97" s="3">
        <f>tblAsignaciones[[#This Row],[semana]]&amp;"|"&amp;tblAsignaciones[[#This Row],[dia]]&amp;"|"&amp;tblAsignaciones[[#This Row],[tecnico]]</f>
        <v/>
      </c>
    </row>
    <row r="98">
      <c r="A98" s="3" t="inlineStr">
        <is>
          <t>2026-S30</t>
        </is>
      </c>
      <c r="B98" s="3" t="inlineStr">
        <is>
          <t>jueves</t>
        </is>
      </c>
      <c r="C98" s="3" t="inlineStr">
        <is>
          <t>Técnico 02</t>
        </is>
      </c>
      <c r="D98" s="3">
        <f>_xlfn.XLOOKUP(tblAsignaciones[[#This Row],[tecnico]],tblTecnicos[nombre],tblTecnicos[area],"")</f>
        <v/>
      </c>
      <c r="E98" s="3">
        <f>_xlfn.XLOOKUP(tblAsignaciones[[#This Row],[tecnico]],tblTecnicos[nombre],tblTecnicos[especialidad],"")</f>
        <v/>
      </c>
      <c r="F98" s="6" t="inlineStr">
        <is>
          <t>T2</t>
        </is>
      </c>
      <c r="G98" s="3">
        <f>_xlfn.XLOOKUP(tblAsignaciones[[#This Row],[tecnico]],tblTecnicos[nombre],tblTecnicos[coordinador],"")</f>
        <v/>
      </c>
      <c r="H98" s="3">
        <f>IF(OR(tblAsignaciones[[#This Row],[turno]]="",ISNUMBER(MATCH(tblAsignaciones[[#This Row],[turno]],lista_no_disponible,0))),0,p_horas_jornada)</f>
        <v/>
      </c>
      <c r="I98" s="3">
        <f>tblAsignaciones[[#This Row],[semana]]&amp;"|"&amp;tblAsignaciones[[#This Row],[dia]]&amp;"|"&amp;tblAsignaciones[[#This Row],[tecnico]]</f>
        <v/>
      </c>
    </row>
    <row r="99">
      <c r="A99" s="3" t="inlineStr">
        <is>
          <t>2026-S30</t>
        </is>
      </c>
      <c r="B99" s="3" t="inlineStr">
        <is>
          <t>viernes</t>
        </is>
      </c>
      <c r="C99" s="3" t="inlineStr">
        <is>
          <t>Técnico 02</t>
        </is>
      </c>
      <c r="D99" s="3">
        <f>_xlfn.XLOOKUP(tblAsignaciones[[#This Row],[tecnico]],tblTecnicos[nombre],tblTecnicos[area],"")</f>
        <v/>
      </c>
      <c r="E99" s="3">
        <f>_xlfn.XLOOKUP(tblAsignaciones[[#This Row],[tecnico]],tblTecnicos[nombre],tblTecnicos[especialidad],"")</f>
        <v/>
      </c>
      <c r="F99" s="6" t="inlineStr">
        <is>
          <t>T2</t>
        </is>
      </c>
      <c r="G99" s="3">
        <f>_xlfn.XLOOKUP(tblAsignaciones[[#This Row],[tecnico]],tblTecnicos[nombre],tblTecnicos[coordinador],"")</f>
        <v/>
      </c>
      <c r="H99" s="3">
        <f>IF(OR(tblAsignaciones[[#This Row],[turno]]="",ISNUMBER(MATCH(tblAsignaciones[[#This Row],[turno]],lista_no_disponible,0))),0,p_horas_jornada)</f>
        <v/>
      </c>
      <c r="I99" s="3">
        <f>tblAsignaciones[[#This Row],[semana]]&amp;"|"&amp;tblAsignaciones[[#This Row],[dia]]&amp;"|"&amp;tblAsignaciones[[#This Row],[tecnico]]</f>
        <v/>
      </c>
    </row>
    <row r="100">
      <c r="A100" s="3" t="inlineStr">
        <is>
          <t>2026-S30</t>
        </is>
      </c>
      <c r="B100" s="3" t="inlineStr">
        <is>
          <t>sábado</t>
        </is>
      </c>
      <c r="C100" s="3" t="inlineStr">
        <is>
          <t>Técnico 02</t>
        </is>
      </c>
      <c r="D100" s="3">
        <f>_xlfn.XLOOKUP(tblAsignaciones[[#This Row],[tecnico]],tblTecnicos[nombre],tblTecnicos[area],"")</f>
        <v/>
      </c>
      <c r="E100" s="3">
        <f>_xlfn.XLOOKUP(tblAsignaciones[[#This Row],[tecnico]],tblTecnicos[nombre],tblTecnicos[especialidad],"")</f>
        <v/>
      </c>
      <c r="F100" s="6" t="inlineStr"/>
      <c r="G100" s="3">
        <f>_xlfn.XLOOKUP(tblAsignaciones[[#This Row],[tecnico]],tblTecnicos[nombre],tblTecnicos[coordinador],"")</f>
        <v/>
      </c>
      <c r="H100" s="3">
        <f>IF(OR(tblAsignaciones[[#This Row],[turno]]="",ISNUMBER(MATCH(tblAsignaciones[[#This Row],[turno]],lista_no_disponible,0))),0,p_horas_jornada)</f>
        <v/>
      </c>
      <c r="I100" s="3">
        <f>tblAsignaciones[[#This Row],[semana]]&amp;"|"&amp;tblAsignaciones[[#This Row],[dia]]&amp;"|"&amp;tblAsignaciones[[#This Row],[tecnico]]</f>
        <v/>
      </c>
    </row>
    <row r="101">
      <c r="A101" s="3" t="inlineStr">
        <is>
          <t>2026-S30</t>
        </is>
      </c>
      <c r="B101" s="3" t="inlineStr">
        <is>
          <t>domingo</t>
        </is>
      </c>
      <c r="C101" s="3" t="inlineStr">
        <is>
          <t>Técnico 02</t>
        </is>
      </c>
      <c r="D101" s="3">
        <f>_xlfn.XLOOKUP(tblAsignaciones[[#This Row],[tecnico]],tblTecnicos[nombre],tblTecnicos[area],"")</f>
        <v/>
      </c>
      <c r="E101" s="3">
        <f>_xlfn.XLOOKUP(tblAsignaciones[[#This Row],[tecnico]],tblTecnicos[nombre],tblTecnicos[especialidad],"")</f>
        <v/>
      </c>
      <c r="F101" s="6" t="inlineStr"/>
      <c r="G101" s="3">
        <f>_xlfn.XLOOKUP(tblAsignaciones[[#This Row],[tecnico]],tblTecnicos[nombre],tblTecnicos[coordinador],"")</f>
        <v/>
      </c>
      <c r="H101" s="3">
        <f>IF(OR(tblAsignaciones[[#This Row],[turno]]="",ISNUMBER(MATCH(tblAsignaciones[[#This Row],[turno]],lista_no_disponible,0))),0,p_horas_jornada)</f>
        <v/>
      </c>
      <c r="I101" s="3">
        <f>tblAsignaciones[[#This Row],[semana]]&amp;"|"&amp;tblAsignaciones[[#This Row],[dia]]&amp;"|"&amp;tblAsignaciones[[#This Row],[tecnico]]</f>
        <v/>
      </c>
    </row>
    <row r="102">
      <c r="A102" s="3" t="inlineStr">
        <is>
          <t>2026-S30</t>
        </is>
      </c>
      <c r="B102" s="3" t="inlineStr">
        <is>
          <t>lunes</t>
        </is>
      </c>
      <c r="C102" s="3" t="inlineStr">
        <is>
          <t>Técnico 03</t>
        </is>
      </c>
      <c r="D102" s="3">
        <f>_xlfn.XLOOKUP(tblAsignaciones[[#This Row],[tecnico]],tblTecnicos[nombre],tblTecnicos[area],"")</f>
        <v/>
      </c>
      <c r="E102" s="3">
        <f>_xlfn.XLOOKUP(tblAsignaciones[[#This Row],[tecnico]],tblTecnicos[nombre],tblTecnicos[especialidad],"")</f>
        <v/>
      </c>
      <c r="F102" s="6" t="inlineStr">
        <is>
          <t>T1</t>
        </is>
      </c>
      <c r="G102" s="3">
        <f>_xlfn.XLOOKUP(tblAsignaciones[[#This Row],[tecnico]],tblTecnicos[nombre],tblTecnicos[coordinador],"")</f>
        <v/>
      </c>
      <c r="H102" s="3">
        <f>IF(OR(tblAsignaciones[[#This Row],[turno]]="",ISNUMBER(MATCH(tblAsignaciones[[#This Row],[turno]],lista_no_disponible,0))),0,p_horas_jornada)</f>
        <v/>
      </c>
      <c r="I102" s="3">
        <f>tblAsignaciones[[#This Row],[semana]]&amp;"|"&amp;tblAsignaciones[[#This Row],[dia]]&amp;"|"&amp;tblAsignaciones[[#This Row],[tecnico]]</f>
        <v/>
      </c>
    </row>
    <row r="103">
      <c r="A103" s="3" t="inlineStr">
        <is>
          <t>2026-S30</t>
        </is>
      </c>
      <c r="B103" s="3" t="inlineStr">
        <is>
          <t>martes</t>
        </is>
      </c>
      <c r="C103" s="3" t="inlineStr">
        <is>
          <t>Técnico 03</t>
        </is>
      </c>
      <c r="D103" s="3">
        <f>_xlfn.XLOOKUP(tblAsignaciones[[#This Row],[tecnico]],tblTecnicos[nombre],tblTecnicos[area],"")</f>
        <v/>
      </c>
      <c r="E103" s="3">
        <f>_xlfn.XLOOKUP(tblAsignaciones[[#This Row],[tecnico]],tblTecnicos[nombre],tblTecnicos[especialidad],"")</f>
        <v/>
      </c>
      <c r="F103" s="6" t="inlineStr">
        <is>
          <t>T1</t>
        </is>
      </c>
      <c r="G103" s="3">
        <f>_xlfn.XLOOKUP(tblAsignaciones[[#This Row],[tecnico]],tblTecnicos[nombre],tblTecnicos[coordinador],"")</f>
        <v/>
      </c>
      <c r="H103" s="3">
        <f>IF(OR(tblAsignaciones[[#This Row],[turno]]="",ISNUMBER(MATCH(tblAsignaciones[[#This Row],[turno]],lista_no_disponible,0))),0,p_horas_jornada)</f>
        <v/>
      </c>
      <c r="I103" s="3">
        <f>tblAsignaciones[[#This Row],[semana]]&amp;"|"&amp;tblAsignaciones[[#This Row],[dia]]&amp;"|"&amp;tblAsignaciones[[#This Row],[tecnico]]</f>
        <v/>
      </c>
    </row>
    <row r="104">
      <c r="A104" s="3" t="inlineStr">
        <is>
          <t>2026-S30</t>
        </is>
      </c>
      <c r="B104" s="3" t="inlineStr">
        <is>
          <t>miércoles</t>
        </is>
      </c>
      <c r="C104" s="3" t="inlineStr">
        <is>
          <t>Técnico 03</t>
        </is>
      </c>
      <c r="D104" s="3">
        <f>_xlfn.XLOOKUP(tblAsignaciones[[#This Row],[tecnico]],tblTecnicos[nombre],tblTecnicos[area],"")</f>
        <v/>
      </c>
      <c r="E104" s="3">
        <f>_xlfn.XLOOKUP(tblAsignaciones[[#This Row],[tecnico]],tblTecnicos[nombre],tblTecnicos[especialidad],"")</f>
        <v/>
      </c>
      <c r="F104" s="6" t="inlineStr">
        <is>
          <t>T1</t>
        </is>
      </c>
      <c r="G104" s="3">
        <f>_xlfn.XLOOKUP(tblAsignaciones[[#This Row],[tecnico]],tblTecnicos[nombre],tblTecnicos[coordinador],"")</f>
        <v/>
      </c>
      <c r="H104" s="3">
        <f>IF(OR(tblAsignaciones[[#This Row],[turno]]="",ISNUMBER(MATCH(tblAsignaciones[[#This Row],[turno]],lista_no_disponible,0))),0,p_horas_jornada)</f>
        <v/>
      </c>
      <c r="I104" s="3">
        <f>tblAsignaciones[[#This Row],[semana]]&amp;"|"&amp;tblAsignaciones[[#This Row],[dia]]&amp;"|"&amp;tblAsignaciones[[#This Row],[tecnico]]</f>
        <v/>
      </c>
    </row>
    <row r="105">
      <c r="A105" s="3" t="inlineStr">
        <is>
          <t>2026-S30</t>
        </is>
      </c>
      <c r="B105" s="3" t="inlineStr">
        <is>
          <t>jueves</t>
        </is>
      </c>
      <c r="C105" s="3" t="inlineStr">
        <is>
          <t>Técnico 03</t>
        </is>
      </c>
      <c r="D105" s="3">
        <f>_xlfn.XLOOKUP(tblAsignaciones[[#This Row],[tecnico]],tblTecnicos[nombre],tblTecnicos[area],"")</f>
        <v/>
      </c>
      <c r="E105" s="3">
        <f>_xlfn.XLOOKUP(tblAsignaciones[[#This Row],[tecnico]],tblTecnicos[nombre],tblTecnicos[especialidad],"")</f>
        <v/>
      </c>
      <c r="F105" s="6" t="inlineStr">
        <is>
          <t>T1</t>
        </is>
      </c>
      <c r="G105" s="3">
        <f>_xlfn.XLOOKUP(tblAsignaciones[[#This Row],[tecnico]],tblTecnicos[nombre],tblTecnicos[coordinador],"")</f>
        <v/>
      </c>
      <c r="H105" s="3">
        <f>IF(OR(tblAsignaciones[[#This Row],[turno]]="",ISNUMBER(MATCH(tblAsignaciones[[#This Row],[turno]],lista_no_disponible,0))),0,p_horas_jornada)</f>
        <v/>
      </c>
      <c r="I105" s="3">
        <f>tblAsignaciones[[#This Row],[semana]]&amp;"|"&amp;tblAsignaciones[[#This Row],[dia]]&amp;"|"&amp;tblAsignaciones[[#This Row],[tecnico]]</f>
        <v/>
      </c>
    </row>
    <row r="106">
      <c r="A106" s="3" t="inlineStr">
        <is>
          <t>2026-S30</t>
        </is>
      </c>
      <c r="B106" s="3" t="inlineStr">
        <is>
          <t>viernes</t>
        </is>
      </c>
      <c r="C106" s="3" t="inlineStr">
        <is>
          <t>Técnico 03</t>
        </is>
      </c>
      <c r="D106" s="3">
        <f>_xlfn.XLOOKUP(tblAsignaciones[[#This Row],[tecnico]],tblTecnicos[nombre],tblTecnicos[area],"")</f>
        <v/>
      </c>
      <c r="E106" s="3">
        <f>_xlfn.XLOOKUP(tblAsignaciones[[#This Row],[tecnico]],tblTecnicos[nombre],tblTecnicos[especialidad],"")</f>
        <v/>
      </c>
      <c r="F106" s="6" t="inlineStr">
        <is>
          <t>T1</t>
        </is>
      </c>
      <c r="G106" s="3">
        <f>_xlfn.XLOOKUP(tblAsignaciones[[#This Row],[tecnico]],tblTecnicos[nombre],tblTecnicos[coordinador],"")</f>
        <v/>
      </c>
      <c r="H106" s="3">
        <f>IF(OR(tblAsignaciones[[#This Row],[turno]]="",ISNUMBER(MATCH(tblAsignaciones[[#This Row],[turno]],lista_no_disponible,0))),0,p_horas_jornada)</f>
        <v/>
      </c>
      <c r="I106" s="3">
        <f>tblAsignaciones[[#This Row],[semana]]&amp;"|"&amp;tblAsignaciones[[#This Row],[dia]]&amp;"|"&amp;tblAsignaciones[[#This Row],[tecnico]]</f>
        <v/>
      </c>
    </row>
    <row r="107">
      <c r="A107" s="3" t="inlineStr">
        <is>
          <t>2026-S30</t>
        </is>
      </c>
      <c r="B107" s="3" t="inlineStr">
        <is>
          <t>sábado</t>
        </is>
      </c>
      <c r="C107" s="3" t="inlineStr">
        <is>
          <t>Técnico 03</t>
        </is>
      </c>
      <c r="D107" s="3">
        <f>_xlfn.XLOOKUP(tblAsignaciones[[#This Row],[tecnico]],tblTecnicos[nombre],tblTecnicos[area],"")</f>
        <v/>
      </c>
      <c r="E107" s="3">
        <f>_xlfn.XLOOKUP(tblAsignaciones[[#This Row],[tecnico]],tblTecnicos[nombre],tblTecnicos[especialidad],"")</f>
        <v/>
      </c>
      <c r="F107" s="6" t="inlineStr"/>
      <c r="G107" s="3">
        <f>_xlfn.XLOOKUP(tblAsignaciones[[#This Row],[tecnico]],tblTecnicos[nombre],tblTecnicos[coordinador],"")</f>
        <v/>
      </c>
      <c r="H107" s="3">
        <f>IF(OR(tblAsignaciones[[#This Row],[turno]]="",ISNUMBER(MATCH(tblAsignaciones[[#This Row],[turno]],lista_no_disponible,0))),0,p_horas_jornada)</f>
        <v/>
      </c>
      <c r="I107" s="3">
        <f>tblAsignaciones[[#This Row],[semana]]&amp;"|"&amp;tblAsignaciones[[#This Row],[dia]]&amp;"|"&amp;tblAsignaciones[[#This Row],[tecnico]]</f>
        <v/>
      </c>
    </row>
    <row r="108">
      <c r="A108" s="3" t="inlineStr">
        <is>
          <t>2026-S30</t>
        </is>
      </c>
      <c r="B108" s="3" t="inlineStr">
        <is>
          <t>domingo</t>
        </is>
      </c>
      <c r="C108" s="3" t="inlineStr">
        <is>
          <t>Técnico 03</t>
        </is>
      </c>
      <c r="D108" s="3">
        <f>_xlfn.XLOOKUP(tblAsignaciones[[#This Row],[tecnico]],tblTecnicos[nombre],tblTecnicos[area],"")</f>
        <v/>
      </c>
      <c r="E108" s="3">
        <f>_xlfn.XLOOKUP(tblAsignaciones[[#This Row],[tecnico]],tblTecnicos[nombre],tblTecnicos[especialidad],"")</f>
        <v/>
      </c>
      <c r="F108" s="6" t="inlineStr"/>
      <c r="G108" s="3">
        <f>_xlfn.XLOOKUP(tblAsignaciones[[#This Row],[tecnico]],tblTecnicos[nombre],tblTecnicos[coordinador],"")</f>
        <v/>
      </c>
      <c r="H108" s="3">
        <f>IF(OR(tblAsignaciones[[#This Row],[turno]]="",ISNUMBER(MATCH(tblAsignaciones[[#This Row],[turno]],lista_no_disponible,0))),0,p_horas_jornada)</f>
        <v/>
      </c>
      <c r="I108" s="3">
        <f>tblAsignaciones[[#This Row],[semana]]&amp;"|"&amp;tblAsignaciones[[#This Row],[dia]]&amp;"|"&amp;tblAsignaciones[[#This Row],[tecnico]]</f>
        <v/>
      </c>
    </row>
    <row r="109">
      <c r="A109" s="3" t="inlineStr">
        <is>
          <t>2026-S30</t>
        </is>
      </c>
      <c r="B109" s="3" t="inlineStr">
        <is>
          <t>lunes</t>
        </is>
      </c>
      <c r="C109" s="3" t="inlineStr">
        <is>
          <t>Técnico 04</t>
        </is>
      </c>
      <c r="D109" s="3">
        <f>_xlfn.XLOOKUP(tblAsignaciones[[#This Row],[tecnico]],tblTecnicos[nombre],tblTecnicos[area],"")</f>
        <v/>
      </c>
      <c r="E109" s="3">
        <f>_xlfn.XLOOKUP(tblAsignaciones[[#This Row],[tecnico]],tblTecnicos[nombre],tblTecnicos[especialidad],"")</f>
        <v/>
      </c>
      <c r="F109" s="6" t="inlineStr">
        <is>
          <t>T1</t>
        </is>
      </c>
      <c r="G109" s="3">
        <f>_xlfn.XLOOKUP(tblAsignaciones[[#This Row],[tecnico]],tblTecnicos[nombre],tblTecnicos[coordinador],"")</f>
        <v/>
      </c>
      <c r="H109" s="3">
        <f>IF(OR(tblAsignaciones[[#This Row],[turno]]="",ISNUMBER(MATCH(tblAsignaciones[[#This Row],[turno]],lista_no_disponible,0))),0,p_horas_jornada)</f>
        <v/>
      </c>
      <c r="I109" s="3">
        <f>tblAsignaciones[[#This Row],[semana]]&amp;"|"&amp;tblAsignaciones[[#This Row],[dia]]&amp;"|"&amp;tblAsignaciones[[#This Row],[tecnico]]</f>
        <v/>
      </c>
    </row>
    <row r="110">
      <c r="A110" s="3" t="inlineStr">
        <is>
          <t>2026-S30</t>
        </is>
      </c>
      <c r="B110" s="3" t="inlineStr">
        <is>
          <t>martes</t>
        </is>
      </c>
      <c r="C110" s="3" t="inlineStr">
        <is>
          <t>Técnico 04</t>
        </is>
      </c>
      <c r="D110" s="3">
        <f>_xlfn.XLOOKUP(tblAsignaciones[[#This Row],[tecnico]],tblTecnicos[nombre],tblTecnicos[area],"")</f>
        <v/>
      </c>
      <c r="E110" s="3">
        <f>_xlfn.XLOOKUP(tblAsignaciones[[#This Row],[tecnico]],tblTecnicos[nombre],tblTecnicos[especialidad],"")</f>
        <v/>
      </c>
      <c r="F110" s="6" t="inlineStr">
        <is>
          <t>T1</t>
        </is>
      </c>
      <c r="G110" s="3">
        <f>_xlfn.XLOOKUP(tblAsignaciones[[#This Row],[tecnico]],tblTecnicos[nombre],tblTecnicos[coordinador],"")</f>
        <v/>
      </c>
      <c r="H110" s="3">
        <f>IF(OR(tblAsignaciones[[#This Row],[turno]]="",ISNUMBER(MATCH(tblAsignaciones[[#This Row],[turno]],lista_no_disponible,0))),0,p_horas_jornada)</f>
        <v/>
      </c>
      <c r="I110" s="3">
        <f>tblAsignaciones[[#This Row],[semana]]&amp;"|"&amp;tblAsignaciones[[#This Row],[dia]]&amp;"|"&amp;tblAsignaciones[[#This Row],[tecnico]]</f>
        <v/>
      </c>
    </row>
    <row r="111">
      <c r="A111" s="3" t="inlineStr">
        <is>
          <t>2026-S30</t>
        </is>
      </c>
      <c r="B111" s="3" t="inlineStr">
        <is>
          <t>miércoles</t>
        </is>
      </c>
      <c r="C111" s="3" t="inlineStr">
        <is>
          <t>Técnico 04</t>
        </is>
      </c>
      <c r="D111" s="3">
        <f>_xlfn.XLOOKUP(tblAsignaciones[[#This Row],[tecnico]],tblTecnicos[nombre],tblTecnicos[area],"")</f>
        <v/>
      </c>
      <c r="E111" s="3">
        <f>_xlfn.XLOOKUP(tblAsignaciones[[#This Row],[tecnico]],tblTecnicos[nombre],tblTecnicos[especialidad],"")</f>
        <v/>
      </c>
      <c r="F111" s="6" t="inlineStr">
        <is>
          <t>T1</t>
        </is>
      </c>
      <c r="G111" s="3">
        <f>_xlfn.XLOOKUP(tblAsignaciones[[#This Row],[tecnico]],tblTecnicos[nombre],tblTecnicos[coordinador],"")</f>
        <v/>
      </c>
      <c r="H111" s="3">
        <f>IF(OR(tblAsignaciones[[#This Row],[turno]]="",ISNUMBER(MATCH(tblAsignaciones[[#This Row],[turno]],lista_no_disponible,0))),0,p_horas_jornada)</f>
        <v/>
      </c>
      <c r="I111" s="3">
        <f>tblAsignaciones[[#This Row],[semana]]&amp;"|"&amp;tblAsignaciones[[#This Row],[dia]]&amp;"|"&amp;tblAsignaciones[[#This Row],[tecnico]]</f>
        <v/>
      </c>
    </row>
    <row r="112">
      <c r="A112" s="3" t="inlineStr">
        <is>
          <t>2026-S30</t>
        </is>
      </c>
      <c r="B112" s="3" t="inlineStr">
        <is>
          <t>jueves</t>
        </is>
      </c>
      <c r="C112" s="3" t="inlineStr">
        <is>
          <t>Técnico 04</t>
        </is>
      </c>
      <c r="D112" s="3">
        <f>_xlfn.XLOOKUP(tblAsignaciones[[#This Row],[tecnico]],tblTecnicos[nombre],tblTecnicos[area],"")</f>
        <v/>
      </c>
      <c r="E112" s="3">
        <f>_xlfn.XLOOKUP(tblAsignaciones[[#This Row],[tecnico]],tblTecnicos[nombre],tblTecnicos[especialidad],"")</f>
        <v/>
      </c>
      <c r="F112" s="6" t="inlineStr">
        <is>
          <t>T1</t>
        </is>
      </c>
      <c r="G112" s="3">
        <f>_xlfn.XLOOKUP(tblAsignaciones[[#This Row],[tecnico]],tblTecnicos[nombre],tblTecnicos[coordinador],"")</f>
        <v/>
      </c>
      <c r="H112" s="3">
        <f>IF(OR(tblAsignaciones[[#This Row],[turno]]="",ISNUMBER(MATCH(tblAsignaciones[[#This Row],[turno]],lista_no_disponible,0))),0,p_horas_jornada)</f>
        <v/>
      </c>
      <c r="I112" s="3">
        <f>tblAsignaciones[[#This Row],[semana]]&amp;"|"&amp;tblAsignaciones[[#This Row],[dia]]&amp;"|"&amp;tblAsignaciones[[#This Row],[tecnico]]</f>
        <v/>
      </c>
    </row>
    <row r="113">
      <c r="A113" s="3" t="inlineStr">
        <is>
          <t>2026-S30</t>
        </is>
      </c>
      <c r="B113" s="3" t="inlineStr">
        <is>
          <t>viernes</t>
        </is>
      </c>
      <c r="C113" s="3" t="inlineStr">
        <is>
          <t>Técnico 04</t>
        </is>
      </c>
      <c r="D113" s="3">
        <f>_xlfn.XLOOKUP(tblAsignaciones[[#This Row],[tecnico]],tblTecnicos[nombre],tblTecnicos[area],"")</f>
        <v/>
      </c>
      <c r="E113" s="3">
        <f>_xlfn.XLOOKUP(tblAsignaciones[[#This Row],[tecnico]],tblTecnicos[nombre],tblTecnicos[especialidad],"")</f>
        <v/>
      </c>
      <c r="F113" s="6" t="inlineStr">
        <is>
          <t>T1</t>
        </is>
      </c>
      <c r="G113" s="3">
        <f>_xlfn.XLOOKUP(tblAsignaciones[[#This Row],[tecnico]],tblTecnicos[nombre],tblTecnicos[coordinador],"")</f>
        <v/>
      </c>
      <c r="H113" s="3">
        <f>IF(OR(tblAsignaciones[[#This Row],[turno]]="",ISNUMBER(MATCH(tblAsignaciones[[#This Row],[turno]],lista_no_disponible,0))),0,p_horas_jornada)</f>
        <v/>
      </c>
      <c r="I113" s="3">
        <f>tblAsignaciones[[#This Row],[semana]]&amp;"|"&amp;tblAsignaciones[[#This Row],[dia]]&amp;"|"&amp;tblAsignaciones[[#This Row],[tecnico]]</f>
        <v/>
      </c>
    </row>
    <row r="114">
      <c r="A114" s="3" t="inlineStr">
        <is>
          <t>2026-S30</t>
        </is>
      </c>
      <c r="B114" s="3" t="inlineStr">
        <is>
          <t>sábado</t>
        </is>
      </c>
      <c r="C114" s="3" t="inlineStr">
        <is>
          <t>Técnico 04</t>
        </is>
      </c>
      <c r="D114" s="3">
        <f>_xlfn.XLOOKUP(tblAsignaciones[[#This Row],[tecnico]],tblTecnicos[nombre],tblTecnicos[area],"")</f>
        <v/>
      </c>
      <c r="E114" s="3">
        <f>_xlfn.XLOOKUP(tblAsignaciones[[#This Row],[tecnico]],tblTecnicos[nombre],tblTecnicos[especialidad],"")</f>
        <v/>
      </c>
      <c r="F114" s="6" t="inlineStr"/>
      <c r="G114" s="3">
        <f>_xlfn.XLOOKUP(tblAsignaciones[[#This Row],[tecnico]],tblTecnicos[nombre],tblTecnicos[coordinador],"")</f>
        <v/>
      </c>
      <c r="H114" s="3">
        <f>IF(OR(tblAsignaciones[[#This Row],[turno]]="",ISNUMBER(MATCH(tblAsignaciones[[#This Row],[turno]],lista_no_disponible,0))),0,p_horas_jornada)</f>
        <v/>
      </c>
      <c r="I114" s="3">
        <f>tblAsignaciones[[#This Row],[semana]]&amp;"|"&amp;tblAsignaciones[[#This Row],[dia]]&amp;"|"&amp;tblAsignaciones[[#This Row],[tecnico]]</f>
        <v/>
      </c>
    </row>
    <row r="115">
      <c r="A115" s="3" t="inlineStr">
        <is>
          <t>2026-S30</t>
        </is>
      </c>
      <c r="B115" s="3" t="inlineStr">
        <is>
          <t>domingo</t>
        </is>
      </c>
      <c r="C115" s="3" t="inlineStr">
        <is>
          <t>Técnico 04</t>
        </is>
      </c>
      <c r="D115" s="3">
        <f>_xlfn.XLOOKUP(tblAsignaciones[[#This Row],[tecnico]],tblTecnicos[nombre],tblTecnicos[area],"")</f>
        <v/>
      </c>
      <c r="E115" s="3">
        <f>_xlfn.XLOOKUP(tblAsignaciones[[#This Row],[tecnico]],tblTecnicos[nombre],tblTecnicos[especialidad],"")</f>
        <v/>
      </c>
      <c r="F115" s="6" t="inlineStr"/>
      <c r="G115" s="3">
        <f>_xlfn.XLOOKUP(tblAsignaciones[[#This Row],[tecnico]],tblTecnicos[nombre],tblTecnicos[coordinador],"")</f>
        <v/>
      </c>
      <c r="H115" s="3">
        <f>IF(OR(tblAsignaciones[[#This Row],[turno]]="",ISNUMBER(MATCH(tblAsignaciones[[#This Row],[turno]],lista_no_disponible,0))),0,p_horas_jornada)</f>
        <v/>
      </c>
      <c r="I115" s="3">
        <f>tblAsignaciones[[#This Row],[semana]]&amp;"|"&amp;tblAsignaciones[[#This Row],[dia]]&amp;"|"&amp;tblAsignaciones[[#This Row],[tecnico]]</f>
        <v/>
      </c>
    </row>
    <row r="116">
      <c r="A116" s="3" t="inlineStr">
        <is>
          <t>2026-S30</t>
        </is>
      </c>
      <c r="B116" s="3" t="inlineStr">
        <is>
          <t>lunes</t>
        </is>
      </c>
      <c r="C116" s="3" t="inlineStr">
        <is>
          <t>Técnico 05</t>
        </is>
      </c>
      <c r="D116" s="3">
        <f>_xlfn.XLOOKUP(tblAsignaciones[[#This Row],[tecnico]],tblTecnicos[nombre],tblTecnicos[area],"")</f>
        <v/>
      </c>
      <c r="E116" s="3">
        <f>_xlfn.XLOOKUP(tblAsignaciones[[#This Row],[tecnico]],tblTecnicos[nombre],tblTecnicos[especialidad],"")</f>
        <v/>
      </c>
      <c r="F116" s="6" t="inlineStr">
        <is>
          <t>T1</t>
        </is>
      </c>
      <c r="G116" s="3">
        <f>_xlfn.XLOOKUP(tblAsignaciones[[#This Row],[tecnico]],tblTecnicos[nombre],tblTecnicos[coordinador],"")</f>
        <v/>
      </c>
      <c r="H116" s="3">
        <f>IF(OR(tblAsignaciones[[#This Row],[turno]]="",ISNUMBER(MATCH(tblAsignaciones[[#This Row],[turno]],lista_no_disponible,0))),0,p_horas_jornada)</f>
        <v/>
      </c>
      <c r="I116" s="3">
        <f>tblAsignaciones[[#This Row],[semana]]&amp;"|"&amp;tblAsignaciones[[#This Row],[dia]]&amp;"|"&amp;tblAsignaciones[[#This Row],[tecnico]]</f>
        <v/>
      </c>
    </row>
    <row r="117">
      <c r="A117" s="3" t="inlineStr">
        <is>
          <t>2026-S30</t>
        </is>
      </c>
      <c r="B117" s="3" t="inlineStr">
        <is>
          <t>martes</t>
        </is>
      </c>
      <c r="C117" s="3" t="inlineStr">
        <is>
          <t>Técnico 05</t>
        </is>
      </c>
      <c r="D117" s="3">
        <f>_xlfn.XLOOKUP(tblAsignaciones[[#This Row],[tecnico]],tblTecnicos[nombre],tblTecnicos[area],"")</f>
        <v/>
      </c>
      <c r="E117" s="3">
        <f>_xlfn.XLOOKUP(tblAsignaciones[[#This Row],[tecnico]],tblTecnicos[nombre],tblTecnicos[especialidad],"")</f>
        <v/>
      </c>
      <c r="F117" s="6" t="inlineStr">
        <is>
          <t>T1</t>
        </is>
      </c>
      <c r="G117" s="3">
        <f>_xlfn.XLOOKUP(tblAsignaciones[[#This Row],[tecnico]],tblTecnicos[nombre],tblTecnicos[coordinador],"")</f>
        <v/>
      </c>
      <c r="H117" s="3">
        <f>IF(OR(tblAsignaciones[[#This Row],[turno]]="",ISNUMBER(MATCH(tblAsignaciones[[#This Row],[turno]],lista_no_disponible,0))),0,p_horas_jornada)</f>
        <v/>
      </c>
      <c r="I117" s="3">
        <f>tblAsignaciones[[#This Row],[semana]]&amp;"|"&amp;tblAsignaciones[[#This Row],[dia]]&amp;"|"&amp;tblAsignaciones[[#This Row],[tecnico]]</f>
        <v/>
      </c>
    </row>
    <row r="118">
      <c r="A118" s="3" t="inlineStr">
        <is>
          <t>2026-S30</t>
        </is>
      </c>
      <c r="B118" s="3" t="inlineStr">
        <is>
          <t>miércoles</t>
        </is>
      </c>
      <c r="C118" s="3" t="inlineStr">
        <is>
          <t>Técnico 05</t>
        </is>
      </c>
      <c r="D118" s="3">
        <f>_xlfn.XLOOKUP(tblAsignaciones[[#This Row],[tecnico]],tblTecnicos[nombre],tblTecnicos[area],"")</f>
        <v/>
      </c>
      <c r="E118" s="3">
        <f>_xlfn.XLOOKUP(tblAsignaciones[[#This Row],[tecnico]],tblTecnicos[nombre],tblTecnicos[especialidad],"")</f>
        <v/>
      </c>
      <c r="F118" s="6" t="inlineStr">
        <is>
          <t>T1</t>
        </is>
      </c>
      <c r="G118" s="3">
        <f>_xlfn.XLOOKUP(tblAsignaciones[[#This Row],[tecnico]],tblTecnicos[nombre],tblTecnicos[coordinador],"")</f>
        <v/>
      </c>
      <c r="H118" s="3">
        <f>IF(OR(tblAsignaciones[[#This Row],[turno]]="",ISNUMBER(MATCH(tblAsignaciones[[#This Row],[turno]],lista_no_disponible,0))),0,p_horas_jornada)</f>
        <v/>
      </c>
      <c r="I118" s="3">
        <f>tblAsignaciones[[#This Row],[semana]]&amp;"|"&amp;tblAsignaciones[[#This Row],[dia]]&amp;"|"&amp;tblAsignaciones[[#This Row],[tecnico]]</f>
        <v/>
      </c>
    </row>
    <row r="119">
      <c r="A119" s="3" t="inlineStr">
        <is>
          <t>2026-S30</t>
        </is>
      </c>
      <c r="B119" s="3" t="inlineStr">
        <is>
          <t>jueves</t>
        </is>
      </c>
      <c r="C119" s="3" t="inlineStr">
        <is>
          <t>Técnico 05</t>
        </is>
      </c>
      <c r="D119" s="3">
        <f>_xlfn.XLOOKUP(tblAsignaciones[[#This Row],[tecnico]],tblTecnicos[nombre],tblTecnicos[area],"")</f>
        <v/>
      </c>
      <c r="E119" s="3">
        <f>_xlfn.XLOOKUP(tblAsignaciones[[#This Row],[tecnico]],tblTecnicos[nombre],tblTecnicos[especialidad],"")</f>
        <v/>
      </c>
      <c r="F119" s="6" t="inlineStr">
        <is>
          <t>T1</t>
        </is>
      </c>
      <c r="G119" s="3">
        <f>_xlfn.XLOOKUP(tblAsignaciones[[#This Row],[tecnico]],tblTecnicos[nombre],tblTecnicos[coordinador],"")</f>
        <v/>
      </c>
      <c r="H119" s="3">
        <f>IF(OR(tblAsignaciones[[#This Row],[turno]]="",ISNUMBER(MATCH(tblAsignaciones[[#This Row],[turno]],lista_no_disponible,0))),0,p_horas_jornada)</f>
        <v/>
      </c>
      <c r="I119" s="3">
        <f>tblAsignaciones[[#This Row],[semana]]&amp;"|"&amp;tblAsignaciones[[#This Row],[dia]]&amp;"|"&amp;tblAsignaciones[[#This Row],[tecnico]]</f>
        <v/>
      </c>
    </row>
    <row r="120">
      <c r="A120" s="3" t="inlineStr">
        <is>
          <t>2026-S30</t>
        </is>
      </c>
      <c r="B120" s="3" t="inlineStr">
        <is>
          <t>viernes</t>
        </is>
      </c>
      <c r="C120" s="3" t="inlineStr">
        <is>
          <t>Técnico 05</t>
        </is>
      </c>
      <c r="D120" s="3">
        <f>_xlfn.XLOOKUP(tblAsignaciones[[#This Row],[tecnico]],tblTecnicos[nombre],tblTecnicos[area],"")</f>
        <v/>
      </c>
      <c r="E120" s="3">
        <f>_xlfn.XLOOKUP(tblAsignaciones[[#This Row],[tecnico]],tblTecnicos[nombre],tblTecnicos[especialidad],"")</f>
        <v/>
      </c>
      <c r="F120" s="6" t="inlineStr">
        <is>
          <t>T1</t>
        </is>
      </c>
      <c r="G120" s="3">
        <f>_xlfn.XLOOKUP(tblAsignaciones[[#This Row],[tecnico]],tblTecnicos[nombre],tblTecnicos[coordinador],"")</f>
        <v/>
      </c>
      <c r="H120" s="3">
        <f>IF(OR(tblAsignaciones[[#This Row],[turno]]="",ISNUMBER(MATCH(tblAsignaciones[[#This Row],[turno]],lista_no_disponible,0))),0,p_horas_jornada)</f>
        <v/>
      </c>
      <c r="I120" s="3">
        <f>tblAsignaciones[[#This Row],[semana]]&amp;"|"&amp;tblAsignaciones[[#This Row],[dia]]&amp;"|"&amp;tblAsignaciones[[#This Row],[tecnico]]</f>
        <v/>
      </c>
    </row>
    <row r="121">
      <c r="A121" s="3" t="inlineStr">
        <is>
          <t>2026-S30</t>
        </is>
      </c>
      <c r="B121" s="3" t="inlineStr">
        <is>
          <t>sábado</t>
        </is>
      </c>
      <c r="C121" s="3" t="inlineStr">
        <is>
          <t>Técnico 05</t>
        </is>
      </c>
      <c r="D121" s="3">
        <f>_xlfn.XLOOKUP(tblAsignaciones[[#This Row],[tecnico]],tblTecnicos[nombre],tblTecnicos[area],"")</f>
        <v/>
      </c>
      <c r="E121" s="3">
        <f>_xlfn.XLOOKUP(tblAsignaciones[[#This Row],[tecnico]],tblTecnicos[nombre],tblTecnicos[especialidad],"")</f>
        <v/>
      </c>
      <c r="F121" s="6" t="inlineStr"/>
      <c r="G121" s="3">
        <f>_xlfn.XLOOKUP(tblAsignaciones[[#This Row],[tecnico]],tblTecnicos[nombre],tblTecnicos[coordinador],"")</f>
        <v/>
      </c>
      <c r="H121" s="3">
        <f>IF(OR(tblAsignaciones[[#This Row],[turno]]="",ISNUMBER(MATCH(tblAsignaciones[[#This Row],[turno]],lista_no_disponible,0))),0,p_horas_jornada)</f>
        <v/>
      </c>
      <c r="I121" s="3">
        <f>tblAsignaciones[[#This Row],[semana]]&amp;"|"&amp;tblAsignaciones[[#This Row],[dia]]&amp;"|"&amp;tblAsignaciones[[#This Row],[tecnico]]</f>
        <v/>
      </c>
    </row>
    <row r="122">
      <c r="A122" s="3" t="inlineStr">
        <is>
          <t>2026-S30</t>
        </is>
      </c>
      <c r="B122" s="3" t="inlineStr">
        <is>
          <t>domingo</t>
        </is>
      </c>
      <c r="C122" s="3" t="inlineStr">
        <is>
          <t>Técnico 05</t>
        </is>
      </c>
      <c r="D122" s="3">
        <f>_xlfn.XLOOKUP(tblAsignaciones[[#This Row],[tecnico]],tblTecnicos[nombre],tblTecnicos[area],"")</f>
        <v/>
      </c>
      <c r="E122" s="3">
        <f>_xlfn.XLOOKUP(tblAsignaciones[[#This Row],[tecnico]],tblTecnicos[nombre],tblTecnicos[especialidad],"")</f>
        <v/>
      </c>
      <c r="F122" s="6" t="inlineStr"/>
      <c r="G122" s="3">
        <f>_xlfn.XLOOKUP(tblAsignaciones[[#This Row],[tecnico]],tblTecnicos[nombre],tblTecnicos[coordinador],"")</f>
        <v/>
      </c>
      <c r="H122" s="3">
        <f>IF(OR(tblAsignaciones[[#This Row],[turno]]="",ISNUMBER(MATCH(tblAsignaciones[[#This Row],[turno]],lista_no_disponible,0))),0,p_horas_jornada)</f>
        <v/>
      </c>
      <c r="I122" s="3">
        <f>tblAsignaciones[[#This Row],[semana]]&amp;"|"&amp;tblAsignaciones[[#This Row],[dia]]&amp;"|"&amp;tblAsignaciones[[#This Row],[tecnico]]</f>
        <v/>
      </c>
    </row>
    <row r="123">
      <c r="A123" s="3" t="inlineStr">
        <is>
          <t>2026-S30</t>
        </is>
      </c>
      <c r="B123" s="3" t="inlineStr">
        <is>
          <t>lunes</t>
        </is>
      </c>
      <c r="C123" s="3" t="inlineStr">
        <is>
          <t>Técnico 06</t>
        </is>
      </c>
      <c r="D123" s="3">
        <f>_xlfn.XLOOKUP(tblAsignaciones[[#This Row],[tecnico]],tblTecnicos[nombre],tblTecnicos[area],"")</f>
        <v/>
      </c>
      <c r="E123" s="3">
        <f>_xlfn.XLOOKUP(tblAsignaciones[[#This Row],[tecnico]],tblTecnicos[nombre],tblTecnicos[especialidad],"")</f>
        <v/>
      </c>
      <c r="F123" s="6" t="inlineStr">
        <is>
          <t>T1</t>
        </is>
      </c>
      <c r="G123" s="3">
        <f>_xlfn.XLOOKUP(tblAsignaciones[[#This Row],[tecnico]],tblTecnicos[nombre],tblTecnicos[coordinador],"")</f>
        <v/>
      </c>
      <c r="H123" s="3">
        <f>IF(OR(tblAsignaciones[[#This Row],[turno]]="",ISNUMBER(MATCH(tblAsignaciones[[#This Row],[turno]],lista_no_disponible,0))),0,p_horas_jornada)</f>
        <v/>
      </c>
      <c r="I123" s="3">
        <f>tblAsignaciones[[#This Row],[semana]]&amp;"|"&amp;tblAsignaciones[[#This Row],[dia]]&amp;"|"&amp;tblAsignaciones[[#This Row],[tecnico]]</f>
        <v/>
      </c>
    </row>
    <row r="124">
      <c r="A124" s="3" t="inlineStr">
        <is>
          <t>2026-S30</t>
        </is>
      </c>
      <c r="B124" s="3" t="inlineStr">
        <is>
          <t>martes</t>
        </is>
      </c>
      <c r="C124" s="3" t="inlineStr">
        <is>
          <t>Técnico 06</t>
        </is>
      </c>
      <c r="D124" s="3">
        <f>_xlfn.XLOOKUP(tblAsignaciones[[#This Row],[tecnico]],tblTecnicos[nombre],tblTecnicos[area],"")</f>
        <v/>
      </c>
      <c r="E124" s="3">
        <f>_xlfn.XLOOKUP(tblAsignaciones[[#This Row],[tecnico]],tblTecnicos[nombre],tblTecnicos[especialidad],"")</f>
        <v/>
      </c>
      <c r="F124" s="6" t="inlineStr">
        <is>
          <t>T1</t>
        </is>
      </c>
      <c r="G124" s="3">
        <f>_xlfn.XLOOKUP(tblAsignaciones[[#This Row],[tecnico]],tblTecnicos[nombre],tblTecnicos[coordinador],"")</f>
        <v/>
      </c>
      <c r="H124" s="3">
        <f>IF(OR(tblAsignaciones[[#This Row],[turno]]="",ISNUMBER(MATCH(tblAsignaciones[[#This Row],[turno]],lista_no_disponible,0))),0,p_horas_jornada)</f>
        <v/>
      </c>
      <c r="I124" s="3">
        <f>tblAsignaciones[[#This Row],[semana]]&amp;"|"&amp;tblAsignaciones[[#This Row],[dia]]&amp;"|"&amp;tblAsignaciones[[#This Row],[tecnico]]</f>
        <v/>
      </c>
    </row>
    <row r="125">
      <c r="A125" s="3" t="inlineStr">
        <is>
          <t>2026-S30</t>
        </is>
      </c>
      <c r="B125" s="3" t="inlineStr">
        <is>
          <t>miércoles</t>
        </is>
      </c>
      <c r="C125" s="3" t="inlineStr">
        <is>
          <t>Técnico 06</t>
        </is>
      </c>
      <c r="D125" s="3">
        <f>_xlfn.XLOOKUP(tblAsignaciones[[#This Row],[tecnico]],tblTecnicos[nombre],tblTecnicos[area],"")</f>
        <v/>
      </c>
      <c r="E125" s="3">
        <f>_xlfn.XLOOKUP(tblAsignaciones[[#This Row],[tecnico]],tblTecnicos[nombre],tblTecnicos[especialidad],"")</f>
        <v/>
      </c>
      <c r="F125" s="6" t="inlineStr">
        <is>
          <t>T1</t>
        </is>
      </c>
      <c r="G125" s="3">
        <f>_xlfn.XLOOKUP(tblAsignaciones[[#This Row],[tecnico]],tblTecnicos[nombre],tblTecnicos[coordinador],"")</f>
        <v/>
      </c>
      <c r="H125" s="3">
        <f>IF(OR(tblAsignaciones[[#This Row],[turno]]="",ISNUMBER(MATCH(tblAsignaciones[[#This Row],[turno]],lista_no_disponible,0))),0,p_horas_jornada)</f>
        <v/>
      </c>
      <c r="I125" s="3">
        <f>tblAsignaciones[[#This Row],[semana]]&amp;"|"&amp;tblAsignaciones[[#This Row],[dia]]&amp;"|"&amp;tblAsignaciones[[#This Row],[tecnico]]</f>
        <v/>
      </c>
    </row>
    <row r="126">
      <c r="A126" s="3" t="inlineStr">
        <is>
          <t>2026-S30</t>
        </is>
      </c>
      <c r="B126" s="3" t="inlineStr">
        <is>
          <t>jueves</t>
        </is>
      </c>
      <c r="C126" s="3" t="inlineStr">
        <is>
          <t>Técnico 06</t>
        </is>
      </c>
      <c r="D126" s="3">
        <f>_xlfn.XLOOKUP(tblAsignaciones[[#This Row],[tecnico]],tblTecnicos[nombre],tblTecnicos[area],"")</f>
        <v/>
      </c>
      <c r="E126" s="3">
        <f>_xlfn.XLOOKUP(tblAsignaciones[[#This Row],[tecnico]],tblTecnicos[nombre],tblTecnicos[especialidad],"")</f>
        <v/>
      </c>
      <c r="F126" s="6" t="inlineStr">
        <is>
          <t>T1</t>
        </is>
      </c>
      <c r="G126" s="3">
        <f>_xlfn.XLOOKUP(tblAsignaciones[[#This Row],[tecnico]],tblTecnicos[nombre],tblTecnicos[coordinador],"")</f>
        <v/>
      </c>
      <c r="H126" s="3">
        <f>IF(OR(tblAsignaciones[[#This Row],[turno]]="",ISNUMBER(MATCH(tblAsignaciones[[#This Row],[turno]],lista_no_disponible,0))),0,p_horas_jornada)</f>
        <v/>
      </c>
      <c r="I126" s="3">
        <f>tblAsignaciones[[#This Row],[semana]]&amp;"|"&amp;tblAsignaciones[[#This Row],[dia]]&amp;"|"&amp;tblAsignaciones[[#This Row],[tecnico]]</f>
        <v/>
      </c>
    </row>
    <row r="127">
      <c r="A127" s="3" t="inlineStr">
        <is>
          <t>2026-S30</t>
        </is>
      </c>
      <c r="B127" s="3" t="inlineStr">
        <is>
          <t>viernes</t>
        </is>
      </c>
      <c r="C127" s="3" t="inlineStr">
        <is>
          <t>Técnico 06</t>
        </is>
      </c>
      <c r="D127" s="3">
        <f>_xlfn.XLOOKUP(tblAsignaciones[[#This Row],[tecnico]],tblTecnicos[nombre],tblTecnicos[area],"")</f>
        <v/>
      </c>
      <c r="E127" s="3">
        <f>_xlfn.XLOOKUP(tblAsignaciones[[#This Row],[tecnico]],tblTecnicos[nombre],tblTecnicos[especialidad],"")</f>
        <v/>
      </c>
      <c r="F127" s="6" t="inlineStr">
        <is>
          <t>T1</t>
        </is>
      </c>
      <c r="G127" s="3">
        <f>_xlfn.XLOOKUP(tblAsignaciones[[#This Row],[tecnico]],tblTecnicos[nombre],tblTecnicos[coordinador],"")</f>
        <v/>
      </c>
      <c r="H127" s="3">
        <f>IF(OR(tblAsignaciones[[#This Row],[turno]]="",ISNUMBER(MATCH(tblAsignaciones[[#This Row],[turno]],lista_no_disponible,0))),0,p_horas_jornada)</f>
        <v/>
      </c>
      <c r="I127" s="3">
        <f>tblAsignaciones[[#This Row],[semana]]&amp;"|"&amp;tblAsignaciones[[#This Row],[dia]]&amp;"|"&amp;tblAsignaciones[[#This Row],[tecnico]]</f>
        <v/>
      </c>
    </row>
    <row r="128">
      <c r="A128" s="3" t="inlineStr">
        <is>
          <t>2026-S30</t>
        </is>
      </c>
      <c r="B128" s="3" t="inlineStr">
        <is>
          <t>sábado</t>
        </is>
      </c>
      <c r="C128" s="3" t="inlineStr">
        <is>
          <t>Técnico 06</t>
        </is>
      </c>
      <c r="D128" s="3">
        <f>_xlfn.XLOOKUP(tblAsignaciones[[#This Row],[tecnico]],tblTecnicos[nombre],tblTecnicos[area],"")</f>
        <v/>
      </c>
      <c r="E128" s="3">
        <f>_xlfn.XLOOKUP(tblAsignaciones[[#This Row],[tecnico]],tblTecnicos[nombre],tblTecnicos[especialidad],"")</f>
        <v/>
      </c>
      <c r="F128" s="6" t="inlineStr"/>
      <c r="G128" s="3">
        <f>_xlfn.XLOOKUP(tblAsignaciones[[#This Row],[tecnico]],tblTecnicos[nombre],tblTecnicos[coordinador],"")</f>
        <v/>
      </c>
      <c r="H128" s="3">
        <f>IF(OR(tblAsignaciones[[#This Row],[turno]]="",ISNUMBER(MATCH(tblAsignaciones[[#This Row],[turno]],lista_no_disponible,0))),0,p_horas_jornada)</f>
        <v/>
      </c>
      <c r="I128" s="3">
        <f>tblAsignaciones[[#This Row],[semana]]&amp;"|"&amp;tblAsignaciones[[#This Row],[dia]]&amp;"|"&amp;tblAsignaciones[[#This Row],[tecnico]]</f>
        <v/>
      </c>
    </row>
    <row r="129">
      <c r="A129" s="3" t="inlineStr">
        <is>
          <t>2026-S30</t>
        </is>
      </c>
      <c r="B129" s="3" t="inlineStr">
        <is>
          <t>domingo</t>
        </is>
      </c>
      <c r="C129" s="3" t="inlineStr">
        <is>
          <t>Técnico 06</t>
        </is>
      </c>
      <c r="D129" s="3">
        <f>_xlfn.XLOOKUP(tblAsignaciones[[#This Row],[tecnico]],tblTecnicos[nombre],tblTecnicos[area],"")</f>
        <v/>
      </c>
      <c r="E129" s="3">
        <f>_xlfn.XLOOKUP(tblAsignaciones[[#This Row],[tecnico]],tblTecnicos[nombre],tblTecnicos[especialidad],"")</f>
        <v/>
      </c>
      <c r="F129" s="6" t="inlineStr"/>
      <c r="G129" s="3">
        <f>_xlfn.XLOOKUP(tblAsignaciones[[#This Row],[tecnico]],tblTecnicos[nombre],tblTecnicos[coordinador],"")</f>
        <v/>
      </c>
      <c r="H129" s="3">
        <f>IF(OR(tblAsignaciones[[#This Row],[turno]]="",ISNUMBER(MATCH(tblAsignaciones[[#This Row],[turno]],lista_no_disponible,0))),0,p_horas_jornada)</f>
        <v/>
      </c>
      <c r="I129" s="3">
        <f>tblAsignaciones[[#This Row],[semana]]&amp;"|"&amp;tblAsignaciones[[#This Row],[dia]]&amp;"|"&amp;tblAsignaciones[[#This Row],[tecnico]]</f>
        <v/>
      </c>
    </row>
    <row r="130">
      <c r="A130" s="3" t="inlineStr">
        <is>
          <t>2026-S30</t>
        </is>
      </c>
      <c r="B130" s="3" t="inlineStr">
        <is>
          <t>lunes</t>
        </is>
      </c>
      <c r="C130" s="3" t="inlineStr">
        <is>
          <t>Técnico 07</t>
        </is>
      </c>
      <c r="D130" s="3">
        <f>_xlfn.XLOOKUP(tblAsignaciones[[#This Row],[tecnico]],tblTecnicos[nombre],tblTecnicos[area],"")</f>
        <v/>
      </c>
      <c r="E130" s="3">
        <f>_xlfn.XLOOKUP(tblAsignaciones[[#This Row],[tecnico]],tblTecnicos[nombre],tblTecnicos[especialidad],"")</f>
        <v/>
      </c>
      <c r="F130" s="6" t="inlineStr">
        <is>
          <t>T1</t>
        </is>
      </c>
      <c r="G130" s="3">
        <f>_xlfn.XLOOKUP(tblAsignaciones[[#This Row],[tecnico]],tblTecnicos[nombre],tblTecnicos[coordinador],"")</f>
        <v/>
      </c>
      <c r="H130" s="3">
        <f>IF(OR(tblAsignaciones[[#This Row],[turno]]="",ISNUMBER(MATCH(tblAsignaciones[[#This Row],[turno]],lista_no_disponible,0))),0,p_horas_jornada)</f>
        <v/>
      </c>
      <c r="I130" s="3">
        <f>tblAsignaciones[[#This Row],[semana]]&amp;"|"&amp;tblAsignaciones[[#This Row],[dia]]&amp;"|"&amp;tblAsignaciones[[#This Row],[tecnico]]</f>
        <v/>
      </c>
    </row>
    <row r="131">
      <c r="A131" s="3" t="inlineStr">
        <is>
          <t>2026-S30</t>
        </is>
      </c>
      <c r="B131" s="3" t="inlineStr">
        <is>
          <t>martes</t>
        </is>
      </c>
      <c r="C131" s="3" t="inlineStr">
        <is>
          <t>Técnico 07</t>
        </is>
      </c>
      <c r="D131" s="3">
        <f>_xlfn.XLOOKUP(tblAsignaciones[[#This Row],[tecnico]],tblTecnicos[nombre],tblTecnicos[area],"")</f>
        <v/>
      </c>
      <c r="E131" s="3">
        <f>_xlfn.XLOOKUP(tblAsignaciones[[#This Row],[tecnico]],tblTecnicos[nombre],tblTecnicos[especialidad],"")</f>
        <v/>
      </c>
      <c r="F131" s="6" t="inlineStr">
        <is>
          <t>T1</t>
        </is>
      </c>
      <c r="G131" s="3">
        <f>_xlfn.XLOOKUP(tblAsignaciones[[#This Row],[tecnico]],tblTecnicos[nombre],tblTecnicos[coordinador],"")</f>
        <v/>
      </c>
      <c r="H131" s="3">
        <f>IF(OR(tblAsignaciones[[#This Row],[turno]]="",ISNUMBER(MATCH(tblAsignaciones[[#This Row],[turno]],lista_no_disponible,0))),0,p_horas_jornada)</f>
        <v/>
      </c>
      <c r="I131" s="3">
        <f>tblAsignaciones[[#This Row],[semana]]&amp;"|"&amp;tblAsignaciones[[#This Row],[dia]]&amp;"|"&amp;tblAsignaciones[[#This Row],[tecnico]]</f>
        <v/>
      </c>
    </row>
    <row r="132">
      <c r="A132" s="3" t="inlineStr">
        <is>
          <t>2026-S30</t>
        </is>
      </c>
      <c r="B132" s="3" t="inlineStr">
        <is>
          <t>miércoles</t>
        </is>
      </c>
      <c r="C132" s="3" t="inlineStr">
        <is>
          <t>Técnico 07</t>
        </is>
      </c>
      <c r="D132" s="3">
        <f>_xlfn.XLOOKUP(tblAsignaciones[[#This Row],[tecnico]],tblTecnicos[nombre],tblTecnicos[area],"")</f>
        <v/>
      </c>
      <c r="E132" s="3">
        <f>_xlfn.XLOOKUP(tblAsignaciones[[#This Row],[tecnico]],tblTecnicos[nombre],tblTecnicos[especialidad],"")</f>
        <v/>
      </c>
      <c r="F132" s="6" t="inlineStr">
        <is>
          <t>T1</t>
        </is>
      </c>
      <c r="G132" s="3">
        <f>_xlfn.XLOOKUP(tblAsignaciones[[#This Row],[tecnico]],tblTecnicos[nombre],tblTecnicos[coordinador],"")</f>
        <v/>
      </c>
      <c r="H132" s="3">
        <f>IF(OR(tblAsignaciones[[#This Row],[turno]]="",ISNUMBER(MATCH(tblAsignaciones[[#This Row],[turno]],lista_no_disponible,0))),0,p_horas_jornada)</f>
        <v/>
      </c>
      <c r="I132" s="3">
        <f>tblAsignaciones[[#This Row],[semana]]&amp;"|"&amp;tblAsignaciones[[#This Row],[dia]]&amp;"|"&amp;tblAsignaciones[[#This Row],[tecnico]]</f>
        <v/>
      </c>
    </row>
    <row r="133">
      <c r="A133" s="3" t="inlineStr">
        <is>
          <t>2026-S30</t>
        </is>
      </c>
      <c r="B133" s="3" t="inlineStr">
        <is>
          <t>jueves</t>
        </is>
      </c>
      <c r="C133" s="3" t="inlineStr">
        <is>
          <t>Técnico 07</t>
        </is>
      </c>
      <c r="D133" s="3">
        <f>_xlfn.XLOOKUP(tblAsignaciones[[#This Row],[tecnico]],tblTecnicos[nombre],tblTecnicos[area],"")</f>
        <v/>
      </c>
      <c r="E133" s="3">
        <f>_xlfn.XLOOKUP(tblAsignaciones[[#This Row],[tecnico]],tblTecnicos[nombre],tblTecnicos[especialidad],"")</f>
        <v/>
      </c>
      <c r="F133" s="6" t="inlineStr">
        <is>
          <t>T1</t>
        </is>
      </c>
      <c r="G133" s="3">
        <f>_xlfn.XLOOKUP(tblAsignaciones[[#This Row],[tecnico]],tblTecnicos[nombre],tblTecnicos[coordinador],"")</f>
        <v/>
      </c>
      <c r="H133" s="3">
        <f>IF(OR(tblAsignaciones[[#This Row],[turno]]="",ISNUMBER(MATCH(tblAsignaciones[[#This Row],[turno]],lista_no_disponible,0))),0,p_horas_jornada)</f>
        <v/>
      </c>
      <c r="I133" s="3">
        <f>tblAsignaciones[[#This Row],[semana]]&amp;"|"&amp;tblAsignaciones[[#This Row],[dia]]&amp;"|"&amp;tblAsignaciones[[#This Row],[tecnico]]</f>
        <v/>
      </c>
    </row>
    <row r="134">
      <c r="A134" s="3" t="inlineStr">
        <is>
          <t>2026-S30</t>
        </is>
      </c>
      <c r="B134" s="3" t="inlineStr">
        <is>
          <t>viernes</t>
        </is>
      </c>
      <c r="C134" s="3" t="inlineStr">
        <is>
          <t>Técnico 07</t>
        </is>
      </c>
      <c r="D134" s="3">
        <f>_xlfn.XLOOKUP(tblAsignaciones[[#This Row],[tecnico]],tblTecnicos[nombre],tblTecnicos[area],"")</f>
        <v/>
      </c>
      <c r="E134" s="3">
        <f>_xlfn.XLOOKUP(tblAsignaciones[[#This Row],[tecnico]],tblTecnicos[nombre],tblTecnicos[especialidad],"")</f>
        <v/>
      </c>
      <c r="F134" s="6" t="inlineStr">
        <is>
          <t>X</t>
        </is>
      </c>
      <c r="G134" s="3">
        <f>_xlfn.XLOOKUP(tblAsignaciones[[#This Row],[tecnico]],tblTecnicos[nombre],tblTecnicos[coordinador],"")</f>
        <v/>
      </c>
      <c r="H134" s="3">
        <f>IF(OR(tblAsignaciones[[#This Row],[turno]]="",ISNUMBER(MATCH(tblAsignaciones[[#This Row],[turno]],lista_no_disponible,0))),0,p_horas_jornada)</f>
        <v/>
      </c>
      <c r="I134" s="3">
        <f>tblAsignaciones[[#This Row],[semana]]&amp;"|"&amp;tblAsignaciones[[#This Row],[dia]]&amp;"|"&amp;tblAsignaciones[[#This Row],[tecnico]]</f>
        <v/>
      </c>
    </row>
    <row r="135">
      <c r="A135" s="3" t="inlineStr">
        <is>
          <t>2026-S30</t>
        </is>
      </c>
      <c r="B135" s="3" t="inlineStr">
        <is>
          <t>sábado</t>
        </is>
      </c>
      <c r="C135" s="3" t="inlineStr">
        <is>
          <t>Técnico 07</t>
        </is>
      </c>
      <c r="D135" s="3">
        <f>_xlfn.XLOOKUP(tblAsignaciones[[#This Row],[tecnico]],tblTecnicos[nombre],tblTecnicos[area],"")</f>
        <v/>
      </c>
      <c r="E135" s="3">
        <f>_xlfn.XLOOKUP(tblAsignaciones[[#This Row],[tecnico]],tblTecnicos[nombre],tblTecnicos[especialidad],"")</f>
        <v/>
      </c>
      <c r="F135" s="6" t="inlineStr"/>
      <c r="G135" s="3">
        <f>_xlfn.XLOOKUP(tblAsignaciones[[#This Row],[tecnico]],tblTecnicos[nombre],tblTecnicos[coordinador],"")</f>
        <v/>
      </c>
      <c r="H135" s="3">
        <f>IF(OR(tblAsignaciones[[#This Row],[turno]]="",ISNUMBER(MATCH(tblAsignaciones[[#This Row],[turno]],lista_no_disponible,0))),0,p_horas_jornada)</f>
        <v/>
      </c>
      <c r="I135" s="3">
        <f>tblAsignaciones[[#This Row],[semana]]&amp;"|"&amp;tblAsignaciones[[#This Row],[dia]]&amp;"|"&amp;tblAsignaciones[[#This Row],[tecnico]]</f>
        <v/>
      </c>
    </row>
    <row r="136">
      <c r="A136" s="3" t="inlineStr">
        <is>
          <t>2026-S30</t>
        </is>
      </c>
      <c r="B136" s="3" t="inlineStr">
        <is>
          <t>domingo</t>
        </is>
      </c>
      <c r="C136" s="3" t="inlineStr">
        <is>
          <t>Técnico 07</t>
        </is>
      </c>
      <c r="D136" s="3">
        <f>_xlfn.XLOOKUP(tblAsignaciones[[#This Row],[tecnico]],tblTecnicos[nombre],tblTecnicos[area],"")</f>
        <v/>
      </c>
      <c r="E136" s="3">
        <f>_xlfn.XLOOKUP(tblAsignaciones[[#This Row],[tecnico]],tblTecnicos[nombre],tblTecnicos[especialidad],"")</f>
        <v/>
      </c>
      <c r="F136" s="6" t="inlineStr"/>
      <c r="G136" s="3">
        <f>_xlfn.XLOOKUP(tblAsignaciones[[#This Row],[tecnico]],tblTecnicos[nombre],tblTecnicos[coordinador],"")</f>
        <v/>
      </c>
      <c r="H136" s="3">
        <f>IF(OR(tblAsignaciones[[#This Row],[turno]]="",ISNUMBER(MATCH(tblAsignaciones[[#This Row],[turno]],lista_no_disponible,0))),0,p_horas_jornada)</f>
        <v/>
      </c>
      <c r="I136" s="3">
        <f>tblAsignaciones[[#This Row],[semana]]&amp;"|"&amp;tblAsignaciones[[#This Row],[dia]]&amp;"|"&amp;tblAsignaciones[[#This Row],[tecnico]]</f>
        <v/>
      </c>
    </row>
    <row r="137">
      <c r="A137" s="3" t="inlineStr">
        <is>
          <t>2026-S30</t>
        </is>
      </c>
      <c r="B137" s="3" t="inlineStr">
        <is>
          <t>lunes</t>
        </is>
      </c>
      <c r="C137" s="3" t="inlineStr">
        <is>
          <t>Técnico 08</t>
        </is>
      </c>
      <c r="D137" s="3">
        <f>_xlfn.XLOOKUP(tblAsignaciones[[#This Row],[tecnico]],tblTecnicos[nombre],tblTecnicos[area],"")</f>
        <v/>
      </c>
      <c r="E137" s="3">
        <f>_xlfn.XLOOKUP(tblAsignaciones[[#This Row],[tecnico]],tblTecnicos[nombre],tblTecnicos[especialidad],"")</f>
        <v/>
      </c>
      <c r="F137" s="6" t="inlineStr">
        <is>
          <t>T3</t>
        </is>
      </c>
      <c r="G137" s="3">
        <f>_xlfn.XLOOKUP(tblAsignaciones[[#This Row],[tecnico]],tblTecnicos[nombre],tblTecnicos[coordinador],"")</f>
        <v/>
      </c>
      <c r="H137" s="3">
        <f>IF(OR(tblAsignaciones[[#This Row],[turno]]="",ISNUMBER(MATCH(tblAsignaciones[[#This Row],[turno]],lista_no_disponible,0))),0,p_horas_jornada)</f>
        <v/>
      </c>
      <c r="I137" s="3">
        <f>tblAsignaciones[[#This Row],[semana]]&amp;"|"&amp;tblAsignaciones[[#This Row],[dia]]&amp;"|"&amp;tblAsignaciones[[#This Row],[tecnico]]</f>
        <v/>
      </c>
    </row>
    <row r="138">
      <c r="A138" s="3" t="inlineStr">
        <is>
          <t>2026-S30</t>
        </is>
      </c>
      <c r="B138" s="3" t="inlineStr">
        <is>
          <t>martes</t>
        </is>
      </c>
      <c r="C138" s="3" t="inlineStr">
        <is>
          <t>Técnico 08</t>
        </is>
      </c>
      <c r="D138" s="3">
        <f>_xlfn.XLOOKUP(tblAsignaciones[[#This Row],[tecnico]],tblTecnicos[nombre],tblTecnicos[area],"")</f>
        <v/>
      </c>
      <c r="E138" s="3">
        <f>_xlfn.XLOOKUP(tblAsignaciones[[#This Row],[tecnico]],tblTecnicos[nombre],tblTecnicos[especialidad],"")</f>
        <v/>
      </c>
      <c r="F138" s="6" t="inlineStr">
        <is>
          <t>T3</t>
        </is>
      </c>
      <c r="G138" s="3">
        <f>_xlfn.XLOOKUP(tblAsignaciones[[#This Row],[tecnico]],tblTecnicos[nombre],tblTecnicos[coordinador],"")</f>
        <v/>
      </c>
      <c r="H138" s="3">
        <f>IF(OR(tblAsignaciones[[#This Row],[turno]]="",ISNUMBER(MATCH(tblAsignaciones[[#This Row],[turno]],lista_no_disponible,0))),0,p_horas_jornada)</f>
        <v/>
      </c>
      <c r="I138" s="3">
        <f>tblAsignaciones[[#This Row],[semana]]&amp;"|"&amp;tblAsignaciones[[#This Row],[dia]]&amp;"|"&amp;tblAsignaciones[[#This Row],[tecnico]]</f>
        <v/>
      </c>
    </row>
    <row r="139">
      <c r="A139" s="3" t="inlineStr">
        <is>
          <t>2026-S30</t>
        </is>
      </c>
      <c r="B139" s="3" t="inlineStr">
        <is>
          <t>miércoles</t>
        </is>
      </c>
      <c r="C139" s="3" t="inlineStr">
        <is>
          <t>Técnico 08</t>
        </is>
      </c>
      <c r="D139" s="3">
        <f>_xlfn.XLOOKUP(tblAsignaciones[[#This Row],[tecnico]],tblTecnicos[nombre],tblTecnicos[area],"")</f>
        <v/>
      </c>
      <c r="E139" s="3">
        <f>_xlfn.XLOOKUP(tblAsignaciones[[#This Row],[tecnico]],tblTecnicos[nombre],tblTecnicos[especialidad],"")</f>
        <v/>
      </c>
      <c r="F139" s="6" t="inlineStr">
        <is>
          <t>T3</t>
        </is>
      </c>
      <c r="G139" s="3">
        <f>_xlfn.XLOOKUP(tblAsignaciones[[#This Row],[tecnico]],tblTecnicos[nombre],tblTecnicos[coordinador],"")</f>
        <v/>
      </c>
      <c r="H139" s="3">
        <f>IF(OR(tblAsignaciones[[#This Row],[turno]]="",ISNUMBER(MATCH(tblAsignaciones[[#This Row],[turno]],lista_no_disponible,0))),0,p_horas_jornada)</f>
        <v/>
      </c>
      <c r="I139" s="3">
        <f>tblAsignaciones[[#This Row],[semana]]&amp;"|"&amp;tblAsignaciones[[#This Row],[dia]]&amp;"|"&amp;tblAsignaciones[[#This Row],[tecnico]]</f>
        <v/>
      </c>
    </row>
    <row r="140">
      <c r="A140" s="3" t="inlineStr">
        <is>
          <t>2026-S30</t>
        </is>
      </c>
      <c r="B140" s="3" t="inlineStr">
        <is>
          <t>jueves</t>
        </is>
      </c>
      <c r="C140" s="3" t="inlineStr">
        <is>
          <t>Técnico 08</t>
        </is>
      </c>
      <c r="D140" s="3">
        <f>_xlfn.XLOOKUP(tblAsignaciones[[#This Row],[tecnico]],tblTecnicos[nombre],tblTecnicos[area],"")</f>
        <v/>
      </c>
      <c r="E140" s="3">
        <f>_xlfn.XLOOKUP(tblAsignaciones[[#This Row],[tecnico]],tblTecnicos[nombre],tblTecnicos[especialidad],"")</f>
        <v/>
      </c>
      <c r="F140" s="6" t="inlineStr">
        <is>
          <t>T3</t>
        </is>
      </c>
      <c r="G140" s="3">
        <f>_xlfn.XLOOKUP(tblAsignaciones[[#This Row],[tecnico]],tblTecnicos[nombre],tblTecnicos[coordinador],"")</f>
        <v/>
      </c>
      <c r="H140" s="3">
        <f>IF(OR(tblAsignaciones[[#This Row],[turno]]="",ISNUMBER(MATCH(tblAsignaciones[[#This Row],[turno]],lista_no_disponible,0))),0,p_horas_jornada)</f>
        <v/>
      </c>
      <c r="I140" s="3">
        <f>tblAsignaciones[[#This Row],[semana]]&amp;"|"&amp;tblAsignaciones[[#This Row],[dia]]&amp;"|"&amp;tblAsignaciones[[#This Row],[tecnico]]</f>
        <v/>
      </c>
    </row>
    <row r="141">
      <c r="A141" s="3" t="inlineStr">
        <is>
          <t>2026-S30</t>
        </is>
      </c>
      <c r="B141" s="3" t="inlineStr">
        <is>
          <t>viernes</t>
        </is>
      </c>
      <c r="C141" s="3" t="inlineStr">
        <is>
          <t>Técnico 08</t>
        </is>
      </c>
      <c r="D141" s="3">
        <f>_xlfn.XLOOKUP(tblAsignaciones[[#This Row],[tecnico]],tblTecnicos[nombre],tblTecnicos[area],"")</f>
        <v/>
      </c>
      <c r="E141" s="3">
        <f>_xlfn.XLOOKUP(tblAsignaciones[[#This Row],[tecnico]],tblTecnicos[nombre],tblTecnicos[especialidad],"")</f>
        <v/>
      </c>
      <c r="F141" s="6" t="inlineStr">
        <is>
          <t>T3</t>
        </is>
      </c>
      <c r="G141" s="3">
        <f>_xlfn.XLOOKUP(tblAsignaciones[[#This Row],[tecnico]],tblTecnicos[nombre],tblTecnicos[coordinador],"")</f>
        <v/>
      </c>
      <c r="H141" s="3">
        <f>IF(OR(tblAsignaciones[[#This Row],[turno]]="",ISNUMBER(MATCH(tblAsignaciones[[#This Row],[turno]],lista_no_disponible,0))),0,p_horas_jornada)</f>
        <v/>
      </c>
      <c r="I141" s="3">
        <f>tblAsignaciones[[#This Row],[semana]]&amp;"|"&amp;tblAsignaciones[[#This Row],[dia]]&amp;"|"&amp;tblAsignaciones[[#This Row],[tecnico]]</f>
        <v/>
      </c>
    </row>
    <row r="142">
      <c r="A142" s="3" t="inlineStr">
        <is>
          <t>2026-S30</t>
        </is>
      </c>
      <c r="B142" s="3" t="inlineStr">
        <is>
          <t>sábado</t>
        </is>
      </c>
      <c r="C142" s="3" t="inlineStr">
        <is>
          <t>Técnico 08</t>
        </is>
      </c>
      <c r="D142" s="3">
        <f>_xlfn.XLOOKUP(tblAsignaciones[[#This Row],[tecnico]],tblTecnicos[nombre],tblTecnicos[area],"")</f>
        <v/>
      </c>
      <c r="E142" s="3">
        <f>_xlfn.XLOOKUP(tblAsignaciones[[#This Row],[tecnico]],tblTecnicos[nombre],tblTecnicos[especialidad],"")</f>
        <v/>
      </c>
      <c r="F142" s="6" t="inlineStr"/>
      <c r="G142" s="3">
        <f>_xlfn.XLOOKUP(tblAsignaciones[[#This Row],[tecnico]],tblTecnicos[nombre],tblTecnicos[coordinador],"")</f>
        <v/>
      </c>
      <c r="H142" s="3">
        <f>IF(OR(tblAsignaciones[[#This Row],[turno]]="",ISNUMBER(MATCH(tblAsignaciones[[#This Row],[turno]],lista_no_disponible,0))),0,p_horas_jornada)</f>
        <v/>
      </c>
      <c r="I142" s="3">
        <f>tblAsignaciones[[#This Row],[semana]]&amp;"|"&amp;tblAsignaciones[[#This Row],[dia]]&amp;"|"&amp;tblAsignaciones[[#This Row],[tecnico]]</f>
        <v/>
      </c>
    </row>
    <row r="143">
      <c r="A143" s="3" t="inlineStr">
        <is>
          <t>2026-S30</t>
        </is>
      </c>
      <c r="B143" s="3" t="inlineStr">
        <is>
          <t>domingo</t>
        </is>
      </c>
      <c r="C143" s="3" t="inlineStr">
        <is>
          <t>Técnico 08</t>
        </is>
      </c>
      <c r="D143" s="3">
        <f>_xlfn.XLOOKUP(tblAsignaciones[[#This Row],[tecnico]],tblTecnicos[nombre],tblTecnicos[area],"")</f>
        <v/>
      </c>
      <c r="E143" s="3">
        <f>_xlfn.XLOOKUP(tblAsignaciones[[#This Row],[tecnico]],tblTecnicos[nombre],tblTecnicos[especialidad],"")</f>
        <v/>
      </c>
      <c r="F143" s="6" t="inlineStr"/>
      <c r="G143" s="3">
        <f>_xlfn.XLOOKUP(tblAsignaciones[[#This Row],[tecnico]],tblTecnicos[nombre],tblTecnicos[coordinador],"")</f>
        <v/>
      </c>
      <c r="H143" s="3">
        <f>IF(OR(tblAsignaciones[[#This Row],[turno]]="",ISNUMBER(MATCH(tblAsignaciones[[#This Row],[turno]],lista_no_disponible,0))),0,p_horas_jornada)</f>
        <v/>
      </c>
      <c r="I143" s="3">
        <f>tblAsignaciones[[#This Row],[semana]]&amp;"|"&amp;tblAsignaciones[[#This Row],[dia]]&amp;"|"&amp;tblAsignaciones[[#This Row],[tecnico]]</f>
        <v/>
      </c>
    </row>
    <row r="144">
      <c r="A144" s="3" t="inlineStr">
        <is>
          <t>2026-S30</t>
        </is>
      </c>
      <c r="B144" s="3" t="inlineStr">
        <is>
          <t>lunes</t>
        </is>
      </c>
      <c r="C144" s="3" t="inlineStr">
        <is>
          <t>Técnico 09</t>
        </is>
      </c>
      <c r="D144" s="3">
        <f>_xlfn.XLOOKUP(tblAsignaciones[[#This Row],[tecnico]],tblTecnicos[nombre],tblTecnicos[area],"")</f>
        <v/>
      </c>
      <c r="E144" s="3">
        <f>_xlfn.XLOOKUP(tblAsignaciones[[#This Row],[tecnico]],tblTecnicos[nombre],tblTecnicos[especialidad],"")</f>
        <v/>
      </c>
      <c r="F144" s="6" t="inlineStr">
        <is>
          <t>T1</t>
        </is>
      </c>
      <c r="G144" s="3">
        <f>_xlfn.XLOOKUP(tblAsignaciones[[#This Row],[tecnico]],tblTecnicos[nombre],tblTecnicos[coordinador],"")</f>
        <v/>
      </c>
      <c r="H144" s="3">
        <f>IF(OR(tblAsignaciones[[#This Row],[turno]]="",ISNUMBER(MATCH(tblAsignaciones[[#This Row],[turno]],lista_no_disponible,0))),0,p_horas_jornada)</f>
        <v/>
      </c>
      <c r="I144" s="3">
        <f>tblAsignaciones[[#This Row],[semana]]&amp;"|"&amp;tblAsignaciones[[#This Row],[dia]]&amp;"|"&amp;tblAsignaciones[[#This Row],[tecnico]]</f>
        <v/>
      </c>
    </row>
    <row r="145">
      <c r="A145" s="3" t="inlineStr">
        <is>
          <t>2026-S30</t>
        </is>
      </c>
      <c r="B145" s="3" t="inlineStr">
        <is>
          <t>martes</t>
        </is>
      </c>
      <c r="C145" s="3" t="inlineStr">
        <is>
          <t>Técnico 09</t>
        </is>
      </c>
      <c r="D145" s="3">
        <f>_xlfn.XLOOKUP(tblAsignaciones[[#This Row],[tecnico]],tblTecnicos[nombre],tblTecnicos[area],"")</f>
        <v/>
      </c>
      <c r="E145" s="3">
        <f>_xlfn.XLOOKUP(tblAsignaciones[[#This Row],[tecnico]],tblTecnicos[nombre],tblTecnicos[especialidad],"")</f>
        <v/>
      </c>
      <c r="F145" s="6" t="inlineStr">
        <is>
          <t>T1</t>
        </is>
      </c>
      <c r="G145" s="3">
        <f>_xlfn.XLOOKUP(tblAsignaciones[[#This Row],[tecnico]],tblTecnicos[nombre],tblTecnicos[coordinador],"")</f>
        <v/>
      </c>
      <c r="H145" s="3">
        <f>IF(OR(tblAsignaciones[[#This Row],[turno]]="",ISNUMBER(MATCH(tblAsignaciones[[#This Row],[turno]],lista_no_disponible,0))),0,p_horas_jornada)</f>
        <v/>
      </c>
      <c r="I145" s="3">
        <f>tblAsignaciones[[#This Row],[semana]]&amp;"|"&amp;tblAsignaciones[[#This Row],[dia]]&amp;"|"&amp;tblAsignaciones[[#This Row],[tecnico]]</f>
        <v/>
      </c>
    </row>
    <row r="146">
      <c r="A146" s="3" t="inlineStr">
        <is>
          <t>2026-S30</t>
        </is>
      </c>
      <c r="B146" s="3" t="inlineStr">
        <is>
          <t>miércoles</t>
        </is>
      </c>
      <c r="C146" s="3" t="inlineStr">
        <is>
          <t>Técnico 09</t>
        </is>
      </c>
      <c r="D146" s="3">
        <f>_xlfn.XLOOKUP(tblAsignaciones[[#This Row],[tecnico]],tblTecnicos[nombre],tblTecnicos[area],"")</f>
        <v/>
      </c>
      <c r="E146" s="3">
        <f>_xlfn.XLOOKUP(tblAsignaciones[[#This Row],[tecnico]],tblTecnicos[nombre],tblTecnicos[especialidad],"")</f>
        <v/>
      </c>
      <c r="F146" s="6" t="inlineStr">
        <is>
          <t>T1</t>
        </is>
      </c>
      <c r="G146" s="3">
        <f>_xlfn.XLOOKUP(tblAsignaciones[[#This Row],[tecnico]],tblTecnicos[nombre],tblTecnicos[coordinador],"")</f>
        <v/>
      </c>
      <c r="H146" s="3">
        <f>IF(OR(tblAsignaciones[[#This Row],[turno]]="",ISNUMBER(MATCH(tblAsignaciones[[#This Row],[turno]],lista_no_disponible,0))),0,p_horas_jornada)</f>
        <v/>
      </c>
      <c r="I146" s="3">
        <f>tblAsignaciones[[#This Row],[semana]]&amp;"|"&amp;tblAsignaciones[[#This Row],[dia]]&amp;"|"&amp;tblAsignaciones[[#This Row],[tecnico]]</f>
        <v/>
      </c>
    </row>
    <row r="147">
      <c r="A147" s="3" t="inlineStr">
        <is>
          <t>2026-S30</t>
        </is>
      </c>
      <c r="B147" s="3" t="inlineStr">
        <is>
          <t>jueves</t>
        </is>
      </c>
      <c r="C147" s="3" t="inlineStr">
        <is>
          <t>Técnico 09</t>
        </is>
      </c>
      <c r="D147" s="3">
        <f>_xlfn.XLOOKUP(tblAsignaciones[[#This Row],[tecnico]],tblTecnicos[nombre],tblTecnicos[area],"")</f>
        <v/>
      </c>
      <c r="E147" s="3">
        <f>_xlfn.XLOOKUP(tblAsignaciones[[#This Row],[tecnico]],tblTecnicos[nombre],tblTecnicos[especialidad],"")</f>
        <v/>
      </c>
      <c r="F147" s="6" t="inlineStr">
        <is>
          <t>T1</t>
        </is>
      </c>
      <c r="G147" s="3">
        <f>_xlfn.XLOOKUP(tblAsignaciones[[#This Row],[tecnico]],tblTecnicos[nombre],tblTecnicos[coordinador],"")</f>
        <v/>
      </c>
      <c r="H147" s="3">
        <f>IF(OR(tblAsignaciones[[#This Row],[turno]]="",ISNUMBER(MATCH(tblAsignaciones[[#This Row],[turno]],lista_no_disponible,0))),0,p_horas_jornada)</f>
        <v/>
      </c>
      <c r="I147" s="3">
        <f>tblAsignaciones[[#This Row],[semana]]&amp;"|"&amp;tblAsignaciones[[#This Row],[dia]]&amp;"|"&amp;tblAsignaciones[[#This Row],[tecnico]]</f>
        <v/>
      </c>
    </row>
    <row r="148">
      <c r="A148" s="3" t="inlineStr">
        <is>
          <t>2026-S30</t>
        </is>
      </c>
      <c r="B148" s="3" t="inlineStr">
        <is>
          <t>viernes</t>
        </is>
      </c>
      <c r="C148" s="3" t="inlineStr">
        <is>
          <t>Técnico 09</t>
        </is>
      </c>
      <c r="D148" s="3">
        <f>_xlfn.XLOOKUP(tblAsignaciones[[#This Row],[tecnico]],tblTecnicos[nombre],tblTecnicos[area],"")</f>
        <v/>
      </c>
      <c r="E148" s="3">
        <f>_xlfn.XLOOKUP(tblAsignaciones[[#This Row],[tecnico]],tblTecnicos[nombre],tblTecnicos[especialidad],"")</f>
        <v/>
      </c>
      <c r="F148" s="6" t="inlineStr">
        <is>
          <t>T1</t>
        </is>
      </c>
      <c r="G148" s="3">
        <f>_xlfn.XLOOKUP(tblAsignaciones[[#This Row],[tecnico]],tblTecnicos[nombre],tblTecnicos[coordinador],"")</f>
        <v/>
      </c>
      <c r="H148" s="3">
        <f>IF(OR(tblAsignaciones[[#This Row],[turno]]="",ISNUMBER(MATCH(tblAsignaciones[[#This Row],[turno]],lista_no_disponible,0))),0,p_horas_jornada)</f>
        <v/>
      </c>
      <c r="I148" s="3">
        <f>tblAsignaciones[[#This Row],[semana]]&amp;"|"&amp;tblAsignaciones[[#This Row],[dia]]&amp;"|"&amp;tblAsignaciones[[#This Row],[tecnico]]</f>
        <v/>
      </c>
    </row>
    <row r="149">
      <c r="A149" s="3" t="inlineStr">
        <is>
          <t>2026-S30</t>
        </is>
      </c>
      <c r="B149" s="3" t="inlineStr">
        <is>
          <t>sábado</t>
        </is>
      </c>
      <c r="C149" s="3" t="inlineStr">
        <is>
          <t>Técnico 09</t>
        </is>
      </c>
      <c r="D149" s="3">
        <f>_xlfn.XLOOKUP(tblAsignaciones[[#This Row],[tecnico]],tblTecnicos[nombre],tblTecnicos[area],"")</f>
        <v/>
      </c>
      <c r="E149" s="3">
        <f>_xlfn.XLOOKUP(tblAsignaciones[[#This Row],[tecnico]],tblTecnicos[nombre],tblTecnicos[especialidad],"")</f>
        <v/>
      </c>
      <c r="F149" s="6" t="inlineStr"/>
      <c r="G149" s="3">
        <f>_xlfn.XLOOKUP(tblAsignaciones[[#This Row],[tecnico]],tblTecnicos[nombre],tblTecnicos[coordinador],"")</f>
        <v/>
      </c>
      <c r="H149" s="3">
        <f>IF(OR(tblAsignaciones[[#This Row],[turno]]="",ISNUMBER(MATCH(tblAsignaciones[[#This Row],[turno]],lista_no_disponible,0))),0,p_horas_jornada)</f>
        <v/>
      </c>
      <c r="I149" s="3">
        <f>tblAsignaciones[[#This Row],[semana]]&amp;"|"&amp;tblAsignaciones[[#This Row],[dia]]&amp;"|"&amp;tblAsignaciones[[#This Row],[tecnico]]</f>
        <v/>
      </c>
    </row>
    <row r="150">
      <c r="A150" s="3" t="inlineStr">
        <is>
          <t>2026-S30</t>
        </is>
      </c>
      <c r="B150" s="3" t="inlineStr">
        <is>
          <t>domingo</t>
        </is>
      </c>
      <c r="C150" s="3" t="inlineStr">
        <is>
          <t>Técnico 09</t>
        </is>
      </c>
      <c r="D150" s="3">
        <f>_xlfn.XLOOKUP(tblAsignaciones[[#This Row],[tecnico]],tblTecnicos[nombre],tblTecnicos[area],"")</f>
        <v/>
      </c>
      <c r="E150" s="3">
        <f>_xlfn.XLOOKUP(tblAsignaciones[[#This Row],[tecnico]],tblTecnicos[nombre],tblTecnicos[especialidad],"")</f>
        <v/>
      </c>
      <c r="F150" s="6" t="inlineStr"/>
      <c r="G150" s="3">
        <f>_xlfn.XLOOKUP(tblAsignaciones[[#This Row],[tecnico]],tblTecnicos[nombre],tblTecnicos[coordinador],"")</f>
        <v/>
      </c>
      <c r="H150" s="3">
        <f>IF(OR(tblAsignaciones[[#This Row],[turno]]="",ISNUMBER(MATCH(tblAsignaciones[[#This Row],[turno]],lista_no_disponible,0))),0,p_horas_jornada)</f>
        <v/>
      </c>
      <c r="I150" s="3">
        <f>tblAsignaciones[[#This Row],[semana]]&amp;"|"&amp;tblAsignaciones[[#This Row],[dia]]&amp;"|"&amp;tblAsignaciones[[#This Row],[tecnico]]</f>
        <v/>
      </c>
    </row>
    <row r="151">
      <c r="A151" s="3" t="inlineStr">
        <is>
          <t>2026-S30</t>
        </is>
      </c>
      <c r="B151" s="3" t="inlineStr">
        <is>
          <t>lunes</t>
        </is>
      </c>
      <c r="C151" s="3" t="inlineStr">
        <is>
          <t>Técnico 10</t>
        </is>
      </c>
      <c r="D151" s="3">
        <f>_xlfn.XLOOKUP(tblAsignaciones[[#This Row],[tecnico]],tblTecnicos[nombre],tblTecnicos[area],"")</f>
        <v/>
      </c>
      <c r="E151" s="3">
        <f>_xlfn.XLOOKUP(tblAsignaciones[[#This Row],[tecnico]],tblTecnicos[nombre],tblTecnicos[especialidad],"")</f>
        <v/>
      </c>
      <c r="F151" s="6" t="inlineStr">
        <is>
          <t>B1</t>
        </is>
      </c>
      <c r="G151" s="3">
        <f>_xlfn.XLOOKUP(tblAsignaciones[[#This Row],[tecnico]],tblTecnicos[nombre],tblTecnicos[coordinador],"")</f>
        <v/>
      </c>
      <c r="H151" s="3">
        <f>IF(OR(tblAsignaciones[[#This Row],[turno]]="",ISNUMBER(MATCH(tblAsignaciones[[#This Row],[turno]],lista_no_disponible,0))),0,p_horas_jornada)</f>
        <v/>
      </c>
      <c r="I151" s="3">
        <f>tblAsignaciones[[#This Row],[semana]]&amp;"|"&amp;tblAsignaciones[[#This Row],[dia]]&amp;"|"&amp;tblAsignaciones[[#This Row],[tecnico]]</f>
        <v/>
      </c>
    </row>
    <row r="152">
      <c r="A152" s="3" t="inlineStr">
        <is>
          <t>2026-S30</t>
        </is>
      </c>
      <c r="B152" s="3" t="inlineStr">
        <is>
          <t>martes</t>
        </is>
      </c>
      <c r="C152" s="3" t="inlineStr">
        <is>
          <t>Técnico 10</t>
        </is>
      </c>
      <c r="D152" s="3">
        <f>_xlfn.XLOOKUP(tblAsignaciones[[#This Row],[tecnico]],tblTecnicos[nombre],tblTecnicos[area],"")</f>
        <v/>
      </c>
      <c r="E152" s="3">
        <f>_xlfn.XLOOKUP(tblAsignaciones[[#This Row],[tecnico]],tblTecnicos[nombre],tblTecnicos[especialidad],"")</f>
        <v/>
      </c>
      <c r="F152" s="6" t="inlineStr">
        <is>
          <t>B1</t>
        </is>
      </c>
      <c r="G152" s="3">
        <f>_xlfn.XLOOKUP(tblAsignaciones[[#This Row],[tecnico]],tblTecnicos[nombre],tblTecnicos[coordinador],"")</f>
        <v/>
      </c>
      <c r="H152" s="3">
        <f>IF(OR(tblAsignaciones[[#This Row],[turno]]="",ISNUMBER(MATCH(tblAsignaciones[[#This Row],[turno]],lista_no_disponible,0))),0,p_horas_jornada)</f>
        <v/>
      </c>
      <c r="I152" s="3">
        <f>tblAsignaciones[[#This Row],[semana]]&amp;"|"&amp;tblAsignaciones[[#This Row],[dia]]&amp;"|"&amp;tblAsignaciones[[#This Row],[tecnico]]</f>
        <v/>
      </c>
    </row>
    <row r="153">
      <c r="A153" s="3" t="inlineStr">
        <is>
          <t>2026-S30</t>
        </is>
      </c>
      <c r="B153" s="3" t="inlineStr">
        <is>
          <t>miércoles</t>
        </is>
      </c>
      <c r="C153" s="3" t="inlineStr">
        <is>
          <t>Técnico 10</t>
        </is>
      </c>
      <c r="D153" s="3">
        <f>_xlfn.XLOOKUP(tblAsignaciones[[#This Row],[tecnico]],tblTecnicos[nombre],tblTecnicos[area],"")</f>
        <v/>
      </c>
      <c r="E153" s="3">
        <f>_xlfn.XLOOKUP(tblAsignaciones[[#This Row],[tecnico]],tblTecnicos[nombre],tblTecnicos[especialidad],"")</f>
        <v/>
      </c>
      <c r="F153" s="6" t="inlineStr">
        <is>
          <t>B1</t>
        </is>
      </c>
      <c r="G153" s="3">
        <f>_xlfn.XLOOKUP(tblAsignaciones[[#This Row],[tecnico]],tblTecnicos[nombre],tblTecnicos[coordinador],"")</f>
        <v/>
      </c>
      <c r="H153" s="3">
        <f>IF(OR(tblAsignaciones[[#This Row],[turno]]="",ISNUMBER(MATCH(tblAsignaciones[[#This Row],[turno]],lista_no_disponible,0))),0,p_horas_jornada)</f>
        <v/>
      </c>
      <c r="I153" s="3">
        <f>tblAsignaciones[[#This Row],[semana]]&amp;"|"&amp;tblAsignaciones[[#This Row],[dia]]&amp;"|"&amp;tblAsignaciones[[#This Row],[tecnico]]</f>
        <v/>
      </c>
    </row>
    <row r="154">
      <c r="A154" s="3" t="inlineStr">
        <is>
          <t>2026-S30</t>
        </is>
      </c>
      <c r="B154" s="3" t="inlineStr">
        <is>
          <t>jueves</t>
        </is>
      </c>
      <c r="C154" s="3" t="inlineStr">
        <is>
          <t>Técnico 10</t>
        </is>
      </c>
      <c r="D154" s="3">
        <f>_xlfn.XLOOKUP(tblAsignaciones[[#This Row],[tecnico]],tblTecnicos[nombre],tblTecnicos[area],"")</f>
        <v/>
      </c>
      <c r="E154" s="3">
        <f>_xlfn.XLOOKUP(tblAsignaciones[[#This Row],[tecnico]],tblTecnicos[nombre],tblTecnicos[especialidad],"")</f>
        <v/>
      </c>
      <c r="F154" s="6" t="inlineStr">
        <is>
          <t>B1</t>
        </is>
      </c>
      <c r="G154" s="3">
        <f>_xlfn.XLOOKUP(tblAsignaciones[[#This Row],[tecnico]],tblTecnicos[nombre],tblTecnicos[coordinador],"")</f>
        <v/>
      </c>
      <c r="H154" s="3">
        <f>IF(OR(tblAsignaciones[[#This Row],[turno]]="",ISNUMBER(MATCH(tblAsignaciones[[#This Row],[turno]],lista_no_disponible,0))),0,p_horas_jornada)</f>
        <v/>
      </c>
      <c r="I154" s="3">
        <f>tblAsignaciones[[#This Row],[semana]]&amp;"|"&amp;tblAsignaciones[[#This Row],[dia]]&amp;"|"&amp;tblAsignaciones[[#This Row],[tecnico]]</f>
        <v/>
      </c>
    </row>
    <row r="155">
      <c r="A155" s="3" t="inlineStr">
        <is>
          <t>2026-S30</t>
        </is>
      </c>
      <c r="B155" s="3" t="inlineStr">
        <is>
          <t>viernes</t>
        </is>
      </c>
      <c r="C155" s="3" t="inlineStr">
        <is>
          <t>Técnico 10</t>
        </is>
      </c>
      <c r="D155" s="3">
        <f>_xlfn.XLOOKUP(tblAsignaciones[[#This Row],[tecnico]],tblTecnicos[nombre],tblTecnicos[area],"")</f>
        <v/>
      </c>
      <c r="E155" s="3">
        <f>_xlfn.XLOOKUP(tblAsignaciones[[#This Row],[tecnico]],tblTecnicos[nombre],tblTecnicos[especialidad],"")</f>
        <v/>
      </c>
      <c r="F155" s="6" t="inlineStr">
        <is>
          <t>B1</t>
        </is>
      </c>
      <c r="G155" s="3">
        <f>_xlfn.XLOOKUP(tblAsignaciones[[#This Row],[tecnico]],tblTecnicos[nombre],tblTecnicos[coordinador],"")</f>
        <v/>
      </c>
      <c r="H155" s="3">
        <f>IF(OR(tblAsignaciones[[#This Row],[turno]]="",ISNUMBER(MATCH(tblAsignaciones[[#This Row],[turno]],lista_no_disponible,0))),0,p_horas_jornada)</f>
        <v/>
      </c>
      <c r="I155" s="3">
        <f>tblAsignaciones[[#This Row],[semana]]&amp;"|"&amp;tblAsignaciones[[#This Row],[dia]]&amp;"|"&amp;tblAsignaciones[[#This Row],[tecnico]]</f>
        <v/>
      </c>
    </row>
    <row r="156">
      <c r="A156" s="3" t="inlineStr">
        <is>
          <t>2026-S30</t>
        </is>
      </c>
      <c r="B156" s="3" t="inlineStr">
        <is>
          <t>sábado</t>
        </is>
      </c>
      <c r="C156" s="3" t="inlineStr">
        <is>
          <t>Técnico 10</t>
        </is>
      </c>
      <c r="D156" s="3">
        <f>_xlfn.XLOOKUP(tblAsignaciones[[#This Row],[tecnico]],tblTecnicos[nombre],tblTecnicos[area],"")</f>
        <v/>
      </c>
      <c r="E156" s="3">
        <f>_xlfn.XLOOKUP(tblAsignaciones[[#This Row],[tecnico]],tblTecnicos[nombre],tblTecnicos[especialidad],"")</f>
        <v/>
      </c>
      <c r="F156" s="6" t="inlineStr"/>
      <c r="G156" s="3">
        <f>_xlfn.XLOOKUP(tblAsignaciones[[#This Row],[tecnico]],tblTecnicos[nombre],tblTecnicos[coordinador],"")</f>
        <v/>
      </c>
      <c r="H156" s="3">
        <f>IF(OR(tblAsignaciones[[#This Row],[turno]]="",ISNUMBER(MATCH(tblAsignaciones[[#This Row],[turno]],lista_no_disponible,0))),0,p_horas_jornada)</f>
        <v/>
      </c>
      <c r="I156" s="3">
        <f>tblAsignaciones[[#This Row],[semana]]&amp;"|"&amp;tblAsignaciones[[#This Row],[dia]]&amp;"|"&amp;tblAsignaciones[[#This Row],[tecnico]]</f>
        <v/>
      </c>
    </row>
    <row r="157">
      <c r="A157" s="3" t="inlineStr">
        <is>
          <t>2026-S30</t>
        </is>
      </c>
      <c r="B157" s="3" t="inlineStr">
        <is>
          <t>domingo</t>
        </is>
      </c>
      <c r="C157" s="3" t="inlineStr">
        <is>
          <t>Técnico 10</t>
        </is>
      </c>
      <c r="D157" s="3">
        <f>_xlfn.XLOOKUP(tblAsignaciones[[#This Row],[tecnico]],tblTecnicos[nombre],tblTecnicos[area],"")</f>
        <v/>
      </c>
      <c r="E157" s="3">
        <f>_xlfn.XLOOKUP(tblAsignaciones[[#This Row],[tecnico]],tblTecnicos[nombre],tblTecnicos[especialidad],"")</f>
        <v/>
      </c>
      <c r="F157" s="6" t="inlineStr"/>
      <c r="G157" s="3">
        <f>_xlfn.XLOOKUP(tblAsignaciones[[#This Row],[tecnico]],tblTecnicos[nombre],tblTecnicos[coordinador],"")</f>
        <v/>
      </c>
      <c r="H157" s="3">
        <f>IF(OR(tblAsignaciones[[#This Row],[turno]]="",ISNUMBER(MATCH(tblAsignaciones[[#This Row],[turno]],lista_no_disponible,0))),0,p_horas_jornada)</f>
        <v/>
      </c>
      <c r="I157" s="3">
        <f>tblAsignaciones[[#This Row],[semana]]&amp;"|"&amp;tblAsignaciones[[#This Row],[dia]]&amp;"|"&amp;tblAsignaciones[[#This Row],[tecnico]]</f>
        <v/>
      </c>
    </row>
    <row r="158">
      <c r="A158" s="3" t="inlineStr">
        <is>
          <t>2026-S30</t>
        </is>
      </c>
      <c r="B158" s="3" t="inlineStr">
        <is>
          <t>lunes</t>
        </is>
      </c>
      <c r="C158" s="3" t="inlineStr">
        <is>
          <t>Técnico 11</t>
        </is>
      </c>
      <c r="D158" s="3">
        <f>_xlfn.XLOOKUP(tblAsignaciones[[#This Row],[tecnico]],tblTecnicos[nombre],tblTecnicos[area],"")</f>
        <v/>
      </c>
      <c r="E158" s="3">
        <f>_xlfn.XLOOKUP(tblAsignaciones[[#This Row],[tecnico]],tblTecnicos[nombre],tblTecnicos[especialidad],"")</f>
        <v/>
      </c>
      <c r="F158" s="6" t="inlineStr">
        <is>
          <t>T1</t>
        </is>
      </c>
      <c r="G158" s="3">
        <f>_xlfn.XLOOKUP(tblAsignaciones[[#This Row],[tecnico]],tblTecnicos[nombre],tblTecnicos[coordinador],"")</f>
        <v/>
      </c>
      <c r="H158" s="3">
        <f>IF(OR(tblAsignaciones[[#This Row],[turno]]="",ISNUMBER(MATCH(tblAsignaciones[[#This Row],[turno]],lista_no_disponible,0))),0,p_horas_jornada)</f>
        <v/>
      </c>
      <c r="I158" s="3">
        <f>tblAsignaciones[[#This Row],[semana]]&amp;"|"&amp;tblAsignaciones[[#This Row],[dia]]&amp;"|"&amp;tblAsignaciones[[#This Row],[tecnico]]</f>
        <v/>
      </c>
    </row>
    <row r="159">
      <c r="A159" s="3" t="inlineStr">
        <is>
          <t>2026-S30</t>
        </is>
      </c>
      <c r="B159" s="3" t="inlineStr">
        <is>
          <t>martes</t>
        </is>
      </c>
      <c r="C159" s="3" t="inlineStr">
        <is>
          <t>Técnico 11</t>
        </is>
      </c>
      <c r="D159" s="3">
        <f>_xlfn.XLOOKUP(tblAsignaciones[[#This Row],[tecnico]],tblTecnicos[nombre],tblTecnicos[area],"")</f>
        <v/>
      </c>
      <c r="E159" s="3">
        <f>_xlfn.XLOOKUP(tblAsignaciones[[#This Row],[tecnico]],tblTecnicos[nombre],tblTecnicos[especialidad],"")</f>
        <v/>
      </c>
      <c r="F159" s="6" t="inlineStr">
        <is>
          <t>T1</t>
        </is>
      </c>
      <c r="G159" s="3">
        <f>_xlfn.XLOOKUP(tblAsignaciones[[#This Row],[tecnico]],tblTecnicos[nombre],tblTecnicos[coordinador],"")</f>
        <v/>
      </c>
      <c r="H159" s="3">
        <f>IF(OR(tblAsignaciones[[#This Row],[turno]]="",ISNUMBER(MATCH(tblAsignaciones[[#This Row],[turno]],lista_no_disponible,0))),0,p_horas_jornada)</f>
        <v/>
      </c>
      <c r="I159" s="3">
        <f>tblAsignaciones[[#This Row],[semana]]&amp;"|"&amp;tblAsignaciones[[#This Row],[dia]]&amp;"|"&amp;tblAsignaciones[[#This Row],[tecnico]]</f>
        <v/>
      </c>
    </row>
    <row r="160">
      <c r="A160" s="3" t="inlineStr">
        <is>
          <t>2026-S30</t>
        </is>
      </c>
      <c r="B160" s="3" t="inlineStr">
        <is>
          <t>miércoles</t>
        </is>
      </c>
      <c r="C160" s="3" t="inlineStr">
        <is>
          <t>Técnico 11</t>
        </is>
      </c>
      <c r="D160" s="3">
        <f>_xlfn.XLOOKUP(tblAsignaciones[[#This Row],[tecnico]],tblTecnicos[nombre],tblTecnicos[area],"")</f>
        <v/>
      </c>
      <c r="E160" s="3">
        <f>_xlfn.XLOOKUP(tblAsignaciones[[#This Row],[tecnico]],tblTecnicos[nombre],tblTecnicos[especialidad],"")</f>
        <v/>
      </c>
      <c r="F160" s="6" t="inlineStr">
        <is>
          <t>T1</t>
        </is>
      </c>
      <c r="G160" s="3">
        <f>_xlfn.XLOOKUP(tblAsignaciones[[#This Row],[tecnico]],tblTecnicos[nombre],tblTecnicos[coordinador],"")</f>
        <v/>
      </c>
      <c r="H160" s="3">
        <f>IF(OR(tblAsignaciones[[#This Row],[turno]]="",ISNUMBER(MATCH(tblAsignaciones[[#This Row],[turno]],lista_no_disponible,0))),0,p_horas_jornada)</f>
        <v/>
      </c>
      <c r="I160" s="3">
        <f>tblAsignaciones[[#This Row],[semana]]&amp;"|"&amp;tblAsignaciones[[#This Row],[dia]]&amp;"|"&amp;tblAsignaciones[[#This Row],[tecnico]]</f>
        <v/>
      </c>
    </row>
    <row r="161">
      <c r="A161" s="3" t="inlineStr">
        <is>
          <t>2026-S30</t>
        </is>
      </c>
      <c r="B161" s="3" t="inlineStr">
        <is>
          <t>jueves</t>
        </is>
      </c>
      <c r="C161" s="3" t="inlineStr">
        <is>
          <t>Técnico 11</t>
        </is>
      </c>
      <c r="D161" s="3">
        <f>_xlfn.XLOOKUP(tblAsignaciones[[#This Row],[tecnico]],tblTecnicos[nombre],tblTecnicos[area],"")</f>
        <v/>
      </c>
      <c r="E161" s="3">
        <f>_xlfn.XLOOKUP(tblAsignaciones[[#This Row],[tecnico]],tblTecnicos[nombre],tblTecnicos[especialidad],"")</f>
        <v/>
      </c>
      <c r="F161" s="6" t="inlineStr">
        <is>
          <t>T1</t>
        </is>
      </c>
      <c r="G161" s="3">
        <f>_xlfn.XLOOKUP(tblAsignaciones[[#This Row],[tecnico]],tblTecnicos[nombre],tblTecnicos[coordinador],"")</f>
        <v/>
      </c>
      <c r="H161" s="3">
        <f>IF(OR(tblAsignaciones[[#This Row],[turno]]="",ISNUMBER(MATCH(tblAsignaciones[[#This Row],[turno]],lista_no_disponible,0))),0,p_horas_jornada)</f>
        <v/>
      </c>
      <c r="I161" s="3">
        <f>tblAsignaciones[[#This Row],[semana]]&amp;"|"&amp;tblAsignaciones[[#This Row],[dia]]&amp;"|"&amp;tblAsignaciones[[#This Row],[tecnico]]</f>
        <v/>
      </c>
    </row>
    <row r="162">
      <c r="A162" s="3" t="inlineStr">
        <is>
          <t>2026-S30</t>
        </is>
      </c>
      <c r="B162" s="3" t="inlineStr">
        <is>
          <t>viernes</t>
        </is>
      </c>
      <c r="C162" s="3" t="inlineStr">
        <is>
          <t>Técnico 11</t>
        </is>
      </c>
      <c r="D162" s="3">
        <f>_xlfn.XLOOKUP(tblAsignaciones[[#This Row],[tecnico]],tblTecnicos[nombre],tblTecnicos[area],"")</f>
        <v/>
      </c>
      <c r="E162" s="3">
        <f>_xlfn.XLOOKUP(tblAsignaciones[[#This Row],[tecnico]],tblTecnicos[nombre],tblTecnicos[especialidad],"")</f>
        <v/>
      </c>
      <c r="F162" s="6" t="inlineStr">
        <is>
          <t>T1</t>
        </is>
      </c>
      <c r="G162" s="3">
        <f>_xlfn.XLOOKUP(tblAsignaciones[[#This Row],[tecnico]],tblTecnicos[nombre],tblTecnicos[coordinador],"")</f>
        <v/>
      </c>
      <c r="H162" s="3">
        <f>IF(OR(tblAsignaciones[[#This Row],[turno]]="",ISNUMBER(MATCH(tblAsignaciones[[#This Row],[turno]],lista_no_disponible,0))),0,p_horas_jornada)</f>
        <v/>
      </c>
      <c r="I162" s="3">
        <f>tblAsignaciones[[#This Row],[semana]]&amp;"|"&amp;tblAsignaciones[[#This Row],[dia]]&amp;"|"&amp;tblAsignaciones[[#This Row],[tecnico]]</f>
        <v/>
      </c>
    </row>
    <row r="163">
      <c r="A163" s="3" t="inlineStr">
        <is>
          <t>2026-S30</t>
        </is>
      </c>
      <c r="B163" s="3" t="inlineStr">
        <is>
          <t>sábado</t>
        </is>
      </c>
      <c r="C163" s="3" t="inlineStr">
        <is>
          <t>Técnico 11</t>
        </is>
      </c>
      <c r="D163" s="3">
        <f>_xlfn.XLOOKUP(tblAsignaciones[[#This Row],[tecnico]],tblTecnicos[nombre],tblTecnicos[area],"")</f>
        <v/>
      </c>
      <c r="E163" s="3">
        <f>_xlfn.XLOOKUP(tblAsignaciones[[#This Row],[tecnico]],tblTecnicos[nombre],tblTecnicos[especialidad],"")</f>
        <v/>
      </c>
      <c r="F163" s="6" t="inlineStr"/>
      <c r="G163" s="3">
        <f>_xlfn.XLOOKUP(tblAsignaciones[[#This Row],[tecnico]],tblTecnicos[nombre],tblTecnicos[coordinador],"")</f>
        <v/>
      </c>
      <c r="H163" s="3">
        <f>IF(OR(tblAsignaciones[[#This Row],[turno]]="",ISNUMBER(MATCH(tblAsignaciones[[#This Row],[turno]],lista_no_disponible,0))),0,p_horas_jornada)</f>
        <v/>
      </c>
      <c r="I163" s="3">
        <f>tblAsignaciones[[#This Row],[semana]]&amp;"|"&amp;tblAsignaciones[[#This Row],[dia]]&amp;"|"&amp;tblAsignaciones[[#This Row],[tecnico]]</f>
        <v/>
      </c>
    </row>
    <row r="164">
      <c r="A164" s="3" t="inlineStr">
        <is>
          <t>2026-S30</t>
        </is>
      </c>
      <c r="B164" s="3" t="inlineStr">
        <is>
          <t>domingo</t>
        </is>
      </c>
      <c r="C164" s="3" t="inlineStr">
        <is>
          <t>Técnico 11</t>
        </is>
      </c>
      <c r="D164" s="3">
        <f>_xlfn.XLOOKUP(tblAsignaciones[[#This Row],[tecnico]],tblTecnicos[nombre],tblTecnicos[area],"")</f>
        <v/>
      </c>
      <c r="E164" s="3">
        <f>_xlfn.XLOOKUP(tblAsignaciones[[#This Row],[tecnico]],tblTecnicos[nombre],tblTecnicos[especialidad],"")</f>
        <v/>
      </c>
      <c r="F164" s="6" t="inlineStr"/>
      <c r="G164" s="3">
        <f>_xlfn.XLOOKUP(tblAsignaciones[[#This Row],[tecnico]],tblTecnicos[nombre],tblTecnicos[coordinador],"")</f>
        <v/>
      </c>
      <c r="H164" s="3">
        <f>IF(OR(tblAsignaciones[[#This Row],[turno]]="",ISNUMBER(MATCH(tblAsignaciones[[#This Row],[turno]],lista_no_disponible,0))),0,p_horas_jornada)</f>
        <v/>
      </c>
      <c r="I164" s="3">
        <f>tblAsignaciones[[#This Row],[semana]]&amp;"|"&amp;tblAsignaciones[[#This Row],[dia]]&amp;"|"&amp;tblAsignaciones[[#This Row],[tecnico]]</f>
        <v/>
      </c>
    </row>
    <row r="165">
      <c r="A165" s="3" t="inlineStr">
        <is>
          <t>2026-S30</t>
        </is>
      </c>
      <c r="B165" s="3" t="inlineStr">
        <is>
          <t>lunes</t>
        </is>
      </c>
      <c r="C165" s="3" t="inlineStr">
        <is>
          <t>Técnico 12</t>
        </is>
      </c>
      <c r="D165" s="3">
        <f>_xlfn.XLOOKUP(tblAsignaciones[[#This Row],[tecnico]],tblTecnicos[nombre],tblTecnicos[area],"")</f>
        <v/>
      </c>
      <c r="E165" s="3">
        <f>_xlfn.XLOOKUP(tblAsignaciones[[#This Row],[tecnico]],tblTecnicos[nombre],tblTecnicos[especialidad],"")</f>
        <v/>
      </c>
      <c r="F165" s="6" t="inlineStr">
        <is>
          <t>T1</t>
        </is>
      </c>
      <c r="G165" s="3">
        <f>_xlfn.XLOOKUP(tblAsignaciones[[#This Row],[tecnico]],tblTecnicos[nombre],tblTecnicos[coordinador],"")</f>
        <v/>
      </c>
      <c r="H165" s="3">
        <f>IF(OR(tblAsignaciones[[#This Row],[turno]]="",ISNUMBER(MATCH(tblAsignaciones[[#This Row],[turno]],lista_no_disponible,0))),0,p_horas_jornada)</f>
        <v/>
      </c>
      <c r="I165" s="3">
        <f>tblAsignaciones[[#This Row],[semana]]&amp;"|"&amp;tblAsignaciones[[#This Row],[dia]]&amp;"|"&amp;tblAsignaciones[[#This Row],[tecnico]]</f>
        <v/>
      </c>
    </row>
    <row r="166">
      <c r="A166" s="3" t="inlineStr">
        <is>
          <t>2026-S30</t>
        </is>
      </c>
      <c r="B166" s="3" t="inlineStr">
        <is>
          <t>martes</t>
        </is>
      </c>
      <c r="C166" s="3" t="inlineStr">
        <is>
          <t>Técnico 12</t>
        </is>
      </c>
      <c r="D166" s="3">
        <f>_xlfn.XLOOKUP(tblAsignaciones[[#This Row],[tecnico]],tblTecnicos[nombre],tblTecnicos[area],"")</f>
        <v/>
      </c>
      <c r="E166" s="3">
        <f>_xlfn.XLOOKUP(tblAsignaciones[[#This Row],[tecnico]],tblTecnicos[nombre],tblTecnicos[especialidad],"")</f>
        <v/>
      </c>
      <c r="F166" s="6" t="inlineStr">
        <is>
          <t>T1</t>
        </is>
      </c>
      <c r="G166" s="3">
        <f>_xlfn.XLOOKUP(tblAsignaciones[[#This Row],[tecnico]],tblTecnicos[nombre],tblTecnicos[coordinador],"")</f>
        <v/>
      </c>
      <c r="H166" s="3">
        <f>IF(OR(tblAsignaciones[[#This Row],[turno]]="",ISNUMBER(MATCH(tblAsignaciones[[#This Row],[turno]],lista_no_disponible,0))),0,p_horas_jornada)</f>
        <v/>
      </c>
      <c r="I166" s="3">
        <f>tblAsignaciones[[#This Row],[semana]]&amp;"|"&amp;tblAsignaciones[[#This Row],[dia]]&amp;"|"&amp;tblAsignaciones[[#This Row],[tecnico]]</f>
        <v/>
      </c>
    </row>
    <row r="167">
      <c r="A167" s="3" t="inlineStr">
        <is>
          <t>2026-S30</t>
        </is>
      </c>
      <c r="B167" s="3" t="inlineStr">
        <is>
          <t>miércoles</t>
        </is>
      </c>
      <c r="C167" s="3" t="inlineStr">
        <is>
          <t>Técnico 12</t>
        </is>
      </c>
      <c r="D167" s="3">
        <f>_xlfn.XLOOKUP(tblAsignaciones[[#This Row],[tecnico]],tblTecnicos[nombre],tblTecnicos[area],"")</f>
        <v/>
      </c>
      <c r="E167" s="3">
        <f>_xlfn.XLOOKUP(tblAsignaciones[[#This Row],[tecnico]],tblTecnicos[nombre],tblTecnicos[especialidad],"")</f>
        <v/>
      </c>
      <c r="F167" s="6" t="inlineStr">
        <is>
          <t>T1</t>
        </is>
      </c>
      <c r="G167" s="3">
        <f>_xlfn.XLOOKUP(tblAsignaciones[[#This Row],[tecnico]],tblTecnicos[nombre],tblTecnicos[coordinador],"")</f>
        <v/>
      </c>
      <c r="H167" s="3">
        <f>IF(OR(tblAsignaciones[[#This Row],[turno]]="",ISNUMBER(MATCH(tblAsignaciones[[#This Row],[turno]],lista_no_disponible,0))),0,p_horas_jornada)</f>
        <v/>
      </c>
      <c r="I167" s="3">
        <f>tblAsignaciones[[#This Row],[semana]]&amp;"|"&amp;tblAsignaciones[[#This Row],[dia]]&amp;"|"&amp;tblAsignaciones[[#This Row],[tecnico]]</f>
        <v/>
      </c>
    </row>
    <row r="168">
      <c r="A168" s="3" t="inlineStr">
        <is>
          <t>2026-S30</t>
        </is>
      </c>
      <c r="B168" s="3" t="inlineStr">
        <is>
          <t>jueves</t>
        </is>
      </c>
      <c r="C168" s="3" t="inlineStr">
        <is>
          <t>Técnico 12</t>
        </is>
      </c>
      <c r="D168" s="3">
        <f>_xlfn.XLOOKUP(tblAsignaciones[[#This Row],[tecnico]],tblTecnicos[nombre],tblTecnicos[area],"")</f>
        <v/>
      </c>
      <c r="E168" s="3">
        <f>_xlfn.XLOOKUP(tblAsignaciones[[#This Row],[tecnico]],tblTecnicos[nombre],tblTecnicos[especialidad],"")</f>
        <v/>
      </c>
      <c r="F168" s="6" t="inlineStr">
        <is>
          <t>T1</t>
        </is>
      </c>
      <c r="G168" s="3">
        <f>_xlfn.XLOOKUP(tblAsignaciones[[#This Row],[tecnico]],tblTecnicos[nombre],tblTecnicos[coordinador],"")</f>
        <v/>
      </c>
      <c r="H168" s="3">
        <f>IF(OR(tblAsignaciones[[#This Row],[turno]]="",ISNUMBER(MATCH(tblAsignaciones[[#This Row],[turno]],lista_no_disponible,0))),0,p_horas_jornada)</f>
        <v/>
      </c>
      <c r="I168" s="3">
        <f>tblAsignaciones[[#This Row],[semana]]&amp;"|"&amp;tblAsignaciones[[#This Row],[dia]]&amp;"|"&amp;tblAsignaciones[[#This Row],[tecnico]]</f>
        <v/>
      </c>
    </row>
    <row r="169">
      <c r="A169" s="3" t="inlineStr">
        <is>
          <t>2026-S30</t>
        </is>
      </c>
      <c r="B169" s="3" t="inlineStr">
        <is>
          <t>viernes</t>
        </is>
      </c>
      <c r="C169" s="3" t="inlineStr">
        <is>
          <t>Técnico 12</t>
        </is>
      </c>
      <c r="D169" s="3">
        <f>_xlfn.XLOOKUP(tblAsignaciones[[#This Row],[tecnico]],tblTecnicos[nombre],tblTecnicos[area],"")</f>
        <v/>
      </c>
      <c r="E169" s="3">
        <f>_xlfn.XLOOKUP(tblAsignaciones[[#This Row],[tecnico]],tblTecnicos[nombre],tblTecnicos[especialidad],"")</f>
        <v/>
      </c>
      <c r="F169" s="6" t="inlineStr">
        <is>
          <t>T1</t>
        </is>
      </c>
      <c r="G169" s="3">
        <f>_xlfn.XLOOKUP(tblAsignaciones[[#This Row],[tecnico]],tblTecnicos[nombre],tblTecnicos[coordinador],"")</f>
        <v/>
      </c>
      <c r="H169" s="3">
        <f>IF(OR(tblAsignaciones[[#This Row],[turno]]="",ISNUMBER(MATCH(tblAsignaciones[[#This Row],[turno]],lista_no_disponible,0))),0,p_horas_jornada)</f>
        <v/>
      </c>
      <c r="I169" s="3">
        <f>tblAsignaciones[[#This Row],[semana]]&amp;"|"&amp;tblAsignaciones[[#This Row],[dia]]&amp;"|"&amp;tblAsignaciones[[#This Row],[tecnico]]</f>
        <v/>
      </c>
    </row>
    <row r="170">
      <c r="A170" s="3" t="inlineStr">
        <is>
          <t>2026-S30</t>
        </is>
      </c>
      <c r="B170" s="3" t="inlineStr">
        <is>
          <t>sábado</t>
        </is>
      </c>
      <c r="C170" s="3" t="inlineStr">
        <is>
          <t>Técnico 12</t>
        </is>
      </c>
      <c r="D170" s="3">
        <f>_xlfn.XLOOKUP(tblAsignaciones[[#This Row],[tecnico]],tblTecnicos[nombre],tblTecnicos[area],"")</f>
        <v/>
      </c>
      <c r="E170" s="3">
        <f>_xlfn.XLOOKUP(tblAsignaciones[[#This Row],[tecnico]],tblTecnicos[nombre],tblTecnicos[especialidad],"")</f>
        <v/>
      </c>
      <c r="F170" s="6" t="inlineStr"/>
      <c r="G170" s="3">
        <f>_xlfn.XLOOKUP(tblAsignaciones[[#This Row],[tecnico]],tblTecnicos[nombre],tblTecnicos[coordinador],"")</f>
        <v/>
      </c>
      <c r="H170" s="3">
        <f>IF(OR(tblAsignaciones[[#This Row],[turno]]="",ISNUMBER(MATCH(tblAsignaciones[[#This Row],[turno]],lista_no_disponible,0))),0,p_horas_jornada)</f>
        <v/>
      </c>
      <c r="I170" s="3">
        <f>tblAsignaciones[[#This Row],[semana]]&amp;"|"&amp;tblAsignaciones[[#This Row],[dia]]&amp;"|"&amp;tblAsignaciones[[#This Row],[tecnico]]</f>
        <v/>
      </c>
    </row>
    <row r="171">
      <c r="A171" s="3" t="inlineStr">
        <is>
          <t>2026-S30</t>
        </is>
      </c>
      <c r="B171" s="3" t="inlineStr">
        <is>
          <t>domingo</t>
        </is>
      </c>
      <c r="C171" s="3" t="inlineStr">
        <is>
          <t>Técnico 12</t>
        </is>
      </c>
      <c r="D171" s="3">
        <f>_xlfn.XLOOKUP(tblAsignaciones[[#This Row],[tecnico]],tblTecnicos[nombre],tblTecnicos[area],"")</f>
        <v/>
      </c>
      <c r="E171" s="3">
        <f>_xlfn.XLOOKUP(tblAsignaciones[[#This Row],[tecnico]],tblTecnicos[nombre],tblTecnicos[especialidad],"")</f>
        <v/>
      </c>
      <c r="F171" s="6" t="inlineStr"/>
      <c r="G171" s="3">
        <f>_xlfn.XLOOKUP(tblAsignaciones[[#This Row],[tecnico]],tblTecnicos[nombre],tblTecnicos[coordinador],"")</f>
        <v/>
      </c>
      <c r="H171" s="3">
        <f>IF(OR(tblAsignaciones[[#This Row],[turno]]="",ISNUMBER(MATCH(tblAsignaciones[[#This Row],[turno]],lista_no_disponible,0))),0,p_horas_jornada)</f>
        <v/>
      </c>
      <c r="I171" s="3">
        <f>tblAsignaciones[[#This Row],[semana]]&amp;"|"&amp;tblAsignaciones[[#This Row],[dia]]&amp;"|"&amp;tblAsignaciones[[#This Row],[tecnico]]</f>
        <v/>
      </c>
    </row>
    <row r="172">
      <c r="A172" s="3" t="inlineStr">
        <is>
          <t>2026-S31</t>
        </is>
      </c>
      <c r="B172" s="3" t="inlineStr">
        <is>
          <t>lunes</t>
        </is>
      </c>
      <c r="C172" s="3" t="inlineStr">
        <is>
          <t>Técnico 01</t>
        </is>
      </c>
      <c r="D172" s="3">
        <f>_xlfn.XLOOKUP(tblAsignaciones[[#This Row],[tecnico]],tblTecnicos[nombre],tblTecnicos[area],"")</f>
        <v/>
      </c>
      <c r="E172" s="3">
        <f>_xlfn.XLOOKUP(tblAsignaciones[[#This Row],[tecnico]],tblTecnicos[nombre],tblTecnicos[especialidad],"")</f>
        <v/>
      </c>
      <c r="F172" s="6" t="inlineStr">
        <is>
          <t>T1</t>
        </is>
      </c>
      <c r="G172" s="3">
        <f>_xlfn.XLOOKUP(tblAsignaciones[[#This Row],[tecnico]],tblTecnicos[nombre],tblTecnicos[coordinador],"")</f>
        <v/>
      </c>
      <c r="H172" s="3">
        <f>IF(OR(tblAsignaciones[[#This Row],[turno]]="",ISNUMBER(MATCH(tblAsignaciones[[#This Row],[turno]],lista_no_disponible,0))),0,p_horas_jornada)</f>
        <v/>
      </c>
      <c r="I172" s="3">
        <f>tblAsignaciones[[#This Row],[semana]]&amp;"|"&amp;tblAsignaciones[[#This Row],[dia]]&amp;"|"&amp;tblAsignaciones[[#This Row],[tecnico]]</f>
        <v/>
      </c>
    </row>
    <row r="173">
      <c r="A173" s="3" t="inlineStr">
        <is>
          <t>2026-S31</t>
        </is>
      </c>
      <c r="B173" s="3" t="inlineStr">
        <is>
          <t>martes</t>
        </is>
      </c>
      <c r="C173" s="3" t="inlineStr">
        <is>
          <t>Técnico 01</t>
        </is>
      </c>
      <c r="D173" s="3">
        <f>_xlfn.XLOOKUP(tblAsignaciones[[#This Row],[tecnico]],tblTecnicos[nombre],tblTecnicos[area],"")</f>
        <v/>
      </c>
      <c r="E173" s="3">
        <f>_xlfn.XLOOKUP(tblAsignaciones[[#This Row],[tecnico]],tblTecnicos[nombre],tblTecnicos[especialidad],"")</f>
        <v/>
      </c>
      <c r="F173" s="6" t="inlineStr">
        <is>
          <t>T1</t>
        </is>
      </c>
      <c r="G173" s="3">
        <f>_xlfn.XLOOKUP(tblAsignaciones[[#This Row],[tecnico]],tblTecnicos[nombre],tblTecnicos[coordinador],"")</f>
        <v/>
      </c>
      <c r="H173" s="3">
        <f>IF(OR(tblAsignaciones[[#This Row],[turno]]="",ISNUMBER(MATCH(tblAsignaciones[[#This Row],[turno]],lista_no_disponible,0))),0,p_horas_jornada)</f>
        <v/>
      </c>
      <c r="I173" s="3">
        <f>tblAsignaciones[[#This Row],[semana]]&amp;"|"&amp;tblAsignaciones[[#This Row],[dia]]&amp;"|"&amp;tblAsignaciones[[#This Row],[tecnico]]</f>
        <v/>
      </c>
    </row>
    <row r="174">
      <c r="A174" s="3" t="inlineStr">
        <is>
          <t>2026-S31</t>
        </is>
      </c>
      <c r="B174" s="3" t="inlineStr">
        <is>
          <t>miércoles</t>
        </is>
      </c>
      <c r="C174" s="3" t="inlineStr">
        <is>
          <t>Técnico 01</t>
        </is>
      </c>
      <c r="D174" s="3">
        <f>_xlfn.XLOOKUP(tblAsignaciones[[#This Row],[tecnico]],tblTecnicos[nombre],tblTecnicos[area],"")</f>
        <v/>
      </c>
      <c r="E174" s="3">
        <f>_xlfn.XLOOKUP(tblAsignaciones[[#This Row],[tecnico]],tblTecnicos[nombre],tblTecnicos[especialidad],"")</f>
        <v/>
      </c>
      <c r="F174" s="6" t="inlineStr">
        <is>
          <t>T1</t>
        </is>
      </c>
      <c r="G174" s="3">
        <f>_xlfn.XLOOKUP(tblAsignaciones[[#This Row],[tecnico]],tblTecnicos[nombre],tblTecnicos[coordinador],"")</f>
        <v/>
      </c>
      <c r="H174" s="3">
        <f>IF(OR(tblAsignaciones[[#This Row],[turno]]="",ISNUMBER(MATCH(tblAsignaciones[[#This Row],[turno]],lista_no_disponible,0))),0,p_horas_jornada)</f>
        <v/>
      </c>
      <c r="I174" s="3">
        <f>tblAsignaciones[[#This Row],[semana]]&amp;"|"&amp;tblAsignaciones[[#This Row],[dia]]&amp;"|"&amp;tblAsignaciones[[#This Row],[tecnico]]</f>
        <v/>
      </c>
    </row>
    <row r="175">
      <c r="A175" s="3" t="inlineStr">
        <is>
          <t>2026-S31</t>
        </is>
      </c>
      <c r="B175" s="3" t="inlineStr">
        <is>
          <t>jueves</t>
        </is>
      </c>
      <c r="C175" s="3" t="inlineStr">
        <is>
          <t>Técnico 01</t>
        </is>
      </c>
      <c r="D175" s="3">
        <f>_xlfn.XLOOKUP(tblAsignaciones[[#This Row],[tecnico]],tblTecnicos[nombre],tblTecnicos[area],"")</f>
        <v/>
      </c>
      <c r="E175" s="3">
        <f>_xlfn.XLOOKUP(tblAsignaciones[[#This Row],[tecnico]],tblTecnicos[nombre],tblTecnicos[especialidad],"")</f>
        <v/>
      </c>
      <c r="F175" s="6" t="inlineStr">
        <is>
          <t>T1</t>
        </is>
      </c>
      <c r="G175" s="3">
        <f>_xlfn.XLOOKUP(tblAsignaciones[[#This Row],[tecnico]],tblTecnicos[nombre],tblTecnicos[coordinador],"")</f>
        <v/>
      </c>
      <c r="H175" s="3">
        <f>IF(OR(tblAsignaciones[[#This Row],[turno]]="",ISNUMBER(MATCH(tblAsignaciones[[#This Row],[turno]],lista_no_disponible,0))),0,p_horas_jornada)</f>
        <v/>
      </c>
      <c r="I175" s="3">
        <f>tblAsignaciones[[#This Row],[semana]]&amp;"|"&amp;tblAsignaciones[[#This Row],[dia]]&amp;"|"&amp;tblAsignaciones[[#This Row],[tecnico]]</f>
        <v/>
      </c>
    </row>
    <row r="176">
      <c r="A176" s="3" t="inlineStr">
        <is>
          <t>2026-S31</t>
        </is>
      </c>
      <c r="B176" s="3" t="inlineStr">
        <is>
          <t>viernes</t>
        </is>
      </c>
      <c r="C176" s="3" t="inlineStr">
        <is>
          <t>Técnico 01</t>
        </is>
      </c>
      <c r="D176" s="3">
        <f>_xlfn.XLOOKUP(tblAsignaciones[[#This Row],[tecnico]],tblTecnicos[nombre],tblTecnicos[area],"")</f>
        <v/>
      </c>
      <c r="E176" s="3">
        <f>_xlfn.XLOOKUP(tblAsignaciones[[#This Row],[tecnico]],tblTecnicos[nombre],tblTecnicos[especialidad],"")</f>
        <v/>
      </c>
      <c r="F176" s="6" t="inlineStr">
        <is>
          <t>T1</t>
        </is>
      </c>
      <c r="G176" s="3">
        <f>_xlfn.XLOOKUP(tblAsignaciones[[#This Row],[tecnico]],tblTecnicos[nombre],tblTecnicos[coordinador],"")</f>
        <v/>
      </c>
      <c r="H176" s="3">
        <f>IF(OR(tblAsignaciones[[#This Row],[turno]]="",ISNUMBER(MATCH(tblAsignaciones[[#This Row],[turno]],lista_no_disponible,0))),0,p_horas_jornada)</f>
        <v/>
      </c>
      <c r="I176" s="3">
        <f>tblAsignaciones[[#This Row],[semana]]&amp;"|"&amp;tblAsignaciones[[#This Row],[dia]]&amp;"|"&amp;tblAsignaciones[[#This Row],[tecnico]]</f>
        <v/>
      </c>
    </row>
    <row r="177">
      <c r="A177" s="3" t="inlineStr">
        <is>
          <t>2026-S31</t>
        </is>
      </c>
      <c r="B177" s="3" t="inlineStr">
        <is>
          <t>sábado</t>
        </is>
      </c>
      <c r="C177" s="3" t="inlineStr">
        <is>
          <t>Técnico 01</t>
        </is>
      </c>
      <c r="D177" s="3">
        <f>_xlfn.XLOOKUP(tblAsignaciones[[#This Row],[tecnico]],tblTecnicos[nombre],tblTecnicos[area],"")</f>
        <v/>
      </c>
      <c r="E177" s="3">
        <f>_xlfn.XLOOKUP(tblAsignaciones[[#This Row],[tecnico]],tblTecnicos[nombre],tblTecnicos[especialidad],"")</f>
        <v/>
      </c>
      <c r="F177" s="6" t="inlineStr"/>
      <c r="G177" s="3">
        <f>_xlfn.XLOOKUP(tblAsignaciones[[#This Row],[tecnico]],tblTecnicos[nombre],tblTecnicos[coordinador],"")</f>
        <v/>
      </c>
      <c r="H177" s="3">
        <f>IF(OR(tblAsignaciones[[#This Row],[turno]]="",ISNUMBER(MATCH(tblAsignaciones[[#This Row],[turno]],lista_no_disponible,0))),0,p_horas_jornada)</f>
        <v/>
      </c>
      <c r="I177" s="3">
        <f>tblAsignaciones[[#This Row],[semana]]&amp;"|"&amp;tblAsignaciones[[#This Row],[dia]]&amp;"|"&amp;tblAsignaciones[[#This Row],[tecnico]]</f>
        <v/>
      </c>
    </row>
    <row r="178">
      <c r="A178" s="3" t="inlineStr">
        <is>
          <t>2026-S31</t>
        </is>
      </c>
      <c r="B178" s="3" t="inlineStr">
        <is>
          <t>domingo</t>
        </is>
      </c>
      <c r="C178" s="3" t="inlineStr">
        <is>
          <t>Técnico 01</t>
        </is>
      </c>
      <c r="D178" s="3">
        <f>_xlfn.XLOOKUP(tblAsignaciones[[#This Row],[tecnico]],tblTecnicos[nombre],tblTecnicos[area],"")</f>
        <v/>
      </c>
      <c r="E178" s="3">
        <f>_xlfn.XLOOKUP(tblAsignaciones[[#This Row],[tecnico]],tblTecnicos[nombre],tblTecnicos[especialidad],"")</f>
        <v/>
      </c>
      <c r="F178" s="6" t="inlineStr"/>
      <c r="G178" s="3">
        <f>_xlfn.XLOOKUP(tblAsignaciones[[#This Row],[tecnico]],tblTecnicos[nombre],tblTecnicos[coordinador],"")</f>
        <v/>
      </c>
      <c r="H178" s="3">
        <f>IF(OR(tblAsignaciones[[#This Row],[turno]]="",ISNUMBER(MATCH(tblAsignaciones[[#This Row],[turno]],lista_no_disponible,0))),0,p_horas_jornada)</f>
        <v/>
      </c>
      <c r="I178" s="3">
        <f>tblAsignaciones[[#This Row],[semana]]&amp;"|"&amp;tblAsignaciones[[#This Row],[dia]]&amp;"|"&amp;tblAsignaciones[[#This Row],[tecnico]]</f>
        <v/>
      </c>
    </row>
    <row r="179">
      <c r="A179" s="3" t="inlineStr">
        <is>
          <t>2026-S31</t>
        </is>
      </c>
      <c r="B179" s="3" t="inlineStr">
        <is>
          <t>lunes</t>
        </is>
      </c>
      <c r="C179" s="3" t="inlineStr">
        <is>
          <t>Técnico 02</t>
        </is>
      </c>
      <c r="D179" s="3">
        <f>_xlfn.XLOOKUP(tblAsignaciones[[#This Row],[tecnico]],tblTecnicos[nombre],tblTecnicos[area],"")</f>
        <v/>
      </c>
      <c r="E179" s="3">
        <f>_xlfn.XLOOKUP(tblAsignaciones[[#This Row],[tecnico]],tblTecnicos[nombre],tblTecnicos[especialidad],"")</f>
        <v/>
      </c>
      <c r="F179" s="6" t="inlineStr">
        <is>
          <t>T2</t>
        </is>
      </c>
      <c r="G179" s="3">
        <f>_xlfn.XLOOKUP(tblAsignaciones[[#This Row],[tecnico]],tblTecnicos[nombre],tblTecnicos[coordinador],"")</f>
        <v/>
      </c>
      <c r="H179" s="3">
        <f>IF(OR(tblAsignaciones[[#This Row],[turno]]="",ISNUMBER(MATCH(tblAsignaciones[[#This Row],[turno]],lista_no_disponible,0))),0,p_horas_jornada)</f>
        <v/>
      </c>
      <c r="I179" s="3">
        <f>tblAsignaciones[[#This Row],[semana]]&amp;"|"&amp;tblAsignaciones[[#This Row],[dia]]&amp;"|"&amp;tblAsignaciones[[#This Row],[tecnico]]</f>
        <v/>
      </c>
    </row>
    <row r="180">
      <c r="A180" s="3" t="inlineStr">
        <is>
          <t>2026-S31</t>
        </is>
      </c>
      <c r="B180" s="3" t="inlineStr">
        <is>
          <t>martes</t>
        </is>
      </c>
      <c r="C180" s="3" t="inlineStr">
        <is>
          <t>Técnico 02</t>
        </is>
      </c>
      <c r="D180" s="3">
        <f>_xlfn.XLOOKUP(tblAsignaciones[[#This Row],[tecnico]],tblTecnicos[nombre],tblTecnicos[area],"")</f>
        <v/>
      </c>
      <c r="E180" s="3">
        <f>_xlfn.XLOOKUP(tblAsignaciones[[#This Row],[tecnico]],tblTecnicos[nombre],tblTecnicos[especialidad],"")</f>
        <v/>
      </c>
      <c r="F180" s="6" t="inlineStr">
        <is>
          <t>T2</t>
        </is>
      </c>
      <c r="G180" s="3">
        <f>_xlfn.XLOOKUP(tblAsignaciones[[#This Row],[tecnico]],tblTecnicos[nombre],tblTecnicos[coordinador],"")</f>
        <v/>
      </c>
      <c r="H180" s="3">
        <f>IF(OR(tblAsignaciones[[#This Row],[turno]]="",ISNUMBER(MATCH(tblAsignaciones[[#This Row],[turno]],lista_no_disponible,0))),0,p_horas_jornada)</f>
        <v/>
      </c>
      <c r="I180" s="3">
        <f>tblAsignaciones[[#This Row],[semana]]&amp;"|"&amp;tblAsignaciones[[#This Row],[dia]]&amp;"|"&amp;tblAsignaciones[[#This Row],[tecnico]]</f>
        <v/>
      </c>
    </row>
    <row r="181">
      <c r="A181" s="3" t="inlineStr">
        <is>
          <t>2026-S31</t>
        </is>
      </c>
      <c r="B181" s="3" t="inlineStr">
        <is>
          <t>miércoles</t>
        </is>
      </c>
      <c r="C181" s="3" t="inlineStr">
        <is>
          <t>Técnico 02</t>
        </is>
      </c>
      <c r="D181" s="3">
        <f>_xlfn.XLOOKUP(tblAsignaciones[[#This Row],[tecnico]],tblTecnicos[nombre],tblTecnicos[area],"")</f>
        <v/>
      </c>
      <c r="E181" s="3">
        <f>_xlfn.XLOOKUP(tblAsignaciones[[#This Row],[tecnico]],tblTecnicos[nombre],tblTecnicos[especialidad],"")</f>
        <v/>
      </c>
      <c r="F181" s="6" t="inlineStr">
        <is>
          <t>T2</t>
        </is>
      </c>
      <c r="G181" s="3">
        <f>_xlfn.XLOOKUP(tblAsignaciones[[#This Row],[tecnico]],tblTecnicos[nombre],tblTecnicos[coordinador],"")</f>
        <v/>
      </c>
      <c r="H181" s="3">
        <f>IF(OR(tblAsignaciones[[#This Row],[turno]]="",ISNUMBER(MATCH(tblAsignaciones[[#This Row],[turno]],lista_no_disponible,0))),0,p_horas_jornada)</f>
        <v/>
      </c>
      <c r="I181" s="3">
        <f>tblAsignaciones[[#This Row],[semana]]&amp;"|"&amp;tblAsignaciones[[#This Row],[dia]]&amp;"|"&amp;tblAsignaciones[[#This Row],[tecnico]]</f>
        <v/>
      </c>
    </row>
    <row r="182">
      <c r="A182" s="3" t="inlineStr">
        <is>
          <t>2026-S31</t>
        </is>
      </c>
      <c r="B182" s="3" t="inlineStr">
        <is>
          <t>jueves</t>
        </is>
      </c>
      <c r="C182" s="3" t="inlineStr">
        <is>
          <t>Técnico 02</t>
        </is>
      </c>
      <c r="D182" s="3">
        <f>_xlfn.XLOOKUP(tblAsignaciones[[#This Row],[tecnico]],tblTecnicos[nombre],tblTecnicos[area],"")</f>
        <v/>
      </c>
      <c r="E182" s="3">
        <f>_xlfn.XLOOKUP(tblAsignaciones[[#This Row],[tecnico]],tblTecnicos[nombre],tblTecnicos[especialidad],"")</f>
        <v/>
      </c>
      <c r="F182" s="6" t="inlineStr">
        <is>
          <t>T2</t>
        </is>
      </c>
      <c r="G182" s="3">
        <f>_xlfn.XLOOKUP(tblAsignaciones[[#This Row],[tecnico]],tblTecnicos[nombre],tblTecnicos[coordinador],"")</f>
        <v/>
      </c>
      <c r="H182" s="3">
        <f>IF(OR(tblAsignaciones[[#This Row],[turno]]="",ISNUMBER(MATCH(tblAsignaciones[[#This Row],[turno]],lista_no_disponible,0))),0,p_horas_jornada)</f>
        <v/>
      </c>
      <c r="I182" s="3">
        <f>tblAsignaciones[[#This Row],[semana]]&amp;"|"&amp;tblAsignaciones[[#This Row],[dia]]&amp;"|"&amp;tblAsignaciones[[#This Row],[tecnico]]</f>
        <v/>
      </c>
    </row>
    <row r="183">
      <c r="A183" s="3" t="inlineStr">
        <is>
          <t>2026-S31</t>
        </is>
      </c>
      <c r="B183" s="3" t="inlineStr">
        <is>
          <t>viernes</t>
        </is>
      </c>
      <c r="C183" s="3" t="inlineStr">
        <is>
          <t>Técnico 02</t>
        </is>
      </c>
      <c r="D183" s="3">
        <f>_xlfn.XLOOKUP(tblAsignaciones[[#This Row],[tecnico]],tblTecnicos[nombre],tblTecnicos[area],"")</f>
        <v/>
      </c>
      <c r="E183" s="3">
        <f>_xlfn.XLOOKUP(tblAsignaciones[[#This Row],[tecnico]],tblTecnicos[nombre],tblTecnicos[especialidad],"")</f>
        <v/>
      </c>
      <c r="F183" s="6" t="inlineStr">
        <is>
          <t>T2</t>
        </is>
      </c>
      <c r="G183" s="3">
        <f>_xlfn.XLOOKUP(tblAsignaciones[[#This Row],[tecnico]],tblTecnicos[nombre],tblTecnicos[coordinador],"")</f>
        <v/>
      </c>
      <c r="H183" s="3">
        <f>IF(OR(tblAsignaciones[[#This Row],[turno]]="",ISNUMBER(MATCH(tblAsignaciones[[#This Row],[turno]],lista_no_disponible,0))),0,p_horas_jornada)</f>
        <v/>
      </c>
      <c r="I183" s="3">
        <f>tblAsignaciones[[#This Row],[semana]]&amp;"|"&amp;tblAsignaciones[[#This Row],[dia]]&amp;"|"&amp;tblAsignaciones[[#This Row],[tecnico]]</f>
        <v/>
      </c>
    </row>
    <row r="184">
      <c r="A184" s="3" t="inlineStr">
        <is>
          <t>2026-S31</t>
        </is>
      </c>
      <c r="B184" s="3" t="inlineStr">
        <is>
          <t>sábado</t>
        </is>
      </c>
      <c r="C184" s="3" t="inlineStr">
        <is>
          <t>Técnico 02</t>
        </is>
      </c>
      <c r="D184" s="3">
        <f>_xlfn.XLOOKUP(tblAsignaciones[[#This Row],[tecnico]],tblTecnicos[nombre],tblTecnicos[area],"")</f>
        <v/>
      </c>
      <c r="E184" s="3">
        <f>_xlfn.XLOOKUP(tblAsignaciones[[#This Row],[tecnico]],tblTecnicos[nombre],tblTecnicos[especialidad],"")</f>
        <v/>
      </c>
      <c r="F184" s="6" t="inlineStr"/>
      <c r="G184" s="3">
        <f>_xlfn.XLOOKUP(tblAsignaciones[[#This Row],[tecnico]],tblTecnicos[nombre],tblTecnicos[coordinador],"")</f>
        <v/>
      </c>
      <c r="H184" s="3">
        <f>IF(OR(tblAsignaciones[[#This Row],[turno]]="",ISNUMBER(MATCH(tblAsignaciones[[#This Row],[turno]],lista_no_disponible,0))),0,p_horas_jornada)</f>
        <v/>
      </c>
      <c r="I184" s="3">
        <f>tblAsignaciones[[#This Row],[semana]]&amp;"|"&amp;tblAsignaciones[[#This Row],[dia]]&amp;"|"&amp;tblAsignaciones[[#This Row],[tecnico]]</f>
        <v/>
      </c>
    </row>
    <row r="185">
      <c r="A185" s="3" t="inlineStr">
        <is>
          <t>2026-S31</t>
        </is>
      </c>
      <c r="B185" s="3" t="inlineStr">
        <is>
          <t>domingo</t>
        </is>
      </c>
      <c r="C185" s="3" t="inlineStr">
        <is>
          <t>Técnico 02</t>
        </is>
      </c>
      <c r="D185" s="3">
        <f>_xlfn.XLOOKUP(tblAsignaciones[[#This Row],[tecnico]],tblTecnicos[nombre],tblTecnicos[area],"")</f>
        <v/>
      </c>
      <c r="E185" s="3">
        <f>_xlfn.XLOOKUP(tblAsignaciones[[#This Row],[tecnico]],tblTecnicos[nombre],tblTecnicos[especialidad],"")</f>
        <v/>
      </c>
      <c r="F185" s="6" t="inlineStr"/>
      <c r="G185" s="3">
        <f>_xlfn.XLOOKUP(tblAsignaciones[[#This Row],[tecnico]],tblTecnicos[nombre],tblTecnicos[coordinador],"")</f>
        <v/>
      </c>
      <c r="H185" s="3">
        <f>IF(OR(tblAsignaciones[[#This Row],[turno]]="",ISNUMBER(MATCH(tblAsignaciones[[#This Row],[turno]],lista_no_disponible,0))),0,p_horas_jornada)</f>
        <v/>
      </c>
      <c r="I185" s="3">
        <f>tblAsignaciones[[#This Row],[semana]]&amp;"|"&amp;tblAsignaciones[[#This Row],[dia]]&amp;"|"&amp;tblAsignaciones[[#This Row],[tecnico]]</f>
        <v/>
      </c>
    </row>
    <row r="186">
      <c r="A186" s="3" t="inlineStr">
        <is>
          <t>2026-S31</t>
        </is>
      </c>
      <c r="B186" s="3" t="inlineStr">
        <is>
          <t>lunes</t>
        </is>
      </c>
      <c r="C186" s="3" t="inlineStr">
        <is>
          <t>Técnico 03</t>
        </is>
      </c>
      <c r="D186" s="3">
        <f>_xlfn.XLOOKUP(tblAsignaciones[[#This Row],[tecnico]],tblTecnicos[nombre],tblTecnicos[area],"")</f>
        <v/>
      </c>
      <c r="E186" s="3">
        <f>_xlfn.XLOOKUP(tblAsignaciones[[#This Row],[tecnico]],tblTecnicos[nombre],tblTecnicos[especialidad],"")</f>
        <v/>
      </c>
      <c r="F186" s="6" t="inlineStr">
        <is>
          <t>T1</t>
        </is>
      </c>
      <c r="G186" s="3">
        <f>_xlfn.XLOOKUP(tblAsignaciones[[#This Row],[tecnico]],tblTecnicos[nombre],tblTecnicos[coordinador],"")</f>
        <v/>
      </c>
      <c r="H186" s="3">
        <f>IF(OR(tblAsignaciones[[#This Row],[turno]]="",ISNUMBER(MATCH(tblAsignaciones[[#This Row],[turno]],lista_no_disponible,0))),0,p_horas_jornada)</f>
        <v/>
      </c>
      <c r="I186" s="3">
        <f>tblAsignaciones[[#This Row],[semana]]&amp;"|"&amp;tblAsignaciones[[#This Row],[dia]]&amp;"|"&amp;tblAsignaciones[[#This Row],[tecnico]]</f>
        <v/>
      </c>
    </row>
    <row r="187">
      <c r="A187" s="3" t="inlineStr">
        <is>
          <t>2026-S31</t>
        </is>
      </c>
      <c r="B187" s="3" t="inlineStr">
        <is>
          <t>martes</t>
        </is>
      </c>
      <c r="C187" s="3" t="inlineStr">
        <is>
          <t>Técnico 03</t>
        </is>
      </c>
      <c r="D187" s="3">
        <f>_xlfn.XLOOKUP(tblAsignaciones[[#This Row],[tecnico]],tblTecnicos[nombre],tblTecnicos[area],"")</f>
        <v/>
      </c>
      <c r="E187" s="3">
        <f>_xlfn.XLOOKUP(tblAsignaciones[[#This Row],[tecnico]],tblTecnicos[nombre],tblTecnicos[especialidad],"")</f>
        <v/>
      </c>
      <c r="F187" s="6" t="inlineStr">
        <is>
          <t>T1</t>
        </is>
      </c>
      <c r="G187" s="3">
        <f>_xlfn.XLOOKUP(tblAsignaciones[[#This Row],[tecnico]],tblTecnicos[nombre],tblTecnicos[coordinador],"")</f>
        <v/>
      </c>
      <c r="H187" s="3">
        <f>IF(OR(tblAsignaciones[[#This Row],[turno]]="",ISNUMBER(MATCH(tblAsignaciones[[#This Row],[turno]],lista_no_disponible,0))),0,p_horas_jornada)</f>
        <v/>
      </c>
      <c r="I187" s="3">
        <f>tblAsignaciones[[#This Row],[semana]]&amp;"|"&amp;tblAsignaciones[[#This Row],[dia]]&amp;"|"&amp;tblAsignaciones[[#This Row],[tecnico]]</f>
        <v/>
      </c>
    </row>
    <row r="188">
      <c r="A188" s="3" t="inlineStr">
        <is>
          <t>2026-S31</t>
        </is>
      </c>
      <c r="B188" s="3" t="inlineStr">
        <is>
          <t>miércoles</t>
        </is>
      </c>
      <c r="C188" s="3" t="inlineStr">
        <is>
          <t>Técnico 03</t>
        </is>
      </c>
      <c r="D188" s="3">
        <f>_xlfn.XLOOKUP(tblAsignaciones[[#This Row],[tecnico]],tblTecnicos[nombre],tblTecnicos[area],"")</f>
        <v/>
      </c>
      <c r="E188" s="3">
        <f>_xlfn.XLOOKUP(tblAsignaciones[[#This Row],[tecnico]],tblTecnicos[nombre],tblTecnicos[especialidad],"")</f>
        <v/>
      </c>
      <c r="F188" s="6" t="inlineStr">
        <is>
          <t>T1</t>
        </is>
      </c>
      <c r="G188" s="3">
        <f>_xlfn.XLOOKUP(tblAsignaciones[[#This Row],[tecnico]],tblTecnicos[nombre],tblTecnicos[coordinador],"")</f>
        <v/>
      </c>
      <c r="H188" s="3">
        <f>IF(OR(tblAsignaciones[[#This Row],[turno]]="",ISNUMBER(MATCH(tblAsignaciones[[#This Row],[turno]],lista_no_disponible,0))),0,p_horas_jornada)</f>
        <v/>
      </c>
      <c r="I188" s="3">
        <f>tblAsignaciones[[#This Row],[semana]]&amp;"|"&amp;tblAsignaciones[[#This Row],[dia]]&amp;"|"&amp;tblAsignaciones[[#This Row],[tecnico]]</f>
        <v/>
      </c>
    </row>
    <row r="189">
      <c r="A189" s="3" t="inlineStr">
        <is>
          <t>2026-S31</t>
        </is>
      </c>
      <c r="B189" s="3" t="inlineStr">
        <is>
          <t>jueves</t>
        </is>
      </c>
      <c r="C189" s="3" t="inlineStr">
        <is>
          <t>Técnico 03</t>
        </is>
      </c>
      <c r="D189" s="3">
        <f>_xlfn.XLOOKUP(tblAsignaciones[[#This Row],[tecnico]],tblTecnicos[nombre],tblTecnicos[area],"")</f>
        <v/>
      </c>
      <c r="E189" s="3">
        <f>_xlfn.XLOOKUP(tblAsignaciones[[#This Row],[tecnico]],tblTecnicos[nombre],tblTecnicos[especialidad],"")</f>
        <v/>
      </c>
      <c r="F189" s="6" t="inlineStr">
        <is>
          <t>T1</t>
        </is>
      </c>
      <c r="G189" s="3">
        <f>_xlfn.XLOOKUP(tblAsignaciones[[#This Row],[tecnico]],tblTecnicos[nombre],tblTecnicos[coordinador],"")</f>
        <v/>
      </c>
      <c r="H189" s="3">
        <f>IF(OR(tblAsignaciones[[#This Row],[turno]]="",ISNUMBER(MATCH(tblAsignaciones[[#This Row],[turno]],lista_no_disponible,0))),0,p_horas_jornada)</f>
        <v/>
      </c>
      <c r="I189" s="3">
        <f>tblAsignaciones[[#This Row],[semana]]&amp;"|"&amp;tblAsignaciones[[#This Row],[dia]]&amp;"|"&amp;tblAsignaciones[[#This Row],[tecnico]]</f>
        <v/>
      </c>
    </row>
    <row r="190">
      <c r="A190" s="3" t="inlineStr">
        <is>
          <t>2026-S31</t>
        </is>
      </c>
      <c r="B190" s="3" t="inlineStr">
        <is>
          <t>viernes</t>
        </is>
      </c>
      <c r="C190" s="3" t="inlineStr">
        <is>
          <t>Técnico 03</t>
        </is>
      </c>
      <c r="D190" s="3">
        <f>_xlfn.XLOOKUP(tblAsignaciones[[#This Row],[tecnico]],tblTecnicos[nombre],tblTecnicos[area],"")</f>
        <v/>
      </c>
      <c r="E190" s="3">
        <f>_xlfn.XLOOKUP(tblAsignaciones[[#This Row],[tecnico]],tblTecnicos[nombre],tblTecnicos[especialidad],"")</f>
        <v/>
      </c>
      <c r="F190" s="6" t="inlineStr">
        <is>
          <t>T1</t>
        </is>
      </c>
      <c r="G190" s="3">
        <f>_xlfn.XLOOKUP(tblAsignaciones[[#This Row],[tecnico]],tblTecnicos[nombre],tblTecnicos[coordinador],"")</f>
        <v/>
      </c>
      <c r="H190" s="3">
        <f>IF(OR(tblAsignaciones[[#This Row],[turno]]="",ISNUMBER(MATCH(tblAsignaciones[[#This Row],[turno]],lista_no_disponible,0))),0,p_horas_jornada)</f>
        <v/>
      </c>
      <c r="I190" s="3">
        <f>tblAsignaciones[[#This Row],[semana]]&amp;"|"&amp;tblAsignaciones[[#This Row],[dia]]&amp;"|"&amp;tblAsignaciones[[#This Row],[tecnico]]</f>
        <v/>
      </c>
    </row>
    <row r="191">
      <c r="A191" s="3" t="inlineStr">
        <is>
          <t>2026-S31</t>
        </is>
      </c>
      <c r="B191" s="3" t="inlineStr">
        <is>
          <t>sábado</t>
        </is>
      </c>
      <c r="C191" s="3" t="inlineStr">
        <is>
          <t>Técnico 03</t>
        </is>
      </c>
      <c r="D191" s="3">
        <f>_xlfn.XLOOKUP(tblAsignaciones[[#This Row],[tecnico]],tblTecnicos[nombre],tblTecnicos[area],"")</f>
        <v/>
      </c>
      <c r="E191" s="3">
        <f>_xlfn.XLOOKUP(tblAsignaciones[[#This Row],[tecnico]],tblTecnicos[nombre],tblTecnicos[especialidad],"")</f>
        <v/>
      </c>
      <c r="F191" s="6" t="inlineStr"/>
      <c r="G191" s="3">
        <f>_xlfn.XLOOKUP(tblAsignaciones[[#This Row],[tecnico]],tblTecnicos[nombre],tblTecnicos[coordinador],"")</f>
        <v/>
      </c>
      <c r="H191" s="3">
        <f>IF(OR(tblAsignaciones[[#This Row],[turno]]="",ISNUMBER(MATCH(tblAsignaciones[[#This Row],[turno]],lista_no_disponible,0))),0,p_horas_jornada)</f>
        <v/>
      </c>
      <c r="I191" s="3">
        <f>tblAsignaciones[[#This Row],[semana]]&amp;"|"&amp;tblAsignaciones[[#This Row],[dia]]&amp;"|"&amp;tblAsignaciones[[#This Row],[tecnico]]</f>
        <v/>
      </c>
    </row>
    <row r="192">
      <c r="A192" s="3" t="inlineStr">
        <is>
          <t>2026-S31</t>
        </is>
      </c>
      <c r="B192" s="3" t="inlineStr">
        <is>
          <t>domingo</t>
        </is>
      </c>
      <c r="C192" s="3" t="inlineStr">
        <is>
          <t>Técnico 03</t>
        </is>
      </c>
      <c r="D192" s="3">
        <f>_xlfn.XLOOKUP(tblAsignaciones[[#This Row],[tecnico]],tblTecnicos[nombre],tblTecnicos[area],"")</f>
        <v/>
      </c>
      <c r="E192" s="3">
        <f>_xlfn.XLOOKUP(tblAsignaciones[[#This Row],[tecnico]],tblTecnicos[nombre],tblTecnicos[especialidad],"")</f>
        <v/>
      </c>
      <c r="F192" s="6" t="inlineStr"/>
      <c r="G192" s="3">
        <f>_xlfn.XLOOKUP(tblAsignaciones[[#This Row],[tecnico]],tblTecnicos[nombre],tblTecnicos[coordinador],"")</f>
        <v/>
      </c>
      <c r="H192" s="3">
        <f>IF(OR(tblAsignaciones[[#This Row],[turno]]="",ISNUMBER(MATCH(tblAsignaciones[[#This Row],[turno]],lista_no_disponible,0))),0,p_horas_jornada)</f>
        <v/>
      </c>
      <c r="I192" s="3">
        <f>tblAsignaciones[[#This Row],[semana]]&amp;"|"&amp;tblAsignaciones[[#This Row],[dia]]&amp;"|"&amp;tblAsignaciones[[#This Row],[tecnico]]</f>
        <v/>
      </c>
    </row>
    <row r="193">
      <c r="A193" s="3" t="inlineStr">
        <is>
          <t>2026-S31</t>
        </is>
      </c>
      <c r="B193" s="3" t="inlineStr">
        <is>
          <t>lunes</t>
        </is>
      </c>
      <c r="C193" s="3" t="inlineStr">
        <is>
          <t>Técnico 04</t>
        </is>
      </c>
      <c r="D193" s="3">
        <f>_xlfn.XLOOKUP(tblAsignaciones[[#This Row],[tecnico]],tblTecnicos[nombre],tblTecnicos[area],"")</f>
        <v/>
      </c>
      <c r="E193" s="3">
        <f>_xlfn.XLOOKUP(tblAsignaciones[[#This Row],[tecnico]],tblTecnicos[nombre],tblTecnicos[especialidad],"")</f>
        <v/>
      </c>
      <c r="F193" s="6" t="inlineStr">
        <is>
          <t>VAC</t>
        </is>
      </c>
      <c r="G193" s="3">
        <f>_xlfn.XLOOKUP(tblAsignaciones[[#This Row],[tecnico]],tblTecnicos[nombre],tblTecnicos[coordinador],"")</f>
        <v/>
      </c>
      <c r="H193" s="3">
        <f>IF(OR(tblAsignaciones[[#This Row],[turno]]="",ISNUMBER(MATCH(tblAsignaciones[[#This Row],[turno]],lista_no_disponible,0))),0,p_horas_jornada)</f>
        <v/>
      </c>
      <c r="I193" s="3">
        <f>tblAsignaciones[[#This Row],[semana]]&amp;"|"&amp;tblAsignaciones[[#This Row],[dia]]&amp;"|"&amp;tblAsignaciones[[#This Row],[tecnico]]</f>
        <v/>
      </c>
    </row>
    <row r="194">
      <c r="A194" s="3" t="inlineStr">
        <is>
          <t>2026-S31</t>
        </is>
      </c>
      <c r="B194" s="3" t="inlineStr">
        <is>
          <t>martes</t>
        </is>
      </c>
      <c r="C194" s="3" t="inlineStr">
        <is>
          <t>Técnico 04</t>
        </is>
      </c>
      <c r="D194" s="3">
        <f>_xlfn.XLOOKUP(tblAsignaciones[[#This Row],[tecnico]],tblTecnicos[nombre],tblTecnicos[area],"")</f>
        <v/>
      </c>
      <c r="E194" s="3">
        <f>_xlfn.XLOOKUP(tblAsignaciones[[#This Row],[tecnico]],tblTecnicos[nombre],tblTecnicos[especialidad],"")</f>
        <v/>
      </c>
      <c r="F194" s="6" t="inlineStr">
        <is>
          <t>VAC</t>
        </is>
      </c>
      <c r="G194" s="3">
        <f>_xlfn.XLOOKUP(tblAsignaciones[[#This Row],[tecnico]],tblTecnicos[nombre],tblTecnicos[coordinador],"")</f>
        <v/>
      </c>
      <c r="H194" s="3">
        <f>IF(OR(tblAsignaciones[[#This Row],[turno]]="",ISNUMBER(MATCH(tblAsignaciones[[#This Row],[turno]],lista_no_disponible,0))),0,p_horas_jornada)</f>
        <v/>
      </c>
      <c r="I194" s="3">
        <f>tblAsignaciones[[#This Row],[semana]]&amp;"|"&amp;tblAsignaciones[[#This Row],[dia]]&amp;"|"&amp;tblAsignaciones[[#This Row],[tecnico]]</f>
        <v/>
      </c>
    </row>
    <row r="195">
      <c r="A195" s="3" t="inlineStr">
        <is>
          <t>2026-S31</t>
        </is>
      </c>
      <c r="B195" s="3" t="inlineStr">
        <is>
          <t>miércoles</t>
        </is>
      </c>
      <c r="C195" s="3" t="inlineStr">
        <is>
          <t>Técnico 04</t>
        </is>
      </c>
      <c r="D195" s="3">
        <f>_xlfn.XLOOKUP(tblAsignaciones[[#This Row],[tecnico]],tblTecnicos[nombre],tblTecnicos[area],"")</f>
        <v/>
      </c>
      <c r="E195" s="3">
        <f>_xlfn.XLOOKUP(tblAsignaciones[[#This Row],[tecnico]],tblTecnicos[nombre],tblTecnicos[especialidad],"")</f>
        <v/>
      </c>
      <c r="F195" s="6" t="inlineStr">
        <is>
          <t>VAC</t>
        </is>
      </c>
      <c r="G195" s="3">
        <f>_xlfn.XLOOKUP(tblAsignaciones[[#This Row],[tecnico]],tblTecnicos[nombre],tblTecnicos[coordinador],"")</f>
        <v/>
      </c>
      <c r="H195" s="3">
        <f>IF(OR(tblAsignaciones[[#This Row],[turno]]="",ISNUMBER(MATCH(tblAsignaciones[[#This Row],[turno]],lista_no_disponible,0))),0,p_horas_jornada)</f>
        <v/>
      </c>
      <c r="I195" s="3">
        <f>tblAsignaciones[[#This Row],[semana]]&amp;"|"&amp;tblAsignaciones[[#This Row],[dia]]&amp;"|"&amp;tblAsignaciones[[#This Row],[tecnico]]</f>
        <v/>
      </c>
    </row>
    <row r="196">
      <c r="A196" s="3" t="inlineStr">
        <is>
          <t>2026-S31</t>
        </is>
      </c>
      <c r="B196" s="3" t="inlineStr">
        <is>
          <t>jueves</t>
        </is>
      </c>
      <c r="C196" s="3" t="inlineStr">
        <is>
          <t>Técnico 04</t>
        </is>
      </c>
      <c r="D196" s="3">
        <f>_xlfn.XLOOKUP(tblAsignaciones[[#This Row],[tecnico]],tblTecnicos[nombre],tblTecnicos[area],"")</f>
        <v/>
      </c>
      <c r="E196" s="3">
        <f>_xlfn.XLOOKUP(tblAsignaciones[[#This Row],[tecnico]],tblTecnicos[nombre],tblTecnicos[especialidad],"")</f>
        <v/>
      </c>
      <c r="F196" s="6" t="inlineStr">
        <is>
          <t>VAC</t>
        </is>
      </c>
      <c r="G196" s="3">
        <f>_xlfn.XLOOKUP(tblAsignaciones[[#This Row],[tecnico]],tblTecnicos[nombre],tblTecnicos[coordinador],"")</f>
        <v/>
      </c>
      <c r="H196" s="3">
        <f>IF(OR(tblAsignaciones[[#This Row],[turno]]="",ISNUMBER(MATCH(tblAsignaciones[[#This Row],[turno]],lista_no_disponible,0))),0,p_horas_jornada)</f>
        <v/>
      </c>
      <c r="I196" s="3">
        <f>tblAsignaciones[[#This Row],[semana]]&amp;"|"&amp;tblAsignaciones[[#This Row],[dia]]&amp;"|"&amp;tblAsignaciones[[#This Row],[tecnico]]</f>
        <v/>
      </c>
    </row>
    <row r="197">
      <c r="A197" s="3" t="inlineStr">
        <is>
          <t>2026-S31</t>
        </is>
      </c>
      <c r="B197" s="3" t="inlineStr">
        <is>
          <t>viernes</t>
        </is>
      </c>
      <c r="C197" s="3" t="inlineStr">
        <is>
          <t>Técnico 04</t>
        </is>
      </c>
      <c r="D197" s="3">
        <f>_xlfn.XLOOKUP(tblAsignaciones[[#This Row],[tecnico]],tblTecnicos[nombre],tblTecnicos[area],"")</f>
        <v/>
      </c>
      <c r="E197" s="3">
        <f>_xlfn.XLOOKUP(tblAsignaciones[[#This Row],[tecnico]],tblTecnicos[nombre],tblTecnicos[especialidad],"")</f>
        <v/>
      </c>
      <c r="F197" s="6" t="inlineStr">
        <is>
          <t>VAC</t>
        </is>
      </c>
      <c r="G197" s="3">
        <f>_xlfn.XLOOKUP(tblAsignaciones[[#This Row],[tecnico]],tblTecnicos[nombre],tblTecnicos[coordinador],"")</f>
        <v/>
      </c>
      <c r="H197" s="3">
        <f>IF(OR(tblAsignaciones[[#This Row],[turno]]="",ISNUMBER(MATCH(tblAsignaciones[[#This Row],[turno]],lista_no_disponible,0))),0,p_horas_jornada)</f>
        <v/>
      </c>
      <c r="I197" s="3">
        <f>tblAsignaciones[[#This Row],[semana]]&amp;"|"&amp;tblAsignaciones[[#This Row],[dia]]&amp;"|"&amp;tblAsignaciones[[#This Row],[tecnico]]</f>
        <v/>
      </c>
    </row>
    <row r="198">
      <c r="A198" s="3" t="inlineStr">
        <is>
          <t>2026-S31</t>
        </is>
      </c>
      <c r="B198" s="3" t="inlineStr">
        <is>
          <t>sábado</t>
        </is>
      </c>
      <c r="C198" s="3" t="inlineStr">
        <is>
          <t>Técnico 04</t>
        </is>
      </c>
      <c r="D198" s="3">
        <f>_xlfn.XLOOKUP(tblAsignaciones[[#This Row],[tecnico]],tblTecnicos[nombre],tblTecnicos[area],"")</f>
        <v/>
      </c>
      <c r="E198" s="3">
        <f>_xlfn.XLOOKUP(tblAsignaciones[[#This Row],[tecnico]],tblTecnicos[nombre],tblTecnicos[especialidad],"")</f>
        <v/>
      </c>
      <c r="F198" s="6" t="inlineStr"/>
      <c r="G198" s="3">
        <f>_xlfn.XLOOKUP(tblAsignaciones[[#This Row],[tecnico]],tblTecnicos[nombre],tblTecnicos[coordinador],"")</f>
        <v/>
      </c>
      <c r="H198" s="3">
        <f>IF(OR(tblAsignaciones[[#This Row],[turno]]="",ISNUMBER(MATCH(tblAsignaciones[[#This Row],[turno]],lista_no_disponible,0))),0,p_horas_jornada)</f>
        <v/>
      </c>
      <c r="I198" s="3">
        <f>tblAsignaciones[[#This Row],[semana]]&amp;"|"&amp;tblAsignaciones[[#This Row],[dia]]&amp;"|"&amp;tblAsignaciones[[#This Row],[tecnico]]</f>
        <v/>
      </c>
    </row>
    <row r="199">
      <c r="A199" s="3" t="inlineStr">
        <is>
          <t>2026-S31</t>
        </is>
      </c>
      <c r="B199" s="3" t="inlineStr">
        <is>
          <t>domingo</t>
        </is>
      </c>
      <c r="C199" s="3" t="inlineStr">
        <is>
          <t>Técnico 04</t>
        </is>
      </c>
      <c r="D199" s="3">
        <f>_xlfn.XLOOKUP(tblAsignaciones[[#This Row],[tecnico]],tblTecnicos[nombre],tblTecnicos[area],"")</f>
        <v/>
      </c>
      <c r="E199" s="3">
        <f>_xlfn.XLOOKUP(tblAsignaciones[[#This Row],[tecnico]],tblTecnicos[nombre],tblTecnicos[especialidad],"")</f>
        <v/>
      </c>
      <c r="F199" s="6" t="inlineStr"/>
      <c r="G199" s="3">
        <f>_xlfn.XLOOKUP(tblAsignaciones[[#This Row],[tecnico]],tblTecnicos[nombre],tblTecnicos[coordinador],"")</f>
        <v/>
      </c>
      <c r="H199" s="3">
        <f>IF(OR(tblAsignaciones[[#This Row],[turno]]="",ISNUMBER(MATCH(tblAsignaciones[[#This Row],[turno]],lista_no_disponible,0))),0,p_horas_jornada)</f>
        <v/>
      </c>
      <c r="I199" s="3">
        <f>tblAsignaciones[[#This Row],[semana]]&amp;"|"&amp;tblAsignaciones[[#This Row],[dia]]&amp;"|"&amp;tblAsignaciones[[#This Row],[tecnico]]</f>
        <v/>
      </c>
    </row>
    <row r="200">
      <c r="A200" s="3" t="inlineStr">
        <is>
          <t>2026-S31</t>
        </is>
      </c>
      <c r="B200" s="3" t="inlineStr">
        <is>
          <t>lunes</t>
        </is>
      </c>
      <c r="C200" s="3" t="inlineStr">
        <is>
          <t>Técnico 05</t>
        </is>
      </c>
      <c r="D200" s="3">
        <f>_xlfn.XLOOKUP(tblAsignaciones[[#This Row],[tecnico]],tblTecnicos[nombre],tblTecnicos[area],"")</f>
        <v/>
      </c>
      <c r="E200" s="3">
        <f>_xlfn.XLOOKUP(tblAsignaciones[[#This Row],[tecnico]],tblTecnicos[nombre],tblTecnicos[especialidad],"")</f>
        <v/>
      </c>
      <c r="F200" s="6" t="inlineStr">
        <is>
          <t>T1</t>
        </is>
      </c>
      <c r="G200" s="3">
        <f>_xlfn.XLOOKUP(tblAsignaciones[[#This Row],[tecnico]],tblTecnicos[nombre],tblTecnicos[coordinador],"")</f>
        <v/>
      </c>
      <c r="H200" s="3">
        <f>IF(OR(tblAsignaciones[[#This Row],[turno]]="",ISNUMBER(MATCH(tblAsignaciones[[#This Row],[turno]],lista_no_disponible,0))),0,p_horas_jornada)</f>
        <v/>
      </c>
      <c r="I200" s="3">
        <f>tblAsignaciones[[#This Row],[semana]]&amp;"|"&amp;tblAsignaciones[[#This Row],[dia]]&amp;"|"&amp;tblAsignaciones[[#This Row],[tecnico]]</f>
        <v/>
      </c>
    </row>
    <row r="201">
      <c r="A201" s="3" t="inlineStr">
        <is>
          <t>2026-S31</t>
        </is>
      </c>
      <c r="B201" s="3" t="inlineStr">
        <is>
          <t>martes</t>
        </is>
      </c>
      <c r="C201" s="3" t="inlineStr">
        <is>
          <t>Técnico 05</t>
        </is>
      </c>
      <c r="D201" s="3">
        <f>_xlfn.XLOOKUP(tblAsignaciones[[#This Row],[tecnico]],tblTecnicos[nombre],tblTecnicos[area],"")</f>
        <v/>
      </c>
      <c r="E201" s="3">
        <f>_xlfn.XLOOKUP(tblAsignaciones[[#This Row],[tecnico]],tblTecnicos[nombre],tblTecnicos[especialidad],"")</f>
        <v/>
      </c>
      <c r="F201" s="6" t="inlineStr">
        <is>
          <t>T1</t>
        </is>
      </c>
      <c r="G201" s="3">
        <f>_xlfn.XLOOKUP(tblAsignaciones[[#This Row],[tecnico]],tblTecnicos[nombre],tblTecnicos[coordinador],"")</f>
        <v/>
      </c>
      <c r="H201" s="3">
        <f>IF(OR(tblAsignaciones[[#This Row],[turno]]="",ISNUMBER(MATCH(tblAsignaciones[[#This Row],[turno]],lista_no_disponible,0))),0,p_horas_jornada)</f>
        <v/>
      </c>
      <c r="I201" s="3">
        <f>tblAsignaciones[[#This Row],[semana]]&amp;"|"&amp;tblAsignaciones[[#This Row],[dia]]&amp;"|"&amp;tblAsignaciones[[#This Row],[tecnico]]</f>
        <v/>
      </c>
    </row>
    <row r="202">
      <c r="A202" s="3" t="inlineStr">
        <is>
          <t>2026-S31</t>
        </is>
      </c>
      <c r="B202" s="3" t="inlineStr">
        <is>
          <t>miércoles</t>
        </is>
      </c>
      <c r="C202" s="3" t="inlineStr">
        <is>
          <t>Técnico 05</t>
        </is>
      </c>
      <c r="D202" s="3">
        <f>_xlfn.XLOOKUP(tblAsignaciones[[#This Row],[tecnico]],tblTecnicos[nombre],tblTecnicos[area],"")</f>
        <v/>
      </c>
      <c r="E202" s="3">
        <f>_xlfn.XLOOKUP(tblAsignaciones[[#This Row],[tecnico]],tblTecnicos[nombre],tblTecnicos[especialidad],"")</f>
        <v/>
      </c>
      <c r="F202" s="6" t="inlineStr">
        <is>
          <t>T1</t>
        </is>
      </c>
      <c r="G202" s="3">
        <f>_xlfn.XLOOKUP(tblAsignaciones[[#This Row],[tecnico]],tblTecnicos[nombre],tblTecnicos[coordinador],"")</f>
        <v/>
      </c>
      <c r="H202" s="3">
        <f>IF(OR(tblAsignaciones[[#This Row],[turno]]="",ISNUMBER(MATCH(tblAsignaciones[[#This Row],[turno]],lista_no_disponible,0))),0,p_horas_jornada)</f>
        <v/>
      </c>
      <c r="I202" s="3">
        <f>tblAsignaciones[[#This Row],[semana]]&amp;"|"&amp;tblAsignaciones[[#This Row],[dia]]&amp;"|"&amp;tblAsignaciones[[#This Row],[tecnico]]</f>
        <v/>
      </c>
    </row>
    <row r="203">
      <c r="A203" s="3" t="inlineStr">
        <is>
          <t>2026-S31</t>
        </is>
      </c>
      <c r="B203" s="3" t="inlineStr">
        <is>
          <t>jueves</t>
        </is>
      </c>
      <c r="C203" s="3" t="inlineStr">
        <is>
          <t>Técnico 05</t>
        </is>
      </c>
      <c r="D203" s="3">
        <f>_xlfn.XLOOKUP(tblAsignaciones[[#This Row],[tecnico]],tblTecnicos[nombre],tblTecnicos[area],"")</f>
        <v/>
      </c>
      <c r="E203" s="3">
        <f>_xlfn.XLOOKUP(tblAsignaciones[[#This Row],[tecnico]],tblTecnicos[nombre],tblTecnicos[especialidad],"")</f>
        <v/>
      </c>
      <c r="F203" s="6" t="inlineStr">
        <is>
          <t>T1</t>
        </is>
      </c>
      <c r="G203" s="3">
        <f>_xlfn.XLOOKUP(tblAsignaciones[[#This Row],[tecnico]],tblTecnicos[nombre],tblTecnicos[coordinador],"")</f>
        <v/>
      </c>
      <c r="H203" s="3">
        <f>IF(OR(tblAsignaciones[[#This Row],[turno]]="",ISNUMBER(MATCH(tblAsignaciones[[#This Row],[turno]],lista_no_disponible,0))),0,p_horas_jornada)</f>
        <v/>
      </c>
      <c r="I203" s="3">
        <f>tblAsignaciones[[#This Row],[semana]]&amp;"|"&amp;tblAsignaciones[[#This Row],[dia]]&amp;"|"&amp;tblAsignaciones[[#This Row],[tecnico]]</f>
        <v/>
      </c>
    </row>
    <row r="204">
      <c r="A204" s="3" t="inlineStr">
        <is>
          <t>2026-S31</t>
        </is>
      </c>
      <c r="B204" s="3" t="inlineStr">
        <is>
          <t>viernes</t>
        </is>
      </c>
      <c r="C204" s="3" t="inlineStr">
        <is>
          <t>Técnico 05</t>
        </is>
      </c>
      <c r="D204" s="3">
        <f>_xlfn.XLOOKUP(tblAsignaciones[[#This Row],[tecnico]],tblTecnicos[nombre],tblTecnicos[area],"")</f>
        <v/>
      </c>
      <c r="E204" s="3">
        <f>_xlfn.XLOOKUP(tblAsignaciones[[#This Row],[tecnico]],tblTecnicos[nombre],tblTecnicos[especialidad],"")</f>
        <v/>
      </c>
      <c r="F204" s="6" t="inlineStr">
        <is>
          <t>T1</t>
        </is>
      </c>
      <c r="G204" s="3">
        <f>_xlfn.XLOOKUP(tblAsignaciones[[#This Row],[tecnico]],tblTecnicos[nombre],tblTecnicos[coordinador],"")</f>
        <v/>
      </c>
      <c r="H204" s="3">
        <f>IF(OR(tblAsignaciones[[#This Row],[turno]]="",ISNUMBER(MATCH(tblAsignaciones[[#This Row],[turno]],lista_no_disponible,0))),0,p_horas_jornada)</f>
        <v/>
      </c>
      <c r="I204" s="3">
        <f>tblAsignaciones[[#This Row],[semana]]&amp;"|"&amp;tblAsignaciones[[#This Row],[dia]]&amp;"|"&amp;tblAsignaciones[[#This Row],[tecnico]]</f>
        <v/>
      </c>
    </row>
    <row r="205">
      <c r="A205" s="3" t="inlineStr">
        <is>
          <t>2026-S31</t>
        </is>
      </c>
      <c r="B205" s="3" t="inlineStr">
        <is>
          <t>sábado</t>
        </is>
      </c>
      <c r="C205" s="3" t="inlineStr">
        <is>
          <t>Técnico 05</t>
        </is>
      </c>
      <c r="D205" s="3">
        <f>_xlfn.XLOOKUP(tblAsignaciones[[#This Row],[tecnico]],tblTecnicos[nombre],tblTecnicos[area],"")</f>
        <v/>
      </c>
      <c r="E205" s="3">
        <f>_xlfn.XLOOKUP(tblAsignaciones[[#This Row],[tecnico]],tblTecnicos[nombre],tblTecnicos[especialidad],"")</f>
        <v/>
      </c>
      <c r="F205" s="6" t="inlineStr"/>
      <c r="G205" s="3">
        <f>_xlfn.XLOOKUP(tblAsignaciones[[#This Row],[tecnico]],tblTecnicos[nombre],tblTecnicos[coordinador],"")</f>
        <v/>
      </c>
      <c r="H205" s="3">
        <f>IF(OR(tblAsignaciones[[#This Row],[turno]]="",ISNUMBER(MATCH(tblAsignaciones[[#This Row],[turno]],lista_no_disponible,0))),0,p_horas_jornada)</f>
        <v/>
      </c>
      <c r="I205" s="3">
        <f>tblAsignaciones[[#This Row],[semana]]&amp;"|"&amp;tblAsignaciones[[#This Row],[dia]]&amp;"|"&amp;tblAsignaciones[[#This Row],[tecnico]]</f>
        <v/>
      </c>
    </row>
    <row r="206">
      <c r="A206" s="3" t="inlineStr">
        <is>
          <t>2026-S31</t>
        </is>
      </c>
      <c r="B206" s="3" t="inlineStr">
        <is>
          <t>domingo</t>
        </is>
      </c>
      <c r="C206" s="3" t="inlineStr">
        <is>
          <t>Técnico 05</t>
        </is>
      </c>
      <c r="D206" s="3">
        <f>_xlfn.XLOOKUP(tblAsignaciones[[#This Row],[tecnico]],tblTecnicos[nombre],tblTecnicos[area],"")</f>
        <v/>
      </c>
      <c r="E206" s="3">
        <f>_xlfn.XLOOKUP(tblAsignaciones[[#This Row],[tecnico]],tblTecnicos[nombre],tblTecnicos[especialidad],"")</f>
        <v/>
      </c>
      <c r="F206" s="6" t="inlineStr"/>
      <c r="G206" s="3">
        <f>_xlfn.XLOOKUP(tblAsignaciones[[#This Row],[tecnico]],tblTecnicos[nombre],tblTecnicos[coordinador],"")</f>
        <v/>
      </c>
      <c r="H206" s="3">
        <f>IF(OR(tblAsignaciones[[#This Row],[turno]]="",ISNUMBER(MATCH(tblAsignaciones[[#This Row],[turno]],lista_no_disponible,0))),0,p_horas_jornada)</f>
        <v/>
      </c>
      <c r="I206" s="3">
        <f>tblAsignaciones[[#This Row],[semana]]&amp;"|"&amp;tblAsignaciones[[#This Row],[dia]]&amp;"|"&amp;tblAsignaciones[[#This Row],[tecnico]]</f>
        <v/>
      </c>
    </row>
    <row r="207">
      <c r="A207" s="3" t="inlineStr">
        <is>
          <t>2026-S31</t>
        </is>
      </c>
      <c r="B207" s="3" t="inlineStr">
        <is>
          <t>lunes</t>
        </is>
      </c>
      <c r="C207" s="3" t="inlineStr">
        <is>
          <t>Técnico 06</t>
        </is>
      </c>
      <c r="D207" s="3">
        <f>_xlfn.XLOOKUP(tblAsignaciones[[#This Row],[tecnico]],tblTecnicos[nombre],tblTecnicos[area],"")</f>
        <v/>
      </c>
      <c r="E207" s="3">
        <f>_xlfn.XLOOKUP(tblAsignaciones[[#This Row],[tecnico]],tblTecnicos[nombre],tblTecnicos[especialidad],"")</f>
        <v/>
      </c>
      <c r="F207" s="6" t="inlineStr">
        <is>
          <t>T1</t>
        </is>
      </c>
      <c r="G207" s="3">
        <f>_xlfn.XLOOKUP(tblAsignaciones[[#This Row],[tecnico]],tblTecnicos[nombre],tblTecnicos[coordinador],"")</f>
        <v/>
      </c>
      <c r="H207" s="3">
        <f>IF(OR(tblAsignaciones[[#This Row],[turno]]="",ISNUMBER(MATCH(tblAsignaciones[[#This Row],[turno]],lista_no_disponible,0))),0,p_horas_jornada)</f>
        <v/>
      </c>
      <c r="I207" s="3">
        <f>tblAsignaciones[[#This Row],[semana]]&amp;"|"&amp;tblAsignaciones[[#This Row],[dia]]&amp;"|"&amp;tblAsignaciones[[#This Row],[tecnico]]</f>
        <v/>
      </c>
    </row>
    <row r="208">
      <c r="A208" s="3" t="inlineStr">
        <is>
          <t>2026-S31</t>
        </is>
      </c>
      <c r="B208" s="3" t="inlineStr">
        <is>
          <t>martes</t>
        </is>
      </c>
      <c r="C208" s="3" t="inlineStr">
        <is>
          <t>Técnico 06</t>
        </is>
      </c>
      <c r="D208" s="3">
        <f>_xlfn.XLOOKUP(tblAsignaciones[[#This Row],[tecnico]],tblTecnicos[nombre],tblTecnicos[area],"")</f>
        <v/>
      </c>
      <c r="E208" s="3">
        <f>_xlfn.XLOOKUP(tblAsignaciones[[#This Row],[tecnico]],tblTecnicos[nombre],tblTecnicos[especialidad],"")</f>
        <v/>
      </c>
      <c r="F208" s="6" t="inlineStr">
        <is>
          <t>T1</t>
        </is>
      </c>
      <c r="G208" s="3">
        <f>_xlfn.XLOOKUP(tblAsignaciones[[#This Row],[tecnico]],tblTecnicos[nombre],tblTecnicos[coordinador],"")</f>
        <v/>
      </c>
      <c r="H208" s="3">
        <f>IF(OR(tblAsignaciones[[#This Row],[turno]]="",ISNUMBER(MATCH(tblAsignaciones[[#This Row],[turno]],lista_no_disponible,0))),0,p_horas_jornada)</f>
        <v/>
      </c>
      <c r="I208" s="3">
        <f>tblAsignaciones[[#This Row],[semana]]&amp;"|"&amp;tblAsignaciones[[#This Row],[dia]]&amp;"|"&amp;tblAsignaciones[[#This Row],[tecnico]]</f>
        <v/>
      </c>
    </row>
    <row r="209">
      <c r="A209" s="3" t="inlineStr">
        <is>
          <t>2026-S31</t>
        </is>
      </c>
      <c r="B209" s="3" t="inlineStr">
        <is>
          <t>miércoles</t>
        </is>
      </c>
      <c r="C209" s="3" t="inlineStr">
        <is>
          <t>Técnico 06</t>
        </is>
      </c>
      <c r="D209" s="3">
        <f>_xlfn.XLOOKUP(tblAsignaciones[[#This Row],[tecnico]],tblTecnicos[nombre],tblTecnicos[area],"")</f>
        <v/>
      </c>
      <c r="E209" s="3">
        <f>_xlfn.XLOOKUP(tblAsignaciones[[#This Row],[tecnico]],tblTecnicos[nombre],tblTecnicos[especialidad],"")</f>
        <v/>
      </c>
      <c r="F209" s="6" t="inlineStr">
        <is>
          <t>T1</t>
        </is>
      </c>
      <c r="G209" s="3">
        <f>_xlfn.XLOOKUP(tblAsignaciones[[#This Row],[tecnico]],tblTecnicos[nombre],tblTecnicos[coordinador],"")</f>
        <v/>
      </c>
      <c r="H209" s="3">
        <f>IF(OR(tblAsignaciones[[#This Row],[turno]]="",ISNUMBER(MATCH(tblAsignaciones[[#This Row],[turno]],lista_no_disponible,0))),0,p_horas_jornada)</f>
        <v/>
      </c>
      <c r="I209" s="3">
        <f>tblAsignaciones[[#This Row],[semana]]&amp;"|"&amp;tblAsignaciones[[#This Row],[dia]]&amp;"|"&amp;tblAsignaciones[[#This Row],[tecnico]]</f>
        <v/>
      </c>
    </row>
    <row r="210">
      <c r="A210" s="3" t="inlineStr">
        <is>
          <t>2026-S31</t>
        </is>
      </c>
      <c r="B210" s="3" t="inlineStr">
        <is>
          <t>jueves</t>
        </is>
      </c>
      <c r="C210" s="3" t="inlineStr">
        <is>
          <t>Técnico 06</t>
        </is>
      </c>
      <c r="D210" s="3">
        <f>_xlfn.XLOOKUP(tblAsignaciones[[#This Row],[tecnico]],tblTecnicos[nombre],tblTecnicos[area],"")</f>
        <v/>
      </c>
      <c r="E210" s="3">
        <f>_xlfn.XLOOKUP(tblAsignaciones[[#This Row],[tecnico]],tblTecnicos[nombre],tblTecnicos[especialidad],"")</f>
        <v/>
      </c>
      <c r="F210" s="6" t="inlineStr">
        <is>
          <t>T1</t>
        </is>
      </c>
      <c r="G210" s="3">
        <f>_xlfn.XLOOKUP(tblAsignaciones[[#This Row],[tecnico]],tblTecnicos[nombre],tblTecnicos[coordinador],"")</f>
        <v/>
      </c>
      <c r="H210" s="3">
        <f>IF(OR(tblAsignaciones[[#This Row],[turno]]="",ISNUMBER(MATCH(tblAsignaciones[[#This Row],[turno]],lista_no_disponible,0))),0,p_horas_jornada)</f>
        <v/>
      </c>
      <c r="I210" s="3">
        <f>tblAsignaciones[[#This Row],[semana]]&amp;"|"&amp;tblAsignaciones[[#This Row],[dia]]&amp;"|"&amp;tblAsignaciones[[#This Row],[tecnico]]</f>
        <v/>
      </c>
    </row>
    <row r="211">
      <c r="A211" s="3" t="inlineStr">
        <is>
          <t>2026-S31</t>
        </is>
      </c>
      <c r="B211" s="3" t="inlineStr">
        <is>
          <t>viernes</t>
        </is>
      </c>
      <c r="C211" s="3" t="inlineStr">
        <is>
          <t>Técnico 06</t>
        </is>
      </c>
      <c r="D211" s="3">
        <f>_xlfn.XLOOKUP(tblAsignaciones[[#This Row],[tecnico]],tblTecnicos[nombre],tblTecnicos[area],"")</f>
        <v/>
      </c>
      <c r="E211" s="3">
        <f>_xlfn.XLOOKUP(tblAsignaciones[[#This Row],[tecnico]],tblTecnicos[nombre],tblTecnicos[especialidad],"")</f>
        <v/>
      </c>
      <c r="F211" s="6" t="inlineStr">
        <is>
          <t>T1</t>
        </is>
      </c>
      <c r="G211" s="3">
        <f>_xlfn.XLOOKUP(tblAsignaciones[[#This Row],[tecnico]],tblTecnicos[nombre],tblTecnicos[coordinador],"")</f>
        <v/>
      </c>
      <c r="H211" s="3">
        <f>IF(OR(tblAsignaciones[[#This Row],[turno]]="",ISNUMBER(MATCH(tblAsignaciones[[#This Row],[turno]],lista_no_disponible,0))),0,p_horas_jornada)</f>
        <v/>
      </c>
      <c r="I211" s="3">
        <f>tblAsignaciones[[#This Row],[semana]]&amp;"|"&amp;tblAsignaciones[[#This Row],[dia]]&amp;"|"&amp;tblAsignaciones[[#This Row],[tecnico]]</f>
        <v/>
      </c>
    </row>
    <row r="212">
      <c r="A212" s="3" t="inlineStr">
        <is>
          <t>2026-S31</t>
        </is>
      </c>
      <c r="B212" s="3" t="inlineStr">
        <is>
          <t>sábado</t>
        </is>
      </c>
      <c r="C212" s="3" t="inlineStr">
        <is>
          <t>Técnico 06</t>
        </is>
      </c>
      <c r="D212" s="3">
        <f>_xlfn.XLOOKUP(tblAsignaciones[[#This Row],[tecnico]],tblTecnicos[nombre],tblTecnicos[area],"")</f>
        <v/>
      </c>
      <c r="E212" s="3">
        <f>_xlfn.XLOOKUP(tblAsignaciones[[#This Row],[tecnico]],tblTecnicos[nombre],tblTecnicos[especialidad],"")</f>
        <v/>
      </c>
      <c r="F212" s="6" t="inlineStr"/>
      <c r="G212" s="3">
        <f>_xlfn.XLOOKUP(tblAsignaciones[[#This Row],[tecnico]],tblTecnicos[nombre],tblTecnicos[coordinador],"")</f>
        <v/>
      </c>
      <c r="H212" s="3">
        <f>IF(OR(tblAsignaciones[[#This Row],[turno]]="",ISNUMBER(MATCH(tblAsignaciones[[#This Row],[turno]],lista_no_disponible,0))),0,p_horas_jornada)</f>
        <v/>
      </c>
      <c r="I212" s="3">
        <f>tblAsignaciones[[#This Row],[semana]]&amp;"|"&amp;tblAsignaciones[[#This Row],[dia]]&amp;"|"&amp;tblAsignaciones[[#This Row],[tecnico]]</f>
        <v/>
      </c>
    </row>
    <row r="213">
      <c r="A213" s="3" t="inlineStr">
        <is>
          <t>2026-S31</t>
        </is>
      </c>
      <c r="B213" s="3" t="inlineStr">
        <is>
          <t>domingo</t>
        </is>
      </c>
      <c r="C213" s="3" t="inlineStr">
        <is>
          <t>Técnico 06</t>
        </is>
      </c>
      <c r="D213" s="3">
        <f>_xlfn.XLOOKUP(tblAsignaciones[[#This Row],[tecnico]],tblTecnicos[nombre],tblTecnicos[area],"")</f>
        <v/>
      </c>
      <c r="E213" s="3">
        <f>_xlfn.XLOOKUP(tblAsignaciones[[#This Row],[tecnico]],tblTecnicos[nombre],tblTecnicos[especialidad],"")</f>
        <v/>
      </c>
      <c r="F213" s="6" t="inlineStr"/>
      <c r="G213" s="3">
        <f>_xlfn.XLOOKUP(tblAsignaciones[[#This Row],[tecnico]],tblTecnicos[nombre],tblTecnicos[coordinador],"")</f>
        <v/>
      </c>
      <c r="H213" s="3">
        <f>IF(OR(tblAsignaciones[[#This Row],[turno]]="",ISNUMBER(MATCH(tblAsignaciones[[#This Row],[turno]],lista_no_disponible,0))),0,p_horas_jornada)</f>
        <v/>
      </c>
      <c r="I213" s="3">
        <f>tblAsignaciones[[#This Row],[semana]]&amp;"|"&amp;tblAsignaciones[[#This Row],[dia]]&amp;"|"&amp;tblAsignaciones[[#This Row],[tecnico]]</f>
        <v/>
      </c>
    </row>
    <row r="214">
      <c r="A214" s="3" t="inlineStr">
        <is>
          <t>2026-S31</t>
        </is>
      </c>
      <c r="B214" s="3" t="inlineStr">
        <is>
          <t>lunes</t>
        </is>
      </c>
      <c r="C214" s="3" t="inlineStr">
        <is>
          <t>Técnico 07</t>
        </is>
      </c>
      <c r="D214" s="3">
        <f>_xlfn.XLOOKUP(tblAsignaciones[[#This Row],[tecnico]],tblTecnicos[nombre],tblTecnicos[area],"")</f>
        <v/>
      </c>
      <c r="E214" s="3">
        <f>_xlfn.XLOOKUP(tblAsignaciones[[#This Row],[tecnico]],tblTecnicos[nombre],tblTecnicos[especialidad],"")</f>
        <v/>
      </c>
      <c r="F214" s="6" t="inlineStr">
        <is>
          <t>T1</t>
        </is>
      </c>
      <c r="G214" s="3">
        <f>_xlfn.XLOOKUP(tblAsignaciones[[#This Row],[tecnico]],tblTecnicos[nombre],tblTecnicos[coordinador],"")</f>
        <v/>
      </c>
      <c r="H214" s="3">
        <f>IF(OR(tblAsignaciones[[#This Row],[turno]]="",ISNUMBER(MATCH(tblAsignaciones[[#This Row],[turno]],lista_no_disponible,0))),0,p_horas_jornada)</f>
        <v/>
      </c>
      <c r="I214" s="3">
        <f>tblAsignaciones[[#This Row],[semana]]&amp;"|"&amp;tblAsignaciones[[#This Row],[dia]]&amp;"|"&amp;tblAsignaciones[[#This Row],[tecnico]]</f>
        <v/>
      </c>
    </row>
    <row r="215">
      <c r="A215" s="3" t="inlineStr">
        <is>
          <t>2026-S31</t>
        </is>
      </c>
      <c r="B215" s="3" t="inlineStr">
        <is>
          <t>martes</t>
        </is>
      </c>
      <c r="C215" s="3" t="inlineStr">
        <is>
          <t>Técnico 07</t>
        </is>
      </c>
      <c r="D215" s="3">
        <f>_xlfn.XLOOKUP(tblAsignaciones[[#This Row],[tecnico]],tblTecnicos[nombre],tblTecnicos[area],"")</f>
        <v/>
      </c>
      <c r="E215" s="3">
        <f>_xlfn.XLOOKUP(tblAsignaciones[[#This Row],[tecnico]],tblTecnicos[nombre],tblTecnicos[especialidad],"")</f>
        <v/>
      </c>
      <c r="F215" s="6" t="inlineStr">
        <is>
          <t>T1</t>
        </is>
      </c>
      <c r="G215" s="3">
        <f>_xlfn.XLOOKUP(tblAsignaciones[[#This Row],[tecnico]],tblTecnicos[nombre],tblTecnicos[coordinador],"")</f>
        <v/>
      </c>
      <c r="H215" s="3">
        <f>IF(OR(tblAsignaciones[[#This Row],[turno]]="",ISNUMBER(MATCH(tblAsignaciones[[#This Row],[turno]],lista_no_disponible,0))),0,p_horas_jornada)</f>
        <v/>
      </c>
      <c r="I215" s="3">
        <f>tblAsignaciones[[#This Row],[semana]]&amp;"|"&amp;tblAsignaciones[[#This Row],[dia]]&amp;"|"&amp;tblAsignaciones[[#This Row],[tecnico]]</f>
        <v/>
      </c>
    </row>
    <row r="216">
      <c r="A216" s="3" t="inlineStr">
        <is>
          <t>2026-S31</t>
        </is>
      </c>
      <c r="B216" s="3" t="inlineStr">
        <is>
          <t>miércoles</t>
        </is>
      </c>
      <c r="C216" s="3" t="inlineStr">
        <is>
          <t>Técnico 07</t>
        </is>
      </c>
      <c r="D216" s="3">
        <f>_xlfn.XLOOKUP(tblAsignaciones[[#This Row],[tecnico]],tblTecnicos[nombre],tblTecnicos[area],"")</f>
        <v/>
      </c>
      <c r="E216" s="3">
        <f>_xlfn.XLOOKUP(tblAsignaciones[[#This Row],[tecnico]],tblTecnicos[nombre],tblTecnicos[especialidad],"")</f>
        <v/>
      </c>
      <c r="F216" s="6" t="inlineStr">
        <is>
          <t>T1</t>
        </is>
      </c>
      <c r="G216" s="3">
        <f>_xlfn.XLOOKUP(tblAsignaciones[[#This Row],[tecnico]],tblTecnicos[nombre],tblTecnicos[coordinador],"")</f>
        <v/>
      </c>
      <c r="H216" s="3">
        <f>IF(OR(tblAsignaciones[[#This Row],[turno]]="",ISNUMBER(MATCH(tblAsignaciones[[#This Row],[turno]],lista_no_disponible,0))),0,p_horas_jornada)</f>
        <v/>
      </c>
      <c r="I216" s="3">
        <f>tblAsignaciones[[#This Row],[semana]]&amp;"|"&amp;tblAsignaciones[[#This Row],[dia]]&amp;"|"&amp;tblAsignaciones[[#This Row],[tecnico]]</f>
        <v/>
      </c>
    </row>
    <row r="217">
      <c r="A217" s="3" t="inlineStr">
        <is>
          <t>2026-S31</t>
        </is>
      </c>
      <c r="B217" s="3" t="inlineStr">
        <is>
          <t>jueves</t>
        </is>
      </c>
      <c r="C217" s="3" t="inlineStr">
        <is>
          <t>Técnico 07</t>
        </is>
      </c>
      <c r="D217" s="3">
        <f>_xlfn.XLOOKUP(tblAsignaciones[[#This Row],[tecnico]],tblTecnicos[nombre],tblTecnicos[area],"")</f>
        <v/>
      </c>
      <c r="E217" s="3">
        <f>_xlfn.XLOOKUP(tblAsignaciones[[#This Row],[tecnico]],tblTecnicos[nombre],tblTecnicos[especialidad],"")</f>
        <v/>
      </c>
      <c r="F217" s="6" t="inlineStr">
        <is>
          <t>T1</t>
        </is>
      </c>
      <c r="G217" s="3">
        <f>_xlfn.XLOOKUP(tblAsignaciones[[#This Row],[tecnico]],tblTecnicos[nombre],tblTecnicos[coordinador],"")</f>
        <v/>
      </c>
      <c r="H217" s="3">
        <f>IF(OR(tblAsignaciones[[#This Row],[turno]]="",ISNUMBER(MATCH(tblAsignaciones[[#This Row],[turno]],lista_no_disponible,0))),0,p_horas_jornada)</f>
        <v/>
      </c>
      <c r="I217" s="3">
        <f>tblAsignaciones[[#This Row],[semana]]&amp;"|"&amp;tblAsignaciones[[#This Row],[dia]]&amp;"|"&amp;tblAsignaciones[[#This Row],[tecnico]]</f>
        <v/>
      </c>
    </row>
    <row r="218">
      <c r="A218" s="3" t="inlineStr">
        <is>
          <t>2026-S31</t>
        </is>
      </c>
      <c r="B218" s="3" t="inlineStr">
        <is>
          <t>viernes</t>
        </is>
      </c>
      <c r="C218" s="3" t="inlineStr">
        <is>
          <t>Técnico 07</t>
        </is>
      </c>
      <c r="D218" s="3">
        <f>_xlfn.XLOOKUP(tblAsignaciones[[#This Row],[tecnico]],tblTecnicos[nombre],tblTecnicos[area],"")</f>
        <v/>
      </c>
      <c r="E218" s="3">
        <f>_xlfn.XLOOKUP(tblAsignaciones[[#This Row],[tecnico]],tblTecnicos[nombre],tblTecnicos[especialidad],"")</f>
        <v/>
      </c>
      <c r="F218" s="6" t="inlineStr">
        <is>
          <t>T1</t>
        </is>
      </c>
      <c r="G218" s="3">
        <f>_xlfn.XLOOKUP(tblAsignaciones[[#This Row],[tecnico]],tblTecnicos[nombre],tblTecnicos[coordinador],"")</f>
        <v/>
      </c>
      <c r="H218" s="3">
        <f>IF(OR(tblAsignaciones[[#This Row],[turno]]="",ISNUMBER(MATCH(tblAsignaciones[[#This Row],[turno]],lista_no_disponible,0))),0,p_horas_jornada)</f>
        <v/>
      </c>
      <c r="I218" s="3">
        <f>tblAsignaciones[[#This Row],[semana]]&amp;"|"&amp;tblAsignaciones[[#This Row],[dia]]&amp;"|"&amp;tblAsignaciones[[#This Row],[tecnico]]</f>
        <v/>
      </c>
    </row>
    <row r="219">
      <c r="A219" s="3" t="inlineStr">
        <is>
          <t>2026-S31</t>
        </is>
      </c>
      <c r="B219" s="3" t="inlineStr">
        <is>
          <t>sábado</t>
        </is>
      </c>
      <c r="C219" s="3" t="inlineStr">
        <is>
          <t>Técnico 07</t>
        </is>
      </c>
      <c r="D219" s="3">
        <f>_xlfn.XLOOKUP(tblAsignaciones[[#This Row],[tecnico]],tblTecnicos[nombre],tblTecnicos[area],"")</f>
        <v/>
      </c>
      <c r="E219" s="3">
        <f>_xlfn.XLOOKUP(tblAsignaciones[[#This Row],[tecnico]],tblTecnicos[nombre],tblTecnicos[especialidad],"")</f>
        <v/>
      </c>
      <c r="F219" s="6" t="inlineStr"/>
      <c r="G219" s="3">
        <f>_xlfn.XLOOKUP(tblAsignaciones[[#This Row],[tecnico]],tblTecnicos[nombre],tblTecnicos[coordinador],"")</f>
        <v/>
      </c>
      <c r="H219" s="3">
        <f>IF(OR(tblAsignaciones[[#This Row],[turno]]="",ISNUMBER(MATCH(tblAsignaciones[[#This Row],[turno]],lista_no_disponible,0))),0,p_horas_jornada)</f>
        <v/>
      </c>
      <c r="I219" s="3">
        <f>tblAsignaciones[[#This Row],[semana]]&amp;"|"&amp;tblAsignaciones[[#This Row],[dia]]&amp;"|"&amp;tblAsignaciones[[#This Row],[tecnico]]</f>
        <v/>
      </c>
    </row>
    <row r="220">
      <c r="A220" s="3" t="inlineStr">
        <is>
          <t>2026-S31</t>
        </is>
      </c>
      <c r="B220" s="3" t="inlineStr">
        <is>
          <t>domingo</t>
        </is>
      </c>
      <c r="C220" s="3" t="inlineStr">
        <is>
          <t>Técnico 07</t>
        </is>
      </c>
      <c r="D220" s="3">
        <f>_xlfn.XLOOKUP(tblAsignaciones[[#This Row],[tecnico]],tblTecnicos[nombre],tblTecnicos[area],"")</f>
        <v/>
      </c>
      <c r="E220" s="3">
        <f>_xlfn.XLOOKUP(tblAsignaciones[[#This Row],[tecnico]],tblTecnicos[nombre],tblTecnicos[especialidad],"")</f>
        <v/>
      </c>
      <c r="F220" s="6" t="inlineStr"/>
      <c r="G220" s="3">
        <f>_xlfn.XLOOKUP(tblAsignaciones[[#This Row],[tecnico]],tblTecnicos[nombre],tblTecnicos[coordinador],"")</f>
        <v/>
      </c>
      <c r="H220" s="3">
        <f>IF(OR(tblAsignaciones[[#This Row],[turno]]="",ISNUMBER(MATCH(tblAsignaciones[[#This Row],[turno]],lista_no_disponible,0))),0,p_horas_jornada)</f>
        <v/>
      </c>
      <c r="I220" s="3">
        <f>tblAsignaciones[[#This Row],[semana]]&amp;"|"&amp;tblAsignaciones[[#This Row],[dia]]&amp;"|"&amp;tblAsignaciones[[#This Row],[tecnico]]</f>
        <v/>
      </c>
    </row>
    <row r="221">
      <c r="A221" s="3" t="inlineStr">
        <is>
          <t>2026-S31</t>
        </is>
      </c>
      <c r="B221" s="3" t="inlineStr">
        <is>
          <t>lunes</t>
        </is>
      </c>
      <c r="C221" s="3" t="inlineStr">
        <is>
          <t>Técnico 08</t>
        </is>
      </c>
      <c r="D221" s="3">
        <f>_xlfn.XLOOKUP(tblAsignaciones[[#This Row],[tecnico]],tblTecnicos[nombre],tblTecnicos[area],"")</f>
        <v/>
      </c>
      <c r="E221" s="3">
        <f>_xlfn.XLOOKUP(tblAsignaciones[[#This Row],[tecnico]],tblTecnicos[nombre],tblTecnicos[especialidad],"")</f>
        <v/>
      </c>
      <c r="F221" s="6" t="inlineStr">
        <is>
          <t>T3</t>
        </is>
      </c>
      <c r="G221" s="3">
        <f>_xlfn.XLOOKUP(tblAsignaciones[[#This Row],[tecnico]],tblTecnicos[nombre],tblTecnicos[coordinador],"")</f>
        <v/>
      </c>
      <c r="H221" s="3">
        <f>IF(OR(tblAsignaciones[[#This Row],[turno]]="",ISNUMBER(MATCH(tblAsignaciones[[#This Row],[turno]],lista_no_disponible,0))),0,p_horas_jornada)</f>
        <v/>
      </c>
      <c r="I221" s="3">
        <f>tblAsignaciones[[#This Row],[semana]]&amp;"|"&amp;tblAsignaciones[[#This Row],[dia]]&amp;"|"&amp;tblAsignaciones[[#This Row],[tecnico]]</f>
        <v/>
      </c>
    </row>
    <row r="222">
      <c r="A222" s="3" t="inlineStr">
        <is>
          <t>2026-S31</t>
        </is>
      </c>
      <c r="B222" s="3" t="inlineStr">
        <is>
          <t>martes</t>
        </is>
      </c>
      <c r="C222" s="3" t="inlineStr">
        <is>
          <t>Técnico 08</t>
        </is>
      </c>
      <c r="D222" s="3">
        <f>_xlfn.XLOOKUP(tblAsignaciones[[#This Row],[tecnico]],tblTecnicos[nombre],tblTecnicos[area],"")</f>
        <v/>
      </c>
      <c r="E222" s="3">
        <f>_xlfn.XLOOKUP(tblAsignaciones[[#This Row],[tecnico]],tblTecnicos[nombre],tblTecnicos[especialidad],"")</f>
        <v/>
      </c>
      <c r="F222" s="6" t="inlineStr">
        <is>
          <t>T3</t>
        </is>
      </c>
      <c r="G222" s="3">
        <f>_xlfn.XLOOKUP(tblAsignaciones[[#This Row],[tecnico]],tblTecnicos[nombre],tblTecnicos[coordinador],"")</f>
        <v/>
      </c>
      <c r="H222" s="3">
        <f>IF(OR(tblAsignaciones[[#This Row],[turno]]="",ISNUMBER(MATCH(tblAsignaciones[[#This Row],[turno]],lista_no_disponible,0))),0,p_horas_jornada)</f>
        <v/>
      </c>
      <c r="I222" s="3">
        <f>tblAsignaciones[[#This Row],[semana]]&amp;"|"&amp;tblAsignaciones[[#This Row],[dia]]&amp;"|"&amp;tblAsignaciones[[#This Row],[tecnico]]</f>
        <v/>
      </c>
    </row>
    <row r="223">
      <c r="A223" s="3" t="inlineStr">
        <is>
          <t>2026-S31</t>
        </is>
      </c>
      <c r="B223" s="3" t="inlineStr">
        <is>
          <t>miércoles</t>
        </is>
      </c>
      <c r="C223" s="3" t="inlineStr">
        <is>
          <t>Técnico 08</t>
        </is>
      </c>
      <c r="D223" s="3">
        <f>_xlfn.XLOOKUP(tblAsignaciones[[#This Row],[tecnico]],tblTecnicos[nombre],tblTecnicos[area],"")</f>
        <v/>
      </c>
      <c r="E223" s="3">
        <f>_xlfn.XLOOKUP(tblAsignaciones[[#This Row],[tecnico]],tblTecnicos[nombre],tblTecnicos[especialidad],"")</f>
        <v/>
      </c>
      <c r="F223" s="6" t="inlineStr">
        <is>
          <t>T3</t>
        </is>
      </c>
      <c r="G223" s="3">
        <f>_xlfn.XLOOKUP(tblAsignaciones[[#This Row],[tecnico]],tblTecnicos[nombre],tblTecnicos[coordinador],"")</f>
        <v/>
      </c>
      <c r="H223" s="3">
        <f>IF(OR(tblAsignaciones[[#This Row],[turno]]="",ISNUMBER(MATCH(tblAsignaciones[[#This Row],[turno]],lista_no_disponible,0))),0,p_horas_jornada)</f>
        <v/>
      </c>
      <c r="I223" s="3">
        <f>tblAsignaciones[[#This Row],[semana]]&amp;"|"&amp;tblAsignaciones[[#This Row],[dia]]&amp;"|"&amp;tblAsignaciones[[#This Row],[tecnico]]</f>
        <v/>
      </c>
    </row>
    <row r="224">
      <c r="A224" s="3" t="inlineStr">
        <is>
          <t>2026-S31</t>
        </is>
      </c>
      <c r="B224" s="3" t="inlineStr">
        <is>
          <t>jueves</t>
        </is>
      </c>
      <c r="C224" s="3" t="inlineStr">
        <is>
          <t>Técnico 08</t>
        </is>
      </c>
      <c r="D224" s="3">
        <f>_xlfn.XLOOKUP(tblAsignaciones[[#This Row],[tecnico]],tblTecnicos[nombre],tblTecnicos[area],"")</f>
        <v/>
      </c>
      <c r="E224" s="3">
        <f>_xlfn.XLOOKUP(tblAsignaciones[[#This Row],[tecnico]],tblTecnicos[nombre],tblTecnicos[especialidad],"")</f>
        <v/>
      </c>
      <c r="F224" s="6" t="inlineStr">
        <is>
          <t>T3</t>
        </is>
      </c>
      <c r="G224" s="3">
        <f>_xlfn.XLOOKUP(tblAsignaciones[[#This Row],[tecnico]],tblTecnicos[nombre],tblTecnicos[coordinador],"")</f>
        <v/>
      </c>
      <c r="H224" s="3">
        <f>IF(OR(tblAsignaciones[[#This Row],[turno]]="",ISNUMBER(MATCH(tblAsignaciones[[#This Row],[turno]],lista_no_disponible,0))),0,p_horas_jornada)</f>
        <v/>
      </c>
      <c r="I224" s="3">
        <f>tblAsignaciones[[#This Row],[semana]]&amp;"|"&amp;tblAsignaciones[[#This Row],[dia]]&amp;"|"&amp;tblAsignaciones[[#This Row],[tecnico]]</f>
        <v/>
      </c>
    </row>
    <row r="225">
      <c r="A225" s="3" t="inlineStr">
        <is>
          <t>2026-S31</t>
        </is>
      </c>
      <c r="B225" s="3" t="inlineStr">
        <is>
          <t>viernes</t>
        </is>
      </c>
      <c r="C225" s="3" t="inlineStr">
        <is>
          <t>Técnico 08</t>
        </is>
      </c>
      <c r="D225" s="3">
        <f>_xlfn.XLOOKUP(tblAsignaciones[[#This Row],[tecnico]],tblTecnicos[nombre],tblTecnicos[area],"")</f>
        <v/>
      </c>
      <c r="E225" s="3">
        <f>_xlfn.XLOOKUP(tblAsignaciones[[#This Row],[tecnico]],tblTecnicos[nombre],tblTecnicos[especialidad],"")</f>
        <v/>
      </c>
      <c r="F225" s="6" t="inlineStr">
        <is>
          <t>T3</t>
        </is>
      </c>
      <c r="G225" s="3">
        <f>_xlfn.XLOOKUP(tblAsignaciones[[#This Row],[tecnico]],tblTecnicos[nombre],tblTecnicos[coordinador],"")</f>
        <v/>
      </c>
      <c r="H225" s="3">
        <f>IF(OR(tblAsignaciones[[#This Row],[turno]]="",ISNUMBER(MATCH(tblAsignaciones[[#This Row],[turno]],lista_no_disponible,0))),0,p_horas_jornada)</f>
        <v/>
      </c>
      <c r="I225" s="3">
        <f>tblAsignaciones[[#This Row],[semana]]&amp;"|"&amp;tblAsignaciones[[#This Row],[dia]]&amp;"|"&amp;tblAsignaciones[[#This Row],[tecnico]]</f>
        <v/>
      </c>
    </row>
    <row r="226">
      <c r="A226" s="3" t="inlineStr">
        <is>
          <t>2026-S31</t>
        </is>
      </c>
      <c r="B226" s="3" t="inlineStr">
        <is>
          <t>sábado</t>
        </is>
      </c>
      <c r="C226" s="3" t="inlineStr">
        <is>
          <t>Técnico 08</t>
        </is>
      </c>
      <c r="D226" s="3">
        <f>_xlfn.XLOOKUP(tblAsignaciones[[#This Row],[tecnico]],tblTecnicos[nombre],tblTecnicos[area],"")</f>
        <v/>
      </c>
      <c r="E226" s="3">
        <f>_xlfn.XLOOKUP(tblAsignaciones[[#This Row],[tecnico]],tblTecnicos[nombre],tblTecnicos[especialidad],"")</f>
        <v/>
      </c>
      <c r="F226" s="6" t="inlineStr"/>
      <c r="G226" s="3">
        <f>_xlfn.XLOOKUP(tblAsignaciones[[#This Row],[tecnico]],tblTecnicos[nombre],tblTecnicos[coordinador],"")</f>
        <v/>
      </c>
      <c r="H226" s="3">
        <f>IF(OR(tblAsignaciones[[#This Row],[turno]]="",ISNUMBER(MATCH(tblAsignaciones[[#This Row],[turno]],lista_no_disponible,0))),0,p_horas_jornada)</f>
        <v/>
      </c>
      <c r="I226" s="3">
        <f>tblAsignaciones[[#This Row],[semana]]&amp;"|"&amp;tblAsignaciones[[#This Row],[dia]]&amp;"|"&amp;tblAsignaciones[[#This Row],[tecnico]]</f>
        <v/>
      </c>
    </row>
    <row r="227">
      <c r="A227" s="3" t="inlineStr">
        <is>
          <t>2026-S31</t>
        </is>
      </c>
      <c r="B227" s="3" t="inlineStr">
        <is>
          <t>domingo</t>
        </is>
      </c>
      <c r="C227" s="3" t="inlineStr">
        <is>
          <t>Técnico 08</t>
        </is>
      </c>
      <c r="D227" s="3">
        <f>_xlfn.XLOOKUP(tblAsignaciones[[#This Row],[tecnico]],tblTecnicos[nombre],tblTecnicos[area],"")</f>
        <v/>
      </c>
      <c r="E227" s="3">
        <f>_xlfn.XLOOKUP(tblAsignaciones[[#This Row],[tecnico]],tblTecnicos[nombre],tblTecnicos[especialidad],"")</f>
        <v/>
      </c>
      <c r="F227" s="6" t="inlineStr"/>
      <c r="G227" s="3">
        <f>_xlfn.XLOOKUP(tblAsignaciones[[#This Row],[tecnico]],tblTecnicos[nombre],tblTecnicos[coordinador],"")</f>
        <v/>
      </c>
      <c r="H227" s="3">
        <f>IF(OR(tblAsignaciones[[#This Row],[turno]]="",ISNUMBER(MATCH(tblAsignaciones[[#This Row],[turno]],lista_no_disponible,0))),0,p_horas_jornada)</f>
        <v/>
      </c>
      <c r="I227" s="3">
        <f>tblAsignaciones[[#This Row],[semana]]&amp;"|"&amp;tblAsignaciones[[#This Row],[dia]]&amp;"|"&amp;tblAsignaciones[[#This Row],[tecnico]]</f>
        <v/>
      </c>
    </row>
    <row r="228">
      <c r="A228" s="3" t="inlineStr">
        <is>
          <t>2026-S31</t>
        </is>
      </c>
      <c r="B228" s="3" t="inlineStr">
        <is>
          <t>lunes</t>
        </is>
      </c>
      <c r="C228" s="3" t="inlineStr">
        <is>
          <t>Técnico 09</t>
        </is>
      </c>
      <c r="D228" s="3">
        <f>_xlfn.XLOOKUP(tblAsignaciones[[#This Row],[tecnico]],tblTecnicos[nombre],tblTecnicos[area],"")</f>
        <v/>
      </c>
      <c r="E228" s="3">
        <f>_xlfn.XLOOKUP(tblAsignaciones[[#This Row],[tecnico]],tblTecnicos[nombre],tblTecnicos[especialidad],"")</f>
        <v/>
      </c>
      <c r="F228" s="6" t="inlineStr">
        <is>
          <t>T1</t>
        </is>
      </c>
      <c r="G228" s="3">
        <f>_xlfn.XLOOKUP(tblAsignaciones[[#This Row],[tecnico]],tblTecnicos[nombre],tblTecnicos[coordinador],"")</f>
        <v/>
      </c>
      <c r="H228" s="3">
        <f>IF(OR(tblAsignaciones[[#This Row],[turno]]="",ISNUMBER(MATCH(tblAsignaciones[[#This Row],[turno]],lista_no_disponible,0))),0,p_horas_jornada)</f>
        <v/>
      </c>
      <c r="I228" s="3">
        <f>tblAsignaciones[[#This Row],[semana]]&amp;"|"&amp;tblAsignaciones[[#This Row],[dia]]&amp;"|"&amp;tblAsignaciones[[#This Row],[tecnico]]</f>
        <v/>
      </c>
    </row>
    <row r="229">
      <c r="A229" s="3" t="inlineStr">
        <is>
          <t>2026-S31</t>
        </is>
      </c>
      <c r="B229" s="3" t="inlineStr">
        <is>
          <t>martes</t>
        </is>
      </c>
      <c r="C229" s="3" t="inlineStr">
        <is>
          <t>Técnico 09</t>
        </is>
      </c>
      <c r="D229" s="3">
        <f>_xlfn.XLOOKUP(tblAsignaciones[[#This Row],[tecnico]],tblTecnicos[nombre],tblTecnicos[area],"")</f>
        <v/>
      </c>
      <c r="E229" s="3">
        <f>_xlfn.XLOOKUP(tblAsignaciones[[#This Row],[tecnico]],tblTecnicos[nombre],tblTecnicos[especialidad],"")</f>
        <v/>
      </c>
      <c r="F229" s="6" t="inlineStr">
        <is>
          <t>T1</t>
        </is>
      </c>
      <c r="G229" s="3">
        <f>_xlfn.XLOOKUP(tblAsignaciones[[#This Row],[tecnico]],tblTecnicos[nombre],tblTecnicos[coordinador],"")</f>
        <v/>
      </c>
      <c r="H229" s="3">
        <f>IF(OR(tblAsignaciones[[#This Row],[turno]]="",ISNUMBER(MATCH(tblAsignaciones[[#This Row],[turno]],lista_no_disponible,0))),0,p_horas_jornada)</f>
        <v/>
      </c>
      <c r="I229" s="3">
        <f>tblAsignaciones[[#This Row],[semana]]&amp;"|"&amp;tblAsignaciones[[#This Row],[dia]]&amp;"|"&amp;tblAsignaciones[[#This Row],[tecnico]]</f>
        <v/>
      </c>
    </row>
    <row r="230">
      <c r="A230" s="3" t="inlineStr">
        <is>
          <t>2026-S31</t>
        </is>
      </c>
      <c r="B230" s="3" t="inlineStr">
        <is>
          <t>miércoles</t>
        </is>
      </c>
      <c r="C230" s="3" t="inlineStr">
        <is>
          <t>Técnico 09</t>
        </is>
      </c>
      <c r="D230" s="3">
        <f>_xlfn.XLOOKUP(tblAsignaciones[[#This Row],[tecnico]],tblTecnicos[nombre],tblTecnicos[area],"")</f>
        <v/>
      </c>
      <c r="E230" s="3">
        <f>_xlfn.XLOOKUP(tblAsignaciones[[#This Row],[tecnico]],tblTecnicos[nombre],tblTecnicos[especialidad],"")</f>
        <v/>
      </c>
      <c r="F230" s="6" t="inlineStr">
        <is>
          <t>T1</t>
        </is>
      </c>
      <c r="G230" s="3">
        <f>_xlfn.XLOOKUP(tblAsignaciones[[#This Row],[tecnico]],tblTecnicos[nombre],tblTecnicos[coordinador],"")</f>
        <v/>
      </c>
      <c r="H230" s="3">
        <f>IF(OR(tblAsignaciones[[#This Row],[turno]]="",ISNUMBER(MATCH(tblAsignaciones[[#This Row],[turno]],lista_no_disponible,0))),0,p_horas_jornada)</f>
        <v/>
      </c>
      <c r="I230" s="3">
        <f>tblAsignaciones[[#This Row],[semana]]&amp;"|"&amp;tblAsignaciones[[#This Row],[dia]]&amp;"|"&amp;tblAsignaciones[[#This Row],[tecnico]]</f>
        <v/>
      </c>
    </row>
    <row r="231">
      <c r="A231" s="3" t="inlineStr">
        <is>
          <t>2026-S31</t>
        </is>
      </c>
      <c r="B231" s="3" t="inlineStr">
        <is>
          <t>jueves</t>
        </is>
      </c>
      <c r="C231" s="3" t="inlineStr">
        <is>
          <t>Técnico 09</t>
        </is>
      </c>
      <c r="D231" s="3">
        <f>_xlfn.XLOOKUP(tblAsignaciones[[#This Row],[tecnico]],tblTecnicos[nombre],tblTecnicos[area],"")</f>
        <v/>
      </c>
      <c r="E231" s="3">
        <f>_xlfn.XLOOKUP(tblAsignaciones[[#This Row],[tecnico]],tblTecnicos[nombre],tblTecnicos[especialidad],"")</f>
        <v/>
      </c>
      <c r="F231" s="6" t="inlineStr">
        <is>
          <t>T1</t>
        </is>
      </c>
      <c r="G231" s="3">
        <f>_xlfn.XLOOKUP(tblAsignaciones[[#This Row],[tecnico]],tblTecnicos[nombre],tblTecnicos[coordinador],"")</f>
        <v/>
      </c>
      <c r="H231" s="3">
        <f>IF(OR(tblAsignaciones[[#This Row],[turno]]="",ISNUMBER(MATCH(tblAsignaciones[[#This Row],[turno]],lista_no_disponible,0))),0,p_horas_jornada)</f>
        <v/>
      </c>
      <c r="I231" s="3">
        <f>tblAsignaciones[[#This Row],[semana]]&amp;"|"&amp;tblAsignaciones[[#This Row],[dia]]&amp;"|"&amp;tblAsignaciones[[#This Row],[tecnico]]</f>
        <v/>
      </c>
    </row>
    <row r="232">
      <c r="A232" s="3" t="inlineStr">
        <is>
          <t>2026-S31</t>
        </is>
      </c>
      <c r="B232" s="3" t="inlineStr">
        <is>
          <t>viernes</t>
        </is>
      </c>
      <c r="C232" s="3" t="inlineStr">
        <is>
          <t>Técnico 09</t>
        </is>
      </c>
      <c r="D232" s="3">
        <f>_xlfn.XLOOKUP(tblAsignaciones[[#This Row],[tecnico]],tblTecnicos[nombre],tblTecnicos[area],"")</f>
        <v/>
      </c>
      <c r="E232" s="3">
        <f>_xlfn.XLOOKUP(tblAsignaciones[[#This Row],[tecnico]],tblTecnicos[nombre],tblTecnicos[especialidad],"")</f>
        <v/>
      </c>
      <c r="F232" s="6" t="inlineStr">
        <is>
          <t>T1</t>
        </is>
      </c>
      <c r="G232" s="3">
        <f>_xlfn.XLOOKUP(tblAsignaciones[[#This Row],[tecnico]],tblTecnicos[nombre],tblTecnicos[coordinador],"")</f>
        <v/>
      </c>
      <c r="H232" s="3">
        <f>IF(OR(tblAsignaciones[[#This Row],[turno]]="",ISNUMBER(MATCH(tblAsignaciones[[#This Row],[turno]],lista_no_disponible,0))),0,p_horas_jornada)</f>
        <v/>
      </c>
      <c r="I232" s="3">
        <f>tblAsignaciones[[#This Row],[semana]]&amp;"|"&amp;tblAsignaciones[[#This Row],[dia]]&amp;"|"&amp;tblAsignaciones[[#This Row],[tecnico]]</f>
        <v/>
      </c>
    </row>
    <row r="233">
      <c r="A233" s="3" t="inlineStr">
        <is>
          <t>2026-S31</t>
        </is>
      </c>
      <c r="B233" s="3" t="inlineStr">
        <is>
          <t>sábado</t>
        </is>
      </c>
      <c r="C233" s="3" t="inlineStr">
        <is>
          <t>Técnico 09</t>
        </is>
      </c>
      <c r="D233" s="3">
        <f>_xlfn.XLOOKUP(tblAsignaciones[[#This Row],[tecnico]],tblTecnicos[nombre],tblTecnicos[area],"")</f>
        <v/>
      </c>
      <c r="E233" s="3">
        <f>_xlfn.XLOOKUP(tblAsignaciones[[#This Row],[tecnico]],tblTecnicos[nombre],tblTecnicos[especialidad],"")</f>
        <v/>
      </c>
      <c r="F233" s="6" t="inlineStr"/>
      <c r="G233" s="3">
        <f>_xlfn.XLOOKUP(tblAsignaciones[[#This Row],[tecnico]],tblTecnicos[nombre],tblTecnicos[coordinador],"")</f>
        <v/>
      </c>
      <c r="H233" s="3">
        <f>IF(OR(tblAsignaciones[[#This Row],[turno]]="",ISNUMBER(MATCH(tblAsignaciones[[#This Row],[turno]],lista_no_disponible,0))),0,p_horas_jornada)</f>
        <v/>
      </c>
      <c r="I233" s="3">
        <f>tblAsignaciones[[#This Row],[semana]]&amp;"|"&amp;tblAsignaciones[[#This Row],[dia]]&amp;"|"&amp;tblAsignaciones[[#This Row],[tecnico]]</f>
        <v/>
      </c>
    </row>
    <row r="234">
      <c r="A234" s="3" t="inlineStr">
        <is>
          <t>2026-S31</t>
        </is>
      </c>
      <c r="B234" s="3" t="inlineStr">
        <is>
          <t>domingo</t>
        </is>
      </c>
      <c r="C234" s="3" t="inlineStr">
        <is>
          <t>Técnico 09</t>
        </is>
      </c>
      <c r="D234" s="3">
        <f>_xlfn.XLOOKUP(tblAsignaciones[[#This Row],[tecnico]],tblTecnicos[nombre],tblTecnicos[area],"")</f>
        <v/>
      </c>
      <c r="E234" s="3">
        <f>_xlfn.XLOOKUP(tblAsignaciones[[#This Row],[tecnico]],tblTecnicos[nombre],tblTecnicos[especialidad],"")</f>
        <v/>
      </c>
      <c r="F234" s="6" t="inlineStr"/>
      <c r="G234" s="3">
        <f>_xlfn.XLOOKUP(tblAsignaciones[[#This Row],[tecnico]],tblTecnicos[nombre],tblTecnicos[coordinador],"")</f>
        <v/>
      </c>
      <c r="H234" s="3">
        <f>IF(OR(tblAsignaciones[[#This Row],[turno]]="",ISNUMBER(MATCH(tblAsignaciones[[#This Row],[turno]],lista_no_disponible,0))),0,p_horas_jornada)</f>
        <v/>
      </c>
      <c r="I234" s="3">
        <f>tblAsignaciones[[#This Row],[semana]]&amp;"|"&amp;tblAsignaciones[[#This Row],[dia]]&amp;"|"&amp;tblAsignaciones[[#This Row],[tecnico]]</f>
        <v/>
      </c>
    </row>
    <row r="235">
      <c r="A235" s="3" t="inlineStr">
        <is>
          <t>2026-S31</t>
        </is>
      </c>
      <c r="B235" s="3" t="inlineStr">
        <is>
          <t>lunes</t>
        </is>
      </c>
      <c r="C235" s="3" t="inlineStr">
        <is>
          <t>Técnico 10</t>
        </is>
      </c>
      <c r="D235" s="3">
        <f>_xlfn.XLOOKUP(tblAsignaciones[[#This Row],[tecnico]],tblTecnicos[nombre],tblTecnicos[area],"")</f>
        <v/>
      </c>
      <c r="E235" s="3">
        <f>_xlfn.XLOOKUP(tblAsignaciones[[#This Row],[tecnico]],tblTecnicos[nombre],tblTecnicos[especialidad],"")</f>
        <v/>
      </c>
      <c r="F235" s="6" t="inlineStr">
        <is>
          <t>B1</t>
        </is>
      </c>
      <c r="G235" s="3">
        <f>_xlfn.XLOOKUP(tblAsignaciones[[#This Row],[tecnico]],tblTecnicos[nombre],tblTecnicos[coordinador],"")</f>
        <v/>
      </c>
      <c r="H235" s="3">
        <f>IF(OR(tblAsignaciones[[#This Row],[turno]]="",ISNUMBER(MATCH(tblAsignaciones[[#This Row],[turno]],lista_no_disponible,0))),0,p_horas_jornada)</f>
        <v/>
      </c>
      <c r="I235" s="3">
        <f>tblAsignaciones[[#This Row],[semana]]&amp;"|"&amp;tblAsignaciones[[#This Row],[dia]]&amp;"|"&amp;tblAsignaciones[[#This Row],[tecnico]]</f>
        <v/>
      </c>
    </row>
    <row r="236">
      <c r="A236" s="3" t="inlineStr">
        <is>
          <t>2026-S31</t>
        </is>
      </c>
      <c r="B236" s="3" t="inlineStr">
        <is>
          <t>martes</t>
        </is>
      </c>
      <c r="C236" s="3" t="inlineStr">
        <is>
          <t>Técnico 10</t>
        </is>
      </c>
      <c r="D236" s="3">
        <f>_xlfn.XLOOKUP(tblAsignaciones[[#This Row],[tecnico]],tblTecnicos[nombre],tblTecnicos[area],"")</f>
        <v/>
      </c>
      <c r="E236" s="3">
        <f>_xlfn.XLOOKUP(tblAsignaciones[[#This Row],[tecnico]],tblTecnicos[nombre],tblTecnicos[especialidad],"")</f>
        <v/>
      </c>
      <c r="F236" s="6" t="inlineStr">
        <is>
          <t>B1</t>
        </is>
      </c>
      <c r="G236" s="3">
        <f>_xlfn.XLOOKUP(tblAsignaciones[[#This Row],[tecnico]],tblTecnicos[nombre],tblTecnicos[coordinador],"")</f>
        <v/>
      </c>
      <c r="H236" s="3">
        <f>IF(OR(tblAsignaciones[[#This Row],[turno]]="",ISNUMBER(MATCH(tblAsignaciones[[#This Row],[turno]],lista_no_disponible,0))),0,p_horas_jornada)</f>
        <v/>
      </c>
      <c r="I236" s="3">
        <f>tblAsignaciones[[#This Row],[semana]]&amp;"|"&amp;tblAsignaciones[[#This Row],[dia]]&amp;"|"&amp;tblAsignaciones[[#This Row],[tecnico]]</f>
        <v/>
      </c>
    </row>
    <row r="237">
      <c r="A237" s="3" t="inlineStr">
        <is>
          <t>2026-S31</t>
        </is>
      </c>
      <c r="B237" s="3" t="inlineStr">
        <is>
          <t>miércoles</t>
        </is>
      </c>
      <c r="C237" s="3" t="inlineStr">
        <is>
          <t>Técnico 10</t>
        </is>
      </c>
      <c r="D237" s="3">
        <f>_xlfn.XLOOKUP(tblAsignaciones[[#This Row],[tecnico]],tblTecnicos[nombre],tblTecnicos[area],"")</f>
        <v/>
      </c>
      <c r="E237" s="3">
        <f>_xlfn.XLOOKUP(tblAsignaciones[[#This Row],[tecnico]],tblTecnicos[nombre],tblTecnicos[especialidad],"")</f>
        <v/>
      </c>
      <c r="F237" s="6" t="inlineStr">
        <is>
          <t>B1</t>
        </is>
      </c>
      <c r="G237" s="3">
        <f>_xlfn.XLOOKUP(tblAsignaciones[[#This Row],[tecnico]],tblTecnicos[nombre],tblTecnicos[coordinador],"")</f>
        <v/>
      </c>
      <c r="H237" s="3">
        <f>IF(OR(tblAsignaciones[[#This Row],[turno]]="",ISNUMBER(MATCH(tblAsignaciones[[#This Row],[turno]],lista_no_disponible,0))),0,p_horas_jornada)</f>
        <v/>
      </c>
      <c r="I237" s="3">
        <f>tblAsignaciones[[#This Row],[semana]]&amp;"|"&amp;tblAsignaciones[[#This Row],[dia]]&amp;"|"&amp;tblAsignaciones[[#This Row],[tecnico]]</f>
        <v/>
      </c>
    </row>
    <row r="238">
      <c r="A238" s="3" t="inlineStr">
        <is>
          <t>2026-S31</t>
        </is>
      </c>
      <c r="B238" s="3" t="inlineStr">
        <is>
          <t>jueves</t>
        </is>
      </c>
      <c r="C238" s="3" t="inlineStr">
        <is>
          <t>Técnico 10</t>
        </is>
      </c>
      <c r="D238" s="3">
        <f>_xlfn.XLOOKUP(tblAsignaciones[[#This Row],[tecnico]],tblTecnicos[nombre],tblTecnicos[area],"")</f>
        <v/>
      </c>
      <c r="E238" s="3">
        <f>_xlfn.XLOOKUP(tblAsignaciones[[#This Row],[tecnico]],tblTecnicos[nombre],tblTecnicos[especialidad],"")</f>
        <v/>
      </c>
      <c r="F238" s="6" t="inlineStr">
        <is>
          <t>B1</t>
        </is>
      </c>
      <c r="G238" s="3">
        <f>_xlfn.XLOOKUP(tblAsignaciones[[#This Row],[tecnico]],tblTecnicos[nombre],tblTecnicos[coordinador],"")</f>
        <v/>
      </c>
      <c r="H238" s="3">
        <f>IF(OR(tblAsignaciones[[#This Row],[turno]]="",ISNUMBER(MATCH(tblAsignaciones[[#This Row],[turno]],lista_no_disponible,0))),0,p_horas_jornada)</f>
        <v/>
      </c>
      <c r="I238" s="3">
        <f>tblAsignaciones[[#This Row],[semana]]&amp;"|"&amp;tblAsignaciones[[#This Row],[dia]]&amp;"|"&amp;tblAsignaciones[[#This Row],[tecnico]]</f>
        <v/>
      </c>
    </row>
    <row r="239">
      <c r="A239" s="3" t="inlineStr">
        <is>
          <t>2026-S31</t>
        </is>
      </c>
      <c r="B239" s="3" t="inlineStr">
        <is>
          <t>viernes</t>
        </is>
      </c>
      <c r="C239" s="3" t="inlineStr">
        <is>
          <t>Técnico 10</t>
        </is>
      </c>
      <c r="D239" s="3">
        <f>_xlfn.XLOOKUP(tblAsignaciones[[#This Row],[tecnico]],tblTecnicos[nombre],tblTecnicos[area],"")</f>
        <v/>
      </c>
      <c r="E239" s="3">
        <f>_xlfn.XLOOKUP(tblAsignaciones[[#This Row],[tecnico]],tblTecnicos[nombre],tblTecnicos[especialidad],"")</f>
        <v/>
      </c>
      <c r="F239" s="6" t="inlineStr">
        <is>
          <t>B1</t>
        </is>
      </c>
      <c r="G239" s="3">
        <f>_xlfn.XLOOKUP(tblAsignaciones[[#This Row],[tecnico]],tblTecnicos[nombre],tblTecnicos[coordinador],"")</f>
        <v/>
      </c>
      <c r="H239" s="3">
        <f>IF(OR(tblAsignaciones[[#This Row],[turno]]="",ISNUMBER(MATCH(tblAsignaciones[[#This Row],[turno]],lista_no_disponible,0))),0,p_horas_jornada)</f>
        <v/>
      </c>
      <c r="I239" s="3">
        <f>tblAsignaciones[[#This Row],[semana]]&amp;"|"&amp;tblAsignaciones[[#This Row],[dia]]&amp;"|"&amp;tblAsignaciones[[#This Row],[tecnico]]</f>
        <v/>
      </c>
    </row>
    <row r="240">
      <c r="A240" s="3" t="inlineStr">
        <is>
          <t>2026-S31</t>
        </is>
      </c>
      <c r="B240" s="3" t="inlineStr">
        <is>
          <t>sábado</t>
        </is>
      </c>
      <c r="C240" s="3" t="inlineStr">
        <is>
          <t>Técnico 10</t>
        </is>
      </c>
      <c r="D240" s="3">
        <f>_xlfn.XLOOKUP(tblAsignaciones[[#This Row],[tecnico]],tblTecnicos[nombre],tblTecnicos[area],"")</f>
        <v/>
      </c>
      <c r="E240" s="3">
        <f>_xlfn.XLOOKUP(tblAsignaciones[[#This Row],[tecnico]],tblTecnicos[nombre],tblTecnicos[especialidad],"")</f>
        <v/>
      </c>
      <c r="F240" s="6" t="inlineStr"/>
      <c r="G240" s="3">
        <f>_xlfn.XLOOKUP(tblAsignaciones[[#This Row],[tecnico]],tblTecnicos[nombre],tblTecnicos[coordinador],"")</f>
        <v/>
      </c>
      <c r="H240" s="3">
        <f>IF(OR(tblAsignaciones[[#This Row],[turno]]="",ISNUMBER(MATCH(tblAsignaciones[[#This Row],[turno]],lista_no_disponible,0))),0,p_horas_jornada)</f>
        <v/>
      </c>
      <c r="I240" s="3">
        <f>tblAsignaciones[[#This Row],[semana]]&amp;"|"&amp;tblAsignaciones[[#This Row],[dia]]&amp;"|"&amp;tblAsignaciones[[#This Row],[tecnico]]</f>
        <v/>
      </c>
    </row>
    <row r="241">
      <c r="A241" s="3" t="inlineStr">
        <is>
          <t>2026-S31</t>
        </is>
      </c>
      <c r="B241" s="3" t="inlineStr">
        <is>
          <t>domingo</t>
        </is>
      </c>
      <c r="C241" s="3" t="inlineStr">
        <is>
          <t>Técnico 10</t>
        </is>
      </c>
      <c r="D241" s="3">
        <f>_xlfn.XLOOKUP(tblAsignaciones[[#This Row],[tecnico]],tblTecnicos[nombre],tblTecnicos[area],"")</f>
        <v/>
      </c>
      <c r="E241" s="3">
        <f>_xlfn.XLOOKUP(tblAsignaciones[[#This Row],[tecnico]],tblTecnicos[nombre],tblTecnicos[especialidad],"")</f>
        <v/>
      </c>
      <c r="F241" s="6" t="inlineStr"/>
      <c r="G241" s="3">
        <f>_xlfn.XLOOKUP(tblAsignaciones[[#This Row],[tecnico]],tblTecnicos[nombre],tblTecnicos[coordinador],"")</f>
        <v/>
      </c>
      <c r="H241" s="3">
        <f>IF(OR(tblAsignaciones[[#This Row],[turno]]="",ISNUMBER(MATCH(tblAsignaciones[[#This Row],[turno]],lista_no_disponible,0))),0,p_horas_jornada)</f>
        <v/>
      </c>
      <c r="I241" s="3">
        <f>tblAsignaciones[[#This Row],[semana]]&amp;"|"&amp;tblAsignaciones[[#This Row],[dia]]&amp;"|"&amp;tblAsignaciones[[#This Row],[tecnico]]</f>
        <v/>
      </c>
    </row>
    <row r="242">
      <c r="A242" s="3" t="inlineStr">
        <is>
          <t>2026-S31</t>
        </is>
      </c>
      <c r="B242" s="3" t="inlineStr">
        <is>
          <t>lunes</t>
        </is>
      </c>
      <c r="C242" s="3" t="inlineStr">
        <is>
          <t>Técnico 11</t>
        </is>
      </c>
      <c r="D242" s="3">
        <f>_xlfn.XLOOKUP(tblAsignaciones[[#This Row],[tecnico]],tblTecnicos[nombre],tblTecnicos[area],"")</f>
        <v/>
      </c>
      <c r="E242" s="3">
        <f>_xlfn.XLOOKUP(tblAsignaciones[[#This Row],[tecnico]],tblTecnicos[nombre],tblTecnicos[especialidad],"")</f>
        <v/>
      </c>
      <c r="F242" s="6" t="inlineStr">
        <is>
          <t>T1</t>
        </is>
      </c>
      <c r="G242" s="3">
        <f>_xlfn.XLOOKUP(tblAsignaciones[[#This Row],[tecnico]],tblTecnicos[nombre],tblTecnicos[coordinador],"")</f>
        <v/>
      </c>
      <c r="H242" s="3">
        <f>IF(OR(tblAsignaciones[[#This Row],[turno]]="",ISNUMBER(MATCH(tblAsignaciones[[#This Row],[turno]],lista_no_disponible,0))),0,p_horas_jornada)</f>
        <v/>
      </c>
      <c r="I242" s="3">
        <f>tblAsignaciones[[#This Row],[semana]]&amp;"|"&amp;tblAsignaciones[[#This Row],[dia]]&amp;"|"&amp;tblAsignaciones[[#This Row],[tecnico]]</f>
        <v/>
      </c>
    </row>
    <row r="243">
      <c r="A243" s="3" t="inlineStr">
        <is>
          <t>2026-S31</t>
        </is>
      </c>
      <c r="B243" s="3" t="inlineStr">
        <is>
          <t>martes</t>
        </is>
      </c>
      <c r="C243" s="3" t="inlineStr">
        <is>
          <t>Técnico 11</t>
        </is>
      </c>
      <c r="D243" s="3">
        <f>_xlfn.XLOOKUP(tblAsignaciones[[#This Row],[tecnico]],tblTecnicos[nombre],tblTecnicos[area],"")</f>
        <v/>
      </c>
      <c r="E243" s="3">
        <f>_xlfn.XLOOKUP(tblAsignaciones[[#This Row],[tecnico]],tblTecnicos[nombre],tblTecnicos[especialidad],"")</f>
        <v/>
      </c>
      <c r="F243" s="6" t="inlineStr">
        <is>
          <t>T1</t>
        </is>
      </c>
      <c r="G243" s="3">
        <f>_xlfn.XLOOKUP(tblAsignaciones[[#This Row],[tecnico]],tblTecnicos[nombre],tblTecnicos[coordinador],"")</f>
        <v/>
      </c>
      <c r="H243" s="3">
        <f>IF(OR(tblAsignaciones[[#This Row],[turno]]="",ISNUMBER(MATCH(tblAsignaciones[[#This Row],[turno]],lista_no_disponible,0))),0,p_horas_jornada)</f>
        <v/>
      </c>
      <c r="I243" s="3">
        <f>tblAsignaciones[[#This Row],[semana]]&amp;"|"&amp;tblAsignaciones[[#This Row],[dia]]&amp;"|"&amp;tblAsignaciones[[#This Row],[tecnico]]</f>
        <v/>
      </c>
    </row>
    <row r="244">
      <c r="A244" s="3" t="inlineStr">
        <is>
          <t>2026-S31</t>
        </is>
      </c>
      <c r="B244" s="3" t="inlineStr">
        <is>
          <t>miércoles</t>
        </is>
      </c>
      <c r="C244" s="3" t="inlineStr">
        <is>
          <t>Técnico 11</t>
        </is>
      </c>
      <c r="D244" s="3">
        <f>_xlfn.XLOOKUP(tblAsignaciones[[#This Row],[tecnico]],tblTecnicos[nombre],tblTecnicos[area],"")</f>
        <v/>
      </c>
      <c r="E244" s="3">
        <f>_xlfn.XLOOKUP(tblAsignaciones[[#This Row],[tecnico]],tblTecnicos[nombre],tblTecnicos[especialidad],"")</f>
        <v/>
      </c>
      <c r="F244" s="6" t="inlineStr">
        <is>
          <t>T1</t>
        </is>
      </c>
      <c r="G244" s="3">
        <f>_xlfn.XLOOKUP(tblAsignaciones[[#This Row],[tecnico]],tblTecnicos[nombre],tblTecnicos[coordinador],"")</f>
        <v/>
      </c>
      <c r="H244" s="3">
        <f>IF(OR(tblAsignaciones[[#This Row],[turno]]="",ISNUMBER(MATCH(tblAsignaciones[[#This Row],[turno]],lista_no_disponible,0))),0,p_horas_jornada)</f>
        <v/>
      </c>
      <c r="I244" s="3">
        <f>tblAsignaciones[[#This Row],[semana]]&amp;"|"&amp;tblAsignaciones[[#This Row],[dia]]&amp;"|"&amp;tblAsignaciones[[#This Row],[tecnico]]</f>
        <v/>
      </c>
    </row>
    <row r="245">
      <c r="A245" s="3" t="inlineStr">
        <is>
          <t>2026-S31</t>
        </is>
      </c>
      <c r="B245" s="3" t="inlineStr">
        <is>
          <t>jueves</t>
        </is>
      </c>
      <c r="C245" s="3" t="inlineStr">
        <is>
          <t>Técnico 11</t>
        </is>
      </c>
      <c r="D245" s="3">
        <f>_xlfn.XLOOKUP(tblAsignaciones[[#This Row],[tecnico]],tblTecnicos[nombre],tblTecnicos[area],"")</f>
        <v/>
      </c>
      <c r="E245" s="3">
        <f>_xlfn.XLOOKUP(tblAsignaciones[[#This Row],[tecnico]],tblTecnicos[nombre],tblTecnicos[especialidad],"")</f>
        <v/>
      </c>
      <c r="F245" s="6" t="inlineStr">
        <is>
          <t>T1</t>
        </is>
      </c>
      <c r="G245" s="3">
        <f>_xlfn.XLOOKUP(tblAsignaciones[[#This Row],[tecnico]],tblTecnicos[nombre],tblTecnicos[coordinador],"")</f>
        <v/>
      </c>
      <c r="H245" s="3">
        <f>IF(OR(tblAsignaciones[[#This Row],[turno]]="",ISNUMBER(MATCH(tblAsignaciones[[#This Row],[turno]],lista_no_disponible,0))),0,p_horas_jornada)</f>
        <v/>
      </c>
      <c r="I245" s="3">
        <f>tblAsignaciones[[#This Row],[semana]]&amp;"|"&amp;tblAsignaciones[[#This Row],[dia]]&amp;"|"&amp;tblAsignaciones[[#This Row],[tecnico]]</f>
        <v/>
      </c>
    </row>
    <row r="246">
      <c r="A246" s="3" t="inlineStr">
        <is>
          <t>2026-S31</t>
        </is>
      </c>
      <c r="B246" s="3" t="inlineStr">
        <is>
          <t>viernes</t>
        </is>
      </c>
      <c r="C246" s="3" t="inlineStr">
        <is>
          <t>Técnico 11</t>
        </is>
      </c>
      <c r="D246" s="3">
        <f>_xlfn.XLOOKUP(tblAsignaciones[[#This Row],[tecnico]],tblTecnicos[nombre],tblTecnicos[area],"")</f>
        <v/>
      </c>
      <c r="E246" s="3">
        <f>_xlfn.XLOOKUP(tblAsignaciones[[#This Row],[tecnico]],tblTecnicos[nombre],tblTecnicos[especialidad],"")</f>
        <v/>
      </c>
      <c r="F246" s="6" t="inlineStr">
        <is>
          <t>T1</t>
        </is>
      </c>
      <c r="G246" s="3">
        <f>_xlfn.XLOOKUP(tblAsignaciones[[#This Row],[tecnico]],tblTecnicos[nombre],tblTecnicos[coordinador],"")</f>
        <v/>
      </c>
      <c r="H246" s="3">
        <f>IF(OR(tblAsignaciones[[#This Row],[turno]]="",ISNUMBER(MATCH(tblAsignaciones[[#This Row],[turno]],lista_no_disponible,0))),0,p_horas_jornada)</f>
        <v/>
      </c>
      <c r="I246" s="3">
        <f>tblAsignaciones[[#This Row],[semana]]&amp;"|"&amp;tblAsignaciones[[#This Row],[dia]]&amp;"|"&amp;tblAsignaciones[[#This Row],[tecnico]]</f>
        <v/>
      </c>
    </row>
    <row r="247">
      <c r="A247" s="3" t="inlineStr">
        <is>
          <t>2026-S31</t>
        </is>
      </c>
      <c r="B247" s="3" t="inlineStr">
        <is>
          <t>sábado</t>
        </is>
      </c>
      <c r="C247" s="3" t="inlineStr">
        <is>
          <t>Técnico 11</t>
        </is>
      </c>
      <c r="D247" s="3">
        <f>_xlfn.XLOOKUP(tblAsignaciones[[#This Row],[tecnico]],tblTecnicos[nombre],tblTecnicos[area],"")</f>
        <v/>
      </c>
      <c r="E247" s="3">
        <f>_xlfn.XLOOKUP(tblAsignaciones[[#This Row],[tecnico]],tblTecnicos[nombre],tblTecnicos[especialidad],"")</f>
        <v/>
      </c>
      <c r="F247" s="6" t="inlineStr"/>
      <c r="G247" s="3">
        <f>_xlfn.XLOOKUP(tblAsignaciones[[#This Row],[tecnico]],tblTecnicos[nombre],tblTecnicos[coordinador],"")</f>
        <v/>
      </c>
      <c r="H247" s="3">
        <f>IF(OR(tblAsignaciones[[#This Row],[turno]]="",ISNUMBER(MATCH(tblAsignaciones[[#This Row],[turno]],lista_no_disponible,0))),0,p_horas_jornada)</f>
        <v/>
      </c>
      <c r="I247" s="3">
        <f>tblAsignaciones[[#This Row],[semana]]&amp;"|"&amp;tblAsignaciones[[#This Row],[dia]]&amp;"|"&amp;tblAsignaciones[[#This Row],[tecnico]]</f>
        <v/>
      </c>
    </row>
    <row r="248">
      <c r="A248" s="3" t="inlineStr">
        <is>
          <t>2026-S31</t>
        </is>
      </c>
      <c r="B248" s="3" t="inlineStr">
        <is>
          <t>domingo</t>
        </is>
      </c>
      <c r="C248" s="3" t="inlineStr">
        <is>
          <t>Técnico 11</t>
        </is>
      </c>
      <c r="D248" s="3">
        <f>_xlfn.XLOOKUP(tblAsignaciones[[#This Row],[tecnico]],tblTecnicos[nombre],tblTecnicos[area],"")</f>
        <v/>
      </c>
      <c r="E248" s="3">
        <f>_xlfn.XLOOKUP(tblAsignaciones[[#This Row],[tecnico]],tblTecnicos[nombre],tblTecnicos[especialidad],"")</f>
        <v/>
      </c>
      <c r="F248" s="6" t="inlineStr"/>
      <c r="G248" s="3">
        <f>_xlfn.XLOOKUP(tblAsignaciones[[#This Row],[tecnico]],tblTecnicos[nombre],tblTecnicos[coordinador],"")</f>
        <v/>
      </c>
      <c r="H248" s="3">
        <f>IF(OR(tblAsignaciones[[#This Row],[turno]]="",ISNUMBER(MATCH(tblAsignaciones[[#This Row],[turno]],lista_no_disponible,0))),0,p_horas_jornada)</f>
        <v/>
      </c>
      <c r="I248" s="3">
        <f>tblAsignaciones[[#This Row],[semana]]&amp;"|"&amp;tblAsignaciones[[#This Row],[dia]]&amp;"|"&amp;tblAsignaciones[[#This Row],[tecnico]]</f>
        <v/>
      </c>
    </row>
    <row r="249">
      <c r="A249" s="3" t="inlineStr">
        <is>
          <t>2026-S31</t>
        </is>
      </c>
      <c r="B249" s="3" t="inlineStr">
        <is>
          <t>lunes</t>
        </is>
      </c>
      <c r="C249" s="3" t="inlineStr">
        <is>
          <t>Técnico 12</t>
        </is>
      </c>
      <c r="D249" s="3">
        <f>_xlfn.XLOOKUP(tblAsignaciones[[#This Row],[tecnico]],tblTecnicos[nombre],tblTecnicos[area],"")</f>
        <v/>
      </c>
      <c r="E249" s="3">
        <f>_xlfn.XLOOKUP(tblAsignaciones[[#This Row],[tecnico]],tblTecnicos[nombre],tblTecnicos[especialidad],"")</f>
        <v/>
      </c>
      <c r="F249" s="6" t="inlineStr">
        <is>
          <t>T1</t>
        </is>
      </c>
      <c r="G249" s="3">
        <f>_xlfn.XLOOKUP(tblAsignaciones[[#This Row],[tecnico]],tblTecnicos[nombre],tblTecnicos[coordinador],"")</f>
        <v/>
      </c>
      <c r="H249" s="3">
        <f>IF(OR(tblAsignaciones[[#This Row],[turno]]="",ISNUMBER(MATCH(tblAsignaciones[[#This Row],[turno]],lista_no_disponible,0))),0,p_horas_jornada)</f>
        <v/>
      </c>
      <c r="I249" s="3">
        <f>tblAsignaciones[[#This Row],[semana]]&amp;"|"&amp;tblAsignaciones[[#This Row],[dia]]&amp;"|"&amp;tblAsignaciones[[#This Row],[tecnico]]</f>
        <v/>
      </c>
    </row>
    <row r="250">
      <c r="A250" s="3" t="inlineStr">
        <is>
          <t>2026-S31</t>
        </is>
      </c>
      <c r="B250" s="3" t="inlineStr">
        <is>
          <t>martes</t>
        </is>
      </c>
      <c r="C250" s="3" t="inlineStr">
        <is>
          <t>Técnico 12</t>
        </is>
      </c>
      <c r="D250" s="3">
        <f>_xlfn.XLOOKUP(tblAsignaciones[[#This Row],[tecnico]],tblTecnicos[nombre],tblTecnicos[area],"")</f>
        <v/>
      </c>
      <c r="E250" s="3">
        <f>_xlfn.XLOOKUP(tblAsignaciones[[#This Row],[tecnico]],tblTecnicos[nombre],tblTecnicos[especialidad],"")</f>
        <v/>
      </c>
      <c r="F250" s="6" t="inlineStr">
        <is>
          <t>T1</t>
        </is>
      </c>
      <c r="G250" s="3">
        <f>_xlfn.XLOOKUP(tblAsignaciones[[#This Row],[tecnico]],tblTecnicos[nombre],tblTecnicos[coordinador],"")</f>
        <v/>
      </c>
      <c r="H250" s="3">
        <f>IF(OR(tblAsignaciones[[#This Row],[turno]]="",ISNUMBER(MATCH(tblAsignaciones[[#This Row],[turno]],lista_no_disponible,0))),0,p_horas_jornada)</f>
        <v/>
      </c>
      <c r="I250" s="3">
        <f>tblAsignaciones[[#This Row],[semana]]&amp;"|"&amp;tblAsignaciones[[#This Row],[dia]]&amp;"|"&amp;tblAsignaciones[[#This Row],[tecnico]]</f>
        <v/>
      </c>
    </row>
    <row r="251">
      <c r="A251" s="3" t="inlineStr">
        <is>
          <t>2026-S31</t>
        </is>
      </c>
      <c r="B251" s="3" t="inlineStr">
        <is>
          <t>miércoles</t>
        </is>
      </c>
      <c r="C251" s="3" t="inlineStr">
        <is>
          <t>Técnico 12</t>
        </is>
      </c>
      <c r="D251" s="3">
        <f>_xlfn.XLOOKUP(tblAsignaciones[[#This Row],[tecnico]],tblTecnicos[nombre],tblTecnicos[area],"")</f>
        <v/>
      </c>
      <c r="E251" s="3">
        <f>_xlfn.XLOOKUP(tblAsignaciones[[#This Row],[tecnico]],tblTecnicos[nombre],tblTecnicos[especialidad],"")</f>
        <v/>
      </c>
      <c r="F251" s="6" t="inlineStr">
        <is>
          <t>T1</t>
        </is>
      </c>
      <c r="G251" s="3">
        <f>_xlfn.XLOOKUP(tblAsignaciones[[#This Row],[tecnico]],tblTecnicos[nombre],tblTecnicos[coordinador],"")</f>
        <v/>
      </c>
      <c r="H251" s="3">
        <f>IF(OR(tblAsignaciones[[#This Row],[turno]]="",ISNUMBER(MATCH(tblAsignaciones[[#This Row],[turno]],lista_no_disponible,0))),0,p_horas_jornada)</f>
        <v/>
      </c>
      <c r="I251" s="3">
        <f>tblAsignaciones[[#This Row],[semana]]&amp;"|"&amp;tblAsignaciones[[#This Row],[dia]]&amp;"|"&amp;tblAsignaciones[[#This Row],[tecnico]]</f>
        <v/>
      </c>
    </row>
    <row r="252">
      <c r="A252" s="3" t="inlineStr">
        <is>
          <t>2026-S31</t>
        </is>
      </c>
      <c r="B252" s="3" t="inlineStr">
        <is>
          <t>jueves</t>
        </is>
      </c>
      <c r="C252" s="3" t="inlineStr">
        <is>
          <t>Técnico 12</t>
        </is>
      </c>
      <c r="D252" s="3">
        <f>_xlfn.XLOOKUP(tblAsignaciones[[#This Row],[tecnico]],tblTecnicos[nombre],tblTecnicos[area],"")</f>
        <v/>
      </c>
      <c r="E252" s="3">
        <f>_xlfn.XLOOKUP(tblAsignaciones[[#This Row],[tecnico]],tblTecnicos[nombre],tblTecnicos[especialidad],"")</f>
        <v/>
      </c>
      <c r="F252" s="6" t="inlineStr">
        <is>
          <t>T1</t>
        </is>
      </c>
      <c r="G252" s="3">
        <f>_xlfn.XLOOKUP(tblAsignaciones[[#This Row],[tecnico]],tblTecnicos[nombre],tblTecnicos[coordinador],"")</f>
        <v/>
      </c>
      <c r="H252" s="3">
        <f>IF(OR(tblAsignaciones[[#This Row],[turno]]="",ISNUMBER(MATCH(tblAsignaciones[[#This Row],[turno]],lista_no_disponible,0))),0,p_horas_jornada)</f>
        <v/>
      </c>
      <c r="I252" s="3">
        <f>tblAsignaciones[[#This Row],[semana]]&amp;"|"&amp;tblAsignaciones[[#This Row],[dia]]&amp;"|"&amp;tblAsignaciones[[#This Row],[tecnico]]</f>
        <v/>
      </c>
    </row>
    <row r="253">
      <c r="A253" s="3" t="inlineStr">
        <is>
          <t>2026-S31</t>
        </is>
      </c>
      <c r="B253" s="3" t="inlineStr">
        <is>
          <t>viernes</t>
        </is>
      </c>
      <c r="C253" s="3" t="inlineStr">
        <is>
          <t>Técnico 12</t>
        </is>
      </c>
      <c r="D253" s="3">
        <f>_xlfn.XLOOKUP(tblAsignaciones[[#This Row],[tecnico]],tblTecnicos[nombre],tblTecnicos[area],"")</f>
        <v/>
      </c>
      <c r="E253" s="3">
        <f>_xlfn.XLOOKUP(tblAsignaciones[[#This Row],[tecnico]],tblTecnicos[nombre],tblTecnicos[especialidad],"")</f>
        <v/>
      </c>
      <c r="F253" s="6" t="inlineStr">
        <is>
          <t>T1</t>
        </is>
      </c>
      <c r="G253" s="3">
        <f>_xlfn.XLOOKUP(tblAsignaciones[[#This Row],[tecnico]],tblTecnicos[nombre],tblTecnicos[coordinador],"")</f>
        <v/>
      </c>
      <c r="H253" s="3">
        <f>IF(OR(tblAsignaciones[[#This Row],[turno]]="",ISNUMBER(MATCH(tblAsignaciones[[#This Row],[turno]],lista_no_disponible,0))),0,p_horas_jornada)</f>
        <v/>
      </c>
      <c r="I253" s="3">
        <f>tblAsignaciones[[#This Row],[semana]]&amp;"|"&amp;tblAsignaciones[[#This Row],[dia]]&amp;"|"&amp;tblAsignaciones[[#This Row],[tecnico]]</f>
        <v/>
      </c>
    </row>
    <row r="254">
      <c r="A254" s="3" t="inlineStr">
        <is>
          <t>2026-S31</t>
        </is>
      </c>
      <c r="B254" s="3" t="inlineStr">
        <is>
          <t>sábado</t>
        </is>
      </c>
      <c r="C254" s="3" t="inlineStr">
        <is>
          <t>Técnico 12</t>
        </is>
      </c>
      <c r="D254" s="3">
        <f>_xlfn.XLOOKUP(tblAsignaciones[[#This Row],[tecnico]],tblTecnicos[nombre],tblTecnicos[area],"")</f>
        <v/>
      </c>
      <c r="E254" s="3">
        <f>_xlfn.XLOOKUP(tblAsignaciones[[#This Row],[tecnico]],tblTecnicos[nombre],tblTecnicos[especialidad],"")</f>
        <v/>
      </c>
      <c r="F254" s="6" t="inlineStr"/>
      <c r="G254" s="3">
        <f>_xlfn.XLOOKUP(tblAsignaciones[[#This Row],[tecnico]],tblTecnicos[nombre],tblTecnicos[coordinador],"")</f>
        <v/>
      </c>
      <c r="H254" s="3">
        <f>IF(OR(tblAsignaciones[[#This Row],[turno]]="",ISNUMBER(MATCH(tblAsignaciones[[#This Row],[turno]],lista_no_disponible,0))),0,p_horas_jornada)</f>
        <v/>
      </c>
      <c r="I254" s="3">
        <f>tblAsignaciones[[#This Row],[semana]]&amp;"|"&amp;tblAsignaciones[[#This Row],[dia]]&amp;"|"&amp;tblAsignaciones[[#This Row],[tecnico]]</f>
        <v/>
      </c>
    </row>
    <row r="255">
      <c r="A255" s="3" t="inlineStr">
        <is>
          <t>2026-S31</t>
        </is>
      </c>
      <c r="B255" s="3" t="inlineStr">
        <is>
          <t>domingo</t>
        </is>
      </c>
      <c r="C255" s="3" t="inlineStr">
        <is>
          <t>Técnico 12</t>
        </is>
      </c>
      <c r="D255" s="3">
        <f>_xlfn.XLOOKUP(tblAsignaciones[[#This Row],[tecnico]],tblTecnicos[nombre],tblTecnicos[area],"")</f>
        <v/>
      </c>
      <c r="E255" s="3">
        <f>_xlfn.XLOOKUP(tblAsignaciones[[#This Row],[tecnico]],tblTecnicos[nombre],tblTecnicos[especialidad],"")</f>
        <v/>
      </c>
      <c r="F255" s="6" t="inlineStr"/>
      <c r="G255" s="3">
        <f>_xlfn.XLOOKUP(tblAsignaciones[[#This Row],[tecnico]],tblTecnicos[nombre],tblTecnicos[coordinador],"")</f>
        <v/>
      </c>
      <c r="H255" s="3">
        <f>IF(OR(tblAsignaciones[[#This Row],[turno]]="",ISNUMBER(MATCH(tblAsignaciones[[#This Row],[turno]],lista_no_disponible,0))),0,p_horas_jornada)</f>
        <v/>
      </c>
      <c r="I255" s="3">
        <f>tblAsignaciones[[#This Row],[semana]]&amp;"|"&amp;tblAsignaciones[[#This Row],[dia]]&amp;"|"&amp;tblAsignaciones[[#This Row],[tecnico]]</f>
        <v/>
      </c>
    </row>
    <row r="256">
      <c r="A256" s="3" t="inlineStr">
        <is>
          <t>2026-S32</t>
        </is>
      </c>
      <c r="B256" s="3" t="inlineStr">
        <is>
          <t>lunes</t>
        </is>
      </c>
      <c r="C256" s="3" t="inlineStr">
        <is>
          <t>Técnico 01</t>
        </is>
      </c>
      <c r="D256" s="3">
        <f>_xlfn.XLOOKUP(tblAsignaciones[[#This Row],[tecnico]],tblTecnicos[nombre],tblTecnicos[area],"")</f>
        <v/>
      </c>
      <c r="E256" s="3">
        <f>_xlfn.XLOOKUP(tblAsignaciones[[#This Row],[tecnico]],tblTecnicos[nombre],tblTecnicos[especialidad],"")</f>
        <v/>
      </c>
      <c r="F256" s="6" t="inlineStr">
        <is>
          <t>T1</t>
        </is>
      </c>
      <c r="G256" s="3">
        <f>_xlfn.XLOOKUP(tblAsignaciones[[#This Row],[tecnico]],tblTecnicos[nombre],tblTecnicos[coordinador],"")</f>
        <v/>
      </c>
      <c r="H256" s="3">
        <f>IF(OR(tblAsignaciones[[#This Row],[turno]]="",ISNUMBER(MATCH(tblAsignaciones[[#This Row],[turno]],lista_no_disponible,0))),0,p_horas_jornada)</f>
        <v/>
      </c>
      <c r="I256" s="3">
        <f>tblAsignaciones[[#This Row],[semana]]&amp;"|"&amp;tblAsignaciones[[#This Row],[dia]]&amp;"|"&amp;tblAsignaciones[[#This Row],[tecnico]]</f>
        <v/>
      </c>
    </row>
    <row r="257">
      <c r="A257" s="3" t="inlineStr">
        <is>
          <t>2026-S32</t>
        </is>
      </c>
      <c r="B257" s="3" t="inlineStr">
        <is>
          <t>martes</t>
        </is>
      </c>
      <c r="C257" s="3" t="inlineStr">
        <is>
          <t>Técnico 01</t>
        </is>
      </c>
      <c r="D257" s="3">
        <f>_xlfn.XLOOKUP(tblAsignaciones[[#This Row],[tecnico]],tblTecnicos[nombre],tblTecnicos[area],"")</f>
        <v/>
      </c>
      <c r="E257" s="3">
        <f>_xlfn.XLOOKUP(tblAsignaciones[[#This Row],[tecnico]],tblTecnicos[nombre],tblTecnicos[especialidad],"")</f>
        <v/>
      </c>
      <c r="F257" s="6" t="inlineStr">
        <is>
          <t>T1</t>
        </is>
      </c>
      <c r="G257" s="3">
        <f>_xlfn.XLOOKUP(tblAsignaciones[[#This Row],[tecnico]],tblTecnicos[nombre],tblTecnicos[coordinador],"")</f>
        <v/>
      </c>
      <c r="H257" s="3">
        <f>IF(OR(tblAsignaciones[[#This Row],[turno]]="",ISNUMBER(MATCH(tblAsignaciones[[#This Row],[turno]],lista_no_disponible,0))),0,p_horas_jornada)</f>
        <v/>
      </c>
      <c r="I257" s="3">
        <f>tblAsignaciones[[#This Row],[semana]]&amp;"|"&amp;tblAsignaciones[[#This Row],[dia]]&amp;"|"&amp;tblAsignaciones[[#This Row],[tecnico]]</f>
        <v/>
      </c>
    </row>
    <row r="258">
      <c r="A258" s="3" t="inlineStr">
        <is>
          <t>2026-S32</t>
        </is>
      </c>
      <c r="B258" s="3" t="inlineStr">
        <is>
          <t>miércoles</t>
        </is>
      </c>
      <c r="C258" s="3" t="inlineStr">
        <is>
          <t>Técnico 01</t>
        </is>
      </c>
      <c r="D258" s="3">
        <f>_xlfn.XLOOKUP(tblAsignaciones[[#This Row],[tecnico]],tblTecnicos[nombre],tblTecnicos[area],"")</f>
        <v/>
      </c>
      <c r="E258" s="3">
        <f>_xlfn.XLOOKUP(tblAsignaciones[[#This Row],[tecnico]],tblTecnicos[nombre],tblTecnicos[especialidad],"")</f>
        <v/>
      </c>
      <c r="F258" s="6" t="inlineStr">
        <is>
          <t>T1</t>
        </is>
      </c>
      <c r="G258" s="3">
        <f>_xlfn.XLOOKUP(tblAsignaciones[[#This Row],[tecnico]],tblTecnicos[nombre],tblTecnicos[coordinador],"")</f>
        <v/>
      </c>
      <c r="H258" s="3">
        <f>IF(OR(tblAsignaciones[[#This Row],[turno]]="",ISNUMBER(MATCH(tblAsignaciones[[#This Row],[turno]],lista_no_disponible,0))),0,p_horas_jornada)</f>
        <v/>
      </c>
      <c r="I258" s="3">
        <f>tblAsignaciones[[#This Row],[semana]]&amp;"|"&amp;tblAsignaciones[[#This Row],[dia]]&amp;"|"&amp;tblAsignaciones[[#This Row],[tecnico]]</f>
        <v/>
      </c>
    </row>
    <row r="259">
      <c r="A259" s="3" t="inlineStr">
        <is>
          <t>2026-S32</t>
        </is>
      </c>
      <c r="B259" s="3" t="inlineStr">
        <is>
          <t>jueves</t>
        </is>
      </c>
      <c r="C259" s="3" t="inlineStr">
        <is>
          <t>Técnico 01</t>
        </is>
      </c>
      <c r="D259" s="3">
        <f>_xlfn.XLOOKUP(tblAsignaciones[[#This Row],[tecnico]],tblTecnicos[nombre],tblTecnicos[area],"")</f>
        <v/>
      </c>
      <c r="E259" s="3">
        <f>_xlfn.XLOOKUP(tblAsignaciones[[#This Row],[tecnico]],tblTecnicos[nombre],tblTecnicos[especialidad],"")</f>
        <v/>
      </c>
      <c r="F259" s="6" t="inlineStr">
        <is>
          <t>T1</t>
        </is>
      </c>
      <c r="G259" s="3">
        <f>_xlfn.XLOOKUP(tblAsignaciones[[#This Row],[tecnico]],tblTecnicos[nombre],tblTecnicos[coordinador],"")</f>
        <v/>
      </c>
      <c r="H259" s="3">
        <f>IF(OR(tblAsignaciones[[#This Row],[turno]]="",ISNUMBER(MATCH(tblAsignaciones[[#This Row],[turno]],lista_no_disponible,0))),0,p_horas_jornada)</f>
        <v/>
      </c>
      <c r="I259" s="3">
        <f>tblAsignaciones[[#This Row],[semana]]&amp;"|"&amp;tblAsignaciones[[#This Row],[dia]]&amp;"|"&amp;tblAsignaciones[[#This Row],[tecnico]]</f>
        <v/>
      </c>
    </row>
    <row r="260">
      <c r="A260" s="3" t="inlineStr">
        <is>
          <t>2026-S32</t>
        </is>
      </c>
      <c r="B260" s="3" t="inlineStr">
        <is>
          <t>viernes</t>
        </is>
      </c>
      <c r="C260" s="3" t="inlineStr">
        <is>
          <t>Técnico 01</t>
        </is>
      </c>
      <c r="D260" s="3">
        <f>_xlfn.XLOOKUP(tblAsignaciones[[#This Row],[tecnico]],tblTecnicos[nombre],tblTecnicos[area],"")</f>
        <v/>
      </c>
      <c r="E260" s="3">
        <f>_xlfn.XLOOKUP(tblAsignaciones[[#This Row],[tecnico]],tblTecnicos[nombre],tblTecnicos[especialidad],"")</f>
        <v/>
      </c>
      <c r="F260" s="6" t="inlineStr">
        <is>
          <t>T1</t>
        </is>
      </c>
      <c r="G260" s="3">
        <f>_xlfn.XLOOKUP(tblAsignaciones[[#This Row],[tecnico]],tblTecnicos[nombre],tblTecnicos[coordinador],"")</f>
        <v/>
      </c>
      <c r="H260" s="3">
        <f>IF(OR(tblAsignaciones[[#This Row],[turno]]="",ISNUMBER(MATCH(tblAsignaciones[[#This Row],[turno]],lista_no_disponible,0))),0,p_horas_jornada)</f>
        <v/>
      </c>
      <c r="I260" s="3">
        <f>tblAsignaciones[[#This Row],[semana]]&amp;"|"&amp;tblAsignaciones[[#This Row],[dia]]&amp;"|"&amp;tblAsignaciones[[#This Row],[tecnico]]</f>
        <v/>
      </c>
    </row>
    <row r="261">
      <c r="A261" s="3" t="inlineStr">
        <is>
          <t>2026-S32</t>
        </is>
      </c>
      <c r="B261" s="3" t="inlineStr">
        <is>
          <t>sábado</t>
        </is>
      </c>
      <c r="C261" s="3" t="inlineStr">
        <is>
          <t>Técnico 01</t>
        </is>
      </c>
      <c r="D261" s="3">
        <f>_xlfn.XLOOKUP(tblAsignaciones[[#This Row],[tecnico]],tblTecnicos[nombre],tblTecnicos[area],"")</f>
        <v/>
      </c>
      <c r="E261" s="3">
        <f>_xlfn.XLOOKUP(tblAsignaciones[[#This Row],[tecnico]],tblTecnicos[nombre],tblTecnicos[especialidad],"")</f>
        <v/>
      </c>
      <c r="F261" s="6" t="inlineStr"/>
      <c r="G261" s="3">
        <f>_xlfn.XLOOKUP(tblAsignaciones[[#This Row],[tecnico]],tblTecnicos[nombre],tblTecnicos[coordinador],"")</f>
        <v/>
      </c>
      <c r="H261" s="3">
        <f>IF(OR(tblAsignaciones[[#This Row],[turno]]="",ISNUMBER(MATCH(tblAsignaciones[[#This Row],[turno]],lista_no_disponible,0))),0,p_horas_jornada)</f>
        <v/>
      </c>
      <c r="I261" s="3">
        <f>tblAsignaciones[[#This Row],[semana]]&amp;"|"&amp;tblAsignaciones[[#This Row],[dia]]&amp;"|"&amp;tblAsignaciones[[#This Row],[tecnico]]</f>
        <v/>
      </c>
    </row>
    <row r="262">
      <c r="A262" s="3" t="inlineStr">
        <is>
          <t>2026-S32</t>
        </is>
      </c>
      <c r="B262" s="3" t="inlineStr">
        <is>
          <t>domingo</t>
        </is>
      </c>
      <c r="C262" s="3" t="inlineStr">
        <is>
          <t>Técnico 01</t>
        </is>
      </c>
      <c r="D262" s="3">
        <f>_xlfn.XLOOKUP(tblAsignaciones[[#This Row],[tecnico]],tblTecnicos[nombre],tblTecnicos[area],"")</f>
        <v/>
      </c>
      <c r="E262" s="3">
        <f>_xlfn.XLOOKUP(tblAsignaciones[[#This Row],[tecnico]],tblTecnicos[nombre],tblTecnicos[especialidad],"")</f>
        <v/>
      </c>
      <c r="F262" s="6" t="inlineStr"/>
      <c r="G262" s="3">
        <f>_xlfn.XLOOKUP(tblAsignaciones[[#This Row],[tecnico]],tblTecnicos[nombre],tblTecnicos[coordinador],"")</f>
        <v/>
      </c>
      <c r="H262" s="3">
        <f>IF(OR(tblAsignaciones[[#This Row],[turno]]="",ISNUMBER(MATCH(tblAsignaciones[[#This Row],[turno]],lista_no_disponible,0))),0,p_horas_jornada)</f>
        <v/>
      </c>
      <c r="I262" s="3">
        <f>tblAsignaciones[[#This Row],[semana]]&amp;"|"&amp;tblAsignaciones[[#This Row],[dia]]&amp;"|"&amp;tblAsignaciones[[#This Row],[tecnico]]</f>
        <v/>
      </c>
    </row>
    <row r="263">
      <c r="A263" s="3" t="inlineStr">
        <is>
          <t>2026-S32</t>
        </is>
      </c>
      <c r="B263" s="3" t="inlineStr">
        <is>
          <t>lunes</t>
        </is>
      </c>
      <c r="C263" s="3" t="inlineStr">
        <is>
          <t>Técnico 02</t>
        </is>
      </c>
      <c r="D263" s="3">
        <f>_xlfn.XLOOKUP(tblAsignaciones[[#This Row],[tecnico]],tblTecnicos[nombre],tblTecnicos[area],"")</f>
        <v/>
      </c>
      <c r="E263" s="3">
        <f>_xlfn.XLOOKUP(tblAsignaciones[[#This Row],[tecnico]],tblTecnicos[nombre],tblTecnicos[especialidad],"")</f>
        <v/>
      </c>
      <c r="F263" s="6" t="inlineStr">
        <is>
          <t>T2</t>
        </is>
      </c>
      <c r="G263" s="3">
        <f>_xlfn.XLOOKUP(tblAsignaciones[[#This Row],[tecnico]],tblTecnicos[nombre],tblTecnicos[coordinador],"")</f>
        <v/>
      </c>
      <c r="H263" s="3">
        <f>IF(OR(tblAsignaciones[[#This Row],[turno]]="",ISNUMBER(MATCH(tblAsignaciones[[#This Row],[turno]],lista_no_disponible,0))),0,p_horas_jornada)</f>
        <v/>
      </c>
      <c r="I263" s="3">
        <f>tblAsignaciones[[#This Row],[semana]]&amp;"|"&amp;tblAsignaciones[[#This Row],[dia]]&amp;"|"&amp;tblAsignaciones[[#This Row],[tecnico]]</f>
        <v/>
      </c>
    </row>
    <row r="264">
      <c r="A264" s="3" t="inlineStr">
        <is>
          <t>2026-S32</t>
        </is>
      </c>
      <c r="B264" s="3" t="inlineStr">
        <is>
          <t>martes</t>
        </is>
      </c>
      <c r="C264" s="3" t="inlineStr">
        <is>
          <t>Técnico 02</t>
        </is>
      </c>
      <c r="D264" s="3">
        <f>_xlfn.XLOOKUP(tblAsignaciones[[#This Row],[tecnico]],tblTecnicos[nombre],tblTecnicos[area],"")</f>
        <v/>
      </c>
      <c r="E264" s="3">
        <f>_xlfn.XLOOKUP(tblAsignaciones[[#This Row],[tecnico]],tblTecnicos[nombre],tblTecnicos[especialidad],"")</f>
        <v/>
      </c>
      <c r="F264" s="6" t="inlineStr">
        <is>
          <t>T2</t>
        </is>
      </c>
      <c r="G264" s="3">
        <f>_xlfn.XLOOKUP(tblAsignaciones[[#This Row],[tecnico]],tblTecnicos[nombre],tblTecnicos[coordinador],"")</f>
        <v/>
      </c>
      <c r="H264" s="3">
        <f>IF(OR(tblAsignaciones[[#This Row],[turno]]="",ISNUMBER(MATCH(tblAsignaciones[[#This Row],[turno]],lista_no_disponible,0))),0,p_horas_jornada)</f>
        <v/>
      </c>
      <c r="I264" s="3">
        <f>tblAsignaciones[[#This Row],[semana]]&amp;"|"&amp;tblAsignaciones[[#This Row],[dia]]&amp;"|"&amp;tblAsignaciones[[#This Row],[tecnico]]</f>
        <v/>
      </c>
    </row>
    <row r="265">
      <c r="A265" s="3" t="inlineStr">
        <is>
          <t>2026-S32</t>
        </is>
      </c>
      <c r="B265" s="3" t="inlineStr">
        <is>
          <t>miércoles</t>
        </is>
      </c>
      <c r="C265" s="3" t="inlineStr">
        <is>
          <t>Técnico 02</t>
        </is>
      </c>
      <c r="D265" s="3">
        <f>_xlfn.XLOOKUP(tblAsignaciones[[#This Row],[tecnico]],tblTecnicos[nombre],tblTecnicos[area],"")</f>
        <v/>
      </c>
      <c r="E265" s="3">
        <f>_xlfn.XLOOKUP(tblAsignaciones[[#This Row],[tecnico]],tblTecnicos[nombre],tblTecnicos[especialidad],"")</f>
        <v/>
      </c>
      <c r="F265" s="6" t="inlineStr">
        <is>
          <t>T2</t>
        </is>
      </c>
      <c r="G265" s="3">
        <f>_xlfn.XLOOKUP(tblAsignaciones[[#This Row],[tecnico]],tblTecnicos[nombre],tblTecnicos[coordinador],"")</f>
        <v/>
      </c>
      <c r="H265" s="3">
        <f>IF(OR(tblAsignaciones[[#This Row],[turno]]="",ISNUMBER(MATCH(tblAsignaciones[[#This Row],[turno]],lista_no_disponible,0))),0,p_horas_jornada)</f>
        <v/>
      </c>
      <c r="I265" s="3">
        <f>tblAsignaciones[[#This Row],[semana]]&amp;"|"&amp;tblAsignaciones[[#This Row],[dia]]&amp;"|"&amp;tblAsignaciones[[#This Row],[tecnico]]</f>
        <v/>
      </c>
    </row>
    <row r="266">
      <c r="A266" s="3" t="inlineStr">
        <is>
          <t>2026-S32</t>
        </is>
      </c>
      <c r="B266" s="3" t="inlineStr">
        <is>
          <t>jueves</t>
        </is>
      </c>
      <c r="C266" s="3" t="inlineStr">
        <is>
          <t>Técnico 02</t>
        </is>
      </c>
      <c r="D266" s="3">
        <f>_xlfn.XLOOKUP(tblAsignaciones[[#This Row],[tecnico]],tblTecnicos[nombre],tblTecnicos[area],"")</f>
        <v/>
      </c>
      <c r="E266" s="3">
        <f>_xlfn.XLOOKUP(tblAsignaciones[[#This Row],[tecnico]],tblTecnicos[nombre],tblTecnicos[especialidad],"")</f>
        <v/>
      </c>
      <c r="F266" s="6" t="inlineStr">
        <is>
          <t>T2</t>
        </is>
      </c>
      <c r="G266" s="3">
        <f>_xlfn.XLOOKUP(tblAsignaciones[[#This Row],[tecnico]],tblTecnicos[nombre],tblTecnicos[coordinador],"")</f>
        <v/>
      </c>
      <c r="H266" s="3">
        <f>IF(OR(tblAsignaciones[[#This Row],[turno]]="",ISNUMBER(MATCH(tblAsignaciones[[#This Row],[turno]],lista_no_disponible,0))),0,p_horas_jornada)</f>
        <v/>
      </c>
      <c r="I266" s="3">
        <f>tblAsignaciones[[#This Row],[semana]]&amp;"|"&amp;tblAsignaciones[[#This Row],[dia]]&amp;"|"&amp;tblAsignaciones[[#This Row],[tecnico]]</f>
        <v/>
      </c>
    </row>
    <row r="267">
      <c r="A267" s="3" t="inlineStr">
        <is>
          <t>2026-S32</t>
        </is>
      </c>
      <c r="B267" s="3" t="inlineStr">
        <is>
          <t>viernes</t>
        </is>
      </c>
      <c r="C267" s="3" t="inlineStr">
        <is>
          <t>Técnico 02</t>
        </is>
      </c>
      <c r="D267" s="3">
        <f>_xlfn.XLOOKUP(tblAsignaciones[[#This Row],[tecnico]],tblTecnicos[nombre],tblTecnicos[area],"")</f>
        <v/>
      </c>
      <c r="E267" s="3">
        <f>_xlfn.XLOOKUP(tblAsignaciones[[#This Row],[tecnico]],tblTecnicos[nombre],tblTecnicos[especialidad],"")</f>
        <v/>
      </c>
      <c r="F267" s="6" t="inlineStr">
        <is>
          <t>T2</t>
        </is>
      </c>
      <c r="G267" s="3">
        <f>_xlfn.XLOOKUP(tblAsignaciones[[#This Row],[tecnico]],tblTecnicos[nombre],tblTecnicos[coordinador],"")</f>
        <v/>
      </c>
      <c r="H267" s="3">
        <f>IF(OR(tblAsignaciones[[#This Row],[turno]]="",ISNUMBER(MATCH(tblAsignaciones[[#This Row],[turno]],lista_no_disponible,0))),0,p_horas_jornada)</f>
        <v/>
      </c>
      <c r="I267" s="3">
        <f>tblAsignaciones[[#This Row],[semana]]&amp;"|"&amp;tblAsignaciones[[#This Row],[dia]]&amp;"|"&amp;tblAsignaciones[[#This Row],[tecnico]]</f>
        <v/>
      </c>
    </row>
    <row r="268">
      <c r="A268" s="3" t="inlineStr">
        <is>
          <t>2026-S32</t>
        </is>
      </c>
      <c r="B268" s="3" t="inlineStr">
        <is>
          <t>sábado</t>
        </is>
      </c>
      <c r="C268" s="3" t="inlineStr">
        <is>
          <t>Técnico 02</t>
        </is>
      </c>
      <c r="D268" s="3">
        <f>_xlfn.XLOOKUP(tblAsignaciones[[#This Row],[tecnico]],tblTecnicos[nombre],tblTecnicos[area],"")</f>
        <v/>
      </c>
      <c r="E268" s="3">
        <f>_xlfn.XLOOKUP(tblAsignaciones[[#This Row],[tecnico]],tblTecnicos[nombre],tblTecnicos[especialidad],"")</f>
        <v/>
      </c>
      <c r="F268" s="6" t="inlineStr"/>
      <c r="G268" s="3">
        <f>_xlfn.XLOOKUP(tblAsignaciones[[#This Row],[tecnico]],tblTecnicos[nombre],tblTecnicos[coordinador],"")</f>
        <v/>
      </c>
      <c r="H268" s="3">
        <f>IF(OR(tblAsignaciones[[#This Row],[turno]]="",ISNUMBER(MATCH(tblAsignaciones[[#This Row],[turno]],lista_no_disponible,0))),0,p_horas_jornada)</f>
        <v/>
      </c>
      <c r="I268" s="3">
        <f>tblAsignaciones[[#This Row],[semana]]&amp;"|"&amp;tblAsignaciones[[#This Row],[dia]]&amp;"|"&amp;tblAsignaciones[[#This Row],[tecnico]]</f>
        <v/>
      </c>
    </row>
    <row r="269">
      <c r="A269" s="3" t="inlineStr">
        <is>
          <t>2026-S32</t>
        </is>
      </c>
      <c r="B269" s="3" t="inlineStr">
        <is>
          <t>domingo</t>
        </is>
      </c>
      <c r="C269" s="3" t="inlineStr">
        <is>
          <t>Técnico 02</t>
        </is>
      </c>
      <c r="D269" s="3">
        <f>_xlfn.XLOOKUP(tblAsignaciones[[#This Row],[tecnico]],tblTecnicos[nombre],tblTecnicos[area],"")</f>
        <v/>
      </c>
      <c r="E269" s="3">
        <f>_xlfn.XLOOKUP(tblAsignaciones[[#This Row],[tecnico]],tblTecnicos[nombre],tblTecnicos[especialidad],"")</f>
        <v/>
      </c>
      <c r="F269" s="6" t="inlineStr"/>
      <c r="G269" s="3">
        <f>_xlfn.XLOOKUP(tblAsignaciones[[#This Row],[tecnico]],tblTecnicos[nombre],tblTecnicos[coordinador],"")</f>
        <v/>
      </c>
      <c r="H269" s="3">
        <f>IF(OR(tblAsignaciones[[#This Row],[turno]]="",ISNUMBER(MATCH(tblAsignaciones[[#This Row],[turno]],lista_no_disponible,0))),0,p_horas_jornada)</f>
        <v/>
      </c>
      <c r="I269" s="3">
        <f>tblAsignaciones[[#This Row],[semana]]&amp;"|"&amp;tblAsignaciones[[#This Row],[dia]]&amp;"|"&amp;tblAsignaciones[[#This Row],[tecnico]]</f>
        <v/>
      </c>
    </row>
    <row r="270">
      <c r="A270" s="3" t="inlineStr">
        <is>
          <t>2026-S32</t>
        </is>
      </c>
      <c r="B270" s="3" t="inlineStr">
        <is>
          <t>lunes</t>
        </is>
      </c>
      <c r="C270" s="3" t="inlineStr">
        <is>
          <t>Técnico 03</t>
        </is>
      </c>
      <c r="D270" s="3">
        <f>_xlfn.XLOOKUP(tblAsignaciones[[#This Row],[tecnico]],tblTecnicos[nombre],tblTecnicos[area],"")</f>
        <v/>
      </c>
      <c r="E270" s="3">
        <f>_xlfn.XLOOKUP(tblAsignaciones[[#This Row],[tecnico]],tblTecnicos[nombre],tblTecnicos[especialidad],"")</f>
        <v/>
      </c>
      <c r="F270" s="6" t="inlineStr">
        <is>
          <t>T1</t>
        </is>
      </c>
      <c r="G270" s="3">
        <f>_xlfn.XLOOKUP(tblAsignaciones[[#This Row],[tecnico]],tblTecnicos[nombre],tblTecnicos[coordinador],"")</f>
        <v/>
      </c>
      <c r="H270" s="3">
        <f>IF(OR(tblAsignaciones[[#This Row],[turno]]="",ISNUMBER(MATCH(tblAsignaciones[[#This Row],[turno]],lista_no_disponible,0))),0,p_horas_jornada)</f>
        <v/>
      </c>
      <c r="I270" s="3">
        <f>tblAsignaciones[[#This Row],[semana]]&amp;"|"&amp;tblAsignaciones[[#This Row],[dia]]&amp;"|"&amp;tblAsignaciones[[#This Row],[tecnico]]</f>
        <v/>
      </c>
    </row>
    <row r="271">
      <c r="A271" s="3" t="inlineStr">
        <is>
          <t>2026-S32</t>
        </is>
      </c>
      <c r="B271" s="3" t="inlineStr">
        <is>
          <t>martes</t>
        </is>
      </c>
      <c r="C271" s="3" t="inlineStr">
        <is>
          <t>Técnico 03</t>
        </is>
      </c>
      <c r="D271" s="3">
        <f>_xlfn.XLOOKUP(tblAsignaciones[[#This Row],[tecnico]],tblTecnicos[nombre],tblTecnicos[area],"")</f>
        <v/>
      </c>
      <c r="E271" s="3">
        <f>_xlfn.XLOOKUP(tblAsignaciones[[#This Row],[tecnico]],tblTecnicos[nombre],tblTecnicos[especialidad],"")</f>
        <v/>
      </c>
      <c r="F271" s="6" t="inlineStr">
        <is>
          <t>T1</t>
        </is>
      </c>
      <c r="G271" s="3">
        <f>_xlfn.XLOOKUP(tblAsignaciones[[#This Row],[tecnico]],tblTecnicos[nombre],tblTecnicos[coordinador],"")</f>
        <v/>
      </c>
      <c r="H271" s="3">
        <f>IF(OR(tblAsignaciones[[#This Row],[turno]]="",ISNUMBER(MATCH(tblAsignaciones[[#This Row],[turno]],lista_no_disponible,0))),0,p_horas_jornada)</f>
        <v/>
      </c>
      <c r="I271" s="3">
        <f>tblAsignaciones[[#This Row],[semana]]&amp;"|"&amp;tblAsignaciones[[#This Row],[dia]]&amp;"|"&amp;tblAsignaciones[[#This Row],[tecnico]]</f>
        <v/>
      </c>
    </row>
    <row r="272">
      <c r="A272" s="3" t="inlineStr">
        <is>
          <t>2026-S32</t>
        </is>
      </c>
      <c r="B272" s="3" t="inlineStr">
        <is>
          <t>miércoles</t>
        </is>
      </c>
      <c r="C272" s="3" t="inlineStr">
        <is>
          <t>Técnico 03</t>
        </is>
      </c>
      <c r="D272" s="3">
        <f>_xlfn.XLOOKUP(tblAsignaciones[[#This Row],[tecnico]],tblTecnicos[nombre],tblTecnicos[area],"")</f>
        <v/>
      </c>
      <c r="E272" s="3">
        <f>_xlfn.XLOOKUP(tblAsignaciones[[#This Row],[tecnico]],tblTecnicos[nombre],tblTecnicos[especialidad],"")</f>
        <v/>
      </c>
      <c r="F272" s="6" t="inlineStr">
        <is>
          <t>T1</t>
        </is>
      </c>
      <c r="G272" s="3">
        <f>_xlfn.XLOOKUP(tblAsignaciones[[#This Row],[tecnico]],tblTecnicos[nombre],tblTecnicos[coordinador],"")</f>
        <v/>
      </c>
      <c r="H272" s="3">
        <f>IF(OR(tblAsignaciones[[#This Row],[turno]]="",ISNUMBER(MATCH(tblAsignaciones[[#This Row],[turno]],lista_no_disponible,0))),0,p_horas_jornada)</f>
        <v/>
      </c>
      <c r="I272" s="3">
        <f>tblAsignaciones[[#This Row],[semana]]&amp;"|"&amp;tblAsignaciones[[#This Row],[dia]]&amp;"|"&amp;tblAsignaciones[[#This Row],[tecnico]]</f>
        <v/>
      </c>
    </row>
    <row r="273">
      <c r="A273" s="3" t="inlineStr">
        <is>
          <t>2026-S32</t>
        </is>
      </c>
      <c r="B273" s="3" t="inlineStr">
        <is>
          <t>jueves</t>
        </is>
      </c>
      <c r="C273" s="3" t="inlineStr">
        <is>
          <t>Técnico 03</t>
        </is>
      </c>
      <c r="D273" s="3">
        <f>_xlfn.XLOOKUP(tblAsignaciones[[#This Row],[tecnico]],tblTecnicos[nombre],tblTecnicos[area],"")</f>
        <v/>
      </c>
      <c r="E273" s="3">
        <f>_xlfn.XLOOKUP(tblAsignaciones[[#This Row],[tecnico]],tblTecnicos[nombre],tblTecnicos[especialidad],"")</f>
        <v/>
      </c>
      <c r="F273" s="6" t="inlineStr">
        <is>
          <t>T1</t>
        </is>
      </c>
      <c r="G273" s="3">
        <f>_xlfn.XLOOKUP(tblAsignaciones[[#This Row],[tecnico]],tblTecnicos[nombre],tblTecnicos[coordinador],"")</f>
        <v/>
      </c>
      <c r="H273" s="3">
        <f>IF(OR(tblAsignaciones[[#This Row],[turno]]="",ISNUMBER(MATCH(tblAsignaciones[[#This Row],[turno]],lista_no_disponible,0))),0,p_horas_jornada)</f>
        <v/>
      </c>
      <c r="I273" s="3">
        <f>tblAsignaciones[[#This Row],[semana]]&amp;"|"&amp;tblAsignaciones[[#This Row],[dia]]&amp;"|"&amp;tblAsignaciones[[#This Row],[tecnico]]</f>
        <v/>
      </c>
    </row>
    <row r="274">
      <c r="A274" s="3" t="inlineStr">
        <is>
          <t>2026-S32</t>
        </is>
      </c>
      <c r="B274" s="3" t="inlineStr">
        <is>
          <t>viernes</t>
        </is>
      </c>
      <c r="C274" s="3" t="inlineStr">
        <is>
          <t>Técnico 03</t>
        </is>
      </c>
      <c r="D274" s="3">
        <f>_xlfn.XLOOKUP(tblAsignaciones[[#This Row],[tecnico]],tblTecnicos[nombre],tblTecnicos[area],"")</f>
        <v/>
      </c>
      <c r="E274" s="3">
        <f>_xlfn.XLOOKUP(tblAsignaciones[[#This Row],[tecnico]],tblTecnicos[nombre],tblTecnicos[especialidad],"")</f>
        <v/>
      </c>
      <c r="F274" s="6" t="inlineStr">
        <is>
          <t>T1</t>
        </is>
      </c>
      <c r="G274" s="3">
        <f>_xlfn.XLOOKUP(tblAsignaciones[[#This Row],[tecnico]],tblTecnicos[nombre],tblTecnicos[coordinador],"")</f>
        <v/>
      </c>
      <c r="H274" s="3">
        <f>IF(OR(tblAsignaciones[[#This Row],[turno]]="",ISNUMBER(MATCH(tblAsignaciones[[#This Row],[turno]],lista_no_disponible,0))),0,p_horas_jornada)</f>
        <v/>
      </c>
      <c r="I274" s="3">
        <f>tblAsignaciones[[#This Row],[semana]]&amp;"|"&amp;tblAsignaciones[[#This Row],[dia]]&amp;"|"&amp;tblAsignaciones[[#This Row],[tecnico]]</f>
        <v/>
      </c>
    </row>
    <row r="275">
      <c r="A275" s="3" t="inlineStr">
        <is>
          <t>2026-S32</t>
        </is>
      </c>
      <c r="B275" s="3" t="inlineStr">
        <is>
          <t>sábado</t>
        </is>
      </c>
      <c r="C275" s="3" t="inlineStr">
        <is>
          <t>Técnico 03</t>
        </is>
      </c>
      <c r="D275" s="3">
        <f>_xlfn.XLOOKUP(tblAsignaciones[[#This Row],[tecnico]],tblTecnicos[nombre],tblTecnicos[area],"")</f>
        <v/>
      </c>
      <c r="E275" s="3">
        <f>_xlfn.XLOOKUP(tblAsignaciones[[#This Row],[tecnico]],tblTecnicos[nombre],tblTecnicos[especialidad],"")</f>
        <v/>
      </c>
      <c r="F275" s="6" t="inlineStr"/>
      <c r="G275" s="3">
        <f>_xlfn.XLOOKUP(tblAsignaciones[[#This Row],[tecnico]],tblTecnicos[nombre],tblTecnicos[coordinador],"")</f>
        <v/>
      </c>
      <c r="H275" s="3">
        <f>IF(OR(tblAsignaciones[[#This Row],[turno]]="",ISNUMBER(MATCH(tblAsignaciones[[#This Row],[turno]],lista_no_disponible,0))),0,p_horas_jornada)</f>
        <v/>
      </c>
      <c r="I275" s="3">
        <f>tblAsignaciones[[#This Row],[semana]]&amp;"|"&amp;tblAsignaciones[[#This Row],[dia]]&amp;"|"&amp;tblAsignaciones[[#This Row],[tecnico]]</f>
        <v/>
      </c>
    </row>
    <row r="276">
      <c r="A276" s="3" t="inlineStr">
        <is>
          <t>2026-S32</t>
        </is>
      </c>
      <c r="B276" s="3" t="inlineStr">
        <is>
          <t>domingo</t>
        </is>
      </c>
      <c r="C276" s="3" t="inlineStr">
        <is>
          <t>Técnico 03</t>
        </is>
      </c>
      <c r="D276" s="3">
        <f>_xlfn.XLOOKUP(tblAsignaciones[[#This Row],[tecnico]],tblTecnicos[nombre],tblTecnicos[area],"")</f>
        <v/>
      </c>
      <c r="E276" s="3">
        <f>_xlfn.XLOOKUP(tblAsignaciones[[#This Row],[tecnico]],tblTecnicos[nombre],tblTecnicos[especialidad],"")</f>
        <v/>
      </c>
      <c r="F276" s="6" t="inlineStr"/>
      <c r="G276" s="3">
        <f>_xlfn.XLOOKUP(tblAsignaciones[[#This Row],[tecnico]],tblTecnicos[nombre],tblTecnicos[coordinador],"")</f>
        <v/>
      </c>
      <c r="H276" s="3">
        <f>IF(OR(tblAsignaciones[[#This Row],[turno]]="",ISNUMBER(MATCH(tblAsignaciones[[#This Row],[turno]],lista_no_disponible,0))),0,p_horas_jornada)</f>
        <v/>
      </c>
      <c r="I276" s="3">
        <f>tblAsignaciones[[#This Row],[semana]]&amp;"|"&amp;tblAsignaciones[[#This Row],[dia]]&amp;"|"&amp;tblAsignaciones[[#This Row],[tecnico]]</f>
        <v/>
      </c>
    </row>
    <row r="277">
      <c r="A277" s="3" t="inlineStr">
        <is>
          <t>2026-S32</t>
        </is>
      </c>
      <c r="B277" s="3" t="inlineStr">
        <is>
          <t>lunes</t>
        </is>
      </c>
      <c r="C277" s="3" t="inlineStr">
        <is>
          <t>Técnico 04</t>
        </is>
      </c>
      <c r="D277" s="3">
        <f>_xlfn.XLOOKUP(tblAsignaciones[[#This Row],[tecnico]],tblTecnicos[nombre],tblTecnicos[area],"")</f>
        <v/>
      </c>
      <c r="E277" s="3">
        <f>_xlfn.XLOOKUP(tblAsignaciones[[#This Row],[tecnico]],tblTecnicos[nombre],tblTecnicos[especialidad],"")</f>
        <v/>
      </c>
      <c r="F277" s="6" t="inlineStr">
        <is>
          <t>T1</t>
        </is>
      </c>
      <c r="G277" s="3">
        <f>_xlfn.XLOOKUP(tblAsignaciones[[#This Row],[tecnico]],tblTecnicos[nombre],tblTecnicos[coordinador],"")</f>
        <v/>
      </c>
      <c r="H277" s="3">
        <f>IF(OR(tblAsignaciones[[#This Row],[turno]]="",ISNUMBER(MATCH(tblAsignaciones[[#This Row],[turno]],lista_no_disponible,0))),0,p_horas_jornada)</f>
        <v/>
      </c>
      <c r="I277" s="3">
        <f>tblAsignaciones[[#This Row],[semana]]&amp;"|"&amp;tblAsignaciones[[#This Row],[dia]]&amp;"|"&amp;tblAsignaciones[[#This Row],[tecnico]]</f>
        <v/>
      </c>
    </row>
    <row r="278">
      <c r="A278" s="3" t="inlineStr">
        <is>
          <t>2026-S32</t>
        </is>
      </c>
      <c r="B278" s="3" t="inlineStr">
        <is>
          <t>martes</t>
        </is>
      </c>
      <c r="C278" s="3" t="inlineStr">
        <is>
          <t>Técnico 04</t>
        </is>
      </c>
      <c r="D278" s="3">
        <f>_xlfn.XLOOKUP(tblAsignaciones[[#This Row],[tecnico]],tblTecnicos[nombre],tblTecnicos[area],"")</f>
        <v/>
      </c>
      <c r="E278" s="3">
        <f>_xlfn.XLOOKUP(tblAsignaciones[[#This Row],[tecnico]],tblTecnicos[nombre],tblTecnicos[especialidad],"")</f>
        <v/>
      </c>
      <c r="F278" s="6" t="inlineStr">
        <is>
          <t>T1</t>
        </is>
      </c>
      <c r="G278" s="3">
        <f>_xlfn.XLOOKUP(tblAsignaciones[[#This Row],[tecnico]],tblTecnicos[nombre],tblTecnicos[coordinador],"")</f>
        <v/>
      </c>
      <c r="H278" s="3">
        <f>IF(OR(tblAsignaciones[[#This Row],[turno]]="",ISNUMBER(MATCH(tblAsignaciones[[#This Row],[turno]],lista_no_disponible,0))),0,p_horas_jornada)</f>
        <v/>
      </c>
      <c r="I278" s="3">
        <f>tblAsignaciones[[#This Row],[semana]]&amp;"|"&amp;tblAsignaciones[[#This Row],[dia]]&amp;"|"&amp;tblAsignaciones[[#This Row],[tecnico]]</f>
        <v/>
      </c>
    </row>
    <row r="279">
      <c r="A279" s="3" t="inlineStr">
        <is>
          <t>2026-S32</t>
        </is>
      </c>
      <c r="B279" s="3" t="inlineStr">
        <is>
          <t>miércoles</t>
        </is>
      </c>
      <c r="C279" s="3" t="inlineStr">
        <is>
          <t>Técnico 04</t>
        </is>
      </c>
      <c r="D279" s="3">
        <f>_xlfn.XLOOKUP(tblAsignaciones[[#This Row],[tecnico]],tblTecnicos[nombre],tblTecnicos[area],"")</f>
        <v/>
      </c>
      <c r="E279" s="3">
        <f>_xlfn.XLOOKUP(tblAsignaciones[[#This Row],[tecnico]],tblTecnicos[nombre],tblTecnicos[especialidad],"")</f>
        <v/>
      </c>
      <c r="F279" s="6" t="inlineStr">
        <is>
          <t>T1</t>
        </is>
      </c>
      <c r="G279" s="3">
        <f>_xlfn.XLOOKUP(tblAsignaciones[[#This Row],[tecnico]],tblTecnicos[nombre],tblTecnicos[coordinador],"")</f>
        <v/>
      </c>
      <c r="H279" s="3">
        <f>IF(OR(tblAsignaciones[[#This Row],[turno]]="",ISNUMBER(MATCH(tblAsignaciones[[#This Row],[turno]],lista_no_disponible,0))),0,p_horas_jornada)</f>
        <v/>
      </c>
      <c r="I279" s="3">
        <f>tblAsignaciones[[#This Row],[semana]]&amp;"|"&amp;tblAsignaciones[[#This Row],[dia]]&amp;"|"&amp;tblAsignaciones[[#This Row],[tecnico]]</f>
        <v/>
      </c>
    </row>
    <row r="280">
      <c r="A280" s="3" t="inlineStr">
        <is>
          <t>2026-S32</t>
        </is>
      </c>
      <c r="B280" s="3" t="inlineStr">
        <is>
          <t>jueves</t>
        </is>
      </c>
      <c r="C280" s="3" t="inlineStr">
        <is>
          <t>Técnico 04</t>
        </is>
      </c>
      <c r="D280" s="3">
        <f>_xlfn.XLOOKUP(tblAsignaciones[[#This Row],[tecnico]],tblTecnicos[nombre],tblTecnicos[area],"")</f>
        <v/>
      </c>
      <c r="E280" s="3">
        <f>_xlfn.XLOOKUP(tblAsignaciones[[#This Row],[tecnico]],tblTecnicos[nombre],tblTecnicos[especialidad],"")</f>
        <v/>
      </c>
      <c r="F280" s="6" t="inlineStr">
        <is>
          <t>T1</t>
        </is>
      </c>
      <c r="G280" s="3">
        <f>_xlfn.XLOOKUP(tblAsignaciones[[#This Row],[tecnico]],tblTecnicos[nombre],tblTecnicos[coordinador],"")</f>
        <v/>
      </c>
      <c r="H280" s="3">
        <f>IF(OR(tblAsignaciones[[#This Row],[turno]]="",ISNUMBER(MATCH(tblAsignaciones[[#This Row],[turno]],lista_no_disponible,0))),0,p_horas_jornada)</f>
        <v/>
      </c>
      <c r="I280" s="3">
        <f>tblAsignaciones[[#This Row],[semana]]&amp;"|"&amp;tblAsignaciones[[#This Row],[dia]]&amp;"|"&amp;tblAsignaciones[[#This Row],[tecnico]]</f>
        <v/>
      </c>
    </row>
    <row r="281">
      <c r="A281" s="3" t="inlineStr">
        <is>
          <t>2026-S32</t>
        </is>
      </c>
      <c r="B281" s="3" t="inlineStr">
        <is>
          <t>viernes</t>
        </is>
      </c>
      <c r="C281" s="3" t="inlineStr">
        <is>
          <t>Técnico 04</t>
        </is>
      </c>
      <c r="D281" s="3">
        <f>_xlfn.XLOOKUP(tblAsignaciones[[#This Row],[tecnico]],tblTecnicos[nombre],tblTecnicos[area],"")</f>
        <v/>
      </c>
      <c r="E281" s="3">
        <f>_xlfn.XLOOKUP(tblAsignaciones[[#This Row],[tecnico]],tblTecnicos[nombre],tblTecnicos[especialidad],"")</f>
        <v/>
      </c>
      <c r="F281" s="6" t="inlineStr">
        <is>
          <t>T1</t>
        </is>
      </c>
      <c r="G281" s="3">
        <f>_xlfn.XLOOKUP(tblAsignaciones[[#This Row],[tecnico]],tblTecnicos[nombre],tblTecnicos[coordinador],"")</f>
        <v/>
      </c>
      <c r="H281" s="3">
        <f>IF(OR(tblAsignaciones[[#This Row],[turno]]="",ISNUMBER(MATCH(tblAsignaciones[[#This Row],[turno]],lista_no_disponible,0))),0,p_horas_jornada)</f>
        <v/>
      </c>
      <c r="I281" s="3">
        <f>tblAsignaciones[[#This Row],[semana]]&amp;"|"&amp;tblAsignaciones[[#This Row],[dia]]&amp;"|"&amp;tblAsignaciones[[#This Row],[tecnico]]</f>
        <v/>
      </c>
    </row>
    <row r="282">
      <c r="A282" s="3" t="inlineStr">
        <is>
          <t>2026-S32</t>
        </is>
      </c>
      <c r="B282" s="3" t="inlineStr">
        <is>
          <t>sábado</t>
        </is>
      </c>
      <c r="C282" s="3" t="inlineStr">
        <is>
          <t>Técnico 04</t>
        </is>
      </c>
      <c r="D282" s="3">
        <f>_xlfn.XLOOKUP(tblAsignaciones[[#This Row],[tecnico]],tblTecnicos[nombre],tblTecnicos[area],"")</f>
        <v/>
      </c>
      <c r="E282" s="3">
        <f>_xlfn.XLOOKUP(tblAsignaciones[[#This Row],[tecnico]],tblTecnicos[nombre],tblTecnicos[especialidad],"")</f>
        <v/>
      </c>
      <c r="F282" s="6" t="inlineStr"/>
      <c r="G282" s="3">
        <f>_xlfn.XLOOKUP(tblAsignaciones[[#This Row],[tecnico]],tblTecnicos[nombre],tblTecnicos[coordinador],"")</f>
        <v/>
      </c>
      <c r="H282" s="3">
        <f>IF(OR(tblAsignaciones[[#This Row],[turno]]="",ISNUMBER(MATCH(tblAsignaciones[[#This Row],[turno]],lista_no_disponible,0))),0,p_horas_jornada)</f>
        <v/>
      </c>
      <c r="I282" s="3">
        <f>tblAsignaciones[[#This Row],[semana]]&amp;"|"&amp;tblAsignaciones[[#This Row],[dia]]&amp;"|"&amp;tblAsignaciones[[#This Row],[tecnico]]</f>
        <v/>
      </c>
    </row>
    <row r="283">
      <c r="A283" s="3" t="inlineStr">
        <is>
          <t>2026-S32</t>
        </is>
      </c>
      <c r="B283" s="3" t="inlineStr">
        <is>
          <t>domingo</t>
        </is>
      </c>
      <c r="C283" s="3" t="inlineStr">
        <is>
          <t>Técnico 04</t>
        </is>
      </c>
      <c r="D283" s="3">
        <f>_xlfn.XLOOKUP(tblAsignaciones[[#This Row],[tecnico]],tblTecnicos[nombre],tblTecnicos[area],"")</f>
        <v/>
      </c>
      <c r="E283" s="3">
        <f>_xlfn.XLOOKUP(tblAsignaciones[[#This Row],[tecnico]],tblTecnicos[nombre],tblTecnicos[especialidad],"")</f>
        <v/>
      </c>
      <c r="F283" s="6" t="inlineStr"/>
      <c r="G283" s="3">
        <f>_xlfn.XLOOKUP(tblAsignaciones[[#This Row],[tecnico]],tblTecnicos[nombre],tblTecnicos[coordinador],"")</f>
        <v/>
      </c>
      <c r="H283" s="3">
        <f>IF(OR(tblAsignaciones[[#This Row],[turno]]="",ISNUMBER(MATCH(tblAsignaciones[[#This Row],[turno]],lista_no_disponible,0))),0,p_horas_jornada)</f>
        <v/>
      </c>
      <c r="I283" s="3">
        <f>tblAsignaciones[[#This Row],[semana]]&amp;"|"&amp;tblAsignaciones[[#This Row],[dia]]&amp;"|"&amp;tblAsignaciones[[#This Row],[tecnico]]</f>
        <v/>
      </c>
    </row>
    <row r="284">
      <c r="A284" s="3" t="inlineStr">
        <is>
          <t>2026-S32</t>
        </is>
      </c>
      <c r="B284" s="3" t="inlineStr">
        <is>
          <t>lunes</t>
        </is>
      </c>
      <c r="C284" s="3" t="inlineStr">
        <is>
          <t>Técnico 05</t>
        </is>
      </c>
      <c r="D284" s="3">
        <f>_xlfn.XLOOKUP(tblAsignaciones[[#This Row],[tecnico]],tblTecnicos[nombre],tblTecnicos[area],"")</f>
        <v/>
      </c>
      <c r="E284" s="3">
        <f>_xlfn.XLOOKUP(tblAsignaciones[[#This Row],[tecnico]],tblTecnicos[nombre],tblTecnicos[especialidad],"")</f>
        <v/>
      </c>
      <c r="F284" s="6" t="inlineStr">
        <is>
          <t>T1</t>
        </is>
      </c>
      <c r="G284" s="3">
        <f>_xlfn.XLOOKUP(tblAsignaciones[[#This Row],[tecnico]],tblTecnicos[nombre],tblTecnicos[coordinador],"")</f>
        <v/>
      </c>
      <c r="H284" s="3">
        <f>IF(OR(tblAsignaciones[[#This Row],[turno]]="",ISNUMBER(MATCH(tblAsignaciones[[#This Row],[turno]],lista_no_disponible,0))),0,p_horas_jornada)</f>
        <v/>
      </c>
      <c r="I284" s="3">
        <f>tblAsignaciones[[#This Row],[semana]]&amp;"|"&amp;tblAsignaciones[[#This Row],[dia]]&amp;"|"&amp;tblAsignaciones[[#This Row],[tecnico]]</f>
        <v/>
      </c>
    </row>
    <row r="285">
      <c r="A285" s="3" t="inlineStr">
        <is>
          <t>2026-S32</t>
        </is>
      </c>
      <c r="B285" s="3" t="inlineStr">
        <is>
          <t>martes</t>
        </is>
      </c>
      <c r="C285" s="3" t="inlineStr">
        <is>
          <t>Técnico 05</t>
        </is>
      </c>
      <c r="D285" s="3">
        <f>_xlfn.XLOOKUP(tblAsignaciones[[#This Row],[tecnico]],tblTecnicos[nombre],tblTecnicos[area],"")</f>
        <v/>
      </c>
      <c r="E285" s="3">
        <f>_xlfn.XLOOKUP(tblAsignaciones[[#This Row],[tecnico]],tblTecnicos[nombre],tblTecnicos[especialidad],"")</f>
        <v/>
      </c>
      <c r="F285" s="6" t="inlineStr">
        <is>
          <t>T1</t>
        </is>
      </c>
      <c r="G285" s="3">
        <f>_xlfn.XLOOKUP(tblAsignaciones[[#This Row],[tecnico]],tblTecnicos[nombre],tblTecnicos[coordinador],"")</f>
        <v/>
      </c>
      <c r="H285" s="3">
        <f>IF(OR(tblAsignaciones[[#This Row],[turno]]="",ISNUMBER(MATCH(tblAsignaciones[[#This Row],[turno]],lista_no_disponible,0))),0,p_horas_jornada)</f>
        <v/>
      </c>
      <c r="I285" s="3">
        <f>tblAsignaciones[[#This Row],[semana]]&amp;"|"&amp;tblAsignaciones[[#This Row],[dia]]&amp;"|"&amp;tblAsignaciones[[#This Row],[tecnico]]</f>
        <v/>
      </c>
    </row>
    <row r="286">
      <c r="A286" s="3" t="inlineStr">
        <is>
          <t>2026-S32</t>
        </is>
      </c>
      <c r="B286" s="3" t="inlineStr">
        <is>
          <t>miércoles</t>
        </is>
      </c>
      <c r="C286" s="3" t="inlineStr">
        <is>
          <t>Técnico 05</t>
        </is>
      </c>
      <c r="D286" s="3">
        <f>_xlfn.XLOOKUP(tblAsignaciones[[#This Row],[tecnico]],tblTecnicos[nombre],tblTecnicos[area],"")</f>
        <v/>
      </c>
      <c r="E286" s="3">
        <f>_xlfn.XLOOKUP(tblAsignaciones[[#This Row],[tecnico]],tblTecnicos[nombre],tblTecnicos[especialidad],"")</f>
        <v/>
      </c>
      <c r="F286" s="6" t="inlineStr">
        <is>
          <t>T1</t>
        </is>
      </c>
      <c r="G286" s="3">
        <f>_xlfn.XLOOKUP(tblAsignaciones[[#This Row],[tecnico]],tblTecnicos[nombre],tblTecnicos[coordinador],"")</f>
        <v/>
      </c>
      <c r="H286" s="3">
        <f>IF(OR(tblAsignaciones[[#This Row],[turno]]="",ISNUMBER(MATCH(tblAsignaciones[[#This Row],[turno]],lista_no_disponible,0))),0,p_horas_jornada)</f>
        <v/>
      </c>
      <c r="I286" s="3">
        <f>tblAsignaciones[[#This Row],[semana]]&amp;"|"&amp;tblAsignaciones[[#This Row],[dia]]&amp;"|"&amp;tblAsignaciones[[#This Row],[tecnico]]</f>
        <v/>
      </c>
    </row>
    <row r="287">
      <c r="A287" s="3" t="inlineStr">
        <is>
          <t>2026-S32</t>
        </is>
      </c>
      <c r="B287" s="3" t="inlineStr">
        <is>
          <t>jueves</t>
        </is>
      </c>
      <c r="C287" s="3" t="inlineStr">
        <is>
          <t>Técnico 05</t>
        </is>
      </c>
      <c r="D287" s="3">
        <f>_xlfn.XLOOKUP(tblAsignaciones[[#This Row],[tecnico]],tblTecnicos[nombre],tblTecnicos[area],"")</f>
        <v/>
      </c>
      <c r="E287" s="3">
        <f>_xlfn.XLOOKUP(tblAsignaciones[[#This Row],[tecnico]],tblTecnicos[nombre],tblTecnicos[especialidad],"")</f>
        <v/>
      </c>
      <c r="F287" s="6" t="inlineStr">
        <is>
          <t>T1</t>
        </is>
      </c>
      <c r="G287" s="3">
        <f>_xlfn.XLOOKUP(tblAsignaciones[[#This Row],[tecnico]],tblTecnicos[nombre],tblTecnicos[coordinador],"")</f>
        <v/>
      </c>
      <c r="H287" s="3">
        <f>IF(OR(tblAsignaciones[[#This Row],[turno]]="",ISNUMBER(MATCH(tblAsignaciones[[#This Row],[turno]],lista_no_disponible,0))),0,p_horas_jornada)</f>
        <v/>
      </c>
      <c r="I287" s="3">
        <f>tblAsignaciones[[#This Row],[semana]]&amp;"|"&amp;tblAsignaciones[[#This Row],[dia]]&amp;"|"&amp;tblAsignaciones[[#This Row],[tecnico]]</f>
        <v/>
      </c>
    </row>
    <row r="288">
      <c r="A288" s="3" t="inlineStr">
        <is>
          <t>2026-S32</t>
        </is>
      </c>
      <c r="B288" s="3" t="inlineStr">
        <is>
          <t>viernes</t>
        </is>
      </c>
      <c r="C288" s="3" t="inlineStr">
        <is>
          <t>Técnico 05</t>
        </is>
      </c>
      <c r="D288" s="3">
        <f>_xlfn.XLOOKUP(tblAsignaciones[[#This Row],[tecnico]],tblTecnicos[nombre],tblTecnicos[area],"")</f>
        <v/>
      </c>
      <c r="E288" s="3">
        <f>_xlfn.XLOOKUP(tblAsignaciones[[#This Row],[tecnico]],tblTecnicos[nombre],tblTecnicos[especialidad],"")</f>
        <v/>
      </c>
      <c r="F288" s="6" t="inlineStr">
        <is>
          <t>T1</t>
        </is>
      </c>
      <c r="G288" s="3">
        <f>_xlfn.XLOOKUP(tblAsignaciones[[#This Row],[tecnico]],tblTecnicos[nombre],tblTecnicos[coordinador],"")</f>
        <v/>
      </c>
      <c r="H288" s="3">
        <f>IF(OR(tblAsignaciones[[#This Row],[turno]]="",ISNUMBER(MATCH(tblAsignaciones[[#This Row],[turno]],lista_no_disponible,0))),0,p_horas_jornada)</f>
        <v/>
      </c>
      <c r="I288" s="3">
        <f>tblAsignaciones[[#This Row],[semana]]&amp;"|"&amp;tblAsignaciones[[#This Row],[dia]]&amp;"|"&amp;tblAsignaciones[[#This Row],[tecnico]]</f>
        <v/>
      </c>
    </row>
    <row r="289">
      <c r="A289" s="3" t="inlineStr">
        <is>
          <t>2026-S32</t>
        </is>
      </c>
      <c r="B289" s="3" t="inlineStr">
        <is>
          <t>sábado</t>
        </is>
      </c>
      <c r="C289" s="3" t="inlineStr">
        <is>
          <t>Técnico 05</t>
        </is>
      </c>
      <c r="D289" s="3">
        <f>_xlfn.XLOOKUP(tblAsignaciones[[#This Row],[tecnico]],tblTecnicos[nombre],tblTecnicos[area],"")</f>
        <v/>
      </c>
      <c r="E289" s="3">
        <f>_xlfn.XLOOKUP(tblAsignaciones[[#This Row],[tecnico]],tblTecnicos[nombre],tblTecnicos[especialidad],"")</f>
        <v/>
      </c>
      <c r="F289" s="6" t="inlineStr"/>
      <c r="G289" s="3">
        <f>_xlfn.XLOOKUP(tblAsignaciones[[#This Row],[tecnico]],tblTecnicos[nombre],tblTecnicos[coordinador],"")</f>
        <v/>
      </c>
      <c r="H289" s="3">
        <f>IF(OR(tblAsignaciones[[#This Row],[turno]]="",ISNUMBER(MATCH(tblAsignaciones[[#This Row],[turno]],lista_no_disponible,0))),0,p_horas_jornada)</f>
        <v/>
      </c>
      <c r="I289" s="3">
        <f>tblAsignaciones[[#This Row],[semana]]&amp;"|"&amp;tblAsignaciones[[#This Row],[dia]]&amp;"|"&amp;tblAsignaciones[[#This Row],[tecnico]]</f>
        <v/>
      </c>
    </row>
    <row r="290">
      <c r="A290" s="3" t="inlineStr">
        <is>
          <t>2026-S32</t>
        </is>
      </c>
      <c r="B290" s="3" t="inlineStr">
        <is>
          <t>domingo</t>
        </is>
      </c>
      <c r="C290" s="3" t="inlineStr">
        <is>
          <t>Técnico 05</t>
        </is>
      </c>
      <c r="D290" s="3">
        <f>_xlfn.XLOOKUP(tblAsignaciones[[#This Row],[tecnico]],tblTecnicos[nombre],tblTecnicos[area],"")</f>
        <v/>
      </c>
      <c r="E290" s="3">
        <f>_xlfn.XLOOKUP(tblAsignaciones[[#This Row],[tecnico]],tblTecnicos[nombre],tblTecnicos[especialidad],"")</f>
        <v/>
      </c>
      <c r="F290" s="6" t="inlineStr"/>
      <c r="G290" s="3">
        <f>_xlfn.XLOOKUP(tblAsignaciones[[#This Row],[tecnico]],tblTecnicos[nombre],tblTecnicos[coordinador],"")</f>
        <v/>
      </c>
      <c r="H290" s="3">
        <f>IF(OR(tblAsignaciones[[#This Row],[turno]]="",ISNUMBER(MATCH(tblAsignaciones[[#This Row],[turno]],lista_no_disponible,0))),0,p_horas_jornada)</f>
        <v/>
      </c>
      <c r="I290" s="3">
        <f>tblAsignaciones[[#This Row],[semana]]&amp;"|"&amp;tblAsignaciones[[#This Row],[dia]]&amp;"|"&amp;tblAsignaciones[[#This Row],[tecnico]]</f>
        <v/>
      </c>
    </row>
    <row r="291">
      <c r="A291" s="3" t="inlineStr">
        <is>
          <t>2026-S32</t>
        </is>
      </c>
      <c r="B291" s="3" t="inlineStr">
        <is>
          <t>lunes</t>
        </is>
      </c>
      <c r="C291" s="3" t="inlineStr">
        <is>
          <t>Técnico 06</t>
        </is>
      </c>
      <c r="D291" s="3">
        <f>_xlfn.XLOOKUP(tblAsignaciones[[#This Row],[tecnico]],tblTecnicos[nombre],tblTecnicos[area],"")</f>
        <v/>
      </c>
      <c r="E291" s="3">
        <f>_xlfn.XLOOKUP(tblAsignaciones[[#This Row],[tecnico]],tblTecnicos[nombre],tblTecnicos[especialidad],"")</f>
        <v/>
      </c>
      <c r="F291" s="6" t="inlineStr">
        <is>
          <t>T1</t>
        </is>
      </c>
      <c r="G291" s="3">
        <f>_xlfn.XLOOKUP(tblAsignaciones[[#This Row],[tecnico]],tblTecnicos[nombre],tblTecnicos[coordinador],"")</f>
        <v/>
      </c>
      <c r="H291" s="3">
        <f>IF(OR(tblAsignaciones[[#This Row],[turno]]="",ISNUMBER(MATCH(tblAsignaciones[[#This Row],[turno]],lista_no_disponible,0))),0,p_horas_jornada)</f>
        <v/>
      </c>
      <c r="I291" s="3">
        <f>tblAsignaciones[[#This Row],[semana]]&amp;"|"&amp;tblAsignaciones[[#This Row],[dia]]&amp;"|"&amp;tblAsignaciones[[#This Row],[tecnico]]</f>
        <v/>
      </c>
    </row>
    <row r="292">
      <c r="A292" s="3" t="inlineStr">
        <is>
          <t>2026-S32</t>
        </is>
      </c>
      <c r="B292" s="3" t="inlineStr">
        <is>
          <t>martes</t>
        </is>
      </c>
      <c r="C292" s="3" t="inlineStr">
        <is>
          <t>Técnico 06</t>
        </is>
      </c>
      <c r="D292" s="3">
        <f>_xlfn.XLOOKUP(tblAsignaciones[[#This Row],[tecnico]],tblTecnicos[nombre],tblTecnicos[area],"")</f>
        <v/>
      </c>
      <c r="E292" s="3">
        <f>_xlfn.XLOOKUP(tblAsignaciones[[#This Row],[tecnico]],tblTecnicos[nombre],tblTecnicos[especialidad],"")</f>
        <v/>
      </c>
      <c r="F292" s="6" t="inlineStr">
        <is>
          <t>T1</t>
        </is>
      </c>
      <c r="G292" s="3">
        <f>_xlfn.XLOOKUP(tblAsignaciones[[#This Row],[tecnico]],tblTecnicos[nombre],tblTecnicos[coordinador],"")</f>
        <v/>
      </c>
      <c r="H292" s="3">
        <f>IF(OR(tblAsignaciones[[#This Row],[turno]]="",ISNUMBER(MATCH(tblAsignaciones[[#This Row],[turno]],lista_no_disponible,0))),0,p_horas_jornada)</f>
        <v/>
      </c>
      <c r="I292" s="3">
        <f>tblAsignaciones[[#This Row],[semana]]&amp;"|"&amp;tblAsignaciones[[#This Row],[dia]]&amp;"|"&amp;tblAsignaciones[[#This Row],[tecnico]]</f>
        <v/>
      </c>
    </row>
    <row r="293">
      <c r="A293" s="3" t="inlineStr">
        <is>
          <t>2026-S32</t>
        </is>
      </c>
      <c r="B293" s="3" t="inlineStr">
        <is>
          <t>miércoles</t>
        </is>
      </c>
      <c r="C293" s="3" t="inlineStr">
        <is>
          <t>Técnico 06</t>
        </is>
      </c>
      <c r="D293" s="3">
        <f>_xlfn.XLOOKUP(tblAsignaciones[[#This Row],[tecnico]],tblTecnicos[nombre],tblTecnicos[area],"")</f>
        <v/>
      </c>
      <c r="E293" s="3">
        <f>_xlfn.XLOOKUP(tblAsignaciones[[#This Row],[tecnico]],tblTecnicos[nombre],tblTecnicos[especialidad],"")</f>
        <v/>
      </c>
      <c r="F293" s="6" t="inlineStr">
        <is>
          <t>T1</t>
        </is>
      </c>
      <c r="G293" s="3">
        <f>_xlfn.XLOOKUP(tblAsignaciones[[#This Row],[tecnico]],tblTecnicos[nombre],tblTecnicos[coordinador],"")</f>
        <v/>
      </c>
      <c r="H293" s="3">
        <f>IF(OR(tblAsignaciones[[#This Row],[turno]]="",ISNUMBER(MATCH(tblAsignaciones[[#This Row],[turno]],lista_no_disponible,0))),0,p_horas_jornada)</f>
        <v/>
      </c>
      <c r="I293" s="3">
        <f>tblAsignaciones[[#This Row],[semana]]&amp;"|"&amp;tblAsignaciones[[#This Row],[dia]]&amp;"|"&amp;tblAsignaciones[[#This Row],[tecnico]]</f>
        <v/>
      </c>
    </row>
    <row r="294">
      <c r="A294" s="3" t="inlineStr">
        <is>
          <t>2026-S32</t>
        </is>
      </c>
      <c r="B294" s="3" t="inlineStr">
        <is>
          <t>jueves</t>
        </is>
      </c>
      <c r="C294" s="3" t="inlineStr">
        <is>
          <t>Técnico 06</t>
        </is>
      </c>
      <c r="D294" s="3">
        <f>_xlfn.XLOOKUP(tblAsignaciones[[#This Row],[tecnico]],tblTecnicos[nombre],tblTecnicos[area],"")</f>
        <v/>
      </c>
      <c r="E294" s="3">
        <f>_xlfn.XLOOKUP(tblAsignaciones[[#This Row],[tecnico]],tblTecnicos[nombre],tblTecnicos[especialidad],"")</f>
        <v/>
      </c>
      <c r="F294" s="6" t="inlineStr">
        <is>
          <t>T1</t>
        </is>
      </c>
      <c r="G294" s="3">
        <f>_xlfn.XLOOKUP(tblAsignaciones[[#This Row],[tecnico]],tblTecnicos[nombre],tblTecnicos[coordinador],"")</f>
        <v/>
      </c>
      <c r="H294" s="3">
        <f>IF(OR(tblAsignaciones[[#This Row],[turno]]="",ISNUMBER(MATCH(tblAsignaciones[[#This Row],[turno]],lista_no_disponible,0))),0,p_horas_jornada)</f>
        <v/>
      </c>
      <c r="I294" s="3">
        <f>tblAsignaciones[[#This Row],[semana]]&amp;"|"&amp;tblAsignaciones[[#This Row],[dia]]&amp;"|"&amp;tblAsignaciones[[#This Row],[tecnico]]</f>
        <v/>
      </c>
    </row>
    <row r="295">
      <c r="A295" s="3" t="inlineStr">
        <is>
          <t>2026-S32</t>
        </is>
      </c>
      <c r="B295" s="3" t="inlineStr">
        <is>
          <t>viernes</t>
        </is>
      </c>
      <c r="C295" s="3" t="inlineStr">
        <is>
          <t>Técnico 06</t>
        </is>
      </c>
      <c r="D295" s="3">
        <f>_xlfn.XLOOKUP(tblAsignaciones[[#This Row],[tecnico]],tblTecnicos[nombre],tblTecnicos[area],"")</f>
        <v/>
      </c>
      <c r="E295" s="3">
        <f>_xlfn.XLOOKUP(tblAsignaciones[[#This Row],[tecnico]],tblTecnicos[nombre],tblTecnicos[especialidad],"")</f>
        <v/>
      </c>
      <c r="F295" s="6" t="inlineStr">
        <is>
          <t>T1</t>
        </is>
      </c>
      <c r="G295" s="3">
        <f>_xlfn.XLOOKUP(tblAsignaciones[[#This Row],[tecnico]],tblTecnicos[nombre],tblTecnicos[coordinador],"")</f>
        <v/>
      </c>
      <c r="H295" s="3">
        <f>IF(OR(tblAsignaciones[[#This Row],[turno]]="",ISNUMBER(MATCH(tblAsignaciones[[#This Row],[turno]],lista_no_disponible,0))),0,p_horas_jornada)</f>
        <v/>
      </c>
      <c r="I295" s="3">
        <f>tblAsignaciones[[#This Row],[semana]]&amp;"|"&amp;tblAsignaciones[[#This Row],[dia]]&amp;"|"&amp;tblAsignaciones[[#This Row],[tecnico]]</f>
        <v/>
      </c>
    </row>
    <row r="296">
      <c r="A296" s="3" t="inlineStr">
        <is>
          <t>2026-S32</t>
        </is>
      </c>
      <c r="B296" s="3" t="inlineStr">
        <is>
          <t>sábado</t>
        </is>
      </c>
      <c r="C296" s="3" t="inlineStr">
        <is>
          <t>Técnico 06</t>
        </is>
      </c>
      <c r="D296" s="3">
        <f>_xlfn.XLOOKUP(tblAsignaciones[[#This Row],[tecnico]],tblTecnicos[nombre],tblTecnicos[area],"")</f>
        <v/>
      </c>
      <c r="E296" s="3">
        <f>_xlfn.XLOOKUP(tblAsignaciones[[#This Row],[tecnico]],tblTecnicos[nombre],tblTecnicos[especialidad],"")</f>
        <v/>
      </c>
      <c r="F296" s="6" t="inlineStr"/>
      <c r="G296" s="3">
        <f>_xlfn.XLOOKUP(tblAsignaciones[[#This Row],[tecnico]],tblTecnicos[nombre],tblTecnicos[coordinador],"")</f>
        <v/>
      </c>
      <c r="H296" s="3">
        <f>IF(OR(tblAsignaciones[[#This Row],[turno]]="",ISNUMBER(MATCH(tblAsignaciones[[#This Row],[turno]],lista_no_disponible,0))),0,p_horas_jornada)</f>
        <v/>
      </c>
      <c r="I296" s="3">
        <f>tblAsignaciones[[#This Row],[semana]]&amp;"|"&amp;tblAsignaciones[[#This Row],[dia]]&amp;"|"&amp;tblAsignaciones[[#This Row],[tecnico]]</f>
        <v/>
      </c>
    </row>
    <row r="297">
      <c r="A297" s="3" t="inlineStr">
        <is>
          <t>2026-S32</t>
        </is>
      </c>
      <c r="B297" s="3" t="inlineStr">
        <is>
          <t>domingo</t>
        </is>
      </c>
      <c r="C297" s="3" t="inlineStr">
        <is>
          <t>Técnico 06</t>
        </is>
      </c>
      <c r="D297" s="3">
        <f>_xlfn.XLOOKUP(tblAsignaciones[[#This Row],[tecnico]],tblTecnicos[nombre],tblTecnicos[area],"")</f>
        <v/>
      </c>
      <c r="E297" s="3">
        <f>_xlfn.XLOOKUP(tblAsignaciones[[#This Row],[tecnico]],tblTecnicos[nombre],tblTecnicos[especialidad],"")</f>
        <v/>
      </c>
      <c r="F297" s="6" t="inlineStr"/>
      <c r="G297" s="3">
        <f>_xlfn.XLOOKUP(tblAsignaciones[[#This Row],[tecnico]],tblTecnicos[nombre],tblTecnicos[coordinador],"")</f>
        <v/>
      </c>
      <c r="H297" s="3">
        <f>IF(OR(tblAsignaciones[[#This Row],[turno]]="",ISNUMBER(MATCH(tblAsignaciones[[#This Row],[turno]],lista_no_disponible,0))),0,p_horas_jornada)</f>
        <v/>
      </c>
      <c r="I297" s="3">
        <f>tblAsignaciones[[#This Row],[semana]]&amp;"|"&amp;tblAsignaciones[[#This Row],[dia]]&amp;"|"&amp;tblAsignaciones[[#This Row],[tecnico]]</f>
        <v/>
      </c>
    </row>
    <row r="298">
      <c r="A298" s="3" t="inlineStr">
        <is>
          <t>2026-S32</t>
        </is>
      </c>
      <c r="B298" s="3" t="inlineStr">
        <is>
          <t>lunes</t>
        </is>
      </c>
      <c r="C298" s="3" t="inlineStr">
        <is>
          <t>Técnico 07</t>
        </is>
      </c>
      <c r="D298" s="3">
        <f>_xlfn.XLOOKUP(tblAsignaciones[[#This Row],[tecnico]],tblTecnicos[nombre],tblTecnicos[area],"")</f>
        <v/>
      </c>
      <c r="E298" s="3">
        <f>_xlfn.XLOOKUP(tblAsignaciones[[#This Row],[tecnico]],tblTecnicos[nombre],tblTecnicos[especialidad],"")</f>
        <v/>
      </c>
      <c r="F298" s="6" t="inlineStr">
        <is>
          <t>T1</t>
        </is>
      </c>
      <c r="G298" s="3">
        <f>_xlfn.XLOOKUP(tblAsignaciones[[#This Row],[tecnico]],tblTecnicos[nombre],tblTecnicos[coordinador],"")</f>
        <v/>
      </c>
      <c r="H298" s="3">
        <f>IF(OR(tblAsignaciones[[#This Row],[turno]]="",ISNUMBER(MATCH(tblAsignaciones[[#This Row],[turno]],lista_no_disponible,0))),0,p_horas_jornada)</f>
        <v/>
      </c>
      <c r="I298" s="3">
        <f>tblAsignaciones[[#This Row],[semana]]&amp;"|"&amp;tblAsignaciones[[#This Row],[dia]]&amp;"|"&amp;tblAsignaciones[[#This Row],[tecnico]]</f>
        <v/>
      </c>
    </row>
    <row r="299">
      <c r="A299" s="3" t="inlineStr">
        <is>
          <t>2026-S32</t>
        </is>
      </c>
      <c r="B299" s="3" t="inlineStr">
        <is>
          <t>martes</t>
        </is>
      </c>
      <c r="C299" s="3" t="inlineStr">
        <is>
          <t>Técnico 07</t>
        </is>
      </c>
      <c r="D299" s="3">
        <f>_xlfn.XLOOKUP(tblAsignaciones[[#This Row],[tecnico]],tblTecnicos[nombre],tblTecnicos[area],"")</f>
        <v/>
      </c>
      <c r="E299" s="3">
        <f>_xlfn.XLOOKUP(tblAsignaciones[[#This Row],[tecnico]],tblTecnicos[nombre],tblTecnicos[especialidad],"")</f>
        <v/>
      </c>
      <c r="F299" s="6" t="inlineStr">
        <is>
          <t>T1</t>
        </is>
      </c>
      <c r="G299" s="3">
        <f>_xlfn.XLOOKUP(tblAsignaciones[[#This Row],[tecnico]],tblTecnicos[nombre],tblTecnicos[coordinador],"")</f>
        <v/>
      </c>
      <c r="H299" s="3">
        <f>IF(OR(tblAsignaciones[[#This Row],[turno]]="",ISNUMBER(MATCH(tblAsignaciones[[#This Row],[turno]],lista_no_disponible,0))),0,p_horas_jornada)</f>
        <v/>
      </c>
      <c r="I299" s="3">
        <f>tblAsignaciones[[#This Row],[semana]]&amp;"|"&amp;tblAsignaciones[[#This Row],[dia]]&amp;"|"&amp;tblAsignaciones[[#This Row],[tecnico]]</f>
        <v/>
      </c>
    </row>
    <row r="300">
      <c r="A300" s="3" t="inlineStr">
        <is>
          <t>2026-S32</t>
        </is>
      </c>
      <c r="B300" s="3" t="inlineStr">
        <is>
          <t>miércoles</t>
        </is>
      </c>
      <c r="C300" s="3" t="inlineStr">
        <is>
          <t>Técnico 07</t>
        </is>
      </c>
      <c r="D300" s="3">
        <f>_xlfn.XLOOKUP(tblAsignaciones[[#This Row],[tecnico]],tblTecnicos[nombre],tblTecnicos[area],"")</f>
        <v/>
      </c>
      <c r="E300" s="3">
        <f>_xlfn.XLOOKUP(tblAsignaciones[[#This Row],[tecnico]],tblTecnicos[nombre],tblTecnicos[especialidad],"")</f>
        <v/>
      </c>
      <c r="F300" s="6" t="inlineStr">
        <is>
          <t>T1</t>
        </is>
      </c>
      <c r="G300" s="3">
        <f>_xlfn.XLOOKUP(tblAsignaciones[[#This Row],[tecnico]],tblTecnicos[nombre],tblTecnicos[coordinador],"")</f>
        <v/>
      </c>
      <c r="H300" s="3">
        <f>IF(OR(tblAsignaciones[[#This Row],[turno]]="",ISNUMBER(MATCH(tblAsignaciones[[#This Row],[turno]],lista_no_disponible,0))),0,p_horas_jornada)</f>
        <v/>
      </c>
      <c r="I300" s="3">
        <f>tblAsignaciones[[#This Row],[semana]]&amp;"|"&amp;tblAsignaciones[[#This Row],[dia]]&amp;"|"&amp;tblAsignaciones[[#This Row],[tecnico]]</f>
        <v/>
      </c>
    </row>
    <row r="301">
      <c r="A301" s="3" t="inlineStr">
        <is>
          <t>2026-S32</t>
        </is>
      </c>
      <c r="B301" s="3" t="inlineStr">
        <is>
          <t>jueves</t>
        </is>
      </c>
      <c r="C301" s="3" t="inlineStr">
        <is>
          <t>Técnico 07</t>
        </is>
      </c>
      <c r="D301" s="3">
        <f>_xlfn.XLOOKUP(tblAsignaciones[[#This Row],[tecnico]],tblTecnicos[nombre],tblTecnicos[area],"")</f>
        <v/>
      </c>
      <c r="E301" s="3">
        <f>_xlfn.XLOOKUP(tblAsignaciones[[#This Row],[tecnico]],tblTecnicos[nombre],tblTecnicos[especialidad],"")</f>
        <v/>
      </c>
      <c r="F301" s="6" t="inlineStr">
        <is>
          <t>T1</t>
        </is>
      </c>
      <c r="G301" s="3">
        <f>_xlfn.XLOOKUP(tblAsignaciones[[#This Row],[tecnico]],tblTecnicos[nombre],tblTecnicos[coordinador],"")</f>
        <v/>
      </c>
      <c r="H301" s="3">
        <f>IF(OR(tblAsignaciones[[#This Row],[turno]]="",ISNUMBER(MATCH(tblAsignaciones[[#This Row],[turno]],lista_no_disponible,0))),0,p_horas_jornada)</f>
        <v/>
      </c>
      <c r="I301" s="3">
        <f>tblAsignaciones[[#This Row],[semana]]&amp;"|"&amp;tblAsignaciones[[#This Row],[dia]]&amp;"|"&amp;tblAsignaciones[[#This Row],[tecnico]]</f>
        <v/>
      </c>
    </row>
    <row r="302">
      <c r="A302" s="3" t="inlineStr">
        <is>
          <t>2026-S32</t>
        </is>
      </c>
      <c r="B302" s="3" t="inlineStr">
        <is>
          <t>viernes</t>
        </is>
      </c>
      <c r="C302" s="3" t="inlineStr">
        <is>
          <t>Técnico 07</t>
        </is>
      </c>
      <c r="D302" s="3">
        <f>_xlfn.XLOOKUP(tblAsignaciones[[#This Row],[tecnico]],tblTecnicos[nombre],tblTecnicos[area],"")</f>
        <v/>
      </c>
      <c r="E302" s="3">
        <f>_xlfn.XLOOKUP(tblAsignaciones[[#This Row],[tecnico]],tblTecnicos[nombre],tblTecnicos[especialidad],"")</f>
        <v/>
      </c>
      <c r="F302" s="6" t="inlineStr">
        <is>
          <t>T1</t>
        </is>
      </c>
      <c r="G302" s="3">
        <f>_xlfn.XLOOKUP(tblAsignaciones[[#This Row],[tecnico]],tblTecnicos[nombre],tblTecnicos[coordinador],"")</f>
        <v/>
      </c>
      <c r="H302" s="3">
        <f>IF(OR(tblAsignaciones[[#This Row],[turno]]="",ISNUMBER(MATCH(tblAsignaciones[[#This Row],[turno]],lista_no_disponible,0))),0,p_horas_jornada)</f>
        <v/>
      </c>
      <c r="I302" s="3">
        <f>tblAsignaciones[[#This Row],[semana]]&amp;"|"&amp;tblAsignaciones[[#This Row],[dia]]&amp;"|"&amp;tblAsignaciones[[#This Row],[tecnico]]</f>
        <v/>
      </c>
    </row>
    <row r="303">
      <c r="A303" s="3" t="inlineStr">
        <is>
          <t>2026-S32</t>
        </is>
      </c>
      <c r="B303" s="3" t="inlineStr">
        <is>
          <t>sábado</t>
        </is>
      </c>
      <c r="C303" s="3" t="inlineStr">
        <is>
          <t>Técnico 07</t>
        </is>
      </c>
      <c r="D303" s="3">
        <f>_xlfn.XLOOKUP(tblAsignaciones[[#This Row],[tecnico]],tblTecnicos[nombre],tblTecnicos[area],"")</f>
        <v/>
      </c>
      <c r="E303" s="3">
        <f>_xlfn.XLOOKUP(tblAsignaciones[[#This Row],[tecnico]],tblTecnicos[nombre],tblTecnicos[especialidad],"")</f>
        <v/>
      </c>
      <c r="F303" s="6" t="inlineStr"/>
      <c r="G303" s="3">
        <f>_xlfn.XLOOKUP(tblAsignaciones[[#This Row],[tecnico]],tblTecnicos[nombre],tblTecnicos[coordinador],"")</f>
        <v/>
      </c>
      <c r="H303" s="3">
        <f>IF(OR(tblAsignaciones[[#This Row],[turno]]="",ISNUMBER(MATCH(tblAsignaciones[[#This Row],[turno]],lista_no_disponible,0))),0,p_horas_jornada)</f>
        <v/>
      </c>
      <c r="I303" s="3">
        <f>tblAsignaciones[[#This Row],[semana]]&amp;"|"&amp;tblAsignaciones[[#This Row],[dia]]&amp;"|"&amp;tblAsignaciones[[#This Row],[tecnico]]</f>
        <v/>
      </c>
    </row>
    <row r="304">
      <c r="A304" s="3" t="inlineStr">
        <is>
          <t>2026-S32</t>
        </is>
      </c>
      <c r="B304" s="3" t="inlineStr">
        <is>
          <t>domingo</t>
        </is>
      </c>
      <c r="C304" s="3" t="inlineStr">
        <is>
          <t>Técnico 07</t>
        </is>
      </c>
      <c r="D304" s="3">
        <f>_xlfn.XLOOKUP(tblAsignaciones[[#This Row],[tecnico]],tblTecnicos[nombre],tblTecnicos[area],"")</f>
        <v/>
      </c>
      <c r="E304" s="3">
        <f>_xlfn.XLOOKUP(tblAsignaciones[[#This Row],[tecnico]],tblTecnicos[nombre],tblTecnicos[especialidad],"")</f>
        <v/>
      </c>
      <c r="F304" s="6" t="inlineStr"/>
      <c r="G304" s="3">
        <f>_xlfn.XLOOKUP(tblAsignaciones[[#This Row],[tecnico]],tblTecnicos[nombre],tblTecnicos[coordinador],"")</f>
        <v/>
      </c>
      <c r="H304" s="3">
        <f>IF(OR(tblAsignaciones[[#This Row],[turno]]="",ISNUMBER(MATCH(tblAsignaciones[[#This Row],[turno]],lista_no_disponible,0))),0,p_horas_jornada)</f>
        <v/>
      </c>
      <c r="I304" s="3">
        <f>tblAsignaciones[[#This Row],[semana]]&amp;"|"&amp;tblAsignaciones[[#This Row],[dia]]&amp;"|"&amp;tblAsignaciones[[#This Row],[tecnico]]</f>
        <v/>
      </c>
    </row>
    <row r="305">
      <c r="A305" s="3" t="inlineStr">
        <is>
          <t>2026-S32</t>
        </is>
      </c>
      <c r="B305" s="3" t="inlineStr">
        <is>
          <t>lunes</t>
        </is>
      </c>
      <c r="C305" s="3" t="inlineStr">
        <is>
          <t>Técnico 08</t>
        </is>
      </c>
      <c r="D305" s="3">
        <f>_xlfn.XLOOKUP(tblAsignaciones[[#This Row],[tecnico]],tblTecnicos[nombre],tblTecnicos[area],"")</f>
        <v/>
      </c>
      <c r="E305" s="3">
        <f>_xlfn.XLOOKUP(tblAsignaciones[[#This Row],[tecnico]],tblTecnicos[nombre],tblTecnicos[especialidad],"")</f>
        <v/>
      </c>
      <c r="F305" s="6" t="inlineStr">
        <is>
          <t>T3</t>
        </is>
      </c>
      <c r="G305" s="3">
        <f>_xlfn.XLOOKUP(tblAsignaciones[[#This Row],[tecnico]],tblTecnicos[nombre],tblTecnicos[coordinador],"")</f>
        <v/>
      </c>
      <c r="H305" s="3">
        <f>IF(OR(tblAsignaciones[[#This Row],[turno]]="",ISNUMBER(MATCH(tblAsignaciones[[#This Row],[turno]],lista_no_disponible,0))),0,p_horas_jornada)</f>
        <v/>
      </c>
      <c r="I305" s="3">
        <f>tblAsignaciones[[#This Row],[semana]]&amp;"|"&amp;tblAsignaciones[[#This Row],[dia]]&amp;"|"&amp;tblAsignaciones[[#This Row],[tecnico]]</f>
        <v/>
      </c>
    </row>
    <row r="306">
      <c r="A306" s="3" t="inlineStr">
        <is>
          <t>2026-S32</t>
        </is>
      </c>
      <c r="B306" s="3" t="inlineStr">
        <is>
          <t>martes</t>
        </is>
      </c>
      <c r="C306" s="3" t="inlineStr">
        <is>
          <t>Técnico 08</t>
        </is>
      </c>
      <c r="D306" s="3">
        <f>_xlfn.XLOOKUP(tblAsignaciones[[#This Row],[tecnico]],tblTecnicos[nombre],tblTecnicos[area],"")</f>
        <v/>
      </c>
      <c r="E306" s="3">
        <f>_xlfn.XLOOKUP(tblAsignaciones[[#This Row],[tecnico]],tblTecnicos[nombre],tblTecnicos[especialidad],"")</f>
        <v/>
      </c>
      <c r="F306" s="6" t="inlineStr">
        <is>
          <t>T3</t>
        </is>
      </c>
      <c r="G306" s="3">
        <f>_xlfn.XLOOKUP(tblAsignaciones[[#This Row],[tecnico]],tblTecnicos[nombre],tblTecnicos[coordinador],"")</f>
        <v/>
      </c>
      <c r="H306" s="3">
        <f>IF(OR(tblAsignaciones[[#This Row],[turno]]="",ISNUMBER(MATCH(tblAsignaciones[[#This Row],[turno]],lista_no_disponible,0))),0,p_horas_jornada)</f>
        <v/>
      </c>
      <c r="I306" s="3">
        <f>tblAsignaciones[[#This Row],[semana]]&amp;"|"&amp;tblAsignaciones[[#This Row],[dia]]&amp;"|"&amp;tblAsignaciones[[#This Row],[tecnico]]</f>
        <v/>
      </c>
    </row>
    <row r="307">
      <c r="A307" s="3" t="inlineStr">
        <is>
          <t>2026-S32</t>
        </is>
      </c>
      <c r="B307" s="3" t="inlineStr">
        <is>
          <t>miércoles</t>
        </is>
      </c>
      <c r="C307" s="3" t="inlineStr">
        <is>
          <t>Técnico 08</t>
        </is>
      </c>
      <c r="D307" s="3">
        <f>_xlfn.XLOOKUP(tblAsignaciones[[#This Row],[tecnico]],tblTecnicos[nombre],tblTecnicos[area],"")</f>
        <v/>
      </c>
      <c r="E307" s="3">
        <f>_xlfn.XLOOKUP(tblAsignaciones[[#This Row],[tecnico]],tblTecnicos[nombre],tblTecnicos[especialidad],"")</f>
        <v/>
      </c>
      <c r="F307" s="6" t="inlineStr">
        <is>
          <t>T3</t>
        </is>
      </c>
      <c r="G307" s="3">
        <f>_xlfn.XLOOKUP(tblAsignaciones[[#This Row],[tecnico]],tblTecnicos[nombre],tblTecnicos[coordinador],"")</f>
        <v/>
      </c>
      <c r="H307" s="3">
        <f>IF(OR(tblAsignaciones[[#This Row],[turno]]="",ISNUMBER(MATCH(tblAsignaciones[[#This Row],[turno]],lista_no_disponible,0))),0,p_horas_jornada)</f>
        <v/>
      </c>
      <c r="I307" s="3">
        <f>tblAsignaciones[[#This Row],[semana]]&amp;"|"&amp;tblAsignaciones[[#This Row],[dia]]&amp;"|"&amp;tblAsignaciones[[#This Row],[tecnico]]</f>
        <v/>
      </c>
    </row>
    <row r="308">
      <c r="A308" s="3" t="inlineStr">
        <is>
          <t>2026-S32</t>
        </is>
      </c>
      <c r="B308" s="3" t="inlineStr">
        <is>
          <t>jueves</t>
        </is>
      </c>
      <c r="C308" s="3" t="inlineStr">
        <is>
          <t>Técnico 08</t>
        </is>
      </c>
      <c r="D308" s="3">
        <f>_xlfn.XLOOKUP(tblAsignaciones[[#This Row],[tecnico]],tblTecnicos[nombre],tblTecnicos[area],"")</f>
        <v/>
      </c>
      <c r="E308" s="3">
        <f>_xlfn.XLOOKUP(tblAsignaciones[[#This Row],[tecnico]],tblTecnicos[nombre],tblTecnicos[especialidad],"")</f>
        <v/>
      </c>
      <c r="F308" s="6" t="inlineStr">
        <is>
          <t>T3</t>
        </is>
      </c>
      <c r="G308" s="3">
        <f>_xlfn.XLOOKUP(tblAsignaciones[[#This Row],[tecnico]],tblTecnicos[nombre],tblTecnicos[coordinador],"")</f>
        <v/>
      </c>
      <c r="H308" s="3">
        <f>IF(OR(tblAsignaciones[[#This Row],[turno]]="",ISNUMBER(MATCH(tblAsignaciones[[#This Row],[turno]],lista_no_disponible,0))),0,p_horas_jornada)</f>
        <v/>
      </c>
      <c r="I308" s="3">
        <f>tblAsignaciones[[#This Row],[semana]]&amp;"|"&amp;tblAsignaciones[[#This Row],[dia]]&amp;"|"&amp;tblAsignaciones[[#This Row],[tecnico]]</f>
        <v/>
      </c>
    </row>
    <row r="309">
      <c r="A309" s="3" t="inlineStr">
        <is>
          <t>2026-S32</t>
        </is>
      </c>
      <c r="B309" s="3" t="inlineStr">
        <is>
          <t>viernes</t>
        </is>
      </c>
      <c r="C309" s="3" t="inlineStr">
        <is>
          <t>Técnico 08</t>
        </is>
      </c>
      <c r="D309" s="3">
        <f>_xlfn.XLOOKUP(tblAsignaciones[[#This Row],[tecnico]],tblTecnicos[nombre],tblTecnicos[area],"")</f>
        <v/>
      </c>
      <c r="E309" s="3">
        <f>_xlfn.XLOOKUP(tblAsignaciones[[#This Row],[tecnico]],tblTecnicos[nombre],tblTecnicos[especialidad],"")</f>
        <v/>
      </c>
      <c r="F309" s="6" t="inlineStr">
        <is>
          <t>T3</t>
        </is>
      </c>
      <c r="G309" s="3">
        <f>_xlfn.XLOOKUP(tblAsignaciones[[#This Row],[tecnico]],tblTecnicos[nombre],tblTecnicos[coordinador],"")</f>
        <v/>
      </c>
      <c r="H309" s="3">
        <f>IF(OR(tblAsignaciones[[#This Row],[turno]]="",ISNUMBER(MATCH(tblAsignaciones[[#This Row],[turno]],lista_no_disponible,0))),0,p_horas_jornada)</f>
        <v/>
      </c>
      <c r="I309" s="3">
        <f>tblAsignaciones[[#This Row],[semana]]&amp;"|"&amp;tblAsignaciones[[#This Row],[dia]]&amp;"|"&amp;tblAsignaciones[[#This Row],[tecnico]]</f>
        <v/>
      </c>
    </row>
    <row r="310">
      <c r="A310" s="3" t="inlineStr">
        <is>
          <t>2026-S32</t>
        </is>
      </c>
      <c r="B310" s="3" t="inlineStr">
        <is>
          <t>sábado</t>
        </is>
      </c>
      <c r="C310" s="3" t="inlineStr">
        <is>
          <t>Técnico 08</t>
        </is>
      </c>
      <c r="D310" s="3">
        <f>_xlfn.XLOOKUP(tblAsignaciones[[#This Row],[tecnico]],tblTecnicos[nombre],tblTecnicos[area],"")</f>
        <v/>
      </c>
      <c r="E310" s="3">
        <f>_xlfn.XLOOKUP(tblAsignaciones[[#This Row],[tecnico]],tblTecnicos[nombre],tblTecnicos[especialidad],"")</f>
        <v/>
      </c>
      <c r="F310" s="6" t="inlineStr"/>
      <c r="G310" s="3">
        <f>_xlfn.XLOOKUP(tblAsignaciones[[#This Row],[tecnico]],tblTecnicos[nombre],tblTecnicos[coordinador],"")</f>
        <v/>
      </c>
      <c r="H310" s="3">
        <f>IF(OR(tblAsignaciones[[#This Row],[turno]]="",ISNUMBER(MATCH(tblAsignaciones[[#This Row],[turno]],lista_no_disponible,0))),0,p_horas_jornada)</f>
        <v/>
      </c>
      <c r="I310" s="3">
        <f>tblAsignaciones[[#This Row],[semana]]&amp;"|"&amp;tblAsignaciones[[#This Row],[dia]]&amp;"|"&amp;tblAsignaciones[[#This Row],[tecnico]]</f>
        <v/>
      </c>
    </row>
    <row r="311">
      <c r="A311" s="3" t="inlineStr">
        <is>
          <t>2026-S32</t>
        </is>
      </c>
      <c r="B311" s="3" t="inlineStr">
        <is>
          <t>domingo</t>
        </is>
      </c>
      <c r="C311" s="3" t="inlineStr">
        <is>
          <t>Técnico 08</t>
        </is>
      </c>
      <c r="D311" s="3">
        <f>_xlfn.XLOOKUP(tblAsignaciones[[#This Row],[tecnico]],tblTecnicos[nombre],tblTecnicos[area],"")</f>
        <v/>
      </c>
      <c r="E311" s="3">
        <f>_xlfn.XLOOKUP(tblAsignaciones[[#This Row],[tecnico]],tblTecnicos[nombre],tblTecnicos[especialidad],"")</f>
        <v/>
      </c>
      <c r="F311" s="6" t="inlineStr"/>
      <c r="G311" s="3">
        <f>_xlfn.XLOOKUP(tblAsignaciones[[#This Row],[tecnico]],tblTecnicos[nombre],tblTecnicos[coordinador],"")</f>
        <v/>
      </c>
      <c r="H311" s="3">
        <f>IF(OR(tblAsignaciones[[#This Row],[turno]]="",ISNUMBER(MATCH(tblAsignaciones[[#This Row],[turno]],lista_no_disponible,0))),0,p_horas_jornada)</f>
        <v/>
      </c>
      <c r="I311" s="3">
        <f>tblAsignaciones[[#This Row],[semana]]&amp;"|"&amp;tblAsignaciones[[#This Row],[dia]]&amp;"|"&amp;tblAsignaciones[[#This Row],[tecnico]]</f>
        <v/>
      </c>
    </row>
    <row r="312">
      <c r="A312" s="3" t="inlineStr">
        <is>
          <t>2026-S32</t>
        </is>
      </c>
      <c r="B312" s="3" t="inlineStr">
        <is>
          <t>lunes</t>
        </is>
      </c>
      <c r="C312" s="3" t="inlineStr">
        <is>
          <t>Técnico 09</t>
        </is>
      </c>
      <c r="D312" s="3">
        <f>_xlfn.XLOOKUP(tblAsignaciones[[#This Row],[tecnico]],tblTecnicos[nombre],tblTecnicos[area],"")</f>
        <v/>
      </c>
      <c r="E312" s="3">
        <f>_xlfn.XLOOKUP(tblAsignaciones[[#This Row],[tecnico]],tblTecnicos[nombre],tblTecnicos[especialidad],"")</f>
        <v/>
      </c>
      <c r="F312" s="6" t="inlineStr">
        <is>
          <t>T1</t>
        </is>
      </c>
      <c r="G312" s="3">
        <f>_xlfn.XLOOKUP(tblAsignaciones[[#This Row],[tecnico]],tblTecnicos[nombre],tblTecnicos[coordinador],"")</f>
        <v/>
      </c>
      <c r="H312" s="3">
        <f>IF(OR(tblAsignaciones[[#This Row],[turno]]="",ISNUMBER(MATCH(tblAsignaciones[[#This Row],[turno]],lista_no_disponible,0))),0,p_horas_jornada)</f>
        <v/>
      </c>
      <c r="I312" s="3">
        <f>tblAsignaciones[[#This Row],[semana]]&amp;"|"&amp;tblAsignaciones[[#This Row],[dia]]&amp;"|"&amp;tblAsignaciones[[#This Row],[tecnico]]</f>
        <v/>
      </c>
    </row>
    <row r="313">
      <c r="A313" s="3" t="inlineStr">
        <is>
          <t>2026-S32</t>
        </is>
      </c>
      <c r="B313" s="3" t="inlineStr">
        <is>
          <t>martes</t>
        </is>
      </c>
      <c r="C313" s="3" t="inlineStr">
        <is>
          <t>Técnico 09</t>
        </is>
      </c>
      <c r="D313" s="3">
        <f>_xlfn.XLOOKUP(tblAsignaciones[[#This Row],[tecnico]],tblTecnicos[nombre],tblTecnicos[area],"")</f>
        <v/>
      </c>
      <c r="E313" s="3">
        <f>_xlfn.XLOOKUP(tblAsignaciones[[#This Row],[tecnico]],tblTecnicos[nombre],tblTecnicos[especialidad],"")</f>
        <v/>
      </c>
      <c r="F313" s="6" t="inlineStr">
        <is>
          <t>T1</t>
        </is>
      </c>
      <c r="G313" s="3">
        <f>_xlfn.XLOOKUP(tblAsignaciones[[#This Row],[tecnico]],tblTecnicos[nombre],tblTecnicos[coordinador],"")</f>
        <v/>
      </c>
      <c r="H313" s="3">
        <f>IF(OR(tblAsignaciones[[#This Row],[turno]]="",ISNUMBER(MATCH(tblAsignaciones[[#This Row],[turno]],lista_no_disponible,0))),0,p_horas_jornada)</f>
        <v/>
      </c>
      <c r="I313" s="3">
        <f>tblAsignaciones[[#This Row],[semana]]&amp;"|"&amp;tblAsignaciones[[#This Row],[dia]]&amp;"|"&amp;tblAsignaciones[[#This Row],[tecnico]]</f>
        <v/>
      </c>
    </row>
    <row r="314">
      <c r="A314" s="3" t="inlineStr">
        <is>
          <t>2026-S32</t>
        </is>
      </c>
      <c r="B314" s="3" t="inlineStr">
        <is>
          <t>miércoles</t>
        </is>
      </c>
      <c r="C314" s="3" t="inlineStr">
        <is>
          <t>Técnico 09</t>
        </is>
      </c>
      <c r="D314" s="3">
        <f>_xlfn.XLOOKUP(tblAsignaciones[[#This Row],[tecnico]],tblTecnicos[nombre],tblTecnicos[area],"")</f>
        <v/>
      </c>
      <c r="E314" s="3">
        <f>_xlfn.XLOOKUP(tblAsignaciones[[#This Row],[tecnico]],tblTecnicos[nombre],tblTecnicos[especialidad],"")</f>
        <v/>
      </c>
      <c r="F314" s="6" t="inlineStr">
        <is>
          <t>T1</t>
        </is>
      </c>
      <c r="G314" s="3">
        <f>_xlfn.XLOOKUP(tblAsignaciones[[#This Row],[tecnico]],tblTecnicos[nombre],tblTecnicos[coordinador],"")</f>
        <v/>
      </c>
      <c r="H314" s="3">
        <f>IF(OR(tblAsignaciones[[#This Row],[turno]]="",ISNUMBER(MATCH(tblAsignaciones[[#This Row],[turno]],lista_no_disponible,0))),0,p_horas_jornada)</f>
        <v/>
      </c>
      <c r="I314" s="3">
        <f>tblAsignaciones[[#This Row],[semana]]&amp;"|"&amp;tblAsignaciones[[#This Row],[dia]]&amp;"|"&amp;tblAsignaciones[[#This Row],[tecnico]]</f>
        <v/>
      </c>
    </row>
    <row r="315">
      <c r="A315" s="3" t="inlineStr">
        <is>
          <t>2026-S32</t>
        </is>
      </c>
      <c r="B315" s="3" t="inlineStr">
        <is>
          <t>jueves</t>
        </is>
      </c>
      <c r="C315" s="3" t="inlineStr">
        <is>
          <t>Técnico 09</t>
        </is>
      </c>
      <c r="D315" s="3">
        <f>_xlfn.XLOOKUP(tblAsignaciones[[#This Row],[tecnico]],tblTecnicos[nombre],tblTecnicos[area],"")</f>
        <v/>
      </c>
      <c r="E315" s="3">
        <f>_xlfn.XLOOKUP(tblAsignaciones[[#This Row],[tecnico]],tblTecnicos[nombre],tblTecnicos[especialidad],"")</f>
        <v/>
      </c>
      <c r="F315" s="6" t="inlineStr">
        <is>
          <t>T1</t>
        </is>
      </c>
      <c r="G315" s="3">
        <f>_xlfn.XLOOKUP(tblAsignaciones[[#This Row],[tecnico]],tblTecnicos[nombre],tblTecnicos[coordinador],"")</f>
        <v/>
      </c>
      <c r="H315" s="3">
        <f>IF(OR(tblAsignaciones[[#This Row],[turno]]="",ISNUMBER(MATCH(tblAsignaciones[[#This Row],[turno]],lista_no_disponible,0))),0,p_horas_jornada)</f>
        <v/>
      </c>
      <c r="I315" s="3">
        <f>tblAsignaciones[[#This Row],[semana]]&amp;"|"&amp;tblAsignaciones[[#This Row],[dia]]&amp;"|"&amp;tblAsignaciones[[#This Row],[tecnico]]</f>
        <v/>
      </c>
    </row>
    <row r="316">
      <c r="A316" s="3" t="inlineStr">
        <is>
          <t>2026-S32</t>
        </is>
      </c>
      <c r="B316" s="3" t="inlineStr">
        <is>
          <t>viernes</t>
        </is>
      </c>
      <c r="C316" s="3" t="inlineStr">
        <is>
          <t>Técnico 09</t>
        </is>
      </c>
      <c r="D316" s="3">
        <f>_xlfn.XLOOKUP(tblAsignaciones[[#This Row],[tecnico]],tblTecnicos[nombre],tblTecnicos[area],"")</f>
        <v/>
      </c>
      <c r="E316" s="3">
        <f>_xlfn.XLOOKUP(tblAsignaciones[[#This Row],[tecnico]],tblTecnicos[nombre],tblTecnicos[especialidad],"")</f>
        <v/>
      </c>
      <c r="F316" s="6" t="inlineStr">
        <is>
          <t>T1</t>
        </is>
      </c>
      <c r="G316" s="3">
        <f>_xlfn.XLOOKUP(tblAsignaciones[[#This Row],[tecnico]],tblTecnicos[nombre],tblTecnicos[coordinador],"")</f>
        <v/>
      </c>
      <c r="H316" s="3">
        <f>IF(OR(tblAsignaciones[[#This Row],[turno]]="",ISNUMBER(MATCH(tblAsignaciones[[#This Row],[turno]],lista_no_disponible,0))),0,p_horas_jornada)</f>
        <v/>
      </c>
      <c r="I316" s="3">
        <f>tblAsignaciones[[#This Row],[semana]]&amp;"|"&amp;tblAsignaciones[[#This Row],[dia]]&amp;"|"&amp;tblAsignaciones[[#This Row],[tecnico]]</f>
        <v/>
      </c>
    </row>
    <row r="317">
      <c r="A317" s="3" t="inlineStr">
        <is>
          <t>2026-S32</t>
        </is>
      </c>
      <c r="B317" s="3" t="inlineStr">
        <is>
          <t>sábado</t>
        </is>
      </c>
      <c r="C317" s="3" t="inlineStr">
        <is>
          <t>Técnico 09</t>
        </is>
      </c>
      <c r="D317" s="3">
        <f>_xlfn.XLOOKUP(tblAsignaciones[[#This Row],[tecnico]],tblTecnicos[nombre],tblTecnicos[area],"")</f>
        <v/>
      </c>
      <c r="E317" s="3">
        <f>_xlfn.XLOOKUP(tblAsignaciones[[#This Row],[tecnico]],tblTecnicos[nombre],tblTecnicos[especialidad],"")</f>
        <v/>
      </c>
      <c r="F317" s="6" t="inlineStr"/>
      <c r="G317" s="3">
        <f>_xlfn.XLOOKUP(tblAsignaciones[[#This Row],[tecnico]],tblTecnicos[nombre],tblTecnicos[coordinador],"")</f>
        <v/>
      </c>
      <c r="H317" s="3">
        <f>IF(OR(tblAsignaciones[[#This Row],[turno]]="",ISNUMBER(MATCH(tblAsignaciones[[#This Row],[turno]],lista_no_disponible,0))),0,p_horas_jornada)</f>
        <v/>
      </c>
      <c r="I317" s="3">
        <f>tblAsignaciones[[#This Row],[semana]]&amp;"|"&amp;tblAsignaciones[[#This Row],[dia]]&amp;"|"&amp;tblAsignaciones[[#This Row],[tecnico]]</f>
        <v/>
      </c>
    </row>
    <row r="318">
      <c r="A318" s="3" t="inlineStr">
        <is>
          <t>2026-S32</t>
        </is>
      </c>
      <c r="B318" s="3" t="inlineStr">
        <is>
          <t>domingo</t>
        </is>
      </c>
      <c r="C318" s="3" t="inlineStr">
        <is>
          <t>Técnico 09</t>
        </is>
      </c>
      <c r="D318" s="3">
        <f>_xlfn.XLOOKUP(tblAsignaciones[[#This Row],[tecnico]],tblTecnicos[nombre],tblTecnicos[area],"")</f>
        <v/>
      </c>
      <c r="E318" s="3">
        <f>_xlfn.XLOOKUP(tblAsignaciones[[#This Row],[tecnico]],tblTecnicos[nombre],tblTecnicos[especialidad],"")</f>
        <v/>
      </c>
      <c r="F318" s="6" t="inlineStr"/>
      <c r="G318" s="3">
        <f>_xlfn.XLOOKUP(tblAsignaciones[[#This Row],[tecnico]],tblTecnicos[nombre],tblTecnicos[coordinador],"")</f>
        <v/>
      </c>
      <c r="H318" s="3">
        <f>IF(OR(tblAsignaciones[[#This Row],[turno]]="",ISNUMBER(MATCH(tblAsignaciones[[#This Row],[turno]],lista_no_disponible,0))),0,p_horas_jornada)</f>
        <v/>
      </c>
      <c r="I318" s="3">
        <f>tblAsignaciones[[#This Row],[semana]]&amp;"|"&amp;tblAsignaciones[[#This Row],[dia]]&amp;"|"&amp;tblAsignaciones[[#This Row],[tecnico]]</f>
        <v/>
      </c>
    </row>
    <row r="319">
      <c r="A319" s="3" t="inlineStr">
        <is>
          <t>2026-S32</t>
        </is>
      </c>
      <c r="B319" s="3" t="inlineStr">
        <is>
          <t>lunes</t>
        </is>
      </c>
      <c r="C319" s="3" t="inlineStr">
        <is>
          <t>Técnico 10</t>
        </is>
      </c>
      <c r="D319" s="3">
        <f>_xlfn.XLOOKUP(tblAsignaciones[[#This Row],[tecnico]],tblTecnicos[nombre],tblTecnicos[area],"")</f>
        <v/>
      </c>
      <c r="E319" s="3">
        <f>_xlfn.XLOOKUP(tblAsignaciones[[#This Row],[tecnico]],tblTecnicos[nombre],tblTecnicos[especialidad],"")</f>
        <v/>
      </c>
      <c r="F319" s="6" t="inlineStr">
        <is>
          <t>B1</t>
        </is>
      </c>
      <c r="G319" s="3">
        <f>_xlfn.XLOOKUP(tblAsignaciones[[#This Row],[tecnico]],tblTecnicos[nombre],tblTecnicos[coordinador],"")</f>
        <v/>
      </c>
      <c r="H319" s="3">
        <f>IF(OR(tblAsignaciones[[#This Row],[turno]]="",ISNUMBER(MATCH(tblAsignaciones[[#This Row],[turno]],lista_no_disponible,0))),0,p_horas_jornada)</f>
        <v/>
      </c>
      <c r="I319" s="3">
        <f>tblAsignaciones[[#This Row],[semana]]&amp;"|"&amp;tblAsignaciones[[#This Row],[dia]]&amp;"|"&amp;tblAsignaciones[[#This Row],[tecnico]]</f>
        <v/>
      </c>
    </row>
    <row r="320">
      <c r="A320" s="3" t="inlineStr">
        <is>
          <t>2026-S32</t>
        </is>
      </c>
      <c r="B320" s="3" t="inlineStr">
        <is>
          <t>martes</t>
        </is>
      </c>
      <c r="C320" s="3" t="inlineStr">
        <is>
          <t>Técnico 10</t>
        </is>
      </c>
      <c r="D320" s="3">
        <f>_xlfn.XLOOKUP(tblAsignaciones[[#This Row],[tecnico]],tblTecnicos[nombre],tblTecnicos[area],"")</f>
        <v/>
      </c>
      <c r="E320" s="3">
        <f>_xlfn.XLOOKUP(tblAsignaciones[[#This Row],[tecnico]],tblTecnicos[nombre],tblTecnicos[especialidad],"")</f>
        <v/>
      </c>
      <c r="F320" s="6" t="inlineStr">
        <is>
          <t>B1</t>
        </is>
      </c>
      <c r="G320" s="3">
        <f>_xlfn.XLOOKUP(tblAsignaciones[[#This Row],[tecnico]],tblTecnicos[nombre],tblTecnicos[coordinador],"")</f>
        <v/>
      </c>
      <c r="H320" s="3">
        <f>IF(OR(tblAsignaciones[[#This Row],[turno]]="",ISNUMBER(MATCH(tblAsignaciones[[#This Row],[turno]],lista_no_disponible,0))),0,p_horas_jornada)</f>
        <v/>
      </c>
      <c r="I320" s="3">
        <f>tblAsignaciones[[#This Row],[semana]]&amp;"|"&amp;tblAsignaciones[[#This Row],[dia]]&amp;"|"&amp;tblAsignaciones[[#This Row],[tecnico]]</f>
        <v/>
      </c>
    </row>
    <row r="321">
      <c r="A321" s="3" t="inlineStr">
        <is>
          <t>2026-S32</t>
        </is>
      </c>
      <c r="B321" s="3" t="inlineStr">
        <is>
          <t>miércoles</t>
        </is>
      </c>
      <c r="C321" s="3" t="inlineStr">
        <is>
          <t>Técnico 10</t>
        </is>
      </c>
      <c r="D321" s="3">
        <f>_xlfn.XLOOKUP(tblAsignaciones[[#This Row],[tecnico]],tblTecnicos[nombre],tblTecnicos[area],"")</f>
        <v/>
      </c>
      <c r="E321" s="3">
        <f>_xlfn.XLOOKUP(tblAsignaciones[[#This Row],[tecnico]],tblTecnicos[nombre],tblTecnicos[especialidad],"")</f>
        <v/>
      </c>
      <c r="F321" s="6" t="inlineStr">
        <is>
          <t>B1</t>
        </is>
      </c>
      <c r="G321" s="3">
        <f>_xlfn.XLOOKUP(tblAsignaciones[[#This Row],[tecnico]],tblTecnicos[nombre],tblTecnicos[coordinador],"")</f>
        <v/>
      </c>
      <c r="H321" s="3">
        <f>IF(OR(tblAsignaciones[[#This Row],[turno]]="",ISNUMBER(MATCH(tblAsignaciones[[#This Row],[turno]],lista_no_disponible,0))),0,p_horas_jornada)</f>
        <v/>
      </c>
      <c r="I321" s="3">
        <f>tblAsignaciones[[#This Row],[semana]]&amp;"|"&amp;tblAsignaciones[[#This Row],[dia]]&amp;"|"&amp;tblAsignaciones[[#This Row],[tecnico]]</f>
        <v/>
      </c>
    </row>
    <row r="322">
      <c r="A322" s="3" t="inlineStr">
        <is>
          <t>2026-S32</t>
        </is>
      </c>
      <c r="B322" s="3" t="inlineStr">
        <is>
          <t>jueves</t>
        </is>
      </c>
      <c r="C322" s="3" t="inlineStr">
        <is>
          <t>Técnico 10</t>
        </is>
      </c>
      <c r="D322" s="3">
        <f>_xlfn.XLOOKUP(tblAsignaciones[[#This Row],[tecnico]],tblTecnicos[nombre],tblTecnicos[area],"")</f>
        <v/>
      </c>
      <c r="E322" s="3">
        <f>_xlfn.XLOOKUP(tblAsignaciones[[#This Row],[tecnico]],tblTecnicos[nombre],tblTecnicos[especialidad],"")</f>
        <v/>
      </c>
      <c r="F322" s="6" t="inlineStr">
        <is>
          <t>B1</t>
        </is>
      </c>
      <c r="G322" s="3">
        <f>_xlfn.XLOOKUP(tblAsignaciones[[#This Row],[tecnico]],tblTecnicos[nombre],tblTecnicos[coordinador],"")</f>
        <v/>
      </c>
      <c r="H322" s="3">
        <f>IF(OR(tblAsignaciones[[#This Row],[turno]]="",ISNUMBER(MATCH(tblAsignaciones[[#This Row],[turno]],lista_no_disponible,0))),0,p_horas_jornada)</f>
        <v/>
      </c>
      <c r="I322" s="3">
        <f>tblAsignaciones[[#This Row],[semana]]&amp;"|"&amp;tblAsignaciones[[#This Row],[dia]]&amp;"|"&amp;tblAsignaciones[[#This Row],[tecnico]]</f>
        <v/>
      </c>
    </row>
    <row r="323">
      <c r="A323" s="3" t="inlineStr">
        <is>
          <t>2026-S32</t>
        </is>
      </c>
      <c r="B323" s="3" t="inlineStr">
        <is>
          <t>viernes</t>
        </is>
      </c>
      <c r="C323" s="3" t="inlineStr">
        <is>
          <t>Técnico 10</t>
        </is>
      </c>
      <c r="D323" s="3">
        <f>_xlfn.XLOOKUP(tblAsignaciones[[#This Row],[tecnico]],tblTecnicos[nombre],tblTecnicos[area],"")</f>
        <v/>
      </c>
      <c r="E323" s="3">
        <f>_xlfn.XLOOKUP(tblAsignaciones[[#This Row],[tecnico]],tblTecnicos[nombre],tblTecnicos[especialidad],"")</f>
        <v/>
      </c>
      <c r="F323" s="6" t="inlineStr">
        <is>
          <t>B1</t>
        </is>
      </c>
      <c r="G323" s="3">
        <f>_xlfn.XLOOKUP(tblAsignaciones[[#This Row],[tecnico]],tblTecnicos[nombre],tblTecnicos[coordinador],"")</f>
        <v/>
      </c>
      <c r="H323" s="3">
        <f>IF(OR(tblAsignaciones[[#This Row],[turno]]="",ISNUMBER(MATCH(tblAsignaciones[[#This Row],[turno]],lista_no_disponible,0))),0,p_horas_jornada)</f>
        <v/>
      </c>
      <c r="I323" s="3">
        <f>tblAsignaciones[[#This Row],[semana]]&amp;"|"&amp;tblAsignaciones[[#This Row],[dia]]&amp;"|"&amp;tblAsignaciones[[#This Row],[tecnico]]</f>
        <v/>
      </c>
    </row>
    <row r="324">
      <c r="A324" s="3" t="inlineStr">
        <is>
          <t>2026-S32</t>
        </is>
      </c>
      <c r="B324" s="3" t="inlineStr">
        <is>
          <t>sábado</t>
        </is>
      </c>
      <c r="C324" s="3" t="inlineStr">
        <is>
          <t>Técnico 10</t>
        </is>
      </c>
      <c r="D324" s="3">
        <f>_xlfn.XLOOKUP(tblAsignaciones[[#This Row],[tecnico]],tblTecnicos[nombre],tblTecnicos[area],"")</f>
        <v/>
      </c>
      <c r="E324" s="3">
        <f>_xlfn.XLOOKUP(tblAsignaciones[[#This Row],[tecnico]],tblTecnicos[nombre],tblTecnicos[especialidad],"")</f>
        <v/>
      </c>
      <c r="F324" s="6" t="inlineStr"/>
      <c r="G324" s="3">
        <f>_xlfn.XLOOKUP(tblAsignaciones[[#This Row],[tecnico]],tblTecnicos[nombre],tblTecnicos[coordinador],"")</f>
        <v/>
      </c>
      <c r="H324" s="3">
        <f>IF(OR(tblAsignaciones[[#This Row],[turno]]="",ISNUMBER(MATCH(tblAsignaciones[[#This Row],[turno]],lista_no_disponible,0))),0,p_horas_jornada)</f>
        <v/>
      </c>
      <c r="I324" s="3">
        <f>tblAsignaciones[[#This Row],[semana]]&amp;"|"&amp;tblAsignaciones[[#This Row],[dia]]&amp;"|"&amp;tblAsignaciones[[#This Row],[tecnico]]</f>
        <v/>
      </c>
    </row>
    <row r="325">
      <c r="A325" s="3" t="inlineStr">
        <is>
          <t>2026-S32</t>
        </is>
      </c>
      <c r="B325" s="3" t="inlineStr">
        <is>
          <t>domingo</t>
        </is>
      </c>
      <c r="C325" s="3" t="inlineStr">
        <is>
          <t>Técnico 10</t>
        </is>
      </c>
      <c r="D325" s="3">
        <f>_xlfn.XLOOKUP(tblAsignaciones[[#This Row],[tecnico]],tblTecnicos[nombre],tblTecnicos[area],"")</f>
        <v/>
      </c>
      <c r="E325" s="3">
        <f>_xlfn.XLOOKUP(tblAsignaciones[[#This Row],[tecnico]],tblTecnicos[nombre],tblTecnicos[especialidad],"")</f>
        <v/>
      </c>
      <c r="F325" s="6" t="inlineStr"/>
      <c r="G325" s="3">
        <f>_xlfn.XLOOKUP(tblAsignaciones[[#This Row],[tecnico]],tblTecnicos[nombre],tblTecnicos[coordinador],"")</f>
        <v/>
      </c>
      <c r="H325" s="3">
        <f>IF(OR(tblAsignaciones[[#This Row],[turno]]="",ISNUMBER(MATCH(tblAsignaciones[[#This Row],[turno]],lista_no_disponible,0))),0,p_horas_jornada)</f>
        <v/>
      </c>
      <c r="I325" s="3">
        <f>tblAsignaciones[[#This Row],[semana]]&amp;"|"&amp;tblAsignaciones[[#This Row],[dia]]&amp;"|"&amp;tblAsignaciones[[#This Row],[tecnico]]</f>
        <v/>
      </c>
    </row>
    <row r="326">
      <c r="A326" s="3" t="inlineStr">
        <is>
          <t>2026-S32</t>
        </is>
      </c>
      <c r="B326" s="3" t="inlineStr">
        <is>
          <t>lunes</t>
        </is>
      </c>
      <c r="C326" s="3" t="inlineStr">
        <is>
          <t>Técnico 11</t>
        </is>
      </c>
      <c r="D326" s="3">
        <f>_xlfn.XLOOKUP(tblAsignaciones[[#This Row],[tecnico]],tblTecnicos[nombre],tblTecnicos[area],"")</f>
        <v/>
      </c>
      <c r="E326" s="3">
        <f>_xlfn.XLOOKUP(tblAsignaciones[[#This Row],[tecnico]],tblTecnicos[nombre],tblTecnicos[especialidad],"")</f>
        <v/>
      </c>
      <c r="F326" s="6" t="inlineStr">
        <is>
          <t>T1</t>
        </is>
      </c>
      <c r="G326" s="3">
        <f>_xlfn.XLOOKUP(tblAsignaciones[[#This Row],[tecnico]],tblTecnicos[nombre],tblTecnicos[coordinador],"")</f>
        <v/>
      </c>
      <c r="H326" s="3">
        <f>IF(OR(tblAsignaciones[[#This Row],[turno]]="",ISNUMBER(MATCH(tblAsignaciones[[#This Row],[turno]],lista_no_disponible,0))),0,p_horas_jornada)</f>
        <v/>
      </c>
      <c r="I326" s="3">
        <f>tblAsignaciones[[#This Row],[semana]]&amp;"|"&amp;tblAsignaciones[[#This Row],[dia]]&amp;"|"&amp;tblAsignaciones[[#This Row],[tecnico]]</f>
        <v/>
      </c>
    </row>
    <row r="327">
      <c r="A327" s="3" t="inlineStr">
        <is>
          <t>2026-S32</t>
        </is>
      </c>
      <c r="B327" s="3" t="inlineStr">
        <is>
          <t>martes</t>
        </is>
      </c>
      <c r="C327" s="3" t="inlineStr">
        <is>
          <t>Técnico 11</t>
        </is>
      </c>
      <c r="D327" s="3">
        <f>_xlfn.XLOOKUP(tblAsignaciones[[#This Row],[tecnico]],tblTecnicos[nombre],tblTecnicos[area],"")</f>
        <v/>
      </c>
      <c r="E327" s="3">
        <f>_xlfn.XLOOKUP(tblAsignaciones[[#This Row],[tecnico]],tblTecnicos[nombre],tblTecnicos[especialidad],"")</f>
        <v/>
      </c>
      <c r="F327" s="6" t="inlineStr">
        <is>
          <t>T1</t>
        </is>
      </c>
      <c r="G327" s="3">
        <f>_xlfn.XLOOKUP(tblAsignaciones[[#This Row],[tecnico]],tblTecnicos[nombre],tblTecnicos[coordinador],"")</f>
        <v/>
      </c>
      <c r="H327" s="3">
        <f>IF(OR(tblAsignaciones[[#This Row],[turno]]="",ISNUMBER(MATCH(tblAsignaciones[[#This Row],[turno]],lista_no_disponible,0))),0,p_horas_jornada)</f>
        <v/>
      </c>
      <c r="I327" s="3">
        <f>tblAsignaciones[[#This Row],[semana]]&amp;"|"&amp;tblAsignaciones[[#This Row],[dia]]&amp;"|"&amp;tblAsignaciones[[#This Row],[tecnico]]</f>
        <v/>
      </c>
    </row>
    <row r="328">
      <c r="A328" s="3" t="inlineStr">
        <is>
          <t>2026-S32</t>
        </is>
      </c>
      <c r="B328" s="3" t="inlineStr">
        <is>
          <t>miércoles</t>
        </is>
      </c>
      <c r="C328" s="3" t="inlineStr">
        <is>
          <t>Técnico 11</t>
        </is>
      </c>
      <c r="D328" s="3">
        <f>_xlfn.XLOOKUP(tblAsignaciones[[#This Row],[tecnico]],tblTecnicos[nombre],tblTecnicos[area],"")</f>
        <v/>
      </c>
      <c r="E328" s="3">
        <f>_xlfn.XLOOKUP(tblAsignaciones[[#This Row],[tecnico]],tblTecnicos[nombre],tblTecnicos[especialidad],"")</f>
        <v/>
      </c>
      <c r="F328" s="6" t="inlineStr">
        <is>
          <t>T1</t>
        </is>
      </c>
      <c r="G328" s="3">
        <f>_xlfn.XLOOKUP(tblAsignaciones[[#This Row],[tecnico]],tblTecnicos[nombre],tblTecnicos[coordinador],"")</f>
        <v/>
      </c>
      <c r="H328" s="3">
        <f>IF(OR(tblAsignaciones[[#This Row],[turno]]="",ISNUMBER(MATCH(tblAsignaciones[[#This Row],[turno]],lista_no_disponible,0))),0,p_horas_jornada)</f>
        <v/>
      </c>
      <c r="I328" s="3">
        <f>tblAsignaciones[[#This Row],[semana]]&amp;"|"&amp;tblAsignaciones[[#This Row],[dia]]&amp;"|"&amp;tblAsignaciones[[#This Row],[tecnico]]</f>
        <v/>
      </c>
    </row>
    <row r="329">
      <c r="A329" s="3" t="inlineStr">
        <is>
          <t>2026-S32</t>
        </is>
      </c>
      <c r="B329" s="3" t="inlineStr">
        <is>
          <t>jueves</t>
        </is>
      </c>
      <c r="C329" s="3" t="inlineStr">
        <is>
          <t>Técnico 11</t>
        </is>
      </c>
      <c r="D329" s="3">
        <f>_xlfn.XLOOKUP(tblAsignaciones[[#This Row],[tecnico]],tblTecnicos[nombre],tblTecnicos[area],"")</f>
        <v/>
      </c>
      <c r="E329" s="3">
        <f>_xlfn.XLOOKUP(tblAsignaciones[[#This Row],[tecnico]],tblTecnicos[nombre],tblTecnicos[especialidad],"")</f>
        <v/>
      </c>
      <c r="F329" s="6" t="inlineStr">
        <is>
          <t>T1</t>
        </is>
      </c>
      <c r="G329" s="3">
        <f>_xlfn.XLOOKUP(tblAsignaciones[[#This Row],[tecnico]],tblTecnicos[nombre],tblTecnicos[coordinador],"")</f>
        <v/>
      </c>
      <c r="H329" s="3">
        <f>IF(OR(tblAsignaciones[[#This Row],[turno]]="",ISNUMBER(MATCH(tblAsignaciones[[#This Row],[turno]],lista_no_disponible,0))),0,p_horas_jornada)</f>
        <v/>
      </c>
      <c r="I329" s="3">
        <f>tblAsignaciones[[#This Row],[semana]]&amp;"|"&amp;tblAsignaciones[[#This Row],[dia]]&amp;"|"&amp;tblAsignaciones[[#This Row],[tecnico]]</f>
        <v/>
      </c>
    </row>
    <row r="330">
      <c r="A330" s="3" t="inlineStr">
        <is>
          <t>2026-S32</t>
        </is>
      </c>
      <c r="B330" s="3" t="inlineStr">
        <is>
          <t>viernes</t>
        </is>
      </c>
      <c r="C330" s="3" t="inlineStr">
        <is>
          <t>Técnico 11</t>
        </is>
      </c>
      <c r="D330" s="3">
        <f>_xlfn.XLOOKUP(tblAsignaciones[[#This Row],[tecnico]],tblTecnicos[nombre],tblTecnicos[area],"")</f>
        <v/>
      </c>
      <c r="E330" s="3">
        <f>_xlfn.XLOOKUP(tblAsignaciones[[#This Row],[tecnico]],tblTecnicos[nombre],tblTecnicos[especialidad],"")</f>
        <v/>
      </c>
      <c r="F330" s="6" t="inlineStr">
        <is>
          <t>T1</t>
        </is>
      </c>
      <c r="G330" s="3">
        <f>_xlfn.XLOOKUP(tblAsignaciones[[#This Row],[tecnico]],tblTecnicos[nombre],tblTecnicos[coordinador],"")</f>
        <v/>
      </c>
      <c r="H330" s="3">
        <f>IF(OR(tblAsignaciones[[#This Row],[turno]]="",ISNUMBER(MATCH(tblAsignaciones[[#This Row],[turno]],lista_no_disponible,0))),0,p_horas_jornada)</f>
        <v/>
      </c>
      <c r="I330" s="3">
        <f>tblAsignaciones[[#This Row],[semana]]&amp;"|"&amp;tblAsignaciones[[#This Row],[dia]]&amp;"|"&amp;tblAsignaciones[[#This Row],[tecnico]]</f>
        <v/>
      </c>
    </row>
    <row r="331">
      <c r="A331" s="3" t="inlineStr">
        <is>
          <t>2026-S32</t>
        </is>
      </c>
      <c r="B331" s="3" t="inlineStr">
        <is>
          <t>sábado</t>
        </is>
      </c>
      <c r="C331" s="3" t="inlineStr">
        <is>
          <t>Técnico 11</t>
        </is>
      </c>
      <c r="D331" s="3">
        <f>_xlfn.XLOOKUP(tblAsignaciones[[#This Row],[tecnico]],tblTecnicos[nombre],tblTecnicos[area],"")</f>
        <v/>
      </c>
      <c r="E331" s="3">
        <f>_xlfn.XLOOKUP(tblAsignaciones[[#This Row],[tecnico]],tblTecnicos[nombre],tblTecnicos[especialidad],"")</f>
        <v/>
      </c>
      <c r="F331" s="6" t="inlineStr"/>
      <c r="G331" s="3">
        <f>_xlfn.XLOOKUP(tblAsignaciones[[#This Row],[tecnico]],tblTecnicos[nombre],tblTecnicos[coordinador],"")</f>
        <v/>
      </c>
      <c r="H331" s="3">
        <f>IF(OR(tblAsignaciones[[#This Row],[turno]]="",ISNUMBER(MATCH(tblAsignaciones[[#This Row],[turno]],lista_no_disponible,0))),0,p_horas_jornada)</f>
        <v/>
      </c>
      <c r="I331" s="3">
        <f>tblAsignaciones[[#This Row],[semana]]&amp;"|"&amp;tblAsignaciones[[#This Row],[dia]]&amp;"|"&amp;tblAsignaciones[[#This Row],[tecnico]]</f>
        <v/>
      </c>
    </row>
    <row r="332">
      <c r="A332" s="3" t="inlineStr">
        <is>
          <t>2026-S32</t>
        </is>
      </c>
      <c r="B332" s="3" t="inlineStr">
        <is>
          <t>domingo</t>
        </is>
      </c>
      <c r="C332" s="3" t="inlineStr">
        <is>
          <t>Técnico 11</t>
        </is>
      </c>
      <c r="D332" s="3">
        <f>_xlfn.XLOOKUP(tblAsignaciones[[#This Row],[tecnico]],tblTecnicos[nombre],tblTecnicos[area],"")</f>
        <v/>
      </c>
      <c r="E332" s="3">
        <f>_xlfn.XLOOKUP(tblAsignaciones[[#This Row],[tecnico]],tblTecnicos[nombre],tblTecnicos[especialidad],"")</f>
        <v/>
      </c>
      <c r="F332" s="6" t="inlineStr"/>
      <c r="G332" s="3">
        <f>_xlfn.XLOOKUP(tblAsignaciones[[#This Row],[tecnico]],tblTecnicos[nombre],tblTecnicos[coordinador],"")</f>
        <v/>
      </c>
      <c r="H332" s="3">
        <f>IF(OR(tblAsignaciones[[#This Row],[turno]]="",ISNUMBER(MATCH(tblAsignaciones[[#This Row],[turno]],lista_no_disponible,0))),0,p_horas_jornada)</f>
        <v/>
      </c>
      <c r="I332" s="3">
        <f>tblAsignaciones[[#This Row],[semana]]&amp;"|"&amp;tblAsignaciones[[#This Row],[dia]]&amp;"|"&amp;tblAsignaciones[[#This Row],[tecnico]]</f>
        <v/>
      </c>
    </row>
    <row r="333">
      <c r="A333" s="3" t="inlineStr">
        <is>
          <t>2026-S32</t>
        </is>
      </c>
      <c r="B333" s="3" t="inlineStr">
        <is>
          <t>lunes</t>
        </is>
      </c>
      <c r="C333" s="3" t="inlineStr">
        <is>
          <t>Técnico 12</t>
        </is>
      </c>
      <c r="D333" s="3">
        <f>_xlfn.XLOOKUP(tblAsignaciones[[#This Row],[tecnico]],tblTecnicos[nombre],tblTecnicos[area],"")</f>
        <v/>
      </c>
      <c r="E333" s="3">
        <f>_xlfn.XLOOKUP(tblAsignaciones[[#This Row],[tecnico]],tblTecnicos[nombre],tblTecnicos[especialidad],"")</f>
        <v/>
      </c>
      <c r="F333" s="6" t="inlineStr">
        <is>
          <t>T1</t>
        </is>
      </c>
      <c r="G333" s="3">
        <f>_xlfn.XLOOKUP(tblAsignaciones[[#This Row],[tecnico]],tblTecnicos[nombre],tblTecnicos[coordinador],"")</f>
        <v/>
      </c>
      <c r="H333" s="3">
        <f>IF(OR(tblAsignaciones[[#This Row],[turno]]="",ISNUMBER(MATCH(tblAsignaciones[[#This Row],[turno]],lista_no_disponible,0))),0,p_horas_jornada)</f>
        <v/>
      </c>
      <c r="I333" s="3">
        <f>tblAsignaciones[[#This Row],[semana]]&amp;"|"&amp;tblAsignaciones[[#This Row],[dia]]&amp;"|"&amp;tblAsignaciones[[#This Row],[tecnico]]</f>
        <v/>
      </c>
    </row>
    <row r="334">
      <c r="A334" s="3" t="inlineStr">
        <is>
          <t>2026-S32</t>
        </is>
      </c>
      <c r="B334" s="3" t="inlineStr">
        <is>
          <t>martes</t>
        </is>
      </c>
      <c r="C334" s="3" t="inlineStr">
        <is>
          <t>Técnico 12</t>
        </is>
      </c>
      <c r="D334" s="3">
        <f>_xlfn.XLOOKUP(tblAsignaciones[[#This Row],[tecnico]],tblTecnicos[nombre],tblTecnicos[area],"")</f>
        <v/>
      </c>
      <c r="E334" s="3">
        <f>_xlfn.XLOOKUP(tblAsignaciones[[#This Row],[tecnico]],tblTecnicos[nombre],tblTecnicos[especialidad],"")</f>
        <v/>
      </c>
      <c r="F334" s="6" t="inlineStr">
        <is>
          <t>T1</t>
        </is>
      </c>
      <c r="G334" s="3">
        <f>_xlfn.XLOOKUP(tblAsignaciones[[#This Row],[tecnico]],tblTecnicos[nombre],tblTecnicos[coordinador],"")</f>
        <v/>
      </c>
      <c r="H334" s="3">
        <f>IF(OR(tblAsignaciones[[#This Row],[turno]]="",ISNUMBER(MATCH(tblAsignaciones[[#This Row],[turno]],lista_no_disponible,0))),0,p_horas_jornada)</f>
        <v/>
      </c>
      <c r="I334" s="3">
        <f>tblAsignaciones[[#This Row],[semana]]&amp;"|"&amp;tblAsignaciones[[#This Row],[dia]]&amp;"|"&amp;tblAsignaciones[[#This Row],[tecnico]]</f>
        <v/>
      </c>
    </row>
    <row r="335">
      <c r="A335" s="3" t="inlineStr">
        <is>
          <t>2026-S32</t>
        </is>
      </c>
      <c r="B335" s="3" t="inlineStr">
        <is>
          <t>miércoles</t>
        </is>
      </c>
      <c r="C335" s="3" t="inlineStr">
        <is>
          <t>Técnico 12</t>
        </is>
      </c>
      <c r="D335" s="3">
        <f>_xlfn.XLOOKUP(tblAsignaciones[[#This Row],[tecnico]],tblTecnicos[nombre],tblTecnicos[area],"")</f>
        <v/>
      </c>
      <c r="E335" s="3">
        <f>_xlfn.XLOOKUP(tblAsignaciones[[#This Row],[tecnico]],tblTecnicos[nombre],tblTecnicos[especialidad],"")</f>
        <v/>
      </c>
      <c r="F335" s="6" t="inlineStr">
        <is>
          <t>T1</t>
        </is>
      </c>
      <c r="G335" s="3">
        <f>_xlfn.XLOOKUP(tblAsignaciones[[#This Row],[tecnico]],tblTecnicos[nombre],tblTecnicos[coordinador],"")</f>
        <v/>
      </c>
      <c r="H335" s="3">
        <f>IF(OR(tblAsignaciones[[#This Row],[turno]]="",ISNUMBER(MATCH(tblAsignaciones[[#This Row],[turno]],lista_no_disponible,0))),0,p_horas_jornada)</f>
        <v/>
      </c>
      <c r="I335" s="3">
        <f>tblAsignaciones[[#This Row],[semana]]&amp;"|"&amp;tblAsignaciones[[#This Row],[dia]]&amp;"|"&amp;tblAsignaciones[[#This Row],[tecnico]]</f>
        <v/>
      </c>
    </row>
    <row r="336">
      <c r="A336" s="3" t="inlineStr">
        <is>
          <t>2026-S32</t>
        </is>
      </c>
      <c r="B336" s="3" t="inlineStr">
        <is>
          <t>jueves</t>
        </is>
      </c>
      <c r="C336" s="3" t="inlineStr">
        <is>
          <t>Técnico 12</t>
        </is>
      </c>
      <c r="D336" s="3">
        <f>_xlfn.XLOOKUP(tblAsignaciones[[#This Row],[tecnico]],tblTecnicos[nombre],tblTecnicos[area],"")</f>
        <v/>
      </c>
      <c r="E336" s="3">
        <f>_xlfn.XLOOKUP(tblAsignaciones[[#This Row],[tecnico]],tblTecnicos[nombre],tblTecnicos[especialidad],"")</f>
        <v/>
      </c>
      <c r="F336" s="6" t="inlineStr">
        <is>
          <t>T1</t>
        </is>
      </c>
      <c r="G336" s="3">
        <f>_xlfn.XLOOKUP(tblAsignaciones[[#This Row],[tecnico]],tblTecnicos[nombre],tblTecnicos[coordinador],"")</f>
        <v/>
      </c>
      <c r="H336" s="3">
        <f>IF(OR(tblAsignaciones[[#This Row],[turno]]="",ISNUMBER(MATCH(tblAsignaciones[[#This Row],[turno]],lista_no_disponible,0))),0,p_horas_jornada)</f>
        <v/>
      </c>
      <c r="I336" s="3">
        <f>tblAsignaciones[[#This Row],[semana]]&amp;"|"&amp;tblAsignaciones[[#This Row],[dia]]&amp;"|"&amp;tblAsignaciones[[#This Row],[tecnico]]</f>
        <v/>
      </c>
    </row>
    <row r="337">
      <c r="A337" s="3" t="inlineStr">
        <is>
          <t>2026-S32</t>
        </is>
      </c>
      <c r="B337" s="3" t="inlineStr">
        <is>
          <t>viernes</t>
        </is>
      </c>
      <c r="C337" s="3" t="inlineStr">
        <is>
          <t>Técnico 12</t>
        </is>
      </c>
      <c r="D337" s="3">
        <f>_xlfn.XLOOKUP(tblAsignaciones[[#This Row],[tecnico]],tblTecnicos[nombre],tblTecnicos[area],"")</f>
        <v/>
      </c>
      <c r="E337" s="3">
        <f>_xlfn.XLOOKUP(tblAsignaciones[[#This Row],[tecnico]],tblTecnicos[nombre],tblTecnicos[especialidad],"")</f>
        <v/>
      </c>
      <c r="F337" s="6" t="inlineStr">
        <is>
          <t>T1</t>
        </is>
      </c>
      <c r="G337" s="3">
        <f>_xlfn.XLOOKUP(tblAsignaciones[[#This Row],[tecnico]],tblTecnicos[nombre],tblTecnicos[coordinador],"")</f>
        <v/>
      </c>
      <c r="H337" s="3">
        <f>IF(OR(tblAsignaciones[[#This Row],[turno]]="",ISNUMBER(MATCH(tblAsignaciones[[#This Row],[turno]],lista_no_disponible,0))),0,p_horas_jornada)</f>
        <v/>
      </c>
      <c r="I337" s="3">
        <f>tblAsignaciones[[#This Row],[semana]]&amp;"|"&amp;tblAsignaciones[[#This Row],[dia]]&amp;"|"&amp;tblAsignaciones[[#This Row],[tecnico]]</f>
        <v/>
      </c>
    </row>
    <row r="338">
      <c r="A338" s="3" t="inlineStr">
        <is>
          <t>2026-S32</t>
        </is>
      </c>
      <c r="B338" s="3" t="inlineStr">
        <is>
          <t>sábado</t>
        </is>
      </c>
      <c r="C338" s="3" t="inlineStr">
        <is>
          <t>Técnico 12</t>
        </is>
      </c>
      <c r="D338" s="3">
        <f>_xlfn.XLOOKUP(tblAsignaciones[[#This Row],[tecnico]],tblTecnicos[nombre],tblTecnicos[area],"")</f>
        <v/>
      </c>
      <c r="E338" s="3">
        <f>_xlfn.XLOOKUP(tblAsignaciones[[#This Row],[tecnico]],tblTecnicos[nombre],tblTecnicos[especialidad],"")</f>
        <v/>
      </c>
      <c r="F338" s="6" t="inlineStr"/>
      <c r="G338" s="3">
        <f>_xlfn.XLOOKUP(tblAsignaciones[[#This Row],[tecnico]],tblTecnicos[nombre],tblTecnicos[coordinador],"")</f>
        <v/>
      </c>
      <c r="H338" s="3">
        <f>IF(OR(tblAsignaciones[[#This Row],[turno]]="",ISNUMBER(MATCH(tblAsignaciones[[#This Row],[turno]],lista_no_disponible,0))),0,p_horas_jornada)</f>
        <v/>
      </c>
      <c r="I338" s="3">
        <f>tblAsignaciones[[#This Row],[semana]]&amp;"|"&amp;tblAsignaciones[[#This Row],[dia]]&amp;"|"&amp;tblAsignaciones[[#This Row],[tecnico]]</f>
        <v/>
      </c>
    </row>
    <row r="339">
      <c r="A339" s="3" t="inlineStr">
        <is>
          <t>2026-S32</t>
        </is>
      </c>
      <c r="B339" s="3" t="inlineStr">
        <is>
          <t>domingo</t>
        </is>
      </c>
      <c r="C339" s="3" t="inlineStr">
        <is>
          <t>Técnico 12</t>
        </is>
      </c>
      <c r="D339" s="3">
        <f>_xlfn.XLOOKUP(tblAsignaciones[[#This Row],[tecnico]],tblTecnicos[nombre],tblTecnicos[area],"")</f>
        <v/>
      </c>
      <c r="E339" s="3">
        <f>_xlfn.XLOOKUP(tblAsignaciones[[#This Row],[tecnico]],tblTecnicos[nombre],tblTecnicos[especialidad],"")</f>
        <v/>
      </c>
      <c r="F339" s="6" t="inlineStr"/>
      <c r="G339" s="3">
        <f>_xlfn.XLOOKUP(tblAsignaciones[[#This Row],[tecnico]],tblTecnicos[nombre],tblTecnicos[coordinador],"")</f>
        <v/>
      </c>
      <c r="H339" s="3">
        <f>IF(OR(tblAsignaciones[[#This Row],[turno]]="",ISNUMBER(MATCH(tblAsignaciones[[#This Row],[turno]],lista_no_disponible,0))),0,p_horas_jornada)</f>
        <v/>
      </c>
      <c r="I339" s="3">
        <f>tblAsignaciones[[#This Row],[semana]]&amp;"|"&amp;tblAsignaciones[[#This Row],[dia]]&amp;"|"&amp;tblAsignaciones[[#This Row],[tecnico]]</f>
        <v/>
      </c>
    </row>
  </sheetData>
  <dataValidations count="1">
    <dataValidation sqref="F4:F339" showDropDown="0" showInputMessage="0" showErrorMessage="0" allowBlank="1" type="list">
      <formula1>lista_turnos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O42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1" customWidth="1" min="9" max="9"/>
    <col width="13" customWidth="1" min="14" max="14"/>
    <col width="18" customWidth="1" min="15" max="15"/>
  </cols>
  <sheetData>
    <row r="1">
      <c r="A1" s="1" t="inlineStr">
        <is>
          <t>PERFIL DE HH (REGLA-6) — especialidad × semana. La serie de semanas se deriva de los datos (capacidad 60); las semanas sin órdenes están ocultas.</t>
        </is>
      </c>
    </row>
    <row r="3">
      <c r="A3" s="5" t="inlineStr">
        <is>
          <t>especialidad</t>
        </is>
      </c>
      <c r="B3" s="5" t="inlineStr">
        <is>
          <t>semana</t>
        </is>
      </c>
      <c r="C3" s="5" t="inlineStr">
        <is>
          <t>hh_disponible</t>
        </is>
      </c>
      <c r="D3" s="5" t="inlineStr">
        <is>
          <t>hh_productiva</t>
        </is>
      </c>
      <c r="E3" s="5" t="inlineStr">
        <is>
          <t>hh_preventiva</t>
        </is>
      </c>
      <c r="F3" s="5" t="inlineStr">
        <is>
          <t>hh_correctiva</t>
        </is>
      </c>
      <c r="G3" s="5" t="inlineStr">
        <is>
          <t>hh_planificada</t>
        </is>
      </c>
      <c r="H3" s="5" t="inlineStr">
        <is>
          <t>holgura</t>
        </is>
      </c>
      <c r="I3" s="5" t="inlineStr">
        <is>
          <t>pct_carga</t>
        </is>
      </c>
      <c r="N3" s="5" t="inlineStr">
        <is>
          <t>lunes_semana</t>
        </is>
      </c>
      <c r="O3" s="5" t="inlineStr">
        <is>
          <t>semana (serie auto)</t>
        </is>
      </c>
    </row>
    <row r="4">
      <c r="A4" s="3" t="inlineStr">
        <is>
          <t>MEC</t>
        </is>
      </c>
      <c r="B4" s="3">
        <f>$O$4</f>
        <v/>
      </c>
      <c r="C4" s="14">
        <f>SUMIFS(tblAsignaciones[horas_disponibles],tblAsignaciones[especialidad],$A4,tblAsignaciones[semana],$B4)</f>
        <v/>
      </c>
      <c r="D4" s="14">
        <f>C4*p_factor_productividad</f>
        <v/>
      </c>
      <c r="E4" s="14">
        <f>SUMIFS(tblOrdenes[horas_efectivas],tblOrdenes[especialidad],$A4,tblOrdenes[semana],$B4,tblOrdenes[clasificacion],"preventiva")</f>
        <v/>
      </c>
      <c r="F4" s="14">
        <f>SUMIFS(tblOrdenes[horas_efectivas],tblOrdenes[especialidad],$A4,tblOrdenes[semana],$B4,tblOrdenes[clasificacion],"correctiva")</f>
        <v/>
      </c>
      <c r="G4" s="14">
        <f>E4+F4</f>
        <v/>
      </c>
      <c r="H4" s="14">
        <f>D4-G4</f>
        <v/>
      </c>
      <c r="I4" s="15">
        <f>IF(D4=0,"",G4/D4)</f>
        <v/>
      </c>
      <c r="N4" s="11">
        <f>IF(COUNT(tblOrdenes[fecha_inicio])=0,"",MIN(tblOrdenes[fecha_inicio])-WEEKDAY(MIN(tblOrdenes[fecha_inicio]),2)+1)</f>
        <v/>
      </c>
      <c r="O4" s="3">
        <f>IF(N4="","",YEAR(N4+4-WEEKDAY(N4,2))&amp;"-S"&amp;TEXT(_xlfn.ISOWEEKNUM(N4),"00"))</f>
        <v/>
      </c>
    </row>
    <row r="5">
      <c r="A5" s="3" t="inlineStr">
        <is>
          <t>ELE</t>
        </is>
      </c>
      <c r="B5" s="3">
        <f>$O$4</f>
        <v/>
      </c>
      <c r="C5" s="14">
        <f>SUMIFS(tblAsignaciones[horas_disponibles],tblAsignaciones[especialidad],$A5,tblAsignaciones[semana],$B5)</f>
        <v/>
      </c>
      <c r="D5" s="14">
        <f>C5*p_factor_productividad</f>
        <v/>
      </c>
      <c r="E5" s="14">
        <f>SUMIFS(tblOrdenes[horas_efectivas],tblOrdenes[especialidad],$A5,tblOrdenes[semana],$B5,tblOrdenes[clasificacion],"preventiva")</f>
        <v/>
      </c>
      <c r="F5" s="14">
        <f>SUMIFS(tblOrdenes[horas_efectivas],tblOrdenes[especialidad],$A5,tblOrdenes[semana],$B5,tblOrdenes[clasificacion],"correctiva")</f>
        <v/>
      </c>
      <c r="G5" s="14">
        <f>E5+F5</f>
        <v/>
      </c>
      <c r="H5" s="14">
        <f>D5-G5</f>
        <v/>
      </c>
      <c r="I5" s="15">
        <f>IF(D5=0,"",G5/D5)</f>
        <v/>
      </c>
      <c r="N5" s="11">
        <f>IF(N4="","",IF(N4+7&gt;MAX(tblOrdenes[fecha_inicio]),"",N4+7))</f>
        <v/>
      </c>
      <c r="O5" s="3">
        <f>IF(N5="","",YEAR(N5+4-WEEKDAY(N5,2))&amp;"-S"&amp;TEXT(_xlfn.ISOWEEKNUM(N5),"00"))</f>
        <v/>
      </c>
    </row>
    <row r="6">
      <c r="A6" s="3" t="inlineStr">
        <is>
          <t>AUT</t>
        </is>
      </c>
      <c r="B6" s="3">
        <f>$O$4</f>
        <v/>
      </c>
      <c r="C6" s="14">
        <f>SUMIFS(tblAsignaciones[horas_disponibles],tblAsignaciones[especialidad],$A6,tblAsignaciones[semana],$B6)</f>
        <v/>
      </c>
      <c r="D6" s="14">
        <f>C6*p_factor_productividad</f>
        <v/>
      </c>
      <c r="E6" s="14">
        <f>SUMIFS(tblOrdenes[horas_efectivas],tblOrdenes[especialidad],$A6,tblOrdenes[semana],$B6,tblOrdenes[clasificacion],"preventiva")</f>
        <v/>
      </c>
      <c r="F6" s="14">
        <f>SUMIFS(tblOrdenes[horas_efectivas],tblOrdenes[especialidad],$A6,tblOrdenes[semana],$B6,tblOrdenes[clasificacion],"correctiva")</f>
        <v/>
      </c>
      <c r="G6" s="14">
        <f>E6+F6</f>
        <v/>
      </c>
      <c r="H6" s="14">
        <f>D6-G6</f>
        <v/>
      </c>
      <c r="I6" s="15">
        <f>IF(D6=0,"",G6/D6)</f>
        <v/>
      </c>
      <c r="N6" s="11">
        <f>IF(N5="","",IF(N5+7&gt;MAX(tblOrdenes[fecha_inicio]),"",N5+7))</f>
        <v/>
      </c>
      <c r="O6" s="3">
        <f>IF(N6="","",YEAR(N6+4-WEEKDAY(N6,2))&amp;"-S"&amp;TEXT(_xlfn.ISOWEEKNUM(N6),"00"))</f>
        <v/>
      </c>
    </row>
    <row r="7">
      <c r="A7" s="3" t="inlineStr">
        <is>
          <t>OP</t>
        </is>
      </c>
      <c r="B7" s="3">
        <f>$O$4</f>
        <v/>
      </c>
      <c r="C7" s="14">
        <f>SUMIFS(tblAsignaciones[horas_disponibles],tblAsignaciones[especialidad],$A7,tblAsignaciones[semana],$B7)</f>
        <v/>
      </c>
      <c r="D7" s="14">
        <f>C7*p_factor_productividad</f>
        <v/>
      </c>
      <c r="E7" s="14">
        <f>SUMIFS(tblOrdenes[horas_efectivas],tblOrdenes[especialidad],$A7,tblOrdenes[semana],$B7,tblOrdenes[clasificacion],"preventiva")</f>
        <v/>
      </c>
      <c r="F7" s="14">
        <f>SUMIFS(tblOrdenes[horas_efectivas],tblOrdenes[especialidad],$A7,tblOrdenes[semana],$B7,tblOrdenes[clasificacion],"correctiva")</f>
        <v/>
      </c>
      <c r="G7" s="14">
        <f>E7+F7</f>
        <v/>
      </c>
      <c r="H7" s="14">
        <f>D7-G7</f>
        <v/>
      </c>
      <c r="I7" s="15">
        <f>IF(D7=0,"",G7/D7)</f>
        <v/>
      </c>
      <c r="N7" s="11">
        <f>IF(N6="","",IF(N6+7&gt;MAX(tblOrdenes[fecha_inicio]),"",N6+7))</f>
        <v/>
      </c>
      <c r="O7" s="3">
        <f>IF(N7="","",YEAR(N7+4-WEEKDAY(N7,2))&amp;"-S"&amp;TEXT(_xlfn.ISOWEEKNUM(N7),"00"))</f>
        <v/>
      </c>
    </row>
    <row r="8">
      <c r="A8" s="3" t="inlineStr">
        <is>
          <t>TERCERO</t>
        </is>
      </c>
      <c r="B8" s="3">
        <f>$O$4</f>
        <v/>
      </c>
      <c r="C8" s="14">
        <f>SUMIFS(tblAsignaciones[horas_disponibles],tblAsignaciones[especialidad],$A8,tblAsignaciones[semana],$B8)</f>
        <v/>
      </c>
      <c r="D8" s="14">
        <f>C8*p_factor_productividad</f>
        <v/>
      </c>
      <c r="E8" s="14">
        <f>SUMIFS(tblOrdenes[horas_efectivas],tblOrdenes[especialidad],$A8,tblOrdenes[semana],$B8,tblOrdenes[clasificacion],"preventiva")</f>
        <v/>
      </c>
      <c r="F8" s="14">
        <f>SUMIFS(tblOrdenes[horas_efectivas],tblOrdenes[especialidad],$A8,tblOrdenes[semana],$B8,tblOrdenes[clasificacion],"correctiva")</f>
        <v/>
      </c>
      <c r="G8" s="14">
        <f>E8+F8</f>
        <v/>
      </c>
      <c r="H8" s="14">
        <f>D8-G8</f>
        <v/>
      </c>
      <c r="I8" s="15">
        <f>IF(D8=0,"",G8/D8)</f>
        <v/>
      </c>
      <c r="N8" s="11">
        <f>IF(N7="","",IF(N7+7&gt;MAX(tblOrdenes[fecha_inicio]),"",N7+7))</f>
        <v/>
      </c>
      <c r="O8" s="3">
        <f>IF(N8="","",YEAR(N8+4-WEEKDAY(N8,2))&amp;"-S"&amp;TEXT(_xlfn.ISOWEEKNUM(N8),"00"))</f>
        <v/>
      </c>
    </row>
    <row r="9" hidden="1">
      <c r="A9" s="3" t="inlineStr">
        <is>
          <t>MEC</t>
        </is>
      </c>
      <c r="B9" s="3">
        <f>$O$5</f>
        <v/>
      </c>
      <c r="C9" s="14">
        <f>SUMIFS(tblAsignaciones[horas_disponibles],tblAsignaciones[especialidad],$A9,tblAsignaciones[semana],$B9)</f>
        <v/>
      </c>
      <c r="D9" s="14">
        <f>C9*p_factor_productividad</f>
        <v/>
      </c>
      <c r="E9" s="14">
        <f>SUMIFS(tblOrdenes[horas_efectivas],tblOrdenes[especialidad],$A9,tblOrdenes[semana],$B9,tblOrdenes[clasificacion],"preventiva")</f>
        <v/>
      </c>
      <c r="F9" s="14">
        <f>SUMIFS(tblOrdenes[horas_efectivas],tblOrdenes[especialidad],$A9,tblOrdenes[semana],$B9,tblOrdenes[clasificacion],"correctiva")</f>
        <v/>
      </c>
      <c r="G9" s="14">
        <f>E9+F9</f>
        <v/>
      </c>
      <c r="H9" s="14">
        <f>D9-G9</f>
        <v/>
      </c>
      <c r="I9" s="15">
        <f>IF(D9=0,"",G9/D9)</f>
        <v/>
      </c>
      <c r="N9" s="11">
        <f>IF(N8="","",IF(N8+7&gt;MAX(tblOrdenes[fecha_inicio]),"",N8+7))</f>
        <v/>
      </c>
      <c r="O9" s="3">
        <f>IF(N9="","",YEAR(N9+4-WEEKDAY(N9,2))&amp;"-S"&amp;TEXT(_xlfn.ISOWEEKNUM(N9),"00"))</f>
        <v/>
      </c>
    </row>
    <row r="10" hidden="1">
      <c r="A10" s="3" t="inlineStr">
        <is>
          <t>ELE</t>
        </is>
      </c>
      <c r="B10" s="3">
        <f>$O$5</f>
        <v/>
      </c>
      <c r="C10" s="14">
        <f>SUMIFS(tblAsignaciones[horas_disponibles],tblAsignaciones[especialidad],$A10,tblAsignaciones[semana],$B10)</f>
        <v/>
      </c>
      <c r="D10" s="14">
        <f>C10*p_factor_productividad</f>
        <v/>
      </c>
      <c r="E10" s="14">
        <f>SUMIFS(tblOrdenes[horas_efectivas],tblOrdenes[especialidad],$A10,tblOrdenes[semana],$B10,tblOrdenes[clasificacion],"preventiva")</f>
        <v/>
      </c>
      <c r="F10" s="14">
        <f>SUMIFS(tblOrdenes[horas_efectivas],tblOrdenes[especialidad],$A10,tblOrdenes[semana],$B10,tblOrdenes[clasificacion],"correctiva")</f>
        <v/>
      </c>
      <c r="G10" s="14">
        <f>E10+F10</f>
        <v/>
      </c>
      <c r="H10" s="14">
        <f>D10-G10</f>
        <v/>
      </c>
      <c r="I10" s="15">
        <f>IF(D10=0,"",G10/D10)</f>
        <v/>
      </c>
      <c r="N10" s="11">
        <f>IF(N9="","",IF(N9+7&gt;MAX(tblOrdenes[fecha_inicio]),"",N9+7))</f>
        <v/>
      </c>
      <c r="O10" s="3">
        <f>IF(N10="","",YEAR(N10+4-WEEKDAY(N10,2))&amp;"-S"&amp;TEXT(_xlfn.ISOWEEKNUM(N10),"00"))</f>
        <v/>
      </c>
    </row>
    <row r="11" hidden="1">
      <c r="A11" s="3" t="inlineStr">
        <is>
          <t>AUT</t>
        </is>
      </c>
      <c r="B11" s="3">
        <f>$O$5</f>
        <v/>
      </c>
      <c r="C11" s="14">
        <f>SUMIFS(tblAsignaciones[horas_disponibles],tblAsignaciones[especialidad],$A11,tblAsignaciones[semana],$B11)</f>
        <v/>
      </c>
      <c r="D11" s="14">
        <f>C11*p_factor_productividad</f>
        <v/>
      </c>
      <c r="E11" s="14">
        <f>SUMIFS(tblOrdenes[horas_efectivas],tblOrdenes[especialidad],$A11,tblOrdenes[semana],$B11,tblOrdenes[clasificacion],"preventiva")</f>
        <v/>
      </c>
      <c r="F11" s="14">
        <f>SUMIFS(tblOrdenes[horas_efectivas],tblOrdenes[especialidad],$A11,tblOrdenes[semana],$B11,tblOrdenes[clasificacion],"correctiva")</f>
        <v/>
      </c>
      <c r="G11" s="14">
        <f>E11+F11</f>
        <v/>
      </c>
      <c r="H11" s="14">
        <f>D11-G11</f>
        <v/>
      </c>
      <c r="I11" s="15">
        <f>IF(D11=0,"",G11/D11)</f>
        <v/>
      </c>
      <c r="N11" s="11">
        <f>IF(N10="","",IF(N10+7&gt;MAX(tblOrdenes[fecha_inicio]),"",N10+7))</f>
        <v/>
      </c>
      <c r="O11" s="3">
        <f>IF(N11="","",YEAR(N11+4-WEEKDAY(N11,2))&amp;"-S"&amp;TEXT(_xlfn.ISOWEEKNUM(N11),"00"))</f>
        <v/>
      </c>
    </row>
    <row r="12" hidden="1">
      <c r="A12" s="3" t="inlineStr">
        <is>
          <t>OP</t>
        </is>
      </c>
      <c r="B12" s="3">
        <f>$O$5</f>
        <v/>
      </c>
      <c r="C12" s="14">
        <f>SUMIFS(tblAsignaciones[horas_disponibles],tblAsignaciones[especialidad],$A12,tblAsignaciones[semana],$B12)</f>
        <v/>
      </c>
      <c r="D12" s="14">
        <f>C12*p_factor_productividad</f>
        <v/>
      </c>
      <c r="E12" s="14">
        <f>SUMIFS(tblOrdenes[horas_efectivas],tblOrdenes[especialidad],$A12,tblOrdenes[semana],$B12,tblOrdenes[clasificacion],"preventiva")</f>
        <v/>
      </c>
      <c r="F12" s="14">
        <f>SUMIFS(tblOrdenes[horas_efectivas],tblOrdenes[especialidad],$A12,tblOrdenes[semana],$B12,tblOrdenes[clasificacion],"correctiva")</f>
        <v/>
      </c>
      <c r="G12" s="14">
        <f>E12+F12</f>
        <v/>
      </c>
      <c r="H12" s="14">
        <f>D12-G12</f>
        <v/>
      </c>
      <c r="I12" s="15">
        <f>IF(D12=0,"",G12/D12)</f>
        <v/>
      </c>
      <c r="N12" s="11">
        <f>IF(N11="","",IF(N11+7&gt;MAX(tblOrdenes[fecha_inicio]),"",N11+7))</f>
        <v/>
      </c>
      <c r="O12" s="3">
        <f>IF(N12="","",YEAR(N12+4-WEEKDAY(N12,2))&amp;"-S"&amp;TEXT(_xlfn.ISOWEEKNUM(N12),"00"))</f>
        <v/>
      </c>
    </row>
    <row r="13" hidden="1">
      <c r="A13" s="3" t="inlineStr">
        <is>
          <t>TERCERO</t>
        </is>
      </c>
      <c r="B13" s="3">
        <f>$O$5</f>
        <v/>
      </c>
      <c r="C13" s="14">
        <f>SUMIFS(tblAsignaciones[horas_disponibles],tblAsignaciones[especialidad],$A13,tblAsignaciones[semana],$B13)</f>
        <v/>
      </c>
      <c r="D13" s="14">
        <f>C13*p_factor_productividad</f>
        <v/>
      </c>
      <c r="E13" s="14">
        <f>SUMIFS(tblOrdenes[horas_efectivas],tblOrdenes[especialidad],$A13,tblOrdenes[semana],$B13,tblOrdenes[clasificacion],"preventiva")</f>
        <v/>
      </c>
      <c r="F13" s="14">
        <f>SUMIFS(tblOrdenes[horas_efectivas],tblOrdenes[especialidad],$A13,tblOrdenes[semana],$B13,tblOrdenes[clasificacion],"correctiva")</f>
        <v/>
      </c>
      <c r="G13" s="14">
        <f>E13+F13</f>
        <v/>
      </c>
      <c r="H13" s="14">
        <f>D13-G13</f>
        <v/>
      </c>
      <c r="I13" s="15">
        <f>IF(D13=0,"",G13/D13)</f>
        <v/>
      </c>
      <c r="N13" s="11">
        <f>IF(N12="","",IF(N12+7&gt;MAX(tblOrdenes[fecha_inicio]),"",N12+7))</f>
        <v/>
      </c>
      <c r="O13" s="3">
        <f>IF(N13="","",YEAR(N13+4-WEEKDAY(N13,2))&amp;"-S"&amp;TEXT(_xlfn.ISOWEEKNUM(N13),"00"))</f>
        <v/>
      </c>
    </row>
    <row r="14">
      <c r="A14" s="3" t="inlineStr">
        <is>
          <t>MEC</t>
        </is>
      </c>
      <c r="B14" s="3">
        <f>$O$6</f>
        <v/>
      </c>
      <c r="C14" s="14">
        <f>SUMIFS(tblAsignaciones[horas_disponibles],tblAsignaciones[especialidad],$A14,tblAsignaciones[semana],$B14)</f>
        <v/>
      </c>
      <c r="D14" s="14">
        <f>C14*p_factor_productividad</f>
        <v/>
      </c>
      <c r="E14" s="14">
        <f>SUMIFS(tblOrdenes[horas_efectivas],tblOrdenes[especialidad],$A14,tblOrdenes[semana],$B14,tblOrdenes[clasificacion],"preventiva")</f>
        <v/>
      </c>
      <c r="F14" s="14">
        <f>SUMIFS(tblOrdenes[horas_efectivas],tblOrdenes[especialidad],$A14,tblOrdenes[semana],$B14,tblOrdenes[clasificacion],"correctiva")</f>
        <v/>
      </c>
      <c r="G14" s="14">
        <f>E14+F14</f>
        <v/>
      </c>
      <c r="H14" s="14">
        <f>D14-G14</f>
        <v/>
      </c>
      <c r="I14" s="15">
        <f>IF(D14=0,"",G14/D14)</f>
        <v/>
      </c>
      <c r="N14" s="11">
        <f>IF(N13="","",IF(N13+7&gt;MAX(tblOrdenes[fecha_inicio]),"",N13+7))</f>
        <v/>
      </c>
      <c r="O14" s="3">
        <f>IF(N14="","",YEAR(N14+4-WEEKDAY(N14,2))&amp;"-S"&amp;TEXT(_xlfn.ISOWEEKNUM(N14),"00"))</f>
        <v/>
      </c>
    </row>
    <row r="15">
      <c r="A15" s="3" t="inlineStr">
        <is>
          <t>ELE</t>
        </is>
      </c>
      <c r="B15" s="3">
        <f>$O$6</f>
        <v/>
      </c>
      <c r="C15" s="14">
        <f>SUMIFS(tblAsignaciones[horas_disponibles],tblAsignaciones[especialidad],$A15,tblAsignaciones[semana],$B15)</f>
        <v/>
      </c>
      <c r="D15" s="14">
        <f>C15*p_factor_productividad</f>
        <v/>
      </c>
      <c r="E15" s="14">
        <f>SUMIFS(tblOrdenes[horas_efectivas],tblOrdenes[especialidad],$A15,tblOrdenes[semana],$B15,tblOrdenes[clasificacion],"preventiva")</f>
        <v/>
      </c>
      <c r="F15" s="14">
        <f>SUMIFS(tblOrdenes[horas_efectivas],tblOrdenes[especialidad],$A15,tblOrdenes[semana],$B15,tblOrdenes[clasificacion],"correctiva")</f>
        <v/>
      </c>
      <c r="G15" s="14">
        <f>E15+F15</f>
        <v/>
      </c>
      <c r="H15" s="14">
        <f>D15-G15</f>
        <v/>
      </c>
      <c r="I15" s="15">
        <f>IF(D15=0,"",G15/D15)</f>
        <v/>
      </c>
      <c r="N15" s="11">
        <f>IF(N14="","",IF(N14+7&gt;MAX(tblOrdenes[fecha_inicio]),"",N14+7))</f>
        <v/>
      </c>
      <c r="O15" s="3">
        <f>IF(N15="","",YEAR(N15+4-WEEKDAY(N15,2))&amp;"-S"&amp;TEXT(_xlfn.ISOWEEKNUM(N15),"00"))</f>
        <v/>
      </c>
    </row>
    <row r="16">
      <c r="A16" s="3" t="inlineStr">
        <is>
          <t>AUT</t>
        </is>
      </c>
      <c r="B16" s="3">
        <f>$O$6</f>
        <v/>
      </c>
      <c r="C16" s="14">
        <f>SUMIFS(tblAsignaciones[horas_disponibles],tblAsignaciones[especialidad],$A16,tblAsignaciones[semana],$B16)</f>
        <v/>
      </c>
      <c r="D16" s="14">
        <f>C16*p_factor_productividad</f>
        <v/>
      </c>
      <c r="E16" s="14">
        <f>SUMIFS(tblOrdenes[horas_efectivas],tblOrdenes[especialidad],$A16,tblOrdenes[semana],$B16,tblOrdenes[clasificacion],"preventiva")</f>
        <v/>
      </c>
      <c r="F16" s="14">
        <f>SUMIFS(tblOrdenes[horas_efectivas],tblOrdenes[especialidad],$A16,tblOrdenes[semana],$B16,tblOrdenes[clasificacion],"correctiva")</f>
        <v/>
      </c>
      <c r="G16" s="14">
        <f>E16+F16</f>
        <v/>
      </c>
      <c r="H16" s="14">
        <f>D16-G16</f>
        <v/>
      </c>
      <c r="I16" s="15">
        <f>IF(D16=0,"",G16/D16)</f>
        <v/>
      </c>
      <c r="N16" s="11">
        <f>IF(N15="","",IF(N15+7&gt;MAX(tblOrdenes[fecha_inicio]),"",N15+7))</f>
        <v/>
      </c>
      <c r="O16" s="3">
        <f>IF(N16="","",YEAR(N16+4-WEEKDAY(N16,2))&amp;"-S"&amp;TEXT(_xlfn.ISOWEEKNUM(N16),"00"))</f>
        <v/>
      </c>
    </row>
    <row r="17">
      <c r="A17" s="3" t="inlineStr">
        <is>
          <t>OP</t>
        </is>
      </c>
      <c r="B17" s="3">
        <f>$O$6</f>
        <v/>
      </c>
      <c r="C17" s="14">
        <f>SUMIFS(tblAsignaciones[horas_disponibles],tblAsignaciones[especialidad],$A17,tblAsignaciones[semana],$B17)</f>
        <v/>
      </c>
      <c r="D17" s="14">
        <f>C17*p_factor_productividad</f>
        <v/>
      </c>
      <c r="E17" s="14">
        <f>SUMIFS(tblOrdenes[horas_efectivas],tblOrdenes[especialidad],$A17,tblOrdenes[semana],$B17,tblOrdenes[clasificacion],"preventiva")</f>
        <v/>
      </c>
      <c r="F17" s="14">
        <f>SUMIFS(tblOrdenes[horas_efectivas],tblOrdenes[especialidad],$A17,tblOrdenes[semana],$B17,tblOrdenes[clasificacion],"correctiva")</f>
        <v/>
      </c>
      <c r="G17" s="14">
        <f>E17+F17</f>
        <v/>
      </c>
      <c r="H17" s="14">
        <f>D17-G17</f>
        <v/>
      </c>
      <c r="I17" s="15">
        <f>IF(D17=0,"",G17/D17)</f>
        <v/>
      </c>
      <c r="N17" s="11">
        <f>IF(N16="","",IF(N16+7&gt;MAX(tblOrdenes[fecha_inicio]),"",N16+7))</f>
        <v/>
      </c>
      <c r="O17" s="3">
        <f>IF(N17="","",YEAR(N17+4-WEEKDAY(N17,2))&amp;"-S"&amp;TEXT(_xlfn.ISOWEEKNUM(N17),"00"))</f>
        <v/>
      </c>
    </row>
    <row r="18">
      <c r="A18" s="3" t="inlineStr">
        <is>
          <t>TERCERO</t>
        </is>
      </c>
      <c r="B18" s="3">
        <f>$O$6</f>
        <v/>
      </c>
      <c r="C18" s="14">
        <f>SUMIFS(tblAsignaciones[horas_disponibles],tblAsignaciones[especialidad],$A18,tblAsignaciones[semana],$B18)</f>
        <v/>
      </c>
      <c r="D18" s="14">
        <f>C18*p_factor_productividad</f>
        <v/>
      </c>
      <c r="E18" s="14">
        <f>SUMIFS(tblOrdenes[horas_efectivas],tblOrdenes[especialidad],$A18,tblOrdenes[semana],$B18,tblOrdenes[clasificacion],"preventiva")</f>
        <v/>
      </c>
      <c r="F18" s="14">
        <f>SUMIFS(tblOrdenes[horas_efectivas],tblOrdenes[especialidad],$A18,tblOrdenes[semana],$B18,tblOrdenes[clasificacion],"correctiva")</f>
        <v/>
      </c>
      <c r="G18" s="14">
        <f>E18+F18</f>
        <v/>
      </c>
      <c r="H18" s="14">
        <f>D18-G18</f>
        <v/>
      </c>
      <c r="I18" s="15">
        <f>IF(D18=0,"",G18/D18)</f>
        <v/>
      </c>
      <c r="N18" s="11">
        <f>IF(N17="","",IF(N17+7&gt;MAX(tblOrdenes[fecha_inicio]),"",N17+7))</f>
        <v/>
      </c>
      <c r="O18" s="3">
        <f>IF(N18="","",YEAR(N18+4-WEEKDAY(N18,2))&amp;"-S"&amp;TEXT(_xlfn.ISOWEEKNUM(N18),"00"))</f>
        <v/>
      </c>
    </row>
    <row r="19">
      <c r="A19" s="3" t="inlineStr">
        <is>
          <t>MEC</t>
        </is>
      </c>
      <c r="B19" s="3">
        <f>$O$7</f>
        <v/>
      </c>
      <c r="C19" s="14">
        <f>SUMIFS(tblAsignaciones[horas_disponibles],tblAsignaciones[especialidad],$A19,tblAsignaciones[semana],$B19)</f>
        <v/>
      </c>
      <c r="D19" s="14">
        <f>C19*p_factor_productividad</f>
        <v/>
      </c>
      <c r="E19" s="14">
        <f>SUMIFS(tblOrdenes[horas_efectivas],tblOrdenes[especialidad],$A19,tblOrdenes[semana],$B19,tblOrdenes[clasificacion],"preventiva")</f>
        <v/>
      </c>
      <c r="F19" s="14">
        <f>SUMIFS(tblOrdenes[horas_efectivas],tblOrdenes[especialidad],$A19,tblOrdenes[semana],$B19,tblOrdenes[clasificacion],"correctiva")</f>
        <v/>
      </c>
      <c r="G19" s="14">
        <f>E19+F19</f>
        <v/>
      </c>
      <c r="H19" s="14">
        <f>D19-G19</f>
        <v/>
      </c>
      <c r="I19" s="15">
        <f>IF(D19=0,"",G19/D19)</f>
        <v/>
      </c>
      <c r="N19" s="11">
        <f>IF(N18="","",IF(N18+7&gt;MAX(tblOrdenes[fecha_inicio]),"",N18+7))</f>
        <v/>
      </c>
      <c r="O19" s="3">
        <f>IF(N19="","",YEAR(N19+4-WEEKDAY(N19,2))&amp;"-S"&amp;TEXT(_xlfn.ISOWEEKNUM(N19),"00"))</f>
        <v/>
      </c>
    </row>
    <row r="20">
      <c r="A20" s="3" t="inlineStr">
        <is>
          <t>ELE</t>
        </is>
      </c>
      <c r="B20" s="3">
        <f>$O$7</f>
        <v/>
      </c>
      <c r="C20" s="14">
        <f>SUMIFS(tblAsignaciones[horas_disponibles],tblAsignaciones[especialidad],$A20,tblAsignaciones[semana],$B20)</f>
        <v/>
      </c>
      <c r="D20" s="14">
        <f>C20*p_factor_productividad</f>
        <v/>
      </c>
      <c r="E20" s="14">
        <f>SUMIFS(tblOrdenes[horas_efectivas],tblOrdenes[especialidad],$A20,tblOrdenes[semana],$B20,tblOrdenes[clasificacion],"preventiva")</f>
        <v/>
      </c>
      <c r="F20" s="14">
        <f>SUMIFS(tblOrdenes[horas_efectivas],tblOrdenes[especialidad],$A20,tblOrdenes[semana],$B20,tblOrdenes[clasificacion],"correctiva")</f>
        <v/>
      </c>
      <c r="G20" s="14">
        <f>E20+F20</f>
        <v/>
      </c>
      <c r="H20" s="14">
        <f>D20-G20</f>
        <v/>
      </c>
      <c r="I20" s="15">
        <f>IF(D20=0,"",G20/D20)</f>
        <v/>
      </c>
      <c r="N20" s="11">
        <f>IF(N19="","",IF(N19+7&gt;MAX(tblOrdenes[fecha_inicio]),"",N19+7))</f>
        <v/>
      </c>
      <c r="O20" s="3">
        <f>IF(N20="","",YEAR(N20+4-WEEKDAY(N20,2))&amp;"-S"&amp;TEXT(_xlfn.ISOWEEKNUM(N20),"00"))</f>
        <v/>
      </c>
    </row>
    <row r="21">
      <c r="A21" s="3" t="inlineStr">
        <is>
          <t>AUT</t>
        </is>
      </c>
      <c r="B21" s="3">
        <f>$O$7</f>
        <v/>
      </c>
      <c r="C21" s="14">
        <f>SUMIFS(tblAsignaciones[horas_disponibles],tblAsignaciones[especialidad],$A21,tblAsignaciones[semana],$B21)</f>
        <v/>
      </c>
      <c r="D21" s="14">
        <f>C21*p_factor_productividad</f>
        <v/>
      </c>
      <c r="E21" s="14">
        <f>SUMIFS(tblOrdenes[horas_efectivas],tblOrdenes[especialidad],$A21,tblOrdenes[semana],$B21,tblOrdenes[clasificacion],"preventiva")</f>
        <v/>
      </c>
      <c r="F21" s="14">
        <f>SUMIFS(tblOrdenes[horas_efectivas],tblOrdenes[especialidad],$A21,tblOrdenes[semana],$B21,tblOrdenes[clasificacion],"correctiva")</f>
        <v/>
      </c>
      <c r="G21" s="14">
        <f>E21+F21</f>
        <v/>
      </c>
      <c r="H21" s="14">
        <f>D21-G21</f>
        <v/>
      </c>
      <c r="I21" s="15">
        <f>IF(D21=0,"",G21/D21)</f>
        <v/>
      </c>
      <c r="N21" s="11">
        <f>IF(N20="","",IF(N20+7&gt;MAX(tblOrdenes[fecha_inicio]),"",N20+7))</f>
        <v/>
      </c>
      <c r="O21" s="3">
        <f>IF(N21="","",YEAR(N21+4-WEEKDAY(N21,2))&amp;"-S"&amp;TEXT(_xlfn.ISOWEEKNUM(N21),"00"))</f>
        <v/>
      </c>
    </row>
    <row r="22">
      <c r="A22" s="3" t="inlineStr">
        <is>
          <t>OP</t>
        </is>
      </c>
      <c r="B22" s="3">
        <f>$O$7</f>
        <v/>
      </c>
      <c r="C22" s="14">
        <f>SUMIFS(tblAsignaciones[horas_disponibles],tblAsignaciones[especialidad],$A22,tblAsignaciones[semana],$B22)</f>
        <v/>
      </c>
      <c r="D22" s="14">
        <f>C22*p_factor_productividad</f>
        <v/>
      </c>
      <c r="E22" s="14">
        <f>SUMIFS(tblOrdenes[horas_efectivas],tblOrdenes[especialidad],$A22,tblOrdenes[semana],$B22,tblOrdenes[clasificacion],"preventiva")</f>
        <v/>
      </c>
      <c r="F22" s="14">
        <f>SUMIFS(tblOrdenes[horas_efectivas],tblOrdenes[especialidad],$A22,tblOrdenes[semana],$B22,tblOrdenes[clasificacion],"correctiva")</f>
        <v/>
      </c>
      <c r="G22" s="14">
        <f>E22+F22</f>
        <v/>
      </c>
      <c r="H22" s="14">
        <f>D22-G22</f>
        <v/>
      </c>
      <c r="I22" s="15">
        <f>IF(D22=0,"",G22/D22)</f>
        <v/>
      </c>
      <c r="N22" s="11">
        <f>IF(N21="","",IF(N21+7&gt;MAX(tblOrdenes[fecha_inicio]),"",N21+7))</f>
        <v/>
      </c>
      <c r="O22" s="3">
        <f>IF(N22="","",YEAR(N22+4-WEEKDAY(N22,2))&amp;"-S"&amp;TEXT(_xlfn.ISOWEEKNUM(N22),"00"))</f>
        <v/>
      </c>
    </row>
    <row r="23">
      <c r="A23" s="3" t="inlineStr">
        <is>
          <t>TERCERO</t>
        </is>
      </c>
      <c r="B23" s="3">
        <f>$O$7</f>
        <v/>
      </c>
      <c r="C23" s="14">
        <f>SUMIFS(tblAsignaciones[horas_disponibles],tblAsignaciones[especialidad],$A23,tblAsignaciones[semana],$B23)</f>
        <v/>
      </c>
      <c r="D23" s="14">
        <f>C23*p_factor_productividad</f>
        <v/>
      </c>
      <c r="E23" s="14">
        <f>SUMIFS(tblOrdenes[horas_efectivas],tblOrdenes[especialidad],$A23,tblOrdenes[semana],$B23,tblOrdenes[clasificacion],"preventiva")</f>
        <v/>
      </c>
      <c r="F23" s="14">
        <f>SUMIFS(tblOrdenes[horas_efectivas],tblOrdenes[especialidad],$A23,tblOrdenes[semana],$B23,tblOrdenes[clasificacion],"correctiva")</f>
        <v/>
      </c>
      <c r="G23" s="14">
        <f>E23+F23</f>
        <v/>
      </c>
      <c r="H23" s="14">
        <f>D23-G23</f>
        <v/>
      </c>
      <c r="I23" s="15">
        <f>IF(D23=0,"",G23/D23)</f>
        <v/>
      </c>
      <c r="N23" s="11">
        <f>IF(N22="","",IF(N22+7&gt;MAX(tblOrdenes[fecha_inicio]),"",N22+7))</f>
        <v/>
      </c>
      <c r="O23" s="3">
        <f>IF(N23="","",YEAR(N23+4-WEEKDAY(N23,2))&amp;"-S"&amp;TEXT(_xlfn.ISOWEEKNUM(N23),"00"))</f>
        <v/>
      </c>
    </row>
    <row r="24">
      <c r="A24" s="3" t="inlineStr">
        <is>
          <t>MEC</t>
        </is>
      </c>
      <c r="B24" s="3">
        <f>$O$8</f>
        <v/>
      </c>
      <c r="C24" s="14">
        <f>SUMIFS(tblAsignaciones[horas_disponibles],tblAsignaciones[especialidad],$A24,tblAsignaciones[semana],$B24)</f>
        <v/>
      </c>
      <c r="D24" s="14">
        <f>C24*p_factor_productividad</f>
        <v/>
      </c>
      <c r="E24" s="14">
        <f>SUMIFS(tblOrdenes[horas_efectivas],tblOrdenes[especialidad],$A24,tblOrdenes[semana],$B24,tblOrdenes[clasificacion],"preventiva")</f>
        <v/>
      </c>
      <c r="F24" s="14">
        <f>SUMIFS(tblOrdenes[horas_efectivas],tblOrdenes[especialidad],$A24,tblOrdenes[semana],$B24,tblOrdenes[clasificacion],"correctiva")</f>
        <v/>
      </c>
      <c r="G24" s="14">
        <f>E24+F24</f>
        <v/>
      </c>
      <c r="H24" s="14">
        <f>D24-G24</f>
        <v/>
      </c>
      <c r="I24" s="15">
        <f>IF(D24=0,"",G24/D24)</f>
        <v/>
      </c>
      <c r="N24" s="11">
        <f>IF(N23="","",IF(N23+7&gt;MAX(tblOrdenes[fecha_inicio]),"",N23+7))</f>
        <v/>
      </c>
      <c r="O24" s="3">
        <f>IF(N24="","",YEAR(N24+4-WEEKDAY(N24,2))&amp;"-S"&amp;TEXT(_xlfn.ISOWEEKNUM(N24),"00"))</f>
        <v/>
      </c>
    </row>
    <row r="25">
      <c r="A25" s="3" t="inlineStr">
        <is>
          <t>ELE</t>
        </is>
      </c>
      <c r="B25" s="3">
        <f>$O$8</f>
        <v/>
      </c>
      <c r="C25" s="14">
        <f>SUMIFS(tblAsignaciones[horas_disponibles],tblAsignaciones[especialidad],$A25,tblAsignaciones[semana],$B25)</f>
        <v/>
      </c>
      <c r="D25" s="14">
        <f>C25*p_factor_productividad</f>
        <v/>
      </c>
      <c r="E25" s="14">
        <f>SUMIFS(tblOrdenes[horas_efectivas],tblOrdenes[especialidad],$A25,tblOrdenes[semana],$B25,tblOrdenes[clasificacion],"preventiva")</f>
        <v/>
      </c>
      <c r="F25" s="14">
        <f>SUMIFS(tblOrdenes[horas_efectivas],tblOrdenes[especialidad],$A25,tblOrdenes[semana],$B25,tblOrdenes[clasificacion],"correctiva")</f>
        <v/>
      </c>
      <c r="G25" s="14">
        <f>E25+F25</f>
        <v/>
      </c>
      <c r="H25" s="14">
        <f>D25-G25</f>
        <v/>
      </c>
      <c r="I25" s="15">
        <f>IF(D25=0,"",G25/D25)</f>
        <v/>
      </c>
      <c r="N25" s="11">
        <f>IF(N24="","",IF(N24+7&gt;MAX(tblOrdenes[fecha_inicio]),"",N24+7))</f>
        <v/>
      </c>
      <c r="O25" s="3">
        <f>IF(N25="","",YEAR(N25+4-WEEKDAY(N25,2))&amp;"-S"&amp;TEXT(_xlfn.ISOWEEKNUM(N25),"00"))</f>
        <v/>
      </c>
    </row>
    <row r="26">
      <c r="A26" s="3" t="inlineStr">
        <is>
          <t>AUT</t>
        </is>
      </c>
      <c r="B26" s="3">
        <f>$O$8</f>
        <v/>
      </c>
      <c r="C26" s="14">
        <f>SUMIFS(tblAsignaciones[horas_disponibles],tblAsignaciones[especialidad],$A26,tblAsignaciones[semana],$B26)</f>
        <v/>
      </c>
      <c r="D26" s="14">
        <f>C26*p_factor_productividad</f>
        <v/>
      </c>
      <c r="E26" s="14">
        <f>SUMIFS(tblOrdenes[horas_efectivas],tblOrdenes[especialidad],$A26,tblOrdenes[semana],$B26,tblOrdenes[clasificacion],"preventiva")</f>
        <v/>
      </c>
      <c r="F26" s="14">
        <f>SUMIFS(tblOrdenes[horas_efectivas],tblOrdenes[especialidad],$A26,tblOrdenes[semana],$B26,tblOrdenes[clasificacion],"correctiva")</f>
        <v/>
      </c>
      <c r="G26" s="14">
        <f>E26+F26</f>
        <v/>
      </c>
      <c r="H26" s="14">
        <f>D26-G26</f>
        <v/>
      </c>
      <c r="I26" s="15">
        <f>IF(D26=0,"",G26/D26)</f>
        <v/>
      </c>
      <c r="N26" s="11">
        <f>IF(N25="","",IF(N25+7&gt;MAX(tblOrdenes[fecha_inicio]),"",N25+7))</f>
        <v/>
      </c>
      <c r="O26" s="3">
        <f>IF(N26="","",YEAR(N26+4-WEEKDAY(N26,2))&amp;"-S"&amp;TEXT(_xlfn.ISOWEEKNUM(N26),"00"))</f>
        <v/>
      </c>
    </row>
    <row r="27">
      <c r="A27" s="3" t="inlineStr">
        <is>
          <t>OP</t>
        </is>
      </c>
      <c r="B27" s="3">
        <f>$O$8</f>
        <v/>
      </c>
      <c r="C27" s="14">
        <f>SUMIFS(tblAsignaciones[horas_disponibles],tblAsignaciones[especialidad],$A27,tblAsignaciones[semana],$B27)</f>
        <v/>
      </c>
      <c r="D27" s="14">
        <f>C27*p_factor_productividad</f>
        <v/>
      </c>
      <c r="E27" s="14">
        <f>SUMIFS(tblOrdenes[horas_efectivas],tblOrdenes[especialidad],$A27,tblOrdenes[semana],$B27,tblOrdenes[clasificacion],"preventiva")</f>
        <v/>
      </c>
      <c r="F27" s="14">
        <f>SUMIFS(tblOrdenes[horas_efectivas],tblOrdenes[especialidad],$A27,tblOrdenes[semana],$B27,tblOrdenes[clasificacion],"correctiva")</f>
        <v/>
      </c>
      <c r="G27" s="14">
        <f>E27+F27</f>
        <v/>
      </c>
      <c r="H27" s="14">
        <f>D27-G27</f>
        <v/>
      </c>
      <c r="I27" s="15">
        <f>IF(D27=0,"",G27/D27)</f>
        <v/>
      </c>
      <c r="N27" s="11">
        <f>IF(N26="","",IF(N26+7&gt;MAX(tblOrdenes[fecha_inicio]),"",N26+7))</f>
        <v/>
      </c>
      <c r="O27" s="3">
        <f>IF(N27="","",YEAR(N27+4-WEEKDAY(N27,2))&amp;"-S"&amp;TEXT(_xlfn.ISOWEEKNUM(N27),"00"))</f>
        <v/>
      </c>
    </row>
    <row r="28">
      <c r="A28" s="3" t="inlineStr">
        <is>
          <t>TERCERO</t>
        </is>
      </c>
      <c r="B28" s="3">
        <f>$O$8</f>
        <v/>
      </c>
      <c r="C28" s="14">
        <f>SUMIFS(tblAsignaciones[horas_disponibles],tblAsignaciones[especialidad],$A28,tblAsignaciones[semana],$B28)</f>
        <v/>
      </c>
      <c r="D28" s="14">
        <f>C28*p_factor_productividad</f>
        <v/>
      </c>
      <c r="E28" s="14">
        <f>SUMIFS(tblOrdenes[horas_efectivas],tblOrdenes[especialidad],$A28,tblOrdenes[semana],$B28,tblOrdenes[clasificacion],"preventiva")</f>
        <v/>
      </c>
      <c r="F28" s="14">
        <f>SUMIFS(tblOrdenes[horas_efectivas],tblOrdenes[especialidad],$A28,tblOrdenes[semana],$B28,tblOrdenes[clasificacion],"correctiva")</f>
        <v/>
      </c>
      <c r="G28" s="14">
        <f>E28+F28</f>
        <v/>
      </c>
      <c r="H28" s="14">
        <f>D28-G28</f>
        <v/>
      </c>
      <c r="I28" s="15">
        <f>IF(D28=0,"",G28/D28)</f>
        <v/>
      </c>
      <c r="N28" s="11">
        <f>IF(N27="","",IF(N27+7&gt;MAX(tblOrdenes[fecha_inicio]),"",N27+7))</f>
        <v/>
      </c>
      <c r="O28" s="3">
        <f>IF(N28="","",YEAR(N28+4-WEEKDAY(N28,2))&amp;"-S"&amp;TEXT(_xlfn.ISOWEEKNUM(N28),"00"))</f>
        <v/>
      </c>
    </row>
    <row r="29">
      <c r="A29" s="3" t="inlineStr">
        <is>
          <t>MEC</t>
        </is>
      </c>
      <c r="B29" s="3">
        <f>$O$9</f>
        <v/>
      </c>
      <c r="C29" s="14">
        <f>SUMIFS(tblAsignaciones[horas_disponibles],tblAsignaciones[especialidad],$A29,tblAsignaciones[semana],$B29)</f>
        <v/>
      </c>
      <c r="D29" s="14">
        <f>C29*p_factor_productividad</f>
        <v/>
      </c>
      <c r="E29" s="14">
        <f>SUMIFS(tblOrdenes[horas_efectivas],tblOrdenes[especialidad],$A29,tblOrdenes[semana],$B29,tblOrdenes[clasificacion],"preventiva")</f>
        <v/>
      </c>
      <c r="F29" s="14">
        <f>SUMIFS(tblOrdenes[horas_efectivas],tblOrdenes[especialidad],$A29,tblOrdenes[semana],$B29,tblOrdenes[clasificacion],"correctiva")</f>
        <v/>
      </c>
      <c r="G29" s="14">
        <f>E29+F29</f>
        <v/>
      </c>
      <c r="H29" s="14">
        <f>D29-G29</f>
        <v/>
      </c>
      <c r="I29" s="15">
        <f>IF(D29=0,"",G29/D29)</f>
        <v/>
      </c>
      <c r="N29" s="11">
        <f>IF(N28="","",IF(N28+7&gt;MAX(tblOrdenes[fecha_inicio]),"",N28+7))</f>
        <v/>
      </c>
      <c r="O29" s="3">
        <f>IF(N29="","",YEAR(N29+4-WEEKDAY(N29,2))&amp;"-S"&amp;TEXT(_xlfn.ISOWEEKNUM(N29),"00"))</f>
        <v/>
      </c>
    </row>
    <row r="30">
      <c r="A30" s="3" t="inlineStr">
        <is>
          <t>ELE</t>
        </is>
      </c>
      <c r="B30" s="3">
        <f>$O$9</f>
        <v/>
      </c>
      <c r="C30" s="14">
        <f>SUMIFS(tblAsignaciones[horas_disponibles],tblAsignaciones[especialidad],$A30,tblAsignaciones[semana],$B30)</f>
        <v/>
      </c>
      <c r="D30" s="14">
        <f>C30*p_factor_productividad</f>
        <v/>
      </c>
      <c r="E30" s="14">
        <f>SUMIFS(tblOrdenes[horas_efectivas],tblOrdenes[especialidad],$A30,tblOrdenes[semana],$B30,tblOrdenes[clasificacion],"preventiva")</f>
        <v/>
      </c>
      <c r="F30" s="14">
        <f>SUMIFS(tblOrdenes[horas_efectivas],tblOrdenes[especialidad],$A30,tblOrdenes[semana],$B30,tblOrdenes[clasificacion],"correctiva")</f>
        <v/>
      </c>
      <c r="G30" s="14">
        <f>E30+F30</f>
        <v/>
      </c>
      <c r="H30" s="14">
        <f>D30-G30</f>
        <v/>
      </c>
      <c r="I30" s="15">
        <f>IF(D30=0,"",G30/D30)</f>
        <v/>
      </c>
      <c r="N30" s="11">
        <f>IF(N29="","",IF(N29+7&gt;MAX(tblOrdenes[fecha_inicio]),"",N29+7))</f>
        <v/>
      </c>
      <c r="O30" s="3">
        <f>IF(N30="","",YEAR(N30+4-WEEKDAY(N30,2))&amp;"-S"&amp;TEXT(_xlfn.ISOWEEKNUM(N30),"00"))</f>
        <v/>
      </c>
    </row>
    <row r="31">
      <c r="A31" s="3" t="inlineStr">
        <is>
          <t>AUT</t>
        </is>
      </c>
      <c r="B31" s="3">
        <f>$O$9</f>
        <v/>
      </c>
      <c r="C31" s="14">
        <f>SUMIFS(tblAsignaciones[horas_disponibles],tblAsignaciones[especialidad],$A31,tblAsignaciones[semana],$B31)</f>
        <v/>
      </c>
      <c r="D31" s="14">
        <f>C31*p_factor_productividad</f>
        <v/>
      </c>
      <c r="E31" s="14">
        <f>SUMIFS(tblOrdenes[horas_efectivas],tblOrdenes[especialidad],$A31,tblOrdenes[semana],$B31,tblOrdenes[clasificacion],"preventiva")</f>
        <v/>
      </c>
      <c r="F31" s="14">
        <f>SUMIFS(tblOrdenes[horas_efectivas],tblOrdenes[especialidad],$A31,tblOrdenes[semana],$B31,tblOrdenes[clasificacion],"correctiva")</f>
        <v/>
      </c>
      <c r="G31" s="14">
        <f>E31+F31</f>
        <v/>
      </c>
      <c r="H31" s="14">
        <f>D31-G31</f>
        <v/>
      </c>
      <c r="I31" s="15">
        <f>IF(D31=0,"",G31/D31)</f>
        <v/>
      </c>
      <c r="N31" s="11">
        <f>IF(N30="","",IF(N30+7&gt;MAX(tblOrdenes[fecha_inicio]),"",N30+7))</f>
        <v/>
      </c>
      <c r="O31" s="3">
        <f>IF(N31="","",YEAR(N31+4-WEEKDAY(N31,2))&amp;"-S"&amp;TEXT(_xlfn.ISOWEEKNUM(N31),"00"))</f>
        <v/>
      </c>
    </row>
    <row r="32">
      <c r="A32" s="3" t="inlineStr">
        <is>
          <t>OP</t>
        </is>
      </c>
      <c r="B32" s="3">
        <f>$O$9</f>
        <v/>
      </c>
      <c r="C32" s="14">
        <f>SUMIFS(tblAsignaciones[horas_disponibles],tblAsignaciones[especialidad],$A32,tblAsignaciones[semana],$B32)</f>
        <v/>
      </c>
      <c r="D32" s="14">
        <f>C32*p_factor_productividad</f>
        <v/>
      </c>
      <c r="E32" s="14">
        <f>SUMIFS(tblOrdenes[horas_efectivas],tblOrdenes[especialidad],$A32,tblOrdenes[semana],$B32,tblOrdenes[clasificacion],"preventiva")</f>
        <v/>
      </c>
      <c r="F32" s="14">
        <f>SUMIFS(tblOrdenes[horas_efectivas],tblOrdenes[especialidad],$A32,tblOrdenes[semana],$B32,tblOrdenes[clasificacion],"correctiva")</f>
        <v/>
      </c>
      <c r="G32" s="14">
        <f>E32+F32</f>
        <v/>
      </c>
      <c r="H32" s="14">
        <f>D32-G32</f>
        <v/>
      </c>
      <c r="I32" s="15">
        <f>IF(D32=0,"",G32/D32)</f>
        <v/>
      </c>
      <c r="N32" s="11">
        <f>IF(N31="","",IF(N31+7&gt;MAX(tblOrdenes[fecha_inicio]),"",N31+7))</f>
        <v/>
      </c>
      <c r="O32" s="3">
        <f>IF(N32="","",YEAR(N32+4-WEEKDAY(N32,2))&amp;"-S"&amp;TEXT(_xlfn.ISOWEEKNUM(N32),"00"))</f>
        <v/>
      </c>
    </row>
    <row r="33">
      <c r="A33" s="3" t="inlineStr">
        <is>
          <t>TERCERO</t>
        </is>
      </c>
      <c r="B33" s="3">
        <f>$O$9</f>
        <v/>
      </c>
      <c r="C33" s="14">
        <f>SUMIFS(tblAsignaciones[horas_disponibles],tblAsignaciones[especialidad],$A33,tblAsignaciones[semana],$B33)</f>
        <v/>
      </c>
      <c r="D33" s="14">
        <f>C33*p_factor_productividad</f>
        <v/>
      </c>
      <c r="E33" s="14">
        <f>SUMIFS(tblOrdenes[horas_efectivas],tblOrdenes[especialidad],$A33,tblOrdenes[semana],$B33,tblOrdenes[clasificacion],"preventiva")</f>
        <v/>
      </c>
      <c r="F33" s="14">
        <f>SUMIFS(tblOrdenes[horas_efectivas],tblOrdenes[especialidad],$A33,tblOrdenes[semana],$B33,tblOrdenes[clasificacion],"correctiva")</f>
        <v/>
      </c>
      <c r="G33" s="14">
        <f>E33+F33</f>
        <v/>
      </c>
      <c r="H33" s="14">
        <f>D33-G33</f>
        <v/>
      </c>
      <c r="I33" s="15">
        <f>IF(D33=0,"",G33/D33)</f>
        <v/>
      </c>
      <c r="N33" s="11">
        <f>IF(N32="","",IF(N32+7&gt;MAX(tblOrdenes[fecha_inicio]),"",N32+7))</f>
        <v/>
      </c>
      <c r="O33" s="3">
        <f>IF(N33="","",YEAR(N33+4-WEEKDAY(N33,2))&amp;"-S"&amp;TEXT(_xlfn.ISOWEEKNUM(N33),"00"))</f>
        <v/>
      </c>
    </row>
    <row r="34">
      <c r="A34" s="3" t="inlineStr">
        <is>
          <t>MEC</t>
        </is>
      </c>
      <c r="B34" s="3">
        <f>$O$10</f>
        <v/>
      </c>
      <c r="C34" s="14">
        <f>SUMIFS(tblAsignaciones[horas_disponibles],tblAsignaciones[especialidad],$A34,tblAsignaciones[semana],$B34)</f>
        <v/>
      </c>
      <c r="D34" s="14">
        <f>C34*p_factor_productividad</f>
        <v/>
      </c>
      <c r="E34" s="14">
        <f>SUMIFS(tblOrdenes[horas_efectivas],tblOrdenes[especialidad],$A34,tblOrdenes[semana],$B34,tblOrdenes[clasificacion],"preventiva")</f>
        <v/>
      </c>
      <c r="F34" s="14">
        <f>SUMIFS(tblOrdenes[horas_efectivas],tblOrdenes[especialidad],$A34,tblOrdenes[semana],$B34,tblOrdenes[clasificacion],"correctiva")</f>
        <v/>
      </c>
      <c r="G34" s="14">
        <f>E34+F34</f>
        <v/>
      </c>
      <c r="H34" s="14">
        <f>D34-G34</f>
        <v/>
      </c>
      <c r="I34" s="15">
        <f>IF(D34=0,"",G34/D34)</f>
        <v/>
      </c>
      <c r="N34" s="11">
        <f>IF(N33="","",IF(N33+7&gt;MAX(tblOrdenes[fecha_inicio]),"",N33+7))</f>
        <v/>
      </c>
      <c r="O34" s="3">
        <f>IF(N34="","",YEAR(N34+4-WEEKDAY(N34,2))&amp;"-S"&amp;TEXT(_xlfn.ISOWEEKNUM(N34),"00"))</f>
        <v/>
      </c>
    </row>
    <row r="35">
      <c r="A35" s="3" t="inlineStr">
        <is>
          <t>ELE</t>
        </is>
      </c>
      <c r="B35" s="3">
        <f>$O$10</f>
        <v/>
      </c>
      <c r="C35" s="14">
        <f>SUMIFS(tblAsignaciones[horas_disponibles],tblAsignaciones[especialidad],$A35,tblAsignaciones[semana],$B35)</f>
        <v/>
      </c>
      <c r="D35" s="14">
        <f>C35*p_factor_productividad</f>
        <v/>
      </c>
      <c r="E35" s="14">
        <f>SUMIFS(tblOrdenes[horas_efectivas],tblOrdenes[especialidad],$A35,tblOrdenes[semana],$B35,tblOrdenes[clasificacion],"preventiva")</f>
        <v/>
      </c>
      <c r="F35" s="14">
        <f>SUMIFS(tblOrdenes[horas_efectivas],tblOrdenes[especialidad],$A35,tblOrdenes[semana],$B35,tblOrdenes[clasificacion],"correctiva")</f>
        <v/>
      </c>
      <c r="G35" s="14">
        <f>E35+F35</f>
        <v/>
      </c>
      <c r="H35" s="14">
        <f>D35-G35</f>
        <v/>
      </c>
      <c r="I35" s="15">
        <f>IF(D35=0,"",G35/D35)</f>
        <v/>
      </c>
      <c r="N35" s="11">
        <f>IF(N34="","",IF(N34+7&gt;MAX(tblOrdenes[fecha_inicio]),"",N34+7))</f>
        <v/>
      </c>
      <c r="O35" s="3">
        <f>IF(N35="","",YEAR(N35+4-WEEKDAY(N35,2))&amp;"-S"&amp;TEXT(_xlfn.ISOWEEKNUM(N35),"00"))</f>
        <v/>
      </c>
    </row>
    <row r="36">
      <c r="A36" s="3" t="inlineStr">
        <is>
          <t>AUT</t>
        </is>
      </c>
      <c r="B36" s="3">
        <f>$O$10</f>
        <v/>
      </c>
      <c r="C36" s="14">
        <f>SUMIFS(tblAsignaciones[horas_disponibles],tblAsignaciones[especialidad],$A36,tblAsignaciones[semana],$B36)</f>
        <v/>
      </c>
      <c r="D36" s="14">
        <f>C36*p_factor_productividad</f>
        <v/>
      </c>
      <c r="E36" s="14">
        <f>SUMIFS(tblOrdenes[horas_efectivas],tblOrdenes[especialidad],$A36,tblOrdenes[semana],$B36,tblOrdenes[clasificacion],"preventiva")</f>
        <v/>
      </c>
      <c r="F36" s="14">
        <f>SUMIFS(tblOrdenes[horas_efectivas],tblOrdenes[especialidad],$A36,tblOrdenes[semana],$B36,tblOrdenes[clasificacion],"correctiva")</f>
        <v/>
      </c>
      <c r="G36" s="14">
        <f>E36+F36</f>
        <v/>
      </c>
      <c r="H36" s="14">
        <f>D36-G36</f>
        <v/>
      </c>
      <c r="I36" s="15">
        <f>IF(D36=0,"",G36/D36)</f>
        <v/>
      </c>
      <c r="N36" s="11">
        <f>IF(N35="","",IF(N35+7&gt;MAX(tblOrdenes[fecha_inicio]),"",N35+7))</f>
        <v/>
      </c>
      <c r="O36" s="3">
        <f>IF(N36="","",YEAR(N36+4-WEEKDAY(N36,2))&amp;"-S"&amp;TEXT(_xlfn.ISOWEEKNUM(N36),"00"))</f>
        <v/>
      </c>
    </row>
    <row r="37">
      <c r="A37" s="3" t="inlineStr">
        <is>
          <t>OP</t>
        </is>
      </c>
      <c r="B37" s="3">
        <f>$O$10</f>
        <v/>
      </c>
      <c r="C37" s="14">
        <f>SUMIFS(tblAsignaciones[horas_disponibles],tblAsignaciones[especialidad],$A37,tblAsignaciones[semana],$B37)</f>
        <v/>
      </c>
      <c r="D37" s="14">
        <f>C37*p_factor_productividad</f>
        <v/>
      </c>
      <c r="E37" s="14">
        <f>SUMIFS(tblOrdenes[horas_efectivas],tblOrdenes[especialidad],$A37,tblOrdenes[semana],$B37,tblOrdenes[clasificacion],"preventiva")</f>
        <v/>
      </c>
      <c r="F37" s="14">
        <f>SUMIFS(tblOrdenes[horas_efectivas],tblOrdenes[especialidad],$A37,tblOrdenes[semana],$B37,tblOrdenes[clasificacion],"correctiva")</f>
        <v/>
      </c>
      <c r="G37" s="14">
        <f>E37+F37</f>
        <v/>
      </c>
      <c r="H37" s="14">
        <f>D37-G37</f>
        <v/>
      </c>
      <c r="I37" s="15">
        <f>IF(D37=0,"",G37/D37)</f>
        <v/>
      </c>
      <c r="N37" s="11">
        <f>IF(N36="","",IF(N36+7&gt;MAX(tblOrdenes[fecha_inicio]),"",N36+7))</f>
        <v/>
      </c>
      <c r="O37" s="3">
        <f>IF(N37="","",YEAR(N37+4-WEEKDAY(N37,2))&amp;"-S"&amp;TEXT(_xlfn.ISOWEEKNUM(N37),"00"))</f>
        <v/>
      </c>
    </row>
    <row r="38">
      <c r="A38" s="3" t="inlineStr">
        <is>
          <t>TERCERO</t>
        </is>
      </c>
      <c r="B38" s="3">
        <f>$O$10</f>
        <v/>
      </c>
      <c r="C38" s="14">
        <f>SUMIFS(tblAsignaciones[horas_disponibles],tblAsignaciones[especialidad],$A38,tblAsignaciones[semana],$B38)</f>
        <v/>
      </c>
      <c r="D38" s="14">
        <f>C38*p_factor_productividad</f>
        <v/>
      </c>
      <c r="E38" s="14">
        <f>SUMIFS(tblOrdenes[horas_efectivas],tblOrdenes[especialidad],$A38,tblOrdenes[semana],$B38,tblOrdenes[clasificacion],"preventiva")</f>
        <v/>
      </c>
      <c r="F38" s="14">
        <f>SUMIFS(tblOrdenes[horas_efectivas],tblOrdenes[especialidad],$A38,tblOrdenes[semana],$B38,tblOrdenes[clasificacion],"correctiva")</f>
        <v/>
      </c>
      <c r="G38" s="14">
        <f>E38+F38</f>
        <v/>
      </c>
      <c r="H38" s="14">
        <f>D38-G38</f>
        <v/>
      </c>
      <c r="I38" s="15">
        <f>IF(D38=0,"",G38/D38)</f>
        <v/>
      </c>
      <c r="N38" s="11">
        <f>IF(N37="","",IF(N37+7&gt;MAX(tblOrdenes[fecha_inicio]),"",N37+7))</f>
        <v/>
      </c>
      <c r="O38" s="3">
        <f>IF(N38="","",YEAR(N38+4-WEEKDAY(N38,2))&amp;"-S"&amp;TEXT(_xlfn.ISOWEEKNUM(N38),"00"))</f>
        <v/>
      </c>
    </row>
    <row r="39">
      <c r="A39" s="3" t="inlineStr">
        <is>
          <t>MEC</t>
        </is>
      </c>
      <c r="B39" s="3">
        <f>$O$11</f>
        <v/>
      </c>
      <c r="C39" s="14">
        <f>SUMIFS(tblAsignaciones[horas_disponibles],tblAsignaciones[especialidad],$A39,tblAsignaciones[semana],$B39)</f>
        <v/>
      </c>
      <c r="D39" s="14">
        <f>C39*p_factor_productividad</f>
        <v/>
      </c>
      <c r="E39" s="14">
        <f>SUMIFS(tblOrdenes[horas_efectivas],tblOrdenes[especialidad],$A39,tblOrdenes[semana],$B39,tblOrdenes[clasificacion],"preventiva")</f>
        <v/>
      </c>
      <c r="F39" s="14">
        <f>SUMIFS(tblOrdenes[horas_efectivas],tblOrdenes[especialidad],$A39,tblOrdenes[semana],$B39,tblOrdenes[clasificacion],"correctiva")</f>
        <v/>
      </c>
      <c r="G39" s="14">
        <f>E39+F39</f>
        <v/>
      </c>
      <c r="H39" s="14">
        <f>D39-G39</f>
        <v/>
      </c>
      <c r="I39" s="15">
        <f>IF(D39=0,"",G39/D39)</f>
        <v/>
      </c>
      <c r="N39" s="11">
        <f>IF(N38="","",IF(N38+7&gt;MAX(tblOrdenes[fecha_inicio]),"",N38+7))</f>
        <v/>
      </c>
      <c r="O39" s="3">
        <f>IF(N39="","",YEAR(N39+4-WEEKDAY(N39,2))&amp;"-S"&amp;TEXT(_xlfn.ISOWEEKNUM(N39),"00"))</f>
        <v/>
      </c>
    </row>
    <row r="40">
      <c r="A40" s="3" t="inlineStr">
        <is>
          <t>ELE</t>
        </is>
      </c>
      <c r="B40" s="3">
        <f>$O$11</f>
        <v/>
      </c>
      <c r="C40" s="14">
        <f>SUMIFS(tblAsignaciones[horas_disponibles],tblAsignaciones[especialidad],$A40,tblAsignaciones[semana],$B40)</f>
        <v/>
      </c>
      <c r="D40" s="14">
        <f>C40*p_factor_productividad</f>
        <v/>
      </c>
      <c r="E40" s="14">
        <f>SUMIFS(tblOrdenes[horas_efectivas],tblOrdenes[especialidad],$A40,tblOrdenes[semana],$B40,tblOrdenes[clasificacion],"preventiva")</f>
        <v/>
      </c>
      <c r="F40" s="14">
        <f>SUMIFS(tblOrdenes[horas_efectivas],tblOrdenes[especialidad],$A40,tblOrdenes[semana],$B40,tblOrdenes[clasificacion],"correctiva")</f>
        <v/>
      </c>
      <c r="G40" s="14">
        <f>E40+F40</f>
        <v/>
      </c>
      <c r="H40" s="14">
        <f>D40-G40</f>
        <v/>
      </c>
      <c r="I40" s="15">
        <f>IF(D40=0,"",G40/D40)</f>
        <v/>
      </c>
      <c r="N40" s="11">
        <f>IF(N39="","",IF(N39+7&gt;MAX(tblOrdenes[fecha_inicio]),"",N39+7))</f>
        <v/>
      </c>
      <c r="O40" s="3">
        <f>IF(N40="","",YEAR(N40+4-WEEKDAY(N40,2))&amp;"-S"&amp;TEXT(_xlfn.ISOWEEKNUM(N40),"00"))</f>
        <v/>
      </c>
    </row>
    <row r="41">
      <c r="A41" s="3" t="inlineStr">
        <is>
          <t>AUT</t>
        </is>
      </c>
      <c r="B41" s="3">
        <f>$O$11</f>
        <v/>
      </c>
      <c r="C41" s="14">
        <f>SUMIFS(tblAsignaciones[horas_disponibles],tblAsignaciones[especialidad],$A41,tblAsignaciones[semana],$B41)</f>
        <v/>
      </c>
      <c r="D41" s="14">
        <f>C41*p_factor_productividad</f>
        <v/>
      </c>
      <c r="E41" s="14">
        <f>SUMIFS(tblOrdenes[horas_efectivas],tblOrdenes[especialidad],$A41,tblOrdenes[semana],$B41,tblOrdenes[clasificacion],"preventiva")</f>
        <v/>
      </c>
      <c r="F41" s="14">
        <f>SUMIFS(tblOrdenes[horas_efectivas],tblOrdenes[especialidad],$A41,tblOrdenes[semana],$B41,tblOrdenes[clasificacion],"correctiva")</f>
        <v/>
      </c>
      <c r="G41" s="14">
        <f>E41+F41</f>
        <v/>
      </c>
      <c r="H41" s="14">
        <f>D41-G41</f>
        <v/>
      </c>
      <c r="I41" s="15">
        <f>IF(D41=0,"",G41/D41)</f>
        <v/>
      </c>
      <c r="N41" s="11">
        <f>IF(N40="","",IF(N40+7&gt;MAX(tblOrdenes[fecha_inicio]),"",N40+7))</f>
        <v/>
      </c>
      <c r="O41" s="3">
        <f>IF(N41="","",YEAR(N41+4-WEEKDAY(N41,2))&amp;"-S"&amp;TEXT(_xlfn.ISOWEEKNUM(N41),"00"))</f>
        <v/>
      </c>
    </row>
    <row r="42">
      <c r="A42" s="3" t="inlineStr">
        <is>
          <t>OP</t>
        </is>
      </c>
      <c r="B42" s="3">
        <f>$O$11</f>
        <v/>
      </c>
      <c r="C42" s="14">
        <f>SUMIFS(tblAsignaciones[horas_disponibles],tblAsignaciones[especialidad],$A42,tblAsignaciones[semana],$B42)</f>
        <v/>
      </c>
      <c r="D42" s="14">
        <f>C42*p_factor_productividad</f>
        <v/>
      </c>
      <c r="E42" s="14">
        <f>SUMIFS(tblOrdenes[horas_efectivas],tblOrdenes[especialidad],$A42,tblOrdenes[semana],$B42,tblOrdenes[clasificacion],"preventiva")</f>
        <v/>
      </c>
      <c r="F42" s="14">
        <f>SUMIFS(tblOrdenes[horas_efectivas],tblOrdenes[especialidad],$A42,tblOrdenes[semana],$B42,tblOrdenes[clasificacion],"correctiva")</f>
        <v/>
      </c>
      <c r="G42" s="14">
        <f>E42+F42</f>
        <v/>
      </c>
      <c r="H42" s="14">
        <f>D42-G42</f>
        <v/>
      </c>
      <c r="I42" s="15">
        <f>IF(D42=0,"",G42/D42)</f>
        <v/>
      </c>
      <c r="N42" s="11">
        <f>IF(N41="","",IF(N41+7&gt;MAX(tblOrdenes[fecha_inicio]),"",N41+7))</f>
        <v/>
      </c>
      <c r="O42" s="3">
        <f>IF(N42="","",YEAR(N42+4-WEEKDAY(N42,2))&amp;"-S"&amp;TEXT(_xlfn.ISOWEEKNUM(N42),"00"))</f>
        <v/>
      </c>
    </row>
    <row r="43">
      <c r="A43" s="3" t="inlineStr">
        <is>
          <t>TERCERO</t>
        </is>
      </c>
      <c r="B43" s="3">
        <f>$O$11</f>
        <v/>
      </c>
      <c r="C43" s="14">
        <f>SUMIFS(tblAsignaciones[horas_disponibles],tblAsignaciones[especialidad],$A43,tblAsignaciones[semana],$B43)</f>
        <v/>
      </c>
      <c r="D43" s="14">
        <f>C43*p_factor_productividad</f>
        <v/>
      </c>
      <c r="E43" s="14">
        <f>SUMIFS(tblOrdenes[horas_efectivas],tblOrdenes[especialidad],$A43,tblOrdenes[semana],$B43,tblOrdenes[clasificacion],"preventiva")</f>
        <v/>
      </c>
      <c r="F43" s="14">
        <f>SUMIFS(tblOrdenes[horas_efectivas],tblOrdenes[especialidad],$A43,tblOrdenes[semana],$B43,tblOrdenes[clasificacion],"correctiva")</f>
        <v/>
      </c>
      <c r="G43" s="14">
        <f>E43+F43</f>
        <v/>
      </c>
      <c r="H43" s="14">
        <f>D43-G43</f>
        <v/>
      </c>
      <c r="I43" s="15">
        <f>IF(D43=0,"",G43/D43)</f>
        <v/>
      </c>
      <c r="N43" s="11">
        <f>IF(N42="","",IF(N42+7&gt;MAX(tblOrdenes[fecha_inicio]),"",N42+7))</f>
        <v/>
      </c>
      <c r="O43" s="3">
        <f>IF(N43="","",YEAR(N43+4-WEEKDAY(N43,2))&amp;"-S"&amp;TEXT(_xlfn.ISOWEEKNUM(N43),"00"))</f>
        <v/>
      </c>
    </row>
    <row r="44">
      <c r="A44" s="3" t="inlineStr">
        <is>
          <t>MEC</t>
        </is>
      </c>
      <c r="B44" s="3">
        <f>$O$12</f>
        <v/>
      </c>
      <c r="C44" s="14">
        <f>SUMIFS(tblAsignaciones[horas_disponibles],tblAsignaciones[especialidad],$A44,tblAsignaciones[semana],$B44)</f>
        <v/>
      </c>
      <c r="D44" s="14">
        <f>C44*p_factor_productividad</f>
        <v/>
      </c>
      <c r="E44" s="14">
        <f>SUMIFS(tblOrdenes[horas_efectivas],tblOrdenes[especialidad],$A44,tblOrdenes[semana],$B44,tblOrdenes[clasificacion],"preventiva")</f>
        <v/>
      </c>
      <c r="F44" s="14">
        <f>SUMIFS(tblOrdenes[horas_efectivas],tblOrdenes[especialidad],$A44,tblOrdenes[semana],$B44,tblOrdenes[clasificacion],"correctiva")</f>
        <v/>
      </c>
      <c r="G44" s="14">
        <f>E44+F44</f>
        <v/>
      </c>
      <c r="H44" s="14">
        <f>D44-G44</f>
        <v/>
      </c>
      <c r="I44" s="15">
        <f>IF(D44=0,"",G44/D44)</f>
        <v/>
      </c>
      <c r="N44" s="11">
        <f>IF(N43="","",IF(N43+7&gt;MAX(tblOrdenes[fecha_inicio]),"",N43+7))</f>
        <v/>
      </c>
      <c r="O44" s="3">
        <f>IF(N44="","",YEAR(N44+4-WEEKDAY(N44,2))&amp;"-S"&amp;TEXT(_xlfn.ISOWEEKNUM(N44),"00"))</f>
        <v/>
      </c>
    </row>
    <row r="45">
      <c r="A45" s="3" t="inlineStr">
        <is>
          <t>ELE</t>
        </is>
      </c>
      <c r="B45" s="3">
        <f>$O$12</f>
        <v/>
      </c>
      <c r="C45" s="14">
        <f>SUMIFS(tblAsignaciones[horas_disponibles],tblAsignaciones[especialidad],$A45,tblAsignaciones[semana],$B45)</f>
        <v/>
      </c>
      <c r="D45" s="14">
        <f>C45*p_factor_productividad</f>
        <v/>
      </c>
      <c r="E45" s="14">
        <f>SUMIFS(tblOrdenes[horas_efectivas],tblOrdenes[especialidad],$A45,tblOrdenes[semana],$B45,tblOrdenes[clasificacion],"preventiva")</f>
        <v/>
      </c>
      <c r="F45" s="14">
        <f>SUMIFS(tblOrdenes[horas_efectivas],tblOrdenes[especialidad],$A45,tblOrdenes[semana],$B45,tblOrdenes[clasificacion],"correctiva")</f>
        <v/>
      </c>
      <c r="G45" s="14">
        <f>E45+F45</f>
        <v/>
      </c>
      <c r="H45" s="14">
        <f>D45-G45</f>
        <v/>
      </c>
      <c r="I45" s="15">
        <f>IF(D45=0,"",G45/D45)</f>
        <v/>
      </c>
      <c r="N45" s="11">
        <f>IF(N44="","",IF(N44+7&gt;MAX(tblOrdenes[fecha_inicio]),"",N44+7))</f>
        <v/>
      </c>
      <c r="O45" s="3">
        <f>IF(N45="","",YEAR(N45+4-WEEKDAY(N45,2))&amp;"-S"&amp;TEXT(_xlfn.ISOWEEKNUM(N45),"00"))</f>
        <v/>
      </c>
    </row>
    <row r="46">
      <c r="A46" s="3" t="inlineStr">
        <is>
          <t>AUT</t>
        </is>
      </c>
      <c r="B46" s="3">
        <f>$O$12</f>
        <v/>
      </c>
      <c r="C46" s="14">
        <f>SUMIFS(tblAsignaciones[horas_disponibles],tblAsignaciones[especialidad],$A46,tblAsignaciones[semana],$B46)</f>
        <v/>
      </c>
      <c r="D46" s="14">
        <f>C46*p_factor_productividad</f>
        <v/>
      </c>
      <c r="E46" s="14">
        <f>SUMIFS(tblOrdenes[horas_efectivas],tblOrdenes[especialidad],$A46,tblOrdenes[semana],$B46,tblOrdenes[clasificacion],"preventiva")</f>
        <v/>
      </c>
      <c r="F46" s="14">
        <f>SUMIFS(tblOrdenes[horas_efectivas],tblOrdenes[especialidad],$A46,tblOrdenes[semana],$B46,tblOrdenes[clasificacion],"correctiva")</f>
        <v/>
      </c>
      <c r="G46" s="14">
        <f>E46+F46</f>
        <v/>
      </c>
      <c r="H46" s="14">
        <f>D46-G46</f>
        <v/>
      </c>
      <c r="I46" s="15">
        <f>IF(D46=0,"",G46/D46)</f>
        <v/>
      </c>
      <c r="N46" s="11">
        <f>IF(N45="","",IF(N45+7&gt;MAX(tblOrdenes[fecha_inicio]),"",N45+7))</f>
        <v/>
      </c>
      <c r="O46" s="3">
        <f>IF(N46="","",YEAR(N46+4-WEEKDAY(N46,2))&amp;"-S"&amp;TEXT(_xlfn.ISOWEEKNUM(N46),"00"))</f>
        <v/>
      </c>
    </row>
    <row r="47">
      <c r="A47" s="3" t="inlineStr">
        <is>
          <t>OP</t>
        </is>
      </c>
      <c r="B47" s="3">
        <f>$O$12</f>
        <v/>
      </c>
      <c r="C47" s="14">
        <f>SUMIFS(tblAsignaciones[horas_disponibles],tblAsignaciones[especialidad],$A47,tblAsignaciones[semana],$B47)</f>
        <v/>
      </c>
      <c r="D47" s="14">
        <f>C47*p_factor_productividad</f>
        <v/>
      </c>
      <c r="E47" s="14">
        <f>SUMIFS(tblOrdenes[horas_efectivas],tblOrdenes[especialidad],$A47,tblOrdenes[semana],$B47,tblOrdenes[clasificacion],"preventiva")</f>
        <v/>
      </c>
      <c r="F47" s="14">
        <f>SUMIFS(tblOrdenes[horas_efectivas],tblOrdenes[especialidad],$A47,tblOrdenes[semana],$B47,tblOrdenes[clasificacion],"correctiva")</f>
        <v/>
      </c>
      <c r="G47" s="14">
        <f>E47+F47</f>
        <v/>
      </c>
      <c r="H47" s="14">
        <f>D47-G47</f>
        <v/>
      </c>
      <c r="I47" s="15">
        <f>IF(D47=0,"",G47/D47)</f>
        <v/>
      </c>
      <c r="N47" s="11">
        <f>IF(N46="","",IF(N46+7&gt;MAX(tblOrdenes[fecha_inicio]),"",N46+7))</f>
        <v/>
      </c>
      <c r="O47" s="3">
        <f>IF(N47="","",YEAR(N47+4-WEEKDAY(N47,2))&amp;"-S"&amp;TEXT(_xlfn.ISOWEEKNUM(N47),"00"))</f>
        <v/>
      </c>
    </row>
    <row r="48">
      <c r="A48" s="3" t="inlineStr">
        <is>
          <t>TERCERO</t>
        </is>
      </c>
      <c r="B48" s="3">
        <f>$O$12</f>
        <v/>
      </c>
      <c r="C48" s="14">
        <f>SUMIFS(tblAsignaciones[horas_disponibles],tblAsignaciones[especialidad],$A48,tblAsignaciones[semana],$B48)</f>
        <v/>
      </c>
      <c r="D48" s="14">
        <f>C48*p_factor_productividad</f>
        <v/>
      </c>
      <c r="E48" s="14">
        <f>SUMIFS(tblOrdenes[horas_efectivas],tblOrdenes[especialidad],$A48,tblOrdenes[semana],$B48,tblOrdenes[clasificacion],"preventiva")</f>
        <v/>
      </c>
      <c r="F48" s="14">
        <f>SUMIFS(tblOrdenes[horas_efectivas],tblOrdenes[especialidad],$A48,tblOrdenes[semana],$B48,tblOrdenes[clasificacion],"correctiva")</f>
        <v/>
      </c>
      <c r="G48" s="14">
        <f>E48+F48</f>
        <v/>
      </c>
      <c r="H48" s="14">
        <f>D48-G48</f>
        <v/>
      </c>
      <c r="I48" s="15">
        <f>IF(D48=0,"",G48/D48)</f>
        <v/>
      </c>
      <c r="N48" s="11">
        <f>IF(N47="","",IF(N47+7&gt;MAX(tblOrdenes[fecha_inicio]),"",N47+7))</f>
        <v/>
      </c>
      <c r="O48" s="3">
        <f>IF(N48="","",YEAR(N48+4-WEEKDAY(N48,2))&amp;"-S"&amp;TEXT(_xlfn.ISOWEEKNUM(N48),"00"))</f>
        <v/>
      </c>
    </row>
    <row r="49">
      <c r="A49" s="3" t="inlineStr">
        <is>
          <t>MEC</t>
        </is>
      </c>
      <c r="B49" s="3">
        <f>$O$13</f>
        <v/>
      </c>
      <c r="C49" s="14">
        <f>SUMIFS(tblAsignaciones[horas_disponibles],tblAsignaciones[especialidad],$A49,tblAsignaciones[semana],$B49)</f>
        <v/>
      </c>
      <c r="D49" s="14">
        <f>C49*p_factor_productividad</f>
        <v/>
      </c>
      <c r="E49" s="14">
        <f>SUMIFS(tblOrdenes[horas_efectivas],tblOrdenes[especialidad],$A49,tblOrdenes[semana],$B49,tblOrdenes[clasificacion],"preventiva")</f>
        <v/>
      </c>
      <c r="F49" s="14">
        <f>SUMIFS(tblOrdenes[horas_efectivas],tblOrdenes[especialidad],$A49,tblOrdenes[semana],$B49,tblOrdenes[clasificacion],"correctiva")</f>
        <v/>
      </c>
      <c r="G49" s="14">
        <f>E49+F49</f>
        <v/>
      </c>
      <c r="H49" s="14">
        <f>D49-G49</f>
        <v/>
      </c>
      <c r="I49" s="15">
        <f>IF(D49=0,"",G49/D49)</f>
        <v/>
      </c>
      <c r="N49" s="11">
        <f>IF(N48="","",IF(N48+7&gt;MAX(tblOrdenes[fecha_inicio]),"",N48+7))</f>
        <v/>
      </c>
      <c r="O49" s="3">
        <f>IF(N49="","",YEAR(N49+4-WEEKDAY(N49,2))&amp;"-S"&amp;TEXT(_xlfn.ISOWEEKNUM(N49),"00"))</f>
        <v/>
      </c>
    </row>
    <row r="50">
      <c r="A50" s="3" t="inlineStr">
        <is>
          <t>ELE</t>
        </is>
      </c>
      <c r="B50" s="3">
        <f>$O$13</f>
        <v/>
      </c>
      <c r="C50" s="14">
        <f>SUMIFS(tblAsignaciones[horas_disponibles],tblAsignaciones[especialidad],$A50,tblAsignaciones[semana],$B50)</f>
        <v/>
      </c>
      <c r="D50" s="14">
        <f>C50*p_factor_productividad</f>
        <v/>
      </c>
      <c r="E50" s="14">
        <f>SUMIFS(tblOrdenes[horas_efectivas],tblOrdenes[especialidad],$A50,tblOrdenes[semana],$B50,tblOrdenes[clasificacion],"preventiva")</f>
        <v/>
      </c>
      <c r="F50" s="14">
        <f>SUMIFS(tblOrdenes[horas_efectivas],tblOrdenes[especialidad],$A50,tblOrdenes[semana],$B50,tblOrdenes[clasificacion],"correctiva")</f>
        <v/>
      </c>
      <c r="G50" s="14">
        <f>E50+F50</f>
        <v/>
      </c>
      <c r="H50" s="14">
        <f>D50-G50</f>
        <v/>
      </c>
      <c r="I50" s="15">
        <f>IF(D50=0,"",G50/D50)</f>
        <v/>
      </c>
      <c r="N50" s="11">
        <f>IF(N49="","",IF(N49+7&gt;MAX(tblOrdenes[fecha_inicio]),"",N49+7))</f>
        <v/>
      </c>
      <c r="O50" s="3">
        <f>IF(N50="","",YEAR(N50+4-WEEKDAY(N50,2))&amp;"-S"&amp;TEXT(_xlfn.ISOWEEKNUM(N50),"00"))</f>
        <v/>
      </c>
    </row>
    <row r="51">
      <c r="A51" s="3" t="inlineStr">
        <is>
          <t>AUT</t>
        </is>
      </c>
      <c r="B51" s="3">
        <f>$O$13</f>
        <v/>
      </c>
      <c r="C51" s="14">
        <f>SUMIFS(tblAsignaciones[horas_disponibles],tblAsignaciones[especialidad],$A51,tblAsignaciones[semana],$B51)</f>
        <v/>
      </c>
      <c r="D51" s="14">
        <f>C51*p_factor_productividad</f>
        <v/>
      </c>
      <c r="E51" s="14">
        <f>SUMIFS(tblOrdenes[horas_efectivas],tblOrdenes[especialidad],$A51,tblOrdenes[semana],$B51,tblOrdenes[clasificacion],"preventiva")</f>
        <v/>
      </c>
      <c r="F51" s="14">
        <f>SUMIFS(tblOrdenes[horas_efectivas],tblOrdenes[especialidad],$A51,tblOrdenes[semana],$B51,tblOrdenes[clasificacion],"correctiva")</f>
        <v/>
      </c>
      <c r="G51" s="14">
        <f>E51+F51</f>
        <v/>
      </c>
      <c r="H51" s="14">
        <f>D51-G51</f>
        <v/>
      </c>
      <c r="I51" s="15">
        <f>IF(D51=0,"",G51/D51)</f>
        <v/>
      </c>
      <c r="N51" s="11">
        <f>IF(N50="","",IF(N50+7&gt;MAX(tblOrdenes[fecha_inicio]),"",N50+7))</f>
        <v/>
      </c>
      <c r="O51" s="3">
        <f>IF(N51="","",YEAR(N51+4-WEEKDAY(N51,2))&amp;"-S"&amp;TEXT(_xlfn.ISOWEEKNUM(N51),"00"))</f>
        <v/>
      </c>
    </row>
    <row r="52">
      <c r="A52" s="3" t="inlineStr">
        <is>
          <t>OP</t>
        </is>
      </c>
      <c r="B52" s="3">
        <f>$O$13</f>
        <v/>
      </c>
      <c r="C52" s="14">
        <f>SUMIFS(tblAsignaciones[horas_disponibles],tblAsignaciones[especialidad],$A52,tblAsignaciones[semana],$B52)</f>
        <v/>
      </c>
      <c r="D52" s="14">
        <f>C52*p_factor_productividad</f>
        <v/>
      </c>
      <c r="E52" s="14">
        <f>SUMIFS(tblOrdenes[horas_efectivas],tblOrdenes[especialidad],$A52,tblOrdenes[semana],$B52,tblOrdenes[clasificacion],"preventiva")</f>
        <v/>
      </c>
      <c r="F52" s="14">
        <f>SUMIFS(tblOrdenes[horas_efectivas],tblOrdenes[especialidad],$A52,tblOrdenes[semana],$B52,tblOrdenes[clasificacion],"correctiva")</f>
        <v/>
      </c>
      <c r="G52" s="14">
        <f>E52+F52</f>
        <v/>
      </c>
      <c r="H52" s="14">
        <f>D52-G52</f>
        <v/>
      </c>
      <c r="I52" s="15">
        <f>IF(D52=0,"",G52/D52)</f>
        <v/>
      </c>
      <c r="N52" s="11">
        <f>IF(N51="","",IF(N51+7&gt;MAX(tblOrdenes[fecha_inicio]),"",N51+7))</f>
        <v/>
      </c>
      <c r="O52" s="3">
        <f>IF(N52="","",YEAR(N52+4-WEEKDAY(N52,2))&amp;"-S"&amp;TEXT(_xlfn.ISOWEEKNUM(N52),"00"))</f>
        <v/>
      </c>
    </row>
    <row r="53">
      <c r="A53" s="3" t="inlineStr">
        <is>
          <t>TERCERO</t>
        </is>
      </c>
      <c r="B53" s="3">
        <f>$O$13</f>
        <v/>
      </c>
      <c r="C53" s="14">
        <f>SUMIFS(tblAsignaciones[horas_disponibles],tblAsignaciones[especialidad],$A53,tblAsignaciones[semana],$B53)</f>
        <v/>
      </c>
      <c r="D53" s="14">
        <f>C53*p_factor_productividad</f>
        <v/>
      </c>
      <c r="E53" s="14">
        <f>SUMIFS(tblOrdenes[horas_efectivas],tblOrdenes[especialidad],$A53,tblOrdenes[semana],$B53,tblOrdenes[clasificacion],"preventiva")</f>
        <v/>
      </c>
      <c r="F53" s="14">
        <f>SUMIFS(tblOrdenes[horas_efectivas],tblOrdenes[especialidad],$A53,tblOrdenes[semana],$B53,tblOrdenes[clasificacion],"correctiva")</f>
        <v/>
      </c>
      <c r="G53" s="14">
        <f>E53+F53</f>
        <v/>
      </c>
      <c r="H53" s="14">
        <f>D53-G53</f>
        <v/>
      </c>
      <c r="I53" s="15">
        <f>IF(D53=0,"",G53/D53)</f>
        <v/>
      </c>
      <c r="N53" s="11">
        <f>IF(N52="","",IF(N52+7&gt;MAX(tblOrdenes[fecha_inicio]),"",N52+7))</f>
        <v/>
      </c>
      <c r="O53" s="3">
        <f>IF(N53="","",YEAR(N53+4-WEEKDAY(N53,2))&amp;"-S"&amp;TEXT(_xlfn.ISOWEEKNUM(N53),"00"))</f>
        <v/>
      </c>
    </row>
    <row r="54">
      <c r="A54" s="3" t="inlineStr">
        <is>
          <t>MEC</t>
        </is>
      </c>
      <c r="B54" s="3">
        <f>$O$14</f>
        <v/>
      </c>
      <c r="C54" s="14">
        <f>SUMIFS(tblAsignaciones[horas_disponibles],tblAsignaciones[especialidad],$A54,tblAsignaciones[semana],$B54)</f>
        <v/>
      </c>
      <c r="D54" s="14">
        <f>C54*p_factor_productividad</f>
        <v/>
      </c>
      <c r="E54" s="14">
        <f>SUMIFS(tblOrdenes[horas_efectivas],tblOrdenes[especialidad],$A54,tblOrdenes[semana],$B54,tblOrdenes[clasificacion],"preventiva")</f>
        <v/>
      </c>
      <c r="F54" s="14">
        <f>SUMIFS(tblOrdenes[horas_efectivas],tblOrdenes[especialidad],$A54,tblOrdenes[semana],$B54,tblOrdenes[clasificacion],"correctiva")</f>
        <v/>
      </c>
      <c r="G54" s="14">
        <f>E54+F54</f>
        <v/>
      </c>
      <c r="H54" s="14">
        <f>D54-G54</f>
        <v/>
      </c>
      <c r="I54" s="15">
        <f>IF(D54=0,"",G54/D54)</f>
        <v/>
      </c>
      <c r="N54" s="11">
        <f>IF(N53="","",IF(N53+7&gt;MAX(tblOrdenes[fecha_inicio]),"",N53+7))</f>
        <v/>
      </c>
      <c r="O54" s="3">
        <f>IF(N54="","",YEAR(N54+4-WEEKDAY(N54,2))&amp;"-S"&amp;TEXT(_xlfn.ISOWEEKNUM(N54),"00"))</f>
        <v/>
      </c>
    </row>
    <row r="55">
      <c r="A55" s="3" t="inlineStr">
        <is>
          <t>ELE</t>
        </is>
      </c>
      <c r="B55" s="3">
        <f>$O$14</f>
        <v/>
      </c>
      <c r="C55" s="14">
        <f>SUMIFS(tblAsignaciones[horas_disponibles],tblAsignaciones[especialidad],$A55,tblAsignaciones[semana],$B55)</f>
        <v/>
      </c>
      <c r="D55" s="14">
        <f>C55*p_factor_productividad</f>
        <v/>
      </c>
      <c r="E55" s="14">
        <f>SUMIFS(tblOrdenes[horas_efectivas],tblOrdenes[especialidad],$A55,tblOrdenes[semana],$B55,tblOrdenes[clasificacion],"preventiva")</f>
        <v/>
      </c>
      <c r="F55" s="14">
        <f>SUMIFS(tblOrdenes[horas_efectivas],tblOrdenes[especialidad],$A55,tblOrdenes[semana],$B55,tblOrdenes[clasificacion],"correctiva")</f>
        <v/>
      </c>
      <c r="G55" s="14">
        <f>E55+F55</f>
        <v/>
      </c>
      <c r="H55" s="14">
        <f>D55-G55</f>
        <v/>
      </c>
      <c r="I55" s="15">
        <f>IF(D55=0,"",G55/D55)</f>
        <v/>
      </c>
      <c r="N55" s="11">
        <f>IF(N54="","",IF(N54+7&gt;MAX(tblOrdenes[fecha_inicio]),"",N54+7))</f>
        <v/>
      </c>
      <c r="O55" s="3">
        <f>IF(N55="","",YEAR(N55+4-WEEKDAY(N55,2))&amp;"-S"&amp;TEXT(_xlfn.ISOWEEKNUM(N55),"00"))</f>
        <v/>
      </c>
    </row>
    <row r="56">
      <c r="A56" s="3" t="inlineStr">
        <is>
          <t>AUT</t>
        </is>
      </c>
      <c r="B56" s="3">
        <f>$O$14</f>
        <v/>
      </c>
      <c r="C56" s="14">
        <f>SUMIFS(tblAsignaciones[horas_disponibles],tblAsignaciones[especialidad],$A56,tblAsignaciones[semana],$B56)</f>
        <v/>
      </c>
      <c r="D56" s="14">
        <f>C56*p_factor_productividad</f>
        <v/>
      </c>
      <c r="E56" s="14">
        <f>SUMIFS(tblOrdenes[horas_efectivas],tblOrdenes[especialidad],$A56,tblOrdenes[semana],$B56,tblOrdenes[clasificacion],"preventiva")</f>
        <v/>
      </c>
      <c r="F56" s="14">
        <f>SUMIFS(tblOrdenes[horas_efectivas],tblOrdenes[especialidad],$A56,tblOrdenes[semana],$B56,tblOrdenes[clasificacion],"correctiva")</f>
        <v/>
      </c>
      <c r="G56" s="14">
        <f>E56+F56</f>
        <v/>
      </c>
      <c r="H56" s="14">
        <f>D56-G56</f>
        <v/>
      </c>
      <c r="I56" s="15">
        <f>IF(D56=0,"",G56/D56)</f>
        <v/>
      </c>
      <c r="N56" s="11">
        <f>IF(N55="","",IF(N55+7&gt;MAX(tblOrdenes[fecha_inicio]),"",N55+7))</f>
        <v/>
      </c>
      <c r="O56" s="3">
        <f>IF(N56="","",YEAR(N56+4-WEEKDAY(N56,2))&amp;"-S"&amp;TEXT(_xlfn.ISOWEEKNUM(N56),"00"))</f>
        <v/>
      </c>
    </row>
    <row r="57">
      <c r="A57" s="3" t="inlineStr">
        <is>
          <t>OP</t>
        </is>
      </c>
      <c r="B57" s="3">
        <f>$O$14</f>
        <v/>
      </c>
      <c r="C57" s="14">
        <f>SUMIFS(tblAsignaciones[horas_disponibles],tblAsignaciones[especialidad],$A57,tblAsignaciones[semana],$B57)</f>
        <v/>
      </c>
      <c r="D57" s="14">
        <f>C57*p_factor_productividad</f>
        <v/>
      </c>
      <c r="E57" s="14">
        <f>SUMIFS(tblOrdenes[horas_efectivas],tblOrdenes[especialidad],$A57,tblOrdenes[semana],$B57,tblOrdenes[clasificacion],"preventiva")</f>
        <v/>
      </c>
      <c r="F57" s="14">
        <f>SUMIFS(tblOrdenes[horas_efectivas],tblOrdenes[especialidad],$A57,tblOrdenes[semana],$B57,tblOrdenes[clasificacion],"correctiva")</f>
        <v/>
      </c>
      <c r="G57" s="14">
        <f>E57+F57</f>
        <v/>
      </c>
      <c r="H57" s="14">
        <f>D57-G57</f>
        <v/>
      </c>
      <c r="I57" s="15">
        <f>IF(D57=0,"",G57/D57)</f>
        <v/>
      </c>
      <c r="N57" s="11">
        <f>IF(N56="","",IF(N56+7&gt;MAX(tblOrdenes[fecha_inicio]),"",N56+7))</f>
        <v/>
      </c>
      <c r="O57" s="3">
        <f>IF(N57="","",YEAR(N57+4-WEEKDAY(N57,2))&amp;"-S"&amp;TEXT(_xlfn.ISOWEEKNUM(N57),"00"))</f>
        <v/>
      </c>
    </row>
    <row r="58">
      <c r="A58" s="3" t="inlineStr">
        <is>
          <t>TERCERO</t>
        </is>
      </c>
      <c r="B58" s="3">
        <f>$O$14</f>
        <v/>
      </c>
      <c r="C58" s="14">
        <f>SUMIFS(tblAsignaciones[horas_disponibles],tblAsignaciones[especialidad],$A58,tblAsignaciones[semana],$B58)</f>
        <v/>
      </c>
      <c r="D58" s="14">
        <f>C58*p_factor_productividad</f>
        <v/>
      </c>
      <c r="E58" s="14">
        <f>SUMIFS(tblOrdenes[horas_efectivas],tblOrdenes[especialidad],$A58,tblOrdenes[semana],$B58,tblOrdenes[clasificacion],"preventiva")</f>
        <v/>
      </c>
      <c r="F58" s="14">
        <f>SUMIFS(tblOrdenes[horas_efectivas],tblOrdenes[especialidad],$A58,tblOrdenes[semana],$B58,tblOrdenes[clasificacion],"correctiva")</f>
        <v/>
      </c>
      <c r="G58" s="14">
        <f>E58+F58</f>
        <v/>
      </c>
      <c r="H58" s="14">
        <f>D58-G58</f>
        <v/>
      </c>
      <c r="I58" s="15">
        <f>IF(D58=0,"",G58/D58)</f>
        <v/>
      </c>
      <c r="N58" s="11">
        <f>IF(N57="","",IF(N57+7&gt;MAX(tblOrdenes[fecha_inicio]),"",N57+7))</f>
        <v/>
      </c>
      <c r="O58" s="3">
        <f>IF(N58="","",YEAR(N58+4-WEEKDAY(N58,2))&amp;"-S"&amp;TEXT(_xlfn.ISOWEEKNUM(N58),"00"))</f>
        <v/>
      </c>
    </row>
    <row r="59">
      <c r="A59" s="3" t="inlineStr">
        <is>
          <t>MEC</t>
        </is>
      </c>
      <c r="B59" s="3">
        <f>$O$15</f>
        <v/>
      </c>
      <c r="C59" s="14">
        <f>SUMIFS(tblAsignaciones[horas_disponibles],tblAsignaciones[especialidad],$A59,tblAsignaciones[semana],$B59)</f>
        <v/>
      </c>
      <c r="D59" s="14">
        <f>C59*p_factor_productividad</f>
        <v/>
      </c>
      <c r="E59" s="14">
        <f>SUMIFS(tblOrdenes[horas_efectivas],tblOrdenes[especialidad],$A59,tblOrdenes[semana],$B59,tblOrdenes[clasificacion],"preventiva")</f>
        <v/>
      </c>
      <c r="F59" s="14">
        <f>SUMIFS(tblOrdenes[horas_efectivas],tblOrdenes[especialidad],$A59,tblOrdenes[semana],$B59,tblOrdenes[clasificacion],"correctiva")</f>
        <v/>
      </c>
      <c r="G59" s="14">
        <f>E59+F59</f>
        <v/>
      </c>
      <c r="H59" s="14">
        <f>D59-G59</f>
        <v/>
      </c>
      <c r="I59" s="15">
        <f>IF(D59=0,"",G59/D59)</f>
        <v/>
      </c>
      <c r="N59" s="11">
        <f>IF(N58="","",IF(N58+7&gt;MAX(tblOrdenes[fecha_inicio]),"",N58+7))</f>
        <v/>
      </c>
      <c r="O59" s="3">
        <f>IF(N59="","",YEAR(N59+4-WEEKDAY(N59,2))&amp;"-S"&amp;TEXT(_xlfn.ISOWEEKNUM(N59),"00"))</f>
        <v/>
      </c>
    </row>
    <row r="60">
      <c r="A60" s="3" t="inlineStr">
        <is>
          <t>ELE</t>
        </is>
      </c>
      <c r="B60" s="3">
        <f>$O$15</f>
        <v/>
      </c>
      <c r="C60" s="14">
        <f>SUMIFS(tblAsignaciones[horas_disponibles],tblAsignaciones[especialidad],$A60,tblAsignaciones[semana],$B60)</f>
        <v/>
      </c>
      <c r="D60" s="14">
        <f>C60*p_factor_productividad</f>
        <v/>
      </c>
      <c r="E60" s="14">
        <f>SUMIFS(tblOrdenes[horas_efectivas],tblOrdenes[especialidad],$A60,tblOrdenes[semana],$B60,tblOrdenes[clasificacion],"preventiva")</f>
        <v/>
      </c>
      <c r="F60" s="14">
        <f>SUMIFS(tblOrdenes[horas_efectivas],tblOrdenes[especialidad],$A60,tblOrdenes[semana],$B60,tblOrdenes[clasificacion],"correctiva")</f>
        <v/>
      </c>
      <c r="G60" s="14">
        <f>E60+F60</f>
        <v/>
      </c>
      <c r="H60" s="14">
        <f>D60-G60</f>
        <v/>
      </c>
      <c r="I60" s="15">
        <f>IF(D60=0,"",G60/D60)</f>
        <v/>
      </c>
      <c r="N60" s="11">
        <f>IF(N59="","",IF(N59+7&gt;MAX(tblOrdenes[fecha_inicio]),"",N59+7))</f>
        <v/>
      </c>
      <c r="O60" s="3">
        <f>IF(N60="","",YEAR(N60+4-WEEKDAY(N60,2))&amp;"-S"&amp;TEXT(_xlfn.ISOWEEKNUM(N60),"00"))</f>
        <v/>
      </c>
    </row>
    <row r="61">
      <c r="A61" s="3" t="inlineStr">
        <is>
          <t>AUT</t>
        </is>
      </c>
      <c r="B61" s="3">
        <f>$O$15</f>
        <v/>
      </c>
      <c r="C61" s="14">
        <f>SUMIFS(tblAsignaciones[horas_disponibles],tblAsignaciones[especialidad],$A61,tblAsignaciones[semana],$B61)</f>
        <v/>
      </c>
      <c r="D61" s="14">
        <f>C61*p_factor_productividad</f>
        <v/>
      </c>
      <c r="E61" s="14">
        <f>SUMIFS(tblOrdenes[horas_efectivas],tblOrdenes[especialidad],$A61,tblOrdenes[semana],$B61,tblOrdenes[clasificacion],"preventiva")</f>
        <v/>
      </c>
      <c r="F61" s="14">
        <f>SUMIFS(tblOrdenes[horas_efectivas],tblOrdenes[especialidad],$A61,tblOrdenes[semana],$B61,tblOrdenes[clasificacion],"correctiva")</f>
        <v/>
      </c>
      <c r="G61" s="14">
        <f>E61+F61</f>
        <v/>
      </c>
      <c r="H61" s="14">
        <f>D61-G61</f>
        <v/>
      </c>
      <c r="I61" s="15">
        <f>IF(D61=0,"",G61/D61)</f>
        <v/>
      </c>
      <c r="N61" s="11">
        <f>IF(N60="","",IF(N60+7&gt;MAX(tblOrdenes[fecha_inicio]),"",N60+7))</f>
        <v/>
      </c>
      <c r="O61" s="3">
        <f>IF(N61="","",YEAR(N61+4-WEEKDAY(N61,2))&amp;"-S"&amp;TEXT(_xlfn.ISOWEEKNUM(N61),"00"))</f>
        <v/>
      </c>
    </row>
    <row r="62">
      <c r="A62" s="3" t="inlineStr">
        <is>
          <t>OP</t>
        </is>
      </c>
      <c r="B62" s="3">
        <f>$O$15</f>
        <v/>
      </c>
      <c r="C62" s="14">
        <f>SUMIFS(tblAsignaciones[horas_disponibles],tblAsignaciones[especialidad],$A62,tblAsignaciones[semana],$B62)</f>
        <v/>
      </c>
      <c r="D62" s="14">
        <f>C62*p_factor_productividad</f>
        <v/>
      </c>
      <c r="E62" s="14">
        <f>SUMIFS(tblOrdenes[horas_efectivas],tblOrdenes[especialidad],$A62,tblOrdenes[semana],$B62,tblOrdenes[clasificacion],"preventiva")</f>
        <v/>
      </c>
      <c r="F62" s="14">
        <f>SUMIFS(tblOrdenes[horas_efectivas],tblOrdenes[especialidad],$A62,tblOrdenes[semana],$B62,tblOrdenes[clasificacion],"correctiva")</f>
        <v/>
      </c>
      <c r="G62" s="14">
        <f>E62+F62</f>
        <v/>
      </c>
      <c r="H62" s="14">
        <f>D62-G62</f>
        <v/>
      </c>
      <c r="I62" s="15">
        <f>IF(D62=0,"",G62/D62)</f>
        <v/>
      </c>
      <c r="N62" s="11">
        <f>IF(N61="","",IF(N61+7&gt;MAX(tblOrdenes[fecha_inicio]),"",N61+7))</f>
        <v/>
      </c>
      <c r="O62" s="3">
        <f>IF(N62="","",YEAR(N62+4-WEEKDAY(N62,2))&amp;"-S"&amp;TEXT(_xlfn.ISOWEEKNUM(N62),"00"))</f>
        <v/>
      </c>
    </row>
    <row r="63">
      <c r="A63" s="3" t="inlineStr">
        <is>
          <t>TERCERO</t>
        </is>
      </c>
      <c r="B63" s="3">
        <f>$O$15</f>
        <v/>
      </c>
      <c r="C63" s="14">
        <f>SUMIFS(tblAsignaciones[horas_disponibles],tblAsignaciones[especialidad],$A63,tblAsignaciones[semana],$B63)</f>
        <v/>
      </c>
      <c r="D63" s="14">
        <f>C63*p_factor_productividad</f>
        <v/>
      </c>
      <c r="E63" s="14">
        <f>SUMIFS(tblOrdenes[horas_efectivas],tblOrdenes[especialidad],$A63,tblOrdenes[semana],$B63,tblOrdenes[clasificacion],"preventiva")</f>
        <v/>
      </c>
      <c r="F63" s="14">
        <f>SUMIFS(tblOrdenes[horas_efectivas],tblOrdenes[especialidad],$A63,tblOrdenes[semana],$B63,tblOrdenes[clasificacion],"correctiva")</f>
        <v/>
      </c>
      <c r="G63" s="14">
        <f>E63+F63</f>
        <v/>
      </c>
      <c r="H63" s="14">
        <f>D63-G63</f>
        <v/>
      </c>
      <c r="I63" s="15">
        <f>IF(D63=0,"",G63/D63)</f>
        <v/>
      </c>
      <c r="N63" s="11">
        <f>IF(N62="","",IF(N62+7&gt;MAX(tblOrdenes[fecha_inicio]),"",N62+7))</f>
        <v/>
      </c>
      <c r="O63" s="3">
        <f>IF(N63="","",YEAR(N63+4-WEEKDAY(N63,2))&amp;"-S"&amp;TEXT(_xlfn.ISOWEEKNUM(N63),"00"))</f>
        <v/>
      </c>
    </row>
    <row r="64">
      <c r="A64" s="3" t="inlineStr">
        <is>
          <t>MEC</t>
        </is>
      </c>
      <c r="B64" s="3">
        <f>$O$16</f>
        <v/>
      </c>
      <c r="C64" s="14">
        <f>SUMIFS(tblAsignaciones[horas_disponibles],tblAsignaciones[especialidad],$A64,tblAsignaciones[semana],$B64)</f>
        <v/>
      </c>
      <c r="D64" s="14">
        <f>C64*p_factor_productividad</f>
        <v/>
      </c>
      <c r="E64" s="14">
        <f>SUMIFS(tblOrdenes[horas_efectivas],tblOrdenes[especialidad],$A64,tblOrdenes[semana],$B64,tblOrdenes[clasificacion],"preventiva")</f>
        <v/>
      </c>
      <c r="F64" s="14">
        <f>SUMIFS(tblOrdenes[horas_efectivas],tblOrdenes[especialidad],$A64,tblOrdenes[semana],$B64,tblOrdenes[clasificacion],"correctiva")</f>
        <v/>
      </c>
      <c r="G64" s="14">
        <f>E64+F64</f>
        <v/>
      </c>
      <c r="H64" s="14">
        <f>D64-G64</f>
        <v/>
      </c>
      <c r="I64" s="15">
        <f>IF(D64=0,"",G64/D64)</f>
        <v/>
      </c>
    </row>
    <row r="65">
      <c r="A65" s="3" t="inlineStr">
        <is>
          <t>ELE</t>
        </is>
      </c>
      <c r="B65" s="3">
        <f>$O$16</f>
        <v/>
      </c>
      <c r="C65" s="14">
        <f>SUMIFS(tblAsignaciones[horas_disponibles],tblAsignaciones[especialidad],$A65,tblAsignaciones[semana],$B65)</f>
        <v/>
      </c>
      <c r="D65" s="14">
        <f>C65*p_factor_productividad</f>
        <v/>
      </c>
      <c r="E65" s="14">
        <f>SUMIFS(tblOrdenes[horas_efectivas],tblOrdenes[especialidad],$A65,tblOrdenes[semana],$B65,tblOrdenes[clasificacion],"preventiva")</f>
        <v/>
      </c>
      <c r="F65" s="14">
        <f>SUMIFS(tblOrdenes[horas_efectivas],tblOrdenes[especialidad],$A65,tblOrdenes[semana],$B65,tblOrdenes[clasificacion],"correctiva")</f>
        <v/>
      </c>
      <c r="G65" s="14">
        <f>E65+F65</f>
        <v/>
      </c>
      <c r="H65" s="14">
        <f>D65-G65</f>
        <v/>
      </c>
      <c r="I65" s="15">
        <f>IF(D65=0,"",G65/D65)</f>
        <v/>
      </c>
    </row>
    <row r="66">
      <c r="A66" s="3" t="inlineStr">
        <is>
          <t>AUT</t>
        </is>
      </c>
      <c r="B66" s="3">
        <f>$O$16</f>
        <v/>
      </c>
      <c r="C66" s="14">
        <f>SUMIFS(tblAsignaciones[horas_disponibles],tblAsignaciones[especialidad],$A66,tblAsignaciones[semana],$B66)</f>
        <v/>
      </c>
      <c r="D66" s="14">
        <f>C66*p_factor_productividad</f>
        <v/>
      </c>
      <c r="E66" s="14">
        <f>SUMIFS(tblOrdenes[horas_efectivas],tblOrdenes[especialidad],$A66,tblOrdenes[semana],$B66,tblOrdenes[clasificacion],"preventiva")</f>
        <v/>
      </c>
      <c r="F66" s="14">
        <f>SUMIFS(tblOrdenes[horas_efectivas],tblOrdenes[especialidad],$A66,tblOrdenes[semana],$B66,tblOrdenes[clasificacion],"correctiva")</f>
        <v/>
      </c>
      <c r="G66" s="14">
        <f>E66+F66</f>
        <v/>
      </c>
      <c r="H66" s="14">
        <f>D66-G66</f>
        <v/>
      </c>
      <c r="I66" s="15">
        <f>IF(D66=0,"",G66/D66)</f>
        <v/>
      </c>
    </row>
    <row r="67">
      <c r="A67" s="3" t="inlineStr">
        <is>
          <t>OP</t>
        </is>
      </c>
      <c r="B67" s="3">
        <f>$O$16</f>
        <v/>
      </c>
      <c r="C67" s="14">
        <f>SUMIFS(tblAsignaciones[horas_disponibles],tblAsignaciones[especialidad],$A67,tblAsignaciones[semana],$B67)</f>
        <v/>
      </c>
      <c r="D67" s="14">
        <f>C67*p_factor_productividad</f>
        <v/>
      </c>
      <c r="E67" s="14">
        <f>SUMIFS(tblOrdenes[horas_efectivas],tblOrdenes[especialidad],$A67,tblOrdenes[semana],$B67,tblOrdenes[clasificacion],"preventiva")</f>
        <v/>
      </c>
      <c r="F67" s="14">
        <f>SUMIFS(tblOrdenes[horas_efectivas],tblOrdenes[especialidad],$A67,tblOrdenes[semana],$B67,tblOrdenes[clasificacion],"correctiva")</f>
        <v/>
      </c>
      <c r="G67" s="14">
        <f>E67+F67</f>
        <v/>
      </c>
      <c r="H67" s="14">
        <f>D67-G67</f>
        <v/>
      </c>
      <c r="I67" s="15">
        <f>IF(D67=0,"",G67/D67)</f>
        <v/>
      </c>
    </row>
    <row r="68">
      <c r="A68" s="3" t="inlineStr">
        <is>
          <t>TERCERO</t>
        </is>
      </c>
      <c r="B68" s="3">
        <f>$O$16</f>
        <v/>
      </c>
      <c r="C68" s="14">
        <f>SUMIFS(tblAsignaciones[horas_disponibles],tblAsignaciones[especialidad],$A68,tblAsignaciones[semana],$B68)</f>
        <v/>
      </c>
      <c r="D68" s="14">
        <f>C68*p_factor_productividad</f>
        <v/>
      </c>
      <c r="E68" s="14">
        <f>SUMIFS(tblOrdenes[horas_efectivas],tblOrdenes[especialidad],$A68,tblOrdenes[semana],$B68,tblOrdenes[clasificacion],"preventiva")</f>
        <v/>
      </c>
      <c r="F68" s="14">
        <f>SUMIFS(tblOrdenes[horas_efectivas],tblOrdenes[especialidad],$A68,tblOrdenes[semana],$B68,tblOrdenes[clasificacion],"correctiva")</f>
        <v/>
      </c>
      <c r="G68" s="14">
        <f>E68+F68</f>
        <v/>
      </c>
      <c r="H68" s="14">
        <f>D68-G68</f>
        <v/>
      </c>
      <c r="I68" s="15">
        <f>IF(D68=0,"",G68/D68)</f>
        <v/>
      </c>
    </row>
    <row r="69">
      <c r="A69" s="3" t="inlineStr">
        <is>
          <t>MEC</t>
        </is>
      </c>
      <c r="B69" s="3">
        <f>$O$17</f>
        <v/>
      </c>
      <c r="C69" s="14">
        <f>SUMIFS(tblAsignaciones[horas_disponibles],tblAsignaciones[especialidad],$A69,tblAsignaciones[semana],$B69)</f>
        <v/>
      </c>
      <c r="D69" s="14">
        <f>C69*p_factor_productividad</f>
        <v/>
      </c>
      <c r="E69" s="14">
        <f>SUMIFS(tblOrdenes[horas_efectivas],tblOrdenes[especialidad],$A69,tblOrdenes[semana],$B69,tblOrdenes[clasificacion],"preventiva")</f>
        <v/>
      </c>
      <c r="F69" s="14">
        <f>SUMIFS(tblOrdenes[horas_efectivas],tblOrdenes[especialidad],$A69,tblOrdenes[semana],$B69,tblOrdenes[clasificacion],"correctiva")</f>
        <v/>
      </c>
      <c r="G69" s="14">
        <f>E69+F69</f>
        <v/>
      </c>
      <c r="H69" s="14">
        <f>D69-G69</f>
        <v/>
      </c>
      <c r="I69" s="15">
        <f>IF(D69=0,"",G69/D69)</f>
        <v/>
      </c>
    </row>
    <row r="70">
      <c r="A70" s="3" t="inlineStr">
        <is>
          <t>ELE</t>
        </is>
      </c>
      <c r="B70" s="3">
        <f>$O$17</f>
        <v/>
      </c>
      <c r="C70" s="14">
        <f>SUMIFS(tblAsignaciones[horas_disponibles],tblAsignaciones[especialidad],$A70,tblAsignaciones[semana],$B70)</f>
        <v/>
      </c>
      <c r="D70" s="14">
        <f>C70*p_factor_productividad</f>
        <v/>
      </c>
      <c r="E70" s="14">
        <f>SUMIFS(tblOrdenes[horas_efectivas],tblOrdenes[especialidad],$A70,tblOrdenes[semana],$B70,tblOrdenes[clasificacion],"preventiva")</f>
        <v/>
      </c>
      <c r="F70" s="14">
        <f>SUMIFS(tblOrdenes[horas_efectivas],tblOrdenes[especialidad],$A70,tblOrdenes[semana],$B70,tblOrdenes[clasificacion],"correctiva")</f>
        <v/>
      </c>
      <c r="G70" s="14">
        <f>E70+F70</f>
        <v/>
      </c>
      <c r="H70" s="14">
        <f>D70-G70</f>
        <v/>
      </c>
      <c r="I70" s="15">
        <f>IF(D70=0,"",G70/D70)</f>
        <v/>
      </c>
    </row>
    <row r="71">
      <c r="A71" s="3" t="inlineStr">
        <is>
          <t>AUT</t>
        </is>
      </c>
      <c r="B71" s="3">
        <f>$O$17</f>
        <v/>
      </c>
      <c r="C71" s="14">
        <f>SUMIFS(tblAsignaciones[horas_disponibles],tblAsignaciones[especialidad],$A71,tblAsignaciones[semana],$B71)</f>
        <v/>
      </c>
      <c r="D71" s="14">
        <f>C71*p_factor_productividad</f>
        <v/>
      </c>
      <c r="E71" s="14">
        <f>SUMIFS(tblOrdenes[horas_efectivas],tblOrdenes[especialidad],$A71,tblOrdenes[semana],$B71,tblOrdenes[clasificacion],"preventiva")</f>
        <v/>
      </c>
      <c r="F71" s="14">
        <f>SUMIFS(tblOrdenes[horas_efectivas],tblOrdenes[especialidad],$A71,tblOrdenes[semana],$B71,tblOrdenes[clasificacion],"correctiva")</f>
        <v/>
      </c>
      <c r="G71" s="14">
        <f>E71+F71</f>
        <v/>
      </c>
      <c r="H71" s="14">
        <f>D71-G71</f>
        <v/>
      </c>
      <c r="I71" s="15">
        <f>IF(D71=0,"",G71/D71)</f>
        <v/>
      </c>
    </row>
    <row r="72">
      <c r="A72" s="3" t="inlineStr">
        <is>
          <t>OP</t>
        </is>
      </c>
      <c r="B72" s="3">
        <f>$O$17</f>
        <v/>
      </c>
      <c r="C72" s="14">
        <f>SUMIFS(tblAsignaciones[horas_disponibles],tblAsignaciones[especialidad],$A72,tblAsignaciones[semana],$B72)</f>
        <v/>
      </c>
      <c r="D72" s="14">
        <f>C72*p_factor_productividad</f>
        <v/>
      </c>
      <c r="E72" s="14">
        <f>SUMIFS(tblOrdenes[horas_efectivas],tblOrdenes[especialidad],$A72,tblOrdenes[semana],$B72,tblOrdenes[clasificacion],"preventiva")</f>
        <v/>
      </c>
      <c r="F72" s="14">
        <f>SUMIFS(tblOrdenes[horas_efectivas],tblOrdenes[especialidad],$A72,tblOrdenes[semana],$B72,tblOrdenes[clasificacion],"correctiva")</f>
        <v/>
      </c>
      <c r="G72" s="14">
        <f>E72+F72</f>
        <v/>
      </c>
      <c r="H72" s="14">
        <f>D72-G72</f>
        <v/>
      </c>
      <c r="I72" s="15">
        <f>IF(D72=0,"",G72/D72)</f>
        <v/>
      </c>
    </row>
    <row r="73">
      <c r="A73" s="3" t="inlineStr">
        <is>
          <t>TERCERO</t>
        </is>
      </c>
      <c r="B73" s="3">
        <f>$O$17</f>
        <v/>
      </c>
      <c r="C73" s="14">
        <f>SUMIFS(tblAsignaciones[horas_disponibles],tblAsignaciones[especialidad],$A73,tblAsignaciones[semana],$B73)</f>
        <v/>
      </c>
      <c r="D73" s="14">
        <f>C73*p_factor_productividad</f>
        <v/>
      </c>
      <c r="E73" s="14">
        <f>SUMIFS(tblOrdenes[horas_efectivas],tblOrdenes[especialidad],$A73,tblOrdenes[semana],$B73,tblOrdenes[clasificacion],"preventiva")</f>
        <v/>
      </c>
      <c r="F73" s="14">
        <f>SUMIFS(tblOrdenes[horas_efectivas],tblOrdenes[especialidad],$A73,tblOrdenes[semana],$B73,tblOrdenes[clasificacion],"correctiva")</f>
        <v/>
      </c>
      <c r="G73" s="14">
        <f>E73+F73</f>
        <v/>
      </c>
      <c r="H73" s="14">
        <f>D73-G73</f>
        <v/>
      </c>
      <c r="I73" s="15">
        <f>IF(D73=0,"",G73/D73)</f>
        <v/>
      </c>
    </row>
    <row r="74">
      <c r="A74" s="3" t="inlineStr">
        <is>
          <t>MEC</t>
        </is>
      </c>
      <c r="B74" s="3">
        <f>$O$18</f>
        <v/>
      </c>
      <c r="C74" s="14">
        <f>SUMIFS(tblAsignaciones[horas_disponibles],tblAsignaciones[especialidad],$A74,tblAsignaciones[semana],$B74)</f>
        <v/>
      </c>
      <c r="D74" s="14">
        <f>C74*p_factor_productividad</f>
        <v/>
      </c>
      <c r="E74" s="14">
        <f>SUMIFS(tblOrdenes[horas_efectivas],tblOrdenes[especialidad],$A74,tblOrdenes[semana],$B74,tblOrdenes[clasificacion],"preventiva")</f>
        <v/>
      </c>
      <c r="F74" s="14">
        <f>SUMIFS(tblOrdenes[horas_efectivas],tblOrdenes[especialidad],$A74,tblOrdenes[semana],$B74,tblOrdenes[clasificacion],"correctiva")</f>
        <v/>
      </c>
      <c r="G74" s="14">
        <f>E74+F74</f>
        <v/>
      </c>
      <c r="H74" s="14">
        <f>D74-G74</f>
        <v/>
      </c>
      <c r="I74" s="15">
        <f>IF(D74=0,"",G74/D74)</f>
        <v/>
      </c>
    </row>
    <row r="75">
      <c r="A75" s="3" t="inlineStr">
        <is>
          <t>ELE</t>
        </is>
      </c>
      <c r="B75" s="3">
        <f>$O$18</f>
        <v/>
      </c>
      <c r="C75" s="14">
        <f>SUMIFS(tblAsignaciones[horas_disponibles],tblAsignaciones[especialidad],$A75,tblAsignaciones[semana],$B75)</f>
        <v/>
      </c>
      <c r="D75" s="14">
        <f>C75*p_factor_productividad</f>
        <v/>
      </c>
      <c r="E75" s="14">
        <f>SUMIFS(tblOrdenes[horas_efectivas],tblOrdenes[especialidad],$A75,tblOrdenes[semana],$B75,tblOrdenes[clasificacion],"preventiva")</f>
        <v/>
      </c>
      <c r="F75" s="14">
        <f>SUMIFS(tblOrdenes[horas_efectivas],tblOrdenes[especialidad],$A75,tblOrdenes[semana],$B75,tblOrdenes[clasificacion],"correctiva")</f>
        <v/>
      </c>
      <c r="G75" s="14">
        <f>E75+F75</f>
        <v/>
      </c>
      <c r="H75" s="14">
        <f>D75-G75</f>
        <v/>
      </c>
      <c r="I75" s="15">
        <f>IF(D75=0,"",G75/D75)</f>
        <v/>
      </c>
    </row>
    <row r="76">
      <c r="A76" s="3" t="inlineStr">
        <is>
          <t>AUT</t>
        </is>
      </c>
      <c r="B76" s="3">
        <f>$O$18</f>
        <v/>
      </c>
      <c r="C76" s="14">
        <f>SUMIFS(tblAsignaciones[horas_disponibles],tblAsignaciones[especialidad],$A76,tblAsignaciones[semana],$B76)</f>
        <v/>
      </c>
      <c r="D76" s="14">
        <f>C76*p_factor_productividad</f>
        <v/>
      </c>
      <c r="E76" s="14">
        <f>SUMIFS(tblOrdenes[horas_efectivas],tblOrdenes[especialidad],$A76,tblOrdenes[semana],$B76,tblOrdenes[clasificacion],"preventiva")</f>
        <v/>
      </c>
      <c r="F76" s="14">
        <f>SUMIFS(tblOrdenes[horas_efectivas],tblOrdenes[especialidad],$A76,tblOrdenes[semana],$B76,tblOrdenes[clasificacion],"correctiva")</f>
        <v/>
      </c>
      <c r="G76" s="14">
        <f>E76+F76</f>
        <v/>
      </c>
      <c r="H76" s="14">
        <f>D76-G76</f>
        <v/>
      </c>
      <c r="I76" s="15">
        <f>IF(D76=0,"",G76/D76)</f>
        <v/>
      </c>
    </row>
    <row r="77">
      <c r="A77" s="3" t="inlineStr">
        <is>
          <t>OP</t>
        </is>
      </c>
      <c r="B77" s="3">
        <f>$O$18</f>
        <v/>
      </c>
      <c r="C77" s="14">
        <f>SUMIFS(tblAsignaciones[horas_disponibles],tblAsignaciones[especialidad],$A77,tblAsignaciones[semana],$B77)</f>
        <v/>
      </c>
      <c r="D77" s="14">
        <f>C77*p_factor_productividad</f>
        <v/>
      </c>
      <c r="E77" s="14">
        <f>SUMIFS(tblOrdenes[horas_efectivas],tblOrdenes[especialidad],$A77,tblOrdenes[semana],$B77,tblOrdenes[clasificacion],"preventiva")</f>
        <v/>
      </c>
      <c r="F77" s="14">
        <f>SUMIFS(tblOrdenes[horas_efectivas],tblOrdenes[especialidad],$A77,tblOrdenes[semana],$B77,tblOrdenes[clasificacion],"correctiva")</f>
        <v/>
      </c>
      <c r="G77" s="14">
        <f>E77+F77</f>
        <v/>
      </c>
      <c r="H77" s="14">
        <f>D77-G77</f>
        <v/>
      </c>
      <c r="I77" s="15">
        <f>IF(D77=0,"",G77/D77)</f>
        <v/>
      </c>
    </row>
    <row r="78">
      <c r="A78" s="3" t="inlineStr">
        <is>
          <t>TERCERO</t>
        </is>
      </c>
      <c r="B78" s="3">
        <f>$O$18</f>
        <v/>
      </c>
      <c r="C78" s="14">
        <f>SUMIFS(tblAsignaciones[horas_disponibles],tblAsignaciones[especialidad],$A78,tblAsignaciones[semana],$B78)</f>
        <v/>
      </c>
      <c r="D78" s="14">
        <f>C78*p_factor_productividad</f>
        <v/>
      </c>
      <c r="E78" s="14">
        <f>SUMIFS(tblOrdenes[horas_efectivas],tblOrdenes[especialidad],$A78,tblOrdenes[semana],$B78,tblOrdenes[clasificacion],"preventiva")</f>
        <v/>
      </c>
      <c r="F78" s="14">
        <f>SUMIFS(tblOrdenes[horas_efectivas],tblOrdenes[especialidad],$A78,tblOrdenes[semana],$B78,tblOrdenes[clasificacion],"correctiva")</f>
        <v/>
      </c>
      <c r="G78" s="14">
        <f>E78+F78</f>
        <v/>
      </c>
      <c r="H78" s="14">
        <f>D78-G78</f>
        <v/>
      </c>
      <c r="I78" s="15">
        <f>IF(D78=0,"",G78/D78)</f>
        <v/>
      </c>
    </row>
    <row r="79">
      <c r="A79" s="3" t="inlineStr">
        <is>
          <t>MEC</t>
        </is>
      </c>
      <c r="B79" s="3">
        <f>$O$19</f>
        <v/>
      </c>
      <c r="C79" s="14">
        <f>SUMIFS(tblAsignaciones[horas_disponibles],tblAsignaciones[especialidad],$A79,tblAsignaciones[semana],$B79)</f>
        <v/>
      </c>
      <c r="D79" s="14">
        <f>C79*p_factor_productividad</f>
        <v/>
      </c>
      <c r="E79" s="14">
        <f>SUMIFS(tblOrdenes[horas_efectivas],tblOrdenes[especialidad],$A79,tblOrdenes[semana],$B79,tblOrdenes[clasificacion],"preventiva")</f>
        <v/>
      </c>
      <c r="F79" s="14">
        <f>SUMIFS(tblOrdenes[horas_efectivas],tblOrdenes[especialidad],$A79,tblOrdenes[semana],$B79,tblOrdenes[clasificacion],"correctiva")</f>
        <v/>
      </c>
      <c r="G79" s="14">
        <f>E79+F79</f>
        <v/>
      </c>
      <c r="H79" s="14">
        <f>D79-G79</f>
        <v/>
      </c>
      <c r="I79" s="15">
        <f>IF(D79=0,"",G79/D79)</f>
        <v/>
      </c>
    </row>
    <row r="80">
      <c r="A80" s="3" t="inlineStr">
        <is>
          <t>ELE</t>
        </is>
      </c>
      <c r="B80" s="3">
        <f>$O$19</f>
        <v/>
      </c>
      <c r="C80" s="14">
        <f>SUMIFS(tblAsignaciones[horas_disponibles],tblAsignaciones[especialidad],$A80,tblAsignaciones[semana],$B80)</f>
        <v/>
      </c>
      <c r="D80" s="14">
        <f>C80*p_factor_productividad</f>
        <v/>
      </c>
      <c r="E80" s="14">
        <f>SUMIFS(tblOrdenes[horas_efectivas],tblOrdenes[especialidad],$A80,tblOrdenes[semana],$B80,tblOrdenes[clasificacion],"preventiva")</f>
        <v/>
      </c>
      <c r="F80" s="14">
        <f>SUMIFS(tblOrdenes[horas_efectivas],tblOrdenes[especialidad],$A80,tblOrdenes[semana],$B80,tblOrdenes[clasificacion],"correctiva")</f>
        <v/>
      </c>
      <c r="G80" s="14">
        <f>E80+F80</f>
        <v/>
      </c>
      <c r="H80" s="14">
        <f>D80-G80</f>
        <v/>
      </c>
      <c r="I80" s="15">
        <f>IF(D80=0,"",G80/D80)</f>
        <v/>
      </c>
    </row>
    <row r="81">
      <c r="A81" s="3" t="inlineStr">
        <is>
          <t>AUT</t>
        </is>
      </c>
      <c r="B81" s="3">
        <f>$O$19</f>
        <v/>
      </c>
      <c r="C81" s="14">
        <f>SUMIFS(tblAsignaciones[horas_disponibles],tblAsignaciones[especialidad],$A81,tblAsignaciones[semana],$B81)</f>
        <v/>
      </c>
      <c r="D81" s="14">
        <f>C81*p_factor_productividad</f>
        <v/>
      </c>
      <c r="E81" s="14">
        <f>SUMIFS(tblOrdenes[horas_efectivas],tblOrdenes[especialidad],$A81,tblOrdenes[semana],$B81,tblOrdenes[clasificacion],"preventiva")</f>
        <v/>
      </c>
      <c r="F81" s="14">
        <f>SUMIFS(tblOrdenes[horas_efectivas],tblOrdenes[especialidad],$A81,tblOrdenes[semana],$B81,tblOrdenes[clasificacion],"correctiva")</f>
        <v/>
      </c>
      <c r="G81" s="14">
        <f>E81+F81</f>
        <v/>
      </c>
      <c r="H81" s="14">
        <f>D81-G81</f>
        <v/>
      </c>
      <c r="I81" s="15">
        <f>IF(D81=0,"",G81/D81)</f>
        <v/>
      </c>
    </row>
    <row r="82">
      <c r="A82" s="3" t="inlineStr">
        <is>
          <t>OP</t>
        </is>
      </c>
      <c r="B82" s="3">
        <f>$O$19</f>
        <v/>
      </c>
      <c r="C82" s="14">
        <f>SUMIFS(tblAsignaciones[horas_disponibles],tblAsignaciones[especialidad],$A82,tblAsignaciones[semana],$B82)</f>
        <v/>
      </c>
      <c r="D82" s="14">
        <f>C82*p_factor_productividad</f>
        <v/>
      </c>
      <c r="E82" s="14">
        <f>SUMIFS(tblOrdenes[horas_efectivas],tblOrdenes[especialidad],$A82,tblOrdenes[semana],$B82,tblOrdenes[clasificacion],"preventiva")</f>
        <v/>
      </c>
      <c r="F82" s="14">
        <f>SUMIFS(tblOrdenes[horas_efectivas],tblOrdenes[especialidad],$A82,tblOrdenes[semana],$B82,tblOrdenes[clasificacion],"correctiva")</f>
        <v/>
      </c>
      <c r="G82" s="14">
        <f>E82+F82</f>
        <v/>
      </c>
      <c r="H82" s="14">
        <f>D82-G82</f>
        <v/>
      </c>
      <c r="I82" s="15">
        <f>IF(D82=0,"",G82/D82)</f>
        <v/>
      </c>
    </row>
    <row r="83">
      <c r="A83" s="3" t="inlineStr">
        <is>
          <t>TERCERO</t>
        </is>
      </c>
      <c r="B83" s="3">
        <f>$O$19</f>
        <v/>
      </c>
      <c r="C83" s="14">
        <f>SUMIFS(tblAsignaciones[horas_disponibles],tblAsignaciones[especialidad],$A83,tblAsignaciones[semana],$B83)</f>
        <v/>
      </c>
      <c r="D83" s="14">
        <f>C83*p_factor_productividad</f>
        <v/>
      </c>
      <c r="E83" s="14">
        <f>SUMIFS(tblOrdenes[horas_efectivas],tblOrdenes[especialidad],$A83,tblOrdenes[semana],$B83,tblOrdenes[clasificacion],"preventiva")</f>
        <v/>
      </c>
      <c r="F83" s="14">
        <f>SUMIFS(tblOrdenes[horas_efectivas],tblOrdenes[especialidad],$A83,tblOrdenes[semana],$B83,tblOrdenes[clasificacion],"correctiva")</f>
        <v/>
      </c>
      <c r="G83" s="14">
        <f>E83+F83</f>
        <v/>
      </c>
      <c r="H83" s="14">
        <f>D83-G83</f>
        <v/>
      </c>
      <c r="I83" s="15">
        <f>IF(D83=0,"",G83/D83)</f>
        <v/>
      </c>
    </row>
    <row r="84">
      <c r="A84" s="3" t="inlineStr">
        <is>
          <t>MEC</t>
        </is>
      </c>
      <c r="B84" s="3">
        <f>$O$20</f>
        <v/>
      </c>
      <c r="C84" s="14">
        <f>SUMIFS(tblAsignaciones[horas_disponibles],tblAsignaciones[especialidad],$A84,tblAsignaciones[semana],$B84)</f>
        <v/>
      </c>
      <c r="D84" s="14">
        <f>C84*p_factor_productividad</f>
        <v/>
      </c>
      <c r="E84" s="14">
        <f>SUMIFS(tblOrdenes[horas_efectivas],tblOrdenes[especialidad],$A84,tblOrdenes[semana],$B84,tblOrdenes[clasificacion],"preventiva")</f>
        <v/>
      </c>
      <c r="F84" s="14">
        <f>SUMIFS(tblOrdenes[horas_efectivas],tblOrdenes[especialidad],$A84,tblOrdenes[semana],$B84,tblOrdenes[clasificacion],"correctiva")</f>
        <v/>
      </c>
      <c r="G84" s="14">
        <f>E84+F84</f>
        <v/>
      </c>
      <c r="H84" s="14">
        <f>D84-G84</f>
        <v/>
      </c>
      <c r="I84" s="15">
        <f>IF(D84=0,"",G84/D84)</f>
        <v/>
      </c>
    </row>
    <row r="85">
      <c r="A85" s="3" t="inlineStr">
        <is>
          <t>ELE</t>
        </is>
      </c>
      <c r="B85" s="3">
        <f>$O$20</f>
        <v/>
      </c>
      <c r="C85" s="14">
        <f>SUMIFS(tblAsignaciones[horas_disponibles],tblAsignaciones[especialidad],$A85,tblAsignaciones[semana],$B85)</f>
        <v/>
      </c>
      <c r="D85" s="14">
        <f>C85*p_factor_productividad</f>
        <v/>
      </c>
      <c r="E85" s="14">
        <f>SUMIFS(tblOrdenes[horas_efectivas],tblOrdenes[especialidad],$A85,tblOrdenes[semana],$B85,tblOrdenes[clasificacion],"preventiva")</f>
        <v/>
      </c>
      <c r="F85" s="14">
        <f>SUMIFS(tblOrdenes[horas_efectivas],tblOrdenes[especialidad],$A85,tblOrdenes[semana],$B85,tblOrdenes[clasificacion],"correctiva")</f>
        <v/>
      </c>
      <c r="G85" s="14">
        <f>E85+F85</f>
        <v/>
      </c>
      <c r="H85" s="14">
        <f>D85-G85</f>
        <v/>
      </c>
      <c r="I85" s="15">
        <f>IF(D85=0,"",G85/D85)</f>
        <v/>
      </c>
    </row>
    <row r="86">
      <c r="A86" s="3" t="inlineStr">
        <is>
          <t>AUT</t>
        </is>
      </c>
      <c r="B86" s="3">
        <f>$O$20</f>
        <v/>
      </c>
      <c r="C86" s="14">
        <f>SUMIFS(tblAsignaciones[horas_disponibles],tblAsignaciones[especialidad],$A86,tblAsignaciones[semana],$B86)</f>
        <v/>
      </c>
      <c r="D86" s="14">
        <f>C86*p_factor_productividad</f>
        <v/>
      </c>
      <c r="E86" s="14">
        <f>SUMIFS(tblOrdenes[horas_efectivas],tblOrdenes[especialidad],$A86,tblOrdenes[semana],$B86,tblOrdenes[clasificacion],"preventiva")</f>
        <v/>
      </c>
      <c r="F86" s="14">
        <f>SUMIFS(tblOrdenes[horas_efectivas],tblOrdenes[especialidad],$A86,tblOrdenes[semana],$B86,tblOrdenes[clasificacion],"correctiva")</f>
        <v/>
      </c>
      <c r="G86" s="14">
        <f>E86+F86</f>
        <v/>
      </c>
      <c r="H86" s="14">
        <f>D86-G86</f>
        <v/>
      </c>
      <c r="I86" s="15">
        <f>IF(D86=0,"",G86/D86)</f>
        <v/>
      </c>
    </row>
    <row r="87">
      <c r="A87" s="3" t="inlineStr">
        <is>
          <t>OP</t>
        </is>
      </c>
      <c r="B87" s="3">
        <f>$O$20</f>
        <v/>
      </c>
      <c r="C87" s="14">
        <f>SUMIFS(tblAsignaciones[horas_disponibles],tblAsignaciones[especialidad],$A87,tblAsignaciones[semana],$B87)</f>
        <v/>
      </c>
      <c r="D87" s="14">
        <f>C87*p_factor_productividad</f>
        <v/>
      </c>
      <c r="E87" s="14">
        <f>SUMIFS(tblOrdenes[horas_efectivas],tblOrdenes[especialidad],$A87,tblOrdenes[semana],$B87,tblOrdenes[clasificacion],"preventiva")</f>
        <v/>
      </c>
      <c r="F87" s="14">
        <f>SUMIFS(tblOrdenes[horas_efectivas],tblOrdenes[especialidad],$A87,tblOrdenes[semana],$B87,tblOrdenes[clasificacion],"correctiva")</f>
        <v/>
      </c>
      <c r="G87" s="14">
        <f>E87+F87</f>
        <v/>
      </c>
      <c r="H87" s="14">
        <f>D87-G87</f>
        <v/>
      </c>
      <c r="I87" s="15">
        <f>IF(D87=0,"",G87/D87)</f>
        <v/>
      </c>
    </row>
    <row r="88">
      <c r="A88" s="3" t="inlineStr">
        <is>
          <t>TERCERO</t>
        </is>
      </c>
      <c r="B88" s="3">
        <f>$O$20</f>
        <v/>
      </c>
      <c r="C88" s="14">
        <f>SUMIFS(tblAsignaciones[horas_disponibles],tblAsignaciones[especialidad],$A88,tblAsignaciones[semana],$B88)</f>
        <v/>
      </c>
      <c r="D88" s="14">
        <f>C88*p_factor_productividad</f>
        <v/>
      </c>
      <c r="E88" s="14">
        <f>SUMIFS(tblOrdenes[horas_efectivas],tblOrdenes[especialidad],$A88,tblOrdenes[semana],$B88,tblOrdenes[clasificacion],"preventiva")</f>
        <v/>
      </c>
      <c r="F88" s="14">
        <f>SUMIFS(tblOrdenes[horas_efectivas],tblOrdenes[especialidad],$A88,tblOrdenes[semana],$B88,tblOrdenes[clasificacion],"correctiva")</f>
        <v/>
      </c>
      <c r="G88" s="14">
        <f>E88+F88</f>
        <v/>
      </c>
      <c r="H88" s="14">
        <f>D88-G88</f>
        <v/>
      </c>
      <c r="I88" s="15">
        <f>IF(D88=0,"",G88/D88)</f>
        <v/>
      </c>
    </row>
    <row r="89">
      <c r="A89" s="3" t="inlineStr">
        <is>
          <t>MEC</t>
        </is>
      </c>
      <c r="B89" s="3">
        <f>$O$21</f>
        <v/>
      </c>
      <c r="C89" s="14">
        <f>SUMIFS(tblAsignaciones[horas_disponibles],tblAsignaciones[especialidad],$A89,tblAsignaciones[semana],$B89)</f>
        <v/>
      </c>
      <c r="D89" s="14">
        <f>C89*p_factor_productividad</f>
        <v/>
      </c>
      <c r="E89" s="14">
        <f>SUMIFS(tblOrdenes[horas_efectivas],tblOrdenes[especialidad],$A89,tblOrdenes[semana],$B89,tblOrdenes[clasificacion],"preventiva")</f>
        <v/>
      </c>
      <c r="F89" s="14">
        <f>SUMIFS(tblOrdenes[horas_efectivas],tblOrdenes[especialidad],$A89,tblOrdenes[semana],$B89,tblOrdenes[clasificacion],"correctiva")</f>
        <v/>
      </c>
      <c r="G89" s="14">
        <f>E89+F89</f>
        <v/>
      </c>
      <c r="H89" s="14">
        <f>D89-G89</f>
        <v/>
      </c>
      <c r="I89" s="15">
        <f>IF(D89=0,"",G89/D89)</f>
        <v/>
      </c>
    </row>
    <row r="90">
      <c r="A90" s="3" t="inlineStr">
        <is>
          <t>ELE</t>
        </is>
      </c>
      <c r="B90" s="3">
        <f>$O$21</f>
        <v/>
      </c>
      <c r="C90" s="14">
        <f>SUMIFS(tblAsignaciones[horas_disponibles],tblAsignaciones[especialidad],$A90,tblAsignaciones[semana],$B90)</f>
        <v/>
      </c>
      <c r="D90" s="14">
        <f>C90*p_factor_productividad</f>
        <v/>
      </c>
      <c r="E90" s="14">
        <f>SUMIFS(tblOrdenes[horas_efectivas],tblOrdenes[especialidad],$A90,tblOrdenes[semana],$B90,tblOrdenes[clasificacion],"preventiva")</f>
        <v/>
      </c>
      <c r="F90" s="14">
        <f>SUMIFS(tblOrdenes[horas_efectivas],tblOrdenes[especialidad],$A90,tblOrdenes[semana],$B90,tblOrdenes[clasificacion],"correctiva")</f>
        <v/>
      </c>
      <c r="G90" s="14">
        <f>E90+F90</f>
        <v/>
      </c>
      <c r="H90" s="14">
        <f>D90-G90</f>
        <v/>
      </c>
      <c r="I90" s="15">
        <f>IF(D90=0,"",G90/D90)</f>
        <v/>
      </c>
    </row>
    <row r="91">
      <c r="A91" s="3" t="inlineStr">
        <is>
          <t>AUT</t>
        </is>
      </c>
      <c r="B91" s="3">
        <f>$O$21</f>
        <v/>
      </c>
      <c r="C91" s="14">
        <f>SUMIFS(tblAsignaciones[horas_disponibles],tblAsignaciones[especialidad],$A91,tblAsignaciones[semana],$B91)</f>
        <v/>
      </c>
      <c r="D91" s="14">
        <f>C91*p_factor_productividad</f>
        <v/>
      </c>
      <c r="E91" s="14">
        <f>SUMIFS(tblOrdenes[horas_efectivas],tblOrdenes[especialidad],$A91,tblOrdenes[semana],$B91,tblOrdenes[clasificacion],"preventiva")</f>
        <v/>
      </c>
      <c r="F91" s="14">
        <f>SUMIFS(tblOrdenes[horas_efectivas],tblOrdenes[especialidad],$A91,tblOrdenes[semana],$B91,tblOrdenes[clasificacion],"correctiva")</f>
        <v/>
      </c>
      <c r="G91" s="14">
        <f>E91+F91</f>
        <v/>
      </c>
      <c r="H91" s="14">
        <f>D91-G91</f>
        <v/>
      </c>
      <c r="I91" s="15">
        <f>IF(D91=0,"",G91/D91)</f>
        <v/>
      </c>
    </row>
    <row r="92">
      <c r="A92" s="3" t="inlineStr">
        <is>
          <t>OP</t>
        </is>
      </c>
      <c r="B92" s="3">
        <f>$O$21</f>
        <v/>
      </c>
      <c r="C92" s="14">
        <f>SUMIFS(tblAsignaciones[horas_disponibles],tblAsignaciones[especialidad],$A92,tblAsignaciones[semana],$B92)</f>
        <v/>
      </c>
      <c r="D92" s="14">
        <f>C92*p_factor_productividad</f>
        <v/>
      </c>
      <c r="E92" s="14">
        <f>SUMIFS(tblOrdenes[horas_efectivas],tblOrdenes[especialidad],$A92,tblOrdenes[semana],$B92,tblOrdenes[clasificacion],"preventiva")</f>
        <v/>
      </c>
      <c r="F92" s="14">
        <f>SUMIFS(tblOrdenes[horas_efectivas],tblOrdenes[especialidad],$A92,tblOrdenes[semana],$B92,tblOrdenes[clasificacion],"correctiva")</f>
        <v/>
      </c>
      <c r="G92" s="14">
        <f>E92+F92</f>
        <v/>
      </c>
      <c r="H92" s="14">
        <f>D92-G92</f>
        <v/>
      </c>
      <c r="I92" s="15">
        <f>IF(D92=0,"",G92/D92)</f>
        <v/>
      </c>
    </row>
    <row r="93">
      <c r="A93" s="3" t="inlineStr">
        <is>
          <t>TERCERO</t>
        </is>
      </c>
      <c r="B93" s="3">
        <f>$O$21</f>
        <v/>
      </c>
      <c r="C93" s="14">
        <f>SUMIFS(tblAsignaciones[horas_disponibles],tblAsignaciones[especialidad],$A93,tblAsignaciones[semana],$B93)</f>
        <v/>
      </c>
      <c r="D93" s="14">
        <f>C93*p_factor_productividad</f>
        <v/>
      </c>
      <c r="E93" s="14">
        <f>SUMIFS(tblOrdenes[horas_efectivas],tblOrdenes[especialidad],$A93,tblOrdenes[semana],$B93,tblOrdenes[clasificacion],"preventiva")</f>
        <v/>
      </c>
      <c r="F93" s="14">
        <f>SUMIFS(tblOrdenes[horas_efectivas],tblOrdenes[especialidad],$A93,tblOrdenes[semana],$B93,tblOrdenes[clasificacion],"correctiva")</f>
        <v/>
      </c>
      <c r="G93" s="14">
        <f>E93+F93</f>
        <v/>
      </c>
      <c r="H93" s="14">
        <f>D93-G93</f>
        <v/>
      </c>
      <c r="I93" s="15">
        <f>IF(D93=0,"",G93/D93)</f>
        <v/>
      </c>
    </row>
    <row r="94" hidden="1">
      <c r="A94" s="3" t="inlineStr">
        <is>
          <t>MEC</t>
        </is>
      </c>
      <c r="B94" s="3">
        <f>$O$22</f>
        <v/>
      </c>
      <c r="C94" s="14">
        <f>SUMIFS(tblAsignaciones[horas_disponibles],tblAsignaciones[especialidad],$A94,tblAsignaciones[semana],$B94)</f>
        <v/>
      </c>
      <c r="D94" s="14">
        <f>C94*p_factor_productividad</f>
        <v/>
      </c>
      <c r="E94" s="14">
        <f>SUMIFS(tblOrdenes[horas_efectivas],tblOrdenes[especialidad],$A94,tblOrdenes[semana],$B94,tblOrdenes[clasificacion],"preventiva")</f>
        <v/>
      </c>
      <c r="F94" s="14">
        <f>SUMIFS(tblOrdenes[horas_efectivas],tblOrdenes[especialidad],$A94,tblOrdenes[semana],$B94,tblOrdenes[clasificacion],"correctiva")</f>
        <v/>
      </c>
      <c r="G94" s="14">
        <f>E94+F94</f>
        <v/>
      </c>
      <c r="H94" s="14">
        <f>D94-G94</f>
        <v/>
      </c>
      <c r="I94" s="15">
        <f>IF(D94=0,"",G94/D94)</f>
        <v/>
      </c>
    </row>
    <row r="95" hidden="1">
      <c r="A95" s="3" t="inlineStr">
        <is>
          <t>ELE</t>
        </is>
      </c>
      <c r="B95" s="3">
        <f>$O$22</f>
        <v/>
      </c>
      <c r="C95" s="14">
        <f>SUMIFS(tblAsignaciones[horas_disponibles],tblAsignaciones[especialidad],$A95,tblAsignaciones[semana],$B95)</f>
        <v/>
      </c>
      <c r="D95" s="14">
        <f>C95*p_factor_productividad</f>
        <v/>
      </c>
      <c r="E95" s="14">
        <f>SUMIFS(tblOrdenes[horas_efectivas],tblOrdenes[especialidad],$A95,tblOrdenes[semana],$B95,tblOrdenes[clasificacion],"preventiva")</f>
        <v/>
      </c>
      <c r="F95" s="14">
        <f>SUMIFS(tblOrdenes[horas_efectivas],tblOrdenes[especialidad],$A95,tblOrdenes[semana],$B95,tblOrdenes[clasificacion],"correctiva")</f>
        <v/>
      </c>
      <c r="G95" s="14">
        <f>E95+F95</f>
        <v/>
      </c>
      <c r="H95" s="14">
        <f>D95-G95</f>
        <v/>
      </c>
      <c r="I95" s="15">
        <f>IF(D95=0,"",G95/D95)</f>
        <v/>
      </c>
    </row>
    <row r="96" hidden="1">
      <c r="A96" s="3" t="inlineStr">
        <is>
          <t>AUT</t>
        </is>
      </c>
      <c r="B96" s="3">
        <f>$O$22</f>
        <v/>
      </c>
      <c r="C96" s="14">
        <f>SUMIFS(tblAsignaciones[horas_disponibles],tblAsignaciones[especialidad],$A96,tblAsignaciones[semana],$B96)</f>
        <v/>
      </c>
      <c r="D96" s="14">
        <f>C96*p_factor_productividad</f>
        <v/>
      </c>
      <c r="E96" s="14">
        <f>SUMIFS(tblOrdenes[horas_efectivas],tblOrdenes[especialidad],$A96,tblOrdenes[semana],$B96,tblOrdenes[clasificacion],"preventiva")</f>
        <v/>
      </c>
      <c r="F96" s="14">
        <f>SUMIFS(tblOrdenes[horas_efectivas],tblOrdenes[especialidad],$A96,tblOrdenes[semana],$B96,tblOrdenes[clasificacion],"correctiva")</f>
        <v/>
      </c>
      <c r="G96" s="14">
        <f>E96+F96</f>
        <v/>
      </c>
      <c r="H96" s="14">
        <f>D96-G96</f>
        <v/>
      </c>
      <c r="I96" s="15">
        <f>IF(D96=0,"",G96/D96)</f>
        <v/>
      </c>
    </row>
    <row r="97" hidden="1">
      <c r="A97" s="3" t="inlineStr">
        <is>
          <t>OP</t>
        </is>
      </c>
      <c r="B97" s="3">
        <f>$O$22</f>
        <v/>
      </c>
      <c r="C97" s="14">
        <f>SUMIFS(tblAsignaciones[horas_disponibles],tblAsignaciones[especialidad],$A97,tblAsignaciones[semana],$B97)</f>
        <v/>
      </c>
      <c r="D97" s="14">
        <f>C97*p_factor_productividad</f>
        <v/>
      </c>
      <c r="E97" s="14">
        <f>SUMIFS(tblOrdenes[horas_efectivas],tblOrdenes[especialidad],$A97,tblOrdenes[semana],$B97,tblOrdenes[clasificacion],"preventiva")</f>
        <v/>
      </c>
      <c r="F97" s="14">
        <f>SUMIFS(tblOrdenes[horas_efectivas],tblOrdenes[especialidad],$A97,tblOrdenes[semana],$B97,tblOrdenes[clasificacion],"correctiva")</f>
        <v/>
      </c>
      <c r="G97" s="14">
        <f>E97+F97</f>
        <v/>
      </c>
      <c r="H97" s="14">
        <f>D97-G97</f>
        <v/>
      </c>
      <c r="I97" s="15">
        <f>IF(D97=0,"",G97/D97)</f>
        <v/>
      </c>
    </row>
    <row r="98" hidden="1">
      <c r="A98" s="3" t="inlineStr">
        <is>
          <t>TERCERO</t>
        </is>
      </c>
      <c r="B98" s="3">
        <f>$O$22</f>
        <v/>
      </c>
      <c r="C98" s="14">
        <f>SUMIFS(tblAsignaciones[horas_disponibles],tblAsignaciones[especialidad],$A98,tblAsignaciones[semana],$B98)</f>
        <v/>
      </c>
      <c r="D98" s="14">
        <f>C98*p_factor_productividad</f>
        <v/>
      </c>
      <c r="E98" s="14">
        <f>SUMIFS(tblOrdenes[horas_efectivas],tblOrdenes[especialidad],$A98,tblOrdenes[semana],$B98,tblOrdenes[clasificacion],"preventiva")</f>
        <v/>
      </c>
      <c r="F98" s="14">
        <f>SUMIFS(tblOrdenes[horas_efectivas],tblOrdenes[especialidad],$A98,tblOrdenes[semana],$B98,tblOrdenes[clasificacion],"correctiva")</f>
        <v/>
      </c>
      <c r="G98" s="14">
        <f>E98+F98</f>
        <v/>
      </c>
      <c r="H98" s="14">
        <f>D98-G98</f>
        <v/>
      </c>
      <c r="I98" s="15">
        <f>IF(D98=0,"",G98/D98)</f>
        <v/>
      </c>
    </row>
    <row r="99" hidden="1">
      <c r="A99" s="3" t="inlineStr">
        <is>
          <t>MEC</t>
        </is>
      </c>
      <c r="B99" s="3">
        <f>$O$23</f>
        <v/>
      </c>
      <c r="C99" s="14">
        <f>SUMIFS(tblAsignaciones[horas_disponibles],tblAsignaciones[especialidad],$A99,tblAsignaciones[semana],$B99)</f>
        <v/>
      </c>
      <c r="D99" s="14">
        <f>C99*p_factor_productividad</f>
        <v/>
      </c>
      <c r="E99" s="14">
        <f>SUMIFS(tblOrdenes[horas_efectivas],tblOrdenes[especialidad],$A99,tblOrdenes[semana],$B99,tblOrdenes[clasificacion],"preventiva")</f>
        <v/>
      </c>
      <c r="F99" s="14">
        <f>SUMIFS(tblOrdenes[horas_efectivas],tblOrdenes[especialidad],$A99,tblOrdenes[semana],$B99,tblOrdenes[clasificacion],"correctiva")</f>
        <v/>
      </c>
      <c r="G99" s="14">
        <f>E99+F99</f>
        <v/>
      </c>
      <c r="H99" s="14">
        <f>D99-G99</f>
        <v/>
      </c>
      <c r="I99" s="15">
        <f>IF(D99=0,"",G99/D99)</f>
        <v/>
      </c>
    </row>
    <row r="100" hidden="1">
      <c r="A100" s="3" t="inlineStr">
        <is>
          <t>ELE</t>
        </is>
      </c>
      <c r="B100" s="3">
        <f>$O$23</f>
        <v/>
      </c>
      <c r="C100" s="14">
        <f>SUMIFS(tblAsignaciones[horas_disponibles],tblAsignaciones[especialidad],$A100,tblAsignaciones[semana],$B100)</f>
        <v/>
      </c>
      <c r="D100" s="14">
        <f>C100*p_factor_productividad</f>
        <v/>
      </c>
      <c r="E100" s="14">
        <f>SUMIFS(tblOrdenes[horas_efectivas],tblOrdenes[especialidad],$A100,tblOrdenes[semana],$B100,tblOrdenes[clasificacion],"preventiva")</f>
        <v/>
      </c>
      <c r="F100" s="14">
        <f>SUMIFS(tblOrdenes[horas_efectivas],tblOrdenes[especialidad],$A100,tblOrdenes[semana],$B100,tblOrdenes[clasificacion],"correctiva")</f>
        <v/>
      </c>
      <c r="G100" s="14">
        <f>E100+F100</f>
        <v/>
      </c>
      <c r="H100" s="14">
        <f>D100-G100</f>
        <v/>
      </c>
      <c r="I100" s="15">
        <f>IF(D100=0,"",G100/D100)</f>
        <v/>
      </c>
    </row>
    <row r="101" hidden="1">
      <c r="A101" s="3" t="inlineStr">
        <is>
          <t>AUT</t>
        </is>
      </c>
      <c r="B101" s="3">
        <f>$O$23</f>
        <v/>
      </c>
      <c r="C101" s="14">
        <f>SUMIFS(tblAsignaciones[horas_disponibles],tblAsignaciones[especialidad],$A101,tblAsignaciones[semana],$B101)</f>
        <v/>
      </c>
      <c r="D101" s="14">
        <f>C101*p_factor_productividad</f>
        <v/>
      </c>
      <c r="E101" s="14">
        <f>SUMIFS(tblOrdenes[horas_efectivas],tblOrdenes[especialidad],$A101,tblOrdenes[semana],$B101,tblOrdenes[clasificacion],"preventiva")</f>
        <v/>
      </c>
      <c r="F101" s="14">
        <f>SUMIFS(tblOrdenes[horas_efectivas],tblOrdenes[especialidad],$A101,tblOrdenes[semana],$B101,tblOrdenes[clasificacion],"correctiva")</f>
        <v/>
      </c>
      <c r="G101" s="14">
        <f>E101+F101</f>
        <v/>
      </c>
      <c r="H101" s="14">
        <f>D101-G101</f>
        <v/>
      </c>
      <c r="I101" s="15">
        <f>IF(D101=0,"",G101/D101)</f>
        <v/>
      </c>
    </row>
    <row r="102" hidden="1">
      <c r="A102" s="3" t="inlineStr">
        <is>
          <t>OP</t>
        </is>
      </c>
      <c r="B102" s="3">
        <f>$O$23</f>
        <v/>
      </c>
      <c r="C102" s="14">
        <f>SUMIFS(tblAsignaciones[horas_disponibles],tblAsignaciones[especialidad],$A102,tblAsignaciones[semana],$B102)</f>
        <v/>
      </c>
      <c r="D102" s="14">
        <f>C102*p_factor_productividad</f>
        <v/>
      </c>
      <c r="E102" s="14">
        <f>SUMIFS(tblOrdenes[horas_efectivas],tblOrdenes[especialidad],$A102,tblOrdenes[semana],$B102,tblOrdenes[clasificacion],"preventiva")</f>
        <v/>
      </c>
      <c r="F102" s="14">
        <f>SUMIFS(tblOrdenes[horas_efectivas],tblOrdenes[especialidad],$A102,tblOrdenes[semana],$B102,tblOrdenes[clasificacion],"correctiva")</f>
        <v/>
      </c>
      <c r="G102" s="14">
        <f>E102+F102</f>
        <v/>
      </c>
      <c r="H102" s="14">
        <f>D102-G102</f>
        <v/>
      </c>
      <c r="I102" s="15">
        <f>IF(D102=0,"",G102/D102)</f>
        <v/>
      </c>
    </row>
    <row r="103" hidden="1">
      <c r="A103" s="3" t="inlineStr">
        <is>
          <t>TERCERO</t>
        </is>
      </c>
      <c r="B103" s="3">
        <f>$O$23</f>
        <v/>
      </c>
      <c r="C103" s="14">
        <f>SUMIFS(tblAsignaciones[horas_disponibles],tblAsignaciones[especialidad],$A103,tblAsignaciones[semana],$B103)</f>
        <v/>
      </c>
      <c r="D103" s="14">
        <f>C103*p_factor_productividad</f>
        <v/>
      </c>
      <c r="E103" s="14">
        <f>SUMIFS(tblOrdenes[horas_efectivas],tblOrdenes[especialidad],$A103,tblOrdenes[semana],$B103,tblOrdenes[clasificacion],"preventiva")</f>
        <v/>
      </c>
      <c r="F103" s="14">
        <f>SUMIFS(tblOrdenes[horas_efectivas],tblOrdenes[especialidad],$A103,tblOrdenes[semana],$B103,tblOrdenes[clasificacion],"correctiva")</f>
        <v/>
      </c>
      <c r="G103" s="14">
        <f>E103+F103</f>
        <v/>
      </c>
      <c r="H103" s="14">
        <f>D103-G103</f>
        <v/>
      </c>
      <c r="I103" s="15">
        <f>IF(D103=0,"",G103/D103)</f>
        <v/>
      </c>
    </row>
    <row r="104" hidden="1">
      <c r="A104" s="3" t="inlineStr">
        <is>
          <t>MEC</t>
        </is>
      </c>
      <c r="B104" s="3">
        <f>$O$24</f>
        <v/>
      </c>
      <c r="C104" s="14">
        <f>SUMIFS(tblAsignaciones[horas_disponibles],tblAsignaciones[especialidad],$A104,tblAsignaciones[semana],$B104)</f>
        <v/>
      </c>
      <c r="D104" s="14">
        <f>C104*p_factor_productividad</f>
        <v/>
      </c>
      <c r="E104" s="14">
        <f>SUMIFS(tblOrdenes[horas_efectivas],tblOrdenes[especialidad],$A104,tblOrdenes[semana],$B104,tblOrdenes[clasificacion],"preventiva")</f>
        <v/>
      </c>
      <c r="F104" s="14">
        <f>SUMIFS(tblOrdenes[horas_efectivas],tblOrdenes[especialidad],$A104,tblOrdenes[semana],$B104,tblOrdenes[clasificacion],"correctiva")</f>
        <v/>
      </c>
      <c r="G104" s="14">
        <f>E104+F104</f>
        <v/>
      </c>
      <c r="H104" s="14">
        <f>D104-G104</f>
        <v/>
      </c>
      <c r="I104" s="15">
        <f>IF(D104=0,"",G104/D104)</f>
        <v/>
      </c>
    </row>
    <row r="105" hidden="1">
      <c r="A105" s="3" t="inlineStr">
        <is>
          <t>ELE</t>
        </is>
      </c>
      <c r="B105" s="3">
        <f>$O$24</f>
        <v/>
      </c>
      <c r="C105" s="14">
        <f>SUMIFS(tblAsignaciones[horas_disponibles],tblAsignaciones[especialidad],$A105,tblAsignaciones[semana],$B105)</f>
        <v/>
      </c>
      <c r="D105" s="14">
        <f>C105*p_factor_productividad</f>
        <v/>
      </c>
      <c r="E105" s="14">
        <f>SUMIFS(tblOrdenes[horas_efectivas],tblOrdenes[especialidad],$A105,tblOrdenes[semana],$B105,tblOrdenes[clasificacion],"preventiva")</f>
        <v/>
      </c>
      <c r="F105" s="14">
        <f>SUMIFS(tblOrdenes[horas_efectivas],tblOrdenes[especialidad],$A105,tblOrdenes[semana],$B105,tblOrdenes[clasificacion],"correctiva")</f>
        <v/>
      </c>
      <c r="G105" s="14">
        <f>E105+F105</f>
        <v/>
      </c>
      <c r="H105" s="14">
        <f>D105-G105</f>
        <v/>
      </c>
      <c r="I105" s="15">
        <f>IF(D105=0,"",G105/D105)</f>
        <v/>
      </c>
    </row>
    <row r="106" hidden="1">
      <c r="A106" s="3" t="inlineStr">
        <is>
          <t>AUT</t>
        </is>
      </c>
      <c r="B106" s="3">
        <f>$O$24</f>
        <v/>
      </c>
      <c r="C106" s="14">
        <f>SUMIFS(tblAsignaciones[horas_disponibles],tblAsignaciones[especialidad],$A106,tblAsignaciones[semana],$B106)</f>
        <v/>
      </c>
      <c r="D106" s="14">
        <f>C106*p_factor_productividad</f>
        <v/>
      </c>
      <c r="E106" s="14">
        <f>SUMIFS(tblOrdenes[horas_efectivas],tblOrdenes[especialidad],$A106,tblOrdenes[semana],$B106,tblOrdenes[clasificacion],"preventiva")</f>
        <v/>
      </c>
      <c r="F106" s="14">
        <f>SUMIFS(tblOrdenes[horas_efectivas],tblOrdenes[especialidad],$A106,tblOrdenes[semana],$B106,tblOrdenes[clasificacion],"correctiva")</f>
        <v/>
      </c>
      <c r="G106" s="14">
        <f>E106+F106</f>
        <v/>
      </c>
      <c r="H106" s="14">
        <f>D106-G106</f>
        <v/>
      </c>
      <c r="I106" s="15">
        <f>IF(D106=0,"",G106/D106)</f>
        <v/>
      </c>
    </row>
    <row r="107" hidden="1">
      <c r="A107" s="3" t="inlineStr">
        <is>
          <t>OP</t>
        </is>
      </c>
      <c r="B107" s="3">
        <f>$O$24</f>
        <v/>
      </c>
      <c r="C107" s="14">
        <f>SUMIFS(tblAsignaciones[horas_disponibles],tblAsignaciones[especialidad],$A107,tblAsignaciones[semana],$B107)</f>
        <v/>
      </c>
      <c r="D107" s="14">
        <f>C107*p_factor_productividad</f>
        <v/>
      </c>
      <c r="E107" s="14">
        <f>SUMIFS(tblOrdenes[horas_efectivas],tblOrdenes[especialidad],$A107,tblOrdenes[semana],$B107,tblOrdenes[clasificacion],"preventiva")</f>
        <v/>
      </c>
      <c r="F107" s="14">
        <f>SUMIFS(tblOrdenes[horas_efectivas],tblOrdenes[especialidad],$A107,tblOrdenes[semana],$B107,tblOrdenes[clasificacion],"correctiva")</f>
        <v/>
      </c>
      <c r="G107" s="14">
        <f>E107+F107</f>
        <v/>
      </c>
      <c r="H107" s="14">
        <f>D107-G107</f>
        <v/>
      </c>
      <c r="I107" s="15">
        <f>IF(D107=0,"",G107/D107)</f>
        <v/>
      </c>
    </row>
    <row r="108" hidden="1">
      <c r="A108" s="3" t="inlineStr">
        <is>
          <t>TERCERO</t>
        </is>
      </c>
      <c r="B108" s="3">
        <f>$O$24</f>
        <v/>
      </c>
      <c r="C108" s="14">
        <f>SUMIFS(tblAsignaciones[horas_disponibles],tblAsignaciones[especialidad],$A108,tblAsignaciones[semana],$B108)</f>
        <v/>
      </c>
      <c r="D108" s="14">
        <f>C108*p_factor_productividad</f>
        <v/>
      </c>
      <c r="E108" s="14">
        <f>SUMIFS(tblOrdenes[horas_efectivas],tblOrdenes[especialidad],$A108,tblOrdenes[semana],$B108,tblOrdenes[clasificacion],"preventiva")</f>
        <v/>
      </c>
      <c r="F108" s="14">
        <f>SUMIFS(tblOrdenes[horas_efectivas],tblOrdenes[especialidad],$A108,tblOrdenes[semana],$B108,tblOrdenes[clasificacion],"correctiva")</f>
        <v/>
      </c>
      <c r="G108" s="14">
        <f>E108+F108</f>
        <v/>
      </c>
      <c r="H108" s="14">
        <f>D108-G108</f>
        <v/>
      </c>
      <c r="I108" s="15">
        <f>IF(D108=0,"",G108/D108)</f>
        <v/>
      </c>
    </row>
    <row r="109">
      <c r="A109" s="3" t="inlineStr">
        <is>
          <t>MEC</t>
        </is>
      </c>
      <c r="B109" s="3">
        <f>$O$25</f>
        <v/>
      </c>
      <c r="C109" s="14">
        <f>SUMIFS(tblAsignaciones[horas_disponibles],tblAsignaciones[especialidad],$A109,tblAsignaciones[semana],$B109)</f>
        <v/>
      </c>
      <c r="D109" s="14">
        <f>C109*p_factor_productividad</f>
        <v/>
      </c>
      <c r="E109" s="14">
        <f>SUMIFS(tblOrdenes[horas_efectivas],tblOrdenes[especialidad],$A109,tblOrdenes[semana],$B109,tblOrdenes[clasificacion],"preventiva")</f>
        <v/>
      </c>
      <c r="F109" s="14">
        <f>SUMIFS(tblOrdenes[horas_efectivas],tblOrdenes[especialidad],$A109,tblOrdenes[semana],$B109,tblOrdenes[clasificacion],"correctiva")</f>
        <v/>
      </c>
      <c r="G109" s="14">
        <f>E109+F109</f>
        <v/>
      </c>
      <c r="H109" s="14">
        <f>D109-G109</f>
        <v/>
      </c>
      <c r="I109" s="15">
        <f>IF(D109=0,"",G109/D109)</f>
        <v/>
      </c>
    </row>
    <row r="110">
      <c r="A110" s="3" t="inlineStr">
        <is>
          <t>ELE</t>
        </is>
      </c>
      <c r="B110" s="3">
        <f>$O$25</f>
        <v/>
      </c>
      <c r="C110" s="14">
        <f>SUMIFS(tblAsignaciones[horas_disponibles],tblAsignaciones[especialidad],$A110,tblAsignaciones[semana],$B110)</f>
        <v/>
      </c>
      <c r="D110" s="14">
        <f>C110*p_factor_productividad</f>
        <v/>
      </c>
      <c r="E110" s="14">
        <f>SUMIFS(tblOrdenes[horas_efectivas],tblOrdenes[especialidad],$A110,tblOrdenes[semana],$B110,tblOrdenes[clasificacion],"preventiva")</f>
        <v/>
      </c>
      <c r="F110" s="14">
        <f>SUMIFS(tblOrdenes[horas_efectivas],tblOrdenes[especialidad],$A110,tblOrdenes[semana],$B110,tblOrdenes[clasificacion],"correctiva")</f>
        <v/>
      </c>
      <c r="G110" s="14">
        <f>E110+F110</f>
        <v/>
      </c>
      <c r="H110" s="14">
        <f>D110-G110</f>
        <v/>
      </c>
      <c r="I110" s="15">
        <f>IF(D110=0,"",G110/D110)</f>
        <v/>
      </c>
    </row>
    <row r="111">
      <c r="A111" s="3" t="inlineStr">
        <is>
          <t>AUT</t>
        </is>
      </c>
      <c r="B111" s="3">
        <f>$O$25</f>
        <v/>
      </c>
      <c r="C111" s="14">
        <f>SUMIFS(tblAsignaciones[horas_disponibles],tblAsignaciones[especialidad],$A111,tblAsignaciones[semana],$B111)</f>
        <v/>
      </c>
      <c r="D111" s="14">
        <f>C111*p_factor_productividad</f>
        <v/>
      </c>
      <c r="E111" s="14">
        <f>SUMIFS(tblOrdenes[horas_efectivas],tblOrdenes[especialidad],$A111,tblOrdenes[semana],$B111,tblOrdenes[clasificacion],"preventiva")</f>
        <v/>
      </c>
      <c r="F111" s="14">
        <f>SUMIFS(tblOrdenes[horas_efectivas],tblOrdenes[especialidad],$A111,tblOrdenes[semana],$B111,tblOrdenes[clasificacion],"correctiva")</f>
        <v/>
      </c>
      <c r="G111" s="14">
        <f>E111+F111</f>
        <v/>
      </c>
      <c r="H111" s="14">
        <f>D111-G111</f>
        <v/>
      </c>
      <c r="I111" s="15">
        <f>IF(D111=0,"",G111/D111)</f>
        <v/>
      </c>
    </row>
    <row r="112">
      <c r="A112" s="3" t="inlineStr">
        <is>
          <t>OP</t>
        </is>
      </c>
      <c r="B112" s="3">
        <f>$O$25</f>
        <v/>
      </c>
      <c r="C112" s="14">
        <f>SUMIFS(tblAsignaciones[horas_disponibles],tblAsignaciones[especialidad],$A112,tblAsignaciones[semana],$B112)</f>
        <v/>
      </c>
      <c r="D112" s="14">
        <f>C112*p_factor_productividad</f>
        <v/>
      </c>
      <c r="E112" s="14">
        <f>SUMIFS(tblOrdenes[horas_efectivas],tblOrdenes[especialidad],$A112,tblOrdenes[semana],$B112,tblOrdenes[clasificacion],"preventiva")</f>
        <v/>
      </c>
      <c r="F112" s="14">
        <f>SUMIFS(tblOrdenes[horas_efectivas],tblOrdenes[especialidad],$A112,tblOrdenes[semana],$B112,tblOrdenes[clasificacion],"correctiva")</f>
        <v/>
      </c>
      <c r="G112" s="14">
        <f>E112+F112</f>
        <v/>
      </c>
      <c r="H112" s="14">
        <f>D112-G112</f>
        <v/>
      </c>
      <c r="I112" s="15">
        <f>IF(D112=0,"",G112/D112)</f>
        <v/>
      </c>
    </row>
    <row r="113">
      <c r="A113" s="3" t="inlineStr">
        <is>
          <t>TERCERO</t>
        </is>
      </c>
      <c r="B113" s="3">
        <f>$O$25</f>
        <v/>
      </c>
      <c r="C113" s="14">
        <f>SUMIFS(tblAsignaciones[horas_disponibles],tblAsignaciones[especialidad],$A113,tblAsignaciones[semana],$B113)</f>
        <v/>
      </c>
      <c r="D113" s="14">
        <f>C113*p_factor_productividad</f>
        <v/>
      </c>
      <c r="E113" s="14">
        <f>SUMIFS(tblOrdenes[horas_efectivas],tblOrdenes[especialidad],$A113,tblOrdenes[semana],$B113,tblOrdenes[clasificacion],"preventiva")</f>
        <v/>
      </c>
      <c r="F113" s="14">
        <f>SUMIFS(tblOrdenes[horas_efectivas],tblOrdenes[especialidad],$A113,tblOrdenes[semana],$B113,tblOrdenes[clasificacion],"correctiva")</f>
        <v/>
      </c>
      <c r="G113" s="14">
        <f>E113+F113</f>
        <v/>
      </c>
      <c r="H113" s="14">
        <f>D113-G113</f>
        <v/>
      </c>
      <c r="I113" s="15">
        <f>IF(D113=0,"",G113/D113)</f>
        <v/>
      </c>
    </row>
    <row r="114">
      <c r="A114" s="3" t="inlineStr">
        <is>
          <t>MEC</t>
        </is>
      </c>
      <c r="B114" s="3">
        <f>$O$26</f>
        <v/>
      </c>
      <c r="C114" s="14">
        <f>SUMIFS(tblAsignaciones[horas_disponibles],tblAsignaciones[especialidad],$A114,tblAsignaciones[semana],$B114)</f>
        <v/>
      </c>
      <c r="D114" s="14">
        <f>C114*p_factor_productividad</f>
        <v/>
      </c>
      <c r="E114" s="14">
        <f>SUMIFS(tblOrdenes[horas_efectivas],tblOrdenes[especialidad],$A114,tblOrdenes[semana],$B114,tblOrdenes[clasificacion],"preventiva")</f>
        <v/>
      </c>
      <c r="F114" s="14">
        <f>SUMIFS(tblOrdenes[horas_efectivas],tblOrdenes[especialidad],$A114,tblOrdenes[semana],$B114,tblOrdenes[clasificacion],"correctiva")</f>
        <v/>
      </c>
      <c r="G114" s="14">
        <f>E114+F114</f>
        <v/>
      </c>
      <c r="H114" s="14">
        <f>D114-G114</f>
        <v/>
      </c>
      <c r="I114" s="15">
        <f>IF(D114=0,"",G114/D114)</f>
        <v/>
      </c>
    </row>
    <row r="115">
      <c r="A115" s="3" t="inlineStr">
        <is>
          <t>ELE</t>
        </is>
      </c>
      <c r="B115" s="3">
        <f>$O$26</f>
        <v/>
      </c>
      <c r="C115" s="14">
        <f>SUMIFS(tblAsignaciones[horas_disponibles],tblAsignaciones[especialidad],$A115,tblAsignaciones[semana],$B115)</f>
        <v/>
      </c>
      <c r="D115" s="14">
        <f>C115*p_factor_productividad</f>
        <v/>
      </c>
      <c r="E115" s="14">
        <f>SUMIFS(tblOrdenes[horas_efectivas],tblOrdenes[especialidad],$A115,tblOrdenes[semana],$B115,tblOrdenes[clasificacion],"preventiva")</f>
        <v/>
      </c>
      <c r="F115" s="14">
        <f>SUMIFS(tblOrdenes[horas_efectivas],tblOrdenes[especialidad],$A115,tblOrdenes[semana],$B115,tblOrdenes[clasificacion],"correctiva")</f>
        <v/>
      </c>
      <c r="G115" s="14">
        <f>E115+F115</f>
        <v/>
      </c>
      <c r="H115" s="14">
        <f>D115-G115</f>
        <v/>
      </c>
      <c r="I115" s="15">
        <f>IF(D115=0,"",G115/D115)</f>
        <v/>
      </c>
    </row>
    <row r="116">
      <c r="A116" s="3" t="inlineStr">
        <is>
          <t>AUT</t>
        </is>
      </c>
      <c r="B116" s="3">
        <f>$O$26</f>
        <v/>
      </c>
      <c r="C116" s="14">
        <f>SUMIFS(tblAsignaciones[horas_disponibles],tblAsignaciones[especialidad],$A116,tblAsignaciones[semana],$B116)</f>
        <v/>
      </c>
      <c r="D116" s="14">
        <f>C116*p_factor_productividad</f>
        <v/>
      </c>
      <c r="E116" s="14">
        <f>SUMIFS(tblOrdenes[horas_efectivas],tblOrdenes[especialidad],$A116,tblOrdenes[semana],$B116,tblOrdenes[clasificacion],"preventiva")</f>
        <v/>
      </c>
      <c r="F116" s="14">
        <f>SUMIFS(tblOrdenes[horas_efectivas],tblOrdenes[especialidad],$A116,tblOrdenes[semana],$B116,tblOrdenes[clasificacion],"correctiva")</f>
        <v/>
      </c>
      <c r="G116" s="14">
        <f>E116+F116</f>
        <v/>
      </c>
      <c r="H116" s="14">
        <f>D116-G116</f>
        <v/>
      </c>
      <c r="I116" s="15">
        <f>IF(D116=0,"",G116/D116)</f>
        <v/>
      </c>
    </row>
    <row r="117">
      <c r="A117" s="3" t="inlineStr">
        <is>
          <t>OP</t>
        </is>
      </c>
      <c r="B117" s="3">
        <f>$O$26</f>
        <v/>
      </c>
      <c r="C117" s="14">
        <f>SUMIFS(tblAsignaciones[horas_disponibles],tblAsignaciones[especialidad],$A117,tblAsignaciones[semana],$B117)</f>
        <v/>
      </c>
      <c r="D117" s="14">
        <f>C117*p_factor_productividad</f>
        <v/>
      </c>
      <c r="E117" s="14">
        <f>SUMIFS(tblOrdenes[horas_efectivas],tblOrdenes[especialidad],$A117,tblOrdenes[semana],$B117,tblOrdenes[clasificacion],"preventiva")</f>
        <v/>
      </c>
      <c r="F117" s="14">
        <f>SUMIFS(tblOrdenes[horas_efectivas],tblOrdenes[especialidad],$A117,tblOrdenes[semana],$B117,tblOrdenes[clasificacion],"correctiva")</f>
        <v/>
      </c>
      <c r="G117" s="14">
        <f>E117+F117</f>
        <v/>
      </c>
      <c r="H117" s="14">
        <f>D117-G117</f>
        <v/>
      </c>
      <c r="I117" s="15">
        <f>IF(D117=0,"",G117/D117)</f>
        <v/>
      </c>
    </row>
    <row r="118">
      <c r="A118" s="3" t="inlineStr">
        <is>
          <t>TERCERO</t>
        </is>
      </c>
      <c r="B118" s="3">
        <f>$O$26</f>
        <v/>
      </c>
      <c r="C118" s="14">
        <f>SUMIFS(tblAsignaciones[horas_disponibles],tblAsignaciones[especialidad],$A118,tblAsignaciones[semana],$B118)</f>
        <v/>
      </c>
      <c r="D118" s="14">
        <f>C118*p_factor_productividad</f>
        <v/>
      </c>
      <c r="E118" s="14">
        <f>SUMIFS(tblOrdenes[horas_efectivas],tblOrdenes[especialidad],$A118,tblOrdenes[semana],$B118,tblOrdenes[clasificacion],"preventiva")</f>
        <v/>
      </c>
      <c r="F118" s="14">
        <f>SUMIFS(tblOrdenes[horas_efectivas],tblOrdenes[especialidad],$A118,tblOrdenes[semana],$B118,tblOrdenes[clasificacion],"correctiva")</f>
        <v/>
      </c>
      <c r="G118" s="14">
        <f>E118+F118</f>
        <v/>
      </c>
      <c r="H118" s="14">
        <f>D118-G118</f>
        <v/>
      </c>
      <c r="I118" s="15">
        <f>IF(D118=0,"",G118/D118)</f>
        <v/>
      </c>
    </row>
    <row r="119">
      <c r="A119" s="3" t="inlineStr">
        <is>
          <t>MEC</t>
        </is>
      </c>
      <c r="B119" s="3">
        <f>$O$27</f>
        <v/>
      </c>
      <c r="C119" s="14">
        <f>SUMIFS(tblAsignaciones[horas_disponibles],tblAsignaciones[especialidad],$A119,tblAsignaciones[semana],$B119)</f>
        <v/>
      </c>
      <c r="D119" s="14">
        <f>C119*p_factor_productividad</f>
        <v/>
      </c>
      <c r="E119" s="14">
        <f>SUMIFS(tblOrdenes[horas_efectivas],tblOrdenes[especialidad],$A119,tblOrdenes[semana],$B119,tblOrdenes[clasificacion],"preventiva")</f>
        <v/>
      </c>
      <c r="F119" s="14">
        <f>SUMIFS(tblOrdenes[horas_efectivas],tblOrdenes[especialidad],$A119,tblOrdenes[semana],$B119,tblOrdenes[clasificacion],"correctiva")</f>
        <v/>
      </c>
      <c r="G119" s="14">
        <f>E119+F119</f>
        <v/>
      </c>
      <c r="H119" s="14">
        <f>D119-G119</f>
        <v/>
      </c>
      <c r="I119" s="15">
        <f>IF(D119=0,"",G119/D119)</f>
        <v/>
      </c>
    </row>
    <row r="120">
      <c r="A120" s="3" t="inlineStr">
        <is>
          <t>ELE</t>
        </is>
      </c>
      <c r="B120" s="3">
        <f>$O$27</f>
        <v/>
      </c>
      <c r="C120" s="14">
        <f>SUMIFS(tblAsignaciones[horas_disponibles],tblAsignaciones[especialidad],$A120,tblAsignaciones[semana],$B120)</f>
        <v/>
      </c>
      <c r="D120" s="14">
        <f>C120*p_factor_productividad</f>
        <v/>
      </c>
      <c r="E120" s="14">
        <f>SUMIFS(tblOrdenes[horas_efectivas],tblOrdenes[especialidad],$A120,tblOrdenes[semana],$B120,tblOrdenes[clasificacion],"preventiva")</f>
        <v/>
      </c>
      <c r="F120" s="14">
        <f>SUMIFS(tblOrdenes[horas_efectivas],tblOrdenes[especialidad],$A120,tblOrdenes[semana],$B120,tblOrdenes[clasificacion],"correctiva")</f>
        <v/>
      </c>
      <c r="G120" s="14">
        <f>E120+F120</f>
        <v/>
      </c>
      <c r="H120" s="14">
        <f>D120-G120</f>
        <v/>
      </c>
      <c r="I120" s="15">
        <f>IF(D120=0,"",G120/D120)</f>
        <v/>
      </c>
    </row>
    <row r="121">
      <c r="A121" s="3" t="inlineStr">
        <is>
          <t>AUT</t>
        </is>
      </c>
      <c r="B121" s="3">
        <f>$O$27</f>
        <v/>
      </c>
      <c r="C121" s="14">
        <f>SUMIFS(tblAsignaciones[horas_disponibles],tblAsignaciones[especialidad],$A121,tblAsignaciones[semana],$B121)</f>
        <v/>
      </c>
      <c r="D121" s="14">
        <f>C121*p_factor_productividad</f>
        <v/>
      </c>
      <c r="E121" s="14">
        <f>SUMIFS(tblOrdenes[horas_efectivas],tblOrdenes[especialidad],$A121,tblOrdenes[semana],$B121,tblOrdenes[clasificacion],"preventiva")</f>
        <v/>
      </c>
      <c r="F121" s="14">
        <f>SUMIFS(tblOrdenes[horas_efectivas],tblOrdenes[especialidad],$A121,tblOrdenes[semana],$B121,tblOrdenes[clasificacion],"correctiva")</f>
        <v/>
      </c>
      <c r="G121" s="14">
        <f>E121+F121</f>
        <v/>
      </c>
      <c r="H121" s="14">
        <f>D121-G121</f>
        <v/>
      </c>
      <c r="I121" s="15">
        <f>IF(D121=0,"",G121/D121)</f>
        <v/>
      </c>
    </row>
    <row r="122">
      <c r="A122" s="3" t="inlineStr">
        <is>
          <t>OP</t>
        </is>
      </c>
      <c r="B122" s="3">
        <f>$O$27</f>
        <v/>
      </c>
      <c r="C122" s="14">
        <f>SUMIFS(tblAsignaciones[horas_disponibles],tblAsignaciones[especialidad],$A122,tblAsignaciones[semana],$B122)</f>
        <v/>
      </c>
      <c r="D122" s="14">
        <f>C122*p_factor_productividad</f>
        <v/>
      </c>
      <c r="E122" s="14">
        <f>SUMIFS(tblOrdenes[horas_efectivas],tblOrdenes[especialidad],$A122,tblOrdenes[semana],$B122,tblOrdenes[clasificacion],"preventiva")</f>
        <v/>
      </c>
      <c r="F122" s="14">
        <f>SUMIFS(tblOrdenes[horas_efectivas],tblOrdenes[especialidad],$A122,tblOrdenes[semana],$B122,tblOrdenes[clasificacion],"correctiva")</f>
        <v/>
      </c>
      <c r="G122" s="14">
        <f>E122+F122</f>
        <v/>
      </c>
      <c r="H122" s="14">
        <f>D122-G122</f>
        <v/>
      </c>
      <c r="I122" s="15">
        <f>IF(D122=0,"",G122/D122)</f>
        <v/>
      </c>
    </row>
    <row r="123">
      <c r="A123" s="3" t="inlineStr">
        <is>
          <t>TERCERO</t>
        </is>
      </c>
      <c r="B123" s="3">
        <f>$O$27</f>
        <v/>
      </c>
      <c r="C123" s="14">
        <f>SUMIFS(tblAsignaciones[horas_disponibles],tblAsignaciones[especialidad],$A123,tblAsignaciones[semana],$B123)</f>
        <v/>
      </c>
      <c r="D123" s="14">
        <f>C123*p_factor_productividad</f>
        <v/>
      </c>
      <c r="E123" s="14">
        <f>SUMIFS(tblOrdenes[horas_efectivas],tblOrdenes[especialidad],$A123,tblOrdenes[semana],$B123,tblOrdenes[clasificacion],"preventiva")</f>
        <v/>
      </c>
      <c r="F123" s="14">
        <f>SUMIFS(tblOrdenes[horas_efectivas],tblOrdenes[especialidad],$A123,tblOrdenes[semana],$B123,tblOrdenes[clasificacion],"correctiva")</f>
        <v/>
      </c>
      <c r="G123" s="14">
        <f>E123+F123</f>
        <v/>
      </c>
      <c r="H123" s="14">
        <f>D123-G123</f>
        <v/>
      </c>
      <c r="I123" s="15">
        <f>IF(D123=0,"",G123/D123)</f>
        <v/>
      </c>
    </row>
    <row r="124">
      <c r="A124" s="3" t="inlineStr">
        <is>
          <t>MEC</t>
        </is>
      </c>
      <c r="B124" s="3">
        <f>$O$28</f>
        <v/>
      </c>
      <c r="C124" s="14">
        <f>SUMIFS(tblAsignaciones[horas_disponibles],tblAsignaciones[especialidad],$A124,tblAsignaciones[semana],$B124)</f>
        <v/>
      </c>
      <c r="D124" s="14">
        <f>C124*p_factor_productividad</f>
        <v/>
      </c>
      <c r="E124" s="14">
        <f>SUMIFS(tblOrdenes[horas_efectivas],tblOrdenes[especialidad],$A124,tblOrdenes[semana],$B124,tblOrdenes[clasificacion],"preventiva")</f>
        <v/>
      </c>
      <c r="F124" s="14">
        <f>SUMIFS(tblOrdenes[horas_efectivas],tblOrdenes[especialidad],$A124,tblOrdenes[semana],$B124,tblOrdenes[clasificacion],"correctiva")</f>
        <v/>
      </c>
      <c r="G124" s="14">
        <f>E124+F124</f>
        <v/>
      </c>
      <c r="H124" s="14">
        <f>D124-G124</f>
        <v/>
      </c>
      <c r="I124" s="15">
        <f>IF(D124=0,"",G124/D124)</f>
        <v/>
      </c>
    </row>
    <row r="125">
      <c r="A125" s="3" t="inlineStr">
        <is>
          <t>ELE</t>
        </is>
      </c>
      <c r="B125" s="3">
        <f>$O$28</f>
        <v/>
      </c>
      <c r="C125" s="14">
        <f>SUMIFS(tblAsignaciones[horas_disponibles],tblAsignaciones[especialidad],$A125,tblAsignaciones[semana],$B125)</f>
        <v/>
      </c>
      <c r="D125" s="14">
        <f>C125*p_factor_productividad</f>
        <v/>
      </c>
      <c r="E125" s="14">
        <f>SUMIFS(tblOrdenes[horas_efectivas],tblOrdenes[especialidad],$A125,tblOrdenes[semana],$B125,tblOrdenes[clasificacion],"preventiva")</f>
        <v/>
      </c>
      <c r="F125" s="14">
        <f>SUMIFS(tblOrdenes[horas_efectivas],tblOrdenes[especialidad],$A125,tblOrdenes[semana],$B125,tblOrdenes[clasificacion],"correctiva")</f>
        <v/>
      </c>
      <c r="G125" s="14">
        <f>E125+F125</f>
        <v/>
      </c>
      <c r="H125" s="14">
        <f>D125-G125</f>
        <v/>
      </c>
      <c r="I125" s="15">
        <f>IF(D125=0,"",G125/D125)</f>
        <v/>
      </c>
    </row>
    <row r="126">
      <c r="A126" s="3" t="inlineStr">
        <is>
          <t>AUT</t>
        </is>
      </c>
      <c r="B126" s="3">
        <f>$O$28</f>
        <v/>
      </c>
      <c r="C126" s="14">
        <f>SUMIFS(tblAsignaciones[horas_disponibles],tblAsignaciones[especialidad],$A126,tblAsignaciones[semana],$B126)</f>
        <v/>
      </c>
      <c r="D126" s="14">
        <f>C126*p_factor_productividad</f>
        <v/>
      </c>
      <c r="E126" s="14">
        <f>SUMIFS(tblOrdenes[horas_efectivas],tblOrdenes[especialidad],$A126,tblOrdenes[semana],$B126,tblOrdenes[clasificacion],"preventiva")</f>
        <v/>
      </c>
      <c r="F126" s="14">
        <f>SUMIFS(tblOrdenes[horas_efectivas],tblOrdenes[especialidad],$A126,tblOrdenes[semana],$B126,tblOrdenes[clasificacion],"correctiva")</f>
        <v/>
      </c>
      <c r="G126" s="14">
        <f>E126+F126</f>
        <v/>
      </c>
      <c r="H126" s="14">
        <f>D126-G126</f>
        <v/>
      </c>
      <c r="I126" s="15">
        <f>IF(D126=0,"",G126/D126)</f>
        <v/>
      </c>
    </row>
    <row r="127">
      <c r="A127" s="3" t="inlineStr">
        <is>
          <t>OP</t>
        </is>
      </c>
      <c r="B127" s="3">
        <f>$O$28</f>
        <v/>
      </c>
      <c r="C127" s="14">
        <f>SUMIFS(tblAsignaciones[horas_disponibles],tblAsignaciones[especialidad],$A127,tblAsignaciones[semana],$B127)</f>
        <v/>
      </c>
      <c r="D127" s="14">
        <f>C127*p_factor_productividad</f>
        <v/>
      </c>
      <c r="E127" s="14">
        <f>SUMIFS(tblOrdenes[horas_efectivas],tblOrdenes[especialidad],$A127,tblOrdenes[semana],$B127,tblOrdenes[clasificacion],"preventiva")</f>
        <v/>
      </c>
      <c r="F127" s="14">
        <f>SUMIFS(tblOrdenes[horas_efectivas],tblOrdenes[especialidad],$A127,tblOrdenes[semana],$B127,tblOrdenes[clasificacion],"correctiva")</f>
        <v/>
      </c>
      <c r="G127" s="14">
        <f>E127+F127</f>
        <v/>
      </c>
      <c r="H127" s="14">
        <f>D127-G127</f>
        <v/>
      </c>
      <c r="I127" s="15">
        <f>IF(D127=0,"",G127/D127)</f>
        <v/>
      </c>
    </row>
    <row r="128">
      <c r="A128" s="3" t="inlineStr">
        <is>
          <t>TERCERO</t>
        </is>
      </c>
      <c r="B128" s="3">
        <f>$O$28</f>
        <v/>
      </c>
      <c r="C128" s="14">
        <f>SUMIFS(tblAsignaciones[horas_disponibles],tblAsignaciones[especialidad],$A128,tblAsignaciones[semana],$B128)</f>
        <v/>
      </c>
      <c r="D128" s="14">
        <f>C128*p_factor_productividad</f>
        <v/>
      </c>
      <c r="E128" s="14">
        <f>SUMIFS(tblOrdenes[horas_efectivas],tblOrdenes[especialidad],$A128,tblOrdenes[semana],$B128,tblOrdenes[clasificacion],"preventiva")</f>
        <v/>
      </c>
      <c r="F128" s="14">
        <f>SUMIFS(tblOrdenes[horas_efectivas],tblOrdenes[especialidad],$A128,tblOrdenes[semana],$B128,tblOrdenes[clasificacion],"correctiva")</f>
        <v/>
      </c>
      <c r="G128" s="14">
        <f>E128+F128</f>
        <v/>
      </c>
      <c r="H128" s="14">
        <f>D128-G128</f>
        <v/>
      </c>
      <c r="I128" s="15">
        <f>IF(D128=0,"",G128/D128)</f>
        <v/>
      </c>
    </row>
    <row r="129" hidden="1">
      <c r="A129" s="3" t="inlineStr">
        <is>
          <t>MEC</t>
        </is>
      </c>
      <c r="B129" s="3">
        <f>$O$29</f>
        <v/>
      </c>
      <c r="C129" s="14">
        <f>SUMIFS(tblAsignaciones[horas_disponibles],tblAsignaciones[especialidad],$A129,tblAsignaciones[semana],$B129)</f>
        <v/>
      </c>
      <c r="D129" s="14">
        <f>C129*p_factor_productividad</f>
        <v/>
      </c>
      <c r="E129" s="14">
        <f>SUMIFS(tblOrdenes[horas_efectivas],tblOrdenes[especialidad],$A129,tblOrdenes[semana],$B129,tblOrdenes[clasificacion],"preventiva")</f>
        <v/>
      </c>
      <c r="F129" s="14">
        <f>SUMIFS(tblOrdenes[horas_efectivas],tblOrdenes[especialidad],$A129,tblOrdenes[semana],$B129,tblOrdenes[clasificacion],"correctiva")</f>
        <v/>
      </c>
      <c r="G129" s="14">
        <f>E129+F129</f>
        <v/>
      </c>
      <c r="H129" s="14">
        <f>D129-G129</f>
        <v/>
      </c>
      <c r="I129" s="15">
        <f>IF(D129=0,"",G129/D129)</f>
        <v/>
      </c>
    </row>
    <row r="130" hidden="1">
      <c r="A130" s="3" t="inlineStr">
        <is>
          <t>ELE</t>
        </is>
      </c>
      <c r="B130" s="3">
        <f>$O$29</f>
        <v/>
      </c>
      <c r="C130" s="14">
        <f>SUMIFS(tblAsignaciones[horas_disponibles],tblAsignaciones[especialidad],$A130,tblAsignaciones[semana],$B130)</f>
        <v/>
      </c>
      <c r="D130" s="14">
        <f>C130*p_factor_productividad</f>
        <v/>
      </c>
      <c r="E130" s="14">
        <f>SUMIFS(tblOrdenes[horas_efectivas],tblOrdenes[especialidad],$A130,tblOrdenes[semana],$B130,tblOrdenes[clasificacion],"preventiva")</f>
        <v/>
      </c>
      <c r="F130" s="14">
        <f>SUMIFS(tblOrdenes[horas_efectivas],tblOrdenes[especialidad],$A130,tblOrdenes[semana],$B130,tblOrdenes[clasificacion],"correctiva")</f>
        <v/>
      </c>
      <c r="G130" s="14">
        <f>E130+F130</f>
        <v/>
      </c>
      <c r="H130" s="14">
        <f>D130-G130</f>
        <v/>
      </c>
      <c r="I130" s="15">
        <f>IF(D130=0,"",G130/D130)</f>
        <v/>
      </c>
    </row>
    <row r="131" hidden="1">
      <c r="A131" s="3" t="inlineStr">
        <is>
          <t>AUT</t>
        </is>
      </c>
      <c r="B131" s="3">
        <f>$O$29</f>
        <v/>
      </c>
      <c r="C131" s="14">
        <f>SUMIFS(tblAsignaciones[horas_disponibles],tblAsignaciones[especialidad],$A131,tblAsignaciones[semana],$B131)</f>
        <v/>
      </c>
      <c r="D131" s="14">
        <f>C131*p_factor_productividad</f>
        <v/>
      </c>
      <c r="E131" s="14">
        <f>SUMIFS(tblOrdenes[horas_efectivas],tblOrdenes[especialidad],$A131,tblOrdenes[semana],$B131,tblOrdenes[clasificacion],"preventiva")</f>
        <v/>
      </c>
      <c r="F131" s="14">
        <f>SUMIFS(tblOrdenes[horas_efectivas],tblOrdenes[especialidad],$A131,tblOrdenes[semana],$B131,tblOrdenes[clasificacion],"correctiva")</f>
        <v/>
      </c>
      <c r="G131" s="14">
        <f>E131+F131</f>
        <v/>
      </c>
      <c r="H131" s="14">
        <f>D131-G131</f>
        <v/>
      </c>
      <c r="I131" s="15">
        <f>IF(D131=0,"",G131/D131)</f>
        <v/>
      </c>
    </row>
    <row r="132" hidden="1">
      <c r="A132" s="3" t="inlineStr">
        <is>
          <t>OP</t>
        </is>
      </c>
      <c r="B132" s="3">
        <f>$O$29</f>
        <v/>
      </c>
      <c r="C132" s="14">
        <f>SUMIFS(tblAsignaciones[horas_disponibles],tblAsignaciones[especialidad],$A132,tblAsignaciones[semana],$B132)</f>
        <v/>
      </c>
      <c r="D132" s="14">
        <f>C132*p_factor_productividad</f>
        <v/>
      </c>
      <c r="E132" s="14">
        <f>SUMIFS(tblOrdenes[horas_efectivas],tblOrdenes[especialidad],$A132,tblOrdenes[semana],$B132,tblOrdenes[clasificacion],"preventiva")</f>
        <v/>
      </c>
      <c r="F132" s="14">
        <f>SUMIFS(tblOrdenes[horas_efectivas],tblOrdenes[especialidad],$A132,tblOrdenes[semana],$B132,tblOrdenes[clasificacion],"correctiva")</f>
        <v/>
      </c>
      <c r="G132" s="14">
        <f>E132+F132</f>
        <v/>
      </c>
      <c r="H132" s="14">
        <f>D132-G132</f>
        <v/>
      </c>
      <c r="I132" s="15">
        <f>IF(D132=0,"",G132/D132)</f>
        <v/>
      </c>
    </row>
    <row r="133" hidden="1">
      <c r="A133" s="3" t="inlineStr">
        <is>
          <t>TERCERO</t>
        </is>
      </c>
      <c r="B133" s="3">
        <f>$O$29</f>
        <v/>
      </c>
      <c r="C133" s="14">
        <f>SUMIFS(tblAsignaciones[horas_disponibles],tblAsignaciones[especialidad],$A133,tblAsignaciones[semana],$B133)</f>
        <v/>
      </c>
      <c r="D133" s="14">
        <f>C133*p_factor_productividad</f>
        <v/>
      </c>
      <c r="E133" s="14">
        <f>SUMIFS(tblOrdenes[horas_efectivas],tblOrdenes[especialidad],$A133,tblOrdenes[semana],$B133,tblOrdenes[clasificacion],"preventiva")</f>
        <v/>
      </c>
      <c r="F133" s="14">
        <f>SUMIFS(tblOrdenes[horas_efectivas],tblOrdenes[especialidad],$A133,tblOrdenes[semana],$B133,tblOrdenes[clasificacion],"correctiva")</f>
        <v/>
      </c>
      <c r="G133" s="14">
        <f>E133+F133</f>
        <v/>
      </c>
      <c r="H133" s="14">
        <f>D133-G133</f>
        <v/>
      </c>
      <c r="I133" s="15">
        <f>IF(D133=0,"",G133/D133)</f>
        <v/>
      </c>
    </row>
    <row r="134" hidden="1">
      <c r="A134" s="3" t="inlineStr">
        <is>
          <t>MEC</t>
        </is>
      </c>
      <c r="B134" s="3">
        <f>$O$30</f>
        <v/>
      </c>
      <c r="C134" s="14">
        <f>SUMIFS(tblAsignaciones[horas_disponibles],tblAsignaciones[especialidad],$A134,tblAsignaciones[semana],$B134)</f>
        <v/>
      </c>
      <c r="D134" s="14">
        <f>C134*p_factor_productividad</f>
        <v/>
      </c>
      <c r="E134" s="14">
        <f>SUMIFS(tblOrdenes[horas_efectivas],tblOrdenes[especialidad],$A134,tblOrdenes[semana],$B134,tblOrdenes[clasificacion],"preventiva")</f>
        <v/>
      </c>
      <c r="F134" s="14">
        <f>SUMIFS(tblOrdenes[horas_efectivas],tblOrdenes[especialidad],$A134,tblOrdenes[semana],$B134,tblOrdenes[clasificacion],"correctiva")</f>
        <v/>
      </c>
      <c r="G134" s="14">
        <f>E134+F134</f>
        <v/>
      </c>
      <c r="H134" s="14">
        <f>D134-G134</f>
        <v/>
      </c>
      <c r="I134" s="15">
        <f>IF(D134=0,"",G134/D134)</f>
        <v/>
      </c>
    </row>
    <row r="135" hidden="1">
      <c r="A135" s="3" t="inlineStr">
        <is>
          <t>ELE</t>
        </is>
      </c>
      <c r="B135" s="3">
        <f>$O$30</f>
        <v/>
      </c>
      <c r="C135" s="14">
        <f>SUMIFS(tblAsignaciones[horas_disponibles],tblAsignaciones[especialidad],$A135,tblAsignaciones[semana],$B135)</f>
        <v/>
      </c>
      <c r="D135" s="14">
        <f>C135*p_factor_productividad</f>
        <v/>
      </c>
      <c r="E135" s="14">
        <f>SUMIFS(tblOrdenes[horas_efectivas],tblOrdenes[especialidad],$A135,tblOrdenes[semana],$B135,tblOrdenes[clasificacion],"preventiva")</f>
        <v/>
      </c>
      <c r="F135" s="14">
        <f>SUMIFS(tblOrdenes[horas_efectivas],tblOrdenes[especialidad],$A135,tblOrdenes[semana],$B135,tblOrdenes[clasificacion],"correctiva")</f>
        <v/>
      </c>
      <c r="G135" s="14">
        <f>E135+F135</f>
        <v/>
      </c>
      <c r="H135" s="14">
        <f>D135-G135</f>
        <v/>
      </c>
      <c r="I135" s="15">
        <f>IF(D135=0,"",G135/D135)</f>
        <v/>
      </c>
    </row>
    <row r="136" hidden="1">
      <c r="A136" s="3" t="inlineStr">
        <is>
          <t>AUT</t>
        </is>
      </c>
      <c r="B136" s="3">
        <f>$O$30</f>
        <v/>
      </c>
      <c r="C136" s="14">
        <f>SUMIFS(tblAsignaciones[horas_disponibles],tblAsignaciones[especialidad],$A136,tblAsignaciones[semana],$B136)</f>
        <v/>
      </c>
      <c r="D136" s="14">
        <f>C136*p_factor_productividad</f>
        <v/>
      </c>
      <c r="E136" s="14">
        <f>SUMIFS(tblOrdenes[horas_efectivas],tblOrdenes[especialidad],$A136,tblOrdenes[semana],$B136,tblOrdenes[clasificacion],"preventiva")</f>
        <v/>
      </c>
      <c r="F136" s="14">
        <f>SUMIFS(tblOrdenes[horas_efectivas],tblOrdenes[especialidad],$A136,tblOrdenes[semana],$B136,tblOrdenes[clasificacion],"correctiva")</f>
        <v/>
      </c>
      <c r="G136" s="14">
        <f>E136+F136</f>
        <v/>
      </c>
      <c r="H136" s="14">
        <f>D136-G136</f>
        <v/>
      </c>
      <c r="I136" s="15">
        <f>IF(D136=0,"",G136/D136)</f>
        <v/>
      </c>
    </row>
    <row r="137" hidden="1">
      <c r="A137" s="3" t="inlineStr">
        <is>
          <t>OP</t>
        </is>
      </c>
      <c r="B137" s="3">
        <f>$O$30</f>
        <v/>
      </c>
      <c r="C137" s="14">
        <f>SUMIFS(tblAsignaciones[horas_disponibles],tblAsignaciones[especialidad],$A137,tblAsignaciones[semana],$B137)</f>
        <v/>
      </c>
      <c r="D137" s="14">
        <f>C137*p_factor_productividad</f>
        <v/>
      </c>
      <c r="E137" s="14">
        <f>SUMIFS(tblOrdenes[horas_efectivas],tblOrdenes[especialidad],$A137,tblOrdenes[semana],$B137,tblOrdenes[clasificacion],"preventiva")</f>
        <v/>
      </c>
      <c r="F137" s="14">
        <f>SUMIFS(tblOrdenes[horas_efectivas],tblOrdenes[especialidad],$A137,tblOrdenes[semana],$B137,tblOrdenes[clasificacion],"correctiva")</f>
        <v/>
      </c>
      <c r="G137" s="14">
        <f>E137+F137</f>
        <v/>
      </c>
      <c r="H137" s="14">
        <f>D137-G137</f>
        <v/>
      </c>
      <c r="I137" s="15">
        <f>IF(D137=0,"",G137/D137)</f>
        <v/>
      </c>
    </row>
    <row r="138" hidden="1">
      <c r="A138" s="3" t="inlineStr">
        <is>
          <t>TERCERO</t>
        </is>
      </c>
      <c r="B138" s="3">
        <f>$O$30</f>
        <v/>
      </c>
      <c r="C138" s="14">
        <f>SUMIFS(tblAsignaciones[horas_disponibles],tblAsignaciones[especialidad],$A138,tblAsignaciones[semana],$B138)</f>
        <v/>
      </c>
      <c r="D138" s="14">
        <f>C138*p_factor_productividad</f>
        <v/>
      </c>
      <c r="E138" s="14">
        <f>SUMIFS(tblOrdenes[horas_efectivas],tblOrdenes[especialidad],$A138,tblOrdenes[semana],$B138,tblOrdenes[clasificacion],"preventiva")</f>
        <v/>
      </c>
      <c r="F138" s="14">
        <f>SUMIFS(tblOrdenes[horas_efectivas],tblOrdenes[especialidad],$A138,tblOrdenes[semana],$B138,tblOrdenes[clasificacion],"correctiva")</f>
        <v/>
      </c>
      <c r="G138" s="14">
        <f>E138+F138</f>
        <v/>
      </c>
      <c r="H138" s="14">
        <f>D138-G138</f>
        <v/>
      </c>
      <c r="I138" s="15">
        <f>IF(D138=0,"",G138/D138)</f>
        <v/>
      </c>
    </row>
    <row r="139">
      <c r="A139" s="3" t="inlineStr">
        <is>
          <t>MEC</t>
        </is>
      </c>
      <c r="B139" s="3">
        <f>$O$31</f>
        <v/>
      </c>
      <c r="C139" s="14">
        <f>SUMIFS(tblAsignaciones[horas_disponibles],tblAsignaciones[especialidad],$A139,tblAsignaciones[semana],$B139)</f>
        <v/>
      </c>
      <c r="D139" s="14">
        <f>C139*p_factor_productividad</f>
        <v/>
      </c>
      <c r="E139" s="14">
        <f>SUMIFS(tblOrdenes[horas_efectivas],tblOrdenes[especialidad],$A139,tblOrdenes[semana],$B139,tblOrdenes[clasificacion],"preventiva")</f>
        <v/>
      </c>
      <c r="F139" s="14">
        <f>SUMIFS(tblOrdenes[horas_efectivas],tblOrdenes[especialidad],$A139,tblOrdenes[semana],$B139,tblOrdenes[clasificacion],"correctiva")</f>
        <v/>
      </c>
      <c r="G139" s="14">
        <f>E139+F139</f>
        <v/>
      </c>
      <c r="H139" s="14">
        <f>D139-G139</f>
        <v/>
      </c>
      <c r="I139" s="15">
        <f>IF(D139=0,"",G139/D139)</f>
        <v/>
      </c>
    </row>
    <row r="140">
      <c r="A140" s="3" t="inlineStr">
        <is>
          <t>ELE</t>
        </is>
      </c>
      <c r="B140" s="3">
        <f>$O$31</f>
        <v/>
      </c>
      <c r="C140" s="14">
        <f>SUMIFS(tblAsignaciones[horas_disponibles],tblAsignaciones[especialidad],$A140,tblAsignaciones[semana],$B140)</f>
        <v/>
      </c>
      <c r="D140" s="14">
        <f>C140*p_factor_productividad</f>
        <v/>
      </c>
      <c r="E140" s="14">
        <f>SUMIFS(tblOrdenes[horas_efectivas],tblOrdenes[especialidad],$A140,tblOrdenes[semana],$B140,tblOrdenes[clasificacion],"preventiva")</f>
        <v/>
      </c>
      <c r="F140" s="14">
        <f>SUMIFS(tblOrdenes[horas_efectivas],tblOrdenes[especialidad],$A140,tblOrdenes[semana],$B140,tblOrdenes[clasificacion],"correctiva")</f>
        <v/>
      </c>
      <c r="G140" s="14">
        <f>E140+F140</f>
        <v/>
      </c>
      <c r="H140" s="14">
        <f>D140-G140</f>
        <v/>
      </c>
      <c r="I140" s="15">
        <f>IF(D140=0,"",G140/D140)</f>
        <v/>
      </c>
    </row>
    <row r="141">
      <c r="A141" s="3" t="inlineStr">
        <is>
          <t>AUT</t>
        </is>
      </c>
      <c r="B141" s="3">
        <f>$O$31</f>
        <v/>
      </c>
      <c r="C141" s="14">
        <f>SUMIFS(tblAsignaciones[horas_disponibles],tblAsignaciones[especialidad],$A141,tblAsignaciones[semana],$B141)</f>
        <v/>
      </c>
      <c r="D141" s="14">
        <f>C141*p_factor_productividad</f>
        <v/>
      </c>
      <c r="E141" s="14">
        <f>SUMIFS(tblOrdenes[horas_efectivas],tblOrdenes[especialidad],$A141,tblOrdenes[semana],$B141,tblOrdenes[clasificacion],"preventiva")</f>
        <v/>
      </c>
      <c r="F141" s="14">
        <f>SUMIFS(tblOrdenes[horas_efectivas],tblOrdenes[especialidad],$A141,tblOrdenes[semana],$B141,tblOrdenes[clasificacion],"correctiva")</f>
        <v/>
      </c>
      <c r="G141" s="14">
        <f>E141+F141</f>
        <v/>
      </c>
      <c r="H141" s="14">
        <f>D141-G141</f>
        <v/>
      </c>
      <c r="I141" s="15">
        <f>IF(D141=0,"",G141/D141)</f>
        <v/>
      </c>
    </row>
    <row r="142">
      <c r="A142" s="3" t="inlineStr">
        <is>
          <t>OP</t>
        </is>
      </c>
      <c r="B142" s="3">
        <f>$O$31</f>
        <v/>
      </c>
      <c r="C142" s="14">
        <f>SUMIFS(tblAsignaciones[horas_disponibles],tblAsignaciones[especialidad],$A142,tblAsignaciones[semana],$B142)</f>
        <v/>
      </c>
      <c r="D142" s="14">
        <f>C142*p_factor_productividad</f>
        <v/>
      </c>
      <c r="E142" s="14">
        <f>SUMIFS(tblOrdenes[horas_efectivas],tblOrdenes[especialidad],$A142,tblOrdenes[semana],$B142,tblOrdenes[clasificacion],"preventiva")</f>
        <v/>
      </c>
      <c r="F142" s="14">
        <f>SUMIFS(tblOrdenes[horas_efectivas],tblOrdenes[especialidad],$A142,tblOrdenes[semana],$B142,tblOrdenes[clasificacion],"correctiva")</f>
        <v/>
      </c>
      <c r="G142" s="14">
        <f>E142+F142</f>
        <v/>
      </c>
      <c r="H142" s="14">
        <f>D142-G142</f>
        <v/>
      </c>
      <c r="I142" s="15">
        <f>IF(D142=0,"",G142/D142)</f>
        <v/>
      </c>
    </row>
    <row r="143">
      <c r="A143" s="3" t="inlineStr">
        <is>
          <t>TERCERO</t>
        </is>
      </c>
      <c r="B143" s="3">
        <f>$O$31</f>
        <v/>
      </c>
      <c r="C143" s="14">
        <f>SUMIFS(tblAsignaciones[horas_disponibles],tblAsignaciones[especialidad],$A143,tblAsignaciones[semana],$B143)</f>
        <v/>
      </c>
      <c r="D143" s="14">
        <f>C143*p_factor_productividad</f>
        <v/>
      </c>
      <c r="E143" s="14">
        <f>SUMIFS(tblOrdenes[horas_efectivas],tblOrdenes[especialidad],$A143,tblOrdenes[semana],$B143,tblOrdenes[clasificacion],"preventiva")</f>
        <v/>
      </c>
      <c r="F143" s="14">
        <f>SUMIFS(tblOrdenes[horas_efectivas],tblOrdenes[especialidad],$A143,tblOrdenes[semana],$B143,tblOrdenes[clasificacion],"correctiva")</f>
        <v/>
      </c>
      <c r="G143" s="14">
        <f>E143+F143</f>
        <v/>
      </c>
      <c r="H143" s="14">
        <f>D143-G143</f>
        <v/>
      </c>
      <c r="I143" s="15">
        <f>IF(D143=0,"",G143/D143)</f>
        <v/>
      </c>
    </row>
    <row r="144" hidden="1">
      <c r="A144" s="3" t="inlineStr">
        <is>
          <t>MEC</t>
        </is>
      </c>
      <c r="B144" s="3">
        <f>$O$32</f>
        <v/>
      </c>
      <c r="C144" s="14">
        <f>SUMIFS(tblAsignaciones[horas_disponibles],tblAsignaciones[especialidad],$A144,tblAsignaciones[semana],$B144)</f>
        <v/>
      </c>
      <c r="D144" s="14">
        <f>C144*p_factor_productividad</f>
        <v/>
      </c>
      <c r="E144" s="14">
        <f>SUMIFS(tblOrdenes[horas_efectivas],tblOrdenes[especialidad],$A144,tblOrdenes[semana],$B144,tblOrdenes[clasificacion],"preventiva")</f>
        <v/>
      </c>
      <c r="F144" s="14">
        <f>SUMIFS(tblOrdenes[horas_efectivas],tblOrdenes[especialidad],$A144,tblOrdenes[semana],$B144,tblOrdenes[clasificacion],"correctiva")</f>
        <v/>
      </c>
      <c r="G144" s="14">
        <f>E144+F144</f>
        <v/>
      </c>
      <c r="H144" s="14">
        <f>D144-G144</f>
        <v/>
      </c>
      <c r="I144" s="15">
        <f>IF(D144=0,"",G144/D144)</f>
        <v/>
      </c>
    </row>
    <row r="145" hidden="1">
      <c r="A145" s="3" t="inlineStr">
        <is>
          <t>ELE</t>
        </is>
      </c>
      <c r="B145" s="3">
        <f>$O$32</f>
        <v/>
      </c>
      <c r="C145" s="14">
        <f>SUMIFS(tblAsignaciones[horas_disponibles],tblAsignaciones[especialidad],$A145,tblAsignaciones[semana],$B145)</f>
        <v/>
      </c>
      <c r="D145" s="14">
        <f>C145*p_factor_productividad</f>
        <v/>
      </c>
      <c r="E145" s="14">
        <f>SUMIFS(tblOrdenes[horas_efectivas],tblOrdenes[especialidad],$A145,tblOrdenes[semana],$B145,tblOrdenes[clasificacion],"preventiva")</f>
        <v/>
      </c>
      <c r="F145" s="14">
        <f>SUMIFS(tblOrdenes[horas_efectivas],tblOrdenes[especialidad],$A145,tblOrdenes[semana],$B145,tblOrdenes[clasificacion],"correctiva")</f>
        <v/>
      </c>
      <c r="G145" s="14">
        <f>E145+F145</f>
        <v/>
      </c>
      <c r="H145" s="14">
        <f>D145-G145</f>
        <v/>
      </c>
      <c r="I145" s="15">
        <f>IF(D145=0,"",G145/D145)</f>
        <v/>
      </c>
    </row>
    <row r="146" hidden="1">
      <c r="A146" s="3" t="inlineStr">
        <is>
          <t>AUT</t>
        </is>
      </c>
      <c r="B146" s="3">
        <f>$O$32</f>
        <v/>
      </c>
      <c r="C146" s="14">
        <f>SUMIFS(tblAsignaciones[horas_disponibles],tblAsignaciones[especialidad],$A146,tblAsignaciones[semana],$B146)</f>
        <v/>
      </c>
      <c r="D146" s="14">
        <f>C146*p_factor_productividad</f>
        <v/>
      </c>
      <c r="E146" s="14">
        <f>SUMIFS(tblOrdenes[horas_efectivas],tblOrdenes[especialidad],$A146,tblOrdenes[semana],$B146,tblOrdenes[clasificacion],"preventiva")</f>
        <v/>
      </c>
      <c r="F146" s="14">
        <f>SUMIFS(tblOrdenes[horas_efectivas],tblOrdenes[especialidad],$A146,tblOrdenes[semana],$B146,tblOrdenes[clasificacion],"correctiva")</f>
        <v/>
      </c>
      <c r="G146" s="14">
        <f>E146+F146</f>
        <v/>
      </c>
      <c r="H146" s="14">
        <f>D146-G146</f>
        <v/>
      </c>
      <c r="I146" s="15">
        <f>IF(D146=0,"",G146/D146)</f>
        <v/>
      </c>
    </row>
    <row r="147" hidden="1">
      <c r="A147" s="3" t="inlineStr">
        <is>
          <t>OP</t>
        </is>
      </c>
      <c r="B147" s="3">
        <f>$O$32</f>
        <v/>
      </c>
      <c r="C147" s="14">
        <f>SUMIFS(tblAsignaciones[horas_disponibles],tblAsignaciones[especialidad],$A147,tblAsignaciones[semana],$B147)</f>
        <v/>
      </c>
      <c r="D147" s="14">
        <f>C147*p_factor_productividad</f>
        <v/>
      </c>
      <c r="E147" s="14">
        <f>SUMIFS(tblOrdenes[horas_efectivas],tblOrdenes[especialidad],$A147,tblOrdenes[semana],$B147,tblOrdenes[clasificacion],"preventiva")</f>
        <v/>
      </c>
      <c r="F147" s="14">
        <f>SUMIFS(tblOrdenes[horas_efectivas],tblOrdenes[especialidad],$A147,tblOrdenes[semana],$B147,tblOrdenes[clasificacion],"correctiva")</f>
        <v/>
      </c>
      <c r="G147" s="14">
        <f>E147+F147</f>
        <v/>
      </c>
      <c r="H147" s="14">
        <f>D147-G147</f>
        <v/>
      </c>
      <c r="I147" s="15">
        <f>IF(D147=0,"",G147/D147)</f>
        <v/>
      </c>
    </row>
    <row r="148" hidden="1">
      <c r="A148" s="3" t="inlineStr">
        <is>
          <t>TERCERO</t>
        </is>
      </c>
      <c r="B148" s="3">
        <f>$O$32</f>
        <v/>
      </c>
      <c r="C148" s="14">
        <f>SUMIFS(tblAsignaciones[horas_disponibles],tblAsignaciones[especialidad],$A148,tblAsignaciones[semana],$B148)</f>
        <v/>
      </c>
      <c r="D148" s="14">
        <f>C148*p_factor_productividad</f>
        <v/>
      </c>
      <c r="E148" s="14">
        <f>SUMIFS(tblOrdenes[horas_efectivas],tblOrdenes[especialidad],$A148,tblOrdenes[semana],$B148,tblOrdenes[clasificacion],"preventiva")</f>
        <v/>
      </c>
      <c r="F148" s="14">
        <f>SUMIFS(tblOrdenes[horas_efectivas],tblOrdenes[especialidad],$A148,tblOrdenes[semana],$B148,tblOrdenes[clasificacion],"correctiva")</f>
        <v/>
      </c>
      <c r="G148" s="14">
        <f>E148+F148</f>
        <v/>
      </c>
      <c r="H148" s="14">
        <f>D148-G148</f>
        <v/>
      </c>
      <c r="I148" s="15">
        <f>IF(D148=0,"",G148/D148)</f>
        <v/>
      </c>
    </row>
    <row r="149" hidden="1">
      <c r="A149" s="3" t="inlineStr">
        <is>
          <t>MEC</t>
        </is>
      </c>
      <c r="B149" s="3">
        <f>$O$33</f>
        <v/>
      </c>
      <c r="C149" s="14">
        <f>SUMIFS(tblAsignaciones[horas_disponibles],tblAsignaciones[especialidad],$A149,tblAsignaciones[semana],$B149)</f>
        <v/>
      </c>
      <c r="D149" s="14">
        <f>C149*p_factor_productividad</f>
        <v/>
      </c>
      <c r="E149" s="14">
        <f>SUMIFS(tblOrdenes[horas_efectivas],tblOrdenes[especialidad],$A149,tblOrdenes[semana],$B149,tblOrdenes[clasificacion],"preventiva")</f>
        <v/>
      </c>
      <c r="F149" s="14">
        <f>SUMIFS(tblOrdenes[horas_efectivas],tblOrdenes[especialidad],$A149,tblOrdenes[semana],$B149,tblOrdenes[clasificacion],"correctiva")</f>
        <v/>
      </c>
      <c r="G149" s="14">
        <f>E149+F149</f>
        <v/>
      </c>
      <c r="H149" s="14">
        <f>D149-G149</f>
        <v/>
      </c>
      <c r="I149" s="15">
        <f>IF(D149=0,"",G149/D149)</f>
        <v/>
      </c>
    </row>
    <row r="150" hidden="1">
      <c r="A150" s="3" t="inlineStr">
        <is>
          <t>ELE</t>
        </is>
      </c>
      <c r="B150" s="3">
        <f>$O$33</f>
        <v/>
      </c>
      <c r="C150" s="14">
        <f>SUMIFS(tblAsignaciones[horas_disponibles],tblAsignaciones[especialidad],$A150,tblAsignaciones[semana],$B150)</f>
        <v/>
      </c>
      <c r="D150" s="14">
        <f>C150*p_factor_productividad</f>
        <v/>
      </c>
      <c r="E150" s="14">
        <f>SUMIFS(tblOrdenes[horas_efectivas],tblOrdenes[especialidad],$A150,tblOrdenes[semana],$B150,tblOrdenes[clasificacion],"preventiva")</f>
        <v/>
      </c>
      <c r="F150" s="14">
        <f>SUMIFS(tblOrdenes[horas_efectivas],tblOrdenes[especialidad],$A150,tblOrdenes[semana],$B150,tblOrdenes[clasificacion],"correctiva")</f>
        <v/>
      </c>
      <c r="G150" s="14">
        <f>E150+F150</f>
        <v/>
      </c>
      <c r="H150" s="14">
        <f>D150-G150</f>
        <v/>
      </c>
      <c r="I150" s="15">
        <f>IF(D150=0,"",G150/D150)</f>
        <v/>
      </c>
    </row>
    <row r="151" hidden="1">
      <c r="A151" s="3" t="inlineStr">
        <is>
          <t>AUT</t>
        </is>
      </c>
      <c r="B151" s="3">
        <f>$O$33</f>
        <v/>
      </c>
      <c r="C151" s="14">
        <f>SUMIFS(tblAsignaciones[horas_disponibles],tblAsignaciones[especialidad],$A151,tblAsignaciones[semana],$B151)</f>
        <v/>
      </c>
      <c r="D151" s="14">
        <f>C151*p_factor_productividad</f>
        <v/>
      </c>
      <c r="E151" s="14">
        <f>SUMIFS(tblOrdenes[horas_efectivas],tblOrdenes[especialidad],$A151,tblOrdenes[semana],$B151,tblOrdenes[clasificacion],"preventiva")</f>
        <v/>
      </c>
      <c r="F151" s="14">
        <f>SUMIFS(tblOrdenes[horas_efectivas],tblOrdenes[especialidad],$A151,tblOrdenes[semana],$B151,tblOrdenes[clasificacion],"correctiva")</f>
        <v/>
      </c>
      <c r="G151" s="14">
        <f>E151+F151</f>
        <v/>
      </c>
      <c r="H151" s="14">
        <f>D151-G151</f>
        <v/>
      </c>
      <c r="I151" s="15">
        <f>IF(D151=0,"",G151/D151)</f>
        <v/>
      </c>
    </row>
    <row r="152" hidden="1">
      <c r="A152" s="3" t="inlineStr">
        <is>
          <t>OP</t>
        </is>
      </c>
      <c r="B152" s="3">
        <f>$O$33</f>
        <v/>
      </c>
      <c r="C152" s="14">
        <f>SUMIFS(tblAsignaciones[horas_disponibles],tblAsignaciones[especialidad],$A152,tblAsignaciones[semana],$B152)</f>
        <v/>
      </c>
      <c r="D152" s="14">
        <f>C152*p_factor_productividad</f>
        <v/>
      </c>
      <c r="E152" s="14">
        <f>SUMIFS(tblOrdenes[horas_efectivas],tblOrdenes[especialidad],$A152,tblOrdenes[semana],$B152,tblOrdenes[clasificacion],"preventiva")</f>
        <v/>
      </c>
      <c r="F152" s="14">
        <f>SUMIFS(tblOrdenes[horas_efectivas],tblOrdenes[especialidad],$A152,tblOrdenes[semana],$B152,tblOrdenes[clasificacion],"correctiva")</f>
        <v/>
      </c>
      <c r="G152" s="14">
        <f>E152+F152</f>
        <v/>
      </c>
      <c r="H152" s="14">
        <f>D152-G152</f>
        <v/>
      </c>
      <c r="I152" s="15">
        <f>IF(D152=0,"",G152/D152)</f>
        <v/>
      </c>
    </row>
    <row r="153" hidden="1">
      <c r="A153" s="3" t="inlineStr">
        <is>
          <t>TERCERO</t>
        </is>
      </c>
      <c r="B153" s="3">
        <f>$O$33</f>
        <v/>
      </c>
      <c r="C153" s="14">
        <f>SUMIFS(tblAsignaciones[horas_disponibles],tblAsignaciones[especialidad],$A153,tblAsignaciones[semana],$B153)</f>
        <v/>
      </c>
      <c r="D153" s="14">
        <f>C153*p_factor_productividad</f>
        <v/>
      </c>
      <c r="E153" s="14">
        <f>SUMIFS(tblOrdenes[horas_efectivas],tblOrdenes[especialidad],$A153,tblOrdenes[semana],$B153,tblOrdenes[clasificacion],"preventiva")</f>
        <v/>
      </c>
      <c r="F153" s="14">
        <f>SUMIFS(tblOrdenes[horas_efectivas],tblOrdenes[especialidad],$A153,tblOrdenes[semana],$B153,tblOrdenes[clasificacion],"correctiva")</f>
        <v/>
      </c>
      <c r="G153" s="14">
        <f>E153+F153</f>
        <v/>
      </c>
      <c r="H153" s="14">
        <f>D153-G153</f>
        <v/>
      </c>
      <c r="I153" s="15">
        <f>IF(D153=0,"",G153/D153)</f>
        <v/>
      </c>
    </row>
    <row r="154" hidden="1">
      <c r="A154" s="3" t="inlineStr">
        <is>
          <t>MEC</t>
        </is>
      </c>
      <c r="B154" s="3">
        <f>$O$34</f>
        <v/>
      </c>
      <c r="C154" s="14">
        <f>SUMIFS(tblAsignaciones[horas_disponibles],tblAsignaciones[especialidad],$A154,tblAsignaciones[semana],$B154)</f>
        <v/>
      </c>
      <c r="D154" s="14">
        <f>C154*p_factor_productividad</f>
        <v/>
      </c>
      <c r="E154" s="14">
        <f>SUMIFS(tblOrdenes[horas_efectivas],tblOrdenes[especialidad],$A154,tblOrdenes[semana],$B154,tblOrdenes[clasificacion],"preventiva")</f>
        <v/>
      </c>
      <c r="F154" s="14">
        <f>SUMIFS(tblOrdenes[horas_efectivas],tblOrdenes[especialidad],$A154,tblOrdenes[semana],$B154,tblOrdenes[clasificacion],"correctiva")</f>
        <v/>
      </c>
      <c r="G154" s="14">
        <f>E154+F154</f>
        <v/>
      </c>
      <c r="H154" s="14">
        <f>D154-G154</f>
        <v/>
      </c>
      <c r="I154" s="15">
        <f>IF(D154=0,"",G154/D154)</f>
        <v/>
      </c>
    </row>
    <row r="155" hidden="1">
      <c r="A155" s="3" t="inlineStr">
        <is>
          <t>ELE</t>
        </is>
      </c>
      <c r="B155" s="3">
        <f>$O$34</f>
        <v/>
      </c>
      <c r="C155" s="14">
        <f>SUMIFS(tblAsignaciones[horas_disponibles],tblAsignaciones[especialidad],$A155,tblAsignaciones[semana],$B155)</f>
        <v/>
      </c>
      <c r="D155" s="14">
        <f>C155*p_factor_productividad</f>
        <v/>
      </c>
      <c r="E155" s="14">
        <f>SUMIFS(tblOrdenes[horas_efectivas],tblOrdenes[especialidad],$A155,tblOrdenes[semana],$B155,tblOrdenes[clasificacion],"preventiva")</f>
        <v/>
      </c>
      <c r="F155" s="14">
        <f>SUMIFS(tblOrdenes[horas_efectivas],tblOrdenes[especialidad],$A155,tblOrdenes[semana],$B155,tblOrdenes[clasificacion],"correctiva")</f>
        <v/>
      </c>
      <c r="G155" s="14">
        <f>E155+F155</f>
        <v/>
      </c>
      <c r="H155" s="14">
        <f>D155-G155</f>
        <v/>
      </c>
      <c r="I155" s="15">
        <f>IF(D155=0,"",G155/D155)</f>
        <v/>
      </c>
    </row>
    <row r="156" hidden="1">
      <c r="A156" s="3" t="inlineStr">
        <is>
          <t>AUT</t>
        </is>
      </c>
      <c r="B156" s="3">
        <f>$O$34</f>
        <v/>
      </c>
      <c r="C156" s="14">
        <f>SUMIFS(tblAsignaciones[horas_disponibles],tblAsignaciones[especialidad],$A156,tblAsignaciones[semana],$B156)</f>
        <v/>
      </c>
      <c r="D156" s="14">
        <f>C156*p_factor_productividad</f>
        <v/>
      </c>
      <c r="E156" s="14">
        <f>SUMIFS(tblOrdenes[horas_efectivas],tblOrdenes[especialidad],$A156,tblOrdenes[semana],$B156,tblOrdenes[clasificacion],"preventiva")</f>
        <v/>
      </c>
      <c r="F156" s="14">
        <f>SUMIFS(tblOrdenes[horas_efectivas],tblOrdenes[especialidad],$A156,tblOrdenes[semana],$B156,tblOrdenes[clasificacion],"correctiva")</f>
        <v/>
      </c>
      <c r="G156" s="14">
        <f>E156+F156</f>
        <v/>
      </c>
      <c r="H156" s="14">
        <f>D156-G156</f>
        <v/>
      </c>
      <c r="I156" s="15">
        <f>IF(D156=0,"",G156/D156)</f>
        <v/>
      </c>
    </row>
    <row r="157" hidden="1">
      <c r="A157" s="3" t="inlineStr">
        <is>
          <t>OP</t>
        </is>
      </c>
      <c r="B157" s="3">
        <f>$O$34</f>
        <v/>
      </c>
      <c r="C157" s="14">
        <f>SUMIFS(tblAsignaciones[horas_disponibles],tblAsignaciones[especialidad],$A157,tblAsignaciones[semana],$B157)</f>
        <v/>
      </c>
      <c r="D157" s="14">
        <f>C157*p_factor_productividad</f>
        <v/>
      </c>
      <c r="E157" s="14">
        <f>SUMIFS(tblOrdenes[horas_efectivas],tblOrdenes[especialidad],$A157,tblOrdenes[semana],$B157,tblOrdenes[clasificacion],"preventiva")</f>
        <v/>
      </c>
      <c r="F157" s="14">
        <f>SUMIFS(tblOrdenes[horas_efectivas],tblOrdenes[especialidad],$A157,tblOrdenes[semana],$B157,tblOrdenes[clasificacion],"correctiva")</f>
        <v/>
      </c>
      <c r="G157" s="14">
        <f>E157+F157</f>
        <v/>
      </c>
      <c r="H157" s="14">
        <f>D157-G157</f>
        <v/>
      </c>
      <c r="I157" s="15">
        <f>IF(D157=0,"",G157/D157)</f>
        <v/>
      </c>
    </row>
    <row r="158" hidden="1">
      <c r="A158" s="3" t="inlineStr">
        <is>
          <t>TERCERO</t>
        </is>
      </c>
      <c r="B158" s="3">
        <f>$O$34</f>
        <v/>
      </c>
      <c r="C158" s="14">
        <f>SUMIFS(tblAsignaciones[horas_disponibles],tblAsignaciones[especialidad],$A158,tblAsignaciones[semana],$B158)</f>
        <v/>
      </c>
      <c r="D158" s="14">
        <f>C158*p_factor_productividad</f>
        <v/>
      </c>
      <c r="E158" s="14">
        <f>SUMIFS(tblOrdenes[horas_efectivas],tblOrdenes[especialidad],$A158,tblOrdenes[semana],$B158,tblOrdenes[clasificacion],"preventiva")</f>
        <v/>
      </c>
      <c r="F158" s="14">
        <f>SUMIFS(tblOrdenes[horas_efectivas],tblOrdenes[especialidad],$A158,tblOrdenes[semana],$B158,tblOrdenes[clasificacion],"correctiva")</f>
        <v/>
      </c>
      <c r="G158" s="14">
        <f>E158+F158</f>
        <v/>
      </c>
      <c r="H158" s="14">
        <f>D158-G158</f>
        <v/>
      </c>
      <c r="I158" s="15">
        <f>IF(D158=0,"",G158/D158)</f>
        <v/>
      </c>
    </row>
    <row r="159" hidden="1">
      <c r="A159" s="3" t="inlineStr">
        <is>
          <t>MEC</t>
        </is>
      </c>
      <c r="B159" s="3">
        <f>$O$35</f>
        <v/>
      </c>
      <c r="C159" s="14">
        <f>SUMIFS(tblAsignaciones[horas_disponibles],tblAsignaciones[especialidad],$A159,tblAsignaciones[semana],$B159)</f>
        <v/>
      </c>
      <c r="D159" s="14">
        <f>C159*p_factor_productividad</f>
        <v/>
      </c>
      <c r="E159" s="14">
        <f>SUMIFS(tblOrdenes[horas_efectivas],tblOrdenes[especialidad],$A159,tblOrdenes[semana],$B159,tblOrdenes[clasificacion],"preventiva")</f>
        <v/>
      </c>
      <c r="F159" s="14">
        <f>SUMIFS(tblOrdenes[horas_efectivas],tblOrdenes[especialidad],$A159,tblOrdenes[semana],$B159,tblOrdenes[clasificacion],"correctiva")</f>
        <v/>
      </c>
      <c r="G159" s="14">
        <f>E159+F159</f>
        <v/>
      </c>
      <c r="H159" s="14">
        <f>D159-G159</f>
        <v/>
      </c>
      <c r="I159" s="15">
        <f>IF(D159=0,"",G159/D159)</f>
        <v/>
      </c>
    </row>
    <row r="160" hidden="1">
      <c r="A160" s="3" t="inlineStr">
        <is>
          <t>ELE</t>
        </is>
      </c>
      <c r="B160" s="3">
        <f>$O$35</f>
        <v/>
      </c>
      <c r="C160" s="14">
        <f>SUMIFS(tblAsignaciones[horas_disponibles],tblAsignaciones[especialidad],$A160,tblAsignaciones[semana],$B160)</f>
        <v/>
      </c>
      <c r="D160" s="14">
        <f>C160*p_factor_productividad</f>
        <v/>
      </c>
      <c r="E160" s="14">
        <f>SUMIFS(tblOrdenes[horas_efectivas],tblOrdenes[especialidad],$A160,tblOrdenes[semana],$B160,tblOrdenes[clasificacion],"preventiva")</f>
        <v/>
      </c>
      <c r="F160" s="14">
        <f>SUMIFS(tblOrdenes[horas_efectivas],tblOrdenes[especialidad],$A160,tblOrdenes[semana],$B160,tblOrdenes[clasificacion],"correctiva")</f>
        <v/>
      </c>
      <c r="G160" s="14">
        <f>E160+F160</f>
        <v/>
      </c>
      <c r="H160" s="14">
        <f>D160-G160</f>
        <v/>
      </c>
      <c r="I160" s="15">
        <f>IF(D160=0,"",G160/D160)</f>
        <v/>
      </c>
    </row>
    <row r="161" hidden="1">
      <c r="A161" s="3" t="inlineStr">
        <is>
          <t>AUT</t>
        </is>
      </c>
      <c r="B161" s="3">
        <f>$O$35</f>
        <v/>
      </c>
      <c r="C161" s="14">
        <f>SUMIFS(tblAsignaciones[horas_disponibles],tblAsignaciones[especialidad],$A161,tblAsignaciones[semana],$B161)</f>
        <v/>
      </c>
      <c r="D161" s="14">
        <f>C161*p_factor_productividad</f>
        <v/>
      </c>
      <c r="E161" s="14">
        <f>SUMIFS(tblOrdenes[horas_efectivas],tblOrdenes[especialidad],$A161,tblOrdenes[semana],$B161,tblOrdenes[clasificacion],"preventiva")</f>
        <v/>
      </c>
      <c r="F161" s="14">
        <f>SUMIFS(tblOrdenes[horas_efectivas],tblOrdenes[especialidad],$A161,tblOrdenes[semana],$B161,tblOrdenes[clasificacion],"correctiva")</f>
        <v/>
      </c>
      <c r="G161" s="14">
        <f>E161+F161</f>
        <v/>
      </c>
      <c r="H161" s="14">
        <f>D161-G161</f>
        <v/>
      </c>
      <c r="I161" s="15">
        <f>IF(D161=0,"",G161/D161)</f>
        <v/>
      </c>
    </row>
    <row r="162" hidden="1">
      <c r="A162" s="3" t="inlineStr">
        <is>
          <t>OP</t>
        </is>
      </c>
      <c r="B162" s="3">
        <f>$O$35</f>
        <v/>
      </c>
      <c r="C162" s="14">
        <f>SUMIFS(tblAsignaciones[horas_disponibles],tblAsignaciones[especialidad],$A162,tblAsignaciones[semana],$B162)</f>
        <v/>
      </c>
      <c r="D162" s="14">
        <f>C162*p_factor_productividad</f>
        <v/>
      </c>
      <c r="E162" s="14">
        <f>SUMIFS(tblOrdenes[horas_efectivas],tblOrdenes[especialidad],$A162,tblOrdenes[semana],$B162,tblOrdenes[clasificacion],"preventiva")</f>
        <v/>
      </c>
      <c r="F162" s="14">
        <f>SUMIFS(tblOrdenes[horas_efectivas],tblOrdenes[especialidad],$A162,tblOrdenes[semana],$B162,tblOrdenes[clasificacion],"correctiva")</f>
        <v/>
      </c>
      <c r="G162" s="14">
        <f>E162+F162</f>
        <v/>
      </c>
      <c r="H162" s="14">
        <f>D162-G162</f>
        <v/>
      </c>
      <c r="I162" s="15">
        <f>IF(D162=0,"",G162/D162)</f>
        <v/>
      </c>
    </row>
    <row r="163" hidden="1">
      <c r="A163" s="3" t="inlineStr">
        <is>
          <t>TERCERO</t>
        </is>
      </c>
      <c r="B163" s="3">
        <f>$O$35</f>
        <v/>
      </c>
      <c r="C163" s="14">
        <f>SUMIFS(tblAsignaciones[horas_disponibles],tblAsignaciones[especialidad],$A163,tblAsignaciones[semana],$B163)</f>
        <v/>
      </c>
      <c r="D163" s="14">
        <f>C163*p_factor_productividad</f>
        <v/>
      </c>
      <c r="E163" s="14">
        <f>SUMIFS(tblOrdenes[horas_efectivas],tblOrdenes[especialidad],$A163,tblOrdenes[semana],$B163,tblOrdenes[clasificacion],"preventiva")</f>
        <v/>
      </c>
      <c r="F163" s="14">
        <f>SUMIFS(tblOrdenes[horas_efectivas],tblOrdenes[especialidad],$A163,tblOrdenes[semana],$B163,tblOrdenes[clasificacion],"correctiva")</f>
        <v/>
      </c>
      <c r="G163" s="14">
        <f>E163+F163</f>
        <v/>
      </c>
      <c r="H163" s="14">
        <f>D163-G163</f>
        <v/>
      </c>
      <c r="I163" s="15">
        <f>IF(D163=0,"",G163/D163)</f>
        <v/>
      </c>
    </row>
    <row r="164" hidden="1">
      <c r="A164" s="3" t="inlineStr">
        <is>
          <t>MEC</t>
        </is>
      </c>
      <c r="B164" s="3">
        <f>$O$36</f>
        <v/>
      </c>
      <c r="C164" s="14">
        <f>SUMIFS(tblAsignaciones[horas_disponibles],tblAsignaciones[especialidad],$A164,tblAsignaciones[semana],$B164)</f>
        <v/>
      </c>
      <c r="D164" s="14">
        <f>C164*p_factor_productividad</f>
        <v/>
      </c>
      <c r="E164" s="14">
        <f>SUMIFS(tblOrdenes[horas_efectivas],tblOrdenes[especialidad],$A164,tblOrdenes[semana],$B164,tblOrdenes[clasificacion],"preventiva")</f>
        <v/>
      </c>
      <c r="F164" s="14">
        <f>SUMIFS(tblOrdenes[horas_efectivas],tblOrdenes[especialidad],$A164,tblOrdenes[semana],$B164,tblOrdenes[clasificacion],"correctiva")</f>
        <v/>
      </c>
      <c r="G164" s="14">
        <f>E164+F164</f>
        <v/>
      </c>
      <c r="H164" s="14">
        <f>D164-G164</f>
        <v/>
      </c>
      <c r="I164" s="15">
        <f>IF(D164=0,"",G164/D164)</f>
        <v/>
      </c>
    </row>
    <row r="165" hidden="1">
      <c r="A165" s="3" t="inlineStr">
        <is>
          <t>ELE</t>
        </is>
      </c>
      <c r="B165" s="3">
        <f>$O$36</f>
        <v/>
      </c>
      <c r="C165" s="14">
        <f>SUMIFS(tblAsignaciones[horas_disponibles],tblAsignaciones[especialidad],$A165,tblAsignaciones[semana],$B165)</f>
        <v/>
      </c>
      <c r="D165" s="14">
        <f>C165*p_factor_productividad</f>
        <v/>
      </c>
      <c r="E165" s="14">
        <f>SUMIFS(tblOrdenes[horas_efectivas],tblOrdenes[especialidad],$A165,tblOrdenes[semana],$B165,tblOrdenes[clasificacion],"preventiva")</f>
        <v/>
      </c>
      <c r="F165" s="14">
        <f>SUMIFS(tblOrdenes[horas_efectivas],tblOrdenes[especialidad],$A165,tblOrdenes[semana],$B165,tblOrdenes[clasificacion],"correctiva")</f>
        <v/>
      </c>
      <c r="G165" s="14">
        <f>E165+F165</f>
        <v/>
      </c>
      <c r="H165" s="14">
        <f>D165-G165</f>
        <v/>
      </c>
      <c r="I165" s="15">
        <f>IF(D165=0,"",G165/D165)</f>
        <v/>
      </c>
    </row>
    <row r="166" hidden="1">
      <c r="A166" s="3" t="inlineStr">
        <is>
          <t>AUT</t>
        </is>
      </c>
      <c r="B166" s="3">
        <f>$O$36</f>
        <v/>
      </c>
      <c r="C166" s="14">
        <f>SUMIFS(tblAsignaciones[horas_disponibles],tblAsignaciones[especialidad],$A166,tblAsignaciones[semana],$B166)</f>
        <v/>
      </c>
      <c r="D166" s="14">
        <f>C166*p_factor_productividad</f>
        <v/>
      </c>
      <c r="E166" s="14">
        <f>SUMIFS(tblOrdenes[horas_efectivas],tblOrdenes[especialidad],$A166,tblOrdenes[semana],$B166,tblOrdenes[clasificacion],"preventiva")</f>
        <v/>
      </c>
      <c r="F166" s="14">
        <f>SUMIFS(tblOrdenes[horas_efectivas],tblOrdenes[especialidad],$A166,tblOrdenes[semana],$B166,tblOrdenes[clasificacion],"correctiva")</f>
        <v/>
      </c>
      <c r="G166" s="14">
        <f>E166+F166</f>
        <v/>
      </c>
      <c r="H166" s="14">
        <f>D166-G166</f>
        <v/>
      </c>
      <c r="I166" s="15">
        <f>IF(D166=0,"",G166/D166)</f>
        <v/>
      </c>
    </row>
    <row r="167" hidden="1">
      <c r="A167" s="3" t="inlineStr">
        <is>
          <t>OP</t>
        </is>
      </c>
      <c r="B167" s="3">
        <f>$O$36</f>
        <v/>
      </c>
      <c r="C167" s="14">
        <f>SUMIFS(tblAsignaciones[horas_disponibles],tblAsignaciones[especialidad],$A167,tblAsignaciones[semana],$B167)</f>
        <v/>
      </c>
      <c r="D167" s="14">
        <f>C167*p_factor_productividad</f>
        <v/>
      </c>
      <c r="E167" s="14">
        <f>SUMIFS(tblOrdenes[horas_efectivas],tblOrdenes[especialidad],$A167,tblOrdenes[semana],$B167,tblOrdenes[clasificacion],"preventiva")</f>
        <v/>
      </c>
      <c r="F167" s="14">
        <f>SUMIFS(tblOrdenes[horas_efectivas],tblOrdenes[especialidad],$A167,tblOrdenes[semana],$B167,tblOrdenes[clasificacion],"correctiva")</f>
        <v/>
      </c>
      <c r="G167" s="14">
        <f>E167+F167</f>
        <v/>
      </c>
      <c r="H167" s="14">
        <f>D167-G167</f>
        <v/>
      </c>
      <c r="I167" s="15">
        <f>IF(D167=0,"",G167/D167)</f>
        <v/>
      </c>
    </row>
    <row r="168" hidden="1">
      <c r="A168" s="3" t="inlineStr">
        <is>
          <t>TERCERO</t>
        </is>
      </c>
      <c r="B168" s="3">
        <f>$O$36</f>
        <v/>
      </c>
      <c r="C168" s="14">
        <f>SUMIFS(tblAsignaciones[horas_disponibles],tblAsignaciones[especialidad],$A168,tblAsignaciones[semana],$B168)</f>
        <v/>
      </c>
      <c r="D168" s="14">
        <f>C168*p_factor_productividad</f>
        <v/>
      </c>
      <c r="E168" s="14">
        <f>SUMIFS(tblOrdenes[horas_efectivas],tblOrdenes[especialidad],$A168,tblOrdenes[semana],$B168,tblOrdenes[clasificacion],"preventiva")</f>
        <v/>
      </c>
      <c r="F168" s="14">
        <f>SUMIFS(tblOrdenes[horas_efectivas],tblOrdenes[especialidad],$A168,tblOrdenes[semana],$B168,tblOrdenes[clasificacion],"correctiva")</f>
        <v/>
      </c>
      <c r="G168" s="14">
        <f>E168+F168</f>
        <v/>
      </c>
      <c r="H168" s="14">
        <f>D168-G168</f>
        <v/>
      </c>
      <c r="I168" s="15">
        <f>IF(D168=0,"",G168/D168)</f>
        <v/>
      </c>
    </row>
    <row r="169" hidden="1">
      <c r="A169" s="3" t="inlineStr">
        <is>
          <t>MEC</t>
        </is>
      </c>
      <c r="B169" s="3">
        <f>$O$37</f>
        <v/>
      </c>
      <c r="C169" s="14">
        <f>SUMIFS(tblAsignaciones[horas_disponibles],tblAsignaciones[especialidad],$A169,tblAsignaciones[semana],$B169)</f>
        <v/>
      </c>
      <c r="D169" s="14">
        <f>C169*p_factor_productividad</f>
        <v/>
      </c>
      <c r="E169" s="14">
        <f>SUMIFS(tblOrdenes[horas_efectivas],tblOrdenes[especialidad],$A169,tblOrdenes[semana],$B169,tblOrdenes[clasificacion],"preventiva")</f>
        <v/>
      </c>
      <c r="F169" s="14">
        <f>SUMIFS(tblOrdenes[horas_efectivas],tblOrdenes[especialidad],$A169,tblOrdenes[semana],$B169,tblOrdenes[clasificacion],"correctiva")</f>
        <v/>
      </c>
      <c r="G169" s="14">
        <f>E169+F169</f>
        <v/>
      </c>
      <c r="H169" s="14">
        <f>D169-G169</f>
        <v/>
      </c>
      <c r="I169" s="15">
        <f>IF(D169=0,"",G169/D169)</f>
        <v/>
      </c>
    </row>
    <row r="170" hidden="1">
      <c r="A170" s="3" t="inlineStr">
        <is>
          <t>ELE</t>
        </is>
      </c>
      <c r="B170" s="3">
        <f>$O$37</f>
        <v/>
      </c>
      <c r="C170" s="14">
        <f>SUMIFS(tblAsignaciones[horas_disponibles],tblAsignaciones[especialidad],$A170,tblAsignaciones[semana],$B170)</f>
        <v/>
      </c>
      <c r="D170" s="14">
        <f>C170*p_factor_productividad</f>
        <v/>
      </c>
      <c r="E170" s="14">
        <f>SUMIFS(tblOrdenes[horas_efectivas],tblOrdenes[especialidad],$A170,tblOrdenes[semana],$B170,tblOrdenes[clasificacion],"preventiva")</f>
        <v/>
      </c>
      <c r="F170" s="14">
        <f>SUMIFS(tblOrdenes[horas_efectivas],tblOrdenes[especialidad],$A170,tblOrdenes[semana],$B170,tblOrdenes[clasificacion],"correctiva")</f>
        <v/>
      </c>
      <c r="G170" s="14">
        <f>E170+F170</f>
        <v/>
      </c>
      <c r="H170" s="14">
        <f>D170-G170</f>
        <v/>
      </c>
      <c r="I170" s="15">
        <f>IF(D170=0,"",G170/D170)</f>
        <v/>
      </c>
    </row>
    <row r="171" hidden="1">
      <c r="A171" s="3" t="inlineStr">
        <is>
          <t>AUT</t>
        </is>
      </c>
      <c r="B171" s="3">
        <f>$O$37</f>
        <v/>
      </c>
      <c r="C171" s="14">
        <f>SUMIFS(tblAsignaciones[horas_disponibles],tblAsignaciones[especialidad],$A171,tblAsignaciones[semana],$B171)</f>
        <v/>
      </c>
      <c r="D171" s="14">
        <f>C171*p_factor_productividad</f>
        <v/>
      </c>
      <c r="E171" s="14">
        <f>SUMIFS(tblOrdenes[horas_efectivas],tblOrdenes[especialidad],$A171,tblOrdenes[semana],$B171,tblOrdenes[clasificacion],"preventiva")</f>
        <v/>
      </c>
      <c r="F171" s="14">
        <f>SUMIFS(tblOrdenes[horas_efectivas],tblOrdenes[especialidad],$A171,tblOrdenes[semana],$B171,tblOrdenes[clasificacion],"correctiva")</f>
        <v/>
      </c>
      <c r="G171" s="14">
        <f>E171+F171</f>
        <v/>
      </c>
      <c r="H171" s="14">
        <f>D171-G171</f>
        <v/>
      </c>
      <c r="I171" s="15">
        <f>IF(D171=0,"",G171/D171)</f>
        <v/>
      </c>
    </row>
    <row r="172" hidden="1">
      <c r="A172" s="3" t="inlineStr">
        <is>
          <t>OP</t>
        </is>
      </c>
      <c r="B172" s="3">
        <f>$O$37</f>
        <v/>
      </c>
      <c r="C172" s="14">
        <f>SUMIFS(tblAsignaciones[horas_disponibles],tblAsignaciones[especialidad],$A172,tblAsignaciones[semana],$B172)</f>
        <v/>
      </c>
      <c r="D172" s="14">
        <f>C172*p_factor_productividad</f>
        <v/>
      </c>
      <c r="E172" s="14">
        <f>SUMIFS(tblOrdenes[horas_efectivas],tblOrdenes[especialidad],$A172,tblOrdenes[semana],$B172,tblOrdenes[clasificacion],"preventiva")</f>
        <v/>
      </c>
      <c r="F172" s="14">
        <f>SUMIFS(tblOrdenes[horas_efectivas],tblOrdenes[especialidad],$A172,tblOrdenes[semana],$B172,tblOrdenes[clasificacion],"correctiva")</f>
        <v/>
      </c>
      <c r="G172" s="14">
        <f>E172+F172</f>
        <v/>
      </c>
      <c r="H172" s="14">
        <f>D172-G172</f>
        <v/>
      </c>
      <c r="I172" s="15">
        <f>IF(D172=0,"",G172/D172)</f>
        <v/>
      </c>
    </row>
    <row r="173" hidden="1">
      <c r="A173" s="3" t="inlineStr">
        <is>
          <t>TERCERO</t>
        </is>
      </c>
      <c r="B173" s="3">
        <f>$O$37</f>
        <v/>
      </c>
      <c r="C173" s="14">
        <f>SUMIFS(tblAsignaciones[horas_disponibles],tblAsignaciones[especialidad],$A173,tblAsignaciones[semana],$B173)</f>
        <v/>
      </c>
      <c r="D173" s="14">
        <f>C173*p_factor_productividad</f>
        <v/>
      </c>
      <c r="E173" s="14">
        <f>SUMIFS(tblOrdenes[horas_efectivas],tblOrdenes[especialidad],$A173,tblOrdenes[semana],$B173,tblOrdenes[clasificacion],"preventiva")</f>
        <v/>
      </c>
      <c r="F173" s="14">
        <f>SUMIFS(tblOrdenes[horas_efectivas],tblOrdenes[especialidad],$A173,tblOrdenes[semana],$B173,tblOrdenes[clasificacion],"correctiva")</f>
        <v/>
      </c>
      <c r="G173" s="14">
        <f>E173+F173</f>
        <v/>
      </c>
      <c r="H173" s="14">
        <f>D173-G173</f>
        <v/>
      </c>
      <c r="I173" s="15">
        <f>IF(D173=0,"",G173/D173)</f>
        <v/>
      </c>
    </row>
    <row r="174" hidden="1">
      <c r="A174" s="3" t="inlineStr">
        <is>
          <t>MEC</t>
        </is>
      </c>
      <c r="B174" s="3">
        <f>$O$38</f>
        <v/>
      </c>
      <c r="C174" s="14">
        <f>SUMIFS(tblAsignaciones[horas_disponibles],tblAsignaciones[especialidad],$A174,tblAsignaciones[semana],$B174)</f>
        <v/>
      </c>
      <c r="D174" s="14">
        <f>C174*p_factor_productividad</f>
        <v/>
      </c>
      <c r="E174" s="14">
        <f>SUMIFS(tblOrdenes[horas_efectivas],tblOrdenes[especialidad],$A174,tblOrdenes[semana],$B174,tblOrdenes[clasificacion],"preventiva")</f>
        <v/>
      </c>
      <c r="F174" s="14">
        <f>SUMIFS(tblOrdenes[horas_efectivas],tblOrdenes[especialidad],$A174,tblOrdenes[semana],$B174,tblOrdenes[clasificacion],"correctiva")</f>
        <v/>
      </c>
      <c r="G174" s="14">
        <f>E174+F174</f>
        <v/>
      </c>
      <c r="H174" s="14">
        <f>D174-G174</f>
        <v/>
      </c>
      <c r="I174" s="15">
        <f>IF(D174=0,"",G174/D174)</f>
        <v/>
      </c>
    </row>
    <row r="175" hidden="1">
      <c r="A175" s="3" t="inlineStr">
        <is>
          <t>ELE</t>
        </is>
      </c>
      <c r="B175" s="3">
        <f>$O$38</f>
        <v/>
      </c>
      <c r="C175" s="14">
        <f>SUMIFS(tblAsignaciones[horas_disponibles],tblAsignaciones[especialidad],$A175,tblAsignaciones[semana],$B175)</f>
        <v/>
      </c>
      <c r="D175" s="14">
        <f>C175*p_factor_productividad</f>
        <v/>
      </c>
      <c r="E175" s="14">
        <f>SUMIFS(tblOrdenes[horas_efectivas],tblOrdenes[especialidad],$A175,tblOrdenes[semana],$B175,tblOrdenes[clasificacion],"preventiva")</f>
        <v/>
      </c>
      <c r="F175" s="14">
        <f>SUMIFS(tblOrdenes[horas_efectivas],tblOrdenes[especialidad],$A175,tblOrdenes[semana],$B175,tblOrdenes[clasificacion],"correctiva")</f>
        <v/>
      </c>
      <c r="G175" s="14">
        <f>E175+F175</f>
        <v/>
      </c>
      <c r="H175" s="14">
        <f>D175-G175</f>
        <v/>
      </c>
      <c r="I175" s="15">
        <f>IF(D175=0,"",G175/D175)</f>
        <v/>
      </c>
    </row>
    <row r="176" hidden="1">
      <c r="A176" s="3" t="inlineStr">
        <is>
          <t>AUT</t>
        </is>
      </c>
      <c r="B176" s="3">
        <f>$O$38</f>
        <v/>
      </c>
      <c r="C176" s="14">
        <f>SUMIFS(tblAsignaciones[horas_disponibles],tblAsignaciones[especialidad],$A176,tblAsignaciones[semana],$B176)</f>
        <v/>
      </c>
      <c r="D176" s="14">
        <f>C176*p_factor_productividad</f>
        <v/>
      </c>
      <c r="E176" s="14">
        <f>SUMIFS(tblOrdenes[horas_efectivas],tblOrdenes[especialidad],$A176,tblOrdenes[semana],$B176,tblOrdenes[clasificacion],"preventiva")</f>
        <v/>
      </c>
      <c r="F176" s="14">
        <f>SUMIFS(tblOrdenes[horas_efectivas],tblOrdenes[especialidad],$A176,tblOrdenes[semana],$B176,tblOrdenes[clasificacion],"correctiva")</f>
        <v/>
      </c>
      <c r="G176" s="14">
        <f>E176+F176</f>
        <v/>
      </c>
      <c r="H176" s="14">
        <f>D176-G176</f>
        <v/>
      </c>
      <c r="I176" s="15">
        <f>IF(D176=0,"",G176/D176)</f>
        <v/>
      </c>
    </row>
    <row r="177" hidden="1">
      <c r="A177" s="3" t="inlineStr">
        <is>
          <t>OP</t>
        </is>
      </c>
      <c r="B177" s="3">
        <f>$O$38</f>
        <v/>
      </c>
      <c r="C177" s="14">
        <f>SUMIFS(tblAsignaciones[horas_disponibles],tblAsignaciones[especialidad],$A177,tblAsignaciones[semana],$B177)</f>
        <v/>
      </c>
      <c r="D177" s="14">
        <f>C177*p_factor_productividad</f>
        <v/>
      </c>
      <c r="E177" s="14">
        <f>SUMIFS(tblOrdenes[horas_efectivas],tblOrdenes[especialidad],$A177,tblOrdenes[semana],$B177,tblOrdenes[clasificacion],"preventiva")</f>
        <v/>
      </c>
      <c r="F177" s="14">
        <f>SUMIFS(tblOrdenes[horas_efectivas],tblOrdenes[especialidad],$A177,tblOrdenes[semana],$B177,tblOrdenes[clasificacion],"correctiva")</f>
        <v/>
      </c>
      <c r="G177" s="14">
        <f>E177+F177</f>
        <v/>
      </c>
      <c r="H177" s="14">
        <f>D177-G177</f>
        <v/>
      </c>
      <c r="I177" s="15">
        <f>IF(D177=0,"",G177/D177)</f>
        <v/>
      </c>
    </row>
    <row r="178" hidden="1">
      <c r="A178" s="3" t="inlineStr">
        <is>
          <t>TERCERO</t>
        </is>
      </c>
      <c r="B178" s="3">
        <f>$O$38</f>
        <v/>
      </c>
      <c r="C178" s="14">
        <f>SUMIFS(tblAsignaciones[horas_disponibles],tblAsignaciones[especialidad],$A178,tblAsignaciones[semana],$B178)</f>
        <v/>
      </c>
      <c r="D178" s="14">
        <f>C178*p_factor_productividad</f>
        <v/>
      </c>
      <c r="E178" s="14">
        <f>SUMIFS(tblOrdenes[horas_efectivas],tblOrdenes[especialidad],$A178,tblOrdenes[semana],$B178,tblOrdenes[clasificacion],"preventiva")</f>
        <v/>
      </c>
      <c r="F178" s="14">
        <f>SUMIFS(tblOrdenes[horas_efectivas],tblOrdenes[especialidad],$A178,tblOrdenes[semana],$B178,tblOrdenes[clasificacion],"correctiva")</f>
        <v/>
      </c>
      <c r="G178" s="14">
        <f>E178+F178</f>
        <v/>
      </c>
      <c r="H178" s="14">
        <f>D178-G178</f>
        <v/>
      </c>
      <c r="I178" s="15">
        <f>IF(D178=0,"",G178/D178)</f>
        <v/>
      </c>
    </row>
    <row r="179" hidden="1">
      <c r="A179" s="3" t="inlineStr">
        <is>
          <t>MEC</t>
        </is>
      </c>
      <c r="B179" s="3">
        <f>$O$39</f>
        <v/>
      </c>
      <c r="C179" s="14">
        <f>SUMIFS(tblAsignaciones[horas_disponibles],tblAsignaciones[especialidad],$A179,tblAsignaciones[semana],$B179)</f>
        <v/>
      </c>
      <c r="D179" s="14">
        <f>C179*p_factor_productividad</f>
        <v/>
      </c>
      <c r="E179" s="14">
        <f>SUMIFS(tblOrdenes[horas_efectivas],tblOrdenes[especialidad],$A179,tblOrdenes[semana],$B179,tblOrdenes[clasificacion],"preventiva")</f>
        <v/>
      </c>
      <c r="F179" s="14">
        <f>SUMIFS(tblOrdenes[horas_efectivas],tblOrdenes[especialidad],$A179,tblOrdenes[semana],$B179,tblOrdenes[clasificacion],"correctiva")</f>
        <v/>
      </c>
      <c r="G179" s="14">
        <f>E179+F179</f>
        <v/>
      </c>
      <c r="H179" s="14">
        <f>D179-G179</f>
        <v/>
      </c>
      <c r="I179" s="15">
        <f>IF(D179=0,"",G179/D179)</f>
        <v/>
      </c>
    </row>
    <row r="180" hidden="1">
      <c r="A180" s="3" t="inlineStr">
        <is>
          <t>ELE</t>
        </is>
      </c>
      <c r="B180" s="3">
        <f>$O$39</f>
        <v/>
      </c>
      <c r="C180" s="14">
        <f>SUMIFS(tblAsignaciones[horas_disponibles],tblAsignaciones[especialidad],$A180,tblAsignaciones[semana],$B180)</f>
        <v/>
      </c>
      <c r="D180" s="14">
        <f>C180*p_factor_productividad</f>
        <v/>
      </c>
      <c r="E180" s="14">
        <f>SUMIFS(tblOrdenes[horas_efectivas],tblOrdenes[especialidad],$A180,tblOrdenes[semana],$B180,tblOrdenes[clasificacion],"preventiva")</f>
        <v/>
      </c>
      <c r="F180" s="14">
        <f>SUMIFS(tblOrdenes[horas_efectivas],tblOrdenes[especialidad],$A180,tblOrdenes[semana],$B180,tblOrdenes[clasificacion],"correctiva")</f>
        <v/>
      </c>
      <c r="G180" s="14">
        <f>E180+F180</f>
        <v/>
      </c>
      <c r="H180" s="14">
        <f>D180-G180</f>
        <v/>
      </c>
      <c r="I180" s="15">
        <f>IF(D180=0,"",G180/D180)</f>
        <v/>
      </c>
    </row>
    <row r="181" hidden="1">
      <c r="A181" s="3" t="inlineStr">
        <is>
          <t>AUT</t>
        </is>
      </c>
      <c r="B181" s="3">
        <f>$O$39</f>
        <v/>
      </c>
      <c r="C181" s="14">
        <f>SUMIFS(tblAsignaciones[horas_disponibles],tblAsignaciones[especialidad],$A181,tblAsignaciones[semana],$B181)</f>
        <v/>
      </c>
      <c r="D181" s="14">
        <f>C181*p_factor_productividad</f>
        <v/>
      </c>
      <c r="E181" s="14">
        <f>SUMIFS(tblOrdenes[horas_efectivas],tblOrdenes[especialidad],$A181,tblOrdenes[semana],$B181,tblOrdenes[clasificacion],"preventiva")</f>
        <v/>
      </c>
      <c r="F181" s="14">
        <f>SUMIFS(tblOrdenes[horas_efectivas],tblOrdenes[especialidad],$A181,tblOrdenes[semana],$B181,tblOrdenes[clasificacion],"correctiva")</f>
        <v/>
      </c>
      <c r="G181" s="14">
        <f>E181+F181</f>
        <v/>
      </c>
      <c r="H181" s="14">
        <f>D181-G181</f>
        <v/>
      </c>
      <c r="I181" s="15">
        <f>IF(D181=0,"",G181/D181)</f>
        <v/>
      </c>
    </row>
    <row r="182" hidden="1">
      <c r="A182" s="3" t="inlineStr">
        <is>
          <t>OP</t>
        </is>
      </c>
      <c r="B182" s="3">
        <f>$O$39</f>
        <v/>
      </c>
      <c r="C182" s="14">
        <f>SUMIFS(tblAsignaciones[horas_disponibles],tblAsignaciones[especialidad],$A182,tblAsignaciones[semana],$B182)</f>
        <v/>
      </c>
      <c r="D182" s="14">
        <f>C182*p_factor_productividad</f>
        <v/>
      </c>
      <c r="E182" s="14">
        <f>SUMIFS(tblOrdenes[horas_efectivas],tblOrdenes[especialidad],$A182,tblOrdenes[semana],$B182,tblOrdenes[clasificacion],"preventiva")</f>
        <v/>
      </c>
      <c r="F182" s="14">
        <f>SUMIFS(tblOrdenes[horas_efectivas],tblOrdenes[especialidad],$A182,tblOrdenes[semana],$B182,tblOrdenes[clasificacion],"correctiva")</f>
        <v/>
      </c>
      <c r="G182" s="14">
        <f>E182+F182</f>
        <v/>
      </c>
      <c r="H182" s="14">
        <f>D182-G182</f>
        <v/>
      </c>
      <c r="I182" s="15">
        <f>IF(D182=0,"",G182/D182)</f>
        <v/>
      </c>
    </row>
    <row r="183" hidden="1">
      <c r="A183" s="3" t="inlineStr">
        <is>
          <t>TERCERO</t>
        </is>
      </c>
      <c r="B183" s="3">
        <f>$O$39</f>
        <v/>
      </c>
      <c r="C183" s="14">
        <f>SUMIFS(tblAsignaciones[horas_disponibles],tblAsignaciones[especialidad],$A183,tblAsignaciones[semana],$B183)</f>
        <v/>
      </c>
      <c r="D183" s="14">
        <f>C183*p_factor_productividad</f>
        <v/>
      </c>
      <c r="E183" s="14">
        <f>SUMIFS(tblOrdenes[horas_efectivas],tblOrdenes[especialidad],$A183,tblOrdenes[semana],$B183,tblOrdenes[clasificacion],"preventiva")</f>
        <v/>
      </c>
      <c r="F183" s="14">
        <f>SUMIFS(tblOrdenes[horas_efectivas],tblOrdenes[especialidad],$A183,tblOrdenes[semana],$B183,tblOrdenes[clasificacion],"correctiva")</f>
        <v/>
      </c>
      <c r="G183" s="14">
        <f>E183+F183</f>
        <v/>
      </c>
      <c r="H183" s="14">
        <f>D183-G183</f>
        <v/>
      </c>
      <c r="I183" s="15">
        <f>IF(D183=0,"",G183/D183)</f>
        <v/>
      </c>
    </row>
    <row r="184">
      <c r="A184" s="3" t="inlineStr">
        <is>
          <t>MEC</t>
        </is>
      </c>
      <c r="B184" s="3">
        <f>$O$40</f>
        <v/>
      </c>
      <c r="C184" s="14">
        <f>SUMIFS(tblAsignaciones[horas_disponibles],tblAsignaciones[especialidad],$A184,tblAsignaciones[semana],$B184)</f>
        <v/>
      </c>
      <c r="D184" s="14">
        <f>C184*p_factor_productividad</f>
        <v/>
      </c>
      <c r="E184" s="14">
        <f>SUMIFS(tblOrdenes[horas_efectivas],tblOrdenes[especialidad],$A184,tblOrdenes[semana],$B184,tblOrdenes[clasificacion],"preventiva")</f>
        <v/>
      </c>
      <c r="F184" s="14">
        <f>SUMIFS(tblOrdenes[horas_efectivas],tblOrdenes[especialidad],$A184,tblOrdenes[semana],$B184,tblOrdenes[clasificacion],"correctiva")</f>
        <v/>
      </c>
      <c r="G184" s="14">
        <f>E184+F184</f>
        <v/>
      </c>
      <c r="H184" s="14">
        <f>D184-G184</f>
        <v/>
      </c>
      <c r="I184" s="15">
        <f>IF(D184=0,"",G184/D184)</f>
        <v/>
      </c>
    </row>
    <row r="185">
      <c r="A185" s="3" t="inlineStr">
        <is>
          <t>ELE</t>
        </is>
      </c>
      <c r="B185" s="3">
        <f>$O$40</f>
        <v/>
      </c>
      <c r="C185" s="14">
        <f>SUMIFS(tblAsignaciones[horas_disponibles],tblAsignaciones[especialidad],$A185,tblAsignaciones[semana],$B185)</f>
        <v/>
      </c>
      <c r="D185" s="14">
        <f>C185*p_factor_productividad</f>
        <v/>
      </c>
      <c r="E185" s="14">
        <f>SUMIFS(tblOrdenes[horas_efectivas],tblOrdenes[especialidad],$A185,tblOrdenes[semana],$B185,tblOrdenes[clasificacion],"preventiva")</f>
        <v/>
      </c>
      <c r="F185" s="14">
        <f>SUMIFS(tblOrdenes[horas_efectivas],tblOrdenes[especialidad],$A185,tblOrdenes[semana],$B185,tblOrdenes[clasificacion],"correctiva")</f>
        <v/>
      </c>
      <c r="G185" s="14">
        <f>E185+F185</f>
        <v/>
      </c>
      <c r="H185" s="14">
        <f>D185-G185</f>
        <v/>
      </c>
      <c r="I185" s="15">
        <f>IF(D185=0,"",G185/D185)</f>
        <v/>
      </c>
    </row>
    <row r="186">
      <c r="A186" s="3" t="inlineStr">
        <is>
          <t>AUT</t>
        </is>
      </c>
      <c r="B186" s="3">
        <f>$O$40</f>
        <v/>
      </c>
      <c r="C186" s="14">
        <f>SUMIFS(tblAsignaciones[horas_disponibles],tblAsignaciones[especialidad],$A186,tblAsignaciones[semana],$B186)</f>
        <v/>
      </c>
      <c r="D186" s="14">
        <f>C186*p_factor_productividad</f>
        <v/>
      </c>
      <c r="E186" s="14">
        <f>SUMIFS(tblOrdenes[horas_efectivas],tblOrdenes[especialidad],$A186,tblOrdenes[semana],$B186,tblOrdenes[clasificacion],"preventiva")</f>
        <v/>
      </c>
      <c r="F186" s="14">
        <f>SUMIFS(tblOrdenes[horas_efectivas],tblOrdenes[especialidad],$A186,tblOrdenes[semana],$B186,tblOrdenes[clasificacion],"correctiva")</f>
        <v/>
      </c>
      <c r="G186" s="14">
        <f>E186+F186</f>
        <v/>
      </c>
      <c r="H186" s="14">
        <f>D186-G186</f>
        <v/>
      </c>
      <c r="I186" s="15">
        <f>IF(D186=0,"",G186/D186)</f>
        <v/>
      </c>
    </row>
    <row r="187">
      <c r="A187" s="3" t="inlineStr">
        <is>
          <t>OP</t>
        </is>
      </c>
      <c r="B187" s="3">
        <f>$O$40</f>
        <v/>
      </c>
      <c r="C187" s="14">
        <f>SUMIFS(tblAsignaciones[horas_disponibles],tblAsignaciones[especialidad],$A187,tblAsignaciones[semana],$B187)</f>
        <v/>
      </c>
      <c r="D187" s="14">
        <f>C187*p_factor_productividad</f>
        <v/>
      </c>
      <c r="E187" s="14">
        <f>SUMIFS(tblOrdenes[horas_efectivas],tblOrdenes[especialidad],$A187,tblOrdenes[semana],$B187,tblOrdenes[clasificacion],"preventiva")</f>
        <v/>
      </c>
      <c r="F187" s="14">
        <f>SUMIFS(tblOrdenes[horas_efectivas],tblOrdenes[especialidad],$A187,tblOrdenes[semana],$B187,tblOrdenes[clasificacion],"correctiva")</f>
        <v/>
      </c>
      <c r="G187" s="14">
        <f>E187+F187</f>
        <v/>
      </c>
      <c r="H187" s="14">
        <f>D187-G187</f>
        <v/>
      </c>
      <c r="I187" s="15">
        <f>IF(D187=0,"",G187/D187)</f>
        <v/>
      </c>
    </row>
    <row r="188">
      <c r="A188" s="3" t="inlineStr">
        <is>
          <t>TERCERO</t>
        </is>
      </c>
      <c r="B188" s="3">
        <f>$O$40</f>
        <v/>
      </c>
      <c r="C188" s="14">
        <f>SUMIFS(tblAsignaciones[horas_disponibles],tblAsignaciones[especialidad],$A188,tblAsignaciones[semana],$B188)</f>
        <v/>
      </c>
      <c r="D188" s="14">
        <f>C188*p_factor_productividad</f>
        <v/>
      </c>
      <c r="E188" s="14">
        <f>SUMIFS(tblOrdenes[horas_efectivas],tblOrdenes[especialidad],$A188,tblOrdenes[semana],$B188,tblOrdenes[clasificacion],"preventiva")</f>
        <v/>
      </c>
      <c r="F188" s="14">
        <f>SUMIFS(tblOrdenes[horas_efectivas],tblOrdenes[especialidad],$A188,tblOrdenes[semana],$B188,tblOrdenes[clasificacion],"correctiva")</f>
        <v/>
      </c>
      <c r="G188" s="14">
        <f>E188+F188</f>
        <v/>
      </c>
      <c r="H188" s="14">
        <f>D188-G188</f>
        <v/>
      </c>
      <c r="I188" s="15">
        <f>IF(D188=0,"",G188/D188)</f>
        <v/>
      </c>
    </row>
    <row r="189" hidden="1">
      <c r="A189" s="3" t="inlineStr">
        <is>
          <t>MEC</t>
        </is>
      </c>
      <c r="B189" s="3">
        <f>$O$41</f>
        <v/>
      </c>
      <c r="C189" s="14">
        <f>SUMIFS(tblAsignaciones[horas_disponibles],tblAsignaciones[especialidad],$A189,tblAsignaciones[semana],$B189)</f>
        <v/>
      </c>
      <c r="D189" s="14">
        <f>C189*p_factor_productividad</f>
        <v/>
      </c>
      <c r="E189" s="14">
        <f>SUMIFS(tblOrdenes[horas_efectivas],tblOrdenes[especialidad],$A189,tblOrdenes[semana],$B189,tblOrdenes[clasificacion],"preventiva")</f>
        <v/>
      </c>
      <c r="F189" s="14">
        <f>SUMIFS(tblOrdenes[horas_efectivas],tblOrdenes[especialidad],$A189,tblOrdenes[semana],$B189,tblOrdenes[clasificacion],"correctiva")</f>
        <v/>
      </c>
      <c r="G189" s="14">
        <f>E189+F189</f>
        <v/>
      </c>
      <c r="H189" s="14">
        <f>D189-G189</f>
        <v/>
      </c>
      <c r="I189" s="15">
        <f>IF(D189=0,"",G189/D189)</f>
        <v/>
      </c>
    </row>
    <row r="190" hidden="1">
      <c r="A190" s="3" t="inlineStr">
        <is>
          <t>ELE</t>
        </is>
      </c>
      <c r="B190" s="3">
        <f>$O$41</f>
        <v/>
      </c>
      <c r="C190" s="14">
        <f>SUMIFS(tblAsignaciones[horas_disponibles],tblAsignaciones[especialidad],$A190,tblAsignaciones[semana],$B190)</f>
        <v/>
      </c>
      <c r="D190" s="14">
        <f>C190*p_factor_productividad</f>
        <v/>
      </c>
      <c r="E190" s="14">
        <f>SUMIFS(tblOrdenes[horas_efectivas],tblOrdenes[especialidad],$A190,tblOrdenes[semana],$B190,tblOrdenes[clasificacion],"preventiva")</f>
        <v/>
      </c>
      <c r="F190" s="14">
        <f>SUMIFS(tblOrdenes[horas_efectivas],tblOrdenes[especialidad],$A190,tblOrdenes[semana],$B190,tblOrdenes[clasificacion],"correctiva")</f>
        <v/>
      </c>
      <c r="G190" s="14">
        <f>E190+F190</f>
        <v/>
      </c>
      <c r="H190" s="14">
        <f>D190-G190</f>
        <v/>
      </c>
      <c r="I190" s="15">
        <f>IF(D190=0,"",G190/D190)</f>
        <v/>
      </c>
    </row>
    <row r="191" hidden="1">
      <c r="A191" s="3" t="inlineStr">
        <is>
          <t>AUT</t>
        </is>
      </c>
      <c r="B191" s="3">
        <f>$O$41</f>
        <v/>
      </c>
      <c r="C191" s="14">
        <f>SUMIFS(tblAsignaciones[horas_disponibles],tblAsignaciones[especialidad],$A191,tblAsignaciones[semana],$B191)</f>
        <v/>
      </c>
      <c r="D191" s="14">
        <f>C191*p_factor_productividad</f>
        <v/>
      </c>
      <c r="E191" s="14">
        <f>SUMIFS(tblOrdenes[horas_efectivas],tblOrdenes[especialidad],$A191,tblOrdenes[semana],$B191,tblOrdenes[clasificacion],"preventiva")</f>
        <v/>
      </c>
      <c r="F191" s="14">
        <f>SUMIFS(tblOrdenes[horas_efectivas],tblOrdenes[especialidad],$A191,tblOrdenes[semana],$B191,tblOrdenes[clasificacion],"correctiva")</f>
        <v/>
      </c>
      <c r="G191" s="14">
        <f>E191+F191</f>
        <v/>
      </c>
      <c r="H191" s="14">
        <f>D191-G191</f>
        <v/>
      </c>
      <c r="I191" s="15">
        <f>IF(D191=0,"",G191/D191)</f>
        <v/>
      </c>
    </row>
    <row r="192" hidden="1">
      <c r="A192" s="3" t="inlineStr">
        <is>
          <t>OP</t>
        </is>
      </c>
      <c r="B192" s="3">
        <f>$O$41</f>
        <v/>
      </c>
      <c r="C192" s="14">
        <f>SUMIFS(tblAsignaciones[horas_disponibles],tblAsignaciones[especialidad],$A192,tblAsignaciones[semana],$B192)</f>
        <v/>
      </c>
      <c r="D192" s="14">
        <f>C192*p_factor_productividad</f>
        <v/>
      </c>
      <c r="E192" s="14">
        <f>SUMIFS(tblOrdenes[horas_efectivas],tblOrdenes[especialidad],$A192,tblOrdenes[semana],$B192,tblOrdenes[clasificacion],"preventiva")</f>
        <v/>
      </c>
      <c r="F192" s="14">
        <f>SUMIFS(tblOrdenes[horas_efectivas],tblOrdenes[especialidad],$A192,tblOrdenes[semana],$B192,tblOrdenes[clasificacion],"correctiva")</f>
        <v/>
      </c>
      <c r="G192" s="14">
        <f>E192+F192</f>
        <v/>
      </c>
      <c r="H192" s="14">
        <f>D192-G192</f>
        <v/>
      </c>
      <c r="I192" s="15">
        <f>IF(D192=0,"",G192/D192)</f>
        <v/>
      </c>
    </row>
    <row r="193" hidden="1">
      <c r="A193" s="3" t="inlineStr">
        <is>
          <t>TERCERO</t>
        </is>
      </c>
      <c r="B193" s="3">
        <f>$O$41</f>
        <v/>
      </c>
      <c r="C193" s="14">
        <f>SUMIFS(tblAsignaciones[horas_disponibles],tblAsignaciones[especialidad],$A193,tblAsignaciones[semana],$B193)</f>
        <v/>
      </c>
      <c r="D193" s="14">
        <f>C193*p_factor_productividad</f>
        <v/>
      </c>
      <c r="E193" s="14">
        <f>SUMIFS(tblOrdenes[horas_efectivas],tblOrdenes[especialidad],$A193,tblOrdenes[semana],$B193,tblOrdenes[clasificacion],"preventiva")</f>
        <v/>
      </c>
      <c r="F193" s="14">
        <f>SUMIFS(tblOrdenes[horas_efectivas],tblOrdenes[especialidad],$A193,tblOrdenes[semana],$B193,tblOrdenes[clasificacion],"correctiva")</f>
        <v/>
      </c>
      <c r="G193" s="14">
        <f>E193+F193</f>
        <v/>
      </c>
      <c r="H193" s="14">
        <f>D193-G193</f>
        <v/>
      </c>
      <c r="I193" s="15">
        <f>IF(D193=0,"",G193/D193)</f>
        <v/>
      </c>
    </row>
    <row r="194" hidden="1">
      <c r="A194" s="3" t="inlineStr">
        <is>
          <t>MEC</t>
        </is>
      </c>
      <c r="B194" s="3">
        <f>$O$42</f>
        <v/>
      </c>
      <c r="C194" s="14">
        <f>SUMIFS(tblAsignaciones[horas_disponibles],tblAsignaciones[especialidad],$A194,tblAsignaciones[semana],$B194)</f>
        <v/>
      </c>
      <c r="D194" s="14">
        <f>C194*p_factor_productividad</f>
        <v/>
      </c>
      <c r="E194" s="14">
        <f>SUMIFS(tblOrdenes[horas_efectivas],tblOrdenes[especialidad],$A194,tblOrdenes[semana],$B194,tblOrdenes[clasificacion],"preventiva")</f>
        <v/>
      </c>
      <c r="F194" s="14">
        <f>SUMIFS(tblOrdenes[horas_efectivas],tblOrdenes[especialidad],$A194,tblOrdenes[semana],$B194,tblOrdenes[clasificacion],"correctiva")</f>
        <v/>
      </c>
      <c r="G194" s="14">
        <f>E194+F194</f>
        <v/>
      </c>
      <c r="H194" s="14">
        <f>D194-G194</f>
        <v/>
      </c>
      <c r="I194" s="15">
        <f>IF(D194=0,"",G194/D194)</f>
        <v/>
      </c>
    </row>
    <row r="195" hidden="1">
      <c r="A195" s="3" t="inlineStr">
        <is>
          <t>ELE</t>
        </is>
      </c>
      <c r="B195" s="3">
        <f>$O$42</f>
        <v/>
      </c>
      <c r="C195" s="14">
        <f>SUMIFS(tblAsignaciones[horas_disponibles],tblAsignaciones[especialidad],$A195,tblAsignaciones[semana],$B195)</f>
        <v/>
      </c>
      <c r="D195" s="14">
        <f>C195*p_factor_productividad</f>
        <v/>
      </c>
      <c r="E195" s="14">
        <f>SUMIFS(tblOrdenes[horas_efectivas],tblOrdenes[especialidad],$A195,tblOrdenes[semana],$B195,tblOrdenes[clasificacion],"preventiva")</f>
        <v/>
      </c>
      <c r="F195" s="14">
        <f>SUMIFS(tblOrdenes[horas_efectivas],tblOrdenes[especialidad],$A195,tblOrdenes[semana],$B195,tblOrdenes[clasificacion],"correctiva")</f>
        <v/>
      </c>
      <c r="G195" s="14">
        <f>E195+F195</f>
        <v/>
      </c>
      <c r="H195" s="14">
        <f>D195-G195</f>
        <v/>
      </c>
      <c r="I195" s="15">
        <f>IF(D195=0,"",G195/D195)</f>
        <v/>
      </c>
    </row>
    <row r="196" hidden="1">
      <c r="A196" s="3" t="inlineStr">
        <is>
          <t>AUT</t>
        </is>
      </c>
      <c r="B196" s="3">
        <f>$O$42</f>
        <v/>
      </c>
      <c r="C196" s="14">
        <f>SUMIFS(tblAsignaciones[horas_disponibles],tblAsignaciones[especialidad],$A196,tblAsignaciones[semana],$B196)</f>
        <v/>
      </c>
      <c r="D196" s="14">
        <f>C196*p_factor_productividad</f>
        <v/>
      </c>
      <c r="E196" s="14">
        <f>SUMIFS(tblOrdenes[horas_efectivas],tblOrdenes[especialidad],$A196,tblOrdenes[semana],$B196,tblOrdenes[clasificacion],"preventiva")</f>
        <v/>
      </c>
      <c r="F196" s="14">
        <f>SUMIFS(tblOrdenes[horas_efectivas],tblOrdenes[especialidad],$A196,tblOrdenes[semana],$B196,tblOrdenes[clasificacion],"correctiva")</f>
        <v/>
      </c>
      <c r="G196" s="14">
        <f>E196+F196</f>
        <v/>
      </c>
      <c r="H196" s="14">
        <f>D196-G196</f>
        <v/>
      </c>
      <c r="I196" s="15">
        <f>IF(D196=0,"",G196/D196)</f>
        <v/>
      </c>
    </row>
    <row r="197" hidden="1">
      <c r="A197" s="3" t="inlineStr">
        <is>
          <t>OP</t>
        </is>
      </c>
      <c r="B197" s="3">
        <f>$O$42</f>
        <v/>
      </c>
      <c r="C197" s="14">
        <f>SUMIFS(tblAsignaciones[horas_disponibles],tblAsignaciones[especialidad],$A197,tblAsignaciones[semana],$B197)</f>
        <v/>
      </c>
      <c r="D197" s="14">
        <f>C197*p_factor_productividad</f>
        <v/>
      </c>
      <c r="E197" s="14">
        <f>SUMIFS(tblOrdenes[horas_efectivas],tblOrdenes[especialidad],$A197,tblOrdenes[semana],$B197,tblOrdenes[clasificacion],"preventiva")</f>
        <v/>
      </c>
      <c r="F197" s="14">
        <f>SUMIFS(tblOrdenes[horas_efectivas],tblOrdenes[especialidad],$A197,tblOrdenes[semana],$B197,tblOrdenes[clasificacion],"correctiva")</f>
        <v/>
      </c>
      <c r="G197" s="14">
        <f>E197+F197</f>
        <v/>
      </c>
      <c r="H197" s="14">
        <f>D197-G197</f>
        <v/>
      </c>
      <c r="I197" s="15">
        <f>IF(D197=0,"",G197/D197)</f>
        <v/>
      </c>
    </row>
    <row r="198" hidden="1">
      <c r="A198" s="3" t="inlineStr">
        <is>
          <t>TERCERO</t>
        </is>
      </c>
      <c r="B198" s="3">
        <f>$O$42</f>
        <v/>
      </c>
      <c r="C198" s="14">
        <f>SUMIFS(tblAsignaciones[horas_disponibles],tblAsignaciones[especialidad],$A198,tblAsignaciones[semana],$B198)</f>
        <v/>
      </c>
      <c r="D198" s="14">
        <f>C198*p_factor_productividad</f>
        <v/>
      </c>
      <c r="E198" s="14">
        <f>SUMIFS(tblOrdenes[horas_efectivas],tblOrdenes[especialidad],$A198,tblOrdenes[semana],$B198,tblOrdenes[clasificacion],"preventiva")</f>
        <v/>
      </c>
      <c r="F198" s="14">
        <f>SUMIFS(tblOrdenes[horas_efectivas],tblOrdenes[especialidad],$A198,tblOrdenes[semana],$B198,tblOrdenes[clasificacion],"correctiva")</f>
        <v/>
      </c>
      <c r="G198" s="14">
        <f>E198+F198</f>
        <v/>
      </c>
      <c r="H198" s="14">
        <f>D198-G198</f>
        <v/>
      </c>
      <c r="I198" s="15">
        <f>IF(D198=0,"",G198/D198)</f>
        <v/>
      </c>
    </row>
    <row r="199" hidden="1">
      <c r="A199" s="3" t="inlineStr">
        <is>
          <t>MEC</t>
        </is>
      </c>
      <c r="B199" s="3">
        <f>$O$43</f>
        <v/>
      </c>
      <c r="C199" s="14">
        <f>SUMIFS(tblAsignaciones[horas_disponibles],tblAsignaciones[especialidad],$A199,tblAsignaciones[semana],$B199)</f>
        <v/>
      </c>
      <c r="D199" s="14">
        <f>C199*p_factor_productividad</f>
        <v/>
      </c>
      <c r="E199" s="14">
        <f>SUMIFS(tblOrdenes[horas_efectivas],tblOrdenes[especialidad],$A199,tblOrdenes[semana],$B199,tblOrdenes[clasificacion],"preventiva")</f>
        <v/>
      </c>
      <c r="F199" s="14">
        <f>SUMIFS(tblOrdenes[horas_efectivas],tblOrdenes[especialidad],$A199,tblOrdenes[semana],$B199,tblOrdenes[clasificacion],"correctiva")</f>
        <v/>
      </c>
      <c r="G199" s="14">
        <f>E199+F199</f>
        <v/>
      </c>
      <c r="H199" s="14">
        <f>D199-G199</f>
        <v/>
      </c>
      <c r="I199" s="15">
        <f>IF(D199=0,"",G199/D199)</f>
        <v/>
      </c>
    </row>
    <row r="200" hidden="1">
      <c r="A200" s="3" t="inlineStr">
        <is>
          <t>ELE</t>
        </is>
      </c>
      <c r="B200" s="3">
        <f>$O$43</f>
        <v/>
      </c>
      <c r="C200" s="14">
        <f>SUMIFS(tblAsignaciones[horas_disponibles],tblAsignaciones[especialidad],$A200,tblAsignaciones[semana],$B200)</f>
        <v/>
      </c>
      <c r="D200" s="14">
        <f>C200*p_factor_productividad</f>
        <v/>
      </c>
      <c r="E200" s="14">
        <f>SUMIFS(tblOrdenes[horas_efectivas],tblOrdenes[especialidad],$A200,tblOrdenes[semana],$B200,tblOrdenes[clasificacion],"preventiva")</f>
        <v/>
      </c>
      <c r="F200" s="14">
        <f>SUMIFS(tblOrdenes[horas_efectivas],tblOrdenes[especialidad],$A200,tblOrdenes[semana],$B200,tblOrdenes[clasificacion],"correctiva")</f>
        <v/>
      </c>
      <c r="G200" s="14">
        <f>E200+F200</f>
        <v/>
      </c>
      <c r="H200" s="14">
        <f>D200-G200</f>
        <v/>
      </c>
      <c r="I200" s="15">
        <f>IF(D200=0,"",G200/D200)</f>
        <v/>
      </c>
    </row>
    <row r="201" hidden="1">
      <c r="A201" s="3" t="inlineStr">
        <is>
          <t>AUT</t>
        </is>
      </c>
      <c r="B201" s="3">
        <f>$O$43</f>
        <v/>
      </c>
      <c r="C201" s="14">
        <f>SUMIFS(tblAsignaciones[horas_disponibles],tblAsignaciones[especialidad],$A201,tblAsignaciones[semana],$B201)</f>
        <v/>
      </c>
      <c r="D201" s="14">
        <f>C201*p_factor_productividad</f>
        <v/>
      </c>
      <c r="E201" s="14">
        <f>SUMIFS(tblOrdenes[horas_efectivas],tblOrdenes[especialidad],$A201,tblOrdenes[semana],$B201,tblOrdenes[clasificacion],"preventiva")</f>
        <v/>
      </c>
      <c r="F201" s="14">
        <f>SUMIFS(tblOrdenes[horas_efectivas],tblOrdenes[especialidad],$A201,tblOrdenes[semana],$B201,tblOrdenes[clasificacion],"correctiva")</f>
        <v/>
      </c>
      <c r="G201" s="14">
        <f>E201+F201</f>
        <v/>
      </c>
      <c r="H201" s="14">
        <f>D201-G201</f>
        <v/>
      </c>
      <c r="I201" s="15">
        <f>IF(D201=0,"",G201/D201)</f>
        <v/>
      </c>
    </row>
    <row r="202" hidden="1">
      <c r="A202" s="3" t="inlineStr">
        <is>
          <t>OP</t>
        </is>
      </c>
      <c r="B202" s="3">
        <f>$O$43</f>
        <v/>
      </c>
      <c r="C202" s="14">
        <f>SUMIFS(tblAsignaciones[horas_disponibles],tblAsignaciones[especialidad],$A202,tblAsignaciones[semana],$B202)</f>
        <v/>
      </c>
      <c r="D202" s="14">
        <f>C202*p_factor_productividad</f>
        <v/>
      </c>
      <c r="E202" s="14">
        <f>SUMIFS(tblOrdenes[horas_efectivas],tblOrdenes[especialidad],$A202,tblOrdenes[semana],$B202,tblOrdenes[clasificacion],"preventiva")</f>
        <v/>
      </c>
      <c r="F202" s="14">
        <f>SUMIFS(tblOrdenes[horas_efectivas],tblOrdenes[especialidad],$A202,tblOrdenes[semana],$B202,tblOrdenes[clasificacion],"correctiva")</f>
        <v/>
      </c>
      <c r="G202" s="14">
        <f>E202+F202</f>
        <v/>
      </c>
      <c r="H202" s="14">
        <f>D202-G202</f>
        <v/>
      </c>
      <c r="I202" s="15">
        <f>IF(D202=0,"",G202/D202)</f>
        <v/>
      </c>
    </row>
    <row r="203" hidden="1">
      <c r="A203" s="3" t="inlineStr">
        <is>
          <t>TERCERO</t>
        </is>
      </c>
      <c r="B203" s="3">
        <f>$O$43</f>
        <v/>
      </c>
      <c r="C203" s="14">
        <f>SUMIFS(tblAsignaciones[horas_disponibles],tblAsignaciones[especialidad],$A203,tblAsignaciones[semana],$B203)</f>
        <v/>
      </c>
      <c r="D203" s="14">
        <f>C203*p_factor_productividad</f>
        <v/>
      </c>
      <c r="E203" s="14">
        <f>SUMIFS(tblOrdenes[horas_efectivas],tblOrdenes[especialidad],$A203,tblOrdenes[semana],$B203,tblOrdenes[clasificacion],"preventiva")</f>
        <v/>
      </c>
      <c r="F203" s="14">
        <f>SUMIFS(tblOrdenes[horas_efectivas],tblOrdenes[especialidad],$A203,tblOrdenes[semana],$B203,tblOrdenes[clasificacion],"correctiva")</f>
        <v/>
      </c>
      <c r="G203" s="14">
        <f>E203+F203</f>
        <v/>
      </c>
      <c r="H203" s="14">
        <f>D203-G203</f>
        <v/>
      </c>
      <c r="I203" s="15">
        <f>IF(D203=0,"",G203/D203)</f>
        <v/>
      </c>
    </row>
    <row r="204" hidden="1">
      <c r="A204" s="3" t="inlineStr">
        <is>
          <t>MEC</t>
        </is>
      </c>
      <c r="B204" s="3">
        <f>$O$44</f>
        <v/>
      </c>
      <c r="C204" s="14">
        <f>SUMIFS(tblAsignaciones[horas_disponibles],tblAsignaciones[especialidad],$A204,tblAsignaciones[semana],$B204)</f>
        <v/>
      </c>
      <c r="D204" s="14">
        <f>C204*p_factor_productividad</f>
        <v/>
      </c>
      <c r="E204" s="14">
        <f>SUMIFS(tblOrdenes[horas_efectivas],tblOrdenes[especialidad],$A204,tblOrdenes[semana],$B204,tblOrdenes[clasificacion],"preventiva")</f>
        <v/>
      </c>
      <c r="F204" s="14">
        <f>SUMIFS(tblOrdenes[horas_efectivas],tblOrdenes[especialidad],$A204,tblOrdenes[semana],$B204,tblOrdenes[clasificacion],"correctiva")</f>
        <v/>
      </c>
      <c r="G204" s="14">
        <f>E204+F204</f>
        <v/>
      </c>
      <c r="H204" s="14">
        <f>D204-G204</f>
        <v/>
      </c>
      <c r="I204" s="15">
        <f>IF(D204=0,"",G204/D204)</f>
        <v/>
      </c>
    </row>
    <row r="205" hidden="1">
      <c r="A205" s="3" t="inlineStr">
        <is>
          <t>ELE</t>
        </is>
      </c>
      <c r="B205" s="3">
        <f>$O$44</f>
        <v/>
      </c>
      <c r="C205" s="14">
        <f>SUMIFS(tblAsignaciones[horas_disponibles],tblAsignaciones[especialidad],$A205,tblAsignaciones[semana],$B205)</f>
        <v/>
      </c>
      <c r="D205" s="14">
        <f>C205*p_factor_productividad</f>
        <v/>
      </c>
      <c r="E205" s="14">
        <f>SUMIFS(tblOrdenes[horas_efectivas],tblOrdenes[especialidad],$A205,tblOrdenes[semana],$B205,tblOrdenes[clasificacion],"preventiva")</f>
        <v/>
      </c>
      <c r="F205" s="14">
        <f>SUMIFS(tblOrdenes[horas_efectivas],tblOrdenes[especialidad],$A205,tblOrdenes[semana],$B205,tblOrdenes[clasificacion],"correctiva")</f>
        <v/>
      </c>
      <c r="G205" s="14">
        <f>E205+F205</f>
        <v/>
      </c>
      <c r="H205" s="14">
        <f>D205-G205</f>
        <v/>
      </c>
      <c r="I205" s="15">
        <f>IF(D205=0,"",G205/D205)</f>
        <v/>
      </c>
    </row>
    <row r="206" hidden="1">
      <c r="A206" s="3" t="inlineStr">
        <is>
          <t>AUT</t>
        </is>
      </c>
      <c r="B206" s="3">
        <f>$O$44</f>
        <v/>
      </c>
      <c r="C206" s="14">
        <f>SUMIFS(tblAsignaciones[horas_disponibles],tblAsignaciones[especialidad],$A206,tblAsignaciones[semana],$B206)</f>
        <v/>
      </c>
      <c r="D206" s="14">
        <f>C206*p_factor_productividad</f>
        <v/>
      </c>
      <c r="E206" s="14">
        <f>SUMIFS(tblOrdenes[horas_efectivas],tblOrdenes[especialidad],$A206,tblOrdenes[semana],$B206,tblOrdenes[clasificacion],"preventiva")</f>
        <v/>
      </c>
      <c r="F206" s="14">
        <f>SUMIFS(tblOrdenes[horas_efectivas],tblOrdenes[especialidad],$A206,tblOrdenes[semana],$B206,tblOrdenes[clasificacion],"correctiva")</f>
        <v/>
      </c>
      <c r="G206" s="14">
        <f>E206+F206</f>
        <v/>
      </c>
      <c r="H206" s="14">
        <f>D206-G206</f>
        <v/>
      </c>
      <c r="I206" s="15">
        <f>IF(D206=0,"",G206/D206)</f>
        <v/>
      </c>
    </row>
    <row r="207" hidden="1">
      <c r="A207" s="3" t="inlineStr">
        <is>
          <t>OP</t>
        </is>
      </c>
      <c r="B207" s="3">
        <f>$O$44</f>
        <v/>
      </c>
      <c r="C207" s="14">
        <f>SUMIFS(tblAsignaciones[horas_disponibles],tblAsignaciones[especialidad],$A207,tblAsignaciones[semana],$B207)</f>
        <v/>
      </c>
      <c r="D207" s="14">
        <f>C207*p_factor_productividad</f>
        <v/>
      </c>
      <c r="E207" s="14">
        <f>SUMIFS(tblOrdenes[horas_efectivas],tblOrdenes[especialidad],$A207,tblOrdenes[semana],$B207,tblOrdenes[clasificacion],"preventiva")</f>
        <v/>
      </c>
      <c r="F207" s="14">
        <f>SUMIFS(tblOrdenes[horas_efectivas],tblOrdenes[especialidad],$A207,tblOrdenes[semana],$B207,tblOrdenes[clasificacion],"correctiva")</f>
        <v/>
      </c>
      <c r="G207" s="14">
        <f>E207+F207</f>
        <v/>
      </c>
      <c r="H207" s="14">
        <f>D207-G207</f>
        <v/>
      </c>
      <c r="I207" s="15">
        <f>IF(D207=0,"",G207/D207)</f>
        <v/>
      </c>
    </row>
    <row r="208" hidden="1">
      <c r="A208" s="3" t="inlineStr">
        <is>
          <t>TERCERO</t>
        </is>
      </c>
      <c r="B208" s="3">
        <f>$O$44</f>
        <v/>
      </c>
      <c r="C208" s="14">
        <f>SUMIFS(tblAsignaciones[horas_disponibles],tblAsignaciones[especialidad],$A208,tblAsignaciones[semana],$B208)</f>
        <v/>
      </c>
      <c r="D208" s="14">
        <f>C208*p_factor_productividad</f>
        <v/>
      </c>
      <c r="E208" s="14">
        <f>SUMIFS(tblOrdenes[horas_efectivas],tblOrdenes[especialidad],$A208,tblOrdenes[semana],$B208,tblOrdenes[clasificacion],"preventiva")</f>
        <v/>
      </c>
      <c r="F208" s="14">
        <f>SUMIFS(tblOrdenes[horas_efectivas],tblOrdenes[especialidad],$A208,tblOrdenes[semana],$B208,tblOrdenes[clasificacion],"correctiva")</f>
        <v/>
      </c>
      <c r="G208" s="14">
        <f>E208+F208</f>
        <v/>
      </c>
      <c r="H208" s="14">
        <f>D208-G208</f>
        <v/>
      </c>
      <c r="I208" s="15">
        <f>IF(D208=0,"",G208/D208)</f>
        <v/>
      </c>
    </row>
    <row r="209" hidden="1">
      <c r="A209" s="3" t="inlineStr">
        <is>
          <t>MEC</t>
        </is>
      </c>
      <c r="B209" s="3">
        <f>$O$45</f>
        <v/>
      </c>
      <c r="C209" s="14">
        <f>SUMIFS(tblAsignaciones[horas_disponibles],tblAsignaciones[especialidad],$A209,tblAsignaciones[semana],$B209)</f>
        <v/>
      </c>
      <c r="D209" s="14">
        <f>C209*p_factor_productividad</f>
        <v/>
      </c>
      <c r="E209" s="14">
        <f>SUMIFS(tblOrdenes[horas_efectivas],tblOrdenes[especialidad],$A209,tblOrdenes[semana],$B209,tblOrdenes[clasificacion],"preventiva")</f>
        <v/>
      </c>
      <c r="F209" s="14">
        <f>SUMIFS(tblOrdenes[horas_efectivas],tblOrdenes[especialidad],$A209,tblOrdenes[semana],$B209,tblOrdenes[clasificacion],"correctiva")</f>
        <v/>
      </c>
      <c r="G209" s="14">
        <f>E209+F209</f>
        <v/>
      </c>
      <c r="H209" s="14">
        <f>D209-G209</f>
        <v/>
      </c>
      <c r="I209" s="15">
        <f>IF(D209=0,"",G209/D209)</f>
        <v/>
      </c>
    </row>
    <row r="210" hidden="1">
      <c r="A210" s="3" t="inlineStr">
        <is>
          <t>ELE</t>
        </is>
      </c>
      <c r="B210" s="3">
        <f>$O$45</f>
        <v/>
      </c>
      <c r="C210" s="14">
        <f>SUMIFS(tblAsignaciones[horas_disponibles],tblAsignaciones[especialidad],$A210,tblAsignaciones[semana],$B210)</f>
        <v/>
      </c>
      <c r="D210" s="14">
        <f>C210*p_factor_productividad</f>
        <v/>
      </c>
      <c r="E210" s="14">
        <f>SUMIFS(tblOrdenes[horas_efectivas],tblOrdenes[especialidad],$A210,tblOrdenes[semana],$B210,tblOrdenes[clasificacion],"preventiva")</f>
        <v/>
      </c>
      <c r="F210" s="14">
        <f>SUMIFS(tblOrdenes[horas_efectivas],tblOrdenes[especialidad],$A210,tblOrdenes[semana],$B210,tblOrdenes[clasificacion],"correctiva")</f>
        <v/>
      </c>
      <c r="G210" s="14">
        <f>E210+F210</f>
        <v/>
      </c>
      <c r="H210" s="14">
        <f>D210-G210</f>
        <v/>
      </c>
      <c r="I210" s="15">
        <f>IF(D210=0,"",G210/D210)</f>
        <v/>
      </c>
    </row>
    <row r="211" hidden="1">
      <c r="A211" s="3" t="inlineStr">
        <is>
          <t>AUT</t>
        </is>
      </c>
      <c r="B211" s="3">
        <f>$O$45</f>
        <v/>
      </c>
      <c r="C211" s="14">
        <f>SUMIFS(tblAsignaciones[horas_disponibles],tblAsignaciones[especialidad],$A211,tblAsignaciones[semana],$B211)</f>
        <v/>
      </c>
      <c r="D211" s="14">
        <f>C211*p_factor_productividad</f>
        <v/>
      </c>
      <c r="E211" s="14">
        <f>SUMIFS(tblOrdenes[horas_efectivas],tblOrdenes[especialidad],$A211,tblOrdenes[semana],$B211,tblOrdenes[clasificacion],"preventiva")</f>
        <v/>
      </c>
      <c r="F211" s="14">
        <f>SUMIFS(tblOrdenes[horas_efectivas],tblOrdenes[especialidad],$A211,tblOrdenes[semana],$B211,tblOrdenes[clasificacion],"correctiva")</f>
        <v/>
      </c>
      <c r="G211" s="14">
        <f>E211+F211</f>
        <v/>
      </c>
      <c r="H211" s="14">
        <f>D211-G211</f>
        <v/>
      </c>
      <c r="I211" s="15">
        <f>IF(D211=0,"",G211/D211)</f>
        <v/>
      </c>
    </row>
    <row r="212" hidden="1">
      <c r="A212" s="3" t="inlineStr">
        <is>
          <t>OP</t>
        </is>
      </c>
      <c r="B212" s="3">
        <f>$O$45</f>
        <v/>
      </c>
      <c r="C212" s="14">
        <f>SUMIFS(tblAsignaciones[horas_disponibles],tblAsignaciones[especialidad],$A212,tblAsignaciones[semana],$B212)</f>
        <v/>
      </c>
      <c r="D212" s="14">
        <f>C212*p_factor_productividad</f>
        <v/>
      </c>
      <c r="E212" s="14">
        <f>SUMIFS(tblOrdenes[horas_efectivas],tblOrdenes[especialidad],$A212,tblOrdenes[semana],$B212,tblOrdenes[clasificacion],"preventiva")</f>
        <v/>
      </c>
      <c r="F212" s="14">
        <f>SUMIFS(tblOrdenes[horas_efectivas],tblOrdenes[especialidad],$A212,tblOrdenes[semana],$B212,tblOrdenes[clasificacion],"correctiva")</f>
        <v/>
      </c>
      <c r="G212" s="14">
        <f>E212+F212</f>
        <v/>
      </c>
      <c r="H212" s="14">
        <f>D212-G212</f>
        <v/>
      </c>
      <c r="I212" s="15">
        <f>IF(D212=0,"",G212/D212)</f>
        <v/>
      </c>
    </row>
    <row r="213" hidden="1">
      <c r="A213" s="3" t="inlineStr">
        <is>
          <t>TERCERO</t>
        </is>
      </c>
      <c r="B213" s="3">
        <f>$O$45</f>
        <v/>
      </c>
      <c r="C213" s="14">
        <f>SUMIFS(tblAsignaciones[horas_disponibles],tblAsignaciones[especialidad],$A213,tblAsignaciones[semana],$B213)</f>
        <v/>
      </c>
      <c r="D213" s="14">
        <f>C213*p_factor_productividad</f>
        <v/>
      </c>
      <c r="E213" s="14">
        <f>SUMIFS(tblOrdenes[horas_efectivas],tblOrdenes[especialidad],$A213,tblOrdenes[semana],$B213,tblOrdenes[clasificacion],"preventiva")</f>
        <v/>
      </c>
      <c r="F213" s="14">
        <f>SUMIFS(tblOrdenes[horas_efectivas],tblOrdenes[especialidad],$A213,tblOrdenes[semana],$B213,tblOrdenes[clasificacion],"correctiva")</f>
        <v/>
      </c>
      <c r="G213" s="14">
        <f>E213+F213</f>
        <v/>
      </c>
      <c r="H213" s="14">
        <f>D213-G213</f>
        <v/>
      </c>
      <c r="I213" s="15">
        <f>IF(D213=0,"",G213/D213)</f>
        <v/>
      </c>
    </row>
    <row r="214" hidden="1">
      <c r="A214" s="3" t="inlineStr">
        <is>
          <t>MEC</t>
        </is>
      </c>
      <c r="B214" s="3">
        <f>$O$46</f>
        <v/>
      </c>
      <c r="C214" s="14">
        <f>SUMIFS(tblAsignaciones[horas_disponibles],tblAsignaciones[especialidad],$A214,tblAsignaciones[semana],$B214)</f>
        <v/>
      </c>
      <c r="D214" s="14">
        <f>C214*p_factor_productividad</f>
        <v/>
      </c>
      <c r="E214" s="14">
        <f>SUMIFS(tblOrdenes[horas_efectivas],tblOrdenes[especialidad],$A214,tblOrdenes[semana],$B214,tblOrdenes[clasificacion],"preventiva")</f>
        <v/>
      </c>
      <c r="F214" s="14">
        <f>SUMIFS(tblOrdenes[horas_efectivas],tblOrdenes[especialidad],$A214,tblOrdenes[semana],$B214,tblOrdenes[clasificacion],"correctiva")</f>
        <v/>
      </c>
      <c r="G214" s="14">
        <f>E214+F214</f>
        <v/>
      </c>
      <c r="H214" s="14">
        <f>D214-G214</f>
        <v/>
      </c>
      <c r="I214" s="15">
        <f>IF(D214=0,"",G214/D214)</f>
        <v/>
      </c>
    </row>
    <row r="215" hidden="1">
      <c r="A215" s="3" t="inlineStr">
        <is>
          <t>ELE</t>
        </is>
      </c>
      <c r="B215" s="3">
        <f>$O$46</f>
        <v/>
      </c>
      <c r="C215" s="14">
        <f>SUMIFS(tblAsignaciones[horas_disponibles],tblAsignaciones[especialidad],$A215,tblAsignaciones[semana],$B215)</f>
        <v/>
      </c>
      <c r="D215" s="14">
        <f>C215*p_factor_productividad</f>
        <v/>
      </c>
      <c r="E215" s="14">
        <f>SUMIFS(tblOrdenes[horas_efectivas],tblOrdenes[especialidad],$A215,tblOrdenes[semana],$B215,tblOrdenes[clasificacion],"preventiva")</f>
        <v/>
      </c>
      <c r="F215" s="14">
        <f>SUMIFS(tblOrdenes[horas_efectivas],tblOrdenes[especialidad],$A215,tblOrdenes[semana],$B215,tblOrdenes[clasificacion],"correctiva")</f>
        <v/>
      </c>
      <c r="G215" s="14">
        <f>E215+F215</f>
        <v/>
      </c>
      <c r="H215" s="14">
        <f>D215-G215</f>
        <v/>
      </c>
      <c r="I215" s="15">
        <f>IF(D215=0,"",G215/D215)</f>
        <v/>
      </c>
    </row>
    <row r="216" hidden="1">
      <c r="A216" s="3" t="inlineStr">
        <is>
          <t>AUT</t>
        </is>
      </c>
      <c r="B216" s="3">
        <f>$O$46</f>
        <v/>
      </c>
      <c r="C216" s="14">
        <f>SUMIFS(tblAsignaciones[horas_disponibles],tblAsignaciones[especialidad],$A216,tblAsignaciones[semana],$B216)</f>
        <v/>
      </c>
      <c r="D216" s="14">
        <f>C216*p_factor_productividad</f>
        <v/>
      </c>
      <c r="E216" s="14">
        <f>SUMIFS(tblOrdenes[horas_efectivas],tblOrdenes[especialidad],$A216,tblOrdenes[semana],$B216,tblOrdenes[clasificacion],"preventiva")</f>
        <v/>
      </c>
      <c r="F216" s="14">
        <f>SUMIFS(tblOrdenes[horas_efectivas],tblOrdenes[especialidad],$A216,tblOrdenes[semana],$B216,tblOrdenes[clasificacion],"correctiva")</f>
        <v/>
      </c>
      <c r="G216" s="14">
        <f>E216+F216</f>
        <v/>
      </c>
      <c r="H216" s="14">
        <f>D216-G216</f>
        <v/>
      </c>
      <c r="I216" s="15">
        <f>IF(D216=0,"",G216/D216)</f>
        <v/>
      </c>
    </row>
    <row r="217" hidden="1">
      <c r="A217" s="3" t="inlineStr">
        <is>
          <t>OP</t>
        </is>
      </c>
      <c r="B217" s="3">
        <f>$O$46</f>
        <v/>
      </c>
      <c r="C217" s="14">
        <f>SUMIFS(tblAsignaciones[horas_disponibles],tblAsignaciones[especialidad],$A217,tblAsignaciones[semana],$B217)</f>
        <v/>
      </c>
      <c r="D217" s="14">
        <f>C217*p_factor_productividad</f>
        <v/>
      </c>
      <c r="E217" s="14">
        <f>SUMIFS(tblOrdenes[horas_efectivas],tblOrdenes[especialidad],$A217,tblOrdenes[semana],$B217,tblOrdenes[clasificacion],"preventiva")</f>
        <v/>
      </c>
      <c r="F217" s="14">
        <f>SUMIFS(tblOrdenes[horas_efectivas],tblOrdenes[especialidad],$A217,tblOrdenes[semana],$B217,tblOrdenes[clasificacion],"correctiva")</f>
        <v/>
      </c>
      <c r="G217" s="14">
        <f>E217+F217</f>
        <v/>
      </c>
      <c r="H217" s="14">
        <f>D217-G217</f>
        <v/>
      </c>
      <c r="I217" s="15">
        <f>IF(D217=0,"",G217/D217)</f>
        <v/>
      </c>
    </row>
    <row r="218" hidden="1">
      <c r="A218" s="3" t="inlineStr">
        <is>
          <t>TERCERO</t>
        </is>
      </c>
      <c r="B218" s="3">
        <f>$O$46</f>
        <v/>
      </c>
      <c r="C218" s="14">
        <f>SUMIFS(tblAsignaciones[horas_disponibles],tblAsignaciones[especialidad],$A218,tblAsignaciones[semana],$B218)</f>
        <v/>
      </c>
      <c r="D218" s="14">
        <f>C218*p_factor_productividad</f>
        <v/>
      </c>
      <c r="E218" s="14">
        <f>SUMIFS(tblOrdenes[horas_efectivas],tblOrdenes[especialidad],$A218,tblOrdenes[semana],$B218,tblOrdenes[clasificacion],"preventiva")</f>
        <v/>
      </c>
      <c r="F218" s="14">
        <f>SUMIFS(tblOrdenes[horas_efectivas],tblOrdenes[especialidad],$A218,tblOrdenes[semana],$B218,tblOrdenes[clasificacion],"correctiva")</f>
        <v/>
      </c>
      <c r="G218" s="14">
        <f>E218+F218</f>
        <v/>
      </c>
      <c r="H218" s="14">
        <f>D218-G218</f>
        <v/>
      </c>
      <c r="I218" s="15">
        <f>IF(D218=0,"",G218/D218)</f>
        <v/>
      </c>
    </row>
    <row r="219" hidden="1">
      <c r="A219" s="3" t="inlineStr">
        <is>
          <t>MEC</t>
        </is>
      </c>
      <c r="B219" s="3">
        <f>$O$47</f>
        <v/>
      </c>
      <c r="C219" s="14">
        <f>SUMIFS(tblAsignaciones[horas_disponibles],tblAsignaciones[especialidad],$A219,tblAsignaciones[semana],$B219)</f>
        <v/>
      </c>
      <c r="D219" s="14">
        <f>C219*p_factor_productividad</f>
        <v/>
      </c>
      <c r="E219" s="14">
        <f>SUMIFS(tblOrdenes[horas_efectivas],tblOrdenes[especialidad],$A219,tblOrdenes[semana],$B219,tblOrdenes[clasificacion],"preventiva")</f>
        <v/>
      </c>
      <c r="F219" s="14">
        <f>SUMIFS(tblOrdenes[horas_efectivas],tblOrdenes[especialidad],$A219,tblOrdenes[semana],$B219,tblOrdenes[clasificacion],"correctiva")</f>
        <v/>
      </c>
      <c r="G219" s="14">
        <f>E219+F219</f>
        <v/>
      </c>
      <c r="H219" s="14">
        <f>D219-G219</f>
        <v/>
      </c>
      <c r="I219" s="15">
        <f>IF(D219=0,"",G219/D219)</f>
        <v/>
      </c>
    </row>
    <row r="220" hidden="1">
      <c r="A220" s="3" t="inlineStr">
        <is>
          <t>ELE</t>
        </is>
      </c>
      <c r="B220" s="3">
        <f>$O$47</f>
        <v/>
      </c>
      <c r="C220" s="14">
        <f>SUMIFS(tblAsignaciones[horas_disponibles],tblAsignaciones[especialidad],$A220,tblAsignaciones[semana],$B220)</f>
        <v/>
      </c>
      <c r="D220" s="14">
        <f>C220*p_factor_productividad</f>
        <v/>
      </c>
      <c r="E220" s="14">
        <f>SUMIFS(tblOrdenes[horas_efectivas],tblOrdenes[especialidad],$A220,tblOrdenes[semana],$B220,tblOrdenes[clasificacion],"preventiva")</f>
        <v/>
      </c>
      <c r="F220" s="14">
        <f>SUMIFS(tblOrdenes[horas_efectivas],tblOrdenes[especialidad],$A220,tblOrdenes[semana],$B220,tblOrdenes[clasificacion],"correctiva")</f>
        <v/>
      </c>
      <c r="G220" s="14">
        <f>E220+F220</f>
        <v/>
      </c>
      <c r="H220" s="14">
        <f>D220-G220</f>
        <v/>
      </c>
      <c r="I220" s="15">
        <f>IF(D220=0,"",G220/D220)</f>
        <v/>
      </c>
    </row>
    <row r="221" hidden="1">
      <c r="A221" s="3" t="inlineStr">
        <is>
          <t>AUT</t>
        </is>
      </c>
      <c r="B221" s="3">
        <f>$O$47</f>
        <v/>
      </c>
      <c r="C221" s="14">
        <f>SUMIFS(tblAsignaciones[horas_disponibles],tblAsignaciones[especialidad],$A221,tblAsignaciones[semana],$B221)</f>
        <v/>
      </c>
      <c r="D221" s="14">
        <f>C221*p_factor_productividad</f>
        <v/>
      </c>
      <c r="E221" s="14">
        <f>SUMIFS(tblOrdenes[horas_efectivas],tblOrdenes[especialidad],$A221,tblOrdenes[semana],$B221,tblOrdenes[clasificacion],"preventiva")</f>
        <v/>
      </c>
      <c r="F221" s="14">
        <f>SUMIFS(tblOrdenes[horas_efectivas],tblOrdenes[especialidad],$A221,tblOrdenes[semana],$B221,tblOrdenes[clasificacion],"correctiva")</f>
        <v/>
      </c>
      <c r="G221" s="14">
        <f>E221+F221</f>
        <v/>
      </c>
      <c r="H221" s="14">
        <f>D221-G221</f>
        <v/>
      </c>
      <c r="I221" s="15">
        <f>IF(D221=0,"",G221/D221)</f>
        <v/>
      </c>
    </row>
    <row r="222" hidden="1">
      <c r="A222" s="3" t="inlineStr">
        <is>
          <t>OP</t>
        </is>
      </c>
      <c r="B222" s="3">
        <f>$O$47</f>
        <v/>
      </c>
      <c r="C222" s="14">
        <f>SUMIFS(tblAsignaciones[horas_disponibles],tblAsignaciones[especialidad],$A222,tblAsignaciones[semana],$B222)</f>
        <v/>
      </c>
      <c r="D222" s="14">
        <f>C222*p_factor_productividad</f>
        <v/>
      </c>
      <c r="E222" s="14">
        <f>SUMIFS(tblOrdenes[horas_efectivas],tblOrdenes[especialidad],$A222,tblOrdenes[semana],$B222,tblOrdenes[clasificacion],"preventiva")</f>
        <v/>
      </c>
      <c r="F222" s="14">
        <f>SUMIFS(tblOrdenes[horas_efectivas],tblOrdenes[especialidad],$A222,tblOrdenes[semana],$B222,tblOrdenes[clasificacion],"correctiva")</f>
        <v/>
      </c>
      <c r="G222" s="14">
        <f>E222+F222</f>
        <v/>
      </c>
      <c r="H222" s="14">
        <f>D222-G222</f>
        <v/>
      </c>
      <c r="I222" s="15">
        <f>IF(D222=0,"",G222/D222)</f>
        <v/>
      </c>
    </row>
    <row r="223" hidden="1">
      <c r="A223" s="3" t="inlineStr">
        <is>
          <t>TERCERO</t>
        </is>
      </c>
      <c r="B223" s="3">
        <f>$O$47</f>
        <v/>
      </c>
      <c r="C223" s="14">
        <f>SUMIFS(tblAsignaciones[horas_disponibles],tblAsignaciones[especialidad],$A223,tblAsignaciones[semana],$B223)</f>
        <v/>
      </c>
      <c r="D223" s="14">
        <f>C223*p_factor_productividad</f>
        <v/>
      </c>
      <c r="E223" s="14">
        <f>SUMIFS(tblOrdenes[horas_efectivas],tblOrdenes[especialidad],$A223,tblOrdenes[semana],$B223,tblOrdenes[clasificacion],"preventiva")</f>
        <v/>
      </c>
      <c r="F223" s="14">
        <f>SUMIFS(tblOrdenes[horas_efectivas],tblOrdenes[especialidad],$A223,tblOrdenes[semana],$B223,tblOrdenes[clasificacion],"correctiva")</f>
        <v/>
      </c>
      <c r="G223" s="14">
        <f>E223+F223</f>
        <v/>
      </c>
      <c r="H223" s="14">
        <f>D223-G223</f>
        <v/>
      </c>
      <c r="I223" s="15">
        <f>IF(D223=0,"",G223/D223)</f>
        <v/>
      </c>
    </row>
    <row r="224" hidden="1">
      <c r="A224" s="3" t="inlineStr">
        <is>
          <t>MEC</t>
        </is>
      </c>
      <c r="B224" s="3">
        <f>$O$48</f>
        <v/>
      </c>
      <c r="C224" s="14">
        <f>SUMIFS(tblAsignaciones[horas_disponibles],tblAsignaciones[especialidad],$A224,tblAsignaciones[semana],$B224)</f>
        <v/>
      </c>
      <c r="D224" s="14">
        <f>C224*p_factor_productividad</f>
        <v/>
      </c>
      <c r="E224" s="14">
        <f>SUMIFS(tblOrdenes[horas_efectivas],tblOrdenes[especialidad],$A224,tblOrdenes[semana],$B224,tblOrdenes[clasificacion],"preventiva")</f>
        <v/>
      </c>
      <c r="F224" s="14">
        <f>SUMIFS(tblOrdenes[horas_efectivas],tblOrdenes[especialidad],$A224,tblOrdenes[semana],$B224,tblOrdenes[clasificacion],"correctiva")</f>
        <v/>
      </c>
      <c r="G224" s="14">
        <f>E224+F224</f>
        <v/>
      </c>
      <c r="H224" s="14">
        <f>D224-G224</f>
        <v/>
      </c>
      <c r="I224" s="15">
        <f>IF(D224=0,"",G224/D224)</f>
        <v/>
      </c>
    </row>
    <row r="225" hidden="1">
      <c r="A225" s="3" t="inlineStr">
        <is>
          <t>ELE</t>
        </is>
      </c>
      <c r="B225" s="3">
        <f>$O$48</f>
        <v/>
      </c>
      <c r="C225" s="14">
        <f>SUMIFS(tblAsignaciones[horas_disponibles],tblAsignaciones[especialidad],$A225,tblAsignaciones[semana],$B225)</f>
        <v/>
      </c>
      <c r="D225" s="14">
        <f>C225*p_factor_productividad</f>
        <v/>
      </c>
      <c r="E225" s="14">
        <f>SUMIFS(tblOrdenes[horas_efectivas],tblOrdenes[especialidad],$A225,tblOrdenes[semana],$B225,tblOrdenes[clasificacion],"preventiva")</f>
        <v/>
      </c>
      <c r="F225" s="14">
        <f>SUMIFS(tblOrdenes[horas_efectivas],tblOrdenes[especialidad],$A225,tblOrdenes[semana],$B225,tblOrdenes[clasificacion],"correctiva")</f>
        <v/>
      </c>
      <c r="G225" s="14">
        <f>E225+F225</f>
        <v/>
      </c>
      <c r="H225" s="14">
        <f>D225-G225</f>
        <v/>
      </c>
      <c r="I225" s="15">
        <f>IF(D225=0,"",G225/D225)</f>
        <v/>
      </c>
    </row>
    <row r="226" hidden="1">
      <c r="A226" s="3" t="inlineStr">
        <is>
          <t>AUT</t>
        </is>
      </c>
      <c r="B226" s="3">
        <f>$O$48</f>
        <v/>
      </c>
      <c r="C226" s="14">
        <f>SUMIFS(tblAsignaciones[horas_disponibles],tblAsignaciones[especialidad],$A226,tblAsignaciones[semana],$B226)</f>
        <v/>
      </c>
      <c r="D226" s="14">
        <f>C226*p_factor_productividad</f>
        <v/>
      </c>
      <c r="E226" s="14">
        <f>SUMIFS(tblOrdenes[horas_efectivas],tblOrdenes[especialidad],$A226,tblOrdenes[semana],$B226,tblOrdenes[clasificacion],"preventiva")</f>
        <v/>
      </c>
      <c r="F226" s="14">
        <f>SUMIFS(tblOrdenes[horas_efectivas],tblOrdenes[especialidad],$A226,tblOrdenes[semana],$B226,tblOrdenes[clasificacion],"correctiva")</f>
        <v/>
      </c>
      <c r="G226" s="14">
        <f>E226+F226</f>
        <v/>
      </c>
      <c r="H226" s="14">
        <f>D226-G226</f>
        <v/>
      </c>
      <c r="I226" s="15">
        <f>IF(D226=0,"",G226/D226)</f>
        <v/>
      </c>
    </row>
    <row r="227" hidden="1">
      <c r="A227" s="3" t="inlineStr">
        <is>
          <t>OP</t>
        </is>
      </c>
      <c r="B227" s="3">
        <f>$O$48</f>
        <v/>
      </c>
      <c r="C227" s="14">
        <f>SUMIFS(tblAsignaciones[horas_disponibles],tblAsignaciones[especialidad],$A227,tblAsignaciones[semana],$B227)</f>
        <v/>
      </c>
      <c r="D227" s="14">
        <f>C227*p_factor_productividad</f>
        <v/>
      </c>
      <c r="E227" s="14">
        <f>SUMIFS(tblOrdenes[horas_efectivas],tblOrdenes[especialidad],$A227,tblOrdenes[semana],$B227,tblOrdenes[clasificacion],"preventiva")</f>
        <v/>
      </c>
      <c r="F227" s="14">
        <f>SUMIFS(tblOrdenes[horas_efectivas],tblOrdenes[especialidad],$A227,tblOrdenes[semana],$B227,tblOrdenes[clasificacion],"correctiva")</f>
        <v/>
      </c>
      <c r="G227" s="14">
        <f>E227+F227</f>
        <v/>
      </c>
      <c r="H227" s="14">
        <f>D227-G227</f>
        <v/>
      </c>
      <c r="I227" s="15">
        <f>IF(D227=0,"",G227/D227)</f>
        <v/>
      </c>
    </row>
    <row r="228" hidden="1">
      <c r="A228" s="3" t="inlineStr">
        <is>
          <t>TERCERO</t>
        </is>
      </c>
      <c r="B228" s="3">
        <f>$O$48</f>
        <v/>
      </c>
      <c r="C228" s="14">
        <f>SUMIFS(tblAsignaciones[horas_disponibles],tblAsignaciones[especialidad],$A228,tblAsignaciones[semana],$B228)</f>
        <v/>
      </c>
      <c r="D228" s="14">
        <f>C228*p_factor_productividad</f>
        <v/>
      </c>
      <c r="E228" s="14">
        <f>SUMIFS(tblOrdenes[horas_efectivas],tblOrdenes[especialidad],$A228,tblOrdenes[semana],$B228,tblOrdenes[clasificacion],"preventiva")</f>
        <v/>
      </c>
      <c r="F228" s="14">
        <f>SUMIFS(tblOrdenes[horas_efectivas],tblOrdenes[especialidad],$A228,tblOrdenes[semana],$B228,tblOrdenes[clasificacion],"correctiva")</f>
        <v/>
      </c>
      <c r="G228" s="14">
        <f>E228+F228</f>
        <v/>
      </c>
      <c r="H228" s="14">
        <f>D228-G228</f>
        <v/>
      </c>
      <c r="I228" s="15">
        <f>IF(D228=0,"",G228/D228)</f>
        <v/>
      </c>
    </row>
    <row r="229">
      <c r="A229" s="3" t="inlineStr">
        <is>
          <t>MEC</t>
        </is>
      </c>
      <c r="B229" s="3">
        <f>$O$49</f>
        <v/>
      </c>
      <c r="C229" s="14">
        <f>SUMIFS(tblAsignaciones[horas_disponibles],tblAsignaciones[especialidad],$A229,tblAsignaciones[semana],$B229)</f>
        <v/>
      </c>
      <c r="D229" s="14">
        <f>C229*p_factor_productividad</f>
        <v/>
      </c>
      <c r="E229" s="14">
        <f>SUMIFS(tblOrdenes[horas_efectivas],tblOrdenes[especialidad],$A229,tblOrdenes[semana],$B229,tblOrdenes[clasificacion],"preventiva")</f>
        <v/>
      </c>
      <c r="F229" s="14">
        <f>SUMIFS(tblOrdenes[horas_efectivas],tblOrdenes[especialidad],$A229,tblOrdenes[semana],$B229,tblOrdenes[clasificacion],"correctiva")</f>
        <v/>
      </c>
      <c r="G229" s="14">
        <f>E229+F229</f>
        <v/>
      </c>
      <c r="H229" s="14">
        <f>D229-G229</f>
        <v/>
      </c>
      <c r="I229" s="15">
        <f>IF(D229=0,"",G229/D229)</f>
        <v/>
      </c>
    </row>
    <row r="230">
      <c r="A230" s="3" t="inlineStr">
        <is>
          <t>ELE</t>
        </is>
      </c>
      <c r="B230" s="3">
        <f>$O$49</f>
        <v/>
      </c>
      <c r="C230" s="14">
        <f>SUMIFS(tblAsignaciones[horas_disponibles],tblAsignaciones[especialidad],$A230,tblAsignaciones[semana],$B230)</f>
        <v/>
      </c>
      <c r="D230" s="14">
        <f>C230*p_factor_productividad</f>
        <v/>
      </c>
      <c r="E230" s="14">
        <f>SUMIFS(tblOrdenes[horas_efectivas],tblOrdenes[especialidad],$A230,tblOrdenes[semana],$B230,tblOrdenes[clasificacion],"preventiva")</f>
        <v/>
      </c>
      <c r="F230" s="14">
        <f>SUMIFS(tblOrdenes[horas_efectivas],tblOrdenes[especialidad],$A230,tblOrdenes[semana],$B230,tblOrdenes[clasificacion],"correctiva")</f>
        <v/>
      </c>
      <c r="G230" s="14">
        <f>E230+F230</f>
        <v/>
      </c>
      <c r="H230" s="14">
        <f>D230-G230</f>
        <v/>
      </c>
      <c r="I230" s="15">
        <f>IF(D230=0,"",G230/D230)</f>
        <v/>
      </c>
    </row>
    <row r="231">
      <c r="A231" s="3" t="inlineStr">
        <is>
          <t>AUT</t>
        </is>
      </c>
      <c r="B231" s="3">
        <f>$O$49</f>
        <v/>
      </c>
      <c r="C231" s="14">
        <f>SUMIFS(tblAsignaciones[horas_disponibles],tblAsignaciones[especialidad],$A231,tblAsignaciones[semana],$B231)</f>
        <v/>
      </c>
      <c r="D231" s="14">
        <f>C231*p_factor_productividad</f>
        <v/>
      </c>
      <c r="E231" s="14">
        <f>SUMIFS(tblOrdenes[horas_efectivas],tblOrdenes[especialidad],$A231,tblOrdenes[semana],$B231,tblOrdenes[clasificacion],"preventiva")</f>
        <v/>
      </c>
      <c r="F231" s="14">
        <f>SUMIFS(tblOrdenes[horas_efectivas],tblOrdenes[especialidad],$A231,tblOrdenes[semana],$B231,tblOrdenes[clasificacion],"correctiva")</f>
        <v/>
      </c>
      <c r="G231" s="14">
        <f>E231+F231</f>
        <v/>
      </c>
      <c r="H231" s="14">
        <f>D231-G231</f>
        <v/>
      </c>
      <c r="I231" s="15">
        <f>IF(D231=0,"",G231/D231)</f>
        <v/>
      </c>
    </row>
    <row r="232">
      <c r="A232" s="3" t="inlineStr">
        <is>
          <t>OP</t>
        </is>
      </c>
      <c r="B232" s="3">
        <f>$O$49</f>
        <v/>
      </c>
      <c r="C232" s="14">
        <f>SUMIFS(tblAsignaciones[horas_disponibles],tblAsignaciones[especialidad],$A232,tblAsignaciones[semana],$B232)</f>
        <v/>
      </c>
      <c r="D232" s="14">
        <f>C232*p_factor_productividad</f>
        <v/>
      </c>
      <c r="E232" s="14">
        <f>SUMIFS(tblOrdenes[horas_efectivas],tblOrdenes[especialidad],$A232,tblOrdenes[semana],$B232,tblOrdenes[clasificacion],"preventiva")</f>
        <v/>
      </c>
      <c r="F232" s="14">
        <f>SUMIFS(tblOrdenes[horas_efectivas],tblOrdenes[especialidad],$A232,tblOrdenes[semana],$B232,tblOrdenes[clasificacion],"correctiva")</f>
        <v/>
      </c>
      <c r="G232" s="14">
        <f>E232+F232</f>
        <v/>
      </c>
      <c r="H232" s="14">
        <f>D232-G232</f>
        <v/>
      </c>
      <c r="I232" s="15">
        <f>IF(D232=0,"",G232/D232)</f>
        <v/>
      </c>
    </row>
    <row r="233">
      <c r="A233" s="3" t="inlineStr">
        <is>
          <t>TERCERO</t>
        </is>
      </c>
      <c r="B233" s="3">
        <f>$O$49</f>
        <v/>
      </c>
      <c r="C233" s="14">
        <f>SUMIFS(tblAsignaciones[horas_disponibles],tblAsignaciones[especialidad],$A233,tblAsignaciones[semana],$B233)</f>
        <v/>
      </c>
      <c r="D233" s="14">
        <f>C233*p_factor_productividad</f>
        <v/>
      </c>
      <c r="E233" s="14">
        <f>SUMIFS(tblOrdenes[horas_efectivas],tblOrdenes[especialidad],$A233,tblOrdenes[semana],$B233,tblOrdenes[clasificacion],"preventiva")</f>
        <v/>
      </c>
      <c r="F233" s="14">
        <f>SUMIFS(tblOrdenes[horas_efectivas],tblOrdenes[especialidad],$A233,tblOrdenes[semana],$B233,tblOrdenes[clasificacion],"correctiva")</f>
        <v/>
      </c>
      <c r="G233" s="14">
        <f>E233+F233</f>
        <v/>
      </c>
      <c r="H233" s="14">
        <f>D233-G233</f>
        <v/>
      </c>
      <c r="I233" s="15">
        <f>IF(D233=0,"",G233/D233)</f>
        <v/>
      </c>
    </row>
    <row r="234">
      <c r="A234" s="3" t="inlineStr">
        <is>
          <t>MEC</t>
        </is>
      </c>
      <c r="B234" s="3">
        <f>$O$50</f>
        <v/>
      </c>
      <c r="C234" s="14">
        <f>SUMIFS(tblAsignaciones[horas_disponibles],tblAsignaciones[especialidad],$A234,tblAsignaciones[semana],$B234)</f>
        <v/>
      </c>
      <c r="D234" s="14">
        <f>C234*p_factor_productividad</f>
        <v/>
      </c>
      <c r="E234" s="14">
        <f>SUMIFS(tblOrdenes[horas_efectivas],tblOrdenes[especialidad],$A234,tblOrdenes[semana],$B234,tblOrdenes[clasificacion],"preventiva")</f>
        <v/>
      </c>
      <c r="F234" s="14">
        <f>SUMIFS(tblOrdenes[horas_efectivas],tblOrdenes[especialidad],$A234,tblOrdenes[semana],$B234,tblOrdenes[clasificacion],"correctiva")</f>
        <v/>
      </c>
      <c r="G234" s="14">
        <f>E234+F234</f>
        <v/>
      </c>
      <c r="H234" s="14">
        <f>D234-G234</f>
        <v/>
      </c>
      <c r="I234" s="15">
        <f>IF(D234=0,"",G234/D234)</f>
        <v/>
      </c>
    </row>
    <row r="235">
      <c r="A235" s="3" t="inlineStr">
        <is>
          <t>ELE</t>
        </is>
      </c>
      <c r="B235" s="3">
        <f>$O$50</f>
        <v/>
      </c>
      <c r="C235" s="14">
        <f>SUMIFS(tblAsignaciones[horas_disponibles],tblAsignaciones[especialidad],$A235,tblAsignaciones[semana],$B235)</f>
        <v/>
      </c>
      <c r="D235" s="14">
        <f>C235*p_factor_productividad</f>
        <v/>
      </c>
      <c r="E235" s="14">
        <f>SUMIFS(tblOrdenes[horas_efectivas],tblOrdenes[especialidad],$A235,tblOrdenes[semana],$B235,tblOrdenes[clasificacion],"preventiva")</f>
        <v/>
      </c>
      <c r="F235" s="14">
        <f>SUMIFS(tblOrdenes[horas_efectivas],tblOrdenes[especialidad],$A235,tblOrdenes[semana],$B235,tblOrdenes[clasificacion],"correctiva")</f>
        <v/>
      </c>
      <c r="G235" s="14">
        <f>E235+F235</f>
        <v/>
      </c>
      <c r="H235" s="14">
        <f>D235-G235</f>
        <v/>
      </c>
      <c r="I235" s="15">
        <f>IF(D235=0,"",G235/D235)</f>
        <v/>
      </c>
    </row>
    <row r="236">
      <c r="A236" s="3" t="inlineStr">
        <is>
          <t>AUT</t>
        </is>
      </c>
      <c r="B236" s="3">
        <f>$O$50</f>
        <v/>
      </c>
      <c r="C236" s="14">
        <f>SUMIFS(tblAsignaciones[horas_disponibles],tblAsignaciones[especialidad],$A236,tblAsignaciones[semana],$B236)</f>
        <v/>
      </c>
      <c r="D236" s="14">
        <f>C236*p_factor_productividad</f>
        <v/>
      </c>
      <c r="E236" s="14">
        <f>SUMIFS(tblOrdenes[horas_efectivas],tblOrdenes[especialidad],$A236,tblOrdenes[semana],$B236,tblOrdenes[clasificacion],"preventiva")</f>
        <v/>
      </c>
      <c r="F236" s="14">
        <f>SUMIFS(tblOrdenes[horas_efectivas],tblOrdenes[especialidad],$A236,tblOrdenes[semana],$B236,tblOrdenes[clasificacion],"correctiva")</f>
        <v/>
      </c>
      <c r="G236" s="14">
        <f>E236+F236</f>
        <v/>
      </c>
      <c r="H236" s="14">
        <f>D236-G236</f>
        <v/>
      </c>
      <c r="I236" s="15">
        <f>IF(D236=0,"",G236/D236)</f>
        <v/>
      </c>
    </row>
    <row r="237">
      <c r="A237" s="3" t="inlineStr">
        <is>
          <t>OP</t>
        </is>
      </c>
      <c r="B237" s="3">
        <f>$O$50</f>
        <v/>
      </c>
      <c r="C237" s="14">
        <f>SUMIFS(tblAsignaciones[horas_disponibles],tblAsignaciones[especialidad],$A237,tblAsignaciones[semana],$B237)</f>
        <v/>
      </c>
      <c r="D237" s="14">
        <f>C237*p_factor_productividad</f>
        <v/>
      </c>
      <c r="E237" s="14">
        <f>SUMIFS(tblOrdenes[horas_efectivas],tblOrdenes[especialidad],$A237,tblOrdenes[semana],$B237,tblOrdenes[clasificacion],"preventiva")</f>
        <v/>
      </c>
      <c r="F237" s="14">
        <f>SUMIFS(tblOrdenes[horas_efectivas],tblOrdenes[especialidad],$A237,tblOrdenes[semana],$B237,tblOrdenes[clasificacion],"correctiva")</f>
        <v/>
      </c>
      <c r="G237" s="14">
        <f>E237+F237</f>
        <v/>
      </c>
      <c r="H237" s="14">
        <f>D237-G237</f>
        <v/>
      </c>
      <c r="I237" s="15">
        <f>IF(D237=0,"",G237/D237)</f>
        <v/>
      </c>
    </row>
    <row r="238">
      <c r="A238" s="3" t="inlineStr">
        <is>
          <t>TERCERO</t>
        </is>
      </c>
      <c r="B238" s="3">
        <f>$O$50</f>
        <v/>
      </c>
      <c r="C238" s="14">
        <f>SUMIFS(tblAsignaciones[horas_disponibles],tblAsignaciones[especialidad],$A238,tblAsignaciones[semana],$B238)</f>
        <v/>
      </c>
      <c r="D238" s="14">
        <f>C238*p_factor_productividad</f>
        <v/>
      </c>
      <c r="E238" s="14">
        <f>SUMIFS(tblOrdenes[horas_efectivas],tblOrdenes[especialidad],$A238,tblOrdenes[semana],$B238,tblOrdenes[clasificacion],"preventiva")</f>
        <v/>
      </c>
      <c r="F238" s="14">
        <f>SUMIFS(tblOrdenes[horas_efectivas],tblOrdenes[especialidad],$A238,tblOrdenes[semana],$B238,tblOrdenes[clasificacion],"correctiva")</f>
        <v/>
      </c>
      <c r="G238" s="14">
        <f>E238+F238</f>
        <v/>
      </c>
      <c r="H238" s="14">
        <f>D238-G238</f>
        <v/>
      </c>
      <c r="I238" s="15">
        <f>IF(D238=0,"",G238/D238)</f>
        <v/>
      </c>
    </row>
    <row r="239" hidden="1">
      <c r="A239" s="3" t="inlineStr">
        <is>
          <t>MEC</t>
        </is>
      </c>
      <c r="B239" s="3">
        <f>$O$51</f>
        <v/>
      </c>
      <c r="C239" s="14">
        <f>SUMIFS(tblAsignaciones[horas_disponibles],tblAsignaciones[especialidad],$A239,tblAsignaciones[semana],$B239)</f>
        <v/>
      </c>
      <c r="D239" s="14">
        <f>C239*p_factor_productividad</f>
        <v/>
      </c>
      <c r="E239" s="14">
        <f>SUMIFS(tblOrdenes[horas_efectivas],tblOrdenes[especialidad],$A239,tblOrdenes[semana],$B239,tblOrdenes[clasificacion],"preventiva")</f>
        <v/>
      </c>
      <c r="F239" s="14">
        <f>SUMIFS(tblOrdenes[horas_efectivas],tblOrdenes[especialidad],$A239,tblOrdenes[semana],$B239,tblOrdenes[clasificacion],"correctiva")</f>
        <v/>
      </c>
      <c r="G239" s="14">
        <f>E239+F239</f>
        <v/>
      </c>
      <c r="H239" s="14">
        <f>D239-G239</f>
        <v/>
      </c>
      <c r="I239" s="15">
        <f>IF(D239=0,"",G239/D239)</f>
        <v/>
      </c>
    </row>
    <row r="240" hidden="1">
      <c r="A240" s="3" t="inlineStr">
        <is>
          <t>ELE</t>
        </is>
      </c>
      <c r="B240" s="3">
        <f>$O$51</f>
        <v/>
      </c>
      <c r="C240" s="14">
        <f>SUMIFS(tblAsignaciones[horas_disponibles],tblAsignaciones[especialidad],$A240,tblAsignaciones[semana],$B240)</f>
        <v/>
      </c>
      <c r="D240" s="14">
        <f>C240*p_factor_productividad</f>
        <v/>
      </c>
      <c r="E240" s="14">
        <f>SUMIFS(tblOrdenes[horas_efectivas],tblOrdenes[especialidad],$A240,tblOrdenes[semana],$B240,tblOrdenes[clasificacion],"preventiva")</f>
        <v/>
      </c>
      <c r="F240" s="14">
        <f>SUMIFS(tblOrdenes[horas_efectivas],tblOrdenes[especialidad],$A240,tblOrdenes[semana],$B240,tblOrdenes[clasificacion],"correctiva")</f>
        <v/>
      </c>
      <c r="G240" s="14">
        <f>E240+F240</f>
        <v/>
      </c>
      <c r="H240" s="14">
        <f>D240-G240</f>
        <v/>
      </c>
      <c r="I240" s="15">
        <f>IF(D240=0,"",G240/D240)</f>
        <v/>
      </c>
    </row>
    <row r="241" hidden="1">
      <c r="A241" s="3" t="inlineStr">
        <is>
          <t>AUT</t>
        </is>
      </c>
      <c r="B241" s="3">
        <f>$O$51</f>
        <v/>
      </c>
      <c r="C241" s="14">
        <f>SUMIFS(tblAsignaciones[horas_disponibles],tblAsignaciones[especialidad],$A241,tblAsignaciones[semana],$B241)</f>
        <v/>
      </c>
      <c r="D241" s="14">
        <f>C241*p_factor_productividad</f>
        <v/>
      </c>
      <c r="E241" s="14">
        <f>SUMIFS(tblOrdenes[horas_efectivas],tblOrdenes[especialidad],$A241,tblOrdenes[semana],$B241,tblOrdenes[clasificacion],"preventiva")</f>
        <v/>
      </c>
      <c r="F241" s="14">
        <f>SUMIFS(tblOrdenes[horas_efectivas],tblOrdenes[especialidad],$A241,tblOrdenes[semana],$B241,tblOrdenes[clasificacion],"correctiva")</f>
        <v/>
      </c>
      <c r="G241" s="14">
        <f>E241+F241</f>
        <v/>
      </c>
      <c r="H241" s="14">
        <f>D241-G241</f>
        <v/>
      </c>
      <c r="I241" s="15">
        <f>IF(D241=0,"",G241/D241)</f>
        <v/>
      </c>
    </row>
    <row r="242" hidden="1">
      <c r="A242" s="3" t="inlineStr">
        <is>
          <t>OP</t>
        </is>
      </c>
      <c r="B242" s="3">
        <f>$O$51</f>
        <v/>
      </c>
      <c r="C242" s="14">
        <f>SUMIFS(tblAsignaciones[horas_disponibles],tblAsignaciones[especialidad],$A242,tblAsignaciones[semana],$B242)</f>
        <v/>
      </c>
      <c r="D242" s="14">
        <f>C242*p_factor_productividad</f>
        <v/>
      </c>
      <c r="E242" s="14">
        <f>SUMIFS(tblOrdenes[horas_efectivas],tblOrdenes[especialidad],$A242,tblOrdenes[semana],$B242,tblOrdenes[clasificacion],"preventiva")</f>
        <v/>
      </c>
      <c r="F242" s="14">
        <f>SUMIFS(tblOrdenes[horas_efectivas],tblOrdenes[especialidad],$A242,tblOrdenes[semana],$B242,tblOrdenes[clasificacion],"correctiva")</f>
        <v/>
      </c>
      <c r="G242" s="14">
        <f>E242+F242</f>
        <v/>
      </c>
      <c r="H242" s="14">
        <f>D242-G242</f>
        <v/>
      </c>
      <c r="I242" s="15">
        <f>IF(D242=0,"",G242/D242)</f>
        <v/>
      </c>
    </row>
    <row r="243" hidden="1">
      <c r="A243" s="3" t="inlineStr">
        <is>
          <t>TERCERO</t>
        </is>
      </c>
      <c r="B243" s="3">
        <f>$O$51</f>
        <v/>
      </c>
      <c r="C243" s="14">
        <f>SUMIFS(tblAsignaciones[horas_disponibles],tblAsignaciones[especialidad],$A243,tblAsignaciones[semana],$B243)</f>
        <v/>
      </c>
      <c r="D243" s="14">
        <f>C243*p_factor_productividad</f>
        <v/>
      </c>
      <c r="E243" s="14">
        <f>SUMIFS(tblOrdenes[horas_efectivas],tblOrdenes[especialidad],$A243,tblOrdenes[semana],$B243,tblOrdenes[clasificacion],"preventiva")</f>
        <v/>
      </c>
      <c r="F243" s="14">
        <f>SUMIFS(tblOrdenes[horas_efectivas],tblOrdenes[especialidad],$A243,tblOrdenes[semana],$B243,tblOrdenes[clasificacion],"correctiva")</f>
        <v/>
      </c>
      <c r="G243" s="14">
        <f>E243+F243</f>
        <v/>
      </c>
      <c r="H243" s="14">
        <f>D243-G243</f>
        <v/>
      </c>
      <c r="I243" s="15">
        <f>IF(D243=0,"",G243/D243)</f>
        <v/>
      </c>
    </row>
    <row r="244" hidden="1">
      <c r="A244" s="3" t="inlineStr">
        <is>
          <t>MEC</t>
        </is>
      </c>
      <c r="B244" s="3">
        <f>$O$52</f>
        <v/>
      </c>
      <c r="C244" s="14">
        <f>SUMIFS(tblAsignaciones[horas_disponibles],tblAsignaciones[especialidad],$A244,tblAsignaciones[semana],$B244)</f>
        <v/>
      </c>
      <c r="D244" s="14">
        <f>C244*p_factor_productividad</f>
        <v/>
      </c>
      <c r="E244" s="14">
        <f>SUMIFS(tblOrdenes[horas_efectivas],tblOrdenes[especialidad],$A244,tblOrdenes[semana],$B244,tblOrdenes[clasificacion],"preventiva")</f>
        <v/>
      </c>
      <c r="F244" s="14">
        <f>SUMIFS(tblOrdenes[horas_efectivas],tblOrdenes[especialidad],$A244,tblOrdenes[semana],$B244,tblOrdenes[clasificacion],"correctiva")</f>
        <v/>
      </c>
      <c r="G244" s="14">
        <f>E244+F244</f>
        <v/>
      </c>
      <c r="H244" s="14">
        <f>D244-G244</f>
        <v/>
      </c>
      <c r="I244" s="15">
        <f>IF(D244=0,"",G244/D244)</f>
        <v/>
      </c>
    </row>
    <row r="245" hidden="1">
      <c r="A245" s="3" t="inlineStr">
        <is>
          <t>ELE</t>
        </is>
      </c>
      <c r="B245" s="3">
        <f>$O$52</f>
        <v/>
      </c>
      <c r="C245" s="14">
        <f>SUMIFS(tblAsignaciones[horas_disponibles],tblAsignaciones[especialidad],$A245,tblAsignaciones[semana],$B245)</f>
        <v/>
      </c>
      <c r="D245" s="14">
        <f>C245*p_factor_productividad</f>
        <v/>
      </c>
      <c r="E245" s="14">
        <f>SUMIFS(tblOrdenes[horas_efectivas],tblOrdenes[especialidad],$A245,tblOrdenes[semana],$B245,tblOrdenes[clasificacion],"preventiva")</f>
        <v/>
      </c>
      <c r="F245" s="14">
        <f>SUMIFS(tblOrdenes[horas_efectivas],tblOrdenes[especialidad],$A245,tblOrdenes[semana],$B245,tblOrdenes[clasificacion],"correctiva")</f>
        <v/>
      </c>
      <c r="G245" s="14">
        <f>E245+F245</f>
        <v/>
      </c>
      <c r="H245" s="14">
        <f>D245-G245</f>
        <v/>
      </c>
      <c r="I245" s="15">
        <f>IF(D245=0,"",G245/D245)</f>
        <v/>
      </c>
    </row>
    <row r="246" hidden="1">
      <c r="A246" s="3" t="inlineStr">
        <is>
          <t>AUT</t>
        </is>
      </c>
      <c r="B246" s="3">
        <f>$O$52</f>
        <v/>
      </c>
      <c r="C246" s="14">
        <f>SUMIFS(tblAsignaciones[horas_disponibles],tblAsignaciones[especialidad],$A246,tblAsignaciones[semana],$B246)</f>
        <v/>
      </c>
      <c r="D246" s="14">
        <f>C246*p_factor_productividad</f>
        <v/>
      </c>
      <c r="E246" s="14">
        <f>SUMIFS(tblOrdenes[horas_efectivas],tblOrdenes[especialidad],$A246,tblOrdenes[semana],$B246,tblOrdenes[clasificacion],"preventiva")</f>
        <v/>
      </c>
      <c r="F246" s="14">
        <f>SUMIFS(tblOrdenes[horas_efectivas],tblOrdenes[especialidad],$A246,tblOrdenes[semana],$B246,tblOrdenes[clasificacion],"correctiva")</f>
        <v/>
      </c>
      <c r="G246" s="14">
        <f>E246+F246</f>
        <v/>
      </c>
      <c r="H246" s="14">
        <f>D246-G246</f>
        <v/>
      </c>
      <c r="I246" s="15">
        <f>IF(D246=0,"",G246/D246)</f>
        <v/>
      </c>
    </row>
    <row r="247" hidden="1">
      <c r="A247" s="3" t="inlineStr">
        <is>
          <t>OP</t>
        </is>
      </c>
      <c r="B247" s="3">
        <f>$O$52</f>
        <v/>
      </c>
      <c r="C247" s="14">
        <f>SUMIFS(tblAsignaciones[horas_disponibles],tblAsignaciones[especialidad],$A247,tblAsignaciones[semana],$B247)</f>
        <v/>
      </c>
      <c r="D247" s="14">
        <f>C247*p_factor_productividad</f>
        <v/>
      </c>
      <c r="E247" s="14">
        <f>SUMIFS(tblOrdenes[horas_efectivas],tblOrdenes[especialidad],$A247,tblOrdenes[semana],$B247,tblOrdenes[clasificacion],"preventiva")</f>
        <v/>
      </c>
      <c r="F247" s="14">
        <f>SUMIFS(tblOrdenes[horas_efectivas],tblOrdenes[especialidad],$A247,tblOrdenes[semana],$B247,tblOrdenes[clasificacion],"correctiva")</f>
        <v/>
      </c>
      <c r="G247" s="14">
        <f>E247+F247</f>
        <v/>
      </c>
      <c r="H247" s="14">
        <f>D247-G247</f>
        <v/>
      </c>
      <c r="I247" s="15">
        <f>IF(D247=0,"",G247/D247)</f>
        <v/>
      </c>
    </row>
    <row r="248" hidden="1">
      <c r="A248" s="3" t="inlineStr">
        <is>
          <t>TERCERO</t>
        </is>
      </c>
      <c r="B248" s="3">
        <f>$O$52</f>
        <v/>
      </c>
      <c r="C248" s="14">
        <f>SUMIFS(tblAsignaciones[horas_disponibles],tblAsignaciones[especialidad],$A248,tblAsignaciones[semana],$B248)</f>
        <v/>
      </c>
      <c r="D248" s="14">
        <f>C248*p_factor_productividad</f>
        <v/>
      </c>
      <c r="E248" s="14">
        <f>SUMIFS(tblOrdenes[horas_efectivas],tblOrdenes[especialidad],$A248,tblOrdenes[semana],$B248,tblOrdenes[clasificacion],"preventiva")</f>
        <v/>
      </c>
      <c r="F248" s="14">
        <f>SUMIFS(tblOrdenes[horas_efectivas],tblOrdenes[especialidad],$A248,tblOrdenes[semana],$B248,tblOrdenes[clasificacion],"correctiva")</f>
        <v/>
      </c>
      <c r="G248" s="14">
        <f>E248+F248</f>
        <v/>
      </c>
      <c r="H248" s="14">
        <f>D248-G248</f>
        <v/>
      </c>
      <c r="I248" s="15">
        <f>IF(D248=0,"",G248/D248)</f>
        <v/>
      </c>
    </row>
    <row r="249" hidden="1">
      <c r="A249" s="3" t="inlineStr">
        <is>
          <t>MEC</t>
        </is>
      </c>
      <c r="B249" s="3">
        <f>$O$53</f>
        <v/>
      </c>
      <c r="C249" s="14">
        <f>SUMIFS(tblAsignaciones[horas_disponibles],tblAsignaciones[especialidad],$A249,tblAsignaciones[semana],$B249)</f>
        <v/>
      </c>
      <c r="D249" s="14">
        <f>C249*p_factor_productividad</f>
        <v/>
      </c>
      <c r="E249" s="14">
        <f>SUMIFS(tblOrdenes[horas_efectivas],tblOrdenes[especialidad],$A249,tblOrdenes[semana],$B249,tblOrdenes[clasificacion],"preventiva")</f>
        <v/>
      </c>
      <c r="F249" s="14">
        <f>SUMIFS(tblOrdenes[horas_efectivas],tblOrdenes[especialidad],$A249,tblOrdenes[semana],$B249,tblOrdenes[clasificacion],"correctiva")</f>
        <v/>
      </c>
      <c r="G249" s="14">
        <f>E249+F249</f>
        <v/>
      </c>
      <c r="H249" s="14">
        <f>D249-G249</f>
        <v/>
      </c>
      <c r="I249" s="15">
        <f>IF(D249=0,"",G249/D249)</f>
        <v/>
      </c>
    </row>
    <row r="250" hidden="1">
      <c r="A250" s="3" t="inlineStr">
        <is>
          <t>ELE</t>
        </is>
      </c>
      <c r="B250" s="3">
        <f>$O$53</f>
        <v/>
      </c>
      <c r="C250" s="14">
        <f>SUMIFS(tblAsignaciones[horas_disponibles],tblAsignaciones[especialidad],$A250,tblAsignaciones[semana],$B250)</f>
        <v/>
      </c>
      <c r="D250" s="14">
        <f>C250*p_factor_productividad</f>
        <v/>
      </c>
      <c r="E250" s="14">
        <f>SUMIFS(tblOrdenes[horas_efectivas],tblOrdenes[especialidad],$A250,tblOrdenes[semana],$B250,tblOrdenes[clasificacion],"preventiva")</f>
        <v/>
      </c>
      <c r="F250" s="14">
        <f>SUMIFS(tblOrdenes[horas_efectivas],tblOrdenes[especialidad],$A250,tblOrdenes[semana],$B250,tblOrdenes[clasificacion],"correctiva")</f>
        <v/>
      </c>
      <c r="G250" s="14">
        <f>E250+F250</f>
        <v/>
      </c>
      <c r="H250" s="14">
        <f>D250-G250</f>
        <v/>
      </c>
      <c r="I250" s="15">
        <f>IF(D250=0,"",G250/D250)</f>
        <v/>
      </c>
    </row>
    <row r="251" hidden="1">
      <c r="A251" s="3" t="inlineStr">
        <is>
          <t>AUT</t>
        </is>
      </c>
      <c r="B251" s="3">
        <f>$O$53</f>
        <v/>
      </c>
      <c r="C251" s="14">
        <f>SUMIFS(tblAsignaciones[horas_disponibles],tblAsignaciones[especialidad],$A251,tblAsignaciones[semana],$B251)</f>
        <v/>
      </c>
      <c r="D251" s="14">
        <f>C251*p_factor_productividad</f>
        <v/>
      </c>
      <c r="E251" s="14">
        <f>SUMIFS(tblOrdenes[horas_efectivas],tblOrdenes[especialidad],$A251,tblOrdenes[semana],$B251,tblOrdenes[clasificacion],"preventiva")</f>
        <v/>
      </c>
      <c r="F251" s="14">
        <f>SUMIFS(tblOrdenes[horas_efectivas],tblOrdenes[especialidad],$A251,tblOrdenes[semana],$B251,tblOrdenes[clasificacion],"correctiva")</f>
        <v/>
      </c>
      <c r="G251" s="14">
        <f>E251+F251</f>
        <v/>
      </c>
      <c r="H251" s="14">
        <f>D251-G251</f>
        <v/>
      </c>
      <c r="I251" s="15">
        <f>IF(D251=0,"",G251/D251)</f>
        <v/>
      </c>
    </row>
    <row r="252" hidden="1">
      <c r="A252" s="3" t="inlineStr">
        <is>
          <t>OP</t>
        </is>
      </c>
      <c r="B252" s="3">
        <f>$O$53</f>
        <v/>
      </c>
      <c r="C252" s="14">
        <f>SUMIFS(tblAsignaciones[horas_disponibles],tblAsignaciones[especialidad],$A252,tblAsignaciones[semana],$B252)</f>
        <v/>
      </c>
      <c r="D252" s="14">
        <f>C252*p_factor_productividad</f>
        <v/>
      </c>
      <c r="E252" s="14">
        <f>SUMIFS(tblOrdenes[horas_efectivas],tblOrdenes[especialidad],$A252,tblOrdenes[semana],$B252,tblOrdenes[clasificacion],"preventiva")</f>
        <v/>
      </c>
      <c r="F252" s="14">
        <f>SUMIFS(tblOrdenes[horas_efectivas],tblOrdenes[especialidad],$A252,tblOrdenes[semana],$B252,tblOrdenes[clasificacion],"correctiva")</f>
        <v/>
      </c>
      <c r="G252" s="14">
        <f>E252+F252</f>
        <v/>
      </c>
      <c r="H252" s="14">
        <f>D252-G252</f>
        <v/>
      </c>
      <c r="I252" s="15">
        <f>IF(D252=0,"",G252/D252)</f>
        <v/>
      </c>
    </row>
    <row r="253" hidden="1">
      <c r="A253" s="3" t="inlineStr">
        <is>
          <t>TERCERO</t>
        </is>
      </c>
      <c r="B253" s="3">
        <f>$O$53</f>
        <v/>
      </c>
      <c r="C253" s="14">
        <f>SUMIFS(tblAsignaciones[horas_disponibles],tblAsignaciones[especialidad],$A253,tblAsignaciones[semana],$B253)</f>
        <v/>
      </c>
      <c r="D253" s="14">
        <f>C253*p_factor_productividad</f>
        <v/>
      </c>
      <c r="E253" s="14">
        <f>SUMIFS(tblOrdenes[horas_efectivas],tblOrdenes[especialidad],$A253,tblOrdenes[semana],$B253,tblOrdenes[clasificacion],"preventiva")</f>
        <v/>
      </c>
      <c r="F253" s="14">
        <f>SUMIFS(tblOrdenes[horas_efectivas],tblOrdenes[especialidad],$A253,tblOrdenes[semana],$B253,tblOrdenes[clasificacion],"correctiva")</f>
        <v/>
      </c>
      <c r="G253" s="14">
        <f>E253+F253</f>
        <v/>
      </c>
      <c r="H253" s="14">
        <f>D253-G253</f>
        <v/>
      </c>
      <c r="I253" s="15">
        <f>IF(D253=0,"",G253/D253)</f>
        <v/>
      </c>
    </row>
    <row r="254" hidden="1">
      <c r="A254" s="3" t="inlineStr">
        <is>
          <t>MEC</t>
        </is>
      </c>
      <c r="B254" s="3">
        <f>$O$54</f>
        <v/>
      </c>
      <c r="C254" s="14">
        <f>SUMIFS(tblAsignaciones[horas_disponibles],tblAsignaciones[especialidad],$A254,tblAsignaciones[semana],$B254)</f>
        <v/>
      </c>
      <c r="D254" s="14">
        <f>C254*p_factor_productividad</f>
        <v/>
      </c>
      <c r="E254" s="14">
        <f>SUMIFS(tblOrdenes[horas_efectivas],tblOrdenes[especialidad],$A254,tblOrdenes[semana],$B254,tblOrdenes[clasificacion],"preventiva")</f>
        <v/>
      </c>
      <c r="F254" s="14">
        <f>SUMIFS(tblOrdenes[horas_efectivas],tblOrdenes[especialidad],$A254,tblOrdenes[semana],$B254,tblOrdenes[clasificacion],"correctiva")</f>
        <v/>
      </c>
      <c r="G254" s="14">
        <f>E254+F254</f>
        <v/>
      </c>
      <c r="H254" s="14">
        <f>D254-G254</f>
        <v/>
      </c>
      <c r="I254" s="15">
        <f>IF(D254=0,"",G254/D254)</f>
        <v/>
      </c>
    </row>
    <row r="255" hidden="1">
      <c r="A255" s="3" t="inlineStr">
        <is>
          <t>ELE</t>
        </is>
      </c>
      <c r="B255" s="3">
        <f>$O$54</f>
        <v/>
      </c>
      <c r="C255" s="14">
        <f>SUMIFS(tblAsignaciones[horas_disponibles],tblAsignaciones[especialidad],$A255,tblAsignaciones[semana],$B255)</f>
        <v/>
      </c>
      <c r="D255" s="14">
        <f>C255*p_factor_productividad</f>
        <v/>
      </c>
      <c r="E255" s="14">
        <f>SUMIFS(tblOrdenes[horas_efectivas],tblOrdenes[especialidad],$A255,tblOrdenes[semana],$B255,tblOrdenes[clasificacion],"preventiva")</f>
        <v/>
      </c>
      <c r="F255" s="14">
        <f>SUMIFS(tblOrdenes[horas_efectivas],tblOrdenes[especialidad],$A255,tblOrdenes[semana],$B255,tblOrdenes[clasificacion],"correctiva")</f>
        <v/>
      </c>
      <c r="G255" s="14">
        <f>E255+F255</f>
        <v/>
      </c>
      <c r="H255" s="14">
        <f>D255-G255</f>
        <v/>
      </c>
      <c r="I255" s="15">
        <f>IF(D255=0,"",G255/D255)</f>
        <v/>
      </c>
    </row>
    <row r="256" hidden="1">
      <c r="A256" s="3" t="inlineStr">
        <is>
          <t>AUT</t>
        </is>
      </c>
      <c r="B256" s="3">
        <f>$O$54</f>
        <v/>
      </c>
      <c r="C256" s="14">
        <f>SUMIFS(tblAsignaciones[horas_disponibles],tblAsignaciones[especialidad],$A256,tblAsignaciones[semana],$B256)</f>
        <v/>
      </c>
      <c r="D256" s="14">
        <f>C256*p_factor_productividad</f>
        <v/>
      </c>
      <c r="E256" s="14">
        <f>SUMIFS(tblOrdenes[horas_efectivas],tblOrdenes[especialidad],$A256,tblOrdenes[semana],$B256,tblOrdenes[clasificacion],"preventiva")</f>
        <v/>
      </c>
      <c r="F256" s="14">
        <f>SUMIFS(tblOrdenes[horas_efectivas],tblOrdenes[especialidad],$A256,tblOrdenes[semana],$B256,tblOrdenes[clasificacion],"correctiva")</f>
        <v/>
      </c>
      <c r="G256" s="14">
        <f>E256+F256</f>
        <v/>
      </c>
      <c r="H256" s="14">
        <f>D256-G256</f>
        <v/>
      </c>
      <c r="I256" s="15">
        <f>IF(D256=0,"",G256/D256)</f>
        <v/>
      </c>
    </row>
    <row r="257" hidden="1">
      <c r="A257" s="3" t="inlineStr">
        <is>
          <t>OP</t>
        </is>
      </c>
      <c r="B257" s="3">
        <f>$O$54</f>
        <v/>
      </c>
      <c r="C257" s="14">
        <f>SUMIFS(tblAsignaciones[horas_disponibles],tblAsignaciones[especialidad],$A257,tblAsignaciones[semana],$B257)</f>
        <v/>
      </c>
      <c r="D257" s="14">
        <f>C257*p_factor_productividad</f>
        <v/>
      </c>
      <c r="E257" s="14">
        <f>SUMIFS(tblOrdenes[horas_efectivas],tblOrdenes[especialidad],$A257,tblOrdenes[semana],$B257,tblOrdenes[clasificacion],"preventiva")</f>
        <v/>
      </c>
      <c r="F257" s="14">
        <f>SUMIFS(tblOrdenes[horas_efectivas],tblOrdenes[especialidad],$A257,tblOrdenes[semana],$B257,tblOrdenes[clasificacion],"correctiva")</f>
        <v/>
      </c>
      <c r="G257" s="14">
        <f>E257+F257</f>
        <v/>
      </c>
      <c r="H257" s="14">
        <f>D257-G257</f>
        <v/>
      </c>
      <c r="I257" s="15">
        <f>IF(D257=0,"",G257/D257)</f>
        <v/>
      </c>
    </row>
    <row r="258" hidden="1">
      <c r="A258" s="3" t="inlineStr">
        <is>
          <t>TERCERO</t>
        </is>
      </c>
      <c r="B258" s="3">
        <f>$O$54</f>
        <v/>
      </c>
      <c r="C258" s="14">
        <f>SUMIFS(tblAsignaciones[horas_disponibles],tblAsignaciones[especialidad],$A258,tblAsignaciones[semana],$B258)</f>
        <v/>
      </c>
      <c r="D258" s="14">
        <f>C258*p_factor_productividad</f>
        <v/>
      </c>
      <c r="E258" s="14">
        <f>SUMIFS(tblOrdenes[horas_efectivas],tblOrdenes[especialidad],$A258,tblOrdenes[semana],$B258,tblOrdenes[clasificacion],"preventiva")</f>
        <v/>
      </c>
      <c r="F258" s="14">
        <f>SUMIFS(tblOrdenes[horas_efectivas],tblOrdenes[especialidad],$A258,tblOrdenes[semana],$B258,tblOrdenes[clasificacion],"correctiva")</f>
        <v/>
      </c>
      <c r="G258" s="14">
        <f>E258+F258</f>
        <v/>
      </c>
      <c r="H258" s="14">
        <f>D258-G258</f>
        <v/>
      </c>
      <c r="I258" s="15">
        <f>IF(D258=0,"",G258/D258)</f>
        <v/>
      </c>
    </row>
    <row r="259" hidden="1">
      <c r="A259" s="3" t="inlineStr">
        <is>
          <t>MEC</t>
        </is>
      </c>
      <c r="B259" s="3">
        <f>$O$55</f>
        <v/>
      </c>
      <c r="C259" s="14">
        <f>SUMIFS(tblAsignaciones[horas_disponibles],tblAsignaciones[especialidad],$A259,tblAsignaciones[semana],$B259)</f>
        <v/>
      </c>
      <c r="D259" s="14">
        <f>C259*p_factor_productividad</f>
        <v/>
      </c>
      <c r="E259" s="14">
        <f>SUMIFS(tblOrdenes[horas_efectivas],tblOrdenes[especialidad],$A259,tblOrdenes[semana],$B259,tblOrdenes[clasificacion],"preventiva")</f>
        <v/>
      </c>
      <c r="F259" s="14">
        <f>SUMIFS(tblOrdenes[horas_efectivas],tblOrdenes[especialidad],$A259,tblOrdenes[semana],$B259,tblOrdenes[clasificacion],"correctiva")</f>
        <v/>
      </c>
      <c r="G259" s="14">
        <f>E259+F259</f>
        <v/>
      </c>
      <c r="H259" s="14">
        <f>D259-G259</f>
        <v/>
      </c>
      <c r="I259" s="15">
        <f>IF(D259=0,"",G259/D259)</f>
        <v/>
      </c>
    </row>
    <row r="260" hidden="1">
      <c r="A260" s="3" t="inlineStr">
        <is>
          <t>ELE</t>
        </is>
      </c>
      <c r="B260" s="3">
        <f>$O$55</f>
        <v/>
      </c>
      <c r="C260" s="14">
        <f>SUMIFS(tblAsignaciones[horas_disponibles],tblAsignaciones[especialidad],$A260,tblAsignaciones[semana],$B260)</f>
        <v/>
      </c>
      <c r="D260" s="14">
        <f>C260*p_factor_productividad</f>
        <v/>
      </c>
      <c r="E260" s="14">
        <f>SUMIFS(tblOrdenes[horas_efectivas],tblOrdenes[especialidad],$A260,tblOrdenes[semana],$B260,tblOrdenes[clasificacion],"preventiva")</f>
        <v/>
      </c>
      <c r="F260" s="14">
        <f>SUMIFS(tblOrdenes[horas_efectivas],tblOrdenes[especialidad],$A260,tblOrdenes[semana],$B260,tblOrdenes[clasificacion],"correctiva")</f>
        <v/>
      </c>
      <c r="G260" s="14">
        <f>E260+F260</f>
        <v/>
      </c>
      <c r="H260" s="14">
        <f>D260-G260</f>
        <v/>
      </c>
      <c r="I260" s="15">
        <f>IF(D260=0,"",G260/D260)</f>
        <v/>
      </c>
    </row>
    <row r="261" hidden="1">
      <c r="A261" s="3" t="inlineStr">
        <is>
          <t>AUT</t>
        </is>
      </c>
      <c r="B261" s="3">
        <f>$O$55</f>
        <v/>
      </c>
      <c r="C261" s="14">
        <f>SUMIFS(tblAsignaciones[horas_disponibles],tblAsignaciones[especialidad],$A261,tblAsignaciones[semana],$B261)</f>
        <v/>
      </c>
      <c r="D261" s="14">
        <f>C261*p_factor_productividad</f>
        <v/>
      </c>
      <c r="E261" s="14">
        <f>SUMIFS(tblOrdenes[horas_efectivas],tblOrdenes[especialidad],$A261,tblOrdenes[semana],$B261,tblOrdenes[clasificacion],"preventiva")</f>
        <v/>
      </c>
      <c r="F261" s="14">
        <f>SUMIFS(tblOrdenes[horas_efectivas],tblOrdenes[especialidad],$A261,tblOrdenes[semana],$B261,tblOrdenes[clasificacion],"correctiva")</f>
        <v/>
      </c>
      <c r="G261" s="14">
        <f>E261+F261</f>
        <v/>
      </c>
      <c r="H261" s="14">
        <f>D261-G261</f>
        <v/>
      </c>
      <c r="I261" s="15">
        <f>IF(D261=0,"",G261/D261)</f>
        <v/>
      </c>
    </row>
    <row r="262" hidden="1">
      <c r="A262" s="3" t="inlineStr">
        <is>
          <t>OP</t>
        </is>
      </c>
      <c r="B262" s="3">
        <f>$O$55</f>
        <v/>
      </c>
      <c r="C262" s="14">
        <f>SUMIFS(tblAsignaciones[horas_disponibles],tblAsignaciones[especialidad],$A262,tblAsignaciones[semana],$B262)</f>
        <v/>
      </c>
      <c r="D262" s="14">
        <f>C262*p_factor_productividad</f>
        <v/>
      </c>
      <c r="E262" s="14">
        <f>SUMIFS(tblOrdenes[horas_efectivas],tblOrdenes[especialidad],$A262,tblOrdenes[semana],$B262,tblOrdenes[clasificacion],"preventiva")</f>
        <v/>
      </c>
      <c r="F262" s="14">
        <f>SUMIFS(tblOrdenes[horas_efectivas],tblOrdenes[especialidad],$A262,tblOrdenes[semana],$B262,tblOrdenes[clasificacion],"correctiva")</f>
        <v/>
      </c>
      <c r="G262" s="14">
        <f>E262+F262</f>
        <v/>
      </c>
      <c r="H262" s="14">
        <f>D262-G262</f>
        <v/>
      </c>
      <c r="I262" s="15">
        <f>IF(D262=0,"",G262/D262)</f>
        <v/>
      </c>
    </row>
    <row r="263" hidden="1">
      <c r="A263" s="3" t="inlineStr">
        <is>
          <t>TERCERO</t>
        </is>
      </c>
      <c r="B263" s="3">
        <f>$O$55</f>
        <v/>
      </c>
      <c r="C263" s="14">
        <f>SUMIFS(tblAsignaciones[horas_disponibles],tblAsignaciones[especialidad],$A263,tblAsignaciones[semana],$B263)</f>
        <v/>
      </c>
      <c r="D263" s="14">
        <f>C263*p_factor_productividad</f>
        <v/>
      </c>
      <c r="E263" s="14">
        <f>SUMIFS(tblOrdenes[horas_efectivas],tblOrdenes[especialidad],$A263,tblOrdenes[semana],$B263,tblOrdenes[clasificacion],"preventiva")</f>
        <v/>
      </c>
      <c r="F263" s="14">
        <f>SUMIFS(tblOrdenes[horas_efectivas],tblOrdenes[especialidad],$A263,tblOrdenes[semana],$B263,tblOrdenes[clasificacion],"correctiva")</f>
        <v/>
      </c>
      <c r="G263" s="14">
        <f>E263+F263</f>
        <v/>
      </c>
      <c r="H263" s="14">
        <f>D263-G263</f>
        <v/>
      </c>
      <c r="I263" s="15">
        <f>IF(D263=0,"",G263/D263)</f>
        <v/>
      </c>
    </row>
    <row r="264" hidden="1">
      <c r="A264" s="3" t="inlineStr">
        <is>
          <t>MEC</t>
        </is>
      </c>
      <c r="B264" s="3">
        <f>$O$56</f>
        <v/>
      </c>
      <c r="C264" s="14">
        <f>SUMIFS(tblAsignaciones[horas_disponibles],tblAsignaciones[especialidad],$A264,tblAsignaciones[semana],$B264)</f>
        <v/>
      </c>
      <c r="D264" s="14">
        <f>C264*p_factor_productividad</f>
        <v/>
      </c>
      <c r="E264" s="14">
        <f>SUMIFS(tblOrdenes[horas_efectivas],tblOrdenes[especialidad],$A264,tblOrdenes[semana],$B264,tblOrdenes[clasificacion],"preventiva")</f>
        <v/>
      </c>
      <c r="F264" s="14">
        <f>SUMIFS(tblOrdenes[horas_efectivas],tblOrdenes[especialidad],$A264,tblOrdenes[semana],$B264,tblOrdenes[clasificacion],"correctiva")</f>
        <v/>
      </c>
      <c r="G264" s="14">
        <f>E264+F264</f>
        <v/>
      </c>
      <c r="H264" s="14">
        <f>D264-G264</f>
        <v/>
      </c>
      <c r="I264" s="15">
        <f>IF(D264=0,"",G264/D264)</f>
        <v/>
      </c>
    </row>
    <row r="265" hidden="1">
      <c r="A265" s="3" t="inlineStr">
        <is>
          <t>ELE</t>
        </is>
      </c>
      <c r="B265" s="3">
        <f>$O$56</f>
        <v/>
      </c>
      <c r="C265" s="14">
        <f>SUMIFS(tblAsignaciones[horas_disponibles],tblAsignaciones[especialidad],$A265,tblAsignaciones[semana],$B265)</f>
        <v/>
      </c>
      <c r="D265" s="14">
        <f>C265*p_factor_productividad</f>
        <v/>
      </c>
      <c r="E265" s="14">
        <f>SUMIFS(tblOrdenes[horas_efectivas],tblOrdenes[especialidad],$A265,tblOrdenes[semana],$B265,tblOrdenes[clasificacion],"preventiva")</f>
        <v/>
      </c>
      <c r="F265" s="14">
        <f>SUMIFS(tblOrdenes[horas_efectivas],tblOrdenes[especialidad],$A265,tblOrdenes[semana],$B265,tblOrdenes[clasificacion],"correctiva")</f>
        <v/>
      </c>
      <c r="G265" s="14">
        <f>E265+F265</f>
        <v/>
      </c>
      <c r="H265" s="14">
        <f>D265-G265</f>
        <v/>
      </c>
      <c r="I265" s="15">
        <f>IF(D265=0,"",G265/D265)</f>
        <v/>
      </c>
    </row>
    <row r="266" hidden="1">
      <c r="A266" s="3" t="inlineStr">
        <is>
          <t>AUT</t>
        </is>
      </c>
      <c r="B266" s="3">
        <f>$O$56</f>
        <v/>
      </c>
      <c r="C266" s="14">
        <f>SUMIFS(tblAsignaciones[horas_disponibles],tblAsignaciones[especialidad],$A266,tblAsignaciones[semana],$B266)</f>
        <v/>
      </c>
      <c r="D266" s="14">
        <f>C266*p_factor_productividad</f>
        <v/>
      </c>
      <c r="E266" s="14">
        <f>SUMIFS(tblOrdenes[horas_efectivas],tblOrdenes[especialidad],$A266,tblOrdenes[semana],$B266,tblOrdenes[clasificacion],"preventiva")</f>
        <v/>
      </c>
      <c r="F266" s="14">
        <f>SUMIFS(tblOrdenes[horas_efectivas],tblOrdenes[especialidad],$A266,tblOrdenes[semana],$B266,tblOrdenes[clasificacion],"correctiva")</f>
        <v/>
      </c>
      <c r="G266" s="14">
        <f>E266+F266</f>
        <v/>
      </c>
      <c r="H266" s="14">
        <f>D266-G266</f>
        <v/>
      </c>
      <c r="I266" s="15">
        <f>IF(D266=0,"",G266/D266)</f>
        <v/>
      </c>
    </row>
    <row r="267" hidden="1">
      <c r="A267" s="3" t="inlineStr">
        <is>
          <t>OP</t>
        </is>
      </c>
      <c r="B267" s="3">
        <f>$O$56</f>
        <v/>
      </c>
      <c r="C267" s="14">
        <f>SUMIFS(tblAsignaciones[horas_disponibles],tblAsignaciones[especialidad],$A267,tblAsignaciones[semana],$B267)</f>
        <v/>
      </c>
      <c r="D267" s="14">
        <f>C267*p_factor_productividad</f>
        <v/>
      </c>
      <c r="E267" s="14">
        <f>SUMIFS(tblOrdenes[horas_efectivas],tblOrdenes[especialidad],$A267,tblOrdenes[semana],$B267,tblOrdenes[clasificacion],"preventiva")</f>
        <v/>
      </c>
      <c r="F267" s="14">
        <f>SUMIFS(tblOrdenes[horas_efectivas],tblOrdenes[especialidad],$A267,tblOrdenes[semana],$B267,tblOrdenes[clasificacion],"correctiva")</f>
        <v/>
      </c>
      <c r="G267" s="14">
        <f>E267+F267</f>
        <v/>
      </c>
      <c r="H267" s="14">
        <f>D267-G267</f>
        <v/>
      </c>
      <c r="I267" s="15">
        <f>IF(D267=0,"",G267/D267)</f>
        <v/>
      </c>
    </row>
    <row r="268" hidden="1">
      <c r="A268" s="3" t="inlineStr">
        <is>
          <t>TERCERO</t>
        </is>
      </c>
      <c r="B268" s="3">
        <f>$O$56</f>
        <v/>
      </c>
      <c r="C268" s="14">
        <f>SUMIFS(tblAsignaciones[horas_disponibles],tblAsignaciones[especialidad],$A268,tblAsignaciones[semana],$B268)</f>
        <v/>
      </c>
      <c r="D268" s="14">
        <f>C268*p_factor_productividad</f>
        <v/>
      </c>
      <c r="E268" s="14">
        <f>SUMIFS(tblOrdenes[horas_efectivas],tblOrdenes[especialidad],$A268,tblOrdenes[semana],$B268,tblOrdenes[clasificacion],"preventiva")</f>
        <v/>
      </c>
      <c r="F268" s="14">
        <f>SUMIFS(tblOrdenes[horas_efectivas],tblOrdenes[especialidad],$A268,tblOrdenes[semana],$B268,tblOrdenes[clasificacion],"correctiva")</f>
        <v/>
      </c>
      <c r="G268" s="14">
        <f>E268+F268</f>
        <v/>
      </c>
      <c r="H268" s="14">
        <f>D268-G268</f>
        <v/>
      </c>
      <c r="I268" s="15">
        <f>IF(D268=0,"",G268/D268)</f>
        <v/>
      </c>
    </row>
    <row r="269" hidden="1">
      <c r="A269" s="3" t="inlineStr">
        <is>
          <t>MEC</t>
        </is>
      </c>
      <c r="B269" s="3">
        <f>$O$57</f>
        <v/>
      </c>
      <c r="C269" s="14">
        <f>SUMIFS(tblAsignaciones[horas_disponibles],tblAsignaciones[especialidad],$A269,tblAsignaciones[semana],$B269)</f>
        <v/>
      </c>
      <c r="D269" s="14">
        <f>C269*p_factor_productividad</f>
        <v/>
      </c>
      <c r="E269" s="14">
        <f>SUMIFS(tblOrdenes[horas_efectivas],tblOrdenes[especialidad],$A269,tblOrdenes[semana],$B269,tblOrdenes[clasificacion],"preventiva")</f>
        <v/>
      </c>
      <c r="F269" s="14">
        <f>SUMIFS(tblOrdenes[horas_efectivas],tblOrdenes[especialidad],$A269,tblOrdenes[semana],$B269,tblOrdenes[clasificacion],"correctiva")</f>
        <v/>
      </c>
      <c r="G269" s="14">
        <f>E269+F269</f>
        <v/>
      </c>
      <c r="H269" s="14">
        <f>D269-G269</f>
        <v/>
      </c>
      <c r="I269" s="15">
        <f>IF(D269=0,"",G269/D269)</f>
        <v/>
      </c>
    </row>
    <row r="270" hidden="1">
      <c r="A270" s="3" t="inlineStr">
        <is>
          <t>ELE</t>
        </is>
      </c>
      <c r="B270" s="3">
        <f>$O$57</f>
        <v/>
      </c>
      <c r="C270" s="14">
        <f>SUMIFS(tblAsignaciones[horas_disponibles],tblAsignaciones[especialidad],$A270,tblAsignaciones[semana],$B270)</f>
        <v/>
      </c>
      <c r="D270" s="14">
        <f>C270*p_factor_productividad</f>
        <v/>
      </c>
      <c r="E270" s="14">
        <f>SUMIFS(tblOrdenes[horas_efectivas],tblOrdenes[especialidad],$A270,tblOrdenes[semana],$B270,tblOrdenes[clasificacion],"preventiva")</f>
        <v/>
      </c>
      <c r="F270" s="14">
        <f>SUMIFS(tblOrdenes[horas_efectivas],tblOrdenes[especialidad],$A270,tblOrdenes[semana],$B270,tblOrdenes[clasificacion],"correctiva")</f>
        <v/>
      </c>
      <c r="G270" s="14">
        <f>E270+F270</f>
        <v/>
      </c>
      <c r="H270" s="14">
        <f>D270-G270</f>
        <v/>
      </c>
      <c r="I270" s="15">
        <f>IF(D270=0,"",G270/D270)</f>
        <v/>
      </c>
    </row>
    <row r="271" hidden="1">
      <c r="A271" s="3" t="inlineStr">
        <is>
          <t>AUT</t>
        </is>
      </c>
      <c r="B271" s="3">
        <f>$O$57</f>
        <v/>
      </c>
      <c r="C271" s="14">
        <f>SUMIFS(tblAsignaciones[horas_disponibles],tblAsignaciones[especialidad],$A271,tblAsignaciones[semana],$B271)</f>
        <v/>
      </c>
      <c r="D271" s="14">
        <f>C271*p_factor_productividad</f>
        <v/>
      </c>
      <c r="E271" s="14">
        <f>SUMIFS(tblOrdenes[horas_efectivas],tblOrdenes[especialidad],$A271,tblOrdenes[semana],$B271,tblOrdenes[clasificacion],"preventiva")</f>
        <v/>
      </c>
      <c r="F271" s="14">
        <f>SUMIFS(tblOrdenes[horas_efectivas],tblOrdenes[especialidad],$A271,tblOrdenes[semana],$B271,tblOrdenes[clasificacion],"correctiva")</f>
        <v/>
      </c>
      <c r="G271" s="14">
        <f>E271+F271</f>
        <v/>
      </c>
      <c r="H271" s="14">
        <f>D271-G271</f>
        <v/>
      </c>
      <c r="I271" s="15">
        <f>IF(D271=0,"",G271/D271)</f>
        <v/>
      </c>
    </row>
    <row r="272" hidden="1">
      <c r="A272" s="3" t="inlineStr">
        <is>
          <t>OP</t>
        </is>
      </c>
      <c r="B272" s="3">
        <f>$O$57</f>
        <v/>
      </c>
      <c r="C272" s="14">
        <f>SUMIFS(tblAsignaciones[horas_disponibles],tblAsignaciones[especialidad],$A272,tblAsignaciones[semana],$B272)</f>
        <v/>
      </c>
      <c r="D272" s="14">
        <f>C272*p_factor_productividad</f>
        <v/>
      </c>
      <c r="E272" s="14">
        <f>SUMIFS(tblOrdenes[horas_efectivas],tblOrdenes[especialidad],$A272,tblOrdenes[semana],$B272,tblOrdenes[clasificacion],"preventiva")</f>
        <v/>
      </c>
      <c r="F272" s="14">
        <f>SUMIFS(tblOrdenes[horas_efectivas],tblOrdenes[especialidad],$A272,tblOrdenes[semana],$B272,tblOrdenes[clasificacion],"correctiva")</f>
        <v/>
      </c>
      <c r="G272" s="14">
        <f>E272+F272</f>
        <v/>
      </c>
      <c r="H272" s="14">
        <f>D272-G272</f>
        <v/>
      </c>
      <c r="I272" s="15">
        <f>IF(D272=0,"",G272/D272)</f>
        <v/>
      </c>
    </row>
    <row r="273" hidden="1">
      <c r="A273" s="3" t="inlineStr">
        <is>
          <t>TERCERO</t>
        </is>
      </c>
      <c r="B273" s="3">
        <f>$O$57</f>
        <v/>
      </c>
      <c r="C273" s="14">
        <f>SUMIFS(tblAsignaciones[horas_disponibles],tblAsignaciones[especialidad],$A273,tblAsignaciones[semana],$B273)</f>
        <v/>
      </c>
      <c r="D273" s="14">
        <f>C273*p_factor_productividad</f>
        <v/>
      </c>
      <c r="E273" s="14">
        <f>SUMIFS(tblOrdenes[horas_efectivas],tblOrdenes[especialidad],$A273,tblOrdenes[semana],$B273,tblOrdenes[clasificacion],"preventiva")</f>
        <v/>
      </c>
      <c r="F273" s="14">
        <f>SUMIFS(tblOrdenes[horas_efectivas],tblOrdenes[especialidad],$A273,tblOrdenes[semana],$B273,tblOrdenes[clasificacion],"correctiva")</f>
        <v/>
      </c>
      <c r="G273" s="14">
        <f>E273+F273</f>
        <v/>
      </c>
      <c r="H273" s="14">
        <f>D273-G273</f>
        <v/>
      </c>
      <c r="I273" s="15">
        <f>IF(D273=0,"",G273/D273)</f>
        <v/>
      </c>
    </row>
    <row r="274" hidden="1">
      <c r="A274" s="3" t="inlineStr">
        <is>
          <t>MEC</t>
        </is>
      </c>
      <c r="B274" s="3">
        <f>$O$58</f>
        <v/>
      </c>
      <c r="C274" s="14">
        <f>SUMIFS(tblAsignaciones[horas_disponibles],tblAsignaciones[especialidad],$A274,tblAsignaciones[semana],$B274)</f>
        <v/>
      </c>
      <c r="D274" s="14">
        <f>C274*p_factor_productividad</f>
        <v/>
      </c>
      <c r="E274" s="14">
        <f>SUMIFS(tblOrdenes[horas_efectivas],tblOrdenes[especialidad],$A274,tblOrdenes[semana],$B274,tblOrdenes[clasificacion],"preventiva")</f>
        <v/>
      </c>
      <c r="F274" s="14">
        <f>SUMIFS(tblOrdenes[horas_efectivas],tblOrdenes[especialidad],$A274,tblOrdenes[semana],$B274,tblOrdenes[clasificacion],"correctiva")</f>
        <v/>
      </c>
      <c r="G274" s="14">
        <f>E274+F274</f>
        <v/>
      </c>
      <c r="H274" s="14">
        <f>D274-G274</f>
        <v/>
      </c>
      <c r="I274" s="15">
        <f>IF(D274=0,"",G274/D274)</f>
        <v/>
      </c>
    </row>
    <row r="275" hidden="1">
      <c r="A275" s="3" t="inlineStr">
        <is>
          <t>ELE</t>
        </is>
      </c>
      <c r="B275" s="3">
        <f>$O$58</f>
        <v/>
      </c>
      <c r="C275" s="14">
        <f>SUMIFS(tblAsignaciones[horas_disponibles],tblAsignaciones[especialidad],$A275,tblAsignaciones[semana],$B275)</f>
        <v/>
      </c>
      <c r="D275" s="14">
        <f>C275*p_factor_productividad</f>
        <v/>
      </c>
      <c r="E275" s="14">
        <f>SUMIFS(tblOrdenes[horas_efectivas],tblOrdenes[especialidad],$A275,tblOrdenes[semana],$B275,tblOrdenes[clasificacion],"preventiva")</f>
        <v/>
      </c>
      <c r="F275" s="14">
        <f>SUMIFS(tblOrdenes[horas_efectivas],tblOrdenes[especialidad],$A275,tblOrdenes[semana],$B275,tblOrdenes[clasificacion],"correctiva")</f>
        <v/>
      </c>
      <c r="G275" s="14">
        <f>E275+F275</f>
        <v/>
      </c>
      <c r="H275" s="14">
        <f>D275-G275</f>
        <v/>
      </c>
      <c r="I275" s="15">
        <f>IF(D275=0,"",G275/D275)</f>
        <v/>
      </c>
    </row>
    <row r="276" hidden="1">
      <c r="A276" s="3" t="inlineStr">
        <is>
          <t>AUT</t>
        </is>
      </c>
      <c r="B276" s="3">
        <f>$O$58</f>
        <v/>
      </c>
      <c r="C276" s="14">
        <f>SUMIFS(tblAsignaciones[horas_disponibles],tblAsignaciones[especialidad],$A276,tblAsignaciones[semana],$B276)</f>
        <v/>
      </c>
      <c r="D276" s="14">
        <f>C276*p_factor_productividad</f>
        <v/>
      </c>
      <c r="E276" s="14">
        <f>SUMIFS(tblOrdenes[horas_efectivas],tblOrdenes[especialidad],$A276,tblOrdenes[semana],$B276,tblOrdenes[clasificacion],"preventiva")</f>
        <v/>
      </c>
      <c r="F276" s="14">
        <f>SUMIFS(tblOrdenes[horas_efectivas],tblOrdenes[especialidad],$A276,tblOrdenes[semana],$B276,tblOrdenes[clasificacion],"correctiva")</f>
        <v/>
      </c>
      <c r="G276" s="14">
        <f>E276+F276</f>
        <v/>
      </c>
      <c r="H276" s="14">
        <f>D276-G276</f>
        <v/>
      </c>
      <c r="I276" s="15">
        <f>IF(D276=0,"",G276/D276)</f>
        <v/>
      </c>
    </row>
    <row r="277" hidden="1">
      <c r="A277" s="3" t="inlineStr">
        <is>
          <t>OP</t>
        </is>
      </c>
      <c r="B277" s="3">
        <f>$O$58</f>
        <v/>
      </c>
      <c r="C277" s="14">
        <f>SUMIFS(tblAsignaciones[horas_disponibles],tblAsignaciones[especialidad],$A277,tblAsignaciones[semana],$B277)</f>
        <v/>
      </c>
      <c r="D277" s="14">
        <f>C277*p_factor_productividad</f>
        <v/>
      </c>
      <c r="E277" s="14">
        <f>SUMIFS(tblOrdenes[horas_efectivas],tblOrdenes[especialidad],$A277,tblOrdenes[semana],$B277,tblOrdenes[clasificacion],"preventiva")</f>
        <v/>
      </c>
      <c r="F277" s="14">
        <f>SUMIFS(tblOrdenes[horas_efectivas],tblOrdenes[especialidad],$A277,tblOrdenes[semana],$B277,tblOrdenes[clasificacion],"correctiva")</f>
        <v/>
      </c>
      <c r="G277" s="14">
        <f>E277+F277</f>
        <v/>
      </c>
      <c r="H277" s="14">
        <f>D277-G277</f>
        <v/>
      </c>
      <c r="I277" s="15">
        <f>IF(D277=0,"",G277/D277)</f>
        <v/>
      </c>
    </row>
    <row r="278" hidden="1">
      <c r="A278" s="3" t="inlineStr">
        <is>
          <t>TERCERO</t>
        </is>
      </c>
      <c r="B278" s="3">
        <f>$O$58</f>
        <v/>
      </c>
      <c r="C278" s="14">
        <f>SUMIFS(tblAsignaciones[horas_disponibles],tblAsignaciones[especialidad],$A278,tblAsignaciones[semana],$B278)</f>
        <v/>
      </c>
      <c r="D278" s="14">
        <f>C278*p_factor_productividad</f>
        <v/>
      </c>
      <c r="E278" s="14">
        <f>SUMIFS(tblOrdenes[horas_efectivas],tblOrdenes[especialidad],$A278,tblOrdenes[semana],$B278,tblOrdenes[clasificacion],"preventiva")</f>
        <v/>
      </c>
      <c r="F278" s="14">
        <f>SUMIFS(tblOrdenes[horas_efectivas],tblOrdenes[especialidad],$A278,tblOrdenes[semana],$B278,tblOrdenes[clasificacion],"correctiva")</f>
        <v/>
      </c>
      <c r="G278" s="14">
        <f>E278+F278</f>
        <v/>
      </c>
      <c r="H278" s="14">
        <f>D278-G278</f>
        <v/>
      </c>
      <c r="I278" s="15">
        <f>IF(D278=0,"",G278/D278)</f>
        <v/>
      </c>
    </row>
    <row r="279" hidden="1">
      <c r="A279" s="3" t="inlineStr">
        <is>
          <t>MEC</t>
        </is>
      </c>
      <c r="B279" s="3">
        <f>$O$59</f>
        <v/>
      </c>
      <c r="C279" s="14">
        <f>SUMIFS(tblAsignaciones[horas_disponibles],tblAsignaciones[especialidad],$A279,tblAsignaciones[semana],$B279)</f>
        <v/>
      </c>
      <c r="D279" s="14">
        <f>C279*p_factor_productividad</f>
        <v/>
      </c>
      <c r="E279" s="14">
        <f>SUMIFS(tblOrdenes[horas_efectivas],tblOrdenes[especialidad],$A279,tblOrdenes[semana],$B279,tblOrdenes[clasificacion],"preventiva")</f>
        <v/>
      </c>
      <c r="F279" s="14">
        <f>SUMIFS(tblOrdenes[horas_efectivas],tblOrdenes[especialidad],$A279,tblOrdenes[semana],$B279,tblOrdenes[clasificacion],"correctiva")</f>
        <v/>
      </c>
      <c r="G279" s="14">
        <f>E279+F279</f>
        <v/>
      </c>
      <c r="H279" s="14">
        <f>D279-G279</f>
        <v/>
      </c>
      <c r="I279" s="15">
        <f>IF(D279=0,"",G279/D279)</f>
        <v/>
      </c>
    </row>
    <row r="280" hidden="1">
      <c r="A280" s="3" t="inlineStr">
        <is>
          <t>ELE</t>
        </is>
      </c>
      <c r="B280" s="3">
        <f>$O$59</f>
        <v/>
      </c>
      <c r="C280" s="14">
        <f>SUMIFS(tblAsignaciones[horas_disponibles],tblAsignaciones[especialidad],$A280,tblAsignaciones[semana],$B280)</f>
        <v/>
      </c>
      <c r="D280" s="14">
        <f>C280*p_factor_productividad</f>
        <v/>
      </c>
      <c r="E280" s="14">
        <f>SUMIFS(tblOrdenes[horas_efectivas],tblOrdenes[especialidad],$A280,tblOrdenes[semana],$B280,tblOrdenes[clasificacion],"preventiva")</f>
        <v/>
      </c>
      <c r="F280" s="14">
        <f>SUMIFS(tblOrdenes[horas_efectivas],tblOrdenes[especialidad],$A280,tblOrdenes[semana],$B280,tblOrdenes[clasificacion],"correctiva")</f>
        <v/>
      </c>
      <c r="G280" s="14">
        <f>E280+F280</f>
        <v/>
      </c>
      <c r="H280" s="14">
        <f>D280-G280</f>
        <v/>
      </c>
      <c r="I280" s="15">
        <f>IF(D280=0,"",G280/D280)</f>
        <v/>
      </c>
    </row>
    <row r="281" hidden="1">
      <c r="A281" s="3" t="inlineStr">
        <is>
          <t>AUT</t>
        </is>
      </c>
      <c r="B281" s="3">
        <f>$O$59</f>
        <v/>
      </c>
      <c r="C281" s="14">
        <f>SUMIFS(tblAsignaciones[horas_disponibles],tblAsignaciones[especialidad],$A281,tblAsignaciones[semana],$B281)</f>
        <v/>
      </c>
      <c r="D281" s="14">
        <f>C281*p_factor_productividad</f>
        <v/>
      </c>
      <c r="E281" s="14">
        <f>SUMIFS(tblOrdenes[horas_efectivas],tblOrdenes[especialidad],$A281,tblOrdenes[semana],$B281,tblOrdenes[clasificacion],"preventiva")</f>
        <v/>
      </c>
      <c r="F281" s="14">
        <f>SUMIFS(tblOrdenes[horas_efectivas],tblOrdenes[especialidad],$A281,tblOrdenes[semana],$B281,tblOrdenes[clasificacion],"correctiva")</f>
        <v/>
      </c>
      <c r="G281" s="14">
        <f>E281+F281</f>
        <v/>
      </c>
      <c r="H281" s="14">
        <f>D281-G281</f>
        <v/>
      </c>
      <c r="I281" s="15">
        <f>IF(D281=0,"",G281/D281)</f>
        <v/>
      </c>
    </row>
    <row r="282" hidden="1">
      <c r="A282" s="3" t="inlineStr">
        <is>
          <t>OP</t>
        </is>
      </c>
      <c r="B282" s="3">
        <f>$O$59</f>
        <v/>
      </c>
      <c r="C282" s="14">
        <f>SUMIFS(tblAsignaciones[horas_disponibles],tblAsignaciones[especialidad],$A282,tblAsignaciones[semana],$B282)</f>
        <v/>
      </c>
      <c r="D282" s="14">
        <f>C282*p_factor_productividad</f>
        <v/>
      </c>
      <c r="E282" s="14">
        <f>SUMIFS(tblOrdenes[horas_efectivas],tblOrdenes[especialidad],$A282,tblOrdenes[semana],$B282,tblOrdenes[clasificacion],"preventiva")</f>
        <v/>
      </c>
      <c r="F282" s="14">
        <f>SUMIFS(tblOrdenes[horas_efectivas],tblOrdenes[especialidad],$A282,tblOrdenes[semana],$B282,tblOrdenes[clasificacion],"correctiva")</f>
        <v/>
      </c>
      <c r="G282" s="14">
        <f>E282+F282</f>
        <v/>
      </c>
      <c r="H282" s="14">
        <f>D282-G282</f>
        <v/>
      </c>
      <c r="I282" s="15">
        <f>IF(D282=0,"",G282/D282)</f>
        <v/>
      </c>
    </row>
    <row r="283" hidden="1">
      <c r="A283" s="3" t="inlineStr">
        <is>
          <t>TERCERO</t>
        </is>
      </c>
      <c r="B283" s="3">
        <f>$O$59</f>
        <v/>
      </c>
      <c r="C283" s="14">
        <f>SUMIFS(tblAsignaciones[horas_disponibles],tblAsignaciones[especialidad],$A283,tblAsignaciones[semana],$B283)</f>
        <v/>
      </c>
      <c r="D283" s="14">
        <f>C283*p_factor_productividad</f>
        <v/>
      </c>
      <c r="E283" s="14">
        <f>SUMIFS(tblOrdenes[horas_efectivas],tblOrdenes[especialidad],$A283,tblOrdenes[semana],$B283,tblOrdenes[clasificacion],"preventiva")</f>
        <v/>
      </c>
      <c r="F283" s="14">
        <f>SUMIFS(tblOrdenes[horas_efectivas],tblOrdenes[especialidad],$A283,tblOrdenes[semana],$B283,tblOrdenes[clasificacion],"correctiva")</f>
        <v/>
      </c>
      <c r="G283" s="14">
        <f>E283+F283</f>
        <v/>
      </c>
      <c r="H283" s="14">
        <f>D283-G283</f>
        <v/>
      </c>
      <c r="I283" s="15">
        <f>IF(D283=0,"",G283/D283)</f>
        <v/>
      </c>
    </row>
    <row r="284" hidden="1">
      <c r="A284" s="3" t="inlineStr">
        <is>
          <t>MEC</t>
        </is>
      </c>
      <c r="B284" s="3">
        <f>$O$60</f>
        <v/>
      </c>
      <c r="C284" s="14">
        <f>SUMIFS(tblAsignaciones[horas_disponibles],tblAsignaciones[especialidad],$A284,tblAsignaciones[semana],$B284)</f>
        <v/>
      </c>
      <c r="D284" s="14">
        <f>C284*p_factor_productividad</f>
        <v/>
      </c>
      <c r="E284" s="14">
        <f>SUMIFS(tblOrdenes[horas_efectivas],tblOrdenes[especialidad],$A284,tblOrdenes[semana],$B284,tblOrdenes[clasificacion],"preventiva")</f>
        <v/>
      </c>
      <c r="F284" s="14">
        <f>SUMIFS(tblOrdenes[horas_efectivas],tblOrdenes[especialidad],$A284,tblOrdenes[semana],$B284,tblOrdenes[clasificacion],"correctiva")</f>
        <v/>
      </c>
      <c r="G284" s="14">
        <f>E284+F284</f>
        <v/>
      </c>
      <c r="H284" s="14">
        <f>D284-G284</f>
        <v/>
      </c>
      <c r="I284" s="15">
        <f>IF(D284=0,"",G284/D284)</f>
        <v/>
      </c>
    </row>
    <row r="285" hidden="1">
      <c r="A285" s="3" t="inlineStr">
        <is>
          <t>ELE</t>
        </is>
      </c>
      <c r="B285" s="3">
        <f>$O$60</f>
        <v/>
      </c>
      <c r="C285" s="14">
        <f>SUMIFS(tblAsignaciones[horas_disponibles],tblAsignaciones[especialidad],$A285,tblAsignaciones[semana],$B285)</f>
        <v/>
      </c>
      <c r="D285" s="14">
        <f>C285*p_factor_productividad</f>
        <v/>
      </c>
      <c r="E285" s="14">
        <f>SUMIFS(tblOrdenes[horas_efectivas],tblOrdenes[especialidad],$A285,tblOrdenes[semana],$B285,tblOrdenes[clasificacion],"preventiva")</f>
        <v/>
      </c>
      <c r="F285" s="14">
        <f>SUMIFS(tblOrdenes[horas_efectivas],tblOrdenes[especialidad],$A285,tblOrdenes[semana],$B285,tblOrdenes[clasificacion],"correctiva")</f>
        <v/>
      </c>
      <c r="G285" s="14">
        <f>E285+F285</f>
        <v/>
      </c>
      <c r="H285" s="14">
        <f>D285-G285</f>
        <v/>
      </c>
      <c r="I285" s="15">
        <f>IF(D285=0,"",G285/D285)</f>
        <v/>
      </c>
    </row>
    <row r="286" hidden="1">
      <c r="A286" s="3" t="inlineStr">
        <is>
          <t>AUT</t>
        </is>
      </c>
      <c r="B286" s="3">
        <f>$O$60</f>
        <v/>
      </c>
      <c r="C286" s="14">
        <f>SUMIFS(tblAsignaciones[horas_disponibles],tblAsignaciones[especialidad],$A286,tblAsignaciones[semana],$B286)</f>
        <v/>
      </c>
      <c r="D286" s="14">
        <f>C286*p_factor_productividad</f>
        <v/>
      </c>
      <c r="E286" s="14">
        <f>SUMIFS(tblOrdenes[horas_efectivas],tblOrdenes[especialidad],$A286,tblOrdenes[semana],$B286,tblOrdenes[clasificacion],"preventiva")</f>
        <v/>
      </c>
      <c r="F286" s="14">
        <f>SUMIFS(tblOrdenes[horas_efectivas],tblOrdenes[especialidad],$A286,tblOrdenes[semana],$B286,tblOrdenes[clasificacion],"correctiva")</f>
        <v/>
      </c>
      <c r="G286" s="14">
        <f>E286+F286</f>
        <v/>
      </c>
      <c r="H286" s="14">
        <f>D286-G286</f>
        <v/>
      </c>
      <c r="I286" s="15">
        <f>IF(D286=0,"",G286/D286)</f>
        <v/>
      </c>
    </row>
    <row r="287" hidden="1">
      <c r="A287" s="3" t="inlineStr">
        <is>
          <t>OP</t>
        </is>
      </c>
      <c r="B287" s="3">
        <f>$O$60</f>
        <v/>
      </c>
      <c r="C287" s="14">
        <f>SUMIFS(tblAsignaciones[horas_disponibles],tblAsignaciones[especialidad],$A287,tblAsignaciones[semana],$B287)</f>
        <v/>
      </c>
      <c r="D287" s="14">
        <f>C287*p_factor_productividad</f>
        <v/>
      </c>
      <c r="E287" s="14">
        <f>SUMIFS(tblOrdenes[horas_efectivas],tblOrdenes[especialidad],$A287,tblOrdenes[semana],$B287,tblOrdenes[clasificacion],"preventiva")</f>
        <v/>
      </c>
      <c r="F287" s="14">
        <f>SUMIFS(tblOrdenes[horas_efectivas],tblOrdenes[especialidad],$A287,tblOrdenes[semana],$B287,tblOrdenes[clasificacion],"correctiva")</f>
        <v/>
      </c>
      <c r="G287" s="14">
        <f>E287+F287</f>
        <v/>
      </c>
      <c r="H287" s="14">
        <f>D287-G287</f>
        <v/>
      </c>
      <c r="I287" s="15">
        <f>IF(D287=0,"",G287/D287)</f>
        <v/>
      </c>
    </row>
    <row r="288" hidden="1">
      <c r="A288" s="3" t="inlineStr">
        <is>
          <t>TERCERO</t>
        </is>
      </c>
      <c r="B288" s="3">
        <f>$O$60</f>
        <v/>
      </c>
      <c r="C288" s="14">
        <f>SUMIFS(tblAsignaciones[horas_disponibles],tblAsignaciones[especialidad],$A288,tblAsignaciones[semana],$B288)</f>
        <v/>
      </c>
      <c r="D288" s="14">
        <f>C288*p_factor_productividad</f>
        <v/>
      </c>
      <c r="E288" s="14">
        <f>SUMIFS(tblOrdenes[horas_efectivas],tblOrdenes[especialidad],$A288,tblOrdenes[semana],$B288,tblOrdenes[clasificacion],"preventiva")</f>
        <v/>
      </c>
      <c r="F288" s="14">
        <f>SUMIFS(tblOrdenes[horas_efectivas],tblOrdenes[especialidad],$A288,tblOrdenes[semana],$B288,tblOrdenes[clasificacion],"correctiva")</f>
        <v/>
      </c>
      <c r="G288" s="14">
        <f>E288+F288</f>
        <v/>
      </c>
      <c r="H288" s="14">
        <f>D288-G288</f>
        <v/>
      </c>
      <c r="I288" s="15">
        <f>IF(D288=0,"",G288/D288)</f>
        <v/>
      </c>
    </row>
    <row r="289" hidden="1">
      <c r="A289" s="3" t="inlineStr">
        <is>
          <t>MEC</t>
        </is>
      </c>
      <c r="B289" s="3">
        <f>$O$61</f>
        <v/>
      </c>
      <c r="C289" s="14">
        <f>SUMIFS(tblAsignaciones[horas_disponibles],tblAsignaciones[especialidad],$A289,tblAsignaciones[semana],$B289)</f>
        <v/>
      </c>
      <c r="D289" s="14">
        <f>C289*p_factor_productividad</f>
        <v/>
      </c>
      <c r="E289" s="14">
        <f>SUMIFS(tblOrdenes[horas_efectivas],tblOrdenes[especialidad],$A289,tblOrdenes[semana],$B289,tblOrdenes[clasificacion],"preventiva")</f>
        <v/>
      </c>
      <c r="F289" s="14">
        <f>SUMIFS(tblOrdenes[horas_efectivas],tblOrdenes[especialidad],$A289,tblOrdenes[semana],$B289,tblOrdenes[clasificacion],"correctiva")</f>
        <v/>
      </c>
      <c r="G289" s="14">
        <f>E289+F289</f>
        <v/>
      </c>
      <c r="H289" s="14">
        <f>D289-G289</f>
        <v/>
      </c>
      <c r="I289" s="15">
        <f>IF(D289=0,"",G289/D289)</f>
        <v/>
      </c>
    </row>
    <row r="290" hidden="1">
      <c r="A290" s="3" t="inlineStr">
        <is>
          <t>ELE</t>
        </is>
      </c>
      <c r="B290" s="3">
        <f>$O$61</f>
        <v/>
      </c>
      <c r="C290" s="14">
        <f>SUMIFS(tblAsignaciones[horas_disponibles],tblAsignaciones[especialidad],$A290,tblAsignaciones[semana],$B290)</f>
        <v/>
      </c>
      <c r="D290" s="14">
        <f>C290*p_factor_productividad</f>
        <v/>
      </c>
      <c r="E290" s="14">
        <f>SUMIFS(tblOrdenes[horas_efectivas],tblOrdenes[especialidad],$A290,tblOrdenes[semana],$B290,tblOrdenes[clasificacion],"preventiva")</f>
        <v/>
      </c>
      <c r="F290" s="14">
        <f>SUMIFS(tblOrdenes[horas_efectivas],tblOrdenes[especialidad],$A290,tblOrdenes[semana],$B290,tblOrdenes[clasificacion],"correctiva")</f>
        <v/>
      </c>
      <c r="G290" s="14">
        <f>E290+F290</f>
        <v/>
      </c>
      <c r="H290" s="14">
        <f>D290-G290</f>
        <v/>
      </c>
      <c r="I290" s="15">
        <f>IF(D290=0,"",G290/D290)</f>
        <v/>
      </c>
    </row>
    <row r="291" hidden="1">
      <c r="A291" s="3" t="inlineStr">
        <is>
          <t>AUT</t>
        </is>
      </c>
      <c r="B291" s="3">
        <f>$O$61</f>
        <v/>
      </c>
      <c r="C291" s="14">
        <f>SUMIFS(tblAsignaciones[horas_disponibles],tblAsignaciones[especialidad],$A291,tblAsignaciones[semana],$B291)</f>
        <v/>
      </c>
      <c r="D291" s="14">
        <f>C291*p_factor_productividad</f>
        <v/>
      </c>
      <c r="E291" s="14">
        <f>SUMIFS(tblOrdenes[horas_efectivas],tblOrdenes[especialidad],$A291,tblOrdenes[semana],$B291,tblOrdenes[clasificacion],"preventiva")</f>
        <v/>
      </c>
      <c r="F291" s="14">
        <f>SUMIFS(tblOrdenes[horas_efectivas],tblOrdenes[especialidad],$A291,tblOrdenes[semana],$B291,tblOrdenes[clasificacion],"correctiva")</f>
        <v/>
      </c>
      <c r="G291" s="14">
        <f>E291+F291</f>
        <v/>
      </c>
      <c r="H291" s="14">
        <f>D291-G291</f>
        <v/>
      </c>
      <c r="I291" s="15">
        <f>IF(D291=0,"",G291/D291)</f>
        <v/>
      </c>
    </row>
    <row r="292" hidden="1">
      <c r="A292" s="3" t="inlineStr">
        <is>
          <t>OP</t>
        </is>
      </c>
      <c r="B292" s="3">
        <f>$O$61</f>
        <v/>
      </c>
      <c r="C292" s="14">
        <f>SUMIFS(tblAsignaciones[horas_disponibles],tblAsignaciones[especialidad],$A292,tblAsignaciones[semana],$B292)</f>
        <v/>
      </c>
      <c r="D292" s="14">
        <f>C292*p_factor_productividad</f>
        <v/>
      </c>
      <c r="E292" s="14">
        <f>SUMIFS(tblOrdenes[horas_efectivas],tblOrdenes[especialidad],$A292,tblOrdenes[semana],$B292,tblOrdenes[clasificacion],"preventiva")</f>
        <v/>
      </c>
      <c r="F292" s="14">
        <f>SUMIFS(tblOrdenes[horas_efectivas],tblOrdenes[especialidad],$A292,tblOrdenes[semana],$B292,tblOrdenes[clasificacion],"correctiva")</f>
        <v/>
      </c>
      <c r="G292" s="14">
        <f>E292+F292</f>
        <v/>
      </c>
      <c r="H292" s="14">
        <f>D292-G292</f>
        <v/>
      </c>
      <c r="I292" s="15">
        <f>IF(D292=0,"",G292/D292)</f>
        <v/>
      </c>
    </row>
    <row r="293" hidden="1">
      <c r="A293" s="3" t="inlineStr">
        <is>
          <t>TERCERO</t>
        </is>
      </c>
      <c r="B293" s="3">
        <f>$O$61</f>
        <v/>
      </c>
      <c r="C293" s="14">
        <f>SUMIFS(tblAsignaciones[horas_disponibles],tblAsignaciones[especialidad],$A293,tblAsignaciones[semana],$B293)</f>
        <v/>
      </c>
      <c r="D293" s="14">
        <f>C293*p_factor_productividad</f>
        <v/>
      </c>
      <c r="E293" s="14">
        <f>SUMIFS(tblOrdenes[horas_efectivas],tblOrdenes[especialidad],$A293,tblOrdenes[semana],$B293,tblOrdenes[clasificacion],"preventiva")</f>
        <v/>
      </c>
      <c r="F293" s="14">
        <f>SUMIFS(tblOrdenes[horas_efectivas],tblOrdenes[especialidad],$A293,tblOrdenes[semana],$B293,tblOrdenes[clasificacion],"correctiva")</f>
        <v/>
      </c>
      <c r="G293" s="14">
        <f>E293+F293</f>
        <v/>
      </c>
      <c r="H293" s="14">
        <f>D293-G293</f>
        <v/>
      </c>
      <c r="I293" s="15">
        <f>IF(D293=0,"",G293/D293)</f>
        <v/>
      </c>
    </row>
    <row r="294" hidden="1">
      <c r="A294" s="3" t="inlineStr">
        <is>
          <t>MEC</t>
        </is>
      </c>
      <c r="B294" s="3">
        <f>$O$62</f>
        <v/>
      </c>
      <c r="C294" s="14">
        <f>SUMIFS(tblAsignaciones[horas_disponibles],tblAsignaciones[especialidad],$A294,tblAsignaciones[semana],$B294)</f>
        <v/>
      </c>
      <c r="D294" s="14">
        <f>C294*p_factor_productividad</f>
        <v/>
      </c>
      <c r="E294" s="14">
        <f>SUMIFS(tblOrdenes[horas_efectivas],tblOrdenes[especialidad],$A294,tblOrdenes[semana],$B294,tblOrdenes[clasificacion],"preventiva")</f>
        <v/>
      </c>
      <c r="F294" s="14">
        <f>SUMIFS(tblOrdenes[horas_efectivas],tblOrdenes[especialidad],$A294,tblOrdenes[semana],$B294,tblOrdenes[clasificacion],"correctiva")</f>
        <v/>
      </c>
      <c r="G294" s="14">
        <f>E294+F294</f>
        <v/>
      </c>
      <c r="H294" s="14">
        <f>D294-G294</f>
        <v/>
      </c>
      <c r="I294" s="15">
        <f>IF(D294=0,"",G294/D294)</f>
        <v/>
      </c>
    </row>
    <row r="295" hidden="1">
      <c r="A295" s="3" t="inlineStr">
        <is>
          <t>ELE</t>
        </is>
      </c>
      <c r="B295" s="3">
        <f>$O$62</f>
        <v/>
      </c>
      <c r="C295" s="14">
        <f>SUMIFS(tblAsignaciones[horas_disponibles],tblAsignaciones[especialidad],$A295,tblAsignaciones[semana],$B295)</f>
        <v/>
      </c>
      <c r="D295" s="14">
        <f>C295*p_factor_productividad</f>
        <v/>
      </c>
      <c r="E295" s="14">
        <f>SUMIFS(tblOrdenes[horas_efectivas],tblOrdenes[especialidad],$A295,tblOrdenes[semana],$B295,tblOrdenes[clasificacion],"preventiva")</f>
        <v/>
      </c>
      <c r="F295" s="14">
        <f>SUMIFS(tblOrdenes[horas_efectivas],tblOrdenes[especialidad],$A295,tblOrdenes[semana],$B295,tblOrdenes[clasificacion],"correctiva")</f>
        <v/>
      </c>
      <c r="G295" s="14">
        <f>E295+F295</f>
        <v/>
      </c>
      <c r="H295" s="14">
        <f>D295-G295</f>
        <v/>
      </c>
      <c r="I295" s="15">
        <f>IF(D295=0,"",G295/D295)</f>
        <v/>
      </c>
    </row>
    <row r="296" hidden="1">
      <c r="A296" s="3" t="inlineStr">
        <is>
          <t>AUT</t>
        </is>
      </c>
      <c r="B296" s="3">
        <f>$O$62</f>
        <v/>
      </c>
      <c r="C296" s="14">
        <f>SUMIFS(tblAsignaciones[horas_disponibles],tblAsignaciones[especialidad],$A296,tblAsignaciones[semana],$B296)</f>
        <v/>
      </c>
      <c r="D296" s="14">
        <f>C296*p_factor_productividad</f>
        <v/>
      </c>
      <c r="E296" s="14">
        <f>SUMIFS(tblOrdenes[horas_efectivas],tblOrdenes[especialidad],$A296,tblOrdenes[semana],$B296,tblOrdenes[clasificacion],"preventiva")</f>
        <v/>
      </c>
      <c r="F296" s="14">
        <f>SUMIFS(tblOrdenes[horas_efectivas],tblOrdenes[especialidad],$A296,tblOrdenes[semana],$B296,tblOrdenes[clasificacion],"correctiva")</f>
        <v/>
      </c>
      <c r="G296" s="14">
        <f>E296+F296</f>
        <v/>
      </c>
      <c r="H296" s="14">
        <f>D296-G296</f>
        <v/>
      </c>
      <c r="I296" s="15">
        <f>IF(D296=0,"",G296/D296)</f>
        <v/>
      </c>
    </row>
    <row r="297" hidden="1">
      <c r="A297" s="3" t="inlineStr">
        <is>
          <t>OP</t>
        </is>
      </c>
      <c r="B297" s="3">
        <f>$O$62</f>
        <v/>
      </c>
      <c r="C297" s="14">
        <f>SUMIFS(tblAsignaciones[horas_disponibles],tblAsignaciones[especialidad],$A297,tblAsignaciones[semana],$B297)</f>
        <v/>
      </c>
      <c r="D297" s="14">
        <f>C297*p_factor_productividad</f>
        <v/>
      </c>
      <c r="E297" s="14">
        <f>SUMIFS(tblOrdenes[horas_efectivas],tblOrdenes[especialidad],$A297,tblOrdenes[semana],$B297,tblOrdenes[clasificacion],"preventiva")</f>
        <v/>
      </c>
      <c r="F297" s="14">
        <f>SUMIFS(tblOrdenes[horas_efectivas],tblOrdenes[especialidad],$A297,tblOrdenes[semana],$B297,tblOrdenes[clasificacion],"correctiva")</f>
        <v/>
      </c>
      <c r="G297" s="14">
        <f>E297+F297</f>
        <v/>
      </c>
      <c r="H297" s="14">
        <f>D297-G297</f>
        <v/>
      </c>
      <c r="I297" s="15">
        <f>IF(D297=0,"",G297/D297)</f>
        <v/>
      </c>
    </row>
    <row r="298" hidden="1">
      <c r="A298" s="3" t="inlineStr">
        <is>
          <t>TERCERO</t>
        </is>
      </c>
      <c r="B298" s="3">
        <f>$O$62</f>
        <v/>
      </c>
      <c r="C298" s="14">
        <f>SUMIFS(tblAsignaciones[horas_disponibles],tblAsignaciones[especialidad],$A298,tblAsignaciones[semana],$B298)</f>
        <v/>
      </c>
      <c r="D298" s="14">
        <f>C298*p_factor_productividad</f>
        <v/>
      </c>
      <c r="E298" s="14">
        <f>SUMIFS(tblOrdenes[horas_efectivas],tblOrdenes[especialidad],$A298,tblOrdenes[semana],$B298,tblOrdenes[clasificacion],"preventiva")</f>
        <v/>
      </c>
      <c r="F298" s="14">
        <f>SUMIFS(tblOrdenes[horas_efectivas],tblOrdenes[especialidad],$A298,tblOrdenes[semana],$B298,tblOrdenes[clasificacion],"correctiva")</f>
        <v/>
      </c>
      <c r="G298" s="14">
        <f>E298+F298</f>
        <v/>
      </c>
      <c r="H298" s="14">
        <f>D298-G298</f>
        <v/>
      </c>
      <c r="I298" s="15">
        <f>IF(D298=0,"",G298/D298)</f>
        <v/>
      </c>
    </row>
    <row r="299" hidden="1">
      <c r="A299" s="3" t="inlineStr">
        <is>
          <t>MEC</t>
        </is>
      </c>
      <c r="B299" s="3">
        <f>$O$63</f>
        <v/>
      </c>
      <c r="C299" s="14">
        <f>SUMIFS(tblAsignaciones[horas_disponibles],tblAsignaciones[especialidad],$A299,tblAsignaciones[semana],$B299)</f>
        <v/>
      </c>
      <c r="D299" s="14">
        <f>C299*p_factor_productividad</f>
        <v/>
      </c>
      <c r="E299" s="14">
        <f>SUMIFS(tblOrdenes[horas_efectivas],tblOrdenes[especialidad],$A299,tblOrdenes[semana],$B299,tblOrdenes[clasificacion],"preventiva")</f>
        <v/>
      </c>
      <c r="F299" s="14">
        <f>SUMIFS(tblOrdenes[horas_efectivas],tblOrdenes[especialidad],$A299,tblOrdenes[semana],$B299,tblOrdenes[clasificacion],"correctiva")</f>
        <v/>
      </c>
      <c r="G299" s="14">
        <f>E299+F299</f>
        <v/>
      </c>
      <c r="H299" s="14">
        <f>D299-G299</f>
        <v/>
      </c>
      <c r="I299" s="15">
        <f>IF(D299=0,"",G299/D299)</f>
        <v/>
      </c>
    </row>
    <row r="300" hidden="1">
      <c r="A300" s="3" t="inlineStr">
        <is>
          <t>ELE</t>
        </is>
      </c>
      <c r="B300" s="3">
        <f>$O$63</f>
        <v/>
      </c>
      <c r="C300" s="14">
        <f>SUMIFS(tblAsignaciones[horas_disponibles],tblAsignaciones[especialidad],$A300,tblAsignaciones[semana],$B300)</f>
        <v/>
      </c>
      <c r="D300" s="14">
        <f>C300*p_factor_productividad</f>
        <v/>
      </c>
      <c r="E300" s="14">
        <f>SUMIFS(tblOrdenes[horas_efectivas],tblOrdenes[especialidad],$A300,tblOrdenes[semana],$B300,tblOrdenes[clasificacion],"preventiva")</f>
        <v/>
      </c>
      <c r="F300" s="14">
        <f>SUMIFS(tblOrdenes[horas_efectivas],tblOrdenes[especialidad],$A300,tblOrdenes[semana],$B300,tblOrdenes[clasificacion],"correctiva")</f>
        <v/>
      </c>
      <c r="G300" s="14">
        <f>E300+F300</f>
        <v/>
      </c>
      <c r="H300" s="14">
        <f>D300-G300</f>
        <v/>
      </c>
      <c r="I300" s="15">
        <f>IF(D300=0,"",G300/D300)</f>
        <v/>
      </c>
    </row>
    <row r="301" hidden="1">
      <c r="A301" s="3" t="inlineStr">
        <is>
          <t>AUT</t>
        </is>
      </c>
      <c r="B301" s="3">
        <f>$O$63</f>
        <v/>
      </c>
      <c r="C301" s="14">
        <f>SUMIFS(tblAsignaciones[horas_disponibles],tblAsignaciones[especialidad],$A301,tblAsignaciones[semana],$B301)</f>
        <v/>
      </c>
      <c r="D301" s="14">
        <f>C301*p_factor_productividad</f>
        <v/>
      </c>
      <c r="E301" s="14">
        <f>SUMIFS(tblOrdenes[horas_efectivas],tblOrdenes[especialidad],$A301,tblOrdenes[semana],$B301,tblOrdenes[clasificacion],"preventiva")</f>
        <v/>
      </c>
      <c r="F301" s="14">
        <f>SUMIFS(tblOrdenes[horas_efectivas],tblOrdenes[especialidad],$A301,tblOrdenes[semana],$B301,tblOrdenes[clasificacion],"correctiva")</f>
        <v/>
      </c>
      <c r="G301" s="14">
        <f>E301+F301</f>
        <v/>
      </c>
      <c r="H301" s="14">
        <f>D301-G301</f>
        <v/>
      </c>
      <c r="I301" s="15">
        <f>IF(D301=0,"",G301/D301)</f>
        <v/>
      </c>
    </row>
    <row r="302" hidden="1">
      <c r="A302" s="3" t="inlineStr">
        <is>
          <t>OP</t>
        </is>
      </c>
      <c r="B302" s="3">
        <f>$O$63</f>
        <v/>
      </c>
      <c r="C302" s="14">
        <f>SUMIFS(tblAsignaciones[horas_disponibles],tblAsignaciones[especialidad],$A302,tblAsignaciones[semana],$B302)</f>
        <v/>
      </c>
      <c r="D302" s="14">
        <f>C302*p_factor_productividad</f>
        <v/>
      </c>
      <c r="E302" s="14">
        <f>SUMIFS(tblOrdenes[horas_efectivas],tblOrdenes[especialidad],$A302,tblOrdenes[semana],$B302,tblOrdenes[clasificacion],"preventiva")</f>
        <v/>
      </c>
      <c r="F302" s="14">
        <f>SUMIFS(tblOrdenes[horas_efectivas],tblOrdenes[especialidad],$A302,tblOrdenes[semana],$B302,tblOrdenes[clasificacion],"correctiva")</f>
        <v/>
      </c>
      <c r="G302" s="14">
        <f>E302+F302</f>
        <v/>
      </c>
      <c r="H302" s="14">
        <f>D302-G302</f>
        <v/>
      </c>
      <c r="I302" s="15">
        <f>IF(D302=0,"",G302/D302)</f>
        <v/>
      </c>
    </row>
    <row r="303" hidden="1">
      <c r="A303" s="3" t="inlineStr">
        <is>
          <t>TERCERO</t>
        </is>
      </c>
      <c r="B303" s="3">
        <f>$O$63</f>
        <v/>
      </c>
      <c r="C303" s="14">
        <f>SUMIFS(tblAsignaciones[horas_disponibles],tblAsignaciones[especialidad],$A303,tblAsignaciones[semana],$B303)</f>
        <v/>
      </c>
      <c r="D303" s="14">
        <f>C303*p_factor_productividad</f>
        <v/>
      </c>
      <c r="E303" s="14">
        <f>SUMIFS(tblOrdenes[horas_efectivas],tblOrdenes[especialidad],$A303,tblOrdenes[semana],$B303,tblOrdenes[clasificacion],"preventiva")</f>
        <v/>
      </c>
      <c r="F303" s="14">
        <f>SUMIFS(tblOrdenes[horas_efectivas],tblOrdenes[especialidad],$A303,tblOrdenes[semana],$B303,tblOrdenes[clasificacion],"correctiva")</f>
        <v/>
      </c>
      <c r="G303" s="14">
        <f>E303+F303</f>
        <v/>
      </c>
      <c r="H303" s="14">
        <f>D303-G303</f>
        <v/>
      </c>
      <c r="I303" s="15">
        <f>IF(D303=0,"",G303/D303)</f>
        <v/>
      </c>
    </row>
    <row r="305">
      <c r="A305" s="4" t="inlineStr">
        <is>
          <t>MATRIZ % CARGA — semana × especialidad. Semáforo: verde &lt; 85 %, amarillo 85–100 %, rojo &gt; 100 %. Semanas sin datos ocultas.</t>
        </is>
      </c>
    </row>
    <row r="306">
      <c r="A306" s="5" t="inlineStr">
        <is>
          <t>semana</t>
        </is>
      </c>
      <c r="B306" s="5" t="inlineStr">
        <is>
          <t>MEC</t>
        </is>
      </c>
      <c r="C306" s="5" t="inlineStr">
        <is>
          <t>ELE</t>
        </is>
      </c>
      <c r="D306" s="5" t="inlineStr">
        <is>
          <t>AUT</t>
        </is>
      </c>
      <c r="E306" s="5" t="inlineStr">
        <is>
          <t>OP</t>
        </is>
      </c>
      <c r="F306" s="5" t="inlineStr">
        <is>
          <t>TERCERO</t>
        </is>
      </c>
    </row>
    <row r="307">
      <c r="A307" s="3">
        <f>$O$4</f>
        <v/>
      </c>
      <c r="B307" s="15">
        <f>$I$4</f>
        <v/>
      </c>
      <c r="C307" s="15">
        <f>$I$5</f>
        <v/>
      </c>
      <c r="D307" s="15">
        <f>$I$6</f>
        <v/>
      </c>
      <c r="E307" s="15">
        <f>$I$7</f>
        <v/>
      </c>
      <c r="F307" s="15">
        <f>$I$8</f>
        <v/>
      </c>
    </row>
    <row r="308" hidden="1">
      <c r="A308" s="3">
        <f>$O$5</f>
        <v/>
      </c>
      <c r="B308" s="15">
        <f>$I$9</f>
        <v/>
      </c>
      <c r="C308" s="15">
        <f>$I$10</f>
        <v/>
      </c>
      <c r="D308" s="15">
        <f>$I$11</f>
        <v/>
      </c>
      <c r="E308" s="15">
        <f>$I$12</f>
        <v/>
      </c>
      <c r="F308" s="15">
        <f>$I$13</f>
        <v/>
      </c>
    </row>
    <row r="309">
      <c r="A309" s="3">
        <f>$O$6</f>
        <v/>
      </c>
      <c r="B309" s="15">
        <f>$I$14</f>
        <v/>
      </c>
      <c r="C309" s="15">
        <f>$I$15</f>
        <v/>
      </c>
      <c r="D309" s="15">
        <f>$I$16</f>
        <v/>
      </c>
      <c r="E309" s="15">
        <f>$I$17</f>
        <v/>
      </c>
      <c r="F309" s="15">
        <f>$I$18</f>
        <v/>
      </c>
    </row>
    <row r="310">
      <c r="A310" s="3">
        <f>$O$7</f>
        <v/>
      </c>
      <c r="B310" s="15">
        <f>$I$19</f>
        <v/>
      </c>
      <c r="C310" s="15">
        <f>$I$20</f>
        <v/>
      </c>
      <c r="D310" s="15">
        <f>$I$21</f>
        <v/>
      </c>
      <c r="E310" s="15">
        <f>$I$22</f>
        <v/>
      </c>
      <c r="F310" s="15">
        <f>$I$23</f>
        <v/>
      </c>
    </row>
    <row r="311">
      <c r="A311" s="3">
        <f>$O$8</f>
        <v/>
      </c>
      <c r="B311" s="15">
        <f>$I$24</f>
        <v/>
      </c>
      <c r="C311" s="15">
        <f>$I$25</f>
        <v/>
      </c>
      <c r="D311" s="15">
        <f>$I$26</f>
        <v/>
      </c>
      <c r="E311" s="15">
        <f>$I$27</f>
        <v/>
      </c>
      <c r="F311" s="15">
        <f>$I$28</f>
        <v/>
      </c>
    </row>
    <row r="312">
      <c r="A312" s="3">
        <f>$O$9</f>
        <v/>
      </c>
      <c r="B312" s="15">
        <f>$I$29</f>
        <v/>
      </c>
      <c r="C312" s="15">
        <f>$I$30</f>
        <v/>
      </c>
      <c r="D312" s="15">
        <f>$I$31</f>
        <v/>
      </c>
      <c r="E312" s="15">
        <f>$I$32</f>
        <v/>
      </c>
      <c r="F312" s="15">
        <f>$I$33</f>
        <v/>
      </c>
    </row>
    <row r="313">
      <c r="A313" s="3">
        <f>$O$10</f>
        <v/>
      </c>
      <c r="B313" s="15">
        <f>$I$34</f>
        <v/>
      </c>
      <c r="C313" s="15">
        <f>$I$35</f>
        <v/>
      </c>
      <c r="D313" s="15">
        <f>$I$36</f>
        <v/>
      </c>
      <c r="E313" s="15">
        <f>$I$37</f>
        <v/>
      </c>
      <c r="F313" s="15">
        <f>$I$38</f>
        <v/>
      </c>
    </row>
    <row r="314">
      <c r="A314" s="3">
        <f>$O$11</f>
        <v/>
      </c>
      <c r="B314" s="15">
        <f>$I$39</f>
        <v/>
      </c>
      <c r="C314" s="15">
        <f>$I$40</f>
        <v/>
      </c>
      <c r="D314" s="15">
        <f>$I$41</f>
        <v/>
      </c>
      <c r="E314" s="15">
        <f>$I$42</f>
        <v/>
      </c>
      <c r="F314" s="15">
        <f>$I$43</f>
        <v/>
      </c>
    </row>
    <row r="315">
      <c r="A315" s="3">
        <f>$O$12</f>
        <v/>
      </c>
      <c r="B315" s="15">
        <f>$I$44</f>
        <v/>
      </c>
      <c r="C315" s="15">
        <f>$I$45</f>
        <v/>
      </c>
      <c r="D315" s="15">
        <f>$I$46</f>
        <v/>
      </c>
      <c r="E315" s="15">
        <f>$I$47</f>
        <v/>
      </c>
      <c r="F315" s="15">
        <f>$I$48</f>
        <v/>
      </c>
    </row>
    <row r="316">
      <c r="A316" s="3">
        <f>$O$13</f>
        <v/>
      </c>
      <c r="B316" s="15">
        <f>$I$49</f>
        <v/>
      </c>
      <c r="C316" s="15">
        <f>$I$50</f>
        <v/>
      </c>
      <c r="D316" s="15">
        <f>$I$51</f>
        <v/>
      </c>
      <c r="E316" s="15">
        <f>$I$52</f>
        <v/>
      </c>
      <c r="F316" s="15">
        <f>$I$53</f>
        <v/>
      </c>
    </row>
    <row r="317">
      <c r="A317" s="3">
        <f>$O$14</f>
        <v/>
      </c>
      <c r="B317" s="15">
        <f>$I$54</f>
        <v/>
      </c>
      <c r="C317" s="15">
        <f>$I$55</f>
        <v/>
      </c>
      <c r="D317" s="15">
        <f>$I$56</f>
        <v/>
      </c>
      <c r="E317" s="15">
        <f>$I$57</f>
        <v/>
      </c>
      <c r="F317" s="15">
        <f>$I$58</f>
        <v/>
      </c>
    </row>
    <row r="318">
      <c r="A318" s="3">
        <f>$O$15</f>
        <v/>
      </c>
      <c r="B318" s="15">
        <f>$I$59</f>
        <v/>
      </c>
      <c r="C318" s="15">
        <f>$I$60</f>
        <v/>
      </c>
      <c r="D318" s="15">
        <f>$I$61</f>
        <v/>
      </c>
      <c r="E318" s="15">
        <f>$I$62</f>
        <v/>
      </c>
      <c r="F318" s="15">
        <f>$I$63</f>
        <v/>
      </c>
    </row>
    <row r="319">
      <c r="A319" s="3">
        <f>$O$16</f>
        <v/>
      </c>
      <c r="B319" s="15">
        <f>$I$64</f>
        <v/>
      </c>
      <c r="C319" s="15">
        <f>$I$65</f>
        <v/>
      </c>
      <c r="D319" s="15">
        <f>$I$66</f>
        <v/>
      </c>
      <c r="E319" s="15">
        <f>$I$67</f>
        <v/>
      </c>
      <c r="F319" s="15">
        <f>$I$68</f>
        <v/>
      </c>
    </row>
    <row r="320">
      <c r="A320" s="3">
        <f>$O$17</f>
        <v/>
      </c>
      <c r="B320" s="15">
        <f>$I$69</f>
        <v/>
      </c>
      <c r="C320" s="15">
        <f>$I$70</f>
        <v/>
      </c>
      <c r="D320" s="15">
        <f>$I$71</f>
        <v/>
      </c>
      <c r="E320" s="15">
        <f>$I$72</f>
        <v/>
      </c>
      <c r="F320" s="15">
        <f>$I$73</f>
        <v/>
      </c>
    </row>
    <row r="321">
      <c r="A321" s="3">
        <f>$O$18</f>
        <v/>
      </c>
      <c r="B321" s="15">
        <f>$I$74</f>
        <v/>
      </c>
      <c r="C321" s="15">
        <f>$I$75</f>
        <v/>
      </c>
      <c r="D321" s="15">
        <f>$I$76</f>
        <v/>
      </c>
      <c r="E321" s="15">
        <f>$I$77</f>
        <v/>
      </c>
      <c r="F321" s="15">
        <f>$I$78</f>
        <v/>
      </c>
    </row>
    <row r="322">
      <c r="A322" s="3">
        <f>$O$19</f>
        <v/>
      </c>
      <c r="B322" s="15">
        <f>$I$79</f>
        <v/>
      </c>
      <c r="C322" s="15">
        <f>$I$80</f>
        <v/>
      </c>
      <c r="D322" s="15">
        <f>$I$81</f>
        <v/>
      </c>
      <c r="E322" s="15">
        <f>$I$82</f>
        <v/>
      </c>
      <c r="F322" s="15">
        <f>$I$83</f>
        <v/>
      </c>
    </row>
    <row r="323">
      <c r="A323" s="3">
        <f>$O$20</f>
        <v/>
      </c>
      <c r="B323" s="15">
        <f>$I$84</f>
        <v/>
      </c>
      <c r="C323" s="15">
        <f>$I$85</f>
        <v/>
      </c>
      <c r="D323" s="15">
        <f>$I$86</f>
        <v/>
      </c>
      <c r="E323" s="15">
        <f>$I$87</f>
        <v/>
      </c>
      <c r="F323" s="15">
        <f>$I$88</f>
        <v/>
      </c>
    </row>
    <row r="324">
      <c r="A324" s="3">
        <f>$O$21</f>
        <v/>
      </c>
      <c r="B324" s="15">
        <f>$I$89</f>
        <v/>
      </c>
      <c r="C324" s="15">
        <f>$I$90</f>
        <v/>
      </c>
      <c r="D324" s="15">
        <f>$I$91</f>
        <v/>
      </c>
      <c r="E324" s="15">
        <f>$I$92</f>
        <v/>
      </c>
      <c r="F324" s="15">
        <f>$I$93</f>
        <v/>
      </c>
    </row>
    <row r="325" hidden="1">
      <c r="A325" s="3">
        <f>$O$22</f>
        <v/>
      </c>
      <c r="B325" s="15">
        <f>$I$94</f>
        <v/>
      </c>
      <c r="C325" s="15">
        <f>$I$95</f>
        <v/>
      </c>
      <c r="D325" s="15">
        <f>$I$96</f>
        <v/>
      </c>
      <c r="E325" s="15">
        <f>$I$97</f>
        <v/>
      </c>
      <c r="F325" s="15">
        <f>$I$98</f>
        <v/>
      </c>
    </row>
    <row r="326" hidden="1">
      <c r="A326" s="3">
        <f>$O$23</f>
        <v/>
      </c>
      <c r="B326" s="15">
        <f>$I$99</f>
        <v/>
      </c>
      <c r="C326" s="15">
        <f>$I$100</f>
        <v/>
      </c>
      <c r="D326" s="15">
        <f>$I$101</f>
        <v/>
      </c>
      <c r="E326" s="15">
        <f>$I$102</f>
        <v/>
      </c>
      <c r="F326" s="15">
        <f>$I$103</f>
        <v/>
      </c>
    </row>
    <row r="327" hidden="1">
      <c r="A327" s="3">
        <f>$O$24</f>
        <v/>
      </c>
      <c r="B327" s="15">
        <f>$I$104</f>
        <v/>
      </c>
      <c r="C327" s="15">
        <f>$I$105</f>
        <v/>
      </c>
      <c r="D327" s="15">
        <f>$I$106</f>
        <v/>
      </c>
      <c r="E327" s="15">
        <f>$I$107</f>
        <v/>
      </c>
      <c r="F327" s="15">
        <f>$I$108</f>
        <v/>
      </c>
    </row>
    <row r="328">
      <c r="A328" s="3">
        <f>$O$25</f>
        <v/>
      </c>
      <c r="B328" s="15">
        <f>$I$109</f>
        <v/>
      </c>
      <c r="C328" s="15">
        <f>$I$110</f>
        <v/>
      </c>
      <c r="D328" s="15">
        <f>$I$111</f>
        <v/>
      </c>
      <c r="E328" s="15">
        <f>$I$112</f>
        <v/>
      </c>
      <c r="F328" s="15">
        <f>$I$113</f>
        <v/>
      </c>
    </row>
    <row r="329">
      <c r="A329" s="3">
        <f>$O$26</f>
        <v/>
      </c>
      <c r="B329" s="15">
        <f>$I$114</f>
        <v/>
      </c>
      <c r="C329" s="15">
        <f>$I$115</f>
        <v/>
      </c>
      <c r="D329" s="15">
        <f>$I$116</f>
        <v/>
      </c>
      <c r="E329" s="15">
        <f>$I$117</f>
        <v/>
      </c>
      <c r="F329" s="15">
        <f>$I$118</f>
        <v/>
      </c>
    </row>
    <row r="330">
      <c r="A330" s="3">
        <f>$O$27</f>
        <v/>
      </c>
      <c r="B330" s="15">
        <f>$I$119</f>
        <v/>
      </c>
      <c r="C330" s="15">
        <f>$I$120</f>
        <v/>
      </c>
      <c r="D330" s="15">
        <f>$I$121</f>
        <v/>
      </c>
      <c r="E330" s="15">
        <f>$I$122</f>
        <v/>
      </c>
      <c r="F330" s="15">
        <f>$I$123</f>
        <v/>
      </c>
    </row>
    <row r="331">
      <c r="A331" s="3">
        <f>$O$28</f>
        <v/>
      </c>
      <c r="B331" s="15">
        <f>$I$124</f>
        <v/>
      </c>
      <c r="C331" s="15">
        <f>$I$125</f>
        <v/>
      </c>
      <c r="D331" s="15">
        <f>$I$126</f>
        <v/>
      </c>
      <c r="E331" s="15">
        <f>$I$127</f>
        <v/>
      </c>
      <c r="F331" s="15">
        <f>$I$128</f>
        <v/>
      </c>
    </row>
    <row r="332" hidden="1">
      <c r="A332" s="3">
        <f>$O$29</f>
        <v/>
      </c>
      <c r="B332" s="15">
        <f>$I$129</f>
        <v/>
      </c>
      <c r="C332" s="15">
        <f>$I$130</f>
        <v/>
      </c>
      <c r="D332" s="15">
        <f>$I$131</f>
        <v/>
      </c>
      <c r="E332" s="15">
        <f>$I$132</f>
        <v/>
      </c>
      <c r="F332" s="15">
        <f>$I$133</f>
        <v/>
      </c>
    </row>
    <row r="333" hidden="1">
      <c r="A333" s="3">
        <f>$O$30</f>
        <v/>
      </c>
      <c r="B333" s="15">
        <f>$I$134</f>
        <v/>
      </c>
      <c r="C333" s="15">
        <f>$I$135</f>
        <v/>
      </c>
      <c r="D333" s="15">
        <f>$I$136</f>
        <v/>
      </c>
      <c r="E333" s="15">
        <f>$I$137</f>
        <v/>
      </c>
      <c r="F333" s="15">
        <f>$I$138</f>
        <v/>
      </c>
    </row>
    <row r="334">
      <c r="A334" s="3">
        <f>$O$31</f>
        <v/>
      </c>
      <c r="B334" s="15">
        <f>$I$139</f>
        <v/>
      </c>
      <c r="C334" s="15">
        <f>$I$140</f>
        <v/>
      </c>
      <c r="D334" s="15">
        <f>$I$141</f>
        <v/>
      </c>
      <c r="E334" s="15">
        <f>$I$142</f>
        <v/>
      </c>
      <c r="F334" s="15">
        <f>$I$143</f>
        <v/>
      </c>
    </row>
    <row r="335" hidden="1">
      <c r="A335" s="3">
        <f>$O$32</f>
        <v/>
      </c>
      <c r="B335" s="15">
        <f>$I$144</f>
        <v/>
      </c>
      <c r="C335" s="15">
        <f>$I$145</f>
        <v/>
      </c>
      <c r="D335" s="15">
        <f>$I$146</f>
        <v/>
      </c>
      <c r="E335" s="15">
        <f>$I$147</f>
        <v/>
      </c>
      <c r="F335" s="15">
        <f>$I$148</f>
        <v/>
      </c>
    </row>
    <row r="336" hidden="1">
      <c r="A336" s="3">
        <f>$O$33</f>
        <v/>
      </c>
      <c r="B336" s="15">
        <f>$I$149</f>
        <v/>
      </c>
      <c r="C336" s="15">
        <f>$I$150</f>
        <v/>
      </c>
      <c r="D336" s="15">
        <f>$I$151</f>
        <v/>
      </c>
      <c r="E336" s="15">
        <f>$I$152</f>
        <v/>
      </c>
      <c r="F336" s="15">
        <f>$I$153</f>
        <v/>
      </c>
    </row>
    <row r="337" hidden="1">
      <c r="A337" s="3">
        <f>$O$34</f>
        <v/>
      </c>
      <c r="B337" s="15">
        <f>$I$154</f>
        <v/>
      </c>
      <c r="C337" s="15">
        <f>$I$155</f>
        <v/>
      </c>
      <c r="D337" s="15">
        <f>$I$156</f>
        <v/>
      </c>
      <c r="E337" s="15">
        <f>$I$157</f>
        <v/>
      </c>
      <c r="F337" s="15">
        <f>$I$158</f>
        <v/>
      </c>
    </row>
    <row r="338" hidden="1">
      <c r="A338" s="3">
        <f>$O$35</f>
        <v/>
      </c>
      <c r="B338" s="15">
        <f>$I$159</f>
        <v/>
      </c>
      <c r="C338" s="15">
        <f>$I$160</f>
        <v/>
      </c>
      <c r="D338" s="15">
        <f>$I$161</f>
        <v/>
      </c>
      <c r="E338" s="15">
        <f>$I$162</f>
        <v/>
      </c>
      <c r="F338" s="15">
        <f>$I$163</f>
        <v/>
      </c>
    </row>
    <row r="339" hidden="1">
      <c r="A339" s="3">
        <f>$O$36</f>
        <v/>
      </c>
      <c r="B339" s="15">
        <f>$I$164</f>
        <v/>
      </c>
      <c r="C339" s="15">
        <f>$I$165</f>
        <v/>
      </c>
      <c r="D339" s="15">
        <f>$I$166</f>
        <v/>
      </c>
      <c r="E339" s="15">
        <f>$I$167</f>
        <v/>
      </c>
      <c r="F339" s="15">
        <f>$I$168</f>
        <v/>
      </c>
    </row>
    <row r="340" hidden="1">
      <c r="A340" s="3">
        <f>$O$37</f>
        <v/>
      </c>
      <c r="B340" s="15">
        <f>$I$169</f>
        <v/>
      </c>
      <c r="C340" s="15">
        <f>$I$170</f>
        <v/>
      </c>
      <c r="D340" s="15">
        <f>$I$171</f>
        <v/>
      </c>
      <c r="E340" s="15">
        <f>$I$172</f>
        <v/>
      </c>
      <c r="F340" s="15">
        <f>$I$173</f>
        <v/>
      </c>
    </row>
    <row r="341" hidden="1">
      <c r="A341" s="3">
        <f>$O$38</f>
        <v/>
      </c>
      <c r="B341" s="15">
        <f>$I$174</f>
        <v/>
      </c>
      <c r="C341" s="15">
        <f>$I$175</f>
        <v/>
      </c>
      <c r="D341" s="15">
        <f>$I$176</f>
        <v/>
      </c>
      <c r="E341" s="15">
        <f>$I$177</f>
        <v/>
      </c>
      <c r="F341" s="15">
        <f>$I$178</f>
        <v/>
      </c>
    </row>
    <row r="342" hidden="1">
      <c r="A342" s="3">
        <f>$O$39</f>
        <v/>
      </c>
      <c r="B342" s="15">
        <f>$I$179</f>
        <v/>
      </c>
      <c r="C342" s="15">
        <f>$I$180</f>
        <v/>
      </c>
      <c r="D342" s="15">
        <f>$I$181</f>
        <v/>
      </c>
      <c r="E342" s="15">
        <f>$I$182</f>
        <v/>
      </c>
      <c r="F342" s="15">
        <f>$I$183</f>
        <v/>
      </c>
    </row>
    <row r="343">
      <c r="A343" s="3">
        <f>$O$40</f>
        <v/>
      </c>
      <c r="B343" s="15">
        <f>$I$184</f>
        <v/>
      </c>
      <c r="C343" s="15">
        <f>$I$185</f>
        <v/>
      </c>
      <c r="D343" s="15">
        <f>$I$186</f>
        <v/>
      </c>
      <c r="E343" s="15">
        <f>$I$187</f>
        <v/>
      </c>
      <c r="F343" s="15">
        <f>$I$188</f>
        <v/>
      </c>
    </row>
    <row r="344" hidden="1">
      <c r="A344" s="3">
        <f>$O$41</f>
        <v/>
      </c>
      <c r="B344" s="15">
        <f>$I$189</f>
        <v/>
      </c>
      <c r="C344" s="15">
        <f>$I$190</f>
        <v/>
      </c>
      <c r="D344" s="15">
        <f>$I$191</f>
        <v/>
      </c>
      <c r="E344" s="15">
        <f>$I$192</f>
        <v/>
      </c>
      <c r="F344" s="15">
        <f>$I$193</f>
        <v/>
      </c>
    </row>
    <row r="345" hidden="1">
      <c r="A345" s="3">
        <f>$O$42</f>
        <v/>
      </c>
      <c r="B345" s="15">
        <f>$I$194</f>
        <v/>
      </c>
      <c r="C345" s="15">
        <f>$I$195</f>
        <v/>
      </c>
      <c r="D345" s="15">
        <f>$I$196</f>
        <v/>
      </c>
      <c r="E345" s="15">
        <f>$I$197</f>
        <v/>
      </c>
      <c r="F345" s="15">
        <f>$I$198</f>
        <v/>
      </c>
    </row>
    <row r="346" hidden="1">
      <c r="A346" s="3">
        <f>$O$43</f>
        <v/>
      </c>
      <c r="B346" s="15">
        <f>$I$199</f>
        <v/>
      </c>
      <c r="C346" s="15">
        <f>$I$200</f>
        <v/>
      </c>
      <c r="D346" s="15">
        <f>$I$201</f>
        <v/>
      </c>
      <c r="E346" s="15">
        <f>$I$202</f>
        <v/>
      </c>
      <c r="F346" s="15">
        <f>$I$203</f>
        <v/>
      </c>
    </row>
    <row r="347" hidden="1">
      <c r="A347" s="3">
        <f>$O$44</f>
        <v/>
      </c>
      <c r="B347" s="15">
        <f>$I$204</f>
        <v/>
      </c>
      <c r="C347" s="15">
        <f>$I$205</f>
        <v/>
      </c>
      <c r="D347" s="15">
        <f>$I$206</f>
        <v/>
      </c>
      <c r="E347" s="15">
        <f>$I$207</f>
        <v/>
      </c>
      <c r="F347" s="15">
        <f>$I$208</f>
        <v/>
      </c>
    </row>
    <row r="348" hidden="1">
      <c r="A348" s="3">
        <f>$O$45</f>
        <v/>
      </c>
      <c r="B348" s="15">
        <f>$I$209</f>
        <v/>
      </c>
      <c r="C348" s="15">
        <f>$I$210</f>
        <v/>
      </c>
      <c r="D348" s="15">
        <f>$I$211</f>
        <v/>
      </c>
      <c r="E348" s="15">
        <f>$I$212</f>
        <v/>
      </c>
      <c r="F348" s="15">
        <f>$I$213</f>
        <v/>
      </c>
    </row>
    <row r="349" hidden="1">
      <c r="A349" s="3">
        <f>$O$46</f>
        <v/>
      </c>
      <c r="B349" s="15">
        <f>$I$214</f>
        <v/>
      </c>
      <c r="C349" s="15">
        <f>$I$215</f>
        <v/>
      </c>
      <c r="D349" s="15">
        <f>$I$216</f>
        <v/>
      </c>
      <c r="E349" s="15">
        <f>$I$217</f>
        <v/>
      </c>
      <c r="F349" s="15">
        <f>$I$218</f>
        <v/>
      </c>
    </row>
    <row r="350" hidden="1">
      <c r="A350" s="3">
        <f>$O$47</f>
        <v/>
      </c>
      <c r="B350" s="15">
        <f>$I$219</f>
        <v/>
      </c>
      <c r="C350" s="15">
        <f>$I$220</f>
        <v/>
      </c>
      <c r="D350" s="15">
        <f>$I$221</f>
        <v/>
      </c>
      <c r="E350" s="15">
        <f>$I$222</f>
        <v/>
      </c>
      <c r="F350" s="15">
        <f>$I$223</f>
        <v/>
      </c>
    </row>
    <row r="351" hidden="1">
      <c r="A351" s="3">
        <f>$O$48</f>
        <v/>
      </c>
      <c r="B351" s="15">
        <f>$I$224</f>
        <v/>
      </c>
      <c r="C351" s="15">
        <f>$I$225</f>
        <v/>
      </c>
      <c r="D351" s="15">
        <f>$I$226</f>
        <v/>
      </c>
      <c r="E351" s="15">
        <f>$I$227</f>
        <v/>
      </c>
      <c r="F351" s="15">
        <f>$I$228</f>
        <v/>
      </c>
    </row>
    <row r="352">
      <c r="A352" s="3">
        <f>$O$49</f>
        <v/>
      </c>
      <c r="B352" s="15">
        <f>$I$229</f>
        <v/>
      </c>
      <c r="C352" s="15">
        <f>$I$230</f>
        <v/>
      </c>
      <c r="D352" s="15">
        <f>$I$231</f>
        <v/>
      </c>
      <c r="E352" s="15">
        <f>$I$232</f>
        <v/>
      </c>
      <c r="F352" s="15">
        <f>$I$233</f>
        <v/>
      </c>
    </row>
    <row r="353">
      <c r="A353" s="3">
        <f>$O$50</f>
        <v/>
      </c>
      <c r="B353" s="15">
        <f>$I$234</f>
        <v/>
      </c>
      <c r="C353" s="15">
        <f>$I$235</f>
        <v/>
      </c>
      <c r="D353" s="15">
        <f>$I$236</f>
        <v/>
      </c>
      <c r="E353" s="15">
        <f>$I$237</f>
        <v/>
      </c>
      <c r="F353" s="15">
        <f>$I$238</f>
        <v/>
      </c>
    </row>
    <row r="354" hidden="1">
      <c r="A354" s="3">
        <f>$O$51</f>
        <v/>
      </c>
      <c r="B354" s="15">
        <f>$I$239</f>
        <v/>
      </c>
      <c r="C354" s="15">
        <f>$I$240</f>
        <v/>
      </c>
      <c r="D354" s="15">
        <f>$I$241</f>
        <v/>
      </c>
      <c r="E354" s="15">
        <f>$I$242</f>
        <v/>
      </c>
      <c r="F354" s="15">
        <f>$I$243</f>
        <v/>
      </c>
    </row>
    <row r="355" hidden="1">
      <c r="A355" s="3">
        <f>$O$52</f>
        <v/>
      </c>
      <c r="B355" s="15">
        <f>$I$244</f>
        <v/>
      </c>
      <c r="C355" s="15">
        <f>$I$245</f>
        <v/>
      </c>
      <c r="D355" s="15">
        <f>$I$246</f>
        <v/>
      </c>
      <c r="E355" s="15">
        <f>$I$247</f>
        <v/>
      </c>
      <c r="F355" s="15">
        <f>$I$248</f>
        <v/>
      </c>
    </row>
    <row r="356" hidden="1">
      <c r="A356" s="3">
        <f>$O$53</f>
        <v/>
      </c>
      <c r="B356" s="15">
        <f>$I$249</f>
        <v/>
      </c>
      <c r="C356" s="15">
        <f>$I$250</f>
        <v/>
      </c>
      <c r="D356" s="15">
        <f>$I$251</f>
        <v/>
      </c>
      <c r="E356" s="15">
        <f>$I$252</f>
        <v/>
      </c>
      <c r="F356" s="15">
        <f>$I$253</f>
        <v/>
      </c>
    </row>
    <row r="357" hidden="1">
      <c r="A357" s="3">
        <f>$O$54</f>
        <v/>
      </c>
      <c r="B357" s="15">
        <f>$I$254</f>
        <v/>
      </c>
      <c r="C357" s="15">
        <f>$I$255</f>
        <v/>
      </c>
      <c r="D357" s="15">
        <f>$I$256</f>
        <v/>
      </c>
      <c r="E357" s="15">
        <f>$I$257</f>
        <v/>
      </c>
      <c r="F357" s="15">
        <f>$I$258</f>
        <v/>
      </c>
    </row>
    <row r="358" hidden="1">
      <c r="A358" s="3">
        <f>$O$55</f>
        <v/>
      </c>
      <c r="B358" s="15">
        <f>$I$259</f>
        <v/>
      </c>
      <c r="C358" s="15">
        <f>$I$260</f>
        <v/>
      </c>
      <c r="D358" s="15">
        <f>$I$261</f>
        <v/>
      </c>
      <c r="E358" s="15">
        <f>$I$262</f>
        <v/>
      </c>
      <c r="F358" s="15">
        <f>$I$263</f>
        <v/>
      </c>
    </row>
    <row r="359" hidden="1">
      <c r="A359" s="3">
        <f>$O$56</f>
        <v/>
      </c>
      <c r="B359" s="15">
        <f>$I$264</f>
        <v/>
      </c>
      <c r="C359" s="15">
        <f>$I$265</f>
        <v/>
      </c>
      <c r="D359" s="15">
        <f>$I$266</f>
        <v/>
      </c>
      <c r="E359" s="15">
        <f>$I$267</f>
        <v/>
      </c>
      <c r="F359" s="15">
        <f>$I$268</f>
        <v/>
      </c>
    </row>
    <row r="360" hidden="1">
      <c r="A360" s="3">
        <f>$O$57</f>
        <v/>
      </c>
      <c r="B360" s="15">
        <f>$I$269</f>
        <v/>
      </c>
      <c r="C360" s="15">
        <f>$I$270</f>
        <v/>
      </c>
      <c r="D360" s="15">
        <f>$I$271</f>
        <v/>
      </c>
      <c r="E360" s="15">
        <f>$I$272</f>
        <v/>
      </c>
      <c r="F360" s="15">
        <f>$I$273</f>
        <v/>
      </c>
    </row>
    <row r="361" hidden="1">
      <c r="A361" s="3">
        <f>$O$58</f>
        <v/>
      </c>
      <c r="B361" s="15">
        <f>$I$274</f>
        <v/>
      </c>
      <c r="C361" s="15">
        <f>$I$275</f>
        <v/>
      </c>
      <c r="D361" s="15">
        <f>$I$276</f>
        <v/>
      </c>
      <c r="E361" s="15">
        <f>$I$277</f>
        <v/>
      </c>
      <c r="F361" s="15">
        <f>$I$278</f>
        <v/>
      </c>
    </row>
    <row r="362" hidden="1">
      <c r="A362" s="3">
        <f>$O$59</f>
        <v/>
      </c>
      <c r="B362" s="15">
        <f>$I$279</f>
        <v/>
      </c>
      <c r="C362" s="15">
        <f>$I$280</f>
        <v/>
      </c>
      <c r="D362" s="15">
        <f>$I$281</f>
        <v/>
      </c>
      <c r="E362" s="15">
        <f>$I$282</f>
        <v/>
      </c>
      <c r="F362" s="15">
        <f>$I$283</f>
        <v/>
      </c>
    </row>
    <row r="363" hidden="1">
      <c r="A363" s="3">
        <f>$O$60</f>
        <v/>
      </c>
      <c r="B363" s="15">
        <f>$I$284</f>
        <v/>
      </c>
      <c r="C363" s="15">
        <f>$I$285</f>
        <v/>
      </c>
      <c r="D363" s="15">
        <f>$I$286</f>
        <v/>
      </c>
      <c r="E363" s="15">
        <f>$I$287</f>
        <v/>
      </c>
      <c r="F363" s="15">
        <f>$I$288</f>
        <v/>
      </c>
    </row>
    <row r="364" hidden="1">
      <c r="A364" s="3">
        <f>$O$61</f>
        <v/>
      </c>
      <c r="B364" s="15">
        <f>$I$289</f>
        <v/>
      </c>
      <c r="C364" s="15">
        <f>$I$290</f>
        <v/>
      </c>
      <c r="D364" s="15">
        <f>$I$291</f>
        <v/>
      </c>
      <c r="E364" s="15">
        <f>$I$292</f>
        <v/>
      </c>
      <c r="F364" s="15">
        <f>$I$293</f>
        <v/>
      </c>
    </row>
    <row r="365" hidden="1">
      <c r="A365" s="3">
        <f>$O$62</f>
        <v/>
      </c>
      <c r="B365" s="15">
        <f>$I$294</f>
        <v/>
      </c>
      <c r="C365" s="15">
        <f>$I$295</f>
        <v/>
      </c>
      <c r="D365" s="15">
        <f>$I$296</f>
        <v/>
      </c>
      <c r="E365" s="15">
        <f>$I$297</f>
        <v/>
      </c>
      <c r="F365" s="15">
        <f>$I$298</f>
        <v/>
      </c>
    </row>
    <row r="366" hidden="1">
      <c r="A366" s="3">
        <f>$O$63</f>
        <v/>
      </c>
      <c r="B366" s="15">
        <f>$I$299</f>
        <v/>
      </c>
      <c r="C366" s="15">
        <f>$I$300</f>
        <v/>
      </c>
      <c r="D366" s="15">
        <f>$I$301</f>
        <v/>
      </c>
      <c r="E366" s="15">
        <f>$I$302</f>
        <v/>
      </c>
      <c r="F366" s="15">
        <f>$I$303</f>
        <v/>
      </c>
    </row>
    <row r="368">
      <c r="A368" s="4" t="inlineStr">
        <is>
          <t>RATIO CORRECTIVO/PREVENTIVO POR SEMANA (REGLA-9) — meta: correctivo ≤ 20 % de las HH</t>
        </is>
      </c>
    </row>
    <row r="369">
      <c r="A369" s="5" t="inlineStr">
        <is>
          <t>semana</t>
        </is>
      </c>
      <c r="B369" s="5" t="inlineStr">
        <is>
          <t>hh_preventiva</t>
        </is>
      </c>
      <c r="C369" s="5" t="inlineStr">
        <is>
          <t>hh_correctiva</t>
        </is>
      </c>
      <c r="D369" s="5" t="inlineStr">
        <is>
          <t>ratio_corr_prev</t>
        </is>
      </c>
      <c r="E369" s="5" t="inlineStr">
        <is>
          <t>pct_correctivo</t>
        </is>
      </c>
      <c r="F369" s="5" t="inlineStr">
        <is>
          <t>cumple_meta</t>
        </is>
      </c>
    </row>
    <row r="370">
      <c r="A370" s="3">
        <f>$O$4</f>
        <v/>
      </c>
      <c r="B370" s="14">
        <f>SUMIFS(tblOrdenes[horas_efectivas],tblOrdenes[semana],$A370,tblOrdenes[clasificacion],"preventiva")</f>
        <v/>
      </c>
      <c r="C370" s="14">
        <f>SUMIFS(tblOrdenes[horas_efectivas],tblOrdenes[semana],$A370,tblOrdenes[clasificacion],"correctiva")</f>
        <v/>
      </c>
      <c r="D370" s="15">
        <f>IF(B370=0,"",C370/B370)</f>
        <v/>
      </c>
      <c r="E370" s="15">
        <f>IF(B370+C370=0,"",C370/(B370+C370))</f>
        <v/>
      </c>
      <c r="F370" s="3">
        <f>IF(E370="","",IF(E370&lt;=1-p_meta_ratio_prev_corr,"SI","NO"))</f>
        <v/>
      </c>
    </row>
    <row r="371" hidden="1">
      <c r="A371" s="3">
        <f>$O$5</f>
        <v/>
      </c>
      <c r="B371" s="14">
        <f>SUMIFS(tblOrdenes[horas_efectivas],tblOrdenes[semana],$A371,tblOrdenes[clasificacion],"preventiva")</f>
        <v/>
      </c>
      <c r="C371" s="14">
        <f>SUMIFS(tblOrdenes[horas_efectivas],tblOrdenes[semana],$A371,tblOrdenes[clasificacion],"correctiva")</f>
        <v/>
      </c>
      <c r="D371" s="15">
        <f>IF(B371=0,"",C371/B371)</f>
        <v/>
      </c>
      <c r="E371" s="15">
        <f>IF(B371+C371=0,"",C371/(B371+C371))</f>
        <v/>
      </c>
      <c r="F371" s="3">
        <f>IF(E371="","",IF(E371&lt;=1-p_meta_ratio_prev_corr,"SI","NO"))</f>
        <v/>
      </c>
    </row>
    <row r="372">
      <c r="A372" s="3">
        <f>$O$6</f>
        <v/>
      </c>
      <c r="B372" s="14">
        <f>SUMIFS(tblOrdenes[horas_efectivas],tblOrdenes[semana],$A372,tblOrdenes[clasificacion],"preventiva")</f>
        <v/>
      </c>
      <c r="C372" s="14">
        <f>SUMIFS(tblOrdenes[horas_efectivas],tblOrdenes[semana],$A372,tblOrdenes[clasificacion],"correctiva")</f>
        <v/>
      </c>
      <c r="D372" s="15">
        <f>IF(B372=0,"",C372/B372)</f>
        <v/>
      </c>
      <c r="E372" s="15">
        <f>IF(B372+C372=0,"",C372/(B372+C372))</f>
        <v/>
      </c>
      <c r="F372" s="3">
        <f>IF(E372="","",IF(E372&lt;=1-p_meta_ratio_prev_corr,"SI","NO"))</f>
        <v/>
      </c>
    </row>
    <row r="373">
      <c r="A373" s="3">
        <f>$O$7</f>
        <v/>
      </c>
      <c r="B373" s="14">
        <f>SUMIFS(tblOrdenes[horas_efectivas],tblOrdenes[semana],$A373,tblOrdenes[clasificacion],"preventiva")</f>
        <v/>
      </c>
      <c r="C373" s="14">
        <f>SUMIFS(tblOrdenes[horas_efectivas],tblOrdenes[semana],$A373,tblOrdenes[clasificacion],"correctiva")</f>
        <v/>
      </c>
      <c r="D373" s="15">
        <f>IF(B373=0,"",C373/B373)</f>
        <v/>
      </c>
      <c r="E373" s="15">
        <f>IF(B373+C373=0,"",C373/(B373+C373))</f>
        <v/>
      </c>
      <c r="F373" s="3">
        <f>IF(E373="","",IF(E373&lt;=1-p_meta_ratio_prev_corr,"SI","NO"))</f>
        <v/>
      </c>
    </row>
    <row r="374">
      <c r="A374" s="3">
        <f>$O$8</f>
        <v/>
      </c>
      <c r="B374" s="14">
        <f>SUMIFS(tblOrdenes[horas_efectivas],tblOrdenes[semana],$A374,tblOrdenes[clasificacion],"preventiva")</f>
        <v/>
      </c>
      <c r="C374" s="14">
        <f>SUMIFS(tblOrdenes[horas_efectivas],tblOrdenes[semana],$A374,tblOrdenes[clasificacion],"correctiva")</f>
        <v/>
      </c>
      <c r="D374" s="15">
        <f>IF(B374=0,"",C374/B374)</f>
        <v/>
      </c>
      <c r="E374" s="15">
        <f>IF(B374+C374=0,"",C374/(B374+C374))</f>
        <v/>
      </c>
      <c r="F374" s="3">
        <f>IF(E374="","",IF(E374&lt;=1-p_meta_ratio_prev_corr,"SI","NO"))</f>
        <v/>
      </c>
    </row>
    <row r="375">
      <c r="A375" s="3">
        <f>$O$9</f>
        <v/>
      </c>
      <c r="B375" s="14">
        <f>SUMIFS(tblOrdenes[horas_efectivas],tblOrdenes[semana],$A375,tblOrdenes[clasificacion],"preventiva")</f>
        <v/>
      </c>
      <c r="C375" s="14">
        <f>SUMIFS(tblOrdenes[horas_efectivas],tblOrdenes[semana],$A375,tblOrdenes[clasificacion],"correctiva")</f>
        <v/>
      </c>
      <c r="D375" s="15">
        <f>IF(B375=0,"",C375/B375)</f>
        <v/>
      </c>
      <c r="E375" s="15">
        <f>IF(B375+C375=0,"",C375/(B375+C375))</f>
        <v/>
      </c>
      <c r="F375" s="3">
        <f>IF(E375="","",IF(E375&lt;=1-p_meta_ratio_prev_corr,"SI","NO"))</f>
        <v/>
      </c>
    </row>
    <row r="376">
      <c r="A376" s="3">
        <f>$O$10</f>
        <v/>
      </c>
      <c r="B376" s="14">
        <f>SUMIFS(tblOrdenes[horas_efectivas],tblOrdenes[semana],$A376,tblOrdenes[clasificacion],"preventiva")</f>
        <v/>
      </c>
      <c r="C376" s="14">
        <f>SUMIFS(tblOrdenes[horas_efectivas],tblOrdenes[semana],$A376,tblOrdenes[clasificacion],"correctiva")</f>
        <v/>
      </c>
      <c r="D376" s="15">
        <f>IF(B376=0,"",C376/B376)</f>
        <v/>
      </c>
      <c r="E376" s="15">
        <f>IF(B376+C376=0,"",C376/(B376+C376))</f>
        <v/>
      </c>
      <c r="F376" s="3">
        <f>IF(E376="","",IF(E376&lt;=1-p_meta_ratio_prev_corr,"SI","NO"))</f>
        <v/>
      </c>
    </row>
    <row r="377">
      <c r="A377" s="3">
        <f>$O$11</f>
        <v/>
      </c>
      <c r="B377" s="14">
        <f>SUMIFS(tblOrdenes[horas_efectivas],tblOrdenes[semana],$A377,tblOrdenes[clasificacion],"preventiva")</f>
        <v/>
      </c>
      <c r="C377" s="14">
        <f>SUMIFS(tblOrdenes[horas_efectivas],tblOrdenes[semana],$A377,tblOrdenes[clasificacion],"correctiva")</f>
        <v/>
      </c>
      <c r="D377" s="15">
        <f>IF(B377=0,"",C377/B377)</f>
        <v/>
      </c>
      <c r="E377" s="15">
        <f>IF(B377+C377=0,"",C377/(B377+C377))</f>
        <v/>
      </c>
      <c r="F377" s="3">
        <f>IF(E377="","",IF(E377&lt;=1-p_meta_ratio_prev_corr,"SI","NO"))</f>
        <v/>
      </c>
    </row>
    <row r="378">
      <c r="A378" s="3">
        <f>$O$12</f>
        <v/>
      </c>
      <c r="B378" s="14">
        <f>SUMIFS(tblOrdenes[horas_efectivas],tblOrdenes[semana],$A378,tblOrdenes[clasificacion],"preventiva")</f>
        <v/>
      </c>
      <c r="C378" s="14">
        <f>SUMIFS(tblOrdenes[horas_efectivas],tblOrdenes[semana],$A378,tblOrdenes[clasificacion],"correctiva")</f>
        <v/>
      </c>
      <c r="D378" s="15">
        <f>IF(B378=0,"",C378/B378)</f>
        <v/>
      </c>
      <c r="E378" s="15">
        <f>IF(B378+C378=0,"",C378/(B378+C378))</f>
        <v/>
      </c>
      <c r="F378" s="3">
        <f>IF(E378="","",IF(E378&lt;=1-p_meta_ratio_prev_corr,"SI","NO"))</f>
        <v/>
      </c>
    </row>
    <row r="379">
      <c r="A379" s="3">
        <f>$O$13</f>
        <v/>
      </c>
      <c r="B379" s="14">
        <f>SUMIFS(tblOrdenes[horas_efectivas],tblOrdenes[semana],$A379,tblOrdenes[clasificacion],"preventiva")</f>
        <v/>
      </c>
      <c r="C379" s="14">
        <f>SUMIFS(tblOrdenes[horas_efectivas],tblOrdenes[semana],$A379,tblOrdenes[clasificacion],"correctiva")</f>
        <v/>
      </c>
      <c r="D379" s="15">
        <f>IF(B379=0,"",C379/B379)</f>
        <v/>
      </c>
      <c r="E379" s="15">
        <f>IF(B379+C379=0,"",C379/(B379+C379))</f>
        <v/>
      </c>
      <c r="F379" s="3">
        <f>IF(E379="","",IF(E379&lt;=1-p_meta_ratio_prev_corr,"SI","NO"))</f>
        <v/>
      </c>
    </row>
    <row r="380">
      <c r="A380" s="3">
        <f>$O$14</f>
        <v/>
      </c>
      <c r="B380" s="14">
        <f>SUMIFS(tblOrdenes[horas_efectivas],tblOrdenes[semana],$A380,tblOrdenes[clasificacion],"preventiva")</f>
        <v/>
      </c>
      <c r="C380" s="14">
        <f>SUMIFS(tblOrdenes[horas_efectivas],tblOrdenes[semana],$A380,tblOrdenes[clasificacion],"correctiva")</f>
        <v/>
      </c>
      <c r="D380" s="15">
        <f>IF(B380=0,"",C380/B380)</f>
        <v/>
      </c>
      <c r="E380" s="15">
        <f>IF(B380+C380=0,"",C380/(B380+C380))</f>
        <v/>
      </c>
      <c r="F380" s="3">
        <f>IF(E380="","",IF(E380&lt;=1-p_meta_ratio_prev_corr,"SI","NO"))</f>
        <v/>
      </c>
    </row>
    <row r="381">
      <c r="A381" s="3">
        <f>$O$15</f>
        <v/>
      </c>
      <c r="B381" s="14">
        <f>SUMIFS(tblOrdenes[horas_efectivas],tblOrdenes[semana],$A381,tblOrdenes[clasificacion],"preventiva")</f>
        <v/>
      </c>
      <c r="C381" s="14">
        <f>SUMIFS(tblOrdenes[horas_efectivas],tblOrdenes[semana],$A381,tblOrdenes[clasificacion],"correctiva")</f>
        <v/>
      </c>
      <c r="D381" s="15">
        <f>IF(B381=0,"",C381/B381)</f>
        <v/>
      </c>
      <c r="E381" s="15">
        <f>IF(B381+C381=0,"",C381/(B381+C381))</f>
        <v/>
      </c>
      <c r="F381" s="3">
        <f>IF(E381="","",IF(E381&lt;=1-p_meta_ratio_prev_corr,"SI","NO"))</f>
        <v/>
      </c>
    </row>
    <row r="382">
      <c r="A382" s="3">
        <f>$O$16</f>
        <v/>
      </c>
      <c r="B382" s="14">
        <f>SUMIFS(tblOrdenes[horas_efectivas],tblOrdenes[semana],$A382,tblOrdenes[clasificacion],"preventiva")</f>
        <v/>
      </c>
      <c r="C382" s="14">
        <f>SUMIFS(tblOrdenes[horas_efectivas],tblOrdenes[semana],$A382,tblOrdenes[clasificacion],"correctiva")</f>
        <v/>
      </c>
      <c r="D382" s="15">
        <f>IF(B382=0,"",C382/B382)</f>
        <v/>
      </c>
      <c r="E382" s="15">
        <f>IF(B382+C382=0,"",C382/(B382+C382))</f>
        <v/>
      </c>
      <c r="F382" s="3">
        <f>IF(E382="","",IF(E382&lt;=1-p_meta_ratio_prev_corr,"SI","NO"))</f>
        <v/>
      </c>
    </row>
    <row r="383">
      <c r="A383" s="3">
        <f>$O$17</f>
        <v/>
      </c>
      <c r="B383" s="14">
        <f>SUMIFS(tblOrdenes[horas_efectivas],tblOrdenes[semana],$A383,tblOrdenes[clasificacion],"preventiva")</f>
        <v/>
      </c>
      <c r="C383" s="14">
        <f>SUMIFS(tblOrdenes[horas_efectivas],tblOrdenes[semana],$A383,tblOrdenes[clasificacion],"correctiva")</f>
        <v/>
      </c>
      <c r="D383" s="15">
        <f>IF(B383=0,"",C383/B383)</f>
        <v/>
      </c>
      <c r="E383" s="15">
        <f>IF(B383+C383=0,"",C383/(B383+C383))</f>
        <v/>
      </c>
      <c r="F383" s="3">
        <f>IF(E383="","",IF(E383&lt;=1-p_meta_ratio_prev_corr,"SI","NO"))</f>
        <v/>
      </c>
    </row>
    <row r="384">
      <c r="A384" s="3">
        <f>$O$18</f>
        <v/>
      </c>
      <c r="B384" s="14">
        <f>SUMIFS(tblOrdenes[horas_efectivas],tblOrdenes[semana],$A384,tblOrdenes[clasificacion],"preventiva")</f>
        <v/>
      </c>
      <c r="C384" s="14">
        <f>SUMIFS(tblOrdenes[horas_efectivas],tblOrdenes[semana],$A384,tblOrdenes[clasificacion],"correctiva")</f>
        <v/>
      </c>
      <c r="D384" s="15">
        <f>IF(B384=0,"",C384/B384)</f>
        <v/>
      </c>
      <c r="E384" s="15">
        <f>IF(B384+C384=0,"",C384/(B384+C384))</f>
        <v/>
      </c>
      <c r="F384" s="3">
        <f>IF(E384="","",IF(E384&lt;=1-p_meta_ratio_prev_corr,"SI","NO"))</f>
        <v/>
      </c>
    </row>
    <row r="385">
      <c r="A385" s="3">
        <f>$O$19</f>
        <v/>
      </c>
      <c r="B385" s="14">
        <f>SUMIFS(tblOrdenes[horas_efectivas],tblOrdenes[semana],$A385,tblOrdenes[clasificacion],"preventiva")</f>
        <v/>
      </c>
      <c r="C385" s="14">
        <f>SUMIFS(tblOrdenes[horas_efectivas],tblOrdenes[semana],$A385,tblOrdenes[clasificacion],"correctiva")</f>
        <v/>
      </c>
      <c r="D385" s="15">
        <f>IF(B385=0,"",C385/B385)</f>
        <v/>
      </c>
      <c r="E385" s="15">
        <f>IF(B385+C385=0,"",C385/(B385+C385))</f>
        <v/>
      </c>
      <c r="F385" s="3">
        <f>IF(E385="","",IF(E385&lt;=1-p_meta_ratio_prev_corr,"SI","NO"))</f>
        <v/>
      </c>
    </row>
    <row r="386">
      <c r="A386" s="3">
        <f>$O$20</f>
        <v/>
      </c>
      <c r="B386" s="14">
        <f>SUMIFS(tblOrdenes[horas_efectivas],tblOrdenes[semana],$A386,tblOrdenes[clasificacion],"preventiva")</f>
        <v/>
      </c>
      <c r="C386" s="14">
        <f>SUMIFS(tblOrdenes[horas_efectivas],tblOrdenes[semana],$A386,tblOrdenes[clasificacion],"correctiva")</f>
        <v/>
      </c>
      <c r="D386" s="15">
        <f>IF(B386=0,"",C386/B386)</f>
        <v/>
      </c>
      <c r="E386" s="15">
        <f>IF(B386+C386=0,"",C386/(B386+C386))</f>
        <v/>
      </c>
      <c r="F386" s="3">
        <f>IF(E386="","",IF(E386&lt;=1-p_meta_ratio_prev_corr,"SI","NO"))</f>
        <v/>
      </c>
    </row>
    <row r="387">
      <c r="A387" s="3">
        <f>$O$21</f>
        <v/>
      </c>
      <c r="B387" s="14">
        <f>SUMIFS(tblOrdenes[horas_efectivas],tblOrdenes[semana],$A387,tblOrdenes[clasificacion],"preventiva")</f>
        <v/>
      </c>
      <c r="C387" s="14">
        <f>SUMIFS(tblOrdenes[horas_efectivas],tblOrdenes[semana],$A387,tblOrdenes[clasificacion],"correctiva")</f>
        <v/>
      </c>
      <c r="D387" s="15">
        <f>IF(B387=0,"",C387/B387)</f>
        <v/>
      </c>
      <c r="E387" s="15">
        <f>IF(B387+C387=0,"",C387/(B387+C387))</f>
        <v/>
      </c>
      <c r="F387" s="3">
        <f>IF(E387="","",IF(E387&lt;=1-p_meta_ratio_prev_corr,"SI","NO"))</f>
        <v/>
      </c>
    </row>
    <row r="388" hidden="1">
      <c r="A388" s="3">
        <f>$O$22</f>
        <v/>
      </c>
      <c r="B388" s="14">
        <f>SUMIFS(tblOrdenes[horas_efectivas],tblOrdenes[semana],$A388,tblOrdenes[clasificacion],"preventiva")</f>
        <v/>
      </c>
      <c r="C388" s="14">
        <f>SUMIFS(tblOrdenes[horas_efectivas],tblOrdenes[semana],$A388,tblOrdenes[clasificacion],"correctiva")</f>
        <v/>
      </c>
      <c r="D388" s="15">
        <f>IF(B388=0,"",C388/B388)</f>
        <v/>
      </c>
      <c r="E388" s="15">
        <f>IF(B388+C388=0,"",C388/(B388+C388))</f>
        <v/>
      </c>
      <c r="F388" s="3">
        <f>IF(E388="","",IF(E388&lt;=1-p_meta_ratio_prev_corr,"SI","NO"))</f>
        <v/>
      </c>
    </row>
    <row r="389" hidden="1">
      <c r="A389" s="3">
        <f>$O$23</f>
        <v/>
      </c>
      <c r="B389" s="14">
        <f>SUMIFS(tblOrdenes[horas_efectivas],tblOrdenes[semana],$A389,tblOrdenes[clasificacion],"preventiva")</f>
        <v/>
      </c>
      <c r="C389" s="14">
        <f>SUMIFS(tblOrdenes[horas_efectivas],tblOrdenes[semana],$A389,tblOrdenes[clasificacion],"correctiva")</f>
        <v/>
      </c>
      <c r="D389" s="15">
        <f>IF(B389=0,"",C389/B389)</f>
        <v/>
      </c>
      <c r="E389" s="15">
        <f>IF(B389+C389=0,"",C389/(B389+C389))</f>
        <v/>
      </c>
      <c r="F389" s="3">
        <f>IF(E389="","",IF(E389&lt;=1-p_meta_ratio_prev_corr,"SI","NO"))</f>
        <v/>
      </c>
    </row>
    <row r="390" hidden="1">
      <c r="A390" s="3">
        <f>$O$24</f>
        <v/>
      </c>
      <c r="B390" s="14">
        <f>SUMIFS(tblOrdenes[horas_efectivas],tblOrdenes[semana],$A390,tblOrdenes[clasificacion],"preventiva")</f>
        <v/>
      </c>
      <c r="C390" s="14">
        <f>SUMIFS(tblOrdenes[horas_efectivas],tblOrdenes[semana],$A390,tblOrdenes[clasificacion],"correctiva")</f>
        <v/>
      </c>
      <c r="D390" s="15">
        <f>IF(B390=0,"",C390/B390)</f>
        <v/>
      </c>
      <c r="E390" s="15">
        <f>IF(B390+C390=0,"",C390/(B390+C390))</f>
        <v/>
      </c>
      <c r="F390" s="3">
        <f>IF(E390="","",IF(E390&lt;=1-p_meta_ratio_prev_corr,"SI","NO"))</f>
        <v/>
      </c>
    </row>
    <row r="391">
      <c r="A391" s="3">
        <f>$O$25</f>
        <v/>
      </c>
      <c r="B391" s="14">
        <f>SUMIFS(tblOrdenes[horas_efectivas],tblOrdenes[semana],$A391,tblOrdenes[clasificacion],"preventiva")</f>
        <v/>
      </c>
      <c r="C391" s="14">
        <f>SUMIFS(tblOrdenes[horas_efectivas],tblOrdenes[semana],$A391,tblOrdenes[clasificacion],"correctiva")</f>
        <v/>
      </c>
      <c r="D391" s="15">
        <f>IF(B391=0,"",C391/B391)</f>
        <v/>
      </c>
      <c r="E391" s="15">
        <f>IF(B391+C391=0,"",C391/(B391+C391))</f>
        <v/>
      </c>
      <c r="F391" s="3">
        <f>IF(E391="","",IF(E391&lt;=1-p_meta_ratio_prev_corr,"SI","NO"))</f>
        <v/>
      </c>
    </row>
    <row r="392">
      <c r="A392" s="3">
        <f>$O$26</f>
        <v/>
      </c>
      <c r="B392" s="14">
        <f>SUMIFS(tblOrdenes[horas_efectivas],tblOrdenes[semana],$A392,tblOrdenes[clasificacion],"preventiva")</f>
        <v/>
      </c>
      <c r="C392" s="14">
        <f>SUMIFS(tblOrdenes[horas_efectivas],tblOrdenes[semana],$A392,tblOrdenes[clasificacion],"correctiva")</f>
        <v/>
      </c>
      <c r="D392" s="15">
        <f>IF(B392=0,"",C392/B392)</f>
        <v/>
      </c>
      <c r="E392" s="15">
        <f>IF(B392+C392=0,"",C392/(B392+C392))</f>
        <v/>
      </c>
      <c r="F392" s="3">
        <f>IF(E392="","",IF(E392&lt;=1-p_meta_ratio_prev_corr,"SI","NO"))</f>
        <v/>
      </c>
    </row>
    <row r="393">
      <c r="A393" s="3">
        <f>$O$27</f>
        <v/>
      </c>
      <c r="B393" s="14">
        <f>SUMIFS(tblOrdenes[horas_efectivas],tblOrdenes[semana],$A393,tblOrdenes[clasificacion],"preventiva")</f>
        <v/>
      </c>
      <c r="C393" s="14">
        <f>SUMIFS(tblOrdenes[horas_efectivas],tblOrdenes[semana],$A393,tblOrdenes[clasificacion],"correctiva")</f>
        <v/>
      </c>
      <c r="D393" s="15">
        <f>IF(B393=0,"",C393/B393)</f>
        <v/>
      </c>
      <c r="E393" s="15">
        <f>IF(B393+C393=0,"",C393/(B393+C393))</f>
        <v/>
      </c>
      <c r="F393" s="3">
        <f>IF(E393="","",IF(E393&lt;=1-p_meta_ratio_prev_corr,"SI","NO"))</f>
        <v/>
      </c>
    </row>
    <row r="394">
      <c r="A394" s="3">
        <f>$O$28</f>
        <v/>
      </c>
      <c r="B394" s="14">
        <f>SUMIFS(tblOrdenes[horas_efectivas],tblOrdenes[semana],$A394,tblOrdenes[clasificacion],"preventiva")</f>
        <v/>
      </c>
      <c r="C394" s="14">
        <f>SUMIFS(tblOrdenes[horas_efectivas],tblOrdenes[semana],$A394,tblOrdenes[clasificacion],"correctiva")</f>
        <v/>
      </c>
      <c r="D394" s="15">
        <f>IF(B394=0,"",C394/B394)</f>
        <v/>
      </c>
      <c r="E394" s="15">
        <f>IF(B394+C394=0,"",C394/(B394+C394))</f>
        <v/>
      </c>
      <c r="F394" s="3">
        <f>IF(E394="","",IF(E394&lt;=1-p_meta_ratio_prev_corr,"SI","NO"))</f>
        <v/>
      </c>
    </row>
    <row r="395" hidden="1">
      <c r="A395" s="3">
        <f>$O$29</f>
        <v/>
      </c>
      <c r="B395" s="14">
        <f>SUMIFS(tblOrdenes[horas_efectivas],tblOrdenes[semana],$A395,tblOrdenes[clasificacion],"preventiva")</f>
        <v/>
      </c>
      <c r="C395" s="14">
        <f>SUMIFS(tblOrdenes[horas_efectivas],tblOrdenes[semana],$A395,tblOrdenes[clasificacion],"correctiva")</f>
        <v/>
      </c>
      <c r="D395" s="15">
        <f>IF(B395=0,"",C395/B395)</f>
        <v/>
      </c>
      <c r="E395" s="15">
        <f>IF(B395+C395=0,"",C395/(B395+C395))</f>
        <v/>
      </c>
      <c r="F395" s="3">
        <f>IF(E395="","",IF(E395&lt;=1-p_meta_ratio_prev_corr,"SI","NO"))</f>
        <v/>
      </c>
    </row>
    <row r="396" hidden="1">
      <c r="A396" s="3">
        <f>$O$30</f>
        <v/>
      </c>
      <c r="B396" s="14">
        <f>SUMIFS(tblOrdenes[horas_efectivas],tblOrdenes[semana],$A396,tblOrdenes[clasificacion],"preventiva")</f>
        <v/>
      </c>
      <c r="C396" s="14">
        <f>SUMIFS(tblOrdenes[horas_efectivas],tblOrdenes[semana],$A396,tblOrdenes[clasificacion],"correctiva")</f>
        <v/>
      </c>
      <c r="D396" s="15">
        <f>IF(B396=0,"",C396/B396)</f>
        <v/>
      </c>
      <c r="E396" s="15">
        <f>IF(B396+C396=0,"",C396/(B396+C396))</f>
        <v/>
      </c>
      <c r="F396" s="3">
        <f>IF(E396="","",IF(E396&lt;=1-p_meta_ratio_prev_corr,"SI","NO"))</f>
        <v/>
      </c>
    </row>
    <row r="397">
      <c r="A397" s="3">
        <f>$O$31</f>
        <v/>
      </c>
      <c r="B397" s="14">
        <f>SUMIFS(tblOrdenes[horas_efectivas],tblOrdenes[semana],$A397,tblOrdenes[clasificacion],"preventiva")</f>
        <v/>
      </c>
      <c r="C397" s="14">
        <f>SUMIFS(tblOrdenes[horas_efectivas],tblOrdenes[semana],$A397,tblOrdenes[clasificacion],"correctiva")</f>
        <v/>
      </c>
      <c r="D397" s="15">
        <f>IF(B397=0,"",C397/B397)</f>
        <v/>
      </c>
      <c r="E397" s="15">
        <f>IF(B397+C397=0,"",C397/(B397+C397))</f>
        <v/>
      </c>
      <c r="F397" s="3">
        <f>IF(E397="","",IF(E397&lt;=1-p_meta_ratio_prev_corr,"SI","NO"))</f>
        <v/>
      </c>
    </row>
    <row r="398" hidden="1">
      <c r="A398" s="3">
        <f>$O$32</f>
        <v/>
      </c>
      <c r="B398" s="14">
        <f>SUMIFS(tblOrdenes[horas_efectivas],tblOrdenes[semana],$A398,tblOrdenes[clasificacion],"preventiva")</f>
        <v/>
      </c>
      <c r="C398" s="14">
        <f>SUMIFS(tblOrdenes[horas_efectivas],tblOrdenes[semana],$A398,tblOrdenes[clasificacion],"correctiva")</f>
        <v/>
      </c>
      <c r="D398" s="15">
        <f>IF(B398=0,"",C398/B398)</f>
        <v/>
      </c>
      <c r="E398" s="15">
        <f>IF(B398+C398=0,"",C398/(B398+C398))</f>
        <v/>
      </c>
      <c r="F398" s="3">
        <f>IF(E398="","",IF(E398&lt;=1-p_meta_ratio_prev_corr,"SI","NO"))</f>
        <v/>
      </c>
    </row>
    <row r="399" hidden="1">
      <c r="A399" s="3">
        <f>$O$33</f>
        <v/>
      </c>
      <c r="B399" s="14">
        <f>SUMIFS(tblOrdenes[horas_efectivas],tblOrdenes[semana],$A399,tblOrdenes[clasificacion],"preventiva")</f>
        <v/>
      </c>
      <c r="C399" s="14">
        <f>SUMIFS(tblOrdenes[horas_efectivas],tblOrdenes[semana],$A399,tblOrdenes[clasificacion],"correctiva")</f>
        <v/>
      </c>
      <c r="D399" s="15">
        <f>IF(B399=0,"",C399/B399)</f>
        <v/>
      </c>
      <c r="E399" s="15">
        <f>IF(B399+C399=0,"",C399/(B399+C399))</f>
        <v/>
      </c>
      <c r="F399" s="3">
        <f>IF(E399="","",IF(E399&lt;=1-p_meta_ratio_prev_corr,"SI","NO"))</f>
        <v/>
      </c>
    </row>
    <row r="400" hidden="1">
      <c r="A400" s="3">
        <f>$O$34</f>
        <v/>
      </c>
      <c r="B400" s="14">
        <f>SUMIFS(tblOrdenes[horas_efectivas],tblOrdenes[semana],$A400,tblOrdenes[clasificacion],"preventiva")</f>
        <v/>
      </c>
      <c r="C400" s="14">
        <f>SUMIFS(tblOrdenes[horas_efectivas],tblOrdenes[semana],$A400,tblOrdenes[clasificacion],"correctiva")</f>
        <v/>
      </c>
      <c r="D400" s="15">
        <f>IF(B400=0,"",C400/B400)</f>
        <v/>
      </c>
      <c r="E400" s="15">
        <f>IF(B400+C400=0,"",C400/(B400+C400))</f>
        <v/>
      </c>
      <c r="F400" s="3">
        <f>IF(E400="","",IF(E400&lt;=1-p_meta_ratio_prev_corr,"SI","NO"))</f>
        <v/>
      </c>
    </row>
    <row r="401" hidden="1">
      <c r="A401" s="3">
        <f>$O$35</f>
        <v/>
      </c>
      <c r="B401" s="14">
        <f>SUMIFS(tblOrdenes[horas_efectivas],tblOrdenes[semana],$A401,tblOrdenes[clasificacion],"preventiva")</f>
        <v/>
      </c>
      <c r="C401" s="14">
        <f>SUMIFS(tblOrdenes[horas_efectivas],tblOrdenes[semana],$A401,tblOrdenes[clasificacion],"correctiva")</f>
        <v/>
      </c>
      <c r="D401" s="15">
        <f>IF(B401=0,"",C401/B401)</f>
        <v/>
      </c>
      <c r="E401" s="15">
        <f>IF(B401+C401=0,"",C401/(B401+C401))</f>
        <v/>
      </c>
      <c r="F401" s="3">
        <f>IF(E401="","",IF(E401&lt;=1-p_meta_ratio_prev_corr,"SI","NO"))</f>
        <v/>
      </c>
    </row>
    <row r="402" hidden="1">
      <c r="A402" s="3">
        <f>$O$36</f>
        <v/>
      </c>
      <c r="B402" s="14">
        <f>SUMIFS(tblOrdenes[horas_efectivas],tblOrdenes[semana],$A402,tblOrdenes[clasificacion],"preventiva")</f>
        <v/>
      </c>
      <c r="C402" s="14">
        <f>SUMIFS(tblOrdenes[horas_efectivas],tblOrdenes[semana],$A402,tblOrdenes[clasificacion],"correctiva")</f>
        <v/>
      </c>
      <c r="D402" s="15">
        <f>IF(B402=0,"",C402/B402)</f>
        <v/>
      </c>
      <c r="E402" s="15">
        <f>IF(B402+C402=0,"",C402/(B402+C402))</f>
        <v/>
      </c>
      <c r="F402" s="3">
        <f>IF(E402="","",IF(E402&lt;=1-p_meta_ratio_prev_corr,"SI","NO"))</f>
        <v/>
      </c>
    </row>
    <row r="403" hidden="1">
      <c r="A403" s="3">
        <f>$O$37</f>
        <v/>
      </c>
      <c r="B403" s="14">
        <f>SUMIFS(tblOrdenes[horas_efectivas],tblOrdenes[semana],$A403,tblOrdenes[clasificacion],"preventiva")</f>
        <v/>
      </c>
      <c r="C403" s="14">
        <f>SUMIFS(tblOrdenes[horas_efectivas],tblOrdenes[semana],$A403,tblOrdenes[clasificacion],"correctiva")</f>
        <v/>
      </c>
      <c r="D403" s="15">
        <f>IF(B403=0,"",C403/B403)</f>
        <v/>
      </c>
      <c r="E403" s="15">
        <f>IF(B403+C403=0,"",C403/(B403+C403))</f>
        <v/>
      </c>
      <c r="F403" s="3">
        <f>IF(E403="","",IF(E403&lt;=1-p_meta_ratio_prev_corr,"SI","NO"))</f>
        <v/>
      </c>
    </row>
    <row r="404" hidden="1">
      <c r="A404" s="3">
        <f>$O$38</f>
        <v/>
      </c>
      <c r="B404" s="14">
        <f>SUMIFS(tblOrdenes[horas_efectivas],tblOrdenes[semana],$A404,tblOrdenes[clasificacion],"preventiva")</f>
        <v/>
      </c>
      <c r="C404" s="14">
        <f>SUMIFS(tblOrdenes[horas_efectivas],tblOrdenes[semana],$A404,tblOrdenes[clasificacion],"correctiva")</f>
        <v/>
      </c>
      <c r="D404" s="15">
        <f>IF(B404=0,"",C404/B404)</f>
        <v/>
      </c>
      <c r="E404" s="15">
        <f>IF(B404+C404=0,"",C404/(B404+C404))</f>
        <v/>
      </c>
      <c r="F404" s="3">
        <f>IF(E404="","",IF(E404&lt;=1-p_meta_ratio_prev_corr,"SI","NO"))</f>
        <v/>
      </c>
    </row>
    <row r="405" hidden="1">
      <c r="A405" s="3">
        <f>$O$39</f>
        <v/>
      </c>
      <c r="B405" s="14">
        <f>SUMIFS(tblOrdenes[horas_efectivas],tblOrdenes[semana],$A405,tblOrdenes[clasificacion],"preventiva")</f>
        <v/>
      </c>
      <c r="C405" s="14">
        <f>SUMIFS(tblOrdenes[horas_efectivas],tblOrdenes[semana],$A405,tblOrdenes[clasificacion],"correctiva")</f>
        <v/>
      </c>
      <c r="D405" s="15">
        <f>IF(B405=0,"",C405/B405)</f>
        <v/>
      </c>
      <c r="E405" s="15">
        <f>IF(B405+C405=0,"",C405/(B405+C405))</f>
        <v/>
      </c>
      <c r="F405" s="3">
        <f>IF(E405="","",IF(E405&lt;=1-p_meta_ratio_prev_corr,"SI","NO"))</f>
        <v/>
      </c>
    </row>
    <row r="406">
      <c r="A406" s="3">
        <f>$O$40</f>
        <v/>
      </c>
      <c r="B406" s="14">
        <f>SUMIFS(tblOrdenes[horas_efectivas],tblOrdenes[semana],$A406,tblOrdenes[clasificacion],"preventiva")</f>
        <v/>
      </c>
      <c r="C406" s="14">
        <f>SUMIFS(tblOrdenes[horas_efectivas],tblOrdenes[semana],$A406,tblOrdenes[clasificacion],"correctiva")</f>
        <v/>
      </c>
      <c r="D406" s="15">
        <f>IF(B406=0,"",C406/B406)</f>
        <v/>
      </c>
      <c r="E406" s="15">
        <f>IF(B406+C406=0,"",C406/(B406+C406))</f>
        <v/>
      </c>
      <c r="F406" s="3">
        <f>IF(E406="","",IF(E406&lt;=1-p_meta_ratio_prev_corr,"SI","NO"))</f>
        <v/>
      </c>
    </row>
    <row r="407" hidden="1">
      <c r="A407" s="3">
        <f>$O$41</f>
        <v/>
      </c>
      <c r="B407" s="14">
        <f>SUMIFS(tblOrdenes[horas_efectivas],tblOrdenes[semana],$A407,tblOrdenes[clasificacion],"preventiva")</f>
        <v/>
      </c>
      <c r="C407" s="14">
        <f>SUMIFS(tblOrdenes[horas_efectivas],tblOrdenes[semana],$A407,tblOrdenes[clasificacion],"correctiva")</f>
        <v/>
      </c>
      <c r="D407" s="15">
        <f>IF(B407=0,"",C407/B407)</f>
        <v/>
      </c>
      <c r="E407" s="15">
        <f>IF(B407+C407=0,"",C407/(B407+C407))</f>
        <v/>
      </c>
      <c r="F407" s="3">
        <f>IF(E407="","",IF(E407&lt;=1-p_meta_ratio_prev_corr,"SI","NO"))</f>
        <v/>
      </c>
    </row>
    <row r="408" hidden="1">
      <c r="A408" s="3">
        <f>$O$42</f>
        <v/>
      </c>
      <c r="B408" s="14">
        <f>SUMIFS(tblOrdenes[horas_efectivas],tblOrdenes[semana],$A408,tblOrdenes[clasificacion],"preventiva")</f>
        <v/>
      </c>
      <c r="C408" s="14">
        <f>SUMIFS(tblOrdenes[horas_efectivas],tblOrdenes[semana],$A408,tblOrdenes[clasificacion],"correctiva")</f>
        <v/>
      </c>
      <c r="D408" s="15">
        <f>IF(B408=0,"",C408/B408)</f>
        <v/>
      </c>
      <c r="E408" s="15">
        <f>IF(B408+C408=0,"",C408/(B408+C408))</f>
        <v/>
      </c>
      <c r="F408" s="3">
        <f>IF(E408="","",IF(E408&lt;=1-p_meta_ratio_prev_corr,"SI","NO"))</f>
        <v/>
      </c>
    </row>
    <row r="409" hidden="1">
      <c r="A409" s="3">
        <f>$O$43</f>
        <v/>
      </c>
      <c r="B409" s="14">
        <f>SUMIFS(tblOrdenes[horas_efectivas],tblOrdenes[semana],$A409,tblOrdenes[clasificacion],"preventiva")</f>
        <v/>
      </c>
      <c r="C409" s="14">
        <f>SUMIFS(tblOrdenes[horas_efectivas],tblOrdenes[semana],$A409,tblOrdenes[clasificacion],"correctiva")</f>
        <v/>
      </c>
      <c r="D409" s="15">
        <f>IF(B409=0,"",C409/B409)</f>
        <v/>
      </c>
      <c r="E409" s="15">
        <f>IF(B409+C409=0,"",C409/(B409+C409))</f>
        <v/>
      </c>
      <c r="F409" s="3">
        <f>IF(E409="","",IF(E409&lt;=1-p_meta_ratio_prev_corr,"SI","NO"))</f>
        <v/>
      </c>
    </row>
    <row r="410" hidden="1">
      <c r="A410" s="3">
        <f>$O$44</f>
        <v/>
      </c>
      <c r="B410" s="14">
        <f>SUMIFS(tblOrdenes[horas_efectivas],tblOrdenes[semana],$A410,tblOrdenes[clasificacion],"preventiva")</f>
        <v/>
      </c>
      <c r="C410" s="14">
        <f>SUMIFS(tblOrdenes[horas_efectivas],tblOrdenes[semana],$A410,tblOrdenes[clasificacion],"correctiva")</f>
        <v/>
      </c>
      <c r="D410" s="15">
        <f>IF(B410=0,"",C410/B410)</f>
        <v/>
      </c>
      <c r="E410" s="15">
        <f>IF(B410+C410=0,"",C410/(B410+C410))</f>
        <v/>
      </c>
      <c r="F410" s="3">
        <f>IF(E410="","",IF(E410&lt;=1-p_meta_ratio_prev_corr,"SI","NO"))</f>
        <v/>
      </c>
    </row>
    <row r="411" hidden="1">
      <c r="A411" s="3">
        <f>$O$45</f>
        <v/>
      </c>
      <c r="B411" s="14">
        <f>SUMIFS(tblOrdenes[horas_efectivas],tblOrdenes[semana],$A411,tblOrdenes[clasificacion],"preventiva")</f>
        <v/>
      </c>
      <c r="C411" s="14">
        <f>SUMIFS(tblOrdenes[horas_efectivas],tblOrdenes[semana],$A411,tblOrdenes[clasificacion],"correctiva")</f>
        <v/>
      </c>
      <c r="D411" s="15">
        <f>IF(B411=0,"",C411/B411)</f>
        <v/>
      </c>
      <c r="E411" s="15">
        <f>IF(B411+C411=0,"",C411/(B411+C411))</f>
        <v/>
      </c>
      <c r="F411" s="3">
        <f>IF(E411="","",IF(E411&lt;=1-p_meta_ratio_prev_corr,"SI","NO"))</f>
        <v/>
      </c>
    </row>
    <row r="412" hidden="1">
      <c r="A412" s="3">
        <f>$O$46</f>
        <v/>
      </c>
      <c r="B412" s="14">
        <f>SUMIFS(tblOrdenes[horas_efectivas],tblOrdenes[semana],$A412,tblOrdenes[clasificacion],"preventiva")</f>
        <v/>
      </c>
      <c r="C412" s="14">
        <f>SUMIFS(tblOrdenes[horas_efectivas],tblOrdenes[semana],$A412,tblOrdenes[clasificacion],"correctiva")</f>
        <v/>
      </c>
      <c r="D412" s="15">
        <f>IF(B412=0,"",C412/B412)</f>
        <v/>
      </c>
      <c r="E412" s="15">
        <f>IF(B412+C412=0,"",C412/(B412+C412))</f>
        <v/>
      </c>
      <c r="F412" s="3">
        <f>IF(E412="","",IF(E412&lt;=1-p_meta_ratio_prev_corr,"SI","NO"))</f>
        <v/>
      </c>
    </row>
    <row r="413" hidden="1">
      <c r="A413" s="3">
        <f>$O$47</f>
        <v/>
      </c>
      <c r="B413" s="14">
        <f>SUMIFS(tblOrdenes[horas_efectivas],tblOrdenes[semana],$A413,tblOrdenes[clasificacion],"preventiva")</f>
        <v/>
      </c>
      <c r="C413" s="14">
        <f>SUMIFS(tblOrdenes[horas_efectivas],tblOrdenes[semana],$A413,tblOrdenes[clasificacion],"correctiva")</f>
        <v/>
      </c>
      <c r="D413" s="15">
        <f>IF(B413=0,"",C413/B413)</f>
        <v/>
      </c>
      <c r="E413" s="15">
        <f>IF(B413+C413=0,"",C413/(B413+C413))</f>
        <v/>
      </c>
      <c r="F413" s="3">
        <f>IF(E413="","",IF(E413&lt;=1-p_meta_ratio_prev_corr,"SI","NO"))</f>
        <v/>
      </c>
    </row>
    <row r="414" hidden="1">
      <c r="A414" s="3">
        <f>$O$48</f>
        <v/>
      </c>
      <c r="B414" s="14">
        <f>SUMIFS(tblOrdenes[horas_efectivas],tblOrdenes[semana],$A414,tblOrdenes[clasificacion],"preventiva")</f>
        <v/>
      </c>
      <c r="C414" s="14">
        <f>SUMIFS(tblOrdenes[horas_efectivas],tblOrdenes[semana],$A414,tblOrdenes[clasificacion],"correctiva")</f>
        <v/>
      </c>
      <c r="D414" s="15">
        <f>IF(B414=0,"",C414/B414)</f>
        <v/>
      </c>
      <c r="E414" s="15">
        <f>IF(B414+C414=0,"",C414/(B414+C414))</f>
        <v/>
      </c>
      <c r="F414" s="3">
        <f>IF(E414="","",IF(E414&lt;=1-p_meta_ratio_prev_corr,"SI","NO"))</f>
        <v/>
      </c>
    </row>
    <row r="415">
      <c r="A415" s="3">
        <f>$O$49</f>
        <v/>
      </c>
      <c r="B415" s="14">
        <f>SUMIFS(tblOrdenes[horas_efectivas],tblOrdenes[semana],$A415,tblOrdenes[clasificacion],"preventiva")</f>
        <v/>
      </c>
      <c r="C415" s="14">
        <f>SUMIFS(tblOrdenes[horas_efectivas],tblOrdenes[semana],$A415,tblOrdenes[clasificacion],"correctiva")</f>
        <v/>
      </c>
      <c r="D415" s="15">
        <f>IF(B415=0,"",C415/B415)</f>
        <v/>
      </c>
      <c r="E415" s="15">
        <f>IF(B415+C415=0,"",C415/(B415+C415))</f>
        <v/>
      </c>
      <c r="F415" s="3">
        <f>IF(E415="","",IF(E415&lt;=1-p_meta_ratio_prev_corr,"SI","NO"))</f>
        <v/>
      </c>
    </row>
    <row r="416">
      <c r="A416" s="3">
        <f>$O$50</f>
        <v/>
      </c>
      <c r="B416" s="14">
        <f>SUMIFS(tblOrdenes[horas_efectivas],tblOrdenes[semana],$A416,tblOrdenes[clasificacion],"preventiva")</f>
        <v/>
      </c>
      <c r="C416" s="14">
        <f>SUMIFS(tblOrdenes[horas_efectivas],tblOrdenes[semana],$A416,tblOrdenes[clasificacion],"correctiva")</f>
        <v/>
      </c>
      <c r="D416" s="15">
        <f>IF(B416=0,"",C416/B416)</f>
        <v/>
      </c>
      <c r="E416" s="15">
        <f>IF(B416+C416=0,"",C416/(B416+C416))</f>
        <v/>
      </c>
      <c r="F416" s="3">
        <f>IF(E416="","",IF(E416&lt;=1-p_meta_ratio_prev_corr,"SI","NO"))</f>
        <v/>
      </c>
    </row>
    <row r="417" hidden="1">
      <c r="A417" s="3">
        <f>$O$51</f>
        <v/>
      </c>
      <c r="B417" s="14">
        <f>SUMIFS(tblOrdenes[horas_efectivas],tblOrdenes[semana],$A417,tblOrdenes[clasificacion],"preventiva")</f>
        <v/>
      </c>
      <c r="C417" s="14">
        <f>SUMIFS(tblOrdenes[horas_efectivas],tblOrdenes[semana],$A417,tblOrdenes[clasificacion],"correctiva")</f>
        <v/>
      </c>
      <c r="D417" s="15">
        <f>IF(B417=0,"",C417/B417)</f>
        <v/>
      </c>
      <c r="E417" s="15">
        <f>IF(B417+C417=0,"",C417/(B417+C417))</f>
        <v/>
      </c>
      <c r="F417" s="3">
        <f>IF(E417="","",IF(E417&lt;=1-p_meta_ratio_prev_corr,"SI","NO"))</f>
        <v/>
      </c>
    </row>
    <row r="418" hidden="1">
      <c r="A418" s="3">
        <f>$O$52</f>
        <v/>
      </c>
      <c r="B418" s="14">
        <f>SUMIFS(tblOrdenes[horas_efectivas],tblOrdenes[semana],$A418,tblOrdenes[clasificacion],"preventiva")</f>
        <v/>
      </c>
      <c r="C418" s="14">
        <f>SUMIFS(tblOrdenes[horas_efectivas],tblOrdenes[semana],$A418,tblOrdenes[clasificacion],"correctiva")</f>
        <v/>
      </c>
      <c r="D418" s="15">
        <f>IF(B418=0,"",C418/B418)</f>
        <v/>
      </c>
      <c r="E418" s="15">
        <f>IF(B418+C418=0,"",C418/(B418+C418))</f>
        <v/>
      </c>
      <c r="F418" s="3">
        <f>IF(E418="","",IF(E418&lt;=1-p_meta_ratio_prev_corr,"SI","NO"))</f>
        <v/>
      </c>
    </row>
    <row r="419" hidden="1">
      <c r="A419" s="3">
        <f>$O$53</f>
        <v/>
      </c>
      <c r="B419" s="14">
        <f>SUMIFS(tblOrdenes[horas_efectivas],tblOrdenes[semana],$A419,tblOrdenes[clasificacion],"preventiva")</f>
        <v/>
      </c>
      <c r="C419" s="14">
        <f>SUMIFS(tblOrdenes[horas_efectivas],tblOrdenes[semana],$A419,tblOrdenes[clasificacion],"correctiva")</f>
        <v/>
      </c>
      <c r="D419" s="15">
        <f>IF(B419=0,"",C419/B419)</f>
        <v/>
      </c>
      <c r="E419" s="15">
        <f>IF(B419+C419=0,"",C419/(B419+C419))</f>
        <v/>
      </c>
      <c r="F419" s="3">
        <f>IF(E419="","",IF(E419&lt;=1-p_meta_ratio_prev_corr,"SI","NO"))</f>
        <v/>
      </c>
    </row>
    <row r="420" hidden="1">
      <c r="A420" s="3">
        <f>$O$54</f>
        <v/>
      </c>
      <c r="B420" s="14">
        <f>SUMIFS(tblOrdenes[horas_efectivas],tblOrdenes[semana],$A420,tblOrdenes[clasificacion],"preventiva")</f>
        <v/>
      </c>
      <c r="C420" s="14">
        <f>SUMIFS(tblOrdenes[horas_efectivas],tblOrdenes[semana],$A420,tblOrdenes[clasificacion],"correctiva")</f>
        <v/>
      </c>
      <c r="D420" s="15">
        <f>IF(B420=0,"",C420/B420)</f>
        <v/>
      </c>
      <c r="E420" s="15">
        <f>IF(B420+C420=0,"",C420/(B420+C420))</f>
        <v/>
      </c>
      <c r="F420" s="3">
        <f>IF(E420="","",IF(E420&lt;=1-p_meta_ratio_prev_corr,"SI","NO"))</f>
        <v/>
      </c>
    </row>
    <row r="421" hidden="1">
      <c r="A421" s="3">
        <f>$O$55</f>
        <v/>
      </c>
      <c r="B421" s="14">
        <f>SUMIFS(tblOrdenes[horas_efectivas],tblOrdenes[semana],$A421,tblOrdenes[clasificacion],"preventiva")</f>
        <v/>
      </c>
      <c r="C421" s="14">
        <f>SUMIFS(tblOrdenes[horas_efectivas],tblOrdenes[semana],$A421,tblOrdenes[clasificacion],"correctiva")</f>
        <v/>
      </c>
      <c r="D421" s="15">
        <f>IF(B421=0,"",C421/B421)</f>
        <v/>
      </c>
      <c r="E421" s="15">
        <f>IF(B421+C421=0,"",C421/(B421+C421))</f>
        <v/>
      </c>
      <c r="F421" s="3">
        <f>IF(E421="","",IF(E421&lt;=1-p_meta_ratio_prev_corr,"SI","NO"))</f>
        <v/>
      </c>
    </row>
    <row r="422" hidden="1">
      <c r="A422" s="3">
        <f>$O$56</f>
        <v/>
      </c>
      <c r="B422" s="14">
        <f>SUMIFS(tblOrdenes[horas_efectivas],tblOrdenes[semana],$A422,tblOrdenes[clasificacion],"preventiva")</f>
        <v/>
      </c>
      <c r="C422" s="14">
        <f>SUMIFS(tblOrdenes[horas_efectivas],tblOrdenes[semana],$A422,tblOrdenes[clasificacion],"correctiva")</f>
        <v/>
      </c>
      <c r="D422" s="15">
        <f>IF(B422=0,"",C422/B422)</f>
        <v/>
      </c>
      <c r="E422" s="15">
        <f>IF(B422+C422=0,"",C422/(B422+C422))</f>
        <v/>
      </c>
      <c r="F422" s="3">
        <f>IF(E422="","",IF(E422&lt;=1-p_meta_ratio_prev_corr,"SI","NO"))</f>
        <v/>
      </c>
    </row>
    <row r="423" hidden="1">
      <c r="A423" s="3">
        <f>$O$57</f>
        <v/>
      </c>
      <c r="B423" s="14">
        <f>SUMIFS(tblOrdenes[horas_efectivas],tblOrdenes[semana],$A423,tblOrdenes[clasificacion],"preventiva")</f>
        <v/>
      </c>
      <c r="C423" s="14">
        <f>SUMIFS(tblOrdenes[horas_efectivas],tblOrdenes[semana],$A423,tblOrdenes[clasificacion],"correctiva")</f>
        <v/>
      </c>
      <c r="D423" s="15">
        <f>IF(B423=0,"",C423/B423)</f>
        <v/>
      </c>
      <c r="E423" s="15">
        <f>IF(B423+C423=0,"",C423/(B423+C423))</f>
        <v/>
      </c>
      <c r="F423" s="3">
        <f>IF(E423="","",IF(E423&lt;=1-p_meta_ratio_prev_corr,"SI","NO"))</f>
        <v/>
      </c>
    </row>
    <row r="424" hidden="1">
      <c r="A424" s="3">
        <f>$O$58</f>
        <v/>
      </c>
      <c r="B424" s="14">
        <f>SUMIFS(tblOrdenes[horas_efectivas],tblOrdenes[semana],$A424,tblOrdenes[clasificacion],"preventiva")</f>
        <v/>
      </c>
      <c r="C424" s="14">
        <f>SUMIFS(tblOrdenes[horas_efectivas],tblOrdenes[semana],$A424,tblOrdenes[clasificacion],"correctiva")</f>
        <v/>
      </c>
      <c r="D424" s="15">
        <f>IF(B424=0,"",C424/B424)</f>
        <v/>
      </c>
      <c r="E424" s="15">
        <f>IF(B424+C424=0,"",C424/(B424+C424))</f>
        <v/>
      </c>
      <c r="F424" s="3">
        <f>IF(E424="","",IF(E424&lt;=1-p_meta_ratio_prev_corr,"SI","NO"))</f>
        <v/>
      </c>
    </row>
    <row r="425" hidden="1">
      <c r="A425" s="3">
        <f>$O$59</f>
        <v/>
      </c>
      <c r="B425" s="14">
        <f>SUMIFS(tblOrdenes[horas_efectivas],tblOrdenes[semana],$A425,tblOrdenes[clasificacion],"preventiva")</f>
        <v/>
      </c>
      <c r="C425" s="14">
        <f>SUMIFS(tblOrdenes[horas_efectivas],tblOrdenes[semana],$A425,tblOrdenes[clasificacion],"correctiva")</f>
        <v/>
      </c>
      <c r="D425" s="15">
        <f>IF(B425=0,"",C425/B425)</f>
        <v/>
      </c>
      <c r="E425" s="15">
        <f>IF(B425+C425=0,"",C425/(B425+C425))</f>
        <v/>
      </c>
      <c r="F425" s="3">
        <f>IF(E425="","",IF(E425&lt;=1-p_meta_ratio_prev_corr,"SI","NO"))</f>
        <v/>
      </c>
    </row>
    <row r="426" hidden="1">
      <c r="A426" s="3">
        <f>$O$60</f>
        <v/>
      </c>
      <c r="B426" s="14">
        <f>SUMIFS(tblOrdenes[horas_efectivas],tblOrdenes[semana],$A426,tblOrdenes[clasificacion],"preventiva")</f>
        <v/>
      </c>
      <c r="C426" s="14">
        <f>SUMIFS(tblOrdenes[horas_efectivas],tblOrdenes[semana],$A426,tblOrdenes[clasificacion],"correctiva")</f>
        <v/>
      </c>
      <c r="D426" s="15">
        <f>IF(B426=0,"",C426/B426)</f>
        <v/>
      </c>
      <c r="E426" s="15">
        <f>IF(B426+C426=0,"",C426/(B426+C426))</f>
        <v/>
      </c>
      <c r="F426" s="3">
        <f>IF(E426="","",IF(E426&lt;=1-p_meta_ratio_prev_corr,"SI","NO"))</f>
        <v/>
      </c>
    </row>
    <row r="427" hidden="1">
      <c r="A427" s="3">
        <f>$O$61</f>
        <v/>
      </c>
      <c r="B427" s="14">
        <f>SUMIFS(tblOrdenes[horas_efectivas],tblOrdenes[semana],$A427,tblOrdenes[clasificacion],"preventiva")</f>
        <v/>
      </c>
      <c r="C427" s="14">
        <f>SUMIFS(tblOrdenes[horas_efectivas],tblOrdenes[semana],$A427,tblOrdenes[clasificacion],"correctiva")</f>
        <v/>
      </c>
      <c r="D427" s="15">
        <f>IF(B427=0,"",C427/B427)</f>
        <v/>
      </c>
      <c r="E427" s="15">
        <f>IF(B427+C427=0,"",C427/(B427+C427))</f>
        <v/>
      </c>
      <c r="F427" s="3">
        <f>IF(E427="","",IF(E427&lt;=1-p_meta_ratio_prev_corr,"SI","NO"))</f>
        <v/>
      </c>
    </row>
    <row r="428" hidden="1">
      <c r="A428" s="3">
        <f>$O$62</f>
        <v/>
      </c>
      <c r="B428" s="14">
        <f>SUMIFS(tblOrdenes[horas_efectivas],tblOrdenes[semana],$A428,tblOrdenes[clasificacion],"preventiva")</f>
        <v/>
      </c>
      <c r="C428" s="14">
        <f>SUMIFS(tblOrdenes[horas_efectivas],tblOrdenes[semana],$A428,tblOrdenes[clasificacion],"correctiva")</f>
        <v/>
      </c>
      <c r="D428" s="15">
        <f>IF(B428=0,"",C428/B428)</f>
        <v/>
      </c>
      <c r="E428" s="15">
        <f>IF(B428+C428=0,"",C428/(B428+C428))</f>
        <v/>
      </c>
      <c r="F428" s="3">
        <f>IF(E428="","",IF(E428&lt;=1-p_meta_ratio_prev_corr,"SI","NO"))</f>
        <v/>
      </c>
    </row>
    <row r="429" hidden="1">
      <c r="A429" s="3">
        <f>$O$63</f>
        <v/>
      </c>
      <c r="B429" s="14">
        <f>SUMIFS(tblOrdenes[horas_efectivas],tblOrdenes[semana],$A429,tblOrdenes[clasificacion],"preventiva")</f>
        <v/>
      </c>
      <c r="C429" s="14">
        <f>SUMIFS(tblOrdenes[horas_efectivas],tblOrdenes[semana],$A429,tblOrdenes[clasificacion],"correctiva")</f>
        <v/>
      </c>
      <c r="D429" s="15">
        <f>IF(B429=0,"",C429/B429)</f>
        <v/>
      </c>
      <c r="E429" s="15">
        <f>IF(B429+C429=0,"",C429/(B429+C429))</f>
        <v/>
      </c>
      <c r="F429" s="3">
        <f>IF(E429="","",IF(E429&lt;=1-p_meta_ratio_prev_corr,"SI","NO"))</f>
        <v/>
      </c>
    </row>
  </sheetData>
  <conditionalFormatting sqref="I4:I303">
    <cfRule type="cellIs" priority="1" operator="lessThan" dxfId="2">
      <formula>0.85</formula>
    </cfRule>
    <cfRule type="cellIs" priority="2" operator="between" dxfId="1">
      <formula>0.85</formula>
      <formula>1</formula>
    </cfRule>
    <cfRule type="cellIs" priority="3" operator="greaterThan" dxfId="0">
      <formula>1</formula>
    </cfRule>
  </conditionalFormatting>
  <conditionalFormatting sqref="B307:F366">
    <cfRule type="cellIs" priority="4" operator="lessThan" dxfId="2">
      <formula>0.85</formula>
    </cfRule>
    <cfRule type="cellIs" priority="5" operator="between" dxfId="1">
      <formula>0.85</formula>
      <formula>1</formula>
    </cfRule>
    <cfRule type="cellIs" priority="6" operator="greaterThan" dxfId="0">
      <formula>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V1225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4" customWidth="1" min="4" max="4"/>
    <col width="13" customWidth="1" min="5" max="5"/>
    <col width="12" customWidth="1" min="6" max="6"/>
    <col width="13" customWidth="1" min="7" max="7"/>
    <col width="15" customWidth="1" min="8" max="8"/>
    <col width="30" customWidth="1" min="9" max="9"/>
    <col width="9" customWidth="1" min="10" max="10"/>
    <col width="7" customWidth="1" min="11" max="11"/>
    <col width="11" customWidth="1" min="12" max="12"/>
    <col width="9" customWidth="1" min="13" max="13"/>
    <col width="13" customWidth="1" min="16" max="16"/>
    <col width="12" customWidth="1" min="17" max="17"/>
    <col width="20" customWidth="1" min="18" max="18"/>
    <col width="13" customWidth="1" min="19" max="19"/>
    <col width="15" customWidth="1" min="20" max="20"/>
    <col width="15" customWidth="1" min="21" max="21"/>
    <col width="11" customWidth="1" min="22" max="22"/>
  </cols>
  <sheetData>
    <row r="1">
      <c r="A1" s="4" t="inlineStr">
        <is>
          <t>PLAN SEMANAL — el gráfico de carga y la grilla responden a los mismos selectores. "(todos)" desactiva un criterio; "-" significa vacío.</t>
        </is>
      </c>
    </row>
    <row r="2">
      <c r="P2" s="2" t="inlineStr">
        <is>
          <t>datos del gráfico de carga — no editar</t>
        </is>
      </c>
    </row>
    <row r="3">
      <c r="A3" s="4" t="inlineStr">
        <is>
          <t>semana:</t>
        </is>
      </c>
      <c r="B3" s="16" t="inlineStr">
        <is>
          <t>2026-S30</t>
        </is>
      </c>
      <c r="C3" s="4" t="inlineStr">
        <is>
          <t>día:</t>
        </is>
      </c>
      <c r="D3" s="16" t="inlineStr">
        <is>
          <t>(todos)</t>
        </is>
      </c>
      <c r="E3" s="4" t="inlineStr">
        <is>
          <t>turno:</t>
        </is>
      </c>
      <c r="F3" s="16" t="inlineStr">
        <is>
          <t>(todos)</t>
        </is>
      </c>
      <c r="G3" s="4" t="inlineStr">
        <is>
          <t>coordinador:</t>
        </is>
      </c>
      <c r="H3" s="16" t="inlineStr">
        <is>
          <t>(todos)</t>
        </is>
      </c>
      <c r="I3" s="4" t="inlineStr">
        <is>
          <t>área:</t>
        </is>
      </c>
      <c r="J3" s="16" t="inlineStr">
        <is>
          <t>(todos)</t>
        </is>
      </c>
      <c r="K3" s="4" t="inlineStr">
        <is>
          <t>especialidad:</t>
        </is>
      </c>
      <c r="L3" s="16" t="inlineStr">
        <is>
          <t>(todos)</t>
        </is>
      </c>
      <c r="P3" s="5" t="inlineStr">
        <is>
          <t>tecnico</t>
        </is>
      </c>
      <c r="Q3" s="5" t="inlineStr">
        <is>
          <t>especialidad</t>
        </is>
      </c>
      <c r="R3" s="5" t="inlineStr">
        <is>
          <t>etiqueta</t>
        </is>
      </c>
      <c r="S3" s="5" t="inlineStr">
        <is>
          <t>hha_seleccion</t>
        </is>
      </c>
      <c r="T3" s="5" t="inlineStr">
        <is>
          <t>dentro_capacidad</t>
        </is>
      </c>
      <c r="U3" s="5" t="inlineStr">
        <is>
          <t>sobreasignacion</t>
        </is>
      </c>
      <c r="V3" s="5" t="inlineStr">
        <is>
          <t>capacidad</t>
        </is>
      </c>
    </row>
    <row r="4">
      <c r="P4" s="3" t="inlineStr">
        <is>
          <t>Técnico 01</t>
        </is>
      </c>
      <c r="Q4" s="3" t="inlineStr">
        <is>
          <t>MEC</t>
        </is>
      </c>
      <c r="R4" s="3">
        <f>IF(OR($B$3="(todos)",$D$3="(todos)"),$P4,$P4&amp;" ("&amp;_xlfn.XLOOKUP($B$3&amp;"|"&amp;$D$3&amp;"|"&amp;$P4,tblAsignaciones[clave],tblAsignaciones[turno],"")&amp;")")</f>
        <v/>
      </c>
      <c r="S4" s="14">
        <f>IF(AND($L$3&lt;&gt;"(todos)",$Q4&lt;&gt;$L$3),NA(),SUMIFS(tblOrdenes[horas_efectivas],tblOrdenes[tecnico_asignado],$P4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4" s="14">
        <f>IF(ISNA($S4),NA(),MIN($S4,$V4))</f>
        <v/>
      </c>
      <c r="U4" s="14">
        <f>IF(ISNA($S4),NA(),MAX(0,$S4-$V4))</f>
        <v/>
      </c>
      <c r="V4" s="14">
        <f>IF(AND($L$3&lt;&gt;"(todos)",$Q4&lt;&gt;$L$3),NA(),p_factor_productividad*SUMIFS(tblAsignaciones[horas_disponibles],tblAsignaciones[tecnico],$P4,tblAsignaciones[semana],IF($B$3="(todos)","*",$B$3),tblAsignaciones[dia],IF($D$3="(todos)","*",$D$3)))</f>
        <v/>
      </c>
    </row>
    <row r="5">
      <c r="A5" s="4" t="inlineStr">
        <is>
          <t>órdenes:</t>
        </is>
      </c>
      <c r="B5" s="3">
        <f>COUNTIFS($A$26:$A$1225,IF($B$3="(todos)","*",$B$3),$B$26:$B$1225,IF($D$3="(todos)","*",$D$3),$C$26:$C$1225,IF($F$3="(todos)","*",$F$3),$D$26:$D$1225,IF($H$3="(todos)","*",$H$3),$E$26:$E$1225,IF($J$3="(todos)","*",$J$3),$F$26:$F$1225,IF($L$3="(todos)","*",$L$3))</f>
        <v/>
      </c>
      <c r="C5" s="4" t="inlineStr">
        <is>
          <t>HH:</t>
        </is>
      </c>
      <c r="D5" s="14">
        <f>SUMIFS($K$26:$K$1225,$A$26:$A$1225,IF($B$3="(todos)","*",$B$3),$B$26:$B$1225,IF($D$3="(todos)","*",$D$3),$C$26:$C$1225,IF($F$3="(todos)","*",$F$3),$D$26:$D$1225,IF($H$3="(todos)","*",$H$3),$E$26:$E$1225,IF($J$3="(todos)","*",$J$3),$F$26:$F$1225,IF($L$3="(todos)","*",$L$3))</f>
        <v/>
      </c>
      <c r="P5" s="3" t="inlineStr">
        <is>
          <t>Técnico 02</t>
        </is>
      </c>
      <c r="Q5" s="3" t="inlineStr">
        <is>
          <t>MEC</t>
        </is>
      </c>
      <c r="R5" s="3">
        <f>IF(OR($B$3="(todos)",$D$3="(todos)"),$P5,$P5&amp;" ("&amp;_xlfn.XLOOKUP($B$3&amp;"|"&amp;$D$3&amp;"|"&amp;$P5,tblAsignaciones[clave],tblAsignaciones[turno],"")&amp;")")</f>
        <v/>
      </c>
      <c r="S5" s="14">
        <f>IF(AND($L$3&lt;&gt;"(todos)",$Q5&lt;&gt;$L$3),NA(),SUMIFS(tblOrdenes[horas_efectivas],tblOrdenes[tecnico_asignado],$P5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5" s="14">
        <f>IF(ISNA($S5),NA(),MIN($S5,$V5))</f>
        <v/>
      </c>
      <c r="U5" s="14">
        <f>IF(ISNA($S5),NA(),MAX(0,$S5-$V5))</f>
        <v/>
      </c>
      <c r="V5" s="14">
        <f>IF(AND($L$3&lt;&gt;"(todos)",$Q5&lt;&gt;$L$3),NA(),p_factor_productividad*SUMIFS(tblAsignaciones[horas_disponibles],tblAsignaciones[tecnico],$P5,tblAsignaciones[semana],IF($B$3="(todos)","*",$B$3),tblAsignaciones[dia],IF($D$3="(todos)","*",$D$3)))</f>
        <v/>
      </c>
    </row>
    <row r="6">
      <c r="P6" s="3" t="inlineStr">
        <is>
          <t>Técnico 03</t>
        </is>
      </c>
      <c r="Q6" s="3" t="inlineStr">
        <is>
          <t>MEC</t>
        </is>
      </c>
      <c r="R6" s="3">
        <f>IF(OR($B$3="(todos)",$D$3="(todos)"),$P6,$P6&amp;" ("&amp;_xlfn.XLOOKUP($B$3&amp;"|"&amp;$D$3&amp;"|"&amp;$P6,tblAsignaciones[clave],tblAsignaciones[turno],"")&amp;")")</f>
        <v/>
      </c>
      <c r="S6" s="14">
        <f>IF(AND($L$3&lt;&gt;"(todos)",$Q6&lt;&gt;$L$3),NA(),SUMIFS(tblOrdenes[horas_efectivas],tblOrdenes[tecnico_asignado],$P6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6" s="14">
        <f>IF(ISNA($S6),NA(),MIN($S6,$V6))</f>
        <v/>
      </c>
      <c r="U6" s="14">
        <f>IF(ISNA($S6),NA(),MAX(0,$S6-$V6))</f>
        <v/>
      </c>
      <c r="V6" s="14">
        <f>IF(AND($L$3&lt;&gt;"(todos)",$Q6&lt;&gt;$L$3),NA(),p_factor_productividad*SUMIFS(tblAsignaciones[horas_disponibles],tblAsignaciones[tecnico],$P6,tblAsignaciones[semana],IF($B$3="(todos)","*",$B$3),tblAsignaciones[dia],IF($D$3="(todos)","*",$D$3)))</f>
        <v/>
      </c>
    </row>
    <row r="7">
      <c r="P7" s="3" t="inlineStr">
        <is>
          <t>Técnico 04</t>
        </is>
      </c>
      <c r="Q7" s="3" t="inlineStr">
        <is>
          <t>MEC</t>
        </is>
      </c>
      <c r="R7" s="3">
        <f>IF(OR($B$3="(todos)",$D$3="(todos)"),$P7,$P7&amp;" ("&amp;_xlfn.XLOOKUP($B$3&amp;"|"&amp;$D$3&amp;"|"&amp;$P7,tblAsignaciones[clave],tblAsignaciones[turno],"")&amp;")")</f>
        <v/>
      </c>
      <c r="S7" s="14">
        <f>IF(AND($L$3&lt;&gt;"(todos)",$Q7&lt;&gt;$L$3),NA(),SUMIFS(tblOrdenes[horas_efectivas],tblOrdenes[tecnico_asignado],$P7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7" s="14">
        <f>IF(ISNA($S7),NA(),MIN($S7,$V7))</f>
        <v/>
      </c>
      <c r="U7" s="14">
        <f>IF(ISNA($S7),NA(),MAX(0,$S7-$V7))</f>
        <v/>
      </c>
      <c r="V7" s="14">
        <f>IF(AND($L$3&lt;&gt;"(todos)",$Q7&lt;&gt;$L$3),NA(),p_factor_productividad*SUMIFS(tblAsignaciones[horas_disponibles],tblAsignaciones[tecnico],$P7,tblAsignaciones[semana],IF($B$3="(todos)","*",$B$3),tblAsignaciones[dia],IF($D$3="(todos)","*",$D$3)))</f>
        <v/>
      </c>
    </row>
    <row r="8">
      <c r="P8" s="3" t="inlineStr">
        <is>
          <t>Técnico 05</t>
        </is>
      </c>
      <c r="Q8" s="3" t="inlineStr">
        <is>
          <t>ELE</t>
        </is>
      </c>
      <c r="R8" s="3">
        <f>IF(OR($B$3="(todos)",$D$3="(todos)"),$P8,$P8&amp;" ("&amp;_xlfn.XLOOKUP($B$3&amp;"|"&amp;$D$3&amp;"|"&amp;$P8,tblAsignaciones[clave],tblAsignaciones[turno],"")&amp;")")</f>
        <v/>
      </c>
      <c r="S8" s="14">
        <f>IF(AND($L$3&lt;&gt;"(todos)",$Q8&lt;&gt;$L$3),NA(),SUMIFS(tblOrdenes[horas_efectivas],tblOrdenes[tecnico_asignado],$P8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8" s="14">
        <f>IF(ISNA($S8),NA(),MIN($S8,$V8))</f>
        <v/>
      </c>
      <c r="U8" s="14">
        <f>IF(ISNA($S8),NA(),MAX(0,$S8-$V8))</f>
        <v/>
      </c>
      <c r="V8" s="14">
        <f>IF(AND($L$3&lt;&gt;"(todos)",$Q8&lt;&gt;$L$3),NA(),p_factor_productividad*SUMIFS(tblAsignaciones[horas_disponibles],tblAsignaciones[tecnico],$P8,tblAsignaciones[semana],IF($B$3="(todos)","*",$B$3),tblAsignaciones[dia],IF($D$3="(todos)","*",$D$3)))</f>
        <v/>
      </c>
    </row>
    <row r="9">
      <c r="P9" s="3" t="inlineStr">
        <is>
          <t>Técnico 06</t>
        </is>
      </c>
      <c r="Q9" s="3" t="inlineStr">
        <is>
          <t>ELE</t>
        </is>
      </c>
      <c r="R9" s="3">
        <f>IF(OR($B$3="(todos)",$D$3="(todos)"),$P9,$P9&amp;" ("&amp;_xlfn.XLOOKUP($B$3&amp;"|"&amp;$D$3&amp;"|"&amp;$P9,tblAsignaciones[clave],tblAsignaciones[turno],"")&amp;")")</f>
        <v/>
      </c>
      <c r="S9" s="14">
        <f>IF(AND($L$3&lt;&gt;"(todos)",$Q9&lt;&gt;$L$3),NA(),SUMIFS(tblOrdenes[horas_efectivas],tblOrdenes[tecnico_asignado],$P9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9" s="14">
        <f>IF(ISNA($S9),NA(),MIN($S9,$V9))</f>
        <v/>
      </c>
      <c r="U9" s="14">
        <f>IF(ISNA($S9),NA(),MAX(0,$S9-$V9))</f>
        <v/>
      </c>
      <c r="V9" s="14">
        <f>IF(AND($L$3&lt;&gt;"(todos)",$Q9&lt;&gt;$L$3),NA(),p_factor_productividad*SUMIFS(tblAsignaciones[horas_disponibles],tblAsignaciones[tecnico],$P9,tblAsignaciones[semana],IF($B$3="(todos)","*",$B$3),tblAsignaciones[dia],IF($D$3="(todos)","*",$D$3)))</f>
        <v/>
      </c>
    </row>
    <row r="10">
      <c r="P10" s="3" t="inlineStr">
        <is>
          <t>Técnico 07</t>
        </is>
      </c>
      <c r="Q10" s="3" t="inlineStr">
        <is>
          <t>ELE</t>
        </is>
      </c>
      <c r="R10" s="3">
        <f>IF(OR($B$3="(todos)",$D$3="(todos)"),$P10,$P10&amp;" ("&amp;_xlfn.XLOOKUP($B$3&amp;"|"&amp;$D$3&amp;"|"&amp;$P10,tblAsignaciones[clave],tblAsignaciones[turno],"")&amp;")")</f>
        <v/>
      </c>
      <c r="S10" s="14">
        <f>IF(AND($L$3&lt;&gt;"(todos)",$Q10&lt;&gt;$L$3),NA(),SUMIFS(tblOrdenes[horas_efectivas],tblOrdenes[tecnico_asignado],$P10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10" s="14">
        <f>IF(ISNA($S10),NA(),MIN($S10,$V10))</f>
        <v/>
      </c>
      <c r="U10" s="14">
        <f>IF(ISNA($S10),NA(),MAX(0,$S10-$V10))</f>
        <v/>
      </c>
      <c r="V10" s="14">
        <f>IF(AND($L$3&lt;&gt;"(todos)",$Q10&lt;&gt;$L$3),NA(),p_factor_productividad*SUMIFS(tblAsignaciones[horas_disponibles],tblAsignaciones[tecnico],$P10,tblAsignaciones[semana],IF($B$3="(todos)","*",$B$3),tblAsignaciones[dia],IF($D$3="(todos)","*",$D$3)))</f>
        <v/>
      </c>
    </row>
    <row r="11">
      <c r="P11" s="3" t="inlineStr">
        <is>
          <t>Técnico 08</t>
        </is>
      </c>
      <c r="Q11" s="3" t="inlineStr">
        <is>
          <t>AUT</t>
        </is>
      </c>
      <c r="R11" s="3">
        <f>IF(OR($B$3="(todos)",$D$3="(todos)"),$P11,$P11&amp;" ("&amp;_xlfn.XLOOKUP($B$3&amp;"|"&amp;$D$3&amp;"|"&amp;$P11,tblAsignaciones[clave],tblAsignaciones[turno],"")&amp;")")</f>
        <v/>
      </c>
      <c r="S11" s="14">
        <f>IF(AND($L$3&lt;&gt;"(todos)",$Q11&lt;&gt;$L$3),NA(),SUMIFS(tblOrdenes[horas_efectivas],tblOrdenes[tecnico_asignado],$P11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11" s="14">
        <f>IF(ISNA($S11),NA(),MIN($S11,$V11))</f>
        <v/>
      </c>
      <c r="U11" s="14">
        <f>IF(ISNA($S11),NA(),MAX(0,$S11-$V11))</f>
        <v/>
      </c>
      <c r="V11" s="14">
        <f>IF(AND($L$3&lt;&gt;"(todos)",$Q11&lt;&gt;$L$3),NA(),p_factor_productividad*SUMIFS(tblAsignaciones[horas_disponibles],tblAsignaciones[tecnico],$P11,tblAsignaciones[semana],IF($B$3="(todos)","*",$B$3),tblAsignaciones[dia],IF($D$3="(todos)","*",$D$3)))</f>
        <v/>
      </c>
    </row>
    <row r="12">
      <c r="P12" s="3" t="inlineStr">
        <is>
          <t>Técnico 09</t>
        </is>
      </c>
      <c r="Q12" s="3" t="inlineStr">
        <is>
          <t>AUT</t>
        </is>
      </c>
      <c r="R12" s="3">
        <f>IF(OR($B$3="(todos)",$D$3="(todos)"),$P12,$P12&amp;" ("&amp;_xlfn.XLOOKUP($B$3&amp;"|"&amp;$D$3&amp;"|"&amp;$P12,tblAsignaciones[clave],tblAsignaciones[turno],"")&amp;")")</f>
        <v/>
      </c>
      <c r="S12" s="14">
        <f>IF(AND($L$3&lt;&gt;"(todos)",$Q12&lt;&gt;$L$3),NA(),SUMIFS(tblOrdenes[horas_efectivas],tblOrdenes[tecnico_asignado],$P12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12" s="14">
        <f>IF(ISNA($S12),NA(),MIN($S12,$V12))</f>
        <v/>
      </c>
      <c r="U12" s="14">
        <f>IF(ISNA($S12),NA(),MAX(0,$S12-$V12))</f>
        <v/>
      </c>
      <c r="V12" s="14">
        <f>IF(AND($L$3&lt;&gt;"(todos)",$Q12&lt;&gt;$L$3),NA(),p_factor_productividad*SUMIFS(tblAsignaciones[horas_disponibles],tblAsignaciones[tecnico],$P12,tblAsignaciones[semana],IF($B$3="(todos)","*",$B$3),tblAsignaciones[dia],IF($D$3="(todos)","*",$D$3)))</f>
        <v/>
      </c>
    </row>
    <row r="13">
      <c r="P13" s="3" t="inlineStr">
        <is>
          <t>Técnico 10</t>
        </is>
      </c>
      <c r="Q13" s="3" t="inlineStr">
        <is>
          <t>OP</t>
        </is>
      </c>
      <c r="R13" s="3">
        <f>IF(OR($B$3="(todos)",$D$3="(todos)"),$P13,$P13&amp;" ("&amp;_xlfn.XLOOKUP($B$3&amp;"|"&amp;$D$3&amp;"|"&amp;$P13,tblAsignaciones[clave],tblAsignaciones[turno],"")&amp;")")</f>
        <v/>
      </c>
      <c r="S13" s="14">
        <f>IF(AND($L$3&lt;&gt;"(todos)",$Q13&lt;&gt;$L$3),NA(),SUMIFS(tblOrdenes[horas_efectivas],tblOrdenes[tecnico_asignado],$P13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13" s="14">
        <f>IF(ISNA($S13),NA(),MIN($S13,$V13))</f>
        <v/>
      </c>
      <c r="U13" s="14">
        <f>IF(ISNA($S13),NA(),MAX(0,$S13-$V13))</f>
        <v/>
      </c>
      <c r="V13" s="14">
        <f>IF(AND($L$3&lt;&gt;"(todos)",$Q13&lt;&gt;$L$3),NA(),p_factor_productividad*SUMIFS(tblAsignaciones[horas_disponibles],tblAsignaciones[tecnico],$P13,tblAsignaciones[semana],IF($B$3="(todos)","*",$B$3),tblAsignaciones[dia],IF($D$3="(todos)","*",$D$3)))</f>
        <v/>
      </c>
    </row>
    <row r="14">
      <c r="P14" s="3" t="inlineStr">
        <is>
          <t>Técnico 11</t>
        </is>
      </c>
      <c r="Q14" s="3" t="inlineStr">
        <is>
          <t>OP</t>
        </is>
      </c>
      <c r="R14" s="3">
        <f>IF(OR($B$3="(todos)",$D$3="(todos)"),$P14,$P14&amp;" ("&amp;_xlfn.XLOOKUP($B$3&amp;"|"&amp;$D$3&amp;"|"&amp;$P14,tblAsignaciones[clave],tblAsignaciones[turno],"")&amp;")")</f>
        <v/>
      </c>
      <c r="S14" s="14">
        <f>IF(AND($L$3&lt;&gt;"(todos)",$Q14&lt;&gt;$L$3),NA(),SUMIFS(tblOrdenes[horas_efectivas],tblOrdenes[tecnico_asignado],$P14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14" s="14">
        <f>IF(ISNA($S14),NA(),MIN($S14,$V14))</f>
        <v/>
      </c>
      <c r="U14" s="14">
        <f>IF(ISNA($S14),NA(),MAX(0,$S14-$V14))</f>
        <v/>
      </c>
      <c r="V14" s="14">
        <f>IF(AND($L$3&lt;&gt;"(todos)",$Q14&lt;&gt;$L$3),NA(),p_factor_productividad*SUMIFS(tblAsignaciones[horas_disponibles],tblAsignaciones[tecnico],$P14,tblAsignaciones[semana],IF($B$3="(todos)","*",$B$3),tblAsignaciones[dia],IF($D$3="(todos)","*",$D$3)))</f>
        <v/>
      </c>
    </row>
    <row r="15">
      <c r="P15" s="3" t="inlineStr">
        <is>
          <t>Técnico 12</t>
        </is>
      </c>
      <c r="Q15" s="3" t="inlineStr">
        <is>
          <t>OP</t>
        </is>
      </c>
      <c r="R15" s="3">
        <f>IF(OR($B$3="(todos)",$D$3="(todos)"),$P15,$P15&amp;" ("&amp;_xlfn.XLOOKUP($B$3&amp;"|"&amp;$D$3&amp;"|"&amp;$P15,tblAsignaciones[clave],tblAsignaciones[turno],"")&amp;")")</f>
        <v/>
      </c>
      <c r="S15" s="14">
        <f>IF(AND($L$3&lt;&gt;"(todos)",$Q15&lt;&gt;$L$3),NA(),SUMIFS(tblOrdenes[horas_efectivas],tblOrdenes[tecnico_asignado],$P15,tblOrdenes[semana],IF($B$3="(todos)","*",$B$3),tblOrdenes[dia_semana],IF($D$3="(todos)","*",$D$3),tblOrdenes[turno_asignado],IF($F$3="(todos)","*",$F$3),tblOrdenes[coordinador],IF($H$3="(todos)","*",$H$3),tblOrdenes[area],IF($J$3="(todos)","*",$J$3)))</f>
        <v/>
      </c>
      <c r="T15" s="14">
        <f>IF(ISNA($S15),NA(),MIN($S15,$V15))</f>
        <v/>
      </c>
      <c r="U15" s="14">
        <f>IF(ISNA($S15),NA(),MAX(0,$S15-$V15))</f>
        <v/>
      </c>
      <c r="V15" s="14">
        <f>IF(AND($L$3&lt;&gt;"(todos)",$Q15&lt;&gt;$L$3),NA(),p_factor_productividad*SUMIFS(tblAsignaciones[horas_disponibles],tblAsignaciones[tecnico],$P15,tblAsignaciones[semana],IF($B$3="(todos)","*",$B$3),tblAsignaciones[dia],IF($D$3="(todos)","*",$D$3)))</f>
        <v/>
      </c>
    </row>
    <row r="25">
      <c r="A25" s="5" t="inlineStr">
        <is>
          <t>semana</t>
        </is>
      </c>
      <c r="B25" s="5" t="inlineStr">
        <is>
          <t>dia</t>
        </is>
      </c>
      <c r="C25" s="5" t="inlineStr">
        <is>
          <t>turno</t>
        </is>
      </c>
      <c r="D25" s="5" t="inlineStr">
        <is>
          <t>coordinador</t>
        </is>
      </c>
      <c r="E25" s="5" t="inlineStr">
        <is>
          <t>area</t>
        </is>
      </c>
      <c r="F25" s="5" t="inlineStr">
        <is>
          <t>especialidad</t>
        </is>
      </c>
      <c r="G25" s="5" t="inlineStr">
        <is>
          <t>tecnico</t>
        </is>
      </c>
      <c r="H25" s="5" t="inlineStr">
        <is>
          <t>id_operacion</t>
        </is>
      </c>
      <c r="I25" s="5" t="inlineStr">
        <is>
          <t>descripcion_operacion</t>
        </is>
      </c>
      <c r="J25" s="5" t="inlineStr">
        <is>
          <t>equipo</t>
        </is>
      </c>
      <c r="K25" s="5" t="inlineStr">
        <is>
          <t>horas</t>
        </is>
      </c>
      <c r="L25" s="5" t="inlineStr">
        <is>
          <t>estado</t>
        </is>
      </c>
      <c r="M25" s="5" t="inlineStr">
        <is>
          <t>en_plan</t>
        </is>
      </c>
    </row>
    <row r="26">
      <c r="A26" s="3">
        <f>IF('ORDENES'!$A4="","",IF('ORDENES'!$P4="","-",'ORDENES'!$P4))</f>
        <v/>
      </c>
      <c r="B26" s="3">
        <f>IF('ORDENES'!$A4="","",IF('ORDENES'!$S4="","-",'ORDENES'!$S4))</f>
        <v/>
      </c>
      <c r="C26" s="3">
        <f>IF('ORDENES'!$A4="","",IF('ORDENES'!$AD4="","-",'ORDENES'!$AD4))</f>
        <v/>
      </c>
      <c r="D26" s="3">
        <f>IF('ORDENES'!$A4="","",IF('ORDENES'!$W4="","-",'ORDENES'!$W4))</f>
        <v/>
      </c>
      <c r="E26" s="3">
        <f>IF('ORDENES'!$A4="","",IF('ORDENES'!$V4="","-",'ORDENES'!$V4))</f>
        <v/>
      </c>
      <c r="F26" s="3">
        <f>IF('ORDENES'!$A4="","",IF('ORDENES'!$X4="","-",'ORDENES'!$X4))</f>
        <v/>
      </c>
      <c r="G26" s="3">
        <f>IF('ORDENES'!$A4="","",IF('ORDENES'!$AC4="","-",'ORDENES'!$AC4))</f>
        <v/>
      </c>
      <c r="H26" s="3">
        <f>IF('ORDENES'!$A4="","",IF('ORDENES'!$AO4="","-",'ORDENES'!$AO4))</f>
        <v/>
      </c>
      <c r="I26" s="3">
        <f>IF('ORDENES'!$A4="","",IF('ORDENES'!$D4="","-",'ORDENES'!$D4))</f>
        <v/>
      </c>
      <c r="J26" s="3">
        <f>IF('ORDENES'!$A4="","",IF('ORDENES'!$E4="","-",'ORDENES'!$E4))</f>
        <v/>
      </c>
      <c r="K26" s="12">
        <f>IF('ORDENES'!$A4="","",IF('ORDENES'!$N4="",0,'ORDENES'!$N4))</f>
        <v/>
      </c>
      <c r="L26" s="3">
        <f>IF('ORDENES'!$A4="","",IF('ORDENES'!$O4="","-",'ORDENES'!$O4))</f>
        <v/>
      </c>
      <c r="M26" s="3">
        <f>IF('ORDENES'!$A4="","",'ORDENES'!$AB4)</f>
        <v/>
      </c>
    </row>
    <row r="27">
      <c r="A27" s="3">
        <f>IF('ORDENES'!$A5="","",IF('ORDENES'!$P5="","-",'ORDENES'!$P5))</f>
        <v/>
      </c>
      <c r="B27" s="3">
        <f>IF('ORDENES'!$A5="","",IF('ORDENES'!$S5="","-",'ORDENES'!$S5))</f>
        <v/>
      </c>
      <c r="C27" s="3">
        <f>IF('ORDENES'!$A5="","",IF('ORDENES'!$AD5="","-",'ORDENES'!$AD5))</f>
        <v/>
      </c>
      <c r="D27" s="3">
        <f>IF('ORDENES'!$A5="","",IF('ORDENES'!$W5="","-",'ORDENES'!$W5))</f>
        <v/>
      </c>
      <c r="E27" s="3">
        <f>IF('ORDENES'!$A5="","",IF('ORDENES'!$V5="","-",'ORDENES'!$V5))</f>
        <v/>
      </c>
      <c r="F27" s="3">
        <f>IF('ORDENES'!$A5="","",IF('ORDENES'!$X5="","-",'ORDENES'!$X5))</f>
        <v/>
      </c>
      <c r="G27" s="3">
        <f>IF('ORDENES'!$A5="","",IF('ORDENES'!$AC5="","-",'ORDENES'!$AC5))</f>
        <v/>
      </c>
      <c r="H27" s="3">
        <f>IF('ORDENES'!$A5="","",IF('ORDENES'!$AO5="","-",'ORDENES'!$AO5))</f>
        <v/>
      </c>
      <c r="I27" s="3">
        <f>IF('ORDENES'!$A5="","",IF('ORDENES'!$D5="","-",'ORDENES'!$D5))</f>
        <v/>
      </c>
      <c r="J27" s="3">
        <f>IF('ORDENES'!$A5="","",IF('ORDENES'!$E5="","-",'ORDENES'!$E5))</f>
        <v/>
      </c>
      <c r="K27" s="12">
        <f>IF('ORDENES'!$A5="","",IF('ORDENES'!$N5="",0,'ORDENES'!$N5))</f>
        <v/>
      </c>
      <c r="L27" s="3">
        <f>IF('ORDENES'!$A5="","",IF('ORDENES'!$O5="","-",'ORDENES'!$O5))</f>
        <v/>
      </c>
      <c r="M27" s="3">
        <f>IF('ORDENES'!$A5="","",'ORDENES'!$AB5)</f>
        <v/>
      </c>
    </row>
    <row r="28">
      <c r="A28" s="3">
        <f>IF('ORDENES'!$A6="","",IF('ORDENES'!$P6="","-",'ORDENES'!$P6))</f>
        <v/>
      </c>
      <c r="B28" s="3">
        <f>IF('ORDENES'!$A6="","",IF('ORDENES'!$S6="","-",'ORDENES'!$S6))</f>
        <v/>
      </c>
      <c r="C28" s="3">
        <f>IF('ORDENES'!$A6="","",IF('ORDENES'!$AD6="","-",'ORDENES'!$AD6))</f>
        <v/>
      </c>
      <c r="D28" s="3">
        <f>IF('ORDENES'!$A6="","",IF('ORDENES'!$W6="","-",'ORDENES'!$W6))</f>
        <v/>
      </c>
      <c r="E28" s="3">
        <f>IF('ORDENES'!$A6="","",IF('ORDENES'!$V6="","-",'ORDENES'!$V6))</f>
        <v/>
      </c>
      <c r="F28" s="3">
        <f>IF('ORDENES'!$A6="","",IF('ORDENES'!$X6="","-",'ORDENES'!$X6))</f>
        <v/>
      </c>
      <c r="G28" s="3">
        <f>IF('ORDENES'!$A6="","",IF('ORDENES'!$AC6="","-",'ORDENES'!$AC6))</f>
        <v/>
      </c>
      <c r="H28" s="3">
        <f>IF('ORDENES'!$A6="","",IF('ORDENES'!$AO6="","-",'ORDENES'!$AO6))</f>
        <v/>
      </c>
      <c r="I28" s="3">
        <f>IF('ORDENES'!$A6="","",IF('ORDENES'!$D6="","-",'ORDENES'!$D6))</f>
        <v/>
      </c>
      <c r="J28" s="3">
        <f>IF('ORDENES'!$A6="","",IF('ORDENES'!$E6="","-",'ORDENES'!$E6))</f>
        <v/>
      </c>
      <c r="K28" s="12">
        <f>IF('ORDENES'!$A6="","",IF('ORDENES'!$N6="",0,'ORDENES'!$N6))</f>
        <v/>
      </c>
      <c r="L28" s="3">
        <f>IF('ORDENES'!$A6="","",IF('ORDENES'!$O6="","-",'ORDENES'!$O6))</f>
        <v/>
      </c>
      <c r="M28" s="3">
        <f>IF('ORDENES'!$A6="","",'ORDENES'!$AB6)</f>
        <v/>
      </c>
    </row>
    <row r="29">
      <c r="A29" s="3">
        <f>IF('ORDENES'!$A7="","",IF('ORDENES'!$P7="","-",'ORDENES'!$P7))</f>
        <v/>
      </c>
      <c r="B29" s="3">
        <f>IF('ORDENES'!$A7="","",IF('ORDENES'!$S7="","-",'ORDENES'!$S7))</f>
        <v/>
      </c>
      <c r="C29" s="3">
        <f>IF('ORDENES'!$A7="","",IF('ORDENES'!$AD7="","-",'ORDENES'!$AD7))</f>
        <v/>
      </c>
      <c r="D29" s="3">
        <f>IF('ORDENES'!$A7="","",IF('ORDENES'!$W7="","-",'ORDENES'!$W7))</f>
        <v/>
      </c>
      <c r="E29" s="3">
        <f>IF('ORDENES'!$A7="","",IF('ORDENES'!$V7="","-",'ORDENES'!$V7))</f>
        <v/>
      </c>
      <c r="F29" s="3">
        <f>IF('ORDENES'!$A7="","",IF('ORDENES'!$X7="","-",'ORDENES'!$X7))</f>
        <v/>
      </c>
      <c r="G29" s="3">
        <f>IF('ORDENES'!$A7="","",IF('ORDENES'!$AC7="","-",'ORDENES'!$AC7))</f>
        <v/>
      </c>
      <c r="H29" s="3">
        <f>IF('ORDENES'!$A7="","",IF('ORDENES'!$AO7="","-",'ORDENES'!$AO7))</f>
        <v/>
      </c>
      <c r="I29" s="3">
        <f>IF('ORDENES'!$A7="","",IF('ORDENES'!$D7="","-",'ORDENES'!$D7))</f>
        <v/>
      </c>
      <c r="J29" s="3">
        <f>IF('ORDENES'!$A7="","",IF('ORDENES'!$E7="","-",'ORDENES'!$E7))</f>
        <v/>
      </c>
      <c r="K29" s="12">
        <f>IF('ORDENES'!$A7="","",IF('ORDENES'!$N7="",0,'ORDENES'!$N7))</f>
        <v/>
      </c>
      <c r="L29" s="3">
        <f>IF('ORDENES'!$A7="","",IF('ORDENES'!$O7="","-",'ORDENES'!$O7))</f>
        <v/>
      </c>
      <c r="M29" s="3">
        <f>IF('ORDENES'!$A7="","",'ORDENES'!$AB7)</f>
        <v/>
      </c>
    </row>
    <row r="30">
      <c r="A30" s="3">
        <f>IF('ORDENES'!$A8="","",IF('ORDENES'!$P8="","-",'ORDENES'!$P8))</f>
        <v/>
      </c>
      <c r="B30" s="3">
        <f>IF('ORDENES'!$A8="","",IF('ORDENES'!$S8="","-",'ORDENES'!$S8))</f>
        <v/>
      </c>
      <c r="C30" s="3">
        <f>IF('ORDENES'!$A8="","",IF('ORDENES'!$AD8="","-",'ORDENES'!$AD8))</f>
        <v/>
      </c>
      <c r="D30" s="3">
        <f>IF('ORDENES'!$A8="","",IF('ORDENES'!$W8="","-",'ORDENES'!$W8))</f>
        <v/>
      </c>
      <c r="E30" s="3">
        <f>IF('ORDENES'!$A8="","",IF('ORDENES'!$V8="","-",'ORDENES'!$V8))</f>
        <v/>
      </c>
      <c r="F30" s="3">
        <f>IF('ORDENES'!$A8="","",IF('ORDENES'!$X8="","-",'ORDENES'!$X8))</f>
        <v/>
      </c>
      <c r="G30" s="3">
        <f>IF('ORDENES'!$A8="","",IF('ORDENES'!$AC8="","-",'ORDENES'!$AC8))</f>
        <v/>
      </c>
      <c r="H30" s="3">
        <f>IF('ORDENES'!$A8="","",IF('ORDENES'!$AO8="","-",'ORDENES'!$AO8))</f>
        <v/>
      </c>
      <c r="I30" s="3">
        <f>IF('ORDENES'!$A8="","",IF('ORDENES'!$D8="","-",'ORDENES'!$D8))</f>
        <v/>
      </c>
      <c r="J30" s="3">
        <f>IF('ORDENES'!$A8="","",IF('ORDENES'!$E8="","-",'ORDENES'!$E8))</f>
        <v/>
      </c>
      <c r="K30" s="12">
        <f>IF('ORDENES'!$A8="","",IF('ORDENES'!$N8="",0,'ORDENES'!$N8))</f>
        <v/>
      </c>
      <c r="L30" s="3">
        <f>IF('ORDENES'!$A8="","",IF('ORDENES'!$O8="","-",'ORDENES'!$O8))</f>
        <v/>
      </c>
      <c r="M30" s="3">
        <f>IF('ORDENES'!$A8="","",'ORDENES'!$AB8)</f>
        <v/>
      </c>
    </row>
    <row r="31">
      <c r="A31" s="3">
        <f>IF('ORDENES'!$A9="","",IF('ORDENES'!$P9="","-",'ORDENES'!$P9))</f>
        <v/>
      </c>
      <c r="B31" s="3">
        <f>IF('ORDENES'!$A9="","",IF('ORDENES'!$S9="","-",'ORDENES'!$S9))</f>
        <v/>
      </c>
      <c r="C31" s="3">
        <f>IF('ORDENES'!$A9="","",IF('ORDENES'!$AD9="","-",'ORDENES'!$AD9))</f>
        <v/>
      </c>
      <c r="D31" s="3">
        <f>IF('ORDENES'!$A9="","",IF('ORDENES'!$W9="","-",'ORDENES'!$W9))</f>
        <v/>
      </c>
      <c r="E31" s="3">
        <f>IF('ORDENES'!$A9="","",IF('ORDENES'!$V9="","-",'ORDENES'!$V9))</f>
        <v/>
      </c>
      <c r="F31" s="3">
        <f>IF('ORDENES'!$A9="","",IF('ORDENES'!$X9="","-",'ORDENES'!$X9))</f>
        <v/>
      </c>
      <c r="G31" s="3">
        <f>IF('ORDENES'!$A9="","",IF('ORDENES'!$AC9="","-",'ORDENES'!$AC9))</f>
        <v/>
      </c>
      <c r="H31" s="3">
        <f>IF('ORDENES'!$A9="","",IF('ORDENES'!$AO9="","-",'ORDENES'!$AO9))</f>
        <v/>
      </c>
      <c r="I31" s="3">
        <f>IF('ORDENES'!$A9="","",IF('ORDENES'!$D9="","-",'ORDENES'!$D9))</f>
        <v/>
      </c>
      <c r="J31" s="3">
        <f>IF('ORDENES'!$A9="","",IF('ORDENES'!$E9="","-",'ORDENES'!$E9))</f>
        <v/>
      </c>
      <c r="K31" s="12">
        <f>IF('ORDENES'!$A9="","",IF('ORDENES'!$N9="",0,'ORDENES'!$N9))</f>
        <v/>
      </c>
      <c r="L31" s="3">
        <f>IF('ORDENES'!$A9="","",IF('ORDENES'!$O9="","-",'ORDENES'!$O9))</f>
        <v/>
      </c>
      <c r="M31" s="3">
        <f>IF('ORDENES'!$A9="","",'ORDENES'!$AB9)</f>
        <v/>
      </c>
    </row>
    <row r="32">
      <c r="A32" s="3">
        <f>IF('ORDENES'!$A10="","",IF('ORDENES'!$P10="","-",'ORDENES'!$P10))</f>
        <v/>
      </c>
      <c r="B32" s="3">
        <f>IF('ORDENES'!$A10="","",IF('ORDENES'!$S10="","-",'ORDENES'!$S10))</f>
        <v/>
      </c>
      <c r="C32" s="3">
        <f>IF('ORDENES'!$A10="","",IF('ORDENES'!$AD10="","-",'ORDENES'!$AD10))</f>
        <v/>
      </c>
      <c r="D32" s="3">
        <f>IF('ORDENES'!$A10="","",IF('ORDENES'!$W10="","-",'ORDENES'!$W10))</f>
        <v/>
      </c>
      <c r="E32" s="3">
        <f>IF('ORDENES'!$A10="","",IF('ORDENES'!$V10="","-",'ORDENES'!$V10))</f>
        <v/>
      </c>
      <c r="F32" s="3">
        <f>IF('ORDENES'!$A10="","",IF('ORDENES'!$X10="","-",'ORDENES'!$X10))</f>
        <v/>
      </c>
      <c r="G32" s="3">
        <f>IF('ORDENES'!$A10="","",IF('ORDENES'!$AC10="","-",'ORDENES'!$AC10))</f>
        <v/>
      </c>
      <c r="H32" s="3">
        <f>IF('ORDENES'!$A10="","",IF('ORDENES'!$AO10="","-",'ORDENES'!$AO10))</f>
        <v/>
      </c>
      <c r="I32" s="3">
        <f>IF('ORDENES'!$A10="","",IF('ORDENES'!$D10="","-",'ORDENES'!$D10))</f>
        <v/>
      </c>
      <c r="J32" s="3">
        <f>IF('ORDENES'!$A10="","",IF('ORDENES'!$E10="","-",'ORDENES'!$E10))</f>
        <v/>
      </c>
      <c r="K32" s="12">
        <f>IF('ORDENES'!$A10="","",IF('ORDENES'!$N10="",0,'ORDENES'!$N10))</f>
        <v/>
      </c>
      <c r="L32" s="3">
        <f>IF('ORDENES'!$A10="","",IF('ORDENES'!$O10="","-",'ORDENES'!$O10))</f>
        <v/>
      </c>
      <c r="M32" s="3">
        <f>IF('ORDENES'!$A10="","",'ORDENES'!$AB10)</f>
        <v/>
      </c>
    </row>
    <row r="33">
      <c r="A33" s="3">
        <f>IF('ORDENES'!$A11="","",IF('ORDENES'!$P11="","-",'ORDENES'!$P11))</f>
        <v/>
      </c>
      <c r="B33" s="3">
        <f>IF('ORDENES'!$A11="","",IF('ORDENES'!$S11="","-",'ORDENES'!$S11))</f>
        <v/>
      </c>
      <c r="C33" s="3">
        <f>IF('ORDENES'!$A11="","",IF('ORDENES'!$AD11="","-",'ORDENES'!$AD11))</f>
        <v/>
      </c>
      <c r="D33" s="3">
        <f>IF('ORDENES'!$A11="","",IF('ORDENES'!$W11="","-",'ORDENES'!$W11))</f>
        <v/>
      </c>
      <c r="E33" s="3">
        <f>IF('ORDENES'!$A11="","",IF('ORDENES'!$V11="","-",'ORDENES'!$V11))</f>
        <v/>
      </c>
      <c r="F33" s="3">
        <f>IF('ORDENES'!$A11="","",IF('ORDENES'!$X11="","-",'ORDENES'!$X11))</f>
        <v/>
      </c>
      <c r="G33" s="3">
        <f>IF('ORDENES'!$A11="","",IF('ORDENES'!$AC11="","-",'ORDENES'!$AC11))</f>
        <v/>
      </c>
      <c r="H33" s="3">
        <f>IF('ORDENES'!$A11="","",IF('ORDENES'!$AO11="","-",'ORDENES'!$AO11))</f>
        <v/>
      </c>
      <c r="I33" s="3">
        <f>IF('ORDENES'!$A11="","",IF('ORDENES'!$D11="","-",'ORDENES'!$D11))</f>
        <v/>
      </c>
      <c r="J33" s="3">
        <f>IF('ORDENES'!$A11="","",IF('ORDENES'!$E11="","-",'ORDENES'!$E11))</f>
        <v/>
      </c>
      <c r="K33" s="12">
        <f>IF('ORDENES'!$A11="","",IF('ORDENES'!$N11="",0,'ORDENES'!$N11))</f>
        <v/>
      </c>
      <c r="L33" s="3">
        <f>IF('ORDENES'!$A11="","",IF('ORDENES'!$O11="","-",'ORDENES'!$O11))</f>
        <v/>
      </c>
      <c r="M33" s="3">
        <f>IF('ORDENES'!$A11="","",'ORDENES'!$AB11)</f>
        <v/>
      </c>
    </row>
    <row r="34">
      <c r="A34" s="3">
        <f>IF('ORDENES'!$A12="","",IF('ORDENES'!$P12="","-",'ORDENES'!$P12))</f>
        <v/>
      </c>
      <c r="B34" s="3">
        <f>IF('ORDENES'!$A12="","",IF('ORDENES'!$S12="","-",'ORDENES'!$S12))</f>
        <v/>
      </c>
      <c r="C34" s="3">
        <f>IF('ORDENES'!$A12="","",IF('ORDENES'!$AD12="","-",'ORDENES'!$AD12))</f>
        <v/>
      </c>
      <c r="D34" s="3">
        <f>IF('ORDENES'!$A12="","",IF('ORDENES'!$W12="","-",'ORDENES'!$W12))</f>
        <v/>
      </c>
      <c r="E34" s="3">
        <f>IF('ORDENES'!$A12="","",IF('ORDENES'!$V12="","-",'ORDENES'!$V12))</f>
        <v/>
      </c>
      <c r="F34" s="3">
        <f>IF('ORDENES'!$A12="","",IF('ORDENES'!$X12="","-",'ORDENES'!$X12))</f>
        <v/>
      </c>
      <c r="G34" s="3">
        <f>IF('ORDENES'!$A12="","",IF('ORDENES'!$AC12="","-",'ORDENES'!$AC12))</f>
        <v/>
      </c>
      <c r="H34" s="3">
        <f>IF('ORDENES'!$A12="","",IF('ORDENES'!$AO12="","-",'ORDENES'!$AO12))</f>
        <v/>
      </c>
      <c r="I34" s="3">
        <f>IF('ORDENES'!$A12="","",IF('ORDENES'!$D12="","-",'ORDENES'!$D12))</f>
        <v/>
      </c>
      <c r="J34" s="3">
        <f>IF('ORDENES'!$A12="","",IF('ORDENES'!$E12="","-",'ORDENES'!$E12))</f>
        <v/>
      </c>
      <c r="K34" s="12">
        <f>IF('ORDENES'!$A12="","",IF('ORDENES'!$N12="",0,'ORDENES'!$N12))</f>
        <v/>
      </c>
      <c r="L34" s="3">
        <f>IF('ORDENES'!$A12="","",IF('ORDENES'!$O12="","-",'ORDENES'!$O12))</f>
        <v/>
      </c>
      <c r="M34" s="3">
        <f>IF('ORDENES'!$A12="","",'ORDENES'!$AB12)</f>
        <v/>
      </c>
    </row>
    <row r="35">
      <c r="A35" s="3">
        <f>IF('ORDENES'!$A13="","",IF('ORDENES'!$P13="","-",'ORDENES'!$P13))</f>
        <v/>
      </c>
      <c r="B35" s="3">
        <f>IF('ORDENES'!$A13="","",IF('ORDENES'!$S13="","-",'ORDENES'!$S13))</f>
        <v/>
      </c>
      <c r="C35" s="3">
        <f>IF('ORDENES'!$A13="","",IF('ORDENES'!$AD13="","-",'ORDENES'!$AD13))</f>
        <v/>
      </c>
      <c r="D35" s="3">
        <f>IF('ORDENES'!$A13="","",IF('ORDENES'!$W13="","-",'ORDENES'!$W13))</f>
        <v/>
      </c>
      <c r="E35" s="3">
        <f>IF('ORDENES'!$A13="","",IF('ORDENES'!$V13="","-",'ORDENES'!$V13))</f>
        <v/>
      </c>
      <c r="F35" s="3">
        <f>IF('ORDENES'!$A13="","",IF('ORDENES'!$X13="","-",'ORDENES'!$X13))</f>
        <v/>
      </c>
      <c r="G35" s="3">
        <f>IF('ORDENES'!$A13="","",IF('ORDENES'!$AC13="","-",'ORDENES'!$AC13))</f>
        <v/>
      </c>
      <c r="H35" s="3">
        <f>IF('ORDENES'!$A13="","",IF('ORDENES'!$AO13="","-",'ORDENES'!$AO13))</f>
        <v/>
      </c>
      <c r="I35" s="3">
        <f>IF('ORDENES'!$A13="","",IF('ORDENES'!$D13="","-",'ORDENES'!$D13))</f>
        <v/>
      </c>
      <c r="J35" s="3">
        <f>IF('ORDENES'!$A13="","",IF('ORDENES'!$E13="","-",'ORDENES'!$E13))</f>
        <v/>
      </c>
      <c r="K35" s="12">
        <f>IF('ORDENES'!$A13="","",IF('ORDENES'!$N13="",0,'ORDENES'!$N13))</f>
        <v/>
      </c>
      <c r="L35" s="3">
        <f>IF('ORDENES'!$A13="","",IF('ORDENES'!$O13="","-",'ORDENES'!$O13))</f>
        <v/>
      </c>
      <c r="M35" s="3">
        <f>IF('ORDENES'!$A13="","",'ORDENES'!$AB13)</f>
        <v/>
      </c>
    </row>
    <row r="36">
      <c r="A36" s="3">
        <f>IF('ORDENES'!$A14="","",IF('ORDENES'!$P14="","-",'ORDENES'!$P14))</f>
        <v/>
      </c>
      <c r="B36" s="3">
        <f>IF('ORDENES'!$A14="","",IF('ORDENES'!$S14="","-",'ORDENES'!$S14))</f>
        <v/>
      </c>
      <c r="C36" s="3">
        <f>IF('ORDENES'!$A14="","",IF('ORDENES'!$AD14="","-",'ORDENES'!$AD14))</f>
        <v/>
      </c>
      <c r="D36" s="3">
        <f>IF('ORDENES'!$A14="","",IF('ORDENES'!$W14="","-",'ORDENES'!$W14))</f>
        <v/>
      </c>
      <c r="E36" s="3">
        <f>IF('ORDENES'!$A14="","",IF('ORDENES'!$V14="","-",'ORDENES'!$V14))</f>
        <v/>
      </c>
      <c r="F36" s="3">
        <f>IF('ORDENES'!$A14="","",IF('ORDENES'!$X14="","-",'ORDENES'!$X14))</f>
        <v/>
      </c>
      <c r="G36" s="3">
        <f>IF('ORDENES'!$A14="","",IF('ORDENES'!$AC14="","-",'ORDENES'!$AC14))</f>
        <v/>
      </c>
      <c r="H36" s="3">
        <f>IF('ORDENES'!$A14="","",IF('ORDENES'!$AO14="","-",'ORDENES'!$AO14))</f>
        <v/>
      </c>
      <c r="I36" s="3">
        <f>IF('ORDENES'!$A14="","",IF('ORDENES'!$D14="","-",'ORDENES'!$D14))</f>
        <v/>
      </c>
      <c r="J36" s="3">
        <f>IF('ORDENES'!$A14="","",IF('ORDENES'!$E14="","-",'ORDENES'!$E14))</f>
        <v/>
      </c>
      <c r="K36" s="12">
        <f>IF('ORDENES'!$A14="","",IF('ORDENES'!$N14="",0,'ORDENES'!$N14))</f>
        <v/>
      </c>
      <c r="L36" s="3">
        <f>IF('ORDENES'!$A14="","",IF('ORDENES'!$O14="","-",'ORDENES'!$O14))</f>
        <v/>
      </c>
      <c r="M36" s="3">
        <f>IF('ORDENES'!$A14="","",'ORDENES'!$AB14)</f>
        <v/>
      </c>
    </row>
    <row r="37">
      <c r="A37" s="3">
        <f>IF('ORDENES'!$A15="","",IF('ORDENES'!$P15="","-",'ORDENES'!$P15))</f>
        <v/>
      </c>
      <c r="B37" s="3">
        <f>IF('ORDENES'!$A15="","",IF('ORDENES'!$S15="","-",'ORDENES'!$S15))</f>
        <v/>
      </c>
      <c r="C37" s="3">
        <f>IF('ORDENES'!$A15="","",IF('ORDENES'!$AD15="","-",'ORDENES'!$AD15))</f>
        <v/>
      </c>
      <c r="D37" s="3">
        <f>IF('ORDENES'!$A15="","",IF('ORDENES'!$W15="","-",'ORDENES'!$W15))</f>
        <v/>
      </c>
      <c r="E37" s="3">
        <f>IF('ORDENES'!$A15="","",IF('ORDENES'!$V15="","-",'ORDENES'!$V15))</f>
        <v/>
      </c>
      <c r="F37" s="3">
        <f>IF('ORDENES'!$A15="","",IF('ORDENES'!$X15="","-",'ORDENES'!$X15))</f>
        <v/>
      </c>
      <c r="G37" s="3">
        <f>IF('ORDENES'!$A15="","",IF('ORDENES'!$AC15="","-",'ORDENES'!$AC15))</f>
        <v/>
      </c>
      <c r="H37" s="3">
        <f>IF('ORDENES'!$A15="","",IF('ORDENES'!$AO15="","-",'ORDENES'!$AO15))</f>
        <v/>
      </c>
      <c r="I37" s="3">
        <f>IF('ORDENES'!$A15="","",IF('ORDENES'!$D15="","-",'ORDENES'!$D15))</f>
        <v/>
      </c>
      <c r="J37" s="3">
        <f>IF('ORDENES'!$A15="","",IF('ORDENES'!$E15="","-",'ORDENES'!$E15))</f>
        <v/>
      </c>
      <c r="K37" s="12">
        <f>IF('ORDENES'!$A15="","",IF('ORDENES'!$N15="",0,'ORDENES'!$N15))</f>
        <v/>
      </c>
      <c r="L37" s="3">
        <f>IF('ORDENES'!$A15="","",IF('ORDENES'!$O15="","-",'ORDENES'!$O15))</f>
        <v/>
      </c>
      <c r="M37" s="3">
        <f>IF('ORDENES'!$A15="","",'ORDENES'!$AB15)</f>
        <v/>
      </c>
    </row>
    <row r="38">
      <c r="A38" s="3">
        <f>IF('ORDENES'!$A16="","",IF('ORDENES'!$P16="","-",'ORDENES'!$P16))</f>
        <v/>
      </c>
      <c r="B38" s="3">
        <f>IF('ORDENES'!$A16="","",IF('ORDENES'!$S16="","-",'ORDENES'!$S16))</f>
        <v/>
      </c>
      <c r="C38" s="3">
        <f>IF('ORDENES'!$A16="","",IF('ORDENES'!$AD16="","-",'ORDENES'!$AD16))</f>
        <v/>
      </c>
      <c r="D38" s="3">
        <f>IF('ORDENES'!$A16="","",IF('ORDENES'!$W16="","-",'ORDENES'!$W16))</f>
        <v/>
      </c>
      <c r="E38" s="3">
        <f>IF('ORDENES'!$A16="","",IF('ORDENES'!$V16="","-",'ORDENES'!$V16))</f>
        <v/>
      </c>
      <c r="F38" s="3">
        <f>IF('ORDENES'!$A16="","",IF('ORDENES'!$X16="","-",'ORDENES'!$X16))</f>
        <v/>
      </c>
      <c r="G38" s="3">
        <f>IF('ORDENES'!$A16="","",IF('ORDENES'!$AC16="","-",'ORDENES'!$AC16))</f>
        <v/>
      </c>
      <c r="H38" s="3">
        <f>IF('ORDENES'!$A16="","",IF('ORDENES'!$AO16="","-",'ORDENES'!$AO16))</f>
        <v/>
      </c>
      <c r="I38" s="3">
        <f>IF('ORDENES'!$A16="","",IF('ORDENES'!$D16="","-",'ORDENES'!$D16))</f>
        <v/>
      </c>
      <c r="J38" s="3">
        <f>IF('ORDENES'!$A16="","",IF('ORDENES'!$E16="","-",'ORDENES'!$E16))</f>
        <v/>
      </c>
      <c r="K38" s="12">
        <f>IF('ORDENES'!$A16="","",IF('ORDENES'!$N16="",0,'ORDENES'!$N16))</f>
        <v/>
      </c>
      <c r="L38" s="3">
        <f>IF('ORDENES'!$A16="","",IF('ORDENES'!$O16="","-",'ORDENES'!$O16))</f>
        <v/>
      </c>
      <c r="M38" s="3">
        <f>IF('ORDENES'!$A16="","",'ORDENES'!$AB16)</f>
        <v/>
      </c>
    </row>
    <row r="39">
      <c r="A39" s="3">
        <f>IF('ORDENES'!$A17="","",IF('ORDENES'!$P17="","-",'ORDENES'!$P17))</f>
        <v/>
      </c>
      <c r="B39" s="3">
        <f>IF('ORDENES'!$A17="","",IF('ORDENES'!$S17="","-",'ORDENES'!$S17))</f>
        <v/>
      </c>
      <c r="C39" s="3">
        <f>IF('ORDENES'!$A17="","",IF('ORDENES'!$AD17="","-",'ORDENES'!$AD17))</f>
        <v/>
      </c>
      <c r="D39" s="3">
        <f>IF('ORDENES'!$A17="","",IF('ORDENES'!$W17="","-",'ORDENES'!$W17))</f>
        <v/>
      </c>
      <c r="E39" s="3">
        <f>IF('ORDENES'!$A17="","",IF('ORDENES'!$V17="","-",'ORDENES'!$V17))</f>
        <v/>
      </c>
      <c r="F39" s="3">
        <f>IF('ORDENES'!$A17="","",IF('ORDENES'!$X17="","-",'ORDENES'!$X17))</f>
        <v/>
      </c>
      <c r="G39" s="3">
        <f>IF('ORDENES'!$A17="","",IF('ORDENES'!$AC17="","-",'ORDENES'!$AC17))</f>
        <v/>
      </c>
      <c r="H39" s="3">
        <f>IF('ORDENES'!$A17="","",IF('ORDENES'!$AO17="","-",'ORDENES'!$AO17))</f>
        <v/>
      </c>
      <c r="I39" s="3">
        <f>IF('ORDENES'!$A17="","",IF('ORDENES'!$D17="","-",'ORDENES'!$D17))</f>
        <v/>
      </c>
      <c r="J39" s="3">
        <f>IF('ORDENES'!$A17="","",IF('ORDENES'!$E17="","-",'ORDENES'!$E17))</f>
        <v/>
      </c>
      <c r="K39" s="12">
        <f>IF('ORDENES'!$A17="","",IF('ORDENES'!$N17="",0,'ORDENES'!$N17))</f>
        <v/>
      </c>
      <c r="L39" s="3">
        <f>IF('ORDENES'!$A17="","",IF('ORDENES'!$O17="","-",'ORDENES'!$O17))</f>
        <v/>
      </c>
      <c r="M39" s="3">
        <f>IF('ORDENES'!$A17="","",'ORDENES'!$AB17)</f>
        <v/>
      </c>
    </row>
    <row r="40">
      <c r="A40" s="3">
        <f>IF('ORDENES'!$A18="","",IF('ORDENES'!$P18="","-",'ORDENES'!$P18))</f>
        <v/>
      </c>
      <c r="B40" s="3">
        <f>IF('ORDENES'!$A18="","",IF('ORDENES'!$S18="","-",'ORDENES'!$S18))</f>
        <v/>
      </c>
      <c r="C40" s="3">
        <f>IF('ORDENES'!$A18="","",IF('ORDENES'!$AD18="","-",'ORDENES'!$AD18))</f>
        <v/>
      </c>
      <c r="D40" s="3">
        <f>IF('ORDENES'!$A18="","",IF('ORDENES'!$W18="","-",'ORDENES'!$W18))</f>
        <v/>
      </c>
      <c r="E40" s="3">
        <f>IF('ORDENES'!$A18="","",IF('ORDENES'!$V18="","-",'ORDENES'!$V18))</f>
        <v/>
      </c>
      <c r="F40" s="3">
        <f>IF('ORDENES'!$A18="","",IF('ORDENES'!$X18="","-",'ORDENES'!$X18))</f>
        <v/>
      </c>
      <c r="G40" s="3">
        <f>IF('ORDENES'!$A18="","",IF('ORDENES'!$AC18="","-",'ORDENES'!$AC18))</f>
        <v/>
      </c>
      <c r="H40" s="3">
        <f>IF('ORDENES'!$A18="","",IF('ORDENES'!$AO18="","-",'ORDENES'!$AO18))</f>
        <v/>
      </c>
      <c r="I40" s="3">
        <f>IF('ORDENES'!$A18="","",IF('ORDENES'!$D18="","-",'ORDENES'!$D18))</f>
        <v/>
      </c>
      <c r="J40" s="3">
        <f>IF('ORDENES'!$A18="","",IF('ORDENES'!$E18="","-",'ORDENES'!$E18))</f>
        <v/>
      </c>
      <c r="K40" s="12">
        <f>IF('ORDENES'!$A18="","",IF('ORDENES'!$N18="",0,'ORDENES'!$N18))</f>
        <v/>
      </c>
      <c r="L40" s="3">
        <f>IF('ORDENES'!$A18="","",IF('ORDENES'!$O18="","-",'ORDENES'!$O18))</f>
        <v/>
      </c>
      <c r="M40" s="3">
        <f>IF('ORDENES'!$A18="","",'ORDENES'!$AB18)</f>
        <v/>
      </c>
    </row>
    <row r="41">
      <c r="A41" s="3">
        <f>IF('ORDENES'!$A19="","",IF('ORDENES'!$P19="","-",'ORDENES'!$P19))</f>
        <v/>
      </c>
      <c r="B41" s="3">
        <f>IF('ORDENES'!$A19="","",IF('ORDENES'!$S19="","-",'ORDENES'!$S19))</f>
        <v/>
      </c>
      <c r="C41" s="3">
        <f>IF('ORDENES'!$A19="","",IF('ORDENES'!$AD19="","-",'ORDENES'!$AD19))</f>
        <v/>
      </c>
      <c r="D41" s="3">
        <f>IF('ORDENES'!$A19="","",IF('ORDENES'!$W19="","-",'ORDENES'!$W19))</f>
        <v/>
      </c>
      <c r="E41" s="3">
        <f>IF('ORDENES'!$A19="","",IF('ORDENES'!$V19="","-",'ORDENES'!$V19))</f>
        <v/>
      </c>
      <c r="F41" s="3">
        <f>IF('ORDENES'!$A19="","",IF('ORDENES'!$X19="","-",'ORDENES'!$X19))</f>
        <v/>
      </c>
      <c r="G41" s="3">
        <f>IF('ORDENES'!$A19="","",IF('ORDENES'!$AC19="","-",'ORDENES'!$AC19))</f>
        <v/>
      </c>
      <c r="H41" s="3">
        <f>IF('ORDENES'!$A19="","",IF('ORDENES'!$AO19="","-",'ORDENES'!$AO19))</f>
        <v/>
      </c>
      <c r="I41" s="3">
        <f>IF('ORDENES'!$A19="","",IF('ORDENES'!$D19="","-",'ORDENES'!$D19))</f>
        <v/>
      </c>
      <c r="J41" s="3">
        <f>IF('ORDENES'!$A19="","",IF('ORDENES'!$E19="","-",'ORDENES'!$E19))</f>
        <v/>
      </c>
      <c r="K41" s="12">
        <f>IF('ORDENES'!$A19="","",IF('ORDENES'!$N19="",0,'ORDENES'!$N19))</f>
        <v/>
      </c>
      <c r="L41" s="3">
        <f>IF('ORDENES'!$A19="","",IF('ORDENES'!$O19="","-",'ORDENES'!$O19))</f>
        <v/>
      </c>
      <c r="M41" s="3">
        <f>IF('ORDENES'!$A19="","",'ORDENES'!$AB19)</f>
        <v/>
      </c>
    </row>
    <row r="42">
      <c r="A42" s="3">
        <f>IF('ORDENES'!$A20="","",IF('ORDENES'!$P20="","-",'ORDENES'!$P20))</f>
        <v/>
      </c>
      <c r="B42" s="3">
        <f>IF('ORDENES'!$A20="","",IF('ORDENES'!$S20="","-",'ORDENES'!$S20))</f>
        <v/>
      </c>
      <c r="C42" s="3">
        <f>IF('ORDENES'!$A20="","",IF('ORDENES'!$AD20="","-",'ORDENES'!$AD20))</f>
        <v/>
      </c>
      <c r="D42" s="3">
        <f>IF('ORDENES'!$A20="","",IF('ORDENES'!$W20="","-",'ORDENES'!$W20))</f>
        <v/>
      </c>
      <c r="E42" s="3">
        <f>IF('ORDENES'!$A20="","",IF('ORDENES'!$V20="","-",'ORDENES'!$V20))</f>
        <v/>
      </c>
      <c r="F42" s="3">
        <f>IF('ORDENES'!$A20="","",IF('ORDENES'!$X20="","-",'ORDENES'!$X20))</f>
        <v/>
      </c>
      <c r="G42" s="3">
        <f>IF('ORDENES'!$A20="","",IF('ORDENES'!$AC20="","-",'ORDENES'!$AC20))</f>
        <v/>
      </c>
      <c r="H42" s="3">
        <f>IF('ORDENES'!$A20="","",IF('ORDENES'!$AO20="","-",'ORDENES'!$AO20))</f>
        <v/>
      </c>
      <c r="I42" s="3">
        <f>IF('ORDENES'!$A20="","",IF('ORDENES'!$D20="","-",'ORDENES'!$D20))</f>
        <v/>
      </c>
      <c r="J42" s="3">
        <f>IF('ORDENES'!$A20="","",IF('ORDENES'!$E20="","-",'ORDENES'!$E20))</f>
        <v/>
      </c>
      <c r="K42" s="12">
        <f>IF('ORDENES'!$A20="","",IF('ORDENES'!$N20="",0,'ORDENES'!$N20))</f>
        <v/>
      </c>
      <c r="L42" s="3">
        <f>IF('ORDENES'!$A20="","",IF('ORDENES'!$O20="","-",'ORDENES'!$O20))</f>
        <v/>
      </c>
      <c r="M42" s="3">
        <f>IF('ORDENES'!$A20="","",'ORDENES'!$AB20)</f>
        <v/>
      </c>
    </row>
    <row r="43">
      <c r="A43" s="3">
        <f>IF('ORDENES'!$A21="","",IF('ORDENES'!$P21="","-",'ORDENES'!$P21))</f>
        <v/>
      </c>
      <c r="B43" s="3">
        <f>IF('ORDENES'!$A21="","",IF('ORDENES'!$S21="","-",'ORDENES'!$S21))</f>
        <v/>
      </c>
      <c r="C43" s="3">
        <f>IF('ORDENES'!$A21="","",IF('ORDENES'!$AD21="","-",'ORDENES'!$AD21))</f>
        <v/>
      </c>
      <c r="D43" s="3">
        <f>IF('ORDENES'!$A21="","",IF('ORDENES'!$W21="","-",'ORDENES'!$W21))</f>
        <v/>
      </c>
      <c r="E43" s="3">
        <f>IF('ORDENES'!$A21="","",IF('ORDENES'!$V21="","-",'ORDENES'!$V21))</f>
        <v/>
      </c>
      <c r="F43" s="3">
        <f>IF('ORDENES'!$A21="","",IF('ORDENES'!$X21="","-",'ORDENES'!$X21))</f>
        <v/>
      </c>
      <c r="G43" s="3">
        <f>IF('ORDENES'!$A21="","",IF('ORDENES'!$AC21="","-",'ORDENES'!$AC21))</f>
        <v/>
      </c>
      <c r="H43" s="3">
        <f>IF('ORDENES'!$A21="","",IF('ORDENES'!$AO21="","-",'ORDENES'!$AO21))</f>
        <v/>
      </c>
      <c r="I43" s="3">
        <f>IF('ORDENES'!$A21="","",IF('ORDENES'!$D21="","-",'ORDENES'!$D21))</f>
        <v/>
      </c>
      <c r="J43" s="3">
        <f>IF('ORDENES'!$A21="","",IF('ORDENES'!$E21="","-",'ORDENES'!$E21))</f>
        <v/>
      </c>
      <c r="K43" s="12">
        <f>IF('ORDENES'!$A21="","",IF('ORDENES'!$N21="",0,'ORDENES'!$N21))</f>
        <v/>
      </c>
      <c r="L43" s="3">
        <f>IF('ORDENES'!$A21="","",IF('ORDENES'!$O21="","-",'ORDENES'!$O21))</f>
        <v/>
      </c>
      <c r="M43" s="3">
        <f>IF('ORDENES'!$A21="","",'ORDENES'!$AB21)</f>
        <v/>
      </c>
    </row>
    <row r="44">
      <c r="A44" s="3">
        <f>IF('ORDENES'!$A22="","",IF('ORDENES'!$P22="","-",'ORDENES'!$P22))</f>
        <v/>
      </c>
      <c r="B44" s="3">
        <f>IF('ORDENES'!$A22="","",IF('ORDENES'!$S22="","-",'ORDENES'!$S22))</f>
        <v/>
      </c>
      <c r="C44" s="3">
        <f>IF('ORDENES'!$A22="","",IF('ORDENES'!$AD22="","-",'ORDENES'!$AD22))</f>
        <v/>
      </c>
      <c r="D44" s="3">
        <f>IF('ORDENES'!$A22="","",IF('ORDENES'!$W22="","-",'ORDENES'!$W22))</f>
        <v/>
      </c>
      <c r="E44" s="3">
        <f>IF('ORDENES'!$A22="","",IF('ORDENES'!$V22="","-",'ORDENES'!$V22))</f>
        <v/>
      </c>
      <c r="F44" s="3">
        <f>IF('ORDENES'!$A22="","",IF('ORDENES'!$X22="","-",'ORDENES'!$X22))</f>
        <v/>
      </c>
      <c r="G44" s="3">
        <f>IF('ORDENES'!$A22="","",IF('ORDENES'!$AC22="","-",'ORDENES'!$AC22))</f>
        <v/>
      </c>
      <c r="H44" s="3">
        <f>IF('ORDENES'!$A22="","",IF('ORDENES'!$AO22="","-",'ORDENES'!$AO22))</f>
        <v/>
      </c>
      <c r="I44" s="3">
        <f>IF('ORDENES'!$A22="","",IF('ORDENES'!$D22="","-",'ORDENES'!$D22))</f>
        <v/>
      </c>
      <c r="J44" s="3">
        <f>IF('ORDENES'!$A22="","",IF('ORDENES'!$E22="","-",'ORDENES'!$E22))</f>
        <v/>
      </c>
      <c r="K44" s="12">
        <f>IF('ORDENES'!$A22="","",IF('ORDENES'!$N22="",0,'ORDENES'!$N22))</f>
        <v/>
      </c>
      <c r="L44" s="3">
        <f>IF('ORDENES'!$A22="","",IF('ORDENES'!$O22="","-",'ORDENES'!$O22))</f>
        <v/>
      </c>
      <c r="M44" s="3">
        <f>IF('ORDENES'!$A22="","",'ORDENES'!$AB22)</f>
        <v/>
      </c>
    </row>
    <row r="45">
      <c r="A45" s="3">
        <f>IF('ORDENES'!$A23="","",IF('ORDENES'!$P23="","-",'ORDENES'!$P23))</f>
        <v/>
      </c>
      <c r="B45" s="3">
        <f>IF('ORDENES'!$A23="","",IF('ORDENES'!$S23="","-",'ORDENES'!$S23))</f>
        <v/>
      </c>
      <c r="C45" s="3">
        <f>IF('ORDENES'!$A23="","",IF('ORDENES'!$AD23="","-",'ORDENES'!$AD23))</f>
        <v/>
      </c>
      <c r="D45" s="3">
        <f>IF('ORDENES'!$A23="","",IF('ORDENES'!$W23="","-",'ORDENES'!$W23))</f>
        <v/>
      </c>
      <c r="E45" s="3">
        <f>IF('ORDENES'!$A23="","",IF('ORDENES'!$V23="","-",'ORDENES'!$V23))</f>
        <v/>
      </c>
      <c r="F45" s="3">
        <f>IF('ORDENES'!$A23="","",IF('ORDENES'!$X23="","-",'ORDENES'!$X23))</f>
        <v/>
      </c>
      <c r="G45" s="3">
        <f>IF('ORDENES'!$A23="","",IF('ORDENES'!$AC23="","-",'ORDENES'!$AC23))</f>
        <v/>
      </c>
      <c r="H45" s="3">
        <f>IF('ORDENES'!$A23="","",IF('ORDENES'!$AO23="","-",'ORDENES'!$AO23))</f>
        <v/>
      </c>
      <c r="I45" s="3">
        <f>IF('ORDENES'!$A23="","",IF('ORDENES'!$D23="","-",'ORDENES'!$D23))</f>
        <v/>
      </c>
      <c r="J45" s="3">
        <f>IF('ORDENES'!$A23="","",IF('ORDENES'!$E23="","-",'ORDENES'!$E23))</f>
        <v/>
      </c>
      <c r="K45" s="12">
        <f>IF('ORDENES'!$A23="","",IF('ORDENES'!$N23="",0,'ORDENES'!$N23))</f>
        <v/>
      </c>
      <c r="L45" s="3">
        <f>IF('ORDENES'!$A23="","",IF('ORDENES'!$O23="","-",'ORDENES'!$O23))</f>
        <v/>
      </c>
      <c r="M45" s="3">
        <f>IF('ORDENES'!$A23="","",'ORDENES'!$AB23)</f>
        <v/>
      </c>
    </row>
    <row r="46">
      <c r="A46" s="3">
        <f>IF('ORDENES'!$A24="","",IF('ORDENES'!$P24="","-",'ORDENES'!$P24))</f>
        <v/>
      </c>
      <c r="B46" s="3">
        <f>IF('ORDENES'!$A24="","",IF('ORDENES'!$S24="","-",'ORDENES'!$S24))</f>
        <v/>
      </c>
      <c r="C46" s="3">
        <f>IF('ORDENES'!$A24="","",IF('ORDENES'!$AD24="","-",'ORDENES'!$AD24))</f>
        <v/>
      </c>
      <c r="D46" s="3">
        <f>IF('ORDENES'!$A24="","",IF('ORDENES'!$W24="","-",'ORDENES'!$W24))</f>
        <v/>
      </c>
      <c r="E46" s="3">
        <f>IF('ORDENES'!$A24="","",IF('ORDENES'!$V24="","-",'ORDENES'!$V24))</f>
        <v/>
      </c>
      <c r="F46" s="3">
        <f>IF('ORDENES'!$A24="","",IF('ORDENES'!$X24="","-",'ORDENES'!$X24))</f>
        <v/>
      </c>
      <c r="G46" s="3">
        <f>IF('ORDENES'!$A24="","",IF('ORDENES'!$AC24="","-",'ORDENES'!$AC24))</f>
        <v/>
      </c>
      <c r="H46" s="3">
        <f>IF('ORDENES'!$A24="","",IF('ORDENES'!$AO24="","-",'ORDENES'!$AO24))</f>
        <v/>
      </c>
      <c r="I46" s="3">
        <f>IF('ORDENES'!$A24="","",IF('ORDENES'!$D24="","-",'ORDENES'!$D24))</f>
        <v/>
      </c>
      <c r="J46" s="3">
        <f>IF('ORDENES'!$A24="","",IF('ORDENES'!$E24="","-",'ORDENES'!$E24))</f>
        <v/>
      </c>
      <c r="K46" s="12">
        <f>IF('ORDENES'!$A24="","",IF('ORDENES'!$N24="",0,'ORDENES'!$N24))</f>
        <v/>
      </c>
      <c r="L46" s="3">
        <f>IF('ORDENES'!$A24="","",IF('ORDENES'!$O24="","-",'ORDENES'!$O24))</f>
        <v/>
      </c>
      <c r="M46" s="3">
        <f>IF('ORDENES'!$A24="","",'ORDENES'!$AB24)</f>
        <v/>
      </c>
    </row>
    <row r="47">
      <c r="A47" s="3">
        <f>IF('ORDENES'!$A25="","",IF('ORDENES'!$P25="","-",'ORDENES'!$P25))</f>
        <v/>
      </c>
      <c r="B47" s="3">
        <f>IF('ORDENES'!$A25="","",IF('ORDENES'!$S25="","-",'ORDENES'!$S25))</f>
        <v/>
      </c>
      <c r="C47" s="3">
        <f>IF('ORDENES'!$A25="","",IF('ORDENES'!$AD25="","-",'ORDENES'!$AD25))</f>
        <v/>
      </c>
      <c r="D47" s="3">
        <f>IF('ORDENES'!$A25="","",IF('ORDENES'!$W25="","-",'ORDENES'!$W25))</f>
        <v/>
      </c>
      <c r="E47" s="3">
        <f>IF('ORDENES'!$A25="","",IF('ORDENES'!$V25="","-",'ORDENES'!$V25))</f>
        <v/>
      </c>
      <c r="F47" s="3">
        <f>IF('ORDENES'!$A25="","",IF('ORDENES'!$X25="","-",'ORDENES'!$X25))</f>
        <v/>
      </c>
      <c r="G47" s="3">
        <f>IF('ORDENES'!$A25="","",IF('ORDENES'!$AC25="","-",'ORDENES'!$AC25))</f>
        <v/>
      </c>
      <c r="H47" s="3">
        <f>IF('ORDENES'!$A25="","",IF('ORDENES'!$AO25="","-",'ORDENES'!$AO25))</f>
        <v/>
      </c>
      <c r="I47" s="3">
        <f>IF('ORDENES'!$A25="","",IF('ORDENES'!$D25="","-",'ORDENES'!$D25))</f>
        <v/>
      </c>
      <c r="J47" s="3">
        <f>IF('ORDENES'!$A25="","",IF('ORDENES'!$E25="","-",'ORDENES'!$E25))</f>
        <v/>
      </c>
      <c r="K47" s="12">
        <f>IF('ORDENES'!$A25="","",IF('ORDENES'!$N25="",0,'ORDENES'!$N25))</f>
        <v/>
      </c>
      <c r="L47" s="3">
        <f>IF('ORDENES'!$A25="","",IF('ORDENES'!$O25="","-",'ORDENES'!$O25))</f>
        <v/>
      </c>
      <c r="M47" s="3">
        <f>IF('ORDENES'!$A25="","",'ORDENES'!$AB25)</f>
        <v/>
      </c>
    </row>
    <row r="48">
      <c r="A48" s="3">
        <f>IF('ORDENES'!$A26="","",IF('ORDENES'!$P26="","-",'ORDENES'!$P26))</f>
        <v/>
      </c>
      <c r="B48" s="3">
        <f>IF('ORDENES'!$A26="","",IF('ORDENES'!$S26="","-",'ORDENES'!$S26))</f>
        <v/>
      </c>
      <c r="C48" s="3">
        <f>IF('ORDENES'!$A26="","",IF('ORDENES'!$AD26="","-",'ORDENES'!$AD26))</f>
        <v/>
      </c>
      <c r="D48" s="3">
        <f>IF('ORDENES'!$A26="","",IF('ORDENES'!$W26="","-",'ORDENES'!$W26))</f>
        <v/>
      </c>
      <c r="E48" s="3">
        <f>IF('ORDENES'!$A26="","",IF('ORDENES'!$V26="","-",'ORDENES'!$V26))</f>
        <v/>
      </c>
      <c r="F48" s="3">
        <f>IF('ORDENES'!$A26="","",IF('ORDENES'!$X26="","-",'ORDENES'!$X26))</f>
        <v/>
      </c>
      <c r="G48" s="3">
        <f>IF('ORDENES'!$A26="","",IF('ORDENES'!$AC26="","-",'ORDENES'!$AC26))</f>
        <v/>
      </c>
      <c r="H48" s="3">
        <f>IF('ORDENES'!$A26="","",IF('ORDENES'!$AO26="","-",'ORDENES'!$AO26))</f>
        <v/>
      </c>
      <c r="I48" s="3">
        <f>IF('ORDENES'!$A26="","",IF('ORDENES'!$D26="","-",'ORDENES'!$D26))</f>
        <v/>
      </c>
      <c r="J48" s="3">
        <f>IF('ORDENES'!$A26="","",IF('ORDENES'!$E26="","-",'ORDENES'!$E26))</f>
        <v/>
      </c>
      <c r="K48" s="12">
        <f>IF('ORDENES'!$A26="","",IF('ORDENES'!$N26="",0,'ORDENES'!$N26))</f>
        <v/>
      </c>
      <c r="L48" s="3">
        <f>IF('ORDENES'!$A26="","",IF('ORDENES'!$O26="","-",'ORDENES'!$O26))</f>
        <v/>
      </c>
      <c r="M48" s="3">
        <f>IF('ORDENES'!$A26="","",'ORDENES'!$AB26)</f>
        <v/>
      </c>
    </row>
    <row r="49">
      <c r="A49" s="3">
        <f>IF('ORDENES'!$A27="","",IF('ORDENES'!$P27="","-",'ORDENES'!$P27))</f>
        <v/>
      </c>
      <c r="B49" s="3">
        <f>IF('ORDENES'!$A27="","",IF('ORDENES'!$S27="","-",'ORDENES'!$S27))</f>
        <v/>
      </c>
      <c r="C49" s="3">
        <f>IF('ORDENES'!$A27="","",IF('ORDENES'!$AD27="","-",'ORDENES'!$AD27))</f>
        <v/>
      </c>
      <c r="D49" s="3">
        <f>IF('ORDENES'!$A27="","",IF('ORDENES'!$W27="","-",'ORDENES'!$W27))</f>
        <v/>
      </c>
      <c r="E49" s="3">
        <f>IF('ORDENES'!$A27="","",IF('ORDENES'!$V27="","-",'ORDENES'!$V27))</f>
        <v/>
      </c>
      <c r="F49" s="3">
        <f>IF('ORDENES'!$A27="","",IF('ORDENES'!$X27="","-",'ORDENES'!$X27))</f>
        <v/>
      </c>
      <c r="G49" s="3">
        <f>IF('ORDENES'!$A27="","",IF('ORDENES'!$AC27="","-",'ORDENES'!$AC27))</f>
        <v/>
      </c>
      <c r="H49" s="3">
        <f>IF('ORDENES'!$A27="","",IF('ORDENES'!$AO27="","-",'ORDENES'!$AO27))</f>
        <v/>
      </c>
      <c r="I49" s="3">
        <f>IF('ORDENES'!$A27="","",IF('ORDENES'!$D27="","-",'ORDENES'!$D27))</f>
        <v/>
      </c>
      <c r="J49" s="3">
        <f>IF('ORDENES'!$A27="","",IF('ORDENES'!$E27="","-",'ORDENES'!$E27))</f>
        <v/>
      </c>
      <c r="K49" s="12">
        <f>IF('ORDENES'!$A27="","",IF('ORDENES'!$N27="",0,'ORDENES'!$N27))</f>
        <v/>
      </c>
      <c r="L49" s="3">
        <f>IF('ORDENES'!$A27="","",IF('ORDENES'!$O27="","-",'ORDENES'!$O27))</f>
        <v/>
      </c>
      <c r="M49" s="3">
        <f>IF('ORDENES'!$A27="","",'ORDENES'!$AB27)</f>
        <v/>
      </c>
    </row>
    <row r="50">
      <c r="A50" s="3">
        <f>IF('ORDENES'!$A28="","",IF('ORDENES'!$P28="","-",'ORDENES'!$P28))</f>
        <v/>
      </c>
      <c r="B50" s="3">
        <f>IF('ORDENES'!$A28="","",IF('ORDENES'!$S28="","-",'ORDENES'!$S28))</f>
        <v/>
      </c>
      <c r="C50" s="3">
        <f>IF('ORDENES'!$A28="","",IF('ORDENES'!$AD28="","-",'ORDENES'!$AD28))</f>
        <v/>
      </c>
      <c r="D50" s="3">
        <f>IF('ORDENES'!$A28="","",IF('ORDENES'!$W28="","-",'ORDENES'!$W28))</f>
        <v/>
      </c>
      <c r="E50" s="3">
        <f>IF('ORDENES'!$A28="","",IF('ORDENES'!$V28="","-",'ORDENES'!$V28))</f>
        <v/>
      </c>
      <c r="F50" s="3">
        <f>IF('ORDENES'!$A28="","",IF('ORDENES'!$X28="","-",'ORDENES'!$X28))</f>
        <v/>
      </c>
      <c r="G50" s="3">
        <f>IF('ORDENES'!$A28="","",IF('ORDENES'!$AC28="","-",'ORDENES'!$AC28))</f>
        <v/>
      </c>
      <c r="H50" s="3">
        <f>IF('ORDENES'!$A28="","",IF('ORDENES'!$AO28="","-",'ORDENES'!$AO28))</f>
        <v/>
      </c>
      <c r="I50" s="3">
        <f>IF('ORDENES'!$A28="","",IF('ORDENES'!$D28="","-",'ORDENES'!$D28))</f>
        <v/>
      </c>
      <c r="J50" s="3">
        <f>IF('ORDENES'!$A28="","",IF('ORDENES'!$E28="","-",'ORDENES'!$E28))</f>
        <v/>
      </c>
      <c r="K50" s="12">
        <f>IF('ORDENES'!$A28="","",IF('ORDENES'!$N28="",0,'ORDENES'!$N28))</f>
        <v/>
      </c>
      <c r="L50" s="3">
        <f>IF('ORDENES'!$A28="","",IF('ORDENES'!$O28="","-",'ORDENES'!$O28))</f>
        <v/>
      </c>
      <c r="M50" s="3">
        <f>IF('ORDENES'!$A28="","",'ORDENES'!$AB28)</f>
        <v/>
      </c>
    </row>
    <row r="51">
      <c r="A51" s="3">
        <f>IF('ORDENES'!$A29="","",IF('ORDENES'!$P29="","-",'ORDENES'!$P29))</f>
        <v/>
      </c>
      <c r="B51" s="3">
        <f>IF('ORDENES'!$A29="","",IF('ORDENES'!$S29="","-",'ORDENES'!$S29))</f>
        <v/>
      </c>
      <c r="C51" s="3">
        <f>IF('ORDENES'!$A29="","",IF('ORDENES'!$AD29="","-",'ORDENES'!$AD29))</f>
        <v/>
      </c>
      <c r="D51" s="3">
        <f>IF('ORDENES'!$A29="","",IF('ORDENES'!$W29="","-",'ORDENES'!$W29))</f>
        <v/>
      </c>
      <c r="E51" s="3">
        <f>IF('ORDENES'!$A29="","",IF('ORDENES'!$V29="","-",'ORDENES'!$V29))</f>
        <v/>
      </c>
      <c r="F51" s="3">
        <f>IF('ORDENES'!$A29="","",IF('ORDENES'!$X29="","-",'ORDENES'!$X29))</f>
        <v/>
      </c>
      <c r="G51" s="3">
        <f>IF('ORDENES'!$A29="","",IF('ORDENES'!$AC29="","-",'ORDENES'!$AC29))</f>
        <v/>
      </c>
      <c r="H51" s="3">
        <f>IF('ORDENES'!$A29="","",IF('ORDENES'!$AO29="","-",'ORDENES'!$AO29))</f>
        <v/>
      </c>
      <c r="I51" s="3">
        <f>IF('ORDENES'!$A29="","",IF('ORDENES'!$D29="","-",'ORDENES'!$D29))</f>
        <v/>
      </c>
      <c r="J51" s="3">
        <f>IF('ORDENES'!$A29="","",IF('ORDENES'!$E29="","-",'ORDENES'!$E29))</f>
        <v/>
      </c>
      <c r="K51" s="12">
        <f>IF('ORDENES'!$A29="","",IF('ORDENES'!$N29="",0,'ORDENES'!$N29))</f>
        <v/>
      </c>
      <c r="L51" s="3">
        <f>IF('ORDENES'!$A29="","",IF('ORDENES'!$O29="","-",'ORDENES'!$O29))</f>
        <v/>
      </c>
      <c r="M51" s="3">
        <f>IF('ORDENES'!$A29="","",'ORDENES'!$AB29)</f>
        <v/>
      </c>
    </row>
    <row r="52">
      <c r="A52" s="3">
        <f>IF('ORDENES'!$A30="","",IF('ORDENES'!$P30="","-",'ORDENES'!$P30))</f>
        <v/>
      </c>
      <c r="B52" s="3">
        <f>IF('ORDENES'!$A30="","",IF('ORDENES'!$S30="","-",'ORDENES'!$S30))</f>
        <v/>
      </c>
      <c r="C52" s="3">
        <f>IF('ORDENES'!$A30="","",IF('ORDENES'!$AD30="","-",'ORDENES'!$AD30))</f>
        <v/>
      </c>
      <c r="D52" s="3">
        <f>IF('ORDENES'!$A30="","",IF('ORDENES'!$W30="","-",'ORDENES'!$W30))</f>
        <v/>
      </c>
      <c r="E52" s="3">
        <f>IF('ORDENES'!$A30="","",IF('ORDENES'!$V30="","-",'ORDENES'!$V30))</f>
        <v/>
      </c>
      <c r="F52" s="3">
        <f>IF('ORDENES'!$A30="","",IF('ORDENES'!$X30="","-",'ORDENES'!$X30))</f>
        <v/>
      </c>
      <c r="G52" s="3">
        <f>IF('ORDENES'!$A30="","",IF('ORDENES'!$AC30="","-",'ORDENES'!$AC30))</f>
        <v/>
      </c>
      <c r="H52" s="3">
        <f>IF('ORDENES'!$A30="","",IF('ORDENES'!$AO30="","-",'ORDENES'!$AO30))</f>
        <v/>
      </c>
      <c r="I52" s="3">
        <f>IF('ORDENES'!$A30="","",IF('ORDENES'!$D30="","-",'ORDENES'!$D30))</f>
        <v/>
      </c>
      <c r="J52" s="3">
        <f>IF('ORDENES'!$A30="","",IF('ORDENES'!$E30="","-",'ORDENES'!$E30))</f>
        <v/>
      </c>
      <c r="K52" s="12">
        <f>IF('ORDENES'!$A30="","",IF('ORDENES'!$N30="",0,'ORDENES'!$N30))</f>
        <v/>
      </c>
      <c r="L52" s="3">
        <f>IF('ORDENES'!$A30="","",IF('ORDENES'!$O30="","-",'ORDENES'!$O30))</f>
        <v/>
      </c>
      <c r="M52" s="3">
        <f>IF('ORDENES'!$A30="","",'ORDENES'!$AB30)</f>
        <v/>
      </c>
    </row>
    <row r="53">
      <c r="A53" s="3">
        <f>IF('ORDENES'!$A31="","",IF('ORDENES'!$P31="","-",'ORDENES'!$P31))</f>
        <v/>
      </c>
      <c r="B53" s="3">
        <f>IF('ORDENES'!$A31="","",IF('ORDENES'!$S31="","-",'ORDENES'!$S31))</f>
        <v/>
      </c>
      <c r="C53" s="3">
        <f>IF('ORDENES'!$A31="","",IF('ORDENES'!$AD31="","-",'ORDENES'!$AD31))</f>
        <v/>
      </c>
      <c r="D53" s="3">
        <f>IF('ORDENES'!$A31="","",IF('ORDENES'!$W31="","-",'ORDENES'!$W31))</f>
        <v/>
      </c>
      <c r="E53" s="3">
        <f>IF('ORDENES'!$A31="","",IF('ORDENES'!$V31="","-",'ORDENES'!$V31))</f>
        <v/>
      </c>
      <c r="F53" s="3">
        <f>IF('ORDENES'!$A31="","",IF('ORDENES'!$X31="","-",'ORDENES'!$X31))</f>
        <v/>
      </c>
      <c r="G53" s="3">
        <f>IF('ORDENES'!$A31="","",IF('ORDENES'!$AC31="","-",'ORDENES'!$AC31))</f>
        <v/>
      </c>
      <c r="H53" s="3">
        <f>IF('ORDENES'!$A31="","",IF('ORDENES'!$AO31="","-",'ORDENES'!$AO31))</f>
        <v/>
      </c>
      <c r="I53" s="3">
        <f>IF('ORDENES'!$A31="","",IF('ORDENES'!$D31="","-",'ORDENES'!$D31))</f>
        <v/>
      </c>
      <c r="J53" s="3">
        <f>IF('ORDENES'!$A31="","",IF('ORDENES'!$E31="","-",'ORDENES'!$E31))</f>
        <v/>
      </c>
      <c r="K53" s="12">
        <f>IF('ORDENES'!$A31="","",IF('ORDENES'!$N31="",0,'ORDENES'!$N31))</f>
        <v/>
      </c>
      <c r="L53" s="3">
        <f>IF('ORDENES'!$A31="","",IF('ORDENES'!$O31="","-",'ORDENES'!$O31))</f>
        <v/>
      </c>
      <c r="M53" s="3">
        <f>IF('ORDENES'!$A31="","",'ORDENES'!$AB31)</f>
        <v/>
      </c>
    </row>
    <row r="54">
      <c r="A54" s="3">
        <f>IF('ORDENES'!$A32="","",IF('ORDENES'!$P32="","-",'ORDENES'!$P32))</f>
        <v/>
      </c>
      <c r="B54" s="3">
        <f>IF('ORDENES'!$A32="","",IF('ORDENES'!$S32="","-",'ORDENES'!$S32))</f>
        <v/>
      </c>
      <c r="C54" s="3">
        <f>IF('ORDENES'!$A32="","",IF('ORDENES'!$AD32="","-",'ORDENES'!$AD32))</f>
        <v/>
      </c>
      <c r="D54" s="3">
        <f>IF('ORDENES'!$A32="","",IF('ORDENES'!$W32="","-",'ORDENES'!$W32))</f>
        <v/>
      </c>
      <c r="E54" s="3">
        <f>IF('ORDENES'!$A32="","",IF('ORDENES'!$V32="","-",'ORDENES'!$V32))</f>
        <v/>
      </c>
      <c r="F54" s="3">
        <f>IF('ORDENES'!$A32="","",IF('ORDENES'!$X32="","-",'ORDENES'!$X32))</f>
        <v/>
      </c>
      <c r="G54" s="3">
        <f>IF('ORDENES'!$A32="","",IF('ORDENES'!$AC32="","-",'ORDENES'!$AC32))</f>
        <v/>
      </c>
      <c r="H54" s="3">
        <f>IF('ORDENES'!$A32="","",IF('ORDENES'!$AO32="","-",'ORDENES'!$AO32))</f>
        <v/>
      </c>
      <c r="I54" s="3">
        <f>IF('ORDENES'!$A32="","",IF('ORDENES'!$D32="","-",'ORDENES'!$D32))</f>
        <v/>
      </c>
      <c r="J54" s="3">
        <f>IF('ORDENES'!$A32="","",IF('ORDENES'!$E32="","-",'ORDENES'!$E32))</f>
        <v/>
      </c>
      <c r="K54" s="12">
        <f>IF('ORDENES'!$A32="","",IF('ORDENES'!$N32="",0,'ORDENES'!$N32))</f>
        <v/>
      </c>
      <c r="L54" s="3">
        <f>IF('ORDENES'!$A32="","",IF('ORDENES'!$O32="","-",'ORDENES'!$O32))</f>
        <v/>
      </c>
      <c r="M54" s="3">
        <f>IF('ORDENES'!$A32="","",'ORDENES'!$AB32)</f>
        <v/>
      </c>
    </row>
    <row r="55">
      <c r="A55" s="3">
        <f>IF('ORDENES'!$A33="","",IF('ORDENES'!$P33="","-",'ORDENES'!$P33))</f>
        <v/>
      </c>
      <c r="B55" s="3">
        <f>IF('ORDENES'!$A33="","",IF('ORDENES'!$S33="","-",'ORDENES'!$S33))</f>
        <v/>
      </c>
      <c r="C55" s="3">
        <f>IF('ORDENES'!$A33="","",IF('ORDENES'!$AD33="","-",'ORDENES'!$AD33))</f>
        <v/>
      </c>
      <c r="D55" s="3">
        <f>IF('ORDENES'!$A33="","",IF('ORDENES'!$W33="","-",'ORDENES'!$W33))</f>
        <v/>
      </c>
      <c r="E55" s="3">
        <f>IF('ORDENES'!$A33="","",IF('ORDENES'!$V33="","-",'ORDENES'!$V33))</f>
        <v/>
      </c>
      <c r="F55" s="3">
        <f>IF('ORDENES'!$A33="","",IF('ORDENES'!$X33="","-",'ORDENES'!$X33))</f>
        <v/>
      </c>
      <c r="G55" s="3">
        <f>IF('ORDENES'!$A33="","",IF('ORDENES'!$AC33="","-",'ORDENES'!$AC33))</f>
        <v/>
      </c>
      <c r="H55" s="3">
        <f>IF('ORDENES'!$A33="","",IF('ORDENES'!$AO33="","-",'ORDENES'!$AO33))</f>
        <v/>
      </c>
      <c r="I55" s="3">
        <f>IF('ORDENES'!$A33="","",IF('ORDENES'!$D33="","-",'ORDENES'!$D33))</f>
        <v/>
      </c>
      <c r="J55" s="3">
        <f>IF('ORDENES'!$A33="","",IF('ORDENES'!$E33="","-",'ORDENES'!$E33))</f>
        <v/>
      </c>
      <c r="K55" s="12">
        <f>IF('ORDENES'!$A33="","",IF('ORDENES'!$N33="",0,'ORDENES'!$N33))</f>
        <v/>
      </c>
      <c r="L55" s="3">
        <f>IF('ORDENES'!$A33="","",IF('ORDENES'!$O33="","-",'ORDENES'!$O33))</f>
        <v/>
      </c>
      <c r="M55" s="3">
        <f>IF('ORDENES'!$A33="","",'ORDENES'!$AB33)</f>
        <v/>
      </c>
    </row>
    <row r="56">
      <c r="A56" s="3">
        <f>IF('ORDENES'!$A34="","",IF('ORDENES'!$P34="","-",'ORDENES'!$P34))</f>
        <v/>
      </c>
      <c r="B56" s="3">
        <f>IF('ORDENES'!$A34="","",IF('ORDENES'!$S34="","-",'ORDENES'!$S34))</f>
        <v/>
      </c>
      <c r="C56" s="3">
        <f>IF('ORDENES'!$A34="","",IF('ORDENES'!$AD34="","-",'ORDENES'!$AD34))</f>
        <v/>
      </c>
      <c r="D56" s="3">
        <f>IF('ORDENES'!$A34="","",IF('ORDENES'!$W34="","-",'ORDENES'!$W34))</f>
        <v/>
      </c>
      <c r="E56" s="3">
        <f>IF('ORDENES'!$A34="","",IF('ORDENES'!$V34="","-",'ORDENES'!$V34))</f>
        <v/>
      </c>
      <c r="F56" s="3">
        <f>IF('ORDENES'!$A34="","",IF('ORDENES'!$X34="","-",'ORDENES'!$X34))</f>
        <v/>
      </c>
      <c r="G56" s="3">
        <f>IF('ORDENES'!$A34="","",IF('ORDENES'!$AC34="","-",'ORDENES'!$AC34))</f>
        <v/>
      </c>
      <c r="H56" s="3">
        <f>IF('ORDENES'!$A34="","",IF('ORDENES'!$AO34="","-",'ORDENES'!$AO34))</f>
        <v/>
      </c>
      <c r="I56" s="3">
        <f>IF('ORDENES'!$A34="","",IF('ORDENES'!$D34="","-",'ORDENES'!$D34))</f>
        <v/>
      </c>
      <c r="J56" s="3">
        <f>IF('ORDENES'!$A34="","",IF('ORDENES'!$E34="","-",'ORDENES'!$E34))</f>
        <v/>
      </c>
      <c r="K56" s="12">
        <f>IF('ORDENES'!$A34="","",IF('ORDENES'!$N34="",0,'ORDENES'!$N34))</f>
        <v/>
      </c>
      <c r="L56" s="3">
        <f>IF('ORDENES'!$A34="","",IF('ORDENES'!$O34="","-",'ORDENES'!$O34))</f>
        <v/>
      </c>
      <c r="M56" s="3">
        <f>IF('ORDENES'!$A34="","",'ORDENES'!$AB34)</f>
        <v/>
      </c>
    </row>
    <row r="57">
      <c r="A57" s="3">
        <f>IF('ORDENES'!$A35="","",IF('ORDENES'!$P35="","-",'ORDENES'!$P35))</f>
        <v/>
      </c>
      <c r="B57" s="3">
        <f>IF('ORDENES'!$A35="","",IF('ORDENES'!$S35="","-",'ORDENES'!$S35))</f>
        <v/>
      </c>
      <c r="C57" s="3">
        <f>IF('ORDENES'!$A35="","",IF('ORDENES'!$AD35="","-",'ORDENES'!$AD35))</f>
        <v/>
      </c>
      <c r="D57" s="3">
        <f>IF('ORDENES'!$A35="","",IF('ORDENES'!$W35="","-",'ORDENES'!$W35))</f>
        <v/>
      </c>
      <c r="E57" s="3">
        <f>IF('ORDENES'!$A35="","",IF('ORDENES'!$V35="","-",'ORDENES'!$V35))</f>
        <v/>
      </c>
      <c r="F57" s="3">
        <f>IF('ORDENES'!$A35="","",IF('ORDENES'!$X35="","-",'ORDENES'!$X35))</f>
        <v/>
      </c>
      <c r="G57" s="3">
        <f>IF('ORDENES'!$A35="","",IF('ORDENES'!$AC35="","-",'ORDENES'!$AC35))</f>
        <v/>
      </c>
      <c r="H57" s="3">
        <f>IF('ORDENES'!$A35="","",IF('ORDENES'!$AO35="","-",'ORDENES'!$AO35))</f>
        <v/>
      </c>
      <c r="I57" s="3">
        <f>IF('ORDENES'!$A35="","",IF('ORDENES'!$D35="","-",'ORDENES'!$D35))</f>
        <v/>
      </c>
      <c r="J57" s="3">
        <f>IF('ORDENES'!$A35="","",IF('ORDENES'!$E35="","-",'ORDENES'!$E35))</f>
        <v/>
      </c>
      <c r="K57" s="12">
        <f>IF('ORDENES'!$A35="","",IF('ORDENES'!$N35="",0,'ORDENES'!$N35))</f>
        <v/>
      </c>
      <c r="L57" s="3">
        <f>IF('ORDENES'!$A35="","",IF('ORDENES'!$O35="","-",'ORDENES'!$O35))</f>
        <v/>
      </c>
      <c r="M57" s="3">
        <f>IF('ORDENES'!$A35="","",'ORDENES'!$AB35)</f>
        <v/>
      </c>
    </row>
    <row r="58">
      <c r="A58" s="3">
        <f>IF('ORDENES'!$A36="","",IF('ORDENES'!$P36="","-",'ORDENES'!$P36))</f>
        <v/>
      </c>
      <c r="B58" s="3">
        <f>IF('ORDENES'!$A36="","",IF('ORDENES'!$S36="","-",'ORDENES'!$S36))</f>
        <v/>
      </c>
      <c r="C58" s="3">
        <f>IF('ORDENES'!$A36="","",IF('ORDENES'!$AD36="","-",'ORDENES'!$AD36))</f>
        <v/>
      </c>
      <c r="D58" s="3">
        <f>IF('ORDENES'!$A36="","",IF('ORDENES'!$W36="","-",'ORDENES'!$W36))</f>
        <v/>
      </c>
      <c r="E58" s="3">
        <f>IF('ORDENES'!$A36="","",IF('ORDENES'!$V36="","-",'ORDENES'!$V36))</f>
        <v/>
      </c>
      <c r="F58" s="3">
        <f>IF('ORDENES'!$A36="","",IF('ORDENES'!$X36="","-",'ORDENES'!$X36))</f>
        <v/>
      </c>
      <c r="G58" s="3">
        <f>IF('ORDENES'!$A36="","",IF('ORDENES'!$AC36="","-",'ORDENES'!$AC36))</f>
        <v/>
      </c>
      <c r="H58" s="3">
        <f>IF('ORDENES'!$A36="","",IF('ORDENES'!$AO36="","-",'ORDENES'!$AO36))</f>
        <v/>
      </c>
      <c r="I58" s="3">
        <f>IF('ORDENES'!$A36="","",IF('ORDENES'!$D36="","-",'ORDENES'!$D36))</f>
        <v/>
      </c>
      <c r="J58" s="3">
        <f>IF('ORDENES'!$A36="","",IF('ORDENES'!$E36="","-",'ORDENES'!$E36))</f>
        <v/>
      </c>
      <c r="K58" s="12">
        <f>IF('ORDENES'!$A36="","",IF('ORDENES'!$N36="",0,'ORDENES'!$N36))</f>
        <v/>
      </c>
      <c r="L58" s="3">
        <f>IF('ORDENES'!$A36="","",IF('ORDENES'!$O36="","-",'ORDENES'!$O36))</f>
        <v/>
      </c>
      <c r="M58" s="3">
        <f>IF('ORDENES'!$A36="","",'ORDENES'!$AB36)</f>
        <v/>
      </c>
    </row>
    <row r="59">
      <c r="A59" s="3">
        <f>IF('ORDENES'!$A37="","",IF('ORDENES'!$P37="","-",'ORDENES'!$P37))</f>
        <v/>
      </c>
      <c r="B59" s="3">
        <f>IF('ORDENES'!$A37="","",IF('ORDENES'!$S37="","-",'ORDENES'!$S37))</f>
        <v/>
      </c>
      <c r="C59" s="3">
        <f>IF('ORDENES'!$A37="","",IF('ORDENES'!$AD37="","-",'ORDENES'!$AD37))</f>
        <v/>
      </c>
      <c r="D59" s="3">
        <f>IF('ORDENES'!$A37="","",IF('ORDENES'!$W37="","-",'ORDENES'!$W37))</f>
        <v/>
      </c>
      <c r="E59" s="3">
        <f>IF('ORDENES'!$A37="","",IF('ORDENES'!$V37="","-",'ORDENES'!$V37))</f>
        <v/>
      </c>
      <c r="F59" s="3">
        <f>IF('ORDENES'!$A37="","",IF('ORDENES'!$X37="","-",'ORDENES'!$X37))</f>
        <v/>
      </c>
      <c r="G59" s="3">
        <f>IF('ORDENES'!$A37="","",IF('ORDENES'!$AC37="","-",'ORDENES'!$AC37))</f>
        <v/>
      </c>
      <c r="H59" s="3">
        <f>IF('ORDENES'!$A37="","",IF('ORDENES'!$AO37="","-",'ORDENES'!$AO37))</f>
        <v/>
      </c>
      <c r="I59" s="3">
        <f>IF('ORDENES'!$A37="","",IF('ORDENES'!$D37="","-",'ORDENES'!$D37))</f>
        <v/>
      </c>
      <c r="J59" s="3">
        <f>IF('ORDENES'!$A37="","",IF('ORDENES'!$E37="","-",'ORDENES'!$E37))</f>
        <v/>
      </c>
      <c r="K59" s="12">
        <f>IF('ORDENES'!$A37="","",IF('ORDENES'!$N37="",0,'ORDENES'!$N37))</f>
        <v/>
      </c>
      <c r="L59" s="3">
        <f>IF('ORDENES'!$A37="","",IF('ORDENES'!$O37="","-",'ORDENES'!$O37))</f>
        <v/>
      </c>
      <c r="M59" s="3">
        <f>IF('ORDENES'!$A37="","",'ORDENES'!$AB37)</f>
        <v/>
      </c>
    </row>
    <row r="60">
      <c r="A60" s="3">
        <f>IF('ORDENES'!$A38="","",IF('ORDENES'!$P38="","-",'ORDENES'!$P38))</f>
        <v/>
      </c>
      <c r="B60" s="3">
        <f>IF('ORDENES'!$A38="","",IF('ORDENES'!$S38="","-",'ORDENES'!$S38))</f>
        <v/>
      </c>
      <c r="C60" s="3">
        <f>IF('ORDENES'!$A38="","",IF('ORDENES'!$AD38="","-",'ORDENES'!$AD38))</f>
        <v/>
      </c>
      <c r="D60" s="3">
        <f>IF('ORDENES'!$A38="","",IF('ORDENES'!$W38="","-",'ORDENES'!$W38))</f>
        <v/>
      </c>
      <c r="E60" s="3">
        <f>IF('ORDENES'!$A38="","",IF('ORDENES'!$V38="","-",'ORDENES'!$V38))</f>
        <v/>
      </c>
      <c r="F60" s="3">
        <f>IF('ORDENES'!$A38="","",IF('ORDENES'!$X38="","-",'ORDENES'!$X38))</f>
        <v/>
      </c>
      <c r="G60" s="3">
        <f>IF('ORDENES'!$A38="","",IF('ORDENES'!$AC38="","-",'ORDENES'!$AC38))</f>
        <v/>
      </c>
      <c r="H60" s="3">
        <f>IF('ORDENES'!$A38="","",IF('ORDENES'!$AO38="","-",'ORDENES'!$AO38))</f>
        <v/>
      </c>
      <c r="I60" s="3">
        <f>IF('ORDENES'!$A38="","",IF('ORDENES'!$D38="","-",'ORDENES'!$D38))</f>
        <v/>
      </c>
      <c r="J60" s="3">
        <f>IF('ORDENES'!$A38="","",IF('ORDENES'!$E38="","-",'ORDENES'!$E38))</f>
        <v/>
      </c>
      <c r="K60" s="12">
        <f>IF('ORDENES'!$A38="","",IF('ORDENES'!$N38="",0,'ORDENES'!$N38))</f>
        <v/>
      </c>
      <c r="L60" s="3">
        <f>IF('ORDENES'!$A38="","",IF('ORDENES'!$O38="","-",'ORDENES'!$O38))</f>
        <v/>
      </c>
      <c r="M60" s="3">
        <f>IF('ORDENES'!$A38="","",'ORDENES'!$AB38)</f>
        <v/>
      </c>
    </row>
    <row r="61">
      <c r="A61" s="3">
        <f>IF('ORDENES'!$A39="","",IF('ORDENES'!$P39="","-",'ORDENES'!$P39))</f>
        <v/>
      </c>
      <c r="B61" s="3">
        <f>IF('ORDENES'!$A39="","",IF('ORDENES'!$S39="","-",'ORDENES'!$S39))</f>
        <v/>
      </c>
      <c r="C61" s="3">
        <f>IF('ORDENES'!$A39="","",IF('ORDENES'!$AD39="","-",'ORDENES'!$AD39))</f>
        <v/>
      </c>
      <c r="D61" s="3">
        <f>IF('ORDENES'!$A39="","",IF('ORDENES'!$W39="","-",'ORDENES'!$W39))</f>
        <v/>
      </c>
      <c r="E61" s="3">
        <f>IF('ORDENES'!$A39="","",IF('ORDENES'!$V39="","-",'ORDENES'!$V39))</f>
        <v/>
      </c>
      <c r="F61" s="3">
        <f>IF('ORDENES'!$A39="","",IF('ORDENES'!$X39="","-",'ORDENES'!$X39))</f>
        <v/>
      </c>
      <c r="G61" s="3">
        <f>IF('ORDENES'!$A39="","",IF('ORDENES'!$AC39="","-",'ORDENES'!$AC39))</f>
        <v/>
      </c>
      <c r="H61" s="3">
        <f>IF('ORDENES'!$A39="","",IF('ORDENES'!$AO39="","-",'ORDENES'!$AO39))</f>
        <v/>
      </c>
      <c r="I61" s="3">
        <f>IF('ORDENES'!$A39="","",IF('ORDENES'!$D39="","-",'ORDENES'!$D39))</f>
        <v/>
      </c>
      <c r="J61" s="3">
        <f>IF('ORDENES'!$A39="","",IF('ORDENES'!$E39="","-",'ORDENES'!$E39))</f>
        <v/>
      </c>
      <c r="K61" s="12">
        <f>IF('ORDENES'!$A39="","",IF('ORDENES'!$N39="",0,'ORDENES'!$N39))</f>
        <v/>
      </c>
      <c r="L61" s="3">
        <f>IF('ORDENES'!$A39="","",IF('ORDENES'!$O39="","-",'ORDENES'!$O39))</f>
        <v/>
      </c>
      <c r="M61" s="3">
        <f>IF('ORDENES'!$A39="","",'ORDENES'!$AB39)</f>
        <v/>
      </c>
    </row>
    <row r="62">
      <c r="A62" s="3">
        <f>IF('ORDENES'!$A40="","",IF('ORDENES'!$P40="","-",'ORDENES'!$P40))</f>
        <v/>
      </c>
      <c r="B62" s="3">
        <f>IF('ORDENES'!$A40="","",IF('ORDENES'!$S40="","-",'ORDENES'!$S40))</f>
        <v/>
      </c>
      <c r="C62" s="3">
        <f>IF('ORDENES'!$A40="","",IF('ORDENES'!$AD40="","-",'ORDENES'!$AD40))</f>
        <v/>
      </c>
      <c r="D62" s="3">
        <f>IF('ORDENES'!$A40="","",IF('ORDENES'!$W40="","-",'ORDENES'!$W40))</f>
        <v/>
      </c>
      <c r="E62" s="3">
        <f>IF('ORDENES'!$A40="","",IF('ORDENES'!$V40="","-",'ORDENES'!$V40))</f>
        <v/>
      </c>
      <c r="F62" s="3">
        <f>IF('ORDENES'!$A40="","",IF('ORDENES'!$X40="","-",'ORDENES'!$X40))</f>
        <v/>
      </c>
      <c r="G62" s="3">
        <f>IF('ORDENES'!$A40="","",IF('ORDENES'!$AC40="","-",'ORDENES'!$AC40))</f>
        <v/>
      </c>
      <c r="H62" s="3">
        <f>IF('ORDENES'!$A40="","",IF('ORDENES'!$AO40="","-",'ORDENES'!$AO40))</f>
        <v/>
      </c>
      <c r="I62" s="3">
        <f>IF('ORDENES'!$A40="","",IF('ORDENES'!$D40="","-",'ORDENES'!$D40))</f>
        <v/>
      </c>
      <c r="J62" s="3">
        <f>IF('ORDENES'!$A40="","",IF('ORDENES'!$E40="","-",'ORDENES'!$E40))</f>
        <v/>
      </c>
      <c r="K62" s="12">
        <f>IF('ORDENES'!$A40="","",IF('ORDENES'!$N40="",0,'ORDENES'!$N40))</f>
        <v/>
      </c>
      <c r="L62" s="3">
        <f>IF('ORDENES'!$A40="","",IF('ORDENES'!$O40="","-",'ORDENES'!$O40))</f>
        <v/>
      </c>
      <c r="M62" s="3">
        <f>IF('ORDENES'!$A40="","",'ORDENES'!$AB40)</f>
        <v/>
      </c>
    </row>
    <row r="63">
      <c r="A63" s="3">
        <f>IF('ORDENES'!$A41="","",IF('ORDENES'!$P41="","-",'ORDENES'!$P41))</f>
        <v/>
      </c>
      <c r="B63" s="3">
        <f>IF('ORDENES'!$A41="","",IF('ORDENES'!$S41="","-",'ORDENES'!$S41))</f>
        <v/>
      </c>
      <c r="C63" s="3">
        <f>IF('ORDENES'!$A41="","",IF('ORDENES'!$AD41="","-",'ORDENES'!$AD41))</f>
        <v/>
      </c>
      <c r="D63" s="3">
        <f>IF('ORDENES'!$A41="","",IF('ORDENES'!$W41="","-",'ORDENES'!$W41))</f>
        <v/>
      </c>
      <c r="E63" s="3">
        <f>IF('ORDENES'!$A41="","",IF('ORDENES'!$V41="","-",'ORDENES'!$V41))</f>
        <v/>
      </c>
      <c r="F63" s="3">
        <f>IF('ORDENES'!$A41="","",IF('ORDENES'!$X41="","-",'ORDENES'!$X41))</f>
        <v/>
      </c>
      <c r="G63" s="3">
        <f>IF('ORDENES'!$A41="","",IF('ORDENES'!$AC41="","-",'ORDENES'!$AC41))</f>
        <v/>
      </c>
      <c r="H63" s="3">
        <f>IF('ORDENES'!$A41="","",IF('ORDENES'!$AO41="","-",'ORDENES'!$AO41))</f>
        <v/>
      </c>
      <c r="I63" s="3">
        <f>IF('ORDENES'!$A41="","",IF('ORDENES'!$D41="","-",'ORDENES'!$D41))</f>
        <v/>
      </c>
      <c r="J63" s="3">
        <f>IF('ORDENES'!$A41="","",IF('ORDENES'!$E41="","-",'ORDENES'!$E41))</f>
        <v/>
      </c>
      <c r="K63" s="12">
        <f>IF('ORDENES'!$A41="","",IF('ORDENES'!$N41="",0,'ORDENES'!$N41))</f>
        <v/>
      </c>
      <c r="L63" s="3">
        <f>IF('ORDENES'!$A41="","",IF('ORDENES'!$O41="","-",'ORDENES'!$O41))</f>
        <v/>
      </c>
      <c r="M63" s="3">
        <f>IF('ORDENES'!$A41="","",'ORDENES'!$AB41)</f>
        <v/>
      </c>
    </row>
    <row r="64">
      <c r="A64" s="3">
        <f>IF('ORDENES'!$A42="","",IF('ORDENES'!$P42="","-",'ORDENES'!$P42))</f>
        <v/>
      </c>
      <c r="B64" s="3">
        <f>IF('ORDENES'!$A42="","",IF('ORDENES'!$S42="","-",'ORDENES'!$S42))</f>
        <v/>
      </c>
      <c r="C64" s="3">
        <f>IF('ORDENES'!$A42="","",IF('ORDENES'!$AD42="","-",'ORDENES'!$AD42))</f>
        <v/>
      </c>
      <c r="D64" s="3">
        <f>IF('ORDENES'!$A42="","",IF('ORDENES'!$W42="","-",'ORDENES'!$W42))</f>
        <v/>
      </c>
      <c r="E64" s="3">
        <f>IF('ORDENES'!$A42="","",IF('ORDENES'!$V42="","-",'ORDENES'!$V42))</f>
        <v/>
      </c>
      <c r="F64" s="3">
        <f>IF('ORDENES'!$A42="","",IF('ORDENES'!$X42="","-",'ORDENES'!$X42))</f>
        <v/>
      </c>
      <c r="G64" s="3">
        <f>IF('ORDENES'!$A42="","",IF('ORDENES'!$AC42="","-",'ORDENES'!$AC42))</f>
        <v/>
      </c>
      <c r="H64" s="3">
        <f>IF('ORDENES'!$A42="","",IF('ORDENES'!$AO42="","-",'ORDENES'!$AO42))</f>
        <v/>
      </c>
      <c r="I64" s="3">
        <f>IF('ORDENES'!$A42="","",IF('ORDENES'!$D42="","-",'ORDENES'!$D42))</f>
        <v/>
      </c>
      <c r="J64" s="3">
        <f>IF('ORDENES'!$A42="","",IF('ORDENES'!$E42="","-",'ORDENES'!$E42))</f>
        <v/>
      </c>
      <c r="K64" s="12">
        <f>IF('ORDENES'!$A42="","",IF('ORDENES'!$N42="",0,'ORDENES'!$N42))</f>
        <v/>
      </c>
      <c r="L64" s="3">
        <f>IF('ORDENES'!$A42="","",IF('ORDENES'!$O42="","-",'ORDENES'!$O42))</f>
        <v/>
      </c>
      <c r="M64" s="3">
        <f>IF('ORDENES'!$A42="","",'ORDENES'!$AB42)</f>
        <v/>
      </c>
    </row>
    <row r="65">
      <c r="A65" s="3">
        <f>IF('ORDENES'!$A43="","",IF('ORDENES'!$P43="","-",'ORDENES'!$P43))</f>
        <v/>
      </c>
      <c r="B65" s="3">
        <f>IF('ORDENES'!$A43="","",IF('ORDENES'!$S43="","-",'ORDENES'!$S43))</f>
        <v/>
      </c>
      <c r="C65" s="3">
        <f>IF('ORDENES'!$A43="","",IF('ORDENES'!$AD43="","-",'ORDENES'!$AD43))</f>
        <v/>
      </c>
      <c r="D65" s="3">
        <f>IF('ORDENES'!$A43="","",IF('ORDENES'!$W43="","-",'ORDENES'!$W43))</f>
        <v/>
      </c>
      <c r="E65" s="3">
        <f>IF('ORDENES'!$A43="","",IF('ORDENES'!$V43="","-",'ORDENES'!$V43))</f>
        <v/>
      </c>
      <c r="F65" s="3">
        <f>IF('ORDENES'!$A43="","",IF('ORDENES'!$X43="","-",'ORDENES'!$X43))</f>
        <v/>
      </c>
      <c r="G65" s="3">
        <f>IF('ORDENES'!$A43="","",IF('ORDENES'!$AC43="","-",'ORDENES'!$AC43))</f>
        <v/>
      </c>
      <c r="H65" s="3">
        <f>IF('ORDENES'!$A43="","",IF('ORDENES'!$AO43="","-",'ORDENES'!$AO43))</f>
        <v/>
      </c>
      <c r="I65" s="3">
        <f>IF('ORDENES'!$A43="","",IF('ORDENES'!$D43="","-",'ORDENES'!$D43))</f>
        <v/>
      </c>
      <c r="J65" s="3">
        <f>IF('ORDENES'!$A43="","",IF('ORDENES'!$E43="","-",'ORDENES'!$E43))</f>
        <v/>
      </c>
      <c r="K65" s="12">
        <f>IF('ORDENES'!$A43="","",IF('ORDENES'!$N43="",0,'ORDENES'!$N43))</f>
        <v/>
      </c>
      <c r="L65" s="3">
        <f>IF('ORDENES'!$A43="","",IF('ORDENES'!$O43="","-",'ORDENES'!$O43))</f>
        <v/>
      </c>
      <c r="M65" s="3">
        <f>IF('ORDENES'!$A43="","",'ORDENES'!$AB43)</f>
        <v/>
      </c>
    </row>
    <row r="66">
      <c r="A66" s="3">
        <f>IF('ORDENES'!$A44="","",IF('ORDENES'!$P44="","-",'ORDENES'!$P44))</f>
        <v/>
      </c>
      <c r="B66" s="3">
        <f>IF('ORDENES'!$A44="","",IF('ORDENES'!$S44="","-",'ORDENES'!$S44))</f>
        <v/>
      </c>
      <c r="C66" s="3">
        <f>IF('ORDENES'!$A44="","",IF('ORDENES'!$AD44="","-",'ORDENES'!$AD44))</f>
        <v/>
      </c>
      <c r="D66" s="3">
        <f>IF('ORDENES'!$A44="","",IF('ORDENES'!$W44="","-",'ORDENES'!$W44))</f>
        <v/>
      </c>
      <c r="E66" s="3">
        <f>IF('ORDENES'!$A44="","",IF('ORDENES'!$V44="","-",'ORDENES'!$V44))</f>
        <v/>
      </c>
      <c r="F66" s="3">
        <f>IF('ORDENES'!$A44="","",IF('ORDENES'!$X44="","-",'ORDENES'!$X44))</f>
        <v/>
      </c>
      <c r="G66" s="3">
        <f>IF('ORDENES'!$A44="","",IF('ORDENES'!$AC44="","-",'ORDENES'!$AC44))</f>
        <v/>
      </c>
      <c r="H66" s="3">
        <f>IF('ORDENES'!$A44="","",IF('ORDENES'!$AO44="","-",'ORDENES'!$AO44))</f>
        <v/>
      </c>
      <c r="I66" s="3">
        <f>IF('ORDENES'!$A44="","",IF('ORDENES'!$D44="","-",'ORDENES'!$D44))</f>
        <v/>
      </c>
      <c r="J66" s="3">
        <f>IF('ORDENES'!$A44="","",IF('ORDENES'!$E44="","-",'ORDENES'!$E44))</f>
        <v/>
      </c>
      <c r="K66" s="12">
        <f>IF('ORDENES'!$A44="","",IF('ORDENES'!$N44="",0,'ORDENES'!$N44))</f>
        <v/>
      </c>
      <c r="L66" s="3">
        <f>IF('ORDENES'!$A44="","",IF('ORDENES'!$O44="","-",'ORDENES'!$O44))</f>
        <v/>
      </c>
      <c r="M66" s="3">
        <f>IF('ORDENES'!$A44="","",'ORDENES'!$AB44)</f>
        <v/>
      </c>
    </row>
    <row r="67">
      <c r="A67" s="3">
        <f>IF('ORDENES'!$A45="","",IF('ORDENES'!$P45="","-",'ORDENES'!$P45))</f>
        <v/>
      </c>
      <c r="B67" s="3">
        <f>IF('ORDENES'!$A45="","",IF('ORDENES'!$S45="","-",'ORDENES'!$S45))</f>
        <v/>
      </c>
      <c r="C67" s="3">
        <f>IF('ORDENES'!$A45="","",IF('ORDENES'!$AD45="","-",'ORDENES'!$AD45))</f>
        <v/>
      </c>
      <c r="D67" s="3">
        <f>IF('ORDENES'!$A45="","",IF('ORDENES'!$W45="","-",'ORDENES'!$W45))</f>
        <v/>
      </c>
      <c r="E67" s="3">
        <f>IF('ORDENES'!$A45="","",IF('ORDENES'!$V45="","-",'ORDENES'!$V45))</f>
        <v/>
      </c>
      <c r="F67" s="3">
        <f>IF('ORDENES'!$A45="","",IF('ORDENES'!$X45="","-",'ORDENES'!$X45))</f>
        <v/>
      </c>
      <c r="G67" s="3">
        <f>IF('ORDENES'!$A45="","",IF('ORDENES'!$AC45="","-",'ORDENES'!$AC45))</f>
        <v/>
      </c>
      <c r="H67" s="3">
        <f>IF('ORDENES'!$A45="","",IF('ORDENES'!$AO45="","-",'ORDENES'!$AO45))</f>
        <v/>
      </c>
      <c r="I67" s="3">
        <f>IF('ORDENES'!$A45="","",IF('ORDENES'!$D45="","-",'ORDENES'!$D45))</f>
        <v/>
      </c>
      <c r="J67" s="3">
        <f>IF('ORDENES'!$A45="","",IF('ORDENES'!$E45="","-",'ORDENES'!$E45))</f>
        <v/>
      </c>
      <c r="K67" s="12">
        <f>IF('ORDENES'!$A45="","",IF('ORDENES'!$N45="",0,'ORDENES'!$N45))</f>
        <v/>
      </c>
      <c r="L67" s="3">
        <f>IF('ORDENES'!$A45="","",IF('ORDENES'!$O45="","-",'ORDENES'!$O45))</f>
        <v/>
      </c>
      <c r="M67" s="3">
        <f>IF('ORDENES'!$A45="","",'ORDENES'!$AB45)</f>
        <v/>
      </c>
    </row>
    <row r="68">
      <c r="A68" s="3">
        <f>IF('ORDENES'!$A46="","",IF('ORDENES'!$P46="","-",'ORDENES'!$P46))</f>
        <v/>
      </c>
      <c r="B68" s="3">
        <f>IF('ORDENES'!$A46="","",IF('ORDENES'!$S46="","-",'ORDENES'!$S46))</f>
        <v/>
      </c>
      <c r="C68" s="3">
        <f>IF('ORDENES'!$A46="","",IF('ORDENES'!$AD46="","-",'ORDENES'!$AD46))</f>
        <v/>
      </c>
      <c r="D68" s="3">
        <f>IF('ORDENES'!$A46="","",IF('ORDENES'!$W46="","-",'ORDENES'!$W46))</f>
        <v/>
      </c>
      <c r="E68" s="3">
        <f>IF('ORDENES'!$A46="","",IF('ORDENES'!$V46="","-",'ORDENES'!$V46))</f>
        <v/>
      </c>
      <c r="F68" s="3">
        <f>IF('ORDENES'!$A46="","",IF('ORDENES'!$X46="","-",'ORDENES'!$X46))</f>
        <v/>
      </c>
      <c r="G68" s="3">
        <f>IF('ORDENES'!$A46="","",IF('ORDENES'!$AC46="","-",'ORDENES'!$AC46))</f>
        <v/>
      </c>
      <c r="H68" s="3">
        <f>IF('ORDENES'!$A46="","",IF('ORDENES'!$AO46="","-",'ORDENES'!$AO46))</f>
        <v/>
      </c>
      <c r="I68" s="3">
        <f>IF('ORDENES'!$A46="","",IF('ORDENES'!$D46="","-",'ORDENES'!$D46))</f>
        <v/>
      </c>
      <c r="J68" s="3">
        <f>IF('ORDENES'!$A46="","",IF('ORDENES'!$E46="","-",'ORDENES'!$E46))</f>
        <v/>
      </c>
      <c r="K68" s="12">
        <f>IF('ORDENES'!$A46="","",IF('ORDENES'!$N46="",0,'ORDENES'!$N46))</f>
        <v/>
      </c>
      <c r="L68" s="3">
        <f>IF('ORDENES'!$A46="","",IF('ORDENES'!$O46="","-",'ORDENES'!$O46))</f>
        <v/>
      </c>
      <c r="M68" s="3">
        <f>IF('ORDENES'!$A46="","",'ORDENES'!$AB46)</f>
        <v/>
      </c>
    </row>
    <row r="69">
      <c r="A69" s="3">
        <f>IF('ORDENES'!$A47="","",IF('ORDENES'!$P47="","-",'ORDENES'!$P47))</f>
        <v/>
      </c>
      <c r="B69" s="3">
        <f>IF('ORDENES'!$A47="","",IF('ORDENES'!$S47="","-",'ORDENES'!$S47))</f>
        <v/>
      </c>
      <c r="C69" s="3">
        <f>IF('ORDENES'!$A47="","",IF('ORDENES'!$AD47="","-",'ORDENES'!$AD47))</f>
        <v/>
      </c>
      <c r="D69" s="3">
        <f>IF('ORDENES'!$A47="","",IF('ORDENES'!$W47="","-",'ORDENES'!$W47))</f>
        <v/>
      </c>
      <c r="E69" s="3">
        <f>IF('ORDENES'!$A47="","",IF('ORDENES'!$V47="","-",'ORDENES'!$V47))</f>
        <v/>
      </c>
      <c r="F69" s="3">
        <f>IF('ORDENES'!$A47="","",IF('ORDENES'!$X47="","-",'ORDENES'!$X47))</f>
        <v/>
      </c>
      <c r="G69" s="3">
        <f>IF('ORDENES'!$A47="","",IF('ORDENES'!$AC47="","-",'ORDENES'!$AC47))</f>
        <v/>
      </c>
      <c r="H69" s="3">
        <f>IF('ORDENES'!$A47="","",IF('ORDENES'!$AO47="","-",'ORDENES'!$AO47))</f>
        <v/>
      </c>
      <c r="I69" s="3">
        <f>IF('ORDENES'!$A47="","",IF('ORDENES'!$D47="","-",'ORDENES'!$D47))</f>
        <v/>
      </c>
      <c r="J69" s="3">
        <f>IF('ORDENES'!$A47="","",IF('ORDENES'!$E47="","-",'ORDENES'!$E47))</f>
        <v/>
      </c>
      <c r="K69" s="12">
        <f>IF('ORDENES'!$A47="","",IF('ORDENES'!$N47="",0,'ORDENES'!$N47))</f>
        <v/>
      </c>
      <c r="L69" s="3">
        <f>IF('ORDENES'!$A47="","",IF('ORDENES'!$O47="","-",'ORDENES'!$O47))</f>
        <v/>
      </c>
      <c r="M69" s="3">
        <f>IF('ORDENES'!$A47="","",'ORDENES'!$AB47)</f>
        <v/>
      </c>
    </row>
    <row r="70">
      <c r="A70" s="3">
        <f>IF('ORDENES'!$A48="","",IF('ORDENES'!$P48="","-",'ORDENES'!$P48))</f>
        <v/>
      </c>
      <c r="B70" s="3">
        <f>IF('ORDENES'!$A48="","",IF('ORDENES'!$S48="","-",'ORDENES'!$S48))</f>
        <v/>
      </c>
      <c r="C70" s="3">
        <f>IF('ORDENES'!$A48="","",IF('ORDENES'!$AD48="","-",'ORDENES'!$AD48))</f>
        <v/>
      </c>
      <c r="D70" s="3">
        <f>IF('ORDENES'!$A48="","",IF('ORDENES'!$W48="","-",'ORDENES'!$W48))</f>
        <v/>
      </c>
      <c r="E70" s="3">
        <f>IF('ORDENES'!$A48="","",IF('ORDENES'!$V48="","-",'ORDENES'!$V48))</f>
        <v/>
      </c>
      <c r="F70" s="3">
        <f>IF('ORDENES'!$A48="","",IF('ORDENES'!$X48="","-",'ORDENES'!$X48))</f>
        <v/>
      </c>
      <c r="G70" s="3">
        <f>IF('ORDENES'!$A48="","",IF('ORDENES'!$AC48="","-",'ORDENES'!$AC48))</f>
        <v/>
      </c>
      <c r="H70" s="3">
        <f>IF('ORDENES'!$A48="","",IF('ORDENES'!$AO48="","-",'ORDENES'!$AO48))</f>
        <v/>
      </c>
      <c r="I70" s="3">
        <f>IF('ORDENES'!$A48="","",IF('ORDENES'!$D48="","-",'ORDENES'!$D48))</f>
        <v/>
      </c>
      <c r="J70" s="3">
        <f>IF('ORDENES'!$A48="","",IF('ORDENES'!$E48="","-",'ORDENES'!$E48))</f>
        <v/>
      </c>
      <c r="K70" s="12">
        <f>IF('ORDENES'!$A48="","",IF('ORDENES'!$N48="",0,'ORDENES'!$N48))</f>
        <v/>
      </c>
      <c r="L70" s="3">
        <f>IF('ORDENES'!$A48="","",IF('ORDENES'!$O48="","-",'ORDENES'!$O48))</f>
        <v/>
      </c>
      <c r="M70" s="3">
        <f>IF('ORDENES'!$A48="","",'ORDENES'!$AB48)</f>
        <v/>
      </c>
    </row>
    <row r="71">
      <c r="A71" s="3">
        <f>IF('ORDENES'!$A49="","",IF('ORDENES'!$P49="","-",'ORDENES'!$P49))</f>
        <v/>
      </c>
      <c r="B71" s="3">
        <f>IF('ORDENES'!$A49="","",IF('ORDENES'!$S49="","-",'ORDENES'!$S49))</f>
        <v/>
      </c>
      <c r="C71" s="3">
        <f>IF('ORDENES'!$A49="","",IF('ORDENES'!$AD49="","-",'ORDENES'!$AD49))</f>
        <v/>
      </c>
      <c r="D71" s="3">
        <f>IF('ORDENES'!$A49="","",IF('ORDENES'!$W49="","-",'ORDENES'!$W49))</f>
        <v/>
      </c>
      <c r="E71" s="3">
        <f>IF('ORDENES'!$A49="","",IF('ORDENES'!$V49="","-",'ORDENES'!$V49))</f>
        <v/>
      </c>
      <c r="F71" s="3">
        <f>IF('ORDENES'!$A49="","",IF('ORDENES'!$X49="","-",'ORDENES'!$X49))</f>
        <v/>
      </c>
      <c r="G71" s="3">
        <f>IF('ORDENES'!$A49="","",IF('ORDENES'!$AC49="","-",'ORDENES'!$AC49))</f>
        <v/>
      </c>
      <c r="H71" s="3">
        <f>IF('ORDENES'!$A49="","",IF('ORDENES'!$AO49="","-",'ORDENES'!$AO49))</f>
        <v/>
      </c>
      <c r="I71" s="3">
        <f>IF('ORDENES'!$A49="","",IF('ORDENES'!$D49="","-",'ORDENES'!$D49))</f>
        <v/>
      </c>
      <c r="J71" s="3">
        <f>IF('ORDENES'!$A49="","",IF('ORDENES'!$E49="","-",'ORDENES'!$E49))</f>
        <v/>
      </c>
      <c r="K71" s="12">
        <f>IF('ORDENES'!$A49="","",IF('ORDENES'!$N49="",0,'ORDENES'!$N49))</f>
        <v/>
      </c>
      <c r="L71" s="3">
        <f>IF('ORDENES'!$A49="","",IF('ORDENES'!$O49="","-",'ORDENES'!$O49))</f>
        <v/>
      </c>
      <c r="M71" s="3">
        <f>IF('ORDENES'!$A49="","",'ORDENES'!$AB49)</f>
        <v/>
      </c>
    </row>
    <row r="72">
      <c r="A72" s="3">
        <f>IF('ORDENES'!$A50="","",IF('ORDENES'!$P50="","-",'ORDENES'!$P50))</f>
        <v/>
      </c>
      <c r="B72" s="3">
        <f>IF('ORDENES'!$A50="","",IF('ORDENES'!$S50="","-",'ORDENES'!$S50))</f>
        <v/>
      </c>
      <c r="C72" s="3">
        <f>IF('ORDENES'!$A50="","",IF('ORDENES'!$AD50="","-",'ORDENES'!$AD50))</f>
        <v/>
      </c>
      <c r="D72" s="3">
        <f>IF('ORDENES'!$A50="","",IF('ORDENES'!$W50="","-",'ORDENES'!$W50))</f>
        <v/>
      </c>
      <c r="E72" s="3">
        <f>IF('ORDENES'!$A50="","",IF('ORDENES'!$V50="","-",'ORDENES'!$V50))</f>
        <v/>
      </c>
      <c r="F72" s="3">
        <f>IF('ORDENES'!$A50="","",IF('ORDENES'!$X50="","-",'ORDENES'!$X50))</f>
        <v/>
      </c>
      <c r="G72" s="3">
        <f>IF('ORDENES'!$A50="","",IF('ORDENES'!$AC50="","-",'ORDENES'!$AC50))</f>
        <v/>
      </c>
      <c r="H72" s="3">
        <f>IF('ORDENES'!$A50="","",IF('ORDENES'!$AO50="","-",'ORDENES'!$AO50))</f>
        <v/>
      </c>
      <c r="I72" s="3">
        <f>IF('ORDENES'!$A50="","",IF('ORDENES'!$D50="","-",'ORDENES'!$D50))</f>
        <v/>
      </c>
      <c r="J72" s="3">
        <f>IF('ORDENES'!$A50="","",IF('ORDENES'!$E50="","-",'ORDENES'!$E50))</f>
        <v/>
      </c>
      <c r="K72" s="12">
        <f>IF('ORDENES'!$A50="","",IF('ORDENES'!$N50="",0,'ORDENES'!$N50))</f>
        <v/>
      </c>
      <c r="L72" s="3">
        <f>IF('ORDENES'!$A50="","",IF('ORDENES'!$O50="","-",'ORDENES'!$O50))</f>
        <v/>
      </c>
      <c r="M72" s="3">
        <f>IF('ORDENES'!$A50="","",'ORDENES'!$AB50)</f>
        <v/>
      </c>
    </row>
    <row r="73">
      <c r="A73" s="3">
        <f>IF('ORDENES'!$A51="","",IF('ORDENES'!$P51="","-",'ORDENES'!$P51))</f>
        <v/>
      </c>
      <c r="B73" s="3">
        <f>IF('ORDENES'!$A51="","",IF('ORDENES'!$S51="","-",'ORDENES'!$S51))</f>
        <v/>
      </c>
      <c r="C73" s="3">
        <f>IF('ORDENES'!$A51="","",IF('ORDENES'!$AD51="","-",'ORDENES'!$AD51))</f>
        <v/>
      </c>
      <c r="D73" s="3">
        <f>IF('ORDENES'!$A51="","",IF('ORDENES'!$W51="","-",'ORDENES'!$W51))</f>
        <v/>
      </c>
      <c r="E73" s="3">
        <f>IF('ORDENES'!$A51="","",IF('ORDENES'!$V51="","-",'ORDENES'!$V51))</f>
        <v/>
      </c>
      <c r="F73" s="3">
        <f>IF('ORDENES'!$A51="","",IF('ORDENES'!$X51="","-",'ORDENES'!$X51))</f>
        <v/>
      </c>
      <c r="G73" s="3">
        <f>IF('ORDENES'!$A51="","",IF('ORDENES'!$AC51="","-",'ORDENES'!$AC51))</f>
        <v/>
      </c>
      <c r="H73" s="3">
        <f>IF('ORDENES'!$A51="","",IF('ORDENES'!$AO51="","-",'ORDENES'!$AO51))</f>
        <v/>
      </c>
      <c r="I73" s="3">
        <f>IF('ORDENES'!$A51="","",IF('ORDENES'!$D51="","-",'ORDENES'!$D51))</f>
        <v/>
      </c>
      <c r="J73" s="3">
        <f>IF('ORDENES'!$A51="","",IF('ORDENES'!$E51="","-",'ORDENES'!$E51))</f>
        <v/>
      </c>
      <c r="K73" s="12">
        <f>IF('ORDENES'!$A51="","",IF('ORDENES'!$N51="",0,'ORDENES'!$N51))</f>
        <v/>
      </c>
      <c r="L73" s="3">
        <f>IF('ORDENES'!$A51="","",IF('ORDENES'!$O51="","-",'ORDENES'!$O51))</f>
        <v/>
      </c>
      <c r="M73" s="3">
        <f>IF('ORDENES'!$A51="","",'ORDENES'!$AB51)</f>
        <v/>
      </c>
    </row>
    <row r="74">
      <c r="A74" s="3">
        <f>IF('ORDENES'!$A52="","",IF('ORDENES'!$P52="","-",'ORDENES'!$P52))</f>
        <v/>
      </c>
      <c r="B74" s="3">
        <f>IF('ORDENES'!$A52="","",IF('ORDENES'!$S52="","-",'ORDENES'!$S52))</f>
        <v/>
      </c>
      <c r="C74" s="3">
        <f>IF('ORDENES'!$A52="","",IF('ORDENES'!$AD52="","-",'ORDENES'!$AD52))</f>
        <v/>
      </c>
      <c r="D74" s="3">
        <f>IF('ORDENES'!$A52="","",IF('ORDENES'!$W52="","-",'ORDENES'!$W52))</f>
        <v/>
      </c>
      <c r="E74" s="3">
        <f>IF('ORDENES'!$A52="","",IF('ORDENES'!$V52="","-",'ORDENES'!$V52))</f>
        <v/>
      </c>
      <c r="F74" s="3">
        <f>IF('ORDENES'!$A52="","",IF('ORDENES'!$X52="","-",'ORDENES'!$X52))</f>
        <v/>
      </c>
      <c r="G74" s="3">
        <f>IF('ORDENES'!$A52="","",IF('ORDENES'!$AC52="","-",'ORDENES'!$AC52))</f>
        <v/>
      </c>
      <c r="H74" s="3">
        <f>IF('ORDENES'!$A52="","",IF('ORDENES'!$AO52="","-",'ORDENES'!$AO52))</f>
        <v/>
      </c>
      <c r="I74" s="3">
        <f>IF('ORDENES'!$A52="","",IF('ORDENES'!$D52="","-",'ORDENES'!$D52))</f>
        <v/>
      </c>
      <c r="J74" s="3">
        <f>IF('ORDENES'!$A52="","",IF('ORDENES'!$E52="","-",'ORDENES'!$E52))</f>
        <v/>
      </c>
      <c r="K74" s="12">
        <f>IF('ORDENES'!$A52="","",IF('ORDENES'!$N52="",0,'ORDENES'!$N52))</f>
        <v/>
      </c>
      <c r="L74" s="3">
        <f>IF('ORDENES'!$A52="","",IF('ORDENES'!$O52="","-",'ORDENES'!$O52))</f>
        <v/>
      </c>
      <c r="M74" s="3">
        <f>IF('ORDENES'!$A52="","",'ORDENES'!$AB52)</f>
        <v/>
      </c>
    </row>
    <row r="75">
      <c r="A75" s="3">
        <f>IF('ORDENES'!$A53="","",IF('ORDENES'!$P53="","-",'ORDENES'!$P53))</f>
        <v/>
      </c>
      <c r="B75" s="3">
        <f>IF('ORDENES'!$A53="","",IF('ORDENES'!$S53="","-",'ORDENES'!$S53))</f>
        <v/>
      </c>
      <c r="C75" s="3">
        <f>IF('ORDENES'!$A53="","",IF('ORDENES'!$AD53="","-",'ORDENES'!$AD53))</f>
        <v/>
      </c>
      <c r="D75" s="3">
        <f>IF('ORDENES'!$A53="","",IF('ORDENES'!$W53="","-",'ORDENES'!$W53))</f>
        <v/>
      </c>
      <c r="E75" s="3">
        <f>IF('ORDENES'!$A53="","",IF('ORDENES'!$V53="","-",'ORDENES'!$V53))</f>
        <v/>
      </c>
      <c r="F75" s="3">
        <f>IF('ORDENES'!$A53="","",IF('ORDENES'!$X53="","-",'ORDENES'!$X53))</f>
        <v/>
      </c>
      <c r="G75" s="3">
        <f>IF('ORDENES'!$A53="","",IF('ORDENES'!$AC53="","-",'ORDENES'!$AC53))</f>
        <v/>
      </c>
      <c r="H75" s="3">
        <f>IF('ORDENES'!$A53="","",IF('ORDENES'!$AO53="","-",'ORDENES'!$AO53))</f>
        <v/>
      </c>
      <c r="I75" s="3">
        <f>IF('ORDENES'!$A53="","",IF('ORDENES'!$D53="","-",'ORDENES'!$D53))</f>
        <v/>
      </c>
      <c r="J75" s="3">
        <f>IF('ORDENES'!$A53="","",IF('ORDENES'!$E53="","-",'ORDENES'!$E53))</f>
        <v/>
      </c>
      <c r="K75" s="12">
        <f>IF('ORDENES'!$A53="","",IF('ORDENES'!$N53="",0,'ORDENES'!$N53))</f>
        <v/>
      </c>
      <c r="L75" s="3">
        <f>IF('ORDENES'!$A53="","",IF('ORDENES'!$O53="","-",'ORDENES'!$O53))</f>
        <v/>
      </c>
      <c r="M75" s="3">
        <f>IF('ORDENES'!$A53="","",'ORDENES'!$AB53)</f>
        <v/>
      </c>
    </row>
    <row r="76">
      <c r="A76" s="3">
        <f>IF('ORDENES'!$A54="","",IF('ORDENES'!$P54="","-",'ORDENES'!$P54))</f>
        <v/>
      </c>
      <c r="B76" s="3">
        <f>IF('ORDENES'!$A54="","",IF('ORDENES'!$S54="","-",'ORDENES'!$S54))</f>
        <v/>
      </c>
      <c r="C76" s="3">
        <f>IF('ORDENES'!$A54="","",IF('ORDENES'!$AD54="","-",'ORDENES'!$AD54))</f>
        <v/>
      </c>
      <c r="D76" s="3">
        <f>IF('ORDENES'!$A54="","",IF('ORDENES'!$W54="","-",'ORDENES'!$W54))</f>
        <v/>
      </c>
      <c r="E76" s="3">
        <f>IF('ORDENES'!$A54="","",IF('ORDENES'!$V54="","-",'ORDENES'!$V54))</f>
        <v/>
      </c>
      <c r="F76" s="3">
        <f>IF('ORDENES'!$A54="","",IF('ORDENES'!$X54="","-",'ORDENES'!$X54))</f>
        <v/>
      </c>
      <c r="G76" s="3">
        <f>IF('ORDENES'!$A54="","",IF('ORDENES'!$AC54="","-",'ORDENES'!$AC54))</f>
        <v/>
      </c>
      <c r="H76" s="3">
        <f>IF('ORDENES'!$A54="","",IF('ORDENES'!$AO54="","-",'ORDENES'!$AO54))</f>
        <v/>
      </c>
      <c r="I76" s="3">
        <f>IF('ORDENES'!$A54="","",IF('ORDENES'!$D54="","-",'ORDENES'!$D54))</f>
        <v/>
      </c>
      <c r="J76" s="3">
        <f>IF('ORDENES'!$A54="","",IF('ORDENES'!$E54="","-",'ORDENES'!$E54))</f>
        <v/>
      </c>
      <c r="K76" s="12">
        <f>IF('ORDENES'!$A54="","",IF('ORDENES'!$N54="",0,'ORDENES'!$N54))</f>
        <v/>
      </c>
      <c r="L76" s="3">
        <f>IF('ORDENES'!$A54="","",IF('ORDENES'!$O54="","-",'ORDENES'!$O54))</f>
        <v/>
      </c>
      <c r="M76" s="3">
        <f>IF('ORDENES'!$A54="","",'ORDENES'!$AB54)</f>
        <v/>
      </c>
    </row>
    <row r="77">
      <c r="A77" s="3">
        <f>IF('ORDENES'!$A55="","",IF('ORDENES'!$P55="","-",'ORDENES'!$P55))</f>
        <v/>
      </c>
      <c r="B77" s="3">
        <f>IF('ORDENES'!$A55="","",IF('ORDENES'!$S55="","-",'ORDENES'!$S55))</f>
        <v/>
      </c>
      <c r="C77" s="3">
        <f>IF('ORDENES'!$A55="","",IF('ORDENES'!$AD55="","-",'ORDENES'!$AD55))</f>
        <v/>
      </c>
      <c r="D77" s="3">
        <f>IF('ORDENES'!$A55="","",IF('ORDENES'!$W55="","-",'ORDENES'!$W55))</f>
        <v/>
      </c>
      <c r="E77" s="3">
        <f>IF('ORDENES'!$A55="","",IF('ORDENES'!$V55="","-",'ORDENES'!$V55))</f>
        <v/>
      </c>
      <c r="F77" s="3">
        <f>IF('ORDENES'!$A55="","",IF('ORDENES'!$X55="","-",'ORDENES'!$X55))</f>
        <v/>
      </c>
      <c r="G77" s="3">
        <f>IF('ORDENES'!$A55="","",IF('ORDENES'!$AC55="","-",'ORDENES'!$AC55))</f>
        <v/>
      </c>
      <c r="H77" s="3">
        <f>IF('ORDENES'!$A55="","",IF('ORDENES'!$AO55="","-",'ORDENES'!$AO55))</f>
        <v/>
      </c>
      <c r="I77" s="3">
        <f>IF('ORDENES'!$A55="","",IF('ORDENES'!$D55="","-",'ORDENES'!$D55))</f>
        <v/>
      </c>
      <c r="J77" s="3">
        <f>IF('ORDENES'!$A55="","",IF('ORDENES'!$E55="","-",'ORDENES'!$E55))</f>
        <v/>
      </c>
      <c r="K77" s="12">
        <f>IF('ORDENES'!$A55="","",IF('ORDENES'!$N55="",0,'ORDENES'!$N55))</f>
        <v/>
      </c>
      <c r="L77" s="3">
        <f>IF('ORDENES'!$A55="","",IF('ORDENES'!$O55="","-",'ORDENES'!$O55))</f>
        <v/>
      </c>
      <c r="M77" s="3">
        <f>IF('ORDENES'!$A55="","",'ORDENES'!$AB55)</f>
        <v/>
      </c>
    </row>
    <row r="78">
      <c r="A78" s="3">
        <f>IF('ORDENES'!$A56="","",IF('ORDENES'!$P56="","-",'ORDENES'!$P56))</f>
        <v/>
      </c>
      <c r="B78" s="3">
        <f>IF('ORDENES'!$A56="","",IF('ORDENES'!$S56="","-",'ORDENES'!$S56))</f>
        <v/>
      </c>
      <c r="C78" s="3">
        <f>IF('ORDENES'!$A56="","",IF('ORDENES'!$AD56="","-",'ORDENES'!$AD56))</f>
        <v/>
      </c>
      <c r="D78" s="3">
        <f>IF('ORDENES'!$A56="","",IF('ORDENES'!$W56="","-",'ORDENES'!$W56))</f>
        <v/>
      </c>
      <c r="E78" s="3">
        <f>IF('ORDENES'!$A56="","",IF('ORDENES'!$V56="","-",'ORDENES'!$V56))</f>
        <v/>
      </c>
      <c r="F78" s="3">
        <f>IF('ORDENES'!$A56="","",IF('ORDENES'!$X56="","-",'ORDENES'!$X56))</f>
        <v/>
      </c>
      <c r="G78" s="3">
        <f>IF('ORDENES'!$A56="","",IF('ORDENES'!$AC56="","-",'ORDENES'!$AC56))</f>
        <v/>
      </c>
      <c r="H78" s="3">
        <f>IF('ORDENES'!$A56="","",IF('ORDENES'!$AO56="","-",'ORDENES'!$AO56))</f>
        <v/>
      </c>
      <c r="I78" s="3">
        <f>IF('ORDENES'!$A56="","",IF('ORDENES'!$D56="","-",'ORDENES'!$D56))</f>
        <v/>
      </c>
      <c r="J78" s="3">
        <f>IF('ORDENES'!$A56="","",IF('ORDENES'!$E56="","-",'ORDENES'!$E56))</f>
        <v/>
      </c>
      <c r="K78" s="12">
        <f>IF('ORDENES'!$A56="","",IF('ORDENES'!$N56="",0,'ORDENES'!$N56))</f>
        <v/>
      </c>
      <c r="L78" s="3">
        <f>IF('ORDENES'!$A56="","",IF('ORDENES'!$O56="","-",'ORDENES'!$O56))</f>
        <v/>
      </c>
      <c r="M78" s="3">
        <f>IF('ORDENES'!$A56="","",'ORDENES'!$AB56)</f>
        <v/>
      </c>
    </row>
    <row r="79">
      <c r="A79" s="3">
        <f>IF('ORDENES'!$A57="","",IF('ORDENES'!$P57="","-",'ORDENES'!$P57))</f>
        <v/>
      </c>
      <c r="B79" s="3">
        <f>IF('ORDENES'!$A57="","",IF('ORDENES'!$S57="","-",'ORDENES'!$S57))</f>
        <v/>
      </c>
      <c r="C79" s="3">
        <f>IF('ORDENES'!$A57="","",IF('ORDENES'!$AD57="","-",'ORDENES'!$AD57))</f>
        <v/>
      </c>
      <c r="D79" s="3">
        <f>IF('ORDENES'!$A57="","",IF('ORDENES'!$W57="","-",'ORDENES'!$W57))</f>
        <v/>
      </c>
      <c r="E79" s="3">
        <f>IF('ORDENES'!$A57="","",IF('ORDENES'!$V57="","-",'ORDENES'!$V57))</f>
        <v/>
      </c>
      <c r="F79" s="3">
        <f>IF('ORDENES'!$A57="","",IF('ORDENES'!$X57="","-",'ORDENES'!$X57))</f>
        <v/>
      </c>
      <c r="G79" s="3">
        <f>IF('ORDENES'!$A57="","",IF('ORDENES'!$AC57="","-",'ORDENES'!$AC57))</f>
        <v/>
      </c>
      <c r="H79" s="3">
        <f>IF('ORDENES'!$A57="","",IF('ORDENES'!$AO57="","-",'ORDENES'!$AO57))</f>
        <v/>
      </c>
      <c r="I79" s="3">
        <f>IF('ORDENES'!$A57="","",IF('ORDENES'!$D57="","-",'ORDENES'!$D57))</f>
        <v/>
      </c>
      <c r="J79" s="3">
        <f>IF('ORDENES'!$A57="","",IF('ORDENES'!$E57="","-",'ORDENES'!$E57))</f>
        <v/>
      </c>
      <c r="K79" s="12">
        <f>IF('ORDENES'!$A57="","",IF('ORDENES'!$N57="",0,'ORDENES'!$N57))</f>
        <v/>
      </c>
      <c r="L79" s="3">
        <f>IF('ORDENES'!$A57="","",IF('ORDENES'!$O57="","-",'ORDENES'!$O57))</f>
        <v/>
      </c>
      <c r="M79" s="3">
        <f>IF('ORDENES'!$A57="","",'ORDENES'!$AB57)</f>
        <v/>
      </c>
    </row>
    <row r="80">
      <c r="A80" s="3">
        <f>IF('ORDENES'!$A58="","",IF('ORDENES'!$P58="","-",'ORDENES'!$P58))</f>
        <v/>
      </c>
      <c r="B80" s="3">
        <f>IF('ORDENES'!$A58="","",IF('ORDENES'!$S58="","-",'ORDENES'!$S58))</f>
        <v/>
      </c>
      <c r="C80" s="3">
        <f>IF('ORDENES'!$A58="","",IF('ORDENES'!$AD58="","-",'ORDENES'!$AD58))</f>
        <v/>
      </c>
      <c r="D80" s="3">
        <f>IF('ORDENES'!$A58="","",IF('ORDENES'!$W58="","-",'ORDENES'!$W58))</f>
        <v/>
      </c>
      <c r="E80" s="3">
        <f>IF('ORDENES'!$A58="","",IF('ORDENES'!$V58="","-",'ORDENES'!$V58))</f>
        <v/>
      </c>
      <c r="F80" s="3">
        <f>IF('ORDENES'!$A58="","",IF('ORDENES'!$X58="","-",'ORDENES'!$X58))</f>
        <v/>
      </c>
      <c r="G80" s="3">
        <f>IF('ORDENES'!$A58="","",IF('ORDENES'!$AC58="","-",'ORDENES'!$AC58))</f>
        <v/>
      </c>
      <c r="H80" s="3">
        <f>IF('ORDENES'!$A58="","",IF('ORDENES'!$AO58="","-",'ORDENES'!$AO58))</f>
        <v/>
      </c>
      <c r="I80" s="3">
        <f>IF('ORDENES'!$A58="","",IF('ORDENES'!$D58="","-",'ORDENES'!$D58))</f>
        <v/>
      </c>
      <c r="J80" s="3">
        <f>IF('ORDENES'!$A58="","",IF('ORDENES'!$E58="","-",'ORDENES'!$E58))</f>
        <v/>
      </c>
      <c r="K80" s="12">
        <f>IF('ORDENES'!$A58="","",IF('ORDENES'!$N58="",0,'ORDENES'!$N58))</f>
        <v/>
      </c>
      <c r="L80" s="3">
        <f>IF('ORDENES'!$A58="","",IF('ORDENES'!$O58="","-",'ORDENES'!$O58))</f>
        <v/>
      </c>
      <c r="M80" s="3">
        <f>IF('ORDENES'!$A58="","",'ORDENES'!$AB58)</f>
        <v/>
      </c>
    </row>
    <row r="81">
      <c r="A81" s="3">
        <f>IF('ORDENES'!$A59="","",IF('ORDENES'!$P59="","-",'ORDENES'!$P59))</f>
        <v/>
      </c>
      <c r="B81" s="3">
        <f>IF('ORDENES'!$A59="","",IF('ORDENES'!$S59="","-",'ORDENES'!$S59))</f>
        <v/>
      </c>
      <c r="C81" s="3">
        <f>IF('ORDENES'!$A59="","",IF('ORDENES'!$AD59="","-",'ORDENES'!$AD59))</f>
        <v/>
      </c>
      <c r="D81" s="3">
        <f>IF('ORDENES'!$A59="","",IF('ORDENES'!$W59="","-",'ORDENES'!$W59))</f>
        <v/>
      </c>
      <c r="E81" s="3">
        <f>IF('ORDENES'!$A59="","",IF('ORDENES'!$V59="","-",'ORDENES'!$V59))</f>
        <v/>
      </c>
      <c r="F81" s="3">
        <f>IF('ORDENES'!$A59="","",IF('ORDENES'!$X59="","-",'ORDENES'!$X59))</f>
        <v/>
      </c>
      <c r="G81" s="3">
        <f>IF('ORDENES'!$A59="","",IF('ORDENES'!$AC59="","-",'ORDENES'!$AC59))</f>
        <v/>
      </c>
      <c r="H81" s="3">
        <f>IF('ORDENES'!$A59="","",IF('ORDENES'!$AO59="","-",'ORDENES'!$AO59))</f>
        <v/>
      </c>
      <c r="I81" s="3">
        <f>IF('ORDENES'!$A59="","",IF('ORDENES'!$D59="","-",'ORDENES'!$D59))</f>
        <v/>
      </c>
      <c r="J81" s="3">
        <f>IF('ORDENES'!$A59="","",IF('ORDENES'!$E59="","-",'ORDENES'!$E59))</f>
        <v/>
      </c>
      <c r="K81" s="12">
        <f>IF('ORDENES'!$A59="","",IF('ORDENES'!$N59="",0,'ORDENES'!$N59))</f>
        <v/>
      </c>
      <c r="L81" s="3">
        <f>IF('ORDENES'!$A59="","",IF('ORDENES'!$O59="","-",'ORDENES'!$O59))</f>
        <v/>
      </c>
      <c r="M81" s="3">
        <f>IF('ORDENES'!$A59="","",'ORDENES'!$AB59)</f>
        <v/>
      </c>
    </row>
    <row r="82">
      <c r="A82" s="3">
        <f>IF('ORDENES'!$A60="","",IF('ORDENES'!$P60="","-",'ORDENES'!$P60))</f>
        <v/>
      </c>
      <c r="B82" s="3">
        <f>IF('ORDENES'!$A60="","",IF('ORDENES'!$S60="","-",'ORDENES'!$S60))</f>
        <v/>
      </c>
      <c r="C82" s="3">
        <f>IF('ORDENES'!$A60="","",IF('ORDENES'!$AD60="","-",'ORDENES'!$AD60))</f>
        <v/>
      </c>
      <c r="D82" s="3">
        <f>IF('ORDENES'!$A60="","",IF('ORDENES'!$W60="","-",'ORDENES'!$W60))</f>
        <v/>
      </c>
      <c r="E82" s="3">
        <f>IF('ORDENES'!$A60="","",IF('ORDENES'!$V60="","-",'ORDENES'!$V60))</f>
        <v/>
      </c>
      <c r="F82" s="3">
        <f>IF('ORDENES'!$A60="","",IF('ORDENES'!$X60="","-",'ORDENES'!$X60))</f>
        <v/>
      </c>
      <c r="G82" s="3">
        <f>IF('ORDENES'!$A60="","",IF('ORDENES'!$AC60="","-",'ORDENES'!$AC60))</f>
        <v/>
      </c>
      <c r="H82" s="3">
        <f>IF('ORDENES'!$A60="","",IF('ORDENES'!$AO60="","-",'ORDENES'!$AO60))</f>
        <v/>
      </c>
      <c r="I82" s="3">
        <f>IF('ORDENES'!$A60="","",IF('ORDENES'!$D60="","-",'ORDENES'!$D60))</f>
        <v/>
      </c>
      <c r="J82" s="3">
        <f>IF('ORDENES'!$A60="","",IF('ORDENES'!$E60="","-",'ORDENES'!$E60))</f>
        <v/>
      </c>
      <c r="K82" s="12">
        <f>IF('ORDENES'!$A60="","",IF('ORDENES'!$N60="",0,'ORDENES'!$N60))</f>
        <v/>
      </c>
      <c r="L82" s="3">
        <f>IF('ORDENES'!$A60="","",IF('ORDENES'!$O60="","-",'ORDENES'!$O60))</f>
        <v/>
      </c>
      <c r="M82" s="3">
        <f>IF('ORDENES'!$A60="","",'ORDENES'!$AB60)</f>
        <v/>
      </c>
    </row>
    <row r="83">
      <c r="A83" s="3">
        <f>IF('ORDENES'!$A61="","",IF('ORDENES'!$P61="","-",'ORDENES'!$P61))</f>
        <v/>
      </c>
      <c r="B83" s="3">
        <f>IF('ORDENES'!$A61="","",IF('ORDENES'!$S61="","-",'ORDENES'!$S61))</f>
        <v/>
      </c>
      <c r="C83" s="3">
        <f>IF('ORDENES'!$A61="","",IF('ORDENES'!$AD61="","-",'ORDENES'!$AD61))</f>
        <v/>
      </c>
      <c r="D83" s="3">
        <f>IF('ORDENES'!$A61="","",IF('ORDENES'!$W61="","-",'ORDENES'!$W61))</f>
        <v/>
      </c>
      <c r="E83" s="3">
        <f>IF('ORDENES'!$A61="","",IF('ORDENES'!$V61="","-",'ORDENES'!$V61))</f>
        <v/>
      </c>
      <c r="F83" s="3">
        <f>IF('ORDENES'!$A61="","",IF('ORDENES'!$X61="","-",'ORDENES'!$X61))</f>
        <v/>
      </c>
      <c r="G83" s="3">
        <f>IF('ORDENES'!$A61="","",IF('ORDENES'!$AC61="","-",'ORDENES'!$AC61))</f>
        <v/>
      </c>
      <c r="H83" s="3">
        <f>IF('ORDENES'!$A61="","",IF('ORDENES'!$AO61="","-",'ORDENES'!$AO61))</f>
        <v/>
      </c>
      <c r="I83" s="3">
        <f>IF('ORDENES'!$A61="","",IF('ORDENES'!$D61="","-",'ORDENES'!$D61))</f>
        <v/>
      </c>
      <c r="J83" s="3">
        <f>IF('ORDENES'!$A61="","",IF('ORDENES'!$E61="","-",'ORDENES'!$E61))</f>
        <v/>
      </c>
      <c r="K83" s="12">
        <f>IF('ORDENES'!$A61="","",IF('ORDENES'!$N61="",0,'ORDENES'!$N61))</f>
        <v/>
      </c>
      <c r="L83" s="3">
        <f>IF('ORDENES'!$A61="","",IF('ORDENES'!$O61="","-",'ORDENES'!$O61))</f>
        <v/>
      </c>
      <c r="M83" s="3">
        <f>IF('ORDENES'!$A61="","",'ORDENES'!$AB61)</f>
        <v/>
      </c>
    </row>
    <row r="84">
      <c r="A84" s="3">
        <f>IF('ORDENES'!$A62="","",IF('ORDENES'!$P62="","-",'ORDENES'!$P62))</f>
        <v/>
      </c>
      <c r="B84" s="3">
        <f>IF('ORDENES'!$A62="","",IF('ORDENES'!$S62="","-",'ORDENES'!$S62))</f>
        <v/>
      </c>
      <c r="C84" s="3">
        <f>IF('ORDENES'!$A62="","",IF('ORDENES'!$AD62="","-",'ORDENES'!$AD62))</f>
        <v/>
      </c>
      <c r="D84" s="3">
        <f>IF('ORDENES'!$A62="","",IF('ORDENES'!$W62="","-",'ORDENES'!$W62))</f>
        <v/>
      </c>
      <c r="E84" s="3">
        <f>IF('ORDENES'!$A62="","",IF('ORDENES'!$V62="","-",'ORDENES'!$V62))</f>
        <v/>
      </c>
      <c r="F84" s="3">
        <f>IF('ORDENES'!$A62="","",IF('ORDENES'!$X62="","-",'ORDENES'!$X62))</f>
        <v/>
      </c>
      <c r="G84" s="3">
        <f>IF('ORDENES'!$A62="","",IF('ORDENES'!$AC62="","-",'ORDENES'!$AC62))</f>
        <v/>
      </c>
      <c r="H84" s="3">
        <f>IF('ORDENES'!$A62="","",IF('ORDENES'!$AO62="","-",'ORDENES'!$AO62))</f>
        <v/>
      </c>
      <c r="I84" s="3">
        <f>IF('ORDENES'!$A62="","",IF('ORDENES'!$D62="","-",'ORDENES'!$D62))</f>
        <v/>
      </c>
      <c r="J84" s="3">
        <f>IF('ORDENES'!$A62="","",IF('ORDENES'!$E62="","-",'ORDENES'!$E62))</f>
        <v/>
      </c>
      <c r="K84" s="12">
        <f>IF('ORDENES'!$A62="","",IF('ORDENES'!$N62="",0,'ORDENES'!$N62))</f>
        <v/>
      </c>
      <c r="L84" s="3">
        <f>IF('ORDENES'!$A62="","",IF('ORDENES'!$O62="","-",'ORDENES'!$O62))</f>
        <v/>
      </c>
      <c r="M84" s="3">
        <f>IF('ORDENES'!$A62="","",'ORDENES'!$AB62)</f>
        <v/>
      </c>
    </row>
    <row r="85">
      <c r="A85" s="3">
        <f>IF('ORDENES'!$A63="","",IF('ORDENES'!$P63="","-",'ORDENES'!$P63))</f>
        <v/>
      </c>
      <c r="B85" s="3">
        <f>IF('ORDENES'!$A63="","",IF('ORDENES'!$S63="","-",'ORDENES'!$S63))</f>
        <v/>
      </c>
      <c r="C85" s="3">
        <f>IF('ORDENES'!$A63="","",IF('ORDENES'!$AD63="","-",'ORDENES'!$AD63))</f>
        <v/>
      </c>
      <c r="D85" s="3">
        <f>IF('ORDENES'!$A63="","",IF('ORDENES'!$W63="","-",'ORDENES'!$W63))</f>
        <v/>
      </c>
      <c r="E85" s="3">
        <f>IF('ORDENES'!$A63="","",IF('ORDENES'!$V63="","-",'ORDENES'!$V63))</f>
        <v/>
      </c>
      <c r="F85" s="3">
        <f>IF('ORDENES'!$A63="","",IF('ORDENES'!$X63="","-",'ORDENES'!$X63))</f>
        <v/>
      </c>
      <c r="G85" s="3">
        <f>IF('ORDENES'!$A63="","",IF('ORDENES'!$AC63="","-",'ORDENES'!$AC63))</f>
        <v/>
      </c>
      <c r="H85" s="3">
        <f>IF('ORDENES'!$A63="","",IF('ORDENES'!$AO63="","-",'ORDENES'!$AO63))</f>
        <v/>
      </c>
      <c r="I85" s="3">
        <f>IF('ORDENES'!$A63="","",IF('ORDENES'!$D63="","-",'ORDENES'!$D63))</f>
        <v/>
      </c>
      <c r="J85" s="3">
        <f>IF('ORDENES'!$A63="","",IF('ORDENES'!$E63="","-",'ORDENES'!$E63))</f>
        <v/>
      </c>
      <c r="K85" s="12">
        <f>IF('ORDENES'!$A63="","",IF('ORDENES'!$N63="",0,'ORDENES'!$N63))</f>
        <v/>
      </c>
      <c r="L85" s="3">
        <f>IF('ORDENES'!$A63="","",IF('ORDENES'!$O63="","-",'ORDENES'!$O63))</f>
        <v/>
      </c>
      <c r="M85" s="3">
        <f>IF('ORDENES'!$A63="","",'ORDENES'!$AB63)</f>
        <v/>
      </c>
    </row>
    <row r="86">
      <c r="A86" s="3">
        <f>IF('ORDENES'!$A64="","",IF('ORDENES'!$P64="","-",'ORDENES'!$P64))</f>
        <v/>
      </c>
      <c r="B86" s="3">
        <f>IF('ORDENES'!$A64="","",IF('ORDENES'!$S64="","-",'ORDENES'!$S64))</f>
        <v/>
      </c>
      <c r="C86" s="3">
        <f>IF('ORDENES'!$A64="","",IF('ORDENES'!$AD64="","-",'ORDENES'!$AD64))</f>
        <v/>
      </c>
      <c r="D86" s="3">
        <f>IF('ORDENES'!$A64="","",IF('ORDENES'!$W64="","-",'ORDENES'!$W64))</f>
        <v/>
      </c>
      <c r="E86" s="3">
        <f>IF('ORDENES'!$A64="","",IF('ORDENES'!$V64="","-",'ORDENES'!$V64))</f>
        <v/>
      </c>
      <c r="F86" s="3">
        <f>IF('ORDENES'!$A64="","",IF('ORDENES'!$X64="","-",'ORDENES'!$X64))</f>
        <v/>
      </c>
      <c r="G86" s="3">
        <f>IF('ORDENES'!$A64="","",IF('ORDENES'!$AC64="","-",'ORDENES'!$AC64))</f>
        <v/>
      </c>
      <c r="H86" s="3">
        <f>IF('ORDENES'!$A64="","",IF('ORDENES'!$AO64="","-",'ORDENES'!$AO64))</f>
        <v/>
      </c>
      <c r="I86" s="3">
        <f>IF('ORDENES'!$A64="","",IF('ORDENES'!$D64="","-",'ORDENES'!$D64))</f>
        <v/>
      </c>
      <c r="J86" s="3">
        <f>IF('ORDENES'!$A64="","",IF('ORDENES'!$E64="","-",'ORDENES'!$E64))</f>
        <v/>
      </c>
      <c r="K86" s="12">
        <f>IF('ORDENES'!$A64="","",IF('ORDENES'!$N64="",0,'ORDENES'!$N64))</f>
        <v/>
      </c>
      <c r="L86" s="3">
        <f>IF('ORDENES'!$A64="","",IF('ORDENES'!$O64="","-",'ORDENES'!$O64))</f>
        <v/>
      </c>
      <c r="M86" s="3">
        <f>IF('ORDENES'!$A64="","",'ORDENES'!$AB64)</f>
        <v/>
      </c>
    </row>
    <row r="87">
      <c r="A87" s="3">
        <f>IF('ORDENES'!$A65="","",IF('ORDENES'!$P65="","-",'ORDENES'!$P65))</f>
        <v/>
      </c>
      <c r="B87" s="3">
        <f>IF('ORDENES'!$A65="","",IF('ORDENES'!$S65="","-",'ORDENES'!$S65))</f>
        <v/>
      </c>
      <c r="C87" s="3">
        <f>IF('ORDENES'!$A65="","",IF('ORDENES'!$AD65="","-",'ORDENES'!$AD65))</f>
        <v/>
      </c>
      <c r="D87" s="3">
        <f>IF('ORDENES'!$A65="","",IF('ORDENES'!$W65="","-",'ORDENES'!$W65))</f>
        <v/>
      </c>
      <c r="E87" s="3">
        <f>IF('ORDENES'!$A65="","",IF('ORDENES'!$V65="","-",'ORDENES'!$V65))</f>
        <v/>
      </c>
      <c r="F87" s="3">
        <f>IF('ORDENES'!$A65="","",IF('ORDENES'!$X65="","-",'ORDENES'!$X65))</f>
        <v/>
      </c>
      <c r="G87" s="3">
        <f>IF('ORDENES'!$A65="","",IF('ORDENES'!$AC65="","-",'ORDENES'!$AC65))</f>
        <v/>
      </c>
      <c r="H87" s="3">
        <f>IF('ORDENES'!$A65="","",IF('ORDENES'!$AO65="","-",'ORDENES'!$AO65))</f>
        <v/>
      </c>
      <c r="I87" s="3">
        <f>IF('ORDENES'!$A65="","",IF('ORDENES'!$D65="","-",'ORDENES'!$D65))</f>
        <v/>
      </c>
      <c r="J87" s="3">
        <f>IF('ORDENES'!$A65="","",IF('ORDENES'!$E65="","-",'ORDENES'!$E65))</f>
        <v/>
      </c>
      <c r="K87" s="12">
        <f>IF('ORDENES'!$A65="","",IF('ORDENES'!$N65="",0,'ORDENES'!$N65))</f>
        <v/>
      </c>
      <c r="L87" s="3">
        <f>IF('ORDENES'!$A65="","",IF('ORDENES'!$O65="","-",'ORDENES'!$O65))</f>
        <v/>
      </c>
      <c r="M87" s="3">
        <f>IF('ORDENES'!$A65="","",'ORDENES'!$AB65)</f>
        <v/>
      </c>
    </row>
    <row r="88">
      <c r="A88" s="3">
        <f>IF('ORDENES'!$A66="","",IF('ORDENES'!$P66="","-",'ORDENES'!$P66))</f>
        <v/>
      </c>
      <c r="B88" s="3">
        <f>IF('ORDENES'!$A66="","",IF('ORDENES'!$S66="","-",'ORDENES'!$S66))</f>
        <v/>
      </c>
      <c r="C88" s="3">
        <f>IF('ORDENES'!$A66="","",IF('ORDENES'!$AD66="","-",'ORDENES'!$AD66))</f>
        <v/>
      </c>
      <c r="D88" s="3">
        <f>IF('ORDENES'!$A66="","",IF('ORDENES'!$W66="","-",'ORDENES'!$W66))</f>
        <v/>
      </c>
      <c r="E88" s="3">
        <f>IF('ORDENES'!$A66="","",IF('ORDENES'!$V66="","-",'ORDENES'!$V66))</f>
        <v/>
      </c>
      <c r="F88" s="3">
        <f>IF('ORDENES'!$A66="","",IF('ORDENES'!$X66="","-",'ORDENES'!$X66))</f>
        <v/>
      </c>
      <c r="G88" s="3">
        <f>IF('ORDENES'!$A66="","",IF('ORDENES'!$AC66="","-",'ORDENES'!$AC66))</f>
        <v/>
      </c>
      <c r="H88" s="3">
        <f>IF('ORDENES'!$A66="","",IF('ORDENES'!$AO66="","-",'ORDENES'!$AO66))</f>
        <v/>
      </c>
      <c r="I88" s="3">
        <f>IF('ORDENES'!$A66="","",IF('ORDENES'!$D66="","-",'ORDENES'!$D66))</f>
        <v/>
      </c>
      <c r="J88" s="3">
        <f>IF('ORDENES'!$A66="","",IF('ORDENES'!$E66="","-",'ORDENES'!$E66))</f>
        <v/>
      </c>
      <c r="K88" s="12">
        <f>IF('ORDENES'!$A66="","",IF('ORDENES'!$N66="",0,'ORDENES'!$N66))</f>
        <v/>
      </c>
      <c r="L88" s="3">
        <f>IF('ORDENES'!$A66="","",IF('ORDENES'!$O66="","-",'ORDENES'!$O66))</f>
        <v/>
      </c>
      <c r="M88" s="3">
        <f>IF('ORDENES'!$A66="","",'ORDENES'!$AB66)</f>
        <v/>
      </c>
    </row>
    <row r="89">
      <c r="A89" s="3">
        <f>IF('ORDENES'!$A67="","",IF('ORDENES'!$P67="","-",'ORDENES'!$P67))</f>
        <v/>
      </c>
      <c r="B89" s="3">
        <f>IF('ORDENES'!$A67="","",IF('ORDENES'!$S67="","-",'ORDENES'!$S67))</f>
        <v/>
      </c>
      <c r="C89" s="3">
        <f>IF('ORDENES'!$A67="","",IF('ORDENES'!$AD67="","-",'ORDENES'!$AD67))</f>
        <v/>
      </c>
      <c r="D89" s="3">
        <f>IF('ORDENES'!$A67="","",IF('ORDENES'!$W67="","-",'ORDENES'!$W67))</f>
        <v/>
      </c>
      <c r="E89" s="3">
        <f>IF('ORDENES'!$A67="","",IF('ORDENES'!$V67="","-",'ORDENES'!$V67))</f>
        <v/>
      </c>
      <c r="F89" s="3">
        <f>IF('ORDENES'!$A67="","",IF('ORDENES'!$X67="","-",'ORDENES'!$X67))</f>
        <v/>
      </c>
      <c r="G89" s="3">
        <f>IF('ORDENES'!$A67="","",IF('ORDENES'!$AC67="","-",'ORDENES'!$AC67))</f>
        <v/>
      </c>
      <c r="H89" s="3">
        <f>IF('ORDENES'!$A67="","",IF('ORDENES'!$AO67="","-",'ORDENES'!$AO67))</f>
        <v/>
      </c>
      <c r="I89" s="3">
        <f>IF('ORDENES'!$A67="","",IF('ORDENES'!$D67="","-",'ORDENES'!$D67))</f>
        <v/>
      </c>
      <c r="J89" s="3">
        <f>IF('ORDENES'!$A67="","",IF('ORDENES'!$E67="","-",'ORDENES'!$E67))</f>
        <v/>
      </c>
      <c r="K89" s="12">
        <f>IF('ORDENES'!$A67="","",IF('ORDENES'!$N67="",0,'ORDENES'!$N67))</f>
        <v/>
      </c>
      <c r="L89" s="3">
        <f>IF('ORDENES'!$A67="","",IF('ORDENES'!$O67="","-",'ORDENES'!$O67))</f>
        <v/>
      </c>
      <c r="M89" s="3">
        <f>IF('ORDENES'!$A67="","",'ORDENES'!$AB67)</f>
        <v/>
      </c>
    </row>
    <row r="90">
      <c r="A90" s="3">
        <f>IF('ORDENES'!$A68="","",IF('ORDENES'!$P68="","-",'ORDENES'!$P68))</f>
        <v/>
      </c>
      <c r="B90" s="3">
        <f>IF('ORDENES'!$A68="","",IF('ORDENES'!$S68="","-",'ORDENES'!$S68))</f>
        <v/>
      </c>
      <c r="C90" s="3">
        <f>IF('ORDENES'!$A68="","",IF('ORDENES'!$AD68="","-",'ORDENES'!$AD68))</f>
        <v/>
      </c>
      <c r="D90" s="3">
        <f>IF('ORDENES'!$A68="","",IF('ORDENES'!$W68="","-",'ORDENES'!$W68))</f>
        <v/>
      </c>
      <c r="E90" s="3">
        <f>IF('ORDENES'!$A68="","",IF('ORDENES'!$V68="","-",'ORDENES'!$V68))</f>
        <v/>
      </c>
      <c r="F90" s="3">
        <f>IF('ORDENES'!$A68="","",IF('ORDENES'!$X68="","-",'ORDENES'!$X68))</f>
        <v/>
      </c>
      <c r="G90" s="3">
        <f>IF('ORDENES'!$A68="","",IF('ORDENES'!$AC68="","-",'ORDENES'!$AC68))</f>
        <v/>
      </c>
      <c r="H90" s="3">
        <f>IF('ORDENES'!$A68="","",IF('ORDENES'!$AO68="","-",'ORDENES'!$AO68))</f>
        <v/>
      </c>
      <c r="I90" s="3">
        <f>IF('ORDENES'!$A68="","",IF('ORDENES'!$D68="","-",'ORDENES'!$D68))</f>
        <v/>
      </c>
      <c r="J90" s="3">
        <f>IF('ORDENES'!$A68="","",IF('ORDENES'!$E68="","-",'ORDENES'!$E68))</f>
        <v/>
      </c>
      <c r="K90" s="12">
        <f>IF('ORDENES'!$A68="","",IF('ORDENES'!$N68="",0,'ORDENES'!$N68))</f>
        <v/>
      </c>
      <c r="L90" s="3">
        <f>IF('ORDENES'!$A68="","",IF('ORDENES'!$O68="","-",'ORDENES'!$O68))</f>
        <v/>
      </c>
      <c r="M90" s="3">
        <f>IF('ORDENES'!$A68="","",'ORDENES'!$AB68)</f>
        <v/>
      </c>
    </row>
    <row r="91">
      <c r="A91" s="3">
        <f>IF('ORDENES'!$A69="","",IF('ORDENES'!$P69="","-",'ORDENES'!$P69))</f>
        <v/>
      </c>
      <c r="B91" s="3">
        <f>IF('ORDENES'!$A69="","",IF('ORDENES'!$S69="","-",'ORDENES'!$S69))</f>
        <v/>
      </c>
      <c r="C91" s="3">
        <f>IF('ORDENES'!$A69="","",IF('ORDENES'!$AD69="","-",'ORDENES'!$AD69))</f>
        <v/>
      </c>
      <c r="D91" s="3">
        <f>IF('ORDENES'!$A69="","",IF('ORDENES'!$W69="","-",'ORDENES'!$W69))</f>
        <v/>
      </c>
      <c r="E91" s="3">
        <f>IF('ORDENES'!$A69="","",IF('ORDENES'!$V69="","-",'ORDENES'!$V69))</f>
        <v/>
      </c>
      <c r="F91" s="3">
        <f>IF('ORDENES'!$A69="","",IF('ORDENES'!$X69="","-",'ORDENES'!$X69))</f>
        <v/>
      </c>
      <c r="G91" s="3">
        <f>IF('ORDENES'!$A69="","",IF('ORDENES'!$AC69="","-",'ORDENES'!$AC69))</f>
        <v/>
      </c>
      <c r="H91" s="3">
        <f>IF('ORDENES'!$A69="","",IF('ORDENES'!$AO69="","-",'ORDENES'!$AO69))</f>
        <v/>
      </c>
      <c r="I91" s="3">
        <f>IF('ORDENES'!$A69="","",IF('ORDENES'!$D69="","-",'ORDENES'!$D69))</f>
        <v/>
      </c>
      <c r="J91" s="3">
        <f>IF('ORDENES'!$A69="","",IF('ORDENES'!$E69="","-",'ORDENES'!$E69))</f>
        <v/>
      </c>
      <c r="K91" s="12">
        <f>IF('ORDENES'!$A69="","",IF('ORDENES'!$N69="",0,'ORDENES'!$N69))</f>
        <v/>
      </c>
      <c r="L91" s="3">
        <f>IF('ORDENES'!$A69="","",IF('ORDENES'!$O69="","-",'ORDENES'!$O69))</f>
        <v/>
      </c>
      <c r="M91" s="3">
        <f>IF('ORDENES'!$A69="","",'ORDENES'!$AB69)</f>
        <v/>
      </c>
    </row>
    <row r="92">
      <c r="A92" s="3">
        <f>IF('ORDENES'!$A70="","",IF('ORDENES'!$P70="","-",'ORDENES'!$P70))</f>
        <v/>
      </c>
      <c r="B92" s="3">
        <f>IF('ORDENES'!$A70="","",IF('ORDENES'!$S70="","-",'ORDENES'!$S70))</f>
        <v/>
      </c>
      <c r="C92" s="3">
        <f>IF('ORDENES'!$A70="","",IF('ORDENES'!$AD70="","-",'ORDENES'!$AD70))</f>
        <v/>
      </c>
      <c r="D92" s="3">
        <f>IF('ORDENES'!$A70="","",IF('ORDENES'!$W70="","-",'ORDENES'!$W70))</f>
        <v/>
      </c>
      <c r="E92" s="3">
        <f>IF('ORDENES'!$A70="","",IF('ORDENES'!$V70="","-",'ORDENES'!$V70))</f>
        <v/>
      </c>
      <c r="F92" s="3">
        <f>IF('ORDENES'!$A70="","",IF('ORDENES'!$X70="","-",'ORDENES'!$X70))</f>
        <v/>
      </c>
      <c r="G92" s="3">
        <f>IF('ORDENES'!$A70="","",IF('ORDENES'!$AC70="","-",'ORDENES'!$AC70))</f>
        <v/>
      </c>
      <c r="H92" s="3">
        <f>IF('ORDENES'!$A70="","",IF('ORDENES'!$AO70="","-",'ORDENES'!$AO70))</f>
        <v/>
      </c>
      <c r="I92" s="3">
        <f>IF('ORDENES'!$A70="","",IF('ORDENES'!$D70="","-",'ORDENES'!$D70))</f>
        <v/>
      </c>
      <c r="J92" s="3">
        <f>IF('ORDENES'!$A70="","",IF('ORDENES'!$E70="","-",'ORDENES'!$E70))</f>
        <v/>
      </c>
      <c r="K92" s="12">
        <f>IF('ORDENES'!$A70="","",IF('ORDENES'!$N70="",0,'ORDENES'!$N70))</f>
        <v/>
      </c>
      <c r="L92" s="3">
        <f>IF('ORDENES'!$A70="","",IF('ORDENES'!$O70="","-",'ORDENES'!$O70))</f>
        <v/>
      </c>
      <c r="M92" s="3">
        <f>IF('ORDENES'!$A70="","",'ORDENES'!$AB70)</f>
        <v/>
      </c>
    </row>
    <row r="93">
      <c r="A93" s="3">
        <f>IF('ORDENES'!$A71="","",IF('ORDENES'!$P71="","-",'ORDENES'!$P71))</f>
        <v/>
      </c>
      <c r="B93" s="3">
        <f>IF('ORDENES'!$A71="","",IF('ORDENES'!$S71="","-",'ORDENES'!$S71))</f>
        <v/>
      </c>
      <c r="C93" s="3">
        <f>IF('ORDENES'!$A71="","",IF('ORDENES'!$AD71="","-",'ORDENES'!$AD71))</f>
        <v/>
      </c>
      <c r="D93" s="3">
        <f>IF('ORDENES'!$A71="","",IF('ORDENES'!$W71="","-",'ORDENES'!$W71))</f>
        <v/>
      </c>
      <c r="E93" s="3">
        <f>IF('ORDENES'!$A71="","",IF('ORDENES'!$V71="","-",'ORDENES'!$V71))</f>
        <v/>
      </c>
      <c r="F93" s="3">
        <f>IF('ORDENES'!$A71="","",IF('ORDENES'!$X71="","-",'ORDENES'!$X71))</f>
        <v/>
      </c>
      <c r="G93" s="3">
        <f>IF('ORDENES'!$A71="","",IF('ORDENES'!$AC71="","-",'ORDENES'!$AC71))</f>
        <v/>
      </c>
      <c r="H93" s="3">
        <f>IF('ORDENES'!$A71="","",IF('ORDENES'!$AO71="","-",'ORDENES'!$AO71))</f>
        <v/>
      </c>
      <c r="I93" s="3">
        <f>IF('ORDENES'!$A71="","",IF('ORDENES'!$D71="","-",'ORDENES'!$D71))</f>
        <v/>
      </c>
      <c r="J93" s="3">
        <f>IF('ORDENES'!$A71="","",IF('ORDENES'!$E71="","-",'ORDENES'!$E71))</f>
        <v/>
      </c>
      <c r="K93" s="12">
        <f>IF('ORDENES'!$A71="","",IF('ORDENES'!$N71="",0,'ORDENES'!$N71))</f>
        <v/>
      </c>
      <c r="L93" s="3">
        <f>IF('ORDENES'!$A71="","",IF('ORDENES'!$O71="","-",'ORDENES'!$O71))</f>
        <v/>
      </c>
      <c r="M93" s="3">
        <f>IF('ORDENES'!$A71="","",'ORDENES'!$AB71)</f>
        <v/>
      </c>
    </row>
    <row r="94">
      <c r="A94" s="3">
        <f>IF('ORDENES'!$A72="","",IF('ORDENES'!$P72="","-",'ORDENES'!$P72))</f>
        <v/>
      </c>
      <c r="B94" s="3">
        <f>IF('ORDENES'!$A72="","",IF('ORDENES'!$S72="","-",'ORDENES'!$S72))</f>
        <v/>
      </c>
      <c r="C94" s="3">
        <f>IF('ORDENES'!$A72="","",IF('ORDENES'!$AD72="","-",'ORDENES'!$AD72))</f>
        <v/>
      </c>
      <c r="D94" s="3">
        <f>IF('ORDENES'!$A72="","",IF('ORDENES'!$W72="","-",'ORDENES'!$W72))</f>
        <v/>
      </c>
      <c r="E94" s="3">
        <f>IF('ORDENES'!$A72="","",IF('ORDENES'!$V72="","-",'ORDENES'!$V72))</f>
        <v/>
      </c>
      <c r="F94" s="3">
        <f>IF('ORDENES'!$A72="","",IF('ORDENES'!$X72="","-",'ORDENES'!$X72))</f>
        <v/>
      </c>
      <c r="G94" s="3">
        <f>IF('ORDENES'!$A72="","",IF('ORDENES'!$AC72="","-",'ORDENES'!$AC72))</f>
        <v/>
      </c>
      <c r="H94" s="3">
        <f>IF('ORDENES'!$A72="","",IF('ORDENES'!$AO72="","-",'ORDENES'!$AO72))</f>
        <v/>
      </c>
      <c r="I94" s="3">
        <f>IF('ORDENES'!$A72="","",IF('ORDENES'!$D72="","-",'ORDENES'!$D72))</f>
        <v/>
      </c>
      <c r="J94" s="3">
        <f>IF('ORDENES'!$A72="","",IF('ORDENES'!$E72="","-",'ORDENES'!$E72))</f>
        <v/>
      </c>
      <c r="K94" s="12">
        <f>IF('ORDENES'!$A72="","",IF('ORDENES'!$N72="",0,'ORDENES'!$N72))</f>
        <v/>
      </c>
      <c r="L94" s="3">
        <f>IF('ORDENES'!$A72="","",IF('ORDENES'!$O72="","-",'ORDENES'!$O72))</f>
        <v/>
      </c>
      <c r="M94" s="3">
        <f>IF('ORDENES'!$A72="","",'ORDENES'!$AB72)</f>
        <v/>
      </c>
    </row>
    <row r="95">
      <c r="A95" s="3">
        <f>IF('ORDENES'!$A73="","",IF('ORDENES'!$P73="","-",'ORDENES'!$P73))</f>
        <v/>
      </c>
      <c r="B95" s="3">
        <f>IF('ORDENES'!$A73="","",IF('ORDENES'!$S73="","-",'ORDENES'!$S73))</f>
        <v/>
      </c>
      <c r="C95" s="3">
        <f>IF('ORDENES'!$A73="","",IF('ORDENES'!$AD73="","-",'ORDENES'!$AD73))</f>
        <v/>
      </c>
      <c r="D95" s="3">
        <f>IF('ORDENES'!$A73="","",IF('ORDENES'!$W73="","-",'ORDENES'!$W73))</f>
        <v/>
      </c>
      <c r="E95" s="3">
        <f>IF('ORDENES'!$A73="","",IF('ORDENES'!$V73="","-",'ORDENES'!$V73))</f>
        <v/>
      </c>
      <c r="F95" s="3">
        <f>IF('ORDENES'!$A73="","",IF('ORDENES'!$X73="","-",'ORDENES'!$X73))</f>
        <v/>
      </c>
      <c r="G95" s="3">
        <f>IF('ORDENES'!$A73="","",IF('ORDENES'!$AC73="","-",'ORDENES'!$AC73))</f>
        <v/>
      </c>
      <c r="H95" s="3">
        <f>IF('ORDENES'!$A73="","",IF('ORDENES'!$AO73="","-",'ORDENES'!$AO73))</f>
        <v/>
      </c>
      <c r="I95" s="3">
        <f>IF('ORDENES'!$A73="","",IF('ORDENES'!$D73="","-",'ORDENES'!$D73))</f>
        <v/>
      </c>
      <c r="J95" s="3">
        <f>IF('ORDENES'!$A73="","",IF('ORDENES'!$E73="","-",'ORDENES'!$E73))</f>
        <v/>
      </c>
      <c r="K95" s="12">
        <f>IF('ORDENES'!$A73="","",IF('ORDENES'!$N73="",0,'ORDENES'!$N73))</f>
        <v/>
      </c>
      <c r="L95" s="3">
        <f>IF('ORDENES'!$A73="","",IF('ORDENES'!$O73="","-",'ORDENES'!$O73))</f>
        <v/>
      </c>
      <c r="M95" s="3">
        <f>IF('ORDENES'!$A73="","",'ORDENES'!$AB73)</f>
        <v/>
      </c>
    </row>
    <row r="96">
      <c r="A96" s="3">
        <f>IF('ORDENES'!$A74="","",IF('ORDENES'!$P74="","-",'ORDENES'!$P74))</f>
        <v/>
      </c>
      <c r="B96" s="3">
        <f>IF('ORDENES'!$A74="","",IF('ORDENES'!$S74="","-",'ORDENES'!$S74))</f>
        <v/>
      </c>
      <c r="C96" s="3">
        <f>IF('ORDENES'!$A74="","",IF('ORDENES'!$AD74="","-",'ORDENES'!$AD74))</f>
        <v/>
      </c>
      <c r="D96" s="3">
        <f>IF('ORDENES'!$A74="","",IF('ORDENES'!$W74="","-",'ORDENES'!$W74))</f>
        <v/>
      </c>
      <c r="E96" s="3">
        <f>IF('ORDENES'!$A74="","",IF('ORDENES'!$V74="","-",'ORDENES'!$V74))</f>
        <v/>
      </c>
      <c r="F96" s="3">
        <f>IF('ORDENES'!$A74="","",IF('ORDENES'!$X74="","-",'ORDENES'!$X74))</f>
        <v/>
      </c>
      <c r="G96" s="3">
        <f>IF('ORDENES'!$A74="","",IF('ORDENES'!$AC74="","-",'ORDENES'!$AC74))</f>
        <v/>
      </c>
      <c r="H96" s="3">
        <f>IF('ORDENES'!$A74="","",IF('ORDENES'!$AO74="","-",'ORDENES'!$AO74))</f>
        <v/>
      </c>
      <c r="I96" s="3">
        <f>IF('ORDENES'!$A74="","",IF('ORDENES'!$D74="","-",'ORDENES'!$D74))</f>
        <v/>
      </c>
      <c r="J96" s="3">
        <f>IF('ORDENES'!$A74="","",IF('ORDENES'!$E74="","-",'ORDENES'!$E74))</f>
        <v/>
      </c>
      <c r="K96" s="12">
        <f>IF('ORDENES'!$A74="","",IF('ORDENES'!$N74="",0,'ORDENES'!$N74))</f>
        <v/>
      </c>
      <c r="L96" s="3">
        <f>IF('ORDENES'!$A74="","",IF('ORDENES'!$O74="","-",'ORDENES'!$O74))</f>
        <v/>
      </c>
      <c r="M96" s="3">
        <f>IF('ORDENES'!$A74="","",'ORDENES'!$AB74)</f>
        <v/>
      </c>
    </row>
    <row r="97">
      <c r="A97" s="3">
        <f>IF('ORDENES'!$A75="","",IF('ORDENES'!$P75="","-",'ORDENES'!$P75))</f>
        <v/>
      </c>
      <c r="B97" s="3">
        <f>IF('ORDENES'!$A75="","",IF('ORDENES'!$S75="","-",'ORDENES'!$S75))</f>
        <v/>
      </c>
      <c r="C97" s="3">
        <f>IF('ORDENES'!$A75="","",IF('ORDENES'!$AD75="","-",'ORDENES'!$AD75))</f>
        <v/>
      </c>
      <c r="D97" s="3">
        <f>IF('ORDENES'!$A75="","",IF('ORDENES'!$W75="","-",'ORDENES'!$W75))</f>
        <v/>
      </c>
      <c r="E97" s="3">
        <f>IF('ORDENES'!$A75="","",IF('ORDENES'!$V75="","-",'ORDENES'!$V75))</f>
        <v/>
      </c>
      <c r="F97" s="3">
        <f>IF('ORDENES'!$A75="","",IF('ORDENES'!$X75="","-",'ORDENES'!$X75))</f>
        <v/>
      </c>
      <c r="G97" s="3">
        <f>IF('ORDENES'!$A75="","",IF('ORDENES'!$AC75="","-",'ORDENES'!$AC75))</f>
        <v/>
      </c>
      <c r="H97" s="3">
        <f>IF('ORDENES'!$A75="","",IF('ORDENES'!$AO75="","-",'ORDENES'!$AO75))</f>
        <v/>
      </c>
      <c r="I97" s="3">
        <f>IF('ORDENES'!$A75="","",IF('ORDENES'!$D75="","-",'ORDENES'!$D75))</f>
        <v/>
      </c>
      <c r="J97" s="3">
        <f>IF('ORDENES'!$A75="","",IF('ORDENES'!$E75="","-",'ORDENES'!$E75))</f>
        <v/>
      </c>
      <c r="K97" s="12">
        <f>IF('ORDENES'!$A75="","",IF('ORDENES'!$N75="",0,'ORDENES'!$N75))</f>
        <v/>
      </c>
      <c r="L97" s="3">
        <f>IF('ORDENES'!$A75="","",IF('ORDENES'!$O75="","-",'ORDENES'!$O75))</f>
        <v/>
      </c>
      <c r="M97" s="3">
        <f>IF('ORDENES'!$A75="","",'ORDENES'!$AB75)</f>
        <v/>
      </c>
    </row>
    <row r="98">
      <c r="A98" s="3">
        <f>IF('ORDENES'!$A76="","",IF('ORDENES'!$P76="","-",'ORDENES'!$P76))</f>
        <v/>
      </c>
      <c r="B98" s="3">
        <f>IF('ORDENES'!$A76="","",IF('ORDENES'!$S76="","-",'ORDENES'!$S76))</f>
        <v/>
      </c>
      <c r="C98" s="3">
        <f>IF('ORDENES'!$A76="","",IF('ORDENES'!$AD76="","-",'ORDENES'!$AD76))</f>
        <v/>
      </c>
      <c r="D98" s="3">
        <f>IF('ORDENES'!$A76="","",IF('ORDENES'!$W76="","-",'ORDENES'!$W76))</f>
        <v/>
      </c>
      <c r="E98" s="3">
        <f>IF('ORDENES'!$A76="","",IF('ORDENES'!$V76="","-",'ORDENES'!$V76))</f>
        <v/>
      </c>
      <c r="F98" s="3">
        <f>IF('ORDENES'!$A76="","",IF('ORDENES'!$X76="","-",'ORDENES'!$X76))</f>
        <v/>
      </c>
      <c r="G98" s="3">
        <f>IF('ORDENES'!$A76="","",IF('ORDENES'!$AC76="","-",'ORDENES'!$AC76))</f>
        <v/>
      </c>
      <c r="H98" s="3">
        <f>IF('ORDENES'!$A76="","",IF('ORDENES'!$AO76="","-",'ORDENES'!$AO76))</f>
        <v/>
      </c>
      <c r="I98" s="3">
        <f>IF('ORDENES'!$A76="","",IF('ORDENES'!$D76="","-",'ORDENES'!$D76))</f>
        <v/>
      </c>
      <c r="J98" s="3">
        <f>IF('ORDENES'!$A76="","",IF('ORDENES'!$E76="","-",'ORDENES'!$E76))</f>
        <v/>
      </c>
      <c r="K98" s="12">
        <f>IF('ORDENES'!$A76="","",IF('ORDENES'!$N76="",0,'ORDENES'!$N76))</f>
        <v/>
      </c>
      <c r="L98" s="3">
        <f>IF('ORDENES'!$A76="","",IF('ORDENES'!$O76="","-",'ORDENES'!$O76))</f>
        <v/>
      </c>
      <c r="M98" s="3">
        <f>IF('ORDENES'!$A76="","",'ORDENES'!$AB76)</f>
        <v/>
      </c>
    </row>
    <row r="99">
      <c r="A99" s="3">
        <f>IF('ORDENES'!$A77="","",IF('ORDENES'!$P77="","-",'ORDENES'!$P77))</f>
        <v/>
      </c>
      <c r="B99" s="3">
        <f>IF('ORDENES'!$A77="","",IF('ORDENES'!$S77="","-",'ORDENES'!$S77))</f>
        <v/>
      </c>
      <c r="C99" s="3">
        <f>IF('ORDENES'!$A77="","",IF('ORDENES'!$AD77="","-",'ORDENES'!$AD77))</f>
        <v/>
      </c>
      <c r="D99" s="3">
        <f>IF('ORDENES'!$A77="","",IF('ORDENES'!$W77="","-",'ORDENES'!$W77))</f>
        <v/>
      </c>
      <c r="E99" s="3">
        <f>IF('ORDENES'!$A77="","",IF('ORDENES'!$V77="","-",'ORDENES'!$V77))</f>
        <v/>
      </c>
      <c r="F99" s="3">
        <f>IF('ORDENES'!$A77="","",IF('ORDENES'!$X77="","-",'ORDENES'!$X77))</f>
        <v/>
      </c>
      <c r="G99" s="3">
        <f>IF('ORDENES'!$A77="","",IF('ORDENES'!$AC77="","-",'ORDENES'!$AC77))</f>
        <v/>
      </c>
      <c r="H99" s="3">
        <f>IF('ORDENES'!$A77="","",IF('ORDENES'!$AO77="","-",'ORDENES'!$AO77))</f>
        <v/>
      </c>
      <c r="I99" s="3">
        <f>IF('ORDENES'!$A77="","",IF('ORDENES'!$D77="","-",'ORDENES'!$D77))</f>
        <v/>
      </c>
      <c r="J99" s="3">
        <f>IF('ORDENES'!$A77="","",IF('ORDENES'!$E77="","-",'ORDENES'!$E77))</f>
        <v/>
      </c>
      <c r="K99" s="12">
        <f>IF('ORDENES'!$A77="","",IF('ORDENES'!$N77="",0,'ORDENES'!$N77))</f>
        <v/>
      </c>
      <c r="L99" s="3">
        <f>IF('ORDENES'!$A77="","",IF('ORDENES'!$O77="","-",'ORDENES'!$O77))</f>
        <v/>
      </c>
      <c r="M99" s="3">
        <f>IF('ORDENES'!$A77="","",'ORDENES'!$AB77)</f>
        <v/>
      </c>
    </row>
    <row r="100">
      <c r="A100" s="3">
        <f>IF('ORDENES'!$A78="","",IF('ORDENES'!$P78="","-",'ORDENES'!$P78))</f>
        <v/>
      </c>
      <c r="B100" s="3">
        <f>IF('ORDENES'!$A78="","",IF('ORDENES'!$S78="","-",'ORDENES'!$S78))</f>
        <v/>
      </c>
      <c r="C100" s="3">
        <f>IF('ORDENES'!$A78="","",IF('ORDENES'!$AD78="","-",'ORDENES'!$AD78))</f>
        <v/>
      </c>
      <c r="D100" s="3">
        <f>IF('ORDENES'!$A78="","",IF('ORDENES'!$W78="","-",'ORDENES'!$W78))</f>
        <v/>
      </c>
      <c r="E100" s="3">
        <f>IF('ORDENES'!$A78="","",IF('ORDENES'!$V78="","-",'ORDENES'!$V78))</f>
        <v/>
      </c>
      <c r="F100" s="3">
        <f>IF('ORDENES'!$A78="","",IF('ORDENES'!$X78="","-",'ORDENES'!$X78))</f>
        <v/>
      </c>
      <c r="G100" s="3">
        <f>IF('ORDENES'!$A78="","",IF('ORDENES'!$AC78="","-",'ORDENES'!$AC78))</f>
        <v/>
      </c>
      <c r="H100" s="3">
        <f>IF('ORDENES'!$A78="","",IF('ORDENES'!$AO78="","-",'ORDENES'!$AO78))</f>
        <v/>
      </c>
      <c r="I100" s="3">
        <f>IF('ORDENES'!$A78="","",IF('ORDENES'!$D78="","-",'ORDENES'!$D78))</f>
        <v/>
      </c>
      <c r="J100" s="3">
        <f>IF('ORDENES'!$A78="","",IF('ORDENES'!$E78="","-",'ORDENES'!$E78))</f>
        <v/>
      </c>
      <c r="K100" s="12">
        <f>IF('ORDENES'!$A78="","",IF('ORDENES'!$N78="",0,'ORDENES'!$N78))</f>
        <v/>
      </c>
      <c r="L100" s="3">
        <f>IF('ORDENES'!$A78="","",IF('ORDENES'!$O78="","-",'ORDENES'!$O78))</f>
        <v/>
      </c>
      <c r="M100" s="3">
        <f>IF('ORDENES'!$A78="","",'ORDENES'!$AB78)</f>
        <v/>
      </c>
    </row>
    <row r="101">
      <c r="A101" s="3">
        <f>IF('ORDENES'!$A79="","",IF('ORDENES'!$P79="","-",'ORDENES'!$P79))</f>
        <v/>
      </c>
      <c r="B101" s="3">
        <f>IF('ORDENES'!$A79="","",IF('ORDENES'!$S79="","-",'ORDENES'!$S79))</f>
        <v/>
      </c>
      <c r="C101" s="3">
        <f>IF('ORDENES'!$A79="","",IF('ORDENES'!$AD79="","-",'ORDENES'!$AD79))</f>
        <v/>
      </c>
      <c r="D101" s="3">
        <f>IF('ORDENES'!$A79="","",IF('ORDENES'!$W79="","-",'ORDENES'!$W79))</f>
        <v/>
      </c>
      <c r="E101" s="3">
        <f>IF('ORDENES'!$A79="","",IF('ORDENES'!$V79="","-",'ORDENES'!$V79))</f>
        <v/>
      </c>
      <c r="F101" s="3">
        <f>IF('ORDENES'!$A79="","",IF('ORDENES'!$X79="","-",'ORDENES'!$X79))</f>
        <v/>
      </c>
      <c r="G101" s="3">
        <f>IF('ORDENES'!$A79="","",IF('ORDENES'!$AC79="","-",'ORDENES'!$AC79))</f>
        <v/>
      </c>
      <c r="H101" s="3">
        <f>IF('ORDENES'!$A79="","",IF('ORDENES'!$AO79="","-",'ORDENES'!$AO79))</f>
        <v/>
      </c>
      <c r="I101" s="3">
        <f>IF('ORDENES'!$A79="","",IF('ORDENES'!$D79="","-",'ORDENES'!$D79))</f>
        <v/>
      </c>
      <c r="J101" s="3">
        <f>IF('ORDENES'!$A79="","",IF('ORDENES'!$E79="","-",'ORDENES'!$E79))</f>
        <v/>
      </c>
      <c r="K101" s="12">
        <f>IF('ORDENES'!$A79="","",IF('ORDENES'!$N79="",0,'ORDENES'!$N79))</f>
        <v/>
      </c>
      <c r="L101" s="3">
        <f>IF('ORDENES'!$A79="","",IF('ORDENES'!$O79="","-",'ORDENES'!$O79))</f>
        <v/>
      </c>
      <c r="M101" s="3">
        <f>IF('ORDENES'!$A79="","",'ORDENES'!$AB79)</f>
        <v/>
      </c>
    </row>
    <row r="102">
      <c r="A102" s="3">
        <f>IF('ORDENES'!$A80="","",IF('ORDENES'!$P80="","-",'ORDENES'!$P80))</f>
        <v/>
      </c>
      <c r="B102" s="3">
        <f>IF('ORDENES'!$A80="","",IF('ORDENES'!$S80="","-",'ORDENES'!$S80))</f>
        <v/>
      </c>
      <c r="C102" s="3">
        <f>IF('ORDENES'!$A80="","",IF('ORDENES'!$AD80="","-",'ORDENES'!$AD80))</f>
        <v/>
      </c>
      <c r="D102" s="3">
        <f>IF('ORDENES'!$A80="","",IF('ORDENES'!$W80="","-",'ORDENES'!$W80))</f>
        <v/>
      </c>
      <c r="E102" s="3">
        <f>IF('ORDENES'!$A80="","",IF('ORDENES'!$V80="","-",'ORDENES'!$V80))</f>
        <v/>
      </c>
      <c r="F102" s="3">
        <f>IF('ORDENES'!$A80="","",IF('ORDENES'!$X80="","-",'ORDENES'!$X80))</f>
        <v/>
      </c>
      <c r="G102" s="3">
        <f>IF('ORDENES'!$A80="","",IF('ORDENES'!$AC80="","-",'ORDENES'!$AC80))</f>
        <v/>
      </c>
      <c r="H102" s="3">
        <f>IF('ORDENES'!$A80="","",IF('ORDENES'!$AO80="","-",'ORDENES'!$AO80))</f>
        <v/>
      </c>
      <c r="I102" s="3">
        <f>IF('ORDENES'!$A80="","",IF('ORDENES'!$D80="","-",'ORDENES'!$D80))</f>
        <v/>
      </c>
      <c r="J102" s="3">
        <f>IF('ORDENES'!$A80="","",IF('ORDENES'!$E80="","-",'ORDENES'!$E80))</f>
        <v/>
      </c>
      <c r="K102" s="12">
        <f>IF('ORDENES'!$A80="","",IF('ORDENES'!$N80="",0,'ORDENES'!$N80))</f>
        <v/>
      </c>
      <c r="L102" s="3">
        <f>IF('ORDENES'!$A80="","",IF('ORDENES'!$O80="","-",'ORDENES'!$O80))</f>
        <v/>
      </c>
      <c r="M102" s="3">
        <f>IF('ORDENES'!$A80="","",'ORDENES'!$AB80)</f>
        <v/>
      </c>
    </row>
    <row r="103">
      <c r="A103" s="3">
        <f>IF('ORDENES'!$A81="","",IF('ORDENES'!$P81="","-",'ORDENES'!$P81))</f>
        <v/>
      </c>
      <c r="B103" s="3">
        <f>IF('ORDENES'!$A81="","",IF('ORDENES'!$S81="","-",'ORDENES'!$S81))</f>
        <v/>
      </c>
      <c r="C103" s="3">
        <f>IF('ORDENES'!$A81="","",IF('ORDENES'!$AD81="","-",'ORDENES'!$AD81))</f>
        <v/>
      </c>
      <c r="D103" s="3">
        <f>IF('ORDENES'!$A81="","",IF('ORDENES'!$W81="","-",'ORDENES'!$W81))</f>
        <v/>
      </c>
      <c r="E103" s="3">
        <f>IF('ORDENES'!$A81="","",IF('ORDENES'!$V81="","-",'ORDENES'!$V81))</f>
        <v/>
      </c>
      <c r="F103" s="3">
        <f>IF('ORDENES'!$A81="","",IF('ORDENES'!$X81="","-",'ORDENES'!$X81))</f>
        <v/>
      </c>
      <c r="G103" s="3">
        <f>IF('ORDENES'!$A81="","",IF('ORDENES'!$AC81="","-",'ORDENES'!$AC81))</f>
        <v/>
      </c>
      <c r="H103" s="3">
        <f>IF('ORDENES'!$A81="","",IF('ORDENES'!$AO81="","-",'ORDENES'!$AO81))</f>
        <v/>
      </c>
      <c r="I103" s="3">
        <f>IF('ORDENES'!$A81="","",IF('ORDENES'!$D81="","-",'ORDENES'!$D81))</f>
        <v/>
      </c>
      <c r="J103" s="3">
        <f>IF('ORDENES'!$A81="","",IF('ORDENES'!$E81="","-",'ORDENES'!$E81))</f>
        <v/>
      </c>
      <c r="K103" s="12">
        <f>IF('ORDENES'!$A81="","",IF('ORDENES'!$N81="",0,'ORDENES'!$N81))</f>
        <v/>
      </c>
      <c r="L103" s="3">
        <f>IF('ORDENES'!$A81="","",IF('ORDENES'!$O81="","-",'ORDENES'!$O81))</f>
        <v/>
      </c>
      <c r="M103" s="3">
        <f>IF('ORDENES'!$A81="","",'ORDENES'!$AB81)</f>
        <v/>
      </c>
    </row>
    <row r="104">
      <c r="A104" s="3">
        <f>IF('ORDENES'!$A82="","",IF('ORDENES'!$P82="","-",'ORDENES'!$P82))</f>
        <v/>
      </c>
      <c r="B104" s="3">
        <f>IF('ORDENES'!$A82="","",IF('ORDENES'!$S82="","-",'ORDENES'!$S82))</f>
        <v/>
      </c>
      <c r="C104" s="3">
        <f>IF('ORDENES'!$A82="","",IF('ORDENES'!$AD82="","-",'ORDENES'!$AD82))</f>
        <v/>
      </c>
      <c r="D104" s="3">
        <f>IF('ORDENES'!$A82="","",IF('ORDENES'!$W82="","-",'ORDENES'!$W82))</f>
        <v/>
      </c>
      <c r="E104" s="3">
        <f>IF('ORDENES'!$A82="","",IF('ORDENES'!$V82="","-",'ORDENES'!$V82))</f>
        <v/>
      </c>
      <c r="F104" s="3">
        <f>IF('ORDENES'!$A82="","",IF('ORDENES'!$X82="","-",'ORDENES'!$X82))</f>
        <v/>
      </c>
      <c r="G104" s="3">
        <f>IF('ORDENES'!$A82="","",IF('ORDENES'!$AC82="","-",'ORDENES'!$AC82))</f>
        <v/>
      </c>
      <c r="H104" s="3">
        <f>IF('ORDENES'!$A82="","",IF('ORDENES'!$AO82="","-",'ORDENES'!$AO82))</f>
        <v/>
      </c>
      <c r="I104" s="3">
        <f>IF('ORDENES'!$A82="","",IF('ORDENES'!$D82="","-",'ORDENES'!$D82))</f>
        <v/>
      </c>
      <c r="J104" s="3">
        <f>IF('ORDENES'!$A82="","",IF('ORDENES'!$E82="","-",'ORDENES'!$E82))</f>
        <v/>
      </c>
      <c r="K104" s="12">
        <f>IF('ORDENES'!$A82="","",IF('ORDENES'!$N82="",0,'ORDENES'!$N82))</f>
        <v/>
      </c>
      <c r="L104" s="3">
        <f>IF('ORDENES'!$A82="","",IF('ORDENES'!$O82="","-",'ORDENES'!$O82))</f>
        <v/>
      </c>
      <c r="M104" s="3">
        <f>IF('ORDENES'!$A82="","",'ORDENES'!$AB82)</f>
        <v/>
      </c>
    </row>
    <row r="105">
      <c r="A105" s="3">
        <f>IF('ORDENES'!$A83="","",IF('ORDENES'!$P83="","-",'ORDENES'!$P83))</f>
        <v/>
      </c>
      <c r="B105" s="3">
        <f>IF('ORDENES'!$A83="","",IF('ORDENES'!$S83="","-",'ORDENES'!$S83))</f>
        <v/>
      </c>
      <c r="C105" s="3">
        <f>IF('ORDENES'!$A83="","",IF('ORDENES'!$AD83="","-",'ORDENES'!$AD83))</f>
        <v/>
      </c>
      <c r="D105" s="3">
        <f>IF('ORDENES'!$A83="","",IF('ORDENES'!$W83="","-",'ORDENES'!$W83))</f>
        <v/>
      </c>
      <c r="E105" s="3">
        <f>IF('ORDENES'!$A83="","",IF('ORDENES'!$V83="","-",'ORDENES'!$V83))</f>
        <v/>
      </c>
      <c r="F105" s="3">
        <f>IF('ORDENES'!$A83="","",IF('ORDENES'!$X83="","-",'ORDENES'!$X83))</f>
        <v/>
      </c>
      <c r="G105" s="3">
        <f>IF('ORDENES'!$A83="","",IF('ORDENES'!$AC83="","-",'ORDENES'!$AC83))</f>
        <v/>
      </c>
      <c r="H105" s="3">
        <f>IF('ORDENES'!$A83="","",IF('ORDENES'!$AO83="","-",'ORDENES'!$AO83))</f>
        <v/>
      </c>
      <c r="I105" s="3">
        <f>IF('ORDENES'!$A83="","",IF('ORDENES'!$D83="","-",'ORDENES'!$D83))</f>
        <v/>
      </c>
      <c r="J105" s="3">
        <f>IF('ORDENES'!$A83="","",IF('ORDENES'!$E83="","-",'ORDENES'!$E83))</f>
        <v/>
      </c>
      <c r="K105" s="12">
        <f>IF('ORDENES'!$A83="","",IF('ORDENES'!$N83="",0,'ORDENES'!$N83))</f>
        <v/>
      </c>
      <c r="L105" s="3">
        <f>IF('ORDENES'!$A83="","",IF('ORDENES'!$O83="","-",'ORDENES'!$O83))</f>
        <v/>
      </c>
      <c r="M105" s="3">
        <f>IF('ORDENES'!$A83="","",'ORDENES'!$AB83)</f>
        <v/>
      </c>
    </row>
    <row r="106">
      <c r="A106" s="3">
        <f>IF('ORDENES'!$A84="","",IF('ORDENES'!$P84="","-",'ORDENES'!$P84))</f>
        <v/>
      </c>
      <c r="B106" s="3">
        <f>IF('ORDENES'!$A84="","",IF('ORDENES'!$S84="","-",'ORDENES'!$S84))</f>
        <v/>
      </c>
      <c r="C106" s="3">
        <f>IF('ORDENES'!$A84="","",IF('ORDENES'!$AD84="","-",'ORDENES'!$AD84))</f>
        <v/>
      </c>
      <c r="D106" s="3">
        <f>IF('ORDENES'!$A84="","",IF('ORDENES'!$W84="","-",'ORDENES'!$W84))</f>
        <v/>
      </c>
      <c r="E106" s="3">
        <f>IF('ORDENES'!$A84="","",IF('ORDENES'!$V84="","-",'ORDENES'!$V84))</f>
        <v/>
      </c>
      <c r="F106" s="3">
        <f>IF('ORDENES'!$A84="","",IF('ORDENES'!$X84="","-",'ORDENES'!$X84))</f>
        <v/>
      </c>
      <c r="G106" s="3">
        <f>IF('ORDENES'!$A84="","",IF('ORDENES'!$AC84="","-",'ORDENES'!$AC84))</f>
        <v/>
      </c>
      <c r="H106" s="3">
        <f>IF('ORDENES'!$A84="","",IF('ORDENES'!$AO84="","-",'ORDENES'!$AO84))</f>
        <v/>
      </c>
      <c r="I106" s="3">
        <f>IF('ORDENES'!$A84="","",IF('ORDENES'!$D84="","-",'ORDENES'!$D84))</f>
        <v/>
      </c>
      <c r="J106" s="3">
        <f>IF('ORDENES'!$A84="","",IF('ORDENES'!$E84="","-",'ORDENES'!$E84))</f>
        <v/>
      </c>
      <c r="K106" s="12">
        <f>IF('ORDENES'!$A84="","",IF('ORDENES'!$N84="",0,'ORDENES'!$N84))</f>
        <v/>
      </c>
      <c r="L106" s="3">
        <f>IF('ORDENES'!$A84="","",IF('ORDENES'!$O84="","-",'ORDENES'!$O84))</f>
        <v/>
      </c>
      <c r="M106" s="3">
        <f>IF('ORDENES'!$A84="","",'ORDENES'!$AB84)</f>
        <v/>
      </c>
    </row>
    <row r="107">
      <c r="A107" s="3">
        <f>IF('ORDENES'!$A85="","",IF('ORDENES'!$P85="","-",'ORDENES'!$P85))</f>
        <v/>
      </c>
      <c r="B107" s="3">
        <f>IF('ORDENES'!$A85="","",IF('ORDENES'!$S85="","-",'ORDENES'!$S85))</f>
        <v/>
      </c>
      <c r="C107" s="3">
        <f>IF('ORDENES'!$A85="","",IF('ORDENES'!$AD85="","-",'ORDENES'!$AD85))</f>
        <v/>
      </c>
      <c r="D107" s="3">
        <f>IF('ORDENES'!$A85="","",IF('ORDENES'!$W85="","-",'ORDENES'!$W85))</f>
        <v/>
      </c>
      <c r="E107" s="3">
        <f>IF('ORDENES'!$A85="","",IF('ORDENES'!$V85="","-",'ORDENES'!$V85))</f>
        <v/>
      </c>
      <c r="F107" s="3">
        <f>IF('ORDENES'!$A85="","",IF('ORDENES'!$X85="","-",'ORDENES'!$X85))</f>
        <v/>
      </c>
      <c r="G107" s="3">
        <f>IF('ORDENES'!$A85="","",IF('ORDENES'!$AC85="","-",'ORDENES'!$AC85))</f>
        <v/>
      </c>
      <c r="H107" s="3">
        <f>IF('ORDENES'!$A85="","",IF('ORDENES'!$AO85="","-",'ORDENES'!$AO85))</f>
        <v/>
      </c>
      <c r="I107" s="3">
        <f>IF('ORDENES'!$A85="","",IF('ORDENES'!$D85="","-",'ORDENES'!$D85))</f>
        <v/>
      </c>
      <c r="J107" s="3">
        <f>IF('ORDENES'!$A85="","",IF('ORDENES'!$E85="","-",'ORDENES'!$E85))</f>
        <v/>
      </c>
      <c r="K107" s="12">
        <f>IF('ORDENES'!$A85="","",IF('ORDENES'!$N85="",0,'ORDENES'!$N85))</f>
        <v/>
      </c>
      <c r="L107" s="3">
        <f>IF('ORDENES'!$A85="","",IF('ORDENES'!$O85="","-",'ORDENES'!$O85))</f>
        <v/>
      </c>
      <c r="M107" s="3">
        <f>IF('ORDENES'!$A85="","",'ORDENES'!$AB85)</f>
        <v/>
      </c>
    </row>
    <row r="108">
      <c r="A108" s="3">
        <f>IF('ORDENES'!$A86="","",IF('ORDENES'!$P86="","-",'ORDENES'!$P86))</f>
        <v/>
      </c>
      <c r="B108" s="3">
        <f>IF('ORDENES'!$A86="","",IF('ORDENES'!$S86="","-",'ORDENES'!$S86))</f>
        <v/>
      </c>
      <c r="C108" s="3">
        <f>IF('ORDENES'!$A86="","",IF('ORDENES'!$AD86="","-",'ORDENES'!$AD86))</f>
        <v/>
      </c>
      <c r="D108" s="3">
        <f>IF('ORDENES'!$A86="","",IF('ORDENES'!$W86="","-",'ORDENES'!$W86))</f>
        <v/>
      </c>
      <c r="E108" s="3">
        <f>IF('ORDENES'!$A86="","",IF('ORDENES'!$V86="","-",'ORDENES'!$V86))</f>
        <v/>
      </c>
      <c r="F108" s="3">
        <f>IF('ORDENES'!$A86="","",IF('ORDENES'!$X86="","-",'ORDENES'!$X86))</f>
        <v/>
      </c>
      <c r="G108" s="3">
        <f>IF('ORDENES'!$A86="","",IF('ORDENES'!$AC86="","-",'ORDENES'!$AC86))</f>
        <v/>
      </c>
      <c r="H108" s="3">
        <f>IF('ORDENES'!$A86="","",IF('ORDENES'!$AO86="","-",'ORDENES'!$AO86))</f>
        <v/>
      </c>
      <c r="I108" s="3">
        <f>IF('ORDENES'!$A86="","",IF('ORDENES'!$D86="","-",'ORDENES'!$D86))</f>
        <v/>
      </c>
      <c r="J108" s="3">
        <f>IF('ORDENES'!$A86="","",IF('ORDENES'!$E86="","-",'ORDENES'!$E86))</f>
        <v/>
      </c>
      <c r="K108" s="12">
        <f>IF('ORDENES'!$A86="","",IF('ORDENES'!$N86="",0,'ORDENES'!$N86))</f>
        <v/>
      </c>
      <c r="L108" s="3">
        <f>IF('ORDENES'!$A86="","",IF('ORDENES'!$O86="","-",'ORDENES'!$O86))</f>
        <v/>
      </c>
      <c r="M108" s="3">
        <f>IF('ORDENES'!$A86="","",'ORDENES'!$AB86)</f>
        <v/>
      </c>
    </row>
    <row r="109">
      <c r="A109" s="3">
        <f>IF('ORDENES'!$A87="","",IF('ORDENES'!$P87="","-",'ORDENES'!$P87))</f>
        <v/>
      </c>
      <c r="B109" s="3">
        <f>IF('ORDENES'!$A87="","",IF('ORDENES'!$S87="","-",'ORDENES'!$S87))</f>
        <v/>
      </c>
      <c r="C109" s="3">
        <f>IF('ORDENES'!$A87="","",IF('ORDENES'!$AD87="","-",'ORDENES'!$AD87))</f>
        <v/>
      </c>
      <c r="D109" s="3">
        <f>IF('ORDENES'!$A87="","",IF('ORDENES'!$W87="","-",'ORDENES'!$W87))</f>
        <v/>
      </c>
      <c r="E109" s="3">
        <f>IF('ORDENES'!$A87="","",IF('ORDENES'!$V87="","-",'ORDENES'!$V87))</f>
        <v/>
      </c>
      <c r="F109" s="3">
        <f>IF('ORDENES'!$A87="","",IF('ORDENES'!$X87="","-",'ORDENES'!$X87))</f>
        <v/>
      </c>
      <c r="G109" s="3">
        <f>IF('ORDENES'!$A87="","",IF('ORDENES'!$AC87="","-",'ORDENES'!$AC87))</f>
        <v/>
      </c>
      <c r="H109" s="3">
        <f>IF('ORDENES'!$A87="","",IF('ORDENES'!$AO87="","-",'ORDENES'!$AO87))</f>
        <v/>
      </c>
      <c r="I109" s="3">
        <f>IF('ORDENES'!$A87="","",IF('ORDENES'!$D87="","-",'ORDENES'!$D87))</f>
        <v/>
      </c>
      <c r="J109" s="3">
        <f>IF('ORDENES'!$A87="","",IF('ORDENES'!$E87="","-",'ORDENES'!$E87))</f>
        <v/>
      </c>
      <c r="K109" s="12">
        <f>IF('ORDENES'!$A87="","",IF('ORDENES'!$N87="",0,'ORDENES'!$N87))</f>
        <v/>
      </c>
      <c r="L109" s="3">
        <f>IF('ORDENES'!$A87="","",IF('ORDENES'!$O87="","-",'ORDENES'!$O87))</f>
        <v/>
      </c>
      <c r="M109" s="3">
        <f>IF('ORDENES'!$A87="","",'ORDENES'!$AB87)</f>
        <v/>
      </c>
    </row>
    <row r="110">
      <c r="A110" s="3">
        <f>IF('ORDENES'!$A88="","",IF('ORDENES'!$P88="","-",'ORDENES'!$P88))</f>
        <v/>
      </c>
      <c r="B110" s="3">
        <f>IF('ORDENES'!$A88="","",IF('ORDENES'!$S88="","-",'ORDENES'!$S88))</f>
        <v/>
      </c>
      <c r="C110" s="3">
        <f>IF('ORDENES'!$A88="","",IF('ORDENES'!$AD88="","-",'ORDENES'!$AD88))</f>
        <v/>
      </c>
      <c r="D110" s="3">
        <f>IF('ORDENES'!$A88="","",IF('ORDENES'!$W88="","-",'ORDENES'!$W88))</f>
        <v/>
      </c>
      <c r="E110" s="3">
        <f>IF('ORDENES'!$A88="","",IF('ORDENES'!$V88="","-",'ORDENES'!$V88))</f>
        <v/>
      </c>
      <c r="F110" s="3">
        <f>IF('ORDENES'!$A88="","",IF('ORDENES'!$X88="","-",'ORDENES'!$X88))</f>
        <v/>
      </c>
      <c r="G110" s="3">
        <f>IF('ORDENES'!$A88="","",IF('ORDENES'!$AC88="","-",'ORDENES'!$AC88))</f>
        <v/>
      </c>
      <c r="H110" s="3">
        <f>IF('ORDENES'!$A88="","",IF('ORDENES'!$AO88="","-",'ORDENES'!$AO88))</f>
        <v/>
      </c>
      <c r="I110" s="3">
        <f>IF('ORDENES'!$A88="","",IF('ORDENES'!$D88="","-",'ORDENES'!$D88))</f>
        <v/>
      </c>
      <c r="J110" s="3">
        <f>IF('ORDENES'!$A88="","",IF('ORDENES'!$E88="","-",'ORDENES'!$E88))</f>
        <v/>
      </c>
      <c r="K110" s="12">
        <f>IF('ORDENES'!$A88="","",IF('ORDENES'!$N88="",0,'ORDENES'!$N88))</f>
        <v/>
      </c>
      <c r="L110" s="3">
        <f>IF('ORDENES'!$A88="","",IF('ORDENES'!$O88="","-",'ORDENES'!$O88))</f>
        <v/>
      </c>
      <c r="M110" s="3">
        <f>IF('ORDENES'!$A88="","",'ORDENES'!$AB88)</f>
        <v/>
      </c>
    </row>
    <row r="111">
      <c r="A111" s="3">
        <f>IF('ORDENES'!$A89="","",IF('ORDENES'!$P89="","-",'ORDENES'!$P89))</f>
        <v/>
      </c>
      <c r="B111" s="3">
        <f>IF('ORDENES'!$A89="","",IF('ORDENES'!$S89="","-",'ORDENES'!$S89))</f>
        <v/>
      </c>
      <c r="C111" s="3">
        <f>IF('ORDENES'!$A89="","",IF('ORDENES'!$AD89="","-",'ORDENES'!$AD89))</f>
        <v/>
      </c>
      <c r="D111" s="3">
        <f>IF('ORDENES'!$A89="","",IF('ORDENES'!$W89="","-",'ORDENES'!$W89))</f>
        <v/>
      </c>
      <c r="E111" s="3">
        <f>IF('ORDENES'!$A89="","",IF('ORDENES'!$V89="","-",'ORDENES'!$V89))</f>
        <v/>
      </c>
      <c r="F111" s="3">
        <f>IF('ORDENES'!$A89="","",IF('ORDENES'!$X89="","-",'ORDENES'!$X89))</f>
        <v/>
      </c>
      <c r="G111" s="3">
        <f>IF('ORDENES'!$A89="","",IF('ORDENES'!$AC89="","-",'ORDENES'!$AC89))</f>
        <v/>
      </c>
      <c r="H111" s="3">
        <f>IF('ORDENES'!$A89="","",IF('ORDENES'!$AO89="","-",'ORDENES'!$AO89))</f>
        <v/>
      </c>
      <c r="I111" s="3">
        <f>IF('ORDENES'!$A89="","",IF('ORDENES'!$D89="","-",'ORDENES'!$D89))</f>
        <v/>
      </c>
      <c r="J111" s="3">
        <f>IF('ORDENES'!$A89="","",IF('ORDENES'!$E89="","-",'ORDENES'!$E89))</f>
        <v/>
      </c>
      <c r="K111" s="12">
        <f>IF('ORDENES'!$A89="","",IF('ORDENES'!$N89="",0,'ORDENES'!$N89))</f>
        <v/>
      </c>
      <c r="L111" s="3">
        <f>IF('ORDENES'!$A89="","",IF('ORDENES'!$O89="","-",'ORDENES'!$O89))</f>
        <v/>
      </c>
      <c r="M111" s="3">
        <f>IF('ORDENES'!$A89="","",'ORDENES'!$AB89)</f>
        <v/>
      </c>
    </row>
    <row r="112">
      <c r="A112" s="3">
        <f>IF('ORDENES'!$A90="","",IF('ORDENES'!$P90="","-",'ORDENES'!$P90))</f>
        <v/>
      </c>
      <c r="B112" s="3">
        <f>IF('ORDENES'!$A90="","",IF('ORDENES'!$S90="","-",'ORDENES'!$S90))</f>
        <v/>
      </c>
      <c r="C112" s="3">
        <f>IF('ORDENES'!$A90="","",IF('ORDENES'!$AD90="","-",'ORDENES'!$AD90))</f>
        <v/>
      </c>
      <c r="D112" s="3">
        <f>IF('ORDENES'!$A90="","",IF('ORDENES'!$W90="","-",'ORDENES'!$W90))</f>
        <v/>
      </c>
      <c r="E112" s="3">
        <f>IF('ORDENES'!$A90="","",IF('ORDENES'!$V90="","-",'ORDENES'!$V90))</f>
        <v/>
      </c>
      <c r="F112" s="3">
        <f>IF('ORDENES'!$A90="","",IF('ORDENES'!$X90="","-",'ORDENES'!$X90))</f>
        <v/>
      </c>
      <c r="G112" s="3">
        <f>IF('ORDENES'!$A90="","",IF('ORDENES'!$AC90="","-",'ORDENES'!$AC90))</f>
        <v/>
      </c>
      <c r="H112" s="3">
        <f>IF('ORDENES'!$A90="","",IF('ORDENES'!$AO90="","-",'ORDENES'!$AO90))</f>
        <v/>
      </c>
      <c r="I112" s="3">
        <f>IF('ORDENES'!$A90="","",IF('ORDENES'!$D90="","-",'ORDENES'!$D90))</f>
        <v/>
      </c>
      <c r="J112" s="3">
        <f>IF('ORDENES'!$A90="","",IF('ORDENES'!$E90="","-",'ORDENES'!$E90))</f>
        <v/>
      </c>
      <c r="K112" s="12">
        <f>IF('ORDENES'!$A90="","",IF('ORDENES'!$N90="",0,'ORDENES'!$N90))</f>
        <v/>
      </c>
      <c r="L112" s="3">
        <f>IF('ORDENES'!$A90="","",IF('ORDENES'!$O90="","-",'ORDENES'!$O90))</f>
        <v/>
      </c>
      <c r="M112" s="3">
        <f>IF('ORDENES'!$A90="","",'ORDENES'!$AB90)</f>
        <v/>
      </c>
    </row>
    <row r="113">
      <c r="A113" s="3">
        <f>IF('ORDENES'!$A91="","",IF('ORDENES'!$P91="","-",'ORDENES'!$P91))</f>
        <v/>
      </c>
      <c r="B113" s="3">
        <f>IF('ORDENES'!$A91="","",IF('ORDENES'!$S91="","-",'ORDENES'!$S91))</f>
        <v/>
      </c>
      <c r="C113" s="3">
        <f>IF('ORDENES'!$A91="","",IF('ORDENES'!$AD91="","-",'ORDENES'!$AD91))</f>
        <v/>
      </c>
      <c r="D113" s="3">
        <f>IF('ORDENES'!$A91="","",IF('ORDENES'!$W91="","-",'ORDENES'!$W91))</f>
        <v/>
      </c>
      <c r="E113" s="3">
        <f>IF('ORDENES'!$A91="","",IF('ORDENES'!$V91="","-",'ORDENES'!$V91))</f>
        <v/>
      </c>
      <c r="F113" s="3">
        <f>IF('ORDENES'!$A91="","",IF('ORDENES'!$X91="","-",'ORDENES'!$X91))</f>
        <v/>
      </c>
      <c r="G113" s="3">
        <f>IF('ORDENES'!$A91="","",IF('ORDENES'!$AC91="","-",'ORDENES'!$AC91))</f>
        <v/>
      </c>
      <c r="H113" s="3">
        <f>IF('ORDENES'!$A91="","",IF('ORDENES'!$AO91="","-",'ORDENES'!$AO91))</f>
        <v/>
      </c>
      <c r="I113" s="3">
        <f>IF('ORDENES'!$A91="","",IF('ORDENES'!$D91="","-",'ORDENES'!$D91))</f>
        <v/>
      </c>
      <c r="J113" s="3">
        <f>IF('ORDENES'!$A91="","",IF('ORDENES'!$E91="","-",'ORDENES'!$E91))</f>
        <v/>
      </c>
      <c r="K113" s="12">
        <f>IF('ORDENES'!$A91="","",IF('ORDENES'!$N91="",0,'ORDENES'!$N91))</f>
        <v/>
      </c>
      <c r="L113" s="3">
        <f>IF('ORDENES'!$A91="","",IF('ORDENES'!$O91="","-",'ORDENES'!$O91))</f>
        <v/>
      </c>
      <c r="M113" s="3">
        <f>IF('ORDENES'!$A91="","",'ORDENES'!$AB91)</f>
        <v/>
      </c>
    </row>
    <row r="114">
      <c r="A114" s="3">
        <f>IF('ORDENES'!$A92="","",IF('ORDENES'!$P92="","-",'ORDENES'!$P92))</f>
        <v/>
      </c>
      <c r="B114" s="3">
        <f>IF('ORDENES'!$A92="","",IF('ORDENES'!$S92="","-",'ORDENES'!$S92))</f>
        <v/>
      </c>
      <c r="C114" s="3">
        <f>IF('ORDENES'!$A92="","",IF('ORDENES'!$AD92="","-",'ORDENES'!$AD92))</f>
        <v/>
      </c>
      <c r="D114" s="3">
        <f>IF('ORDENES'!$A92="","",IF('ORDENES'!$W92="","-",'ORDENES'!$W92))</f>
        <v/>
      </c>
      <c r="E114" s="3">
        <f>IF('ORDENES'!$A92="","",IF('ORDENES'!$V92="","-",'ORDENES'!$V92))</f>
        <v/>
      </c>
      <c r="F114" s="3">
        <f>IF('ORDENES'!$A92="","",IF('ORDENES'!$X92="","-",'ORDENES'!$X92))</f>
        <v/>
      </c>
      <c r="G114" s="3">
        <f>IF('ORDENES'!$A92="","",IF('ORDENES'!$AC92="","-",'ORDENES'!$AC92))</f>
        <v/>
      </c>
      <c r="H114" s="3">
        <f>IF('ORDENES'!$A92="","",IF('ORDENES'!$AO92="","-",'ORDENES'!$AO92))</f>
        <v/>
      </c>
      <c r="I114" s="3">
        <f>IF('ORDENES'!$A92="","",IF('ORDENES'!$D92="","-",'ORDENES'!$D92))</f>
        <v/>
      </c>
      <c r="J114" s="3">
        <f>IF('ORDENES'!$A92="","",IF('ORDENES'!$E92="","-",'ORDENES'!$E92))</f>
        <v/>
      </c>
      <c r="K114" s="12">
        <f>IF('ORDENES'!$A92="","",IF('ORDENES'!$N92="",0,'ORDENES'!$N92))</f>
        <v/>
      </c>
      <c r="L114" s="3">
        <f>IF('ORDENES'!$A92="","",IF('ORDENES'!$O92="","-",'ORDENES'!$O92))</f>
        <v/>
      </c>
      <c r="M114" s="3">
        <f>IF('ORDENES'!$A92="","",'ORDENES'!$AB92)</f>
        <v/>
      </c>
    </row>
    <row r="115">
      <c r="A115" s="3">
        <f>IF('ORDENES'!$A93="","",IF('ORDENES'!$P93="","-",'ORDENES'!$P93))</f>
        <v/>
      </c>
      <c r="B115" s="3">
        <f>IF('ORDENES'!$A93="","",IF('ORDENES'!$S93="","-",'ORDENES'!$S93))</f>
        <v/>
      </c>
      <c r="C115" s="3">
        <f>IF('ORDENES'!$A93="","",IF('ORDENES'!$AD93="","-",'ORDENES'!$AD93))</f>
        <v/>
      </c>
      <c r="D115" s="3">
        <f>IF('ORDENES'!$A93="","",IF('ORDENES'!$W93="","-",'ORDENES'!$W93))</f>
        <v/>
      </c>
      <c r="E115" s="3">
        <f>IF('ORDENES'!$A93="","",IF('ORDENES'!$V93="","-",'ORDENES'!$V93))</f>
        <v/>
      </c>
      <c r="F115" s="3">
        <f>IF('ORDENES'!$A93="","",IF('ORDENES'!$X93="","-",'ORDENES'!$X93))</f>
        <v/>
      </c>
      <c r="G115" s="3">
        <f>IF('ORDENES'!$A93="","",IF('ORDENES'!$AC93="","-",'ORDENES'!$AC93))</f>
        <v/>
      </c>
      <c r="H115" s="3">
        <f>IF('ORDENES'!$A93="","",IF('ORDENES'!$AO93="","-",'ORDENES'!$AO93))</f>
        <v/>
      </c>
      <c r="I115" s="3">
        <f>IF('ORDENES'!$A93="","",IF('ORDENES'!$D93="","-",'ORDENES'!$D93))</f>
        <v/>
      </c>
      <c r="J115" s="3">
        <f>IF('ORDENES'!$A93="","",IF('ORDENES'!$E93="","-",'ORDENES'!$E93))</f>
        <v/>
      </c>
      <c r="K115" s="12">
        <f>IF('ORDENES'!$A93="","",IF('ORDENES'!$N93="",0,'ORDENES'!$N93))</f>
        <v/>
      </c>
      <c r="L115" s="3">
        <f>IF('ORDENES'!$A93="","",IF('ORDENES'!$O93="","-",'ORDENES'!$O93))</f>
        <v/>
      </c>
      <c r="M115" s="3">
        <f>IF('ORDENES'!$A93="","",'ORDENES'!$AB93)</f>
        <v/>
      </c>
    </row>
    <row r="116">
      <c r="A116" s="3">
        <f>IF('ORDENES'!$A94="","",IF('ORDENES'!$P94="","-",'ORDENES'!$P94))</f>
        <v/>
      </c>
      <c r="B116" s="3">
        <f>IF('ORDENES'!$A94="","",IF('ORDENES'!$S94="","-",'ORDENES'!$S94))</f>
        <v/>
      </c>
      <c r="C116" s="3">
        <f>IF('ORDENES'!$A94="","",IF('ORDENES'!$AD94="","-",'ORDENES'!$AD94))</f>
        <v/>
      </c>
      <c r="D116" s="3">
        <f>IF('ORDENES'!$A94="","",IF('ORDENES'!$W94="","-",'ORDENES'!$W94))</f>
        <v/>
      </c>
      <c r="E116" s="3">
        <f>IF('ORDENES'!$A94="","",IF('ORDENES'!$V94="","-",'ORDENES'!$V94))</f>
        <v/>
      </c>
      <c r="F116" s="3">
        <f>IF('ORDENES'!$A94="","",IF('ORDENES'!$X94="","-",'ORDENES'!$X94))</f>
        <v/>
      </c>
      <c r="G116" s="3">
        <f>IF('ORDENES'!$A94="","",IF('ORDENES'!$AC94="","-",'ORDENES'!$AC94))</f>
        <v/>
      </c>
      <c r="H116" s="3">
        <f>IF('ORDENES'!$A94="","",IF('ORDENES'!$AO94="","-",'ORDENES'!$AO94))</f>
        <v/>
      </c>
      <c r="I116" s="3">
        <f>IF('ORDENES'!$A94="","",IF('ORDENES'!$D94="","-",'ORDENES'!$D94))</f>
        <v/>
      </c>
      <c r="J116" s="3">
        <f>IF('ORDENES'!$A94="","",IF('ORDENES'!$E94="","-",'ORDENES'!$E94))</f>
        <v/>
      </c>
      <c r="K116" s="12">
        <f>IF('ORDENES'!$A94="","",IF('ORDENES'!$N94="",0,'ORDENES'!$N94))</f>
        <v/>
      </c>
      <c r="L116" s="3">
        <f>IF('ORDENES'!$A94="","",IF('ORDENES'!$O94="","-",'ORDENES'!$O94))</f>
        <v/>
      </c>
      <c r="M116" s="3">
        <f>IF('ORDENES'!$A94="","",'ORDENES'!$AB94)</f>
        <v/>
      </c>
    </row>
    <row r="117">
      <c r="A117" s="3">
        <f>IF('ORDENES'!$A95="","",IF('ORDENES'!$P95="","-",'ORDENES'!$P95))</f>
        <v/>
      </c>
      <c r="B117" s="3">
        <f>IF('ORDENES'!$A95="","",IF('ORDENES'!$S95="","-",'ORDENES'!$S95))</f>
        <v/>
      </c>
      <c r="C117" s="3">
        <f>IF('ORDENES'!$A95="","",IF('ORDENES'!$AD95="","-",'ORDENES'!$AD95))</f>
        <v/>
      </c>
      <c r="D117" s="3">
        <f>IF('ORDENES'!$A95="","",IF('ORDENES'!$W95="","-",'ORDENES'!$W95))</f>
        <v/>
      </c>
      <c r="E117" s="3">
        <f>IF('ORDENES'!$A95="","",IF('ORDENES'!$V95="","-",'ORDENES'!$V95))</f>
        <v/>
      </c>
      <c r="F117" s="3">
        <f>IF('ORDENES'!$A95="","",IF('ORDENES'!$X95="","-",'ORDENES'!$X95))</f>
        <v/>
      </c>
      <c r="G117" s="3">
        <f>IF('ORDENES'!$A95="","",IF('ORDENES'!$AC95="","-",'ORDENES'!$AC95))</f>
        <v/>
      </c>
      <c r="H117" s="3">
        <f>IF('ORDENES'!$A95="","",IF('ORDENES'!$AO95="","-",'ORDENES'!$AO95))</f>
        <v/>
      </c>
      <c r="I117" s="3">
        <f>IF('ORDENES'!$A95="","",IF('ORDENES'!$D95="","-",'ORDENES'!$D95))</f>
        <v/>
      </c>
      <c r="J117" s="3">
        <f>IF('ORDENES'!$A95="","",IF('ORDENES'!$E95="","-",'ORDENES'!$E95))</f>
        <v/>
      </c>
      <c r="K117" s="12">
        <f>IF('ORDENES'!$A95="","",IF('ORDENES'!$N95="",0,'ORDENES'!$N95))</f>
        <v/>
      </c>
      <c r="L117" s="3">
        <f>IF('ORDENES'!$A95="","",IF('ORDENES'!$O95="","-",'ORDENES'!$O95))</f>
        <v/>
      </c>
      <c r="M117" s="3">
        <f>IF('ORDENES'!$A95="","",'ORDENES'!$AB95)</f>
        <v/>
      </c>
    </row>
    <row r="118">
      <c r="A118" s="3">
        <f>IF('ORDENES'!$A96="","",IF('ORDENES'!$P96="","-",'ORDENES'!$P96))</f>
        <v/>
      </c>
      <c r="B118" s="3">
        <f>IF('ORDENES'!$A96="","",IF('ORDENES'!$S96="","-",'ORDENES'!$S96))</f>
        <v/>
      </c>
      <c r="C118" s="3">
        <f>IF('ORDENES'!$A96="","",IF('ORDENES'!$AD96="","-",'ORDENES'!$AD96))</f>
        <v/>
      </c>
      <c r="D118" s="3">
        <f>IF('ORDENES'!$A96="","",IF('ORDENES'!$W96="","-",'ORDENES'!$W96))</f>
        <v/>
      </c>
      <c r="E118" s="3">
        <f>IF('ORDENES'!$A96="","",IF('ORDENES'!$V96="","-",'ORDENES'!$V96))</f>
        <v/>
      </c>
      <c r="F118" s="3">
        <f>IF('ORDENES'!$A96="","",IF('ORDENES'!$X96="","-",'ORDENES'!$X96))</f>
        <v/>
      </c>
      <c r="G118" s="3">
        <f>IF('ORDENES'!$A96="","",IF('ORDENES'!$AC96="","-",'ORDENES'!$AC96))</f>
        <v/>
      </c>
      <c r="H118" s="3">
        <f>IF('ORDENES'!$A96="","",IF('ORDENES'!$AO96="","-",'ORDENES'!$AO96))</f>
        <v/>
      </c>
      <c r="I118" s="3">
        <f>IF('ORDENES'!$A96="","",IF('ORDENES'!$D96="","-",'ORDENES'!$D96))</f>
        <v/>
      </c>
      <c r="J118" s="3">
        <f>IF('ORDENES'!$A96="","",IF('ORDENES'!$E96="","-",'ORDENES'!$E96))</f>
        <v/>
      </c>
      <c r="K118" s="12">
        <f>IF('ORDENES'!$A96="","",IF('ORDENES'!$N96="",0,'ORDENES'!$N96))</f>
        <v/>
      </c>
      <c r="L118" s="3">
        <f>IF('ORDENES'!$A96="","",IF('ORDENES'!$O96="","-",'ORDENES'!$O96))</f>
        <v/>
      </c>
      <c r="M118" s="3">
        <f>IF('ORDENES'!$A96="","",'ORDENES'!$AB96)</f>
        <v/>
      </c>
    </row>
    <row r="119">
      <c r="A119" s="3">
        <f>IF('ORDENES'!$A97="","",IF('ORDENES'!$P97="","-",'ORDENES'!$P97))</f>
        <v/>
      </c>
      <c r="B119" s="3">
        <f>IF('ORDENES'!$A97="","",IF('ORDENES'!$S97="","-",'ORDENES'!$S97))</f>
        <v/>
      </c>
      <c r="C119" s="3">
        <f>IF('ORDENES'!$A97="","",IF('ORDENES'!$AD97="","-",'ORDENES'!$AD97))</f>
        <v/>
      </c>
      <c r="D119" s="3">
        <f>IF('ORDENES'!$A97="","",IF('ORDENES'!$W97="","-",'ORDENES'!$W97))</f>
        <v/>
      </c>
      <c r="E119" s="3">
        <f>IF('ORDENES'!$A97="","",IF('ORDENES'!$V97="","-",'ORDENES'!$V97))</f>
        <v/>
      </c>
      <c r="F119" s="3">
        <f>IF('ORDENES'!$A97="","",IF('ORDENES'!$X97="","-",'ORDENES'!$X97))</f>
        <v/>
      </c>
      <c r="G119" s="3">
        <f>IF('ORDENES'!$A97="","",IF('ORDENES'!$AC97="","-",'ORDENES'!$AC97))</f>
        <v/>
      </c>
      <c r="H119" s="3">
        <f>IF('ORDENES'!$A97="","",IF('ORDENES'!$AO97="","-",'ORDENES'!$AO97))</f>
        <v/>
      </c>
      <c r="I119" s="3">
        <f>IF('ORDENES'!$A97="","",IF('ORDENES'!$D97="","-",'ORDENES'!$D97))</f>
        <v/>
      </c>
      <c r="J119" s="3">
        <f>IF('ORDENES'!$A97="","",IF('ORDENES'!$E97="","-",'ORDENES'!$E97))</f>
        <v/>
      </c>
      <c r="K119" s="12">
        <f>IF('ORDENES'!$A97="","",IF('ORDENES'!$N97="",0,'ORDENES'!$N97))</f>
        <v/>
      </c>
      <c r="L119" s="3">
        <f>IF('ORDENES'!$A97="","",IF('ORDENES'!$O97="","-",'ORDENES'!$O97))</f>
        <v/>
      </c>
      <c r="M119" s="3">
        <f>IF('ORDENES'!$A97="","",'ORDENES'!$AB97)</f>
        <v/>
      </c>
    </row>
    <row r="120">
      <c r="A120" s="3">
        <f>IF('ORDENES'!$A98="","",IF('ORDENES'!$P98="","-",'ORDENES'!$P98))</f>
        <v/>
      </c>
      <c r="B120" s="3">
        <f>IF('ORDENES'!$A98="","",IF('ORDENES'!$S98="","-",'ORDENES'!$S98))</f>
        <v/>
      </c>
      <c r="C120" s="3">
        <f>IF('ORDENES'!$A98="","",IF('ORDENES'!$AD98="","-",'ORDENES'!$AD98))</f>
        <v/>
      </c>
      <c r="D120" s="3">
        <f>IF('ORDENES'!$A98="","",IF('ORDENES'!$W98="","-",'ORDENES'!$W98))</f>
        <v/>
      </c>
      <c r="E120" s="3">
        <f>IF('ORDENES'!$A98="","",IF('ORDENES'!$V98="","-",'ORDENES'!$V98))</f>
        <v/>
      </c>
      <c r="F120" s="3">
        <f>IF('ORDENES'!$A98="","",IF('ORDENES'!$X98="","-",'ORDENES'!$X98))</f>
        <v/>
      </c>
      <c r="G120" s="3">
        <f>IF('ORDENES'!$A98="","",IF('ORDENES'!$AC98="","-",'ORDENES'!$AC98))</f>
        <v/>
      </c>
      <c r="H120" s="3">
        <f>IF('ORDENES'!$A98="","",IF('ORDENES'!$AO98="","-",'ORDENES'!$AO98))</f>
        <v/>
      </c>
      <c r="I120" s="3">
        <f>IF('ORDENES'!$A98="","",IF('ORDENES'!$D98="","-",'ORDENES'!$D98))</f>
        <v/>
      </c>
      <c r="J120" s="3">
        <f>IF('ORDENES'!$A98="","",IF('ORDENES'!$E98="","-",'ORDENES'!$E98))</f>
        <v/>
      </c>
      <c r="K120" s="12">
        <f>IF('ORDENES'!$A98="","",IF('ORDENES'!$N98="",0,'ORDENES'!$N98))</f>
        <v/>
      </c>
      <c r="L120" s="3">
        <f>IF('ORDENES'!$A98="","",IF('ORDENES'!$O98="","-",'ORDENES'!$O98))</f>
        <v/>
      </c>
      <c r="M120" s="3">
        <f>IF('ORDENES'!$A98="","",'ORDENES'!$AB98)</f>
        <v/>
      </c>
    </row>
    <row r="121">
      <c r="A121" s="3">
        <f>IF('ORDENES'!$A99="","",IF('ORDENES'!$P99="","-",'ORDENES'!$P99))</f>
        <v/>
      </c>
      <c r="B121" s="3">
        <f>IF('ORDENES'!$A99="","",IF('ORDENES'!$S99="","-",'ORDENES'!$S99))</f>
        <v/>
      </c>
      <c r="C121" s="3">
        <f>IF('ORDENES'!$A99="","",IF('ORDENES'!$AD99="","-",'ORDENES'!$AD99))</f>
        <v/>
      </c>
      <c r="D121" s="3">
        <f>IF('ORDENES'!$A99="","",IF('ORDENES'!$W99="","-",'ORDENES'!$W99))</f>
        <v/>
      </c>
      <c r="E121" s="3">
        <f>IF('ORDENES'!$A99="","",IF('ORDENES'!$V99="","-",'ORDENES'!$V99))</f>
        <v/>
      </c>
      <c r="F121" s="3">
        <f>IF('ORDENES'!$A99="","",IF('ORDENES'!$X99="","-",'ORDENES'!$X99))</f>
        <v/>
      </c>
      <c r="G121" s="3">
        <f>IF('ORDENES'!$A99="","",IF('ORDENES'!$AC99="","-",'ORDENES'!$AC99))</f>
        <v/>
      </c>
      <c r="H121" s="3">
        <f>IF('ORDENES'!$A99="","",IF('ORDENES'!$AO99="","-",'ORDENES'!$AO99))</f>
        <v/>
      </c>
      <c r="I121" s="3">
        <f>IF('ORDENES'!$A99="","",IF('ORDENES'!$D99="","-",'ORDENES'!$D99))</f>
        <v/>
      </c>
      <c r="J121" s="3">
        <f>IF('ORDENES'!$A99="","",IF('ORDENES'!$E99="","-",'ORDENES'!$E99))</f>
        <v/>
      </c>
      <c r="K121" s="12">
        <f>IF('ORDENES'!$A99="","",IF('ORDENES'!$N99="",0,'ORDENES'!$N99))</f>
        <v/>
      </c>
      <c r="L121" s="3">
        <f>IF('ORDENES'!$A99="","",IF('ORDENES'!$O99="","-",'ORDENES'!$O99))</f>
        <v/>
      </c>
      <c r="M121" s="3">
        <f>IF('ORDENES'!$A99="","",'ORDENES'!$AB99)</f>
        <v/>
      </c>
    </row>
    <row r="122">
      <c r="A122" s="3">
        <f>IF('ORDENES'!$A100="","",IF('ORDENES'!$P100="","-",'ORDENES'!$P100))</f>
        <v/>
      </c>
      <c r="B122" s="3">
        <f>IF('ORDENES'!$A100="","",IF('ORDENES'!$S100="","-",'ORDENES'!$S100))</f>
        <v/>
      </c>
      <c r="C122" s="3">
        <f>IF('ORDENES'!$A100="","",IF('ORDENES'!$AD100="","-",'ORDENES'!$AD100))</f>
        <v/>
      </c>
      <c r="D122" s="3">
        <f>IF('ORDENES'!$A100="","",IF('ORDENES'!$W100="","-",'ORDENES'!$W100))</f>
        <v/>
      </c>
      <c r="E122" s="3">
        <f>IF('ORDENES'!$A100="","",IF('ORDENES'!$V100="","-",'ORDENES'!$V100))</f>
        <v/>
      </c>
      <c r="F122" s="3">
        <f>IF('ORDENES'!$A100="","",IF('ORDENES'!$X100="","-",'ORDENES'!$X100))</f>
        <v/>
      </c>
      <c r="G122" s="3">
        <f>IF('ORDENES'!$A100="","",IF('ORDENES'!$AC100="","-",'ORDENES'!$AC100))</f>
        <v/>
      </c>
      <c r="H122" s="3">
        <f>IF('ORDENES'!$A100="","",IF('ORDENES'!$AO100="","-",'ORDENES'!$AO100))</f>
        <v/>
      </c>
      <c r="I122" s="3">
        <f>IF('ORDENES'!$A100="","",IF('ORDENES'!$D100="","-",'ORDENES'!$D100))</f>
        <v/>
      </c>
      <c r="J122" s="3">
        <f>IF('ORDENES'!$A100="","",IF('ORDENES'!$E100="","-",'ORDENES'!$E100))</f>
        <v/>
      </c>
      <c r="K122" s="12">
        <f>IF('ORDENES'!$A100="","",IF('ORDENES'!$N100="",0,'ORDENES'!$N100))</f>
        <v/>
      </c>
      <c r="L122" s="3">
        <f>IF('ORDENES'!$A100="","",IF('ORDENES'!$O100="","-",'ORDENES'!$O100))</f>
        <v/>
      </c>
      <c r="M122" s="3">
        <f>IF('ORDENES'!$A100="","",'ORDENES'!$AB100)</f>
        <v/>
      </c>
    </row>
    <row r="123">
      <c r="A123" s="3">
        <f>IF('ORDENES'!$A101="","",IF('ORDENES'!$P101="","-",'ORDENES'!$P101))</f>
        <v/>
      </c>
      <c r="B123" s="3">
        <f>IF('ORDENES'!$A101="","",IF('ORDENES'!$S101="","-",'ORDENES'!$S101))</f>
        <v/>
      </c>
      <c r="C123" s="3">
        <f>IF('ORDENES'!$A101="","",IF('ORDENES'!$AD101="","-",'ORDENES'!$AD101))</f>
        <v/>
      </c>
      <c r="D123" s="3">
        <f>IF('ORDENES'!$A101="","",IF('ORDENES'!$W101="","-",'ORDENES'!$W101))</f>
        <v/>
      </c>
      <c r="E123" s="3">
        <f>IF('ORDENES'!$A101="","",IF('ORDENES'!$V101="","-",'ORDENES'!$V101))</f>
        <v/>
      </c>
      <c r="F123" s="3">
        <f>IF('ORDENES'!$A101="","",IF('ORDENES'!$X101="","-",'ORDENES'!$X101))</f>
        <v/>
      </c>
      <c r="G123" s="3">
        <f>IF('ORDENES'!$A101="","",IF('ORDENES'!$AC101="","-",'ORDENES'!$AC101))</f>
        <v/>
      </c>
      <c r="H123" s="3">
        <f>IF('ORDENES'!$A101="","",IF('ORDENES'!$AO101="","-",'ORDENES'!$AO101))</f>
        <v/>
      </c>
      <c r="I123" s="3">
        <f>IF('ORDENES'!$A101="","",IF('ORDENES'!$D101="","-",'ORDENES'!$D101))</f>
        <v/>
      </c>
      <c r="J123" s="3">
        <f>IF('ORDENES'!$A101="","",IF('ORDENES'!$E101="","-",'ORDENES'!$E101))</f>
        <v/>
      </c>
      <c r="K123" s="12">
        <f>IF('ORDENES'!$A101="","",IF('ORDENES'!$N101="",0,'ORDENES'!$N101))</f>
        <v/>
      </c>
      <c r="L123" s="3">
        <f>IF('ORDENES'!$A101="","",IF('ORDENES'!$O101="","-",'ORDENES'!$O101))</f>
        <v/>
      </c>
      <c r="M123" s="3">
        <f>IF('ORDENES'!$A101="","",'ORDENES'!$AB101)</f>
        <v/>
      </c>
    </row>
    <row r="124">
      <c r="A124" s="3">
        <f>IF('ORDENES'!$A102="","",IF('ORDENES'!$P102="","-",'ORDENES'!$P102))</f>
        <v/>
      </c>
      <c r="B124" s="3">
        <f>IF('ORDENES'!$A102="","",IF('ORDENES'!$S102="","-",'ORDENES'!$S102))</f>
        <v/>
      </c>
      <c r="C124" s="3">
        <f>IF('ORDENES'!$A102="","",IF('ORDENES'!$AD102="","-",'ORDENES'!$AD102))</f>
        <v/>
      </c>
      <c r="D124" s="3">
        <f>IF('ORDENES'!$A102="","",IF('ORDENES'!$W102="","-",'ORDENES'!$W102))</f>
        <v/>
      </c>
      <c r="E124" s="3">
        <f>IF('ORDENES'!$A102="","",IF('ORDENES'!$V102="","-",'ORDENES'!$V102))</f>
        <v/>
      </c>
      <c r="F124" s="3">
        <f>IF('ORDENES'!$A102="","",IF('ORDENES'!$X102="","-",'ORDENES'!$X102))</f>
        <v/>
      </c>
      <c r="G124" s="3">
        <f>IF('ORDENES'!$A102="","",IF('ORDENES'!$AC102="","-",'ORDENES'!$AC102))</f>
        <v/>
      </c>
      <c r="H124" s="3">
        <f>IF('ORDENES'!$A102="","",IF('ORDENES'!$AO102="","-",'ORDENES'!$AO102))</f>
        <v/>
      </c>
      <c r="I124" s="3">
        <f>IF('ORDENES'!$A102="","",IF('ORDENES'!$D102="","-",'ORDENES'!$D102))</f>
        <v/>
      </c>
      <c r="J124" s="3">
        <f>IF('ORDENES'!$A102="","",IF('ORDENES'!$E102="","-",'ORDENES'!$E102))</f>
        <v/>
      </c>
      <c r="K124" s="12">
        <f>IF('ORDENES'!$A102="","",IF('ORDENES'!$N102="",0,'ORDENES'!$N102))</f>
        <v/>
      </c>
      <c r="L124" s="3">
        <f>IF('ORDENES'!$A102="","",IF('ORDENES'!$O102="","-",'ORDENES'!$O102))</f>
        <v/>
      </c>
      <c r="M124" s="3">
        <f>IF('ORDENES'!$A102="","",'ORDENES'!$AB102)</f>
        <v/>
      </c>
    </row>
    <row r="125">
      <c r="A125" s="3">
        <f>IF('ORDENES'!$A103="","",IF('ORDENES'!$P103="","-",'ORDENES'!$P103))</f>
        <v/>
      </c>
      <c r="B125" s="3">
        <f>IF('ORDENES'!$A103="","",IF('ORDENES'!$S103="","-",'ORDENES'!$S103))</f>
        <v/>
      </c>
      <c r="C125" s="3">
        <f>IF('ORDENES'!$A103="","",IF('ORDENES'!$AD103="","-",'ORDENES'!$AD103))</f>
        <v/>
      </c>
      <c r="D125" s="3">
        <f>IF('ORDENES'!$A103="","",IF('ORDENES'!$W103="","-",'ORDENES'!$W103))</f>
        <v/>
      </c>
      <c r="E125" s="3">
        <f>IF('ORDENES'!$A103="","",IF('ORDENES'!$V103="","-",'ORDENES'!$V103))</f>
        <v/>
      </c>
      <c r="F125" s="3">
        <f>IF('ORDENES'!$A103="","",IF('ORDENES'!$X103="","-",'ORDENES'!$X103))</f>
        <v/>
      </c>
      <c r="G125" s="3">
        <f>IF('ORDENES'!$A103="","",IF('ORDENES'!$AC103="","-",'ORDENES'!$AC103))</f>
        <v/>
      </c>
      <c r="H125" s="3">
        <f>IF('ORDENES'!$A103="","",IF('ORDENES'!$AO103="","-",'ORDENES'!$AO103))</f>
        <v/>
      </c>
      <c r="I125" s="3">
        <f>IF('ORDENES'!$A103="","",IF('ORDENES'!$D103="","-",'ORDENES'!$D103))</f>
        <v/>
      </c>
      <c r="J125" s="3">
        <f>IF('ORDENES'!$A103="","",IF('ORDENES'!$E103="","-",'ORDENES'!$E103))</f>
        <v/>
      </c>
      <c r="K125" s="12">
        <f>IF('ORDENES'!$A103="","",IF('ORDENES'!$N103="",0,'ORDENES'!$N103))</f>
        <v/>
      </c>
      <c r="L125" s="3">
        <f>IF('ORDENES'!$A103="","",IF('ORDENES'!$O103="","-",'ORDENES'!$O103))</f>
        <v/>
      </c>
      <c r="M125" s="3">
        <f>IF('ORDENES'!$A103="","",'ORDENES'!$AB103)</f>
        <v/>
      </c>
    </row>
    <row r="126">
      <c r="A126" s="3">
        <f>IF('ORDENES'!$A104="","",IF('ORDENES'!$P104="","-",'ORDENES'!$P104))</f>
        <v/>
      </c>
      <c r="B126" s="3">
        <f>IF('ORDENES'!$A104="","",IF('ORDENES'!$S104="","-",'ORDENES'!$S104))</f>
        <v/>
      </c>
      <c r="C126" s="3">
        <f>IF('ORDENES'!$A104="","",IF('ORDENES'!$AD104="","-",'ORDENES'!$AD104))</f>
        <v/>
      </c>
      <c r="D126" s="3">
        <f>IF('ORDENES'!$A104="","",IF('ORDENES'!$W104="","-",'ORDENES'!$W104))</f>
        <v/>
      </c>
      <c r="E126" s="3">
        <f>IF('ORDENES'!$A104="","",IF('ORDENES'!$V104="","-",'ORDENES'!$V104))</f>
        <v/>
      </c>
      <c r="F126" s="3">
        <f>IF('ORDENES'!$A104="","",IF('ORDENES'!$X104="","-",'ORDENES'!$X104))</f>
        <v/>
      </c>
      <c r="G126" s="3">
        <f>IF('ORDENES'!$A104="","",IF('ORDENES'!$AC104="","-",'ORDENES'!$AC104))</f>
        <v/>
      </c>
      <c r="H126" s="3">
        <f>IF('ORDENES'!$A104="","",IF('ORDENES'!$AO104="","-",'ORDENES'!$AO104))</f>
        <v/>
      </c>
      <c r="I126" s="3">
        <f>IF('ORDENES'!$A104="","",IF('ORDENES'!$D104="","-",'ORDENES'!$D104))</f>
        <v/>
      </c>
      <c r="J126" s="3">
        <f>IF('ORDENES'!$A104="","",IF('ORDENES'!$E104="","-",'ORDENES'!$E104))</f>
        <v/>
      </c>
      <c r="K126" s="12">
        <f>IF('ORDENES'!$A104="","",IF('ORDENES'!$N104="",0,'ORDENES'!$N104))</f>
        <v/>
      </c>
      <c r="L126" s="3">
        <f>IF('ORDENES'!$A104="","",IF('ORDENES'!$O104="","-",'ORDENES'!$O104))</f>
        <v/>
      </c>
      <c r="M126" s="3">
        <f>IF('ORDENES'!$A104="","",'ORDENES'!$AB104)</f>
        <v/>
      </c>
    </row>
    <row r="127">
      <c r="A127" s="3">
        <f>IF('ORDENES'!$A105="","",IF('ORDENES'!$P105="","-",'ORDENES'!$P105))</f>
        <v/>
      </c>
      <c r="B127" s="3">
        <f>IF('ORDENES'!$A105="","",IF('ORDENES'!$S105="","-",'ORDENES'!$S105))</f>
        <v/>
      </c>
      <c r="C127" s="3">
        <f>IF('ORDENES'!$A105="","",IF('ORDENES'!$AD105="","-",'ORDENES'!$AD105))</f>
        <v/>
      </c>
      <c r="D127" s="3">
        <f>IF('ORDENES'!$A105="","",IF('ORDENES'!$W105="","-",'ORDENES'!$W105))</f>
        <v/>
      </c>
      <c r="E127" s="3">
        <f>IF('ORDENES'!$A105="","",IF('ORDENES'!$V105="","-",'ORDENES'!$V105))</f>
        <v/>
      </c>
      <c r="F127" s="3">
        <f>IF('ORDENES'!$A105="","",IF('ORDENES'!$X105="","-",'ORDENES'!$X105))</f>
        <v/>
      </c>
      <c r="G127" s="3">
        <f>IF('ORDENES'!$A105="","",IF('ORDENES'!$AC105="","-",'ORDENES'!$AC105))</f>
        <v/>
      </c>
      <c r="H127" s="3">
        <f>IF('ORDENES'!$A105="","",IF('ORDENES'!$AO105="","-",'ORDENES'!$AO105))</f>
        <v/>
      </c>
      <c r="I127" s="3">
        <f>IF('ORDENES'!$A105="","",IF('ORDENES'!$D105="","-",'ORDENES'!$D105))</f>
        <v/>
      </c>
      <c r="J127" s="3">
        <f>IF('ORDENES'!$A105="","",IF('ORDENES'!$E105="","-",'ORDENES'!$E105))</f>
        <v/>
      </c>
      <c r="K127" s="12">
        <f>IF('ORDENES'!$A105="","",IF('ORDENES'!$N105="",0,'ORDENES'!$N105))</f>
        <v/>
      </c>
      <c r="L127" s="3">
        <f>IF('ORDENES'!$A105="","",IF('ORDENES'!$O105="","-",'ORDENES'!$O105))</f>
        <v/>
      </c>
      <c r="M127" s="3">
        <f>IF('ORDENES'!$A105="","",'ORDENES'!$AB105)</f>
        <v/>
      </c>
    </row>
    <row r="128">
      <c r="A128" s="3">
        <f>IF('ORDENES'!$A106="","",IF('ORDENES'!$P106="","-",'ORDENES'!$P106))</f>
        <v/>
      </c>
      <c r="B128" s="3">
        <f>IF('ORDENES'!$A106="","",IF('ORDENES'!$S106="","-",'ORDENES'!$S106))</f>
        <v/>
      </c>
      <c r="C128" s="3">
        <f>IF('ORDENES'!$A106="","",IF('ORDENES'!$AD106="","-",'ORDENES'!$AD106))</f>
        <v/>
      </c>
      <c r="D128" s="3">
        <f>IF('ORDENES'!$A106="","",IF('ORDENES'!$W106="","-",'ORDENES'!$W106))</f>
        <v/>
      </c>
      <c r="E128" s="3">
        <f>IF('ORDENES'!$A106="","",IF('ORDENES'!$V106="","-",'ORDENES'!$V106))</f>
        <v/>
      </c>
      <c r="F128" s="3">
        <f>IF('ORDENES'!$A106="","",IF('ORDENES'!$X106="","-",'ORDENES'!$X106))</f>
        <v/>
      </c>
      <c r="G128" s="3">
        <f>IF('ORDENES'!$A106="","",IF('ORDENES'!$AC106="","-",'ORDENES'!$AC106))</f>
        <v/>
      </c>
      <c r="H128" s="3">
        <f>IF('ORDENES'!$A106="","",IF('ORDENES'!$AO106="","-",'ORDENES'!$AO106))</f>
        <v/>
      </c>
      <c r="I128" s="3">
        <f>IF('ORDENES'!$A106="","",IF('ORDENES'!$D106="","-",'ORDENES'!$D106))</f>
        <v/>
      </c>
      <c r="J128" s="3">
        <f>IF('ORDENES'!$A106="","",IF('ORDENES'!$E106="","-",'ORDENES'!$E106))</f>
        <v/>
      </c>
      <c r="K128" s="12">
        <f>IF('ORDENES'!$A106="","",IF('ORDENES'!$N106="",0,'ORDENES'!$N106))</f>
        <v/>
      </c>
      <c r="L128" s="3">
        <f>IF('ORDENES'!$A106="","",IF('ORDENES'!$O106="","-",'ORDENES'!$O106))</f>
        <v/>
      </c>
      <c r="M128" s="3">
        <f>IF('ORDENES'!$A106="","",'ORDENES'!$AB106)</f>
        <v/>
      </c>
    </row>
    <row r="129">
      <c r="A129" s="3">
        <f>IF('ORDENES'!$A107="","",IF('ORDENES'!$P107="","-",'ORDENES'!$P107))</f>
        <v/>
      </c>
      <c r="B129" s="3">
        <f>IF('ORDENES'!$A107="","",IF('ORDENES'!$S107="","-",'ORDENES'!$S107))</f>
        <v/>
      </c>
      <c r="C129" s="3">
        <f>IF('ORDENES'!$A107="","",IF('ORDENES'!$AD107="","-",'ORDENES'!$AD107))</f>
        <v/>
      </c>
      <c r="D129" s="3">
        <f>IF('ORDENES'!$A107="","",IF('ORDENES'!$W107="","-",'ORDENES'!$W107))</f>
        <v/>
      </c>
      <c r="E129" s="3">
        <f>IF('ORDENES'!$A107="","",IF('ORDENES'!$V107="","-",'ORDENES'!$V107))</f>
        <v/>
      </c>
      <c r="F129" s="3">
        <f>IF('ORDENES'!$A107="","",IF('ORDENES'!$X107="","-",'ORDENES'!$X107))</f>
        <v/>
      </c>
      <c r="G129" s="3">
        <f>IF('ORDENES'!$A107="","",IF('ORDENES'!$AC107="","-",'ORDENES'!$AC107))</f>
        <v/>
      </c>
      <c r="H129" s="3">
        <f>IF('ORDENES'!$A107="","",IF('ORDENES'!$AO107="","-",'ORDENES'!$AO107))</f>
        <v/>
      </c>
      <c r="I129" s="3">
        <f>IF('ORDENES'!$A107="","",IF('ORDENES'!$D107="","-",'ORDENES'!$D107))</f>
        <v/>
      </c>
      <c r="J129" s="3">
        <f>IF('ORDENES'!$A107="","",IF('ORDENES'!$E107="","-",'ORDENES'!$E107))</f>
        <v/>
      </c>
      <c r="K129" s="12">
        <f>IF('ORDENES'!$A107="","",IF('ORDENES'!$N107="",0,'ORDENES'!$N107))</f>
        <v/>
      </c>
      <c r="L129" s="3">
        <f>IF('ORDENES'!$A107="","",IF('ORDENES'!$O107="","-",'ORDENES'!$O107))</f>
        <v/>
      </c>
      <c r="M129" s="3">
        <f>IF('ORDENES'!$A107="","",'ORDENES'!$AB107)</f>
        <v/>
      </c>
    </row>
    <row r="130">
      <c r="A130" s="3">
        <f>IF('ORDENES'!$A108="","",IF('ORDENES'!$P108="","-",'ORDENES'!$P108))</f>
        <v/>
      </c>
      <c r="B130" s="3">
        <f>IF('ORDENES'!$A108="","",IF('ORDENES'!$S108="","-",'ORDENES'!$S108))</f>
        <v/>
      </c>
      <c r="C130" s="3">
        <f>IF('ORDENES'!$A108="","",IF('ORDENES'!$AD108="","-",'ORDENES'!$AD108))</f>
        <v/>
      </c>
      <c r="D130" s="3">
        <f>IF('ORDENES'!$A108="","",IF('ORDENES'!$W108="","-",'ORDENES'!$W108))</f>
        <v/>
      </c>
      <c r="E130" s="3">
        <f>IF('ORDENES'!$A108="","",IF('ORDENES'!$V108="","-",'ORDENES'!$V108))</f>
        <v/>
      </c>
      <c r="F130" s="3">
        <f>IF('ORDENES'!$A108="","",IF('ORDENES'!$X108="","-",'ORDENES'!$X108))</f>
        <v/>
      </c>
      <c r="G130" s="3">
        <f>IF('ORDENES'!$A108="","",IF('ORDENES'!$AC108="","-",'ORDENES'!$AC108))</f>
        <v/>
      </c>
      <c r="H130" s="3">
        <f>IF('ORDENES'!$A108="","",IF('ORDENES'!$AO108="","-",'ORDENES'!$AO108))</f>
        <v/>
      </c>
      <c r="I130" s="3">
        <f>IF('ORDENES'!$A108="","",IF('ORDENES'!$D108="","-",'ORDENES'!$D108))</f>
        <v/>
      </c>
      <c r="J130" s="3">
        <f>IF('ORDENES'!$A108="","",IF('ORDENES'!$E108="","-",'ORDENES'!$E108))</f>
        <v/>
      </c>
      <c r="K130" s="12">
        <f>IF('ORDENES'!$A108="","",IF('ORDENES'!$N108="",0,'ORDENES'!$N108))</f>
        <v/>
      </c>
      <c r="L130" s="3">
        <f>IF('ORDENES'!$A108="","",IF('ORDENES'!$O108="","-",'ORDENES'!$O108))</f>
        <v/>
      </c>
      <c r="M130" s="3">
        <f>IF('ORDENES'!$A108="","",'ORDENES'!$AB108)</f>
        <v/>
      </c>
    </row>
    <row r="131">
      <c r="A131" s="3">
        <f>IF('ORDENES'!$A109="","",IF('ORDENES'!$P109="","-",'ORDENES'!$P109))</f>
        <v/>
      </c>
      <c r="B131" s="3">
        <f>IF('ORDENES'!$A109="","",IF('ORDENES'!$S109="","-",'ORDENES'!$S109))</f>
        <v/>
      </c>
      <c r="C131" s="3">
        <f>IF('ORDENES'!$A109="","",IF('ORDENES'!$AD109="","-",'ORDENES'!$AD109))</f>
        <v/>
      </c>
      <c r="D131" s="3">
        <f>IF('ORDENES'!$A109="","",IF('ORDENES'!$W109="","-",'ORDENES'!$W109))</f>
        <v/>
      </c>
      <c r="E131" s="3">
        <f>IF('ORDENES'!$A109="","",IF('ORDENES'!$V109="","-",'ORDENES'!$V109))</f>
        <v/>
      </c>
      <c r="F131" s="3">
        <f>IF('ORDENES'!$A109="","",IF('ORDENES'!$X109="","-",'ORDENES'!$X109))</f>
        <v/>
      </c>
      <c r="G131" s="3">
        <f>IF('ORDENES'!$A109="","",IF('ORDENES'!$AC109="","-",'ORDENES'!$AC109))</f>
        <v/>
      </c>
      <c r="H131" s="3">
        <f>IF('ORDENES'!$A109="","",IF('ORDENES'!$AO109="","-",'ORDENES'!$AO109))</f>
        <v/>
      </c>
      <c r="I131" s="3">
        <f>IF('ORDENES'!$A109="","",IF('ORDENES'!$D109="","-",'ORDENES'!$D109))</f>
        <v/>
      </c>
      <c r="J131" s="3">
        <f>IF('ORDENES'!$A109="","",IF('ORDENES'!$E109="","-",'ORDENES'!$E109))</f>
        <v/>
      </c>
      <c r="K131" s="12">
        <f>IF('ORDENES'!$A109="","",IF('ORDENES'!$N109="",0,'ORDENES'!$N109))</f>
        <v/>
      </c>
      <c r="L131" s="3">
        <f>IF('ORDENES'!$A109="","",IF('ORDENES'!$O109="","-",'ORDENES'!$O109))</f>
        <v/>
      </c>
      <c r="M131" s="3">
        <f>IF('ORDENES'!$A109="","",'ORDENES'!$AB109)</f>
        <v/>
      </c>
    </row>
    <row r="132">
      <c r="A132" s="3">
        <f>IF('ORDENES'!$A110="","",IF('ORDENES'!$P110="","-",'ORDENES'!$P110))</f>
        <v/>
      </c>
      <c r="B132" s="3">
        <f>IF('ORDENES'!$A110="","",IF('ORDENES'!$S110="","-",'ORDENES'!$S110))</f>
        <v/>
      </c>
      <c r="C132" s="3">
        <f>IF('ORDENES'!$A110="","",IF('ORDENES'!$AD110="","-",'ORDENES'!$AD110))</f>
        <v/>
      </c>
      <c r="D132" s="3">
        <f>IF('ORDENES'!$A110="","",IF('ORDENES'!$W110="","-",'ORDENES'!$W110))</f>
        <v/>
      </c>
      <c r="E132" s="3">
        <f>IF('ORDENES'!$A110="","",IF('ORDENES'!$V110="","-",'ORDENES'!$V110))</f>
        <v/>
      </c>
      <c r="F132" s="3">
        <f>IF('ORDENES'!$A110="","",IF('ORDENES'!$X110="","-",'ORDENES'!$X110))</f>
        <v/>
      </c>
      <c r="G132" s="3">
        <f>IF('ORDENES'!$A110="","",IF('ORDENES'!$AC110="","-",'ORDENES'!$AC110))</f>
        <v/>
      </c>
      <c r="H132" s="3">
        <f>IF('ORDENES'!$A110="","",IF('ORDENES'!$AO110="","-",'ORDENES'!$AO110))</f>
        <v/>
      </c>
      <c r="I132" s="3">
        <f>IF('ORDENES'!$A110="","",IF('ORDENES'!$D110="","-",'ORDENES'!$D110))</f>
        <v/>
      </c>
      <c r="J132" s="3">
        <f>IF('ORDENES'!$A110="","",IF('ORDENES'!$E110="","-",'ORDENES'!$E110))</f>
        <v/>
      </c>
      <c r="K132" s="12">
        <f>IF('ORDENES'!$A110="","",IF('ORDENES'!$N110="",0,'ORDENES'!$N110))</f>
        <v/>
      </c>
      <c r="L132" s="3">
        <f>IF('ORDENES'!$A110="","",IF('ORDENES'!$O110="","-",'ORDENES'!$O110))</f>
        <v/>
      </c>
      <c r="M132" s="3">
        <f>IF('ORDENES'!$A110="","",'ORDENES'!$AB110)</f>
        <v/>
      </c>
    </row>
    <row r="133">
      <c r="A133" s="3">
        <f>IF('ORDENES'!$A111="","",IF('ORDENES'!$P111="","-",'ORDENES'!$P111))</f>
        <v/>
      </c>
      <c r="B133" s="3">
        <f>IF('ORDENES'!$A111="","",IF('ORDENES'!$S111="","-",'ORDENES'!$S111))</f>
        <v/>
      </c>
      <c r="C133" s="3">
        <f>IF('ORDENES'!$A111="","",IF('ORDENES'!$AD111="","-",'ORDENES'!$AD111))</f>
        <v/>
      </c>
      <c r="D133" s="3">
        <f>IF('ORDENES'!$A111="","",IF('ORDENES'!$W111="","-",'ORDENES'!$W111))</f>
        <v/>
      </c>
      <c r="E133" s="3">
        <f>IF('ORDENES'!$A111="","",IF('ORDENES'!$V111="","-",'ORDENES'!$V111))</f>
        <v/>
      </c>
      <c r="F133" s="3">
        <f>IF('ORDENES'!$A111="","",IF('ORDENES'!$X111="","-",'ORDENES'!$X111))</f>
        <v/>
      </c>
      <c r="G133" s="3">
        <f>IF('ORDENES'!$A111="","",IF('ORDENES'!$AC111="","-",'ORDENES'!$AC111))</f>
        <v/>
      </c>
      <c r="H133" s="3">
        <f>IF('ORDENES'!$A111="","",IF('ORDENES'!$AO111="","-",'ORDENES'!$AO111))</f>
        <v/>
      </c>
      <c r="I133" s="3">
        <f>IF('ORDENES'!$A111="","",IF('ORDENES'!$D111="","-",'ORDENES'!$D111))</f>
        <v/>
      </c>
      <c r="J133" s="3">
        <f>IF('ORDENES'!$A111="","",IF('ORDENES'!$E111="","-",'ORDENES'!$E111))</f>
        <v/>
      </c>
      <c r="K133" s="12">
        <f>IF('ORDENES'!$A111="","",IF('ORDENES'!$N111="",0,'ORDENES'!$N111))</f>
        <v/>
      </c>
      <c r="L133" s="3">
        <f>IF('ORDENES'!$A111="","",IF('ORDENES'!$O111="","-",'ORDENES'!$O111))</f>
        <v/>
      </c>
      <c r="M133" s="3">
        <f>IF('ORDENES'!$A111="","",'ORDENES'!$AB111)</f>
        <v/>
      </c>
    </row>
    <row r="134">
      <c r="A134" s="3">
        <f>IF('ORDENES'!$A112="","",IF('ORDENES'!$P112="","-",'ORDENES'!$P112))</f>
        <v/>
      </c>
      <c r="B134" s="3">
        <f>IF('ORDENES'!$A112="","",IF('ORDENES'!$S112="","-",'ORDENES'!$S112))</f>
        <v/>
      </c>
      <c r="C134" s="3">
        <f>IF('ORDENES'!$A112="","",IF('ORDENES'!$AD112="","-",'ORDENES'!$AD112))</f>
        <v/>
      </c>
      <c r="D134" s="3">
        <f>IF('ORDENES'!$A112="","",IF('ORDENES'!$W112="","-",'ORDENES'!$W112))</f>
        <v/>
      </c>
      <c r="E134" s="3">
        <f>IF('ORDENES'!$A112="","",IF('ORDENES'!$V112="","-",'ORDENES'!$V112))</f>
        <v/>
      </c>
      <c r="F134" s="3">
        <f>IF('ORDENES'!$A112="","",IF('ORDENES'!$X112="","-",'ORDENES'!$X112))</f>
        <v/>
      </c>
      <c r="G134" s="3">
        <f>IF('ORDENES'!$A112="","",IF('ORDENES'!$AC112="","-",'ORDENES'!$AC112))</f>
        <v/>
      </c>
      <c r="H134" s="3">
        <f>IF('ORDENES'!$A112="","",IF('ORDENES'!$AO112="","-",'ORDENES'!$AO112))</f>
        <v/>
      </c>
      <c r="I134" s="3">
        <f>IF('ORDENES'!$A112="","",IF('ORDENES'!$D112="","-",'ORDENES'!$D112))</f>
        <v/>
      </c>
      <c r="J134" s="3">
        <f>IF('ORDENES'!$A112="","",IF('ORDENES'!$E112="","-",'ORDENES'!$E112))</f>
        <v/>
      </c>
      <c r="K134" s="12">
        <f>IF('ORDENES'!$A112="","",IF('ORDENES'!$N112="",0,'ORDENES'!$N112))</f>
        <v/>
      </c>
      <c r="L134" s="3">
        <f>IF('ORDENES'!$A112="","",IF('ORDENES'!$O112="","-",'ORDENES'!$O112))</f>
        <v/>
      </c>
      <c r="M134" s="3">
        <f>IF('ORDENES'!$A112="","",'ORDENES'!$AB112)</f>
        <v/>
      </c>
    </row>
    <row r="135">
      <c r="A135" s="3">
        <f>IF('ORDENES'!$A113="","",IF('ORDENES'!$P113="","-",'ORDENES'!$P113))</f>
        <v/>
      </c>
      <c r="B135" s="3">
        <f>IF('ORDENES'!$A113="","",IF('ORDENES'!$S113="","-",'ORDENES'!$S113))</f>
        <v/>
      </c>
      <c r="C135" s="3">
        <f>IF('ORDENES'!$A113="","",IF('ORDENES'!$AD113="","-",'ORDENES'!$AD113))</f>
        <v/>
      </c>
      <c r="D135" s="3">
        <f>IF('ORDENES'!$A113="","",IF('ORDENES'!$W113="","-",'ORDENES'!$W113))</f>
        <v/>
      </c>
      <c r="E135" s="3">
        <f>IF('ORDENES'!$A113="","",IF('ORDENES'!$V113="","-",'ORDENES'!$V113))</f>
        <v/>
      </c>
      <c r="F135" s="3">
        <f>IF('ORDENES'!$A113="","",IF('ORDENES'!$X113="","-",'ORDENES'!$X113))</f>
        <v/>
      </c>
      <c r="G135" s="3">
        <f>IF('ORDENES'!$A113="","",IF('ORDENES'!$AC113="","-",'ORDENES'!$AC113))</f>
        <v/>
      </c>
      <c r="H135" s="3">
        <f>IF('ORDENES'!$A113="","",IF('ORDENES'!$AO113="","-",'ORDENES'!$AO113))</f>
        <v/>
      </c>
      <c r="I135" s="3">
        <f>IF('ORDENES'!$A113="","",IF('ORDENES'!$D113="","-",'ORDENES'!$D113))</f>
        <v/>
      </c>
      <c r="J135" s="3">
        <f>IF('ORDENES'!$A113="","",IF('ORDENES'!$E113="","-",'ORDENES'!$E113))</f>
        <v/>
      </c>
      <c r="K135" s="12">
        <f>IF('ORDENES'!$A113="","",IF('ORDENES'!$N113="",0,'ORDENES'!$N113))</f>
        <v/>
      </c>
      <c r="L135" s="3">
        <f>IF('ORDENES'!$A113="","",IF('ORDENES'!$O113="","-",'ORDENES'!$O113))</f>
        <v/>
      </c>
      <c r="M135" s="3">
        <f>IF('ORDENES'!$A113="","",'ORDENES'!$AB113)</f>
        <v/>
      </c>
    </row>
    <row r="136">
      <c r="A136" s="3">
        <f>IF('ORDENES'!$A114="","",IF('ORDENES'!$P114="","-",'ORDENES'!$P114))</f>
        <v/>
      </c>
      <c r="B136" s="3">
        <f>IF('ORDENES'!$A114="","",IF('ORDENES'!$S114="","-",'ORDENES'!$S114))</f>
        <v/>
      </c>
      <c r="C136" s="3">
        <f>IF('ORDENES'!$A114="","",IF('ORDENES'!$AD114="","-",'ORDENES'!$AD114))</f>
        <v/>
      </c>
      <c r="D136" s="3">
        <f>IF('ORDENES'!$A114="","",IF('ORDENES'!$W114="","-",'ORDENES'!$W114))</f>
        <v/>
      </c>
      <c r="E136" s="3">
        <f>IF('ORDENES'!$A114="","",IF('ORDENES'!$V114="","-",'ORDENES'!$V114))</f>
        <v/>
      </c>
      <c r="F136" s="3">
        <f>IF('ORDENES'!$A114="","",IF('ORDENES'!$X114="","-",'ORDENES'!$X114))</f>
        <v/>
      </c>
      <c r="G136" s="3">
        <f>IF('ORDENES'!$A114="","",IF('ORDENES'!$AC114="","-",'ORDENES'!$AC114))</f>
        <v/>
      </c>
      <c r="H136" s="3">
        <f>IF('ORDENES'!$A114="","",IF('ORDENES'!$AO114="","-",'ORDENES'!$AO114))</f>
        <v/>
      </c>
      <c r="I136" s="3">
        <f>IF('ORDENES'!$A114="","",IF('ORDENES'!$D114="","-",'ORDENES'!$D114))</f>
        <v/>
      </c>
      <c r="J136" s="3">
        <f>IF('ORDENES'!$A114="","",IF('ORDENES'!$E114="","-",'ORDENES'!$E114))</f>
        <v/>
      </c>
      <c r="K136" s="12">
        <f>IF('ORDENES'!$A114="","",IF('ORDENES'!$N114="",0,'ORDENES'!$N114))</f>
        <v/>
      </c>
      <c r="L136" s="3">
        <f>IF('ORDENES'!$A114="","",IF('ORDENES'!$O114="","-",'ORDENES'!$O114))</f>
        <v/>
      </c>
      <c r="M136" s="3">
        <f>IF('ORDENES'!$A114="","",'ORDENES'!$AB114)</f>
        <v/>
      </c>
    </row>
    <row r="137">
      <c r="A137" s="3">
        <f>IF('ORDENES'!$A115="","",IF('ORDENES'!$P115="","-",'ORDENES'!$P115))</f>
        <v/>
      </c>
      <c r="B137" s="3">
        <f>IF('ORDENES'!$A115="","",IF('ORDENES'!$S115="","-",'ORDENES'!$S115))</f>
        <v/>
      </c>
      <c r="C137" s="3">
        <f>IF('ORDENES'!$A115="","",IF('ORDENES'!$AD115="","-",'ORDENES'!$AD115))</f>
        <v/>
      </c>
      <c r="D137" s="3">
        <f>IF('ORDENES'!$A115="","",IF('ORDENES'!$W115="","-",'ORDENES'!$W115))</f>
        <v/>
      </c>
      <c r="E137" s="3">
        <f>IF('ORDENES'!$A115="","",IF('ORDENES'!$V115="","-",'ORDENES'!$V115))</f>
        <v/>
      </c>
      <c r="F137" s="3">
        <f>IF('ORDENES'!$A115="","",IF('ORDENES'!$X115="","-",'ORDENES'!$X115))</f>
        <v/>
      </c>
      <c r="G137" s="3">
        <f>IF('ORDENES'!$A115="","",IF('ORDENES'!$AC115="","-",'ORDENES'!$AC115))</f>
        <v/>
      </c>
      <c r="H137" s="3">
        <f>IF('ORDENES'!$A115="","",IF('ORDENES'!$AO115="","-",'ORDENES'!$AO115))</f>
        <v/>
      </c>
      <c r="I137" s="3">
        <f>IF('ORDENES'!$A115="","",IF('ORDENES'!$D115="","-",'ORDENES'!$D115))</f>
        <v/>
      </c>
      <c r="J137" s="3">
        <f>IF('ORDENES'!$A115="","",IF('ORDENES'!$E115="","-",'ORDENES'!$E115))</f>
        <v/>
      </c>
      <c r="K137" s="12">
        <f>IF('ORDENES'!$A115="","",IF('ORDENES'!$N115="",0,'ORDENES'!$N115))</f>
        <v/>
      </c>
      <c r="L137" s="3">
        <f>IF('ORDENES'!$A115="","",IF('ORDENES'!$O115="","-",'ORDENES'!$O115))</f>
        <v/>
      </c>
      <c r="M137" s="3">
        <f>IF('ORDENES'!$A115="","",'ORDENES'!$AB115)</f>
        <v/>
      </c>
    </row>
    <row r="138">
      <c r="A138" s="3">
        <f>IF('ORDENES'!$A116="","",IF('ORDENES'!$P116="","-",'ORDENES'!$P116))</f>
        <v/>
      </c>
      <c r="B138" s="3">
        <f>IF('ORDENES'!$A116="","",IF('ORDENES'!$S116="","-",'ORDENES'!$S116))</f>
        <v/>
      </c>
      <c r="C138" s="3">
        <f>IF('ORDENES'!$A116="","",IF('ORDENES'!$AD116="","-",'ORDENES'!$AD116))</f>
        <v/>
      </c>
      <c r="D138" s="3">
        <f>IF('ORDENES'!$A116="","",IF('ORDENES'!$W116="","-",'ORDENES'!$W116))</f>
        <v/>
      </c>
      <c r="E138" s="3">
        <f>IF('ORDENES'!$A116="","",IF('ORDENES'!$V116="","-",'ORDENES'!$V116))</f>
        <v/>
      </c>
      <c r="F138" s="3">
        <f>IF('ORDENES'!$A116="","",IF('ORDENES'!$X116="","-",'ORDENES'!$X116))</f>
        <v/>
      </c>
      <c r="G138" s="3">
        <f>IF('ORDENES'!$A116="","",IF('ORDENES'!$AC116="","-",'ORDENES'!$AC116))</f>
        <v/>
      </c>
      <c r="H138" s="3">
        <f>IF('ORDENES'!$A116="","",IF('ORDENES'!$AO116="","-",'ORDENES'!$AO116))</f>
        <v/>
      </c>
      <c r="I138" s="3">
        <f>IF('ORDENES'!$A116="","",IF('ORDENES'!$D116="","-",'ORDENES'!$D116))</f>
        <v/>
      </c>
      <c r="J138" s="3">
        <f>IF('ORDENES'!$A116="","",IF('ORDENES'!$E116="","-",'ORDENES'!$E116))</f>
        <v/>
      </c>
      <c r="K138" s="12">
        <f>IF('ORDENES'!$A116="","",IF('ORDENES'!$N116="",0,'ORDENES'!$N116))</f>
        <v/>
      </c>
      <c r="L138" s="3">
        <f>IF('ORDENES'!$A116="","",IF('ORDENES'!$O116="","-",'ORDENES'!$O116))</f>
        <v/>
      </c>
      <c r="M138" s="3">
        <f>IF('ORDENES'!$A116="","",'ORDENES'!$AB116)</f>
        <v/>
      </c>
    </row>
    <row r="139">
      <c r="A139" s="3">
        <f>IF('ORDENES'!$A117="","",IF('ORDENES'!$P117="","-",'ORDENES'!$P117))</f>
        <v/>
      </c>
      <c r="B139" s="3">
        <f>IF('ORDENES'!$A117="","",IF('ORDENES'!$S117="","-",'ORDENES'!$S117))</f>
        <v/>
      </c>
      <c r="C139" s="3">
        <f>IF('ORDENES'!$A117="","",IF('ORDENES'!$AD117="","-",'ORDENES'!$AD117))</f>
        <v/>
      </c>
      <c r="D139" s="3">
        <f>IF('ORDENES'!$A117="","",IF('ORDENES'!$W117="","-",'ORDENES'!$W117))</f>
        <v/>
      </c>
      <c r="E139" s="3">
        <f>IF('ORDENES'!$A117="","",IF('ORDENES'!$V117="","-",'ORDENES'!$V117))</f>
        <v/>
      </c>
      <c r="F139" s="3">
        <f>IF('ORDENES'!$A117="","",IF('ORDENES'!$X117="","-",'ORDENES'!$X117))</f>
        <v/>
      </c>
      <c r="G139" s="3">
        <f>IF('ORDENES'!$A117="","",IF('ORDENES'!$AC117="","-",'ORDENES'!$AC117))</f>
        <v/>
      </c>
      <c r="H139" s="3">
        <f>IF('ORDENES'!$A117="","",IF('ORDENES'!$AO117="","-",'ORDENES'!$AO117))</f>
        <v/>
      </c>
      <c r="I139" s="3">
        <f>IF('ORDENES'!$A117="","",IF('ORDENES'!$D117="","-",'ORDENES'!$D117))</f>
        <v/>
      </c>
      <c r="J139" s="3">
        <f>IF('ORDENES'!$A117="","",IF('ORDENES'!$E117="","-",'ORDENES'!$E117))</f>
        <v/>
      </c>
      <c r="K139" s="12">
        <f>IF('ORDENES'!$A117="","",IF('ORDENES'!$N117="",0,'ORDENES'!$N117))</f>
        <v/>
      </c>
      <c r="L139" s="3">
        <f>IF('ORDENES'!$A117="","",IF('ORDENES'!$O117="","-",'ORDENES'!$O117))</f>
        <v/>
      </c>
      <c r="M139" s="3">
        <f>IF('ORDENES'!$A117="","",'ORDENES'!$AB117)</f>
        <v/>
      </c>
    </row>
    <row r="140">
      <c r="A140" s="3">
        <f>IF('ORDENES'!$A118="","",IF('ORDENES'!$P118="","-",'ORDENES'!$P118))</f>
        <v/>
      </c>
      <c r="B140" s="3">
        <f>IF('ORDENES'!$A118="","",IF('ORDENES'!$S118="","-",'ORDENES'!$S118))</f>
        <v/>
      </c>
      <c r="C140" s="3">
        <f>IF('ORDENES'!$A118="","",IF('ORDENES'!$AD118="","-",'ORDENES'!$AD118))</f>
        <v/>
      </c>
      <c r="D140" s="3">
        <f>IF('ORDENES'!$A118="","",IF('ORDENES'!$W118="","-",'ORDENES'!$W118))</f>
        <v/>
      </c>
      <c r="E140" s="3">
        <f>IF('ORDENES'!$A118="","",IF('ORDENES'!$V118="","-",'ORDENES'!$V118))</f>
        <v/>
      </c>
      <c r="F140" s="3">
        <f>IF('ORDENES'!$A118="","",IF('ORDENES'!$X118="","-",'ORDENES'!$X118))</f>
        <v/>
      </c>
      <c r="G140" s="3">
        <f>IF('ORDENES'!$A118="","",IF('ORDENES'!$AC118="","-",'ORDENES'!$AC118))</f>
        <v/>
      </c>
      <c r="H140" s="3">
        <f>IF('ORDENES'!$A118="","",IF('ORDENES'!$AO118="","-",'ORDENES'!$AO118))</f>
        <v/>
      </c>
      <c r="I140" s="3">
        <f>IF('ORDENES'!$A118="","",IF('ORDENES'!$D118="","-",'ORDENES'!$D118))</f>
        <v/>
      </c>
      <c r="J140" s="3">
        <f>IF('ORDENES'!$A118="","",IF('ORDENES'!$E118="","-",'ORDENES'!$E118))</f>
        <v/>
      </c>
      <c r="K140" s="12">
        <f>IF('ORDENES'!$A118="","",IF('ORDENES'!$N118="",0,'ORDENES'!$N118))</f>
        <v/>
      </c>
      <c r="L140" s="3">
        <f>IF('ORDENES'!$A118="","",IF('ORDENES'!$O118="","-",'ORDENES'!$O118))</f>
        <v/>
      </c>
      <c r="M140" s="3">
        <f>IF('ORDENES'!$A118="","",'ORDENES'!$AB118)</f>
        <v/>
      </c>
    </row>
    <row r="141">
      <c r="A141" s="3">
        <f>IF('ORDENES'!$A119="","",IF('ORDENES'!$P119="","-",'ORDENES'!$P119))</f>
        <v/>
      </c>
      <c r="B141" s="3">
        <f>IF('ORDENES'!$A119="","",IF('ORDENES'!$S119="","-",'ORDENES'!$S119))</f>
        <v/>
      </c>
      <c r="C141" s="3">
        <f>IF('ORDENES'!$A119="","",IF('ORDENES'!$AD119="","-",'ORDENES'!$AD119))</f>
        <v/>
      </c>
      <c r="D141" s="3">
        <f>IF('ORDENES'!$A119="","",IF('ORDENES'!$W119="","-",'ORDENES'!$W119))</f>
        <v/>
      </c>
      <c r="E141" s="3">
        <f>IF('ORDENES'!$A119="","",IF('ORDENES'!$V119="","-",'ORDENES'!$V119))</f>
        <v/>
      </c>
      <c r="F141" s="3">
        <f>IF('ORDENES'!$A119="","",IF('ORDENES'!$X119="","-",'ORDENES'!$X119))</f>
        <v/>
      </c>
      <c r="G141" s="3">
        <f>IF('ORDENES'!$A119="","",IF('ORDENES'!$AC119="","-",'ORDENES'!$AC119))</f>
        <v/>
      </c>
      <c r="H141" s="3">
        <f>IF('ORDENES'!$A119="","",IF('ORDENES'!$AO119="","-",'ORDENES'!$AO119))</f>
        <v/>
      </c>
      <c r="I141" s="3">
        <f>IF('ORDENES'!$A119="","",IF('ORDENES'!$D119="","-",'ORDENES'!$D119))</f>
        <v/>
      </c>
      <c r="J141" s="3">
        <f>IF('ORDENES'!$A119="","",IF('ORDENES'!$E119="","-",'ORDENES'!$E119))</f>
        <v/>
      </c>
      <c r="K141" s="12">
        <f>IF('ORDENES'!$A119="","",IF('ORDENES'!$N119="",0,'ORDENES'!$N119))</f>
        <v/>
      </c>
      <c r="L141" s="3">
        <f>IF('ORDENES'!$A119="","",IF('ORDENES'!$O119="","-",'ORDENES'!$O119))</f>
        <v/>
      </c>
      <c r="M141" s="3">
        <f>IF('ORDENES'!$A119="","",'ORDENES'!$AB119)</f>
        <v/>
      </c>
    </row>
    <row r="142">
      <c r="A142" s="3">
        <f>IF('ORDENES'!$A120="","",IF('ORDENES'!$P120="","-",'ORDENES'!$P120))</f>
        <v/>
      </c>
      <c r="B142" s="3">
        <f>IF('ORDENES'!$A120="","",IF('ORDENES'!$S120="","-",'ORDENES'!$S120))</f>
        <v/>
      </c>
      <c r="C142" s="3">
        <f>IF('ORDENES'!$A120="","",IF('ORDENES'!$AD120="","-",'ORDENES'!$AD120))</f>
        <v/>
      </c>
      <c r="D142" s="3">
        <f>IF('ORDENES'!$A120="","",IF('ORDENES'!$W120="","-",'ORDENES'!$W120))</f>
        <v/>
      </c>
      <c r="E142" s="3">
        <f>IF('ORDENES'!$A120="","",IF('ORDENES'!$V120="","-",'ORDENES'!$V120))</f>
        <v/>
      </c>
      <c r="F142" s="3">
        <f>IF('ORDENES'!$A120="","",IF('ORDENES'!$X120="","-",'ORDENES'!$X120))</f>
        <v/>
      </c>
      <c r="G142" s="3">
        <f>IF('ORDENES'!$A120="","",IF('ORDENES'!$AC120="","-",'ORDENES'!$AC120))</f>
        <v/>
      </c>
      <c r="H142" s="3">
        <f>IF('ORDENES'!$A120="","",IF('ORDENES'!$AO120="","-",'ORDENES'!$AO120))</f>
        <v/>
      </c>
      <c r="I142" s="3">
        <f>IF('ORDENES'!$A120="","",IF('ORDENES'!$D120="","-",'ORDENES'!$D120))</f>
        <v/>
      </c>
      <c r="J142" s="3">
        <f>IF('ORDENES'!$A120="","",IF('ORDENES'!$E120="","-",'ORDENES'!$E120))</f>
        <v/>
      </c>
      <c r="K142" s="12">
        <f>IF('ORDENES'!$A120="","",IF('ORDENES'!$N120="",0,'ORDENES'!$N120))</f>
        <v/>
      </c>
      <c r="L142" s="3">
        <f>IF('ORDENES'!$A120="","",IF('ORDENES'!$O120="","-",'ORDENES'!$O120))</f>
        <v/>
      </c>
      <c r="M142" s="3">
        <f>IF('ORDENES'!$A120="","",'ORDENES'!$AB120)</f>
        <v/>
      </c>
    </row>
    <row r="143">
      <c r="A143" s="3">
        <f>IF('ORDENES'!$A121="","",IF('ORDENES'!$P121="","-",'ORDENES'!$P121))</f>
        <v/>
      </c>
      <c r="B143" s="3">
        <f>IF('ORDENES'!$A121="","",IF('ORDENES'!$S121="","-",'ORDENES'!$S121))</f>
        <v/>
      </c>
      <c r="C143" s="3">
        <f>IF('ORDENES'!$A121="","",IF('ORDENES'!$AD121="","-",'ORDENES'!$AD121))</f>
        <v/>
      </c>
      <c r="D143" s="3">
        <f>IF('ORDENES'!$A121="","",IF('ORDENES'!$W121="","-",'ORDENES'!$W121))</f>
        <v/>
      </c>
      <c r="E143" s="3">
        <f>IF('ORDENES'!$A121="","",IF('ORDENES'!$V121="","-",'ORDENES'!$V121))</f>
        <v/>
      </c>
      <c r="F143" s="3">
        <f>IF('ORDENES'!$A121="","",IF('ORDENES'!$X121="","-",'ORDENES'!$X121))</f>
        <v/>
      </c>
      <c r="G143" s="3">
        <f>IF('ORDENES'!$A121="","",IF('ORDENES'!$AC121="","-",'ORDENES'!$AC121))</f>
        <v/>
      </c>
      <c r="H143" s="3">
        <f>IF('ORDENES'!$A121="","",IF('ORDENES'!$AO121="","-",'ORDENES'!$AO121))</f>
        <v/>
      </c>
      <c r="I143" s="3">
        <f>IF('ORDENES'!$A121="","",IF('ORDENES'!$D121="","-",'ORDENES'!$D121))</f>
        <v/>
      </c>
      <c r="J143" s="3">
        <f>IF('ORDENES'!$A121="","",IF('ORDENES'!$E121="","-",'ORDENES'!$E121))</f>
        <v/>
      </c>
      <c r="K143" s="12">
        <f>IF('ORDENES'!$A121="","",IF('ORDENES'!$N121="",0,'ORDENES'!$N121))</f>
        <v/>
      </c>
      <c r="L143" s="3">
        <f>IF('ORDENES'!$A121="","",IF('ORDENES'!$O121="","-",'ORDENES'!$O121))</f>
        <v/>
      </c>
      <c r="M143" s="3">
        <f>IF('ORDENES'!$A121="","",'ORDENES'!$AB121)</f>
        <v/>
      </c>
    </row>
    <row r="144">
      <c r="A144" s="3">
        <f>IF('ORDENES'!$A122="","",IF('ORDENES'!$P122="","-",'ORDENES'!$P122))</f>
        <v/>
      </c>
      <c r="B144" s="3">
        <f>IF('ORDENES'!$A122="","",IF('ORDENES'!$S122="","-",'ORDENES'!$S122))</f>
        <v/>
      </c>
      <c r="C144" s="3">
        <f>IF('ORDENES'!$A122="","",IF('ORDENES'!$AD122="","-",'ORDENES'!$AD122))</f>
        <v/>
      </c>
      <c r="D144" s="3">
        <f>IF('ORDENES'!$A122="","",IF('ORDENES'!$W122="","-",'ORDENES'!$W122))</f>
        <v/>
      </c>
      <c r="E144" s="3">
        <f>IF('ORDENES'!$A122="","",IF('ORDENES'!$V122="","-",'ORDENES'!$V122))</f>
        <v/>
      </c>
      <c r="F144" s="3">
        <f>IF('ORDENES'!$A122="","",IF('ORDENES'!$X122="","-",'ORDENES'!$X122))</f>
        <v/>
      </c>
      <c r="G144" s="3">
        <f>IF('ORDENES'!$A122="","",IF('ORDENES'!$AC122="","-",'ORDENES'!$AC122))</f>
        <v/>
      </c>
      <c r="H144" s="3">
        <f>IF('ORDENES'!$A122="","",IF('ORDENES'!$AO122="","-",'ORDENES'!$AO122))</f>
        <v/>
      </c>
      <c r="I144" s="3">
        <f>IF('ORDENES'!$A122="","",IF('ORDENES'!$D122="","-",'ORDENES'!$D122))</f>
        <v/>
      </c>
      <c r="J144" s="3">
        <f>IF('ORDENES'!$A122="","",IF('ORDENES'!$E122="","-",'ORDENES'!$E122))</f>
        <v/>
      </c>
      <c r="K144" s="12">
        <f>IF('ORDENES'!$A122="","",IF('ORDENES'!$N122="",0,'ORDENES'!$N122))</f>
        <v/>
      </c>
      <c r="L144" s="3">
        <f>IF('ORDENES'!$A122="","",IF('ORDENES'!$O122="","-",'ORDENES'!$O122))</f>
        <v/>
      </c>
      <c r="M144" s="3">
        <f>IF('ORDENES'!$A122="","",'ORDENES'!$AB122)</f>
        <v/>
      </c>
    </row>
    <row r="145">
      <c r="A145" s="3">
        <f>IF('ORDENES'!$A123="","",IF('ORDENES'!$P123="","-",'ORDENES'!$P123))</f>
        <v/>
      </c>
      <c r="B145" s="3">
        <f>IF('ORDENES'!$A123="","",IF('ORDENES'!$S123="","-",'ORDENES'!$S123))</f>
        <v/>
      </c>
      <c r="C145" s="3">
        <f>IF('ORDENES'!$A123="","",IF('ORDENES'!$AD123="","-",'ORDENES'!$AD123))</f>
        <v/>
      </c>
      <c r="D145" s="3">
        <f>IF('ORDENES'!$A123="","",IF('ORDENES'!$W123="","-",'ORDENES'!$W123))</f>
        <v/>
      </c>
      <c r="E145" s="3">
        <f>IF('ORDENES'!$A123="","",IF('ORDENES'!$V123="","-",'ORDENES'!$V123))</f>
        <v/>
      </c>
      <c r="F145" s="3">
        <f>IF('ORDENES'!$A123="","",IF('ORDENES'!$X123="","-",'ORDENES'!$X123))</f>
        <v/>
      </c>
      <c r="G145" s="3">
        <f>IF('ORDENES'!$A123="","",IF('ORDENES'!$AC123="","-",'ORDENES'!$AC123))</f>
        <v/>
      </c>
      <c r="H145" s="3">
        <f>IF('ORDENES'!$A123="","",IF('ORDENES'!$AO123="","-",'ORDENES'!$AO123))</f>
        <v/>
      </c>
      <c r="I145" s="3">
        <f>IF('ORDENES'!$A123="","",IF('ORDENES'!$D123="","-",'ORDENES'!$D123))</f>
        <v/>
      </c>
      <c r="J145" s="3">
        <f>IF('ORDENES'!$A123="","",IF('ORDENES'!$E123="","-",'ORDENES'!$E123))</f>
        <v/>
      </c>
      <c r="K145" s="12">
        <f>IF('ORDENES'!$A123="","",IF('ORDENES'!$N123="",0,'ORDENES'!$N123))</f>
        <v/>
      </c>
      <c r="L145" s="3">
        <f>IF('ORDENES'!$A123="","",IF('ORDENES'!$O123="","-",'ORDENES'!$O123))</f>
        <v/>
      </c>
      <c r="M145" s="3">
        <f>IF('ORDENES'!$A123="","",'ORDENES'!$AB123)</f>
        <v/>
      </c>
    </row>
    <row r="146">
      <c r="A146" s="3">
        <f>IF('ORDENES'!$A124="","",IF('ORDENES'!$P124="","-",'ORDENES'!$P124))</f>
        <v/>
      </c>
      <c r="B146" s="3">
        <f>IF('ORDENES'!$A124="","",IF('ORDENES'!$S124="","-",'ORDENES'!$S124))</f>
        <v/>
      </c>
      <c r="C146" s="3">
        <f>IF('ORDENES'!$A124="","",IF('ORDENES'!$AD124="","-",'ORDENES'!$AD124))</f>
        <v/>
      </c>
      <c r="D146" s="3">
        <f>IF('ORDENES'!$A124="","",IF('ORDENES'!$W124="","-",'ORDENES'!$W124))</f>
        <v/>
      </c>
      <c r="E146" s="3">
        <f>IF('ORDENES'!$A124="","",IF('ORDENES'!$V124="","-",'ORDENES'!$V124))</f>
        <v/>
      </c>
      <c r="F146" s="3">
        <f>IF('ORDENES'!$A124="","",IF('ORDENES'!$X124="","-",'ORDENES'!$X124))</f>
        <v/>
      </c>
      <c r="G146" s="3">
        <f>IF('ORDENES'!$A124="","",IF('ORDENES'!$AC124="","-",'ORDENES'!$AC124))</f>
        <v/>
      </c>
      <c r="H146" s="3">
        <f>IF('ORDENES'!$A124="","",IF('ORDENES'!$AO124="","-",'ORDENES'!$AO124))</f>
        <v/>
      </c>
      <c r="I146" s="3">
        <f>IF('ORDENES'!$A124="","",IF('ORDENES'!$D124="","-",'ORDENES'!$D124))</f>
        <v/>
      </c>
      <c r="J146" s="3">
        <f>IF('ORDENES'!$A124="","",IF('ORDENES'!$E124="","-",'ORDENES'!$E124))</f>
        <v/>
      </c>
      <c r="K146" s="12">
        <f>IF('ORDENES'!$A124="","",IF('ORDENES'!$N124="",0,'ORDENES'!$N124))</f>
        <v/>
      </c>
      <c r="L146" s="3">
        <f>IF('ORDENES'!$A124="","",IF('ORDENES'!$O124="","-",'ORDENES'!$O124))</f>
        <v/>
      </c>
      <c r="M146" s="3">
        <f>IF('ORDENES'!$A124="","",'ORDENES'!$AB124)</f>
        <v/>
      </c>
    </row>
    <row r="147">
      <c r="A147" s="3">
        <f>IF('ORDENES'!$A125="","",IF('ORDENES'!$P125="","-",'ORDENES'!$P125))</f>
        <v/>
      </c>
      <c r="B147" s="3">
        <f>IF('ORDENES'!$A125="","",IF('ORDENES'!$S125="","-",'ORDENES'!$S125))</f>
        <v/>
      </c>
      <c r="C147" s="3">
        <f>IF('ORDENES'!$A125="","",IF('ORDENES'!$AD125="","-",'ORDENES'!$AD125))</f>
        <v/>
      </c>
      <c r="D147" s="3">
        <f>IF('ORDENES'!$A125="","",IF('ORDENES'!$W125="","-",'ORDENES'!$W125))</f>
        <v/>
      </c>
      <c r="E147" s="3">
        <f>IF('ORDENES'!$A125="","",IF('ORDENES'!$V125="","-",'ORDENES'!$V125))</f>
        <v/>
      </c>
      <c r="F147" s="3">
        <f>IF('ORDENES'!$A125="","",IF('ORDENES'!$X125="","-",'ORDENES'!$X125))</f>
        <v/>
      </c>
      <c r="G147" s="3">
        <f>IF('ORDENES'!$A125="","",IF('ORDENES'!$AC125="","-",'ORDENES'!$AC125))</f>
        <v/>
      </c>
      <c r="H147" s="3">
        <f>IF('ORDENES'!$A125="","",IF('ORDENES'!$AO125="","-",'ORDENES'!$AO125))</f>
        <v/>
      </c>
      <c r="I147" s="3">
        <f>IF('ORDENES'!$A125="","",IF('ORDENES'!$D125="","-",'ORDENES'!$D125))</f>
        <v/>
      </c>
      <c r="J147" s="3">
        <f>IF('ORDENES'!$A125="","",IF('ORDENES'!$E125="","-",'ORDENES'!$E125))</f>
        <v/>
      </c>
      <c r="K147" s="12">
        <f>IF('ORDENES'!$A125="","",IF('ORDENES'!$N125="",0,'ORDENES'!$N125))</f>
        <v/>
      </c>
      <c r="L147" s="3">
        <f>IF('ORDENES'!$A125="","",IF('ORDENES'!$O125="","-",'ORDENES'!$O125))</f>
        <v/>
      </c>
      <c r="M147" s="3">
        <f>IF('ORDENES'!$A125="","",'ORDENES'!$AB125)</f>
        <v/>
      </c>
    </row>
    <row r="148">
      <c r="A148" s="3">
        <f>IF('ORDENES'!$A126="","",IF('ORDENES'!$P126="","-",'ORDENES'!$P126))</f>
        <v/>
      </c>
      <c r="B148" s="3">
        <f>IF('ORDENES'!$A126="","",IF('ORDENES'!$S126="","-",'ORDENES'!$S126))</f>
        <v/>
      </c>
      <c r="C148" s="3">
        <f>IF('ORDENES'!$A126="","",IF('ORDENES'!$AD126="","-",'ORDENES'!$AD126))</f>
        <v/>
      </c>
      <c r="D148" s="3">
        <f>IF('ORDENES'!$A126="","",IF('ORDENES'!$W126="","-",'ORDENES'!$W126))</f>
        <v/>
      </c>
      <c r="E148" s="3">
        <f>IF('ORDENES'!$A126="","",IF('ORDENES'!$V126="","-",'ORDENES'!$V126))</f>
        <v/>
      </c>
      <c r="F148" s="3">
        <f>IF('ORDENES'!$A126="","",IF('ORDENES'!$X126="","-",'ORDENES'!$X126))</f>
        <v/>
      </c>
      <c r="G148" s="3">
        <f>IF('ORDENES'!$A126="","",IF('ORDENES'!$AC126="","-",'ORDENES'!$AC126))</f>
        <v/>
      </c>
      <c r="H148" s="3">
        <f>IF('ORDENES'!$A126="","",IF('ORDENES'!$AO126="","-",'ORDENES'!$AO126))</f>
        <v/>
      </c>
      <c r="I148" s="3">
        <f>IF('ORDENES'!$A126="","",IF('ORDENES'!$D126="","-",'ORDENES'!$D126))</f>
        <v/>
      </c>
      <c r="J148" s="3">
        <f>IF('ORDENES'!$A126="","",IF('ORDENES'!$E126="","-",'ORDENES'!$E126))</f>
        <v/>
      </c>
      <c r="K148" s="12">
        <f>IF('ORDENES'!$A126="","",IF('ORDENES'!$N126="",0,'ORDENES'!$N126))</f>
        <v/>
      </c>
      <c r="L148" s="3">
        <f>IF('ORDENES'!$A126="","",IF('ORDENES'!$O126="","-",'ORDENES'!$O126))</f>
        <v/>
      </c>
      <c r="M148" s="3">
        <f>IF('ORDENES'!$A126="","",'ORDENES'!$AB126)</f>
        <v/>
      </c>
    </row>
    <row r="149">
      <c r="A149" s="3">
        <f>IF('ORDENES'!$A127="","",IF('ORDENES'!$P127="","-",'ORDENES'!$P127))</f>
        <v/>
      </c>
      <c r="B149" s="3">
        <f>IF('ORDENES'!$A127="","",IF('ORDENES'!$S127="","-",'ORDENES'!$S127))</f>
        <v/>
      </c>
      <c r="C149" s="3">
        <f>IF('ORDENES'!$A127="","",IF('ORDENES'!$AD127="","-",'ORDENES'!$AD127))</f>
        <v/>
      </c>
      <c r="D149" s="3">
        <f>IF('ORDENES'!$A127="","",IF('ORDENES'!$W127="","-",'ORDENES'!$W127))</f>
        <v/>
      </c>
      <c r="E149" s="3">
        <f>IF('ORDENES'!$A127="","",IF('ORDENES'!$V127="","-",'ORDENES'!$V127))</f>
        <v/>
      </c>
      <c r="F149" s="3">
        <f>IF('ORDENES'!$A127="","",IF('ORDENES'!$X127="","-",'ORDENES'!$X127))</f>
        <v/>
      </c>
      <c r="G149" s="3">
        <f>IF('ORDENES'!$A127="","",IF('ORDENES'!$AC127="","-",'ORDENES'!$AC127))</f>
        <v/>
      </c>
      <c r="H149" s="3">
        <f>IF('ORDENES'!$A127="","",IF('ORDENES'!$AO127="","-",'ORDENES'!$AO127))</f>
        <v/>
      </c>
      <c r="I149" s="3">
        <f>IF('ORDENES'!$A127="","",IF('ORDENES'!$D127="","-",'ORDENES'!$D127))</f>
        <v/>
      </c>
      <c r="J149" s="3">
        <f>IF('ORDENES'!$A127="","",IF('ORDENES'!$E127="","-",'ORDENES'!$E127))</f>
        <v/>
      </c>
      <c r="K149" s="12">
        <f>IF('ORDENES'!$A127="","",IF('ORDENES'!$N127="",0,'ORDENES'!$N127))</f>
        <v/>
      </c>
      <c r="L149" s="3">
        <f>IF('ORDENES'!$A127="","",IF('ORDENES'!$O127="","-",'ORDENES'!$O127))</f>
        <v/>
      </c>
      <c r="M149" s="3">
        <f>IF('ORDENES'!$A127="","",'ORDENES'!$AB127)</f>
        <v/>
      </c>
    </row>
    <row r="150">
      <c r="A150" s="3">
        <f>IF('ORDENES'!$A128="","",IF('ORDENES'!$P128="","-",'ORDENES'!$P128))</f>
        <v/>
      </c>
      <c r="B150" s="3">
        <f>IF('ORDENES'!$A128="","",IF('ORDENES'!$S128="","-",'ORDENES'!$S128))</f>
        <v/>
      </c>
      <c r="C150" s="3">
        <f>IF('ORDENES'!$A128="","",IF('ORDENES'!$AD128="","-",'ORDENES'!$AD128))</f>
        <v/>
      </c>
      <c r="D150" s="3">
        <f>IF('ORDENES'!$A128="","",IF('ORDENES'!$W128="","-",'ORDENES'!$W128))</f>
        <v/>
      </c>
      <c r="E150" s="3">
        <f>IF('ORDENES'!$A128="","",IF('ORDENES'!$V128="","-",'ORDENES'!$V128))</f>
        <v/>
      </c>
      <c r="F150" s="3">
        <f>IF('ORDENES'!$A128="","",IF('ORDENES'!$X128="","-",'ORDENES'!$X128))</f>
        <v/>
      </c>
      <c r="G150" s="3">
        <f>IF('ORDENES'!$A128="","",IF('ORDENES'!$AC128="","-",'ORDENES'!$AC128))</f>
        <v/>
      </c>
      <c r="H150" s="3">
        <f>IF('ORDENES'!$A128="","",IF('ORDENES'!$AO128="","-",'ORDENES'!$AO128))</f>
        <v/>
      </c>
      <c r="I150" s="3">
        <f>IF('ORDENES'!$A128="","",IF('ORDENES'!$D128="","-",'ORDENES'!$D128))</f>
        <v/>
      </c>
      <c r="J150" s="3">
        <f>IF('ORDENES'!$A128="","",IF('ORDENES'!$E128="","-",'ORDENES'!$E128))</f>
        <v/>
      </c>
      <c r="K150" s="12">
        <f>IF('ORDENES'!$A128="","",IF('ORDENES'!$N128="",0,'ORDENES'!$N128))</f>
        <v/>
      </c>
      <c r="L150" s="3">
        <f>IF('ORDENES'!$A128="","",IF('ORDENES'!$O128="","-",'ORDENES'!$O128))</f>
        <v/>
      </c>
      <c r="M150" s="3">
        <f>IF('ORDENES'!$A128="","",'ORDENES'!$AB128)</f>
        <v/>
      </c>
    </row>
    <row r="151">
      <c r="A151" s="3">
        <f>IF('ORDENES'!$A129="","",IF('ORDENES'!$P129="","-",'ORDENES'!$P129))</f>
        <v/>
      </c>
      <c r="B151" s="3">
        <f>IF('ORDENES'!$A129="","",IF('ORDENES'!$S129="","-",'ORDENES'!$S129))</f>
        <v/>
      </c>
      <c r="C151" s="3">
        <f>IF('ORDENES'!$A129="","",IF('ORDENES'!$AD129="","-",'ORDENES'!$AD129))</f>
        <v/>
      </c>
      <c r="D151" s="3">
        <f>IF('ORDENES'!$A129="","",IF('ORDENES'!$W129="","-",'ORDENES'!$W129))</f>
        <v/>
      </c>
      <c r="E151" s="3">
        <f>IF('ORDENES'!$A129="","",IF('ORDENES'!$V129="","-",'ORDENES'!$V129))</f>
        <v/>
      </c>
      <c r="F151" s="3">
        <f>IF('ORDENES'!$A129="","",IF('ORDENES'!$X129="","-",'ORDENES'!$X129))</f>
        <v/>
      </c>
      <c r="G151" s="3">
        <f>IF('ORDENES'!$A129="","",IF('ORDENES'!$AC129="","-",'ORDENES'!$AC129))</f>
        <v/>
      </c>
      <c r="H151" s="3">
        <f>IF('ORDENES'!$A129="","",IF('ORDENES'!$AO129="","-",'ORDENES'!$AO129))</f>
        <v/>
      </c>
      <c r="I151" s="3">
        <f>IF('ORDENES'!$A129="","",IF('ORDENES'!$D129="","-",'ORDENES'!$D129))</f>
        <v/>
      </c>
      <c r="J151" s="3">
        <f>IF('ORDENES'!$A129="","",IF('ORDENES'!$E129="","-",'ORDENES'!$E129))</f>
        <v/>
      </c>
      <c r="K151" s="12">
        <f>IF('ORDENES'!$A129="","",IF('ORDENES'!$N129="",0,'ORDENES'!$N129))</f>
        <v/>
      </c>
      <c r="L151" s="3">
        <f>IF('ORDENES'!$A129="","",IF('ORDENES'!$O129="","-",'ORDENES'!$O129))</f>
        <v/>
      </c>
      <c r="M151" s="3">
        <f>IF('ORDENES'!$A129="","",'ORDENES'!$AB129)</f>
        <v/>
      </c>
    </row>
    <row r="152">
      <c r="A152" s="3">
        <f>IF('ORDENES'!$A130="","",IF('ORDENES'!$P130="","-",'ORDENES'!$P130))</f>
        <v/>
      </c>
      <c r="B152" s="3">
        <f>IF('ORDENES'!$A130="","",IF('ORDENES'!$S130="","-",'ORDENES'!$S130))</f>
        <v/>
      </c>
      <c r="C152" s="3">
        <f>IF('ORDENES'!$A130="","",IF('ORDENES'!$AD130="","-",'ORDENES'!$AD130))</f>
        <v/>
      </c>
      <c r="D152" s="3">
        <f>IF('ORDENES'!$A130="","",IF('ORDENES'!$W130="","-",'ORDENES'!$W130))</f>
        <v/>
      </c>
      <c r="E152" s="3">
        <f>IF('ORDENES'!$A130="","",IF('ORDENES'!$V130="","-",'ORDENES'!$V130))</f>
        <v/>
      </c>
      <c r="F152" s="3">
        <f>IF('ORDENES'!$A130="","",IF('ORDENES'!$X130="","-",'ORDENES'!$X130))</f>
        <v/>
      </c>
      <c r="G152" s="3">
        <f>IF('ORDENES'!$A130="","",IF('ORDENES'!$AC130="","-",'ORDENES'!$AC130))</f>
        <v/>
      </c>
      <c r="H152" s="3">
        <f>IF('ORDENES'!$A130="","",IF('ORDENES'!$AO130="","-",'ORDENES'!$AO130))</f>
        <v/>
      </c>
      <c r="I152" s="3">
        <f>IF('ORDENES'!$A130="","",IF('ORDENES'!$D130="","-",'ORDENES'!$D130))</f>
        <v/>
      </c>
      <c r="J152" s="3">
        <f>IF('ORDENES'!$A130="","",IF('ORDENES'!$E130="","-",'ORDENES'!$E130))</f>
        <v/>
      </c>
      <c r="K152" s="12">
        <f>IF('ORDENES'!$A130="","",IF('ORDENES'!$N130="",0,'ORDENES'!$N130))</f>
        <v/>
      </c>
      <c r="L152" s="3">
        <f>IF('ORDENES'!$A130="","",IF('ORDENES'!$O130="","-",'ORDENES'!$O130))</f>
        <v/>
      </c>
      <c r="M152" s="3">
        <f>IF('ORDENES'!$A130="","",'ORDENES'!$AB130)</f>
        <v/>
      </c>
    </row>
    <row r="153">
      <c r="A153" s="3">
        <f>IF('ORDENES'!$A131="","",IF('ORDENES'!$P131="","-",'ORDENES'!$P131))</f>
        <v/>
      </c>
      <c r="B153" s="3">
        <f>IF('ORDENES'!$A131="","",IF('ORDENES'!$S131="","-",'ORDENES'!$S131))</f>
        <v/>
      </c>
      <c r="C153" s="3">
        <f>IF('ORDENES'!$A131="","",IF('ORDENES'!$AD131="","-",'ORDENES'!$AD131))</f>
        <v/>
      </c>
      <c r="D153" s="3">
        <f>IF('ORDENES'!$A131="","",IF('ORDENES'!$W131="","-",'ORDENES'!$W131))</f>
        <v/>
      </c>
      <c r="E153" s="3">
        <f>IF('ORDENES'!$A131="","",IF('ORDENES'!$V131="","-",'ORDENES'!$V131))</f>
        <v/>
      </c>
      <c r="F153" s="3">
        <f>IF('ORDENES'!$A131="","",IF('ORDENES'!$X131="","-",'ORDENES'!$X131))</f>
        <v/>
      </c>
      <c r="G153" s="3">
        <f>IF('ORDENES'!$A131="","",IF('ORDENES'!$AC131="","-",'ORDENES'!$AC131))</f>
        <v/>
      </c>
      <c r="H153" s="3">
        <f>IF('ORDENES'!$A131="","",IF('ORDENES'!$AO131="","-",'ORDENES'!$AO131))</f>
        <v/>
      </c>
      <c r="I153" s="3">
        <f>IF('ORDENES'!$A131="","",IF('ORDENES'!$D131="","-",'ORDENES'!$D131))</f>
        <v/>
      </c>
      <c r="J153" s="3">
        <f>IF('ORDENES'!$A131="","",IF('ORDENES'!$E131="","-",'ORDENES'!$E131))</f>
        <v/>
      </c>
      <c r="K153" s="12">
        <f>IF('ORDENES'!$A131="","",IF('ORDENES'!$N131="",0,'ORDENES'!$N131))</f>
        <v/>
      </c>
      <c r="L153" s="3">
        <f>IF('ORDENES'!$A131="","",IF('ORDENES'!$O131="","-",'ORDENES'!$O131))</f>
        <v/>
      </c>
      <c r="M153" s="3">
        <f>IF('ORDENES'!$A131="","",'ORDENES'!$AB131)</f>
        <v/>
      </c>
    </row>
    <row r="154">
      <c r="A154" s="3">
        <f>IF('ORDENES'!$A132="","",IF('ORDENES'!$P132="","-",'ORDENES'!$P132))</f>
        <v/>
      </c>
      <c r="B154" s="3">
        <f>IF('ORDENES'!$A132="","",IF('ORDENES'!$S132="","-",'ORDENES'!$S132))</f>
        <v/>
      </c>
      <c r="C154" s="3">
        <f>IF('ORDENES'!$A132="","",IF('ORDENES'!$AD132="","-",'ORDENES'!$AD132))</f>
        <v/>
      </c>
      <c r="D154" s="3">
        <f>IF('ORDENES'!$A132="","",IF('ORDENES'!$W132="","-",'ORDENES'!$W132))</f>
        <v/>
      </c>
      <c r="E154" s="3">
        <f>IF('ORDENES'!$A132="","",IF('ORDENES'!$V132="","-",'ORDENES'!$V132))</f>
        <v/>
      </c>
      <c r="F154" s="3">
        <f>IF('ORDENES'!$A132="","",IF('ORDENES'!$X132="","-",'ORDENES'!$X132))</f>
        <v/>
      </c>
      <c r="G154" s="3">
        <f>IF('ORDENES'!$A132="","",IF('ORDENES'!$AC132="","-",'ORDENES'!$AC132))</f>
        <v/>
      </c>
      <c r="H154" s="3">
        <f>IF('ORDENES'!$A132="","",IF('ORDENES'!$AO132="","-",'ORDENES'!$AO132))</f>
        <v/>
      </c>
      <c r="I154" s="3">
        <f>IF('ORDENES'!$A132="","",IF('ORDENES'!$D132="","-",'ORDENES'!$D132))</f>
        <v/>
      </c>
      <c r="J154" s="3">
        <f>IF('ORDENES'!$A132="","",IF('ORDENES'!$E132="","-",'ORDENES'!$E132))</f>
        <v/>
      </c>
      <c r="K154" s="12">
        <f>IF('ORDENES'!$A132="","",IF('ORDENES'!$N132="",0,'ORDENES'!$N132))</f>
        <v/>
      </c>
      <c r="L154" s="3">
        <f>IF('ORDENES'!$A132="","",IF('ORDENES'!$O132="","-",'ORDENES'!$O132))</f>
        <v/>
      </c>
      <c r="M154" s="3">
        <f>IF('ORDENES'!$A132="","",'ORDENES'!$AB132)</f>
        <v/>
      </c>
    </row>
    <row r="155">
      <c r="A155" s="3">
        <f>IF('ORDENES'!$A133="","",IF('ORDENES'!$P133="","-",'ORDENES'!$P133))</f>
        <v/>
      </c>
      <c r="B155" s="3">
        <f>IF('ORDENES'!$A133="","",IF('ORDENES'!$S133="","-",'ORDENES'!$S133))</f>
        <v/>
      </c>
      <c r="C155" s="3">
        <f>IF('ORDENES'!$A133="","",IF('ORDENES'!$AD133="","-",'ORDENES'!$AD133))</f>
        <v/>
      </c>
      <c r="D155" s="3">
        <f>IF('ORDENES'!$A133="","",IF('ORDENES'!$W133="","-",'ORDENES'!$W133))</f>
        <v/>
      </c>
      <c r="E155" s="3">
        <f>IF('ORDENES'!$A133="","",IF('ORDENES'!$V133="","-",'ORDENES'!$V133))</f>
        <v/>
      </c>
      <c r="F155" s="3">
        <f>IF('ORDENES'!$A133="","",IF('ORDENES'!$X133="","-",'ORDENES'!$X133))</f>
        <v/>
      </c>
      <c r="G155" s="3">
        <f>IF('ORDENES'!$A133="","",IF('ORDENES'!$AC133="","-",'ORDENES'!$AC133))</f>
        <v/>
      </c>
      <c r="H155" s="3">
        <f>IF('ORDENES'!$A133="","",IF('ORDENES'!$AO133="","-",'ORDENES'!$AO133))</f>
        <v/>
      </c>
      <c r="I155" s="3">
        <f>IF('ORDENES'!$A133="","",IF('ORDENES'!$D133="","-",'ORDENES'!$D133))</f>
        <v/>
      </c>
      <c r="J155" s="3">
        <f>IF('ORDENES'!$A133="","",IF('ORDENES'!$E133="","-",'ORDENES'!$E133))</f>
        <v/>
      </c>
      <c r="K155" s="12">
        <f>IF('ORDENES'!$A133="","",IF('ORDENES'!$N133="",0,'ORDENES'!$N133))</f>
        <v/>
      </c>
      <c r="L155" s="3">
        <f>IF('ORDENES'!$A133="","",IF('ORDENES'!$O133="","-",'ORDENES'!$O133))</f>
        <v/>
      </c>
      <c r="M155" s="3">
        <f>IF('ORDENES'!$A133="","",'ORDENES'!$AB133)</f>
        <v/>
      </c>
    </row>
    <row r="156">
      <c r="A156" s="3">
        <f>IF('ORDENES'!$A134="","",IF('ORDENES'!$P134="","-",'ORDENES'!$P134))</f>
        <v/>
      </c>
      <c r="B156" s="3">
        <f>IF('ORDENES'!$A134="","",IF('ORDENES'!$S134="","-",'ORDENES'!$S134))</f>
        <v/>
      </c>
      <c r="C156" s="3">
        <f>IF('ORDENES'!$A134="","",IF('ORDENES'!$AD134="","-",'ORDENES'!$AD134))</f>
        <v/>
      </c>
      <c r="D156" s="3">
        <f>IF('ORDENES'!$A134="","",IF('ORDENES'!$W134="","-",'ORDENES'!$W134))</f>
        <v/>
      </c>
      <c r="E156" s="3">
        <f>IF('ORDENES'!$A134="","",IF('ORDENES'!$V134="","-",'ORDENES'!$V134))</f>
        <v/>
      </c>
      <c r="F156" s="3">
        <f>IF('ORDENES'!$A134="","",IF('ORDENES'!$X134="","-",'ORDENES'!$X134))</f>
        <v/>
      </c>
      <c r="G156" s="3">
        <f>IF('ORDENES'!$A134="","",IF('ORDENES'!$AC134="","-",'ORDENES'!$AC134))</f>
        <v/>
      </c>
      <c r="H156" s="3">
        <f>IF('ORDENES'!$A134="","",IF('ORDENES'!$AO134="","-",'ORDENES'!$AO134))</f>
        <v/>
      </c>
      <c r="I156" s="3">
        <f>IF('ORDENES'!$A134="","",IF('ORDENES'!$D134="","-",'ORDENES'!$D134))</f>
        <v/>
      </c>
      <c r="J156" s="3">
        <f>IF('ORDENES'!$A134="","",IF('ORDENES'!$E134="","-",'ORDENES'!$E134))</f>
        <v/>
      </c>
      <c r="K156" s="12">
        <f>IF('ORDENES'!$A134="","",IF('ORDENES'!$N134="",0,'ORDENES'!$N134))</f>
        <v/>
      </c>
      <c r="L156" s="3">
        <f>IF('ORDENES'!$A134="","",IF('ORDENES'!$O134="","-",'ORDENES'!$O134))</f>
        <v/>
      </c>
      <c r="M156" s="3">
        <f>IF('ORDENES'!$A134="","",'ORDENES'!$AB134)</f>
        <v/>
      </c>
    </row>
    <row r="157">
      <c r="A157" s="3">
        <f>IF('ORDENES'!$A135="","",IF('ORDENES'!$P135="","-",'ORDENES'!$P135))</f>
        <v/>
      </c>
      <c r="B157" s="3">
        <f>IF('ORDENES'!$A135="","",IF('ORDENES'!$S135="","-",'ORDENES'!$S135))</f>
        <v/>
      </c>
      <c r="C157" s="3">
        <f>IF('ORDENES'!$A135="","",IF('ORDENES'!$AD135="","-",'ORDENES'!$AD135))</f>
        <v/>
      </c>
      <c r="D157" s="3">
        <f>IF('ORDENES'!$A135="","",IF('ORDENES'!$W135="","-",'ORDENES'!$W135))</f>
        <v/>
      </c>
      <c r="E157" s="3">
        <f>IF('ORDENES'!$A135="","",IF('ORDENES'!$V135="","-",'ORDENES'!$V135))</f>
        <v/>
      </c>
      <c r="F157" s="3">
        <f>IF('ORDENES'!$A135="","",IF('ORDENES'!$X135="","-",'ORDENES'!$X135))</f>
        <v/>
      </c>
      <c r="G157" s="3">
        <f>IF('ORDENES'!$A135="","",IF('ORDENES'!$AC135="","-",'ORDENES'!$AC135))</f>
        <v/>
      </c>
      <c r="H157" s="3">
        <f>IF('ORDENES'!$A135="","",IF('ORDENES'!$AO135="","-",'ORDENES'!$AO135))</f>
        <v/>
      </c>
      <c r="I157" s="3">
        <f>IF('ORDENES'!$A135="","",IF('ORDENES'!$D135="","-",'ORDENES'!$D135))</f>
        <v/>
      </c>
      <c r="J157" s="3">
        <f>IF('ORDENES'!$A135="","",IF('ORDENES'!$E135="","-",'ORDENES'!$E135))</f>
        <v/>
      </c>
      <c r="K157" s="12">
        <f>IF('ORDENES'!$A135="","",IF('ORDENES'!$N135="",0,'ORDENES'!$N135))</f>
        <v/>
      </c>
      <c r="L157" s="3">
        <f>IF('ORDENES'!$A135="","",IF('ORDENES'!$O135="","-",'ORDENES'!$O135))</f>
        <v/>
      </c>
      <c r="M157" s="3">
        <f>IF('ORDENES'!$A135="","",'ORDENES'!$AB135)</f>
        <v/>
      </c>
    </row>
    <row r="158">
      <c r="A158" s="3">
        <f>IF('ORDENES'!$A136="","",IF('ORDENES'!$P136="","-",'ORDENES'!$P136))</f>
        <v/>
      </c>
      <c r="B158" s="3">
        <f>IF('ORDENES'!$A136="","",IF('ORDENES'!$S136="","-",'ORDENES'!$S136))</f>
        <v/>
      </c>
      <c r="C158" s="3">
        <f>IF('ORDENES'!$A136="","",IF('ORDENES'!$AD136="","-",'ORDENES'!$AD136))</f>
        <v/>
      </c>
      <c r="D158" s="3">
        <f>IF('ORDENES'!$A136="","",IF('ORDENES'!$W136="","-",'ORDENES'!$W136))</f>
        <v/>
      </c>
      <c r="E158" s="3">
        <f>IF('ORDENES'!$A136="","",IF('ORDENES'!$V136="","-",'ORDENES'!$V136))</f>
        <v/>
      </c>
      <c r="F158" s="3">
        <f>IF('ORDENES'!$A136="","",IF('ORDENES'!$X136="","-",'ORDENES'!$X136))</f>
        <v/>
      </c>
      <c r="G158" s="3">
        <f>IF('ORDENES'!$A136="","",IF('ORDENES'!$AC136="","-",'ORDENES'!$AC136))</f>
        <v/>
      </c>
      <c r="H158" s="3">
        <f>IF('ORDENES'!$A136="","",IF('ORDENES'!$AO136="","-",'ORDENES'!$AO136))</f>
        <v/>
      </c>
      <c r="I158" s="3">
        <f>IF('ORDENES'!$A136="","",IF('ORDENES'!$D136="","-",'ORDENES'!$D136))</f>
        <v/>
      </c>
      <c r="J158" s="3">
        <f>IF('ORDENES'!$A136="","",IF('ORDENES'!$E136="","-",'ORDENES'!$E136))</f>
        <v/>
      </c>
      <c r="K158" s="12">
        <f>IF('ORDENES'!$A136="","",IF('ORDENES'!$N136="",0,'ORDENES'!$N136))</f>
        <v/>
      </c>
      <c r="L158" s="3">
        <f>IF('ORDENES'!$A136="","",IF('ORDENES'!$O136="","-",'ORDENES'!$O136))</f>
        <v/>
      </c>
      <c r="M158" s="3">
        <f>IF('ORDENES'!$A136="","",'ORDENES'!$AB136)</f>
        <v/>
      </c>
    </row>
    <row r="159">
      <c r="A159" s="3">
        <f>IF('ORDENES'!$A137="","",IF('ORDENES'!$P137="","-",'ORDENES'!$P137))</f>
        <v/>
      </c>
      <c r="B159" s="3">
        <f>IF('ORDENES'!$A137="","",IF('ORDENES'!$S137="","-",'ORDENES'!$S137))</f>
        <v/>
      </c>
      <c r="C159" s="3">
        <f>IF('ORDENES'!$A137="","",IF('ORDENES'!$AD137="","-",'ORDENES'!$AD137))</f>
        <v/>
      </c>
      <c r="D159" s="3">
        <f>IF('ORDENES'!$A137="","",IF('ORDENES'!$W137="","-",'ORDENES'!$W137))</f>
        <v/>
      </c>
      <c r="E159" s="3">
        <f>IF('ORDENES'!$A137="","",IF('ORDENES'!$V137="","-",'ORDENES'!$V137))</f>
        <v/>
      </c>
      <c r="F159" s="3">
        <f>IF('ORDENES'!$A137="","",IF('ORDENES'!$X137="","-",'ORDENES'!$X137))</f>
        <v/>
      </c>
      <c r="G159" s="3">
        <f>IF('ORDENES'!$A137="","",IF('ORDENES'!$AC137="","-",'ORDENES'!$AC137))</f>
        <v/>
      </c>
      <c r="H159" s="3">
        <f>IF('ORDENES'!$A137="","",IF('ORDENES'!$AO137="","-",'ORDENES'!$AO137))</f>
        <v/>
      </c>
      <c r="I159" s="3">
        <f>IF('ORDENES'!$A137="","",IF('ORDENES'!$D137="","-",'ORDENES'!$D137))</f>
        <v/>
      </c>
      <c r="J159" s="3">
        <f>IF('ORDENES'!$A137="","",IF('ORDENES'!$E137="","-",'ORDENES'!$E137))</f>
        <v/>
      </c>
      <c r="K159" s="12">
        <f>IF('ORDENES'!$A137="","",IF('ORDENES'!$N137="",0,'ORDENES'!$N137))</f>
        <v/>
      </c>
      <c r="L159" s="3">
        <f>IF('ORDENES'!$A137="","",IF('ORDENES'!$O137="","-",'ORDENES'!$O137))</f>
        <v/>
      </c>
      <c r="M159" s="3">
        <f>IF('ORDENES'!$A137="","",'ORDENES'!$AB137)</f>
        <v/>
      </c>
    </row>
    <row r="160">
      <c r="A160" s="3">
        <f>IF('ORDENES'!$A138="","",IF('ORDENES'!$P138="","-",'ORDENES'!$P138))</f>
        <v/>
      </c>
      <c r="B160" s="3">
        <f>IF('ORDENES'!$A138="","",IF('ORDENES'!$S138="","-",'ORDENES'!$S138))</f>
        <v/>
      </c>
      <c r="C160" s="3">
        <f>IF('ORDENES'!$A138="","",IF('ORDENES'!$AD138="","-",'ORDENES'!$AD138))</f>
        <v/>
      </c>
      <c r="D160" s="3">
        <f>IF('ORDENES'!$A138="","",IF('ORDENES'!$W138="","-",'ORDENES'!$W138))</f>
        <v/>
      </c>
      <c r="E160" s="3">
        <f>IF('ORDENES'!$A138="","",IF('ORDENES'!$V138="","-",'ORDENES'!$V138))</f>
        <v/>
      </c>
      <c r="F160" s="3">
        <f>IF('ORDENES'!$A138="","",IF('ORDENES'!$X138="","-",'ORDENES'!$X138))</f>
        <v/>
      </c>
      <c r="G160" s="3">
        <f>IF('ORDENES'!$A138="","",IF('ORDENES'!$AC138="","-",'ORDENES'!$AC138))</f>
        <v/>
      </c>
      <c r="H160" s="3">
        <f>IF('ORDENES'!$A138="","",IF('ORDENES'!$AO138="","-",'ORDENES'!$AO138))</f>
        <v/>
      </c>
      <c r="I160" s="3">
        <f>IF('ORDENES'!$A138="","",IF('ORDENES'!$D138="","-",'ORDENES'!$D138))</f>
        <v/>
      </c>
      <c r="J160" s="3">
        <f>IF('ORDENES'!$A138="","",IF('ORDENES'!$E138="","-",'ORDENES'!$E138))</f>
        <v/>
      </c>
      <c r="K160" s="12">
        <f>IF('ORDENES'!$A138="","",IF('ORDENES'!$N138="",0,'ORDENES'!$N138))</f>
        <v/>
      </c>
      <c r="L160" s="3">
        <f>IF('ORDENES'!$A138="","",IF('ORDENES'!$O138="","-",'ORDENES'!$O138))</f>
        <v/>
      </c>
      <c r="M160" s="3">
        <f>IF('ORDENES'!$A138="","",'ORDENES'!$AB138)</f>
        <v/>
      </c>
    </row>
    <row r="161">
      <c r="A161" s="3">
        <f>IF('ORDENES'!$A139="","",IF('ORDENES'!$P139="","-",'ORDENES'!$P139))</f>
        <v/>
      </c>
      <c r="B161" s="3">
        <f>IF('ORDENES'!$A139="","",IF('ORDENES'!$S139="","-",'ORDENES'!$S139))</f>
        <v/>
      </c>
      <c r="C161" s="3">
        <f>IF('ORDENES'!$A139="","",IF('ORDENES'!$AD139="","-",'ORDENES'!$AD139))</f>
        <v/>
      </c>
      <c r="D161" s="3">
        <f>IF('ORDENES'!$A139="","",IF('ORDENES'!$W139="","-",'ORDENES'!$W139))</f>
        <v/>
      </c>
      <c r="E161" s="3">
        <f>IF('ORDENES'!$A139="","",IF('ORDENES'!$V139="","-",'ORDENES'!$V139))</f>
        <v/>
      </c>
      <c r="F161" s="3">
        <f>IF('ORDENES'!$A139="","",IF('ORDENES'!$X139="","-",'ORDENES'!$X139))</f>
        <v/>
      </c>
      <c r="G161" s="3">
        <f>IF('ORDENES'!$A139="","",IF('ORDENES'!$AC139="","-",'ORDENES'!$AC139))</f>
        <v/>
      </c>
      <c r="H161" s="3">
        <f>IF('ORDENES'!$A139="","",IF('ORDENES'!$AO139="","-",'ORDENES'!$AO139))</f>
        <v/>
      </c>
      <c r="I161" s="3">
        <f>IF('ORDENES'!$A139="","",IF('ORDENES'!$D139="","-",'ORDENES'!$D139))</f>
        <v/>
      </c>
      <c r="J161" s="3">
        <f>IF('ORDENES'!$A139="","",IF('ORDENES'!$E139="","-",'ORDENES'!$E139))</f>
        <v/>
      </c>
      <c r="K161" s="12">
        <f>IF('ORDENES'!$A139="","",IF('ORDENES'!$N139="",0,'ORDENES'!$N139))</f>
        <v/>
      </c>
      <c r="L161" s="3">
        <f>IF('ORDENES'!$A139="","",IF('ORDENES'!$O139="","-",'ORDENES'!$O139))</f>
        <v/>
      </c>
      <c r="M161" s="3">
        <f>IF('ORDENES'!$A139="","",'ORDENES'!$AB139)</f>
        <v/>
      </c>
    </row>
    <row r="162">
      <c r="A162" s="3">
        <f>IF('ORDENES'!$A140="","",IF('ORDENES'!$P140="","-",'ORDENES'!$P140))</f>
        <v/>
      </c>
      <c r="B162" s="3">
        <f>IF('ORDENES'!$A140="","",IF('ORDENES'!$S140="","-",'ORDENES'!$S140))</f>
        <v/>
      </c>
      <c r="C162" s="3">
        <f>IF('ORDENES'!$A140="","",IF('ORDENES'!$AD140="","-",'ORDENES'!$AD140))</f>
        <v/>
      </c>
      <c r="D162" s="3">
        <f>IF('ORDENES'!$A140="","",IF('ORDENES'!$W140="","-",'ORDENES'!$W140))</f>
        <v/>
      </c>
      <c r="E162" s="3">
        <f>IF('ORDENES'!$A140="","",IF('ORDENES'!$V140="","-",'ORDENES'!$V140))</f>
        <v/>
      </c>
      <c r="F162" s="3">
        <f>IF('ORDENES'!$A140="","",IF('ORDENES'!$X140="","-",'ORDENES'!$X140))</f>
        <v/>
      </c>
      <c r="G162" s="3">
        <f>IF('ORDENES'!$A140="","",IF('ORDENES'!$AC140="","-",'ORDENES'!$AC140))</f>
        <v/>
      </c>
      <c r="H162" s="3">
        <f>IF('ORDENES'!$A140="","",IF('ORDENES'!$AO140="","-",'ORDENES'!$AO140))</f>
        <v/>
      </c>
      <c r="I162" s="3">
        <f>IF('ORDENES'!$A140="","",IF('ORDENES'!$D140="","-",'ORDENES'!$D140))</f>
        <v/>
      </c>
      <c r="J162" s="3">
        <f>IF('ORDENES'!$A140="","",IF('ORDENES'!$E140="","-",'ORDENES'!$E140))</f>
        <v/>
      </c>
      <c r="K162" s="12">
        <f>IF('ORDENES'!$A140="","",IF('ORDENES'!$N140="",0,'ORDENES'!$N140))</f>
        <v/>
      </c>
      <c r="L162" s="3">
        <f>IF('ORDENES'!$A140="","",IF('ORDENES'!$O140="","-",'ORDENES'!$O140))</f>
        <v/>
      </c>
      <c r="M162" s="3">
        <f>IF('ORDENES'!$A140="","",'ORDENES'!$AB140)</f>
        <v/>
      </c>
    </row>
    <row r="163">
      <c r="A163" s="3">
        <f>IF('ORDENES'!$A141="","",IF('ORDENES'!$P141="","-",'ORDENES'!$P141))</f>
        <v/>
      </c>
      <c r="B163" s="3">
        <f>IF('ORDENES'!$A141="","",IF('ORDENES'!$S141="","-",'ORDENES'!$S141))</f>
        <v/>
      </c>
      <c r="C163" s="3">
        <f>IF('ORDENES'!$A141="","",IF('ORDENES'!$AD141="","-",'ORDENES'!$AD141))</f>
        <v/>
      </c>
      <c r="D163" s="3">
        <f>IF('ORDENES'!$A141="","",IF('ORDENES'!$W141="","-",'ORDENES'!$W141))</f>
        <v/>
      </c>
      <c r="E163" s="3">
        <f>IF('ORDENES'!$A141="","",IF('ORDENES'!$V141="","-",'ORDENES'!$V141))</f>
        <v/>
      </c>
      <c r="F163" s="3">
        <f>IF('ORDENES'!$A141="","",IF('ORDENES'!$X141="","-",'ORDENES'!$X141))</f>
        <v/>
      </c>
      <c r="G163" s="3">
        <f>IF('ORDENES'!$A141="","",IF('ORDENES'!$AC141="","-",'ORDENES'!$AC141))</f>
        <v/>
      </c>
      <c r="H163" s="3">
        <f>IF('ORDENES'!$A141="","",IF('ORDENES'!$AO141="","-",'ORDENES'!$AO141))</f>
        <v/>
      </c>
      <c r="I163" s="3">
        <f>IF('ORDENES'!$A141="","",IF('ORDENES'!$D141="","-",'ORDENES'!$D141))</f>
        <v/>
      </c>
      <c r="J163" s="3">
        <f>IF('ORDENES'!$A141="","",IF('ORDENES'!$E141="","-",'ORDENES'!$E141))</f>
        <v/>
      </c>
      <c r="K163" s="12">
        <f>IF('ORDENES'!$A141="","",IF('ORDENES'!$N141="",0,'ORDENES'!$N141))</f>
        <v/>
      </c>
      <c r="L163" s="3">
        <f>IF('ORDENES'!$A141="","",IF('ORDENES'!$O141="","-",'ORDENES'!$O141))</f>
        <v/>
      </c>
      <c r="M163" s="3">
        <f>IF('ORDENES'!$A141="","",'ORDENES'!$AB141)</f>
        <v/>
      </c>
    </row>
    <row r="164">
      <c r="A164" s="3">
        <f>IF('ORDENES'!$A142="","",IF('ORDENES'!$P142="","-",'ORDENES'!$P142))</f>
        <v/>
      </c>
      <c r="B164" s="3">
        <f>IF('ORDENES'!$A142="","",IF('ORDENES'!$S142="","-",'ORDENES'!$S142))</f>
        <v/>
      </c>
      <c r="C164" s="3">
        <f>IF('ORDENES'!$A142="","",IF('ORDENES'!$AD142="","-",'ORDENES'!$AD142))</f>
        <v/>
      </c>
      <c r="D164" s="3">
        <f>IF('ORDENES'!$A142="","",IF('ORDENES'!$W142="","-",'ORDENES'!$W142))</f>
        <v/>
      </c>
      <c r="E164" s="3">
        <f>IF('ORDENES'!$A142="","",IF('ORDENES'!$V142="","-",'ORDENES'!$V142))</f>
        <v/>
      </c>
      <c r="F164" s="3">
        <f>IF('ORDENES'!$A142="","",IF('ORDENES'!$X142="","-",'ORDENES'!$X142))</f>
        <v/>
      </c>
      <c r="G164" s="3">
        <f>IF('ORDENES'!$A142="","",IF('ORDENES'!$AC142="","-",'ORDENES'!$AC142))</f>
        <v/>
      </c>
      <c r="H164" s="3">
        <f>IF('ORDENES'!$A142="","",IF('ORDENES'!$AO142="","-",'ORDENES'!$AO142))</f>
        <v/>
      </c>
      <c r="I164" s="3">
        <f>IF('ORDENES'!$A142="","",IF('ORDENES'!$D142="","-",'ORDENES'!$D142))</f>
        <v/>
      </c>
      <c r="J164" s="3">
        <f>IF('ORDENES'!$A142="","",IF('ORDENES'!$E142="","-",'ORDENES'!$E142))</f>
        <v/>
      </c>
      <c r="K164" s="12">
        <f>IF('ORDENES'!$A142="","",IF('ORDENES'!$N142="",0,'ORDENES'!$N142))</f>
        <v/>
      </c>
      <c r="L164" s="3">
        <f>IF('ORDENES'!$A142="","",IF('ORDENES'!$O142="","-",'ORDENES'!$O142))</f>
        <v/>
      </c>
      <c r="M164" s="3">
        <f>IF('ORDENES'!$A142="","",'ORDENES'!$AB142)</f>
        <v/>
      </c>
    </row>
    <row r="165">
      <c r="A165" s="3">
        <f>IF('ORDENES'!$A143="","",IF('ORDENES'!$P143="","-",'ORDENES'!$P143))</f>
        <v/>
      </c>
      <c r="B165" s="3">
        <f>IF('ORDENES'!$A143="","",IF('ORDENES'!$S143="","-",'ORDENES'!$S143))</f>
        <v/>
      </c>
      <c r="C165" s="3">
        <f>IF('ORDENES'!$A143="","",IF('ORDENES'!$AD143="","-",'ORDENES'!$AD143))</f>
        <v/>
      </c>
      <c r="D165" s="3">
        <f>IF('ORDENES'!$A143="","",IF('ORDENES'!$W143="","-",'ORDENES'!$W143))</f>
        <v/>
      </c>
      <c r="E165" s="3">
        <f>IF('ORDENES'!$A143="","",IF('ORDENES'!$V143="","-",'ORDENES'!$V143))</f>
        <v/>
      </c>
      <c r="F165" s="3">
        <f>IF('ORDENES'!$A143="","",IF('ORDENES'!$X143="","-",'ORDENES'!$X143))</f>
        <v/>
      </c>
      <c r="G165" s="3">
        <f>IF('ORDENES'!$A143="","",IF('ORDENES'!$AC143="","-",'ORDENES'!$AC143))</f>
        <v/>
      </c>
      <c r="H165" s="3">
        <f>IF('ORDENES'!$A143="","",IF('ORDENES'!$AO143="","-",'ORDENES'!$AO143))</f>
        <v/>
      </c>
      <c r="I165" s="3">
        <f>IF('ORDENES'!$A143="","",IF('ORDENES'!$D143="","-",'ORDENES'!$D143))</f>
        <v/>
      </c>
      <c r="J165" s="3">
        <f>IF('ORDENES'!$A143="","",IF('ORDENES'!$E143="","-",'ORDENES'!$E143))</f>
        <v/>
      </c>
      <c r="K165" s="12">
        <f>IF('ORDENES'!$A143="","",IF('ORDENES'!$N143="",0,'ORDENES'!$N143))</f>
        <v/>
      </c>
      <c r="L165" s="3">
        <f>IF('ORDENES'!$A143="","",IF('ORDENES'!$O143="","-",'ORDENES'!$O143))</f>
        <v/>
      </c>
      <c r="M165" s="3">
        <f>IF('ORDENES'!$A143="","",'ORDENES'!$AB143)</f>
        <v/>
      </c>
    </row>
    <row r="166">
      <c r="A166" s="3">
        <f>IF('ORDENES'!$A144="","",IF('ORDENES'!$P144="","-",'ORDENES'!$P144))</f>
        <v/>
      </c>
      <c r="B166" s="3">
        <f>IF('ORDENES'!$A144="","",IF('ORDENES'!$S144="","-",'ORDENES'!$S144))</f>
        <v/>
      </c>
      <c r="C166" s="3">
        <f>IF('ORDENES'!$A144="","",IF('ORDENES'!$AD144="","-",'ORDENES'!$AD144))</f>
        <v/>
      </c>
      <c r="D166" s="3">
        <f>IF('ORDENES'!$A144="","",IF('ORDENES'!$W144="","-",'ORDENES'!$W144))</f>
        <v/>
      </c>
      <c r="E166" s="3">
        <f>IF('ORDENES'!$A144="","",IF('ORDENES'!$V144="","-",'ORDENES'!$V144))</f>
        <v/>
      </c>
      <c r="F166" s="3">
        <f>IF('ORDENES'!$A144="","",IF('ORDENES'!$X144="","-",'ORDENES'!$X144))</f>
        <v/>
      </c>
      <c r="G166" s="3">
        <f>IF('ORDENES'!$A144="","",IF('ORDENES'!$AC144="","-",'ORDENES'!$AC144))</f>
        <v/>
      </c>
      <c r="H166" s="3">
        <f>IF('ORDENES'!$A144="","",IF('ORDENES'!$AO144="","-",'ORDENES'!$AO144))</f>
        <v/>
      </c>
      <c r="I166" s="3">
        <f>IF('ORDENES'!$A144="","",IF('ORDENES'!$D144="","-",'ORDENES'!$D144))</f>
        <v/>
      </c>
      <c r="J166" s="3">
        <f>IF('ORDENES'!$A144="","",IF('ORDENES'!$E144="","-",'ORDENES'!$E144))</f>
        <v/>
      </c>
      <c r="K166" s="12">
        <f>IF('ORDENES'!$A144="","",IF('ORDENES'!$N144="",0,'ORDENES'!$N144))</f>
        <v/>
      </c>
      <c r="L166" s="3">
        <f>IF('ORDENES'!$A144="","",IF('ORDENES'!$O144="","-",'ORDENES'!$O144))</f>
        <v/>
      </c>
      <c r="M166" s="3">
        <f>IF('ORDENES'!$A144="","",'ORDENES'!$AB144)</f>
        <v/>
      </c>
    </row>
    <row r="167">
      <c r="A167" s="3">
        <f>IF('ORDENES'!$A145="","",IF('ORDENES'!$P145="","-",'ORDENES'!$P145))</f>
        <v/>
      </c>
      <c r="B167" s="3">
        <f>IF('ORDENES'!$A145="","",IF('ORDENES'!$S145="","-",'ORDENES'!$S145))</f>
        <v/>
      </c>
      <c r="C167" s="3">
        <f>IF('ORDENES'!$A145="","",IF('ORDENES'!$AD145="","-",'ORDENES'!$AD145))</f>
        <v/>
      </c>
      <c r="D167" s="3">
        <f>IF('ORDENES'!$A145="","",IF('ORDENES'!$W145="","-",'ORDENES'!$W145))</f>
        <v/>
      </c>
      <c r="E167" s="3">
        <f>IF('ORDENES'!$A145="","",IF('ORDENES'!$V145="","-",'ORDENES'!$V145))</f>
        <v/>
      </c>
      <c r="F167" s="3">
        <f>IF('ORDENES'!$A145="","",IF('ORDENES'!$X145="","-",'ORDENES'!$X145))</f>
        <v/>
      </c>
      <c r="G167" s="3">
        <f>IF('ORDENES'!$A145="","",IF('ORDENES'!$AC145="","-",'ORDENES'!$AC145))</f>
        <v/>
      </c>
      <c r="H167" s="3">
        <f>IF('ORDENES'!$A145="","",IF('ORDENES'!$AO145="","-",'ORDENES'!$AO145))</f>
        <v/>
      </c>
      <c r="I167" s="3">
        <f>IF('ORDENES'!$A145="","",IF('ORDENES'!$D145="","-",'ORDENES'!$D145))</f>
        <v/>
      </c>
      <c r="J167" s="3">
        <f>IF('ORDENES'!$A145="","",IF('ORDENES'!$E145="","-",'ORDENES'!$E145))</f>
        <v/>
      </c>
      <c r="K167" s="12">
        <f>IF('ORDENES'!$A145="","",IF('ORDENES'!$N145="",0,'ORDENES'!$N145))</f>
        <v/>
      </c>
      <c r="L167" s="3">
        <f>IF('ORDENES'!$A145="","",IF('ORDENES'!$O145="","-",'ORDENES'!$O145))</f>
        <v/>
      </c>
      <c r="M167" s="3">
        <f>IF('ORDENES'!$A145="","",'ORDENES'!$AB145)</f>
        <v/>
      </c>
    </row>
    <row r="168">
      <c r="A168" s="3">
        <f>IF('ORDENES'!$A146="","",IF('ORDENES'!$P146="","-",'ORDENES'!$P146))</f>
        <v/>
      </c>
      <c r="B168" s="3">
        <f>IF('ORDENES'!$A146="","",IF('ORDENES'!$S146="","-",'ORDENES'!$S146))</f>
        <v/>
      </c>
      <c r="C168" s="3">
        <f>IF('ORDENES'!$A146="","",IF('ORDENES'!$AD146="","-",'ORDENES'!$AD146))</f>
        <v/>
      </c>
      <c r="D168" s="3">
        <f>IF('ORDENES'!$A146="","",IF('ORDENES'!$W146="","-",'ORDENES'!$W146))</f>
        <v/>
      </c>
      <c r="E168" s="3">
        <f>IF('ORDENES'!$A146="","",IF('ORDENES'!$V146="","-",'ORDENES'!$V146))</f>
        <v/>
      </c>
      <c r="F168" s="3">
        <f>IF('ORDENES'!$A146="","",IF('ORDENES'!$X146="","-",'ORDENES'!$X146))</f>
        <v/>
      </c>
      <c r="G168" s="3">
        <f>IF('ORDENES'!$A146="","",IF('ORDENES'!$AC146="","-",'ORDENES'!$AC146))</f>
        <v/>
      </c>
      <c r="H168" s="3">
        <f>IF('ORDENES'!$A146="","",IF('ORDENES'!$AO146="","-",'ORDENES'!$AO146))</f>
        <v/>
      </c>
      <c r="I168" s="3">
        <f>IF('ORDENES'!$A146="","",IF('ORDENES'!$D146="","-",'ORDENES'!$D146))</f>
        <v/>
      </c>
      <c r="J168" s="3">
        <f>IF('ORDENES'!$A146="","",IF('ORDENES'!$E146="","-",'ORDENES'!$E146))</f>
        <v/>
      </c>
      <c r="K168" s="12">
        <f>IF('ORDENES'!$A146="","",IF('ORDENES'!$N146="",0,'ORDENES'!$N146))</f>
        <v/>
      </c>
      <c r="L168" s="3">
        <f>IF('ORDENES'!$A146="","",IF('ORDENES'!$O146="","-",'ORDENES'!$O146))</f>
        <v/>
      </c>
      <c r="M168" s="3">
        <f>IF('ORDENES'!$A146="","",'ORDENES'!$AB146)</f>
        <v/>
      </c>
    </row>
    <row r="169">
      <c r="A169" s="3">
        <f>IF('ORDENES'!$A147="","",IF('ORDENES'!$P147="","-",'ORDENES'!$P147))</f>
        <v/>
      </c>
      <c r="B169" s="3">
        <f>IF('ORDENES'!$A147="","",IF('ORDENES'!$S147="","-",'ORDENES'!$S147))</f>
        <v/>
      </c>
      <c r="C169" s="3">
        <f>IF('ORDENES'!$A147="","",IF('ORDENES'!$AD147="","-",'ORDENES'!$AD147))</f>
        <v/>
      </c>
      <c r="D169" s="3">
        <f>IF('ORDENES'!$A147="","",IF('ORDENES'!$W147="","-",'ORDENES'!$W147))</f>
        <v/>
      </c>
      <c r="E169" s="3">
        <f>IF('ORDENES'!$A147="","",IF('ORDENES'!$V147="","-",'ORDENES'!$V147))</f>
        <v/>
      </c>
      <c r="F169" s="3">
        <f>IF('ORDENES'!$A147="","",IF('ORDENES'!$X147="","-",'ORDENES'!$X147))</f>
        <v/>
      </c>
      <c r="G169" s="3">
        <f>IF('ORDENES'!$A147="","",IF('ORDENES'!$AC147="","-",'ORDENES'!$AC147))</f>
        <v/>
      </c>
      <c r="H169" s="3">
        <f>IF('ORDENES'!$A147="","",IF('ORDENES'!$AO147="","-",'ORDENES'!$AO147))</f>
        <v/>
      </c>
      <c r="I169" s="3">
        <f>IF('ORDENES'!$A147="","",IF('ORDENES'!$D147="","-",'ORDENES'!$D147))</f>
        <v/>
      </c>
      <c r="J169" s="3">
        <f>IF('ORDENES'!$A147="","",IF('ORDENES'!$E147="","-",'ORDENES'!$E147))</f>
        <v/>
      </c>
      <c r="K169" s="12">
        <f>IF('ORDENES'!$A147="","",IF('ORDENES'!$N147="",0,'ORDENES'!$N147))</f>
        <v/>
      </c>
      <c r="L169" s="3">
        <f>IF('ORDENES'!$A147="","",IF('ORDENES'!$O147="","-",'ORDENES'!$O147))</f>
        <v/>
      </c>
      <c r="M169" s="3">
        <f>IF('ORDENES'!$A147="","",'ORDENES'!$AB147)</f>
        <v/>
      </c>
    </row>
    <row r="170">
      <c r="A170" s="3">
        <f>IF('ORDENES'!$A148="","",IF('ORDENES'!$P148="","-",'ORDENES'!$P148))</f>
        <v/>
      </c>
      <c r="B170" s="3">
        <f>IF('ORDENES'!$A148="","",IF('ORDENES'!$S148="","-",'ORDENES'!$S148))</f>
        <v/>
      </c>
      <c r="C170" s="3">
        <f>IF('ORDENES'!$A148="","",IF('ORDENES'!$AD148="","-",'ORDENES'!$AD148))</f>
        <v/>
      </c>
      <c r="D170" s="3">
        <f>IF('ORDENES'!$A148="","",IF('ORDENES'!$W148="","-",'ORDENES'!$W148))</f>
        <v/>
      </c>
      <c r="E170" s="3">
        <f>IF('ORDENES'!$A148="","",IF('ORDENES'!$V148="","-",'ORDENES'!$V148))</f>
        <v/>
      </c>
      <c r="F170" s="3">
        <f>IF('ORDENES'!$A148="","",IF('ORDENES'!$X148="","-",'ORDENES'!$X148))</f>
        <v/>
      </c>
      <c r="G170" s="3">
        <f>IF('ORDENES'!$A148="","",IF('ORDENES'!$AC148="","-",'ORDENES'!$AC148))</f>
        <v/>
      </c>
      <c r="H170" s="3">
        <f>IF('ORDENES'!$A148="","",IF('ORDENES'!$AO148="","-",'ORDENES'!$AO148))</f>
        <v/>
      </c>
      <c r="I170" s="3">
        <f>IF('ORDENES'!$A148="","",IF('ORDENES'!$D148="","-",'ORDENES'!$D148))</f>
        <v/>
      </c>
      <c r="J170" s="3">
        <f>IF('ORDENES'!$A148="","",IF('ORDENES'!$E148="","-",'ORDENES'!$E148))</f>
        <v/>
      </c>
      <c r="K170" s="12">
        <f>IF('ORDENES'!$A148="","",IF('ORDENES'!$N148="",0,'ORDENES'!$N148))</f>
        <v/>
      </c>
      <c r="L170" s="3">
        <f>IF('ORDENES'!$A148="","",IF('ORDENES'!$O148="","-",'ORDENES'!$O148))</f>
        <v/>
      </c>
      <c r="M170" s="3">
        <f>IF('ORDENES'!$A148="","",'ORDENES'!$AB148)</f>
        <v/>
      </c>
    </row>
    <row r="171">
      <c r="A171" s="3">
        <f>IF('ORDENES'!$A149="","",IF('ORDENES'!$P149="","-",'ORDENES'!$P149))</f>
        <v/>
      </c>
      <c r="B171" s="3">
        <f>IF('ORDENES'!$A149="","",IF('ORDENES'!$S149="","-",'ORDENES'!$S149))</f>
        <v/>
      </c>
      <c r="C171" s="3">
        <f>IF('ORDENES'!$A149="","",IF('ORDENES'!$AD149="","-",'ORDENES'!$AD149))</f>
        <v/>
      </c>
      <c r="D171" s="3">
        <f>IF('ORDENES'!$A149="","",IF('ORDENES'!$W149="","-",'ORDENES'!$W149))</f>
        <v/>
      </c>
      <c r="E171" s="3">
        <f>IF('ORDENES'!$A149="","",IF('ORDENES'!$V149="","-",'ORDENES'!$V149))</f>
        <v/>
      </c>
      <c r="F171" s="3">
        <f>IF('ORDENES'!$A149="","",IF('ORDENES'!$X149="","-",'ORDENES'!$X149))</f>
        <v/>
      </c>
      <c r="G171" s="3">
        <f>IF('ORDENES'!$A149="","",IF('ORDENES'!$AC149="","-",'ORDENES'!$AC149))</f>
        <v/>
      </c>
      <c r="H171" s="3">
        <f>IF('ORDENES'!$A149="","",IF('ORDENES'!$AO149="","-",'ORDENES'!$AO149))</f>
        <v/>
      </c>
      <c r="I171" s="3">
        <f>IF('ORDENES'!$A149="","",IF('ORDENES'!$D149="","-",'ORDENES'!$D149))</f>
        <v/>
      </c>
      <c r="J171" s="3">
        <f>IF('ORDENES'!$A149="","",IF('ORDENES'!$E149="","-",'ORDENES'!$E149))</f>
        <v/>
      </c>
      <c r="K171" s="12">
        <f>IF('ORDENES'!$A149="","",IF('ORDENES'!$N149="",0,'ORDENES'!$N149))</f>
        <v/>
      </c>
      <c r="L171" s="3">
        <f>IF('ORDENES'!$A149="","",IF('ORDENES'!$O149="","-",'ORDENES'!$O149))</f>
        <v/>
      </c>
      <c r="M171" s="3">
        <f>IF('ORDENES'!$A149="","",'ORDENES'!$AB149)</f>
        <v/>
      </c>
    </row>
    <row r="172">
      <c r="A172" s="3">
        <f>IF('ORDENES'!$A150="","",IF('ORDENES'!$P150="","-",'ORDENES'!$P150))</f>
        <v/>
      </c>
      <c r="B172" s="3">
        <f>IF('ORDENES'!$A150="","",IF('ORDENES'!$S150="","-",'ORDENES'!$S150))</f>
        <v/>
      </c>
      <c r="C172" s="3">
        <f>IF('ORDENES'!$A150="","",IF('ORDENES'!$AD150="","-",'ORDENES'!$AD150))</f>
        <v/>
      </c>
      <c r="D172" s="3">
        <f>IF('ORDENES'!$A150="","",IF('ORDENES'!$W150="","-",'ORDENES'!$W150))</f>
        <v/>
      </c>
      <c r="E172" s="3">
        <f>IF('ORDENES'!$A150="","",IF('ORDENES'!$V150="","-",'ORDENES'!$V150))</f>
        <v/>
      </c>
      <c r="F172" s="3">
        <f>IF('ORDENES'!$A150="","",IF('ORDENES'!$X150="","-",'ORDENES'!$X150))</f>
        <v/>
      </c>
      <c r="G172" s="3">
        <f>IF('ORDENES'!$A150="","",IF('ORDENES'!$AC150="","-",'ORDENES'!$AC150))</f>
        <v/>
      </c>
      <c r="H172" s="3">
        <f>IF('ORDENES'!$A150="","",IF('ORDENES'!$AO150="","-",'ORDENES'!$AO150))</f>
        <v/>
      </c>
      <c r="I172" s="3">
        <f>IF('ORDENES'!$A150="","",IF('ORDENES'!$D150="","-",'ORDENES'!$D150))</f>
        <v/>
      </c>
      <c r="J172" s="3">
        <f>IF('ORDENES'!$A150="","",IF('ORDENES'!$E150="","-",'ORDENES'!$E150))</f>
        <v/>
      </c>
      <c r="K172" s="12">
        <f>IF('ORDENES'!$A150="","",IF('ORDENES'!$N150="",0,'ORDENES'!$N150))</f>
        <v/>
      </c>
      <c r="L172" s="3">
        <f>IF('ORDENES'!$A150="","",IF('ORDENES'!$O150="","-",'ORDENES'!$O150))</f>
        <v/>
      </c>
      <c r="M172" s="3">
        <f>IF('ORDENES'!$A150="","",'ORDENES'!$AB150)</f>
        <v/>
      </c>
    </row>
    <row r="173">
      <c r="A173" s="3">
        <f>IF('ORDENES'!$A151="","",IF('ORDENES'!$P151="","-",'ORDENES'!$P151))</f>
        <v/>
      </c>
      <c r="B173" s="3">
        <f>IF('ORDENES'!$A151="","",IF('ORDENES'!$S151="","-",'ORDENES'!$S151))</f>
        <v/>
      </c>
      <c r="C173" s="3">
        <f>IF('ORDENES'!$A151="","",IF('ORDENES'!$AD151="","-",'ORDENES'!$AD151))</f>
        <v/>
      </c>
      <c r="D173" s="3">
        <f>IF('ORDENES'!$A151="","",IF('ORDENES'!$W151="","-",'ORDENES'!$W151))</f>
        <v/>
      </c>
      <c r="E173" s="3">
        <f>IF('ORDENES'!$A151="","",IF('ORDENES'!$V151="","-",'ORDENES'!$V151))</f>
        <v/>
      </c>
      <c r="F173" s="3">
        <f>IF('ORDENES'!$A151="","",IF('ORDENES'!$X151="","-",'ORDENES'!$X151))</f>
        <v/>
      </c>
      <c r="G173" s="3">
        <f>IF('ORDENES'!$A151="","",IF('ORDENES'!$AC151="","-",'ORDENES'!$AC151))</f>
        <v/>
      </c>
      <c r="H173" s="3">
        <f>IF('ORDENES'!$A151="","",IF('ORDENES'!$AO151="","-",'ORDENES'!$AO151))</f>
        <v/>
      </c>
      <c r="I173" s="3">
        <f>IF('ORDENES'!$A151="","",IF('ORDENES'!$D151="","-",'ORDENES'!$D151))</f>
        <v/>
      </c>
      <c r="J173" s="3">
        <f>IF('ORDENES'!$A151="","",IF('ORDENES'!$E151="","-",'ORDENES'!$E151))</f>
        <v/>
      </c>
      <c r="K173" s="12">
        <f>IF('ORDENES'!$A151="","",IF('ORDENES'!$N151="",0,'ORDENES'!$N151))</f>
        <v/>
      </c>
      <c r="L173" s="3">
        <f>IF('ORDENES'!$A151="","",IF('ORDENES'!$O151="","-",'ORDENES'!$O151))</f>
        <v/>
      </c>
      <c r="M173" s="3">
        <f>IF('ORDENES'!$A151="","",'ORDENES'!$AB151)</f>
        <v/>
      </c>
    </row>
    <row r="174">
      <c r="A174" s="3">
        <f>IF('ORDENES'!$A152="","",IF('ORDENES'!$P152="","-",'ORDENES'!$P152))</f>
        <v/>
      </c>
      <c r="B174" s="3">
        <f>IF('ORDENES'!$A152="","",IF('ORDENES'!$S152="","-",'ORDENES'!$S152))</f>
        <v/>
      </c>
      <c r="C174" s="3">
        <f>IF('ORDENES'!$A152="","",IF('ORDENES'!$AD152="","-",'ORDENES'!$AD152))</f>
        <v/>
      </c>
      <c r="D174" s="3">
        <f>IF('ORDENES'!$A152="","",IF('ORDENES'!$W152="","-",'ORDENES'!$W152))</f>
        <v/>
      </c>
      <c r="E174" s="3">
        <f>IF('ORDENES'!$A152="","",IF('ORDENES'!$V152="","-",'ORDENES'!$V152))</f>
        <v/>
      </c>
      <c r="F174" s="3">
        <f>IF('ORDENES'!$A152="","",IF('ORDENES'!$X152="","-",'ORDENES'!$X152))</f>
        <v/>
      </c>
      <c r="G174" s="3">
        <f>IF('ORDENES'!$A152="","",IF('ORDENES'!$AC152="","-",'ORDENES'!$AC152))</f>
        <v/>
      </c>
      <c r="H174" s="3">
        <f>IF('ORDENES'!$A152="","",IF('ORDENES'!$AO152="","-",'ORDENES'!$AO152))</f>
        <v/>
      </c>
      <c r="I174" s="3">
        <f>IF('ORDENES'!$A152="","",IF('ORDENES'!$D152="","-",'ORDENES'!$D152))</f>
        <v/>
      </c>
      <c r="J174" s="3">
        <f>IF('ORDENES'!$A152="","",IF('ORDENES'!$E152="","-",'ORDENES'!$E152))</f>
        <v/>
      </c>
      <c r="K174" s="12">
        <f>IF('ORDENES'!$A152="","",IF('ORDENES'!$N152="",0,'ORDENES'!$N152))</f>
        <v/>
      </c>
      <c r="L174" s="3">
        <f>IF('ORDENES'!$A152="","",IF('ORDENES'!$O152="","-",'ORDENES'!$O152))</f>
        <v/>
      </c>
      <c r="M174" s="3">
        <f>IF('ORDENES'!$A152="","",'ORDENES'!$AB152)</f>
        <v/>
      </c>
    </row>
    <row r="175">
      <c r="A175" s="3">
        <f>IF('ORDENES'!$A153="","",IF('ORDENES'!$P153="","-",'ORDENES'!$P153))</f>
        <v/>
      </c>
      <c r="B175" s="3">
        <f>IF('ORDENES'!$A153="","",IF('ORDENES'!$S153="","-",'ORDENES'!$S153))</f>
        <v/>
      </c>
      <c r="C175" s="3">
        <f>IF('ORDENES'!$A153="","",IF('ORDENES'!$AD153="","-",'ORDENES'!$AD153))</f>
        <v/>
      </c>
      <c r="D175" s="3">
        <f>IF('ORDENES'!$A153="","",IF('ORDENES'!$W153="","-",'ORDENES'!$W153))</f>
        <v/>
      </c>
      <c r="E175" s="3">
        <f>IF('ORDENES'!$A153="","",IF('ORDENES'!$V153="","-",'ORDENES'!$V153))</f>
        <v/>
      </c>
      <c r="F175" s="3">
        <f>IF('ORDENES'!$A153="","",IF('ORDENES'!$X153="","-",'ORDENES'!$X153))</f>
        <v/>
      </c>
      <c r="G175" s="3">
        <f>IF('ORDENES'!$A153="","",IF('ORDENES'!$AC153="","-",'ORDENES'!$AC153))</f>
        <v/>
      </c>
      <c r="H175" s="3">
        <f>IF('ORDENES'!$A153="","",IF('ORDENES'!$AO153="","-",'ORDENES'!$AO153))</f>
        <v/>
      </c>
      <c r="I175" s="3">
        <f>IF('ORDENES'!$A153="","",IF('ORDENES'!$D153="","-",'ORDENES'!$D153))</f>
        <v/>
      </c>
      <c r="J175" s="3">
        <f>IF('ORDENES'!$A153="","",IF('ORDENES'!$E153="","-",'ORDENES'!$E153))</f>
        <v/>
      </c>
      <c r="K175" s="12">
        <f>IF('ORDENES'!$A153="","",IF('ORDENES'!$N153="",0,'ORDENES'!$N153))</f>
        <v/>
      </c>
      <c r="L175" s="3">
        <f>IF('ORDENES'!$A153="","",IF('ORDENES'!$O153="","-",'ORDENES'!$O153))</f>
        <v/>
      </c>
      <c r="M175" s="3">
        <f>IF('ORDENES'!$A153="","",'ORDENES'!$AB153)</f>
        <v/>
      </c>
    </row>
    <row r="176">
      <c r="A176" s="3">
        <f>IF('ORDENES'!$A154="","",IF('ORDENES'!$P154="","-",'ORDENES'!$P154))</f>
        <v/>
      </c>
      <c r="B176" s="3">
        <f>IF('ORDENES'!$A154="","",IF('ORDENES'!$S154="","-",'ORDENES'!$S154))</f>
        <v/>
      </c>
      <c r="C176" s="3">
        <f>IF('ORDENES'!$A154="","",IF('ORDENES'!$AD154="","-",'ORDENES'!$AD154))</f>
        <v/>
      </c>
      <c r="D176" s="3">
        <f>IF('ORDENES'!$A154="","",IF('ORDENES'!$W154="","-",'ORDENES'!$W154))</f>
        <v/>
      </c>
      <c r="E176" s="3">
        <f>IF('ORDENES'!$A154="","",IF('ORDENES'!$V154="","-",'ORDENES'!$V154))</f>
        <v/>
      </c>
      <c r="F176" s="3">
        <f>IF('ORDENES'!$A154="","",IF('ORDENES'!$X154="","-",'ORDENES'!$X154))</f>
        <v/>
      </c>
      <c r="G176" s="3">
        <f>IF('ORDENES'!$A154="","",IF('ORDENES'!$AC154="","-",'ORDENES'!$AC154))</f>
        <v/>
      </c>
      <c r="H176" s="3">
        <f>IF('ORDENES'!$A154="","",IF('ORDENES'!$AO154="","-",'ORDENES'!$AO154))</f>
        <v/>
      </c>
      <c r="I176" s="3">
        <f>IF('ORDENES'!$A154="","",IF('ORDENES'!$D154="","-",'ORDENES'!$D154))</f>
        <v/>
      </c>
      <c r="J176" s="3">
        <f>IF('ORDENES'!$A154="","",IF('ORDENES'!$E154="","-",'ORDENES'!$E154))</f>
        <v/>
      </c>
      <c r="K176" s="12">
        <f>IF('ORDENES'!$A154="","",IF('ORDENES'!$N154="",0,'ORDENES'!$N154))</f>
        <v/>
      </c>
      <c r="L176" s="3">
        <f>IF('ORDENES'!$A154="","",IF('ORDENES'!$O154="","-",'ORDENES'!$O154))</f>
        <v/>
      </c>
      <c r="M176" s="3">
        <f>IF('ORDENES'!$A154="","",'ORDENES'!$AB154)</f>
        <v/>
      </c>
    </row>
    <row r="177">
      <c r="A177" s="3">
        <f>IF('ORDENES'!$A155="","",IF('ORDENES'!$P155="","-",'ORDENES'!$P155))</f>
        <v/>
      </c>
      <c r="B177" s="3">
        <f>IF('ORDENES'!$A155="","",IF('ORDENES'!$S155="","-",'ORDENES'!$S155))</f>
        <v/>
      </c>
      <c r="C177" s="3">
        <f>IF('ORDENES'!$A155="","",IF('ORDENES'!$AD155="","-",'ORDENES'!$AD155))</f>
        <v/>
      </c>
      <c r="D177" s="3">
        <f>IF('ORDENES'!$A155="","",IF('ORDENES'!$W155="","-",'ORDENES'!$W155))</f>
        <v/>
      </c>
      <c r="E177" s="3">
        <f>IF('ORDENES'!$A155="","",IF('ORDENES'!$V155="","-",'ORDENES'!$V155))</f>
        <v/>
      </c>
      <c r="F177" s="3">
        <f>IF('ORDENES'!$A155="","",IF('ORDENES'!$X155="","-",'ORDENES'!$X155))</f>
        <v/>
      </c>
      <c r="G177" s="3">
        <f>IF('ORDENES'!$A155="","",IF('ORDENES'!$AC155="","-",'ORDENES'!$AC155))</f>
        <v/>
      </c>
      <c r="H177" s="3">
        <f>IF('ORDENES'!$A155="","",IF('ORDENES'!$AO155="","-",'ORDENES'!$AO155))</f>
        <v/>
      </c>
      <c r="I177" s="3">
        <f>IF('ORDENES'!$A155="","",IF('ORDENES'!$D155="","-",'ORDENES'!$D155))</f>
        <v/>
      </c>
      <c r="J177" s="3">
        <f>IF('ORDENES'!$A155="","",IF('ORDENES'!$E155="","-",'ORDENES'!$E155))</f>
        <v/>
      </c>
      <c r="K177" s="12">
        <f>IF('ORDENES'!$A155="","",IF('ORDENES'!$N155="",0,'ORDENES'!$N155))</f>
        <v/>
      </c>
      <c r="L177" s="3">
        <f>IF('ORDENES'!$A155="","",IF('ORDENES'!$O155="","-",'ORDENES'!$O155))</f>
        <v/>
      </c>
      <c r="M177" s="3">
        <f>IF('ORDENES'!$A155="","",'ORDENES'!$AB155)</f>
        <v/>
      </c>
    </row>
    <row r="178">
      <c r="A178" s="3">
        <f>IF('ORDENES'!$A156="","",IF('ORDENES'!$P156="","-",'ORDENES'!$P156))</f>
        <v/>
      </c>
      <c r="B178" s="3">
        <f>IF('ORDENES'!$A156="","",IF('ORDENES'!$S156="","-",'ORDENES'!$S156))</f>
        <v/>
      </c>
      <c r="C178" s="3">
        <f>IF('ORDENES'!$A156="","",IF('ORDENES'!$AD156="","-",'ORDENES'!$AD156))</f>
        <v/>
      </c>
      <c r="D178" s="3">
        <f>IF('ORDENES'!$A156="","",IF('ORDENES'!$W156="","-",'ORDENES'!$W156))</f>
        <v/>
      </c>
      <c r="E178" s="3">
        <f>IF('ORDENES'!$A156="","",IF('ORDENES'!$V156="","-",'ORDENES'!$V156))</f>
        <v/>
      </c>
      <c r="F178" s="3">
        <f>IF('ORDENES'!$A156="","",IF('ORDENES'!$X156="","-",'ORDENES'!$X156))</f>
        <v/>
      </c>
      <c r="G178" s="3">
        <f>IF('ORDENES'!$A156="","",IF('ORDENES'!$AC156="","-",'ORDENES'!$AC156))</f>
        <v/>
      </c>
      <c r="H178" s="3">
        <f>IF('ORDENES'!$A156="","",IF('ORDENES'!$AO156="","-",'ORDENES'!$AO156))</f>
        <v/>
      </c>
      <c r="I178" s="3">
        <f>IF('ORDENES'!$A156="","",IF('ORDENES'!$D156="","-",'ORDENES'!$D156))</f>
        <v/>
      </c>
      <c r="J178" s="3">
        <f>IF('ORDENES'!$A156="","",IF('ORDENES'!$E156="","-",'ORDENES'!$E156))</f>
        <v/>
      </c>
      <c r="K178" s="12">
        <f>IF('ORDENES'!$A156="","",IF('ORDENES'!$N156="",0,'ORDENES'!$N156))</f>
        <v/>
      </c>
      <c r="L178" s="3">
        <f>IF('ORDENES'!$A156="","",IF('ORDENES'!$O156="","-",'ORDENES'!$O156))</f>
        <v/>
      </c>
      <c r="M178" s="3">
        <f>IF('ORDENES'!$A156="","",'ORDENES'!$AB156)</f>
        <v/>
      </c>
    </row>
    <row r="179">
      <c r="A179" s="3">
        <f>IF('ORDENES'!$A157="","",IF('ORDENES'!$P157="","-",'ORDENES'!$P157))</f>
        <v/>
      </c>
      <c r="B179" s="3">
        <f>IF('ORDENES'!$A157="","",IF('ORDENES'!$S157="","-",'ORDENES'!$S157))</f>
        <v/>
      </c>
      <c r="C179" s="3">
        <f>IF('ORDENES'!$A157="","",IF('ORDENES'!$AD157="","-",'ORDENES'!$AD157))</f>
        <v/>
      </c>
      <c r="D179" s="3">
        <f>IF('ORDENES'!$A157="","",IF('ORDENES'!$W157="","-",'ORDENES'!$W157))</f>
        <v/>
      </c>
      <c r="E179" s="3">
        <f>IF('ORDENES'!$A157="","",IF('ORDENES'!$V157="","-",'ORDENES'!$V157))</f>
        <v/>
      </c>
      <c r="F179" s="3">
        <f>IF('ORDENES'!$A157="","",IF('ORDENES'!$X157="","-",'ORDENES'!$X157))</f>
        <v/>
      </c>
      <c r="G179" s="3">
        <f>IF('ORDENES'!$A157="","",IF('ORDENES'!$AC157="","-",'ORDENES'!$AC157))</f>
        <v/>
      </c>
      <c r="H179" s="3">
        <f>IF('ORDENES'!$A157="","",IF('ORDENES'!$AO157="","-",'ORDENES'!$AO157))</f>
        <v/>
      </c>
      <c r="I179" s="3">
        <f>IF('ORDENES'!$A157="","",IF('ORDENES'!$D157="","-",'ORDENES'!$D157))</f>
        <v/>
      </c>
      <c r="J179" s="3">
        <f>IF('ORDENES'!$A157="","",IF('ORDENES'!$E157="","-",'ORDENES'!$E157))</f>
        <v/>
      </c>
      <c r="K179" s="12">
        <f>IF('ORDENES'!$A157="","",IF('ORDENES'!$N157="",0,'ORDENES'!$N157))</f>
        <v/>
      </c>
      <c r="L179" s="3">
        <f>IF('ORDENES'!$A157="","",IF('ORDENES'!$O157="","-",'ORDENES'!$O157))</f>
        <v/>
      </c>
      <c r="M179" s="3">
        <f>IF('ORDENES'!$A157="","",'ORDENES'!$AB157)</f>
        <v/>
      </c>
    </row>
    <row r="180">
      <c r="A180" s="3">
        <f>IF('ORDENES'!$A158="","",IF('ORDENES'!$P158="","-",'ORDENES'!$P158))</f>
        <v/>
      </c>
      <c r="B180" s="3">
        <f>IF('ORDENES'!$A158="","",IF('ORDENES'!$S158="","-",'ORDENES'!$S158))</f>
        <v/>
      </c>
      <c r="C180" s="3">
        <f>IF('ORDENES'!$A158="","",IF('ORDENES'!$AD158="","-",'ORDENES'!$AD158))</f>
        <v/>
      </c>
      <c r="D180" s="3">
        <f>IF('ORDENES'!$A158="","",IF('ORDENES'!$W158="","-",'ORDENES'!$W158))</f>
        <v/>
      </c>
      <c r="E180" s="3">
        <f>IF('ORDENES'!$A158="","",IF('ORDENES'!$V158="","-",'ORDENES'!$V158))</f>
        <v/>
      </c>
      <c r="F180" s="3">
        <f>IF('ORDENES'!$A158="","",IF('ORDENES'!$X158="","-",'ORDENES'!$X158))</f>
        <v/>
      </c>
      <c r="G180" s="3">
        <f>IF('ORDENES'!$A158="","",IF('ORDENES'!$AC158="","-",'ORDENES'!$AC158))</f>
        <v/>
      </c>
      <c r="H180" s="3">
        <f>IF('ORDENES'!$A158="","",IF('ORDENES'!$AO158="","-",'ORDENES'!$AO158))</f>
        <v/>
      </c>
      <c r="I180" s="3">
        <f>IF('ORDENES'!$A158="","",IF('ORDENES'!$D158="","-",'ORDENES'!$D158))</f>
        <v/>
      </c>
      <c r="J180" s="3">
        <f>IF('ORDENES'!$A158="","",IF('ORDENES'!$E158="","-",'ORDENES'!$E158))</f>
        <v/>
      </c>
      <c r="K180" s="12">
        <f>IF('ORDENES'!$A158="","",IF('ORDENES'!$N158="",0,'ORDENES'!$N158))</f>
        <v/>
      </c>
      <c r="L180" s="3">
        <f>IF('ORDENES'!$A158="","",IF('ORDENES'!$O158="","-",'ORDENES'!$O158))</f>
        <v/>
      </c>
      <c r="M180" s="3">
        <f>IF('ORDENES'!$A158="","",'ORDENES'!$AB158)</f>
        <v/>
      </c>
    </row>
    <row r="181">
      <c r="A181" s="3">
        <f>IF('ORDENES'!$A159="","",IF('ORDENES'!$P159="","-",'ORDENES'!$P159))</f>
        <v/>
      </c>
      <c r="B181" s="3">
        <f>IF('ORDENES'!$A159="","",IF('ORDENES'!$S159="","-",'ORDENES'!$S159))</f>
        <v/>
      </c>
      <c r="C181" s="3">
        <f>IF('ORDENES'!$A159="","",IF('ORDENES'!$AD159="","-",'ORDENES'!$AD159))</f>
        <v/>
      </c>
      <c r="D181" s="3">
        <f>IF('ORDENES'!$A159="","",IF('ORDENES'!$W159="","-",'ORDENES'!$W159))</f>
        <v/>
      </c>
      <c r="E181" s="3">
        <f>IF('ORDENES'!$A159="","",IF('ORDENES'!$V159="","-",'ORDENES'!$V159))</f>
        <v/>
      </c>
      <c r="F181" s="3">
        <f>IF('ORDENES'!$A159="","",IF('ORDENES'!$X159="","-",'ORDENES'!$X159))</f>
        <v/>
      </c>
      <c r="G181" s="3">
        <f>IF('ORDENES'!$A159="","",IF('ORDENES'!$AC159="","-",'ORDENES'!$AC159))</f>
        <v/>
      </c>
      <c r="H181" s="3">
        <f>IF('ORDENES'!$A159="","",IF('ORDENES'!$AO159="","-",'ORDENES'!$AO159))</f>
        <v/>
      </c>
      <c r="I181" s="3">
        <f>IF('ORDENES'!$A159="","",IF('ORDENES'!$D159="","-",'ORDENES'!$D159))</f>
        <v/>
      </c>
      <c r="J181" s="3">
        <f>IF('ORDENES'!$A159="","",IF('ORDENES'!$E159="","-",'ORDENES'!$E159))</f>
        <v/>
      </c>
      <c r="K181" s="12">
        <f>IF('ORDENES'!$A159="","",IF('ORDENES'!$N159="",0,'ORDENES'!$N159))</f>
        <v/>
      </c>
      <c r="L181" s="3">
        <f>IF('ORDENES'!$A159="","",IF('ORDENES'!$O159="","-",'ORDENES'!$O159))</f>
        <v/>
      </c>
      <c r="M181" s="3">
        <f>IF('ORDENES'!$A159="","",'ORDENES'!$AB159)</f>
        <v/>
      </c>
    </row>
    <row r="182">
      <c r="A182" s="3">
        <f>IF('ORDENES'!$A160="","",IF('ORDENES'!$P160="","-",'ORDENES'!$P160))</f>
        <v/>
      </c>
      <c r="B182" s="3">
        <f>IF('ORDENES'!$A160="","",IF('ORDENES'!$S160="","-",'ORDENES'!$S160))</f>
        <v/>
      </c>
      <c r="C182" s="3">
        <f>IF('ORDENES'!$A160="","",IF('ORDENES'!$AD160="","-",'ORDENES'!$AD160))</f>
        <v/>
      </c>
      <c r="D182" s="3">
        <f>IF('ORDENES'!$A160="","",IF('ORDENES'!$W160="","-",'ORDENES'!$W160))</f>
        <v/>
      </c>
      <c r="E182" s="3">
        <f>IF('ORDENES'!$A160="","",IF('ORDENES'!$V160="","-",'ORDENES'!$V160))</f>
        <v/>
      </c>
      <c r="F182" s="3">
        <f>IF('ORDENES'!$A160="","",IF('ORDENES'!$X160="","-",'ORDENES'!$X160))</f>
        <v/>
      </c>
      <c r="G182" s="3">
        <f>IF('ORDENES'!$A160="","",IF('ORDENES'!$AC160="","-",'ORDENES'!$AC160))</f>
        <v/>
      </c>
      <c r="H182" s="3">
        <f>IF('ORDENES'!$A160="","",IF('ORDENES'!$AO160="","-",'ORDENES'!$AO160))</f>
        <v/>
      </c>
      <c r="I182" s="3">
        <f>IF('ORDENES'!$A160="","",IF('ORDENES'!$D160="","-",'ORDENES'!$D160))</f>
        <v/>
      </c>
      <c r="J182" s="3">
        <f>IF('ORDENES'!$A160="","",IF('ORDENES'!$E160="","-",'ORDENES'!$E160))</f>
        <v/>
      </c>
      <c r="K182" s="12">
        <f>IF('ORDENES'!$A160="","",IF('ORDENES'!$N160="",0,'ORDENES'!$N160))</f>
        <v/>
      </c>
      <c r="L182" s="3">
        <f>IF('ORDENES'!$A160="","",IF('ORDENES'!$O160="","-",'ORDENES'!$O160))</f>
        <v/>
      </c>
      <c r="M182" s="3">
        <f>IF('ORDENES'!$A160="","",'ORDENES'!$AB160)</f>
        <v/>
      </c>
    </row>
    <row r="183">
      <c r="A183" s="3">
        <f>IF('ORDENES'!$A161="","",IF('ORDENES'!$P161="","-",'ORDENES'!$P161))</f>
        <v/>
      </c>
      <c r="B183" s="3">
        <f>IF('ORDENES'!$A161="","",IF('ORDENES'!$S161="","-",'ORDENES'!$S161))</f>
        <v/>
      </c>
      <c r="C183" s="3">
        <f>IF('ORDENES'!$A161="","",IF('ORDENES'!$AD161="","-",'ORDENES'!$AD161))</f>
        <v/>
      </c>
      <c r="D183" s="3">
        <f>IF('ORDENES'!$A161="","",IF('ORDENES'!$W161="","-",'ORDENES'!$W161))</f>
        <v/>
      </c>
      <c r="E183" s="3">
        <f>IF('ORDENES'!$A161="","",IF('ORDENES'!$V161="","-",'ORDENES'!$V161))</f>
        <v/>
      </c>
      <c r="F183" s="3">
        <f>IF('ORDENES'!$A161="","",IF('ORDENES'!$X161="","-",'ORDENES'!$X161))</f>
        <v/>
      </c>
      <c r="G183" s="3">
        <f>IF('ORDENES'!$A161="","",IF('ORDENES'!$AC161="","-",'ORDENES'!$AC161))</f>
        <v/>
      </c>
      <c r="H183" s="3">
        <f>IF('ORDENES'!$A161="","",IF('ORDENES'!$AO161="","-",'ORDENES'!$AO161))</f>
        <v/>
      </c>
      <c r="I183" s="3">
        <f>IF('ORDENES'!$A161="","",IF('ORDENES'!$D161="","-",'ORDENES'!$D161))</f>
        <v/>
      </c>
      <c r="J183" s="3">
        <f>IF('ORDENES'!$A161="","",IF('ORDENES'!$E161="","-",'ORDENES'!$E161))</f>
        <v/>
      </c>
      <c r="K183" s="12">
        <f>IF('ORDENES'!$A161="","",IF('ORDENES'!$N161="",0,'ORDENES'!$N161))</f>
        <v/>
      </c>
      <c r="L183" s="3">
        <f>IF('ORDENES'!$A161="","",IF('ORDENES'!$O161="","-",'ORDENES'!$O161))</f>
        <v/>
      </c>
      <c r="M183" s="3">
        <f>IF('ORDENES'!$A161="","",'ORDENES'!$AB161)</f>
        <v/>
      </c>
    </row>
    <row r="184">
      <c r="A184" s="3">
        <f>IF('ORDENES'!$A162="","",IF('ORDENES'!$P162="","-",'ORDENES'!$P162))</f>
        <v/>
      </c>
      <c r="B184" s="3">
        <f>IF('ORDENES'!$A162="","",IF('ORDENES'!$S162="","-",'ORDENES'!$S162))</f>
        <v/>
      </c>
      <c r="C184" s="3">
        <f>IF('ORDENES'!$A162="","",IF('ORDENES'!$AD162="","-",'ORDENES'!$AD162))</f>
        <v/>
      </c>
      <c r="D184" s="3">
        <f>IF('ORDENES'!$A162="","",IF('ORDENES'!$W162="","-",'ORDENES'!$W162))</f>
        <v/>
      </c>
      <c r="E184" s="3">
        <f>IF('ORDENES'!$A162="","",IF('ORDENES'!$V162="","-",'ORDENES'!$V162))</f>
        <v/>
      </c>
      <c r="F184" s="3">
        <f>IF('ORDENES'!$A162="","",IF('ORDENES'!$X162="","-",'ORDENES'!$X162))</f>
        <v/>
      </c>
      <c r="G184" s="3">
        <f>IF('ORDENES'!$A162="","",IF('ORDENES'!$AC162="","-",'ORDENES'!$AC162))</f>
        <v/>
      </c>
      <c r="H184" s="3">
        <f>IF('ORDENES'!$A162="","",IF('ORDENES'!$AO162="","-",'ORDENES'!$AO162))</f>
        <v/>
      </c>
      <c r="I184" s="3">
        <f>IF('ORDENES'!$A162="","",IF('ORDENES'!$D162="","-",'ORDENES'!$D162))</f>
        <v/>
      </c>
      <c r="J184" s="3">
        <f>IF('ORDENES'!$A162="","",IF('ORDENES'!$E162="","-",'ORDENES'!$E162))</f>
        <v/>
      </c>
      <c r="K184" s="12">
        <f>IF('ORDENES'!$A162="","",IF('ORDENES'!$N162="",0,'ORDENES'!$N162))</f>
        <v/>
      </c>
      <c r="L184" s="3">
        <f>IF('ORDENES'!$A162="","",IF('ORDENES'!$O162="","-",'ORDENES'!$O162))</f>
        <v/>
      </c>
      <c r="M184" s="3">
        <f>IF('ORDENES'!$A162="","",'ORDENES'!$AB162)</f>
        <v/>
      </c>
    </row>
    <row r="185">
      <c r="A185" s="3">
        <f>IF('ORDENES'!$A163="","",IF('ORDENES'!$P163="","-",'ORDENES'!$P163))</f>
        <v/>
      </c>
      <c r="B185" s="3">
        <f>IF('ORDENES'!$A163="","",IF('ORDENES'!$S163="","-",'ORDENES'!$S163))</f>
        <v/>
      </c>
      <c r="C185" s="3">
        <f>IF('ORDENES'!$A163="","",IF('ORDENES'!$AD163="","-",'ORDENES'!$AD163))</f>
        <v/>
      </c>
      <c r="D185" s="3">
        <f>IF('ORDENES'!$A163="","",IF('ORDENES'!$W163="","-",'ORDENES'!$W163))</f>
        <v/>
      </c>
      <c r="E185" s="3">
        <f>IF('ORDENES'!$A163="","",IF('ORDENES'!$V163="","-",'ORDENES'!$V163))</f>
        <v/>
      </c>
      <c r="F185" s="3">
        <f>IF('ORDENES'!$A163="","",IF('ORDENES'!$X163="","-",'ORDENES'!$X163))</f>
        <v/>
      </c>
      <c r="G185" s="3">
        <f>IF('ORDENES'!$A163="","",IF('ORDENES'!$AC163="","-",'ORDENES'!$AC163))</f>
        <v/>
      </c>
      <c r="H185" s="3">
        <f>IF('ORDENES'!$A163="","",IF('ORDENES'!$AO163="","-",'ORDENES'!$AO163))</f>
        <v/>
      </c>
      <c r="I185" s="3">
        <f>IF('ORDENES'!$A163="","",IF('ORDENES'!$D163="","-",'ORDENES'!$D163))</f>
        <v/>
      </c>
      <c r="J185" s="3">
        <f>IF('ORDENES'!$A163="","",IF('ORDENES'!$E163="","-",'ORDENES'!$E163))</f>
        <v/>
      </c>
      <c r="K185" s="12">
        <f>IF('ORDENES'!$A163="","",IF('ORDENES'!$N163="",0,'ORDENES'!$N163))</f>
        <v/>
      </c>
      <c r="L185" s="3">
        <f>IF('ORDENES'!$A163="","",IF('ORDENES'!$O163="","-",'ORDENES'!$O163))</f>
        <v/>
      </c>
      <c r="M185" s="3">
        <f>IF('ORDENES'!$A163="","",'ORDENES'!$AB163)</f>
        <v/>
      </c>
    </row>
    <row r="186">
      <c r="A186" s="3">
        <f>IF('ORDENES'!$A164="","",IF('ORDENES'!$P164="","-",'ORDENES'!$P164))</f>
        <v/>
      </c>
      <c r="B186" s="3">
        <f>IF('ORDENES'!$A164="","",IF('ORDENES'!$S164="","-",'ORDENES'!$S164))</f>
        <v/>
      </c>
      <c r="C186" s="3">
        <f>IF('ORDENES'!$A164="","",IF('ORDENES'!$AD164="","-",'ORDENES'!$AD164))</f>
        <v/>
      </c>
      <c r="D186" s="3">
        <f>IF('ORDENES'!$A164="","",IF('ORDENES'!$W164="","-",'ORDENES'!$W164))</f>
        <v/>
      </c>
      <c r="E186" s="3">
        <f>IF('ORDENES'!$A164="","",IF('ORDENES'!$V164="","-",'ORDENES'!$V164))</f>
        <v/>
      </c>
      <c r="F186" s="3">
        <f>IF('ORDENES'!$A164="","",IF('ORDENES'!$X164="","-",'ORDENES'!$X164))</f>
        <v/>
      </c>
      <c r="G186" s="3">
        <f>IF('ORDENES'!$A164="","",IF('ORDENES'!$AC164="","-",'ORDENES'!$AC164))</f>
        <v/>
      </c>
      <c r="H186" s="3">
        <f>IF('ORDENES'!$A164="","",IF('ORDENES'!$AO164="","-",'ORDENES'!$AO164))</f>
        <v/>
      </c>
      <c r="I186" s="3">
        <f>IF('ORDENES'!$A164="","",IF('ORDENES'!$D164="","-",'ORDENES'!$D164))</f>
        <v/>
      </c>
      <c r="J186" s="3">
        <f>IF('ORDENES'!$A164="","",IF('ORDENES'!$E164="","-",'ORDENES'!$E164))</f>
        <v/>
      </c>
      <c r="K186" s="12">
        <f>IF('ORDENES'!$A164="","",IF('ORDENES'!$N164="",0,'ORDENES'!$N164))</f>
        <v/>
      </c>
      <c r="L186" s="3">
        <f>IF('ORDENES'!$A164="","",IF('ORDENES'!$O164="","-",'ORDENES'!$O164))</f>
        <v/>
      </c>
      <c r="M186" s="3">
        <f>IF('ORDENES'!$A164="","",'ORDENES'!$AB164)</f>
        <v/>
      </c>
    </row>
    <row r="187">
      <c r="A187" s="3">
        <f>IF('ORDENES'!$A165="","",IF('ORDENES'!$P165="","-",'ORDENES'!$P165))</f>
        <v/>
      </c>
      <c r="B187" s="3">
        <f>IF('ORDENES'!$A165="","",IF('ORDENES'!$S165="","-",'ORDENES'!$S165))</f>
        <v/>
      </c>
      <c r="C187" s="3">
        <f>IF('ORDENES'!$A165="","",IF('ORDENES'!$AD165="","-",'ORDENES'!$AD165))</f>
        <v/>
      </c>
      <c r="D187" s="3">
        <f>IF('ORDENES'!$A165="","",IF('ORDENES'!$W165="","-",'ORDENES'!$W165))</f>
        <v/>
      </c>
      <c r="E187" s="3">
        <f>IF('ORDENES'!$A165="","",IF('ORDENES'!$V165="","-",'ORDENES'!$V165))</f>
        <v/>
      </c>
      <c r="F187" s="3">
        <f>IF('ORDENES'!$A165="","",IF('ORDENES'!$X165="","-",'ORDENES'!$X165))</f>
        <v/>
      </c>
      <c r="G187" s="3">
        <f>IF('ORDENES'!$A165="","",IF('ORDENES'!$AC165="","-",'ORDENES'!$AC165))</f>
        <v/>
      </c>
      <c r="H187" s="3">
        <f>IF('ORDENES'!$A165="","",IF('ORDENES'!$AO165="","-",'ORDENES'!$AO165))</f>
        <v/>
      </c>
      <c r="I187" s="3">
        <f>IF('ORDENES'!$A165="","",IF('ORDENES'!$D165="","-",'ORDENES'!$D165))</f>
        <v/>
      </c>
      <c r="J187" s="3">
        <f>IF('ORDENES'!$A165="","",IF('ORDENES'!$E165="","-",'ORDENES'!$E165))</f>
        <v/>
      </c>
      <c r="K187" s="12">
        <f>IF('ORDENES'!$A165="","",IF('ORDENES'!$N165="",0,'ORDENES'!$N165))</f>
        <v/>
      </c>
      <c r="L187" s="3">
        <f>IF('ORDENES'!$A165="","",IF('ORDENES'!$O165="","-",'ORDENES'!$O165))</f>
        <v/>
      </c>
      <c r="M187" s="3">
        <f>IF('ORDENES'!$A165="","",'ORDENES'!$AB165)</f>
        <v/>
      </c>
    </row>
    <row r="188">
      <c r="A188" s="3">
        <f>IF('ORDENES'!$A166="","",IF('ORDENES'!$P166="","-",'ORDENES'!$P166))</f>
        <v/>
      </c>
      <c r="B188" s="3">
        <f>IF('ORDENES'!$A166="","",IF('ORDENES'!$S166="","-",'ORDENES'!$S166))</f>
        <v/>
      </c>
      <c r="C188" s="3">
        <f>IF('ORDENES'!$A166="","",IF('ORDENES'!$AD166="","-",'ORDENES'!$AD166))</f>
        <v/>
      </c>
      <c r="D188" s="3">
        <f>IF('ORDENES'!$A166="","",IF('ORDENES'!$W166="","-",'ORDENES'!$W166))</f>
        <v/>
      </c>
      <c r="E188" s="3">
        <f>IF('ORDENES'!$A166="","",IF('ORDENES'!$V166="","-",'ORDENES'!$V166))</f>
        <v/>
      </c>
      <c r="F188" s="3">
        <f>IF('ORDENES'!$A166="","",IF('ORDENES'!$X166="","-",'ORDENES'!$X166))</f>
        <v/>
      </c>
      <c r="G188" s="3">
        <f>IF('ORDENES'!$A166="","",IF('ORDENES'!$AC166="","-",'ORDENES'!$AC166))</f>
        <v/>
      </c>
      <c r="H188" s="3">
        <f>IF('ORDENES'!$A166="","",IF('ORDENES'!$AO166="","-",'ORDENES'!$AO166))</f>
        <v/>
      </c>
      <c r="I188" s="3">
        <f>IF('ORDENES'!$A166="","",IF('ORDENES'!$D166="","-",'ORDENES'!$D166))</f>
        <v/>
      </c>
      <c r="J188" s="3">
        <f>IF('ORDENES'!$A166="","",IF('ORDENES'!$E166="","-",'ORDENES'!$E166))</f>
        <v/>
      </c>
      <c r="K188" s="12">
        <f>IF('ORDENES'!$A166="","",IF('ORDENES'!$N166="",0,'ORDENES'!$N166))</f>
        <v/>
      </c>
      <c r="L188" s="3">
        <f>IF('ORDENES'!$A166="","",IF('ORDENES'!$O166="","-",'ORDENES'!$O166))</f>
        <v/>
      </c>
      <c r="M188" s="3">
        <f>IF('ORDENES'!$A166="","",'ORDENES'!$AB166)</f>
        <v/>
      </c>
    </row>
    <row r="189">
      <c r="A189" s="3">
        <f>IF('ORDENES'!$A167="","",IF('ORDENES'!$P167="","-",'ORDENES'!$P167))</f>
        <v/>
      </c>
      <c r="B189" s="3">
        <f>IF('ORDENES'!$A167="","",IF('ORDENES'!$S167="","-",'ORDENES'!$S167))</f>
        <v/>
      </c>
      <c r="C189" s="3">
        <f>IF('ORDENES'!$A167="","",IF('ORDENES'!$AD167="","-",'ORDENES'!$AD167))</f>
        <v/>
      </c>
      <c r="D189" s="3">
        <f>IF('ORDENES'!$A167="","",IF('ORDENES'!$W167="","-",'ORDENES'!$W167))</f>
        <v/>
      </c>
      <c r="E189" s="3">
        <f>IF('ORDENES'!$A167="","",IF('ORDENES'!$V167="","-",'ORDENES'!$V167))</f>
        <v/>
      </c>
      <c r="F189" s="3">
        <f>IF('ORDENES'!$A167="","",IF('ORDENES'!$X167="","-",'ORDENES'!$X167))</f>
        <v/>
      </c>
      <c r="G189" s="3">
        <f>IF('ORDENES'!$A167="","",IF('ORDENES'!$AC167="","-",'ORDENES'!$AC167))</f>
        <v/>
      </c>
      <c r="H189" s="3">
        <f>IF('ORDENES'!$A167="","",IF('ORDENES'!$AO167="","-",'ORDENES'!$AO167))</f>
        <v/>
      </c>
      <c r="I189" s="3">
        <f>IF('ORDENES'!$A167="","",IF('ORDENES'!$D167="","-",'ORDENES'!$D167))</f>
        <v/>
      </c>
      <c r="J189" s="3">
        <f>IF('ORDENES'!$A167="","",IF('ORDENES'!$E167="","-",'ORDENES'!$E167))</f>
        <v/>
      </c>
      <c r="K189" s="12">
        <f>IF('ORDENES'!$A167="","",IF('ORDENES'!$N167="",0,'ORDENES'!$N167))</f>
        <v/>
      </c>
      <c r="L189" s="3">
        <f>IF('ORDENES'!$A167="","",IF('ORDENES'!$O167="","-",'ORDENES'!$O167))</f>
        <v/>
      </c>
      <c r="M189" s="3">
        <f>IF('ORDENES'!$A167="","",'ORDENES'!$AB167)</f>
        <v/>
      </c>
    </row>
    <row r="190">
      <c r="A190" s="3">
        <f>IF('ORDENES'!$A168="","",IF('ORDENES'!$P168="","-",'ORDENES'!$P168))</f>
        <v/>
      </c>
      <c r="B190" s="3">
        <f>IF('ORDENES'!$A168="","",IF('ORDENES'!$S168="","-",'ORDENES'!$S168))</f>
        <v/>
      </c>
      <c r="C190" s="3">
        <f>IF('ORDENES'!$A168="","",IF('ORDENES'!$AD168="","-",'ORDENES'!$AD168))</f>
        <v/>
      </c>
      <c r="D190" s="3">
        <f>IF('ORDENES'!$A168="","",IF('ORDENES'!$W168="","-",'ORDENES'!$W168))</f>
        <v/>
      </c>
      <c r="E190" s="3">
        <f>IF('ORDENES'!$A168="","",IF('ORDENES'!$V168="","-",'ORDENES'!$V168))</f>
        <v/>
      </c>
      <c r="F190" s="3">
        <f>IF('ORDENES'!$A168="","",IF('ORDENES'!$X168="","-",'ORDENES'!$X168))</f>
        <v/>
      </c>
      <c r="G190" s="3">
        <f>IF('ORDENES'!$A168="","",IF('ORDENES'!$AC168="","-",'ORDENES'!$AC168))</f>
        <v/>
      </c>
      <c r="H190" s="3">
        <f>IF('ORDENES'!$A168="","",IF('ORDENES'!$AO168="","-",'ORDENES'!$AO168))</f>
        <v/>
      </c>
      <c r="I190" s="3">
        <f>IF('ORDENES'!$A168="","",IF('ORDENES'!$D168="","-",'ORDENES'!$D168))</f>
        <v/>
      </c>
      <c r="J190" s="3">
        <f>IF('ORDENES'!$A168="","",IF('ORDENES'!$E168="","-",'ORDENES'!$E168))</f>
        <v/>
      </c>
      <c r="K190" s="12">
        <f>IF('ORDENES'!$A168="","",IF('ORDENES'!$N168="",0,'ORDENES'!$N168))</f>
        <v/>
      </c>
      <c r="L190" s="3">
        <f>IF('ORDENES'!$A168="","",IF('ORDENES'!$O168="","-",'ORDENES'!$O168))</f>
        <v/>
      </c>
      <c r="M190" s="3">
        <f>IF('ORDENES'!$A168="","",'ORDENES'!$AB168)</f>
        <v/>
      </c>
    </row>
    <row r="191">
      <c r="A191" s="3">
        <f>IF('ORDENES'!$A169="","",IF('ORDENES'!$P169="","-",'ORDENES'!$P169))</f>
        <v/>
      </c>
      <c r="B191" s="3">
        <f>IF('ORDENES'!$A169="","",IF('ORDENES'!$S169="","-",'ORDENES'!$S169))</f>
        <v/>
      </c>
      <c r="C191" s="3">
        <f>IF('ORDENES'!$A169="","",IF('ORDENES'!$AD169="","-",'ORDENES'!$AD169))</f>
        <v/>
      </c>
      <c r="D191" s="3">
        <f>IF('ORDENES'!$A169="","",IF('ORDENES'!$W169="","-",'ORDENES'!$W169))</f>
        <v/>
      </c>
      <c r="E191" s="3">
        <f>IF('ORDENES'!$A169="","",IF('ORDENES'!$V169="","-",'ORDENES'!$V169))</f>
        <v/>
      </c>
      <c r="F191" s="3">
        <f>IF('ORDENES'!$A169="","",IF('ORDENES'!$X169="","-",'ORDENES'!$X169))</f>
        <v/>
      </c>
      <c r="G191" s="3">
        <f>IF('ORDENES'!$A169="","",IF('ORDENES'!$AC169="","-",'ORDENES'!$AC169))</f>
        <v/>
      </c>
      <c r="H191" s="3">
        <f>IF('ORDENES'!$A169="","",IF('ORDENES'!$AO169="","-",'ORDENES'!$AO169))</f>
        <v/>
      </c>
      <c r="I191" s="3">
        <f>IF('ORDENES'!$A169="","",IF('ORDENES'!$D169="","-",'ORDENES'!$D169))</f>
        <v/>
      </c>
      <c r="J191" s="3">
        <f>IF('ORDENES'!$A169="","",IF('ORDENES'!$E169="","-",'ORDENES'!$E169))</f>
        <v/>
      </c>
      <c r="K191" s="12">
        <f>IF('ORDENES'!$A169="","",IF('ORDENES'!$N169="",0,'ORDENES'!$N169))</f>
        <v/>
      </c>
      <c r="L191" s="3">
        <f>IF('ORDENES'!$A169="","",IF('ORDENES'!$O169="","-",'ORDENES'!$O169))</f>
        <v/>
      </c>
      <c r="M191" s="3">
        <f>IF('ORDENES'!$A169="","",'ORDENES'!$AB169)</f>
        <v/>
      </c>
    </row>
    <row r="192">
      <c r="A192" s="3">
        <f>IF('ORDENES'!$A170="","",IF('ORDENES'!$P170="","-",'ORDENES'!$P170))</f>
        <v/>
      </c>
      <c r="B192" s="3">
        <f>IF('ORDENES'!$A170="","",IF('ORDENES'!$S170="","-",'ORDENES'!$S170))</f>
        <v/>
      </c>
      <c r="C192" s="3">
        <f>IF('ORDENES'!$A170="","",IF('ORDENES'!$AD170="","-",'ORDENES'!$AD170))</f>
        <v/>
      </c>
      <c r="D192" s="3">
        <f>IF('ORDENES'!$A170="","",IF('ORDENES'!$W170="","-",'ORDENES'!$W170))</f>
        <v/>
      </c>
      <c r="E192" s="3">
        <f>IF('ORDENES'!$A170="","",IF('ORDENES'!$V170="","-",'ORDENES'!$V170))</f>
        <v/>
      </c>
      <c r="F192" s="3">
        <f>IF('ORDENES'!$A170="","",IF('ORDENES'!$X170="","-",'ORDENES'!$X170))</f>
        <v/>
      </c>
      <c r="G192" s="3">
        <f>IF('ORDENES'!$A170="","",IF('ORDENES'!$AC170="","-",'ORDENES'!$AC170))</f>
        <v/>
      </c>
      <c r="H192" s="3">
        <f>IF('ORDENES'!$A170="","",IF('ORDENES'!$AO170="","-",'ORDENES'!$AO170))</f>
        <v/>
      </c>
      <c r="I192" s="3">
        <f>IF('ORDENES'!$A170="","",IF('ORDENES'!$D170="","-",'ORDENES'!$D170))</f>
        <v/>
      </c>
      <c r="J192" s="3">
        <f>IF('ORDENES'!$A170="","",IF('ORDENES'!$E170="","-",'ORDENES'!$E170))</f>
        <v/>
      </c>
      <c r="K192" s="12">
        <f>IF('ORDENES'!$A170="","",IF('ORDENES'!$N170="",0,'ORDENES'!$N170))</f>
        <v/>
      </c>
      <c r="L192" s="3">
        <f>IF('ORDENES'!$A170="","",IF('ORDENES'!$O170="","-",'ORDENES'!$O170))</f>
        <v/>
      </c>
      <c r="M192" s="3">
        <f>IF('ORDENES'!$A170="","",'ORDENES'!$AB170)</f>
        <v/>
      </c>
    </row>
    <row r="193">
      <c r="A193" s="3">
        <f>IF('ORDENES'!$A171="","",IF('ORDENES'!$P171="","-",'ORDENES'!$P171))</f>
        <v/>
      </c>
      <c r="B193" s="3">
        <f>IF('ORDENES'!$A171="","",IF('ORDENES'!$S171="","-",'ORDENES'!$S171))</f>
        <v/>
      </c>
      <c r="C193" s="3">
        <f>IF('ORDENES'!$A171="","",IF('ORDENES'!$AD171="","-",'ORDENES'!$AD171))</f>
        <v/>
      </c>
      <c r="D193" s="3">
        <f>IF('ORDENES'!$A171="","",IF('ORDENES'!$W171="","-",'ORDENES'!$W171))</f>
        <v/>
      </c>
      <c r="E193" s="3">
        <f>IF('ORDENES'!$A171="","",IF('ORDENES'!$V171="","-",'ORDENES'!$V171))</f>
        <v/>
      </c>
      <c r="F193" s="3">
        <f>IF('ORDENES'!$A171="","",IF('ORDENES'!$X171="","-",'ORDENES'!$X171))</f>
        <v/>
      </c>
      <c r="G193" s="3">
        <f>IF('ORDENES'!$A171="","",IF('ORDENES'!$AC171="","-",'ORDENES'!$AC171))</f>
        <v/>
      </c>
      <c r="H193" s="3">
        <f>IF('ORDENES'!$A171="","",IF('ORDENES'!$AO171="","-",'ORDENES'!$AO171))</f>
        <v/>
      </c>
      <c r="I193" s="3">
        <f>IF('ORDENES'!$A171="","",IF('ORDENES'!$D171="","-",'ORDENES'!$D171))</f>
        <v/>
      </c>
      <c r="J193" s="3">
        <f>IF('ORDENES'!$A171="","",IF('ORDENES'!$E171="","-",'ORDENES'!$E171))</f>
        <v/>
      </c>
      <c r="K193" s="12">
        <f>IF('ORDENES'!$A171="","",IF('ORDENES'!$N171="",0,'ORDENES'!$N171))</f>
        <v/>
      </c>
      <c r="L193" s="3">
        <f>IF('ORDENES'!$A171="","",IF('ORDENES'!$O171="","-",'ORDENES'!$O171))</f>
        <v/>
      </c>
      <c r="M193" s="3">
        <f>IF('ORDENES'!$A171="","",'ORDENES'!$AB171)</f>
        <v/>
      </c>
    </row>
    <row r="194">
      <c r="A194" s="3">
        <f>IF('ORDENES'!$A172="","",IF('ORDENES'!$P172="","-",'ORDENES'!$P172))</f>
        <v/>
      </c>
      <c r="B194" s="3">
        <f>IF('ORDENES'!$A172="","",IF('ORDENES'!$S172="","-",'ORDENES'!$S172))</f>
        <v/>
      </c>
      <c r="C194" s="3">
        <f>IF('ORDENES'!$A172="","",IF('ORDENES'!$AD172="","-",'ORDENES'!$AD172))</f>
        <v/>
      </c>
      <c r="D194" s="3">
        <f>IF('ORDENES'!$A172="","",IF('ORDENES'!$W172="","-",'ORDENES'!$W172))</f>
        <v/>
      </c>
      <c r="E194" s="3">
        <f>IF('ORDENES'!$A172="","",IF('ORDENES'!$V172="","-",'ORDENES'!$V172))</f>
        <v/>
      </c>
      <c r="F194" s="3">
        <f>IF('ORDENES'!$A172="","",IF('ORDENES'!$X172="","-",'ORDENES'!$X172))</f>
        <v/>
      </c>
      <c r="G194" s="3">
        <f>IF('ORDENES'!$A172="","",IF('ORDENES'!$AC172="","-",'ORDENES'!$AC172))</f>
        <v/>
      </c>
      <c r="H194" s="3">
        <f>IF('ORDENES'!$A172="","",IF('ORDENES'!$AO172="","-",'ORDENES'!$AO172))</f>
        <v/>
      </c>
      <c r="I194" s="3">
        <f>IF('ORDENES'!$A172="","",IF('ORDENES'!$D172="","-",'ORDENES'!$D172))</f>
        <v/>
      </c>
      <c r="J194" s="3">
        <f>IF('ORDENES'!$A172="","",IF('ORDENES'!$E172="","-",'ORDENES'!$E172))</f>
        <v/>
      </c>
      <c r="K194" s="12">
        <f>IF('ORDENES'!$A172="","",IF('ORDENES'!$N172="",0,'ORDENES'!$N172))</f>
        <v/>
      </c>
      <c r="L194" s="3">
        <f>IF('ORDENES'!$A172="","",IF('ORDENES'!$O172="","-",'ORDENES'!$O172))</f>
        <v/>
      </c>
      <c r="M194" s="3">
        <f>IF('ORDENES'!$A172="","",'ORDENES'!$AB172)</f>
        <v/>
      </c>
    </row>
    <row r="195">
      <c r="A195" s="3">
        <f>IF('ORDENES'!$A173="","",IF('ORDENES'!$P173="","-",'ORDENES'!$P173))</f>
        <v/>
      </c>
      <c r="B195" s="3">
        <f>IF('ORDENES'!$A173="","",IF('ORDENES'!$S173="","-",'ORDENES'!$S173))</f>
        <v/>
      </c>
      <c r="C195" s="3">
        <f>IF('ORDENES'!$A173="","",IF('ORDENES'!$AD173="","-",'ORDENES'!$AD173))</f>
        <v/>
      </c>
      <c r="D195" s="3">
        <f>IF('ORDENES'!$A173="","",IF('ORDENES'!$W173="","-",'ORDENES'!$W173))</f>
        <v/>
      </c>
      <c r="E195" s="3">
        <f>IF('ORDENES'!$A173="","",IF('ORDENES'!$V173="","-",'ORDENES'!$V173))</f>
        <v/>
      </c>
      <c r="F195" s="3">
        <f>IF('ORDENES'!$A173="","",IF('ORDENES'!$X173="","-",'ORDENES'!$X173))</f>
        <v/>
      </c>
      <c r="G195" s="3">
        <f>IF('ORDENES'!$A173="","",IF('ORDENES'!$AC173="","-",'ORDENES'!$AC173))</f>
        <v/>
      </c>
      <c r="H195" s="3">
        <f>IF('ORDENES'!$A173="","",IF('ORDENES'!$AO173="","-",'ORDENES'!$AO173))</f>
        <v/>
      </c>
      <c r="I195" s="3">
        <f>IF('ORDENES'!$A173="","",IF('ORDENES'!$D173="","-",'ORDENES'!$D173))</f>
        <v/>
      </c>
      <c r="J195" s="3">
        <f>IF('ORDENES'!$A173="","",IF('ORDENES'!$E173="","-",'ORDENES'!$E173))</f>
        <v/>
      </c>
      <c r="K195" s="12">
        <f>IF('ORDENES'!$A173="","",IF('ORDENES'!$N173="",0,'ORDENES'!$N173))</f>
        <v/>
      </c>
      <c r="L195" s="3">
        <f>IF('ORDENES'!$A173="","",IF('ORDENES'!$O173="","-",'ORDENES'!$O173))</f>
        <v/>
      </c>
      <c r="M195" s="3">
        <f>IF('ORDENES'!$A173="","",'ORDENES'!$AB173)</f>
        <v/>
      </c>
    </row>
    <row r="196">
      <c r="A196" s="3">
        <f>IF('ORDENES'!$A174="","",IF('ORDENES'!$P174="","-",'ORDENES'!$P174))</f>
        <v/>
      </c>
      <c r="B196" s="3">
        <f>IF('ORDENES'!$A174="","",IF('ORDENES'!$S174="","-",'ORDENES'!$S174))</f>
        <v/>
      </c>
      <c r="C196" s="3">
        <f>IF('ORDENES'!$A174="","",IF('ORDENES'!$AD174="","-",'ORDENES'!$AD174))</f>
        <v/>
      </c>
      <c r="D196" s="3">
        <f>IF('ORDENES'!$A174="","",IF('ORDENES'!$W174="","-",'ORDENES'!$W174))</f>
        <v/>
      </c>
      <c r="E196" s="3">
        <f>IF('ORDENES'!$A174="","",IF('ORDENES'!$V174="","-",'ORDENES'!$V174))</f>
        <v/>
      </c>
      <c r="F196" s="3">
        <f>IF('ORDENES'!$A174="","",IF('ORDENES'!$X174="","-",'ORDENES'!$X174))</f>
        <v/>
      </c>
      <c r="G196" s="3">
        <f>IF('ORDENES'!$A174="","",IF('ORDENES'!$AC174="","-",'ORDENES'!$AC174))</f>
        <v/>
      </c>
      <c r="H196" s="3">
        <f>IF('ORDENES'!$A174="","",IF('ORDENES'!$AO174="","-",'ORDENES'!$AO174))</f>
        <v/>
      </c>
      <c r="I196" s="3">
        <f>IF('ORDENES'!$A174="","",IF('ORDENES'!$D174="","-",'ORDENES'!$D174))</f>
        <v/>
      </c>
      <c r="J196" s="3">
        <f>IF('ORDENES'!$A174="","",IF('ORDENES'!$E174="","-",'ORDENES'!$E174))</f>
        <v/>
      </c>
      <c r="K196" s="12">
        <f>IF('ORDENES'!$A174="","",IF('ORDENES'!$N174="",0,'ORDENES'!$N174))</f>
        <v/>
      </c>
      <c r="L196" s="3">
        <f>IF('ORDENES'!$A174="","",IF('ORDENES'!$O174="","-",'ORDENES'!$O174))</f>
        <v/>
      </c>
      <c r="M196" s="3">
        <f>IF('ORDENES'!$A174="","",'ORDENES'!$AB174)</f>
        <v/>
      </c>
    </row>
    <row r="197">
      <c r="A197" s="3">
        <f>IF('ORDENES'!$A175="","",IF('ORDENES'!$P175="","-",'ORDENES'!$P175))</f>
        <v/>
      </c>
      <c r="B197" s="3">
        <f>IF('ORDENES'!$A175="","",IF('ORDENES'!$S175="","-",'ORDENES'!$S175))</f>
        <v/>
      </c>
      <c r="C197" s="3">
        <f>IF('ORDENES'!$A175="","",IF('ORDENES'!$AD175="","-",'ORDENES'!$AD175))</f>
        <v/>
      </c>
      <c r="D197" s="3">
        <f>IF('ORDENES'!$A175="","",IF('ORDENES'!$W175="","-",'ORDENES'!$W175))</f>
        <v/>
      </c>
      <c r="E197" s="3">
        <f>IF('ORDENES'!$A175="","",IF('ORDENES'!$V175="","-",'ORDENES'!$V175))</f>
        <v/>
      </c>
      <c r="F197" s="3">
        <f>IF('ORDENES'!$A175="","",IF('ORDENES'!$X175="","-",'ORDENES'!$X175))</f>
        <v/>
      </c>
      <c r="G197" s="3">
        <f>IF('ORDENES'!$A175="","",IF('ORDENES'!$AC175="","-",'ORDENES'!$AC175))</f>
        <v/>
      </c>
      <c r="H197" s="3">
        <f>IF('ORDENES'!$A175="","",IF('ORDENES'!$AO175="","-",'ORDENES'!$AO175))</f>
        <v/>
      </c>
      <c r="I197" s="3">
        <f>IF('ORDENES'!$A175="","",IF('ORDENES'!$D175="","-",'ORDENES'!$D175))</f>
        <v/>
      </c>
      <c r="J197" s="3">
        <f>IF('ORDENES'!$A175="","",IF('ORDENES'!$E175="","-",'ORDENES'!$E175))</f>
        <v/>
      </c>
      <c r="K197" s="12">
        <f>IF('ORDENES'!$A175="","",IF('ORDENES'!$N175="",0,'ORDENES'!$N175))</f>
        <v/>
      </c>
      <c r="L197" s="3">
        <f>IF('ORDENES'!$A175="","",IF('ORDENES'!$O175="","-",'ORDENES'!$O175))</f>
        <v/>
      </c>
      <c r="M197" s="3">
        <f>IF('ORDENES'!$A175="","",'ORDENES'!$AB175)</f>
        <v/>
      </c>
    </row>
    <row r="198">
      <c r="A198" s="3">
        <f>IF('ORDENES'!$A176="","",IF('ORDENES'!$P176="","-",'ORDENES'!$P176))</f>
        <v/>
      </c>
      <c r="B198" s="3">
        <f>IF('ORDENES'!$A176="","",IF('ORDENES'!$S176="","-",'ORDENES'!$S176))</f>
        <v/>
      </c>
      <c r="C198" s="3">
        <f>IF('ORDENES'!$A176="","",IF('ORDENES'!$AD176="","-",'ORDENES'!$AD176))</f>
        <v/>
      </c>
      <c r="D198" s="3">
        <f>IF('ORDENES'!$A176="","",IF('ORDENES'!$W176="","-",'ORDENES'!$W176))</f>
        <v/>
      </c>
      <c r="E198" s="3">
        <f>IF('ORDENES'!$A176="","",IF('ORDENES'!$V176="","-",'ORDENES'!$V176))</f>
        <v/>
      </c>
      <c r="F198" s="3">
        <f>IF('ORDENES'!$A176="","",IF('ORDENES'!$X176="","-",'ORDENES'!$X176))</f>
        <v/>
      </c>
      <c r="G198" s="3">
        <f>IF('ORDENES'!$A176="","",IF('ORDENES'!$AC176="","-",'ORDENES'!$AC176))</f>
        <v/>
      </c>
      <c r="H198" s="3">
        <f>IF('ORDENES'!$A176="","",IF('ORDENES'!$AO176="","-",'ORDENES'!$AO176))</f>
        <v/>
      </c>
      <c r="I198" s="3">
        <f>IF('ORDENES'!$A176="","",IF('ORDENES'!$D176="","-",'ORDENES'!$D176))</f>
        <v/>
      </c>
      <c r="J198" s="3">
        <f>IF('ORDENES'!$A176="","",IF('ORDENES'!$E176="","-",'ORDENES'!$E176))</f>
        <v/>
      </c>
      <c r="K198" s="12">
        <f>IF('ORDENES'!$A176="","",IF('ORDENES'!$N176="",0,'ORDENES'!$N176))</f>
        <v/>
      </c>
      <c r="L198" s="3">
        <f>IF('ORDENES'!$A176="","",IF('ORDENES'!$O176="","-",'ORDENES'!$O176))</f>
        <v/>
      </c>
      <c r="M198" s="3">
        <f>IF('ORDENES'!$A176="","",'ORDENES'!$AB176)</f>
        <v/>
      </c>
    </row>
    <row r="199">
      <c r="A199" s="3">
        <f>IF('ORDENES'!$A177="","",IF('ORDENES'!$P177="","-",'ORDENES'!$P177))</f>
        <v/>
      </c>
      <c r="B199" s="3">
        <f>IF('ORDENES'!$A177="","",IF('ORDENES'!$S177="","-",'ORDENES'!$S177))</f>
        <v/>
      </c>
      <c r="C199" s="3">
        <f>IF('ORDENES'!$A177="","",IF('ORDENES'!$AD177="","-",'ORDENES'!$AD177))</f>
        <v/>
      </c>
      <c r="D199" s="3">
        <f>IF('ORDENES'!$A177="","",IF('ORDENES'!$W177="","-",'ORDENES'!$W177))</f>
        <v/>
      </c>
      <c r="E199" s="3">
        <f>IF('ORDENES'!$A177="","",IF('ORDENES'!$V177="","-",'ORDENES'!$V177))</f>
        <v/>
      </c>
      <c r="F199" s="3">
        <f>IF('ORDENES'!$A177="","",IF('ORDENES'!$X177="","-",'ORDENES'!$X177))</f>
        <v/>
      </c>
      <c r="G199" s="3">
        <f>IF('ORDENES'!$A177="","",IF('ORDENES'!$AC177="","-",'ORDENES'!$AC177))</f>
        <v/>
      </c>
      <c r="H199" s="3">
        <f>IF('ORDENES'!$A177="","",IF('ORDENES'!$AO177="","-",'ORDENES'!$AO177))</f>
        <v/>
      </c>
      <c r="I199" s="3">
        <f>IF('ORDENES'!$A177="","",IF('ORDENES'!$D177="","-",'ORDENES'!$D177))</f>
        <v/>
      </c>
      <c r="J199" s="3">
        <f>IF('ORDENES'!$A177="","",IF('ORDENES'!$E177="","-",'ORDENES'!$E177))</f>
        <v/>
      </c>
      <c r="K199" s="12">
        <f>IF('ORDENES'!$A177="","",IF('ORDENES'!$N177="",0,'ORDENES'!$N177))</f>
        <v/>
      </c>
      <c r="L199" s="3">
        <f>IF('ORDENES'!$A177="","",IF('ORDENES'!$O177="","-",'ORDENES'!$O177))</f>
        <v/>
      </c>
      <c r="M199" s="3">
        <f>IF('ORDENES'!$A177="","",'ORDENES'!$AB177)</f>
        <v/>
      </c>
    </row>
    <row r="200">
      <c r="A200" s="3">
        <f>IF('ORDENES'!$A178="","",IF('ORDENES'!$P178="","-",'ORDENES'!$P178))</f>
        <v/>
      </c>
      <c r="B200" s="3">
        <f>IF('ORDENES'!$A178="","",IF('ORDENES'!$S178="","-",'ORDENES'!$S178))</f>
        <v/>
      </c>
      <c r="C200" s="3">
        <f>IF('ORDENES'!$A178="","",IF('ORDENES'!$AD178="","-",'ORDENES'!$AD178))</f>
        <v/>
      </c>
      <c r="D200" s="3">
        <f>IF('ORDENES'!$A178="","",IF('ORDENES'!$W178="","-",'ORDENES'!$W178))</f>
        <v/>
      </c>
      <c r="E200" s="3">
        <f>IF('ORDENES'!$A178="","",IF('ORDENES'!$V178="","-",'ORDENES'!$V178))</f>
        <v/>
      </c>
      <c r="F200" s="3">
        <f>IF('ORDENES'!$A178="","",IF('ORDENES'!$X178="","-",'ORDENES'!$X178))</f>
        <v/>
      </c>
      <c r="G200" s="3">
        <f>IF('ORDENES'!$A178="","",IF('ORDENES'!$AC178="","-",'ORDENES'!$AC178))</f>
        <v/>
      </c>
      <c r="H200" s="3">
        <f>IF('ORDENES'!$A178="","",IF('ORDENES'!$AO178="","-",'ORDENES'!$AO178))</f>
        <v/>
      </c>
      <c r="I200" s="3">
        <f>IF('ORDENES'!$A178="","",IF('ORDENES'!$D178="","-",'ORDENES'!$D178))</f>
        <v/>
      </c>
      <c r="J200" s="3">
        <f>IF('ORDENES'!$A178="","",IF('ORDENES'!$E178="","-",'ORDENES'!$E178))</f>
        <v/>
      </c>
      <c r="K200" s="12">
        <f>IF('ORDENES'!$A178="","",IF('ORDENES'!$N178="",0,'ORDENES'!$N178))</f>
        <v/>
      </c>
      <c r="L200" s="3">
        <f>IF('ORDENES'!$A178="","",IF('ORDENES'!$O178="","-",'ORDENES'!$O178))</f>
        <v/>
      </c>
      <c r="M200" s="3">
        <f>IF('ORDENES'!$A178="","",'ORDENES'!$AB178)</f>
        <v/>
      </c>
    </row>
    <row r="201">
      <c r="A201" s="3">
        <f>IF('ORDENES'!$A179="","",IF('ORDENES'!$P179="","-",'ORDENES'!$P179))</f>
        <v/>
      </c>
      <c r="B201" s="3">
        <f>IF('ORDENES'!$A179="","",IF('ORDENES'!$S179="","-",'ORDENES'!$S179))</f>
        <v/>
      </c>
      <c r="C201" s="3">
        <f>IF('ORDENES'!$A179="","",IF('ORDENES'!$AD179="","-",'ORDENES'!$AD179))</f>
        <v/>
      </c>
      <c r="D201" s="3">
        <f>IF('ORDENES'!$A179="","",IF('ORDENES'!$W179="","-",'ORDENES'!$W179))</f>
        <v/>
      </c>
      <c r="E201" s="3">
        <f>IF('ORDENES'!$A179="","",IF('ORDENES'!$V179="","-",'ORDENES'!$V179))</f>
        <v/>
      </c>
      <c r="F201" s="3">
        <f>IF('ORDENES'!$A179="","",IF('ORDENES'!$X179="","-",'ORDENES'!$X179))</f>
        <v/>
      </c>
      <c r="G201" s="3">
        <f>IF('ORDENES'!$A179="","",IF('ORDENES'!$AC179="","-",'ORDENES'!$AC179))</f>
        <v/>
      </c>
      <c r="H201" s="3">
        <f>IF('ORDENES'!$A179="","",IF('ORDENES'!$AO179="","-",'ORDENES'!$AO179))</f>
        <v/>
      </c>
      <c r="I201" s="3">
        <f>IF('ORDENES'!$A179="","",IF('ORDENES'!$D179="","-",'ORDENES'!$D179))</f>
        <v/>
      </c>
      <c r="J201" s="3">
        <f>IF('ORDENES'!$A179="","",IF('ORDENES'!$E179="","-",'ORDENES'!$E179))</f>
        <v/>
      </c>
      <c r="K201" s="12">
        <f>IF('ORDENES'!$A179="","",IF('ORDENES'!$N179="",0,'ORDENES'!$N179))</f>
        <v/>
      </c>
      <c r="L201" s="3">
        <f>IF('ORDENES'!$A179="","",IF('ORDENES'!$O179="","-",'ORDENES'!$O179))</f>
        <v/>
      </c>
      <c r="M201" s="3">
        <f>IF('ORDENES'!$A179="","",'ORDENES'!$AB179)</f>
        <v/>
      </c>
    </row>
    <row r="202">
      <c r="A202" s="3">
        <f>IF('ORDENES'!$A180="","",IF('ORDENES'!$P180="","-",'ORDENES'!$P180))</f>
        <v/>
      </c>
      <c r="B202" s="3">
        <f>IF('ORDENES'!$A180="","",IF('ORDENES'!$S180="","-",'ORDENES'!$S180))</f>
        <v/>
      </c>
      <c r="C202" s="3">
        <f>IF('ORDENES'!$A180="","",IF('ORDENES'!$AD180="","-",'ORDENES'!$AD180))</f>
        <v/>
      </c>
      <c r="D202" s="3">
        <f>IF('ORDENES'!$A180="","",IF('ORDENES'!$W180="","-",'ORDENES'!$W180))</f>
        <v/>
      </c>
      <c r="E202" s="3">
        <f>IF('ORDENES'!$A180="","",IF('ORDENES'!$V180="","-",'ORDENES'!$V180))</f>
        <v/>
      </c>
      <c r="F202" s="3">
        <f>IF('ORDENES'!$A180="","",IF('ORDENES'!$X180="","-",'ORDENES'!$X180))</f>
        <v/>
      </c>
      <c r="G202" s="3">
        <f>IF('ORDENES'!$A180="","",IF('ORDENES'!$AC180="","-",'ORDENES'!$AC180))</f>
        <v/>
      </c>
      <c r="H202" s="3">
        <f>IF('ORDENES'!$A180="","",IF('ORDENES'!$AO180="","-",'ORDENES'!$AO180))</f>
        <v/>
      </c>
      <c r="I202" s="3">
        <f>IF('ORDENES'!$A180="","",IF('ORDENES'!$D180="","-",'ORDENES'!$D180))</f>
        <v/>
      </c>
      <c r="J202" s="3">
        <f>IF('ORDENES'!$A180="","",IF('ORDENES'!$E180="","-",'ORDENES'!$E180))</f>
        <v/>
      </c>
      <c r="K202" s="12">
        <f>IF('ORDENES'!$A180="","",IF('ORDENES'!$N180="",0,'ORDENES'!$N180))</f>
        <v/>
      </c>
      <c r="L202" s="3">
        <f>IF('ORDENES'!$A180="","",IF('ORDENES'!$O180="","-",'ORDENES'!$O180))</f>
        <v/>
      </c>
      <c r="M202" s="3">
        <f>IF('ORDENES'!$A180="","",'ORDENES'!$AB180)</f>
        <v/>
      </c>
    </row>
    <row r="203">
      <c r="A203" s="3">
        <f>IF('ORDENES'!$A181="","",IF('ORDENES'!$P181="","-",'ORDENES'!$P181))</f>
        <v/>
      </c>
      <c r="B203" s="3">
        <f>IF('ORDENES'!$A181="","",IF('ORDENES'!$S181="","-",'ORDENES'!$S181))</f>
        <v/>
      </c>
      <c r="C203" s="3">
        <f>IF('ORDENES'!$A181="","",IF('ORDENES'!$AD181="","-",'ORDENES'!$AD181))</f>
        <v/>
      </c>
      <c r="D203" s="3">
        <f>IF('ORDENES'!$A181="","",IF('ORDENES'!$W181="","-",'ORDENES'!$W181))</f>
        <v/>
      </c>
      <c r="E203" s="3">
        <f>IF('ORDENES'!$A181="","",IF('ORDENES'!$V181="","-",'ORDENES'!$V181))</f>
        <v/>
      </c>
      <c r="F203" s="3">
        <f>IF('ORDENES'!$A181="","",IF('ORDENES'!$X181="","-",'ORDENES'!$X181))</f>
        <v/>
      </c>
      <c r="G203" s="3">
        <f>IF('ORDENES'!$A181="","",IF('ORDENES'!$AC181="","-",'ORDENES'!$AC181))</f>
        <v/>
      </c>
      <c r="H203" s="3">
        <f>IF('ORDENES'!$A181="","",IF('ORDENES'!$AO181="","-",'ORDENES'!$AO181))</f>
        <v/>
      </c>
      <c r="I203" s="3">
        <f>IF('ORDENES'!$A181="","",IF('ORDENES'!$D181="","-",'ORDENES'!$D181))</f>
        <v/>
      </c>
      <c r="J203" s="3">
        <f>IF('ORDENES'!$A181="","",IF('ORDENES'!$E181="","-",'ORDENES'!$E181))</f>
        <v/>
      </c>
      <c r="K203" s="12">
        <f>IF('ORDENES'!$A181="","",IF('ORDENES'!$N181="",0,'ORDENES'!$N181))</f>
        <v/>
      </c>
      <c r="L203" s="3">
        <f>IF('ORDENES'!$A181="","",IF('ORDENES'!$O181="","-",'ORDENES'!$O181))</f>
        <v/>
      </c>
      <c r="M203" s="3">
        <f>IF('ORDENES'!$A181="","",'ORDENES'!$AB181)</f>
        <v/>
      </c>
    </row>
    <row r="204">
      <c r="A204" s="3">
        <f>IF('ORDENES'!$A182="","",IF('ORDENES'!$P182="","-",'ORDENES'!$P182))</f>
        <v/>
      </c>
      <c r="B204" s="3">
        <f>IF('ORDENES'!$A182="","",IF('ORDENES'!$S182="","-",'ORDENES'!$S182))</f>
        <v/>
      </c>
      <c r="C204" s="3">
        <f>IF('ORDENES'!$A182="","",IF('ORDENES'!$AD182="","-",'ORDENES'!$AD182))</f>
        <v/>
      </c>
      <c r="D204" s="3">
        <f>IF('ORDENES'!$A182="","",IF('ORDENES'!$W182="","-",'ORDENES'!$W182))</f>
        <v/>
      </c>
      <c r="E204" s="3">
        <f>IF('ORDENES'!$A182="","",IF('ORDENES'!$V182="","-",'ORDENES'!$V182))</f>
        <v/>
      </c>
      <c r="F204" s="3">
        <f>IF('ORDENES'!$A182="","",IF('ORDENES'!$X182="","-",'ORDENES'!$X182))</f>
        <v/>
      </c>
      <c r="G204" s="3">
        <f>IF('ORDENES'!$A182="","",IF('ORDENES'!$AC182="","-",'ORDENES'!$AC182))</f>
        <v/>
      </c>
      <c r="H204" s="3">
        <f>IF('ORDENES'!$A182="","",IF('ORDENES'!$AO182="","-",'ORDENES'!$AO182))</f>
        <v/>
      </c>
      <c r="I204" s="3">
        <f>IF('ORDENES'!$A182="","",IF('ORDENES'!$D182="","-",'ORDENES'!$D182))</f>
        <v/>
      </c>
      <c r="J204" s="3">
        <f>IF('ORDENES'!$A182="","",IF('ORDENES'!$E182="","-",'ORDENES'!$E182))</f>
        <v/>
      </c>
      <c r="K204" s="12">
        <f>IF('ORDENES'!$A182="","",IF('ORDENES'!$N182="",0,'ORDENES'!$N182))</f>
        <v/>
      </c>
      <c r="L204" s="3">
        <f>IF('ORDENES'!$A182="","",IF('ORDENES'!$O182="","-",'ORDENES'!$O182))</f>
        <v/>
      </c>
      <c r="M204" s="3">
        <f>IF('ORDENES'!$A182="","",'ORDENES'!$AB182)</f>
        <v/>
      </c>
    </row>
    <row r="205">
      <c r="A205" s="3">
        <f>IF('ORDENES'!$A183="","",IF('ORDENES'!$P183="","-",'ORDENES'!$P183))</f>
        <v/>
      </c>
      <c r="B205" s="3">
        <f>IF('ORDENES'!$A183="","",IF('ORDENES'!$S183="","-",'ORDENES'!$S183))</f>
        <v/>
      </c>
      <c r="C205" s="3">
        <f>IF('ORDENES'!$A183="","",IF('ORDENES'!$AD183="","-",'ORDENES'!$AD183))</f>
        <v/>
      </c>
      <c r="D205" s="3">
        <f>IF('ORDENES'!$A183="","",IF('ORDENES'!$W183="","-",'ORDENES'!$W183))</f>
        <v/>
      </c>
      <c r="E205" s="3">
        <f>IF('ORDENES'!$A183="","",IF('ORDENES'!$V183="","-",'ORDENES'!$V183))</f>
        <v/>
      </c>
      <c r="F205" s="3">
        <f>IF('ORDENES'!$A183="","",IF('ORDENES'!$X183="","-",'ORDENES'!$X183))</f>
        <v/>
      </c>
      <c r="G205" s="3">
        <f>IF('ORDENES'!$A183="","",IF('ORDENES'!$AC183="","-",'ORDENES'!$AC183))</f>
        <v/>
      </c>
      <c r="H205" s="3">
        <f>IF('ORDENES'!$A183="","",IF('ORDENES'!$AO183="","-",'ORDENES'!$AO183))</f>
        <v/>
      </c>
      <c r="I205" s="3">
        <f>IF('ORDENES'!$A183="","",IF('ORDENES'!$D183="","-",'ORDENES'!$D183))</f>
        <v/>
      </c>
      <c r="J205" s="3">
        <f>IF('ORDENES'!$A183="","",IF('ORDENES'!$E183="","-",'ORDENES'!$E183))</f>
        <v/>
      </c>
      <c r="K205" s="12">
        <f>IF('ORDENES'!$A183="","",IF('ORDENES'!$N183="",0,'ORDENES'!$N183))</f>
        <v/>
      </c>
      <c r="L205" s="3">
        <f>IF('ORDENES'!$A183="","",IF('ORDENES'!$O183="","-",'ORDENES'!$O183))</f>
        <v/>
      </c>
      <c r="M205" s="3">
        <f>IF('ORDENES'!$A183="","",'ORDENES'!$AB183)</f>
        <v/>
      </c>
    </row>
    <row r="206">
      <c r="A206" s="3">
        <f>IF('ORDENES'!$A184="","",IF('ORDENES'!$P184="","-",'ORDENES'!$P184))</f>
        <v/>
      </c>
      <c r="B206" s="3">
        <f>IF('ORDENES'!$A184="","",IF('ORDENES'!$S184="","-",'ORDENES'!$S184))</f>
        <v/>
      </c>
      <c r="C206" s="3">
        <f>IF('ORDENES'!$A184="","",IF('ORDENES'!$AD184="","-",'ORDENES'!$AD184))</f>
        <v/>
      </c>
      <c r="D206" s="3">
        <f>IF('ORDENES'!$A184="","",IF('ORDENES'!$W184="","-",'ORDENES'!$W184))</f>
        <v/>
      </c>
      <c r="E206" s="3">
        <f>IF('ORDENES'!$A184="","",IF('ORDENES'!$V184="","-",'ORDENES'!$V184))</f>
        <v/>
      </c>
      <c r="F206" s="3">
        <f>IF('ORDENES'!$A184="","",IF('ORDENES'!$X184="","-",'ORDENES'!$X184))</f>
        <v/>
      </c>
      <c r="G206" s="3">
        <f>IF('ORDENES'!$A184="","",IF('ORDENES'!$AC184="","-",'ORDENES'!$AC184))</f>
        <v/>
      </c>
      <c r="H206" s="3">
        <f>IF('ORDENES'!$A184="","",IF('ORDENES'!$AO184="","-",'ORDENES'!$AO184))</f>
        <v/>
      </c>
      <c r="I206" s="3">
        <f>IF('ORDENES'!$A184="","",IF('ORDENES'!$D184="","-",'ORDENES'!$D184))</f>
        <v/>
      </c>
      <c r="J206" s="3">
        <f>IF('ORDENES'!$A184="","",IF('ORDENES'!$E184="","-",'ORDENES'!$E184))</f>
        <v/>
      </c>
      <c r="K206" s="12">
        <f>IF('ORDENES'!$A184="","",IF('ORDENES'!$N184="",0,'ORDENES'!$N184))</f>
        <v/>
      </c>
      <c r="L206" s="3">
        <f>IF('ORDENES'!$A184="","",IF('ORDENES'!$O184="","-",'ORDENES'!$O184))</f>
        <v/>
      </c>
      <c r="M206" s="3">
        <f>IF('ORDENES'!$A184="","",'ORDENES'!$AB184)</f>
        <v/>
      </c>
    </row>
    <row r="207">
      <c r="A207" s="3">
        <f>IF('ORDENES'!$A185="","",IF('ORDENES'!$P185="","-",'ORDENES'!$P185))</f>
        <v/>
      </c>
      <c r="B207" s="3">
        <f>IF('ORDENES'!$A185="","",IF('ORDENES'!$S185="","-",'ORDENES'!$S185))</f>
        <v/>
      </c>
      <c r="C207" s="3">
        <f>IF('ORDENES'!$A185="","",IF('ORDENES'!$AD185="","-",'ORDENES'!$AD185))</f>
        <v/>
      </c>
      <c r="D207" s="3">
        <f>IF('ORDENES'!$A185="","",IF('ORDENES'!$W185="","-",'ORDENES'!$W185))</f>
        <v/>
      </c>
      <c r="E207" s="3">
        <f>IF('ORDENES'!$A185="","",IF('ORDENES'!$V185="","-",'ORDENES'!$V185))</f>
        <v/>
      </c>
      <c r="F207" s="3">
        <f>IF('ORDENES'!$A185="","",IF('ORDENES'!$X185="","-",'ORDENES'!$X185))</f>
        <v/>
      </c>
      <c r="G207" s="3">
        <f>IF('ORDENES'!$A185="","",IF('ORDENES'!$AC185="","-",'ORDENES'!$AC185))</f>
        <v/>
      </c>
      <c r="H207" s="3">
        <f>IF('ORDENES'!$A185="","",IF('ORDENES'!$AO185="","-",'ORDENES'!$AO185))</f>
        <v/>
      </c>
      <c r="I207" s="3">
        <f>IF('ORDENES'!$A185="","",IF('ORDENES'!$D185="","-",'ORDENES'!$D185))</f>
        <v/>
      </c>
      <c r="J207" s="3">
        <f>IF('ORDENES'!$A185="","",IF('ORDENES'!$E185="","-",'ORDENES'!$E185))</f>
        <v/>
      </c>
      <c r="K207" s="12">
        <f>IF('ORDENES'!$A185="","",IF('ORDENES'!$N185="",0,'ORDENES'!$N185))</f>
        <v/>
      </c>
      <c r="L207" s="3">
        <f>IF('ORDENES'!$A185="","",IF('ORDENES'!$O185="","-",'ORDENES'!$O185))</f>
        <v/>
      </c>
      <c r="M207" s="3">
        <f>IF('ORDENES'!$A185="","",'ORDENES'!$AB185)</f>
        <v/>
      </c>
    </row>
    <row r="208">
      <c r="A208" s="3">
        <f>IF('ORDENES'!$A186="","",IF('ORDENES'!$P186="","-",'ORDENES'!$P186))</f>
        <v/>
      </c>
      <c r="B208" s="3">
        <f>IF('ORDENES'!$A186="","",IF('ORDENES'!$S186="","-",'ORDENES'!$S186))</f>
        <v/>
      </c>
      <c r="C208" s="3">
        <f>IF('ORDENES'!$A186="","",IF('ORDENES'!$AD186="","-",'ORDENES'!$AD186))</f>
        <v/>
      </c>
      <c r="D208" s="3">
        <f>IF('ORDENES'!$A186="","",IF('ORDENES'!$W186="","-",'ORDENES'!$W186))</f>
        <v/>
      </c>
      <c r="E208" s="3">
        <f>IF('ORDENES'!$A186="","",IF('ORDENES'!$V186="","-",'ORDENES'!$V186))</f>
        <v/>
      </c>
      <c r="F208" s="3">
        <f>IF('ORDENES'!$A186="","",IF('ORDENES'!$X186="","-",'ORDENES'!$X186))</f>
        <v/>
      </c>
      <c r="G208" s="3">
        <f>IF('ORDENES'!$A186="","",IF('ORDENES'!$AC186="","-",'ORDENES'!$AC186))</f>
        <v/>
      </c>
      <c r="H208" s="3">
        <f>IF('ORDENES'!$A186="","",IF('ORDENES'!$AO186="","-",'ORDENES'!$AO186))</f>
        <v/>
      </c>
      <c r="I208" s="3">
        <f>IF('ORDENES'!$A186="","",IF('ORDENES'!$D186="","-",'ORDENES'!$D186))</f>
        <v/>
      </c>
      <c r="J208" s="3">
        <f>IF('ORDENES'!$A186="","",IF('ORDENES'!$E186="","-",'ORDENES'!$E186))</f>
        <v/>
      </c>
      <c r="K208" s="12">
        <f>IF('ORDENES'!$A186="","",IF('ORDENES'!$N186="",0,'ORDENES'!$N186))</f>
        <v/>
      </c>
      <c r="L208" s="3">
        <f>IF('ORDENES'!$A186="","",IF('ORDENES'!$O186="","-",'ORDENES'!$O186))</f>
        <v/>
      </c>
      <c r="M208" s="3">
        <f>IF('ORDENES'!$A186="","",'ORDENES'!$AB186)</f>
        <v/>
      </c>
    </row>
    <row r="209">
      <c r="A209" s="3">
        <f>IF('ORDENES'!$A187="","",IF('ORDENES'!$P187="","-",'ORDENES'!$P187))</f>
        <v/>
      </c>
      <c r="B209" s="3">
        <f>IF('ORDENES'!$A187="","",IF('ORDENES'!$S187="","-",'ORDENES'!$S187))</f>
        <v/>
      </c>
      <c r="C209" s="3">
        <f>IF('ORDENES'!$A187="","",IF('ORDENES'!$AD187="","-",'ORDENES'!$AD187))</f>
        <v/>
      </c>
      <c r="D209" s="3">
        <f>IF('ORDENES'!$A187="","",IF('ORDENES'!$W187="","-",'ORDENES'!$W187))</f>
        <v/>
      </c>
      <c r="E209" s="3">
        <f>IF('ORDENES'!$A187="","",IF('ORDENES'!$V187="","-",'ORDENES'!$V187))</f>
        <v/>
      </c>
      <c r="F209" s="3">
        <f>IF('ORDENES'!$A187="","",IF('ORDENES'!$X187="","-",'ORDENES'!$X187))</f>
        <v/>
      </c>
      <c r="G209" s="3">
        <f>IF('ORDENES'!$A187="","",IF('ORDENES'!$AC187="","-",'ORDENES'!$AC187))</f>
        <v/>
      </c>
      <c r="H209" s="3">
        <f>IF('ORDENES'!$A187="","",IF('ORDENES'!$AO187="","-",'ORDENES'!$AO187))</f>
        <v/>
      </c>
      <c r="I209" s="3">
        <f>IF('ORDENES'!$A187="","",IF('ORDENES'!$D187="","-",'ORDENES'!$D187))</f>
        <v/>
      </c>
      <c r="J209" s="3">
        <f>IF('ORDENES'!$A187="","",IF('ORDENES'!$E187="","-",'ORDENES'!$E187))</f>
        <v/>
      </c>
      <c r="K209" s="12">
        <f>IF('ORDENES'!$A187="","",IF('ORDENES'!$N187="",0,'ORDENES'!$N187))</f>
        <v/>
      </c>
      <c r="L209" s="3">
        <f>IF('ORDENES'!$A187="","",IF('ORDENES'!$O187="","-",'ORDENES'!$O187))</f>
        <v/>
      </c>
      <c r="M209" s="3">
        <f>IF('ORDENES'!$A187="","",'ORDENES'!$AB187)</f>
        <v/>
      </c>
    </row>
    <row r="210">
      <c r="A210" s="3">
        <f>IF('ORDENES'!$A188="","",IF('ORDENES'!$P188="","-",'ORDENES'!$P188))</f>
        <v/>
      </c>
      <c r="B210" s="3">
        <f>IF('ORDENES'!$A188="","",IF('ORDENES'!$S188="","-",'ORDENES'!$S188))</f>
        <v/>
      </c>
      <c r="C210" s="3">
        <f>IF('ORDENES'!$A188="","",IF('ORDENES'!$AD188="","-",'ORDENES'!$AD188))</f>
        <v/>
      </c>
      <c r="D210" s="3">
        <f>IF('ORDENES'!$A188="","",IF('ORDENES'!$W188="","-",'ORDENES'!$W188))</f>
        <v/>
      </c>
      <c r="E210" s="3">
        <f>IF('ORDENES'!$A188="","",IF('ORDENES'!$V188="","-",'ORDENES'!$V188))</f>
        <v/>
      </c>
      <c r="F210" s="3">
        <f>IF('ORDENES'!$A188="","",IF('ORDENES'!$X188="","-",'ORDENES'!$X188))</f>
        <v/>
      </c>
      <c r="G210" s="3">
        <f>IF('ORDENES'!$A188="","",IF('ORDENES'!$AC188="","-",'ORDENES'!$AC188))</f>
        <v/>
      </c>
      <c r="H210" s="3">
        <f>IF('ORDENES'!$A188="","",IF('ORDENES'!$AO188="","-",'ORDENES'!$AO188))</f>
        <v/>
      </c>
      <c r="I210" s="3">
        <f>IF('ORDENES'!$A188="","",IF('ORDENES'!$D188="","-",'ORDENES'!$D188))</f>
        <v/>
      </c>
      <c r="J210" s="3">
        <f>IF('ORDENES'!$A188="","",IF('ORDENES'!$E188="","-",'ORDENES'!$E188))</f>
        <v/>
      </c>
      <c r="K210" s="12">
        <f>IF('ORDENES'!$A188="","",IF('ORDENES'!$N188="",0,'ORDENES'!$N188))</f>
        <v/>
      </c>
      <c r="L210" s="3">
        <f>IF('ORDENES'!$A188="","",IF('ORDENES'!$O188="","-",'ORDENES'!$O188))</f>
        <v/>
      </c>
      <c r="M210" s="3">
        <f>IF('ORDENES'!$A188="","",'ORDENES'!$AB188)</f>
        <v/>
      </c>
    </row>
    <row r="211">
      <c r="A211" s="3">
        <f>IF('ORDENES'!$A189="","",IF('ORDENES'!$P189="","-",'ORDENES'!$P189))</f>
        <v/>
      </c>
      <c r="B211" s="3">
        <f>IF('ORDENES'!$A189="","",IF('ORDENES'!$S189="","-",'ORDENES'!$S189))</f>
        <v/>
      </c>
      <c r="C211" s="3">
        <f>IF('ORDENES'!$A189="","",IF('ORDENES'!$AD189="","-",'ORDENES'!$AD189))</f>
        <v/>
      </c>
      <c r="D211" s="3">
        <f>IF('ORDENES'!$A189="","",IF('ORDENES'!$W189="","-",'ORDENES'!$W189))</f>
        <v/>
      </c>
      <c r="E211" s="3">
        <f>IF('ORDENES'!$A189="","",IF('ORDENES'!$V189="","-",'ORDENES'!$V189))</f>
        <v/>
      </c>
      <c r="F211" s="3">
        <f>IF('ORDENES'!$A189="","",IF('ORDENES'!$X189="","-",'ORDENES'!$X189))</f>
        <v/>
      </c>
      <c r="G211" s="3">
        <f>IF('ORDENES'!$A189="","",IF('ORDENES'!$AC189="","-",'ORDENES'!$AC189))</f>
        <v/>
      </c>
      <c r="H211" s="3">
        <f>IF('ORDENES'!$A189="","",IF('ORDENES'!$AO189="","-",'ORDENES'!$AO189))</f>
        <v/>
      </c>
      <c r="I211" s="3">
        <f>IF('ORDENES'!$A189="","",IF('ORDENES'!$D189="","-",'ORDENES'!$D189))</f>
        <v/>
      </c>
      <c r="J211" s="3">
        <f>IF('ORDENES'!$A189="","",IF('ORDENES'!$E189="","-",'ORDENES'!$E189))</f>
        <v/>
      </c>
      <c r="K211" s="12">
        <f>IF('ORDENES'!$A189="","",IF('ORDENES'!$N189="",0,'ORDENES'!$N189))</f>
        <v/>
      </c>
      <c r="L211" s="3">
        <f>IF('ORDENES'!$A189="","",IF('ORDENES'!$O189="","-",'ORDENES'!$O189))</f>
        <v/>
      </c>
      <c r="M211" s="3">
        <f>IF('ORDENES'!$A189="","",'ORDENES'!$AB189)</f>
        <v/>
      </c>
    </row>
    <row r="212">
      <c r="A212" s="3">
        <f>IF('ORDENES'!$A190="","",IF('ORDENES'!$P190="","-",'ORDENES'!$P190))</f>
        <v/>
      </c>
      <c r="B212" s="3">
        <f>IF('ORDENES'!$A190="","",IF('ORDENES'!$S190="","-",'ORDENES'!$S190))</f>
        <v/>
      </c>
      <c r="C212" s="3">
        <f>IF('ORDENES'!$A190="","",IF('ORDENES'!$AD190="","-",'ORDENES'!$AD190))</f>
        <v/>
      </c>
      <c r="D212" s="3">
        <f>IF('ORDENES'!$A190="","",IF('ORDENES'!$W190="","-",'ORDENES'!$W190))</f>
        <v/>
      </c>
      <c r="E212" s="3">
        <f>IF('ORDENES'!$A190="","",IF('ORDENES'!$V190="","-",'ORDENES'!$V190))</f>
        <v/>
      </c>
      <c r="F212" s="3">
        <f>IF('ORDENES'!$A190="","",IF('ORDENES'!$X190="","-",'ORDENES'!$X190))</f>
        <v/>
      </c>
      <c r="G212" s="3">
        <f>IF('ORDENES'!$A190="","",IF('ORDENES'!$AC190="","-",'ORDENES'!$AC190))</f>
        <v/>
      </c>
      <c r="H212" s="3">
        <f>IF('ORDENES'!$A190="","",IF('ORDENES'!$AO190="","-",'ORDENES'!$AO190))</f>
        <v/>
      </c>
      <c r="I212" s="3">
        <f>IF('ORDENES'!$A190="","",IF('ORDENES'!$D190="","-",'ORDENES'!$D190))</f>
        <v/>
      </c>
      <c r="J212" s="3">
        <f>IF('ORDENES'!$A190="","",IF('ORDENES'!$E190="","-",'ORDENES'!$E190))</f>
        <v/>
      </c>
      <c r="K212" s="12">
        <f>IF('ORDENES'!$A190="","",IF('ORDENES'!$N190="",0,'ORDENES'!$N190))</f>
        <v/>
      </c>
      <c r="L212" s="3">
        <f>IF('ORDENES'!$A190="","",IF('ORDENES'!$O190="","-",'ORDENES'!$O190))</f>
        <v/>
      </c>
      <c r="M212" s="3">
        <f>IF('ORDENES'!$A190="","",'ORDENES'!$AB190)</f>
        <v/>
      </c>
    </row>
    <row r="213">
      <c r="A213" s="3">
        <f>IF('ORDENES'!$A191="","",IF('ORDENES'!$P191="","-",'ORDENES'!$P191))</f>
        <v/>
      </c>
      <c r="B213" s="3">
        <f>IF('ORDENES'!$A191="","",IF('ORDENES'!$S191="","-",'ORDENES'!$S191))</f>
        <v/>
      </c>
      <c r="C213" s="3">
        <f>IF('ORDENES'!$A191="","",IF('ORDENES'!$AD191="","-",'ORDENES'!$AD191))</f>
        <v/>
      </c>
      <c r="D213" s="3">
        <f>IF('ORDENES'!$A191="","",IF('ORDENES'!$W191="","-",'ORDENES'!$W191))</f>
        <v/>
      </c>
      <c r="E213" s="3">
        <f>IF('ORDENES'!$A191="","",IF('ORDENES'!$V191="","-",'ORDENES'!$V191))</f>
        <v/>
      </c>
      <c r="F213" s="3">
        <f>IF('ORDENES'!$A191="","",IF('ORDENES'!$X191="","-",'ORDENES'!$X191))</f>
        <v/>
      </c>
      <c r="G213" s="3">
        <f>IF('ORDENES'!$A191="","",IF('ORDENES'!$AC191="","-",'ORDENES'!$AC191))</f>
        <v/>
      </c>
      <c r="H213" s="3">
        <f>IF('ORDENES'!$A191="","",IF('ORDENES'!$AO191="","-",'ORDENES'!$AO191))</f>
        <v/>
      </c>
      <c r="I213" s="3">
        <f>IF('ORDENES'!$A191="","",IF('ORDENES'!$D191="","-",'ORDENES'!$D191))</f>
        <v/>
      </c>
      <c r="J213" s="3">
        <f>IF('ORDENES'!$A191="","",IF('ORDENES'!$E191="","-",'ORDENES'!$E191))</f>
        <v/>
      </c>
      <c r="K213" s="12">
        <f>IF('ORDENES'!$A191="","",IF('ORDENES'!$N191="",0,'ORDENES'!$N191))</f>
        <v/>
      </c>
      <c r="L213" s="3">
        <f>IF('ORDENES'!$A191="","",IF('ORDENES'!$O191="","-",'ORDENES'!$O191))</f>
        <v/>
      </c>
      <c r="M213" s="3">
        <f>IF('ORDENES'!$A191="","",'ORDENES'!$AB191)</f>
        <v/>
      </c>
    </row>
    <row r="214">
      <c r="A214" s="3">
        <f>IF('ORDENES'!$A192="","",IF('ORDENES'!$P192="","-",'ORDENES'!$P192))</f>
        <v/>
      </c>
      <c r="B214" s="3">
        <f>IF('ORDENES'!$A192="","",IF('ORDENES'!$S192="","-",'ORDENES'!$S192))</f>
        <v/>
      </c>
      <c r="C214" s="3">
        <f>IF('ORDENES'!$A192="","",IF('ORDENES'!$AD192="","-",'ORDENES'!$AD192))</f>
        <v/>
      </c>
      <c r="D214" s="3">
        <f>IF('ORDENES'!$A192="","",IF('ORDENES'!$W192="","-",'ORDENES'!$W192))</f>
        <v/>
      </c>
      <c r="E214" s="3">
        <f>IF('ORDENES'!$A192="","",IF('ORDENES'!$V192="","-",'ORDENES'!$V192))</f>
        <v/>
      </c>
      <c r="F214" s="3">
        <f>IF('ORDENES'!$A192="","",IF('ORDENES'!$X192="","-",'ORDENES'!$X192))</f>
        <v/>
      </c>
      <c r="G214" s="3">
        <f>IF('ORDENES'!$A192="","",IF('ORDENES'!$AC192="","-",'ORDENES'!$AC192))</f>
        <v/>
      </c>
      <c r="H214" s="3">
        <f>IF('ORDENES'!$A192="","",IF('ORDENES'!$AO192="","-",'ORDENES'!$AO192))</f>
        <v/>
      </c>
      <c r="I214" s="3">
        <f>IF('ORDENES'!$A192="","",IF('ORDENES'!$D192="","-",'ORDENES'!$D192))</f>
        <v/>
      </c>
      <c r="J214" s="3">
        <f>IF('ORDENES'!$A192="","",IF('ORDENES'!$E192="","-",'ORDENES'!$E192))</f>
        <v/>
      </c>
      <c r="K214" s="12">
        <f>IF('ORDENES'!$A192="","",IF('ORDENES'!$N192="",0,'ORDENES'!$N192))</f>
        <v/>
      </c>
      <c r="L214" s="3">
        <f>IF('ORDENES'!$A192="","",IF('ORDENES'!$O192="","-",'ORDENES'!$O192))</f>
        <v/>
      </c>
      <c r="M214" s="3">
        <f>IF('ORDENES'!$A192="","",'ORDENES'!$AB192)</f>
        <v/>
      </c>
    </row>
    <row r="215">
      <c r="A215" s="3">
        <f>IF('ORDENES'!$A193="","",IF('ORDENES'!$P193="","-",'ORDENES'!$P193))</f>
        <v/>
      </c>
      <c r="B215" s="3">
        <f>IF('ORDENES'!$A193="","",IF('ORDENES'!$S193="","-",'ORDENES'!$S193))</f>
        <v/>
      </c>
      <c r="C215" s="3">
        <f>IF('ORDENES'!$A193="","",IF('ORDENES'!$AD193="","-",'ORDENES'!$AD193))</f>
        <v/>
      </c>
      <c r="D215" s="3">
        <f>IF('ORDENES'!$A193="","",IF('ORDENES'!$W193="","-",'ORDENES'!$W193))</f>
        <v/>
      </c>
      <c r="E215" s="3">
        <f>IF('ORDENES'!$A193="","",IF('ORDENES'!$V193="","-",'ORDENES'!$V193))</f>
        <v/>
      </c>
      <c r="F215" s="3">
        <f>IF('ORDENES'!$A193="","",IF('ORDENES'!$X193="","-",'ORDENES'!$X193))</f>
        <v/>
      </c>
      <c r="G215" s="3">
        <f>IF('ORDENES'!$A193="","",IF('ORDENES'!$AC193="","-",'ORDENES'!$AC193))</f>
        <v/>
      </c>
      <c r="H215" s="3">
        <f>IF('ORDENES'!$A193="","",IF('ORDENES'!$AO193="","-",'ORDENES'!$AO193))</f>
        <v/>
      </c>
      <c r="I215" s="3">
        <f>IF('ORDENES'!$A193="","",IF('ORDENES'!$D193="","-",'ORDENES'!$D193))</f>
        <v/>
      </c>
      <c r="J215" s="3">
        <f>IF('ORDENES'!$A193="","",IF('ORDENES'!$E193="","-",'ORDENES'!$E193))</f>
        <v/>
      </c>
      <c r="K215" s="12">
        <f>IF('ORDENES'!$A193="","",IF('ORDENES'!$N193="",0,'ORDENES'!$N193))</f>
        <v/>
      </c>
      <c r="L215" s="3">
        <f>IF('ORDENES'!$A193="","",IF('ORDENES'!$O193="","-",'ORDENES'!$O193))</f>
        <v/>
      </c>
      <c r="M215" s="3">
        <f>IF('ORDENES'!$A193="","",'ORDENES'!$AB193)</f>
        <v/>
      </c>
    </row>
    <row r="216">
      <c r="A216" s="3">
        <f>IF('ORDENES'!$A194="","",IF('ORDENES'!$P194="","-",'ORDENES'!$P194))</f>
        <v/>
      </c>
      <c r="B216" s="3">
        <f>IF('ORDENES'!$A194="","",IF('ORDENES'!$S194="","-",'ORDENES'!$S194))</f>
        <v/>
      </c>
      <c r="C216" s="3">
        <f>IF('ORDENES'!$A194="","",IF('ORDENES'!$AD194="","-",'ORDENES'!$AD194))</f>
        <v/>
      </c>
      <c r="D216" s="3">
        <f>IF('ORDENES'!$A194="","",IF('ORDENES'!$W194="","-",'ORDENES'!$W194))</f>
        <v/>
      </c>
      <c r="E216" s="3">
        <f>IF('ORDENES'!$A194="","",IF('ORDENES'!$V194="","-",'ORDENES'!$V194))</f>
        <v/>
      </c>
      <c r="F216" s="3">
        <f>IF('ORDENES'!$A194="","",IF('ORDENES'!$X194="","-",'ORDENES'!$X194))</f>
        <v/>
      </c>
      <c r="G216" s="3">
        <f>IF('ORDENES'!$A194="","",IF('ORDENES'!$AC194="","-",'ORDENES'!$AC194))</f>
        <v/>
      </c>
      <c r="H216" s="3">
        <f>IF('ORDENES'!$A194="","",IF('ORDENES'!$AO194="","-",'ORDENES'!$AO194))</f>
        <v/>
      </c>
      <c r="I216" s="3">
        <f>IF('ORDENES'!$A194="","",IF('ORDENES'!$D194="","-",'ORDENES'!$D194))</f>
        <v/>
      </c>
      <c r="J216" s="3">
        <f>IF('ORDENES'!$A194="","",IF('ORDENES'!$E194="","-",'ORDENES'!$E194))</f>
        <v/>
      </c>
      <c r="K216" s="12">
        <f>IF('ORDENES'!$A194="","",IF('ORDENES'!$N194="",0,'ORDENES'!$N194))</f>
        <v/>
      </c>
      <c r="L216" s="3">
        <f>IF('ORDENES'!$A194="","",IF('ORDENES'!$O194="","-",'ORDENES'!$O194))</f>
        <v/>
      </c>
      <c r="M216" s="3">
        <f>IF('ORDENES'!$A194="","",'ORDENES'!$AB194)</f>
        <v/>
      </c>
    </row>
    <row r="217">
      <c r="A217" s="3">
        <f>IF('ORDENES'!$A195="","",IF('ORDENES'!$P195="","-",'ORDENES'!$P195))</f>
        <v/>
      </c>
      <c r="B217" s="3">
        <f>IF('ORDENES'!$A195="","",IF('ORDENES'!$S195="","-",'ORDENES'!$S195))</f>
        <v/>
      </c>
      <c r="C217" s="3">
        <f>IF('ORDENES'!$A195="","",IF('ORDENES'!$AD195="","-",'ORDENES'!$AD195))</f>
        <v/>
      </c>
      <c r="D217" s="3">
        <f>IF('ORDENES'!$A195="","",IF('ORDENES'!$W195="","-",'ORDENES'!$W195))</f>
        <v/>
      </c>
      <c r="E217" s="3">
        <f>IF('ORDENES'!$A195="","",IF('ORDENES'!$V195="","-",'ORDENES'!$V195))</f>
        <v/>
      </c>
      <c r="F217" s="3">
        <f>IF('ORDENES'!$A195="","",IF('ORDENES'!$X195="","-",'ORDENES'!$X195))</f>
        <v/>
      </c>
      <c r="G217" s="3">
        <f>IF('ORDENES'!$A195="","",IF('ORDENES'!$AC195="","-",'ORDENES'!$AC195))</f>
        <v/>
      </c>
      <c r="H217" s="3">
        <f>IF('ORDENES'!$A195="","",IF('ORDENES'!$AO195="","-",'ORDENES'!$AO195))</f>
        <v/>
      </c>
      <c r="I217" s="3">
        <f>IF('ORDENES'!$A195="","",IF('ORDENES'!$D195="","-",'ORDENES'!$D195))</f>
        <v/>
      </c>
      <c r="J217" s="3">
        <f>IF('ORDENES'!$A195="","",IF('ORDENES'!$E195="","-",'ORDENES'!$E195))</f>
        <v/>
      </c>
      <c r="K217" s="12">
        <f>IF('ORDENES'!$A195="","",IF('ORDENES'!$N195="",0,'ORDENES'!$N195))</f>
        <v/>
      </c>
      <c r="L217" s="3">
        <f>IF('ORDENES'!$A195="","",IF('ORDENES'!$O195="","-",'ORDENES'!$O195))</f>
        <v/>
      </c>
      <c r="M217" s="3">
        <f>IF('ORDENES'!$A195="","",'ORDENES'!$AB195)</f>
        <v/>
      </c>
    </row>
    <row r="218">
      <c r="A218" s="3">
        <f>IF('ORDENES'!$A196="","",IF('ORDENES'!$P196="","-",'ORDENES'!$P196))</f>
        <v/>
      </c>
      <c r="B218" s="3">
        <f>IF('ORDENES'!$A196="","",IF('ORDENES'!$S196="","-",'ORDENES'!$S196))</f>
        <v/>
      </c>
      <c r="C218" s="3">
        <f>IF('ORDENES'!$A196="","",IF('ORDENES'!$AD196="","-",'ORDENES'!$AD196))</f>
        <v/>
      </c>
      <c r="D218" s="3">
        <f>IF('ORDENES'!$A196="","",IF('ORDENES'!$W196="","-",'ORDENES'!$W196))</f>
        <v/>
      </c>
      <c r="E218" s="3">
        <f>IF('ORDENES'!$A196="","",IF('ORDENES'!$V196="","-",'ORDENES'!$V196))</f>
        <v/>
      </c>
      <c r="F218" s="3">
        <f>IF('ORDENES'!$A196="","",IF('ORDENES'!$X196="","-",'ORDENES'!$X196))</f>
        <v/>
      </c>
      <c r="G218" s="3">
        <f>IF('ORDENES'!$A196="","",IF('ORDENES'!$AC196="","-",'ORDENES'!$AC196))</f>
        <v/>
      </c>
      <c r="H218" s="3">
        <f>IF('ORDENES'!$A196="","",IF('ORDENES'!$AO196="","-",'ORDENES'!$AO196))</f>
        <v/>
      </c>
      <c r="I218" s="3">
        <f>IF('ORDENES'!$A196="","",IF('ORDENES'!$D196="","-",'ORDENES'!$D196))</f>
        <v/>
      </c>
      <c r="J218" s="3">
        <f>IF('ORDENES'!$A196="","",IF('ORDENES'!$E196="","-",'ORDENES'!$E196))</f>
        <v/>
      </c>
      <c r="K218" s="12">
        <f>IF('ORDENES'!$A196="","",IF('ORDENES'!$N196="",0,'ORDENES'!$N196))</f>
        <v/>
      </c>
      <c r="L218" s="3">
        <f>IF('ORDENES'!$A196="","",IF('ORDENES'!$O196="","-",'ORDENES'!$O196))</f>
        <v/>
      </c>
      <c r="M218" s="3">
        <f>IF('ORDENES'!$A196="","",'ORDENES'!$AB196)</f>
        <v/>
      </c>
    </row>
    <row r="219">
      <c r="A219" s="3">
        <f>IF('ORDENES'!$A197="","",IF('ORDENES'!$P197="","-",'ORDENES'!$P197))</f>
        <v/>
      </c>
      <c r="B219" s="3">
        <f>IF('ORDENES'!$A197="","",IF('ORDENES'!$S197="","-",'ORDENES'!$S197))</f>
        <v/>
      </c>
      <c r="C219" s="3">
        <f>IF('ORDENES'!$A197="","",IF('ORDENES'!$AD197="","-",'ORDENES'!$AD197))</f>
        <v/>
      </c>
      <c r="D219" s="3">
        <f>IF('ORDENES'!$A197="","",IF('ORDENES'!$W197="","-",'ORDENES'!$W197))</f>
        <v/>
      </c>
      <c r="E219" s="3">
        <f>IF('ORDENES'!$A197="","",IF('ORDENES'!$V197="","-",'ORDENES'!$V197))</f>
        <v/>
      </c>
      <c r="F219" s="3">
        <f>IF('ORDENES'!$A197="","",IF('ORDENES'!$X197="","-",'ORDENES'!$X197))</f>
        <v/>
      </c>
      <c r="G219" s="3">
        <f>IF('ORDENES'!$A197="","",IF('ORDENES'!$AC197="","-",'ORDENES'!$AC197))</f>
        <v/>
      </c>
      <c r="H219" s="3">
        <f>IF('ORDENES'!$A197="","",IF('ORDENES'!$AO197="","-",'ORDENES'!$AO197))</f>
        <v/>
      </c>
      <c r="I219" s="3">
        <f>IF('ORDENES'!$A197="","",IF('ORDENES'!$D197="","-",'ORDENES'!$D197))</f>
        <v/>
      </c>
      <c r="J219" s="3">
        <f>IF('ORDENES'!$A197="","",IF('ORDENES'!$E197="","-",'ORDENES'!$E197))</f>
        <v/>
      </c>
      <c r="K219" s="12">
        <f>IF('ORDENES'!$A197="","",IF('ORDENES'!$N197="",0,'ORDENES'!$N197))</f>
        <v/>
      </c>
      <c r="L219" s="3">
        <f>IF('ORDENES'!$A197="","",IF('ORDENES'!$O197="","-",'ORDENES'!$O197))</f>
        <v/>
      </c>
      <c r="M219" s="3">
        <f>IF('ORDENES'!$A197="","",'ORDENES'!$AB197)</f>
        <v/>
      </c>
    </row>
    <row r="220">
      <c r="A220" s="3">
        <f>IF('ORDENES'!$A198="","",IF('ORDENES'!$P198="","-",'ORDENES'!$P198))</f>
        <v/>
      </c>
      <c r="B220" s="3">
        <f>IF('ORDENES'!$A198="","",IF('ORDENES'!$S198="","-",'ORDENES'!$S198))</f>
        <v/>
      </c>
      <c r="C220" s="3">
        <f>IF('ORDENES'!$A198="","",IF('ORDENES'!$AD198="","-",'ORDENES'!$AD198))</f>
        <v/>
      </c>
      <c r="D220" s="3">
        <f>IF('ORDENES'!$A198="","",IF('ORDENES'!$W198="","-",'ORDENES'!$W198))</f>
        <v/>
      </c>
      <c r="E220" s="3">
        <f>IF('ORDENES'!$A198="","",IF('ORDENES'!$V198="","-",'ORDENES'!$V198))</f>
        <v/>
      </c>
      <c r="F220" s="3">
        <f>IF('ORDENES'!$A198="","",IF('ORDENES'!$X198="","-",'ORDENES'!$X198))</f>
        <v/>
      </c>
      <c r="G220" s="3">
        <f>IF('ORDENES'!$A198="","",IF('ORDENES'!$AC198="","-",'ORDENES'!$AC198))</f>
        <v/>
      </c>
      <c r="H220" s="3">
        <f>IF('ORDENES'!$A198="","",IF('ORDENES'!$AO198="","-",'ORDENES'!$AO198))</f>
        <v/>
      </c>
      <c r="I220" s="3">
        <f>IF('ORDENES'!$A198="","",IF('ORDENES'!$D198="","-",'ORDENES'!$D198))</f>
        <v/>
      </c>
      <c r="J220" s="3">
        <f>IF('ORDENES'!$A198="","",IF('ORDENES'!$E198="","-",'ORDENES'!$E198))</f>
        <v/>
      </c>
      <c r="K220" s="12">
        <f>IF('ORDENES'!$A198="","",IF('ORDENES'!$N198="",0,'ORDENES'!$N198))</f>
        <v/>
      </c>
      <c r="L220" s="3">
        <f>IF('ORDENES'!$A198="","",IF('ORDENES'!$O198="","-",'ORDENES'!$O198))</f>
        <v/>
      </c>
      <c r="M220" s="3">
        <f>IF('ORDENES'!$A198="","",'ORDENES'!$AB198)</f>
        <v/>
      </c>
    </row>
    <row r="221">
      <c r="A221" s="3">
        <f>IF('ORDENES'!$A199="","",IF('ORDENES'!$P199="","-",'ORDENES'!$P199))</f>
        <v/>
      </c>
      <c r="B221" s="3">
        <f>IF('ORDENES'!$A199="","",IF('ORDENES'!$S199="","-",'ORDENES'!$S199))</f>
        <v/>
      </c>
      <c r="C221" s="3">
        <f>IF('ORDENES'!$A199="","",IF('ORDENES'!$AD199="","-",'ORDENES'!$AD199))</f>
        <v/>
      </c>
      <c r="D221" s="3">
        <f>IF('ORDENES'!$A199="","",IF('ORDENES'!$W199="","-",'ORDENES'!$W199))</f>
        <v/>
      </c>
      <c r="E221" s="3">
        <f>IF('ORDENES'!$A199="","",IF('ORDENES'!$V199="","-",'ORDENES'!$V199))</f>
        <v/>
      </c>
      <c r="F221" s="3">
        <f>IF('ORDENES'!$A199="","",IF('ORDENES'!$X199="","-",'ORDENES'!$X199))</f>
        <v/>
      </c>
      <c r="G221" s="3">
        <f>IF('ORDENES'!$A199="","",IF('ORDENES'!$AC199="","-",'ORDENES'!$AC199))</f>
        <v/>
      </c>
      <c r="H221" s="3">
        <f>IF('ORDENES'!$A199="","",IF('ORDENES'!$AO199="","-",'ORDENES'!$AO199))</f>
        <v/>
      </c>
      <c r="I221" s="3">
        <f>IF('ORDENES'!$A199="","",IF('ORDENES'!$D199="","-",'ORDENES'!$D199))</f>
        <v/>
      </c>
      <c r="J221" s="3">
        <f>IF('ORDENES'!$A199="","",IF('ORDENES'!$E199="","-",'ORDENES'!$E199))</f>
        <v/>
      </c>
      <c r="K221" s="12">
        <f>IF('ORDENES'!$A199="","",IF('ORDENES'!$N199="",0,'ORDENES'!$N199))</f>
        <v/>
      </c>
      <c r="L221" s="3">
        <f>IF('ORDENES'!$A199="","",IF('ORDENES'!$O199="","-",'ORDENES'!$O199))</f>
        <v/>
      </c>
      <c r="M221" s="3">
        <f>IF('ORDENES'!$A199="","",'ORDENES'!$AB199)</f>
        <v/>
      </c>
    </row>
    <row r="222">
      <c r="A222" s="3">
        <f>IF('ORDENES'!$A200="","",IF('ORDENES'!$P200="","-",'ORDENES'!$P200))</f>
        <v/>
      </c>
      <c r="B222" s="3">
        <f>IF('ORDENES'!$A200="","",IF('ORDENES'!$S200="","-",'ORDENES'!$S200))</f>
        <v/>
      </c>
      <c r="C222" s="3">
        <f>IF('ORDENES'!$A200="","",IF('ORDENES'!$AD200="","-",'ORDENES'!$AD200))</f>
        <v/>
      </c>
      <c r="D222" s="3">
        <f>IF('ORDENES'!$A200="","",IF('ORDENES'!$W200="","-",'ORDENES'!$W200))</f>
        <v/>
      </c>
      <c r="E222" s="3">
        <f>IF('ORDENES'!$A200="","",IF('ORDENES'!$V200="","-",'ORDENES'!$V200))</f>
        <v/>
      </c>
      <c r="F222" s="3">
        <f>IF('ORDENES'!$A200="","",IF('ORDENES'!$X200="","-",'ORDENES'!$X200))</f>
        <v/>
      </c>
      <c r="G222" s="3">
        <f>IF('ORDENES'!$A200="","",IF('ORDENES'!$AC200="","-",'ORDENES'!$AC200))</f>
        <v/>
      </c>
      <c r="H222" s="3">
        <f>IF('ORDENES'!$A200="","",IF('ORDENES'!$AO200="","-",'ORDENES'!$AO200))</f>
        <v/>
      </c>
      <c r="I222" s="3">
        <f>IF('ORDENES'!$A200="","",IF('ORDENES'!$D200="","-",'ORDENES'!$D200))</f>
        <v/>
      </c>
      <c r="J222" s="3">
        <f>IF('ORDENES'!$A200="","",IF('ORDENES'!$E200="","-",'ORDENES'!$E200))</f>
        <v/>
      </c>
      <c r="K222" s="12">
        <f>IF('ORDENES'!$A200="","",IF('ORDENES'!$N200="",0,'ORDENES'!$N200))</f>
        <v/>
      </c>
      <c r="L222" s="3">
        <f>IF('ORDENES'!$A200="","",IF('ORDENES'!$O200="","-",'ORDENES'!$O200))</f>
        <v/>
      </c>
      <c r="M222" s="3">
        <f>IF('ORDENES'!$A200="","",'ORDENES'!$AB200)</f>
        <v/>
      </c>
    </row>
    <row r="223">
      <c r="A223" s="3">
        <f>IF('ORDENES'!$A201="","",IF('ORDENES'!$P201="","-",'ORDENES'!$P201))</f>
        <v/>
      </c>
      <c r="B223" s="3">
        <f>IF('ORDENES'!$A201="","",IF('ORDENES'!$S201="","-",'ORDENES'!$S201))</f>
        <v/>
      </c>
      <c r="C223" s="3">
        <f>IF('ORDENES'!$A201="","",IF('ORDENES'!$AD201="","-",'ORDENES'!$AD201))</f>
        <v/>
      </c>
      <c r="D223" s="3">
        <f>IF('ORDENES'!$A201="","",IF('ORDENES'!$W201="","-",'ORDENES'!$W201))</f>
        <v/>
      </c>
      <c r="E223" s="3">
        <f>IF('ORDENES'!$A201="","",IF('ORDENES'!$V201="","-",'ORDENES'!$V201))</f>
        <v/>
      </c>
      <c r="F223" s="3">
        <f>IF('ORDENES'!$A201="","",IF('ORDENES'!$X201="","-",'ORDENES'!$X201))</f>
        <v/>
      </c>
      <c r="G223" s="3">
        <f>IF('ORDENES'!$A201="","",IF('ORDENES'!$AC201="","-",'ORDENES'!$AC201))</f>
        <v/>
      </c>
      <c r="H223" s="3">
        <f>IF('ORDENES'!$A201="","",IF('ORDENES'!$AO201="","-",'ORDENES'!$AO201))</f>
        <v/>
      </c>
      <c r="I223" s="3">
        <f>IF('ORDENES'!$A201="","",IF('ORDENES'!$D201="","-",'ORDENES'!$D201))</f>
        <v/>
      </c>
      <c r="J223" s="3">
        <f>IF('ORDENES'!$A201="","",IF('ORDENES'!$E201="","-",'ORDENES'!$E201))</f>
        <v/>
      </c>
      <c r="K223" s="12">
        <f>IF('ORDENES'!$A201="","",IF('ORDENES'!$N201="",0,'ORDENES'!$N201))</f>
        <v/>
      </c>
      <c r="L223" s="3">
        <f>IF('ORDENES'!$A201="","",IF('ORDENES'!$O201="","-",'ORDENES'!$O201))</f>
        <v/>
      </c>
      <c r="M223" s="3">
        <f>IF('ORDENES'!$A201="","",'ORDENES'!$AB201)</f>
        <v/>
      </c>
    </row>
    <row r="224">
      <c r="A224" s="3">
        <f>IF('ORDENES'!$A202="","",IF('ORDENES'!$P202="","-",'ORDENES'!$P202))</f>
        <v/>
      </c>
      <c r="B224" s="3">
        <f>IF('ORDENES'!$A202="","",IF('ORDENES'!$S202="","-",'ORDENES'!$S202))</f>
        <v/>
      </c>
      <c r="C224" s="3">
        <f>IF('ORDENES'!$A202="","",IF('ORDENES'!$AD202="","-",'ORDENES'!$AD202))</f>
        <v/>
      </c>
      <c r="D224" s="3">
        <f>IF('ORDENES'!$A202="","",IF('ORDENES'!$W202="","-",'ORDENES'!$W202))</f>
        <v/>
      </c>
      <c r="E224" s="3">
        <f>IF('ORDENES'!$A202="","",IF('ORDENES'!$V202="","-",'ORDENES'!$V202))</f>
        <v/>
      </c>
      <c r="F224" s="3">
        <f>IF('ORDENES'!$A202="","",IF('ORDENES'!$X202="","-",'ORDENES'!$X202))</f>
        <v/>
      </c>
      <c r="G224" s="3">
        <f>IF('ORDENES'!$A202="","",IF('ORDENES'!$AC202="","-",'ORDENES'!$AC202))</f>
        <v/>
      </c>
      <c r="H224" s="3">
        <f>IF('ORDENES'!$A202="","",IF('ORDENES'!$AO202="","-",'ORDENES'!$AO202))</f>
        <v/>
      </c>
      <c r="I224" s="3">
        <f>IF('ORDENES'!$A202="","",IF('ORDENES'!$D202="","-",'ORDENES'!$D202))</f>
        <v/>
      </c>
      <c r="J224" s="3">
        <f>IF('ORDENES'!$A202="","",IF('ORDENES'!$E202="","-",'ORDENES'!$E202))</f>
        <v/>
      </c>
      <c r="K224" s="12">
        <f>IF('ORDENES'!$A202="","",IF('ORDENES'!$N202="",0,'ORDENES'!$N202))</f>
        <v/>
      </c>
      <c r="L224" s="3">
        <f>IF('ORDENES'!$A202="","",IF('ORDENES'!$O202="","-",'ORDENES'!$O202))</f>
        <v/>
      </c>
      <c r="M224" s="3">
        <f>IF('ORDENES'!$A202="","",'ORDENES'!$AB202)</f>
        <v/>
      </c>
    </row>
    <row r="225">
      <c r="A225" s="3">
        <f>IF('ORDENES'!$A203="","",IF('ORDENES'!$P203="","-",'ORDENES'!$P203))</f>
        <v/>
      </c>
      <c r="B225" s="3">
        <f>IF('ORDENES'!$A203="","",IF('ORDENES'!$S203="","-",'ORDENES'!$S203))</f>
        <v/>
      </c>
      <c r="C225" s="3">
        <f>IF('ORDENES'!$A203="","",IF('ORDENES'!$AD203="","-",'ORDENES'!$AD203))</f>
        <v/>
      </c>
      <c r="D225" s="3">
        <f>IF('ORDENES'!$A203="","",IF('ORDENES'!$W203="","-",'ORDENES'!$W203))</f>
        <v/>
      </c>
      <c r="E225" s="3">
        <f>IF('ORDENES'!$A203="","",IF('ORDENES'!$V203="","-",'ORDENES'!$V203))</f>
        <v/>
      </c>
      <c r="F225" s="3">
        <f>IF('ORDENES'!$A203="","",IF('ORDENES'!$X203="","-",'ORDENES'!$X203))</f>
        <v/>
      </c>
      <c r="G225" s="3">
        <f>IF('ORDENES'!$A203="","",IF('ORDENES'!$AC203="","-",'ORDENES'!$AC203))</f>
        <v/>
      </c>
      <c r="H225" s="3">
        <f>IF('ORDENES'!$A203="","",IF('ORDENES'!$AO203="","-",'ORDENES'!$AO203))</f>
        <v/>
      </c>
      <c r="I225" s="3">
        <f>IF('ORDENES'!$A203="","",IF('ORDENES'!$D203="","-",'ORDENES'!$D203))</f>
        <v/>
      </c>
      <c r="J225" s="3">
        <f>IF('ORDENES'!$A203="","",IF('ORDENES'!$E203="","-",'ORDENES'!$E203))</f>
        <v/>
      </c>
      <c r="K225" s="12">
        <f>IF('ORDENES'!$A203="","",IF('ORDENES'!$N203="",0,'ORDENES'!$N203))</f>
        <v/>
      </c>
      <c r="L225" s="3">
        <f>IF('ORDENES'!$A203="","",IF('ORDENES'!$O203="","-",'ORDENES'!$O203))</f>
        <v/>
      </c>
      <c r="M225" s="3">
        <f>IF('ORDENES'!$A203="","",'ORDENES'!$AB203)</f>
        <v/>
      </c>
    </row>
    <row r="226">
      <c r="A226" s="3">
        <f>IF('ORDENES'!$A204="","",IF('ORDENES'!$P204="","-",'ORDENES'!$P204))</f>
        <v/>
      </c>
      <c r="B226" s="3">
        <f>IF('ORDENES'!$A204="","",IF('ORDENES'!$S204="","-",'ORDENES'!$S204))</f>
        <v/>
      </c>
      <c r="C226" s="3">
        <f>IF('ORDENES'!$A204="","",IF('ORDENES'!$AD204="","-",'ORDENES'!$AD204))</f>
        <v/>
      </c>
      <c r="D226" s="3">
        <f>IF('ORDENES'!$A204="","",IF('ORDENES'!$W204="","-",'ORDENES'!$W204))</f>
        <v/>
      </c>
      <c r="E226" s="3">
        <f>IF('ORDENES'!$A204="","",IF('ORDENES'!$V204="","-",'ORDENES'!$V204))</f>
        <v/>
      </c>
      <c r="F226" s="3">
        <f>IF('ORDENES'!$A204="","",IF('ORDENES'!$X204="","-",'ORDENES'!$X204))</f>
        <v/>
      </c>
      <c r="G226" s="3">
        <f>IF('ORDENES'!$A204="","",IF('ORDENES'!$AC204="","-",'ORDENES'!$AC204))</f>
        <v/>
      </c>
      <c r="H226" s="3">
        <f>IF('ORDENES'!$A204="","",IF('ORDENES'!$AO204="","-",'ORDENES'!$AO204))</f>
        <v/>
      </c>
      <c r="I226" s="3">
        <f>IF('ORDENES'!$A204="","",IF('ORDENES'!$D204="","-",'ORDENES'!$D204))</f>
        <v/>
      </c>
      <c r="J226" s="3">
        <f>IF('ORDENES'!$A204="","",IF('ORDENES'!$E204="","-",'ORDENES'!$E204))</f>
        <v/>
      </c>
      <c r="K226" s="12">
        <f>IF('ORDENES'!$A204="","",IF('ORDENES'!$N204="",0,'ORDENES'!$N204))</f>
        <v/>
      </c>
      <c r="L226" s="3">
        <f>IF('ORDENES'!$A204="","",IF('ORDENES'!$O204="","-",'ORDENES'!$O204))</f>
        <v/>
      </c>
      <c r="M226" s="3">
        <f>IF('ORDENES'!$A204="","",'ORDENES'!$AB204)</f>
        <v/>
      </c>
    </row>
    <row r="227">
      <c r="A227" s="3">
        <f>IF('ORDENES'!$A205="","",IF('ORDENES'!$P205="","-",'ORDENES'!$P205))</f>
        <v/>
      </c>
      <c r="B227" s="3">
        <f>IF('ORDENES'!$A205="","",IF('ORDENES'!$S205="","-",'ORDENES'!$S205))</f>
        <v/>
      </c>
      <c r="C227" s="3">
        <f>IF('ORDENES'!$A205="","",IF('ORDENES'!$AD205="","-",'ORDENES'!$AD205))</f>
        <v/>
      </c>
      <c r="D227" s="3">
        <f>IF('ORDENES'!$A205="","",IF('ORDENES'!$W205="","-",'ORDENES'!$W205))</f>
        <v/>
      </c>
      <c r="E227" s="3">
        <f>IF('ORDENES'!$A205="","",IF('ORDENES'!$V205="","-",'ORDENES'!$V205))</f>
        <v/>
      </c>
      <c r="F227" s="3">
        <f>IF('ORDENES'!$A205="","",IF('ORDENES'!$X205="","-",'ORDENES'!$X205))</f>
        <v/>
      </c>
      <c r="G227" s="3">
        <f>IF('ORDENES'!$A205="","",IF('ORDENES'!$AC205="","-",'ORDENES'!$AC205))</f>
        <v/>
      </c>
      <c r="H227" s="3">
        <f>IF('ORDENES'!$A205="","",IF('ORDENES'!$AO205="","-",'ORDENES'!$AO205))</f>
        <v/>
      </c>
      <c r="I227" s="3">
        <f>IF('ORDENES'!$A205="","",IF('ORDENES'!$D205="","-",'ORDENES'!$D205))</f>
        <v/>
      </c>
      <c r="J227" s="3">
        <f>IF('ORDENES'!$A205="","",IF('ORDENES'!$E205="","-",'ORDENES'!$E205))</f>
        <v/>
      </c>
      <c r="K227" s="12">
        <f>IF('ORDENES'!$A205="","",IF('ORDENES'!$N205="",0,'ORDENES'!$N205))</f>
        <v/>
      </c>
      <c r="L227" s="3">
        <f>IF('ORDENES'!$A205="","",IF('ORDENES'!$O205="","-",'ORDENES'!$O205))</f>
        <v/>
      </c>
      <c r="M227" s="3">
        <f>IF('ORDENES'!$A205="","",'ORDENES'!$AB205)</f>
        <v/>
      </c>
    </row>
    <row r="228">
      <c r="A228" s="3">
        <f>IF('ORDENES'!$A206="","",IF('ORDENES'!$P206="","-",'ORDENES'!$P206))</f>
        <v/>
      </c>
      <c r="B228" s="3">
        <f>IF('ORDENES'!$A206="","",IF('ORDENES'!$S206="","-",'ORDENES'!$S206))</f>
        <v/>
      </c>
      <c r="C228" s="3">
        <f>IF('ORDENES'!$A206="","",IF('ORDENES'!$AD206="","-",'ORDENES'!$AD206))</f>
        <v/>
      </c>
      <c r="D228" s="3">
        <f>IF('ORDENES'!$A206="","",IF('ORDENES'!$W206="","-",'ORDENES'!$W206))</f>
        <v/>
      </c>
      <c r="E228" s="3">
        <f>IF('ORDENES'!$A206="","",IF('ORDENES'!$V206="","-",'ORDENES'!$V206))</f>
        <v/>
      </c>
      <c r="F228" s="3">
        <f>IF('ORDENES'!$A206="","",IF('ORDENES'!$X206="","-",'ORDENES'!$X206))</f>
        <v/>
      </c>
      <c r="G228" s="3">
        <f>IF('ORDENES'!$A206="","",IF('ORDENES'!$AC206="","-",'ORDENES'!$AC206))</f>
        <v/>
      </c>
      <c r="H228" s="3">
        <f>IF('ORDENES'!$A206="","",IF('ORDENES'!$AO206="","-",'ORDENES'!$AO206))</f>
        <v/>
      </c>
      <c r="I228" s="3">
        <f>IF('ORDENES'!$A206="","",IF('ORDENES'!$D206="","-",'ORDENES'!$D206))</f>
        <v/>
      </c>
      <c r="J228" s="3">
        <f>IF('ORDENES'!$A206="","",IF('ORDENES'!$E206="","-",'ORDENES'!$E206))</f>
        <v/>
      </c>
      <c r="K228" s="12">
        <f>IF('ORDENES'!$A206="","",IF('ORDENES'!$N206="",0,'ORDENES'!$N206))</f>
        <v/>
      </c>
      <c r="L228" s="3">
        <f>IF('ORDENES'!$A206="","",IF('ORDENES'!$O206="","-",'ORDENES'!$O206))</f>
        <v/>
      </c>
      <c r="M228" s="3">
        <f>IF('ORDENES'!$A206="","",'ORDENES'!$AB206)</f>
        <v/>
      </c>
    </row>
    <row r="229">
      <c r="A229" s="3">
        <f>IF('ORDENES'!$A207="","",IF('ORDENES'!$P207="","-",'ORDENES'!$P207))</f>
        <v/>
      </c>
      <c r="B229" s="3">
        <f>IF('ORDENES'!$A207="","",IF('ORDENES'!$S207="","-",'ORDENES'!$S207))</f>
        <v/>
      </c>
      <c r="C229" s="3">
        <f>IF('ORDENES'!$A207="","",IF('ORDENES'!$AD207="","-",'ORDENES'!$AD207))</f>
        <v/>
      </c>
      <c r="D229" s="3">
        <f>IF('ORDENES'!$A207="","",IF('ORDENES'!$W207="","-",'ORDENES'!$W207))</f>
        <v/>
      </c>
      <c r="E229" s="3">
        <f>IF('ORDENES'!$A207="","",IF('ORDENES'!$V207="","-",'ORDENES'!$V207))</f>
        <v/>
      </c>
      <c r="F229" s="3">
        <f>IF('ORDENES'!$A207="","",IF('ORDENES'!$X207="","-",'ORDENES'!$X207))</f>
        <v/>
      </c>
      <c r="G229" s="3">
        <f>IF('ORDENES'!$A207="","",IF('ORDENES'!$AC207="","-",'ORDENES'!$AC207))</f>
        <v/>
      </c>
      <c r="H229" s="3">
        <f>IF('ORDENES'!$A207="","",IF('ORDENES'!$AO207="","-",'ORDENES'!$AO207))</f>
        <v/>
      </c>
      <c r="I229" s="3">
        <f>IF('ORDENES'!$A207="","",IF('ORDENES'!$D207="","-",'ORDENES'!$D207))</f>
        <v/>
      </c>
      <c r="J229" s="3">
        <f>IF('ORDENES'!$A207="","",IF('ORDENES'!$E207="","-",'ORDENES'!$E207))</f>
        <v/>
      </c>
      <c r="K229" s="12">
        <f>IF('ORDENES'!$A207="","",IF('ORDENES'!$N207="",0,'ORDENES'!$N207))</f>
        <v/>
      </c>
      <c r="L229" s="3">
        <f>IF('ORDENES'!$A207="","",IF('ORDENES'!$O207="","-",'ORDENES'!$O207))</f>
        <v/>
      </c>
      <c r="M229" s="3">
        <f>IF('ORDENES'!$A207="","",'ORDENES'!$AB207)</f>
        <v/>
      </c>
    </row>
    <row r="230">
      <c r="A230" s="3">
        <f>IF('ORDENES'!$A208="","",IF('ORDENES'!$P208="","-",'ORDENES'!$P208))</f>
        <v/>
      </c>
      <c r="B230" s="3">
        <f>IF('ORDENES'!$A208="","",IF('ORDENES'!$S208="","-",'ORDENES'!$S208))</f>
        <v/>
      </c>
      <c r="C230" s="3">
        <f>IF('ORDENES'!$A208="","",IF('ORDENES'!$AD208="","-",'ORDENES'!$AD208))</f>
        <v/>
      </c>
      <c r="D230" s="3">
        <f>IF('ORDENES'!$A208="","",IF('ORDENES'!$W208="","-",'ORDENES'!$W208))</f>
        <v/>
      </c>
      <c r="E230" s="3">
        <f>IF('ORDENES'!$A208="","",IF('ORDENES'!$V208="","-",'ORDENES'!$V208))</f>
        <v/>
      </c>
      <c r="F230" s="3">
        <f>IF('ORDENES'!$A208="","",IF('ORDENES'!$X208="","-",'ORDENES'!$X208))</f>
        <v/>
      </c>
      <c r="G230" s="3">
        <f>IF('ORDENES'!$A208="","",IF('ORDENES'!$AC208="","-",'ORDENES'!$AC208))</f>
        <v/>
      </c>
      <c r="H230" s="3">
        <f>IF('ORDENES'!$A208="","",IF('ORDENES'!$AO208="","-",'ORDENES'!$AO208))</f>
        <v/>
      </c>
      <c r="I230" s="3">
        <f>IF('ORDENES'!$A208="","",IF('ORDENES'!$D208="","-",'ORDENES'!$D208))</f>
        <v/>
      </c>
      <c r="J230" s="3">
        <f>IF('ORDENES'!$A208="","",IF('ORDENES'!$E208="","-",'ORDENES'!$E208))</f>
        <v/>
      </c>
      <c r="K230" s="12">
        <f>IF('ORDENES'!$A208="","",IF('ORDENES'!$N208="",0,'ORDENES'!$N208))</f>
        <v/>
      </c>
      <c r="L230" s="3">
        <f>IF('ORDENES'!$A208="","",IF('ORDENES'!$O208="","-",'ORDENES'!$O208))</f>
        <v/>
      </c>
      <c r="M230" s="3">
        <f>IF('ORDENES'!$A208="","",'ORDENES'!$AB208)</f>
        <v/>
      </c>
    </row>
    <row r="231">
      <c r="A231" s="3">
        <f>IF('ORDENES'!$A209="","",IF('ORDENES'!$P209="","-",'ORDENES'!$P209))</f>
        <v/>
      </c>
      <c r="B231" s="3">
        <f>IF('ORDENES'!$A209="","",IF('ORDENES'!$S209="","-",'ORDENES'!$S209))</f>
        <v/>
      </c>
      <c r="C231" s="3">
        <f>IF('ORDENES'!$A209="","",IF('ORDENES'!$AD209="","-",'ORDENES'!$AD209))</f>
        <v/>
      </c>
      <c r="D231" s="3">
        <f>IF('ORDENES'!$A209="","",IF('ORDENES'!$W209="","-",'ORDENES'!$W209))</f>
        <v/>
      </c>
      <c r="E231" s="3">
        <f>IF('ORDENES'!$A209="","",IF('ORDENES'!$V209="","-",'ORDENES'!$V209))</f>
        <v/>
      </c>
      <c r="F231" s="3">
        <f>IF('ORDENES'!$A209="","",IF('ORDENES'!$X209="","-",'ORDENES'!$X209))</f>
        <v/>
      </c>
      <c r="G231" s="3">
        <f>IF('ORDENES'!$A209="","",IF('ORDENES'!$AC209="","-",'ORDENES'!$AC209))</f>
        <v/>
      </c>
      <c r="H231" s="3">
        <f>IF('ORDENES'!$A209="","",IF('ORDENES'!$AO209="","-",'ORDENES'!$AO209))</f>
        <v/>
      </c>
      <c r="I231" s="3">
        <f>IF('ORDENES'!$A209="","",IF('ORDENES'!$D209="","-",'ORDENES'!$D209))</f>
        <v/>
      </c>
      <c r="J231" s="3">
        <f>IF('ORDENES'!$A209="","",IF('ORDENES'!$E209="","-",'ORDENES'!$E209))</f>
        <v/>
      </c>
      <c r="K231" s="12">
        <f>IF('ORDENES'!$A209="","",IF('ORDENES'!$N209="",0,'ORDENES'!$N209))</f>
        <v/>
      </c>
      <c r="L231" s="3">
        <f>IF('ORDENES'!$A209="","",IF('ORDENES'!$O209="","-",'ORDENES'!$O209))</f>
        <v/>
      </c>
      <c r="M231" s="3">
        <f>IF('ORDENES'!$A209="","",'ORDENES'!$AB209)</f>
        <v/>
      </c>
    </row>
    <row r="232">
      <c r="A232" s="3">
        <f>IF('ORDENES'!$A210="","",IF('ORDENES'!$P210="","-",'ORDENES'!$P210))</f>
        <v/>
      </c>
      <c r="B232" s="3">
        <f>IF('ORDENES'!$A210="","",IF('ORDENES'!$S210="","-",'ORDENES'!$S210))</f>
        <v/>
      </c>
      <c r="C232" s="3">
        <f>IF('ORDENES'!$A210="","",IF('ORDENES'!$AD210="","-",'ORDENES'!$AD210))</f>
        <v/>
      </c>
      <c r="D232" s="3">
        <f>IF('ORDENES'!$A210="","",IF('ORDENES'!$W210="","-",'ORDENES'!$W210))</f>
        <v/>
      </c>
      <c r="E232" s="3">
        <f>IF('ORDENES'!$A210="","",IF('ORDENES'!$V210="","-",'ORDENES'!$V210))</f>
        <v/>
      </c>
      <c r="F232" s="3">
        <f>IF('ORDENES'!$A210="","",IF('ORDENES'!$X210="","-",'ORDENES'!$X210))</f>
        <v/>
      </c>
      <c r="G232" s="3">
        <f>IF('ORDENES'!$A210="","",IF('ORDENES'!$AC210="","-",'ORDENES'!$AC210))</f>
        <v/>
      </c>
      <c r="H232" s="3">
        <f>IF('ORDENES'!$A210="","",IF('ORDENES'!$AO210="","-",'ORDENES'!$AO210))</f>
        <v/>
      </c>
      <c r="I232" s="3">
        <f>IF('ORDENES'!$A210="","",IF('ORDENES'!$D210="","-",'ORDENES'!$D210))</f>
        <v/>
      </c>
      <c r="J232" s="3">
        <f>IF('ORDENES'!$A210="","",IF('ORDENES'!$E210="","-",'ORDENES'!$E210))</f>
        <v/>
      </c>
      <c r="K232" s="12">
        <f>IF('ORDENES'!$A210="","",IF('ORDENES'!$N210="",0,'ORDENES'!$N210))</f>
        <v/>
      </c>
      <c r="L232" s="3">
        <f>IF('ORDENES'!$A210="","",IF('ORDENES'!$O210="","-",'ORDENES'!$O210))</f>
        <v/>
      </c>
      <c r="M232" s="3">
        <f>IF('ORDENES'!$A210="","",'ORDENES'!$AB210)</f>
        <v/>
      </c>
    </row>
    <row r="233">
      <c r="A233" s="3">
        <f>IF('ORDENES'!$A211="","",IF('ORDENES'!$P211="","-",'ORDENES'!$P211))</f>
        <v/>
      </c>
      <c r="B233" s="3">
        <f>IF('ORDENES'!$A211="","",IF('ORDENES'!$S211="","-",'ORDENES'!$S211))</f>
        <v/>
      </c>
      <c r="C233" s="3">
        <f>IF('ORDENES'!$A211="","",IF('ORDENES'!$AD211="","-",'ORDENES'!$AD211))</f>
        <v/>
      </c>
      <c r="D233" s="3">
        <f>IF('ORDENES'!$A211="","",IF('ORDENES'!$W211="","-",'ORDENES'!$W211))</f>
        <v/>
      </c>
      <c r="E233" s="3">
        <f>IF('ORDENES'!$A211="","",IF('ORDENES'!$V211="","-",'ORDENES'!$V211))</f>
        <v/>
      </c>
      <c r="F233" s="3">
        <f>IF('ORDENES'!$A211="","",IF('ORDENES'!$X211="","-",'ORDENES'!$X211))</f>
        <v/>
      </c>
      <c r="G233" s="3">
        <f>IF('ORDENES'!$A211="","",IF('ORDENES'!$AC211="","-",'ORDENES'!$AC211))</f>
        <v/>
      </c>
      <c r="H233" s="3">
        <f>IF('ORDENES'!$A211="","",IF('ORDENES'!$AO211="","-",'ORDENES'!$AO211))</f>
        <v/>
      </c>
      <c r="I233" s="3">
        <f>IF('ORDENES'!$A211="","",IF('ORDENES'!$D211="","-",'ORDENES'!$D211))</f>
        <v/>
      </c>
      <c r="J233" s="3">
        <f>IF('ORDENES'!$A211="","",IF('ORDENES'!$E211="","-",'ORDENES'!$E211))</f>
        <v/>
      </c>
      <c r="K233" s="12">
        <f>IF('ORDENES'!$A211="","",IF('ORDENES'!$N211="",0,'ORDENES'!$N211))</f>
        <v/>
      </c>
      <c r="L233" s="3">
        <f>IF('ORDENES'!$A211="","",IF('ORDENES'!$O211="","-",'ORDENES'!$O211))</f>
        <v/>
      </c>
      <c r="M233" s="3">
        <f>IF('ORDENES'!$A211="","",'ORDENES'!$AB211)</f>
        <v/>
      </c>
    </row>
    <row r="234">
      <c r="A234" s="3">
        <f>IF('ORDENES'!$A212="","",IF('ORDENES'!$P212="","-",'ORDENES'!$P212))</f>
        <v/>
      </c>
      <c r="B234" s="3">
        <f>IF('ORDENES'!$A212="","",IF('ORDENES'!$S212="","-",'ORDENES'!$S212))</f>
        <v/>
      </c>
      <c r="C234" s="3">
        <f>IF('ORDENES'!$A212="","",IF('ORDENES'!$AD212="","-",'ORDENES'!$AD212))</f>
        <v/>
      </c>
      <c r="D234" s="3">
        <f>IF('ORDENES'!$A212="","",IF('ORDENES'!$W212="","-",'ORDENES'!$W212))</f>
        <v/>
      </c>
      <c r="E234" s="3">
        <f>IF('ORDENES'!$A212="","",IF('ORDENES'!$V212="","-",'ORDENES'!$V212))</f>
        <v/>
      </c>
      <c r="F234" s="3">
        <f>IF('ORDENES'!$A212="","",IF('ORDENES'!$X212="","-",'ORDENES'!$X212))</f>
        <v/>
      </c>
      <c r="G234" s="3">
        <f>IF('ORDENES'!$A212="","",IF('ORDENES'!$AC212="","-",'ORDENES'!$AC212))</f>
        <v/>
      </c>
      <c r="H234" s="3">
        <f>IF('ORDENES'!$A212="","",IF('ORDENES'!$AO212="","-",'ORDENES'!$AO212))</f>
        <v/>
      </c>
      <c r="I234" s="3">
        <f>IF('ORDENES'!$A212="","",IF('ORDENES'!$D212="","-",'ORDENES'!$D212))</f>
        <v/>
      </c>
      <c r="J234" s="3">
        <f>IF('ORDENES'!$A212="","",IF('ORDENES'!$E212="","-",'ORDENES'!$E212))</f>
        <v/>
      </c>
      <c r="K234" s="12">
        <f>IF('ORDENES'!$A212="","",IF('ORDENES'!$N212="",0,'ORDENES'!$N212))</f>
        <v/>
      </c>
      <c r="L234" s="3">
        <f>IF('ORDENES'!$A212="","",IF('ORDENES'!$O212="","-",'ORDENES'!$O212))</f>
        <v/>
      </c>
      <c r="M234" s="3">
        <f>IF('ORDENES'!$A212="","",'ORDENES'!$AB212)</f>
        <v/>
      </c>
    </row>
    <row r="235">
      <c r="A235" s="3">
        <f>IF('ORDENES'!$A213="","",IF('ORDENES'!$P213="","-",'ORDENES'!$P213))</f>
        <v/>
      </c>
      <c r="B235" s="3">
        <f>IF('ORDENES'!$A213="","",IF('ORDENES'!$S213="","-",'ORDENES'!$S213))</f>
        <v/>
      </c>
      <c r="C235" s="3">
        <f>IF('ORDENES'!$A213="","",IF('ORDENES'!$AD213="","-",'ORDENES'!$AD213))</f>
        <v/>
      </c>
      <c r="D235" s="3">
        <f>IF('ORDENES'!$A213="","",IF('ORDENES'!$W213="","-",'ORDENES'!$W213))</f>
        <v/>
      </c>
      <c r="E235" s="3">
        <f>IF('ORDENES'!$A213="","",IF('ORDENES'!$V213="","-",'ORDENES'!$V213))</f>
        <v/>
      </c>
      <c r="F235" s="3">
        <f>IF('ORDENES'!$A213="","",IF('ORDENES'!$X213="","-",'ORDENES'!$X213))</f>
        <v/>
      </c>
      <c r="G235" s="3">
        <f>IF('ORDENES'!$A213="","",IF('ORDENES'!$AC213="","-",'ORDENES'!$AC213))</f>
        <v/>
      </c>
      <c r="H235" s="3">
        <f>IF('ORDENES'!$A213="","",IF('ORDENES'!$AO213="","-",'ORDENES'!$AO213))</f>
        <v/>
      </c>
      <c r="I235" s="3">
        <f>IF('ORDENES'!$A213="","",IF('ORDENES'!$D213="","-",'ORDENES'!$D213))</f>
        <v/>
      </c>
      <c r="J235" s="3">
        <f>IF('ORDENES'!$A213="","",IF('ORDENES'!$E213="","-",'ORDENES'!$E213))</f>
        <v/>
      </c>
      <c r="K235" s="12">
        <f>IF('ORDENES'!$A213="","",IF('ORDENES'!$N213="",0,'ORDENES'!$N213))</f>
        <v/>
      </c>
      <c r="L235" s="3">
        <f>IF('ORDENES'!$A213="","",IF('ORDENES'!$O213="","-",'ORDENES'!$O213))</f>
        <v/>
      </c>
      <c r="M235" s="3">
        <f>IF('ORDENES'!$A213="","",'ORDENES'!$AB213)</f>
        <v/>
      </c>
    </row>
    <row r="236">
      <c r="A236" s="3">
        <f>IF('ORDENES'!$A214="","",IF('ORDENES'!$P214="","-",'ORDENES'!$P214))</f>
        <v/>
      </c>
      <c r="B236" s="3">
        <f>IF('ORDENES'!$A214="","",IF('ORDENES'!$S214="","-",'ORDENES'!$S214))</f>
        <v/>
      </c>
      <c r="C236" s="3">
        <f>IF('ORDENES'!$A214="","",IF('ORDENES'!$AD214="","-",'ORDENES'!$AD214))</f>
        <v/>
      </c>
      <c r="D236" s="3">
        <f>IF('ORDENES'!$A214="","",IF('ORDENES'!$W214="","-",'ORDENES'!$W214))</f>
        <v/>
      </c>
      <c r="E236" s="3">
        <f>IF('ORDENES'!$A214="","",IF('ORDENES'!$V214="","-",'ORDENES'!$V214))</f>
        <v/>
      </c>
      <c r="F236" s="3">
        <f>IF('ORDENES'!$A214="","",IF('ORDENES'!$X214="","-",'ORDENES'!$X214))</f>
        <v/>
      </c>
      <c r="G236" s="3">
        <f>IF('ORDENES'!$A214="","",IF('ORDENES'!$AC214="","-",'ORDENES'!$AC214))</f>
        <v/>
      </c>
      <c r="H236" s="3">
        <f>IF('ORDENES'!$A214="","",IF('ORDENES'!$AO214="","-",'ORDENES'!$AO214))</f>
        <v/>
      </c>
      <c r="I236" s="3">
        <f>IF('ORDENES'!$A214="","",IF('ORDENES'!$D214="","-",'ORDENES'!$D214))</f>
        <v/>
      </c>
      <c r="J236" s="3">
        <f>IF('ORDENES'!$A214="","",IF('ORDENES'!$E214="","-",'ORDENES'!$E214))</f>
        <v/>
      </c>
      <c r="K236" s="12">
        <f>IF('ORDENES'!$A214="","",IF('ORDENES'!$N214="",0,'ORDENES'!$N214))</f>
        <v/>
      </c>
      <c r="L236" s="3">
        <f>IF('ORDENES'!$A214="","",IF('ORDENES'!$O214="","-",'ORDENES'!$O214))</f>
        <v/>
      </c>
      <c r="M236" s="3">
        <f>IF('ORDENES'!$A214="","",'ORDENES'!$AB214)</f>
        <v/>
      </c>
    </row>
    <row r="237">
      <c r="A237" s="3">
        <f>IF('ORDENES'!$A215="","",IF('ORDENES'!$P215="","-",'ORDENES'!$P215))</f>
        <v/>
      </c>
      <c r="B237" s="3">
        <f>IF('ORDENES'!$A215="","",IF('ORDENES'!$S215="","-",'ORDENES'!$S215))</f>
        <v/>
      </c>
      <c r="C237" s="3">
        <f>IF('ORDENES'!$A215="","",IF('ORDENES'!$AD215="","-",'ORDENES'!$AD215))</f>
        <v/>
      </c>
      <c r="D237" s="3">
        <f>IF('ORDENES'!$A215="","",IF('ORDENES'!$W215="","-",'ORDENES'!$W215))</f>
        <v/>
      </c>
      <c r="E237" s="3">
        <f>IF('ORDENES'!$A215="","",IF('ORDENES'!$V215="","-",'ORDENES'!$V215))</f>
        <v/>
      </c>
      <c r="F237" s="3">
        <f>IF('ORDENES'!$A215="","",IF('ORDENES'!$X215="","-",'ORDENES'!$X215))</f>
        <v/>
      </c>
      <c r="G237" s="3">
        <f>IF('ORDENES'!$A215="","",IF('ORDENES'!$AC215="","-",'ORDENES'!$AC215))</f>
        <v/>
      </c>
      <c r="H237" s="3">
        <f>IF('ORDENES'!$A215="","",IF('ORDENES'!$AO215="","-",'ORDENES'!$AO215))</f>
        <v/>
      </c>
      <c r="I237" s="3">
        <f>IF('ORDENES'!$A215="","",IF('ORDENES'!$D215="","-",'ORDENES'!$D215))</f>
        <v/>
      </c>
      <c r="J237" s="3">
        <f>IF('ORDENES'!$A215="","",IF('ORDENES'!$E215="","-",'ORDENES'!$E215))</f>
        <v/>
      </c>
      <c r="K237" s="12">
        <f>IF('ORDENES'!$A215="","",IF('ORDENES'!$N215="",0,'ORDENES'!$N215))</f>
        <v/>
      </c>
      <c r="L237" s="3">
        <f>IF('ORDENES'!$A215="","",IF('ORDENES'!$O215="","-",'ORDENES'!$O215))</f>
        <v/>
      </c>
      <c r="M237" s="3">
        <f>IF('ORDENES'!$A215="","",'ORDENES'!$AB215)</f>
        <v/>
      </c>
    </row>
    <row r="238">
      <c r="A238" s="3">
        <f>IF('ORDENES'!$A216="","",IF('ORDENES'!$P216="","-",'ORDENES'!$P216))</f>
        <v/>
      </c>
      <c r="B238" s="3">
        <f>IF('ORDENES'!$A216="","",IF('ORDENES'!$S216="","-",'ORDENES'!$S216))</f>
        <v/>
      </c>
      <c r="C238" s="3">
        <f>IF('ORDENES'!$A216="","",IF('ORDENES'!$AD216="","-",'ORDENES'!$AD216))</f>
        <v/>
      </c>
      <c r="D238" s="3">
        <f>IF('ORDENES'!$A216="","",IF('ORDENES'!$W216="","-",'ORDENES'!$W216))</f>
        <v/>
      </c>
      <c r="E238" s="3">
        <f>IF('ORDENES'!$A216="","",IF('ORDENES'!$V216="","-",'ORDENES'!$V216))</f>
        <v/>
      </c>
      <c r="F238" s="3">
        <f>IF('ORDENES'!$A216="","",IF('ORDENES'!$X216="","-",'ORDENES'!$X216))</f>
        <v/>
      </c>
      <c r="G238" s="3">
        <f>IF('ORDENES'!$A216="","",IF('ORDENES'!$AC216="","-",'ORDENES'!$AC216))</f>
        <v/>
      </c>
      <c r="H238" s="3">
        <f>IF('ORDENES'!$A216="","",IF('ORDENES'!$AO216="","-",'ORDENES'!$AO216))</f>
        <v/>
      </c>
      <c r="I238" s="3">
        <f>IF('ORDENES'!$A216="","",IF('ORDENES'!$D216="","-",'ORDENES'!$D216))</f>
        <v/>
      </c>
      <c r="J238" s="3">
        <f>IF('ORDENES'!$A216="","",IF('ORDENES'!$E216="","-",'ORDENES'!$E216))</f>
        <v/>
      </c>
      <c r="K238" s="12">
        <f>IF('ORDENES'!$A216="","",IF('ORDENES'!$N216="",0,'ORDENES'!$N216))</f>
        <v/>
      </c>
      <c r="L238" s="3">
        <f>IF('ORDENES'!$A216="","",IF('ORDENES'!$O216="","-",'ORDENES'!$O216))</f>
        <v/>
      </c>
      <c r="M238" s="3">
        <f>IF('ORDENES'!$A216="","",'ORDENES'!$AB216)</f>
        <v/>
      </c>
    </row>
    <row r="239">
      <c r="A239" s="3">
        <f>IF('ORDENES'!$A217="","",IF('ORDENES'!$P217="","-",'ORDENES'!$P217))</f>
        <v/>
      </c>
      <c r="B239" s="3">
        <f>IF('ORDENES'!$A217="","",IF('ORDENES'!$S217="","-",'ORDENES'!$S217))</f>
        <v/>
      </c>
      <c r="C239" s="3">
        <f>IF('ORDENES'!$A217="","",IF('ORDENES'!$AD217="","-",'ORDENES'!$AD217))</f>
        <v/>
      </c>
      <c r="D239" s="3">
        <f>IF('ORDENES'!$A217="","",IF('ORDENES'!$W217="","-",'ORDENES'!$W217))</f>
        <v/>
      </c>
      <c r="E239" s="3">
        <f>IF('ORDENES'!$A217="","",IF('ORDENES'!$V217="","-",'ORDENES'!$V217))</f>
        <v/>
      </c>
      <c r="F239" s="3">
        <f>IF('ORDENES'!$A217="","",IF('ORDENES'!$X217="","-",'ORDENES'!$X217))</f>
        <v/>
      </c>
      <c r="G239" s="3">
        <f>IF('ORDENES'!$A217="","",IF('ORDENES'!$AC217="","-",'ORDENES'!$AC217))</f>
        <v/>
      </c>
      <c r="H239" s="3">
        <f>IF('ORDENES'!$A217="","",IF('ORDENES'!$AO217="","-",'ORDENES'!$AO217))</f>
        <v/>
      </c>
      <c r="I239" s="3">
        <f>IF('ORDENES'!$A217="","",IF('ORDENES'!$D217="","-",'ORDENES'!$D217))</f>
        <v/>
      </c>
      <c r="J239" s="3">
        <f>IF('ORDENES'!$A217="","",IF('ORDENES'!$E217="","-",'ORDENES'!$E217))</f>
        <v/>
      </c>
      <c r="K239" s="12">
        <f>IF('ORDENES'!$A217="","",IF('ORDENES'!$N217="",0,'ORDENES'!$N217))</f>
        <v/>
      </c>
      <c r="L239" s="3">
        <f>IF('ORDENES'!$A217="","",IF('ORDENES'!$O217="","-",'ORDENES'!$O217))</f>
        <v/>
      </c>
      <c r="M239" s="3">
        <f>IF('ORDENES'!$A217="","",'ORDENES'!$AB217)</f>
        <v/>
      </c>
    </row>
    <row r="240">
      <c r="A240" s="3">
        <f>IF('ORDENES'!$A218="","",IF('ORDENES'!$P218="","-",'ORDENES'!$P218))</f>
        <v/>
      </c>
      <c r="B240" s="3">
        <f>IF('ORDENES'!$A218="","",IF('ORDENES'!$S218="","-",'ORDENES'!$S218))</f>
        <v/>
      </c>
      <c r="C240" s="3">
        <f>IF('ORDENES'!$A218="","",IF('ORDENES'!$AD218="","-",'ORDENES'!$AD218))</f>
        <v/>
      </c>
      <c r="D240" s="3">
        <f>IF('ORDENES'!$A218="","",IF('ORDENES'!$W218="","-",'ORDENES'!$W218))</f>
        <v/>
      </c>
      <c r="E240" s="3">
        <f>IF('ORDENES'!$A218="","",IF('ORDENES'!$V218="","-",'ORDENES'!$V218))</f>
        <v/>
      </c>
      <c r="F240" s="3">
        <f>IF('ORDENES'!$A218="","",IF('ORDENES'!$X218="","-",'ORDENES'!$X218))</f>
        <v/>
      </c>
      <c r="G240" s="3">
        <f>IF('ORDENES'!$A218="","",IF('ORDENES'!$AC218="","-",'ORDENES'!$AC218))</f>
        <v/>
      </c>
      <c r="H240" s="3">
        <f>IF('ORDENES'!$A218="","",IF('ORDENES'!$AO218="","-",'ORDENES'!$AO218))</f>
        <v/>
      </c>
      <c r="I240" s="3">
        <f>IF('ORDENES'!$A218="","",IF('ORDENES'!$D218="","-",'ORDENES'!$D218))</f>
        <v/>
      </c>
      <c r="J240" s="3">
        <f>IF('ORDENES'!$A218="","",IF('ORDENES'!$E218="","-",'ORDENES'!$E218))</f>
        <v/>
      </c>
      <c r="K240" s="12">
        <f>IF('ORDENES'!$A218="","",IF('ORDENES'!$N218="",0,'ORDENES'!$N218))</f>
        <v/>
      </c>
      <c r="L240" s="3">
        <f>IF('ORDENES'!$A218="","",IF('ORDENES'!$O218="","-",'ORDENES'!$O218))</f>
        <v/>
      </c>
      <c r="M240" s="3">
        <f>IF('ORDENES'!$A218="","",'ORDENES'!$AB218)</f>
        <v/>
      </c>
    </row>
    <row r="241">
      <c r="A241" s="3">
        <f>IF('ORDENES'!$A219="","",IF('ORDENES'!$P219="","-",'ORDENES'!$P219))</f>
        <v/>
      </c>
      <c r="B241" s="3">
        <f>IF('ORDENES'!$A219="","",IF('ORDENES'!$S219="","-",'ORDENES'!$S219))</f>
        <v/>
      </c>
      <c r="C241" s="3">
        <f>IF('ORDENES'!$A219="","",IF('ORDENES'!$AD219="","-",'ORDENES'!$AD219))</f>
        <v/>
      </c>
      <c r="D241" s="3">
        <f>IF('ORDENES'!$A219="","",IF('ORDENES'!$W219="","-",'ORDENES'!$W219))</f>
        <v/>
      </c>
      <c r="E241" s="3">
        <f>IF('ORDENES'!$A219="","",IF('ORDENES'!$V219="","-",'ORDENES'!$V219))</f>
        <v/>
      </c>
      <c r="F241" s="3">
        <f>IF('ORDENES'!$A219="","",IF('ORDENES'!$X219="","-",'ORDENES'!$X219))</f>
        <v/>
      </c>
      <c r="G241" s="3">
        <f>IF('ORDENES'!$A219="","",IF('ORDENES'!$AC219="","-",'ORDENES'!$AC219))</f>
        <v/>
      </c>
      <c r="H241" s="3">
        <f>IF('ORDENES'!$A219="","",IF('ORDENES'!$AO219="","-",'ORDENES'!$AO219))</f>
        <v/>
      </c>
      <c r="I241" s="3">
        <f>IF('ORDENES'!$A219="","",IF('ORDENES'!$D219="","-",'ORDENES'!$D219))</f>
        <v/>
      </c>
      <c r="J241" s="3">
        <f>IF('ORDENES'!$A219="","",IF('ORDENES'!$E219="","-",'ORDENES'!$E219))</f>
        <v/>
      </c>
      <c r="K241" s="12">
        <f>IF('ORDENES'!$A219="","",IF('ORDENES'!$N219="",0,'ORDENES'!$N219))</f>
        <v/>
      </c>
      <c r="L241" s="3">
        <f>IF('ORDENES'!$A219="","",IF('ORDENES'!$O219="","-",'ORDENES'!$O219))</f>
        <v/>
      </c>
      <c r="M241" s="3">
        <f>IF('ORDENES'!$A219="","",'ORDENES'!$AB219)</f>
        <v/>
      </c>
    </row>
    <row r="242">
      <c r="A242" s="3">
        <f>IF('ORDENES'!$A220="","",IF('ORDENES'!$P220="","-",'ORDENES'!$P220))</f>
        <v/>
      </c>
      <c r="B242" s="3">
        <f>IF('ORDENES'!$A220="","",IF('ORDENES'!$S220="","-",'ORDENES'!$S220))</f>
        <v/>
      </c>
      <c r="C242" s="3">
        <f>IF('ORDENES'!$A220="","",IF('ORDENES'!$AD220="","-",'ORDENES'!$AD220))</f>
        <v/>
      </c>
      <c r="D242" s="3">
        <f>IF('ORDENES'!$A220="","",IF('ORDENES'!$W220="","-",'ORDENES'!$W220))</f>
        <v/>
      </c>
      <c r="E242" s="3">
        <f>IF('ORDENES'!$A220="","",IF('ORDENES'!$V220="","-",'ORDENES'!$V220))</f>
        <v/>
      </c>
      <c r="F242" s="3">
        <f>IF('ORDENES'!$A220="","",IF('ORDENES'!$X220="","-",'ORDENES'!$X220))</f>
        <v/>
      </c>
      <c r="G242" s="3">
        <f>IF('ORDENES'!$A220="","",IF('ORDENES'!$AC220="","-",'ORDENES'!$AC220))</f>
        <v/>
      </c>
      <c r="H242" s="3">
        <f>IF('ORDENES'!$A220="","",IF('ORDENES'!$AO220="","-",'ORDENES'!$AO220))</f>
        <v/>
      </c>
      <c r="I242" s="3">
        <f>IF('ORDENES'!$A220="","",IF('ORDENES'!$D220="","-",'ORDENES'!$D220))</f>
        <v/>
      </c>
      <c r="J242" s="3">
        <f>IF('ORDENES'!$A220="","",IF('ORDENES'!$E220="","-",'ORDENES'!$E220))</f>
        <v/>
      </c>
      <c r="K242" s="12">
        <f>IF('ORDENES'!$A220="","",IF('ORDENES'!$N220="",0,'ORDENES'!$N220))</f>
        <v/>
      </c>
      <c r="L242" s="3">
        <f>IF('ORDENES'!$A220="","",IF('ORDENES'!$O220="","-",'ORDENES'!$O220))</f>
        <v/>
      </c>
      <c r="M242" s="3">
        <f>IF('ORDENES'!$A220="","",'ORDENES'!$AB220)</f>
        <v/>
      </c>
    </row>
    <row r="243">
      <c r="A243" s="3">
        <f>IF('ORDENES'!$A221="","",IF('ORDENES'!$P221="","-",'ORDENES'!$P221))</f>
        <v/>
      </c>
      <c r="B243" s="3">
        <f>IF('ORDENES'!$A221="","",IF('ORDENES'!$S221="","-",'ORDENES'!$S221))</f>
        <v/>
      </c>
      <c r="C243" s="3">
        <f>IF('ORDENES'!$A221="","",IF('ORDENES'!$AD221="","-",'ORDENES'!$AD221))</f>
        <v/>
      </c>
      <c r="D243" s="3">
        <f>IF('ORDENES'!$A221="","",IF('ORDENES'!$W221="","-",'ORDENES'!$W221))</f>
        <v/>
      </c>
      <c r="E243" s="3">
        <f>IF('ORDENES'!$A221="","",IF('ORDENES'!$V221="","-",'ORDENES'!$V221))</f>
        <v/>
      </c>
      <c r="F243" s="3">
        <f>IF('ORDENES'!$A221="","",IF('ORDENES'!$X221="","-",'ORDENES'!$X221))</f>
        <v/>
      </c>
      <c r="G243" s="3">
        <f>IF('ORDENES'!$A221="","",IF('ORDENES'!$AC221="","-",'ORDENES'!$AC221))</f>
        <v/>
      </c>
      <c r="H243" s="3">
        <f>IF('ORDENES'!$A221="","",IF('ORDENES'!$AO221="","-",'ORDENES'!$AO221))</f>
        <v/>
      </c>
      <c r="I243" s="3">
        <f>IF('ORDENES'!$A221="","",IF('ORDENES'!$D221="","-",'ORDENES'!$D221))</f>
        <v/>
      </c>
      <c r="J243" s="3">
        <f>IF('ORDENES'!$A221="","",IF('ORDENES'!$E221="","-",'ORDENES'!$E221))</f>
        <v/>
      </c>
      <c r="K243" s="12">
        <f>IF('ORDENES'!$A221="","",IF('ORDENES'!$N221="",0,'ORDENES'!$N221))</f>
        <v/>
      </c>
      <c r="L243" s="3">
        <f>IF('ORDENES'!$A221="","",IF('ORDENES'!$O221="","-",'ORDENES'!$O221))</f>
        <v/>
      </c>
      <c r="M243" s="3">
        <f>IF('ORDENES'!$A221="","",'ORDENES'!$AB221)</f>
        <v/>
      </c>
    </row>
    <row r="244">
      <c r="A244" s="3">
        <f>IF('ORDENES'!$A222="","",IF('ORDENES'!$P222="","-",'ORDENES'!$P222))</f>
        <v/>
      </c>
      <c r="B244" s="3">
        <f>IF('ORDENES'!$A222="","",IF('ORDENES'!$S222="","-",'ORDENES'!$S222))</f>
        <v/>
      </c>
      <c r="C244" s="3">
        <f>IF('ORDENES'!$A222="","",IF('ORDENES'!$AD222="","-",'ORDENES'!$AD222))</f>
        <v/>
      </c>
      <c r="D244" s="3">
        <f>IF('ORDENES'!$A222="","",IF('ORDENES'!$W222="","-",'ORDENES'!$W222))</f>
        <v/>
      </c>
      <c r="E244" s="3">
        <f>IF('ORDENES'!$A222="","",IF('ORDENES'!$V222="","-",'ORDENES'!$V222))</f>
        <v/>
      </c>
      <c r="F244" s="3">
        <f>IF('ORDENES'!$A222="","",IF('ORDENES'!$X222="","-",'ORDENES'!$X222))</f>
        <v/>
      </c>
      <c r="G244" s="3">
        <f>IF('ORDENES'!$A222="","",IF('ORDENES'!$AC222="","-",'ORDENES'!$AC222))</f>
        <v/>
      </c>
      <c r="H244" s="3">
        <f>IF('ORDENES'!$A222="","",IF('ORDENES'!$AO222="","-",'ORDENES'!$AO222))</f>
        <v/>
      </c>
      <c r="I244" s="3">
        <f>IF('ORDENES'!$A222="","",IF('ORDENES'!$D222="","-",'ORDENES'!$D222))</f>
        <v/>
      </c>
      <c r="J244" s="3">
        <f>IF('ORDENES'!$A222="","",IF('ORDENES'!$E222="","-",'ORDENES'!$E222))</f>
        <v/>
      </c>
      <c r="K244" s="12">
        <f>IF('ORDENES'!$A222="","",IF('ORDENES'!$N222="",0,'ORDENES'!$N222))</f>
        <v/>
      </c>
      <c r="L244" s="3">
        <f>IF('ORDENES'!$A222="","",IF('ORDENES'!$O222="","-",'ORDENES'!$O222))</f>
        <v/>
      </c>
      <c r="M244" s="3">
        <f>IF('ORDENES'!$A222="","",'ORDENES'!$AB222)</f>
        <v/>
      </c>
    </row>
    <row r="245">
      <c r="A245" s="3">
        <f>IF('ORDENES'!$A223="","",IF('ORDENES'!$P223="","-",'ORDENES'!$P223))</f>
        <v/>
      </c>
      <c r="B245" s="3">
        <f>IF('ORDENES'!$A223="","",IF('ORDENES'!$S223="","-",'ORDENES'!$S223))</f>
        <v/>
      </c>
      <c r="C245" s="3">
        <f>IF('ORDENES'!$A223="","",IF('ORDENES'!$AD223="","-",'ORDENES'!$AD223))</f>
        <v/>
      </c>
      <c r="D245" s="3">
        <f>IF('ORDENES'!$A223="","",IF('ORDENES'!$W223="","-",'ORDENES'!$W223))</f>
        <v/>
      </c>
      <c r="E245" s="3">
        <f>IF('ORDENES'!$A223="","",IF('ORDENES'!$V223="","-",'ORDENES'!$V223))</f>
        <v/>
      </c>
      <c r="F245" s="3">
        <f>IF('ORDENES'!$A223="","",IF('ORDENES'!$X223="","-",'ORDENES'!$X223))</f>
        <v/>
      </c>
      <c r="G245" s="3">
        <f>IF('ORDENES'!$A223="","",IF('ORDENES'!$AC223="","-",'ORDENES'!$AC223))</f>
        <v/>
      </c>
      <c r="H245" s="3">
        <f>IF('ORDENES'!$A223="","",IF('ORDENES'!$AO223="","-",'ORDENES'!$AO223))</f>
        <v/>
      </c>
      <c r="I245" s="3">
        <f>IF('ORDENES'!$A223="","",IF('ORDENES'!$D223="","-",'ORDENES'!$D223))</f>
        <v/>
      </c>
      <c r="J245" s="3">
        <f>IF('ORDENES'!$A223="","",IF('ORDENES'!$E223="","-",'ORDENES'!$E223))</f>
        <v/>
      </c>
      <c r="K245" s="12">
        <f>IF('ORDENES'!$A223="","",IF('ORDENES'!$N223="",0,'ORDENES'!$N223))</f>
        <v/>
      </c>
      <c r="L245" s="3">
        <f>IF('ORDENES'!$A223="","",IF('ORDENES'!$O223="","-",'ORDENES'!$O223))</f>
        <v/>
      </c>
      <c r="M245" s="3">
        <f>IF('ORDENES'!$A223="","",'ORDENES'!$AB223)</f>
        <v/>
      </c>
    </row>
    <row r="246">
      <c r="A246" s="3">
        <f>IF('ORDENES'!$A224="","",IF('ORDENES'!$P224="","-",'ORDENES'!$P224))</f>
        <v/>
      </c>
      <c r="B246" s="3">
        <f>IF('ORDENES'!$A224="","",IF('ORDENES'!$S224="","-",'ORDENES'!$S224))</f>
        <v/>
      </c>
      <c r="C246" s="3">
        <f>IF('ORDENES'!$A224="","",IF('ORDENES'!$AD224="","-",'ORDENES'!$AD224))</f>
        <v/>
      </c>
      <c r="D246" s="3">
        <f>IF('ORDENES'!$A224="","",IF('ORDENES'!$W224="","-",'ORDENES'!$W224))</f>
        <v/>
      </c>
      <c r="E246" s="3">
        <f>IF('ORDENES'!$A224="","",IF('ORDENES'!$V224="","-",'ORDENES'!$V224))</f>
        <v/>
      </c>
      <c r="F246" s="3">
        <f>IF('ORDENES'!$A224="","",IF('ORDENES'!$X224="","-",'ORDENES'!$X224))</f>
        <v/>
      </c>
      <c r="G246" s="3">
        <f>IF('ORDENES'!$A224="","",IF('ORDENES'!$AC224="","-",'ORDENES'!$AC224))</f>
        <v/>
      </c>
      <c r="H246" s="3">
        <f>IF('ORDENES'!$A224="","",IF('ORDENES'!$AO224="","-",'ORDENES'!$AO224))</f>
        <v/>
      </c>
      <c r="I246" s="3">
        <f>IF('ORDENES'!$A224="","",IF('ORDENES'!$D224="","-",'ORDENES'!$D224))</f>
        <v/>
      </c>
      <c r="J246" s="3">
        <f>IF('ORDENES'!$A224="","",IF('ORDENES'!$E224="","-",'ORDENES'!$E224))</f>
        <v/>
      </c>
      <c r="K246" s="12">
        <f>IF('ORDENES'!$A224="","",IF('ORDENES'!$N224="",0,'ORDENES'!$N224))</f>
        <v/>
      </c>
      <c r="L246" s="3">
        <f>IF('ORDENES'!$A224="","",IF('ORDENES'!$O224="","-",'ORDENES'!$O224))</f>
        <v/>
      </c>
      <c r="M246" s="3">
        <f>IF('ORDENES'!$A224="","",'ORDENES'!$AB224)</f>
        <v/>
      </c>
    </row>
    <row r="247">
      <c r="A247" s="3">
        <f>IF('ORDENES'!$A225="","",IF('ORDENES'!$P225="","-",'ORDENES'!$P225))</f>
        <v/>
      </c>
      <c r="B247" s="3">
        <f>IF('ORDENES'!$A225="","",IF('ORDENES'!$S225="","-",'ORDENES'!$S225))</f>
        <v/>
      </c>
      <c r="C247" s="3">
        <f>IF('ORDENES'!$A225="","",IF('ORDENES'!$AD225="","-",'ORDENES'!$AD225))</f>
        <v/>
      </c>
      <c r="D247" s="3">
        <f>IF('ORDENES'!$A225="","",IF('ORDENES'!$W225="","-",'ORDENES'!$W225))</f>
        <v/>
      </c>
      <c r="E247" s="3">
        <f>IF('ORDENES'!$A225="","",IF('ORDENES'!$V225="","-",'ORDENES'!$V225))</f>
        <v/>
      </c>
      <c r="F247" s="3">
        <f>IF('ORDENES'!$A225="","",IF('ORDENES'!$X225="","-",'ORDENES'!$X225))</f>
        <v/>
      </c>
      <c r="G247" s="3">
        <f>IF('ORDENES'!$A225="","",IF('ORDENES'!$AC225="","-",'ORDENES'!$AC225))</f>
        <v/>
      </c>
      <c r="H247" s="3">
        <f>IF('ORDENES'!$A225="","",IF('ORDENES'!$AO225="","-",'ORDENES'!$AO225))</f>
        <v/>
      </c>
      <c r="I247" s="3">
        <f>IF('ORDENES'!$A225="","",IF('ORDENES'!$D225="","-",'ORDENES'!$D225))</f>
        <v/>
      </c>
      <c r="J247" s="3">
        <f>IF('ORDENES'!$A225="","",IF('ORDENES'!$E225="","-",'ORDENES'!$E225))</f>
        <v/>
      </c>
      <c r="K247" s="12">
        <f>IF('ORDENES'!$A225="","",IF('ORDENES'!$N225="",0,'ORDENES'!$N225))</f>
        <v/>
      </c>
      <c r="L247" s="3">
        <f>IF('ORDENES'!$A225="","",IF('ORDENES'!$O225="","-",'ORDENES'!$O225))</f>
        <v/>
      </c>
      <c r="M247" s="3">
        <f>IF('ORDENES'!$A225="","",'ORDENES'!$AB225)</f>
        <v/>
      </c>
    </row>
    <row r="248">
      <c r="A248" s="3">
        <f>IF('ORDENES'!$A226="","",IF('ORDENES'!$P226="","-",'ORDENES'!$P226))</f>
        <v/>
      </c>
      <c r="B248" s="3">
        <f>IF('ORDENES'!$A226="","",IF('ORDENES'!$S226="","-",'ORDENES'!$S226))</f>
        <v/>
      </c>
      <c r="C248" s="3">
        <f>IF('ORDENES'!$A226="","",IF('ORDENES'!$AD226="","-",'ORDENES'!$AD226))</f>
        <v/>
      </c>
      <c r="D248" s="3">
        <f>IF('ORDENES'!$A226="","",IF('ORDENES'!$W226="","-",'ORDENES'!$W226))</f>
        <v/>
      </c>
      <c r="E248" s="3">
        <f>IF('ORDENES'!$A226="","",IF('ORDENES'!$V226="","-",'ORDENES'!$V226))</f>
        <v/>
      </c>
      <c r="F248" s="3">
        <f>IF('ORDENES'!$A226="","",IF('ORDENES'!$X226="","-",'ORDENES'!$X226))</f>
        <v/>
      </c>
      <c r="G248" s="3">
        <f>IF('ORDENES'!$A226="","",IF('ORDENES'!$AC226="","-",'ORDENES'!$AC226))</f>
        <v/>
      </c>
      <c r="H248" s="3">
        <f>IF('ORDENES'!$A226="","",IF('ORDENES'!$AO226="","-",'ORDENES'!$AO226))</f>
        <v/>
      </c>
      <c r="I248" s="3">
        <f>IF('ORDENES'!$A226="","",IF('ORDENES'!$D226="","-",'ORDENES'!$D226))</f>
        <v/>
      </c>
      <c r="J248" s="3">
        <f>IF('ORDENES'!$A226="","",IF('ORDENES'!$E226="","-",'ORDENES'!$E226))</f>
        <v/>
      </c>
      <c r="K248" s="12">
        <f>IF('ORDENES'!$A226="","",IF('ORDENES'!$N226="",0,'ORDENES'!$N226))</f>
        <v/>
      </c>
      <c r="L248" s="3">
        <f>IF('ORDENES'!$A226="","",IF('ORDENES'!$O226="","-",'ORDENES'!$O226))</f>
        <v/>
      </c>
      <c r="M248" s="3">
        <f>IF('ORDENES'!$A226="","",'ORDENES'!$AB226)</f>
        <v/>
      </c>
    </row>
    <row r="249">
      <c r="A249" s="3">
        <f>IF('ORDENES'!$A227="","",IF('ORDENES'!$P227="","-",'ORDENES'!$P227))</f>
        <v/>
      </c>
      <c r="B249" s="3">
        <f>IF('ORDENES'!$A227="","",IF('ORDENES'!$S227="","-",'ORDENES'!$S227))</f>
        <v/>
      </c>
      <c r="C249" s="3">
        <f>IF('ORDENES'!$A227="","",IF('ORDENES'!$AD227="","-",'ORDENES'!$AD227))</f>
        <v/>
      </c>
      <c r="D249" s="3">
        <f>IF('ORDENES'!$A227="","",IF('ORDENES'!$W227="","-",'ORDENES'!$W227))</f>
        <v/>
      </c>
      <c r="E249" s="3">
        <f>IF('ORDENES'!$A227="","",IF('ORDENES'!$V227="","-",'ORDENES'!$V227))</f>
        <v/>
      </c>
      <c r="F249" s="3">
        <f>IF('ORDENES'!$A227="","",IF('ORDENES'!$X227="","-",'ORDENES'!$X227))</f>
        <v/>
      </c>
      <c r="G249" s="3">
        <f>IF('ORDENES'!$A227="","",IF('ORDENES'!$AC227="","-",'ORDENES'!$AC227))</f>
        <v/>
      </c>
      <c r="H249" s="3">
        <f>IF('ORDENES'!$A227="","",IF('ORDENES'!$AO227="","-",'ORDENES'!$AO227))</f>
        <v/>
      </c>
      <c r="I249" s="3">
        <f>IF('ORDENES'!$A227="","",IF('ORDENES'!$D227="","-",'ORDENES'!$D227))</f>
        <v/>
      </c>
      <c r="J249" s="3">
        <f>IF('ORDENES'!$A227="","",IF('ORDENES'!$E227="","-",'ORDENES'!$E227))</f>
        <v/>
      </c>
      <c r="K249" s="12">
        <f>IF('ORDENES'!$A227="","",IF('ORDENES'!$N227="",0,'ORDENES'!$N227))</f>
        <v/>
      </c>
      <c r="L249" s="3">
        <f>IF('ORDENES'!$A227="","",IF('ORDENES'!$O227="","-",'ORDENES'!$O227))</f>
        <v/>
      </c>
      <c r="M249" s="3">
        <f>IF('ORDENES'!$A227="","",'ORDENES'!$AB227)</f>
        <v/>
      </c>
    </row>
    <row r="250">
      <c r="A250" s="3">
        <f>IF('ORDENES'!$A228="","",IF('ORDENES'!$P228="","-",'ORDENES'!$P228))</f>
        <v/>
      </c>
      <c r="B250" s="3">
        <f>IF('ORDENES'!$A228="","",IF('ORDENES'!$S228="","-",'ORDENES'!$S228))</f>
        <v/>
      </c>
      <c r="C250" s="3">
        <f>IF('ORDENES'!$A228="","",IF('ORDENES'!$AD228="","-",'ORDENES'!$AD228))</f>
        <v/>
      </c>
      <c r="D250" s="3">
        <f>IF('ORDENES'!$A228="","",IF('ORDENES'!$W228="","-",'ORDENES'!$W228))</f>
        <v/>
      </c>
      <c r="E250" s="3">
        <f>IF('ORDENES'!$A228="","",IF('ORDENES'!$V228="","-",'ORDENES'!$V228))</f>
        <v/>
      </c>
      <c r="F250" s="3">
        <f>IF('ORDENES'!$A228="","",IF('ORDENES'!$X228="","-",'ORDENES'!$X228))</f>
        <v/>
      </c>
      <c r="G250" s="3">
        <f>IF('ORDENES'!$A228="","",IF('ORDENES'!$AC228="","-",'ORDENES'!$AC228))</f>
        <v/>
      </c>
      <c r="H250" s="3">
        <f>IF('ORDENES'!$A228="","",IF('ORDENES'!$AO228="","-",'ORDENES'!$AO228))</f>
        <v/>
      </c>
      <c r="I250" s="3">
        <f>IF('ORDENES'!$A228="","",IF('ORDENES'!$D228="","-",'ORDENES'!$D228))</f>
        <v/>
      </c>
      <c r="J250" s="3">
        <f>IF('ORDENES'!$A228="","",IF('ORDENES'!$E228="","-",'ORDENES'!$E228))</f>
        <v/>
      </c>
      <c r="K250" s="12">
        <f>IF('ORDENES'!$A228="","",IF('ORDENES'!$N228="",0,'ORDENES'!$N228))</f>
        <v/>
      </c>
      <c r="L250" s="3">
        <f>IF('ORDENES'!$A228="","",IF('ORDENES'!$O228="","-",'ORDENES'!$O228))</f>
        <v/>
      </c>
      <c r="M250" s="3">
        <f>IF('ORDENES'!$A228="","",'ORDENES'!$AB228)</f>
        <v/>
      </c>
    </row>
    <row r="251">
      <c r="A251" s="3">
        <f>IF('ORDENES'!$A229="","",IF('ORDENES'!$P229="","-",'ORDENES'!$P229))</f>
        <v/>
      </c>
      <c r="B251" s="3">
        <f>IF('ORDENES'!$A229="","",IF('ORDENES'!$S229="","-",'ORDENES'!$S229))</f>
        <v/>
      </c>
      <c r="C251" s="3">
        <f>IF('ORDENES'!$A229="","",IF('ORDENES'!$AD229="","-",'ORDENES'!$AD229))</f>
        <v/>
      </c>
      <c r="D251" s="3">
        <f>IF('ORDENES'!$A229="","",IF('ORDENES'!$W229="","-",'ORDENES'!$W229))</f>
        <v/>
      </c>
      <c r="E251" s="3">
        <f>IF('ORDENES'!$A229="","",IF('ORDENES'!$V229="","-",'ORDENES'!$V229))</f>
        <v/>
      </c>
      <c r="F251" s="3">
        <f>IF('ORDENES'!$A229="","",IF('ORDENES'!$X229="","-",'ORDENES'!$X229))</f>
        <v/>
      </c>
      <c r="G251" s="3">
        <f>IF('ORDENES'!$A229="","",IF('ORDENES'!$AC229="","-",'ORDENES'!$AC229))</f>
        <v/>
      </c>
      <c r="H251" s="3">
        <f>IF('ORDENES'!$A229="","",IF('ORDENES'!$AO229="","-",'ORDENES'!$AO229))</f>
        <v/>
      </c>
      <c r="I251" s="3">
        <f>IF('ORDENES'!$A229="","",IF('ORDENES'!$D229="","-",'ORDENES'!$D229))</f>
        <v/>
      </c>
      <c r="J251" s="3">
        <f>IF('ORDENES'!$A229="","",IF('ORDENES'!$E229="","-",'ORDENES'!$E229))</f>
        <v/>
      </c>
      <c r="K251" s="12">
        <f>IF('ORDENES'!$A229="","",IF('ORDENES'!$N229="",0,'ORDENES'!$N229))</f>
        <v/>
      </c>
      <c r="L251" s="3">
        <f>IF('ORDENES'!$A229="","",IF('ORDENES'!$O229="","-",'ORDENES'!$O229))</f>
        <v/>
      </c>
      <c r="M251" s="3">
        <f>IF('ORDENES'!$A229="","",'ORDENES'!$AB229)</f>
        <v/>
      </c>
    </row>
    <row r="252">
      <c r="A252" s="3">
        <f>IF('ORDENES'!$A230="","",IF('ORDENES'!$P230="","-",'ORDENES'!$P230))</f>
        <v/>
      </c>
      <c r="B252" s="3">
        <f>IF('ORDENES'!$A230="","",IF('ORDENES'!$S230="","-",'ORDENES'!$S230))</f>
        <v/>
      </c>
      <c r="C252" s="3">
        <f>IF('ORDENES'!$A230="","",IF('ORDENES'!$AD230="","-",'ORDENES'!$AD230))</f>
        <v/>
      </c>
      <c r="D252" s="3">
        <f>IF('ORDENES'!$A230="","",IF('ORDENES'!$W230="","-",'ORDENES'!$W230))</f>
        <v/>
      </c>
      <c r="E252" s="3">
        <f>IF('ORDENES'!$A230="","",IF('ORDENES'!$V230="","-",'ORDENES'!$V230))</f>
        <v/>
      </c>
      <c r="F252" s="3">
        <f>IF('ORDENES'!$A230="","",IF('ORDENES'!$X230="","-",'ORDENES'!$X230))</f>
        <v/>
      </c>
      <c r="G252" s="3">
        <f>IF('ORDENES'!$A230="","",IF('ORDENES'!$AC230="","-",'ORDENES'!$AC230))</f>
        <v/>
      </c>
      <c r="H252" s="3">
        <f>IF('ORDENES'!$A230="","",IF('ORDENES'!$AO230="","-",'ORDENES'!$AO230))</f>
        <v/>
      </c>
      <c r="I252" s="3">
        <f>IF('ORDENES'!$A230="","",IF('ORDENES'!$D230="","-",'ORDENES'!$D230))</f>
        <v/>
      </c>
      <c r="J252" s="3">
        <f>IF('ORDENES'!$A230="","",IF('ORDENES'!$E230="","-",'ORDENES'!$E230))</f>
        <v/>
      </c>
      <c r="K252" s="12">
        <f>IF('ORDENES'!$A230="","",IF('ORDENES'!$N230="",0,'ORDENES'!$N230))</f>
        <v/>
      </c>
      <c r="L252" s="3">
        <f>IF('ORDENES'!$A230="","",IF('ORDENES'!$O230="","-",'ORDENES'!$O230))</f>
        <v/>
      </c>
      <c r="M252" s="3">
        <f>IF('ORDENES'!$A230="","",'ORDENES'!$AB230)</f>
        <v/>
      </c>
    </row>
    <row r="253">
      <c r="A253" s="3">
        <f>IF('ORDENES'!$A231="","",IF('ORDENES'!$P231="","-",'ORDENES'!$P231))</f>
        <v/>
      </c>
      <c r="B253" s="3">
        <f>IF('ORDENES'!$A231="","",IF('ORDENES'!$S231="","-",'ORDENES'!$S231))</f>
        <v/>
      </c>
      <c r="C253" s="3">
        <f>IF('ORDENES'!$A231="","",IF('ORDENES'!$AD231="","-",'ORDENES'!$AD231))</f>
        <v/>
      </c>
      <c r="D253" s="3">
        <f>IF('ORDENES'!$A231="","",IF('ORDENES'!$W231="","-",'ORDENES'!$W231))</f>
        <v/>
      </c>
      <c r="E253" s="3">
        <f>IF('ORDENES'!$A231="","",IF('ORDENES'!$V231="","-",'ORDENES'!$V231))</f>
        <v/>
      </c>
      <c r="F253" s="3">
        <f>IF('ORDENES'!$A231="","",IF('ORDENES'!$X231="","-",'ORDENES'!$X231))</f>
        <v/>
      </c>
      <c r="G253" s="3">
        <f>IF('ORDENES'!$A231="","",IF('ORDENES'!$AC231="","-",'ORDENES'!$AC231))</f>
        <v/>
      </c>
      <c r="H253" s="3">
        <f>IF('ORDENES'!$A231="","",IF('ORDENES'!$AO231="","-",'ORDENES'!$AO231))</f>
        <v/>
      </c>
      <c r="I253" s="3">
        <f>IF('ORDENES'!$A231="","",IF('ORDENES'!$D231="","-",'ORDENES'!$D231))</f>
        <v/>
      </c>
      <c r="J253" s="3">
        <f>IF('ORDENES'!$A231="","",IF('ORDENES'!$E231="","-",'ORDENES'!$E231))</f>
        <v/>
      </c>
      <c r="K253" s="12">
        <f>IF('ORDENES'!$A231="","",IF('ORDENES'!$N231="",0,'ORDENES'!$N231))</f>
        <v/>
      </c>
      <c r="L253" s="3">
        <f>IF('ORDENES'!$A231="","",IF('ORDENES'!$O231="","-",'ORDENES'!$O231))</f>
        <v/>
      </c>
      <c r="M253" s="3">
        <f>IF('ORDENES'!$A231="","",'ORDENES'!$AB231)</f>
        <v/>
      </c>
    </row>
    <row r="254">
      <c r="A254" s="3">
        <f>IF('ORDENES'!$A232="","",IF('ORDENES'!$P232="","-",'ORDENES'!$P232))</f>
        <v/>
      </c>
      <c r="B254" s="3">
        <f>IF('ORDENES'!$A232="","",IF('ORDENES'!$S232="","-",'ORDENES'!$S232))</f>
        <v/>
      </c>
      <c r="C254" s="3">
        <f>IF('ORDENES'!$A232="","",IF('ORDENES'!$AD232="","-",'ORDENES'!$AD232))</f>
        <v/>
      </c>
      <c r="D254" s="3">
        <f>IF('ORDENES'!$A232="","",IF('ORDENES'!$W232="","-",'ORDENES'!$W232))</f>
        <v/>
      </c>
      <c r="E254" s="3">
        <f>IF('ORDENES'!$A232="","",IF('ORDENES'!$V232="","-",'ORDENES'!$V232))</f>
        <v/>
      </c>
      <c r="F254" s="3">
        <f>IF('ORDENES'!$A232="","",IF('ORDENES'!$X232="","-",'ORDENES'!$X232))</f>
        <v/>
      </c>
      <c r="G254" s="3">
        <f>IF('ORDENES'!$A232="","",IF('ORDENES'!$AC232="","-",'ORDENES'!$AC232))</f>
        <v/>
      </c>
      <c r="H254" s="3">
        <f>IF('ORDENES'!$A232="","",IF('ORDENES'!$AO232="","-",'ORDENES'!$AO232))</f>
        <v/>
      </c>
      <c r="I254" s="3">
        <f>IF('ORDENES'!$A232="","",IF('ORDENES'!$D232="","-",'ORDENES'!$D232))</f>
        <v/>
      </c>
      <c r="J254" s="3">
        <f>IF('ORDENES'!$A232="","",IF('ORDENES'!$E232="","-",'ORDENES'!$E232))</f>
        <v/>
      </c>
      <c r="K254" s="12">
        <f>IF('ORDENES'!$A232="","",IF('ORDENES'!$N232="",0,'ORDENES'!$N232))</f>
        <v/>
      </c>
      <c r="L254" s="3">
        <f>IF('ORDENES'!$A232="","",IF('ORDENES'!$O232="","-",'ORDENES'!$O232))</f>
        <v/>
      </c>
      <c r="M254" s="3">
        <f>IF('ORDENES'!$A232="","",'ORDENES'!$AB232)</f>
        <v/>
      </c>
    </row>
    <row r="255">
      <c r="A255" s="3">
        <f>IF('ORDENES'!$A233="","",IF('ORDENES'!$P233="","-",'ORDENES'!$P233))</f>
        <v/>
      </c>
      <c r="B255" s="3">
        <f>IF('ORDENES'!$A233="","",IF('ORDENES'!$S233="","-",'ORDENES'!$S233))</f>
        <v/>
      </c>
      <c r="C255" s="3">
        <f>IF('ORDENES'!$A233="","",IF('ORDENES'!$AD233="","-",'ORDENES'!$AD233))</f>
        <v/>
      </c>
      <c r="D255" s="3">
        <f>IF('ORDENES'!$A233="","",IF('ORDENES'!$W233="","-",'ORDENES'!$W233))</f>
        <v/>
      </c>
      <c r="E255" s="3">
        <f>IF('ORDENES'!$A233="","",IF('ORDENES'!$V233="","-",'ORDENES'!$V233))</f>
        <v/>
      </c>
      <c r="F255" s="3">
        <f>IF('ORDENES'!$A233="","",IF('ORDENES'!$X233="","-",'ORDENES'!$X233))</f>
        <v/>
      </c>
      <c r="G255" s="3">
        <f>IF('ORDENES'!$A233="","",IF('ORDENES'!$AC233="","-",'ORDENES'!$AC233))</f>
        <v/>
      </c>
      <c r="H255" s="3">
        <f>IF('ORDENES'!$A233="","",IF('ORDENES'!$AO233="","-",'ORDENES'!$AO233))</f>
        <v/>
      </c>
      <c r="I255" s="3">
        <f>IF('ORDENES'!$A233="","",IF('ORDENES'!$D233="","-",'ORDENES'!$D233))</f>
        <v/>
      </c>
      <c r="J255" s="3">
        <f>IF('ORDENES'!$A233="","",IF('ORDENES'!$E233="","-",'ORDENES'!$E233))</f>
        <v/>
      </c>
      <c r="K255" s="12">
        <f>IF('ORDENES'!$A233="","",IF('ORDENES'!$N233="",0,'ORDENES'!$N233))</f>
        <v/>
      </c>
      <c r="L255" s="3">
        <f>IF('ORDENES'!$A233="","",IF('ORDENES'!$O233="","-",'ORDENES'!$O233))</f>
        <v/>
      </c>
      <c r="M255" s="3">
        <f>IF('ORDENES'!$A233="","",'ORDENES'!$AB233)</f>
        <v/>
      </c>
    </row>
    <row r="256">
      <c r="A256" s="3">
        <f>IF('ORDENES'!$A234="","",IF('ORDENES'!$P234="","-",'ORDENES'!$P234))</f>
        <v/>
      </c>
      <c r="B256" s="3">
        <f>IF('ORDENES'!$A234="","",IF('ORDENES'!$S234="","-",'ORDENES'!$S234))</f>
        <v/>
      </c>
      <c r="C256" s="3">
        <f>IF('ORDENES'!$A234="","",IF('ORDENES'!$AD234="","-",'ORDENES'!$AD234))</f>
        <v/>
      </c>
      <c r="D256" s="3">
        <f>IF('ORDENES'!$A234="","",IF('ORDENES'!$W234="","-",'ORDENES'!$W234))</f>
        <v/>
      </c>
      <c r="E256" s="3">
        <f>IF('ORDENES'!$A234="","",IF('ORDENES'!$V234="","-",'ORDENES'!$V234))</f>
        <v/>
      </c>
      <c r="F256" s="3">
        <f>IF('ORDENES'!$A234="","",IF('ORDENES'!$X234="","-",'ORDENES'!$X234))</f>
        <v/>
      </c>
      <c r="G256" s="3">
        <f>IF('ORDENES'!$A234="","",IF('ORDENES'!$AC234="","-",'ORDENES'!$AC234))</f>
        <v/>
      </c>
      <c r="H256" s="3">
        <f>IF('ORDENES'!$A234="","",IF('ORDENES'!$AO234="","-",'ORDENES'!$AO234))</f>
        <v/>
      </c>
      <c r="I256" s="3">
        <f>IF('ORDENES'!$A234="","",IF('ORDENES'!$D234="","-",'ORDENES'!$D234))</f>
        <v/>
      </c>
      <c r="J256" s="3">
        <f>IF('ORDENES'!$A234="","",IF('ORDENES'!$E234="","-",'ORDENES'!$E234))</f>
        <v/>
      </c>
      <c r="K256" s="12">
        <f>IF('ORDENES'!$A234="","",IF('ORDENES'!$N234="",0,'ORDENES'!$N234))</f>
        <v/>
      </c>
      <c r="L256" s="3">
        <f>IF('ORDENES'!$A234="","",IF('ORDENES'!$O234="","-",'ORDENES'!$O234))</f>
        <v/>
      </c>
      <c r="M256" s="3">
        <f>IF('ORDENES'!$A234="","",'ORDENES'!$AB234)</f>
        <v/>
      </c>
    </row>
    <row r="257">
      <c r="A257" s="3">
        <f>IF('ORDENES'!$A235="","",IF('ORDENES'!$P235="","-",'ORDENES'!$P235))</f>
        <v/>
      </c>
      <c r="B257" s="3">
        <f>IF('ORDENES'!$A235="","",IF('ORDENES'!$S235="","-",'ORDENES'!$S235))</f>
        <v/>
      </c>
      <c r="C257" s="3">
        <f>IF('ORDENES'!$A235="","",IF('ORDENES'!$AD235="","-",'ORDENES'!$AD235))</f>
        <v/>
      </c>
      <c r="D257" s="3">
        <f>IF('ORDENES'!$A235="","",IF('ORDENES'!$W235="","-",'ORDENES'!$W235))</f>
        <v/>
      </c>
      <c r="E257" s="3">
        <f>IF('ORDENES'!$A235="","",IF('ORDENES'!$V235="","-",'ORDENES'!$V235))</f>
        <v/>
      </c>
      <c r="F257" s="3">
        <f>IF('ORDENES'!$A235="","",IF('ORDENES'!$X235="","-",'ORDENES'!$X235))</f>
        <v/>
      </c>
      <c r="G257" s="3">
        <f>IF('ORDENES'!$A235="","",IF('ORDENES'!$AC235="","-",'ORDENES'!$AC235))</f>
        <v/>
      </c>
      <c r="H257" s="3">
        <f>IF('ORDENES'!$A235="","",IF('ORDENES'!$AO235="","-",'ORDENES'!$AO235))</f>
        <v/>
      </c>
      <c r="I257" s="3">
        <f>IF('ORDENES'!$A235="","",IF('ORDENES'!$D235="","-",'ORDENES'!$D235))</f>
        <v/>
      </c>
      <c r="J257" s="3">
        <f>IF('ORDENES'!$A235="","",IF('ORDENES'!$E235="","-",'ORDENES'!$E235))</f>
        <v/>
      </c>
      <c r="K257" s="12">
        <f>IF('ORDENES'!$A235="","",IF('ORDENES'!$N235="",0,'ORDENES'!$N235))</f>
        <v/>
      </c>
      <c r="L257" s="3">
        <f>IF('ORDENES'!$A235="","",IF('ORDENES'!$O235="","-",'ORDENES'!$O235))</f>
        <v/>
      </c>
      <c r="M257" s="3">
        <f>IF('ORDENES'!$A235="","",'ORDENES'!$AB235)</f>
        <v/>
      </c>
    </row>
    <row r="258">
      <c r="A258" s="3">
        <f>IF('ORDENES'!$A236="","",IF('ORDENES'!$P236="","-",'ORDENES'!$P236))</f>
        <v/>
      </c>
      <c r="B258" s="3">
        <f>IF('ORDENES'!$A236="","",IF('ORDENES'!$S236="","-",'ORDENES'!$S236))</f>
        <v/>
      </c>
      <c r="C258" s="3">
        <f>IF('ORDENES'!$A236="","",IF('ORDENES'!$AD236="","-",'ORDENES'!$AD236))</f>
        <v/>
      </c>
      <c r="D258" s="3">
        <f>IF('ORDENES'!$A236="","",IF('ORDENES'!$W236="","-",'ORDENES'!$W236))</f>
        <v/>
      </c>
      <c r="E258" s="3">
        <f>IF('ORDENES'!$A236="","",IF('ORDENES'!$V236="","-",'ORDENES'!$V236))</f>
        <v/>
      </c>
      <c r="F258" s="3">
        <f>IF('ORDENES'!$A236="","",IF('ORDENES'!$X236="","-",'ORDENES'!$X236))</f>
        <v/>
      </c>
      <c r="G258" s="3">
        <f>IF('ORDENES'!$A236="","",IF('ORDENES'!$AC236="","-",'ORDENES'!$AC236))</f>
        <v/>
      </c>
      <c r="H258" s="3">
        <f>IF('ORDENES'!$A236="","",IF('ORDENES'!$AO236="","-",'ORDENES'!$AO236))</f>
        <v/>
      </c>
      <c r="I258" s="3">
        <f>IF('ORDENES'!$A236="","",IF('ORDENES'!$D236="","-",'ORDENES'!$D236))</f>
        <v/>
      </c>
      <c r="J258" s="3">
        <f>IF('ORDENES'!$A236="","",IF('ORDENES'!$E236="","-",'ORDENES'!$E236))</f>
        <v/>
      </c>
      <c r="K258" s="12">
        <f>IF('ORDENES'!$A236="","",IF('ORDENES'!$N236="",0,'ORDENES'!$N236))</f>
        <v/>
      </c>
      <c r="L258" s="3">
        <f>IF('ORDENES'!$A236="","",IF('ORDENES'!$O236="","-",'ORDENES'!$O236))</f>
        <v/>
      </c>
      <c r="M258" s="3">
        <f>IF('ORDENES'!$A236="","",'ORDENES'!$AB236)</f>
        <v/>
      </c>
    </row>
    <row r="259">
      <c r="A259" s="3">
        <f>IF('ORDENES'!$A237="","",IF('ORDENES'!$P237="","-",'ORDENES'!$P237))</f>
        <v/>
      </c>
      <c r="B259" s="3">
        <f>IF('ORDENES'!$A237="","",IF('ORDENES'!$S237="","-",'ORDENES'!$S237))</f>
        <v/>
      </c>
      <c r="C259" s="3">
        <f>IF('ORDENES'!$A237="","",IF('ORDENES'!$AD237="","-",'ORDENES'!$AD237))</f>
        <v/>
      </c>
      <c r="D259" s="3">
        <f>IF('ORDENES'!$A237="","",IF('ORDENES'!$W237="","-",'ORDENES'!$W237))</f>
        <v/>
      </c>
      <c r="E259" s="3">
        <f>IF('ORDENES'!$A237="","",IF('ORDENES'!$V237="","-",'ORDENES'!$V237))</f>
        <v/>
      </c>
      <c r="F259" s="3">
        <f>IF('ORDENES'!$A237="","",IF('ORDENES'!$X237="","-",'ORDENES'!$X237))</f>
        <v/>
      </c>
      <c r="G259" s="3">
        <f>IF('ORDENES'!$A237="","",IF('ORDENES'!$AC237="","-",'ORDENES'!$AC237))</f>
        <v/>
      </c>
      <c r="H259" s="3">
        <f>IF('ORDENES'!$A237="","",IF('ORDENES'!$AO237="","-",'ORDENES'!$AO237))</f>
        <v/>
      </c>
      <c r="I259" s="3">
        <f>IF('ORDENES'!$A237="","",IF('ORDENES'!$D237="","-",'ORDENES'!$D237))</f>
        <v/>
      </c>
      <c r="J259" s="3">
        <f>IF('ORDENES'!$A237="","",IF('ORDENES'!$E237="","-",'ORDENES'!$E237))</f>
        <v/>
      </c>
      <c r="K259" s="12">
        <f>IF('ORDENES'!$A237="","",IF('ORDENES'!$N237="",0,'ORDENES'!$N237))</f>
        <v/>
      </c>
      <c r="L259" s="3">
        <f>IF('ORDENES'!$A237="","",IF('ORDENES'!$O237="","-",'ORDENES'!$O237))</f>
        <v/>
      </c>
      <c r="M259" s="3">
        <f>IF('ORDENES'!$A237="","",'ORDENES'!$AB237)</f>
        <v/>
      </c>
    </row>
    <row r="260">
      <c r="A260" s="3">
        <f>IF('ORDENES'!$A238="","",IF('ORDENES'!$P238="","-",'ORDENES'!$P238))</f>
        <v/>
      </c>
      <c r="B260" s="3">
        <f>IF('ORDENES'!$A238="","",IF('ORDENES'!$S238="","-",'ORDENES'!$S238))</f>
        <v/>
      </c>
      <c r="C260" s="3">
        <f>IF('ORDENES'!$A238="","",IF('ORDENES'!$AD238="","-",'ORDENES'!$AD238))</f>
        <v/>
      </c>
      <c r="D260" s="3">
        <f>IF('ORDENES'!$A238="","",IF('ORDENES'!$W238="","-",'ORDENES'!$W238))</f>
        <v/>
      </c>
      <c r="E260" s="3">
        <f>IF('ORDENES'!$A238="","",IF('ORDENES'!$V238="","-",'ORDENES'!$V238))</f>
        <v/>
      </c>
      <c r="F260" s="3">
        <f>IF('ORDENES'!$A238="","",IF('ORDENES'!$X238="","-",'ORDENES'!$X238))</f>
        <v/>
      </c>
      <c r="G260" s="3">
        <f>IF('ORDENES'!$A238="","",IF('ORDENES'!$AC238="","-",'ORDENES'!$AC238))</f>
        <v/>
      </c>
      <c r="H260" s="3">
        <f>IF('ORDENES'!$A238="","",IF('ORDENES'!$AO238="","-",'ORDENES'!$AO238))</f>
        <v/>
      </c>
      <c r="I260" s="3">
        <f>IF('ORDENES'!$A238="","",IF('ORDENES'!$D238="","-",'ORDENES'!$D238))</f>
        <v/>
      </c>
      <c r="J260" s="3">
        <f>IF('ORDENES'!$A238="","",IF('ORDENES'!$E238="","-",'ORDENES'!$E238))</f>
        <v/>
      </c>
      <c r="K260" s="12">
        <f>IF('ORDENES'!$A238="","",IF('ORDENES'!$N238="",0,'ORDENES'!$N238))</f>
        <v/>
      </c>
      <c r="L260" s="3">
        <f>IF('ORDENES'!$A238="","",IF('ORDENES'!$O238="","-",'ORDENES'!$O238))</f>
        <v/>
      </c>
      <c r="M260" s="3">
        <f>IF('ORDENES'!$A238="","",'ORDENES'!$AB238)</f>
        <v/>
      </c>
    </row>
    <row r="261">
      <c r="A261" s="3">
        <f>IF('ORDENES'!$A239="","",IF('ORDENES'!$P239="","-",'ORDENES'!$P239))</f>
        <v/>
      </c>
      <c r="B261" s="3">
        <f>IF('ORDENES'!$A239="","",IF('ORDENES'!$S239="","-",'ORDENES'!$S239))</f>
        <v/>
      </c>
      <c r="C261" s="3">
        <f>IF('ORDENES'!$A239="","",IF('ORDENES'!$AD239="","-",'ORDENES'!$AD239))</f>
        <v/>
      </c>
      <c r="D261" s="3">
        <f>IF('ORDENES'!$A239="","",IF('ORDENES'!$W239="","-",'ORDENES'!$W239))</f>
        <v/>
      </c>
      <c r="E261" s="3">
        <f>IF('ORDENES'!$A239="","",IF('ORDENES'!$V239="","-",'ORDENES'!$V239))</f>
        <v/>
      </c>
      <c r="F261" s="3">
        <f>IF('ORDENES'!$A239="","",IF('ORDENES'!$X239="","-",'ORDENES'!$X239))</f>
        <v/>
      </c>
      <c r="G261" s="3">
        <f>IF('ORDENES'!$A239="","",IF('ORDENES'!$AC239="","-",'ORDENES'!$AC239))</f>
        <v/>
      </c>
      <c r="H261" s="3">
        <f>IF('ORDENES'!$A239="","",IF('ORDENES'!$AO239="","-",'ORDENES'!$AO239))</f>
        <v/>
      </c>
      <c r="I261" s="3">
        <f>IF('ORDENES'!$A239="","",IF('ORDENES'!$D239="","-",'ORDENES'!$D239))</f>
        <v/>
      </c>
      <c r="J261" s="3">
        <f>IF('ORDENES'!$A239="","",IF('ORDENES'!$E239="","-",'ORDENES'!$E239))</f>
        <v/>
      </c>
      <c r="K261" s="12">
        <f>IF('ORDENES'!$A239="","",IF('ORDENES'!$N239="",0,'ORDENES'!$N239))</f>
        <v/>
      </c>
      <c r="L261" s="3">
        <f>IF('ORDENES'!$A239="","",IF('ORDENES'!$O239="","-",'ORDENES'!$O239))</f>
        <v/>
      </c>
      <c r="M261" s="3">
        <f>IF('ORDENES'!$A239="","",'ORDENES'!$AB239)</f>
        <v/>
      </c>
    </row>
    <row r="262">
      <c r="A262" s="3">
        <f>IF('ORDENES'!$A240="","",IF('ORDENES'!$P240="","-",'ORDENES'!$P240))</f>
        <v/>
      </c>
      <c r="B262" s="3">
        <f>IF('ORDENES'!$A240="","",IF('ORDENES'!$S240="","-",'ORDENES'!$S240))</f>
        <v/>
      </c>
      <c r="C262" s="3">
        <f>IF('ORDENES'!$A240="","",IF('ORDENES'!$AD240="","-",'ORDENES'!$AD240))</f>
        <v/>
      </c>
      <c r="D262" s="3">
        <f>IF('ORDENES'!$A240="","",IF('ORDENES'!$W240="","-",'ORDENES'!$W240))</f>
        <v/>
      </c>
      <c r="E262" s="3">
        <f>IF('ORDENES'!$A240="","",IF('ORDENES'!$V240="","-",'ORDENES'!$V240))</f>
        <v/>
      </c>
      <c r="F262" s="3">
        <f>IF('ORDENES'!$A240="","",IF('ORDENES'!$X240="","-",'ORDENES'!$X240))</f>
        <v/>
      </c>
      <c r="G262" s="3">
        <f>IF('ORDENES'!$A240="","",IF('ORDENES'!$AC240="","-",'ORDENES'!$AC240))</f>
        <v/>
      </c>
      <c r="H262" s="3">
        <f>IF('ORDENES'!$A240="","",IF('ORDENES'!$AO240="","-",'ORDENES'!$AO240))</f>
        <v/>
      </c>
      <c r="I262" s="3">
        <f>IF('ORDENES'!$A240="","",IF('ORDENES'!$D240="","-",'ORDENES'!$D240))</f>
        <v/>
      </c>
      <c r="J262" s="3">
        <f>IF('ORDENES'!$A240="","",IF('ORDENES'!$E240="","-",'ORDENES'!$E240))</f>
        <v/>
      </c>
      <c r="K262" s="12">
        <f>IF('ORDENES'!$A240="","",IF('ORDENES'!$N240="",0,'ORDENES'!$N240))</f>
        <v/>
      </c>
      <c r="L262" s="3">
        <f>IF('ORDENES'!$A240="","",IF('ORDENES'!$O240="","-",'ORDENES'!$O240))</f>
        <v/>
      </c>
      <c r="M262" s="3">
        <f>IF('ORDENES'!$A240="","",'ORDENES'!$AB240)</f>
        <v/>
      </c>
    </row>
    <row r="263">
      <c r="A263" s="3">
        <f>IF('ORDENES'!$A241="","",IF('ORDENES'!$P241="","-",'ORDENES'!$P241))</f>
        <v/>
      </c>
      <c r="B263" s="3">
        <f>IF('ORDENES'!$A241="","",IF('ORDENES'!$S241="","-",'ORDENES'!$S241))</f>
        <v/>
      </c>
      <c r="C263" s="3">
        <f>IF('ORDENES'!$A241="","",IF('ORDENES'!$AD241="","-",'ORDENES'!$AD241))</f>
        <v/>
      </c>
      <c r="D263" s="3">
        <f>IF('ORDENES'!$A241="","",IF('ORDENES'!$W241="","-",'ORDENES'!$W241))</f>
        <v/>
      </c>
      <c r="E263" s="3">
        <f>IF('ORDENES'!$A241="","",IF('ORDENES'!$V241="","-",'ORDENES'!$V241))</f>
        <v/>
      </c>
      <c r="F263" s="3">
        <f>IF('ORDENES'!$A241="","",IF('ORDENES'!$X241="","-",'ORDENES'!$X241))</f>
        <v/>
      </c>
      <c r="G263" s="3">
        <f>IF('ORDENES'!$A241="","",IF('ORDENES'!$AC241="","-",'ORDENES'!$AC241))</f>
        <v/>
      </c>
      <c r="H263" s="3">
        <f>IF('ORDENES'!$A241="","",IF('ORDENES'!$AO241="","-",'ORDENES'!$AO241))</f>
        <v/>
      </c>
      <c r="I263" s="3">
        <f>IF('ORDENES'!$A241="","",IF('ORDENES'!$D241="","-",'ORDENES'!$D241))</f>
        <v/>
      </c>
      <c r="J263" s="3">
        <f>IF('ORDENES'!$A241="","",IF('ORDENES'!$E241="","-",'ORDENES'!$E241))</f>
        <v/>
      </c>
      <c r="K263" s="12">
        <f>IF('ORDENES'!$A241="","",IF('ORDENES'!$N241="",0,'ORDENES'!$N241))</f>
        <v/>
      </c>
      <c r="L263" s="3">
        <f>IF('ORDENES'!$A241="","",IF('ORDENES'!$O241="","-",'ORDENES'!$O241))</f>
        <v/>
      </c>
      <c r="M263" s="3">
        <f>IF('ORDENES'!$A241="","",'ORDENES'!$AB241)</f>
        <v/>
      </c>
    </row>
    <row r="264">
      <c r="A264" s="3">
        <f>IF('ORDENES'!$A242="","",IF('ORDENES'!$P242="","-",'ORDENES'!$P242))</f>
        <v/>
      </c>
      <c r="B264" s="3">
        <f>IF('ORDENES'!$A242="","",IF('ORDENES'!$S242="","-",'ORDENES'!$S242))</f>
        <v/>
      </c>
      <c r="C264" s="3">
        <f>IF('ORDENES'!$A242="","",IF('ORDENES'!$AD242="","-",'ORDENES'!$AD242))</f>
        <v/>
      </c>
      <c r="D264" s="3">
        <f>IF('ORDENES'!$A242="","",IF('ORDENES'!$W242="","-",'ORDENES'!$W242))</f>
        <v/>
      </c>
      <c r="E264" s="3">
        <f>IF('ORDENES'!$A242="","",IF('ORDENES'!$V242="","-",'ORDENES'!$V242))</f>
        <v/>
      </c>
      <c r="F264" s="3">
        <f>IF('ORDENES'!$A242="","",IF('ORDENES'!$X242="","-",'ORDENES'!$X242))</f>
        <v/>
      </c>
      <c r="G264" s="3">
        <f>IF('ORDENES'!$A242="","",IF('ORDENES'!$AC242="","-",'ORDENES'!$AC242))</f>
        <v/>
      </c>
      <c r="H264" s="3">
        <f>IF('ORDENES'!$A242="","",IF('ORDENES'!$AO242="","-",'ORDENES'!$AO242))</f>
        <v/>
      </c>
      <c r="I264" s="3">
        <f>IF('ORDENES'!$A242="","",IF('ORDENES'!$D242="","-",'ORDENES'!$D242))</f>
        <v/>
      </c>
      <c r="J264" s="3">
        <f>IF('ORDENES'!$A242="","",IF('ORDENES'!$E242="","-",'ORDENES'!$E242))</f>
        <v/>
      </c>
      <c r="K264" s="12">
        <f>IF('ORDENES'!$A242="","",IF('ORDENES'!$N242="",0,'ORDENES'!$N242))</f>
        <v/>
      </c>
      <c r="L264" s="3">
        <f>IF('ORDENES'!$A242="","",IF('ORDENES'!$O242="","-",'ORDENES'!$O242))</f>
        <v/>
      </c>
      <c r="M264" s="3">
        <f>IF('ORDENES'!$A242="","",'ORDENES'!$AB242)</f>
        <v/>
      </c>
    </row>
    <row r="265">
      <c r="A265" s="3">
        <f>IF('ORDENES'!$A243="","",IF('ORDENES'!$P243="","-",'ORDENES'!$P243))</f>
        <v/>
      </c>
      <c r="B265" s="3">
        <f>IF('ORDENES'!$A243="","",IF('ORDENES'!$S243="","-",'ORDENES'!$S243))</f>
        <v/>
      </c>
      <c r="C265" s="3">
        <f>IF('ORDENES'!$A243="","",IF('ORDENES'!$AD243="","-",'ORDENES'!$AD243))</f>
        <v/>
      </c>
      <c r="D265" s="3">
        <f>IF('ORDENES'!$A243="","",IF('ORDENES'!$W243="","-",'ORDENES'!$W243))</f>
        <v/>
      </c>
      <c r="E265" s="3">
        <f>IF('ORDENES'!$A243="","",IF('ORDENES'!$V243="","-",'ORDENES'!$V243))</f>
        <v/>
      </c>
      <c r="F265" s="3">
        <f>IF('ORDENES'!$A243="","",IF('ORDENES'!$X243="","-",'ORDENES'!$X243))</f>
        <v/>
      </c>
      <c r="G265" s="3">
        <f>IF('ORDENES'!$A243="","",IF('ORDENES'!$AC243="","-",'ORDENES'!$AC243))</f>
        <v/>
      </c>
      <c r="H265" s="3">
        <f>IF('ORDENES'!$A243="","",IF('ORDENES'!$AO243="","-",'ORDENES'!$AO243))</f>
        <v/>
      </c>
      <c r="I265" s="3">
        <f>IF('ORDENES'!$A243="","",IF('ORDENES'!$D243="","-",'ORDENES'!$D243))</f>
        <v/>
      </c>
      <c r="J265" s="3">
        <f>IF('ORDENES'!$A243="","",IF('ORDENES'!$E243="","-",'ORDENES'!$E243))</f>
        <v/>
      </c>
      <c r="K265" s="12">
        <f>IF('ORDENES'!$A243="","",IF('ORDENES'!$N243="",0,'ORDENES'!$N243))</f>
        <v/>
      </c>
      <c r="L265" s="3">
        <f>IF('ORDENES'!$A243="","",IF('ORDENES'!$O243="","-",'ORDENES'!$O243))</f>
        <v/>
      </c>
      <c r="M265" s="3">
        <f>IF('ORDENES'!$A243="","",'ORDENES'!$AB243)</f>
        <v/>
      </c>
    </row>
    <row r="266">
      <c r="A266" s="3">
        <f>IF('ORDENES'!$A244="","",IF('ORDENES'!$P244="","-",'ORDENES'!$P244))</f>
        <v/>
      </c>
      <c r="B266" s="3">
        <f>IF('ORDENES'!$A244="","",IF('ORDENES'!$S244="","-",'ORDENES'!$S244))</f>
        <v/>
      </c>
      <c r="C266" s="3">
        <f>IF('ORDENES'!$A244="","",IF('ORDENES'!$AD244="","-",'ORDENES'!$AD244))</f>
        <v/>
      </c>
      <c r="D266" s="3">
        <f>IF('ORDENES'!$A244="","",IF('ORDENES'!$W244="","-",'ORDENES'!$W244))</f>
        <v/>
      </c>
      <c r="E266" s="3">
        <f>IF('ORDENES'!$A244="","",IF('ORDENES'!$V244="","-",'ORDENES'!$V244))</f>
        <v/>
      </c>
      <c r="F266" s="3">
        <f>IF('ORDENES'!$A244="","",IF('ORDENES'!$X244="","-",'ORDENES'!$X244))</f>
        <v/>
      </c>
      <c r="G266" s="3">
        <f>IF('ORDENES'!$A244="","",IF('ORDENES'!$AC244="","-",'ORDENES'!$AC244))</f>
        <v/>
      </c>
      <c r="H266" s="3">
        <f>IF('ORDENES'!$A244="","",IF('ORDENES'!$AO244="","-",'ORDENES'!$AO244))</f>
        <v/>
      </c>
      <c r="I266" s="3">
        <f>IF('ORDENES'!$A244="","",IF('ORDENES'!$D244="","-",'ORDENES'!$D244))</f>
        <v/>
      </c>
      <c r="J266" s="3">
        <f>IF('ORDENES'!$A244="","",IF('ORDENES'!$E244="","-",'ORDENES'!$E244))</f>
        <v/>
      </c>
      <c r="K266" s="12">
        <f>IF('ORDENES'!$A244="","",IF('ORDENES'!$N244="",0,'ORDENES'!$N244))</f>
        <v/>
      </c>
      <c r="L266" s="3">
        <f>IF('ORDENES'!$A244="","",IF('ORDENES'!$O244="","-",'ORDENES'!$O244))</f>
        <v/>
      </c>
      <c r="M266" s="3">
        <f>IF('ORDENES'!$A244="","",'ORDENES'!$AB244)</f>
        <v/>
      </c>
    </row>
    <row r="267">
      <c r="A267" s="3">
        <f>IF('ORDENES'!$A245="","",IF('ORDENES'!$P245="","-",'ORDENES'!$P245))</f>
        <v/>
      </c>
      <c r="B267" s="3">
        <f>IF('ORDENES'!$A245="","",IF('ORDENES'!$S245="","-",'ORDENES'!$S245))</f>
        <v/>
      </c>
      <c r="C267" s="3">
        <f>IF('ORDENES'!$A245="","",IF('ORDENES'!$AD245="","-",'ORDENES'!$AD245))</f>
        <v/>
      </c>
      <c r="D267" s="3">
        <f>IF('ORDENES'!$A245="","",IF('ORDENES'!$W245="","-",'ORDENES'!$W245))</f>
        <v/>
      </c>
      <c r="E267" s="3">
        <f>IF('ORDENES'!$A245="","",IF('ORDENES'!$V245="","-",'ORDENES'!$V245))</f>
        <v/>
      </c>
      <c r="F267" s="3">
        <f>IF('ORDENES'!$A245="","",IF('ORDENES'!$X245="","-",'ORDENES'!$X245))</f>
        <v/>
      </c>
      <c r="G267" s="3">
        <f>IF('ORDENES'!$A245="","",IF('ORDENES'!$AC245="","-",'ORDENES'!$AC245))</f>
        <v/>
      </c>
      <c r="H267" s="3">
        <f>IF('ORDENES'!$A245="","",IF('ORDENES'!$AO245="","-",'ORDENES'!$AO245))</f>
        <v/>
      </c>
      <c r="I267" s="3">
        <f>IF('ORDENES'!$A245="","",IF('ORDENES'!$D245="","-",'ORDENES'!$D245))</f>
        <v/>
      </c>
      <c r="J267" s="3">
        <f>IF('ORDENES'!$A245="","",IF('ORDENES'!$E245="","-",'ORDENES'!$E245))</f>
        <v/>
      </c>
      <c r="K267" s="12">
        <f>IF('ORDENES'!$A245="","",IF('ORDENES'!$N245="",0,'ORDENES'!$N245))</f>
        <v/>
      </c>
      <c r="L267" s="3">
        <f>IF('ORDENES'!$A245="","",IF('ORDENES'!$O245="","-",'ORDENES'!$O245))</f>
        <v/>
      </c>
      <c r="M267" s="3">
        <f>IF('ORDENES'!$A245="","",'ORDENES'!$AB245)</f>
        <v/>
      </c>
    </row>
    <row r="268">
      <c r="A268" s="3">
        <f>IF('ORDENES'!$A246="","",IF('ORDENES'!$P246="","-",'ORDENES'!$P246))</f>
        <v/>
      </c>
      <c r="B268" s="3">
        <f>IF('ORDENES'!$A246="","",IF('ORDENES'!$S246="","-",'ORDENES'!$S246))</f>
        <v/>
      </c>
      <c r="C268" s="3">
        <f>IF('ORDENES'!$A246="","",IF('ORDENES'!$AD246="","-",'ORDENES'!$AD246))</f>
        <v/>
      </c>
      <c r="D268" s="3">
        <f>IF('ORDENES'!$A246="","",IF('ORDENES'!$W246="","-",'ORDENES'!$W246))</f>
        <v/>
      </c>
      <c r="E268" s="3">
        <f>IF('ORDENES'!$A246="","",IF('ORDENES'!$V246="","-",'ORDENES'!$V246))</f>
        <v/>
      </c>
      <c r="F268" s="3">
        <f>IF('ORDENES'!$A246="","",IF('ORDENES'!$X246="","-",'ORDENES'!$X246))</f>
        <v/>
      </c>
      <c r="G268" s="3">
        <f>IF('ORDENES'!$A246="","",IF('ORDENES'!$AC246="","-",'ORDENES'!$AC246))</f>
        <v/>
      </c>
      <c r="H268" s="3">
        <f>IF('ORDENES'!$A246="","",IF('ORDENES'!$AO246="","-",'ORDENES'!$AO246))</f>
        <v/>
      </c>
      <c r="I268" s="3">
        <f>IF('ORDENES'!$A246="","",IF('ORDENES'!$D246="","-",'ORDENES'!$D246))</f>
        <v/>
      </c>
      <c r="J268" s="3">
        <f>IF('ORDENES'!$A246="","",IF('ORDENES'!$E246="","-",'ORDENES'!$E246))</f>
        <v/>
      </c>
      <c r="K268" s="12">
        <f>IF('ORDENES'!$A246="","",IF('ORDENES'!$N246="",0,'ORDENES'!$N246))</f>
        <v/>
      </c>
      <c r="L268" s="3">
        <f>IF('ORDENES'!$A246="","",IF('ORDENES'!$O246="","-",'ORDENES'!$O246))</f>
        <v/>
      </c>
      <c r="M268" s="3">
        <f>IF('ORDENES'!$A246="","",'ORDENES'!$AB246)</f>
        <v/>
      </c>
    </row>
    <row r="269">
      <c r="A269" s="3">
        <f>IF('ORDENES'!$A247="","",IF('ORDENES'!$P247="","-",'ORDENES'!$P247))</f>
        <v/>
      </c>
      <c r="B269" s="3">
        <f>IF('ORDENES'!$A247="","",IF('ORDENES'!$S247="","-",'ORDENES'!$S247))</f>
        <v/>
      </c>
      <c r="C269" s="3">
        <f>IF('ORDENES'!$A247="","",IF('ORDENES'!$AD247="","-",'ORDENES'!$AD247))</f>
        <v/>
      </c>
      <c r="D269" s="3">
        <f>IF('ORDENES'!$A247="","",IF('ORDENES'!$W247="","-",'ORDENES'!$W247))</f>
        <v/>
      </c>
      <c r="E269" s="3">
        <f>IF('ORDENES'!$A247="","",IF('ORDENES'!$V247="","-",'ORDENES'!$V247))</f>
        <v/>
      </c>
      <c r="F269" s="3">
        <f>IF('ORDENES'!$A247="","",IF('ORDENES'!$X247="","-",'ORDENES'!$X247))</f>
        <v/>
      </c>
      <c r="G269" s="3">
        <f>IF('ORDENES'!$A247="","",IF('ORDENES'!$AC247="","-",'ORDENES'!$AC247))</f>
        <v/>
      </c>
      <c r="H269" s="3">
        <f>IF('ORDENES'!$A247="","",IF('ORDENES'!$AO247="","-",'ORDENES'!$AO247))</f>
        <v/>
      </c>
      <c r="I269" s="3">
        <f>IF('ORDENES'!$A247="","",IF('ORDENES'!$D247="","-",'ORDENES'!$D247))</f>
        <v/>
      </c>
      <c r="J269" s="3">
        <f>IF('ORDENES'!$A247="","",IF('ORDENES'!$E247="","-",'ORDENES'!$E247))</f>
        <v/>
      </c>
      <c r="K269" s="12">
        <f>IF('ORDENES'!$A247="","",IF('ORDENES'!$N247="",0,'ORDENES'!$N247))</f>
        <v/>
      </c>
      <c r="L269" s="3">
        <f>IF('ORDENES'!$A247="","",IF('ORDENES'!$O247="","-",'ORDENES'!$O247))</f>
        <v/>
      </c>
      <c r="M269" s="3">
        <f>IF('ORDENES'!$A247="","",'ORDENES'!$AB247)</f>
        <v/>
      </c>
    </row>
    <row r="270">
      <c r="A270" s="3">
        <f>IF('ORDENES'!$A248="","",IF('ORDENES'!$P248="","-",'ORDENES'!$P248))</f>
        <v/>
      </c>
      <c r="B270" s="3">
        <f>IF('ORDENES'!$A248="","",IF('ORDENES'!$S248="","-",'ORDENES'!$S248))</f>
        <v/>
      </c>
      <c r="C270" s="3">
        <f>IF('ORDENES'!$A248="","",IF('ORDENES'!$AD248="","-",'ORDENES'!$AD248))</f>
        <v/>
      </c>
      <c r="D270" s="3">
        <f>IF('ORDENES'!$A248="","",IF('ORDENES'!$W248="","-",'ORDENES'!$W248))</f>
        <v/>
      </c>
      <c r="E270" s="3">
        <f>IF('ORDENES'!$A248="","",IF('ORDENES'!$V248="","-",'ORDENES'!$V248))</f>
        <v/>
      </c>
      <c r="F270" s="3">
        <f>IF('ORDENES'!$A248="","",IF('ORDENES'!$X248="","-",'ORDENES'!$X248))</f>
        <v/>
      </c>
      <c r="G270" s="3">
        <f>IF('ORDENES'!$A248="","",IF('ORDENES'!$AC248="","-",'ORDENES'!$AC248))</f>
        <v/>
      </c>
      <c r="H270" s="3">
        <f>IF('ORDENES'!$A248="","",IF('ORDENES'!$AO248="","-",'ORDENES'!$AO248))</f>
        <v/>
      </c>
      <c r="I270" s="3">
        <f>IF('ORDENES'!$A248="","",IF('ORDENES'!$D248="","-",'ORDENES'!$D248))</f>
        <v/>
      </c>
      <c r="J270" s="3">
        <f>IF('ORDENES'!$A248="","",IF('ORDENES'!$E248="","-",'ORDENES'!$E248))</f>
        <v/>
      </c>
      <c r="K270" s="12">
        <f>IF('ORDENES'!$A248="","",IF('ORDENES'!$N248="",0,'ORDENES'!$N248))</f>
        <v/>
      </c>
      <c r="L270" s="3">
        <f>IF('ORDENES'!$A248="","",IF('ORDENES'!$O248="","-",'ORDENES'!$O248))</f>
        <v/>
      </c>
      <c r="M270" s="3">
        <f>IF('ORDENES'!$A248="","",'ORDENES'!$AB248)</f>
        <v/>
      </c>
    </row>
    <row r="271">
      <c r="A271" s="3">
        <f>IF('ORDENES'!$A249="","",IF('ORDENES'!$P249="","-",'ORDENES'!$P249))</f>
        <v/>
      </c>
      <c r="B271" s="3">
        <f>IF('ORDENES'!$A249="","",IF('ORDENES'!$S249="","-",'ORDENES'!$S249))</f>
        <v/>
      </c>
      <c r="C271" s="3">
        <f>IF('ORDENES'!$A249="","",IF('ORDENES'!$AD249="","-",'ORDENES'!$AD249))</f>
        <v/>
      </c>
      <c r="D271" s="3">
        <f>IF('ORDENES'!$A249="","",IF('ORDENES'!$W249="","-",'ORDENES'!$W249))</f>
        <v/>
      </c>
      <c r="E271" s="3">
        <f>IF('ORDENES'!$A249="","",IF('ORDENES'!$V249="","-",'ORDENES'!$V249))</f>
        <v/>
      </c>
      <c r="F271" s="3">
        <f>IF('ORDENES'!$A249="","",IF('ORDENES'!$X249="","-",'ORDENES'!$X249))</f>
        <v/>
      </c>
      <c r="G271" s="3">
        <f>IF('ORDENES'!$A249="","",IF('ORDENES'!$AC249="","-",'ORDENES'!$AC249))</f>
        <v/>
      </c>
      <c r="H271" s="3">
        <f>IF('ORDENES'!$A249="","",IF('ORDENES'!$AO249="","-",'ORDENES'!$AO249))</f>
        <v/>
      </c>
      <c r="I271" s="3">
        <f>IF('ORDENES'!$A249="","",IF('ORDENES'!$D249="","-",'ORDENES'!$D249))</f>
        <v/>
      </c>
      <c r="J271" s="3">
        <f>IF('ORDENES'!$A249="","",IF('ORDENES'!$E249="","-",'ORDENES'!$E249))</f>
        <v/>
      </c>
      <c r="K271" s="12">
        <f>IF('ORDENES'!$A249="","",IF('ORDENES'!$N249="",0,'ORDENES'!$N249))</f>
        <v/>
      </c>
      <c r="L271" s="3">
        <f>IF('ORDENES'!$A249="","",IF('ORDENES'!$O249="","-",'ORDENES'!$O249))</f>
        <v/>
      </c>
      <c r="M271" s="3">
        <f>IF('ORDENES'!$A249="","",'ORDENES'!$AB249)</f>
        <v/>
      </c>
    </row>
    <row r="272">
      <c r="A272" s="3">
        <f>IF('ORDENES'!$A250="","",IF('ORDENES'!$P250="","-",'ORDENES'!$P250))</f>
        <v/>
      </c>
      <c r="B272" s="3">
        <f>IF('ORDENES'!$A250="","",IF('ORDENES'!$S250="","-",'ORDENES'!$S250))</f>
        <v/>
      </c>
      <c r="C272" s="3">
        <f>IF('ORDENES'!$A250="","",IF('ORDENES'!$AD250="","-",'ORDENES'!$AD250))</f>
        <v/>
      </c>
      <c r="D272" s="3">
        <f>IF('ORDENES'!$A250="","",IF('ORDENES'!$W250="","-",'ORDENES'!$W250))</f>
        <v/>
      </c>
      <c r="E272" s="3">
        <f>IF('ORDENES'!$A250="","",IF('ORDENES'!$V250="","-",'ORDENES'!$V250))</f>
        <v/>
      </c>
      <c r="F272" s="3">
        <f>IF('ORDENES'!$A250="","",IF('ORDENES'!$X250="","-",'ORDENES'!$X250))</f>
        <v/>
      </c>
      <c r="G272" s="3">
        <f>IF('ORDENES'!$A250="","",IF('ORDENES'!$AC250="","-",'ORDENES'!$AC250))</f>
        <v/>
      </c>
      <c r="H272" s="3">
        <f>IF('ORDENES'!$A250="","",IF('ORDENES'!$AO250="","-",'ORDENES'!$AO250))</f>
        <v/>
      </c>
      <c r="I272" s="3">
        <f>IF('ORDENES'!$A250="","",IF('ORDENES'!$D250="","-",'ORDENES'!$D250))</f>
        <v/>
      </c>
      <c r="J272" s="3">
        <f>IF('ORDENES'!$A250="","",IF('ORDENES'!$E250="","-",'ORDENES'!$E250))</f>
        <v/>
      </c>
      <c r="K272" s="12">
        <f>IF('ORDENES'!$A250="","",IF('ORDENES'!$N250="",0,'ORDENES'!$N250))</f>
        <v/>
      </c>
      <c r="L272" s="3">
        <f>IF('ORDENES'!$A250="","",IF('ORDENES'!$O250="","-",'ORDENES'!$O250))</f>
        <v/>
      </c>
      <c r="M272" s="3">
        <f>IF('ORDENES'!$A250="","",'ORDENES'!$AB250)</f>
        <v/>
      </c>
    </row>
    <row r="273">
      <c r="A273" s="3">
        <f>IF('ORDENES'!$A251="","",IF('ORDENES'!$P251="","-",'ORDENES'!$P251))</f>
        <v/>
      </c>
      <c r="B273" s="3">
        <f>IF('ORDENES'!$A251="","",IF('ORDENES'!$S251="","-",'ORDENES'!$S251))</f>
        <v/>
      </c>
      <c r="C273" s="3">
        <f>IF('ORDENES'!$A251="","",IF('ORDENES'!$AD251="","-",'ORDENES'!$AD251))</f>
        <v/>
      </c>
      <c r="D273" s="3">
        <f>IF('ORDENES'!$A251="","",IF('ORDENES'!$W251="","-",'ORDENES'!$W251))</f>
        <v/>
      </c>
      <c r="E273" s="3">
        <f>IF('ORDENES'!$A251="","",IF('ORDENES'!$V251="","-",'ORDENES'!$V251))</f>
        <v/>
      </c>
      <c r="F273" s="3">
        <f>IF('ORDENES'!$A251="","",IF('ORDENES'!$X251="","-",'ORDENES'!$X251))</f>
        <v/>
      </c>
      <c r="G273" s="3">
        <f>IF('ORDENES'!$A251="","",IF('ORDENES'!$AC251="","-",'ORDENES'!$AC251))</f>
        <v/>
      </c>
      <c r="H273" s="3">
        <f>IF('ORDENES'!$A251="","",IF('ORDENES'!$AO251="","-",'ORDENES'!$AO251))</f>
        <v/>
      </c>
      <c r="I273" s="3">
        <f>IF('ORDENES'!$A251="","",IF('ORDENES'!$D251="","-",'ORDENES'!$D251))</f>
        <v/>
      </c>
      <c r="J273" s="3">
        <f>IF('ORDENES'!$A251="","",IF('ORDENES'!$E251="","-",'ORDENES'!$E251))</f>
        <v/>
      </c>
      <c r="K273" s="12">
        <f>IF('ORDENES'!$A251="","",IF('ORDENES'!$N251="",0,'ORDENES'!$N251))</f>
        <v/>
      </c>
      <c r="L273" s="3">
        <f>IF('ORDENES'!$A251="","",IF('ORDENES'!$O251="","-",'ORDENES'!$O251))</f>
        <v/>
      </c>
      <c r="M273" s="3">
        <f>IF('ORDENES'!$A251="","",'ORDENES'!$AB251)</f>
        <v/>
      </c>
    </row>
    <row r="274">
      <c r="A274" s="3">
        <f>IF('ORDENES'!$A252="","",IF('ORDENES'!$P252="","-",'ORDENES'!$P252))</f>
        <v/>
      </c>
      <c r="B274" s="3">
        <f>IF('ORDENES'!$A252="","",IF('ORDENES'!$S252="","-",'ORDENES'!$S252))</f>
        <v/>
      </c>
      <c r="C274" s="3">
        <f>IF('ORDENES'!$A252="","",IF('ORDENES'!$AD252="","-",'ORDENES'!$AD252))</f>
        <v/>
      </c>
      <c r="D274" s="3">
        <f>IF('ORDENES'!$A252="","",IF('ORDENES'!$W252="","-",'ORDENES'!$W252))</f>
        <v/>
      </c>
      <c r="E274" s="3">
        <f>IF('ORDENES'!$A252="","",IF('ORDENES'!$V252="","-",'ORDENES'!$V252))</f>
        <v/>
      </c>
      <c r="F274" s="3">
        <f>IF('ORDENES'!$A252="","",IF('ORDENES'!$X252="","-",'ORDENES'!$X252))</f>
        <v/>
      </c>
      <c r="G274" s="3">
        <f>IF('ORDENES'!$A252="","",IF('ORDENES'!$AC252="","-",'ORDENES'!$AC252))</f>
        <v/>
      </c>
      <c r="H274" s="3">
        <f>IF('ORDENES'!$A252="","",IF('ORDENES'!$AO252="","-",'ORDENES'!$AO252))</f>
        <v/>
      </c>
      <c r="I274" s="3">
        <f>IF('ORDENES'!$A252="","",IF('ORDENES'!$D252="","-",'ORDENES'!$D252))</f>
        <v/>
      </c>
      <c r="J274" s="3">
        <f>IF('ORDENES'!$A252="","",IF('ORDENES'!$E252="","-",'ORDENES'!$E252))</f>
        <v/>
      </c>
      <c r="K274" s="12">
        <f>IF('ORDENES'!$A252="","",IF('ORDENES'!$N252="",0,'ORDENES'!$N252))</f>
        <v/>
      </c>
      <c r="L274" s="3">
        <f>IF('ORDENES'!$A252="","",IF('ORDENES'!$O252="","-",'ORDENES'!$O252))</f>
        <v/>
      </c>
      <c r="M274" s="3">
        <f>IF('ORDENES'!$A252="","",'ORDENES'!$AB252)</f>
        <v/>
      </c>
    </row>
    <row r="275">
      <c r="A275" s="3">
        <f>IF('ORDENES'!$A253="","",IF('ORDENES'!$P253="","-",'ORDENES'!$P253))</f>
        <v/>
      </c>
      <c r="B275" s="3">
        <f>IF('ORDENES'!$A253="","",IF('ORDENES'!$S253="","-",'ORDENES'!$S253))</f>
        <v/>
      </c>
      <c r="C275" s="3">
        <f>IF('ORDENES'!$A253="","",IF('ORDENES'!$AD253="","-",'ORDENES'!$AD253))</f>
        <v/>
      </c>
      <c r="D275" s="3">
        <f>IF('ORDENES'!$A253="","",IF('ORDENES'!$W253="","-",'ORDENES'!$W253))</f>
        <v/>
      </c>
      <c r="E275" s="3">
        <f>IF('ORDENES'!$A253="","",IF('ORDENES'!$V253="","-",'ORDENES'!$V253))</f>
        <v/>
      </c>
      <c r="F275" s="3">
        <f>IF('ORDENES'!$A253="","",IF('ORDENES'!$X253="","-",'ORDENES'!$X253))</f>
        <v/>
      </c>
      <c r="G275" s="3">
        <f>IF('ORDENES'!$A253="","",IF('ORDENES'!$AC253="","-",'ORDENES'!$AC253))</f>
        <v/>
      </c>
      <c r="H275" s="3">
        <f>IF('ORDENES'!$A253="","",IF('ORDENES'!$AO253="","-",'ORDENES'!$AO253))</f>
        <v/>
      </c>
      <c r="I275" s="3">
        <f>IF('ORDENES'!$A253="","",IF('ORDENES'!$D253="","-",'ORDENES'!$D253))</f>
        <v/>
      </c>
      <c r="J275" s="3">
        <f>IF('ORDENES'!$A253="","",IF('ORDENES'!$E253="","-",'ORDENES'!$E253))</f>
        <v/>
      </c>
      <c r="K275" s="12">
        <f>IF('ORDENES'!$A253="","",IF('ORDENES'!$N253="",0,'ORDENES'!$N253))</f>
        <v/>
      </c>
      <c r="L275" s="3">
        <f>IF('ORDENES'!$A253="","",IF('ORDENES'!$O253="","-",'ORDENES'!$O253))</f>
        <v/>
      </c>
      <c r="M275" s="3">
        <f>IF('ORDENES'!$A253="","",'ORDENES'!$AB253)</f>
        <v/>
      </c>
    </row>
    <row r="276">
      <c r="A276" s="3">
        <f>IF('ORDENES'!$A254="","",IF('ORDENES'!$P254="","-",'ORDENES'!$P254))</f>
        <v/>
      </c>
      <c r="B276" s="3">
        <f>IF('ORDENES'!$A254="","",IF('ORDENES'!$S254="","-",'ORDENES'!$S254))</f>
        <v/>
      </c>
      <c r="C276" s="3">
        <f>IF('ORDENES'!$A254="","",IF('ORDENES'!$AD254="","-",'ORDENES'!$AD254))</f>
        <v/>
      </c>
      <c r="D276" s="3">
        <f>IF('ORDENES'!$A254="","",IF('ORDENES'!$W254="","-",'ORDENES'!$W254))</f>
        <v/>
      </c>
      <c r="E276" s="3">
        <f>IF('ORDENES'!$A254="","",IF('ORDENES'!$V254="","-",'ORDENES'!$V254))</f>
        <v/>
      </c>
      <c r="F276" s="3">
        <f>IF('ORDENES'!$A254="","",IF('ORDENES'!$X254="","-",'ORDENES'!$X254))</f>
        <v/>
      </c>
      <c r="G276" s="3">
        <f>IF('ORDENES'!$A254="","",IF('ORDENES'!$AC254="","-",'ORDENES'!$AC254))</f>
        <v/>
      </c>
      <c r="H276" s="3">
        <f>IF('ORDENES'!$A254="","",IF('ORDENES'!$AO254="","-",'ORDENES'!$AO254))</f>
        <v/>
      </c>
      <c r="I276" s="3">
        <f>IF('ORDENES'!$A254="","",IF('ORDENES'!$D254="","-",'ORDENES'!$D254))</f>
        <v/>
      </c>
      <c r="J276" s="3">
        <f>IF('ORDENES'!$A254="","",IF('ORDENES'!$E254="","-",'ORDENES'!$E254))</f>
        <v/>
      </c>
      <c r="K276" s="12">
        <f>IF('ORDENES'!$A254="","",IF('ORDENES'!$N254="",0,'ORDENES'!$N254))</f>
        <v/>
      </c>
      <c r="L276" s="3">
        <f>IF('ORDENES'!$A254="","",IF('ORDENES'!$O254="","-",'ORDENES'!$O254))</f>
        <v/>
      </c>
      <c r="M276" s="3">
        <f>IF('ORDENES'!$A254="","",'ORDENES'!$AB254)</f>
        <v/>
      </c>
    </row>
    <row r="277">
      <c r="A277" s="3">
        <f>IF('ORDENES'!$A255="","",IF('ORDENES'!$P255="","-",'ORDENES'!$P255))</f>
        <v/>
      </c>
      <c r="B277" s="3">
        <f>IF('ORDENES'!$A255="","",IF('ORDENES'!$S255="","-",'ORDENES'!$S255))</f>
        <v/>
      </c>
      <c r="C277" s="3">
        <f>IF('ORDENES'!$A255="","",IF('ORDENES'!$AD255="","-",'ORDENES'!$AD255))</f>
        <v/>
      </c>
      <c r="D277" s="3">
        <f>IF('ORDENES'!$A255="","",IF('ORDENES'!$W255="","-",'ORDENES'!$W255))</f>
        <v/>
      </c>
      <c r="E277" s="3">
        <f>IF('ORDENES'!$A255="","",IF('ORDENES'!$V255="","-",'ORDENES'!$V255))</f>
        <v/>
      </c>
      <c r="F277" s="3">
        <f>IF('ORDENES'!$A255="","",IF('ORDENES'!$X255="","-",'ORDENES'!$X255))</f>
        <v/>
      </c>
      <c r="G277" s="3">
        <f>IF('ORDENES'!$A255="","",IF('ORDENES'!$AC255="","-",'ORDENES'!$AC255))</f>
        <v/>
      </c>
      <c r="H277" s="3">
        <f>IF('ORDENES'!$A255="","",IF('ORDENES'!$AO255="","-",'ORDENES'!$AO255))</f>
        <v/>
      </c>
      <c r="I277" s="3">
        <f>IF('ORDENES'!$A255="","",IF('ORDENES'!$D255="","-",'ORDENES'!$D255))</f>
        <v/>
      </c>
      <c r="J277" s="3">
        <f>IF('ORDENES'!$A255="","",IF('ORDENES'!$E255="","-",'ORDENES'!$E255))</f>
        <v/>
      </c>
      <c r="K277" s="12">
        <f>IF('ORDENES'!$A255="","",IF('ORDENES'!$N255="",0,'ORDENES'!$N255))</f>
        <v/>
      </c>
      <c r="L277" s="3">
        <f>IF('ORDENES'!$A255="","",IF('ORDENES'!$O255="","-",'ORDENES'!$O255))</f>
        <v/>
      </c>
      <c r="M277" s="3">
        <f>IF('ORDENES'!$A255="","",'ORDENES'!$AB255)</f>
        <v/>
      </c>
    </row>
    <row r="278">
      <c r="A278" s="3">
        <f>IF('ORDENES'!$A256="","",IF('ORDENES'!$P256="","-",'ORDENES'!$P256))</f>
        <v/>
      </c>
      <c r="B278" s="3">
        <f>IF('ORDENES'!$A256="","",IF('ORDENES'!$S256="","-",'ORDENES'!$S256))</f>
        <v/>
      </c>
      <c r="C278" s="3">
        <f>IF('ORDENES'!$A256="","",IF('ORDENES'!$AD256="","-",'ORDENES'!$AD256))</f>
        <v/>
      </c>
      <c r="D278" s="3">
        <f>IF('ORDENES'!$A256="","",IF('ORDENES'!$W256="","-",'ORDENES'!$W256))</f>
        <v/>
      </c>
      <c r="E278" s="3">
        <f>IF('ORDENES'!$A256="","",IF('ORDENES'!$V256="","-",'ORDENES'!$V256))</f>
        <v/>
      </c>
      <c r="F278" s="3">
        <f>IF('ORDENES'!$A256="","",IF('ORDENES'!$X256="","-",'ORDENES'!$X256))</f>
        <v/>
      </c>
      <c r="G278" s="3">
        <f>IF('ORDENES'!$A256="","",IF('ORDENES'!$AC256="","-",'ORDENES'!$AC256))</f>
        <v/>
      </c>
      <c r="H278" s="3">
        <f>IF('ORDENES'!$A256="","",IF('ORDENES'!$AO256="","-",'ORDENES'!$AO256))</f>
        <v/>
      </c>
      <c r="I278" s="3">
        <f>IF('ORDENES'!$A256="","",IF('ORDENES'!$D256="","-",'ORDENES'!$D256))</f>
        <v/>
      </c>
      <c r="J278" s="3">
        <f>IF('ORDENES'!$A256="","",IF('ORDENES'!$E256="","-",'ORDENES'!$E256))</f>
        <v/>
      </c>
      <c r="K278" s="12">
        <f>IF('ORDENES'!$A256="","",IF('ORDENES'!$N256="",0,'ORDENES'!$N256))</f>
        <v/>
      </c>
      <c r="L278" s="3">
        <f>IF('ORDENES'!$A256="","",IF('ORDENES'!$O256="","-",'ORDENES'!$O256))</f>
        <v/>
      </c>
      <c r="M278" s="3">
        <f>IF('ORDENES'!$A256="","",'ORDENES'!$AB256)</f>
        <v/>
      </c>
    </row>
    <row r="279">
      <c r="A279" s="3">
        <f>IF('ORDENES'!$A257="","",IF('ORDENES'!$P257="","-",'ORDENES'!$P257))</f>
        <v/>
      </c>
      <c r="B279" s="3">
        <f>IF('ORDENES'!$A257="","",IF('ORDENES'!$S257="","-",'ORDENES'!$S257))</f>
        <v/>
      </c>
      <c r="C279" s="3">
        <f>IF('ORDENES'!$A257="","",IF('ORDENES'!$AD257="","-",'ORDENES'!$AD257))</f>
        <v/>
      </c>
      <c r="D279" s="3">
        <f>IF('ORDENES'!$A257="","",IF('ORDENES'!$W257="","-",'ORDENES'!$W257))</f>
        <v/>
      </c>
      <c r="E279" s="3">
        <f>IF('ORDENES'!$A257="","",IF('ORDENES'!$V257="","-",'ORDENES'!$V257))</f>
        <v/>
      </c>
      <c r="F279" s="3">
        <f>IF('ORDENES'!$A257="","",IF('ORDENES'!$X257="","-",'ORDENES'!$X257))</f>
        <v/>
      </c>
      <c r="G279" s="3">
        <f>IF('ORDENES'!$A257="","",IF('ORDENES'!$AC257="","-",'ORDENES'!$AC257))</f>
        <v/>
      </c>
      <c r="H279" s="3">
        <f>IF('ORDENES'!$A257="","",IF('ORDENES'!$AO257="","-",'ORDENES'!$AO257))</f>
        <v/>
      </c>
      <c r="I279" s="3">
        <f>IF('ORDENES'!$A257="","",IF('ORDENES'!$D257="","-",'ORDENES'!$D257))</f>
        <v/>
      </c>
      <c r="J279" s="3">
        <f>IF('ORDENES'!$A257="","",IF('ORDENES'!$E257="","-",'ORDENES'!$E257))</f>
        <v/>
      </c>
      <c r="K279" s="12">
        <f>IF('ORDENES'!$A257="","",IF('ORDENES'!$N257="",0,'ORDENES'!$N257))</f>
        <v/>
      </c>
      <c r="L279" s="3">
        <f>IF('ORDENES'!$A257="","",IF('ORDENES'!$O257="","-",'ORDENES'!$O257))</f>
        <v/>
      </c>
      <c r="M279" s="3">
        <f>IF('ORDENES'!$A257="","",'ORDENES'!$AB257)</f>
        <v/>
      </c>
    </row>
    <row r="280">
      <c r="A280" s="3">
        <f>IF('ORDENES'!$A258="","",IF('ORDENES'!$P258="","-",'ORDENES'!$P258))</f>
        <v/>
      </c>
      <c r="B280" s="3">
        <f>IF('ORDENES'!$A258="","",IF('ORDENES'!$S258="","-",'ORDENES'!$S258))</f>
        <v/>
      </c>
      <c r="C280" s="3">
        <f>IF('ORDENES'!$A258="","",IF('ORDENES'!$AD258="","-",'ORDENES'!$AD258))</f>
        <v/>
      </c>
      <c r="D280" s="3">
        <f>IF('ORDENES'!$A258="","",IF('ORDENES'!$W258="","-",'ORDENES'!$W258))</f>
        <v/>
      </c>
      <c r="E280" s="3">
        <f>IF('ORDENES'!$A258="","",IF('ORDENES'!$V258="","-",'ORDENES'!$V258))</f>
        <v/>
      </c>
      <c r="F280" s="3">
        <f>IF('ORDENES'!$A258="","",IF('ORDENES'!$X258="","-",'ORDENES'!$X258))</f>
        <v/>
      </c>
      <c r="G280" s="3">
        <f>IF('ORDENES'!$A258="","",IF('ORDENES'!$AC258="","-",'ORDENES'!$AC258))</f>
        <v/>
      </c>
      <c r="H280" s="3">
        <f>IF('ORDENES'!$A258="","",IF('ORDENES'!$AO258="","-",'ORDENES'!$AO258))</f>
        <v/>
      </c>
      <c r="I280" s="3">
        <f>IF('ORDENES'!$A258="","",IF('ORDENES'!$D258="","-",'ORDENES'!$D258))</f>
        <v/>
      </c>
      <c r="J280" s="3">
        <f>IF('ORDENES'!$A258="","",IF('ORDENES'!$E258="","-",'ORDENES'!$E258))</f>
        <v/>
      </c>
      <c r="K280" s="12">
        <f>IF('ORDENES'!$A258="","",IF('ORDENES'!$N258="",0,'ORDENES'!$N258))</f>
        <v/>
      </c>
      <c r="L280" s="3">
        <f>IF('ORDENES'!$A258="","",IF('ORDENES'!$O258="","-",'ORDENES'!$O258))</f>
        <v/>
      </c>
      <c r="M280" s="3">
        <f>IF('ORDENES'!$A258="","",'ORDENES'!$AB258)</f>
        <v/>
      </c>
    </row>
    <row r="281">
      <c r="A281" s="3">
        <f>IF('ORDENES'!$A259="","",IF('ORDENES'!$P259="","-",'ORDENES'!$P259))</f>
        <v/>
      </c>
      <c r="B281" s="3">
        <f>IF('ORDENES'!$A259="","",IF('ORDENES'!$S259="","-",'ORDENES'!$S259))</f>
        <v/>
      </c>
      <c r="C281" s="3">
        <f>IF('ORDENES'!$A259="","",IF('ORDENES'!$AD259="","-",'ORDENES'!$AD259))</f>
        <v/>
      </c>
      <c r="D281" s="3">
        <f>IF('ORDENES'!$A259="","",IF('ORDENES'!$W259="","-",'ORDENES'!$W259))</f>
        <v/>
      </c>
      <c r="E281" s="3">
        <f>IF('ORDENES'!$A259="","",IF('ORDENES'!$V259="","-",'ORDENES'!$V259))</f>
        <v/>
      </c>
      <c r="F281" s="3">
        <f>IF('ORDENES'!$A259="","",IF('ORDENES'!$X259="","-",'ORDENES'!$X259))</f>
        <v/>
      </c>
      <c r="G281" s="3">
        <f>IF('ORDENES'!$A259="","",IF('ORDENES'!$AC259="","-",'ORDENES'!$AC259))</f>
        <v/>
      </c>
      <c r="H281" s="3">
        <f>IF('ORDENES'!$A259="","",IF('ORDENES'!$AO259="","-",'ORDENES'!$AO259))</f>
        <v/>
      </c>
      <c r="I281" s="3">
        <f>IF('ORDENES'!$A259="","",IF('ORDENES'!$D259="","-",'ORDENES'!$D259))</f>
        <v/>
      </c>
      <c r="J281" s="3">
        <f>IF('ORDENES'!$A259="","",IF('ORDENES'!$E259="","-",'ORDENES'!$E259))</f>
        <v/>
      </c>
      <c r="K281" s="12">
        <f>IF('ORDENES'!$A259="","",IF('ORDENES'!$N259="",0,'ORDENES'!$N259))</f>
        <v/>
      </c>
      <c r="L281" s="3">
        <f>IF('ORDENES'!$A259="","",IF('ORDENES'!$O259="","-",'ORDENES'!$O259))</f>
        <v/>
      </c>
      <c r="M281" s="3">
        <f>IF('ORDENES'!$A259="","",'ORDENES'!$AB259)</f>
        <v/>
      </c>
    </row>
    <row r="282">
      <c r="A282" s="3">
        <f>IF('ORDENES'!$A260="","",IF('ORDENES'!$P260="","-",'ORDENES'!$P260))</f>
        <v/>
      </c>
      <c r="B282" s="3">
        <f>IF('ORDENES'!$A260="","",IF('ORDENES'!$S260="","-",'ORDENES'!$S260))</f>
        <v/>
      </c>
      <c r="C282" s="3">
        <f>IF('ORDENES'!$A260="","",IF('ORDENES'!$AD260="","-",'ORDENES'!$AD260))</f>
        <v/>
      </c>
      <c r="D282" s="3">
        <f>IF('ORDENES'!$A260="","",IF('ORDENES'!$W260="","-",'ORDENES'!$W260))</f>
        <v/>
      </c>
      <c r="E282" s="3">
        <f>IF('ORDENES'!$A260="","",IF('ORDENES'!$V260="","-",'ORDENES'!$V260))</f>
        <v/>
      </c>
      <c r="F282" s="3">
        <f>IF('ORDENES'!$A260="","",IF('ORDENES'!$X260="","-",'ORDENES'!$X260))</f>
        <v/>
      </c>
      <c r="G282" s="3">
        <f>IF('ORDENES'!$A260="","",IF('ORDENES'!$AC260="","-",'ORDENES'!$AC260))</f>
        <v/>
      </c>
      <c r="H282" s="3">
        <f>IF('ORDENES'!$A260="","",IF('ORDENES'!$AO260="","-",'ORDENES'!$AO260))</f>
        <v/>
      </c>
      <c r="I282" s="3">
        <f>IF('ORDENES'!$A260="","",IF('ORDENES'!$D260="","-",'ORDENES'!$D260))</f>
        <v/>
      </c>
      <c r="J282" s="3">
        <f>IF('ORDENES'!$A260="","",IF('ORDENES'!$E260="","-",'ORDENES'!$E260))</f>
        <v/>
      </c>
      <c r="K282" s="12">
        <f>IF('ORDENES'!$A260="","",IF('ORDENES'!$N260="",0,'ORDENES'!$N260))</f>
        <v/>
      </c>
      <c r="L282" s="3">
        <f>IF('ORDENES'!$A260="","",IF('ORDENES'!$O260="","-",'ORDENES'!$O260))</f>
        <v/>
      </c>
      <c r="M282" s="3">
        <f>IF('ORDENES'!$A260="","",'ORDENES'!$AB260)</f>
        <v/>
      </c>
    </row>
    <row r="283">
      <c r="A283" s="3">
        <f>IF('ORDENES'!$A261="","",IF('ORDENES'!$P261="","-",'ORDENES'!$P261))</f>
        <v/>
      </c>
      <c r="B283" s="3">
        <f>IF('ORDENES'!$A261="","",IF('ORDENES'!$S261="","-",'ORDENES'!$S261))</f>
        <v/>
      </c>
      <c r="C283" s="3">
        <f>IF('ORDENES'!$A261="","",IF('ORDENES'!$AD261="","-",'ORDENES'!$AD261))</f>
        <v/>
      </c>
      <c r="D283" s="3">
        <f>IF('ORDENES'!$A261="","",IF('ORDENES'!$W261="","-",'ORDENES'!$W261))</f>
        <v/>
      </c>
      <c r="E283" s="3">
        <f>IF('ORDENES'!$A261="","",IF('ORDENES'!$V261="","-",'ORDENES'!$V261))</f>
        <v/>
      </c>
      <c r="F283" s="3">
        <f>IF('ORDENES'!$A261="","",IF('ORDENES'!$X261="","-",'ORDENES'!$X261))</f>
        <v/>
      </c>
      <c r="G283" s="3">
        <f>IF('ORDENES'!$A261="","",IF('ORDENES'!$AC261="","-",'ORDENES'!$AC261))</f>
        <v/>
      </c>
      <c r="H283" s="3">
        <f>IF('ORDENES'!$A261="","",IF('ORDENES'!$AO261="","-",'ORDENES'!$AO261))</f>
        <v/>
      </c>
      <c r="I283" s="3">
        <f>IF('ORDENES'!$A261="","",IF('ORDENES'!$D261="","-",'ORDENES'!$D261))</f>
        <v/>
      </c>
      <c r="J283" s="3">
        <f>IF('ORDENES'!$A261="","",IF('ORDENES'!$E261="","-",'ORDENES'!$E261))</f>
        <v/>
      </c>
      <c r="K283" s="12">
        <f>IF('ORDENES'!$A261="","",IF('ORDENES'!$N261="",0,'ORDENES'!$N261))</f>
        <v/>
      </c>
      <c r="L283" s="3">
        <f>IF('ORDENES'!$A261="","",IF('ORDENES'!$O261="","-",'ORDENES'!$O261))</f>
        <v/>
      </c>
      <c r="M283" s="3">
        <f>IF('ORDENES'!$A261="","",'ORDENES'!$AB261)</f>
        <v/>
      </c>
    </row>
    <row r="284">
      <c r="A284" s="3">
        <f>IF('ORDENES'!$A262="","",IF('ORDENES'!$P262="","-",'ORDENES'!$P262))</f>
        <v/>
      </c>
      <c r="B284" s="3">
        <f>IF('ORDENES'!$A262="","",IF('ORDENES'!$S262="","-",'ORDENES'!$S262))</f>
        <v/>
      </c>
      <c r="C284" s="3">
        <f>IF('ORDENES'!$A262="","",IF('ORDENES'!$AD262="","-",'ORDENES'!$AD262))</f>
        <v/>
      </c>
      <c r="D284" s="3">
        <f>IF('ORDENES'!$A262="","",IF('ORDENES'!$W262="","-",'ORDENES'!$W262))</f>
        <v/>
      </c>
      <c r="E284" s="3">
        <f>IF('ORDENES'!$A262="","",IF('ORDENES'!$V262="","-",'ORDENES'!$V262))</f>
        <v/>
      </c>
      <c r="F284" s="3">
        <f>IF('ORDENES'!$A262="","",IF('ORDENES'!$X262="","-",'ORDENES'!$X262))</f>
        <v/>
      </c>
      <c r="G284" s="3">
        <f>IF('ORDENES'!$A262="","",IF('ORDENES'!$AC262="","-",'ORDENES'!$AC262))</f>
        <v/>
      </c>
      <c r="H284" s="3">
        <f>IF('ORDENES'!$A262="","",IF('ORDENES'!$AO262="","-",'ORDENES'!$AO262))</f>
        <v/>
      </c>
      <c r="I284" s="3">
        <f>IF('ORDENES'!$A262="","",IF('ORDENES'!$D262="","-",'ORDENES'!$D262))</f>
        <v/>
      </c>
      <c r="J284" s="3">
        <f>IF('ORDENES'!$A262="","",IF('ORDENES'!$E262="","-",'ORDENES'!$E262))</f>
        <v/>
      </c>
      <c r="K284" s="12">
        <f>IF('ORDENES'!$A262="","",IF('ORDENES'!$N262="",0,'ORDENES'!$N262))</f>
        <v/>
      </c>
      <c r="L284" s="3">
        <f>IF('ORDENES'!$A262="","",IF('ORDENES'!$O262="","-",'ORDENES'!$O262))</f>
        <v/>
      </c>
      <c r="M284" s="3">
        <f>IF('ORDENES'!$A262="","",'ORDENES'!$AB262)</f>
        <v/>
      </c>
    </row>
    <row r="285">
      <c r="A285" s="3">
        <f>IF('ORDENES'!$A263="","",IF('ORDENES'!$P263="","-",'ORDENES'!$P263))</f>
        <v/>
      </c>
      <c r="B285" s="3">
        <f>IF('ORDENES'!$A263="","",IF('ORDENES'!$S263="","-",'ORDENES'!$S263))</f>
        <v/>
      </c>
      <c r="C285" s="3">
        <f>IF('ORDENES'!$A263="","",IF('ORDENES'!$AD263="","-",'ORDENES'!$AD263))</f>
        <v/>
      </c>
      <c r="D285" s="3">
        <f>IF('ORDENES'!$A263="","",IF('ORDENES'!$W263="","-",'ORDENES'!$W263))</f>
        <v/>
      </c>
      <c r="E285" s="3">
        <f>IF('ORDENES'!$A263="","",IF('ORDENES'!$V263="","-",'ORDENES'!$V263))</f>
        <v/>
      </c>
      <c r="F285" s="3">
        <f>IF('ORDENES'!$A263="","",IF('ORDENES'!$X263="","-",'ORDENES'!$X263))</f>
        <v/>
      </c>
      <c r="G285" s="3">
        <f>IF('ORDENES'!$A263="","",IF('ORDENES'!$AC263="","-",'ORDENES'!$AC263))</f>
        <v/>
      </c>
      <c r="H285" s="3">
        <f>IF('ORDENES'!$A263="","",IF('ORDENES'!$AO263="","-",'ORDENES'!$AO263))</f>
        <v/>
      </c>
      <c r="I285" s="3">
        <f>IF('ORDENES'!$A263="","",IF('ORDENES'!$D263="","-",'ORDENES'!$D263))</f>
        <v/>
      </c>
      <c r="J285" s="3">
        <f>IF('ORDENES'!$A263="","",IF('ORDENES'!$E263="","-",'ORDENES'!$E263))</f>
        <v/>
      </c>
      <c r="K285" s="12">
        <f>IF('ORDENES'!$A263="","",IF('ORDENES'!$N263="",0,'ORDENES'!$N263))</f>
        <v/>
      </c>
      <c r="L285" s="3">
        <f>IF('ORDENES'!$A263="","",IF('ORDENES'!$O263="","-",'ORDENES'!$O263))</f>
        <v/>
      </c>
      <c r="M285" s="3">
        <f>IF('ORDENES'!$A263="","",'ORDENES'!$AB263)</f>
        <v/>
      </c>
    </row>
    <row r="286">
      <c r="A286" s="3">
        <f>IF('ORDENES'!$A264="","",IF('ORDENES'!$P264="","-",'ORDENES'!$P264))</f>
        <v/>
      </c>
      <c r="B286" s="3">
        <f>IF('ORDENES'!$A264="","",IF('ORDENES'!$S264="","-",'ORDENES'!$S264))</f>
        <v/>
      </c>
      <c r="C286" s="3">
        <f>IF('ORDENES'!$A264="","",IF('ORDENES'!$AD264="","-",'ORDENES'!$AD264))</f>
        <v/>
      </c>
      <c r="D286" s="3">
        <f>IF('ORDENES'!$A264="","",IF('ORDENES'!$W264="","-",'ORDENES'!$W264))</f>
        <v/>
      </c>
      <c r="E286" s="3">
        <f>IF('ORDENES'!$A264="","",IF('ORDENES'!$V264="","-",'ORDENES'!$V264))</f>
        <v/>
      </c>
      <c r="F286" s="3">
        <f>IF('ORDENES'!$A264="","",IF('ORDENES'!$X264="","-",'ORDENES'!$X264))</f>
        <v/>
      </c>
      <c r="G286" s="3">
        <f>IF('ORDENES'!$A264="","",IF('ORDENES'!$AC264="","-",'ORDENES'!$AC264))</f>
        <v/>
      </c>
      <c r="H286" s="3">
        <f>IF('ORDENES'!$A264="","",IF('ORDENES'!$AO264="","-",'ORDENES'!$AO264))</f>
        <v/>
      </c>
      <c r="I286" s="3">
        <f>IF('ORDENES'!$A264="","",IF('ORDENES'!$D264="","-",'ORDENES'!$D264))</f>
        <v/>
      </c>
      <c r="J286" s="3">
        <f>IF('ORDENES'!$A264="","",IF('ORDENES'!$E264="","-",'ORDENES'!$E264))</f>
        <v/>
      </c>
      <c r="K286" s="12">
        <f>IF('ORDENES'!$A264="","",IF('ORDENES'!$N264="",0,'ORDENES'!$N264))</f>
        <v/>
      </c>
      <c r="L286" s="3">
        <f>IF('ORDENES'!$A264="","",IF('ORDENES'!$O264="","-",'ORDENES'!$O264))</f>
        <v/>
      </c>
      <c r="M286" s="3">
        <f>IF('ORDENES'!$A264="","",'ORDENES'!$AB264)</f>
        <v/>
      </c>
    </row>
    <row r="287">
      <c r="A287" s="3">
        <f>IF('ORDENES'!$A265="","",IF('ORDENES'!$P265="","-",'ORDENES'!$P265))</f>
        <v/>
      </c>
      <c r="B287" s="3">
        <f>IF('ORDENES'!$A265="","",IF('ORDENES'!$S265="","-",'ORDENES'!$S265))</f>
        <v/>
      </c>
      <c r="C287" s="3">
        <f>IF('ORDENES'!$A265="","",IF('ORDENES'!$AD265="","-",'ORDENES'!$AD265))</f>
        <v/>
      </c>
      <c r="D287" s="3">
        <f>IF('ORDENES'!$A265="","",IF('ORDENES'!$W265="","-",'ORDENES'!$W265))</f>
        <v/>
      </c>
      <c r="E287" s="3">
        <f>IF('ORDENES'!$A265="","",IF('ORDENES'!$V265="","-",'ORDENES'!$V265))</f>
        <v/>
      </c>
      <c r="F287" s="3">
        <f>IF('ORDENES'!$A265="","",IF('ORDENES'!$X265="","-",'ORDENES'!$X265))</f>
        <v/>
      </c>
      <c r="G287" s="3">
        <f>IF('ORDENES'!$A265="","",IF('ORDENES'!$AC265="","-",'ORDENES'!$AC265))</f>
        <v/>
      </c>
      <c r="H287" s="3">
        <f>IF('ORDENES'!$A265="","",IF('ORDENES'!$AO265="","-",'ORDENES'!$AO265))</f>
        <v/>
      </c>
      <c r="I287" s="3">
        <f>IF('ORDENES'!$A265="","",IF('ORDENES'!$D265="","-",'ORDENES'!$D265))</f>
        <v/>
      </c>
      <c r="J287" s="3">
        <f>IF('ORDENES'!$A265="","",IF('ORDENES'!$E265="","-",'ORDENES'!$E265))</f>
        <v/>
      </c>
      <c r="K287" s="12">
        <f>IF('ORDENES'!$A265="","",IF('ORDENES'!$N265="",0,'ORDENES'!$N265))</f>
        <v/>
      </c>
      <c r="L287" s="3">
        <f>IF('ORDENES'!$A265="","",IF('ORDENES'!$O265="","-",'ORDENES'!$O265))</f>
        <v/>
      </c>
      <c r="M287" s="3">
        <f>IF('ORDENES'!$A265="","",'ORDENES'!$AB265)</f>
        <v/>
      </c>
    </row>
    <row r="288">
      <c r="A288" s="3">
        <f>IF('ORDENES'!$A266="","",IF('ORDENES'!$P266="","-",'ORDENES'!$P266))</f>
        <v/>
      </c>
      <c r="B288" s="3">
        <f>IF('ORDENES'!$A266="","",IF('ORDENES'!$S266="","-",'ORDENES'!$S266))</f>
        <v/>
      </c>
      <c r="C288" s="3">
        <f>IF('ORDENES'!$A266="","",IF('ORDENES'!$AD266="","-",'ORDENES'!$AD266))</f>
        <v/>
      </c>
      <c r="D288" s="3">
        <f>IF('ORDENES'!$A266="","",IF('ORDENES'!$W266="","-",'ORDENES'!$W266))</f>
        <v/>
      </c>
      <c r="E288" s="3">
        <f>IF('ORDENES'!$A266="","",IF('ORDENES'!$V266="","-",'ORDENES'!$V266))</f>
        <v/>
      </c>
      <c r="F288" s="3">
        <f>IF('ORDENES'!$A266="","",IF('ORDENES'!$X266="","-",'ORDENES'!$X266))</f>
        <v/>
      </c>
      <c r="G288" s="3">
        <f>IF('ORDENES'!$A266="","",IF('ORDENES'!$AC266="","-",'ORDENES'!$AC266))</f>
        <v/>
      </c>
      <c r="H288" s="3">
        <f>IF('ORDENES'!$A266="","",IF('ORDENES'!$AO266="","-",'ORDENES'!$AO266))</f>
        <v/>
      </c>
      <c r="I288" s="3">
        <f>IF('ORDENES'!$A266="","",IF('ORDENES'!$D266="","-",'ORDENES'!$D266))</f>
        <v/>
      </c>
      <c r="J288" s="3">
        <f>IF('ORDENES'!$A266="","",IF('ORDENES'!$E266="","-",'ORDENES'!$E266))</f>
        <v/>
      </c>
      <c r="K288" s="12">
        <f>IF('ORDENES'!$A266="","",IF('ORDENES'!$N266="",0,'ORDENES'!$N266))</f>
        <v/>
      </c>
      <c r="L288" s="3">
        <f>IF('ORDENES'!$A266="","",IF('ORDENES'!$O266="","-",'ORDENES'!$O266))</f>
        <v/>
      </c>
      <c r="M288" s="3">
        <f>IF('ORDENES'!$A266="","",'ORDENES'!$AB266)</f>
        <v/>
      </c>
    </row>
    <row r="289">
      <c r="A289" s="3">
        <f>IF('ORDENES'!$A267="","",IF('ORDENES'!$P267="","-",'ORDENES'!$P267))</f>
        <v/>
      </c>
      <c r="B289" s="3">
        <f>IF('ORDENES'!$A267="","",IF('ORDENES'!$S267="","-",'ORDENES'!$S267))</f>
        <v/>
      </c>
      <c r="C289" s="3">
        <f>IF('ORDENES'!$A267="","",IF('ORDENES'!$AD267="","-",'ORDENES'!$AD267))</f>
        <v/>
      </c>
      <c r="D289" s="3">
        <f>IF('ORDENES'!$A267="","",IF('ORDENES'!$W267="","-",'ORDENES'!$W267))</f>
        <v/>
      </c>
      <c r="E289" s="3">
        <f>IF('ORDENES'!$A267="","",IF('ORDENES'!$V267="","-",'ORDENES'!$V267))</f>
        <v/>
      </c>
      <c r="F289" s="3">
        <f>IF('ORDENES'!$A267="","",IF('ORDENES'!$X267="","-",'ORDENES'!$X267))</f>
        <v/>
      </c>
      <c r="G289" s="3">
        <f>IF('ORDENES'!$A267="","",IF('ORDENES'!$AC267="","-",'ORDENES'!$AC267))</f>
        <v/>
      </c>
      <c r="H289" s="3">
        <f>IF('ORDENES'!$A267="","",IF('ORDENES'!$AO267="","-",'ORDENES'!$AO267))</f>
        <v/>
      </c>
      <c r="I289" s="3">
        <f>IF('ORDENES'!$A267="","",IF('ORDENES'!$D267="","-",'ORDENES'!$D267))</f>
        <v/>
      </c>
      <c r="J289" s="3">
        <f>IF('ORDENES'!$A267="","",IF('ORDENES'!$E267="","-",'ORDENES'!$E267))</f>
        <v/>
      </c>
      <c r="K289" s="12">
        <f>IF('ORDENES'!$A267="","",IF('ORDENES'!$N267="",0,'ORDENES'!$N267))</f>
        <v/>
      </c>
      <c r="L289" s="3">
        <f>IF('ORDENES'!$A267="","",IF('ORDENES'!$O267="","-",'ORDENES'!$O267))</f>
        <v/>
      </c>
      <c r="M289" s="3">
        <f>IF('ORDENES'!$A267="","",'ORDENES'!$AB267)</f>
        <v/>
      </c>
    </row>
    <row r="290">
      <c r="A290" s="3">
        <f>IF('ORDENES'!$A268="","",IF('ORDENES'!$P268="","-",'ORDENES'!$P268))</f>
        <v/>
      </c>
      <c r="B290" s="3">
        <f>IF('ORDENES'!$A268="","",IF('ORDENES'!$S268="","-",'ORDENES'!$S268))</f>
        <v/>
      </c>
      <c r="C290" s="3">
        <f>IF('ORDENES'!$A268="","",IF('ORDENES'!$AD268="","-",'ORDENES'!$AD268))</f>
        <v/>
      </c>
      <c r="D290" s="3">
        <f>IF('ORDENES'!$A268="","",IF('ORDENES'!$W268="","-",'ORDENES'!$W268))</f>
        <v/>
      </c>
      <c r="E290" s="3">
        <f>IF('ORDENES'!$A268="","",IF('ORDENES'!$V268="","-",'ORDENES'!$V268))</f>
        <v/>
      </c>
      <c r="F290" s="3">
        <f>IF('ORDENES'!$A268="","",IF('ORDENES'!$X268="","-",'ORDENES'!$X268))</f>
        <v/>
      </c>
      <c r="G290" s="3">
        <f>IF('ORDENES'!$A268="","",IF('ORDENES'!$AC268="","-",'ORDENES'!$AC268))</f>
        <v/>
      </c>
      <c r="H290" s="3">
        <f>IF('ORDENES'!$A268="","",IF('ORDENES'!$AO268="","-",'ORDENES'!$AO268))</f>
        <v/>
      </c>
      <c r="I290" s="3">
        <f>IF('ORDENES'!$A268="","",IF('ORDENES'!$D268="","-",'ORDENES'!$D268))</f>
        <v/>
      </c>
      <c r="J290" s="3">
        <f>IF('ORDENES'!$A268="","",IF('ORDENES'!$E268="","-",'ORDENES'!$E268))</f>
        <v/>
      </c>
      <c r="K290" s="12">
        <f>IF('ORDENES'!$A268="","",IF('ORDENES'!$N268="",0,'ORDENES'!$N268))</f>
        <v/>
      </c>
      <c r="L290" s="3">
        <f>IF('ORDENES'!$A268="","",IF('ORDENES'!$O268="","-",'ORDENES'!$O268))</f>
        <v/>
      </c>
      <c r="M290" s="3">
        <f>IF('ORDENES'!$A268="","",'ORDENES'!$AB268)</f>
        <v/>
      </c>
    </row>
    <row r="291">
      <c r="A291" s="3">
        <f>IF('ORDENES'!$A269="","",IF('ORDENES'!$P269="","-",'ORDENES'!$P269))</f>
        <v/>
      </c>
      <c r="B291" s="3">
        <f>IF('ORDENES'!$A269="","",IF('ORDENES'!$S269="","-",'ORDENES'!$S269))</f>
        <v/>
      </c>
      <c r="C291" s="3">
        <f>IF('ORDENES'!$A269="","",IF('ORDENES'!$AD269="","-",'ORDENES'!$AD269))</f>
        <v/>
      </c>
      <c r="D291" s="3">
        <f>IF('ORDENES'!$A269="","",IF('ORDENES'!$W269="","-",'ORDENES'!$W269))</f>
        <v/>
      </c>
      <c r="E291" s="3">
        <f>IF('ORDENES'!$A269="","",IF('ORDENES'!$V269="","-",'ORDENES'!$V269))</f>
        <v/>
      </c>
      <c r="F291" s="3">
        <f>IF('ORDENES'!$A269="","",IF('ORDENES'!$X269="","-",'ORDENES'!$X269))</f>
        <v/>
      </c>
      <c r="G291" s="3">
        <f>IF('ORDENES'!$A269="","",IF('ORDENES'!$AC269="","-",'ORDENES'!$AC269))</f>
        <v/>
      </c>
      <c r="H291" s="3">
        <f>IF('ORDENES'!$A269="","",IF('ORDENES'!$AO269="","-",'ORDENES'!$AO269))</f>
        <v/>
      </c>
      <c r="I291" s="3">
        <f>IF('ORDENES'!$A269="","",IF('ORDENES'!$D269="","-",'ORDENES'!$D269))</f>
        <v/>
      </c>
      <c r="J291" s="3">
        <f>IF('ORDENES'!$A269="","",IF('ORDENES'!$E269="","-",'ORDENES'!$E269))</f>
        <v/>
      </c>
      <c r="K291" s="12">
        <f>IF('ORDENES'!$A269="","",IF('ORDENES'!$N269="",0,'ORDENES'!$N269))</f>
        <v/>
      </c>
      <c r="L291" s="3">
        <f>IF('ORDENES'!$A269="","",IF('ORDENES'!$O269="","-",'ORDENES'!$O269))</f>
        <v/>
      </c>
      <c r="M291" s="3">
        <f>IF('ORDENES'!$A269="","",'ORDENES'!$AB269)</f>
        <v/>
      </c>
    </row>
    <row r="292">
      <c r="A292" s="3">
        <f>IF('ORDENES'!$A270="","",IF('ORDENES'!$P270="","-",'ORDENES'!$P270))</f>
        <v/>
      </c>
      <c r="B292" s="3">
        <f>IF('ORDENES'!$A270="","",IF('ORDENES'!$S270="","-",'ORDENES'!$S270))</f>
        <v/>
      </c>
      <c r="C292" s="3">
        <f>IF('ORDENES'!$A270="","",IF('ORDENES'!$AD270="","-",'ORDENES'!$AD270))</f>
        <v/>
      </c>
      <c r="D292" s="3">
        <f>IF('ORDENES'!$A270="","",IF('ORDENES'!$W270="","-",'ORDENES'!$W270))</f>
        <v/>
      </c>
      <c r="E292" s="3">
        <f>IF('ORDENES'!$A270="","",IF('ORDENES'!$V270="","-",'ORDENES'!$V270))</f>
        <v/>
      </c>
      <c r="F292" s="3">
        <f>IF('ORDENES'!$A270="","",IF('ORDENES'!$X270="","-",'ORDENES'!$X270))</f>
        <v/>
      </c>
      <c r="G292" s="3">
        <f>IF('ORDENES'!$A270="","",IF('ORDENES'!$AC270="","-",'ORDENES'!$AC270))</f>
        <v/>
      </c>
      <c r="H292" s="3">
        <f>IF('ORDENES'!$A270="","",IF('ORDENES'!$AO270="","-",'ORDENES'!$AO270))</f>
        <v/>
      </c>
      <c r="I292" s="3">
        <f>IF('ORDENES'!$A270="","",IF('ORDENES'!$D270="","-",'ORDENES'!$D270))</f>
        <v/>
      </c>
      <c r="J292" s="3">
        <f>IF('ORDENES'!$A270="","",IF('ORDENES'!$E270="","-",'ORDENES'!$E270))</f>
        <v/>
      </c>
      <c r="K292" s="12">
        <f>IF('ORDENES'!$A270="","",IF('ORDENES'!$N270="",0,'ORDENES'!$N270))</f>
        <v/>
      </c>
      <c r="L292" s="3">
        <f>IF('ORDENES'!$A270="","",IF('ORDENES'!$O270="","-",'ORDENES'!$O270))</f>
        <v/>
      </c>
      <c r="M292" s="3">
        <f>IF('ORDENES'!$A270="","",'ORDENES'!$AB270)</f>
        <v/>
      </c>
    </row>
    <row r="293">
      <c r="A293" s="3">
        <f>IF('ORDENES'!$A271="","",IF('ORDENES'!$P271="","-",'ORDENES'!$P271))</f>
        <v/>
      </c>
      <c r="B293" s="3">
        <f>IF('ORDENES'!$A271="","",IF('ORDENES'!$S271="","-",'ORDENES'!$S271))</f>
        <v/>
      </c>
      <c r="C293" s="3">
        <f>IF('ORDENES'!$A271="","",IF('ORDENES'!$AD271="","-",'ORDENES'!$AD271))</f>
        <v/>
      </c>
      <c r="D293" s="3">
        <f>IF('ORDENES'!$A271="","",IF('ORDENES'!$W271="","-",'ORDENES'!$W271))</f>
        <v/>
      </c>
      <c r="E293" s="3">
        <f>IF('ORDENES'!$A271="","",IF('ORDENES'!$V271="","-",'ORDENES'!$V271))</f>
        <v/>
      </c>
      <c r="F293" s="3">
        <f>IF('ORDENES'!$A271="","",IF('ORDENES'!$X271="","-",'ORDENES'!$X271))</f>
        <v/>
      </c>
      <c r="G293" s="3">
        <f>IF('ORDENES'!$A271="","",IF('ORDENES'!$AC271="","-",'ORDENES'!$AC271))</f>
        <v/>
      </c>
      <c r="H293" s="3">
        <f>IF('ORDENES'!$A271="","",IF('ORDENES'!$AO271="","-",'ORDENES'!$AO271))</f>
        <v/>
      </c>
      <c r="I293" s="3">
        <f>IF('ORDENES'!$A271="","",IF('ORDENES'!$D271="","-",'ORDENES'!$D271))</f>
        <v/>
      </c>
      <c r="J293" s="3">
        <f>IF('ORDENES'!$A271="","",IF('ORDENES'!$E271="","-",'ORDENES'!$E271))</f>
        <v/>
      </c>
      <c r="K293" s="12">
        <f>IF('ORDENES'!$A271="","",IF('ORDENES'!$N271="",0,'ORDENES'!$N271))</f>
        <v/>
      </c>
      <c r="L293" s="3">
        <f>IF('ORDENES'!$A271="","",IF('ORDENES'!$O271="","-",'ORDENES'!$O271))</f>
        <v/>
      </c>
      <c r="M293" s="3">
        <f>IF('ORDENES'!$A271="","",'ORDENES'!$AB271)</f>
        <v/>
      </c>
    </row>
    <row r="294">
      <c r="A294" s="3">
        <f>IF('ORDENES'!$A272="","",IF('ORDENES'!$P272="","-",'ORDENES'!$P272))</f>
        <v/>
      </c>
      <c r="B294" s="3">
        <f>IF('ORDENES'!$A272="","",IF('ORDENES'!$S272="","-",'ORDENES'!$S272))</f>
        <v/>
      </c>
      <c r="C294" s="3">
        <f>IF('ORDENES'!$A272="","",IF('ORDENES'!$AD272="","-",'ORDENES'!$AD272))</f>
        <v/>
      </c>
      <c r="D294" s="3">
        <f>IF('ORDENES'!$A272="","",IF('ORDENES'!$W272="","-",'ORDENES'!$W272))</f>
        <v/>
      </c>
      <c r="E294" s="3">
        <f>IF('ORDENES'!$A272="","",IF('ORDENES'!$V272="","-",'ORDENES'!$V272))</f>
        <v/>
      </c>
      <c r="F294" s="3">
        <f>IF('ORDENES'!$A272="","",IF('ORDENES'!$X272="","-",'ORDENES'!$X272))</f>
        <v/>
      </c>
      <c r="G294" s="3">
        <f>IF('ORDENES'!$A272="","",IF('ORDENES'!$AC272="","-",'ORDENES'!$AC272))</f>
        <v/>
      </c>
      <c r="H294" s="3">
        <f>IF('ORDENES'!$A272="","",IF('ORDENES'!$AO272="","-",'ORDENES'!$AO272))</f>
        <v/>
      </c>
      <c r="I294" s="3">
        <f>IF('ORDENES'!$A272="","",IF('ORDENES'!$D272="","-",'ORDENES'!$D272))</f>
        <v/>
      </c>
      <c r="J294" s="3">
        <f>IF('ORDENES'!$A272="","",IF('ORDENES'!$E272="","-",'ORDENES'!$E272))</f>
        <v/>
      </c>
      <c r="K294" s="12">
        <f>IF('ORDENES'!$A272="","",IF('ORDENES'!$N272="",0,'ORDENES'!$N272))</f>
        <v/>
      </c>
      <c r="L294" s="3">
        <f>IF('ORDENES'!$A272="","",IF('ORDENES'!$O272="","-",'ORDENES'!$O272))</f>
        <v/>
      </c>
      <c r="M294" s="3">
        <f>IF('ORDENES'!$A272="","",'ORDENES'!$AB272)</f>
        <v/>
      </c>
    </row>
    <row r="295">
      <c r="A295" s="3">
        <f>IF('ORDENES'!$A273="","",IF('ORDENES'!$P273="","-",'ORDENES'!$P273))</f>
        <v/>
      </c>
      <c r="B295" s="3">
        <f>IF('ORDENES'!$A273="","",IF('ORDENES'!$S273="","-",'ORDENES'!$S273))</f>
        <v/>
      </c>
      <c r="C295" s="3">
        <f>IF('ORDENES'!$A273="","",IF('ORDENES'!$AD273="","-",'ORDENES'!$AD273))</f>
        <v/>
      </c>
      <c r="D295" s="3">
        <f>IF('ORDENES'!$A273="","",IF('ORDENES'!$W273="","-",'ORDENES'!$W273))</f>
        <v/>
      </c>
      <c r="E295" s="3">
        <f>IF('ORDENES'!$A273="","",IF('ORDENES'!$V273="","-",'ORDENES'!$V273))</f>
        <v/>
      </c>
      <c r="F295" s="3">
        <f>IF('ORDENES'!$A273="","",IF('ORDENES'!$X273="","-",'ORDENES'!$X273))</f>
        <v/>
      </c>
      <c r="G295" s="3">
        <f>IF('ORDENES'!$A273="","",IF('ORDENES'!$AC273="","-",'ORDENES'!$AC273))</f>
        <v/>
      </c>
      <c r="H295" s="3">
        <f>IF('ORDENES'!$A273="","",IF('ORDENES'!$AO273="","-",'ORDENES'!$AO273))</f>
        <v/>
      </c>
      <c r="I295" s="3">
        <f>IF('ORDENES'!$A273="","",IF('ORDENES'!$D273="","-",'ORDENES'!$D273))</f>
        <v/>
      </c>
      <c r="J295" s="3">
        <f>IF('ORDENES'!$A273="","",IF('ORDENES'!$E273="","-",'ORDENES'!$E273))</f>
        <v/>
      </c>
      <c r="K295" s="12">
        <f>IF('ORDENES'!$A273="","",IF('ORDENES'!$N273="",0,'ORDENES'!$N273))</f>
        <v/>
      </c>
      <c r="L295" s="3">
        <f>IF('ORDENES'!$A273="","",IF('ORDENES'!$O273="","-",'ORDENES'!$O273))</f>
        <v/>
      </c>
      <c r="M295" s="3">
        <f>IF('ORDENES'!$A273="","",'ORDENES'!$AB273)</f>
        <v/>
      </c>
    </row>
    <row r="296">
      <c r="A296" s="3">
        <f>IF('ORDENES'!$A274="","",IF('ORDENES'!$P274="","-",'ORDENES'!$P274))</f>
        <v/>
      </c>
      <c r="B296" s="3">
        <f>IF('ORDENES'!$A274="","",IF('ORDENES'!$S274="","-",'ORDENES'!$S274))</f>
        <v/>
      </c>
      <c r="C296" s="3">
        <f>IF('ORDENES'!$A274="","",IF('ORDENES'!$AD274="","-",'ORDENES'!$AD274))</f>
        <v/>
      </c>
      <c r="D296" s="3">
        <f>IF('ORDENES'!$A274="","",IF('ORDENES'!$W274="","-",'ORDENES'!$W274))</f>
        <v/>
      </c>
      <c r="E296" s="3">
        <f>IF('ORDENES'!$A274="","",IF('ORDENES'!$V274="","-",'ORDENES'!$V274))</f>
        <v/>
      </c>
      <c r="F296" s="3">
        <f>IF('ORDENES'!$A274="","",IF('ORDENES'!$X274="","-",'ORDENES'!$X274))</f>
        <v/>
      </c>
      <c r="G296" s="3">
        <f>IF('ORDENES'!$A274="","",IF('ORDENES'!$AC274="","-",'ORDENES'!$AC274))</f>
        <v/>
      </c>
      <c r="H296" s="3">
        <f>IF('ORDENES'!$A274="","",IF('ORDENES'!$AO274="","-",'ORDENES'!$AO274))</f>
        <v/>
      </c>
      <c r="I296" s="3">
        <f>IF('ORDENES'!$A274="","",IF('ORDENES'!$D274="","-",'ORDENES'!$D274))</f>
        <v/>
      </c>
      <c r="J296" s="3">
        <f>IF('ORDENES'!$A274="","",IF('ORDENES'!$E274="","-",'ORDENES'!$E274))</f>
        <v/>
      </c>
      <c r="K296" s="12">
        <f>IF('ORDENES'!$A274="","",IF('ORDENES'!$N274="",0,'ORDENES'!$N274))</f>
        <v/>
      </c>
      <c r="L296" s="3">
        <f>IF('ORDENES'!$A274="","",IF('ORDENES'!$O274="","-",'ORDENES'!$O274))</f>
        <v/>
      </c>
      <c r="M296" s="3">
        <f>IF('ORDENES'!$A274="","",'ORDENES'!$AB274)</f>
        <v/>
      </c>
    </row>
    <row r="297">
      <c r="A297" s="3">
        <f>IF('ORDENES'!$A275="","",IF('ORDENES'!$P275="","-",'ORDENES'!$P275))</f>
        <v/>
      </c>
      <c r="B297" s="3">
        <f>IF('ORDENES'!$A275="","",IF('ORDENES'!$S275="","-",'ORDENES'!$S275))</f>
        <v/>
      </c>
      <c r="C297" s="3">
        <f>IF('ORDENES'!$A275="","",IF('ORDENES'!$AD275="","-",'ORDENES'!$AD275))</f>
        <v/>
      </c>
      <c r="D297" s="3">
        <f>IF('ORDENES'!$A275="","",IF('ORDENES'!$W275="","-",'ORDENES'!$W275))</f>
        <v/>
      </c>
      <c r="E297" s="3">
        <f>IF('ORDENES'!$A275="","",IF('ORDENES'!$V275="","-",'ORDENES'!$V275))</f>
        <v/>
      </c>
      <c r="F297" s="3">
        <f>IF('ORDENES'!$A275="","",IF('ORDENES'!$X275="","-",'ORDENES'!$X275))</f>
        <v/>
      </c>
      <c r="G297" s="3">
        <f>IF('ORDENES'!$A275="","",IF('ORDENES'!$AC275="","-",'ORDENES'!$AC275))</f>
        <v/>
      </c>
      <c r="H297" s="3">
        <f>IF('ORDENES'!$A275="","",IF('ORDENES'!$AO275="","-",'ORDENES'!$AO275))</f>
        <v/>
      </c>
      <c r="I297" s="3">
        <f>IF('ORDENES'!$A275="","",IF('ORDENES'!$D275="","-",'ORDENES'!$D275))</f>
        <v/>
      </c>
      <c r="J297" s="3">
        <f>IF('ORDENES'!$A275="","",IF('ORDENES'!$E275="","-",'ORDENES'!$E275))</f>
        <v/>
      </c>
      <c r="K297" s="12">
        <f>IF('ORDENES'!$A275="","",IF('ORDENES'!$N275="",0,'ORDENES'!$N275))</f>
        <v/>
      </c>
      <c r="L297" s="3">
        <f>IF('ORDENES'!$A275="","",IF('ORDENES'!$O275="","-",'ORDENES'!$O275))</f>
        <v/>
      </c>
      <c r="M297" s="3">
        <f>IF('ORDENES'!$A275="","",'ORDENES'!$AB275)</f>
        <v/>
      </c>
    </row>
    <row r="298">
      <c r="A298" s="3">
        <f>IF('ORDENES'!$A276="","",IF('ORDENES'!$P276="","-",'ORDENES'!$P276))</f>
        <v/>
      </c>
      <c r="B298" s="3">
        <f>IF('ORDENES'!$A276="","",IF('ORDENES'!$S276="","-",'ORDENES'!$S276))</f>
        <v/>
      </c>
      <c r="C298" s="3">
        <f>IF('ORDENES'!$A276="","",IF('ORDENES'!$AD276="","-",'ORDENES'!$AD276))</f>
        <v/>
      </c>
      <c r="D298" s="3">
        <f>IF('ORDENES'!$A276="","",IF('ORDENES'!$W276="","-",'ORDENES'!$W276))</f>
        <v/>
      </c>
      <c r="E298" s="3">
        <f>IF('ORDENES'!$A276="","",IF('ORDENES'!$V276="","-",'ORDENES'!$V276))</f>
        <v/>
      </c>
      <c r="F298" s="3">
        <f>IF('ORDENES'!$A276="","",IF('ORDENES'!$X276="","-",'ORDENES'!$X276))</f>
        <v/>
      </c>
      <c r="G298" s="3">
        <f>IF('ORDENES'!$A276="","",IF('ORDENES'!$AC276="","-",'ORDENES'!$AC276))</f>
        <v/>
      </c>
      <c r="H298" s="3">
        <f>IF('ORDENES'!$A276="","",IF('ORDENES'!$AO276="","-",'ORDENES'!$AO276))</f>
        <v/>
      </c>
      <c r="I298" s="3">
        <f>IF('ORDENES'!$A276="","",IF('ORDENES'!$D276="","-",'ORDENES'!$D276))</f>
        <v/>
      </c>
      <c r="J298" s="3">
        <f>IF('ORDENES'!$A276="","",IF('ORDENES'!$E276="","-",'ORDENES'!$E276))</f>
        <v/>
      </c>
      <c r="K298" s="12">
        <f>IF('ORDENES'!$A276="","",IF('ORDENES'!$N276="",0,'ORDENES'!$N276))</f>
        <v/>
      </c>
      <c r="L298" s="3">
        <f>IF('ORDENES'!$A276="","",IF('ORDENES'!$O276="","-",'ORDENES'!$O276))</f>
        <v/>
      </c>
      <c r="M298" s="3">
        <f>IF('ORDENES'!$A276="","",'ORDENES'!$AB276)</f>
        <v/>
      </c>
    </row>
    <row r="299">
      <c r="A299" s="3">
        <f>IF('ORDENES'!$A277="","",IF('ORDENES'!$P277="","-",'ORDENES'!$P277))</f>
        <v/>
      </c>
      <c r="B299" s="3">
        <f>IF('ORDENES'!$A277="","",IF('ORDENES'!$S277="","-",'ORDENES'!$S277))</f>
        <v/>
      </c>
      <c r="C299" s="3">
        <f>IF('ORDENES'!$A277="","",IF('ORDENES'!$AD277="","-",'ORDENES'!$AD277))</f>
        <v/>
      </c>
      <c r="D299" s="3">
        <f>IF('ORDENES'!$A277="","",IF('ORDENES'!$W277="","-",'ORDENES'!$W277))</f>
        <v/>
      </c>
      <c r="E299" s="3">
        <f>IF('ORDENES'!$A277="","",IF('ORDENES'!$V277="","-",'ORDENES'!$V277))</f>
        <v/>
      </c>
      <c r="F299" s="3">
        <f>IF('ORDENES'!$A277="","",IF('ORDENES'!$X277="","-",'ORDENES'!$X277))</f>
        <v/>
      </c>
      <c r="G299" s="3">
        <f>IF('ORDENES'!$A277="","",IF('ORDENES'!$AC277="","-",'ORDENES'!$AC277))</f>
        <v/>
      </c>
      <c r="H299" s="3">
        <f>IF('ORDENES'!$A277="","",IF('ORDENES'!$AO277="","-",'ORDENES'!$AO277))</f>
        <v/>
      </c>
      <c r="I299" s="3">
        <f>IF('ORDENES'!$A277="","",IF('ORDENES'!$D277="","-",'ORDENES'!$D277))</f>
        <v/>
      </c>
      <c r="J299" s="3">
        <f>IF('ORDENES'!$A277="","",IF('ORDENES'!$E277="","-",'ORDENES'!$E277))</f>
        <v/>
      </c>
      <c r="K299" s="12">
        <f>IF('ORDENES'!$A277="","",IF('ORDENES'!$N277="",0,'ORDENES'!$N277))</f>
        <v/>
      </c>
      <c r="L299" s="3">
        <f>IF('ORDENES'!$A277="","",IF('ORDENES'!$O277="","-",'ORDENES'!$O277))</f>
        <v/>
      </c>
      <c r="M299" s="3">
        <f>IF('ORDENES'!$A277="","",'ORDENES'!$AB277)</f>
        <v/>
      </c>
    </row>
    <row r="300">
      <c r="A300" s="3">
        <f>IF('ORDENES'!$A278="","",IF('ORDENES'!$P278="","-",'ORDENES'!$P278))</f>
        <v/>
      </c>
      <c r="B300" s="3">
        <f>IF('ORDENES'!$A278="","",IF('ORDENES'!$S278="","-",'ORDENES'!$S278))</f>
        <v/>
      </c>
      <c r="C300" s="3">
        <f>IF('ORDENES'!$A278="","",IF('ORDENES'!$AD278="","-",'ORDENES'!$AD278))</f>
        <v/>
      </c>
      <c r="D300" s="3">
        <f>IF('ORDENES'!$A278="","",IF('ORDENES'!$W278="","-",'ORDENES'!$W278))</f>
        <v/>
      </c>
      <c r="E300" s="3">
        <f>IF('ORDENES'!$A278="","",IF('ORDENES'!$V278="","-",'ORDENES'!$V278))</f>
        <v/>
      </c>
      <c r="F300" s="3">
        <f>IF('ORDENES'!$A278="","",IF('ORDENES'!$X278="","-",'ORDENES'!$X278))</f>
        <v/>
      </c>
      <c r="G300" s="3">
        <f>IF('ORDENES'!$A278="","",IF('ORDENES'!$AC278="","-",'ORDENES'!$AC278))</f>
        <v/>
      </c>
      <c r="H300" s="3">
        <f>IF('ORDENES'!$A278="","",IF('ORDENES'!$AO278="","-",'ORDENES'!$AO278))</f>
        <v/>
      </c>
      <c r="I300" s="3">
        <f>IF('ORDENES'!$A278="","",IF('ORDENES'!$D278="","-",'ORDENES'!$D278))</f>
        <v/>
      </c>
      <c r="J300" s="3">
        <f>IF('ORDENES'!$A278="","",IF('ORDENES'!$E278="","-",'ORDENES'!$E278))</f>
        <v/>
      </c>
      <c r="K300" s="12">
        <f>IF('ORDENES'!$A278="","",IF('ORDENES'!$N278="",0,'ORDENES'!$N278))</f>
        <v/>
      </c>
      <c r="L300" s="3">
        <f>IF('ORDENES'!$A278="","",IF('ORDENES'!$O278="","-",'ORDENES'!$O278))</f>
        <v/>
      </c>
      <c r="M300" s="3">
        <f>IF('ORDENES'!$A278="","",'ORDENES'!$AB278)</f>
        <v/>
      </c>
    </row>
    <row r="301">
      <c r="A301" s="3">
        <f>IF('ORDENES'!$A279="","",IF('ORDENES'!$P279="","-",'ORDENES'!$P279))</f>
        <v/>
      </c>
      <c r="B301" s="3">
        <f>IF('ORDENES'!$A279="","",IF('ORDENES'!$S279="","-",'ORDENES'!$S279))</f>
        <v/>
      </c>
      <c r="C301" s="3">
        <f>IF('ORDENES'!$A279="","",IF('ORDENES'!$AD279="","-",'ORDENES'!$AD279))</f>
        <v/>
      </c>
      <c r="D301" s="3">
        <f>IF('ORDENES'!$A279="","",IF('ORDENES'!$W279="","-",'ORDENES'!$W279))</f>
        <v/>
      </c>
      <c r="E301" s="3">
        <f>IF('ORDENES'!$A279="","",IF('ORDENES'!$V279="","-",'ORDENES'!$V279))</f>
        <v/>
      </c>
      <c r="F301" s="3">
        <f>IF('ORDENES'!$A279="","",IF('ORDENES'!$X279="","-",'ORDENES'!$X279))</f>
        <v/>
      </c>
      <c r="G301" s="3">
        <f>IF('ORDENES'!$A279="","",IF('ORDENES'!$AC279="","-",'ORDENES'!$AC279))</f>
        <v/>
      </c>
      <c r="H301" s="3">
        <f>IF('ORDENES'!$A279="","",IF('ORDENES'!$AO279="","-",'ORDENES'!$AO279))</f>
        <v/>
      </c>
      <c r="I301" s="3">
        <f>IF('ORDENES'!$A279="","",IF('ORDENES'!$D279="","-",'ORDENES'!$D279))</f>
        <v/>
      </c>
      <c r="J301" s="3">
        <f>IF('ORDENES'!$A279="","",IF('ORDENES'!$E279="","-",'ORDENES'!$E279))</f>
        <v/>
      </c>
      <c r="K301" s="12">
        <f>IF('ORDENES'!$A279="","",IF('ORDENES'!$N279="",0,'ORDENES'!$N279))</f>
        <v/>
      </c>
      <c r="L301" s="3">
        <f>IF('ORDENES'!$A279="","",IF('ORDENES'!$O279="","-",'ORDENES'!$O279))</f>
        <v/>
      </c>
      <c r="M301" s="3">
        <f>IF('ORDENES'!$A279="","",'ORDENES'!$AB279)</f>
        <v/>
      </c>
    </row>
    <row r="302">
      <c r="A302" s="3">
        <f>IF('ORDENES'!$A280="","",IF('ORDENES'!$P280="","-",'ORDENES'!$P280))</f>
        <v/>
      </c>
      <c r="B302" s="3">
        <f>IF('ORDENES'!$A280="","",IF('ORDENES'!$S280="","-",'ORDENES'!$S280))</f>
        <v/>
      </c>
      <c r="C302" s="3">
        <f>IF('ORDENES'!$A280="","",IF('ORDENES'!$AD280="","-",'ORDENES'!$AD280))</f>
        <v/>
      </c>
      <c r="D302" s="3">
        <f>IF('ORDENES'!$A280="","",IF('ORDENES'!$W280="","-",'ORDENES'!$W280))</f>
        <v/>
      </c>
      <c r="E302" s="3">
        <f>IF('ORDENES'!$A280="","",IF('ORDENES'!$V280="","-",'ORDENES'!$V280))</f>
        <v/>
      </c>
      <c r="F302" s="3">
        <f>IF('ORDENES'!$A280="","",IF('ORDENES'!$X280="","-",'ORDENES'!$X280))</f>
        <v/>
      </c>
      <c r="G302" s="3">
        <f>IF('ORDENES'!$A280="","",IF('ORDENES'!$AC280="","-",'ORDENES'!$AC280))</f>
        <v/>
      </c>
      <c r="H302" s="3">
        <f>IF('ORDENES'!$A280="","",IF('ORDENES'!$AO280="","-",'ORDENES'!$AO280))</f>
        <v/>
      </c>
      <c r="I302" s="3">
        <f>IF('ORDENES'!$A280="","",IF('ORDENES'!$D280="","-",'ORDENES'!$D280))</f>
        <v/>
      </c>
      <c r="J302" s="3">
        <f>IF('ORDENES'!$A280="","",IF('ORDENES'!$E280="","-",'ORDENES'!$E280))</f>
        <v/>
      </c>
      <c r="K302" s="12">
        <f>IF('ORDENES'!$A280="","",IF('ORDENES'!$N280="",0,'ORDENES'!$N280))</f>
        <v/>
      </c>
      <c r="L302" s="3">
        <f>IF('ORDENES'!$A280="","",IF('ORDENES'!$O280="","-",'ORDENES'!$O280))</f>
        <v/>
      </c>
      <c r="M302" s="3">
        <f>IF('ORDENES'!$A280="","",'ORDENES'!$AB280)</f>
        <v/>
      </c>
    </row>
    <row r="303">
      <c r="A303" s="3">
        <f>IF('ORDENES'!$A281="","",IF('ORDENES'!$P281="","-",'ORDENES'!$P281))</f>
        <v/>
      </c>
      <c r="B303" s="3">
        <f>IF('ORDENES'!$A281="","",IF('ORDENES'!$S281="","-",'ORDENES'!$S281))</f>
        <v/>
      </c>
      <c r="C303" s="3">
        <f>IF('ORDENES'!$A281="","",IF('ORDENES'!$AD281="","-",'ORDENES'!$AD281))</f>
        <v/>
      </c>
      <c r="D303" s="3">
        <f>IF('ORDENES'!$A281="","",IF('ORDENES'!$W281="","-",'ORDENES'!$W281))</f>
        <v/>
      </c>
      <c r="E303" s="3">
        <f>IF('ORDENES'!$A281="","",IF('ORDENES'!$V281="","-",'ORDENES'!$V281))</f>
        <v/>
      </c>
      <c r="F303" s="3">
        <f>IF('ORDENES'!$A281="","",IF('ORDENES'!$X281="","-",'ORDENES'!$X281))</f>
        <v/>
      </c>
      <c r="G303" s="3">
        <f>IF('ORDENES'!$A281="","",IF('ORDENES'!$AC281="","-",'ORDENES'!$AC281))</f>
        <v/>
      </c>
      <c r="H303" s="3">
        <f>IF('ORDENES'!$A281="","",IF('ORDENES'!$AO281="","-",'ORDENES'!$AO281))</f>
        <v/>
      </c>
      <c r="I303" s="3">
        <f>IF('ORDENES'!$A281="","",IF('ORDENES'!$D281="","-",'ORDENES'!$D281))</f>
        <v/>
      </c>
      <c r="J303" s="3">
        <f>IF('ORDENES'!$A281="","",IF('ORDENES'!$E281="","-",'ORDENES'!$E281))</f>
        <v/>
      </c>
      <c r="K303" s="12">
        <f>IF('ORDENES'!$A281="","",IF('ORDENES'!$N281="",0,'ORDENES'!$N281))</f>
        <v/>
      </c>
      <c r="L303" s="3">
        <f>IF('ORDENES'!$A281="","",IF('ORDENES'!$O281="","-",'ORDENES'!$O281))</f>
        <v/>
      </c>
      <c r="M303" s="3">
        <f>IF('ORDENES'!$A281="","",'ORDENES'!$AB281)</f>
        <v/>
      </c>
    </row>
    <row r="304">
      <c r="A304" s="3">
        <f>IF('ORDENES'!$A282="","",IF('ORDENES'!$P282="","-",'ORDENES'!$P282))</f>
        <v/>
      </c>
      <c r="B304" s="3">
        <f>IF('ORDENES'!$A282="","",IF('ORDENES'!$S282="","-",'ORDENES'!$S282))</f>
        <v/>
      </c>
      <c r="C304" s="3">
        <f>IF('ORDENES'!$A282="","",IF('ORDENES'!$AD282="","-",'ORDENES'!$AD282))</f>
        <v/>
      </c>
      <c r="D304" s="3">
        <f>IF('ORDENES'!$A282="","",IF('ORDENES'!$W282="","-",'ORDENES'!$W282))</f>
        <v/>
      </c>
      <c r="E304" s="3">
        <f>IF('ORDENES'!$A282="","",IF('ORDENES'!$V282="","-",'ORDENES'!$V282))</f>
        <v/>
      </c>
      <c r="F304" s="3">
        <f>IF('ORDENES'!$A282="","",IF('ORDENES'!$X282="","-",'ORDENES'!$X282))</f>
        <v/>
      </c>
      <c r="G304" s="3">
        <f>IF('ORDENES'!$A282="","",IF('ORDENES'!$AC282="","-",'ORDENES'!$AC282))</f>
        <v/>
      </c>
      <c r="H304" s="3">
        <f>IF('ORDENES'!$A282="","",IF('ORDENES'!$AO282="","-",'ORDENES'!$AO282))</f>
        <v/>
      </c>
      <c r="I304" s="3">
        <f>IF('ORDENES'!$A282="","",IF('ORDENES'!$D282="","-",'ORDENES'!$D282))</f>
        <v/>
      </c>
      <c r="J304" s="3">
        <f>IF('ORDENES'!$A282="","",IF('ORDENES'!$E282="","-",'ORDENES'!$E282))</f>
        <v/>
      </c>
      <c r="K304" s="12">
        <f>IF('ORDENES'!$A282="","",IF('ORDENES'!$N282="",0,'ORDENES'!$N282))</f>
        <v/>
      </c>
      <c r="L304" s="3">
        <f>IF('ORDENES'!$A282="","",IF('ORDENES'!$O282="","-",'ORDENES'!$O282))</f>
        <v/>
      </c>
      <c r="M304" s="3">
        <f>IF('ORDENES'!$A282="","",'ORDENES'!$AB282)</f>
        <v/>
      </c>
    </row>
    <row r="305">
      <c r="A305" s="3">
        <f>IF('ORDENES'!$A283="","",IF('ORDENES'!$P283="","-",'ORDENES'!$P283))</f>
        <v/>
      </c>
      <c r="B305" s="3">
        <f>IF('ORDENES'!$A283="","",IF('ORDENES'!$S283="","-",'ORDENES'!$S283))</f>
        <v/>
      </c>
      <c r="C305" s="3">
        <f>IF('ORDENES'!$A283="","",IF('ORDENES'!$AD283="","-",'ORDENES'!$AD283))</f>
        <v/>
      </c>
      <c r="D305" s="3">
        <f>IF('ORDENES'!$A283="","",IF('ORDENES'!$W283="","-",'ORDENES'!$W283))</f>
        <v/>
      </c>
      <c r="E305" s="3">
        <f>IF('ORDENES'!$A283="","",IF('ORDENES'!$V283="","-",'ORDENES'!$V283))</f>
        <v/>
      </c>
      <c r="F305" s="3">
        <f>IF('ORDENES'!$A283="","",IF('ORDENES'!$X283="","-",'ORDENES'!$X283))</f>
        <v/>
      </c>
      <c r="G305" s="3">
        <f>IF('ORDENES'!$A283="","",IF('ORDENES'!$AC283="","-",'ORDENES'!$AC283))</f>
        <v/>
      </c>
      <c r="H305" s="3">
        <f>IF('ORDENES'!$A283="","",IF('ORDENES'!$AO283="","-",'ORDENES'!$AO283))</f>
        <v/>
      </c>
      <c r="I305" s="3">
        <f>IF('ORDENES'!$A283="","",IF('ORDENES'!$D283="","-",'ORDENES'!$D283))</f>
        <v/>
      </c>
      <c r="J305" s="3">
        <f>IF('ORDENES'!$A283="","",IF('ORDENES'!$E283="","-",'ORDENES'!$E283))</f>
        <v/>
      </c>
      <c r="K305" s="12">
        <f>IF('ORDENES'!$A283="","",IF('ORDENES'!$N283="",0,'ORDENES'!$N283))</f>
        <v/>
      </c>
      <c r="L305" s="3">
        <f>IF('ORDENES'!$A283="","",IF('ORDENES'!$O283="","-",'ORDENES'!$O283))</f>
        <v/>
      </c>
      <c r="M305" s="3">
        <f>IF('ORDENES'!$A283="","",'ORDENES'!$AB283)</f>
        <v/>
      </c>
    </row>
    <row r="306">
      <c r="A306" s="3">
        <f>IF('ORDENES'!$A284="","",IF('ORDENES'!$P284="","-",'ORDENES'!$P284))</f>
        <v/>
      </c>
      <c r="B306" s="3">
        <f>IF('ORDENES'!$A284="","",IF('ORDENES'!$S284="","-",'ORDENES'!$S284))</f>
        <v/>
      </c>
      <c r="C306" s="3">
        <f>IF('ORDENES'!$A284="","",IF('ORDENES'!$AD284="","-",'ORDENES'!$AD284))</f>
        <v/>
      </c>
      <c r="D306" s="3">
        <f>IF('ORDENES'!$A284="","",IF('ORDENES'!$W284="","-",'ORDENES'!$W284))</f>
        <v/>
      </c>
      <c r="E306" s="3">
        <f>IF('ORDENES'!$A284="","",IF('ORDENES'!$V284="","-",'ORDENES'!$V284))</f>
        <v/>
      </c>
      <c r="F306" s="3">
        <f>IF('ORDENES'!$A284="","",IF('ORDENES'!$X284="","-",'ORDENES'!$X284))</f>
        <v/>
      </c>
      <c r="G306" s="3">
        <f>IF('ORDENES'!$A284="","",IF('ORDENES'!$AC284="","-",'ORDENES'!$AC284))</f>
        <v/>
      </c>
      <c r="H306" s="3">
        <f>IF('ORDENES'!$A284="","",IF('ORDENES'!$AO284="","-",'ORDENES'!$AO284))</f>
        <v/>
      </c>
      <c r="I306" s="3">
        <f>IF('ORDENES'!$A284="","",IF('ORDENES'!$D284="","-",'ORDENES'!$D284))</f>
        <v/>
      </c>
      <c r="J306" s="3">
        <f>IF('ORDENES'!$A284="","",IF('ORDENES'!$E284="","-",'ORDENES'!$E284))</f>
        <v/>
      </c>
      <c r="K306" s="12">
        <f>IF('ORDENES'!$A284="","",IF('ORDENES'!$N284="",0,'ORDENES'!$N284))</f>
        <v/>
      </c>
      <c r="L306" s="3">
        <f>IF('ORDENES'!$A284="","",IF('ORDENES'!$O284="","-",'ORDENES'!$O284))</f>
        <v/>
      </c>
      <c r="M306" s="3">
        <f>IF('ORDENES'!$A284="","",'ORDENES'!$AB284)</f>
        <v/>
      </c>
    </row>
    <row r="307">
      <c r="A307" s="3">
        <f>IF('ORDENES'!$A285="","",IF('ORDENES'!$P285="","-",'ORDENES'!$P285))</f>
        <v/>
      </c>
      <c r="B307" s="3">
        <f>IF('ORDENES'!$A285="","",IF('ORDENES'!$S285="","-",'ORDENES'!$S285))</f>
        <v/>
      </c>
      <c r="C307" s="3">
        <f>IF('ORDENES'!$A285="","",IF('ORDENES'!$AD285="","-",'ORDENES'!$AD285))</f>
        <v/>
      </c>
      <c r="D307" s="3">
        <f>IF('ORDENES'!$A285="","",IF('ORDENES'!$W285="","-",'ORDENES'!$W285))</f>
        <v/>
      </c>
      <c r="E307" s="3">
        <f>IF('ORDENES'!$A285="","",IF('ORDENES'!$V285="","-",'ORDENES'!$V285))</f>
        <v/>
      </c>
      <c r="F307" s="3">
        <f>IF('ORDENES'!$A285="","",IF('ORDENES'!$X285="","-",'ORDENES'!$X285))</f>
        <v/>
      </c>
      <c r="G307" s="3">
        <f>IF('ORDENES'!$A285="","",IF('ORDENES'!$AC285="","-",'ORDENES'!$AC285))</f>
        <v/>
      </c>
      <c r="H307" s="3">
        <f>IF('ORDENES'!$A285="","",IF('ORDENES'!$AO285="","-",'ORDENES'!$AO285))</f>
        <v/>
      </c>
      <c r="I307" s="3">
        <f>IF('ORDENES'!$A285="","",IF('ORDENES'!$D285="","-",'ORDENES'!$D285))</f>
        <v/>
      </c>
      <c r="J307" s="3">
        <f>IF('ORDENES'!$A285="","",IF('ORDENES'!$E285="","-",'ORDENES'!$E285))</f>
        <v/>
      </c>
      <c r="K307" s="12">
        <f>IF('ORDENES'!$A285="","",IF('ORDENES'!$N285="",0,'ORDENES'!$N285))</f>
        <v/>
      </c>
      <c r="L307" s="3">
        <f>IF('ORDENES'!$A285="","",IF('ORDENES'!$O285="","-",'ORDENES'!$O285))</f>
        <v/>
      </c>
      <c r="M307" s="3">
        <f>IF('ORDENES'!$A285="","",'ORDENES'!$AB285)</f>
        <v/>
      </c>
    </row>
    <row r="308">
      <c r="A308" s="3">
        <f>IF('ORDENES'!$A286="","",IF('ORDENES'!$P286="","-",'ORDENES'!$P286))</f>
        <v/>
      </c>
      <c r="B308" s="3">
        <f>IF('ORDENES'!$A286="","",IF('ORDENES'!$S286="","-",'ORDENES'!$S286))</f>
        <v/>
      </c>
      <c r="C308" s="3">
        <f>IF('ORDENES'!$A286="","",IF('ORDENES'!$AD286="","-",'ORDENES'!$AD286))</f>
        <v/>
      </c>
      <c r="D308" s="3">
        <f>IF('ORDENES'!$A286="","",IF('ORDENES'!$W286="","-",'ORDENES'!$W286))</f>
        <v/>
      </c>
      <c r="E308" s="3">
        <f>IF('ORDENES'!$A286="","",IF('ORDENES'!$V286="","-",'ORDENES'!$V286))</f>
        <v/>
      </c>
      <c r="F308" s="3">
        <f>IF('ORDENES'!$A286="","",IF('ORDENES'!$X286="","-",'ORDENES'!$X286))</f>
        <v/>
      </c>
      <c r="G308" s="3">
        <f>IF('ORDENES'!$A286="","",IF('ORDENES'!$AC286="","-",'ORDENES'!$AC286))</f>
        <v/>
      </c>
      <c r="H308" s="3">
        <f>IF('ORDENES'!$A286="","",IF('ORDENES'!$AO286="","-",'ORDENES'!$AO286))</f>
        <v/>
      </c>
      <c r="I308" s="3">
        <f>IF('ORDENES'!$A286="","",IF('ORDENES'!$D286="","-",'ORDENES'!$D286))</f>
        <v/>
      </c>
      <c r="J308" s="3">
        <f>IF('ORDENES'!$A286="","",IF('ORDENES'!$E286="","-",'ORDENES'!$E286))</f>
        <v/>
      </c>
      <c r="K308" s="12">
        <f>IF('ORDENES'!$A286="","",IF('ORDENES'!$N286="",0,'ORDENES'!$N286))</f>
        <v/>
      </c>
      <c r="L308" s="3">
        <f>IF('ORDENES'!$A286="","",IF('ORDENES'!$O286="","-",'ORDENES'!$O286))</f>
        <v/>
      </c>
      <c r="M308" s="3">
        <f>IF('ORDENES'!$A286="","",'ORDENES'!$AB286)</f>
        <v/>
      </c>
    </row>
    <row r="309">
      <c r="A309" s="3">
        <f>IF('ORDENES'!$A287="","",IF('ORDENES'!$P287="","-",'ORDENES'!$P287))</f>
        <v/>
      </c>
      <c r="B309" s="3">
        <f>IF('ORDENES'!$A287="","",IF('ORDENES'!$S287="","-",'ORDENES'!$S287))</f>
        <v/>
      </c>
      <c r="C309" s="3">
        <f>IF('ORDENES'!$A287="","",IF('ORDENES'!$AD287="","-",'ORDENES'!$AD287))</f>
        <v/>
      </c>
      <c r="D309" s="3">
        <f>IF('ORDENES'!$A287="","",IF('ORDENES'!$W287="","-",'ORDENES'!$W287))</f>
        <v/>
      </c>
      <c r="E309" s="3">
        <f>IF('ORDENES'!$A287="","",IF('ORDENES'!$V287="","-",'ORDENES'!$V287))</f>
        <v/>
      </c>
      <c r="F309" s="3">
        <f>IF('ORDENES'!$A287="","",IF('ORDENES'!$X287="","-",'ORDENES'!$X287))</f>
        <v/>
      </c>
      <c r="G309" s="3">
        <f>IF('ORDENES'!$A287="","",IF('ORDENES'!$AC287="","-",'ORDENES'!$AC287))</f>
        <v/>
      </c>
      <c r="H309" s="3">
        <f>IF('ORDENES'!$A287="","",IF('ORDENES'!$AO287="","-",'ORDENES'!$AO287))</f>
        <v/>
      </c>
      <c r="I309" s="3">
        <f>IF('ORDENES'!$A287="","",IF('ORDENES'!$D287="","-",'ORDENES'!$D287))</f>
        <v/>
      </c>
      <c r="J309" s="3">
        <f>IF('ORDENES'!$A287="","",IF('ORDENES'!$E287="","-",'ORDENES'!$E287))</f>
        <v/>
      </c>
      <c r="K309" s="12">
        <f>IF('ORDENES'!$A287="","",IF('ORDENES'!$N287="",0,'ORDENES'!$N287))</f>
        <v/>
      </c>
      <c r="L309" s="3">
        <f>IF('ORDENES'!$A287="","",IF('ORDENES'!$O287="","-",'ORDENES'!$O287))</f>
        <v/>
      </c>
      <c r="M309" s="3">
        <f>IF('ORDENES'!$A287="","",'ORDENES'!$AB287)</f>
        <v/>
      </c>
    </row>
    <row r="310">
      <c r="A310" s="3">
        <f>IF('ORDENES'!$A288="","",IF('ORDENES'!$P288="","-",'ORDENES'!$P288))</f>
        <v/>
      </c>
      <c r="B310" s="3">
        <f>IF('ORDENES'!$A288="","",IF('ORDENES'!$S288="","-",'ORDENES'!$S288))</f>
        <v/>
      </c>
      <c r="C310" s="3">
        <f>IF('ORDENES'!$A288="","",IF('ORDENES'!$AD288="","-",'ORDENES'!$AD288))</f>
        <v/>
      </c>
      <c r="D310" s="3">
        <f>IF('ORDENES'!$A288="","",IF('ORDENES'!$W288="","-",'ORDENES'!$W288))</f>
        <v/>
      </c>
      <c r="E310" s="3">
        <f>IF('ORDENES'!$A288="","",IF('ORDENES'!$V288="","-",'ORDENES'!$V288))</f>
        <v/>
      </c>
      <c r="F310" s="3">
        <f>IF('ORDENES'!$A288="","",IF('ORDENES'!$X288="","-",'ORDENES'!$X288))</f>
        <v/>
      </c>
      <c r="G310" s="3">
        <f>IF('ORDENES'!$A288="","",IF('ORDENES'!$AC288="","-",'ORDENES'!$AC288))</f>
        <v/>
      </c>
      <c r="H310" s="3">
        <f>IF('ORDENES'!$A288="","",IF('ORDENES'!$AO288="","-",'ORDENES'!$AO288))</f>
        <v/>
      </c>
      <c r="I310" s="3">
        <f>IF('ORDENES'!$A288="","",IF('ORDENES'!$D288="","-",'ORDENES'!$D288))</f>
        <v/>
      </c>
      <c r="J310" s="3">
        <f>IF('ORDENES'!$A288="","",IF('ORDENES'!$E288="","-",'ORDENES'!$E288))</f>
        <v/>
      </c>
      <c r="K310" s="12">
        <f>IF('ORDENES'!$A288="","",IF('ORDENES'!$N288="",0,'ORDENES'!$N288))</f>
        <v/>
      </c>
      <c r="L310" s="3">
        <f>IF('ORDENES'!$A288="","",IF('ORDENES'!$O288="","-",'ORDENES'!$O288))</f>
        <v/>
      </c>
      <c r="M310" s="3">
        <f>IF('ORDENES'!$A288="","",'ORDENES'!$AB288)</f>
        <v/>
      </c>
    </row>
    <row r="311">
      <c r="A311" s="3">
        <f>IF('ORDENES'!$A289="","",IF('ORDENES'!$P289="","-",'ORDENES'!$P289))</f>
        <v/>
      </c>
      <c r="B311" s="3">
        <f>IF('ORDENES'!$A289="","",IF('ORDENES'!$S289="","-",'ORDENES'!$S289))</f>
        <v/>
      </c>
      <c r="C311" s="3">
        <f>IF('ORDENES'!$A289="","",IF('ORDENES'!$AD289="","-",'ORDENES'!$AD289))</f>
        <v/>
      </c>
      <c r="D311" s="3">
        <f>IF('ORDENES'!$A289="","",IF('ORDENES'!$W289="","-",'ORDENES'!$W289))</f>
        <v/>
      </c>
      <c r="E311" s="3">
        <f>IF('ORDENES'!$A289="","",IF('ORDENES'!$V289="","-",'ORDENES'!$V289))</f>
        <v/>
      </c>
      <c r="F311" s="3">
        <f>IF('ORDENES'!$A289="","",IF('ORDENES'!$X289="","-",'ORDENES'!$X289))</f>
        <v/>
      </c>
      <c r="G311" s="3">
        <f>IF('ORDENES'!$A289="","",IF('ORDENES'!$AC289="","-",'ORDENES'!$AC289))</f>
        <v/>
      </c>
      <c r="H311" s="3">
        <f>IF('ORDENES'!$A289="","",IF('ORDENES'!$AO289="","-",'ORDENES'!$AO289))</f>
        <v/>
      </c>
      <c r="I311" s="3">
        <f>IF('ORDENES'!$A289="","",IF('ORDENES'!$D289="","-",'ORDENES'!$D289))</f>
        <v/>
      </c>
      <c r="J311" s="3">
        <f>IF('ORDENES'!$A289="","",IF('ORDENES'!$E289="","-",'ORDENES'!$E289))</f>
        <v/>
      </c>
      <c r="K311" s="12">
        <f>IF('ORDENES'!$A289="","",IF('ORDENES'!$N289="",0,'ORDENES'!$N289))</f>
        <v/>
      </c>
      <c r="L311" s="3">
        <f>IF('ORDENES'!$A289="","",IF('ORDENES'!$O289="","-",'ORDENES'!$O289))</f>
        <v/>
      </c>
      <c r="M311" s="3">
        <f>IF('ORDENES'!$A289="","",'ORDENES'!$AB289)</f>
        <v/>
      </c>
    </row>
    <row r="312">
      <c r="A312" s="3">
        <f>IF('ORDENES'!$A290="","",IF('ORDENES'!$P290="","-",'ORDENES'!$P290))</f>
        <v/>
      </c>
      <c r="B312" s="3">
        <f>IF('ORDENES'!$A290="","",IF('ORDENES'!$S290="","-",'ORDENES'!$S290))</f>
        <v/>
      </c>
      <c r="C312" s="3">
        <f>IF('ORDENES'!$A290="","",IF('ORDENES'!$AD290="","-",'ORDENES'!$AD290))</f>
        <v/>
      </c>
      <c r="D312" s="3">
        <f>IF('ORDENES'!$A290="","",IF('ORDENES'!$W290="","-",'ORDENES'!$W290))</f>
        <v/>
      </c>
      <c r="E312" s="3">
        <f>IF('ORDENES'!$A290="","",IF('ORDENES'!$V290="","-",'ORDENES'!$V290))</f>
        <v/>
      </c>
      <c r="F312" s="3">
        <f>IF('ORDENES'!$A290="","",IF('ORDENES'!$X290="","-",'ORDENES'!$X290))</f>
        <v/>
      </c>
      <c r="G312" s="3">
        <f>IF('ORDENES'!$A290="","",IF('ORDENES'!$AC290="","-",'ORDENES'!$AC290))</f>
        <v/>
      </c>
      <c r="H312" s="3">
        <f>IF('ORDENES'!$A290="","",IF('ORDENES'!$AO290="","-",'ORDENES'!$AO290))</f>
        <v/>
      </c>
      <c r="I312" s="3">
        <f>IF('ORDENES'!$A290="","",IF('ORDENES'!$D290="","-",'ORDENES'!$D290))</f>
        <v/>
      </c>
      <c r="J312" s="3">
        <f>IF('ORDENES'!$A290="","",IF('ORDENES'!$E290="","-",'ORDENES'!$E290))</f>
        <v/>
      </c>
      <c r="K312" s="12">
        <f>IF('ORDENES'!$A290="","",IF('ORDENES'!$N290="",0,'ORDENES'!$N290))</f>
        <v/>
      </c>
      <c r="L312" s="3">
        <f>IF('ORDENES'!$A290="","",IF('ORDENES'!$O290="","-",'ORDENES'!$O290))</f>
        <v/>
      </c>
      <c r="M312" s="3">
        <f>IF('ORDENES'!$A290="","",'ORDENES'!$AB290)</f>
        <v/>
      </c>
    </row>
    <row r="313">
      <c r="A313" s="3">
        <f>IF('ORDENES'!$A291="","",IF('ORDENES'!$P291="","-",'ORDENES'!$P291))</f>
        <v/>
      </c>
      <c r="B313" s="3">
        <f>IF('ORDENES'!$A291="","",IF('ORDENES'!$S291="","-",'ORDENES'!$S291))</f>
        <v/>
      </c>
      <c r="C313" s="3">
        <f>IF('ORDENES'!$A291="","",IF('ORDENES'!$AD291="","-",'ORDENES'!$AD291))</f>
        <v/>
      </c>
      <c r="D313" s="3">
        <f>IF('ORDENES'!$A291="","",IF('ORDENES'!$W291="","-",'ORDENES'!$W291))</f>
        <v/>
      </c>
      <c r="E313" s="3">
        <f>IF('ORDENES'!$A291="","",IF('ORDENES'!$V291="","-",'ORDENES'!$V291))</f>
        <v/>
      </c>
      <c r="F313" s="3">
        <f>IF('ORDENES'!$A291="","",IF('ORDENES'!$X291="","-",'ORDENES'!$X291))</f>
        <v/>
      </c>
      <c r="G313" s="3">
        <f>IF('ORDENES'!$A291="","",IF('ORDENES'!$AC291="","-",'ORDENES'!$AC291))</f>
        <v/>
      </c>
      <c r="H313" s="3">
        <f>IF('ORDENES'!$A291="","",IF('ORDENES'!$AO291="","-",'ORDENES'!$AO291))</f>
        <v/>
      </c>
      <c r="I313" s="3">
        <f>IF('ORDENES'!$A291="","",IF('ORDENES'!$D291="","-",'ORDENES'!$D291))</f>
        <v/>
      </c>
      <c r="J313" s="3">
        <f>IF('ORDENES'!$A291="","",IF('ORDENES'!$E291="","-",'ORDENES'!$E291))</f>
        <v/>
      </c>
      <c r="K313" s="12">
        <f>IF('ORDENES'!$A291="","",IF('ORDENES'!$N291="",0,'ORDENES'!$N291))</f>
        <v/>
      </c>
      <c r="L313" s="3">
        <f>IF('ORDENES'!$A291="","",IF('ORDENES'!$O291="","-",'ORDENES'!$O291))</f>
        <v/>
      </c>
      <c r="M313" s="3">
        <f>IF('ORDENES'!$A291="","",'ORDENES'!$AB291)</f>
        <v/>
      </c>
    </row>
    <row r="314">
      <c r="A314" s="3">
        <f>IF('ORDENES'!$A292="","",IF('ORDENES'!$P292="","-",'ORDENES'!$P292))</f>
        <v/>
      </c>
      <c r="B314" s="3">
        <f>IF('ORDENES'!$A292="","",IF('ORDENES'!$S292="","-",'ORDENES'!$S292))</f>
        <v/>
      </c>
      <c r="C314" s="3">
        <f>IF('ORDENES'!$A292="","",IF('ORDENES'!$AD292="","-",'ORDENES'!$AD292))</f>
        <v/>
      </c>
      <c r="D314" s="3">
        <f>IF('ORDENES'!$A292="","",IF('ORDENES'!$W292="","-",'ORDENES'!$W292))</f>
        <v/>
      </c>
      <c r="E314" s="3">
        <f>IF('ORDENES'!$A292="","",IF('ORDENES'!$V292="","-",'ORDENES'!$V292))</f>
        <v/>
      </c>
      <c r="F314" s="3">
        <f>IF('ORDENES'!$A292="","",IF('ORDENES'!$X292="","-",'ORDENES'!$X292))</f>
        <v/>
      </c>
      <c r="G314" s="3">
        <f>IF('ORDENES'!$A292="","",IF('ORDENES'!$AC292="","-",'ORDENES'!$AC292))</f>
        <v/>
      </c>
      <c r="H314" s="3">
        <f>IF('ORDENES'!$A292="","",IF('ORDENES'!$AO292="","-",'ORDENES'!$AO292))</f>
        <v/>
      </c>
      <c r="I314" s="3">
        <f>IF('ORDENES'!$A292="","",IF('ORDENES'!$D292="","-",'ORDENES'!$D292))</f>
        <v/>
      </c>
      <c r="J314" s="3">
        <f>IF('ORDENES'!$A292="","",IF('ORDENES'!$E292="","-",'ORDENES'!$E292))</f>
        <v/>
      </c>
      <c r="K314" s="12">
        <f>IF('ORDENES'!$A292="","",IF('ORDENES'!$N292="",0,'ORDENES'!$N292))</f>
        <v/>
      </c>
      <c r="L314" s="3">
        <f>IF('ORDENES'!$A292="","",IF('ORDENES'!$O292="","-",'ORDENES'!$O292))</f>
        <v/>
      </c>
      <c r="M314" s="3">
        <f>IF('ORDENES'!$A292="","",'ORDENES'!$AB292)</f>
        <v/>
      </c>
    </row>
    <row r="315">
      <c r="A315" s="3">
        <f>IF('ORDENES'!$A293="","",IF('ORDENES'!$P293="","-",'ORDENES'!$P293))</f>
        <v/>
      </c>
      <c r="B315" s="3">
        <f>IF('ORDENES'!$A293="","",IF('ORDENES'!$S293="","-",'ORDENES'!$S293))</f>
        <v/>
      </c>
      <c r="C315" s="3">
        <f>IF('ORDENES'!$A293="","",IF('ORDENES'!$AD293="","-",'ORDENES'!$AD293))</f>
        <v/>
      </c>
      <c r="D315" s="3">
        <f>IF('ORDENES'!$A293="","",IF('ORDENES'!$W293="","-",'ORDENES'!$W293))</f>
        <v/>
      </c>
      <c r="E315" s="3">
        <f>IF('ORDENES'!$A293="","",IF('ORDENES'!$V293="","-",'ORDENES'!$V293))</f>
        <v/>
      </c>
      <c r="F315" s="3">
        <f>IF('ORDENES'!$A293="","",IF('ORDENES'!$X293="","-",'ORDENES'!$X293))</f>
        <v/>
      </c>
      <c r="G315" s="3">
        <f>IF('ORDENES'!$A293="","",IF('ORDENES'!$AC293="","-",'ORDENES'!$AC293))</f>
        <v/>
      </c>
      <c r="H315" s="3">
        <f>IF('ORDENES'!$A293="","",IF('ORDENES'!$AO293="","-",'ORDENES'!$AO293))</f>
        <v/>
      </c>
      <c r="I315" s="3">
        <f>IF('ORDENES'!$A293="","",IF('ORDENES'!$D293="","-",'ORDENES'!$D293))</f>
        <v/>
      </c>
      <c r="J315" s="3">
        <f>IF('ORDENES'!$A293="","",IF('ORDENES'!$E293="","-",'ORDENES'!$E293))</f>
        <v/>
      </c>
      <c r="K315" s="12">
        <f>IF('ORDENES'!$A293="","",IF('ORDENES'!$N293="",0,'ORDENES'!$N293))</f>
        <v/>
      </c>
      <c r="L315" s="3">
        <f>IF('ORDENES'!$A293="","",IF('ORDENES'!$O293="","-",'ORDENES'!$O293))</f>
        <v/>
      </c>
      <c r="M315" s="3">
        <f>IF('ORDENES'!$A293="","",'ORDENES'!$AB293)</f>
        <v/>
      </c>
    </row>
    <row r="316">
      <c r="A316" s="3">
        <f>IF('ORDENES'!$A294="","",IF('ORDENES'!$P294="","-",'ORDENES'!$P294))</f>
        <v/>
      </c>
      <c r="B316" s="3">
        <f>IF('ORDENES'!$A294="","",IF('ORDENES'!$S294="","-",'ORDENES'!$S294))</f>
        <v/>
      </c>
      <c r="C316" s="3">
        <f>IF('ORDENES'!$A294="","",IF('ORDENES'!$AD294="","-",'ORDENES'!$AD294))</f>
        <v/>
      </c>
      <c r="D316" s="3">
        <f>IF('ORDENES'!$A294="","",IF('ORDENES'!$W294="","-",'ORDENES'!$W294))</f>
        <v/>
      </c>
      <c r="E316" s="3">
        <f>IF('ORDENES'!$A294="","",IF('ORDENES'!$V294="","-",'ORDENES'!$V294))</f>
        <v/>
      </c>
      <c r="F316" s="3">
        <f>IF('ORDENES'!$A294="","",IF('ORDENES'!$X294="","-",'ORDENES'!$X294))</f>
        <v/>
      </c>
      <c r="G316" s="3">
        <f>IF('ORDENES'!$A294="","",IF('ORDENES'!$AC294="","-",'ORDENES'!$AC294))</f>
        <v/>
      </c>
      <c r="H316" s="3">
        <f>IF('ORDENES'!$A294="","",IF('ORDENES'!$AO294="","-",'ORDENES'!$AO294))</f>
        <v/>
      </c>
      <c r="I316" s="3">
        <f>IF('ORDENES'!$A294="","",IF('ORDENES'!$D294="","-",'ORDENES'!$D294))</f>
        <v/>
      </c>
      <c r="J316" s="3">
        <f>IF('ORDENES'!$A294="","",IF('ORDENES'!$E294="","-",'ORDENES'!$E294))</f>
        <v/>
      </c>
      <c r="K316" s="12">
        <f>IF('ORDENES'!$A294="","",IF('ORDENES'!$N294="",0,'ORDENES'!$N294))</f>
        <v/>
      </c>
      <c r="L316" s="3">
        <f>IF('ORDENES'!$A294="","",IF('ORDENES'!$O294="","-",'ORDENES'!$O294))</f>
        <v/>
      </c>
      <c r="M316" s="3">
        <f>IF('ORDENES'!$A294="","",'ORDENES'!$AB294)</f>
        <v/>
      </c>
    </row>
    <row r="317">
      <c r="A317" s="3">
        <f>IF('ORDENES'!$A295="","",IF('ORDENES'!$P295="","-",'ORDENES'!$P295))</f>
        <v/>
      </c>
      <c r="B317" s="3">
        <f>IF('ORDENES'!$A295="","",IF('ORDENES'!$S295="","-",'ORDENES'!$S295))</f>
        <v/>
      </c>
      <c r="C317" s="3">
        <f>IF('ORDENES'!$A295="","",IF('ORDENES'!$AD295="","-",'ORDENES'!$AD295))</f>
        <v/>
      </c>
      <c r="D317" s="3">
        <f>IF('ORDENES'!$A295="","",IF('ORDENES'!$W295="","-",'ORDENES'!$W295))</f>
        <v/>
      </c>
      <c r="E317" s="3">
        <f>IF('ORDENES'!$A295="","",IF('ORDENES'!$V295="","-",'ORDENES'!$V295))</f>
        <v/>
      </c>
      <c r="F317" s="3">
        <f>IF('ORDENES'!$A295="","",IF('ORDENES'!$X295="","-",'ORDENES'!$X295))</f>
        <v/>
      </c>
      <c r="G317" s="3">
        <f>IF('ORDENES'!$A295="","",IF('ORDENES'!$AC295="","-",'ORDENES'!$AC295))</f>
        <v/>
      </c>
      <c r="H317" s="3">
        <f>IF('ORDENES'!$A295="","",IF('ORDENES'!$AO295="","-",'ORDENES'!$AO295))</f>
        <v/>
      </c>
      <c r="I317" s="3">
        <f>IF('ORDENES'!$A295="","",IF('ORDENES'!$D295="","-",'ORDENES'!$D295))</f>
        <v/>
      </c>
      <c r="J317" s="3">
        <f>IF('ORDENES'!$A295="","",IF('ORDENES'!$E295="","-",'ORDENES'!$E295))</f>
        <v/>
      </c>
      <c r="K317" s="12">
        <f>IF('ORDENES'!$A295="","",IF('ORDENES'!$N295="",0,'ORDENES'!$N295))</f>
        <v/>
      </c>
      <c r="L317" s="3">
        <f>IF('ORDENES'!$A295="","",IF('ORDENES'!$O295="","-",'ORDENES'!$O295))</f>
        <v/>
      </c>
      <c r="M317" s="3">
        <f>IF('ORDENES'!$A295="","",'ORDENES'!$AB295)</f>
        <v/>
      </c>
    </row>
    <row r="318">
      <c r="A318" s="3">
        <f>IF('ORDENES'!$A296="","",IF('ORDENES'!$P296="","-",'ORDENES'!$P296))</f>
        <v/>
      </c>
      <c r="B318" s="3">
        <f>IF('ORDENES'!$A296="","",IF('ORDENES'!$S296="","-",'ORDENES'!$S296))</f>
        <v/>
      </c>
      <c r="C318" s="3">
        <f>IF('ORDENES'!$A296="","",IF('ORDENES'!$AD296="","-",'ORDENES'!$AD296))</f>
        <v/>
      </c>
      <c r="D318" s="3">
        <f>IF('ORDENES'!$A296="","",IF('ORDENES'!$W296="","-",'ORDENES'!$W296))</f>
        <v/>
      </c>
      <c r="E318" s="3">
        <f>IF('ORDENES'!$A296="","",IF('ORDENES'!$V296="","-",'ORDENES'!$V296))</f>
        <v/>
      </c>
      <c r="F318" s="3">
        <f>IF('ORDENES'!$A296="","",IF('ORDENES'!$X296="","-",'ORDENES'!$X296))</f>
        <v/>
      </c>
      <c r="G318" s="3">
        <f>IF('ORDENES'!$A296="","",IF('ORDENES'!$AC296="","-",'ORDENES'!$AC296))</f>
        <v/>
      </c>
      <c r="H318" s="3">
        <f>IF('ORDENES'!$A296="","",IF('ORDENES'!$AO296="","-",'ORDENES'!$AO296))</f>
        <v/>
      </c>
      <c r="I318" s="3">
        <f>IF('ORDENES'!$A296="","",IF('ORDENES'!$D296="","-",'ORDENES'!$D296))</f>
        <v/>
      </c>
      <c r="J318" s="3">
        <f>IF('ORDENES'!$A296="","",IF('ORDENES'!$E296="","-",'ORDENES'!$E296))</f>
        <v/>
      </c>
      <c r="K318" s="12">
        <f>IF('ORDENES'!$A296="","",IF('ORDENES'!$N296="",0,'ORDENES'!$N296))</f>
        <v/>
      </c>
      <c r="L318" s="3">
        <f>IF('ORDENES'!$A296="","",IF('ORDENES'!$O296="","-",'ORDENES'!$O296))</f>
        <v/>
      </c>
      <c r="M318" s="3">
        <f>IF('ORDENES'!$A296="","",'ORDENES'!$AB296)</f>
        <v/>
      </c>
    </row>
    <row r="319">
      <c r="A319" s="3">
        <f>IF('ORDENES'!$A297="","",IF('ORDENES'!$P297="","-",'ORDENES'!$P297))</f>
        <v/>
      </c>
      <c r="B319" s="3">
        <f>IF('ORDENES'!$A297="","",IF('ORDENES'!$S297="","-",'ORDENES'!$S297))</f>
        <v/>
      </c>
      <c r="C319" s="3">
        <f>IF('ORDENES'!$A297="","",IF('ORDENES'!$AD297="","-",'ORDENES'!$AD297))</f>
        <v/>
      </c>
      <c r="D319" s="3">
        <f>IF('ORDENES'!$A297="","",IF('ORDENES'!$W297="","-",'ORDENES'!$W297))</f>
        <v/>
      </c>
      <c r="E319" s="3">
        <f>IF('ORDENES'!$A297="","",IF('ORDENES'!$V297="","-",'ORDENES'!$V297))</f>
        <v/>
      </c>
      <c r="F319" s="3">
        <f>IF('ORDENES'!$A297="","",IF('ORDENES'!$X297="","-",'ORDENES'!$X297))</f>
        <v/>
      </c>
      <c r="G319" s="3">
        <f>IF('ORDENES'!$A297="","",IF('ORDENES'!$AC297="","-",'ORDENES'!$AC297))</f>
        <v/>
      </c>
      <c r="H319" s="3">
        <f>IF('ORDENES'!$A297="","",IF('ORDENES'!$AO297="","-",'ORDENES'!$AO297))</f>
        <v/>
      </c>
      <c r="I319" s="3">
        <f>IF('ORDENES'!$A297="","",IF('ORDENES'!$D297="","-",'ORDENES'!$D297))</f>
        <v/>
      </c>
      <c r="J319" s="3">
        <f>IF('ORDENES'!$A297="","",IF('ORDENES'!$E297="","-",'ORDENES'!$E297))</f>
        <v/>
      </c>
      <c r="K319" s="12">
        <f>IF('ORDENES'!$A297="","",IF('ORDENES'!$N297="",0,'ORDENES'!$N297))</f>
        <v/>
      </c>
      <c r="L319" s="3">
        <f>IF('ORDENES'!$A297="","",IF('ORDENES'!$O297="","-",'ORDENES'!$O297))</f>
        <v/>
      </c>
      <c r="M319" s="3">
        <f>IF('ORDENES'!$A297="","",'ORDENES'!$AB297)</f>
        <v/>
      </c>
    </row>
    <row r="320">
      <c r="A320" s="3">
        <f>IF('ORDENES'!$A298="","",IF('ORDENES'!$P298="","-",'ORDENES'!$P298))</f>
        <v/>
      </c>
      <c r="B320" s="3">
        <f>IF('ORDENES'!$A298="","",IF('ORDENES'!$S298="","-",'ORDENES'!$S298))</f>
        <v/>
      </c>
      <c r="C320" s="3">
        <f>IF('ORDENES'!$A298="","",IF('ORDENES'!$AD298="","-",'ORDENES'!$AD298))</f>
        <v/>
      </c>
      <c r="D320" s="3">
        <f>IF('ORDENES'!$A298="","",IF('ORDENES'!$W298="","-",'ORDENES'!$W298))</f>
        <v/>
      </c>
      <c r="E320" s="3">
        <f>IF('ORDENES'!$A298="","",IF('ORDENES'!$V298="","-",'ORDENES'!$V298))</f>
        <v/>
      </c>
      <c r="F320" s="3">
        <f>IF('ORDENES'!$A298="","",IF('ORDENES'!$X298="","-",'ORDENES'!$X298))</f>
        <v/>
      </c>
      <c r="G320" s="3">
        <f>IF('ORDENES'!$A298="","",IF('ORDENES'!$AC298="","-",'ORDENES'!$AC298))</f>
        <v/>
      </c>
      <c r="H320" s="3">
        <f>IF('ORDENES'!$A298="","",IF('ORDENES'!$AO298="","-",'ORDENES'!$AO298))</f>
        <v/>
      </c>
      <c r="I320" s="3">
        <f>IF('ORDENES'!$A298="","",IF('ORDENES'!$D298="","-",'ORDENES'!$D298))</f>
        <v/>
      </c>
      <c r="J320" s="3">
        <f>IF('ORDENES'!$A298="","",IF('ORDENES'!$E298="","-",'ORDENES'!$E298))</f>
        <v/>
      </c>
      <c r="K320" s="12">
        <f>IF('ORDENES'!$A298="","",IF('ORDENES'!$N298="",0,'ORDENES'!$N298))</f>
        <v/>
      </c>
      <c r="L320" s="3">
        <f>IF('ORDENES'!$A298="","",IF('ORDENES'!$O298="","-",'ORDENES'!$O298))</f>
        <v/>
      </c>
      <c r="M320" s="3">
        <f>IF('ORDENES'!$A298="","",'ORDENES'!$AB298)</f>
        <v/>
      </c>
    </row>
    <row r="321">
      <c r="A321" s="3">
        <f>IF('ORDENES'!$A299="","",IF('ORDENES'!$P299="","-",'ORDENES'!$P299))</f>
        <v/>
      </c>
      <c r="B321" s="3">
        <f>IF('ORDENES'!$A299="","",IF('ORDENES'!$S299="","-",'ORDENES'!$S299))</f>
        <v/>
      </c>
      <c r="C321" s="3">
        <f>IF('ORDENES'!$A299="","",IF('ORDENES'!$AD299="","-",'ORDENES'!$AD299))</f>
        <v/>
      </c>
      <c r="D321" s="3">
        <f>IF('ORDENES'!$A299="","",IF('ORDENES'!$W299="","-",'ORDENES'!$W299))</f>
        <v/>
      </c>
      <c r="E321" s="3">
        <f>IF('ORDENES'!$A299="","",IF('ORDENES'!$V299="","-",'ORDENES'!$V299))</f>
        <v/>
      </c>
      <c r="F321" s="3">
        <f>IF('ORDENES'!$A299="","",IF('ORDENES'!$X299="","-",'ORDENES'!$X299))</f>
        <v/>
      </c>
      <c r="G321" s="3">
        <f>IF('ORDENES'!$A299="","",IF('ORDENES'!$AC299="","-",'ORDENES'!$AC299))</f>
        <v/>
      </c>
      <c r="H321" s="3">
        <f>IF('ORDENES'!$A299="","",IF('ORDENES'!$AO299="","-",'ORDENES'!$AO299))</f>
        <v/>
      </c>
      <c r="I321" s="3">
        <f>IF('ORDENES'!$A299="","",IF('ORDENES'!$D299="","-",'ORDENES'!$D299))</f>
        <v/>
      </c>
      <c r="J321" s="3">
        <f>IF('ORDENES'!$A299="","",IF('ORDENES'!$E299="","-",'ORDENES'!$E299))</f>
        <v/>
      </c>
      <c r="K321" s="12">
        <f>IF('ORDENES'!$A299="","",IF('ORDENES'!$N299="",0,'ORDENES'!$N299))</f>
        <v/>
      </c>
      <c r="L321" s="3">
        <f>IF('ORDENES'!$A299="","",IF('ORDENES'!$O299="","-",'ORDENES'!$O299))</f>
        <v/>
      </c>
      <c r="M321" s="3">
        <f>IF('ORDENES'!$A299="","",'ORDENES'!$AB299)</f>
        <v/>
      </c>
    </row>
    <row r="322">
      <c r="A322" s="3">
        <f>IF('ORDENES'!$A300="","",IF('ORDENES'!$P300="","-",'ORDENES'!$P300))</f>
        <v/>
      </c>
      <c r="B322" s="3">
        <f>IF('ORDENES'!$A300="","",IF('ORDENES'!$S300="","-",'ORDENES'!$S300))</f>
        <v/>
      </c>
      <c r="C322" s="3">
        <f>IF('ORDENES'!$A300="","",IF('ORDENES'!$AD300="","-",'ORDENES'!$AD300))</f>
        <v/>
      </c>
      <c r="D322" s="3">
        <f>IF('ORDENES'!$A300="","",IF('ORDENES'!$W300="","-",'ORDENES'!$W300))</f>
        <v/>
      </c>
      <c r="E322" s="3">
        <f>IF('ORDENES'!$A300="","",IF('ORDENES'!$V300="","-",'ORDENES'!$V300))</f>
        <v/>
      </c>
      <c r="F322" s="3">
        <f>IF('ORDENES'!$A300="","",IF('ORDENES'!$X300="","-",'ORDENES'!$X300))</f>
        <v/>
      </c>
      <c r="G322" s="3">
        <f>IF('ORDENES'!$A300="","",IF('ORDENES'!$AC300="","-",'ORDENES'!$AC300))</f>
        <v/>
      </c>
      <c r="H322" s="3">
        <f>IF('ORDENES'!$A300="","",IF('ORDENES'!$AO300="","-",'ORDENES'!$AO300))</f>
        <v/>
      </c>
      <c r="I322" s="3">
        <f>IF('ORDENES'!$A300="","",IF('ORDENES'!$D300="","-",'ORDENES'!$D300))</f>
        <v/>
      </c>
      <c r="J322" s="3">
        <f>IF('ORDENES'!$A300="","",IF('ORDENES'!$E300="","-",'ORDENES'!$E300))</f>
        <v/>
      </c>
      <c r="K322" s="12">
        <f>IF('ORDENES'!$A300="","",IF('ORDENES'!$N300="",0,'ORDENES'!$N300))</f>
        <v/>
      </c>
      <c r="L322" s="3">
        <f>IF('ORDENES'!$A300="","",IF('ORDENES'!$O300="","-",'ORDENES'!$O300))</f>
        <v/>
      </c>
      <c r="M322" s="3">
        <f>IF('ORDENES'!$A300="","",'ORDENES'!$AB300)</f>
        <v/>
      </c>
    </row>
    <row r="323">
      <c r="A323" s="3">
        <f>IF('ORDENES'!$A301="","",IF('ORDENES'!$P301="","-",'ORDENES'!$P301))</f>
        <v/>
      </c>
      <c r="B323" s="3">
        <f>IF('ORDENES'!$A301="","",IF('ORDENES'!$S301="","-",'ORDENES'!$S301))</f>
        <v/>
      </c>
      <c r="C323" s="3">
        <f>IF('ORDENES'!$A301="","",IF('ORDENES'!$AD301="","-",'ORDENES'!$AD301))</f>
        <v/>
      </c>
      <c r="D323" s="3">
        <f>IF('ORDENES'!$A301="","",IF('ORDENES'!$W301="","-",'ORDENES'!$W301))</f>
        <v/>
      </c>
      <c r="E323" s="3">
        <f>IF('ORDENES'!$A301="","",IF('ORDENES'!$V301="","-",'ORDENES'!$V301))</f>
        <v/>
      </c>
      <c r="F323" s="3">
        <f>IF('ORDENES'!$A301="","",IF('ORDENES'!$X301="","-",'ORDENES'!$X301))</f>
        <v/>
      </c>
      <c r="G323" s="3">
        <f>IF('ORDENES'!$A301="","",IF('ORDENES'!$AC301="","-",'ORDENES'!$AC301))</f>
        <v/>
      </c>
      <c r="H323" s="3">
        <f>IF('ORDENES'!$A301="","",IF('ORDENES'!$AO301="","-",'ORDENES'!$AO301))</f>
        <v/>
      </c>
      <c r="I323" s="3">
        <f>IF('ORDENES'!$A301="","",IF('ORDENES'!$D301="","-",'ORDENES'!$D301))</f>
        <v/>
      </c>
      <c r="J323" s="3">
        <f>IF('ORDENES'!$A301="","",IF('ORDENES'!$E301="","-",'ORDENES'!$E301))</f>
        <v/>
      </c>
      <c r="K323" s="12">
        <f>IF('ORDENES'!$A301="","",IF('ORDENES'!$N301="",0,'ORDENES'!$N301))</f>
        <v/>
      </c>
      <c r="L323" s="3">
        <f>IF('ORDENES'!$A301="","",IF('ORDENES'!$O301="","-",'ORDENES'!$O301))</f>
        <v/>
      </c>
      <c r="M323" s="3">
        <f>IF('ORDENES'!$A301="","",'ORDENES'!$AB301)</f>
        <v/>
      </c>
    </row>
    <row r="324">
      <c r="A324" s="3">
        <f>IF('ORDENES'!$A302="","",IF('ORDENES'!$P302="","-",'ORDENES'!$P302))</f>
        <v/>
      </c>
      <c r="B324" s="3">
        <f>IF('ORDENES'!$A302="","",IF('ORDENES'!$S302="","-",'ORDENES'!$S302))</f>
        <v/>
      </c>
      <c r="C324" s="3">
        <f>IF('ORDENES'!$A302="","",IF('ORDENES'!$AD302="","-",'ORDENES'!$AD302))</f>
        <v/>
      </c>
      <c r="D324" s="3">
        <f>IF('ORDENES'!$A302="","",IF('ORDENES'!$W302="","-",'ORDENES'!$W302))</f>
        <v/>
      </c>
      <c r="E324" s="3">
        <f>IF('ORDENES'!$A302="","",IF('ORDENES'!$V302="","-",'ORDENES'!$V302))</f>
        <v/>
      </c>
      <c r="F324" s="3">
        <f>IF('ORDENES'!$A302="","",IF('ORDENES'!$X302="","-",'ORDENES'!$X302))</f>
        <v/>
      </c>
      <c r="G324" s="3">
        <f>IF('ORDENES'!$A302="","",IF('ORDENES'!$AC302="","-",'ORDENES'!$AC302))</f>
        <v/>
      </c>
      <c r="H324" s="3">
        <f>IF('ORDENES'!$A302="","",IF('ORDENES'!$AO302="","-",'ORDENES'!$AO302))</f>
        <v/>
      </c>
      <c r="I324" s="3">
        <f>IF('ORDENES'!$A302="","",IF('ORDENES'!$D302="","-",'ORDENES'!$D302))</f>
        <v/>
      </c>
      <c r="J324" s="3">
        <f>IF('ORDENES'!$A302="","",IF('ORDENES'!$E302="","-",'ORDENES'!$E302))</f>
        <v/>
      </c>
      <c r="K324" s="12">
        <f>IF('ORDENES'!$A302="","",IF('ORDENES'!$N302="",0,'ORDENES'!$N302))</f>
        <v/>
      </c>
      <c r="L324" s="3">
        <f>IF('ORDENES'!$A302="","",IF('ORDENES'!$O302="","-",'ORDENES'!$O302))</f>
        <v/>
      </c>
      <c r="M324" s="3">
        <f>IF('ORDENES'!$A302="","",'ORDENES'!$AB302)</f>
        <v/>
      </c>
    </row>
    <row r="325">
      <c r="A325" s="3">
        <f>IF('ORDENES'!$A303="","",IF('ORDENES'!$P303="","-",'ORDENES'!$P303))</f>
        <v/>
      </c>
      <c r="B325" s="3">
        <f>IF('ORDENES'!$A303="","",IF('ORDENES'!$S303="","-",'ORDENES'!$S303))</f>
        <v/>
      </c>
      <c r="C325" s="3">
        <f>IF('ORDENES'!$A303="","",IF('ORDENES'!$AD303="","-",'ORDENES'!$AD303))</f>
        <v/>
      </c>
      <c r="D325" s="3">
        <f>IF('ORDENES'!$A303="","",IF('ORDENES'!$W303="","-",'ORDENES'!$W303))</f>
        <v/>
      </c>
      <c r="E325" s="3">
        <f>IF('ORDENES'!$A303="","",IF('ORDENES'!$V303="","-",'ORDENES'!$V303))</f>
        <v/>
      </c>
      <c r="F325" s="3">
        <f>IF('ORDENES'!$A303="","",IF('ORDENES'!$X303="","-",'ORDENES'!$X303))</f>
        <v/>
      </c>
      <c r="G325" s="3">
        <f>IF('ORDENES'!$A303="","",IF('ORDENES'!$AC303="","-",'ORDENES'!$AC303))</f>
        <v/>
      </c>
      <c r="H325" s="3">
        <f>IF('ORDENES'!$A303="","",IF('ORDENES'!$AO303="","-",'ORDENES'!$AO303))</f>
        <v/>
      </c>
      <c r="I325" s="3">
        <f>IF('ORDENES'!$A303="","",IF('ORDENES'!$D303="","-",'ORDENES'!$D303))</f>
        <v/>
      </c>
      <c r="J325" s="3">
        <f>IF('ORDENES'!$A303="","",IF('ORDENES'!$E303="","-",'ORDENES'!$E303))</f>
        <v/>
      </c>
      <c r="K325" s="12">
        <f>IF('ORDENES'!$A303="","",IF('ORDENES'!$N303="",0,'ORDENES'!$N303))</f>
        <v/>
      </c>
      <c r="L325" s="3">
        <f>IF('ORDENES'!$A303="","",IF('ORDENES'!$O303="","-",'ORDENES'!$O303))</f>
        <v/>
      </c>
      <c r="M325" s="3">
        <f>IF('ORDENES'!$A303="","",'ORDENES'!$AB303)</f>
        <v/>
      </c>
    </row>
    <row r="326">
      <c r="A326" s="3">
        <f>IF('ORDENES'!$A304="","",IF('ORDENES'!$P304="","-",'ORDENES'!$P304))</f>
        <v/>
      </c>
      <c r="B326" s="3">
        <f>IF('ORDENES'!$A304="","",IF('ORDENES'!$S304="","-",'ORDENES'!$S304))</f>
        <v/>
      </c>
      <c r="C326" s="3">
        <f>IF('ORDENES'!$A304="","",IF('ORDENES'!$AD304="","-",'ORDENES'!$AD304))</f>
        <v/>
      </c>
      <c r="D326" s="3">
        <f>IF('ORDENES'!$A304="","",IF('ORDENES'!$W304="","-",'ORDENES'!$W304))</f>
        <v/>
      </c>
      <c r="E326" s="3">
        <f>IF('ORDENES'!$A304="","",IF('ORDENES'!$V304="","-",'ORDENES'!$V304))</f>
        <v/>
      </c>
      <c r="F326" s="3">
        <f>IF('ORDENES'!$A304="","",IF('ORDENES'!$X304="","-",'ORDENES'!$X304))</f>
        <v/>
      </c>
      <c r="G326" s="3">
        <f>IF('ORDENES'!$A304="","",IF('ORDENES'!$AC304="","-",'ORDENES'!$AC304))</f>
        <v/>
      </c>
      <c r="H326" s="3">
        <f>IF('ORDENES'!$A304="","",IF('ORDENES'!$AO304="","-",'ORDENES'!$AO304))</f>
        <v/>
      </c>
      <c r="I326" s="3">
        <f>IF('ORDENES'!$A304="","",IF('ORDENES'!$D304="","-",'ORDENES'!$D304))</f>
        <v/>
      </c>
      <c r="J326" s="3">
        <f>IF('ORDENES'!$A304="","",IF('ORDENES'!$E304="","-",'ORDENES'!$E304))</f>
        <v/>
      </c>
      <c r="K326" s="12">
        <f>IF('ORDENES'!$A304="","",IF('ORDENES'!$N304="",0,'ORDENES'!$N304))</f>
        <v/>
      </c>
      <c r="L326" s="3">
        <f>IF('ORDENES'!$A304="","",IF('ORDENES'!$O304="","-",'ORDENES'!$O304))</f>
        <v/>
      </c>
      <c r="M326" s="3">
        <f>IF('ORDENES'!$A304="","",'ORDENES'!$AB304)</f>
        <v/>
      </c>
    </row>
    <row r="327">
      <c r="A327" s="3">
        <f>IF('ORDENES'!$A305="","",IF('ORDENES'!$P305="","-",'ORDENES'!$P305))</f>
        <v/>
      </c>
      <c r="B327" s="3">
        <f>IF('ORDENES'!$A305="","",IF('ORDENES'!$S305="","-",'ORDENES'!$S305))</f>
        <v/>
      </c>
      <c r="C327" s="3">
        <f>IF('ORDENES'!$A305="","",IF('ORDENES'!$AD305="","-",'ORDENES'!$AD305))</f>
        <v/>
      </c>
      <c r="D327" s="3">
        <f>IF('ORDENES'!$A305="","",IF('ORDENES'!$W305="","-",'ORDENES'!$W305))</f>
        <v/>
      </c>
      <c r="E327" s="3">
        <f>IF('ORDENES'!$A305="","",IF('ORDENES'!$V305="","-",'ORDENES'!$V305))</f>
        <v/>
      </c>
      <c r="F327" s="3">
        <f>IF('ORDENES'!$A305="","",IF('ORDENES'!$X305="","-",'ORDENES'!$X305))</f>
        <v/>
      </c>
      <c r="G327" s="3">
        <f>IF('ORDENES'!$A305="","",IF('ORDENES'!$AC305="","-",'ORDENES'!$AC305))</f>
        <v/>
      </c>
      <c r="H327" s="3">
        <f>IF('ORDENES'!$A305="","",IF('ORDENES'!$AO305="","-",'ORDENES'!$AO305))</f>
        <v/>
      </c>
      <c r="I327" s="3">
        <f>IF('ORDENES'!$A305="","",IF('ORDENES'!$D305="","-",'ORDENES'!$D305))</f>
        <v/>
      </c>
      <c r="J327" s="3">
        <f>IF('ORDENES'!$A305="","",IF('ORDENES'!$E305="","-",'ORDENES'!$E305))</f>
        <v/>
      </c>
      <c r="K327" s="12">
        <f>IF('ORDENES'!$A305="","",IF('ORDENES'!$N305="",0,'ORDENES'!$N305))</f>
        <v/>
      </c>
      <c r="L327" s="3">
        <f>IF('ORDENES'!$A305="","",IF('ORDENES'!$O305="","-",'ORDENES'!$O305))</f>
        <v/>
      </c>
      <c r="M327" s="3">
        <f>IF('ORDENES'!$A305="","",'ORDENES'!$AB305)</f>
        <v/>
      </c>
    </row>
    <row r="328">
      <c r="A328" s="3">
        <f>IF('ORDENES'!$A306="","",IF('ORDENES'!$P306="","-",'ORDENES'!$P306))</f>
        <v/>
      </c>
      <c r="B328" s="3">
        <f>IF('ORDENES'!$A306="","",IF('ORDENES'!$S306="","-",'ORDENES'!$S306))</f>
        <v/>
      </c>
      <c r="C328" s="3">
        <f>IF('ORDENES'!$A306="","",IF('ORDENES'!$AD306="","-",'ORDENES'!$AD306))</f>
        <v/>
      </c>
      <c r="D328" s="3">
        <f>IF('ORDENES'!$A306="","",IF('ORDENES'!$W306="","-",'ORDENES'!$W306))</f>
        <v/>
      </c>
      <c r="E328" s="3">
        <f>IF('ORDENES'!$A306="","",IF('ORDENES'!$V306="","-",'ORDENES'!$V306))</f>
        <v/>
      </c>
      <c r="F328" s="3">
        <f>IF('ORDENES'!$A306="","",IF('ORDENES'!$X306="","-",'ORDENES'!$X306))</f>
        <v/>
      </c>
      <c r="G328" s="3">
        <f>IF('ORDENES'!$A306="","",IF('ORDENES'!$AC306="","-",'ORDENES'!$AC306))</f>
        <v/>
      </c>
      <c r="H328" s="3">
        <f>IF('ORDENES'!$A306="","",IF('ORDENES'!$AO306="","-",'ORDENES'!$AO306))</f>
        <v/>
      </c>
      <c r="I328" s="3">
        <f>IF('ORDENES'!$A306="","",IF('ORDENES'!$D306="","-",'ORDENES'!$D306))</f>
        <v/>
      </c>
      <c r="J328" s="3">
        <f>IF('ORDENES'!$A306="","",IF('ORDENES'!$E306="","-",'ORDENES'!$E306))</f>
        <v/>
      </c>
      <c r="K328" s="12">
        <f>IF('ORDENES'!$A306="","",IF('ORDENES'!$N306="",0,'ORDENES'!$N306))</f>
        <v/>
      </c>
      <c r="L328" s="3">
        <f>IF('ORDENES'!$A306="","",IF('ORDENES'!$O306="","-",'ORDENES'!$O306))</f>
        <v/>
      </c>
      <c r="M328" s="3">
        <f>IF('ORDENES'!$A306="","",'ORDENES'!$AB306)</f>
        <v/>
      </c>
    </row>
    <row r="329">
      <c r="A329" s="3">
        <f>IF('ORDENES'!$A307="","",IF('ORDENES'!$P307="","-",'ORDENES'!$P307))</f>
        <v/>
      </c>
      <c r="B329" s="3">
        <f>IF('ORDENES'!$A307="","",IF('ORDENES'!$S307="","-",'ORDENES'!$S307))</f>
        <v/>
      </c>
      <c r="C329" s="3">
        <f>IF('ORDENES'!$A307="","",IF('ORDENES'!$AD307="","-",'ORDENES'!$AD307))</f>
        <v/>
      </c>
      <c r="D329" s="3">
        <f>IF('ORDENES'!$A307="","",IF('ORDENES'!$W307="","-",'ORDENES'!$W307))</f>
        <v/>
      </c>
      <c r="E329" s="3">
        <f>IF('ORDENES'!$A307="","",IF('ORDENES'!$V307="","-",'ORDENES'!$V307))</f>
        <v/>
      </c>
      <c r="F329" s="3">
        <f>IF('ORDENES'!$A307="","",IF('ORDENES'!$X307="","-",'ORDENES'!$X307))</f>
        <v/>
      </c>
      <c r="G329" s="3">
        <f>IF('ORDENES'!$A307="","",IF('ORDENES'!$AC307="","-",'ORDENES'!$AC307))</f>
        <v/>
      </c>
      <c r="H329" s="3">
        <f>IF('ORDENES'!$A307="","",IF('ORDENES'!$AO307="","-",'ORDENES'!$AO307))</f>
        <v/>
      </c>
      <c r="I329" s="3">
        <f>IF('ORDENES'!$A307="","",IF('ORDENES'!$D307="","-",'ORDENES'!$D307))</f>
        <v/>
      </c>
      <c r="J329" s="3">
        <f>IF('ORDENES'!$A307="","",IF('ORDENES'!$E307="","-",'ORDENES'!$E307))</f>
        <v/>
      </c>
      <c r="K329" s="12">
        <f>IF('ORDENES'!$A307="","",IF('ORDENES'!$N307="",0,'ORDENES'!$N307))</f>
        <v/>
      </c>
      <c r="L329" s="3">
        <f>IF('ORDENES'!$A307="","",IF('ORDENES'!$O307="","-",'ORDENES'!$O307))</f>
        <v/>
      </c>
      <c r="M329" s="3">
        <f>IF('ORDENES'!$A307="","",'ORDENES'!$AB307)</f>
        <v/>
      </c>
    </row>
    <row r="330">
      <c r="A330" s="3">
        <f>IF('ORDENES'!$A308="","",IF('ORDENES'!$P308="","-",'ORDENES'!$P308))</f>
        <v/>
      </c>
      <c r="B330" s="3">
        <f>IF('ORDENES'!$A308="","",IF('ORDENES'!$S308="","-",'ORDENES'!$S308))</f>
        <v/>
      </c>
      <c r="C330" s="3">
        <f>IF('ORDENES'!$A308="","",IF('ORDENES'!$AD308="","-",'ORDENES'!$AD308))</f>
        <v/>
      </c>
      <c r="D330" s="3">
        <f>IF('ORDENES'!$A308="","",IF('ORDENES'!$W308="","-",'ORDENES'!$W308))</f>
        <v/>
      </c>
      <c r="E330" s="3">
        <f>IF('ORDENES'!$A308="","",IF('ORDENES'!$V308="","-",'ORDENES'!$V308))</f>
        <v/>
      </c>
      <c r="F330" s="3">
        <f>IF('ORDENES'!$A308="","",IF('ORDENES'!$X308="","-",'ORDENES'!$X308))</f>
        <v/>
      </c>
      <c r="G330" s="3">
        <f>IF('ORDENES'!$A308="","",IF('ORDENES'!$AC308="","-",'ORDENES'!$AC308))</f>
        <v/>
      </c>
      <c r="H330" s="3">
        <f>IF('ORDENES'!$A308="","",IF('ORDENES'!$AO308="","-",'ORDENES'!$AO308))</f>
        <v/>
      </c>
      <c r="I330" s="3">
        <f>IF('ORDENES'!$A308="","",IF('ORDENES'!$D308="","-",'ORDENES'!$D308))</f>
        <v/>
      </c>
      <c r="J330" s="3">
        <f>IF('ORDENES'!$A308="","",IF('ORDENES'!$E308="","-",'ORDENES'!$E308))</f>
        <v/>
      </c>
      <c r="K330" s="12">
        <f>IF('ORDENES'!$A308="","",IF('ORDENES'!$N308="",0,'ORDENES'!$N308))</f>
        <v/>
      </c>
      <c r="L330" s="3">
        <f>IF('ORDENES'!$A308="","",IF('ORDENES'!$O308="","-",'ORDENES'!$O308))</f>
        <v/>
      </c>
      <c r="M330" s="3">
        <f>IF('ORDENES'!$A308="","",'ORDENES'!$AB308)</f>
        <v/>
      </c>
    </row>
    <row r="331">
      <c r="A331" s="3">
        <f>IF('ORDENES'!$A309="","",IF('ORDENES'!$P309="","-",'ORDENES'!$P309))</f>
        <v/>
      </c>
      <c r="B331" s="3">
        <f>IF('ORDENES'!$A309="","",IF('ORDENES'!$S309="","-",'ORDENES'!$S309))</f>
        <v/>
      </c>
      <c r="C331" s="3">
        <f>IF('ORDENES'!$A309="","",IF('ORDENES'!$AD309="","-",'ORDENES'!$AD309))</f>
        <v/>
      </c>
      <c r="D331" s="3">
        <f>IF('ORDENES'!$A309="","",IF('ORDENES'!$W309="","-",'ORDENES'!$W309))</f>
        <v/>
      </c>
      <c r="E331" s="3">
        <f>IF('ORDENES'!$A309="","",IF('ORDENES'!$V309="","-",'ORDENES'!$V309))</f>
        <v/>
      </c>
      <c r="F331" s="3">
        <f>IF('ORDENES'!$A309="","",IF('ORDENES'!$X309="","-",'ORDENES'!$X309))</f>
        <v/>
      </c>
      <c r="G331" s="3">
        <f>IF('ORDENES'!$A309="","",IF('ORDENES'!$AC309="","-",'ORDENES'!$AC309))</f>
        <v/>
      </c>
      <c r="H331" s="3">
        <f>IF('ORDENES'!$A309="","",IF('ORDENES'!$AO309="","-",'ORDENES'!$AO309))</f>
        <v/>
      </c>
      <c r="I331" s="3">
        <f>IF('ORDENES'!$A309="","",IF('ORDENES'!$D309="","-",'ORDENES'!$D309))</f>
        <v/>
      </c>
      <c r="J331" s="3">
        <f>IF('ORDENES'!$A309="","",IF('ORDENES'!$E309="","-",'ORDENES'!$E309))</f>
        <v/>
      </c>
      <c r="K331" s="12">
        <f>IF('ORDENES'!$A309="","",IF('ORDENES'!$N309="",0,'ORDENES'!$N309))</f>
        <v/>
      </c>
      <c r="L331" s="3">
        <f>IF('ORDENES'!$A309="","",IF('ORDENES'!$O309="","-",'ORDENES'!$O309))</f>
        <v/>
      </c>
      <c r="M331" s="3">
        <f>IF('ORDENES'!$A309="","",'ORDENES'!$AB309)</f>
        <v/>
      </c>
    </row>
    <row r="332">
      <c r="A332" s="3">
        <f>IF('ORDENES'!$A310="","",IF('ORDENES'!$P310="","-",'ORDENES'!$P310))</f>
        <v/>
      </c>
      <c r="B332" s="3">
        <f>IF('ORDENES'!$A310="","",IF('ORDENES'!$S310="","-",'ORDENES'!$S310))</f>
        <v/>
      </c>
      <c r="C332" s="3">
        <f>IF('ORDENES'!$A310="","",IF('ORDENES'!$AD310="","-",'ORDENES'!$AD310))</f>
        <v/>
      </c>
      <c r="D332" s="3">
        <f>IF('ORDENES'!$A310="","",IF('ORDENES'!$W310="","-",'ORDENES'!$W310))</f>
        <v/>
      </c>
      <c r="E332" s="3">
        <f>IF('ORDENES'!$A310="","",IF('ORDENES'!$V310="","-",'ORDENES'!$V310))</f>
        <v/>
      </c>
      <c r="F332" s="3">
        <f>IF('ORDENES'!$A310="","",IF('ORDENES'!$X310="","-",'ORDENES'!$X310))</f>
        <v/>
      </c>
      <c r="G332" s="3">
        <f>IF('ORDENES'!$A310="","",IF('ORDENES'!$AC310="","-",'ORDENES'!$AC310))</f>
        <v/>
      </c>
      <c r="H332" s="3">
        <f>IF('ORDENES'!$A310="","",IF('ORDENES'!$AO310="","-",'ORDENES'!$AO310))</f>
        <v/>
      </c>
      <c r="I332" s="3">
        <f>IF('ORDENES'!$A310="","",IF('ORDENES'!$D310="","-",'ORDENES'!$D310))</f>
        <v/>
      </c>
      <c r="J332" s="3">
        <f>IF('ORDENES'!$A310="","",IF('ORDENES'!$E310="","-",'ORDENES'!$E310))</f>
        <v/>
      </c>
      <c r="K332" s="12">
        <f>IF('ORDENES'!$A310="","",IF('ORDENES'!$N310="",0,'ORDENES'!$N310))</f>
        <v/>
      </c>
      <c r="L332" s="3">
        <f>IF('ORDENES'!$A310="","",IF('ORDENES'!$O310="","-",'ORDENES'!$O310))</f>
        <v/>
      </c>
      <c r="M332" s="3">
        <f>IF('ORDENES'!$A310="","",'ORDENES'!$AB310)</f>
        <v/>
      </c>
    </row>
    <row r="333">
      <c r="A333" s="3">
        <f>IF('ORDENES'!$A311="","",IF('ORDENES'!$P311="","-",'ORDENES'!$P311))</f>
        <v/>
      </c>
      <c r="B333" s="3">
        <f>IF('ORDENES'!$A311="","",IF('ORDENES'!$S311="","-",'ORDENES'!$S311))</f>
        <v/>
      </c>
      <c r="C333" s="3">
        <f>IF('ORDENES'!$A311="","",IF('ORDENES'!$AD311="","-",'ORDENES'!$AD311))</f>
        <v/>
      </c>
      <c r="D333" s="3">
        <f>IF('ORDENES'!$A311="","",IF('ORDENES'!$W311="","-",'ORDENES'!$W311))</f>
        <v/>
      </c>
      <c r="E333" s="3">
        <f>IF('ORDENES'!$A311="","",IF('ORDENES'!$V311="","-",'ORDENES'!$V311))</f>
        <v/>
      </c>
      <c r="F333" s="3">
        <f>IF('ORDENES'!$A311="","",IF('ORDENES'!$X311="","-",'ORDENES'!$X311))</f>
        <v/>
      </c>
      <c r="G333" s="3">
        <f>IF('ORDENES'!$A311="","",IF('ORDENES'!$AC311="","-",'ORDENES'!$AC311))</f>
        <v/>
      </c>
      <c r="H333" s="3">
        <f>IF('ORDENES'!$A311="","",IF('ORDENES'!$AO311="","-",'ORDENES'!$AO311))</f>
        <v/>
      </c>
      <c r="I333" s="3">
        <f>IF('ORDENES'!$A311="","",IF('ORDENES'!$D311="","-",'ORDENES'!$D311))</f>
        <v/>
      </c>
      <c r="J333" s="3">
        <f>IF('ORDENES'!$A311="","",IF('ORDENES'!$E311="","-",'ORDENES'!$E311))</f>
        <v/>
      </c>
      <c r="K333" s="12">
        <f>IF('ORDENES'!$A311="","",IF('ORDENES'!$N311="",0,'ORDENES'!$N311))</f>
        <v/>
      </c>
      <c r="L333" s="3">
        <f>IF('ORDENES'!$A311="","",IF('ORDENES'!$O311="","-",'ORDENES'!$O311))</f>
        <v/>
      </c>
      <c r="M333" s="3">
        <f>IF('ORDENES'!$A311="","",'ORDENES'!$AB311)</f>
        <v/>
      </c>
    </row>
    <row r="334">
      <c r="A334" s="3">
        <f>IF('ORDENES'!$A312="","",IF('ORDENES'!$P312="","-",'ORDENES'!$P312))</f>
        <v/>
      </c>
      <c r="B334" s="3">
        <f>IF('ORDENES'!$A312="","",IF('ORDENES'!$S312="","-",'ORDENES'!$S312))</f>
        <v/>
      </c>
      <c r="C334" s="3">
        <f>IF('ORDENES'!$A312="","",IF('ORDENES'!$AD312="","-",'ORDENES'!$AD312))</f>
        <v/>
      </c>
      <c r="D334" s="3">
        <f>IF('ORDENES'!$A312="","",IF('ORDENES'!$W312="","-",'ORDENES'!$W312))</f>
        <v/>
      </c>
      <c r="E334" s="3">
        <f>IF('ORDENES'!$A312="","",IF('ORDENES'!$V312="","-",'ORDENES'!$V312))</f>
        <v/>
      </c>
      <c r="F334" s="3">
        <f>IF('ORDENES'!$A312="","",IF('ORDENES'!$X312="","-",'ORDENES'!$X312))</f>
        <v/>
      </c>
      <c r="G334" s="3">
        <f>IF('ORDENES'!$A312="","",IF('ORDENES'!$AC312="","-",'ORDENES'!$AC312))</f>
        <v/>
      </c>
      <c r="H334" s="3">
        <f>IF('ORDENES'!$A312="","",IF('ORDENES'!$AO312="","-",'ORDENES'!$AO312))</f>
        <v/>
      </c>
      <c r="I334" s="3">
        <f>IF('ORDENES'!$A312="","",IF('ORDENES'!$D312="","-",'ORDENES'!$D312))</f>
        <v/>
      </c>
      <c r="J334" s="3">
        <f>IF('ORDENES'!$A312="","",IF('ORDENES'!$E312="","-",'ORDENES'!$E312))</f>
        <v/>
      </c>
      <c r="K334" s="12">
        <f>IF('ORDENES'!$A312="","",IF('ORDENES'!$N312="",0,'ORDENES'!$N312))</f>
        <v/>
      </c>
      <c r="L334" s="3">
        <f>IF('ORDENES'!$A312="","",IF('ORDENES'!$O312="","-",'ORDENES'!$O312))</f>
        <v/>
      </c>
      <c r="M334" s="3">
        <f>IF('ORDENES'!$A312="","",'ORDENES'!$AB312)</f>
        <v/>
      </c>
    </row>
    <row r="335">
      <c r="A335" s="3">
        <f>IF('ORDENES'!$A313="","",IF('ORDENES'!$P313="","-",'ORDENES'!$P313))</f>
        <v/>
      </c>
      <c r="B335" s="3">
        <f>IF('ORDENES'!$A313="","",IF('ORDENES'!$S313="","-",'ORDENES'!$S313))</f>
        <v/>
      </c>
      <c r="C335" s="3">
        <f>IF('ORDENES'!$A313="","",IF('ORDENES'!$AD313="","-",'ORDENES'!$AD313))</f>
        <v/>
      </c>
      <c r="D335" s="3">
        <f>IF('ORDENES'!$A313="","",IF('ORDENES'!$W313="","-",'ORDENES'!$W313))</f>
        <v/>
      </c>
      <c r="E335" s="3">
        <f>IF('ORDENES'!$A313="","",IF('ORDENES'!$V313="","-",'ORDENES'!$V313))</f>
        <v/>
      </c>
      <c r="F335" s="3">
        <f>IF('ORDENES'!$A313="","",IF('ORDENES'!$X313="","-",'ORDENES'!$X313))</f>
        <v/>
      </c>
      <c r="G335" s="3">
        <f>IF('ORDENES'!$A313="","",IF('ORDENES'!$AC313="","-",'ORDENES'!$AC313))</f>
        <v/>
      </c>
      <c r="H335" s="3">
        <f>IF('ORDENES'!$A313="","",IF('ORDENES'!$AO313="","-",'ORDENES'!$AO313))</f>
        <v/>
      </c>
      <c r="I335" s="3">
        <f>IF('ORDENES'!$A313="","",IF('ORDENES'!$D313="","-",'ORDENES'!$D313))</f>
        <v/>
      </c>
      <c r="J335" s="3">
        <f>IF('ORDENES'!$A313="","",IF('ORDENES'!$E313="","-",'ORDENES'!$E313))</f>
        <v/>
      </c>
      <c r="K335" s="12">
        <f>IF('ORDENES'!$A313="","",IF('ORDENES'!$N313="",0,'ORDENES'!$N313))</f>
        <v/>
      </c>
      <c r="L335" s="3">
        <f>IF('ORDENES'!$A313="","",IF('ORDENES'!$O313="","-",'ORDENES'!$O313))</f>
        <v/>
      </c>
      <c r="M335" s="3">
        <f>IF('ORDENES'!$A313="","",'ORDENES'!$AB313)</f>
        <v/>
      </c>
    </row>
    <row r="336">
      <c r="A336" s="3">
        <f>IF('ORDENES'!$A314="","",IF('ORDENES'!$P314="","-",'ORDENES'!$P314))</f>
        <v/>
      </c>
      <c r="B336" s="3">
        <f>IF('ORDENES'!$A314="","",IF('ORDENES'!$S314="","-",'ORDENES'!$S314))</f>
        <v/>
      </c>
      <c r="C336" s="3">
        <f>IF('ORDENES'!$A314="","",IF('ORDENES'!$AD314="","-",'ORDENES'!$AD314))</f>
        <v/>
      </c>
      <c r="D336" s="3">
        <f>IF('ORDENES'!$A314="","",IF('ORDENES'!$W314="","-",'ORDENES'!$W314))</f>
        <v/>
      </c>
      <c r="E336" s="3">
        <f>IF('ORDENES'!$A314="","",IF('ORDENES'!$V314="","-",'ORDENES'!$V314))</f>
        <v/>
      </c>
      <c r="F336" s="3">
        <f>IF('ORDENES'!$A314="","",IF('ORDENES'!$X314="","-",'ORDENES'!$X314))</f>
        <v/>
      </c>
      <c r="G336" s="3">
        <f>IF('ORDENES'!$A314="","",IF('ORDENES'!$AC314="","-",'ORDENES'!$AC314))</f>
        <v/>
      </c>
      <c r="H336" s="3">
        <f>IF('ORDENES'!$A314="","",IF('ORDENES'!$AO314="","-",'ORDENES'!$AO314))</f>
        <v/>
      </c>
      <c r="I336" s="3">
        <f>IF('ORDENES'!$A314="","",IF('ORDENES'!$D314="","-",'ORDENES'!$D314))</f>
        <v/>
      </c>
      <c r="J336" s="3">
        <f>IF('ORDENES'!$A314="","",IF('ORDENES'!$E314="","-",'ORDENES'!$E314))</f>
        <v/>
      </c>
      <c r="K336" s="12">
        <f>IF('ORDENES'!$A314="","",IF('ORDENES'!$N314="",0,'ORDENES'!$N314))</f>
        <v/>
      </c>
      <c r="L336" s="3">
        <f>IF('ORDENES'!$A314="","",IF('ORDENES'!$O314="","-",'ORDENES'!$O314))</f>
        <v/>
      </c>
      <c r="M336" s="3">
        <f>IF('ORDENES'!$A314="","",'ORDENES'!$AB314)</f>
        <v/>
      </c>
    </row>
    <row r="337">
      <c r="A337" s="3">
        <f>IF('ORDENES'!$A315="","",IF('ORDENES'!$P315="","-",'ORDENES'!$P315))</f>
        <v/>
      </c>
      <c r="B337" s="3">
        <f>IF('ORDENES'!$A315="","",IF('ORDENES'!$S315="","-",'ORDENES'!$S315))</f>
        <v/>
      </c>
      <c r="C337" s="3">
        <f>IF('ORDENES'!$A315="","",IF('ORDENES'!$AD315="","-",'ORDENES'!$AD315))</f>
        <v/>
      </c>
      <c r="D337" s="3">
        <f>IF('ORDENES'!$A315="","",IF('ORDENES'!$W315="","-",'ORDENES'!$W315))</f>
        <v/>
      </c>
      <c r="E337" s="3">
        <f>IF('ORDENES'!$A315="","",IF('ORDENES'!$V315="","-",'ORDENES'!$V315))</f>
        <v/>
      </c>
      <c r="F337" s="3">
        <f>IF('ORDENES'!$A315="","",IF('ORDENES'!$X315="","-",'ORDENES'!$X315))</f>
        <v/>
      </c>
      <c r="G337" s="3">
        <f>IF('ORDENES'!$A315="","",IF('ORDENES'!$AC315="","-",'ORDENES'!$AC315))</f>
        <v/>
      </c>
      <c r="H337" s="3">
        <f>IF('ORDENES'!$A315="","",IF('ORDENES'!$AO315="","-",'ORDENES'!$AO315))</f>
        <v/>
      </c>
      <c r="I337" s="3">
        <f>IF('ORDENES'!$A315="","",IF('ORDENES'!$D315="","-",'ORDENES'!$D315))</f>
        <v/>
      </c>
      <c r="J337" s="3">
        <f>IF('ORDENES'!$A315="","",IF('ORDENES'!$E315="","-",'ORDENES'!$E315))</f>
        <v/>
      </c>
      <c r="K337" s="12">
        <f>IF('ORDENES'!$A315="","",IF('ORDENES'!$N315="",0,'ORDENES'!$N315))</f>
        <v/>
      </c>
      <c r="L337" s="3">
        <f>IF('ORDENES'!$A315="","",IF('ORDENES'!$O315="","-",'ORDENES'!$O315))</f>
        <v/>
      </c>
      <c r="M337" s="3">
        <f>IF('ORDENES'!$A315="","",'ORDENES'!$AB315)</f>
        <v/>
      </c>
    </row>
    <row r="338">
      <c r="A338" s="3">
        <f>IF('ORDENES'!$A316="","",IF('ORDENES'!$P316="","-",'ORDENES'!$P316))</f>
        <v/>
      </c>
      <c r="B338" s="3">
        <f>IF('ORDENES'!$A316="","",IF('ORDENES'!$S316="","-",'ORDENES'!$S316))</f>
        <v/>
      </c>
      <c r="C338" s="3">
        <f>IF('ORDENES'!$A316="","",IF('ORDENES'!$AD316="","-",'ORDENES'!$AD316))</f>
        <v/>
      </c>
      <c r="D338" s="3">
        <f>IF('ORDENES'!$A316="","",IF('ORDENES'!$W316="","-",'ORDENES'!$W316))</f>
        <v/>
      </c>
      <c r="E338" s="3">
        <f>IF('ORDENES'!$A316="","",IF('ORDENES'!$V316="","-",'ORDENES'!$V316))</f>
        <v/>
      </c>
      <c r="F338" s="3">
        <f>IF('ORDENES'!$A316="","",IF('ORDENES'!$X316="","-",'ORDENES'!$X316))</f>
        <v/>
      </c>
      <c r="G338" s="3">
        <f>IF('ORDENES'!$A316="","",IF('ORDENES'!$AC316="","-",'ORDENES'!$AC316))</f>
        <v/>
      </c>
      <c r="H338" s="3">
        <f>IF('ORDENES'!$A316="","",IF('ORDENES'!$AO316="","-",'ORDENES'!$AO316))</f>
        <v/>
      </c>
      <c r="I338" s="3">
        <f>IF('ORDENES'!$A316="","",IF('ORDENES'!$D316="","-",'ORDENES'!$D316))</f>
        <v/>
      </c>
      <c r="J338" s="3">
        <f>IF('ORDENES'!$A316="","",IF('ORDENES'!$E316="","-",'ORDENES'!$E316))</f>
        <v/>
      </c>
      <c r="K338" s="12">
        <f>IF('ORDENES'!$A316="","",IF('ORDENES'!$N316="",0,'ORDENES'!$N316))</f>
        <v/>
      </c>
      <c r="L338" s="3">
        <f>IF('ORDENES'!$A316="","",IF('ORDENES'!$O316="","-",'ORDENES'!$O316))</f>
        <v/>
      </c>
      <c r="M338" s="3">
        <f>IF('ORDENES'!$A316="","",'ORDENES'!$AB316)</f>
        <v/>
      </c>
    </row>
    <row r="339">
      <c r="A339" s="3">
        <f>IF('ORDENES'!$A317="","",IF('ORDENES'!$P317="","-",'ORDENES'!$P317))</f>
        <v/>
      </c>
      <c r="B339" s="3">
        <f>IF('ORDENES'!$A317="","",IF('ORDENES'!$S317="","-",'ORDENES'!$S317))</f>
        <v/>
      </c>
      <c r="C339" s="3">
        <f>IF('ORDENES'!$A317="","",IF('ORDENES'!$AD317="","-",'ORDENES'!$AD317))</f>
        <v/>
      </c>
      <c r="D339" s="3">
        <f>IF('ORDENES'!$A317="","",IF('ORDENES'!$W317="","-",'ORDENES'!$W317))</f>
        <v/>
      </c>
      <c r="E339" s="3">
        <f>IF('ORDENES'!$A317="","",IF('ORDENES'!$V317="","-",'ORDENES'!$V317))</f>
        <v/>
      </c>
      <c r="F339" s="3">
        <f>IF('ORDENES'!$A317="","",IF('ORDENES'!$X317="","-",'ORDENES'!$X317))</f>
        <v/>
      </c>
      <c r="G339" s="3">
        <f>IF('ORDENES'!$A317="","",IF('ORDENES'!$AC317="","-",'ORDENES'!$AC317))</f>
        <v/>
      </c>
      <c r="H339" s="3">
        <f>IF('ORDENES'!$A317="","",IF('ORDENES'!$AO317="","-",'ORDENES'!$AO317))</f>
        <v/>
      </c>
      <c r="I339" s="3">
        <f>IF('ORDENES'!$A317="","",IF('ORDENES'!$D317="","-",'ORDENES'!$D317))</f>
        <v/>
      </c>
      <c r="J339" s="3">
        <f>IF('ORDENES'!$A317="","",IF('ORDENES'!$E317="","-",'ORDENES'!$E317))</f>
        <v/>
      </c>
      <c r="K339" s="12">
        <f>IF('ORDENES'!$A317="","",IF('ORDENES'!$N317="",0,'ORDENES'!$N317))</f>
        <v/>
      </c>
      <c r="L339" s="3">
        <f>IF('ORDENES'!$A317="","",IF('ORDENES'!$O317="","-",'ORDENES'!$O317))</f>
        <v/>
      </c>
      <c r="M339" s="3">
        <f>IF('ORDENES'!$A317="","",'ORDENES'!$AB317)</f>
        <v/>
      </c>
    </row>
    <row r="340">
      <c r="A340" s="3">
        <f>IF('ORDENES'!$A318="","",IF('ORDENES'!$P318="","-",'ORDENES'!$P318))</f>
        <v/>
      </c>
      <c r="B340" s="3">
        <f>IF('ORDENES'!$A318="","",IF('ORDENES'!$S318="","-",'ORDENES'!$S318))</f>
        <v/>
      </c>
      <c r="C340" s="3">
        <f>IF('ORDENES'!$A318="","",IF('ORDENES'!$AD318="","-",'ORDENES'!$AD318))</f>
        <v/>
      </c>
      <c r="D340" s="3">
        <f>IF('ORDENES'!$A318="","",IF('ORDENES'!$W318="","-",'ORDENES'!$W318))</f>
        <v/>
      </c>
      <c r="E340" s="3">
        <f>IF('ORDENES'!$A318="","",IF('ORDENES'!$V318="","-",'ORDENES'!$V318))</f>
        <v/>
      </c>
      <c r="F340" s="3">
        <f>IF('ORDENES'!$A318="","",IF('ORDENES'!$X318="","-",'ORDENES'!$X318))</f>
        <v/>
      </c>
      <c r="G340" s="3">
        <f>IF('ORDENES'!$A318="","",IF('ORDENES'!$AC318="","-",'ORDENES'!$AC318))</f>
        <v/>
      </c>
      <c r="H340" s="3">
        <f>IF('ORDENES'!$A318="","",IF('ORDENES'!$AO318="","-",'ORDENES'!$AO318))</f>
        <v/>
      </c>
      <c r="I340" s="3">
        <f>IF('ORDENES'!$A318="","",IF('ORDENES'!$D318="","-",'ORDENES'!$D318))</f>
        <v/>
      </c>
      <c r="J340" s="3">
        <f>IF('ORDENES'!$A318="","",IF('ORDENES'!$E318="","-",'ORDENES'!$E318))</f>
        <v/>
      </c>
      <c r="K340" s="12">
        <f>IF('ORDENES'!$A318="","",IF('ORDENES'!$N318="",0,'ORDENES'!$N318))</f>
        <v/>
      </c>
      <c r="L340" s="3">
        <f>IF('ORDENES'!$A318="","",IF('ORDENES'!$O318="","-",'ORDENES'!$O318))</f>
        <v/>
      </c>
      <c r="M340" s="3">
        <f>IF('ORDENES'!$A318="","",'ORDENES'!$AB318)</f>
        <v/>
      </c>
    </row>
    <row r="341">
      <c r="A341" s="3">
        <f>IF('ORDENES'!$A319="","",IF('ORDENES'!$P319="","-",'ORDENES'!$P319))</f>
        <v/>
      </c>
      <c r="B341" s="3">
        <f>IF('ORDENES'!$A319="","",IF('ORDENES'!$S319="","-",'ORDENES'!$S319))</f>
        <v/>
      </c>
      <c r="C341" s="3">
        <f>IF('ORDENES'!$A319="","",IF('ORDENES'!$AD319="","-",'ORDENES'!$AD319))</f>
        <v/>
      </c>
      <c r="D341" s="3">
        <f>IF('ORDENES'!$A319="","",IF('ORDENES'!$W319="","-",'ORDENES'!$W319))</f>
        <v/>
      </c>
      <c r="E341" s="3">
        <f>IF('ORDENES'!$A319="","",IF('ORDENES'!$V319="","-",'ORDENES'!$V319))</f>
        <v/>
      </c>
      <c r="F341" s="3">
        <f>IF('ORDENES'!$A319="","",IF('ORDENES'!$X319="","-",'ORDENES'!$X319))</f>
        <v/>
      </c>
      <c r="G341" s="3">
        <f>IF('ORDENES'!$A319="","",IF('ORDENES'!$AC319="","-",'ORDENES'!$AC319))</f>
        <v/>
      </c>
      <c r="H341" s="3">
        <f>IF('ORDENES'!$A319="","",IF('ORDENES'!$AO319="","-",'ORDENES'!$AO319))</f>
        <v/>
      </c>
      <c r="I341" s="3">
        <f>IF('ORDENES'!$A319="","",IF('ORDENES'!$D319="","-",'ORDENES'!$D319))</f>
        <v/>
      </c>
      <c r="J341" s="3">
        <f>IF('ORDENES'!$A319="","",IF('ORDENES'!$E319="","-",'ORDENES'!$E319))</f>
        <v/>
      </c>
      <c r="K341" s="12">
        <f>IF('ORDENES'!$A319="","",IF('ORDENES'!$N319="",0,'ORDENES'!$N319))</f>
        <v/>
      </c>
      <c r="L341" s="3">
        <f>IF('ORDENES'!$A319="","",IF('ORDENES'!$O319="","-",'ORDENES'!$O319))</f>
        <v/>
      </c>
      <c r="M341" s="3">
        <f>IF('ORDENES'!$A319="","",'ORDENES'!$AB319)</f>
        <v/>
      </c>
    </row>
    <row r="342">
      <c r="A342" s="3">
        <f>IF('ORDENES'!$A320="","",IF('ORDENES'!$P320="","-",'ORDENES'!$P320))</f>
        <v/>
      </c>
      <c r="B342" s="3">
        <f>IF('ORDENES'!$A320="","",IF('ORDENES'!$S320="","-",'ORDENES'!$S320))</f>
        <v/>
      </c>
      <c r="C342" s="3">
        <f>IF('ORDENES'!$A320="","",IF('ORDENES'!$AD320="","-",'ORDENES'!$AD320))</f>
        <v/>
      </c>
      <c r="D342" s="3">
        <f>IF('ORDENES'!$A320="","",IF('ORDENES'!$W320="","-",'ORDENES'!$W320))</f>
        <v/>
      </c>
      <c r="E342" s="3">
        <f>IF('ORDENES'!$A320="","",IF('ORDENES'!$V320="","-",'ORDENES'!$V320))</f>
        <v/>
      </c>
      <c r="F342" s="3">
        <f>IF('ORDENES'!$A320="","",IF('ORDENES'!$X320="","-",'ORDENES'!$X320))</f>
        <v/>
      </c>
      <c r="G342" s="3">
        <f>IF('ORDENES'!$A320="","",IF('ORDENES'!$AC320="","-",'ORDENES'!$AC320))</f>
        <v/>
      </c>
      <c r="H342" s="3">
        <f>IF('ORDENES'!$A320="","",IF('ORDENES'!$AO320="","-",'ORDENES'!$AO320))</f>
        <v/>
      </c>
      <c r="I342" s="3">
        <f>IF('ORDENES'!$A320="","",IF('ORDENES'!$D320="","-",'ORDENES'!$D320))</f>
        <v/>
      </c>
      <c r="J342" s="3">
        <f>IF('ORDENES'!$A320="","",IF('ORDENES'!$E320="","-",'ORDENES'!$E320))</f>
        <v/>
      </c>
      <c r="K342" s="12">
        <f>IF('ORDENES'!$A320="","",IF('ORDENES'!$N320="",0,'ORDENES'!$N320))</f>
        <v/>
      </c>
      <c r="L342" s="3">
        <f>IF('ORDENES'!$A320="","",IF('ORDENES'!$O320="","-",'ORDENES'!$O320))</f>
        <v/>
      </c>
      <c r="M342" s="3">
        <f>IF('ORDENES'!$A320="","",'ORDENES'!$AB320)</f>
        <v/>
      </c>
    </row>
    <row r="343">
      <c r="A343" s="3">
        <f>IF('ORDENES'!$A321="","",IF('ORDENES'!$P321="","-",'ORDENES'!$P321))</f>
        <v/>
      </c>
      <c r="B343" s="3">
        <f>IF('ORDENES'!$A321="","",IF('ORDENES'!$S321="","-",'ORDENES'!$S321))</f>
        <v/>
      </c>
      <c r="C343" s="3">
        <f>IF('ORDENES'!$A321="","",IF('ORDENES'!$AD321="","-",'ORDENES'!$AD321))</f>
        <v/>
      </c>
      <c r="D343" s="3">
        <f>IF('ORDENES'!$A321="","",IF('ORDENES'!$W321="","-",'ORDENES'!$W321))</f>
        <v/>
      </c>
      <c r="E343" s="3">
        <f>IF('ORDENES'!$A321="","",IF('ORDENES'!$V321="","-",'ORDENES'!$V321))</f>
        <v/>
      </c>
      <c r="F343" s="3">
        <f>IF('ORDENES'!$A321="","",IF('ORDENES'!$X321="","-",'ORDENES'!$X321))</f>
        <v/>
      </c>
      <c r="G343" s="3">
        <f>IF('ORDENES'!$A321="","",IF('ORDENES'!$AC321="","-",'ORDENES'!$AC321))</f>
        <v/>
      </c>
      <c r="H343" s="3">
        <f>IF('ORDENES'!$A321="","",IF('ORDENES'!$AO321="","-",'ORDENES'!$AO321))</f>
        <v/>
      </c>
      <c r="I343" s="3">
        <f>IF('ORDENES'!$A321="","",IF('ORDENES'!$D321="","-",'ORDENES'!$D321))</f>
        <v/>
      </c>
      <c r="J343" s="3">
        <f>IF('ORDENES'!$A321="","",IF('ORDENES'!$E321="","-",'ORDENES'!$E321))</f>
        <v/>
      </c>
      <c r="K343" s="12">
        <f>IF('ORDENES'!$A321="","",IF('ORDENES'!$N321="",0,'ORDENES'!$N321))</f>
        <v/>
      </c>
      <c r="L343" s="3">
        <f>IF('ORDENES'!$A321="","",IF('ORDENES'!$O321="","-",'ORDENES'!$O321))</f>
        <v/>
      </c>
      <c r="M343" s="3">
        <f>IF('ORDENES'!$A321="","",'ORDENES'!$AB321)</f>
        <v/>
      </c>
    </row>
    <row r="344">
      <c r="A344" s="3">
        <f>IF('ORDENES'!$A322="","",IF('ORDENES'!$P322="","-",'ORDENES'!$P322))</f>
        <v/>
      </c>
      <c r="B344" s="3">
        <f>IF('ORDENES'!$A322="","",IF('ORDENES'!$S322="","-",'ORDENES'!$S322))</f>
        <v/>
      </c>
      <c r="C344" s="3">
        <f>IF('ORDENES'!$A322="","",IF('ORDENES'!$AD322="","-",'ORDENES'!$AD322))</f>
        <v/>
      </c>
      <c r="D344" s="3">
        <f>IF('ORDENES'!$A322="","",IF('ORDENES'!$W322="","-",'ORDENES'!$W322))</f>
        <v/>
      </c>
      <c r="E344" s="3">
        <f>IF('ORDENES'!$A322="","",IF('ORDENES'!$V322="","-",'ORDENES'!$V322))</f>
        <v/>
      </c>
      <c r="F344" s="3">
        <f>IF('ORDENES'!$A322="","",IF('ORDENES'!$X322="","-",'ORDENES'!$X322))</f>
        <v/>
      </c>
      <c r="G344" s="3">
        <f>IF('ORDENES'!$A322="","",IF('ORDENES'!$AC322="","-",'ORDENES'!$AC322))</f>
        <v/>
      </c>
      <c r="H344" s="3">
        <f>IF('ORDENES'!$A322="","",IF('ORDENES'!$AO322="","-",'ORDENES'!$AO322))</f>
        <v/>
      </c>
      <c r="I344" s="3">
        <f>IF('ORDENES'!$A322="","",IF('ORDENES'!$D322="","-",'ORDENES'!$D322))</f>
        <v/>
      </c>
      <c r="J344" s="3">
        <f>IF('ORDENES'!$A322="","",IF('ORDENES'!$E322="","-",'ORDENES'!$E322))</f>
        <v/>
      </c>
      <c r="K344" s="12">
        <f>IF('ORDENES'!$A322="","",IF('ORDENES'!$N322="",0,'ORDENES'!$N322))</f>
        <v/>
      </c>
      <c r="L344" s="3">
        <f>IF('ORDENES'!$A322="","",IF('ORDENES'!$O322="","-",'ORDENES'!$O322))</f>
        <v/>
      </c>
      <c r="M344" s="3">
        <f>IF('ORDENES'!$A322="","",'ORDENES'!$AB322)</f>
        <v/>
      </c>
    </row>
    <row r="345">
      <c r="A345" s="3">
        <f>IF('ORDENES'!$A323="","",IF('ORDENES'!$P323="","-",'ORDENES'!$P323))</f>
        <v/>
      </c>
      <c r="B345" s="3">
        <f>IF('ORDENES'!$A323="","",IF('ORDENES'!$S323="","-",'ORDENES'!$S323))</f>
        <v/>
      </c>
      <c r="C345" s="3">
        <f>IF('ORDENES'!$A323="","",IF('ORDENES'!$AD323="","-",'ORDENES'!$AD323))</f>
        <v/>
      </c>
      <c r="D345" s="3">
        <f>IF('ORDENES'!$A323="","",IF('ORDENES'!$W323="","-",'ORDENES'!$W323))</f>
        <v/>
      </c>
      <c r="E345" s="3">
        <f>IF('ORDENES'!$A323="","",IF('ORDENES'!$V323="","-",'ORDENES'!$V323))</f>
        <v/>
      </c>
      <c r="F345" s="3">
        <f>IF('ORDENES'!$A323="","",IF('ORDENES'!$X323="","-",'ORDENES'!$X323))</f>
        <v/>
      </c>
      <c r="G345" s="3">
        <f>IF('ORDENES'!$A323="","",IF('ORDENES'!$AC323="","-",'ORDENES'!$AC323))</f>
        <v/>
      </c>
      <c r="H345" s="3">
        <f>IF('ORDENES'!$A323="","",IF('ORDENES'!$AO323="","-",'ORDENES'!$AO323))</f>
        <v/>
      </c>
      <c r="I345" s="3">
        <f>IF('ORDENES'!$A323="","",IF('ORDENES'!$D323="","-",'ORDENES'!$D323))</f>
        <v/>
      </c>
      <c r="J345" s="3">
        <f>IF('ORDENES'!$A323="","",IF('ORDENES'!$E323="","-",'ORDENES'!$E323))</f>
        <v/>
      </c>
      <c r="K345" s="12">
        <f>IF('ORDENES'!$A323="","",IF('ORDENES'!$N323="",0,'ORDENES'!$N323))</f>
        <v/>
      </c>
      <c r="L345" s="3">
        <f>IF('ORDENES'!$A323="","",IF('ORDENES'!$O323="","-",'ORDENES'!$O323))</f>
        <v/>
      </c>
      <c r="M345" s="3">
        <f>IF('ORDENES'!$A323="","",'ORDENES'!$AB323)</f>
        <v/>
      </c>
    </row>
    <row r="346">
      <c r="A346" s="3">
        <f>IF('ORDENES'!$A324="","",IF('ORDENES'!$P324="","-",'ORDENES'!$P324))</f>
        <v/>
      </c>
      <c r="B346" s="3">
        <f>IF('ORDENES'!$A324="","",IF('ORDENES'!$S324="","-",'ORDENES'!$S324))</f>
        <v/>
      </c>
      <c r="C346" s="3">
        <f>IF('ORDENES'!$A324="","",IF('ORDENES'!$AD324="","-",'ORDENES'!$AD324))</f>
        <v/>
      </c>
      <c r="D346" s="3">
        <f>IF('ORDENES'!$A324="","",IF('ORDENES'!$W324="","-",'ORDENES'!$W324))</f>
        <v/>
      </c>
      <c r="E346" s="3">
        <f>IF('ORDENES'!$A324="","",IF('ORDENES'!$V324="","-",'ORDENES'!$V324))</f>
        <v/>
      </c>
      <c r="F346" s="3">
        <f>IF('ORDENES'!$A324="","",IF('ORDENES'!$X324="","-",'ORDENES'!$X324))</f>
        <v/>
      </c>
      <c r="G346" s="3">
        <f>IF('ORDENES'!$A324="","",IF('ORDENES'!$AC324="","-",'ORDENES'!$AC324))</f>
        <v/>
      </c>
      <c r="H346" s="3">
        <f>IF('ORDENES'!$A324="","",IF('ORDENES'!$AO324="","-",'ORDENES'!$AO324))</f>
        <v/>
      </c>
      <c r="I346" s="3">
        <f>IF('ORDENES'!$A324="","",IF('ORDENES'!$D324="","-",'ORDENES'!$D324))</f>
        <v/>
      </c>
      <c r="J346" s="3">
        <f>IF('ORDENES'!$A324="","",IF('ORDENES'!$E324="","-",'ORDENES'!$E324))</f>
        <v/>
      </c>
      <c r="K346" s="12">
        <f>IF('ORDENES'!$A324="","",IF('ORDENES'!$N324="",0,'ORDENES'!$N324))</f>
        <v/>
      </c>
      <c r="L346" s="3">
        <f>IF('ORDENES'!$A324="","",IF('ORDENES'!$O324="","-",'ORDENES'!$O324))</f>
        <v/>
      </c>
      <c r="M346" s="3">
        <f>IF('ORDENES'!$A324="","",'ORDENES'!$AB324)</f>
        <v/>
      </c>
    </row>
    <row r="347">
      <c r="A347" s="3">
        <f>IF('ORDENES'!$A325="","",IF('ORDENES'!$P325="","-",'ORDENES'!$P325))</f>
        <v/>
      </c>
      <c r="B347" s="3">
        <f>IF('ORDENES'!$A325="","",IF('ORDENES'!$S325="","-",'ORDENES'!$S325))</f>
        <v/>
      </c>
      <c r="C347" s="3">
        <f>IF('ORDENES'!$A325="","",IF('ORDENES'!$AD325="","-",'ORDENES'!$AD325))</f>
        <v/>
      </c>
      <c r="D347" s="3">
        <f>IF('ORDENES'!$A325="","",IF('ORDENES'!$W325="","-",'ORDENES'!$W325))</f>
        <v/>
      </c>
      <c r="E347" s="3">
        <f>IF('ORDENES'!$A325="","",IF('ORDENES'!$V325="","-",'ORDENES'!$V325))</f>
        <v/>
      </c>
      <c r="F347" s="3">
        <f>IF('ORDENES'!$A325="","",IF('ORDENES'!$X325="","-",'ORDENES'!$X325))</f>
        <v/>
      </c>
      <c r="G347" s="3">
        <f>IF('ORDENES'!$A325="","",IF('ORDENES'!$AC325="","-",'ORDENES'!$AC325))</f>
        <v/>
      </c>
      <c r="H347" s="3">
        <f>IF('ORDENES'!$A325="","",IF('ORDENES'!$AO325="","-",'ORDENES'!$AO325))</f>
        <v/>
      </c>
      <c r="I347" s="3">
        <f>IF('ORDENES'!$A325="","",IF('ORDENES'!$D325="","-",'ORDENES'!$D325))</f>
        <v/>
      </c>
      <c r="J347" s="3">
        <f>IF('ORDENES'!$A325="","",IF('ORDENES'!$E325="","-",'ORDENES'!$E325))</f>
        <v/>
      </c>
      <c r="K347" s="12">
        <f>IF('ORDENES'!$A325="","",IF('ORDENES'!$N325="",0,'ORDENES'!$N325))</f>
        <v/>
      </c>
      <c r="L347" s="3">
        <f>IF('ORDENES'!$A325="","",IF('ORDENES'!$O325="","-",'ORDENES'!$O325))</f>
        <v/>
      </c>
      <c r="M347" s="3">
        <f>IF('ORDENES'!$A325="","",'ORDENES'!$AB325)</f>
        <v/>
      </c>
    </row>
    <row r="348">
      <c r="A348" s="3">
        <f>IF('ORDENES'!$A326="","",IF('ORDENES'!$P326="","-",'ORDENES'!$P326))</f>
        <v/>
      </c>
      <c r="B348" s="3">
        <f>IF('ORDENES'!$A326="","",IF('ORDENES'!$S326="","-",'ORDENES'!$S326))</f>
        <v/>
      </c>
      <c r="C348" s="3">
        <f>IF('ORDENES'!$A326="","",IF('ORDENES'!$AD326="","-",'ORDENES'!$AD326))</f>
        <v/>
      </c>
      <c r="D348" s="3">
        <f>IF('ORDENES'!$A326="","",IF('ORDENES'!$W326="","-",'ORDENES'!$W326))</f>
        <v/>
      </c>
      <c r="E348" s="3">
        <f>IF('ORDENES'!$A326="","",IF('ORDENES'!$V326="","-",'ORDENES'!$V326))</f>
        <v/>
      </c>
      <c r="F348" s="3">
        <f>IF('ORDENES'!$A326="","",IF('ORDENES'!$X326="","-",'ORDENES'!$X326))</f>
        <v/>
      </c>
      <c r="G348" s="3">
        <f>IF('ORDENES'!$A326="","",IF('ORDENES'!$AC326="","-",'ORDENES'!$AC326))</f>
        <v/>
      </c>
      <c r="H348" s="3">
        <f>IF('ORDENES'!$A326="","",IF('ORDENES'!$AO326="","-",'ORDENES'!$AO326))</f>
        <v/>
      </c>
      <c r="I348" s="3">
        <f>IF('ORDENES'!$A326="","",IF('ORDENES'!$D326="","-",'ORDENES'!$D326))</f>
        <v/>
      </c>
      <c r="J348" s="3">
        <f>IF('ORDENES'!$A326="","",IF('ORDENES'!$E326="","-",'ORDENES'!$E326))</f>
        <v/>
      </c>
      <c r="K348" s="12">
        <f>IF('ORDENES'!$A326="","",IF('ORDENES'!$N326="",0,'ORDENES'!$N326))</f>
        <v/>
      </c>
      <c r="L348" s="3">
        <f>IF('ORDENES'!$A326="","",IF('ORDENES'!$O326="","-",'ORDENES'!$O326))</f>
        <v/>
      </c>
      <c r="M348" s="3">
        <f>IF('ORDENES'!$A326="","",'ORDENES'!$AB326)</f>
        <v/>
      </c>
    </row>
    <row r="349">
      <c r="A349" s="3">
        <f>IF('ORDENES'!$A327="","",IF('ORDENES'!$P327="","-",'ORDENES'!$P327))</f>
        <v/>
      </c>
      <c r="B349" s="3">
        <f>IF('ORDENES'!$A327="","",IF('ORDENES'!$S327="","-",'ORDENES'!$S327))</f>
        <v/>
      </c>
      <c r="C349" s="3">
        <f>IF('ORDENES'!$A327="","",IF('ORDENES'!$AD327="","-",'ORDENES'!$AD327))</f>
        <v/>
      </c>
      <c r="D349" s="3">
        <f>IF('ORDENES'!$A327="","",IF('ORDENES'!$W327="","-",'ORDENES'!$W327))</f>
        <v/>
      </c>
      <c r="E349" s="3">
        <f>IF('ORDENES'!$A327="","",IF('ORDENES'!$V327="","-",'ORDENES'!$V327))</f>
        <v/>
      </c>
      <c r="F349" s="3">
        <f>IF('ORDENES'!$A327="","",IF('ORDENES'!$X327="","-",'ORDENES'!$X327))</f>
        <v/>
      </c>
      <c r="G349" s="3">
        <f>IF('ORDENES'!$A327="","",IF('ORDENES'!$AC327="","-",'ORDENES'!$AC327))</f>
        <v/>
      </c>
      <c r="H349" s="3">
        <f>IF('ORDENES'!$A327="","",IF('ORDENES'!$AO327="","-",'ORDENES'!$AO327))</f>
        <v/>
      </c>
      <c r="I349" s="3">
        <f>IF('ORDENES'!$A327="","",IF('ORDENES'!$D327="","-",'ORDENES'!$D327))</f>
        <v/>
      </c>
      <c r="J349" s="3">
        <f>IF('ORDENES'!$A327="","",IF('ORDENES'!$E327="","-",'ORDENES'!$E327))</f>
        <v/>
      </c>
      <c r="K349" s="12">
        <f>IF('ORDENES'!$A327="","",IF('ORDENES'!$N327="",0,'ORDENES'!$N327))</f>
        <v/>
      </c>
      <c r="L349" s="3">
        <f>IF('ORDENES'!$A327="","",IF('ORDENES'!$O327="","-",'ORDENES'!$O327))</f>
        <v/>
      </c>
      <c r="M349" s="3">
        <f>IF('ORDENES'!$A327="","",'ORDENES'!$AB327)</f>
        <v/>
      </c>
    </row>
    <row r="350">
      <c r="A350" s="3">
        <f>IF('ORDENES'!$A328="","",IF('ORDENES'!$P328="","-",'ORDENES'!$P328))</f>
        <v/>
      </c>
      <c r="B350" s="3">
        <f>IF('ORDENES'!$A328="","",IF('ORDENES'!$S328="","-",'ORDENES'!$S328))</f>
        <v/>
      </c>
      <c r="C350" s="3">
        <f>IF('ORDENES'!$A328="","",IF('ORDENES'!$AD328="","-",'ORDENES'!$AD328))</f>
        <v/>
      </c>
      <c r="D350" s="3">
        <f>IF('ORDENES'!$A328="","",IF('ORDENES'!$W328="","-",'ORDENES'!$W328))</f>
        <v/>
      </c>
      <c r="E350" s="3">
        <f>IF('ORDENES'!$A328="","",IF('ORDENES'!$V328="","-",'ORDENES'!$V328))</f>
        <v/>
      </c>
      <c r="F350" s="3">
        <f>IF('ORDENES'!$A328="","",IF('ORDENES'!$X328="","-",'ORDENES'!$X328))</f>
        <v/>
      </c>
      <c r="G350" s="3">
        <f>IF('ORDENES'!$A328="","",IF('ORDENES'!$AC328="","-",'ORDENES'!$AC328))</f>
        <v/>
      </c>
      <c r="H350" s="3">
        <f>IF('ORDENES'!$A328="","",IF('ORDENES'!$AO328="","-",'ORDENES'!$AO328))</f>
        <v/>
      </c>
      <c r="I350" s="3">
        <f>IF('ORDENES'!$A328="","",IF('ORDENES'!$D328="","-",'ORDENES'!$D328))</f>
        <v/>
      </c>
      <c r="J350" s="3">
        <f>IF('ORDENES'!$A328="","",IF('ORDENES'!$E328="","-",'ORDENES'!$E328))</f>
        <v/>
      </c>
      <c r="K350" s="12">
        <f>IF('ORDENES'!$A328="","",IF('ORDENES'!$N328="",0,'ORDENES'!$N328))</f>
        <v/>
      </c>
      <c r="L350" s="3">
        <f>IF('ORDENES'!$A328="","",IF('ORDENES'!$O328="","-",'ORDENES'!$O328))</f>
        <v/>
      </c>
      <c r="M350" s="3">
        <f>IF('ORDENES'!$A328="","",'ORDENES'!$AB328)</f>
        <v/>
      </c>
    </row>
    <row r="351">
      <c r="A351" s="3">
        <f>IF('ORDENES'!$A329="","",IF('ORDENES'!$P329="","-",'ORDENES'!$P329))</f>
        <v/>
      </c>
      <c r="B351" s="3">
        <f>IF('ORDENES'!$A329="","",IF('ORDENES'!$S329="","-",'ORDENES'!$S329))</f>
        <v/>
      </c>
      <c r="C351" s="3">
        <f>IF('ORDENES'!$A329="","",IF('ORDENES'!$AD329="","-",'ORDENES'!$AD329))</f>
        <v/>
      </c>
      <c r="D351" s="3">
        <f>IF('ORDENES'!$A329="","",IF('ORDENES'!$W329="","-",'ORDENES'!$W329))</f>
        <v/>
      </c>
      <c r="E351" s="3">
        <f>IF('ORDENES'!$A329="","",IF('ORDENES'!$V329="","-",'ORDENES'!$V329))</f>
        <v/>
      </c>
      <c r="F351" s="3">
        <f>IF('ORDENES'!$A329="","",IF('ORDENES'!$X329="","-",'ORDENES'!$X329))</f>
        <v/>
      </c>
      <c r="G351" s="3">
        <f>IF('ORDENES'!$A329="","",IF('ORDENES'!$AC329="","-",'ORDENES'!$AC329))</f>
        <v/>
      </c>
      <c r="H351" s="3">
        <f>IF('ORDENES'!$A329="","",IF('ORDENES'!$AO329="","-",'ORDENES'!$AO329))</f>
        <v/>
      </c>
      <c r="I351" s="3">
        <f>IF('ORDENES'!$A329="","",IF('ORDENES'!$D329="","-",'ORDENES'!$D329))</f>
        <v/>
      </c>
      <c r="J351" s="3">
        <f>IF('ORDENES'!$A329="","",IF('ORDENES'!$E329="","-",'ORDENES'!$E329))</f>
        <v/>
      </c>
      <c r="K351" s="12">
        <f>IF('ORDENES'!$A329="","",IF('ORDENES'!$N329="",0,'ORDENES'!$N329))</f>
        <v/>
      </c>
      <c r="L351" s="3">
        <f>IF('ORDENES'!$A329="","",IF('ORDENES'!$O329="","-",'ORDENES'!$O329))</f>
        <v/>
      </c>
      <c r="M351" s="3">
        <f>IF('ORDENES'!$A329="","",'ORDENES'!$AB329)</f>
        <v/>
      </c>
    </row>
    <row r="352">
      <c r="A352" s="3">
        <f>IF('ORDENES'!$A330="","",IF('ORDENES'!$P330="","-",'ORDENES'!$P330))</f>
        <v/>
      </c>
      <c r="B352" s="3">
        <f>IF('ORDENES'!$A330="","",IF('ORDENES'!$S330="","-",'ORDENES'!$S330))</f>
        <v/>
      </c>
      <c r="C352" s="3">
        <f>IF('ORDENES'!$A330="","",IF('ORDENES'!$AD330="","-",'ORDENES'!$AD330))</f>
        <v/>
      </c>
      <c r="D352" s="3">
        <f>IF('ORDENES'!$A330="","",IF('ORDENES'!$W330="","-",'ORDENES'!$W330))</f>
        <v/>
      </c>
      <c r="E352" s="3">
        <f>IF('ORDENES'!$A330="","",IF('ORDENES'!$V330="","-",'ORDENES'!$V330))</f>
        <v/>
      </c>
      <c r="F352" s="3">
        <f>IF('ORDENES'!$A330="","",IF('ORDENES'!$X330="","-",'ORDENES'!$X330))</f>
        <v/>
      </c>
      <c r="G352" s="3">
        <f>IF('ORDENES'!$A330="","",IF('ORDENES'!$AC330="","-",'ORDENES'!$AC330))</f>
        <v/>
      </c>
      <c r="H352" s="3">
        <f>IF('ORDENES'!$A330="","",IF('ORDENES'!$AO330="","-",'ORDENES'!$AO330))</f>
        <v/>
      </c>
      <c r="I352" s="3">
        <f>IF('ORDENES'!$A330="","",IF('ORDENES'!$D330="","-",'ORDENES'!$D330))</f>
        <v/>
      </c>
      <c r="J352" s="3">
        <f>IF('ORDENES'!$A330="","",IF('ORDENES'!$E330="","-",'ORDENES'!$E330))</f>
        <v/>
      </c>
      <c r="K352" s="12">
        <f>IF('ORDENES'!$A330="","",IF('ORDENES'!$N330="",0,'ORDENES'!$N330))</f>
        <v/>
      </c>
      <c r="L352" s="3">
        <f>IF('ORDENES'!$A330="","",IF('ORDENES'!$O330="","-",'ORDENES'!$O330))</f>
        <v/>
      </c>
      <c r="M352" s="3">
        <f>IF('ORDENES'!$A330="","",'ORDENES'!$AB330)</f>
        <v/>
      </c>
    </row>
    <row r="353">
      <c r="A353" s="3">
        <f>IF('ORDENES'!$A331="","",IF('ORDENES'!$P331="","-",'ORDENES'!$P331))</f>
        <v/>
      </c>
      <c r="B353" s="3">
        <f>IF('ORDENES'!$A331="","",IF('ORDENES'!$S331="","-",'ORDENES'!$S331))</f>
        <v/>
      </c>
      <c r="C353" s="3">
        <f>IF('ORDENES'!$A331="","",IF('ORDENES'!$AD331="","-",'ORDENES'!$AD331))</f>
        <v/>
      </c>
      <c r="D353" s="3">
        <f>IF('ORDENES'!$A331="","",IF('ORDENES'!$W331="","-",'ORDENES'!$W331))</f>
        <v/>
      </c>
      <c r="E353" s="3">
        <f>IF('ORDENES'!$A331="","",IF('ORDENES'!$V331="","-",'ORDENES'!$V331))</f>
        <v/>
      </c>
      <c r="F353" s="3">
        <f>IF('ORDENES'!$A331="","",IF('ORDENES'!$X331="","-",'ORDENES'!$X331))</f>
        <v/>
      </c>
      <c r="G353" s="3">
        <f>IF('ORDENES'!$A331="","",IF('ORDENES'!$AC331="","-",'ORDENES'!$AC331))</f>
        <v/>
      </c>
      <c r="H353" s="3">
        <f>IF('ORDENES'!$A331="","",IF('ORDENES'!$AO331="","-",'ORDENES'!$AO331))</f>
        <v/>
      </c>
      <c r="I353" s="3">
        <f>IF('ORDENES'!$A331="","",IF('ORDENES'!$D331="","-",'ORDENES'!$D331))</f>
        <v/>
      </c>
      <c r="J353" s="3">
        <f>IF('ORDENES'!$A331="","",IF('ORDENES'!$E331="","-",'ORDENES'!$E331))</f>
        <v/>
      </c>
      <c r="K353" s="12">
        <f>IF('ORDENES'!$A331="","",IF('ORDENES'!$N331="",0,'ORDENES'!$N331))</f>
        <v/>
      </c>
      <c r="L353" s="3">
        <f>IF('ORDENES'!$A331="","",IF('ORDENES'!$O331="","-",'ORDENES'!$O331))</f>
        <v/>
      </c>
      <c r="M353" s="3">
        <f>IF('ORDENES'!$A331="","",'ORDENES'!$AB331)</f>
        <v/>
      </c>
    </row>
    <row r="354">
      <c r="A354" s="3">
        <f>IF('ORDENES'!$A332="","",IF('ORDENES'!$P332="","-",'ORDENES'!$P332))</f>
        <v/>
      </c>
      <c r="B354" s="3">
        <f>IF('ORDENES'!$A332="","",IF('ORDENES'!$S332="","-",'ORDENES'!$S332))</f>
        <v/>
      </c>
      <c r="C354" s="3">
        <f>IF('ORDENES'!$A332="","",IF('ORDENES'!$AD332="","-",'ORDENES'!$AD332))</f>
        <v/>
      </c>
      <c r="D354" s="3">
        <f>IF('ORDENES'!$A332="","",IF('ORDENES'!$W332="","-",'ORDENES'!$W332))</f>
        <v/>
      </c>
      <c r="E354" s="3">
        <f>IF('ORDENES'!$A332="","",IF('ORDENES'!$V332="","-",'ORDENES'!$V332))</f>
        <v/>
      </c>
      <c r="F354" s="3">
        <f>IF('ORDENES'!$A332="","",IF('ORDENES'!$X332="","-",'ORDENES'!$X332))</f>
        <v/>
      </c>
      <c r="G354" s="3">
        <f>IF('ORDENES'!$A332="","",IF('ORDENES'!$AC332="","-",'ORDENES'!$AC332))</f>
        <v/>
      </c>
      <c r="H354" s="3">
        <f>IF('ORDENES'!$A332="","",IF('ORDENES'!$AO332="","-",'ORDENES'!$AO332))</f>
        <v/>
      </c>
      <c r="I354" s="3">
        <f>IF('ORDENES'!$A332="","",IF('ORDENES'!$D332="","-",'ORDENES'!$D332))</f>
        <v/>
      </c>
      <c r="J354" s="3">
        <f>IF('ORDENES'!$A332="","",IF('ORDENES'!$E332="","-",'ORDENES'!$E332))</f>
        <v/>
      </c>
      <c r="K354" s="12">
        <f>IF('ORDENES'!$A332="","",IF('ORDENES'!$N332="",0,'ORDENES'!$N332))</f>
        <v/>
      </c>
      <c r="L354" s="3">
        <f>IF('ORDENES'!$A332="","",IF('ORDENES'!$O332="","-",'ORDENES'!$O332))</f>
        <v/>
      </c>
      <c r="M354" s="3">
        <f>IF('ORDENES'!$A332="","",'ORDENES'!$AB332)</f>
        <v/>
      </c>
    </row>
    <row r="355">
      <c r="A355" s="3">
        <f>IF('ORDENES'!$A333="","",IF('ORDENES'!$P333="","-",'ORDENES'!$P333))</f>
        <v/>
      </c>
      <c r="B355" s="3">
        <f>IF('ORDENES'!$A333="","",IF('ORDENES'!$S333="","-",'ORDENES'!$S333))</f>
        <v/>
      </c>
      <c r="C355" s="3">
        <f>IF('ORDENES'!$A333="","",IF('ORDENES'!$AD333="","-",'ORDENES'!$AD333))</f>
        <v/>
      </c>
      <c r="D355" s="3">
        <f>IF('ORDENES'!$A333="","",IF('ORDENES'!$W333="","-",'ORDENES'!$W333))</f>
        <v/>
      </c>
      <c r="E355" s="3">
        <f>IF('ORDENES'!$A333="","",IF('ORDENES'!$V333="","-",'ORDENES'!$V333))</f>
        <v/>
      </c>
      <c r="F355" s="3">
        <f>IF('ORDENES'!$A333="","",IF('ORDENES'!$X333="","-",'ORDENES'!$X333))</f>
        <v/>
      </c>
      <c r="G355" s="3">
        <f>IF('ORDENES'!$A333="","",IF('ORDENES'!$AC333="","-",'ORDENES'!$AC333))</f>
        <v/>
      </c>
      <c r="H355" s="3">
        <f>IF('ORDENES'!$A333="","",IF('ORDENES'!$AO333="","-",'ORDENES'!$AO333))</f>
        <v/>
      </c>
      <c r="I355" s="3">
        <f>IF('ORDENES'!$A333="","",IF('ORDENES'!$D333="","-",'ORDENES'!$D333))</f>
        <v/>
      </c>
      <c r="J355" s="3">
        <f>IF('ORDENES'!$A333="","",IF('ORDENES'!$E333="","-",'ORDENES'!$E333))</f>
        <v/>
      </c>
      <c r="K355" s="12">
        <f>IF('ORDENES'!$A333="","",IF('ORDENES'!$N333="",0,'ORDENES'!$N333))</f>
        <v/>
      </c>
      <c r="L355" s="3">
        <f>IF('ORDENES'!$A333="","",IF('ORDENES'!$O333="","-",'ORDENES'!$O333))</f>
        <v/>
      </c>
      <c r="M355" s="3">
        <f>IF('ORDENES'!$A333="","",'ORDENES'!$AB333)</f>
        <v/>
      </c>
    </row>
    <row r="356">
      <c r="A356" s="3">
        <f>IF('ORDENES'!$A334="","",IF('ORDENES'!$P334="","-",'ORDENES'!$P334))</f>
        <v/>
      </c>
      <c r="B356" s="3">
        <f>IF('ORDENES'!$A334="","",IF('ORDENES'!$S334="","-",'ORDENES'!$S334))</f>
        <v/>
      </c>
      <c r="C356" s="3">
        <f>IF('ORDENES'!$A334="","",IF('ORDENES'!$AD334="","-",'ORDENES'!$AD334))</f>
        <v/>
      </c>
      <c r="D356" s="3">
        <f>IF('ORDENES'!$A334="","",IF('ORDENES'!$W334="","-",'ORDENES'!$W334))</f>
        <v/>
      </c>
      <c r="E356" s="3">
        <f>IF('ORDENES'!$A334="","",IF('ORDENES'!$V334="","-",'ORDENES'!$V334))</f>
        <v/>
      </c>
      <c r="F356" s="3">
        <f>IF('ORDENES'!$A334="","",IF('ORDENES'!$X334="","-",'ORDENES'!$X334))</f>
        <v/>
      </c>
      <c r="G356" s="3">
        <f>IF('ORDENES'!$A334="","",IF('ORDENES'!$AC334="","-",'ORDENES'!$AC334))</f>
        <v/>
      </c>
      <c r="H356" s="3">
        <f>IF('ORDENES'!$A334="","",IF('ORDENES'!$AO334="","-",'ORDENES'!$AO334))</f>
        <v/>
      </c>
      <c r="I356" s="3">
        <f>IF('ORDENES'!$A334="","",IF('ORDENES'!$D334="","-",'ORDENES'!$D334))</f>
        <v/>
      </c>
      <c r="J356" s="3">
        <f>IF('ORDENES'!$A334="","",IF('ORDENES'!$E334="","-",'ORDENES'!$E334))</f>
        <v/>
      </c>
      <c r="K356" s="12">
        <f>IF('ORDENES'!$A334="","",IF('ORDENES'!$N334="",0,'ORDENES'!$N334))</f>
        <v/>
      </c>
      <c r="L356" s="3">
        <f>IF('ORDENES'!$A334="","",IF('ORDENES'!$O334="","-",'ORDENES'!$O334))</f>
        <v/>
      </c>
      <c r="M356" s="3">
        <f>IF('ORDENES'!$A334="","",'ORDENES'!$AB334)</f>
        <v/>
      </c>
    </row>
    <row r="357">
      <c r="A357" s="3">
        <f>IF('ORDENES'!$A335="","",IF('ORDENES'!$P335="","-",'ORDENES'!$P335))</f>
        <v/>
      </c>
      <c r="B357" s="3">
        <f>IF('ORDENES'!$A335="","",IF('ORDENES'!$S335="","-",'ORDENES'!$S335))</f>
        <v/>
      </c>
      <c r="C357" s="3">
        <f>IF('ORDENES'!$A335="","",IF('ORDENES'!$AD335="","-",'ORDENES'!$AD335))</f>
        <v/>
      </c>
      <c r="D357" s="3">
        <f>IF('ORDENES'!$A335="","",IF('ORDENES'!$W335="","-",'ORDENES'!$W335))</f>
        <v/>
      </c>
      <c r="E357" s="3">
        <f>IF('ORDENES'!$A335="","",IF('ORDENES'!$V335="","-",'ORDENES'!$V335))</f>
        <v/>
      </c>
      <c r="F357" s="3">
        <f>IF('ORDENES'!$A335="","",IF('ORDENES'!$X335="","-",'ORDENES'!$X335))</f>
        <v/>
      </c>
      <c r="G357" s="3">
        <f>IF('ORDENES'!$A335="","",IF('ORDENES'!$AC335="","-",'ORDENES'!$AC335))</f>
        <v/>
      </c>
      <c r="H357" s="3">
        <f>IF('ORDENES'!$A335="","",IF('ORDENES'!$AO335="","-",'ORDENES'!$AO335))</f>
        <v/>
      </c>
      <c r="I357" s="3">
        <f>IF('ORDENES'!$A335="","",IF('ORDENES'!$D335="","-",'ORDENES'!$D335))</f>
        <v/>
      </c>
      <c r="J357" s="3">
        <f>IF('ORDENES'!$A335="","",IF('ORDENES'!$E335="","-",'ORDENES'!$E335))</f>
        <v/>
      </c>
      <c r="K357" s="12">
        <f>IF('ORDENES'!$A335="","",IF('ORDENES'!$N335="",0,'ORDENES'!$N335))</f>
        <v/>
      </c>
      <c r="L357" s="3">
        <f>IF('ORDENES'!$A335="","",IF('ORDENES'!$O335="","-",'ORDENES'!$O335))</f>
        <v/>
      </c>
      <c r="M357" s="3">
        <f>IF('ORDENES'!$A335="","",'ORDENES'!$AB335)</f>
        <v/>
      </c>
    </row>
    <row r="358">
      <c r="A358" s="3">
        <f>IF('ORDENES'!$A336="","",IF('ORDENES'!$P336="","-",'ORDENES'!$P336))</f>
        <v/>
      </c>
      <c r="B358" s="3">
        <f>IF('ORDENES'!$A336="","",IF('ORDENES'!$S336="","-",'ORDENES'!$S336))</f>
        <v/>
      </c>
      <c r="C358" s="3">
        <f>IF('ORDENES'!$A336="","",IF('ORDENES'!$AD336="","-",'ORDENES'!$AD336))</f>
        <v/>
      </c>
      <c r="D358" s="3">
        <f>IF('ORDENES'!$A336="","",IF('ORDENES'!$W336="","-",'ORDENES'!$W336))</f>
        <v/>
      </c>
      <c r="E358" s="3">
        <f>IF('ORDENES'!$A336="","",IF('ORDENES'!$V336="","-",'ORDENES'!$V336))</f>
        <v/>
      </c>
      <c r="F358" s="3">
        <f>IF('ORDENES'!$A336="","",IF('ORDENES'!$X336="","-",'ORDENES'!$X336))</f>
        <v/>
      </c>
      <c r="G358" s="3">
        <f>IF('ORDENES'!$A336="","",IF('ORDENES'!$AC336="","-",'ORDENES'!$AC336))</f>
        <v/>
      </c>
      <c r="H358" s="3">
        <f>IF('ORDENES'!$A336="","",IF('ORDENES'!$AO336="","-",'ORDENES'!$AO336))</f>
        <v/>
      </c>
      <c r="I358" s="3">
        <f>IF('ORDENES'!$A336="","",IF('ORDENES'!$D336="","-",'ORDENES'!$D336))</f>
        <v/>
      </c>
      <c r="J358" s="3">
        <f>IF('ORDENES'!$A336="","",IF('ORDENES'!$E336="","-",'ORDENES'!$E336))</f>
        <v/>
      </c>
      <c r="K358" s="12">
        <f>IF('ORDENES'!$A336="","",IF('ORDENES'!$N336="",0,'ORDENES'!$N336))</f>
        <v/>
      </c>
      <c r="L358" s="3">
        <f>IF('ORDENES'!$A336="","",IF('ORDENES'!$O336="","-",'ORDENES'!$O336))</f>
        <v/>
      </c>
      <c r="M358" s="3">
        <f>IF('ORDENES'!$A336="","",'ORDENES'!$AB336)</f>
        <v/>
      </c>
    </row>
    <row r="359">
      <c r="A359" s="3">
        <f>IF('ORDENES'!$A337="","",IF('ORDENES'!$P337="","-",'ORDENES'!$P337))</f>
        <v/>
      </c>
      <c r="B359" s="3">
        <f>IF('ORDENES'!$A337="","",IF('ORDENES'!$S337="","-",'ORDENES'!$S337))</f>
        <v/>
      </c>
      <c r="C359" s="3">
        <f>IF('ORDENES'!$A337="","",IF('ORDENES'!$AD337="","-",'ORDENES'!$AD337))</f>
        <v/>
      </c>
      <c r="D359" s="3">
        <f>IF('ORDENES'!$A337="","",IF('ORDENES'!$W337="","-",'ORDENES'!$W337))</f>
        <v/>
      </c>
      <c r="E359" s="3">
        <f>IF('ORDENES'!$A337="","",IF('ORDENES'!$V337="","-",'ORDENES'!$V337))</f>
        <v/>
      </c>
      <c r="F359" s="3">
        <f>IF('ORDENES'!$A337="","",IF('ORDENES'!$X337="","-",'ORDENES'!$X337))</f>
        <v/>
      </c>
      <c r="G359" s="3">
        <f>IF('ORDENES'!$A337="","",IF('ORDENES'!$AC337="","-",'ORDENES'!$AC337))</f>
        <v/>
      </c>
      <c r="H359" s="3">
        <f>IF('ORDENES'!$A337="","",IF('ORDENES'!$AO337="","-",'ORDENES'!$AO337))</f>
        <v/>
      </c>
      <c r="I359" s="3">
        <f>IF('ORDENES'!$A337="","",IF('ORDENES'!$D337="","-",'ORDENES'!$D337))</f>
        <v/>
      </c>
      <c r="J359" s="3">
        <f>IF('ORDENES'!$A337="","",IF('ORDENES'!$E337="","-",'ORDENES'!$E337))</f>
        <v/>
      </c>
      <c r="K359" s="12">
        <f>IF('ORDENES'!$A337="","",IF('ORDENES'!$N337="",0,'ORDENES'!$N337))</f>
        <v/>
      </c>
      <c r="L359" s="3">
        <f>IF('ORDENES'!$A337="","",IF('ORDENES'!$O337="","-",'ORDENES'!$O337))</f>
        <v/>
      </c>
      <c r="M359" s="3">
        <f>IF('ORDENES'!$A337="","",'ORDENES'!$AB337)</f>
        <v/>
      </c>
    </row>
    <row r="360">
      <c r="A360" s="3">
        <f>IF('ORDENES'!$A338="","",IF('ORDENES'!$P338="","-",'ORDENES'!$P338))</f>
        <v/>
      </c>
      <c r="B360" s="3">
        <f>IF('ORDENES'!$A338="","",IF('ORDENES'!$S338="","-",'ORDENES'!$S338))</f>
        <v/>
      </c>
      <c r="C360" s="3">
        <f>IF('ORDENES'!$A338="","",IF('ORDENES'!$AD338="","-",'ORDENES'!$AD338))</f>
        <v/>
      </c>
      <c r="D360" s="3">
        <f>IF('ORDENES'!$A338="","",IF('ORDENES'!$W338="","-",'ORDENES'!$W338))</f>
        <v/>
      </c>
      <c r="E360" s="3">
        <f>IF('ORDENES'!$A338="","",IF('ORDENES'!$V338="","-",'ORDENES'!$V338))</f>
        <v/>
      </c>
      <c r="F360" s="3">
        <f>IF('ORDENES'!$A338="","",IF('ORDENES'!$X338="","-",'ORDENES'!$X338))</f>
        <v/>
      </c>
      <c r="G360" s="3">
        <f>IF('ORDENES'!$A338="","",IF('ORDENES'!$AC338="","-",'ORDENES'!$AC338))</f>
        <v/>
      </c>
      <c r="H360" s="3">
        <f>IF('ORDENES'!$A338="","",IF('ORDENES'!$AO338="","-",'ORDENES'!$AO338))</f>
        <v/>
      </c>
      <c r="I360" s="3">
        <f>IF('ORDENES'!$A338="","",IF('ORDENES'!$D338="","-",'ORDENES'!$D338))</f>
        <v/>
      </c>
      <c r="J360" s="3">
        <f>IF('ORDENES'!$A338="","",IF('ORDENES'!$E338="","-",'ORDENES'!$E338))</f>
        <v/>
      </c>
      <c r="K360" s="12">
        <f>IF('ORDENES'!$A338="","",IF('ORDENES'!$N338="",0,'ORDENES'!$N338))</f>
        <v/>
      </c>
      <c r="L360" s="3">
        <f>IF('ORDENES'!$A338="","",IF('ORDENES'!$O338="","-",'ORDENES'!$O338))</f>
        <v/>
      </c>
      <c r="M360" s="3">
        <f>IF('ORDENES'!$A338="","",'ORDENES'!$AB338)</f>
        <v/>
      </c>
    </row>
    <row r="361">
      <c r="A361" s="3">
        <f>IF('ORDENES'!$A339="","",IF('ORDENES'!$P339="","-",'ORDENES'!$P339))</f>
        <v/>
      </c>
      <c r="B361" s="3">
        <f>IF('ORDENES'!$A339="","",IF('ORDENES'!$S339="","-",'ORDENES'!$S339))</f>
        <v/>
      </c>
      <c r="C361" s="3">
        <f>IF('ORDENES'!$A339="","",IF('ORDENES'!$AD339="","-",'ORDENES'!$AD339))</f>
        <v/>
      </c>
      <c r="D361" s="3">
        <f>IF('ORDENES'!$A339="","",IF('ORDENES'!$W339="","-",'ORDENES'!$W339))</f>
        <v/>
      </c>
      <c r="E361" s="3">
        <f>IF('ORDENES'!$A339="","",IF('ORDENES'!$V339="","-",'ORDENES'!$V339))</f>
        <v/>
      </c>
      <c r="F361" s="3">
        <f>IF('ORDENES'!$A339="","",IF('ORDENES'!$X339="","-",'ORDENES'!$X339))</f>
        <v/>
      </c>
      <c r="G361" s="3">
        <f>IF('ORDENES'!$A339="","",IF('ORDENES'!$AC339="","-",'ORDENES'!$AC339))</f>
        <v/>
      </c>
      <c r="H361" s="3">
        <f>IF('ORDENES'!$A339="","",IF('ORDENES'!$AO339="","-",'ORDENES'!$AO339))</f>
        <v/>
      </c>
      <c r="I361" s="3">
        <f>IF('ORDENES'!$A339="","",IF('ORDENES'!$D339="","-",'ORDENES'!$D339))</f>
        <v/>
      </c>
      <c r="J361" s="3">
        <f>IF('ORDENES'!$A339="","",IF('ORDENES'!$E339="","-",'ORDENES'!$E339))</f>
        <v/>
      </c>
      <c r="K361" s="12">
        <f>IF('ORDENES'!$A339="","",IF('ORDENES'!$N339="",0,'ORDENES'!$N339))</f>
        <v/>
      </c>
      <c r="L361" s="3">
        <f>IF('ORDENES'!$A339="","",IF('ORDENES'!$O339="","-",'ORDENES'!$O339))</f>
        <v/>
      </c>
      <c r="M361" s="3">
        <f>IF('ORDENES'!$A339="","",'ORDENES'!$AB339)</f>
        <v/>
      </c>
    </row>
    <row r="362">
      <c r="A362" s="3">
        <f>IF('ORDENES'!$A340="","",IF('ORDENES'!$P340="","-",'ORDENES'!$P340))</f>
        <v/>
      </c>
      <c r="B362" s="3">
        <f>IF('ORDENES'!$A340="","",IF('ORDENES'!$S340="","-",'ORDENES'!$S340))</f>
        <v/>
      </c>
      <c r="C362" s="3">
        <f>IF('ORDENES'!$A340="","",IF('ORDENES'!$AD340="","-",'ORDENES'!$AD340))</f>
        <v/>
      </c>
      <c r="D362" s="3">
        <f>IF('ORDENES'!$A340="","",IF('ORDENES'!$W340="","-",'ORDENES'!$W340))</f>
        <v/>
      </c>
      <c r="E362" s="3">
        <f>IF('ORDENES'!$A340="","",IF('ORDENES'!$V340="","-",'ORDENES'!$V340))</f>
        <v/>
      </c>
      <c r="F362" s="3">
        <f>IF('ORDENES'!$A340="","",IF('ORDENES'!$X340="","-",'ORDENES'!$X340))</f>
        <v/>
      </c>
      <c r="G362" s="3">
        <f>IF('ORDENES'!$A340="","",IF('ORDENES'!$AC340="","-",'ORDENES'!$AC340))</f>
        <v/>
      </c>
      <c r="H362" s="3">
        <f>IF('ORDENES'!$A340="","",IF('ORDENES'!$AO340="","-",'ORDENES'!$AO340))</f>
        <v/>
      </c>
      <c r="I362" s="3">
        <f>IF('ORDENES'!$A340="","",IF('ORDENES'!$D340="","-",'ORDENES'!$D340))</f>
        <v/>
      </c>
      <c r="J362" s="3">
        <f>IF('ORDENES'!$A340="","",IF('ORDENES'!$E340="","-",'ORDENES'!$E340))</f>
        <v/>
      </c>
      <c r="K362" s="12">
        <f>IF('ORDENES'!$A340="","",IF('ORDENES'!$N340="",0,'ORDENES'!$N340))</f>
        <v/>
      </c>
      <c r="L362" s="3">
        <f>IF('ORDENES'!$A340="","",IF('ORDENES'!$O340="","-",'ORDENES'!$O340))</f>
        <v/>
      </c>
      <c r="M362" s="3">
        <f>IF('ORDENES'!$A340="","",'ORDENES'!$AB340)</f>
        <v/>
      </c>
    </row>
    <row r="363">
      <c r="A363" s="3">
        <f>IF('ORDENES'!$A341="","",IF('ORDENES'!$P341="","-",'ORDENES'!$P341))</f>
        <v/>
      </c>
      <c r="B363" s="3">
        <f>IF('ORDENES'!$A341="","",IF('ORDENES'!$S341="","-",'ORDENES'!$S341))</f>
        <v/>
      </c>
      <c r="C363" s="3">
        <f>IF('ORDENES'!$A341="","",IF('ORDENES'!$AD341="","-",'ORDENES'!$AD341))</f>
        <v/>
      </c>
      <c r="D363" s="3">
        <f>IF('ORDENES'!$A341="","",IF('ORDENES'!$W341="","-",'ORDENES'!$W341))</f>
        <v/>
      </c>
      <c r="E363" s="3">
        <f>IF('ORDENES'!$A341="","",IF('ORDENES'!$V341="","-",'ORDENES'!$V341))</f>
        <v/>
      </c>
      <c r="F363" s="3">
        <f>IF('ORDENES'!$A341="","",IF('ORDENES'!$X341="","-",'ORDENES'!$X341))</f>
        <v/>
      </c>
      <c r="G363" s="3">
        <f>IF('ORDENES'!$A341="","",IF('ORDENES'!$AC341="","-",'ORDENES'!$AC341))</f>
        <v/>
      </c>
      <c r="H363" s="3">
        <f>IF('ORDENES'!$A341="","",IF('ORDENES'!$AO341="","-",'ORDENES'!$AO341))</f>
        <v/>
      </c>
      <c r="I363" s="3">
        <f>IF('ORDENES'!$A341="","",IF('ORDENES'!$D341="","-",'ORDENES'!$D341))</f>
        <v/>
      </c>
      <c r="J363" s="3">
        <f>IF('ORDENES'!$A341="","",IF('ORDENES'!$E341="","-",'ORDENES'!$E341))</f>
        <v/>
      </c>
      <c r="K363" s="12">
        <f>IF('ORDENES'!$A341="","",IF('ORDENES'!$N341="",0,'ORDENES'!$N341))</f>
        <v/>
      </c>
      <c r="L363" s="3">
        <f>IF('ORDENES'!$A341="","",IF('ORDENES'!$O341="","-",'ORDENES'!$O341))</f>
        <v/>
      </c>
      <c r="M363" s="3">
        <f>IF('ORDENES'!$A341="","",'ORDENES'!$AB341)</f>
        <v/>
      </c>
    </row>
    <row r="364">
      <c r="A364" s="3">
        <f>IF('ORDENES'!$A342="","",IF('ORDENES'!$P342="","-",'ORDENES'!$P342))</f>
        <v/>
      </c>
      <c r="B364" s="3">
        <f>IF('ORDENES'!$A342="","",IF('ORDENES'!$S342="","-",'ORDENES'!$S342))</f>
        <v/>
      </c>
      <c r="C364" s="3">
        <f>IF('ORDENES'!$A342="","",IF('ORDENES'!$AD342="","-",'ORDENES'!$AD342))</f>
        <v/>
      </c>
      <c r="D364" s="3">
        <f>IF('ORDENES'!$A342="","",IF('ORDENES'!$W342="","-",'ORDENES'!$W342))</f>
        <v/>
      </c>
      <c r="E364" s="3">
        <f>IF('ORDENES'!$A342="","",IF('ORDENES'!$V342="","-",'ORDENES'!$V342))</f>
        <v/>
      </c>
      <c r="F364" s="3">
        <f>IF('ORDENES'!$A342="","",IF('ORDENES'!$X342="","-",'ORDENES'!$X342))</f>
        <v/>
      </c>
      <c r="G364" s="3">
        <f>IF('ORDENES'!$A342="","",IF('ORDENES'!$AC342="","-",'ORDENES'!$AC342))</f>
        <v/>
      </c>
      <c r="H364" s="3">
        <f>IF('ORDENES'!$A342="","",IF('ORDENES'!$AO342="","-",'ORDENES'!$AO342))</f>
        <v/>
      </c>
      <c r="I364" s="3">
        <f>IF('ORDENES'!$A342="","",IF('ORDENES'!$D342="","-",'ORDENES'!$D342))</f>
        <v/>
      </c>
      <c r="J364" s="3">
        <f>IF('ORDENES'!$A342="","",IF('ORDENES'!$E342="","-",'ORDENES'!$E342))</f>
        <v/>
      </c>
      <c r="K364" s="12">
        <f>IF('ORDENES'!$A342="","",IF('ORDENES'!$N342="",0,'ORDENES'!$N342))</f>
        <v/>
      </c>
      <c r="L364" s="3">
        <f>IF('ORDENES'!$A342="","",IF('ORDENES'!$O342="","-",'ORDENES'!$O342))</f>
        <v/>
      </c>
      <c r="M364" s="3">
        <f>IF('ORDENES'!$A342="","",'ORDENES'!$AB342)</f>
        <v/>
      </c>
    </row>
    <row r="365">
      <c r="A365" s="3">
        <f>IF('ORDENES'!$A343="","",IF('ORDENES'!$P343="","-",'ORDENES'!$P343))</f>
        <v/>
      </c>
      <c r="B365" s="3">
        <f>IF('ORDENES'!$A343="","",IF('ORDENES'!$S343="","-",'ORDENES'!$S343))</f>
        <v/>
      </c>
      <c r="C365" s="3">
        <f>IF('ORDENES'!$A343="","",IF('ORDENES'!$AD343="","-",'ORDENES'!$AD343))</f>
        <v/>
      </c>
      <c r="D365" s="3">
        <f>IF('ORDENES'!$A343="","",IF('ORDENES'!$W343="","-",'ORDENES'!$W343))</f>
        <v/>
      </c>
      <c r="E365" s="3">
        <f>IF('ORDENES'!$A343="","",IF('ORDENES'!$V343="","-",'ORDENES'!$V343))</f>
        <v/>
      </c>
      <c r="F365" s="3">
        <f>IF('ORDENES'!$A343="","",IF('ORDENES'!$X343="","-",'ORDENES'!$X343))</f>
        <v/>
      </c>
      <c r="G365" s="3">
        <f>IF('ORDENES'!$A343="","",IF('ORDENES'!$AC343="","-",'ORDENES'!$AC343))</f>
        <v/>
      </c>
      <c r="H365" s="3">
        <f>IF('ORDENES'!$A343="","",IF('ORDENES'!$AO343="","-",'ORDENES'!$AO343))</f>
        <v/>
      </c>
      <c r="I365" s="3">
        <f>IF('ORDENES'!$A343="","",IF('ORDENES'!$D343="","-",'ORDENES'!$D343))</f>
        <v/>
      </c>
      <c r="J365" s="3">
        <f>IF('ORDENES'!$A343="","",IF('ORDENES'!$E343="","-",'ORDENES'!$E343))</f>
        <v/>
      </c>
      <c r="K365" s="12">
        <f>IF('ORDENES'!$A343="","",IF('ORDENES'!$N343="",0,'ORDENES'!$N343))</f>
        <v/>
      </c>
      <c r="L365" s="3">
        <f>IF('ORDENES'!$A343="","",IF('ORDENES'!$O343="","-",'ORDENES'!$O343))</f>
        <v/>
      </c>
      <c r="M365" s="3">
        <f>IF('ORDENES'!$A343="","",'ORDENES'!$AB343)</f>
        <v/>
      </c>
    </row>
    <row r="366">
      <c r="A366" s="3">
        <f>IF('ORDENES'!$A344="","",IF('ORDENES'!$P344="","-",'ORDENES'!$P344))</f>
        <v/>
      </c>
      <c r="B366" s="3">
        <f>IF('ORDENES'!$A344="","",IF('ORDENES'!$S344="","-",'ORDENES'!$S344))</f>
        <v/>
      </c>
      <c r="C366" s="3">
        <f>IF('ORDENES'!$A344="","",IF('ORDENES'!$AD344="","-",'ORDENES'!$AD344))</f>
        <v/>
      </c>
      <c r="D366" s="3">
        <f>IF('ORDENES'!$A344="","",IF('ORDENES'!$W344="","-",'ORDENES'!$W344))</f>
        <v/>
      </c>
      <c r="E366" s="3">
        <f>IF('ORDENES'!$A344="","",IF('ORDENES'!$V344="","-",'ORDENES'!$V344))</f>
        <v/>
      </c>
      <c r="F366" s="3">
        <f>IF('ORDENES'!$A344="","",IF('ORDENES'!$X344="","-",'ORDENES'!$X344))</f>
        <v/>
      </c>
      <c r="G366" s="3">
        <f>IF('ORDENES'!$A344="","",IF('ORDENES'!$AC344="","-",'ORDENES'!$AC344))</f>
        <v/>
      </c>
      <c r="H366" s="3">
        <f>IF('ORDENES'!$A344="","",IF('ORDENES'!$AO344="","-",'ORDENES'!$AO344))</f>
        <v/>
      </c>
      <c r="I366" s="3">
        <f>IF('ORDENES'!$A344="","",IF('ORDENES'!$D344="","-",'ORDENES'!$D344))</f>
        <v/>
      </c>
      <c r="J366" s="3">
        <f>IF('ORDENES'!$A344="","",IF('ORDENES'!$E344="","-",'ORDENES'!$E344))</f>
        <v/>
      </c>
      <c r="K366" s="12">
        <f>IF('ORDENES'!$A344="","",IF('ORDENES'!$N344="",0,'ORDENES'!$N344))</f>
        <v/>
      </c>
      <c r="L366" s="3">
        <f>IF('ORDENES'!$A344="","",IF('ORDENES'!$O344="","-",'ORDENES'!$O344))</f>
        <v/>
      </c>
      <c r="M366" s="3">
        <f>IF('ORDENES'!$A344="","",'ORDENES'!$AB344)</f>
        <v/>
      </c>
    </row>
    <row r="367">
      <c r="A367" s="3">
        <f>IF('ORDENES'!$A345="","",IF('ORDENES'!$P345="","-",'ORDENES'!$P345))</f>
        <v/>
      </c>
      <c r="B367" s="3">
        <f>IF('ORDENES'!$A345="","",IF('ORDENES'!$S345="","-",'ORDENES'!$S345))</f>
        <v/>
      </c>
      <c r="C367" s="3">
        <f>IF('ORDENES'!$A345="","",IF('ORDENES'!$AD345="","-",'ORDENES'!$AD345))</f>
        <v/>
      </c>
      <c r="D367" s="3">
        <f>IF('ORDENES'!$A345="","",IF('ORDENES'!$W345="","-",'ORDENES'!$W345))</f>
        <v/>
      </c>
      <c r="E367" s="3">
        <f>IF('ORDENES'!$A345="","",IF('ORDENES'!$V345="","-",'ORDENES'!$V345))</f>
        <v/>
      </c>
      <c r="F367" s="3">
        <f>IF('ORDENES'!$A345="","",IF('ORDENES'!$X345="","-",'ORDENES'!$X345))</f>
        <v/>
      </c>
      <c r="G367" s="3">
        <f>IF('ORDENES'!$A345="","",IF('ORDENES'!$AC345="","-",'ORDENES'!$AC345))</f>
        <v/>
      </c>
      <c r="H367" s="3">
        <f>IF('ORDENES'!$A345="","",IF('ORDENES'!$AO345="","-",'ORDENES'!$AO345))</f>
        <v/>
      </c>
      <c r="I367" s="3">
        <f>IF('ORDENES'!$A345="","",IF('ORDENES'!$D345="","-",'ORDENES'!$D345))</f>
        <v/>
      </c>
      <c r="J367" s="3">
        <f>IF('ORDENES'!$A345="","",IF('ORDENES'!$E345="","-",'ORDENES'!$E345))</f>
        <v/>
      </c>
      <c r="K367" s="12">
        <f>IF('ORDENES'!$A345="","",IF('ORDENES'!$N345="",0,'ORDENES'!$N345))</f>
        <v/>
      </c>
      <c r="L367" s="3">
        <f>IF('ORDENES'!$A345="","",IF('ORDENES'!$O345="","-",'ORDENES'!$O345))</f>
        <v/>
      </c>
      <c r="M367" s="3">
        <f>IF('ORDENES'!$A345="","",'ORDENES'!$AB345)</f>
        <v/>
      </c>
    </row>
    <row r="368">
      <c r="A368" s="3">
        <f>IF('ORDENES'!$A346="","",IF('ORDENES'!$P346="","-",'ORDENES'!$P346))</f>
        <v/>
      </c>
      <c r="B368" s="3">
        <f>IF('ORDENES'!$A346="","",IF('ORDENES'!$S346="","-",'ORDENES'!$S346))</f>
        <v/>
      </c>
      <c r="C368" s="3">
        <f>IF('ORDENES'!$A346="","",IF('ORDENES'!$AD346="","-",'ORDENES'!$AD346))</f>
        <v/>
      </c>
      <c r="D368" s="3">
        <f>IF('ORDENES'!$A346="","",IF('ORDENES'!$W346="","-",'ORDENES'!$W346))</f>
        <v/>
      </c>
      <c r="E368" s="3">
        <f>IF('ORDENES'!$A346="","",IF('ORDENES'!$V346="","-",'ORDENES'!$V346))</f>
        <v/>
      </c>
      <c r="F368" s="3">
        <f>IF('ORDENES'!$A346="","",IF('ORDENES'!$X346="","-",'ORDENES'!$X346))</f>
        <v/>
      </c>
      <c r="G368" s="3">
        <f>IF('ORDENES'!$A346="","",IF('ORDENES'!$AC346="","-",'ORDENES'!$AC346))</f>
        <v/>
      </c>
      <c r="H368" s="3">
        <f>IF('ORDENES'!$A346="","",IF('ORDENES'!$AO346="","-",'ORDENES'!$AO346))</f>
        <v/>
      </c>
      <c r="I368" s="3">
        <f>IF('ORDENES'!$A346="","",IF('ORDENES'!$D346="","-",'ORDENES'!$D346))</f>
        <v/>
      </c>
      <c r="J368" s="3">
        <f>IF('ORDENES'!$A346="","",IF('ORDENES'!$E346="","-",'ORDENES'!$E346))</f>
        <v/>
      </c>
      <c r="K368" s="12">
        <f>IF('ORDENES'!$A346="","",IF('ORDENES'!$N346="",0,'ORDENES'!$N346))</f>
        <v/>
      </c>
      <c r="L368" s="3">
        <f>IF('ORDENES'!$A346="","",IF('ORDENES'!$O346="","-",'ORDENES'!$O346))</f>
        <v/>
      </c>
      <c r="M368" s="3">
        <f>IF('ORDENES'!$A346="","",'ORDENES'!$AB346)</f>
        <v/>
      </c>
    </row>
    <row r="369">
      <c r="A369" s="3">
        <f>IF('ORDENES'!$A347="","",IF('ORDENES'!$P347="","-",'ORDENES'!$P347))</f>
        <v/>
      </c>
      <c r="B369" s="3">
        <f>IF('ORDENES'!$A347="","",IF('ORDENES'!$S347="","-",'ORDENES'!$S347))</f>
        <v/>
      </c>
      <c r="C369" s="3">
        <f>IF('ORDENES'!$A347="","",IF('ORDENES'!$AD347="","-",'ORDENES'!$AD347))</f>
        <v/>
      </c>
      <c r="D369" s="3">
        <f>IF('ORDENES'!$A347="","",IF('ORDENES'!$W347="","-",'ORDENES'!$W347))</f>
        <v/>
      </c>
      <c r="E369" s="3">
        <f>IF('ORDENES'!$A347="","",IF('ORDENES'!$V347="","-",'ORDENES'!$V347))</f>
        <v/>
      </c>
      <c r="F369" s="3">
        <f>IF('ORDENES'!$A347="","",IF('ORDENES'!$X347="","-",'ORDENES'!$X347))</f>
        <v/>
      </c>
      <c r="G369" s="3">
        <f>IF('ORDENES'!$A347="","",IF('ORDENES'!$AC347="","-",'ORDENES'!$AC347))</f>
        <v/>
      </c>
      <c r="H369" s="3">
        <f>IF('ORDENES'!$A347="","",IF('ORDENES'!$AO347="","-",'ORDENES'!$AO347))</f>
        <v/>
      </c>
      <c r="I369" s="3">
        <f>IF('ORDENES'!$A347="","",IF('ORDENES'!$D347="","-",'ORDENES'!$D347))</f>
        <v/>
      </c>
      <c r="J369" s="3">
        <f>IF('ORDENES'!$A347="","",IF('ORDENES'!$E347="","-",'ORDENES'!$E347))</f>
        <v/>
      </c>
      <c r="K369" s="12">
        <f>IF('ORDENES'!$A347="","",IF('ORDENES'!$N347="",0,'ORDENES'!$N347))</f>
        <v/>
      </c>
      <c r="L369" s="3">
        <f>IF('ORDENES'!$A347="","",IF('ORDENES'!$O347="","-",'ORDENES'!$O347))</f>
        <v/>
      </c>
      <c r="M369" s="3">
        <f>IF('ORDENES'!$A347="","",'ORDENES'!$AB347)</f>
        <v/>
      </c>
    </row>
    <row r="370">
      <c r="A370" s="3">
        <f>IF('ORDENES'!$A348="","",IF('ORDENES'!$P348="","-",'ORDENES'!$P348))</f>
        <v/>
      </c>
      <c r="B370" s="3">
        <f>IF('ORDENES'!$A348="","",IF('ORDENES'!$S348="","-",'ORDENES'!$S348))</f>
        <v/>
      </c>
      <c r="C370" s="3">
        <f>IF('ORDENES'!$A348="","",IF('ORDENES'!$AD348="","-",'ORDENES'!$AD348))</f>
        <v/>
      </c>
      <c r="D370" s="3">
        <f>IF('ORDENES'!$A348="","",IF('ORDENES'!$W348="","-",'ORDENES'!$W348))</f>
        <v/>
      </c>
      <c r="E370" s="3">
        <f>IF('ORDENES'!$A348="","",IF('ORDENES'!$V348="","-",'ORDENES'!$V348))</f>
        <v/>
      </c>
      <c r="F370" s="3">
        <f>IF('ORDENES'!$A348="","",IF('ORDENES'!$X348="","-",'ORDENES'!$X348))</f>
        <v/>
      </c>
      <c r="G370" s="3">
        <f>IF('ORDENES'!$A348="","",IF('ORDENES'!$AC348="","-",'ORDENES'!$AC348))</f>
        <v/>
      </c>
      <c r="H370" s="3">
        <f>IF('ORDENES'!$A348="","",IF('ORDENES'!$AO348="","-",'ORDENES'!$AO348))</f>
        <v/>
      </c>
      <c r="I370" s="3">
        <f>IF('ORDENES'!$A348="","",IF('ORDENES'!$D348="","-",'ORDENES'!$D348))</f>
        <v/>
      </c>
      <c r="J370" s="3">
        <f>IF('ORDENES'!$A348="","",IF('ORDENES'!$E348="","-",'ORDENES'!$E348))</f>
        <v/>
      </c>
      <c r="K370" s="12">
        <f>IF('ORDENES'!$A348="","",IF('ORDENES'!$N348="",0,'ORDENES'!$N348))</f>
        <v/>
      </c>
      <c r="L370" s="3">
        <f>IF('ORDENES'!$A348="","",IF('ORDENES'!$O348="","-",'ORDENES'!$O348))</f>
        <v/>
      </c>
      <c r="M370" s="3">
        <f>IF('ORDENES'!$A348="","",'ORDENES'!$AB348)</f>
        <v/>
      </c>
    </row>
    <row r="371">
      <c r="A371" s="3">
        <f>IF('ORDENES'!$A349="","",IF('ORDENES'!$P349="","-",'ORDENES'!$P349))</f>
        <v/>
      </c>
      <c r="B371" s="3">
        <f>IF('ORDENES'!$A349="","",IF('ORDENES'!$S349="","-",'ORDENES'!$S349))</f>
        <v/>
      </c>
      <c r="C371" s="3">
        <f>IF('ORDENES'!$A349="","",IF('ORDENES'!$AD349="","-",'ORDENES'!$AD349))</f>
        <v/>
      </c>
      <c r="D371" s="3">
        <f>IF('ORDENES'!$A349="","",IF('ORDENES'!$W349="","-",'ORDENES'!$W349))</f>
        <v/>
      </c>
      <c r="E371" s="3">
        <f>IF('ORDENES'!$A349="","",IF('ORDENES'!$V349="","-",'ORDENES'!$V349))</f>
        <v/>
      </c>
      <c r="F371" s="3">
        <f>IF('ORDENES'!$A349="","",IF('ORDENES'!$X349="","-",'ORDENES'!$X349))</f>
        <v/>
      </c>
      <c r="G371" s="3">
        <f>IF('ORDENES'!$A349="","",IF('ORDENES'!$AC349="","-",'ORDENES'!$AC349))</f>
        <v/>
      </c>
      <c r="H371" s="3">
        <f>IF('ORDENES'!$A349="","",IF('ORDENES'!$AO349="","-",'ORDENES'!$AO349))</f>
        <v/>
      </c>
      <c r="I371" s="3">
        <f>IF('ORDENES'!$A349="","",IF('ORDENES'!$D349="","-",'ORDENES'!$D349))</f>
        <v/>
      </c>
      <c r="J371" s="3">
        <f>IF('ORDENES'!$A349="","",IF('ORDENES'!$E349="","-",'ORDENES'!$E349))</f>
        <v/>
      </c>
      <c r="K371" s="12">
        <f>IF('ORDENES'!$A349="","",IF('ORDENES'!$N349="",0,'ORDENES'!$N349))</f>
        <v/>
      </c>
      <c r="L371" s="3">
        <f>IF('ORDENES'!$A349="","",IF('ORDENES'!$O349="","-",'ORDENES'!$O349))</f>
        <v/>
      </c>
      <c r="M371" s="3">
        <f>IF('ORDENES'!$A349="","",'ORDENES'!$AB349)</f>
        <v/>
      </c>
    </row>
    <row r="372">
      <c r="A372" s="3">
        <f>IF('ORDENES'!$A350="","",IF('ORDENES'!$P350="","-",'ORDENES'!$P350))</f>
        <v/>
      </c>
      <c r="B372" s="3">
        <f>IF('ORDENES'!$A350="","",IF('ORDENES'!$S350="","-",'ORDENES'!$S350))</f>
        <v/>
      </c>
      <c r="C372" s="3">
        <f>IF('ORDENES'!$A350="","",IF('ORDENES'!$AD350="","-",'ORDENES'!$AD350))</f>
        <v/>
      </c>
      <c r="D372" s="3">
        <f>IF('ORDENES'!$A350="","",IF('ORDENES'!$W350="","-",'ORDENES'!$W350))</f>
        <v/>
      </c>
      <c r="E372" s="3">
        <f>IF('ORDENES'!$A350="","",IF('ORDENES'!$V350="","-",'ORDENES'!$V350))</f>
        <v/>
      </c>
      <c r="F372" s="3">
        <f>IF('ORDENES'!$A350="","",IF('ORDENES'!$X350="","-",'ORDENES'!$X350))</f>
        <v/>
      </c>
      <c r="G372" s="3">
        <f>IF('ORDENES'!$A350="","",IF('ORDENES'!$AC350="","-",'ORDENES'!$AC350))</f>
        <v/>
      </c>
      <c r="H372" s="3">
        <f>IF('ORDENES'!$A350="","",IF('ORDENES'!$AO350="","-",'ORDENES'!$AO350))</f>
        <v/>
      </c>
      <c r="I372" s="3">
        <f>IF('ORDENES'!$A350="","",IF('ORDENES'!$D350="","-",'ORDENES'!$D350))</f>
        <v/>
      </c>
      <c r="J372" s="3">
        <f>IF('ORDENES'!$A350="","",IF('ORDENES'!$E350="","-",'ORDENES'!$E350))</f>
        <v/>
      </c>
      <c r="K372" s="12">
        <f>IF('ORDENES'!$A350="","",IF('ORDENES'!$N350="",0,'ORDENES'!$N350))</f>
        <v/>
      </c>
      <c r="L372" s="3">
        <f>IF('ORDENES'!$A350="","",IF('ORDENES'!$O350="","-",'ORDENES'!$O350))</f>
        <v/>
      </c>
      <c r="M372" s="3">
        <f>IF('ORDENES'!$A350="","",'ORDENES'!$AB350)</f>
        <v/>
      </c>
    </row>
    <row r="373">
      <c r="A373" s="3">
        <f>IF('ORDENES'!$A351="","",IF('ORDENES'!$P351="","-",'ORDENES'!$P351))</f>
        <v/>
      </c>
      <c r="B373" s="3">
        <f>IF('ORDENES'!$A351="","",IF('ORDENES'!$S351="","-",'ORDENES'!$S351))</f>
        <v/>
      </c>
      <c r="C373" s="3">
        <f>IF('ORDENES'!$A351="","",IF('ORDENES'!$AD351="","-",'ORDENES'!$AD351))</f>
        <v/>
      </c>
      <c r="D373" s="3">
        <f>IF('ORDENES'!$A351="","",IF('ORDENES'!$W351="","-",'ORDENES'!$W351))</f>
        <v/>
      </c>
      <c r="E373" s="3">
        <f>IF('ORDENES'!$A351="","",IF('ORDENES'!$V351="","-",'ORDENES'!$V351))</f>
        <v/>
      </c>
      <c r="F373" s="3">
        <f>IF('ORDENES'!$A351="","",IF('ORDENES'!$X351="","-",'ORDENES'!$X351))</f>
        <v/>
      </c>
      <c r="G373" s="3">
        <f>IF('ORDENES'!$A351="","",IF('ORDENES'!$AC351="","-",'ORDENES'!$AC351))</f>
        <v/>
      </c>
      <c r="H373" s="3">
        <f>IF('ORDENES'!$A351="","",IF('ORDENES'!$AO351="","-",'ORDENES'!$AO351))</f>
        <v/>
      </c>
      <c r="I373" s="3">
        <f>IF('ORDENES'!$A351="","",IF('ORDENES'!$D351="","-",'ORDENES'!$D351))</f>
        <v/>
      </c>
      <c r="J373" s="3">
        <f>IF('ORDENES'!$A351="","",IF('ORDENES'!$E351="","-",'ORDENES'!$E351))</f>
        <v/>
      </c>
      <c r="K373" s="12">
        <f>IF('ORDENES'!$A351="","",IF('ORDENES'!$N351="",0,'ORDENES'!$N351))</f>
        <v/>
      </c>
      <c r="L373" s="3">
        <f>IF('ORDENES'!$A351="","",IF('ORDENES'!$O351="","-",'ORDENES'!$O351))</f>
        <v/>
      </c>
      <c r="M373" s="3">
        <f>IF('ORDENES'!$A351="","",'ORDENES'!$AB351)</f>
        <v/>
      </c>
    </row>
    <row r="374">
      <c r="A374" s="3">
        <f>IF('ORDENES'!$A352="","",IF('ORDENES'!$P352="","-",'ORDENES'!$P352))</f>
        <v/>
      </c>
      <c r="B374" s="3">
        <f>IF('ORDENES'!$A352="","",IF('ORDENES'!$S352="","-",'ORDENES'!$S352))</f>
        <v/>
      </c>
      <c r="C374" s="3">
        <f>IF('ORDENES'!$A352="","",IF('ORDENES'!$AD352="","-",'ORDENES'!$AD352))</f>
        <v/>
      </c>
      <c r="D374" s="3">
        <f>IF('ORDENES'!$A352="","",IF('ORDENES'!$W352="","-",'ORDENES'!$W352))</f>
        <v/>
      </c>
      <c r="E374" s="3">
        <f>IF('ORDENES'!$A352="","",IF('ORDENES'!$V352="","-",'ORDENES'!$V352))</f>
        <v/>
      </c>
      <c r="F374" s="3">
        <f>IF('ORDENES'!$A352="","",IF('ORDENES'!$X352="","-",'ORDENES'!$X352))</f>
        <v/>
      </c>
      <c r="G374" s="3">
        <f>IF('ORDENES'!$A352="","",IF('ORDENES'!$AC352="","-",'ORDENES'!$AC352))</f>
        <v/>
      </c>
      <c r="H374" s="3">
        <f>IF('ORDENES'!$A352="","",IF('ORDENES'!$AO352="","-",'ORDENES'!$AO352))</f>
        <v/>
      </c>
      <c r="I374" s="3">
        <f>IF('ORDENES'!$A352="","",IF('ORDENES'!$D352="","-",'ORDENES'!$D352))</f>
        <v/>
      </c>
      <c r="J374" s="3">
        <f>IF('ORDENES'!$A352="","",IF('ORDENES'!$E352="","-",'ORDENES'!$E352))</f>
        <v/>
      </c>
      <c r="K374" s="12">
        <f>IF('ORDENES'!$A352="","",IF('ORDENES'!$N352="",0,'ORDENES'!$N352))</f>
        <v/>
      </c>
      <c r="L374" s="3">
        <f>IF('ORDENES'!$A352="","",IF('ORDENES'!$O352="","-",'ORDENES'!$O352))</f>
        <v/>
      </c>
      <c r="M374" s="3">
        <f>IF('ORDENES'!$A352="","",'ORDENES'!$AB352)</f>
        <v/>
      </c>
    </row>
    <row r="375">
      <c r="A375" s="3">
        <f>IF('ORDENES'!$A353="","",IF('ORDENES'!$P353="","-",'ORDENES'!$P353))</f>
        <v/>
      </c>
      <c r="B375" s="3">
        <f>IF('ORDENES'!$A353="","",IF('ORDENES'!$S353="","-",'ORDENES'!$S353))</f>
        <v/>
      </c>
      <c r="C375" s="3">
        <f>IF('ORDENES'!$A353="","",IF('ORDENES'!$AD353="","-",'ORDENES'!$AD353))</f>
        <v/>
      </c>
      <c r="D375" s="3">
        <f>IF('ORDENES'!$A353="","",IF('ORDENES'!$W353="","-",'ORDENES'!$W353))</f>
        <v/>
      </c>
      <c r="E375" s="3">
        <f>IF('ORDENES'!$A353="","",IF('ORDENES'!$V353="","-",'ORDENES'!$V353))</f>
        <v/>
      </c>
      <c r="F375" s="3">
        <f>IF('ORDENES'!$A353="","",IF('ORDENES'!$X353="","-",'ORDENES'!$X353))</f>
        <v/>
      </c>
      <c r="G375" s="3">
        <f>IF('ORDENES'!$A353="","",IF('ORDENES'!$AC353="","-",'ORDENES'!$AC353))</f>
        <v/>
      </c>
      <c r="H375" s="3">
        <f>IF('ORDENES'!$A353="","",IF('ORDENES'!$AO353="","-",'ORDENES'!$AO353))</f>
        <v/>
      </c>
      <c r="I375" s="3">
        <f>IF('ORDENES'!$A353="","",IF('ORDENES'!$D353="","-",'ORDENES'!$D353))</f>
        <v/>
      </c>
      <c r="J375" s="3">
        <f>IF('ORDENES'!$A353="","",IF('ORDENES'!$E353="","-",'ORDENES'!$E353))</f>
        <v/>
      </c>
      <c r="K375" s="12">
        <f>IF('ORDENES'!$A353="","",IF('ORDENES'!$N353="",0,'ORDENES'!$N353))</f>
        <v/>
      </c>
      <c r="L375" s="3">
        <f>IF('ORDENES'!$A353="","",IF('ORDENES'!$O353="","-",'ORDENES'!$O353))</f>
        <v/>
      </c>
      <c r="M375" s="3">
        <f>IF('ORDENES'!$A353="","",'ORDENES'!$AB353)</f>
        <v/>
      </c>
    </row>
    <row r="376">
      <c r="A376" s="3">
        <f>IF('ORDENES'!$A354="","",IF('ORDENES'!$P354="","-",'ORDENES'!$P354))</f>
        <v/>
      </c>
      <c r="B376" s="3">
        <f>IF('ORDENES'!$A354="","",IF('ORDENES'!$S354="","-",'ORDENES'!$S354))</f>
        <v/>
      </c>
      <c r="C376" s="3">
        <f>IF('ORDENES'!$A354="","",IF('ORDENES'!$AD354="","-",'ORDENES'!$AD354))</f>
        <v/>
      </c>
      <c r="D376" s="3">
        <f>IF('ORDENES'!$A354="","",IF('ORDENES'!$W354="","-",'ORDENES'!$W354))</f>
        <v/>
      </c>
      <c r="E376" s="3">
        <f>IF('ORDENES'!$A354="","",IF('ORDENES'!$V354="","-",'ORDENES'!$V354))</f>
        <v/>
      </c>
      <c r="F376" s="3">
        <f>IF('ORDENES'!$A354="","",IF('ORDENES'!$X354="","-",'ORDENES'!$X354))</f>
        <v/>
      </c>
      <c r="G376" s="3">
        <f>IF('ORDENES'!$A354="","",IF('ORDENES'!$AC354="","-",'ORDENES'!$AC354))</f>
        <v/>
      </c>
      <c r="H376" s="3">
        <f>IF('ORDENES'!$A354="","",IF('ORDENES'!$AO354="","-",'ORDENES'!$AO354))</f>
        <v/>
      </c>
      <c r="I376" s="3">
        <f>IF('ORDENES'!$A354="","",IF('ORDENES'!$D354="","-",'ORDENES'!$D354))</f>
        <v/>
      </c>
      <c r="J376" s="3">
        <f>IF('ORDENES'!$A354="","",IF('ORDENES'!$E354="","-",'ORDENES'!$E354))</f>
        <v/>
      </c>
      <c r="K376" s="12">
        <f>IF('ORDENES'!$A354="","",IF('ORDENES'!$N354="",0,'ORDENES'!$N354))</f>
        <v/>
      </c>
      <c r="L376" s="3">
        <f>IF('ORDENES'!$A354="","",IF('ORDENES'!$O354="","-",'ORDENES'!$O354))</f>
        <v/>
      </c>
      <c r="M376" s="3">
        <f>IF('ORDENES'!$A354="","",'ORDENES'!$AB354)</f>
        <v/>
      </c>
    </row>
    <row r="377">
      <c r="A377" s="3">
        <f>IF('ORDENES'!$A355="","",IF('ORDENES'!$P355="","-",'ORDENES'!$P355))</f>
        <v/>
      </c>
      <c r="B377" s="3">
        <f>IF('ORDENES'!$A355="","",IF('ORDENES'!$S355="","-",'ORDENES'!$S355))</f>
        <v/>
      </c>
      <c r="C377" s="3">
        <f>IF('ORDENES'!$A355="","",IF('ORDENES'!$AD355="","-",'ORDENES'!$AD355))</f>
        <v/>
      </c>
      <c r="D377" s="3">
        <f>IF('ORDENES'!$A355="","",IF('ORDENES'!$W355="","-",'ORDENES'!$W355))</f>
        <v/>
      </c>
      <c r="E377" s="3">
        <f>IF('ORDENES'!$A355="","",IF('ORDENES'!$V355="","-",'ORDENES'!$V355))</f>
        <v/>
      </c>
      <c r="F377" s="3">
        <f>IF('ORDENES'!$A355="","",IF('ORDENES'!$X355="","-",'ORDENES'!$X355))</f>
        <v/>
      </c>
      <c r="G377" s="3">
        <f>IF('ORDENES'!$A355="","",IF('ORDENES'!$AC355="","-",'ORDENES'!$AC355))</f>
        <v/>
      </c>
      <c r="H377" s="3">
        <f>IF('ORDENES'!$A355="","",IF('ORDENES'!$AO355="","-",'ORDENES'!$AO355))</f>
        <v/>
      </c>
      <c r="I377" s="3">
        <f>IF('ORDENES'!$A355="","",IF('ORDENES'!$D355="","-",'ORDENES'!$D355))</f>
        <v/>
      </c>
      <c r="J377" s="3">
        <f>IF('ORDENES'!$A355="","",IF('ORDENES'!$E355="","-",'ORDENES'!$E355))</f>
        <v/>
      </c>
      <c r="K377" s="12">
        <f>IF('ORDENES'!$A355="","",IF('ORDENES'!$N355="",0,'ORDENES'!$N355))</f>
        <v/>
      </c>
      <c r="L377" s="3">
        <f>IF('ORDENES'!$A355="","",IF('ORDENES'!$O355="","-",'ORDENES'!$O355))</f>
        <v/>
      </c>
      <c r="M377" s="3">
        <f>IF('ORDENES'!$A355="","",'ORDENES'!$AB355)</f>
        <v/>
      </c>
    </row>
    <row r="378">
      <c r="A378" s="3">
        <f>IF('ORDENES'!$A356="","",IF('ORDENES'!$P356="","-",'ORDENES'!$P356))</f>
        <v/>
      </c>
      <c r="B378" s="3">
        <f>IF('ORDENES'!$A356="","",IF('ORDENES'!$S356="","-",'ORDENES'!$S356))</f>
        <v/>
      </c>
      <c r="C378" s="3">
        <f>IF('ORDENES'!$A356="","",IF('ORDENES'!$AD356="","-",'ORDENES'!$AD356))</f>
        <v/>
      </c>
      <c r="D378" s="3">
        <f>IF('ORDENES'!$A356="","",IF('ORDENES'!$W356="","-",'ORDENES'!$W356))</f>
        <v/>
      </c>
      <c r="E378" s="3">
        <f>IF('ORDENES'!$A356="","",IF('ORDENES'!$V356="","-",'ORDENES'!$V356))</f>
        <v/>
      </c>
      <c r="F378" s="3">
        <f>IF('ORDENES'!$A356="","",IF('ORDENES'!$X356="","-",'ORDENES'!$X356))</f>
        <v/>
      </c>
      <c r="G378" s="3">
        <f>IF('ORDENES'!$A356="","",IF('ORDENES'!$AC356="","-",'ORDENES'!$AC356))</f>
        <v/>
      </c>
      <c r="H378" s="3">
        <f>IF('ORDENES'!$A356="","",IF('ORDENES'!$AO356="","-",'ORDENES'!$AO356))</f>
        <v/>
      </c>
      <c r="I378" s="3">
        <f>IF('ORDENES'!$A356="","",IF('ORDENES'!$D356="","-",'ORDENES'!$D356))</f>
        <v/>
      </c>
      <c r="J378" s="3">
        <f>IF('ORDENES'!$A356="","",IF('ORDENES'!$E356="","-",'ORDENES'!$E356))</f>
        <v/>
      </c>
      <c r="K378" s="12">
        <f>IF('ORDENES'!$A356="","",IF('ORDENES'!$N356="",0,'ORDENES'!$N356))</f>
        <v/>
      </c>
      <c r="L378" s="3">
        <f>IF('ORDENES'!$A356="","",IF('ORDENES'!$O356="","-",'ORDENES'!$O356))</f>
        <v/>
      </c>
      <c r="M378" s="3">
        <f>IF('ORDENES'!$A356="","",'ORDENES'!$AB356)</f>
        <v/>
      </c>
    </row>
    <row r="379">
      <c r="A379" s="3">
        <f>IF('ORDENES'!$A357="","",IF('ORDENES'!$P357="","-",'ORDENES'!$P357))</f>
        <v/>
      </c>
      <c r="B379" s="3">
        <f>IF('ORDENES'!$A357="","",IF('ORDENES'!$S357="","-",'ORDENES'!$S357))</f>
        <v/>
      </c>
      <c r="C379" s="3">
        <f>IF('ORDENES'!$A357="","",IF('ORDENES'!$AD357="","-",'ORDENES'!$AD357))</f>
        <v/>
      </c>
      <c r="D379" s="3">
        <f>IF('ORDENES'!$A357="","",IF('ORDENES'!$W357="","-",'ORDENES'!$W357))</f>
        <v/>
      </c>
      <c r="E379" s="3">
        <f>IF('ORDENES'!$A357="","",IF('ORDENES'!$V357="","-",'ORDENES'!$V357))</f>
        <v/>
      </c>
      <c r="F379" s="3">
        <f>IF('ORDENES'!$A357="","",IF('ORDENES'!$X357="","-",'ORDENES'!$X357))</f>
        <v/>
      </c>
      <c r="G379" s="3">
        <f>IF('ORDENES'!$A357="","",IF('ORDENES'!$AC357="","-",'ORDENES'!$AC357))</f>
        <v/>
      </c>
      <c r="H379" s="3">
        <f>IF('ORDENES'!$A357="","",IF('ORDENES'!$AO357="","-",'ORDENES'!$AO357))</f>
        <v/>
      </c>
      <c r="I379" s="3">
        <f>IF('ORDENES'!$A357="","",IF('ORDENES'!$D357="","-",'ORDENES'!$D357))</f>
        <v/>
      </c>
      <c r="J379" s="3">
        <f>IF('ORDENES'!$A357="","",IF('ORDENES'!$E357="","-",'ORDENES'!$E357))</f>
        <v/>
      </c>
      <c r="K379" s="12">
        <f>IF('ORDENES'!$A357="","",IF('ORDENES'!$N357="",0,'ORDENES'!$N357))</f>
        <v/>
      </c>
      <c r="L379" s="3">
        <f>IF('ORDENES'!$A357="","",IF('ORDENES'!$O357="","-",'ORDENES'!$O357))</f>
        <v/>
      </c>
      <c r="M379" s="3">
        <f>IF('ORDENES'!$A357="","",'ORDENES'!$AB357)</f>
        <v/>
      </c>
    </row>
    <row r="380">
      <c r="A380" s="3">
        <f>IF('ORDENES'!$A358="","",IF('ORDENES'!$P358="","-",'ORDENES'!$P358))</f>
        <v/>
      </c>
      <c r="B380" s="3">
        <f>IF('ORDENES'!$A358="","",IF('ORDENES'!$S358="","-",'ORDENES'!$S358))</f>
        <v/>
      </c>
      <c r="C380" s="3">
        <f>IF('ORDENES'!$A358="","",IF('ORDENES'!$AD358="","-",'ORDENES'!$AD358))</f>
        <v/>
      </c>
      <c r="D380" s="3">
        <f>IF('ORDENES'!$A358="","",IF('ORDENES'!$W358="","-",'ORDENES'!$W358))</f>
        <v/>
      </c>
      <c r="E380" s="3">
        <f>IF('ORDENES'!$A358="","",IF('ORDENES'!$V358="","-",'ORDENES'!$V358))</f>
        <v/>
      </c>
      <c r="F380" s="3">
        <f>IF('ORDENES'!$A358="","",IF('ORDENES'!$X358="","-",'ORDENES'!$X358))</f>
        <v/>
      </c>
      <c r="G380" s="3">
        <f>IF('ORDENES'!$A358="","",IF('ORDENES'!$AC358="","-",'ORDENES'!$AC358))</f>
        <v/>
      </c>
      <c r="H380" s="3">
        <f>IF('ORDENES'!$A358="","",IF('ORDENES'!$AO358="","-",'ORDENES'!$AO358))</f>
        <v/>
      </c>
      <c r="I380" s="3">
        <f>IF('ORDENES'!$A358="","",IF('ORDENES'!$D358="","-",'ORDENES'!$D358))</f>
        <v/>
      </c>
      <c r="J380" s="3">
        <f>IF('ORDENES'!$A358="","",IF('ORDENES'!$E358="","-",'ORDENES'!$E358))</f>
        <v/>
      </c>
      <c r="K380" s="12">
        <f>IF('ORDENES'!$A358="","",IF('ORDENES'!$N358="",0,'ORDENES'!$N358))</f>
        <v/>
      </c>
      <c r="L380" s="3">
        <f>IF('ORDENES'!$A358="","",IF('ORDENES'!$O358="","-",'ORDENES'!$O358))</f>
        <v/>
      </c>
      <c r="M380" s="3">
        <f>IF('ORDENES'!$A358="","",'ORDENES'!$AB358)</f>
        <v/>
      </c>
    </row>
    <row r="381">
      <c r="A381" s="3">
        <f>IF('ORDENES'!$A359="","",IF('ORDENES'!$P359="","-",'ORDENES'!$P359))</f>
        <v/>
      </c>
      <c r="B381" s="3">
        <f>IF('ORDENES'!$A359="","",IF('ORDENES'!$S359="","-",'ORDENES'!$S359))</f>
        <v/>
      </c>
      <c r="C381" s="3">
        <f>IF('ORDENES'!$A359="","",IF('ORDENES'!$AD359="","-",'ORDENES'!$AD359))</f>
        <v/>
      </c>
      <c r="D381" s="3">
        <f>IF('ORDENES'!$A359="","",IF('ORDENES'!$W359="","-",'ORDENES'!$W359))</f>
        <v/>
      </c>
      <c r="E381" s="3">
        <f>IF('ORDENES'!$A359="","",IF('ORDENES'!$V359="","-",'ORDENES'!$V359))</f>
        <v/>
      </c>
      <c r="F381" s="3">
        <f>IF('ORDENES'!$A359="","",IF('ORDENES'!$X359="","-",'ORDENES'!$X359))</f>
        <v/>
      </c>
      <c r="G381" s="3">
        <f>IF('ORDENES'!$A359="","",IF('ORDENES'!$AC359="","-",'ORDENES'!$AC359))</f>
        <v/>
      </c>
      <c r="H381" s="3">
        <f>IF('ORDENES'!$A359="","",IF('ORDENES'!$AO359="","-",'ORDENES'!$AO359))</f>
        <v/>
      </c>
      <c r="I381" s="3">
        <f>IF('ORDENES'!$A359="","",IF('ORDENES'!$D359="","-",'ORDENES'!$D359))</f>
        <v/>
      </c>
      <c r="J381" s="3">
        <f>IF('ORDENES'!$A359="","",IF('ORDENES'!$E359="","-",'ORDENES'!$E359))</f>
        <v/>
      </c>
      <c r="K381" s="12">
        <f>IF('ORDENES'!$A359="","",IF('ORDENES'!$N359="",0,'ORDENES'!$N359))</f>
        <v/>
      </c>
      <c r="L381" s="3">
        <f>IF('ORDENES'!$A359="","",IF('ORDENES'!$O359="","-",'ORDENES'!$O359))</f>
        <v/>
      </c>
      <c r="M381" s="3">
        <f>IF('ORDENES'!$A359="","",'ORDENES'!$AB359)</f>
        <v/>
      </c>
    </row>
    <row r="382">
      <c r="A382" s="3">
        <f>IF('ORDENES'!$A360="","",IF('ORDENES'!$P360="","-",'ORDENES'!$P360))</f>
        <v/>
      </c>
      <c r="B382" s="3">
        <f>IF('ORDENES'!$A360="","",IF('ORDENES'!$S360="","-",'ORDENES'!$S360))</f>
        <v/>
      </c>
      <c r="C382" s="3">
        <f>IF('ORDENES'!$A360="","",IF('ORDENES'!$AD360="","-",'ORDENES'!$AD360))</f>
        <v/>
      </c>
      <c r="D382" s="3">
        <f>IF('ORDENES'!$A360="","",IF('ORDENES'!$W360="","-",'ORDENES'!$W360))</f>
        <v/>
      </c>
      <c r="E382" s="3">
        <f>IF('ORDENES'!$A360="","",IF('ORDENES'!$V360="","-",'ORDENES'!$V360))</f>
        <v/>
      </c>
      <c r="F382" s="3">
        <f>IF('ORDENES'!$A360="","",IF('ORDENES'!$X360="","-",'ORDENES'!$X360))</f>
        <v/>
      </c>
      <c r="G382" s="3">
        <f>IF('ORDENES'!$A360="","",IF('ORDENES'!$AC360="","-",'ORDENES'!$AC360))</f>
        <v/>
      </c>
      <c r="H382" s="3">
        <f>IF('ORDENES'!$A360="","",IF('ORDENES'!$AO360="","-",'ORDENES'!$AO360))</f>
        <v/>
      </c>
      <c r="I382" s="3">
        <f>IF('ORDENES'!$A360="","",IF('ORDENES'!$D360="","-",'ORDENES'!$D360))</f>
        <v/>
      </c>
      <c r="J382" s="3">
        <f>IF('ORDENES'!$A360="","",IF('ORDENES'!$E360="","-",'ORDENES'!$E360))</f>
        <v/>
      </c>
      <c r="K382" s="12">
        <f>IF('ORDENES'!$A360="","",IF('ORDENES'!$N360="",0,'ORDENES'!$N360))</f>
        <v/>
      </c>
      <c r="L382" s="3">
        <f>IF('ORDENES'!$A360="","",IF('ORDENES'!$O360="","-",'ORDENES'!$O360))</f>
        <v/>
      </c>
      <c r="M382" s="3">
        <f>IF('ORDENES'!$A360="","",'ORDENES'!$AB360)</f>
        <v/>
      </c>
    </row>
    <row r="383">
      <c r="A383" s="3">
        <f>IF('ORDENES'!$A361="","",IF('ORDENES'!$P361="","-",'ORDENES'!$P361))</f>
        <v/>
      </c>
      <c r="B383" s="3">
        <f>IF('ORDENES'!$A361="","",IF('ORDENES'!$S361="","-",'ORDENES'!$S361))</f>
        <v/>
      </c>
      <c r="C383" s="3">
        <f>IF('ORDENES'!$A361="","",IF('ORDENES'!$AD361="","-",'ORDENES'!$AD361))</f>
        <v/>
      </c>
      <c r="D383" s="3">
        <f>IF('ORDENES'!$A361="","",IF('ORDENES'!$W361="","-",'ORDENES'!$W361))</f>
        <v/>
      </c>
      <c r="E383" s="3">
        <f>IF('ORDENES'!$A361="","",IF('ORDENES'!$V361="","-",'ORDENES'!$V361))</f>
        <v/>
      </c>
      <c r="F383" s="3">
        <f>IF('ORDENES'!$A361="","",IF('ORDENES'!$X361="","-",'ORDENES'!$X361))</f>
        <v/>
      </c>
      <c r="G383" s="3">
        <f>IF('ORDENES'!$A361="","",IF('ORDENES'!$AC361="","-",'ORDENES'!$AC361))</f>
        <v/>
      </c>
      <c r="H383" s="3">
        <f>IF('ORDENES'!$A361="","",IF('ORDENES'!$AO361="","-",'ORDENES'!$AO361))</f>
        <v/>
      </c>
      <c r="I383" s="3">
        <f>IF('ORDENES'!$A361="","",IF('ORDENES'!$D361="","-",'ORDENES'!$D361))</f>
        <v/>
      </c>
      <c r="J383" s="3">
        <f>IF('ORDENES'!$A361="","",IF('ORDENES'!$E361="","-",'ORDENES'!$E361))</f>
        <v/>
      </c>
      <c r="K383" s="12">
        <f>IF('ORDENES'!$A361="","",IF('ORDENES'!$N361="",0,'ORDENES'!$N361))</f>
        <v/>
      </c>
      <c r="L383" s="3">
        <f>IF('ORDENES'!$A361="","",IF('ORDENES'!$O361="","-",'ORDENES'!$O361))</f>
        <v/>
      </c>
      <c r="M383" s="3">
        <f>IF('ORDENES'!$A361="","",'ORDENES'!$AB361)</f>
        <v/>
      </c>
    </row>
    <row r="384">
      <c r="A384" s="3">
        <f>IF('ORDENES'!$A362="","",IF('ORDENES'!$P362="","-",'ORDENES'!$P362))</f>
        <v/>
      </c>
      <c r="B384" s="3">
        <f>IF('ORDENES'!$A362="","",IF('ORDENES'!$S362="","-",'ORDENES'!$S362))</f>
        <v/>
      </c>
      <c r="C384" s="3">
        <f>IF('ORDENES'!$A362="","",IF('ORDENES'!$AD362="","-",'ORDENES'!$AD362))</f>
        <v/>
      </c>
      <c r="D384" s="3">
        <f>IF('ORDENES'!$A362="","",IF('ORDENES'!$W362="","-",'ORDENES'!$W362))</f>
        <v/>
      </c>
      <c r="E384" s="3">
        <f>IF('ORDENES'!$A362="","",IF('ORDENES'!$V362="","-",'ORDENES'!$V362))</f>
        <v/>
      </c>
      <c r="F384" s="3">
        <f>IF('ORDENES'!$A362="","",IF('ORDENES'!$X362="","-",'ORDENES'!$X362))</f>
        <v/>
      </c>
      <c r="G384" s="3">
        <f>IF('ORDENES'!$A362="","",IF('ORDENES'!$AC362="","-",'ORDENES'!$AC362))</f>
        <v/>
      </c>
      <c r="H384" s="3">
        <f>IF('ORDENES'!$A362="","",IF('ORDENES'!$AO362="","-",'ORDENES'!$AO362))</f>
        <v/>
      </c>
      <c r="I384" s="3">
        <f>IF('ORDENES'!$A362="","",IF('ORDENES'!$D362="","-",'ORDENES'!$D362))</f>
        <v/>
      </c>
      <c r="J384" s="3">
        <f>IF('ORDENES'!$A362="","",IF('ORDENES'!$E362="","-",'ORDENES'!$E362))</f>
        <v/>
      </c>
      <c r="K384" s="12">
        <f>IF('ORDENES'!$A362="","",IF('ORDENES'!$N362="",0,'ORDENES'!$N362))</f>
        <v/>
      </c>
      <c r="L384" s="3">
        <f>IF('ORDENES'!$A362="","",IF('ORDENES'!$O362="","-",'ORDENES'!$O362))</f>
        <v/>
      </c>
      <c r="M384" s="3">
        <f>IF('ORDENES'!$A362="","",'ORDENES'!$AB362)</f>
        <v/>
      </c>
    </row>
    <row r="385">
      <c r="A385" s="3">
        <f>IF('ORDENES'!$A363="","",IF('ORDENES'!$P363="","-",'ORDENES'!$P363))</f>
        <v/>
      </c>
      <c r="B385" s="3">
        <f>IF('ORDENES'!$A363="","",IF('ORDENES'!$S363="","-",'ORDENES'!$S363))</f>
        <v/>
      </c>
      <c r="C385" s="3">
        <f>IF('ORDENES'!$A363="","",IF('ORDENES'!$AD363="","-",'ORDENES'!$AD363))</f>
        <v/>
      </c>
      <c r="D385" s="3">
        <f>IF('ORDENES'!$A363="","",IF('ORDENES'!$W363="","-",'ORDENES'!$W363))</f>
        <v/>
      </c>
      <c r="E385" s="3">
        <f>IF('ORDENES'!$A363="","",IF('ORDENES'!$V363="","-",'ORDENES'!$V363))</f>
        <v/>
      </c>
      <c r="F385" s="3">
        <f>IF('ORDENES'!$A363="","",IF('ORDENES'!$X363="","-",'ORDENES'!$X363))</f>
        <v/>
      </c>
      <c r="G385" s="3">
        <f>IF('ORDENES'!$A363="","",IF('ORDENES'!$AC363="","-",'ORDENES'!$AC363))</f>
        <v/>
      </c>
      <c r="H385" s="3">
        <f>IF('ORDENES'!$A363="","",IF('ORDENES'!$AO363="","-",'ORDENES'!$AO363))</f>
        <v/>
      </c>
      <c r="I385" s="3">
        <f>IF('ORDENES'!$A363="","",IF('ORDENES'!$D363="","-",'ORDENES'!$D363))</f>
        <v/>
      </c>
      <c r="J385" s="3">
        <f>IF('ORDENES'!$A363="","",IF('ORDENES'!$E363="","-",'ORDENES'!$E363))</f>
        <v/>
      </c>
      <c r="K385" s="12">
        <f>IF('ORDENES'!$A363="","",IF('ORDENES'!$N363="",0,'ORDENES'!$N363))</f>
        <v/>
      </c>
      <c r="L385" s="3">
        <f>IF('ORDENES'!$A363="","",IF('ORDENES'!$O363="","-",'ORDENES'!$O363))</f>
        <v/>
      </c>
      <c r="M385" s="3">
        <f>IF('ORDENES'!$A363="","",'ORDENES'!$AB363)</f>
        <v/>
      </c>
    </row>
    <row r="386">
      <c r="A386" s="3">
        <f>IF('ORDENES'!$A364="","",IF('ORDENES'!$P364="","-",'ORDENES'!$P364))</f>
        <v/>
      </c>
      <c r="B386" s="3">
        <f>IF('ORDENES'!$A364="","",IF('ORDENES'!$S364="","-",'ORDENES'!$S364))</f>
        <v/>
      </c>
      <c r="C386" s="3">
        <f>IF('ORDENES'!$A364="","",IF('ORDENES'!$AD364="","-",'ORDENES'!$AD364))</f>
        <v/>
      </c>
      <c r="D386" s="3">
        <f>IF('ORDENES'!$A364="","",IF('ORDENES'!$W364="","-",'ORDENES'!$W364))</f>
        <v/>
      </c>
      <c r="E386" s="3">
        <f>IF('ORDENES'!$A364="","",IF('ORDENES'!$V364="","-",'ORDENES'!$V364))</f>
        <v/>
      </c>
      <c r="F386" s="3">
        <f>IF('ORDENES'!$A364="","",IF('ORDENES'!$X364="","-",'ORDENES'!$X364))</f>
        <v/>
      </c>
      <c r="G386" s="3">
        <f>IF('ORDENES'!$A364="","",IF('ORDENES'!$AC364="","-",'ORDENES'!$AC364))</f>
        <v/>
      </c>
      <c r="H386" s="3">
        <f>IF('ORDENES'!$A364="","",IF('ORDENES'!$AO364="","-",'ORDENES'!$AO364))</f>
        <v/>
      </c>
      <c r="I386" s="3">
        <f>IF('ORDENES'!$A364="","",IF('ORDENES'!$D364="","-",'ORDENES'!$D364))</f>
        <v/>
      </c>
      <c r="J386" s="3">
        <f>IF('ORDENES'!$A364="","",IF('ORDENES'!$E364="","-",'ORDENES'!$E364))</f>
        <v/>
      </c>
      <c r="K386" s="12">
        <f>IF('ORDENES'!$A364="","",IF('ORDENES'!$N364="",0,'ORDENES'!$N364))</f>
        <v/>
      </c>
      <c r="L386" s="3">
        <f>IF('ORDENES'!$A364="","",IF('ORDENES'!$O364="","-",'ORDENES'!$O364))</f>
        <v/>
      </c>
      <c r="M386" s="3">
        <f>IF('ORDENES'!$A364="","",'ORDENES'!$AB364)</f>
        <v/>
      </c>
    </row>
    <row r="387">
      <c r="A387" s="3">
        <f>IF('ORDENES'!$A365="","",IF('ORDENES'!$P365="","-",'ORDENES'!$P365))</f>
        <v/>
      </c>
      <c r="B387" s="3">
        <f>IF('ORDENES'!$A365="","",IF('ORDENES'!$S365="","-",'ORDENES'!$S365))</f>
        <v/>
      </c>
      <c r="C387" s="3">
        <f>IF('ORDENES'!$A365="","",IF('ORDENES'!$AD365="","-",'ORDENES'!$AD365))</f>
        <v/>
      </c>
      <c r="D387" s="3">
        <f>IF('ORDENES'!$A365="","",IF('ORDENES'!$W365="","-",'ORDENES'!$W365))</f>
        <v/>
      </c>
      <c r="E387" s="3">
        <f>IF('ORDENES'!$A365="","",IF('ORDENES'!$V365="","-",'ORDENES'!$V365))</f>
        <v/>
      </c>
      <c r="F387" s="3">
        <f>IF('ORDENES'!$A365="","",IF('ORDENES'!$X365="","-",'ORDENES'!$X365))</f>
        <v/>
      </c>
      <c r="G387" s="3">
        <f>IF('ORDENES'!$A365="","",IF('ORDENES'!$AC365="","-",'ORDENES'!$AC365))</f>
        <v/>
      </c>
      <c r="H387" s="3">
        <f>IF('ORDENES'!$A365="","",IF('ORDENES'!$AO365="","-",'ORDENES'!$AO365))</f>
        <v/>
      </c>
      <c r="I387" s="3">
        <f>IF('ORDENES'!$A365="","",IF('ORDENES'!$D365="","-",'ORDENES'!$D365))</f>
        <v/>
      </c>
      <c r="J387" s="3">
        <f>IF('ORDENES'!$A365="","",IF('ORDENES'!$E365="","-",'ORDENES'!$E365))</f>
        <v/>
      </c>
      <c r="K387" s="12">
        <f>IF('ORDENES'!$A365="","",IF('ORDENES'!$N365="",0,'ORDENES'!$N365))</f>
        <v/>
      </c>
      <c r="L387" s="3">
        <f>IF('ORDENES'!$A365="","",IF('ORDENES'!$O365="","-",'ORDENES'!$O365))</f>
        <v/>
      </c>
      <c r="M387" s="3">
        <f>IF('ORDENES'!$A365="","",'ORDENES'!$AB365)</f>
        <v/>
      </c>
    </row>
    <row r="388">
      <c r="A388" s="3">
        <f>IF('ORDENES'!$A366="","",IF('ORDENES'!$P366="","-",'ORDENES'!$P366))</f>
        <v/>
      </c>
      <c r="B388" s="3">
        <f>IF('ORDENES'!$A366="","",IF('ORDENES'!$S366="","-",'ORDENES'!$S366))</f>
        <v/>
      </c>
      <c r="C388" s="3">
        <f>IF('ORDENES'!$A366="","",IF('ORDENES'!$AD366="","-",'ORDENES'!$AD366))</f>
        <v/>
      </c>
      <c r="D388" s="3">
        <f>IF('ORDENES'!$A366="","",IF('ORDENES'!$W366="","-",'ORDENES'!$W366))</f>
        <v/>
      </c>
      <c r="E388" s="3">
        <f>IF('ORDENES'!$A366="","",IF('ORDENES'!$V366="","-",'ORDENES'!$V366))</f>
        <v/>
      </c>
      <c r="F388" s="3">
        <f>IF('ORDENES'!$A366="","",IF('ORDENES'!$X366="","-",'ORDENES'!$X366))</f>
        <v/>
      </c>
      <c r="G388" s="3">
        <f>IF('ORDENES'!$A366="","",IF('ORDENES'!$AC366="","-",'ORDENES'!$AC366))</f>
        <v/>
      </c>
      <c r="H388" s="3">
        <f>IF('ORDENES'!$A366="","",IF('ORDENES'!$AO366="","-",'ORDENES'!$AO366))</f>
        <v/>
      </c>
      <c r="I388" s="3">
        <f>IF('ORDENES'!$A366="","",IF('ORDENES'!$D366="","-",'ORDENES'!$D366))</f>
        <v/>
      </c>
      <c r="J388" s="3">
        <f>IF('ORDENES'!$A366="","",IF('ORDENES'!$E366="","-",'ORDENES'!$E366))</f>
        <v/>
      </c>
      <c r="K388" s="12">
        <f>IF('ORDENES'!$A366="","",IF('ORDENES'!$N366="",0,'ORDENES'!$N366))</f>
        <v/>
      </c>
      <c r="L388" s="3">
        <f>IF('ORDENES'!$A366="","",IF('ORDENES'!$O366="","-",'ORDENES'!$O366))</f>
        <v/>
      </c>
      <c r="M388" s="3">
        <f>IF('ORDENES'!$A366="","",'ORDENES'!$AB366)</f>
        <v/>
      </c>
    </row>
    <row r="389">
      <c r="A389" s="3">
        <f>IF('ORDENES'!$A367="","",IF('ORDENES'!$P367="","-",'ORDENES'!$P367))</f>
        <v/>
      </c>
      <c r="B389" s="3">
        <f>IF('ORDENES'!$A367="","",IF('ORDENES'!$S367="","-",'ORDENES'!$S367))</f>
        <v/>
      </c>
      <c r="C389" s="3">
        <f>IF('ORDENES'!$A367="","",IF('ORDENES'!$AD367="","-",'ORDENES'!$AD367))</f>
        <v/>
      </c>
      <c r="D389" s="3">
        <f>IF('ORDENES'!$A367="","",IF('ORDENES'!$W367="","-",'ORDENES'!$W367))</f>
        <v/>
      </c>
      <c r="E389" s="3">
        <f>IF('ORDENES'!$A367="","",IF('ORDENES'!$V367="","-",'ORDENES'!$V367))</f>
        <v/>
      </c>
      <c r="F389" s="3">
        <f>IF('ORDENES'!$A367="","",IF('ORDENES'!$X367="","-",'ORDENES'!$X367))</f>
        <v/>
      </c>
      <c r="G389" s="3">
        <f>IF('ORDENES'!$A367="","",IF('ORDENES'!$AC367="","-",'ORDENES'!$AC367))</f>
        <v/>
      </c>
      <c r="H389" s="3">
        <f>IF('ORDENES'!$A367="","",IF('ORDENES'!$AO367="","-",'ORDENES'!$AO367))</f>
        <v/>
      </c>
      <c r="I389" s="3">
        <f>IF('ORDENES'!$A367="","",IF('ORDENES'!$D367="","-",'ORDENES'!$D367))</f>
        <v/>
      </c>
      <c r="J389" s="3">
        <f>IF('ORDENES'!$A367="","",IF('ORDENES'!$E367="","-",'ORDENES'!$E367))</f>
        <v/>
      </c>
      <c r="K389" s="12">
        <f>IF('ORDENES'!$A367="","",IF('ORDENES'!$N367="",0,'ORDENES'!$N367))</f>
        <v/>
      </c>
      <c r="L389" s="3">
        <f>IF('ORDENES'!$A367="","",IF('ORDENES'!$O367="","-",'ORDENES'!$O367))</f>
        <v/>
      </c>
      <c r="M389" s="3">
        <f>IF('ORDENES'!$A367="","",'ORDENES'!$AB367)</f>
        <v/>
      </c>
    </row>
    <row r="390">
      <c r="A390" s="3">
        <f>IF('ORDENES'!$A368="","",IF('ORDENES'!$P368="","-",'ORDENES'!$P368))</f>
        <v/>
      </c>
      <c r="B390" s="3">
        <f>IF('ORDENES'!$A368="","",IF('ORDENES'!$S368="","-",'ORDENES'!$S368))</f>
        <v/>
      </c>
      <c r="C390" s="3">
        <f>IF('ORDENES'!$A368="","",IF('ORDENES'!$AD368="","-",'ORDENES'!$AD368))</f>
        <v/>
      </c>
      <c r="D390" s="3">
        <f>IF('ORDENES'!$A368="","",IF('ORDENES'!$W368="","-",'ORDENES'!$W368))</f>
        <v/>
      </c>
      <c r="E390" s="3">
        <f>IF('ORDENES'!$A368="","",IF('ORDENES'!$V368="","-",'ORDENES'!$V368))</f>
        <v/>
      </c>
      <c r="F390" s="3">
        <f>IF('ORDENES'!$A368="","",IF('ORDENES'!$X368="","-",'ORDENES'!$X368))</f>
        <v/>
      </c>
      <c r="G390" s="3">
        <f>IF('ORDENES'!$A368="","",IF('ORDENES'!$AC368="","-",'ORDENES'!$AC368))</f>
        <v/>
      </c>
      <c r="H390" s="3">
        <f>IF('ORDENES'!$A368="","",IF('ORDENES'!$AO368="","-",'ORDENES'!$AO368))</f>
        <v/>
      </c>
      <c r="I390" s="3">
        <f>IF('ORDENES'!$A368="","",IF('ORDENES'!$D368="","-",'ORDENES'!$D368))</f>
        <v/>
      </c>
      <c r="J390" s="3">
        <f>IF('ORDENES'!$A368="","",IF('ORDENES'!$E368="","-",'ORDENES'!$E368))</f>
        <v/>
      </c>
      <c r="K390" s="12">
        <f>IF('ORDENES'!$A368="","",IF('ORDENES'!$N368="",0,'ORDENES'!$N368))</f>
        <v/>
      </c>
      <c r="L390" s="3">
        <f>IF('ORDENES'!$A368="","",IF('ORDENES'!$O368="","-",'ORDENES'!$O368))</f>
        <v/>
      </c>
      <c r="M390" s="3">
        <f>IF('ORDENES'!$A368="","",'ORDENES'!$AB368)</f>
        <v/>
      </c>
    </row>
    <row r="391">
      <c r="A391" s="3">
        <f>IF('ORDENES'!$A369="","",IF('ORDENES'!$P369="","-",'ORDENES'!$P369))</f>
        <v/>
      </c>
      <c r="B391" s="3">
        <f>IF('ORDENES'!$A369="","",IF('ORDENES'!$S369="","-",'ORDENES'!$S369))</f>
        <v/>
      </c>
      <c r="C391" s="3">
        <f>IF('ORDENES'!$A369="","",IF('ORDENES'!$AD369="","-",'ORDENES'!$AD369))</f>
        <v/>
      </c>
      <c r="D391" s="3">
        <f>IF('ORDENES'!$A369="","",IF('ORDENES'!$W369="","-",'ORDENES'!$W369))</f>
        <v/>
      </c>
      <c r="E391" s="3">
        <f>IF('ORDENES'!$A369="","",IF('ORDENES'!$V369="","-",'ORDENES'!$V369))</f>
        <v/>
      </c>
      <c r="F391" s="3">
        <f>IF('ORDENES'!$A369="","",IF('ORDENES'!$X369="","-",'ORDENES'!$X369))</f>
        <v/>
      </c>
      <c r="G391" s="3">
        <f>IF('ORDENES'!$A369="","",IF('ORDENES'!$AC369="","-",'ORDENES'!$AC369))</f>
        <v/>
      </c>
      <c r="H391" s="3">
        <f>IF('ORDENES'!$A369="","",IF('ORDENES'!$AO369="","-",'ORDENES'!$AO369))</f>
        <v/>
      </c>
      <c r="I391" s="3">
        <f>IF('ORDENES'!$A369="","",IF('ORDENES'!$D369="","-",'ORDENES'!$D369))</f>
        <v/>
      </c>
      <c r="J391" s="3">
        <f>IF('ORDENES'!$A369="","",IF('ORDENES'!$E369="","-",'ORDENES'!$E369))</f>
        <v/>
      </c>
      <c r="K391" s="12">
        <f>IF('ORDENES'!$A369="","",IF('ORDENES'!$N369="",0,'ORDENES'!$N369))</f>
        <v/>
      </c>
      <c r="L391" s="3">
        <f>IF('ORDENES'!$A369="","",IF('ORDENES'!$O369="","-",'ORDENES'!$O369))</f>
        <v/>
      </c>
      <c r="M391" s="3">
        <f>IF('ORDENES'!$A369="","",'ORDENES'!$AB369)</f>
        <v/>
      </c>
    </row>
    <row r="392">
      <c r="A392" s="3">
        <f>IF('ORDENES'!$A370="","",IF('ORDENES'!$P370="","-",'ORDENES'!$P370))</f>
        <v/>
      </c>
      <c r="B392" s="3">
        <f>IF('ORDENES'!$A370="","",IF('ORDENES'!$S370="","-",'ORDENES'!$S370))</f>
        <v/>
      </c>
      <c r="C392" s="3">
        <f>IF('ORDENES'!$A370="","",IF('ORDENES'!$AD370="","-",'ORDENES'!$AD370))</f>
        <v/>
      </c>
      <c r="D392" s="3">
        <f>IF('ORDENES'!$A370="","",IF('ORDENES'!$W370="","-",'ORDENES'!$W370))</f>
        <v/>
      </c>
      <c r="E392" s="3">
        <f>IF('ORDENES'!$A370="","",IF('ORDENES'!$V370="","-",'ORDENES'!$V370))</f>
        <v/>
      </c>
      <c r="F392" s="3">
        <f>IF('ORDENES'!$A370="","",IF('ORDENES'!$X370="","-",'ORDENES'!$X370))</f>
        <v/>
      </c>
      <c r="G392" s="3">
        <f>IF('ORDENES'!$A370="","",IF('ORDENES'!$AC370="","-",'ORDENES'!$AC370))</f>
        <v/>
      </c>
      <c r="H392" s="3">
        <f>IF('ORDENES'!$A370="","",IF('ORDENES'!$AO370="","-",'ORDENES'!$AO370))</f>
        <v/>
      </c>
      <c r="I392" s="3">
        <f>IF('ORDENES'!$A370="","",IF('ORDENES'!$D370="","-",'ORDENES'!$D370))</f>
        <v/>
      </c>
      <c r="J392" s="3">
        <f>IF('ORDENES'!$A370="","",IF('ORDENES'!$E370="","-",'ORDENES'!$E370))</f>
        <v/>
      </c>
      <c r="K392" s="12">
        <f>IF('ORDENES'!$A370="","",IF('ORDENES'!$N370="",0,'ORDENES'!$N370))</f>
        <v/>
      </c>
      <c r="L392" s="3">
        <f>IF('ORDENES'!$A370="","",IF('ORDENES'!$O370="","-",'ORDENES'!$O370))</f>
        <v/>
      </c>
      <c r="M392" s="3">
        <f>IF('ORDENES'!$A370="","",'ORDENES'!$AB370)</f>
        <v/>
      </c>
    </row>
    <row r="393">
      <c r="A393" s="3">
        <f>IF('ORDENES'!$A371="","",IF('ORDENES'!$P371="","-",'ORDENES'!$P371))</f>
        <v/>
      </c>
      <c r="B393" s="3">
        <f>IF('ORDENES'!$A371="","",IF('ORDENES'!$S371="","-",'ORDENES'!$S371))</f>
        <v/>
      </c>
      <c r="C393" s="3">
        <f>IF('ORDENES'!$A371="","",IF('ORDENES'!$AD371="","-",'ORDENES'!$AD371))</f>
        <v/>
      </c>
      <c r="D393" s="3">
        <f>IF('ORDENES'!$A371="","",IF('ORDENES'!$W371="","-",'ORDENES'!$W371))</f>
        <v/>
      </c>
      <c r="E393" s="3">
        <f>IF('ORDENES'!$A371="","",IF('ORDENES'!$V371="","-",'ORDENES'!$V371))</f>
        <v/>
      </c>
      <c r="F393" s="3">
        <f>IF('ORDENES'!$A371="","",IF('ORDENES'!$X371="","-",'ORDENES'!$X371))</f>
        <v/>
      </c>
      <c r="G393" s="3">
        <f>IF('ORDENES'!$A371="","",IF('ORDENES'!$AC371="","-",'ORDENES'!$AC371))</f>
        <v/>
      </c>
      <c r="H393" s="3">
        <f>IF('ORDENES'!$A371="","",IF('ORDENES'!$AO371="","-",'ORDENES'!$AO371))</f>
        <v/>
      </c>
      <c r="I393" s="3">
        <f>IF('ORDENES'!$A371="","",IF('ORDENES'!$D371="","-",'ORDENES'!$D371))</f>
        <v/>
      </c>
      <c r="J393" s="3">
        <f>IF('ORDENES'!$A371="","",IF('ORDENES'!$E371="","-",'ORDENES'!$E371))</f>
        <v/>
      </c>
      <c r="K393" s="12">
        <f>IF('ORDENES'!$A371="","",IF('ORDENES'!$N371="",0,'ORDENES'!$N371))</f>
        <v/>
      </c>
      <c r="L393" s="3">
        <f>IF('ORDENES'!$A371="","",IF('ORDENES'!$O371="","-",'ORDENES'!$O371))</f>
        <v/>
      </c>
      <c r="M393" s="3">
        <f>IF('ORDENES'!$A371="","",'ORDENES'!$AB371)</f>
        <v/>
      </c>
    </row>
    <row r="394">
      <c r="A394" s="3">
        <f>IF('ORDENES'!$A372="","",IF('ORDENES'!$P372="","-",'ORDENES'!$P372))</f>
        <v/>
      </c>
      <c r="B394" s="3">
        <f>IF('ORDENES'!$A372="","",IF('ORDENES'!$S372="","-",'ORDENES'!$S372))</f>
        <v/>
      </c>
      <c r="C394" s="3">
        <f>IF('ORDENES'!$A372="","",IF('ORDENES'!$AD372="","-",'ORDENES'!$AD372))</f>
        <v/>
      </c>
      <c r="D394" s="3">
        <f>IF('ORDENES'!$A372="","",IF('ORDENES'!$W372="","-",'ORDENES'!$W372))</f>
        <v/>
      </c>
      <c r="E394" s="3">
        <f>IF('ORDENES'!$A372="","",IF('ORDENES'!$V372="","-",'ORDENES'!$V372))</f>
        <v/>
      </c>
      <c r="F394" s="3">
        <f>IF('ORDENES'!$A372="","",IF('ORDENES'!$X372="","-",'ORDENES'!$X372))</f>
        <v/>
      </c>
      <c r="G394" s="3">
        <f>IF('ORDENES'!$A372="","",IF('ORDENES'!$AC372="","-",'ORDENES'!$AC372))</f>
        <v/>
      </c>
      <c r="H394" s="3">
        <f>IF('ORDENES'!$A372="","",IF('ORDENES'!$AO372="","-",'ORDENES'!$AO372))</f>
        <v/>
      </c>
      <c r="I394" s="3">
        <f>IF('ORDENES'!$A372="","",IF('ORDENES'!$D372="","-",'ORDENES'!$D372))</f>
        <v/>
      </c>
      <c r="J394" s="3">
        <f>IF('ORDENES'!$A372="","",IF('ORDENES'!$E372="","-",'ORDENES'!$E372))</f>
        <v/>
      </c>
      <c r="K394" s="12">
        <f>IF('ORDENES'!$A372="","",IF('ORDENES'!$N372="",0,'ORDENES'!$N372))</f>
        <v/>
      </c>
      <c r="L394" s="3">
        <f>IF('ORDENES'!$A372="","",IF('ORDENES'!$O372="","-",'ORDENES'!$O372))</f>
        <v/>
      </c>
      <c r="M394" s="3">
        <f>IF('ORDENES'!$A372="","",'ORDENES'!$AB372)</f>
        <v/>
      </c>
    </row>
    <row r="395">
      <c r="A395" s="3">
        <f>IF('ORDENES'!$A373="","",IF('ORDENES'!$P373="","-",'ORDENES'!$P373))</f>
        <v/>
      </c>
      <c r="B395" s="3">
        <f>IF('ORDENES'!$A373="","",IF('ORDENES'!$S373="","-",'ORDENES'!$S373))</f>
        <v/>
      </c>
      <c r="C395" s="3">
        <f>IF('ORDENES'!$A373="","",IF('ORDENES'!$AD373="","-",'ORDENES'!$AD373))</f>
        <v/>
      </c>
      <c r="D395" s="3">
        <f>IF('ORDENES'!$A373="","",IF('ORDENES'!$W373="","-",'ORDENES'!$W373))</f>
        <v/>
      </c>
      <c r="E395" s="3">
        <f>IF('ORDENES'!$A373="","",IF('ORDENES'!$V373="","-",'ORDENES'!$V373))</f>
        <v/>
      </c>
      <c r="F395" s="3">
        <f>IF('ORDENES'!$A373="","",IF('ORDENES'!$X373="","-",'ORDENES'!$X373))</f>
        <v/>
      </c>
      <c r="G395" s="3">
        <f>IF('ORDENES'!$A373="","",IF('ORDENES'!$AC373="","-",'ORDENES'!$AC373))</f>
        <v/>
      </c>
      <c r="H395" s="3">
        <f>IF('ORDENES'!$A373="","",IF('ORDENES'!$AO373="","-",'ORDENES'!$AO373))</f>
        <v/>
      </c>
      <c r="I395" s="3">
        <f>IF('ORDENES'!$A373="","",IF('ORDENES'!$D373="","-",'ORDENES'!$D373))</f>
        <v/>
      </c>
      <c r="J395" s="3">
        <f>IF('ORDENES'!$A373="","",IF('ORDENES'!$E373="","-",'ORDENES'!$E373))</f>
        <v/>
      </c>
      <c r="K395" s="12">
        <f>IF('ORDENES'!$A373="","",IF('ORDENES'!$N373="",0,'ORDENES'!$N373))</f>
        <v/>
      </c>
      <c r="L395" s="3">
        <f>IF('ORDENES'!$A373="","",IF('ORDENES'!$O373="","-",'ORDENES'!$O373))</f>
        <v/>
      </c>
      <c r="M395" s="3">
        <f>IF('ORDENES'!$A373="","",'ORDENES'!$AB373)</f>
        <v/>
      </c>
    </row>
    <row r="396">
      <c r="A396" s="3">
        <f>IF('ORDENES'!$A374="","",IF('ORDENES'!$P374="","-",'ORDENES'!$P374))</f>
        <v/>
      </c>
      <c r="B396" s="3">
        <f>IF('ORDENES'!$A374="","",IF('ORDENES'!$S374="","-",'ORDENES'!$S374))</f>
        <v/>
      </c>
      <c r="C396" s="3">
        <f>IF('ORDENES'!$A374="","",IF('ORDENES'!$AD374="","-",'ORDENES'!$AD374))</f>
        <v/>
      </c>
      <c r="D396" s="3">
        <f>IF('ORDENES'!$A374="","",IF('ORDENES'!$W374="","-",'ORDENES'!$W374))</f>
        <v/>
      </c>
      <c r="E396" s="3">
        <f>IF('ORDENES'!$A374="","",IF('ORDENES'!$V374="","-",'ORDENES'!$V374))</f>
        <v/>
      </c>
      <c r="F396" s="3">
        <f>IF('ORDENES'!$A374="","",IF('ORDENES'!$X374="","-",'ORDENES'!$X374))</f>
        <v/>
      </c>
      <c r="G396" s="3">
        <f>IF('ORDENES'!$A374="","",IF('ORDENES'!$AC374="","-",'ORDENES'!$AC374))</f>
        <v/>
      </c>
      <c r="H396" s="3">
        <f>IF('ORDENES'!$A374="","",IF('ORDENES'!$AO374="","-",'ORDENES'!$AO374))</f>
        <v/>
      </c>
      <c r="I396" s="3">
        <f>IF('ORDENES'!$A374="","",IF('ORDENES'!$D374="","-",'ORDENES'!$D374))</f>
        <v/>
      </c>
      <c r="J396" s="3">
        <f>IF('ORDENES'!$A374="","",IF('ORDENES'!$E374="","-",'ORDENES'!$E374))</f>
        <v/>
      </c>
      <c r="K396" s="12">
        <f>IF('ORDENES'!$A374="","",IF('ORDENES'!$N374="",0,'ORDENES'!$N374))</f>
        <v/>
      </c>
      <c r="L396" s="3">
        <f>IF('ORDENES'!$A374="","",IF('ORDENES'!$O374="","-",'ORDENES'!$O374))</f>
        <v/>
      </c>
      <c r="M396" s="3">
        <f>IF('ORDENES'!$A374="","",'ORDENES'!$AB374)</f>
        <v/>
      </c>
    </row>
    <row r="397">
      <c r="A397" s="3">
        <f>IF('ORDENES'!$A375="","",IF('ORDENES'!$P375="","-",'ORDENES'!$P375))</f>
        <v/>
      </c>
      <c r="B397" s="3">
        <f>IF('ORDENES'!$A375="","",IF('ORDENES'!$S375="","-",'ORDENES'!$S375))</f>
        <v/>
      </c>
      <c r="C397" s="3">
        <f>IF('ORDENES'!$A375="","",IF('ORDENES'!$AD375="","-",'ORDENES'!$AD375))</f>
        <v/>
      </c>
      <c r="D397" s="3">
        <f>IF('ORDENES'!$A375="","",IF('ORDENES'!$W375="","-",'ORDENES'!$W375))</f>
        <v/>
      </c>
      <c r="E397" s="3">
        <f>IF('ORDENES'!$A375="","",IF('ORDENES'!$V375="","-",'ORDENES'!$V375))</f>
        <v/>
      </c>
      <c r="F397" s="3">
        <f>IF('ORDENES'!$A375="","",IF('ORDENES'!$X375="","-",'ORDENES'!$X375))</f>
        <v/>
      </c>
      <c r="G397" s="3">
        <f>IF('ORDENES'!$A375="","",IF('ORDENES'!$AC375="","-",'ORDENES'!$AC375))</f>
        <v/>
      </c>
      <c r="H397" s="3">
        <f>IF('ORDENES'!$A375="","",IF('ORDENES'!$AO375="","-",'ORDENES'!$AO375))</f>
        <v/>
      </c>
      <c r="I397" s="3">
        <f>IF('ORDENES'!$A375="","",IF('ORDENES'!$D375="","-",'ORDENES'!$D375))</f>
        <v/>
      </c>
      <c r="J397" s="3">
        <f>IF('ORDENES'!$A375="","",IF('ORDENES'!$E375="","-",'ORDENES'!$E375))</f>
        <v/>
      </c>
      <c r="K397" s="12">
        <f>IF('ORDENES'!$A375="","",IF('ORDENES'!$N375="",0,'ORDENES'!$N375))</f>
        <v/>
      </c>
      <c r="L397" s="3">
        <f>IF('ORDENES'!$A375="","",IF('ORDENES'!$O375="","-",'ORDENES'!$O375))</f>
        <v/>
      </c>
      <c r="M397" s="3">
        <f>IF('ORDENES'!$A375="","",'ORDENES'!$AB375)</f>
        <v/>
      </c>
    </row>
    <row r="398">
      <c r="A398" s="3">
        <f>IF('ORDENES'!$A376="","",IF('ORDENES'!$P376="","-",'ORDENES'!$P376))</f>
        <v/>
      </c>
      <c r="B398" s="3">
        <f>IF('ORDENES'!$A376="","",IF('ORDENES'!$S376="","-",'ORDENES'!$S376))</f>
        <v/>
      </c>
      <c r="C398" s="3">
        <f>IF('ORDENES'!$A376="","",IF('ORDENES'!$AD376="","-",'ORDENES'!$AD376))</f>
        <v/>
      </c>
      <c r="D398" s="3">
        <f>IF('ORDENES'!$A376="","",IF('ORDENES'!$W376="","-",'ORDENES'!$W376))</f>
        <v/>
      </c>
      <c r="E398" s="3">
        <f>IF('ORDENES'!$A376="","",IF('ORDENES'!$V376="","-",'ORDENES'!$V376))</f>
        <v/>
      </c>
      <c r="F398" s="3">
        <f>IF('ORDENES'!$A376="","",IF('ORDENES'!$X376="","-",'ORDENES'!$X376))</f>
        <v/>
      </c>
      <c r="G398" s="3">
        <f>IF('ORDENES'!$A376="","",IF('ORDENES'!$AC376="","-",'ORDENES'!$AC376))</f>
        <v/>
      </c>
      <c r="H398" s="3">
        <f>IF('ORDENES'!$A376="","",IF('ORDENES'!$AO376="","-",'ORDENES'!$AO376))</f>
        <v/>
      </c>
      <c r="I398" s="3">
        <f>IF('ORDENES'!$A376="","",IF('ORDENES'!$D376="","-",'ORDENES'!$D376))</f>
        <v/>
      </c>
      <c r="J398" s="3">
        <f>IF('ORDENES'!$A376="","",IF('ORDENES'!$E376="","-",'ORDENES'!$E376))</f>
        <v/>
      </c>
      <c r="K398" s="12">
        <f>IF('ORDENES'!$A376="","",IF('ORDENES'!$N376="",0,'ORDENES'!$N376))</f>
        <v/>
      </c>
      <c r="L398" s="3">
        <f>IF('ORDENES'!$A376="","",IF('ORDENES'!$O376="","-",'ORDENES'!$O376))</f>
        <v/>
      </c>
      <c r="M398" s="3">
        <f>IF('ORDENES'!$A376="","",'ORDENES'!$AB376)</f>
        <v/>
      </c>
    </row>
    <row r="399">
      <c r="A399" s="3">
        <f>IF('ORDENES'!$A377="","",IF('ORDENES'!$P377="","-",'ORDENES'!$P377))</f>
        <v/>
      </c>
      <c r="B399" s="3">
        <f>IF('ORDENES'!$A377="","",IF('ORDENES'!$S377="","-",'ORDENES'!$S377))</f>
        <v/>
      </c>
      <c r="C399" s="3">
        <f>IF('ORDENES'!$A377="","",IF('ORDENES'!$AD377="","-",'ORDENES'!$AD377))</f>
        <v/>
      </c>
      <c r="D399" s="3">
        <f>IF('ORDENES'!$A377="","",IF('ORDENES'!$W377="","-",'ORDENES'!$W377))</f>
        <v/>
      </c>
      <c r="E399" s="3">
        <f>IF('ORDENES'!$A377="","",IF('ORDENES'!$V377="","-",'ORDENES'!$V377))</f>
        <v/>
      </c>
      <c r="F399" s="3">
        <f>IF('ORDENES'!$A377="","",IF('ORDENES'!$X377="","-",'ORDENES'!$X377))</f>
        <v/>
      </c>
      <c r="G399" s="3">
        <f>IF('ORDENES'!$A377="","",IF('ORDENES'!$AC377="","-",'ORDENES'!$AC377))</f>
        <v/>
      </c>
      <c r="H399" s="3">
        <f>IF('ORDENES'!$A377="","",IF('ORDENES'!$AO377="","-",'ORDENES'!$AO377))</f>
        <v/>
      </c>
      <c r="I399" s="3">
        <f>IF('ORDENES'!$A377="","",IF('ORDENES'!$D377="","-",'ORDENES'!$D377))</f>
        <v/>
      </c>
      <c r="J399" s="3">
        <f>IF('ORDENES'!$A377="","",IF('ORDENES'!$E377="","-",'ORDENES'!$E377))</f>
        <v/>
      </c>
      <c r="K399" s="12">
        <f>IF('ORDENES'!$A377="","",IF('ORDENES'!$N377="",0,'ORDENES'!$N377))</f>
        <v/>
      </c>
      <c r="L399" s="3">
        <f>IF('ORDENES'!$A377="","",IF('ORDENES'!$O377="","-",'ORDENES'!$O377))</f>
        <v/>
      </c>
      <c r="M399" s="3">
        <f>IF('ORDENES'!$A377="","",'ORDENES'!$AB377)</f>
        <v/>
      </c>
    </row>
    <row r="400">
      <c r="A400" s="3">
        <f>IF('ORDENES'!$A378="","",IF('ORDENES'!$P378="","-",'ORDENES'!$P378))</f>
        <v/>
      </c>
      <c r="B400" s="3">
        <f>IF('ORDENES'!$A378="","",IF('ORDENES'!$S378="","-",'ORDENES'!$S378))</f>
        <v/>
      </c>
      <c r="C400" s="3">
        <f>IF('ORDENES'!$A378="","",IF('ORDENES'!$AD378="","-",'ORDENES'!$AD378))</f>
        <v/>
      </c>
      <c r="D400" s="3">
        <f>IF('ORDENES'!$A378="","",IF('ORDENES'!$W378="","-",'ORDENES'!$W378))</f>
        <v/>
      </c>
      <c r="E400" s="3">
        <f>IF('ORDENES'!$A378="","",IF('ORDENES'!$V378="","-",'ORDENES'!$V378))</f>
        <v/>
      </c>
      <c r="F400" s="3">
        <f>IF('ORDENES'!$A378="","",IF('ORDENES'!$X378="","-",'ORDENES'!$X378))</f>
        <v/>
      </c>
      <c r="G400" s="3">
        <f>IF('ORDENES'!$A378="","",IF('ORDENES'!$AC378="","-",'ORDENES'!$AC378))</f>
        <v/>
      </c>
      <c r="H400" s="3">
        <f>IF('ORDENES'!$A378="","",IF('ORDENES'!$AO378="","-",'ORDENES'!$AO378))</f>
        <v/>
      </c>
      <c r="I400" s="3">
        <f>IF('ORDENES'!$A378="","",IF('ORDENES'!$D378="","-",'ORDENES'!$D378))</f>
        <v/>
      </c>
      <c r="J400" s="3">
        <f>IF('ORDENES'!$A378="","",IF('ORDENES'!$E378="","-",'ORDENES'!$E378))</f>
        <v/>
      </c>
      <c r="K400" s="12">
        <f>IF('ORDENES'!$A378="","",IF('ORDENES'!$N378="",0,'ORDENES'!$N378))</f>
        <v/>
      </c>
      <c r="L400" s="3">
        <f>IF('ORDENES'!$A378="","",IF('ORDENES'!$O378="","-",'ORDENES'!$O378))</f>
        <v/>
      </c>
      <c r="M400" s="3">
        <f>IF('ORDENES'!$A378="","",'ORDENES'!$AB378)</f>
        <v/>
      </c>
    </row>
    <row r="401">
      <c r="A401" s="3">
        <f>IF('ORDENES'!$A379="","",IF('ORDENES'!$P379="","-",'ORDENES'!$P379))</f>
        <v/>
      </c>
      <c r="B401" s="3">
        <f>IF('ORDENES'!$A379="","",IF('ORDENES'!$S379="","-",'ORDENES'!$S379))</f>
        <v/>
      </c>
      <c r="C401" s="3">
        <f>IF('ORDENES'!$A379="","",IF('ORDENES'!$AD379="","-",'ORDENES'!$AD379))</f>
        <v/>
      </c>
      <c r="D401" s="3">
        <f>IF('ORDENES'!$A379="","",IF('ORDENES'!$W379="","-",'ORDENES'!$W379))</f>
        <v/>
      </c>
      <c r="E401" s="3">
        <f>IF('ORDENES'!$A379="","",IF('ORDENES'!$V379="","-",'ORDENES'!$V379))</f>
        <v/>
      </c>
      <c r="F401" s="3">
        <f>IF('ORDENES'!$A379="","",IF('ORDENES'!$X379="","-",'ORDENES'!$X379))</f>
        <v/>
      </c>
      <c r="G401" s="3">
        <f>IF('ORDENES'!$A379="","",IF('ORDENES'!$AC379="","-",'ORDENES'!$AC379))</f>
        <v/>
      </c>
      <c r="H401" s="3">
        <f>IF('ORDENES'!$A379="","",IF('ORDENES'!$AO379="","-",'ORDENES'!$AO379))</f>
        <v/>
      </c>
      <c r="I401" s="3">
        <f>IF('ORDENES'!$A379="","",IF('ORDENES'!$D379="","-",'ORDENES'!$D379))</f>
        <v/>
      </c>
      <c r="J401" s="3">
        <f>IF('ORDENES'!$A379="","",IF('ORDENES'!$E379="","-",'ORDENES'!$E379))</f>
        <v/>
      </c>
      <c r="K401" s="12">
        <f>IF('ORDENES'!$A379="","",IF('ORDENES'!$N379="",0,'ORDENES'!$N379))</f>
        <v/>
      </c>
      <c r="L401" s="3">
        <f>IF('ORDENES'!$A379="","",IF('ORDENES'!$O379="","-",'ORDENES'!$O379))</f>
        <v/>
      </c>
      <c r="M401" s="3">
        <f>IF('ORDENES'!$A379="","",'ORDENES'!$AB379)</f>
        <v/>
      </c>
    </row>
    <row r="402">
      <c r="A402" s="3">
        <f>IF('ORDENES'!$A380="","",IF('ORDENES'!$P380="","-",'ORDENES'!$P380))</f>
        <v/>
      </c>
      <c r="B402" s="3">
        <f>IF('ORDENES'!$A380="","",IF('ORDENES'!$S380="","-",'ORDENES'!$S380))</f>
        <v/>
      </c>
      <c r="C402" s="3">
        <f>IF('ORDENES'!$A380="","",IF('ORDENES'!$AD380="","-",'ORDENES'!$AD380))</f>
        <v/>
      </c>
      <c r="D402" s="3">
        <f>IF('ORDENES'!$A380="","",IF('ORDENES'!$W380="","-",'ORDENES'!$W380))</f>
        <v/>
      </c>
      <c r="E402" s="3">
        <f>IF('ORDENES'!$A380="","",IF('ORDENES'!$V380="","-",'ORDENES'!$V380))</f>
        <v/>
      </c>
      <c r="F402" s="3">
        <f>IF('ORDENES'!$A380="","",IF('ORDENES'!$X380="","-",'ORDENES'!$X380))</f>
        <v/>
      </c>
      <c r="G402" s="3">
        <f>IF('ORDENES'!$A380="","",IF('ORDENES'!$AC380="","-",'ORDENES'!$AC380))</f>
        <v/>
      </c>
      <c r="H402" s="3">
        <f>IF('ORDENES'!$A380="","",IF('ORDENES'!$AO380="","-",'ORDENES'!$AO380))</f>
        <v/>
      </c>
      <c r="I402" s="3">
        <f>IF('ORDENES'!$A380="","",IF('ORDENES'!$D380="","-",'ORDENES'!$D380))</f>
        <v/>
      </c>
      <c r="J402" s="3">
        <f>IF('ORDENES'!$A380="","",IF('ORDENES'!$E380="","-",'ORDENES'!$E380))</f>
        <v/>
      </c>
      <c r="K402" s="12">
        <f>IF('ORDENES'!$A380="","",IF('ORDENES'!$N380="",0,'ORDENES'!$N380))</f>
        <v/>
      </c>
      <c r="L402" s="3">
        <f>IF('ORDENES'!$A380="","",IF('ORDENES'!$O380="","-",'ORDENES'!$O380))</f>
        <v/>
      </c>
      <c r="M402" s="3">
        <f>IF('ORDENES'!$A380="","",'ORDENES'!$AB380)</f>
        <v/>
      </c>
    </row>
    <row r="403">
      <c r="A403" s="3">
        <f>IF('ORDENES'!$A381="","",IF('ORDENES'!$P381="","-",'ORDENES'!$P381))</f>
        <v/>
      </c>
      <c r="B403" s="3">
        <f>IF('ORDENES'!$A381="","",IF('ORDENES'!$S381="","-",'ORDENES'!$S381))</f>
        <v/>
      </c>
      <c r="C403" s="3">
        <f>IF('ORDENES'!$A381="","",IF('ORDENES'!$AD381="","-",'ORDENES'!$AD381))</f>
        <v/>
      </c>
      <c r="D403" s="3">
        <f>IF('ORDENES'!$A381="","",IF('ORDENES'!$W381="","-",'ORDENES'!$W381))</f>
        <v/>
      </c>
      <c r="E403" s="3">
        <f>IF('ORDENES'!$A381="","",IF('ORDENES'!$V381="","-",'ORDENES'!$V381))</f>
        <v/>
      </c>
      <c r="F403" s="3">
        <f>IF('ORDENES'!$A381="","",IF('ORDENES'!$X381="","-",'ORDENES'!$X381))</f>
        <v/>
      </c>
      <c r="G403" s="3">
        <f>IF('ORDENES'!$A381="","",IF('ORDENES'!$AC381="","-",'ORDENES'!$AC381))</f>
        <v/>
      </c>
      <c r="H403" s="3">
        <f>IF('ORDENES'!$A381="","",IF('ORDENES'!$AO381="","-",'ORDENES'!$AO381))</f>
        <v/>
      </c>
      <c r="I403" s="3">
        <f>IF('ORDENES'!$A381="","",IF('ORDENES'!$D381="","-",'ORDENES'!$D381))</f>
        <v/>
      </c>
      <c r="J403" s="3">
        <f>IF('ORDENES'!$A381="","",IF('ORDENES'!$E381="","-",'ORDENES'!$E381))</f>
        <v/>
      </c>
      <c r="K403" s="12">
        <f>IF('ORDENES'!$A381="","",IF('ORDENES'!$N381="",0,'ORDENES'!$N381))</f>
        <v/>
      </c>
      <c r="L403" s="3">
        <f>IF('ORDENES'!$A381="","",IF('ORDENES'!$O381="","-",'ORDENES'!$O381))</f>
        <v/>
      </c>
      <c r="M403" s="3">
        <f>IF('ORDENES'!$A381="","",'ORDENES'!$AB381)</f>
        <v/>
      </c>
    </row>
    <row r="404">
      <c r="A404" s="3">
        <f>IF('ORDENES'!$A382="","",IF('ORDENES'!$P382="","-",'ORDENES'!$P382))</f>
        <v/>
      </c>
      <c r="B404" s="3">
        <f>IF('ORDENES'!$A382="","",IF('ORDENES'!$S382="","-",'ORDENES'!$S382))</f>
        <v/>
      </c>
      <c r="C404" s="3">
        <f>IF('ORDENES'!$A382="","",IF('ORDENES'!$AD382="","-",'ORDENES'!$AD382))</f>
        <v/>
      </c>
      <c r="D404" s="3">
        <f>IF('ORDENES'!$A382="","",IF('ORDENES'!$W382="","-",'ORDENES'!$W382))</f>
        <v/>
      </c>
      <c r="E404" s="3">
        <f>IF('ORDENES'!$A382="","",IF('ORDENES'!$V382="","-",'ORDENES'!$V382))</f>
        <v/>
      </c>
      <c r="F404" s="3">
        <f>IF('ORDENES'!$A382="","",IF('ORDENES'!$X382="","-",'ORDENES'!$X382))</f>
        <v/>
      </c>
      <c r="G404" s="3">
        <f>IF('ORDENES'!$A382="","",IF('ORDENES'!$AC382="","-",'ORDENES'!$AC382))</f>
        <v/>
      </c>
      <c r="H404" s="3">
        <f>IF('ORDENES'!$A382="","",IF('ORDENES'!$AO382="","-",'ORDENES'!$AO382))</f>
        <v/>
      </c>
      <c r="I404" s="3">
        <f>IF('ORDENES'!$A382="","",IF('ORDENES'!$D382="","-",'ORDENES'!$D382))</f>
        <v/>
      </c>
      <c r="J404" s="3">
        <f>IF('ORDENES'!$A382="","",IF('ORDENES'!$E382="","-",'ORDENES'!$E382))</f>
        <v/>
      </c>
      <c r="K404" s="12">
        <f>IF('ORDENES'!$A382="","",IF('ORDENES'!$N382="",0,'ORDENES'!$N382))</f>
        <v/>
      </c>
      <c r="L404" s="3">
        <f>IF('ORDENES'!$A382="","",IF('ORDENES'!$O382="","-",'ORDENES'!$O382))</f>
        <v/>
      </c>
      <c r="M404" s="3">
        <f>IF('ORDENES'!$A382="","",'ORDENES'!$AB382)</f>
        <v/>
      </c>
    </row>
    <row r="405">
      <c r="A405" s="3">
        <f>IF('ORDENES'!$A383="","",IF('ORDENES'!$P383="","-",'ORDENES'!$P383))</f>
        <v/>
      </c>
      <c r="B405" s="3">
        <f>IF('ORDENES'!$A383="","",IF('ORDENES'!$S383="","-",'ORDENES'!$S383))</f>
        <v/>
      </c>
      <c r="C405" s="3">
        <f>IF('ORDENES'!$A383="","",IF('ORDENES'!$AD383="","-",'ORDENES'!$AD383))</f>
        <v/>
      </c>
      <c r="D405" s="3">
        <f>IF('ORDENES'!$A383="","",IF('ORDENES'!$W383="","-",'ORDENES'!$W383))</f>
        <v/>
      </c>
      <c r="E405" s="3">
        <f>IF('ORDENES'!$A383="","",IF('ORDENES'!$V383="","-",'ORDENES'!$V383))</f>
        <v/>
      </c>
      <c r="F405" s="3">
        <f>IF('ORDENES'!$A383="","",IF('ORDENES'!$X383="","-",'ORDENES'!$X383))</f>
        <v/>
      </c>
      <c r="G405" s="3">
        <f>IF('ORDENES'!$A383="","",IF('ORDENES'!$AC383="","-",'ORDENES'!$AC383))</f>
        <v/>
      </c>
      <c r="H405" s="3">
        <f>IF('ORDENES'!$A383="","",IF('ORDENES'!$AO383="","-",'ORDENES'!$AO383))</f>
        <v/>
      </c>
      <c r="I405" s="3">
        <f>IF('ORDENES'!$A383="","",IF('ORDENES'!$D383="","-",'ORDENES'!$D383))</f>
        <v/>
      </c>
      <c r="J405" s="3">
        <f>IF('ORDENES'!$A383="","",IF('ORDENES'!$E383="","-",'ORDENES'!$E383))</f>
        <v/>
      </c>
      <c r="K405" s="12">
        <f>IF('ORDENES'!$A383="","",IF('ORDENES'!$N383="",0,'ORDENES'!$N383))</f>
        <v/>
      </c>
      <c r="L405" s="3">
        <f>IF('ORDENES'!$A383="","",IF('ORDENES'!$O383="","-",'ORDENES'!$O383))</f>
        <v/>
      </c>
      <c r="M405" s="3">
        <f>IF('ORDENES'!$A383="","",'ORDENES'!$AB383)</f>
        <v/>
      </c>
    </row>
    <row r="406">
      <c r="A406" s="3">
        <f>IF('ORDENES'!$A384="","",IF('ORDENES'!$P384="","-",'ORDENES'!$P384))</f>
        <v/>
      </c>
      <c r="B406" s="3">
        <f>IF('ORDENES'!$A384="","",IF('ORDENES'!$S384="","-",'ORDENES'!$S384))</f>
        <v/>
      </c>
      <c r="C406" s="3">
        <f>IF('ORDENES'!$A384="","",IF('ORDENES'!$AD384="","-",'ORDENES'!$AD384))</f>
        <v/>
      </c>
      <c r="D406" s="3">
        <f>IF('ORDENES'!$A384="","",IF('ORDENES'!$W384="","-",'ORDENES'!$W384))</f>
        <v/>
      </c>
      <c r="E406" s="3">
        <f>IF('ORDENES'!$A384="","",IF('ORDENES'!$V384="","-",'ORDENES'!$V384))</f>
        <v/>
      </c>
      <c r="F406" s="3">
        <f>IF('ORDENES'!$A384="","",IF('ORDENES'!$X384="","-",'ORDENES'!$X384))</f>
        <v/>
      </c>
      <c r="G406" s="3">
        <f>IF('ORDENES'!$A384="","",IF('ORDENES'!$AC384="","-",'ORDENES'!$AC384))</f>
        <v/>
      </c>
      <c r="H406" s="3">
        <f>IF('ORDENES'!$A384="","",IF('ORDENES'!$AO384="","-",'ORDENES'!$AO384))</f>
        <v/>
      </c>
      <c r="I406" s="3">
        <f>IF('ORDENES'!$A384="","",IF('ORDENES'!$D384="","-",'ORDENES'!$D384))</f>
        <v/>
      </c>
      <c r="J406" s="3">
        <f>IF('ORDENES'!$A384="","",IF('ORDENES'!$E384="","-",'ORDENES'!$E384))</f>
        <v/>
      </c>
      <c r="K406" s="12">
        <f>IF('ORDENES'!$A384="","",IF('ORDENES'!$N384="",0,'ORDENES'!$N384))</f>
        <v/>
      </c>
      <c r="L406" s="3">
        <f>IF('ORDENES'!$A384="","",IF('ORDENES'!$O384="","-",'ORDENES'!$O384))</f>
        <v/>
      </c>
      <c r="M406" s="3">
        <f>IF('ORDENES'!$A384="","",'ORDENES'!$AB384)</f>
        <v/>
      </c>
    </row>
    <row r="407">
      <c r="A407" s="3">
        <f>IF('ORDENES'!$A385="","",IF('ORDENES'!$P385="","-",'ORDENES'!$P385))</f>
        <v/>
      </c>
      <c r="B407" s="3">
        <f>IF('ORDENES'!$A385="","",IF('ORDENES'!$S385="","-",'ORDENES'!$S385))</f>
        <v/>
      </c>
      <c r="C407" s="3">
        <f>IF('ORDENES'!$A385="","",IF('ORDENES'!$AD385="","-",'ORDENES'!$AD385))</f>
        <v/>
      </c>
      <c r="D407" s="3">
        <f>IF('ORDENES'!$A385="","",IF('ORDENES'!$W385="","-",'ORDENES'!$W385))</f>
        <v/>
      </c>
      <c r="E407" s="3">
        <f>IF('ORDENES'!$A385="","",IF('ORDENES'!$V385="","-",'ORDENES'!$V385))</f>
        <v/>
      </c>
      <c r="F407" s="3">
        <f>IF('ORDENES'!$A385="","",IF('ORDENES'!$X385="","-",'ORDENES'!$X385))</f>
        <v/>
      </c>
      <c r="G407" s="3">
        <f>IF('ORDENES'!$A385="","",IF('ORDENES'!$AC385="","-",'ORDENES'!$AC385))</f>
        <v/>
      </c>
      <c r="H407" s="3">
        <f>IF('ORDENES'!$A385="","",IF('ORDENES'!$AO385="","-",'ORDENES'!$AO385))</f>
        <v/>
      </c>
      <c r="I407" s="3">
        <f>IF('ORDENES'!$A385="","",IF('ORDENES'!$D385="","-",'ORDENES'!$D385))</f>
        <v/>
      </c>
      <c r="J407" s="3">
        <f>IF('ORDENES'!$A385="","",IF('ORDENES'!$E385="","-",'ORDENES'!$E385))</f>
        <v/>
      </c>
      <c r="K407" s="12">
        <f>IF('ORDENES'!$A385="","",IF('ORDENES'!$N385="",0,'ORDENES'!$N385))</f>
        <v/>
      </c>
      <c r="L407" s="3">
        <f>IF('ORDENES'!$A385="","",IF('ORDENES'!$O385="","-",'ORDENES'!$O385))</f>
        <v/>
      </c>
      <c r="M407" s="3">
        <f>IF('ORDENES'!$A385="","",'ORDENES'!$AB385)</f>
        <v/>
      </c>
    </row>
    <row r="408">
      <c r="A408" s="3">
        <f>IF('ORDENES'!$A386="","",IF('ORDENES'!$P386="","-",'ORDENES'!$P386))</f>
        <v/>
      </c>
      <c r="B408" s="3">
        <f>IF('ORDENES'!$A386="","",IF('ORDENES'!$S386="","-",'ORDENES'!$S386))</f>
        <v/>
      </c>
      <c r="C408" s="3">
        <f>IF('ORDENES'!$A386="","",IF('ORDENES'!$AD386="","-",'ORDENES'!$AD386))</f>
        <v/>
      </c>
      <c r="D408" s="3">
        <f>IF('ORDENES'!$A386="","",IF('ORDENES'!$W386="","-",'ORDENES'!$W386))</f>
        <v/>
      </c>
      <c r="E408" s="3">
        <f>IF('ORDENES'!$A386="","",IF('ORDENES'!$V386="","-",'ORDENES'!$V386))</f>
        <v/>
      </c>
      <c r="F408" s="3">
        <f>IF('ORDENES'!$A386="","",IF('ORDENES'!$X386="","-",'ORDENES'!$X386))</f>
        <v/>
      </c>
      <c r="G408" s="3">
        <f>IF('ORDENES'!$A386="","",IF('ORDENES'!$AC386="","-",'ORDENES'!$AC386))</f>
        <v/>
      </c>
      <c r="H408" s="3">
        <f>IF('ORDENES'!$A386="","",IF('ORDENES'!$AO386="","-",'ORDENES'!$AO386))</f>
        <v/>
      </c>
      <c r="I408" s="3">
        <f>IF('ORDENES'!$A386="","",IF('ORDENES'!$D386="","-",'ORDENES'!$D386))</f>
        <v/>
      </c>
      <c r="J408" s="3">
        <f>IF('ORDENES'!$A386="","",IF('ORDENES'!$E386="","-",'ORDENES'!$E386))</f>
        <v/>
      </c>
      <c r="K408" s="12">
        <f>IF('ORDENES'!$A386="","",IF('ORDENES'!$N386="",0,'ORDENES'!$N386))</f>
        <v/>
      </c>
      <c r="L408" s="3">
        <f>IF('ORDENES'!$A386="","",IF('ORDENES'!$O386="","-",'ORDENES'!$O386))</f>
        <v/>
      </c>
      <c r="M408" s="3">
        <f>IF('ORDENES'!$A386="","",'ORDENES'!$AB386)</f>
        <v/>
      </c>
    </row>
    <row r="409">
      <c r="A409" s="3">
        <f>IF('ORDENES'!$A387="","",IF('ORDENES'!$P387="","-",'ORDENES'!$P387))</f>
        <v/>
      </c>
      <c r="B409" s="3">
        <f>IF('ORDENES'!$A387="","",IF('ORDENES'!$S387="","-",'ORDENES'!$S387))</f>
        <v/>
      </c>
      <c r="C409" s="3">
        <f>IF('ORDENES'!$A387="","",IF('ORDENES'!$AD387="","-",'ORDENES'!$AD387))</f>
        <v/>
      </c>
      <c r="D409" s="3">
        <f>IF('ORDENES'!$A387="","",IF('ORDENES'!$W387="","-",'ORDENES'!$W387))</f>
        <v/>
      </c>
      <c r="E409" s="3">
        <f>IF('ORDENES'!$A387="","",IF('ORDENES'!$V387="","-",'ORDENES'!$V387))</f>
        <v/>
      </c>
      <c r="F409" s="3">
        <f>IF('ORDENES'!$A387="","",IF('ORDENES'!$X387="","-",'ORDENES'!$X387))</f>
        <v/>
      </c>
      <c r="G409" s="3">
        <f>IF('ORDENES'!$A387="","",IF('ORDENES'!$AC387="","-",'ORDENES'!$AC387))</f>
        <v/>
      </c>
      <c r="H409" s="3">
        <f>IF('ORDENES'!$A387="","",IF('ORDENES'!$AO387="","-",'ORDENES'!$AO387))</f>
        <v/>
      </c>
      <c r="I409" s="3">
        <f>IF('ORDENES'!$A387="","",IF('ORDENES'!$D387="","-",'ORDENES'!$D387))</f>
        <v/>
      </c>
      <c r="J409" s="3">
        <f>IF('ORDENES'!$A387="","",IF('ORDENES'!$E387="","-",'ORDENES'!$E387))</f>
        <v/>
      </c>
      <c r="K409" s="12">
        <f>IF('ORDENES'!$A387="","",IF('ORDENES'!$N387="",0,'ORDENES'!$N387))</f>
        <v/>
      </c>
      <c r="L409" s="3">
        <f>IF('ORDENES'!$A387="","",IF('ORDENES'!$O387="","-",'ORDENES'!$O387))</f>
        <v/>
      </c>
      <c r="M409" s="3">
        <f>IF('ORDENES'!$A387="","",'ORDENES'!$AB387)</f>
        <v/>
      </c>
    </row>
    <row r="410">
      <c r="A410" s="3">
        <f>IF('ORDENES'!$A388="","",IF('ORDENES'!$P388="","-",'ORDENES'!$P388))</f>
        <v/>
      </c>
      <c r="B410" s="3">
        <f>IF('ORDENES'!$A388="","",IF('ORDENES'!$S388="","-",'ORDENES'!$S388))</f>
        <v/>
      </c>
      <c r="C410" s="3">
        <f>IF('ORDENES'!$A388="","",IF('ORDENES'!$AD388="","-",'ORDENES'!$AD388))</f>
        <v/>
      </c>
      <c r="D410" s="3">
        <f>IF('ORDENES'!$A388="","",IF('ORDENES'!$W388="","-",'ORDENES'!$W388))</f>
        <v/>
      </c>
      <c r="E410" s="3">
        <f>IF('ORDENES'!$A388="","",IF('ORDENES'!$V388="","-",'ORDENES'!$V388))</f>
        <v/>
      </c>
      <c r="F410" s="3">
        <f>IF('ORDENES'!$A388="","",IF('ORDENES'!$X388="","-",'ORDENES'!$X388))</f>
        <v/>
      </c>
      <c r="G410" s="3">
        <f>IF('ORDENES'!$A388="","",IF('ORDENES'!$AC388="","-",'ORDENES'!$AC388))</f>
        <v/>
      </c>
      <c r="H410" s="3">
        <f>IF('ORDENES'!$A388="","",IF('ORDENES'!$AO388="","-",'ORDENES'!$AO388))</f>
        <v/>
      </c>
      <c r="I410" s="3">
        <f>IF('ORDENES'!$A388="","",IF('ORDENES'!$D388="","-",'ORDENES'!$D388))</f>
        <v/>
      </c>
      <c r="J410" s="3">
        <f>IF('ORDENES'!$A388="","",IF('ORDENES'!$E388="","-",'ORDENES'!$E388))</f>
        <v/>
      </c>
      <c r="K410" s="12">
        <f>IF('ORDENES'!$A388="","",IF('ORDENES'!$N388="",0,'ORDENES'!$N388))</f>
        <v/>
      </c>
      <c r="L410" s="3">
        <f>IF('ORDENES'!$A388="","",IF('ORDENES'!$O388="","-",'ORDENES'!$O388))</f>
        <v/>
      </c>
      <c r="M410" s="3">
        <f>IF('ORDENES'!$A388="","",'ORDENES'!$AB388)</f>
        <v/>
      </c>
    </row>
    <row r="411">
      <c r="A411" s="3">
        <f>IF('ORDENES'!$A389="","",IF('ORDENES'!$P389="","-",'ORDENES'!$P389))</f>
        <v/>
      </c>
      <c r="B411" s="3">
        <f>IF('ORDENES'!$A389="","",IF('ORDENES'!$S389="","-",'ORDENES'!$S389))</f>
        <v/>
      </c>
      <c r="C411" s="3">
        <f>IF('ORDENES'!$A389="","",IF('ORDENES'!$AD389="","-",'ORDENES'!$AD389))</f>
        <v/>
      </c>
      <c r="D411" s="3">
        <f>IF('ORDENES'!$A389="","",IF('ORDENES'!$W389="","-",'ORDENES'!$W389))</f>
        <v/>
      </c>
      <c r="E411" s="3">
        <f>IF('ORDENES'!$A389="","",IF('ORDENES'!$V389="","-",'ORDENES'!$V389))</f>
        <v/>
      </c>
      <c r="F411" s="3">
        <f>IF('ORDENES'!$A389="","",IF('ORDENES'!$X389="","-",'ORDENES'!$X389))</f>
        <v/>
      </c>
      <c r="G411" s="3">
        <f>IF('ORDENES'!$A389="","",IF('ORDENES'!$AC389="","-",'ORDENES'!$AC389))</f>
        <v/>
      </c>
      <c r="H411" s="3">
        <f>IF('ORDENES'!$A389="","",IF('ORDENES'!$AO389="","-",'ORDENES'!$AO389))</f>
        <v/>
      </c>
      <c r="I411" s="3">
        <f>IF('ORDENES'!$A389="","",IF('ORDENES'!$D389="","-",'ORDENES'!$D389))</f>
        <v/>
      </c>
      <c r="J411" s="3">
        <f>IF('ORDENES'!$A389="","",IF('ORDENES'!$E389="","-",'ORDENES'!$E389))</f>
        <v/>
      </c>
      <c r="K411" s="12">
        <f>IF('ORDENES'!$A389="","",IF('ORDENES'!$N389="",0,'ORDENES'!$N389))</f>
        <v/>
      </c>
      <c r="L411" s="3">
        <f>IF('ORDENES'!$A389="","",IF('ORDENES'!$O389="","-",'ORDENES'!$O389))</f>
        <v/>
      </c>
      <c r="M411" s="3">
        <f>IF('ORDENES'!$A389="","",'ORDENES'!$AB389)</f>
        <v/>
      </c>
    </row>
    <row r="412">
      <c r="A412" s="3">
        <f>IF('ORDENES'!$A390="","",IF('ORDENES'!$P390="","-",'ORDENES'!$P390))</f>
        <v/>
      </c>
      <c r="B412" s="3">
        <f>IF('ORDENES'!$A390="","",IF('ORDENES'!$S390="","-",'ORDENES'!$S390))</f>
        <v/>
      </c>
      <c r="C412" s="3">
        <f>IF('ORDENES'!$A390="","",IF('ORDENES'!$AD390="","-",'ORDENES'!$AD390))</f>
        <v/>
      </c>
      <c r="D412" s="3">
        <f>IF('ORDENES'!$A390="","",IF('ORDENES'!$W390="","-",'ORDENES'!$W390))</f>
        <v/>
      </c>
      <c r="E412" s="3">
        <f>IF('ORDENES'!$A390="","",IF('ORDENES'!$V390="","-",'ORDENES'!$V390))</f>
        <v/>
      </c>
      <c r="F412" s="3">
        <f>IF('ORDENES'!$A390="","",IF('ORDENES'!$X390="","-",'ORDENES'!$X390))</f>
        <v/>
      </c>
      <c r="G412" s="3">
        <f>IF('ORDENES'!$A390="","",IF('ORDENES'!$AC390="","-",'ORDENES'!$AC390))</f>
        <v/>
      </c>
      <c r="H412" s="3">
        <f>IF('ORDENES'!$A390="","",IF('ORDENES'!$AO390="","-",'ORDENES'!$AO390))</f>
        <v/>
      </c>
      <c r="I412" s="3">
        <f>IF('ORDENES'!$A390="","",IF('ORDENES'!$D390="","-",'ORDENES'!$D390))</f>
        <v/>
      </c>
      <c r="J412" s="3">
        <f>IF('ORDENES'!$A390="","",IF('ORDENES'!$E390="","-",'ORDENES'!$E390))</f>
        <v/>
      </c>
      <c r="K412" s="12">
        <f>IF('ORDENES'!$A390="","",IF('ORDENES'!$N390="",0,'ORDENES'!$N390))</f>
        <v/>
      </c>
      <c r="L412" s="3">
        <f>IF('ORDENES'!$A390="","",IF('ORDENES'!$O390="","-",'ORDENES'!$O390))</f>
        <v/>
      </c>
      <c r="M412" s="3">
        <f>IF('ORDENES'!$A390="","",'ORDENES'!$AB390)</f>
        <v/>
      </c>
    </row>
    <row r="413">
      <c r="A413" s="3">
        <f>IF('ORDENES'!$A391="","",IF('ORDENES'!$P391="","-",'ORDENES'!$P391))</f>
        <v/>
      </c>
      <c r="B413" s="3">
        <f>IF('ORDENES'!$A391="","",IF('ORDENES'!$S391="","-",'ORDENES'!$S391))</f>
        <v/>
      </c>
      <c r="C413" s="3">
        <f>IF('ORDENES'!$A391="","",IF('ORDENES'!$AD391="","-",'ORDENES'!$AD391))</f>
        <v/>
      </c>
      <c r="D413" s="3">
        <f>IF('ORDENES'!$A391="","",IF('ORDENES'!$W391="","-",'ORDENES'!$W391))</f>
        <v/>
      </c>
      <c r="E413" s="3">
        <f>IF('ORDENES'!$A391="","",IF('ORDENES'!$V391="","-",'ORDENES'!$V391))</f>
        <v/>
      </c>
      <c r="F413" s="3">
        <f>IF('ORDENES'!$A391="","",IF('ORDENES'!$X391="","-",'ORDENES'!$X391))</f>
        <v/>
      </c>
      <c r="G413" s="3">
        <f>IF('ORDENES'!$A391="","",IF('ORDENES'!$AC391="","-",'ORDENES'!$AC391))</f>
        <v/>
      </c>
      <c r="H413" s="3">
        <f>IF('ORDENES'!$A391="","",IF('ORDENES'!$AO391="","-",'ORDENES'!$AO391))</f>
        <v/>
      </c>
      <c r="I413" s="3">
        <f>IF('ORDENES'!$A391="","",IF('ORDENES'!$D391="","-",'ORDENES'!$D391))</f>
        <v/>
      </c>
      <c r="J413" s="3">
        <f>IF('ORDENES'!$A391="","",IF('ORDENES'!$E391="","-",'ORDENES'!$E391))</f>
        <v/>
      </c>
      <c r="K413" s="12">
        <f>IF('ORDENES'!$A391="","",IF('ORDENES'!$N391="",0,'ORDENES'!$N391))</f>
        <v/>
      </c>
      <c r="L413" s="3">
        <f>IF('ORDENES'!$A391="","",IF('ORDENES'!$O391="","-",'ORDENES'!$O391))</f>
        <v/>
      </c>
      <c r="M413" s="3">
        <f>IF('ORDENES'!$A391="","",'ORDENES'!$AB391)</f>
        <v/>
      </c>
    </row>
    <row r="414">
      <c r="A414" s="3">
        <f>IF('ORDENES'!$A392="","",IF('ORDENES'!$P392="","-",'ORDENES'!$P392))</f>
        <v/>
      </c>
      <c r="B414" s="3">
        <f>IF('ORDENES'!$A392="","",IF('ORDENES'!$S392="","-",'ORDENES'!$S392))</f>
        <v/>
      </c>
      <c r="C414" s="3">
        <f>IF('ORDENES'!$A392="","",IF('ORDENES'!$AD392="","-",'ORDENES'!$AD392))</f>
        <v/>
      </c>
      <c r="D414" s="3">
        <f>IF('ORDENES'!$A392="","",IF('ORDENES'!$W392="","-",'ORDENES'!$W392))</f>
        <v/>
      </c>
      <c r="E414" s="3">
        <f>IF('ORDENES'!$A392="","",IF('ORDENES'!$V392="","-",'ORDENES'!$V392))</f>
        <v/>
      </c>
      <c r="F414" s="3">
        <f>IF('ORDENES'!$A392="","",IF('ORDENES'!$X392="","-",'ORDENES'!$X392))</f>
        <v/>
      </c>
      <c r="G414" s="3">
        <f>IF('ORDENES'!$A392="","",IF('ORDENES'!$AC392="","-",'ORDENES'!$AC392))</f>
        <v/>
      </c>
      <c r="H414" s="3">
        <f>IF('ORDENES'!$A392="","",IF('ORDENES'!$AO392="","-",'ORDENES'!$AO392))</f>
        <v/>
      </c>
      <c r="I414" s="3">
        <f>IF('ORDENES'!$A392="","",IF('ORDENES'!$D392="","-",'ORDENES'!$D392))</f>
        <v/>
      </c>
      <c r="J414" s="3">
        <f>IF('ORDENES'!$A392="","",IF('ORDENES'!$E392="","-",'ORDENES'!$E392))</f>
        <v/>
      </c>
      <c r="K414" s="12">
        <f>IF('ORDENES'!$A392="","",IF('ORDENES'!$N392="",0,'ORDENES'!$N392))</f>
        <v/>
      </c>
      <c r="L414" s="3">
        <f>IF('ORDENES'!$A392="","",IF('ORDENES'!$O392="","-",'ORDENES'!$O392))</f>
        <v/>
      </c>
      <c r="M414" s="3">
        <f>IF('ORDENES'!$A392="","",'ORDENES'!$AB392)</f>
        <v/>
      </c>
    </row>
    <row r="415">
      <c r="A415" s="3">
        <f>IF('ORDENES'!$A393="","",IF('ORDENES'!$P393="","-",'ORDENES'!$P393))</f>
        <v/>
      </c>
      <c r="B415" s="3">
        <f>IF('ORDENES'!$A393="","",IF('ORDENES'!$S393="","-",'ORDENES'!$S393))</f>
        <v/>
      </c>
      <c r="C415" s="3">
        <f>IF('ORDENES'!$A393="","",IF('ORDENES'!$AD393="","-",'ORDENES'!$AD393))</f>
        <v/>
      </c>
      <c r="D415" s="3">
        <f>IF('ORDENES'!$A393="","",IF('ORDENES'!$W393="","-",'ORDENES'!$W393))</f>
        <v/>
      </c>
      <c r="E415" s="3">
        <f>IF('ORDENES'!$A393="","",IF('ORDENES'!$V393="","-",'ORDENES'!$V393))</f>
        <v/>
      </c>
      <c r="F415" s="3">
        <f>IF('ORDENES'!$A393="","",IF('ORDENES'!$X393="","-",'ORDENES'!$X393))</f>
        <v/>
      </c>
      <c r="G415" s="3">
        <f>IF('ORDENES'!$A393="","",IF('ORDENES'!$AC393="","-",'ORDENES'!$AC393))</f>
        <v/>
      </c>
      <c r="H415" s="3">
        <f>IF('ORDENES'!$A393="","",IF('ORDENES'!$AO393="","-",'ORDENES'!$AO393))</f>
        <v/>
      </c>
      <c r="I415" s="3">
        <f>IF('ORDENES'!$A393="","",IF('ORDENES'!$D393="","-",'ORDENES'!$D393))</f>
        <v/>
      </c>
      <c r="J415" s="3">
        <f>IF('ORDENES'!$A393="","",IF('ORDENES'!$E393="","-",'ORDENES'!$E393))</f>
        <v/>
      </c>
      <c r="K415" s="12">
        <f>IF('ORDENES'!$A393="","",IF('ORDENES'!$N393="",0,'ORDENES'!$N393))</f>
        <v/>
      </c>
      <c r="L415" s="3">
        <f>IF('ORDENES'!$A393="","",IF('ORDENES'!$O393="","-",'ORDENES'!$O393))</f>
        <v/>
      </c>
      <c r="M415" s="3">
        <f>IF('ORDENES'!$A393="","",'ORDENES'!$AB393)</f>
        <v/>
      </c>
    </row>
    <row r="416">
      <c r="A416" s="3">
        <f>IF('ORDENES'!$A394="","",IF('ORDENES'!$P394="","-",'ORDENES'!$P394))</f>
        <v/>
      </c>
      <c r="B416" s="3">
        <f>IF('ORDENES'!$A394="","",IF('ORDENES'!$S394="","-",'ORDENES'!$S394))</f>
        <v/>
      </c>
      <c r="C416" s="3">
        <f>IF('ORDENES'!$A394="","",IF('ORDENES'!$AD394="","-",'ORDENES'!$AD394))</f>
        <v/>
      </c>
      <c r="D416" s="3">
        <f>IF('ORDENES'!$A394="","",IF('ORDENES'!$W394="","-",'ORDENES'!$W394))</f>
        <v/>
      </c>
      <c r="E416" s="3">
        <f>IF('ORDENES'!$A394="","",IF('ORDENES'!$V394="","-",'ORDENES'!$V394))</f>
        <v/>
      </c>
      <c r="F416" s="3">
        <f>IF('ORDENES'!$A394="","",IF('ORDENES'!$X394="","-",'ORDENES'!$X394))</f>
        <v/>
      </c>
      <c r="G416" s="3">
        <f>IF('ORDENES'!$A394="","",IF('ORDENES'!$AC394="","-",'ORDENES'!$AC394))</f>
        <v/>
      </c>
      <c r="H416" s="3">
        <f>IF('ORDENES'!$A394="","",IF('ORDENES'!$AO394="","-",'ORDENES'!$AO394))</f>
        <v/>
      </c>
      <c r="I416" s="3">
        <f>IF('ORDENES'!$A394="","",IF('ORDENES'!$D394="","-",'ORDENES'!$D394))</f>
        <v/>
      </c>
      <c r="J416" s="3">
        <f>IF('ORDENES'!$A394="","",IF('ORDENES'!$E394="","-",'ORDENES'!$E394))</f>
        <v/>
      </c>
      <c r="K416" s="12">
        <f>IF('ORDENES'!$A394="","",IF('ORDENES'!$N394="",0,'ORDENES'!$N394))</f>
        <v/>
      </c>
      <c r="L416" s="3">
        <f>IF('ORDENES'!$A394="","",IF('ORDENES'!$O394="","-",'ORDENES'!$O394))</f>
        <v/>
      </c>
      <c r="M416" s="3">
        <f>IF('ORDENES'!$A394="","",'ORDENES'!$AB394)</f>
        <v/>
      </c>
    </row>
    <row r="417">
      <c r="A417" s="3">
        <f>IF('ORDENES'!$A395="","",IF('ORDENES'!$P395="","-",'ORDENES'!$P395))</f>
        <v/>
      </c>
      <c r="B417" s="3">
        <f>IF('ORDENES'!$A395="","",IF('ORDENES'!$S395="","-",'ORDENES'!$S395))</f>
        <v/>
      </c>
      <c r="C417" s="3">
        <f>IF('ORDENES'!$A395="","",IF('ORDENES'!$AD395="","-",'ORDENES'!$AD395))</f>
        <v/>
      </c>
      <c r="D417" s="3">
        <f>IF('ORDENES'!$A395="","",IF('ORDENES'!$W395="","-",'ORDENES'!$W395))</f>
        <v/>
      </c>
      <c r="E417" s="3">
        <f>IF('ORDENES'!$A395="","",IF('ORDENES'!$V395="","-",'ORDENES'!$V395))</f>
        <v/>
      </c>
      <c r="F417" s="3">
        <f>IF('ORDENES'!$A395="","",IF('ORDENES'!$X395="","-",'ORDENES'!$X395))</f>
        <v/>
      </c>
      <c r="G417" s="3">
        <f>IF('ORDENES'!$A395="","",IF('ORDENES'!$AC395="","-",'ORDENES'!$AC395))</f>
        <v/>
      </c>
      <c r="H417" s="3">
        <f>IF('ORDENES'!$A395="","",IF('ORDENES'!$AO395="","-",'ORDENES'!$AO395))</f>
        <v/>
      </c>
      <c r="I417" s="3">
        <f>IF('ORDENES'!$A395="","",IF('ORDENES'!$D395="","-",'ORDENES'!$D395))</f>
        <v/>
      </c>
      <c r="J417" s="3">
        <f>IF('ORDENES'!$A395="","",IF('ORDENES'!$E395="","-",'ORDENES'!$E395))</f>
        <v/>
      </c>
      <c r="K417" s="12">
        <f>IF('ORDENES'!$A395="","",IF('ORDENES'!$N395="",0,'ORDENES'!$N395))</f>
        <v/>
      </c>
      <c r="L417" s="3">
        <f>IF('ORDENES'!$A395="","",IF('ORDENES'!$O395="","-",'ORDENES'!$O395))</f>
        <v/>
      </c>
      <c r="M417" s="3">
        <f>IF('ORDENES'!$A395="","",'ORDENES'!$AB395)</f>
        <v/>
      </c>
    </row>
    <row r="418">
      <c r="A418" s="3">
        <f>IF('ORDENES'!$A396="","",IF('ORDENES'!$P396="","-",'ORDENES'!$P396))</f>
        <v/>
      </c>
      <c r="B418" s="3">
        <f>IF('ORDENES'!$A396="","",IF('ORDENES'!$S396="","-",'ORDENES'!$S396))</f>
        <v/>
      </c>
      <c r="C418" s="3">
        <f>IF('ORDENES'!$A396="","",IF('ORDENES'!$AD396="","-",'ORDENES'!$AD396))</f>
        <v/>
      </c>
      <c r="D418" s="3">
        <f>IF('ORDENES'!$A396="","",IF('ORDENES'!$W396="","-",'ORDENES'!$W396))</f>
        <v/>
      </c>
      <c r="E418" s="3">
        <f>IF('ORDENES'!$A396="","",IF('ORDENES'!$V396="","-",'ORDENES'!$V396))</f>
        <v/>
      </c>
      <c r="F418" s="3">
        <f>IF('ORDENES'!$A396="","",IF('ORDENES'!$X396="","-",'ORDENES'!$X396))</f>
        <v/>
      </c>
      <c r="G418" s="3">
        <f>IF('ORDENES'!$A396="","",IF('ORDENES'!$AC396="","-",'ORDENES'!$AC396))</f>
        <v/>
      </c>
      <c r="H418" s="3">
        <f>IF('ORDENES'!$A396="","",IF('ORDENES'!$AO396="","-",'ORDENES'!$AO396))</f>
        <v/>
      </c>
      <c r="I418" s="3">
        <f>IF('ORDENES'!$A396="","",IF('ORDENES'!$D396="","-",'ORDENES'!$D396))</f>
        <v/>
      </c>
      <c r="J418" s="3">
        <f>IF('ORDENES'!$A396="","",IF('ORDENES'!$E396="","-",'ORDENES'!$E396))</f>
        <v/>
      </c>
      <c r="K418" s="12">
        <f>IF('ORDENES'!$A396="","",IF('ORDENES'!$N396="",0,'ORDENES'!$N396))</f>
        <v/>
      </c>
      <c r="L418" s="3">
        <f>IF('ORDENES'!$A396="","",IF('ORDENES'!$O396="","-",'ORDENES'!$O396))</f>
        <v/>
      </c>
      <c r="M418" s="3">
        <f>IF('ORDENES'!$A396="","",'ORDENES'!$AB396)</f>
        <v/>
      </c>
    </row>
    <row r="419">
      <c r="A419" s="3">
        <f>IF('ORDENES'!$A397="","",IF('ORDENES'!$P397="","-",'ORDENES'!$P397))</f>
        <v/>
      </c>
      <c r="B419" s="3">
        <f>IF('ORDENES'!$A397="","",IF('ORDENES'!$S397="","-",'ORDENES'!$S397))</f>
        <v/>
      </c>
      <c r="C419" s="3">
        <f>IF('ORDENES'!$A397="","",IF('ORDENES'!$AD397="","-",'ORDENES'!$AD397))</f>
        <v/>
      </c>
      <c r="D419" s="3">
        <f>IF('ORDENES'!$A397="","",IF('ORDENES'!$W397="","-",'ORDENES'!$W397))</f>
        <v/>
      </c>
      <c r="E419" s="3">
        <f>IF('ORDENES'!$A397="","",IF('ORDENES'!$V397="","-",'ORDENES'!$V397))</f>
        <v/>
      </c>
      <c r="F419" s="3">
        <f>IF('ORDENES'!$A397="","",IF('ORDENES'!$X397="","-",'ORDENES'!$X397))</f>
        <v/>
      </c>
      <c r="G419" s="3">
        <f>IF('ORDENES'!$A397="","",IF('ORDENES'!$AC397="","-",'ORDENES'!$AC397))</f>
        <v/>
      </c>
      <c r="H419" s="3">
        <f>IF('ORDENES'!$A397="","",IF('ORDENES'!$AO397="","-",'ORDENES'!$AO397))</f>
        <v/>
      </c>
      <c r="I419" s="3">
        <f>IF('ORDENES'!$A397="","",IF('ORDENES'!$D397="","-",'ORDENES'!$D397))</f>
        <v/>
      </c>
      <c r="J419" s="3">
        <f>IF('ORDENES'!$A397="","",IF('ORDENES'!$E397="","-",'ORDENES'!$E397))</f>
        <v/>
      </c>
      <c r="K419" s="12">
        <f>IF('ORDENES'!$A397="","",IF('ORDENES'!$N397="",0,'ORDENES'!$N397))</f>
        <v/>
      </c>
      <c r="L419" s="3">
        <f>IF('ORDENES'!$A397="","",IF('ORDENES'!$O397="","-",'ORDENES'!$O397))</f>
        <v/>
      </c>
      <c r="M419" s="3">
        <f>IF('ORDENES'!$A397="","",'ORDENES'!$AB397)</f>
        <v/>
      </c>
    </row>
    <row r="420">
      <c r="A420" s="3">
        <f>IF('ORDENES'!$A398="","",IF('ORDENES'!$P398="","-",'ORDENES'!$P398))</f>
        <v/>
      </c>
      <c r="B420" s="3">
        <f>IF('ORDENES'!$A398="","",IF('ORDENES'!$S398="","-",'ORDENES'!$S398))</f>
        <v/>
      </c>
      <c r="C420" s="3">
        <f>IF('ORDENES'!$A398="","",IF('ORDENES'!$AD398="","-",'ORDENES'!$AD398))</f>
        <v/>
      </c>
      <c r="D420" s="3">
        <f>IF('ORDENES'!$A398="","",IF('ORDENES'!$W398="","-",'ORDENES'!$W398))</f>
        <v/>
      </c>
      <c r="E420" s="3">
        <f>IF('ORDENES'!$A398="","",IF('ORDENES'!$V398="","-",'ORDENES'!$V398))</f>
        <v/>
      </c>
      <c r="F420" s="3">
        <f>IF('ORDENES'!$A398="","",IF('ORDENES'!$X398="","-",'ORDENES'!$X398))</f>
        <v/>
      </c>
      <c r="G420" s="3">
        <f>IF('ORDENES'!$A398="","",IF('ORDENES'!$AC398="","-",'ORDENES'!$AC398))</f>
        <v/>
      </c>
      <c r="H420" s="3">
        <f>IF('ORDENES'!$A398="","",IF('ORDENES'!$AO398="","-",'ORDENES'!$AO398))</f>
        <v/>
      </c>
      <c r="I420" s="3">
        <f>IF('ORDENES'!$A398="","",IF('ORDENES'!$D398="","-",'ORDENES'!$D398))</f>
        <v/>
      </c>
      <c r="J420" s="3">
        <f>IF('ORDENES'!$A398="","",IF('ORDENES'!$E398="","-",'ORDENES'!$E398))</f>
        <v/>
      </c>
      <c r="K420" s="12">
        <f>IF('ORDENES'!$A398="","",IF('ORDENES'!$N398="",0,'ORDENES'!$N398))</f>
        <v/>
      </c>
      <c r="L420" s="3">
        <f>IF('ORDENES'!$A398="","",IF('ORDENES'!$O398="","-",'ORDENES'!$O398))</f>
        <v/>
      </c>
      <c r="M420" s="3">
        <f>IF('ORDENES'!$A398="","",'ORDENES'!$AB398)</f>
        <v/>
      </c>
    </row>
    <row r="421">
      <c r="A421" s="3">
        <f>IF('ORDENES'!$A399="","",IF('ORDENES'!$P399="","-",'ORDENES'!$P399))</f>
        <v/>
      </c>
      <c r="B421" s="3">
        <f>IF('ORDENES'!$A399="","",IF('ORDENES'!$S399="","-",'ORDENES'!$S399))</f>
        <v/>
      </c>
      <c r="C421" s="3">
        <f>IF('ORDENES'!$A399="","",IF('ORDENES'!$AD399="","-",'ORDENES'!$AD399))</f>
        <v/>
      </c>
      <c r="D421" s="3">
        <f>IF('ORDENES'!$A399="","",IF('ORDENES'!$W399="","-",'ORDENES'!$W399))</f>
        <v/>
      </c>
      <c r="E421" s="3">
        <f>IF('ORDENES'!$A399="","",IF('ORDENES'!$V399="","-",'ORDENES'!$V399))</f>
        <v/>
      </c>
      <c r="F421" s="3">
        <f>IF('ORDENES'!$A399="","",IF('ORDENES'!$X399="","-",'ORDENES'!$X399))</f>
        <v/>
      </c>
      <c r="G421" s="3">
        <f>IF('ORDENES'!$A399="","",IF('ORDENES'!$AC399="","-",'ORDENES'!$AC399))</f>
        <v/>
      </c>
      <c r="H421" s="3">
        <f>IF('ORDENES'!$A399="","",IF('ORDENES'!$AO399="","-",'ORDENES'!$AO399))</f>
        <v/>
      </c>
      <c r="I421" s="3">
        <f>IF('ORDENES'!$A399="","",IF('ORDENES'!$D399="","-",'ORDENES'!$D399))</f>
        <v/>
      </c>
      <c r="J421" s="3">
        <f>IF('ORDENES'!$A399="","",IF('ORDENES'!$E399="","-",'ORDENES'!$E399))</f>
        <v/>
      </c>
      <c r="K421" s="12">
        <f>IF('ORDENES'!$A399="","",IF('ORDENES'!$N399="",0,'ORDENES'!$N399))</f>
        <v/>
      </c>
      <c r="L421" s="3">
        <f>IF('ORDENES'!$A399="","",IF('ORDENES'!$O399="","-",'ORDENES'!$O399))</f>
        <v/>
      </c>
      <c r="M421" s="3">
        <f>IF('ORDENES'!$A399="","",'ORDENES'!$AB399)</f>
        <v/>
      </c>
    </row>
    <row r="422">
      <c r="A422" s="3">
        <f>IF('ORDENES'!$A400="","",IF('ORDENES'!$P400="","-",'ORDENES'!$P400))</f>
        <v/>
      </c>
      <c r="B422" s="3">
        <f>IF('ORDENES'!$A400="","",IF('ORDENES'!$S400="","-",'ORDENES'!$S400))</f>
        <v/>
      </c>
      <c r="C422" s="3">
        <f>IF('ORDENES'!$A400="","",IF('ORDENES'!$AD400="","-",'ORDENES'!$AD400))</f>
        <v/>
      </c>
      <c r="D422" s="3">
        <f>IF('ORDENES'!$A400="","",IF('ORDENES'!$W400="","-",'ORDENES'!$W400))</f>
        <v/>
      </c>
      <c r="E422" s="3">
        <f>IF('ORDENES'!$A400="","",IF('ORDENES'!$V400="","-",'ORDENES'!$V400))</f>
        <v/>
      </c>
      <c r="F422" s="3">
        <f>IF('ORDENES'!$A400="","",IF('ORDENES'!$X400="","-",'ORDENES'!$X400))</f>
        <v/>
      </c>
      <c r="G422" s="3">
        <f>IF('ORDENES'!$A400="","",IF('ORDENES'!$AC400="","-",'ORDENES'!$AC400))</f>
        <v/>
      </c>
      <c r="H422" s="3">
        <f>IF('ORDENES'!$A400="","",IF('ORDENES'!$AO400="","-",'ORDENES'!$AO400))</f>
        <v/>
      </c>
      <c r="I422" s="3">
        <f>IF('ORDENES'!$A400="","",IF('ORDENES'!$D400="","-",'ORDENES'!$D400))</f>
        <v/>
      </c>
      <c r="J422" s="3">
        <f>IF('ORDENES'!$A400="","",IF('ORDENES'!$E400="","-",'ORDENES'!$E400))</f>
        <v/>
      </c>
      <c r="K422" s="12">
        <f>IF('ORDENES'!$A400="","",IF('ORDENES'!$N400="",0,'ORDENES'!$N400))</f>
        <v/>
      </c>
      <c r="L422" s="3">
        <f>IF('ORDENES'!$A400="","",IF('ORDENES'!$O400="","-",'ORDENES'!$O400))</f>
        <v/>
      </c>
      <c r="M422" s="3">
        <f>IF('ORDENES'!$A400="","",'ORDENES'!$AB400)</f>
        <v/>
      </c>
    </row>
    <row r="423">
      <c r="A423" s="3">
        <f>IF('ORDENES'!$A401="","",IF('ORDENES'!$P401="","-",'ORDENES'!$P401))</f>
        <v/>
      </c>
      <c r="B423" s="3">
        <f>IF('ORDENES'!$A401="","",IF('ORDENES'!$S401="","-",'ORDENES'!$S401))</f>
        <v/>
      </c>
      <c r="C423" s="3">
        <f>IF('ORDENES'!$A401="","",IF('ORDENES'!$AD401="","-",'ORDENES'!$AD401))</f>
        <v/>
      </c>
      <c r="D423" s="3">
        <f>IF('ORDENES'!$A401="","",IF('ORDENES'!$W401="","-",'ORDENES'!$W401))</f>
        <v/>
      </c>
      <c r="E423" s="3">
        <f>IF('ORDENES'!$A401="","",IF('ORDENES'!$V401="","-",'ORDENES'!$V401))</f>
        <v/>
      </c>
      <c r="F423" s="3">
        <f>IF('ORDENES'!$A401="","",IF('ORDENES'!$X401="","-",'ORDENES'!$X401))</f>
        <v/>
      </c>
      <c r="G423" s="3">
        <f>IF('ORDENES'!$A401="","",IF('ORDENES'!$AC401="","-",'ORDENES'!$AC401))</f>
        <v/>
      </c>
      <c r="H423" s="3">
        <f>IF('ORDENES'!$A401="","",IF('ORDENES'!$AO401="","-",'ORDENES'!$AO401))</f>
        <v/>
      </c>
      <c r="I423" s="3">
        <f>IF('ORDENES'!$A401="","",IF('ORDENES'!$D401="","-",'ORDENES'!$D401))</f>
        <v/>
      </c>
      <c r="J423" s="3">
        <f>IF('ORDENES'!$A401="","",IF('ORDENES'!$E401="","-",'ORDENES'!$E401))</f>
        <v/>
      </c>
      <c r="K423" s="12">
        <f>IF('ORDENES'!$A401="","",IF('ORDENES'!$N401="",0,'ORDENES'!$N401))</f>
        <v/>
      </c>
      <c r="L423" s="3">
        <f>IF('ORDENES'!$A401="","",IF('ORDENES'!$O401="","-",'ORDENES'!$O401))</f>
        <v/>
      </c>
      <c r="M423" s="3">
        <f>IF('ORDENES'!$A401="","",'ORDENES'!$AB401)</f>
        <v/>
      </c>
    </row>
    <row r="424">
      <c r="A424" s="3">
        <f>IF('ORDENES'!$A402="","",IF('ORDENES'!$P402="","-",'ORDENES'!$P402))</f>
        <v/>
      </c>
      <c r="B424" s="3">
        <f>IF('ORDENES'!$A402="","",IF('ORDENES'!$S402="","-",'ORDENES'!$S402))</f>
        <v/>
      </c>
      <c r="C424" s="3">
        <f>IF('ORDENES'!$A402="","",IF('ORDENES'!$AD402="","-",'ORDENES'!$AD402))</f>
        <v/>
      </c>
      <c r="D424" s="3">
        <f>IF('ORDENES'!$A402="","",IF('ORDENES'!$W402="","-",'ORDENES'!$W402))</f>
        <v/>
      </c>
      <c r="E424" s="3">
        <f>IF('ORDENES'!$A402="","",IF('ORDENES'!$V402="","-",'ORDENES'!$V402))</f>
        <v/>
      </c>
      <c r="F424" s="3">
        <f>IF('ORDENES'!$A402="","",IF('ORDENES'!$X402="","-",'ORDENES'!$X402))</f>
        <v/>
      </c>
      <c r="G424" s="3">
        <f>IF('ORDENES'!$A402="","",IF('ORDENES'!$AC402="","-",'ORDENES'!$AC402))</f>
        <v/>
      </c>
      <c r="H424" s="3">
        <f>IF('ORDENES'!$A402="","",IF('ORDENES'!$AO402="","-",'ORDENES'!$AO402))</f>
        <v/>
      </c>
      <c r="I424" s="3">
        <f>IF('ORDENES'!$A402="","",IF('ORDENES'!$D402="","-",'ORDENES'!$D402))</f>
        <v/>
      </c>
      <c r="J424" s="3">
        <f>IF('ORDENES'!$A402="","",IF('ORDENES'!$E402="","-",'ORDENES'!$E402))</f>
        <v/>
      </c>
      <c r="K424" s="12">
        <f>IF('ORDENES'!$A402="","",IF('ORDENES'!$N402="",0,'ORDENES'!$N402))</f>
        <v/>
      </c>
      <c r="L424" s="3">
        <f>IF('ORDENES'!$A402="","",IF('ORDENES'!$O402="","-",'ORDENES'!$O402))</f>
        <v/>
      </c>
      <c r="M424" s="3">
        <f>IF('ORDENES'!$A402="","",'ORDENES'!$AB402)</f>
        <v/>
      </c>
    </row>
    <row r="425">
      <c r="A425" s="3">
        <f>IF('ORDENES'!$A403="","",IF('ORDENES'!$P403="","-",'ORDENES'!$P403))</f>
        <v/>
      </c>
      <c r="B425" s="3">
        <f>IF('ORDENES'!$A403="","",IF('ORDENES'!$S403="","-",'ORDENES'!$S403))</f>
        <v/>
      </c>
      <c r="C425" s="3">
        <f>IF('ORDENES'!$A403="","",IF('ORDENES'!$AD403="","-",'ORDENES'!$AD403))</f>
        <v/>
      </c>
      <c r="D425" s="3">
        <f>IF('ORDENES'!$A403="","",IF('ORDENES'!$W403="","-",'ORDENES'!$W403))</f>
        <v/>
      </c>
      <c r="E425" s="3">
        <f>IF('ORDENES'!$A403="","",IF('ORDENES'!$V403="","-",'ORDENES'!$V403))</f>
        <v/>
      </c>
      <c r="F425" s="3">
        <f>IF('ORDENES'!$A403="","",IF('ORDENES'!$X403="","-",'ORDENES'!$X403))</f>
        <v/>
      </c>
      <c r="G425" s="3">
        <f>IF('ORDENES'!$A403="","",IF('ORDENES'!$AC403="","-",'ORDENES'!$AC403))</f>
        <v/>
      </c>
      <c r="H425" s="3">
        <f>IF('ORDENES'!$A403="","",IF('ORDENES'!$AO403="","-",'ORDENES'!$AO403))</f>
        <v/>
      </c>
      <c r="I425" s="3">
        <f>IF('ORDENES'!$A403="","",IF('ORDENES'!$D403="","-",'ORDENES'!$D403))</f>
        <v/>
      </c>
      <c r="J425" s="3">
        <f>IF('ORDENES'!$A403="","",IF('ORDENES'!$E403="","-",'ORDENES'!$E403))</f>
        <v/>
      </c>
      <c r="K425" s="12">
        <f>IF('ORDENES'!$A403="","",IF('ORDENES'!$N403="",0,'ORDENES'!$N403))</f>
        <v/>
      </c>
      <c r="L425" s="3">
        <f>IF('ORDENES'!$A403="","",IF('ORDENES'!$O403="","-",'ORDENES'!$O403))</f>
        <v/>
      </c>
      <c r="M425" s="3">
        <f>IF('ORDENES'!$A403="","",'ORDENES'!$AB403)</f>
        <v/>
      </c>
    </row>
    <row r="426">
      <c r="A426" s="3">
        <f>IF('ORDENES'!$A404="","",IF('ORDENES'!$P404="","-",'ORDENES'!$P404))</f>
        <v/>
      </c>
      <c r="B426" s="3">
        <f>IF('ORDENES'!$A404="","",IF('ORDENES'!$S404="","-",'ORDENES'!$S404))</f>
        <v/>
      </c>
      <c r="C426" s="3">
        <f>IF('ORDENES'!$A404="","",IF('ORDENES'!$AD404="","-",'ORDENES'!$AD404))</f>
        <v/>
      </c>
      <c r="D426" s="3">
        <f>IF('ORDENES'!$A404="","",IF('ORDENES'!$W404="","-",'ORDENES'!$W404))</f>
        <v/>
      </c>
      <c r="E426" s="3">
        <f>IF('ORDENES'!$A404="","",IF('ORDENES'!$V404="","-",'ORDENES'!$V404))</f>
        <v/>
      </c>
      <c r="F426" s="3">
        <f>IF('ORDENES'!$A404="","",IF('ORDENES'!$X404="","-",'ORDENES'!$X404))</f>
        <v/>
      </c>
      <c r="G426" s="3">
        <f>IF('ORDENES'!$A404="","",IF('ORDENES'!$AC404="","-",'ORDENES'!$AC404))</f>
        <v/>
      </c>
      <c r="H426" s="3">
        <f>IF('ORDENES'!$A404="","",IF('ORDENES'!$AO404="","-",'ORDENES'!$AO404))</f>
        <v/>
      </c>
      <c r="I426" s="3">
        <f>IF('ORDENES'!$A404="","",IF('ORDENES'!$D404="","-",'ORDENES'!$D404))</f>
        <v/>
      </c>
      <c r="J426" s="3">
        <f>IF('ORDENES'!$A404="","",IF('ORDENES'!$E404="","-",'ORDENES'!$E404))</f>
        <v/>
      </c>
      <c r="K426" s="12">
        <f>IF('ORDENES'!$A404="","",IF('ORDENES'!$N404="",0,'ORDENES'!$N404))</f>
        <v/>
      </c>
      <c r="L426" s="3">
        <f>IF('ORDENES'!$A404="","",IF('ORDENES'!$O404="","-",'ORDENES'!$O404))</f>
        <v/>
      </c>
      <c r="M426" s="3">
        <f>IF('ORDENES'!$A404="","",'ORDENES'!$AB404)</f>
        <v/>
      </c>
    </row>
    <row r="427">
      <c r="A427" s="3">
        <f>IF('ORDENES'!$A405="","",IF('ORDENES'!$P405="","-",'ORDENES'!$P405))</f>
        <v/>
      </c>
      <c r="B427" s="3">
        <f>IF('ORDENES'!$A405="","",IF('ORDENES'!$S405="","-",'ORDENES'!$S405))</f>
        <v/>
      </c>
      <c r="C427" s="3">
        <f>IF('ORDENES'!$A405="","",IF('ORDENES'!$AD405="","-",'ORDENES'!$AD405))</f>
        <v/>
      </c>
      <c r="D427" s="3">
        <f>IF('ORDENES'!$A405="","",IF('ORDENES'!$W405="","-",'ORDENES'!$W405))</f>
        <v/>
      </c>
      <c r="E427" s="3">
        <f>IF('ORDENES'!$A405="","",IF('ORDENES'!$V405="","-",'ORDENES'!$V405))</f>
        <v/>
      </c>
      <c r="F427" s="3">
        <f>IF('ORDENES'!$A405="","",IF('ORDENES'!$X405="","-",'ORDENES'!$X405))</f>
        <v/>
      </c>
      <c r="G427" s="3">
        <f>IF('ORDENES'!$A405="","",IF('ORDENES'!$AC405="","-",'ORDENES'!$AC405))</f>
        <v/>
      </c>
      <c r="H427" s="3">
        <f>IF('ORDENES'!$A405="","",IF('ORDENES'!$AO405="","-",'ORDENES'!$AO405))</f>
        <v/>
      </c>
      <c r="I427" s="3">
        <f>IF('ORDENES'!$A405="","",IF('ORDENES'!$D405="","-",'ORDENES'!$D405))</f>
        <v/>
      </c>
      <c r="J427" s="3">
        <f>IF('ORDENES'!$A405="","",IF('ORDENES'!$E405="","-",'ORDENES'!$E405))</f>
        <v/>
      </c>
      <c r="K427" s="12">
        <f>IF('ORDENES'!$A405="","",IF('ORDENES'!$N405="",0,'ORDENES'!$N405))</f>
        <v/>
      </c>
      <c r="L427" s="3">
        <f>IF('ORDENES'!$A405="","",IF('ORDENES'!$O405="","-",'ORDENES'!$O405))</f>
        <v/>
      </c>
      <c r="M427" s="3">
        <f>IF('ORDENES'!$A405="","",'ORDENES'!$AB405)</f>
        <v/>
      </c>
    </row>
    <row r="428">
      <c r="A428" s="3">
        <f>IF('ORDENES'!$A406="","",IF('ORDENES'!$P406="","-",'ORDENES'!$P406))</f>
        <v/>
      </c>
      <c r="B428" s="3">
        <f>IF('ORDENES'!$A406="","",IF('ORDENES'!$S406="","-",'ORDENES'!$S406))</f>
        <v/>
      </c>
      <c r="C428" s="3">
        <f>IF('ORDENES'!$A406="","",IF('ORDENES'!$AD406="","-",'ORDENES'!$AD406))</f>
        <v/>
      </c>
      <c r="D428" s="3">
        <f>IF('ORDENES'!$A406="","",IF('ORDENES'!$W406="","-",'ORDENES'!$W406))</f>
        <v/>
      </c>
      <c r="E428" s="3">
        <f>IF('ORDENES'!$A406="","",IF('ORDENES'!$V406="","-",'ORDENES'!$V406))</f>
        <v/>
      </c>
      <c r="F428" s="3">
        <f>IF('ORDENES'!$A406="","",IF('ORDENES'!$X406="","-",'ORDENES'!$X406))</f>
        <v/>
      </c>
      <c r="G428" s="3">
        <f>IF('ORDENES'!$A406="","",IF('ORDENES'!$AC406="","-",'ORDENES'!$AC406))</f>
        <v/>
      </c>
      <c r="H428" s="3">
        <f>IF('ORDENES'!$A406="","",IF('ORDENES'!$AO406="","-",'ORDENES'!$AO406))</f>
        <v/>
      </c>
      <c r="I428" s="3">
        <f>IF('ORDENES'!$A406="","",IF('ORDENES'!$D406="","-",'ORDENES'!$D406))</f>
        <v/>
      </c>
      <c r="J428" s="3">
        <f>IF('ORDENES'!$A406="","",IF('ORDENES'!$E406="","-",'ORDENES'!$E406))</f>
        <v/>
      </c>
      <c r="K428" s="12">
        <f>IF('ORDENES'!$A406="","",IF('ORDENES'!$N406="",0,'ORDENES'!$N406))</f>
        <v/>
      </c>
      <c r="L428" s="3">
        <f>IF('ORDENES'!$A406="","",IF('ORDENES'!$O406="","-",'ORDENES'!$O406))</f>
        <v/>
      </c>
      <c r="M428" s="3">
        <f>IF('ORDENES'!$A406="","",'ORDENES'!$AB406)</f>
        <v/>
      </c>
    </row>
    <row r="429">
      <c r="A429" s="3">
        <f>IF('ORDENES'!$A407="","",IF('ORDENES'!$P407="","-",'ORDENES'!$P407))</f>
        <v/>
      </c>
      <c r="B429" s="3">
        <f>IF('ORDENES'!$A407="","",IF('ORDENES'!$S407="","-",'ORDENES'!$S407))</f>
        <v/>
      </c>
      <c r="C429" s="3">
        <f>IF('ORDENES'!$A407="","",IF('ORDENES'!$AD407="","-",'ORDENES'!$AD407))</f>
        <v/>
      </c>
      <c r="D429" s="3">
        <f>IF('ORDENES'!$A407="","",IF('ORDENES'!$W407="","-",'ORDENES'!$W407))</f>
        <v/>
      </c>
      <c r="E429" s="3">
        <f>IF('ORDENES'!$A407="","",IF('ORDENES'!$V407="","-",'ORDENES'!$V407))</f>
        <v/>
      </c>
      <c r="F429" s="3">
        <f>IF('ORDENES'!$A407="","",IF('ORDENES'!$X407="","-",'ORDENES'!$X407))</f>
        <v/>
      </c>
      <c r="G429" s="3">
        <f>IF('ORDENES'!$A407="","",IF('ORDENES'!$AC407="","-",'ORDENES'!$AC407))</f>
        <v/>
      </c>
      <c r="H429" s="3">
        <f>IF('ORDENES'!$A407="","",IF('ORDENES'!$AO407="","-",'ORDENES'!$AO407))</f>
        <v/>
      </c>
      <c r="I429" s="3">
        <f>IF('ORDENES'!$A407="","",IF('ORDENES'!$D407="","-",'ORDENES'!$D407))</f>
        <v/>
      </c>
      <c r="J429" s="3">
        <f>IF('ORDENES'!$A407="","",IF('ORDENES'!$E407="","-",'ORDENES'!$E407))</f>
        <v/>
      </c>
      <c r="K429" s="12">
        <f>IF('ORDENES'!$A407="","",IF('ORDENES'!$N407="",0,'ORDENES'!$N407))</f>
        <v/>
      </c>
      <c r="L429" s="3">
        <f>IF('ORDENES'!$A407="","",IF('ORDENES'!$O407="","-",'ORDENES'!$O407))</f>
        <v/>
      </c>
      <c r="M429" s="3">
        <f>IF('ORDENES'!$A407="","",'ORDENES'!$AB407)</f>
        <v/>
      </c>
    </row>
    <row r="430">
      <c r="A430" s="3">
        <f>IF('ORDENES'!$A408="","",IF('ORDENES'!$P408="","-",'ORDENES'!$P408))</f>
        <v/>
      </c>
      <c r="B430" s="3">
        <f>IF('ORDENES'!$A408="","",IF('ORDENES'!$S408="","-",'ORDENES'!$S408))</f>
        <v/>
      </c>
      <c r="C430" s="3">
        <f>IF('ORDENES'!$A408="","",IF('ORDENES'!$AD408="","-",'ORDENES'!$AD408))</f>
        <v/>
      </c>
      <c r="D430" s="3">
        <f>IF('ORDENES'!$A408="","",IF('ORDENES'!$W408="","-",'ORDENES'!$W408))</f>
        <v/>
      </c>
      <c r="E430" s="3">
        <f>IF('ORDENES'!$A408="","",IF('ORDENES'!$V408="","-",'ORDENES'!$V408))</f>
        <v/>
      </c>
      <c r="F430" s="3">
        <f>IF('ORDENES'!$A408="","",IF('ORDENES'!$X408="","-",'ORDENES'!$X408))</f>
        <v/>
      </c>
      <c r="G430" s="3">
        <f>IF('ORDENES'!$A408="","",IF('ORDENES'!$AC408="","-",'ORDENES'!$AC408))</f>
        <v/>
      </c>
      <c r="H430" s="3">
        <f>IF('ORDENES'!$A408="","",IF('ORDENES'!$AO408="","-",'ORDENES'!$AO408))</f>
        <v/>
      </c>
      <c r="I430" s="3">
        <f>IF('ORDENES'!$A408="","",IF('ORDENES'!$D408="","-",'ORDENES'!$D408))</f>
        <v/>
      </c>
      <c r="J430" s="3">
        <f>IF('ORDENES'!$A408="","",IF('ORDENES'!$E408="","-",'ORDENES'!$E408))</f>
        <v/>
      </c>
      <c r="K430" s="12">
        <f>IF('ORDENES'!$A408="","",IF('ORDENES'!$N408="",0,'ORDENES'!$N408))</f>
        <v/>
      </c>
      <c r="L430" s="3">
        <f>IF('ORDENES'!$A408="","",IF('ORDENES'!$O408="","-",'ORDENES'!$O408))</f>
        <v/>
      </c>
      <c r="M430" s="3">
        <f>IF('ORDENES'!$A408="","",'ORDENES'!$AB408)</f>
        <v/>
      </c>
    </row>
    <row r="431">
      <c r="A431" s="3">
        <f>IF('ORDENES'!$A409="","",IF('ORDENES'!$P409="","-",'ORDENES'!$P409))</f>
        <v/>
      </c>
      <c r="B431" s="3">
        <f>IF('ORDENES'!$A409="","",IF('ORDENES'!$S409="","-",'ORDENES'!$S409))</f>
        <v/>
      </c>
      <c r="C431" s="3">
        <f>IF('ORDENES'!$A409="","",IF('ORDENES'!$AD409="","-",'ORDENES'!$AD409))</f>
        <v/>
      </c>
      <c r="D431" s="3">
        <f>IF('ORDENES'!$A409="","",IF('ORDENES'!$W409="","-",'ORDENES'!$W409))</f>
        <v/>
      </c>
      <c r="E431" s="3">
        <f>IF('ORDENES'!$A409="","",IF('ORDENES'!$V409="","-",'ORDENES'!$V409))</f>
        <v/>
      </c>
      <c r="F431" s="3">
        <f>IF('ORDENES'!$A409="","",IF('ORDENES'!$X409="","-",'ORDENES'!$X409))</f>
        <v/>
      </c>
      <c r="G431" s="3">
        <f>IF('ORDENES'!$A409="","",IF('ORDENES'!$AC409="","-",'ORDENES'!$AC409))</f>
        <v/>
      </c>
      <c r="H431" s="3">
        <f>IF('ORDENES'!$A409="","",IF('ORDENES'!$AO409="","-",'ORDENES'!$AO409))</f>
        <v/>
      </c>
      <c r="I431" s="3">
        <f>IF('ORDENES'!$A409="","",IF('ORDENES'!$D409="","-",'ORDENES'!$D409))</f>
        <v/>
      </c>
      <c r="J431" s="3">
        <f>IF('ORDENES'!$A409="","",IF('ORDENES'!$E409="","-",'ORDENES'!$E409))</f>
        <v/>
      </c>
      <c r="K431" s="12">
        <f>IF('ORDENES'!$A409="","",IF('ORDENES'!$N409="",0,'ORDENES'!$N409))</f>
        <v/>
      </c>
      <c r="L431" s="3">
        <f>IF('ORDENES'!$A409="","",IF('ORDENES'!$O409="","-",'ORDENES'!$O409))</f>
        <v/>
      </c>
      <c r="M431" s="3">
        <f>IF('ORDENES'!$A409="","",'ORDENES'!$AB409)</f>
        <v/>
      </c>
    </row>
    <row r="432">
      <c r="A432" s="3">
        <f>IF('ORDENES'!$A410="","",IF('ORDENES'!$P410="","-",'ORDENES'!$P410))</f>
        <v/>
      </c>
      <c r="B432" s="3">
        <f>IF('ORDENES'!$A410="","",IF('ORDENES'!$S410="","-",'ORDENES'!$S410))</f>
        <v/>
      </c>
      <c r="C432" s="3">
        <f>IF('ORDENES'!$A410="","",IF('ORDENES'!$AD410="","-",'ORDENES'!$AD410))</f>
        <v/>
      </c>
      <c r="D432" s="3">
        <f>IF('ORDENES'!$A410="","",IF('ORDENES'!$W410="","-",'ORDENES'!$W410))</f>
        <v/>
      </c>
      <c r="E432" s="3">
        <f>IF('ORDENES'!$A410="","",IF('ORDENES'!$V410="","-",'ORDENES'!$V410))</f>
        <v/>
      </c>
      <c r="F432" s="3">
        <f>IF('ORDENES'!$A410="","",IF('ORDENES'!$X410="","-",'ORDENES'!$X410))</f>
        <v/>
      </c>
      <c r="G432" s="3">
        <f>IF('ORDENES'!$A410="","",IF('ORDENES'!$AC410="","-",'ORDENES'!$AC410))</f>
        <v/>
      </c>
      <c r="H432" s="3">
        <f>IF('ORDENES'!$A410="","",IF('ORDENES'!$AO410="","-",'ORDENES'!$AO410))</f>
        <v/>
      </c>
      <c r="I432" s="3">
        <f>IF('ORDENES'!$A410="","",IF('ORDENES'!$D410="","-",'ORDENES'!$D410))</f>
        <v/>
      </c>
      <c r="J432" s="3">
        <f>IF('ORDENES'!$A410="","",IF('ORDENES'!$E410="","-",'ORDENES'!$E410))</f>
        <v/>
      </c>
      <c r="K432" s="12">
        <f>IF('ORDENES'!$A410="","",IF('ORDENES'!$N410="",0,'ORDENES'!$N410))</f>
        <v/>
      </c>
      <c r="L432" s="3">
        <f>IF('ORDENES'!$A410="","",IF('ORDENES'!$O410="","-",'ORDENES'!$O410))</f>
        <v/>
      </c>
      <c r="M432" s="3">
        <f>IF('ORDENES'!$A410="","",'ORDENES'!$AB410)</f>
        <v/>
      </c>
    </row>
    <row r="433">
      <c r="A433" s="3">
        <f>IF('ORDENES'!$A411="","",IF('ORDENES'!$P411="","-",'ORDENES'!$P411))</f>
        <v/>
      </c>
      <c r="B433" s="3">
        <f>IF('ORDENES'!$A411="","",IF('ORDENES'!$S411="","-",'ORDENES'!$S411))</f>
        <v/>
      </c>
      <c r="C433" s="3">
        <f>IF('ORDENES'!$A411="","",IF('ORDENES'!$AD411="","-",'ORDENES'!$AD411))</f>
        <v/>
      </c>
      <c r="D433" s="3">
        <f>IF('ORDENES'!$A411="","",IF('ORDENES'!$W411="","-",'ORDENES'!$W411))</f>
        <v/>
      </c>
      <c r="E433" s="3">
        <f>IF('ORDENES'!$A411="","",IF('ORDENES'!$V411="","-",'ORDENES'!$V411))</f>
        <v/>
      </c>
      <c r="F433" s="3">
        <f>IF('ORDENES'!$A411="","",IF('ORDENES'!$X411="","-",'ORDENES'!$X411))</f>
        <v/>
      </c>
      <c r="G433" s="3">
        <f>IF('ORDENES'!$A411="","",IF('ORDENES'!$AC411="","-",'ORDENES'!$AC411))</f>
        <v/>
      </c>
      <c r="H433" s="3">
        <f>IF('ORDENES'!$A411="","",IF('ORDENES'!$AO411="","-",'ORDENES'!$AO411))</f>
        <v/>
      </c>
      <c r="I433" s="3">
        <f>IF('ORDENES'!$A411="","",IF('ORDENES'!$D411="","-",'ORDENES'!$D411))</f>
        <v/>
      </c>
      <c r="J433" s="3">
        <f>IF('ORDENES'!$A411="","",IF('ORDENES'!$E411="","-",'ORDENES'!$E411))</f>
        <v/>
      </c>
      <c r="K433" s="12">
        <f>IF('ORDENES'!$A411="","",IF('ORDENES'!$N411="",0,'ORDENES'!$N411))</f>
        <v/>
      </c>
      <c r="L433" s="3">
        <f>IF('ORDENES'!$A411="","",IF('ORDENES'!$O411="","-",'ORDENES'!$O411))</f>
        <v/>
      </c>
      <c r="M433" s="3">
        <f>IF('ORDENES'!$A411="","",'ORDENES'!$AB411)</f>
        <v/>
      </c>
    </row>
    <row r="434">
      <c r="A434" s="3">
        <f>IF('ORDENES'!$A412="","",IF('ORDENES'!$P412="","-",'ORDENES'!$P412))</f>
        <v/>
      </c>
      <c r="B434" s="3">
        <f>IF('ORDENES'!$A412="","",IF('ORDENES'!$S412="","-",'ORDENES'!$S412))</f>
        <v/>
      </c>
      <c r="C434" s="3">
        <f>IF('ORDENES'!$A412="","",IF('ORDENES'!$AD412="","-",'ORDENES'!$AD412))</f>
        <v/>
      </c>
      <c r="D434" s="3">
        <f>IF('ORDENES'!$A412="","",IF('ORDENES'!$W412="","-",'ORDENES'!$W412))</f>
        <v/>
      </c>
      <c r="E434" s="3">
        <f>IF('ORDENES'!$A412="","",IF('ORDENES'!$V412="","-",'ORDENES'!$V412))</f>
        <v/>
      </c>
      <c r="F434" s="3">
        <f>IF('ORDENES'!$A412="","",IF('ORDENES'!$X412="","-",'ORDENES'!$X412))</f>
        <v/>
      </c>
      <c r="G434" s="3">
        <f>IF('ORDENES'!$A412="","",IF('ORDENES'!$AC412="","-",'ORDENES'!$AC412))</f>
        <v/>
      </c>
      <c r="H434" s="3">
        <f>IF('ORDENES'!$A412="","",IF('ORDENES'!$AO412="","-",'ORDENES'!$AO412))</f>
        <v/>
      </c>
      <c r="I434" s="3">
        <f>IF('ORDENES'!$A412="","",IF('ORDENES'!$D412="","-",'ORDENES'!$D412))</f>
        <v/>
      </c>
      <c r="J434" s="3">
        <f>IF('ORDENES'!$A412="","",IF('ORDENES'!$E412="","-",'ORDENES'!$E412))</f>
        <v/>
      </c>
      <c r="K434" s="12">
        <f>IF('ORDENES'!$A412="","",IF('ORDENES'!$N412="",0,'ORDENES'!$N412))</f>
        <v/>
      </c>
      <c r="L434" s="3">
        <f>IF('ORDENES'!$A412="","",IF('ORDENES'!$O412="","-",'ORDENES'!$O412))</f>
        <v/>
      </c>
      <c r="M434" s="3">
        <f>IF('ORDENES'!$A412="","",'ORDENES'!$AB412)</f>
        <v/>
      </c>
    </row>
    <row r="435">
      <c r="A435" s="3">
        <f>IF('ORDENES'!$A413="","",IF('ORDENES'!$P413="","-",'ORDENES'!$P413))</f>
        <v/>
      </c>
      <c r="B435" s="3">
        <f>IF('ORDENES'!$A413="","",IF('ORDENES'!$S413="","-",'ORDENES'!$S413))</f>
        <v/>
      </c>
      <c r="C435" s="3">
        <f>IF('ORDENES'!$A413="","",IF('ORDENES'!$AD413="","-",'ORDENES'!$AD413))</f>
        <v/>
      </c>
      <c r="D435" s="3">
        <f>IF('ORDENES'!$A413="","",IF('ORDENES'!$W413="","-",'ORDENES'!$W413))</f>
        <v/>
      </c>
      <c r="E435" s="3">
        <f>IF('ORDENES'!$A413="","",IF('ORDENES'!$V413="","-",'ORDENES'!$V413))</f>
        <v/>
      </c>
      <c r="F435" s="3">
        <f>IF('ORDENES'!$A413="","",IF('ORDENES'!$X413="","-",'ORDENES'!$X413))</f>
        <v/>
      </c>
      <c r="G435" s="3">
        <f>IF('ORDENES'!$A413="","",IF('ORDENES'!$AC413="","-",'ORDENES'!$AC413))</f>
        <v/>
      </c>
      <c r="H435" s="3">
        <f>IF('ORDENES'!$A413="","",IF('ORDENES'!$AO413="","-",'ORDENES'!$AO413))</f>
        <v/>
      </c>
      <c r="I435" s="3">
        <f>IF('ORDENES'!$A413="","",IF('ORDENES'!$D413="","-",'ORDENES'!$D413))</f>
        <v/>
      </c>
      <c r="J435" s="3">
        <f>IF('ORDENES'!$A413="","",IF('ORDENES'!$E413="","-",'ORDENES'!$E413))</f>
        <v/>
      </c>
      <c r="K435" s="12">
        <f>IF('ORDENES'!$A413="","",IF('ORDENES'!$N413="",0,'ORDENES'!$N413))</f>
        <v/>
      </c>
      <c r="L435" s="3">
        <f>IF('ORDENES'!$A413="","",IF('ORDENES'!$O413="","-",'ORDENES'!$O413))</f>
        <v/>
      </c>
      <c r="M435" s="3">
        <f>IF('ORDENES'!$A413="","",'ORDENES'!$AB413)</f>
        <v/>
      </c>
    </row>
    <row r="436">
      <c r="A436" s="3">
        <f>IF('ORDENES'!$A414="","",IF('ORDENES'!$P414="","-",'ORDENES'!$P414))</f>
        <v/>
      </c>
      <c r="B436" s="3">
        <f>IF('ORDENES'!$A414="","",IF('ORDENES'!$S414="","-",'ORDENES'!$S414))</f>
        <v/>
      </c>
      <c r="C436" s="3">
        <f>IF('ORDENES'!$A414="","",IF('ORDENES'!$AD414="","-",'ORDENES'!$AD414))</f>
        <v/>
      </c>
      <c r="D436" s="3">
        <f>IF('ORDENES'!$A414="","",IF('ORDENES'!$W414="","-",'ORDENES'!$W414))</f>
        <v/>
      </c>
      <c r="E436" s="3">
        <f>IF('ORDENES'!$A414="","",IF('ORDENES'!$V414="","-",'ORDENES'!$V414))</f>
        <v/>
      </c>
      <c r="F436" s="3">
        <f>IF('ORDENES'!$A414="","",IF('ORDENES'!$X414="","-",'ORDENES'!$X414))</f>
        <v/>
      </c>
      <c r="G436" s="3">
        <f>IF('ORDENES'!$A414="","",IF('ORDENES'!$AC414="","-",'ORDENES'!$AC414))</f>
        <v/>
      </c>
      <c r="H436" s="3">
        <f>IF('ORDENES'!$A414="","",IF('ORDENES'!$AO414="","-",'ORDENES'!$AO414))</f>
        <v/>
      </c>
      <c r="I436" s="3">
        <f>IF('ORDENES'!$A414="","",IF('ORDENES'!$D414="","-",'ORDENES'!$D414))</f>
        <v/>
      </c>
      <c r="J436" s="3">
        <f>IF('ORDENES'!$A414="","",IF('ORDENES'!$E414="","-",'ORDENES'!$E414))</f>
        <v/>
      </c>
      <c r="K436" s="12">
        <f>IF('ORDENES'!$A414="","",IF('ORDENES'!$N414="",0,'ORDENES'!$N414))</f>
        <v/>
      </c>
      <c r="L436" s="3">
        <f>IF('ORDENES'!$A414="","",IF('ORDENES'!$O414="","-",'ORDENES'!$O414))</f>
        <v/>
      </c>
      <c r="M436" s="3">
        <f>IF('ORDENES'!$A414="","",'ORDENES'!$AB414)</f>
        <v/>
      </c>
    </row>
    <row r="437">
      <c r="A437" s="3">
        <f>IF('ORDENES'!$A415="","",IF('ORDENES'!$P415="","-",'ORDENES'!$P415))</f>
        <v/>
      </c>
      <c r="B437" s="3">
        <f>IF('ORDENES'!$A415="","",IF('ORDENES'!$S415="","-",'ORDENES'!$S415))</f>
        <v/>
      </c>
      <c r="C437" s="3">
        <f>IF('ORDENES'!$A415="","",IF('ORDENES'!$AD415="","-",'ORDENES'!$AD415))</f>
        <v/>
      </c>
      <c r="D437" s="3">
        <f>IF('ORDENES'!$A415="","",IF('ORDENES'!$W415="","-",'ORDENES'!$W415))</f>
        <v/>
      </c>
      <c r="E437" s="3">
        <f>IF('ORDENES'!$A415="","",IF('ORDENES'!$V415="","-",'ORDENES'!$V415))</f>
        <v/>
      </c>
      <c r="F437" s="3">
        <f>IF('ORDENES'!$A415="","",IF('ORDENES'!$X415="","-",'ORDENES'!$X415))</f>
        <v/>
      </c>
      <c r="G437" s="3">
        <f>IF('ORDENES'!$A415="","",IF('ORDENES'!$AC415="","-",'ORDENES'!$AC415))</f>
        <v/>
      </c>
      <c r="H437" s="3">
        <f>IF('ORDENES'!$A415="","",IF('ORDENES'!$AO415="","-",'ORDENES'!$AO415))</f>
        <v/>
      </c>
      <c r="I437" s="3">
        <f>IF('ORDENES'!$A415="","",IF('ORDENES'!$D415="","-",'ORDENES'!$D415))</f>
        <v/>
      </c>
      <c r="J437" s="3">
        <f>IF('ORDENES'!$A415="","",IF('ORDENES'!$E415="","-",'ORDENES'!$E415))</f>
        <v/>
      </c>
      <c r="K437" s="12">
        <f>IF('ORDENES'!$A415="","",IF('ORDENES'!$N415="",0,'ORDENES'!$N415))</f>
        <v/>
      </c>
      <c r="L437" s="3">
        <f>IF('ORDENES'!$A415="","",IF('ORDENES'!$O415="","-",'ORDENES'!$O415))</f>
        <v/>
      </c>
      <c r="M437" s="3">
        <f>IF('ORDENES'!$A415="","",'ORDENES'!$AB415)</f>
        <v/>
      </c>
    </row>
    <row r="438">
      <c r="A438" s="3">
        <f>IF('ORDENES'!$A416="","",IF('ORDENES'!$P416="","-",'ORDENES'!$P416))</f>
        <v/>
      </c>
      <c r="B438" s="3">
        <f>IF('ORDENES'!$A416="","",IF('ORDENES'!$S416="","-",'ORDENES'!$S416))</f>
        <v/>
      </c>
      <c r="C438" s="3">
        <f>IF('ORDENES'!$A416="","",IF('ORDENES'!$AD416="","-",'ORDENES'!$AD416))</f>
        <v/>
      </c>
      <c r="D438" s="3">
        <f>IF('ORDENES'!$A416="","",IF('ORDENES'!$W416="","-",'ORDENES'!$W416))</f>
        <v/>
      </c>
      <c r="E438" s="3">
        <f>IF('ORDENES'!$A416="","",IF('ORDENES'!$V416="","-",'ORDENES'!$V416))</f>
        <v/>
      </c>
      <c r="F438" s="3">
        <f>IF('ORDENES'!$A416="","",IF('ORDENES'!$X416="","-",'ORDENES'!$X416))</f>
        <v/>
      </c>
      <c r="G438" s="3">
        <f>IF('ORDENES'!$A416="","",IF('ORDENES'!$AC416="","-",'ORDENES'!$AC416))</f>
        <v/>
      </c>
      <c r="H438" s="3">
        <f>IF('ORDENES'!$A416="","",IF('ORDENES'!$AO416="","-",'ORDENES'!$AO416))</f>
        <v/>
      </c>
      <c r="I438" s="3">
        <f>IF('ORDENES'!$A416="","",IF('ORDENES'!$D416="","-",'ORDENES'!$D416))</f>
        <v/>
      </c>
      <c r="J438" s="3">
        <f>IF('ORDENES'!$A416="","",IF('ORDENES'!$E416="","-",'ORDENES'!$E416))</f>
        <v/>
      </c>
      <c r="K438" s="12">
        <f>IF('ORDENES'!$A416="","",IF('ORDENES'!$N416="",0,'ORDENES'!$N416))</f>
        <v/>
      </c>
      <c r="L438" s="3">
        <f>IF('ORDENES'!$A416="","",IF('ORDENES'!$O416="","-",'ORDENES'!$O416))</f>
        <v/>
      </c>
      <c r="M438" s="3">
        <f>IF('ORDENES'!$A416="","",'ORDENES'!$AB416)</f>
        <v/>
      </c>
    </row>
    <row r="439">
      <c r="A439" s="3">
        <f>IF('ORDENES'!$A417="","",IF('ORDENES'!$P417="","-",'ORDENES'!$P417))</f>
        <v/>
      </c>
      <c r="B439" s="3">
        <f>IF('ORDENES'!$A417="","",IF('ORDENES'!$S417="","-",'ORDENES'!$S417))</f>
        <v/>
      </c>
      <c r="C439" s="3">
        <f>IF('ORDENES'!$A417="","",IF('ORDENES'!$AD417="","-",'ORDENES'!$AD417))</f>
        <v/>
      </c>
      <c r="D439" s="3">
        <f>IF('ORDENES'!$A417="","",IF('ORDENES'!$W417="","-",'ORDENES'!$W417))</f>
        <v/>
      </c>
      <c r="E439" s="3">
        <f>IF('ORDENES'!$A417="","",IF('ORDENES'!$V417="","-",'ORDENES'!$V417))</f>
        <v/>
      </c>
      <c r="F439" s="3">
        <f>IF('ORDENES'!$A417="","",IF('ORDENES'!$X417="","-",'ORDENES'!$X417))</f>
        <v/>
      </c>
      <c r="G439" s="3">
        <f>IF('ORDENES'!$A417="","",IF('ORDENES'!$AC417="","-",'ORDENES'!$AC417))</f>
        <v/>
      </c>
      <c r="H439" s="3">
        <f>IF('ORDENES'!$A417="","",IF('ORDENES'!$AO417="","-",'ORDENES'!$AO417))</f>
        <v/>
      </c>
      <c r="I439" s="3">
        <f>IF('ORDENES'!$A417="","",IF('ORDENES'!$D417="","-",'ORDENES'!$D417))</f>
        <v/>
      </c>
      <c r="J439" s="3">
        <f>IF('ORDENES'!$A417="","",IF('ORDENES'!$E417="","-",'ORDENES'!$E417))</f>
        <v/>
      </c>
      <c r="K439" s="12">
        <f>IF('ORDENES'!$A417="","",IF('ORDENES'!$N417="",0,'ORDENES'!$N417))</f>
        <v/>
      </c>
      <c r="L439" s="3">
        <f>IF('ORDENES'!$A417="","",IF('ORDENES'!$O417="","-",'ORDENES'!$O417))</f>
        <v/>
      </c>
      <c r="M439" s="3">
        <f>IF('ORDENES'!$A417="","",'ORDENES'!$AB417)</f>
        <v/>
      </c>
    </row>
    <row r="440">
      <c r="A440" s="3">
        <f>IF('ORDENES'!$A418="","",IF('ORDENES'!$P418="","-",'ORDENES'!$P418))</f>
        <v/>
      </c>
      <c r="B440" s="3">
        <f>IF('ORDENES'!$A418="","",IF('ORDENES'!$S418="","-",'ORDENES'!$S418))</f>
        <v/>
      </c>
      <c r="C440" s="3">
        <f>IF('ORDENES'!$A418="","",IF('ORDENES'!$AD418="","-",'ORDENES'!$AD418))</f>
        <v/>
      </c>
      <c r="D440" s="3">
        <f>IF('ORDENES'!$A418="","",IF('ORDENES'!$W418="","-",'ORDENES'!$W418))</f>
        <v/>
      </c>
      <c r="E440" s="3">
        <f>IF('ORDENES'!$A418="","",IF('ORDENES'!$V418="","-",'ORDENES'!$V418))</f>
        <v/>
      </c>
      <c r="F440" s="3">
        <f>IF('ORDENES'!$A418="","",IF('ORDENES'!$X418="","-",'ORDENES'!$X418))</f>
        <v/>
      </c>
      <c r="G440" s="3">
        <f>IF('ORDENES'!$A418="","",IF('ORDENES'!$AC418="","-",'ORDENES'!$AC418))</f>
        <v/>
      </c>
      <c r="H440" s="3">
        <f>IF('ORDENES'!$A418="","",IF('ORDENES'!$AO418="","-",'ORDENES'!$AO418))</f>
        <v/>
      </c>
      <c r="I440" s="3">
        <f>IF('ORDENES'!$A418="","",IF('ORDENES'!$D418="","-",'ORDENES'!$D418))</f>
        <v/>
      </c>
      <c r="J440" s="3">
        <f>IF('ORDENES'!$A418="","",IF('ORDENES'!$E418="","-",'ORDENES'!$E418))</f>
        <v/>
      </c>
      <c r="K440" s="12">
        <f>IF('ORDENES'!$A418="","",IF('ORDENES'!$N418="",0,'ORDENES'!$N418))</f>
        <v/>
      </c>
      <c r="L440" s="3">
        <f>IF('ORDENES'!$A418="","",IF('ORDENES'!$O418="","-",'ORDENES'!$O418))</f>
        <v/>
      </c>
      <c r="M440" s="3">
        <f>IF('ORDENES'!$A418="","",'ORDENES'!$AB418)</f>
        <v/>
      </c>
    </row>
    <row r="441">
      <c r="A441" s="3">
        <f>IF('ORDENES'!$A419="","",IF('ORDENES'!$P419="","-",'ORDENES'!$P419))</f>
        <v/>
      </c>
      <c r="B441" s="3">
        <f>IF('ORDENES'!$A419="","",IF('ORDENES'!$S419="","-",'ORDENES'!$S419))</f>
        <v/>
      </c>
      <c r="C441" s="3">
        <f>IF('ORDENES'!$A419="","",IF('ORDENES'!$AD419="","-",'ORDENES'!$AD419))</f>
        <v/>
      </c>
      <c r="D441" s="3">
        <f>IF('ORDENES'!$A419="","",IF('ORDENES'!$W419="","-",'ORDENES'!$W419))</f>
        <v/>
      </c>
      <c r="E441" s="3">
        <f>IF('ORDENES'!$A419="","",IF('ORDENES'!$V419="","-",'ORDENES'!$V419))</f>
        <v/>
      </c>
      <c r="F441" s="3">
        <f>IF('ORDENES'!$A419="","",IF('ORDENES'!$X419="","-",'ORDENES'!$X419))</f>
        <v/>
      </c>
      <c r="G441" s="3">
        <f>IF('ORDENES'!$A419="","",IF('ORDENES'!$AC419="","-",'ORDENES'!$AC419))</f>
        <v/>
      </c>
      <c r="H441" s="3">
        <f>IF('ORDENES'!$A419="","",IF('ORDENES'!$AO419="","-",'ORDENES'!$AO419))</f>
        <v/>
      </c>
      <c r="I441" s="3">
        <f>IF('ORDENES'!$A419="","",IF('ORDENES'!$D419="","-",'ORDENES'!$D419))</f>
        <v/>
      </c>
      <c r="J441" s="3">
        <f>IF('ORDENES'!$A419="","",IF('ORDENES'!$E419="","-",'ORDENES'!$E419))</f>
        <v/>
      </c>
      <c r="K441" s="12">
        <f>IF('ORDENES'!$A419="","",IF('ORDENES'!$N419="",0,'ORDENES'!$N419))</f>
        <v/>
      </c>
      <c r="L441" s="3">
        <f>IF('ORDENES'!$A419="","",IF('ORDENES'!$O419="","-",'ORDENES'!$O419))</f>
        <v/>
      </c>
      <c r="M441" s="3">
        <f>IF('ORDENES'!$A419="","",'ORDENES'!$AB419)</f>
        <v/>
      </c>
    </row>
    <row r="442">
      <c r="A442" s="3">
        <f>IF('ORDENES'!$A420="","",IF('ORDENES'!$P420="","-",'ORDENES'!$P420))</f>
        <v/>
      </c>
      <c r="B442" s="3">
        <f>IF('ORDENES'!$A420="","",IF('ORDENES'!$S420="","-",'ORDENES'!$S420))</f>
        <v/>
      </c>
      <c r="C442" s="3">
        <f>IF('ORDENES'!$A420="","",IF('ORDENES'!$AD420="","-",'ORDENES'!$AD420))</f>
        <v/>
      </c>
      <c r="D442" s="3">
        <f>IF('ORDENES'!$A420="","",IF('ORDENES'!$W420="","-",'ORDENES'!$W420))</f>
        <v/>
      </c>
      <c r="E442" s="3">
        <f>IF('ORDENES'!$A420="","",IF('ORDENES'!$V420="","-",'ORDENES'!$V420))</f>
        <v/>
      </c>
      <c r="F442" s="3">
        <f>IF('ORDENES'!$A420="","",IF('ORDENES'!$X420="","-",'ORDENES'!$X420))</f>
        <v/>
      </c>
      <c r="G442" s="3">
        <f>IF('ORDENES'!$A420="","",IF('ORDENES'!$AC420="","-",'ORDENES'!$AC420))</f>
        <v/>
      </c>
      <c r="H442" s="3">
        <f>IF('ORDENES'!$A420="","",IF('ORDENES'!$AO420="","-",'ORDENES'!$AO420))</f>
        <v/>
      </c>
      <c r="I442" s="3">
        <f>IF('ORDENES'!$A420="","",IF('ORDENES'!$D420="","-",'ORDENES'!$D420))</f>
        <v/>
      </c>
      <c r="J442" s="3">
        <f>IF('ORDENES'!$A420="","",IF('ORDENES'!$E420="","-",'ORDENES'!$E420))</f>
        <v/>
      </c>
      <c r="K442" s="12">
        <f>IF('ORDENES'!$A420="","",IF('ORDENES'!$N420="",0,'ORDENES'!$N420))</f>
        <v/>
      </c>
      <c r="L442" s="3">
        <f>IF('ORDENES'!$A420="","",IF('ORDENES'!$O420="","-",'ORDENES'!$O420))</f>
        <v/>
      </c>
      <c r="M442" s="3">
        <f>IF('ORDENES'!$A420="","",'ORDENES'!$AB420)</f>
        <v/>
      </c>
    </row>
    <row r="443">
      <c r="A443" s="3">
        <f>IF('ORDENES'!$A421="","",IF('ORDENES'!$P421="","-",'ORDENES'!$P421))</f>
        <v/>
      </c>
      <c r="B443" s="3">
        <f>IF('ORDENES'!$A421="","",IF('ORDENES'!$S421="","-",'ORDENES'!$S421))</f>
        <v/>
      </c>
      <c r="C443" s="3">
        <f>IF('ORDENES'!$A421="","",IF('ORDENES'!$AD421="","-",'ORDENES'!$AD421))</f>
        <v/>
      </c>
      <c r="D443" s="3">
        <f>IF('ORDENES'!$A421="","",IF('ORDENES'!$W421="","-",'ORDENES'!$W421))</f>
        <v/>
      </c>
      <c r="E443" s="3">
        <f>IF('ORDENES'!$A421="","",IF('ORDENES'!$V421="","-",'ORDENES'!$V421))</f>
        <v/>
      </c>
      <c r="F443" s="3">
        <f>IF('ORDENES'!$A421="","",IF('ORDENES'!$X421="","-",'ORDENES'!$X421))</f>
        <v/>
      </c>
      <c r="G443" s="3">
        <f>IF('ORDENES'!$A421="","",IF('ORDENES'!$AC421="","-",'ORDENES'!$AC421))</f>
        <v/>
      </c>
      <c r="H443" s="3">
        <f>IF('ORDENES'!$A421="","",IF('ORDENES'!$AO421="","-",'ORDENES'!$AO421))</f>
        <v/>
      </c>
      <c r="I443" s="3">
        <f>IF('ORDENES'!$A421="","",IF('ORDENES'!$D421="","-",'ORDENES'!$D421))</f>
        <v/>
      </c>
      <c r="J443" s="3">
        <f>IF('ORDENES'!$A421="","",IF('ORDENES'!$E421="","-",'ORDENES'!$E421))</f>
        <v/>
      </c>
      <c r="K443" s="12">
        <f>IF('ORDENES'!$A421="","",IF('ORDENES'!$N421="",0,'ORDENES'!$N421))</f>
        <v/>
      </c>
      <c r="L443" s="3">
        <f>IF('ORDENES'!$A421="","",IF('ORDENES'!$O421="","-",'ORDENES'!$O421))</f>
        <v/>
      </c>
      <c r="M443" s="3">
        <f>IF('ORDENES'!$A421="","",'ORDENES'!$AB421)</f>
        <v/>
      </c>
    </row>
    <row r="444">
      <c r="A444" s="3">
        <f>IF('ORDENES'!$A422="","",IF('ORDENES'!$P422="","-",'ORDENES'!$P422))</f>
        <v/>
      </c>
      <c r="B444" s="3">
        <f>IF('ORDENES'!$A422="","",IF('ORDENES'!$S422="","-",'ORDENES'!$S422))</f>
        <v/>
      </c>
      <c r="C444" s="3">
        <f>IF('ORDENES'!$A422="","",IF('ORDENES'!$AD422="","-",'ORDENES'!$AD422))</f>
        <v/>
      </c>
      <c r="D444" s="3">
        <f>IF('ORDENES'!$A422="","",IF('ORDENES'!$W422="","-",'ORDENES'!$W422))</f>
        <v/>
      </c>
      <c r="E444" s="3">
        <f>IF('ORDENES'!$A422="","",IF('ORDENES'!$V422="","-",'ORDENES'!$V422))</f>
        <v/>
      </c>
      <c r="F444" s="3">
        <f>IF('ORDENES'!$A422="","",IF('ORDENES'!$X422="","-",'ORDENES'!$X422))</f>
        <v/>
      </c>
      <c r="G444" s="3">
        <f>IF('ORDENES'!$A422="","",IF('ORDENES'!$AC422="","-",'ORDENES'!$AC422))</f>
        <v/>
      </c>
      <c r="H444" s="3">
        <f>IF('ORDENES'!$A422="","",IF('ORDENES'!$AO422="","-",'ORDENES'!$AO422))</f>
        <v/>
      </c>
      <c r="I444" s="3">
        <f>IF('ORDENES'!$A422="","",IF('ORDENES'!$D422="","-",'ORDENES'!$D422))</f>
        <v/>
      </c>
      <c r="J444" s="3">
        <f>IF('ORDENES'!$A422="","",IF('ORDENES'!$E422="","-",'ORDENES'!$E422))</f>
        <v/>
      </c>
      <c r="K444" s="12">
        <f>IF('ORDENES'!$A422="","",IF('ORDENES'!$N422="",0,'ORDENES'!$N422))</f>
        <v/>
      </c>
      <c r="L444" s="3">
        <f>IF('ORDENES'!$A422="","",IF('ORDENES'!$O422="","-",'ORDENES'!$O422))</f>
        <v/>
      </c>
      <c r="M444" s="3">
        <f>IF('ORDENES'!$A422="","",'ORDENES'!$AB422)</f>
        <v/>
      </c>
    </row>
    <row r="445">
      <c r="A445" s="3">
        <f>IF('ORDENES'!$A423="","",IF('ORDENES'!$P423="","-",'ORDENES'!$P423))</f>
        <v/>
      </c>
      <c r="B445" s="3">
        <f>IF('ORDENES'!$A423="","",IF('ORDENES'!$S423="","-",'ORDENES'!$S423))</f>
        <v/>
      </c>
      <c r="C445" s="3">
        <f>IF('ORDENES'!$A423="","",IF('ORDENES'!$AD423="","-",'ORDENES'!$AD423))</f>
        <v/>
      </c>
      <c r="D445" s="3">
        <f>IF('ORDENES'!$A423="","",IF('ORDENES'!$W423="","-",'ORDENES'!$W423))</f>
        <v/>
      </c>
      <c r="E445" s="3">
        <f>IF('ORDENES'!$A423="","",IF('ORDENES'!$V423="","-",'ORDENES'!$V423))</f>
        <v/>
      </c>
      <c r="F445" s="3">
        <f>IF('ORDENES'!$A423="","",IF('ORDENES'!$X423="","-",'ORDENES'!$X423))</f>
        <v/>
      </c>
      <c r="G445" s="3">
        <f>IF('ORDENES'!$A423="","",IF('ORDENES'!$AC423="","-",'ORDENES'!$AC423))</f>
        <v/>
      </c>
      <c r="H445" s="3">
        <f>IF('ORDENES'!$A423="","",IF('ORDENES'!$AO423="","-",'ORDENES'!$AO423))</f>
        <v/>
      </c>
      <c r="I445" s="3">
        <f>IF('ORDENES'!$A423="","",IF('ORDENES'!$D423="","-",'ORDENES'!$D423))</f>
        <v/>
      </c>
      <c r="J445" s="3">
        <f>IF('ORDENES'!$A423="","",IF('ORDENES'!$E423="","-",'ORDENES'!$E423))</f>
        <v/>
      </c>
      <c r="K445" s="12">
        <f>IF('ORDENES'!$A423="","",IF('ORDENES'!$N423="",0,'ORDENES'!$N423))</f>
        <v/>
      </c>
      <c r="L445" s="3">
        <f>IF('ORDENES'!$A423="","",IF('ORDENES'!$O423="","-",'ORDENES'!$O423))</f>
        <v/>
      </c>
      <c r="M445" s="3">
        <f>IF('ORDENES'!$A423="","",'ORDENES'!$AB423)</f>
        <v/>
      </c>
    </row>
    <row r="446">
      <c r="A446" s="3">
        <f>IF('ORDENES'!$A424="","",IF('ORDENES'!$P424="","-",'ORDENES'!$P424))</f>
        <v/>
      </c>
      <c r="B446" s="3">
        <f>IF('ORDENES'!$A424="","",IF('ORDENES'!$S424="","-",'ORDENES'!$S424))</f>
        <v/>
      </c>
      <c r="C446" s="3">
        <f>IF('ORDENES'!$A424="","",IF('ORDENES'!$AD424="","-",'ORDENES'!$AD424))</f>
        <v/>
      </c>
      <c r="D446" s="3">
        <f>IF('ORDENES'!$A424="","",IF('ORDENES'!$W424="","-",'ORDENES'!$W424))</f>
        <v/>
      </c>
      <c r="E446" s="3">
        <f>IF('ORDENES'!$A424="","",IF('ORDENES'!$V424="","-",'ORDENES'!$V424))</f>
        <v/>
      </c>
      <c r="F446" s="3">
        <f>IF('ORDENES'!$A424="","",IF('ORDENES'!$X424="","-",'ORDENES'!$X424))</f>
        <v/>
      </c>
      <c r="G446" s="3">
        <f>IF('ORDENES'!$A424="","",IF('ORDENES'!$AC424="","-",'ORDENES'!$AC424))</f>
        <v/>
      </c>
      <c r="H446" s="3">
        <f>IF('ORDENES'!$A424="","",IF('ORDENES'!$AO424="","-",'ORDENES'!$AO424))</f>
        <v/>
      </c>
      <c r="I446" s="3">
        <f>IF('ORDENES'!$A424="","",IF('ORDENES'!$D424="","-",'ORDENES'!$D424))</f>
        <v/>
      </c>
      <c r="J446" s="3">
        <f>IF('ORDENES'!$A424="","",IF('ORDENES'!$E424="","-",'ORDENES'!$E424))</f>
        <v/>
      </c>
      <c r="K446" s="12">
        <f>IF('ORDENES'!$A424="","",IF('ORDENES'!$N424="",0,'ORDENES'!$N424))</f>
        <v/>
      </c>
      <c r="L446" s="3">
        <f>IF('ORDENES'!$A424="","",IF('ORDENES'!$O424="","-",'ORDENES'!$O424))</f>
        <v/>
      </c>
      <c r="M446" s="3">
        <f>IF('ORDENES'!$A424="","",'ORDENES'!$AB424)</f>
        <v/>
      </c>
    </row>
    <row r="447">
      <c r="A447" s="3">
        <f>IF('ORDENES'!$A425="","",IF('ORDENES'!$P425="","-",'ORDENES'!$P425))</f>
        <v/>
      </c>
      <c r="B447" s="3">
        <f>IF('ORDENES'!$A425="","",IF('ORDENES'!$S425="","-",'ORDENES'!$S425))</f>
        <v/>
      </c>
      <c r="C447" s="3">
        <f>IF('ORDENES'!$A425="","",IF('ORDENES'!$AD425="","-",'ORDENES'!$AD425))</f>
        <v/>
      </c>
      <c r="D447" s="3">
        <f>IF('ORDENES'!$A425="","",IF('ORDENES'!$W425="","-",'ORDENES'!$W425))</f>
        <v/>
      </c>
      <c r="E447" s="3">
        <f>IF('ORDENES'!$A425="","",IF('ORDENES'!$V425="","-",'ORDENES'!$V425))</f>
        <v/>
      </c>
      <c r="F447" s="3">
        <f>IF('ORDENES'!$A425="","",IF('ORDENES'!$X425="","-",'ORDENES'!$X425))</f>
        <v/>
      </c>
      <c r="G447" s="3">
        <f>IF('ORDENES'!$A425="","",IF('ORDENES'!$AC425="","-",'ORDENES'!$AC425))</f>
        <v/>
      </c>
      <c r="H447" s="3">
        <f>IF('ORDENES'!$A425="","",IF('ORDENES'!$AO425="","-",'ORDENES'!$AO425))</f>
        <v/>
      </c>
      <c r="I447" s="3">
        <f>IF('ORDENES'!$A425="","",IF('ORDENES'!$D425="","-",'ORDENES'!$D425))</f>
        <v/>
      </c>
      <c r="J447" s="3">
        <f>IF('ORDENES'!$A425="","",IF('ORDENES'!$E425="","-",'ORDENES'!$E425))</f>
        <v/>
      </c>
      <c r="K447" s="12">
        <f>IF('ORDENES'!$A425="","",IF('ORDENES'!$N425="",0,'ORDENES'!$N425))</f>
        <v/>
      </c>
      <c r="L447" s="3">
        <f>IF('ORDENES'!$A425="","",IF('ORDENES'!$O425="","-",'ORDENES'!$O425))</f>
        <v/>
      </c>
      <c r="M447" s="3">
        <f>IF('ORDENES'!$A425="","",'ORDENES'!$AB425)</f>
        <v/>
      </c>
    </row>
    <row r="448">
      <c r="A448" s="3">
        <f>IF('ORDENES'!$A426="","",IF('ORDENES'!$P426="","-",'ORDENES'!$P426))</f>
        <v/>
      </c>
      <c r="B448" s="3">
        <f>IF('ORDENES'!$A426="","",IF('ORDENES'!$S426="","-",'ORDENES'!$S426))</f>
        <v/>
      </c>
      <c r="C448" s="3">
        <f>IF('ORDENES'!$A426="","",IF('ORDENES'!$AD426="","-",'ORDENES'!$AD426))</f>
        <v/>
      </c>
      <c r="D448" s="3">
        <f>IF('ORDENES'!$A426="","",IF('ORDENES'!$W426="","-",'ORDENES'!$W426))</f>
        <v/>
      </c>
      <c r="E448" s="3">
        <f>IF('ORDENES'!$A426="","",IF('ORDENES'!$V426="","-",'ORDENES'!$V426))</f>
        <v/>
      </c>
      <c r="F448" s="3">
        <f>IF('ORDENES'!$A426="","",IF('ORDENES'!$X426="","-",'ORDENES'!$X426))</f>
        <v/>
      </c>
      <c r="G448" s="3">
        <f>IF('ORDENES'!$A426="","",IF('ORDENES'!$AC426="","-",'ORDENES'!$AC426))</f>
        <v/>
      </c>
      <c r="H448" s="3">
        <f>IF('ORDENES'!$A426="","",IF('ORDENES'!$AO426="","-",'ORDENES'!$AO426))</f>
        <v/>
      </c>
      <c r="I448" s="3">
        <f>IF('ORDENES'!$A426="","",IF('ORDENES'!$D426="","-",'ORDENES'!$D426))</f>
        <v/>
      </c>
      <c r="J448" s="3">
        <f>IF('ORDENES'!$A426="","",IF('ORDENES'!$E426="","-",'ORDENES'!$E426))</f>
        <v/>
      </c>
      <c r="K448" s="12">
        <f>IF('ORDENES'!$A426="","",IF('ORDENES'!$N426="",0,'ORDENES'!$N426))</f>
        <v/>
      </c>
      <c r="L448" s="3">
        <f>IF('ORDENES'!$A426="","",IF('ORDENES'!$O426="","-",'ORDENES'!$O426))</f>
        <v/>
      </c>
      <c r="M448" s="3">
        <f>IF('ORDENES'!$A426="","",'ORDENES'!$AB426)</f>
        <v/>
      </c>
    </row>
    <row r="449">
      <c r="A449" s="3">
        <f>IF('ORDENES'!$A427="","",IF('ORDENES'!$P427="","-",'ORDENES'!$P427))</f>
        <v/>
      </c>
      <c r="B449" s="3">
        <f>IF('ORDENES'!$A427="","",IF('ORDENES'!$S427="","-",'ORDENES'!$S427))</f>
        <v/>
      </c>
      <c r="C449" s="3">
        <f>IF('ORDENES'!$A427="","",IF('ORDENES'!$AD427="","-",'ORDENES'!$AD427))</f>
        <v/>
      </c>
      <c r="D449" s="3">
        <f>IF('ORDENES'!$A427="","",IF('ORDENES'!$W427="","-",'ORDENES'!$W427))</f>
        <v/>
      </c>
      <c r="E449" s="3">
        <f>IF('ORDENES'!$A427="","",IF('ORDENES'!$V427="","-",'ORDENES'!$V427))</f>
        <v/>
      </c>
      <c r="F449" s="3">
        <f>IF('ORDENES'!$A427="","",IF('ORDENES'!$X427="","-",'ORDENES'!$X427))</f>
        <v/>
      </c>
      <c r="G449" s="3">
        <f>IF('ORDENES'!$A427="","",IF('ORDENES'!$AC427="","-",'ORDENES'!$AC427))</f>
        <v/>
      </c>
      <c r="H449" s="3">
        <f>IF('ORDENES'!$A427="","",IF('ORDENES'!$AO427="","-",'ORDENES'!$AO427))</f>
        <v/>
      </c>
      <c r="I449" s="3">
        <f>IF('ORDENES'!$A427="","",IF('ORDENES'!$D427="","-",'ORDENES'!$D427))</f>
        <v/>
      </c>
      <c r="J449" s="3">
        <f>IF('ORDENES'!$A427="","",IF('ORDENES'!$E427="","-",'ORDENES'!$E427))</f>
        <v/>
      </c>
      <c r="K449" s="12">
        <f>IF('ORDENES'!$A427="","",IF('ORDENES'!$N427="",0,'ORDENES'!$N427))</f>
        <v/>
      </c>
      <c r="L449" s="3">
        <f>IF('ORDENES'!$A427="","",IF('ORDENES'!$O427="","-",'ORDENES'!$O427))</f>
        <v/>
      </c>
      <c r="M449" s="3">
        <f>IF('ORDENES'!$A427="","",'ORDENES'!$AB427)</f>
        <v/>
      </c>
    </row>
    <row r="450">
      <c r="A450" s="3">
        <f>IF('ORDENES'!$A428="","",IF('ORDENES'!$P428="","-",'ORDENES'!$P428))</f>
        <v/>
      </c>
      <c r="B450" s="3">
        <f>IF('ORDENES'!$A428="","",IF('ORDENES'!$S428="","-",'ORDENES'!$S428))</f>
        <v/>
      </c>
      <c r="C450" s="3">
        <f>IF('ORDENES'!$A428="","",IF('ORDENES'!$AD428="","-",'ORDENES'!$AD428))</f>
        <v/>
      </c>
      <c r="D450" s="3">
        <f>IF('ORDENES'!$A428="","",IF('ORDENES'!$W428="","-",'ORDENES'!$W428))</f>
        <v/>
      </c>
      <c r="E450" s="3">
        <f>IF('ORDENES'!$A428="","",IF('ORDENES'!$V428="","-",'ORDENES'!$V428))</f>
        <v/>
      </c>
      <c r="F450" s="3">
        <f>IF('ORDENES'!$A428="","",IF('ORDENES'!$X428="","-",'ORDENES'!$X428))</f>
        <v/>
      </c>
      <c r="G450" s="3">
        <f>IF('ORDENES'!$A428="","",IF('ORDENES'!$AC428="","-",'ORDENES'!$AC428))</f>
        <v/>
      </c>
      <c r="H450" s="3">
        <f>IF('ORDENES'!$A428="","",IF('ORDENES'!$AO428="","-",'ORDENES'!$AO428))</f>
        <v/>
      </c>
      <c r="I450" s="3">
        <f>IF('ORDENES'!$A428="","",IF('ORDENES'!$D428="","-",'ORDENES'!$D428))</f>
        <v/>
      </c>
      <c r="J450" s="3">
        <f>IF('ORDENES'!$A428="","",IF('ORDENES'!$E428="","-",'ORDENES'!$E428))</f>
        <v/>
      </c>
      <c r="K450" s="12">
        <f>IF('ORDENES'!$A428="","",IF('ORDENES'!$N428="",0,'ORDENES'!$N428))</f>
        <v/>
      </c>
      <c r="L450" s="3">
        <f>IF('ORDENES'!$A428="","",IF('ORDENES'!$O428="","-",'ORDENES'!$O428))</f>
        <v/>
      </c>
      <c r="M450" s="3">
        <f>IF('ORDENES'!$A428="","",'ORDENES'!$AB428)</f>
        <v/>
      </c>
    </row>
    <row r="451">
      <c r="A451" s="3">
        <f>IF('ORDENES'!$A429="","",IF('ORDENES'!$P429="","-",'ORDENES'!$P429))</f>
        <v/>
      </c>
      <c r="B451" s="3">
        <f>IF('ORDENES'!$A429="","",IF('ORDENES'!$S429="","-",'ORDENES'!$S429))</f>
        <v/>
      </c>
      <c r="C451" s="3">
        <f>IF('ORDENES'!$A429="","",IF('ORDENES'!$AD429="","-",'ORDENES'!$AD429))</f>
        <v/>
      </c>
      <c r="D451" s="3">
        <f>IF('ORDENES'!$A429="","",IF('ORDENES'!$W429="","-",'ORDENES'!$W429))</f>
        <v/>
      </c>
      <c r="E451" s="3">
        <f>IF('ORDENES'!$A429="","",IF('ORDENES'!$V429="","-",'ORDENES'!$V429))</f>
        <v/>
      </c>
      <c r="F451" s="3">
        <f>IF('ORDENES'!$A429="","",IF('ORDENES'!$X429="","-",'ORDENES'!$X429))</f>
        <v/>
      </c>
      <c r="G451" s="3">
        <f>IF('ORDENES'!$A429="","",IF('ORDENES'!$AC429="","-",'ORDENES'!$AC429))</f>
        <v/>
      </c>
      <c r="H451" s="3">
        <f>IF('ORDENES'!$A429="","",IF('ORDENES'!$AO429="","-",'ORDENES'!$AO429))</f>
        <v/>
      </c>
      <c r="I451" s="3">
        <f>IF('ORDENES'!$A429="","",IF('ORDENES'!$D429="","-",'ORDENES'!$D429))</f>
        <v/>
      </c>
      <c r="J451" s="3">
        <f>IF('ORDENES'!$A429="","",IF('ORDENES'!$E429="","-",'ORDENES'!$E429))</f>
        <v/>
      </c>
      <c r="K451" s="12">
        <f>IF('ORDENES'!$A429="","",IF('ORDENES'!$N429="",0,'ORDENES'!$N429))</f>
        <v/>
      </c>
      <c r="L451" s="3">
        <f>IF('ORDENES'!$A429="","",IF('ORDENES'!$O429="","-",'ORDENES'!$O429))</f>
        <v/>
      </c>
      <c r="M451" s="3">
        <f>IF('ORDENES'!$A429="","",'ORDENES'!$AB429)</f>
        <v/>
      </c>
    </row>
    <row r="452">
      <c r="A452" s="3">
        <f>IF('ORDENES'!$A430="","",IF('ORDENES'!$P430="","-",'ORDENES'!$P430))</f>
        <v/>
      </c>
      <c r="B452" s="3">
        <f>IF('ORDENES'!$A430="","",IF('ORDENES'!$S430="","-",'ORDENES'!$S430))</f>
        <v/>
      </c>
      <c r="C452" s="3">
        <f>IF('ORDENES'!$A430="","",IF('ORDENES'!$AD430="","-",'ORDENES'!$AD430))</f>
        <v/>
      </c>
      <c r="D452" s="3">
        <f>IF('ORDENES'!$A430="","",IF('ORDENES'!$W430="","-",'ORDENES'!$W430))</f>
        <v/>
      </c>
      <c r="E452" s="3">
        <f>IF('ORDENES'!$A430="","",IF('ORDENES'!$V430="","-",'ORDENES'!$V430))</f>
        <v/>
      </c>
      <c r="F452" s="3">
        <f>IF('ORDENES'!$A430="","",IF('ORDENES'!$X430="","-",'ORDENES'!$X430))</f>
        <v/>
      </c>
      <c r="G452" s="3">
        <f>IF('ORDENES'!$A430="","",IF('ORDENES'!$AC430="","-",'ORDENES'!$AC430))</f>
        <v/>
      </c>
      <c r="H452" s="3">
        <f>IF('ORDENES'!$A430="","",IF('ORDENES'!$AO430="","-",'ORDENES'!$AO430))</f>
        <v/>
      </c>
      <c r="I452" s="3">
        <f>IF('ORDENES'!$A430="","",IF('ORDENES'!$D430="","-",'ORDENES'!$D430))</f>
        <v/>
      </c>
      <c r="J452" s="3">
        <f>IF('ORDENES'!$A430="","",IF('ORDENES'!$E430="","-",'ORDENES'!$E430))</f>
        <v/>
      </c>
      <c r="K452" s="12">
        <f>IF('ORDENES'!$A430="","",IF('ORDENES'!$N430="",0,'ORDENES'!$N430))</f>
        <v/>
      </c>
      <c r="L452" s="3">
        <f>IF('ORDENES'!$A430="","",IF('ORDENES'!$O430="","-",'ORDENES'!$O430))</f>
        <v/>
      </c>
      <c r="M452" s="3">
        <f>IF('ORDENES'!$A430="","",'ORDENES'!$AB430)</f>
        <v/>
      </c>
    </row>
    <row r="453">
      <c r="A453" s="3">
        <f>IF('ORDENES'!$A431="","",IF('ORDENES'!$P431="","-",'ORDENES'!$P431))</f>
        <v/>
      </c>
      <c r="B453" s="3">
        <f>IF('ORDENES'!$A431="","",IF('ORDENES'!$S431="","-",'ORDENES'!$S431))</f>
        <v/>
      </c>
      <c r="C453" s="3">
        <f>IF('ORDENES'!$A431="","",IF('ORDENES'!$AD431="","-",'ORDENES'!$AD431))</f>
        <v/>
      </c>
      <c r="D453" s="3">
        <f>IF('ORDENES'!$A431="","",IF('ORDENES'!$W431="","-",'ORDENES'!$W431))</f>
        <v/>
      </c>
      <c r="E453" s="3">
        <f>IF('ORDENES'!$A431="","",IF('ORDENES'!$V431="","-",'ORDENES'!$V431))</f>
        <v/>
      </c>
      <c r="F453" s="3">
        <f>IF('ORDENES'!$A431="","",IF('ORDENES'!$X431="","-",'ORDENES'!$X431))</f>
        <v/>
      </c>
      <c r="G453" s="3">
        <f>IF('ORDENES'!$A431="","",IF('ORDENES'!$AC431="","-",'ORDENES'!$AC431))</f>
        <v/>
      </c>
      <c r="H453" s="3">
        <f>IF('ORDENES'!$A431="","",IF('ORDENES'!$AO431="","-",'ORDENES'!$AO431))</f>
        <v/>
      </c>
      <c r="I453" s="3">
        <f>IF('ORDENES'!$A431="","",IF('ORDENES'!$D431="","-",'ORDENES'!$D431))</f>
        <v/>
      </c>
      <c r="J453" s="3">
        <f>IF('ORDENES'!$A431="","",IF('ORDENES'!$E431="","-",'ORDENES'!$E431))</f>
        <v/>
      </c>
      <c r="K453" s="12">
        <f>IF('ORDENES'!$A431="","",IF('ORDENES'!$N431="",0,'ORDENES'!$N431))</f>
        <v/>
      </c>
      <c r="L453" s="3">
        <f>IF('ORDENES'!$A431="","",IF('ORDENES'!$O431="","-",'ORDENES'!$O431))</f>
        <v/>
      </c>
      <c r="M453" s="3">
        <f>IF('ORDENES'!$A431="","",'ORDENES'!$AB431)</f>
        <v/>
      </c>
    </row>
    <row r="454">
      <c r="A454" s="3">
        <f>IF('ORDENES'!$A432="","",IF('ORDENES'!$P432="","-",'ORDENES'!$P432))</f>
        <v/>
      </c>
      <c r="B454" s="3">
        <f>IF('ORDENES'!$A432="","",IF('ORDENES'!$S432="","-",'ORDENES'!$S432))</f>
        <v/>
      </c>
      <c r="C454" s="3">
        <f>IF('ORDENES'!$A432="","",IF('ORDENES'!$AD432="","-",'ORDENES'!$AD432))</f>
        <v/>
      </c>
      <c r="D454" s="3">
        <f>IF('ORDENES'!$A432="","",IF('ORDENES'!$W432="","-",'ORDENES'!$W432))</f>
        <v/>
      </c>
      <c r="E454" s="3">
        <f>IF('ORDENES'!$A432="","",IF('ORDENES'!$V432="","-",'ORDENES'!$V432))</f>
        <v/>
      </c>
      <c r="F454" s="3">
        <f>IF('ORDENES'!$A432="","",IF('ORDENES'!$X432="","-",'ORDENES'!$X432))</f>
        <v/>
      </c>
      <c r="G454" s="3">
        <f>IF('ORDENES'!$A432="","",IF('ORDENES'!$AC432="","-",'ORDENES'!$AC432))</f>
        <v/>
      </c>
      <c r="H454" s="3">
        <f>IF('ORDENES'!$A432="","",IF('ORDENES'!$AO432="","-",'ORDENES'!$AO432))</f>
        <v/>
      </c>
      <c r="I454" s="3">
        <f>IF('ORDENES'!$A432="","",IF('ORDENES'!$D432="","-",'ORDENES'!$D432))</f>
        <v/>
      </c>
      <c r="J454" s="3">
        <f>IF('ORDENES'!$A432="","",IF('ORDENES'!$E432="","-",'ORDENES'!$E432))</f>
        <v/>
      </c>
      <c r="K454" s="12">
        <f>IF('ORDENES'!$A432="","",IF('ORDENES'!$N432="",0,'ORDENES'!$N432))</f>
        <v/>
      </c>
      <c r="L454" s="3">
        <f>IF('ORDENES'!$A432="","",IF('ORDENES'!$O432="","-",'ORDENES'!$O432))</f>
        <v/>
      </c>
      <c r="M454" s="3">
        <f>IF('ORDENES'!$A432="","",'ORDENES'!$AB432)</f>
        <v/>
      </c>
    </row>
    <row r="455">
      <c r="A455" s="3">
        <f>IF('ORDENES'!$A433="","",IF('ORDENES'!$P433="","-",'ORDENES'!$P433))</f>
        <v/>
      </c>
      <c r="B455" s="3">
        <f>IF('ORDENES'!$A433="","",IF('ORDENES'!$S433="","-",'ORDENES'!$S433))</f>
        <v/>
      </c>
      <c r="C455" s="3">
        <f>IF('ORDENES'!$A433="","",IF('ORDENES'!$AD433="","-",'ORDENES'!$AD433))</f>
        <v/>
      </c>
      <c r="D455" s="3">
        <f>IF('ORDENES'!$A433="","",IF('ORDENES'!$W433="","-",'ORDENES'!$W433))</f>
        <v/>
      </c>
      <c r="E455" s="3">
        <f>IF('ORDENES'!$A433="","",IF('ORDENES'!$V433="","-",'ORDENES'!$V433))</f>
        <v/>
      </c>
      <c r="F455" s="3">
        <f>IF('ORDENES'!$A433="","",IF('ORDENES'!$X433="","-",'ORDENES'!$X433))</f>
        <v/>
      </c>
      <c r="G455" s="3">
        <f>IF('ORDENES'!$A433="","",IF('ORDENES'!$AC433="","-",'ORDENES'!$AC433))</f>
        <v/>
      </c>
      <c r="H455" s="3">
        <f>IF('ORDENES'!$A433="","",IF('ORDENES'!$AO433="","-",'ORDENES'!$AO433))</f>
        <v/>
      </c>
      <c r="I455" s="3">
        <f>IF('ORDENES'!$A433="","",IF('ORDENES'!$D433="","-",'ORDENES'!$D433))</f>
        <v/>
      </c>
      <c r="J455" s="3">
        <f>IF('ORDENES'!$A433="","",IF('ORDENES'!$E433="","-",'ORDENES'!$E433))</f>
        <v/>
      </c>
      <c r="K455" s="12">
        <f>IF('ORDENES'!$A433="","",IF('ORDENES'!$N433="",0,'ORDENES'!$N433))</f>
        <v/>
      </c>
      <c r="L455" s="3">
        <f>IF('ORDENES'!$A433="","",IF('ORDENES'!$O433="","-",'ORDENES'!$O433))</f>
        <v/>
      </c>
      <c r="M455" s="3">
        <f>IF('ORDENES'!$A433="","",'ORDENES'!$AB433)</f>
        <v/>
      </c>
    </row>
    <row r="456">
      <c r="A456" s="3">
        <f>IF('ORDENES'!$A434="","",IF('ORDENES'!$P434="","-",'ORDENES'!$P434))</f>
        <v/>
      </c>
      <c r="B456" s="3">
        <f>IF('ORDENES'!$A434="","",IF('ORDENES'!$S434="","-",'ORDENES'!$S434))</f>
        <v/>
      </c>
      <c r="C456" s="3">
        <f>IF('ORDENES'!$A434="","",IF('ORDENES'!$AD434="","-",'ORDENES'!$AD434))</f>
        <v/>
      </c>
      <c r="D456" s="3">
        <f>IF('ORDENES'!$A434="","",IF('ORDENES'!$W434="","-",'ORDENES'!$W434))</f>
        <v/>
      </c>
      <c r="E456" s="3">
        <f>IF('ORDENES'!$A434="","",IF('ORDENES'!$V434="","-",'ORDENES'!$V434))</f>
        <v/>
      </c>
      <c r="F456" s="3">
        <f>IF('ORDENES'!$A434="","",IF('ORDENES'!$X434="","-",'ORDENES'!$X434))</f>
        <v/>
      </c>
      <c r="G456" s="3">
        <f>IF('ORDENES'!$A434="","",IF('ORDENES'!$AC434="","-",'ORDENES'!$AC434))</f>
        <v/>
      </c>
      <c r="H456" s="3">
        <f>IF('ORDENES'!$A434="","",IF('ORDENES'!$AO434="","-",'ORDENES'!$AO434))</f>
        <v/>
      </c>
      <c r="I456" s="3">
        <f>IF('ORDENES'!$A434="","",IF('ORDENES'!$D434="","-",'ORDENES'!$D434))</f>
        <v/>
      </c>
      <c r="J456" s="3">
        <f>IF('ORDENES'!$A434="","",IF('ORDENES'!$E434="","-",'ORDENES'!$E434))</f>
        <v/>
      </c>
      <c r="K456" s="12">
        <f>IF('ORDENES'!$A434="","",IF('ORDENES'!$N434="",0,'ORDENES'!$N434))</f>
        <v/>
      </c>
      <c r="L456" s="3">
        <f>IF('ORDENES'!$A434="","",IF('ORDENES'!$O434="","-",'ORDENES'!$O434))</f>
        <v/>
      </c>
      <c r="M456" s="3">
        <f>IF('ORDENES'!$A434="","",'ORDENES'!$AB434)</f>
        <v/>
      </c>
    </row>
    <row r="457">
      <c r="A457" s="3">
        <f>IF('ORDENES'!$A435="","",IF('ORDENES'!$P435="","-",'ORDENES'!$P435))</f>
        <v/>
      </c>
      <c r="B457" s="3">
        <f>IF('ORDENES'!$A435="","",IF('ORDENES'!$S435="","-",'ORDENES'!$S435))</f>
        <v/>
      </c>
      <c r="C457" s="3">
        <f>IF('ORDENES'!$A435="","",IF('ORDENES'!$AD435="","-",'ORDENES'!$AD435))</f>
        <v/>
      </c>
      <c r="D457" s="3">
        <f>IF('ORDENES'!$A435="","",IF('ORDENES'!$W435="","-",'ORDENES'!$W435))</f>
        <v/>
      </c>
      <c r="E457" s="3">
        <f>IF('ORDENES'!$A435="","",IF('ORDENES'!$V435="","-",'ORDENES'!$V435))</f>
        <v/>
      </c>
      <c r="F457" s="3">
        <f>IF('ORDENES'!$A435="","",IF('ORDENES'!$X435="","-",'ORDENES'!$X435))</f>
        <v/>
      </c>
      <c r="G457" s="3">
        <f>IF('ORDENES'!$A435="","",IF('ORDENES'!$AC435="","-",'ORDENES'!$AC435))</f>
        <v/>
      </c>
      <c r="H457" s="3">
        <f>IF('ORDENES'!$A435="","",IF('ORDENES'!$AO435="","-",'ORDENES'!$AO435))</f>
        <v/>
      </c>
      <c r="I457" s="3">
        <f>IF('ORDENES'!$A435="","",IF('ORDENES'!$D435="","-",'ORDENES'!$D435))</f>
        <v/>
      </c>
      <c r="J457" s="3">
        <f>IF('ORDENES'!$A435="","",IF('ORDENES'!$E435="","-",'ORDENES'!$E435))</f>
        <v/>
      </c>
      <c r="K457" s="12">
        <f>IF('ORDENES'!$A435="","",IF('ORDENES'!$N435="",0,'ORDENES'!$N435))</f>
        <v/>
      </c>
      <c r="L457" s="3">
        <f>IF('ORDENES'!$A435="","",IF('ORDENES'!$O435="","-",'ORDENES'!$O435))</f>
        <v/>
      </c>
      <c r="M457" s="3">
        <f>IF('ORDENES'!$A435="","",'ORDENES'!$AB435)</f>
        <v/>
      </c>
    </row>
    <row r="458">
      <c r="A458" s="3">
        <f>IF('ORDENES'!$A436="","",IF('ORDENES'!$P436="","-",'ORDENES'!$P436))</f>
        <v/>
      </c>
      <c r="B458" s="3">
        <f>IF('ORDENES'!$A436="","",IF('ORDENES'!$S436="","-",'ORDENES'!$S436))</f>
        <v/>
      </c>
      <c r="C458" s="3">
        <f>IF('ORDENES'!$A436="","",IF('ORDENES'!$AD436="","-",'ORDENES'!$AD436))</f>
        <v/>
      </c>
      <c r="D458" s="3">
        <f>IF('ORDENES'!$A436="","",IF('ORDENES'!$W436="","-",'ORDENES'!$W436))</f>
        <v/>
      </c>
      <c r="E458" s="3">
        <f>IF('ORDENES'!$A436="","",IF('ORDENES'!$V436="","-",'ORDENES'!$V436))</f>
        <v/>
      </c>
      <c r="F458" s="3">
        <f>IF('ORDENES'!$A436="","",IF('ORDENES'!$X436="","-",'ORDENES'!$X436))</f>
        <v/>
      </c>
      <c r="G458" s="3">
        <f>IF('ORDENES'!$A436="","",IF('ORDENES'!$AC436="","-",'ORDENES'!$AC436))</f>
        <v/>
      </c>
      <c r="H458" s="3">
        <f>IF('ORDENES'!$A436="","",IF('ORDENES'!$AO436="","-",'ORDENES'!$AO436))</f>
        <v/>
      </c>
      <c r="I458" s="3">
        <f>IF('ORDENES'!$A436="","",IF('ORDENES'!$D436="","-",'ORDENES'!$D436))</f>
        <v/>
      </c>
      <c r="J458" s="3">
        <f>IF('ORDENES'!$A436="","",IF('ORDENES'!$E436="","-",'ORDENES'!$E436))</f>
        <v/>
      </c>
      <c r="K458" s="12">
        <f>IF('ORDENES'!$A436="","",IF('ORDENES'!$N436="",0,'ORDENES'!$N436))</f>
        <v/>
      </c>
      <c r="L458" s="3">
        <f>IF('ORDENES'!$A436="","",IF('ORDENES'!$O436="","-",'ORDENES'!$O436))</f>
        <v/>
      </c>
      <c r="M458" s="3">
        <f>IF('ORDENES'!$A436="","",'ORDENES'!$AB436)</f>
        <v/>
      </c>
    </row>
    <row r="459">
      <c r="A459" s="3">
        <f>IF('ORDENES'!$A437="","",IF('ORDENES'!$P437="","-",'ORDENES'!$P437))</f>
        <v/>
      </c>
      <c r="B459" s="3">
        <f>IF('ORDENES'!$A437="","",IF('ORDENES'!$S437="","-",'ORDENES'!$S437))</f>
        <v/>
      </c>
      <c r="C459" s="3">
        <f>IF('ORDENES'!$A437="","",IF('ORDENES'!$AD437="","-",'ORDENES'!$AD437))</f>
        <v/>
      </c>
      <c r="D459" s="3">
        <f>IF('ORDENES'!$A437="","",IF('ORDENES'!$W437="","-",'ORDENES'!$W437))</f>
        <v/>
      </c>
      <c r="E459" s="3">
        <f>IF('ORDENES'!$A437="","",IF('ORDENES'!$V437="","-",'ORDENES'!$V437))</f>
        <v/>
      </c>
      <c r="F459" s="3">
        <f>IF('ORDENES'!$A437="","",IF('ORDENES'!$X437="","-",'ORDENES'!$X437))</f>
        <v/>
      </c>
      <c r="G459" s="3">
        <f>IF('ORDENES'!$A437="","",IF('ORDENES'!$AC437="","-",'ORDENES'!$AC437))</f>
        <v/>
      </c>
      <c r="H459" s="3">
        <f>IF('ORDENES'!$A437="","",IF('ORDENES'!$AO437="","-",'ORDENES'!$AO437))</f>
        <v/>
      </c>
      <c r="I459" s="3">
        <f>IF('ORDENES'!$A437="","",IF('ORDENES'!$D437="","-",'ORDENES'!$D437))</f>
        <v/>
      </c>
      <c r="J459" s="3">
        <f>IF('ORDENES'!$A437="","",IF('ORDENES'!$E437="","-",'ORDENES'!$E437))</f>
        <v/>
      </c>
      <c r="K459" s="12">
        <f>IF('ORDENES'!$A437="","",IF('ORDENES'!$N437="",0,'ORDENES'!$N437))</f>
        <v/>
      </c>
      <c r="L459" s="3">
        <f>IF('ORDENES'!$A437="","",IF('ORDENES'!$O437="","-",'ORDENES'!$O437))</f>
        <v/>
      </c>
      <c r="M459" s="3">
        <f>IF('ORDENES'!$A437="","",'ORDENES'!$AB437)</f>
        <v/>
      </c>
    </row>
    <row r="460">
      <c r="A460" s="3">
        <f>IF('ORDENES'!$A438="","",IF('ORDENES'!$P438="","-",'ORDENES'!$P438))</f>
        <v/>
      </c>
      <c r="B460" s="3">
        <f>IF('ORDENES'!$A438="","",IF('ORDENES'!$S438="","-",'ORDENES'!$S438))</f>
        <v/>
      </c>
      <c r="C460" s="3">
        <f>IF('ORDENES'!$A438="","",IF('ORDENES'!$AD438="","-",'ORDENES'!$AD438))</f>
        <v/>
      </c>
      <c r="D460" s="3">
        <f>IF('ORDENES'!$A438="","",IF('ORDENES'!$W438="","-",'ORDENES'!$W438))</f>
        <v/>
      </c>
      <c r="E460" s="3">
        <f>IF('ORDENES'!$A438="","",IF('ORDENES'!$V438="","-",'ORDENES'!$V438))</f>
        <v/>
      </c>
      <c r="F460" s="3">
        <f>IF('ORDENES'!$A438="","",IF('ORDENES'!$X438="","-",'ORDENES'!$X438))</f>
        <v/>
      </c>
      <c r="G460" s="3">
        <f>IF('ORDENES'!$A438="","",IF('ORDENES'!$AC438="","-",'ORDENES'!$AC438))</f>
        <v/>
      </c>
      <c r="H460" s="3">
        <f>IF('ORDENES'!$A438="","",IF('ORDENES'!$AO438="","-",'ORDENES'!$AO438))</f>
        <v/>
      </c>
      <c r="I460" s="3">
        <f>IF('ORDENES'!$A438="","",IF('ORDENES'!$D438="","-",'ORDENES'!$D438))</f>
        <v/>
      </c>
      <c r="J460" s="3">
        <f>IF('ORDENES'!$A438="","",IF('ORDENES'!$E438="","-",'ORDENES'!$E438))</f>
        <v/>
      </c>
      <c r="K460" s="12">
        <f>IF('ORDENES'!$A438="","",IF('ORDENES'!$N438="",0,'ORDENES'!$N438))</f>
        <v/>
      </c>
      <c r="L460" s="3">
        <f>IF('ORDENES'!$A438="","",IF('ORDENES'!$O438="","-",'ORDENES'!$O438))</f>
        <v/>
      </c>
      <c r="M460" s="3">
        <f>IF('ORDENES'!$A438="","",'ORDENES'!$AB438)</f>
        <v/>
      </c>
    </row>
    <row r="461">
      <c r="A461" s="3">
        <f>IF('ORDENES'!$A439="","",IF('ORDENES'!$P439="","-",'ORDENES'!$P439))</f>
        <v/>
      </c>
      <c r="B461" s="3">
        <f>IF('ORDENES'!$A439="","",IF('ORDENES'!$S439="","-",'ORDENES'!$S439))</f>
        <v/>
      </c>
      <c r="C461" s="3">
        <f>IF('ORDENES'!$A439="","",IF('ORDENES'!$AD439="","-",'ORDENES'!$AD439))</f>
        <v/>
      </c>
      <c r="D461" s="3">
        <f>IF('ORDENES'!$A439="","",IF('ORDENES'!$W439="","-",'ORDENES'!$W439))</f>
        <v/>
      </c>
      <c r="E461" s="3">
        <f>IF('ORDENES'!$A439="","",IF('ORDENES'!$V439="","-",'ORDENES'!$V439))</f>
        <v/>
      </c>
      <c r="F461" s="3">
        <f>IF('ORDENES'!$A439="","",IF('ORDENES'!$X439="","-",'ORDENES'!$X439))</f>
        <v/>
      </c>
      <c r="G461" s="3">
        <f>IF('ORDENES'!$A439="","",IF('ORDENES'!$AC439="","-",'ORDENES'!$AC439))</f>
        <v/>
      </c>
      <c r="H461" s="3">
        <f>IF('ORDENES'!$A439="","",IF('ORDENES'!$AO439="","-",'ORDENES'!$AO439))</f>
        <v/>
      </c>
      <c r="I461" s="3">
        <f>IF('ORDENES'!$A439="","",IF('ORDENES'!$D439="","-",'ORDENES'!$D439))</f>
        <v/>
      </c>
      <c r="J461" s="3">
        <f>IF('ORDENES'!$A439="","",IF('ORDENES'!$E439="","-",'ORDENES'!$E439))</f>
        <v/>
      </c>
      <c r="K461" s="12">
        <f>IF('ORDENES'!$A439="","",IF('ORDENES'!$N439="",0,'ORDENES'!$N439))</f>
        <v/>
      </c>
      <c r="L461" s="3">
        <f>IF('ORDENES'!$A439="","",IF('ORDENES'!$O439="","-",'ORDENES'!$O439))</f>
        <v/>
      </c>
      <c r="M461" s="3">
        <f>IF('ORDENES'!$A439="","",'ORDENES'!$AB439)</f>
        <v/>
      </c>
    </row>
    <row r="462">
      <c r="A462" s="3">
        <f>IF('ORDENES'!$A440="","",IF('ORDENES'!$P440="","-",'ORDENES'!$P440))</f>
        <v/>
      </c>
      <c r="B462" s="3">
        <f>IF('ORDENES'!$A440="","",IF('ORDENES'!$S440="","-",'ORDENES'!$S440))</f>
        <v/>
      </c>
      <c r="C462" s="3">
        <f>IF('ORDENES'!$A440="","",IF('ORDENES'!$AD440="","-",'ORDENES'!$AD440))</f>
        <v/>
      </c>
      <c r="D462" s="3">
        <f>IF('ORDENES'!$A440="","",IF('ORDENES'!$W440="","-",'ORDENES'!$W440))</f>
        <v/>
      </c>
      <c r="E462" s="3">
        <f>IF('ORDENES'!$A440="","",IF('ORDENES'!$V440="","-",'ORDENES'!$V440))</f>
        <v/>
      </c>
      <c r="F462" s="3">
        <f>IF('ORDENES'!$A440="","",IF('ORDENES'!$X440="","-",'ORDENES'!$X440))</f>
        <v/>
      </c>
      <c r="G462" s="3">
        <f>IF('ORDENES'!$A440="","",IF('ORDENES'!$AC440="","-",'ORDENES'!$AC440))</f>
        <v/>
      </c>
      <c r="H462" s="3">
        <f>IF('ORDENES'!$A440="","",IF('ORDENES'!$AO440="","-",'ORDENES'!$AO440))</f>
        <v/>
      </c>
      <c r="I462" s="3">
        <f>IF('ORDENES'!$A440="","",IF('ORDENES'!$D440="","-",'ORDENES'!$D440))</f>
        <v/>
      </c>
      <c r="J462" s="3">
        <f>IF('ORDENES'!$A440="","",IF('ORDENES'!$E440="","-",'ORDENES'!$E440))</f>
        <v/>
      </c>
      <c r="K462" s="12">
        <f>IF('ORDENES'!$A440="","",IF('ORDENES'!$N440="",0,'ORDENES'!$N440))</f>
        <v/>
      </c>
      <c r="L462" s="3">
        <f>IF('ORDENES'!$A440="","",IF('ORDENES'!$O440="","-",'ORDENES'!$O440))</f>
        <v/>
      </c>
      <c r="M462" s="3">
        <f>IF('ORDENES'!$A440="","",'ORDENES'!$AB440)</f>
        <v/>
      </c>
    </row>
    <row r="463">
      <c r="A463" s="3">
        <f>IF('ORDENES'!$A441="","",IF('ORDENES'!$P441="","-",'ORDENES'!$P441))</f>
        <v/>
      </c>
      <c r="B463" s="3">
        <f>IF('ORDENES'!$A441="","",IF('ORDENES'!$S441="","-",'ORDENES'!$S441))</f>
        <v/>
      </c>
      <c r="C463" s="3">
        <f>IF('ORDENES'!$A441="","",IF('ORDENES'!$AD441="","-",'ORDENES'!$AD441))</f>
        <v/>
      </c>
      <c r="D463" s="3">
        <f>IF('ORDENES'!$A441="","",IF('ORDENES'!$W441="","-",'ORDENES'!$W441))</f>
        <v/>
      </c>
      <c r="E463" s="3">
        <f>IF('ORDENES'!$A441="","",IF('ORDENES'!$V441="","-",'ORDENES'!$V441))</f>
        <v/>
      </c>
      <c r="F463" s="3">
        <f>IF('ORDENES'!$A441="","",IF('ORDENES'!$X441="","-",'ORDENES'!$X441))</f>
        <v/>
      </c>
      <c r="G463" s="3">
        <f>IF('ORDENES'!$A441="","",IF('ORDENES'!$AC441="","-",'ORDENES'!$AC441))</f>
        <v/>
      </c>
      <c r="H463" s="3">
        <f>IF('ORDENES'!$A441="","",IF('ORDENES'!$AO441="","-",'ORDENES'!$AO441))</f>
        <v/>
      </c>
      <c r="I463" s="3">
        <f>IF('ORDENES'!$A441="","",IF('ORDENES'!$D441="","-",'ORDENES'!$D441))</f>
        <v/>
      </c>
      <c r="J463" s="3">
        <f>IF('ORDENES'!$A441="","",IF('ORDENES'!$E441="","-",'ORDENES'!$E441))</f>
        <v/>
      </c>
      <c r="K463" s="12">
        <f>IF('ORDENES'!$A441="","",IF('ORDENES'!$N441="",0,'ORDENES'!$N441))</f>
        <v/>
      </c>
      <c r="L463" s="3">
        <f>IF('ORDENES'!$A441="","",IF('ORDENES'!$O441="","-",'ORDENES'!$O441))</f>
        <v/>
      </c>
      <c r="M463" s="3">
        <f>IF('ORDENES'!$A441="","",'ORDENES'!$AB441)</f>
        <v/>
      </c>
    </row>
    <row r="464">
      <c r="A464" s="3">
        <f>IF('ORDENES'!$A442="","",IF('ORDENES'!$P442="","-",'ORDENES'!$P442))</f>
        <v/>
      </c>
      <c r="B464" s="3">
        <f>IF('ORDENES'!$A442="","",IF('ORDENES'!$S442="","-",'ORDENES'!$S442))</f>
        <v/>
      </c>
      <c r="C464" s="3">
        <f>IF('ORDENES'!$A442="","",IF('ORDENES'!$AD442="","-",'ORDENES'!$AD442))</f>
        <v/>
      </c>
      <c r="D464" s="3">
        <f>IF('ORDENES'!$A442="","",IF('ORDENES'!$W442="","-",'ORDENES'!$W442))</f>
        <v/>
      </c>
      <c r="E464" s="3">
        <f>IF('ORDENES'!$A442="","",IF('ORDENES'!$V442="","-",'ORDENES'!$V442))</f>
        <v/>
      </c>
      <c r="F464" s="3">
        <f>IF('ORDENES'!$A442="","",IF('ORDENES'!$X442="","-",'ORDENES'!$X442))</f>
        <v/>
      </c>
      <c r="G464" s="3">
        <f>IF('ORDENES'!$A442="","",IF('ORDENES'!$AC442="","-",'ORDENES'!$AC442))</f>
        <v/>
      </c>
      <c r="H464" s="3">
        <f>IF('ORDENES'!$A442="","",IF('ORDENES'!$AO442="","-",'ORDENES'!$AO442))</f>
        <v/>
      </c>
      <c r="I464" s="3">
        <f>IF('ORDENES'!$A442="","",IF('ORDENES'!$D442="","-",'ORDENES'!$D442))</f>
        <v/>
      </c>
      <c r="J464" s="3">
        <f>IF('ORDENES'!$A442="","",IF('ORDENES'!$E442="","-",'ORDENES'!$E442))</f>
        <v/>
      </c>
      <c r="K464" s="12">
        <f>IF('ORDENES'!$A442="","",IF('ORDENES'!$N442="",0,'ORDENES'!$N442))</f>
        <v/>
      </c>
      <c r="L464" s="3">
        <f>IF('ORDENES'!$A442="","",IF('ORDENES'!$O442="","-",'ORDENES'!$O442))</f>
        <v/>
      </c>
      <c r="M464" s="3">
        <f>IF('ORDENES'!$A442="","",'ORDENES'!$AB442)</f>
        <v/>
      </c>
    </row>
    <row r="465">
      <c r="A465" s="3">
        <f>IF('ORDENES'!$A443="","",IF('ORDENES'!$P443="","-",'ORDENES'!$P443))</f>
        <v/>
      </c>
      <c r="B465" s="3">
        <f>IF('ORDENES'!$A443="","",IF('ORDENES'!$S443="","-",'ORDENES'!$S443))</f>
        <v/>
      </c>
      <c r="C465" s="3">
        <f>IF('ORDENES'!$A443="","",IF('ORDENES'!$AD443="","-",'ORDENES'!$AD443))</f>
        <v/>
      </c>
      <c r="D465" s="3">
        <f>IF('ORDENES'!$A443="","",IF('ORDENES'!$W443="","-",'ORDENES'!$W443))</f>
        <v/>
      </c>
      <c r="E465" s="3">
        <f>IF('ORDENES'!$A443="","",IF('ORDENES'!$V443="","-",'ORDENES'!$V443))</f>
        <v/>
      </c>
      <c r="F465" s="3">
        <f>IF('ORDENES'!$A443="","",IF('ORDENES'!$X443="","-",'ORDENES'!$X443))</f>
        <v/>
      </c>
      <c r="G465" s="3">
        <f>IF('ORDENES'!$A443="","",IF('ORDENES'!$AC443="","-",'ORDENES'!$AC443))</f>
        <v/>
      </c>
      <c r="H465" s="3">
        <f>IF('ORDENES'!$A443="","",IF('ORDENES'!$AO443="","-",'ORDENES'!$AO443))</f>
        <v/>
      </c>
      <c r="I465" s="3">
        <f>IF('ORDENES'!$A443="","",IF('ORDENES'!$D443="","-",'ORDENES'!$D443))</f>
        <v/>
      </c>
      <c r="J465" s="3">
        <f>IF('ORDENES'!$A443="","",IF('ORDENES'!$E443="","-",'ORDENES'!$E443))</f>
        <v/>
      </c>
      <c r="K465" s="12">
        <f>IF('ORDENES'!$A443="","",IF('ORDENES'!$N443="",0,'ORDENES'!$N443))</f>
        <v/>
      </c>
      <c r="L465" s="3">
        <f>IF('ORDENES'!$A443="","",IF('ORDENES'!$O443="","-",'ORDENES'!$O443))</f>
        <v/>
      </c>
      <c r="M465" s="3">
        <f>IF('ORDENES'!$A443="","",'ORDENES'!$AB443)</f>
        <v/>
      </c>
    </row>
    <row r="466">
      <c r="A466" s="3">
        <f>IF('ORDENES'!$A444="","",IF('ORDENES'!$P444="","-",'ORDENES'!$P444))</f>
        <v/>
      </c>
      <c r="B466" s="3">
        <f>IF('ORDENES'!$A444="","",IF('ORDENES'!$S444="","-",'ORDENES'!$S444))</f>
        <v/>
      </c>
      <c r="C466" s="3">
        <f>IF('ORDENES'!$A444="","",IF('ORDENES'!$AD444="","-",'ORDENES'!$AD444))</f>
        <v/>
      </c>
      <c r="D466" s="3">
        <f>IF('ORDENES'!$A444="","",IF('ORDENES'!$W444="","-",'ORDENES'!$W444))</f>
        <v/>
      </c>
      <c r="E466" s="3">
        <f>IF('ORDENES'!$A444="","",IF('ORDENES'!$V444="","-",'ORDENES'!$V444))</f>
        <v/>
      </c>
      <c r="F466" s="3">
        <f>IF('ORDENES'!$A444="","",IF('ORDENES'!$X444="","-",'ORDENES'!$X444))</f>
        <v/>
      </c>
      <c r="G466" s="3">
        <f>IF('ORDENES'!$A444="","",IF('ORDENES'!$AC444="","-",'ORDENES'!$AC444))</f>
        <v/>
      </c>
      <c r="H466" s="3">
        <f>IF('ORDENES'!$A444="","",IF('ORDENES'!$AO444="","-",'ORDENES'!$AO444))</f>
        <v/>
      </c>
      <c r="I466" s="3">
        <f>IF('ORDENES'!$A444="","",IF('ORDENES'!$D444="","-",'ORDENES'!$D444))</f>
        <v/>
      </c>
      <c r="J466" s="3">
        <f>IF('ORDENES'!$A444="","",IF('ORDENES'!$E444="","-",'ORDENES'!$E444))</f>
        <v/>
      </c>
      <c r="K466" s="12">
        <f>IF('ORDENES'!$A444="","",IF('ORDENES'!$N444="",0,'ORDENES'!$N444))</f>
        <v/>
      </c>
      <c r="L466" s="3">
        <f>IF('ORDENES'!$A444="","",IF('ORDENES'!$O444="","-",'ORDENES'!$O444))</f>
        <v/>
      </c>
      <c r="M466" s="3">
        <f>IF('ORDENES'!$A444="","",'ORDENES'!$AB444)</f>
        <v/>
      </c>
    </row>
    <row r="467">
      <c r="A467" s="3">
        <f>IF('ORDENES'!$A445="","",IF('ORDENES'!$P445="","-",'ORDENES'!$P445))</f>
        <v/>
      </c>
      <c r="B467" s="3">
        <f>IF('ORDENES'!$A445="","",IF('ORDENES'!$S445="","-",'ORDENES'!$S445))</f>
        <v/>
      </c>
      <c r="C467" s="3">
        <f>IF('ORDENES'!$A445="","",IF('ORDENES'!$AD445="","-",'ORDENES'!$AD445))</f>
        <v/>
      </c>
      <c r="D467" s="3">
        <f>IF('ORDENES'!$A445="","",IF('ORDENES'!$W445="","-",'ORDENES'!$W445))</f>
        <v/>
      </c>
      <c r="E467" s="3">
        <f>IF('ORDENES'!$A445="","",IF('ORDENES'!$V445="","-",'ORDENES'!$V445))</f>
        <v/>
      </c>
      <c r="F467" s="3">
        <f>IF('ORDENES'!$A445="","",IF('ORDENES'!$X445="","-",'ORDENES'!$X445))</f>
        <v/>
      </c>
      <c r="G467" s="3">
        <f>IF('ORDENES'!$A445="","",IF('ORDENES'!$AC445="","-",'ORDENES'!$AC445))</f>
        <v/>
      </c>
      <c r="H467" s="3">
        <f>IF('ORDENES'!$A445="","",IF('ORDENES'!$AO445="","-",'ORDENES'!$AO445))</f>
        <v/>
      </c>
      <c r="I467" s="3">
        <f>IF('ORDENES'!$A445="","",IF('ORDENES'!$D445="","-",'ORDENES'!$D445))</f>
        <v/>
      </c>
      <c r="J467" s="3">
        <f>IF('ORDENES'!$A445="","",IF('ORDENES'!$E445="","-",'ORDENES'!$E445))</f>
        <v/>
      </c>
      <c r="K467" s="12">
        <f>IF('ORDENES'!$A445="","",IF('ORDENES'!$N445="",0,'ORDENES'!$N445))</f>
        <v/>
      </c>
      <c r="L467" s="3">
        <f>IF('ORDENES'!$A445="","",IF('ORDENES'!$O445="","-",'ORDENES'!$O445))</f>
        <v/>
      </c>
      <c r="M467" s="3">
        <f>IF('ORDENES'!$A445="","",'ORDENES'!$AB445)</f>
        <v/>
      </c>
    </row>
    <row r="468">
      <c r="A468" s="3">
        <f>IF('ORDENES'!$A446="","",IF('ORDENES'!$P446="","-",'ORDENES'!$P446))</f>
        <v/>
      </c>
      <c r="B468" s="3">
        <f>IF('ORDENES'!$A446="","",IF('ORDENES'!$S446="","-",'ORDENES'!$S446))</f>
        <v/>
      </c>
      <c r="C468" s="3">
        <f>IF('ORDENES'!$A446="","",IF('ORDENES'!$AD446="","-",'ORDENES'!$AD446))</f>
        <v/>
      </c>
      <c r="D468" s="3">
        <f>IF('ORDENES'!$A446="","",IF('ORDENES'!$W446="","-",'ORDENES'!$W446))</f>
        <v/>
      </c>
      <c r="E468" s="3">
        <f>IF('ORDENES'!$A446="","",IF('ORDENES'!$V446="","-",'ORDENES'!$V446))</f>
        <v/>
      </c>
      <c r="F468" s="3">
        <f>IF('ORDENES'!$A446="","",IF('ORDENES'!$X446="","-",'ORDENES'!$X446))</f>
        <v/>
      </c>
      <c r="G468" s="3">
        <f>IF('ORDENES'!$A446="","",IF('ORDENES'!$AC446="","-",'ORDENES'!$AC446))</f>
        <v/>
      </c>
      <c r="H468" s="3">
        <f>IF('ORDENES'!$A446="","",IF('ORDENES'!$AO446="","-",'ORDENES'!$AO446))</f>
        <v/>
      </c>
      <c r="I468" s="3">
        <f>IF('ORDENES'!$A446="","",IF('ORDENES'!$D446="","-",'ORDENES'!$D446))</f>
        <v/>
      </c>
      <c r="J468" s="3">
        <f>IF('ORDENES'!$A446="","",IF('ORDENES'!$E446="","-",'ORDENES'!$E446))</f>
        <v/>
      </c>
      <c r="K468" s="12">
        <f>IF('ORDENES'!$A446="","",IF('ORDENES'!$N446="",0,'ORDENES'!$N446))</f>
        <v/>
      </c>
      <c r="L468" s="3">
        <f>IF('ORDENES'!$A446="","",IF('ORDENES'!$O446="","-",'ORDENES'!$O446))</f>
        <v/>
      </c>
      <c r="M468" s="3">
        <f>IF('ORDENES'!$A446="","",'ORDENES'!$AB446)</f>
        <v/>
      </c>
    </row>
    <row r="469">
      <c r="A469" s="3">
        <f>IF('ORDENES'!$A447="","",IF('ORDENES'!$P447="","-",'ORDENES'!$P447))</f>
        <v/>
      </c>
      <c r="B469" s="3">
        <f>IF('ORDENES'!$A447="","",IF('ORDENES'!$S447="","-",'ORDENES'!$S447))</f>
        <v/>
      </c>
      <c r="C469" s="3">
        <f>IF('ORDENES'!$A447="","",IF('ORDENES'!$AD447="","-",'ORDENES'!$AD447))</f>
        <v/>
      </c>
      <c r="D469" s="3">
        <f>IF('ORDENES'!$A447="","",IF('ORDENES'!$W447="","-",'ORDENES'!$W447))</f>
        <v/>
      </c>
      <c r="E469" s="3">
        <f>IF('ORDENES'!$A447="","",IF('ORDENES'!$V447="","-",'ORDENES'!$V447))</f>
        <v/>
      </c>
      <c r="F469" s="3">
        <f>IF('ORDENES'!$A447="","",IF('ORDENES'!$X447="","-",'ORDENES'!$X447))</f>
        <v/>
      </c>
      <c r="G469" s="3">
        <f>IF('ORDENES'!$A447="","",IF('ORDENES'!$AC447="","-",'ORDENES'!$AC447))</f>
        <v/>
      </c>
      <c r="H469" s="3">
        <f>IF('ORDENES'!$A447="","",IF('ORDENES'!$AO447="","-",'ORDENES'!$AO447))</f>
        <v/>
      </c>
      <c r="I469" s="3">
        <f>IF('ORDENES'!$A447="","",IF('ORDENES'!$D447="","-",'ORDENES'!$D447))</f>
        <v/>
      </c>
      <c r="J469" s="3">
        <f>IF('ORDENES'!$A447="","",IF('ORDENES'!$E447="","-",'ORDENES'!$E447))</f>
        <v/>
      </c>
      <c r="K469" s="12">
        <f>IF('ORDENES'!$A447="","",IF('ORDENES'!$N447="",0,'ORDENES'!$N447))</f>
        <v/>
      </c>
      <c r="L469" s="3">
        <f>IF('ORDENES'!$A447="","",IF('ORDENES'!$O447="","-",'ORDENES'!$O447))</f>
        <v/>
      </c>
      <c r="M469" s="3">
        <f>IF('ORDENES'!$A447="","",'ORDENES'!$AB447)</f>
        <v/>
      </c>
    </row>
    <row r="470">
      <c r="A470" s="3">
        <f>IF('ORDENES'!$A448="","",IF('ORDENES'!$P448="","-",'ORDENES'!$P448))</f>
        <v/>
      </c>
      <c r="B470" s="3">
        <f>IF('ORDENES'!$A448="","",IF('ORDENES'!$S448="","-",'ORDENES'!$S448))</f>
        <v/>
      </c>
      <c r="C470" s="3">
        <f>IF('ORDENES'!$A448="","",IF('ORDENES'!$AD448="","-",'ORDENES'!$AD448))</f>
        <v/>
      </c>
      <c r="D470" s="3">
        <f>IF('ORDENES'!$A448="","",IF('ORDENES'!$W448="","-",'ORDENES'!$W448))</f>
        <v/>
      </c>
      <c r="E470" s="3">
        <f>IF('ORDENES'!$A448="","",IF('ORDENES'!$V448="","-",'ORDENES'!$V448))</f>
        <v/>
      </c>
      <c r="F470" s="3">
        <f>IF('ORDENES'!$A448="","",IF('ORDENES'!$X448="","-",'ORDENES'!$X448))</f>
        <v/>
      </c>
      <c r="G470" s="3">
        <f>IF('ORDENES'!$A448="","",IF('ORDENES'!$AC448="","-",'ORDENES'!$AC448))</f>
        <v/>
      </c>
      <c r="H470" s="3">
        <f>IF('ORDENES'!$A448="","",IF('ORDENES'!$AO448="","-",'ORDENES'!$AO448))</f>
        <v/>
      </c>
      <c r="I470" s="3">
        <f>IF('ORDENES'!$A448="","",IF('ORDENES'!$D448="","-",'ORDENES'!$D448))</f>
        <v/>
      </c>
      <c r="J470" s="3">
        <f>IF('ORDENES'!$A448="","",IF('ORDENES'!$E448="","-",'ORDENES'!$E448))</f>
        <v/>
      </c>
      <c r="K470" s="12">
        <f>IF('ORDENES'!$A448="","",IF('ORDENES'!$N448="",0,'ORDENES'!$N448))</f>
        <v/>
      </c>
      <c r="L470" s="3">
        <f>IF('ORDENES'!$A448="","",IF('ORDENES'!$O448="","-",'ORDENES'!$O448))</f>
        <v/>
      </c>
      <c r="M470" s="3">
        <f>IF('ORDENES'!$A448="","",'ORDENES'!$AB448)</f>
        <v/>
      </c>
    </row>
    <row r="471">
      <c r="A471" s="3">
        <f>IF('ORDENES'!$A449="","",IF('ORDENES'!$P449="","-",'ORDENES'!$P449))</f>
        <v/>
      </c>
      <c r="B471" s="3">
        <f>IF('ORDENES'!$A449="","",IF('ORDENES'!$S449="","-",'ORDENES'!$S449))</f>
        <v/>
      </c>
      <c r="C471" s="3">
        <f>IF('ORDENES'!$A449="","",IF('ORDENES'!$AD449="","-",'ORDENES'!$AD449))</f>
        <v/>
      </c>
      <c r="D471" s="3">
        <f>IF('ORDENES'!$A449="","",IF('ORDENES'!$W449="","-",'ORDENES'!$W449))</f>
        <v/>
      </c>
      <c r="E471" s="3">
        <f>IF('ORDENES'!$A449="","",IF('ORDENES'!$V449="","-",'ORDENES'!$V449))</f>
        <v/>
      </c>
      <c r="F471" s="3">
        <f>IF('ORDENES'!$A449="","",IF('ORDENES'!$X449="","-",'ORDENES'!$X449))</f>
        <v/>
      </c>
      <c r="G471" s="3">
        <f>IF('ORDENES'!$A449="","",IF('ORDENES'!$AC449="","-",'ORDENES'!$AC449))</f>
        <v/>
      </c>
      <c r="H471" s="3">
        <f>IF('ORDENES'!$A449="","",IF('ORDENES'!$AO449="","-",'ORDENES'!$AO449))</f>
        <v/>
      </c>
      <c r="I471" s="3">
        <f>IF('ORDENES'!$A449="","",IF('ORDENES'!$D449="","-",'ORDENES'!$D449))</f>
        <v/>
      </c>
      <c r="J471" s="3">
        <f>IF('ORDENES'!$A449="","",IF('ORDENES'!$E449="","-",'ORDENES'!$E449))</f>
        <v/>
      </c>
      <c r="K471" s="12">
        <f>IF('ORDENES'!$A449="","",IF('ORDENES'!$N449="",0,'ORDENES'!$N449))</f>
        <v/>
      </c>
      <c r="L471" s="3">
        <f>IF('ORDENES'!$A449="","",IF('ORDENES'!$O449="","-",'ORDENES'!$O449))</f>
        <v/>
      </c>
      <c r="M471" s="3">
        <f>IF('ORDENES'!$A449="","",'ORDENES'!$AB449)</f>
        <v/>
      </c>
    </row>
    <row r="472">
      <c r="A472" s="3">
        <f>IF('ORDENES'!$A450="","",IF('ORDENES'!$P450="","-",'ORDENES'!$P450))</f>
        <v/>
      </c>
      <c r="B472" s="3">
        <f>IF('ORDENES'!$A450="","",IF('ORDENES'!$S450="","-",'ORDENES'!$S450))</f>
        <v/>
      </c>
      <c r="C472" s="3">
        <f>IF('ORDENES'!$A450="","",IF('ORDENES'!$AD450="","-",'ORDENES'!$AD450))</f>
        <v/>
      </c>
      <c r="D472" s="3">
        <f>IF('ORDENES'!$A450="","",IF('ORDENES'!$W450="","-",'ORDENES'!$W450))</f>
        <v/>
      </c>
      <c r="E472" s="3">
        <f>IF('ORDENES'!$A450="","",IF('ORDENES'!$V450="","-",'ORDENES'!$V450))</f>
        <v/>
      </c>
      <c r="F472" s="3">
        <f>IF('ORDENES'!$A450="","",IF('ORDENES'!$X450="","-",'ORDENES'!$X450))</f>
        <v/>
      </c>
      <c r="G472" s="3">
        <f>IF('ORDENES'!$A450="","",IF('ORDENES'!$AC450="","-",'ORDENES'!$AC450))</f>
        <v/>
      </c>
      <c r="H472" s="3">
        <f>IF('ORDENES'!$A450="","",IF('ORDENES'!$AO450="","-",'ORDENES'!$AO450))</f>
        <v/>
      </c>
      <c r="I472" s="3">
        <f>IF('ORDENES'!$A450="","",IF('ORDENES'!$D450="","-",'ORDENES'!$D450))</f>
        <v/>
      </c>
      <c r="J472" s="3">
        <f>IF('ORDENES'!$A450="","",IF('ORDENES'!$E450="","-",'ORDENES'!$E450))</f>
        <v/>
      </c>
      <c r="K472" s="12">
        <f>IF('ORDENES'!$A450="","",IF('ORDENES'!$N450="",0,'ORDENES'!$N450))</f>
        <v/>
      </c>
      <c r="L472" s="3">
        <f>IF('ORDENES'!$A450="","",IF('ORDENES'!$O450="","-",'ORDENES'!$O450))</f>
        <v/>
      </c>
      <c r="M472" s="3">
        <f>IF('ORDENES'!$A450="","",'ORDENES'!$AB450)</f>
        <v/>
      </c>
    </row>
    <row r="473">
      <c r="A473" s="3">
        <f>IF('ORDENES'!$A451="","",IF('ORDENES'!$P451="","-",'ORDENES'!$P451))</f>
        <v/>
      </c>
      <c r="B473" s="3">
        <f>IF('ORDENES'!$A451="","",IF('ORDENES'!$S451="","-",'ORDENES'!$S451))</f>
        <v/>
      </c>
      <c r="C473" s="3">
        <f>IF('ORDENES'!$A451="","",IF('ORDENES'!$AD451="","-",'ORDENES'!$AD451))</f>
        <v/>
      </c>
      <c r="D473" s="3">
        <f>IF('ORDENES'!$A451="","",IF('ORDENES'!$W451="","-",'ORDENES'!$W451))</f>
        <v/>
      </c>
      <c r="E473" s="3">
        <f>IF('ORDENES'!$A451="","",IF('ORDENES'!$V451="","-",'ORDENES'!$V451))</f>
        <v/>
      </c>
      <c r="F473" s="3">
        <f>IF('ORDENES'!$A451="","",IF('ORDENES'!$X451="","-",'ORDENES'!$X451))</f>
        <v/>
      </c>
      <c r="G473" s="3">
        <f>IF('ORDENES'!$A451="","",IF('ORDENES'!$AC451="","-",'ORDENES'!$AC451))</f>
        <v/>
      </c>
      <c r="H473" s="3">
        <f>IF('ORDENES'!$A451="","",IF('ORDENES'!$AO451="","-",'ORDENES'!$AO451))</f>
        <v/>
      </c>
      <c r="I473" s="3">
        <f>IF('ORDENES'!$A451="","",IF('ORDENES'!$D451="","-",'ORDENES'!$D451))</f>
        <v/>
      </c>
      <c r="J473" s="3">
        <f>IF('ORDENES'!$A451="","",IF('ORDENES'!$E451="","-",'ORDENES'!$E451))</f>
        <v/>
      </c>
      <c r="K473" s="12">
        <f>IF('ORDENES'!$A451="","",IF('ORDENES'!$N451="",0,'ORDENES'!$N451))</f>
        <v/>
      </c>
      <c r="L473" s="3">
        <f>IF('ORDENES'!$A451="","",IF('ORDENES'!$O451="","-",'ORDENES'!$O451))</f>
        <v/>
      </c>
      <c r="M473" s="3">
        <f>IF('ORDENES'!$A451="","",'ORDENES'!$AB451)</f>
        <v/>
      </c>
    </row>
    <row r="474">
      <c r="A474" s="3">
        <f>IF('ORDENES'!$A452="","",IF('ORDENES'!$P452="","-",'ORDENES'!$P452))</f>
        <v/>
      </c>
      <c r="B474" s="3">
        <f>IF('ORDENES'!$A452="","",IF('ORDENES'!$S452="","-",'ORDENES'!$S452))</f>
        <v/>
      </c>
      <c r="C474" s="3">
        <f>IF('ORDENES'!$A452="","",IF('ORDENES'!$AD452="","-",'ORDENES'!$AD452))</f>
        <v/>
      </c>
      <c r="D474" s="3">
        <f>IF('ORDENES'!$A452="","",IF('ORDENES'!$W452="","-",'ORDENES'!$W452))</f>
        <v/>
      </c>
      <c r="E474" s="3">
        <f>IF('ORDENES'!$A452="","",IF('ORDENES'!$V452="","-",'ORDENES'!$V452))</f>
        <v/>
      </c>
      <c r="F474" s="3">
        <f>IF('ORDENES'!$A452="","",IF('ORDENES'!$X452="","-",'ORDENES'!$X452))</f>
        <v/>
      </c>
      <c r="G474" s="3">
        <f>IF('ORDENES'!$A452="","",IF('ORDENES'!$AC452="","-",'ORDENES'!$AC452))</f>
        <v/>
      </c>
      <c r="H474" s="3">
        <f>IF('ORDENES'!$A452="","",IF('ORDENES'!$AO452="","-",'ORDENES'!$AO452))</f>
        <v/>
      </c>
      <c r="I474" s="3">
        <f>IF('ORDENES'!$A452="","",IF('ORDENES'!$D452="","-",'ORDENES'!$D452))</f>
        <v/>
      </c>
      <c r="J474" s="3">
        <f>IF('ORDENES'!$A452="","",IF('ORDENES'!$E452="","-",'ORDENES'!$E452))</f>
        <v/>
      </c>
      <c r="K474" s="12">
        <f>IF('ORDENES'!$A452="","",IF('ORDENES'!$N452="",0,'ORDENES'!$N452))</f>
        <v/>
      </c>
      <c r="L474" s="3">
        <f>IF('ORDENES'!$A452="","",IF('ORDENES'!$O452="","-",'ORDENES'!$O452))</f>
        <v/>
      </c>
      <c r="M474" s="3">
        <f>IF('ORDENES'!$A452="","",'ORDENES'!$AB452)</f>
        <v/>
      </c>
    </row>
    <row r="475">
      <c r="A475" s="3">
        <f>IF('ORDENES'!$A453="","",IF('ORDENES'!$P453="","-",'ORDENES'!$P453))</f>
        <v/>
      </c>
      <c r="B475" s="3">
        <f>IF('ORDENES'!$A453="","",IF('ORDENES'!$S453="","-",'ORDENES'!$S453))</f>
        <v/>
      </c>
      <c r="C475" s="3">
        <f>IF('ORDENES'!$A453="","",IF('ORDENES'!$AD453="","-",'ORDENES'!$AD453))</f>
        <v/>
      </c>
      <c r="D475" s="3">
        <f>IF('ORDENES'!$A453="","",IF('ORDENES'!$W453="","-",'ORDENES'!$W453))</f>
        <v/>
      </c>
      <c r="E475" s="3">
        <f>IF('ORDENES'!$A453="","",IF('ORDENES'!$V453="","-",'ORDENES'!$V453))</f>
        <v/>
      </c>
      <c r="F475" s="3">
        <f>IF('ORDENES'!$A453="","",IF('ORDENES'!$X453="","-",'ORDENES'!$X453))</f>
        <v/>
      </c>
      <c r="G475" s="3">
        <f>IF('ORDENES'!$A453="","",IF('ORDENES'!$AC453="","-",'ORDENES'!$AC453))</f>
        <v/>
      </c>
      <c r="H475" s="3">
        <f>IF('ORDENES'!$A453="","",IF('ORDENES'!$AO453="","-",'ORDENES'!$AO453))</f>
        <v/>
      </c>
      <c r="I475" s="3">
        <f>IF('ORDENES'!$A453="","",IF('ORDENES'!$D453="","-",'ORDENES'!$D453))</f>
        <v/>
      </c>
      <c r="J475" s="3">
        <f>IF('ORDENES'!$A453="","",IF('ORDENES'!$E453="","-",'ORDENES'!$E453))</f>
        <v/>
      </c>
      <c r="K475" s="12">
        <f>IF('ORDENES'!$A453="","",IF('ORDENES'!$N453="",0,'ORDENES'!$N453))</f>
        <v/>
      </c>
      <c r="L475" s="3">
        <f>IF('ORDENES'!$A453="","",IF('ORDENES'!$O453="","-",'ORDENES'!$O453))</f>
        <v/>
      </c>
      <c r="M475" s="3">
        <f>IF('ORDENES'!$A453="","",'ORDENES'!$AB453)</f>
        <v/>
      </c>
    </row>
    <row r="476">
      <c r="A476" s="3">
        <f>IF('ORDENES'!$A454="","",IF('ORDENES'!$P454="","-",'ORDENES'!$P454))</f>
        <v/>
      </c>
      <c r="B476" s="3">
        <f>IF('ORDENES'!$A454="","",IF('ORDENES'!$S454="","-",'ORDENES'!$S454))</f>
        <v/>
      </c>
      <c r="C476" s="3">
        <f>IF('ORDENES'!$A454="","",IF('ORDENES'!$AD454="","-",'ORDENES'!$AD454))</f>
        <v/>
      </c>
      <c r="D476" s="3">
        <f>IF('ORDENES'!$A454="","",IF('ORDENES'!$W454="","-",'ORDENES'!$W454))</f>
        <v/>
      </c>
      <c r="E476" s="3">
        <f>IF('ORDENES'!$A454="","",IF('ORDENES'!$V454="","-",'ORDENES'!$V454))</f>
        <v/>
      </c>
      <c r="F476" s="3">
        <f>IF('ORDENES'!$A454="","",IF('ORDENES'!$X454="","-",'ORDENES'!$X454))</f>
        <v/>
      </c>
      <c r="G476" s="3">
        <f>IF('ORDENES'!$A454="","",IF('ORDENES'!$AC454="","-",'ORDENES'!$AC454))</f>
        <v/>
      </c>
      <c r="H476" s="3">
        <f>IF('ORDENES'!$A454="","",IF('ORDENES'!$AO454="","-",'ORDENES'!$AO454))</f>
        <v/>
      </c>
      <c r="I476" s="3">
        <f>IF('ORDENES'!$A454="","",IF('ORDENES'!$D454="","-",'ORDENES'!$D454))</f>
        <v/>
      </c>
      <c r="J476" s="3">
        <f>IF('ORDENES'!$A454="","",IF('ORDENES'!$E454="","-",'ORDENES'!$E454))</f>
        <v/>
      </c>
      <c r="K476" s="12">
        <f>IF('ORDENES'!$A454="","",IF('ORDENES'!$N454="",0,'ORDENES'!$N454))</f>
        <v/>
      </c>
      <c r="L476" s="3">
        <f>IF('ORDENES'!$A454="","",IF('ORDENES'!$O454="","-",'ORDENES'!$O454))</f>
        <v/>
      </c>
      <c r="M476" s="3">
        <f>IF('ORDENES'!$A454="","",'ORDENES'!$AB454)</f>
        <v/>
      </c>
    </row>
    <row r="477">
      <c r="A477" s="3">
        <f>IF('ORDENES'!$A455="","",IF('ORDENES'!$P455="","-",'ORDENES'!$P455))</f>
        <v/>
      </c>
      <c r="B477" s="3">
        <f>IF('ORDENES'!$A455="","",IF('ORDENES'!$S455="","-",'ORDENES'!$S455))</f>
        <v/>
      </c>
      <c r="C477" s="3">
        <f>IF('ORDENES'!$A455="","",IF('ORDENES'!$AD455="","-",'ORDENES'!$AD455))</f>
        <v/>
      </c>
      <c r="D477" s="3">
        <f>IF('ORDENES'!$A455="","",IF('ORDENES'!$W455="","-",'ORDENES'!$W455))</f>
        <v/>
      </c>
      <c r="E477" s="3">
        <f>IF('ORDENES'!$A455="","",IF('ORDENES'!$V455="","-",'ORDENES'!$V455))</f>
        <v/>
      </c>
      <c r="F477" s="3">
        <f>IF('ORDENES'!$A455="","",IF('ORDENES'!$X455="","-",'ORDENES'!$X455))</f>
        <v/>
      </c>
      <c r="G477" s="3">
        <f>IF('ORDENES'!$A455="","",IF('ORDENES'!$AC455="","-",'ORDENES'!$AC455))</f>
        <v/>
      </c>
      <c r="H477" s="3">
        <f>IF('ORDENES'!$A455="","",IF('ORDENES'!$AO455="","-",'ORDENES'!$AO455))</f>
        <v/>
      </c>
      <c r="I477" s="3">
        <f>IF('ORDENES'!$A455="","",IF('ORDENES'!$D455="","-",'ORDENES'!$D455))</f>
        <v/>
      </c>
      <c r="J477" s="3">
        <f>IF('ORDENES'!$A455="","",IF('ORDENES'!$E455="","-",'ORDENES'!$E455))</f>
        <v/>
      </c>
      <c r="K477" s="12">
        <f>IF('ORDENES'!$A455="","",IF('ORDENES'!$N455="",0,'ORDENES'!$N455))</f>
        <v/>
      </c>
      <c r="L477" s="3">
        <f>IF('ORDENES'!$A455="","",IF('ORDENES'!$O455="","-",'ORDENES'!$O455))</f>
        <v/>
      </c>
      <c r="M477" s="3">
        <f>IF('ORDENES'!$A455="","",'ORDENES'!$AB455)</f>
        <v/>
      </c>
    </row>
    <row r="478">
      <c r="A478" s="3">
        <f>IF('ORDENES'!$A456="","",IF('ORDENES'!$P456="","-",'ORDENES'!$P456))</f>
        <v/>
      </c>
      <c r="B478" s="3">
        <f>IF('ORDENES'!$A456="","",IF('ORDENES'!$S456="","-",'ORDENES'!$S456))</f>
        <v/>
      </c>
      <c r="C478" s="3">
        <f>IF('ORDENES'!$A456="","",IF('ORDENES'!$AD456="","-",'ORDENES'!$AD456))</f>
        <v/>
      </c>
      <c r="D478" s="3">
        <f>IF('ORDENES'!$A456="","",IF('ORDENES'!$W456="","-",'ORDENES'!$W456))</f>
        <v/>
      </c>
      <c r="E478" s="3">
        <f>IF('ORDENES'!$A456="","",IF('ORDENES'!$V456="","-",'ORDENES'!$V456))</f>
        <v/>
      </c>
      <c r="F478" s="3">
        <f>IF('ORDENES'!$A456="","",IF('ORDENES'!$X456="","-",'ORDENES'!$X456))</f>
        <v/>
      </c>
      <c r="G478" s="3">
        <f>IF('ORDENES'!$A456="","",IF('ORDENES'!$AC456="","-",'ORDENES'!$AC456))</f>
        <v/>
      </c>
      <c r="H478" s="3">
        <f>IF('ORDENES'!$A456="","",IF('ORDENES'!$AO456="","-",'ORDENES'!$AO456))</f>
        <v/>
      </c>
      <c r="I478" s="3">
        <f>IF('ORDENES'!$A456="","",IF('ORDENES'!$D456="","-",'ORDENES'!$D456))</f>
        <v/>
      </c>
      <c r="J478" s="3">
        <f>IF('ORDENES'!$A456="","",IF('ORDENES'!$E456="","-",'ORDENES'!$E456))</f>
        <v/>
      </c>
      <c r="K478" s="12">
        <f>IF('ORDENES'!$A456="","",IF('ORDENES'!$N456="",0,'ORDENES'!$N456))</f>
        <v/>
      </c>
      <c r="L478" s="3">
        <f>IF('ORDENES'!$A456="","",IF('ORDENES'!$O456="","-",'ORDENES'!$O456))</f>
        <v/>
      </c>
      <c r="M478" s="3">
        <f>IF('ORDENES'!$A456="","",'ORDENES'!$AB456)</f>
        <v/>
      </c>
    </row>
    <row r="479">
      <c r="A479" s="3">
        <f>IF('ORDENES'!$A457="","",IF('ORDENES'!$P457="","-",'ORDENES'!$P457))</f>
        <v/>
      </c>
      <c r="B479" s="3">
        <f>IF('ORDENES'!$A457="","",IF('ORDENES'!$S457="","-",'ORDENES'!$S457))</f>
        <v/>
      </c>
      <c r="C479" s="3">
        <f>IF('ORDENES'!$A457="","",IF('ORDENES'!$AD457="","-",'ORDENES'!$AD457))</f>
        <v/>
      </c>
      <c r="D479" s="3">
        <f>IF('ORDENES'!$A457="","",IF('ORDENES'!$W457="","-",'ORDENES'!$W457))</f>
        <v/>
      </c>
      <c r="E479" s="3">
        <f>IF('ORDENES'!$A457="","",IF('ORDENES'!$V457="","-",'ORDENES'!$V457))</f>
        <v/>
      </c>
      <c r="F479" s="3">
        <f>IF('ORDENES'!$A457="","",IF('ORDENES'!$X457="","-",'ORDENES'!$X457))</f>
        <v/>
      </c>
      <c r="G479" s="3">
        <f>IF('ORDENES'!$A457="","",IF('ORDENES'!$AC457="","-",'ORDENES'!$AC457))</f>
        <v/>
      </c>
      <c r="H479" s="3">
        <f>IF('ORDENES'!$A457="","",IF('ORDENES'!$AO457="","-",'ORDENES'!$AO457))</f>
        <v/>
      </c>
      <c r="I479" s="3">
        <f>IF('ORDENES'!$A457="","",IF('ORDENES'!$D457="","-",'ORDENES'!$D457))</f>
        <v/>
      </c>
      <c r="J479" s="3">
        <f>IF('ORDENES'!$A457="","",IF('ORDENES'!$E457="","-",'ORDENES'!$E457))</f>
        <v/>
      </c>
      <c r="K479" s="12">
        <f>IF('ORDENES'!$A457="","",IF('ORDENES'!$N457="",0,'ORDENES'!$N457))</f>
        <v/>
      </c>
      <c r="L479" s="3">
        <f>IF('ORDENES'!$A457="","",IF('ORDENES'!$O457="","-",'ORDENES'!$O457))</f>
        <v/>
      </c>
      <c r="M479" s="3">
        <f>IF('ORDENES'!$A457="","",'ORDENES'!$AB457)</f>
        <v/>
      </c>
    </row>
    <row r="480">
      <c r="A480" s="3">
        <f>IF('ORDENES'!$A458="","",IF('ORDENES'!$P458="","-",'ORDENES'!$P458))</f>
        <v/>
      </c>
      <c r="B480" s="3">
        <f>IF('ORDENES'!$A458="","",IF('ORDENES'!$S458="","-",'ORDENES'!$S458))</f>
        <v/>
      </c>
      <c r="C480" s="3">
        <f>IF('ORDENES'!$A458="","",IF('ORDENES'!$AD458="","-",'ORDENES'!$AD458))</f>
        <v/>
      </c>
      <c r="D480" s="3">
        <f>IF('ORDENES'!$A458="","",IF('ORDENES'!$W458="","-",'ORDENES'!$W458))</f>
        <v/>
      </c>
      <c r="E480" s="3">
        <f>IF('ORDENES'!$A458="","",IF('ORDENES'!$V458="","-",'ORDENES'!$V458))</f>
        <v/>
      </c>
      <c r="F480" s="3">
        <f>IF('ORDENES'!$A458="","",IF('ORDENES'!$X458="","-",'ORDENES'!$X458))</f>
        <v/>
      </c>
      <c r="G480" s="3">
        <f>IF('ORDENES'!$A458="","",IF('ORDENES'!$AC458="","-",'ORDENES'!$AC458))</f>
        <v/>
      </c>
      <c r="H480" s="3">
        <f>IF('ORDENES'!$A458="","",IF('ORDENES'!$AO458="","-",'ORDENES'!$AO458))</f>
        <v/>
      </c>
      <c r="I480" s="3">
        <f>IF('ORDENES'!$A458="","",IF('ORDENES'!$D458="","-",'ORDENES'!$D458))</f>
        <v/>
      </c>
      <c r="J480" s="3">
        <f>IF('ORDENES'!$A458="","",IF('ORDENES'!$E458="","-",'ORDENES'!$E458))</f>
        <v/>
      </c>
      <c r="K480" s="12">
        <f>IF('ORDENES'!$A458="","",IF('ORDENES'!$N458="",0,'ORDENES'!$N458))</f>
        <v/>
      </c>
      <c r="L480" s="3">
        <f>IF('ORDENES'!$A458="","",IF('ORDENES'!$O458="","-",'ORDENES'!$O458))</f>
        <v/>
      </c>
      <c r="M480" s="3">
        <f>IF('ORDENES'!$A458="","",'ORDENES'!$AB458)</f>
        <v/>
      </c>
    </row>
    <row r="481">
      <c r="A481" s="3">
        <f>IF('ORDENES'!$A459="","",IF('ORDENES'!$P459="","-",'ORDENES'!$P459))</f>
        <v/>
      </c>
      <c r="B481" s="3">
        <f>IF('ORDENES'!$A459="","",IF('ORDENES'!$S459="","-",'ORDENES'!$S459))</f>
        <v/>
      </c>
      <c r="C481" s="3">
        <f>IF('ORDENES'!$A459="","",IF('ORDENES'!$AD459="","-",'ORDENES'!$AD459))</f>
        <v/>
      </c>
      <c r="D481" s="3">
        <f>IF('ORDENES'!$A459="","",IF('ORDENES'!$W459="","-",'ORDENES'!$W459))</f>
        <v/>
      </c>
      <c r="E481" s="3">
        <f>IF('ORDENES'!$A459="","",IF('ORDENES'!$V459="","-",'ORDENES'!$V459))</f>
        <v/>
      </c>
      <c r="F481" s="3">
        <f>IF('ORDENES'!$A459="","",IF('ORDENES'!$X459="","-",'ORDENES'!$X459))</f>
        <v/>
      </c>
      <c r="G481" s="3">
        <f>IF('ORDENES'!$A459="","",IF('ORDENES'!$AC459="","-",'ORDENES'!$AC459))</f>
        <v/>
      </c>
      <c r="H481" s="3">
        <f>IF('ORDENES'!$A459="","",IF('ORDENES'!$AO459="","-",'ORDENES'!$AO459))</f>
        <v/>
      </c>
      <c r="I481" s="3">
        <f>IF('ORDENES'!$A459="","",IF('ORDENES'!$D459="","-",'ORDENES'!$D459))</f>
        <v/>
      </c>
      <c r="J481" s="3">
        <f>IF('ORDENES'!$A459="","",IF('ORDENES'!$E459="","-",'ORDENES'!$E459))</f>
        <v/>
      </c>
      <c r="K481" s="12">
        <f>IF('ORDENES'!$A459="","",IF('ORDENES'!$N459="",0,'ORDENES'!$N459))</f>
        <v/>
      </c>
      <c r="L481" s="3">
        <f>IF('ORDENES'!$A459="","",IF('ORDENES'!$O459="","-",'ORDENES'!$O459))</f>
        <v/>
      </c>
      <c r="M481" s="3">
        <f>IF('ORDENES'!$A459="","",'ORDENES'!$AB459)</f>
        <v/>
      </c>
    </row>
    <row r="482">
      <c r="A482" s="3">
        <f>IF('ORDENES'!$A460="","",IF('ORDENES'!$P460="","-",'ORDENES'!$P460))</f>
        <v/>
      </c>
      <c r="B482" s="3">
        <f>IF('ORDENES'!$A460="","",IF('ORDENES'!$S460="","-",'ORDENES'!$S460))</f>
        <v/>
      </c>
      <c r="C482" s="3">
        <f>IF('ORDENES'!$A460="","",IF('ORDENES'!$AD460="","-",'ORDENES'!$AD460))</f>
        <v/>
      </c>
      <c r="D482" s="3">
        <f>IF('ORDENES'!$A460="","",IF('ORDENES'!$W460="","-",'ORDENES'!$W460))</f>
        <v/>
      </c>
      <c r="E482" s="3">
        <f>IF('ORDENES'!$A460="","",IF('ORDENES'!$V460="","-",'ORDENES'!$V460))</f>
        <v/>
      </c>
      <c r="F482" s="3">
        <f>IF('ORDENES'!$A460="","",IF('ORDENES'!$X460="","-",'ORDENES'!$X460))</f>
        <v/>
      </c>
      <c r="G482" s="3">
        <f>IF('ORDENES'!$A460="","",IF('ORDENES'!$AC460="","-",'ORDENES'!$AC460))</f>
        <v/>
      </c>
      <c r="H482" s="3">
        <f>IF('ORDENES'!$A460="","",IF('ORDENES'!$AO460="","-",'ORDENES'!$AO460))</f>
        <v/>
      </c>
      <c r="I482" s="3">
        <f>IF('ORDENES'!$A460="","",IF('ORDENES'!$D460="","-",'ORDENES'!$D460))</f>
        <v/>
      </c>
      <c r="J482" s="3">
        <f>IF('ORDENES'!$A460="","",IF('ORDENES'!$E460="","-",'ORDENES'!$E460))</f>
        <v/>
      </c>
      <c r="K482" s="12">
        <f>IF('ORDENES'!$A460="","",IF('ORDENES'!$N460="",0,'ORDENES'!$N460))</f>
        <v/>
      </c>
      <c r="L482" s="3">
        <f>IF('ORDENES'!$A460="","",IF('ORDENES'!$O460="","-",'ORDENES'!$O460))</f>
        <v/>
      </c>
      <c r="M482" s="3">
        <f>IF('ORDENES'!$A460="","",'ORDENES'!$AB460)</f>
        <v/>
      </c>
    </row>
    <row r="483">
      <c r="A483" s="3">
        <f>IF('ORDENES'!$A461="","",IF('ORDENES'!$P461="","-",'ORDENES'!$P461))</f>
        <v/>
      </c>
      <c r="B483" s="3">
        <f>IF('ORDENES'!$A461="","",IF('ORDENES'!$S461="","-",'ORDENES'!$S461))</f>
        <v/>
      </c>
      <c r="C483" s="3">
        <f>IF('ORDENES'!$A461="","",IF('ORDENES'!$AD461="","-",'ORDENES'!$AD461))</f>
        <v/>
      </c>
      <c r="D483" s="3">
        <f>IF('ORDENES'!$A461="","",IF('ORDENES'!$W461="","-",'ORDENES'!$W461))</f>
        <v/>
      </c>
      <c r="E483" s="3">
        <f>IF('ORDENES'!$A461="","",IF('ORDENES'!$V461="","-",'ORDENES'!$V461))</f>
        <v/>
      </c>
      <c r="F483" s="3">
        <f>IF('ORDENES'!$A461="","",IF('ORDENES'!$X461="","-",'ORDENES'!$X461))</f>
        <v/>
      </c>
      <c r="G483" s="3">
        <f>IF('ORDENES'!$A461="","",IF('ORDENES'!$AC461="","-",'ORDENES'!$AC461))</f>
        <v/>
      </c>
      <c r="H483" s="3">
        <f>IF('ORDENES'!$A461="","",IF('ORDENES'!$AO461="","-",'ORDENES'!$AO461))</f>
        <v/>
      </c>
      <c r="I483" s="3">
        <f>IF('ORDENES'!$A461="","",IF('ORDENES'!$D461="","-",'ORDENES'!$D461))</f>
        <v/>
      </c>
      <c r="J483" s="3">
        <f>IF('ORDENES'!$A461="","",IF('ORDENES'!$E461="","-",'ORDENES'!$E461))</f>
        <v/>
      </c>
      <c r="K483" s="12">
        <f>IF('ORDENES'!$A461="","",IF('ORDENES'!$N461="",0,'ORDENES'!$N461))</f>
        <v/>
      </c>
      <c r="L483" s="3">
        <f>IF('ORDENES'!$A461="","",IF('ORDENES'!$O461="","-",'ORDENES'!$O461))</f>
        <v/>
      </c>
      <c r="M483" s="3">
        <f>IF('ORDENES'!$A461="","",'ORDENES'!$AB461)</f>
        <v/>
      </c>
    </row>
    <row r="484">
      <c r="A484" s="3">
        <f>IF('ORDENES'!$A462="","",IF('ORDENES'!$P462="","-",'ORDENES'!$P462))</f>
        <v/>
      </c>
      <c r="B484" s="3">
        <f>IF('ORDENES'!$A462="","",IF('ORDENES'!$S462="","-",'ORDENES'!$S462))</f>
        <v/>
      </c>
      <c r="C484" s="3">
        <f>IF('ORDENES'!$A462="","",IF('ORDENES'!$AD462="","-",'ORDENES'!$AD462))</f>
        <v/>
      </c>
      <c r="D484" s="3">
        <f>IF('ORDENES'!$A462="","",IF('ORDENES'!$W462="","-",'ORDENES'!$W462))</f>
        <v/>
      </c>
      <c r="E484" s="3">
        <f>IF('ORDENES'!$A462="","",IF('ORDENES'!$V462="","-",'ORDENES'!$V462))</f>
        <v/>
      </c>
      <c r="F484" s="3">
        <f>IF('ORDENES'!$A462="","",IF('ORDENES'!$X462="","-",'ORDENES'!$X462))</f>
        <v/>
      </c>
      <c r="G484" s="3">
        <f>IF('ORDENES'!$A462="","",IF('ORDENES'!$AC462="","-",'ORDENES'!$AC462))</f>
        <v/>
      </c>
      <c r="H484" s="3">
        <f>IF('ORDENES'!$A462="","",IF('ORDENES'!$AO462="","-",'ORDENES'!$AO462))</f>
        <v/>
      </c>
      <c r="I484" s="3">
        <f>IF('ORDENES'!$A462="","",IF('ORDENES'!$D462="","-",'ORDENES'!$D462))</f>
        <v/>
      </c>
      <c r="J484" s="3">
        <f>IF('ORDENES'!$A462="","",IF('ORDENES'!$E462="","-",'ORDENES'!$E462))</f>
        <v/>
      </c>
      <c r="K484" s="12">
        <f>IF('ORDENES'!$A462="","",IF('ORDENES'!$N462="",0,'ORDENES'!$N462))</f>
        <v/>
      </c>
      <c r="L484" s="3">
        <f>IF('ORDENES'!$A462="","",IF('ORDENES'!$O462="","-",'ORDENES'!$O462))</f>
        <v/>
      </c>
      <c r="M484" s="3">
        <f>IF('ORDENES'!$A462="","",'ORDENES'!$AB462)</f>
        <v/>
      </c>
    </row>
    <row r="485">
      <c r="A485" s="3">
        <f>IF('ORDENES'!$A463="","",IF('ORDENES'!$P463="","-",'ORDENES'!$P463))</f>
        <v/>
      </c>
      <c r="B485" s="3">
        <f>IF('ORDENES'!$A463="","",IF('ORDENES'!$S463="","-",'ORDENES'!$S463))</f>
        <v/>
      </c>
      <c r="C485" s="3">
        <f>IF('ORDENES'!$A463="","",IF('ORDENES'!$AD463="","-",'ORDENES'!$AD463))</f>
        <v/>
      </c>
      <c r="D485" s="3">
        <f>IF('ORDENES'!$A463="","",IF('ORDENES'!$W463="","-",'ORDENES'!$W463))</f>
        <v/>
      </c>
      <c r="E485" s="3">
        <f>IF('ORDENES'!$A463="","",IF('ORDENES'!$V463="","-",'ORDENES'!$V463))</f>
        <v/>
      </c>
      <c r="F485" s="3">
        <f>IF('ORDENES'!$A463="","",IF('ORDENES'!$X463="","-",'ORDENES'!$X463))</f>
        <v/>
      </c>
      <c r="G485" s="3">
        <f>IF('ORDENES'!$A463="","",IF('ORDENES'!$AC463="","-",'ORDENES'!$AC463))</f>
        <v/>
      </c>
      <c r="H485" s="3">
        <f>IF('ORDENES'!$A463="","",IF('ORDENES'!$AO463="","-",'ORDENES'!$AO463))</f>
        <v/>
      </c>
      <c r="I485" s="3">
        <f>IF('ORDENES'!$A463="","",IF('ORDENES'!$D463="","-",'ORDENES'!$D463))</f>
        <v/>
      </c>
      <c r="J485" s="3">
        <f>IF('ORDENES'!$A463="","",IF('ORDENES'!$E463="","-",'ORDENES'!$E463))</f>
        <v/>
      </c>
      <c r="K485" s="12">
        <f>IF('ORDENES'!$A463="","",IF('ORDENES'!$N463="",0,'ORDENES'!$N463))</f>
        <v/>
      </c>
      <c r="L485" s="3">
        <f>IF('ORDENES'!$A463="","",IF('ORDENES'!$O463="","-",'ORDENES'!$O463))</f>
        <v/>
      </c>
      <c r="M485" s="3">
        <f>IF('ORDENES'!$A463="","",'ORDENES'!$AB463)</f>
        <v/>
      </c>
    </row>
    <row r="486">
      <c r="A486" s="3">
        <f>IF('ORDENES'!$A464="","",IF('ORDENES'!$P464="","-",'ORDENES'!$P464))</f>
        <v/>
      </c>
      <c r="B486" s="3">
        <f>IF('ORDENES'!$A464="","",IF('ORDENES'!$S464="","-",'ORDENES'!$S464))</f>
        <v/>
      </c>
      <c r="C486" s="3">
        <f>IF('ORDENES'!$A464="","",IF('ORDENES'!$AD464="","-",'ORDENES'!$AD464))</f>
        <v/>
      </c>
      <c r="D486" s="3">
        <f>IF('ORDENES'!$A464="","",IF('ORDENES'!$W464="","-",'ORDENES'!$W464))</f>
        <v/>
      </c>
      <c r="E486" s="3">
        <f>IF('ORDENES'!$A464="","",IF('ORDENES'!$V464="","-",'ORDENES'!$V464))</f>
        <v/>
      </c>
      <c r="F486" s="3">
        <f>IF('ORDENES'!$A464="","",IF('ORDENES'!$X464="","-",'ORDENES'!$X464))</f>
        <v/>
      </c>
      <c r="G486" s="3">
        <f>IF('ORDENES'!$A464="","",IF('ORDENES'!$AC464="","-",'ORDENES'!$AC464))</f>
        <v/>
      </c>
      <c r="H486" s="3">
        <f>IF('ORDENES'!$A464="","",IF('ORDENES'!$AO464="","-",'ORDENES'!$AO464))</f>
        <v/>
      </c>
      <c r="I486" s="3">
        <f>IF('ORDENES'!$A464="","",IF('ORDENES'!$D464="","-",'ORDENES'!$D464))</f>
        <v/>
      </c>
      <c r="J486" s="3">
        <f>IF('ORDENES'!$A464="","",IF('ORDENES'!$E464="","-",'ORDENES'!$E464))</f>
        <v/>
      </c>
      <c r="K486" s="12">
        <f>IF('ORDENES'!$A464="","",IF('ORDENES'!$N464="",0,'ORDENES'!$N464))</f>
        <v/>
      </c>
      <c r="L486" s="3">
        <f>IF('ORDENES'!$A464="","",IF('ORDENES'!$O464="","-",'ORDENES'!$O464))</f>
        <v/>
      </c>
      <c r="M486" s="3">
        <f>IF('ORDENES'!$A464="","",'ORDENES'!$AB464)</f>
        <v/>
      </c>
    </row>
    <row r="487">
      <c r="A487" s="3">
        <f>IF('ORDENES'!$A465="","",IF('ORDENES'!$P465="","-",'ORDENES'!$P465))</f>
        <v/>
      </c>
      <c r="B487" s="3">
        <f>IF('ORDENES'!$A465="","",IF('ORDENES'!$S465="","-",'ORDENES'!$S465))</f>
        <v/>
      </c>
      <c r="C487" s="3">
        <f>IF('ORDENES'!$A465="","",IF('ORDENES'!$AD465="","-",'ORDENES'!$AD465))</f>
        <v/>
      </c>
      <c r="D487" s="3">
        <f>IF('ORDENES'!$A465="","",IF('ORDENES'!$W465="","-",'ORDENES'!$W465))</f>
        <v/>
      </c>
      <c r="E487" s="3">
        <f>IF('ORDENES'!$A465="","",IF('ORDENES'!$V465="","-",'ORDENES'!$V465))</f>
        <v/>
      </c>
      <c r="F487" s="3">
        <f>IF('ORDENES'!$A465="","",IF('ORDENES'!$X465="","-",'ORDENES'!$X465))</f>
        <v/>
      </c>
      <c r="G487" s="3">
        <f>IF('ORDENES'!$A465="","",IF('ORDENES'!$AC465="","-",'ORDENES'!$AC465))</f>
        <v/>
      </c>
      <c r="H487" s="3">
        <f>IF('ORDENES'!$A465="","",IF('ORDENES'!$AO465="","-",'ORDENES'!$AO465))</f>
        <v/>
      </c>
      <c r="I487" s="3">
        <f>IF('ORDENES'!$A465="","",IF('ORDENES'!$D465="","-",'ORDENES'!$D465))</f>
        <v/>
      </c>
      <c r="J487" s="3">
        <f>IF('ORDENES'!$A465="","",IF('ORDENES'!$E465="","-",'ORDENES'!$E465))</f>
        <v/>
      </c>
      <c r="K487" s="12">
        <f>IF('ORDENES'!$A465="","",IF('ORDENES'!$N465="",0,'ORDENES'!$N465))</f>
        <v/>
      </c>
      <c r="L487" s="3">
        <f>IF('ORDENES'!$A465="","",IF('ORDENES'!$O465="","-",'ORDENES'!$O465))</f>
        <v/>
      </c>
      <c r="M487" s="3">
        <f>IF('ORDENES'!$A465="","",'ORDENES'!$AB465)</f>
        <v/>
      </c>
    </row>
    <row r="488">
      <c r="A488" s="3">
        <f>IF('ORDENES'!$A466="","",IF('ORDENES'!$P466="","-",'ORDENES'!$P466))</f>
        <v/>
      </c>
      <c r="B488" s="3">
        <f>IF('ORDENES'!$A466="","",IF('ORDENES'!$S466="","-",'ORDENES'!$S466))</f>
        <v/>
      </c>
      <c r="C488" s="3">
        <f>IF('ORDENES'!$A466="","",IF('ORDENES'!$AD466="","-",'ORDENES'!$AD466))</f>
        <v/>
      </c>
      <c r="D488" s="3">
        <f>IF('ORDENES'!$A466="","",IF('ORDENES'!$W466="","-",'ORDENES'!$W466))</f>
        <v/>
      </c>
      <c r="E488" s="3">
        <f>IF('ORDENES'!$A466="","",IF('ORDENES'!$V466="","-",'ORDENES'!$V466))</f>
        <v/>
      </c>
      <c r="F488" s="3">
        <f>IF('ORDENES'!$A466="","",IF('ORDENES'!$X466="","-",'ORDENES'!$X466))</f>
        <v/>
      </c>
      <c r="G488" s="3">
        <f>IF('ORDENES'!$A466="","",IF('ORDENES'!$AC466="","-",'ORDENES'!$AC466))</f>
        <v/>
      </c>
      <c r="H488" s="3">
        <f>IF('ORDENES'!$A466="","",IF('ORDENES'!$AO466="","-",'ORDENES'!$AO466))</f>
        <v/>
      </c>
      <c r="I488" s="3">
        <f>IF('ORDENES'!$A466="","",IF('ORDENES'!$D466="","-",'ORDENES'!$D466))</f>
        <v/>
      </c>
      <c r="J488" s="3">
        <f>IF('ORDENES'!$A466="","",IF('ORDENES'!$E466="","-",'ORDENES'!$E466))</f>
        <v/>
      </c>
      <c r="K488" s="12">
        <f>IF('ORDENES'!$A466="","",IF('ORDENES'!$N466="",0,'ORDENES'!$N466))</f>
        <v/>
      </c>
      <c r="L488" s="3">
        <f>IF('ORDENES'!$A466="","",IF('ORDENES'!$O466="","-",'ORDENES'!$O466))</f>
        <v/>
      </c>
      <c r="M488" s="3">
        <f>IF('ORDENES'!$A466="","",'ORDENES'!$AB466)</f>
        <v/>
      </c>
    </row>
    <row r="489">
      <c r="A489" s="3">
        <f>IF('ORDENES'!$A467="","",IF('ORDENES'!$P467="","-",'ORDENES'!$P467))</f>
        <v/>
      </c>
      <c r="B489" s="3">
        <f>IF('ORDENES'!$A467="","",IF('ORDENES'!$S467="","-",'ORDENES'!$S467))</f>
        <v/>
      </c>
      <c r="C489" s="3">
        <f>IF('ORDENES'!$A467="","",IF('ORDENES'!$AD467="","-",'ORDENES'!$AD467))</f>
        <v/>
      </c>
      <c r="D489" s="3">
        <f>IF('ORDENES'!$A467="","",IF('ORDENES'!$W467="","-",'ORDENES'!$W467))</f>
        <v/>
      </c>
      <c r="E489" s="3">
        <f>IF('ORDENES'!$A467="","",IF('ORDENES'!$V467="","-",'ORDENES'!$V467))</f>
        <v/>
      </c>
      <c r="F489" s="3">
        <f>IF('ORDENES'!$A467="","",IF('ORDENES'!$X467="","-",'ORDENES'!$X467))</f>
        <v/>
      </c>
      <c r="G489" s="3">
        <f>IF('ORDENES'!$A467="","",IF('ORDENES'!$AC467="","-",'ORDENES'!$AC467))</f>
        <v/>
      </c>
      <c r="H489" s="3">
        <f>IF('ORDENES'!$A467="","",IF('ORDENES'!$AO467="","-",'ORDENES'!$AO467))</f>
        <v/>
      </c>
      <c r="I489" s="3">
        <f>IF('ORDENES'!$A467="","",IF('ORDENES'!$D467="","-",'ORDENES'!$D467))</f>
        <v/>
      </c>
      <c r="J489" s="3">
        <f>IF('ORDENES'!$A467="","",IF('ORDENES'!$E467="","-",'ORDENES'!$E467))</f>
        <v/>
      </c>
      <c r="K489" s="12">
        <f>IF('ORDENES'!$A467="","",IF('ORDENES'!$N467="",0,'ORDENES'!$N467))</f>
        <v/>
      </c>
      <c r="L489" s="3">
        <f>IF('ORDENES'!$A467="","",IF('ORDENES'!$O467="","-",'ORDENES'!$O467))</f>
        <v/>
      </c>
      <c r="M489" s="3">
        <f>IF('ORDENES'!$A467="","",'ORDENES'!$AB467)</f>
        <v/>
      </c>
    </row>
    <row r="490">
      <c r="A490" s="3">
        <f>IF('ORDENES'!$A468="","",IF('ORDENES'!$P468="","-",'ORDENES'!$P468))</f>
        <v/>
      </c>
      <c r="B490" s="3">
        <f>IF('ORDENES'!$A468="","",IF('ORDENES'!$S468="","-",'ORDENES'!$S468))</f>
        <v/>
      </c>
      <c r="C490" s="3">
        <f>IF('ORDENES'!$A468="","",IF('ORDENES'!$AD468="","-",'ORDENES'!$AD468))</f>
        <v/>
      </c>
      <c r="D490" s="3">
        <f>IF('ORDENES'!$A468="","",IF('ORDENES'!$W468="","-",'ORDENES'!$W468))</f>
        <v/>
      </c>
      <c r="E490" s="3">
        <f>IF('ORDENES'!$A468="","",IF('ORDENES'!$V468="","-",'ORDENES'!$V468))</f>
        <v/>
      </c>
      <c r="F490" s="3">
        <f>IF('ORDENES'!$A468="","",IF('ORDENES'!$X468="","-",'ORDENES'!$X468))</f>
        <v/>
      </c>
      <c r="G490" s="3">
        <f>IF('ORDENES'!$A468="","",IF('ORDENES'!$AC468="","-",'ORDENES'!$AC468))</f>
        <v/>
      </c>
      <c r="H490" s="3">
        <f>IF('ORDENES'!$A468="","",IF('ORDENES'!$AO468="","-",'ORDENES'!$AO468))</f>
        <v/>
      </c>
      <c r="I490" s="3">
        <f>IF('ORDENES'!$A468="","",IF('ORDENES'!$D468="","-",'ORDENES'!$D468))</f>
        <v/>
      </c>
      <c r="J490" s="3">
        <f>IF('ORDENES'!$A468="","",IF('ORDENES'!$E468="","-",'ORDENES'!$E468))</f>
        <v/>
      </c>
      <c r="K490" s="12">
        <f>IF('ORDENES'!$A468="","",IF('ORDENES'!$N468="",0,'ORDENES'!$N468))</f>
        <v/>
      </c>
      <c r="L490" s="3">
        <f>IF('ORDENES'!$A468="","",IF('ORDENES'!$O468="","-",'ORDENES'!$O468))</f>
        <v/>
      </c>
      <c r="M490" s="3">
        <f>IF('ORDENES'!$A468="","",'ORDENES'!$AB468)</f>
        <v/>
      </c>
    </row>
    <row r="491">
      <c r="A491" s="3">
        <f>IF('ORDENES'!$A469="","",IF('ORDENES'!$P469="","-",'ORDENES'!$P469))</f>
        <v/>
      </c>
      <c r="B491" s="3">
        <f>IF('ORDENES'!$A469="","",IF('ORDENES'!$S469="","-",'ORDENES'!$S469))</f>
        <v/>
      </c>
      <c r="C491" s="3">
        <f>IF('ORDENES'!$A469="","",IF('ORDENES'!$AD469="","-",'ORDENES'!$AD469))</f>
        <v/>
      </c>
      <c r="D491" s="3">
        <f>IF('ORDENES'!$A469="","",IF('ORDENES'!$W469="","-",'ORDENES'!$W469))</f>
        <v/>
      </c>
      <c r="E491" s="3">
        <f>IF('ORDENES'!$A469="","",IF('ORDENES'!$V469="","-",'ORDENES'!$V469))</f>
        <v/>
      </c>
      <c r="F491" s="3">
        <f>IF('ORDENES'!$A469="","",IF('ORDENES'!$X469="","-",'ORDENES'!$X469))</f>
        <v/>
      </c>
      <c r="G491" s="3">
        <f>IF('ORDENES'!$A469="","",IF('ORDENES'!$AC469="","-",'ORDENES'!$AC469))</f>
        <v/>
      </c>
      <c r="H491" s="3">
        <f>IF('ORDENES'!$A469="","",IF('ORDENES'!$AO469="","-",'ORDENES'!$AO469))</f>
        <v/>
      </c>
      <c r="I491" s="3">
        <f>IF('ORDENES'!$A469="","",IF('ORDENES'!$D469="","-",'ORDENES'!$D469))</f>
        <v/>
      </c>
      <c r="J491" s="3">
        <f>IF('ORDENES'!$A469="","",IF('ORDENES'!$E469="","-",'ORDENES'!$E469))</f>
        <v/>
      </c>
      <c r="K491" s="12">
        <f>IF('ORDENES'!$A469="","",IF('ORDENES'!$N469="",0,'ORDENES'!$N469))</f>
        <v/>
      </c>
      <c r="L491" s="3">
        <f>IF('ORDENES'!$A469="","",IF('ORDENES'!$O469="","-",'ORDENES'!$O469))</f>
        <v/>
      </c>
      <c r="M491" s="3">
        <f>IF('ORDENES'!$A469="","",'ORDENES'!$AB469)</f>
        <v/>
      </c>
    </row>
    <row r="492">
      <c r="A492" s="3">
        <f>IF('ORDENES'!$A470="","",IF('ORDENES'!$P470="","-",'ORDENES'!$P470))</f>
        <v/>
      </c>
      <c r="B492" s="3">
        <f>IF('ORDENES'!$A470="","",IF('ORDENES'!$S470="","-",'ORDENES'!$S470))</f>
        <v/>
      </c>
      <c r="C492" s="3">
        <f>IF('ORDENES'!$A470="","",IF('ORDENES'!$AD470="","-",'ORDENES'!$AD470))</f>
        <v/>
      </c>
      <c r="D492" s="3">
        <f>IF('ORDENES'!$A470="","",IF('ORDENES'!$W470="","-",'ORDENES'!$W470))</f>
        <v/>
      </c>
      <c r="E492" s="3">
        <f>IF('ORDENES'!$A470="","",IF('ORDENES'!$V470="","-",'ORDENES'!$V470))</f>
        <v/>
      </c>
      <c r="F492" s="3">
        <f>IF('ORDENES'!$A470="","",IF('ORDENES'!$X470="","-",'ORDENES'!$X470))</f>
        <v/>
      </c>
      <c r="G492" s="3">
        <f>IF('ORDENES'!$A470="","",IF('ORDENES'!$AC470="","-",'ORDENES'!$AC470))</f>
        <v/>
      </c>
      <c r="H492" s="3">
        <f>IF('ORDENES'!$A470="","",IF('ORDENES'!$AO470="","-",'ORDENES'!$AO470))</f>
        <v/>
      </c>
      <c r="I492" s="3">
        <f>IF('ORDENES'!$A470="","",IF('ORDENES'!$D470="","-",'ORDENES'!$D470))</f>
        <v/>
      </c>
      <c r="J492" s="3">
        <f>IF('ORDENES'!$A470="","",IF('ORDENES'!$E470="","-",'ORDENES'!$E470))</f>
        <v/>
      </c>
      <c r="K492" s="12">
        <f>IF('ORDENES'!$A470="","",IF('ORDENES'!$N470="",0,'ORDENES'!$N470))</f>
        <v/>
      </c>
      <c r="L492" s="3">
        <f>IF('ORDENES'!$A470="","",IF('ORDENES'!$O470="","-",'ORDENES'!$O470))</f>
        <v/>
      </c>
      <c r="M492" s="3">
        <f>IF('ORDENES'!$A470="","",'ORDENES'!$AB470)</f>
        <v/>
      </c>
    </row>
    <row r="493">
      <c r="A493" s="3">
        <f>IF('ORDENES'!$A471="","",IF('ORDENES'!$P471="","-",'ORDENES'!$P471))</f>
        <v/>
      </c>
      <c r="B493" s="3">
        <f>IF('ORDENES'!$A471="","",IF('ORDENES'!$S471="","-",'ORDENES'!$S471))</f>
        <v/>
      </c>
      <c r="C493" s="3">
        <f>IF('ORDENES'!$A471="","",IF('ORDENES'!$AD471="","-",'ORDENES'!$AD471))</f>
        <v/>
      </c>
      <c r="D493" s="3">
        <f>IF('ORDENES'!$A471="","",IF('ORDENES'!$W471="","-",'ORDENES'!$W471))</f>
        <v/>
      </c>
      <c r="E493" s="3">
        <f>IF('ORDENES'!$A471="","",IF('ORDENES'!$V471="","-",'ORDENES'!$V471))</f>
        <v/>
      </c>
      <c r="F493" s="3">
        <f>IF('ORDENES'!$A471="","",IF('ORDENES'!$X471="","-",'ORDENES'!$X471))</f>
        <v/>
      </c>
      <c r="G493" s="3">
        <f>IF('ORDENES'!$A471="","",IF('ORDENES'!$AC471="","-",'ORDENES'!$AC471))</f>
        <v/>
      </c>
      <c r="H493" s="3">
        <f>IF('ORDENES'!$A471="","",IF('ORDENES'!$AO471="","-",'ORDENES'!$AO471))</f>
        <v/>
      </c>
      <c r="I493" s="3">
        <f>IF('ORDENES'!$A471="","",IF('ORDENES'!$D471="","-",'ORDENES'!$D471))</f>
        <v/>
      </c>
      <c r="J493" s="3">
        <f>IF('ORDENES'!$A471="","",IF('ORDENES'!$E471="","-",'ORDENES'!$E471))</f>
        <v/>
      </c>
      <c r="K493" s="12">
        <f>IF('ORDENES'!$A471="","",IF('ORDENES'!$N471="",0,'ORDENES'!$N471))</f>
        <v/>
      </c>
      <c r="L493" s="3">
        <f>IF('ORDENES'!$A471="","",IF('ORDENES'!$O471="","-",'ORDENES'!$O471))</f>
        <v/>
      </c>
      <c r="M493" s="3">
        <f>IF('ORDENES'!$A471="","",'ORDENES'!$AB471)</f>
        <v/>
      </c>
    </row>
    <row r="494">
      <c r="A494" s="3">
        <f>IF('ORDENES'!$A472="","",IF('ORDENES'!$P472="","-",'ORDENES'!$P472))</f>
        <v/>
      </c>
      <c r="B494" s="3">
        <f>IF('ORDENES'!$A472="","",IF('ORDENES'!$S472="","-",'ORDENES'!$S472))</f>
        <v/>
      </c>
      <c r="C494" s="3">
        <f>IF('ORDENES'!$A472="","",IF('ORDENES'!$AD472="","-",'ORDENES'!$AD472))</f>
        <v/>
      </c>
      <c r="D494" s="3">
        <f>IF('ORDENES'!$A472="","",IF('ORDENES'!$W472="","-",'ORDENES'!$W472))</f>
        <v/>
      </c>
      <c r="E494" s="3">
        <f>IF('ORDENES'!$A472="","",IF('ORDENES'!$V472="","-",'ORDENES'!$V472))</f>
        <v/>
      </c>
      <c r="F494" s="3">
        <f>IF('ORDENES'!$A472="","",IF('ORDENES'!$X472="","-",'ORDENES'!$X472))</f>
        <v/>
      </c>
      <c r="G494" s="3">
        <f>IF('ORDENES'!$A472="","",IF('ORDENES'!$AC472="","-",'ORDENES'!$AC472))</f>
        <v/>
      </c>
      <c r="H494" s="3">
        <f>IF('ORDENES'!$A472="","",IF('ORDENES'!$AO472="","-",'ORDENES'!$AO472))</f>
        <v/>
      </c>
      <c r="I494" s="3">
        <f>IF('ORDENES'!$A472="","",IF('ORDENES'!$D472="","-",'ORDENES'!$D472))</f>
        <v/>
      </c>
      <c r="J494" s="3">
        <f>IF('ORDENES'!$A472="","",IF('ORDENES'!$E472="","-",'ORDENES'!$E472))</f>
        <v/>
      </c>
      <c r="K494" s="12">
        <f>IF('ORDENES'!$A472="","",IF('ORDENES'!$N472="",0,'ORDENES'!$N472))</f>
        <v/>
      </c>
      <c r="L494" s="3">
        <f>IF('ORDENES'!$A472="","",IF('ORDENES'!$O472="","-",'ORDENES'!$O472))</f>
        <v/>
      </c>
      <c r="M494" s="3">
        <f>IF('ORDENES'!$A472="","",'ORDENES'!$AB472)</f>
        <v/>
      </c>
    </row>
    <row r="495">
      <c r="A495" s="3">
        <f>IF('ORDENES'!$A473="","",IF('ORDENES'!$P473="","-",'ORDENES'!$P473))</f>
        <v/>
      </c>
      <c r="B495" s="3">
        <f>IF('ORDENES'!$A473="","",IF('ORDENES'!$S473="","-",'ORDENES'!$S473))</f>
        <v/>
      </c>
      <c r="C495" s="3">
        <f>IF('ORDENES'!$A473="","",IF('ORDENES'!$AD473="","-",'ORDENES'!$AD473))</f>
        <v/>
      </c>
      <c r="D495" s="3">
        <f>IF('ORDENES'!$A473="","",IF('ORDENES'!$W473="","-",'ORDENES'!$W473))</f>
        <v/>
      </c>
      <c r="E495" s="3">
        <f>IF('ORDENES'!$A473="","",IF('ORDENES'!$V473="","-",'ORDENES'!$V473))</f>
        <v/>
      </c>
      <c r="F495" s="3">
        <f>IF('ORDENES'!$A473="","",IF('ORDENES'!$X473="","-",'ORDENES'!$X473))</f>
        <v/>
      </c>
      <c r="G495" s="3">
        <f>IF('ORDENES'!$A473="","",IF('ORDENES'!$AC473="","-",'ORDENES'!$AC473))</f>
        <v/>
      </c>
      <c r="H495" s="3">
        <f>IF('ORDENES'!$A473="","",IF('ORDENES'!$AO473="","-",'ORDENES'!$AO473))</f>
        <v/>
      </c>
      <c r="I495" s="3">
        <f>IF('ORDENES'!$A473="","",IF('ORDENES'!$D473="","-",'ORDENES'!$D473))</f>
        <v/>
      </c>
      <c r="J495" s="3">
        <f>IF('ORDENES'!$A473="","",IF('ORDENES'!$E473="","-",'ORDENES'!$E473))</f>
        <v/>
      </c>
      <c r="K495" s="12">
        <f>IF('ORDENES'!$A473="","",IF('ORDENES'!$N473="",0,'ORDENES'!$N473))</f>
        <v/>
      </c>
      <c r="L495" s="3">
        <f>IF('ORDENES'!$A473="","",IF('ORDENES'!$O473="","-",'ORDENES'!$O473))</f>
        <v/>
      </c>
      <c r="M495" s="3">
        <f>IF('ORDENES'!$A473="","",'ORDENES'!$AB473)</f>
        <v/>
      </c>
    </row>
    <row r="496">
      <c r="A496" s="3">
        <f>IF('ORDENES'!$A474="","",IF('ORDENES'!$P474="","-",'ORDENES'!$P474))</f>
        <v/>
      </c>
      <c r="B496" s="3">
        <f>IF('ORDENES'!$A474="","",IF('ORDENES'!$S474="","-",'ORDENES'!$S474))</f>
        <v/>
      </c>
      <c r="C496" s="3">
        <f>IF('ORDENES'!$A474="","",IF('ORDENES'!$AD474="","-",'ORDENES'!$AD474))</f>
        <v/>
      </c>
      <c r="D496" s="3">
        <f>IF('ORDENES'!$A474="","",IF('ORDENES'!$W474="","-",'ORDENES'!$W474))</f>
        <v/>
      </c>
      <c r="E496" s="3">
        <f>IF('ORDENES'!$A474="","",IF('ORDENES'!$V474="","-",'ORDENES'!$V474))</f>
        <v/>
      </c>
      <c r="F496" s="3">
        <f>IF('ORDENES'!$A474="","",IF('ORDENES'!$X474="","-",'ORDENES'!$X474))</f>
        <v/>
      </c>
      <c r="G496" s="3">
        <f>IF('ORDENES'!$A474="","",IF('ORDENES'!$AC474="","-",'ORDENES'!$AC474))</f>
        <v/>
      </c>
      <c r="H496" s="3">
        <f>IF('ORDENES'!$A474="","",IF('ORDENES'!$AO474="","-",'ORDENES'!$AO474))</f>
        <v/>
      </c>
      <c r="I496" s="3">
        <f>IF('ORDENES'!$A474="","",IF('ORDENES'!$D474="","-",'ORDENES'!$D474))</f>
        <v/>
      </c>
      <c r="J496" s="3">
        <f>IF('ORDENES'!$A474="","",IF('ORDENES'!$E474="","-",'ORDENES'!$E474))</f>
        <v/>
      </c>
      <c r="K496" s="12">
        <f>IF('ORDENES'!$A474="","",IF('ORDENES'!$N474="",0,'ORDENES'!$N474))</f>
        <v/>
      </c>
      <c r="L496" s="3">
        <f>IF('ORDENES'!$A474="","",IF('ORDENES'!$O474="","-",'ORDENES'!$O474))</f>
        <v/>
      </c>
      <c r="M496" s="3">
        <f>IF('ORDENES'!$A474="","",'ORDENES'!$AB474)</f>
        <v/>
      </c>
    </row>
    <row r="497">
      <c r="A497" s="3">
        <f>IF('ORDENES'!$A475="","",IF('ORDENES'!$P475="","-",'ORDENES'!$P475))</f>
        <v/>
      </c>
      <c r="B497" s="3">
        <f>IF('ORDENES'!$A475="","",IF('ORDENES'!$S475="","-",'ORDENES'!$S475))</f>
        <v/>
      </c>
      <c r="C497" s="3">
        <f>IF('ORDENES'!$A475="","",IF('ORDENES'!$AD475="","-",'ORDENES'!$AD475))</f>
        <v/>
      </c>
      <c r="D497" s="3">
        <f>IF('ORDENES'!$A475="","",IF('ORDENES'!$W475="","-",'ORDENES'!$W475))</f>
        <v/>
      </c>
      <c r="E497" s="3">
        <f>IF('ORDENES'!$A475="","",IF('ORDENES'!$V475="","-",'ORDENES'!$V475))</f>
        <v/>
      </c>
      <c r="F497" s="3">
        <f>IF('ORDENES'!$A475="","",IF('ORDENES'!$X475="","-",'ORDENES'!$X475))</f>
        <v/>
      </c>
      <c r="G497" s="3">
        <f>IF('ORDENES'!$A475="","",IF('ORDENES'!$AC475="","-",'ORDENES'!$AC475))</f>
        <v/>
      </c>
      <c r="H497" s="3">
        <f>IF('ORDENES'!$A475="","",IF('ORDENES'!$AO475="","-",'ORDENES'!$AO475))</f>
        <v/>
      </c>
      <c r="I497" s="3">
        <f>IF('ORDENES'!$A475="","",IF('ORDENES'!$D475="","-",'ORDENES'!$D475))</f>
        <v/>
      </c>
      <c r="J497" s="3">
        <f>IF('ORDENES'!$A475="","",IF('ORDENES'!$E475="","-",'ORDENES'!$E475))</f>
        <v/>
      </c>
      <c r="K497" s="12">
        <f>IF('ORDENES'!$A475="","",IF('ORDENES'!$N475="",0,'ORDENES'!$N475))</f>
        <v/>
      </c>
      <c r="L497" s="3">
        <f>IF('ORDENES'!$A475="","",IF('ORDENES'!$O475="","-",'ORDENES'!$O475))</f>
        <v/>
      </c>
      <c r="M497" s="3">
        <f>IF('ORDENES'!$A475="","",'ORDENES'!$AB475)</f>
        <v/>
      </c>
    </row>
    <row r="498">
      <c r="A498" s="3">
        <f>IF('ORDENES'!$A476="","",IF('ORDENES'!$P476="","-",'ORDENES'!$P476))</f>
        <v/>
      </c>
      <c r="B498" s="3">
        <f>IF('ORDENES'!$A476="","",IF('ORDENES'!$S476="","-",'ORDENES'!$S476))</f>
        <v/>
      </c>
      <c r="C498" s="3">
        <f>IF('ORDENES'!$A476="","",IF('ORDENES'!$AD476="","-",'ORDENES'!$AD476))</f>
        <v/>
      </c>
      <c r="D498" s="3">
        <f>IF('ORDENES'!$A476="","",IF('ORDENES'!$W476="","-",'ORDENES'!$W476))</f>
        <v/>
      </c>
      <c r="E498" s="3">
        <f>IF('ORDENES'!$A476="","",IF('ORDENES'!$V476="","-",'ORDENES'!$V476))</f>
        <v/>
      </c>
      <c r="F498" s="3">
        <f>IF('ORDENES'!$A476="","",IF('ORDENES'!$X476="","-",'ORDENES'!$X476))</f>
        <v/>
      </c>
      <c r="G498" s="3">
        <f>IF('ORDENES'!$A476="","",IF('ORDENES'!$AC476="","-",'ORDENES'!$AC476))</f>
        <v/>
      </c>
      <c r="H498" s="3">
        <f>IF('ORDENES'!$A476="","",IF('ORDENES'!$AO476="","-",'ORDENES'!$AO476))</f>
        <v/>
      </c>
      <c r="I498" s="3">
        <f>IF('ORDENES'!$A476="","",IF('ORDENES'!$D476="","-",'ORDENES'!$D476))</f>
        <v/>
      </c>
      <c r="J498" s="3">
        <f>IF('ORDENES'!$A476="","",IF('ORDENES'!$E476="","-",'ORDENES'!$E476))</f>
        <v/>
      </c>
      <c r="K498" s="12">
        <f>IF('ORDENES'!$A476="","",IF('ORDENES'!$N476="",0,'ORDENES'!$N476))</f>
        <v/>
      </c>
      <c r="L498" s="3">
        <f>IF('ORDENES'!$A476="","",IF('ORDENES'!$O476="","-",'ORDENES'!$O476))</f>
        <v/>
      </c>
      <c r="M498" s="3">
        <f>IF('ORDENES'!$A476="","",'ORDENES'!$AB476)</f>
        <v/>
      </c>
    </row>
    <row r="499">
      <c r="A499" s="3">
        <f>IF('ORDENES'!$A477="","",IF('ORDENES'!$P477="","-",'ORDENES'!$P477))</f>
        <v/>
      </c>
      <c r="B499" s="3">
        <f>IF('ORDENES'!$A477="","",IF('ORDENES'!$S477="","-",'ORDENES'!$S477))</f>
        <v/>
      </c>
      <c r="C499" s="3">
        <f>IF('ORDENES'!$A477="","",IF('ORDENES'!$AD477="","-",'ORDENES'!$AD477))</f>
        <v/>
      </c>
      <c r="D499" s="3">
        <f>IF('ORDENES'!$A477="","",IF('ORDENES'!$W477="","-",'ORDENES'!$W477))</f>
        <v/>
      </c>
      <c r="E499" s="3">
        <f>IF('ORDENES'!$A477="","",IF('ORDENES'!$V477="","-",'ORDENES'!$V477))</f>
        <v/>
      </c>
      <c r="F499" s="3">
        <f>IF('ORDENES'!$A477="","",IF('ORDENES'!$X477="","-",'ORDENES'!$X477))</f>
        <v/>
      </c>
      <c r="G499" s="3">
        <f>IF('ORDENES'!$A477="","",IF('ORDENES'!$AC477="","-",'ORDENES'!$AC477))</f>
        <v/>
      </c>
      <c r="H499" s="3">
        <f>IF('ORDENES'!$A477="","",IF('ORDENES'!$AO477="","-",'ORDENES'!$AO477))</f>
        <v/>
      </c>
      <c r="I499" s="3">
        <f>IF('ORDENES'!$A477="","",IF('ORDENES'!$D477="","-",'ORDENES'!$D477))</f>
        <v/>
      </c>
      <c r="J499" s="3">
        <f>IF('ORDENES'!$A477="","",IF('ORDENES'!$E477="","-",'ORDENES'!$E477))</f>
        <v/>
      </c>
      <c r="K499" s="12">
        <f>IF('ORDENES'!$A477="","",IF('ORDENES'!$N477="",0,'ORDENES'!$N477))</f>
        <v/>
      </c>
      <c r="L499" s="3">
        <f>IF('ORDENES'!$A477="","",IF('ORDENES'!$O477="","-",'ORDENES'!$O477))</f>
        <v/>
      </c>
      <c r="M499" s="3">
        <f>IF('ORDENES'!$A477="","",'ORDENES'!$AB477)</f>
        <v/>
      </c>
    </row>
    <row r="500">
      <c r="A500" s="3">
        <f>IF('ORDENES'!$A478="","",IF('ORDENES'!$P478="","-",'ORDENES'!$P478))</f>
        <v/>
      </c>
      <c r="B500" s="3">
        <f>IF('ORDENES'!$A478="","",IF('ORDENES'!$S478="","-",'ORDENES'!$S478))</f>
        <v/>
      </c>
      <c r="C500" s="3">
        <f>IF('ORDENES'!$A478="","",IF('ORDENES'!$AD478="","-",'ORDENES'!$AD478))</f>
        <v/>
      </c>
      <c r="D500" s="3">
        <f>IF('ORDENES'!$A478="","",IF('ORDENES'!$W478="","-",'ORDENES'!$W478))</f>
        <v/>
      </c>
      <c r="E500" s="3">
        <f>IF('ORDENES'!$A478="","",IF('ORDENES'!$V478="","-",'ORDENES'!$V478))</f>
        <v/>
      </c>
      <c r="F500" s="3">
        <f>IF('ORDENES'!$A478="","",IF('ORDENES'!$X478="","-",'ORDENES'!$X478))</f>
        <v/>
      </c>
      <c r="G500" s="3">
        <f>IF('ORDENES'!$A478="","",IF('ORDENES'!$AC478="","-",'ORDENES'!$AC478))</f>
        <v/>
      </c>
      <c r="H500" s="3">
        <f>IF('ORDENES'!$A478="","",IF('ORDENES'!$AO478="","-",'ORDENES'!$AO478))</f>
        <v/>
      </c>
      <c r="I500" s="3">
        <f>IF('ORDENES'!$A478="","",IF('ORDENES'!$D478="","-",'ORDENES'!$D478))</f>
        <v/>
      </c>
      <c r="J500" s="3">
        <f>IF('ORDENES'!$A478="","",IF('ORDENES'!$E478="","-",'ORDENES'!$E478))</f>
        <v/>
      </c>
      <c r="K500" s="12">
        <f>IF('ORDENES'!$A478="","",IF('ORDENES'!$N478="",0,'ORDENES'!$N478))</f>
        <v/>
      </c>
      <c r="L500" s="3">
        <f>IF('ORDENES'!$A478="","",IF('ORDENES'!$O478="","-",'ORDENES'!$O478))</f>
        <v/>
      </c>
      <c r="M500" s="3">
        <f>IF('ORDENES'!$A478="","",'ORDENES'!$AB478)</f>
        <v/>
      </c>
    </row>
    <row r="501">
      <c r="A501" s="3">
        <f>IF('ORDENES'!$A479="","",IF('ORDENES'!$P479="","-",'ORDENES'!$P479))</f>
        <v/>
      </c>
      <c r="B501" s="3">
        <f>IF('ORDENES'!$A479="","",IF('ORDENES'!$S479="","-",'ORDENES'!$S479))</f>
        <v/>
      </c>
      <c r="C501" s="3">
        <f>IF('ORDENES'!$A479="","",IF('ORDENES'!$AD479="","-",'ORDENES'!$AD479))</f>
        <v/>
      </c>
      <c r="D501" s="3">
        <f>IF('ORDENES'!$A479="","",IF('ORDENES'!$W479="","-",'ORDENES'!$W479))</f>
        <v/>
      </c>
      <c r="E501" s="3">
        <f>IF('ORDENES'!$A479="","",IF('ORDENES'!$V479="","-",'ORDENES'!$V479))</f>
        <v/>
      </c>
      <c r="F501" s="3">
        <f>IF('ORDENES'!$A479="","",IF('ORDENES'!$X479="","-",'ORDENES'!$X479))</f>
        <v/>
      </c>
      <c r="G501" s="3">
        <f>IF('ORDENES'!$A479="","",IF('ORDENES'!$AC479="","-",'ORDENES'!$AC479))</f>
        <v/>
      </c>
      <c r="H501" s="3">
        <f>IF('ORDENES'!$A479="","",IF('ORDENES'!$AO479="","-",'ORDENES'!$AO479))</f>
        <v/>
      </c>
      <c r="I501" s="3">
        <f>IF('ORDENES'!$A479="","",IF('ORDENES'!$D479="","-",'ORDENES'!$D479))</f>
        <v/>
      </c>
      <c r="J501" s="3">
        <f>IF('ORDENES'!$A479="","",IF('ORDENES'!$E479="","-",'ORDENES'!$E479))</f>
        <v/>
      </c>
      <c r="K501" s="12">
        <f>IF('ORDENES'!$A479="","",IF('ORDENES'!$N479="",0,'ORDENES'!$N479))</f>
        <v/>
      </c>
      <c r="L501" s="3">
        <f>IF('ORDENES'!$A479="","",IF('ORDENES'!$O479="","-",'ORDENES'!$O479))</f>
        <v/>
      </c>
      <c r="M501" s="3">
        <f>IF('ORDENES'!$A479="","",'ORDENES'!$AB479)</f>
        <v/>
      </c>
    </row>
    <row r="502">
      <c r="A502" s="3">
        <f>IF('ORDENES'!$A480="","",IF('ORDENES'!$P480="","-",'ORDENES'!$P480))</f>
        <v/>
      </c>
      <c r="B502" s="3">
        <f>IF('ORDENES'!$A480="","",IF('ORDENES'!$S480="","-",'ORDENES'!$S480))</f>
        <v/>
      </c>
      <c r="C502" s="3">
        <f>IF('ORDENES'!$A480="","",IF('ORDENES'!$AD480="","-",'ORDENES'!$AD480))</f>
        <v/>
      </c>
      <c r="D502" s="3">
        <f>IF('ORDENES'!$A480="","",IF('ORDENES'!$W480="","-",'ORDENES'!$W480))</f>
        <v/>
      </c>
      <c r="E502" s="3">
        <f>IF('ORDENES'!$A480="","",IF('ORDENES'!$V480="","-",'ORDENES'!$V480))</f>
        <v/>
      </c>
      <c r="F502" s="3">
        <f>IF('ORDENES'!$A480="","",IF('ORDENES'!$X480="","-",'ORDENES'!$X480))</f>
        <v/>
      </c>
      <c r="G502" s="3">
        <f>IF('ORDENES'!$A480="","",IF('ORDENES'!$AC480="","-",'ORDENES'!$AC480))</f>
        <v/>
      </c>
      <c r="H502" s="3">
        <f>IF('ORDENES'!$A480="","",IF('ORDENES'!$AO480="","-",'ORDENES'!$AO480))</f>
        <v/>
      </c>
      <c r="I502" s="3">
        <f>IF('ORDENES'!$A480="","",IF('ORDENES'!$D480="","-",'ORDENES'!$D480))</f>
        <v/>
      </c>
      <c r="J502" s="3">
        <f>IF('ORDENES'!$A480="","",IF('ORDENES'!$E480="","-",'ORDENES'!$E480))</f>
        <v/>
      </c>
      <c r="K502" s="12">
        <f>IF('ORDENES'!$A480="","",IF('ORDENES'!$N480="",0,'ORDENES'!$N480))</f>
        <v/>
      </c>
      <c r="L502" s="3">
        <f>IF('ORDENES'!$A480="","",IF('ORDENES'!$O480="","-",'ORDENES'!$O480))</f>
        <v/>
      </c>
      <c r="M502" s="3">
        <f>IF('ORDENES'!$A480="","",'ORDENES'!$AB480)</f>
        <v/>
      </c>
    </row>
    <row r="503">
      <c r="A503" s="3">
        <f>IF('ORDENES'!$A481="","",IF('ORDENES'!$P481="","-",'ORDENES'!$P481))</f>
        <v/>
      </c>
      <c r="B503" s="3">
        <f>IF('ORDENES'!$A481="","",IF('ORDENES'!$S481="","-",'ORDENES'!$S481))</f>
        <v/>
      </c>
      <c r="C503" s="3">
        <f>IF('ORDENES'!$A481="","",IF('ORDENES'!$AD481="","-",'ORDENES'!$AD481))</f>
        <v/>
      </c>
      <c r="D503" s="3">
        <f>IF('ORDENES'!$A481="","",IF('ORDENES'!$W481="","-",'ORDENES'!$W481))</f>
        <v/>
      </c>
      <c r="E503" s="3">
        <f>IF('ORDENES'!$A481="","",IF('ORDENES'!$V481="","-",'ORDENES'!$V481))</f>
        <v/>
      </c>
      <c r="F503" s="3">
        <f>IF('ORDENES'!$A481="","",IF('ORDENES'!$X481="","-",'ORDENES'!$X481))</f>
        <v/>
      </c>
      <c r="G503" s="3">
        <f>IF('ORDENES'!$A481="","",IF('ORDENES'!$AC481="","-",'ORDENES'!$AC481))</f>
        <v/>
      </c>
      <c r="H503" s="3">
        <f>IF('ORDENES'!$A481="","",IF('ORDENES'!$AO481="","-",'ORDENES'!$AO481))</f>
        <v/>
      </c>
      <c r="I503" s="3">
        <f>IF('ORDENES'!$A481="","",IF('ORDENES'!$D481="","-",'ORDENES'!$D481))</f>
        <v/>
      </c>
      <c r="J503" s="3">
        <f>IF('ORDENES'!$A481="","",IF('ORDENES'!$E481="","-",'ORDENES'!$E481))</f>
        <v/>
      </c>
      <c r="K503" s="12">
        <f>IF('ORDENES'!$A481="","",IF('ORDENES'!$N481="",0,'ORDENES'!$N481))</f>
        <v/>
      </c>
      <c r="L503" s="3">
        <f>IF('ORDENES'!$A481="","",IF('ORDENES'!$O481="","-",'ORDENES'!$O481))</f>
        <v/>
      </c>
      <c r="M503" s="3">
        <f>IF('ORDENES'!$A481="","",'ORDENES'!$AB481)</f>
        <v/>
      </c>
    </row>
    <row r="504">
      <c r="A504" s="3">
        <f>IF('ORDENES'!$A482="","",IF('ORDENES'!$P482="","-",'ORDENES'!$P482))</f>
        <v/>
      </c>
      <c r="B504" s="3">
        <f>IF('ORDENES'!$A482="","",IF('ORDENES'!$S482="","-",'ORDENES'!$S482))</f>
        <v/>
      </c>
      <c r="C504" s="3">
        <f>IF('ORDENES'!$A482="","",IF('ORDENES'!$AD482="","-",'ORDENES'!$AD482))</f>
        <v/>
      </c>
      <c r="D504" s="3">
        <f>IF('ORDENES'!$A482="","",IF('ORDENES'!$W482="","-",'ORDENES'!$W482))</f>
        <v/>
      </c>
      <c r="E504" s="3">
        <f>IF('ORDENES'!$A482="","",IF('ORDENES'!$V482="","-",'ORDENES'!$V482))</f>
        <v/>
      </c>
      <c r="F504" s="3">
        <f>IF('ORDENES'!$A482="","",IF('ORDENES'!$X482="","-",'ORDENES'!$X482))</f>
        <v/>
      </c>
      <c r="G504" s="3">
        <f>IF('ORDENES'!$A482="","",IF('ORDENES'!$AC482="","-",'ORDENES'!$AC482))</f>
        <v/>
      </c>
      <c r="H504" s="3">
        <f>IF('ORDENES'!$A482="","",IF('ORDENES'!$AO482="","-",'ORDENES'!$AO482))</f>
        <v/>
      </c>
      <c r="I504" s="3">
        <f>IF('ORDENES'!$A482="","",IF('ORDENES'!$D482="","-",'ORDENES'!$D482))</f>
        <v/>
      </c>
      <c r="J504" s="3">
        <f>IF('ORDENES'!$A482="","",IF('ORDENES'!$E482="","-",'ORDENES'!$E482))</f>
        <v/>
      </c>
      <c r="K504" s="12">
        <f>IF('ORDENES'!$A482="","",IF('ORDENES'!$N482="",0,'ORDENES'!$N482))</f>
        <v/>
      </c>
      <c r="L504" s="3">
        <f>IF('ORDENES'!$A482="","",IF('ORDENES'!$O482="","-",'ORDENES'!$O482))</f>
        <v/>
      </c>
      <c r="M504" s="3">
        <f>IF('ORDENES'!$A482="","",'ORDENES'!$AB482)</f>
        <v/>
      </c>
    </row>
    <row r="505">
      <c r="A505" s="3">
        <f>IF('ORDENES'!$A483="","",IF('ORDENES'!$P483="","-",'ORDENES'!$P483))</f>
        <v/>
      </c>
      <c r="B505" s="3">
        <f>IF('ORDENES'!$A483="","",IF('ORDENES'!$S483="","-",'ORDENES'!$S483))</f>
        <v/>
      </c>
      <c r="C505" s="3">
        <f>IF('ORDENES'!$A483="","",IF('ORDENES'!$AD483="","-",'ORDENES'!$AD483))</f>
        <v/>
      </c>
      <c r="D505" s="3">
        <f>IF('ORDENES'!$A483="","",IF('ORDENES'!$W483="","-",'ORDENES'!$W483))</f>
        <v/>
      </c>
      <c r="E505" s="3">
        <f>IF('ORDENES'!$A483="","",IF('ORDENES'!$V483="","-",'ORDENES'!$V483))</f>
        <v/>
      </c>
      <c r="F505" s="3">
        <f>IF('ORDENES'!$A483="","",IF('ORDENES'!$X483="","-",'ORDENES'!$X483))</f>
        <v/>
      </c>
      <c r="G505" s="3">
        <f>IF('ORDENES'!$A483="","",IF('ORDENES'!$AC483="","-",'ORDENES'!$AC483))</f>
        <v/>
      </c>
      <c r="H505" s="3">
        <f>IF('ORDENES'!$A483="","",IF('ORDENES'!$AO483="","-",'ORDENES'!$AO483))</f>
        <v/>
      </c>
      <c r="I505" s="3">
        <f>IF('ORDENES'!$A483="","",IF('ORDENES'!$D483="","-",'ORDENES'!$D483))</f>
        <v/>
      </c>
      <c r="J505" s="3">
        <f>IF('ORDENES'!$A483="","",IF('ORDENES'!$E483="","-",'ORDENES'!$E483))</f>
        <v/>
      </c>
      <c r="K505" s="12">
        <f>IF('ORDENES'!$A483="","",IF('ORDENES'!$N483="",0,'ORDENES'!$N483))</f>
        <v/>
      </c>
      <c r="L505" s="3">
        <f>IF('ORDENES'!$A483="","",IF('ORDENES'!$O483="","-",'ORDENES'!$O483))</f>
        <v/>
      </c>
      <c r="M505" s="3">
        <f>IF('ORDENES'!$A483="","",'ORDENES'!$AB483)</f>
        <v/>
      </c>
    </row>
    <row r="506">
      <c r="A506" s="3">
        <f>IF('ORDENES'!$A484="","",IF('ORDENES'!$P484="","-",'ORDENES'!$P484))</f>
        <v/>
      </c>
      <c r="B506" s="3">
        <f>IF('ORDENES'!$A484="","",IF('ORDENES'!$S484="","-",'ORDENES'!$S484))</f>
        <v/>
      </c>
      <c r="C506" s="3">
        <f>IF('ORDENES'!$A484="","",IF('ORDENES'!$AD484="","-",'ORDENES'!$AD484))</f>
        <v/>
      </c>
      <c r="D506" s="3">
        <f>IF('ORDENES'!$A484="","",IF('ORDENES'!$W484="","-",'ORDENES'!$W484))</f>
        <v/>
      </c>
      <c r="E506" s="3">
        <f>IF('ORDENES'!$A484="","",IF('ORDENES'!$V484="","-",'ORDENES'!$V484))</f>
        <v/>
      </c>
      <c r="F506" s="3">
        <f>IF('ORDENES'!$A484="","",IF('ORDENES'!$X484="","-",'ORDENES'!$X484))</f>
        <v/>
      </c>
      <c r="G506" s="3">
        <f>IF('ORDENES'!$A484="","",IF('ORDENES'!$AC484="","-",'ORDENES'!$AC484))</f>
        <v/>
      </c>
      <c r="H506" s="3">
        <f>IF('ORDENES'!$A484="","",IF('ORDENES'!$AO484="","-",'ORDENES'!$AO484))</f>
        <v/>
      </c>
      <c r="I506" s="3">
        <f>IF('ORDENES'!$A484="","",IF('ORDENES'!$D484="","-",'ORDENES'!$D484))</f>
        <v/>
      </c>
      <c r="J506" s="3">
        <f>IF('ORDENES'!$A484="","",IF('ORDENES'!$E484="","-",'ORDENES'!$E484))</f>
        <v/>
      </c>
      <c r="K506" s="12">
        <f>IF('ORDENES'!$A484="","",IF('ORDENES'!$N484="",0,'ORDENES'!$N484))</f>
        <v/>
      </c>
      <c r="L506" s="3">
        <f>IF('ORDENES'!$A484="","",IF('ORDENES'!$O484="","-",'ORDENES'!$O484))</f>
        <v/>
      </c>
      <c r="M506" s="3">
        <f>IF('ORDENES'!$A484="","",'ORDENES'!$AB484)</f>
        <v/>
      </c>
    </row>
    <row r="507">
      <c r="A507" s="3">
        <f>IF('ORDENES'!$A485="","",IF('ORDENES'!$P485="","-",'ORDENES'!$P485))</f>
        <v/>
      </c>
      <c r="B507" s="3">
        <f>IF('ORDENES'!$A485="","",IF('ORDENES'!$S485="","-",'ORDENES'!$S485))</f>
        <v/>
      </c>
      <c r="C507" s="3">
        <f>IF('ORDENES'!$A485="","",IF('ORDENES'!$AD485="","-",'ORDENES'!$AD485))</f>
        <v/>
      </c>
      <c r="D507" s="3">
        <f>IF('ORDENES'!$A485="","",IF('ORDENES'!$W485="","-",'ORDENES'!$W485))</f>
        <v/>
      </c>
      <c r="E507" s="3">
        <f>IF('ORDENES'!$A485="","",IF('ORDENES'!$V485="","-",'ORDENES'!$V485))</f>
        <v/>
      </c>
      <c r="F507" s="3">
        <f>IF('ORDENES'!$A485="","",IF('ORDENES'!$X485="","-",'ORDENES'!$X485))</f>
        <v/>
      </c>
      <c r="G507" s="3">
        <f>IF('ORDENES'!$A485="","",IF('ORDENES'!$AC485="","-",'ORDENES'!$AC485))</f>
        <v/>
      </c>
      <c r="H507" s="3">
        <f>IF('ORDENES'!$A485="","",IF('ORDENES'!$AO485="","-",'ORDENES'!$AO485))</f>
        <v/>
      </c>
      <c r="I507" s="3">
        <f>IF('ORDENES'!$A485="","",IF('ORDENES'!$D485="","-",'ORDENES'!$D485))</f>
        <v/>
      </c>
      <c r="J507" s="3">
        <f>IF('ORDENES'!$A485="","",IF('ORDENES'!$E485="","-",'ORDENES'!$E485))</f>
        <v/>
      </c>
      <c r="K507" s="12">
        <f>IF('ORDENES'!$A485="","",IF('ORDENES'!$N485="",0,'ORDENES'!$N485))</f>
        <v/>
      </c>
      <c r="L507" s="3">
        <f>IF('ORDENES'!$A485="","",IF('ORDENES'!$O485="","-",'ORDENES'!$O485))</f>
        <v/>
      </c>
      <c r="M507" s="3">
        <f>IF('ORDENES'!$A485="","",'ORDENES'!$AB485)</f>
        <v/>
      </c>
    </row>
    <row r="508">
      <c r="A508" s="3">
        <f>IF('ORDENES'!$A486="","",IF('ORDENES'!$P486="","-",'ORDENES'!$P486))</f>
        <v/>
      </c>
      <c r="B508" s="3">
        <f>IF('ORDENES'!$A486="","",IF('ORDENES'!$S486="","-",'ORDENES'!$S486))</f>
        <v/>
      </c>
      <c r="C508" s="3">
        <f>IF('ORDENES'!$A486="","",IF('ORDENES'!$AD486="","-",'ORDENES'!$AD486))</f>
        <v/>
      </c>
      <c r="D508" s="3">
        <f>IF('ORDENES'!$A486="","",IF('ORDENES'!$W486="","-",'ORDENES'!$W486))</f>
        <v/>
      </c>
      <c r="E508" s="3">
        <f>IF('ORDENES'!$A486="","",IF('ORDENES'!$V486="","-",'ORDENES'!$V486))</f>
        <v/>
      </c>
      <c r="F508" s="3">
        <f>IF('ORDENES'!$A486="","",IF('ORDENES'!$X486="","-",'ORDENES'!$X486))</f>
        <v/>
      </c>
      <c r="G508" s="3">
        <f>IF('ORDENES'!$A486="","",IF('ORDENES'!$AC486="","-",'ORDENES'!$AC486))</f>
        <v/>
      </c>
      <c r="H508" s="3">
        <f>IF('ORDENES'!$A486="","",IF('ORDENES'!$AO486="","-",'ORDENES'!$AO486))</f>
        <v/>
      </c>
      <c r="I508" s="3">
        <f>IF('ORDENES'!$A486="","",IF('ORDENES'!$D486="","-",'ORDENES'!$D486))</f>
        <v/>
      </c>
      <c r="J508" s="3">
        <f>IF('ORDENES'!$A486="","",IF('ORDENES'!$E486="","-",'ORDENES'!$E486))</f>
        <v/>
      </c>
      <c r="K508" s="12">
        <f>IF('ORDENES'!$A486="","",IF('ORDENES'!$N486="",0,'ORDENES'!$N486))</f>
        <v/>
      </c>
      <c r="L508" s="3">
        <f>IF('ORDENES'!$A486="","",IF('ORDENES'!$O486="","-",'ORDENES'!$O486))</f>
        <v/>
      </c>
      <c r="M508" s="3">
        <f>IF('ORDENES'!$A486="","",'ORDENES'!$AB486)</f>
        <v/>
      </c>
    </row>
    <row r="509">
      <c r="A509" s="3">
        <f>IF('ORDENES'!$A487="","",IF('ORDENES'!$P487="","-",'ORDENES'!$P487))</f>
        <v/>
      </c>
      <c r="B509" s="3">
        <f>IF('ORDENES'!$A487="","",IF('ORDENES'!$S487="","-",'ORDENES'!$S487))</f>
        <v/>
      </c>
      <c r="C509" s="3">
        <f>IF('ORDENES'!$A487="","",IF('ORDENES'!$AD487="","-",'ORDENES'!$AD487))</f>
        <v/>
      </c>
      <c r="D509" s="3">
        <f>IF('ORDENES'!$A487="","",IF('ORDENES'!$W487="","-",'ORDENES'!$W487))</f>
        <v/>
      </c>
      <c r="E509" s="3">
        <f>IF('ORDENES'!$A487="","",IF('ORDENES'!$V487="","-",'ORDENES'!$V487))</f>
        <v/>
      </c>
      <c r="F509" s="3">
        <f>IF('ORDENES'!$A487="","",IF('ORDENES'!$X487="","-",'ORDENES'!$X487))</f>
        <v/>
      </c>
      <c r="G509" s="3">
        <f>IF('ORDENES'!$A487="","",IF('ORDENES'!$AC487="","-",'ORDENES'!$AC487))</f>
        <v/>
      </c>
      <c r="H509" s="3">
        <f>IF('ORDENES'!$A487="","",IF('ORDENES'!$AO487="","-",'ORDENES'!$AO487))</f>
        <v/>
      </c>
      <c r="I509" s="3">
        <f>IF('ORDENES'!$A487="","",IF('ORDENES'!$D487="","-",'ORDENES'!$D487))</f>
        <v/>
      </c>
      <c r="J509" s="3">
        <f>IF('ORDENES'!$A487="","",IF('ORDENES'!$E487="","-",'ORDENES'!$E487))</f>
        <v/>
      </c>
      <c r="K509" s="12">
        <f>IF('ORDENES'!$A487="","",IF('ORDENES'!$N487="",0,'ORDENES'!$N487))</f>
        <v/>
      </c>
      <c r="L509" s="3">
        <f>IF('ORDENES'!$A487="","",IF('ORDENES'!$O487="","-",'ORDENES'!$O487))</f>
        <v/>
      </c>
      <c r="M509" s="3">
        <f>IF('ORDENES'!$A487="","",'ORDENES'!$AB487)</f>
        <v/>
      </c>
    </row>
    <row r="510">
      <c r="A510" s="3">
        <f>IF('ORDENES'!$A488="","",IF('ORDENES'!$P488="","-",'ORDENES'!$P488))</f>
        <v/>
      </c>
      <c r="B510" s="3">
        <f>IF('ORDENES'!$A488="","",IF('ORDENES'!$S488="","-",'ORDENES'!$S488))</f>
        <v/>
      </c>
      <c r="C510" s="3">
        <f>IF('ORDENES'!$A488="","",IF('ORDENES'!$AD488="","-",'ORDENES'!$AD488))</f>
        <v/>
      </c>
      <c r="D510" s="3">
        <f>IF('ORDENES'!$A488="","",IF('ORDENES'!$W488="","-",'ORDENES'!$W488))</f>
        <v/>
      </c>
      <c r="E510" s="3">
        <f>IF('ORDENES'!$A488="","",IF('ORDENES'!$V488="","-",'ORDENES'!$V488))</f>
        <v/>
      </c>
      <c r="F510" s="3">
        <f>IF('ORDENES'!$A488="","",IF('ORDENES'!$X488="","-",'ORDENES'!$X488))</f>
        <v/>
      </c>
      <c r="G510" s="3">
        <f>IF('ORDENES'!$A488="","",IF('ORDENES'!$AC488="","-",'ORDENES'!$AC488))</f>
        <v/>
      </c>
      <c r="H510" s="3">
        <f>IF('ORDENES'!$A488="","",IF('ORDENES'!$AO488="","-",'ORDENES'!$AO488))</f>
        <v/>
      </c>
      <c r="I510" s="3">
        <f>IF('ORDENES'!$A488="","",IF('ORDENES'!$D488="","-",'ORDENES'!$D488))</f>
        <v/>
      </c>
      <c r="J510" s="3">
        <f>IF('ORDENES'!$A488="","",IF('ORDENES'!$E488="","-",'ORDENES'!$E488))</f>
        <v/>
      </c>
      <c r="K510" s="12">
        <f>IF('ORDENES'!$A488="","",IF('ORDENES'!$N488="",0,'ORDENES'!$N488))</f>
        <v/>
      </c>
      <c r="L510" s="3">
        <f>IF('ORDENES'!$A488="","",IF('ORDENES'!$O488="","-",'ORDENES'!$O488))</f>
        <v/>
      </c>
      <c r="M510" s="3">
        <f>IF('ORDENES'!$A488="","",'ORDENES'!$AB488)</f>
        <v/>
      </c>
    </row>
    <row r="511">
      <c r="A511" s="3">
        <f>IF('ORDENES'!$A489="","",IF('ORDENES'!$P489="","-",'ORDENES'!$P489))</f>
        <v/>
      </c>
      <c r="B511" s="3">
        <f>IF('ORDENES'!$A489="","",IF('ORDENES'!$S489="","-",'ORDENES'!$S489))</f>
        <v/>
      </c>
      <c r="C511" s="3">
        <f>IF('ORDENES'!$A489="","",IF('ORDENES'!$AD489="","-",'ORDENES'!$AD489))</f>
        <v/>
      </c>
      <c r="D511" s="3">
        <f>IF('ORDENES'!$A489="","",IF('ORDENES'!$W489="","-",'ORDENES'!$W489))</f>
        <v/>
      </c>
      <c r="E511" s="3">
        <f>IF('ORDENES'!$A489="","",IF('ORDENES'!$V489="","-",'ORDENES'!$V489))</f>
        <v/>
      </c>
      <c r="F511" s="3">
        <f>IF('ORDENES'!$A489="","",IF('ORDENES'!$X489="","-",'ORDENES'!$X489))</f>
        <v/>
      </c>
      <c r="G511" s="3">
        <f>IF('ORDENES'!$A489="","",IF('ORDENES'!$AC489="","-",'ORDENES'!$AC489))</f>
        <v/>
      </c>
      <c r="H511" s="3">
        <f>IF('ORDENES'!$A489="","",IF('ORDENES'!$AO489="","-",'ORDENES'!$AO489))</f>
        <v/>
      </c>
      <c r="I511" s="3">
        <f>IF('ORDENES'!$A489="","",IF('ORDENES'!$D489="","-",'ORDENES'!$D489))</f>
        <v/>
      </c>
      <c r="J511" s="3">
        <f>IF('ORDENES'!$A489="","",IF('ORDENES'!$E489="","-",'ORDENES'!$E489))</f>
        <v/>
      </c>
      <c r="K511" s="12">
        <f>IF('ORDENES'!$A489="","",IF('ORDENES'!$N489="",0,'ORDENES'!$N489))</f>
        <v/>
      </c>
      <c r="L511" s="3">
        <f>IF('ORDENES'!$A489="","",IF('ORDENES'!$O489="","-",'ORDENES'!$O489))</f>
        <v/>
      </c>
      <c r="M511" s="3">
        <f>IF('ORDENES'!$A489="","",'ORDENES'!$AB489)</f>
        <v/>
      </c>
    </row>
    <row r="512">
      <c r="A512" s="3">
        <f>IF('ORDENES'!$A490="","",IF('ORDENES'!$P490="","-",'ORDENES'!$P490))</f>
        <v/>
      </c>
      <c r="B512" s="3">
        <f>IF('ORDENES'!$A490="","",IF('ORDENES'!$S490="","-",'ORDENES'!$S490))</f>
        <v/>
      </c>
      <c r="C512" s="3">
        <f>IF('ORDENES'!$A490="","",IF('ORDENES'!$AD490="","-",'ORDENES'!$AD490))</f>
        <v/>
      </c>
      <c r="D512" s="3">
        <f>IF('ORDENES'!$A490="","",IF('ORDENES'!$W490="","-",'ORDENES'!$W490))</f>
        <v/>
      </c>
      <c r="E512" s="3">
        <f>IF('ORDENES'!$A490="","",IF('ORDENES'!$V490="","-",'ORDENES'!$V490))</f>
        <v/>
      </c>
      <c r="F512" s="3">
        <f>IF('ORDENES'!$A490="","",IF('ORDENES'!$X490="","-",'ORDENES'!$X490))</f>
        <v/>
      </c>
      <c r="G512" s="3">
        <f>IF('ORDENES'!$A490="","",IF('ORDENES'!$AC490="","-",'ORDENES'!$AC490))</f>
        <v/>
      </c>
      <c r="H512" s="3">
        <f>IF('ORDENES'!$A490="","",IF('ORDENES'!$AO490="","-",'ORDENES'!$AO490))</f>
        <v/>
      </c>
      <c r="I512" s="3">
        <f>IF('ORDENES'!$A490="","",IF('ORDENES'!$D490="","-",'ORDENES'!$D490))</f>
        <v/>
      </c>
      <c r="J512" s="3">
        <f>IF('ORDENES'!$A490="","",IF('ORDENES'!$E490="","-",'ORDENES'!$E490))</f>
        <v/>
      </c>
      <c r="K512" s="12">
        <f>IF('ORDENES'!$A490="","",IF('ORDENES'!$N490="",0,'ORDENES'!$N490))</f>
        <v/>
      </c>
      <c r="L512" s="3">
        <f>IF('ORDENES'!$A490="","",IF('ORDENES'!$O490="","-",'ORDENES'!$O490))</f>
        <v/>
      </c>
      <c r="M512" s="3">
        <f>IF('ORDENES'!$A490="","",'ORDENES'!$AB490)</f>
        <v/>
      </c>
    </row>
    <row r="513">
      <c r="A513" s="3">
        <f>IF('ORDENES'!$A491="","",IF('ORDENES'!$P491="","-",'ORDENES'!$P491))</f>
        <v/>
      </c>
      <c r="B513" s="3">
        <f>IF('ORDENES'!$A491="","",IF('ORDENES'!$S491="","-",'ORDENES'!$S491))</f>
        <v/>
      </c>
      <c r="C513" s="3">
        <f>IF('ORDENES'!$A491="","",IF('ORDENES'!$AD491="","-",'ORDENES'!$AD491))</f>
        <v/>
      </c>
      <c r="D513" s="3">
        <f>IF('ORDENES'!$A491="","",IF('ORDENES'!$W491="","-",'ORDENES'!$W491))</f>
        <v/>
      </c>
      <c r="E513" s="3">
        <f>IF('ORDENES'!$A491="","",IF('ORDENES'!$V491="","-",'ORDENES'!$V491))</f>
        <v/>
      </c>
      <c r="F513" s="3">
        <f>IF('ORDENES'!$A491="","",IF('ORDENES'!$X491="","-",'ORDENES'!$X491))</f>
        <v/>
      </c>
      <c r="G513" s="3">
        <f>IF('ORDENES'!$A491="","",IF('ORDENES'!$AC491="","-",'ORDENES'!$AC491))</f>
        <v/>
      </c>
      <c r="H513" s="3">
        <f>IF('ORDENES'!$A491="","",IF('ORDENES'!$AO491="","-",'ORDENES'!$AO491))</f>
        <v/>
      </c>
      <c r="I513" s="3">
        <f>IF('ORDENES'!$A491="","",IF('ORDENES'!$D491="","-",'ORDENES'!$D491))</f>
        <v/>
      </c>
      <c r="J513" s="3">
        <f>IF('ORDENES'!$A491="","",IF('ORDENES'!$E491="","-",'ORDENES'!$E491))</f>
        <v/>
      </c>
      <c r="K513" s="12">
        <f>IF('ORDENES'!$A491="","",IF('ORDENES'!$N491="",0,'ORDENES'!$N491))</f>
        <v/>
      </c>
      <c r="L513" s="3">
        <f>IF('ORDENES'!$A491="","",IF('ORDENES'!$O491="","-",'ORDENES'!$O491))</f>
        <v/>
      </c>
      <c r="M513" s="3">
        <f>IF('ORDENES'!$A491="","",'ORDENES'!$AB491)</f>
        <v/>
      </c>
    </row>
    <row r="514">
      <c r="A514" s="3">
        <f>IF('ORDENES'!$A492="","",IF('ORDENES'!$P492="","-",'ORDENES'!$P492))</f>
        <v/>
      </c>
      <c r="B514" s="3">
        <f>IF('ORDENES'!$A492="","",IF('ORDENES'!$S492="","-",'ORDENES'!$S492))</f>
        <v/>
      </c>
      <c r="C514" s="3">
        <f>IF('ORDENES'!$A492="","",IF('ORDENES'!$AD492="","-",'ORDENES'!$AD492))</f>
        <v/>
      </c>
      <c r="D514" s="3">
        <f>IF('ORDENES'!$A492="","",IF('ORDENES'!$W492="","-",'ORDENES'!$W492))</f>
        <v/>
      </c>
      <c r="E514" s="3">
        <f>IF('ORDENES'!$A492="","",IF('ORDENES'!$V492="","-",'ORDENES'!$V492))</f>
        <v/>
      </c>
      <c r="F514" s="3">
        <f>IF('ORDENES'!$A492="","",IF('ORDENES'!$X492="","-",'ORDENES'!$X492))</f>
        <v/>
      </c>
      <c r="G514" s="3">
        <f>IF('ORDENES'!$A492="","",IF('ORDENES'!$AC492="","-",'ORDENES'!$AC492))</f>
        <v/>
      </c>
      <c r="H514" s="3">
        <f>IF('ORDENES'!$A492="","",IF('ORDENES'!$AO492="","-",'ORDENES'!$AO492))</f>
        <v/>
      </c>
      <c r="I514" s="3">
        <f>IF('ORDENES'!$A492="","",IF('ORDENES'!$D492="","-",'ORDENES'!$D492))</f>
        <v/>
      </c>
      <c r="J514" s="3">
        <f>IF('ORDENES'!$A492="","",IF('ORDENES'!$E492="","-",'ORDENES'!$E492))</f>
        <v/>
      </c>
      <c r="K514" s="12">
        <f>IF('ORDENES'!$A492="","",IF('ORDENES'!$N492="",0,'ORDENES'!$N492))</f>
        <v/>
      </c>
      <c r="L514" s="3">
        <f>IF('ORDENES'!$A492="","",IF('ORDENES'!$O492="","-",'ORDENES'!$O492))</f>
        <v/>
      </c>
      <c r="M514" s="3">
        <f>IF('ORDENES'!$A492="","",'ORDENES'!$AB492)</f>
        <v/>
      </c>
    </row>
    <row r="515">
      <c r="A515" s="3">
        <f>IF('ORDENES'!$A493="","",IF('ORDENES'!$P493="","-",'ORDENES'!$P493))</f>
        <v/>
      </c>
      <c r="B515" s="3">
        <f>IF('ORDENES'!$A493="","",IF('ORDENES'!$S493="","-",'ORDENES'!$S493))</f>
        <v/>
      </c>
      <c r="C515" s="3">
        <f>IF('ORDENES'!$A493="","",IF('ORDENES'!$AD493="","-",'ORDENES'!$AD493))</f>
        <v/>
      </c>
      <c r="D515" s="3">
        <f>IF('ORDENES'!$A493="","",IF('ORDENES'!$W493="","-",'ORDENES'!$W493))</f>
        <v/>
      </c>
      <c r="E515" s="3">
        <f>IF('ORDENES'!$A493="","",IF('ORDENES'!$V493="","-",'ORDENES'!$V493))</f>
        <v/>
      </c>
      <c r="F515" s="3">
        <f>IF('ORDENES'!$A493="","",IF('ORDENES'!$X493="","-",'ORDENES'!$X493))</f>
        <v/>
      </c>
      <c r="G515" s="3">
        <f>IF('ORDENES'!$A493="","",IF('ORDENES'!$AC493="","-",'ORDENES'!$AC493))</f>
        <v/>
      </c>
      <c r="H515" s="3">
        <f>IF('ORDENES'!$A493="","",IF('ORDENES'!$AO493="","-",'ORDENES'!$AO493))</f>
        <v/>
      </c>
      <c r="I515" s="3">
        <f>IF('ORDENES'!$A493="","",IF('ORDENES'!$D493="","-",'ORDENES'!$D493))</f>
        <v/>
      </c>
      <c r="J515" s="3">
        <f>IF('ORDENES'!$A493="","",IF('ORDENES'!$E493="","-",'ORDENES'!$E493))</f>
        <v/>
      </c>
      <c r="K515" s="12">
        <f>IF('ORDENES'!$A493="","",IF('ORDENES'!$N493="",0,'ORDENES'!$N493))</f>
        <v/>
      </c>
      <c r="L515" s="3">
        <f>IF('ORDENES'!$A493="","",IF('ORDENES'!$O493="","-",'ORDENES'!$O493))</f>
        <v/>
      </c>
      <c r="M515" s="3">
        <f>IF('ORDENES'!$A493="","",'ORDENES'!$AB493)</f>
        <v/>
      </c>
    </row>
    <row r="516">
      <c r="A516" s="3">
        <f>IF('ORDENES'!$A494="","",IF('ORDENES'!$P494="","-",'ORDENES'!$P494))</f>
        <v/>
      </c>
      <c r="B516" s="3">
        <f>IF('ORDENES'!$A494="","",IF('ORDENES'!$S494="","-",'ORDENES'!$S494))</f>
        <v/>
      </c>
      <c r="C516" s="3">
        <f>IF('ORDENES'!$A494="","",IF('ORDENES'!$AD494="","-",'ORDENES'!$AD494))</f>
        <v/>
      </c>
      <c r="D516" s="3">
        <f>IF('ORDENES'!$A494="","",IF('ORDENES'!$W494="","-",'ORDENES'!$W494))</f>
        <v/>
      </c>
      <c r="E516" s="3">
        <f>IF('ORDENES'!$A494="","",IF('ORDENES'!$V494="","-",'ORDENES'!$V494))</f>
        <v/>
      </c>
      <c r="F516" s="3">
        <f>IF('ORDENES'!$A494="","",IF('ORDENES'!$X494="","-",'ORDENES'!$X494))</f>
        <v/>
      </c>
      <c r="G516" s="3">
        <f>IF('ORDENES'!$A494="","",IF('ORDENES'!$AC494="","-",'ORDENES'!$AC494))</f>
        <v/>
      </c>
      <c r="H516" s="3">
        <f>IF('ORDENES'!$A494="","",IF('ORDENES'!$AO494="","-",'ORDENES'!$AO494))</f>
        <v/>
      </c>
      <c r="I516" s="3">
        <f>IF('ORDENES'!$A494="","",IF('ORDENES'!$D494="","-",'ORDENES'!$D494))</f>
        <v/>
      </c>
      <c r="J516" s="3">
        <f>IF('ORDENES'!$A494="","",IF('ORDENES'!$E494="","-",'ORDENES'!$E494))</f>
        <v/>
      </c>
      <c r="K516" s="12">
        <f>IF('ORDENES'!$A494="","",IF('ORDENES'!$N494="",0,'ORDENES'!$N494))</f>
        <v/>
      </c>
      <c r="L516" s="3">
        <f>IF('ORDENES'!$A494="","",IF('ORDENES'!$O494="","-",'ORDENES'!$O494))</f>
        <v/>
      </c>
      <c r="M516" s="3">
        <f>IF('ORDENES'!$A494="","",'ORDENES'!$AB494)</f>
        <v/>
      </c>
    </row>
    <row r="517">
      <c r="A517" s="3">
        <f>IF('ORDENES'!$A495="","",IF('ORDENES'!$P495="","-",'ORDENES'!$P495))</f>
        <v/>
      </c>
      <c r="B517" s="3">
        <f>IF('ORDENES'!$A495="","",IF('ORDENES'!$S495="","-",'ORDENES'!$S495))</f>
        <v/>
      </c>
      <c r="C517" s="3">
        <f>IF('ORDENES'!$A495="","",IF('ORDENES'!$AD495="","-",'ORDENES'!$AD495))</f>
        <v/>
      </c>
      <c r="D517" s="3">
        <f>IF('ORDENES'!$A495="","",IF('ORDENES'!$W495="","-",'ORDENES'!$W495))</f>
        <v/>
      </c>
      <c r="E517" s="3">
        <f>IF('ORDENES'!$A495="","",IF('ORDENES'!$V495="","-",'ORDENES'!$V495))</f>
        <v/>
      </c>
      <c r="F517" s="3">
        <f>IF('ORDENES'!$A495="","",IF('ORDENES'!$X495="","-",'ORDENES'!$X495))</f>
        <v/>
      </c>
      <c r="G517" s="3">
        <f>IF('ORDENES'!$A495="","",IF('ORDENES'!$AC495="","-",'ORDENES'!$AC495))</f>
        <v/>
      </c>
      <c r="H517" s="3">
        <f>IF('ORDENES'!$A495="","",IF('ORDENES'!$AO495="","-",'ORDENES'!$AO495))</f>
        <v/>
      </c>
      <c r="I517" s="3">
        <f>IF('ORDENES'!$A495="","",IF('ORDENES'!$D495="","-",'ORDENES'!$D495))</f>
        <v/>
      </c>
      <c r="J517" s="3">
        <f>IF('ORDENES'!$A495="","",IF('ORDENES'!$E495="","-",'ORDENES'!$E495))</f>
        <v/>
      </c>
      <c r="K517" s="12">
        <f>IF('ORDENES'!$A495="","",IF('ORDENES'!$N495="",0,'ORDENES'!$N495))</f>
        <v/>
      </c>
      <c r="L517" s="3">
        <f>IF('ORDENES'!$A495="","",IF('ORDENES'!$O495="","-",'ORDENES'!$O495))</f>
        <v/>
      </c>
      <c r="M517" s="3">
        <f>IF('ORDENES'!$A495="","",'ORDENES'!$AB495)</f>
        <v/>
      </c>
    </row>
    <row r="518">
      <c r="A518" s="3">
        <f>IF('ORDENES'!$A496="","",IF('ORDENES'!$P496="","-",'ORDENES'!$P496))</f>
        <v/>
      </c>
      <c r="B518" s="3">
        <f>IF('ORDENES'!$A496="","",IF('ORDENES'!$S496="","-",'ORDENES'!$S496))</f>
        <v/>
      </c>
      <c r="C518" s="3">
        <f>IF('ORDENES'!$A496="","",IF('ORDENES'!$AD496="","-",'ORDENES'!$AD496))</f>
        <v/>
      </c>
      <c r="D518" s="3">
        <f>IF('ORDENES'!$A496="","",IF('ORDENES'!$W496="","-",'ORDENES'!$W496))</f>
        <v/>
      </c>
      <c r="E518" s="3">
        <f>IF('ORDENES'!$A496="","",IF('ORDENES'!$V496="","-",'ORDENES'!$V496))</f>
        <v/>
      </c>
      <c r="F518" s="3">
        <f>IF('ORDENES'!$A496="","",IF('ORDENES'!$X496="","-",'ORDENES'!$X496))</f>
        <v/>
      </c>
      <c r="G518" s="3">
        <f>IF('ORDENES'!$A496="","",IF('ORDENES'!$AC496="","-",'ORDENES'!$AC496))</f>
        <v/>
      </c>
      <c r="H518" s="3">
        <f>IF('ORDENES'!$A496="","",IF('ORDENES'!$AO496="","-",'ORDENES'!$AO496))</f>
        <v/>
      </c>
      <c r="I518" s="3">
        <f>IF('ORDENES'!$A496="","",IF('ORDENES'!$D496="","-",'ORDENES'!$D496))</f>
        <v/>
      </c>
      <c r="J518" s="3">
        <f>IF('ORDENES'!$A496="","",IF('ORDENES'!$E496="","-",'ORDENES'!$E496))</f>
        <v/>
      </c>
      <c r="K518" s="12">
        <f>IF('ORDENES'!$A496="","",IF('ORDENES'!$N496="",0,'ORDENES'!$N496))</f>
        <v/>
      </c>
      <c r="L518" s="3">
        <f>IF('ORDENES'!$A496="","",IF('ORDENES'!$O496="","-",'ORDENES'!$O496))</f>
        <v/>
      </c>
      <c r="M518" s="3">
        <f>IF('ORDENES'!$A496="","",'ORDENES'!$AB496)</f>
        <v/>
      </c>
    </row>
    <row r="519">
      <c r="A519" s="3">
        <f>IF('ORDENES'!$A497="","",IF('ORDENES'!$P497="","-",'ORDENES'!$P497))</f>
        <v/>
      </c>
      <c r="B519" s="3">
        <f>IF('ORDENES'!$A497="","",IF('ORDENES'!$S497="","-",'ORDENES'!$S497))</f>
        <v/>
      </c>
      <c r="C519" s="3">
        <f>IF('ORDENES'!$A497="","",IF('ORDENES'!$AD497="","-",'ORDENES'!$AD497))</f>
        <v/>
      </c>
      <c r="D519" s="3">
        <f>IF('ORDENES'!$A497="","",IF('ORDENES'!$W497="","-",'ORDENES'!$W497))</f>
        <v/>
      </c>
      <c r="E519" s="3">
        <f>IF('ORDENES'!$A497="","",IF('ORDENES'!$V497="","-",'ORDENES'!$V497))</f>
        <v/>
      </c>
      <c r="F519" s="3">
        <f>IF('ORDENES'!$A497="","",IF('ORDENES'!$X497="","-",'ORDENES'!$X497))</f>
        <v/>
      </c>
      <c r="G519" s="3">
        <f>IF('ORDENES'!$A497="","",IF('ORDENES'!$AC497="","-",'ORDENES'!$AC497))</f>
        <v/>
      </c>
      <c r="H519" s="3">
        <f>IF('ORDENES'!$A497="","",IF('ORDENES'!$AO497="","-",'ORDENES'!$AO497))</f>
        <v/>
      </c>
      <c r="I519" s="3">
        <f>IF('ORDENES'!$A497="","",IF('ORDENES'!$D497="","-",'ORDENES'!$D497))</f>
        <v/>
      </c>
      <c r="J519" s="3">
        <f>IF('ORDENES'!$A497="","",IF('ORDENES'!$E497="","-",'ORDENES'!$E497))</f>
        <v/>
      </c>
      <c r="K519" s="12">
        <f>IF('ORDENES'!$A497="","",IF('ORDENES'!$N497="",0,'ORDENES'!$N497))</f>
        <v/>
      </c>
      <c r="L519" s="3">
        <f>IF('ORDENES'!$A497="","",IF('ORDENES'!$O497="","-",'ORDENES'!$O497))</f>
        <v/>
      </c>
      <c r="M519" s="3">
        <f>IF('ORDENES'!$A497="","",'ORDENES'!$AB497)</f>
        <v/>
      </c>
    </row>
    <row r="520">
      <c r="A520" s="3">
        <f>IF('ORDENES'!$A498="","",IF('ORDENES'!$P498="","-",'ORDENES'!$P498))</f>
        <v/>
      </c>
      <c r="B520" s="3">
        <f>IF('ORDENES'!$A498="","",IF('ORDENES'!$S498="","-",'ORDENES'!$S498))</f>
        <v/>
      </c>
      <c r="C520" s="3">
        <f>IF('ORDENES'!$A498="","",IF('ORDENES'!$AD498="","-",'ORDENES'!$AD498))</f>
        <v/>
      </c>
      <c r="D520" s="3">
        <f>IF('ORDENES'!$A498="","",IF('ORDENES'!$W498="","-",'ORDENES'!$W498))</f>
        <v/>
      </c>
      <c r="E520" s="3">
        <f>IF('ORDENES'!$A498="","",IF('ORDENES'!$V498="","-",'ORDENES'!$V498))</f>
        <v/>
      </c>
      <c r="F520" s="3">
        <f>IF('ORDENES'!$A498="","",IF('ORDENES'!$X498="","-",'ORDENES'!$X498))</f>
        <v/>
      </c>
      <c r="G520" s="3">
        <f>IF('ORDENES'!$A498="","",IF('ORDENES'!$AC498="","-",'ORDENES'!$AC498))</f>
        <v/>
      </c>
      <c r="H520" s="3">
        <f>IF('ORDENES'!$A498="","",IF('ORDENES'!$AO498="","-",'ORDENES'!$AO498))</f>
        <v/>
      </c>
      <c r="I520" s="3">
        <f>IF('ORDENES'!$A498="","",IF('ORDENES'!$D498="","-",'ORDENES'!$D498))</f>
        <v/>
      </c>
      <c r="J520" s="3">
        <f>IF('ORDENES'!$A498="","",IF('ORDENES'!$E498="","-",'ORDENES'!$E498))</f>
        <v/>
      </c>
      <c r="K520" s="12">
        <f>IF('ORDENES'!$A498="","",IF('ORDENES'!$N498="",0,'ORDENES'!$N498))</f>
        <v/>
      </c>
      <c r="L520" s="3">
        <f>IF('ORDENES'!$A498="","",IF('ORDENES'!$O498="","-",'ORDENES'!$O498))</f>
        <v/>
      </c>
      <c r="M520" s="3">
        <f>IF('ORDENES'!$A498="","",'ORDENES'!$AB498)</f>
        <v/>
      </c>
    </row>
    <row r="521">
      <c r="A521" s="3">
        <f>IF('ORDENES'!$A499="","",IF('ORDENES'!$P499="","-",'ORDENES'!$P499))</f>
        <v/>
      </c>
      <c r="B521" s="3">
        <f>IF('ORDENES'!$A499="","",IF('ORDENES'!$S499="","-",'ORDENES'!$S499))</f>
        <v/>
      </c>
      <c r="C521" s="3">
        <f>IF('ORDENES'!$A499="","",IF('ORDENES'!$AD499="","-",'ORDENES'!$AD499))</f>
        <v/>
      </c>
      <c r="D521" s="3">
        <f>IF('ORDENES'!$A499="","",IF('ORDENES'!$W499="","-",'ORDENES'!$W499))</f>
        <v/>
      </c>
      <c r="E521" s="3">
        <f>IF('ORDENES'!$A499="","",IF('ORDENES'!$V499="","-",'ORDENES'!$V499))</f>
        <v/>
      </c>
      <c r="F521" s="3">
        <f>IF('ORDENES'!$A499="","",IF('ORDENES'!$X499="","-",'ORDENES'!$X499))</f>
        <v/>
      </c>
      <c r="G521" s="3">
        <f>IF('ORDENES'!$A499="","",IF('ORDENES'!$AC499="","-",'ORDENES'!$AC499))</f>
        <v/>
      </c>
      <c r="H521" s="3">
        <f>IF('ORDENES'!$A499="","",IF('ORDENES'!$AO499="","-",'ORDENES'!$AO499))</f>
        <v/>
      </c>
      <c r="I521" s="3">
        <f>IF('ORDENES'!$A499="","",IF('ORDENES'!$D499="","-",'ORDENES'!$D499))</f>
        <v/>
      </c>
      <c r="J521" s="3">
        <f>IF('ORDENES'!$A499="","",IF('ORDENES'!$E499="","-",'ORDENES'!$E499))</f>
        <v/>
      </c>
      <c r="K521" s="12">
        <f>IF('ORDENES'!$A499="","",IF('ORDENES'!$N499="",0,'ORDENES'!$N499))</f>
        <v/>
      </c>
      <c r="L521" s="3">
        <f>IF('ORDENES'!$A499="","",IF('ORDENES'!$O499="","-",'ORDENES'!$O499))</f>
        <v/>
      </c>
      <c r="M521" s="3">
        <f>IF('ORDENES'!$A499="","",'ORDENES'!$AB499)</f>
        <v/>
      </c>
    </row>
    <row r="522">
      <c r="A522" s="3">
        <f>IF('ORDENES'!$A500="","",IF('ORDENES'!$P500="","-",'ORDENES'!$P500))</f>
        <v/>
      </c>
      <c r="B522" s="3">
        <f>IF('ORDENES'!$A500="","",IF('ORDENES'!$S500="","-",'ORDENES'!$S500))</f>
        <v/>
      </c>
      <c r="C522" s="3">
        <f>IF('ORDENES'!$A500="","",IF('ORDENES'!$AD500="","-",'ORDENES'!$AD500))</f>
        <v/>
      </c>
      <c r="D522" s="3">
        <f>IF('ORDENES'!$A500="","",IF('ORDENES'!$W500="","-",'ORDENES'!$W500))</f>
        <v/>
      </c>
      <c r="E522" s="3">
        <f>IF('ORDENES'!$A500="","",IF('ORDENES'!$V500="","-",'ORDENES'!$V500))</f>
        <v/>
      </c>
      <c r="F522" s="3">
        <f>IF('ORDENES'!$A500="","",IF('ORDENES'!$X500="","-",'ORDENES'!$X500))</f>
        <v/>
      </c>
      <c r="G522" s="3">
        <f>IF('ORDENES'!$A500="","",IF('ORDENES'!$AC500="","-",'ORDENES'!$AC500))</f>
        <v/>
      </c>
      <c r="H522" s="3">
        <f>IF('ORDENES'!$A500="","",IF('ORDENES'!$AO500="","-",'ORDENES'!$AO500))</f>
        <v/>
      </c>
      <c r="I522" s="3">
        <f>IF('ORDENES'!$A500="","",IF('ORDENES'!$D500="","-",'ORDENES'!$D500))</f>
        <v/>
      </c>
      <c r="J522" s="3">
        <f>IF('ORDENES'!$A500="","",IF('ORDENES'!$E500="","-",'ORDENES'!$E500))</f>
        <v/>
      </c>
      <c r="K522" s="12">
        <f>IF('ORDENES'!$A500="","",IF('ORDENES'!$N500="",0,'ORDENES'!$N500))</f>
        <v/>
      </c>
      <c r="L522" s="3">
        <f>IF('ORDENES'!$A500="","",IF('ORDENES'!$O500="","-",'ORDENES'!$O500))</f>
        <v/>
      </c>
      <c r="M522" s="3">
        <f>IF('ORDENES'!$A500="","",'ORDENES'!$AB500)</f>
        <v/>
      </c>
    </row>
    <row r="523">
      <c r="A523" s="3">
        <f>IF('ORDENES'!$A501="","",IF('ORDENES'!$P501="","-",'ORDENES'!$P501))</f>
        <v/>
      </c>
      <c r="B523" s="3">
        <f>IF('ORDENES'!$A501="","",IF('ORDENES'!$S501="","-",'ORDENES'!$S501))</f>
        <v/>
      </c>
      <c r="C523" s="3">
        <f>IF('ORDENES'!$A501="","",IF('ORDENES'!$AD501="","-",'ORDENES'!$AD501))</f>
        <v/>
      </c>
      <c r="D523" s="3">
        <f>IF('ORDENES'!$A501="","",IF('ORDENES'!$W501="","-",'ORDENES'!$W501))</f>
        <v/>
      </c>
      <c r="E523" s="3">
        <f>IF('ORDENES'!$A501="","",IF('ORDENES'!$V501="","-",'ORDENES'!$V501))</f>
        <v/>
      </c>
      <c r="F523" s="3">
        <f>IF('ORDENES'!$A501="","",IF('ORDENES'!$X501="","-",'ORDENES'!$X501))</f>
        <v/>
      </c>
      <c r="G523" s="3">
        <f>IF('ORDENES'!$A501="","",IF('ORDENES'!$AC501="","-",'ORDENES'!$AC501))</f>
        <v/>
      </c>
      <c r="H523" s="3">
        <f>IF('ORDENES'!$A501="","",IF('ORDENES'!$AO501="","-",'ORDENES'!$AO501))</f>
        <v/>
      </c>
      <c r="I523" s="3">
        <f>IF('ORDENES'!$A501="","",IF('ORDENES'!$D501="","-",'ORDENES'!$D501))</f>
        <v/>
      </c>
      <c r="J523" s="3">
        <f>IF('ORDENES'!$A501="","",IF('ORDENES'!$E501="","-",'ORDENES'!$E501))</f>
        <v/>
      </c>
      <c r="K523" s="12">
        <f>IF('ORDENES'!$A501="","",IF('ORDENES'!$N501="",0,'ORDENES'!$N501))</f>
        <v/>
      </c>
      <c r="L523" s="3">
        <f>IF('ORDENES'!$A501="","",IF('ORDENES'!$O501="","-",'ORDENES'!$O501))</f>
        <v/>
      </c>
      <c r="M523" s="3">
        <f>IF('ORDENES'!$A501="","",'ORDENES'!$AB501)</f>
        <v/>
      </c>
    </row>
    <row r="524">
      <c r="A524" s="3">
        <f>IF('ORDENES'!$A502="","",IF('ORDENES'!$P502="","-",'ORDENES'!$P502))</f>
        <v/>
      </c>
      <c r="B524" s="3">
        <f>IF('ORDENES'!$A502="","",IF('ORDENES'!$S502="","-",'ORDENES'!$S502))</f>
        <v/>
      </c>
      <c r="C524" s="3">
        <f>IF('ORDENES'!$A502="","",IF('ORDENES'!$AD502="","-",'ORDENES'!$AD502))</f>
        <v/>
      </c>
      <c r="D524" s="3">
        <f>IF('ORDENES'!$A502="","",IF('ORDENES'!$W502="","-",'ORDENES'!$W502))</f>
        <v/>
      </c>
      <c r="E524" s="3">
        <f>IF('ORDENES'!$A502="","",IF('ORDENES'!$V502="","-",'ORDENES'!$V502))</f>
        <v/>
      </c>
      <c r="F524" s="3">
        <f>IF('ORDENES'!$A502="","",IF('ORDENES'!$X502="","-",'ORDENES'!$X502))</f>
        <v/>
      </c>
      <c r="G524" s="3">
        <f>IF('ORDENES'!$A502="","",IF('ORDENES'!$AC502="","-",'ORDENES'!$AC502))</f>
        <v/>
      </c>
      <c r="H524" s="3">
        <f>IF('ORDENES'!$A502="","",IF('ORDENES'!$AO502="","-",'ORDENES'!$AO502))</f>
        <v/>
      </c>
      <c r="I524" s="3">
        <f>IF('ORDENES'!$A502="","",IF('ORDENES'!$D502="","-",'ORDENES'!$D502))</f>
        <v/>
      </c>
      <c r="J524" s="3">
        <f>IF('ORDENES'!$A502="","",IF('ORDENES'!$E502="","-",'ORDENES'!$E502))</f>
        <v/>
      </c>
      <c r="K524" s="12">
        <f>IF('ORDENES'!$A502="","",IF('ORDENES'!$N502="",0,'ORDENES'!$N502))</f>
        <v/>
      </c>
      <c r="L524" s="3">
        <f>IF('ORDENES'!$A502="","",IF('ORDENES'!$O502="","-",'ORDENES'!$O502))</f>
        <v/>
      </c>
      <c r="M524" s="3">
        <f>IF('ORDENES'!$A502="","",'ORDENES'!$AB502)</f>
        <v/>
      </c>
    </row>
    <row r="525">
      <c r="A525" s="3">
        <f>IF('ORDENES'!$A503="","",IF('ORDENES'!$P503="","-",'ORDENES'!$P503))</f>
        <v/>
      </c>
      <c r="B525" s="3">
        <f>IF('ORDENES'!$A503="","",IF('ORDENES'!$S503="","-",'ORDENES'!$S503))</f>
        <v/>
      </c>
      <c r="C525" s="3">
        <f>IF('ORDENES'!$A503="","",IF('ORDENES'!$AD503="","-",'ORDENES'!$AD503))</f>
        <v/>
      </c>
      <c r="D525" s="3">
        <f>IF('ORDENES'!$A503="","",IF('ORDENES'!$W503="","-",'ORDENES'!$W503))</f>
        <v/>
      </c>
      <c r="E525" s="3">
        <f>IF('ORDENES'!$A503="","",IF('ORDENES'!$V503="","-",'ORDENES'!$V503))</f>
        <v/>
      </c>
      <c r="F525" s="3">
        <f>IF('ORDENES'!$A503="","",IF('ORDENES'!$X503="","-",'ORDENES'!$X503))</f>
        <v/>
      </c>
      <c r="G525" s="3">
        <f>IF('ORDENES'!$A503="","",IF('ORDENES'!$AC503="","-",'ORDENES'!$AC503))</f>
        <v/>
      </c>
      <c r="H525" s="3">
        <f>IF('ORDENES'!$A503="","",IF('ORDENES'!$AO503="","-",'ORDENES'!$AO503))</f>
        <v/>
      </c>
      <c r="I525" s="3">
        <f>IF('ORDENES'!$A503="","",IF('ORDENES'!$D503="","-",'ORDENES'!$D503))</f>
        <v/>
      </c>
      <c r="J525" s="3">
        <f>IF('ORDENES'!$A503="","",IF('ORDENES'!$E503="","-",'ORDENES'!$E503))</f>
        <v/>
      </c>
      <c r="K525" s="12">
        <f>IF('ORDENES'!$A503="","",IF('ORDENES'!$N503="",0,'ORDENES'!$N503))</f>
        <v/>
      </c>
      <c r="L525" s="3">
        <f>IF('ORDENES'!$A503="","",IF('ORDENES'!$O503="","-",'ORDENES'!$O503))</f>
        <v/>
      </c>
      <c r="M525" s="3">
        <f>IF('ORDENES'!$A503="","",'ORDENES'!$AB503)</f>
        <v/>
      </c>
    </row>
    <row r="526">
      <c r="A526" s="3">
        <f>IF('ORDENES'!$A504="","",IF('ORDENES'!$P504="","-",'ORDENES'!$P504))</f>
        <v/>
      </c>
      <c r="B526" s="3">
        <f>IF('ORDENES'!$A504="","",IF('ORDENES'!$S504="","-",'ORDENES'!$S504))</f>
        <v/>
      </c>
      <c r="C526" s="3">
        <f>IF('ORDENES'!$A504="","",IF('ORDENES'!$AD504="","-",'ORDENES'!$AD504))</f>
        <v/>
      </c>
      <c r="D526" s="3">
        <f>IF('ORDENES'!$A504="","",IF('ORDENES'!$W504="","-",'ORDENES'!$W504))</f>
        <v/>
      </c>
      <c r="E526" s="3">
        <f>IF('ORDENES'!$A504="","",IF('ORDENES'!$V504="","-",'ORDENES'!$V504))</f>
        <v/>
      </c>
      <c r="F526" s="3">
        <f>IF('ORDENES'!$A504="","",IF('ORDENES'!$X504="","-",'ORDENES'!$X504))</f>
        <v/>
      </c>
      <c r="G526" s="3">
        <f>IF('ORDENES'!$A504="","",IF('ORDENES'!$AC504="","-",'ORDENES'!$AC504))</f>
        <v/>
      </c>
      <c r="H526" s="3">
        <f>IF('ORDENES'!$A504="","",IF('ORDENES'!$AO504="","-",'ORDENES'!$AO504))</f>
        <v/>
      </c>
      <c r="I526" s="3">
        <f>IF('ORDENES'!$A504="","",IF('ORDENES'!$D504="","-",'ORDENES'!$D504))</f>
        <v/>
      </c>
      <c r="J526" s="3">
        <f>IF('ORDENES'!$A504="","",IF('ORDENES'!$E504="","-",'ORDENES'!$E504))</f>
        <v/>
      </c>
      <c r="K526" s="12">
        <f>IF('ORDENES'!$A504="","",IF('ORDENES'!$N504="",0,'ORDENES'!$N504))</f>
        <v/>
      </c>
      <c r="L526" s="3">
        <f>IF('ORDENES'!$A504="","",IF('ORDENES'!$O504="","-",'ORDENES'!$O504))</f>
        <v/>
      </c>
      <c r="M526" s="3">
        <f>IF('ORDENES'!$A504="","",'ORDENES'!$AB504)</f>
        <v/>
      </c>
    </row>
    <row r="527">
      <c r="A527" s="3">
        <f>IF('ORDENES'!$A505="","",IF('ORDENES'!$P505="","-",'ORDENES'!$P505))</f>
        <v/>
      </c>
      <c r="B527" s="3">
        <f>IF('ORDENES'!$A505="","",IF('ORDENES'!$S505="","-",'ORDENES'!$S505))</f>
        <v/>
      </c>
      <c r="C527" s="3">
        <f>IF('ORDENES'!$A505="","",IF('ORDENES'!$AD505="","-",'ORDENES'!$AD505))</f>
        <v/>
      </c>
      <c r="D527" s="3">
        <f>IF('ORDENES'!$A505="","",IF('ORDENES'!$W505="","-",'ORDENES'!$W505))</f>
        <v/>
      </c>
      <c r="E527" s="3">
        <f>IF('ORDENES'!$A505="","",IF('ORDENES'!$V505="","-",'ORDENES'!$V505))</f>
        <v/>
      </c>
      <c r="F527" s="3">
        <f>IF('ORDENES'!$A505="","",IF('ORDENES'!$X505="","-",'ORDENES'!$X505))</f>
        <v/>
      </c>
      <c r="G527" s="3">
        <f>IF('ORDENES'!$A505="","",IF('ORDENES'!$AC505="","-",'ORDENES'!$AC505))</f>
        <v/>
      </c>
      <c r="H527" s="3">
        <f>IF('ORDENES'!$A505="","",IF('ORDENES'!$AO505="","-",'ORDENES'!$AO505))</f>
        <v/>
      </c>
      <c r="I527" s="3">
        <f>IF('ORDENES'!$A505="","",IF('ORDENES'!$D505="","-",'ORDENES'!$D505))</f>
        <v/>
      </c>
      <c r="J527" s="3">
        <f>IF('ORDENES'!$A505="","",IF('ORDENES'!$E505="","-",'ORDENES'!$E505))</f>
        <v/>
      </c>
      <c r="K527" s="12">
        <f>IF('ORDENES'!$A505="","",IF('ORDENES'!$N505="",0,'ORDENES'!$N505))</f>
        <v/>
      </c>
      <c r="L527" s="3">
        <f>IF('ORDENES'!$A505="","",IF('ORDENES'!$O505="","-",'ORDENES'!$O505))</f>
        <v/>
      </c>
      <c r="M527" s="3">
        <f>IF('ORDENES'!$A505="","",'ORDENES'!$AB505)</f>
        <v/>
      </c>
    </row>
    <row r="528">
      <c r="A528" s="3">
        <f>IF('ORDENES'!$A506="","",IF('ORDENES'!$P506="","-",'ORDENES'!$P506))</f>
        <v/>
      </c>
      <c r="B528" s="3">
        <f>IF('ORDENES'!$A506="","",IF('ORDENES'!$S506="","-",'ORDENES'!$S506))</f>
        <v/>
      </c>
      <c r="C528" s="3">
        <f>IF('ORDENES'!$A506="","",IF('ORDENES'!$AD506="","-",'ORDENES'!$AD506))</f>
        <v/>
      </c>
      <c r="D528" s="3">
        <f>IF('ORDENES'!$A506="","",IF('ORDENES'!$W506="","-",'ORDENES'!$W506))</f>
        <v/>
      </c>
      <c r="E528" s="3">
        <f>IF('ORDENES'!$A506="","",IF('ORDENES'!$V506="","-",'ORDENES'!$V506))</f>
        <v/>
      </c>
      <c r="F528" s="3">
        <f>IF('ORDENES'!$A506="","",IF('ORDENES'!$X506="","-",'ORDENES'!$X506))</f>
        <v/>
      </c>
      <c r="G528" s="3">
        <f>IF('ORDENES'!$A506="","",IF('ORDENES'!$AC506="","-",'ORDENES'!$AC506))</f>
        <v/>
      </c>
      <c r="H528" s="3">
        <f>IF('ORDENES'!$A506="","",IF('ORDENES'!$AO506="","-",'ORDENES'!$AO506))</f>
        <v/>
      </c>
      <c r="I528" s="3">
        <f>IF('ORDENES'!$A506="","",IF('ORDENES'!$D506="","-",'ORDENES'!$D506))</f>
        <v/>
      </c>
      <c r="J528" s="3">
        <f>IF('ORDENES'!$A506="","",IF('ORDENES'!$E506="","-",'ORDENES'!$E506))</f>
        <v/>
      </c>
      <c r="K528" s="12">
        <f>IF('ORDENES'!$A506="","",IF('ORDENES'!$N506="",0,'ORDENES'!$N506))</f>
        <v/>
      </c>
      <c r="L528" s="3">
        <f>IF('ORDENES'!$A506="","",IF('ORDENES'!$O506="","-",'ORDENES'!$O506))</f>
        <v/>
      </c>
      <c r="M528" s="3">
        <f>IF('ORDENES'!$A506="","",'ORDENES'!$AB506)</f>
        <v/>
      </c>
    </row>
    <row r="529">
      <c r="A529" s="3">
        <f>IF('ORDENES'!$A507="","",IF('ORDENES'!$P507="","-",'ORDENES'!$P507))</f>
        <v/>
      </c>
      <c r="B529" s="3">
        <f>IF('ORDENES'!$A507="","",IF('ORDENES'!$S507="","-",'ORDENES'!$S507))</f>
        <v/>
      </c>
      <c r="C529" s="3">
        <f>IF('ORDENES'!$A507="","",IF('ORDENES'!$AD507="","-",'ORDENES'!$AD507))</f>
        <v/>
      </c>
      <c r="D529" s="3">
        <f>IF('ORDENES'!$A507="","",IF('ORDENES'!$W507="","-",'ORDENES'!$W507))</f>
        <v/>
      </c>
      <c r="E529" s="3">
        <f>IF('ORDENES'!$A507="","",IF('ORDENES'!$V507="","-",'ORDENES'!$V507))</f>
        <v/>
      </c>
      <c r="F529" s="3">
        <f>IF('ORDENES'!$A507="","",IF('ORDENES'!$X507="","-",'ORDENES'!$X507))</f>
        <v/>
      </c>
      <c r="G529" s="3">
        <f>IF('ORDENES'!$A507="","",IF('ORDENES'!$AC507="","-",'ORDENES'!$AC507))</f>
        <v/>
      </c>
      <c r="H529" s="3">
        <f>IF('ORDENES'!$A507="","",IF('ORDENES'!$AO507="","-",'ORDENES'!$AO507))</f>
        <v/>
      </c>
      <c r="I529" s="3">
        <f>IF('ORDENES'!$A507="","",IF('ORDENES'!$D507="","-",'ORDENES'!$D507))</f>
        <v/>
      </c>
      <c r="J529" s="3">
        <f>IF('ORDENES'!$A507="","",IF('ORDENES'!$E507="","-",'ORDENES'!$E507))</f>
        <v/>
      </c>
      <c r="K529" s="12">
        <f>IF('ORDENES'!$A507="","",IF('ORDENES'!$N507="",0,'ORDENES'!$N507))</f>
        <v/>
      </c>
      <c r="L529" s="3">
        <f>IF('ORDENES'!$A507="","",IF('ORDENES'!$O507="","-",'ORDENES'!$O507))</f>
        <v/>
      </c>
      <c r="M529" s="3">
        <f>IF('ORDENES'!$A507="","",'ORDENES'!$AB507)</f>
        <v/>
      </c>
    </row>
    <row r="530">
      <c r="A530" s="3">
        <f>IF('ORDENES'!$A508="","",IF('ORDENES'!$P508="","-",'ORDENES'!$P508))</f>
        <v/>
      </c>
      <c r="B530" s="3">
        <f>IF('ORDENES'!$A508="","",IF('ORDENES'!$S508="","-",'ORDENES'!$S508))</f>
        <v/>
      </c>
      <c r="C530" s="3">
        <f>IF('ORDENES'!$A508="","",IF('ORDENES'!$AD508="","-",'ORDENES'!$AD508))</f>
        <v/>
      </c>
      <c r="D530" s="3">
        <f>IF('ORDENES'!$A508="","",IF('ORDENES'!$W508="","-",'ORDENES'!$W508))</f>
        <v/>
      </c>
      <c r="E530" s="3">
        <f>IF('ORDENES'!$A508="","",IF('ORDENES'!$V508="","-",'ORDENES'!$V508))</f>
        <v/>
      </c>
      <c r="F530" s="3">
        <f>IF('ORDENES'!$A508="","",IF('ORDENES'!$X508="","-",'ORDENES'!$X508))</f>
        <v/>
      </c>
      <c r="G530" s="3">
        <f>IF('ORDENES'!$A508="","",IF('ORDENES'!$AC508="","-",'ORDENES'!$AC508))</f>
        <v/>
      </c>
      <c r="H530" s="3">
        <f>IF('ORDENES'!$A508="","",IF('ORDENES'!$AO508="","-",'ORDENES'!$AO508))</f>
        <v/>
      </c>
      <c r="I530" s="3">
        <f>IF('ORDENES'!$A508="","",IF('ORDENES'!$D508="","-",'ORDENES'!$D508))</f>
        <v/>
      </c>
      <c r="J530" s="3">
        <f>IF('ORDENES'!$A508="","",IF('ORDENES'!$E508="","-",'ORDENES'!$E508))</f>
        <v/>
      </c>
      <c r="K530" s="12">
        <f>IF('ORDENES'!$A508="","",IF('ORDENES'!$N508="",0,'ORDENES'!$N508))</f>
        <v/>
      </c>
      <c r="L530" s="3">
        <f>IF('ORDENES'!$A508="","",IF('ORDENES'!$O508="","-",'ORDENES'!$O508))</f>
        <v/>
      </c>
      <c r="M530" s="3">
        <f>IF('ORDENES'!$A508="","",'ORDENES'!$AB508)</f>
        <v/>
      </c>
    </row>
    <row r="531">
      <c r="A531" s="3">
        <f>IF('ORDENES'!$A509="","",IF('ORDENES'!$P509="","-",'ORDENES'!$P509))</f>
        <v/>
      </c>
      <c r="B531" s="3">
        <f>IF('ORDENES'!$A509="","",IF('ORDENES'!$S509="","-",'ORDENES'!$S509))</f>
        <v/>
      </c>
      <c r="C531" s="3">
        <f>IF('ORDENES'!$A509="","",IF('ORDENES'!$AD509="","-",'ORDENES'!$AD509))</f>
        <v/>
      </c>
      <c r="D531" s="3">
        <f>IF('ORDENES'!$A509="","",IF('ORDENES'!$W509="","-",'ORDENES'!$W509))</f>
        <v/>
      </c>
      <c r="E531" s="3">
        <f>IF('ORDENES'!$A509="","",IF('ORDENES'!$V509="","-",'ORDENES'!$V509))</f>
        <v/>
      </c>
      <c r="F531" s="3">
        <f>IF('ORDENES'!$A509="","",IF('ORDENES'!$X509="","-",'ORDENES'!$X509))</f>
        <v/>
      </c>
      <c r="G531" s="3">
        <f>IF('ORDENES'!$A509="","",IF('ORDENES'!$AC509="","-",'ORDENES'!$AC509))</f>
        <v/>
      </c>
      <c r="H531" s="3">
        <f>IF('ORDENES'!$A509="","",IF('ORDENES'!$AO509="","-",'ORDENES'!$AO509))</f>
        <v/>
      </c>
      <c r="I531" s="3">
        <f>IF('ORDENES'!$A509="","",IF('ORDENES'!$D509="","-",'ORDENES'!$D509))</f>
        <v/>
      </c>
      <c r="J531" s="3">
        <f>IF('ORDENES'!$A509="","",IF('ORDENES'!$E509="","-",'ORDENES'!$E509))</f>
        <v/>
      </c>
      <c r="K531" s="12">
        <f>IF('ORDENES'!$A509="","",IF('ORDENES'!$N509="",0,'ORDENES'!$N509))</f>
        <v/>
      </c>
      <c r="L531" s="3">
        <f>IF('ORDENES'!$A509="","",IF('ORDENES'!$O509="","-",'ORDENES'!$O509))</f>
        <v/>
      </c>
      <c r="M531" s="3">
        <f>IF('ORDENES'!$A509="","",'ORDENES'!$AB509)</f>
        <v/>
      </c>
    </row>
    <row r="532">
      <c r="A532" s="3">
        <f>IF('ORDENES'!$A510="","",IF('ORDENES'!$P510="","-",'ORDENES'!$P510))</f>
        <v/>
      </c>
      <c r="B532" s="3">
        <f>IF('ORDENES'!$A510="","",IF('ORDENES'!$S510="","-",'ORDENES'!$S510))</f>
        <v/>
      </c>
      <c r="C532" s="3">
        <f>IF('ORDENES'!$A510="","",IF('ORDENES'!$AD510="","-",'ORDENES'!$AD510))</f>
        <v/>
      </c>
      <c r="D532" s="3">
        <f>IF('ORDENES'!$A510="","",IF('ORDENES'!$W510="","-",'ORDENES'!$W510))</f>
        <v/>
      </c>
      <c r="E532" s="3">
        <f>IF('ORDENES'!$A510="","",IF('ORDENES'!$V510="","-",'ORDENES'!$V510))</f>
        <v/>
      </c>
      <c r="F532" s="3">
        <f>IF('ORDENES'!$A510="","",IF('ORDENES'!$X510="","-",'ORDENES'!$X510))</f>
        <v/>
      </c>
      <c r="G532" s="3">
        <f>IF('ORDENES'!$A510="","",IF('ORDENES'!$AC510="","-",'ORDENES'!$AC510))</f>
        <v/>
      </c>
      <c r="H532" s="3">
        <f>IF('ORDENES'!$A510="","",IF('ORDENES'!$AO510="","-",'ORDENES'!$AO510))</f>
        <v/>
      </c>
      <c r="I532" s="3">
        <f>IF('ORDENES'!$A510="","",IF('ORDENES'!$D510="","-",'ORDENES'!$D510))</f>
        <v/>
      </c>
      <c r="J532" s="3">
        <f>IF('ORDENES'!$A510="","",IF('ORDENES'!$E510="","-",'ORDENES'!$E510))</f>
        <v/>
      </c>
      <c r="K532" s="12">
        <f>IF('ORDENES'!$A510="","",IF('ORDENES'!$N510="",0,'ORDENES'!$N510))</f>
        <v/>
      </c>
      <c r="L532" s="3">
        <f>IF('ORDENES'!$A510="","",IF('ORDENES'!$O510="","-",'ORDENES'!$O510))</f>
        <v/>
      </c>
      <c r="M532" s="3">
        <f>IF('ORDENES'!$A510="","",'ORDENES'!$AB510)</f>
        <v/>
      </c>
    </row>
    <row r="533">
      <c r="A533" s="3">
        <f>IF('ORDENES'!$A511="","",IF('ORDENES'!$P511="","-",'ORDENES'!$P511))</f>
        <v/>
      </c>
      <c r="B533" s="3">
        <f>IF('ORDENES'!$A511="","",IF('ORDENES'!$S511="","-",'ORDENES'!$S511))</f>
        <v/>
      </c>
      <c r="C533" s="3">
        <f>IF('ORDENES'!$A511="","",IF('ORDENES'!$AD511="","-",'ORDENES'!$AD511))</f>
        <v/>
      </c>
      <c r="D533" s="3">
        <f>IF('ORDENES'!$A511="","",IF('ORDENES'!$W511="","-",'ORDENES'!$W511))</f>
        <v/>
      </c>
      <c r="E533" s="3">
        <f>IF('ORDENES'!$A511="","",IF('ORDENES'!$V511="","-",'ORDENES'!$V511))</f>
        <v/>
      </c>
      <c r="F533" s="3">
        <f>IF('ORDENES'!$A511="","",IF('ORDENES'!$X511="","-",'ORDENES'!$X511))</f>
        <v/>
      </c>
      <c r="G533" s="3">
        <f>IF('ORDENES'!$A511="","",IF('ORDENES'!$AC511="","-",'ORDENES'!$AC511))</f>
        <v/>
      </c>
      <c r="H533" s="3">
        <f>IF('ORDENES'!$A511="","",IF('ORDENES'!$AO511="","-",'ORDENES'!$AO511))</f>
        <v/>
      </c>
      <c r="I533" s="3">
        <f>IF('ORDENES'!$A511="","",IF('ORDENES'!$D511="","-",'ORDENES'!$D511))</f>
        <v/>
      </c>
      <c r="J533" s="3">
        <f>IF('ORDENES'!$A511="","",IF('ORDENES'!$E511="","-",'ORDENES'!$E511))</f>
        <v/>
      </c>
      <c r="K533" s="12">
        <f>IF('ORDENES'!$A511="","",IF('ORDENES'!$N511="",0,'ORDENES'!$N511))</f>
        <v/>
      </c>
      <c r="L533" s="3">
        <f>IF('ORDENES'!$A511="","",IF('ORDENES'!$O511="","-",'ORDENES'!$O511))</f>
        <v/>
      </c>
      <c r="M533" s="3">
        <f>IF('ORDENES'!$A511="","",'ORDENES'!$AB511)</f>
        <v/>
      </c>
    </row>
    <row r="534">
      <c r="A534" s="3">
        <f>IF('ORDENES'!$A512="","",IF('ORDENES'!$P512="","-",'ORDENES'!$P512))</f>
        <v/>
      </c>
      <c r="B534" s="3">
        <f>IF('ORDENES'!$A512="","",IF('ORDENES'!$S512="","-",'ORDENES'!$S512))</f>
        <v/>
      </c>
      <c r="C534" s="3">
        <f>IF('ORDENES'!$A512="","",IF('ORDENES'!$AD512="","-",'ORDENES'!$AD512))</f>
        <v/>
      </c>
      <c r="D534" s="3">
        <f>IF('ORDENES'!$A512="","",IF('ORDENES'!$W512="","-",'ORDENES'!$W512))</f>
        <v/>
      </c>
      <c r="E534" s="3">
        <f>IF('ORDENES'!$A512="","",IF('ORDENES'!$V512="","-",'ORDENES'!$V512))</f>
        <v/>
      </c>
      <c r="F534" s="3">
        <f>IF('ORDENES'!$A512="","",IF('ORDENES'!$X512="","-",'ORDENES'!$X512))</f>
        <v/>
      </c>
      <c r="G534" s="3">
        <f>IF('ORDENES'!$A512="","",IF('ORDENES'!$AC512="","-",'ORDENES'!$AC512))</f>
        <v/>
      </c>
      <c r="H534" s="3">
        <f>IF('ORDENES'!$A512="","",IF('ORDENES'!$AO512="","-",'ORDENES'!$AO512))</f>
        <v/>
      </c>
      <c r="I534" s="3">
        <f>IF('ORDENES'!$A512="","",IF('ORDENES'!$D512="","-",'ORDENES'!$D512))</f>
        <v/>
      </c>
      <c r="J534" s="3">
        <f>IF('ORDENES'!$A512="","",IF('ORDENES'!$E512="","-",'ORDENES'!$E512))</f>
        <v/>
      </c>
      <c r="K534" s="12">
        <f>IF('ORDENES'!$A512="","",IF('ORDENES'!$N512="",0,'ORDENES'!$N512))</f>
        <v/>
      </c>
      <c r="L534" s="3">
        <f>IF('ORDENES'!$A512="","",IF('ORDENES'!$O512="","-",'ORDENES'!$O512))</f>
        <v/>
      </c>
      <c r="M534" s="3">
        <f>IF('ORDENES'!$A512="","",'ORDENES'!$AB512)</f>
        <v/>
      </c>
    </row>
    <row r="535">
      <c r="A535" s="3">
        <f>IF('ORDENES'!$A513="","",IF('ORDENES'!$P513="","-",'ORDENES'!$P513))</f>
        <v/>
      </c>
      <c r="B535" s="3">
        <f>IF('ORDENES'!$A513="","",IF('ORDENES'!$S513="","-",'ORDENES'!$S513))</f>
        <v/>
      </c>
      <c r="C535" s="3">
        <f>IF('ORDENES'!$A513="","",IF('ORDENES'!$AD513="","-",'ORDENES'!$AD513))</f>
        <v/>
      </c>
      <c r="D535" s="3">
        <f>IF('ORDENES'!$A513="","",IF('ORDENES'!$W513="","-",'ORDENES'!$W513))</f>
        <v/>
      </c>
      <c r="E535" s="3">
        <f>IF('ORDENES'!$A513="","",IF('ORDENES'!$V513="","-",'ORDENES'!$V513))</f>
        <v/>
      </c>
      <c r="F535" s="3">
        <f>IF('ORDENES'!$A513="","",IF('ORDENES'!$X513="","-",'ORDENES'!$X513))</f>
        <v/>
      </c>
      <c r="G535" s="3">
        <f>IF('ORDENES'!$A513="","",IF('ORDENES'!$AC513="","-",'ORDENES'!$AC513))</f>
        <v/>
      </c>
      <c r="H535" s="3">
        <f>IF('ORDENES'!$A513="","",IF('ORDENES'!$AO513="","-",'ORDENES'!$AO513))</f>
        <v/>
      </c>
      <c r="I535" s="3">
        <f>IF('ORDENES'!$A513="","",IF('ORDENES'!$D513="","-",'ORDENES'!$D513))</f>
        <v/>
      </c>
      <c r="J535" s="3">
        <f>IF('ORDENES'!$A513="","",IF('ORDENES'!$E513="","-",'ORDENES'!$E513))</f>
        <v/>
      </c>
      <c r="K535" s="12">
        <f>IF('ORDENES'!$A513="","",IF('ORDENES'!$N513="",0,'ORDENES'!$N513))</f>
        <v/>
      </c>
      <c r="L535" s="3">
        <f>IF('ORDENES'!$A513="","",IF('ORDENES'!$O513="","-",'ORDENES'!$O513))</f>
        <v/>
      </c>
      <c r="M535" s="3">
        <f>IF('ORDENES'!$A513="","",'ORDENES'!$AB513)</f>
        <v/>
      </c>
    </row>
    <row r="536">
      <c r="A536" s="3">
        <f>IF('ORDENES'!$A514="","",IF('ORDENES'!$P514="","-",'ORDENES'!$P514))</f>
        <v/>
      </c>
      <c r="B536" s="3">
        <f>IF('ORDENES'!$A514="","",IF('ORDENES'!$S514="","-",'ORDENES'!$S514))</f>
        <v/>
      </c>
      <c r="C536" s="3">
        <f>IF('ORDENES'!$A514="","",IF('ORDENES'!$AD514="","-",'ORDENES'!$AD514))</f>
        <v/>
      </c>
      <c r="D536" s="3">
        <f>IF('ORDENES'!$A514="","",IF('ORDENES'!$W514="","-",'ORDENES'!$W514))</f>
        <v/>
      </c>
      <c r="E536" s="3">
        <f>IF('ORDENES'!$A514="","",IF('ORDENES'!$V514="","-",'ORDENES'!$V514))</f>
        <v/>
      </c>
      <c r="F536" s="3">
        <f>IF('ORDENES'!$A514="","",IF('ORDENES'!$X514="","-",'ORDENES'!$X514))</f>
        <v/>
      </c>
      <c r="G536" s="3">
        <f>IF('ORDENES'!$A514="","",IF('ORDENES'!$AC514="","-",'ORDENES'!$AC514))</f>
        <v/>
      </c>
      <c r="H536" s="3">
        <f>IF('ORDENES'!$A514="","",IF('ORDENES'!$AO514="","-",'ORDENES'!$AO514))</f>
        <v/>
      </c>
      <c r="I536" s="3">
        <f>IF('ORDENES'!$A514="","",IF('ORDENES'!$D514="","-",'ORDENES'!$D514))</f>
        <v/>
      </c>
      <c r="J536" s="3">
        <f>IF('ORDENES'!$A514="","",IF('ORDENES'!$E514="","-",'ORDENES'!$E514))</f>
        <v/>
      </c>
      <c r="K536" s="12">
        <f>IF('ORDENES'!$A514="","",IF('ORDENES'!$N514="",0,'ORDENES'!$N514))</f>
        <v/>
      </c>
      <c r="L536" s="3">
        <f>IF('ORDENES'!$A514="","",IF('ORDENES'!$O514="","-",'ORDENES'!$O514))</f>
        <v/>
      </c>
      <c r="M536" s="3">
        <f>IF('ORDENES'!$A514="","",'ORDENES'!$AB514)</f>
        <v/>
      </c>
    </row>
    <row r="537">
      <c r="A537" s="3">
        <f>IF('ORDENES'!$A515="","",IF('ORDENES'!$P515="","-",'ORDENES'!$P515))</f>
        <v/>
      </c>
      <c r="B537" s="3">
        <f>IF('ORDENES'!$A515="","",IF('ORDENES'!$S515="","-",'ORDENES'!$S515))</f>
        <v/>
      </c>
      <c r="C537" s="3">
        <f>IF('ORDENES'!$A515="","",IF('ORDENES'!$AD515="","-",'ORDENES'!$AD515))</f>
        <v/>
      </c>
      <c r="D537" s="3">
        <f>IF('ORDENES'!$A515="","",IF('ORDENES'!$W515="","-",'ORDENES'!$W515))</f>
        <v/>
      </c>
      <c r="E537" s="3">
        <f>IF('ORDENES'!$A515="","",IF('ORDENES'!$V515="","-",'ORDENES'!$V515))</f>
        <v/>
      </c>
      <c r="F537" s="3">
        <f>IF('ORDENES'!$A515="","",IF('ORDENES'!$X515="","-",'ORDENES'!$X515))</f>
        <v/>
      </c>
      <c r="G537" s="3">
        <f>IF('ORDENES'!$A515="","",IF('ORDENES'!$AC515="","-",'ORDENES'!$AC515))</f>
        <v/>
      </c>
      <c r="H537" s="3">
        <f>IF('ORDENES'!$A515="","",IF('ORDENES'!$AO515="","-",'ORDENES'!$AO515))</f>
        <v/>
      </c>
      <c r="I537" s="3">
        <f>IF('ORDENES'!$A515="","",IF('ORDENES'!$D515="","-",'ORDENES'!$D515))</f>
        <v/>
      </c>
      <c r="J537" s="3">
        <f>IF('ORDENES'!$A515="","",IF('ORDENES'!$E515="","-",'ORDENES'!$E515))</f>
        <v/>
      </c>
      <c r="K537" s="12">
        <f>IF('ORDENES'!$A515="","",IF('ORDENES'!$N515="",0,'ORDENES'!$N515))</f>
        <v/>
      </c>
      <c r="L537" s="3">
        <f>IF('ORDENES'!$A515="","",IF('ORDENES'!$O515="","-",'ORDENES'!$O515))</f>
        <v/>
      </c>
      <c r="M537" s="3">
        <f>IF('ORDENES'!$A515="","",'ORDENES'!$AB515)</f>
        <v/>
      </c>
    </row>
    <row r="538">
      <c r="A538" s="3">
        <f>IF('ORDENES'!$A516="","",IF('ORDENES'!$P516="","-",'ORDENES'!$P516))</f>
        <v/>
      </c>
      <c r="B538" s="3">
        <f>IF('ORDENES'!$A516="","",IF('ORDENES'!$S516="","-",'ORDENES'!$S516))</f>
        <v/>
      </c>
      <c r="C538" s="3">
        <f>IF('ORDENES'!$A516="","",IF('ORDENES'!$AD516="","-",'ORDENES'!$AD516))</f>
        <v/>
      </c>
      <c r="D538" s="3">
        <f>IF('ORDENES'!$A516="","",IF('ORDENES'!$W516="","-",'ORDENES'!$W516))</f>
        <v/>
      </c>
      <c r="E538" s="3">
        <f>IF('ORDENES'!$A516="","",IF('ORDENES'!$V516="","-",'ORDENES'!$V516))</f>
        <v/>
      </c>
      <c r="F538" s="3">
        <f>IF('ORDENES'!$A516="","",IF('ORDENES'!$X516="","-",'ORDENES'!$X516))</f>
        <v/>
      </c>
      <c r="G538" s="3">
        <f>IF('ORDENES'!$A516="","",IF('ORDENES'!$AC516="","-",'ORDENES'!$AC516))</f>
        <v/>
      </c>
      <c r="H538" s="3">
        <f>IF('ORDENES'!$A516="","",IF('ORDENES'!$AO516="","-",'ORDENES'!$AO516))</f>
        <v/>
      </c>
      <c r="I538" s="3">
        <f>IF('ORDENES'!$A516="","",IF('ORDENES'!$D516="","-",'ORDENES'!$D516))</f>
        <v/>
      </c>
      <c r="J538" s="3">
        <f>IF('ORDENES'!$A516="","",IF('ORDENES'!$E516="","-",'ORDENES'!$E516))</f>
        <v/>
      </c>
      <c r="K538" s="12">
        <f>IF('ORDENES'!$A516="","",IF('ORDENES'!$N516="",0,'ORDENES'!$N516))</f>
        <v/>
      </c>
      <c r="L538" s="3">
        <f>IF('ORDENES'!$A516="","",IF('ORDENES'!$O516="","-",'ORDENES'!$O516))</f>
        <v/>
      </c>
      <c r="M538" s="3">
        <f>IF('ORDENES'!$A516="","",'ORDENES'!$AB516)</f>
        <v/>
      </c>
    </row>
    <row r="539">
      <c r="A539" s="3">
        <f>IF('ORDENES'!$A517="","",IF('ORDENES'!$P517="","-",'ORDENES'!$P517))</f>
        <v/>
      </c>
      <c r="B539" s="3">
        <f>IF('ORDENES'!$A517="","",IF('ORDENES'!$S517="","-",'ORDENES'!$S517))</f>
        <v/>
      </c>
      <c r="C539" s="3">
        <f>IF('ORDENES'!$A517="","",IF('ORDENES'!$AD517="","-",'ORDENES'!$AD517))</f>
        <v/>
      </c>
      <c r="D539" s="3">
        <f>IF('ORDENES'!$A517="","",IF('ORDENES'!$W517="","-",'ORDENES'!$W517))</f>
        <v/>
      </c>
      <c r="E539" s="3">
        <f>IF('ORDENES'!$A517="","",IF('ORDENES'!$V517="","-",'ORDENES'!$V517))</f>
        <v/>
      </c>
      <c r="F539" s="3">
        <f>IF('ORDENES'!$A517="","",IF('ORDENES'!$X517="","-",'ORDENES'!$X517))</f>
        <v/>
      </c>
      <c r="G539" s="3">
        <f>IF('ORDENES'!$A517="","",IF('ORDENES'!$AC517="","-",'ORDENES'!$AC517))</f>
        <v/>
      </c>
      <c r="H539" s="3">
        <f>IF('ORDENES'!$A517="","",IF('ORDENES'!$AO517="","-",'ORDENES'!$AO517))</f>
        <v/>
      </c>
      <c r="I539" s="3">
        <f>IF('ORDENES'!$A517="","",IF('ORDENES'!$D517="","-",'ORDENES'!$D517))</f>
        <v/>
      </c>
      <c r="J539" s="3">
        <f>IF('ORDENES'!$A517="","",IF('ORDENES'!$E517="","-",'ORDENES'!$E517))</f>
        <v/>
      </c>
      <c r="K539" s="12">
        <f>IF('ORDENES'!$A517="","",IF('ORDENES'!$N517="",0,'ORDENES'!$N517))</f>
        <v/>
      </c>
      <c r="L539" s="3">
        <f>IF('ORDENES'!$A517="","",IF('ORDENES'!$O517="","-",'ORDENES'!$O517))</f>
        <v/>
      </c>
      <c r="M539" s="3">
        <f>IF('ORDENES'!$A517="","",'ORDENES'!$AB517)</f>
        <v/>
      </c>
    </row>
    <row r="540">
      <c r="A540" s="3">
        <f>IF('ORDENES'!$A518="","",IF('ORDENES'!$P518="","-",'ORDENES'!$P518))</f>
        <v/>
      </c>
      <c r="B540" s="3">
        <f>IF('ORDENES'!$A518="","",IF('ORDENES'!$S518="","-",'ORDENES'!$S518))</f>
        <v/>
      </c>
      <c r="C540" s="3">
        <f>IF('ORDENES'!$A518="","",IF('ORDENES'!$AD518="","-",'ORDENES'!$AD518))</f>
        <v/>
      </c>
      <c r="D540" s="3">
        <f>IF('ORDENES'!$A518="","",IF('ORDENES'!$W518="","-",'ORDENES'!$W518))</f>
        <v/>
      </c>
      <c r="E540" s="3">
        <f>IF('ORDENES'!$A518="","",IF('ORDENES'!$V518="","-",'ORDENES'!$V518))</f>
        <v/>
      </c>
      <c r="F540" s="3">
        <f>IF('ORDENES'!$A518="","",IF('ORDENES'!$X518="","-",'ORDENES'!$X518))</f>
        <v/>
      </c>
      <c r="G540" s="3">
        <f>IF('ORDENES'!$A518="","",IF('ORDENES'!$AC518="","-",'ORDENES'!$AC518))</f>
        <v/>
      </c>
      <c r="H540" s="3">
        <f>IF('ORDENES'!$A518="","",IF('ORDENES'!$AO518="","-",'ORDENES'!$AO518))</f>
        <v/>
      </c>
      <c r="I540" s="3">
        <f>IF('ORDENES'!$A518="","",IF('ORDENES'!$D518="","-",'ORDENES'!$D518))</f>
        <v/>
      </c>
      <c r="J540" s="3">
        <f>IF('ORDENES'!$A518="","",IF('ORDENES'!$E518="","-",'ORDENES'!$E518))</f>
        <v/>
      </c>
      <c r="K540" s="12">
        <f>IF('ORDENES'!$A518="","",IF('ORDENES'!$N518="",0,'ORDENES'!$N518))</f>
        <v/>
      </c>
      <c r="L540" s="3">
        <f>IF('ORDENES'!$A518="","",IF('ORDENES'!$O518="","-",'ORDENES'!$O518))</f>
        <v/>
      </c>
      <c r="M540" s="3">
        <f>IF('ORDENES'!$A518="","",'ORDENES'!$AB518)</f>
        <v/>
      </c>
    </row>
    <row r="541">
      <c r="A541" s="3">
        <f>IF('ORDENES'!$A519="","",IF('ORDENES'!$P519="","-",'ORDENES'!$P519))</f>
        <v/>
      </c>
      <c r="B541" s="3">
        <f>IF('ORDENES'!$A519="","",IF('ORDENES'!$S519="","-",'ORDENES'!$S519))</f>
        <v/>
      </c>
      <c r="C541" s="3">
        <f>IF('ORDENES'!$A519="","",IF('ORDENES'!$AD519="","-",'ORDENES'!$AD519))</f>
        <v/>
      </c>
      <c r="D541" s="3">
        <f>IF('ORDENES'!$A519="","",IF('ORDENES'!$W519="","-",'ORDENES'!$W519))</f>
        <v/>
      </c>
      <c r="E541" s="3">
        <f>IF('ORDENES'!$A519="","",IF('ORDENES'!$V519="","-",'ORDENES'!$V519))</f>
        <v/>
      </c>
      <c r="F541" s="3">
        <f>IF('ORDENES'!$A519="","",IF('ORDENES'!$X519="","-",'ORDENES'!$X519))</f>
        <v/>
      </c>
      <c r="G541" s="3">
        <f>IF('ORDENES'!$A519="","",IF('ORDENES'!$AC519="","-",'ORDENES'!$AC519))</f>
        <v/>
      </c>
      <c r="H541" s="3">
        <f>IF('ORDENES'!$A519="","",IF('ORDENES'!$AO519="","-",'ORDENES'!$AO519))</f>
        <v/>
      </c>
      <c r="I541" s="3">
        <f>IF('ORDENES'!$A519="","",IF('ORDENES'!$D519="","-",'ORDENES'!$D519))</f>
        <v/>
      </c>
      <c r="J541" s="3">
        <f>IF('ORDENES'!$A519="","",IF('ORDENES'!$E519="","-",'ORDENES'!$E519))</f>
        <v/>
      </c>
      <c r="K541" s="12">
        <f>IF('ORDENES'!$A519="","",IF('ORDENES'!$N519="",0,'ORDENES'!$N519))</f>
        <v/>
      </c>
      <c r="L541" s="3">
        <f>IF('ORDENES'!$A519="","",IF('ORDENES'!$O519="","-",'ORDENES'!$O519))</f>
        <v/>
      </c>
      <c r="M541" s="3">
        <f>IF('ORDENES'!$A519="","",'ORDENES'!$AB519)</f>
        <v/>
      </c>
    </row>
    <row r="542">
      <c r="A542" s="3">
        <f>IF('ORDENES'!$A520="","",IF('ORDENES'!$P520="","-",'ORDENES'!$P520))</f>
        <v/>
      </c>
      <c r="B542" s="3">
        <f>IF('ORDENES'!$A520="","",IF('ORDENES'!$S520="","-",'ORDENES'!$S520))</f>
        <v/>
      </c>
      <c r="C542" s="3">
        <f>IF('ORDENES'!$A520="","",IF('ORDENES'!$AD520="","-",'ORDENES'!$AD520))</f>
        <v/>
      </c>
      <c r="D542" s="3">
        <f>IF('ORDENES'!$A520="","",IF('ORDENES'!$W520="","-",'ORDENES'!$W520))</f>
        <v/>
      </c>
      <c r="E542" s="3">
        <f>IF('ORDENES'!$A520="","",IF('ORDENES'!$V520="","-",'ORDENES'!$V520))</f>
        <v/>
      </c>
      <c r="F542" s="3">
        <f>IF('ORDENES'!$A520="","",IF('ORDENES'!$X520="","-",'ORDENES'!$X520))</f>
        <v/>
      </c>
      <c r="G542" s="3">
        <f>IF('ORDENES'!$A520="","",IF('ORDENES'!$AC520="","-",'ORDENES'!$AC520))</f>
        <v/>
      </c>
      <c r="H542" s="3">
        <f>IF('ORDENES'!$A520="","",IF('ORDENES'!$AO520="","-",'ORDENES'!$AO520))</f>
        <v/>
      </c>
      <c r="I542" s="3">
        <f>IF('ORDENES'!$A520="","",IF('ORDENES'!$D520="","-",'ORDENES'!$D520))</f>
        <v/>
      </c>
      <c r="J542" s="3">
        <f>IF('ORDENES'!$A520="","",IF('ORDENES'!$E520="","-",'ORDENES'!$E520))</f>
        <v/>
      </c>
      <c r="K542" s="12">
        <f>IF('ORDENES'!$A520="","",IF('ORDENES'!$N520="",0,'ORDENES'!$N520))</f>
        <v/>
      </c>
      <c r="L542" s="3">
        <f>IF('ORDENES'!$A520="","",IF('ORDENES'!$O520="","-",'ORDENES'!$O520))</f>
        <v/>
      </c>
      <c r="M542" s="3">
        <f>IF('ORDENES'!$A520="","",'ORDENES'!$AB520)</f>
        <v/>
      </c>
    </row>
    <row r="543">
      <c r="A543" s="3">
        <f>IF('ORDENES'!$A521="","",IF('ORDENES'!$P521="","-",'ORDENES'!$P521))</f>
        <v/>
      </c>
      <c r="B543" s="3">
        <f>IF('ORDENES'!$A521="","",IF('ORDENES'!$S521="","-",'ORDENES'!$S521))</f>
        <v/>
      </c>
      <c r="C543" s="3">
        <f>IF('ORDENES'!$A521="","",IF('ORDENES'!$AD521="","-",'ORDENES'!$AD521))</f>
        <v/>
      </c>
      <c r="D543" s="3">
        <f>IF('ORDENES'!$A521="","",IF('ORDENES'!$W521="","-",'ORDENES'!$W521))</f>
        <v/>
      </c>
      <c r="E543" s="3">
        <f>IF('ORDENES'!$A521="","",IF('ORDENES'!$V521="","-",'ORDENES'!$V521))</f>
        <v/>
      </c>
      <c r="F543" s="3">
        <f>IF('ORDENES'!$A521="","",IF('ORDENES'!$X521="","-",'ORDENES'!$X521))</f>
        <v/>
      </c>
      <c r="G543" s="3">
        <f>IF('ORDENES'!$A521="","",IF('ORDENES'!$AC521="","-",'ORDENES'!$AC521))</f>
        <v/>
      </c>
      <c r="H543" s="3">
        <f>IF('ORDENES'!$A521="","",IF('ORDENES'!$AO521="","-",'ORDENES'!$AO521))</f>
        <v/>
      </c>
      <c r="I543" s="3">
        <f>IF('ORDENES'!$A521="","",IF('ORDENES'!$D521="","-",'ORDENES'!$D521))</f>
        <v/>
      </c>
      <c r="J543" s="3">
        <f>IF('ORDENES'!$A521="","",IF('ORDENES'!$E521="","-",'ORDENES'!$E521))</f>
        <v/>
      </c>
      <c r="K543" s="12">
        <f>IF('ORDENES'!$A521="","",IF('ORDENES'!$N521="",0,'ORDENES'!$N521))</f>
        <v/>
      </c>
      <c r="L543" s="3">
        <f>IF('ORDENES'!$A521="","",IF('ORDENES'!$O521="","-",'ORDENES'!$O521))</f>
        <v/>
      </c>
      <c r="M543" s="3">
        <f>IF('ORDENES'!$A521="","",'ORDENES'!$AB521)</f>
        <v/>
      </c>
    </row>
    <row r="544">
      <c r="A544" s="3">
        <f>IF('ORDENES'!$A522="","",IF('ORDENES'!$P522="","-",'ORDENES'!$P522))</f>
        <v/>
      </c>
      <c r="B544" s="3">
        <f>IF('ORDENES'!$A522="","",IF('ORDENES'!$S522="","-",'ORDENES'!$S522))</f>
        <v/>
      </c>
      <c r="C544" s="3">
        <f>IF('ORDENES'!$A522="","",IF('ORDENES'!$AD522="","-",'ORDENES'!$AD522))</f>
        <v/>
      </c>
      <c r="D544" s="3">
        <f>IF('ORDENES'!$A522="","",IF('ORDENES'!$W522="","-",'ORDENES'!$W522))</f>
        <v/>
      </c>
      <c r="E544" s="3">
        <f>IF('ORDENES'!$A522="","",IF('ORDENES'!$V522="","-",'ORDENES'!$V522))</f>
        <v/>
      </c>
      <c r="F544" s="3">
        <f>IF('ORDENES'!$A522="","",IF('ORDENES'!$X522="","-",'ORDENES'!$X522))</f>
        <v/>
      </c>
      <c r="G544" s="3">
        <f>IF('ORDENES'!$A522="","",IF('ORDENES'!$AC522="","-",'ORDENES'!$AC522))</f>
        <v/>
      </c>
      <c r="H544" s="3">
        <f>IF('ORDENES'!$A522="","",IF('ORDENES'!$AO522="","-",'ORDENES'!$AO522))</f>
        <v/>
      </c>
      <c r="I544" s="3">
        <f>IF('ORDENES'!$A522="","",IF('ORDENES'!$D522="","-",'ORDENES'!$D522))</f>
        <v/>
      </c>
      <c r="J544" s="3">
        <f>IF('ORDENES'!$A522="","",IF('ORDENES'!$E522="","-",'ORDENES'!$E522))</f>
        <v/>
      </c>
      <c r="K544" s="12">
        <f>IF('ORDENES'!$A522="","",IF('ORDENES'!$N522="",0,'ORDENES'!$N522))</f>
        <v/>
      </c>
      <c r="L544" s="3">
        <f>IF('ORDENES'!$A522="","",IF('ORDENES'!$O522="","-",'ORDENES'!$O522))</f>
        <v/>
      </c>
      <c r="M544" s="3">
        <f>IF('ORDENES'!$A522="","",'ORDENES'!$AB522)</f>
        <v/>
      </c>
    </row>
    <row r="545">
      <c r="A545" s="3">
        <f>IF('ORDENES'!$A523="","",IF('ORDENES'!$P523="","-",'ORDENES'!$P523))</f>
        <v/>
      </c>
      <c r="B545" s="3">
        <f>IF('ORDENES'!$A523="","",IF('ORDENES'!$S523="","-",'ORDENES'!$S523))</f>
        <v/>
      </c>
      <c r="C545" s="3">
        <f>IF('ORDENES'!$A523="","",IF('ORDENES'!$AD523="","-",'ORDENES'!$AD523))</f>
        <v/>
      </c>
      <c r="D545" s="3">
        <f>IF('ORDENES'!$A523="","",IF('ORDENES'!$W523="","-",'ORDENES'!$W523))</f>
        <v/>
      </c>
      <c r="E545" s="3">
        <f>IF('ORDENES'!$A523="","",IF('ORDENES'!$V523="","-",'ORDENES'!$V523))</f>
        <v/>
      </c>
      <c r="F545" s="3">
        <f>IF('ORDENES'!$A523="","",IF('ORDENES'!$X523="","-",'ORDENES'!$X523))</f>
        <v/>
      </c>
      <c r="G545" s="3">
        <f>IF('ORDENES'!$A523="","",IF('ORDENES'!$AC523="","-",'ORDENES'!$AC523))</f>
        <v/>
      </c>
      <c r="H545" s="3">
        <f>IF('ORDENES'!$A523="","",IF('ORDENES'!$AO523="","-",'ORDENES'!$AO523))</f>
        <v/>
      </c>
      <c r="I545" s="3">
        <f>IF('ORDENES'!$A523="","",IF('ORDENES'!$D523="","-",'ORDENES'!$D523))</f>
        <v/>
      </c>
      <c r="J545" s="3">
        <f>IF('ORDENES'!$A523="","",IF('ORDENES'!$E523="","-",'ORDENES'!$E523))</f>
        <v/>
      </c>
      <c r="K545" s="12">
        <f>IF('ORDENES'!$A523="","",IF('ORDENES'!$N523="",0,'ORDENES'!$N523))</f>
        <v/>
      </c>
      <c r="L545" s="3">
        <f>IF('ORDENES'!$A523="","",IF('ORDENES'!$O523="","-",'ORDENES'!$O523))</f>
        <v/>
      </c>
      <c r="M545" s="3">
        <f>IF('ORDENES'!$A523="","",'ORDENES'!$AB523)</f>
        <v/>
      </c>
    </row>
    <row r="546">
      <c r="A546" s="3">
        <f>IF('ORDENES'!$A524="","",IF('ORDENES'!$P524="","-",'ORDENES'!$P524))</f>
        <v/>
      </c>
      <c r="B546" s="3">
        <f>IF('ORDENES'!$A524="","",IF('ORDENES'!$S524="","-",'ORDENES'!$S524))</f>
        <v/>
      </c>
      <c r="C546" s="3">
        <f>IF('ORDENES'!$A524="","",IF('ORDENES'!$AD524="","-",'ORDENES'!$AD524))</f>
        <v/>
      </c>
      <c r="D546" s="3">
        <f>IF('ORDENES'!$A524="","",IF('ORDENES'!$W524="","-",'ORDENES'!$W524))</f>
        <v/>
      </c>
      <c r="E546" s="3">
        <f>IF('ORDENES'!$A524="","",IF('ORDENES'!$V524="","-",'ORDENES'!$V524))</f>
        <v/>
      </c>
      <c r="F546" s="3">
        <f>IF('ORDENES'!$A524="","",IF('ORDENES'!$X524="","-",'ORDENES'!$X524))</f>
        <v/>
      </c>
      <c r="G546" s="3">
        <f>IF('ORDENES'!$A524="","",IF('ORDENES'!$AC524="","-",'ORDENES'!$AC524))</f>
        <v/>
      </c>
      <c r="H546" s="3">
        <f>IF('ORDENES'!$A524="","",IF('ORDENES'!$AO524="","-",'ORDENES'!$AO524))</f>
        <v/>
      </c>
      <c r="I546" s="3">
        <f>IF('ORDENES'!$A524="","",IF('ORDENES'!$D524="","-",'ORDENES'!$D524))</f>
        <v/>
      </c>
      <c r="J546" s="3">
        <f>IF('ORDENES'!$A524="","",IF('ORDENES'!$E524="","-",'ORDENES'!$E524))</f>
        <v/>
      </c>
      <c r="K546" s="12">
        <f>IF('ORDENES'!$A524="","",IF('ORDENES'!$N524="",0,'ORDENES'!$N524))</f>
        <v/>
      </c>
      <c r="L546" s="3">
        <f>IF('ORDENES'!$A524="","",IF('ORDENES'!$O524="","-",'ORDENES'!$O524))</f>
        <v/>
      </c>
      <c r="M546" s="3">
        <f>IF('ORDENES'!$A524="","",'ORDENES'!$AB524)</f>
        <v/>
      </c>
    </row>
    <row r="547">
      <c r="A547" s="3">
        <f>IF('ORDENES'!$A525="","",IF('ORDENES'!$P525="","-",'ORDENES'!$P525))</f>
        <v/>
      </c>
      <c r="B547" s="3">
        <f>IF('ORDENES'!$A525="","",IF('ORDENES'!$S525="","-",'ORDENES'!$S525))</f>
        <v/>
      </c>
      <c r="C547" s="3">
        <f>IF('ORDENES'!$A525="","",IF('ORDENES'!$AD525="","-",'ORDENES'!$AD525))</f>
        <v/>
      </c>
      <c r="D547" s="3">
        <f>IF('ORDENES'!$A525="","",IF('ORDENES'!$W525="","-",'ORDENES'!$W525))</f>
        <v/>
      </c>
      <c r="E547" s="3">
        <f>IF('ORDENES'!$A525="","",IF('ORDENES'!$V525="","-",'ORDENES'!$V525))</f>
        <v/>
      </c>
      <c r="F547" s="3">
        <f>IF('ORDENES'!$A525="","",IF('ORDENES'!$X525="","-",'ORDENES'!$X525))</f>
        <v/>
      </c>
      <c r="G547" s="3">
        <f>IF('ORDENES'!$A525="","",IF('ORDENES'!$AC525="","-",'ORDENES'!$AC525))</f>
        <v/>
      </c>
      <c r="H547" s="3">
        <f>IF('ORDENES'!$A525="","",IF('ORDENES'!$AO525="","-",'ORDENES'!$AO525))</f>
        <v/>
      </c>
      <c r="I547" s="3">
        <f>IF('ORDENES'!$A525="","",IF('ORDENES'!$D525="","-",'ORDENES'!$D525))</f>
        <v/>
      </c>
      <c r="J547" s="3">
        <f>IF('ORDENES'!$A525="","",IF('ORDENES'!$E525="","-",'ORDENES'!$E525))</f>
        <v/>
      </c>
      <c r="K547" s="12">
        <f>IF('ORDENES'!$A525="","",IF('ORDENES'!$N525="",0,'ORDENES'!$N525))</f>
        <v/>
      </c>
      <c r="L547" s="3">
        <f>IF('ORDENES'!$A525="","",IF('ORDENES'!$O525="","-",'ORDENES'!$O525))</f>
        <v/>
      </c>
      <c r="M547" s="3">
        <f>IF('ORDENES'!$A525="","",'ORDENES'!$AB525)</f>
        <v/>
      </c>
    </row>
    <row r="548">
      <c r="A548" s="3">
        <f>IF('ORDENES'!$A526="","",IF('ORDENES'!$P526="","-",'ORDENES'!$P526))</f>
        <v/>
      </c>
      <c r="B548" s="3">
        <f>IF('ORDENES'!$A526="","",IF('ORDENES'!$S526="","-",'ORDENES'!$S526))</f>
        <v/>
      </c>
      <c r="C548" s="3">
        <f>IF('ORDENES'!$A526="","",IF('ORDENES'!$AD526="","-",'ORDENES'!$AD526))</f>
        <v/>
      </c>
      <c r="D548" s="3">
        <f>IF('ORDENES'!$A526="","",IF('ORDENES'!$W526="","-",'ORDENES'!$W526))</f>
        <v/>
      </c>
      <c r="E548" s="3">
        <f>IF('ORDENES'!$A526="","",IF('ORDENES'!$V526="","-",'ORDENES'!$V526))</f>
        <v/>
      </c>
      <c r="F548" s="3">
        <f>IF('ORDENES'!$A526="","",IF('ORDENES'!$X526="","-",'ORDENES'!$X526))</f>
        <v/>
      </c>
      <c r="G548" s="3">
        <f>IF('ORDENES'!$A526="","",IF('ORDENES'!$AC526="","-",'ORDENES'!$AC526))</f>
        <v/>
      </c>
      <c r="H548" s="3">
        <f>IF('ORDENES'!$A526="","",IF('ORDENES'!$AO526="","-",'ORDENES'!$AO526))</f>
        <v/>
      </c>
      <c r="I548" s="3">
        <f>IF('ORDENES'!$A526="","",IF('ORDENES'!$D526="","-",'ORDENES'!$D526))</f>
        <v/>
      </c>
      <c r="J548" s="3">
        <f>IF('ORDENES'!$A526="","",IF('ORDENES'!$E526="","-",'ORDENES'!$E526))</f>
        <v/>
      </c>
      <c r="K548" s="12">
        <f>IF('ORDENES'!$A526="","",IF('ORDENES'!$N526="",0,'ORDENES'!$N526))</f>
        <v/>
      </c>
      <c r="L548" s="3">
        <f>IF('ORDENES'!$A526="","",IF('ORDENES'!$O526="","-",'ORDENES'!$O526))</f>
        <v/>
      </c>
      <c r="M548" s="3">
        <f>IF('ORDENES'!$A526="","",'ORDENES'!$AB526)</f>
        <v/>
      </c>
    </row>
    <row r="549">
      <c r="A549" s="3">
        <f>IF('ORDENES'!$A527="","",IF('ORDENES'!$P527="","-",'ORDENES'!$P527))</f>
        <v/>
      </c>
      <c r="B549" s="3">
        <f>IF('ORDENES'!$A527="","",IF('ORDENES'!$S527="","-",'ORDENES'!$S527))</f>
        <v/>
      </c>
      <c r="C549" s="3">
        <f>IF('ORDENES'!$A527="","",IF('ORDENES'!$AD527="","-",'ORDENES'!$AD527))</f>
        <v/>
      </c>
      <c r="D549" s="3">
        <f>IF('ORDENES'!$A527="","",IF('ORDENES'!$W527="","-",'ORDENES'!$W527))</f>
        <v/>
      </c>
      <c r="E549" s="3">
        <f>IF('ORDENES'!$A527="","",IF('ORDENES'!$V527="","-",'ORDENES'!$V527))</f>
        <v/>
      </c>
      <c r="F549" s="3">
        <f>IF('ORDENES'!$A527="","",IF('ORDENES'!$X527="","-",'ORDENES'!$X527))</f>
        <v/>
      </c>
      <c r="G549" s="3">
        <f>IF('ORDENES'!$A527="","",IF('ORDENES'!$AC527="","-",'ORDENES'!$AC527))</f>
        <v/>
      </c>
      <c r="H549" s="3">
        <f>IF('ORDENES'!$A527="","",IF('ORDENES'!$AO527="","-",'ORDENES'!$AO527))</f>
        <v/>
      </c>
      <c r="I549" s="3">
        <f>IF('ORDENES'!$A527="","",IF('ORDENES'!$D527="","-",'ORDENES'!$D527))</f>
        <v/>
      </c>
      <c r="J549" s="3">
        <f>IF('ORDENES'!$A527="","",IF('ORDENES'!$E527="","-",'ORDENES'!$E527))</f>
        <v/>
      </c>
      <c r="K549" s="12">
        <f>IF('ORDENES'!$A527="","",IF('ORDENES'!$N527="",0,'ORDENES'!$N527))</f>
        <v/>
      </c>
      <c r="L549" s="3">
        <f>IF('ORDENES'!$A527="","",IF('ORDENES'!$O527="","-",'ORDENES'!$O527))</f>
        <v/>
      </c>
      <c r="M549" s="3">
        <f>IF('ORDENES'!$A527="","",'ORDENES'!$AB527)</f>
        <v/>
      </c>
    </row>
    <row r="550">
      <c r="A550" s="3">
        <f>IF('ORDENES'!$A528="","",IF('ORDENES'!$P528="","-",'ORDENES'!$P528))</f>
        <v/>
      </c>
      <c r="B550" s="3">
        <f>IF('ORDENES'!$A528="","",IF('ORDENES'!$S528="","-",'ORDENES'!$S528))</f>
        <v/>
      </c>
      <c r="C550" s="3">
        <f>IF('ORDENES'!$A528="","",IF('ORDENES'!$AD528="","-",'ORDENES'!$AD528))</f>
        <v/>
      </c>
      <c r="D550" s="3">
        <f>IF('ORDENES'!$A528="","",IF('ORDENES'!$W528="","-",'ORDENES'!$W528))</f>
        <v/>
      </c>
      <c r="E550" s="3">
        <f>IF('ORDENES'!$A528="","",IF('ORDENES'!$V528="","-",'ORDENES'!$V528))</f>
        <v/>
      </c>
      <c r="F550" s="3">
        <f>IF('ORDENES'!$A528="","",IF('ORDENES'!$X528="","-",'ORDENES'!$X528))</f>
        <v/>
      </c>
      <c r="G550" s="3">
        <f>IF('ORDENES'!$A528="","",IF('ORDENES'!$AC528="","-",'ORDENES'!$AC528))</f>
        <v/>
      </c>
      <c r="H550" s="3">
        <f>IF('ORDENES'!$A528="","",IF('ORDENES'!$AO528="","-",'ORDENES'!$AO528))</f>
        <v/>
      </c>
      <c r="I550" s="3">
        <f>IF('ORDENES'!$A528="","",IF('ORDENES'!$D528="","-",'ORDENES'!$D528))</f>
        <v/>
      </c>
      <c r="J550" s="3">
        <f>IF('ORDENES'!$A528="","",IF('ORDENES'!$E528="","-",'ORDENES'!$E528))</f>
        <v/>
      </c>
      <c r="K550" s="12">
        <f>IF('ORDENES'!$A528="","",IF('ORDENES'!$N528="",0,'ORDENES'!$N528))</f>
        <v/>
      </c>
      <c r="L550" s="3">
        <f>IF('ORDENES'!$A528="","",IF('ORDENES'!$O528="","-",'ORDENES'!$O528))</f>
        <v/>
      </c>
      <c r="M550" s="3">
        <f>IF('ORDENES'!$A528="","",'ORDENES'!$AB528)</f>
        <v/>
      </c>
    </row>
    <row r="551">
      <c r="A551" s="3">
        <f>IF('ORDENES'!$A529="","",IF('ORDENES'!$P529="","-",'ORDENES'!$P529))</f>
        <v/>
      </c>
      <c r="B551" s="3">
        <f>IF('ORDENES'!$A529="","",IF('ORDENES'!$S529="","-",'ORDENES'!$S529))</f>
        <v/>
      </c>
      <c r="C551" s="3">
        <f>IF('ORDENES'!$A529="","",IF('ORDENES'!$AD529="","-",'ORDENES'!$AD529))</f>
        <v/>
      </c>
      <c r="D551" s="3">
        <f>IF('ORDENES'!$A529="","",IF('ORDENES'!$W529="","-",'ORDENES'!$W529))</f>
        <v/>
      </c>
      <c r="E551" s="3">
        <f>IF('ORDENES'!$A529="","",IF('ORDENES'!$V529="","-",'ORDENES'!$V529))</f>
        <v/>
      </c>
      <c r="F551" s="3">
        <f>IF('ORDENES'!$A529="","",IF('ORDENES'!$X529="","-",'ORDENES'!$X529))</f>
        <v/>
      </c>
      <c r="G551" s="3">
        <f>IF('ORDENES'!$A529="","",IF('ORDENES'!$AC529="","-",'ORDENES'!$AC529))</f>
        <v/>
      </c>
      <c r="H551" s="3">
        <f>IF('ORDENES'!$A529="","",IF('ORDENES'!$AO529="","-",'ORDENES'!$AO529))</f>
        <v/>
      </c>
      <c r="I551" s="3">
        <f>IF('ORDENES'!$A529="","",IF('ORDENES'!$D529="","-",'ORDENES'!$D529))</f>
        <v/>
      </c>
      <c r="J551" s="3">
        <f>IF('ORDENES'!$A529="","",IF('ORDENES'!$E529="","-",'ORDENES'!$E529))</f>
        <v/>
      </c>
      <c r="K551" s="12">
        <f>IF('ORDENES'!$A529="","",IF('ORDENES'!$N529="",0,'ORDENES'!$N529))</f>
        <v/>
      </c>
      <c r="L551" s="3">
        <f>IF('ORDENES'!$A529="","",IF('ORDENES'!$O529="","-",'ORDENES'!$O529))</f>
        <v/>
      </c>
      <c r="M551" s="3">
        <f>IF('ORDENES'!$A529="","",'ORDENES'!$AB529)</f>
        <v/>
      </c>
    </row>
    <row r="552">
      <c r="A552" s="3">
        <f>IF('ORDENES'!$A530="","",IF('ORDENES'!$P530="","-",'ORDENES'!$P530))</f>
        <v/>
      </c>
      <c r="B552" s="3">
        <f>IF('ORDENES'!$A530="","",IF('ORDENES'!$S530="","-",'ORDENES'!$S530))</f>
        <v/>
      </c>
      <c r="C552" s="3">
        <f>IF('ORDENES'!$A530="","",IF('ORDENES'!$AD530="","-",'ORDENES'!$AD530))</f>
        <v/>
      </c>
      <c r="D552" s="3">
        <f>IF('ORDENES'!$A530="","",IF('ORDENES'!$W530="","-",'ORDENES'!$W530))</f>
        <v/>
      </c>
      <c r="E552" s="3">
        <f>IF('ORDENES'!$A530="","",IF('ORDENES'!$V530="","-",'ORDENES'!$V530))</f>
        <v/>
      </c>
      <c r="F552" s="3">
        <f>IF('ORDENES'!$A530="","",IF('ORDENES'!$X530="","-",'ORDENES'!$X530))</f>
        <v/>
      </c>
      <c r="G552" s="3">
        <f>IF('ORDENES'!$A530="","",IF('ORDENES'!$AC530="","-",'ORDENES'!$AC530))</f>
        <v/>
      </c>
      <c r="H552" s="3">
        <f>IF('ORDENES'!$A530="","",IF('ORDENES'!$AO530="","-",'ORDENES'!$AO530))</f>
        <v/>
      </c>
      <c r="I552" s="3">
        <f>IF('ORDENES'!$A530="","",IF('ORDENES'!$D530="","-",'ORDENES'!$D530))</f>
        <v/>
      </c>
      <c r="J552" s="3">
        <f>IF('ORDENES'!$A530="","",IF('ORDENES'!$E530="","-",'ORDENES'!$E530))</f>
        <v/>
      </c>
      <c r="K552" s="12">
        <f>IF('ORDENES'!$A530="","",IF('ORDENES'!$N530="",0,'ORDENES'!$N530))</f>
        <v/>
      </c>
      <c r="L552" s="3">
        <f>IF('ORDENES'!$A530="","",IF('ORDENES'!$O530="","-",'ORDENES'!$O530))</f>
        <v/>
      </c>
      <c r="M552" s="3">
        <f>IF('ORDENES'!$A530="","",'ORDENES'!$AB530)</f>
        <v/>
      </c>
    </row>
    <row r="553">
      <c r="A553" s="3">
        <f>IF('ORDENES'!$A531="","",IF('ORDENES'!$P531="","-",'ORDENES'!$P531))</f>
        <v/>
      </c>
      <c r="B553" s="3">
        <f>IF('ORDENES'!$A531="","",IF('ORDENES'!$S531="","-",'ORDENES'!$S531))</f>
        <v/>
      </c>
      <c r="C553" s="3">
        <f>IF('ORDENES'!$A531="","",IF('ORDENES'!$AD531="","-",'ORDENES'!$AD531))</f>
        <v/>
      </c>
      <c r="D553" s="3">
        <f>IF('ORDENES'!$A531="","",IF('ORDENES'!$W531="","-",'ORDENES'!$W531))</f>
        <v/>
      </c>
      <c r="E553" s="3">
        <f>IF('ORDENES'!$A531="","",IF('ORDENES'!$V531="","-",'ORDENES'!$V531))</f>
        <v/>
      </c>
      <c r="F553" s="3">
        <f>IF('ORDENES'!$A531="","",IF('ORDENES'!$X531="","-",'ORDENES'!$X531))</f>
        <v/>
      </c>
      <c r="G553" s="3">
        <f>IF('ORDENES'!$A531="","",IF('ORDENES'!$AC531="","-",'ORDENES'!$AC531))</f>
        <v/>
      </c>
      <c r="H553" s="3">
        <f>IF('ORDENES'!$A531="","",IF('ORDENES'!$AO531="","-",'ORDENES'!$AO531))</f>
        <v/>
      </c>
      <c r="I553" s="3">
        <f>IF('ORDENES'!$A531="","",IF('ORDENES'!$D531="","-",'ORDENES'!$D531))</f>
        <v/>
      </c>
      <c r="J553" s="3">
        <f>IF('ORDENES'!$A531="","",IF('ORDENES'!$E531="","-",'ORDENES'!$E531))</f>
        <v/>
      </c>
      <c r="K553" s="12">
        <f>IF('ORDENES'!$A531="","",IF('ORDENES'!$N531="",0,'ORDENES'!$N531))</f>
        <v/>
      </c>
      <c r="L553" s="3">
        <f>IF('ORDENES'!$A531="","",IF('ORDENES'!$O531="","-",'ORDENES'!$O531))</f>
        <v/>
      </c>
      <c r="M553" s="3">
        <f>IF('ORDENES'!$A531="","",'ORDENES'!$AB531)</f>
        <v/>
      </c>
    </row>
    <row r="554">
      <c r="A554" s="3">
        <f>IF('ORDENES'!$A532="","",IF('ORDENES'!$P532="","-",'ORDENES'!$P532))</f>
        <v/>
      </c>
      <c r="B554" s="3">
        <f>IF('ORDENES'!$A532="","",IF('ORDENES'!$S532="","-",'ORDENES'!$S532))</f>
        <v/>
      </c>
      <c r="C554" s="3">
        <f>IF('ORDENES'!$A532="","",IF('ORDENES'!$AD532="","-",'ORDENES'!$AD532))</f>
        <v/>
      </c>
      <c r="D554" s="3">
        <f>IF('ORDENES'!$A532="","",IF('ORDENES'!$W532="","-",'ORDENES'!$W532))</f>
        <v/>
      </c>
      <c r="E554" s="3">
        <f>IF('ORDENES'!$A532="","",IF('ORDENES'!$V532="","-",'ORDENES'!$V532))</f>
        <v/>
      </c>
      <c r="F554" s="3">
        <f>IF('ORDENES'!$A532="","",IF('ORDENES'!$X532="","-",'ORDENES'!$X532))</f>
        <v/>
      </c>
      <c r="G554" s="3">
        <f>IF('ORDENES'!$A532="","",IF('ORDENES'!$AC532="","-",'ORDENES'!$AC532))</f>
        <v/>
      </c>
      <c r="H554" s="3">
        <f>IF('ORDENES'!$A532="","",IF('ORDENES'!$AO532="","-",'ORDENES'!$AO532))</f>
        <v/>
      </c>
      <c r="I554" s="3">
        <f>IF('ORDENES'!$A532="","",IF('ORDENES'!$D532="","-",'ORDENES'!$D532))</f>
        <v/>
      </c>
      <c r="J554" s="3">
        <f>IF('ORDENES'!$A532="","",IF('ORDENES'!$E532="","-",'ORDENES'!$E532))</f>
        <v/>
      </c>
      <c r="K554" s="12">
        <f>IF('ORDENES'!$A532="","",IF('ORDENES'!$N532="",0,'ORDENES'!$N532))</f>
        <v/>
      </c>
      <c r="L554" s="3">
        <f>IF('ORDENES'!$A532="","",IF('ORDENES'!$O532="","-",'ORDENES'!$O532))</f>
        <v/>
      </c>
      <c r="M554" s="3">
        <f>IF('ORDENES'!$A532="","",'ORDENES'!$AB532)</f>
        <v/>
      </c>
    </row>
    <row r="555">
      <c r="A555" s="3">
        <f>IF('ORDENES'!$A533="","",IF('ORDENES'!$P533="","-",'ORDENES'!$P533))</f>
        <v/>
      </c>
      <c r="B555" s="3">
        <f>IF('ORDENES'!$A533="","",IF('ORDENES'!$S533="","-",'ORDENES'!$S533))</f>
        <v/>
      </c>
      <c r="C555" s="3">
        <f>IF('ORDENES'!$A533="","",IF('ORDENES'!$AD533="","-",'ORDENES'!$AD533))</f>
        <v/>
      </c>
      <c r="D555" s="3">
        <f>IF('ORDENES'!$A533="","",IF('ORDENES'!$W533="","-",'ORDENES'!$W533))</f>
        <v/>
      </c>
      <c r="E555" s="3">
        <f>IF('ORDENES'!$A533="","",IF('ORDENES'!$V533="","-",'ORDENES'!$V533))</f>
        <v/>
      </c>
      <c r="F555" s="3">
        <f>IF('ORDENES'!$A533="","",IF('ORDENES'!$X533="","-",'ORDENES'!$X533))</f>
        <v/>
      </c>
      <c r="G555" s="3">
        <f>IF('ORDENES'!$A533="","",IF('ORDENES'!$AC533="","-",'ORDENES'!$AC533))</f>
        <v/>
      </c>
      <c r="H555" s="3">
        <f>IF('ORDENES'!$A533="","",IF('ORDENES'!$AO533="","-",'ORDENES'!$AO533))</f>
        <v/>
      </c>
      <c r="I555" s="3">
        <f>IF('ORDENES'!$A533="","",IF('ORDENES'!$D533="","-",'ORDENES'!$D533))</f>
        <v/>
      </c>
      <c r="J555" s="3">
        <f>IF('ORDENES'!$A533="","",IF('ORDENES'!$E533="","-",'ORDENES'!$E533))</f>
        <v/>
      </c>
      <c r="K555" s="12">
        <f>IF('ORDENES'!$A533="","",IF('ORDENES'!$N533="",0,'ORDENES'!$N533))</f>
        <v/>
      </c>
      <c r="L555" s="3">
        <f>IF('ORDENES'!$A533="","",IF('ORDENES'!$O533="","-",'ORDENES'!$O533))</f>
        <v/>
      </c>
      <c r="M555" s="3">
        <f>IF('ORDENES'!$A533="","",'ORDENES'!$AB533)</f>
        <v/>
      </c>
    </row>
    <row r="556">
      <c r="A556" s="3">
        <f>IF('ORDENES'!$A534="","",IF('ORDENES'!$P534="","-",'ORDENES'!$P534))</f>
        <v/>
      </c>
      <c r="B556" s="3">
        <f>IF('ORDENES'!$A534="","",IF('ORDENES'!$S534="","-",'ORDENES'!$S534))</f>
        <v/>
      </c>
      <c r="C556" s="3">
        <f>IF('ORDENES'!$A534="","",IF('ORDENES'!$AD534="","-",'ORDENES'!$AD534))</f>
        <v/>
      </c>
      <c r="D556" s="3">
        <f>IF('ORDENES'!$A534="","",IF('ORDENES'!$W534="","-",'ORDENES'!$W534))</f>
        <v/>
      </c>
      <c r="E556" s="3">
        <f>IF('ORDENES'!$A534="","",IF('ORDENES'!$V534="","-",'ORDENES'!$V534))</f>
        <v/>
      </c>
      <c r="F556" s="3">
        <f>IF('ORDENES'!$A534="","",IF('ORDENES'!$X534="","-",'ORDENES'!$X534))</f>
        <v/>
      </c>
      <c r="G556" s="3">
        <f>IF('ORDENES'!$A534="","",IF('ORDENES'!$AC534="","-",'ORDENES'!$AC534))</f>
        <v/>
      </c>
      <c r="H556" s="3">
        <f>IF('ORDENES'!$A534="","",IF('ORDENES'!$AO534="","-",'ORDENES'!$AO534))</f>
        <v/>
      </c>
      <c r="I556" s="3">
        <f>IF('ORDENES'!$A534="","",IF('ORDENES'!$D534="","-",'ORDENES'!$D534))</f>
        <v/>
      </c>
      <c r="J556" s="3">
        <f>IF('ORDENES'!$A534="","",IF('ORDENES'!$E534="","-",'ORDENES'!$E534))</f>
        <v/>
      </c>
      <c r="K556" s="12">
        <f>IF('ORDENES'!$A534="","",IF('ORDENES'!$N534="",0,'ORDENES'!$N534))</f>
        <v/>
      </c>
      <c r="L556" s="3">
        <f>IF('ORDENES'!$A534="","",IF('ORDENES'!$O534="","-",'ORDENES'!$O534))</f>
        <v/>
      </c>
      <c r="M556" s="3">
        <f>IF('ORDENES'!$A534="","",'ORDENES'!$AB534)</f>
        <v/>
      </c>
    </row>
    <row r="557">
      <c r="A557" s="3">
        <f>IF('ORDENES'!$A535="","",IF('ORDENES'!$P535="","-",'ORDENES'!$P535))</f>
        <v/>
      </c>
      <c r="B557" s="3">
        <f>IF('ORDENES'!$A535="","",IF('ORDENES'!$S535="","-",'ORDENES'!$S535))</f>
        <v/>
      </c>
      <c r="C557" s="3">
        <f>IF('ORDENES'!$A535="","",IF('ORDENES'!$AD535="","-",'ORDENES'!$AD535))</f>
        <v/>
      </c>
      <c r="D557" s="3">
        <f>IF('ORDENES'!$A535="","",IF('ORDENES'!$W535="","-",'ORDENES'!$W535))</f>
        <v/>
      </c>
      <c r="E557" s="3">
        <f>IF('ORDENES'!$A535="","",IF('ORDENES'!$V535="","-",'ORDENES'!$V535))</f>
        <v/>
      </c>
      <c r="F557" s="3">
        <f>IF('ORDENES'!$A535="","",IF('ORDENES'!$X535="","-",'ORDENES'!$X535))</f>
        <v/>
      </c>
      <c r="G557" s="3">
        <f>IF('ORDENES'!$A535="","",IF('ORDENES'!$AC535="","-",'ORDENES'!$AC535))</f>
        <v/>
      </c>
      <c r="H557" s="3">
        <f>IF('ORDENES'!$A535="","",IF('ORDENES'!$AO535="","-",'ORDENES'!$AO535))</f>
        <v/>
      </c>
      <c r="I557" s="3">
        <f>IF('ORDENES'!$A535="","",IF('ORDENES'!$D535="","-",'ORDENES'!$D535))</f>
        <v/>
      </c>
      <c r="J557" s="3">
        <f>IF('ORDENES'!$A535="","",IF('ORDENES'!$E535="","-",'ORDENES'!$E535))</f>
        <v/>
      </c>
      <c r="K557" s="12">
        <f>IF('ORDENES'!$A535="","",IF('ORDENES'!$N535="",0,'ORDENES'!$N535))</f>
        <v/>
      </c>
      <c r="L557" s="3">
        <f>IF('ORDENES'!$A535="","",IF('ORDENES'!$O535="","-",'ORDENES'!$O535))</f>
        <v/>
      </c>
      <c r="M557" s="3">
        <f>IF('ORDENES'!$A535="","",'ORDENES'!$AB535)</f>
        <v/>
      </c>
    </row>
    <row r="558">
      <c r="A558" s="3">
        <f>IF('ORDENES'!$A536="","",IF('ORDENES'!$P536="","-",'ORDENES'!$P536))</f>
        <v/>
      </c>
      <c r="B558" s="3">
        <f>IF('ORDENES'!$A536="","",IF('ORDENES'!$S536="","-",'ORDENES'!$S536))</f>
        <v/>
      </c>
      <c r="C558" s="3">
        <f>IF('ORDENES'!$A536="","",IF('ORDENES'!$AD536="","-",'ORDENES'!$AD536))</f>
        <v/>
      </c>
      <c r="D558" s="3">
        <f>IF('ORDENES'!$A536="","",IF('ORDENES'!$W536="","-",'ORDENES'!$W536))</f>
        <v/>
      </c>
      <c r="E558" s="3">
        <f>IF('ORDENES'!$A536="","",IF('ORDENES'!$V536="","-",'ORDENES'!$V536))</f>
        <v/>
      </c>
      <c r="F558" s="3">
        <f>IF('ORDENES'!$A536="","",IF('ORDENES'!$X536="","-",'ORDENES'!$X536))</f>
        <v/>
      </c>
      <c r="G558" s="3">
        <f>IF('ORDENES'!$A536="","",IF('ORDENES'!$AC536="","-",'ORDENES'!$AC536))</f>
        <v/>
      </c>
      <c r="H558" s="3">
        <f>IF('ORDENES'!$A536="","",IF('ORDENES'!$AO536="","-",'ORDENES'!$AO536))</f>
        <v/>
      </c>
      <c r="I558" s="3">
        <f>IF('ORDENES'!$A536="","",IF('ORDENES'!$D536="","-",'ORDENES'!$D536))</f>
        <v/>
      </c>
      <c r="J558" s="3">
        <f>IF('ORDENES'!$A536="","",IF('ORDENES'!$E536="","-",'ORDENES'!$E536))</f>
        <v/>
      </c>
      <c r="K558" s="12">
        <f>IF('ORDENES'!$A536="","",IF('ORDENES'!$N536="",0,'ORDENES'!$N536))</f>
        <v/>
      </c>
      <c r="L558" s="3">
        <f>IF('ORDENES'!$A536="","",IF('ORDENES'!$O536="","-",'ORDENES'!$O536))</f>
        <v/>
      </c>
      <c r="M558" s="3">
        <f>IF('ORDENES'!$A536="","",'ORDENES'!$AB536)</f>
        <v/>
      </c>
    </row>
    <row r="559">
      <c r="A559" s="3">
        <f>IF('ORDENES'!$A537="","",IF('ORDENES'!$P537="","-",'ORDENES'!$P537))</f>
        <v/>
      </c>
      <c r="B559" s="3">
        <f>IF('ORDENES'!$A537="","",IF('ORDENES'!$S537="","-",'ORDENES'!$S537))</f>
        <v/>
      </c>
      <c r="C559" s="3">
        <f>IF('ORDENES'!$A537="","",IF('ORDENES'!$AD537="","-",'ORDENES'!$AD537))</f>
        <v/>
      </c>
      <c r="D559" s="3">
        <f>IF('ORDENES'!$A537="","",IF('ORDENES'!$W537="","-",'ORDENES'!$W537))</f>
        <v/>
      </c>
      <c r="E559" s="3">
        <f>IF('ORDENES'!$A537="","",IF('ORDENES'!$V537="","-",'ORDENES'!$V537))</f>
        <v/>
      </c>
      <c r="F559" s="3">
        <f>IF('ORDENES'!$A537="","",IF('ORDENES'!$X537="","-",'ORDENES'!$X537))</f>
        <v/>
      </c>
      <c r="G559" s="3">
        <f>IF('ORDENES'!$A537="","",IF('ORDENES'!$AC537="","-",'ORDENES'!$AC537))</f>
        <v/>
      </c>
      <c r="H559" s="3">
        <f>IF('ORDENES'!$A537="","",IF('ORDENES'!$AO537="","-",'ORDENES'!$AO537))</f>
        <v/>
      </c>
      <c r="I559" s="3">
        <f>IF('ORDENES'!$A537="","",IF('ORDENES'!$D537="","-",'ORDENES'!$D537))</f>
        <v/>
      </c>
      <c r="J559" s="3">
        <f>IF('ORDENES'!$A537="","",IF('ORDENES'!$E537="","-",'ORDENES'!$E537))</f>
        <v/>
      </c>
      <c r="K559" s="12">
        <f>IF('ORDENES'!$A537="","",IF('ORDENES'!$N537="",0,'ORDENES'!$N537))</f>
        <v/>
      </c>
      <c r="L559" s="3">
        <f>IF('ORDENES'!$A537="","",IF('ORDENES'!$O537="","-",'ORDENES'!$O537))</f>
        <v/>
      </c>
      <c r="M559" s="3">
        <f>IF('ORDENES'!$A537="","",'ORDENES'!$AB537)</f>
        <v/>
      </c>
    </row>
    <row r="560">
      <c r="A560" s="3">
        <f>IF('ORDENES'!$A538="","",IF('ORDENES'!$P538="","-",'ORDENES'!$P538))</f>
        <v/>
      </c>
      <c r="B560" s="3">
        <f>IF('ORDENES'!$A538="","",IF('ORDENES'!$S538="","-",'ORDENES'!$S538))</f>
        <v/>
      </c>
      <c r="C560" s="3">
        <f>IF('ORDENES'!$A538="","",IF('ORDENES'!$AD538="","-",'ORDENES'!$AD538))</f>
        <v/>
      </c>
      <c r="D560" s="3">
        <f>IF('ORDENES'!$A538="","",IF('ORDENES'!$W538="","-",'ORDENES'!$W538))</f>
        <v/>
      </c>
      <c r="E560" s="3">
        <f>IF('ORDENES'!$A538="","",IF('ORDENES'!$V538="","-",'ORDENES'!$V538))</f>
        <v/>
      </c>
      <c r="F560" s="3">
        <f>IF('ORDENES'!$A538="","",IF('ORDENES'!$X538="","-",'ORDENES'!$X538))</f>
        <v/>
      </c>
      <c r="G560" s="3">
        <f>IF('ORDENES'!$A538="","",IF('ORDENES'!$AC538="","-",'ORDENES'!$AC538))</f>
        <v/>
      </c>
      <c r="H560" s="3">
        <f>IF('ORDENES'!$A538="","",IF('ORDENES'!$AO538="","-",'ORDENES'!$AO538))</f>
        <v/>
      </c>
      <c r="I560" s="3">
        <f>IF('ORDENES'!$A538="","",IF('ORDENES'!$D538="","-",'ORDENES'!$D538))</f>
        <v/>
      </c>
      <c r="J560" s="3">
        <f>IF('ORDENES'!$A538="","",IF('ORDENES'!$E538="","-",'ORDENES'!$E538))</f>
        <v/>
      </c>
      <c r="K560" s="12">
        <f>IF('ORDENES'!$A538="","",IF('ORDENES'!$N538="",0,'ORDENES'!$N538))</f>
        <v/>
      </c>
      <c r="L560" s="3">
        <f>IF('ORDENES'!$A538="","",IF('ORDENES'!$O538="","-",'ORDENES'!$O538))</f>
        <v/>
      </c>
      <c r="M560" s="3">
        <f>IF('ORDENES'!$A538="","",'ORDENES'!$AB538)</f>
        <v/>
      </c>
    </row>
    <row r="561">
      <c r="A561" s="3">
        <f>IF('ORDENES'!$A539="","",IF('ORDENES'!$P539="","-",'ORDENES'!$P539))</f>
        <v/>
      </c>
      <c r="B561" s="3">
        <f>IF('ORDENES'!$A539="","",IF('ORDENES'!$S539="","-",'ORDENES'!$S539))</f>
        <v/>
      </c>
      <c r="C561" s="3">
        <f>IF('ORDENES'!$A539="","",IF('ORDENES'!$AD539="","-",'ORDENES'!$AD539))</f>
        <v/>
      </c>
      <c r="D561" s="3">
        <f>IF('ORDENES'!$A539="","",IF('ORDENES'!$W539="","-",'ORDENES'!$W539))</f>
        <v/>
      </c>
      <c r="E561" s="3">
        <f>IF('ORDENES'!$A539="","",IF('ORDENES'!$V539="","-",'ORDENES'!$V539))</f>
        <v/>
      </c>
      <c r="F561" s="3">
        <f>IF('ORDENES'!$A539="","",IF('ORDENES'!$X539="","-",'ORDENES'!$X539))</f>
        <v/>
      </c>
      <c r="G561" s="3">
        <f>IF('ORDENES'!$A539="","",IF('ORDENES'!$AC539="","-",'ORDENES'!$AC539))</f>
        <v/>
      </c>
      <c r="H561" s="3">
        <f>IF('ORDENES'!$A539="","",IF('ORDENES'!$AO539="","-",'ORDENES'!$AO539))</f>
        <v/>
      </c>
      <c r="I561" s="3">
        <f>IF('ORDENES'!$A539="","",IF('ORDENES'!$D539="","-",'ORDENES'!$D539))</f>
        <v/>
      </c>
      <c r="J561" s="3">
        <f>IF('ORDENES'!$A539="","",IF('ORDENES'!$E539="","-",'ORDENES'!$E539))</f>
        <v/>
      </c>
      <c r="K561" s="12">
        <f>IF('ORDENES'!$A539="","",IF('ORDENES'!$N539="",0,'ORDENES'!$N539))</f>
        <v/>
      </c>
      <c r="L561" s="3">
        <f>IF('ORDENES'!$A539="","",IF('ORDENES'!$O539="","-",'ORDENES'!$O539))</f>
        <v/>
      </c>
      <c r="M561" s="3">
        <f>IF('ORDENES'!$A539="","",'ORDENES'!$AB539)</f>
        <v/>
      </c>
    </row>
    <row r="562">
      <c r="A562" s="3">
        <f>IF('ORDENES'!$A540="","",IF('ORDENES'!$P540="","-",'ORDENES'!$P540))</f>
        <v/>
      </c>
      <c r="B562" s="3">
        <f>IF('ORDENES'!$A540="","",IF('ORDENES'!$S540="","-",'ORDENES'!$S540))</f>
        <v/>
      </c>
      <c r="C562" s="3">
        <f>IF('ORDENES'!$A540="","",IF('ORDENES'!$AD540="","-",'ORDENES'!$AD540))</f>
        <v/>
      </c>
      <c r="D562" s="3">
        <f>IF('ORDENES'!$A540="","",IF('ORDENES'!$W540="","-",'ORDENES'!$W540))</f>
        <v/>
      </c>
      <c r="E562" s="3">
        <f>IF('ORDENES'!$A540="","",IF('ORDENES'!$V540="","-",'ORDENES'!$V540))</f>
        <v/>
      </c>
      <c r="F562" s="3">
        <f>IF('ORDENES'!$A540="","",IF('ORDENES'!$X540="","-",'ORDENES'!$X540))</f>
        <v/>
      </c>
      <c r="G562" s="3">
        <f>IF('ORDENES'!$A540="","",IF('ORDENES'!$AC540="","-",'ORDENES'!$AC540))</f>
        <v/>
      </c>
      <c r="H562" s="3">
        <f>IF('ORDENES'!$A540="","",IF('ORDENES'!$AO540="","-",'ORDENES'!$AO540))</f>
        <v/>
      </c>
      <c r="I562" s="3">
        <f>IF('ORDENES'!$A540="","",IF('ORDENES'!$D540="","-",'ORDENES'!$D540))</f>
        <v/>
      </c>
      <c r="J562" s="3">
        <f>IF('ORDENES'!$A540="","",IF('ORDENES'!$E540="","-",'ORDENES'!$E540))</f>
        <v/>
      </c>
      <c r="K562" s="12">
        <f>IF('ORDENES'!$A540="","",IF('ORDENES'!$N540="",0,'ORDENES'!$N540))</f>
        <v/>
      </c>
      <c r="L562" s="3">
        <f>IF('ORDENES'!$A540="","",IF('ORDENES'!$O540="","-",'ORDENES'!$O540))</f>
        <v/>
      </c>
      <c r="M562" s="3">
        <f>IF('ORDENES'!$A540="","",'ORDENES'!$AB540)</f>
        <v/>
      </c>
    </row>
    <row r="563">
      <c r="A563" s="3">
        <f>IF('ORDENES'!$A541="","",IF('ORDENES'!$P541="","-",'ORDENES'!$P541))</f>
        <v/>
      </c>
      <c r="B563" s="3">
        <f>IF('ORDENES'!$A541="","",IF('ORDENES'!$S541="","-",'ORDENES'!$S541))</f>
        <v/>
      </c>
      <c r="C563" s="3">
        <f>IF('ORDENES'!$A541="","",IF('ORDENES'!$AD541="","-",'ORDENES'!$AD541))</f>
        <v/>
      </c>
      <c r="D563" s="3">
        <f>IF('ORDENES'!$A541="","",IF('ORDENES'!$W541="","-",'ORDENES'!$W541))</f>
        <v/>
      </c>
      <c r="E563" s="3">
        <f>IF('ORDENES'!$A541="","",IF('ORDENES'!$V541="","-",'ORDENES'!$V541))</f>
        <v/>
      </c>
      <c r="F563" s="3">
        <f>IF('ORDENES'!$A541="","",IF('ORDENES'!$X541="","-",'ORDENES'!$X541))</f>
        <v/>
      </c>
      <c r="G563" s="3">
        <f>IF('ORDENES'!$A541="","",IF('ORDENES'!$AC541="","-",'ORDENES'!$AC541))</f>
        <v/>
      </c>
      <c r="H563" s="3">
        <f>IF('ORDENES'!$A541="","",IF('ORDENES'!$AO541="","-",'ORDENES'!$AO541))</f>
        <v/>
      </c>
      <c r="I563" s="3">
        <f>IF('ORDENES'!$A541="","",IF('ORDENES'!$D541="","-",'ORDENES'!$D541))</f>
        <v/>
      </c>
      <c r="J563" s="3">
        <f>IF('ORDENES'!$A541="","",IF('ORDENES'!$E541="","-",'ORDENES'!$E541))</f>
        <v/>
      </c>
      <c r="K563" s="12">
        <f>IF('ORDENES'!$A541="","",IF('ORDENES'!$N541="",0,'ORDENES'!$N541))</f>
        <v/>
      </c>
      <c r="L563" s="3">
        <f>IF('ORDENES'!$A541="","",IF('ORDENES'!$O541="","-",'ORDENES'!$O541))</f>
        <v/>
      </c>
      <c r="M563" s="3">
        <f>IF('ORDENES'!$A541="","",'ORDENES'!$AB541)</f>
        <v/>
      </c>
    </row>
    <row r="564">
      <c r="A564" s="3">
        <f>IF('ORDENES'!$A542="","",IF('ORDENES'!$P542="","-",'ORDENES'!$P542))</f>
        <v/>
      </c>
      <c r="B564" s="3">
        <f>IF('ORDENES'!$A542="","",IF('ORDENES'!$S542="","-",'ORDENES'!$S542))</f>
        <v/>
      </c>
      <c r="C564" s="3">
        <f>IF('ORDENES'!$A542="","",IF('ORDENES'!$AD542="","-",'ORDENES'!$AD542))</f>
        <v/>
      </c>
      <c r="D564" s="3">
        <f>IF('ORDENES'!$A542="","",IF('ORDENES'!$W542="","-",'ORDENES'!$W542))</f>
        <v/>
      </c>
      <c r="E564" s="3">
        <f>IF('ORDENES'!$A542="","",IF('ORDENES'!$V542="","-",'ORDENES'!$V542))</f>
        <v/>
      </c>
      <c r="F564" s="3">
        <f>IF('ORDENES'!$A542="","",IF('ORDENES'!$X542="","-",'ORDENES'!$X542))</f>
        <v/>
      </c>
      <c r="G564" s="3">
        <f>IF('ORDENES'!$A542="","",IF('ORDENES'!$AC542="","-",'ORDENES'!$AC542))</f>
        <v/>
      </c>
      <c r="H564" s="3">
        <f>IF('ORDENES'!$A542="","",IF('ORDENES'!$AO542="","-",'ORDENES'!$AO542))</f>
        <v/>
      </c>
      <c r="I564" s="3">
        <f>IF('ORDENES'!$A542="","",IF('ORDENES'!$D542="","-",'ORDENES'!$D542))</f>
        <v/>
      </c>
      <c r="J564" s="3">
        <f>IF('ORDENES'!$A542="","",IF('ORDENES'!$E542="","-",'ORDENES'!$E542))</f>
        <v/>
      </c>
      <c r="K564" s="12">
        <f>IF('ORDENES'!$A542="","",IF('ORDENES'!$N542="",0,'ORDENES'!$N542))</f>
        <v/>
      </c>
      <c r="L564" s="3">
        <f>IF('ORDENES'!$A542="","",IF('ORDENES'!$O542="","-",'ORDENES'!$O542))</f>
        <v/>
      </c>
      <c r="M564" s="3">
        <f>IF('ORDENES'!$A542="","",'ORDENES'!$AB542)</f>
        <v/>
      </c>
    </row>
    <row r="565">
      <c r="A565" s="3">
        <f>IF('ORDENES'!$A543="","",IF('ORDENES'!$P543="","-",'ORDENES'!$P543))</f>
        <v/>
      </c>
      <c r="B565" s="3">
        <f>IF('ORDENES'!$A543="","",IF('ORDENES'!$S543="","-",'ORDENES'!$S543))</f>
        <v/>
      </c>
      <c r="C565" s="3">
        <f>IF('ORDENES'!$A543="","",IF('ORDENES'!$AD543="","-",'ORDENES'!$AD543))</f>
        <v/>
      </c>
      <c r="D565" s="3">
        <f>IF('ORDENES'!$A543="","",IF('ORDENES'!$W543="","-",'ORDENES'!$W543))</f>
        <v/>
      </c>
      <c r="E565" s="3">
        <f>IF('ORDENES'!$A543="","",IF('ORDENES'!$V543="","-",'ORDENES'!$V543))</f>
        <v/>
      </c>
      <c r="F565" s="3">
        <f>IF('ORDENES'!$A543="","",IF('ORDENES'!$X543="","-",'ORDENES'!$X543))</f>
        <v/>
      </c>
      <c r="G565" s="3">
        <f>IF('ORDENES'!$A543="","",IF('ORDENES'!$AC543="","-",'ORDENES'!$AC543))</f>
        <v/>
      </c>
      <c r="H565" s="3">
        <f>IF('ORDENES'!$A543="","",IF('ORDENES'!$AO543="","-",'ORDENES'!$AO543))</f>
        <v/>
      </c>
      <c r="I565" s="3">
        <f>IF('ORDENES'!$A543="","",IF('ORDENES'!$D543="","-",'ORDENES'!$D543))</f>
        <v/>
      </c>
      <c r="J565" s="3">
        <f>IF('ORDENES'!$A543="","",IF('ORDENES'!$E543="","-",'ORDENES'!$E543))</f>
        <v/>
      </c>
      <c r="K565" s="12">
        <f>IF('ORDENES'!$A543="","",IF('ORDENES'!$N543="",0,'ORDENES'!$N543))</f>
        <v/>
      </c>
      <c r="L565" s="3">
        <f>IF('ORDENES'!$A543="","",IF('ORDENES'!$O543="","-",'ORDENES'!$O543))</f>
        <v/>
      </c>
      <c r="M565" s="3">
        <f>IF('ORDENES'!$A543="","",'ORDENES'!$AB543)</f>
        <v/>
      </c>
    </row>
    <row r="566">
      <c r="A566" s="3">
        <f>IF('ORDENES'!$A544="","",IF('ORDENES'!$P544="","-",'ORDENES'!$P544))</f>
        <v/>
      </c>
      <c r="B566" s="3">
        <f>IF('ORDENES'!$A544="","",IF('ORDENES'!$S544="","-",'ORDENES'!$S544))</f>
        <v/>
      </c>
      <c r="C566" s="3">
        <f>IF('ORDENES'!$A544="","",IF('ORDENES'!$AD544="","-",'ORDENES'!$AD544))</f>
        <v/>
      </c>
      <c r="D566" s="3">
        <f>IF('ORDENES'!$A544="","",IF('ORDENES'!$W544="","-",'ORDENES'!$W544))</f>
        <v/>
      </c>
      <c r="E566" s="3">
        <f>IF('ORDENES'!$A544="","",IF('ORDENES'!$V544="","-",'ORDENES'!$V544))</f>
        <v/>
      </c>
      <c r="F566" s="3">
        <f>IF('ORDENES'!$A544="","",IF('ORDENES'!$X544="","-",'ORDENES'!$X544))</f>
        <v/>
      </c>
      <c r="G566" s="3">
        <f>IF('ORDENES'!$A544="","",IF('ORDENES'!$AC544="","-",'ORDENES'!$AC544))</f>
        <v/>
      </c>
      <c r="H566" s="3">
        <f>IF('ORDENES'!$A544="","",IF('ORDENES'!$AO544="","-",'ORDENES'!$AO544))</f>
        <v/>
      </c>
      <c r="I566" s="3">
        <f>IF('ORDENES'!$A544="","",IF('ORDENES'!$D544="","-",'ORDENES'!$D544))</f>
        <v/>
      </c>
      <c r="J566" s="3">
        <f>IF('ORDENES'!$A544="","",IF('ORDENES'!$E544="","-",'ORDENES'!$E544))</f>
        <v/>
      </c>
      <c r="K566" s="12">
        <f>IF('ORDENES'!$A544="","",IF('ORDENES'!$N544="",0,'ORDENES'!$N544))</f>
        <v/>
      </c>
      <c r="L566" s="3">
        <f>IF('ORDENES'!$A544="","",IF('ORDENES'!$O544="","-",'ORDENES'!$O544))</f>
        <v/>
      </c>
      <c r="M566" s="3">
        <f>IF('ORDENES'!$A544="","",'ORDENES'!$AB544)</f>
        <v/>
      </c>
    </row>
    <row r="567">
      <c r="A567" s="3">
        <f>IF('ORDENES'!$A545="","",IF('ORDENES'!$P545="","-",'ORDENES'!$P545))</f>
        <v/>
      </c>
      <c r="B567" s="3">
        <f>IF('ORDENES'!$A545="","",IF('ORDENES'!$S545="","-",'ORDENES'!$S545))</f>
        <v/>
      </c>
      <c r="C567" s="3">
        <f>IF('ORDENES'!$A545="","",IF('ORDENES'!$AD545="","-",'ORDENES'!$AD545))</f>
        <v/>
      </c>
      <c r="D567" s="3">
        <f>IF('ORDENES'!$A545="","",IF('ORDENES'!$W545="","-",'ORDENES'!$W545))</f>
        <v/>
      </c>
      <c r="E567" s="3">
        <f>IF('ORDENES'!$A545="","",IF('ORDENES'!$V545="","-",'ORDENES'!$V545))</f>
        <v/>
      </c>
      <c r="F567" s="3">
        <f>IF('ORDENES'!$A545="","",IF('ORDENES'!$X545="","-",'ORDENES'!$X545))</f>
        <v/>
      </c>
      <c r="G567" s="3">
        <f>IF('ORDENES'!$A545="","",IF('ORDENES'!$AC545="","-",'ORDENES'!$AC545))</f>
        <v/>
      </c>
      <c r="H567" s="3">
        <f>IF('ORDENES'!$A545="","",IF('ORDENES'!$AO545="","-",'ORDENES'!$AO545))</f>
        <v/>
      </c>
      <c r="I567" s="3">
        <f>IF('ORDENES'!$A545="","",IF('ORDENES'!$D545="","-",'ORDENES'!$D545))</f>
        <v/>
      </c>
      <c r="J567" s="3">
        <f>IF('ORDENES'!$A545="","",IF('ORDENES'!$E545="","-",'ORDENES'!$E545))</f>
        <v/>
      </c>
      <c r="K567" s="12">
        <f>IF('ORDENES'!$A545="","",IF('ORDENES'!$N545="",0,'ORDENES'!$N545))</f>
        <v/>
      </c>
      <c r="L567" s="3">
        <f>IF('ORDENES'!$A545="","",IF('ORDENES'!$O545="","-",'ORDENES'!$O545))</f>
        <v/>
      </c>
      <c r="M567" s="3">
        <f>IF('ORDENES'!$A545="","",'ORDENES'!$AB545)</f>
        <v/>
      </c>
    </row>
    <row r="568">
      <c r="A568" s="3">
        <f>IF('ORDENES'!$A546="","",IF('ORDENES'!$P546="","-",'ORDENES'!$P546))</f>
        <v/>
      </c>
      <c r="B568" s="3">
        <f>IF('ORDENES'!$A546="","",IF('ORDENES'!$S546="","-",'ORDENES'!$S546))</f>
        <v/>
      </c>
      <c r="C568" s="3">
        <f>IF('ORDENES'!$A546="","",IF('ORDENES'!$AD546="","-",'ORDENES'!$AD546))</f>
        <v/>
      </c>
      <c r="D568" s="3">
        <f>IF('ORDENES'!$A546="","",IF('ORDENES'!$W546="","-",'ORDENES'!$W546))</f>
        <v/>
      </c>
      <c r="E568" s="3">
        <f>IF('ORDENES'!$A546="","",IF('ORDENES'!$V546="","-",'ORDENES'!$V546))</f>
        <v/>
      </c>
      <c r="F568" s="3">
        <f>IF('ORDENES'!$A546="","",IF('ORDENES'!$X546="","-",'ORDENES'!$X546))</f>
        <v/>
      </c>
      <c r="G568" s="3">
        <f>IF('ORDENES'!$A546="","",IF('ORDENES'!$AC546="","-",'ORDENES'!$AC546))</f>
        <v/>
      </c>
      <c r="H568" s="3">
        <f>IF('ORDENES'!$A546="","",IF('ORDENES'!$AO546="","-",'ORDENES'!$AO546))</f>
        <v/>
      </c>
      <c r="I568" s="3">
        <f>IF('ORDENES'!$A546="","",IF('ORDENES'!$D546="","-",'ORDENES'!$D546))</f>
        <v/>
      </c>
      <c r="J568" s="3">
        <f>IF('ORDENES'!$A546="","",IF('ORDENES'!$E546="","-",'ORDENES'!$E546))</f>
        <v/>
      </c>
      <c r="K568" s="12">
        <f>IF('ORDENES'!$A546="","",IF('ORDENES'!$N546="",0,'ORDENES'!$N546))</f>
        <v/>
      </c>
      <c r="L568" s="3">
        <f>IF('ORDENES'!$A546="","",IF('ORDENES'!$O546="","-",'ORDENES'!$O546))</f>
        <v/>
      </c>
      <c r="M568" s="3">
        <f>IF('ORDENES'!$A546="","",'ORDENES'!$AB546)</f>
        <v/>
      </c>
    </row>
    <row r="569">
      <c r="A569" s="3">
        <f>IF('ORDENES'!$A547="","",IF('ORDENES'!$P547="","-",'ORDENES'!$P547))</f>
        <v/>
      </c>
      <c r="B569" s="3">
        <f>IF('ORDENES'!$A547="","",IF('ORDENES'!$S547="","-",'ORDENES'!$S547))</f>
        <v/>
      </c>
      <c r="C569" s="3">
        <f>IF('ORDENES'!$A547="","",IF('ORDENES'!$AD547="","-",'ORDENES'!$AD547))</f>
        <v/>
      </c>
      <c r="D569" s="3">
        <f>IF('ORDENES'!$A547="","",IF('ORDENES'!$W547="","-",'ORDENES'!$W547))</f>
        <v/>
      </c>
      <c r="E569" s="3">
        <f>IF('ORDENES'!$A547="","",IF('ORDENES'!$V547="","-",'ORDENES'!$V547))</f>
        <v/>
      </c>
      <c r="F569" s="3">
        <f>IF('ORDENES'!$A547="","",IF('ORDENES'!$X547="","-",'ORDENES'!$X547))</f>
        <v/>
      </c>
      <c r="G569" s="3">
        <f>IF('ORDENES'!$A547="","",IF('ORDENES'!$AC547="","-",'ORDENES'!$AC547))</f>
        <v/>
      </c>
      <c r="H569" s="3">
        <f>IF('ORDENES'!$A547="","",IF('ORDENES'!$AO547="","-",'ORDENES'!$AO547))</f>
        <v/>
      </c>
      <c r="I569" s="3">
        <f>IF('ORDENES'!$A547="","",IF('ORDENES'!$D547="","-",'ORDENES'!$D547))</f>
        <v/>
      </c>
      <c r="J569" s="3">
        <f>IF('ORDENES'!$A547="","",IF('ORDENES'!$E547="","-",'ORDENES'!$E547))</f>
        <v/>
      </c>
      <c r="K569" s="12">
        <f>IF('ORDENES'!$A547="","",IF('ORDENES'!$N547="",0,'ORDENES'!$N547))</f>
        <v/>
      </c>
      <c r="L569" s="3">
        <f>IF('ORDENES'!$A547="","",IF('ORDENES'!$O547="","-",'ORDENES'!$O547))</f>
        <v/>
      </c>
      <c r="M569" s="3">
        <f>IF('ORDENES'!$A547="","",'ORDENES'!$AB547)</f>
        <v/>
      </c>
    </row>
    <row r="570">
      <c r="A570" s="3">
        <f>IF('ORDENES'!$A548="","",IF('ORDENES'!$P548="","-",'ORDENES'!$P548))</f>
        <v/>
      </c>
      <c r="B570" s="3">
        <f>IF('ORDENES'!$A548="","",IF('ORDENES'!$S548="","-",'ORDENES'!$S548))</f>
        <v/>
      </c>
      <c r="C570" s="3">
        <f>IF('ORDENES'!$A548="","",IF('ORDENES'!$AD548="","-",'ORDENES'!$AD548))</f>
        <v/>
      </c>
      <c r="D570" s="3">
        <f>IF('ORDENES'!$A548="","",IF('ORDENES'!$W548="","-",'ORDENES'!$W548))</f>
        <v/>
      </c>
      <c r="E570" s="3">
        <f>IF('ORDENES'!$A548="","",IF('ORDENES'!$V548="","-",'ORDENES'!$V548))</f>
        <v/>
      </c>
      <c r="F570" s="3">
        <f>IF('ORDENES'!$A548="","",IF('ORDENES'!$X548="","-",'ORDENES'!$X548))</f>
        <v/>
      </c>
      <c r="G570" s="3">
        <f>IF('ORDENES'!$A548="","",IF('ORDENES'!$AC548="","-",'ORDENES'!$AC548))</f>
        <v/>
      </c>
      <c r="H570" s="3">
        <f>IF('ORDENES'!$A548="","",IF('ORDENES'!$AO548="","-",'ORDENES'!$AO548))</f>
        <v/>
      </c>
      <c r="I570" s="3">
        <f>IF('ORDENES'!$A548="","",IF('ORDENES'!$D548="","-",'ORDENES'!$D548))</f>
        <v/>
      </c>
      <c r="J570" s="3">
        <f>IF('ORDENES'!$A548="","",IF('ORDENES'!$E548="","-",'ORDENES'!$E548))</f>
        <v/>
      </c>
      <c r="K570" s="12">
        <f>IF('ORDENES'!$A548="","",IF('ORDENES'!$N548="",0,'ORDENES'!$N548))</f>
        <v/>
      </c>
      <c r="L570" s="3">
        <f>IF('ORDENES'!$A548="","",IF('ORDENES'!$O548="","-",'ORDENES'!$O548))</f>
        <v/>
      </c>
      <c r="M570" s="3">
        <f>IF('ORDENES'!$A548="","",'ORDENES'!$AB548)</f>
        <v/>
      </c>
    </row>
    <row r="571">
      <c r="A571" s="3">
        <f>IF('ORDENES'!$A549="","",IF('ORDENES'!$P549="","-",'ORDENES'!$P549))</f>
        <v/>
      </c>
      <c r="B571" s="3">
        <f>IF('ORDENES'!$A549="","",IF('ORDENES'!$S549="","-",'ORDENES'!$S549))</f>
        <v/>
      </c>
      <c r="C571" s="3">
        <f>IF('ORDENES'!$A549="","",IF('ORDENES'!$AD549="","-",'ORDENES'!$AD549))</f>
        <v/>
      </c>
      <c r="D571" s="3">
        <f>IF('ORDENES'!$A549="","",IF('ORDENES'!$W549="","-",'ORDENES'!$W549))</f>
        <v/>
      </c>
      <c r="E571" s="3">
        <f>IF('ORDENES'!$A549="","",IF('ORDENES'!$V549="","-",'ORDENES'!$V549))</f>
        <v/>
      </c>
      <c r="F571" s="3">
        <f>IF('ORDENES'!$A549="","",IF('ORDENES'!$X549="","-",'ORDENES'!$X549))</f>
        <v/>
      </c>
      <c r="G571" s="3">
        <f>IF('ORDENES'!$A549="","",IF('ORDENES'!$AC549="","-",'ORDENES'!$AC549))</f>
        <v/>
      </c>
      <c r="H571" s="3">
        <f>IF('ORDENES'!$A549="","",IF('ORDENES'!$AO549="","-",'ORDENES'!$AO549))</f>
        <v/>
      </c>
      <c r="I571" s="3">
        <f>IF('ORDENES'!$A549="","",IF('ORDENES'!$D549="","-",'ORDENES'!$D549))</f>
        <v/>
      </c>
      <c r="J571" s="3">
        <f>IF('ORDENES'!$A549="","",IF('ORDENES'!$E549="","-",'ORDENES'!$E549))</f>
        <v/>
      </c>
      <c r="K571" s="12">
        <f>IF('ORDENES'!$A549="","",IF('ORDENES'!$N549="",0,'ORDENES'!$N549))</f>
        <v/>
      </c>
      <c r="L571" s="3">
        <f>IF('ORDENES'!$A549="","",IF('ORDENES'!$O549="","-",'ORDENES'!$O549))</f>
        <v/>
      </c>
      <c r="M571" s="3">
        <f>IF('ORDENES'!$A549="","",'ORDENES'!$AB549)</f>
        <v/>
      </c>
    </row>
    <row r="572">
      <c r="A572" s="3">
        <f>IF('ORDENES'!$A550="","",IF('ORDENES'!$P550="","-",'ORDENES'!$P550))</f>
        <v/>
      </c>
      <c r="B572" s="3">
        <f>IF('ORDENES'!$A550="","",IF('ORDENES'!$S550="","-",'ORDENES'!$S550))</f>
        <v/>
      </c>
      <c r="C572" s="3">
        <f>IF('ORDENES'!$A550="","",IF('ORDENES'!$AD550="","-",'ORDENES'!$AD550))</f>
        <v/>
      </c>
      <c r="D572" s="3">
        <f>IF('ORDENES'!$A550="","",IF('ORDENES'!$W550="","-",'ORDENES'!$W550))</f>
        <v/>
      </c>
      <c r="E572" s="3">
        <f>IF('ORDENES'!$A550="","",IF('ORDENES'!$V550="","-",'ORDENES'!$V550))</f>
        <v/>
      </c>
      <c r="F572" s="3">
        <f>IF('ORDENES'!$A550="","",IF('ORDENES'!$X550="","-",'ORDENES'!$X550))</f>
        <v/>
      </c>
      <c r="G572" s="3">
        <f>IF('ORDENES'!$A550="","",IF('ORDENES'!$AC550="","-",'ORDENES'!$AC550))</f>
        <v/>
      </c>
      <c r="H572" s="3">
        <f>IF('ORDENES'!$A550="","",IF('ORDENES'!$AO550="","-",'ORDENES'!$AO550))</f>
        <v/>
      </c>
      <c r="I572" s="3">
        <f>IF('ORDENES'!$A550="","",IF('ORDENES'!$D550="","-",'ORDENES'!$D550))</f>
        <v/>
      </c>
      <c r="J572" s="3">
        <f>IF('ORDENES'!$A550="","",IF('ORDENES'!$E550="","-",'ORDENES'!$E550))</f>
        <v/>
      </c>
      <c r="K572" s="12">
        <f>IF('ORDENES'!$A550="","",IF('ORDENES'!$N550="",0,'ORDENES'!$N550))</f>
        <v/>
      </c>
      <c r="L572" s="3">
        <f>IF('ORDENES'!$A550="","",IF('ORDENES'!$O550="","-",'ORDENES'!$O550))</f>
        <v/>
      </c>
      <c r="M572" s="3">
        <f>IF('ORDENES'!$A550="","",'ORDENES'!$AB550)</f>
        <v/>
      </c>
    </row>
    <row r="573">
      <c r="A573" s="3">
        <f>IF('ORDENES'!$A551="","",IF('ORDENES'!$P551="","-",'ORDENES'!$P551))</f>
        <v/>
      </c>
      <c r="B573" s="3">
        <f>IF('ORDENES'!$A551="","",IF('ORDENES'!$S551="","-",'ORDENES'!$S551))</f>
        <v/>
      </c>
      <c r="C573" s="3">
        <f>IF('ORDENES'!$A551="","",IF('ORDENES'!$AD551="","-",'ORDENES'!$AD551))</f>
        <v/>
      </c>
      <c r="D573" s="3">
        <f>IF('ORDENES'!$A551="","",IF('ORDENES'!$W551="","-",'ORDENES'!$W551))</f>
        <v/>
      </c>
      <c r="E573" s="3">
        <f>IF('ORDENES'!$A551="","",IF('ORDENES'!$V551="","-",'ORDENES'!$V551))</f>
        <v/>
      </c>
      <c r="F573" s="3">
        <f>IF('ORDENES'!$A551="","",IF('ORDENES'!$X551="","-",'ORDENES'!$X551))</f>
        <v/>
      </c>
      <c r="G573" s="3">
        <f>IF('ORDENES'!$A551="","",IF('ORDENES'!$AC551="","-",'ORDENES'!$AC551))</f>
        <v/>
      </c>
      <c r="H573" s="3">
        <f>IF('ORDENES'!$A551="","",IF('ORDENES'!$AO551="","-",'ORDENES'!$AO551))</f>
        <v/>
      </c>
      <c r="I573" s="3">
        <f>IF('ORDENES'!$A551="","",IF('ORDENES'!$D551="","-",'ORDENES'!$D551))</f>
        <v/>
      </c>
      <c r="J573" s="3">
        <f>IF('ORDENES'!$A551="","",IF('ORDENES'!$E551="","-",'ORDENES'!$E551))</f>
        <v/>
      </c>
      <c r="K573" s="12">
        <f>IF('ORDENES'!$A551="","",IF('ORDENES'!$N551="",0,'ORDENES'!$N551))</f>
        <v/>
      </c>
      <c r="L573" s="3">
        <f>IF('ORDENES'!$A551="","",IF('ORDENES'!$O551="","-",'ORDENES'!$O551))</f>
        <v/>
      </c>
      <c r="M573" s="3">
        <f>IF('ORDENES'!$A551="","",'ORDENES'!$AB551)</f>
        <v/>
      </c>
    </row>
    <row r="574">
      <c r="A574" s="3">
        <f>IF('ORDENES'!$A552="","",IF('ORDENES'!$P552="","-",'ORDENES'!$P552))</f>
        <v/>
      </c>
      <c r="B574" s="3">
        <f>IF('ORDENES'!$A552="","",IF('ORDENES'!$S552="","-",'ORDENES'!$S552))</f>
        <v/>
      </c>
      <c r="C574" s="3">
        <f>IF('ORDENES'!$A552="","",IF('ORDENES'!$AD552="","-",'ORDENES'!$AD552))</f>
        <v/>
      </c>
      <c r="D574" s="3">
        <f>IF('ORDENES'!$A552="","",IF('ORDENES'!$W552="","-",'ORDENES'!$W552))</f>
        <v/>
      </c>
      <c r="E574" s="3">
        <f>IF('ORDENES'!$A552="","",IF('ORDENES'!$V552="","-",'ORDENES'!$V552))</f>
        <v/>
      </c>
      <c r="F574" s="3">
        <f>IF('ORDENES'!$A552="","",IF('ORDENES'!$X552="","-",'ORDENES'!$X552))</f>
        <v/>
      </c>
      <c r="G574" s="3">
        <f>IF('ORDENES'!$A552="","",IF('ORDENES'!$AC552="","-",'ORDENES'!$AC552))</f>
        <v/>
      </c>
      <c r="H574" s="3">
        <f>IF('ORDENES'!$A552="","",IF('ORDENES'!$AO552="","-",'ORDENES'!$AO552))</f>
        <v/>
      </c>
      <c r="I574" s="3">
        <f>IF('ORDENES'!$A552="","",IF('ORDENES'!$D552="","-",'ORDENES'!$D552))</f>
        <v/>
      </c>
      <c r="J574" s="3">
        <f>IF('ORDENES'!$A552="","",IF('ORDENES'!$E552="","-",'ORDENES'!$E552))</f>
        <v/>
      </c>
      <c r="K574" s="12">
        <f>IF('ORDENES'!$A552="","",IF('ORDENES'!$N552="",0,'ORDENES'!$N552))</f>
        <v/>
      </c>
      <c r="L574" s="3">
        <f>IF('ORDENES'!$A552="","",IF('ORDENES'!$O552="","-",'ORDENES'!$O552))</f>
        <v/>
      </c>
      <c r="M574" s="3">
        <f>IF('ORDENES'!$A552="","",'ORDENES'!$AB552)</f>
        <v/>
      </c>
    </row>
    <row r="575">
      <c r="A575" s="3">
        <f>IF('ORDENES'!$A553="","",IF('ORDENES'!$P553="","-",'ORDENES'!$P553))</f>
        <v/>
      </c>
      <c r="B575" s="3">
        <f>IF('ORDENES'!$A553="","",IF('ORDENES'!$S553="","-",'ORDENES'!$S553))</f>
        <v/>
      </c>
      <c r="C575" s="3">
        <f>IF('ORDENES'!$A553="","",IF('ORDENES'!$AD553="","-",'ORDENES'!$AD553))</f>
        <v/>
      </c>
      <c r="D575" s="3">
        <f>IF('ORDENES'!$A553="","",IF('ORDENES'!$W553="","-",'ORDENES'!$W553))</f>
        <v/>
      </c>
      <c r="E575" s="3">
        <f>IF('ORDENES'!$A553="","",IF('ORDENES'!$V553="","-",'ORDENES'!$V553))</f>
        <v/>
      </c>
      <c r="F575" s="3">
        <f>IF('ORDENES'!$A553="","",IF('ORDENES'!$X553="","-",'ORDENES'!$X553))</f>
        <v/>
      </c>
      <c r="G575" s="3">
        <f>IF('ORDENES'!$A553="","",IF('ORDENES'!$AC553="","-",'ORDENES'!$AC553))</f>
        <v/>
      </c>
      <c r="H575" s="3">
        <f>IF('ORDENES'!$A553="","",IF('ORDENES'!$AO553="","-",'ORDENES'!$AO553))</f>
        <v/>
      </c>
      <c r="I575" s="3">
        <f>IF('ORDENES'!$A553="","",IF('ORDENES'!$D553="","-",'ORDENES'!$D553))</f>
        <v/>
      </c>
      <c r="J575" s="3">
        <f>IF('ORDENES'!$A553="","",IF('ORDENES'!$E553="","-",'ORDENES'!$E553))</f>
        <v/>
      </c>
      <c r="K575" s="12">
        <f>IF('ORDENES'!$A553="","",IF('ORDENES'!$N553="",0,'ORDENES'!$N553))</f>
        <v/>
      </c>
      <c r="L575" s="3">
        <f>IF('ORDENES'!$A553="","",IF('ORDENES'!$O553="","-",'ORDENES'!$O553))</f>
        <v/>
      </c>
      <c r="M575" s="3">
        <f>IF('ORDENES'!$A553="","",'ORDENES'!$AB553)</f>
        <v/>
      </c>
    </row>
    <row r="576">
      <c r="A576" s="3">
        <f>IF('ORDENES'!$A554="","",IF('ORDENES'!$P554="","-",'ORDENES'!$P554))</f>
        <v/>
      </c>
      <c r="B576" s="3">
        <f>IF('ORDENES'!$A554="","",IF('ORDENES'!$S554="","-",'ORDENES'!$S554))</f>
        <v/>
      </c>
      <c r="C576" s="3">
        <f>IF('ORDENES'!$A554="","",IF('ORDENES'!$AD554="","-",'ORDENES'!$AD554))</f>
        <v/>
      </c>
      <c r="D576" s="3">
        <f>IF('ORDENES'!$A554="","",IF('ORDENES'!$W554="","-",'ORDENES'!$W554))</f>
        <v/>
      </c>
      <c r="E576" s="3">
        <f>IF('ORDENES'!$A554="","",IF('ORDENES'!$V554="","-",'ORDENES'!$V554))</f>
        <v/>
      </c>
      <c r="F576" s="3">
        <f>IF('ORDENES'!$A554="","",IF('ORDENES'!$X554="","-",'ORDENES'!$X554))</f>
        <v/>
      </c>
      <c r="G576" s="3">
        <f>IF('ORDENES'!$A554="","",IF('ORDENES'!$AC554="","-",'ORDENES'!$AC554))</f>
        <v/>
      </c>
      <c r="H576" s="3">
        <f>IF('ORDENES'!$A554="","",IF('ORDENES'!$AO554="","-",'ORDENES'!$AO554))</f>
        <v/>
      </c>
      <c r="I576" s="3">
        <f>IF('ORDENES'!$A554="","",IF('ORDENES'!$D554="","-",'ORDENES'!$D554))</f>
        <v/>
      </c>
      <c r="J576" s="3">
        <f>IF('ORDENES'!$A554="","",IF('ORDENES'!$E554="","-",'ORDENES'!$E554))</f>
        <v/>
      </c>
      <c r="K576" s="12">
        <f>IF('ORDENES'!$A554="","",IF('ORDENES'!$N554="",0,'ORDENES'!$N554))</f>
        <v/>
      </c>
      <c r="L576" s="3">
        <f>IF('ORDENES'!$A554="","",IF('ORDENES'!$O554="","-",'ORDENES'!$O554))</f>
        <v/>
      </c>
      <c r="M576" s="3">
        <f>IF('ORDENES'!$A554="","",'ORDENES'!$AB554)</f>
        <v/>
      </c>
    </row>
    <row r="577">
      <c r="A577" s="3">
        <f>IF('ORDENES'!$A555="","",IF('ORDENES'!$P555="","-",'ORDENES'!$P555))</f>
        <v/>
      </c>
      <c r="B577" s="3">
        <f>IF('ORDENES'!$A555="","",IF('ORDENES'!$S555="","-",'ORDENES'!$S555))</f>
        <v/>
      </c>
      <c r="C577" s="3">
        <f>IF('ORDENES'!$A555="","",IF('ORDENES'!$AD555="","-",'ORDENES'!$AD555))</f>
        <v/>
      </c>
      <c r="D577" s="3">
        <f>IF('ORDENES'!$A555="","",IF('ORDENES'!$W555="","-",'ORDENES'!$W555))</f>
        <v/>
      </c>
      <c r="E577" s="3">
        <f>IF('ORDENES'!$A555="","",IF('ORDENES'!$V555="","-",'ORDENES'!$V555))</f>
        <v/>
      </c>
      <c r="F577" s="3">
        <f>IF('ORDENES'!$A555="","",IF('ORDENES'!$X555="","-",'ORDENES'!$X555))</f>
        <v/>
      </c>
      <c r="G577" s="3">
        <f>IF('ORDENES'!$A555="","",IF('ORDENES'!$AC555="","-",'ORDENES'!$AC555))</f>
        <v/>
      </c>
      <c r="H577" s="3">
        <f>IF('ORDENES'!$A555="","",IF('ORDENES'!$AO555="","-",'ORDENES'!$AO555))</f>
        <v/>
      </c>
      <c r="I577" s="3">
        <f>IF('ORDENES'!$A555="","",IF('ORDENES'!$D555="","-",'ORDENES'!$D555))</f>
        <v/>
      </c>
      <c r="J577" s="3">
        <f>IF('ORDENES'!$A555="","",IF('ORDENES'!$E555="","-",'ORDENES'!$E555))</f>
        <v/>
      </c>
      <c r="K577" s="12">
        <f>IF('ORDENES'!$A555="","",IF('ORDENES'!$N555="",0,'ORDENES'!$N555))</f>
        <v/>
      </c>
      <c r="L577" s="3">
        <f>IF('ORDENES'!$A555="","",IF('ORDENES'!$O555="","-",'ORDENES'!$O555))</f>
        <v/>
      </c>
      <c r="M577" s="3">
        <f>IF('ORDENES'!$A555="","",'ORDENES'!$AB555)</f>
        <v/>
      </c>
    </row>
    <row r="578">
      <c r="A578" s="3">
        <f>IF('ORDENES'!$A556="","",IF('ORDENES'!$P556="","-",'ORDENES'!$P556))</f>
        <v/>
      </c>
      <c r="B578" s="3">
        <f>IF('ORDENES'!$A556="","",IF('ORDENES'!$S556="","-",'ORDENES'!$S556))</f>
        <v/>
      </c>
      <c r="C578" s="3">
        <f>IF('ORDENES'!$A556="","",IF('ORDENES'!$AD556="","-",'ORDENES'!$AD556))</f>
        <v/>
      </c>
      <c r="D578" s="3">
        <f>IF('ORDENES'!$A556="","",IF('ORDENES'!$W556="","-",'ORDENES'!$W556))</f>
        <v/>
      </c>
      <c r="E578" s="3">
        <f>IF('ORDENES'!$A556="","",IF('ORDENES'!$V556="","-",'ORDENES'!$V556))</f>
        <v/>
      </c>
      <c r="F578" s="3">
        <f>IF('ORDENES'!$A556="","",IF('ORDENES'!$X556="","-",'ORDENES'!$X556))</f>
        <v/>
      </c>
      <c r="G578" s="3">
        <f>IF('ORDENES'!$A556="","",IF('ORDENES'!$AC556="","-",'ORDENES'!$AC556))</f>
        <v/>
      </c>
      <c r="H578" s="3">
        <f>IF('ORDENES'!$A556="","",IF('ORDENES'!$AO556="","-",'ORDENES'!$AO556))</f>
        <v/>
      </c>
      <c r="I578" s="3">
        <f>IF('ORDENES'!$A556="","",IF('ORDENES'!$D556="","-",'ORDENES'!$D556))</f>
        <v/>
      </c>
      <c r="J578" s="3">
        <f>IF('ORDENES'!$A556="","",IF('ORDENES'!$E556="","-",'ORDENES'!$E556))</f>
        <v/>
      </c>
      <c r="K578" s="12">
        <f>IF('ORDENES'!$A556="","",IF('ORDENES'!$N556="",0,'ORDENES'!$N556))</f>
        <v/>
      </c>
      <c r="L578" s="3">
        <f>IF('ORDENES'!$A556="","",IF('ORDENES'!$O556="","-",'ORDENES'!$O556))</f>
        <v/>
      </c>
      <c r="M578" s="3">
        <f>IF('ORDENES'!$A556="","",'ORDENES'!$AB556)</f>
        <v/>
      </c>
    </row>
    <row r="579">
      <c r="A579" s="3">
        <f>IF('ORDENES'!$A557="","",IF('ORDENES'!$P557="","-",'ORDENES'!$P557))</f>
        <v/>
      </c>
      <c r="B579" s="3">
        <f>IF('ORDENES'!$A557="","",IF('ORDENES'!$S557="","-",'ORDENES'!$S557))</f>
        <v/>
      </c>
      <c r="C579" s="3">
        <f>IF('ORDENES'!$A557="","",IF('ORDENES'!$AD557="","-",'ORDENES'!$AD557))</f>
        <v/>
      </c>
      <c r="D579" s="3">
        <f>IF('ORDENES'!$A557="","",IF('ORDENES'!$W557="","-",'ORDENES'!$W557))</f>
        <v/>
      </c>
      <c r="E579" s="3">
        <f>IF('ORDENES'!$A557="","",IF('ORDENES'!$V557="","-",'ORDENES'!$V557))</f>
        <v/>
      </c>
      <c r="F579" s="3">
        <f>IF('ORDENES'!$A557="","",IF('ORDENES'!$X557="","-",'ORDENES'!$X557))</f>
        <v/>
      </c>
      <c r="G579" s="3">
        <f>IF('ORDENES'!$A557="","",IF('ORDENES'!$AC557="","-",'ORDENES'!$AC557))</f>
        <v/>
      </c>
      <c r="H579" s="3">
        <f>IF('ORDENES'!$A557="","",IF('ORDENES'!$AO557="","-",'ORDENES'!$AO557))</f>
        <v/>
      </c>
      <c r="I579" s="3">
        <f>IF('ORDENES'!$A557="","",IF('ORDENES'!$D557="","-",'ORDENES'!$D557))</f>
        <v/>
      </c>
      <c r="J579" s="3">
        <f>IF('ORDENES'!$A557="","",IF('ORDENES'!$E557="","-",'ORDENES'!$E557))</f>
        <v/>
      </c>
      <c r="K579" s="12">
        <f>IF('ORDENES'!$A557="","",IF('ORDENES'!$N557="",0,'ORDENES'!$N557))</f>
        <v/>
      </c>
      <c r="L579" s="3">
        <f>IF('ORDENES'!$A557="","",IF('ORDENES'!$O557="","-",'ORDENES'!$O557))</f>
        <v/>
      </c>
      <c r="M579" s="3">
        <f>IF('ORDENES'!$A557="","",'ORDENES'!$AB557)</f>
        <v/>
      </c>
    </row>
    <row r="580">
      <c r="A580" s="3">
        <f>IF('ORDENES'!$A558="","",IF('ORDENES'!$P558="","-",'ORDENES'!$P558))</f>
        <v/>
      </c>
      <c r="B580" s="3">
        <f>IF('ORDENES'!$A558="","",IF('ORDENES'!$S558="","-",'ORDENES'!$S558))</f>
        <v/>
      </c>
      <c r="C580" s="3">
        <f>IF('ORDENES'!$A558="","",IF('ORDENES'!$AD558="","-",'ORDENES'!$AD558))</f>
        <v/>
      </c>
      <c r="D580" s="3">
        <f>IF('ORDENES'!$A558="","",IF('ORDENES'!$W558="","-",'ORDENES'!$W558))</f>
        <v/>
      </c>
      <c r="E580" s="3">
        <f>IF('ORDENES'!$A558="","",IF('ORDENES'!$V558="","-",'ORDENES'!$V558))</f>
        <v/>
      </c>
      <c r="F580" s="3">
        <f>IF('ORDENES'!$A558="","",IF('ORDENES'!$X558="","-",'ORDENES'!$X558))</f>
        <v/>
      </c>
      <c r="G580" s="3">
        <f>IF('ORDENES'!$A558="","",IF('ORDENES'!$AC558="","-",'ORDENES'!$AC558))</f>
        <v/>
      </c>
      <c r="H580" s="3">
        <f>IF('ORDENES'!$A558="","",IF('ORDENES'!$AO558="","-",'ORDENES'!$AO558))</f>
        <v/>
      </c>
      <c r="I580" s="3">
        <f>IF('ORDENES'!$A558="","",IF('ORDENES'!$D558="","-",'ORDENES'!$D558))</f>
        <v/>
      </c>
      <c r="J580" s="3">
        <f>IF('ORDENES'!$A558="","",IF('ORDENES'!$E558="","-",'ORDENES'!$E558))</f>
        <v/>
      </c>
      <c r="K580" s="12">
        <f>IF('ORDENES'!$A558="","",IF('ORDENES'!$N558="",0,'ORDENES'!$N558))</f>
        <v/>
      </c>
      <c r="L580" s="3">
        <f>IF('ORDENES'!$A558="","",IF('ORDENES'!$O558="","-",'ORDENES'!$O558))</f>
        <v/>
      </c>
      <c r="M580" s="3">
        <f>IF('ORDENES'!$A558="","",'ORDENES'!$AB558)</f>
        <v/>
      </c>
    </row>
    <row r="581">
      <c r="A581" s="3">
        <f>IF('ORDENES'!$A559="","",IF('ORDENES'!$P559="","-",'ORDENES'!$P559))</f>
        <v/>
      </c>
      <c r="B581" s="3">
        <f>IF('ORDENES'!$A559="","",IF('ORDENES'!$S559="","-",'ORDENES'!$S559))</f>
        <v/>
      </c>
      <c r="C581" s="3">
        <f>IF('ORDENES'!$A559="","",IF('ORDENES'!$AD559="","-",'ORDENES'!$AD559))</f>
        <v/>
      </c>
      <c r="D581" s="3">
        <f>IF('ORDENES'!$A559="","",IF('ORDENES'!$W559="","-",'ORDENES'!$W559))</f>
        <v/>
      </c>
      <c r="E581" s="3">
        <f>IF('ORDENES'!$A559="","",IF('ORDENES'!$V559="","-",'ORDENES'!$V559))</f>
        <v/>
      </c>
      <c r="F581" s="3">
        <f>IF('ORDENES'!$A559="","",IF('ORDENES'!$X559="","-",'ORDENES'!$X559))</f>
        <v/>
      </c>
      <c r="G581" s="3">
        <f>IF('ORDENES'!$A559="","",IF('ORDENES'!$AC559="","-",'ORDENES'!$AC559))</f>
        <v/>
      </c>
      <c r="H581" s="3">
        <f>IF('ORDENES'!$A559="","",IF('ORDENES'!$AO559="","-",'ORDENES'!$AO559))</f>
        <v/>
      </c>
      <c r="I581" s="3">
        <f>IF('ORDENES'!$A559="","",IF('ORDENES'!$D559="","-",'ORDENES'!$D559))</f>
        <v/>
      </c>
      <c r="J581" s="3">
        <f>IF('ORDENES'!$A559="","",IF('ORDENES'!$E559="","-",'ORDENES'!$E559))</f>
        <v/>
      </c>
      <c r="K581" s="12">
        <f>IF('ORDENES'!$A559="","",IF('ORDENES'!$N559="",0,'ORDENES'!$N559))</f>
        <v/>
      </c>
      <c r="L581" s="3">
        <f>IF('ORDENES'!$A559="","",IF('ORDENES'!$O559="","-",'ORDENES'!$O559))</f>
        <v/>
      </c>
      <c r="M581" s="3">
        <f>IF('ORDENES'!$A559="","",'ORDENES'!$AB559)</f>
        <v/>
      </c>
    </row>
    <row r="582">
      <c r="A582" s="3">
        <f>IF('ORDENES'!$A560="","",IF('ORDENES'!$P560="","-",'ORDENES'!$P560))</f>
        <v/>
      </c>
      <c r="B582" s="3">
        <f>IF('ORDENES'!$A560="","",IF('ORDENES'!$S560="","-",'ORDENES'!$S560))</f>
        <v/>
      </c>
      <c r="C582" s="3">
        <f>IF('ORDENES'!$A560="","",IF('ORDENES'!$AD560="","-",'ORDENES'!$AD560))</f>
        <v/>
      </c>
      <c r="D582" s="3">
        <f>IF('ORDENES'!$A560="","",IF('ORDENES'!$W560="","-",'ORDENES'!$W560))</f>
        <v/>
      </c>
      <c r="E582" s="3">
        <f>IF('ORDENES'!$A560="","",IF('ORDENES'!$V560="","-",'ORDENES'!$V560))</f>
        <v/>
      </c>
      <c r="F582" s="3">
        <f>IF('ORDENES'!$A560="","",IF('ORDENES'!$X560="","-",'ORDENES'!$X560))</f>
        <v/>
      </c>
      <c r="G582" s="3">
        <f>IF('ORDENES'!$A560="","",IF('ORDENES'!$AC560="","-",'ORDENES'!$AC560))</f>
        <v/>
      </c>
      <c r="H582" s="3">
        <f>IF('ORDENES'!$A560="","",IF('ORDENES'!$AO560="","-",'ORDENES'!$AO560))</f>
        <v/>
      </c>
      <c r="I582" s="3">
        <f>IF('ORDENES'!$A560="","",IF('ORDENES'!$D560="","-",'ORDENES'!$D560))</f>
        <v/>
      </c>
      <c r="J582" s="3">
        <f>IF('ORDENES'!$A560="","",IF('ORDENES'!$E560="","-",'ORDENES'!$E560))</f>
        <v/>
      </c>
      <c r="K582" s="12">
        <f>IF('ORDENES'!$A560="","",IF('ORDENES'!$N560="",0,'ORDENES'!$N560))</f>
        <v/>
      </c>
      <c r="L582" s="3">
        <f>IF('ORDENES'!$A560="","",IF('ORDENES'!$O560="","-",'ORDENES'!$O560))</f>
        <v/>
      </c>
      <c r="M582" s="3">
        <f>IF('ORDENES'!$A560="","",'ORDENES'!$AB560)</f>
        <v/>
      </c>
    </row>
    <row r="583">
      <c r="A583" s="3">
        <f>IF('ORDENES'!$A561="","",IF('ORDENES'!$P561="","-",'ORDENES'!$P561))</f>
        <v/>
      </c>
      <c r="B583" s="3">
        <f>IF('ORDENES'!$A561="","",IF('ORDENES'!$S561="","-",'ORDENES'!$S561))</f>
        <v/>
      </c>
      <c r="C583" s="3">
        <f>IF('ORDENES'!$A561="","",IF('ORDENES'!$AD561="","-",'ORDENES'!$AD561))</f>
        <v/>
      </c>
      <c r="D583" s="3">
        <f>IF('ORDENES'!$A561="","",IF('ORDENES'!$W561="","-",'ORDENES'!$W561))</f>
        <v/>
      </c>
      <c r="E583" s="3">
        <f>IF('ORDENES'!$A561="","",IF('ORDENES'!$V561="","-",'ORDENES'!$V561))</f>
        <v/>
      </c>
      <c r="F583" s="3">
        <f>IF('ORDENES'!$A561="","",IF('ORDENES'!$X561="","-",'ORDENES'!$X561))</f>
        <v/>
      </c>
      <c r="G583" s="3">
        <f>IF('ORDENES'!$A561="","",IF('ORDENES'!$AC561="","-",'ORDENES'!$AC561))</f>
        <v/>
      </c>
      <c r="H583" s="3">
        <f>IF('ORDENES'!$A561="","",IF('ORDENES'!$AO561="","-",'ORDENES'!$AO561))</f>
        <v/>
      </c>
      <c r="I583" s="3">
        <f>IF('ORDENES'!$A561="","",IF('ORDENES'!$D561="","-",'ORDENES'!$D561))</f>
        <v/>
      </c>
      <c r="J583" s="3">
        <f>IF('ORDENES'!$A561="","",IF('ORDENES'!$E561="","-",'ORDENES'!$E561))</f>
        <v/>
      </c>
      <c r="K583" s="12">
        <f>IF('ORDENES'!$A561="","",IF('ORDENES'!$N561="",0,'ORDENES'!$N561))</f>
        <v/>
      </c>
      <c r="L583" s="3">
        <f>IF('ORDENES'!$A561="","",IF('ORDENES'!$O561="","-",'ORDENES'!$O561))</f>
        <v/>
      </c>
      <c r="M583" s="3">
        <f>IF('ORDENES'!$A561="","",'ORDENES'!$AB561)</f>
        <v/>
      </c>
    </row>
    <row r="584">
      <c r="A584" s="3">
        <f>IF('ORDENES'!$A562="","",IF('ORDENES'!$P562="","-",'ORDENES'!$P562))</f>
        <v/>
      </c>
      <c r="B584" s="3">
        <f>IF('ORDENES'!$A562="","",IF('ORDENES'!$S562="","-",'ORDENES'!$S562))</f>
        <v/>
      </c>
      <c r="C584" s="3">
        <f>IF('ORDENES'!$A562="","",IF('ORDENES'!$AD562="","-",'ORDENES'!$AD562))</f>
        <v/>
      </c>
      <c r="D584" s="3">
        <f>IF('ORDENES'!$A562="","",IF('ORDENES'!$W562="","-",'ORDENES'!$W562))</f>
        <v/>
      </c>
      <c r="E584" s="3">
        <f>IF('ORDENES'!$A562="","",IF('ORDENES'!$V562="","-",'ORDENES'!$V562))</f>
        <v/>
      </c>
      <c r="F584" s="3">
        <f>IF('ORDENES'!$A562="","",IF('ORDENES'!$X562="","-",'ORDENES'!$X562))</f>
        <v/>
      </c>
      <c r="G584" s="3">
        <f>IF('ORDENES'!$A562="","",IF('ORDENES'!$AC562="","-",'ORDENES'!$AC562))</f>
        <v/>
      </c>
      <c r="H584" s="3">
        <f>IF('ORDENES'!$A562="","",IF('ORDENES'!$AO562="","-",'ORDENES'!$AO562))</f>
        <v/>
      </c>
      <c r="I584" s="3">
        <f>IF('ORDENES'!$A562="","",IF('ORDENES'!$D562="","-",'ORDENES'!$D562))</f>
        <v/>
      </c>
      <c r="J584" s="3">
        <f>IF('ORDENES'!$A562="","",IF('ORDENES'!$E562="","-",'ORDENES'!$E562))</f>
        <v/>
      </c>
      <c r="K584" s="12">
        <f>IF('ORDENES'!$A562="","",IF('ORDENES'!$N562="",0,'ORDENES'!$N562))</f>
        <v/>
      </c>
      <c r="L584" s="3">
        <f>IF('ORDENES'!$A562="","",IF('ORDENES'!$O562="","-",'ORDENES'!$O562))</f>
        <v/>
      </c>
      <c r="M584" s="3">
        <f>IF('ORDENES'!$A562="","",'ORDENES'!$AB562)</f>
        <v/>
      </c>
    </row>
    <row r="585">
      <c r="A585" s="3">
        <f>IF('ORDENES'!$A563="","",IF('ORDENES'!$P563="","-",'ORDENES'!$P563))</f>
        <v/>
      </c>
      <c r="B585" s="3">
        <f>IF('ORDENES'!$A563="","",IF('ORDENES'!$S563="","-",'ORDENES'!$S563))</f>
        <v/>
      </c>
      <c r="C585" s="3">
        <f>IF('ORDENES'!$A563="","",IF('ORDENES'!$AD563="","-",'ORDENES'!$AD563))</f>
        <v/>
      </c>
      <c r="D585" s="3">
        <f>IF('ORDENES'!$A563="","",IF('ORDENES'!$W563="","-",'ORDENES'!$W563))</f>
        <v/>
      </c>
      <c r="E585" s="3">
        <f>IF('ORDENES'!$A563="","",IF('ORDENES'!$V563="","-",'ORDENES'!$V563))</f>
        <v/>
      </c>
      <c r="F585" s="3">
        <f>IF('ORDENES'!$A563="","",IF('ORDENES'!$X563="","-",'ORDENES'!$X563))</f>
        <v/>
      </c>
      <c r="G585" s="3">
        <f>IF('ORDENES'!$A563="","",IF('ORDENES'!$AC563="","-",'ORDENES'!$AC563))</f>
        <v/>
      </c>
      <c r="H585" s="3">
        <f>IF('ORDENES'!$A563="","",IF('ORDENES'!$AO563="","-",'ORDENES'!$AO563))</f>
        <v/>
      </c>
      <c r="I585" s="3">
        <f>IF('ORDENES'!$A563="","",IF('ORDENES'!$D563="","-",'ORDENES'!$D563))</f>
        <v/>
      </c>
      <c r="J585" s="3">
        <f>IF('ORDENES'!$A563="","",IF('ORDENES'!$E563="","-",'ORDENES'!$E563))</f>
        <v/>
      </c>
      <c r="K585" s="12">
        <f>IF('ORDENES'!$A563="","",IF('ORDENES'!$N563="",0,'ORDENES'!$N563))</f>
        <v/>
      </c>
      <c r="L585" s="3">
        <f>IF('ORDENES'!$A563="","",IF('ORDENES'!$O563="","-",'ORDENES'!$O563))</f>
        <v/>
      </c>
      <c r="M585" s="3">
        <f>IF('ORDENES'!$A563="","",'ORDENES'!$AB563)</f>
        <v/>
      </c>
    </row>
    <row r="586">
      <c r="A586" s="3">
        <f>IF('ORDENES'!$A564="","",IF('ORDENES'!$P564="","-",'ORDENES'!$P564))</f>
        <v/>
      </c>
      <c r="B586" s="3">
        <f>IF('ORDENES'!$A564="","",IF('ORDENES'!$S564="","-",'ORDENES'!$S564))</f>
        <v/>
      </c>
      <c r="C586" s="3">
        <f>IF('ORDENES'!$A564="","",IF('ORDENES'!$AD564="","-",'ORDENES'!$AD564))</f>
        <v/>
      </c>
      <c r="D586" s="3">
        <f>IF('ORDENES'!$A564="","",IF('ORDENES'!$W564="","-",'ORDENES'!$W564))</f>
        <v/>
      </c>
      <c r="E586" s="3">
        <f>IF('ORDENES'!$A564="","",IF('ORDENES'!$V564="","-",'ORDENES'!$V564))</f>
        <v/>
      </c>
      <c r="F586" s="3">
        <f>IF('ORDENES'!$A564="","",IF('ORDENES'!$X564="","-",'ORDENES'!$X564))</f>
        <v/>
      </c>
      <c r="G586" s="3">
        <f>IF('ORDENES'!$A564="","",IF('ORDENES'!$AC564="","-",'ORDENES'!$AC564))</f>
        <v/>
      </c>
      <c r="H586" s="3">
        <f>IF('ORDENES'!$A564="","",IF('ORDENES'!$AO564="","-",'ORDENES'!$AO564))</f>
        <v/>
      </c>
      <c r="I586" s="3">
        <f>IF('ORDENES'!$A564="","",IF('ORDENES'!$D564="","-",'ORDENES'!$D564))</f>
        <v/>
      </c>
      <c r="J586" s="3">
        <f>IF('ORDENES'!$A564="","",IF('ORDENES'!$E564="","-",'ORDENES'!$E564))</f>
        <v/>
      </c>
      <c r="K586" s="12">
        <f>IF('ORDENES'!$A564="","",IF('ORDENES'!$N564="",0,'ORDENES'!$N564))</f>
        <v/>
      </c>
      <c r="L586" s="3">
        <f>IF('ORDENES'!$A564="","",IF('ORDENES'!$O564="","-",'ORDENES'!$O564))</f>
        <v/>
      </c>
      <c r="M586" s="3">
        <f>IF('ORDENES'!$A564="","",'ORDENES'!$AB564)</f>
        <v/>
      </c>
    </row>
    <row r="587">
      <c r="A587" s="3">
        <f>IF('ORDENES'!$A565="","",IF('ORDENES'!$P565="","-",'ORDENES'!$P565))</f>
        <v/>
      </c>
      <c r="B587" s="3">
        <f>IF('ORDENES'!$A565="","",IF('ORDENES'!$S565="","-",'ORDENES'!$S565))</f>
        <v/>
      </c>
      <c r="C587" s="3">
        <f>IF('ORDENES'!$A565="","",IF('ORDENES'!$AD565="","-",'ORDENES'!$AD565))</f>
        <v/>
      </c>
      <c r="D587" s="3">
        <f>IF('ORDENES'!$A565="","",IF('ORDENES'!$W565="","-",'ORDENES'!$W565))</f>
        <v/>
      </c>
      <c r="E587" s="3">
        <f>IF('ORDENES'!$A565="","",IF('ORDENES'!$V565="","-",'ORDENES'!$V565))</f>
        <v/>
      </c>
      <c r="F587" s="3">
        <f>IF('ORDENES'!$A565="","",IF('ORDENES'!$X565="","-",'ORDENES'!$X565))</f>
        <v/>
      </c>
      <c r="G587" s="3">
        <f>IF('ORDENES'!$A565="","",IF('ORDENES'!$AC565="","-",'ORDENES'!$AC565))</f>
        <v/>
      </c>
      <c r="H587" s="3">
        <f>IF('ORDENES'!$A565="","",IF('ORDENES'!$AO565="","-",'ORDENES'!$AO565))</f>
        <v/>
      </c>
      <c r="I587" s="3">
        <f>IF('ORDENES'!$A565="","",IF('ORDENES'!$D565="","-",'ORDENES'!$D565))</f>
        <v/>
      </c>
      <c r="J587" s="3">
        <f>IF('ORDENES'!$A565="","",IF('ORDENES'!$E565="","-",'ORDENES'!$E565))</f>
        <v/>
      </c>
      <c r="K587" s="12">
        <f>IF('ORDENES'!$A565="","",IF('ORDENES'!$N565="",0,'ORDENES'!$N565))</f>
        <v/>
      </c>
      <c r="L587" s="3">
        <f>IF('ORDENES'!$A565="","",IF('ORDENES'!$O565="","-",'ORDENES'!$O565))</f>
        <v/>
      </c>
      <c r="M587" s="3">
        <f>IF('ORDENES'!$A565="","",'ORDENES'!$AB565)</f>
        <v/>
      </c>
    </row>
    <row r="588">
      <c r="A588" s="3">
        <f>IF('ORDENES'!$A566="","",IF('ORDENES'!$P566="","-",'ORDENES'!$P566))</f>
        <v/>
      </c>
      <c r="B588" s="3">
        <f>IF('ORDENES'!$A566="","",IF('ORDENES'!$S566="","-",'ORDENES'!$S566))</f>
        <v/>
      </c>
      <c r="C588" s="3">
        <f>IF('ORDENES'!$A566="","",IF('ORDENES'!$AD566="","-",'ORDENES'!$AD566))</f>
        <v/>
      </c>
      <c r="D588" s="3">
        <f>IF('ORDENES'!$A566="","",IF('ORDENES'!$W566="","-",'ORDENES'!$W566))</f>
        <v/>
      </c>
      <c r="E588" s="3">
        <f>IF('ORDENES'!$A566="","",IF('ORDENES'!$V566="","-",'ORDENES'!$V566))</f>
        <v/>
      </c>
      <c r="F588" s="3">
        <f>IF('ORDENES'!$A566="","",IF('ORDENES'!$X566="","-",'ORDENES'!$X566))</f>
        <v/>
      </c>
      <c r="G588" s="3">
        <f>IF('ORDENES'!$A566="","",IF('ORDENES'!$AC566="","-",'ORDENES'!$AC566))</f>
        <v/>
      </c>
      <c r="H588" s="3">
        <f>IF('ORDENES'!$A566="","",IF('ORDENES'!$AO566="","-",'ORDENES'!$AO566))</f>
        <v/>
      </c>
      <c r="I588" s="3">
        <f>IF('ORDENES'!$A566="","",IF('ORDENES'!$D566="","-",'ORDENES'!$D566))</f>
        <v/>
      </c>
      <c r="J588" s="3">
        <f>IF('ORDENES'!$A566="","",IF('ORDENES'!$E566="","-",'ORDENES'!$E566))</f>
        <v/>
      </c>
      <c r="K588" s="12">
        <f>IF('ORDENES'!$A566="","",IF('ORDENES'!$N566="",0,'ORDENES'!$N566))</f>
        <v/>
      </c>
      <c r="L588" s="3">
        <f>IF('ORDENES'!$A566="","",IF('ORDENES'!$O566="","-",'ORDENES'!$O566))</f>
        <v/>
      </c>
      <c r="M588" s="3">
        <f>IF('ORDENES'!$A566="","",'ORDENES'!$AB566)</f>
        <v/>
      </c>
    </row>
    <row r="589">
      <c r="A589" s="3">
        <f>IF('ORDENES'!$A567="","",IF('ORDENES'!$P567="","-",'ORDENES'!$P567))</f>
        <v/>
      </c>
      <c r="B589" s="3">
        <f>IF('ORDENES'!$A567="","",IF('ORDENES'!$S567="","-",'ORDENES'!$S567))</f>
        <v/>
      </c>
      <c r="C589" s="3">
        <f>IF('ORDENES'!$A567="","",IF('ORDENES'!$AD567="","-",'ORDENES'!$AD567))</f>
        <v/>
      </c>
      <c r="D589" s="3">
        <f>IF('ORDENES'!$A567="","",IF('ORDENES'!$W567="","-",'ORDENES'!$W567))</f>
        <v/>
      </c>
      <c r="E589" s="3">
        <f>IF('ORDENES'!$A567="","",IF('ORDENES'!$V567="","-",'ORDENES'!$V567))</f>
        <v/>
      </c>
      <c r="F589" s="3">
        <f>IF('ORDENES'!$A567="","",IF('ORDENES'!$X567="","-",'ORDENES'!$X567))</f>
        <v/>
      </c>
      <c r="G589" s="3">
        <f>IF('ORDENES'!$A567="","",IF('ORDENES'!$AC567="","-",'ORDENES'!$AC567))</f>
        <v/>
      </c>
      <c r="H589" s="3">
        <f>IF('ORDENES'!$A567="","",IF('ORDENES'!$AO567="","-",'ORDENES'!$AO567))</f>
        <v/>
      </c>
      <c r="I589" s="3">
        <f>IF('ORDENES'!$A567="","",IF('ORDENES'!$D567="","-",'ORDENES'!$D567))</f>
        <v/>
      </c>
      <c r="J589" s="3">
        <f>IF('ORDENES'!$A567="","",IF('ORDENES'!$E567="","-",'ORDENES'!$E567))</f>
        <v/>
      </c>
      <c r="K589" s="12">
        <f>IF('ORDENES'!$A567="","",IF('ORDENES'!$N567="",0,'ORDENES'!$N567))</f>
        <v/>
      </c>
      <c r="L589" s="3">
        <f>IF('ORDENES'!$A567="","",IF('ORDENES'!$O567="","-",'ORDENES'!$O567))</f>
        <v/>
      </c>
      <c r="M589" s="3">
        <f>IF('ORDENES'!$A567="","",'ORDENES'!$AB567)</f>
        <v/>
      </c>
    </row>
    <row r="590">
      <c r="A590" s="3">
        <f>IF('ORDENES'!$A568="","",IF('ORDENES'!$P568="","-",'ORDENES'!$P568))</f>
        <v/>
      </c>
      <c r="B590" s="3">
        <f>IF('ORDENES'!$A568="","",IF('ORDENES'!$S568="","-",'ORDENES'!$S568))</f>
        <v/>
      </c>
      <c r="C590" s="3">
        <f>IF('ORDENES'!$A568="","",IF('ORDENES'!$AD568="","-",'ORDENES'!$AD568))</f>
        <v/>
      </c>
      <c r="D590" s="3">
        <f>IF('ORDENES'!$A568="","",IF('ORDENES'!$W568="","-",'ORDENES'!$W568))</f>
        <v/>
      </c>
      <c r="E590" s="3">
        <f>IF('ORDENES'!$A568="","",IF('ORDENES'!$V568="","-",'ORDENES'!$V568))</f>
        <v/>
      </c>
      <c r="F590" s="3">
        <f>IF('ORDENES'!$A568="","",IF('ORDENES'!$X568="","-",'ORDENES'!$X568))</f>
        <v/>
      </c>
      <c r="G590" s="3">
        <f>IF('ORDENES'!$A568="","",IF('ORDENES'!$AC568="","-",'ORDENES'!$AC568))</f>
        <v/>
      </c>
      <c r="H590" s="3">
        <f>IF('ORDENES'!$A568="","",IF('ORDENES'!$AO568="","-",'ORDENES'!$AO568))</f>
        <v/>
      </c>
      <c r="I590" s="3">
        <f>IF('ORDENES'!$A568="","",IF('ORDENES'!$D568="","-",'ORDENES'!$D568))</f>
        <v/>
      </c>
      <c r="J590" s="3">
        <f>IF('ORDENES'!$A568="","",IF('ORDENES'!$E568="","-",'ORDENES'!$E568))</f>
        <v/>
      </c>
      <c r="K590" s="12">
        <f>IF('ORDENES'!$A568="","",IF('ORDENES'!$N568="",0,'ORDENES'!$N568))</f>
        <v/>
      </c>
      <c r="L590" s="3">
        <f>IF('ORDENES'!$A568="","",IF('ORDENES'!$O568="","-",'ORDENES'!$O568))</f>
        <v/>
      </c>
      <c r="M590" s="3">
        <f>IF('ORDENES'!$A568="","",'ORDENES'!$AB568)</f>
        <v/>
      </c>
    </row>
    <row r="591">
      <c r="A591" s="3">
        <f>IF('ORDENES'!$A569="","",IF('ORDENES'!$P569="","-",'ORDENES'!$P569))</f>
        <v/>
      </c>
      <c r="B591" s="3">
        <f>IF('ORDENES'!$A569="","",IF('ORDENES'!$S569="","-",'ORDENES'!$S569))</f>
        <v/>
      </c>
      <c r="C591" s="3">
        <f>IF('ORDENES'!$A569="","",IF('ORDENES'!$AD569="","-",'ORDENES'!$AD569))</f>
        <v/>
      </c>
      <c r="D591" s="3">
        <f>IF('ORDENES'!$A569="","",IF('ORDENES'!$W569="","-",'ORDENES'!$W569))</f>
        <v/>
      </c>
      <c r="E591" s="3">
        <f>IF('ORDENES'!$A569="","",IF('ORDENES'!$V569="","-",'ORDENES'!$V569))</f>
        <v/>
      </c>
      <c r="F591" s="3">
        <f>IF('ORDENES'!$A569="","",IF('ORDENES'!$X569="","-",'ORDENES'!$X569))</f>
        <v/>
      </c>
      <c r="G591" s="3">
        <f>IF('ORDENES'!$A569="","",IF('ORDENES'!$AC569="","-",'ORDENES'!$AC569))</f>
        <v/>
      </c>
      <c r="H591" s="3">
        <f>IF('ORDENES'!$A569="","",IF('ORDENES'!$AO569="","-",'ORDENES'!$AO569))</f>
        <v/>
      </c>
      <c r="I591" s="3">
        <f>IF('ORDENES'!$A569="","",IF('ORDENES'!$D569="","-",'ORDENES'!$D569))</f>
        <v/>
      </c>
      <c r="J591" s="3">
        <f>IF('ORDENES'!$A569="","",IF('ORDENES'!$E569="","-",'ORDENES'!$E569))</f>
        <v/>
      </c>
      <c r="K591" s="12">
        <f>IF('ORDENES'!$A569="","",IF('ORDENES'!$N569="",0,'ORDENES'!$N569))</f>
        <v/>
      </c>
      <c r="L591" s="3">
        <f>IF('ORDENES'!$A569="","",IF('ORDENES'!$O569="","-",'ORDENES'!$O569))</f>
        <v/>
      </c>
      <c r="M591" s="3">
        <f>IF('ORDENES'!$A569="","",'ORDENES'!$AB569)</f>
        <v/>
      </c>
    </row>
    <row r="592">
      <c r="A592" s="3">
        <f>IF('ORDENES'!$A570="","",IF('ORDENES'!$P570="","-",'ORDENES'!$P570))</f>
        <v/>
      </c>
      <c r="B592" s="3">
        <f>IF('ORDENES'!$A570="","",IF('ORDENES'!$S570="","-",'ORDENES'!$S570))</f>
        <v/>
      </c>
      <c r="C592" s="3">
        <f>IF('ORDENES'!$A570="","",IF('ORDENES'!$AD570="","-",'ORDENES'!$AD570))</f>
        <v/>
      </c>
      <c r="D592" s="3">
        <f>IF('ORDENES'!$A570="","",IF('ORDENES'!$W570="","-",'ORDENES'!$W570))</f>
        <v/>
      </c>
      <c r="E592" s="3">
        <f>IF('ORDENES'!$A570="","",IF('ORDENES'!$V570="","-",'ORDENES'!$V570))</f>
        <v/>
      </c>
      <c r="F592" s="3">
        <f>IF('ORDENES'!$A570="","",IF('ORDENES'!$X570="","-",'ORDENES'!$X570))</f>
        <v/>
      </c>
      <c r="G592" s="3">
        <f>IF('ORDENES'!$A570="","",IF('ORDENES'!$AC570="","-",'ORDENES'!$AC570))</f>
        <v/>
      </c>
      <c r="H592" s="3">
        <f>IF('ORDENES'!$A570="","",IF('ORDENES'!$AO570="","-",'ORDENES'!$AO570))</f>
        <v/>
      </c>
      <c r="I592" s="3">
        <f>IF('ORDENES'!$A570="","",IF('ORDENES'!$D570="","-",'ORDENES'!$D570))</f>
        <v/>
      </c>
      <c r="J592" s="3">
        <f>IF('ORDENES'!$A570="","",IF('ORDENES'!$E570="","-",'ORDENES'!$E570))</f>
        <v/>
      </c>
      <c r="K592" s="12">
        <f>IF('ORDENES'!$A570="","",IF('ORDENES'!$N570="",0,'ORDENES'!$N570))</f>
        <v/>
      </c>
      <c r="L592" s="3">
        <f>IF('ORDENES'!$A570="","",IF('ORDENES'!$O570="","-",'ORDENES'!$O570))</f>
        <v/>
      </c>
      <c r="M592" s="3">
        <f>IF('ORDENES'!$A570="","",'ORDENES'!$AB570)</f>
        <v/>
      </c>
    </row>
    <row r="593">
      <c r="A593" s="3">
        <f>IF('ORDENES'!$A571="","",IF('ORDENES'!$P571="","-",'ORDENES'!$P571))</f>
        <v/>
      </c>
      <c r="B593" s="3">
        <f>IF('ORDENES'!$A571="","",IF('ORDENES'!$S571="","-",'ORDENES'!$S571))</f>
        <v/>
      </c>
      <c r="C593" s="3">
        <f>IF('ORDENES'!$A571="","",IF('ORDENES'!$AD571="","-",'ORDENES'!$AD571))</f>
        <v/>
      </c>
      <c r="D593" s="3">
        <f>IF('ORDENES'!$A571="","",IF('ORDENES'!$W571="","-",'ORDENES'!$W571))</f>
        <v/>
      </c>
      <c r="E593" s="3">
        <f>IF('ORDENES'!$A571="","",IF('ORDENES'!$V571="","-",'ORDENES'!$V571))</f>
        <v/>
      </c>
      <c r="F593" s="3">
        <f>IF('ORDENES'!$A571="","",IF('ORDENES'!$X571="","-",'ORDENES'!$X571))</f>
        <v/>
      </c>
      <c r="G593" s="3">
        <f>IF('ORDENES'!$A571="","",IF('ORDENES'!$AC571="","-",'ORDENES'!$AC571))</f>
        <v/>
      </c>
      <c r="H593" s="3">
        <f>IF('ORDENES'!$A571="","",IF('ORDENES'!$AO571="","-",'ORDENES'!$AO571))</f>
        <v/>
      </c>
      <c r="I593" s="3">
        <f>IF('ORDENES'!$A571="","",IF('ORDENES'!$D571="","-",'ORDENES'!$D571))</f>
        <v/>
      </c>
      <c r="J593" s="3">
        <f>IF('ORDENES'!$A571="","",IF('ORDENES'!$E571="","-",'ORDENES'!$E571))</f>
        <v/>
      </c>
      <c r="K593" s="12">
        <f>IF('ORDENES'!$A571="","",IF('ORDENES'!$N571="",0,'ORDENES'!$N571))</f>
        <v/>
      </c>
      <c r="L593" s="3">
        <f>IF('ORDENES'!$A571="","",IF('ORDENES'!$O571="","-",'ORDENES'!$O571))</f>
        <v/>
      </c>
      <c r="M593" s="3">
        <f>IF('ORDENES'!$A571="","",'ORDENES'!$AB571)</f>
        <v/>
      </c>
    </row>
    <row r="594">
      <c r="A594" s="3">
        <f>IF('ORDENES'!$A572="","",IF('ORDENES'!$P572="","-",'ORDENES'!$P572))</f>
        <v/>
      </c>
      <c r="B594" s="3">
        <f>IF('ORDENES'!$A572="","",IF('ORDENES'!$S572="","-",'ORDENES'!$S572))</f>
        <v/>
      </c>
      <c r="C594" s="3">
        <f>IF('ORDENES'!$A572="","",IF('ORDENES'!$AD572="","-",'ORDENES'!$AD572))</f>
        <v/>
      </c>
      <c r="D594" s="3">
        <f>IF('ORDENES'!$A572="","",IF('ORDENES'!$W572="","-",'ORDENES'!$W572))</f>
        <v/>
      </c>
      <c r="E594" s="3">
        <f>IF('ORDENES'!$A572="","",IF('ORDENES'!$V572="","-",'ORDENES'!$V572))</f>
        <v/>
      </c>
      <c r="F594" s="3">
        <f>IF('ORDENES'!$A572="","",IF('ORDENES'!$X572="","-",'ORDENES'!$X572))</f>
        <v/>
      </c>
      <c r="G594" s="3">
        <f>IF('ORDENES'!$A572="","",IF('ORDENES'!$AC572="","-",'ORDENES'!$AC572))</f>
        <v/>
      </c>
      <c r="H594" s="3">
        <f>IF('ORDENES'!$A572="","",IF('ORDENES'!$AO572="","-",'ORDENES'!$AO572))</f>
        <v/>
      </c>
      <c r="I594" s="3">
        <f>IF('ORDENES'!$A572="","",IF('ORDENES'!$D572="","-",'ORDENES'!$D572))</f>
        <v/>
      </c>
      <c r="J594" s="3">
        <f>IF('ORDENES'!$A572="","",IF('ORDENES'!$E572="","-",'ORDENES'!$E572))</f>
        <v/>
      </c>
      <c r="K594" s="12">
        <f>IF('ORDENES'!$A572="","",IF('ORDENES'!$N572="",0,'ORDENES'!$N572))</f>
        <v/>
      </c>
      <c r="L594" s="3">
        <f>IF('ORDENES'!$A572="","",IF('ORDENES'!$O572="","-",'ORDENES'!$O572))</f>
        <v/>
      </c>
      <c r="M594" s="3">
        <f>IF('ORDENES'!$A572="","",'ORDENES'!$AB572)</f>
        <v/>
      </c>
    </row>
    <row r="595">
      <c r="A595" s="3">
        <f>IF('ORDENES'!$A573="","",IF('ORDENES'!$P573="","-",'ORDENES'!$P573))</f>
        <v/>
      </c>
      <c r="B595" s="3">
        <f>IF('ORDENES'!$A573="","",IF('ORDENES'!$S573="","-",'ORDENES'!$S573))</f>
        <v/>
      </c>
      <c r="C595" s="3">
        <f>IF('ORDENES'!$A573="","",IF('ORDENES'!$AD573="","-",'ORDENES'!$AD573))</f>
        <v/>
      </c>
      <c r="D595" s="3">
        <f>IF('ORDENES'!$A573="","",IF('ORDENES'!$W573="","-",'ORDENES'!$W573))</f>
        <v/>
      </c>
      <c r="E595" s="3">
        <f>IF('ORDENES'!$A573="","",IF('ORDENES'!$V573="","-",'ORDENES'!$V573))</f>
        <v/>
      </c>
      <c r="F595" s="3">
        <f>IF('ORDENES'!$A573="","",IF('ORDENES'!$X573="","-",'ORDENES'!$X573))</f>
        <v/>
      </c>
      <c r="G595" s="3">
        <f>IF('ORDENES'!$A573="","",IF('ORDENES'!$AC573="","-",'ORDENES'!$AC573))</f>
        <v/>
      </c>
      <c r="H595" s="3">
        <f>IF('ORDENES'!$A573="","",IF('ORDENES'!$AO573="","-",'ORDENES'!$AO573))</f>
        <v/>
      </c>
      <c r="I595" s="3">
        <f>IF('ORDENES'!$A573="","",IF('ORDENES'!$D573="","-",'ORDENES'!$D573))</f>
        <v/>
      </c>
      <c r="J595" s="3">
        <f>IF('ORDENES'!$A573="","",IF('ORDENES'!$E573="","-",'ORDENES'!$E573))</f>
        <v/>
      </c>
      <c r="K595" s="12">
        <f>IF('ORDENES'!$A573="","",IF('ORDENES'!$N573="",0,'ORDENES'!$N573))</f>
        <v/>
      </c>
      <c r="L595" s="3">
        <f>IF('ORDENES'!$A573="","",IF('ORDENES'!$O573="","-",'ORDENES'!$O573))</f>
        <v/>
      </c>
      <c r="M595" s="3">
        <f>IF('ORDENES'!$A573="","",'ORDENES'!$AB573)</f>
        <v/>
      </c>
    </row>
    <row r="596">
      <c r="A596" s="3">
        <f>IF('ORDENES'!$A574="","",IF('ORDENES'!$P574="","-",'ORDENES'!$P574))</f>
        <v/>
      </c>
      <c r="B596" s="3">
        <f>IF('ORDENES'!$A574="","",IF('ORDENES'!$S574="","-",'ORDENES'!$S574))</f>
        <v/>
      </c>
      <c r="C596" s="3">
        <f>IF('ORDENES'!$A574="","",IF('ORDENES'!$AD574="","-",'ORDENES'!$AD574))</f>
        <v/>
      </c>
      <c r="D596" s="3">
        <f>IF('ORDENES'!$A574="","",IF('ORDENES'!$W574="","-",'ORDENES'!$W574))</f>
        <v/>
      </c>
      <c r="E596" s="3">
        <f>IF('ORDENES'!$A574="","",IF('ORDENES'!$V574="","-",'ORDENES'!$V574))</f>
        <v/>
      </c>
      <c r="F596" s="3">
        <f>IF('ORDENES'!$A574="","",IF('ORDENES'!$X574="","-",'ORDENES'!$X574))</f>
        <v/>
      </c>
      <c r="G596" s="3">
        <f>IF('ORDENES'!$A574="","",IF('ORDENES'!$AC574="","-",'ORDENES'!$AC574))</f>
        <v/>
      </c>
      <c r="H596" s="3">
        <f>IF('ORDENES'!$A574="","",IF('ORDENES'!$AO574="","-",'ORDENES'!$AO574))</f>
        <v/>
      </c>
      <c r="I596" s="3">
        <f>IF('ORDENES'!$A574="","",IF('ORDENES'!$D574="","-",'ORDENES'!$D574))</f>
        <v/>
      </c>
      <c r="J596" s="3">
        <f>IF('ORDENES'!$A574="","",IF('ORDENES'!$E574="","-",'ORDENES'!$E574))</f>
        <v/>
      </c>
      <c r="K596" s="12">
        <f>IF('ORDENES'!$A574="","",IF('ORDENES'!$N574="",0,'ORDENES'!$N574))</f>
        <v/>
      </c>
      <c r="L596" s="3">
        <f>IF('ORDENES'!$A574="","",IF('ORDENES'!$O574="","-",'ORDENES'!$O574))</f>
        <v/>
      </c>
      <c r="M596" s="3">
        <f>IF('ORDENES'!$A574="","",'ORDENES'!$AB574)</f>
        <v/>
      </c>
    </row>
    <row r="597">
      <c r="A597" s="3">
        <f>IF('ORDENES'!$A575="","",IF('ORDENES'!$P575="","-",'ORDENES'!$P575))</f>
        <v/>
      </c>
      <c r="B597" s="3">
        <f>IF('ORDENES'!$A575="","",IF('ORDENES'!$S575="","-",'ORDENES'!$S575))</f>
        <v/>
      </c>
      <c r="C597" s="3">
        <f>IF('ORDENES'!$A575="","",IF('ORDENES'!$AD575="","-",'ORDENES'!$AD575))</f>
        <v/>
      </c>
      <c r="D597" s="3">
        <f>IF('ORDENES'!$A575="","",IF('ORDENES'!$W575="","-",'ORDENES'!$W575))</f>
        <v/>
      </c>
      <c r="E597" s="3">
        <f>IF('ORDENES'!$A575="","",IF('ORDENES'!$V575="","-",'ORDENES'!$V575))</f>
        <v/>
      </c>
      <c r="F597" s="3">
        <f>IF('ORDENES'!$A575="","",IF('ORDENES'!$X575="","-",'ORDENES'!$X575))</f>
        <v/>
      </c>
      <c r="G597" s="3">
        <f>IF('ORDENES'!$A575="","",IF('ORDENES'!$AC575="","-",'ORDENES'!$AC575))</f>
        <v/>
      </c>
      <c r="H597" s="3">
        <f>IF('ORDENES'!$A575="","",IF('ORDENES'!$AO575="","-",'ORDENES'!$AO575))</f>
        <v/>
      </c>
      <c r="I597" s="3">
        <f>IF('ORDENES'!$A575="","",IF('ORDENES'!$D575="","-",'ORDENES'!$D575))</f>
        <v/>
      </c>
      <c r="J597" s="3">
        <f>IF('ORDENES'!$A575="","",IF('ORDENES'!$E575="","-",'ORDENES'!$E575))</f>
        <v/>
      </c>
      <c r="K597" s="12">
        <f>IF('ORDENES'!$A575="","",IF('ORDENES'!$N575="",0,'ORDENES'!$N575))</f>
        <v/>
      </c>
      <c r="L597" s="3">
        <f>IF('ORDENES'!$A575="","",IF('ORDENES'!$O575="","-",'ORDENES'!$O575))</f>
        <v/>
      </c>
      <c r="M597" s="3">
        <f>IF('ORDENES'!$A575="","",'ORDENES'!$AB575)</f>
        <v/>
      </c>
    </row>
    <row r="598">
      <c r="A598" s="3">
        <f>IF('ORDENES'!$A576="","",IF('ORDENES'!$P576="","-",'ORDENES'!$P576))</f>
        <v/>
      </c>
      <c r="B598" s="3">
        <f>IF('ORDENES'!$A576="","",IF('ORDENES'!$S576="","-",'ORDENES'!$S576))</f>
        <v/>
      </c>
      <c r="C598" s="3">
        <f>IF('ORDENES'!$A576="","",IF('ORDENES'!$AD576="","-",'ORDENES'!$AD576))</f>
        <v/>
      </c>
      <c r="D598" s="3">
        <f>IF('ORDENES'!$A576="","",IF('ORDENES'!$W576="","-",'ORDENES'!$W576))</f>
        <v/>
      </c>
      <c r="E598" s="3">
        <f>IF('ORDENES'!$A576="","",IF('ORDENES'!$V576="","-",'ORDENES'!$V576))</f>
        <v/>
      </c>
      <c r="F598" s="3">
        <f>IF('ORDENES'!$A576="","",IF('ORDENES'!$X576="","-",'ORDENES'!$X576))</f>
        <v/>
      </c>
      <c r="G598" s="3">
        <f>IF('ORDENES'!$A576="","",IF('ORDENES'!$AC576="","-",'ORDENES'!$AC576))</f>
        <v/>
      </c>
      <c r="H598" s="3">
        <f>IF('ORDENES'!$A576="","",IF('ORDENES'!$AO576="","-",'ORDENES'!$AO576))</f>
        <v/>
      </c>
      <c r="I598" s="3">
        <f>IF('ORDENES'!$A576="","",IF('ORDENES'!$D576="","-",'ORDENES'!$D576))</f>
        <v/>
      </c>
      <c r="J598" s="3">
        <f>IF('ORDENES'!$A576="","",IF('ORDENES'!$E576="","-",'ORDENES'!$E576))</f>
        <v/>
      </c>
      <c r="K598" s="12">
        <f>IF('ORDENES'!$A576="","",IF('ORDENES'!$N576="",0,'ORDENES'!$N576))</f>
        <v/>
      </c>
      <c r="L598" s="3">
        <f>IF('ORDENES'!$A576="","",IF('ORDENES'!$O576="","-",'ORDENES'!$O576))</f>
        <v/>
      </c>
      <c r="M598" s="3">
        <f>IF('ORDENES'!$A576="","",'ORDENES'!$AB576)</f>
        <v/>
      </c>
    </row>
    <row r="599">
      <c r="A599" s="3">
        <f>IF('ORDENES'!$A577="","",IF('ORDENES'!$P577="","-",'ORDENES'!$P577))</f>
        <v/>
      </c>
      <c r="B599" s="3">
        <f>IF('ORDENES'!$A577="","",IF('ORDENES'!$S577="","-",'ORDENES'!$S577))</f>
        <v/>
      </c>
      <c r="C599" s="3">
        <f>IF('ORDENES'!$A577="","",IF('ORDENES'!$AD577="","-",'ORDENES'!$AD577))</f>
        <v/>
      </c>
      <c r="D599" s="3">
        <f>IF('ORDENES'!$A577="","",IF('ORDENES'!$W577="","-",'ORDENES'!$W577))</f>
        <v/>
      </c>
      <c r="E599" s="3">
        <f>IF('ORDENES'!$A577="","",IF('ORDENES'!$V577="","-",'ORDENES'!$V577))</f>
        <v/>
      </c>
      <c r="F599" s="3">
        <f>IF('ORDENES'!$A577="","",IF('ORDENES'!$X577="","-",'ORDENES'!$X577))</f>
        <v/>
      </c>
      <c r="G599" s="3">
        <f>IF('ORDENES'!$A577="","",IF('ORDENES'!$AC577="","-",'ORDENES'!$AC577))</f>
        <v/>
      </c>
      <c r="H599" s="3">
        <f>IF('ORDENES'!$A577="","",IF('ORDENES'!$AO577="","-",'ORDENES'!$AO577))</f>
        <v/>
      </c>
      <c r="I599" s="3">
        <f>IF('ORDENES'!$A577="","",IF('ORDENES'!$D577="","-",'ORDENES'!$D577))</f>
        <v/>
      </c>
      <c r="J599" s="3">
        <f>IF('ORDENES'!$A577="","",IF('ORDENES'!$E577="","-",'ORDENES'!$E577))</f>
        <v/>
      </c>
      <c r="K599" s="12">
        <f>IF('ORDENES'!$A577="","",IF('ORDENES'!$N577="",0,'ORDENES'!$N577))</f>
        <v/>
      </c>
      <c r="L599" s="3">
        <f>IF('ORDENES'!$A577="","",IF('ORDENES'!$O577="","-",'ORDENES'!$O577))</f>
        <v/>
      </c>
      <c r="M599" s="3">
        <f>IF('ORDENES'!$A577="","",'ORDENES'!$AB577)</f>
        <v/>
      </c>
    </row>
    <row r="600">
      <c r="A600" s="3">
        <f>IF('ORDENES'!$A578="","",IF('ORDENES'!$P578="","-",'ORDENES'!$P578))</f>
        <v/>
      </c>
      <c r="B600" s="3">
        <f>IF('ORDENES'!$A578="","",IF('ORDENES'!$S578="","-",'ORDENES'!$S578))</f>
        <v/>
      </c>
      <c r="C600" s="3">
        <f>IF('ORDENES'!$A578="","",IF('ORDENES'!$AD578="","-",'ORDENES'!$AD578))</f>
        <v/>
      </c>
      <c r="D600" s="3">
        <f>IF('ORDENES'!$A578="","",IF('ORDENES'!$W578="","-",'ORDENES'!$W578))</f>
        <v/>
      </c>
      <c r="E600" s="3">
        <f>IF('ORDENES'!$A578="","",IF('ORDENES'!$V578="","-",'ORDENES'!$V578))</f>
        <v/>
      </c>
      <c r="F600" s="3">
        <f>IF('ORDENES'!$A578="","",IF('ORDENES'!$X578="","-",'ORDENES'!$X578))</f>
        <v/>
      </c>
      <c r="G600" s="3">
        <f>IF('ORDENES'!$A578="","",IF('ORDENES'!$AC578="","-",'ORDENES'!$AC578))</f>
        <v/>
      </c>
      <c r="H600" s="3">
        <f>IF('ORDENES'!$A578="","",IF('ORDENES'!$AO578="","-",'ORDENES'!$AO578))</f>
        <v/>
      </c>
      <c r="I600" s="3">
        <f>IF('ORDENES'!$A578="","",IF('ORDENES'!$D578="","-",'ORDENES'!$D578))</f>
        <v/>
      </c>
      <c r="J600" s="3">
        <f>IF('ORDENES'!$A578="","",IF('ORDENES'!$E578="","-",'ORDENES'!$E578))</f>
        <v/>
      </c>
      <c r="K600" s="12">
        <f>IF('ORDENES'!$A578="","",IF('ORDENES'!$N578="",0,'ORDENES'!$N578))</f>
        <v/>
      </c>
      <c r="L600" s="3">
        <f>IF('ORDENES'!$A578="","",IF('ORDENES'!$O578="","-",'ORDENES'!$O578))</f>
        <v/>
      </c>
      <c r="M600" s="3">
        <f>IF('ORDENES'!$A578="","",'ORDENES'!$AB578)</f>
        <v/>
      </c>
    </row>
    <row r="601">
      <c r="A601" s="3">
        <f>IF('ORDENES'!$A579="","",IF('ORDENES'!$P579="","-",'ORDENES'!$P579))</f>
        <v/>
      </c>
      <c r="B601" s="3">
        <f>IF('ORDENES'!$A579="","",IF('ORDENES'!$S579="","-",'ORDENES'!$S579))</f>
        <v/>
      </c>
      <c r="C601" s="3">
        <f>IF('ORDENES'!$A579="","",IF('ORDENES'!$AD579="","-",'ORDENES'!$AD579))</f>
        <v/>
      </c>
      <c r="D601" s="3">
        <f>IF('ORDENES'!$A579="","",IF('ORDENES'!$W579="","-",'ORDENES'!$W579))</f>
        <v/>
      </c>
      <c r="E601" s="3">
        <f>IF('ORDENES'!$A579="","",IF('ORDENES'!$V579="","-",'ORDENES'!$V579))</f>
        <v/>
      </c>
      <c r="F601" s="3">
        <f>IF('ORDENES'!$A579="","",IF('ORDENES'!$X579="","-",'ORDENES'!$X579))</f>
        <v/>
      </c>
      <c r="G601" s="3">
        <f>IF('ORDENES'!$A579="","",IF('ORDENES'!$AC579="","-",'ORDENES'!$AC579))</f>
        <v/>
      </c>
      <c r="H601" s="3">
        <f>IF('ORDENES'!$A579="","",IF('ORDENES'!$AO579="","-",'ORDENES'!$AO579))</f>
        <v/>
      </c>
      <c r="I601" s="3">
        <f>IF('ORDENES'!$A579="","",IF('ORDENES'!$D579="","-",'ORDENES'!$D579))</f>
        <v/>
      </c>
      <c r="J601" s="3">
        <f>IF('ORDENES'!$A579="","",IF('ORDENES'!$E579="","-",'ORDENES'!$E579))</f>
        <v/>
      </c>
      <c r="K601" s="12">
        <f>IF('ORDENES'!$A579="","",IF('ORDENES'!$N579="",0,'ORDENES'!$N579))</f>
        <v/>
      </c>
      <c r="L601" s="3">
        <f>IF('ORDENES'!$A579="","",IF('ORDENES'!$O579="","-",'ORDENES'!$O579))</f>
        <v/>
      </c>
      <c r="M601" s="3">
        <f>IF('ORDENES'!$A579="","",'ORDENES'!$AB579)</f>
        <v/>
      </c>
    </row>
    <row r="602">
      <c r="A602" s="3">
        <f>IF('ORDENES'!$A580="","",IF('ORDENES'!$P580="","-",'ORDENES'!$P580))</f>
        <v/>
      </c>
      <c r="B602" s="3">
        <f>IF('ORDENES'!$A580="","",IF('ORDENES'!$S580="","-",'ORDENES'!$S580))</f>
        <v/>
      </c>
      <c r="C602" s="3">
        <f>IF('ORDENES'!$A580="","",IF('ORDENES'!$AD580="","-",'ORDENES'!$AD580))</f>
        <v/>
      </c>
      <c r="D602" s="3">
        <f>IF('ORDENES'!$A580="","",IF('ORDENES'!$W580="","-",'ORDENES'!$W580))</f>
        <v/>
      </c>
      <c r="E602" s="3">
        <f>IF('ORDENES'!$A580="","",IF('ORDENES'!$V580="","-",'ORDENES'!$V580))</f>
        <v/>
      </c>
      <c r="F602" s="3">
        <f>IF('ORDENES'!$A580="","",IF('ORDENES'!$X580="","-",'ORDENES'!$X580))</f>
        <v/>
      </c>
      <c r="G602" s="3">
        <f>IF('ORDENES'!$A580="","",IF('ORDENES'!$AC580="","-",'ORDENES'!$AC580))</f>
        <v/>
      </c>
      <c r="H602" s="3">
        <f>IF('ORDENES'!$A580="","",IF('ORDENES'!$AO580="","-",'ORDENES'!$AO580))</f>
        <v/>
      </c>
      <c r="I602" s="3">
        <f>IF('ORDENES'!$A580="","",IF('ORDENES'!$D580="","-",'ORDENES'!$D580))</f>
        <v/>
      </c>
      <c r="J602" s="3">
        <f>IF('ORDENES'!$A580="","",IF('ORDENES'!$E580="","-",'ORDENES'!$E580))</f>
        <v/>
      </c>
      <c r="K602" s="12">
        <f>IF('ORDENES'!$A580="","",IF('ORDENES'!$N580="",0,'ORDENES'!$N580))</f>
        <v/>
      </c>
      <c r="L602" s="3">
        <f>IF('ORDENES'!$A580="","",IF('ORDENES'!$O580="","-",'ORDENES'!$O580))</f>
        <v/>
      </c>
      <c r="M602" s="3">
        <f>IF('ORDENES'!$A580="","",'ORDENES'!$AB580)</f>
        <v/>
      </c>
    </row>
    <row r="603">
      <c r="A603" s="3">
        <f>IF('ORDENES'!$A581="","",IF('ORDENES'!$P581="","-",'ORDENES'!$P581))</f>
        <v/>
      </c>
      <c r="B603" s="3">
        <f>IF('ORDENES'!$A581="","",IF('ORDENES'!$S581="","-",'ORDENES'!$S581))</f>
        <v/>
      </c>
      <c r="C603" s="3">
        <f>IF('ORDENES'!$A581="","",IF('ORDENES'!$AD581="","-",'ORDENES'!$AD581))</f>
        <v/>
      </c>
      <c r="D603" s="3">
        <f>IF('ORDENES'!$A581="","",IF('ORDENES'!$W581="","-",'ORDENES'!$W581))</f>
        <v/>
      </c>
      <c r="E603" s="3">
        <f>IF('ORDENES'!$A581="","",IF('ORDENES'!$V581="","-",'ORDENES'!$V581))</f>
        <v/>
      </c>
      <c r="F603" s="3">
        <f>IF('ORDENES'!$A581="","",IF('ORDENES'!$X581="","-",'ORDENES'!$X581))</f>
        <v/>
      </c>
      <c r="G603" s="3">
        <f>IF('ORDENES'!$A581="","",IF('ORDENES'!$AC581="","-",'ORDENES'!$AC581))</f>
        <v/>
      </c>
      <c r="H603" s="3">
        <f>IF('ORDENES'!$A581="","",IF('ORDENES'!$AO581="","-",'ORDENES'!$AO581))</f>
        <v/>
      </c>
      <c r="I603" s="3">
        <f>IF('ORDENES'!$A581="","",IF('ORDENES'!$D581="","-",'ORDENES'!$D581))</f>
        <v/>
      </c>
      <c r="J603" s="3">
        <f>IF('ORDENES'!$A581="","",IF('ORDENES'!$E581="","-",'ORDENES'!$E581))</f>
        <v/>
      </c>
      <c r="K603" s="12">
        <f>IF('ORDENES'!$A581="","",IF('ORDENES'!$N581="",0,'ORDENES'!$N581))</f>
        <v/>
      </c>
      <c r="L603" s="3">
        <f>IF('ORDENES'!$A581="","",IF('ORDENES'!$O581="","-",'ORDENES'!$O581))</f>
        <v/>
      </c>
      <c r="M603" s="3">
        <f>IF('ORDENES'!$A581="","",'ORDENES'!$AB581)</f>
        <v/>
      </c>
    </row>
    <row r="604">
      <c r="A604" s="3">
        <f>IF('ORDENES'!$A582="","",IF('ORDENES'!$P582="","-",'ORDENES'!$P582))</f>
        <v/>
      </c>
      <c r="B604" s="3">
        <f>IF('ORDENES'!$A582="","",IF('ORDENES'!$S582="","-",'ORDENES'!$S582))</f>
        <v/>
      </c>
      <c r="C604" s="3">
        <f>IF('ORDENES'!$A582="","",IF('ORDENES'!$AD582="","-",'ORDENES'!$AD582))</f>
        <v/>
      </c>
      <c r="D604" s="3">
        <f>IF('ORDENES'!$A582="","",IF('ORDENES'!$W582="","-",'ORDENES'!$W582))</f>
        <v/>
      </c>
      <c r="E604" s="3">
        <f>IF('ORDENES'!$A582="","",IF('ORDENES'!$V582="","-",'ORDENES'!$V582))</f>
        <v/>
      </c>
      <c r="F604" s="3">
        <f>IF('ORDENES'!$A582="","",IF('ORDENES'!$X582="","-",'ORDENES'!$X582))</f>
        <v/>
      </c>
      <c r="G604" s="3">
        <f>IF('ORDENES'!$A582="","",IF('ORDENES'!$AC582="","-",'ORDENES'!$AC582))</f>
        <v/>
      </c>
      <c r="H604" s="3">
        <f>IF('ORDENES'!$A582="","",IF('ORDENES'!$AO582="","-",'ORDENES'!$AO582))</f>
        <v/>
      </c>
      <c r="I604" s="3">
        <f>IF('ORDENES'!$A582="","",IF('ORDENES'!$D582="","-",'ORDENES'!$D582))</f>
        <v/>
      </c>
      <c r="J604" s="3">
        <f>IF('ORDENES'!$A582="","",IF('ORDENES'!$E582="","-",'ORDENES'!$E582))</f>
        <v/>
      </c>
      <c r="K604" s="12">
        <f>IF('ORDENES'!$A582="","",IF('ORDENES'!$N582="",0,'ORDENES'!$N582))</f>
        <v/>
      </c>
      <c r="L604" s="3">
        <f>IF('ORDENES'!$A582="","",IF('ORDENES'!$O582="","-",'ORDENES'!$O582))</f>
        <v/>
      </c>
      <c r="M604" s="3">
        <f>IF('ORDENES'!$A582="","",'ORDENES'!$AB582)</f>
        <v/>
      </c>
    </row>
    <row r="605">
      <c r="A605" s="3">
        <f>IF('ORDENES'!$A583="","",IF('ORDENES'!$P583="","-",'ORDENES'!$P583))</f>
        <v/>
      </c>
      <c r="B605" s="3">
        <f>IF('ORDENES'!$A583="","",IF('ORDENES'!$S583="","-",'ORDENES'!$S583))</f>
        <v/>
      </c>
      <c r="C605" s="3">
        <f>IF('ORDENES'!$A583="","",IF('ORDENES'!$AD583="","-",'ORDENES'!$AD583))</f>
        <v/>
      </c>
      <c r="D605" s="3">
        <f>IF('ORDENES'!$A583="","",IF('ORDENES'!$W583="","-",'ORDENES'!$W583))</f>
        <v/>
      </c>
      <c r="E605" s="3">
        <f>IF('ORDENES'!$A583="","",IF('ORDENES'!$V583="","-",'ORDENES'!$V583))</f>
        <v/>
      </c>
      <c r="F605" s="3">
        <f>IF('ORDENES'!$A583="","",IF('ORDENES'!$X583="","-",'ORDENES'!$X583))</f>
        <v/>
      </c>
      <c r="G605" s="3">
        <f>IF('ORDENES'!$A583="","",IF('ORDENES'!$AC583="","-",'ORDENES'!$AC583))</f>
        <v/>
      </c>
      <c r="H605" s="3">
        <f>IF('ORDENES'!$A583="","",IF('ORDENES'!$AO583="","-",'ORDENES'!$AO583))</f>
        <v/>
      </c>
      <c r="I605" s="3">
        <f>IF('ORDENES'!$A583="","",IF('ORDENES'!$D583="","-",'ORDENES'!$D583))</f>
        <v/>
      </c>
      <c r="J605" s="3">
        <f>IF('ORDENES'!$A583="","",IF('ORDENES'!$E583="","-",'ORDENES'!$E583))</f>
        <v/>
      </c>
      <c r="K605" s="12">
        <f>IF('ORDENES'!$A583="","",IF('ORDENES'!$N583="",0,'ORDENES'!$N583))</f>
        <v/>
      </c>
      <c r="L605" s="3">
        <f>IF('ORDENES'!$A583="","",IF('ORDENES'!$O583="","-",'ORDENES'!$O583))</f>
        <v/>
      </c>
      <c r="M605" s="3">
        <f>IF('ORDENES'!$A583="","",'ORDENES'!$AB583)</f>
        <v/>
      </c>
    </row>
    <row r="606">
      <c r="A606" s="3">
        <f>IF('ORDENES'!$A584="","",IF('ORDENES'!$P584="","-",'ORDENES'!$P584))</f>
        <v/>
      </c>
      <c r="B606" s="3">
        <f>IF('ORDENES'!$A584="","",IF('ORDENES'!$S584="","-",'ORDENES'!$S584))</f>
        <v/>
      </c>
      <c r="C606" s="3">
        <f>IF('ORDENES'!$A584="","",IF('ORDENES'!$AD584="","-",'ORDENES'!$AD584))</f>
        <v/>
      </c>
      <c r="D606" s="3">
        <f>IF('ORDENES'!$A584="","",IF('ORDENES'!$W584="","-",'ORDENES'!$W584))</f>
        <v/>
      </c>
      <c r="E606" s="3">
        <f>IF('ORDENES'!$A584="","",IF('ORDENES'!$V584="","-",'ORDENES'!$V584))</f>
        <v/>
      </c>
      <c r="F606" s="3">
        <f>IF('ORDENES'!$A584="","",IF('ORDENES'!$X584="","-",'ORDENES'!$X584))</f>
        <v/>
      </c>
      <c r="G606" s="3">
        <f>IF('ORDENES'!$A584="","",IF('ORDENES'!$AC584="","-",'ORDENES'!$AC584))</f>
        <v/>
      </c>
      <c r="H606" s="3">
        <f>IF('ORDENES'!$A584="","",IF('ORDENES'!$AO584="","-",'ORDENES'!$AO584))</f>
        <v/>
      </c>
      <c r="I606" s="3">
        <f>IF('ORDENES'!$A584="","",IF('ORDENES'!$D584="","-",'ORDENES'!$D584))</f>
        <v/>
      </c>
      <c r="J606" s="3">
        <f>IF('ORDENES'!$A584="","",IF('ORDENES'!$E584="","-",'ORDENES'!$E584))</f>
        <v/>
      </c>
      <c r="K606" s="12">
        <f>IF('ORDENES'!$A584="","",IF('ORDENES'!$N584="",0,'ORDENES'!$N584))</f>
        <v/>
      </c>
      <c r="L606" s="3">
        <f>IF('ORDENES'!$A584="","",IF('ORDENES'!$O584="","-",'ORDENES'!$O584))</f>
        <v/>
      </c>
      <c r="M606" s="3">
        <f>IF('ORDENES'!$A584="","",'ORDENES'!$AB584)</f>
        <v/>
      </c>
    </row>
    <row r="607">
      <c r="A607" s="3">
        <f>IF('ORDENES'!$A585="","",IF('ORDENES'!$P585="","-",'ORDENES'!$P585))</f>
        <v/>
      </c>
      <c r="B607" s="3">
        <f>IF('ORDENES'!$A585="","",IF('ORDENES'!$S585="","-",'ORDENES'!$S585))</f>
        <v/>
      </c>
      <c r="C607" s="3">
        <f>IF('ORDENES'!$A585="","",IF('ORDENES'!$AD585="","-",'ORDENES'!$AD585))</f>
        <v/>
      </c>
      <c r="D607" s="3">
        <f>IF('ORDENES'!$A585="","",IF('ORDENES'!$W585="","-",'ORDENES'!$W585))</f>
        <v/>
      </c>
      <c r="E607" s="3">
        <f>IF('ORDENES'!$A585="","",IF('ORDENES'!$V585="","-",'ORDENES'!$V585))</f>
        <v/>
      </c>
      <c r="F607" s="3">
        <f>IF('ORDENES'!$A585="","",IF('ORDENES'!$X585="","-",'ORDENES'!$X585))</f>
        <v/>
      </c>
      <c r="G607" s="3">
        <f>IF('ORDENES'!$A585="","",IF('ORDENES'!$AC585="","-",'ORDENES'!$AC585))</f>
        <v/>
      </c>
      <c r="H607" s="3">
        <f>IF('ORDENES'!$A585="","",IF('ORDENES'!$AO585="","-",'ORDENES'!$AO585))</f>
        <v/>
      </c>
      <c r="I607" s="3">
        <f>IF('ORDENES'!$A585="","",IF('ORDENES'!$D585="","-",'ORDENES'!$D585))</f>
        <v/>
      </c>
      <c r="J607" s="3">
        <f>IF('ORDENES'!$A585="","",IF('ORDENES'!$E585="","-",'ORDENES'!$E585))</f>
        <v/>
      </c>
      <c r="K607" s="12">
        <f>IF('ORDENES'!$A585="","",IF('ORDENES'!$N585="",0,'ORDENES'!$N585))</f>
        <v/>
      </c>
      <c r="L607" s="3">
        <f>IF('ORDENES'!$A585="","",IF('ORDENES'!$O585="","-",'ORDENES'!$O585))</f>
        <v/>
      </c>
      <c r="M607" s="3">
        <f>IF('ORDENES'!$A585="","",'ORDENES'!$AB585)</f>
        <v/>
      </c>
    </row>
    <row r="608">
      <c r="A608" s="3">
        <f>IF('ORDENES'!$A586="","",IF('ORDENES'!$P586="","-",'ORDENES'!$P586))</f>
        <v/>
      </c>
      <c r="B608" s="3">
        <f>IF('ORDENES'!$A586="","",IF('ORDENES'!$S586="","-",'ORDENES'!$S586))</f>
        <v/>
      </c>
      <c r="C608" s="3">
        <f>IF('ORDENES'!$A586="","",IF('ORDENES'!$AD586="","-",'ORDENES'!$AD586))</f>
        <v/>
      </c>
      <c r="D608" s="3">
        <f>IF('ORDENES'!$A586="","",IF('ORDENES'!$W586="","-",'ORDENES'!$W586))</f>
        <v/>
      </c>
      <c r="E608" s="3">
        <f>IF('ORDENES'!$A586="","",IF('ORDENES'!$V586="","-",'ORDENES'!$V586))</f>
        <v/>
      </c>
      <c r="F608" s="3">
        <f>IF('ORDENES'!$A586="","",IF('ORDENES'!$X586="","-",'ORDENES'!$X586))</f>
        <v/>
      </c>
      <c r="G608" s="3">
        <f>IF('ORDENES'!$A586="","",IF('ORDENES'!$AC586="","-",'ORDENES'!$AC586))</f>
        <v/>
      </c>
      <c r="H608" s="3">
        <f>IF('ORDENES'!$A586="","",IF('ORDENES'!$AO586="","-",'ORDENES'!$AO586))</f>
        <v/>
      </c>
      <c r="I608" s="3">
        <f>IF('ORDENES'!$A586="","",IF('ORDENES'!$D586="","-",'ORDENES'!$D586))</f>
        <v/>
      </c>
      <c r="J608" s="3">
        <f>IF('ORDENES'!$A586="","",IF('ORDENES'!$E586="","-",'ORDENES'!$E586))</f>
        <v/>
      </c>
      <c r="K608" s="12">
        <f>IF('ORDENES'!$A586="","",IF('ORDENES'!$N586="",0,'ORDENES'!$N586))</f>
        <v/>
      </c>
      <c r="L608" s="3">
        <f>IF('ORDENES'!$A586="","",IF('ORDENES'!$O586="","-",'ORDENES'!$O586))</f>
        <v/>
      </c>
      <c r="M608" s="3">
        <f>IF('ORDENES'!$A586="","",'ORDENES'!$AB586)</f>
        <v/>
      </c>
    </row>
    <row r="609">
      <c r="A609" s="3">
        <f>IF('ORDENES'!$A587="","",IF('ORDENES'!$P587="","-",'ORDENES'!$P587))</f>
        <v/>
      </c>
      <c r="B609" s="3">
        <f>IF('ORDENES'!$A587="","",IF('ORDENES'!$S587="","-",'ORDENES'!$S587))</f>
        <v/>
      </c>
      <c r="C609" s="3">
        <f>IF('ORDENES'!$A587="","",IF('ORDENES'!$AD587="","-",'ORDENES'!$AD587))</f>
        <v/>
      </c>
      <c r="D609" s="3">
        <f>IF('ORDENES'!$A587="","",IF('ORDENES'!$W587="","-",'ORDENES'!$W587))</f>
        <v/>
      </c>
      <c r="E609" s="3">
        <f>IF('ORDENES'!$A587="","",IF('ORDENES'!$V587="","-",'ORDENES'!$V587))</f>
        <v/>
      </c>
      <c r="F609" s="3">
        <f>IF('ORDENES'!$A587="","",IF('ORDENES'!$X587="","-",'ORDENES'!$X587))</f>
        <v/>
      </c>
      <c r="G609" s="3">
        <f>IF('ORDENES'!$A587="","",IF('ORDENES'!$AC587="","-",'ORDENES'!$AC587))</f>
        <v/>
      </c>
      <c r="H609" s="3">
        <f>IF('ORDENES'!$A587="","",IF('ORDENES'!$AO587="","-",'ORDENES'!$AO587))</f>
        <v/>
      </c>
      <c r="I609" s="3">
        <f>IF('ORDENES'!$A587="","",IF('ORDENES'!$D587="","-",'ORDENES'!$D587))</f>
        <v/>
      </c>
      <c r="J609" s="3">
        <f>IF('ORDENES'!$A587="","",IF('ORDENES'!$E587="","-",'ORDENES'!$E587))</f>
        <v/>
      </c>
      <c r="K609" s="12">
        <f>IF('ORDENES'!$A587="","",IF('ORDENES'!$N587="",0,'ORDENES'!$N587))</f>
        <v/>
      </c>
      <c r="L609" s="3">
        <f>IF('ORDENES'!$A587="","",IF('ORDENES'!$O587="","-",'ORDENES'!$O587))</f>
        <v/>
      </c>
      <c r="M609" s="3">
        <f>IF('ORDENES'!$A587="","",'ORDENES'!$AB587)</f>
        <v/>
      </c>
    </row>
    <row r="610">
      <c r="A610" s="3">
        <f>IF('ORDENES'!$A588="","",IF('ORDENES'!$P588="","-",'ORDENES'!$P588))</f>
        <v/>
      </c>
      <c r="B610" s="3">
        <f>IF('ORDENES'!$A588="","",IF('ORDENES'!$S588="","-",'ORDENES'!$S588))</f>
        <v/>
      </c>
      <c r="C610" s="3">
        <f>IF('ORDENES'!$A588="","",IF('ORDENES'!$AD588="","-",'ORDENES'!$AD588))</f>
        <v/>
      </c>
      <c r="D610" s="3">
        <f>IF('ORDENES'!$A588="","",IF('ORDENES'!$W588="","-",'ORDENES'!$W588))</f>
        <v/>
      </c>
      <c r="E610" s="3">
        <f>IF('ORDENES'!$A588="","",IF('ORDENES'!$V588="","-",'ORDENES'!$V588))</f>
        <v/>
      </c>
      <c r="F610" s="3">
        <f>IF('ORDENES'!$A588="","",IF('ORDENES'!$X588="","-",'ORDENES'!$X588))</f>
        <v/>
      </c>
      <c r="G610" s="3">
        <f>IF('ORDENES'!$A588="","",IF('ORDENES'!$AC588="","-",'ORDENES'!$AC588))</f>
        <v/>
      </c>
      <c r="H610" s="3">
        <f>IF('ORDENES'!$A588="","",IF('ORDENES'!$AO588="","-",'ORDENES'!$AO588))</f>
        <v/>
      </c>
      <c r="I610" s="3">
        <f>IF('ORDENES'!$A588="","",IF('ORDENES'!$D588="","-",'ORDENES'!$D588))</f>
        <v/>
      </c>
      <c r="J610" s="3">
        <f>IF('ORDENES'!$A588="","",IF('ORDENES'!$E588="","-",'ORDENES'!$E588))</f>
        <v/>
      </c>
      <c r="K610" s="12">
        <f>IF('ORDENES'!$A588="","",IF('ORDENES'!$N588="",0,'ORDENES'!$N588))</f>
        <v/>
      </c>
      <c r="L610" s="3">
        <f>IF('ORDENES'!$A588="","",IF('ORDENES'!$O588="","-",'ORDENES'!$O588))</f>
        <v/>
      </c>
      <c r="M610" s="3">
        <f>IF('ORDENES'!$A588="","",'ORDENES'!$AB588)</f>
        <v/>
      </c>
    </row>
    <row r="611">
      <c r="A611" s="3">
        <f>IF('ORDENES'!$A589="","",IF('ORDENES'!$P589="","-",'ORDENES'!$P589))</f>
        <v/>
      </c>
      <c r="B611" s="3">
        <f>IF('ORDENES'!$A589="","",IF('ORDENES'!$S589="","-",'ORDENES'!$S589))</f>
        <v/>
      </c>
      <c r="C611" s="3">
        <f>IF('ORDENES'!$A589="","",IF('ORDENES'!$AD589="","-",'ORDENES'!$AD589))</f>
        <v/>
      </c>
      <c r="D611" s="3">
        <f>IF('ORDENES'!$A589="","",IF('ORDENES'!$W589="","-",'ORDENES'!$W589))</f>
        <v/>
      </c>
      <c r="E611" s="3">
        <f>IF('ORDENES'!$A589="","",IF('ORDENES'!$V589="","-",'ORDENES'!$V589))</f>
        <v/>
      </c>
      <c r="F611" s="3">
        <f>IF('ORDENES'!$A589="","",IF('ORDENES'!$X589="","-",'ORDENES'!$X589))</f>
        <v/>
      </c>
      <c r="G611" s="3">
        <f>IF('ORDENES'!$A589="","",IF('ORDENES'!$AC589="","-",'ORDENES'!$AC589))</f>
        <v/>
      </c>
      <c r="H611" s="3">
        <f>IF('ORDENES'!$A589="","",IF('ORDENES'!$AO589="","-",'ORDENES'!$AO589))</f>
        <v/>
      </c>
      <c r="I611" s="3">
        <f>IF('ORDENES'!$A589="","",IF('ORDENES'!$D589="","-",'ORDENES'!$D589))</f>
        <v/>
      </c>
      <c r="J611" s="3">
        <f>IF('ORDENES'!$A589="","",IF('ORDENES'!$E589="","-",'ORDENES'!$E589))</f>
        <v/>
      </c>
      <c r="K611" s="12">
        <f>IF('ORDENES'!$A589="","",IF('ORDENES'!$N589="",0,'ORDENES'!$N589))</f>
        <v/>
      </c>
      <c r="L611" s="3">
        <f>IF('ORDENES'!$A589="","",IF('ORDENES'!$O589="","-",'ORDENES'!$O589))</f>
        <v/>
      </c>
      <c r="M611" s="3">
        <f>IF('ORDENES'!$A589="","",'ORDENES'!$AB589)</f>
        <v/>
      </c>
    </row>
    <row r="612">
      <c r="A612" s="3">
        <f>IF('ORDENES'!$A590="","",IF('ORDENES'!$P590="","-",'ORDENES'!$P590))</f>
        <v/>
      </c>
      <c r="B612" s="3">
        <f>IF('ORDENES'!$A590="","",IF('ORDENES'!$S590="","-",'ORDENES'!$S590))</f>
        <v/>
      </c>
      <c r="C612" s="3">
        <f>IF('ORDENES'!$A590="","",IF('ORDENES'!$AD590="","-",'ORDENES'!$AD590))</f>
        <v/>
      </c>
      <c r="D612" s="3">
        <f>IF('ORDENES'!$A590="","",IF('ORDENES'!$W590="","-",'ORDENES'!$W590))</f>
        <v/>
      </c>
      <c r="E612" s="3">
        <f>IF('ORDENES'!$A590="","",IF('ORDENES'!$V590="","-",'ORDENES'!$V590))</f>
        <v/>
      </c>
      <c r="F612" s="3">
        <f>IF('ORDENES'!$A590="","",IF('ORDENES'!$X590="","-",'ORDENES'!$X590))</f>
        <v/>
      </c>
      <c r="G612" s="3">
        <f>IF('ORDENES'!$A590="","",IF('ORDENES'!$AC590="","-",'ORDENES'!$AC590))</f>
        <v/>
      </c>
      <c r="H612" s="3">
        <f>IF('ORDENES'!$A590="","",IF('ORDENES'!$AO590="","-",'ORDENES'!$AO590))</f>
        <v/>
      </c>
      <c r="I612" s="3">
        <f>IF('ORDENES'!$A590="","",IF('ORDENES'!$D590="","-",'ORDENES'!$D590))</f>
        <v/>
      </c>
      <c r="J612" s="3">
        <f>IF('ORDENES'!$A590="","",IF('ORDENES'!$E590="","-",'ORDENES'!$E590))</f>
        <v/>
      </c>
      <c r="K612" s="12">
        <f>IF('ORDENES'!$A590="","",IF('ORDENES'!$N590="",0,'ORDENES'!$N590))</f>
        <v/>
      </c>
      <c r="L612" s="3">
        <f>IF('ORDENES'!$A590="","",IF('ORDENES'!$O590="","-",'ORDENES'!$O590))</f>
        <v/>
      </c>
      <c r="M612" s="3">
        <f>IF('ORDENES'!$A590="","",'ORDENES'!$AB590)</f>
        <v/>
      </c>
    </row>
    <row r="613">
      <c r="A613" s="3">
        <f>IF('ORDENES'!$A591="","",IF('ORDENES'!$P591="","-",'ORDENES'!$P591))</f>
        <v/>
      </c>
      <c r="B613" s="3">
        <f>IF('ORDENES'!$A591="","",IF('ORDENES'!$S591="","-",'ORDENES'!$S591))</f>
        <v/>
      </c>
      <c r="C613" s="3">
        <f>IF('ORDENES'!$A591="","",IF('ORDENES'!$AD591="","-",'ORDENES'!$AD591))</f>
        <v/>
      </c>
      <c r="D613" s="3">
        <f>IF('ORDENES'!$A591="","",IF('ORDENES'!$W591="","-",'ORDENES'!$W591))</f>
        <v/>
      </c>
      <c r="E613" s="3">
        <f>IF('ORDENES'!$A591="","",IF('ORDENES'!$V591="","-",'ORDENES'!$V591))</f>
        <v/>
      </c>
      <c r="F613" s="3">
        <f>IF('ORDENES'!$A591="","",IF('ORDENES'!$X591="","-",'ORDENES'!$X591))</f>
        <v/>
      </c>
      <c r="G613" s="3">
        <f>IF('ORDENES'!$A591="","",IF('ORDENES'!$AC591="","-",'ORDENES'!$AC591))</f>
        <v/>
      </c>
      <c r="H613" s="3">
        <f>IF('ORDENES'!$A591="","",IF('ORDENES'!$AO591="","-",'ORDENES'!$AO591))</f>
        <v/>
      </c>
      <c r="I613" s="3">
        <f>IF('ORDENES'!$A591="","",IF('ORDENES'!$D591="","-",'ORDENES'!$D591))</f>
        <v/>
      </c>
      <c r="J613" s="3">
        <f>IF('ORDENES'!$A591="","",IF('ORDENES'!$E591="","-",'ORDENES'!$E591))</f>
        <v/>
      </c>
      <c r="K613" s="12">
        <f>IF('ORDENES'!$A591="","",IF('ORDENES'!$N591="",0,'ORDENES'!$N591))</f>
        <v/>
      </c>
      <c r="L613" s="3">
        <f>IF('ORDENES'!$A591="","",IF('ORDENES'!$O591="","-",'ORDENES'!$O591))</f>
        <v/>
      </c>
      <c r="M613" s="3">
        <f>IF('ORDENES'!$A591="","",'ORDENES'!$AB591)</f>
        <v/>
      </c>
    </row>
    <row r="614">
      <c r="A614" s="3">
        <f>IF('ORDENES'!$A592="","",IF('ORDENES'!$P592="","-",'ORDENES'!$P592))</f>
        <v/>
      </c>
      <c r="B614" s="3">
        <f>IF('ORDENES'!$A592="","",IF('ORDENES'!$S592="","-",'ORDENES'!$S592))</f>
        <v/>
      </c>
      <c r="C614" s="3">
        <f>IF('ORDENES'!$A592="","",IF('ORDENES'!$AD592="","-",'ORDENES'!$AD592))</f>
        <v/>
      </c>
      <c r="D614" s="3">
        <f>IF('ORDENES'!$A592="","",IF('ORDENES'!$W592="","-",'ORDENES'!$W592))</f>
        <v/>
      </c>
      <c r="E614" s="3">
        <f>IF('ORDENES'!$A592="","",IF('ORDENES'!$V592="","-",'ORDENES'!$V592))</f>
        <v/>
      </c>
      <c r="F614" s="3">
        <f>IF('ORDENES'!$A592="","",IF('ORDENES'!$X592="","-",'ORDENES'!$X592))</f>
        <v/>
      </c>
      <c r="G614" s="3">
        <f>IF('ORDENES'!$A592="","",IF('ORDENES'!$AC592="","-",'ORDENES'!$AC592))</f>
        <v/>
      </c>
      <c r="H614" s="3">
        <f>IF('ORDENES'!$A592="","",IF('ORDENES'!$AO592="","-",'ORDENES'!$AO592))</f>
        <v/>
      </c>
      <c r="I614" s="3">
        <f>IF('ORDENES'!$A592="","",IF('ORDENES'!$D592="","-",'ORDENES'!$D592))</f>
        <v/>
      </c>
      <c r="J614" s="3">
        <f>IF('ORDENES'!$A592="","",IF('ORDENES'!$E592="","-",'ORDENES'!$E592))</f>
        <v/>
      </c>
      <c r="K614" s="12">
        <f>IF('ORDENES'!$A592="","",IF('ORDENES'!$N592="",0,'ORDENES'!$N592))</f>
        <v/>
      </c>
      <c r="L614" s="3">
        <f>IF('ORDENES'!$A592="","",IF('ORDENES'!$O592="","-",'ORDENES'!$O592))</f>
        <v/>
      </c>
      <c r="M614" s="3">
        <f>IF('ORDENES'!$A592="","",'ORDENES'!$AB592)</f>
        <v/>
      </c>
    </row>
    <row r="615">
      <c r="A615" s="3">
        <f>IF('ORDENES'!$A593="","",IF('ORDENES'!$P593="","-",'ORDENES'!$P593))</f>
        <v/>
      </c>
      <c r="B615" s="3">
        <f>IF('ORDENES'!$A593="","",IF('ORDENES'!$S593="","-",'ORDENES'!$S593))</f>
        <v/>
      </c>
      <c r="C615" s="3">
        <f>IF('ORDENES'!$A593="","",IF('ORDENES'!$AD593="","-",'ORDENES'!$AD593))</f>
        <v/>
      </c>
      <c r="D615" s="3">
        <f>IF('ORDENES'!$A593="","",IF('ORDENES'!$W593="","-",'ORDENES'!$W593))</f>
        <v/>
      </c>
      <c r="E615" s="3">
        <f>IF('ORDENES'!$A593="","",IF('ORDENES'!$V593="","-",'ORDENES'!$V593))</f>
        <v/>
      </c>
      <c r="F615" s="3">
        <f>IF('ORDENES'!$A593="","",IF('ORDENES'!$X593="","-",'ORDENES'!$X593))</f>
        <v/>
      </c>
      <c r="G615" s="3">
        <f>IF('ORDENES'!$A593="","",IF('ORDENES'!$AC593="","-",'ORDENES'!$AC593))</f>
        <v/>
      </c>
      <c r="H615" s="3">
        <f>IF('ORDENES'!$A593="","",IF('ORDENES'!$AO593="","-",'ORDENES'!$AO593))</f>
        <v/>
      </c>
      <c r="I615" s="3">
        <f>IF('ORDENES'!$A593="","",IF('ORDENES'!$D593="","-",'ORDENES'!$D593))</f>
        <v/>
      </c>
      <c r="J615" s="3">
        <f>IF('ORDENES'!$A593="","",IF('ORDENES'!$E593="","-",'ORDENES'!$E593))</f>
        <v/>
      </c>
      <c r="K615" s="12">
        <f>IF('ORDENES'!$A593="","",IF('ORDENES'!$N593="",0,'ORDENES'!$N593))</f>
        <v/>
      </c>
      <c r="L615" s="3">
        <f>IF('ORDENES'!$A593="","",IF('ORDENES'!$O593="","-",'ORDENES'!$O593))</f>
        <v/>
      </c>
      <c r="M615" s="3">
        <f>IF('ORDENES'!$A593="","",'ORDENES'!$AB593)</f>
        <v/>
      </c>
    </row>
    <row r="616">
      <c r="A616" s="3">
        <f>IF('ORDENES'!$A594="","",IF('ORDENES'!$P594="","-",'ORDENES'!$P594))</f>
        <v/>
      </c>
      <c r="B616" s="3">
        <f>IF('ORDENES'!$A594="","",IF('ORDENES'!$S594="","-",'ORDENES'!$S594))</f>
        <v/>
      </c>
      <c r="C616" s="3">
        <f>IF('ORDENES'!$A594="","",IF('ORDENES'!$AD594="","-",'ORDENES'!$AD594))</f>
        <v/>
      </c>
      <c r="D616" s="3">
        <f>IF('ORDENES'!$A594="","",IF('ORDENES'!$W594="","-",'ORDENES'!$W594))</f>
        <v/>
      </c>
      <c r="E616" s="3">
        <f>IF('ORDENES'!$A594="","",IF('ORDENES'!$V594="","-",'ORDENES'!$V594))</f>
        <v/>
      </c>
      <c r="F616" s="3">
        <f>IF('ORDENES'!$A594="","",IF('ORDENES'!$X594="","-",'ORDENES'!$X594))</f>
        <v/>
      </c>
      <c r="G616" s="3">
        <f>IF('ORDENES'!$A594="","",IF('ORDENES'!$AC594="","-",'ORDENES'!$AC594))</f>
        <v/>
      </c>
      <c r="H616" s="3">
        <f>IF('ORDENES'!$A594="","",IF('ORDENES'!$AO594="","-",'ORDENES'!$AO594))</f>
        <v/>
      </c>
      <c r="I616" s="3">
        <f>IF('ORDENES'!$A594="","",IF('ORDENES'!$D594="","-",'ORDENES'!$D594))</f>
        <v/>
      </c>
      <c r="J616" s="3">
        <f>IF('ORDENES'!$A594="","",IF('ORDENES'!$E594="","-",'ORDENES'!$E594))</f>
        <v/>
      </c>
      <c r="K616" s="12">
        <f>IF('ORDENES'!$A594="","",IF('ORDENES'!$N594="",0,'ORDENES'!$N594))</f>
        <v/>
      </c>
      <c r="L616" s="3">
        <f>IF('ORDENES'!$A594="","",IF('ORDENES'!$O594="","-",'ORDENES'!$O594))</f>
        <v/>
      </c>
      <c r="M616" s="3">
        <f>IF('ORDENES'!$A594="","",'ORDENES'!$AB594)</f>
        <v/>
      </c>
    </row>
    <row r="617">
      <c r="A617" s="3">
        <f>IF('ORDENES'!$A595="","",IF('ORDENES'!$P595="","-",'ORDENES'!$P595))</f>
        <v/>
      </c>
      <c r="B617" s="3">
        <f>IF('ORDENES'!$A595="","",IF('ORDENES'!$S595="","-",'ORDENES'!$S595))</f>
        <v/>
      </c>
      <c r="C617" s="3">
        <f>IF('ORDENES'!$A595="","",IF('ORDENES'!$AD595="","-",'ORDENES'!$AD595))</f>
        <v/>
      </c>
      <c r="D617" s="3">
        <f>IF('ORDENES'!$A595="","",IF('ORDENES'!$W595="","-",'ORDENES'!$W595))</f>
        <v/>
      </c>
      <c r="E617" s="3">
        <f>IF('ORDENES'!$A595="","",IF('ORDENES'!$V595="","-",'ORDENES'!$V595))</f>
        <v/>
      </c>
      <c r="F617" s="3">
        <f>IF('ORDENES'!$A595="","",IF('ORDENES'!$X595="","-",'ORDENES'!$X595))</f>
        <v/>
      </c>
      <c r="G617" s="3">
        <f>IF('ORDENES'!$A595="","",IF('ORDENES'!$AC595="","-",'ORDENES'!$AC595))</f>
        <v/>
      </c>
      <c r="H617" s="3">
        <f>IF('ORDENES'!$A595="","",IF('ORDENES'!$AO595="","-",'ORDENES'!$AO595))</f>
        <v/>
      </c>
      <c r="I617" s="3">
        <f>IF('ORDENES'!$A595="","",IF('ORDENES'!$D595="","-",'ORDENES'!$D595))</f>
        <v/>
      </c>
      <c r="J617" s="3">
        <f>IF('ORDENES'!$A595="","",IF('ORDENES'!$E595="","-",'ORDENES'!$E595))</f>
        <v/>
      </c>
      <c r="K617" s="12">
        <f>IF('ORDENES'!$A595="","",IF('ORDENES'!$N595="",0,'ORDENES'!$N595))</f>
        <v/>
      </c>
      <c r="L617" s="3">
        <f>IF('ORDENES'!$A595="","",IF('ORDENES'!$O595="","-",'ORDENES'!$O595))</f>
        <v/>
      </c>
      <c r="M617" s="3">
        <f>IF('ORDENES'!$A595="","",'ORDENES'!$AB595)</f>
        <v/>
      </c>
    </row>
    <row r="618">
      <c r="A618" s="3">
        <f>IF('ORDENES'!$A596="","",IF('ORDENES'!$P596="","-",'ORDENES'!$P596))</f>
        <v/>
      </c>
      <c r="B618" s="3">
        <f>IF('ORDENES'!$A596="","",IF('ORDENES'!$S596="","-",'ORDENES'!$S596))</f>
        <v/>
      </c>
      <c r="C618" s="3">
        <f>IF('ORDENES'!$A596="","",IF('ORDENES'!$AD596="","-",'ORDENES'!$AD596))</f>
        <v/>
      </c>
      <c r="D618" s="3">
        <f>IF('ORDENES'!$A596="","",IF('ORDENES'!$W596="","-",'ORDENES'!$W596))</f>
        <v/>
      </c>
      <c r="E618" s="3">
        <f>IF('ORDENES'!$A596="","",IF('ORDENES'!$V596="","-",'ORDENES'!$V596))</f>
        <v/>
      </c>
      <c r="F618" s="3">
        <f>IF('ORDENES'!$A596="","",IF('ORDENES'!$X596="","-",'ORDENES'!$X596))</f>
        <v/>
      </c>
      <c r="G618" s="3">
        <f>IF('ORDENES'!$A596="","",IF('ORDENES'!$AC596="","-",'ORDENES'!$AC596))</f>
        <v/>
      </c>
      <c r="H618" s="3">
        <f>IF('ORDENES'!$A596="","",IF('ORDENES'!$AO596="","-",'ORDENES'!$AO596))</f>
        <v/>
      </c>
      <c r="I618" s="3">
        <f>IF('ORDENES'!$A596="","",IF('ORDENES'!$D596="","-",'ORDENES'!$D596))</f>
        <v/>
      </c>
      <c r="J618" s="3">
        <f>IF('ORDENES'!$A596="","",IF('ORDENES'!$E596="","-",'ORDENES'!$E596))</f>
        <v/>
      </c>
      <c r="K618" s="12">
        <f>IF('ORDENES'!$A596="","",IF('ORDENES'!$N596="",0,'ORDENES'!$N596))</f>
        <v/>
      </c>
      <c r="L618" s="3">
        <f>IF('ORDENES'!$A596="","",IF('ORDENES'!$O596="","-",'ORDENES'!$O596))</f>
        <v/>
      </c>
      <c r="M618" s="3">
        <f>IF('ORDENES'!$A596="","",'ORDENES'!$AB596)</f>
        <v/>
      </c>
    </row>
    <row r="619">
      <c r="A619" s="3">
        <f>IF('ORDENES'!$A597="","",IF('ORDENES'!$P597="","-",'ORDENES'!$P597))</f>
        <v/>
      </c>
      <c r="B619" s="3">
        <f>IF('ORDENES'!$A597="","",IF('ORDENES'!$S597="","-",'ORDENES'!$S597))</f>
        <v/>
      </c>
      <c r="C619" s="3">
        <f>IF('ORDENES'!$A597="","",IF('ORDENES'!$AD597="","-",'ORDENES'!$AD597))</f>
        <v/>
      </c>
      <c r="D619" s="3">
        <f>IF('ORDENES'!$A597="","",IF('ORDENES'!$W597="","-",'ORDENES'!$W597))</f>
        <v/>
      </c>
      <c r="E619" s="3">
        <f>IF('ORDENES'!$A597="","",IF('ORDENES'!$V597="","-",'ORDENES'!$V597))</f>
        <v/>
      </c>
      <c r="F619" s="3">
        <f>IF('ORDENES'!$A597="","",IF('ORDENES'!$X597="","-",'ORDENES'!$X597))</f>
        <v/>
      </c>
      <c r="G619" s="3">
        <f>IF('ORDENES'!$A597="","",IF('ORDENES'!$AC597="","-",'ORDENES'!$AC597))</f>
        <v/>
      </c>
      <c r="H619" s="3">
        <f>IF('ORDENES'!$A597="","",IF('ORDENES'!$AO597="","-",'ORDENES'!$AO597))</f>
        <v/>
      </c>
      <c r="I619" s="3">
        <f>IF('ORDENES'!$A597="","",IF('ORDENES'!$D597="","-",'ORDENES'!$D597))</f>
        <v/>
      </c>
      <c r="J619" s="3">
        <f>IF('ORDENES'!$A597="","",IF('ORDENES'!$E597="","-",'ORDENES'!$E597))</f>
        <v/>
      </c>
      <c r="K619" s="12">
        <f>IF('ORDENES'!$A597="","",IF('ORDENES'!$N597="",0,'ORDENES'!$N597))</f>
        <v/>
      </c>
      <c r="L619" s="3">
        <f>IF('ORDENES'!$A597="","",IF('ORDENES'!$O597="","-",'ORDENES'!$O597))</f>
        <v/>
      </c>
      <c r="M619" s="3">
        <f>IF('ORDENES'!$A597="","",'ORDENES'!$AB597)</f>
        <v/>
      </c>
    </row>
    <row r="620">
      <c r="A620" s="3">
        <f>IF('ORDENES'!$A598="","",IF('ORDENES'!$P598="","-",'ORDENES'!$P598))</f>
        <v/>
      </c>
      <c r="B620" s="3">
        <f>IF('ORDENES'!$A598="","",IF('ORDENES'!$S598="","-",'ORDENES'!$S598))</f>
        <v/>
      </c>
      <c r="C620" s="3">
        <f>IF('ORDENES'!$A598="","",IF('ORDENES'!$AD598="","-",'ORDENES'!$AD598))</f>
        <v/>
      </c>
      <c r="D620" s="3">
        <f>IF('ORDENES'!$A598="","",IF('ORDENES'!$W598="","-",'ORDENES'!$W598))</f>
        <v/>
      </c>
      <c r="E620" s="3">
        <f>IF('ORDENES'!$A598="","",IF('ORDENES'!$V598="","-",'ORDENES'!$V598))</f>
        <v/>
      </c>
      <c r="F620" s="3">
        <f>IF('ORDENES'!$A598="","",IF('ORDENES'!$X598="","-",'ORDENES'!$X598))</f>
        <v/>
      </c>
      <c r="G620" s="3">
        <f>IF('ORDENES'!$A598="","",IF('ORDENES'!$AC598="","-",'ORDENES'!$AC598))</f>
        <v/>
      </c>
      <c r="H620" s="3">
        <f>IF('ORDENES'!$A598="","",IF('ORDENES'!$AO598="","-",'ORDENES'!$AO598))</f>
        <v/>
      </c>
      <c r="I620" s="3">
        <f>IF('ORDENES'!$A598="","",IF('ORDENES'!$D598="","-",'ORDENES'!$D598))</f>
        <v/>
      </c>
      <c r="J620" s="3">
        <f>IF('ORDENES'!$A598="","",IF('ORDENES'!$E598="","-",'ORDENES'!$E598))</f>
        <v/>
      </c>
      <c r="K620" s="12">
        <f>IF('ORDENES'!$A598="","",IF('ORDENES'!$N598="",0,'ORDENES'!$N598))</f>
        <v/>
      </c>
      <c r="L620" s="3">
        <f>IF('ORDENES'!$A598="","",IF('ORDENES'!$O598="","-",'ORDENES'!$O598))</f>
        <v/>
      </c>
      <c r="M620" s="3">
        <f>IF('ORDENES'!$A598="","",'ORDENES'!$AB598)</f>
        <v/>
      </c>
    </row>
    <row r="621">
      <c r="A621" s="3">
        <f>IF('ORDENES'!$A599="","",IF('ORDENES'!$P599="","-",'ORDENES'!$P599))</f>
        <v/>
      </c>
      <c r="B621" s="3">
        <f>IF('ORDENES'!$A599="","",IF('ORDENES'!$S599="","-",'ORDENES'!$S599))</f>
        <v/>
      </c>
      <c r="C621" s="3">
        <f>IF('ORDENES'!$A599="","",IF('ORDENES'!$AD599="","-",'ORDENES'!$AD599))</f>
        <v/>
      </c>
      <c r="D621" s="3">
        <f>IF('ORDENES'!$A599="","",IF('ORDENES'!$W599="","-",'ORDENES'!$W599))</f>
        <v/>
      </c>
      <c r="E621" s="3">
        <f>IF('ORDENES'!$A599="","",IF('ORDENES'!$V599="","-",'ORDENES'!$V599))</f>
        <v/>
      </c>
      <c r="F621" s="3">
        <f>IF('ORDENES'!$A599="","",IF('ORDENES'!$X599="","-",'ORDENES'!$X599))</f>
        <v/>
      </c>
      <c r="G621" s="3">
        <f>IF('ORDENES'!$A599="","",IF('ORDENES'!$AC599="","-",'ORDENES'!$AC599))</f>
        <v/>
      </c>
      <c r="H621" s="3">
        <f>IF('ORDENES'!$A599="","",IF('ORDENES'!$AO599="","-",'ORDENES'!$AO599))</f>
        <v/>
      </c>
      <c r="I621" s="3">
        <f>IF('ORDENES'!$A599="","",IF('ORDENES'!$D599="","-",'ORDENES'!$D599))</f>
        <v/>
      </c>
      <c r="J621" s="3">
        <f>IF('ORDENES'!$A599="","",IF('ORDENES'!$E599="","-",'ORDENES'!$E599))</f>
        <v/>
      </c>
      <c r="K621" s="12">
        <f>IF('ORDENES'!$A599="","",IF('ORDENES'!$N599="",0,'ORDENES'!$N599))</f>
        <v/>
      </c>
      <c r="L621" s="3">
        <f>IF('ORDENES'!$A599="","",IF('ORDENES'!$O599="","-",'ORDENES'!$O599))</f>
        <v/>
      </c>
      <c r="M621" s="3">
        <f>IF('ORDENES'!$A599="","",'ORDENES'!$AB599)</f>
        <v/>
      </c>
    </row>
    <row r="622">
      <c r="A622" s="3">
        <f>IF('ORDENES'!$A600="","",IF('ORDENES'!$P600="","-",'ORDENES'!$P600))</f>
        <v/>
      </c>
      <c r="B622" s="3">
        <f>IF('ORDENES'!$A600="","",IF('ORDENES'!$S600="","-",'ORDENES'!$S600))</f>
        <v/>
      </c>
      <c r="C622" s="3">
        <f>IF('ORDENES'!$A600="","",IF('ORDENES'!$AD600="","-",'ORDENES'!$AD600))</f>
        <v/>
      </c>
      <c r="D622" s="3">
        <f>IF('ORDENES'!$A600="","",IF('ORDENES'!$W600="","-",'ORDENES'!$W600))</f>
        <v/>
      </c>
      <c r="E622" s="3">
        <f>IF('ORDENES'!$A600="","",IF('ORDENES'!$V600="","-",'ORDENES'!$V600))</f>
        <v/>
      </c>
      <c r="F622" s="3">
        <f>IF('ORDENES'!$A600="","",IF('ORDENES'!$X600="","-",'ORDENES'!$X600))</f>
        <v/>
      </c>
      <c r="G622" s="3">
        <f>IF('ORDENES'!$A600="","",IF('ORDENES'!$AC600="","-",'ORDENES'!$AC600))</f>
        <v/>
      </c>
      <c r="H622" s="3">
        <f>IF('ORDENES'!$A600="","",IF('ORDENES'!$AO600="","-",'ORDENES'!$AO600))</f>
        <v/>
      </c>
      <c r="I622" s="3">
        <f>IF('ORDENES'!$A600="","",IF('ORDENES'!$D600="","-",'ORDENES'!$D600))</f>
        <v/>
      </c>
      <c r="J622" s="3">
        <f>IF('ORDENES'!$A600="","",IF('ORDENES'!$E600="","-",'ORDENES'!$E600))</f>
        <v/>
      </c>
      <c r="K622" s="12">
        <f>IF('ORDENES'!$A600="","",IF('ORDENES'!$N600="",0,'ORDENES'!$N600))</f>
        <v/>
      </c>
      <c r="L622" s="3">
        <f>IF('ORDENES'!$A600="","",IF('ORDENES'!$O600="","-",'ORDENES'!$O600))</f>
        <v/>
      </c>
      <c r="M622" s="3">
        <f>IF('ORDENES'!$A600="","",'ORDENES'!$AB600)</f>
        <v/>
      </c>
    </row>
    <row r="623">
      <c r="A623" s="3">
        <f>IF('ORDENES'!$A601="","",IF('ORDENES'!$P601="","-",'ORDENES'!$P601))</f>
        <v/>
      </c>
      <c r="B623" s="3">
        <f>IF('ORDENES'!$A601="","",IF('ORDENES'!$S601="","-",'ORDENES'!$S601))</f>
        <v/>
      </c>
      <c r="C623" s="3">
        <f>IF('ORDENES'!$A601="","",IF('ORDENES'!$AD601="","-",'ORDENES'!$AD601))</f>
        <v/>
      </c>
      <c r="D623" s="3">
        <f>IF('ORDENES'!$A601="","",IF('ORDENES'!$W601="","-",'ORDENES'!$W601))</f>
        <v/>
      </c>
      <c r="E623" s="3">
        <f>IF('ORDENES'!$A601="","",IF('ORDENES'!$V601="","-",'ORDENES'!$V601))</f>
        <v/>
      </c>
      <c r="F623" s="3">
        <f>IF('ORDENES'!$A601="","",IF('ORDENES'!$X601="","-",'ORDENES'!$X601))</f>
        <v/>
      </c>
      <c r="G623" s="3">
        <f>IF('ORDENES'!$A601="","",IF('ORDENES'!$AC601="","-",'ORDENES'!$AC601))</f>
        <v/>
      </c>
      <c r="H623" s="3">
        <f>IF('ORDENES'!$A601="","",IF('ORDENES'!$AO601="","-",'ORDENES'!$AO601))</f>
        <v/>
      </c>
      <c r="I623" s="3">
        <f>IF('ORDENES'!$A601="","",IF('ORDENES'!$D601="","-",'ORDENES'!$D601))</f>
        <v/>
      </c>
      <c r="J623" s="3">
        <f>IF('ORDENES'!$A601="","",IF('ORDENES'!$E601="","-",'ORDENES'!$E601))</f>
        <v/>
      </c>
      <c r="K623" s="12">
        <f>IF('ORDENES'!$A601="","",IF('ORDENES'!$N601="",0,'ORDENES'!$N601))</f>
        <v/>
      </c>
      <c r="L623" s="3">
        <f>IF('ORDENES'!$A601="","",IF('ORDENES'!$O601="","-",'ORDENES'!$O601))</f>
        <v/>
      </c>
      <c r="M623" s="3">
        <f>IF('ORDENES'!$A601="","",'ORDENES'!$AB601)</f>
        <v/>
      </c>
    </row>
    <row r="624">
      <c r="A624" s="3">
        <f>IF('ORDENES'!$A602="","",IF('ORDENES'!$P602="","-",'ORDENES'!$P602))</f>
        <v/>
      </c>
      <c r="B624" s="3">
        <f>IF('ORDENES'!$A602="","",IF('ORDENES'!$S602="","-",'ORDENES'!$S602))</f>
        <v/>
      </c>
      <c r="C624" s="3">
        <f>IF('ORDENES'!$A602="","",IF('ORDENES'!$AD602="","-",'ORDENES'!$AD602))</f>
        <v/>
      </c>
      <c r="D624" s="3">
        <f>IF('ORDENES'!$A602="","",IF('ORDENES'!$W602="","-",'ORDENES'!$W602))</f>
        <v/>
      </c>
      <c r="E624" s="3">
        <f>IF('ORDENES'!$A602="","",IF('ORDENES'!$V602="","-",'ORDENES'!$V602))</f>
        <v/>
      </c>
      <c r="F624" s="3">
        <f>IF('ORDENES'!$A602="","",IF('ORDENES'!$X602="","-",'ORDENES'!$X602))</f>
        <v/>
      </c>
      <c r="G624" s="3">
        <f>IF('ORDENES'!$A602="","",IF('ORDENES'!$AC602="","-",'ORDENES'!$AC602))</f>
        <v/>
      </c>
      <c r="H624" s="3">
        <f>IF('ORDENES'!$A602="","",IF('ORDENES'!$AO602="","-",'ORDENES'!$AO602))</f>
        <v/>
      </c>
      <c r="I624" s="3">
        <f>IF('ORDENES'!$A602="","",IF('ORDENES'!$D602="","-",'ORDENES'!$D602))</f>
        <v/>
      </c>
      <c r="J624" s="3">
        <f>IF('ORDENES'!$A602="","",IF('ORDENES'!$E602="","-",'ORDENES'!$E602))</f>
        <v/>
      </c>
      <c r="K624" s="12">
        <f>IF('ORDENES'!$A602="","",IF('ORDENES'!$N602="",0,'ORDENES'!$N602))</f>
        <v/>
      </c>
      <c r="L624" s="3">
        <f>IF('ORDENES'!$A602="","",IF('ORDENES'!$O602="","-",'ORDENES'!$O602))</f>
        <v/>
      </c>
      <c r="M624" s="3">
        <f>IF('ORDENES'!$A602="","",'ORDENES'!$AB602)</f>
        <v/>
      </c>
    </row>
    <row r="625">
      <c r="A625" s="3">
        <f>IF('ORDENES'!$A603="","",IF('ORDENES'!$P603="","-",'ORDENES'!$P603))</f>
        <v/>
      </c>
      <c r="B625" s="3">
        <f>IF('ORDENES'!$A603="","",IF('ORDENES'!$S603="","-",'ORDENES'!$S603))</f>
        <v/>
      </c>
      <c r="C625" s="3">
        <f>IF('ORDENES'!$A603="","",IF('ORDENES'!$AD603="","-",'ORDENES'!$AD603))</f>
        <v/>
      </c>
      <c r="D625" s="3">
        <f>IF('ORDENES'!$A603="","",IF('ORDENES'!$W603="","-",'ORDENES'!$W603))</f>
        <v/>
      </c>
      <c r="E625" s="3">
        <f>IF('ORDENES'!$A603="","",IF('ORDENES'!$V603="","-",'ORDENES'!$V603))</f>
        <v/>
      </c>
      <c r="F625" s="3">
        <f>IF('ORDENES'!$A603="","",IF('ORDENES'!$X603="","-",'ORDENES'!$X603))</f>
        <v/>
      </c>
      <c r="G625" s="3">
        <f>IF('ORDENES'!$A603="","",IF('ORDENES'!$AC603="","-",'ORDENES'!$AC603))</f>
        <v/>
      </c>
      <c r="H625" s="3">
        <f>IF('ORDENES'!$A603="","",IF('ORDENES'!$AO603="","-",'ORDENES'!$AO603))</f>
        <v/>
      </c>
      <c r="I625" s="3">
        <f>IF('ORDENES'!$A603="","",IF('ORDENES'!$D603="","-",'ORDENES'!$D603))</f>
        <v/>
      </c>
      <c r="J625" s="3">
        <f>IF('ORDENES'!$A603="","",IF('ORDENES'!$E603="","-",'ORDENES'!$E603))</f>
        <v/>
      </c>
      <c r="K625" s="12">
        <f>IF('ORDENES'!$A603="","",IF('ORDENES'!$N603="",0,'ORDENES'!$N603))</f>
        <v/>
      </c>
      <c r="L625" s="3">
        <f>IF('ORDENES'!$A603="","",IF('ORDENES'!$O603="","-",'ORDENES'!$O603))</f>
        <v/>
      </c>
      <c r="M625" s="3">
        <f>IF('ORDENES'!$A603="","",'ORDENES'!$AB603)</f>
        <v/>
      </c>
    </row>
    <row r="626">
      <c r="A626" s="3">
        <f>IF('ORDENES'!$A604="","",IF('ORDENES'!$P604="","-",'ORDENES'!$P604))</f>
        <v/>
      </c>
      <c r="B626" s="3">
        <f>IF('ORDENES'!$A604="","",IF('ORDENES'!$S604="","-",'ORDENES'!$S604))</f>
        <v/>
      </c>
      <c r="C626" s="3">
        <f>IF('ORDENES'!$A604="","",IF('ORDENES'!$AD604="","-",'ORDENES'!$AD604))</f>
        <v/>
      </c>
      <c r="D626" s="3">
        <f>IF('ORDENES'!$A604="","",IF('ORDENES'!$W604="","-",'ORDENES'!$W604))</f>
        <v/>
      </c>
      <c r="E626" s="3">
        <f>IF('ORDENES'!$A604="","",IF('ORDENES'!$V604="","-",'ORDENES'!$V604))</f>
        <v/>
      </c>
      <c r="F626" s="3">
        <f>IF('ORDENES'!$A604="","",IF('ORDENES'!$X604="","-",'ORDENES'!$X604))</f>
        <v/>
      </c>
      <c r="G626" s="3">
        <f>IF('ORDENES'!$A604="","",IF('ORDENES'!$AC604="","-",'ORDENES'!$AC604))</f>
        <v/>
      </c>
      <c r="H626" s="3">
        <f>IF('ORDENES'!$A604="","",IF('ORDENES'!$AO604="","-",'ORDENES'!$AO604))</f>
        <v/>
      </c>
      <c r="I626" s="3">
        <f>IF('ORDENES'!$A604="","",IF('ORDENES'!$D604="","-",'ORDENES'!$D604))</f>
        <v/>
      </c>
      <c r="J626" s="3">
        <f>IF('ORDENES'!$A604="","",IF('ORDENES'!$E604="","-",'ORDENES'!$E604))</f>
        <v/>
      </c>
      <c r="K626" s="12">
        <f>IF('ORDENES'!$A604="","",IF('ORDENES'!$N604="",0,'ORDENES'!$N604))</f>
        <v/>
      </c>
      <c r="L626" s="3">
        <f>IF('ORDENES'!$A604="","",IF('ORDENES'!$O604="","-",'ORDENES'!$O604))</f>
        <v/>
      </c>
      <c r="M626" s="3">
        <f>IF('ORDENES'!$A604="","",'ORDENES'!$AB604)</f>
        <v/>
      </c>
    </row>
    <row r="627">
      <c r="A627" s="3">
        <f>IF('ORDENES'!$A605="","",IF('ORDENES'!$P605="","-",'ORDENES'!$P605))</f>
        <v/>
      </c>
      <c r="B627" s="3">
        <f>IF('ORDENES'!$A605="","",IF('ORDENES'!$S605="","-",'ORDENES'!$S605))</f>
        <v/>
      </c>
      <c r="C627" s="3">
        <f>IF('ORDENES'!$A605="","",IF('ORDENES'!$AD605="","-",'ORDENES'!$AD605))</f>
        <v/>
      </c>
      <c r="D627" s="3">
        <f>IF('ORDENES'!$A605="","",IF('ORDENES'!$W605="","-",'ORDENES'!$W605))</f>
        <v/>
      </c>
      <c r="E627" s="3">
        <f>IF('ORDENES'!$A605="","",IF('ORDENES'!$V605="","-",'ORDENES'!$V605))</f>
        <v/>
      </c>
      <c r="F627" s="3">
        <f>IF('ORDENES'!$A605="","",IF('ORDENES'!$X605="","-",'ORDENES'!$X605))</f>
        <v/>
      </c>
      <c r="G627" s="3">
        <f>IF('ORDENES'!$A605="","",IF('ORDENES'!$AC605="","-",'ORDENES'!$AC605))</f>
        <v/>
      </c>
      <c r="H627" s="3">
        <f>IF('ORDENES'!$A605="","",IF('ORDENES'!$AO605="","-",'ORDENES'!$AO605))</f>
        <v/>
      </c>
      <c r="I627" s="3">
        <f>IF('ORDENES'!$A605="","",IF('ORDENES'!$D605="","-",'ORDENES'!$D605))</f>
        <v/>
      </c>
      <c r="J627" s="3">
        <f>IF('ORDENES'!$A605="","",IF('ORDENES'!$E605="","-",'ORDENES'!$E605))</f>
        <v/>
      </c>
      <c r="K627" s="12">
        <f>IF('ORDENES'!$A605="","",IF('ORDENES'!$N605="",0,'ORDENES'!$N605))</f>
        <v/>
      </c>
      <c r="L627" s="3">
        <f>IF('ORDENES'!$A605="","",IF('ORDENES'!$O605="","-",'ORDENES'!$O605))</f>
        <v/>
      </c>
      <c r="M627" s="3">
        <f>IF('ORDENES'!$A605="","",'ORDENES'!$AB605)</f>
        <v/>
      </c>
    </row>
    <row r="628">
      <c r="A628" s="3">
        <f>IF('ORDENES'!$A606="","",IF('ORDENES'!$P606="","-",'ORDENES'!$P606))</f>
        <v/>
      </c>
      <c r="B628" s="3">
        <f>IF('ORDENES'!$A606="","",IF('ORDENES'!$S606="","-",'ORDENES'!$S606))</f>
        <v/>
      </c>
      <c r="C628" s="3">
        <f>IF('ORDENES'!$A606="","",IF('ORDENES'!$AD606="","-",'ORDENES'!$AD606))</f>
        <v/>
      </c>
      <c r="D628" s="3">
        <f>IF('ORDENES'!$A606="","",IF('ORDENES'!$W606="","-",'ORDENES'!$W606))</f>
        <v/>
      </c>
      <c r="E628" s="3">
        <f>IF('ORDENES'!$A606="","",IF('ORDENES'!$V606="","-",'ORDENES'!$V606))</f>
        <v/>
      </c>
      <c r="F628" s="3">
        <f>IF('ORDENES'!$A606="","",IF('ORDENES'!$X606="","-",'ORDENES'!$X606))</f>
        <v/>
      </c>
      <c r="G628" s="3">
        <f>IF('ORDENES'!$A606="","",IF('ORDENES'!$AC606="","-",'ORDENES'!$AC606))</f>
        <v/>
      </c>
      <c r="H628" s="3">
        <f>IF('ORDENES'!$A606="","",IF('ORDENES'!$AO606="","-",'ORDENES'!$AO606))</f>
        <v/>
      </c>
      <c r="I628" s="3">
        <f>IF('ORDENES'!$A606="","",IF('ORDENES'!$D606="","-",'ORDENES'!$D606))</f>
        <v/>
      </c>
      <c r="J628" s="3">
        <f>IF('ORDENES'!$A606="","",IF('ORDENES'!$E606="","-",'ORDENES'!$E606))</f>
        <v/>
      </c>
      <c r="K628" s="12">
        <f>IF('ORDENES'!$A606="","",IF('ORDENES'!$N606="",0,'ORDENES'!$N606))</f>
        <v/>
      </c>
      <c r="L628" s="3">
        <f>IF('ORDENES'!$A606="","",IF('ORDENES'!$O606="","-",'ORDENES'!$O606))</f>
        <v/>
      </c>
      <c r="M628" s="3">
        <f>IF('ORDENES'!$A606="","",'ORDENES'!$AB606)</f>
        <v/>
      </c>
    </row>
    <row r="629">
      <c r="A629" s="3">
        <f>IF('ORDENES'!$A607="","",IF('ORDENES'!$P607="","-",'ORDENES'!$P607))</f>
        <v/>
      </c>
      <c r="B629" s="3">
        <f>IF('ORDENES'!$A607="","",IF('ORDENES'!$S607="","-",'ORDENES'!$S607))</f>
        <v/>
      </c>
      <c r="C629" s="3">
        <f>IF('ORDENES'!$A607="","",IF('ORDENES'!$AD607="","-",'ORDENES'!$AD607))</f>
        <v/>
      </c>
      <c r="D629" s="3">
        <f>IF('ORDENES'!$A607="","",IF('ORDENES'!$W607="","-",'ORDENES'!$W607))</f>
        <v/>
      </c>
      <c r="E629" s="3">
        <f>IF('ORDENES'!$A607="","",IF('ORDENES'!$V607="","-",'ORDENES'!$V607))</f>
        <v/>
      </c>
      <c r="F629" s="3">
        <f>IF('ORDENES'!$A607="","",IF('ORDENES'!$X607="","-",'ORDENES'!$X607))</f>
        <v/>
      </c>
      <c r="G629" s="3">
        <f>IF('ORDENES'!$A607="","",IF('ORDENES'!$AC607="","-",'ORDENES'!$AC607))</f>
        <v/>
      </c>
      <c r="H629" s="3">
        <f>IF('ORDENES'!$A607="","",IF('ORDENES'!$AO607="","-",'ORDENES'!$AO607))</f>
        <v/>
      </c>
      <c r="I629" s="3">
        <f>IF('ORDENES'!$A607="","",IF('ORDENES'!$D607="","-",'ORDENES'!$D607))</f>
        <v/>
      </c>
      <c r="J629" s="3">
        <f>IF('ORDENES'!$A607="","",IF('ORDENES'!$E607="","-",'ORDENES'!$E607))</f>
        <v/>
      </c>
      <c r="K629" s="12">
        <f>IF('ORDENES'!$A607="","",IF('ORDENES'!$N607="",0,'ORDENES'!$N607))</f>
        <v/>
      </c>
      <c r="L629" s="3">
        <f>IF('ORDENES'!$A607="","",IF('ORDENES'!$O607="","-",'ORDENES'!$O607))</f>
        <v/>
      </c>
      <c r="M629" s="3">
        <f>IF('ORDENES'!$A607="","",'ORDENES'!$AB607)</f>
        <v/>
      </c>
    </row>
    <row r="630">
      <c r="A630" s="3">
        <f>IF('ORDENES'!$A608="","",IF('ORDENES'!$P608="","-",'ORDENES'!$P608))</f>
        <v/>
      </c>
      <c r="B630" s="3">
        <f>IF('ORDENES'!$A608="","",IF('ORDENES'!$S608="","-",'ORDENES'!$S608))</f>
        <v/>
      </c>
      <c r="C630" s="3">
        <f>IF('ORDENES'!$A608="","",IF('ORDENES'!$AD608="","-",'ORDENES'!$AD608))</f>
        <v/>
      </c>
      <c r="D630" s="3">
        <f>IF('ORDENES'!$A608="","",IF('ORDENES'!$W608="","-",'ORDENES'!$W608))</f>
        <v/>
      </c>
      <c r="E630" s="3">
        <f>IF('ORDENES'!$A608="","",IF('ORDENES'!$V608="","-",'ORDENES'!$V608))</f>
        <v/>
      </c>
      <c r="F630" s="3">
        <f>IF('ORDENES'!$A608="","",IF('ORDENES'!$X608="","-",'ORDENES'!$X608))</f>
        <v/>
      </c>
      <c r="G630" s="3">
        <f>IF('ORDENES'!$A608="","",IF('ORDENES'!$AC608="","-",'ORDENES'!$AC608))</f>
        <v/>
      </c>
      <c r="H630" s="3">
        <f>IF('ORDENES'!$A608="","",IF('ORDENES'!$AO608="","-",'ORDENES'!$AO608))</f>
        <v/>
      </c>
      <c r="I630" s="3">
        <f>IF('ORDENES'!$A608="","",IF('ORDENES'!$D608="","-",'ORDENES'!$D608))</f>
        <v/>
      </c>
      <c r="J630" s="3">
        <f>IF('ORDENES'!$A608="","",IF('ORDENES'!$E608="","-",'ORDENES'!$E608))</f>
        <v/>
      </c>
      <c r="K630" s="12">
        <f>IF('ORDENES'!$A608="","",IF('ORDENES'!$N608="",0,'ORDENES'!$N608))</f>
        <v/>
      </c>
      <c r="L630" s="3">
        <f>IF('ORDENES'!$A608="","",IF('ORDENES'!$O608="","-",'ORDENES'!$O608))</f>
        <v/>
      </c>
      <c r="M630" s="3">
        <f>IF('ORDENES'!$A608="","",'ORDENES'!$AB608)</f>
        <v/>
      </c>
    </row>
    <row r="631">
      <c r="A631" s="3">
        <f>IF('ORDENES'!$A609="","",IF('ORDENES'!$P609="","-",'ORDENES'!$P609))</f>
        <v/>
      </c>
      <c r="B631" s="3">
        <f>IF('ORDENES'!$A609="","",IF('ORDENES'!$S609="","-",'ORDENES'!$S609))</f>
        <v/>
      </c>
      <c r="C631" s="3">
        <f>IF('ORDENES'!$A609="","",IF('ORDENES'!$AD609="","-",'ORDENES'!$AD609))</f>
        <v/>
      </c>
      <c r="D631" s="3">
        <f>IF('ORDENES'!$A609="","",IF('ORDENES'!$W609="","-",'ORDENES'!$W609))</f>
        <v/>
      </c>
      <c r="E631" s="3">
        <f>IF('ORDENES'!$A609="","",IF('ORDENES'!$V609="","-",'ORDENES'!$V609))</f>
        <v/>
      </c>
      <c r="F631" s="3">
        <f>IF('ORDENES'!$A609="","",IF('ORDENES'!$X609="","-",'ORDENES'!$X609))</f>
        <v/>
      </c>
      <c r="G631" s="3">
        <f>IF('ORDENES'!$A609="","",IF('ORDENES'!$AC609="","-",'ORDENES'!$AC609))</f>
        <v/>
      </c>
      <c r="H631" s="3">
        <f>IF('ORDENES'!$A609="","",IF('ORDENES'!$AO609="","-",'ORDENES'!$AO609))</f>
        <v/>
      </c>
      <c r="I631" s="3">
        <f>IF('ORDENES'!$A609="","",IF('ORDENES'!$D609="","-",'ORDENES'!$D609))</f>
        <v/>
      </c>
      <c r="J631" s="3">
        <f>IF('ORDENES'!$A609="","",IF('ORDENES'!$E609="","-",'ORDENES'!$E609))</f>
        <v/>
      </c>
      <c r="K631" s="12">
        <f>IF('ORDENES'!$A609="","",IF('ORDENES'!$N609="",0,'ORDENES'!$N609))</f>
        <v/>
      </c>
      <c r="L631" s="3">
        <f>IF('ORDENES'!$A609="","",IF('ORDENES'!$O609="","-",'ORDENES'!$O609))</f>
        <v/>
      </c>
      <c r="M631" s="3">
        <f>IF('ORDENES'!$A609="","",'ORDENES'!$AB609)</f>
        <v/>
      </c>
    </row>
    <row r="632">
      <c r="A632" s="3">
        <f>IF('ORDENES'!$A610="","",IF('ORDENES'!$P610="","-",'ORDENES'!$P610))</f>
        <v/>
      </c>
      <c r="B632" s="3">
        <f>IF('ORDENES'!$A610="","",IF('ORDENES'!$S610="","-",'ORDENES'!$S610))</f>
        <v/>
      </c>
      <c r="C632" s="3">
        <f>IF('ORDENES'!$A610="","",IF('ORDENES'!$AD610="","-",'ORDENES'!$AD610))</f>
        <v/>
      </c>
      <c r="D632" s="3">
        <f>IF('ORDENES'!$A610="","",IF('ORDENES'!$W610="","-",'ORDENES'!$W610))</f>
        <v/>
      </c>
      <c r="E632" s="3">
        <f>IF('ORDENES'!$A610="","",IF('ORDENES'!$V610="","-",'ORDENES'!$V610))</f>
        <v/>
      </c>
      <c r="F632" s="3">
        <f>IF('ORDENES'!$A610="","",IF('ORDENES'!$X610="","-",'ORDENES'!$X610))</f>
        <v/>
      </c>
      <c r="G632" s="3">
        <f>IF('ORDENES'!$A610="","",IF('ORDENES'!$AC610="","-",'ORDENES'!$AC610))</f>
        <v/>
      </c>
      <c r="H632" s="3">
        <f>IF('ORDENES'!$A610="","",IF('ORDENES'!$AO610="","-",'ORDENES'!$AO610))</f>
        <v/>
      </c>
      <c r="I632" s="3">
        <f>IF('ORDENES'!$A610="","",IF('ORDENES'!$D610="","-",'ORDENES'!$D610))</f>
        <v/>
      </c>
      <c r="J632" s="3">
        <f>IF('ORDENES'!$A610="","",IF('ORDENES'!$E610="","-",'ORDENES'!$E610))</f>
        <v/>
      </c>
      <c r="K632" s="12">
        <f>IF('ORDENES'!$A610="","",IF('ORDENES'!$N610="",0,'ORDENES'!$N610))</f>
        <v/>
      </c>
      <c r="L632" s="3">
        <f>IF('ORDENES'!$A610="","",IF('ORDENES'!$O610="","-",'ORDENES'!$O610))</f>
        <v/>
      </c>
      <c r="M632" s="3">
        <f>IF('ORDENES'!$A610="","",'ORDENES'!$AB610)</f>
        <v/>
      </c>
    </row>
    <row r="633">
      <c r="A633" s="3">
        <f>IF('ORDENES'!$A611="","",IF('ORDENES'!$P611="","-",'ORDENES'!$P611))</f>
        <v/>
      </c>
      <c r="B633" s="3">
        <f>IF('ORDENES'!$A611="","",IF('ORDENES'!$S611="","-",'ORDENES'!$S611))</f>
        <v/>
      </c>
      <c r="C633" s="3">
        <f>IF('ORDENES'!$A611="","",IF('ORDENES'!$AD611="","-",'ORDENES'!$AD611))</f>
        <v/>
      </c>
      <c r="D633" s="3">
        <f>IF('ORDENES'!$A611="","",IF('ORDENES'!$W611="","-",'ORDENES'!$W611))</f>
        <v/>
      </c>
      <c r="E633" s="3">
        <f>IF('ORDENES'!$A611="","",IF('ORDENES'!$V611="","-",'ORDENES'!$V611))</f>
        <v/>
      </c>
      <c r="F633" s="3">
        <f>IF('ORDENES'!$A611="","",IF('ORDENES'!$X611="","-",'ORDENES'!$X611))</f>
        <v/>
      </c>
      <c r="G633" s="3">
        <f>IF('ORDENES'!$A611="","",IF('ORDENES'!$AC611="","-",'ORDENES'!$AC611))</f>
        <v/>
      </c>
      <c r="H633" s="3">
        <f>IF('ORDENES'!$A611="","",IF('ORDENES'!$AO611="","-",'ORDENES'!$AO611))</f>
        <v/>
      </c>
      <c r="I633" s="3">
        <f>IF('ORDENES'!$A611="","",IF('ORDENES'!$D611="","-",'ORDENES'!$D611))</f>
        <v/>
      </c>
      <c r="J633" s="3">
        <f>IF('ORDENES'!$A611="","",IF('ORDENES'!$E611="","-",'ORDENES'!$E611))</f>
        <v/>
      </c>
      <c r="K633" s="12">
        <f>IF('ORDENES'!$A611="","",IF('ORDENES'!$N611="",0,'ORDENES'!$N611))</f>
        <v/>
      </c>
      <c r="L633" s="3">
        <f>IF('ORDENES'!$A611="","",IF('ORDENES'!$O611="","-",'ORDENES'!$O611))</f>
        <v/>
      </c>
      <c r="M633" s="3">
        <f>IF('ORDENES'!$A611="","",'ORDENES'!$AB611)</f>
        <v/>
      </c>
    </row>
    <row r="634">
      <c r="A634" s="3">
        <f>IF('ORDENES'!$A612="","",IF('ORDENES'!$P612="","-",'ORDENES'!$P612))</f>
        <v/>
      </c>
      <c r="B634" s="3">
        <f>IF('ORDENES'!$A612="","",IF('ORDENES'!$S612="","-",'ORDENES'!$S612))</f>
        <v/>
      </c>
      <c r="C634" s="3">
        <f>IF('ORDENES'!$A612="","",IF('ORDENES'!$AD612="","-",'ORDENES'!$AD612))</f>
        <v/>
      </c>
      <c r="D634" s="3">
        <f>IF('ORDENES'!$A612="","",IF('ORDENES'!$W612="","-",'ORDENES'!$W612))</f>
        <v/>
      </c>
      <c r="E634" s="3">
        <f>IF('ORDENES'!$A612="","",IF('ORDENES'!$V612="","-",'ORDENES'!$V612))</f>
        <v/>
      </c>
      <c r="F634" s="3">
        <f>IF('ORDENES'!$A612="","",IF('ORDENES'!$X612="","-",'ORDENES'!$X612))</f>
        <v/>
      </c>
      <c r="G634" s="3">
        <f>IF('ORDENES'!$A612="","",IF('ORDENES'!$AC612="","-",'ORDENES'!$AC612))</f>
        <v/>
      </c>
      <c r="H634" s="3">
        <f>IF('ORDENES'!$A612="","",IF('ORDENES'!$AO612="","-",'ORDENES'!$AO612))</f>
        <v/>
      </c>
      <c r="I634" s="3">
        <f>IF('ORDENES'!$A612="","",IF('ORDENES'!$D612="","-",'ORDENES'!$D612))</f>
        <v/>
      </c>
      <c r="J634" s="3">
        <f>IF('ORDENES'!$A612="","",IF('ORDENES'!$E612="","-",'ORDENES'!$E612))</f>
        <v/>
      </c>
      <c r="K634" s="12">
        <f>IF('ORDENES'!$A612="","",IF('ORDENES'!$N612="",0,'ORDENES'!$N612))</f>
        <v/>
      </c>
      <c r="L634" s="3">
        <f>IF('ORDENES'!$A612="","",IF('ORDENES'!$O612="","-",'ORDENES'!$O612))</f>
        <v/>
      </c>
      <c r="M634" s="3">
        <f>IF('ORDENES'!$A612="","",'ORDENES'!$AB612)</f>
        <v/>
      </c>
    </row>
    <row r="635">
      <c r="A635" s="3">
        <f>IF('ORDENES'!$A613="","",IF('ORDENES'!$P613="","-",'ORDENES'!$P613))</f>
        <v/>
      </c>
      <c r="B635" s="3">
        <f>IF('ORDENES'!$A613="","",IF('ORDENES'!$S613="","-",'ORDENES'!$S613))</f>
        <v/>
      </c>
      <c r="C635" s="3">
        <f>IF('ORDENES'!$A613="","",IF('ORDENES'!$AD613="","-",'ORDENES'!$AD613))</f>
        <v/>
      </c>
      <c r="D635" s="3">
        <f>IF('ORDENES'!$A613="","",IF('ORDENES'!$W613="","-",'ORDENES'!$W613))</f>
        <v/>
      </c>
      <c r="E635" s="3">
        <f>IF('ORDENES'!$A613="","",IF('ORDENES'!$V613="","-",'ORDENES'!$V613))</f>
        <v/>
      </c>
      <c r="F635" s="3">
        <f>IF('ORDENES'!$A613="","",IF('ORDENES'!$X613="","-",'ORDENES'!$X613))</f>
        <v/>
      </c>
      <c r="G635" s="3">
        <f>IF('ORDENES'!$A613="","",IF('ORDENES'!$AC613="","-",'ORDENES'!$AC613))</f>
        <v/>
      </c>
      <c r="H635" s="3">
        <f>IF('ORDENES'!$A613="","",IF('ORDENES'!$AO613="","-",'ORDENES'!$AO613))</f>
        <v/>
      </c>
      <c r="I635" s="3">
        <f>IF('ORDENES'!$A613="","",IF('ORDENES'!$D613="","-",'ORDENES'!$D613))</f>
        <v/>
      </c>
      <c r="J635" s="3">
        <f>IF('ORDENES'!$A613="","",IF('ORDENES'!$E613="","-",'ORDENES'!$E613))</f>
        <v/>
      </c>
      <c r="K635" s="12">
        <f>IF('ORDENES'!$A613="","",IF('ORDENES'!$N613="",0,'ORDENES'!$N613))</f>
        <v/>
      </c>
      <c r="L635" s="3">
        <f>IF('ORDENES'!$A613="","",IF('ORDENES'!$O613="","-",'ORDENES'!$O613))</f>
        <v/>
      </c>
      <c r="M635" s="3">
        <f>IF('ORDENES'!$A613="","",'ORDENES'!$AB613)</f>
        <v/>
      </c>
    </row>
    <row r="636">
      <c r="A636" s="3">
        <f>IF('ORDENES'!$A614="","",IF('ORDENES'!$P614="","-",'ORDENES'!$P614))</f>
        <v/>
      </c>
      <c r="B636" s="3">
        <f>IF('ORDENES'!$A614="","",IF('ORDENES'!$S614="","-",'ORDENES'!$S614))</f>
        <v/>
      </c>
      <c r="C636" s="3">
        <f>IF('ORDENES'!$A614="","",IF('ORDENES'!$AD614="","-",'ORDENES'!$AD614))</f>
        <v/>
      </c>
      <c r="D636" s="3">
        <f>IF('ORDENES'!$A614="","",IF('ORDENES'!$W614="","-",'ORDENES'!$W614))</f>
        <v/>
      </c>
      <c r="E636" s="3">
        <f>IF('ORDENES'!$A614="","",IF('ORDENES'!$V614="","-",'ORDENES'!$V614))</f>
        <v/>
      </c>
      <c r="F636" s="3">
        <f>IF('ORDENES'!$A614="","",IF('ORDENES'!$X614="","-",'ORDENES'!$X614))</f>
        <v/>
      </c>
      <c r="G636" s="3">
        <f>IF('ORDENES'!$A614="","",IF('ORDENES'!$AC614="","-",'ORDENES'!$AC614))</f>
        <v/>
      </c>
      <c r="H636" s="3">
        <f>IF('ORDENES'!$A614="","",IF('ORDENES'!$AO614="","-",'ORDENES'!$AO614))</f>
        <v/>
      </c>
      <c r="I636" s="3">
        <f>IF('ORDENES'!$A614="","",IF('ORDENES'!$D614="","-",'ORDENES'!$D614))</f>
        <v/>
      </c>
      <c r="J636" s="3">
        <f>IF('ORDENES'!$A614="","",IF('ORDENES'!$E614="","-",'ORDENES'!$E614))</f>
        <v/>
      </c>
      <c r="K636" s="12">
        <f>IF('ORDENES'!$A614="","",IF('ORDENES'!$N614="",0,'ORDENES'!$N614))</f>
        <v/>
      </c>
      <c r="L636" s="3">
        <f>IF('ORDENES'!$A614="","",IF('ORDENES'!$O614="","-",'ORDENES'!$O614))</f>
        <v/>
      </c>
      <c r="M636" s="3">
        <f>IF('ORDENES'!$A614="","",'ORDENES'!$AB614)</f>
        <v/>
      </c>
    </row>
    <row r="637">
      <c r="A637" s="3">
        <f>IF('ORDENES'!$A615="","",IF('ORDENES'!$P615="","-",'ORDENES'!$P615))</f>
        <v/>
      </c>
      <c r="B637" s="3">
        <f>IF('ORDENES'!$A615="","",IF('ORDENES'!$S615="","-",'ORDENES'!$S615))</f>
        <v/>
      </c>
      <c r="C637" s="3">
        <f>IF('ORDENES'!$A615="","",IF('ORDENES'!$AD615="","-",'ORDENES'!$AD615))</f>
        <v/>
      </c>
      <c r="D637" s="3">
        <f>IF('ORDENES'!$A615="","",IF('ORDENES'!$W615="","-",'ORDENES'!$W615))</f>
        <v/>
      </c>
      <c r="E637" s="3">
        <f>IF('ORDENES'!$A615="","",IF('ORDENES'!$V615="","-",'ORDENES'!$V615))</f>
        <v/>
      </c>
      <c r="F637" s="3">
        <f>IF('ORDENES'!$A615="","",IF('ORDENES'!$X615="","-",'ORDENES'!$X615))</f>
        <v/>
      </c>
      <c r="G637" s="3">
        <f>IF('ORDENES'!$A615="","",IF('ORDENES'!$AC615="","-",'ORDENES'!$AC615))</f>
        <v/>
      </c>
      <c r="H637" s="3">
        <f>IF('ORDENES'!$A615="","",IF('ORDENES'!$AO615="","-",'ORDENES'!$AO615))</f>
        <v/>
      </c>
      <c r="I637" s="3">
        <f>IF('ORDENES'!$A615="","",IF('ORDENES'!$D615="","-",'ORDENES'!$D615))</f>
        <v/>
      </c>
      <c r="J637" s="3">
        <f>IF('ORDENES'!$A615="","",IF('ORDENES'!$E615="","-",'ORDENES'!$E615))</f>
        <v/>
      </c>
      <c r="K637" s="12">
        <f>IF('ORDENES'!$A615="","",IF('ORDENES'!$N615="",0,'ORDENES'!$N615))</f>
        <v/>
      </c>
      <c r="L637" s="3">
        <f>IF('ORDENES'!$A615="","",IF('ORDENES'!$O615="","-",'ORDENES'!$O615))</f>
        <v/>
      </c>
      <c r="M637" s="3">
        <f>IF('ORDENES'!$A615="","",'ORDENES'!$AB615)</f>
        <v/>
      </c>
    </row>
    <row r="638">
      <c r="A638" s="3">
        <f>IF('ORDENES'!$A616="","",IF('ORDENES'!$P616="","-",'ORDENES'!$P616))</f>
        <v/>
      </c>
      <c r="B638" s="3">
        <f>IF('ORDENES'!$A616="","",IF('ORDENES'!$S616="","-",'ORDENES'!$S616))</f>
        <v/>
      </c>
      <c r="C638" s="3">
        <f>IF('ORDENES'!$A616="","",IF('ORDENES'!$AD616="","-",'ORDENES'!$AD616))</f>
        <v/>
      </c>
      <c r="D638" s="3">
        <f>IF('ORDENES'!$A616="","",IF('ORDENES'!$W616="","-",'ORDENES'!$W616))</f>
        <v/>
      </c>
      <c r="E638" s="3">
        <f>IF('ORDENES'!$A616="","",IF('ORDENES'!$V616="","-",'ORDENES'!$V616))</f>
        <v/>
      </c>
      <c r="F638" s="3">
        <f>IF('ORDENES'!$A616="","",IF('ORDENES'!$X616="","-",'ORDENES'!$X616))</f>
        <v/>
      </c>
      <c r="G638" s="3">
        <f>IF('ORDENES'!$A616="","",IF('ORDENES'!$AC616="","-",'ORDENES'!$AC616))</f>
        <v/>
      </c>
      <c r="H638" s="3">
        <f>IF('ORDENES'!$A616="","",IF('ORDENES'!$AO616="","-",'ORDENES'!$AO616))</f>
        <v/>
      </c>
      <c r="I638" s="3">
        <f>IF('ORDENES'!$A616="","",IF('ORDENES'!$D616="","-",'ORDENES'!$D616))</f>
        <v/>
      </c>
      <c r="J638" s="3">
        <f>IF('ORDENES'!$A616="","",IF('ORDENES'!$E616="","-",'ORDENES'!$E616))</f>
        <v/>
      </c>
      <c r="K638" s="12">
        <f>IF('ORDENES'!$A616="","",IF('ORDENES'!$N616="",0,'ORDENES'!$N616))</f>
        <v/>
      </c>
      <c r="L638" s="3">
        <f>IF('ORDENES'!$A616="","",IF('ORDENES'!$O616="","-",'ORDENES'!$O616))</f>
        <v/>
      </c>
      <c r="M638" s="3">
        <f>IF('ORDENES'!$A616="","",'ORDENES'!$AB616)</f>
        <v/>
      </c>
    </row>
    <row r="639">
      <c r="A639" s="3">
        <f>IF('ORDENES'!$A617="","",IF('ORDENES'!$P617="","-",'ORDENES'!$P617))</f>
        <v/>
      </c>
      <c r="B639" s="3">
        <f>IF('ORDENES'!$A617="","",IF('ORDENES'!$S617="","-",'ORDENES'!$S617))</f>
        <v/>
      </c>
      <c r="C639" s="3">
        <f>IF('ORDENES'!$A617="","",IF('ORDENES'!$AD617="","-",'ORDENES'!$AD617))</f>
        <v/>
      </c>
      <c r="D639" s="3">
        <f>IF('ORDENES'!$A617="","",IF('ORDENES'!$W617="","-",'ORDENES'!$W617))</f>
        <v/>
      </c>
      <c r="E639" s="3">
        <f>IF('ORDENES'!$A617="","",IF('ORDENES'!$V617="","-",'ORDENES'!$V617))</f>
        <v/>
      </c>
      <c r="F639" s="3">
        <f>IF('ORDENES'!$A617="","",IF('ORDENES'!$X617="","-",'ORDENES'!$X617))</f>
        <v/>
      </c>
      <c r="G639" s="3">
        <f>IF('ORDENES'!$A617="","",IF('ORDENES'!$AC617="","-",'ORDENES'!$AC617))</f>
        <v/>
      </c>
      <c r="H639" s="3">
        <f>IF('ORDENES'!$A617="","",IF('ORDENES'!$AO617="","-",'ORDENES'!$AO617))</f>
        <v/>
      </c>
      <c r="I639" s="3">
        <f>IF('ORDENES'!$A617="","",IF('ORDENES'!$D617="","-",'ORDENES'!$D617))</f>
        <v/>
      </c>
      <c r="J639" s="3">
        <f>IF('ORDENES'!$A617="","",IF('ORDENES'!$E617="","-",'ORDENES'!$E617))</f>
        <v/>
      </c>
      <c r="K639" s="12">
        <f>IF('ORDENES'!$A617="","",IF('ORDENES'!$N617="",0,'ORDENES'!$N617))</f>
        <v/>
      </c>
      <c r="L639" s="3">
        <f>IF('ORDENES'!$A617="","",IF('ORDENES'!$O617="","-",'ORDENES'!$O617))</f>
        <v/>
      </c>
      <c r="M639" s="3">
        <f>IF('ORDENES'!$A617="","",'ORDENES'!$AB617)</f>
        <v/>
      </c>
    </row>
    <row r="640">
      <c r="A640" s="3">
        <f>IF('ORDENES'!$A618="","",IF('ORDENES'!$P618="","-",'ORDENES'!$P618))</f>
        <v/>
      </c>
      <c r="B640" s="3">
        <f>IF('ORDENES'!$A618="","",IF('ORDENES'!$S618="","-",'ORDENES'!$S618))</f>
        <v/>
      </c>
      <c r="C640" s="3">
        <f>IF('ORDENES'!$A618="","",IF('ORDENES'!$AD618="","-",'ORDENES'!$AD618))</f>
        <v/>
      </c>
      <c r="D640" s="3">
        <f>IF('ORDENES'!$A618="","",IF('ORDENES'!$W618="","-",'ORDENES'!$W618))</f>
        <v/>
      </c>
      <c r="E640" s="3">
        <f>IF('ORDENES'!$A618="","",IF('ORDENES'!$V618="","-",'ORDENES'!$V618))</f>
        <v/>
      </c>
      <c r="F640" s="3">
        <f>IF('ORDENES'!$A618="","",IF('ORDENES'!$X618="","-",'ORDENES'!$X618))</f>
        <v/>
      </c>
      <c r="G640" s="3">
        <f>IF('ORDENES'!$A618="","",IF('ORDENES'!$AC618="","-",'ORDENES'!$AC618))</f>
        <v/>
      </c>
      <c r="H640" s="3">
        <f>IF('ORDENES'!$A618="","",IF('ORDENES'!$AO618="","-",'ORDENES'!$AO618))</f>
        <v/>
      </c>
      <c r="I640" s="3">
        <f>IF('ORDENES'!$A618="","",IF('ORDENES'!$D618="","-",'ORDENES'!$D618))</f>
        <v/>
      </c>
      <c r="J640" s="3">
        <f>IF('ORDENES'!$A618="","",IF('ORDENES'!$E618="","-",'ORDENES'!$E618))</f>
        <v/>
      </c>
      <c r="K640" s="12">
        <f>IF('ORDENES'!$A618="","",IF('ORDENES'!$N618="",0,'ORDENES'!$N618))</f>
        <v/>
      </c>
      <c r="L640" s="3">
        <f>IF('ORDENES'!$A618="","",IF('ORDENES'!$O618="","-",'ORDENES'!$O618))</f>
        <v/>
      </c>
      <c r="M640" s="3">
        <f>IF('ORDENES'!$A618="","",'ORDENES'!$AB618)</f>
        <v/>
      </c>
    </row>
    <row r="641">
      <c r="A641" s="3">
        <f>IF('ORDENES'!$A619="","",IF('ORDENES'!$P619="","-",'ORDENES'!$P619))</f>
        <v/>
      </c>
      <c r="B641" s="3">
        <f>IF('ORDENES'!$A619="","",IF('ORDENES'!$S619="","-",'ORDENES'!$S619))</f>
        <v/>
      </c>
      <c r="C641" s="3">
        <f>IF('ORDENES'!$A619="","",IF('ORDENES'!$AD619="","-",'ORDENES'!$AD619))</f>
        <v/>
      </c>
      <c r="D641" s="3">
        <f>IF('ORDENES'!$A619="","",IF('ORDENES'!$W619="","-",'ORDENES'!$W619))</f>
        <v/>
      </c>
      <c r="E641" s="3">
        <f>IF('ORDENES'!$A619="","",IF('ORDENES'!$V619="","-",'ORDENES'!$V619))</f>
        <v/>
      </c>
      <c r="F641" s="3">
        <f>IF('ORDENES'!$A619="","",IF('ORDENES'!$X619="","-",'ORDENES'!$X619))</f>
        <v/>
      </c>
      <c r="G641" s="3">
        <f>IF('ORDENES'!$A619="","",IF('ORDENES'!$AC619="","-",'ORDENES'!$AC619))</f>
        <v/>
      </c>
      <c r="H641" s="3">
        <f>IF('ORDENES'!$A619="","",IF('ORDENES'!$AO619="","-",'ORDENES'!$AO619))</f>
        <v/>
      </c>
      <c r="I641" s="3">
        <f>IF('ORDENES'!$A619="","",IF('ORDENES'!$D619="","-",'ORDENES'!$D619))</f>
        <v/>
      </c>
      <c r="J641" s="3">
        <f>IF('ORDENES'!$A619="","",IF('ORDENES'!$E619="","-",'ORDENES'!$E619))</f>
        <v/>
      </c>
      <c r="K641" s="12">
        <f>IF('ORDENES'!$A619="","",IF('ORDENES'!$N619="",0,'ORDENES'!$N619))</f>
        <v/>
      </c>
      <c r="L641" s="3">
        <f>IF('ORDENES'!$A619="","",IF('ORDENES'!$O619="","-",'ORDENES'!$O619))</f>
        <v/>
      </c>
      <c r="M641" s="3">
        <f>IF('ORDENES'!$A619="","",'ORDENES'!$AB619)</f>
        <v/>
      </c>
    </row>
    <row r="642">
      <c r="A642" s="3">
        <f>IF('ORDENES'!$A620="","",IF('ORDENES'!$P620="","-",'ORDENES'!$P620))</f>
        <v/>
      </c>
      <c r="B642" s="3">
        <f>IF('ORDENES'!$A620="","",IF('ORDENES'!$S620="","-",'ORDENES'!$S620))</f>
        <v/>
      </c>
      <c r="C642" s="3">
        <f>IF('ORDENES'!$A620="","",IF('ORDENES'!$AD620="","-",'ORDENES'!$AD620))</f>
        <v/>
      </c>
      <c r="D642" s="3">
        <f>IF('ORDENES'!$A620="","",IF('ORDENES'!$W620="","-",'ORDENES'!$W620))</f>
        <v/>
      </c>
      <c r="E642" s="3">
        <f>IF('ORDENES'!$A620="","",IF('ORDENES'!$V620="","-",'ORDENES'!$V620))</f>
        <v/>
      </c>
      <c r="F642" s="3">
        <f>IF('ORDENES'!$A620="","",IF('ORDENES'!$X620="","-",'ORDENES'!$X620))</f>
        <v/>
      </c>
      <c r="G642" s="3">
        <f>IF('ORDENES'!$A620="","",IF('ORDENES'!$AC620="","-",'ORDENES'!$AC620))</f>
        <v/>
      </c>
      <c r="H642" s="3">
        <f>IF('ORDENES'!$A620="","",IF('ORDENES'!$AO620="","-",'ORDENES'!$AO620))</f>
        <v/>
      </c>
      <c r="I642" s="3">
        <f>IF('ORDENES'!$A620="","",IF('ORDENES'!$D620="","-",'ORDENES'!$D620))</f>
        <v/>
      </c>
      <c r="J642" s="3">
        <f>IF('ORDENES'!$A620="","",IF('ORDENES'!$E620="","-",'ORDENES'!$E620))</f>
        <v/>
      </c>
      <c r="K642" s="12">
        <f>IF('ORDENES'!$A620="","",IF('ORDENES'!$N620="",0,'ORDENES'!$N620))</f>
        <v/>
      </c>
      <c r="L642" s="3">
        <f>IF('ORDENES'!$A620="","",IF('ORDENES'!$O620="","-",'ORDENES'!$O620))</f>
        <v/>
      </c>
      <c r="M642" s="3">
        <f>IF('ORDENES'!$A620="","",'ORDENES'!$AB620)</f>
        <v/>
      </c>
    </row>
    <row r="643">
      <c r="A643" s="3">
        <f>IF('ORDENES'!$A621="","",IF('ORDENES'!$P621="","-",'ORDENES'!$P621))</f>
        <v/>
      </c>
      <c r="B643" s="3">
        <f>IF('ORDENES'!$A621="","",IF('ORDENES'!$S621="","-",'ORDENES'!$S621))</f>
        <v/>
      </c>
      <c r="C643" s="3">
        <f>IF('ORDENES'!$A621="","",IF('ORDENES'!$AD621="","-",'ORDENES'!$AD621))</f>
        <v/>
      </c>
      <c r="D643" s="3">
        <f>IF('ORDENES'!$A621="","",IF('ORDENES'!$W621="","-",'ORDENES'!$W621))</f>
        <v/>
      </c>
      <c r="E643" s="3">
        <f>IF('ORDENES'!$A621="","",IF('ORDENES'!$V621="","-",'ORDENES'!$V621))</f>
        <v/>
      </c>
      <c r="F643" s="3">
        <f>IF('ORDENES'!$A621="","",IF('ORDENES'!$X621="","-",'ORDENES'!$X621))</f>
        <v/>
      </c>
      <c r="G643" s="3">
        <f>IF('ORDENES'!$A621="","",IF('ORDENES'!$AC621="","-",'ORDENES'!$AC621))</f>
        <v/>
      </c>
      <c r="H643" s="3">
        <f>IF('ORDENES'!$A621="","",IF('ORDENES'!$AO621="","-",'ORDENES'!$AO621))</f>
        <v/>
      </c>
      <c r="I643" s="3">
        <f>IF('ORDENES'!$A621="","",IF('ORDENES'!$D621="","-",'ORDENES'!$D621))</f>
        <v/>
      </c>
      <c r="J643" s="3">
        <f>IF('ORDENES'!$A621="","",IF('ORDENES'!$E621="","-",'ORDENES'!$E621))</f>
        <v/>
      </c>
      <c r="K643" s="12">
        <f>IF('ORDENES'!$A621="","",IF('ORDENES'!$N621="",0,'ORDENES'!$N621))</f>
        <v/>
      </c>
      <c r="L643" s="3">
        <f>IF('ORDENES'!$A621="","",IF('ORDENES'!$O621="","-",'ORDENES'!$O621))</f>
        <v/>
      </c>
      <c r="M643" s="3">
        <f>IF('ORDENES'!$A621="","",'ORDENES'!$AB621)</f>
        <v/>
      </c>
    </row>
    <row r="644">
      <c r="A644" s="3">
        <f>IF('ORDENES'!$A622="","",IF('ORDENES'!$P622="","-",'ORDENES'!$P622))</f>
        <v/>
      </c>
      <c r="B644" s="3">
        <f>IF('ORDENES'!$A622="","",IF('ORDENES'!$S622="","-",'ORDENES'!$S622))</f>
        <v/>
      </c>
      <c r="C644" s="3">
        <f>IF('ORDENES'!$A622="","",IF('ORDENES'!$AD622="","-",'ORDENES'!$AD622))</f>
        <v/>
      </c>
      <c r="D644" s="3">
        <f>IF('ORDENES'!$A622="","",IF('ORDENES'!$W622="","-",'ORDENES'!$W622))</f>
        <v/>
      </c>
      <c r="E644" s="3">
        <f>IF('ORDENES'!$A622="","",IF('ORDENES'!$V622="","-",'ORDENES'!$V622))</f>
        <v/>
      </c>
      <c r="F644" s="3">
        <f>IF('ORDENES'!$A622="","",IF('ORDENES'!$X622="","-",'ORDENES'!$X622))</f>
        <v/>
      </c>
      <c r="G644" s="3">
        <f>IF('ORDENES'!$A622="","",IF('ORDENES'!$AC622="","-",'ORDENES'!$AC622))</f>
        <v/>
      </c>
      <c r="H644" s="3">
        <f>IF('ORDENES'!$A622="","",IF('ORDENES'!$AO622="","-",'ORDENES'!$AO622))</f>
        <v/>
      </c>
      <c r="I644" s="3">
        <f>IF('ORDENES'!$A622="","",IF('ORDENES'!$D622="","-",'ORDENES'!$D622))</f>
        <v/>
      </c>
      <c r="J644" s="3">
        <f>IF('ORDENES'!$A622="","",IF('ORDENES'!$E622="","-",'ORDENES'!$E622))</f>
        <v/>
      </c>
      <c r="K644" s="12">
        <f>IF('ORDENES'!$A622="","",IF('ORDENES'!$N622="",0,'ORDENES'!$N622))</f>
        <v/>
      </c>
      <c r="L644" s="3">
        <f>IF('ORDENES'!$A622="","",IF('ORDENES'!$O622="","-",'ORDENES'!$O622))</f>
        <v/>
      </c>
      <c r="M644" s="3">
        <f>IF('ORDENES'!$A622="","",'ORDENES'!$AB622)</f>
        <v/>
      </c>
    </row>
    <row r="645">
      <c r="A645" s="3">
        <f>IF('ORDENES'!$A623="","",IF('ORDENES'!$P623="","-",'ORDENES'!$P623))</f>
        <v/>
      </c>
      <c r="B645" s="3">
        <f>IF('ORDENES'!$A623="","",IF('ORDENES'!$S623="","-",'ORDENES'!$S623))</f>
        <v/>
      </c>
      <c r="C645" s="3">
        <f>IF('ORDENES'!$A623="","",IF('ORDENES'!$AD623="","-",'ORDENES'!$AD623))</f>
        <v/>
      </c>
      <c r="D645" s="3">
        <f>IF('ORDENES'!$A623="","",IF('ORDENES'!$W623="","-",'ORDENES'!$W623))</f>
        <v/>
      </c>
      <c r="E645" s="3">
        <f>IF('ORDENES'!$A623="","",IF('ORDENES'!$V623="","-",'ORDENES'!$V623))</f>
        <v/>
      </c>
      <c r="F645" s="3">
        <f>IF('ORDENES'!$A623="","",IF('ORDENES'!$X623="","-",'ORDENES'!$X623))</f>
        <v/>
      </c>
      <c r="G645" s="3">
        <f>IF('ORDENES'!$A623="","",IF('ORDENES'!$AC623="","-",'ORDENES'!$AC623))</f>
        <v/>
      </c>
      <c r="H645" s="3">
        <f>IF('ORDENES'!$A623="","",IF('ORDENES'!$AO623="","-",'ORDENES'!$AO623))</f>
        <v/>
      </c>
      <c r="I645" s="3">
        <f>IF('ORDENES'!$A623="","",IF('ORDENES'!$D623="","-",'ORDENES'!$D623))</f>
        <v/>
      </c>
      <c r="J645" s="3">
        <f>IF('ORDENES'!$A623="","",IF('ORDENES'!$E623="","-",'ORDENES'!$E623))</f>
        <v/>
      </c>
      <c r="K645" s="12">
        <f>IF('ORDENES'!$A623="","",IF('ORDENES'!$N623="",0,'ORDENES'!$N623))</f>
        <v/>
      </c>
      <c r="L645" s="3">
        <f>IF('ORDENES'!$A623="","",IF('ORDENES'!$O623="","-",'ORDENES'!$O623))</f>
        <v/>
      </c>
      <c r="M645" s="3">
        <f>IF('ORDENES'!$A623="","",'ORDENES'!$AB623)</f>
        <v/>
      </c>
    </row>
    <row r="646">
      <c r="A646" s="3">
        <f>IF('ORDENES'!$A624="","",IF('ORDENES'!$P624="","-",'ORDENES'!$P624))</f>
        <v/>
      </c>
      <c r="B646" s="3">
        <f>IF('ORDENES'!$A624="","",IF('ORDENES'!$S624="","-",'ORDENES'!$S624))</f>
        <v/>
      </c>
      <c r="C646" s="3">
        <f>IF('ORDENES'!$A624="","",IF('ORDENES'!$AD624="","-",'ORDENES'!$AD624))</f>
        <v/>
      </c>
      <c r="D646" s="3">
        <f>IF('ORDENES'!$A624="","",IF('ORDENES'!$W624="","-",'ORDENES'!$W624))</f>
        <v/>
      </c>
      <c r="E646" s="3">
        <f>IF('ORDENES'!$A624="","",IF('ORDENES'!$V624="","-",'ORDENES'!$V624))</f>
        <v/>
      </c>
      <c r="F646" s="3">
        <f>IF('ORDENES'!$A624="","",IF('ORDENES'!$X624="","-",'ORDENES'!$X624))</f>
        <v/>
      </c>
      <c r="G646" s="3">
        <f>IF('ORDENES'!$A624="","",IF('ORDENES'!$AC624="","-",'ORDENES'!$AC624))</f>
        <v/>
      </c>
      <c r="H646" s="3">
        <f>IF('ORDENES'!$A624="","",IF('ORDENES'!$AO624="","-",'ORDENES'!$AO624))</f>
        <v/>
      </c>
      <c r="I646" s="3">
        <f>IF('ORDENES'!$A624="","",IF('ORDENES'!$D624="","-",'ORDENES'!$D624))</f>
        <v/>
      </c>
      <c r="J646" s="3">
        <f>IF('ORDENES'!$A624="","",IF('ORDENES'!$E624="","-",'ORDENES'!$E624))</f>
        <v/>
      </c>
      <c r="K646" s="12">
        <f>IF('ORDENES'!$A624="","",IF('ORDENES'!$N624="",0,'ORDENES'!$N624))</f>
        <v/>
      </c>
      <c r="L646" s="3">
        <f>IF('ORDENES'!$A624="","",IF('ORDENES'!$O624="","-",'ORDENES'!$O624))</f>
        <v/>
      </c>
      <c r="M646" s="3">
        <f>IF('ORDENES'!$A624="","",'ORDENES'!$AB624)</f>
        <v/>
      </c>
    </row>
    <row r="647">
      <c r="A647" s="3">
        <f>IF('ORDENES'!$A625="","",IF('ORDENES'!$P625="","-",'ORDENES'!$P625))</f>
        <v/>
      </c>
      <c r="B647" s="3">
        <f>IF('ORDENES'!$A625="","",IF('ORDENES'!$S625="","-",'ORDENES'!$S625))</f>
        <v/>
      </c>
      <c r="C647" s="3">
        <f>IF('ORDENES'!$A625="","",IF('ORDENES'!$AD625="","-",'ORDENES'!$AD625))</f>
        <v/>
      </c>
      <c r="D647" s="3">
        <f>IF('ORDENES'!$A625="","",IF('ORDENES'!$W625="","-",'ORDENES'!$W625))</f>
        <v/>
      </c>
      <c r="E647" s="3">
        <f>IF('ORDENES'!$A625="","",IF('ORDENES'!$V625="","-",'ORDENES'!$V625))</f>
        <v/>
      </c>
      <c r="F647" s="3">
        <f>IF('ORDENES'!$A625="","",IF('ORDENES'!$X625="","-",'ORDENES'!$X625))</f>
        <v/>
      </c>
      <c r="G647" s="3">
        <f>IF('ORDENES'!$A625="","",IF('ORDENES'!$AC625="","-",'ORDENES'!$AC625))</f>
        <v/>
      </c>
      <c r="H647" s="3">
        <f>IF('ORDENES'!$A625="","",IF('ORDENES'!$AO625="","-",'ORDENES'!$AO625))</f>
        <v/>
      </c>
      <c r="I647" s="3">
        <f>IF('ORDENES'!$A625="","",IF('ORDENES'!$D625="","-",'ORDENES'!$D625))</f>
        <v/>
      </c>
      <c r="J647" s="3">
        <f>IF('ORDENES'!$A625="","",IF('ORDENES'!$E625="","-",'ORDENES'!$E625))</f>
        <v/>
      </c>
      <c r="K647" s="12">
        <f>IF('ORDENES'!$A625="","",IF('ORDENES'!$N625="",0,'ORDENES'!$N625))</f>
        <v/>
      </c>
      <c r="L647" s="3">
        <f>IF('ORDENES'!$A625="","",IF('ORDENES'!$O625="","-",'ORDENES'!$O625))</f>
        <v/>
      </c>
      <c r="M647" s="3">
        <f>IF('ORDENES'!$A625="","",'ORDENES'!$AB625)</f>
        <v/>
      </c>
    </row>
    <row r="648">
      <c r="A648" s="3">
        <f>IF('ORDENES'!$A626="","",IF('ORDENES'!$P626="","-",'ORDENES'!$P626))</f>
        <v/>
      </c>
      <c r="B648" s="3">
        <f>IF('ORDENES'!$A626="","",IF('ORDENES'!$S626="","-",'ORDENES'!$S626))</f>
        <v/>
      </c>
      <c r="C648" s="3">
        <f>IF('ORDENES'!$A626="","",IF('ORDENES'!$AD626="","-",'ORDENES'!$AD626))</f>
        <v/>
      </c>
      <c r="D648" s="3">
        <f>IF('ORDENES'!$A626="","",IF('ORDENES'!$W626="","-",'ORDENES'!$W626))</f>
        <v/>
      </c>
      <c r="E648" s="3">
        <f>IF('ORDENES'!$A626="","",IF('ORDENES'!$V626="","-",'ORDENES'!$V626))</f>
        <v/>
      </c>
      <c r="F648" s="3">
        <f>IF('ORDENES'!$A626="","",IF('ORDENES'!$X626="","-",'ORDENES'!$X626))</f>
        <v/>
      </c>
      <c r="G648" s="3">
        <f>IF('ORDENES'!$A626="","",IF('ORDENES'!$AC626="","-",'ORDENES'!$AC626))</f>
        <v/>
      </c>
      <c r="H648" s="3">
        <f>IF('ORDENES'!$A626="","",IF('ORDENES'!$AO626="","-",'ORDENES'!$AO626))</f>
        <v/>
      </c>
      <c r="I648" s="3">
        <f>IF('ORDENES'!$A626="","",IF('ORDENES'!$D626="","-",'ORDENES'!$D626))</f>
        <v/>
      </c>
      <c r="J648" s="3">
        <f>IF('ORDENES'!$A626="","",IF('ORDENES'!$E626="","-",'ORDENES'!$E626))</f>
        <v/>
      </c>
      <c r="K648" s="12">
        <f>IF('ORDENES'!$A626="","",IF('ORDENES'!$N626="",0,'ORDENES'!$N626))</f>
        <v/>
      </c>
      <c r="L648" s="3">
        <f>IF('ORDENES'!$A626="","",IF('ORDENES'!$O626="","-",'ORDENES'!$O626))</f>
        <v/>
      </c>
      <c r="M648" s="3">
        <f>IF('ORDENES'!$A626="","",'ORDENES'!$AB626)</f>
        <v/>
      </c>
    </row>
    <row r="649">
      <c r="A649" s="3">
        <f>IF('ORDENES'!$A627="","",IF('ORDENES'!$P627="","-",'ORDENES'!$P627))</f>
        <v/>
      </c>
      <c r="B649" s="3">
        <f>IF('ORDENES'!$A627="","",IF('ORDENES'!$S627="","-",'ORDENES'!$S627))</f>
        <v/>
      </c>
      <c r="C649" s="3">
        <f>IF('ORDENES'!$A627="","",IF('ORDENES'!$AD627="","-",'ORDENES'!$AD627))</f>
        <v/>
      </c>
      <c r="D649" s="3">
        <f>IF('ORDENES'!$A627="","",IF('ORDENES'!$W627="","-",'ORDENES'!$W627))</f>
        <v/>
      </c>
      <c r="E649" s="3">
        <f>IF('ORDENES'!$A627="","",IF('ORDENES'!$V627="","-",'ORDENES'!$V627))</f>
        <v/>
      </c>
      <c r="F649" s="3">
        <f>IF('ORDENES'!$A627="","",IF('ORDENES'!$X627="","-",'ORDENES'!$X627))</f>
        <v/>
      </c>
      <c r="G649" s="3">
        <f>IF('ORDENES'!$A627="","",IF('ORDENES'!$AC627="","-",'ORDENES'!$AC627))</f>
        <v/>
      </c>
      <c r="H649" s="3">
        <f>IF('ORDENES'!$A627="","",IF('ORDENES'!$AO627="","-",'ORDENES'!$AO627))</f>
        <v/>
      </c>
      <c r="I649" s="3">
        <f>IF('ORDENES'!$A627="","",IF('ORDENES'!$D627="","-",'ORDENES'!$D627))</f>
        <v/>
      </c>
      <c r="J649" s="3">
        <f>IF('ORDENES'!$A627="","",IF('ORDENES'!$E627="","-",'ORDENES'!$E627))</f>
        <v/>
      </c>
      <c r="K649" s="12">
        <f>IF('ORDENES'!$A627="","",IF('ORDENES'!$N627="",0,'ORDENES'!$N627))</f>
        <v/>
      </c>
      <c r="L649" s="3">
        <f>IF('ORDENES'!$A627="","",IF('ORDENES'!$O627="","-",'ORDENES'!$O627))</f>
        <v/>
      </c>
      <c r="M649" s="3">
        <f>IF('ORDENES'!$A627="","",'ORDENES'!$AB627)</f>
        <v/>
      </c>
    </row>
    <row r="650">
      <c r="A650" s="3">
        <f>IF('ORDENES'!$A628="","",IF('ORDENES'!$P628="","-",'ORDENES'!$P628))</f>
        <v/>
      </c>
      <c r="B650" s="3">
        <f>IF('ORDENES'!$A628="","",IF('ORDENES'!$S628="","-",'ORDENES'!$S628))</f>
        <v/>
      </c>
      <c r="C650" s="3">
        <f>IF('ORDENES'!$A628="","",IF('ORDENES'!$AD628="","-",'ORDENES'!$AD628))</f>
        <v/>
      </c>
      <c r="D650" s="3">
        <f>IF('ORDENES'!$A628="","",IF('ORDENES'!$W628="","-",'ORDENES'!$W628))</f>
        <v/>
      </c>
      <c r="E650" s="3">
        <f>IF('ORDENES'!$A628="","",IF('ORDENES'!$V628="","-",'ORDENES'!$V628))</f>
        <v/>
      </c>
      <c r="F650" s="3">
        <f>IF('ORDENES'!$A628="","",IF('ORDENES'!$X628="","-",'ORDENES'!$X628))</f>
        <v/>
      </c>
      <c r="G650" s="3">
        <f>IF('ORDENES'!$A628="","",IF('ORDENES'!$AC628="","-",'ORDENES'!$AC628))</f>
        <v/>
      </c>
      <c r="H650" s="3">
        <f>IF('ORDENES'!$A628="","",IF('ORDENES'!$AO628="","-",'ORDENES'!$AO628))</f>
        <v/>
      </c>
      <c r="I650" s="3">
        <f>IF('ORDENES'!$A628="","",IF('ORDENES'!$D628="","-",'ORDENES'!$D628))</f>
        <v/>
      </c>
      <c r="J650" s="3">
        <f>IF('ORDENES'!$A628="","",IF('ORDENES'!$E628="","-",'ORDENES'!$E628))</f>
        <v/>
      </c>
      <c r="K650" s="12">
        <f>IF('ORDENES'!$A628="","",IF('ORDENES'!$N628="",0,'ORDENES'!$N628))</f>
        <v/>
      </c>
      <c r="L650" s="3">
        <f>IF('ORDENES'!$A628="","",IF('ORDENES'!$O628="","-",'ORDENES'!$O628))</f>
        <v/>
      </c>
      <c r="M650" s="3">
        <f>IF('ORDENES'!$A628="","",'ORDENES'!$AB628)</f>
        <v/>
      </c>
    </row>
    <row r="651">
      <c r="A651" s="3">
        <f>IF('ORDENES'!$A629="","",IF('ORDENES'!$P629="","-",'ORDENES'!$P629))</f>
        <v/>
      </c>
      <c r="B651" s="3">
        <f>IF('ORDENES'!$A629="","",IF('ORDENES'!$S629="","-",'ORDENES'!$S629))</f>
        <v/>
      </c>
      <c r="C651" s="3">
        <f>IF('ORDENES'!$A629="","",IF('ORDENES'!$AD629="","-",'ORDENES'!$AD629))</f>
        <v/>
      </c>
      <c r="D651" s="3">
        <f>IF('ORDENES'!$A629="","",IF('ORDENES'!$W629="","-",'ORDENES'!$W629))</f>
        <v/>
      </c>
      <c r="E651" s="3">
        <f>IF('ORDENES'!$A629="","",IF('ORDENES'!$V629="","-",'ORDENES'!$V629))</f>
        <v/>
      </c>
      <c r="F651" s="3">
        <f>IF('ORDENES'!$A629="","",IF('ORDENES'!$X629="","-",'ORDENES'!$X629))</f>
        <v/>
      </c>
      <c r="G651" s="3">
        <f>IF('ORDENES'!$A629="","",IF('ORDENES'!$AC629="","-",'ORDENES'!$AC629))</f>
        <v/>
      </c>
      <c r="H651" s="3">
        <f>IF('ORDENES'!$A629="","",IF('ORDENES'!$AO629="","-",'ORDENES'!$AO629))</f>
        <v/>
      </c>
      <c r="I651" s="3">
        <f>IF('ORDENES'!$A629="","",IF('ORDENES'!$D629="","-",'ORDENES'!$D629))</f>
        <v/>
      </c>
      <c r="J651" s="3">
        <f>IF('ORDENES'!$A629="","",IF('ORDENES'!$E629="","-",'ORDENES'!$E629))</f>
        <v/>
      </c>
      <c r="K651" s="12">
        <f>IF('ORDENES'!$A629="","",IF('ORDENES'!$N629="",0,'ORDENES'!$N629))</f>
        <v/>
      </c>
      <c r="L651" s="3">
        <f>IF('ORDENES'!$A629="","",IF('ORDENES'!$O629="","-",'ORDENES'!$O629))</f>
        <v/>
      </c>
      <c r="M651" s="3">
        <f>IF('ORDENES'!$A629="","",'ORDENES'!$AB629)</f>
        <v/>
      </c>
    </row>
    <row r="652">
      <c r="A652" s="3">
        <f>IF('ORDENES'!$A630="","",IF('ORDENES'!$P630="","-",'ORDENES'!$P630))</f>
        <v/>
      </c>
      <c r="B652" s="3">
        <f>IF('ORDENES'!$A630="","",IF('ORDENES'!$S630="","-",'ORDENES'!$S630))</f>
        <v/>
      </c>
      <c r="C652" s="3">
        <f>IF('ORDENES'!$A630="","",IF('ORDENES'!$AD630="","-",'ORDENES'!$AD630))</f>
        <v/>
      </c>
      <c r="D652" s="3">
        <f>IF('ORDENES'!$A630="","",IF('ORDENES'!$W630="","-",'ORDENES'!$W630))</f>
        <v/>
      </c>
      <c r="E652" s="3">
        <f>IF('ORDENES'!$A630="","",IF('ORDENES'!$V630="","-",'ORDENES'!$V630))</f>
        <v/>
      </c>
      <c r="F652" s="3">
        <f>IF('ORDENES'!$A630="","",IF('ORDENES'!$X630="","-",'ORDENES'!$X630))</f>
        <v/>
      </c>
      <c r="G652" s="3">
        <f>IF('ORDENES'!$A630="","",IF('ORDENES'!$AC630="","-",'ORDENES'!$AC630))</f>
        <v/>
      </c>
      <c r="H652" s="3">
        <f>IF('ORDENES'!$A630="","",IF('ORDENES'!$AO630="","-",'ORDENES'!$AO630))</f>
        <v/>
      </c>
      <c r="I652" s="3">
        <f>IF('ORDENES'!$A630="","",IF('ORDENES'!$D630="","-",'ORDENES'!$D630))</f>
        <v/>
      </c>
      <c r="J652" s="3">
        <f>IF('ORDENES'!$A630="","",IF('ORDENES'!$E630="","-",'ORDENES'!$E630))</f>
        <v/>
      </c>
      <c r="K652" s="12">
        <f>IF('ORDENES'!$A630="","",IF('ORDENES'!$N630="",0,'ORDENES'!$N630))</f>
        <v/>
      </c>
      <c r="L652" s="3">
        <f>IF('ORDENES'!$A630="","",IF('ORDENES'!$O630="","-",'ORDENES'!$O630))</f>
        <v/>
      </c>
      <c r="M652" s="3">
        <f>IF('ORDENES'!$A630="","",'ORDENES'!$AB630)</f>
        <v/>
      </c>
    </row>
    <row r="653">
      <c r="A653" s="3">
        <f>IF('ORDENES'!$A631="","",IF('ORDENES'!$P631="","-",'ORDENES'!$P631))</f>
        <v/>
      </c>
      <c r="B653" s="3">
        <f>IF('ORDENES'!$A631="","",IF('ORDENES'!$S631="","-",'ORDENES'!$S631))</f>
        <v/>
      </c>
      <c r="C653" s="3">
        <f>IF('ORDENES'!$A631="","",IF('ORDENES'!$AD631="","-",'ORDENES'!$AD631))</f>
        <v/>
      </c>
      <c r="D653" s="3">
        <f>IF('ORDENES'!$A631="","",IF('ORDENES'!$W631="","-",'ORDENES'!$W631))</f>
        <v/>
      </c>
      <c r="E653" s="3">
        <f>IF('ORDENES'!$A631="","",IF('ORDENES'!$V631="","-",'ORDENES'!$V631))</f>
        <v/>
      </c>
      <c r="F653" s="3">
        <f>IF('ORDENES'!$A631="","",IF('ORDENES'!$X631="","-",'ORDENES'!$X631))</f>
        <v/>
      </c>
      <c r="G653" s="3">
        <f>IF('ORDENES'!$A631="","",IF('ORDENES'!$AC631="","-",'ORDENES'!$AC631))</f>
        <v/>
      </c>
      <c r="H653" s="3">
        <f>IF('ORDENES'!$A631="","",IF('ORDENES'!$AO631="","-",'ORDENES'!$AO631))</f>
        <v/>
      </c>
      <c r="I653" s="3">
        <f>IF('ORDENES'!$A631="","",IF('ORDENES'!$D631="","-",'ORDENES'!$D631))</f>
        <v/>
      </c>
      <c r="J653" s="3">
        <f>IF('ORDENES'!$A631="","",IF('ORDENES'!$E631="","-",'ORDENES'!$E631))</f>
        <v/>
      </c>
      <c r="K653" s="12">
        <f>IF('ORDENES'!$A631="","",IF('ORDENES'!$N631="",0,'ORDENES'!$N631))</f>
        <v/>
      </c>
      <c r="L653" s="3">
        <f>IF('ORDENES'!$A631="","",IF('ORDENES'!$O631="","-",'ORDENES'!$O631))</f>
        <v/>
      </c>
      <c r="M653" s="3">
        <f>IF('ORDENES'!$A631="","",'ORDENES'!$AB631)</f>
        <v/>
      </c>
    </row>
    <row r="654">
      <c r="A654" s="3">
        <f>IF('ORDENES'!$A632="","",IF('ORDENES'!$P632="","-",'ORDENES'!$P632))</f>
        <v/>
      </c>
      <c r="B654" s="3">
        <f>IF('ORDENES'!$A632="","",IF('ORDENES'!$S632="","-",'ORDENES'!$S632))</f>
        <v/>
      </c>
      <c r="C654" s="3">
        <f>IF('ORDENES'!$A632="","",IF('ORDENES'!$AD632="","-",'ORDENES'!$AD632))</f>
        <v/>
      </c>
      <c r="D654" s="3">
        <f>IF('ORDENES'!$A632="","",IF('ORDENES'!$W632="","-",'ORDENES'!$W632))</f>
        <v/>
      </c>
      <c r="E654" s="3">
        <f>IF('ORDENES'!$A632="","",IF('ORDENES'!$V632="","-",'ORDENES'!$V632))</f>
        <v/>
      </c>
      <c r="F654" s="3">
        <f>IF('ORDENES'!$A632="","",IF('ORDENES'!$X632="","-",'ORDENES'!$X632))</f>
        <v/>
      </c>
      <c r="G654" s="3">
        <f>IF('ORDENES'!$A632="","",IF('ORDENES'!$AC632="","-",'ORDENES'!$AC632))</f>
        <v/>
      </c>
      <c r="H654" s="3">
        <f>IF('ORDENES'!$A632="","",IF('ORDENES'!$AO632="","-",'ORDENES'!$AO632))</f>
        <v/>
      </c>
      <c r="I654" s="3">
        <f>IF('ORDENES'!$A632="","",IF('ORDENES'!$D632="","-",'ORDENES'!$D632))</f>
        <v/>
      </c>
      <c r="J654" s="3">
        <f>IF('ORDENES'!$A632="","",IF('ORDENES'!$E632="","-",'ORDENES'!$E632))</f>
        <v/>
      </c>
      <c r="K654" s="12">
        <f>IF('ORDENES'!$A632="","",IF('ORDENES'!$N632="",0,'ORDENES'!$N632))</f>
        <v/>
      </c>
      <c r="L654" s="3">
        <f>IF('ORDENES'!$A632="","",IF('ORDENES'!$O632="","-",'ORDENES'!$O632))</f>
        <v/>
      </c>
      <c r="M654" s="3">
        <f>IF('ORDENES'!$A632="","",'ORDENES'!$AB632)</f>
        <v/>
      </c>
    </row>
    <row r="655">
      <c r="A655" s="3">
        <f>IF('ORDENES'!$A633="","",IF('ORDENES'!$P633="","-",'ORDENES'!$P633))</f>
        <v/>
      </c>
      <c r="B655" s="3">
        <f>IF('ORDENES'!$A633="","",IF('ORDENES'!$S633="","-",'ORDENES'!$S633))</f>
        <v/>
      </c>
      <c r="C655" s="3">
        <f>IF('ORDENES'!$A633="","",IF('ORDENES'!$AD633="","-",'ORDENES'!$AD633))</f>
        <v/>
      </c>
      <c r="D655" s="3">
        <f>IF('ORDENES'!$A633="","",IF('ORDENES'!$W633="","-",'ORDENES'!$W633))</f>
        <v/>
      </c>
      <c r="E655" s="3">
        <f>IF('ORDENES'!$A633="","",IF('ORDENES'!$V633="","-",'ORDENES'!$V633))</f>
        <v/>
      </c>
      <c r="F655" s="3">
        <f>IF('ORDENES'!$A633="","",IF('ORDENES'!$X633="","-",'ORDENES'!$X633))</f>
        <v/>
      </c>
      <c r="G655" s="3">
        <f>IF('ORDENES'!$A633="","",IF('ORDENES'!$AC633="","-",'ORDENES'!$AC633))</f>
        <v/>
      </c>
      <c r="H655" s="3">
        <f>IF('ORDENES'!$A633="","",IF('ORDENES'!$AO633="","-",'ORDENES'!$AO633))</f>
        <v/>
      </c>
      <c r="I655" s="3">
        <f>IF('ORDENES'!$A633="","",IF('ORDENES'!$D633="","-",'ORDENES'!$D633))</f>
        <v/>
      </c>
      <c r="J655" s="3">
        <f>IF('ORDENES'!$A633="","",IF('ORDENES'!$E633="","-",'ORDENES'!$E633))</f>
        <v/>
      </c>
      <c r="K655" s="12">
        <f>IF('ORDENES'!$A633="","",IF('ORDENES'!$N633="",0,'ORDENES'!$N633))</f>
        <v/>
      </c>
      <c r="L655" s="3">
        <f>IF('ORDENES'!$A633="","",IF('ORDENES'!$O633="","-",'ORDENES'!$O633))</f>
        <v/>
      </c>
      <c r="M655" s="3">
        <f>IF('ORDENES'!$A633="","",'ORDENES'!$AB633)</f>
        <v/>
      </c>
    </row>
    <row r="656">
      <c r="A656" s="3">
        <f>IF('ORDENES'!$A634="","",IF('ORDENES'!$P634="","-",'ORDENES'!$P634))</f>
        <v/>
      </c>
      <c r="B656" s="3">
        <f>IF('ORDENES'!$A634="","",IF('ORDENES'!$S634="","-",'ORDENES'!$S634))</f>
        <v/>
      </c>
      <c r="C656" s="3">
        <f>IF('ORDENES'!$A634="","",IF('ORDENES'!$AD634="","-",'ORDENES'!$AD634))</f>
        <v/>
      </c>
      <c r="D656" s="3">
        <f>IF('ORDENES'!$A634="","",IF('ORDENES'!$W634="","-",'ORDENES'!$W634))</f>
        <v/>
      </c>
      <c r="E656" s="3">
        <f>IF('ORDENES'!$A634="","",IF('ORDENES'!$V634="","-",'ORDENES'!$V634))</f>
        <v/>
      </c>
      <c r="F656" s="3">
        <f>IF('ORDENES'!$A634="","",IF('ORDENES'!$X634="","-",'ORDENES'!$X634))</f>
        <v/>
      </c>
      <c r="G656" s="3">
        <f>IF('ORDENES'!$A634="","",IF('ORDENES'!$AC634="","-",'ORDENES'!$AC634))</f>
        <v/>
      </c>
      <c r="H656" s="3">
        <f>IF('ORDENES'!$A634="","",IF('ORDENES'!$AO634="","-",'ORDENES'!$AO634))</f>
        <v/>
      </c>
      <c r="I656" s="3">
        <f>IF('ORDENES'!$A634="","",IF('ORDENES'!$D634="","-",'ORDENES'!$D634))</f>
        <v/>
      </c>
      <c r="J656" s="3">
        <f>IF('ORDENES'!$A634="","",IF('ORDENES'!$E634="","-",'ORDENES'!$E634))</f>
        <v/>
      </c>
      <c r="K656" s="12">
        <f>IF('ORDENES'!$A634="","",IF('ORDENES'!$N634="",0,'ORDENES'!$N634))</f>
        <v/>
      </c>
      <c r="L656" s="3">
        <f>IF('ORDENES'!$A634="","",IF('ORDENES'!$O634="","-",'ORDENES'!$O634))</f>
        <v/>
      </c>
      <c r="M656" s="3">
        <f>IF('ORDENES'!$A634="","",'ORDENES'!$AB634)</f>
        <v/>
      </c>
    </row>
    <row r="657">
      <c r="A657" s="3">
        <f>IF('ORDENES'!$A635="","",IF('ORDENES'!$P635="","-",'ORDENES'!$P635))</f>
        <v/>
      </c>
      <c r="B657" s="3">
        <f>IF('ORDENES'!$A635="","",IF('ORDENES'!$S635="","-",'ORDENES'!$S635))</f>
        <v/>
      </c>
      <c r="C657" s="3">
        <f>IF('ORDENES'!$A635="","",IF('ORDENES'!$AD635="","-",'ORDENES'!$AD635))</f>
        <v/>
      </c>
      <c r="D657" s="3">
        <f>IF('ORDENES'!$A635="","",IF('ORDENES'!$W635="","-",'ORDENES'!$W635))</f>
        <v/>
      </c>
      <c r="E657" s="3">
        <f>IF('ORDENES'!$A635="","",IF('ORDENES'!$V635="","-",'ORDENES'!$V635))</f>
        <v/>
      </c>
      <c r="F657" s="3">
        <f>IF('ORDENES'!$A635="","",IF('ORDENES'!$X635="","-",'ORDENES'!$X635))</f>
        <v/>
      </c>
      <c r="G657" s="3">
        <f>IF('ORDENES'!$A635="","",IF('ORDENES'!$AC635="","-",'ORDENES'!$AC635))</f>
        <v/>
      </c>
      <c r="H657" s="3">
        <f>IF('ORDENES'!$A635="","",IF('ORDENES'!$AO635="","-",'ORDENES'!$AO635))</f>
        <v/>
      </c>
      <c r="I657" s="3">
        <f>IF('ORDENES'!$A635="","",IF('ORDENES'!$D635="","-",'ORDENES'!$D635))</f>
        <v/>
      </c>
      <c r="J657" s="3">
        <f>IF('ORDENES'!$A635="","",IF('ORDENES'!$E635="","-",'ORDENES'!$E635))</f>
        <v/>
      </c>
      <c r="K657" s="12">
        <f>IF('ORDENES'!$A635="","",IF('ORDENES'!$N635="",0,'ORDENES'!$N635))</f>
        <v/>
      </c>
      <c r="L657" s="3">
        <f>IF('ORDENES'!$A635="","",IF('ORDENES'!$O635="","-",'ORDENES'!$O635))</f>
        <v/>
      </c>
      <c r="M657" s="3">
        <f>IF('ORDENES'!$A635="","",'ORDENES'!$AB635)</f>
        <v/>
      </c>
    </row>
    <row r="658">
      <c r="A658" s="3">
        <f>IF('ORDENES'!$A636="","",IF('ORDENES'!$P636="","-",'ORDENES'!$P636))</f>
        <v/>
      </c>
      <c r="B658" s="3">
        <f>IF('ORDENES'!$A636="","",IF('ORDENES'!$S636="","-",'ORDENES'!$S636))</f>
        <v/>
      </c>
      <c r="C658" s="3">
        <f>IF('ORDENES'!$A636="","",IF('ORDENES'!$AD636="","-",'ORDENES'!$AD636))</f>
        <v/>
      </c>
      <c r="D658" s="3">
        <f>IF('ORDENES'!$A636="","",IF('ORDENES'!$W636="","-",'ORDENES'!$W636))</f>
        <v/>
      </c>
      <c r="E658" s="3">
        <f>IF('ORDENES'!$A636="","",IF('ORDENES'!$V636="","-",'ORDENES'!$V636))</f>
        <v/>
      </c>
      <c r="F658" s="3">
        <f>IF('ORDENES'!$A636="","",IF('ORDENES'!$X636="","-",'ORDENES'!$X636))</f>
        <v/>
      </c>
      <c r="G658" s="3">
        <f>IF('ORDENES'!$A636="","",IF('ORDENES'!$AC636="","-",'ORDENES'!$AC636))</f>
        <v/>
      </c>
      <c r="H658" s="3">
        <f>IF('ORDENES'!$A636="","",IF('ORDENES'!$AO636="","-",'ORDENES'!$AO636))</f>
        <v/>
      </c>
      <c r="I658" s="3">
        <f>IF('ORDENES'!$A636="","",IF('ORDENES'!$D636="","-",'ORDENES'!$D636))</f>
        <v/>
      </c>
      <c r="J658" s="3">
        <f>IF('ORDENES'!$A636="","",IF('ORDENES'!$E636="","-",'ORDENES'!$E636))</f>
        <v/>
      </c>
      <c r="K658" s="12">
        <f>IF('ORDENES'!$A636="","",IF('ORDENES'!$N636="",0,'ORDENES'!$N636))</f>
        <v/>
      </c>
      <c r="L658" s="3">
        <f>IF('ORDENES'!$A636="","",IF('ORDENES'!$O636="","-",'ORDENES'!$O636))</f>
        <v/>
      </c>
      <c r="M658" s="3">
        <f>IF('ORDENES'!$A636="","",'ORDENES'!$AB636)</f>
        <v/>
      </c>
    </row>
    <row r="659">
      <c r="A659" s="3">
        <f>IF('ORDENES'!$A637="","",IF('ORDENES'!$P637="","-",'ORDENES'!$P637))</f>
        <v/>
      </c>
      <c r="B659" s="3">
        <f>IF('ORDENES'!$A637="","",IF('ORDENES'!$S637="","-",'ORDENES'!$S637))</f>
        <v/>
      </c>
      <c r="C659" s="3">
        <f>IF('ORDENES'!$A637="","",IF('ORDENES'!$AD637="","-",'ORDENES'!$AD637))</f>
        <v/>
      </c>
      <c r="D659" s="3">
        <f>IF('ORDENES'!$A637="","",IF('ORDENES'!$W637="","-",'ORDENES'!$W637))</f>
        <v/>
      </c>
      <c r="E659" s="3">
        <f>IF('ORDENES'!$A637="","",IF('ORDENES'!$V637="","-",'ORDENES'!$V637))</f>
        <v/>
      </c>
      <c r="F659" s="3">
        <f>IF('ORDENES'!$A637="","",IF('ORDENES'!$X637="","-",'ORDENES'!$X637))</f>
        <v/>
      </c>
      <c r="G659" s="3">
        <f>IF('ORDENES'!$A637="","",IF('ORDENES'!$AC637="","-",'ORDENES'!$AC637))</f>
        <v/>
      </c>
      <c r="H659" s="3">
        <f>IF('ORDENES'!$A637="","",IF('ORDENES'!$AO637="","-",'ORDENES'!$AO637))</f>
        <v/>
      </c>
      <c r="I659" s="3">
        <f>IF('ORDENES'!$A637="","",IF('ORDENES'!$D637="","-",'ORDENES'!$D637))</f>
        <v/>
      </c>
      <c r="J659" s="3">
        <f>IF('ORDENES'!$A637="","",IF('ORDENES'!$E637="","-",'ORDENES'!$E637))</f>
        <v/>
      </c>
      <c r="K659" s="12">
        <f>IF('ORDENES'!$A637="","",IF('ORDENES'!$N637="",0,'ORDENES'!$N637))</f>
        <v/>
      </c>
      <c r="L659" s="3">
        <f>IF('ORDENES'!$A637="","",IF('ORDENES'!$O637="","-",'ORDENES'!$O637))</f>
        <v/>
      </c>
      <c r="M659" s="3">
        <f>IF('ORDENES'!$A637="","",'ORDENES'!$AB637)</f>
        <v/>
      </c>
    </row>
    <row r="660">
      <c r="A660" s="3">
        <f>IF('ORDENES'!$A638="","",IF('ORDENES'!$P638="","-",'ORDENES'!$P638))</f>
        <v/>
      </c>
      <c r="B660" s="3">
        <f>IF('ORDENES'!$A638="","",IF('ORDENES'!$S638="","-",'ORDENES'!$S638))</f>
        <v/>
      </c>
      <c r="C660" s="3">
        <f>IF('ORDENES'!$A638="","",IF('ORDENES'!$AD638="","-",'ORDENES'!$AD638))</f>
        <v/>
      </c>
      <c r="D660" s="3">
        <f>IF('ORDENES'!$A638="","",IF('ORDENES'!$W638="","-",'ORDENES'!$W638))</f>
        <v/>
      </c>
      <c r="E660" s="3">
        <f>IF('ORDENES'!$A638="","",IF('ORDENES'!$V638="","-",'ORDENES'!$V638))</f>
        <v/>
      </c>
      <c r="F660" s="3">
        <f>IF('ORDENES'!$A638="","",IF('ORDENES'!$X638="","-",'ORDENES'!$X638))</f>
        <v/>
      </c>
      <c r="G660" s="3">
        <f>IF('ORDENES'!$A638="","",IF('ORDENES'!$AC638="","-",'ORDENES'!$AC638))</f>
        <v/>
      </c>
      <c r="H660" s="3">
        <f>IF('ORDENES'!$A638="","",IF('ORDENES'!$AO638="","-",'ORDENES'!$AO638))</f>
        <v/>
      </c>
      <c r="I660" s="3">
        <f>IF('ORDENES'!$A638="","",IF('ORDENES'!$D638="","-",'ORDENES'!$D638))</f>
        <v/>
      </c>
      <c r="J660" s="3">
        <f>IF('ORDENES'!$A638="","",IF('ORDENES'!$E638="","-",'ORDENES'!$E638))</f>
        <v/>
      </c>
      <c r="K660" s="12">
        <f>IF('ORDENES'!$A638="","",IF('ORDENES'!$N638="",0,'ORDENES'!$N638))</f>
        <v/>
      </c>
      <c r="L660" s="3">
        <f>IF('ORDENES'!$A638="","",IF('ORDENES'!$O638="","-",'ORDENES'!$O638))</f>
        <v/>
      </c>
      <c r="M660" s="3">
        <f>IF('ORDENES'!$A638="","",'ORDENES'!$AB638)</f>
        <v/>
      </c>
    </row>
    <row r="661">
      <c r="A661" s="3">
        <f>IF('ORDENES'!$A639="","",IF('ORDENES'!$P639="","-",'ORDENES'!$P639))</f>
        <v/>
      </c>
      <c r="B661" s="3">
        <f>IF('ORDENES'!$A639="","",IF('ORDENES'!$S639="","-",'ORDENES'!$S639))</f>
        <v/>
      </c>
      <c r="C661" s="3">
        <f>IF('ORDENES'!$A639="","",IF('ORDENES'!$AD639="","-",'ORDENES'!$AD639))</f>
        <v/>
      </c>
      <c r="D661" s="3">
        <f>IF('ORDENES'!$A639="","",IF('ORDENES'!$W639="","-",'ORDENES'!$W639))</f>
        <v/>
      </c>
      <c r="E661" s="3">
        <f>IF('ORDENES'!$A639="","",IF('ORDENES'!$V639="","-",'ORDENES'!$V639))</f>
        <v/>
      </c>
      <c r="F661" s="3">
        <f>IF('ORDENES'!$A639="","",IF('ORDENES'!$X639="","-",'ORDENES'!$X639))</f>
        <v/>
      </c>
      <c r="G661" s="3">
        <f>IF('ORDENES'!$A639="","",IF('ORDENES'!$AC639="","-",'ORDENES'!$AC639))</f>
        <v/>
      </c>
      <c r="H661" s="3">
        <f>IF('ORDENES'!$A639="","",IF('ORDENES'!$AO639="","-",'ORDENES'!$AO639))</f>
        <v/>
      </c>
      <c r="I661" s="3">
        <f>IF('ORDENES'!$A639="","",IF('ORDENES'!$D639="","-",'ORDENES'!$D639))</f>
        <v/>
      </c>
      <c r="J661" s="3">
        <f>IF('ORDENES'!$A639="","",IF('ORDENES'!$E639="","-",'ORDENES'!$E639))</f>
        <v/>
      </c>
      <c r="K661" s="12">
        <f>IF('ORDENES'!$A639="","",IF('ORDENES'!$N639="",0,'ORDENES'!$N639))</f>
        <v/>
      </c>
      <c r="L661" s="3">
        <f>IF('ORDENES'!$A639="","",IF('ORDENES'!$O639="","-",'ORDENES'!$O639))</f>
        <v/>
      </c>
      <c r="M661" s="3">
        <f>IF('ORDENES'!$A639="","",'ORDENES'!$AB639)</f>
        <v/>
      </c>
    </row>
    <row r="662">
      <c r="A662" s="3">
        <f>IF('ORDENES'!$A640="","",IF('ORDENES'!$P640="","-",'ORDENES'!$P640))</f>
        <v/>
      </c>
      <c r="B662" s="3">
        <f>IF('ORDENES'!$A640="","",IF('ORDENES'!$S640="","-",'ORDENES'!$S640))</f>
        <v/>
      </c>
      <c r="C662" s="3">
        <f>IF('ORDENES'!$A640="","",IF('ORDENES'!$AD640="","-",'ORDENES'!$AD640))</f>
        <v/>
      </c>
      <c r="D662" s="3">
        <f>IF('ORDENES'!$A640="","",IF('ORDENES'!$W640="","-",'ORDENES'!$W640))</f>
        <v/>
      </c>
      <c r="E662" s="3">
        <f>IF('ORDENES'!$A640="","",IF('ORDENES'!$V640="","-",'ORDENES'!$V640))</f>
        <v/>
      </c>
      <c r="F662" s="3">
        <f>IF('ORDENES'!$A640="","",IF('ORDENES'!$X640="","-",'ORDENES'!$X640))</f>
        <v/>
      </c>
      <c r="G662" s="3">
        <f>IF('ORDENES'!$A640="","",IF('ORDENES'!$AC640="","-",'ORDENES'!$AC640))</f>
        <v/>
      </c>
      <c r="H662" s="3">
        <f>IF('ORDENES'!$A640="","",IF('ORDENES'!$AO640="","-",'ORDENES'!$AO640))</f>
        <v/>
      </c>
      <c r="I662" s="3">
        <f>IF('ORDENES'!$A640="","",IF('ORDENES'!$D640="","-",'ORDENES'!$D640))</f>
        <v/>
      </c>
      <c r="J662" s="3">
        <f>IF('ORDENES'!$A640="","",IF('ORDENES'!$E640="","-",'ORDENES'!$E640))</f>
        <v/>
      </c>
      <c r="K662" s="12">
        <f>IF('ORDENES'!$A640="","",IF('ORDENES'!$N640="",0,'ORDENES'!$N640))</f>
        <v/>
      </c>
      <c r="L662" s="3">
        <f>IF('ORDENES'!$A640="","",IF('ORDENES'!$O640="","-",'ORDENES'!$O640))</f>
        <v/>
      </c>
      <c r="M662" s="3">
        <f>IF('ORDENES'!$A640="","",'ORDENES'!$AB640)</f>
        <v/>
      </c>
    </row>
    <row r="663">
      <c r="A663" s="3">
        <f>IF('ORDENES'!$A641="","",IF('ORDENES'!$P641="","-",'ORDENES'!$P641))</f>
        <v/>
      </c>
      <c r="B663" s="3">
        <f>IF('ORDENES'!$A641="","",IF('ORDENES'!$S641="","-",'ORDENES'!$S641))</f>
        <v/>
      </c>
      <c r="C663" s="3">
        <f>IF('ORDENES'!$A641="","",IF('ORDENES'!$AD641="","-",'ORDENES'!$AD641))</f>
        <v/>
      </c>
      <c r="D663" s="3">
        <f>IF('ORDENES'!$A641="","",IF('ORDENES'!$W641="","-",'ORDENES'!$W641))</f>
        <v/>
      </c>
      <c r="E663" s="3">
        <f>IF('ORDENES'!$A641="","",IF('ORDENES'!$V641="","-",'ORDENES'!$V641))</f>
        <v/>
      </c>
      <c r="F663" s="3">
        <f>IF('ORDENES'!$A641="","",IF('ORDENES'!$X641="","-",'ORDENES'!$X641))</f>
        <v/>
      </c>
      <c r="G663" s="3">
        <f>IF('ORDENES'!$A641="","",IF('ORDENES'!$AC641="","-",'ORDENES'!$AC641))</f>
        <v/>
      </c>
      <c r="H663" s="3">
        <f>IF('ORDENES'!$A641="","",IF('ORDENES'!$AO641="","-",'ORDENES'!$AO641))</f>
        <v/>
      </c>
      <c r="I663" s="3">
        <f>IF('ORDENES'!$A641="","",IF('ORDENES'!$D641="","-",'ORDENES'!$D641))</f>
        <v/>
      </c>
      <c r="J663" s="3">
        <f>IF('ORDENES'!$A641="","",IF('ORDENES'!$E641="","-",'ORDENES'!$E641))</f>
        <v/>
      </c>
      <c r="K663" s="12">
        <f>IF('ORDENES'!$A641="","",IF('ORDENES'!$N641="",0,'ORDENES'!$N641))</f>
        <v/>
      </c>
      <c r="L663" s="3">
        <f>IF('ORDENES'!$A641="","",IF('ORDENES'!$O641="","-",'ORDENES'!$O641))</f>
        <v/>
      </c>
      <c r="M663" s="3">
        <f>IF('ORDENES'!$A641="","",'ORDENES'!$AB641)</f>
        <v/>
      </c>
    </row>
    <row r="664">
      <c r="A664" s="3">
        <f>IF('ORDENES'!$A642="","",IF('ORDENES'!$P642="","-",'ORDENES'!$P642))</f>
        <v/>
      </c>
      <c r="B664" s="3">
        <f>IF('ORDENES'!$A642="","",IF('ORDENES'!$S642="","-",'ORDENES'!$S642))</f>
        <v/>
      </c>
      <c r="C664" s="3">
        <f>IF('ORDENES'!$A642="","",IF('ORDENES'!$AD642="","-",'ORDENES'!$AD642))</f>
        <v/>
      </c>
      <c r="D664" s="3">
        <f>IF('ORDENES'!$A642="","",IF('ORDENES'!$W642="","-",'ORDENES'!$W642))</f>
        <v/>
      </c>
      <c r="E664" s="3">
        <f>IF('ORDENES'!$A642="","",IF('ORDENES'!$V642="","-",'ORDENES'!$V642))</f>
        <v/>
      </c>
      <c r="F664" s="3">
        <f>IF('ORDENES'!$A642="","",IF('ORDENES'!$X642="","-",'ORDENES'!$X642))</f>
        <v/>
      </c>
      <c r="G664" s="3">
        <f>IF('ORDENES'!$A642="","",IF('ORDENES'!$AC642="","-",'ORDENES'!$AC642))</f>
        <v/>
      </c>
      <c r="H664" s="3">
        <f>IF('ORDENES'!$A642="","",IF('ORDENES'!$AO642="","-",'ORDENES'!$AO642))</f>
        <v/>
      </c>
      <c r="I664" s="3">
        <f>IF('ORDENES'!$A642="","",IF('ORDENES'!$D642="","-",'ORDENES'!$D642))</f>
        <v/>
      </c>
      <c r="J664" s="3">
        <f>IF('ORDENES'!$A642="","",IF('ORDENES'!$E642="","-",'ORDENES'!$E642))</f>
        <v/>
      </c>
      <c r="K664" s="12">
        <f>IF('ORDENES'!$A642="","",IF('ORDENES'!$N642="",0,'ORDENES'!$N642))</f>
        <v/>
      </c>
      <c r="L664" s="3">
        <f>IF('ORDENES'!$A642="","",IF('ORDENES'!$O642="","-",'ORDENES'!$O642))</f>
        <v/>
      </c>
      <c r="M664" s="3">
        <f>IF('ORDENES'!$A642="","",'ORDENES'!$AB642)</f>
        <v/>
      </c>
    </row>
    <row r="665">
      <c r="A665" s="3">
        <f>IF('ORDENES'!$A643="","",IF('ORDENES'!$P643="","-",'ORDENES'!$P643))</f>
        <v/>
      </c>
      <c r="B665" s="3">
        <f>IF('ORDENES'!$A643="","",IF('ORDENES'!$S643="","-",'ORDENES'!$S643))</f>
        <v/>
      </c>
      <c r="C665" s="3">
        <f>IF('ORDENES'!$A643="","",IF('ORDENES'!$AD643="","-",'ORDENES'!$AD643))</f>
        <v/>
      </c>
      <c r="D665" s="3">
        <f>IF('ORDENES'!$A643="","",IF('ORDENES'!$W643="","-",'ORDENES'!$W643))</f>
        <v/>
      </c>
      <c r="E665" s="3">
        <f>IF('ORDENES'!$A643="","",IF('ORDENES'!$V643="","-",'ORDENES'!$V643))</f>
        <v/>
      </c>
      <c r="F665" s="3">
        <f>IF('ORDENES'!$A643="","",IF('ORDENES'!$X643="","-",'ORDENES'!$X643))</f>
        <v/>
      </c>
      <c r="G665" s="3">
        <f>IF('ORDENES'!$A643="","",IF('ORDENES'!$AC643="","-",'ORDENES'!$AC643))</f>
        <v/>
      </c>
      <c r="H665" s="3">
        <f>IF('ORDENES'!$A643="","",IF('ORDENES'!$AO643="","-",'ORDENES'!$AO643))</f>
        <v/>
      </c>
      <c r="I665" s="3">
        <f>IF('ORDENES'!$A643="","",IF('ORDENES'!$D643="","-",'ORDENES'!$D643))</f>
        <v/>
      </c>
      <c r="J665" s="3">
        <f>IF('ORDENES'!$A643="","",IF('ORDENES'!$E643="","-",'ORDENES'!$E643))</f>
        <v/>
      </c>
      <c r="K665" s="12">
        <f>IF('ORDENES'!$A643="","",IF('ORDENES'!$N643="",0,'ORDENES'!$N643))</f>
        <v/>
      </c>
      <c r="L665" s="3">
        <f>IF('ORDENES'!$A643="","",IF('ORDENES'!$O643="","-",'ORDENES'!$O643))</f>
        <v/>
      </c>
      <c r="M665" s="3">
        <f>IF('ORDENES'!$A643="","",'ORDENES'!$AB643)</f>
        <v/>
      </c>
    </row>
    <row r="666">
      <c r="A666" s="3">
        <f>IF('ORDENES'!$A644="","",IF('ORDENES'!$P644="","-",'ORDENES'!$P644))</f>
        <v/>
      </c>
      <c r="B666" s="3">
        <f>IF('ORDENES'!$A644="","",IF('ORDENES'!$S644="","-",'ORDENES'!$S644))</f>
        <v/>
      </c>
      <c r="C666" s="3">
        <f>IF('ORDENES'!$A644="","",IF('ORDENES'!$AD644="","-",'ORDENES'!$AD644))</f>
        <v/>
      </c>
      <c r="D666" s="3">
        <f>IF('ORDENES'!$A644="","",IF('ORDENES'!$W644="","-",'ORDENES'!$W644))</f>
        <v/>
      </c>
      <c r="E666" s="3">
        <f>IF('ORDENES'!$A644="","",IF('ORDENES'!$V644="","-",'ORDENES'!$V644))</f>
        <v/>
      </c>
      <c r="F666" s="3">
        <f>IF('ORDENES'!$A644="","",IF('ORDENES'!$X644="","-",'ORDENES'!$X644))</f>
        <v/>
      </c>
      <c r="G666" s="3">
        <f>IF('ORDENES'!$A644="","",IF('ORDENES'!$AC644="","-",'ORDENES'!$AC644))</f>
        <v/>
      </c>
      <c r="H666" s="3">
        <f>IF('ORDENES'!$A644="","",IF('ORDENES'!$AO644="","-",'ORDENES'!$AO644))</f>
        <v/>
      </c>
      <c r="I666" s="3">
        <f>IF('ORDENES'!$A644="","",IF('ORDENES'!$D644="","-",'ORDENES'!$D644))</f>
        <v/>
      </c>
      <c r="J666" s="3">
        <f>IF('ORDENES'!$A644="","",IF('ORDENES'!$E644="","-",'ORDENES'!$E644))</f>
        <v/>
      </c>
      <c r="K666" s="12">
        <f>IF('ORDENES'!$A644="","",IF('ORDENES'!$N644="",0,'ORDENES'!$N644))</f>
        <v/>
      </c>
      <c r="L666" s="3">
        <f>IF('ORDENES'!$A644="","",IF('ORDENES'!$O644="","-",'ORDENES'!$O644))</f>
        <v/>
      </c>
      <c r="M666" s="3">
        <f>IF('ORDENES'!$A644="","",'ORDENES'!$AB644)</f>
        <v/>
      </c>
    </row>
    <row r="667">
      <c r="A667" s="3">
        <f>IF('ORDENES'!$A645="","",IF('ORDENES'!$P645="","-",'ORDENES'!$P645))</f>
        <v/>
      </c>
      <c r="B667" s="3">
        <f>IF('ORDENES'!$A645="","",IF('ORDENES'!$S645="","-",'ORDENES'!$S645))</f>
        <v/>
      </c>
      <c r="C667" s="3">
        <f>IF('ORDENES'!$A645="","",IF('ORDENES'!$AD645="","-",'ORDENES'!$AD645))</f>
        <v/>
      </c>
      <c r="D667" s="3">
        <f>IF('ORDENES'!$A645="","",IF('ORDENES'!$W645="","-",'ORDENES'!$W645))</f>
        <v/>
      </c>
      <c r="E667" s="3">
        <f>IF('ORDENES'!$A645="","",IF('ORDENES'!$V645="","-",'ORDENES'!$V645))</f>
        <v/>
      </c>
      <c r="F667" s="3">
        <f>IF('ORDENES'!$A645="","",IF('ORDENES'!$X645="","-",'ORDENES'!$X645))</f>
        <v/>
      </c>
      <c r="G667" s="3">
        <f>IF('ORDENES'!$A645="","",IF('ORDENES'!$AC645="","-",'ORDENES'!$AC645))</f>
        <v/>
      </c>
      <c r="H667" s="3">
        <f>IF('ORDENES'!$A645="","",IF('ORDENES'!$AO645="","-",'ORDENES'!$AO645))</f>
        <v/>
      </c>
      <c r="I667" s="3">
        <f>IF('ORDENES'!$A645="","",IF('ORDENES'!$D645="","-",'ORDENES'!$D645))</f>
        <v/>
      </c>
      <c r="J667" s="3">
        <f>IF('ORDENES'!$A645="","",IF('ORDENES'!$E645="","-",'ORDENES'!$E645))</f>
        <v/>
      </c>
      <c r="K667" s="12">
        <f>IF('ORDENES'!$A645="","",IF('ORDENES'!$N645="",0,'ORDENES'!$N645))</f>
        <v/>
      </c>
      <c r="L667" s="3">
        <f>IF('ORDENES'!$A645="","",IF('ORDENES'!$O645="","-",'ORDENES'!$O645))</f>
        <v/>
      </c>
      <c r="M667" s="3">
        <f>IF('ORDENES'!$A645="","",'ORDENES'!$AB645)</f>
        <v/>
      </c>
    </row>
    <row r="668">
      <c r="A668" s="3">
        <f>IF('ORDENES'!$A646="","",IF('ORDENES'!$P646="","-",'ORDENES'!$P646))</f>
        <v/>
      </c>
      <c r="B668" s="3">
        <f>IF('ORDENES'!$A646="","",IF('ORDENES'!$S646="","-",'ORDENES'!$S646))</f>
        <v/>
      </c>
      <c r="C668" s="3">
        <f>IF('ORDENES'!$A646="","",IF('ORDENES'!$AD646="","-",'ORDENES'!$AD646))</f>
        <v/>
      </c>
      <c r="D668" s="3">
        <f>IF('ORDENES'!$A646="","",IF('ORDENES'!$W646="","-",'ORDENES'!$W646))</f>
        <v/>
      </c>
      <c r="E668" s="3">
        <f>IF('ORDENES'!$A646="","",IF('ORDENES'!$V646="","-",'ORDENES'!$V646))</f>
        <v/>
      </c>
      <c r="F668" s="3">
        <f>IF('ORDENES'!$A646="","",IF('ORDENES'!$X646="","-",'ORDENES'!$X646))</f>
        <v/>
      </c>
      <c r="G668" s="3">
        <f>IF('ORDENES'!$A646="","",IF('ORDENES'!$AC646="","-",'ORDENES'!$AC646))</f>
        <v/>
      </c>
      <c r="H668" s="3">
        <f>IF('ORDENES'!$A646="","",IF('ORDENES'!$AO646="","-",'ORDENES'!$AO646))</f>
        <v/>
      </c>
      <c r="I668" s="3">
        <f>IF('ORDENES'!$A646="","",IF('ORDENES'!$D646="","-",'ORDENES'!$D646))</f>
        <v/>
      </c>
      <c r="J668" s="3">
        <f>IF('ORDENES'!$A646="","",IF('ORDENES'!$E646="","-",'ORDENES'!$E646))</f>
        <v/>
      </c>
      <c r="K668" s="12">
        <f>IF('ORDENES'!$A646="","",IF('ORDENES'!$N646="",0,'ORDENES'!$N646))</f>
        <v/>
      </c>
      <c r="L668" s="3">
        <f>IF('ORDENES'!$A646="","",IF('ORDENES'!$O646="","-",'ORDENES'!$O646))</f>
        <v/>
      </c>
      <c r="M668" s="3">
        <f>IF('ORDENES'!$A646="","",'ORDENES'!$AB646)</f>
        <v/>
      </c>
    </row>
    <row r="669">
      <c r="A669" s="3">
        <f>IF('ORDENES'!$A647="","",IF('ORDENES'!$P647="","-",'ORDENES'!$P647))</f>
        <v/>
      </c>
      <c r="B669" s="3">
        <f>IF('ORDENES'!$A647="","",IF('ORDENES'!$S647="","-",'ORDENES'!$S647))</f>
        <v/>
      </c>
      <c r="C669" s="3">
        <f>IF('ORDENES'!$A647="","",IF('ORDENES'!$AD647="","-",'ORDENES'!$AD647))</f>
        <v/>
      </c>
      <c r="D669" s="3">
        <f>IF('ORDENES'!$A647="","",IF('ORDENES'!$W647="","-",'ORDENES'!$W647))</f>
        <v/>
      </c>
      <c r="E669" s="3">
        <f>IF('ORDENES'!$A647="","",IF('ORDENES'!$V647="","-",'ORDENES'!$V647))</f>
        <v/>
      </c>
      <c r="F669" s="3">
        <f>IF('ORDENES'!$A647="","",IF('ORDENES'!$X647="","-",'ORDENES'!$X647))</f>
        <v/>
      </c>
      <c r="G669" s="3">
        <f>IF('ORDENES'!$A647="","",IF('ORDENES'!$AC647="","-",'ORDENES'!$AC647))</f>
        <v/>
      </c>
      <c r="H669" s="3">
        <f>IF('ORDENES'!$A647="","",IF('ORDENES'!$AO647="","-",'ORDENES'!$AO647))</f>
        <v/>
      </c>
      <c r="I669" s="3">
        <f>IF('ORDENES'!$A647="","",IF('ORDENES'!$D647="","-",'ORDENES'!$D647))</f>
        <v/>
      </c>
      <c r="J669" s="3">
        <f>IF('ORDENES'!$A647="","",IF('ORDENES'!$E647="","-",'ORDENES'!$E647))</f>
        <v/>
      </c>
      <c r="K669" s="12">
        <f>IF('ORDENES'!$A647="","",IF('ORDENES'!$N647="",0,'ORDENES'!$N647))</f>
        <v/>
      </c>
      <c r="L669" s="3">
        <f>IF('ORDENES'!$A647="","",IF('ORDENES'!$O647="","-",'ORDENES'!$O647))</f>
        <v/>
      </c>
      <c r="M669" s="3">
        <f>IF('ORDENES'!$A647="","",'ORDENES'!$AB647)</f>
        <v/>
      </c>
    </row>
    <row r="670">
      <c r="A670" s="3">
        <f>IF('ORDENES'!$A648="","",IF('ORDENES'!$P648="","-",'ORDENES'!$P648))</f>
        <v/>
      </c>
      <c r="B670" s="3">
        <f>IF('ORDENES'!$A648="","",IF('ORDENES'!$S648="","-",'ORDENES'!$S648))</f>
        <v/>
      </c>
      <c r="C670" s="3">
        <f>IF('ORDENES'!$A648="","",IF('ORDENES'!$AD648="","-",'ORDENES'!$AD648))</f>
        <v/>
      </c>
      <c r="D670" s="3">
        <f>IF('ORDENES'!$A648="","",IF('ORDENES'!$W648="","-",'ORDENES'!$W648))</f>
        <v/>
      </c>
      <c r="E670" s="3">
        <f>IF('ORDENES'!$A648="","",IF('ORDENES'!$V648="","-",'ORDENES'!$V648))</f>
        <v/>
      </c>
      <c r="F670" s="3">
        <f>IF('ORDENES'!$A648="","",IF('ORDENES'!$X648="","-",'ORDENES'!$X648))</f>
        <v/>
      </c>
      <c r="G670" s="3">
        <f>IF('ORDENES'!$A648="","",IF('ORDENES'!$AC648="","-",'ORDENES'!$AC648))</f>
        <v/>
      </c>
      <c r="H670" s="3">
        <f>IF('ORDENES'!$A648="","",IF('ORDENES'!$AO648="","-",'ORDENES'!$AO648))</f>
        <v/>
      </c>
      <c r="I670" s="3">
        <f>IF('ORDENES'!$A648="","",IF('ORDENES'!$D648="","-",'ORDENES'!$D648))</f>
        <v/>
      </c>
      <c r="J670" s="3">
        <f>IF('ORDENES'!$A648="","",IF('ORDENES'!$E648="","-",'ORDENES'!$E648))</f>
        <v/>
      </c>
      <c r="K670" s="12">
        <f>IF('ORDENES'!$A648="","",IF('ORDENES'!$N648="",0,'ORDENES'!$N648))</f>
        <v/>
      </c>
      <c r="L670" s="3">
        <f>IF('ORDENES'!$A648="","",IF('ORDENES'!$O648="","-",'ORDENES'!$O648))</f>
        <v/>
      </c>
      <c r="M670" s="3">
        <f>IF('ORDENES'!$A648="","",'ORDENES'!$AB648)</f>
        <v/>
      </c>
    </row>
    <row r="671">
      <c r="A671" s="3">
        <f>IF('ORDENES'!$A649="","",IF('ORDENES'!$P649="","-",'ORDENES'!$P649))</f>
        <v/>
      </c>
      <c r="B671" s="3">
        <f>IF('ORDENES'!$A649="","",IF('ORDENES'!$S649="","-",'ORDENES'!$S649))</f>
        <v/>
      </c>
      <c r="C671" s="3">
        <f>IF('ORDENES'!$A649="","",IF('ORDENES'!$AD649="","-",'ORDENES'!$AD649))</f>
        <v/>
      </c>
      <c r="D671" s="3">
        <f>IF('ORDENES'!$A649="","",IF('ORDENES'!$W649="","-",'ORDENES'!$W649))</f>
        <v/>
      </c>
      <c r="E671" s="3">
        <f>IF('ORDENES'!$A649="","",IF('ORDENES'!$V649="","-",'ORDENES'!$V649))</f>
        <v/>
      </c>
      <c r="F671" s="3">
        <f>IF('ORDENES'!$A649="","",IF('ORDENES'!$X649="","-",'ORDENES'!$X649))</f>
        <v/>
      </c>
      <c r="G671" s="3">
        <f>IF('ORDENES'!$A649="","",IF('ORDENES'!$AC649="","-",'ORDENES'!$AC649))</f>
        <v/>
      </c>
      <c r="H671" s="3">
        <f>IF('ORDENES'!$A649="","",IF('ORDENES'!$AO649="","-",'ORDENES'!$AO649))</f>
        <v/>
      </c>
      <c r="I671" s="3">
        <f>IF('ORDENES'!$A649="","",IF('ORDENES'!$D649="","-",'ORDENES'!$D649))</f>
        <v/>
      </c>
      <c r="J671" s="3">
        <f>IF('ORDENES'!$A649="","",IF('ORDENES'!$E649="","-",'ORDENES'!$E649))</f>
        <v/>
      </c>
      <c r="K671" s="12">
        <f>IF('ORDENES'!$A649="","",IF('ORDENES'!$N649="",0,'ORDENES'!$N649))</f>
        <v/>
      </c>
      <c r="L671" s="3">
        <f>IF('ORDENES'!$A649="","",IF('ORDENES'!$O649="","-",'ORDENES'!$O649))</f>
        <v/>
      </c>
      <c r="M671" s="3">
        <f>IF('ORDENES'!$A649="","",'ORDENES'!$AB649)</f>
        <v/>
      </c>
    </row>
    <row r="672">
      <c r="A672" s="3">
        <f>IF('ORDENES'!$A650="","",IF('ORDENES'!$P650="","-",'ORDENES'!$P650))</f>
        <v/>
      </c>
      <c r="B672" s="3">
        <f>IF('ORDENES'!$A650="","",IF('ORDENES'!$S650="","-",'ORDENES'!$S650))</f>
        <v/>
      </c>
      <c r="C672" s="3">
        <f>IF('ORDENES'!$A650="","",IF('ORDENES'!$AD650="","-",'ORDENES'!$AD650))</f>
        <v/>
      </c>
      <c r="D672" s="3">
        <f>IF('ORDENES'!$A650="","",IF('ORDENES'!$W650="","-",'ORDENES'!$W650))</f>
        <v/>
      </c>
      <c r="E672" s="3">
        <f>IF('ORDENES'!$A650="","",IF('ORDENES'!$V650="","-",'ORDENES'!$V650))</f>
        <v/>
      </c>
      <c r="F672" s="3">
        <f>IF('ORDENES'!$A650="","",IF('ORDENES'!$X650="","-",'ORDENES'!$X650))</f>
        <v/>
      </c>
      <c r="G672" s="3">
        <f>IF('ORDENES'!$A650="","",IF('ORDENES'!$AC650="","-",'ORDENES'!$AC650))</f>
        <v/>
      </c>
      <c r="H672" s="3">
        <f>IF('ORDENES'!$A650="","",IF('ORDENES'!$AO650="","-",'ORDENES'!$AO650))</f>
        <v/>
      </c>
      <c r="I672" s="3">
        <f>IF('ORDENES'!$A650="","",IF('ORDENES'!$D650="","-",'ORDENES'!$D650))</f>
        <v/>
      </c>
      <c r="J672" s="3">
        <f>IF('ORDENES'!$A650="","",IF('ORDENES'!$E650="","-",'ORDENES'!$E650))</f>
        <v/>
      </c>
      <c r="K672" s="12">
        <f>IF('ORDENES'!$A650="","",IF('ORDENES'!$N650="",0,'ORDENES'!$N650))</f>
        <v/>
      </c>
      <c r="L672" s="3">
        <f>IF('ORDENES'!$A650="","",IF('ORDENES'!$O650="","-",'ORDENES'!$O650))</f>
        <v/>
      </c>
      <c r="M672" s="3">
        <f>IF('ORDENES'!$A650="","",'ORDENES'!$AB650)</f>
        <v/>
      </c>
    </row>
    <row r="673">
      <c r="A673" s="3">
        <f>IF('ORDENES'!$A651="","",IF('ORDENES'!$P651="","-",'ORDENES'!$P651))</f>
        <v/>
      </c>
      <c r="B673" s="3">
        <f>IF('ORDENES'!$A651="","",IF('ORDENES'!$S651="","-",'ORDENES'!$S651))</f>
        <v/>
      </c>
      <c r="C673" s="3">
        <f>IF('ORDENES'!$A651="","",IF('ORDENES'!$AD651="","-",'ORDENES'!$AD651))</f>
        <v/>
      </c>
      <c r="D673" s="3">
        <f>IF('ORDENES'!$A651="","",IF('ORDENES'!$W651="","-",'ORDENES'!$W651))</f>
        <v/>
      </c>
      <c r="E673" s="3">
        <f>IF('ORDENES'!$A651="","",IF('ORDENES'!$V651="","-",'ORDENES'!$V651))</f>
        <v/>
      </c>
      <c r="F673" s="3">
        <f>IF('ORDENES'!$A651="","",IF('ORDENES'!$X651="","-",'ORDENES'!$X651))</f>
        <v/>
      </c>
      <c r="G673" s="3">
        <f>IF('ORDENES'!$A651="","",IF('ORDENES'!$AC651="","-",'ORDENES'!$AC651))</f>
        <v/>
      </c>
      <c r="H673" s="3">
        <f>IF('ORDENES'!$A651="","",IF('ORDENES'!$AO651="","-",'ORDENES'!$AO651))</f>
        <v/>
      </c>
      <c r="I673" s="3">
        <f>IF('ORDENES'!$A651="","",IF('ORDENES'!$D651="","-",'ORDENES'!$D651))</f>
        <v/>
      </c>
      <c r="J673" s="3">
        <f>IF('ORDENES'!$A651="","",IF('ORDENES'!$E651="","-",'ORDENES'!$E651))</f>
        <v/>
      </c>
      <c r="K673" s="12">
        <f>IF('ORDENES'!$A651="","",IF('ORDENES'!$N651="",0,'ORDENES'!$N651))</f>
        <v/>
      </c>
      <c r="L673" s="3">
        <f>IF('ORDENES'!$A651="","",IF('ORDENES'!$O651="","-",'ORDENES'!$O651))</f>
        <v/>
      </c>
      <c r="M673" s="3">
        <f>IF('ORDENES'!$A651="","",'ORDENES'!$AB651)</f>
        <v/>
      </c>
    </row>
    <row r="674">
      <c r="A674" s="3">
        <f>IF('ORDENES'!$A652="","",IF('ORDENES'!$P652="","-",'ORDENES'!$P652))</f>
        <v/>
      </c>
      <c r="B674" s="3">
        <f>IF('ORDENES'!$A652="","",IF('ORDENES'!$S652="","-",'ORDENES'!$S652))</f>
        <v/>
      </c>
      <c r="C674" s="3">
        <f>IF('ORDENES'!$A652="","",IF('ORDENES'!$AD652="","-",'ORDENES'!$AD652))</f>
        <v/>
      </c>
      <c r="D674" s="3">
        <f>IF('ORDENES'!$A652="","",IF('ORDENES'!$W652="","-",'ORDENES'!$W652))</f>
        <v/>
      </c>
      <c r="E674" s="3">
        <f>IF('ORDENES'!$A652="","",IF('ORDENES'!$V652="","-",'ORDENES'!$V652))</f>
        <v/>
      </c>
      <c r="F674" s="3">
        <f>IF('ORDENES'!$A652="","",IF('ORDENES'!$X652="","-",'ORDENES'!$X652))</f>
        <v/>
      </c>
      <c r="G674" s="3">
        <f>IF('ORDENES'!$A652="","",IF('ORDENES'!$AC652="","-",'ORDENES'!$AC652))</f>
        <v/>
      </c>
      <c r="H674" s="3">
        <f>IF('ORDENES'!$A652="","",IF('ORDENES'!$AO652="","-",'ORDENES'!$AO652))</f>
        <v/>
      </c>
      <c r="I674" s="3">
        <f>IF('ORDENES'!$A652="","",IF('ORDENES'!$D652="","-",'ORDENES'!$D652))</f>
        <v/>
      </c>
      <c r="J674" s="3">
        <f>IF('ORDENES'!$A652="","",IF('ORDENES'!$E652="","-",'ORDENES'!$E652))</f>
        <v/>
      </c>
      <c r="K674" s="12">
        <f>IF('ORDENES'!$A652="","",IF('ORDENES'!$N652="",0,'ORDENES'!$N652))</f>
        <v/>
      </c>
      <c r="L674" s="3">
        <f>IF('ORDENES'!$A652="","",IF('ORDENES'!$O652="","-",'ORDENES'!$O652))</f>
        <v/>
      </c>
      <c r="M674" s="3">
        <f>IF('ORDENES'!$A652="","",'ORDENES'!$AB652)</f>
        <v/>
      </c>
    </row>
    <row r="675">
      <c r="A675" s="3">
        <f>IF('ORDENES'!$A653="","",IF('ORDENES'!$P653="","-",'ORDENES'!$P653))</f>
        <v/>
      </c>
      <c r="B675" s="3">
        <f>IF('ORDENES'!$A653="","",IF('ORDENES'!$S653="","-",'ORDENES'!$S653))</f>
        <v/>
      </c>
      <c r="C675" s="3">
        <f>IF('ORDENES'!$A653="","",IF('ORDENES'!$AD653="","-",'ORDENES'!$AD653))</f>
        <v/>
      </c>
      <c r="D675" s="3">
        <f>IF('ORDENES'!$A653="","",IF('ORDENES'!$W653="","-",'ORDENES'!$W653))</f>
        <v/>
      </c>
      <c r="E675" s="3">
        <f>IF('ORDENES'!$A653="","",IF('ORDENES'!$V653="","-",'ORDENES'!$V653))</f>
        <v/>
      </c>
      <c r="F675" s="3">
        <f>IF('ORDENES'!$A653="","",IF('ORDENES'!$X653="","-",'ORDENES'!$X653))</f>
        <v/>
      </c>
      <c r="G675" s="3">
        <f>IF('ORDENES'!$A653="","",IF('ORDENES'!$AC653="","-",'ORDENES'!$AC653))</f>
        <v/>
      </c>
      <c r="H675" s="3">
        <f>IF('ORDENES'!$A653="","",IF('ORDENES'!$AO653="","-",'ORDENES'!$AO653))</f>
        <v/>
      </c>
      <c r="I675" s="3">
        <f>IF('ORDENES'!$A653="","",IF('ORDENES'!$D653="","-",'ORDENES'!$D653))</f>
        <v/>
      </c>
      <c r="J675" s="3">
        <f>IF('ORDENES'!$A653="","",IF('ORDENES'!$E653="","-",'ORDENES'!$E653))</f>
        <v/>
      </c>
      <c r="K675" s="12">
        <f>IF('ORDENES'!$A653="","",IF('ORDENES'!$N653="",0,'ORDENES'!$N653))</f>
        <v/>
      </c>
      <c r="L675" s="3">
        <f>IF('ORDENES'!$A653="","",IF('ORDENES'!$O653="","-",'ORDENES'!$O653))</f>
        <v/>
      </c>
      <c r="M675" s="3">
        <f>IF('ORDENES'!$A653="","",'ORDENES'!$AB653)</f>
        <v/>
      </c>
    </row>
    <row r="676">
      <c r="A676" s="3">
        <f>IF('ORDENES'!$A654="","",IF('ORDENES'!$P654="","-",'ORDENES'!$P654))</f>
        <v/>
      </c>
      <c r="B676" s="3">
        <f>IF('ORDENES'!$A654="","",IF('ORDENES'!$S654="","-",'ORDENES'!$S654))</f>
        <v/>
      </c>
      <c r="C676" s="3">
        <f>IF('ORDENES'!$A654="","",IF('ORDENES'!$AD654="","-",'ORDENES'!$AD654))</f>
        <v/>
      </c>
      <c r="D676" s="3">
        <f>IF('ORDENES'!$A654="","",IF('ORDENES'!$W654="","-",'ORDENES'!$W654))</f>
        <v/>
      </c>
      <c r="E676" s="3">
        <f>IF('ORDENES'!$A654="","",IF('ORDENES'!$V654="","-",'ORDENES'!$V654))</f>
        <v/>
      </c>
      <c r="F676" s="3">
        <f>IF('ORDENES'!$A654="","",IF('ORDENES'!$X654="","-",'ORDENES'!$X654))</f>
        <v/>
      </c>
      <c r="G676" s="3">
        <f>IF('ORDENES'!$A654="","",IF('ORDENES'!$AC654="","-",'ORDENES'!$AC654))</f>
        <v/>
      </c>
      <c r="H676" s="3">
        <f>IF('ORDENES'!$A654="","",IF('ORDENES'!$AO654="","-",'ORDENES'!$AO654))</f>
        <v/>
      </c>
      <c r="I676" s="3">
        <f>IF('ORDENES'!$A654="","",IF('ORDENES'!$D654="","-",'ORDENES'!$D654))</f>
        <v/>
      </c>
      <c r="J676" s="3">
        <f>IF('ORDENES'!$A654="","",IF('ORDENES'!$E654="","-",'ORDENES'!$E654))</f>
        <v/>
      </c>
      <c r="K676" s="12">
        <f>IF('ORDENES'!$A654="","",IF('ORDENES'!$N654="",0,'ORDENES'!$N654))</f>
        <v/>
      </c>
      <c r="L676" s="3">
        <f>IF('ORDENES'!$A654="","",IF('ORDENES'!$O654="","-",'ORDENES'!$O654))</f>
        <v/>
      </c>
      <c r="M676" s="3">
        <f>IF('ORDENES'!$A654="","",'ORDENES'!$AB654)</f>
        <v/>
      </c>
    </row>
    <row r="677">
      <c r="A677" s="3">
        <f>IF('ORDENES'!$A655="","",IF('ORDENES'!$P655="","-",'ORDENES'!$P655))</f>
        <v/>
      </c>
      <c r="B677" s="3">
        <f>IF('ORDENES'!$A655="","",IF('ORDENES'!$S655="","-",'ORDENES'!$S655))</f>
        <v/>
      </c>
      <c r="C677" s="3">
        <f>IF('ORDENES'!$A655="","",IF('ORDENES'!$AD655="","-",'ORDENES'!$AD655))</f>
        <v/>
      </c>
      <c r="D677" s="3">
        <f>IF('ORDENES'!$A655="","",IF('ORDENES'!$W655="","-",'ORDENES'!$W655))</f>
        <v/>
      </c>
      <c r="E677" s="3">
        <f>IF('ORDENES'!$A655="","",IF('ORDENES'!$V655="","-",'ORDENES'!$V655))</f>
        <v/>
      </c>
      <c r="F677" s="3">
        <f>IF('ORDENES'!$A655="","",IF('ORDENES'!$X655="","-",'ORDENES'!$X655))</f>
        <v/>
      </c>
      <c r="G677" s="3">
        <f>IF('ORDENES'!$A655="","",IF('ORDENES'!$AC655="","-",'ORDENES'!$AC655))</f>
        <v/>
      </c>
      <c r="H677" s="3">
        <f>IF('ORDENES'!$A655="","",IF('ORDENES'!$AO655="","-",'ORDENES'!$AO655))</f>
        <v/>
      </c>
      <c r="I677" s="3">
        <f>IF('ORDENES'!$A655="","",IF('ORDENES'!$D655="","-",'ORDENES'!$D655))</f>
        <v/>
      </c>
      <c r="J677" s="3">
        <f>IF('ORDENES'!$A655="","",IF('ORDENES'!$E655="","-",'ORDENES'!$E655))</f>
        <v/>
      </c>
      <c r="K677" s="12">
        <f>IF('ORDENES'!$A655="","",IF('ORDENES'!$N655="",0,'ORDENES'!$N655))</f>
        <v/>
      </c>
      <c r="L677" s="3">
        <f>IF('ORDENES'!$A655="","",IF('ORDENES'!$O655="","-",'ORDENES'!$O655))</f>
        <v/>
      </c>
      <c r="M677" s="3">
        <f>IF('ORDENES'!$A655="","",'ORDENES'!$AB655)</f>
        <v/>
      </c>
    </row>
    <row r="678">
      <c r="A678" s="3">
        <f>IF('ORDENES'!$A656="","",IF('ORDENES'!$P656="","-",'ORDENES'!$P656))</f>
        <v/>
      </c>
      <c r="B678" s="3">
        <f>IF('ORDENES'!$A656="","",IF('ORDENES'!$S656="","-",'ORDENES'!$S656))</f>
        <v/>
      </c>
      <c r="C678" s="3">
        <f>IF('ORDENES'!$A656="","",IF('ORDENES'!$AD656="","-",'ORDENES'!$AD656))</f>
        <v/>
      </c>
      <c r="D678" s="3">
        <f>IF('ORDENES'!$A656="","",IF('ORDENES'!$W656="","-",'ORDENES'!$W656))</f>
        <v/>
      </c>
      <c r="E678" s="3">
        <f>IF('ORDENES'!$A656="","",IF('ORDENES'!$V656="","-",'ORDENES'!$V656))</f>
        <v/>
      </c>
      <c r="F678" s="3">
        <f>IF('ORDENES'!$A656="","",IF('ORDENES'!$X656="","-",'ORDENES'!$X656))</f>
        <v/>
      </c>
      <c r="G678" s="3">
        <f>IF('ORDENES'!$A656="","",IF('ORDENES'!$AC656="","-",'ORDENES'!$AC656))</f>
        <v/>
      </c>
      <c r="H678" s="3">
        <f>IF('ORDENES'!$A656="","",IF('ORDENES'!$AO656="","-",'ORDENES'!$AO656))</f>
        <v/>
      </c>
      <c r="I678" s="3">
        <f>IF('ORDENES'!$A656="","",IF('ORDENES'!$D656="","-",'ORDENES'!$D656))</f>
        <v/>
      </c>
      <c r="J678" s="3">
        <f>IF('ORDENES'!$A656="","",IF('ORDENES'!$E656="","-",'ORDENES'!$E656))</f>
        <v/>
      </c>
      <c r="K678" s="12">
        <f>IF('ORDENES'!$A656="","",IF('ORDENES'!$N656="",0,'ORDENES'!$N656))</f>
        <v/>
      </c>
      <c r="L678" s="3">
        <f>IF('ORDENES'!$A656="","",IF('ORDENES'!$O656="","-",'ORDENES'!$O656))</f>
        <v/>
      </c>
      <c r="M678" s="3">
        <f>IF('ORDENES'!$A656="","",'ORDENES'!$AB656)</f>
        <v/>
      </c>
    </row>
    <row r="679">
      <c r="A679" s="3">
        <f>IF('ORDENES'!$A657="","",IF('ORDENES'!$P657="","-",'ORDENES'!$P657))</f>
        <v/>
      </c>
      <c r="B679" s="3">
        <f>IF('ORDENES'!$A657="","",IF('ORDENES'!$S657="","-",'ORDENES'!$S657))</f>
        <v/>
      </c>
      <c r="C679" s="3">
        <f>IF('ORDENES'!$A657="","",IF('ORDENES'!$AD657="","-",'ORDENES'!$AD657))</f>
        <v/>
      </c>
      <c r="D679" s="3">
        <f>IF('ORDENES'!$A657="","",IF('ORDENES'!$W657="","-",'ORDENES'!$W657))</f>
        <v/>
      </c>
      <c r="E679" s="3">
        <f>IF('ORDENES'!$A657="","",IF('ORDENES'!$V657="","-",'ORDENES'!$V657))</f>
        <v/>
      </c>
      <c r="F679" s="3">
        <f>IF('ORDENES'!$A657="","",IF('ORDENES'!$X657="","-",'ORDENES'!$X657))</f>
        <v/>
      </c>
      <c r="G679" s="3">
        <f>IF('ORDENES'!$A657="","",IF('ORDENES'!$AC657="","-",'ORDENES'!$AC657))</f>
        <v/>
      </c>
      <c r="H679" s="3">
        <f>IF('ORDENES'!$A657="","",IF('ORDENES'!$AO657="","-",'ORDENES'!$AO657))</f>
        <v/>
      </c>
      <c r="I679" s="3">
        <f>IF('ORDENES'!$A657="","",IF('ORDENES'!$D657="","-",'ORDENES'!$D657))</f>
        <v/>
      </c>
      <c r="J679" s="3">
        <f>IF('ORDENES'!$A657="","",IF('ORDENES'!$E657="","-",'ORDENES'!$E657))</f>
        <v/>
      </c>
      <c r="K679" s="12">
        <f>IF('ORDENES'!$A657="","",IF('ORDENES'!$N657="",0,'ORDENES'!$N657))</f>
        <v/>
      </c>
      <c r="L679" s="3">
        <f>IF('ORDENES'!$A657="","",IF('ORDENES'!$O657="","-",'ORDENES'!$O657))</f>
        <v/>
      </c>
      <c r="M679" s="3">
        <f>IF('ORDENES'!$A657="","",'ORDENES'!$AB657)</f>
        <v/>
      </c>
    </row>
    <row r="680">
      <c r="A680" s="3">
        <f>IF('ORDENES'!$A658="","",IF('ORDENES'!$P658="","-",'ORDENES'!$P658))</f>
        <v/>
      </c>
      <c r="B680" s="3">
        <f>IF('ORDENES'!$A658="","",IF('ORDENES'!$S658="","-",'ORDENES'!$S658))</f>
        <v/>
      </c>
      <c r="C680" s="3">
        <f>IF('ORDENES'!$A658="","",IF('ORDENES'!$AD658="","-",'ORDENES'!$AD658))</f>
        <v/>
      </c>
      <c r="D680" s="3">
        <f>IF('ORDENES'!$A658="","",IF('ORDENES'!$W658="","-",'ORDENES'!$W658))</f>
        <v/>
      </c>
      <c r="E680" s="3">
        <f>IF('ORDENES'!$A658="","",IF('ORDENES'!$V658="","-",'ORDENES'!$V658))</f>
        <v/>
      </c>
      <c r="F680" s="3">
        <f>IF('ORDENES'!$A658="","",IF('ORDENES'!$X658="","-",'ORDENES'!$X658))</f>
        <v/>
      </c>
      <c r="G680" s="3">
        <f>IF('ORDENES'!$A658="","",IF('ORDENES'!$AC658="","-",'ORDENES'!$AC658))</f>
        <v/>
      </c>
      <c r="H680" s="3">
        <f>IF('ORDENES'!$A658="","",IF('ORDENES'!$AO658="","-",'ORDENES'!$AO658))</f>
        <v/>
      </c>
      <c r="I680" s="3">
        <f>IF('ORDENES'!$A658="","",IF('ORDENES'!$D658="","-",'ORDENES'!$D658))</f>
        <v/>
      </c>
      <c r="J680" s="3">
        <f>IF('ORDENES'!$A658="","",IF('ORDENES'!$E658="","-",'ORDENES'!$E658))</f>
        <v/>
      </c>
      <c r="K680" s="12">
        <f>IF('ORDENES'!$A658="","",IF('ORDENES'!$N658="",0,'ORDENES'!$N658))</f>
        <v/>
      </c>
      <c r="L680" s="3">
        <f>IF('ORDENES'!$A658="","",IF('ORDENES'!$O658="","-",'ORDENES'!$O658))</f>
        <v/>
      </c>
      <c r="M680" s="3">
        <f>IF('ORDENES'!$A658="","",'ORDENES'!$AB658)</f>
        <v/>
      </c>
    </row>
    <row r="681">
      <c r="A681" s="3">
        <f>IF('ORDENES'!$A659="","",IF('ORDENES'!$P659="","-",'ORDENES'!$P659))</f>
        <v/>
      </c>
      <c r="B681" s="3">
        <f>IF('ORDENES'!$A659="","",IF('ORDENES'!$S659="","-",'ORDENES'!$S659))</f>
        <v/>
      </c>
      <c r="C681" s="3">
        <f>IF('ORDENES'!$A659="","",IF('ORDENES'!$AD659="","-",'ORDENES'!$AD659))</f>
        <v/>
      </c>
      <c r="D681" s="3">
        <f>IF('ORDENES'!$A659="","",IF('ORDENES'!$W659="","-",'ORDENES'!$W659))</f>
        <v/>
      </c>
      <c r="E681" s="3">
        <f>IF('ORDENES'!$A659="","",IF('ORDENES'!$V659="","-",'ORDENES'!$V659))</f>
        <v/>
      </c>
      <c r="F681" s="3">
        <f>IF('ORDENES'!$A659="","",IF('ORDENES'!$X659="","-",'ORDENES'!$X659))</f>
        <v/>
      </c>
      <c r="G681" s="3">
        <f>IF('ORDENES'!$A659="","",IF('ORDENES'!$AC659="","-",'ORDENES'!$AC659))</f>
        <v/>
      </c>
      <c r="H681" s="3">
        <f>IF('ORDENES'!$A659="","",IF('ORDENES'!$AO659="","-",'ORDENES'!$AO659))</f>
        <v/>
      </c>
      <c r="I681" s="3">
        <f>IF('ORDENES'!$A659="","",IF('ORDENES'!$D659="","-",'ORDENES'!$D659))</f>
        <v/>
      </c>
      <c r="J681" s="3">
        <f>IF('ORDENES'!$A659="","",IF('ORDENES'!$E659="","-",'ORDENES'!$E659))</f>
        <v/>
      </c>
      <c r="K681" s="12">
        <f>IF('ORDENES'!$A659="","",IF('ORDENES'!$N659="",0,'ORDENES'!$N659))</f>
        <v/>
      </c>
      <c r="L681" s="3">
        <f>IF('ORDENES'!$A659="","",IF('ORDENES'!$O659="","-",'ORDENES'!$O659))</f>
        <v/>
      </c>
      <c r="M681" s="3">
        <f>IF('ORDENES'!$A659="","",'ORDENES'!$AB659)</f>
        <v/>
      </c>
    </row>
    <row r="682">
      <c r="A682" s="3">
        <f>IF('ORDENES'!$A660="","",IF('ORDENES'!$P660="","-",'ORDENES'!$P660))</f>
        <v/>
      </c>
      <c r="B682" s="3">
        <f>IF('ORDENES'!$A660="","",IF('ORDENES'!$S660="","-",'ORDENES'!$S660))</f>
        <v/>
      </c>
      <c r="C682" s="3">
        <f>IF('ORDENES'!$A660="","",IF('ORDENES'!$AD660="","-",'ORDENES'!$AD660))</f>
        <v/>
      </c>
      <c r="D682" s="3">
        <f>IF('ORDENES'!$A660="","",IF('ORDENES'!$W660="","-",'ORDENES'!$W660))</f>
        <v/>
      </c>
      <c r="E682" s="3">
        <f>IF('ORDENES'!$A660="","",IF('ORDENES'!$V660="","-",'ORDENES'!$V660))</f>
        <v/>
      </c>
      <c r="F682" s="3">
        <f>IF('ORDENES'!$A660="","",IF('ORDENES'!$X660="","-",'ORDENES'!$X660))</f>
        <v/>
      </c>
      <c r="G682" s="3">
        <f>IF('ORDENES'!$A660="","",IF('ORDENES'!$AC660="","-",'ORDENES'!$AC660))</f>
        <v/>
      </c>
      <c r="H682" s="3">
        <f>IF('ORDENES'!$A660="","",IF('ORDENES'!$AO660="","-",'ORDENES'!$AO660))</f>
        <v/>
      </c>
      <c r="I682" s="3">
        <f>IF('ORDENES'!$A660="","",IF('ORDENES'!$D660="","-",'ORDENES'!$D660))</f>
        <v/>
      </c>
      <c r="J682" s="3">
        <f>IF('ORDENES'!$A660="","",IF('ORDENES'!$E660="","-",'ORDENES'!$E660))</f>
        <v/>
      </c>
      <c r="K682" s="12">
        <f>IF('ORDENES'!$A660="","",IF('ORDENES'!$N660="",0,'ORDENES'!$N660))</f>
        <v/>
      </c>
      <c r="L682" s="3">
        <f>IF('ORDENES'!$A660="","",IF('ORDENES'!$O660="","-",'ORDENES'!$O660))</f>
        <v/>
      </c>
      <c r="M682" s="3">
        <f>IF('ORDENES'!$A660="","",'ORDENES'!$AB660)</f>
        <v/>
      </c>
    </row>
    <row r="683">
      <c r="A683" s="3">
        <f>IF('ORDENES'!$A661="","",IF('ORDENES'!$P661="","-",'ORDENES'!$P661))</f>
        <v/>
      </c>
      <c r="B683" s="3">
        <f>IF('ORDENES'!$A661="","",IF('ORDENES'!$S661="","-",'ORDENES'!$S661))</f>
        <v/>
      </c>
      <c r="C683" s="3">
        <f>IF('ORDENES'!$A661="","",IF('ORDENES'!$AD661="","-",'ORDENES'!$AD661))</f>
        <v/>
      </c>
      <c r="D683" s="3">
        <f>IF('ORDENES'!$A661="","",IF('ORDENES'!$W661="","-",'ORDENES'!$W661))</f>
        <v/>
      </c>
      <c r="E683" s="3">
        <f>IF('ORDENES'!$A661="","",IF('ORDENES'!$V661="","-",'ORDENES'!$V661))</f>
        <v/>
      </c>
      <c r="F683" s="3">
        <f>IF('ORDENES'!$A661="","",IF('ORDENES'!$X661="","-",'ORDENES'!$X661))</f>
        <v/>
      </c>
      <c r="G683" s="3">
        <f>IF('ORDENES'!$A661="","",IF('ORDENES'!$AC661="","-",'ORDENES'!$AC661))</f>
        <v/>
      </c>
      <c r="H683" s="3">
        <f>IF('ORDENES'!$A661="","",IF('ORDENES'!$AO661="","-",'ORDENES'!$AO661))</f>
        <v/>
      </c>
      <c r="I683" s="3">
        <f>IF('ORDENES'!$A661="","",IF('ORDENES'!$D661="","-",'ORDENES'!$D661))</f>
        <v/>
      </c>
      <c r="J683" s="3">
        <f>IF('ORDENES'!$A661="","",IF('ORDENES'!$E661="","-",'ORDENES'!$E661))</f>
        <v/>
      </c>
      <c r="K683" s="12">
        <f>IF('ORDENES'!$A661="","",IF('ORDENES'!$N661="",0,'ORDENES'!$N661))</f>
        <v/>
      </c>
      <c r="L683" s="3">
        <f>IF('ORDENES'!$A661="","",IF('ORDENES'!$O661="","-",'ORDENES'!$O661))</f>
        <v/>
      </c>
      <c r="M683" s="3">
        <f>IF('ORDENES'!$A661="","",'ORDENES'!$AB661)</f>
        <v/>
      </c>
    </row>
    <row r="684">
      <c r="A684" s="3">
        <f>IF('ORDENES'!$A662="","",IF('ORDENES'!$P662="","-",'ORDENES'!$P662))</f>
        <v/>
      </c>
      <c r="B684" s="3">
        <f>IF('ORDENES'!$A662="","",IF('ORDENES'!$S662="","-",'ORDENES'!$S662))</f>
        <v/>
      </c>
      <c r="C684" s="3">
        <f>IF('ORDENES'!$A662="","",IF('ORDENES'!$AD662="","-",'ORDENES'!$AD662))</f>
        <v/>
      </c>
      <c r="D684" s="3">
        <f>IF('ORDENES'!$A662="","",IF('ORDENES'!$W662="","-",'ORDENES'!$W662))</f>
        <v/>
      </c>
      <c r="E684" s="3">
        <f>IF('ORDENES'!$A662="","",IF('ORDENES'!$V662="","-",'ORDENES'!$V662))</f>
        <v/>
      </c>
      <c r="F684" s="3">
        <f>IF('ORDENES'!$A662="","",IF('ORDENES'!$X662="","-",'ORDENES'!$X662))</f>
        <v/>
      </c>
      <c r="G684" s="3">
        <f>IF('ORDENES'!$A662="","",IF('ORDENES'!$AC662="","-",'ORDENES'!$AC662))</f>
        <v/>
      </c>
      <c r="H684" s="3">
        <f>IF('ORDENES'!$A662="","",IF('ORDENES'!$AO662="","-",'ORDENES'!$AO662))</f>
        <v/>
      </c>
      <c r="I684" s="3">
        <f>IF('ORDENES'!$A662="","",IF('ORDENES'!$D662="","-",'ORDENES'!$D662))</f>
        <v/>
      </c>
      <c r="J684" s="3">
        <f>IF('ORDENES'!$A662="","",IF('ORDENES'!$E662="","-",'ORDENES'!$E662))</f>
        <v/>
      </c>
      <c r="K684" s="12">
        <f>IF('ORDENES'!$A662="","",IF('ORDENES'!$N662="",0,'ORDENES'!$N662))</f>
        <v/>
      </c>
      <c r="L684" s="3">
        <f>IF('ORDENES'!$A662="","",IF('ORDENES'!$O662="","-",'ORDENES'!$O662))</f>
        <v/>
      </c>
      <c r="M684" s="3">
        <f>IF('ORDENES'!$A662="","",'ORDENES'!$AB662)</f>
        <v/>
      </c>
    </row>
    <row r="685">
      <c r="A685" s="3">
        <f>IF('ORDENES'!$A663="","",IF('ORDENES'!$P663="","-",'ORDENES'!$P663))</f>
        <v/>
      </c>
      <c r="B685" s="3">
        <f>IF('ORDENES'!$A663="","",IF('ORDENES'!$S663="","-",'ORDENES'!$S663))</f>
        <v/>
      </c>
      <c r="C685" s="3">
        <f>IF('ORDENES'!$A663="","",IF('ORDENES'!$AD663="","-",'ORDENES'!$AD663))</f>
        <v/>
      </c>
      <c r="D685" s="3">
        <f>IF('ORDENES'!$A663="","",IF('ORDENES'!$W663="","-",'ORDENES'!$W663))</f>
        <v/>
      </c>
      <c r="E685" s="3">
        <f>IF('ORDENES'!$A663="","",IF('ORDENES'!$V663="","-",'ORDENES'!$V663))</f>
        <v/>
      </c>
      <c r="F685" s="3">
        <f>IF('ORDENES'!$A663="","",IF('ORDENES'!$X663="","-",'ORDENES'!$X663))</f>
        <v/>
      </c>
      <c r="G685" s="3">
        <f>IF('ORDENES'!$A663="","",IF('ORDENES'!$AC663="","-",'ORDENES'!$AC663))</f>
        <v/>
      </c>
      <c r="H685" s="3">
        <f>IF('ORDENES'!$A663="","",IF('ORDENES'!$AO663="","-",'ORDENES'!$AO663))</f>
        <v/>
      </c>
      <c r="I685" s="3">
        <f>IF('ORDENES'!$A663="","",IF('ORDENES'!$D663="","-",'ORDENES'!$D663))</f>
        <v/>
      </c>
      <c r="J685" s="3">
        <f>IF('ORDENES'!$A663="","",IF('ORDENES'!$E663="","-",'ORDENES'!$E663))</f>
        <v/>
      </c>
      <c r="K685" s="12">
        <f>IF('ORDENES'!$A663="","",IF('ORDENES'!$N663="",0,'ORDENES'!$N663))</f>
        <v/>
      </c>
      <c r="L685" s="3">
        <f>IF('ORDENES'!$A663="","",IF('ORDENES'!$O663="","-",'ORDENES'!$O663))</f>
        <v/>
      </c>
      <c r="M685" s="3">
        <f>IF('ORDENES'!$A663="","",'ORDENES'!$AB663)</f>
        <v/>
      </c>
    </row>
    <row r="686">
      <c r="A686" s="3">
        <f>IF('ORDENES'!$A664="","",IF('ORDENES'!$P664="","-",'ORDENES'!$P664))</f>
        <v/>
      </c>
      <c r="B686" s="3">
        <f>IF('ORDENES'!$A664="","",IF('ORDENES'!$S664="","-",'ORDENES'!$S664))</f>
        <v/>
      </c>
      <c r="C686" s="3">
        <f>IF('ORDENES'!$A664="","",IF('ORDENES'!$AD664="","-",'ORDENES'!$AD664))</f>
        <v/>
      </c>
      <c r="D686" s="3">
        <f>IF('ORDENES'!$A664="","",IF('ORDENES'!$W664="","-",'ORDENES'!$W664))</f>
        <v/>
      </c>
      <c r="E686" s="3">
        <f>IF('ORDENES'!$A664="","",IF('ORDENES'!$V664="","-",'ORDENES'!$V664))</f>
        <v/>
      </c>
      <c r="F686" s="3">
        <f>IF('ORDENES'!$A664="","",IF('ORDENES'!$X664="","-",'ORDENES'!$X664))</f>
        <v/>
      </c>
      <c r="G686" s="3">
        <f>IF('ORDENES'!$A664="","",IF('ORDENES'!$AC664="","-",'ORDENES'!$AC664))</f>
        <v/>
      </c>
      <c r="H686" s="3">
        <f>IF('ORDENES'!$A664="","",IF('ORDENES'!$AO664="","-",'ORDENES'!$AO664))</f>
        <v/>
      </c>
      <c r="I686" s="3">
        <f>IF('ORDENES'!$A664="","",IF('ORDENES'!$D664="","-",'ORDENES'!$D664))</f>
        <v/>
      </c>
      <c r="J686" s="3">
        <f>IF('ORDENES'!$A664="","",IF('ORDENES'!$E664="","-",'ORDENES'!$E664))</f>
        <v/>
      </c>
      <c r="K686" s="12">
        <f>IF('ORDENES'!$A664="","",IF('ORDENES'!$N664="",0,'ORDENES'!$N664))</f>
        <v/>
      </c>
      <c r="L686" s="3">
        <f>IF('ORDENES'!$A664="","",IF('ORDENES'!$O664="","-",'ORDENES'!$O664))</f>
        <v/>
      </c>
      <c r="M686" s="3">
        <f>IF('ORDENES'!$A664="","",'ORDENES'!$AB664)</f>
        <v/>
      </c>
    </row>
    <row r="687">
      <c r="A687" s="3">
        <f>IF('ORDENES'!$A665="","",IF('ORDENES'!$P665="","-",'ORDENES'!$P665))</f>
        <v/>
      </c>
      <c r="B687" s="3">
        <f>IF('ORDENES'!$A665="","",IF('ORDENES'!$S665="","-",'ORDENES'!$S665))</f>
        <v/>
      </c>
      <c r="C687" s="3">
        <f>IF('ORDENES'!$A665="","",IF('ORDENES'!$AD665="","-",'ORDENES'!$AD665))</f>
        <v/>
      </c>
      <c r="D687" s="3">
        <f>IF('ORDENES'!$A665="","",IF('ORDENES'!$W665="","-",'ORDENES'!$W665))</f>
        <v/>
      </c>
      <c r="E687" s="3">
        <f>IF('ORDENES'!$A665="","",IF('ORDENES'!$V665="","-",'ORDENES'!$V665))</f>
        <v/>
      </c>
      <c r="F687" s="3">
        <f>IF('ORDENES'!$A665="","",IF('ORDENES'!$X665="","-",'ORDENES'!$X665))</f>
        <v/>
      </c>
      <c r="G687" s="3">
        <f>IF('ORDENES'!$A665="","",IF('ORDENES'!$AC665="","-",'ORDENES'!$AC665))</f>
        <v/>
      </c>
      <c r="H687" s="3">
        <f>IF('ORDENES'!$A665="","",IF('ORDENES'!$AO665="","-",'ORDENES'!$AO665))</f>
        <v/>
      </c>
      <c r="I687" s="3">
        <f>IF('ORDENES'!$A665="","",IF('ORDENES'!$D665="","-",'ORDENES'!$D665))</f>
        <v/>
      </c>
      <c r="J687" s="3">
        <f>IF('ORDENES'!$A665="","",IF('ORDENES'!$E665="","-",'ORDENES'!$E665))</f>
        <v/>
      </c>
      <c r="K687" s="12">
        <f>IF('ORDENES'!$A665="","",IF('ORDENES'!$N665="",0,'ORDENES'!$N665))</f>
        <v/>
      </c>
      <c r="L687" s="3">
        <f>IF('ORDENES'!$A665="","",IF('ORDENES'!$O665="","-",'ORDENES'!$O665))</f>
        <v/>
      </c>
      <c r="M687" s="3">
        <f>IF('ORDENES'!$A665="","",'ORDENES'!$AB665)</f>
        <v/>
      </c>
    </row>
    <row r="688">
      <c r="A688" s="3">
        <f>IF('ORDENES'!$A666="","",IF('ORDENES'!$P666="","-",'ORDENES'!$P666))</f>
        <v/>
      </c>
      <c r="B688" s="3">
        <f>IF('ORDENES'!$A666="","",IF('ORDENES'!$S666="","-",'ORDENES'!$S666))</f>
        <v/>
      </c>
      <c r="C688" s="3">
        <f>IF('ORDENES'!$A666="","",IF('ORDENES'!$AD666="","-",'ORDENES'!$AD666))</f>
        <v/>
      </c>
      <c r="D688" s="3">
        <f>IF('ORDENES'!$A666="","",IF('ORDENES'!$W666="","-",'ORDENES'!$W666))</f>
        <v/>
      </c>
      <c r="E688" s="3">
        <f>IF('ORDENES'!$A666="","",IF('ORDENES'!$V666="","-",'ORDENES'!$V666))</f>
        <v/>
      </c>
      <c r="F688" s="3">
        <f>IF('ORDENES'!$A666="","",IF('ORDENES'!$X666="","-",'ORDENES'!$X666))</f>
        <v/>
      </c>
      <c r="G688" s="3">
        <f>IF('ORDENES'!$A666="","",IF('ORDENES'!$AC666="","-",'ORDENES'!$AC666))</f>
        <v/>
      </c>
      <c r="H688" s="3">
        <f>IF('ORDENES'!$A666="","",IF('ORDENES'!$AO666="","-",'ORDENES'!$AO666))</f>
        <v/>
      </c>
      <c r="I688" s="3">
        <f>IF('ORDENES'!$A666="","",IF('ORDENES'!$D666="","-",'ORDENES'!$D666))</f>
        <v/>
      </c>
      <c r="J688" s="3">
        <f>IF('ORDENES'!$A666="","",IF('ORDENES'!$E666="","-",'ORDENES'!$E666))</f>
        <v/>
      </c>
      <c r="K688" s="12">
        <f>IF('ORDENES'!$A666="","",IF('ORDENES'!$N666="",0,'ORDENES'!$N666))</f>
        <v/>
      </c>
      <c r="L688" s="3">
        <f>IF('ORDENES'!$A666="","",IF('ORDENES'!$O666="","-",'ORDENES'!$O666))</f>
        <v/>
      </c>
      <c r="M688" s="3">
        <f>IF('ORDENES'!$A666="","",'ORDENES'!$AB666)</f>
        <v/>
      </c>
    </row>
    <row r="689">
      <c r="A689" s="3">
        <f>IF('ORDENES'!$A667="","",IF('ORDENES'!$P667="","-",'ORDENES'!$P667))</f>
        <v/>
      </c>
      <c r="B689" s="3">
        <f>IF('ORDENES'!$A667="","",IF('ORDENES'!$S667="","-",'ORDENES'!$S667))</f>
        <v/>
      </c>
      <c r="C689" s="3">
        <f>IF('ORDENES'!$A667="","",IF('ORDENES'!$AD667="","-",'ORDENES'!$AD667))</f>
        <v/>
      </c>
      <c r="D689" s="3">
        <f>IF('ORDENES'!$A667="","",IF('ORDENES'!$W667="","-",'ORDENES'!$W667))</f>
        <v/>
      </c>
      <c r="E689" s="3">
        <f>IF('ORDENES'!$A667="","",IF('ORDENES'!$V667="","-",'ORDENES'!$V667))</f>
        <v/>
      </c>
      <c r="F689" s="3">
        <f>IF('ORDENES'!$A667="","",IF('ORDENES'!$X667="","-",'ORDENES'!$X667))</f>
        <v/>
      </c>
      <c r="G689" s="3">
        <f>IF('ORDENES'!$A667="","",IF('ORDENES'!$AC667="","-",'ORDENES'!$AC667))</f>
        <v/>
      </c>
      <c r="H689" s="3">
        <f>IF('ORDENES'!$A667="","",IF('ORDENES'!$AO667="","-",'ORDENES'!$AO667))</f>
        <v/>
      </c>
      <c r="I689" s="3">
        <f>IF('ORDENES'!$A667="","",IF('ORDENES'!$D667="","-",'ORDENES'!$D667))</f>
        <v/>
      </c>
      <c r="J689" s="3">
        <f>IF('ORDENES'!$A667="","",IF('ORDENES'!$E667="","-",'ORDENES'!$E667))</f>
        <v/>
      </c>
      <c r="K689" s="12">
        <f>IF('ORDENES'!$A667="","",IF('ORDENES'!$N667="",0,'ORDENES'!$N667))</f>
        <v/>
      </c>
      <c r="L689" s="3">
        <f>IF('ORDENES'!$A667="","",IF('ORDENES'!$O667="","-",'ORDENES'!$O667))</f>
        <v/>
      </c>
      <c r="M689" s="3">
        <f>IF('ORDENES'!$A667="","",'ORDENES'!$AB667)</f>
        <v/>
      </c>
    </row>
    <row r="690">
      <c r="A690" s="3">
        <f>IF('ORDENES'!$A668="","",IF('ORDENES'!$P668="","-",'ORDENES'!$P668))</f>
        <v/>
      </c>
      <c r="B690" s="3">
        <f>IF('ORDENES'!$A668="","",IF('ORDENES'!$S668="","-",'ORDENES'!$S668))</f>
        <v/>
      </c>
      <c r="C690" s="3">
        <f>IF('ORDENES'!$A668="","",IF('ORDENES'!$AD668="","-",'ORDENES'!$AD668))</f>
        <v/>
      </c>
      <c r="D690" s="3">
        <f>IF('ORDENES'!$A668="","",IF('ORDENES'!$W668="","-",'ORDENES'!$W668))</f>
        <v/>
      </c>
      <c r="E690" s="3">
        <f>IF('ORDENES'!$A668="","",IF('ORDENES'!$V668="","-",'ORDENES'!$V668))</f>
        <v/>
      </c>
      <c r="F690" s="3">
        <f>IF('ORDENES'!$A668="","",IF('ORDENES'!$X668="","-",'ORDENES'!$X668))</f>
        <v/>
      </c>
      <c r="G690" s="3">
        <f>IF('ORDENES'!$A668="","",IF('ORDENES'!$AC668="","-",'ORDENES'!$AC668))</f>
        <v/>
      </c>
      <c r="H690" s="3">
        <f>IF('ORDENES'!$A668="","",IF('ORDENES'!$AO668="","-",'ORDENES'!$AO668))</f>
        <v/>
      </c>
      <c r="I690" s="3">
        <f>IF('ORDENES'!$A668="","",IF('ORDENES'!$D668="","-",'ORDENES'!$D668))</f>
        <v/>
      </c>
      <c r="J690" s="3">
        <f>IF('ORDENES'!$A668="","",IF('ORDENES'!$E668="","-",'ORDENES'!$E668))</f>
        <v/>
      </c>
      <c r="K690" s="12">
        <f>IF('ORDENES'!$A668="","",IF('ORDENES'!$N668="",0,'ORDENES'!$N668))</f>
        <v/>
      </c>
      <c r="L690" s="3">
        <f>IF('ORDENES'!$A668="","",IF('ORDENES'!$O668="","-",'ORDENES'!$O668))</f>
        <v/>
      </c>
      <c r="M690" s="3">
        <f>IF('ORDENES'!$A668="","",'ORDENES'!$AB668)</f>
        <v/>
      </c>
    </row>
    <row r="691">
      <c r="A691" s="3">
        <f>IF('ORDENES'!$A669="","",IF('ORDENES'!$P669="","-",'ORDENES'!$P669))</f>
        <v/>
      </c>
      <c r="B691" s="3">
        <f>IF('ORDENES'!$A669="","",IF('ORDENES'!$S669="","-",'ORDENES'!$S669))</f>
        <v/>
      </c>
      <c r="C691" s="3">
        <f>IF('ORDENES'!$A669="","",IF('ORDENES'!$AD669="","-",'ORDENES'!$AD669))</f>
        <v/>
      </c>
      <c r="D691" s="3">
        <f>IF('ORDENES'!$A669="","",IF('ORDENES'!$W669="","-",'ORDENES'!$W669))</f>
        <v/>
      </c>
      <c r="E691" s="3">
        <f>IF('ORDENES'!$A669="","",IF('ORDENES'!$V669="","-",'ORDENES'!$V669))</f>
        <v/>
      </c>
      <c r="F691" s="3">
        <f>IF('ORDENES'!$A669="","",IF('ORDENES'!$X669="","-",'ORDENES'!$X669))</f>
        <v/>
      </c>
      <c r="G691" s="3">
        <f>IF('ORDENES'!$A669="","",IF('ORDENES'!$AC669="","-",'ORDENES'!$AC669))</f>
        <v/>
      </c>
      <c r="H691" s="3">
        <f>IF('ORDENES'!$A669="","",IF('ORDENES'!$AO669="","-",'ORDENES'!$AO669))</f>
        <v/>
      </c>
      <c r="I691" s="3">
        <f>IF('ORDENES'!$A669="","",IF('ORDENES'!$D669="","-",'ORDENES'!$D669))</f>
        <v/>
      </c>
      <c r="J691" s="3">
        <f>IF('ORDENES'!$A669="","",IF('ORDENES'!$E669="","-",'ORDENES'!$E669))</f>
        <v/>
      </c>
      <c r="K691" s="12">
        <f>IF('ORDENES'!$A669="","",IF('ORDENES'!$N669="",0,'ORDENES'!$N669))</f>
        <v/>
      </c>
      <c r="L691" s="3">
        <f>IF('ORDENES'!$A669="","",IF('ORDENES'!$O669="","-",'ORDENES'!$O669))</f>
        <v/>
      </c>
      <c r="M691" s="3">
        <f>IF('ORDENES'!$A669="","",'ORDENES'!$AB669)</f>
        <v/>
      </c>
    </row>
    <row r="692">
      <c r="A692" s="3">
        <f>IF('ORDENES'!$A670="","",IF('ORDENES'!$P670="","-",'ORDENES'!$P670))</f>
        <v/>
      </c>
      <c r="B692" s="3">
        <f>IF('ORDENES'!$A670="","",IF('ORDENES'!$S670="","-",'ORDENES'!$S670))</f>
        <v/>
      </c>
      <c r="C692" s="3">
        <f>IF('ORDENES'!$A670="","",IF('ORDENES'!$AD670="","-",'ORDENES'!$AD670))</f>
        <v/>
      </c>
      <c r="D692" s="3">
        <f>IF('ORDENES'!$A670="","",IF('ORDENES'!$W670="","-",'ORDENES'!$W670))</f>
        <v/>
      </c>
      <c r="E692" s="3">
        <f>IF('ORDENES'!$A670="","",IF('ORDENES'!$V670="","-",'ORDENES'!$V670))</f>
        <v/>
      </c>
      <c r="F692" s="3">
        <f>IF('ORDENES'!$A670="","",IF('ORDENES'!$X670="","-",'ORDENES'!$X670))</f>
        <v/>
      </c>
      <c r="G692" s="3">
        <f>IF('ORDENES'!$A670="","",IF('ORDENES'!$AC670="","-",'ORDENES'!$AC670))</f>
        <v/>
      </c>
      <c r="H692" s="3">
        <f>IF('ORDENES'!$A670="","",IF('ORDENES'!$AO670="","-",'ORDENES'!$AO670))</f>
        <v/>
      </c>
      <c r="I692" s="3">
        <f>IF('ORDENES'!$A670="","",IF('ORDENES'!$D670="","-",'ORDENES'!$D670))</f>
        <v/>
      </c>
      <c r="J692" s="3">
        <f>IF('ORDENES'!$A670="","",IF('ORDENES'!$E670="","-",'ORDENES'!$E670))</f>
        <v/>
      </c>
      <c r="K692" s="12">
        <f>IF('ORDENES'!$A670="","",IF('ORDENES'!$N670="",0,'ORDENES'!$N670))</f>
        <v/>
      </c>
      <c r="L692" s="3">
        <f>IF('ORDENES'!$A670="","",IF('ORDENES'!$O670="","-",'ORDENES'!$O670))</f>
        <v/>
      </c>
      <c r="M692" s="3">
        <f>IF('ORDENES'!$A670="","",'ORDENES'!$AB670)</f>
        <v/>
      </c>
    </row>
    <row r="693">
      <c r="A693" s="3">
        <f>IF('ORDENES'!$A671="","",IF('ORDENES'!$P671="","-",'ORDENES'!$P671))</f>
        <v/>
      </c>
      <c r="B693" s="3">
        <f>IF('ORDENES'!$A671="","",IF('ORDENES'!$S671="","-",'ORDENES'!$S671))</f>
        <v/>
      </c>
      <c r="C693" s="3">
        <f>IF('ORDENES'!$A671="","",IF('ORDENES'!$AD671="","-",'ORDENES'!$AD671))</f>
        <v/>
      </c>
      <c r="D693" s="3">
        <f>IF('ORDENES'!$A671="","",IF('ORDENES'!$W671="","-",'ORDENES'!$W671))</f>
        <v/>
      </c>
      <c r="E693" s="3">
        <f>IF('ORDENES'!$A671="","",IF('ORDENES'!$V671="","-",'ORDENES'!$V671))</f>
        <v/>
      </c>
      <c r="F693" s="3">
        <f>IF('ORDENES'!$A671="","",IF('ORDENES'!$X671="","-",'ORDENES'!$X671))</f>
        <v/>
      </c>
      <c r="G693" s="3">
        <f>IF('ORDENES'!$A671="","",IF('ORDENES'!$AC671="","-",'ORDENES'!$AC671))</f>
        <v/>
      </c>
      <c r="H693" s="3">
        <f>IF('ORDENES'!$A671="","",IF('ORDENES'!$AO671="","-",'ORDENES'!$AO671))</f>
        <v/>
      </c>
      <c r="I693" s="3">
        <f>IF('ORDENES'!$A671="","",IF('ORDENES'!$D671="","-",'ORDENES'!$D671))</f>
        <v/>
      </c>
      <c r="J693" s="3">
        <f>IF('ORDENES'!$A671="","",IF('ORDENES'!$E671="","-",'ORDENES'!$E671))</f>
        <v/>
      </c>
      <c r="K693" s="12">
        <f>IF('ORDENES'!$A671="","",IF('ORDENES'!$N671="",0,'ORDENES'!$N671))</f>
        <v/>
      </c>
      <c r="L693" s="3">
        <f>IF('ORDENES'!$A671="","",IF('ORDENES'!$O671="","-",'ORDENES'!$O671))</f>
        <v/>
      </c>
      <c r="M693" s="3">
        <f>IF('ORDENES'!$A671="","",'ORDENES'!$AB671)</f>
        <v/>
      </c>
    </row>
    <row r="694">
      <c r="A694" s="3">
        <f>IF('ORDENES'!$A672="","",IF('ORDENES'!$P672="","-",'ORDENES'!$P672))</f>
        <v/>
      </c>
      <c r="B694" s="3">
        <f>IF('ORDENES'!$A672="","",IF('ORDENES'!$S672="","-",'ORDENES'!$S672))</f>
        <v/>
      </c>
      <c r="C694" s="3">
        <f>IF('ORDENES'!$A672="","",IF('ORDENES'!$AD672="","-",'ORDENES'!$AD672))</f>
        <v/>
      </c>
      <c r="D694" s="3">
        <f>IF('ORDENES'!$A672="","",IF('ORDENES'!$W672="","-",'ORDENES'!$W672))</f>
        <v/>
      </c>
      <c r="E694" s="3">
        <f>IF('ORDENES'!$A672="","",IF('ORDENES'!$V672="","-",'ORDENES'!$V672))</f>
        <v/>
      </c>
      <c r="F694" s="3">
        <f>IF('ORDENES'!$A672="","",IF('ORDENES'!$X672="","-",'ORDENES'!$X672))</f>
        <v/>
      </c>
      <c r="G694" s="3">
        <f>IF('ORDENES'!$A672="","",IF('ORDENES'!$AC672="","-",'ORDENES'!$AC672))</f>
        <v/>
      </c>
      <c r="H694" s="3">
        <f>IF('ORDENES'!$A672="","",IF('ORDENES'!$AO672="","-",'ORDENES'!$AO672))</f>
        <v/>
      </c>
      <c r="I694" s="3">
        <f>IF('ORDENES'!$A672="","",IF('ORDENES'!$D672="","-",'ORDENES'!$D672))</f>
        <v/>
      </c>
      <c r="J694" s="3">
        <f>IF('ORDENES'!$A672="","",IF('ORDENES'!$E672="","-",'ORDENES'!$E672))</f>
        <v/>
      </c>
      <c r="K694" s="12">
        <f>IF('ORDENES'!$A672="","",IF('ORDENES'!$N672="",0,'ORDENES'!$N672))</f>
        <v/>
      </c>
      <c r="L694" s="3">
        <f>IF('ORDENES'!$A672="","",IF('ORDENES'!$O672="","-",'ORDENES'!$O672))</f>
        <v/>
      </c>
      <c r="M694" s="3">
        <f>IF('ORDENES'!$A672="","",'ORDENES'!$AB672)</f>
        <v/>
      </c>
    </row>
    <row r="695">
      <c r="A695" s="3">
        <f>IF('ORDENES'!$A673="","",IF('ORDENES'!$P673="","-",'ORDENES'!$P673))</f>
        <v/>
      </c>
      <c r="B695" s="3">
        <f>IF('ORDENES'!$A673="","",IF('ORDENES'!$S673="","-",'ORDENES'!$S673))</f>
        <v/>
      </c>
      <c r="C695" s="3">
        <f>IF('ORDENES'!$A673="","",IF('ORDENES'!$AD673="","-",'ORDENES'!$AD673))</f>
        <v/>
      </c>
      <c r="D695" s="3">
        <f>IF('ORDENES'!$A673="","",IF('ORDENES'!$W673="","-",'ORDENES'!$W673))</f>
        <v/>
      </c>
      <c r="E695" s="3">
        <f>IF('ORDENES'!$A673="","",IF('ORDENES'!$V673="","-",'ORDENES'!$V673))</f>
        <v/>
      </c>
      <c r="F695" s="3">
        <f>IF('ORDENES'!$A673="","",IF('ORDENES'!$X673="","-",'ORDENES'!$X673))</f>
        <v/>
      </c>
      <c r="G695" s="3">
        <f>IF('ORDENES'!$A673="","",IF('ORDENES'!$AC673="","-",'ORDENES'!$AC673))</f>
        <v/>
      </c>
      <c r="H695" s="3">
        <f>IF('ORDENES'!$A673="","",IF('ORDENES'!$AO673="","-",'ORDENES'!$AO673))</f>
        <v/>
      </c>
      <c r="I695" s="3">
        <f>IF('ORDENES'!$A673="","",IF('ORDENES'!$D673="","-",'ORDENES'!$D673))</f>
        <v/>
      </c>
      <c r="J695" s="3">
        <f>IF('ORDENES'!$A673="","",IF('ORDENES'!$E673="","-",'ORDENES'!$E673))</f>
        <v/>
      </c>
      <c r="K695" s="12">
        <f>IF('ORDENES'!$A673="","",IF('ORDENES'!$N673="",0,'ORDENES'!$N673))</f>
        <v/>
      </c>
      <c r="L695" s="3">
        <f>IF('ORDENES'!$A673="","",IF('ORDENES'!$O673="","-",'ORDENES'!$O673))</f>
        <v/>
      </c>
      <c r="M695" s="3">
        <f>IF('ORDENES'!$A673="","",'ORDENES'!$AB673)</f>
        <v/>
      </c>
    </row>
    <row r="696">
      <c r="A696" s="3">
        <f>IF('ORDENES'!$A674="","",IF('ORDENES'!$P674="","-",'ORDENES'!$P674))</f>
        <v/>
      </c>
      <c r="B696" s="3">
        <f>IF('ORDENES'!$A674="","",IF('ORDENES'!$S674="","-",'ORDENES'!$S674))</f>
        <v/>
      </c>
      <c r="C696" s="3">
        <f>IF('ORDENES'!$A674="","",IF('ORDENES'!$AD674="","-",'ORDENES'!$AD674))</f>
        <v/>
      </c>
      <c r="D696" s="3">
        <f>IF('ORDENES'!$A674="","",IF('ORDENES'!$W674="","-",'ORDENES'!$W674))</f>
        <v/>
      </c>
      <c r="E696" s="3">
        <f>IF('ORDENES'!$A674="","",IF('ORDENES'!$V674="","-",'ORDENES'!$V674))</f>
        <v/>
      </c>
      <c r="F696" s="3">
        <f>IF('ORDENES'!$A674="","",IF('ORDENES'!$X674="","-",'ORDENES'!$X674))</f>
        <v/>
      </c>
      <c r="G696" s="3">
        <f>IF('ORDENES'!$A674="","",IF('ORDENES'!$AC674="","-",'ORDENES'!$AC674))</f>
        <v/>
      </c>
      <c r="H696" s="3">
        <f>IF('ORDENES'!$A674="","",IF('ORDENES'!$AO674="","-",'ORDENES'!$AO674))</f>
        <v/>
      </c>
      <c r="I696" s="3">
        <f>IF('ORDENES'!$A674="","",IF('ORDENES'!$D674="","-",'ORDENES'!$D674))</f>
        <v/>
      </c>
      <c r="J696" s="3">
        <f>IF('ORDENES'!$A674="","",IF('ORDENES'!$E674="","-",'ORDENES'!$E674))</f>
        <v/>
      </c>
      <c r="K696" s="12">
        <f>IF('ORDENES'!$A674="","",IF('ORDENES'!$N674="",0,'ORDENES'!$N674))</f>
        <v/>
      </c>
      <c r="L696" s="3">
        <f>IF('ORDENES'!$A674="","",IF('ORDENES'!$O674="","-",'ORDENES'!$O674))</f>
        <v/>
      </c>
      <c r="M696" s="3">
        <f>IF('ORDENES'!$A674="","",'ORDENES'!$AB674)</f>
        <v/>
      </c>
    </row>
    <row r="697">
      <c r="A697" s="3">
        <f>IF('ORDENES'!$A675="","",IF('ORDENES'!$P675="","-",'ORDENES'!$P675))</f>
        <v/>
      </c>
      <c r="B697" s="3">
        <f>IF('ORDENES'!$A675="","",IF('ORDENES'!$S675="","-",'ORDENES'!$S675))</f>
        <v/>
      </c>
      <c r="C697" s="3">
        <f>IF('ORDENES'!$A675="","",IF('ORDENES'!$AD675="","-",'ORDENES'!$AD675))</f>
        <v/>
      </c>
      <c r="D697" s="3">
        <f>IF('ORDENES'!$A675="","",IF('ORDENES'!$W675="","-",'ORDENES'!$W675))</f>
        <v/>
      </c>
      <c r="E697" s="3">
        <f>IF('ORDENES'!$A675="","",IF('ORDENES'!$V675="","-",'ORDENES'!$V675))</f>
        <v/>
      </c>
      <c r="F697" s="3">
        <f>IF('ORDENES'!$A675="","",IF('ORDENES'!$X675="","-",'ORDENES'!$X675))</f>
        <v/>
      </c>
      <c r="G697" s="3">
        <f>IF('ORDENES'!$A675="","",IF('ORDENES'!$AC675="","-",'ORDENES'!$AC675))</f>
        <v/>
      </c>
      <c r="H697" s="3">
        <f>IF('ORDENES'!$A675="","",IF('ORDENES'!$AO675="","-",'ORDENES'!$AO675))</f>
        <v/>
      </c>
      <c r="I697" s="3">
        <f>IF('ORDENES'!$A675="","",IF('ORDENES'!$D675="","-",'ORDENES'!$D675))</f>
        <v/>
      </c>
      <c r="J697" s="3">
        <f>IF('ORDENES'!$A675="","",IF('ORDENES'!$E675="","-",'ORDENES'!$E675))</f>
        <v/>
      </c>
      <c r="K697" s="12">
        <f>IF('ORDENES'!$A675="","",IF('ORDENES'!$N675="",0,'ORDENES'!$N675))</f>
        <v/>
      </c>
      <c r="L697" s="3">
        <f>IF('ORDENES'!$A675="","",IF('ORDENES'!$O675="","-",'ORDENES'!$O675))</f>
        <v/>
      </c>
      <c r="M697" s="3">
        <f>IF('ORDENES'!$A675="","",'ORDENES'!$AB675)</f>
        <v/>
      </c>
    </row>
    <row r="698">
      <c r="A698" s="3">
        <f>IF('ORDENES'!$A676="","",IF('ORDENES'!$P676="","-",'ORDENES'!$P676))</f>
        <v/>
      </c>
      <c r="B698" s="3">
        <f>IF('ORDENES'!$A676="","",IF('ORDENES'!$S676="","-",'ORDENES'!$S676))</f>
        <v/>
      </c>
      <c r="C698" s="3">
        <f>IF('ORDENES'!$A676="","",IF('ORDENES'!$AD676="","-",'ORDENES'!$AD676))</f>
        <v/>
      </c>
      <c r="D698" s="3">
        <f>IF('ORDENES'!$A676="","",IF('ORDENES'!$W676="","-",'ORDENES'!$W676))</f>
        <v/>
      </c>
      <c r="E698" s="3">
        <f>IF('ORDENES'!$A676="","",IF('ORDENES'!$V676="","-",'ORDENES'!$V676))</f>
        <v/>
      </c>
      <c r="F698" s="3">
        <f>IF('ORDENES'!$A676="","",IF('ORDENES'!$X676="","-",'ORDENES'!$X676))</f>
        <v/>
      </c>
      <c r="G698" s="3">
        <f>IF('ORDENES'!$A676="","",IF('ORDENES'!$AC676="","-",'ORDENES'!$AC676))</f>
        <v/>
      </c>
      <c r="H698" s="3">
        <f>IF('ORDENES'!$A676="","",IF('ORDENES'!$AO676="","-",'ORDENES'!$AO676))</f>
        <v/>
      </c>
      <c r="I698" s="3">
        <f>IF('ORDENES'!$A676="","",IF('ORDENES'!$D676="","-",'ORDENES'!$D676))</f>
        <v/>
      </c>
      <c r="J698" s="3">
        <f>IF('ORDENES'!$A676="","",IF('ORDENES'!$E676="","-",'ORDENES'!$E676))</f>
        <v/>
      </c>
      <c r="K698" s="12">
        <f>IF('ORDENES'!$A676="","",IF('ORDENES'!$N676="",0,'ORDENES'!$N676))</f>
        <v/>
      </c>
      <c r="L698" s="3">
        <f>IF('ORDENES'!$A676="","",IF('ORDENES'!$O676="","-",'ORDENES'!$O676))</f>
        <v/>
      </c>
      <c r="M698" s="3">
        <f>IF('ORDENES'!$A676="","",'ORDENES'!$AB676)</f>
        <v/>
      </c>
    </row>
    <row r="699">
      <c r="A699" s="3">
        <f>IF('ORDENES'!$A677="","",IF('ORDENES'!$P677="","-",'ORDENES'!$P677))</f>
        <v/>
      </c>
      <c r="B699" s="3">
        <f>IF('ORDENES'!$A677="","",IF('ORDENES'!$S677="","-",'ORDENES'!$S677))</f>
        <v/>
      </c>
      <c r="C699" s="3">
        <f>IF('ORDENES'!$A677="","",IF('ORDENES'!$AD677="","-",'ORDENES'!$AD677))</f>
        <v/>
      </c>
      <c r="D699" s="3">
        <f>IF('ORDENES'!$A677="","",IF('ORDENES'!$W677="","-",'ORDENES'!$W677))</f>
        <v/>
      </c>
      <c r="E699" s="3">
        <f>IF('ORDENES'!$A677="","",IF('ORDENES'!$V677="","-",'ORDENES'!$V677))</f>
        <v/>
      </c>
      <c r="F699" s="3">
        <f>IF('ORDENES'!$A677="","",IF('ORDENES'!$X677="","-",'ORDENES'!$X677))</f>
        <v/>
      </c>
      <c r="G699" s="3">
        <f>IF('ORDENES'!$A677="","",IF('ORDENES'!$AC677="","-",'ORDENES'!$AC677))</f>
        <v/>
      </c>
      <c r="H699" s="3">
        <f>IF('ORDENES'!$A677="","",IF('ORDENES'!$AO677="","-",'ORDENES'!$AO677))</f>
        <v/>
      </c>
      <c r="I699" s="3">
        <f>IF('ORDENES'!$A677="","",IF('ORDENES'!$D677="","-",'ORDENES'!$D677))</f>
        <v/>
      </c>
      <c r="J699" s="3">
        <f>IF('ORDENES'!$A677="","",IF('ORDENES'!$E677="","-",'ORDENES'!$E677))</f>
        <v/>
      </c>
      <c r="K699" s="12">
        <f>IF('ORDENES'!$A677="","",IF('ORDENES'!$N677="",0,'ORDENES'!$N677))</f>
        <v/>
      </c>
      <c r="L699" s="3">
        <f>IF('ORDENES'!$A677="","",IF('ORDENES'!$O677="","-",'ORDENES'!$O677))</f>
        <v/>
      </c>
      <c r="M699" s="3">
        <f>IF('ORDENES'!$A677="","",'ORDENES'!$AB677)</f>
        <v/>
      </c>
    </row>
    <row r="700">
      <c r="A700" s="3">
        <f>IF('ORDENES'!$A678="","",IF('ORDENES'!$P678="","-",'ORDENES'!$P678))</f>
        <v/>
      </c>
      <c r="B700" s="3">
        <f>IF('ORDENES'!$A678="","",IF('ORDENES'!$S678="","-",'ORDENES'!$S678))</f>
        <v/>
      </c>
      <c r="C700" s="3">
        <f>IF('ORDENES'!$A678="","",IF('ORDENES'!$AD678="","-",'ORDENES'!$AD678))</f>
        <v/>
      </c>
      <c r="D700" s="3">
        <f>IF('ORDENES'!$A678="","",IF('ORDENES'!$W678="","-",'ORDENES'!$W678))</f>
        <v/>
      </c>
      <c r="E700" s="3">
        <f>IF('ORDENES'!$A678="","",IF('ORDENES'!$V678="","-",'ORDENES'!$V678))</f>
        <v/>
      </c>
      <c r="F700" s="3">
        <f>IF('ORDENES'!$A678="","",IF('ORDENES'!$X678="","-",'ORDENES'!$X678))</f>
        <v/>
      </c>
      <c r="G700" s="3">
        <f>IF('ORDENES'!$A678="","",IF('ORDENES'!$AC678="","-",'ORDENES'!$AC678))</f>
        <v/>
      </c>
      <c r="H700" s="3">
        <f>IF('ORDENES'!$A678="","",IF('ORDENES'!$AO678="","-",'ORDENES'!$AO678))</f>
        <v/>
      </c>
      <c r="I700" s="3">
        <f>IF('ORDENES'!$A678="","",IF('ORDENES'!$D678="","-",'ORDENES'!$D678))</f>
        <v/>
      </c>
      <c r="J700" s="3">
        <f>IF('ORDENES'!$A678="","",IF('ORDENES'!$E678="","-",'ORDENES'!$E678))</f>
        <v/>
      </c>
      <c r="K700" s="12">
        <f>IF('ORDENES'!$A678="","",IF('ORDENES'!$N678="",0,'ORDENES'!$N678))</f>
        <v/>
      </c>
      <c r="L700" s="3">
        <f>IF('ORDENES'!$A678="","",IF('ORDENES'!$O678="","-",'ORDENES'!$O678))</f>
        <v/>
      </c>
      <c r="M700" s="3">
        <f>IF('ORDENES'!$A678="","",'ORDENES'!$AB678)</f>
        <v/>
      </c>
    </row>
    <row r="701">
      <c r="A701" s="3">
        <f>IF('ORDENES'!$A679="","",IF('ORDENES'!$P679="","-",'ORDENES'!$P679))</f>
        <v/>
      </c>
      <c r="B701" s="3">
        <f>IF('ORDENES'!$A679="","",IF('ORDENES'!$S679="","-",'ORDENES'!$S679))</f>
        <v/>
      </c>
      <c r="C701" s="3">
        <f>IF('ORDENES'!$A679="","",IF('ORDENES'!$AD679="","-",'ORDENES'!$AD679))</f>
        <v/>
      </c>
      <c r="D701" s="3">
        <f>IF('ORDENES'!$A679="","",IF('ORDENES'!$W679="","-",'ORDENES'!$W679))</f>
        <v/>
      </c>
      <c r="E701" s="3">
        <f>IF('ORDENES'!$A679="","",IF('ORDENES'!$V679="","-",'ORDENES'!$V679))</f>
        <v/>
      </c>
      <c r="F701" s="3">
        <f>IF('ORDENES'!$A679="","",IF('ORDENES'!$X679="","-",'ORDENES'!$X679))</f>
        <v/>
      </c>
      <c r="G701" s="3">
        <f>IF('ORDENES'!$A679="","",IF('ORDENES'!$AC679="","-",'ORDENES'!$AC679))</f>
        <v/>
      </c>
      <c r="H701" s="3">
        <f>IF('ORDENES'!$A679="","",IF('ORDENES'!$AO679="","-",'ORDENES'!$AO679))</f>
        <v/>
      </c>
      <c r="I701" s="3">
        <f>IF('ORDENES'!$A679="","",IF('ORDENES'!$D679="","-",'ORDENES'!$D679))</f>
        <v/>
      </c>
      <c r="J701" s="3">
        <f>IF('ORDENES'!$A679="","",IF('ORDENES'!$E679="","-",'ORDENES'!$E679))</f>
        <v/>
      </c>
      <c r="K701" s="12">
        <f>IF('ORDENES'!$A679="","",IF('ORDENES'!$N679="",0,'ORDENES'!$N679))</f>
        <v/>
      </c>
      <c r="L701" s="3">
        <f>IF('ORDENES'!$A679="","",IF('ORDENES'!$O679="","-",'ORDENES'!$O679))</f>
        <v/>
      </c>
      <c r="M701" s="3">
        <f>IF('ORDENES'!$A679="","",'ORDENES'!$AB679)</f>
        <v/>
      </c>
    </row>
    <row r="702">
      <c r="A702" s="3">
        <f>IF('ORDENES'!$A680="","",IF('ORDENES'!$P680="","-",'ORDENES'!$P680))</f>
        <v/>
      </c>
      <c r="B702" s="3">
        <f>IF('ORDENES'!$A680="","",IF('ORDENES'!$S680="","-",'ORDENES'!$S680))</f>
        <v/>
      </c>
      <c r="C702" s="3">
        <f>IF('ORDENES'!$A680="","",IF('ORDENES'!$AD680="","-",'ORDENES'!$AD680))</f>
        <v/>
      </c>
      <c r="D702" s="3">
        <f>IF('ORDENES'!$A680="","",IF('ORDENES'!$W680="","-",'ORDENES'!$W680))</f>
        <v/>
      </c>
      <c r="E702" s="3">
        <f>IF('ORDENES'!$A680="","",IF('ORDENES'!$V680="","-",'ORDENES'!$V680))</f>
        <v/>
      </c>
      <c r="F702" s="3">
        <f>IF('ORDENES'!$A680="","",IF('ORDENES'!$X680="","-",'ORDENES'!$X680))</f>
        <v/>
      </c>
      <c r="G702" s="3">
        <f>IF('ORDENES'!$A680="","",IF('ORDENES'!$AC680="","-",'ORDENES'!$AC680))</f>
        <v/>
      </c>
      <c r="H702" s="3">
        <f>IF('ORDENES'!$A680="","",IF('ORDENES'!$AO680="","-",'ORDENES'!$AO680))</f>
        <v/>
      </c>
      <c r="I702" s="3">
        <f>IF('ORDENES'!$A680="","",IF('ORDENES'!$D680="","-",'ORDENES'!$D680))</f>
        <v/>
      </c>
      <c r="J702" s="3">
        <f>IF('ORDENES'!$A680="","",IF('ORDENES'!$E680="","-",'ORDENES'!$E680))</f>
        <v/>
      </c>
      <c r="K702" s="12">
        <f>IF('ORDENES'!$A680="","",IF('ORDENES'!$N680="",0,'ORDENES'!$N680))</f>
        <v/>
      </c>
      <c r="L702" s="3">
        <f>IF('ORDENES'!$A680="","",IF('ORDENES'!$O680="","-",'ORDENES'!$O680))</f>
        <v/>
      </c>
      <c r="M702" s="3">
        <f>IF('ORDENES'!$A680="","",'ORDENES'!$AB680)</f>
        <v/>
      </c>
    </row>
    <row r="703">
      <c r="A703" s="3">
        <f>IF('ORDENES'!$A681="","",IF('ORDENES'!$P681="","-",'ORDENES'!$P681))</f>
        <v/>
      </c>
      <c r="B703" s="3">
        <f>IF('ORDENES'!$A681="","",IF('ORDENES'!$S681="","-",'ORDENES'!$S681))</f>
        <v/>
      </c>
      <c r="C703" s="3">
        <f>IF('ORDENES'!$A681="","",IF('ORDENES'!$AD681="","-",'ORDENES'!$AD681))</f>
        <v/>
      </c>
      <c r="D703" s="3">
        <f>IF('ORDENES'!$A681="","",IF('ORDENES'!$W681="","-",'ORDENES'!$W681))</f>
        <v/>
      </c>
      <c r="E703" s="3">
        <f>IF('ORDENES'!$A681="","",IF('ORDENES'!$V681="","-",'ORDENES'!$V681))</f>
        <v/>
      </c>
      <c r="F703" s="3">
        <f>IF('ORDENES'!$A681="","",IF('ORDENES'!$X681="","-",'ORDENES'!$X681))</f>
        <v/>
      </c>
      <c r="G703" s="3">
        <f>IF('ORDENES'!$A681="","",IF('ORDENES'!$AC681="","-",'ORDENES'!$AC681))</f>
        <v/>
      </c>
      <c r="H703" s="3">
        <f>IF('ORDENES'!$A681="","",IF('ORDENES'!$AO681="","-",'ORDENES'!$AO681))</f>
        <v/>
      </c>
      <c r="I703" s="3">
        <f>IF('ORDENES'!$A681="","",IF('ORDENES'!$D681="","-",'ORDENES'!$D681))</f>
        <v/>
      </c>
      <c r="J703" s="3">
        <f>IF('ORDENES'!$A681="","",IF('ORDENES'!$E681="","-",'ORDENES'!$E681))</f>
        <v/>
      </c>
      <c r="K703" s="12">
        <f>IF('ORDENES'!$A681="","",IF('ORDENES'!$N681="",0,'ORDENES'!$N681))</f>
        <v/>
      </c>
      <c r="L703" s="3">
        <f>IF('ORDENES'!$A681="","",IF('ORDENES'!$O681="","-",'ORDENES'!$O681))</f>
        <v/>
      </c>
      <c r="M703" s="3">
        <f>IF('ORDENES'!$A681="","",'ORDENES'!$AB681)</f>
        <v/>
      </c>
    </row>
    <row r="704">
      <c r="A704" s="3">
        <f>IF('ORDENES'!$A682="","",IF('ORDENES'!$P682="","-",'ORDENES'!$P682))</f>
        <v/>
      </c>
      <c r="B704" s="3">
        <f>IF('ORDENES'!$A682="","",IF('ORDENES'!$S682="","-",'ORDENES'!$S682))</f>
        <v/>
      </c>
      <c r="C704" s="3">
        <f>IF('ORDENES'!$A682="","",IF('ORDENES'!$AD682="","-",'ORDENES'!$AD682))</f>
        <v/>
      </c>
      <c r="D704" s="3">
        <f>IF('ORDENES'!$A682="","",IF('ORDENES'!$W682="","-",'ORDENES'!$W682))</f>
        <v/>
      </c>
      <c r="E704" s="3">
        <f>IF('ORDENES'!$A682="","",IF('ORDENES'!$V682="","-",'ORDENES'!$V682))</f>
        <v/>
      </c>
      <c r="F704" s="3">
        <f>IF('ORDENES'!$A682="","",IF('ORDENES'!$X682="","-",'ORDENES'!$X682))</f>
        <v/>
      </c>
      <c r="G704" s="3">
        <f>IF('ORDENES'!$A682="","",IF('ORDENES'!$AC682="","-",'ORDENES'!$AC682))</f>
        <v/>
      </c>
      <c r="H704" s="3">
        <f>IF('ORDENES'!$A682="","",IF('ORDENES'!$AO682="","-",'ORDENES'!$AO682))</f>
        <v/>
      </c>
      <c r="I704" s="3">
        <f>IF('ORDENES'!$A682="","",IF('ORDENES'!$D682="","-",'ORDENES'!$D682))</f>
        <v/>
      </c>
      <c r="J704" s="3">
        <f>IF('ORDENES'!$A682="","",IF('ORDENES'!$E682="","-",'ORDENES'!$E682))</f>
        <v/>
      </c>
      <c r="K704" s="12">
        <f>IF('ORDENES'!$A682="","",IF('ORDENES'!$N682="",0,'ORDENES'!$N682))</f>
        <v/>
      </c>
      <c r="L704" s="3">
        <f>IF('ORDENES'!$A682="","",IF('ORDENES'!$O682="","-",'ORDENES'!$O682))</f>
        <v/>
      </c>
      <c r="M704" s="3">
        <f>IF('ORDENES'!$A682="","",'ORDENES'!$AB682)</f>
        <v/>
      </c>
    </row>
    <row r="705">
      <c r="A705" s="3">
        <f>IF('ORDENES'!$A683="","",IF('ORDENES'!$P683="","-",'ORDENES'!$P683))</f>
        <v/>
      </c>
      <c r="B705" s="3">
        <f>IF('ORDENES'!$A683="","",IF('ORDENES'!$S683="","-",'ORDENES'!$S683))</f>
        <v/>
      </c>
      <c r="C705" s="3">
        <f>IF('ORDENES'!$A683="","",IF('ORDENES'!$AD683="","-",'ORDENES'!$AD683))</f>
        <v/>
      </c>
      <c r="D705" s="3">
        <f>IF('ORDENES'!$A683="","",IF('ORDENES'!$W683="","-",'ORDENES'!$W683))</f>
        <v/>
      </c>
      <c r="E705" s="3">
        <f>IF('ORDENES'!$A683="","",IF('ORDENES'!$V683="","-",'ORDENES'!$V683))</f>
        <v/>
      </c>
      <c r="F705" s="3">
        <f>IF('ORDENES'!$A683="","",IF('ORDENES'!$X683="","-",'ORDENES'!$X683))</f>
        <v/>
      </c>
      <c r="G705" s="3">
        <f>IF('ORDENES'!$A683="","",IF('ORDENES'!$AC683="","-",'ORDENES'!$AC683))</f>
        <v/>
      </c>
      <c r="H705" s="3">
        <f>IF('ORDENES'!$A683="","",IF('ORDENES'!$AO683="","-",'ORDENES'!$AO683))</f>
        <v/>
      </c>
      <c r="I705" s="3">
        <f>IF('ORDENES'!$A683="","",IF('ORDENES'!$D683="","-",'ORDENES'!$D683))</f>
        <v/>
      </c>
      <c r="J705" s="3">
        <f>IF('ORDENES'!$A683="","",IF('ORDENES'!$E683="","-",'ORDENES'!$E683))</f>
        <v/>
      </c>
      <c r="K705" s="12">
        <f>IF('ORDENES'!$A683="","",IF('ORDENES'!$N683="",0,'ORDENES'!$N683))</f>
        <v/>
      </c>
      <c r="L705" s="3">
        <f>IF('ORDENES'!$A683="","",IF('ORDENES'!$O683="","-",'ORDENES'!$O683))</f>
        <v/>
      </c>
      <c r="M705" s="3">
        <f>IF('ORDENES'!$A683="","",'ORDENES'!$AB683)</f>
        <v/>
      </c>
    </row>
    <row r="706">
      <c r="A706" s="3">
        <f>IF('ORDENES'!$A684="","",IF('ORDENES'!$P684="","-",'ORDENES'!$P684))</f>
        <v/>
      </c>
      <c r="B706" s="3">
        <f>IF('ORDENES'!$A684="","",IF('ORDENES'!$S684="","-",'ORDENES'!$S684))</f>
        <v/>
      </c>
      <c r="C706" s="3">
        <f>IF('ORDENES'!$A684="","",IF('ORDENES'!$AD684="","-",'ORDENES'!$AD684))</f>
        <v/>
      </c>
      <c r="D706" s="3">
        <f>IF('ORDENES'!$A684="","",IF('ORDENES'!$W684="","-",'ORDENES'!$W684))</f>
        <v/>
      </c>
      <c r="E706" s="3">
        <f>IF('ORDENES'!$A684="","",IF('ORDENES'!$V684="","-",'ORDENES'!$V684))</f>
        <v/>
      </c>
      <c r="F706" s="3">
        <f>IF('ORDENES'!$A684="","",IF('ORDENES'!$X684="","-",'ORDENES'!$X684))</f>
        <v/>
      </c>
      <c r="G706" s="3">
        <f>IF('ORDENES'!$A684="","",IF('ORDENES'!$AC684="","-",'ORDENES'!$AC684))</f>
        <v/>
      </c>
      <c r="H706" s="3">
        <f>IF('ORDENES'!$A684="","",IF('ORDENES'!$AO684="","-",'ORDENES'!$AO684))</f>
        <v/>
      </c>
      <c r="I706" s="3">
        <f>IF('ORDENES'!$A684="","",IF('ORDENES'!$D684="","-",'ORDENES'!$D684))</f>
        <v/>
      </c>
      <c r="J706" s="3">
        <f>IF('ORDENES'!$A684="","",IF('ORDENES'!$E684="","-",'ORDENES'!$E684))</f>
        <v/>
      </c>
      <c r="K706" s="12">
        <f>IF('ORDENES'!$A684="","",IF('ORDENES'!$N684="",0,'ORDENES'!$N684))</f>
        <v/>
      </c>
      <c r="L706" s="3">
        <f>IF('ORDENES'!$A684="","",IF('ORDENES'!$O684="","-",'ORDENES'!$O684))</f>
        <v/>
      </c>
      <c r="M706" s="3">
        <f>IF('ORDENES'!$A684="","",'ORDENES'!$AB684)</f>
        <v/>
      </c>
    </row>
    <row r="707">
      <c r="A707" s="3">
        <f>IF('ORDENES'!$A685="","",IF('ORDENES'!$P685="","-",'ORDENES'!$P685))</f>
        <v/>
      </c>
      <c r="B707" s="3">
        <f>IF('ORDENES'!$A685="","",IF('ORDENES'!$S685="","-",'ORDENES'!$S685))</f>
        <v/>
      </c>
      <c r="C707" s="3">
        <f>IF('ORDENES'!$A685="","",IF('ORDENES'!$AD685="","-",'ORDENES'!$AD685))</f>
        <v/>
      </c>
      <c r="D707" s="3">
        <f>IF('ORDENES'!$A685="","",IF('ORDENES'!$W685="","-",'ORDENES'!$W685))</f>
        <v/>
      </c>
      <c r="E707" s="3">
        <f>IF('ORDENES'!$A685="","",IF('ORDENES'!$V685="","-",'ORDENES'!$V685))</f>
        <v/>
      </c>
      <c r="F707" s="3">
        <f>IF('ORDENES'!$A685="","",IF('ORDENES'!$X685="","-",'ORDENES'!$X685))</f>
        <v/>
      </c>
      <c r="G707" s="3">
        <f>IF('ORDENES'!$A685="","",IF('ORDENES'!$AC685="","-",'ORDENES'!$AC685))</f>
        <v/>
      </c>
      <c r="H707" s="3">
        <f>IF('ORDENES'!$A685="","",IF('ORDENES'!$AO685="","-",'ORDENES'!$AO685))</f>
        <v/>
      </c>
      <c r="I707" s="3">
        <f>IF('ORDENES'!$A685="","",IF('ORDENES'!$D685="","-",'ORDENES'!$D685))</f>
        <v/>
      </c>
      <c r="J707" s="3">
        <f>IF('ORDENES'!$A685="","",IF('ORDENES'!$E685="","-",'ORDENES'!$E685))</f>
        <v/>
      </c>
      <c r="K707" s="12">
        <f>IF('ORDENES'!$A685="","",IF('ORDENES'!$N685="",0,'ORDENES'!$N685))</f>
        <v/>
      </c>
      <c r="L707" s="3">
        <f>IF('ORDENES'!$A685="","",IF('ORDENES'!$O685="","-",'ORDENES'!$O685))</f>
        <v/>
      </c>
      <c r="M707" s="3">
        <f>IF('ORDENES'!$A685="","",'ORDENES'!$AB685)</f>
        <v/>
      </c>
    </row>
    <row r="708">
      <c r="A708" s="3">
        <f>IF('ORDENES'!$A686="","",IF('ORDENES'!$P686="","-",'ORDENES'!$P686))</f>
        <v/>
      </c>
      <c r="B708" s="3">
        <f>IF('ORDENES'!$A686="","",IF('ORDENES'!$S686="","-",'ORDENES'!$S686))</f>
        <v/>
      </c>
      <c r="C708" s="3">
        <f>IF('ORDENES'!$A686="","",IF('ORDENES'!$AD686="","-",'ORDENES'!$AD686))</f>
        <v/>
      </c>
      <c r="D708" s="3">
        <f>IF('ORDENES'!$A686="","",IF('ORDENES'!$W686="","-",'ORDENES'!$W686))</f>
        <v/>
      </c>
      <c r="E708" s="3">
        <f>IF('ORDENES'!$A686="","",IF('ORDENES'!$V686="","-",'ORDENES'!$V686))</f>
        <v/>
      </c>
      <c r="F708" s="3">
        <f>IF('ORDENES'!$A686="","",IF('ORDENES'!$X686="","-",'ORDENES'!$X686))</f>
        <v/>
      </c>
      <c r="G708" s="3">
        <f>IF('ORDENES'!$A686="","",IF('ORDENES'!$AC686="","-",'ORDENES'!$AC686))</f>
        <v/>
      </c>
      <c r="H708" s="3">
        <f>IF('ORDENES'!$A686="","",IF('ORDENES'!$AO686="","-",'ORDENES'!$AO686))</f>
        <v/>
      </c>
      <c r="I708" s="3">
        <f>IF('ORDENES'!$A686="","",IF('ORDENES'!$D686="","-",'ORDENES'!$D686))</f>
        <v/>
      </c>
      <c r="J708" s="3">
        <f>IF('ORDENES'!$A686="","",IF('ORDENES'!$E686="","-",'ORDENES'!$E686))</f>
        <v/>
      </c>
      <c r="K708" s="12">
        <f>IF('ORDENES'!$A686="","",IF('ORDENES'!$N686="",0,'ORDENES'!$N686))</f>
        <v/>
      </c>
      <c r="L708" s="3">
        <f>IF('ORDENES'!$A686="","",IF('ORDENES'!$O686="","-",'ORDENES'!$O686))</f>
        <v/>
      </c>
      <c r="M708" s="3">
        <f>IF('ORDENES'!$A686="","",'ORDENES'!$AB686)</f>
        <v/>
      </c>
    </row>
    <row r="709">
      <c r="A709" s="3">
        <f>IF('ORDENES'!$A687="","",IF('ORDENES'!$P687="","-",'ORDENES'!$P687))</f>
        <v/>
      </c>
      <c r="B709" s="3">
        <f>IF('ORDENES'!$A687="","",IF('ORDENES'!$S687="","-",'ORDENES'!$S687))</f>
        <v/>
      </c>
      <c r="C709" s="3">
        <f>IF('ORDENES'!$A687="","",IF('ORDENES'!$AD687="","-",'ORDENES'!$AD687))</f>
        <v/>
      </c>
      <c r="D709" s="3">
        <f>IF('ORDENES'!$A687="","",IF('ORDENES'!$W687="","-",'ORDENES'!$W687))</f>
        <v/>
      </c>
      <c r="E709" s="3">
        <f>IF('ORDENES'!$A687="","",IF('ORDENES'!$V687="","-",'ORDENES'!$V687))</f>
        <v/>
      </c>
      <c r="F709" s="3">
        <f>IF('ORDENES'!$A687="","",IF('ORDENES'!$X687="","-",'ORDENES'!$X687))</f>
        <v/>
      </c>
      <c r="G709" s="3">
        <f>IF('ORDENES'!$A687="","",IF('ORDENES'!$AC687="","-",'ORDENES'!$AC687))</f>
        <v/>
      </c>
      <c r="H709" s="3">
        <f>IF('ORDENES'!$A687="","",IF('ORDENES'!$AO687="","-",'ORDENES'!$AO687))</f>
        <v/>
      </c>
      <c r="I709" s="3">
        <f>IF('ORDENES'!$A687="","",IF('ORDENES'!$D687="","-",'ORDENES'!$D687))</f>
        <v/>
      </c>
      <c r="J709" s="3">
        <f>IF('ORDENES'!$A687="","",IF('ORDENES'!$E687="","-",'ORDENES'!$E687))</f>
        <v/>
      </c>
      <c r="K709" s="12">
        <f>IF('ORDENES'!$A687="","",IF('ORDENES'!$N687="",0,'ORDENES'!$N687))</f>
        <v/>
      </c>
      <c r="L709" s="3">
        <f>IF('ORDENES'!$A687="","",IF('ORDENES'!$O687="","-",'ORDENES'!$O687))</f>
        <v/>
      </c>
      <c r="M709" s="3">
        <f>IF('ORDENES'!$A687="","",'ORDENES'!$AB687)</f>
        <v/>
      </c>
    </row>
    <row r="710">
      <c r="A710" s="3">
        <f>IF('ORDENES'!$A688="","",IF('ORDENES'!$P688="","-",'ORDENES'!$P688))</f>
        <v/>
      </c>
      <c r="B710" s="3">
        <f>IF('ORDENES'!$A688="","",IF('ORDENES'!$S688="","-",'ORDENES'!$S688))</f>
        <v/>
      </c>
      <c r="C710" s="3">
        <f>IF('ORDENES'!$A688="","",IF('ORDENES'!$AD688="","-",'ORDENES'!$AD688))</f>
        <v/>
      </c>
      <c r="D710" s="3">
        <f>IF('ORDENES'!$A688="","",IF('ORDENES'!$W688="","-",'ORDENES'!$W688))</f>
        <v/>
      </c>
      <c r="E710" s="3">
        <f>IF('ORDENES'!$A688="","",IF('ORDENES'!$V688="","-",'ORDENES'!$V688))</f>
        <v/>
      </c>
      <c r="F710" s="3">
        <f>IF('ORDENES'!$A688="","",IF('ORDENES'!$X688="","-",'ORDENES'!$X688))</f>
        <v/>
      </c>
      <c r="G710" s="3">
        <f>IF('ORDENES'!$A688="","",IF('ORDENES'!$AC688="","-",'ORDENES'!$AC688))</f>
        <v/>
      </c>
      <c r="H710" s="3">
        <f>IF('ORDENES'!$A688="","",IF('ORDENES'!$AO688="","-",'ORDENES'!$AO688))</f>
        <v/>
      </c>
      <c r="I710" s="3">
        <f>IF('ORDENES'!$A688="","",IF('ORDENES'!$D688="","-",'ORDENES'!$D688))</f>
        <v/>
      </c>
      <c r="J710" s="3">
        <f>IF('ORDENES'!$A688="","",IF('ORDENES'!$E688="","-",'ORDENES'!$E688))</f>
        <v/>
      </c>
      <c r="K710" s="12">
        <f>IF('ORDENES'!$A688="","",IF('ORDENES'!$N688="",0,'ORDENES'!$N688))</f>
        <v/>
      </c>
      <c r="L710" s="3">
        <f>IF('ORDENES'!$A688="","",IF('ORDENES'!$O688="","-",'ORDENES'!$O688))</f>
        <v/>
      </c>
      <c r="M710" s="3">
        <f>IF('ORDENES'!$A688="","",'ORDENES'!$AB688)</f>
        <v/>
      </c>
    </row>
    <row r="711">
      <c r="A711" s="3">
        <f>IF('ORDENES'!$A689="","",IF('ORDENES'!$P689="","-",'ORDENES'!$P689))</f>
        <v/>
      </c>
      <c r="B711" s="3">
        <f>IF('ORDENES'!$A689="","",IF('ORDENES'!$S689="","-",'ORDENES'!$S689))</f>
        <v/>
      </c>
      <c r="C711" s="3">
        <f>IF('ORDENES'!$A689="","",IF('ORDENES'!$AD689="","-",'ORDENES'!$AD689))</f>
        <v/>
      </c>
      <c r="D711" s="3">
        <f>IF('ORDENES'!$A689="","",IF('ORDENES'!$W689="","-",'ORDENES'!$W689))</f>
        <v/>
      </c>
      <c r="E711" s="3">
        <f>IF('ORDENES'!$A689="","",IF('ORDENES'!$V689="","-",'ORDENES'!$V689))</f>
        <v/>
      </c>
      <c r="F711" s="3">
        <f>IF('ORDENES'!$A689="","",IF('ORDENES'!$X689="","-",'ORDENES'!$X689))</f>
        <v/>
      </c>
      <c r="G711" s="3">
        <f>IF('ORDENES'!$A689="","",IF('ORDENES'!$AC689="","-",'ORDENES'!$AC689))</f>
        <v/>
      </c>
      <c r="H711" s="3">
        <f>IF('ORDENES'!$A689="","",IF('ORDENES'!$AO689="","-",'ORDENES'!$AO689))</f>
        <v/>
      </c>
      <c r="I711" s="3">
        <f>IF('ORDENES'!$A689="","",IF('ORDENES'!$D689="","-",'ORDENES'!$D689))</f>
        <v/>
      </c>
      <c r="J711" s="3">
        <f>IF('ORDENES'!$A689="","",IF('ORDENES'!$E689="","-",'ORDENES'!$E689))</f>
        <v/>
      </c>
      <c r="K711" s="12">
        <f>IF('ORDENES'!$A689="","",IF('ORDENES'!$N689="",0,'ORDENES'!$N689))</f>
        <v/>
      </c>
      <c r="L711" s="3">
        <f>IF('ORDENES'!$A689="","",IF('ORDENES'!$O689="","-",'ORDENES'!$O689))</f>
        <v/>
      </c>
      <c r="M711" s="3">
        <f>IF('ORDENES'!$A689="","",'ORDENES'!$AB689)</f>
        <v/>
      </c>
    </row>
    <row r="712">
      <c r="A712" s="3">
        <f>IF('ORDENES'!$A690="","",IF('ORDENES'!$P690="","-",'ORDENES'!$P690))</f>
        <v/>
      </c>
      <c r="B712" s="3">
        <f>IF('ORDENES'!$A690="","",IF('ORDENES'!$S690="","-",'ORDENES'!$S690))</f>
        <v/>
      </c>
      <c r="C712" s="3">
        <f>IF('ORDENES'!$A690="","",IF('ORDENES'!$AD690="","-",'ORDENES'!$AD690))</f>
        <v/>
      </c>
      <c r="D712" s="3">
        <f>IF('ORDENES'!$A690="","",IF('ORDENES'!$W690="","-",'ORDENES'!$W690))</f>
        <v/>
      </c>
      <c r="E712" s="3">
        <f>IF('ORDENES'!$A690="","",IF('ORDENES'!$V690="","-",'ORDENES'!$V690))</f>
        <v/>
      </c>
      <c r="F712" s="3">
        <f>IF('ORDENES'!$A690="","",IF('ORDENES'!$X690="","-",'ORDENES'!$X690))</f>
        <v/>
      </c>
      <c r="G712" s="3">
        <f>IF('ORDENES'!$A690="","",IF('ORDENES'!$AC690="","-",'ORDENES'!$AC690))</f>
        <v/>
      </c>
      <c r="H712" s="3">
        <f>IF('ORDENES'!$A690="","",IF('ORDENES'!$AO690="","-",'ORDENES'!$AO690))</f>
        <v/>
      </c>
      <c r="I712" s="3">
        <f>IF('ORDENES'!$A690="","",IF('ORDENES'!$D690="","-",'ORDENES'!$D690))</f>
        <v/>
      </c>
      <c r="J712" s="3">
        <f>IF('ORDENES'!$A690="","",IF('ORDENES'!$E690="","-",'ORDENES'!$E690))</f>
        <v/>
      </c>
      <c r="K712" s="12">
        <f>IF('ORDENES'!$A690="","",IF('ORDENES'!$N690="",0,'ORDENES'!$N690))</f>
        <v/>
      </c>
      <c r="L712" s="3">
        <f>IF('ORDENES'!$A690="","",IF('ORDENES'!$O690="","-",'ORDENES'!$O690))</f>
        <v/>
      </c>
      <c r="M712" s="3">
        <f>IF('ORDENES'!$A690="","",'ORDENES'!$AB690)</f>
        <v/>
      </c>
    </row>
    <row r="713">
      <c r="A713" s="3">
        <f>IF('ORDENES'!$A691="","",IF('ORDENES'!$P691="","-",'ORDENES'!$P691))</f>
        <v/>
      </c>
      <c r="B713" s="3">
        <f>IF('ORDENES'!$A691="","",IF('ORDENES'!$S691="","-",'ORDENES'!$S691))</f>
        <v/>
      </c>
      <c r="C713" s="3">
        <f>IF('ORDENES'!$A691="","",IF('ORDENES'!$AD691="","-",'ORDENES'!$AD691))</f>
        <v/>
      </c>
      <c r="D713" s="3">
        <f>IF('ORDENES'!$A691="","",IF('ORDENES'!$W691="","-",'ORDENES'!$W691))</f>
        <v/>
      </c>
      <c r="E713" s="3">
        <f>IF('ORDENES'!$A691="","",IF('ORDENES'!$V691="","-",'ORDENES'!$V691))</f>
        <v/>
      </c>
      <c r="F713" s="3">
        <f>IF('ORDENES'!$A691="","",IF('ORDENES'!$X691="","-",'ORDENES'!$X691))</f>
        <v/>
      </c>
      <c r="G713" s="3">
        <f>IF('ORDENES'!$A691="","",IF('ORDENES'!$AC691="","-",'ORDENES'!$AC691))</f>
        <v/>
      </c>
      <c r="H713" s="3">
        <f>IF('ORDENES'!$A691="","",IF('ORDENES'!$AO691="","-",'ORDENES'!$AO691))</f>
        <v/>
      </c>
      <c r="I713" s="3">
        <f>IF('ORDENES'!$A691="","",IF('ORDENES'!$D691="","-",'ORDENES'!$D691))</f>
        <v/>
      </c>
      <c r="J713" s="3">
        <f>IF('ORDENES'!$A691="","",IF('ORDENES'!$E691="","-",'ORDENES'!$E691))</f>
        <v/>
      </c>
      <c r="K713" s="12">
        <f>IF('ORDENES'!$A691="","",IF('ORDENES'!$N691="",0,'ORDENES'!$N691))</f>
        <v/>
      </c>
      <c r="L713" s="3">
        <f>IF('ORDENES'!$A691="","",IF('ORDENES'!$O691="","-",'ORDENES'!$O691))</f>
        <v/>
      </c>
      <c r="M713" s="3">
        <f>IF('ORDENES'!$A691="","",'ORDENES'!$AB691)</f>
        <v/>
      </c>
    </row>
    <row r="714">
      <c r="A714" s="3">
        <f>IF('ORDENES'!$A692="","",IF('ORDENES'!$P692="","-",'ORDENES'!$P692))</f>
        <v/>
      </c>
      <c r="B714" s="3">
        <f>IF('ORDENES'!$A692="","",IF('ORDENES'!$S692="","-",'ORDENES'!$S692))</f>
        <v/>
      </c>
      <c r="C714" s="3">
        <f>IF('ORDENES'!$A692="","",IF('ORDENES'!$AD692="","-",'ORDENES'!$AD692))</f>
        <v/>
      </c>
      <c r="D714" s="3">
        <f>IF('ORDENES'!$A692="","",IF('ORDENES'!$W692="","-",'ORDENES'!$W692))</f>
        <v/>
      </c>
      <c r="E714" s="3">
        <f>IF('ORDENES'!$A692="","",IF('ORDENES'!$V692="","-",'ORDENES'!$V692))</f>
        <v/>
      </c>
      <c r="F714" s="3">
        <f>IF('ORDENES'!$A692="","",IF('ORDENES'!$X692="","-",'ORDENES'!$X692))</f>
        <v/>
      </c>
      <c r="G714" s="3">
        <f>IF('ORDENES'!$A692="","",IF('ORDENES'!$AC692="","-",'ORDENES'!$AC692))</f>
        <v/>
      </c>
      <c r="H714" s="3">
        <f>IF('ORDENES'!$A692="","",IF('ORDENES'!$AO692="","-",'ORDENES'!$AO692))</f>
        <v/>
      </c>
      <c r="I714" s="3">
        <f>IF('ORDENES'!$A692="","",IF('ORDENES'!$D692="","-",'ORDENES'!$D692))</f>
        <v/>
      </c>
      <c r="J714" s="3">
        <f>IF('ORDENES'!$A692="","",IF('ORDENES'!$E692="","-",'ORDENES'!$E692))</f>
        <v/>
      </c>
      <c r="K714" s="12">
        <f>IF('ORDENES'!$A692="","",IF('ORDENES'!$N692="",0,'ORDENES'!$N692))</f>
        <v/>
      </c>
      <c r="L714" s="3">
        <f>IF('ORDENES'!$A692="","",IF('ORDENES'!$O692="","-",'ORDENES'!$O692))</f>
        <v/>
      </c>
      <c r="M714" s="3">
        <f>IF('ORDENES'!$A692="","",'ORDENES'!$AB692)</f>
        <v/>
      </c>
    </row>
    <row r="715">
      <c r="A715" s="3">
        <f>IF('ORDENES'!$A693="","",IF('ORDENES'!$P693="","-",'ORDENES'!$P693))</f>
        <v/>
      </c>
      <c r="B715" s="3">
        <f>IF('ORDENES'!$A693="","",IF('ORDENES'!$S693="","-",'ORDENES'!$S693))</f>
        <v/>
      </c>
      <c r="C715" s="3">
        <f>IF('ORDENES'!$A693="","",IF('ORDENES'!$AD693="","-",'ORDENES'!$AD693))</f>
        <v/>
      </c>
      <c r="D715" s="3">
        <f>IF('ORDENES'!$A693="","",IF('ORDENES'!$W693="","-",'ORDENES'!$W693))</f>
        <v/>
      </c>
      <c r="E715" s="3">
        <f>IF('ORDENES'!$A693="","",IF('ORDENES'!$V693="","-",'ORDENES'!$V693))</f>
        <v/>
      </c>
      <c r="F715" s="3">
        <f>IF('ORDENES'!$A693="","",IF('ORDENES'!$X693="","-",'ORDENES'!$X693))</f>
        <v/>
      </c>
      <c r="G715" s="3">
        <f>IF('ORDENES'!$A693="","",IF('ORDENES'!$AC693="","-",'ORDENES'!$AC693))</f>
        <v/>
      </c>
      <c r="H715" s="3">
        <f>IF('ORDENES'!$A693="","",IF('ORDENES'!$AO693="","-",'ORDENES'!$AO693))</f>
        <v/>
      </c>
      <c r="I715" s="3">
        <f>IF('ORDENES'!$A693="","",IF('ORDENES'!$D693="","-",'ORDENES'!$D693))</f>
        <v/>
      </c>
      <c r="J715" s="3">
        <f>IF('ORDENES'!$A693="","",IF('ORDENES'!$E693="","-",'ORDENES'!$E693))</f>
        <v/>
      </c>
      <c r="K715" s="12">
        <f>IF('ORDENES'!$A693="","",IF('ORDENES'!$N693="",0,'ORDENES'!$N693))</f>
        <v/>
      </c>
      <c r="L715" s="3">
        <f>IF('ORDENES'!$A693="","",IF('ORDENES'!$O693="","-",'ORDENES'!$O693))</f>
        <v/>
      </c>
      <c r="M715" s="3">
        <f>IF('ORDENES'!$A693="","",'ORDENES'!$AB693)</f>
        <v/>
      </c>
    </row>
    <row r="716">
      <c r="A716" s="3">
        <f>IF('ORDENES'!$A694="","",IF('ORDENES'!$P694="","-",'ORDENES'!$P694))</f>
        <v/>
      </c>
      <c r="B716" s="3">
        <f>IF('ORDENES'!$A694="","",IF('ORDENES'!$S694="","-",'ORDENES'!$S694))</f>
        <v/>
      </c>
      <c r="C716" s="3">
        <f>IF('ORDENES'!$A694="","",IF('ORDENES'!$AD694="","-",'ORDENES'!$AD694))</f>
        <v/>
      </c>
      <c r="D716" s="3">
        <f>IF('ORDENES'!$A694="","",IF('ORDENES'!$W694="","-",'ORDENES'!$W694))</f>
        <v/>
      </c>
      <c r="E716" s="3">
        <f>IF('ORDENES'!$A694="","",IF('ORDENES'!$V694="","-",'ORDENES'!$V694))</f>
        <v/>
      </c>
      <c r="F716" s="3">
        <f>IF('ORDENES'!$A694="","",IF('ORDENES'!$X694="","-",'ORDENES'!$X694))</f>
        <v/>
      </c>
      <c r="G716" s="3">
        <f>IF('ORDENES'!$A694="","",IF('ORDENES'!$AC694="","-",'ORDENES'!$AC694))</f>
        <v/>
      </c>
      <c r="H716" s="3">
        <f>IF('ORDENES'!$A694="","",IF('ORDENES'!$AO694="","-",'ORDENES'!$AO694))</f>
        <v/>
      </c>
      <c r="I716" s="3">
        <f>IF('ORDENES'!$A694="","",IF('ORDENES'!$D694="","-",'ORDENES'!$D694))</f>
        <v/>
      </c>
      <c r="J716" s="3">
        <f>IF('ORDENES'!$A694="","",IF('ORDENES'!$E694="","-",'ORDENES'!$E694))</f>
        <v/>
      </c>
      <c r="K716" s="12">
        <f>IF('ORDENES'!$A694="","",IF('ORDENES'!$N694="",0,'ORDENES'!$N694))</f>
        <v/>
      </c>
      <c r="L716" s="3">
        <f>IF('ORDENES'!$A694="","",IF('ORDENES'!$O694="","-",'ORDENES'!$O694))</f>
        <v/>
      </c>
      <c r="M716" s="3">
        <f>IF('ORDENES'!$A694="","",'ORDENES'!$AB694)</f>
        <v/>
      </c>
    </row>
    <row r="717">
      <c r="A717" s="3">
        <f>IF('ORDENES'!$A695="","",IF('ORDENES'!$P695="","-",'ORDENES'!$P695))</f>
        <v/>
      </c>
      <c r="B717" s="3">
        <f>IF('ORDENES'!$A695="","",IF('ORDENES'!$S695="","-",'ORDENES'!$S695))</f>
        <v/>
      </c>
      <c r="C717" s="3">
        <f>IF('ORDENES'!$A695="","",IF('ORDENES'!$AD695="","-",'ORDENES'!$AD695))</f>
        <v/>
      </c>
      <c r="D717" s="3">
        <f>IF('ORDENES'!$A695="","",IF('ORDENES'!$W695="","-",'ORDENES'!$W695))</f>
        <v/>
      </c>
      <c r="E717" s="3">
        <f>IF('ORDENES'!$A695="","",IF('ORDENES'!$V695="","-",'ORDENES'!$V695))</f>
        <v/>
      </c>
      <c r="F717" s="3">
        <f>IF('ORDENES'!$A695="","",IF('ORDENES'!$X695="","-",'ORDENES'!$X695))</f>
        <v/>
      </c>
      <c r="G717" s="3">
        <f>IF('ORDENES'!$A695="","",IF('ORDENES'!$AC695="","-",'ORDENES'!$AC695))</f>
        <v/>
      </c>
      <c r="H717" s="3">
        <f>IF('ORDENES'!$A695="","",IF('ORDENES'!$AO695="","-",'ORDENES'!$AO695))</f>
        <v/>
      </c>
      <c r="I717" s="3">
        <f>IF('ORDENES'!$A695="","",IF('ORDENES'!$D695="","-",'ORDENES'!$D695))</f>
        <v/>
      </c>
      <c r="J717" s="3">
        <f>IF('ORDENES'!$A695="","",IF('ORDENES'!$E695="","-",'ORDENES'!$E695))</f>
        <v/>
      </c>
      <c r="K717" s="12">
        <f>IF('ORDENES'!$A695="","",IF('ORDENES'!$N695="",0,'ORDENES'!$N695))</f>
        <v/>
      </c>
      <c r="L717" s="3">
        <f>IF('ORDENES'!$A695="","",IF('ORDENES'!$O695="","-",'ORDENES'!$O695))</f>
        <v/>
      </c>
      <c r="M717" s="3">
        <f>IF('ORDENES'!$A695="","",'ORDENES'!$AB695)</f>
        <v/>
      </c>
    </row>
    <row r="718">
      <c r="A718" s="3">
        <f>IF('ORDENES'!$A696="","",IF('ORDENES'!$P696="","-",'ORDENES'!$P696))</f>
        <v/>
      </c>
      <c r="B718" s="3">
        <f>IF('ORDENES'!$A696="","",IF('ORDENES'!$S696="","-",'ORDENES'!$S696))</f>
        <v/>
      </c>
      <c r="C718" s="3">
        <f>IF('ORDENES'!$A696="","",IF('ORDENES'!$AD696="","-",'ORDENES'!$AD696))</f>
        <v/>
      </c>
      <c r="D718" s="3">
        <f>IF('ORDENES'!$A696="","",IF('ORDENES'!$W696="","-",'ORDENES'!$W696))</f>
        <v/>
      </c>
      <c r="E718" s="3">
        <f>IF('ORDENES'!$A696="","",IF('ORDENES'!$V696="","-",'ORDENES'!$V696))</f>
        <v/>
      </c>
      <c r="F718" s="3">
        <f>IF('ORDENES'!$A696="","",IF('ORDENES'!$X696="","-",'ORDENES'!$X696))</f>
        <v/>
      </c>
      <c r="G718" s="3">
        <f>IF('ORDENES'!$A696="","",IF('ORDENES'!$AC696="","-",'ORDENES'!$AC696))</f>
        <v/>
      </c>
      <c r="H718" s="3">
        <f>IF('ORDENES'!$A696="","",IF('ORDENES'!$AO696="","-",'ORDENES'!$AO696))</f>
        <v/>
      </c>
      <c r="I718" s="3">
        <f>IF('ORDENES'!$A696="","",IF('ORDENES'!$D696="","-",'ORDENES'!$D696))</f>
        <v/>
      </c>
      <c r="J718" s="3">
        <f>IF('ORDENES'!$A696="","",IF('ORDENES'!$E696="","-",'ORDENES'!$E696))</f>
        <v/>
      </c>
      <c r="K718" s="12">
        <f>IF('ORDENES'!$A696="","",IF('ORDENES'!$N696="",0,'ORDENES'!$N696))</f>
        <v/>
      </c>
      <c r="L718" s="3">
        <f>IF('ORDENES'!$A696="","",IF('ORDENES'!$O696="","-",'ORDENES'!$O696))</f>
        <v/>
      </c>
      <c r="M718" s="3">
        <f>IF('ORDENES'!$A696="","",'ORDENES'!$AB696)</f>
        <v/>
      </c>
    </row>
    <row r="719">
      <c r="A719" s="3">
        <f>IF('ORDENES'!$A697="","",IF('ORDENES'!$P697="","-",'ORDENES'!$P697))</f>
        <v/>
      </c>
      <c r="B719" s="3">
        <f>IF('ORDENES'!$A697="","",IF('ORDENES'!$S697="","-",'ORDENES'!$S697))</f>
        <v/>
      </c>
      <c r="C719" s="3">
        <f>IF('ORDENES'!$A697="","",IF('ORDENES'!$AD697="","-",'ORDENES'!$AD697))</f>
        <v/>
      </c>
      <c r="D719" s="3">
        <f>IF('ORDENES'!$A697="","",IF('ORDENES'!$W697="","-",'ORDENES'!$W697))</f>
        <v/>
      </c>
      <c r="E719" s="3">
        <f>IF('ORDENES'!$A697="","",IF('ORDENES'!$V697="","-",'ORDENES'!$V697))</f>
        <v/>
      </c>
      <c r="F719" s="3">
        <f>IF('ORDENES'!$A697="","",IF('ORDENES'!$X697="","-",'ORDENES'!$X697))</f>
        <v/>
      </c>
      <c r="G719" s="3">
        <f>IF('ORDENES'!$A697="","",IF('ORDENES'!$AC697="","-",'ORDENES'!$AC697))</f>
        <v/>
      </c>
      <c r="H719" s="3">
        <f>IF('ORDENES'!$A697="","",IF('ORDENES'!$AO697="","-",'ORDENES'!$AO697))</f>
        <v/>
      </c>
      <c r="I719" s="3">
        <f>IF('ORDENES'!$A697="","",IF('ORDENES'!$D697="","-",'ORDENES'!$D697))</f>
        <v/>
      </c>
      <c r="J719" s="3">
        <f>IF('ORDENES'!$A697="","",IF('ORDENES'!$E697="","-",'ORDENES'!$E697))</f>
        <v/>
      </c>
      <c r="K719" s="12">
        <f>IF('ORDENES'!$A697="","",IF('ORDENES'!$N697="",0,'ORDENES'!$N697))</f>
        <v/>
      </c>
      <c r="L719" s="3">
        <f>IF('ORDENES'!$A697="","",IF('ORDENES'!$O697="","-",'ORDENES'!$O697))</f>
        <v/>
      </c>
      <c r="M719" s="3">
        <f>IF('ORDENES'!$A697="","",'ORDENES'!$AB697)</f>
        <v/>
      </c>
    </row>
    <row r="720">
      <c r="A720" s="3">
        <f>IF('ORDENES'!$A698="","",IF('ORDENES'!$P698="","-",'ORDENES'!$P698))</f>
        <v/>
      </c>
      <c r="B720" s="3">
        <f>IF('ORDENES'!$A698="","",IF('ORDENES'!$S698="","-",'ORDENES'!$S698))</f>
        <v/>
      </c>
      <c r="C720" s="3">
        <f>IF('ORDENES'!$A698="","",IF('ORDENES'!$AD698="","-",'ORDENES'!$AD698))</f>
        <v/>
      </c>
      <c r="D720" s="3">
        <f>IF('ORDENES'!$A698="","",IF('ORDENES'!$W698="","-",'ORDENES'!$W698))</f>
        <v/>
      </c>
      <c r="E720" s="3">
        <f>IF('ORDENES'!$A698="","",IF('ORDENES'!$V698="","-",'ORDENES'!$V698))</f>
        <v/>
      </c>
      <c r="F720" s="3">
        <f>IF('ORDENES'!$A698="","",IF('ORDENES'!$X698="","-",'ORDENES'!$X698))</f>
        <v/>
      </c>
      <c r="G720" s="3">
        <f>IF('ORDENES'!$A698="","",IF('ORDENES'!$AC698="","-",'ORDENES'!$AC698))</f>
        <v/>
      </c>
      <c r="H720" s="3">
        <f>IF('ORDENES'!$A698="","",IF('ORDENES'!$AO698="","-",'ORDENES'!$AO698))</f>
        <v/>
      </c>
      <c r="I720" s="3">
        <f>IF('ORDENES'!$A698="","",IF('ORDENES'!$D698="","-",'ORDENES'!$D698))</f>
        <v/>
      </c>
      <c r="J720" s="3">
        <f>IF('ORDENES'!$A698="","",IF('ORDENES'!$E698="","-",'ORDENES'!$E698))</f>
        <v/>
      </c>
      <c r="K720" s="12">
        <f>IF('ORDENES'!$A698="","",IF('ORDENES'!$N698="",0,'ORDENES'!$N698))</f>
        <v/>
      </c>
      <c r="L720" s="3">
        <f>IF('ORDENES'!$A698="","",IF('ORDENES'!$O698="","-",'ORDENES'!$O698))</f>
        <v/>
      </c>
      <c r="M720" s="3">
        <f>IF('ORDENES'!$A698="","",'ORDENES'!$AB698)</f>
        <v/>
      </c>
    </row>
    <row r="721">
      <c r="A721" s="3">
        <f>IF('ORDENES'!$A699="","",IF('ORDENES'!$P699="","-",'ORDENES'!$P699))</f>
        <v/>
      </c>
      <c r="B721" s="3">
        <f>IF('ORDENES'!$A699="","",IF('ORDENES'!$S699="","-",'ORDENES'!$S699))</f>
        <v/>
      </c>
      <c r="C721" s="3">
        <f>IF('ORDENES'!$A699="","",IF('ORDENES'!$AD699="","-",'ORDENES'!$AD699))</f>
        <v/>
      </c>
      <c r="D721" s="3">
        <f>IF('ORDENES'!$A699="","",IF('ORDENES'!$W699="","-",'ORDENES'!$W699))</f>
        <v/>
      </c>
      <c r="E721" s="3">
        <f>IF('ORDENES'!$A699="","",IF('ORDENES'!$V699="","-",'ORDENES'!$V699))</f>
        <v/>
      </c>
      <c r="F721" s="3">
        <f>IF('ORDENES'!$A699="","",IF('ORDENES'!$X699="","-",'ORDENES'!$X699))</f>
        <v/>
      </c>
      <c r="G721" s="3">
        <f>IF('ORDENES'!$A699="","",IF('ORDENES'!$AC699="","-",'ORDENES'!$AC699))</f>
        <v/>
      </c>
      <c r="H721" s="3">
        <f>IF('ORDENES'!$A699="","",IF('ORDENES'!$AO699="","-",'ORDENES'!$AO699))</f>
        <v/>
      </c>
      <c r="I721" s="3">
        <f>IF('ORDENES'!$A699="","",IF('ORDENES'!$D699="","-",'ORDENES'!$D699))</f>
        <v/>
      </c>
      <c r="J721" s="3">
        <f>IF('ORDENES'!$A699="","",IF('ORDENES'!$E699="","-",'ORDENES'!$E699))</f>
        <v/>
      </c>
      <c r="K721" s="12">
        <f>IF('ORDENES'!$A699="","",IF('ORDENES'!$N699="",0,'ORDENES'!$N699))</f>
        <v/>
      </c>
      <c r="L721" s="3">
        <f>IF('ORDENES'!$A699="","",IF('ORDENES'!$O699="","-",'ORDENES'!$O699))</f>
        <v/>
      </c>
      <c r="M721" s="3">
        <f>IF('ORDENES'!$A699="","",'ORDENES'!$AB699)</f>
        <v/>
      </c>
    </row>
    <row r="722">
      <c r="A722" s="3">
        <f>IF('ORDENES'!$A700="","",IF('ORDENES'!$P700="","-",'ORDENES'!$P700))</f>
        <v/>
      </c>
      <c r="B722" s="3">
        <f>IF('ORDENES'!$A700="","",IF('ORDENES'!$S700="","-",'ORDENES'!$S700))</f>
        <v/>
      </c>
      <c r="C722" s="3">
        <f>IF('ORDENES'!$A700="","",IF('ORDENES'!$AD700="","-",'ORDENES'!$AD700))</f>
        <v/>
      </c>
      <c r="D722" s="3">
        <f>IF('ORDENES'!$A700="","",IF('ORDENES'!$W700="","-",'ORDENES'!$W700))</f>
        <v/>
      </c>
      <c r="E722" s="3">
        <f>IF('ORDENES'!$A700="","",IF('ORDENES'!$V700="","-",'ORDENES'!$V700))</f>
        <v/>
      </c>
      <c r="F722" s="3">
        <f>IF('ORDENES'!$A700="","",IF('ORDENES'!$X700="","-",'ORDENES'!$X700))</f>
        <v/>
      </c>
      <c r="G722" s="3">
        <f>IF('ORDENES'!$A700="","",IF('ORDENES'!$AC700="","-",'ORDENES'!$AC700))</f>
        <v/>
      </c>
      <c r="H722" s="3">
        <f>IF('ORDENES'!$A700="","",IF('ORDENES'!$AO700="","-",'ORDENES'!$AO700))</f>
        <v/>
      </c>
      <c r="I722" s="3">
        <f>IF('ORDENES'!$A700="","",IF('ORDENES'!$D700="","-",'ORDENES'!$D700))</f>
        <v/>
      </c>
      <c r="J722" s="3">
        <f>IF('ORDENES'!$A700="","",IF('ORDENES'!$E700="","-",'ORDENES'!$E700))</f>
        <v/>
      </c>
      <c r="K722" s="12">
        <f>IF('ORDENES'!$A700="","",IF('ORDENES'!$N700="",0,'ORDENES'!$N700))</f>
        <v/>
      </c>
      <c r="L722" s="3">
        <f>IF('ORDENES'!$A700="","",IF('ORDENES'!$O700="","-",'ORDENES'!$O700))</f>
        <v/>
      </c>
      <c r="M722" s="3">
        <f>IF('ORDENES'!$A700="","",'ORDENES'!$AB700)</f>
        <v/>
      </c>
    </row>
    <row r="723">
      <c r="A723" s="3">
        <f>IF('ORDENES'!$A701="","",IF('ORDENES'!$P701="","-",'ORDENES'!$P701))</f>
        <v/>
      </c>
      <c r="B723" s="3">
        <f>IF('ORDENES'!$A701="","",IF('ORDENES'!$S701="","-",'ORDENES'!$S701))</f>
        <v/>
      </c>
      <c r="C723" s="3">
        <f>IF('ORDENES'!$A701="","",IF('ORDENES'!$AD701="","-",'ORDENES'!$AD701))</f>
        <v/>
      </c>
      <c r="D723" s="3">
        <f>IF('ORDENES'!$A701="","",IF('ORDENES'!$W701="","-",'ORDENES'!$W701))</f>
        <v/>
      </c>
      <c r="E723" s="3">
        <f>IF('ORDENES'!$A701="","",IF('ORDENES'!$V701="","-",'ORDENES'!$V701))</f>
        <v/>
      </c>
      <c r="F723" s="3">
        <f>IF('ORDENES'!$A701="","",IF('ORDENES'!$X701="","-",'ORDENES'!$X701))</f>
        <v/>
      </c>
      <c r="G723" s="3">
        <f>IF('ORDENES'!$A701="","",IF('ORDENES'!$AC701="","-",'ORDENES'!$AC701))</f>
        <v/>
      </c>
      <c r="H723" s="3">
        <f>IF('ORDENES'!$A701="","",IF('ORDENES'!$AO701="","-",'ORDENES'!$AO701))</f>
        <v/>
      </c>
      <c r="I723" s="3">
        <f>IF('ORDENES'!$A701="","",IF('ORDENES'!$D701="","-",'ORDENES'!$D701))</f>
        <v/>
      </c>
      <c r="J723" s="3">
        <f>IF('ORDENES'!$A701="","",IF('ORDENES'!$E701="","-",'ORDENES'!$E701))</f>
        <v/>
      </c>
      <c r="K723" s="12">
        <f>IF('ORDENES'!$A701="","",IF('ORDENES'!$N701="",0,'ORDENES'!$N701))</f>
        <v/>
      </c>
      <c r="L723" s="3">
        <f>IF('ORDENES'!$A701="","",IF('ORDENES'!$O701="","-",'ORDENES'!$O701))</f>
        <v/>
      </c>
      <c r="M723" s="3">
        <f>IF('ORDENES'!$A701="","",'ORDENES'!$AB701)</f>
        <v/>
      </c>
    </row>
    <row r="724">
      <c r="A724" s="3">
        <f>IF('ORDENES'!$A702="","",IF('ORDENES'!$P702="","-",'ORDENES'!$P702))</f>
        <v/>
      </c>
      <c r="B724" s="3">
        <f>IF('ORDENES'!$A702="","",IF('ORDENES'!$S702="","-",'ORDENES'!$S702))</f>
        <v/>
      </c>
      <c r="C724" s="3">
        <f>IF('ORDENES'!$A702="","",IF('ORDENES'!$AD702="","-",'ORDENES'!$AD702))</f>
        <v/>
      </c>
      <c r="D724" s="3">
        <f>IF('ORDENES'!$A702="","",IF('ORDENES'!$W702="","-",'ORDENES'!$W702))</f>
        <v/>
      </c>
      <c r="E724" s="3">
        <f>IF('ORDENES'!$A702="","",IF('ORDENES'!$V702="","-",'ORDENES'!$V702))</f>
        <v/>
      </c>
      <c r="F724" s="3">
        <f>IF('ORDENES'!$A702="","",IF('ORDENES'!$X702="","-",'ORDENES'!$X702))</f>
        <v/>
      </c>
      <c r="G724" s="3">
        <f>IF('ORDENES'!$A702="","",IF('ORDENES'!$AC702="","-",'ORDENES'!$AC702))</f>
        <v/>
      </c>
      <c r="H724" s="3">
        <f>IF('ORDENES'!$A702="","",IF('ORDENES'!$AO702="","-",'ORDENES'!$AO702))</f>
        <v/>
      </c>
      <c r="I724" s="3">
        <f>IF('ORDENES'!$A702="","",IF('ORDENES'!$D702="","-",'ORDENES'!$D702))</f>
        <v/>
      </c>
      <c r="J724" s="3">
        <f>IF('ORDENES'!$A702="","",IF('ORDENES'!$E702="","-",'ORDENES'!$E702))</f>
        <v/>
      </c>
      <c r="K724" s="12">
        <f>IF('ORDENES'!$A702="","",IF('ORDENES'!$N702="",0,'ORDENES'!$N702))</f>
        <v/>
      </c>
      <c r="L724" s="3">
        <f>IF('ORDENES'!$A702="","",IF('ORDENES'!$O702="","-",'ORDENES'!$O702))</f>
        <v/>
      </c>
      <c r="M724" s="3">
        <f>IF('ORDENES'!$A702="","",'ORDENES'!$AB702)</f>
        <v/>
      </c>
    </row>
    <row r="725">
      <c r="A725" s="3">
        <f>IF('ORDENES'!$A703="","",IF('ORDENES'!$P703="","-",'ORDENES'!$P703))</f>
        <v/>
      </c>
      <c r="B725" s="3">
        <f>IF('ORDENES'!$A703="","",IF('ORDENES'!$S703="","-",'ORDENES'!$S703))</f>
        <v/>
      </c>
      <c r="C725" s="3">
        <f>IF('ORDENES'!$A703="","",IF('ORDENES'!$AD703="","-",'ORDENES'!$AD703))</f>
        <v/>
      </c>
      <c r="D725" s="3">
        <f>IF('ORDENES'!$A703="","",IF('ORDENES'!$W703="","-",'ORDENES'!$W703))</f>
        <v/>
      </c>
      <c r="E725" s="3">
        <f>IF('ORDENES'!$A703="","",IF('ORDENES'!$V703="","-",'ORDENES'!$V703))</f>
        <v/>
      </c>
      <c r="F725" s="3">
        <f>IF('ORDENES'!$A703="","",IF('ORDENES'!$X703="","-",'ORDENES'!$X703))</f>
        <v/>
      </c>
      <c r="G725" s="3">
        <f>IF('ORDENES'!$A703="","",IF('ORDENES'!$AC703="","-",'ORDENES'!$AC703))</f>
        <v/>
      </c>
      <c r="H725" s="3">
        <f>IF('ORDENES'!$A703="","",IF('ORDENES'!$AO703="","-",'ORDENES'!$AO703))</f>
        <v/>
      </c>
      <c r="I725" s="3">
        <f>IF('ORDENES'!$A703="","",IF('ORDENES'!$D703="","-",'ORDENES'!$D703))</f>
        <v/>
      </c>
      <c r="J725" s="3">
        <f>IF('ORDENES'!$A703="","",IF('ORDENES'!$E703="","-",'ORDENES'!$E703))</f>
        <v/>
      </c>
      <c r="K725" s="12">
        <f>IF('ORDENES'!$A703="","",IF('ORDENES'!$N703="",0,'ORDENES'!$N703))</f>
        <v/>
      </c>
      <c r="L725" s="3">
        <f>IF('ORDENES'!$A703="","",IF('ORDENES'!$O703="","-",'ORDENES'!$O703))</f>
        <v/>
      </c>
      <c r="M725" s="3">
        <f>IF('ORDENES'!$A703="","",'ORDENES'!$AB703)</f>
        <v/>
      </c>
    </row>
    <row r="726">
      <c r="A726" s="3">
        <f>IF('ORDENES'!$A704="","",IF('ORDENES'!$P704="","-",'ORDENES'!$P704))</f>
        <v/>
      </c>
      <c r="B726" s="3">
        <f>IF('ORDENES'!$A704="","",IF('ORDENES'!$S704="","-",'ORDENES'!$S704))</f>
        <v/>
      </c>
      <c r="C726" s="3">
        <f>IF('ORDENES'!$A704="","",IF('ORDENES'!$AD704="","-",'ORDENES'!$AD704))</f>
        <v/>
      </c>
      <c r="D726" s="3">
        <f>IF('ORDENES'!$A704="","",IF('ORDENES'!$W704="","-",'ORDENES'!$W704))</f>
        <v/>
      </c>
      <c r="E726" s="3">
        <f>IF('ORDENES'!$A704="","",IF('ORDENES'!$V704="","-",'ORDENES'!$V704))</f>
        <v/>
      </c>
      <c r="F726" s="3">
        <f>IF('ORDENES'!$A704="","",IF('ORDENES'!$X704="","-",'ORDENES'!$X704))</f>
        <v/>
      </c>
      <c r="G726" s="3">
        <f>IF('ORDENES'!$A704="","",IF('ORDENES'!$AC704="","-",'ORDENES'!$AC704))</f>
        <v/>
      </c>
      <c r="H726" s="3">
        <f>IF('ORDENES'!$A704="","",IF('ORDENES'!$AO704="","-",'ORDENES'!$AO704))</f>
        <v/>
      </c>
      <c r="I726" s="3">
        <f>IF('ORDENES'!$A704="","",IF('ORDENES'!$D704="","-",'ORDENES'!$D704))</f>
        <v/>
      </c>
      <c r="J726" s="3">
        <f>IF('ORDENES'!$A704="","",IF('ORDENES'!$E704="","-",'ORDENES'!$E704))</f>
        <v/>
      </c>
      <c r="K726" s="12">
        <f>IF('ORDENES'!$A704="","",IF('ORDENES'!$N704="",0,'ORDENES'!$N704))</f>
        <v/>
      </c>
      <c r="L726" s="3">
        <f>IF('ORDENES'!$A704="","",IF('ORDENES'!$O704="","-",'ORDENES'!$O704))</f>
        <v/>
      </c>
      <c r="M726" s="3">
        <f>IF('ORDENES'!$A704="","",'ORDENES'!$AB704)</f>
        <v/>
      </c>
    </row>
    <row r="727">
      <c r="A727" s="3">
        <f>IF('ORDENES'!$A705="","",IF('ORDENES'!$P705="","-",'ORDENES'!$P705))</f>
        <v/>
      </c>
      <c r="B727" s="3">
        <f>IF('ORDENES'!$A705="","",IF('ORDENES'!$S705="","-",'ORDENES'!$S705))</f>
        <v/>
      </c>
      <c r="C727" s="3">
        <f>IF('ORDENES'!$A705="","",IF('ORDENES'!$AD705="","-",'ORDENES'!$AD705))</f>
        <v/>
      </c>
      <c r="D727" s="3">
        <f>IF('ORDENES'!$A705="","",IF('ORDENES'!$W705="","-",'ORDENES'!$W705))</f>
        <v/>
      </c>
      <c r="E727" s="3">
        <f>IF('ORDENES'!$A705="","",IF('ORDENES'!$V705="","-",'ORDENES'!$V705))</f>
        <v/>
      </c>
      <c r="F727" s="3">
        <f>IF('ORDENES'!$A705="","",IF('ORDENES'!$X705="","-",'ORDENES'!$X705))</f>
        <v/>
      </c>
      <c r="G727" s="3">
        <f>IF('ORDENES'!$A705="","",IF('ORDENES'!$AC705="","-",'ORDENES'!$AC705))</f>
        <v/>
      </c>
      <c r="H727" s="3">
        <f>IF('ORDENES'!$A705="","",IF('ORDENES'!$AO705="","-",'ORDENES'!$AO705))</f>
        <v/>
      </c>
      <c r="I727" s="3">
        <f>IF('ORDENES'!$A705="","",IF('ORDENES'!$D705="","-",'ORDENES'!$D705))</f>
        <v/>
      </c>
      <c r="J727" s="3">
        <f>IF('ORDENES'!$A705="","",IF('ORDENES'!$E705="","-",'ORDENES'!$E705))</f>
        <v/>
      </c>
      <c r="K727" s="12">
        <f>IF('ORDENES'!$A705="","",IF('ORDENES'!$N705="",0,'ORDENES'!$N705))</f>
        <v/>
      </c>
      <c r="L727" s="3">
        <f>IF('ORDENES'!$A705="","",IF('ORDENES'!$O705="","-",'ORDENES'!$O705))</f>
        <v/>
      </c>
      <c r="M727" s="3">
        <f>IF('ORDENES'!$A705="","",'ORDENES'!$AB705)</f>
        <v/>
      </c>
    </row>
    <row r="728">
      <c r="A728" s="3">
        <f>IF('ORDENES'!$A706="","",IF('ORDENES'!$P706="","-",'ORDENES'!$P706))</f>
        <v/>
      </c>
      <c r="B728" s="3">
        <f>IF('ORDENES'!$A706="","",IF('ORDENES'!$S706="","-",'ORDENES'!$S706))</f>
        <v/>
      </c>
      <c r="C728" s="3">
        <f>IF('ORDENES'!$A706="","",IF('ORDENES'!$AD706="","-",'ORDENES'!$AD706))</f>
        <v/>
      </c>
      <c r="D728" s="3">
        <f>IF('ORDENES'!$A706="","",IF('ORDENES'!$W706="","-",'ORDENES'!$W706))</f>
        <v/>
      </c>
      <c r="E728" s="3">
        <f>IF('ORDENES'!$A706="","",IF('ORDENES'!$V706="","-",'ORDENES'!$V706))</f>
        <v/>
      </c>
      <c r="F728" s="3">
        <f>IF('ORDENES'!$A706="","",IF('ORDENES'!$X706="","-",'ORDENES'!$X706))</f>
        <v/>
      </c>
      <c r="G728" s="3">
        <f>IF('ORDENES'!$A706="","",IF('ORDENES'!$AC706="","-",'ORDENES'!$AC706))</f>
        <v/>
      </c>
      <c r="H728" s="3">
        <f>IF('ORDENES'!$A706="","",IF('ORDENES'!$AO706="","-",'ORDENES'!$AO706))</f>
        <v/>
      </c>
      <c r="I728" s="3">
        <f>IF('ORDENES'!$A706="","",IF('ORDENES'!$D706="","-",'ORDENES'!$D706))</f>
        <v/>
      </c>
      <c r="J728" s="3">
        <f>IF('ORDENES'!$A706="","",IF('ORDENES'!$E706="","-",'ORDENES'!$E706))</f>
        <v/>
      </c>
      <c r="K728" s="12">
        <f>IF('ORDENES'!$A706="","",IF('ORDENES'!$N706="",0,'ORDENES'!$N706))</f>
        <v/>
      </c>
      <c r="L728" s="3">
        <f>IF('ORDENES'!$A706="","",IF('ORDENES'!$O706="","-",'ORDENES'!$O706))</f>
        <v/>
      </c>
      <c r="M728" s="3">
        <f>IF('ORDENES'!$A706="","",'ORDENES'!$AB706)</f>
        <v/>
      </c>
    </row>
    <row r="729">
      <c r="A729" s="3">
        <f>IF('ORDENES'!$A707="","",IF('ORDENES'!$P707="","-",'ORDENES'!$P707))</f>
        <v/>
      </c>
      <c r="B729" s="3">
        <f>IF('ORDENES'!$A707="","",IF('ORDENES'!$S707="","-",'ORDENES'!$S707))</f>
        <v/>
      </c>
      <c r="C729" s="3">
        <f>IF('ORDENES'!$A707="","",IF('ORDENES'!$AD707="","-",'ORDENES'!$AD707))</f>
        <v/>
      </c>
      <c r="D729" s="3">
        <f>IF('ORDENES'!$A707="","",IF('ORDENES'!$W707="","-",'ORDENES'!$W707))</f>
        <v/>
      </c>
      <c r="E729" s="3">
        <f>IF('ORDENES'!$A707="","",IF('ORDENES'!$V707="","-",'ORDENES'!$V707))</f>
        <v/>
      </c>
      <c r="F729" s="3">
        <f>IF('ORDENES'!$A707="","",IF('ORDENES'!$X707="","-",'ORDENES'!$X707))</f>
        <v/>
      </c>
      <c r="G729" s="3">
        <f>IF('ORDENES'!$A707="","",IF('ORDENES'!$AC707="","-",'ORDENES'!$AC707))</f>
        <v/>
      </c>
      <c r="H729" s="3">
        <f>IF('ORDENES'!$A707="","",IF('ORDENES'!$AO707="","-",'ORDENES'!$AO707))</f>
        <v/>
      </c>
      <c r="I729" s="3">
        <f>IF('ORDENES'!$A707="","",IF('ORDENES'!$D707="","-",'ORDENES'!$D707))</f>
        <v/>
      </c>
      <c r="J729" s="3">
        <f>IF('ORDENES'!$A707="","",IF('ORDENES'!$E707="","-",'ORDENES'!$E707))</f>
        <v/>
      </c>
      <c r="K729" s="12">
        <f>IF('ORDENES'!$A707="","",IF('ORDENES'!$N707="",0,'ORDENES'!$N707))</f>
        <v/>
      </c>
      <c r="L729" s="3">
        <f>IF('ORDENES'!$A707="","",IF('ORDENES'!$O707="","-",'ORDENES'!$O707))</f>
        <v/>
      </c>
      <c r="M729" s="3">
        <f>IF('ORDENES'!$A707="","",'ORDENES'!$AB707)</f>
        <v/>
      </c>
    </row>
    <row r="730">
      <c r="A730" s="3">
        <f>IF('ORDENES'!$A708="","",IF('ORDENES'!$P708="","-",'ORDENES'!$P708))</f>
        <v/>
      </c>
      <c r="B730" s="3">
        <f>IF('ORDENES'!$A708="","",IF('ORDENES'!$S708="","-",'ORDENES'!$S708))</f>
        <v/>
      </c>
      <c r="C730" s="3">
        <f>IF('ORDENES'!$A708="","",IF('ORDENES'!$AD708="","-",'ORDENES'!$AD708))</f>
        <v/>
      </c>
      <c r="D730" s="3">
        <f>IF('ORDENES'!$A708="","",IF('ORDENES'!$W708="","-",'ORDENES'!$W708))</f>
        <v/>
      </c>
      <c r="E730" s="3">
        <f>IF('ORDENES'!$A708="","",IF('ORDENES'!$V708="","-",'ORDENES'!$V708))</f>
        <v/>
      </c>
      <c r="F730" s="3">
        <f>IF('ORDENES'!$A708="","",IF('ORDENES'!$X708="","-",'ORDENES'!$X708))</f>
        <v/>
      </c>
      <c r="G730" s="3">
        <f>IF('ORDENES'!$A708="","",IF('ORDENES'!$AC708="","-",'ORDENES'!$AC708))</f>
        <v/>
      </c>
      <c r="H730" s="3">
        <f>IF('ORDENES'!$A708="","",IF('ORDENES'!$AO708="","-",'ORDENES'!$AO708))</f>
        <v/>
      </c>
      <c r="I730" s="3">
        <f>IF('ORDENES'!$A708="","",IF('ORDENES'!$D708="","-",'ORDENES'!$D708))</f>
        <v/>
      </c>
      <c r="J730" s="3">
        <f>IF('ORDENES'!$A708="","",IF('ORDENES'!$E708="","-",'ORDENES'!$E708))</f>
        <v/>
      </c>
      <c r="K730" s="12">
        <f>IF('ORDENES'!$A708="","",IF('ORDENES'!$N708="",0,'ORDENES'!$N708))</f>
        <v/>
      </c>
      <c r="L730" s="3">
        <f>IF('ORDENES'!$A708="","",IF('ORDENES'!$O708="","-",'ORDENES'!$O708))</f>
        <v/>
      </c>
      <c r="M730" s="3">
        <f>IF('ORDENES'!$A708="","",'ORDENES'!$AB708)</f>
        <v/>
      </c>
    </row>
    <row r="731">
      <c r="A731" s="3">
        <f>IF('ORDENES'!$A709="","",IF('ORDENES'!$P709="","-",'ORDENES'!$P709))</f>
        <v/>
      </c>
      <c r="B731" s="3">
        <f>IF('ORDENES'!$A709="","",IF('ORDENES'!$S709="","-",'ORDENES'!$S709))</f>
        <v/>
      </c>
      <c r="C731" s="3">
        <f>IF('ORDENES'!$A709="","",IF('ORDENES'!$AD709="","-",'ORDENES'!$AD709))</f>
        <v/>
      </c>
      <c r="D731" s="3">
        <f>IF('ORDENES'!$A709="","",IF('ORDENES'!$W709="","-",'ORDENES'!$W709))</f>
        <v/>
      </c>
      <c r="E731" s="3">
        <f>IF('ORDENES'!$A709="","",IF('ORDENES'!$V709="","-",'ORDENES'!$V709))</f>
        <v/>
      </c>
      <c r="F731" s="3">
        <f>IF('ORDENES'!$A709="","",IF('ORDENES'!$X709="","-",'ORDENES'!$X709))</f>
        <v/>
      </c>
      <c r="G731" s="3">
        <f>IF('ORDENES'!$A709="","",IF('ORDENES'!$AC709="","-",'ORDENES'!$AC709))</f>
        <v/>
      </c>
      <c r="H731" s="3">
        <f>IF('ORDENES'!$A709="","",IF('ORDENES'!$AO709="","-",'ORDENES'!$AO709))</f>
        <v/>
      </c>
      <c r="I731" s="3">
        <f>IF('ORDENES'!$A709="","",IF('ORDENES'!$D709="","-",'ORDENES'!$D709))</f>
        <v/>
      </c>
      <c r="J731" s="3">
        <f>IF('ORDENES'!$A709="","",IF('ORDENES'!$E709="","-",'ORDENES'!$E709))</f>
        <v/>
      </c>
      <c r="K731" s="12">
        <f>IF('ORDENES'!$A709="","",IF('ORDENES'!$N709="",0,'ORDENES'!$N709))</f>
        <v/>
      </c>
      <c r="L731" s="3">
        <f>IF('ORDENES'!$A709="","",IF('ORDENES'!$O709="","-",'ORDENES'!$O709))</f>
        <v/>
      </c>
      <c r="M731" s="3">
        <f>IF('ORDENES'!$A709="","",'ORDENES'!$AB709)</f>
        <v/>
      </c>
    </row>
    <row r="732">
      <c r="A732" s="3">
        <f>IF('ORDENES'!$A710="","",IF('ORDENES'!$P710="","-",'ORDENES'!$P710))</f>
        <v/>
      </c>
      <c r="B732" s="3">
        <f>IF('ORDENES'!$A710="","",IF('ORDENES'!$S710="","-",'ORDENES'!$S710))</f>
        <v/>
      </c>
      <c r="C732" s="3">
        <f>IF('ORDENES'!$A710="","",IF('ORDENES'!$AD710="","-",'ORDENES'!$AD710))</f>
        <v/>
      </c>
      <c r="D732" s="3">
        <f>IF('ORDENES'!$A710="","",IF('ORDENES'!$W710="","-",'ORDENES'!$W710))</f>
        <v/>
      </c>
      <c r="E732" s="3">
        <f>IF('ORDENES'!$A710="","",IF('ORDENES'!$V710="","-",'ORDENES'!$V710))</f>
        <v/>
      </c>
      <c r="F732" s="3">
        <f>IF('ORDENES'!$A710="","",IF('ORDENES'!$X710="","-",'ORDENES'!$X710))</f>
        <v/>
      </c>
      <c r="G732" s="3">
        <f>IF('ORDENES'!$A710="","",IF('ORDENES'!$AC710="","-",'ORDENES'!$AC710))</f>
        <v/>
      </c>
      <c r="H732" s="3">
        <f>IF('ORDENES'!$A710="","",IF('ORDENES'!$AO710="","-",'ORDENES'!$AO710))</f>
        <v/>
      </c>
      <c r="I732" s="3">
        <f>IF('ORDENES'!$A710="","",IF('ORDENES'!$D710="","-",'ORDENES'!$D710))</f>
        <v/>
      </c>
      <c r="J732" s="3">
        <f>IF('ORDENES'!$A710="","",IF('ORDENES'!$E710="","-",'ORDENES'!$E710))</f>
        <v/>
      </c>
      <c r="K732" s="12">
        <f>IF('ORDENES'!$A710="","",IF('ORDENES'!$N710="",0,'ORDENES'!$N710))</f>
        <v/>
      </c>
      <c r="L732" s="3">
        <f>IF('ORDENES'!$A710="","",IF('ORDENES'!$O710="","-",'ORDENES'!$O710))</f>
        <v/>
      </c>
      <c r="M732" s="3">
        <f>IF('ORDENES'!$A710="","",'ORDENES'!$AB710)</f>
        <v/>
      </c>
    </row>
    <row r="733">
      <c r="A733" s="3">
        <f>IF('ORDENES'!$A711="","",IF('ORDENES'!$P711="","-",'ORDENES'!$P711))</f>
        <v/>
      </c>
      <c r="B733" s="3">
        <f>IF('ORDENES'!$A711="","",IF('ORDENES'!$S711="","-",'ORDENES'!$S711))</f>
        <v/>
      </c>
      <c r="C733" s="3">
        <f>IF('ORDENES'!$A711="","",IF('ORDENES'!$AD711="","-",'ORDENES'!$AD711))</f>
        <v/>
      </c>
      <c r="D733" s="3">
        <f>IF('ORDENES'!$A711="","",IF('ORDENES'!$W711="","-",'ORDENES'!$W711))</f>
        <v/>
      </c>
      <c r="E733" s="3">
        <f>IF('ORDENES'!$A711="","",IF('ORDENES'!$V711="","-",'ORDENES'!$V711))</f>
        <v/>
      </c>
      <c r="F733" s="3">
        <f>IF('ORDENES'!$A711="","",IF('ORDENES'!$X711="","-",'ORDENES'!$X711))</f>
        <v/>
      </c>
      <c r="G733" s="3">
        <f>IF('ORDENES'!$A711="","",IF('ORDENES'!$AC711="","-",'ORDENES'!$AC711))</f>
        <v/>
      </c>
      <c r="H733" s="3">
        <f>IF('ORDENES'!$A711="","",IF('ORDENES'!$AO711="","-",'ORDENES'!$AO711))</f>
        <v/>
      </c>
      <c r="I733" s="3">
        <f>IF('ORDENES'!$A711="","",IF('ORDENES'!$D711="","-",'ORDENES'!$D711))</f>
        <v/>
      </c>
      <c r="J733" s="3">
        <f>IF('ORDENES'!$A711="","",IF('ORDENES'!$E711="","-",'ORDENES'!$E711))</f>
        <v/>
      </c>
      <c r="K733" s="12">
        <f>IF('ORDENES'!$A711="","",IF('ORDENES'!$N711="",0,'ORDENES'!$N711))</f>
        <v/>
      </c>
      <c r="L733" s="3">
        <f>IF('ORDENES'!$A711="","",IF('ORDENES'!$O711="","-",'ORDENES'!$O711))</f>
        <v/>
      </c>
      <c r="M733" s="3">
        <f>IF('ORDENES'!$A711="","",'ORDENES'!$AB711)</f>
        <v/>
      </c>
    </row>
    <row r="734">
      <c r="A734" s="3">
        <f>IF('ORDENES'!$A712="","",IF('ORDENES'!$P712="","-",'ORDENES'!$P712))</f>
        <v/>
      </c>
      <c r="B734" s="3">
        <f>IF('ORDENES'!$A712="","",IF('ORDENES'!$S712="","-",'ORDENES'!$S712))</f>
        <v/>
      </c>
      <c r="C734" s="3">
        <f>IF('ORDENES'!$A712="","",IF('ORDENES'!$AD712="","-",'ORDENES'!$AD712))</f>
        <v/>
      </c>
      <c r="D734" s="3">
        <f>IF('ORDENES'!$A712="","",IF('ORDENES'!$W712="","-",'ORDENES'!$W712))</f>
        <v/>
      </c>
      <c r="E734" s="3">
        <f>IF('ORDENES'!$A712="","",IF('ORDENES'!$V712="","-",'ORDENES'!$V712))</f>
        <v/>
      </c>
      <c r="F734" s="3">
        <f>IF('ORDENES'!$A712="","",IF('ORDENES'!$X712="","-",'ORDENES'!$X712))</f>
        <v/>
      </c>
      <c r="G734" s="3">
        <f>IF('ORDENES'!$A712="","",IF('ORDENES'!$AC712="","-",'ORDENES'!$AC712))</f>
        <v/>
      </c>
      <c r="H734" s="3">
        <f>IF('ORDENES'!$A712="","",IF('ORDENES'!$AO712="","-",'ORDENES'!$AO712))</f>
        <v/>
      </c>
      <c r="I734" s="3">
        <f>IF('ORDENES'!$A712="","",IF('ORDENES'!$D712="","-",'ORDENES'!$D712))</f>
        <v/>
      </c>
      <c r="J734" s="3">
        <f>IF('ORDENES'!$A712="","",IF('ORDENES'!$E712="","-",'ORDENES'!$E712))</f>
        <v/>
      </c>
      <c r="K734" s="12">
        <f>IF('ORDENES'!$A712="","",IF('ORDENES'!$N712="",0,'ORDENES'!$N712))</f>
        <v/>
      </c>
      <c r="L734" s="3">
        <f>IF('ORDENES'!$A712="","",IF('ORDENES'!$O712="","-",'ORDENES'!$O712))</f>
        <v/>
      </c>
      <c r="M734" s="3">
        <f>IF('ORDENES'!$A712="","",'ORDENES'!$AB712)</f>
        <v/>
      </c>
    </row>
    <row r="735">
      <c r="A735" s="3">
        <f>IF('ORDENES'!$A713="","",IF('ORDENES'!$P713="","-",'ORDENES'!$P713))</f>
        <v/>
      </c>
      <c r="B735" s="3">
        <f>IF('ORDENES'!$A713="","",IF('ORDENES'!$S713="","-",'ORDENES'!$S713))</f>
        <v/>
      </c>
      <c r="C735" s="3">
        <f>IF('ORDENES'!$A713="","",IF('ORDENES'!$AD713="","-",'ORDENES'!$AD713))</f>
        <v/>
      </c>
      <c r="D735" s="3">
        <f>IF('ORDENES'!$A713="","",IF('ORDENES'!$W713="","-",'ORDENES'!$W713))</f>
        <v/>
      </c>
      <c r="E735" s="3">
        <f>IF('ORDENES'!$A713="","",IF('ORDENES'!$V713="","-",'ORDENES'!$V713))</f>
        <v/>
      </c>
      <c r="F735" s="3">
        <f>IF('ORDENES'!$A713="","",IF('ORDENES'!$X713="","-",'ORDENES'!$X713))</f>
        <v/>
      </c>
      <c r="G735" s="3">
        <f>IF('ORDENES'!$A713="","",IF('ORDENES'!$AC713="","-",'ORDENES'!$AC713))</f>
        <v/>
      </c>
      <c r="H735" s="3">
        <f>IF('ORDENES'!$A713="","",IF('ORDENES'!$AO713="","-",'ORDENES'!$AO713))</f>
        <v/>
      </c>
      <c r="I735" s="3">
        <f>IF('ORDENES'!$A713="","",IF('ORDENES'!$D713="","-",'ORDENES'!$D713))</f>
        <v/>
      </c>
      <c r="J735" s="3">
        <f>IF('ORDENES'!$A713="","",IF('ORDENES'!$E713="","-",'ORDENES'!$E713))</f>
        <v/>
      </c>
      <c r="K735" s="12">
        <f>IF('ORDENES'!$A713="","",IF('ORDENES'!$N713="",0,'ORDENES'!$N713))</f>
        <v/>
      </c>
      <c r="L735" s="3">
        <f>IF('ORDENES'!$A713="","",IF('ORDENES'!$O713="","-",'ORDENES'!$O713))</f>
        <v/>
      </c>
      <c r="M735" s="3">
        <f>IF('ORDENES'!$A713="","",'ORDENES'!$AB713)</f>
        <v/>
      </c>
    </row>
    <row r="736">
      <c r="A736" s="3">
        <f>IF('ORDENES'!$A714="","",IF('ORDENES'!$P714="","-",'ORDENES'!$P714))</f>
        <v/>
      </c>
      <c r="B736" s="3">
        <f>IF('ORDENES'!$A714="","",IF('ORDENES'!$S714="","-",'ORDENES'!$S714))</f>
        <v/>
      </c>
      <c r="C736" s="3">
        <f>IF('ORDENES'!$A714="","",IF('ORDENES'!$AD714="","-",'ORDENES'!$AD714))</f>
        <v/>
      </c>
      <c r="D736" s="3">
        <f>IF('ORDENES'!$A714="","",IF('ORDENES'!$W714="","-",'ORDENES'!$W714))</f>
        <v/>
      </c>
      <c r="E736" s="3">
        <f>IF('ORDENES'!$A714="","",IF('ORDENES'!$V714="","-",'ORDENES'!$V714))</f>
        <v/>
      </c>
      <c r="F736" s="3">
        <f>IF('ORDENES'!$A714="","",IF('ORDENES'!$X714="","-",'ORDENES'!$X714))</f>
        <v/>
      </c>
      <c r="G736" s="3">
        <f>IF('ORDENES'!$A714="","",IF('ORDENES'!$AC714="","-",'ORDENES'!$AC714))</f>
        <v/>
      </c>
      <c r="H736" s="3">
        <f>IF('ORDENES'!$A714="","",IF('ORDENES'!$AO714="","-",'ORDENES'!$AO714))</f>
        <v/>
      </c>
      <c r="I736" s="3">
        <f>IF('ORDENES'!$A714="","",IF('ORDENES'!$D714="","-",'ORDENES'!$D714))</f>
        <v/>
      </c>
      <c r="J736" s="3">
        <f>IF('ORDENES'!$A714="","",IF('ORDENES'!$E714="","-",'ORDENES'!$E714))</f>
        <v/>
      </c>
      <c r="K736" s="12">
        <f>IF('ORDENES'!$A714="","",IF('ORDENES'!$N714="",0,'ORDENES'!$N714))</f>
        <v/>
      </c>
      <c r="L736" s="3">
        <f>IF('ORDENES'!$A714="","",IF('ORDENES'!$O714="","-",'ORDENES'!$O714))</f>
        <v/>
      </c>
      <c r="M736" s="3">
        <f>IF('ORDENES'!$A714="","",'ORDENES'!$AB714)</f>
        <v/>
      </c>
    </row>
    <row r="737">
      <c r="A737" s="3">
        <f>IF('ORDENES'!$A715="","",IF('ORDENES'!$P715="","-",'ORDENES'!$P715))</f>
        <v/>
      </c>
      <c r="B737" s="3">
        <f>IF('ORDENES'!$A715="","",IF('ORDENES'!$S715="","-",'ORDENES'!$S715))</f>
        <v/>
      </c>
      <c r="C737" s="3">
        <f>IF('ORDENES'!$A715="","",IF('ORDENES'!$AD715="","-",'ORDENES'!$AD715))</f>
        <v/>
      </c>
      <c r="D737" s="3">
        <f>IF('ORDENES'!$A715="","",IF('ORDENES'!$W715="","-",'ORDENES'!$W715))</f>
        <v/>
      </c>
      <c r="E737" s="3">
        <f>IF('ORDENES'!$A715="","",IF('ORDENES'!$V715="","-",'ORDENES'!$V715))</f>
        <v/>
      </c>
      <c r="F737" s="3">
        <f>IF('ORDENES'!$A715="","",IF('ORDENES'!$X715="","-",'ORDENES'!$X715))</f>
        <v/>
      </c>
      <c r="G737" s="3">
        <f>IF('ORDENES'!$A715="","",IF('ORDENES'!$AC715="","-",'ORDENES'!$AC715))</f>
        <v/>
      </c>
      <c r="H737" s="3">
        <f>IF('ORDENES'!$A715="","",IF('ORDENES'!$AO715="","-",'ORDENES'!$AO715))</f>
        <v/>
      </c>
      <c r="I737" s="3">
        <f>IF('ORDENES'!$A715="","",IF('ORDENES'!$D715="","-",'ORDENES'!$D715))</f>
        <v/>
      </c>
      <c r="J737" s="3">
        <f>IF('ORDENES'!$A715="","",IF('ORDENES'!$E715="","-",'ORDENES'!$E715))</f>
        <v/>
      </c>
      <c r="K737" s="12">
        <f>IF('ORDENES'!$A715="","",IF('ORDENES'!$N715="",0,'ORDENES'!$N715))</f>
        <v/>
      </c>
      <c r="L737" s="3">
        <f>IF('ORDENES'!$A715="","",IF('ORDENES'!$O715="","-",'ORDENES'!$O715))</f>
        <v/>
      </c>
      <c r="M737" s="3">
        <f>IF('ORDENES'!$A715="","",'ORDENES'!$AB715)</f>
        <v/>
      </c>
    </row>
    <row r="738">
      <c r="A738" s="3">
        <f>IF('ORDENES'!$A716="","",IF('ORDENES'!$P716="","-",'ORDENES'!$P716))</f>
        <v/>
      </c>
      <c r="B738" s="3">
        <f>IF('ORDENES'!$A716="","",IF('ORDENES'!$S716="","-",'ORDENES'!$S716))</f>
        <v/>
      </c>
      <c r="C738" s="3">
        <f>IF('ORDENES'!$A716="","",IF('ORDENES'!$AD716="","-",'ORDENES'!$AD716))</f>
        <v/>
      </c>
      <c r="D738" s="3">
        <f>IF('ORDENES'!$A716="","",IF('ORDENES'!$W716="","-",'ORDENES'!$W716))</f>
        <v/>
      </c>
      <c r="E738" s="3">
        <f>IF('ORDENES'!$A716="","",IF('ORDENES'!$V716="","-",'ORDENES'!$V716))</f>
        <v/>
      </c>
      <c r="F738" s="3">
        <f>IF('ORDENES'!$A716="","",IF('ORDENES'!$X716="","-",'ORDENES'!$X716))</f>
        <v/>
      </c>
      <c r="G738" s="3">
        <f>IF('ORDENES'!$A716="","",IF('ORDENES'!$AC716="","-",'ORDENES'!$AC716))</f>
        <v/>
      </c>
      <c r="H738" s="3">
        <f>IF('ORDENES'!$A716="","",IF('ORDENES'!$AO716="","-",'ORDENES'!$AO716))</f>
        <v/>
      </c>
      <c r="I738" s="3">
        <f>IF('ORDENES'!$A716="","",IF('ORDENES'!$D716="","-",'ORDENES'!$D716))</f>
        <v/>
      </c>
      <c r="J738" s="3">
        <f>IF('ORDENES'!$A716="","",IF('ORDENES'!$E716="","-",'ORDENES'!$E716))</f>
        <v/>
      </c>
      <c r="K738" s="12">
        <f>IF('ORDENES'!$A716="","",IF('ORDENES'!$N716="",0,'ORDENES'!$N716))</f>
        <v/>
      </c>
      <c r="L738" s="3">
        <f>IF('ORDENES'!$A716="","",IF('ORDENES'!$O716="","-",'ORDENES'!$O716))</f>
        <v/>
      </c>
      <c r="M738" s="3">
        <f>IF('ORDENES'!$A716="","",'ORDENES'!$AB716)</f>
        <v/>
      </c>
    </row>
    <row r="739">
      <c r="A739" s="3">
        <f>IF('ORDENES'!$A717="","",IF('ORDENES'!$P717="","-",'ORDENES'!$P717))</f>
        <v/>
      </c>
      <c r="B739" s="3">
        <f>IF('ORDENES'!$A717="","",IF('ORDENES'!$S717="","-",'ORDENES'!$S717))</f>
        <v/>
      </c>
      <c r="C739" s="3">
        <f>IF('ORDENES'!$A717="","",IF('ORDENES'!$AD717="","-",'ORDENES'!$AD717))</f>
        <v/>
      </c>
      <c r="D739" s="3">
        <f>IF('ORDENES'!$A717="","",IF('ORDENES'!$W717="","-",'ORDENES'!$W717))</f>
        <v/>
      </c>
      <c r="E739" s="3">
        <f>IF('ORDENES'!$A717="","",IF('ORDENES'!$V717="","-",'ORDENES'!$V717))</f>
        <v/>
      </c>
      <c r="F739" s="3">
        <f>IF('ORDENES'!$A717="","",IF('ORDENES'!$X717="","-",'ORDENES'!$X717))</f>
        <v/>
      </c>
      <c r="G739" s="3">
        <f>IF('ORDENES'!$A717="","",IF('ORDENES'!$AC717="","-",'ORDENES'!$AC717))</f>
        <v/>
      </c>
      <c r="H739" s="3">
        <f>IF('ORDENES'!$A717="","",IF('ORDENES'!$AO717="","-",'ORDENES'!$AO717))</f>
        <v/>
      </c>
      <c r="I739" s="3">
        <f>IF('ORDENES'!$A717="","",IF('ORDENES'!$D717="","-",'ORDENES'!$D717))</f>
        <v/>
      </c>
      <c r="J739" s="3">
        <f>IF('ORDENES'!$A717="","",IF('ORDENES'!$E717="","-",'ORDENES'!$E717))</f>
        <v/>
      </c>
      <c r="K739" s="12">
        <f>IF('ORDENES'!$A717="","",IF('ORDENES'!$N717="",0,'ORDENES'!$N717))</f>
        <v/>
      </c>
      <c r="L739" s="3">
        <f>IF('ORDENES'!$A717="","",IF('ORDENES'!$O717="","-",'ORDENES'!$O717))</f>
        <v/>
      </c>
      <c r="M739" s="3">
        <f>IF('ORDENES'!$A717="","",'ORDENES'!$AB717)</f>
        <v/>
      </c>
    </row>
    <row r="740">
      <c r="A740" s="3">
        <f>IF('ORDENES'!$A718="","",IF('ORDENES'!$P718="","-",'ORDENES'!$P718))</f>
        <v/>
      </c>
      <c r="B740" s="3">
        <f>IF('ORDENES'!$A718="","",IF('ORDENES'!$S718="","-",'ORDENES'!$S718))</f>
        <v/>
      </c>
      <c r="C740" s="3">
        <f>IF('ORDENES'!$A718="","",IF('ORDENES'!$AD718="","-",'ORDENES'!$AD718))</f>
        <v/>
      </c>
      <c r="D740" s="3">
        <f>IF('ORDENES'!$A718="","",IF('ORDENES'!$W718="","-",'ORDENES'!$W718))</f>
        <v/>
      </c>
      <c r="E740" s="3">
        <f>IF('ORDENES'!$A718="","",IF('ORDENES'!$V718="","-",'ORDENES'!$V718))</f>
        <v/>
      </c>
      <c r="F740" s="3">
        <f>IF('ORDENES'!$A718="","",IF('ORDENES'!$X718="","-",'ORDENES'!$X718))</f>
        <v/>
      </c>
      <c r="G740" s="3">
        <f>IF('ORDENES'!$A718="","",IF('ORDENES'!$AC718="","-",'ORDENES'!$AC718))</f>
        <v/>
      </c>
      <c r="H740" s="3">
        <f>IF('ORDENES'!$A718="","",IF('ORDENES'!$AO718="","-",'ORDENES'!$AO718))</f>
        <v/>
      </c>
      <c r="I740" s="3">
        <f>IF('ORDENES'!$A718="","",IF('ORDENES'!$D718="","-",'ORDENES'!$D718))</f>
        <v/>
      </c>
      <c r="J740" s="3">
        <f>IF('ORDENES'!$A718="","",IF('ORDENES'!$E718="","-",'ORDENES'!$E718))</f>
        <v/>
      </c>
      <c r="K740" s="12">
        <f>IF('ORDENES'!$A718="","",IF('ORDENES'!$N718="",0,'ORDENES'!$N718))</f>
        <v/>
      </c>
      <c r="L740" s="3">
        <f>IF('ORDENES'!$A718="","",IF('ORDENES'!$O718="","-",'ORDENES'!$O718))</f>
        <v/>
      </c>
      <c r="M740" s="3">
        <f>IF('ORDENES'!$A718="","",'ORDENES'!$AB718)</f>
        <v/>
      </c>
    </row>
    <row r="741">
      <c r="A741" s="3">
        <f>IF('ORDENES'!$A719="","",IF('ORDENES'!$P719="","-",'ORDENES'!$P719))</f>
        <v/>
      </c>
      <c r="B741" s="3">
        <f>IF('ORDENES'!$A719="","",IF('ORDENES'!$S719="","-",'ORDENES'!$S719))</f>
        <v/>
      </c>
      <c r="C741" s="3">
        <f>IF('ORDENES'!$A719="","",IF('ORDENES'!$AD719="","-",'ORDENES'!$AD719))</f>
        <v/>
      </c>
      <c r="D741" s="3">
        <f>IF('ORDENES'!$A719="","",IF('ORDENES'!$W719="","-",'ORDENES'!$W719))</f>
        <v/>
      </c>
      <c r="E741" s="3">
        <f>IF('ORDENES'!$A719="","",IF('ORDENES'!$V719="","-",'ORDENES'!$V719))</f>
        <v/>
      </c>
      <c r="F741" s="3">
        <f>IF('ORDENES'!$A719="","",IF('ORDENES'!$X719="","-",'ORDENES'!$X719))</f>
        <v/>
      </c>
      <c r="G741" s="3">
        <f>IF('ORDENES'!$A719="","",IF('ORDENES'!$AC719="","-",'ORDENES'!$AC719))</f>
        <v/>
      </c>
      <c r="H741" s="3">
        <f>IF('ORDENES'!$A719="","",IF('ORDENES'!$AO719="","-",'ORDENES'!$AO719))</f>
        <v/>
      </c>
      <c r="I741" s="3">
        <f>IF('ORDENES'!$A719="","",IF('ORDENES'!$D719="","-",'ORDENES'!$D719))</f>
        <v/>
      </c>
      <c r="J741" s="3">
        <f>IF('ORDENES'!$A719="","",IF('ORDENES'!$E719="","-",'ORDENES'!$E719))</f>
        <v/>
      </c>
      <c r="K741" s="12">
        <f>IF('ORDENES'!$A719="","",IF('ORDENES'!$N719="",0,'ORDENES'!$N719))</f>
        <v/>
      </c>
      <c r="L741" s="3">
        <f>IF('ORDENES'!$A719="","",IF('ORDENES'!$O719="","-",'ORDENES'!$O719))</f>
        <v/>
      </c>
      <c r="M741" s="3">
        <f>IF('ORDENES'!$A719="","",'ORDENES'!$AB719)</f>
        <v/>
      </c>
    </row>
    <row r="742">
      <c r="A742" s="3">
        <f>IF('ORDENES'!$A720="","",IF('ORDENES'!$P720="","-",'ORDENES'!$P720))</f>
        <v/>
      </c>
      <c r="B742" s="3">
        <f>IF('ORDENES'!$A720="","",IF('ORDENES'!$S720="","-",'ORDENES'!$S720))</f>
        <v/>
      </c>
      <c r="C742" s="3">
        <f>IF('ORDENES'!$A720="","",IF('ORDENES'!$AD720="","-",'ORDENES'!$AD720))</f>
        <v/>
      </c>
      <c r="D742" s="3">
        <f>IF('ORDENES'!$A720="","",IF('ORDENES'!$W720="","-",'ORDENES'!$W720))</f>
        <v/>
      </c>
      <c r="E742" s="3">
        <f>IF('ORDENES'!$A720="","",IF('ORDENES'!$V720="","-",'ORDENES'!$V720))</f>
        <v/>
      </c>
      <c r="F742" s="3">
        <f>IF('ORDENES'!$A720="","",IF('ORDENES'!$X720="","-",'ORDENES'!$X720))</f>
        <v/>
      </c>
      <c r="G742" s="3">
        <f>IF('ORDENES'!$A720="","",IF('ORDENES'!$AC720="","-",'ORDENES'!$AC720))</f>
        <v/>
      </c>
      <c r="H742" s="3">
        <f>IF('ORDENES'!$A720="","",IF('ORDENES'!$AO720="","-",'ORDENES'!$AO720))</f>
        <v/>
      </c>
      <c r="I742" s="3">
        <f>IF('ORDENES'!$A720="","",IF('ORDENES'!$D720="","-",'ORDENES'!$D720))</f>
        <v/>
      </c>
      <c r="J742" s="3">
        <f>IF('ORDENES'!$A720="","",IF('ORDENES'!$E720="","-",'ORDENES'!$E720))</f>
        <v/>
      </c>
      <c r="K742" s="12">
        <f>IF('ORDENES'!$A720="","",IF('ORDENES'!$N720="",0,'ORDENES'!$N720))</f>
        <v/>
      </c>
      <c r="L742" s="3">
        <f>IF('ORDENES'!$A720="","",IF('ORDENES'!$O720="","-",'ORDENES'!$O720))</f>
        <v/>
      </c>
      <c r="M742" s="3">
        <f>IF('ORDENES'!$A720="","",'ORDENES'!$AB720)</f>
        <v/>
      </c>
    </row>
    <row r="743">
      <c r="A743" s="3">
        <f>IF('ORDENES'!$A721="","",IF('ORDENES'!$P721="","-",'ORDENES'!$P721))</f>
        <v/>
      </c>
      <c r="B743" s="3">
        <f>IF('ORDENES'!$A721="","",IF('ORDENES'!$S721="","-",'ORDENES'!$S721))</f>
        <v/>
      </c>
      <c r="C743" s="3">
        <f>IF('ORDENES'!$A721="","",IF('ORDENES'!$AD721="","-",'ORDENES'!$AD721))</f>
        <v/>
      </c>
      <c r="D743" s="3">
        <f>IF('ORDENES'!$A721="","",IF('ORDENES'!$W721="","-",'ORDENES'!$W721))</f>
        <v/>
      </c>
      <c r="E743" s="3">
        <f>IF('ORDENES'!$A721="","",IF('ORDENES'!$V721="","-",'ORDENES'!$V721))</f>
        <v/>
      </c>
      <c r="F743" s="3">
        <f>IF('ORDENES'!$A721="","",IF('ORDENES'!$X721="","-",'ORDENES'!$X721))</f>
        <v/>
      </c>
      <c r="G743" s="3">
        <f>IF('ORDENES'!$A721="","",IF('ORDENES'!$AC721="","-",'ORDENES'!$AC721))</f>
        <v/>
      </c>
      <c r="H743" s="3">
        <f>IF('ORDENES'!$A721="","",IF('ORDENES'!$AO721="","-",'ORDENES'!$AO721))</f>
        <v/>
      </c>
      <c r="I743" s="3">
        <f>IF('ORDENES'!$A721="","",IF('ORDENES'!$D721="","-",'ORDENES'!$D721))</f>
        <v/>
      </c>
      <c r="J743" s="3">
        <f>IF('ORDENES'!$A721="","",IF('ORDENES'!$E721="","-",'ORDENES'!$E721))</f>
        <v/>
      </c>
      <c r="K743" s="12">
        <f>IF('ORDENES'!$A721="","",IF('ORDENES'!$N721="",0,'ORDENES'!$N721))</f>
        <v/>
      </c>
      <c r="L743" s="3">
        <f>IF('ORDENES'!$A721="","",IF('ORDENES'!$O721="","-",'ORDENES'!$O721))</f>
        <v/>
      </c>
      <c r="M743" s="3">
        <f>IF('ORDENES'!$A721="","",'ORDENES'!$AB721)</f>
        <v/>
      </c>
    </row>
    <row r="744">
      <c r="A744" s="3">
        <f>IF('ORDENES'!$A722="","",IF('ORDENES'!$P722="","-",'ORDENES'!$P722))</f>
        <v/>
      </c>
      <c r="B744" s="3">
        <f>IF('ORDENES'!$A722="","",IF('ORDENES'!$S722="","-",'ORDENES'!$S722))</f>
        <v/>
      </c>
      <c r="C744" s="3">
        <f>IF('ORDENES'!$A722="","",IF('ORDENES'!$AD722="","-",'ORDENES'!$AD722))</f>
        <v/>
      </c>
      <c r="D744" s="3">
        <f>IF('ORDENES'!$A722="","",IF('ORDENES'!$W722="","-",'ORDENES'!$W722))</f>
        <v/>
      </c>
      <c r="E744" s="3">
        <f>IF('ORDENES'!$A722="","",IF('ORDENES'!$V722="","-",'ORDENES'!$V722))</f>
        <v/>
      </c>
      <c r="F744" s="3">
        <f>IF('ORDENES'!$A722="","",IF('ORDENES'!$X722="","-",'ORDENES'!$X722))</f>
        <v/>
      </c>
      <c r="G744" s="3">
        <f>IF('ORDENES'!$A722="","",IF('ORDENES'!$AC722="","-",'ORDENES'!$AC722))</f>
        <v/>
      </c>
      <c r="H744" s="3">
        <f>IF('ORDENES'!$A722="","",IF('ORDENES'!$AO722="","-",'ORDENES'!$AO722))</f>
        <v/>
      </c>
      <c r="I744" s="3">
        <f>IF('ORDENES'!$A722="","",IF('ORDENES'!$D722="","-",'ORDENES'!$D722))</f>
        <v/>
      </c>
      <c r="J744" s="3">
        <f>IF('ORDENES'!$A722="","",IF('ORDENES'!$E722="","-",'ORDENES'!$E722))</f>
        <v/>
      </c>
      <c r="K744" s="12">
        <f>IF('ORDENES'!$A722="","",IF('ORDENES'!$N722="",0,'ORDENES'!$N722))</f>
        <v/>
      </c>
      <c r="L744" s="3">
        <f>IF('ORDENES'!$A722="","",IF('ORDENES'!$O722="","-",'ORDENES'!$O722))</f>
        <v/>
      </c>
      <c r="M744" s="3">
        <f>IF('ORDENES'!$A722="","",'ORDENES'!$AB722)</f>
        <v/>
      </c>
    </row>
    <row r="745">
      <c r="A745" s="3">
        <f>IF('ORDENES'!$A723="","",IF('ORDENES'!$P723="","-",'ORDENES'!$P723))</f>
        <v/>
      </c>
      <c r="B745" s="3">
        <f>IF('ORDENES'!$A723="","",IF('ORDENES'!$S723="","-",'ORDENES'!$S723))</f>
        <v/>
      </c>
      <c r="C745" s="3">
        <f>IF('ORDENES'!$A723="","",IF('ORDENES'!$AD723="","-",'ORDENES'!$AD723))</f>
        <v/>
      </c>
      <c r="D745" s="3">
        <f>IF('ORDENES'!$A723="","",IF('ORDENES'!$W723="","-",'ORDENES'!$W723))</f>
        <v/>
      </c>
      <c r="E745" s="3">
        <f>IF('ORDENES'!$A723="","",IF('ORDENES'!$V723="","-",'ORDENES'!$V723))</f>
        <v/>
      </c>
      <c r="F745" s="3">
        <f>IF('ORDENES'!$A723="","",IF('ORDENES'!$X723="","-",'ORDENES'!$X723))</f>
        <v/>
      </c>
      <c r="G745" s="3">
        <f>IF('ORDENES'!$A723="","",IF('ORDENES'!$AC723="","-",'ORDENES'!$AC723))</f>
        <v/>
      </c>
      <c r="H745" s="3">
        <f>IF('ORDENES'!$A723="","",IF('ORDENES'!$AO723="","-",'ORDENES'!$AO723))</f>
        <v/>
      </c>
      <c r="I745" s="3">
        <f>IF('ORDENES'!$A723="","",IF('ORDENES'!$D723="","-",'ORDENES'!$D723))</f>
        <v/>
      </c>
      <c r="J745" s="3">
        <f>IF('ORDENES'!$A723="","",IF('ORDENES'!$E723="","-",'ORDENES'!$E723))</f>
        <v/>
      </c>
      <c r="K745" s="12">
        <f>IF('ORDENES'!$A723="","",IF('ORDENES'!$N723="",0,'ORDENES'!$N723))</f>
        <v/>
      </c>
      <c r="L745" s="3">
        <f>IF('ORDENES'!$A723="","",IF('ORDENES'!$O723="","-",'ORDENES'!$O723))</f>
        <v/>
      </c>
      <c r="M745" s="3">
        <f>IF('ORDENES'!$A723="","",'ORDENES'!$AB723)</f>
        <v/>
      </c>
    </row>
    <row r="746">
      <c r="A746" s="3">
        <f>IF('ORDENES'!$A724="","",IF('ORDENES'!$P724="","-",'ORDENES'!$P724))</f>
        <v/>
      </c>
      <c r="B746" s="3">
        <f>IF('ORDENES'!$A724="","",IF('ORDENES'!$S724="","-",'ORDENES'!$S724))</f>
        <v/>
      </c>
      <c r="C746" s="3">
        <f>IF('ORDENES'!$A724="","",IF('ORDENES'!$AD724="","-",'ORDENES'!$AD724))</f>
        <v/>
      </c>
      <c r="D746" s="3">
        <f>IF('ORDENES'!$A724="","",IF('ORDENES'!$W724="","-",'ORDENES'!$W724))</f>
        <v/>
      </c>
      <c r="E746" s="3">
        <f>IF('ORDENES'!$A724="","",IF('ORDENES'!$V724="","-",'ORDENES'!$V724))</f>
        <v/>
      </c>
      <c r="F746" s="3">
        <f>IF('ORDENES'!$A724="","",IF('ORDENES'!$X724="","-",'ORDENES'!$X724))</f>
        <v/>
      </c>
      <c r="G746" s="3">
        <f>IF('ORDENES'!$A724="","",IF('ORDENES'!$AC724="","-",'ORDENES'!$AC724))</f>
        <v/>
      </c>
      <c r="H746" s="3">
        <f>IF('ORDENES'!$A724="","",IF('ORDENES'!$AO724="","-",'ORDENES'!$AO724))</f>
        <v/>
      </c>
      <c r="I746" s="3">
        <f>IF('ORDENES'!$A724="","",IF('ORDENES'!$D724="","-",'ORDENES'!$D724))</f>
        <v/>
      </c>
      <c r="J746" s="3">
        <f>IF('ORDENES'!$A724="","",IF('ORDENES'!$E724="","-",'ORDENES'!$E724))</f>
        <v/>
      </c>
      <c r="K746" s="12">
        <f>IF('ORDENES'!$A724="","",IF('ORDENES'!$N724="",0,'ORDENES'!$N724))</f>
        <v/>
      </c>
      <c r="L746" s="3">
        <f>IF('ORDENES'!$A724="","",IF('ORDENES'!$O724="","-",'ORDENES'!$O724))</f>
        <v/>
      </c>
      <c r="M746" s="3">
        <f>IF('ORDENES'!$A724="","",'ORDENES'!$AB724)</f>
        <v/>
      </c>
    </row>
    <row r="747">
      <c r="A747" s="3">
        <f>IF('ORDENES'!$A725="","",IF('ORDENES'!$P725="","-",'ORDENES'!$P725))</f>
        <v/>
      </c>
      <c r="B747" s="3">
        <f>IF('ORDENES'!$A725="","",IF('ORDENES'!$S725="","-",'ORDENES'!$S725))</f>
        <v/>
      </c>
      <c r="C747" s="3">
        <f>IF('ORDENES'!$A725="","",IF('ORDENES'!$AD725="","-",'ORDENES'!$AD725))</f>
        <v/>
      </c>
      <c r="D747" s="3">
        <f>IF('ORDENES'!$A725="","",IF('ORDENES'!$W725="","-",'ORDENES'!$W725))</f>
        <v/>
      </c>
      <c r="E747" s="3">
        <f>IF('ORDENES'!$A725="","",IF('ORDENES'!$V725="","-",'ORDENES'!$V725))</f>
        <v/>
      </c>
      <c r="F747" s="3">
        <f>IF('ORDENES'!$A725="","",IF('ORDENES'!$X725="","-",'ORDENES'!$X725))</f>
        <v/>
      </c>
      <c r="G747" s="3">
        <f>IF('ORDENES'!$A725="","",IF('ORDENES'!$AC725="","-",'ORDENES'!$AC725))</f>
        <v/>
      </c>
      <c r="H747" s="3">
        <f>IF('ORDENES'!$A725="","",IF('ORDENES'!$AO725="","-",'ORDENES'!$AO725))</f>
        <v/>
      </c>
      <c r="I747" s="3">
        <f>IF('ORDENES'!$A725="","",IF('ORDENES'!$D725="","-",'ORDENES'!$D725))</f>
        <v/>
      </c>
      <c r="J747" s="3">
        <f>IF('ORDENES'!$A725="","",IF('ORDENES'!$E725="","-",'ORDENES'!$E725))</f>
        <v/>
      </c>
      <c r="K747" s="12">
        <f>IF('ORDENES'!$A725="","",IF('ORDENES'!$N725="",0,'ORDENES'!$N725))</f>
        <v/>
      </c>
      <c r="L747" s="3">
        <f>IF('ORDENES'!$A725="","",IF('ORDENES'!$O725="","-",'ORDENES'!$O725))</f>
        <v/>
      </c>
      <c r="M747" s="3">
        <f>IF('ORDENES'!$A725="","",'ORDENES'!$AB725)</f>
        <v/>
      </c>
    </row>
    <row r="748">
      <c r="A748" s="3">
        <f>IF('ORDENES'!$A726="","",IF('ORDENES'!$P726="","-",'ORDENES'!$P726))</f>
        <v/>
      </c>
      <c r="B748" s="3">
        <f>IF('ORDENES'!$A726="","",IF('ORDENES'!$S726="","-",'ORDENES'!$S726))</f>
        <v/>
      </c>
      <c r="C748" s="3">
        <f>IF('ORDENES'!$A726="","",IF('ORDENES'!$AD726="","-",'ORDENES'!$AD726))</f>
        <v/>
      </c>
      <c r="D748" s="3">
        <f>IF('ORDENES'!$A726="","",IF('ORDENES'!$W726="","-",'ORDENES'!$W726))</f>
        <v/>
      </c>
      <c r="E748" s="3">
        <f>IF('ORDENES'!$A726="","",IF('ORDENES'!$V726="","-",'ORDENES'!$V726))</f>
        <v/>
      </c>
      <c r="F748" s="3">
        <f>IF('ORDENES'!$A726="","",IF('ORDENES'!$X726="","-",'ORDENES'!$X726))</f>
        <v/>
      </c>
      <c r="G748" s="3">
        <f>IF('ORDENES'!$A726="","",IF('ORDENES'!$AC726="","-",'ORDENES'!$AC726))</f>
        <v/>
      </c>
      <c r="H748" s="3">
        <f>IF('ORDENES'!$A726="","",IF('ORDENES'!$AO726="","-",'ORDENES'!$AO726))</f>
        <v/>
      </c>
      <c r="I748" s="3">
        <f>IF('ORDENES'!$A726="","",IF('ORDENES'!$D726="","-",'ORDENES'!$D726))</f>
        <v/>
      </c>
      <c r="J748" s="3">
        <f>IF('ORDENES'!$A726="","",IF('ORDENES'!$E726="","-",'ORDENES'!$E726))</f>
        <v/>
      </c>
      <c r="K748" s="12">
        <f>IF('ORDENES'!$A726="","",IF('ORDENES'!$N726="",0,'ORDENES'!$N726))</f>
        <v/>
      </c>
      <c r="L748" s="3">
        <f>IF('ORDENES'!$A726="","",IF('ORDENES'!$O726="","-",'ORDENES'!$O726))</f>
        <v/>
      </c>
      <c r="M748" s="3">
        <f>IF('ORDENES'!$A726="","",'ORDENES'!$AB726)</f>
        <v/>
      </c>
    </row>
    <row r="749">
      <c r="A749" s="3">
        <f>IF('ORDENES'!$A727="","",IF('ORDENES'!$P727="","-",'ORDENES'!$P727))</f>
        <v/>
      </c>
      <c r="B749" s="3">
        <f>IF('ORDENES'!$A727="","",IF('ORDENES'!$S727="","-",'ORDENES'!$S727))</f>
        <v/>
      </c>
      <c r="C749" s="3">
        <f>IF('ORDENES'!$A727="","",IF('ORDENES'!$AD727="","-",'ORDENES'!$AD727))</f>
        <v/>
      </c>
      <c r="D749" s="3">
        <f>IF('ORDENES'!$A727="","",IF('ORDENES'!$W727="","-",'ORDENES'!$W727))</f>
        <v/>
      </c>
      <c r="E749" s="3">
        <f>IF('ORDENES'!$A727="","",IF('ORDENES'!$V727="","-",'ORDENES'!$V727))</f>
        <v/>
      </c>
      <c r="F749" s="3">
        <f>IF('ORDENES'!$A727="","",IF('ORDENES'!$X727="","-",'ORDENES'!$X727))</f>
        <v/>
      </c>
      <c r="G749" s="3">
        <f>IF('ORDENES'!$A727="","",IF('ORDENES'!$AC727="","-",'ORDENES'!$AC727))</f>
        <v/>
      </c>
      <c r="H749" s="3">
        <f>IF('ORDENES'!$A727="","",IF('ORDENES'!$AO727="","-",'ORDENES'!$AO727))</f>
        <v/>
      </c>
      <c r="I749" s="3">
        <f>IF('ORDENES'!$A727="","",IF('ORDENES'!$D727="","-",'ORDENES'!$D727))</f>
        <v/>
      </c>
      <c r="J749" s="3">
        <f>IF('ORDENES'!$A727="","",IF('ORDENES'!$E727="","-",'ORDENES'!$E727))</f>
        <v/>
      </c>
      <c r="K749" s="12">
        <f>IF('ORDENES'!$A727="","",IF('ORDENES'!$N727="",0,'ORDENES'!$N727))</f>
        <v/>
      </c>
      <c r="L749" s="3">
        <f>IF('ORDENES'!$A727="","",IF('ORDENES'!$O727="","-",'ORDENES'!$O727))</f>
        <v/>
      </c>
      <c r="M749" s="3">
        <f>IF('ORDENES'!$A727="","",'ORDENES'!$AB727)</f>
        <v/>
      </c>
    </row>
    <row r="750">
      <c r="A750" s="3">
        <f>IF('ORDENES'!$A728="","",IF('ORDENES'!$P728="","-",'ORDENES'!$P728))</f>
        <v/>
      </c>
      <c r="B750" s="3">
        <f>IF('ORDENES'!$A728="","",IF('ORDENES'!$S728="","-",'ORDENES'!$S728))</f>
        <v/>
      </c>
      <c r="C750" s="3">
        <f>IF('ORDENES'!$A728="","",IF('ORDENES'!$AD728="","-",'ORDENES'!$AD728))</f>
        <v/>
      </c>
      <c r="D750" s="3">
        <f>IF('ORDENES'!$A728="","",IF('ORDENES'!$W728="","-",'ORDENES'!$W728))</f>
        <v/>
      </c>
      <c r="E750" s="3">
        <f>IF('ORDENES'!$A728="","",IF('ORDENES'!$V728="","-",'ORDENES'!$V728))</f>
        <v/>
      </c>
      <c r="F750" s="3">
        <f>IF('ORDENES'!$A728="","",IF('ORDENES'!$X728="","-",'ORDENES'!$X728))</f>
        <v/>
      </c>
      <c r="G750" s="3">
        <f>IF('ORDENES'!$A728="","",IF('ORDENES'!$AC728="","-",'ORDENES'!$AC728))</f>
        <v/>
      </c>
      <c r="H750" s="3">
        <f>IF('ORDENES'!$A728="","",IF('ORDENES'!$AO728="","-",'ORDENES'!$AO728))</f>
        <v/>
      </c>
      <c r="I750" s="3">
        <f>IF('ORDENES'!$A728="","",IF('ORDENES'!$D728="","-",'ORDENES'!$D728))</f>
        <v/>
      </c>
      <c r="J750" s="3">
        <f>IF('ORDENES'!$A728="","",IF('ORDENES'!$E728="","-",'ORDENES'!$E728))</f>
        <v/>
      </c>
      <c r="K750" s="12">
        <f>IF('ORDENES'!$A728="","",IF('ORDENES'!$N728="",0,'ORDENES'!$N728))</f>
        <v/>
      </c>
      <c r="L750" s="3">
        <f>IF('ORDENES'!$A728="","",IF('ORDENES'!$O728="","-",'ORDENES'!$O728))</f>
        <v/>
      </c>
      <c r="M750" s="3">
        <f>IF('ORDENES'!$A728="","",'ORDENES'!$AB728)</f>
        <v/>
      </c>
    </row>
    <row r="751">
      <c r="A751" s="3">
        <f>IF('ORDENES'!$A729="","",IF('ORDENES'!$P729="","-",'ORDENES'!$P729))</f>
        <v/>
      </c>
      <c r="B751" s="3">
        <f>IF('ORDENES'!$A729="","",IF('ORDENES'!$S729="","-",'ORDENES'!$S729))</f>
        <v/>
      </c>
      <c r="C751" s="3">
        <f>IF('ORDENES'!$A729="","",IF('ORDENES'!$AD729="","-",'ORDENES'!$AD729))</f>
        <v/>
      </c>
      <c r="D751" s="3">
        <f>IF('ORDENES'!$A729="","",IF('ORDENES'!$W729="","-",'ORDENES'!$W729))</f>
        <v/>
      </c>
      <c r="E751" s="3">
        <f>IF('ORDENES'!$A729="","",IF('ORDENES'!$V729="","-",'ORDENES'!$V729))</f>
        <v/>
      </c>
      <c r="F751" s="3">
        <f>IF('ORDENES'!$A729="","",IF('ORDENES'!$X729="","-",'ORDENES'!$X729))</f>
        <v/>
      </c>
      <c r="G751" s="3">
        <f>IF('ORDENES'!$A729="","",IF('ORDENES'!$AC729="","-",'ORDENES'!$AC729))</f>
        <v/>
      </c>
      <c r="H751" s="3">
        <f>IF('ORDENES'!$A729="","",IF('ORDENES'!$AO729="","-",'ORDENES'!$AO729))</f>
        <v/>
      </c>
      <c r="I751" s="3">
        <f>IF('ORDENES'!$A729="","",IF('ORDENES'!$D729="","-",'ORDENES'!$D729))</f>
        <v/>
      </c>
      <c r="J751" s="3">
        <f>IF('ORDENES'!$A729="","",IF('ORDENES'!$E729="","-",'ORDENES'!$E729))</f>
        <v/>
      </c>
      <c r="K751" s="12">
        <f>IF('ORDENES'!$A729="","",IF('ORDENES'!$N729="",0,'ORDENES'!$N729))</f>
        <v/>
      </c>
      <c r="L751" s="3">
        <f>IF('ORDENES'!$A729="","",IF('ORDENES'!$O729="","-",'ORDENES'!$O729))</f>
        <v/>
      </c>
      <c r="M751" s="3">
        <f>IF('ORDENES'!$A729="","",'ORDENES'!$AB729)</f>
        <v/>
      </c>
    </row>
    <row r="752">
      <c r="A752" s="3">
        <f>IF('ORDENES'!$A730="","",IF('ORDENES'!$P730="","-",'ORDENES'!$P730))</f>
        <v/>
      </c>
      <c r="B752" s="3">
        <f>IF('ORDENES'!$A730="","",IF('ORDENES'!$S730="","-",'ORDENES'!$S730))</f>
        <v/>
      </c>
      <c r="C752" s="3">
        <f>IF('ORDENES'!$A730="","",IF('ORDENES'!$AD730="","-",'ORDENES'!$AD730))</f>
        <v/>
      </c>
      <c r="D752" s="3">
        <f>IF('ORDENES'!$A730="","",IF('ORDENES'!$W730="","-",'ORDENES'!$W730))</f>
        <v/>
      </c>
      <c r="E752" s="3">
        <f>IF('ORDENES'!$A730="","",IF('ORDENES'!$V730="","-",'ORDENES'!$V730))</f>
        <v/>
      </c>
      <c r="F752" s="3">
        <f>IF('ORDENES'!$A730="","",IF('ORDENES'!$X730="","-",'ORDENES'!$X730))</f>
        <v/>
      </c>
      <c r="G752" s="3">
        <f>IF('ORDENES'!$A730="","",IF('ORDENES'!$AC730="","-",'ORDENES'!$AC730))</f>
        <v/>
      </c>
      <c r="H752" s="3">
        <f>IF('ORDENES'!$A730="","",IF('ORDENES'!$AO730="","-",'ORDENES'!$AO730))</f>
        <v/>
      </c>
      <c r="I752" s="3">
        <f>IF('ORDENES'!$A730="","",IF('ORDENES'!$D730="","-",'ORDENES'!$D730))</f>
        <v/>
      </c>
      <c r="J752" s="3">
        <f>IF('ORDENES'!$A730="","",IF('ORDENES'!$E730="","-",'ORDENES'!$E730))</f>
        <v/>
      </c>
      <c r="K752" s="12">
        <f>IF('ORDENES'!$A730="","",IF('ORDENES'!$N730="",0,'ORDENES'!$N730))</f>
        <v/>
      </c>
      <c r="L752" s="3">
        <f>IF('ORDENES'!$A730="","",IF('ORDENES'!$O730="","-",'ORDENES'!$O730))</f>
        <v/>
      </c>
      <c r="M752" s="3">
        <f>IF('ORDENES'!$A730="","",'ORDENES'!$AB730)</f>
        <v/>
      </c>
    </row>
    <row r="753">
      <c r="A753" s="3">
        <f>IF('ORDENES'!$A731="","",IF('ORDENES'!$P731="","-",'ORDENES'!$P731))</f>
        <v/>
      </c>
      <c r="B753" s="3">
        <f>IF('ORDENES'!$A731="","",IF('ORDENES'!$S731="","-",'ORDENES'!$S731))</f>
        <v/>
      </c>
      <c r="C753" s="3">
        <f>IF('ORDENES'!$A731="","",IF('ORDENES'!$AD731="","-",'ORDENES'!$AD731))</f>
        <v/>
      </c>
      <c r="D753" s="3">
        <f>IF('ORDENES'!$A731="","",IF('ORDENES'!$W731="","-",'ORDENES'!$W731))</f>
        <v/>
      </c>
      <c r="E753" s="3">
        <f>IF('ORDENES'!$A731="","",IF('ORDENES'!$V731="","-",'ORDENES'!$V731))</f>
        <v/>
      </c>
      <c r="F753" s="3">
        <f>IF('ORDENES'!$A731="","",IF('ORDENES'!$X731="","-",'ORDENES'!$X731))</f>
        <v/>
      </c>
      <c r="G753" s="3">
        <f>IF('ORDENES'!$A731="","",IF('ORDENES'!$AC731="","-",'ORDENES'!$AC731))</f>
        <v/>
      </c>
      <c r="H753" s="3">
        <f>IF('ORDENES'!$A731="","",IF('ORDENES'!$AO731="","-",'ORDENES'!$AO731))</f>
        <v/>
      </c>
      <c r="I753" s="3">
        <f>IF('ORDENES'!$A731="","",IF('ORDENES'!$D731="","-",'ORDENES'!$D731))</f>
        <v/>
      </c>
      <c r="J753" s="3">
        <f>IF('ORDENES'!$A731="","",IF('ORDENES'!$E731="","-",'ORDENES'!$E731))</f>
        <v/>
      </c>
      <c r="K753" s="12">
        <f>IF('ORDENES'!$A731="","",IF('ORDENES'!$N731="",0,'ORDENES'!$N731))</f>
        <v/>
      </c>
      <c r="L753" s="3">
        <f>IF('ORDENES'!$A731="","",IF('ORDENES'!$O731="","-",'ORDENES'!$O731))</f>
        <v/>
      </c>
      <c r="M753" s="3">
        <f>IF('ORDENES'!$A731="","",'ORDENES'!$AB731)</f>
        <v/>
      </c>
    </row>
    <row r="754">
      <c r="A754" s="3">
        <f>IF('ORDENES'!$A732="","",IF('ORDENES'!$P732="","-",'ORDENES'!$P732))</f>
        <v/>
      </c>
      <c r="B754" s="3">
        <f>IF('ORDENES'!$A732="","",IF('ORDENES'!$S732="","-",'ORDENES'!$S732))</f>
        <v/>
      </c>
      <c r="C754" s="3">
        <f>IF('ORDENES'!$A732="","",IF('ORDENES'!$AD732="","-",'ORDENES'!$AD732))</f>
        <v/>
      </c>
      <c r="D754" s="3">
        <f>IF('ORDENES'!$A732="","",IF('ORDENES'!$W732="","-",'ORDENES'!$W732))</f>
        <v/>
      </c>
      <c r="E754" s="3">
        <f>IF('ORDENES'!$A732="","",IF('ORDENES'!$V732="","-",'ORDENES'!$V732))</f>
        <v/>
      </c>
      <c r="F754" s="3">
        <f>IF('ORDENES'!$A732="","",IF('ORDENES'!$X732="","-",'ORDENES'!$X732))</f>
        <v/>
      </c>
      <c r="G754" s="3">
        <f>IF('ORDENES'!$A732="","",IF('ORDENES'!$AC732="","-",'ORDENES'!$AC732))</f>
        <v/>
      </c>
      <c r="H754" s="3">
        <f>IF('ORDENES'!$A732="","",IF('ORDENES'!$AO732="","-",'ORDENES'!$AO732))</f>
        <v/>
      </c>
      <c r="I754" s="3">
        <f>IF('ORDENES'!$A732="","",IF('ORDENES'!$D732="","-",'ORDENES'!$D732))</f>
        <v/>
      </c>
      <c r="J754" s="3">
        <f>IF('ORDENES'!$A732="","",IF('ORDENES'!$E732="","-",'ORDENES'!$E732))</f>
        <v/>
      </c>
      <c r="K754" s="12">
        <f>IF('ORDENES'!$A732="","",IF('ORDENES'!$N732="",0,'ORDENES'!$N732))</f>
        <v/>
      </c>
      <c r="L754" s="3">
        <f>IF('ORDENES'!$A732="","",IF('ORDENES'!$O732="","-",'ORDENES'!$O732))</f>
        <v/>
      </c>
      <c r="M754" s="3">
        <f>IF('ORDENES'!$A732="","",'ORDENES'!$AB732)</f>
        <v/>
      </c>
    </row>
    <row r="755">
      <c r="A755" s="3">
        <f>IF('ORDENES'!$A733="","",IF('ORDENES'!$P733="","-",'ORDENES'!$P733))</f>
        <v/>
      </c>
      <c r="B755" s="3">
        <f>IF('ORDENES'!$A733="","",IF('ORDENES'!$S733="","-",'ORDENES'!$S733))</f>
        <v/>
      </c>
      <c r="C755" s="3">
        <f>IF('ORDENES'!$A733="","",IF('ORDENES'!$AD733="","-",'ORDENES'!$AD733))</f>
        <v/>
      </c>
      <c r="D755" s="3">
        <f>IF('ORDENES'!$A733="","",IF('ORDENES'!$W733="","-",'ORDENES'!$W733))</f>
        <v/>
      </c>
      <c r="E755" s="3">
        <f>IF('ORDENES'!$A733="","",IF('ORDENES'!$V733="","-",'ORDENES'!$V733))</f>
        <v/>
      </c>
      <c r="F755" s="3">
        <f>IF('ORDENES'!$A733="","",IF('ORDENES'!$X733="","-",'ORDENES'!$X733))</f>
        <v/>
      </c>
      <c r="G755" s="3">
        <f>IF('ORDENES'!$A733="","",IF('ORDENES'!$AC733="","-",'ORDENES'!$AC733))</f>
        <v/>
      </c>
      <c r="H755" s="3">
        <f>IF('ORDENES'!$A733="","",IF('ORDENES'!$AO733="","-",'ORDENES'!$AO733))</f>
        <v/>
      </c>
      <c r="I755" s="3">
        <f>IF('ORDENES'!$A733="","",IF('ORDENES'!$D733="","-",'ORDENES'!$D733))</f>
        <v/>
      </c>
      <c r="J755" s="3">
        <f>IF('ORDENES'!$A733="","",IF('ORDENES'!$E733="","-",'ORDENES'!$E733))</f>
        <v/>
      </c>
      <c r="K755" s="12">
        <f>IF('ORDENES'!$A733="","",IF('ORDENES'!$N733="",0,'ORDENES'!$N733))</f>
        <v/>
      </c>
      <c r="L755" s="3">
        <f>IF('ORDENES'!$A733="","",IF('ORDENES'!$O733="","-",'ORDENES'!$O733))</f>
        <v/>
      </c>
      <c r="M755" s="3">
        <f>IF('ORDENES'!$A733="","",'ORDENES'!$AB733)</f>
        <v/>
      </c>
    </row>
    <row r="756">
      <c r="A756" s="3">
        <f>IF('ORDENES'!$A734="","",IF('ORDENES'!$P734="","-",'ORDENES'!$P734))</f>
        <v/>
      </c>
      <c r="B756" s="3">
        <f>IF('ORDENES'!$A734="","",IF('ORDENES'!$S734="","-",'ORDENES'!$S734))</f>
        <v/>
      </c>
      <c r="C756" s="3">
        <f>IF('ORDENES'!$A734="","",IF('ORDENES'!$AD734="","-",'ORDENES'!$AD734))</f>
        <v/>
      </c>
      <c r="D756" s="3">
        <f>IF('ORDENES'!$A734="","",IF('ORDENES'!$W734="","-",'ORDENES'!$W734))</f>
        <v/>
      </c>
      <c r="E756" s="3">
        <f>IF('ORDENES'!$A734="","",IF('ORDENES'!$V734="","-",'ORDENES'!$V734))</f>
        <v/>
      </c>
      <c r="F756" s="3">
        <f>IF('ORDENES'!$A734="","",IF('ORDENES'!$X734="","-",'ORDENES'!$X734))</f>
        <v/>
      </c>
      <c r="G756" s="3">
        <f>IF('ORDENES'!$A734="","",IF('ORDENES'!$AC734="","-",'ORDENES'!$AC734))</f>
        <v/>
      </c>
      <c r="H756" s="3">
        <f>IF('ORDENES'!$A734="","",IF('ORDENES'!$AO734="","-",'ORDENES'!$AO734))</f>
        <v/>
      </c>
      <c r="I756" s="3">
        <f>IF('ORDENES'!$A734="","",IF('ORDENES'!$D734="","-",'ORDENES'!$D734))</f>
        <v/>
      </c>
      <c r="J756" s="3">
        <f>IF('ORDENES'!$A734="","",IF('ORDENES'!$E734="","-",'ORDENES'!$E734))</f>
        <v/>
      </c>
      <c r="K756" s="12">
        <f>IF('ORDENES'!$A734="","",IF('ORDENES'!$N734="",0,'ORDENES'!$N734))</f>
        <v/>
      </c>
      <c r="L756" s="3">
        <f>IF('ORDENES'!$A734="","",IF('ORDENES'!$O734="","-",'ORDENES'!$O734))</f>
        <v/>
      </c>
      <c r="M756" s="3">
        <f>IF('ORDENES'!$A734="","",'ORDENES'!$AB734)</f>
        <v/>
      </c>
    </row>
    <row r="757">
      <c r="A757" s="3">
        <f>IF('ORDENES'!$A735="","",IF('ORDENES'!$P735="","-",'ORDENES'!$P735))</f>
        <v/>
      </c>
      <c r="B757" s="3">
        <f>IF('ORDENES'!$A735="","",IF('ORDENES'!$S735="","-",'ORDENES'!$S735))</f>
        <v/>
      </c>
      <c r="C757" s="3">
        <f>IF('ORDENES'!$A735="","",IF('ORDENES'!$AD735="","-",'ORDENES'!$AD735))</f>
        <v/>
      </c>
      <c r="D757" s="3">
        <f>IF('ORDENES'!$A735="","",IF('ORDENES'!$W735="","-",'ORDENES'!$W735))</f>
        <v/>
      </c>
      <c r="E757" s="3">
        <f>IF('ORDENES'!$A735="","",IF('ORDENES'!$V735="","-",'ORDENES'!$V735))</f>
        <v/>
      </c>
      <c r="F757" s="3">
        <f>IF('ORDENES'!$A735="","",IF('ORDENES'!$X735="","-",'ORDENES'!$X735))</f>
        <v/>
      </c>
      <c r="G757" s="3">
        <f>IF('ORDENES'!$A735="","",IF('ORDENES'!$AC735="","-",'ORDENES'!$AC735))</f>
        <v/>
      </c>
      <c r="H757" s="3">
        <f>IF('ORDENES'!$A735="","",IF('ORDENES'!$AO735="","-",'ORDENES'!$AO735))</f>
        <v/>
      </c>
      <c r="I757" s="3">
        <f>IF('ORDENES'!$A735="","",IF('ORDENES'!$D735="","-",'ORDENES'!$D735))</f>
        <v/>
      </c>
      <c r="J757" s="3">
        <f>IF('ORDENES'!$A735="","",IF('ORDENES'!$E735="","-",'ORDENES'!$E735))</f>
        <v/>
      </c>
      <c r="K757" s="12">
        <f>IF('ORDENES'!$A735="","",IF('ORDENES'!$N735="",0,'ORDENES'!$N735))</f>
        <v/>
      </c>
      <c r="L757" s="3">
        <f>IF('ORDENES'!$A735="","",IF('ORDENES'!$O735="","-",'ORDENES'!$O735))</f>
        <v/>
      </c>
      <c r="M757" s="3">
        <f>IF('ORDENES'!$A735="","",'ORDENES'!$AB735)</f>
        <v/>
      </c>
    </row>
    <row r="758">
      <c r="A758" s="3">
        <f>IF('ORDENES'!$A736="","",IF('ORDENES'!$P736="","-",'ORDENES'!$P736))</f>
        <v/>
      </c>
      <c r="B758" s="3">
        <f>IF('ORDENES'!$A736="","",IF('ORDENES'!$S736="","-",'ORDENES'!$S736))</f>
        <v/>
      </c>
      <c r="C758" s="3">
        <f>IF('ORDENES'!$A736="","",IF('ORDENES'!$AD736="","-",'ORDENES'!$AD736))</f>
        <v/>
      </c>
      <c r="D758" s="3">
        <f>IF('ORDENES'!$A736="","",IF('ORDENES'!$W736="","-",'ORDENES'!$W736))</f>
        <v/>
      </c>
      <c r="E758" s="3">
        <f>IF('ORDENES'!$A736="","",IF('ORDENES'!$V736="","-",'ORDENES'!$V736))</f>
        <v/>
      </c>
      <c r="F758" s="3">
        <f>IF('ORDENES'!$A736="","",IF('ORDENES'!$X736="","-",'ORDENES'!$X736))</f>
        <v/>
      </c>
      <c r="G758" s="3">
        <f>IF('ORDENES'!$A736="","",IF('ORDENES'!$AC736="","-",'ORDENES'!$AC736))</f>
        <v/>
      </c>
      <c r="H758" s="3">
        <f>IF('ORDENES'!$A736="","",IF('ORDENES'!$AO736="","-",'ORDENES'!$AO736))</f>
        <v/>
      </c>
      <c r="I758" s="3">
        <f>IF('ORDENES'!$A736="","",IF('ORDENES'!$D736="","-",'ORDENES'!$D736))</f>
        <v/>
      </c>
      <c r="J758" s="3">
        <f>IF('ORDENES'!$A736="","",IF('ORDENES'!$E736="","-",'ORDENES'!$E736))</f>
        <v/>
      </c>
      <c r="K758" s="12">
        <f>IF('ORDENES'!$A736="","",IF('ORDENES'!$N736="",0,'ORDENES'!$N736))</f>
        <v/>
      </c>
      <c r="L758" s="3">
        <f>IF('ORDENES'!$A736="","",IF('ORDENES'!$O736="","-",'ORDENES'!$O736))</f>
        <v/>
      </c>
      <c r="M758" s="3">
        <f>IF('ORDENES'!$A736="","",'ORDENES'!$AB736)</f>
        <v/>
      </c>
    </row>
    <row r="759">
      <c r="A759" s="3">
        <f>IF('ORDENES'!$A737="","",IF('ORDENES'!$P737="","-",'ORDENES'!$P737))</f>
        <v/>
      </c>
      <c r="B759" s="3">
        <f>IF('ORDENES'!$A737="","",IF('ORDENES'!$S737="","-",'ORDENES'!$S737))</f>
        <v/>
      </c>
      <c r="C759" s="3">
        <f>IF('ORDENES'!$A737="","",IF('ORDENES'!$AD737="","-",'ORDENES'!$AD737))</f>
        <v/>
      </c>
      <c r="D759" s="3">
        <f>IF('ORDENES'!$A737="","",IF('ORDENES'!$W737="","-",'ORDENES'!$W737))</f>
        <v/>
      </c>
      <c r="E759" s="3">
        <f>IF('ORDENES'!$A737="","",IF('ORDENES'!$V737="","-",'ORDENES'!$V737))</f>
        <v/>
      </c>
      <c r="F759" s="3">
        <f>IF('ORDENES'!$A737="","",IF('ORDENES'!$X737="","-",'ORDENES'!$X737))</f>
        <v/>
      </c>
      <c r="G759" s="3">
        <f>IF('ORDENES'!$A737="","",IF('ORDENES'!$AC737="","-",'ORDENES'!$AC737))</f>
        <v/>
      </c>
      <c r="H759" s="3">
        <f>IF('ORDENES'!$A737="","",IF('ORDENES'!$AO737="","-",'ORDENES'!$AO737))</f>
        <v/>
      </c>
      <c r="I759" s="3">
        <f>IF('ORDENES'!$A737="","",IF('ORDENES'!$D737="","-",'ORDENES'!$D737))</f>
        <v/>
      </c>
      <c r="J759" s="3">
        <f>IF('ORDENES'!$A737="","",IF('ORDENES'!$E737="","-",'ORDENES'!$E737))</f>
        <v/>
      </c>
      <c r="K759" s="12">
        <f>IF('ORDENES'!$A737="","",IF('ORDENES'!$N737="",0,'ORDENES'!$N737))</f>
        <v/>
      </c>
      <c r="L759" s="3">
        <f>IF('ORDENES'!$A737="","",IF('ORDENES'!$O737="","-",'ORDENES'!$O737))</f>
        <v/>
      </c>
      <c r="M759" s="3">
        <f>IF('ORDENES'!$A737="","",'ORDENES'!$AB737)</f>
        <v/>
      </c>
    </row>
    <row r="760">
      <c r="A760" s="3">
        <f>IF('ORDENES'!$A738="","",IF('ORDENES'!$P738="","-",'ORDENES'!$P738))</f>
        <v/>
      </c>
      <c r="B760" s="3">
        <f>IF('ORDENES'!$A738="","",IF('ORDENES'!$S738="","-",'ORDENES'!$S738))</f>
        <v/>
      </c>
      <c r="C760" s="3">
        <f>IF('ORDENES'!$A738="","",IF('ORDENES'!$AD738="","-",'ORDENES'!$AD738))</f>
        <v/>
      </c>
      <c r="D760" s="3">
        <f>IF('ORDENES'!$A738="","",IF('ORDENES'!$W738="","-",'ORDENES'!$W738))</f>
        <v/>
      </c>
      <c r="E760" s="3">
        <f>IF('ORDENES'!$A738="","",IF('ORDENES'!$V738="","-",'ORDENES'!$V738))</f>
        <v/>
      </c>
      <c r="F760" s="3">
        <f>IF('ORDENES'!$A738="","",IF('ORDENES'!$X738="","-",'ORDENES'!$X738))</f>
        <v/>
      </c>
      <c r="G760" s="3">
        <f>IF('ORDENES'!$A738="","",IF('ORDENES'!$AC738="","-",'ORDENES'!$AC738))</f>
        <v/>
      </c>
      <c r="H760" s="3">
        <f>IF('ORDENES'!$A738="","",IF('ORDENES'!$AO738="","-",'ORDENES'!$AO738))</f>
        <v/>
      </c>
      <c r="I760" s="3">
        <f>IF('ORDENES'!$A738="","",IF('ORDENES'!$D738="","-",'ORDENES'!$D738))</f>
        <v/>
      </c>
      <c r="J760" s="3">
        <f>IF('ORDENES'!$A738="","",IF('ORDENES'!$E738="","-",'ORDENES'!$E738))</f>
        <v/>
      </c>
      <c r="K760" s="12">
        <f>IF('ORDENES'!$A738="","",IF('ORDENES'!$N738="",0,'ORDENES'!$N738))</f>
        <v/>
      </c>
      <c r="L760" s="3">
        <f>IF('ORDENES'!$A738="","",IF('ORDENES'!$O738="","-",'ORDENES'!$O738))</f>
        <v/>
      </c>
      <c r="M760" s="3">
        <f>IF('ORDENES'!$A738="","",'ORDENES'!$AB738)</f>
        <v/>
      </c>
    </row>
    <row r="761">
      <c r="A761" s="3">
        <f>IF('ORDENES'!$A739="","",IF('ORDENES'!$P739="","-",'ORDENES'!$P739))</f>
        <v/>
      </c>
      <c r="B761" s="3">
        <f>IF('ORDENES'!$A739="","",IF('ORDENES'!$S739="","-",'ORDENES'!$S739))</f>
        <v/>
      </c>
      <c r="C761" s="3">
        <f>IF('ORDENES'!$A739="","",IF('ORDENES'!$AD739="","-",'ORDENES'!$AD739))</f>
        <v/>
      </c>
      <c r="D761" s="3">
        <f>IF('ORDENES'!$A739="","",IF('ORDENES'!$W739="","-",'ORDENES'!$W739))</f>
        <v/>
      </c>
      <c r="E761" s="3">
        <f>IF('ORDENES'!$A739="","",IF('ORDENES'!$V739="","-",'ORDENES'!$V739))</f>
        <v/>
      </c>
      <c r="F761" s="3">
        <f>IF('ORDENES'!$A739="","",IF('ORDENES'!$X739="","-",'ORDENES'!$X739))</f>
        <v/>
      </c>
      <c r="G761" s="3">
        <f>IF('ORDENES'!$A739="","",IF('ORDENES'!$AC739="","-",'ORDENES'!$AC739))</f>
        <v/>
      </c>
      <c r="H761" s="3">
        <f>IF('ORDENES'!$A739="","",IF('ORDENES'!$AO739="","-",'ORDENES'!$AO739))</f>
        <v/>
      </c>
      <c r="I761" s="3">
        <f>IF('ORDENES'!$A739="","",IF('ORDENES'!$D739="","-",'ORDENES'!$D739))</f>
        <v/>
      </c>
      <c r="J761" s="3">
        <f>IF('ORDENES'!$A739="","",IF('ORDENES'!$E739="","-",'ORDENES'!$E739))</f>
        <v/>
      </c>
      <c r="K761" s="12">
        <f>IF('ORDENES'!$A739="","",IF('ORDENES'!$N739="",0,'ORDENES'!$N739))</f>
        <v/>
      </c>
      <c r="L761" s="3">
        <f>IF('ORDENES'!$A739="","",IF('ORDENES'!$O739="","-",'ORDENES'!$O739))</f>
        <v/>
      </c>
      <c r="M761" s="3">
        <f>IF('ORDENES'!$A739="","",'ORDENES'!$AB739)</f>
        <v/>
      </c>
    </row>
    <row r="762">
      <c r="A762" s="3">
        <f>IF('ORDENES'!$A740="","",IF('ORDENES'!$P740="","-",'ORDENES'!$P740))</f>
        <v/>
      </c>
      <c r="B762" s="3">
        <f>IF('ORDENES'!$A740="","",IF('ORDENES'!$S740="","-",'ORDENES'!$S740))</f>
        <v/>
      </c>
      <c r="C762" s="3">
        <f>IF('ORDENES'!$A740="","",IF('ORDENES'!$AD740="","-",'ORDENES'!$AD740))</f>
        <v/>
      </c>
      <c r="D762" s="3">
        <f>IF('ORDENES'!$A740="","",IF('ORDENES'!$W740="","-",'ORDENES'!$W740))</f>
        <v/>
      </c>
      <c r="E762" s="3">
        <f>IF('ORDENES'!$A740="","",IF('ORDENES'!$V740="","-",'ORDENES'!$V740))</f>
        <v/>
      </c>
      <c r="F762" s="3">
        <f>IF('ORDENES'!$A740="","",IF('ORDENES'!$X740="","-",'ORDENES'!$X740))</f>
        <v/>
      </c>
      <c r="G762" s="3">
        <f>IF('ORDENES'!$A740="","",IF('ORDENES'!$AC740="","-",'ORDENES'!$AC740))</f>
        <v/>
      </c>
      <c r="H762" s="3">
        <f>IF('ORDENES'!$A740="","",IF('ORDENES'!$AO740="","-",'ORDENES'!$AO740))</f>
        <v/>
      </c>
      <c r="I762" s="3">
        <f>IF('ORDENES'!$A740="","",IF('ORDENES'!$D740="","-",'ORDENES'!$D740))</f>
        <v/>
      </c>
      <c r="J762" s="3">
        <f>IF('ORDENES'!$A740="","",IF('ORDENES'!$E740="","-",'ORDENES'!$E740))</f>
        <v/>
      </c>
      <c r="K762" s="12">
        <f>IF('ORDENES'!$A740="","",IF('ORDENES'!$N740="",0,'ORDENES'!$N740))</f>
        <v/>
      </c>
      <c r="L762" s="3">
        <f>IF('ORDENES'!$A740="","",IF('ORDENES'!$O740="","-",'ORDENES'!$O740))</f>
        <v/>
      </c>
      <c r="M762" s="3">
        <f>IF('ORDENES'!$A740="","",'ORDENES'!$AB740)</f>
        <v/>
      </c>
    </row>
    <row r="763">
      <c r="A763" s="3">
        <f>IF('ORDENES'!$A741="","",IF('ORDENES'!$P741="","-",'ORDENES'!$P741))</f>
        <v/>
      </c>
      <c r="B763" s="3">
        <f>IF('ORDENES'!$A741="","",IF('ORDENES'!$S741="","-",'ORDENES'!$S741))</f>
        <v/>
      </c>
      <c r="C763" s="3">
        <f>IF('ORDENES'!$A741="","",IF('ORDENES'!$AD741="","-",'ORDENES'!$AD741))</f>
        <v/>
      </c>
      <c r="D763" s="3">
        <f>IF('ORDENES'!$A741="","",IF('ORDENES'!$W741="","-",'ORDENES'!$W741))</f>
        <v/>
      </c>
      <c r="E763" s="3">
        <f>IF('ORDENES'!$A741="","",IF('ORDENES'!$V741="","-",'ORDENES'!$V741))</f>
        <v/>
      </c>
      <c r="F763" s="3">
        <f>IF('ORDENES'!$A741="","",IF('ORDENES'!$X741="","-",'ORDENES'!$X741))</f>
        <v/>
      </c>
      <c r="G763" s="3">
        <f>IF('ORDENES'!$A741="","",IF('ORDENES'!$AC741="","-",'ORDENES'!$AC741))</f>
        <v/>
      </c>
      <c r="H763" s="3">
        <f>IF('ORDENES'!$A741="","",IF('ORDENES'!$AO741="","-",'ORDENES'!$AO741))</f>
        <v/>
      </c>
      <c r="I763" s="3">
        <f>IF('ORDENES'!$A741="","",IF('ORDENES'!$D741="","-",'ORDENES'!$D741))</f>
        <v/>
      </c>
      <c r="J763" s="3">
        <f>IF('ORDENES'!$A741="","",IF('ORDENES'!$E741="","-",'ORDENES'!$E741))</f>
        <v/>
      </c>
      <c r="K763" s="12">
        <f>IF('ORDENES'!$A741="","",IF('ORDENES'!$N741="",0,'ORDENES'!$N741))</f>
        <v/>
      </c>
      <c r="L763" s="3">
        <f>IF('ORDENES'!$A741="","",IF('ORDENES'!$O741="","-",'ORDENES'!$O741))</f>
        <v/>
      </c>
      <c r="M763" s="3">
        <f>IF('ORDENES'!$A741="","",'ORDENES'!$AB741)</f>
        <v/>
      </c>
    </row>
    <row r="764">
      <c r="A764" s="3">
        <f>IF('ORDENES'!$A742="","",IF('ORDENES'!$P742="","-",'ORDENES'!$P742))</f>
        <v/>
      </c>
      <c r="B764" s="3">
        <f>IF('ORDENES'!$A742="","",IF('ORDENES'!$S742="","-",'ORDENES'!$S742))</f>
        <v/>
      </c>
      <c r="C764" s="3">
        <f>IF('ORDENES'!$A742="","",IF('ORDENES'!$AD742="","-",'ORDENES'!$AD742))</f>
        <v/>
      </c>
      <c r="D764" s="3">
        <f>IF('ORDENES'!$A742="","",IF('ORDENES'!$W742="","-",'ORDENES'!$W742))</f>
        <v/>
      </c>
      <c r="E764" s="3">
        <f>IF('ORDENES'!$A742="","",IF('ORDENES'!$V742="","-",'ORDENES'!$V742))</f>
        <v/>
      </c>
      <c r="F764" s="3">
        <f>IF('ORDENES'!$A742="","",IF('ORDENES'!$X742="","-",'ORDENES'!$X742))</f>
        <v/>
      </c>
      <c r="G764" s="3">
        <f>IF('ORDENES'!$A742="","",IF('ORDENES'!$AC742="","-",'ORDENES'!$AC742))</f>
        <v/>
      </c>
      <c r="H764" s="3">
        <f>IF('ORDENES'!$A742="","",IF('ORDENES'!$AO742="","-",'ORDENES'!$AO742))</f>
        <v/>
      </c>
      <c r="I764" s="3">
        <f>IF('ORDENES'!$A742="","",IF('ORDENES'!$D742="","-",'ORDENES'!$D742))</f>
        <v/>
      </c>
      <c r="J764" s="3">
        <f>IF('ORDENES'!$A742="","",IF('ORDENES'!$E742="","-",'ORDENES'!$E742))</f>
        <v/>
      </c>
      <c r="K764" s="12">
        <f>IF('ORDENES'!$A742="","",IF('ORDENES'!$N742="",0,'ORDENES'!$N742))</f>
        <v/>
      </c>
      <c r="L764" s="3">
        <f>IF('ORDENES'!$A742="","",IF('ORDENES'!$O742="","-",'ORDENES'!$O742))</f>
        <v/>
      </c>
      <c r="M764" s="3">
        <f>IF('ORDENES'!$A742="","",'ORDENES'!$AB742)</f>
        <v/>
      </c>
    </row>
    <row r="765">
      <c r="A765" s="3">
        <f>IF('ORDENES'!$A743="","",IF('ORDENES'!$P743="","-",'ORDENES'!$P743))</f>
        <v/>
      </c>
      <c r="B765" s="3">
        <f>IF('ORDENES'!$A743="","",IF('ORDENES'!$S743="","-",'ORDENES'!$S743))</f>
        <v/>
      </c>
      <c r="C765" s="3">
        <f>IF('ORDENES'!$A743="","",IF('ORDENES'!$AD743="","-",'ORDENES'!$AD743))</f>
        <v/>
      </c>
      <c r="D765" s="3">
        <f>IF('ORDENES'!$A743="","",IF('ORDENES'!$W743="","-",'ORDENES'!$W743))</f>
        <v/>
      </c>
      <c r="E765" s="3">
        <f>IF('ORDENES'!$A743="","",IF('ORDENES'!$V743="","-",'ORDENES'!$V743))</f>
        <v/>
      </c>
      <c r="F765" s="3">
        <f>IF('ORDENES'!$A743="","",IF('ORDENES'!$X743="","-",'ORDENES'!$X743))</f>
        <v/>
      </c>
      <c r="G765" s="3">
        <f>IF('ORDENES'!$A743="","",IF('ORDENES'!$AC743="","-",'ORDENES'!$AC743))</f>
        <v/>
      </c>
      <c r="H765" s="3">
        <f>IF('ORDENES'!$A743="","",IF('ORDENES'!$AO743="","-",'ORDENES'!$AO743))</f>
        <v/>
      </c>
      <c r="I765" s="3">
        <f>IF('ORDENES'!$A743="","",IF('ORDENES'!$D743="","-",'ORDENES'!$D743))</f>
        <v/>
      </c>
      <c r="J765" s="3">
        <f>IF('ORDENES'!$A743="","",IF('ORDENES'!$E743="","-",'ORDENES'!$E743))</f>
        <v/>
      </c>
      <c r="K765" s="12">
        <f>IF('ORDENES'!$A743="","",IF('ORDENES'!$N743="",0,'ORDENES'!$N743))</f>
        <v/>
      </c>
      <c r="L765" s="3">
        <f>IF('ORDENES'!$A743="","",IF('ORDENES'!$O743="","-",'ORDENES'!$O743))</f>
        <v/>
      </c>
      <c r="M765" s="3">
        <f>IF('ORDENES'!$A743="","",'ORDENES'!$AB743)</f>
        <v/>
      </c>
    </row>
    <row r="766">
      <c r="A766" s="3">
        <f>IF('ORDENES'!$A744="","",IF('ORDENES'!$P744="","-",'ORDENES'!$P744))</f>
        <v/>
      </c>
      <c r="B766" s="3">
        <f>IF('ORDENES'!$A744="","",IF('ORDENES'!$S744="","-",'ORDENES'!$S744))</f>
        <v/>
      </c>
      <c r="C766" s="3">
        <f>IF('ORDENES'!$A744="","",IF('ORDENES'!$AD744="","-",'ORDENES'!$AD744))</f>
        <v/>
      </c>
      <c r="D766" s="3">
        <f>IF('ORDENES'!$A744="","",IF('ORDENES'!$W744="","-",'ORDENES'!$W744))</f>
        <v/>
      </c>
      <c r="E766" s="3">
        <f>IF('ORDENES'!$A744="","",IF('ORDENES'!$V744="","-",'ORDENES'!$V744))</f>
        <v/>
      </c>
      <c r="F766" s="3">
        <f>IF('ORDENES'!$A744="","",IF('ORDENES'!$X744="","-",'ORDENES'!$X744))</f>
        <v/>
      </c>
      <c r="G766" s="3">
        <f>IF('ORDENES'!$A744="","",IF('ORDENES'!$AC744="","-",'ORDENES'!$AC744))</f>
        <v/>
      </c>
      <c r="H766" s="3">
        <f>IF('ORDENES'!$A744="","",IF('ORDENES'!$AO744="","-",'ORDENES'!$AO744))</f>
        <v/>
      </c>
      <c r="I766" s="3">
        <f>IF('ORDENES'!$A744="","",IF('ORDENES'!$D744="","-",'ORDENES'!$D744))</f>
        <v/>
      </c>
      <c r="J766" s="3">
        <f>IF('ORDENES'!$A744="","",IF('ORDENES'!$E744="","-",'ORDENES'!$E744))</f>
        <v/>
      </c>
      <c r="K766" s="12">
        <f>IF('ORDENES'!$A744="","",IF('ORDENES'!$N744="",0,'ORDENES'!$N744))</f>
        <v/>
      </c>
      <c r="L766" s="3">
        <f>IF('ORDENES'!$A744="","",IF('ORDENES'!$O744="","-",'ORDENES'!$O744))</f>
        <v/>
      </c>
      <c r="M766" s="3">
        <f>IF('ORDENES'!$A744="","",'ORDENES'!$AB744)</f>
        <v/>
      </c>
    </row>
    <row r="767">
      <c r="A767" s="3">
        <f>IF('ORDENES'!$A745="","",IF('ORDENES'!$P745="","-",'ORDENES'!$P745))</f>
        <v/>
      </c>
      <c r="B767" s="3">
        <f>IF('ORDENES'!$A745="","",IF('ORDENES'!$S745="","-",'ORDENES'!$S745))</f>
        <v/>
      </c>
      <c r="C767" s="3">
        <f>IF('ORDENES'!$A745="","",IF('ORDENES'!$AD745="","-",'ORDENES'!$AD745))</f>
        <v/>
      </c>
      <c r="D767" s="3">
        <f>IF('ORDENES'!$A745="","",IF('ORDENES'!$W745="","-",'ORDENES'!$W745))</f>
        <v/>
      </c>
      <c r="E767" s="3">
        <f>IF('ORDENES'!$A745="","",IF('ORDENES'!$V745="","-",'ORDENES'!$V745))</f>
        <v/>
      </c>
      <c r="F767" s="3">
        <f>IF('ORDENES'!$A745="","",IF('ORDENES'!$X745="","-",'ORDENES'!$X745))</f>
        <v/>
      </c>
      <c r="G767" s="3">
        <f>IF('ORDENES'!$A745="","",IF('ORDENES'!$AC745="","-",'ORDENES'!$AC745))</f>
        <v/>
      </c>
      <c r="H767" s="3">
        <f>IF('ORDENES'!$A745="","",IF('ORDENES'!$AO745="","-",'ORDENES'!$AO745))</f>
        <v/>
      </c>
      <c r="I767" s="3">
        <f>IF('ORDENES'!$A745="","",IF('ORDENES'!$D745="","-",'ORDENES'!$D745))</f>
        <v/>
      </c>
      <c r="J767" s="3">
        <f>IF('ORDENES'!$A745="","",IF('ORDENES'!$E745="","-",'ORDENES'!$E745))</f>
        <v/>
      </c>
      <c r="K767" s="12">
        <f>IF('ORDENES'!$A745="","",IF('ORDENES'!$N745="",0,'ORDENES'!$N745))</f>
        <v/>
      </c>
      <c r="L767" s="3">
        <f>IF('ORDENES'!$A745="","",IF('ORDENES'!$O745="","-",'ORDENES'!$O745))</f>
        <v/>
      </c>
      <c r="M767" s="3">
        <f>IF('ORDENES'!$A745="","",'ORDENES'!$AB745)</f>
        <v/>
      </c>
    </row>
    <row r="768">
      <c r="A768" s="3">
        <f>IF('ORDENES'!$A746="","",IF('ORDENES'!$P746="","-",'ORDENES'!$P746))</f>
        <v/>
      </c>
      <c r="B768" s="3">
        <f>IF('ORDENES'!$A746="","",IF('ORDENES'!$S746="","-",'ORDENES'!$S746))</f>
        <v/>
      </c>
      <c r="C768" s="3">
        <f>IF('ORDENES'!$A746="","",IF('ORDENES'!$AD746="","-",'ORDENES'!$AD746))</f>
        <v/>
      </c>
      <c r="D768" s="3">
        <f>IF('ORDENES'!$A746="","",IF('ORDENES'!$W746="","-",'ORDENES'!$W746))</f>
        <v/>
      </c>
      <c r="E768" s="3">
        <f>IF('ORDENES'!$A746="","",IF('ORDENES'!$V746="","-",'ORDENES'!$V746))</f>
        <v/>
      </c>
      <c r="F768" s="3">
        <f>IF('ORDENES'!$A746="","",IF('ORDENES'!$X746="","-",'ORDENES'!$X746))</f>
        <v/>
      </c>
      <c r="G768" s="3">
        <f>IF('ORDENES'!$A746="","",IF('ORDENES'!$AC746="","-",'ORDENES'!$AC746))</f>
        <v/>
      </c>
      <c r="H768" s="3">
        <f>IF('ORDENES'!$A746="","",IF('ORDENES'!$AO746="","-",'ORDENES'!$AO746))</f>
        <v/>
      </c>
      <c r="I768" s="3">
        <f>IF('ORDENES'!$A746="","",IF('ORDENES'!$D746="","-",'ORDENES'!$D746))</f>
        <v/>
      </c>
      <c r="J768" s="3">
        <f>IF('ORDENES'!$A746="","",IF('ORDENES'!$E746="","-",'ORDENES'!$E746))</f>
        <v/>
      </c>
      <c r="K768" s="12">
        <f>IF('ORDENES'!$A746="","",IF('ORDENES'!$N746="",0,'ORDENES'!$N746))</f>
        <v/>
      </c>
      <c r="L768" s="3">
        <f>IF('ORDENES'!$A746="","",IF('ORDENES'!$O746="","-",'ORDENES'!$O746))</f>
        <v/>
      </c>
      <c r="M768" s="3">
        <f>IF('ORDENES'!$A746="","",'ORDENES'!$AB746)</f>
        <v/>
      </c>
    </row>
    <row r="769">
      <c r="A769" s="3">
        <f>IF('ORDENES'!$A747="","",IF('ORDENES'!$P747="","-",'ORDENES'!$P747))</f>
        <v/>
      </c>
      <c r="B769" s="3">
        <f>IF('ORDENES'!$A747="","",IF('ORDENES'!$S747="","-",'ORDENES'!$S747))</f>
        <v/>
      </c>
      <c r="C769" s="3">
        <f>IF('ORDENES'!$A747="","",IF('ORDENES'!$AD747="","-",'ORDENES'!$AD747))</f>
        <v/>
      </c>
      <c r="D769" s="3">
        <f>IF('ORDENES'!$A747="","",IF('ORDENES'!$W747="","-",'ORDENES'!$W747))</f>
        <v/>
      </c>
      <c r="E769" s="3">
        <f>IF('ORDENES'!$A747="","",IF('ORDENES'!$V747="","-",'ORDENES'!$V747))</f>
        <v/>
      </c>
      <c r="F769" s="3">
        <f>IF('ORDENES'!$A747="","",IF('ORDENES'!$X747="","-",'ORDENES'!$X747))</f>
        <v/>
      </c>
      <c r="G769" s="3">
        <f>IF('ORDENES'!$A747="","",IF('ORDENES'!$AC747="","-",'ORDENES'!$AC747))</f>
        <v/>
      </c>
      <c r="H769" s="3">
        <f>IF('ORDENES'!$A747="","",IF('ORDENES'!$AO747="","-",'ORDENES'!$AO747))</f>
        <v/>
      </c>
      <c r="I769" s="3">
        <f>IF('ORDENES'!$A747="","",IF('ORDENES'!$D747="","-",'ORDENES'!$D747))</f>
        <v/>
      </c>
      <c r="J769" s="3">
        <f>IF('ORDENES'!$A747="","",IF('ORDENES'!$E747="","-",'ORDENES'!$E747))</f>
        <v/>
      </c>
      <c r="K769" s="12">
        <f>IF('ORDENES'!$A747="","",IF('ORDENES'!$N747="",0,'ORDENES'!$N747))</f>
        <v/>
      </c>
      <c r="L769" s="3">
        <f>IF('ORDENES'!$A747="","",IF('ORDENES'!$O747="","-",'ORDENES'!$O747))</f>
        <v/>
      </c>
      <c r="M769" s="3">
        <f>IF('ORDENES'!$A747="","",'ORDENES'!$AB747)</f>
        <v/>
      </c>
    </row>
    <row r="770">
      <c r="A770" s="3">
        <f>IF('ORDENES'!$A748="","",IF('ORDENES'!$P748="","-",'ORDENES'!$P748))</f>
        <v/>
      </c>
      <c r="B770" s="3">
        <f>IF('ORDENES'!$A748="","",IF('ORDENES'!$S748="","-",'ORDENES'!$S748))</f>
        <v/>
      </c>
      <c r="C770" s="3">
        <f>IF('ORDENES'!$A748="","",IF('ORDENES'!$AD748="","-",'ORDENES'!$AD748))</f>
        <v/>
      </c>
      <c r="D770" s="3">
        <f>IF('ORDENES'!$A748="","",IF('ORDENES'!$W748="","-",'ORDENES'!$W748))</f>
        <v/>
      </c>
      <c r="E770" s="3">
        <f>IF('ORDENES'!$A748="","",IF('ORDENES'!$V748="","-",'ORDENES'!$V748))</f>
        <v/>
      </c>
      <c r="F770" s="3">
        <f>IF('ORDENES'!$A748="","",IF('ORDENES'!$X748="","-",'ORDENES'!$X748))</f>
        <v/>
      </c>
      <c r="G770" s="3">
        <f>IF('ORDENES'!$A748="","",IF('ORDENES'!$AC748="","-",'ORDENES'!$AC748))</f>
        <v/>
      </c>
      <c r="H770" s="3">
        <f>IF('ORDENES'!$A748="","",IF('ORDENES'!$AO748="","-",'ORDENES'!$AO748))</f>
        <v/>
      </c>
      <c r="I770" s="3">
        <f>IF('ORDENES'!$A748="","",IF('ORDENES'!$D748="","-",'ORDENES'!$D748))</f>
        <v/>
      </c>
      <c r="J770" s="3">
        <f>IF('ORDENES'!$A748="","",IF('ORDENES'!$E748="","-",'ORDENES'!$E748))</f>
        <v/>
      </c>
      <c r="K770" s="12">
        <f>IF('ORDENES'!$A748="","",IF('ORDENES'!$N748="",0,'ORDENES'!$N748))</f>
        <v/>
      </c>
      <c r="L770" s="3">
        <f>IF('ORDENES'!$A748="","",IF('ORDENES'!$O748="","-",'ORDENES'!$O748))</f>
        <v/>
      </c>
      <c r="M770" s="3">
        <f>IF('ORDENES'!$A748="","",'ORDENES'!$AB748)</f>
        <v/>
      </c>
    </row>
    <row r="771">
      <c r="A771" s="3">
        <f>IF('ORDENES'!$A749="","",IF('ORDENES'!$P749="","-",'ORDENES'!$P749))</f>
        <v/>
      </c>
      <c r="B771" s="3">
        <f>IF('ORDENES'!$A749="","",IF('ORDENES'!$S749="","-",'ORDENES'!$S749))</f>
        <v/>
      </c>
      <c r="C771" s="3">
        <f>IF('ORDENES'!$A749="","",IF('ORDENES'!$AD749="","-",'ORDENES'!$AD749))</f>
        <v/>
      </c>
      <c r="D771" s="3">
        <f>IF('ORDENES'!$A749="","",IF('ORDENES'!$W749="","-",'ORDENES'!$W749))</f>
        <v/>
      </c>
      <c r="E771" s="3">
        <f>IF('ORDENES'!$A749="","",IF('ORDENES'!$V749="","-",'ORDENES'!$V749))</f>
        <v/>
      </c>
      <c r="F771" s="3">
        <f>IF('ORDENES'!$A749="","",IF('ORDENES'!$X749="","-",'ORDENES'!$X749))</f>
        <v/>
      </c>
      <c r="G771" s="3">
        <f>IF('ORDENES'!$A749="","",IF('ORDENES'!$AC749="","-",'ORDENES'!$AC749))</f>
        <v/>
      </c>
      <c r="H771" s="3">
        <f>IF('ORDENES'!$A749="","",IF('ORDENES'!$AO749="","-",'ORDENES'!$AO749))</f>
        <v/>
      </c>
      <c r="I771" s="3">
        <f>IF('ORDENES'!$A749="","",IF('ORDENES'!$D749="","-",'ORDENES'!$D749))</f>
        <v/>
      </c>
      <c r="J771" s="3">
        <f>IF('ORDENES'!$A749="","",IF('ORDENES'!$E749="","-",'ORDENES'!$E749))</f>
        <v/>
      </c>
      <c r="K771" s="12">
        <f>IF('ORDENES'!$A749="","",IF('ORDENES'!$N749="",0,'ORDENES'!$N749))</f>
        <v/>
      </c>
      <c r="L771" s="3">
        <f>IF('ORDENES'!$A749="","",IF('ORDENES'!$O749="","-",'ORDENES'!$O749))</f>
        <v/>
      </c>
      <c r="M771" s="3">
        <f>IF('ORDENES'!$A749="","",'ORDENES'!$AB749)</f>
        <v/>
      </c>
    </row>
    <row r="772">
      <c r="A772" s="3">
        <f>IF('ORDENES'!$A750="","",IF('ORDENES'!$P750="","-",'ORDENES'!$P750))</f>
        <v/>
      </c>
      <c r="B772" s="3">
        <f>IF('ORDENES'!$A750="","",IF('ORDENES'!$S750="","-",'ORDENES'!$S750))</f>
        <v/>
      </c>
      <c r="C772" s="3">
        <f>IF('ORDENES'!$A750="","",IF('ORDENES'!$AD750="","-",'ORDENES'!$AD750))</f>
        <v/>
      </c>
      <c r="D772" s="3">
        <f>IF('ORDENES'!$A750="","",IF('ORDENES'!$W750="","-",'ORDENES'!$W750))</f>
        <v/>
      </c>
      <c r="E772" s="3">
        <f>IF('ORDENES'!$A750="","",IF('ORDENES'!$V750="","-",'ORDENES'!$V750))</f>
        <v/>
      </c>
      <c r="F772" s="3">
        <f>IF('ORDENES'!$A750="","",IF('ORDENES'!$X750="","-",'ORDENES'!$X750))</f>
        <v/>
      </c>
      <c r="G772" s="3">
        <f>IF('ORDENES'!$A750="","",IF('ORDENES'!$AC750="","-",'ORDENES'!$AC750))</f>
        <v/>
      </c>
      <c r="H772" s="3">
        <f>IF('ORDENES'!$A750="","",IF('ORDENES'!$AO750="","-",'ORDENES'!$AO750))</f>
        <v/>
      </c>
      <c r="I772" s="3">
        <f>IF('ORDENES'!$A750="","",IF('ORDENES'!$D750="","-",'ORDENES'!$D750))</f>
        <v/>
      </c>
      <c r="J772" s="3">
        <f>IF('ORDENES'!$A750="","",IF('ORDENES'!$E750="","-",'ORDENES'!$E750))</f>
        <v/>
      </c>
      <c r="K772" s="12">
        <f>IF('ORDENES'!$A750="","",IF('ORDENES'!$N750="",0,'ORDENES'!$N750))</f>
        <v/>
      </c>
      <c r="L772" s="3">
        <f>IF('ORDENES'!$A750="","",IF('ORDENES'!$O750="","-",'ORDENES'!$O750))</f>
        <v/>
      </c>
      <c r="M772" s="3">
        <f>IF('ORDENES'!$A750="","",'ORDENES'!$AB750)</f>
        <v/>
      </c>
    </row>
    <row r="773">
      <c r="A773" s="3">
        <f>IF('ORDENES'!$A751="","",IF('ORDENES'!$P751="","-",'ORDENES'!$P751))</f>
        <v/>
      </c>
      <c r="B773" s="3">
        <f>IF('ORDENES'!$A751="","",IF('ORDENES'!$S751="","-",'ORDENES'!$S751))</f>
        <v/>
      </c>
      <c r="C773" s="3">
        <f>IF('ORDENES'!$A751="","",IF('ORDENES'!$AD751="","-",'ORDENES'!$AD751))</f>
        <v/>
      </c>
      <c r="D773" s="3">
        <f>IF('ORDENES'!$A751="","",IF('ORDENES'!$W751="","-",'ORDENES'!$W751))</f>
        <v/>
      </c>
      <c r="E773" s="3">
        <f>IF('ORDENES'!$A751="","",IF('ORDENES'!$V751="","-",'ORDENES'!$V751))</f>
        <v/>
      </c>
      <c r="F773" s="3">
        <f>IF('ORDENES'!$A751="","",IF('ORDENES'!$X751="","-",'ORDENES'!$X751))</f>
        <v/>
      </c>
      <c r="G773" s="3">
        <f>IF('ORDENES'!$A751="","",IF('ORDENES'!$AC751="","-",'ORDENES'!$AC751))</f>
        <v/>
      </c>
      <c r="H773" s="3">
        <f>IF('ORDENES'!$A751="","",IF('ORDENES'!$AO751="","-",'ORDENES'!$AO751))</f>
        <v/>
      </c>
      <c r="I773" s="3">
        <f>IF('ORDENES'!$A751="","",IF('ORDENES'!$D751="","-",'ORDENES'!$D751))</f>
        <v/>
      </c>
      <c r="J773" s="3">
        <f>IF('ORDENES'!$A751="","",IF('ORDENES'!$E751="","-",'ORDENES'!$E751))</f>
        <v/>
      </c>
      <c r="K773" s="12">
        <f>IF('ORDENES'!$A751="","",IF('ORDENES'!$N751="",0,'ORDENES'!$N751))</f>
        <v/>
      </c>
      <c r="L773" s="3">
        <f>IF('ORDENES'!$A751="","",IF('ORDENES'!$O751="","-",'ORDENES'!$O751))</f>
        <v/>
      </c>
      <c r="M773" s="3">
        <f>IF('ORDENES'!$A751="","",'ORDENES'!$AB751)</f>
        <v/>
      </c>
    </row>
    <row r="774">
      <c r="A774" s="3">
        <f>IF('ORDENES'!$A752="","",IF('ORDENES'!$P752="","-",'ORDENES'!$P752))</f>
        <v/>
      </c>
      <c r="B774" s="3">
        <f>IF('ORDENES'!$A752="","",IF('ORDENES'!$S752="","-",'ORDENES'!$S752))</f>
        <v/>
      </c>
      <c r="C774" s="3">
        <f>IF('ORDENES'!$A752="","",IF('ORDENES'!$AD752="","-",'ORDENES'!$AD752))</f>
        <v/>
      </c>
      <c r="D774" s="3">
        <f>IF('ORDENES'!$A752="","",IF('ORDENES'!$W752="","-",'ORDENES'!$W752))</f>
        <v/>
      </c>
      <c r="E774" s="3">
        <f>IF('ORDENES'!$A752="","",IF('ORDENES'!$V752="","-",'ORDENES'!$V752))</f>
        <v/>
      </c>
      <c r="F774" s="3">
        <f>IF('ORDENES'!$A752="","",IF('ORDENES'!$X752="","-",'ORDENES'!$X752))</f>
        <v/>
      </c>
      <c r="G774" s="3">
        <f>IF('ORDENES'!$A752="","",IF('ORDENES'!$AC752="","-",'ORDENES'!$AC752))</f>
        <v/>
      </c>
      <c r="H774" s="3">
        <f>IF('ORDENES'!$A752="","",IF('ORDENES'!$AO752="","-",'ORDENES'!$AO752))</f>
        <v/>
      </c>
      <c r="I774" s="3">
        <f>IF('ORDENES'!$A752="","",IF('ORDENES'!$D752="","-",'ORDENES'!$D752))</f>
        <v/>
      </c>
      <c r="J774" s="3">
        <f>IF('ORDENES'!$A752="","",IF('ORDENES'!$E752="","-",'ORDENES'!$E752))</f>
        <v/>
      </c>
      <c r="K774" s="12">
        <f>IF('ORDENES'!$A752="","",IF('ORDENES'!$N752="",0,'ORDENES'!$N752))</f>
        <v/>
      </c>
      <c r="L774" s="3">
        <f>IF('ORDENES'!$A752="","",IF('ORDENES'!$O752="","-",'ORDENES'!$O752))</f>
        <v/>
      </c>
      <c r="M774" s="3">
        <f>IF('ORDENES'!$A752="","",'ORDENES'!$AB752)</f>
        <v/>
      </c>
    </row>
    <row r="775">
      <c r="A775" s="3">
        <f>IF('ORDENES'!$A753="","",IF('ORDENES'!$P753="","-",'ORDENES'!$P753))</f>
        <v/>
      </c>
      <c r="B775" s="3">
        <f>IF('ORDENES'!$A753="","",IF('ORDENES'!$S753="","-",'ORDENES'!$S753))</f>
        <v/>
      </c>
      <c r="C775" s="3">
        <f>IF('ORDENES'!$A753="","",IF('ORDENES'!$AD753="","-",'ORDENES'!$AD753))</f>
        <v/>
      </c>
      <c r="D775" s="3">
        <f>IF('ORDENES'!$A753="","",IF('ORDENES'!$W753="","-",'ORDENES'!$W753))</f>
        <v/>
      </c>
      <c r="E775" s="3">
        <f>IF('ORDENES'!$A753="","",IF('ORDENES'!$V753="","-",'ORDENES'!$V753))</f>
        <v/>
      </c>
      <c r="F775" s="3">
        <f>IF('ORDENES'!$A753="","",IF('ORDENES'!$X753="","-",'ORDENES'!$X753))</f>
        <v/>
      </c>
      <c r="G775" s="3">
        <f>IF('ORDENES'!$A753="","",IF('ORDENES'!$AC753="","-",'ORDENES'!$AC753))</f>
        <v/>
      </c>
      <c r="H775" s="3">
        <f>IF('ORDENES'!$A753="","",IF('ORDENES'!$AO753="","-",'ORDENES'!$AO753))</f>
        <v/>
      </c>
      <c r="I775" s="3">
        <f>IF('ORDENES'!$A753="","",IF('ORDENES'!$D753="","-",'ORDENES'!$D753))</f>
        <v/>
      </c>
      <c r="J775" s="3">
        <f>IF('ORDENES'!$A753="","",IF('ORDENES'!$E753="","-",'ORDENES'!$E753))</f>
        <v/>
      </c>
      <c r="K775" s="12">
        <f>IF('ORDENES'!$A753="","",IF('ORDENES'!$N753="",0,'ORDENES'!$N753))</f>
        <v/>
      </c>
      <c r="L775" s="3">
        <f>IF('ORDENES'!$A753="","",IF('ORDENES'!$O753="","-",'ORDENES'!$O753))</f>
        <v/>
      </c>
      <c r="M775" s="3">
        <f>IF('ORDENES'!$A753="","",'ORDENES'!$AB753)</f>
        <v/>
      </c>
    </row>
    <row r="776">
      <c r="A776" s="3">
        <f>IF('ORDENES'!$A754="","",IF('ORDENES'!$P754="","-",'ORDENES'!$P754))</f>
        <v/>
      </c>
      <c r="B776" s="3">
        <f>IF('ORDENES'!$A754="","",IF('ORDENES'!$S754="","-",'ORDENES'!$S754))</f>
        <v/>
      </c>
      <c r="C776" s="3">
        <f>IF('ORDENES'!$A754="","",IF('ORDENES'!$AD754="","-",'ORDENES'!$AD754))</f>
        <v/>
      </c>
      <c r="D776" s="3">
        <f>IF('ORDENES'!$A754="","",IF('ORDENES'!$W754="","-",'ORDENES'!$W754))</f>
        <v/>
      </c>
      <c r="E776" s="3">
        <f>IF('ORDENES'!$A754="","",IF('ORDENES'!$V754="","-",'ORDENES'!$V754))</f>
        <v/>
      </c>
      <c r="F776" s="3">
        <f>IF('ORDENES'!$A754="","",IF('ORDENES'!$X754="","-",'ORDENES'!$X754))</f>
        <v/>
      </c>
      <c r="G776" s="3">
        <f>IF('ORDENES'!$A754="","",IF('ORDENES'!$AC754="","-",'ORDENES'!$AC754))</f>
        <v/>
      </c>
      <c r="H776" s="3">
        <f>IF('ORDENES'!$A754="","",IF('ORDENES'!$AO754="","-",'ORDENES'!$AO754))</f>
        <v/>
      </c>
      <c r="I776" s="3">
        <f>IF('ORDENES'!$A754="","",IF('ORDENES'!$D754="","-",'ORDENES'!$D754))</f>
        <v/>
      </c>
      <c r="J776" s="3">
        <f>IF('ORDENES'!$A754="","",IF('ORDENES'!$E754="","-",'ORDENES'!$E754))</f>
        <v/>
      </c>
      <c r="K776" s="12">
        <f>IF('ORDENES'!$A754="","",IF('ORDENES'!$N754="",0,'ORDENES'!$N754))</f>
        <v/>
      </c>
      <c r="L776" s="3">
        <f>IF('ORDENES'!$A754="","",IF('ORDENES'!$O754="","-",'ORDENES'!$O754))</f>
        <v/>
      </c>
      <c r="M776" s="3">
        <f>IF('ORDENES'!$A754="","",'ORDENES'!$AB754)</f>
        <v/>
      </c>
    </row>
    <row r="777">
      <c r="A777" s="3">
        <f>IF('ORDENES'!$A755="","",IF('ORDENES'!$P755="","-",'ORDENES'!$P755))</f>
        <v/>
      </c>
      <c r="B777" s="3">
        <f>IF('ORDENES'!$A755="","",IF('ORDENES'!$S755="","-",'ORDENES'!$S755))</f>
        <v/>
      </c>
      <c r="C777" s="3">
        <f>IF('ORDENES'!$A755="","",IF('ORDENES'!$AD755="","-",'ORDENES'!$AD755))</f>
        <v/>
      </c>
      <c r="D777" s="3">
        <f>IF('ORDENES'!$A755="","",IF('ORDENES'!$W755="","-",'ORDENES'!$W755))</f>
        <v/>
      </c>
      <c r="E777" s="3">
        <f>IF('ORDENES'!$A755="","",IF('ORDENES'!$V755="","-",'ORDENES'!$V755))</f>
        <v/>
      </c>
      <c r="F777" s="3">
        <f>IF('ORDENES'!$A755="","",IF('ORDENES'!$X755="","-",'ORDENES'!$X755))</f>
        <v/>
      </c>
      <c r="G777" s="3">
        <f>IF('ORDENES'!$A755="","",IF('ORDENES'!$AC755="","-",'ORDENES'!$AC755))</f>
        <v/>
      </c>
      <c r="H777" s="3">
        <f>IF('ORDENES'!$A755="","",IF('ORDENES'!$AO755="","-",'ORDENES'!$AO755))</f>
        <v/>
      </c>
      <c r="I777" s="3">
        <f>IF('ORDENES'!$A755="","",IF('ORDENES'!$D755="","-",'ORDENES'!$D755))</f>
        <v/>
      </c>
      <c r="J777" s="3">
        <f>IF('ORDENES'!$A755="","",IF('ORDENES'!$E755="","-",'ORDENES'!$E755))</f>
        <v/>
      </c>
      <c r="K777" s="12">
        <f>IF('ORDENES'!$A755="","",IF('ORDENES'!$N755="",0,'ORDENES'!$N755))</f>
        <v/>
      </c>
      <c r="L777" s="3">
        <f>IF('ORDENES'!$A755="","",IF('ORDENES'!$O755="","-",'ORDENES'!$O755))</f>
        <v/>
      </c>
      <c r="M777" s="3">
        <f>IF('ORDENES'!$A755="","",'ORDENES'!$AB755)</f>
        <v/>
      </c>
    </row>
    <row r="778">
      <c r="A778" s="3">
        <f>IF('ORDENES'!$A756="","",IF('ORDENES'!$P756="","-",'ORDENES'!$P756))</f>
        <v/>
      </c>
      <c r="B778" s="3">
        <f>IF('ORDENES'!$A756="","",IF('ORDENES'!$S756="","-",'ORDENES'!$S756))</f>
        <v/>
      </c>
      <c r="C778" s="3">
        <f>IF('ORDENES'!$A756="","",IF('ORDENES'!$AD756="","-",'ORDENES'!$AD756))</f>
        <v/>
      </c>
      <c r="D778" s="3">
        <f>IF('ORDENES'!$A756="","",IF('ORDENES'!$W756="","-",'ORDENES'!$W756))</f>
        <v/>
      </c>
      <c r="E778" s="3">
        <f>IF('ORDENES'!$A756="","",IF('ORDENES'!$V756="","-",'ORDENES'!$V756))</f>
        <v/>
      </c>
      <c r="F778" s="3">
        <f>IF('ORDENES'!$A756="","",IF('ORDENES'!$X756="","-",'ORDENES'!$X756))</f>
        <v/>
      </c>
      <c r="G778" s="3">
        <f>IF('ORDENES'!$A756="","",IF('ORDENES'!$AC756="","-",'ORDENES'!$AC756))</f>
        <v/>
      </c>
      <c r="H778" s="3">
        <f>IF('ORDENES'!$A756="","",IF('ORDENES'!$AO756="","-",'ORDENES'!$AO756))</f>
        <v/>
      </c>
      <c r="I778" s="3">
        <f>IF('ORDENES'!$A756="","",IF('ORDENES'!$D756="","-",'ORDENES'!$D756))</f>
        <v/>
      </c>
      <c r="J778" s="3">
        <f>IF('ORDENES'!$A756="","",IF('ORDENES'!$E756="","-",'ORDENES'!$E756))</f>
        <v/>
      </c>
      <c r="K778" s="12">
        <f>IF('ORDENES'!$A756="","",IF('ORDENES'!$N756="",0,'ORDENES'!$N756))</f>
        <v/>
      </c>
      <c r="L778" s="3">
        <f>IF('ORDENES'!$A756="","",IF('ORDENES'!$O756="","-",'ORDENES'!$O756))</f>
        <v/>
      </c>
      <c r="M778" s="3">
        <f>IF('ORDENES'!$A756="","",'ORDENES'!$AB756)</f>
        <v/>
      </c>
    </row>
    <row r="779">
      <c r="A779" s="3">
        <f>IF('ORDENES'!$A757="","",IF('ORDENES'!$P757="","-",'ORDENES'!$P757))</f>
        <v/>
      </c>
      <c r="B779" s="3">
        <f>IF('ORDENES'!$A757="","",IF('ORDENES'!$S757="","-",'ORDENES'!$S757))</f>
        <v/>
      </c>
      <c r="C779" s="3">
        <f>IF('ORDENES'!$A757="","",IF('ORDENES'!$AD757="","-",'ORDENES'!$AD757))</f>
        <v/>
      </c>
      <c r="D779" s="3">
        <f>IF('ORDENES'!$A757="","",IF('ORDENES'!$W757="","-",'ORDENES'!$W757))</f>
        <v/>
      </c>
      <c r="E779" s="3">
        <f>IF('ORDENES'!$A757="","",IF('ORDENES'!$V757="","-",'ORDENES'!$V757))</f>
        <v/>
      </c>
      <c r="F779" s="3">
        <f>IF('ORDENES'!$A757="","",IF('ORDENES'!$X757="","-",'ORDENES'!$X757))</f>
        <v/>
      </c>
      <c r="G779" s="3">
        <f>IF('ORDENES'!$A757="","",IF('ORDENES'!$AC757="","-",'ORDENES'!$AC757))</f>
        <v/>
      </c>
      <c r="H779" s="3">
        <f>IF('ORDENES'!$A757="","",IF('ORDENES'!$AO757="","-",'ORDENES'!$AO757))</f>
        <v/>
      </c>
      <c r="I779" s="3">
        <f>IF('ORDENES'!$A757="","",IF('ORDENES'!$D757="","-",'ORDENES'!$D757))</f>
        <v/>
      </c>
      <c r="J779" s="3">
        <f>IF('ORDENES'!$A757="","",IF('ORDENES'!$E757="","-",'ORDENES'!$E757))</f>
        <v/>
      </c>
      <c r="K779" s="12">
        <f>IF('ORDENES'!$A757="","",IF('ORDENES'!$N757="",0,'ORDENES'!$N757))</f>
        <v/>
      </c>
      <c r="L779" s="3">
        <f>IF('ORDENES'!$A757="","",IF('ORDENES'!$O757="","-",'ORDENES'!$O757))</f>
        <v/>
      </c>
      <c r="M779" s="3">
        <f>IF('ORDENES'!$A757="","",'ORDENES'!$AB757)</f>
        <v/>
      </c>
    </row>
    <row r="780">
      <c r="A780" s="3">
        <f>IF('ORDENES'!$A758="","",IF('ORDENES'!$P758="","-",'ORDENES'!$P758))</f>
        <v/>
      </c>
      <c r="B780" s="3">
        <f>IF('ORDENES'!$A758="","",IF('ORDENES'!$S758="","-",'ORDENES'!$S758))</f>
        <v/>
      </c>
      <c r="C780" s="3">
        <f>IF('ORDENES'!$A758="","",IF('ORDENES'!$AD758="","-",'ORDENES'!$AD758))</f>
        <v/>
      </c>
      <c r="D780" s="3">
        <f>IF('ORDENES'!$A758="","",IF('ORDENES'!$W758="","-",'ORDENES'!$W758))</f>
        <v/>
      </c>
      <c r="E780" s="3">
        <f>IF('ORDENES'!$A758="","",IF('ORDENES'!$V758="","-",'ORDENES'!$V758))</f>
        <v/>
      </c>
      <c r="F780" s="3">
        <f>IF('ORDENES'!$A758="","",IF('ORDENES'!$X758="","-",'ORDENES'!$X758))</f>
        <v/>
      </c>
      <c r="G780" s="3">
        <f>IF('ORDENES'!$A758="","",IF('ORDENES'!$AC758="","-",'ORDENES'!$AC758))</f>
        <v/>
      </c>
      <c r="H780" s="3">
        <f>IF('ORDENES'!$A758="","",IF('ORDENES'!$AO758="","-",'ORDENES'!$AO758))</f>
        <v/>
      </c>
      <c r="I780" s="3">
        <f>IF('ORDENES'!$A758="","",IF('ORDENES'!$D758="","-",'ORDENES'!$D758))</f>
        <v/>
      </c>
      <c r="J780" s="3">
        <f>IF('ORDENES'!$A758="","",IF('ORDENES'!$E758="","-",'ORDENES'!$E758))</f>
        <v/>
      </c>
      <c r="K780" s="12">
        <f>IF('ORDENES'!$A758="","",IF('ORDENES'!$N758="",0,'ORDENES'!$N758))</f>
        <v/>
      </c>
      <c r="L780" s="3">
        <f>IF('ORDENES'!$A758="","",IF('ORDENES'!$O758="","-",'ORDENES'!$O758))</f>
        <v/>
      </c>
      <c r="M780" s="3">
        <f>IF('ORDENES'!$A758="","",'ORDENES'!$AB758)</f>
        <v/>
      </c>
    </row>
    <row r="781">
      <c r="A781" s="3">
        <f>IF('ORDENES'!$A759="","",IF('ORDENES'!$P759="","-",'ORDENES'!$P759))</f>
        <v/>
      </c>
      <c r="B781" s="3">
        <f>IF('ORDENES'!$A759="","",IF('ORDENES'!$S759="","-",'ORDENES'!$S759))</f>
        <v/>
      </c>
      <c r="C781" s="3">
        <f>IF('ORDENES'!$A759="","",IF('ORDENES'!$AD759="","-",'ORDENES'!$AD759))</f>
        <v/>
      </c>
      <c r="D781" s="3">
        <f>IF('ORDENES'!$A759="","",IF('ORDENES'!$W759="","-",'ORDENES'!$W759))</f>
        <v/>
      </c>
      <c r="E781" s="3">
        <f>IF('ORDENES'!$A759="","",IF('ORDENES'!$V759="","-",'ORDENES'!$V759))</f>
        <v/>
      </c>
      <c r="F781" s="3">
        <f>IF('ORDENES'!$A759="","",IF('ORDENES'!$X759="","-",'ORDENES'!$X759))</f>
        <v/>
      </c>
      <c r="G781" s="3">
        <f>IF('ORDENES'!$A759="","",IF('ORDENES'!$AC759="","-",'ORDENES'!$AC759))</f>
        <v/>
      </c>
      <c r="H781" s="3">
        <f>IF('ORDENES'!$A759="","",IF('ORDENES'!$AO759="","-",'ORDENES'!$AO759))</f>
        <v/>
      </c>
      <c r="I781" s="3">
        <f>IF('ORDENES'!$A759="","",IF('ORDENES'!$D759="","-",'ORDENES'!$D759))</f>
        <v/>
      </c>
      <c r="J781" s="3">
        <f>IF('ORDENES'!$A759="","",IF('ORDENES'!$E759="","-",'ORDENES'!$E759))</f>
        <v/>
      </c>
      <c r="K781" s="12">
        <f>IF('ORDENES'!$A759="","",IF('ORDENES'!$N759="",0,'ORDENES'!$N759))</f>
        <v/>
      </c>
      <c r="L781" s="3">
        <f>IF('ORDENES'!$A759="","",IF('ORDENES'!$O759="","-",'ORDENES'!$O759))</f>
        <v/>
      </c>
      <c r="M781" s="3">
        <f>IF('ORDENES'!$A759="","",'ORDENES'!$AB759)</f>
        <v/>
      </c>
    </row>
    <row r="782">
      <c r="A782" s="3">
        <f>IF('ORDENES'!$A760="","",IF('ORDENES'!$P760="","-",'ORDENES'!$P760))</f>
        <v/>
      </c>
      <c r="B782" s="3">
        <f>IF('ORDENES'!$A760="","",IF('ORDENES'!$S760="","-",'ORDENES'!$S760))</f>
        <v/>
      </c>
      <c r="C782" s="3">
        <f>IF('ORDENES'!$A760="","",IF('ORDENES'!$AD760="","-",'ORDENES'!$AD760))</f>
        <v/>
      </c>
      <c r="D782" s="3">
        <f>IF('ORDENES'!$A760="","",IF('ORDENES'!$W760="","-",'ORDENES'!$W760))</f>
        <v/>
      </c>
      <c r="E782" s="3">
        <f>IF('ORDENES'!$A760="","",IF('ORDENES'!$V760="","-",'ORDENES'!$V760))</f>
        <v/>
      </c>
      <c r="F782" s="3">
        <f>IF('ORDENES'!$A760="","",IF('ORDENES'!$X760="","-",'ORDENES'!$X760))</f>
        <v/>
      </c>
      <c r="G782" s="3">
        <f>IF('ORDENES'!$A760="","",IF('ORDENES'!$AC760="","-",'ORDENES'!$AC760))</f>
        <v/>
      </c>
      <c r="H782" s="3">
        <f>IF('ORDENES'!$A760="","",IF('ORDENES'!$AO760="","-",'ORDENES'!$AO760))</f>
        <v/>
      </c>
      <c r="I782" s="3">
        <f>IF('ORDENES'!$A760="","",IF('ORDENES'!$D760="","-",'ORDENES'!$D760))</f>
        <v/>
      </c>
      <c r="J782" s="3">
        <f>IF('ORDENES'!$A760="","",IF('ORDENES'!$E760="","-",'ORDENES'!$E760))</f>
        <v/>
      </c>
      <c r="K782" s="12">
        <f>IF('ORDENES'!$A760="","",IF('ORDENES'!$N760="",0,'ORDENES'!$N760))</f>
        <v/>
      </c>
      <c r="L782" s="3">
        <f>IF('ORDENES'!$A760="","",IF('ORDENES'!$O760="","-",'ORDENES'!$O760))</f>
        <v/>
      </c>
      <c r="M782" s="3">
        <f>IF('ORDENES'!$A760="","",'ORDENES'!$AB760)</f>
        <v/>
      </c>
    </row>
    <row r="783">
      <c r="A783" s="3">
        <f>IF('ORDENES'!$A761="","",IF('ORDENES'!$P761="","-",'ORDENES'!$P761))</f>
        <v/>
      </c>
      <c r="B783" s="3">
        <f>IF('ORDENES'!$A761="","",IF('ORDENES'!$S761="","-",'ORDENES'!$S761))</f>
        <v/>
      </c>
      <c r="C783" s="3">
        <f>IF('ORDENES'!$A761="","",IF('ORDENES'!$AD761="","-",'ORDENES'!$AD761))</f>
        <v/>
      </c>
      <c r="D783" s="3">
        <f>IF('ORDENES'!$A761="","",IF('ORDENES'!$W761="","-",'ORDENES'!$W761))</f>
        <v/>
      </c>
      <c r="E783" s="3">
        <f>IF('ORDENES'!$A761="","",IF('ORDENES'!$V761="","-",'ORDENES'!$V761))</f>
        <v/>
      </c>
      <c r="F783" s="3">
        <f>IF('ORDENES'!$A761="","",IF('ORDENES'!$X761="","-",'ORDENES'!$X761))</f>
        <v/>
      </c>
      <c r="G783" s="3">
        <f>IF('ORDENES'!$A761="","",IF('ORDENES'!$AC761="","-",'ORDENES'!$AC761))</f>
        <v/>
      </c>
      <c r="H783" s="3">
        <f>IF('ORDENES'!$A761="","",IF('ORDENES'!$AO761="","-",'ORDENES'!$AO761))</f>
        <v/>
      </c>
      <c r="I783" s="3">
        <f>IF('ORDENES'!$A761="","",IF('ORDENES'!$D761="","-",'ORDENES'!$D761))</f>
        <v/>
      </c>
      <c r="J783" s="3">
        <f>IF('ORDENES'!$A761="","",IF('ORDENES'!$E761="","-",'ORDENES'!$E761))</f>
        <v/>
      </c>
      <c r="K783" s="12">
        <f>IF('ORDENES'!$A761="","",IF('ORDENES'!$N761="",0,'ORDENES'!$N761))</f>
        <v/>
      </c>
      <c r="L783" s="3">
        <f>IF('ORDENES'!$A761="","",IF('ORDENES'!$O761="","-",'ORDENES'!$O761))</f>
        <v/>
      </c>
      <c r="M783" s="3">
        <f>IF('ORDENES'!$A761="","",'ORDENES'!$AB761)</f>
        <v/>
      </c>
    </row>
    <row r="784">
      <c r="A784" s="3">
        <f>IF('ORDENES'!$A762="","",IF('ORDENES'!$P762="","-",'ORDENES'!$P762))</f>
        <v/>
      </c>
      <c r="B784" s="3">
        <f>IF('ORDENES'!$A762="","",IF('ORDENES'!$S762="","-",'ORDENES'!$S762))</f>
        <v/>
      </c>
      <c r="C784" s="3">
        <f>IF('ORDENES'!$A762="","",IF('ORDENES'!$AD762="","-",'ORDENES'!$AD762))</f>
        <v/>
      </c>
      <c r="D784" s="3">
        <f>IF('ORDENES'!$A762="","",IF('ORDENES'!$W762="","-",'ORDENES'!$W762))</f>
        <v/>
      </c>
      <c r="E784" s="3">
        <f>IF('ORDENES'!$A762="","",IF('ORDENES'!$V762="","-",'ORDENES'!$V762))</f>
        <v/>
      </c>
      <c r="F784" s="3">
        <f>IF('ORDENES'!$A762="","",IF('ORDENES'!$X762="","-",'ORDENES'!$X762))</f>
        <v/>
      </c>
      <c r="G784" s="3">
        <f>IF('ORDENES'!$A762="","",IF('ORDENES'!$AC762="","-",'ORDENES'!$AC762))</f>
        <v/>
      </c>
      <c r="H784" s="3">
        <f>IF('ORDENES'!$A762="","",IF('ORDENES'!$AO762="","-",'ORDENES'!$AO762))</f>
        <v/>
      </c>
      <c r="I784" s="3">
        <f>IF('ORDENES'!$A762="","",IF('ORDENES'!$D762="","-",'ORDENES'!$D762))</f>
        <v/>
      </c>
      <c r="J784" s="3">
        <f>IF('ORDENES'!$A762="","",IF('ORDENES'!$E762="","-",'ORDENES'!$E762))</f>
        <v/>
      </c>
      <c r="K784" s="12">
        <f>IF('ORDENES'!$A762="","",IF('ORDENES'!$N762="",0,'ORDENES'!$N762))</f>
        <v/>
      </c>
      <c r="L784" s="3">
        <f>IF('ORDENES'!$A762="","",IF('ORDENES'!$O762="","-",'ORDENES'!$O762))</f>
        <v/>
      </c>
      <c r="M784" s="3">
        <f>IF('ORDENES'!$A762="","",'ORDENES'!$AB762)</f>
        <v/>
      </c>
    </row>
    <row r="785">
      <c r="A785" s="3">
        <f>IF('ORDENES'!$A763="","",IF('ORDENES'!$P763="","-",'ORDENES'!$P763))</f>
        <v/>
      </c>
      <c r="B785" s="3">
        <f>IF('ORDENES'!$A763="","",IF('ORDENES'!$S763="","-",'ORDENES'!$S763))</f>
        <v/>
      </c>
      <c r="C785" s="3">
        <f>IF('ORDENES'!$A763="","",IF('ORDENES'!$AD763="","-",'ORDENES'!$AD763))</f>
        <v/>
      </c>
      <c r="D785" s="3">
        <f>IF('ORDENES'!$A763="","",IF('ORDENES'!$W763="","-",'ORDENES'!$W763))</f>
        <v/>
      </c>
      <c r="E785" s="3">
        <f>IF('ORDENES'!$A763="","",IF('ORDENES'!$V763="","-",'ORDENES'!$V763))</f>
        <v/>
      </c>
      <c r="F785" s="3">
        <f>IF('ORDENES'!$A763="","",IF('ORDENES'!$X763="","-",'ORDENES'!$X763))</f>
        <v/>
      </c>
      <c r="G785" s="3">
        <f>IF('ORDENES'!$A763="","",IF('ORDENES'!$AC763="","-",'ORDENES'!$AC763))</f>
        <v/>
      </c>
      <c r="H785" s="3">
        <f>IF('ORDENES'!$A763="","",IF('ORDENES'!$AO763="","-",'ORDENES'!$AO763))</f>
        <v/>
      </c>
      <c r="I785" s="3">
        <f>IF('ORDENES'!$A763="","",IF('ORDENES'!$D763="","-",'ORDENES'!$D763))</f>
        <v/>
      </c>
      <c r="J785" s="3">
        <f>IF('ORDENES'!$A763="","",IF('ORDENES'!$E763="","-",'ORDENES'!$E763))</f>
        <v/>
      </c>
      <c r="K785" s="12">
        <f>IF('ORDENES'!$A763="","",IF('ORDENES'!$N763="",0,'ORDENES'!$N763))</f>
        <v/>
      </c>
      <c r="L785" s="3">
        <f>IF('ORDENES'!$A763="","",IF('ORDENES'!$O763="","-",'ORDENES'!$O763))</f>
        <v/>
      </c>
      <c r="M785" s="3">
        <f>IF('ORDENES'!$A763="","",'ORDENES'!$AB763)</f>
        <v/>
      </c>
    </row>
    <row r="786">
      <c r="A786" s="3">
        <f>IF('ORDENES'!$A764="","",IF('ORDENES'!$P764="","-",'ORDENES'!$P764))</f>
        <v/>
      </c>
      <c r="B786" s="3">
        <f>IF('ORDENES'!$A764="","",IF('ORDENES'!$S764="","-",'ORDENES'!$S764))</f>
        <v/>
      </c>
      <c r="C786" s="3">
        <f>IF('ORDENES'!$A764="","",IF('ORDENES'!$AD764="","-",'ORDENES'!$AD764))</f>
        <v/>
      </c>
      <c r="D786" s="3">
        <f>IF('ORDENES'!$A764="","",IF('ORDENES'!$W764="","-",'ORDENES'!$W764))</f>
        <v/>
      </c>
      <c r="E786" s="3">
        <f>IF('ORDENES'!$A764="","",IF('ORDENES'!$V764="","-",'ORDENES'!$V764))</f>
        <v/>
      </c>
      <c r="F786" s="3">
        <f>IF('ORDENES'!$A764="","",IF('ORDENES'!$X764="","-",'ORDENES'!$X764))</f>
        <v/>
      </c>
      <c r="G786" s="3">
        <f>IF('ORDENES'!$A764="","",IF('ORDENES'!$AC764="","-",'ORDENES'!$AC764))</f>
        <v/>
      </c>
      <c r="H786" s="3">
        <f>IF('ORDENES'!$A764="","",IF('ORDENES'!$AO764="","-",'ORDENES'!$AO764))</f>
        <v/>
      </c>
      <c r="I786" s="3">
        <f>IF('ORDENES'!$A764="","",IF('ORDENES'!$D764="","-",'ORDENES'!$D764))</f>
        <v/>
      </c>
      <c r="J786" s="3">
        <f>IF('ORDENES'!$A764="","",IF('ORDENES'!$E764="","-",'ORDENES'!$E764))</f>
        <v/>
      </c>
      <c r="K786" s="12">
        <f>IF('ORDENES'!$A764="","",IF('ORDENES'!$N764="",0,'ORDENES'!$N764))</f>
        <v/>
      </c>
      <c r="L786" s="3">
        <f>IF('ORDENES'!$A764="","",IF('ORDENES'!$O764="","-",'ORDENES'!$O764))</f>
        <v/>
      </c>
      <c r="M786" s="3">
        <f>IF('ORDENES'!$A764="","",'ORDENES'!$AB764)</f>
        <v/>
      </c>
    </row>
    <row r="787">
      <c r="A787" s="3">
        <f>IF('ORDENES'!$A765="","",IF('ORDENES'!$P765="","-",'ORDENES'!$P765))</f>
        <v/>
      </c>
      <c r="B787" s="3">
        <f>IF('ORDENES'!$A765="","",IF('ORDENES'!$S765="","-",'ORDENES'!$S765))</f>
        <v/>
      </c>
      <c r="C787" s="3">
        <f>IF('ORDENES'!$A765="","",IF('ORDENES'!$AD765="","-",'ORDENES'!$AD765))</f>
        <v/>
      </c>
      <c r="D787" s="3">
        <f>IF('ORDENES'!$A765="","",IF('ORDENES'!$W765="","-",'ORDENES'!$W765))</f>
        <v/>
      </c>
      <c r="E787" s="3">
        <f>IF('ORDENES'!$A765="","",IF('ORDENES'!$V765="","-",'ORDENES'!$V765))</f>
        <v/>
      </c>
      <c r="F787" s="3">
        <f>IF('ORDENES'!$A765="","",IF('ORDENES'!$X765="","-",'ORDENES'!$X765))</f>
        <v/>
      </c>
      <c r="G787" s="3">
        <f>IF('ORDENES'!$A765="","",IF('ORDENES'!$AC765="","-",'ORDENES'!$AC765))</f>
        <v/>
      </c>
      <c r="H787" s="3">
        <f>IF('ORDENES'!$A765="","",IF('ORDENES'!$AO765="","-",'ORDENES'!$AO765))</f>
        <v/>
      </c>
      <c r="I787" s="3">
        <f>IF('ORDENES'!$A765="","",IF('ORDENES'!$D765="","-",'ORDENES'!$D765))</f>
        <v/>
      </c>
      <c r="J787" s="3">
        <f>IF('ORDENES'!$A765="","",IF('ORDENES'!$E765="","-",'ORDENES'!$E765))</f>
        <v/>
      </c>
      <c r="K787" s="12">
        <f>IF('ORDENES'!$A765="","",IF('ORDENES'!$N765="",0,'ORDENES'!$N765))</f>
        <v/>
      </c>
      <c r="L787" s="3">
        <f>IF('ORDENES'!$A765="","",IF('ORDENES'!$O765="","-",'ORDENES'!$O765))</f>
        <v/>
      </c>
      <c r="M787" s="3">
        <f>IF('ORDENES'!$A765="","",'ORDENES'!$AB765)</f>
        <v/>
      </c>
    </row>
    <row r="788">
      <c r="A788" s="3">
        <f>IF('ORDENES'!$A766="","",IF('ORDENES'!$P766="","-",'ORDENES'!$P766))</f>
        <v/>
      </c>
      <c r="B788" s="3">
        <f>IF('ORDENES'!$A766="","",IF('ORDENES'!$S766="","-",'ORDENES'!$S766))</f>
        <v/>
      </c>
      <c r="C788" s="3">
        <f>IF('ORDENES'!$A766="","",IF('ORDENES'!$AD766="","-",'ORDENES'!$AD766))</f>
        <v/>
      </c>
      <c r="D788" s="3">
        <f>IF('ORDENES'!$A766="","",IF('ORDENES'!$W766="","-",'ORDENES'!$W766))</f>
        <v/>
      </c>
      <c r="E788" s="3">
        <f>IF('ORDENES'!$A766="","",IF('ORDENES'!$V766="","-",'ORDENES'!$V766))</f>
        <v/>
      </c>
      <c r="F788" s="3">
        <f>IF('ORDENES'!$A766="","",IF('ORDENES'!$X766="","-",'ORDENES'!$X766))</f>
        <v/>
      </c>
      <c r="G788" s="3">
        <f>IF('ORDENES'!$A766="","",IF('ORDENES'!$AC766="","-",'ORDENES'!$AC766))</f>
        <v/>
      </c>
      <c r="H788" s="3">
        <f>IF('ORDENES'!$A766="","",IF('ORDENES'!$AO766="","-",'ORDENES'!$AO766))</f>
        <v/>
      </c>
      <c r="I788" s="3">
        <f>IF('ORDENES'!$A766="","",IF('ORDENES'!$D766="","-",'ORDENES'!$D766))</f>
        <v/>
      </c>
      <c r="J788" s="3">
        <f>IF('ORDENES'!$A766="","",IF('ORDENES'!$E766="","-",'ORDENES'!$E766))</f>
        <v/>
      </c>
      <c r="K788" s="12">
        <f>IF('ORDENES'!$A766="","",IF('ORDENES'!$N766="",0,'ORDENES'!$N766))</f>
        <v/>
      </c>
      <c r="L788" s="3">
        <f>IF('ORDENES'!$A766="","",IF('ORDENES'!$O766="","-",'ORDENES'!$O766))</f>
        <v/>
      </c>
      <c r="M788" s="3">
        <f>IF('ORDENES'!$A766="","",'ORDENES'!$AB766)</f>
        <v/>
      </c>
    </row>
    <row r="789">
      <c r="A789" s="3">
        <f>IF('ORDENES'!$A767="","",IF('ORDENES'!$P767="","-",'ORDENES'!$P767))</f>
        <v/>
      </c>
      <c r="B789" s="3">
        <f>IF('ORDENES'!$A767="","",IF('ORDENES'!$S767="","-",'ORDENES'!$S767))</f>
        <v/>
      </c>
      <c r="C789" s="3">
        <f>IF('ORDENES'!$A767="","",IF('ORDENES'!$AD767="","-",'ORDENES'!$AD767))</f>
        <v/>
      </c>
      <c r="D789" s="3">
        <f>IF('ORDENES'!$A767="","",IF('ORDENES'!$W767="","-",'ORDENES'!$W767))</f>
        <v/>
      </c>
      <c r="E789" s="3">
        <f>IF('ORDENES'!$A767="","",IF('ORDENES'!$V767="","-",'ORDENES'!$V767))</f>
        <v/>
      </c>
      <c r="F789" s="3">
        <f>IF('ORDENES'!$A767="","",IF('ORDENES'!$X767="","-",'ORDENES'!$X767))</f>
        <v/>
      </c>
      <c r="G789" s="3">
        <f>IF('ORDENES'!$A767="","",IF('ORDENES'!$AC767="","-",'ORDENES'!$AC767))</f>
        <v/>
      </c>
      <c r="H789" s="3">
        <f>IF('ORDENES'!$A767="","",IF('ORDENES'!$AO767="","-",'ORDENES'!$AO767))</f>
        <v/>
      </c>
      <c r="I789" s="3">
        <f>IF('ORDENES'!$A767="","",IF('ORDENES'!$D767="","-",'ORDENES'!$D767))</f>
        <v/>
      </c>
      <c r="J789" s="3">
        <f>IF('ORDENES'!$A767="","",IF('ORDENES'!$E767="","-",'ORDENES'!$E767))</f>
        <v/>
      </c>
      <c r="K789" s="12">
        <f>IF('ORDENES'!$A767="","",IF('ORDENES'!$N767="",0,'ORDENES'!$N767))</f>
        <v/>
      </c>
      <c r="L789" s="3">
        <f>IF('ORDENES'!$A767="","",IF('ORDENES'!$O767="","-",'ORDENES'!$O767))</f>
        <v/>
      </c>
      <c r="M789" s="3">
        <f>IF('ORDENES'!$A767="","",'ORDENES'!$AB767)</f>
        <v/>
      </c>
    </row>
    <row r="790">
      <c r="A790" s="3">
        <f>IF('ORDENES'!$A768="","",IF('ORDENES'!$P768="","-",'ORDENES'!$P768))</f>
        <v/>
      </c>
      <c r="B790" s="3">
        <f>IF('ORDENES'!$A768="","",IF('ORDENES'!$S768="","-",'ORDENES'!$S768))</f>
        <v/>
      </c>
      <c r="C790" s="3">
        <f>IF('ORDENES'!$A768="","",IF('ORDENES'!$AD768="","-",'ORDENES'!$AD768))</f>
        <v/>
      </c>
      <c r="D790" s="3">
        <f>IF('ORDENES'!$A768="","",IF('ORDENES'!$W768="","-",'ORDENES'!$W768))</f>
        <v/>
      </c>
      <c r="E790" s="3">
        <f>IF('ORDENES'!$A768="","",IF('ORDENES'!$V768="","-",'ORDENES'!$V768))</f>
        <v/>
      </c>
      <c r="F790" s="3">
        <f>IF('ORDENES'!$A768="","",IF('ORDENES'!$X768="","-",'ORDENES'!$X768))</f>
        <v/>
      </c>
      <c r="G790" s="3">
        <f>IF('ORDENES'!$A768="","",IF('ORDENES'!$AC768="","-",'ORDENES'!$AC768))</f>
        <v/>
      </c>
      <c r="H790" s="3">
        <f>IF('ORDENES'!$A768="","",IF('ORDENES'!$AO768="","-",'ORDENES'!$AO768))</f>
        <v/>
      </c>
      <c r="I790" s="3">
        <f>IF('ORDENES'!$A768="","",IF('ORDENES'!$D768="","-",'ORDENES'!$D768))</f>
        <v/>
      </c>
      <c r="J790" s="3">
        <f>IF('ORDENES'!$A768="","",IF('ORDENES'!$E768="","-",'ORDENES'!$E768))</f>
        <v/>
      </c>
      <c r="K790" s="12">
        <f>IF('ORDENES'!$A768="","",IF('ORDENES'!$N768="",0,'ORDENES'!$N768))</f>
        <v/>
      </c>
      <c r="L790" s="3">
        <f>IF('ORDENES'!$A768="","",IF('ORDENES'!$O768="","-",'ORDENES'!$O768))</f>
        <v/>
      </c>
      <c r="M790" s="3">
        <f>IF('ORDENES'!$A768="","",'ORDENES'!$AB768)</f>
        <v/>
      </c>
    </row>
    <row r="791">
      <c r="A791" s="3">
        <f>IF('ORDENES'!$A769="","",IF('ORDENES'!$P769="","-",'ORDENES'!$P769))</f>
        <v/>
      </c>
      <c r="B791" s="3">
        <f>IF('ORDENES'!$A769="","",IF('ORDENES'!$S769="","-",'ORDENES'!$S769))</f>
        <v/>
      </c>
      <c r="C791" s="3">
        <f>IF('ORDENES'!$A769="","",IF('ORDENES'!$AD769="","-",'ORDENES'!$AD769))</f>
        <v/>
      </c>
      <c r="D791" s="3">
        <f>IF('ORDENES'!$A769="","",IF('ORDENES'!$W769="","-",'ORDENES'!$W769))</f>
        <v/>
      </c>
      <c r="E791" s="3">
        <f>IF('ORDENES'!$A769="","",IF('ORDENES'!$V769="","-",'ORDENES'!$V769))</f>
        <v/>
      </c>
      <c r="F791" s="3">
        <f>IF('ORDENES'!$A769="","",IF('ORDENES'!$X769="","-",'ORDENES'!$X769))</f>
        <v/>
      </c>
      <c r="G791" s="3">
        <f>IF('ORDENES'!$A769="","",IF('ORDENES'!$AC769="","-",'ORDENES'!$AC769))</f>
        <v/>
      </c>
      <c r="H791" s="3">
        <f>IF('ORDENES'!$A769="","",IF('ORDENES'!$AO769="","-",'ORDENES'!$AO769))</f>
        <v/>
      </c>
      <c r="I791" s="3">
        <f>IF('ORDENES'!$A769="","",IF('ORDENES'!$D769="","-",'ORDENES'!$D769))</f>
        <v/>
      </c>
      <c r="J791" s="3">
        <f>IF('ORDENES'!$A769="","",IF('ORDENES'!$E769="","-",'ORDENES'!$E769))</f>
        <v/>
      </c>
      <c r="K791" s="12">
        <f>IF('ORDENES'!$A769="","",IF('ORDENES'!$N769="",0,'ORDENES'!$N769))</f>
        <v/>
      </c>
      <c r="L791" s="3">
        <f>IF('ORDENES'!$A769="","",IF('ORDENES'!$O769="","-",'ORDENES'!$O769))</f>
        <v/>
      </c>
      <c r="M791" s="3">
        <f>IF('ORDENES'!$A769="","",'ORDENES'!$AB769)</f>
        <v/>
      </c>
    </row>
    <row r="792">
      <c r="A792" s="3">
        <f>IF('ORDENES'!$A770="","",IF('ORDENES'!$P770="","-",'ORDENES'!$P770))</f>
        <v/>
      </c>
      <c r="B792" s="3">
        <f>IF('ORDENES'!$A770="","",IF('ORDENES'!$S770="","-",'ORDENES'!$S770))</f>
        <v/>
      </c>
      <c r="C792" s="3">
        <f>IF('ORDENES'!$A770="","",IF('ORDENES'!$AD770="","-",'ORDENES'!$AD770))</f>
        <v/>
      </c>
      <c r="D792" s="3">
        <f>IF('ORDENES'!$A770="","",IF('ORDENES'!$W770="","-",'ORDENES'!$W770))</f>
        <v/>
      </c>
      <c r="E792" s="3">
        <f>IF('ORDENES'!$A770="","",IF('ORDENES'!$V770="","-",'ORDENES'!$V770))</f>
        <v/>
      </c>
      <c r="F792" s="3">
        <f>IF('ORDENES'!$A770="","",IF('ORDENES'!$X770="","-",'ORDENES'!$X770))</f>
        <v/>
      </c>
      <c r="G792" s="3">
        <f>IF('ORDENES'!$A770="","",IF('ORDENES'!$AC770="","-",'ORDENES'!$AC770))</f>
        <v/>
      </c>
      <c r="H792" s="3">
        <f>IF('ORDENES'!$A770="","",IF('ORDENES'!$AO770="","-",'ORDENES'!$AO770))</f>
        <v/>
      </c>
      <c r="I792" s="3">
        <f>IF('ORDENES'!$A770="","",IF('ORDENES'!$D770="","-",'ORDENES'!$D770))</f>
        <v/>
      </c>
      <c r="J792" s="3">
        <f>IF('ORDENES'!$A770="","",IF('ORDENES'!$E770="","-",'ORDENES'!$E770))</f>
        <v/>
      </c>
      <c r="K792" s="12">
        <f>IF('ORDENES'!$A770="","",IF('ORDENES'!$N770="",0,'ORDENES'!$N770))</f>
        <v/>
      </c>
      <c r="L792" s="3">
        <f>IF('ORDENES'!$A770="","",IF('ORDENES'!$O770="","-",'ORDENES'!$O770))</f>
        <v/>
      </c>
      <c r="M792" s="3">
        <f>IF('ORDENES'!$A770="","",'ORDENES'!$AB770)</f>
        <v/>
      </c>
    </row>
    <row r="793">
      <c r="A793" s="3">
        <f>IF('ORDENES'!$A771="","",IF('ORDENES'!$P771="","-",'ORDENES'!$P771))</f>
        <v/>
      </c>
      <c r="B793" s="3">
        <f>IF('ORDENES'!$A771="","",IF('ORDENES'!$S771="","-",'ORDENES'!$S771))</f>
        <v/>
      </c>
      <c r="C793" s="3">
        <f>IF('ORDENES'!$A771="","",IF('ORDENES'!$AD771="","-",'ORDENES'!$AD771))</f>
        <v/>
      </c>
      <c r="D793" s="3">
        <f>IF('ORDENES'!$A771="","",IF('ORDENES'!$W771="","-",'ORDENES'!$W771))</f>
        <v/>
      </c>
      <c r="E793" s="3">
        <f>IF('ORDENES'!$A771="","",IF('ORDENES'!$V771="","-",'ORDENES'!$V771))</f>
        <v/>
      </c>
      <c r="F793" s="3">
        <f>IF('ORDENES'!$A771="","",IF('ORDENES'!$X771="","-",'ORDENES'!$X771))</f>
        <v/>
      </c>
      <c r="G793" s="3">
        <f>IF('ORDENES'!$A771="","",IF('ORDENES'!$AC771="","-",'ORDENES'!$AC771))</f>
        <v/>
      </c>
      <c r="H793" s="3">
        <f>IF('ORDENES'!$A771="","",IF('ORDENES'!$AO771="","-",'ORDENES'!$AO771))</f>
        <v/>
      </c>
      <c r="I793" s="3">
        <f>IF('ORDENES'!$A771="","",IF('ORDENES'!$D771="","-",'ORDENES'!$D771))</f>
        <v/>
      </c>
      <c r="J793" s="3">
        <f>IF('ORDENES'!$A771="","",IF('ORDENES'!$E771="","-",'ORDENES'!$E771))</f>
        <v/>
      </c>
      <c r="K793" s="12">
        <f>IF('ORDENES'!$A771="","",IF('ORDENES'!$N771="",0,'ORDENES'!$N771))</f>
        <v/>
      </c>
      <c r="L793" s="3">
        <f>IF('ORDENES'!$A771="","",IF('ORDENES'!$O771="","-",'ORDENES'!$O771))</f>
        <v/>
      </c>
      <c r="M793" s="3">
        <f>IF('ORDENES'!$A771="","",'ORDENES'!$AB771)</f>
        <v/>
      </c>
    </row>
    <row r="794">
      <c r="A794" s="3">
        <f>IF('ORDENES'!$A772="","",IF('ORDENES'!$P772="","-",'ORDENES'!$P772))</f>
        <v/>
      </c>
      <c r="B794" s="3">
        <f>IF('ORDENES'!$A772="","",IF('ORDENES'!$S772="","-",'ORDENES'!$S772))</f>
        <v/>
      </c>
      <c r="C794" s="3">
        <f>IF('ORDENES'!$A772="","",IF('ORDENES'!$AD772="","-",'ORDENES'!$AD772))</f>
        <v/>
      </c>
      <c r="D794" s="3">
        <f>IF('ORDENES'!$A772="","",IF('ORDENES'!$W772="","-",'ORDENES'!$W772))</f>
        <v/>
      </c>
      <c r="E794" s="3">
        <f>IF('ORDENES'!$A772="","",IF('ORDENES'!$V772="","-",'ORDENES'!$V772))</f>
        <v/>
      </c>
      <c r="F794" s="3">
        <f>IF('ORDENES'!$A772="","",IF('ORDENES'!$X772="","-",'ORDENES'!$X772))</f>
        <v/>
      </c>
      <c r="G794" s="3">
        <f>IF('ORDENES'!$A772="","",IF('ORDENES'!$AC772="","-",'ORDENES'!$AC772))</f>
        <v/>
      </c>
      <c r="H794" s="3">
        <f>IF('ORDENES'!$A772="","",IF('ORDENES'!$AO772="","-",'ORDENES'!$AO772))</f>
        <v/>
      </c>
      <c r="I794" s="3">
        <f>IF('ORDENES'!$A772="","",IF('ORDENES'!$D772="","-",'ORDENES'!$D772))</f>
        <v/>
      </c>
      <c r="J794" s="3">
        <f>IF('ORDENES'!$A772="","",IF('ORDENES'!$E772="","-",'ORDENES'!$E772))</f>
        <v/>
      </c>
      <c r="K794" s="12">
        <f>IF('ORDENES'!$A772="","",IF('ORDENES'!$N772="",0,'ORDENES'!$N772))</f>
        <v/>
      </c>
      <c r="L794" s="3">
        <f>IF('ORDENES'!$A772="","",IF('ORDENES'!$O772="","-",'ORDENES'!$O772))</f>
        <v/>
      </c>
      <c r="M794" s="3">
        <f>IF('ORDENES'!$A772="","",'ORDENES'!$AB772)</f>
        <v/>
      </c>
    </row>
    <row r="795">
      <c r="A795" s="3">
        <f>IF('ORDENES'!$A773="","",IF('ORDENES'!$P773="","-",'ORDENES'!$P773))</f>
        <v/>
      </c>
      <c r="B795" s="3">
        <f>IF('ORDENES'!$A773="","",IF('ORDENES'!$S773="","-",'ORDENES'!$S773))</f>
        <v/>
      </c>
      <c r="C795" s="3">
        <f>IF('ORDENES'!$A773="","",IF('ORDENES'!$AD773="","-",'ORDENES'!$AD773))</f>
        <v/>
      </c>
      <c r="D795" s="3">
        <f>IF('ORDENES'!$A773="","",IF('ORDENES'!$W773="","-",'ORDENES'!$W773))</f>
        <v/>
      </c>
      <c r="E795" s="3">
        <f>IF('ORDENES'!$A773="","",IF('ORDENES'!$V773="","-",'ORDENES'!$V773))</f>
        <v/>
      </c>
      <c r="F795" s="3">
        <f>IF('ORDENES'!$A773="","",IF('ORDENES'!$X773="","-",'ORDENES'!$X773))</f>
        <v/>
      </c>
      <c r="G795" s="3">
        <f>IF('ORDENES'!$A773="","",IF('ORDENES'!$AC773="","-",'ORDENES'!$AC773))</f>
        <v/>
      </c>
      <c r="H795" s="3">
        <f>IF('ORDENES'!$A773="","",IF('ORDENES'!$AO773="","-",'ORDENES'!$AO773))</f>
        <v/>
      </c>
      <c r="I795" s="3">
        <f>IF('ORDENES'!$A773="","",IF('ORDENES'!$D773="","-",'ORDENES'!$D773))</f>
        <v/>
      </c>
      <c r="J795" s="3">
        <f>IF('ORDENES'!$A773="","",IF('ORDENES'!$E773="","-",'ORDENES'!$E773))</f>
        <v/>
      </c>
      <c r="K795" s="12">
        <f>IF('ORDENES'!$A773="","",IF('ORDENES'!$N773="",0,'ORDENES'!$N773))</f>
        <v/>
      </c>
      <c r="L795" s="3">
        <f>IF('ORDENES'!$A773="","",IF('ORDENES'!$O773="","-",'ORDENES'!$O773))</f>
        <v/>
      </c>
      <c r="M795" s="3">
        <f>IF('ORDENES'!$A773="","",'ORDENES'!$AB773)</f>
        <v/>
      </c>
    </row>
    <row r="796">
      <c r="A796" s="3">
        <f>IF('ORDENES'!$A774="","",IF('ORDENES'!$P774="","-",'ORDENES'!$P774))</f>
        <v/>
      </c>
      <c r="B796" s="3">
        <f>IF('ORDENES'!$A774="","",IF('ORDENES'!$S774="","-",'ORDENES'!$S774))</f>
        <v/>
      </c>
      <c r="C796" s="3">
        <f>IF('ORDENES'!$A774="","",IF('ORDENES'!$AD774="","-",'ORDENES'!$AD774))</f>
        <v/>
      </c>
      <c r="D796" s="3">
        <f>IF('ORDENES'!$A774="","",IF('ORDENES'!$W774="","-",'ORDENES'!$W774))</f>
        <v/>
      </c>
      <c r="E796" s="3">
        <f>IF('ORDENES'!$A774="","",IF('ORDENES'!$V774="","-",'ORDENES'!$V774))</f>
        <v/>
      </c>
      <c r="F796" s="3">
        <f>IF('ORDENES'!$A774="","",IF('ORDENES'!$X774="","-",'ORDENES'!$X774))</f>
        <v/>
      </c>
      <c r="G796" s="3">
        <f>IF('ORDENES'!$A774="","",IF('ORDENES'!$AC774="","-",'ORDENES'!$AC774))</f>
        <v/>
      </c>
      <c r="H796" s="3">
        <f>IF('ORDENES'!$A774="","",IF('ORDENES'!$AO774="","-",'ORDENES'!$AO774))</f>
        <v/>
      </c>
      <c r="I796" s="3">
        <f>IF('ORDENES'!$A774="","",IF('ORDENES'!$D774="","-",'ORDENES'!$D774))</f>
        <v/>
      </c>
      <c r="J796" s="3">
        <f>IF('ORDENES'!$A774="","",IF('ORDENES'!$E774="","-",'ORDENES'!$E774))</f>
        <v/>
      </c>
      <c r="K796" s="12">
        <f>IF('ORDENES'!$A774="","",IF('ORDENES'!$N774="",0,'ORDENES'!$N774))</f>
        <v/>
      </c>
      <c r="L796" s="3">
        <f>IF('ORDENES'!$A774="","",IF('ORDENES'!$O774="","-",'ORDENES'!$O774))</f>
        <v/>
      </c>
      <c r="M796" s="3">
        <f>IF('ORDENES'!$A774="","",'ORDENES'!$AB774)</f>
        <v/>
      </c>
    </row>
    <row r="797">
      <c r="A797" s="3">
        <f>IF('ORDENES'!$A775="","",IF('ORDENES'!$P775="","-",'ORDENES'!$P775))</f>
        <v/>
      </c>
      <c r="B797" s="3">
        <f>IF('ORDENES'!$A775="","",IF('ORDENES'!$S775="","-",'ORDENES'!$S775))</f>
        <v/>
      </c>
      <c r="C797" s="3">
        <f>IF('ORDENES'!$A775="","",IF('ORDENES'!$AD775="","-",'ORDENES'!$AD775))</f>
        <v/>
      </c>
      <c r="D797" s="3">
        <f>IF('ORDENES'!$A775="","",IF('ORDENES'!$W775="","-",'ORDENES'!$W775))</f>
        <v/>
      </c>
      <c r="E797" s="3">
        <f>IF('ORDENES'!$A775="","",IF('ORDENES'!$V775="","-",'ORDENES'!$V775))</f>
        <v/>
      </c>
      <c r="F797" s="3">
        <f>IF('ORDENES'!$A775="","",IF('ORDENES'!$X775="","-",'ORDENES'!$X775))</f>
        <v/>
      </c>
      <c r="G797" s="3">
        <f>IF('ORDENES'!$A775="","",IF('ORDENES'!$AC775="","-",'ORDENES'!$AC775))</f>
        <v/>
      </c>
      <c r="H797" s="3">
        <f>IF('ORDENES'!$A775="","",IF('ORDENES'!$AO775="","-",'ORDENES'!$AO775))</f>
        <v/>
      </c>
      <c r="I797" s="3">
        <f>IF('ORDENES'!$A775="","",IF('ORDENES'!$D775="","-",'ORDENES'!$D775))</f>
        <v/>
      </c>
      <c r="J797" s="3">
        <f>IF('ORDENES'!$A775="","",IF('ORDENES'!$E775="","-",'ORDENES'!$E775))</f>
        <v/>
      </c>
      <c r="K797" s="12">
        <f>IF('ORDENES'!$A775="","",IF('ORDENES'!$N775="",0,'ORDENES'!$N775))</f>
        <v/>
      </c>
      <c r="L797" s="3">
        <f>IF('ORDENES'!$A775="","",IF('ORDENES'!$O775="","-",'ORDENES'!$O775))</f>
        <v/>
      </c>
      <c r="M797" s="3">
        <f>IF('ORDENES'!$A775="","",'ORDENES'!$AB775)</f>
        <v/>
      </c>
    </row>
    <row r="798">
      <c r="A798" s="3">
        <f>IF('ORDENES'!$A776="","",IF('ORDENES'!$P776="","-",'ORDENES'!$P776))</f>
        <v/>
      </c>
      <c r="B798" s="3">
        <f>IF('ORDENES'!$A776="","",IF('ORDENES'!$S776="","-",'ORDENES'!$S776))</f>
        <v/>
      </c>
      <c r="C798" s="3">
        <f>IF('ORDENES'!$A776="","",IF('ORDENES'!$AD776="","-",'ORDENES'!$AD776))</f>
        <v/>
      </c>
      <c r="D798" s="3">
        <f>IF('ORDENES'!$A776="","",IF('ORDENES'!$W776="","-",'ORDENES'!$W776))</f>
        <v/>
      </c>
      <c r="E798" s="3">
        <f>IF('ORDENES'!$A776="","",IF('ORDENES'!$V776="","-",'ORDENES'!$V776))</f>
        <v/>
      </c>
      <c r="F798" s="3">
        <f>IF('ORDENES'!$A776="","",IF('ORDENES'!$X776="","-",'ORDENES'!$X776))</f>
        <v/>
      </c>
      <c r="G798" s="3">
        <f>IF('ORDENES'!$A776="","",IF('ORDENES'!$AC776="","-",'ORDENES'!$AC776))</f>
        <v/>
      </c>
      <c r="H798" s="3">
        <f>IF('ORDENES'!$A776="","",IF('ORDENES'!$AO776="","-",'ORDENES'!$AO776))</f>
        <v/>
      </c>
      <c r="I798" s="3">
        <f>IF('ORDENES'!$A776="","",IF('ORDENES'!$D776="","-",'ORDENES'!$D776))</f>
        <v/>
      </c>
      <c r="J798" s="3">
        <f>IF('ORDENES'!$A776="","",IF('ORDENES'!$E776="","-",'ORDENES'!$E776))</f>
        <v/>
      </c>
      <c r="K798" s="12">
        <f>IF('ORDENES'!$A776="","",IF('ORDENES'!$N776="",0,'ORDENES'!$N776))</f>
        <v/>
      </c>
      <c r="L798" s="3">
        <f>IF('ORDENES'!$A776="","",IF('ORDENES'!$O776="","-",'ORDENES'!$O776))</f>
        <v/>
      </c>
      <c r="M798" s="3">
        <f>IF('ORDENES'!$A776="","",'ORDENES'!$AB776)</f>
        <v/>
      </c>
    </row>
    <row r="799">
      <c r="A799" s="3">
        <f>IF('ORDENES'!$A777="","",IF('ORDENES'!$P777="","-",'ORDENES'!$P777))</f>
        <v/>
      </c>
      <c r="B799" s="3">
        <f>IF('ORDENES'!$A777="","",IF('ORDENES'!$S777="","-",'ORDENES'!$S777))</f>
        <v/>
      </c>
      <c r="C799" s="3">
        <f>IF('ORDENES'!$A777="","",IF('ORDENES'!$AD777="","-",'ORDENES'!$AD777))</f>
        <v/>
      </c>
      <c r="D799" s="3">
        <f>IF('ORDENES'!$A777="","",IF('ORDENES'!$W777="","-",'ORDENES'!$W777))</f>
        <v/>
      </c>
      <c r="E799" s="3">
        <f>IF('ORDENES'!$A777="","",IF('ORDENES'!$V777="","-",'ORDENES'!$V777))</f>
        <v/>
      </c>
      <c r="F799" s="3">
        <f>IF('ORDENES'!$A777="","",IF('ORDENES'!$X777="","-",'ORDENES'!$X777))</f>
        <v/>
      </c>
      <c r="G799" s="3">
        <f>IF('ORDENES'!$A777="","",IF('ORDENES'!$AC777="","-",'ORDENES'!$AC777))</f>
        <v/>
      </c>
      <c r="H799" s="3">
        <f>IF('ORDENES'!$A777="","",IF('ORDENES'!$AO777="","-",'ORDENES'!$AO777))</f>
        <v/>
      </c>
      <c r="I799" s="3">
        <f>IF('ORDENES'!$A777="","",IF('ORDENES'!$D777="","-",'ORDENES'!$D777))</f>
        <v/>
      </c>
      <c r="J799" s="3">
        <f>IF('ORDENES'!$A777="","",IF('ORDENES'!$E777="","-",'ORDENES'!$E777))</f>
        <v/>
      </c>
      <c r="K799" s="12">
        <f>IF('ORDENES'!$A777="","",IF('ORDENES'!$N777="",0,'ORDENES'!$N777))</f>
        <v/>
      </c>
      <c r="L799" s="3">
        <f>IF('ORDENES'!$A777="","",IF('ORDENES'!$O777="","-",'ORDENES'!$O777))</f>
        <v/>
      </c>
      <c r="M799" s="3">
        <f>IF('ORDENES'!$A777="","",'ORDENES'!$AB777)</f>
        <v/>
      </c>
    </row>
    <row r="800">
      <c r="A800" s="3">
        <f>IF('ORDENES'!$A778="","",IF('ORDENES'!$P778="","-",'ORDENES'!$P778))</f>
        <v/>
      </c>
      <c r="B800" s="3">
        <f>IF('ORDENES'!$A778="","",IF('ORDENES'!$S778="","-",'ORDENES'!$S778))</f>
        <v/>
      </c>
      <c r="C800" s="3">
        <f>IF('ORDENES'!$A778="","",IF('ORDENES'!$AD778="","-",'ORDENES'!$AD778))</f>
        <v/>
      </c>
      <c r="D800" s="3">
        <f>IF('ORDENES'!$A778="","",IF('ORDENES'!$W778="","-",'ORDENES'!$W778))</f>
        <v/>
      </c>
      <c r="E800" s="3">
        <f>IF('ORDENES'!$A778="","",IF('ORDENES'!$V778="","-",'ORDENES'!$V778))</f>
        <v/>
      </c>
      <c r="F800" s="3">
        <f>IF('ORDENES'!$A778="","",IF('ORDENES'!$X778="","-",'ORDENES'!$X778))</f>
        <v/>
      </c>
      <c r="G800" s="3">
        <f>IF('ORDENES'!$A778="","",IF('ORDENES'!$AC778="","-",'ORDENES'!$AC778))</f>
        <v/>
      </c>
      <c r="H800" s="3">
        <f>IF('ORDENES'!$A778="","",IF('ORDENES'!$AO778="","-",'ORDENES'!$AO778))</f>
        <v/>
      </c>
      <c r="I800" s="3">
        <f>IF('ORDENES'!$A778="","",IF('ORDENES'!$D778="","-",'ORDENES'!$D778))</f>
        <v/>
      </c>
      <c r="J800" s="3">
        <f>IF('ORDENES'!$A778="","",IF('ORDENES'!$E778="","-",'ORDENES'!$E778))</f>
        <v/>
      </c>
      <c r="K800" s="12">
        <f>IF('ORDENES'!$A778="","",IF('ORDENES'!$N778="",0,'ORDENES'!$N778))</f>
        <v/>
      </c>
      <c r="L800" s="3">
        <f>IF('ORDENES'!$A778="","",IF('ORDENES'!$O778="","-",'ORDENES'!$O778))</f>
        <v/>
      </c>
      <c r="M800" s="3">
        <f>IF('ORDENES'!$A778="","",'ORDENES'!$AB778)</f>
        <v/>
      </c>
    </row>
    <row r="801">
      <c r="A801" s="3">
        <f>IF('ORDENES'!$A779="","",IF('ORDENES'!$P779="","-",'ORDENES'!$P779))</f>
        <v/>
      </c>
      <c r="B801" s="3">
        <f>IF('ORDENES'!$A779="","",IF('ORDENES'!$S779="","-",'ORDENES'!$S779))</f>
        <v/>
      </c>
      <c r="C801" s="3">
        <f>IF('ORDENES'!$A779="","",IF('ORDENES'!$AD779="","-",'ORDENES'!$AD779))</f>
        <v/>
      </c>
      <c r="D801" s="3">
        <f>IF('ORDENES'!$A779="","",IF('ORDENES'!$W779="","-",'ORDENES'!$W779))</f>
        <v/>
      </c>
      <c r="E801" s="3">
        <f>IF('ORDENES'!$A779="","",IF('ORDENES'!$V779="","-",'ORDENES'!$V779))</f>
        <v/>
      </c>
      <c r="F801" s="3">
        <f>IF('ORDENES'!$A779="","",IF('ORDENES'!$X779="","-",'ORDENES'!$X779))</f>
        <v/>
      </c>
      <c r="G801" s="3">
        <f>IF('ORDENES'!$A779="","",IF('ORDENES'!$AC779="","-",'ORDENES'!$AC779))</f>
        <v/>
      </c>
      <c r="H801" s="3">
        <f>IF('ORDENES'!$A779="","",IF('ORDENES'!$AO779="","-",'ORDENES'!$AO779))</f>
        <v/>
      </c>
      <c r="I801" s="3">
        <f>IF('ORDENES'!$A779="","",IF('ORDENES'!$D779="","-",'ORDENES'!$D779))</f>
        <v/>
      </c>
      <c r="J801" s="3">
        <f>IF('ORDENES'!$A779="","",IF('ORDENES'!$E779="","-",'ORDENES'!$E779))</f>
        <v/>
      </c>
      <c r="K801" s="12">
        <f>IF('ORDENES'!$A779="","",IF('ORDENES'!$N779="",0,'ORDENES'!$N779))</f>
        <v/>
      </c>
      <c r="L801" s="3">
        <f>IF('ORDENES'!$A779="","",IF('ORDENES'!$O779="","-",'ORDENES'!$O779))</f>
        <v/>
      </c>
      <c r="M801" s="3">
        <f>IF('ORDENES'!$A779="","",'ORDENES'!$AB779)</f>
        <v/>
      </c>
    </row>
    <row r="802">
      <c r="A802" s="3">
        <f>IF('ORDENES'!$A780="","",IF('ORDENES'!$P780="","-",'ORDENES'!$P780))</f>
        <v/>
      </c>
      <c r="B802" s="3">
        <f>IF('ORDENES'!$A780="","",IF('ORDENES'!$S780="","-",'ORDENES'!$S780))</f>
        <v/>
      </c>
      <c r="C802" s="3">
        <f>IF('ORDENES'!$A780="","",IF('ORDENES'!$AD780="","-",'ORDENES'!$AD780))</f>
        <v/>
      </c>
      <c r="D802" s="3">
        <f>IF('ORDENES'!$A780="","",IF('ORDENES'!$W780="","-",'ORDENES'!$W780))</f>
        <v/>
      </c>
      <c r="E802" s="3">
        <f>IF('ORDENES'!$A780="","",IF('ORDENES'!$V780="","-",'ORDENES'!$V780))</f>
        <v/>
      </c>
      <c r="F802" s="3">
        <f>IF('ORDENES'!$A780="","",IF('ORDENES'!$X780="","-",'ORDENES'!$X780))</f>
        <v/>
      </c>
      <c r="G802" s="3">
        <f>IF('ORDENES'!$A780="","",IF('ORDENES'!$AC780="","-",'ORDENES'!$AC780))</f>
        <v/>
      </c>
      <c r="H802" s="3">
        <f>IF('ORDENES'!$A780="","",IF('ORDENES'!$AO780="","-",'ORDENES'!$AO780))</f>
        <v/>
      </c>
      <c r="I802" s="3">
        <f>IF('ORDENES'!$A780="","",IF('ORDENES'!$D780="","-",'ORDENES'!$D780))</f>
        <v/>
      </c>
      <c r="J802" s="3">
        <f>IF('ORDENES'!$A780="","",IF('ORDENES'!$E780="","-",'ORDENES'!$E780))</f>
        <v/>
      </c>
      <c r="K802" s="12">
        <f>IF('ORDENES'!$A780="","",IF('ORDENES'!$N780="",0,'ORDENES'!$N780))</f>
        <v/>
      </c>
      <c r="L802" s="3">
        <f>IF('ORDENES'!$A780="","",IF('ORDENES'!$O780="","-",'ORDENES'!$O780))</f>
        <v/>
      </c>
      <c r="M802" s="3">
        <f>IF('ORDENES'!$A780="","",'ORDENES'!$AB780)</f>
        <v/>
      </c>
    </row>
    <row r="803">
      <c r="A803" s="3">
        <f>IF('ORDENES'!$A781="","",IF('ORDENES'!$P781="","-",'ORDENES'!$P781))</f>
        <v/>
      </c>
      <c r="B803" s="3">
        <f>IF('ORDENES'!$A781="","",IF('ORDENES'!$S781="","-",'ORDENES'!$S781))</f>
        <v/>
      </c>
      <c r="C803" s="3">
        <f>IF('ORDENES'!$A781="","",IF('ORDENES'!$AD781="","-",'ORDENES'!$AD781))</f>
        <v/>
      </c>
      <c r="D803" s="3">
        <f>IF('ORDENES'!$A781="","",IF('ORDENES'!$W781="","-",'ORDENES'!$W781))</f>
        <v/>
      </c>
      <c r="E803" s="3">
        <f>IF('ORDENES'!$A781="","",IF('ORDENES'!$V781="","-",'ORDENES'!$V781))</f>
        <v/>
      </c>
      <c r="F803" s="3">
        <f>IF('ORDENES'!$A781="","",IF('ORDENES'!$X781="","-",'ORDENES'!$X781))</f>
        <v/>
      </c>
      <c r="G803" s="3">
        <f>IF('ORDENES'!$A781="","",IF('ORDENES'!$AC781="","-",'ORDENES'!$AC781))</f>
        <v/>
      </c>
      <c r="H803" s="3">
        <f>IF('ORDENES'!$A781="","",IF('ORDENES'!$AO781="","-",'ORDENES'!$AO781))</f>
        <v/>
      </c>
      <c r="I803" s="3">
        <f>IF('ORDENES'!$A781="","",IF('ORDENES'!$D781="","-",'ORDENES'!$D781))</f>
        <v/>
      </c>
      <c r="J803" s="3">
        <f>IF('ORDENES'!$A781="","",IF('ORDENES'!$E781="","-",'ORDENES'!$E781))</f>
        <v/>
      </c>
      <c r="K803" s="12">
        <f>IF('ORDENES'!$A781="","",IF('ORDENES'!$N781="",0,'ORDENES'!$N781))</f>
        <v/>
      </c>
      <c r="L803" s="3">
        <f>IF('ORDENES'!$A781="","",IF('ORDENES'!$O781="","-",'ORDENES'!$O781))</f>
        <v/>
      </c>
      <c r="M803" s="3">
        <f>IF('ORDENES'!$A781="","",'ORDENES'!$AB781)</f>
        <v/>
      </c>
    </row>
    <row r="804">
      <c r="A804" s="3">
        <f>IF('ORDENES'!$A782="","",IF('ORDENES'!$P782="","-",'ORDENES'!$P782))</f>
        <v/>
      </c>
      <c r="B804" s="3">
        <f>IF('ORDENES'!$A782="","",IF('ORDENES'!$S782="","-",'ORDENES'!$S782))</f>
        <v/>
      </c>
      <c r="C804" s="3">
        <f>IF('ORDENES'!$A782="","",IF('ORDENES'!$AD782="","-",'ORDENES'!$AD782))</f>
        <v/>
      </c>
      <c r="D804" s="3">
        <f>IF('ORDENES'!$A782="","",IF('ORDENES'!$W782="","-",'ORDENES'!$W782))</f>
        <v/>
      </c>
      <c r="E804" s="3">
        <f>IF('ORDENES'!$A782="","",IF('ORDENES'!$V782="","-",'ORDENES'!$V782))</f>
        <v/>
      </c>
      <c r="F804" s="3">
        <f>IF('ORDENES'!$A782="","",IF('ORDENES'!$X782="","-",'ORDENES'!$X782))</f>
        <v/>
      </c>
      <c r="G804" s="3">
        <f>IF('ORDENES'!$A782="","",IF('ORDENES'!$AC782="","-",'ORDENES'!$AC782))</f>
        <v/>
      </c>
      <c r="H804" s="3">
        <f>IF('ORDENES'!$A782="","",IF('ORDENES'!$AO782="","-",'ORDENES'!$AO782))</f>
        <v/>
      </c>
      <c r="I804" s="3">
        <f>IF('ORDENES'!$A782="","",IF('ORDENES'!$D782="","-",'ORDENES'!$D782))</f>
        <v/>
      </c>
      <c r="J804" s="3">
        <f>IF('ORDENES'!$A782="","",IF('ORDENES'!$E782="","-",'ORDENES'!$E782))</f>
        <v/>
      </c>
      <c r="K804" s="12">
        <f>IF('ORDENES'!$A782="","",IF('ORDENES'!$N782="",0,'ORDENES'!$N782))</f>
        <v/>
      </c>
      <c r="L804" s="3">
        <f>IF('ORDENES'!$A782="","",IF('ORDENES'!$O782="","-",'ORDENES'!$O782))</f>
        <v/>
      </c>
      <c r="M804" s="3">
        <f>IF('ORDENES'!$A782="","",'ORDENES'!$AB782)</f>
        <v/>
      </c>
    </row>
    <row r="805">
      <c r="A805" s="3">
        <f>IF('ORDENES'!$A783="","",IF('ORDENES'!$P783="","-",'ORDENES'!$P783))</f>
        <v/>
      </c>
      <c r="B805" s="3">
        <f>IF('ORDENES'!$A783="","",IF('ORDENES'!$S783="","-",'ORDENES'!$S783))</f>
        <v/>
      </c>
      <c r="C805" s="3">
        <f>IF('ORDENES'!$A783="","",IF('ORDENES'!$AD783="","-",'ORDENES'!$AD783))</f>
        <v/>
      </c>
      <c r="D805" s="3">
        <f>IF('ORDENES'!$A783="","",IF('ORDENES'!$W783="","-",'ORDENES'!$W783))</f>
        <v/>
      </c>
      <c r="E805" s="3">
        <f>IF('ORDENES'!$A783="","",IF('ORDENES'!$V783="","-",'ORDENES'!$V783))</f>
        <v/>
      </c>
      <c r="F805" s="3">
        <f>IF('ORDENES'!$A783="","",IF('ORDENES'!$X783="","-",'ORDENES'!$X783))</f>
        <v/>
      </c>
      <c r="G805" s="3">
        <f>IF('ORDENES'!$A783="","",IF('ORDENES'!$AC783="","-",'ORDENES'!$AC783))</f>
        <v/>
      </c>
      <c r="H805" s="3">
        <f>IF('ORDENES'!$A783="","",IF('ORDENES'!$AO783="","-",'ORDENES'!$AO783))</f>
        <v/>
      </c>
      <c r="I805" s="3">
        <f>IF('ORDENES'!$A783="","",IF('ORDENES'!$D783="","-",'ORDENES'!$D783))</f>
        <v/>
      </c>
      <c r="J805" s="3">
        <f>IF('ORDENES'!$A783="","",IF('ORDENES'!$E783="","-",'ORDENES'!$E783))</f>
        <v/>
      </c>
      <c r="K805" s="12">
        <f>IF('ORDENES'!$A783="","",IF('ORDENES'!$N783="",0,'ORDENES'!$N783))</f>
        <v/>
      </c>
      <c r="L805" s="3">
        <f>IF('ORDENES'!$A783="","",IF('ORDENES'!$O783="","-",'ORDENES'!$O783))</f>
        <v/>
      </c>
      <c r="M805" s="3">
        <f>IF('ORDENES'!$A783="","",'ORDENES'!$AB783)</f>
        <v/>
      </c>
    </row>
    <row r="806">
      <c r="A806" s="3">
        <f>IF('ORDENES'!$A784="","",IF('ORDENES'!$P784="","-",'ORDENES'!$P784))</f>
        <v/>
      </c>
      <c r="B806" s="3">
        <f>IF('ORDENES'!$A784="","",IF('ORDENES'!$S784="","-",'ORDENES'!$S784))</f>
        <v/>
      </c>
      <c r="C806" s="3">
        <f>IF('ORDENES'!$A784="","",IF('ORDENES'!$AD784="","-",'ORDENES'!$AD784))</f>
        <v/>
      </c>
      <c r="D806" s="3">
        <f>IF('ORDENES'!$A784="","",IF('ORDENES'!$W784="","-",'ORDENES'!$W784))</f>
        <v/>
      </c>
      <c r="E806" s="3">
        <f>IF('ORDENES'!$A784="","",IF('ORDENES'!$V784="","-",'ORDENES'!$V784))</f>
        <v/>
      </c>
      <c r="F806" s="3">
        <f>IF('ORDENES'!$A784="","",IF('ORDENES'!$X784="","-",'ORDENES'!$X784))</f>
        <v/>
      </c>
      <c r="G806" s="3">
        <f>IF('ORDENES'!$A784="","",IF('ORDENES'!$AC784="","-",'ORDENES'!$AC784))</f>
        <v/>
      </c>
      <c r="H806" s="3">
        <f>IF('ORDENES'!$A784="","",IF('ORDENES'!$AO784="","-",'ORDENES'!$AO784))</f>
        <v/>
      </c>
      <c r="I806" s="3">
        <f>IF('ORDENES'!$A784="","",IF('ORDENES'!$D784="","-",'ORDENES'!$D784))</f>
        <v/>
      </c>
      <c r="J806" s="3">
        <f>IF('ORDENES'!$A784="","",IF('ORDENES'!$E784="","-",'ORDENES'!$E784))</f>
        <v/>
      </c>
      <c r="K806" s="12">
        <f>IF('ORDENES'!$A784="","",IF('ORDENES'!$N784="",0,'ORDENES'!$N784))</f>
        <v/>
      </c>
      <c r="L806" s="3">
        <f>IF('ORDENES'!$A784="","",IF('ORDENES'!$O784="","-",'ORDENES'!$O784))</f>
        <v/>
      </c>
      <c r="M806" s="3">
        <f>IF('ORDENES'!$A784="","",'ORDENES'!$AB784)</f>
        <v/>
      </c>
    </row>
    <row r="807">
      <c r="A807" s="3">
        <f>IF('ORDENES'!$A785="","",IF('ORDENES'!$P785="","-",'ORDENES'!$P785))</f>
        <v/>
      </c>
      <c r="B807" s="3">
        <f>IF('ORDENES'!$A785="","",IF('ORDENES'!$S785="","-",'ORDENES'!$S785))</f>
        <v/>
      </c>
      <c r="C807" s="3">
        <f>IF('ORDENES'!$A785="","",IF('ORDENES'!$AD785="","-",'ORDENES'!$AD785))</f>
        <v/>
      </c>
      <c r="D807" s="3">
        <f>IF('ORDENES'!$A785="","",IF('ORDENES'!$W785="","-",'ORDENES'!$W785))</f>
        <v/>
      </c>
      <c r="E807" s="3">
        <f>IF('ORDENES'!$A785="","",IF('ORDENES'!$V785="","-",'ORDENES'!$V785))</f>
        <v/>
      </c>
      <c r="F807" s="3">
        <f>IF('ORDENES'!$A785="","",IF('ORDENES'!$X785="","-",'ORDENES'!$X785))</f>
        <v/>
      </c>
      <c r="G807" s="3">
        <f>IF('ORDENES'!$A785="","",IF('ORDENES'!$AC785="","-",'ORDENES'!$AC785))</f>
        <v/>
      </c>
      <c r="H807" s="3">
        <f>IF('ORDENES'!$A785="","",IF('ORDENES'!$AO785="","-",'ORDENES'!$AO785))</f>
        <v/>
      </c>
      <c r="I807" s="3">
        <f>IF('ORDENES'!$A785="","",IF('ORDENES'!$D785="","-",'ORDENES'!$D785))</f>
        <v/>
      </c>
      <c r="J807" s="3">
        <f>IF('ORDENES'!$A785="","",IF('ORDENES'!$E785="","-",'ORDENES'!$E785))</f>
        <v/>
      </c>
      <c r="K807" s="12">
        <f>IF('ORDENES'!$A785="","",IF('ORDENES'!$N785="",0,'ORDENES'!$N785))</f>
        <v/>
      </c>
      <c r="L807" s="3">
        <f>IF('ORDENES'!$A785="","",IF('ORDENES'!$O785="","-",'ORDENES'!$O785))</f>
        <v/>
      </c>
      <c r="M807" s="3">
        <f>IF('ORDENES'!$A785="","",'ORDENES'!$AB785)</f>
        <v/>
      </c>
    </row>
    <row r="808">
      <c r="A808" s="3">
        <f>IF('ORDENES'!$A786="","",IF('ORDENES'!$P786="","-",'ORDENES'!$P786))</f>
        <v/>
      </c>
      <c r="B808" s="3">
        <f>IF('ORDENES'!$A786="","",IF('ORDENES'!$S786="","-",'ORDENES'!$S786))</f>
        <v/>
      </c>
      <c r="C808" s="3">
        <f>IF('ORDENES'!$A786="","",IF('ORDENES'!$AD786="","-",'ORDENES'!$AD786))</f>
        <v/>
      </c>
      <c r="D808" s="3">
        <f>IF('ORDENES'!$A786="","",IF('ORDENES'!$W786="","-",'ORDENES'!$W786))</f>
        <v/>
      </c>
      <c r="E808" s="3">
        <f>IF('ORDENES'!$A786="","",IF('ORDENES'!$V786="","-",'ORDENES'!$V786))</f>
        <v/>
      </c>
      <c r="F808" s="3">
        <f>IF('ORDENES'!$A786="","",IF('ORDENES'!$X786="","-",'ORDENES'!$X786))</f>
        <v/>
      </c>
      <c r="G808" s="3">
        <f>IF('ORDENES'!$A786="","",IF('ORDENES'!$AC786="","-",'ORDENES'!$AC786))</f>
        <v/>
      </c>
      <c r="H808" s="3">
        <f>IF('ORDENES'!$A786="","",IF('ORDENES'!$AO786="","-",'ORDENES'!$AO786))</f>
        <v/>
      </c>
      <c r="I808" s="3">
        <f>IF('ORDENES'!$A786="","",IF('ORDENES'!$D786="","-",'ORDENES'!$D786))</f>
        <v/>
      </c>
      <c r="J808" s="3">
        <f>IF('ORDENES'!$A786="","",IF('ORDENES'!$E786="","-",'ORDENES'!$E786))</f>
        <v/>
      </c>
      <c r="K808" s="12">
        <f>IF('ORDENES'!$A786="","",IF('ORDENES'!$N786="",0,'ORDENES'!$N786))</f>
        <v/>
      </c>
      <c r="L808" s="3">
        <f>IF('ORDENES'!$A786="","",IF('ORDENES'!$O786="","-",'ORDENES'!$O786))</f>
        <v/>
      </c>
      <c r="M808" s="3">
        <f>IF('ORDENES'!$A786="","",'ORDENES'!$AB786)</f>
        <v/>
      </c>
    </row>
    <row r="809">
      <c r="A809" s="3">
        <f>IF('ORDENES'!$A787="","",IF('ORDENES'!$P787="","-",'ORDENES'!$P787))</f>
        <v/>
      </c>
      <c r="B809" s="3">
        <f>IF('ORDENES'!$A787="","",IF('ORDENES'!$S787="","-",'ORDENES'!$S787))</f>
        <v/>
      </c>
      <c r="C809" s="3">
        <f>IF('ORDENES'!$A787="","",IF('ORDENES'!$AD787="","-",'ORDENES'!$AD787))</f>
        <v/>
      </c>
      <c r="D809" s="3">
        <f>IF('ORDENES'!$A787="","",IF('ORDENES'!$W787="","-",'ORDENES'!$W787))</f>
        <v/>
      </c>
      <c r="E809" s="3">
        <f>IF('ORDENES'!$A787="","",IF('ORDENES'!$V787="","-",'ORDENES'!$V787))</f>
        <v/>
      </c>
      <c r="F809" s="3">
        <f>IF('ORDENES'!$A787="","",IF('ORDENES'!$X787="","-",'ORDENES'!$X787))</f>
        <v/>
      </c>
      <c r="G809" s="3">
        <f>IF('ORDENES'!$A787="","",IF('ORDENES'!$AC787="","-",'ORDENES'!$AC787))</f>
        <v/>
      </c>
      <c r="H809" s="3">
        <f>IF('ORDENES'!$A787="","",IF('ORDENES'!$AO787="","-",'ORDENES'!$AO787))</f>
        <v/>
      </c>
      <c r="I809" s="3">
        <f>IF('ORDENES'!$A787="","",IF('ORDENES'!$D787="","-",'ORDENES'!$D787))</f>
        <v/>
      </c>
      <c r="J809" s="3">
        <f>IF('ORDENES'!$A787="","",IF('ORDENES'!$E787="","-",'ORDENES'!$E787))</f>
        <v/>
      </c>
      <c r="K809" s="12">
        <f>IF('ORDENES'!$A787="","",IF('ORDENES'!$N787="",0,'ORDENES'!$N787))</f>
        <v/>
      </c>
      <c r="L809" s="3">
        <f>IF('ORDENES'!$A787="","",IF('ORDENES'!$O787="","-",'ORDENES'!$O787))</f>
        <v/>
      </c>
      <c r="M809" s="3">
        <f>IF('ORDENES'!$A787="","",'ORDENES'!$AB787)</f>
        <v/>
      </c>
    </row>
    <row r="810">
      <c r="A810" s="3">
        <f>IF('ORDENES'!$A788="","",IF('ORDENES'!$P788="","-",'ORDENES'!$P788))</f>
        <v/>
      </c>
      <c r="B810" s="3">
        <f>IF('ORDENES'!$A788="","",IF('ORDENES'!$S788="","-",'ORDENES'!$S788))</f>
        <v/>
      </c>
      <c r="C810" s="3">
        <f>IF('ORDENES'!$A788="","",IF('ORDENES'!$AD788="","-",'ORDENES'!$AD788))</f>
        <v/>
      </c>
      <c r="D810" s="3">
        <f>IF('ORDENES'!$A788="","",IF('ORDENES'!$W788="","-",'ORDENES'!$W788))</f>
        <v/>
      </c>
      <c r="E810" s="3">
        <f>IF('ORDENES'!$A788="","",IF('ORDENES'!$V788="","-",'ORDENES'!$V788))</f>
        <v/>
      </c>
      <c r="F810" s="3">
        <f>IF('ORDENES'!$A788="","",IF('ORDENES'!$X788="","-",'ORDENES'!$X788))</f>
        <v/>
      </c>
      <c r="G810" s="3">
        <f>IF('ORDENES'!$A788="","",IF('ORDENES'!$AC788="","-",'ORDENES'!$AC788))</f>
        <v/>
      </c>
      <c r="H810" s="3">
        <f>IF('ORDENES'!$A788="","",IF('ORDENES'!$AO788="","-",'ORDENES'!$AO788))</f>
        <v/>
      </c>
      <c r="I810" s="3">
        <f>IF('ORDENES'!$A788="","",IF('ORDENES'!$D788="","-",'ORDENES'!$D788))</f>
        <v/>
      </c>
      <c r="J810" s="3">
        <f>IF('ORDENES'!$A788="","",IF('ORDENES'!$E788="","-",'ORDENES'!$E788))</f>
        <v/>
      </c>
      <c r="K810" s="12">
        <f>IF('ORDENES'!$A788="","",IF('ORDENES'!$N788="",0,'ORDENES'!$N788))</f>
        <v/>
      </c>
      <c r="L810" s="3">
        <f>IF('ORDENES'!$A788="","",IF('ORDENES'!$O788="","-",'ORDENES'!$O788))</f>
        <v/>
      </c>
      <c r="M810" s="3">
        <f>IF('ORDENES'!$A788="","",'ORDENES'!$AB788)</f>
        <v/>
      </c>
    </row>
    <row r="811">
      <c r="A811" s="3">
        <f>IF('ORDENES'!$A789="","",IF('ORDENES'!$P789="","-",'ORDENES'!$P789))</f>
        <v/>
      </c>
      <c r="B811" s="3">
        <f>IF('ORDENES'!$A789="","",IF('ORDENES'!$S789="","-",'ORDENES'!$S789))</f>
        <v/>
      </c>
      <c r="C811" s="3">
        <f>IF('ORDENES'!$A789="","",IF('ORDENES'!$AD789="","-",'ORDENES'!$AD789))</f>
        <v/>
      </c>
      <c r="D811" s="3">
        <f>IF('ORDENES'!$A789="","",IF('ORDENES'!$W789="","-",'ORDENES'!$W789))</f>
        <v/>
      </c>
      <c r="E811" s="3">
        <f>IF('ORDENES'!$A789="","",IF('ORDENES'!$V789="","-",'ORDENES'!$V789))</f>
        <v/>
      </c>
      <c r="F811" s="3">
        <f>IF('ORDENES'!$A789="","",IF('ORDENES'!$X789="","-",'ORDENES'!$X789))</f>
        <v/>
      </c>
      <c r="G811" s="3">
        <f>IF('ORDENES'!$A789="","",IF('ORDENES'!$AC789="","-",'ORDENES'!$AC789))</f>
        <v/>
      </c>
      <c r="H811" s="3">
        <f>IF('ORDENES'!$A789="","",IF('ORDENES'!$AO789="","-",'ORDENES'!$AO789))</f>
        <v/>
      </c>
      <c r="I811" s="3">
        <f>IF('ORDENES'!$A789="","",IF('ORDENES'!$D789="","-",'ORDENES'!$D789))</f>
        <v/>
      </c>
      <c r="J811" s="3">
        <f>IF('ORDENES'!$A789="","",IF('ORDENES'!$E789="","-",'ORDENES'!$E789))</f>
        <v/>
      </c>
      <c r="K811" s="12">
        <f>IF('ORDENES'!$A789="","",IF('ORDENES'!$N789="",0,'ORDENES'!$N789))</f>
        <v/>
      </c>
      <c r="L811" s="3">
        <f>IF('ORDENES'!$A789="","",IF('ORDENES'!$O789="","-",'ORDENES'!$O789))</f>
        <v/>
      </c>
      <c r="M811" s="3">
        <f>IF('ORDENES'!$A789="","",'ORDENES'!$AB789)</f>
        <v/>
      </c>
    </row>
    <row r="812">
      <c r="A812" s="3">
        <f>IF('ORDENES'!$A790="","",IF('ORDENES'!$P790="","-",'ORDENES'!$P790))</f>
        <v/>
      </c>
      <c r="B812" s="3">
        <f>IF('ORDENES'!$A790="","",IF('ORDENES'!$S790="","-",'ORDENES'!$S790))</f>
        <v/>
      </c>
      <c r="C812" s="3">
        <f>IF('ORDENES'!$A790="","",IF('ORDENES'!$AD790="","-",'ORDENES'!$AD790))</f>
        <v/>
      </c>
      <c r="D812" s="3">
        <f>IF('ORDENES'!$A790="","",IF('ORDENES'!$W790="","-",'ORDENES'!$W790))</f>
        <v/>
      </c>
      <c r="E812" s="3">
        <f>IF('ORDENES'!$A790="","",IF('ORDENES'!$V790="","-",'ORDENES'!$V790))</f>
        <v/>
      </c>
      <c r="F812" s="3">
        <f>IF('ORDENES'!$A790="","",IF('ORDENES'!$X790="","-",'ORDENES'!$X790))</f>
        <v/>
      </c>
      <c r="G812" s="3">
        <f>IF('ORDENES'!$A790="","",IF('ORDENES'!$AC790="","-",'ORDENES'!$AC790))</f>
        <v/>
      </c>
      <c r="H812" s="3">
        <f>IF('ORDENES'!$A790="","",IF('ORDENES'!$AO790="","-",'ORDENES'!$AO790))</f>
        <v/>
      </c>
      <c r="I812" s="3">
        <f>IF('ORDENES'!$A790="","",IF('ORDENES'!$D790="","-",'ORDENES'!$D790))</f>
        <v/>
      </c>
      <c r="J812" s="3">
        <f>IF('ORDENES'!$A790="","",IF('ORDENES'!$E790="","-",'ORDENES'!$E790))</f>
        <v/>
      </c>
      <c r="K812" s="12">
        <f>IF('ORDENES'!$A790="","",IF('ORDENES'!$N790="",0,'ORDENES'!$N790))</f>
        <v/>
      </c>
      <c r="L812" s="3">
        <f>IF('ORDENES'!$A790="","",IF('ORDENES'!$O790="","-",'ORDENES'!$O790))</f>
        <v/>
      </c>
      <c r="M812" s="3">
        <f>IF('ORDENES'!$A790="","",'ORDENES'!$AB790)</f>
        <v/>
      </c>
    </row>
    <row r="813">
      <c r="A813" s="3">
        <f>IF('ORDENES'!$A791="","",IF('ORDENES'!$P791="","-",'ORDENES'!$P791))</f>
        <v/>
      </c>
      <c r="B813" s="3">
        <f>IF('ORDENES'!$A791="","",IF('ORDENES'!$S791="","-",'ORDENES'!$S791))</f>
        <v/>
      </c>
      <c r="C813" s="3">
        <f>IF('ORDENES'!$A791="","",IF('ORDENES'!$AD791="","-",'ORDENES'!$AD791))</f>
        <v/>
      </c>
      <c r="D813" s="3">
        <f>IF('ORDENES'!$A791="","",IF('ORDENES'!$W791="","-",'ORDENES'!$W791))</f>
        <v/>
      </c>
      <c r="E813" s="3">
        <f>IF('ORDENES'!$A791="","",IF('ORDENES'!$V791="","-",'ORDENES'!$V791))</f>
        <v/>
      </c>
      <c r="F813" s="3">
        <f>IF('ORDENES'!$A791="","",IF('ORDENES'!$X791="","-",'ORDENES'!$X791))</f>
        <v/>
      </c>
      <c r="G813" s="3">
        <f>IF('ORDENES'!$A791="","",IF('ORDENES'!$AC791="","-",'ORDENES'!$AC791))</f>
        <v/>
      </c>
      <c r="H813" s="3">
        <f>IF('ORDENES'!$A791="","",IF('ORDENES'!$AO791="","-",'ORDENES'!$AO791))</f>
        <v/>
      </c>
      <c r="I813" s="3">
        <f>IF('ORDENES'!$A791="","",IF('ORDENES'!$D791="","-",'ORDENES'!$D791))</f>
        <v/>
      </c>
      <c r="J813" s="3">
        <f>IF('ORDENES'!$A791="","",IF('ORDENES'!$E791="","-",'ORDENES'!$E791))</f>
        <v/>
      </c>
      <c r="K813" s="12">
        <f>IF('ORDENES'!$A791="","",IF('ORDENES'!$N791="",0,'ORDENES'!$N791))</f>
        <v/>
      </c>
      <c r="L813" s="3">
        <f>IF('ORDENES'!$A791="","",IF('ORDENES'!$O791="","-",'ORDENES'!$O791))</f>
        <v/>
      </c>
      <c r="M813" s="3">
        <f>IF('ORDENES'!$A791="","",'ORDENES'!$AB791)</f>
        <v/>
      </c>
    </row>
    <row r="814">
      <c r="A814" s="3">
        <f>IF('ORDENES'!$A792="","",IF('ORDENES'!$P792="","-",'ORDENES'!$P792))</f>
        <v/>
      </c>
      <c r="B814" s="3">
        <f>IF('ORDENES'!$A792="","",IF('ORDENES'!$S792="","-",'ORDENES'!$S792))</f>
        <v/>
      </c>
      <c r="C814" s="3">
        <f>IF('ORDENES'!$A792="","",IF('ORDENES'!$AD792="","-",'ORDENES'!$AD792))</f>
        <v/>
      </c>
      <c r="D814" s="3">
        <f>IF('ORDENES'!$A792="","",IF('ORDENES'!$W792="","-",'ORDENES'!$W792))</f>
        <v/>
      </c>
      <c r="E814" s="3">
        <f>IF('ORDENES'!$A792="","",IF('ORDENES'!$V792="","-",'ORDENES'!$V792))</f>
        <v/>
      </c>
      <c r="F814" s="3">
        <f>IF('ORDENES'!$A792="","",IF('ORDENES'!$X792="","-",'ORDENES'!$X792))</f>
        <v/>
      </c>
      <c r="G814" s="3">
        <f>IF('ORDENES'!$A792="","",IF('ORDENES'!$AC792="","-",'ORDENES'!$AC792))</f>
        <v/>
      </c>
      <c r="H814" s="3">
        <f>IF('ORDENES'!$A792="","",IF('ORDENES'!$AO792="","-",'ORDENES'!$AO792))</f>
        <v/>
      </c>
      <c r="I814" s="3">
        <f>IF('ORDENES'!$A792="","",IF('ORDENES'!$D792="","-",'ORDENES'!$D792))</f>
        <v/>
      </c>
      <c r="J814" s="3">
        <f>IF('ORDENES'!$A792="","",IF('ORDENES'!$E792="","-",'ORDENES'!$E792))</f>
        <v/>
      </c>
      <c r="K814" s="12">
        <f>IF('ORDENES'!$A792="","",IF('ORDENES'!$N792="",0,'ORDENES'!$N792))</f>
        <v/>
      </c>
      <c r="L814" s="3">
        <f>IF('ORDENES'!$A792="","",IF('ORDENES'!$O792="","-",'ORDENES'!$O792))</f>
        <v/>
      </c>
      <c r="M814" s="3">
        <f>IF('ORDENES'!$A792="","",'ORDENES'!$AB792)</f>
        <v/>
      </c>
    </row>
    <row r="815">
      <c r="A815" s="3">
        <f>IF('ORDENES'!$A793="","",IF('ORDENES'!$P793="","-",'ORDENES'!$P793))</f>
        <v/>
      </c>
      <c r="B815" s="3">
        <f>IF('ORDENES'!$A793="","",IF('ORDENES'!$S793="","-",'ORDENES'!$S793))</f>
        <v/>
      </c>
      <c r="C815" s="3">
        <f>IF('ORDENES'!$A793="","",IF('ORDENES'!$AD793="","-",'ORDENES'!$AD793))</f>
        <v/>
      </c>
      <c r="D815" s="3">
        <f>IF('ORDENES'!$A793="","",IF('ORDENES'!$W793="","-",'ORDENES'!$W793))</f>
        <v/>
      </c>
      <c r="E815" s="3">
        <f>IF('ORDENES'!$A793="","",IF('ORDENES'!$V793="","-",'ORDENES'!$V793))</f>
        <v/>
      </c>
      <c r="F815" s="3">
        <f>IF('ORDENES'!$A793="","",IF('ORDENES'!$X793="","-",'ORDENES'!$X793))</f>
        <v/>
      </c>
      <c r="G815" s="3">
        <f>IF('ORDENES'!$A793="","",IF('ORDENES'!$AC793="","-",'ORDENES'!$AC793))</f>
        <v/>
      </c>
      <c r="H815" s="3">
        <f>IF('ORDENES'!$A793="","",IF('ORDENES'!$AO793="","-",'ORDENES'!$AO793))</f>
        <v/>
      </c>
      <c r="I815" s="3">
        <f>IF('ORDENES'!$A793="","",IF('ORDENES'!$D793="","-",'ORDENES'!$D793))</f>
        <v/>
      </c>
      <c r="J815" s="3">
        <f>IF('ORDENES'!$A793="","",IF('ORDENES'!$E793="","-",'ORDENES'!$E793))</f>
        <v/>
      </c>
      <c r="K815" s="12">
        <f>IF('ORDENES'!$A793="","",IF('ORDENES'!$N793="",0,'ORDENES'!$N793))</f>
        <v/>
      </c>
      <c r="L815" s="3">
        <f>IF('ORDENES'!$A793="","",IF('ORDENES'!$O793="","-",'ORDENES'!$O793))</f>
        <v/>
      </c>
      <c r="M815" s="3">
        <f>IF('ORDENES'!$A793="","",'ORDENES'!$AB793)</f>
        <v/>
      </c>
    </row>
    <row r="816">
      <c r="A816" s="3">
        <f>IF('ORDENES'!$A794="","",IF('ORDENES'!$P794="","-",'ORDENES'!$P794))</f>
        <v/>
      </c>
      <c r="B816" s="3">
        <f>IF('ORDENES'!$A794="","",IF('ORDENES'!$S794="","-",'ORDENES'!$S794))</f>
        <v/>
      </c>
      <c r="C816" s="3">
        <f>IF('ORDENES'!$A794="","",IF('ORDENES'!$AD794="","-",'ORDENES'!$AD794))</f>
        <v/>
      </c>
      <c r="D816" s="3">
        <f>IF('ORDENES'!$A794="","",IF('ORDENES'!$W794="","-",'ORDENES'!$W794))</f>
        <v/>
      </c>
      <c r="E816" s="3">
        <f>IF('ORDENES'!$A794="","",IF('ORDENES'!$V794="","-",'ORDENES'!$V794))</f>
        <v/>
      </c>
      <c r="F816" s="3">
        <f>IF('ORDENES'!$A794="","",IF('ORDENES'!$X794="","-",'ORDENES'!$X794))</f>
        <v/>
      </c>
      <c r="G816" s="3">
        <f>IF('ORDENES'!$A794="","",IF('ORDENES'!$AC794="","-",'ORDENES'!$AC794))</f>
        <v/>
      </c>
      <c r="H816" s="3">
        <f>IF('ORDENES'!$A794="","",IF('ORDENES'!$AO794="","-",'ORDENES'!$AO794))</f>
        <v/>
      </c>
      <c r="I816" s="3">
        <f>IF('ORDENES'!$A794="","",IF('ORDENES'!$D794="","-",'ORDENES'!$D794))</f>
        <v/>
      </c>
      <c r="J816" s="3">
        <f>IF('ORDENES'!$A794="","",IF('ORDENES'!$E794="","-",'ORDENES'!$E794))</f>
        <v/>
      </c>
      <c r="K816" s="12">
        <f>IF('ORDENES'!$A794="","",IF('ORDENES'!$N794="",0,'ORDENES'!$N794))</f>
        <v/>
      </c>
      <c r="L816" s="3">
        <f>IF('ORDENES'!$A794="","",IF('ORDENES'!$O794="","-",'ORDENES'!$O794))</f>
        <v/>
      </c>
      <c r="M816" s="3">
        <f>IF('ORDENES'!$A794="","",'ORDENES'!$AB794)</f>
        <v/>
      </c>
    </row>
    <row r="817">
      <c r="A817" s="3">
        <f>IF('ORDENES'!$A795="","",IF('ORDENES'!$P795="","-",'ORDENES'!$P795))</f>
        <v/>
      </c>
      <c r="B817" s="3">
        <f>IF('ORDENES'!$A795="","",IF('ORDENES'!$S795="","-",'ORDENES'!$S795))</f>
        <v/>
      </c>
      <c r="C817" s="3">
        <f>IF('ORDENES'!$A795="","",IF('ORDENES'!$AD795="","-",'ORDENES'!$AD795))</f>
        <v/>
      </c>
      <c r="D817" s="3">
        <f>IF('ORDENES'!$A795="","",IF('ORDENES'!$W795="","-",'ORDENES'!$W795))</f>
        <v/>
      </c>
      <c r="E817" s="3">
        <f>IF('ORDENES'!$A795="","",IF('ORDENES'!$V795="","-",'ORDENES'!$V795))</f>
        <v/>
      </c>
      <c r="F817" s="3">
        <f>IF('ORDENES'!$A795="","",IF('ORDENES'!$X795="","-",'ORDENES'!$X795))</f>
        <v/>
      </c>
      <c r="G817" s="3">
        <f>IF('ORDENES'!$A795="","",IF('ORDENES'!$AC795="","-",'ORDENES'!$AC795))</f>
        <v/>
      </c>
      <c r="H817" s="3">
        <f>IF('ORDENES'!$A795="","",IF('ORDENES'!$AO795="","-",'ORDENES'!$AO795))</f>
        <v/>
      </c>
      <c r="I817" s="3">
        <f>IF('ORDENES'!$A795="","",IF('ORDENES'!$D795="","-",'ORDENES'!$D795))</f>
        <v/>
      </c>
      <c r="J817" s="3">
        <f>IF('ORDENES'!$A795="","",IF('ORDENES'!$E795="","-",'ORDENES'!$E795))</f>
        <v/>
      </c>
      <c r="K817" s="12">
        <f>IF('ORDENES'!$A795="","",IF('ORDENES'!$N795="",0,'ORDENES'!$N795))</f>
        <v/>
      </c>
      <c r="L817" s="3">
        <f>IF('ORDENES'!$A795="","",IF('ORDENES'!$O795="","-",'ORDENES'!$O795))</f>
        <v/>
      </c>
      <c r="M817" s="3">
        <f>IF('ORDENES'!$A795="","",'ORDENES'!$AB795)</f>
        <v/>
      </c>
    </row>
    <row r="818">
      <c r="A818" s="3">
        <f>IF('ORDENES'!$A796="","",IF('ORDENES'!$P796="","-",'ORDENES'!$P796))</f>
        <v/>
      </c>
      <c r="B818" s="3">
        <f>IF('ORDENES'!$A796="","",IF('ORDENES'!$S796="","-",'ORDENES'!$S796))</f>
        <v/>
      </c>
      <c r="C818" s="3">
        <f>IF('ORDENES'!$A796="","",IF('ORDENES'!$AD796="","-",'ORDENES'!$AD796))</f>
        <v/>
      </c>
      <c r="D818" s="3">
        <f>IF('ORDENES'!$A796="","",IF('ORDENES'!$W796="","-",'ORDENES'!$W796))</f>
        <v/>
      </c>
      <c r="E818" s="3">
        <f>IF('ORDENES'!$A796="","",IF('ORDENES'!$V796="","-",'ORDENES'!$V796))</f>
        <v/>
      </c>
      <c r="F818" s="3">
        <f>IF('ORDENES'!$A796="","",IF('ORDENES'!$X796="","-",'ORDENES'!$X796))</f>
        <v/>
      </c>
      <c r="G818" s="3">
        <f>IF('ORDENES'!$A796="","",IF('ORDENES'!$AC796="","-",'ORDENES'!$AC796))</f>
        <v/>
      </c>
      <c r="H818" s="3">
        <f>IF('ORDENES'!$A796="","",IF('ORDENES'!$AO796="","-",'ORDENES'!$AO796))</f>
        <v/>
      </c>
      <c r="I818" s="3">
        <f>IF('ORDENES'!$A796="","",IF('ORDENES'!$D796="","-",'ORDENES'!$D796))</f>
        <v/>
      </c>
      <c r="J818" s="3">
        <f>IF('ORDENES'!$A796="","",IF('ORDENES'!$E796="","-",'ORDENES'!$E796))</f>
        <v/>
      </c>
      <c r="K818" s="12">
        <f>IF('ORDENES'!$A796="","",IF('ORDENES'!$N796="",0,'ORDENES'!$N796))</f>
        <v/>
      </c>
      <c r="L818" s="3">
        <f>IF('ORDENES'!$A796="","",IF('ORDENES'!$O796="","-",'ORDENES'!$O796))</f>
        <v/>
      </c>
      <c r="M818" s="3">
        <f>IF('ORDENES'!$A796="","",'ORDENES'!$AB796)</f>
        <v/>
      </c>
    </row>
    <row r="819">
      <c r="A819" s="3">
        <f>IF('ORDENES'!$A797="","",IF('ORDENES'!$P797="","-",'ORDENES'!$P797))</f>
        <v/>
      </c>
      <c r="B819" s="3">
        <f>IF('ORDENES'!$A797="","",IF('ORDENES'!$S797="","-",'ORDENES'!$S797))</f>
        <v/>
      </c>
      <c r="C819" s="3">
        <f>IF('ORDENES'!$A797="","",IF('ORDENES'!$AD797="","-",'ORDENES'!$AD797))</f>
        <v/>
      </c>
      <c r="D819" s="3">
        <f>IF('ORDENES'!$A797="","",IF('ORDENES'!$W797="","-",'ORDENES'!$W797))</f>
        <v/>
      </c>
      <c r="E819" s="3">
        <f>IF('ORDENES'!$A797="","",IF('ORDENES'!$V797="","-",'ORDENES'!$V797))</f>
        <v/>
      </c>
      <c r="F819" s="3">
        <f>IF('ORDENES'!$A797="","",IF('ORDENES'!$X797="","-",'ORDENES'!$X797))</f>
        <v/>
      </c>
      <c r="G819" s="3">
        <f>IF('ORDENES'!$A797="","",IF('ORDENES'!$AC797="","-",'ORDENES'!$AC797))</f>
        <v/>
      </c>
      <c r="H819" s="3">
        <f>IF('ORDENES'!$A797="","",IF('ORDENES'!$AO797="","-",'ORDENES'!$AO797))</f>
        <v/>
      </c>
      <c r="I819" s="3">
        <f>IF('ORDENES'!$A797="","",IF('ORDENES'!$D797="","-",'ORDENES'!$D797))</f>
        <v/>
      </c>
      <c r="J819" s="3">
        <f>IF('ORDENES'!$A797="","",IF('ORDENES'!$E797="","-",'ORDENES'!$E797))</f>
        <v/>
      </c>
      <c r="K819" s="12">
        <f>IF('ORDENES'!$A797="","",IF('ORDENES'!$N797="",0,'ORDENES'!$N797))</f>
        <v/>
      </c>
      <c r="L819" s="3">
        <f>IF('ORDENES'!$A797="","",IF('ORDENES'!$O797="","-",'ORDENES'!$O797))</f>
        <v/>
      </c>
      <c r="M819" s="3">
        <f>IF('ORDENES'!$A797="","",'ORDENES'!$AB797)</f>
        <v/>
      </c>
    </row>
    <row r="820">
      <c r="A820" s="3">
        <f>IF('ORDENES'!$A798="","",IF('ORDENES'!$P798="","-",'ORDENES'!$P798))</f>
        <v/>
      </c>
      <c r="B820" s="3">
        <f>IF('ORDENES'!$A798="","",IF('ORDENES'!$S798="","-",'ORDENES'!$S798))</f>
        <v/>
      </c>
      <c r="C820" s="3">
        <f>IF('ORDENES'!$A798="","",IF('ORDENES'!$AD798="","-",'ORDENES'!$AD798))</f>
        <v/>
      </c>
      <c r="D820" s="3">
        <f>IF('ORDENES'!$A798="","",IF('ORDENES'!$W798="","-",'ORDENES'!$W798))</f>
        <v/>
      </c>
      <c r="E820" s="3">
        <f>IF('ORDENES'!$A798="","",IF('ORDENES'!$V798="","-",'ORDENES'!$V798))</f>
        <v/>
      </c>
      <c r="F820" s="3">
        <f>IF('ORDENES'!$A798="","",IF('ORDENES'!$X798="","-",'ORDENES'!$X798))</f>
        <v/>
      </c>
      <c r="G820" s="3">
        <f>IF('ORDENES'!$A798="","",IF('ORDENES'!$AC798="","-",'ORDENES'!$AC798))</f>
        <v/>
      </c>
      <c r="H820" s="3">
        <f>IF('ORDENES'!$A798="","",IF('ORDENES'!$AO798="","-",'ORDENES'!$AO798))</f>
        <v/>
      </c>
      <c r="I820" s="3">
        <f>IF('ORDENES'!$A798="","",IF('ORDENES'!$D798="","-",'ORDENES'!$D798))</f>
        <v/>
      </c>
      <c r="J820" s="3">
        <f>IF('ORDENES'!$A798="","",IF('ORDENES'!$E798="","-",'ORDENES'!$E798))</f>
        <v/>
      </c>
      <c r="K820" s="12">
        <f>IF('ORDENES'!$A798="","",IF('ORDENES'!$N798="",0,'ORDENES'!$N798))</f>
        <v/>
      </c>
      <c r="L820" s="3">
        <f>IF('ORDENES'!$A798="","",IF('ORDENES'!$O798="","-",'ORDENES'!$O798))</f>
        <v/>
      </c>
      <c r="M820" s="3">
        <f>IF('ORDENES'!$A798="","",'ORDENES'!$AB798)</f>
        <v/>
      </c>
    </row>
    <row r="821">
      <c r="A821" s="3">
        <f>IF('ORDENES'!$A799="","",IF('ORDENES'!$P799="","-",'ORDENES'!$P799))</f>
        <v/>
      </c>
      <c r="B821" s="3">
        <f>IF('ORDENES'!$A799="","",IF('ORDENES'!$S799="","-",'ORDENES'!$S799))</f>
        <v/>
      </c>
      <c r="C821" s="3">
        <f>IF('ORDENES'!$A799="","",IF('ORDENES'!$AD799="","-",'ORDENES'!$AD799))</f>
        <v/>
      </c>
      <c r="D821" s="3">
        <f>IF('ORDENES'!$A799="","",IF('ORDENES'!$W799="","-",'ORDENES'!$W799))</f>
        <v/>
      </c>
      <c r="E821" s="3">
        <f>IF('ORDENES'!$A799="","",IF('ORDENES'!$V799="","-",'ORDENES'!$V799))</f>
        <v/>
      </c>
      <c r="F821" s="3">
        <f>IF('ORDENES'!$A799="","",IF('ORDENES'!$X799="","-",'ORDENES'!$X799))</f>
        <v/>
      </c>
      <c r="G821" s="3">
        <f>IF('ORDENES'!$A799="","",IF('ORDENES'!$AC799="","-",'ORDENES'!$AC799))</f>
        <v/>
      </c>
      <c r="H821" s="3">
        <f>IF('ORDENES'!$A799="","",IF('ORDENES'!$AO799="","-",'ORDENES'!$AO799))</f>
        <v/>
      </c>
      <c r="I821" s="3">
        <f>IF('ORDENES'!$A799="","",IF('ORDENES'!$D799="","-",'ORDENES'!$D799))</f>
        <v/>
      </c>
      <c r="J821" s="3">
        <f>IF('ORDENES'!$A799="","",IF('ORDENES'!$E799="","-",'ORDENES'!$E799))</f>
        <v/>
      </c>
      <c r="K821" s="12">
        <f>IF('ORDENES'!$A799="","",IF('ORDENES'!$N799="",0,'ORDENES'!$N799))</f>
        <v/>
      </c>
      <c r="L821" s="3">
        <f>IF('ORDENES'!$A799="","",IF('ORDENES'!$O799="","-",'ORDENES'!$O799))</f>
        <v/>
      </c>
      <c r="M821" s="3">
        <f>IF('ORDENES'!$A799="","",'ORDENES'!$AB799)</f>
        <v/>
      </c>
    </row>
    <row r="822">
      <c r="A822" s="3">
        <f>IF('ORDENES'!$A800="","",IF('ORDENES'!$P800="","-",'ORDENES'!$P800))</f>
        <v/>
      </c>
      <c r="B822" s="3">
        <f>IF('ORDENES'!$A800="","",IF('ORDENES'!$S800="","-",'ORDENES'!$S800))</f>
        <v/>
      </c>
      <c r="C822" s="3">
        <f>IF('ORDENES'!$A800="","",IF('ORDENES'!$AD800="","-",'ORDENES'!$AD800))</f>
        <v/>
      </c>
      <c r="D822" s="3">
        <f>IF('ORDENES'!$A800="","",IF('ORDENES'!$W800="","-",'ORDENES'!$W800))</f>
        <v/>
      </c>
      <c r="E822" s="3">
        <f>IF('ORDENES'!$A800="","",IF('ORDENES'!$V800="","-",'ORDENES'!$V800))</f>
        <v/>
      </c>
      <c r="F822" s="3">
        <f>IF('ORDENES'!$A800="","",IF('ORDENES'!$X800="","-",'ORDENES'!$X800))</f>
        <v/>
      </c>
      <c r="G822" s="3">
        <f>IF('ORDENES'!$A800="","",IF('ORDENES'!$AC800="","-",'ORDENES'!$AC800))</f>
        <v/>
      </c>
      <c r="H822" s="3">
        <f>IF('ORDENES'!$A800="","",IF('ORDENES'!$AO800="","-",'ORDENES'!$AO800))</f>
        <v/>
      </c>
      <c r="I822" s="3">
        <f>IF('ORDENES'!$A800="","",IF('ORDENES'!$D800="","-",'ORDENES'!$D800))</f>
        <v/>
      </c>
      <c r="J822" s="3">
        <f>IF('ORDENES'!$A800="","",IF('ORDENES'!$E800="","-",'ORDENES'!$E800))</f>
        <v/>
      </c>
      <c r="K822" s="12">
        <f>IF('ORDENES'!$A800="","",IF('ORDENES'!$N800="",0,'ORDENES'!$N800))</f>
        <v/>
      </c>
      <c r="L822" s="3">
        <f>IF('ORDENES'!$A800="","",IF('ORDENES'!$O800="","-",'ORDENES'!$O800))</f>
        <v/>
      </c>
      <c r="M822" s="3">
        <f>IF('ORDENES'!$A800="","",'ORDENES'!$AB800)</f>
        <v/>
      </c>
    </row>
    <row r="823">
      <c r="A823" s="3">
        <f>IF('ORDENES'!$A801="","",IF('ORDENES'!$P801="","-",'ORDENES'!$P801))</f>
        <v/>
      </c>
      <c r="B823" s="3">
        <f>IF('ORDENES'!$A801="","",IF('ORDENES'!$S801="","-",'ORDENES'!$S801))</f>
        <v/>
      </c>
      <c r="C823" s="3">
        <f>IF('ORDENES'!$A801="","",IF('ORDENES'!$AD801="","-",'ORDENES'!$AD801))</f>
        <v/>
      </c>
      <c r="D823" s="3">
        <f>IF('ORDENES'!$A801="","",IF('ORDENES'!$W801="","-",'ORDENES'!$W801))</f>
        <v/>
      </c>
      <c r="E823" s="3">
        <f>IF('ORDENES'!$A801="","",IF('ORDENES'!$V801="","-",'ORDENES'!$V801))</f>
        <v/>
      </c>
      <c r="F823" s="3">
        <f>IF('ORDENES'!$A801="","",IF('ORDENES'!$X801="","-",'ORDENES'!$X801))</f>
        <v/>
      </c>
      <c r="G823" s="3">
        <f>IF('ORDENES'!$A801="","",IF('ORDENES'!$AC801="","-",'ORDENES'!$AC801))</f>
        <v/>
      </c>
      <c r="H823" s="3">
        <f>IF('ORDENES'!$A801="","",IF('ORDENES'!$AO801="","-",'ORDENES'!$AO801))</f>
        <v/>
      </c>
      <c r="I823" s="3">
        <f>IF('ORDENES'!$A801="","",IF('ORDENES'!$D801="","-",'ORDENES'!$D801))</f>
        <v/>
      </c>
      <c r="J823" s="3">
        <f>IF('ORDENES'!$A801="","",IF('ORDENES'!$E801="","-",'ORDENES'!$E801))</f>
        <v/>
      </c>
      <c r="K823" s="12">
        <f>IF('ORDENES'!$A801="","",IF('ORDENES'!$N801="",0,'ORDENES'!$N801))</f>
        <v/>
      </c>
      <c r="L823" s="3">
        <f>IF('ORDENES'!$A801="","",IF('ORDENES'!$O801="","-",'ORDENES'!$O801))</f>
        <v/>
      </c>
      <c r="M823" s="3">
        <f>IF('ORDENES'!$A801="","",'ORDENES'!$AB801)</f>
        <v/>
      </c>
    </row>
    <row r="824">
      <c r="A824" s="3">
        <f>IF('ORDENES'!$A802="","",IF('ORDENES'!$P802="","-",'ORDENES'!$P802))</f>
        <v/>
      </c>
      <c r="B824" s="3">
        <f>IF('ORDENES'!$A802="","",IF('ORDENES'!$S802="","-",'ORDENES'!$S802))</f>
        <v/>
      </c>
      <c r="C824" s="3">
        <f>IF('ORDENES'!$A802="","",IF('ORDENES'!$AD802="","-",'ORDENES'!$AD802))</f>
        <v/>
      </c>
      <c r="D824" s="3">
        <f>IF('ORDENES'!$A802="","",IF('ORDENES'!$W802="","-",'ORDENES'!$W802))</f>
        <v/>
      </c>
      <c r="E824" s="3">
        <f>IF('ORDENES'!$A802="","",IF('ORDENES'!$V802="","-",'ORDENES'!$V802))</f>
        <v/>
      </c>
      <c r="F824" s="3">
        <f>IF('ORDENES'!$A802="","",IF('ORDENES'!$X802="","-",'ORDENES'!$X802))</f>
        <v/>
      </c>
      <c r="G824" s="3">
        <f>IF('ORDENES'!$A802="","",IF('ORDENES'!$AC802="","-",'ORDENES'!$AC802))</f>
        <v/>
      </c>
      <c r="H824" s="3">
        <f>IF('ORDENES'!$A802="","",IF('ORDENES'!$AO802="","-",'ORDENES'!$AO802))</f>
        <v/>
      </c>
      <c r="I824" s="3">
        <f>IF('ORDENES'!$A802="","",IF('ORDENES'!$D802="","-",'ORDENES'!$D802))</f>
        <v/>
      </c>
      <c r="J824" s="3">
        <f>IF('ORDENES'!$A802="","",IF('ORDENES'!$E802="","-",'ORDENES'!$E802))</f>
        <v/>
      </c>
      <c r="K824" s="12">
        <f>IF('ORDENES'!$A802="","",IF('ORDENES'!$N802="",0,'ORDENES'!$N802))</f>
        <v/>
      </c>
      <c r="L824" s="3">
        <f>IF('ORDENES'!$A802="","",IF('ORDENES'!$O802="","-",'ORDENES'!$O802))</f>
        <v/>
      </c>
      <c r="M824" s="3">
        <f>IF('ORDENES'!$A802="","",'ORDENES'!$AB802)</f>
        <v/>
      </c>
    </row>
    <row r="825">
      <c r="A825" s="3">
        <f>IF('ORDENES'!$A803="","",IF('ORDENES'!$P803="","-",'ORDENES'!$P803))</f>
        <v/>
      </c>
      <c r="B825" s="3">
        <f>IF('ORDENES'!$A803="","",IF('ORDENES'!$S803="","-",'ORDENES'!$S803))</f>
        <v/>
      </c>
      <c r="C825" s="3">
        <f>IF('ORDENES'!$A803="","",IF('ORDENES'!$AD803="","-",'ORDENES'!$AD803))</f>
        <v/>
      </c>
      <c r="D825" s="3">
        <f>IF('ORDENES'!$A803="","",IF('ORDENES'!$W803="","-",'ORDENES'!$W803))</f>
        <v/>
      </c>
      <c r="E825" s="3">
        <f>IF('ORDENES'!$A803="","",IF('ORDENES'!$V803="","-",'ORDENES'!$V803))</f>
        <v/>
      </c>
      <c r="F825" s="3">
        <f>IF('ORDENES'!$A803="","",IF('ORDENES'!$X803="","-",'ORDENES'!$X803))</f>
        <v/>
      </c>
      <c r="G825" s="3">
        <f>IF('ORDENES'!$A803="","",IF('ORDENES'!$AC803="","-",'ORDENES'!$AC803))</f>
        <v/>
      </c>
      <c r="H825" s="3">
        <f>IF('ORDENES'!$A803="","",IF('ORDENES'!$AO803="","-",'ORDENES'!$AO803))</f>
        <v/>
      </c>
      <c r="I825" s="3">
        <f>IF('ORDENES'!$A803="","",IF('ORDENES'!$D803="","-",'ORDENES'!$D803))</f>
        <v/>
      </c>
      <c r="J825" s="3">
        <f>IF('ORDENES'!$A803="","",IF('ORDENES'!$E803="","-",'ORDENES'!$E803))</f>
        <v/>
      </c>
      <c r="K825" s="12">
        <f>IF('ORDENES'!$A803="","",IF('ORDENES'!$N803="",0,'ORDENES'!$N803))</f>
        <v/>
      </c>
      <c r="L825" s="3">
        <f>IF('ORDENES'!$A803="","",IF('ORDENES'!$O803="","-",'ORDENES'!$O803))</f>
        <v/>
      </c>
      <c r="M825" s="3">
        <f>IF('ORDENES'!$A803="","",'ORDENES'!$AB803)</f>
        <v/>
      </c>
    </row>
    <row r="826">
      <c r="A826" s="3">
        <f>IF('ORDENES'!$A804="","",IF('ORDENES'!$P804="","-",'ORDENES'!$P804))</f>
        <v/>
      </c>
      <c r="B826" s="3">
        <f>IF('ORDENES'!$A804="","",IF('ORDENES'!$S804="","-",'ORDENES'!$S804))</f>
        <v/>
      </c>
      <c r="C826" s="3">
        <f>IF('ORDENES'!$A804="","",IF('ORDENES'!$AD804="","-",'ORDENES'!$AD804))</f>
        <v/>
      </c>
      <c r="D826" s="3">
        <f>IF('ORDENES'!$A804="","",IF('ORDENES'!$W804="","-",'ORDENES'!$W804))</f>
        <v/>
      </c>
      <c r="E826" s="3">
        <f>IF('ORDENES'!$A804="","",IF('ORDENES'!$V804="","-",'ORDENES'!$V804))</f>
        <v/>
      </c>
      <c r="F826" s="3">
        <f>IF('ORDENES'!$A804="","",IF('ORDENES'!$X804="","-",'ORDENES'!$X804))</f>
        <v/>
      </c>
      <c r="G826" s="3">
        <f>IF('ORDENES'!$A804="","",IF('ORDENES'!$AC804="","-",'ORDENES'!$AC804))</f>
        <v/>
      </c>
      <c r="H826" s="3">
        <f>IF('ORDENES'!$A804="","",IF('ORDENES'!$AO804="","-",'ORDENES'!$AO804))</f>
        <v/>
      </c>
      <c r="I826" s="3">
        <f>IF('ORDENES'!$A804="","",IF('ORDENES'!$D804="","-",'ORDENES'!$D804))</f>
        <v/>
      </c>
      <c r="J826" s="3">
        <f>IF('ORDENES'!$A804="","",IF('ORDENES'!$E804="","-",'ORDENES'!$E804))</f>
        <v/>
      </c>
      <c r="K826" s="12">
        <f>IF('ORDENES'!$A804="","",IF('ORDENES'!$N804="",0,'ORDENES'!$N804))</f>
        <v/>
      </c>
      <c r="L826" s="3">
        <f>IF('ORDENES'!$A804="","",IF('ORDENES'!$O804="","-",'ORDENES'!$O804))</f>
        <v/>
      </c>
      <c r="M826" s="3">
        <f>IF('ORDENES'!$A804="","",'ORDENES'!$AB804)</f>
        <v/>
      </c>
    </row>
    <row r="827">
      <c r="A827" s="3">
        <f>IF('ORDENES'!$A805="","",IF('ORDENES'!$P805="","-",'ORDENES'!$P805))</f>
        <v/>
      </c>
      <c r="B827" s="3">
        <f>IF('ORDENES'!$A805="","",IF('ORDENES'!$S805="","-",'ORDENES'!$S805))</f>
        <v/>
      </c>
      <c r="C827" s="3">
        <f>IF('ORDENES'!$A805="","",IF('ORDENES'!$AD805="","-",'ORDENES'!$AD805))</f>
        <v/>
      </c>
      <c r="D827" s="3">
        <f>IF('ORDENES'!$A805="","",IF('ORDENES'!$W805="","-",'ORDENES'!$W805))</f>
        <v/>
      </c>
      <c r="E827" s="3">
        <f>IF('ORDENES'!$A805="","",IF('ORDENES'!$V805="","-",'ORDENES'!$V805))</f>
        <v/>
      </c>
      <c r="F827" s="3">
        <f>IF('ORDENES'!$A805="","",IF('ORDENES'!$X805="","-",'ORDENES'!$X805))</f>
        <v/>
      </c>
      <c r="G827" s="3">
        <f>IF('ORDENES'!$A805="","",IF('ORDENES'!$AC805="","-",'ORDENES'!$AC805))</f>
        <v/>
      </c>
      <c r="H827" s="3">
        <f>IF('ORDENES'!$A805="","",IF('ORDENES'!$AO805="","-",'ORDENES'!$AO805))</f>
        <v/>
      </c>
      <c r="I827" s="3">
        <f>IF('ORDENES'!$A805="","",IF('ORDENES'!$D805="","-",'ORDENES'!$D805))</f>
        <v/>
      </c>
      <c r="J827" s="3">
        <f>IF('ORDENES'!$A805="","",IF('ORDENES'!$E805="","-",'ORDENES'!$E805))</f>
        <v/>
      </c>
      <c r="K827" s="12">
        <f>IF('ORDENES'!$A805="","",IF('ORDENES'!$N805="",0,'ORDENES'!$N805))</f>
        <v/>
      </c>
      <c r="L827" s="3">
        <f>IF('ORDENES'!$A805="","",IF('ORDENES'!$O805="","-",'ORDENES'!$O805))</f>
        <v/>
      </c>
      <c r="M827" s="3">
        <f>IF('ORDENES'!$A805="","",'ORDENES'!$AB805)</f>
        <v/>
      </c>
    </row>
    <row r="828">
      <c r="A828" s="3">
        <f>IF('ORDENES'!$A806="","",IF('ORDENES'!$P806="","-",'ORDENES'!$P806))</f>
        <v/>
      </c>
      <c r="B828" s="3">
        <f>IF('ORDENES'!$A806="","",IF('ORDENES'!$S806="","-",'ORDENES'!$S806))</f>
        <v/>
      </c>
      <c r="C828" s="3">
        <f>IF('ORDENES'!$A806="","",IF('ORDENES'!$AD806="","-",'ORDENES'!$AD806))</f>
        <v/>
      </c>
      <c r="D828" s="3">
        <f>IF('ORDENES'!$A806="","",IF('ORDENES'!$W806="","-",'ORDENES'!$W806))</f>
        <v/>
      </c>
      <c r="E828" s="3">
        <f>IF('ORDENES'!$A806="","",IF('ORDENES'!$V806="","-",'ORDENES'!$V806))</f>
        <v/>
      </c>
      <c r="F828" s="3">
        <f>IF('ORDENES'!$A806="","",IF('ORDENES'!$X806="","-",'ORDENES'!$X806))</f>
        <v/>
      </c>
      <c r="G828" s="3">
        <f>IF('ORDENES'!$A806="","",IF('ORDENES'!$AC806="","-",'ORDENES'!$AC806))</f>
        <v/>
      </c>
      <c r="H828" s="3">
        <f>IF('ORDENES'!$A806="","",IF('ORDENES'!$AO806="","-",'ORDENES'!$AO806))</f>
        <v/>
      </c>
      <c r="I828" s="3">
        <f>IF('ORDENES'!$A806="","",IF('ORDENES'!$D806="","-",'ORDENES'!$D806))</f>
        <v/>
      </c>
      <c r="J828" s="3">
        <f>IF('ORDENES'!$A806="","",IF('ORDENES'!$E806="","-",'ORDENES'!$E806))</f>
        <v/>
      </c>
      <c r="K828" s="12">
        <f>IF('ORDENES'!$A806="","",IF('ORDENES'!$N806="",0,'ORDENES'!$N806))</f>
        <v/>
      </c>
      <c r="L828" s="3">
        <f>IF('ORDENES'!$A806="","",IF('ORDENES'!$O806="","-",'ORDENES'!$O806))</f>
        <v/>
      </c>
      <c r="M828" s="3">
        <f>IF('ORDENES'!$A806="","",'ORDENES'!$AB806)</f>
        <v/>
      </c>
    </row>
    <row r="829">
      <c r="A829" s="3">
        <f>IF('ORDENES'!$A807="","",IF('ORDENES'!$P807="","-",'ORDENES'!$P807))</f>
        <v/>
      </c>
      <c r="B829" s="3">
        <f>IF('ORDENES'!$A807="","",IF('ORDENES'!$S807="","-",'ORDENES'!$S807))</f>
        <v/>
      </c>
      <c r="C829" s="3">
        <f>IF('ORDENES'!$A807="","",IF('ORDENES'!$AD807="","-",'ORDENES'!$AD807))</f>
        <v/>
      </c>
      <c r="D829" s="3">
        <f>IF('ORDENES'!$A807="","",IF('ORDENES'!$W807="","-",'ORDENES'!$W807))</f>
        <v/>
      </c>
      <c r="E829" s="3">
        <f>IF('ORDENES'!$A807="","",IF('ORDENES'!$V807="","-",'ORDENES'!$V807))</f>
        <v/>
      </c>
      <c r="F829" s="3">
        <f>IF('ORDENES'!$A807="","",IF('ORDENES'!$X807="","-",'ORDENES'!$X807))</f>
        <v/>
      </c>
      <c r="G829" s="3">
        <f>IF('ORDENES'!$A807="","",IF('ORDENES'!$AC807="","-",'ORDENES'!$AC807))</f>
        <v/>
      </c>
      <c r="H829" s="3">
        <f>IF('ORDENES'!$A807="","",IF('ORDENES'!$AO807="","-",'ORDENES'!$AO807))</f>
        <v/>
      </c>
      <c r="I829" s="3">
        <f>IF('ORDENES'!$A807="","",IF('ORDENES'!$D807="","-",'ORDENES'!$D807))</f>
        <v/>
      </c>
      <c r="J829" s="3">
        <f>IF('ORDENES'!$A807="","",IF('ORDENES'!$E807="","-",'ORDENES'!$E807))</f>
        <v/>
      </c>
      <c r="K829" s="12">
        <f>IF('ORDENES'!$A807="","",IF('ORDENES'!$N807="",0,'ORDENES'!$N807))</f>
        <v/>
      </c>
      <c r="L829" s="3">
        <f>IF('ORDENES'!$A807="","",IF('ORDENES'!$O807="","-",'ORDENES'!$O807))</f>
        <v/>
      </c>
      <c r="M829" s="3">
        <f>IF('ORDENES'!$A807="","",'ORDENES'!$AB807)</f>
        <v/>
      </c>
    </row>
    <row r="830">
      <c r="A830" s="3">
        <f>IF('ORDENES'!$A808="","",IF('ORDENES'!$P808="","-",'ORDENES'!$P808))</f>
        <v/>
      </c>
      <c r="B830" s="3">
        <f>IF('ORDENES'!$A808="","",IF('ORDENES'!$S808="","-",'ORDENES'!$S808))</f>
        <v/>
      </c>
      <c r="C830" s="3">
        <f>IF('ORDENES'!$A808="","",IF('ORDENES'!$AD808="","-",'ORDENES'!$AD808))</f>
        <v/>
      </c>
      <c r="D830" s="3">
        <f>IF('ORDENES'!$A808="","",IF('ORDENES'!$W808="","-",'ORDENES'!$W808))</f>
        <v/>
      </c>
      <c r="E830" s="3">
        <f>IF('ORDENES'!$A808="","",IF('ORDENES'!$V808="","-",'ORDENES'!$V808))</f>
        <v/>
      </c>
      <c r="F830" s="3">
        <f>IF('ORDENES'!$A808="","",IF('ORDENES'!$X808="","-",'ORDENES'!$X808))</f>
        <v/>
      </c>
      <c r="G830" s="3">
        <f>IF('ORDENES'!$A808="","",IF('ORDENES'!$AC808="","-",'ORDENES'!$AC808))</f>
        <v/>
      </c>
      <c r="H830" s="3">
        <f>IF('ORDENES'!$A808="","",IF('ORDENES'!$AO808="","-",'ORDENES'!$AO808))</f>
        <v/>
      </c>
      <c r="I830" s="3">
        <f>IF('ORDENES'!$A808="","",IF('ORDENES'!$D808="","-",'ORDENES'!$D808))</f>
        <v/>
      </c>
      <c r="J830" s="3">
        <f>IF('ORDENES'!$A808="","",IF('ORDENES'!$E808="","-",'ORDENES'!$E808))</f>
        <v/>
      </c>
      <c r="K830" s="12">
        <f>IF('ORDENES'!$A808="","",IF('ORDENES'!$N808="",0,'ORDENES'!$N808))</f>
        <v/>
      </c>
      <c r="L830" s="3">
        <f>IF('ORDENES'!$A808="","",IF('ORDENES'!$O808="","-",'ORDENES'!$O808))</f>
        <v/>
      </c>
      <c r="M830" s="3">
        <f>IF('ORDENES'!$A808="","",'ORDENES'!$AB808)</f>
        <v/>
      </c>
    </row>
    <row r="831">
      <c r="A831" s="3">
        <f>IF('ORDENES'!$A809="","",IF('ORDENES'!$P809="","-",'ORDENES'!$P809))</f>
        <v/>
      </c>
      <c r="B831" s="3">
        <f>IF('ORDENES'!$A809="","",IF('ORDENES'!$S809="","-",'ORDENES'!$S809))</f>
        <v/>
      </c>
      <c r="C831" s="3">
        <f>IF('ORDENES'!$A809="","",IF('ORDENES'!$AD809="","-",'ORDENES'!$AD809))</f>
        <v/>
      </c>
      <c r="D831" s="3">
        <f>IF('ORDENES'!$A809="","",IF('ORDENES'!$W809="","-",'ORDENES'!$W809))</f>
        <v/>
      </c>
      <c r="E831" s="3">
        <f>IF('ORDENES'!$A809="","",IF('ORDENES'!$V809="","-",'ORDENES'!$V809))</f>
        <v/>
      </c>
      <c r="F831" s="3">
        <f>IF('ORDENES'!$A809="","",IF('ORDENES'!$X809="","-",'ORDENES'!$X809))</f>
        <v/>
      </c>
      <c r="G831" s="3">
        <f>IF('ORDENES'!$A809="","",IF('ORDENES'!$AC809="","-",'ORDENES'!$AC809))</f>
        <v/>
      </c>
      <c r="H831" s="3">
        <f>IF('ORDENES'!$A809="","",IF('ORDENES'!$AO809="","-",'ORDENES'!$AO809))</f>
        <v/>
      </c>
      <c r="I831" s="3">
        <f>IF('ORDENES'!$A809="","",IF('ORDENES'!$D809="","-",'ORDENES'!$D809))</f>
        <v/>
      </c>
      <c r="J831" s="3">
        <f>IF('ORDENES'!$A809="","",IF('ORDENES'!$E809="","-",'ORDENES'!$E809))</f>
        <v/>
      </c>
      <c r="K831" s="12">
        <f>IF('ORDENES'!$A809="","",IF('ORDENES'!$N809="",0,'ORDENES'!$N809))</f>
        <v/>
      </c>
      <c r="L831" s="3">
        <f>IF('ORDENES'!$A809="","",IF('ORDENES'!$O809="","-",'ORDENES'!$O809))</f>
        <v/>
      </c>
      <c r="M831" s="3">
        <f>IF('ORDENES'!$A809="","",'ORDENES'!$AB809)</f>
        <v/>
      </c>
    </row>
    <row r="832">
      <c r="A832" s="3">
        <f>IF('ORDENES'!$A810="","",IF('ORDENES'!$P810="","-",'ORDENES'!$P810))</f>
        <v/>
      </c>
      <c r="B832" s="3">
        <f>IF('ORDENES'!$A810="","",IF('ORDENES'!$S810="","-",'ORDENES'!$S810))</f>
        <v/>
      </c>
      <c r="C832" s="3">
        <f>IF('ORDENES'!$A810="","",IF('ORDENES'!$AD810="","-",'ORDENES'!$AD810))</f>
        <v/>
      </c>
      <c r="D832" s="3">
        <f>IF('ORDENES'!$A810="","",IF('ORDENES'!$W810="","-",'ORDENES'!$W810))</f>
        <v/>
      </c>
      <c r="E832" s="3">
        <f>IF('ORDENES'!$A810="","",IF('ORDENES'!$V810="","-",'ORDENES'!$V810))</f>
        <v/>
      </c>
      <c r="F832" s="3">
        <f>IF('ORDENES'!$A810="","",IF('ORDENES'!$X810="","-",'ORDENES'!$X810))</f>
        <v/>
      </c>
      <c r="G832" s="3">
        <f>IF('ORDENES'!$A810="","",IF('ORDENES'!$AC810="","-",'ORDENES'!$AC810))</f>
        <v/>
      </c>
      <c r="H832" s="3">
        <f>IF('ORDENES'!$A810="","",IF('ORDENES'!$AO810="","-",'ORDENES'!$AO810))</f>
        <v/>
      </c>
      <c r="I832" s="3">
        <f>IF('ORDENES'!$A810="","",IF('ORDENES'!$D810="","-",'ORDENES'!$D810))</f>
        <v/>
      </c>
      <c r="J832" s="3">
        <f>IF('ORDENES'!$A810="","",IF('ORDENES'!$E810="","-",'ORDENES'!$E810))</f>
        <v/>
      </c>
      <c r="K832" s="12">
        <f>IF('ORDENES'!$A810="","",IF('ORDENES'!$N810="",0,'ORDENES'!$N810))</f>
        <v/>
      </c>
      <c r="L832" s="3">
        <f>IF('ORDENES'!$A810="","",IF('ORDENES'!$O810="","-",'ORDENES'!$O810))</f>
        <v/>
      </c>
      <c r="M832" s="3">
        <f>IF('ORDENES'!$A810="","",'ORDENES'!$AB810)</f>
        <v/>
      </c>
    </row>
    <row r="833">
      <c r="A833" s="3">
        <f>IF('ORDENES'!$A811="","",IF('ORDENES'!$P811="","-",'ORDENES'!$P811))</f>
        <v/>
      </c>
      <c r="B833" s="3">
        <f>IF('ORDENES'!$A811="","",IF('ORDENES'!$S811="","-",'ORDENES'!$S811))</f>
        <v/>
      </c>
      <c r="C833" s="3">
        <f>IF('ORDENES'!$A811="","",IF('ORDENES'!$AD811="","-",'ORDENES'!$AD811))</f>
        <v/>
      </c>
      <c r="D833" s="3">
        <f>IF('ORDENES'!$A811="","",IF('ORDENES'!$W811="","-",'ORDENES'!$W811))</f>
        <v/>
      </c>
      <c r="E833" s="3">
        <f>IF('ORDENES'!$A811="","",IF('ORDENES'!$V811="","-",'ORDENES'!$V811))</f>
        <v/>
      </c>
      <c r="F833" s="3">
        <f>IF('ORDENES'!$A811="","",IF('ORDENES'!$X811="","-",'ORDENES'!$X811))</f>
        <v/>
      </c>
      <c r="G833" s="3">
        <f>IF('ORDENES'!$A811="","",IF('ORDENES'!$AC811="","-",'ORDENES'!$AC811))</f>
        <v/>
      </c>
      <c r="H833" s="3">
        <f>IF('ORDENES'!$A811="","",IF('ORDENES'!$AO811="","-",'ORDENES'!$AO811))</f>
        <v/>
      </c>
      <c r="I833" s="3">
        <f>IF('ORDENES'!$A811="","",IF('ORDENES'!$D811="","-",'ORDENES'!$D811))</f>
        <v/>
      </c>
      <c r="J833" s="3">
        <f>IF('ORDENES'!$A811="","",IF('ORDENES'!$E811="","-",'ORDENES'!$E811))</f>
        <v/>
      </c>
      <c r="K833" s="12">
        <f>IF('ORDENES'!$A811="","",IF('ORDENES'!$N811="",0,'ORDENES'!$N811))</f>
        <v/>
      </c>
      <c r="L833" s="3">
        <f>IF('ORDENES'!$A811="","",IF('ORDENES'!$O811="","-",'ORDENES'!$O811))</f>
        <v/>
      </c>
      <c r="M833" s="3">
        <f>IF('ORDENES'!$A811="","",'ORDENES'!$AB811)</f>
        <v/>
      </c>
    </row>
    <row r="834">
      <c r="A834" s="3">
        <f>IF('ORDENES'!$A812="","",IF('ORDENES'!$P812="","-",'ORDENES'!$P812))</f>
        <v/>
      </c>
      <c r="B834" s="3">
        <f>IF('ORDENES'!$A812="","",IF('ORDENES'!$S812="","-",'ORDENES'!$S812))</f>
        <v/>
      </c>
      <c r="C834" s="3">
        <f>IF('ORDENES'!$A812="","",IF('ORDENES'!$AD812="","-",'ORDENES'!$AD812))</f>
        <v/>
      </c>
      <c r="D834" s="3">
        <f>IF('ORDENES'!$A812="","",IF('ORDENES'!$W812="","-",'ORDENES'!$W812))</f>
        <v/>
      </c>
      <c r="E834" s="3">
        <f>IF('ORDENES'!$A812="","",IF('ORDENES'!$V812="","-",'ORDENES'!$V812))</f>
        <v/>
      </c>
      <c r="F834" s="3">
        <f>IF('ORDENES'!$A812="","",IF('ORDENES'!$X812="","-",'ORDENES'!$X812))</f>
        <v/>
      </c>
      <c r="G834" s="3">
        <f>IF('ORDENES'!$A812="","",IF('ORDENES'!$AC812="","-",'ORDENES'!$AC812))</f>
        <v/>
      </c>
      <c r="H834" s="3">
        <f>IF('ORDENES'!$A812="","",IF('ORDENES'!$AO812="","-",'ORDENES'!$AO812))</f>
        <v/>
      </c>
      <c r="I834" s="3">
        <f>IF('ORDENES'!$A812="","",IF('ORDENES'!$D812="","-",'ORDENES'!$D812))</f>
        <v/>
      </c>
      <c r="J834" s="3">
        <f>IF('ORDENES'!$A812="","",IF('ORDENES'!$E812="","-",'ORDENES'!$E812))</f>
        <v/>
      </c>
      <c r="K834" s="12">
        <f>IF('ORDENES'!$A812="","",IF('ORDENES'!$N812="",0,'ORDENES'!$N812))</f>
        <v/>
      </c>
      <c r="L834" s="3">
        <f>IF('ORDENES'!$A812="","",IF('ORDENES'!$O812="","-",'ORDENES'!$O812))</f>
        <v/>
      </c>
      <c r="M834" s="3">
        <f>IF('ORDENES'!$A812="","",'ORDENES'!$AB812)</f>
        <v/>
      </c>
    </row>
    <row r="835">
      <c r="A835" s="3">
        <f>IF('ORDENES'!$A813="","",IF('ORDENES'!$P813="","-",'ORDENES'!$P813))</f>
        <v/>
      </c>
      <c r="B835" s="3">
        <f>IF('ORDENES'!$A813="","",IF('ORDENES'!$S813="","-",'ORDENES'!$S813))</f>
        <v/>
      </c>
      <c r="C835" s="3">
        <f>IF('ORDENES'!$A813="","",IF('ORDENES'!$AD813="","-",'ORDENES'!$AD813))</f>
        <v/>
      </c>
      <c r="D835" s="3">
        <f>IF('ORDENES'!$A813="","",IF('ORDENES'!$W813="","-",'ORDENES'!$W813))</f>
        <v/>
      </c>
      <c r="E835" s="3">
        <f>IF('ORDENES'!$A813="","",IF('ORDENES'!$V813="","-",'ORDENES'!$V813))</f>
        <v/>
      </c>
      <c r="F835" s="3">
        <f>IF('ORDENES'!$A813="","",IF('ORDENES'!$X813="","-",'ORDENES'!$X813))</f>
        <v/>
      </c>
      <c r="G835" s="3">
        <f>IF('ORDENES'!$A813="","",IF('ORDENES'!$AC813="","-",'ORDENES'!$AC813))</f>
        <v/>
      </c>
      <c r="H835" s="3">
        <f>IF('ORDENES'!$A813="","",IF('ORDENES'!$AO813="","-",'ORDENES'!$AO813))</f>
        <v/>
      </c>
      <c r="I835" s="3">
        <f>IF('ORDENES'!$A813="","",IF('ORDENES'!$D813="","-",'ORDENES'!$D813))</f>
        <v/>
      </c>
      <c r="J835" s="3">
        <f>IF('ORDENES'!$A813="","",IF('ORDENES'!$E813="","-",'ORDENES'!$E813))</f>
        <v/>
      </c>
      <c r="K835" s="12">
        <f>IF('ORDENES'!$A813="","",IF('ORDENES'!$N813="",0,'ORDENES'!$N813))</f>
        <v/>
      </c>
      <c r="L835" s="3">
        <f>IF('ORDENES'!$A813="","",IF('ORDENES'!$O813="","-",'ORDENES'!$O813))</f>
        <v/>
      </c>
      <c r="M835" s="3">
        <f>IF('ORDENES'!$A813="","",'ORDENES'!$AB813)</f>
        <v/>
      </c>
    </row>
    <row r="836">
      <c r="A836" s="3">
        <f>IF('ORDENES'!$A814="","",IF('ORDENES'!$P814="","-",'ORDENES'!$P814))</f>
        <v/>
      </c>
      <c r="B836" s="3">
        <f>IF('ORDENES'!$A814="","",IF('ORDENES'!$S814="","-",'ORDENES'!$S814))</f>
        <v/>
      </c>
      <c r="C836" s="3">
        <f>IF('ORDENES'!$A814="","",IF('ORDENES'!$AD814="","-",'ORDENES'!$AD814))</f>
        <v/>
      </c>
      <c r="D836" s="3">
        <f>IF('ORDENES'!$A814="","",IF('ORDENES'!$W814="","-",'ORDENES'!$W814))</f>
        <v/>
      </c>
      <c r="E836" s="3">
        <f>IF('ORDENES'!$A814="","",IF('ORDENES'!$V814="","-",'ORDENES'!$V814))</f>
        <v/>
      </c>
      <c r="F836" s="3">
        <f>IF('ORDENES'!$A814="","",IF('ORDENES'!$X814="","-",'ORDENES'!$X814))</f>
        <v/>
      </c>
      <c r="G836" s="3">
        <f>IF('ORDENES'!$A814="","",IF('ORDENES'!$AC814="","-",'ORDENES'!$AC814))</f>
        <v/>
      </c>
      <c r="H836" s="3">
        <f>IF('ORDENES'!$A814="","",IF('ORDENES'!$AO814="","-",'ORDENES'!$AO814))</f>
        <v/>
      </c>
      <c r="I836" s="3">
        <f>IF('ORDENES'!$A814="","",IF('ORDENES'!$D814="","-",'ORDENES'!$D814))</f>
        <v/>
      </c>
      <c r="J836" s="3">
        <f>IF('ORDENES'!$A814="","",IF('ORDENES'!$E814="","-",'ORDENES'!$E814))</f>
        <v/>
      </c>
      <c r="K836" s="12">
        <f>IF('ORDENES'!$A814="","",IF('ORDENES'!$N814="",0,'ORDENES'!$N814))</f>
        <v/>
      </c>
      <c r="L836" s="3">
        <f>IF('ORDENES'!$A814="","",IF('ORDENES'!$O814="","-",'ORDENES'!$O814))</f>
        <v/>
      </c>
      <c r="M836" s="3">
        <f>IF('ORDENES'!$A814="","",'ORDENES'!$AB814)</f>
        <v/>
      </c>
    </row>
    <row r="837">
      <c r="A837" s="3">
        <f>IF('ORDENES'!$A815="","",IF('ORDENES'!$P815="","-",'ORDENES'!$P815))</f>
        <v/>
      </c>
      <c r="B837" s="3">
        <f>IF('ORDENES'!$A815="","",IF('ORDENES'!$S815="","-",'ORDENES'!$S815))</f>
        <v/>
      </c>
      <c r="C837" s="3">
        <f>IF('ORDENES'!$A815="","",IF('ORDENES'!$AD815="","-",'ORDENES'!$AD815))</f>
        <v/>
      </c>
      <c r="D837" s="3">
        <f>IF('ORDENES'!$A815="","",IF('ORDENES'!$W815="","-",'ORDENES'!$W815))</f>
        <v/>
      </c>
      <c r="E837" s="3">
        <f>IF('ORDENES'!$A815="","",IF('ORDENES'!$V815="","-",'ORDENES'!$V815))</f>
        <v/>
      </c>
      <c r="F837" s="3">
        <f>IF('ORDENES'!$A815="","",IF('ORDENES'!$X815="","-",'ORDENES'!$X815))</f>
        <v/>
      </c>
      <c r="G837" s="3">
        <f>IF('ORDENES'!$A815="","",IF('ORDENES'!$AC815="","-",'ORDENES'!$AC815))</f>
        <v/>
      </c>
      <c r="H837" s="3">
        <f>IF('ORDENES'!$A815="","",IF('ORDENES'!$AO815="","-",'ORDENES'!$AO815))</f>
        <v/>
      </c>
      <c r="I837" s="3">
        <f>IF('ORDENES'!$A815="","",IF('ORDENES'!$D815="","-",'ORDENES'!$D815))</f>
        <v/>
      </c>
      <c r="J837" s="3">
        <f>IF('ORDENES'!$A815="","",IF('ORDENES'!$E815="","-",'ORDENES'!$E815))</f>
        <v/>
      </c>
      <c r="K837" s="12">
        <f>IF('ORDENES'!$A815="","",IF('ORDENES'!$N815="",0,'ORDENES'!$N815))</f>
        <v/>
      </c>
      <c r="L837" s="3">
        <f>IF('ORDENES'!$A815="","",IF('ORDENES'!$O815="","-",'ORDENES'!$O815))</f>
        <v/>
      </c>
      <c r="M837" s="3">
        <f>IF('ORDENES'!$A815="","",'ORDENES'!$AB815)</f>
        <v/>
      </c>
    </row>
    <row r="838">
      <c r="A838" s="3">
        <f>IF('ORDENES'!$A816="","",IF('ORDENES'!$P816="","-",'ORDENES'!$P816))</f>
        <v/>
      </c>
      <c r="B838" s="3">
        <f>IF('ORDENES'!$A816="","",IF('ORDENES'!$S816="","-",'ORDENES'!$S816))</f>
        <v/>
      </c>
      <c r="C838" s="3">
        <f>IF('ORDENES'!$A816="","",IF('ORDENES'!$AD816="","-",'ORDENES'!$AD816))</f>
        <v/>
      </c>
      <c r="D838" s="3">
        <f>IF('ORDENES'!$A816="","",IF('ORDENES'!$W816="","-",'ORDENES'!$W816))</f>
        <v/>
      </c>
      <c r="E838" s="3">
        <f>IF('ORDENES'!$A816="","",IF('ORDENES'!$V816="","-",'ORDENES'!$V816))</f>
        <v/>
      </c>
      <c r="F838" s="3">
        <f>IF('ORDENES'!$A816="","",IF('ORDENES'!$X816="","-",'ORDENES'!$X816))</f>
        <v/>
      </c>
      <c r="G838" s="3">
        <f>IF('ORDENES'!$A816="","",IF('ORDENES'!$AC816="","-",'ORDENES'!$AC816))</f>
        <v/>
      </c>
      <c r="H838" s="3">
        <f>IF('ORDENES'!$A816="","",IF('ORDENES'!$AO816="","-",'ORDENES'!$AO816))</f>
        <v/>
      </c>
      <c r="I838" s="3">
        <f>IF('ORDENES'!$A816="","",IF('ORDENES'!$D816="","-",'ORDENES'!$D816))</f>
        <v/>
      </c>
      <c r="J838" s="3">
        <f>IF('ORDENES'!$A816="","",IF('ORDENES'!$E816="","-",'ORDENES'!$E816))</f>
        <v/>
      </c>
      <c r="K838" s="12">
        <f>IF('ORDENES'!$A816="","",IF('ORDENES'!$N816="",0,'ORDENES'!$N816))</f>
        <v/>
      </c>
      <c r="L838" s="3">
        <f>IF('ORDENES'!$A816="","",IF('ORDENES'!$O816="","-",'ORDENES'!$O816))</f>
        <v/>
      </c>
      <c r="M838" s="3">
        <f>IF('ORDENES'!$A816="","",'ORDENES'!$AB816)</f>
        <v/>
      </c>
    </row>
    <row r="839">
      <c r="A839" s="3">
        <f>IF('ORDENES'!$A817="","",IF('ORDENES'!$P817="","-",'ORDENES'!$P817))</f>
        <v/>
      </c>
      <c r="B839" s="3">
        <f>IF('ORDENES'!$A817="","",IF('ORDENES'!$S817="","-",'ORDENES'!$S817))</f>
        <v/>
      </c>
      <c r="C839" s="3">
        <f>IF('ORDENES'!$A817="","",IF('ORDENES'!$AD817="","-",'ORDENES'!$AD817))</f>
        <v/>
      </c>
      <c r="D839" s="3">
        <f>IF('ORDENES'!$A817="","",IF('ORDENES'!$W817="","-",'ORDENES'!$W817))</f>
        <v/>
      </c>
      <c r="E839" s="3">
        <f>IF('ORDENES'!$A817="","",IF('ORDENES'!$V817="","-",'ORDENES'!$V817))</f>
        <v/>
      </c>
      <c r="F839" s="3">
        <f>IF('ORDENES'!$A817="","",IF('ORDENES'!$X817="","-",'ORDENES'!$X817))</f>
        <v/>
      </c>
      <c r="G839" s="3">
        <f>IF('ORDENES'!$A817="","",IF('ORDENES'!$AC817="","-",'ORDENES'!$AC817))</f>
        <v/>
      </c>
      <c r="H839" s="3">
        <f>IF('ORDENES'!$A817="","",IF('ORDENES'!$AO817="","-",'ORDENES'!$AO817))</f>
        <v/>
      </c>
      <c r="I839" s="3">
        <f>IF('ORDENES'!$A817="","",IF('ORDENES'!$D817="","-",'ORDENES'!$D817))</f>
        <v/>
      </c>
      <c r="J839" s="3">
        <f>IF('ORDENES'!$A817="","",IF('ORDENES'!$E817="","-",'ORDENES'!$E817))</f>
        <v/>
      </c>
      <c r="K839" s="12">
        <f>IF('ORDENES'!$A817="","",IF('ORDENES'!$N817="",0,'ORDENES'!$N817))</f>
        <v/>
      </c>
      <c r="L839" s="3">
        <f>IF('ORDENES'!$A817="","",IF('ORDENES'!$O817="","-",'ORDENES'!$O817))</f>
        <v/>
      </c>
      <c r="M839" s="3">
        <f>IF('ORDENES'!$A817="","",'ORDENES'!$AB817)</f>
        <v/>
      </c>
    </row>
    <row r="840">
      <c r="A840" s="3">
        <f>IF('ORDENES'!$A818="","",IF('ORDENES'!$P818="","-",'ORDENES'!$P818))</f>
        <v/>
      </c>
      <c r="B840" s="3">
        <f>IF('ORDENES'!$A818="","",IF('ORDENES'!$S818="","-",'ORDENES'!$S818))</f>
        <v/>
      </c>
      <c r="C840" s="3">
        <f>IF('ORDENES'!$A818="","",IF('ORDENES'!$AD818="","-",'ORDENES'!$AD818))</f>
        <v/>
      </c>
      <c r="D840" s="3">
        <f>IF('ORDENES'!$A818="","",IF('ORDENES'!$W818="","-",'ORDENES'!$W818))</f>
        <v/>
      </c>
      <c r="E840" s="3">
        <f>IF('ORDENES'!$A818="","",IF('ORDENES'!$V818="","-",'ORDENES'!$V818))</f>
        <v/>
      </c>
      <c r="F840" s="3">
        <f>IF('ORDENES'!$A818="","",IF('ORDENES'!$X818="","-",'ORDENES'!$X818))</f>
        <v/>
      </c>
      <c r="G840" s="3">
        <f>IF('ORDENES'!$A818="","",IF('ORDENES'!$AC818="","-",'ORDENES'!$AC818))</f>
        <v/>
      </c>
      <c r="H840" s="3">
        <f>IF('ORDENES'!$A818="","",IF('ORDENES'!$AO818="","-",'ORDENES'!$AO818))</f>
        <v/>
      </c>
      <c r="I840" s="3">
        <f>IF('ORDENES'!$A818="","",IF('ORDENES'!$D818="","-",'ORDENES'!$D818))</f>
        <v/>
      </c>
      <c r="J840" s="3">
        <f>IF('ORDENES'!$A818="","",IF('ORDENES'!$E818="","-",'ORDENES'!$E818))</f>
        <v/>
      </c>
      <c r="K840" s="12">
        <f>IF('ORDENES'!$A818="","",IF('ORDENES'!$N818="",0,'ORDENES'!$N818))</f>
        <v/>
      </c>
      <c r="L840" s="3">
        <f>IF('ORDENES'!$A818="","",IF('ORDENES'!$O818="","-",'ORDENES'!$O818))</f>
        <v/>
      </c>
      <c r="M840" s="3">
        <f>IF('ORDENES'!$A818="","",'ORDENES'!$AB818)</f>
        <v/>
      </c>
    </row>
    <row r="841">
      <c r="A841" s="3">
        <f>IF('ORDENES'!$A819="","",IF('ORDENES'!$P819="","-",'ORDENES'!$P819))</f>
        <v/>
      </c>
      <c r="B841" s="3">
        <f>IF('ORDENES'!$A819="","",IF('ORDENES'!$S819="","-",'ORDENES'!$S819))</f>
        <v/>
      </c>
      <c r="C841" s="3">
        <f>IF('ORDENES'!$A819="","",IF('ORDENES'!$AD819="","-",'ORDENES'!$AD819))</f>
        <v/>
      </c>
      <c r="D841" s="3">
        <f>IF('ORDENES'!$A819="","",IF('ORDENES'!$W819="","-",'ORDENES'!$W819))</f>
        <v/>
      </c>
      <c r="E841" s="3">
        <f>IF('ORDENES'!$A819="","",IF('ORDENES'!$V819="","-",'ORDENES'!$V819))</f>
        <v/>
      </c>
      <c r="F841" s="3">
        <f>IF('ORDENES'!$A819="","",IF('ORDENES'!$X819="","-",'ORDENES'!$X819))</f>
        <v/>
      </c>
      <c r="G841" s="3">
        <f>IF('ORDENES'!$A819="","",IF('ORDENES'!$AC819="","-",'ORDENES'!$AC819))</f>
        <v/>
      </c>
      <c r="H841" s="3">
        <f>IF('ORDENES'!$A819="","",IF('ORDENES'!$AO819="","-",'ORDENES'!$AO819))</f>
        <v/>
      </c>
      <c r="I841" s="3">
        <f>IF('ORDENES'!$A819="","",IF('ORDENES'!$D819="","-",'ORDENES'!$D819))</f>
        <v/>
      </c>
      <c r="J841" s="3">
        <f>IF('ORDENES'!$A819="","",IF('ORDENES'!$E819="","-",'ORDENES'!$E819))</f>
        <v/>
      </c>
      <c r="K841" s="12">
        <f>IF('ORDENES'!$A819="","",IF('ORDENES'!$N819="",0,'ORDENES'!$N819))</f>
        <v/>
      </c>
      <c r="L841" s="3">
        <f>IF('ORDENES'!$A819="","",IF('ORDENES'!$O819="","-",'ORDENES'!$O819))</f>
        <v/>
      </c>
      <c r="M841" s="3">
        <f>IF('ORDENES'!$A819="","",'ORDENES'!$AB819)</f>
        <v/>
      </c>
    </row>
    <row r="842">
      <c r="A842" s="3">
        <f>IF('ORDENES'!$A820="","",IF('ORDENES'!$P820="","-",'ORDENES'!$P820))</f>
        <v/>
      </c>
      <c r="B842" s="3">
        <f>IF('ORDENES'!$A820="","",IF('ORDENES'!$S820="","-",'ORDENES'!$S820))</f>
        <v/>
      </c>
      <c r="C842" s="3">
        <f>IF('ORDENES'!$A820="","",IF('ORDENES'!$AD820="","-",'ORDENES'!$AD820))</f>
        <v/>
      </c>
      <c r="D842" s="3">
        <f>IF('ORDENES'!$A820="","",IF('ORDENES'!$W820="","-",'ORDENES'!$W820))</f>
        <v/>
      </c>
      <c r="E842" s="3">
        <f>IF('ORDENES'!$A820="","",IF('ORDENES'!$V820="","-",'ORDENES'!$V820))</f>
        <v/>
      </c>
      <c r="F842" s="3">
        <f>IF('ORDENES'!$A820="","",IF('ORDENES'!$X820="","-",'ORDENES'!$X820))</f>
        <v/>
      </c>
      <c r="G842" s="3">
        <f>IF('ORDENES'!$A820="","",IF('ORDENES'!$AC820="","-",'ORDENES'!$AC820))</f>
        <v/>
      </c>
      <c r="H842" s="3">
        <f>IF('ORDENES'!$A820="","",IF('ORDENES'!$AO820="","-",'ORDENES'!$AO820))</f>
        <v/>
      </c>
      <c r="I842" s="3">
        <f>IF('ORDENES'!$A820="","",IF('ORDENES'!$D820="","-",'ORDENES'!$D820))</f>
        <v/>
      </c>
      <c r="J842" s="3">
        <f>IF('ORDENES'!$A820="","",IF('ORDENES'!$E820="","-",'ORDENES'!$E820))</f>
        <v/>
      </c>
      <c r="K842" s="12">
        <f>IF('ORDENES'!$A820="","",IF('ORDENES'!$N820="",0,'ORDENES'!$N820))</f>
        <v/>
      </c>
      <c r="L842" s="3">
        <f>IF('ORDENES'!$A820="","",IF('ORDENES'!$O820="","-",'ORDENES'!$O820))</f>
        <v/>
      </c>
      <c r="M842" s="3">
        <f>IF('ORDENES'!$A820="","",'ORDENES'!$AB820)</f>
        <v/>
      </c>
    </row>
    <row r="843">
      <c r="A843" s="3">
        <f>IF('ORDENES'!$A821="","",IF('ORDENES'!$P821="","-",'ORDENES'!$P821))</f>
        <v/>
      </c>
      <c r="B843" s="3">
        <f>IF('ORDENES'!$A821="","",IF('ORDENES'!$S821="","-",'ORDENES'!$S821))</f>
        <v/>
      </c>
      <c r="C843" s="3">
        <f>IF('ORDENES'!$A821="","",IF('ORDENES'!$AD821="","-",'ORDENES'!$AD821))</f>
        <v/>
      </c>
      <c r="D843" s="3">
        <f>IF('ORDENES'!$A821="","",IF('ORDENES'!$W821="","-",'ORDENES'!$W821))</f>
        <v/>
      </c>
      <c r="E843" s="3">
        <f>IF('ORDENES'!$A821="","",IF('ORDENES'!$V821="","-",'ORDENES'!$V821))</f>
        <v/>
      </c>
      <c r="F843" s="3">
        <f>IF('ORDENES'!$A821="","",IF('ORDENES'!$X821="","-",'ORDENES'!$X821))</f>
        <v/>
      </c>
      <c r="G843" s="3">
        <f>IF('ORDENES'!$A821="","",IF('ORDENES'!$AC821="","-",'ORDENES'!$AC821))</f>
        <v/>
      </c>
      <c r="H843" s="3">
        <f>IF('ORDENES'!$A821="","",IF('ORDENES'!$AO821="","-",'ORDENES'!$AO821))</f>
        <v/>
      </c>
      <c r="I843" s="3">
        <f>IF('ORDENES'!$A821="","",IF('ORDENES'!$D821="","-",'ORDENES'!$D821))</f>
        <v/>
      </c>
      <c r="J843" s="3">
        <f>IF('ORDENES'!$A821="","",IF('ORDENES'!$E821="","-",'ORDENES'!$E821))</f>
        <v/>
      </c>
      <c r="K843" s="12">
        <f>IF('ORDENES'!$A821="","",IF('ORDENES'!$N821="",0,'ORDENES'!$N821))</f>
        <v/>
      </c>
      <c r="L843" s="3">
        <f>IF('ORDENES'!$A821="","",IF('ORDENES'!$O821="","-",'ORDENES'!$O821))</f>
        <v/>
      </c>
      <c r="M843" s="3">
        <f>IF('ORDENES'!$A821="","",'ORDENES'!$AB821)</f>
        <v/>
      </c>
    </row>
    <row r="844">
      <c r="A844" s="3">
        <f>IF('ORDENES'!$A822="","",IF('ORDENES'!$P822="","-",'ORDENES'!$P822))</f>
        <v/>
      </c>
      <c r="B844" s="3">
        <f>IF('ORDENES'!$A822="","",IF('ORDENES'!$S822="","-",'ORDENES'!$S822))</f>
        <v/>
      </c>
      <c r="C844" s="3">
        <f>IF('ORDENES'!$A822="","",IF('ORDENES'!$AD822="","-",'ORDENES'!$AD822))</f>
        <v/>
      </c>
      <c r="D844" s="3">
        <f>IF('ORDENES'!$A822="","",IF('ORDENES'!$W822="","-",'ORDENES'!$W822))</f>
        <v/>
      </c>
      <c r="E844" s="3">
        <f>IF('ORDENES'!$A822="","",IF('ORDENES'!$V822="","-",'ORDENES'!$V822))</f>
        <v/>
      </c>
      <c r="F844" s="3">
        <f>IF('ORDENES'!$A822="","",IF('ORDENES'!$X822="","-",'ORDENES'!$X822))</f>
        <v/>
      </c>
      <c r="G844" s="3">
        <f>IF('ORDENES'!$A822="","",IF('ORDENES'!$AC822="","-",'ORDENES'!$AC822))</f>
        <v/>
      </c>
      <c r="H844" s="3">
        <f>IF('ORDENES'!$A822="","",IF('ORDENES'!$AO822="","-",'ORDENES'!$AO822))</f>
        <v/>
      </c>
      <c r="I844" s="3">
        <f>IF('ORDENES'!$A822="","",IF('ORDENES'!$D822="","-",'ORDENES'!$D822))</f>
        <v/>
      </c>
      <c r="J844" s="3">
        <f>IF('ORDENES'!$A822="","",IF('ORDENES'!$E822="","-",'ORDENES'!$E822))</f>
        <v/>
      </c>
      <c r="K844" s="12">
        <f>IF('ORDENES'!$A822="","",IF('ORDENES'!$N822="",0,'ORDENES'!$N822))</f>
        <v/>
      </c>
      <c r="L844" s="3">
        <f>IF('ORDENES'!$A822="","",IF('ORDENES'!$O822="","-",'ORDENES'!$O822))</f>
        <v/>
      </c>
      <c r="M844" s="3">
        <f>IF('ORDENES'!$A822="","",'ORDENES'!$AB822)</f>
        <v/>
      </c>
    </row>
    <row r="845">
      <c r="A845" s="3">
        <f>IF('ORDENES'!$A823="","",IF('ORDENES'!$P823="","-",'ORDENES'!$P823))</f>
        <v/>
      </c>
      <c r="B845" s="3">
        <f>IF('ORDENES'!$A823="","",IF('ORDENES'!$S823="","-",'ORDENES'!$S823))</f>
        <v/>
      </c>
      <c r="C845" s="3">
        <f>IF('ORDENES'!$A823="","",IF('ORDENES'!$AD823="","-",'ORDENES'!$AD823))</f>
        <v/>
      </c>
      <c r="D845" s="3">
        <f>IF('ORDENES'!$A823="","",IF('ORDENES'!$W823="","-",'ORDENES'!$W823))</f>
        <v/>
      </c>
      <c r="E845" s="3">
        <f>IF('ORDENES'!$A823="","",IF('ORDENES'!$V823="","-",'ORDENES'!$V823))</f>
        <v/>
      </c>
      <c r="F845" s="3">
        <f>IF('ORDENES'!$A823="","",IF('ORDENES'!$X823="","-",'ORDENES'!$X823))</f>
        <v/>
      </c>
      <c r="G845" s="3">
        <f>IF('ORDENES'!$A823="","",IF('ORDENES'!$AC823="","-",'ORDENES'!$AC823))</f>
        <v/>
      </c>
      <c r="H845" s="3">
        <f>IF('ORDENES'!$A823="","",IF('ORDENES'!$AO823="","-",'ORDENES'!$AO823))</f>
        <v/>
      </c>
      <c r="I845" s="3">
        <f>IF('ORDENES'!$A823="","",IF('ORDENES'!$D823="","-",'ORDENES'!$D823))</f>
        <v/>
      </c>
      <c r="J845" s="3">
        <f>IF('ORDENES'!$A823="","",IF('ORDENES'!$E823="","-",'ORDENES'!$E823))</f>
        <v/>
      </c>
      <c r="K845" s="12">
        <f>IF('ORDENES'!$A823="","",IF('ORDENES'!$N823="",0,'ORDENES'!$N823))</f>
        <v/>
      </c>
      <c r="L845" s="3">
        <f>IF('ORDENES'!$A823="","",IF('ORDENES'!$O823="","-",'ORDENES'!$O823))</f>
        <v/>
      </c>
      <c r="M845" s="3">
        <f>IF('ORDENES'!$A823="","",'ORDENES'!$AB823)</f>
        <v/>
      </c>
    </row>
    <row r="846">
      <c r="A846" s="3">
        <f>IF('ORDENES'!$A824="","",IF('ORDENES'!$P824="","-",'ORDENES'!$P824))</f>
        <v/>
      </c>
      <c r="B846" s="3">
        <f>IF('ORDENES'!$A824="","",IF('ORDENES'!$S824="","-",'ORDENES'!$S824))</f>
        <v/>
      </c>
      <c r="C846" s="3">
        <f>IF('ORDENES'!$A824="","",IF('ORDENES'!$AD824="","-",'ORDENES'!$AD824))</f>
        <v/>
      </c>
      <c r="D846" s="3">
        <f>IF('ORDENES'!$A824="","",IF('ORDENES'!$W824="","-",'ORDENES'!$W824))</f>
        <v/>
      </c>
      <c r="E846" s="3">
        <f>IF('ORDENES'!$A824="","",IF('ORDENES'!$V824="","-",'ORDENES'!$V824))</f>
        <v/>
      </c>
      <c r="F846" s="3">
        <f>IF('ORDENES'!$A824="","",IF('ORDENES'!$X824="","-",'ORDENES'!$X824))</f>
        <v/>
      </c>
      <c r="G846" s="3">
        <f>IF('ORDENES'!$A824="","",IF('ORDENES'!$AC824="","-",'ORDENES'!$AC824))</f>
        <v/>
      </c>
      <c r="H846" s="3">
        <f>IF('ORDENES'!$A824="","",IF('ORDENES'!$AO824="","-",'ORDENES'!$AO824))</f>
        <v/>
      </c>
      <c r="I846" s="3">
        <f>IF('ORDENES'!$A824="","",IF('ORDENES'!$D824="","-",'ORDENES'!$D824))</f>
        <v/>
      </c>
      <c r="J846" s="3">
        <f>IF('ORDENES'!$A824="","",IF('ORDENES'!$E824="","-",'ORDENES'!$E824))</f>
        <v/>
      </c>
      <c r="K846" s="12">
        <f>IF('ORDENES'!$A824="","",IF('ORDENES'!$N824="",0,'ORDENES'!$N824))</f>
        <v/>
      </c>
      <c r="L846" s="3">
        <f>IF('ORDENES'!$A824="","",IF('ORDENES'!$O824="","-",'ORDENES'!$O824))</f>
        <v/>
      </c>
      <c r="M846" s="3">
        <f>IF('ORDENES'!$A824="","",'ORDENES'!$AB824)</f>
        <v/>
      </c>
    </row>
    <row r="847">
      <c r="A847" s="3">
        <f>IF('ORDENES'!$A825="","",IF('ORDENES'!$P825="","-",'ORDENES'!$P825))</f>
        <v/>
      </c>
      <c r="B847" s="3">
        <f>IF('ORDENES'!$A825="","",IF('ORDENES'!$S825="","-",'ORDENES'!$S825))</f>
        <v/>
      </c>
      <c r="C847" s="3">
        <f>IF('ORDENES'!$A825="","",IF('ORDENES'!$AD825="","-",'ORDENES'!$AD825))</f>
        <v/>
      </c>
      <c r="D847" s="3">
        <f>IF('ORDENES'!$A825="","",IF('ORDENES'!$W825="","-",'ORDENES'!$W825))</f>
        <v/>
      </c>
      <c r="E847" s="3">
        <f>IF('ORDENES'!$A825="","",IF('ORDENES'!$V825="","-",'ORDENES'!$V825))</f>
        <v/>
      </c>
      <c r="F847" s="3">
        <f>IF('ORDENES'!$A825="","",IF('ORDENES'!$X825="","-",'ORDENES'!$X825))</f>
        <v/>
      </c>
      <c r="G847" s="3">
        <f>IF('ORDENES'!$A825="","",IF('ORDENES'!$AC825="","-",'ORDENES'!$AC825))</f>
        <v/>
      </c>
      <c r="H847" s="3">
        <f>IF('ORDENES'!$A825="","",IF('ORDENES'!$AO825="","-",'ORDENES'!$AO825))</f>
        <v/>
      </c>
      <c r="I847" s="3">
        <f>IF('ORDENES'!$A825="","",IF('ORDENES'!$D825="","-",'ORDENES'!$D825))</f>
        <v/>
      </c>
      <c r="J847" s="3">
        <f>IF('ORDENES'!$A825="","",IF('ORDENES'!$E825="","-",'ORDENES'!$E825))</f>
        <v/>
      </c>
      <c r="K847" s="12">
        <f>IF('ORDENES'!$A825="","",IF('ORDENES'!$N825="",0,'ORDENES'!$N825))</f>
        <v/>
      </c>
      <c r="L847" s="3">
        <f>IF('ORDENES'!$A825="","",IF('ORDENES'!$O825="","-",'ORDENES'!$O825))</f>
        <v/>
      </c>
      <c r="M847" s="3">
        <f>IF('ORDENES'!$A825="","",'ORDENES'!$AB825)</f>
        <v/>
      </c>
    </row>
    <row r="848">
      <c r="A848" s="3">
        <f>IF('ORDENES'!$A826="","",IF('ORDENES'!$P826="","-",'ORDENES'!$P826))</f>
        <v/>
      </c>
      <c r="B848" s="3">
        <f>IF('ORDENES'!$A826="","",IF('ORDENES'!$S826="","-",'ORDENES'!$S826))</f>
        <v/>
      </c>
      <c r="C848" s="3">
        <f>IF('ORDENES'!$A826="","",IF('ORDENES'!$AD826="","-",'ORDENES'!$AD826))</f>
        <v/>
      </c>
      <c r="D848" s="3">
        <f>IF('ORDENES'!$A826="","",IF('ORDENES'!$W826="","-",'ORDENES'!$W826))</f>
        <v/>
      </c>
      <c r="E848" s="3">
        <f>IF('ORDENES'!$A826="","",IF('ORDENES'!$V826="","-",'ORDENES'!$V826))</f>
        <v/>
      </c>
      <c r="F848" s="3">
        <f>IF('ORDENES'!$A826="","",IF('ORDENES'!$X826="","-",'ORDENES'!$X826))</f>
        <v/>
      </c>
      <c r="G848" s="3">
        <f>IF('ORDENES'!$A826="","",IF('ORDENES'!$AC826="","-",'ORDENES'!$AC826))</f>
        <v/>
      </c>
      <c r="H848" s="3">
        <f>IF('ORDENES'!$A826="","",IF('ORDENES'!$AO826="","-",'ORDENES'!$AO826))</f>
        <v/>
      </c>
      <c r="I848" s="3">
        <f>IF('ORDENES'!$A826="","",IF('ORDENES'!$D826="","-",'ORDENES'!$D826))</f>
        <v/>
      </c>
      <c r="J848" s="3">
        <f>IF('ORDENES'!$A826="","",IF('ORDENES'!$E826="","-",'ORDENES'!$E826))</f>
        <v/>
      </c>
      <c r="K848" s="12">
        <f>IF('ORDENES'!$A826="","",IF('ORDENES'!$N826="",0,'ORDENES'!$N826))</f>
        <v/>
      </c>
      <c r="L848" s="3">
        <f>IF('ORDENES'!$A826="","",IF('ORDENES'!$O826="","-",'ORDENES'!$O826))</f>
        <v/>
      </c>
      <c r="M848" s="3">
        <f>IF('ORDENES'!$A826="","",'ORDENES'!$AB826)</f>
        <v/>
      </c>
    </row>
    <row r="849">
      <c r="A849" s="3">
        <f>IF('ORDENES'!$A827="","",IF('ORDENES'!$P827="","-",'ORDENES'!$P827))</f>
        <v/>
      </c>
      <c r="B849" s="3">
        <f>IF('ORDENES'!$A827="","",IF('ORDENES'!$S827="","-",'ORDENES'!$S827))</f>
        <v/>
      </c>
      <c r="C849" s="3">
        <f>IF('ORDENES'!$A827="","",IF('ORDENES'!$AD827="","-",'ORDENES'!$AD827))</f>
        <v/>
      </c>
      <c r="D849" s="3">
        <f>IF('ORDENES'!$A827="","",IF('ORDENES'!$W827="","-",'ORDENES'!$W827))</f>
        <v/>
      </c>
      <c r="E849" s="3">
        <f>IF('ORDENES'!$A827="","",IF('ORDENES'!$V827="","-",'ORDENES'!$V827))</f>
        <v/>
      </c>
      <c r="F849" s="3">
        <f>IF('ORDENES'!$A827="","",IF('ORDENES'!$X827="","-",'ORDENES'!$X827))</f>
        <v/>
      </c>
      <c r="G849" s="3">
        <f>IF('ORDENES'!$A827="","",IF('ORDENES'!$AC827="","-",'ORDENES'!$AC827))</f>
        <v/>
      </c>
      <c r="H849" s="3">
        <f>IF('ORDENES'!$A827="","",IF('ORDENES'!$AO827="","-",'ORDENES'!$AO827))</f>
        <v/>
      </c>
      <c r="I849" s="3">
        <f>IF('ORDENES'!$A827="","",IF('ORDENES'!$D827="","-",'ORDENES'!$D827))</f>
        <v/>
      </c>
      <c r="J849" s="3">
        <f>IF('ORDENES'!$A827="","",IF('ORDENES'!$E827="","-",'ORDENES'!$E827))</f>
        <v/>
      </c>
      <c r="K849" s="12">
        <f>IF('ORDENES'!$A827="","",IF('ORDENES'!$N827="",0,'ORDENES'!$N827))</f>
        <v/>
      </c>
      <c r="L849" s="3">
        <f>IF('ORDENES'!$A827="","",IF('ORDENES'!$O827="","-",'ORDENES'!$O827))</f>
        <v/>
      </c>
      <c r="M849" s="3">
        <f>IF('ORDENES'!$A827="","",'ORDENES'!$AB827)</f>
        <v/>
      </c>
    </row>
    <row r="850">
      <c r="A850" s="3">
        <f>IF('ORDENES'!$A828="","",IF('ORDENES'!$P828="","-",'ORDENES'!$P828))</f>
        <v/>
      </c>
      <c r="B850" s="3">
        <f>IF('ORDENES'!$A828="","",IF('ORDENES'!$S828="","-",'ORDENES'!$S828))</f>
        <v/>
      </c>
      <c r="C850" s="3">
        <f>IF('ORDENES'!$A828="","",IF('ORDENES'!$AD828="","-",'ORDENES'!$AD828))</f>
        <v/>
      </c>
      <c r="D850" s="3">
        <f>IF('ORDENES'!$A828="","",IF('ORDENES'!$W828="","-",'ORDENES'!$W828))</f>
        <v/>
      </c>
      <c r="E850" s="3">
        <f>IF('ORDENES'!$A828="","",IF('ORDENES'!$V828="","-",'ORDENES'!$V828))</f>
        <v/>
      </c>
      <c r="F850" s="3">
        <f>IF('ORDENES'!$A828="","",IF('ORDENES'!$X828="","-",'ORDENES'!$X828))</f>
        <v/>
      </c>
      <c r="G850" s="3">
        <f>IF('ORDENES'!$A828="","",IF('ORDENES'!$AC828="","-",'ORDENES'!$AC828))</f>
        <v/>
      </c>
      <c r="H850" s="3">
        <f>IF('ORDENES'!$A828="","",IF('ORDENES'!$AO828="","-",'ORDENES'!$AO828))</f>
        <v/>
      </c>
      <c r="I850" s="3">
        <f>IF('ORDENES'!$A828="","",IF('ORDENES'!$D828="","-",'ORDENES'!$D828))</f>
        <v/>
      </c>
      <c r="J850" s="3">
        <f>IF('ORDENES'!$A828="","",IF('ORDENES'!$E828="","-",'ORDENES'!$E828))</f>
        <v/>
      </c>
      <c r="K850" s="12">
        <f>IF('ORDENES'!$A828="","",IF('ORDENES'!$N828="",0,'ORDENES'!$N828))</f>
        <v/>
      </c>
      <c r="L850" s="3">
        <f>IF('ORDENES'!$A828="","",IF('ORDENES'!$O828="","-",'ORDENES'!$O828))</f>
        <v/>
      </c>
      <c r="M850" s="3">
        <f>IF('ORDENES'!$A828="","",'ORDENES'!$AB828)</f>
        <v/>
      </c>
    </row>
    <row r="851">
      <c r="A851" s="3">
        <f>IF('ORDENES'!$A829="","",IF('ORDENES'!$P829="","-",'ORDENES'!$P829))</f>
        <v/>
      </c>
      <c r="B851" s="3">
        <f>IF('ORDENES'!$A829="","",IF('ORDENES'!$S829="","-",'ORDENES'!$S829))</f>
        <v/>
      </c>
      <c r="C851" s="3">
        <f>IF('ORDENES'!$A829="","",IF('ORDENES'!$AD829="","-",'ORDENES'!$AD829))</f>
        <v/>
      </c>
      <c r="D851" s="3">
        <f>IF('ORDENES'!$A829="","",IF('ORDENES'!$W829="","-",'ORDENES'!$W829))</f>
        <v/>
      </c>
      <c r="E851" s="3">
        <f>IF('ORDENES'!$A829="","",IF('ORDENES'!$V829="","-",'ORDENES'!$V829))</f>
        <v/>
      </c>
      <c r="F851" s="3">
        <f>IF('ORDENES'!$A829="","",IF('ORDENES'!$X829="","-",'ORDENES'!$X829))</f>
        <v/>
      </c>
      <c r="G851" s="3">
        <f>IF('ORDENES'!$A829="","",IF('ORDENES'!$AC829="","-",'ORDENES'!$AC829))</f>
        <v/>
      </c>
      <c r="H851" s="3">
        <f>IF('ORDENES'!$A829="","",IF('ORDENES'!$AO829="","-",'ORDENES'!$AO829))</f>
        <v/>
      </c>
      <c r="I851" s="3">
        <f>IF('ORDENES'!$A829="","",IF('ORDENES'!$D829="","-",'ORDENES'!$D829))</f>
        <v/>
      </c>
      <c r="J851" s="3">
        <f>IF('ORDENES'!$A829="","",IF('ORDENES'!$E829="","-",'ORDENES'!$E829))</f>
        <v/>
      </c>
      <c r="K851" s="12">
        <f>IF('ORDENES'!$A829="","",IF('ORDENES'!$N829="",0,'ORDENES'!$N829))</f>
        <v/>
      </c>
      <c r="L851" s="3">
        <f>IF('ORDENES'!$A829="","",IF('ORDENES'!$O829="","-",'ORDENES'!$O829))</f>
        <v/>
      </c>
      <c r="M851" s="3">
        <f>IF('ORDENES'!$A829="","",'ORDENES'!$AB829)</f>
        <v/>
      </c>
    </row>
    <row r="852">
      <c r="A852" s="3">
        <f>IF('ORDENES'!$A830="","",IF('ORDENES'!$P830="","-",'ORDENES'!$P830))</f>
        <v/>
      </c>
      <c r="B852" s="3">
        <f>IF('ORDENES'!$A830="","",IF('ORDENES'!$S830="","-",'ORDENES'!$S830))</f>
        <v/>
      </c>
      <c r="C852" s="3">
        <f>IF('ORDENES'!$A830="","",IF('ORDENES'!$AD830="","-",'ORDENES'!$AD830))</f>
        <v/>
      </c>
      <c r="D852" s="3">
        <f>IF('ORDENES'!$A830="","",IF('ORDENES'!$W830="","-",'ORDENES'!$W830))</f>
        <v/>
      </c>
      <c r="E852" s="3">
        <f>IF('ORDENES'!$A830="","",IF('ORDENES'!$V830="","-",'ORDENES'!$V830))</f>
        <v/>
      </c>
      <c r="F852" s="3">
        <f>IF('ORDENES'!$A830="","",IF('ORDENES'!$X830="","-",'ORDENES'!$X830))</f>
        <v/>
      </c>
      <c r="G852" s="3">
        <f>IF('ORDENES'!$A830="","",IF('ORDENES'!$AC830="","-",'ORDENES'!$AC830))</f>
        <v/>
      </c>
      <c r="H852" s="3">
        <f>IF('ORDENES'!$A830="","",IF('ORDENES'!$AO830="","-",'ORDENES'!$AO830))</f>
        <v/>
      </c>
      <c r="I852" s="3">
        <f>IF('ORDENES'!$A830="","",IF('ORDENES'!$D830="","-",'ORDENES'!$D830))</f>
        <v/>
      </c>
      <c r="J852" s="3">
        <f>IF('ORDENES'!$A830="","",IF('ORDENES'!$E830="","-",'ORDENES'!$E830))</f>
        <v/>
      </c>
      <c r="K852" s="12">
        <f>IF('ORDENES'!$A830="","",IF('ORDENES'!$N830="",0,'ORDENES'!$N830))</f>
        <v/>
      </c>
      <c r="L852" s="3">
        <f>IF('ORDENES'!$A830="","",IF('ORDENES'!$O830="","-",'ORDENES'!$O830))</f>
        <v/>
      </c>
      <c r="M852" s="3">
        <f>IF('ORDENES'!$A830="","",'ORDENES'!$AB830)</f>
        <v/>
      </c>
    </row>
    <row r="853">
      <c r="A853" s="3">
        <f>IF('ORDENES'!$A831="","",IF('ORDENES'!$P831="","-",'ORDENES'!$P831))</f>
        <v/>
      </c>
      <c r="B853" s="3">
        <f>IF('ORDENES'!$A831="","",IF('ORDENES'!$S831="","-",'ORDENES'!$S831))</f>
        <v/>
      </c>
      <c r="C853" s="3">
        <f>IF('ORDENES'!$A831="","",IF('ORDENES'!$AD831="","-",'ORDENES'!$AD831))</f>
        <v/>
      </c>
      <c r="D853" s="3">
        <f>IF('ORDENES'!$A831="","",IF('ORDENES'!$W831="","-",'ORDENES'!$W831))</f>
        <v/>
      </c>
      <c r="E853" s="3">
        <f>IF('ORDENES'!$A831="","",IF('ORDENES'!$V831="","-",'ORDENES'!$V831))</f>
        <v/>
      </c>
      <c r="F853" s="3">
        <f>IF('ORDENES'!$A831="","",IF('ORDENES'!$X831="","-",'ORDENES'!$X831))</f>
        <v/>
      </c>
      <c r="G853" s="3">
        <f>IF('ORDENES'!$A831="","",IF('ORDENES'!$AC831="","-",'ORDENES'!$AC831))</f>
        <v/>
      </c>
      <c r="H853" s="3">
        <f>IF('ORDENES'!$A831="","",IF('ORDENES'!$AO831="","-",'ORDENES'!$AO831))</f>
        <v/>
      </c>
      <c r="I853" s="3">
        <f>IF('ORDENES'!$A831="","",IF('ORDENES'!$D831="","-",'ORDENES'!$D831))</f>
        <v/>
      </c>
      <c r="J853" s="3">
        <f>IF('ORDENES'!$A831="","",IF('ORDENES'!$E831="","-",'ORDENES'!$E831))</f>
        <v/>
      </c>
      <c r="K853" s="12">
        <f>IF('ORDENES'!$A831="","",IF('ORDENES'!$N831="",0,'ORDENES'!$N831))</f>
        <v/>
      </c>
      <c r="L853" s="3">
        <f>IF('ORDENES'!$A831="","",IF('ORDENES'!$O831="","-",'ORDENES'!$O831))</f>
        <v/>
      </c>
      <c r="M853" s="3">
        <f>IF('ORDENES'!$A831="","",'ORDENES'!$AB831)</f>
        <v/>
      </c>
    </row>
    <row r="854">
      <c r="A854" s="3">
        <f>IF('ORDENES'!$A832="","",IF('ORDENES'!$P832="","-",'ORDENES'!$P832))</f>
        <v/>
      </c>
      <c r="B854" s="3">
        <f>IF('ORDENES'!$A832="","",IF('ORDENES'!$S832="","-",'ORDENES'!$S832))</f>
        <v/>
      </c>
      <c r="C854" s="3">
        <f>IF('ORDENES'!$A832="","",IF('ORDENES'!$AD832="","-",'ORDENES'!$AD832))</f>
        <v/>
      </c>
      <c r="D854" s="3">
        <f>IF('ORDENES'!$A832="","",IF('ORDENES'!$W832="","-",'ORDENES'!$W832))</f>
        <v/>
      </c>
      <c r="E854" s="3">
        <f>IF('ORDENES'!$A832="","",IF('ORDENES'!$V832="","-",'ORDENES'!$V832))</f>
        <v/>
      </c>
      <c r="F854" s="3">
        <f>IF('ORDENES'!$A832="","",IF('ORDENES'!$X832="","-",'ORDENES'!$X832))</f>
        <v/>
      </c>
      <c r="G854" s="3">
        <f>IF('ORDENES'!$A832="","",IF('ORDENES'!$AC832="","-",'ORDENES'!$AC832))</f>
        <v/>
      </c>
      <c r="H854" s="3">
        <f>IF('ORDENES'!$A832="","",IF('ORDENES'!$AO832="","-",'ORDENES'!$AO832))</f>
        <v/>
      </c>
      <c r="I854" s="3">
        <f>IF('ORDENES'!$A832="","",IF('ORDENES'!$D832="","-",'ORDENES'!$D832))</f>
        <v/>
      </c>
      <c r="J854" s="3">
        <f>IF('ORDENES'!$A832="","",IF('ORDENES'!$E832="","-",'ORDENES'!$E832))</f>
        <v/>
      </c>
      <c r="K854" s="12">
        <f>IF('ORDENES'!$A832="","",IF('ORDENES'!$N832="",0,'ORDENES'!$N832))</f>
        <v/>
      </c>
      <c r="L854" s="3">
        <f>IF('ORDENES'!$A832="","",IF('ORDENES'!$O832="","-",'ORDENES'!$O832))</f>
        <v/>
      </c>
      <c r="M854" s="3">
        <f>IF('ORDENES'!$A832="","",'ORDENES'!$AB832)</f>
        <v/>
      </c>
    </row>
    <row r="855">
      <c r="A855" s="3">
        <f>IF('ORDENES'!$A833="","",IF('ORDENES'!$P833="","-",'ORDENES'!$P833))</f>
        <v/>
      </c>
      <c r="B855" s="3">
        <f>IF('ORDENES'!$A833="","",IF('ORDENES'!$S833="","-",'ORDENES'!$S833))</f>
        <v/>
      </c>
      <c r="C855" s="3">
        <f>IF('ORDENES'!$A833="","",IF('ORDENES'!$AD833="","-",'ORDENES'!$AD833))</f>
        <v/>
      </c>
      <c r="D855" s="3">
        <f>IF('ORDENES'!$A833="","",IF('ORDENES'!$W833="","-",'ORDENES'!$W833))</f>
        <v/>
      </c>
      <c r="E855" s="3">
        <f>IF('ORDENES'!$A833="","",IF('ORDENES'!$V833="","-",'ORDENES'!$V833))</f>
        <v/>
      </c>
      <c r="F855" s="3">
        <f>IF('ORDENES'!$A833="","",IF('ORDENES'!$X833="","-",'ORDENES'!$X833))</f>
        <v/>
      </c>
      <c r="G855" s="3">
        <f>IF('ORDENES'!$A833="","",IF('ORDENES'!$AC833="","-",'ORDENES'!$AC833))</f>
        <v/>
      </c>
      <c r="H855" s="3">
        <f>IF('ORDENES'!$A833="","",IF('ORDENES'!$AO833="","-",'ORDENES'!$AO833))</f>
        <v/>
      </c>
      <c r="I855" s="3">
        <f>IF('ORDENES'!$A833="","",IF('ORDENES'!$D833="","-",'ORDENES'!$D833))</f>
        <v/>
      </c>
      <c r="J855" s="3">
        <f>IF('ORDENES'!$A833="","",IF('ORDENES'!$E833="","-",'ORDENES'!$E833))</f>
        <v/>
      </c>
      <c r="K855" s="12">
        <f>IF('ORDENES'!$A833="","",IF('ORDENES'!$N833="",0,'ORDENES'!$N833))</f>
        <v/>
      </c>
      <c r="L855" s="3">
        <f>IF('ORDENES'!$A833="","",IF('ORDENES'!$O833="","-",'ORDENES'!$O833))</f>
        <v/>
      </c>
      <c r="M855" s="3">
        <f>IF('ORDENES'!$A833="","",'ORDENES'!$AB833)</f>
        <v/>
      </c>
    </row>
    <row r="856">
      <c r="A856" s="3">
        <f>IF('ORDENES'!$A834="","",IF('ORDENES'!$P834="","-",'ORDENES'!$P834))</f>
        <v/>
      </c>
      <c r="B856" s="3">
        <f>IF('ORDENES'!$A834="","",IF('ORDENES'!$S834="","-",'ORDENES'!$S834))</f>
        <v/>
      </c>
      <c r="C856" s="3">
        <f>IF('ORDENES'!$A834="","",IF('ORDENES'!$AD834="","-",'ORDENES'!$AD834))</f>
        <v/>
      </c>
      <c r="D856" s="3">
        <f>IF('ORDENES'!$A834="","",IF('ORDENES'!$W834="","-",'ORDENES'!$W834))</f>
        <v/>
      </c>
      <c r="E856" s="3">
        <f>IF('ORDENES'!$A834="","",IF('ORDENES'!$V834="","-",'ORDENES'!$V834))</f>
        <v/>
      </c>
      <c r="F856" s="3">
        <f>IF('ORDENES'!$A834="","",IF('ORDENES'!$X834="","-",'ORDENES'!$X834))</f>
        <v/>
      </c>
      <c r="G856" s="3">
        <f>IF('ORDENES'!$A834="","",IF('ORDENES'!$AC834="","-",'ORDENES'!$AC834))</f>
        <v/>
      </c>
      <c r="H856" s="3">
        <f>IF('ORDENES'!$A834="","",IF('ORDENES'!$AO834="","-",'ORDENES'!$AO834))</f>
        <v/>
      </c>
      <c r="I856" s="3">
        <f>IF('ORDENES'!$A834="","",IF('ORDENES'!$D834="","-",'ORDENES'!$D834))</f>
        <v/>
      </c>
      <c r="J856" s="3">
        <f>IF('ORDENES'!$A834="","",IF('ORDENES'!$E834="","-",'ORDENES'!$E834))</f>
        <v/>
      </c>
      <c r="K856" s="12">
        <f>IF('ORDENES'!$A834="","",IF('ORDENES'!$N834="",0,'ORDENES'!$N834))</f>
        <v/>
      </c>
      <c r="L856" s="3">
        <f>IF('ORDENES'!$A834="","",IF('ORDENES'!$O834="","-",'ORDENES'!$O834))</f>
        <v/>
      </c>
      <c r="M856" s="3">
        <f>IF('ORDENES'!$A834="","",'ORDENES'!$AB834)</f>
        <v/>
      </c>
    </row>
    <row r="857">
      <c r="A857" s="3">
        <f>IF('ORDENES'!$A835="","",IF('ORDENES'!$P835="","-",'ORDENES'!$P835))</f>
        <v/>
      </c>
      <c r="B857" s="3">
        <f>IF('ORDENES'!$A835="","",IF('ORDENES'!$S835="","-",'ORDENES'!$S835))</f>
        <v/>
      </c>
      <c r="C857" s="3">
        <f>IF('ORDENES'!$A835="","",IF('ORDENES'!$AD835="","-",'ORDENES'!$AD835))</f>
        <v/>
      </c>
      <c r="D857" s="3">
        <f>IF('ORDENES'!$A835="","",IF('ORDENES'!$W835="","-",'ORDENES'!$W835))</f>
        <v/>
      </c>
      <c r="E857" s="3">
        <f>IF('ORDENES'!$A835="","",IF('ORDENES'!$V835="","-",'ORDENES'!$V835))</f>
        <v/>
      </c>
      <c r="F857" s="3">
        <f>IF('ORDENES'!$A835="","",IF('ORDENES'!$X835="","-",'ORDENES'!$X835))</f>
        <v/>
      </c>
      <c r="G857" s="3">
        <f>IF('ORDENES'!$A835="","",IF('ORDENES'!$AC835="","-",'ORDENES'!$AC835))</f>
        <v/>
      </c>
      <c r="H857" s="3">
        <f>IF('ORDENES'!$A835="","",IF('ORDENES'!$AO835="","-",'ORDENES'!$AO835))</f>
        <v/>
      </c>
      <c r="I857" s="3">
        <f>IF('ORDENES'!$A835="","",IF('ORDENES'!$D835="","-",'ORDENES'!$D835))</f>
        <v/>
      </c>
      <c r="J857" s="3">
        <f>IF('ORDENES'!$A835="","",IF('ORDENES'!$E835="","-",'ORDENES'!$E835))</f>
        <v/>
      </c>
      <c r="K857" s="12">
        <f>IF('ORDENES'!$A835="","",IF('ORDENES'!$N835="",0,'ORDENES'!$N835))</f>
        <v/>
      </c>
      <c r="L857" s="3">
        <f>IF('ORDENES'!$A835="","",IF('ORDENES'!$O835="","-",'ORDENES'!$O835))</f>
        <v/>
      </c>
      <c r="M857" s="3">
        <f>IF('ORDENES'!$A835="","",'ORDENES'!$AB835)</f>
        <v/>
      </c>
    </row>
    <row r="858">
      <c r="A858" s="3">
        <f>IF('ORDENES'!$A836="","",IF('ORDENES'!$P836="","-",'ORDENES'!$P836))</f>
        <v/>
      </c>
      <c r="B858" s="3">
        <f>IF('ORDENES'!$A836="","",IF('ORDENES'!$S836="","-",'ORDENES'!$S836))</f>
        <v/>
      </c>
      <c r="C858" s="3">
        <f>IF('ORDENES'!$A836="","",IF('ORDENES'!$AD836="","-",'ORDENES'!$AD836))</f>
        <v/>
      </c>
      <c r="D858" s="3">
        <f>IF('ORDENES'!$A836="","",IF('ORDENES'!$W836="","-",'ORDENES'!$W836))</f>
        <v/>
      </c>
      <c r="E858" s="3">
        <f>IF('ORDENES'!$A836="","",IF('ORDENES'!$V836="","-",'ORDENES'!$V836))</f>
        <v/>
      </c>
      <c r="F858" s="3">
        <f>IF('ORDENES'!$A836="","",IF('ORDENES'!$X836="","-",'ORDENES'!$X836))</f>
        <v/>
      </c>
      <c r="G858" s="3">
        <f>IF('ORDENES'!$A836="","",IF('ORDENES'!$AC836="","-",'ORDENES'!$AC836))</f>
        <v/>
      </c>
      <c r="H858" s="3">
        <f>IF('ORDENES'!$A836="","",IF('ORDENES'!$AO836="","-",'ORDENES'!$AO836))</f>
        <v/>
      </c>
      <c r="I858" s="3">
        <f>IF('ORDENES'!$A836="","",IF('ORDENES'!$D836="","-",'ORDENES'!$D836))</f>
        <v/>
      </c>
      <c r="J858" s="3">
        <f>IF('ORDENES'!$A836="","",IF('ORDENES'!$E836="","-",'ORDENES'!$E836))</f>
        <v/>
      </c>
      <c r="K858" s="12">
        <f>IF('ORDENES'!$A836="","",IF('ORDENES'!$N836="",0,'ORDENES'!$N836))</f>
        <v/>
      </c>
      <c r="L858" s="3">
        <f>IF('ORDENES'!$A836="","",IF('ORDENES'!$O836="","-",'ORDENES'!$O836))</f>
        <v/>
      </c>
      <c r="M858" s="3">
        <f>IF('ORDENES'!$A836="","",'ORDENES'!$AB836)</f>
        <v/>
      </c>
    </row>
    <row r="859">
      <c r="A859" s="3">
        <f>IF('ORDENES'!$A837="","",IF('ORDENES'!$P837="","-",'ORDENES'!$P837))</f>
        <v/>
      </c>
      <c r="B859" s="3">
        <f>IF('ORDENES'!$A837="","",IF('ORDENES'!$S837="","-",'ORDENES'!$S837))</f>
        <v/>
      </c>
      <c r="C859" s="3">
        <f>IF('ORDENES'!$A837="","",IF('ORDENES'!$AD837="","-",'ORDENES'!$AD837))</f>
        <v/>
      </c>
      <c r="D859" s="3">
        <f>IF('ORDENES'!$A837="","",IF('ORDENES'!$W837="","-",'ORDENES'!$W837))</f>
        <v/>
      </c>
      <c r="E859" s="3">
        <f>IF('ORDENES'!$A837="","",IF('ORDENES'!$V837="","-",'ORDENES'!$V837))</f>
        <v/>
      </c>
      <c r="F859" s="3">
        <f>IF('ORDENES'!$A837="","",IF('ORDENES'!$X837="","-",'ORDENES'!$X837))</f>
        <v/>
      </c>
      <c r="G859" s="3">
        <f>IF('ORDENES'!$A837="","",IF('ORDENES'!$AC837="","-",'ORDENES'!$AC837))</f>
        <v/>
      </c>
      <c r="H859" s="3">
        <f>IF('ORDENES'!$A837="","",IF('ORDENES'!$AO837="","-",'ORDENES'!$AO837))</f>
        <v/>
      </c>
      <c r="I859" s="3">
        <f>IF('ORDENES'!$A837="","",IF('ORDENES'!$D837="","-",'ORDENES'!$D837))</f>
        <v/>
      </c>
      <c r="J859" s="3">
        <f>IF('ORDENES'!$A837="","",IF('ORDENES'!$E837="","-",'ORDENES'!$E837))</f>
        <v/>
      </c>
      <c r="K859" s="12">
        <f>IF('ORDENES'!$A837="","",IF('ORDENES'!$N837="",0,'ORDENES'!$N837))</f>
        <v/>
      </c>
      <c r="L859" s="3">
        <f>IF('ORDENES'!$A837="","",IF('ORDENES'!$O837="","-",'ORDENES'!$O837))</f>
        <v/>
      </c>
      <c r="M859" s="3">
        <f>IF('ORDENES'!$A837="","",'ORDENES'!$AB837)</f>
        <v/>
      </c>
    </row>
    <row r="860">
      <c r="A860" s="3">
        <f>IF('ORDENES'!$A838="","",IF('ORDENES'!$P838="","-",'ORDENES'!$P838))</f>
        <v/>
      </c>
      <c r="B860" s="3">
        <f>IF('ORDENES'!$A838="","",IF('ORDENES'!$S838="","-",'ORDENES'!$S838))</f>
        <v/>
      </c>
      <c r="C860" s="3">
        <f>IF('ORDENES'!$A838="","",IF('ORDENES'!$AD838="","-",'ORDENES'!$AD838))</f>
        <v/>
      </c>
      <c r="D860" s="3">
        <f>IF('ORDENES'!$A838="","",IF('ORDENES'!$W838="","-",'ORDENES'!$W838))</f>
        <v/>
      </c>
      <c r="E860" s="3">
        <f>IF('ORDENES'!$A838="","",IF('ORDENES'!$V838="","-",'ORDENES'!$V838))</f>
        <v/>
      </c>
      <c r="F860" s="3">
        <f>IF('ORDENES'!$A838="","",IF('ORDENES'!$X838="","-",'ORDENES'!$X838))</f>
        <v/>
      </c>
      <c r="G860" s="3">
        <f>IF('ORDENES'!$A838="","",IF('ORDENES'!$AC838="","-",'ORDENES'!$AC838))</f>
        <v/>
      </c>
      <c r="H860" s="3">
        <f>IF('ORDENES'!$A838="","",IF('ORDENES'!$AO838="","-",'ORDENES'!$AO838))</f>
        <v/>
      </c>
      <c r="I860" s="3">
        <f>IF('ORDENES'!$A838="","",IF('ORDENES'!$D838="","-",'ORDENES'!$D838))</f>
        <v/>
      </c>
      <c r="J860" s="3">
        <f>IF('ORDENES'!$A838="","",IF('ORDENES'!$E838="","-",'ORDENES'!$E838))</f>
        <v/>
      </c>
      <c r="K860" s="12">
        <f>IF('ORDENES'!$A838="","",IF('ORDENES'!$N838="",0,'ORDENES'!$N838))</f>
        <v/>
      </c>
      <c r="L860" s="3">
        <f>IF('ORDENES'!$A838="","",IF('ORDENES'!$O838="","-",'ORDENES'!$O838))</f>
        <v/>
      </c>
      <c r="M860" s="3">
        <f>IF('ORDENES'!$A838="","",'ORDENES'!$AB838)</f>
        <v/>
      </c>
    </row>
    <row r="861">
      <c r="A861" s="3">
        <f>IF('ORDENES'!$A839="","",IF('ORDENES'!$P839="","-",'ORDENES'!$P839))</f>
        <v/>
      </c>
      <c r="B861" s="3">
        <f>IF('ORDENES'!$A839="","",IF('ORDENES'!$S839="","-",'ORDENES'!$S839))</f>
        <v/>
      </c>
      <c r="C861" s="3">
        <f>IF('ORDENES'!$A839="","",IF('ORDENES'!$AD839="","-",'ORDENES'!$AD839))</f>
        <v/>
      </c>
      <c r="D861" s="3">
        <f>IF('ORDENES'!$A839="","",IF('ORDENES'!$W839="","-",'ORDENES'!$W839))</f>
        <v/>
      </c>
      <c r="E861" s="3">
        <f>IF('ORDENES'!$A839="","",IF('ORDENES'!$V839="","-",'ORDENES'!$V839))</f>
        <v/>
      </c>
      <c r="F861" s="3">
        <f>IF('ORDENES'!$A839="","",IF('ORDENES'!$X839="","-",'ORDENES'!$X839))</f>
        <v/>
      </c>
      <c r="G861" s="3">
        <f>IF('ORDENES'!$A839="","",IF('ORDENES'!$AC839="","-",'ORDENES'!$AC839))</f>
        <v/>
      </c>
      <c r="H861" s="3">
        <f>IF('ORDENES'!$A839="","",IF('ORDENES'!$AO839="","-",'ORDENES'!$AO839))</f>
        <v/>
      </c>
      <c r="I861" s="3">
        <f>IF('ORDENES'!$A839="","",IF('ORDENES'!$D839="","-",'ORDENES'!$D839))</f>
        <v/>
      </c>
      <c r="J861" s="3">
        <f>IF('ORDENES'!$A839="","",IF('ORDENES'!$E839="","-",'ORDENES'!$E839))</f>
        <v/>
      </c>
      <c r="K861" s="12">
        <f>IF('ORDENES'!$A839="","",IF('ORDENES'!$N839="",0,'ORDENES'!$N839))</f>
        <v/>
      </c>
      <c r="L861" s="3">
        <f>IF('ORDENES'!$A839="","",IF('ORDENES'!$O839="","-",'ORDENES'!$O839))</f>
        <v/>
      </c>
      <c r="M861" s="3">
        <f>IF('ORDENES'!$A839="","",'ORDENES'!$AB839)</f>
        <v/>
      </c>
    </row>
    <row r="862">
      <c r="A862" s="3">
        <f>IF('ORDENES'!$A840="","",IF('ORDENES'!$P840="","-",'ORDENES'!$P840))</f>
        <v/>
      </c>
      <c r="B862" s="3">
        <f>IF('ORDENES'!$A840="","",IF('ORDENES'!$S840="","-",'ORDENES'!$S840))</f>
        <v/>
      </c>
      <c r="C862" s="3">
        <f>IF('ORDENES'!$A840="","",IF('ORDENES'!$AD840="","-",'ORDENES'!$AD840))</f>
        <v/>
      </c>
      <c r="D862" s="3">
        <f>IF('ORDENES'!$A840="","",IF('ORDENES'!$W840="","-",'ORDENES'!$W840))</f>
        <v/>
      </c>
      <c r="E862" s="3">
        <f>IF('ORDENES'!$A840="","",IF('ORDENES'!$V840="","-",'ORDENES'!$V840))</f>
        <v/>
      </c>
      <c r="F862" s="3">
        <f>IF('ORDENES'!$A840="","",IF('ORDENES'!$X840="","-",'ORDENES'!$X840))</f>
        <v/>
      </c>
      <c r="G862" s="3">
        <f>IF('ORDENES'!$A840="","",IF('ORDENES'!$AC840="","-",'ORDENES'!$AC840))</f>
        <v/>
      </c>
      <c r="H862" s="3">
        <f>IF('ORDENES'!$A840="","",IF('ORDENES'!$AO840="","-",'ORDENES'!$AO840))</f>
        <v/>
      </c>
      <c r="I862" s="3">
        <f>IF('ORDENES'!$A840="","",IF('ORDENES'!$D840="","-",'ORDENES'!$D840))</f>
        <v/>
      </c>
      <c r="J862" s="3">
        <f>IF('ORDENES'!$A840="","",IF('ORDENES'!$E840="","-",'ORDENES'!$E840))</f>
        <v/>
      </c>
      <c r="K862" s="12">
        <f>IF('ORDENES'!$A840="","",IF('ORDENES'!$N840="",0,'ORDENES'!$N840))</f>
        <v/>
      </c>
      <c r="L862" s="3">
        <f>IF('ORDENES'!$A840="","",IF('ORDENES'!$O840="","-",'ORDENES'!$O840))</f>
        <v/>
      </c>
      <c r="M862" s="3">
        <f>IF('ORDENES'!$A840="","",'ORDENES'!$AB840)</f>
        <v/>
      </c>
    </row>
    <row r="863">
      <c r="A863" s="3">
        <f>IF('ORDENES'!$A841="","",IF('ORDENES'!$P841="","-",'ORDENES'!$P841))</f>
        <v/>
      </c>
      <c r="B863" s="3">
        <f>IF('ORDENES'!$A841="","",IF('ORDENES'!$S841="","-",'ORDENES'!$S841))</f>
        <v/>
      </c>
      <c r="C863" s="3">
        <f>IF('ORDENES'!$A841="","",IF('ORDENES'!$AD841="","-",'ORDENES'!$AD841))</f>
        <v/>
      </c>
      <c r="D863" s="3">
        <f>IF('ORDENES'!$A841="","",IF('ORDENES'!$W841="","-",'ORDENES'!$W841))</f>
        <v/>
      </c>
      <c r="E863" s="3">
        <f>IF('ORDENES'!$A841="","",IF('ORDENES'!$V841="","-",'ORDENES'!$V841))</f>
        <v/>
      </c>
      <c r="F863" s="3">
        <f>IF('ORDENES'!$A841="","",IF('ORDENES'!$X841="","-",'ORDENES'!$X841))</f>
        <v/>
      </c>
      <c r="G863" s="3">
        <f>IF('ORDENES'!$A841="","",IF('ORDENES'!$AC841="","-",'ORDENES'!$AC841))</f>
        <v/>
      </c>
      <c r="H863" s="3">
        <f>IF('ORDENES'!$A841="","",IF('ORDENES'!$AO841="","-",'ORDENES'!$AO841))</f>
        <v/>
      </c>
      <c r="I863" s="3">
        <f>IF('ORDENES'!$A841="","",IF('ORDENES'!$D841="","-",'ORDENES'!$D841))</f>
        <v/>
      </c>
      <c r="J863" s="3">
        <f>IF('ORDENES'!$A841="","",IF('ORDENES'!$E841="","-",'ORDENES'!$E841))</f>
        <v/>
      </c>
      <c r="K863" s="12">
        <f>IF('ORDENES'!$A841="","",IF('ORDENES'!$N841="",0,'ORDENES'!$N841))</f>
        <v/>
      </c>
      <c r="L863" s="3">
        <f>IF('ORDENES'!$A841="","",IF('ORDENES'!$O841="","-",'ORDENES'!$O841))</f>
        <v/>
      </c>
      <c r="M863" s="3">
        <f>IF('ORDENES'!$A841="","",'ORDENES'!$AB841)</f>
        <v/>
      </c>
    </row>
    <row r="864">
      <c r="A864" s="3">
        <f>IF('ORDENES'!$A842="","",IF('ORDENES'!$P842="","-",'ORDENES'!$P842))</f>
        <v/>
      </c>
      <c r="B864" s="3">
        <f>IF('ORDENES'!$A842="","",IF('ORDENES'!$S842="","-",'ORDENES'!$S842))</f>
        <v/>
      </c>
      <c r="C864" s="3">
        <f>IF('ORDENES'!$A842="","",IF('ORDENES'!$AD842="","-",'ORDENES'!$AD842))</f>
        <v/>
      </c>
      <c r="D864" s="3">
        <f>IF('ORDENES'!$A842="","",IF('ORDENES'!$W842="","-",'ORDENES'!$W842))</f>
        <v/>
      </c>
      <c r="E864" s="3">
        <f>IF('ORDENES'!$A842="","",IF('ORDENES'!$V842="","-",'ORDENES'!$V842))</f>
        <v/>
      </c>
      <c r="F864" s="3">
        <f>IF('ORDENES'!$A842="","",IF('ORDENES'!$X842="","-",'ORDENES'!$X842))</f>
        <v/>
      </c>
      <c r="G864" s="3">
        <f>IF('ORDENES'!$A842="","",IF('ORDENES'!$AC842="","-",'ORDENES'!$AC842))</f>
        <v/>
      </c>
      <c r="H864" s="3">
        <f>IF('ORDENES'!$A842="","",IF('ORDENES'!$AO842="","-",'ORDENES'!$AO842))</f>
        <v/>
      </c>
      <c r="I864" s="3">
        <f>IF('ORDENES'!$A842="","",IF('ORDENES'!$D842="","-",'ORDENES'!$D842))</f>
        <v/>
      </c>
      <c r="J864" s="3">
        <f>IF('ORDENES'!$A842="","",IF('ORDENES'!$E842="","-",'ORDENES'!$E842))</f>
        <v/>
      </c>
      <c r="K864" s="12">
        <f>IF('ORDENES'!$A842="","",IF('ORDENES'!$N842="",0,'ORDENES'!$N842))</f>
        <v/>
      </c>
      <c r="L864" s="3">
        <f>IF('ORDENES'!$A842="","",IF('ORDENES'!$O842="","-",'ORDENES'!$O842))</f>
        <v/>
      </c>
      <c r="M864" s="3">
        <f>IF('ORDENES'!$A842="","",'ORDENES'!$AB842)</f>
        <v/>
      </c>
    </row>
    <row r="865">
      <c r="A865" s="3">
        <f>IF('ORDENES'!$A843="","",IF('ORDENES'!$P843="","-",'ORDENES'!$P843))</f>
        <v/>
      </c>
      <c r="B865" s="3">
        <f>IF('ORDENES'!$A843="","",IF('ORDENES'!$S843="","-",'ORDENES'!$S843))</f>
        <v/>
      </c>
      <c r="C865" s="3">
        <f>IF('ORDENES'!$A843="","",IF('ORDENES'!$AD843="","-",'ORDENES'!$AD843))</f>
        <v/>
      </c>
      <c r="D865" s="3">
        <f>IF('ORDENES'!$A843="","",IF('ORDENES'!$W843="","-",'ORDENES'!$W843))</f>
        <v/>
      </c>
      <c r="E865" s="3">
        <f>IF('ORDENES'!$A843="","",IF('ORDENES'!$V843="","-",'ORDENES'!$V843))</f>
        <v/>
      </c>
      <c r="F865" s="3">
        <f>IF('ORDENES'!$A843="","",IF('ORDENES'!$X843="","-",'ORDENES'!$X843))</f>
        <v/>
      </c>
      <c r="G865" s="3">
        <f>IF('ORDENES'!$A843="","",IF('ORDENES'!$AC843="","-",'ORDENES'!$AC843))</f>
        <v/>
      </c>
      <c r="H865" s="3">
        <f>IF('ORDENES'!$A843="","",IF('ORDENES'!$AO843="","-",'ORDENES'!$AO843))</f>
        <v/>
      </c>
      <c r="I865" s="3">
        <f>IF('ORDENES'!$A843="","",IF('ORDENES'!$D843="","-",'ORDENES'!$D843))</f>
        <v/>
      </c>
      <c r="J865" s="3">
        <f>IF('ORDENES'!$A843="","",IF('ORDENES'!$E843="","-",'ORDENES'!$E843))</f>
        <v/>
      </c>
      <c r="K865" s="12">
        <f>IF('ORDENES'!$A843="","",IF('ORDENES'!$N843="",0,'ORDENES'!$N843))</f>
        <v/>
      </c>
      <c r="L865" s="3">
        <f>IF('ORDENES'!$A843="","",IF('ORDENES'!$O843="","-",'ORDENES'!$O843))</f>
        <v/>
      </c>
      <c r="M865" s="3">
        <f>IF('ORDENES'!$A843="","",'ORDENES'!$AB843)</f>
        <v/>
      </c>
    </row>
    <row r="866">
      <c r="A866" s="3">
        <f>IF('ORDENES'!$A844="","",IF('ORDENES'!$P844="","-",'ORDENES'!$P844))</f>
        <v/>
      </c>
      <c r="B866" s="3">
        <f>IF('ORDENES'!$A844="","",IF('ORDENES'!$S844="","-",'ORDENES'!$S844))</f>
        <v/>
      </c>
      <c r="C866" s="3">
        <f>IF('ORDENES'!$A844="","",IF('ORDENES'!$AD844="","-",'ORDENES'!$AD844))</f>
        <v/>
      </c>
      <c r="D866" s="3">
        <f>IF('ORDENES'!$A844="","",IF('ORDENES'!$W844="","-",'ORDENES'!$W844))</f>
        <v/>
      </c>
      <c r="E866" s="3">
        <f>IF('ORDENES'!$A844="","",IF('ORDENES'!$V844="","-",'ORDENES'!$V844))</f>
        <v/>
      </c>
      <c r="F866" s="3">
        <f>IF('ORDENES'!$A844="","",IF('ORDENES'!$X844="","-",'ORDENES'!$X844))</f>
        <v/>
      </c>
      <c r="G866" s="3">
        <f>IF('ORDENES'!$A844="","",IF('ORDENES'!$AC844="","-",'ORDENES'!$AC844))</f>
        <v/>
      </c>
      <c r="H866" s="3">
        <f>IF('ORDENES'!$A844="","",IF('ORDENES'!$AO844="","-",'ORDENES'!$AO844))</f>
        <v/>
      </c>
      <c r="I866" s="3">
        <f>IF('ORDENES'!$A844="","",IF('ORDENES'!$D844="","-",'ORDENES'!$D844))</f>
        <v/>
      </c>
      <c r="J866" s="3">
        <f>IF('ORDENES'!$A844="","",IF('ORDENES'!$E844="","-",'ORDENES'!$E844))</f>
        <v/>
      </c>
      <c r="K866" s="12">
        <f>IF('ORDENES'!$A844="","",IF('ORDENES'!$N844="",0,'ORDENES'!$N844))</f>
        <v/>
      </c>
      <c r="L866" s="3">
        <f>IF('ORDENES'!$A844="","",IF('ORDENES'!$O844="","-",'ORDENES'!$O844))</f>
        <v/>
      </c>
      <c r="M866" s="3">
        <f>IF('ORDENES'!$A844="","",'ORDENES'!$AB844)</f>
        <v/>
      </c>
    </row>
    <row r="867">
      <c r="A867" s="3">
        <f>IF('ORDENES'!$A845="","",IF('ORDENES'!$P845="","-",'ORDENES'!$P845))</f>
        <v/>
      </c>
      <c r="B867" s="3">
        <f>IF('ORDENES'!$A845="","",IF('ORDENES'!$S845="","-",'ORDENES'!$S845))</f>
        <v/>
      </c>
      <c r="C867" s="3">
        <f>IF('ORDENES'!$A845="","",IF('ORDENES'!$AD845="","-",'ORDENES'!$AD845))</f>
        <v/>
      </c>
      <c r="D867" s="3">
        <f>IF('ORDENES'!$A845="","",IF('ORDENES'!$W845="","-",'ORDENES'!$W845))</f>
        <v/>
      </c>
      <c r="E867" s="3">
        <f>IF('ORDENES'!$A845="","",IF('ORDENES'!$V845="","-",'ORDENES'!$V845))</f>
        <v/>
      </c>
      <c r="F867" s="3">
        <f>IF('ORDENES'!$A845="","",IF('ORDENES'!$X845="","-",'ORDENES'!$X845))</f>
        <v/>
      </c>
      <c r="G867" s="3">
        <f>IF('ORDENES'!$A845="","",IF('ORDENES'!$AC845="","-",'ORDENES'!$AC845))</f>
        <v/>
      </c>
      <c r="H867" s="3">
        <f>IF('ORDENES'!$A845="","",IF('ORDENES'!$AO845="","-",'ORDENES'!$AO845))</f>
        <v/>
      </c>
      <c r="I867" s="3">
        <f>IF('ORDENES'!$A845="","",IF('ORDENES'!$D845="","-",'ORDENES'!$D845))</f>
        <v/>
      </c>
      <c r="J867" s="3">
        <f>IF('ORDENES'!$A845="","",IF('ORDENES'!$E845="","-",'ORDENES'!$E845))</f>
        <v/>
      </c>
      <c r="K867" s="12">
        <f>IF('ORDENES'!$A845="","",IF('ORDENES'!$N845="",0,'ORDENES'!$N845))</f>
        <v/>
      </c>
      <c r="L867" s="3">
        <f>IF('ORDENES'!$A845="","",IF('ORDENES'!$O845="","-",'ORDENES'!$O845))</f>
        <v/>
      </c>
      <c r="M867" s="3">
        <f>IF('ORDENES'!$A845="","",'ORDENES'!$AB845)</f>
        <v/>
      </c>
    </row>
    <row r="868">
      <c r="A868" s="3">
        <f>IF('ORDENES'!$A846="","",IF('ORDENES'!$P846="","-",'ORDENES'!$P846))</f>
        <v/>
      </c>
      <c r="B868" s="3">
        <f>IF('ORDENES'!$A846="","",IF('ORDENES'!$S846="","-",'ORDENES'!$S846))</f>
        <v/>
      </c>
      <c r="C868" s="3">
        <f>IF('ORDENES'!$A846="","",IF('ORDENES'!$AD846="","-",'ORDENES'!$AD846))</f>
        <v/>
      </c>
      <c r="D868" s="3">
        <f>IF('ORDENES'!$A846="","",IF('ORDENES'!$W846="","-",'ORDENES'!$W846))</f>
        <v/>
      </c>
      <c r="E868" s="3">
        <f>IF('ORDENES'!$A846="","",IF('ORDENES'!$V846="","-",'ORDENES'!$V846))</f>
        <v/>
      </c>
      <c r="F868" s="3">
        <f>IF('ORDENES'!$A846="","",IF('ORDENES'!$X846="","-",'ORDENES'!$X846))</f>
        <v/>
      </c>
      <c r="G868" s="3">
        <f>IF('ORDENES'!$A846="","",IF('ORDENES'!$AC846="","-",'ORDENES'!$AC846))</f>
        <v/>
      </c>
      <c r="H868" s="3">
        <f>IF('ORDENES'!$A846="","",IF('ORDENES'!$AO846="","-",'ORDENES'!$AO846))</f>
        <v/>
      </c>
      <c r="I868" s="3">
        <f>IF('ORDENES'!$A846="","",IF('ORDENES'!$D846="","-",'ORDENES'!$D846))</f>
        <v/>
      </c>
      <c r="J868" s="3">
        <f>IF('ORDENES'!$A846="","",IF('ORDENES'!$E846="","-",'ORDENES'!$E846))</f>
        <v/>
      </c>
      <c r="K868" s="12">
        <f>IF('ORDENES'!$A846="","",IF('ORDENES'!$N846="",0,'ORDENES'!$N846))</f>
        <v/>
      </c>
      <c r="L868" s="3">
        <f>IF('ORDENES'!$A846="","",IF('ORDENES'!$O846="","-",'ORDENES'!$O846))</f>
        <v/>
      </c>
      <c r="M868" s="3">
        <f>IF('ORDENES'!$A846="","",'ORDENES'!$AB846)</f>
        <v/>
      </c>
    </row>
    <row r="869">
      <c r="A869" s="3">
        <f>IF('ORDENES'!$A847="","",IF('ORDENES'!$P847="","-",'ORDENES'!$P847))</f>
        <v/>
      </c>
      <c r="B869" s="3">
        <f>IF('ORDENES'!$A847="","",IF('ORDENES'!$S847="","-",'ORDENES'!$S847))</f>
        <v/>
      </c>
      <c r="C869" s="3">
        <f>IF('ORDENES'!$A847="","",IF('ORDENES'!$AD847="","-",'ORDENES'!$AD847))</f>
        <v/>
      </c>
      <c r="D869" s="3">
        <f>IF('ORDENES'!$A847="","",IF('ORDENES'!$W847="","-",'ORDENES'!$W847))</f>
        <v/>
      </c>
      <c r="E869" s="3">
        <f>IF('ORDENES'!$A847="","",IF('ORDENES'!$V847="","-",'ORDENES'!$V847))</f>
        <v/>
      </c>
      <c r="F869" s="3">
        <f>IF('ORDENES'!$A847="","",IF('ORDENES'!$X847="","-",'ORDENES'!$X847))</f>
        <v/>
      </c>
      <c r="G869" s="3">
        <f>IF('ORDENES'!$A847="","",IF('ORDENES'!$AC847="","-",'ORDENES'!$AC847))</f>
        <v/>
      </c>
      <c r="H869" s="3">
        <f>IF('ORDENES'!$A847="","",IF('ORDENES'!$AO847="","-",'ORDENES'!$AO847))</f>
        <v/>
      </c>
      <c r="I869" s="3">
        <f>IF('ORDENES'!$A847="","",IF('ORDENES'!$D847="","-",'ORDENES'!$D847))</f>
        <v/>
      </c>
      <c r="J869" s="3">
        <f>IF('ORDENES'!$A847="","",IF('ORDENES'!$E847="","-",'ORDENES'!$E847))</f>
        <v/>
      </c>
      <c r="K869" s="12">
        <f>IF('ORDENES'!$A847="","",IF('ORDENES'!$N847="",0,'ORDENES'!$N847))</f>
        <v/>
      </c>
      <c r="L869" s="3">
        <f>IF('ORDENES'!$A847="","",IF('ORDENES'!$O847="","-",'ORDENES'!$O847))</f>
        <v/>
      </c>
      <c r="M869" s="3">
        <f>IF('ORDENES'!$A847="","",'ORDENES'!$AB847)</f>
        <v/>
      </c>
    </row>
    <row r="870">
      <c r="A870" s="3">
        <f>IF('ORDENES'!$A848="","",IF('ORDENES'!$P848="","-",'ORDENES'!$P848))</f>
        <v/>
      </c>
      <c r="B870" s="3">
        <f>IF('ORDENES'!$A848="","",IF('ORDENES'!$S848="","-",'ORDENES'!$S848))</f>
        <v/>
      </c>
      <c r="C870" s="3">
        <f>IF('ORDENES'!$A848="","",IF('ORDENES'!$AD848="","-",'ORDENES'!$AD848))</f>
        <v/>
      </c>
      <c r="D870" s="3">
        <f>IF('ORDENES'!$A848="","",IF('ORDENES'!$W848="","-",'ORDENES'!$W848))</f>
        <v/>
      </c>
      <c r="E870" s="3">
        <f>IF('ORDENES'!$A848="","",IF('ORDENES'!$V848="","-",'ORDENES'!$V848))</f>
        <v/>
      </c>
      <c r="F870" s="3">
        <f>IF('ORDENES'!$A848="","",IF('ORDENES'!$X848="","-",'ORDENES'!$X848))</f>
        <v/>
      </c>
      <c r="G870" s="3">
        <f>IF('ORDENES'!$A848="","",IF('ORDENES'!$AC848="","-",'ORDENES'!$AC848))</f>
        <v/>
      </c>
      <c r="H870" s="3">
        <f>IF('ORDENES'!$A848="","",IF('ORDENES'!$AO848="","-",'ORDENES'!$AO848))</f>
        <v/>
      </c>
      <c r="I870" s="3">
        <f>IF('ORDENES'!$A848="","",IF('ORDENES'!$D848="","-",'ORDENES'!$D848))</f>
        <v/>
      </c>
      <c r="J870" s="3">
        <f>IF('ORDENES'!$A848="","",IF('ORDENES'!$E848="","-",'ORDENES'!$E848))</f>
        <v/>
      </c>
      <c r="K870" s="12">
        <f>IF('ORDENES'!$A848="","",IF('ORDENES'!$N848="",0,'ORDENES'!$N848))</f>
        <v/>
      </c>
      <c r="L870" s="3">
        <f>IF('ORDENES'!$A848="","",IF('ORDENES'!$O848="","-",'ORDENES'!$O848))</f>
        <v/>
      </c>
      <c r="M870" s="3">
        <f>IF('ORDENES'!$A848="","",'ORDENES'!$AB848)</f>
        <v/>
      </c>
    </row>
    <row r="871">
      <c r="A871" s="3">
        <f>IF('ORDENES'!$A849="","",IF('ORDENES'!$P849="","-",'ORDENES'!$P849))</f>
        <v/>
      </c>
      <c r="B871" s="3">
        <f>IF('ORDENES'!$A849="","",IF('ORDENES'!$S849="","-",'ORDENES'!$S849))</f>
        <v/>
      </c>
      <c r="C871" s="3">
        <f>IF('ORDENES'!$A849="","",IF('ORDENES'!$AD849="","-",'ORDENES'!$AD849))</f>
        <v/>
      </c>
      <c r="D871" s="3">
        <f>IF('ORDENES'!$A849="","",IF('ORDENES'!$W849="","-",'ORDENES'!$W849))</f>
        <v/>
      </c>
      <c r="E871" s="3">
        <f>IF('ORDENES'!$A849="","",IF('ORDENES'!$V849="","-",'ORDENES'!$V849))</f>
        <v/>
      </c>
      <c r="F871" s="3">
        <f>IF('ORDENES'!$A849="","",IF('ORDENES'!$X849="","-",'ORDENES'!$X849))</f>
        <v/>
      </c>
      <c r="G871" s="3">
        <f>IF('ORDENES'!$A849="","",IF('ORDENES'!$AC849="","-",'ORDENES'!$AC849))</f>
        <v/>
      </c>
      <c r="H871" s="3">
        <f>IF('ORDENES'!$A849="","",IF('ORDENES'!$AO849="","-",'ORDENES'!$AO849))</f>
        <v/>
      </c>
      <c r="I871" s="3">
        <f>IF('ORDENES'!$A849="","",IF('ORDENES'!$D849="","-",'ORDENES'!$D849))</f>
        <v/>
      </c>
      <c r="J871" s="3">
        <f>IF('ORDENES'!$A849="","",IF('ORDENES'!$E849="","-",'ORDENES'!$E849))</f>
        <v/>
      </c>
      <c r="K871" s="12">
        <f>IF('ORDENES'!$A849="","",IF('ORDENES'!$N849="",0,'ORDENES'!$N849))</f>
        <v/>
      </c>
      <c r="L871" s="3">
        <f>IF('ORDENES'!$A849="","",IF('ORDENES'!$O849="","-",'ORDENES'!$O849))</f>
        <v/>
      </c>
      <c r="M871" s="3">
        <f>IF('ORDENES'!$A849="","",'ORDENES'!$AB849)</f>
        <v/>
      </c>
    </row>
    <row r="872">
      <c r="A872" s="3">
        <f>IF('ORDENES'!$A850="","",IF('ORDENES'!$P850="","-",'ORDENES'!$P850))</f>
        <v/>
      </c>
      <c r="B872" s="3">
        <f>IF('ORDENES'!$A850="","",IF('ORDENES'!$S850="","-",'ORDENES'!$S850))</f>
        <v/>
      </c>
      <c r="C872" s="3">
        <f>IF('ORDENES'!$A850="","",IF('ORDENES'!$AD850="","-",'ORDENES'!$AD850))</f>
        <v/>
      </c>
      <c r="D872" s="3">
        <f>IF('ORDENES'!$A850="","",IF('ORDENES'!$W850="","-",'ORDENES'!$W850))</f>
        <v/>
      </c>
      <c r="E872" s="3">
        <f>IF('ORDENES'!$A850="","",IF('ORDENES'!$V850="","-",'ORDENES'!$V850))</f>
        <v/>
      </c>
      <c r="F872" s="3">
        <f>IF('ORDENES'!$A850="","",IF('ORDENES'!$X850="","-",'ORDENES'!$X850))</f>
        <v/>
      </c>
      <c r="G872" s="3">
        <f>IF('ORDENES'!$A850="","",IF('ORDENES'!$AC850="","-",'ORDENES'!$AC850))</f>
        <v/>
      </c>
      <c r="H872" s="3">
        <f>IF('ORDENES'!$A850="","",IF('ORDENES'!$AO850="","-",'ORDENES'!$AO850))</f>
        <v/>
      </c>
      <c r="I872" s="3">
        <f>IF('ORDENES'!$A850="","",IF('ORDENES'!$D850="","-",'ORDENES'!$D850))</f>
        <v/>
      </c>
      <c r="J872" s="3">
        <f>IF('ORDENES'!$A850="","",IF('ORDENES'!$E850="","-",'ORDENES'!$E850))</f>
        <v/>
      </c>
      <c r="K872" s="12">
        <f>IF('ORDENES'!$A850="","",IF('ORDENES'!$N850="",0,'ORDENES'!$N850))</f>
        <v/>
      </c>
      <c r="L872" s="3">
        <f>IF('ORDENES'!$A850="","",IF('ORDENES'!$O850="","-",'ORDENES'!$O850))</f>
        <v/>
      </c>
      <c r="M872" s="3">
        <f>IF('ORDENES'!$A850="","",'ORDENES'!$AB850)</f>
        <v/>
      </c>
    </row>
    <row r="873">
      <c r="A873" s="3">
        <f>IF('ORDENES'!$A851="","",IF('ORDENES'!$P851="","-",'ORDENES'!$P851))</f>
        <v/>
      </c>
      <c r="B873" s="3">
        <f>IF('ORDENES'!$A851="","",IF('ORDENES'!$S851="","-",'ORDENES'!$S851))</f>
        <v/>
      </c>
      <c r="C873" s="3">
        <f>IF('ORDENES'!$A851="","",IF('ORDENES'!$AD851="","-",'ORDENES'!$AD851))</f>
        <v/>
      </c>
      <c r="D873" s="3">
        <f>IF('ORDENES'!$A851="","",IF('ORDENES'!$W851="","-",'ORDENES'!$W851))</f>
        <v/>
      </c>
      <c r="E873" s="3">
        <f>IF('ORDENES'!$A851="","",IF('ORDENES'!$V851="","-",'ORDENES'!$V851))</f>
        <v/>
      </c>
      <c r="F873" s="3">
        <f>IF('ORDENES'!$A851="","",IF('ORDENES'!$X851="","-",'ORDENES'!$X851))</f>
        <v/>
      </c>
      <c r="G873" s="3">
        <f>IF('ORDENES'!$A851="","",IF('ORDENES'!$AC851="","-",'ORDENES'!$AC851))</f>
        <v/>
      </c>
      <c r="H873" s="3">
        <f>IF('ORDENES'!$A851="","",IF('ORDENES'!$AO851="","-",'ORDENES'!$AO851))</f>
        <v/>
      </c>
      <c r="I873" s="3">
        <f>IF('ORDENES'!$A851="","",IF('ORDENES'!$D851="","-",'ORDENES'!$D851))</f>
        <v/>
      </c>
      <c r="J873" s="3">
        <f>IF('ORDENES'!$A851="","",IF('ORDENES'!$E851="","-",'ORDENES'!$E851))</f>
        <v/>
      </c>
      <c r="K873" s="12">
        <f>IF('ORDENES'!$A851="","",IF('ORDENES'!$N851="",0,'ORDENES'!$N851))</f>
        <v/>
      </c>
      <c r="L873" s="3">
        <f>IF('ORDENES'!$A851="","",IF('ORDENES'!$O851="","-",'ORDENES'!$O851))</f>
        <v/>
      </c>
      <c r="M873" s="3">
        <f>IF('ORDENES'!$A851="","",'ORDENES'!$AB851)</f>
        <v/>
      </c>
    </row>
    <row r="874">
      <c r="A874" s="3">
        <f>IF('ORDENES'!$A852="","",IF('ORDENES'!$P852="","-",'ORDENES'!$P852))</f>
        <v/>
      </c>
      <c r="B874" s="3">
        <f>IF('ORDENES'!$A852="","",IF('ORDENES'!$S852="","-",'ORDENES'!$S852))</f>
        <v/>
      </c>
      <c r="C874" s="3">
        <f>IF('ORDENES'!$A852="","",IF('ORDENES'!$AD852="","-",'ORDENES'!$AD852))</f>
        <v/>
      </c>
      <c r="D874" s="3">
        <f>IF('ORDENES'!$A852="","",IF('ORDENES'!$W852="","-",'ORDENES'!$W852))</f>
        <v/>
      </c>
      <c r="E874" s="3">
        <f>IF('ORDENES'!$A852="","",IF('ORDENES'!$V852="","-",'ORDENES'!$V852))</f>
        <v/>
      </c>
      <c r="F874" s="3">
        <f>IF('ORDENES'!$A852="","",IF('ORDENES'!$X852="","-",'ORDENES'!$X852))</f>
        <v/>
      </c>
      <c r="G874" s="3">
        <f>IF('ORDENES'!$A852="","",IF('ORDENES'!$AC852="","-",'ORDENES'!$AC852))</f>
        <v/>
      </c>
      <c r="H874" s="3">
        <f>IF('ORDENES'!$A852="","",IF('ORDENES'!$AO852="","-",'ORDENES'!$AO852))</f>
        <v/>
      </c>
      <c r="I874" s="3">
        <f>IF('ORDENES'!$A852="","",IF('ORDENES'!$D852="","-",'ORDENES'!$D852))</f>
        <v/>
      </c>
      <c r="J874" s="3">
        <f>IF('ORDENES'!$A852="","",IF('ORDENES'!$E852="","-",'ORDENES'!$E852))</f>
        <v/>
      </c>
      <c r="K874" s="12">
        <f>IF('ORDENES'!$A852="","",IF('ORDENES'!$N852="",0,'ORDENES'!$N852))</f>
        <v/>
      </c>
      <c r="L874" s="3">
        <f>IF('ORDENES'!$A852="","",IF('ORDENES'!$O852="","-",'ORDENES'!$O852))</f>
        <v/>
      </c>
      <c r="M874" s="3">
        <f>IF('ORDENES'!$A852="","",'ORDENES'!$AB852)</f>
        <v/>
      </c>
    </row>
    <row r="875">
      <c r="A875" s="3">
        <f>IF('ORDENES'!$A853="","",IF('ORDENES'!$P853="","-",'ORDENES'!$P853))</f>
        <v/>
      </c>
      <c r="B875" s="3">
        <f>IF('ORDENES'!$A853="","",IF('ORDENES'!$S853="","-",'ORDENES'!$S853))</f>
        <v/>
      </c>
      <c r="C875" s="3">
        <f>IF('ORDENES'!$A853="","",IF('ORDENES'!$AD853="","-",'ORDENES'!$AD853))</f>
        <v/>
      </c>
      <c r="D875" s="3">
        <f>IF('ORDENES'!$A853="","",IF('ORDENES'!$W853="","-",'ORDENES'!$W853))</f>
        <v/>
      </c>
      <c r="E875" s="3">
        <f>IF('ORDENES'!$A853="","",IF('ORDENES'!$V853="","-",'ORDENES'!$V853))</f>
        <v/>
      </c>
      <c r="F875" s="3">
        <f>IF('ORDENES'!$A853="","",IF('ORDENES'!$X853="","-",'ORDENES'!$X853))</f>
        <v/>
      </c>
      <c r="G875" s="3">
        <f>IF('ORDENES'!$A853="","",IF('ORDENES'!$AC853="","-",'ORDENES'!$AC853))</f>
        <v/>
      </c>
      <c r="H875" s="3">
        <f>IF('ORDENES'!$A853="","",IF('ORDENES'!$AO853="","-",'ORDENES'!$AO853))</f>
        <v/>
      </c>
      <c r="I875" s="3">
        <f>IF('ORDENES'!$A853="","",IF('ORDENES'!$D853="","-",'ORDENES'!$D853))</f>
        <v/>
      </c>
      <c r="J875" s="3">
        <f>IF('ORDENES'!$A853="","",IF('ORDENES'!$E853="","-",'ORDENES'!$E853))</f>
        <v/>
      </c>
      <c r="K875" s="12">
        <f>IF('ORDENES'!$A853="","",IF('ORDENES'!$N853="",0,'ORDENES'!$N853))</f>
        <v/>
      </c>
      <c r="L875" s="3">
        <f>IF('ORDENES'!$A853="","",IF('ORDENES'!$O853="","-",'ORDENES'!$O853))</f>
        <v/>
      </c>
      <c r="M875" s="3">
        <f>IF('ORDENES'!$A853="","",'ORDENES'!$AB853)</f>
        <v/>
      </c>
    </row>
    <row r="876">
      <c r="A876" s="3">
        <f>IF('ORDENES'!$A854="","",IF('ORDENES'!$P854="","-",'ORDENES'!$P854))</f>
        <v/>
      </c>
      <c r="B876" s="3">
        <f>IF('ORDENES'!$A854="","",IF('ORDENES'!$S854="","-",'ORDENES'!$S854))</f>
        <v/>
      </c>
      <c r="C876" s="3">
        <f>IF('ORDENES'!$A854="","",IF('ORDENES'!$AD854="","-",'ORDENES'!$AD854))</f>
        <v/>
      </c>
      <c r="D876" s="3">
        <f>IF('ORDENES'!$A854="","",IF('ORDENES'!$W854="","-",'ORDENES'!$W854))</f>
        <v/>
      </c>
      <c r="E876" s="3">
        <f>IF('ORDENES'!$A854="","",IF('ORDENES'!$V854="","-",'ORDENES'!$V854))</f>
        <v/>
      </c>
      <c r="F876" s="3">
        <f>IF('ORDENES'!$A854="","",IF('ORDENES'!$X854="","-",'ORDENES'!$X854))</f>
        <v/>
      </c>
      <c r="G876" s="3">
        <f>IF('ORDENES'!$A854="","",IF('ORDENES'!$AC854="","-",'ORDENES'!$AC854))</f>
        <v/>
      </c>
      <c r="H876" s="3">
        <f>IF('ORDENES'!$A854="","",IF('ORDENES'!$AO854="","-",'ORDENES'!$AO854))</f>
        <v/>
      </c>
      <c r="I876" s="3">
        <f>IF('ORDENES'!$A854="","",IF('ORDENES'!$D854="","-",'ORDENES'!$D854))</f>
        <v/>
      </c>
      <c r="J876" s="3">
        <f>IF('ORDENES'!$A854="","",IF('ORDENES'!$E854="","-",'ORDENES'!$E854))</f>
        <v/>
      </c>
      <c r="K876" s="12">
        <f>IF('ORDENES'!$A854="","",IF('ORDENES'!$N854="",0,'ORDENES'!$N854))</f>
        <v/>
      </c>
      <c r="L876" s="3">
        <f>IF('ORDENES'!$A854="","",IF('ORDENES'!$O854="","-",'ORDENES'!$O854))</f>
        <v/>
      </c>
      <c r="M876" s="3">
        <f>IF('ORDENES'!$A854="","",'ORDENES'!$AB854)</f>
        <v/>
      </c>
    </row>
    <row r="877">
      <c r="A877" s="3">
        <f>IF('ORDENES'!$A855="","",IF('ORDENES'!$P855="","-",'ORDENES'!$P855))</f>
        <v/>
      </c>
      <c r="B877" s="3">
        <f>IF('ORDENES'!$A855="","",IF('ORDENES'!$S855="","-",'ORDENES'!$S855))</f>
        <v/>
      </c>
      <c r="C877" s="3">
        <f>IF('ORDENES'!$A855="","",IF('ORDENES'!$AD855="","-",'ORDENES'!$AD855))</f>
        <v/>
      </c>
      <c r="D877" s="3">
        <f>IF('ORDENES'!$A855="","",IF('ORDENES'!$W855="","-",'ORDENES'!$W855))</f>
        <v/>
      </c>
      <c r="E877" s="3">
        <f>IF('ORDENES'!$A855="","",IF('ORDENES'!$V855="","-",'ORDENES'!$V855))</f>
        <v/>
      </c>
      <c r="F877" s="3">
        <f>IF('ORDENES'!$A855="","",IF('ORDENES'!$X855="","-",'ORDENES'!$X855))</f>
        <v/>
      </c>
      <c r="G877" s="3">
        <f>IF('ORDENES'!$A855="","",IF('ORDENES'!$AC855="","-",'ORDENES'!$AC855))</f>
        <v/>
      </c>
      <c r="H877" s="3">
        <f>IF('ORDENES'!$A855="","",IF('ORDENES'!$AO855="","-",'ORDENES'!$AO855))</f>
        <v/>
      </c>
      <c r="I877" s="3">
        <f>IF('ORDENES'!$A855="","",IF('ORDENES'!$D855="","-",'ORDENES'!$D855))</f>
        <v/>
      </c>
      <c r="J877" s="3">
        <f>IF('ORDENES'!$A855="","",IF('ORDENES'!$E855="","-",'ORDENES'!$E855))</f>
        <v/>
      </c>
      <c r="K877" s="12">
        <f>IF('ORDENES'!$A855="","",IF('ORDENES'!$N855="",0,'ORDENES'!$N855))</f>
        <v/>
      </c>
      <c r="L877" s="3">
        <f>IF('ORDENES'!$A855="","",IF('ORDENES'!$O855="","-",'ORDENES'!$O855))</f>
        <v/>
      </c>
      <c r="M877" s="3">
        <f>IF('ORDENES'!$A855="","",'ORDENES'!$AB855)</f>
        <v/>
      </c>
    </row>
    <row r="878">
      <c r="A878" s="3">
        <f>IF('ORDENES'!$A856="","",IF('ORDENES'!$P856="","-",'ORDENES'!$P856))</f>
        <v/>
      </c>
      <c r="B878" s="3">
        <f>IF('ORDENES'!$A856="","",IF('ORDENES'!$S856="","-",'ORDENES'!$S856))</f>
        <v/>
      </c>
      <c r="C878" s="3">
        <f>IF('ORDENES'!$A856="","",IF('ORDENES'!$AD856="","-",'ORDENES'!$AD856))</f>
        <v/>
      </c>
      <c r="D878" s="3">
        <f>IF('ORDENES'!$A856="","",IF('ORDENES'!$W856="","-",'ORDENES'!$W856))</f>
        <v/>
      </c>
      <c r="E878" s="3">
        <f>IF('ORDENES'!$A856="","",IF('ORDENES'!$V856="","-",'ORDENES'!$V856))</f>
        <v/>
      </c>
      <c r="F878" s="3">
        <f>IF('ORDENES'!$A856="","",IF('ORDENES'!$X856="","-",'ORDENES'!$X856))</f>
        <v/>
      </c>
      <c r="G878" s="3">
        <f>IF('ORDENES'!$A856="","",IF('ORDENES'!$AC856="","-",'ORDENES'!$AC856))</f>
        <v/>
      </c>
      <c r="H878" s="3">
        <f>IF('ORDENES'!$A856="","",IF('ORDENES'!$AO856="","-",'ORDENES'!$AO856))</f>
        <v/>
      </c>
      <c r="I878" s="3">
        <f>IF('ORDENES'!$A856="","",IF('ORDENES'!$D856="","-",'ORDENES'!$D856))</f>
        <v/>
      </c>
      <c r="J878" s="3">
        <f>IF('ORDENES'!$A856="","",IF('ORDENES'!$E856="","-",'ORDENES'!$E856))</f>
        <v/>
      </c>
      <c r="K878" s="12">
        <f>IF('ORDENES'!$A856="","",IF('ORDENES'!$N856="",0,'ORDENES'!$N856))</f>
        <v/>
      </c>
      <c r="L878" s="3">
        <f>IF('ORDENES'!$A856="","",IF('ORDENES'!$O856="","-",'ORDENES'!$O856))</f>
        <v/>
      </c>
      <c r="M878" s="3">
        <f>IF('ORDENES'!$A856="","",'ORDENES'!$AB856)</f>
        <v/>
      </c>
    </row>
    <row r="879">
      <c r="A879" s="3">
        <f>IF('ORDENES'!$A857="","",IF('ORDENES'!$P857="","-",'ORDENES'!$P857))</f>
        <v/>
      </c>
      <c r="B879" s="3">
        <f>IF('ORDENES'!$A857="","",IF('ORDENES'!$S857="","-",'ORDENES'!$S857))</f>
        <v/>
      </c>
      <c r="C879" s="3">
        <f>IF('ORDENES'!$A857="","",IF('ORDENES'!$AD857="","-",'ORDENES'!$AD857))</f>
        <v/>
      </c>
      <c r="D879" s="3">
        <f>IF('ORDENES'!$A857="","",IF('ORDENES'!$W857="","-",'ORDENES'!$W857))</f>
        <v/>
      </c>
      <c r="E879" s="3">
        <f>IF('ORDENES'!$A857="","",IF('ORDENES'!$V857="","-",'ORDENES'!$V857))</f>
        <v/>
      </c>
      <c r="F879" s="3">
        <f>IF('ORDENES'!$A857="","",IF('ORDENES'!$X857="","-",'ORDENES'!$X857))</f>
        <v/>
      </c>
      <c r="G879" s="3">
        <f>IF('ORDENES'!$A857="","",IF('ORDENES'!$AC857="","-",'ORDENES'!$AC857))</f>
        <v/>
      </c>
      <c r="H879" s="3">
        <f>IF('ORDENES'!$A857="","",IF('ORDENES'!$AO857="","-",'ORDENES'!$AO857))</f>
        <v/>
      </c>
      <c r="I879" s="3">
        <f>IF('ORDENES'!$A857="","",IF('ORDENES'!$D857="","-",'ORDENES'!$D857))</f>
        <v/>
      </c>
      <c r="J879" s="3">
        <f>IF('ORDENES'!$A857="","",IF('ORDENES'!$E857="","-",'ORDENES'!$E857))</f>
        <v/>
      </c>
      <c r="K879" s="12">
        <f>IF('ORDENES'!$A857="","",IF('ORDENES'!$N857="",0,'ORDENES'!$N857))</f>
        <v/>
      </c>
      <c r="L879" s="3">
        <f>IF('ORDENES'!$A857="","",IF('ORDENES'!$O857="","-",'ORDENES'!$O857))</f>
        <v/>
      </c>
      <c r="M879" s="3">
        <f>IF('ORDENES'!$A857="","",'ORDENES'!$AB857)</f>
        <v/>
      </c>
    </row>
    <row r="880">
      <c r="A880" s="3">
        <f>IF('ORDENES'!$A858="","",IF('ORDENES'!$P858="","-",'ORDENES'!$P858))</f>
        <v/>
      </c>
      <c r="B880" s="3">
        <f>IF('ORDENES'!$A858="","",IF('ORDENES'!$S858="","-",'ORDENES'!$S858))</f>
        <v/>
      </c>
      <c r="C880" s="3">
        <f>IF('ORDENES'!$A858="","",IF('ORDENES'!$AD858="","-",'ORDENES'!$AD858))</f>
        <v/>
      </c>
      <c r="D880" s="3">
        <f>IF('ORDENES'!$A858="","",IF('ORDENES'!$W858="","-",'ORDENES'!$W858))</f>
        <v/>
      </c>
      <c r="E880" s="3">
        <f>IF('ORDENES'!$A858="","",IF('ORDENES'!$V858="","-",'ORDENES'!$V858))</f>
        <v/>
      </c>
      <c r="F880" s="3">
        <f>IF('ORDENES'!$A858="","",IF('ORDENES'!$X858="","-",'ORDENES'!$X858))</f>
        <v/>
      </c>
      <c r="G880" s="3">
        <f>IF('ORDENES'!$A858="","",IF('ORDENES'!$AC858="","-",'ORDENES'!$AC858))</f>
        <v/>
      </c>
      <c r="H880" s="3">
        <f>IF('ORDENES'!$A858="","",IF('ORDENES'!$AO858="","-",'ORDENES'!$AO858))</f>
        <v/>
      </c>
      <c r="I880" s="3">
        <f>IF('ORDENES'!$A858="","",IF('ORDENES'!$D858="","-",'ORDENES'!$D858))</f>
        <v/>
      </c>
      <c r="J880" s="3">
        <f>IF('ORDENES'!$A858="","",IF('ORDENES'!$E858="","-",'ORDENES'!$E858))</f>
        <v/>
      </c>
      <c r="K880" s="12">
        <f>IF('ORDENES'!$A858="","",IF('ORDENES'!$N858="",0,'ORDENES'!$N858))</f>
        <v/>
      </c>
      <c r="L880" s="3">
        <f>IF('ORDENES'!$A858="","",IF('ORDENES'!$O858="","-",'ORDENES'!$O858))</f>
        <v/>
      </c>
      <c r="M880" s="3">
        <f>IF('ORDENES'!$A858="","",'ORDENES'!$AB858)</f>
        <v/>
      </c>
    </row>
    <row r="881">
      <c r="A881" s="3">
        <f>IF('ORDENES'!$A859="","",IF('ORDENES'!$P859="","-",'ORDENES'!$P859))</f>
        <v/>
      </c>
      <c r="B881" s="3">
        <f>IF('ORDENES'!$A859="","",IF('ORDENES'!$S859="","-",'ORDENES'!$S859))</f>
        <v/>
      </c>
      <c r="C881" s="3">
        <f>IF('ORDENES'!$A859="","",IF('ORDENES'!$AD859="","-",'ORDENES'!$AD859))</f>
        <v/>
      </c>
      <c r="D881" s="3">
        <f>IF('ORDENES'!$A859="","",IF('ORDENES'!$W859="","-",'ORDENES'!$W859))</f>
        <v/>
      </c>
      <c r="E881" s="3">
        <f>IF('ORDENES'!$A859="","",IF('ORDENES'!$V859="","-",'ORDENES'!$V859))</f>
        <v/>
      </c>
      <c r="F881" s="3">
        <f>IF('ORDENES'!$A859="","",IF('ORDENES'!$X859="","-",'ORDENES'!$X859))</f>
        <v/>
      </c>
      <c r="G881" s="3">
        <f>IF('ORDENES'!$A859="","",IF('ORDENES'!$AC859="","-",'ORDENES'!$AC859))</f>
        <v/>
      </c>
      <c r="H881" s="3">
        <f>IF('ORDENES'!$A859="","",IF('ORDENES'!$AO859="","-",'ORDENES'!$AO859))</f>
        <v/>
      </c>
      <c r="I881" s="3">
        <f>IF('ORDENES'!$A859="","",IF('ORDENES'!$D859="","-",'ORDENES'!$D859))</f>
        <v/>
      </c>
      <c r="J881" s="3">
        <f>IF('ORDENES'!$A859="","",IF('ORDENES'!$E859="","-",'ORDENES'!$E859))</f>
        <v/>
      </c>
      <c r="K881" s="12">
        <f>IF('ORDENES'!$A859="","",IF('ORDENES'!$N859="",0,'ORDENES'!$N859))</f>
        <v/>
      </c>
      <c r="L881" s="3">
        <f>IF('ORDENES'!$A859="","",IF('ORDENES'!$O859="","-",'ORDENES'!$O859))</f>
        <v/>
      </c>
      <c r="M881" s="3">
        <f>IF('ORDENES'!$A859="","",'ORDENES'!$AB859)</f>
        <v/>
      </c>
    </row>
    <row r="882">
      <c r="A882" s="3">
        <f>IF('ORDENES'!$A860="","",IF('ORDENES'!$P860="","-",'ORDENES'!$P860))</f>
        <v/>
      </c>
      <c r="B882" s="3">
        <f>IF('ORDENES'!$A860="","",IF('ORDENES'!$S860="","-",'ORDENES'!$S860))</f>
        <v/>
      </c>
      <c r="C882" s="3">
        <f>IF('ORDENES'!$A860="","",IF('ORDENES'!$AD860="","-",'ORDENES'!$AD860))</f>
        <v/>
      </c>
      <c r="D882" s="3">
        <f>IF('ORDENES'!$A860="","",IF('ORDENES'!$W860="","-",'ORDENES'!$W860))</f>
        <v/>
      </c>
      <c r="E882" s="3">
        <f>IF('ORDENES'!$A860="","",IF('ORDENES'!$V860="","-",'ORDENES'!$V860))</f>
        <v/>
      </c>
      <c r="F882" s="3">
        <f>IF('ORDENES'!$A860="","",IF('ORDENES'!$X860="","-",'ORDENES'!$X860))</f>
        <v/>
      </c>
      <c r="G882" s="3">
        <f>IF('ORDENES'!$A860="","",IF('ORDENES'!$AC860="","-",'ORDENES'!$AC860))</f>
        <v/>
      </c>
      <c r="H882" s="3">
        <f>IF('ORDENES'!$A860="","",IF('ORDENES'!$AO860="","-",'ORDENES'!$AO860))</f>
        <v/>
      </c>
      <c r="I882" s="3">
        <f>IF('ORDENES'!$A860="","",IF('ORDENES'!$D860="","-",'ORDENES'!$D860))</f>
        <v/>
      </c>
      <c r="J882" s="3">
        <f>IF('ORDENES'!$A860="","",IF('ORDENES'!$E860="","-",'ORDENES'!$E860))</f>
        <v/>
      </c>
      <c r="K882" s="12">
        <f>IF('ORDENES'!$A860="","",IF('ORDENES'!$N860="",0,'ORDENES'!$N860))</f>
        <v/>
      </c>
      <c r="L882" s="3">
        <f>IF('ORDENES'!$A860="","",IF('ORDENES'!$O860="","-",'ORDENES'!$O860))</f>
        <v/>
      </c>
      <c r="M882" s="3">
        <f>IF('ORDENES'!$A860="","",'ORDENES'!$AB860)</f>
        <v/>
      </c>
    </row>
    <row r="883">
      <c r="A883" s="3">
        <f>IF('ORDENES'!$A861="","",IF('ORDENES'!$P861="","-",'ORDENES'!$P861))</f>
        <v/>
      </c>
      <c r="B883" s="3">
        <f>IF('ORDENES'!$A861="","",IF('ORDENES'!$S861="","-",'ORDENES'!$S861))</f>
        <v/>
      </c>
      <c r="C883" s="3">
        <f>IF('ORDENES'!$A861="","",IF('ORDENES'!$AD861="","-",'ORDENES'!$AD861))</f>
        <v/>
      </c>
      <c r="D883" s="3">
        <f>IF('ORDENES'!$A861="","",IF('ORDENES'!$W861="","-",'ORDENES'!$W861))</f>
        <v/>
      </c>
      <c r="E883" s="3">
        <f>IF('ORDENES'!$A861="","",IF('ORDENES'!$V861="","-",'ORDENES'!$V861))</f>
        <v/>
      </c>
      <c r="F883" s="3">
        <f>IF('ORDENES'!$A861="","",IF('ORDENES'!$X861="","-",'ORDENES'!$X861))</f>
        <v/>
      </c>
      <c r="G883" s="3">
        <f>IF('ORDENES'!$A861="","",IF('ORDENES'!$AC861="","-",'ORDENES'!$AC861))</f>
        <v/>
      </c>
      <c r="H883" s="3">
        <f>IF('ORDENES'!$A861="","",IF('ORDENES'!$AO861="","-",'ORDENES'!$AO861))</f>
        <v/>
      </c>
      <c r="I883" s="3">
        <f>IF('ORDENES'!$A861="","",IF('ORDENES'!$D861="","-",'ORDENES'!$D861))</f>
        <v/>
      </c>
      <c r="J883" s="3">
        <f>IF('ORDENES'!$A861="","",IF('ORDENES'!$E861="","-",'ORDENES'!$E861))</f>
        <v/>
      </c>
      <c r="K883" s="12">
        <f>IF('ORDENES'!$A861="","",IF('ORDENES'!$N861="",0,'ORDENES'!$N861))</f>
        <v/>
      </c>
      <c r="L883" s="3">
        <f>IF('ORDENES'!$A861="","",IF('ORDENES'!$O861="","-",'ORDENES'!$O861))</f>
        <v/>
      </c>
      <c r="M883" s="3">
        <f>IF('ORDENES'!$A861="","",'ORDENES'!$AB861)</f>
        <v/>
      </c>
    </row>
    <row r="884">
      <c r="A884" s="3">
        <f>IF('ORDENES'!$A862="","",IF('ORDENES'!$P862="","-",'ORDENES'!$P862))</f>
        <v/>
      </c>
      <c r="B884" s="3">
        <f>IF('ORDENES'!$A862="","",IF('ORDENES'!$S862="","-",'ORDENES'!$S862))</f>
        <v/>
      </c>
      <c r="C884" s="3">
        <f>IF('ORDENES'!$A862="","",IF('ORDENES'!$AD862="","-",'ORDENES'!$AD862))</f>
        <v/>
      </c>
      <c r="D884" s="3">
        <f>IF('ORDENES'!$A862="","",IF('ORDENES'!$W862="","-",'ORDENES'!$W862))</f>
        <v/>
      </c>
      <c r="E884" s="3">
        <f>IF('ORDENES'!$A862="","",IF('ORDENES'!$V862="","-",'ORDENES'!$V862))</f>
        <v/>
      </c>
      <c r="F884" s="3">
        <f>IF('ORDENES'!$A862="","",IF('ORDENES'!$X862="","-",'ORDENES'!$X862))</f>
        <v/>
      </c>
      <c r="G884" s="3">
        <f>IF('ORDENES'!$A862="","",IF('ORDENES'!$AC862="","-",'ORDENES'!$AC862))</f>
        <v/>
      </c>
      <c r="H884" s="3">
        <f>IF('ORDENES'!$A862="","",IF('ORDENES'!$AO862="","-",'ORDENES'!$AO862))</f>
        <v/>
      </c>
      <c r="I884" s="3">
        <f>IF('ORDENES'!$A862="","",IF('ORDENES'!$D862="","-",'ORDENES'!$D862))</f>
        <v/>
      </c>
      <c r="J884" s="3">
        <f>IF('ORDENES'!$A862="","",IF('ORDENES'!$E862="","-",'ORDENES'!$E862))</f>
        <v/>
      </c>
      <c r="K884" s="12">
        <f>IF('ORDENES'!$A862="","",IF('ORDENES'!$N862="",0,'ORDENES'!$N862))</f>
        <v/>
      </c>
      <c r="L884" s="3">
        <f>IF('ORDENES'!$A862="","",IF('ORDENES'!$O862="","-",'ORDENES'!$O862))</f>
        <v/>
      </c>
      <c r="M884" s="3">
        <f>IF('ORDENES'!$A862="","",'ORDENES'!$AB862)</f>
        <v/>
      </c>
    </row>
    <row r="885">
      <c r="A885" s="3">
        <f>IF('ORDENES'!$A863="","",IF('ORDENES'!$P863="","-",'ORDENES'!$P863))</f>
        <v/>
      </c>
      <c r="B885" s="3">
        <f>IF('ORDENES'!$A863="","",IF('ORDENES'!$S863="","-",'ORDENES'!$S863))</f>
        <v/>
      </c>
      <c r="C885" s="3">
        <f>IF('ORDENES'!$A863="","",IF('ORDENES'!$AD863="","-",'ORDENES'!$AD863))</f>
        <v/>
      </c>
      <c r="D885" s="3">
        <f>IF('ORDENES'!$A863="","",IF('ORDENES'!$W863="","-",'ORDENES'!$W863))</f>
        <v/>
      </c>
      <c r="E885" s="3">
        <f>IF('ORDENES'!$A863="","",IF('ORDENES'!$V863="","-",'ORDENES'!$V863))</f>
        <v/>
      </c>
      <c r="F885" s="3">
        <f>IF('ORDENES'!$A863="","",IF('ORDENES'!$X863="","-",'ORDENES'!$X863))</f>
        <v/>
      </c>
      <c r="G885" s="3">
        <f>IF('ORDENES'!$A863="","",IF('ORDENES'!$AC863="","-",'ORDENES'!$AC863))</f>
        <v/>
      </c>
      <c r="H885" s="3">
        <f>IF('ORDENES'!$A863="","",IF('ORDENES'!$AO863="","-",'ORDENES'!$AO863))</f>
        <v/>
      </c>
      <c r="I885" s="3">
        <f>IF('ORDENES'!$A863="","",IF('ORDENES'!$D863="","-",'ORDENES'!$D863))</f>
        <v/>
      </c>
      <c r="J885" s="3">
        <f>IF('ORDENES'!$A863="","",IF('ORDENES'!$E863="","-",'ORDENES'!$E863))</f>
        <v/>
      </c>
      <c r="K885" s="12">
        <f>IF('ORDENES'!$A863="","",IF('ORDENES'!$N863="",0,'ORDENES'!$N863))</f>
        <v/>
      </c>
      <c r="L885" s="3">
        <f>IF('ORDENES'!$A863="","",IF('ORDENES'!$O863="","-",'ORDENES'!$O863))</f>
        <v/>
      </c>
      <c r="M885" s="3">
        <f>IF('ORDENES'!$A863="","",'ORDENES'!$AB863)</f>
        <v/>
      </c>
    </row>
    <row r="886">
      <c r="A886" s="3">
        <f>IF('ORDENES'!$A864="","",IF('ORDENES'!$P864="","-",'ORDENES'!$P864))</f>
        <v/>
      </c>
      <c r="B886" s="3">
        <f>IF('ORDENES'!$A864="","",IF('ORDENES'!$S864="","-",'ORDENES'!$S864))</f>
        <v/>
      </c>
      <c r="C886" s="3">
        <f>IF('ORDENES'!$A864="","",IF('ORDENES'!$AD864="","-",'ORDENES'!$AD864))</f>
        <v/>
      </c>
      <c r="D886" s="3">
        <f>IF('ORDENES'!$A864="","",IF('ORDENES'!$W864="","-",'ORDENES'!$W864))</f>
        <v/>
      </c>
      <c r="E886" s="3">
        <f>IF('ORDENES'!$A864="","",IF('ORDENES'!$V864="","-",'ORDENES'!$V864))</f>
        <v/>
      </c>
      <c r="F886" s="3">
        <f>IF('ORDENES'!$A864="","",IF('ORDENES'!$X864="","-",'ORDENES'!$X864))</f>
        <v/>
      </c>
      <c r="G886" s="3">
        <f>IF('ORDENES'!$A864="","",IF('ORDENES'!$AC864="","-",'ORDENES'!$AC864))</f>
        <v/>
      </c>
      <c r="H886" s="3">
        <f>IF('ORDENES'!$A864="","",IF('ORDENES'!$AO864="","-",'ORDENES'!$AO864))</f>
        <v/>
      </c>
      <c r="I886" s="3">
        <f>IF('ORDENES'!$A864="","",IF('ORDENES'!$D864="","-",'ORDENES'!$D864))</f>
        <v/>
      </c>
      <c r="J886" s="3">
        <f>IF('ORDENES'!$A864="","",IF('ORDENES'!$E864="","-",'ORDENES'!$E864))</f>
        <v/>
      </c>
      <c r="K886" s="12">
        <f>IF('ORDENES'!$A864="","",IF('ORDENES'!$N864="",0,'ORDENES'!$N864))</f>
        <v/>
      </c>
      <c r="L886" s="3">
        <f>IF('ORDENES'!$A864="","",IF('ORDENES'!$O864="","-",'ORDENES'!$O864))</f>
        <v/>
      </c>
      <c r="M886" s="3">
        <f>IF('ORDENES'!$A864="","",'ORDENES'!$AB864)</f>
        <v/>
      </c>
    </row>
    <row r="887">
      <c r="A887" s="3">
        <f>IF('ORDENES'!$A865="","",IF('ORDENES'!$P865="","-",'ORDENES'!$P865))</f>
        <v/>
      </c>
      <c r="B887" s="3">
        <f>IF('ORDENES'!$A865="","",IF('ORDENES'!$S865="","-",'ORDENES'!$S865))</f>
        <v/>
      </c>
      <c r="C887" s="3">
        <f>IF('ORDENES'!$A865="","",IF('ORDENES'!$AD865="","-",'ORDENES'!$AD865))</f>
        <v/>
      </c>
      <c r="D887" s="3">
        <f>IF('ORDENES'!$A865="","",IF('ORDENES'!$W865="","-",'ORDENES'!$W865))</f>
        <v/>
      </c>
      <c r="E887" s="3">
        <f>IF('ORDENES'!$A865="","",IF('ORDENES'!$V865="","-",'ORDENES'!$V865))</f>
        <v/>
      </c>
      <c r="F887" s="3">
        <f>IF('ORDENES'!$A865="","",IF('ORDENES'!$X865="","-",'ORDENES'!$X865))</f>
        <v/>
      </c>
      <c r="G887" s="3">
        <f>IF('ORDENES'!$A865="","",IF('ORDENES'!$AC865="","-",'ORDENES'!$AC865))</f>
        <v/>
      </c>
      <c r="H887" s="3">
        <f>IF('ORDENES'!$A865="","",IF('ORDENES'!$AO865="","-",'ORDENES'!$AO865))</f>
        <v/>
      </c>
      <c r="I887" s="3">
        <f>IF('ORDENES'!$A865="","",IF('ORDENES'!$D865="","-",'ORDENES'!$D865))</f>
        <v/>
      </c>
      <c r="J887" s="3">
        <f>IF('ORDENES'!$A865="","",IF('ORDENES'!$E865="","-",'ORDENES'!$E865))</f>
        <v/>
      </c>
      <c r="K887" s="12">
        <f>IF('ORDENES'!$A865="","",IF('ORDENES'!$N865="",0,'ORDENES'!$N865))</f>
        <v/>
      </c>
      <c r="L887" s="3">
        <f>IF('ORDENES'!$A865="","",IF('ORDENES'!$O865="","-",'ORDENES'!$O865))</f>
        <v/>
      </c>
      <c r="M887" s="3">
        <f>IF('ORDENES'!$A865="","",'ORDENES'!$AB865)</f>
        <v/>
      </c>
    </row>
    <row r="888">
      <c r="A888" s="3">
        <f>IF('ORDENES'!$A866="","",IF('ORDENES'!$P866="","-",'ORDENES'!$P866))</f>
        <v/>
      </c>
      <c r="B888" s="3">
        <f>IF('ORDENES'!$A866="","",IF('ORDENES'!$S866="","-",'ORDENES'!$S866))</f>
        <v/>
      </c>
      <c r="C888" s="3">
        <f>IF('ORDENES'!$A866="","",IF('ORDENES'!$AD866="","-",'ORDENES'!$AD866))</f>
        <v/>
      </c>
      <c r="D888" s="3">
        <f>IF('ORDENES'!$A866="","",IF('ORDENES'!$W866="","-",'ORDENES'!$W866))</f>
        <v/>
      </c>
      <c r="E888" s="3">
        <f>IF('ORDENES'!$A866="","",IF('ORDENES'!$V866="","-",'ORDENES'!$V866))</f>
        <v/>
      </c>
      <c r="F888" s="3">
        <f>IF('ORDENES'!$A866="","",IF('ORDENES'!$X866="","-",'ORDENES'!$X866))</f>
        <v/>
      </c>
      <c r="G888" s="3">
        <f>IF('ORDENES'!$A866="","",IF('ORDENES'!$AC866="","-",'ORDENES'!$AC866))</f>
        <v/>
      </c>
      <c r="H888" s="3">
        <f>IF('ORDENES'!$A866="","",IF('ORDENES'!$AO866="","-",'ORDENES'!$AO866))</f>
        <v/>
      </c>
      <c r="I888" s="3">
        <f>IF('ORDENES'!$A866="","",IF('ORDENES'!$D866="","-",'ORDENES'!$D866))</f>
        <v/>
      </c>
      <c r="J888" s="3">
        <f>IF('ORDENES'!$A866="","",IF('ORDENES'!$E866="","-",'ORDENES'!$E866))</f>
        <v/>
      </c>
      <c r="K888" s="12">
        <f>IF('ORDENES'!$A866="","",IF('ORDENES'!$N866="",0,'ORDENES'!$N866))</f>
        <v/>
      </c>
      <c r="L888" s="3">
        <f>IF('ORDENES'!$A866="","",IF('ORDENES'!$O866="","-",'ORDENES'!$O866))</f>
        <v/>
      </c>
      <c r="M888" s="3">
        <f>IF('ORDENES'!$A866="","",'ORDENES'!$AB866)</f>
        <v/>
      </c>
    </row>
    <row r="889">
      <c r="A889" s="3">
        <f>IF('ORDENES'!$A867="","",IF('ORDENES'!$P867="","-",'ORDENES'!$P867))</f>
        <v/>
      </c>
      <c r="B889" s="3">
        <f>IF('ORDENES'!$A867="","",IF('ORDENES'!$S867="","-",'ORDENES'!$S867))</f>
        <v/>
      </c>
      <c r="C889" s="3">
        <f>IF('ORDENES'!$A867="","",IF('ORDENES'!$AD867="","-",'ORDENES'!$AD867))</f>
        <v/>
      </c>
      <c r="D889" s="3">
        <f>IF('ORDENES'!$A867="","",IF('ORDENES'!$W867="","-",'ORDENES'!$W867))</f>
        <v/>
      </c>
      <c r="E889" s="3">
        <f>IF('ORDENES'!$A867="","",IF('ORDENES'!$V867="","-",'ORDENES'!$V867))</f>
        <v/>
      </c>
      <c r="F889" s="3">
        <f>IF('ORDENES'!$A867="","",IF('ORDENES'!$X867="","-",'ORDENES'!$X867))</f>
        <v/>
      </c>
      <c r="G889" s="3">
        <f>IF('ORDENES'!$A867="","",IF('ORDENES'!$AC867="","-",'ORDENES'!$AC867))</f>
        <v/>
      </c>
      <c r="H889" s="3">
        <f>IF('ORDENES'!$A867="","",IF('ORDENES'!$AO867="","-",'ORDENES'!$AO867))</f>
        <v/>
      </c>
      <c r="I889" s="3">
        <f>IF('ORDENES'!$A867="","",IF('ORDENES'!$D867="","-",'ORDENES'!$D867))</f>
        <v/>
      </c>
      <c r="J889" s="3">
        <f>IF('ORDENES'!$A867="","",IF('ORDENES'!$E867="","-",'ORDENES'!$E867))</f>
        <v/>
      </c>
      <c r="K889" s="12">
        <f>IF('ORDENES'!$A867="","",IF('ORDENES'!$N867="",0,'ORDENES'!$N867))</f>
        <v/>
      </c>
      <c r="L889" s="3">
        <f>IF('ORDENES'!$A867="","",IF('ORDENES'!$O867="","-",'ORDENES'!$O867))</f>
        <v/>
      </c>
      <c r="M889" s="3">
        <f>IF('ORDENES'!$A867="","",'ORDENES'!$AB867)</f>
        <v/>
      </c>
    </row>
    <row r="890">
      <c r="A890" s="3">
        <f>IF('ORDENES'!$A868="","",IF('ORDENES'!$P868="","-",'ORDENES'!$P868))</f>
        <v/>
      </c>
      <c r="B890" s="3">
        <f>IF('ORDENES'!$A868="","",IF('ORDENES'!$S868="","-",'ORDENES'!$S868))</f>
        <v/>
      </c>
      <c r="C890" s="3">
        <f>IF('ORDENES'!$A868="","",IF('ORDENES'!$AD868="","-",'ORDENES'!$AD868))</f>
        <v/>
      </c>
      <c r="D890" s="3">
        <f>IF('ORDENES'!$A868="","",IF('ORDENES'!$W868="","-",'ORDENES'!$W868))</f>
        <v/>
      </c>
      <c r="E890" s="3">
        <f>IF('ORDENES'!$A868="","",IF('ORDENES'!$V868="","-",'ORDENES'!$V868))</f>
        <v/>
      </c>
      <c r="F890" s="3">
        <f>IF('ORDENES'!$A868="","",IF('ORDENES'!$X868="","-",'ORDENES'!$X868))</f>
        <v/>
      </c>
      <c r="G890" s="3">
        <f>IF('ORDENES'!$A868="","",IF('ORDENES'!$AC868="","-",'ORDENES'!$AC868))</f>
        <v/>
      </c>
      <c r="H890" s="3">
        <f>IF('ORDENES'!$A868="","",IF('ORDENES'!$AO868="","-",'ORDENES'!$AO868))</f>
        <v/>
      </c>
      <c r="I890" s="3">
        <f>IF('ORDENES'!$A868="","",IF('ORDENES'!$D868="","-",'ORDENES'!$D868))</f>
        <v/>
      </c>
      <c r="J890" s="3">
        <f>IF('ORDENES'!$A868="","",IF('ORDENES'!$E868="","-",'ORDENES'!$E868))</f>
        <v/>
      </c>
      <c r="K890" s="12">
        <f>IF('ORDENES'!$A868="","",IF('ORDENES'!$N868="",0,'ORDENES'!$N868))</f>
        <v/>
      </c>
      <c r="L890" s="3">
        <f>IF('ORDENES'!$A868="","",IF('ORDENES'!$O868="","-",'ORDENES'!$O868))</f>
        <v/>
      </c>
      <c r="M890" s="3">
        <f>IF('ORDENES'!$A868="","",'ORDENES'!$AB868)</f>
        <v/>
      </c>
    </row>
    <row r="891">
      <c r="A891" s="3">
        <f>IF('ORDENES'!$A869="","",IF('ORDENES'!$P869="","-",'ORDENES'!$P869))</f>
        <v/>
      </c>
      <c r="B891" s="3">
        <f>IF('ORDENES'!$A869="","",IF('ORDENES'!$S869="","-",'ORDENES'!$S869))</f>
        <v/>
      </c>
      <c r="C891" s="3">
        <f>IF('ORDENES'!$A869="","",IF('ORDENES'!$AD869="","-",'ORDENES'!$AD869))</f>
        <v/>
      </c>
      <c r="D891" s="3">
        <f>IF('ORDENES'!$A869="","",IF('ORDENES'!$W869="","-",'ORDENES'!$W869))</f>
        <v/>
      </c>
      <c r="E891" s="3">
        <f>IF('ORDENES'!$A869="","",IF('ORDENES'!$V869="","-",'ORDENES'!$V869))</f>
        <v/>
      </c>
      <c r="F891" s="3">
        <f>IF('ORDENES'!$A869="","",IF('ORDENES'!$X869="","-",'ORDENES'!$X869))</f>
        <v/>
      </c>
      <c r="G891" s="3">
        <f>IF('ORDENES'!$A869="","",IF('ORDENES'!$AC869="","-",'ORDENES'!$AC869))</f>
        <v/>
      </c>
      <c r="H891" s="3">
        <f>IF('ORDENES'!$A869="","",IF('ORDENES'!$AO869="","-",'ORDENES'!$AO869))</f>
        <v/>
      </c>
      <c r="I891" s="3">
        <f>IF('ORDENES'!$A869="","",IF('ORDENES'!$D869="","-",'ORDENES'!$D869))</f>
        <v/>
      </c>
      <c r="J891" s="3">
        <f>IF('ORDENES'!$A869="","",IF('ORDENES'!$E869="","-",'ORDENES'!$E869))</f>
        <v/>
      </c>
      <c r="K891" s="12">
        <f>IF('ORDENES'!$A869="","",IF('ORDENES'!$N869="",0,'ORDENES'!$N869))</f>
        <v/>
      </c>
      <c r="L891" s="3">
        <f>IF('ORDENES'!$A869="","",IF('ORDENES'!$O869="","-",'ORDENES'!$O869))</f>
        <v/>
      </c>
      <c r="M891" s="3">
        <f>IF('ORDENES'!$A869="","",'ORDENES'!$AB869)</f>
        <v/>
      </c>
    </row>
    <row r="892">
      <c r="A892" s="3">
        <f>IF('ORDENES'!$A870="","",IF('ORDENES'!$P870="","-",'ORDENES'!$P870))</f>
        <v/>
      </c>
      <c r="B892" s="3">
        <f>IF('ORDENES'!$A870="","",IF('ORDENES'!$S870="","-",'ORDENES'!$S870))</f>
        <v/>
      </c>
      <c r="C892" s="3">
        <f>IF('ORDENES'!$A870="","",IF('ORDENES'!$AD870="","-",'ORDENES'!$AD870))</f>
        <v/>
      </c>
      <c r="D892" s="3">
        <f>IF('ORDENES'!$A870="","",IF('ORDENES'!$W870="","-",'ORDENES'!$W870))</f>
        <v/>
      </c>
      <c r="E892" s="3">
        <f>IF('ORDENES'!$A870="","",IF('ORDENES'!$V870="","-",'ORDENES'!$V870))</f>
        <v/>
      </c>
      <c r="F892" s="3">
        <f>IF('ORDENES'!$A870="","",IF('ORDENES'!$X870="","-",'ORDENES'!$X870))</f>
        <v/>
      </c>
      <c r="G892" s="3">
        <f>IF('ORDENES'!$A870="","",IF('ORDENES'!$AC870="","-",'ORDENES'!$AC870))</f>
        <v/>
      </c>
      <c r="H892" s="3">
        <f>IF('ORDENES'!$A870="","",IF('ORDENES'!$AO870="","-",'ORDENES'!$AO870))</f>
        <v/>
      </c>
      <c r="I892" s="3">
        <f>IF('ORDENES'!$A870="","",IF('ORDENES'!$D870="","-",'ORDENES'!$D870))</f>
        <v/>
      </c>
      <c r="J892" s="3">
        <f>IF('ORDENES'!$A870="","",IF('ORDENES'!$E870="","-",'ORDENES'!$E870))</f>
        <v/>
      </c>
      <c r="K892" s="12">
        <f>IF('ORDENES'!$A870="","",IF('ORDENES'!$N870="",0,'ORDENES'!$N870))</f>
        <v/>
      </c>
      <c r="L892" s="3">
        <f>IF('ORDENES'!$A870="","",IF('ORDENES'!$O870="","-",'ORDENES'!$O870))</f>
        <v/>
      </c>
      <c r="M892" s="3">
        <f>IF('ORDENES'!$A870="","",'ORDENES'!$AB870)</f>
        <v/>
      </c>
    </row>
    <row r="893">
      <c r="A893" s="3">
        <f>IF('ORDENES'!$A871="","",IF('ORDENES'!$P871="","-",'ORDENES'!$P871))</f>
        <v/>
      </c>
      <c r="B893" s="3">
        <f>IF('ORDENES'!$A871="","",IF('ORDENES'!$S871="","-",'ORDENES'!$S871))</f>
        <v/>
      </c>
      <c r="C893" s="3">
        <f>IF('ORDENES'!$A871="","",IF('ORDENES'!$AD871="","-",'ORDENES'!$AD871))</f>
        <v/>
      </c>
      <c r="D893" s="3">
        <f>IF('ORDENES'!$A871="","",IF('ORDENES'!$W871="","-",'ORDENES'!$W871))</f>
        <v/>
      </c>
      <c r="E893" s="3">
        <f>IF('ORDENES'!$A871="","",IF('ORDENES'!$V871="","-",'ORDENES'!$V871))</f>
        <v/>
      </c>
      <c r="F893" s="3">
        <f>IF('ORDENES'!$A871="","",IF('ORDENES'!$X871="","-",'ORDENES'!$X871))</f>
        <v/>
      </c>
      <c r="G893" s="3">
        <f>IF('ORDENES'!$A871="","",IF('ORDENES'!$AC871="","-",'ORDENES'!$AC871))</f>
        <v/>
      </c>
      <c r="H893" s="3">
        <f>IF('ORDENES'!$A871="","",IF('ORDENES'!$AO871="","-",'ORDENES'!$AO871))</f>
        <v/>
      </c>
      <c r="I893" s="3">
        <f>IF('ORDENES'!$A871="","",IF('ORDENES'!$D871="","-",'ORDENES'!$D871))</f>
        <v/>
      </c>
      <c r="J893" s="3">
        <f>IF('ORDENES'!$A871="","",IF('ORDENES'!$E871="","-",'ORDENES'!$E871))</f>
        <v/>
      </c>
      <c r="K893" s="12">
        <f>IF('ORDENES'!$A871="","",IF('ORDENES'!$N871="",0,'ORDENES'!$N871))</f>
        <v/>
      </c>
      <c r="L893" s="3">
        <f>IF('ORDENES'!$A871="","",IF('ORDENES'!$O871="","-",'ORDENES'!$O871))</f>
        <v/>
      </c>
      <c r="M893" s="3">
        <f>IF('ORDENES'!$A871="","",'ORDENES'!$AB871)</f>
        <v/>
      </c>
    </row>
    <row r="894">
      <c r="A894" s="3">
        <f>IF('ORDENES'!$A872="","",IF('ORDENES'!$P872="","-",'ORDENES'!$P872))</f>
        <v/>
      </c>
      <c r="B894" s="3">
        <f>IF('ORDENES'!$A872="","",IF('ORDENES'!$S872="","-",'ORDENES'!$S872))</f>
        <v/>
      </c>
      <c r="C894" s="3">
        <f>IF('ORDENES'!$A872="","",IF('ORDENES'!$AD872="","-",'ORDENES'!$AD872))</f>
        <v/>
      </c>
      <c r="D894" s="3">
        <f>IF('ORDENES'!$A872="","",IF('ORDENES'!$W872="","-",'ORDENES'!$W872))</f>
        <v/>
      </c>
      <c r="E894" s="3">
        <f>IF('ORDENES'!$A872="","",IF('ORDENES'!$V872="","-",'ORDENES'!$V872))</f>
        <v/>
      </c>
      <c r="F894" s="3">
        <f>IF('ORDENES'!$A872="","",IF('ORDENES'!$X872="","-",'ORDENES'!$X872))</f>
        <v/>
      </c>
      <c r="G894" s="3">
        <f>IF('ORDENES'!$A872="","",IF('ORDENES'!$AC872="","-",'ORDENES'!$AC872))</f>
        <v/>
      </c>
      <c r="H894" s="3">
        <f>IF('ORDENES'!$A872="","",IF('ORDENES'!$AO872="","-",'ORDENES'!$AO872))</f>
        <v/>
      </c>
      <c r="I894" s="3">
        <f>IF('ORDENES'!$A872="","",IF('ORDENES'!$D872="","-",'ORDENES'!$D872))</f>
        <v/>
      </c>
      <c r="J894" s="3">
        <f>IF('ORDENES'!$A872="","",IF('ORDENES'!$E872="","-",'ORDENES'!$E872))</f>
        <v/>
      </c>
      <c r="K894" s="12">
        <f>IF('ORDENES'!$A872="","",IF('ORDENES'!$N872="",0,'ORDENES'!$N872))</f>
        <v/>
      </c>
      <c r="L894" s="3">
        <f>IF('ORDENES'!$A872="","",IF('ORDENES'!$O872="","-",'ORDENES'!$O872))</f>
        <v/>
      </c>
      <c r="M894" s="3">
        <f>IF('ORDENES'!$A872="","",'ORDENES'!$AB872)</f>
        <v/>
      </c>
    </row>
    <row r="895">
      <c r="A895" s="3">
        <f>IF('ORDENES'!$A873="","",IF('ORDENES'!$P873="","-",'ORDENES'!$P873))</f>
        <v/>
      </c>
      <c r="B895" s="3">
        <f>IF('ORDENES'!$A873="","",IF('ORDENES'!$S873="","-",'ORDENES'!$S873))</f>
        <v/>
      </c>
      <c r="C895" s="3">
        <f>IF('ORDENES'!$A873="","",IF('ORDENES'!$AD873="","-",'ORDENES'!$AD873))</f>
        <v/>
      </c>
      <c r="D895" s="3">
        <f>IF('ORDENES'!$A873="","",IF('ORDENES'!$W873="","-",'ORDENES'!$W873))</f>
        <v/>
      </c>
      <c r="E895" s="3">
        <f>IF('ORDENES'!$A873="","",IF('ORDENES'!$V873="","-",'ORDENES'!$V873))</f>
        <v/>
      </c>
      <c r="F895" s="3">
        <f>IF('ORDENES'!$A873="","",IF('ORDENES'!$X873="","-",'ORDENES'!$X873))</f>
        <v/>
      </c>
      <c r="G895" s="3">
        <f>IF('ORDENES'!$A873="","",IF('ORDENES'!$AC873="","-",'ORDENES'!$AC873))</f>
        <v/>
      </c>
      <c r="H895" s="3">
        <f>IF('ORDENES'!$A873="","",IF('ORDENES'!$AO873="","-",'ORDENES'!$AO873))</f>
        <v/>
      </c>
      <c r="I895" s="3">
        <f>IF('ORDENES'!$A873="","",IF('ORDENES'!$D873="","-",'ORDENES'!$D873))</f>
        <v/>
      </c>
      <c r="J895" s="3">
        <f>IF('ORDENES'!$A873="","",IF('ORDENES'!$E873="","-",'ORDENES'!$E873))</f>
        <v/>
      </c>
      <c r="K895" s="12">
        <f>IF('ORDENES'!$A873="","",IF('ORDENES'!$N873="",0,'ORDENES'!$N873))</f>
        <v/>
      </c>
      <c r="L895" s="3">
        <f>IF('ORDENES'!$A873="","",IF('ORDENES'!$O873="","-",'ORDENES'!$O873))</f>
        <v/>
      </c>
      <c r="M895" s="3">
        <f>IF('ORDENES'!$A873="","",'ORDENES'!$AB873)</f>
        <v/>
      </c>
    </row>
    <row r="896">
      <c r="A896" s="3">
        <f>IF('ORDENES'!$A874="","",IF('ORDENES'!$P874="","-",'ORDENES'!$P874))</f>
        <v/>
      </c>
      <c r="B896" s="3">
        <f>IF('ORDENES'!$A874="","",IF('ORDENES'!$S874="","-",'ORDENES'!$S874))</f>
        <v/>
      </c>
      <c r="C896" s="3">
        <f>IF('ORDENES'!$A874="","",IF('ORDENES'!$AD874="","-",'ORDENES'!$AD874))</f>
        <v/>
      </c>
      <c r="D896" s="3">
        <f>IF('ORDENES'!$A874="","",IF('ORDENES'!$W874="","-",'ORDENES'!$W874))</f>
        <v/>
      </c>
      <c r="E896" s="3">
        <f>IF('ORDENES'!$A874="","",IF('ORDENES'!$V874="","-",'ORDENES'!$V874))</f>
        <v/>
      </c>
      <c r="F896" s="3">
        <f>IF('ORDENES'!$A874="","",IF('ORDENES'!$X874="","-",'ORDENES'!$X874))</f>
        <v/>
      </c>
      <c r="G896" s="3">
        <f>IF('ORDENES'!$A874="","",IF('ORDENES'!$AC874="","-",'ORDENES'!$AC874))</f>
        <v/>
      </c>
      <c r="H896" s="3">
        <f>IF('ORDENES'!$A874="","",IF('ORDENES'!$AO874="","-",'ORDENES'!$AO874))</f>
        <v/>
      </c>
      <c r="I896" s="3">
        <f>IF('ORDENES'!$A874="","",IF('ORDENES'!$D874="","-",'ORDENES'!$D874))</f>
        <v/>
      </c>
      <c r="J896" s="3">
        <f>IF('ORDENES'!$A874="","",IF('ORDENES'!$E874="","-",'ORDENES'!$E874))</f>
        <v/>
      </c>
      <c r="K896" s="12">
        <f>IF('ORDENES'!$A874="","",IF('ORDENES'!$N874="",0,'ORDENES'!$N874))</f>
        <v/>
      </c>
      <c r="L896" s="3">
        <f>IF('ORDENES'!$A874="","",IF('ORDENES'!$O874="","-",'ORDENES'!$O874))</f>
        <v/>
      </c>
      <c r="M896" s="3">
        <f>IF('ORDENES'!$A874="","",'ORDENES'!$AB874)</f>
        <v/>
      </c>
    </row>
    <row r="897">
      <c r="A897" s="3">
        <f>IF('ORDENES'!$A875="","",IF('ORDENES'!$P875="","-",'ORDENES'!$P875))</f>
        <v/>
      </c>
      <c r="B897" s="3">
        <f>IF('ORDENES'!$A875="","",IF('ORDENES'!$S875="","-",'ORDENES'!$S875))</f>
        <v/>
      </c>
      <c r="C897" s="3">
        <f>IF('ORDENES'!$A875="","",IF('ORDENES'!$AD875="","-",'ORDENES'!$AD875))</f>
        <v/>
      </c>
      <c r="D897" s="3">
        <f>IF('ORDENES'!$A875="","",IF('ORDENES'!$W875="","-",'ORDENES'!$W875))</f>
        <v/>
      </c>
      <c r="E897" s="3">
        <f>IF('ORDENES'!$A875="","",IF('ORDENES'!$V875="","-",'ORDENES'!$V875))</f>
        <v/>
      </c>
      <c r="F897" s="3">
        <f>IF('ORDENES'!$A875="","",IF('ORDENES'!$X875="","-",'ORDENES'!$X875))</f>
        <v/>
      </c>
      <c r="G897" s="3">
        <f>IF('ORDENES'!$A875="","",IF('ORDENES'!$AC875="","-",'ORDENES'!$AC875))</f>
        <v/>
      </c>
      <c r="H897" s="3">
        <f>IF('ORDENES'!$A875="","",IF('ORDENES'!$AO875="","-",'ORDENES'!$AO875))</f>
        <v/>
      </c>
      <c r="I897" s="3">
        <f>IF('ORDENES'!$A875="","",IF('ORDENES'!$D875="","-",'ORDENES'!$D875))</f>
        <v/>
      </c>
      <c r="J897" s="3">
        <f>IF('ORDENES'!$A875="","",IF('ORDENES'!$E875="","-",'ORDENES'!$E875))</f>
        <v/>
      </c>
      <c r="K897" s="12">
        <f>IF('ORDENES'!$A875="","",IF('ORDENES'!$N875="",0,'ORDENES'!$N875))</f>
        <v/>
      </c>
      <c r="L897" s="3">
        <f>IF('ORDENES'!$A875="","",IF('ORDENES'!$O875="","-",'ORDENES'!$O875))</f>
        <v/>
      </c>
      <c r="M897" s="3">
        <f>IF('ORDENES'!$A875="","",'ORDENES'!$AB875)</f>
        <v/>
      </c>
    </row>
    <row r="898">
      <c r="A898" s="3">
        <f>IF('ORDENES'!$A876="","",IF('ORDENES'!$P876="","-",'ORDENES'!$P876))</f>
        <v/>
      </c>
      <c r="B898" s="3">
        <f>IF('ORDENES'!$A876="","",IF('ORDENES'!$S876="","-",'ORDENES'!$S876))</f>
        <v/>
      </c>
      <c r="C898" s="3">
        <f>IF('ORDENES'!$A876="","",IF('ORDENES'!$AD876="","-",'ORDENES'!$AD876))</f>
        <v/>
      </c>
      <c r="D898" s="3">
        <f>IF('ORDENES'!$A876="","",IF('ORDENES'!$W876="","-",'ORDENES'!$W876))</f>
        <v/>
      </c>
      <c r="E898" s="3">
        <f>IF('ORDENES'!$A876="","",IF('ORDENES'!$V876="","-",'ORDENES'!$V876))</f>
        <v/>
      </c>
      <c r="F898" s="3">
        <f>IF('ORDENES'!$A876="","",IF('ORDENES'!$X876="","-",'ORDENES'!$X876))</f>
        <v/>
      </c>
      <c r="G898" s="3">
        <f>IF('ORDENES'!$A876="","",IF('ORDENES'!$AC876="","-",'ORDENES'!$AC876))</f>
        <v/>
      </c>
      <c r="H898" s="3">
        <f>IF('ORDENES'!$A876="","",IF('ORDENES'!$AO876="","-",'ORDENES'!$AO876))</f>
        <v/>
      </c>
      <c r="I898" s="3">
        <f>IF('ORDENES'!$A876="","",IF('ORDENES'!$D876="","-",'ORDENES'!$D876))</f>
        <v/>
      </c>
      <c r="J898" s="3">
        <f>IF('ORDENES'!$A876="","",IF('ORDENES'!$E876="","-",'ORDENES'!$E876))</f>
        <v/>
      </c>
      <c r="K898" s="12">
        <f>IF('ORDENES'!$A876="","",IF('ORDENES'!$N876="",0,'ORDENES'!$N876))</f>
        <v/>
      </c>
      <c r="L898" s="3">
        <f>IF('ORDENES'!$A876="","",IF('ORDENES'!$O876="","-",'ORDENES'!$O876))</f>
        <v/>
      </c>
      <c r="M898" s="3">
        <f>IF('ORDENES'!$A876="","",'ORDENES'!$AB876)</f>
        <v/>
      </c>
    </row>
    <row r="899">
      <c r="A899" s="3">
        <f>IF('ORDENES'!$A877="","",IF('ORDENES'!$P877="","-",'ORDENES'!$P877))</f>
        <v/>
      </c>
      <c r="B899" s="3">
        <f>IF('ORDENES'!$A877="","",IF('ORDENES'!$S877="","-",'ORDENES'!$S877))</f>
        <v/>
      </c>
      <c r="C899" s="3">
        <f>IF('ORDENES'!$A877="","",IF('ORDENES'!$AD877="","-",'ORDENES'!$AD877))</f>
        <v/>
      </c>
      <c r="D899" s="3">
        <f>IF('ORDENES'!$A877="","",IF('ORDENES'!$W877="","-",'ORDENES'!$W877))</f>
        <v/>
      </c>
      <c r="E899" s="3">
        <f>IF('ORDENES'!$A877="","",IF('ORDENES'!$V877="","-",'ORDENES'!$V877))</f>
        <v/>
      </c>
      <c r="F899" s="3">
        <f>IF('ORDENES'!$A877="","",IF('ORDENES'!$X877="","-",'ORDENES'!$X877))</f>
        <v/>
      </c>
      <c r="G899" s="3">
        <f>IF('ORDENES'!$A877="","",IF('ORDENES'!$AC877="","-",'ORDENES'!$AC877))</f>
        <v/>
      </c>
      <c r="H899" s="3">
        <f>IF('ORDENES'!$A877="","",IF('ORDENES'!$AO877="","-",'ORDENES'!$AO877))</f>
        <v/>
      </c>
      <c r="I899" s="3">
        <f>IF('ORDENES'!$A877="","",IF('ORDENES'!$D877="","-",'ORDENES'!$D877))</f>
        <v/>
      </c>
      <c r="J899" s="3">
        <f>IF('ORDENES'!$A877="","",IF('ORDENES'!$E877="","-",'ORDENES'!$E877))</f>
        <v/>
      </c>
      <c r="K899" s="12">
        <f>IF('ORDENES'!$A877="","",IF('ORDENES'!$N877="",0,'ORDENES'!$N877))</f>
        <v/>
      </c>
      <c r="L899" s="3">
        <f>IF('ORDENES'!$A877="","",IF('ORDENES'!$O877="","-",'ORDENES'!$O877))</f>
        <v/>
      </c>
      <c r="M899" s="3">
        <f>IF('ORDENES'!$A877="","",'ORDENES'!$AB877)</f>
        <v/>
      </c>
    </row>
    <row r="900">
      <c r="A900" s="3">
        <f>IF('ORDENES'!$A878="","",IF('ORDENES'!$P878="","-",'ORDENES'!$P878))</f>
        <v/>
      </c>
      <c r="B900" s="3">
        <f>IF('ORDENES'!$A878="","",IF('ORDENES'!$S878="","-",'ORDENES'!$S878))</f>
        <v/>
      </c>
      <c r="C900" s="3">
        <f>IF('ORDENES'!$A878="","",IF('ORDENES'!$AD878="","-",'ORDENES'!$AD878))</f>
        <v/>
      </c>
      <c r="D900" s="3">
        <f>IF('ORDENES'!$A878="","",IF('ORDENES'!$W878="","-",'ORDENES'!$W878))</f>
        <v/>
      </c>
      <c r="E900" s="3">
        <f>IF('ORDENES'!$A878="","",IF('ORDENES'!$V878="","-",'ORDENES'!$V878))</f>
        <v/>
      </c>
      <c r="F900" s="3">
        <f>IF('ORDENES'!$A878="","",IF('ORDENES'!$X878="","-",'ORDENES'!$X878))</f>
        <v/>
      </c>
      <c r="G900" s="3">
        <f>IF('ORDENES'!$A878="","",IF('ORDENES'!$AC878="","-",'ORDENES'!$AC878))</f>
        <v/>
      </c>
      <c r="H900" s="3">
        <f>IF('ORDENES'!$A878="","",IF('ORDENES'!$AO878="","-",'ORDENES'!$AO878))</f>
        <v/>
      </c>
      <c r="I900" s="3">
        <f>IF('ORDENES'!$A878="","",IF('ORDENES'!$D878="","-",'ORDENES'!$D878))</f>
        <v/>
      </c>
      <c r="J900" s="3">
        <f>IF('ORDENES'!$A878="","",IF('ORDENES'!$E878="","-",'ORDENES'!$E878))</f>
        <v/>
      </c>
      <c r="K900" s="12">
        <f>IF('ORDENES'!$A878="","",IF('ORDENES'!$N878="",0,'ORDENES'!$N878))</f>
        <v/>
      </c>
      <c r="L900" s="3">
        <f>IF('ORDENES'!$A878="","",IF('ORDENES'!$O878="","-",'ORDENES'!$O878))</f>
        <v/>
      </c>
      <c r="M900" s="3">
        <f>IF('ORDENES'!$A878="","",'ORDENES'!$AB878)</f>
        <v/>
      </c>
    </row>
    <row r="901">
      <c r="A901" s="3">
        <f>IF('ORDENES'!$A879="","",IF('ORDENES'!$P879="","-",'ORDENES'!$P879))</f>
        <v/>
      </c>
      <c r="B901" s="3">
        <f>IF('ORDENES'!$A879="","",IF('ORDENES'!$S879="","-",'ORDENES'!$S879))</f>
        <v/>
      </c>
      <c r="C901" s="3">
        <f>IF('ORDENES'!$A879="","",IF('ORDENES'!$AD879="","-",'ORDENES'!$AD879))</f>
        <v/>
      </c>
      <c r="D901" s="3">
        <f>IF('ORDENES'!$A879="","",IF('ORDENES'!$W879="","-",'ORDENES'!$W879))</f>
        <v/>
      </c>
      <c r="E901" s="3">
        <f>IF('ORDENES'!$A879="","",IF('ORDENES'!$V879="","-",'ORDENES'!$V879))</f>
        <v/>
      </c>
      <c r="F901" s="3">
        <f>IF('ORDENES'!$A879="","",IF('ORDENES'!$X879="","-",'ORDENES'!$X879))</f>
        <v/>
      </c>
      <c r="G901" s="3">
        <f>IF('ORDENES'!$A879="","",IF('ORDENES'!$AC879="","-",'ORDENES'!$AC879))</f>
        <v/>
      </c>
      <c r="H901" s="3">
        <f>IF('ORDENES'!$A879="","",IF('ORDENES'!$AO879="","-",'ORDENES'!$AO879))</f>
        <v/>
      </c>
      <c r="I901" s="3">
        <f>IF('ORDENES'!$A879="","",IF('ORDENES'!$D879="","-",'ORDENES'!$D879))</f>
        <v/>
      </c>
      <c r="J901" s="3">
        <f>IF('ORDENES'!$A879="","",IF('ORDENES'!$E879="","-",'ORDENES'!$E879))</f>
        <v/>
      </c>
      <c r="K901" s="12">
        <f>IF('ORDENES'!$A879="","",IF('ORDENES'!$N879="",0,'ORDENES'!$N879))</f>
        <v/>
      </c>
      <c r="L901" s="3">
        <f>IF('ORDENES'!$A879="","",IF('ORDENES'!$O879="","-",'ORDENES'!$O879))</f>
        <v/>
      </c>
      <c r="M901" s="3">
        <f>IF('ORDENES'!$A879="","",'ORDENES'!$AB879)</f>
        <v/>
      </c>
    </row>
    <row r="902">
      <c r="A902" s="3">
        <f>IF('ORDENES'!$A880="","",IF('ORDENES'!$P880="","-",'ORDENES'!$P880))</f>
        <v/>
      </c>
      <c r="B902" s="3">
        <f>IF('ORDENES'!$A880="","",IF('ORDENES'!$S880="","-",'ORDENES'!$S880))</f>
        <v/>
      </c>
      <c r="C902" s="3">
        <f>IF('ORDENES'!$A880="","",IF('ORDENES'!$AD880="","-",'ORDENES'!$AD880))</f>
        <v/>
      </c>
      <c r="D902" s="3">
        <f>IF('ORDENES'!$A880="","",IF('ORDENES'!$W880="","-",'ORDENES'!$W880))</f>
        <v/>
      </c>
      <c r="E902" s="3">
        <f>IF('ORDENES'!$A880="","",IF('ORDENES'!$V880="","-",'ORDENES'!$V880))</f>
        <v/>
      </c>
      <c r="F902" s="3">
        <f>IF('ORDENES'!$A880="","",IF('ORDENES'!$X880="","-",'ORDENES'!$X880))</f>
        <v/>
      </c>
      <c r="G902" s="3">
        <f>IF('ORDENES'!$A880="","",IF('ORDENES'!$AC880="","-",'ORDENES'!$AC880))</f>
        <v/>
      </c>
      <c r="H902" s="3">
        <f>IF('ORDENES'!$A880="","",IF('ORDENES'!$AO880="","-",'ORDENES'!$AO880))</f>
        <v/>
      </c>
      <c r="I902" s="3">
        <f>IF('ORDENES'!$A880="","",IF('ORDENES'!$D880="","-",'ORDENES'!$D880))</f>
        <v/>
      </c>
      <c r="J902" s="3">
        <f>IF('ORDENES'!$A880="","",IF('ORDENES'!$E880="","-",'ORDENES'!$E880))</f>
        <v/>
      </c>
      <c r="K902" s="12">
        <f>IF('ORDENES'!$A880="","",IF('ORDENES'!$N880="",0,'ORDENES'!$N880))</f>
        <v/>
      </c>
      <c r="L902" s="3">
        <f>IF('ORDENES'!$A880="","",IF('ORDENES'!$O880="","-",'ORDENES'!$O880))</f>
        <v/>
      </c>
      <c r="M902" s="3">
        <f>IF('ORDENES'!$A880="","",'ORDENES'!$AB880)</f>
        <v/>
      </c>
    </row>
    <row r="903">
      <c r="A903" s="3">
        <f>IF('ORDENES'!$A881="","",IF('ORDENES'!$P881="","-",'ORDENES'!$P881))</f>
        <v/>
      </c>
      <c r="B903" s="3">
        <f>IF('ORDENES'!$A881="","",IF('ORDENES'!$S881="","-",'ORDENES'!$S881))</f>
        <v/>
      </c>
      <c r="C903" s="3">
        <f>IF('ORDENES'!$A881="","",IF('ORDENES'!$AD881="","-",'ORDENES'!$AD881))</f>
        <v/>
      </c>
      <c r="D903" s="3">
        <f>IF('ORDENES'!$A881="","",IF('ORDENES'!$W881="","-",'ORDENES'!$W881))</f>
        <v/>
      </c>
      <c r="E903" s="3">
        <f>IF('ORDENES'!$A881="","",IF('ORDENES'!$V881="","-",'ORDENES'!$V881))</f>
        <v/>
      </c>
      <c r="F903" s="3">
        <f>IF('ORDENES'!$A881="","",IF('ORDENES'!$X881="","-",'ORDENES'!$X881))</f>
        <v/>
      </c>
      <c r="G903" s="3">
        <f>IF('ORDENES'!$A881="","",IF('ORDENES'!$AC881="","-",'ORDENES'!$AC881))</f>
        <v/>
      </c>
      <c r="H903" s="3">
        <f>IF('ORDENES'!$A881="","",IF('ORDENES'!$AO881="","-",'ORDENES'!$AO881))</f>
        <v/>
      </c>
      <c r="I903" s="3">
        <f>IF('ORDENES'!$A881="","",IF('ORDENES'!$D881="","-",'ORDENES'!$D881))</f>
        <v/>
      </c>
      <c r="J903" s="3">
        <f>IF('ORDENES'!$A881="","",IF('ORDENES'!$E881="","-",'ORDENES'!$E881))</f>
        <v/>
      </c>
      <c r="K903" s="12">
        <f>IF('ORDENES'!$A881="","",IF('ORDENES'!$N881="",0,'ORDENES'!$N881))</f>
        <v/>
      </c>
      <c r="L903" s="3">
        <f>IF('ORDENES'!$A881="","",IF('ORDENES'!$O881="","-",'ORDENES'!$O881))</f>
        <v/>
      </c>
      <c r="M903" s="3">
        <f>IF('ORDENES'!$A881="","",'ORDENES'!$AB881)</f>
        <v/>
      </c>
    </row>
    <row r="904">
      <c r="A904" s="3">
        <f>IF('ORDENES'!$A882="","",IF('ORDENES'!$P882="","-",'ORDENES'!$P882))</f>
        <v/>
      </c>
      <c r="B904" s="3">
        <f>IF('ORDENES'!$A882="","",IF('ORDENES'!$S882="","-",'ORDENES'!$S882))</f>
        <v/>
      </c>
      <c r="C904" s="3">
        <f>IF('ORDENES'!$A882="","",IF('ORDENES'!$AD882="","-",'ORDENES'!$AD882))</f>
        <v/>
      </c>
      <c r="D904" s="3">
        <f>IF('ORDENES'!$A882="","",IF('ORDENES'!$W882="","-",'ORDENES'!$W882))</f>
        <v/>
      </c>
      <c r="E904" s="3">
        <f>IF('ORDENES'!$A882="","",IF('ORDENES'!$V882="","-",'ORDENES'!$V882))</f>
        <v/>
      </c>
      <c r="F904" s="3">
        <f>IF('ORDENES'!$A882="","",IF('ORDENES'!$X882="","-",'ORDENES'!$X882))</f>
        <v/>
      </c>
      <c r="G904" s="3">
        <f>IF('ORDENES'!$A882="","",IF('ORDENES'!$AC882="","-",'ORDENES'!$AC882))</f>
        <v/>
      </c>
      <c r="H904" s="3">
        <f>IF('ORDENES'!$A882="","",IF('ORDENES'!$AO882="","-",'ORDENES'!$AO882))</f>
        <v/>
      </c>
      <c r="I904" s="3">
        <f>IF('ORDENES'!$A882="","",IF('ORDENES'!$D882="","-",'ORDENES'!$D882))</f>
        <v/>
      </c>
      <c r="J904" s="3">
        <f>IF('ORDENES'!$A882="","",IF('ORDENES'!$E882="","-",'ORDENES'!$E882))</f>
        <v/>
      </c>
      <c r="K904" s="12">
        <f>IF('ORDENES'!$A882="","",IF('ORDENES'!$N882="",0,'ORDENES'!$N882))</f>
        <v/>
      </c>
      <c r="L904" s="3">
        <f>IF('ORDENES'!$A882="","",IF('ORDENES'!$O882="","-",'ORDENES'!$O882))</f>
        <v/>
      </c>
      <c r="M904" s="3">
        <f>IF('ORDENES'!$A882="","",'ORDENES'!$AB882)</f>
        <v/>
      </c>
    </row>
    <row r="905">
      <c r="A905" s="3">
        <f>IF('ORDENES'!$A883="","",IF('ORDENES'!$P883="","-",'ORDENES'!$P883))</f>
        <v/>
      </c>
      <c r="B905" s="3">
        <f>IF('ORDENES'!$A883="","",IF('ORDENES'!$S883="","-",'ORDENES'!$S883))</f>
        <v/>
      </c>
      <c r="C905" s="3">
        <f>IF('ORDENES'!$A883="","",IF('ORDENES'!$AD883="","-",'ORDENES'!$AD883))</f>
        <v/>
      </c>
      <c r="D905" s="3">
        <f>IF('ORDENES'!$A883="","",IF('ORDENES'!$W883="","-",'ORDENES'!$W883))</f>
        <v/>
      </c>
      <c r="E905" s="3">
        <f>IF('ORDENES'!$A883="","",IF('ORDENES'!$V883="","-",'ORDENES'!$V883))</f>
        <v/>
      </c>
      <c r="F905" s="3">
        <f>IF('ORDENES'!$A883="","",IF('ORDENES'!$X883="","-",'ORDENES'!$X883))</f>
        <v/>
      </c>
      <c r="G905" s="3">
        <f>IF('ORDENES'!$A883="","",IF('ORDENES'!$AC883="","-",'ORDENES'!$AC883))</f>
        <v/>
      </c>
      <c r="H905" s="3">
        <f>IF('ORDENES'!$A883="","",IF('ORDENES'!$AO883="","-",'ORDENES'!$AO883))</f>
        <v/>
      </c>
      <c r="I905" s="3">
        <f>IF('ORDENES'!$A883="","",IF('ORDENES'!$D883="","-",'ORDENES'!$D883))</f>
        <v/>
      </c>
      <c r="J905" s="3">
        <f>IF('ORDENES'!$A883="","",IF('ORDENES'!$E883="","-",'ORDENES'!$E883))</f>
        <v/>
      </c>
      <c r="K905" s="12">
        <f>IF('ORDENES'!$A883="","",IF('ORDENES'!$N883="",0,'ORDENES'!$N883))</f>
        <v/>
      </c>
      <c r="L905" s="3">
        <f>IF('ORDENES'!$A883="","",IF('ORDENES'!$O883="","-",'ORDENES'!$O883))</f>
        <v/>
      </c>
      <c r="M905" s="3">
        <f>IF('ORDENES'!$A883="","",'ORDENES'!$AB883)</f>
        <v/>
      </c>
    </row>
    <row r="906">
      <c r="A906" s="3">
        <f>IF('ORDENES'!$A884="","",IF('ORDENES'!$P884="","-",'ORDENES'!$P884))</f>
        <v/>
      </c>
      <c r="B906" s="3">
        <f>IF('ORDENES'!$A884="","",IF('ORDENES'!$S884="","-",'ORDENES'!$S884))</f>
        <v/>
      </c>
      <c r="C906" s="3">
        <f>IF('ORDENES'!$A884="","",IF('ORDENES'!$AD884="","-",'ORDENES'!$AD884))</f>
        <v/>
      </c>
      <c r="D906" s="3">
        <f>IF('ORDENES'!$A884="","",IF('ORDENES'!$W884="","-",'ORDENES'!$W884))</f>
        <v/>
      </c>
      <c r="E906" s="3">
        <f>IF('ORDENES'!$A884="","",IF('ORDENES'!$V884="","-",'ORDENES'!$V884))</f>
        <v/>
      </c>
      <c r="F906" s="3">
        <f>IF('ORDENES'!$A884="","",IF('ORDENES'!$X884="","-",'ORDENES'!$X884))</f>
        <v/>
      </c>
      <c r="G906" s="3">
        <f>IF('ORDENES'!$A884="","",IF('ORDENES'!$AC884="","-",'ORDENES'!$AC884))</f>
        <v/>
      </c>
      <c r="H906" s="3">
        <f>IF('ORDENES'!$A884="","",IF('ORDENES'!$AO884="","-",'ORDENES'!$AO884))</f>
        <v/>
      </c>
      <c r="I906" s="3">
        <f>IF('ORDENES'!$A884="","",IF('ORDENES'!$D884="","-",'ORDENES'!$D884))</f>
        <v/>
      </c>
      <c r="J906" s="3">
        <f>IF('ORDENES'!$A884="","",IF('ORDENES'!$E884="","-",'ORDENES'!$E884))</f>
        <v/>
      </c>
      <c r="K906" s="12">
        <f>IF('ORDENES'!$A884="","",IF('ORDENES'!$N884="",0,'ORDENES'!$N884))</f>
        <v/>
      </c>
      <c r="L906" s="3">
        <f>IF('ORDENES'!$A884="","",IF('ORDENES'!$O884="","-",'ORDENES'!$O884))</f>
        <v/>
      </c>
      <c r="M906" s="3">
        <f>IF('ORDENES'!$A884="","",'ORDENES'!$AB884)</f>
        <v/>
      </c>
    </row>
    <row r="907">
      <c r="A907" s="3">
        <f>IF('ORDENES'!$A885="","",IF('ORDENES'!$P885="","-",'ORDENES'!$P885))</f>
        <v/>
      </c>
      <c r="B907" s="3">
        <f>IF('ORDENES'!$A885="","",IF('ORDENES'!$S885="","-",'ORDENES'!$S885))</f>
        <v/>
      </c>
      <c r="C907" s="3">
        <f>IF('ORDENES'!$A885="","",IF('ORDENES'!$AD885="","-",'ORDENES'!$AD885))</f>
        <v/>
      </c>
      <c r="D907" s="3">
        <f>IF('ORDENES'!$A885="","",IF('ORDENES'!$W885="","-",'ORDENES'!$W885))</f>
        <v/>
      </c>
      <c r="E907" s="3">
        <f>IF('ORDENES'!$A885="","",IF('ORDENES'!$V885="","-",'ORDENES'!$V885))</f>
        <v/>
      </c>
      <c r="F907" s="3">
        <f>IF('ORDENES'!$A885="","",IF('ORDENES'!$X885="","-",'ORDENES'!$X885))</f>
        <v/>
      </c>
      <c r="G907" s="3">
        <f>IF('ORDENES'!$A885="","",IF('ORDENES'!$AC885="","-",'ORDENES'!$AC885))</f>
        <v/>
      </c>
      <c r="H907" s="3">
        <f>IF('ORDENES'!$A885="","",IF('ORDENES'!$AO885="","-",'ORDENES'!$AO885))</f>
        <v/>
      </c>
      <c r="I907" s="3">
        <f>IF('ORDENES'!$A885="","",IF('ORDENES'!$D885="","-",'ORDENES'!$D885))</f>
        <v/>
      </c>
      <c r="J907" s="3">
        <f>IF('ORDENES'!$A885="","",IF('ORDENES'!$E885="","-",'ORDENES'!$E885))</f>
        <v/>
      </c>
      <c r="K907" s="12">
        <f>IF('ORDENES'!$A885="","",IF('ORDENES'!$N885="",0,'ORDENES'!$N885))</f>
        <v/>
      </c>
      <c r="L907" s="3">
        <f>IF('ORDENES'!$A885="","",IF('ORDENES'!$O885="","-",'ORDENES'!$O885))</f>
        <v/>
      </c>
      <c r="M907" s="3">
        <f>IF('ORDENES'!$A885="","",'ORDENES'!$AB885)</f>
        <v/>
      </c>
    </row>
    <row r="908">
      <c r="A908" s="3">
        <f>IF('ORDENES'!$A886="","",IF('ORDENES'!$P886="","-",'ORDENES'!$P886))</f>
        <v/>
      </c>
      <c r="B908" s="3">
        <f>IF('ORDENES'!$A886="","",IF('ORDENES'!$S886="","-",'ORDENES'!$S886))</f>
        <v/>
      </c>
      <c r="C908" s="3">
        <f>IF('ORDENES'!$A886="","",IF('ORDENES'!$AD886="","-",'ORDENES'!$AD886))</f>
        <v/>
      </c>
      <c r="D908" s="3">
        <f>IF('ORDENES'!$A886="","",IF('ORDENES'!$W886="","-",'ORDENES'!$W886))</f>
        <v/>
      </c>
      <c r="E908" s="3">
        <f>IF('ORDENES'!$A886="","",IF('ORDENES'!$V886="","-",'ORDENES'!$V886))</f>
        <v/>
      </c>
      <c r="F908" s="3">
        <f>IF('ORDENES'!$A886="","",IF('ORDENES'!$X886="","-",'ORDENES'!$X886))</f>
        <v/>
      </c>
      <c r="G908" s="3">
        <f>IF('ORDENES'!$A886="","",IF('ORDENES'!$AC886="","-",'ORDENES'!$AC886))</f>
        <v/>
      </c>
      <c r="H908" s="3">
        <f>IF('ORDENES'!$A886="","",IF('ORDENES'!$AO886="","-",'ORDENES'!$AO886))</f>
        <v/>
      </c>
      <c r="I908" s="3">
        <f>IF('ORDENES'!$A886="","",IF('ORDENES'!$D886="","-",'ORDENES'!$D886))</f>
        <v/>
      </c>
      <c r="J908" s="3">
        <f>IF('ORDENES'!$A886="","",IF('ORDENES'!$E886="","-",'ORDENES'!$E886))</f>
        <v/>
      </c>
      <c r="K908" s="12">
        <f>IF('ORDENES'!$A886="","",IF('ORDENES'!$N886="",0,'ORDENES'!$N886))</f>
        <v/>
      </c>
      <c r="L908" s="3">
        <f>IF('ORDENES'!$A886="","",IF('ORDENES'!$O886="","-",'ORDENES'!$O886))</f>
        <v/>
      </c>
      <c r="M908" s="3">
        <f>IF('ORDENES'!$A886="","",'ORDENES'!$AB886)</f>
        <v/>
      </c>
    </row>
    <row r="909">
      <c r="A909" s="3">
        <f>IF('ORDENES'!$A887="","",IF('ORDENES'!$P887="","-",'ORDENES'!$P887))</f>
        <v/>
      </c>
      <c r="B909" s="3">
        <f>IF('ORDENES'!$A887="","",IF('ORDENES'!$S887="","-",'ORDENES'!$S887))</f>
        <v/>
      </c>
      <c r="C909" s="3">
        <f>IF('ORDENES'!$A887="","",IF('ORDENES'!$AD887="","-",'ORDENES'!$AD887))</f>
        <v/>
      </c>
      <c r="D909" s="3">
        <f>IF('ORDENES'!$A887="","",IF('ORDENES'!$W887="","-",'ORDENES'!$W887))</f>
        <v/>
      </c>
      <c r="E909" s="3">
        <f>IF('ORDENES'!$A887="","",IF('ORDENES'!$V887="","-",'ORDENES'!$V887))</f>
        <v/>
      </c>
      <c r="F909" s="3">
        <f>IF('ORDENES'!$A887="","",IF('ORDENES'!$X887="","-",'ORDENES'!$X887))</f>
        <v/>
      </c>
      <c r="G909" s="3">
        <f>IF('ORDENES'!$A887="","",IF('ORDENES'!$AC887="","-",'ORDENES'!$AC887))</f>
        <v/>
      </c>
      <c r="H909" s="3">
        <f>IF('ORDENES'!$A887="","",IF('ORDENES'!$AO887="","-",'ORDENES'!$AO887))</f>
        <v/>
      </c>
      <c r="I909" s="3">
        <f>IF('ORDENES'!$A887="","",IF('ORDENES'!$D887="","-",'ORDENES'!$D887))</f>
        <v/>
      </c>
      <c r="J909" s="3">
        <f>IF('ORDENES'!$A887="","",IF('ORDENES'!$E887="","-",'ORDENES'!$E887))</f>
        <v/>
      </c>
      <c r="K909" s="12">
        <f>IF('ORDENES'!$A887="","",IF('ORDENES'!$N887="",0,'ORDENES'!$N887))</f>
        <v/>
      </c>
      <c r="L909" s="3">
        <f>IF('ORDENES'!$A887="","",IF('ORDENES'!$O887="","-",'ORDENES'!$O887))</f>
        <v/>
      </c>
      <c r="M909" s="3">
        <f>IF('ORDENES'!$A887="","",'ORDENES'!$AB887)</f>
        <v/>
      </c>
    </row>
    <row r="910">
      <c r="A910" s="3">
        <f>IF('ORDENES'!$A888="","",IF('ORDENES'!$P888="","-",'ORDENES'!$P888))</f>
        <v/>
      </c>
      <c r="B910" s="3">
        <f>IF('ORDENES'!$A888="","",IF('ORDENES'!$S888="","-",'ORDENES'!$S888))</f>
        <v/>
      </c>
      <c r="C910" s="3">
        <f>IF('ORDENES'!$A888="","",IF('ORDENES'!$AD888="","-",'ORDENES'!$AD888))</f>
        <v/>
      </c>
      <c r="D910" s="3">
        <f>IF('ORDENES'!$A888="","",IF('ORDENES'!$W888="","-",'ORDENES'!$W888))</f>
        <v/>
      </c>
      <c r="E910" s="3">
        <f>IF('ORDENES'!$A888="","",IF('ORDENES'!$V888="","-",'ORDENES'!$V888))</f>
        <v/>
      </c>
      <c r="F910" s="3">
        <f>IF('ORDENES'!$A888="","",IF('ORDENES'!$X888="","-",'ORDENES'!$X888))</f>
        <v/>
      </c>
      <c r="G910" s="3">
        <f>IF('ORDENES'!$A888="","",IF('ORDENES'!$AC888="","-",'ORDENES'!$AC888))</f>
        <v/>
      </c>
      <c r="H910" s="3">
        <f>IF('ORDENES'!$A888="","",IF('ORDENES'!$AO888="","-",'ORDENES'!$AO888))</f>
        <v/>
      </c>
      <c r="I910" s="3">
        <f>IF('ORDENES'!$A888="","",IF('ORDENES'!$D888="","-",'ORDENES'!$D888))</f>
        <v/>
      </c>
      <c r="J910" s="3">
        <f>IF('ORDENES'!$A888="","",IF('ORDENES'!$E888="","-",'ORDENES'!$E888))</f>
        <v/>
      </c>
      <c r="K910" s="12">
        <f>IF('ORDENES'!$A888="","",IF('ORDENES'!$N888="",0,'ORDENES'!$N888))</f>
        <v/>
      </c>
      <c r="L910" s="3">
        <f>IF('ORDENES'!$A888="","",IF('ORDENES'!$O888="","-",'ORDENES'!$O888))</f>
        <v/>
      </c>
      <c r="M910" s="3">
        <f>IF('ORDENES'!$A888="","",'ORDENES'!$AB888)</f>
        <v/>
      </c>
    </row>
    <row r="911">
      <c r="A911" s="3">
        <f>IF('ORDENES'!$A889="","",IF('ORDENES'!$P889="","-",'ORDENES'!$P889))</f>
        <v/>
      </c>
      <c r="B911" s="3">
        <f>IF('ORDENES'!$A889="","",IF('ORDENES'!$S889="","-",'ORDENES'!$S889))</f>
        <v/>
      </c>
      <c r="C911" s="3">
        <f>IF('ORDENES'!$A889="","",IF('ORDENES'!$AD889="","-",'ORDENES'!$AD889))</f>
        <v/>
      </c>
      <c r="D911" s="3">
        <f>IF('ORDENES'!$A889="","",IF('ORDENES'!$W889="","-",'ORDENES'!$W889))</f>
        <v/>
      </c>
      <c r="E911" s="3">
        <f>IF('ORDENES'!$A889="","",IF('ORDENES'!$V889="","-",'ORDENES'!$V889))</f>
        <v/>
      </c>
      <c r="F911" s="3">
        <f>IF('ORDENES'!$A889="","",IF('ORDENES'!$X889="","-",'ORDENES'!$X889))</f>
        <v/>
      </c>
      <c r="G911" s="3">
        <f>IF('ORDENES'!$A889="","",IF('ORDENES'!$AC889="","-",'ORDENES'!$AC889))</f>
        <v/>
      </c>
      <c r="H911" s="3">
        <f>IF('ORDENES'!$A889="","",IF('ORDENES'!$AO889="","-",'ORDENES'!$AO889))</f>
        <v/>
      </c>
      <c r="I911" s="3">
        <f>IF('ORDENES'!$A889="","",IF('ORDENES'!$D889="","-",'ORDENES'!$D889))</f>
        <v/>
      </c>
      <c r="J911" s="3">
        <f>IF('ORDENES'!$A889="","",IF('ORDENES'!$E889="","-",'ORDENES'!$E889))</f>
        <v/>
      </c>
      <c r="K911" s="12">
        <f>IF('ORDENES'!$A889="","",IF('ORDENES'!$N889="",0,'ORDENES'!$N889))</f>
        <v/>
      </c>
      <c r="L911" s="3">
        <f>IF('ORDENES'!$A889="","",IF('ORDENES'!$O889="","-",'ORDENES'!$O889))</f>
        <v/>
      </c>
      <c r="M911" s="3">
        <f>IF('ORDENES'!$A889="","",'ORDENES'!$AB889)</f>
        <v/>
      </c>
    </row>
    <row r="912">
      <c r="A912" s="3">
        <f>IF('ORDENES'!$A890="","",IF('ORDENES'!$P890="","-",'ORDENES'!$P890))</f>
        <v/>
      </c>
      <c r="B912" s="3">
        <f>IF('ORDENES'!$A890="","",IF('ORDENES'!$S890="","-",'ORDENES'!$S890))</f>
        <v/>
      </c>
      <c r="C912" s="3">
        <f>IF('ORDENES'!$A890="","",IF('ORDENES'!$AD890="","-",'ORDENES'!$AD890))</f>
        <v/>
      </c>
      <c r="D912" s="3">
        <f>IF('ORDENES'!$A890="","",IF('ORDENES'!$W890="","-",'ORDENES'!$W890))</f>
        <v/>
      </c>
      <c r="E912" s="3">
        <f>IF('ORDENES'!$A890="","",IF('ORDENES'!$V890="","-",'ORDENES'!$V890))</f>
        <v/>
      </c>
      <c r="F912" s="3">
        <f>IF('ORDENES'!$A890="","",IF('ORDENES'!$X890="","-",'ORDENES'!$X890))</f>
        <v/>
      </c>
      <c r="G912" s="3">
        <f>IF('ORDENES'!$A890="","",IF('ORDENES'!$AC890="","-",'ORDENES'!$AC890))</f>
        <v/>
      </c>
      <c r="H912" s="3">
        <f>IF('ORDENES'!$A890="","",IF('ORDENES'!$AO890="","-",'ORDENES'!$AO890))</f>
        <v/>
      </c>
      <c r="I912" s="3">
        <f>IF('ORDENES'!$A890="","",IF('ORDENES'!$D890="","-",'ORDENES'!$D890))</f>
        <v/>
      </c>
      <c r="J912" s="3">
        <f>IF('ORDENES'!$A890="","",IF('ORDENES'!$E890="","-",'ORDENES'!$E890))</f>
        <v/>
      </c>
      <c r="K912" s="12">
        <f>IF('ORDENES'!$A890="","",IF('ORDENES'!$N890="",0,'ORDENES'!$N890))</f>
        <v/>
      </c>
      <c r="L912" s="3">
        <f>IF('ORDENES'!$A890="","",IF('ORDENES'!$O890="","-",'ORDENES'!$O890))</f>
        <v/>
      </c>
      <c r="M912" s="3">
        <f>IF('ORDENES'!$A890="","",'ORDENES'!$AB890)</f>
        <v/>
      </c>
    </row>
    <row r="913">
      <c r="A913" s="3">
        <f>IF('ORDENES'!$A891="","",IF('ORDENES'!$P891="","-",'ORDENES'!$P891))</f>
        <v/>
      </c>
      <c r="B913" s="3">
        <f>IF('ORDENES'!$A891="","",IF('ORDENES'!$S891="","-",'ORDENES'!$S891))</f>
        <v/>
      </c>
      <c r="C913" s="3">
        <f>IF('ORDENES'!$A891="","",IF('ORDENES'!$AD891="","-",'ORDENES'!$AD891))</f>
        <v/>
      </c>
      <c r="D913" s="3">
        <f>IF('ORDENES'!$A891="","",IF('ORDENES'!$W891="","-",'ORDENES'!$W891))</f>
        <v/>
      </c>
      <c r="E913" s="3">
        <f>IF('ORDENES'!$A891="","",IF('ORDENES'!$V891="","-",'ORDENES'!$V891))</f>
        <v/>
      </c>
      <c r="F913" s="3">
        <f>IF('ORDENES'!$A891="","",IF('ORDENES'!$X891="","-",'ORDENES'!$X891))</f>
        <v/>
      </c>
      <c r="G913" s="3">
        <f>IF('ORDENES'!$A891="","",IF('ORDENES'!$AC891="","-",'ORDENES'!$AC891))</f>
        <v/>
      </c>
      <c r="H913" s="3">
        <f>IF('ORDENES'!$A891="","",IF('ORDENES'!$AO891="","-",'ORDENES'!$AO891))</f>
        <v/>
      </c>
      <c r="I913" s="3">
        <f>IF('ORDENES'!$A891="","",IF('ORDENES'!$D891="","-",'ORDENES'!$D891))</f>
        <v/>
      </c>
      <c r="J913" s="3">
        <f>IF('ORDENES'!$A891="","",IF('ORDENES'!$E891="","-",'ORDENES'!$E891))</f>
        <v/>
      </c>
      <c r="K913" s="12">
        <f>IF('ORDENES'!$A891="","",IF('ORDENES'!$N891="",0,'ORDENES'!$N891))</f>
        <v/>
      </c>
      <c r="L913" s="3">
        <f>IF('ORDENES'!$A891="","",IF('ORDENES'!$O891="","-",'ORDENES'!$O891))</f>
        <v/>
      </c>
      <c r="M913" s="3">
        <f>IF('ORDENES'!$A891="","",'ORDENES'!$AB891)</f>
        <v/>
      </c>
    </row>
    <row r="914">
      <c r="A914" s="3">
        <f>IF('ORDENES'!$A892="","",IF('ORDENES'!$P892="","-",'ORDENES'!$P892))</f>
        <v/>
      </c>
      <c r="B914" s="3">
        <f>IF('ORDENES'!$A892="","",IF('ORDENES'!$S892="","-",'ORDENES'!$S892))</f>
        <v/>
      </c>
      <c r="C914" s="3">
        <f>IF('ORDENES'!$A892="","",IF('ORDENES'!$AD892="","-",'ORDENES'!$AD892))</f>
        <v/>
      </c>
      <c r="D914" s="3">
        <f>IF('ORDENES'!$A892="","",IF('ORDENES'!$W892="","-",'ORDENES'!$W892))</f>
        <v/>
      </c>
      <c r="E914" s="3">
        <f>IF('ORDENES'!$A892="","",IF('ORDENES'!$V892="","-",'ORDENES'!$V892))</f>
        <v/>
      </c>
      <c r="F914" s="3">
        <f>IF('ORDENES'!$A892="","",IF('ORDENES'!$X892="","-",'ORDENES'!$X892))</f>
        <v/>
      </c>
      <c r="G914" s="3">
        <f>IF('ORDENES'!$A892="","",IF('ORDENES'!$AC892="","-",'ORDENES'!$AC892))</f>
        <v/>
      </c>
      <c r="H914" s="3">
        <f>IF('ORDENES'!$A892="","",IF('ORDENES'!$AO892="","-",'ORDENES'!$AO892))</f>
        <v/>
      </c>
      <c r="I914" s="3">
        <f>IF('ORDENES'!$A892="","",IF('ORDENES'!$D892="","-",'ORDENES'!$D892))</f>
        <v/>
      </c>
      <c r="J914" s="3">
        <f>IF('ORDENES'!$A892="","",IF('ORDENES'!$E892="","-",'ORDENES'!$E892))</f>
        <v/>
      </c>
      <c r="K914" s="12">
        <f>IF('ORDENES'!$A892="","",IF('ORDENES'!$N892="",0,'ORDENES'!$N892))</f>
        <v/>
      </c>
      <c r="L914" s="3">
        <f>IF('ORDENES'!$A892="","",IF('ORDENES'!$O892="","-",'ORDENES'!$O892))</f>
        <v/>
      </c>
      <c r="M914" s="3">
        <f>IF('ORDENES'!$A892="","",'ORDENES'!$AB892)</f>
        <v/>
      </c>
    </row>
    <row r="915">
      <c r="A915" s="3">
        <f>IF('ORDENES'!$A893="","",IF('ORDENES'!$P893="","-",'ORDENES'!$P893))</f>
        <v/>
      </c>
      <c r="B915" s="3">
        <f>IF('ORDENES'!$A893="","",IF('ORDENES'!$S893="","-",'ORDENES'!$S893))</f>
        <v/>
      </c>
      <c r="C915" s="3">
        <f>IF('ORDENES'!$A893="","",IF('ORDENES'!$AD893="","-",'ORDENES'!$AD893))</f>
        <v/>
      </c>
      <c r="D915" s="3">
        <f>IF('ORDENES'!$A893="","",IF('ORDENES'!$W893="","-",'ORDENES'!$W893))</f>
        <v/>
      </c>
      <c r="E915" s="3">
        <f>IF('ORDENES'!$A893="","",IF('ORDENES'!$V893="","-",'ORDENES'!$V893))</f>
        <v/>
      </c>
      <c r="F915" s="3">
        <f>IF('ORDENES'!$A893="","",IF('ORDENES'!$X893="","-",'ORDENES'!$X893))</f>
        <v/>
      </c>
      <c r="G915" s="3">
        <f>IF('ORDENES'!$A893="","",IF('ORDENES'!$AC893="","-",'ORDENES'!$AC893))</f>
        <v/>
      </c>
      <c r="H915" s="3">
        <f>IF('ORDENES'!$A893="","",IF('ORDENES'!$AO893="","-",'ORDENES'!$AO893))</f>
        <v/>
      </c>
      <c r="I915" s="3">
        <f>IF('ORDENES'!$A893="","",IF('ORDENES'!$D893="","-",'ORDENES'!$D893))</f>
        <v/>
      </c>
      <c r="J915" s="3">
        <f>IF('ORDENES'!$A893="","",IF('ORDENES'!$E893="","-",'ORDENES'!$E893))</f>
        <v/>
      </c>
      <c r="K915" s="12">
        <f>IF('ORDENES'!$A893="","",IF('ORDENES'!$N893="",0,'ORDENES'!$N893))</f>
        <v/>
      </c>
      <c r="L915" s="3">
        <f>IF('ORDENES'!$A893="","",IF('ORDENES'!$O893="","-",'ORDENES'!$O893))</f>
        <v/>
      </c>
      <c r="M915" s="3">
        <f>IF('ORDENES'!$A893="","",'ORDENES'!$AB893)</f>
        <v/>
      </c>
    </row>
    <row r="916">
      <c r="A916" s="3">
        <f>IF('ORDENES'!$A894="","",IF('ORDENES'!$P894="","-",'ORDENES'!$P894))</f>
        <v/>
      </c>
      <c r="B916" s="3">
        <f>IF('ORDENES'!$A894="","",IF('ORDENES'!$S894="","-",'ORDENES'!$S894))</f>
        <v/>
      </c>
      <c r="C916" s="3">
        <f>IF('ORDENES'!$A894="","",IF('ORDENES'!$AD894="","-",'ORDENES'!$AD894))</f>
        <v/>
      </c>
      <c r="D916" s="3">
        <f>IF('ORDENES'!$A894="","",IF('ORDENES'!$W894="","-",'ORDENES'!$W894))</f>
        <v/>
      </c>
      <c r="E916" s="3">
        <f>IF('ORDENES'!$A894="","",IF('ORDENES'!$V894="","-",'ORDENES'!$V894))</f>
        <v/>
      </c>
      <c r="F916" s="3">
        <f>IF('ORDENES'!$A894="","",IF('ORDENES'!$X894="","-",'ORDENES'!$X894))</f>
        <v/>
      </c>
      <c r="G916" s="3">
        <f>IF('ORDENES'!$A894="","",IF('ORDENES'!$AC894="","-",'ORDENES'!$AC894))</f>
        <v/>
      </c>
      <c r="H916" s="3">
        <f>IF('ORDENES'!$A894="","",IF('ORDENES'!$AO894="","-",'ORDENES'!$AO894))</f>
        <v/>
      </c>
      <c r="I916" s="3">
        <f>IF('ORDENES'!$A894="","",IF('ORDENES'!$D894="","-",'ORDENES'!$D894))</f>
        <v/>
      </c>
      <c r="J916" s="3">
        <f>IF('ORDENES'!$A894="","",IF('ORDENES'!$E894="","-",'ORDENES'!$E894))</f>
        <v/>
      </c>
      <c r="K916" s="12">
        <f>IF('ORDENES'!$A894="","",IF('ORDENES'!$N894="",0,'ORDENES'!$N894))</f>
        <v/>
      </c>
      <c r="L916" s="3">
        <f>IF('ORDENES'!$A894="","",IF('ORDENES'!$O894="","-",'ORDENES'!$O894))</f>
        <v/>
      </c>
      <c r="M916" s="3">
        <f>IF('ORDENES'!$A894="","",'ORDENES'!$AB894)</f>
        <v/>
      </c>
    </row>
    <row r="917">
      <c r="A917" s="3">
        <f>IF('ORDENES'!$A895="","",IF('ORDENES'!$P895="","-",'ORDENES'!$P895))</f>
        <v/>
      </c>
      <c r="B917" s="3">
        <f>IF('ORDENES'!$A895="","",IF('ORDENES'!$S895="","-",'ORDENES'!$S895))</f>
        <v/>
      </c>
      <c r="C917" s="3">
        <f>IF('ORDENES'!$A895="","",IF('ORDENES'!$AD895="","-",'ORDENES'!$AD895))</f>
        <v/>
      </c>
      <c r="D917" s="3">
        <f>IF('ORDENES'!$A895="","",IF('ORDENES'!$W895="","-",'ORDENES'!$W895))</f>
        <v/>
      </c>
      <c r="E917" s="3">
        <f>IF('ORDENES'!$A895="","",IF('ORDENES'!$V895="","-",'ORDENES'!$V895))</f>
        <v/>
      </c>
      <c r="F917" s="3">
        <f>IF('ORDENES'!$A895="","",IF('ORDENES'!$X895="","-",'ORDENES'!$X895))</f>
        <v/>
      </c>
      <c r="G917" s="3">
        <f>IF('ORDENES'!$A895="","",IF('ORDENES'!$AC895="","-",'ORDENES'!$AC895))</f>
        <v/>
      </c>
      <c r="H917" s="3">
        <f>IF('ORDENES'!$A895="","",IF('ORDENES'!$AO895="","-",'ORDENES'!$AO895))</f>
        <v/>
      </c>
      <c r="I917" s="3">
        <f>IF('ORDENES'!$A895="","",IF('ORDENES'!$D895="","-",'ORDENES'!$D895))</f>
        <v/>
      </c>
      <c r="J917" s="3">
        <f>IF('ORDENES'!$A895="","",IF('ORDENES'!$E895="","-",'ORDENES'!$E895))</f>
        <v/>
      </c>
      <c r="K917" s="12">
        <f>IF('ORDENES'!$A895="","",IF('ORDENES'!$N895="",0,'ORDENES'!$N895))</f>
        <v/>
      </c>
      <c r="L917" s="3">
        <f>IF('ORDENES'!$A895="","",IF('ORDENES'!$O895="","-",'ORDENES'!$O895))</f>
        <v/>
      </c>
      <c r="M917" s="3">
        <f>IF('ORDENES'!$A895="","",'ORDENES'!$AB895)</f>
        <v/>
      </c>
    </row>
    <row r="918">
      <c r="A918" s="3">
        <f>IF('ORDENES'!$A896="","",IF('ORDENES'!$P896="","-",'ORDENES'!$P896))</f>
        <v/>
      </c>
      <c r="B918" s="3">
        <f>IF('ORDENES'!$A896="","",IF('ORDENES'!$S896="","-",'ORDENES'!$S896))</f>
        <v/>
      </c>
      <c r="C918" s="3">
        <f>IF('ORDENES'!$A896="","",IF('ORDENES'!$AD896="","-",'ORDENES'!$AD896))</f>
        <v/>
      </c>
      <c r="D918" s="3">
        <f>IF('ORDENES'!$A896="","",IF('ORDENES'!$W896="","-",'ORDENES'!$W896))</f>
        <v/>
      </c>
      <c r="E918" s="3">
        <f>IF('ORDENES'!$A896="","",IF('ORDENES'!$V896="","-",'ORDENES'!$V896))</f>
        <v/>
      </c>
      <c r="F918" s="3">
        <f>IF('ORDENES'!$A896="","",IF('ORDENES'!$X896="","-",'ORDENES'!$X896))</f>
        <v/>
      </c>
      <c r="G918" s="3">
        <f>IF('ORDENES'!$A896="","",IF('ORDENES'!$AC896="","-",'ORDENES'!$AC896))</f>
        <v/>
      </c>
      <c r="H918" s="3">
        <f>IF('ORDENES'!$A896="","",IF('ORDENES'!$AO896="","-",'ORDENES'!$AO896))</f>
        <v/>
      </c>
      <c r="I918" s="3">
        <f>IF('ORDENES'!$A896="","",IF('ORDENES'!$D896="","-",'ORDENES'!$D896))</f>
        <v/>
      </c>
      <c r="J918" s="3">
        <f>IF('ORDENES'!$A896="","",IF('ORDENES'!$E896="","-",'ORDENES'!$E896))</f>
        <v/>
      </c>
      <c r="K918" s="12">
        <f>IF('ORDENES'!$A896="","",IF('ORDENES'!$N896="",0,'ORDENES'!$N896))</f>
        <v/>
      </c>
      <c r="L918" s="3">
        <f>IF('ORDENES'!$A896="","",IF('ORDENES'!$O896="","-",'ORDENES'!$O896))</f>
        <v/>
      </c>
      <c r="M918" s="3">
        <f>IF('ORDENES'!$A896="","",'ORDENES'!$AB896)</f>
        <v/>
      </c>
    </row>
    <row r="919">
      <c r="A919" s="3">
        <f>IF('ORDENES'!$A897="","",IF('ORDENES'!$P897="","-",'ORDENES'!$P897))</f>
        <v/>
      </c>
      <c r="B919" s="3">
        <f>IF('ORDENES'!$A897="","",IF('ORDENES'!$S897="","-",'ORDENES'!$S897))</f>
        <v/>
      </c>
      <c r="C919" s="3">
        <f>IF('ORDENES'!$A897="","",IF('ORDENES'!$AD897="","-",'ORDENES'!$AD897))</f>
        <v/>
      </c>
      <c r="D919" s="3">
        <f>IF('ORDENES'!$A897="","",IF('ORDENES'!$W897="","-",'ORDENES'!$W897))</f>
        <v/>
      </c>
      <c r="E919" s="3">
        <f>IF('ORDENES'!$A897="","",IF('ORDENES'!$V897="","-",'ORDENES'!$V897))</f>
        <v/>
      </c>
      <c r="F919" s="3">
        <f>IF('ORDENES'!$A897="","",IF('ORDENES'!$X897="","-",'ORDENES'!$X897))</f>
        <v/>
      </c>
      <c r="G919" s="3">
        <f>IF('ORDENES'!$A897="","",IF('ORDENES'!$AC897="","-",'ORDENES'!$AC897))</f>
        <v/>
      </c>
      <c r="H919" s="3">
        <f>IF('ORDENES'!$A897="","",IF('ORDENES'!$AO897="","-",'ORDENES'!$AO897))</f>
        <v/>
      </c>
      <c r="I919" s="3">
        <f>IF('ORDENES'!$A897="","",IF('ORDENES'!$D897="","-",'ORDENES'!$D897))</f>
        <v/>
      </c>
      <c r="J919" s="3">
        <f>IF('ORDENES'!$A897="","",IF('ORDENES'!$E897="","-",'ORDENES'!$E897))</f>
        <v/>
      </c>
      <c r="K919" s="12">
        <f>IF('ORDENES'!$A897="","",IF('ORDENES'!$N897="",0,'ORDENES'!$N897))</f>
        <v/>
      </c>
      <c r="L919" s="3">
        <f>IF('ORDENES'!$A897="","",IF('ORDENES'!$O897="","-",'ORDENES'!$O897))</f>
        <v/>
      </c>
      <c r="M919" s="3">
        <f>IF('ORDENES'!$A897="","",'ORDENES'!$AB897)</f>
        <v/>
      </c>
    </row>
    <row r="920">
      <c r="A920" s="3">
        <f>IF('ORDENES'!$A898="","",IF('ORDENES'!$P898="","-",'ORDENES'!$P898))</f>
        <v/>
      </c>
      <c r="B920" s="3">
        <f>IF('ORDENES'!$A898="","",IF('ORDENES'!$S898="","-",'ORDENES'!$S898))</f>
        <v/>
      </c>
      <c r="C920" s="3">
        <f>IF('ORDENES'!$A898="","",IF('ORDENES'!$AD898="","-",'ORDENES'!$AD898))</f>
        <v/>
      </c>
      <c r="D920" s="3">
        <f>IF('ORDENES'!$A898="","",IF('ORDENES'!$W898="","-",'ORDENES'!$W898))</f>
        <v/>
      </c>
      <c r="E920" s="3">
        <f>IF('ORDENES'!$A898="","",IF('ORDENES'!$V898="","-",'ORDENES'!$V898))</f>
        <v/>
      </c>
      <c r="F920" s="3">
        <f>IF('ORDENES'!$A898="","",IF('ORDENES'!$X898="","-",'ORDENES'!$X898))</f>
        <v/>
      </c>
      <c r="G920" s="3">
        <f>IF('ORDENES'!$A898="","",IF('ORDENES'!$AC898="","-",'ORDENES'!$AC898))</f>
        <v/>
      </c>
      <c r="H920" s="3">
        <f>IF('ORDENES'!$A898="","",IF('ORDENES'!$AO898="","-",'ORDENES'!$AO898))</f>
        <v/>
      </c>
      <c r="I920" s="3">
        <f>IF('ORDENES'!$A898="","",IF('ORDENES'!$D898="","-",'ORDENES'!$D898))</f>
        <v/>
      </c>
      <c r="J920" s="3">
        <f>IF('ORDENES'!$A898="","",IF('ORDENES'!$E898="","-",'ORDENES'!$E898))</f>
        <v/>
      </c>
      <c r="K920" s="12">
        <f>IF('ORDENES'!$A898="","",IF('ORDENES'!$N898="",0,'ORDENES'!$N898))</f>
        <v/>
      </c>
      <c r="L920" s="3">
        <f>IF('ORDENES'!$A898="","",IF('ORDENES'!$O898="","-",'ORDENES'!$O898))</f>
        <v/>
      </c>
      <c r="M920" s="3">
        <f>IF('ORDENES'!$A898="","",'ORDENES'!$AB898)</f>
        <v/>
      </c>
    </row>
    <row r="921">
      <c r="A921" s="3">
        <f>IF('ORDENES'!$A899="","",IF('ORDENES'!$P899="","-",'ORDENES'!$P899))</f>
        <v/>
      </c>
      <c r="B921" s="3">
        <f>IF('ORDENES'!$A899="","",IF('ORDENES'!$S899="","-",'ORDENES'!$S899))</f>
        <v/>
      </c>
      <c r="C921" s="3">
        <f>IF('ORDENES'!$A899="","",IF('ORDENES'!$AD899="","-",'ORDENES'!$AD899))</f>
        <v/>
      </c>
      <c r="D921" s="3">
        <f>IF('ORDENES'!$A899="","",IF('ORDENES'!$W899="","-",'ORDENES'!$W899))</f>
        <v/>
      </c>
      <c r="E921" s="3">
        <f>IF('ORDENES'!$A899="","",IF('ORDENES'!$V899="","-",'ORDENES'!$V899))</f>
        <v/>
      </c>
      <c r="F921" s="3">
        <f>IF('ORDENES'!$A899="","",IF('ORDENES'!$X899="","-",'ORDENES'!$X899))</f>
        <v/>
      </c>
      <c r="G921" s="3">
        <f>IF('ORDENES'!$A899="","",IF('ORDENES'!$AC899="","-",'ORDENES'!$AC899))</f>
        <v/>
      </c>
      <c r="H921" s="3">
        <f>IF('ORDENES'!$A899="","",IF('ORDENES'!$AO899="","-",'ORDENES'!$AO899))</f>
        <v/>
      </c>
      <c r="I921" s="3">
        <f>IF('ORDENES'!$A899="","",IF('ORDENES'!$D899="","-",'ORDENES'!$D899))</f>
        <v/>
      </c>
      <c r="J921" s="3">
        <f>IF('ORDENES'!$A899="","",IF('ORDENES'!$E899="","-",'ORDENES'!$E899))</f>
        <v/>
      </c>
      <c r="K921" s="12">
        <f>IF('ORDENES'!$A899="","",IF('ORDENES'!$N899="",0,'ORDENES'!$N899))</f>
        <v/>
      </c>
      <c r="L921" s="3">
        <f>IF('ORDENES'!$A899="","",IF('ORDENES'!$O899="","-",'ORDENES'!$O899))</f>
        <v/>
      </c>
      <c r="M921" s="3">
        <f>IF('ORDENES'!$A899="","",'ORDENES'!$AB899)</f>
        <v/>
      </c>
    </row>
    <row r="922">
      <c r="A922" s="3">
        <f>IF('ORDENES'!$A900="","",IF('ORDENES'!$P900="","-",'ORDENES'!$P900))</f>
        <v/>
      </c>
      <c r="B922" s="3">
        <f>IF('ORDENES'!$A900="","",IF('ORDENES'!$S900="","-",'ORDENES'!$S900))</f>
        <v/>
      </c>
      <c r="C922" s="3">
        <f>IF('ORDENES'!$A900="","",IF('ORDENES'!$AD900="","-",'ORDENES'!$AD900))</f>
        <v/>
      </c>
      <c r="D922" s="3">
        <f>IF('ORDENES'!$A900="","",IF('ORDENES'!$W900="","-",'ORDENES'!$W900))</f>
        <v/>
      </c>
      <c r="E922" s="3">
        <f>IF('ORDENES'!$A900="","",IF('ORDENES'!$V900="","-",'ORDENES'!$V900))</f>
        <v/>
      </c>
      <c r="F922" s="3">
        <f>IF('ORDENES'!$A900="","",IF('ORDENES'!$X900="","-",'ORDENES'!$X900))</f>
        <v/>
      </c>
      <c r="G922" s="3">
        <f>IF('ORDENES'!$A900="","",IF('ORDENES'!$AC900="","-",'ORDENES'!$AC900))</f>
        <v/>
      </c>
      <c r="H922" s="3">
        <f>IF('ORDENES'!$A900="","",IF('ORDENES'!$AO900="","-",'ORDENES'!$AO900))</f>
        <v/>
      </c>
      <c r="I922" s="3">
        <f>IF('ORDENES'!$A900="","",IF('ORDENES'!$D900="","-",'ORDENES'!$D900))</f>
        <v/>
      </c>
      <c r="J922" s="3">
        <f>IF('ORDENES'!$A900="","",IF('ORDENES'!$E900="","-",'ORDENES'!$E900))</f>
        <v/>
      </c>
      <c r="K922" s="12">
        <f>IF('ORDENES'!$A900="","",IF('ORDENES'!$N900="",0,'ORDENES'!$N900))</f>
        <v/>
      </c>
      <c r="L922" s="3">
        <f>IF('ORDENES'!$A900="","",IF('ORDENES'!$O900="","-",'ORDENES'!$O900))</f>
        <v/>
      </c>
      <c r="M922" s="3">
        <f>IF('ORDENES'!$A900="","",'ORDENES'!$AB900)</f>
        <v/>
      </c>
    </row>
    <row r="923">
      <c r="A923" s="3">
        <f>IF('ORDENES'!$A901="","",IF('ORDENES'!$P901="","-",'ORDENES'!$P901))</f>
        <v/>
      </c>
      <c r="B923" s="3">
        <f>IF('ORDENES'!$A901="","",IF('ORDENES'!$S901="","-",'ORDENES'!$S901))</f>
        <v/>
      </c>
      <c r="C923" s="3">
        <f>IF('ORDENES'!$A901="","",IF('ORDENES'!$AD901="","-",'ORDENES'!$AD901))</f>
        <v/>
      </c>
      <c r="D923" s="3">
        <f>IF('ORDENES'!$A901="","",IF('ORDENES'!$W901="","-",'ORDENES'!$W901))</f>
        <v/>
      </c>
      <c r="E923" s="3">
        <f>IF('ORDENES'!$A901="","",IF('ORDENES'!$V901="","-",'ORDENES'!$V901))</f>
        <v/>
      </c>
      <c r="F923" s="3">
        <f>IF('ORDENES'!$A901="","",IF('ORDENES'!$X901="","-",'ORDENES'!$X901))</f>
        <v/>
      </c>
      <c r="G923" s="3">
        <f>IF('ORDENES'!$A901="","",IF('ORDENES'!$AC901="","-",'ORDENES'!$AC901))</f>
        <v/>
      </c>
      <c r="H923" s="3">
        <f>IF('ORDENES'!$A901="","",IF('ORDENES'!$AO901="","-",'ORDENES'!$AO901))</f>
        <v/>
      </c>
      <c r="I923" s="3">
        <f>IF('ORDENES'!$A901="","",IF('ORDENES'!$D901="","-",'ORDENES'!$D901))</f>
        <v/>
      </c>
      <c r="J923" s="3">
        <f>IF('ORDENES'!$A901="","",IF('ORDENES'!$E901="","-",'ORDENES'!$E901))</f>
        <v/>
      </c>
      <c r="K923" s="12">
        <f>IF('ORDENES'!$A901="","",IF('ORDENES'!$N901="",0,'ORDENES'!$N901))</f>
        <v/>
      </c>
      <c r="L923" s="3">
        <f>IF('ORDENES'!$A901="","",IF('ORDENES'!$O901="","-",'ORDENES'!$O901))</f>
        <v/>
      </c>
      <c r="M923" s="3">
        <f>IF('ORDENES'!$A901="","",'ORDENES'!$AB901)</f>
        <v/>
      </c>
    </row>
    <row r="924">
      <c r="A924" s="3">
        <f>IF('ORDENES'!$A902="","",IF('ORDENES'!$P902="","-",'ORDENES'!$P902))</f>
        <v/>
      </c>
      <c r="B924" s="3">
        <f>IF('ORDENES'!$A902="","",IF('ORDENES'!$S902="","-",'ORDENES'!$S902))</f>
        <v/>
      </c>
      <c r="C924" s="3">
        <f>IF('ORDENES'!$A902="","",IF('ORDENES'!$AD902="","-",'ORDENES'!$AD902))</f>
        <v/>
      </c>
      <c r="D924" s="3">
        <f>IF('ORDENES'!$A902="","",IF('ORDENES'!$W902="","-",'ORDENES'!$W902))</f>
        <v/>
      </c>
      <c r="E924" s="3">
        <f>IF('ORDENES'!$A902="","",IF('ORDENES'!$V902="","-",'ORDENES'!$V902))</f>
        <v/>
      </c>
      <c r="F924" s="3">
        <f>IF('ORDENES'!$A902="","",IF('ORDENES'!$X902="","-",'ORDENES'!$X902))</f>
        <v/>
      </c>
      <c r="G924" s="3">
        <f>IF('ORDENES'!$A902="","",IF('ORDENES'!$AC902="","-",'ORDENES'!$AC902))</f>
        <v/>
      </c>
      <c r="H924" s="3">
        <f>IF('ORDENES'!$A902="","",IF('ORDENES'!$AO902="","-",'ORDENES'!$AO902))</f>
        <v/>
      </c>
      <c r="I924" s="3">
        <f>IF('ORDENES'!$A902="","",IF('ORDENES'!$D902="","-",'ORDENES'!$D902))</f>
        <v/>
      </c>
      <c r="J924" s="3">
        <f>IF('ORDENES'!$A902="","",IF('ORDENES'!$E902="","-",'ORDENES'!$E902))</f>
        <v/>
      </c>
      <c r="K924" s="12">
        <f>IF('ORDENES'!$A902="","",IF('ORDENES'!$N902="",0,'ORDENES'!$N902))</f>
        <v/>
      </c>
      <c r="L924" s="3">
        <f>IF('ORDENES'!$A902="","",IF('ORDENES'!$O902="","-",'ORDENES'!$O902))</f>
        <v/>
      </c>
      <c r="M924" s="3">
        <f>IF('ORDENES'!$A902="","",'ORDENES'!$AB902)</f>
        <v/>
      </c>
    </row>
    <row r="925">
      <c r="A925" s="3">
        <f>IF('ORDENES'!$A903="","",IF('ORDENES'!$P903="","-",'ORDENES'!$P903))</f>
        <v/>
      </c>
      <c r="B925" s="3">
        <f>IF('ORDENES'!$A903="","",IF('ORDENES'!$S903="","-",'ORDENES'!$S903))</f>
        <v/>
      </c>
      <c r="C925" s="3">
        <f>IF('ORDENES'!$A903="","",IF('ORDENES'!$AD903="","-",'ORDENES'!$AD903))</f>
        <v/>
      </c>
      <c r="D925" s="3">
        <f>IF('ORDENES'!$A903="","",IF('ORDENES'!$W903="","-",'ORDENES'!$W903))</f>
        <v/>
      </c>
      <c r="E925" s="3">
        <f>IF('ORDENES'!$A903="","",IF('ORDENES'!$V903="","-",'ORDENES'!$V903))</f>
        <v/>
      </c>
      <c r="F925" s="3">
        <f>IF('ORDENES'!$A903="","",IF('ORDENES'!$X903="","-",'ORDENES'!$X903))</f>
        <v/>
      </c>
      <c r="G925" s="3">
        <f>IF('ORDENES'!$A903="","",IF('ORDENES'!$AC903="","-",'ORDENES'!$AC903))</f>
        <v/>
      </c>
      <c r="H925" s="3">
        <f>IF('ORDENES'!$A903="","",IF('ORDENES'!$AO903="","-",'ORDENES'!$AO903))</f>
        <v/>
      </c>
      <c r="I925" s="3">
        <f>IF('ORDENES'!$A903="","",IF('ORDENES'!$D903="","-",'ORDENES'!$D903))</f>
        <v/>
      </c>
      <c r="J925" s="3">
        <f>IF('ORDENES'!$A903="","",IF('ORDENES'!$E903="","-",'ORDENES'!$E903))</f>
        <v/>
      </c>
      <c r="K925" s="12">
        <f>IF('ORDENES'!$A903="","",IF('ORDENES'!$N903="",0,'ORDENES'!$N903))</f>
        <v/>
      </c>
      <c r="L925" s="3">
        <f>IF('ORDENES'!$A903="","",IF('ORDENES'!$O903="","-",'ORDENES'!$O903))</f>
        <v/>
      </c>
      <c r="M925" s="3">
        <f>IF('ORDENES'!$A903="","",'ORDENES'!$AB903)</f>
        <v/>
      </c>
    </row>
    <row r="926">
      <c r="A926" s="3">
        <f>IF('ORDENES'!$A904="","",IF('ORDENES'!$P904="","-",'ORDENES'!$P904))</f>
        <v/>
      </c>
      <c r="B926" s="3">
        <f>IF('ORDENES'!$A904="","",IF('ORDENES'!$S904="","-",'ORDENES'!$S904))</f>
        <v/>
      </c>
      <c r="C926" s="3">
        <f>IF('ORDENES'!$A904="","",IF('ORDENES'!$AD904="","-",'ORDENES'!$AD904))</f>
        <v/>
      </c>
      <c r="D926" s="3">
        <f>IF('ORDENES'!$A904="","",IF('ORDENES'!$W904="","-",'ORDENES'!$W904))</f>
        <v/>
      </c>
      <c r="E926" s="3">
        <f>IF('ORDENES'!$A904="","",IF('ORDENES'!$V904="","-",'ORDENES'!$V904))</f>
        <v/>
      </c>
      <c r="F926" s="3">
        <f>IF('ORDENES'!$A904="","",IF('ORDENES'!$X904="","-",'ORDENES'!$X904))</f>
        <v/>
      </c>
      <c r="G926" s="3">
        <f>IF('ORDENES'!$A904="","",IF('ORDENES'!$AC904="","-",'ORDENES'!$AC904))</f>
        <v/>
      </c>
      <c r="H926" s="3">
        <f>IF('ORDENES'!$A904="","",IF('ORDENES'!$AO904="","-",'ORDENES'!$AO904))</f>
        <v/>
      </c>
      <c r="I926" s="3">
        <f>IF('ORDENES'!$A904="","",IF('ORDENES'!$D904="","-",'ORDENES'!$D904))</f>
        <v/>
      </c>
      <c r="J926" s="3">
        <f>IF('ORDENES'!$A904="","",IF('ORDENES'!$E904="","-",'ORDENES'!$E904))</f>
        <v/>
      </c>
      <c r="K926" s="12">
        <f>IF('ORDENES'!$A904="","",IF('ORDENES'!$N904="",0,'ORDENES'!$N904))</f>
        <v/>
      </c>
      <c r="L926" s="3">
        <f>IF('ORDENES'!$A904="","",IF('ORDENES'!$O904="","-",'ORDENES'!$O904))</f>
        <v/>
      </c>
      <c r="M926" s="3">
        <f>IF('ORDENES'!$A904="","",'ORDENES'!$AB904)</f>
        <v/>
      </c>
    </row>
    <row r="927">
      <c r="A927" s="3">
        <f>IF('ORDENES'!$A905="","",IF('ORDENES'!$P905="","-",'ORDENES'!$P905))</f>
        <v/>
      </c>
      <c r="B927" s="3">
        <f>IF('ORDENES'!$A905="","",IF('ORDENES'!$S905="","-",'ORDENES'!$S905))</f>
        <v/>
      </c>
      <c r="C927" s="3">
        <f>IF('ORDENES'!$A905="","",IF('ORDENES'!$AD905="","-",'ORDENES'!$AD905))</f>
        <v/>
      </c>
      <c r="D927" s="3">
        <f>IF('ORDENES'!$A905="","",IF('ORDENES'!$W905="","-",'ORDENES'!$W905))</f>
        <v/>
      </c>
      <c r="E927" s="3">
        <f>IF('ORDENES'!$A905="","",IF('ORDENES'!$V905="","-",'ORDENES'!$V905))</f>
        <v/>
      </c>
      <c r="F927" s="3">
        <f>IF('ORDENES'!$A905="","",IF('ORDENES'!$X905="","-",'ORDENES'!$X905))</f>
        <v/>
      </c>
      <c r="G927" s="3">
        <f>IF('ORDENES'!$A905="","",IF('ORDENES'!$AC905="","-",'ORDENES'!$AC905))</f>
        <v/>
      </c>
      <c r="H927" s="3">
        <f>IF('ORDENES'!$A905="","",IF('ORDENES'!$AO905="","-",'ORDENES'!$AO905))</f>
        <v/>
      </c>
      <c r="I927" s="3">
        <f>IF('ORDENES'!$A905="","",IF('ORDENES'!$D905="","-",'ORDENES'!$D905))</f>
        <v/>
      </c>
      <c r="J927" s="3">
        <f>IF('ORDENES'!$A905="","",IF('ORDENES'!$E905="","-",'ORDENES'!$E905))</f>
        <v/>
      </c>
      <c r="K927" s="12">
        <f>IF('ORDENES'!$A905="","",IF('ORDENES'!$N905="",0,'ORDENES'!$N905))</f>
        <v/>
      </c>
      <c r="L927" s="3">
        <f>IF('ORDENES'!$A905="","",IF('ORDENES'!$O905="","-",'ORDENES'!$O905))</f>
        <v/>
      </c>
      <c r="M927" s="3">
        <f>IF('ORDENES'!$A905="","",'ORDENES'!$AB905)</f>
        <v/>
      </c>
    </row>
    <row r="928">
      <c r="A928" s="3">
        <f>IF('ORDENES'!$A906="","",IF('ORDENES'!$P906="","-",'ORDENES'!$P906))</f>
        <v/>
      </c>
      <c r="B928" s="3">
        <f>IF('ORDENES'!$A906="","",IF('ORDENES'!$S906="","-",'ORDENES'!$S906))</f>
        <v/>
      </c>
      <c r="C928" s="3">
        <f>IF('ORDENES'!$A906="","",IF('ORDENES'!$AD906="","-",'ORDENES'!$AD906))</f>
        <v/>
      </c>
      <c r="D928" s="3">
        <f>IF('ORDENES'!$A906="","",IF('ORDENES'!$W906="","-",'ORDENES'!$W906))</f>
        <v/>
      </c>
      <c r="E928" s="3">
        <f>IF('ORDENES'!$A906="","",IF('ORDENES'!$V906="","-",'ORDENES'!$V906))</f>
        <v/>
      </c>
      <c r="F928" s="3">
        <f>IF('ORDENES'!$A906="","",IF('ORDENES'!$X906="","-",'ORDENES'!$X906))</f>
        <v/>
      </c>
      <c r="G928" s="3">
        <f>IF('ORDENES'!$A906="","",IF('ORDENES'!$AC906="","-",'ORDENES'!$AC906))</f>
        <v/>
      </c>
      <c r="H928" s="3">
        <f>IF('ORDENES'!$A906="","",IF('ORDENES'!$AO906="","-",'ORDENES'!$AO906))</f>
        <v/>
      </c>
      <c r="I928" s="3">
        <f>IF('ORDENES'!$A906="","",IF('ORDENES'!$D906="","-",'ORDENES'!$D906))</f>
        <v/>
      </c>
      <c r="J928" s="3">
        <f>IF('ORDENES'!$A906="","",IF('ORDENES'!$E906="","-",'ORDENES'!$E906))</f>
        <v/>
      </c>
      <c r="K928" s="12">
        <f>IF('ORDENES'!$A906="","",IF('ORDENES'!$N906="",0,'ORDENES'!$N906))</f>
        <v/>
      </c>
      <c r="L928" s="3">
        <f>IF('ORDENES'!$A906="","",IF('ORDENES'!$O906="","-",'ORDENES'!$O906))</f>
        <v/>
      </c>
      <c r="M928" s="3">
        <f>IF('ORDENES'!$A906="","",'ORDENES'!$AB906)</f>
        <v/>
      </c>
    </row>
    <row r="929">
      <c r="A929" s="3">
        <f>IF('ORDENES'!$A907="","",IF('ORDENES'!$P907="","-",'ORDENES'!$P907))</f>
        <v/>
      </c>
      <c r="B929" s="3">
        <f>IF('ORDENES'!$A907="","",IF('ORDENES'!$S907="","-",'ORDENES'!$S907))</f>
        <v/>
      </c>
      <c r="C929" s="3">
        <f>IF('ORDENES'!$A907="","",IF('ORDENES'!$AD907="","-",'ORDENES'!$AD907))</f>
        <v/>
      </c>
      <c r="D929" s="3">
        <f>IF('ORDENES'!$A907="","",IF('ORDENES'!$W907="","-",'ORDENES'!$W907))</f>
        <v/>
      </c>
      <c r="E929" s="3">
        <f>IF('ORDENES'!$A907="","",IF('ORDENES'!$V907="","-",'ORDENES'!$V907))</f>
        <v/>
      </c>
      <c r="F929" s="3">
        <f>IF('ORDENES'!$A907="","",IF('ORDENES'!$X907="","-",'ORDENES'!$X907))</f>
        <v/>
      </c>
      <c r="G929" s="3">
        <f>IF('ORDENES'!$A907="","",IF('ORDENES'!$AC907="","-",'ORDENES'!$AC907))</f>
        <v/>
      </c>
      <c r="H929" s="3">
        <f>IF('ORDENES'!$A907="","",IF('ORDENES'!$AO907="","-",'ORDENES'!$AO907))</f>
        <v/>
      </c>
      <c r="I929" s="3">
        <f>IF('ORDENES'!$A907="","",IF('ORDENES'!$D907="","-",'ORDENES'!$D907))</f>
        <v/>
      </c>
      <c r="J929" s="3">
        <f>IF('ORDENES'!$A907="","",IF('ORDENES'!$E907="","-",'ORDENES'!$E907))</f>
        <v/>
      </c>
      <c r="K929" s="12">
        <f>IF('ORDENES'!$A907="","",IF('ORDENES'!$N907="",0,'ORDENES'!$N907))</f>
        <v/>
      </c>
      <c r="L929" s="3">
        <f>IF('ORDENES'!$A907="","",IF('ORDENES'!$O907="","-",'ORDENES'!$O907))</f>
        <v/>
      </c>
      <c r="M929" s="3">
        <f>IF('ORDENES'!$A907="","",'ORDENES'!$AB907)</f>
        <v/>
      </c>
    </row>
    <row r="930">
      <c r="A930" s="3">
        <f>IF('ORDENES'!$A908="","",IF('ORDENES'!$P908="","-",'ORDENES'!$P908))</f>
        <v/>
      </c>
      <c r="B930" s="3">
        <f>IF('ORDENES'!$A908="","",IF('ORDENES'!$S908="","-",'ORDENES'!$S908))</f>
        <v/>
      </c>
      <c r="C930" s="3">
        <f>IF('ORDENES'!$A908="","",IF('ORDENES'!$AD908="","-",'ORDENES'!$AD908))</f>
        <v/>
      </c>
      <c r="D930" s="3">
        <f>IF('ORDENES'!$A908="","",IF('ORDENES'!$W908="","-",'ORDENES'!$W908))</f>
        <v/>
      </c>
      <c r="E930" s="3">
        <f>IF('ORDENES'!$A908="","",IF('ORDENES'!$V908="","-",'ORDENES'!$V908))</f>
        <v/>
      </c>
      <c r="F930" s="3">
        <f>IF('ORDENES'!$A908="","",IF('ORDENES'!$X908="","-",'ORDENES'!$X908))</f>
        <v/>
      </c>
      <c r="G930" s="3">
        <f>IF('ORDENES'!$A908="","",IF('ORDENES'!$AC908="","-",'ORDENES'!$AC908))</f>
        <v/>
      </c>
      <c r="H930" s="3">
        <f>IF('ORDENES'!$A908="","",IF('ORDENES'!$AO908="","-",'ORDENES'!$AO908))</f>
        <v/>
      </c>
      <c r="I930" s="3">
        <f>IF('ORDENES'!$A908="","",IF('ORDENES'!$D908="","-",'ORDENES'!$D908))</f>
        <v/>
      </c>
      <c r="J930" s="3">
        <f>IF('ORDENES'!$A908="","",IF('ORDENES'!$E908="","-",'ORDENES'!$E908))</f>
        <v/>
      </c>
      <c r="K930" s="12">
        <f>IF('ORDENES'!$A908="","",IF('ORDENES'!$N908="",0,'ORDENES'!$N908))</f>
        <v/>
      </c>
      <c r="L930" s="3">
        <f>IF('ORDENES'!$A908="","",IF('ORDENES'!$O908="","-",'ORDENES'!$O908))</f>
        <v/>
      </c>
      <c r="M930" s="3">
        <f>IF('ORDENES'!$A908="","",'ORDENES'!$AB908)</f>
        <v/>
      </c>
    </row>
    <row r="931">
      <c r="A931" s="3">
        <f>IF('ORDENES'!$A909="","",IF('ORDENES'!$P909="","-",'ORDENES'!$P909))</f>
        <v/>
      </c>
      <c r="B931" s="3">
        <f>IF('ORDENES'!$A909="","",IF('ORDENES'!$S909="","-",'ORDENES'!$S909))</f>
        <v/>
      </c>
      <c r="C931" s="3">
        <f>IF('ORDENES'!$A909="","",IF('ORDENES'!$AD909="","-",'ORDENES'!$AD909))</f>
        <v/>
      </c>
      <c r="D931" s="3">
        <f>IF('ORDENES'!$A909="","",IF('ORDENES'!$W909="","-",'ORDENES'!$W909))</f>
        <v/>
      </c>
      <c r="E931" s="3">
        <f>IF('ORDENES'!$A909="","",IF('ORDENES'!$V909="","-",'ORDENES'!$V909))</f>
        <v/>
      </c>
      <c r="F931" s="3">
        <f>IF('ORDENES'!$A909="","",IF('ORDENES'!$X909="","-",'ORDENES'!$X909))</f>
        <v/>
      </c>
      <c r="G931" s="3">
        <f>IF('ORDENES'!$A909="","",IF('ORDENES'!$AC909="","-",'ORDENES'!$AC909))</f>
        <v/>
      </c>
      <c r="H931" s="3">
        <f>IF('ORDENES'!$A909="","",IF('ORDENES'!$AO909="","-",'ORDENES'!$AO909))</f>
        <v/>
      </c>
      <c r="I931" s="3">
        <f>IF('ORDENES'!$A909="","",IF('ORDENES'!$D909="","-",'ORDENES'!$D909))</f>
        <v/>
      </c>
      <c r="J931" s="3">
        <f>IF('ORDENES'!$A909="","",IF('ORDENES'!$E909="","-",'ORDENES'!$E909))</f>
        <v/>
      </c>
      <c r="K931" s="12">
        <f>IF('ORDENES'!$A909="","",IF('ORDENES'!$N909="",0,'ORDENES'!$N909))</f>
        <v/>
      </c>
      <c r="L931" s="3">
        <f>IF('ORDENES'!$A909="","",IF('ORDENES'!$O909="","-",'ORDENES'!$O909))</f>
        <v/>
      </c>
      <c r="M931" s="3">
        <f>IF('ORDENES'!$A909="","",'ORDENES'!$AB909)</f>
        <v/>
      </c>
    </row>
    <row r="932">
      <c r="A932" s="3">
        <f>IF('ORDENES'!$A910="","",IF('ORDENES'!$P910="","-",'ORDENES'!$P910))</f>
        <v/>
      </c>
      <c r="B932" s="3">
        <f>IF('ORDENES'!$A910="","",IF('ORDENES'!$S910="","-",'ORDENES'!$S910))</f>
        <v/>
      </c>
      <c r="C932" s="3">
        <f>IF('ORDENES'!$A910="","",IF('ORDENES'!$AD910="","-",'ORDENES'!$AD910))</f>
        <v/>
      </c>
      <c r="D932" s="3">
        <f>IF('ORDENES'!$A910="","",IF('ORDENES'!$W910="","-",'ORDENES'!$W910))</f>
        <v/>
      </c>
      <c r="E932" s="3">
        <f>IF('ORDENES'!$A910="","",IF('ORDENES'!$V910="","-",'ORDENES'!$V910))</f>
        <v/>
      </c>
      <c r="F932" s="3">
        <f>IF('ORDENES'!$A910="","",IF('ORDENES'!$X910="","-",'ORDENES'!$X910))</f>
        <v/>
      </c>
      <c r="G932" s="3">
        <f>IF('ORDENES'!$A910="","",IF('ORDENES'!$AC910="","-",'ORDENES'!$AC910))</f>
        <v/>
      </c>
      <c r="H932" s="3">
        <f>IF('ORDENES'!$A910="","",IF('ORDENES'!$AO910="","-",'ORDENES'!$AO910))</f>
        <v/>
      </c>
      <c r="I932" s="3">
        <f>IF('ORDENES'!$A910="","",IF('ORDENES'!$D910="","-",'ORDENES'!$D910))</f>
        <v/>
      </c>
      <c r="J932" s="3">
        <f>IF('ORDENES'!$A910="","",IF('ORDENES'!$E910="","-",'ORDENES'!$E910))</f>
        <v/>
      </c>
      <c r="K932" s="12">
        <f>IF('ORDENES'!$A910="","",IF('ORDENES'!$N910="",0,'ORDENES'!$N910))</f>
        <v/>
      </c>
      <c r="L932" s="3">
        <f>IF('ORDENES'!$A910="","",IF('ORDENES'!$O910="","-",'ORDENES'!$O910))</f>
        <v/>
      </c>
      <c r="M932" s="3">
        <f>IF('ORDENES'!$A910="","",'ORDENES'!$AB910)</f>
        <v/>
      </c>
    </row>
    <row r="933">
      <c r="A933" s="3">
        <f>IF('ORDENES'!$A911="","",IF('ORDENES'!$P911="","-",'ORDENES'!$P911))</f>
        <v/>
      </c>
      <c r="B933" s="3">
        <f>IF('ORDENES'!$A911="","",IF('ORDENES'!$S911="","-",'ORDENES'!$S911))</f>
        <v/>
      </c>
      <c r="C933" s="3">
        <f>IF('ORDENES'!$A911="","",IF('ORDENES'!$AD911="","-",'ORDENES'!$AD911))</f>
        <v/>
      </c>
      <c r="D933" s="3">
        <f>IF('ORDENES'!$A911="","",IF('ORDENES'!$W911="","-",'ORDENES'!$W911))</f>
        <v/>
      </c>
      <c r="E933" s="3">
        <f>IF('ORDENES'!$A911="","",IF('ORDENES'!$V911="","-",'ORDENES'!$V911))</f>
        <v/>
      </c>
      <c r="F933" s="3">
        <f>IF('ORDENES'!$A911="","",IF('ORDENES'!$X911="","-",'ORDENES'!$X911))</f>
        <v/>
      </c>
      <c r="G933" s="3">
        <f>IF('ORDENES'!$A911="","",IF('ORDENES'!$AC911="","-",'ORDENES'!$AC911))</f>
        <v/>
      </c>
      <c r="H933" s="3">
        <f>IF('ORDENES'!$A911="","",IF('ORDENES'!$AO911="","-",'ORDENES'!$AO911))</f>
        <v/>
      </c>
      <c r="I933" s="3">
        <f>IF('ORDENES'!$A911="","",IF('ORDENES'!$D911="","-",'ORDENES'!$D911))</f>
        <v/>
      </c>
      <c r="J933" s="3">
        <f>IF('ORDENES'!$A911="","",IF('ORDENES'!$E911="","-",'ORDENES'!$E911))</f>
        <v/>
      </c>
      <c r="K933" s="12">
        <f>IF('ORDENES'!$A911="","",IF('ORDENES'!$N911="",0,'ORDENES'!$N911))</f>
        <v/>
      </c>
      <c r="L933" s="3">
        <f>IF('ORDENES'!$A911="","",IF('ORDENES'!$O911="","-",'ORDENES'!$O911))</f>
        <v/>
      </c>
      <c r="M933" s="3">
        <f>IF('ORDENES'!$A911="","",'ORDENES'!$AB911)</f>
        <v/>
      </c>
    </row>
    <row r="934">
      <c r="A934" s="3">
        <f>IF('ORDENES'!$A912="","",IF('ORDENES'!$P912="","-",'ORDENES'!$P912))</f>
        <v/>
      </c>
      <c r="B934" s="3">
        <f>IF('ORDENES'!$A912="","",IF('ORDENES'!$S912="","-",'ORDENES'!$S912))</f>
        <v/>
      </c>
      <c r="C934" s="3">
        <f>IF('ORDENES'!$A912="","",IF('ORDENES'!$AD912="","-",'ORDENES'!$AD912))</f>
        <v/>
      </c>
      <c r="D934" s="3">
        <f>IF('ORDENES'!$A912="","",IF('ORDENES'!$W912="","-",'ORDENES'!$W912))</f>
        <v/>
      </c>
      <c r="E934" s="3">
        <f>IF('ORDENES'!$A912="","",IF('ORDENES'!$V912="","-",'ORDENES'!$V912))</f>
        <v/>
      </c>
      <c r="F934" s="3">
        <f>IF('ORDENES'!$A912="","",IF('ORDENES'!$X912="","-",'ORDENES'!$X912))</f>
        <v/>
      </c>
      <c r="G934" s="3">
        <f>IF('ORDENES'!$A912="","",IF('ORDENES'!$AC912="","-",'ORDENES'!$AC912))</f>
        <v/>
      </c>
      <c r="H934" s="3">
        <f>IF('ORDENES'!$A912="","",IF('ORDENES'!$AO912="","-",'ORDENES'!$AO912))</f>
        <v/>
      </c>
      <c r="I934" s="3">
        <f>IF('ORDENES'!$A912="","",IF('ORDENES'!$D912="","-",'ORDENES'!$D912))</f>
        <v/>
      </c>
      <c r="J934" s="3">
        <f>IF('ORDENES'!$A912="","",IF('ORDENES'!$E912="","-",'ORDENES'!$E912))</f>
        <v/>
      </c>
      <c r="K934" s="12">
        <f>IF('ORDENES'!$A912="","",IF('ORDENES'!$N912="",0,'ORDENES'!$N912))</f>
        <v/>
      </c>
      <c r="L934" s="3">
        <f>IF('ORDENES'!$A912="","",IF('ORDENES'!$O912="","-",'ORDENES'!$O912))</f>
        <v/>
      </c>
      <c r="M934" s="3">
        <f>IF('ORDENES'!$A912="","",'ORDENES'!$AB912)</f>
        <v/>
      </c>
    </row>
    <row r="935">
      <c r="A935" s="3">
        <f>IF('ORDENES'!$A913="","",IF('ORDENES'!$P913="","-",'ORDENES'!$P913))</f>
        <v/>
      </c>
      <c r="B935" s="3">
        <f>IF('ORDENES'!$A913="","",IF('ORDENES'!$S913="","-",'ORDENES'!$S913))</f>
        <v/>
      </c>
      <c r="C935" s="3">
        <f>IF('ORDENES'!$A913="","",IF('ORDENES'!$AD913="","-",'ORDENES'!$AD913))</f>
        <v/>
      </c>
      <c r="D935" s="3">
        <f>IF('ORDENES'!$A913="","",IF('ORDENES'!$W913="","-",'ORDENES'!$W913))</f>
        <v/>
      </c>
      <c r="E935" s="3">
        <f>IF('ORDENES'!$A913="","",IF('ORDENES'!$V913="","-",'ORDENES'!$V913))</f>
        <v/>
      </c>
      <c r="F935" s="3">
        <f>IF('ORDENES'!$A913="","",IF('ORDENES'!$X913="","-",'ORDENES'!$X913))</f>
        <v/>
      </c>
      <c r="G935" s="3">
        <f>IF('ORDENES'!$A913="","",IF('ORDENES'!$AC913="","-",'ORDENES'!$AC913))</f>
        <v/>
      </c>
      <c r="H935" s="3">
        <f>IF('ORDENES'!$A913="","",IF('ORDENES'!$AO913="","-",'ORDENES'!$AO913))</f>
        <v/>
      </c>
      <c r="I935" s="3">
        <f>IF('ORDENES'!$A913="","",IF('ORDENES'!$D913="","-",'ORDENES'!$D913))</f>
        <v/>
      </c>
      <c r="J935" s="3">
        <f>IF('ORDENES'!$A913="","",IF('ORDENES'!$E913="","-",'ORDENES'!$E913))</f>
        <v/>
      </c>
      <c r="K935" s="12">
        <f>IF('ORDENES'!$A913="","",IF('ORDENES'!$N913="",0,'ORDENES'!$N913))</f>
        <v/>
      </c>
      <c r="L935" s="3">
        <f>IF('ORDENES'!$A913="","",IF('ORDENES'!$O913="","-",'ORDENES'!$O913))</f>
        <v/>
      </c>
      <c r="M935" s="3">
        <f>IF('ORDENES'!$A913="","",'ORDENES'!$AB913)</f>
        <v/>
      </c>
    </row>
    <row r="936">
      <c r="A936" s="3">
        <f>IF('ORDENES'!$A914="","",IF('ORDENES'!$P914="","-",'ORDENES'!$P914))</f>
        <v/>
      </c>
      <c r="B936" s="3">
        <f>IF('ORDENES'!$A914="","",IF('ORDENES'!$S914="","-",'ORDENES'!$S914))</f>
        <v/>
      </c>
      <c r="C936" s="3">
        <f>IF('ORDENES'!$A914="","",IF('ORDENES'!$AD914="","-",'ORDENES'!$AD914))</f>
        <v/>
      </c>
      <c r="D936" s="3">
        <f>IF('ORDENES'!$A914="","",IF('ORDENES'!$W914="","-",'ORDENES'!$W914))</f>
        <v/>
      </c>
      <c r="E936" s="3">
        <f>IF('ORDENES'!$A914="","",IF('ORDENES'!$V914="","-",'ORDENES'!$V914))</f>
        <v/>
      </c>
      <c r="F936" s="3">
        <f>IF('ORDENES'!$A914="","",IF('ORDENES'!$X914="","-",'ORDENES'!$X914))</f>
        <v/>
      </c>
      <c r="G936" s="3">
        <f>IF('ORDENES'!$A914="","",IF('ORDENES'!$AC914="","-",'ORDENES'!$AC914))</f>
        <v/>
      </c>
      <c r="H936" s="3">
        <f>IF('ORDENES'!$A914="","",IF('ORDENES'!$AO914="","-",'ORDENES'!$AO914))</f>
        <v/>
      </c>
      <c r="I936" s="3">
        <f>IF('ORDENES'!$A914="","",IF('ORDENES'!$D914="","-",'ORDENES'!$D914))</f>
        <v/>
      </c>
      <c r="J936" s="3">
        <f>IF('ORDENES'!$A914="","",IF('ORDENES'!$E914="","-",'ORDENES'!$E914))</f>
        <v/>
      </c>
      <c r="K936" s="12">
        <f>IF('ORDENES'!$A914="","",IF('ORDENES'!$N914="",0,'ORDENES'!$N914))</f>
        <v/>
      </c>
      <c r="L936" s="3">
        <f>IF('ORDENES'!$A914="","",IF('ORDENES'!$O914="","-",'ORDENES'!$O914))</f>
        <v/>
      </c>
      <c r="M936" s="3">
        <f>IF('ORDENES'!$A914="","",'ORDENES'!$AB914)</f>
        <v/>
      </c>
    </row>
    <row r="937">
      <c r="A937" s="3">
        <f>IF('ORDENES'!$A915="","",IF('ORDENES'!$P915="","-",'ORDENES'!$P915))</f>
        <v/>
      </c>
      <c r="B937" s="3">
        <f>IF('ORDENES'!$A915="","",IF('ORDENES'!$S915="","-",'ORDENES'!$S915))</f>
        <v/>
      </c>
      <c r="C937" s="3">
        <f>IF('ORDENES'!$A915="","",IF('ORDENES'!$AD915="","-",'ORDENES'!$AD915))</f>
        <v/>
      </c>
      <c r="D937" s="3">
        <f>IF('ORDENES'!$A915="","",IF('ORDENES'!$W915="","-",'ORDENES'!$W915))</f>
        <v/>
      </c>
      <c r="E937" s="3">
        <f>IF('ORDENES'!$A915="","",IF('ORDENES'!$V915="","-",'ORDENES'!$V915))</f>
        <v/>
      </c>
      <c r="F937" s="3">
        <f>IF('ORDENES'!$A915="","",IF('ORDENES'!$X915="","-",'ORDENES'!$X915))</f>
        <v/>
      </c>
      <c r="G937" s="3">
        <f>IF('ORDENES'!$A915="","",IF('ORDENES'!$AC915="","-",'ORDENES'!$AC915))</f>
        <v/>
      </c>
      <c r="H937" s="3">
        <f>IF('ORDENES'!$A915="","",IF('ORDENES'!$AO915="","-",'ORDENES'!$AO915))</f>
        <v/>
      </c>
      <c r="I937" s="3">
        <f>IF('ORDENES'!$A915="","",IF('ORDENES'!$D915="","-",'ORDENES'!$D915))</f>
        <v/>
      </c>
      <c r="J937" s="3">
        <f>IF('ORDENES'!$A915="","",IF('ORDENES'!$E915="","-",'ORDENES'!$E915))</f>
        <v/>
      </c>
      <c r="K937" s="12">
        <f>IF('ORDENES'!$A915="","",IF('ORDENES'!$N915="",0,'ORDENES'!$N915))</f>
        <v/>
      </c>
      <c r="L937" s="3">
        <f>IF('ORDENES'!$A915="","",IF('ORDENES'!$O915="","-",'ORDENES'!$O915))</f>
        <v/>
      </c>
      <c r="M937" s="3">
        <f>IF('ORDENES'!$A915="","",'ORDENES'!$AB915)</f>
        <v/>
      </c>
    </row>
    <row r="938">
      <c r="A938" s="3">
        <f>IF('ORDENES'!$A916="","",IF('ORDENES'!$P916="","-",'ORDENES'!$P916))</f>
        <v/>
      </c>
      <c r="B938" s="3">
        <f>IF('ORDENES'!$A916="","",IF('ORDENES'!$S916="","-",'ORDENES'!$S916))</f>
        <v/>
      </c>
      <c r="C938" s="3">
        <f>IF('ORDENES'!$A916="","",IF('ORDENES'!$AD916="","-",'ORDENES'!$AD916))</f>
        <v/>
      </c>
      <c r="D938" s="3">
        <f>IF('ORDENES'!$A916="","",IF('ORDENES'!$W916="","-",'ORDENES'!$W916))</f>
        <v/>
      </c>
      <c r="E938" s="3">
        <f>IF('ORDENES'!$A916="","",IF('ORDENES'!$V916="","-",'ORDENES'!$V916))</f>
        <v/>
      </c>
      <c r="F938" s="3">
        <f>IF('ORDENES'!$A916="","",IF('ORDENES'!$X916="","-",'ORDENES'!$X916))</f>
        <v/>
      </c>
      <c r="G938" s="3">
        <f>IF('ORDENES'!$A916="","",IF('ORDENES'!$AC916="","-",'ORDENES'!$AC916))</f>
        <v/>
      </c>
      <c r="H938" s="3">
        <f>IF('ORDENES'!$A916="","",IF('ORDENES'!$AO916="","-",'ORDENES'!$AO916))</f>
        <v/>
      </c>
      <c r="I938" s="3">
        <f>IF('ORDENES'!$A916="","",IF('ORDENES'!$D916="","-",'ORDENES'!$D916))</f>
        <v/>
      </c>
      <c r="J938" s="3">
        <f>IF('ORDENES'!$A916="","",IF('ORDENES'!$E916="","-",'ORDENES'!$E916))</f>
        <v/>
      </c>
      <c r="K938" s="12">
        <f>IF('ORDENES'!$A916="","",IF('ORDENES'!$N916="",0,'ORDENES'!$N916))</f>
        <v/>
      </c>
      <c r="L938" s="3">
        <f>IF('ORDENES'!$A916="","",IF('ORDENES'!$O916="","-",'ORDENES'!$O916))</f>
        <v/>
      </c>
      <c r="M938" s="3">
        <f>IF('ORDENES'!$A916="","",'ORDENES'!$AB916)</f>
        <v/>
      </c>
    </row>
    <row r="939">
      <c r="A939" s="3">
        <f>IF('ORDENES'!$A917="","",IF('ORDENES'!$P917="","-",'ORDENES'!$P917))</f>
        <v/>
      </c>
      <c r="B939" s="3">
        <f>IF('ORDENES'!$A917="","",IF('ORDENES'!$S917="","-",'ORDENES'!$S917))</f>
        <v/>
      </c>
      <c r="C939" s="3">
        <f>IF('ORDENES'!$A917="","",IF('ORDENES'!$AD917="","-",'ORDENES'!$AD917))</f>
        <v/>
      </c>
      <c r="D939" s="3">
        <f>IF('ORDENES'!$A917="","",IF('ORDENES'!$W917="","-",'ORDENES'!$W917))</f>
        <v/>
      </c>
      <c r="E939" s="3">
        <f>IF('ORDENES'!$A917="","",IF('ORDENES'!$V917="","-",'ORDENES'!$V917))</f>
        <v/>
      </c>
      <c r="F939" s="3">
        <f>IF('ORDENES'!$A917="","",IF('ORDENES'!$X917="","-",'ORDENES'!$X917))</f>
        <v/>
      </c>
      <c r="G939" s="3">
        <f>IF('ORDENES'!$A917="","",IF('ORDENES'!$AC917="","-",'ORDENES'!$AC917))</f>
        <v/>
      </c>
      <c r="H939" s="3">
        <f>IF('ORDENES'!$A917="","",IF('ORDENES'!$AO917="","-",'ORDENES'!$AO917))</f>
        <v/>
      </c>
      <c r="I939" s="3">
        <f>IF('ORDENES'!$A917="","",IF('ORDENES'!$D917="","-",'ORDENES'!$D917))</f>
        <v/>
      </c>
      <c r="J939" s="3">
        <f>IF('ORDENES'!$A917="","",IF('ORDENES'!$E917="","-",'ORDENES'!$E917))</f>
        <v/>
      </c>
      <c r="K939" s="12">
        <f>IF('ORDENES'!$A917="","",IF('ORDENES'!$N917="",0,'ORDENES'!$N917))</f>
        <v/>
      </c>
      <c r="L939" s="3">
        <f>IF('ORDENES'!$A917="","",IF('ORDENES'!$O917="","-",'ORDENES'!$O917))</f>
        <v/>
      </c>
      <c r="M939" s="3">
        <f>IF('ORDENES'!$A917="","",'ORDENES'!$AB917)</f>
        <v/>
      </c>
    </row>
    <row r="940">
      <c r="A940" s="3">
        <f>IF('ORDENES'!$A918="","",IF('ORDENES'!$P918="","-",'ORDENES'!$P918))</f>
        <v/>
      </c>
      <c r="B940" s="3">
        <f>IF('ORDENES'!$A918="","",IF('ORDENES'!$S918="","-",'ORDENES'!$S918))</f>
        <v/>
      </c>
      <c r="C940" s="3">
        <f>IF('ORDENES'!$A918="","",IF('ORDENES'!$AD918="","-",'ORDENES'!$AD918))</f>
        <v/>
      </c>
      <c r="D940" s="3">
        <f>IF('ORDENES'!$A918="","",IF('ORDENES'!$W918="","-",'ORDENES'!$W918))</f>
        <v/>
      </c>
      <c r="E940" s="3">
        <f>IF('ORDENES'!$A918="","",IF('ORDENES'!$V918="","-",'ORDENES'!$V918))</f>
        <v/>
      </c>
      <c r="F940" s="3">
        <f>IF('ORDENES'!$A918="","",IF('ORDENES'!$X918="","-",'ORDENES'!$X918))</f>
        <v/>
      </c>
      <c r="G940" s="3">
        <f>IF('ORDENES'!$A918="","",IF('ORDENES'!$AC918="","-",'ORDENES'!$AC918))</f>
        <v/>
      </c>
      <c r="H940" s="3">
        <f>IF('ORDENES'!$A918="","",IF('ORDENES'!$AO918="","-",'ORDENES'!$AO918))</f>
        <v/>
      </c>
      <c r="I940" s="3">
        <f>IF('ORDENES'!$A918="","",IF('ORDENES'!$D918="","-",'ORDENES'!$D918))</f>
        <v/>
      </c>
      <c r="J940" s="3">
        <f>IF('ORDENES'!$A918="","",IF('ORDENES'!$E918="","-",'ORDENES'!$E918))</f>
        <v/>
      </c>
      <c r="K940" s="12">
        <f>IF('ORDENES'!$A918="","",IF('ORDENES'!$N918="",0,'ORDENES'!$N918))</f>
        <v/>
      </c>
      <c r="L940" s="3">
        <f>IF('ORDENES'!$A918="","",IF('ORDENES'!$O918="","-",'ORDENES'!$O918))</f>
        <v/>
      </c>
      <c r="M940" s="3">
        <f>IF('ORDENES'!$A918="","",'ORDENES'!$AB918)</f>
        <v/>
      </c>
    </row>
    <row r="941">
      <c r="A941" s="3">
        <f>IF('ORDENES'!$A919="","",IF('ORDENES'!$P919="","-",'ORDENES'!$P919))</f>
        <v/>
      </c>
      <c r="B941" s="3">
        <f>IF('ORDENES'!$A919="","",IF('ORDENES'!$S919="","-",'ORDENES'!$S919))</f>
        <v/>
      </c>
      <c r="C941" s="3">
        <f>IF('ORDENES'!$A919="","",IF('ORDENES'!$AD919="","-",'ORDENES'!$AD919))</f>
        <v/>
      </c>
      <c r="D941" s="3">
        <f>IF('ORDENES'!$A919="","",IF('ORDENES'!$W919="","-",'ORDENES'!$W919))</f>
        <v/>
      </c>
      <c r="E941" s="3">
        <f>IF('ORDENES'!$A919="","",IF('ORDENES'!$V919="","-",'ORDENES'!$V919))</f>
        <v/>
      </c>
      <c r="F941" s="3">
        <f>IF('ORDENES'!$A919="","",IF('ORDENES'!$X919="","-",'ORDENES'!$X919))</f>
        <v/>
      </c>
      <c r="G941" s="3">
        <f>IF('ORDENES'!$A919="","",IF('ORDENES'!$AC919="","-",'ORDENES'!$AC919))</f>
        <v/>
      </c>
      <c r="H941" s="3">
        <f>IF('ORDENES'!$A919="","",IF('ORDENES'!$AO919="","-",'ORDENES'!$AO919))</f>
        <v/>
      </c>
      <c r="I941" s="3">
        <f>IF('ORDENES'!$A919="","",IF('ORDENES'!$D919="","-",'ORDENES'!$D919))</f>
        <v/>
      </c>
      <c r="J941" s="3">
        <f>IF('ORDENES'!$A919="","",IF('ORDENES'!$E919="","-",'ORDENES'!$E919))</f>
        <v/>
      </c>
      <c r="K941" s="12">
        <f>IF('ORDENES'!$A919="","",IF('ORDENES'!$N919="",0,'ORDENES'!$N919))</f>
        <v/>
      </c>
      <c r="L941" s="3">
        <f>IF('ORDENES'!$A919="","",IF('ORDENES'!$O919="","-",'ORDENES'!$O919))</f>
        <v/>
      </c>
      <c r="M941" s="3">
        <f>IF('ORDENES'!$A919="","",'ORDENES'!$AB919)</f>
        <v/>
      </c>
    </row>
    <row r="942">
      <c r="A942" s="3">
        <f>IF('ORDENES'!$A920="","",IF('ORDENES'!$P920="","-",'ORDENES'!$P920))</f>
        <v/>
      </c>
      <c r="B942" s="3">
        <f>IF('ORDENES'!$A920="","",IF('ORDENES'!$S920="","-",'ORDENES'!$S920))</f>
        <v/>
      </c>
      <c r="C942" s="3">
        <f>IF('ORDENES'!$A920="","",IF('ORDENES'!$AD920="","-",'ORDENES'!$AD920))</f>
        <v/>
      </c>
      <c r="D942" s="3">
        <f>IF('ORDENES'!$A920="","",IF('ORDENES'!$W920="","-",'ORDENES'!$W920))</f>
        <v/>
      </c>
      <c r="E942" s="3">
        <f>IF('ORDENES'!$A920="","",IF('ORDENES'!$V920="","-",'ORDENES'!$V920))</f>
        <v/>
      </c>
      <c r="F942" s="3">
        <f>IF('ORDENES'!$A920="","",IF('ORDENES'!$X920="","-",'ORDENES'!$X920))</f>
        <v/>
      </c>
      <c r="G942" s="3">
        <f>IF('ORDENES'!$A920="","",IF('ORDENES'!$AC920="","-",'ORDENES'!$AC920))</f>
        <v/>
      </c>
      <c r="H942" s="3">
        <f>IF('ORDENES'!$A920="","",IF('ORDENES'!$AO920="","-",'ORDENES'!$AO920))</f>
        <v/>
      </c>
      <c r="I942" s="3">
        <f>IF('ORDENES'!$A920="","",IF('ORDENES'!$D920="","-",'ORDENES'!$D920))</f>
        <v/>
      </c>
      <c r="J942" s="3">
        <f>IF('ORDENES'!$A920="","",IF('ORDENES'!$E920="","-",'ORDENES'!$E920))</f>
        <v/>
      </c>
      <c r="K942" s="12">
        <f>IF('ORDENES'!$A920="","",IF('ORDENES'!$N920="",0,'ORDENES'!$N920))</f>
        <v/>
      </c>
      <c r="L942" s="3">
        <f>IF('ORDENES'!$A920="","",IF('ORDENES'!$O920="","-",'ORDENES'!$O920))</f>
        <v/>
      </c>
      <c r="M942" s="3">
        <f>IF('ORDENES'!$A920="","",'ORDENES'!$AB920)</f>
        <v/>
      </c>
    </row>
    <row r="943">
      <c r="A943" s="3">
        <f>IF('ORDENES'!$A921="","",IF('ORDENES'!$P921="","-",'ORDENES'!$P921))</f>
        <v/>
      </c>
      <c r="B943" s="3">
        <f>IF('ORDENES'!$A921="","",IF('ORDENES'!$S921="","-",'ORDENES'!$S921))</f>
        <v/>
      </c>
      <c r="C943" s="3">
        <f>IF('ORDENES'!$A921="","",IF('ORDENES'!$AD921="","-",'ORDENES'!$AD921))</f>
        <v/>
      </c>
      <c r="D943" s="3">
        <f>IF('ORDENES'!$A921="","",IF('ORDENES'!$W921="","-",'ORDENES'!$W921))</f>
        <v/>
      </c>
      <c r="E943" s="3">
        <f>IF('ORDENES'!$A921="","",IF('ORDENES'!$V921="","-",'ORDENES'!$V921))</f>
        <v/>
      </c>
      <c r="F943" s="3">
        <f>IF('ORDENES'!$A921="","",IF('ORDENES'!$X921="","-",'ORDENES'!$X921))</f>
        <v/>
      </c>
      <c r="G943" s="3">
        <f>IF('ORDENES'!$A921="","",IF('ORDENES'!$AC921="","-",'ORDENES'!$AC921))</f>
        <v/>
      </c>
      <c r="H943" s="3">
        <f>IF('ORDENES'!$A921="","",IF('ORDENES'!$AO921="","-",'ORDENES'!$AO921))</f>
        <v/>
      </c>
      <c r="I943" s="3">
        <f>IF('ORDENES'!$A921="","",IF('ORDENES'!$D921="","-",'ORDENES'!$D921))</f>
        <v/>
      </c>
      <c r="J943" s="3">
        <f>IF('ORDENES'!$A921="","",IF('ORDENES'!$E921="","-",'ORDENES'!$E921))</f>
        <v/>
      </c>
      <c r="K943" s="12">
        <f>IF('ORDENES'!$A921="","",IF('ORDENES'!$N921="",0,'ORDENES'!$N921))</f>
        <v/>
      </c>
      <c r="L943" s="3">
        <f>IF('ORDENES'!$A921="","",IF('ORDENES'!$O921="","-",'ORDENES'!$O921))</f>
        <v/>
      </c>
      <c r="M943" s="3">
        <f>IF('ORDENES'!$A921="","",'ORDENES'!$AB921)</f>
        <v/>
      </c>
    </row>
    <row r="944">
      <c r="A944" s="3">
        <f>IF('ORDENES'!$A922="","",IF('ORDENES'!$P922="","-",'ORDENES'!$P922))</f>
        <v/>
      </c>
      <c r="B944" s="3">
        <f>IF('ORDENES'!$A922="","",IF('ORDENES'!$S922="","-",'ORDENES'!$S922))</f>
        <v/>
      </c>
      <c r="C944" s="3">
        <f>IF('ORDENES'!$A922="","",IF('ORDENES'!$AD922="","-",'ORDENES'!$AD922))</f>
        <v/>
      </c>
      <c r="D944" s="3">
        <f>IF('ORDENES'!$A922="","",IF('ORDENES'!$W922="","-",'ORDENES'!$W922))</f>
        <v/>
      </c>
      <c r="E944" s="3">
        <f>IF('ORDENES'!$A922="","",IF('ORDENES'!$V922="","-",'ORDENES'!$V922))</f>
        <v/>
      </c>
      <c r="F944" s="3">
        <f>IF('ORDENES'!$A922="","",IF('ORDENES'!$X922="","-",'ORDENES'!$X922))</f>
        <v/>
      </c>
      <c r="G944" s="3">
        <f>IF('ORDENES'!$A922="","",IF('ORDENES'!$AC922="","-",'ORDENES'!$AC922))</f>
        <v/>
      </c>
      <c r="H944" s="3">
        <f>IF('ORDENES'!$A922="","",IF('ORDENES'!$AO922="","-",'ORDENES'!$AO922))</f>
        <v/>
      </c>
      <c r="I944" s="3">
        <f>IF('ORDENES'!$A922="","",IF('ORDENES'!$D922="","-",'ORDENES'!$D922))</f>
        <v/>
      </c>
      <c r="J944" s="3">
        <f>IF('ORDENES'!$A922="","",IF('ORDENES'!$E922="","-",'ORDENES'!$E922))</f>
        <v/>
      </c>
      <c r="K944" s="12">
        <f>IF('ORDENES'!$A922="","",IF('ORDENES'!$N922="",0,'ORDENES'!$N922))</f>
        <v/>
      </c>
      <c r="L944" s="3">
        <f>IF('ORDENES'!$A922="","",IF('ORDENES'!$O922="","-",'ORDENES'!$O922))</f>
        <v/>
      </c>
      <c r="M944" s="3">
        <f>IF('ORDENES'!$A922="","",'ORDENES'!$AB922)</f>
        <v/>
      </c>
    </row>
    <row r="945">
      <c r="A945" s="3">
        <f>IF('ORDENES'!$A923="","",IF('ORDENES'!$P923="","-",'ORDENES'!$P923))</f>
        <v/>
      </c>
      <c r="B945" s="3">
        <f>IF('ORDENES'!$A923="","",IF('ORDENES'!$S923="","-",'ORDENES'!$S923))</f>
        <v/>
      </c>
      <c r="C945" s="3">
        <f>IF('ORDENES'!$A923="","",IF('ORDENES'!$AD923="","-",'ORDENES'!$AD923))</f>
        <v/>
      </c>
      <c r="D945" s="3">
        <f>IF('ORDENES'!$A923="","",IF('ORDENES'!$W923="","-",'ORDENES'!$W923))</f>
        <v/>
      </c>
      <c r="E945" s="3">
        <f>IF('ORDENES'!$A923="","",IF('ORDENES'!$V923="","-",'ORDENES'!$V923))</f>
        <v/>
      </c>
      <c r="F945" s="3">
        <f>IF('ORDENES'!$A923="","",IF('ORDENES'!$X923="","-",'ORDENES'!$X923))</f>
        <v/>
      </c>
      <c r="G945" s="3">
        <f>IF('ORDENES'!$A923="","",IF('ORDENES'!$AC923="","-",'ORDENES'!$AC923))</f>
        <v/>
      </c>
      <c r="H945" s="3">
        <f>IF('ORDENES'!$A923="","",IF('ORDENES'!$AO923="","-",'ORDENES'!$AO923))</f>
        <v/>
      </c>
      <c r="I945" s="3">
        <f>IF('ORDENES'!$A923="","",IF('ORDENES'!$D923="","-",'ORDENES'!$D923))</f>
        <v/>
      </c>
      <c r="J945" s="3">
        <f>IF('ORDENES'!$A923="","",IF('ORDENES'!$E923="","-",'ORDENES'!$E923))</f>
        <v/>
      </c>
      <c r="K945" s="12">
        <f>IF('ORDENES'!$A923="","",IF('ORDENES'!$N923="",0,'ORDENES'!$N923))</f>
        <v/>
      </c>
      <c r="L945" s="3">
        <f>IF('ORDENES'!$A923="","",IF('ORDENES'!$O923="","-",'ORDENES'!$O923))</f>
        <v/>
      </c>
      <c r="M945" s="3">
        <f>IF('ORDENES'!$A923="","",'ORDENES'!$AB923)</f>
        <v/>
      </c>
    </row>
    <row r="946">
      <c r="A946" s="3">
        <f>IF('ORDENES'!$A924="","",IF('ORDENES'!$P924="","-",'ORDENES'!$P924))</f>
        <v/>
      </c>
      <c r="B946" s="3">
        <f>IF('ORDENES'!$A924="","",IF('ORDENES'!$S924="","-",'ORDENES'!$S924))</f>
        <v/>
      </c>
      <c r="C946" s="3">
        <f>IF('ORDENES'!$A924="","",IF('ORDENES'!$AD924="","-",'ORDENES'!$AD924))</f>
        <v/>
      </c>
      <c r="D946" s="3">
        <f>IF('ORDENES'!$A924="","",IF('ORDENES'!$W924="","-",'ORDENES'!$W924))</f>
        <v/>
      </c>
      <c r="E946" s="3">
        <f>IF('ORDENES'!$A924="","",IF('ORDENES'!$V924="","-",'ORDENES'!$V924))</f>
        <v/>
      </c>
      <c r="F946" s="3">
        <f>IF('ORDENES'!$A924="","",IF('ORDENES'!$X924="","-",'ORDENES'!$X924))</f>
        <v/>
      </c>
      <c r="G946" s="3">
        <f>IF('ORDENES'!$A924="","",IF('ORDENES'!$AC924="","-",'ORDENES'!$AC924))</f>
        <v/>
      </c>
      <c r="H946" s="3">
        <f>IF('ORDENES'!$A924="","",IF('ORDENES'!$AO924="","-",'ORDENES'!$AO924))</f>
        <v/>
      </c>
      <c r="I946" s="3">
        <f>IF('ORDENES'!$A924="","",IF('ORDENES'!$D924="","-",'ORDENES'!$D924))</f>
        <v/>
      </c>
      <c r="J946" s="3">
        <f>IF('ORDENES'!$A924="","",IF('ORDENES'!$E924="","-",'ORDENES'!$E924))</f>
        <v/>
      </c>
      <c r="K946" s="12">
        <f>IF('ORDENES'!$A924="","",IF('ORDENES'!$N924="",0,'ORDENES'!$N924))</f>
        <v/>
      </c>
      <c r="L946" s="3">
        <f>IF('ORDENES'!$A924="","",IF('ORDENES'!$O924="","-",'ORDENES'!$O924))</f>
        <v/>
      </c>
      <c r="M946" s="3">
        <f>IF('ORDENES'!$A924="","",'ORDENES'!$AB924)</f>
        <v/>
      </c>
    </row>
    <row r="947">
      <c r="A947" s="3">
        <f>IF('ORDENES'!$A925="","",IF('ORDENES'!$P925="","-",'ORDENES'!$P925))</f>
        <v/>
      </c>
      <c r="B947" s="3">
        <f>IF('ORDENES'!$A925="","",IF('ORDENES'!$S925="","-",'ORDENES'!$S925))</f>
        <v/>
      </c>
      <c r="C947" s="3">
        <f>IF('ORDENES'!$A925="","",IF('ORDENES'!$AD925="","-",'ORDENES'!$AD925))</f>
        <v/>
      </c>
      <c r="D947" s="3">
        <f>IF('ORDENES'!$A925="","",IF('ORDENES'!$W925="","-",'ORDENES'!$W925))</f>
        <v/>
      </c>
      <c r="E947" s="3">
        <f>IF('ORDENES'!$A925="","",IF('ORDENES'!$V925="","-",'ORDENES'!$V925))</f>
        <v/>
      </c>
      <c r="F947" s="3">
        <f>IF('ORDENES'!$A925="","",IF('ORDENES'!$X925="","-",'ORDENES'!$X925))</f>
        <v/>
      </c>
      <c r="G947" s="3">
        <f>IF('ORDENES'!$A925="","",IF('ORDENES'!$AC925="","-",'ORDENES'!$AC925))</f>
        <v/>
      </c>
      <c r="H947" s="3">
        <f>IF('ORDENES'!$A925="","",IF('ORDENES'!$AO925="","-",'ORDENES'!$AO925))</f>
        <v/>
      </c>
      <c r="I947" s="3">
        <f>IF('ORDENES'!$A925="","",IF('ORDENES'!$D925="","-",'ORDENES'!$D925))</f>
        <v/>
      </c>
      <c r="J947" s="3">
        <f>IF('ORDENES'!$A925="","",IF('ORDENES'!$E925="","-",'ORDENES'!$E925))</f>
        <v/>
      </c>
      <c r="K947" s="12">
        <f>IF('ORDENES'!$A925="","",IF('ORDENES'!$N925="",0,'ORDENES'!$N925))</f>
        <v/>
      </c>
      <c r="L947" s="3">
        <f>IF('ORDENES'!$A925="","",IF('ORDENES'!$O925="","-",'ORDENES'!$O925))</f>
        <v/>
      </c>
      <c r="M947" s="3">
        <f>IF('ORDENES'!$A925="","",'ORDENES'!$AB925)</f>
        <v/>
      </c>
    </row>
    <row r="948">
      <c r="A948" s="3">
        <f>IF('ORDENES'!$A926="","",IF('ORDENES'!$P926="","-",'ORDENES'!$P926))</f>
        <v/>
      </c>
      <c r="B948" s="3">
        <f>IF('ORDENES'!$A926="","",IF('ORDENES'!$S926="","-",'ORDENES'!$S926))</f>
        <v/>
      </c>
      <c r="C948" s="3">
        <f>IF('ORDENES'!$A926="","",IF('ORDENES'!$AD926="","-",'ORDENES'!$AD926))</f>
        <v/>
      </c>
      <c r="D948" s="3">
        <f>IF('ORDENES'!$A926="","",IF('ORDENES'!$W926="","-",'ORDENES'!$W926))</f>
        <v/>
      </c>
      <c r="E948" s="3">
        <f>IF('ORDENES'!$A926="","",IF('ORDENES'!$V926="","-",'ORDENES'!$V926))</f>
        <v/>
      </c>
      <c r="F948" s="3">
        <f>IF('ORDENES'!$A926="","",IF('ORDENES'!$X926="","-",'ORDENES'!$X926))</f>
        <v/>
      </c>
      <c r="G948" s="3">
        <f>IF('ORDENES'!$A926="","",IF('ORDENES'!$AC926="","-",'ORDENES'!$AC926))</f>
        <v/>
      </c>
      <c r="H948" s="3">
        <f>IF('ORDENES'!$A926="","",IF('ORDENES'!$AO926="","-",'ORDENES'!$AO926))</f>
        <v/>
      </c>
      <c r="I948" s="3">
        <f>IF('ORDENES'!$A926="","",IF('ORDENES'!$D926="","-",'ORDENES'!$D926))</f>
        <v/>
      </c>
      <c r="J948" s="3">
        <f>IF('ORDENES'!$A926="","",IF('ORDENES'!$E926="","-",'ORDENES'!$E926))</f>
        <v/>
      </c>
      <c r="K948" s="12">
        <f>IF('ORDENES'!$A926="","",IF('ORDENES'!$N926="",0,'ORDENES'!$N926))</f>
        <v/>
      </c>
      <c r="L948" s="3">
        <f>IF('ORDENES'!$A926="","",IF('ORDENES'!$O926="","-",'ORDENES'!$O926))</f>
        <v/>
      </c>
      <c r="M948" s="3">
        <f>IF('ORDENES'!$A926="","",'ORDENES'!$AB926)</f>
        <v/>
      </c>
    </row>
    <row r="949">
      <c r="A949" s="3">
        <f>IF('ORDENES'!$A927="","",IF('ORDENES'!$P927="","-",'ORDENES'!$P927))</f>
        <v/>
      </c>
      <c r="B949" s="3">
        <f>IF('ORDENES'!$A927="","",IF('ORDENES'!$S927="","-",'ORDENES'!$S927))</f>
        <v/>
      </c>
      <c r="C949" s="3">
        <f>IF('ORDENES'!$A927="","",IF('ORDENES'!$AD927="","-",'ORDENES'!$AD927))</f>
        <v/>
      </c>
      <c r="D949" s="3">
        <f>IF('ORDENES'!$A927="","",IF('ORDENES'!$W927="","-",'ORDENES'!$W927))</f>
        <v/>
      </c>
      <c r="E949" s="3">
        <f>IF('ORDENES'!$A927="","",IF('ORDENES'!$V927="","-",'ORDENES'!$V927))</f>
        <v/>
      </c>
      <c r="F949" s="3">
        <f>IF('ORDENES'!$A927="","",IF('ORDENES'!$X927="","-",'ORDENES'!$X927))</f>
        <v/>
      </c>
      <c r="G949" s="3">
        <f>IF('ORDENES'!$A927="","",IF('ORDENES'!$AC927="","-",'ORDENES'!$AC927))</f>
        <v/>
      </c>
      <c r="H949" s="3">
        <f>IF('ORDENES'!$A927="","",IF('ORDENES'!$AO927="","-",'ORDENES'!$AO927))</f>
        <v/>
      </c>
      <c r="I949" s="3">
        <f>IF('ORDENES'!$A927="","",IF('ORDENES'!$D927="","-",'ORDENES'!$D927))</f>
        <v/>
      </c>
      <c r="J949" s="3">
        <f>IF('ORDENES'!$A927="","",IF('ORDENES'!$E927="","-",'ORDENES'!$E927))</f>
        <v/>
      </c>
      <c r="K949" s="12">
        <f>IF('ORDENES'!$A927="","",IF('ORDENES'!$N927="",0,'ORDENES'!$N927))</f>
        <v/>
      </c>
      <c r="L949" s="3">
        <f>IF('ORDENES'!$A927="","",IF('ORDENES'!$O927="","-",'ORDENES'!$O927))</f>
        <v/>
      </c>
      <c r="M949" s="3">
        <f>IF('ORDENES'!$A927="","",'ORDENES'!$AB927)</f>
        <v/>
      </c>
    </row>
    <row r="950">
      <c r="A950" s="3">
        <f>IF('ORDENES'!$A928="","",IF('ORDENES'!$P928="","-",'ORDENES'!$P928))</f>
        <v/>
      </c>
      <c r="B950" s="3">
        <f>IF('ORDENES'!$A928="","",IF('ORDENES'!$S928="","-",'ORDENES'!$S928))</f>
        <v/>
      </c>
      <c r="C950" s="3">
        <f>IF('ORDENES'!$A928="","",IF('ORDENES'!$AD928="","-",'ORDENES'!$AD928))</f>
        <v/>
      </c>
      <c r="D950" s="3">
        <f>IF('ORDENES'!$A928="","",IF('ORDENES'!$W928="","-",'ORDENES'!$W928))</f>
        <v/>
      </c>
      <c r="E950" s="3">
        <f>IF('ORDENES'!$A928="","",IF('ORDENES'!$V928="","-",'ORDENES'!$V928))</f>
        <v/>
      </c>
      <c r="F950" s="3">
        <f>IF('ORDENES'!$A928="","",IF('ORDENES'!$X928="","-",'ORDENES'!$X928))</f>
        <v/>
      </c>
      <c r="G950" s="3">
        <f>IF('ORDENES'!$A928="","",IF('ORDENES'!$AC928="","-",'ORDENES'!$AC928))</f>
        <v/>
      </c>
      <c r="H950" s="3">
        <f>IF('ORDENES'!$A928="","",IF('ORDENES'!$AO928="","-",'ORDENES'!$AO928))</f>
        <v/>
      </c>
      <c r="I950" s="3">
        <f>IF('ORDENES'!$A928="","",IF('ORDENES'!$D928="","-",'ORDENES'!$D928))</f>
        <v/>
      </c>
      <c r="J950" s="3">
        <f>IF('ORDENES'!$A928="","",IF('ORDENES'!$E928="","-",'ORDENES'!$E928))</f>
        <v/>
      </c>
      <c r="K950" s="12">
        <f>IF('ORDENES'!$A928="","",IF('ORDENES'!$N928="",0,'ORDENES'!$N928))</f>
        <v/>
      </c>
      <c r="L950" s="3">
        <f>IF('ORDENES'!$A928="","",IF('ORDENES'!$O928="","-",'ORDENES'!$O928))</f>
        <v/>
      </c>
      <c r="M950" s="3">
        <f>IF('ORDENES'!$A928="","",'ORDENES'!$AB928)</f>
        <v/>
      </c>
    </row>
    <row r="951">
      <c r="A951" s="3">
        <f>IF('ORDENES'!$A929="","",IF('ORDENES'!$P929="","-",'ORDENES'!$P929))</f>
        <v/>
      </c>
      <c r="B951" s="3">
        <f>IF('ORDENES'!$A929="","",IF('ORDENES'!$S929="","-",'ORDENES'!$S929))</f>
        <v/>
      </c>
      <c r="C951" s="3">
        <f>IF('ORDENES'!$A929="","",IF('ORDENES'!$AD929="","-",'ORDENES'!$AD929))</f>
        <v/>
      </c>
      <c r="D951" s="3">
        <f>IF('ORDENES'!$A929="","",IF('ORDENES'!$W929="","-",'ORDENES'!$W929))</f>
        <v/>
      </c>
      <c r="E951" s="3">
        <f>IF('ORDENES'!$A929="","",IF('ORDENES'!$V929="","-",'ORDENES'!$V929))</f>
        <v/>
      </c>
      <c r="F951" s="3">
        <f>IF('ORDENES'!$A929="","",IF('ORDENES'!$X929="","-",'ORDENES'!$X929))</f>
        <v/>
      </c>
      <c r="G951" s="3">
        <f>IF('ORDENES'!$A929="","",IF('ORDENES'!$AC929="","-",'ORDENES'!$AC929))</f>
        <v/>
      </c>
      <c r="H951" s="3">
        <f>IF('ORDENES'!$A929="","",IF('ORDENES'!$AO929="","-",'ORDENES'!$AO929))</f>
        <v/>
      </c>
      <c r="I951" s="3">
        <f>IF('ORDENES'!$A929="","",IF('ORDENES'!$D929="","-",'ORDENES'!$D929))</f>
        <v/>
      </c>
      <c r="J951" s="3">
        <f>IF('ORDENES'!$A929="","",IF('ORDENES'!$E929="","-",'ORDENES'!$E929))</f>
        <v/>
      </c>
      <c r="K951" s="12">
        <f>IF('ORDENES'!$A929="","",IF('ORDENES'!$N929="",0,'ORDENES'!$N929))</f>
        <v/>
      </c>
      <c r="L951" s="3">
        <f>IF('ORDENES'!$A929="","",IF('ORDENES'!$O929="","-",'ORDENES'!$O929))</f>
        <v/>
      </c>
      <c r="M951" s="3">
        <f>IF('ORDENES'!$A929="","",'ORDENES'!$AB929)</f>
        <v/>
      </c>
    </row>
    <row r="952">
      <c r="A952" s="3">
        <f>IF('ORDENES'!$A930="","",IF('ORDENES'!$P930="","-",'ORDENES'!$P930))</f>
        <v/>
      </c>
      <c r="B952" s="3">
        <f>IF('ORDENES'!$A930="","",IF('ORDENES'!$S930="","-",'ORDENES'!$S930))</f>
        <v/>
      </c>
      <c r="C952" s="3">
        <f>IF('ORDENES'!$A930="","",IF('ORDENES'!$AD930="","-",'ORDENES'!$AD930))</f>
        <v/>
      </c>
      <c r="D952" s="3">
        <f>IF('ORDENES'!$A930="","",IF('ORDENES'!$W930="","-",'ORDENES'!$W930))</f>
        <v/>
      </c>
      <c r="E952" s="3">
        <f>IF('ORDENES'!$A930="","",IF('ORDENES'!$V930="","-",'ORDENES'!$V930))</f>
        <v/>
      </c>
      <c r="F952" s="3">
        <f>IF('ORDENES'!$A930="","",IF('ORDENES'!$X930="","-",'ORDENES'!$X930))</f>
        <v/>
      </c>
      <c r="G952" s="3">
        <f>IF('ORDENES'!$A930="","",IF('ORDENES'!$AC930="","-",'ORDENES'!$AC930))</f>
        <v/>
      </c>
      <c r="H952" s="3">
        <f>IF('ORDENES'!$A930="","",IF('ORDENES'!$AO930="","-",'ORDENES'!$AO930))</f>
        <v/>
      </c>
      <c r="I952" s="3">
        <f>IF('ORDENES'!$A930="","",IF('ORDENES'!$D930="","-",'ORDENES'!$D930))</f>
        <v/>
      </c>
      <c r="J952" s="3">
        <f>IF('ORDENES'!$A930="","",IF('ORDENES'!$E930="","-",'ORDENES'!$E930))</f>
        <v/>
      </c>
      <c r="K952" s="12">
        <f>IF('ORDENES'!$A930="","",IF('ORDENES'!$N930="",0,'ORDENES'!$N930))</f>
        <v/>
      </c>
      <c r="L952" s="3">
        <f>IF('ORDENES'!$A930="","",IF('ORDENES'!$O930="","-",'ORDENES'!$O930))</f>
        <v/>
      </c>
      <c r="M952" s="3">
        <f>IF('ORDENES'!$A930="","",'ORDENES'!$AB930)</f>
        <v/>
      </c>
    </row>
    <row r="953">
      <c r="A953" s="3">
        <f>IF('ORDENES'!$A931="","",IF('ORDENES'!$P931="","-",'ORDENES'!$P931))</f>
        <v/>
      </c>
      <c r="B953" s="3">
        <f>IF('ORDENES'!$A931="","",IF('ORDENES'!$S931="","-",'ORDENES'!$S931))</f>
        <v/>
      </c>
      <c r="C953" s="3">
        <f>IF('ORDENES'!$A931="","",IF('ORDENES'!$AD931="","-",'ORDENES'!$AD931))</f>
        <v/>
      </c>
      <c r="D953" s="3">
        <f>IF('ORDENES'!$A931="","",IF('ORDENES'!$W931="","-",'ORDENES'!$W931))</f>
        <v/>
      </c>
      <c r="E953" s="3">
        <f>IF('ORDENES'!$A931="","",IF('ORDENES'!$V931="","-",'ORDENES'!$V931))</f>
        <v/>
      </c>
      <c r="F953" s="3">
        <f>IF('ORDENES'!$A931="","",IF('ORDENES'!$X931="","-",'ORDENES'!$X931))</f>
        <v/>
      </c>
      <c r="G953" s="3">
        <f>IF('ORDENES'!$A931="","",IF('ORDENES'!$AC931="","-",'ORDENES'!$AC931))</f>
        <v/>
      </c>
      <c r="H953" s="3">
        <f>IF('ORDENES'!$A931="","",IF('ORDENES'!$AO931="","-",'ORDENES'!$AO931))</f>
        <v/>
      </c>
      <c r="I953" s="3">
        <f>IF('ORDENES'!$A931="","",IF('ORDENES'!$D931="","-",'ORDENES'!$D931))</f>
        <v/>
      </c>
      <c r="J953" s="3">
        <f>IF('ORDENES'!$A931="","",IF('ORDENES'!$E931="","-",'ORDENES'!$E931))</f>
        <v/>
      </c>
      <c r="K953" s="12">
        <f>IF('ORDENES'!$A931="","",IF('ORDENES'!$N931="",0,'ORDENES'!$N931))</f>
        <v/>
      </c>
      <c r="L953" s="3">
        <f>IF('ORDENES'!$A931="","",IF('ORDENES'!$O931="","-",'ORDENES'!$O931))</f>
        <v/>
      </c>
      <c r="M953" s="3">
        <f>IF('ORDENES'!$A931="","",'ORDENES'!$AB931)</f>
        <v/>
      </c>
    </row>
    <row r="954">
      <c r="A954" s="3">
        <f>IF('ORDENES'!$A932="","",IF('ORDENES'!$P932="","-",'ORDENES'!$P932))</f>
        <v/>
      </c>
      <c r="B954" s="3">
        <f>IF('ORDENES'!$A932="","",IF('ORDENES'!$S932="","-",'ORDENES'!$S932))</f>
        <v/>
      </c>
      <c r="C954" s="3">
        <f>IF('ORDENES'!$A932="","",IF('ORDENES'!$AD932="","-",'ORDENES'!$AD932))</f>
        <v/>
      </c>
      <c r="D954" s="3">
        <f>IF('ORDENES'!$A932="","",IF('ORDENES'!$W932="","-",'ORDENES'!$W932))</f>
        <v/>
      </c>
      <c r="E954" s="3">
        <f>IF('ORDENES'!$A932="","",IF('ORDENES'!$V932="","-",'ORDENES'!$V932))</f>
        <v/>
      </c>
      <c r="F954" s="3">
        <f>IF('ORDENES'!$A932="","",IF('ORDENES'!$X932="","-",'ORDENES'!$X932))</f>
        <v/>
      </c>
      <c r="G954" s="3">
        <f>IF('ORDENES'!$A932="","",IF('ORDENES'!$AC932="","-",'ORDENES'!$AC932))</f>
        <v/>
      </c>
      <c r="H954" s="3">
        <f>IF('ORDENES'!$A932="","",IF('ORDENES'!$AO932="","-",'ORDENES'!$AO932))</f>
        <v/>
      </c>
      <c r="I954" s="3">
        <f>IF('ORDENES'!$A932="","",IF('ORDENES'!$D932="","-",'ORDENES'!$D932))</f>
        <v/>
      </c>
      <c r="J954" s="3">
        <f>IF('ORDENES'!$A932="","",IF('ORDENES'!$E932="","-",'ORDENES'!$E932))</f>
        <v/>
      </c>
      <c r="K954" s="12">
        <f>IF('ORDENES'!$A932="","",IF('ORDENES'!$N932="",0,'ORDENES'!$N932))</f>
        <v/>
      </c>
      <c r="L954" s="3">
        <f>IF('ORDENES'!$A932="","",IF('ORDENES'!$O932="","-",'ORDENES'!$O932))</f>
        <v/>
      </c>
      <c r="M954" s="3">
        <f>IF('ORDENES'!$A932="","",'ORDENES'!$AB932)</f>
        <v/>
      </c>
    </row>
    <row r="955">
      <c r="A955" s="3">
        <f>IF('ORDENES'!$A933="","",IF('ORDENES'!$P933="","-",'ORDENES'!$P933))</f>
        <v/>
      </c>
      <c r="B955" s="3">
        <f>IF('ORDENES'!$A933="","",IF('ORDENES'!$S933="","-",'ORDENES'!$S933))</f>
        <v/>
      </c>
      <c r="C955" s="3">
        <f>IF('ORDENES'!$A933="","",IF('ORDENES'!$AD933="","-",'ORDENES'!$AD933))</f>
        <v/>
      </c>
      <c r="D955" s="3">
        <f>IF('ORDENES'!$A933="","",IF('ORDENES'!$W933="","-",'ORDENES'!$W933))</f>
        <v/>
      </c>
      <c r="E955" s="3">
        <f>IF('ORDENES'!$A933="","",IF('ORDENES'!$V933="","-",'ORDENES'!$V933))</f>
        <v/>
      </c>
      <c r="F955" s="3">
        <f>IF('ORDENES'!$A933="","",IF('ORDENES'!$X933="","-",'ORDENES'!$X933))</f>
        <v/>
      </c>
      <c r="G955" s="3">
        <f>IF('ORDENES'!$A933="","",IF('ORDENES'!$AC933="","-",'ORDENES'!$AC933))</f>
        <v/>
      </c>
      <c r="H955" s="3">
        <f>IF('ORDENES'!$A933="","",IF('ORDENES'!$AO933="","-",'ORDENES'!$AO933))</f>
        <v/>
      </c>
      <c r="I955" s="3">
        <f>IF('ORDENES'!$A933="","",IF('ORDENES'!$D933="","-",'ORDENES'!$D933))</f>
        <v/>
      </c>
      <c r="J955" s="3">
        <f>IF('ORDENES'!$A933="","",IF('ORDENES'!$E933="","-",'ORDENES'!$E933))</f>
        <v/>
      </c>
      <c r="K955" s="12">
        <f>IF('ORDENES'!$A933="","",IF('ORDENES'!$N933="",0,'ORDENES'!$N933))</f>
        <v/>
      </c>
      <c r="L955" s="3">
        <f>IF('ORDENES'!$A933="","",IF('ORDENES'!$O933="","-",'ORDENES'!$O933))</f>
        <v/>
      </c>
      <c r="M955" s="3">
        <f>IF('ORDENES'!$A933="","",'ORDENES'!$AB933)</f>
        <v/>
      </c>
    </row>
    <row r="956">
      <c r="A956" s="3">
        <f>IF('ORDENES'!$A934="","",IF('ORDENES'!$P934="","-",'ORDENES'!$P934))</f>
        <v/>
      </c>
      <c r="B956" s="3">
        <f>IF('ORDENES'!$A934="","",IF('ORDENES'!$S934="","-",'ORDENES'!$S934))</f>
        <v/>
      </c>
      <c r="C956" s="3">
        <f>IF('ORDENES'!$A934="","",IF('ORDENES'!$AD934="","-",'ORDENES'!$AD934))</f>
        <v/>
      </c>
      <c r="D956" s="3">
        <f>IF('ORDENES'!$A934="","",IF('ORDENES'!$W934="","-",'ORDENES'!$W934))</f>
        <v/>
      </c>
      <c r="E956" s="3">
        <f>IF('ORDENES'!$A934="","",IF('ORDENES'!$V934="","-",'ORDENES'!$V934))</f>
        <v/>
      </c>
      <c r="F956" s="3">
        <f>IF('ORDENES'!$A934="","",IF('ORDENES'!$X934="","-",'ORDENES'!$X934))</f>
        <v/>
      </c>
      <c r="G956" s="3">
        <f>IF('ORDENES'!$A934="","",IF('ORDENES'!$AC934="","-",'ORDENES'!$AC934))</f>
        <v/>
      </c>
      <c r="H956" s="3">
        <f>IF('ORDENES'!$A934="","",IF('ORDENES'!$AO934="","-",'ORDENES'!$AO934))</f>
        <v/>
      </c>
      <c r="I956" s="3">
        <f>IF('ORDENES'!$A934="","",IF('ORDENES'!$D934="","-",'ORDENES'!$D934))</f>
        <v/>
      </c>
      <c r="J956" s="3">
        <f>IF('ORDENES'!$A934="","",IF('ORDENES'!$E934="","-",'ORDENES'!$E934))</f>
        <v/>
      </c>
      <c r="K956" s="12">
        <f>IF('ORDENES'!$A934="","",IF('ORDENES'!$N934="",0,'ORDENES'!$N934))</f>
        <v/>
      </c>
      <c r="L956" s="3">
        <f>IF('ORDENES'!$A934="","",IF('ORDENES'!$O934="","-",'ORDENES'!$O934))</f>
        <v/>
      </c>
      <c r="M956" s="3">
        <f>IF('ORDENES'!$A934="","",'ORDENES'!$AB934)</f>
        <v/>
      </c>
    </row>
    <row r="957">
      <c r="A957" s="3">
        <f>IF('ORDENES'!$A935="","",IF('ORDENES'!$P935="","-",'ORDENES'!$P935))</f>
        <v/>
      </c>
      <c r="B957" s="3">
        <f>IF('ORDENES'!$A935="","",IF('ORDENES'!$S935="","-",'ORDENES'!$S935))</f>
        <v/>
      </c>
      <c r="C957" s="3">
        <f>IF('ORDENES'!$A935="","",IF('ORDENES'!$AD935="","-",'ORDENES'!$AD935))</f>
        <v/>
      </c>
      <c r="D957" s="3">
        <f>IF('ORDENES'!$A935="","",IF('ORDENES'!$W935="","-",'ORDENES'!$W935))</f>
        <v/>
      </c>
      <c r="E957" s="3">
        <f>IF('ORDENES'!$A935="","",IF('ORDENES'!$V935="","-",'ORDENES'!$V935))</f>
        <v/>
      </c>
      <c r="F957" s="3">
        <f>IF('ORDENES'!$A935="","",IF('ORDENES'!$X935="","-",'ORDENES'!$X935))</f>
        <v/>
      </c>
      <c r="G957" s="3">
        <f>IF('ORDENES'!$A935="","",IF('ORDENES'!$AC935="","-",'ORDENES'!$AC935))</f>
        <v/>
      </c>
      <c r="H957" s="3">
        <f>IF('ORDENES'!$A935="","",IF('ORDENES'!$AO935="","-",'ORDENES'!$AO935))</f>
        <v/>
      </c>
      <c r="I957" s="3">
        <f>IF('ORDENES'!$A935="","",IF('ORDENES'!$D935="","-",'ORDENES'!$D935))</f>
        <v/>
      </c>
      <c r="J957" s="3">
        <f>IF('ORDENES'!$A935="","",IF('ORDENES'!$E935="","-",'ORDENES'!$E935))</f>
        <v/>
      </c>
      <c r="K957" s="12">
        <f>IF('ORDENES'!$A935="","",IF('ORDENES'!$N935="",0,'ORDENES'!$N935))</f>
        <v/>
      </c>
      <c r="L957" s="3">
        <f>IF('ORDENES'!$A935="","",IF('ORDENES'!$O935="","-",'ORDENES'!$O935))</f>
        <v/>
      </c>
      <c r="M957" s="3">
        <f>IF('ORDENES'!$A935="","",'ORDENES'!$AB935)</f>
        <v/>
      </c>
    </row>
    <row r="958">
      <c r="A958" s="3">
        <f>IF('ORDENES'!$A936="","",IF('ORDENES'!$P936="","-",'ORDENES'!$P936))</f>
        <v/>
      </c>
      <c r="B958" s="3">
        <f>IF('ORDENES'!$A936="","",IF('ORDENES'!$S936="","-",'ORDENES'!$S936))</f>
        <v/>
      </c>
      <c r="C958" s="3">
        <f>IF('ORDENES'!$A936="","",IF('ORDENES'!$AD936="","-",'ORDENES'!$AD936))</f>
        <v/>
      </c>
      <c r="D958" s="3">
        <f>IF('ORDENES'!$A936="","",IF('ORDENES'!$W936="","-",'ORDENES'!$W936))</f>
        <v/>
      </c>
      <c r="E958" s="3">
        <f>IF('ORDENES'!$A936="","",IF('ORDENES'!$V936="","-",'ORDENES'!$V936))</f>
        <v/>
      </c>
      <c r="F958" s="3">
        <f>IF('ORDENES'!$A936="","",IF('ORDENES'!$X936="","-",'ORDENES'!$X936))</f>
        <v/>
      </c>
      <c r="G958" s="3">
        <f>IF('ORDENES'!$A936="","",IF('ORDENES'!$AC936="","-",'ORDENES'!$AC936))</f>
        <v/>
      </c>
      <c r="H958" s="3">
        <f>IF('ORDENES'!$A936="","",IF('ORDENES'!$AO936="","-",'ORDENES'!$AO936))</f>
        <v/>
      </c>
      <c r="I958" s="3">
        <f>IF('ORDENES'!$A936="","",IF('ORDENES'!$D936="","-",'ORDENES'!$D936))</f>
        <v/>
      </c>
      <c r="J958" s="3">
        <f>IF('ORDENES'!$A936="","",IF('ORDENES'!$E936="","-",'ORDENES'!$E936))</f>
        <v/>
      </c>
      <c r="K958" s="12">
        <f>IF('ORDENES'!$A936="","",IF('ORDENES'!$N936="",0,'ORDENES'!$N936))</f>
        <v/>
      </c>
      <c r="L958" s="3">
        <f>IF('ORDENES'!$A936="","",IF('ORDENES'!$O936="","-",'ORDENES'!$O936))</f>
        <v/>
      </c>
      <c r="M958" s="3">
        <f>IF('ORDENES'!$A936="","",'ORDENES'!$AB936)</f>
        <v/>
      </c>
    </row>
    <row r="959">
      <c r="A959" s="3">
        <f>IF('ORDENES'!$A937="","",IF('ORDENES'!$P937="","-",'ORDENES'!$P937))</f>
        <v/>
      </c>
      <c r="B959" s="3">
        <f>IF('ORDENES'!$A937="","",IF('ORDENES'!$S937="","-",'ORDENES'!$S937))</f>
        <v/>
      </c>
      <c r="C959" s="3">
        <f>IF('ORDENES'!$A937="","",IF('ORDENES'!$AD937="","-",'ORDENES'!$AD937))</f>
        <v/>
      </c>
      <c r="D959" s="3">
        <f>IF('ORDENES'!$A937="","",IF('ORDENES'!$W937="","-",'ORDENES'!$W937))</f>
        <v/>
      </c>
      <c r="E959" s="3">
        <f>IF('ORDENES'!$A937="","",IF('ORDENES'!$V937="","-",'ORDENES'!$V937))</f>
        <v/>
      </c>
      <c r="F959" s="3">
        <f>IF('ORDENES'!$A937="","",IF('ORDENES'!$X937="","-",'ORDENES'!$X937))</f>
        <v/>
      </c>
      <c r="G959" s="3">
        <f>IF('ORDENES'!$A937="","",IF('ORDENES'!$AC937="","-",'ORDENES'!$AC937))</f>
        <v/>
      </c>
      <c r="H959" s="3">
        <f>IF('ORDENES'!$A937="","",IF('ORDENES'!$AO937="","-",'ORDENES'!$AO937))</f>
        <v/>
      </c>
      <c r="I959" s="3">
        <f>IF('ORDENES'!$A937="","",IF('ORDENES'!$D937="","-",'ORDENES'!$D937))</f>
        <v/>
      </c>
      <c r="J959" s="3">
        <f>IF('ORDENES'!$A937="","",IF('ORDENES'!$E937="","-",'ORDENES'!$E937))</f>
        <v/>
      </c>
      <c r="K959" s="12">
        <f>IF('ORDENES'!$A937="","",IF('ORDENES'!$N937="",0,'ORDENES'!$N937))</f>
        <v/>
      </c>
      <c r="L959" s="3">
        <f>IF('ORDENES'!$A937="","",IF('ORDENES'!$O937="","-",'ORDENES'!$O937))</f>
        <v/>
      </c>
      <c r="M959" s="3">
        <f>IF('ORDENES'!$A937="","",'ORDENES'!$AB937)</f>
        <v/>
      </c>
    </row>
    <row r="960">
      <c r="A960" s="3">
        <f>IF('ORDENES'!$A938="","",IF('ORDENES'!$P938="","-",'ORDENES'!$P938))</f>
        <v/>
      </c>
      <c r="B960" s="3">
        <f>IF('ORDENES'!$A938="","",IF('ORDENES'!$S938="","-",'ORDENES'!$S938))</f>
        <v/>
      </c>
      <c r="C960" s="3">
        <f>IF('ORDENES'!$A938="","",IF('ORDENES'!$AD938="","-",'ORDENES'!$AD938))</f>
        <v/>
      </c>
      <c r="D960" s="3">
        <f>IF('ORDENES'!$A938="","",IF('ORDENES'!$W938="","-",'ORDENES'!$W938))</f>
        <v/>
      </c>
      <c r="E960" s="3">
        <f>IF('ORDENES'!$A938="","",IF('ORDENES'!$V938="","-",'ORDENES'!$V938))</f>
        <v/>
      </c>
      <c r="F960" s="3">
        <f>IF('ORDENES'!$A938="","",IF('ORDENES'!$X938="","-",'ORDENES'!$X938))</f>
        <v/>
      </c>
      <c r="G960" s="3">
        <f>IF('ORDENES'!$A938="","",IF('ORDENES'!$AC938="","-",'ORDENES'!$AC938))</f>
        <v/>
      </c>
      <c r="H960" s="3">
        <f>IF('ORDENES'!$A938="","",IF('ORDENES'!$AO938="","-",'ORDENES'!$AO938))</f>
        <v/>
      </c>
      <c r="I960" s="3">
        <f>IF('ORDENES'!$A938="","",IF('ORDENES'!$D938="","-",'ORDENES'!$D938))</f>
        <v/>
      </c>
      <c r="J960" s="3">
        <f>IF('ORDENES'!$A938="","",IF('ORDENES'!$E938="","-",'ORDENES'!$E938))</f>
        <v/>
      </c>
      <c r="K960" s="12">
        <f>IF('ORDENES'!$A938="","",IF('ORDENES'!$N938="",0,'ORDENES'!$N938))</f>
        <v/>
      </c>
      <c r="L960" s="3">
        <f>IF('ORDENES'!$A938="","",IF('ORDENES'!$O938="","-",'ORDENES'!$O938))</f>
        <v/>
      </c>
      <c r="M960" s="3">
        <f>IF('ORDENES'!$A938="","",'ORDENES'!$AB938)</f>
        <v/>
      </c>
    </row>
    <row r="961">
      <c r="A961" s="3">
        <f>IF('ORDENES'!$A939="","",IF('ORDENES'!$P939="","-",'ORDENES'!$P939))</f>
        <v/>
      </c>
      <c r="B961" s="3">
        <f>IF('ORDENES'!$A939="","",IF('ORDENES'!$S939="","-",'ORDENES'!$S939))</f>
        <v/>
      </c>
      <c r="C961" s="3">
        <f>IF('ORDENES'!$A939="","",IF('ORDENES'!$AD939="","-",'ORDENES'!$AD939))</f>
        <v/>
      </c>
      <c r="D961" s="3">
        <f>IF('ORDENES'!$A939="","",IF('ORDENES'!$W939="","-",'ORDENES'!$W939))</f>
        <v/>
      </c>
      <c r="E961" s="3">
        <f>IF('ORDENES'!$A939="","",IF('ORDENES'!$V939="","-",'ORDENES'!$V939))</f>
        <v/>
      </c>
      <c r="F961" s="3">
        <f>IF('ORDENES'!$A939="","",IF('ORDENES'!$X939="","-",'ORDENES'!$X939))</f>
        <v/>
      </c>
      <c r="G961" s="3">
        <f>IF('ORDENES'!$A939="","",IF('ORDENES'!$AC939="","-",'ORDENES'!$AC939))</f>
        <v/>
      </c>
      <c r="H961" s="3">
        <f>IF('ORDENES'!$A939="","",IF('ORDENES'!$AO939="","-",'ORDENES'!$AO939))</f>
        <v/>
      </c>
      <c r="I961" s="3">
        <f>IF('ORDENES'!$A939="","",IF('ORDENES'!$D939="","-",'ORDENES'!$D939))</f>
        <v/>
      </c>
      <c r="J961" s="3">
        <f>IF('ORDENES'!$A939="","",IF('ORDENES'!$E939="","-",'ORDENES'!$E939))</f>
        <v/>
      </c>
      <c r="K961" s="12">
        <f>IF('ORDENES'!$A939="","",IF('ORDENES'!$N939="",0,'ORDENES'!$N939))</f>
        <v/>
      </c>
      <c r="L961" s="3">
        <f>IF('ORDENES'!$A939="","",IF('ORDENES'!$O939="","-",'ORDENES'!$O939))</f>
        <v/>
      </c>
      <c r="M961" s="3">
        <f>IF('ORDENES'!$A939="","",'ORDENES'!$AB939)</f>
        <v/>
      </c>
    </row>
    <row r="962">
      <c r="A962" s="3">
        <f>IF('ORDENES'!$A940="","",IF('ORDENES'!$P940="","-",'ORDENES'!$P940))</f>
        <v/>
      </c>
      <c r="B962" s="3">
        <f>IF('ORDENES'!$A940="","",IF('ORDENES'!$S940="","-",'ORDENES'!$S940))</f>
        <v/>
      </c>
      <c r="C962" s="3">
        <f>IF('ORDENES'!$A940="","",IF('ORDENES'!$AD940="","-",'ORDENES'!$AD940))</f>
        <v/>
      </c>
      <c r="D962" s="3">
        <f>IF('ORDENES'!$A940="","",IF('ORDENES'!$W940="","-",'ORDENES'!$W940))</f>
        <v/>
      </c>
      <c r="E962" s="3">
        <f>IF('ORDENES'!$A940="","",IF('ORDENES'!$V940="","-",'ORDENES'!$V940))</f>
        <v/>
      </c>
      <c r="F962" s="3">
        <f>IF('ORDENES'!$A940="","",IF('ORDENES'!$X940="","-",'ORDENES'!$X940))</f>
        <v/>
      </c>
      <c r="G962" s="3">
        <f>IF('ORDENES'!$A940="","",IF('ORDENES'!$AC940="","-",'ORDENES'!$AC940))</f>
        <v/>
      </c>
      <c r="H962" s="3">
        <f>IF('ORDENES'!$A940="","",IF('ORDENES'!$AO940="","-",'ORDENES'!$AO940))</f>
        <v/>
      </c>
      <c r="I962" s="3">
        <f>IF('ORDENES'!$A940="","",IF('ORDENES'!$D940="","-",'ORDENES'!$D940))</f>
        <v/>
      </c>
      <c r="J962" s="3">
        <f>IF('ORDENES'!$A940="","",IF('ORDENES'!$E940="","-",'ORDENES'!$E940))</f>
        <v/>
      </c>
      <c r="K962" s="12">
        <f>IF('ORDENES'!$A940="","",IF('ORDENES'!$N940="",0,'ORDENES'!$N940))</f>
        <v/>
      </c>
      <c r="L962" s="3">
        <f>IF('ORDENES'!$A940="","",IF('ORDENES'!$O940="","-",'ORDENES'!$O940))</f>
        <v/>
      </c>
      <c r="M962" s="3">
        <f>IF('ORDENES'!$A940="","",'ORDENES'!$AB940)</f>
        <v/>
      </c>
    </row>
    <row r="963">
      <c r="A963" s="3">
        <f>IF('ORDENES'!$A941="","",IF('ORDENES'!$P941="","-",'ORDENES'!$P941))</f>
        <v/>
      </c>
      <c r="B963" s="3">
        <f>IF('ORDENES'!$A941="","",IF('ORDENES'!$S941="","-",'ORDENES'!$S941))</f>
        <v/>
      </c>
      <c r="C963" s="3">
        <f>IF('ORDENES'!$A941="","",IF('ORDENES'!$AD941="","-",'ORDENES'!$AD941))</f>
        <v/>
      </c>
      <c r="D963" s="3">
        <f>IF('ORDENES'!$A941="","",IF('ORDENES'!$W941="","-",'ORDENES'!$W941))</f>
        <v/>
      </c>
      <c r="E963" s="3">
        <f>IF('ORDENES'!$A941="","",IF('ORDENES'!$V941="","-",'ORDENES'!$V941))</f>
        <v/>
      </c>
      <c r="F963" s="3">
        <f>IF('ORDENES'!$A941="","",IF('ORDENES'!$X941="","-",'ORDENES'!$X941))</f>
        <v/>
      </c>
      <c r="G963" s="3">
        <f>IF('ORDENES'!$A941="","",IF('ORDENES'!$AC941="","-",'ORDENES'!$AC941))</f>
        <v/>
      </c>
      <c r="H963" s="3">
        <f>IF('ORDENES'!$A941="","",IF('ORDENES'!$AO941="","-",'ORDENES'!$AO941))</f>
        <v/>
      </c>
      <c r="I963" s="3">
        <f>IF('ORDENES'!$A941="","",IF('ORDENES'!$D941="","-",'ORDENES'!$D941))</f>
        <v/>
      </c>
      <c r="J963" s="3">
        <f>IF('ORDENES'!$A941="","",IF('ORDENES'!$E941="","-",'ORDENES'!$E941))</f>
        <v/>
      </c>
      <c r="K963" s="12">
        <f>IF('ORDENES'!$A941="","",IF('ORDENES'!$N941="",0,'ORDENES'!$N941))</f>
        <v/>
      </c>
      <c r="L963" s="3">
        <f>IF('ORDENES'!$A941="","",IF('ORDENES'!$O941="","-",'ORDENES'!$O941))</f>
        <v/>
      </c>
      <c r="M963" s="3">
        <f>IF('ORDENES'!$A941="","",'ORDENES'!$AB941)</f>
        <v/>
      </c>
    </row>
    <row r="964">
      <c r="A964" s="3">
        <f>IF('ORDENES'!$A942="","",IF('ORDENES'!$P942="","-",'ORDENES'!$P942))</f>
        <v/>
      </c>
      <c r="B964" s="3">
        <f>IF('ORDENES'!$A942="","",IF('ORDENES'!$S942="","-",'ORDENES'!$S942))</f>
        <v/>
      </c>
      <c r="C964" s="3">
        <f>IF('ORDENES'!$A942="","",IF('ORDENES'!$AD942="","-",'ORDENES'!$AD942))</f>
        <v/>
      </c>
      <c r="D964" s="3">
        <f>IF('ORDENES'!$A942="","",IF('ORDENES'!$W942="","-",'ORDENES'!$W942))</f>
        <v/>
      </c>
      <c r="E964" s="3">
        <f>IF('ORDENES'!$A942="","",IF('ORDENES'!$V942="","-",'ORDENES'!$V942))</f>
        <v/>
      </c>
      <c r="F964" s="3">
        <f>IF('ORDENES'!$A942="","",IF('ORDENES'!$X942="","-",'ORDENES'!$X942))</f>
        <v/>
      </c>
      <c r="G964" s="3">
        <f>IF('ORDENES'!$A942="","",IF('ORDENES'!$AC942="","-",'ORDENES'!$AC942))</f>
        <v/>
      </c>
      <c r="H964" s="3">
        <f>IF('ORDENES'!$A942="","",IF('ORDENES'!$AO942="","-",'ORDENES'!$AO942))</f>
        <v/>
      </c>
      <c r="I964" s="3">
        <f>IF('ORDENES'!$A942="","",IF('ORDENES'!$D942="","-",'ORDENES'!$D942))</f>
        <v/>
      </c>
      <c r="J964" s="3">
        <f>IF('ORDENES'!$A942="","",IF('ORDENES'!$E942="","-",'ORDENES'!$E942))</f>
        <v/>
      </c>
      <c r="K964" s="12">
        <f>IF('ORDENES'!$A942="","",IF('ORDENES'!$N942="",0,'ORDENES'!$N942))</f>
        <v/>
      </c>
      <c r="L964" s="3">
        <f>IF('ORDENES'!$A942="","",IF('ORDENES'!$O942="","-",'ORDENES'!$O942))</f>
        <v/>
      </c>
      <c r="M964" s="3">
        <f>IF('ORDENES'!$A942="","",'ORDENES'!$AB942)</f>
        <v/>
      </c>
    </row>
    <row r="965">
      <c r="A965" s="3">
        <f>IF('ORDENES'!$A943="","",IF('ORDENES'!$P943="","-",'ORDENES'!$P943))</f>
        <v/>
      </c>
      <c r="B965" s="3">
        <f>IF('ORDENES'!$A943="","",IF('ORDENES'!$S943="","-",'ORDENES'!$S943))</f>
        <v/>
      </c>
      <c r="C965" s="3">
        <f>IF('ORDENES'!$A943="","",IF('ORDENES'!$AD943="","-",'ORDENES'!$AD943))</f>
        <v/>
      </c>
      <c r="D965" s="3">
        <f>IF('ORDENES'!$A943="","",IF('ORDENES'!$W943="","-",'ORDENES'!$W943))</f>
        <v/>
      </c>
      <c r="E965" s="3">
        <f>IF('ORDENES'!$A943="","",IF('ORDENES'!$V943="","-",'ORDENES'!$V943))</f>
        <v/>
      </c>
      <c r="F965" s="3">
        <f>IF('ORDENES'!$A943="","",IF('ORDENES'!$X943="","-",'ORDENES'!$X943))</f>
        <v/>
      </c>
      <c r="G965" s="3">
        <f>IF('ORDENES'!$A943="","",IF('ORDENES'!$AC943="","-",'ORDENES'!$AC943))</f>
        <v/>
      </c>
      <c r="H965" s="3">
        <f>IF('ORDENES'!$A943="","",IF('ORDENES'!$AO943="","-",'ORDENES'!$AO943))</f>
        <v/>
      </c>
      <c r="I965" s="3">
        <f>IF('ORDENES'!$A943="","",IF('ORDENES'!$D943="","-",'ORDENES'!$D943))</f>
        <v/>
      </c>
      <c r="J965" s="3">
        <f>IF('ORDENES'!$A943="","",IF('ORDENES'!$E943="","-",'ORDENES'!$E943))</f>
        <v/>
      </c>
      <c r="K965" s="12">
        <f>IF('ORDENES'!$A943="","",IF('ORDENES'!$N943="",0,'ORDENES'!$N943))</f>
        <v/>
      </c>
      <c r="L965" s="3">
        <f>IF('ORDENES'!$A943="","",IF('ORDENES'!$O943="","-",'ORDENES'!$O943))</f>
        <v/>
      </c>
      <c r="M965" s="3">
        <f>IF('ORDENES'!$A943="","",'ORDENES'!$AB943)</f>
        <v/>
      </c>
    </row>
    <row r="966">
      <c r="A966" s="3">
        <f>IF('ORDENES'!$A944="","",IF('ORDENES'!$P944="","-",'ORDENES'!$P944))</f>
        <v/>
      </c>
      <c r="B966" s="3">
        <f>IF('ORDENES'!$A944="","",IF('ORDENES'!$S944="","-",'ORDENES'!$S944))</f>
        <v/>
      </c>
      <c r="C966" s="3">
        <f>IF('ORDENES'!$A944="","",IF('ORDENES'!$AD944="","-",'ORDENES'!$AD944))</f>
        <v/>
      </c>
      <c r="D966" s="3">
        <f>IF('ORDENES'!$A944="","",IF('ORDENES'!$W944="","-",'ORDENES'!$W944))</f>
        <v/>
      </c>
      <c r="E966" s="3">
        <f>IF('ORDENES'!$A944="","",IF('ORDENES'!$V944="","-",'ORDENES'!$V944))</f>
        <v/>
      </c>
      <c r="F966" s="3">
        <f>IF('ORDENES'!$A944="","",IF('ORDENES'!$X944="","-",'ORDENES'!$X944))</f>
        <v/>
      </c>
      <c r="G966" s="3">
        <f>IF('ORDENES'!$A944="","",IF('ORDENES'!$AC944="","-",'ORDENES'!$AC944))</f>
        <v/>
      </c>
      <c r="H966" s="3">
        <f>IF('ORDENES'!$A944="","",IF('ORDENES'!$AO944="","-",'ORDENES'!$AO944))</f>
        <v/>
      </c>
      <c r="I966" s="3">
        <f>IF('ORDENES'!$A944="","",IF('ORDENES'!$D944="","-",'ORDENES'!$D944))</f>
        <v/>
      </c>
      <c r="J966" s="3">
        <f>IF('ORDENES'!$A944="","",IF('ORDENES'!$E944="","-",'ORDENES'!$E944))</f>
        <v/>
      </c>
      <c r="K966" s="12">
        <f>IF('ORDENES'!$A944="","",IF('ORDENES'!$N944="",0,'ORDENES'!$N944))</f>
        <v/>
      </c>
      <c r="L966" s="3">
        <f>IF('ORDENES'!$A944="","",IF('ORDENES'!$O944="","-",'ORDENES'!$O944))</f>
        <v/>
      </c>
      <c r="M966" s="3">
        <f>IF('ORDENES'!$A944="","",'ORDENES'!$AB944)</f>
        <v/>
      </c>
    </row>
    <row r="967">
      <c r="A967" s="3">
        <f>IF('ORDENES'!$A945="","",IF('ORDENES'!$P945="","-",'ORDENES'!$P945))</f>
        <v/>
      </c>
      <c r="B967" s="3">
        <f>IF('ORDENES'!$A945="","",IF('ORDENES'!$S945="","-",'ORDENES'!$S945))</f>
        <v/>
      </c>
      <c r="C967" s="3">
        <f>IF('ORDENES'!$A945="","",IF('ORDENES'!$AD945="","-",'ORDENES'!$AD945))</f>
        <v/>
      </c>
      <c r="D967" s="3">
        <f>IF('ORDENES'!$A945="","",IF('ORDENES'!$W945="","-",'ORDENES'!$W945))</f>
        <v/>
      </c>
      <c r="E967" s="3">
        <f>IF('ORDENES'!$A945="","",IF('ORDENES'!$V945="","-",'ORDENES'!$V945))</f>
        <v/>
      </c>
      <c r="F967" s="3">
        <f>IF('ORDENES'!$A945="","",IF('ORDENES'!$X945="","-",'ORDENES'!$X945))</f>
        <v/>
      </c>
      <c r="G967" s="3">
        <f>IF('ORDENES'!$A945="","",IF('ORDENES'!$AC945="","-",'ORDENES'!$AC945))</f>
        <v/>
      </c>
      <c r="H967" s="3">
        <f>IF('ORDENES'!$A945="","",IF('ORDENES'!$AO945="","-",'ORDENES'!$AO945))</f>
        <v/>
      </c>
      <c r="I967" s="3">
        <f>IF('ORDENES'!$A945="","",IF('ORDENES'!$D945="","-",'ORDENES'!$D945))</f>
        <v/>
      </c>
      <c r="J967" s="3">
        <f>IF('ORDENES'!$A945="","",IF('ORDENES'!$E945="","-",'ORDENES'!$E945))</f>
        <v/>
      </c>
      <c r="K967" s="12">
        <f>IF('ORDENES'!$A945="","",IF('ORDENES'!$N945="",0,'ORDENES'!$N945))</f>
        <v/>
      </c>
      <c r="L967" s="3">
        <f>IF('ORDENES'!$A945="","",IF('ORDENES'!$O945="","-",'ORDENES'!$O945))</f>
        <v/>
      </c>
      <c r="M967" s="3">
        <f>IF('ORDENES'!$A945="","",'ORDENES'!$AB945)</f>
        <v/>
      </c>
    </row>
    <row r="968">
      <c r="A968" s="3">
        <f>IF('ORDENES'!$A946="","",IF('ORDENES'!$P946="","-",'ORDENES'!$P946))</f>
        <v/>
      </c>
      <c r="B968" s="3">
        <f>IF('ORDENES'!$A946="","",IF('ORDENES'!$S946="","-",'ORDENES'!$S946))</f>
        <v/>
      </c>
      <c r="C968" s="3">
        <f>IF('ORDENES'!$A946="","",IF('ORDENES'!$AD946="","-",'ORDENES'!$AD946))</f>
        <v/>
      </c>
      <c r="D968" s="3">
        <f>IF('ORDENES'!$A946="","",IF('ORDENES'!$W946="","-",'ORDENES'!$W946))</f>
        <v/>
      </c>
      <c r="E968" s="3">
        <f>IF('ORDENES'!$A946="","",IF('ORDENES'!$V946="","-",'ORDENES'!$V946))</f>
        <v/>
      </c>
      <c r="F968" s="3">
        <f>IF('ORDENES'!$A946="","",IF('ORDENES'!$X946="","-",'ORDENES'!$X946))</f>
        <v/>
      </c>
      <c r="G968" s="3">
        <f>IF('ORDENES'!$A946="","",IF('ORDENES'!$AC946="","-",'ORDENES'!$AC946))</f>
        <v/>
      </c>
      <c r="H968" s="3">
        <f>IF('ORDENES'!$A946="","",IF('ORDENES'!$AO946="","-",'ORDENES'!$AO946))</f>
        <v/>
      </c>
      <c r="I968" s="3">
        <f>IF('ORDENES'!$A946="","",IF('ORDENES'!$D946="","-",'ORDENES'!$D946))</f>
        <v/>
      </c>
      <c r="J968" s="3">
        <f>IF('ORDENES'!$A946="","",IF('ORDENES'!$E946="","-",'ORDENES'!$E946))</f>
        <v/>
      </c>
      <c r="K968" s="12">
        <f>IF('ORDENES'!$A946="","",IF('ORDENES'!$N946="",0,'ORDENES'!$N946))</f>
        <v/>
      </c>
      <c r="L968" s="3">
        <f>IF('ORDENES'!$A946="","",IF('ORDENES'!$O946="","-",'ORDENES'!$O946))</f>
        <v/>
      </c>
      <c r="M968" s="3">
        <f>IF('ORDENES'!$A946="","",'ORDENES'!$AB946)</f>
        <v/>
      </c>
    </row>
    <row r="969">
      <c r="A969" s="3">
        <f>IF('ORDENES'!$A947="","",IF('ORDENES'!$P947="","-",'ORDENES'!$P947))</f>
        <v/>
      </c>
      <c r="B969" s="3">
        <f>IF('ORDENES'!$A947="","",IF('ORDENES'!$S947="","-",'ORDENES'!$S947))</f>
        <v/>
      </c>
      <c r="C969" s="3">
        <f>IF('ORDENES'!$A947="","",IF('ORDENES'!$AD947="","-",'ORDENES'!$AD947))</f>
        <v/>
      </c>
      <c r="D969" s="3">
        <f>IF('ORDENES'!$A947="","",IF('ORDENES'!$W947="","-",'ORDENES'!$W947))</f>
        <v/>
      </c>
      <c r="E969" s="3">
        <f>IF('ORDENES'!$A947="","",IF('ORDENES'!$V947="","-",'ORDENES'!$V947))</f>
        <v/>
      </c>
      <c r="F969" s="3">
        <f>IF('ORDENES'!$A947="","",IF('ORDENES'!$X947="","-",'ORDENES'!$X947))</f>
        <v/>
      </c>
      <c r="G969" s="3">
        <f>IF('ORDENES'!$A947="","",IF('ORDENES'!$AC947="","-",'ORDENES'!$AC947))</f>
        <v/>
      </c>
      <c r="H969" s="3">
        <f>IF('ORDENES'!$A947="","",IF('ORDENES'!$AO947="","-",'ORDENES'!$AO947))</f>
        <v/>
      </c>
      <c r="I969" s="3">
        <f>IF('ORDENES'!$A947="","",IF('ORDENES'!$D947="","-",'ORDENES'!$D947))</f>
        <v/>
      </c>
      <c r="J969" s="3">
        <f>IF('ORDENES'!$A947="","",IF('ORDENES'!$E947="","-",'ORDENES'!$E947))</f>
        <v/>
      </c>
      <c r="K969" s="12">
        <f>IF('ORDENES'!$A947="","",IF('ORDENES'!$N947="",0,'ORDENES'!$N947))</f>
        <v/>
      </c>
      <c r="L969" s="3">
        <f>IF('ORDENES'!$A947="","",IF('ORDENES'!$O947="","-",'ORDENES'!$O947))</f>
        <v/>
      </c>
      <c r="M969" s="3">
        <f>IF('ORDENES'!$A947="","",'ORDENES'!$AB947)</f>
        <v/>
      </c>
    </row>
    <row r="970">
      <c r="A970" s="3">
        <f>IF('ORDENES'!$A948="","",IF('ORDENES'!$P948="","-",'ORDENES'!$P948))</f>
        <v/>
      </c>
      <c r="B970" s="3">
        <f>IF('ORDENES'!$A948="","",IF('ORDENES'!$S948="","-",'ORDENES'!$S948))</f>
        <v/>
      </c>
      <c r="C970" s="3">
        <f>IF('ORDENES'!$A948="","",IF('ORDENES'!$AD948="","-",'ORDENES'!$AD948))</f>
        <v/>
      </c>
      <c r="D970" s="3">
        <f>IF('ORDENES'!$A948="","",IF('ORDENES'!$W948="","-",'ORDENES'!$W948))</f>
        <v/>
      </c>
      <c r="E970" s="3">
        <f>IF('ORDENES'!$A948="","",IF('ORDENES'!$V948="","-",'ORDENES'!$V948))</f>
        <v/>
      </c>
      <c r="F970" s="3">
        <f>IF('ORDENES'!$A948="","",IF('ORDENES'!$X948="","-",'ORDENES'!$X948))</f>
        <v/>
      </c>
      <c r="G970" s="3">
        <f>IF('ORDENES'!$A948="","",IF('ORDENES'!$AC948="","-",'ORDENES'!$AC948))</f>
        <v/>
      </c>
      <c r="H970" s="3">
        <f>IF('ORDENES'!$A948="","",IF('ORDENES'!$AO948="","-",'ORDENES'!$AO948))</f>
        <v/>
      </c>
      <c r="I970" s="3">
        <f>IF('ORDENES'!$A948="","",IF('ORDENES'!$D948="","-",'ORDENES'!$D948))</f>
        <v/>
      </c>
      <c r="J970" s="3">
        <f>IF('ORDENES'!$A948="","",IF('ORDENES'!$E948="","-",'ORDENES'!$E948))</f>
        <v/>
      </c>
      <c r="K970" s="12">
        <f>IF('ORDENES'!$A948="","",IF('ORDENES'!$N948="",0,'ORDENES'!$N948))</f>
        <v/>
      </c>
      <c r="L970" s="3">
        <f>IF('ORDENES'!$A948="","",IF('ORDENES'!$O948="","-",'ORDENES'!$O948))</f>
        <v/>
      </c>
      <c r="M970" s="3">
        <f>IF('ORDENES'!$A948="","",'ORDENES'!$AB948)</f>
        <v/>
      </c>
    </row>
    <row r="971">
      <c r="A971" s="3">
        <f>IF('ORDENES'!$A949="","",IF('ORDENES'!$P949="","-",'ORDENES'!$P949))</f>
        <v/>
      </c>
      <c r="B971" s="3">
        <f>IF('ORDENES'!$A949="","",IF('ORDENES'!$S949="","-",'ORDENES'!$S949))</f>
        <v/>
      </c>
      <c r="C971" s="3">
        <f>IF('ORDENES'!$A949="","",IF('ORDENES'!$AD949="","-",'ORDENES'!$AD949))</f>
        <v/>
      </c>
      <c r="D971" s="3">
        <f>IF('ORDENES'!$A949="","",IF('ORDENES'!$W949="","-",'ORDENES'!$W949))</f>
        <v/>
      </c>
      <c r="E971" s="3">
        <f>IF('ORDENES'!$A949="","",IF('ORDENES'!$V949="","-",'ORDENES'!$V949))</f>
        <v/>
      </c>
      <c r="F971" s="3">
        <f>IF('ORDENES'!$A949="","",IF('ORDENES'!$X949="","-",'ORDENES'!$X949))</f>
        <v/>
      </c>
      <c r="G971" s="3">
        <f>IF('ORDENES'!$A949="","",IF('ORDENES'!$AC949="","-",'ORDENES'!$AC949))</f>
        <v/>
      </c>
      <c r="H971" s="3">
        <f>IF('ORDENES'!$A949="","",IF('ORDENES'!$AO949="","-",'ORDENES'!$AO949))</f>
        <v/>
      </c>
      <c r="I971" s="3">
        <f>IF('ORDENES'!$A949="","",IF('ORDENES'!$D949="","-",'ORDENES'!$D949))</f>
        <v/>
      </c>
      <c r="J971" s="3">
        <f>IF('ORDENES'!$A949="","",IF('ORDENES'!$E949="","-",'ORDENES'!$E949))</f>
        <v/>
      </c>
      <c r="K971" s="12">
        <f>IF('ORDENES'!$A949="","",IF('ORDENES'!$N949="",0,'ORDENES'!$N949))</f>
        <v/>
      </c>
      <c r="L971" s="3">
        <f>IF('ORDENES'!$A949="","",IF('ORDENES'!$O949="","-",'ORDENES'!$O949))</f>
        <v/>
      </c>
      <c r="M971" s="3">
        <f>IF('ORDENES'!$A949="","",'ORDENES'!$AB949)</f>
        <v/>
      </c>
    </row>
    <row r="972">
      <c r="A972" s="3">
        <f>IF('ORDENES'!$A950="","",IF('ORDENES'!$P950="","-",'ORDENES'!$P950))</f>
        <v/>
      </c>
      <c r="B972" s="3">
        <f>IF('ORDENES'!$A950="","",IF('ORDENES'!$S950="","-",'ORDENES'!$S950))</f>
        <v/>
      </c>
      <c r="C972" s="3">
        <f>IF('ORDENES'!$A950="","",IF('ORDENES'!$AD950="","-",'ORDENES'!$AD950))</f>
        <v/>
      </c>
      <c r="D972" s="3">
        <f>IF('ORDENES'!$A950="","",IF('ORDENES'!$W950="","-",'ORDENES'!$W950))</f>
        <v/>
      </c>
      <c r="E972" s="3">
        <f>IF('ORDENES'!$A950="","",IF('ORDENES'!$V950="","-",'ORDENES'!$V950))</f>
        <v/>
      </c>
      <c r="F972" s="3">
        <f>IF('ORDENES'!$A950="","",IF('ORDENES'!$X950="","-",'ORDENES'!$X950))</f>
        <v/>
      </c>
      <c r="G972" s="3">
        <f>IF('ORDENES'!$A950="","",IF('ORDENES'!$AC950="","-",'ORDENES'!$AC950))</f>
        <v/>
      </c>
      <c r="H972" s="3">
        <f>IF('ORDENES'!$A950="","",IF('ORDENES'!$AO950="","-",'ORDENES'!$AO950))</f>
        <v/>
      </c>
      <c r="I972" s="3">
        <f>IF('ORDENES'!$A950="","",IF('ORDENES'!$D950="","-",'ORDENES'!$D950))</f>
        <v/>
      </c>
      <c r="J972" s="3">
        <f>IF('ORDENES'!$A950="","",IF('ORDENES'!$E950="","-",'ORDENES'!$E950))</f>
        <v/>
      </c>
      <c r="K972" s="12">
        <f>IF('ORDENES'!$A950="","",IF('ORDENES'!$N950="",0,'ORDENES'!$N950))</f>
        <v/>
      </c>
      <c r="L972" s="3">
        <f>IF('ORDENES'!$A950="","",IF('ORDENES'!$O950="","-",'ORDENES'!$O950))</f>
        <v/>
      </c>
      <c r="M972" s="3">
        <f>IF('ORDENES'!$A950="","",'ORDENES'!$AB950)</f>
        <v/>
      </c>
    </row>
    <row r="973">
      <c r="A973" s="3">
        <f>IF('ORDENES'!$A951="","",IF('ORDENES'!$P951="","-",'ORDENES'!$P951))</f>
        <v/>
      </c>
      <c r="B973" s="3">
        <f>IF('ORDENES'!$A951="","",IF('ORDENES'!$S951="","-",'ORDENES'!$S951))</f>
        <v/>
      </c>
      <c r="C973" s="3">
        <f>IF('ORDENES'!$A951="","",IF('ORDENES'!$AD951="","-",'ORDENES'!$AD951))</f>
        <v/>
      </c>
      <c r="D973" s="3">
        <f>IF('ORDENES'!$A951="","",IF('ORDENES'!$W951="","-",'ORDENES'!$W951))</f>
        <v/>
      </c>
      <c r="E973" s="3">
        <f>IF('ORDENES'!$A951="","",IF('ORDENES'!$V951="","-",'ORDENES'!$V951))</f>
        <v/>
      </c>
      <c r="F973" s="3">
        <f>IF('ORDENES'!$A951="","",IF('ORDENES'!$X951="","-",'ORDENES'!$X951))</f>
        <v/>
      </c>
      <c r="G973" s="3">
        <f>IF('ORDENES'!$A951="","",IF('ORDENES'!$AC951="","-",'ORDENES'!$AC951))</f>
        <v/>
      </c>
      <c r="H973" s="3">
        <f>IF('ORDENES'!$A951="","",IF('ORDENES'!$AO951="","-",'ORDENES'!$AO951))</f>
        <v/>
      </c>
      <c r="I973" s="3">
        <f>IF('ORDENES'!$A951="","",IF('ORDENES'!$D951="","-",'ORDENES'!$D951))</f>
        <v/>
      </c>
      <c r="J973" s="3">
        <f>IF('ORDENES'!$A951="","",IF('ORDENES'!$E951="","-",'ORDENES'!$E951))</f>
        <v/>
      </c>
      <c r="K973" s="12">
        <f>IF('ORDENES'!$A951="","",IF('ORDENES'!$N951="",0,'ORDENES'!$N951))</f>
        <v/>
      </c>
      <c r="L973" s="3">
        <f>IF('ORDENES'!$A951="","",IF('ORDENES'!$O951="","-",'ORDENES'!$O951))</f>
        <v/>
      </c>
      <c r="M973" s="3">
        <f>IF('ORDENES'!$A951="","",'ORDENES'!$AB951)</f>
        <v/>
      </c>
    </row>
    <row r="974">
      <c r="A974" s="3">
        <f>IF('ORDENES'!$A952="","",IF('ORDENES'!$P952="","-",'ORDENES'!$P952))</f>
        <v/>
      </c>
      <c r="B974" s="3">
        <f>IF('ORDENES'!$A952="","",IF('ORDENES'!$S952="","-",'ORDENES'!$S952))</f>
        <v/>
      </c>
      <c r="C974" s="3">
        <f>IF('ORDENES'!$A952="","",IF('ORDENES'!$AD952="","-",'ORDENES'!$AD952))</f>
        <v/>
      </c>
      <c r="D974" s="3">
        <f>IF('ORDENES'!$A952="","",IF('ORDENES'!$W952="","-",'ORDENES'!$W952))</f>
        <v/>
      </c>
      <c r="E974" s="3">
        <f>IF('ORDENES'!$A952="","",IF('ORDENES'!$V952="","-",'ORDENES'!$V952))</f>
        <v/>
      </c>
      <c r="F974" s="3">
        <f>IF('ORDENES'!$A952="","",IF('ORDENES'!$X952="","-",'ORDENES'!$X952))</f>
        <v/>
      </c>
      <c r="G974" s="3">
        <f>IF('ORDENES'!$A952="","",IF('ORDENES'!$AC952="","-",'ORDENES'!$AC952))</f>
        <v/>
      </c>
      <c r="H974" s="3">
        <f>IF('ORDENES'!$A952="","",IF('ORDENES'!$AO952="","-",'ORDENES'!$AO952))</f>
        <v/>
      </c>
      <c r="I974" s="3">
        <f>IF('ORDENES'!$A952="","",IF('ORDENES'!$D952="","-",'ORDENES'!$D952))</f>
        <v/>
      </c>
      <c r="J974" s="3">
        <f>IF('ORDENES'!$A952="","",IF('ORDENES'!$E952="","-",'ORDENES'!$E952))</f>
        <v/>
      </c>
      <c r="K974" s="12">
        <f>IF('ORDENES'!$A952="","",IF('ORDENES'!$N952="",0,'ORDENES'!$N952))</f>
        <v/>
      </c>
      <c r="L974" s="3">
        <f>IF('ORDENES'!$A952="","",IF('ORDENES'!$O952="","-",'ORDENES'!$O952))</f>
        <v/>
      </c>
      <c r="M974" s="3">
        <f>IF('ORDENES'!$A952="","",'ORDENES'!$AB952)</f>
        <v/>
      </c>
    </row>
    <row r="975">
      <c r="A975" s="3">
        <f>IF('ORDENES'!$A953="","",IF('ORDENES'!$P953="","-",'ORDENES'!$P953))</f>
        <v/>
      </c>
      <c r="B975" s="3">
        <f>IF('ORDENES'!$A953="","",IF('ORDENES'!$S953="","-",'ORDENES'!$S953))</f>
        <v/>
      </c>
      <c r="C975" s="3">
        <f>IF('ORDENES'!$A953="","",IF('ORDENES'!$AD953="","-",'ORDENES'!$AD953))</f>
        <v/>
      </c>
      <c r="D975" s="3">
        <f>IF('ORDENES'!$A953="","",IF('ORDENES'!$W953="","-",'ORDENES'!$W953))</f>
        <v/>
      </c>
      <c r="E975" s="3">
        <f>IF('ORDENES'!$A953="","",IF('ORDENES'!$V953="","-",'ORDENES'!$V953))</f>
        <v/>
      </c>
      <c r="F975" s="3">
        <f>IF('ORDENES'!$A953="","",IF('ORDENES'!$X953="","-",'ORDENES'!$X953))</f>
        <v/>
      </c>
      <c r="G975" s="3">
        <f>IF('ORDENES'!$A953="","",IF('ORDENES'!$AC953="","-",'ORDENES'!$AC953))</f>
        <v/>
      </c>
      <c r="H975" s="3">
        <f>IF('ORDENES'!$A953="","",IF('ORDENES'!$AO953="","-",'ORDENES'!$AO953))</f>
        <v/>
      </c>
      <c r="I975" s="3">
        <f>IF('ORDENES'!$A953="","",IF('ORDENES'!$D953="","-",'ORDENES'!$D953))</f>
        <v/>
      </c>
      <c r="J975" s="3">
        <f>IF('ORDENES'!$A953="","",IF('ORDENES'!$E953="","-",'ORDENES'!$E953))</f>
        <v/>
      </c>
      <c r="K975" s="12">
        <f>IF('ORDENES'!$A953="","",IF('ORDENES'!$N953="",0,'ORDENES'!$N953))</f>
        <v/>
      </c>
      <c r="L975" s="3">
        <f>IF('ORDENES'!$A953="","",IF('ORDENES'!$O953="","-",'ORDENES'!$O953))</f>
        <v/>
      </c>
      <c r="M975" s="3">
        <f>IF('ORDENES'!$A953="","",'ORDENES'!$AB953)</f>
        <v/>
      </c>
    </row>
    <row r="976">
      <c r="A976" s="3">
        <f>IF('ORDENES'!$A954="","",IF('ORDENES'!$P954="","-",'ORDENES'!$P954))</f>
        <v/>
      </c>
      <c r="B976" s="3">
        <f>IF('ORDENES'!$A954="","",IF('ORDENES'!$S954="","-",'ORDENES'!$S954))</f>
        <v/>
      </c>
      <c r="C976" s="3">
        <f>IF('ORDENES'!$A954="","",IF('ORDENES'!$AD954="","-",'ORDENES'!$AD954))</f>
        <v/>
      </c>
      <c r="D976" s="3">
        <f>IF('ORDENES'!$A954="","",IF('ORDENES'!$W954="","-",'ORDENES'!$W954))</f>
        <v/>
      </c>
      <c r="E976" s="3">
        <f>IF('ORDENES'!$A954="","",IF('ORDENES'!$V954="","-",'ORDENES'!$V954))</f>
        <v/>
      </c>
      <c r="F976" s="3">
        <f>IF('ORDENES'!$A954="","",IF('ORDENES'!$X954="","-",'ORDENES'!$X954))</f>
        <v/>
      </c>
      <c r="G976" s="3">
        <f>IF('ORDENES'!$A954="","",IF('ORDENES'!$AC954="","-",'ORDENES'!$AC954))</f>
        <v/>
      </c>
      <c r="H976" s="3">
        <f>IF('ORDENES'!$A954="","",IF('ORDENES'!$AO954="","-",'ORDENES'!$AO954))</f>
        <v/>
      </c>
      <c r="I976" s="3">
        <f>IF('ORDENES'!$A954="","",IF('ORDENES'!$D954="","-",'ORDENES'!$D954))</f>
        <v/>
      </c>
      <c r="J976" s="3">
        <f>IF('ORDENES'!$A954="","",IF('ORDENES'!$E954="","-",'ORDENES'!$E954))</f>
        <v/>
      </c>
      <c r="K976" s="12">
        <f>IF('ORDENES'!$A954="","",IF('ORDENES'!$N954="",0,'ORDENES'!$N954))</f>
        <v/>
      </c>
      <c r="L976" s="3">
        <f>IF('ORDENES'!$A954="","",IF('ORDENES'!$O954="","-",'ORDENES'!$O954))</f>
        <v/>
      </c>
      <c r="M976" s="3">
        <f>IF('ORDENES'!$A954="","",'ORDENES'!$AB954)</f>
        <v/>
      </c>
    </row>
    <row r="977">
      <c r="A977" s="3">
        <f>IF('ORDENES'!$A955="","",IF('ORDENES'!$P955="","-",'ORDENES'!$P955))</f>
        <v/>
      </c>
      <c r="B977" s="3">
        <f>IF('ORDENES'!$A955="","",IF('ORDENES'!$S955="","-",'ORDENES'!$S955))</f>
        <v/>
      </c>
      <c r="C977" s="3">
        <f>IF('ORDENES'!$A955="","",IF('ORDENES'!$AD955="","-",'ORDENES'!$AD955))</f>
        <v/>
      </c>
      <c r="D977" s="3">
        <f>IF('ORDENES'!$A955="","",IF('ORDENES'!$W955="","-",'ORDENES'!$W955))</f>
        <v/>
      </c>
      <c r="E977" s="3">
        <f>IF('ORDENES'!$A955="","",IF('ORDENES'!$V955="","-",'ORDENES'!$V955))</f>
        <v/>
      </c>
      <c r="F977" s="3">
        <f>IF('ORDENES'!$A955="","",IF('ORDENES'!$X955="","-",'ORDENES'!$X955))</f>
        <v/>
      </c>
      <c r="G977" s="3">
        <f>IF('ORDENES'!$A955="","",IF('ORDENES'!$AC955="","-",'ORDENES'!$AC955))</f>
        <v/>
      </c>
      <c r="H977" s="3">
        <f>IF('ORDENES'!$A955="","",IF('ORDENES'!$AO955="","-",'ORDENES'!$AO955))</f>
        <v/>
      </c>
      <c r="I977" s="3">
        <f>IF('ORDENES'!$A955="","",IF('ORDENES'!$D955="","-",'ORDENES'!$D955))</f>
        <v/>
      </c>
      <c r="J977" s="3">
        <f>IF('ORDENES'!$A955="","",IF('ORDENES'!$E955="","-",'ORDENES'!$E955))</f>
        <v/>
      </c>
      <c r="K977" s="12">
        <f>IF('ORDENES'!$A955="","",IF('ORDENES'!$N955="",0,'ORDENES'!$N955))</f>
        <v/>
      </c>
      <c r="L977" s="3">
        <f>IF('ORDENES'!$A955="","",IF('ORDENES'!$O955="","-",'ORDENES'!$O955))</f>
        <v/>
      </c>
      <c r="M977" s="3">
        <f>IF('ORDENES'!$A955="","",'ORDENES'!$AB955)</f>
        <v/>
      </c>
    </row>
    <row r="978">
      <c r="A978" s="3">
        <f>IF('ORDENES'!$A956="","",IF('ORDENES'!$P956="","-",'ORDENES'!$P956))</f>
        <v/>
      </c>
      <c r="B978" s="3">
        <f>IF('ORDENES'!$A956="","",IF('ORDENES'!$S956="","-",'ORDENES'!$S956))</f>
        <v/>
      </c>
      <c r="C978" s="3">
        <f>IF('ORDENES'!$A956="","",IF('ORDENES'!$AD956="","-",'ORDENES'!$AD956))</f>
        <v/>
      </c>
      <c r="D978" s="3">
        <f>IF('ORDENES'!$A956="","",IF('ORDENES'!$W956="","-",'ORDENES'!$W956))</f>
        <v/>
      </c>
      <c r="E978" s="3">
        <f>IF('ORDENES'!$A956="","",IF('ORDENES'!$V956="","-",'ORDENES'!$V956))</f>
        <v/>
      </c>
      <c r="F978" s="3">
        <f>IF('ORDENES'!$A956="","",IF('ORDENES'!$X956="","-",'ORDENES'!$X956))</f>
        <v/>
      </c>
      <c r="G978" s="3">
        <f>IF('ORDENES'!$A956="","",IF('ORDENES'!$AC956="","-",'ORDENES'!$AC956))</f>
        <v/>
      </c>
      <c r="H978" s="3">
        <f>IF('ORDENES'!$A956="","",IF('ORDENES'!$AO956="","-",'ORDENES'!$AO956))</f>
        <v/>
      </c>
      <c r="I978" s="3">
        <f>IF('ORDENES'!$A956="","",IF('ORDENES'!$D956="","-",'ORDENES'!$D956))</f>
        <v/>
      </c>
      <c r="J978" s="3">
        <f>IF('ORDENES'!$A956="","",IF('ORDENES'!$E956="","-",'ORDENES'!$E956))</f>
        <v/>
      </c>
      <c r="K978" s="12">
        <f>IF('ORDENES'!$A956="","",IF('ORDENES'!$N956="",0,'ORDENES'!$N956))</f>
        <v/>
      </c>
      <c r="L978" s="3">
        <f>IF('ORDENES'!$A956="","",IF('ORDENES'!$O956="","-",'ORDENES'!$O956))</f>
        <v/>
      </c>
      <c r="M978" s="3">
        <f>IF('ORDENES'!$A956="","",'ORDENES'!$AB956)</f>
        <v/>
      </c>
    </row>
    <row r="979">
      <c r="A979" s="3">
        <f>IF('ORDENES'!$A957="","",IF('ORDENES'!$P957="","-",'ORDENES'!$P957))</f>
        <v/>
      </c>
      <c r="B979" s="3">
        <f>IF('ORDENES'!$A957="","",IF('ORDENES'!$S957="","-",'ORDENES'!$S957))</f>
        <v/>
      </c>
      <c r="C979" s="3">
        <f>IF('ORDENES'!$A957="","",IF('ORDENES'!$AD957="","-",'ORDENES'!$AD957))</f>
        <v/>
      </c>
      <c r="D979" s="3">
        <f>IF('ORDENES'!$A957="","",IF('ORDENES'!$W957="","-",'ORDENES'!$W957))</f>
        <v/>
      </c>
      <c r="E979" s="3">
        <f>IF('ORDENES'!$A957="","",IF('ORDENES'!$V957="","-",'ORDENES'!$V957))</f>
        <v/>
      </c>
      <c r="F979" s="3">
        <f>IF('ORDENES'!$A957="","",IF('ORDENES'!$X957="","-",'ORDENES'!$X957))</f>
        <v/>
      </c>
      <c r="G979" s="3">
        <f>IF('ORDENES'!$A957="","",IF('ORDENES'!$AC957="","-",'ORDENES'!$AC957))</f>
        <v/>
      </c>
      <c r="H979" s="3">
        <f>IF('ORDENES'!$A957="","",IF('ORDENES'!$AO957="","-",'ORDENES'!$AO957))</f>
        <v/>
      </c>
      <c r="I979" s="3">
        <f>IF('ORDENES'!$A957="","",IF('ORDENES'!$D957="","-",'ORDENES'!$D957))</f>
        <v/>
      </c>
      <c r="J979" s="3">
        <f>IF('ORDENES'!$A957="","",IF('ORDENES'!$E957="","-",'ORDENES'!$E957))</f>
        <v/>
      </c>
      <c r="K979" s="12">
        <f>IF('ORDENES'!$A957="","",IF('ORDENES'!$N957="",0,'ORDENES'!$N957))</f>
        <v/>
      </c>
      <c r="L979" s="3">
        <f>IF('ORDENES'!$A957="","",IF('ORDENES'!$O957="","-",'ORDENES'!$O957))</f>
        <v/>
      </c>
      <c r="M979" s="3">
        <f>IF('ORDENES'!$A957="","",'ORDENES'!$AB957)</f>
        <v/>
      </c>
    </row>
    <row r="980">
      <c r="A980" s="3">
        <f>IF('ORDENES'!$A958="","",IF('ORDENES'!$P958="","-",'ORDENES'!$P958))</f>
        <v/>
      </c>
      <c r="B980" s="3">
        <f>IF('ORDENES'!$A958="","",IF('ORDENES'!$S958="","-",'ORDENES'!$S958))</f>
        <v/>
      </c>
      <c r="C980" s="3">
        <f>IF('ORDENES'!$A958="","",IF('ORDENES'!$AD958="","-",'ORDENES'!$AD958))</f>
        <v/>
      </c>
      <c r="D980" s="3">
        <f>IF('ORDENES'!$A958="","",IF('ORDENES'!$W958="","-",'ORDENES'!$W958))</f>
        <v/>
      </c>
      <c r="E980" s="3">
        <f>IF('ORDENES'!$A958="","",IF('ORDENES'!$V958="","-",'ORDENES'!$V958))</f>
        <v/>
      </c>
      <c r="F980" s="3">
        <f>IF('ORDENES'!$A958="","",IF('ORDENES'!$X958="","-",'ORDENES'!$X958))</f>
        <v/>
      </c>
      <c r="G980" s="3">
        <f>IF('ORDENES'!$A958="","",IF('ORDENES'!$AC958="","-",'ORDENES'!$AC958))</f>
        <v/>
      </c>
      <c r="H980" s="3">
        <f>IF('ORDENES'!$A958="","",IF('ORDENES'!$AO958="","-",'ORDENES'!$AO958))</f>
        <v/>
      </c>
      <c r="I980" s="3">
        <f>IF('ORDENES'!$A958="","",IF('ORDENES'!$D958="","-",'ORDENES'!$D958))</f>
        <v/>
      </c>
      <c r="J980" s="3">
        <f>IF('ORDENES'!$A958="","",IF('ORDENES'!$E958="","-",'ORDENES'!$E958))</f>
        <v/>
      </c>
      <c r="K980" s="12">
        <f>IF('ORDENES'!$A958="","",IF('ORDENES'!$N958="",0,'ORDENES'!$N958))</f>
        <v/>
      </c>
      <c r="L980" s="3">
        <f>IF('ORDENES'!$A958="","",IF('ORDENES'!$O958="","-",'ORDENES'!$O958))</f>
        <v/>
      </c>
      <c r="M980" s="3">
        <f>IF('ORDENES'!$A958="","",'ORDENES'!$AB958)</f>
        <v/>
      </c>
    </row>
    <row r="981">
      <c r="A981" s="3">
        <f>IF('ORDENES'!$A959="","",IF('ORDENES'!$P959="","-",'ORDENES'!$P959))</f>
        <v/>
      </c>
      <c r="B981" s="3">
        <f>IF('ORDENES'!$A959="","",IF('ORDENES'!$S959="","-",'ORDENES'!$S959))</f>
        <v/>
      </c>
      <c r="C981" s="3">
        <f>IF('ORDENES'!$A959="","",IF('ORDENES'!$AD959="","-",'ORDENES'!$AD959))</f>
        <v/>
      </c>
      <c r="D981" s="3">
        <f>IF('ORDENES'!$A959="","",IF('ORDENES'!$W959="","-",'ORDENES'!$W959))</f>
        <v/>
      </c>
      <c r="E981" s="3">
        <f>IF('ORDENES'!$A959="","",IF('ORDENES'!$V959="","-",'ORDENES'!$V959))</f>
        <v/>
      </c>
      <c r="F981" s="3">
        <f>IF('ORDENES'!$A959="","",IF('ORDENES'!$X959="","-",'ORDENES'!$X959))</f>
        <v/>
      </c>
      <c r="G981" s="3">
        <f>IF('ORDENES'!$A959="","",IF('ORDENES'!$AC959="","-",'ORDENES'!$AC959))</f>
        <v/>
      </c>
      <c r="H981" s="3">
        <f>IF('ORDENES'!$A959="","",IF('ORDENES'!$AO959="","-",'ORDENES'!$AO959))</f>
        <v/>
      </c>
      <c r="I981" s="3">
        <f>IF('ORDENES'!$A959="","",IF('ORDENES'!$D959="","-",'ORDENES'!$D959))</f>
        <v/>
      </c>
      <c r="J981" s="3">
        <f>IF('ORDENES'!$A959="","",IF('ORDENES'!$E959="","-",'ORDENES'!$E959))</f>
        <v/>
      </c>
      <c r="K981" s="12">
        <f>IF('ORDENES'!$A959="","",IF('ORDENES'!$N959="",0,'ORDENES'!$N959))</f>
        <v/>
      </c>
      <c r="L981" s="3">
        <f>IF('ORDENES'!$A959="","",IF('ORDENES'!$O959="","-",'ORDENES'!$O959))</f>
        <v/>
      </c>
      <c r="M981" s="3">
        <f>IF('ORDENES'!$A959="","",'ORDENES'!$AB959)</f>
        <v/>
      </c>
    </row>
    <row r="982">
      <c r="A982" s="3">
        <f>IF('ORDENES'!$A960="","",IF('ORDENES'!$P960="","-",'ORDENES'!$P960))</f>
        <v/>
      </c>
      <c r="B982" s="3">
        <f>IF('ORDENES'!$A960="","",IF('ORDENES'!$S960="","-",'ORDENES'!$S960))</f>
        <v/>
      </c>
      <c r="C982" s="3">
        <f>IF('ORDENES'!$A960="","",IF('ORDENES'!$AD960="","-",'ORDENES'!$AD960))</f>
        <v/>
      </c>
      <c r="D982" s="3">
        <f>IF('ORDENES'!$A960="","",IF('ORDENES'!$W960="","-",'ORDENES'!$W960))</f>
        <v/>
      </c>
      <c r="E982" s="3">
        <f>IF('ORDENES'!$A960="","",IF('ORDENES'!$V960="","-",'ORDENES'!$V960))</f>
        <v/>
      </c>
      <c r="F982" s="3">
        <f>IF('ORDENES'!$A960="","",IF('ORDENES'!$X960="","-",'ORDENES'!$X960))</f>
        <v/>
      </c>
      <c r="G982" s="3">
        <f>IF('ORDENES'!$A960="","",IF('ORDENES'!$AC960="","-",'ORDENES'!$AC960))</f>
        <v/>
      </c>
      <c r="H982" s="3">
        <f>IF('ORDENES'!$A960="","",IF('ORDENES'!$AO960="","-",'ORDENES'!$AO960))</f>
        <v/>
      </c>
      <c r="I982" s="3">
        <f>IF('ORDENES'!$A960="","",IF('ORDENES'!$D960="","-",'ORDENES'!$D960))</f>
        <v/>
      </c>
      <c r="J982" s="3">
        <f>IF('ORDENES'!$A960="","",IF('ORDENES'!$E960="","-",'ORDENES'!$E960))</f>
        <v/>
      </c>
      <c r="K982" s="12">
        <f>IF('ORDENES'!$A960="","",IF('ORDENES'!$N960="",0,'ORDENES'!$N960))</f>
        <v/>
      </c>
      <c r="L982" s="3">
        <f>IF('ORDENES'!$A960="","",IF('ORDENES'!$O960="","-",'ORDENES'!$O960))</f>
        <v/>
      </c>
      <c r="M982" s="3">
        <f>IF('ORDENES'!$A960="","",'ORDENES'!$AB960)</f>
        <v/>
      </c>
    </row>
    <row r="983">
      <c r="A983" s="3">
        <f>IF('ORDENES'!$A961="","",IF('ORDENES'!$P961="","-",'ORDENES'!$P961))</f>
        <v/>
      </c>
      <c r="B983" s="3">
        <f>IF('ORDENES'!$A961="","",IF('ORDENES'!$S961="","-",'ORDENES'!$S961))</f>
        <v/>
      </c>
      <c r="C983" s="3">
        <f>IF('ORDENES'!$A961="","",IF('ORDENES'!$AD961="","-",'ORDENES'!$AD961))</f>
        <v/>
      </c>
      <c r="D983" s="3">
        <f>IF('ORDENES'!$A961="","",IF('ORDENES'!$W961="","-",'ORDENES'!$W961))</f>
        <v/>
      </c>
      <c r="E983" s="3">
        <f>IF('ORDENES'!$A961="","",IF('ORDENES'!$V961="","-",'ORDENES'!$V961))</f>
        <v/>
      </c>
      <c r="F983" s="3">
        <f>IF('ORDENES'!$A961="","",IF('ORDENES'!$X961="","-",'ORDENES'!$X961))</f>
        <v/>
      </c>
      <c r="G983" s="3">
        <f>IF('ORDENES'!$A961="","",IF('ORDENES'!$AC961="","-",'ORDENES'!$AC961))</f>
        <v/>
      </c>
      <c r="H983" s="3">
        <f>IF('ORDENES'!$A961="","",IF('ORDENES'!$AO961="","-",'ORDENES'!$AO961))</f>
        <v/>
      </c>
      <c r="I983" s="3">
        <f>IF('ORDENES'!$A961="","",IF('ORDENES'!$D961="","-",'ORDENES'!$D961))</f>
        <v/>
      </c>
      <c r="J983" s="3">
        <f>IF('ORDENES'!$A961="","",IF('ORDENES'!$E961="","-",'ORDENES'!$E961))</f>
        <v/>
      </c>
      <c r="K983" s="12">
        <f>IF('ORDENES'!$A961="","",IF('ORDENES'!$N961="",0,'ORDENES'!$N961))</f>
        <v/>
      </c>
      <c r="L983" s="3">
        <f>IF('ORDENES'!$A961="","",IF('ORDENES'!$O961="","-",'ORDENES'!$O961))</f>
        <v/>
      </c>
      <c r="M983" s="3">
        <f>IF('ORDENES'!$A961="","",'ORDENES'!$AB961)</f>
        <v/>
      </c>
    </row>
    <row r="984">
      <c r="A984" s="3">
        <f>IF('ORDENES'!$A962="","",IF('ORDENES'!$P962="","-",'ORDENES'!$P962))</f>
        <v/>
      </c>
      <c r="B984" s="3">
        <f>IF('ORDENES'!$A962="","",IF('ORDENES'!$S962="","-",'ORDENES'!$S962))</f>
        <v/>
      </c>
      <c r="C984" s="3">
        <f>IF('ORDENES'!$A962="","",IF('ORDENES'!$AD962="","-",'ORDENES'!$AD962))</f>
        <v/>
      </c>
      <c r="D984" s="3">
        <f>IF('ORDENES'!$A962="","",IF('ORDENES'!$W962="","-",'ORDENES'!$W962))</f>
        <v/>
      </c>
      <c r="E984" s="3">
        <f>IF('ORDENES'!$A962="","",IF('ORDENES'!$V962="","-",'ORDENES'!$V962))</f>
        <v/>
      </c>
      <c r="F984" s="3">
        <f>IF('ORDENES'!$A962="","",IF('ORDENES'!$X962="","-",'ORDENES'!$X962))</f>
        <v/>
      </c>
      <c r="G984" s="3">
        <f>IF('ORDENES'!$A962="","",IF('ORDENES'!$AC962="","-",'ORDENES'!$AC962))</f>
        <v/>
      </c>
      <c r="H984" s="3">
        <f>IF('ORDENES'!$A962="","",IF('ORDENES'!$AO962="","-",'ORDENES'!$AO962))</f>
        <v/>
      </c>
      <c r="I984" s="3">
        <f>IF('ORDENES'!$A962="","",IF('ORDENES'!$D962="","-",'ORDENES'!$D962))</f>
        <v/>
      </c>
      <c r="J984" s="3">
        <f>IF('ORDENES'!$A962="","",IF('ORDENES'!$E962="","-",'ORDENES'!$E962))</f>
        <v/>
      </c>
      <c r="K984" s="12">
        <f>IF('ORDENES'!$A962="","",IF('ORDENES'!$N962="",0,'ORDENES'!$N962))</f>
        <v/>
      </c>
      <c r="L984" s="3">
        <f>IF('ORDENES'!$A962="","",IF('ORDENES'!$O962="","-",'ORDENES'!$O962))</f>
        <v/>
      </c>
      <c r="M984" s="3">
        <f>IF('ORDENES'!$A962="","",'ORDENES'!$AB962)</f>
        <v/>
      </c>
    </row>
    <row r="985">
      <c r="A985" s="3">
        <f>IF('ORDENES'!$A963="","",IF('ORDENES'!$P963="","-",'ORDENES'!$P963))</f>
        <v/>
      </c>
      <c r="B985" s="3">
        <f>IF('ORDENES'!$A963="","",IF('ORDENES'!$S963="","-",'ORDENES'!$S963))</f>
        <v/>
      </c>
      <c r="C985" s="3">
        <f>IF('ORDENES'!$A963="","",IF('ORDENES'!$AD963="","-",'ORDENES'!$AD963))</f>
        <v/>
      </c>
      <c r="D985" s="3">
        <f>IF('ORDENES'!$A963="","",IF('ORDENES'!$W963="","-",'ORDENES'!$W963))</f>
        <v/>
      </c>
      <c r="E985" s="3">
        <f>IF('ORDENES'!$A963="","",IF('ORDENES'!$V963="","-",'ORDENES'!$V963))</f>
        <v/>
      </c>
      <c r="F985" s="3">
        <f>IF('ORDENES'!$A963="","",IF('ORDENES'!$X963="","-",'ORDENES'!$X963))</f>
        <v/>
      </c>
      <c r="G985" s="3">
        <f>IF('ORDENES'!$A963="","",IF('ORDENES'!$AC963="","-",'ORDENES'!$AC963))</f>
        <v/>
      </c>
      <c r="H985" s="3">
        <f>IF('ORDENES'!$A963="","",IF('ORDENES'!$AO963="","-",'ORDENES'!$AO963))</f>
        <v/>
      </c>
      <c r="I985" s="3">
        <f>IF('ORDENES'!$A963="","",IF('ORDENES'!$D963="","-",'ORDENES'!$D963))</f>
        <v/>
      </c>
      <c r="J985" s="3">
        <f>IF('ORDENES'!$A963="","",IF('ORDENES'!$E963="","-",'ORDENES'!$E963))</f>
        <v/>
      </c>
      <c r="K985" s="12">
        <f>IF('ORDENES'!$A963="","",IF('ORDENES'!$N963="",0,'ORDENES'!$N963))</f>
        <v/>
      </c>
      <c r="L985" s="3">
        <f>IF('ORDENES'!$A963="","",IF('ORDENES'!$O963="","-",'ORDENES'!$O963))</f>
        <v/>
      </c>
      <c r="M985" s="3">
        <f>IF('ORDENES'!$A963="","",'ORDENES'!$AB963)</f>
        <v/>
      </c>
    </row>
    <row r="986">
      <c r="A986" s="3">
        <f>IF('ORDENES'!$A964="","",IF('ORDENES'!$P964="","-",'ORDENES'!$P964))</f>
        <v/>
      </c>
      <c r="B986" s="3">
        <f>IF('ORDENES'!$A964="","",IF('ORDENES'!$S964="","-",'ORDENES'!$S964))</f>
        <v/>
      </c>
      <c r="C986" s="3">
        <f>IF('ORDENES'!$A964="","",IF('ORDENES'!$AD964="","-",'ORDENES'!$AD964))</f>
        <v/>
      </c>
      <c r="D986" s="3">
        <f>IF('ORDENES'!$A964="","",IF('ORDENES'!$W964="","-",'ORDENES'!$W964))</f>
        <v/>
      </c>
      <c r="E986" s="3">
        <f>IF('ORDENES'!$A964="","",IF('ORDENES'!$V964="","-",'ORDENES'!$V964))</f>
        <v/>
      </c>
      <c r="F986" s="3">
        <f>IF('ORDENES'!$A964="","",IF('ORDENES'!$X964="","-",'ORDENES'!$X964))</f>
        <v/>
      </c>
      <c r="G986" s="3">
        <f>IF('ORDENES'!$A964="","",IF('ORDENES'!$AC964="","-",'ORDENES'!$AC964))</f>
        <v/>
      </c>
      <c r="H986" s="3">
        <f>IF('ORDENES'!$A964="","",IF('ORDENES'!$AO964="","-",'ORDENES'!$AO964))</f>
        <v/>
      </c>
      <c r="I986" s="3">
        <f>IF('ORDENES'!$A964="","",IF('ORDENES'!$D964="","-",'ORDENES'!$D964))</f>
        <v/>
      </c>
      <c r="J986" s="3">
        <f>IF('ORDENES'!$A964="","",IF('ORDENES'!$E964="","-",'ORDENES'!$E964))</f>
        <v/>
      </c>
      <c r="K986" s="12">
        <f>IF('ORDENES'!$A964="","",IF('ORDENES'!$N964="",0,'ORDENES'!$N964))</f>
        <v/>
      </c>
      <c r="L986" s="3">
        <f>IF('ORDENES'!$A964="","",IF('ORDENES'!$O964="","-",'ORDENES'!$O964))</f>
        <v/>
      </c>
      <c r="M986" s="3">
        <f>IF('ORDENES'!$A964="","",'ORDENES'!$AB964)</f>
        <v/>
      </c>
    </row>
    <row r="987">
      <c r="A987" s="3">
        <f>IF('ORDENES'!$A965="","",IF('ORDENES'!$P965="","-",'ORDENES'!$P965))</f>
        <v/>
      </c>
      <c r="B987" s="3">
        <f>IF('ORDENES'!$A965="","",IF('ORDENES'!$S965="","-",'ORDENES'!$S965))</f>
        <v/>
      </c>
      <c r="C987" s="3">
        <f>IF('ORDENES'!$A965="","",IF('ORDENES'!$AD965="","-",'ORDENES'!$AD965))</f>
        <v/>
      </c>
      <c r="D987" s="3">
        <f>IF('ORDENES'!$A965="","",IF('ORDENES'!$W965="","-",'ORDENES'!$W965))</f>
        <v/>
      </c>
      <c r="E987" s="3">
        <f>IF('ORDENES'!$A965="","",IF('ORDENES'!$V965="","-",'ORDENES'!$V965))</f>
        <v/>
      </c>
      <c r="F987" s="3">
        <f>IF('ORDENES'!$A965="","",IF('ORDENES'!$X965="","-",'ORDENES'!$X965))</f>
        <v/>
      </c>
      <c r="G987" s="3">
        <f>IF('ORDENES'!$A965="","",IF('ORDENES'!$AC965="","-",'ORDENES'!$AC965))</f>
        <v/>
      </c>
      <c r="H987" s="3">
        <f>IF('ORDENES'!$A965="","",IF('ORDENES'!$AO965="","-",'ORDENES'!$AO965))</f>
        <v/>
      </c>
      <c r="I987" s="3">
        <f>IF('ORDENES'!$A965="","",IF('ORDENES'!$D965="","-",'ORDENES'!$D965))</f>
        <v/>
      </c>
      <c r="J987" s="3">
        <f>IF('ORDENES'!$A965="","",IF('ORDENES'!$E965="","-",'ORDENES'!$E965))</f>
        <v/>
      </c>
      <c r="K987" s="12">
        <f>IF('ORDENES'!$A965="","",IF('ORDENES'!$N965="",0,'ORDENES'!$N965))</f>
        <v/>
      </c>
      <c r="L987" s="3">
        <f>IF('ORDENES'!$A965="","",IF('ORDENES'!$O965="","-",'ORDENES'!$O965))</f>
        <v/>
      </c>
      <c r="M987" s="3">
        <f>IF('ORDENES'!$A965="","",'ORDENES'!$AB965)</f>
        <v/>
      </c>
    </row>
    <row r="988">
      <c r="A988" s="3">
        <f>IF('ORDENES'!$A966="","",IF('ORDENES'!$P966="","-",'ORDENES'!$P966))</f>
        <v/>
      </c>
      <c r="B988" s="3">
        <f>IF('ORDENES'!$A966="","",IF('ORDENES'!$S966="","-",'ORDENES'!$S966))</f>
        <v/>
      </c>
      <c r="C988" s="3">
        <f>IF('ORDENES'!$A966="","",IF('ORDENES'!$AD966="","-",'ORDENES'!$AD966))</f>
        <v/>
      </c>
      <c r="D988" s="3">
        <f>IF('ORDENES'!$A966="","",IF('ORDENES'!$W966="","-",'ORDENES'!$W966))</f>
        <v/>
      </c>
      <c r="E988" s="3">
        <f>IF('ORDENES'!$A966="","",IF('ORDENES'!$V966="","-",'ORDENES'!$V966))</f>
        <v/>
      </c>
      <c r="F988" s="3">
        <f>IF('ORDENES'!$A966="","",IF('ORDENES'!$X966="","-",'ORDENES'!$X966))</f>
        <v/>
      </c>
      <c r="G988" s="3">
        <f>IF('ORDENES'!$A966="","",IF('ORDENES'!$AC966="","-",'ORDENES'!$AC966))</f>
        <v/>
      </c>
      <c r="H988" s="3">
        <f>IF('ORDENES'!$A966="","",IF('ORDENES'!$AO966="","-",'ORDENES'!$AO966))</f>
        <v/>
      </c>
      <c r="I988" s="3">
        <f>IF('ORDENES'!$A966="","",IF('ORDENES'!$D966="","-",'ORDENES'!$D966))</f>
        <v/>
      </c>
      <c r="J988" s="3">
        <f>IF('ORDENES'!$A966="","",IF('ORDENES'!$E966="","-",'ORDENES'!$E966))</f>
        <v/>
      </c>
      <c r="K988" s="12">
        <f>IF('ORDENES'!$A966="","",IF('ORDENES'!$N966="",0,'ORDENES'!$N966))</f>
        <v/>
      </c>
      <c r="L988" s="3">
        <f>IF('ORDENES'!$A966="","",IF('ORDENES'!$O966="","-",'ORDENES'!$O966))</f>
        <v/>
      </c>
      <c r="M988" s="3">
        <f>IF('ORDENES'!$A966="","",'ORDENES'!$AB966)</f>
        <v/>
      </c>
    </row>
    <row r="989">
      <c r="A989" s="3">
        <f>IF('ORDENES'!$A967="","",IF('ORDENES'!$P967="","-",'ORDENES'!$P967))</f>
        <v/>
      </c>
      <c r="B989" s="3">
        <f>IF('ORDENES'!$A967="","",IF('ORDENES'!$S967="","-",'ORDENES'!$S967))</f>
        <v/>
      </c>
      <c r="C989" s="3">
        <f>IF('ORDENES'!$A967="","",IF('ORDENES'!$AD967="","-",'ORDENES'!$AD967))</f>
        <v/>
      </c>
      <c r="D989" s="3">
        <f>IF('ORDENES'!$A967="","",IF('ORDENES'!$W967="","-",'ORDENES'!$W967))</f>
        <v/>
      </c>
      <c r="E989" s="3">
        <f>IF('ORDENES'!$A967="","",IF('ORDENES'!$V967="","-",'ORDENES'!$V967))</f>
        <v/>
      </c>
      <c r="F989" s="3">
        <f>IF('ORDENES'!$A967="","",IF('ORDENES'!$X967="","-",'ORDENES'!$X967))</f>
        <v/>
      </c>
      <c r="G989" s="3">
        <f>IF('ORDENES'!$A967="","",IF('ORDENES'!$AC967="","-",'ORDENES'!$AC967))</f>
        <v/>
      </c>
      <c r="H989" s="3">
        <f>IF('ORDENES'!$A967="","",IF('ORDENES'!$AO967="","-",'ORDENES'!$AO967))</f>
        <v/>
      </c>
      <c r="I989" s="3">
        <f>IF('ORDENES'!$A967="","",IF('ORDENES'!$D967="","-",'ORDENES'!$D967))</f>
        <v/>
      </c>
      <c r="J989" s="3">
        <f>IF('ORDENES'!$A967="","",IF('ORDENES'!$E967="","-",'ORDENES'!$E967))</f>
        <v/>
      </c>
      <c r="K989" s="12">
        <f>IF('ORDENES'!$A967="","",IF('ORDENES'!$N967="",0,'ORDENES'!$N967))</f>
        <v/>
      </c>
      <c r="L989" s="3">
        <f>IF('ORDENES'!$A967="","",IF('ORDENES'!$O967="","-",'ORDENES'!$O967))</f>
        <v/>
      </c>
      <c r="M989" s="3">
        <f>IF('ORDENES'!$A967="","",'ORDENES'!$AB967)</f>
        <v/>
      </c>
    </row>
    <row r="990">
      <c r="A990" s="3">
        <f>IF('ORDENES'!$A968="","",IF('ORDENES'!$P968="","-",'ORDENES'!$P968))</f>
        <v/>
      </c>
      <c r="B990" s="3">
        <f>IF('ORDENES'!$A968="","",IF('ORDENES'!$S968="","-",'ORDENES'!$S968))</f>
        <v/>
      </c>
      <c r="C990" s="3">
        <f>IF('ORDENES'!$A968="","",IF('ORDENES'!$AD968="","-",'ORDENES'!$AD968))</f>
        <v/>
      </c>
      <c r="D990" s="3">
        <f>IF('ORDENES'!$A968="","",IF('ORDENES'!$W968="","-",'ORDENES'!$W968))</f>
        <v/>
      </c>
      <c r="E990" s="3">
        <f>IF('ORDENES'!$A968="","",IF('ORDENES'!$V968="","-",'ORDENES'!$V968))</f>
        <v/>
      </c>
      <c r="F990" s="3">
        <f>IF('ORDENES'!$A968="","",IF('ORDENES'!$X968="","-",'ORDENES'!$X968))</f>
        <v/>
      </c>
      <c r="G990" s="3">
        <f>IF('ORDENES'!$A968="","",IF('ORDENES'!$AC968="","-",'ORDENES'!$AC968))</f>
        <v/>
      </c>
      <c r="H990" s="3">
        <f>IF('ORDENES'!$A968="","",IF('ORDENES'!$AO968="","-",'ORDENES'!$AO968))</f>
        <v/>
      </c>
      <c r="I990" s="3">
        <f>IF('ORDENES'!$A968="","",IF('ORDENES'!$D968="","-",'ORDENES'!$D968))</f>
        <v/>
      </c>
      <c r="J990" s="3">
        <f>IF('ORDENES'!$A968="","",IF('ORDENES'!$E968="","-",'ORDENES'!$E968))</f>
        <v/>
      </c>
      <c r="K990" s="12">
        <f>IF('ORDENES'!$A968="","",IF('ORDENES'!$N968="",0,'ORDENES'!$N968))</f>
        <v/>
      </c>
      <c r="L990" s="3">
        <f>IF('ORDENES'!$A968="","",IF('ORDENES'!$O968="","-",'ORDENES'!$O968))</f>
        <v/>
      </c>
      <c r="M990" s="3">
        <f>IF('ORDENES'!$A968="","",'ORDENES'!$AB968)</f>
        <v/>
      </c>
    </row>
    <row r="991">
      <c r="A991" s="3">
        <f>IF('ORDENES'!$A969="","",IF('ORDENES'!$P969="","-",'ORDENES'!$P969))</f>
        <v/>
      </c>
      <c r="B991" s="3">
        <f>IF('ORDENES'!$A969="","",IF('ORDENES'!$S969="","-",'ORDENES'!$S969))</f>
        <v/>
      </c>
      <c r="C991" s="3">
        <f>IF('ORDENES'!$A969="","",IF('ORDENES'!$AD969="","-",'ORDENES'!$AD969))</f>
        <v/>
      </c>
      <c r="D991" s="3">
        <f>IF('ORDENES'!$A969="","",IF('ORDENES'!$W969="","-",'ORDENES'!$W969))</f>
        <v/>
      </c>
      <c r="E991" s="3">
        <f>IF('ORDENES'!$A969="","",IF('ORDENES'!$V969="","-",'ORDENES'!$V969))</f>
        <v/>
      </c>
      <c r="F991" s="3">
        <f>IF('ORDENES'!$A969="","",IF('ORDENES'!$X969="","-",'ORDENES'!$X969))</f>
        <v/>
      </c>
      <c r="G991" s="3">
        <f>IF('ORDENES'!$A969="","",IF('ORDENES'!$AC969="","-",'ORDENES'!$AC969))</f>
        <v/>
      </c>
      <c r="H991" s="3">
        <f>IF('ORDENES'!$A969="","",IF('ORDENES'!$AO969="","-",'ORDENES'!$AO969))</f>
        <v/>
      </c>
      <c r="I991" s="3">
        <f>IF('ORDENES'!$A969="","",IF('ORDENES'!$D969="","-",'ORDENES'!$D969))</f>
        <v/>
      </c>
      <c r="J991" s="3">
        <f>IF('ORDENES'!$A969="","",IF('ORDENES'!$E969="","-",'ORDENES'!$E969))</f>
        <v/>
      </c>
      <c r="K991" s="12">
        <f>IF('ORDENES'!$A969="","",IF('ORDENES'!$N969="",0,'ORDENES'!$N969))</f>
        <v/>
      </c>
      <c r="L991" s="3">
        <f>IF('ORDENES'!$A969="","",IF('ORDENES'!$O969="","-",'ORDENES'!$O969))</f>
        <v/>
      </c>
      <c r="M991" s="3">
        <f>IF('ORDENES'!$A969="","",'ORDENES'!$AB969)</f>
        <v/>
      </c>
    </row>
    <row r="992">
      <c r="A992" s="3">
        <f>IF('ORDENES'!$A970="","",IF('ORDENES'!$P970="","-",'ORDENES'!$P970))</f>
        <v/>
      </c>
      <c r="B992" s="3">
        <f>IF('ORDENES'!$A970="","",IF('ORDENES'!$S970="","-",'ORDENES'!$S970))</f>
        <v/>
      </c>
      <c r="C992" s="3">
        <f>IF('ORDENES'!$A970="","",IF('ORDENES'!$AD970="","-",'ORDENES'!$AD970))</f>
        <v/>
      </c>
      <c r="D992" s="3">
        <f>IF('ORDENES'!$A970="","",IF('ORDENES'!$W970="","-",'ORDENES'!$W970))</f>
        <v/>
      </c>
      <c r="E992" s="3">
        <f>IF('ORDENES'!$A970="","",IF('ORDENES'!$V970="","-",'ORDENES'!$V970))</f>
        <v/>
      </c>
      <c r="F992" s="3">
        <f>IF('ORDENES'!$A970="","",IF('ORDENES'!$X970="","-",'ORDENES'!$X970))</f>
        <v/>
      </c>
      <c r="G992" s="3">
        <f>IF('ORDENES'!$A970="","",IF('ORDENES'!$AC970="","-",'ORDENES'!$AC970))</f>
        <v/>
      </c>
      <c r="H992" s="3">
        <f>IF('ORDENES'!$A970="","",IF('ORDENES'!$AO970="","-",'ORDENES'!$AO970))</f>
        <v/>
      </c>
      <c r="I992" s="3">
        <f>IF('ORDENES'!$A970="","",IF('ORDENES'!$D970="","-",'ORDENES'!$D970))</f>
        <v/>
      </c>
      <c r="J992" s="3">
        <f>IF('ORDENES'!$A970="","",IF('ORDENES'!$E970="","-",'ORDENES'!$E970))</f>
        <v/>
      </c>
      <c r="K992" s="12">
        <f>IF('ORDENES'!$A970="","",IF('ORDENES'!$N970="",0,'ORDENES'!$N970))</f>
        <v/>
      </c>
      <c r="L992" s="3">
        <f>IF('ORDENES'!$A970="","",IF('ORDENES'!$O970="","-",'ORDENES'!$O970))</f>
        <v/>
      </c>
      <c r="M992" s="3">
        <f>IF('ORDENES'!$A970="","",'ORDENES'!$AB970)</f>
        <v/>
      </c>
    </row>
    <row r="993">
      <c r="A993" s="3">
        <f>IF('ORDENES'!$A971="","",IF('ORDENES'!$P971="","-",'ORDENES'!$P971))</f>
        <v/>
      </c>
      <c r="B993" s="3">
        <f>IF('ORDENES'!$A971="","",IF('ORDENES'!$S971="","-",'ORDENES'!$S971))</f>
        <v/>
      </c>
      <c r="C993" s="3">
        <f>IF('ORDENES'!$A971="","",IF('ORDENES'!$AD971="","-",'ORDENES'!$AD971))</f>
        <v/>
      </c>
      <c r="D993" s="3">
        <f>IF('ORDENES'!$A971="","",IF('ORDENES'!$W971="","-",'ORDENES'!$W971))</f>
        <v/>
      </c>
      <c r="E993" s="3">
        <f>IF('ORDENES'!$A971="","",IF('ORDENES'!$V971="","-",'ORDENES'!$V971))</f>
        <v/>
      </c>
      <c r="F993" s="3">
        <f>IF('ORDENES'!$A971="","",IF('ORDENES'!$X971="","-",'ORDENES'!$X971))</f>
        <v/>
      </c>
      <c r="G993" s="3">
        <f>IF('ORDENES'!$A971="","",IF('ORDENES'!$AC971="","-",'ORDENES'!$AC971))</f>
        <v/>
      </c>
      <c r="H993" s="3">
        <f>IF('ORDENES'!$A971="","",IF('ORDENES'!$AO971="","-",'ORDENES'!$AO971))</f>
        <v/>
      </c>
      <c r="I993" s="3">
        <f>IF('ORDENES'!$A971="","",IF('ORDENES'!$D971="","-",'ORDENES'!$D971))</f>
        <v/>
      </c>
      <c r="J993" s="3">
        <f>IF('ORDENES'!$A971="","",IF('ORDENES'!$E971="","-",'ORDENES'!$E971))</f>
        <v/>
      </c>
      <c r="K993" s="12">
        <f>IF('ORDENES'!$A971="","",IF('ORDENES'!$N971="",0,'ORDENES'!$N971))</f>
        <v/>
      </c>
      <c r="L993" s="3">
        <f>IF('ORDENES'!$A971="","",IF('ORDENES'!$O971="","-",'ORDENES'!$O971))</f>
        <v/>
      </c>
      <c r="M993" s="3">
        <f>IF('ORDENES'!$A971="","",'ORDENES'!$AB971)</f>
        <v/>
      </c>
    </row>
    <row r="994">
      <c r="A994" s="3">
        <f>IF('ORDENES'!$A972="","",IF('ORDENES'!$P972="","-",'ORDENES'!$P972))</f>
        <v/>
      </c>
      <c r="B994" s="3">
        <f>IF('ORDENES'!$A972="","",IF('ORDENES'!$S972="","-",'ORDENES'!$S972))</f>
        <v/>
      </c>
      <c r="C994" s="3">
        <f>IF('ORDENES'!$A972="","",IF('ORDENES'!$AD972="","-",'ORDENES'!$AD972))</f>
        <v/>
      </c>
      <c r="D994" s="3">
        <f>IF('ORDENES'!$A972="","",IF('ORDENES'!$W972="","-",'ORDENES'!$W972))</f>
        <v/>
      </c>
      <c r="E994" s="3">
        <f>IF('ORDENES'!$A972="","",IF('ORDENES'!$V972="","-",'ORDENES'!$V972))</f>
        <v/>
      </c>
      <c r="F994" s="3">
        <f>IF('ORDENES'!$A972="","",IF('ORDENES'!$X972="","-",'ORDENES'!$X972))</f>
        <v/>
      </c>
      <c r="G994" s="3">
        <f>IF('ORDENES'!$A972="","",IF('ORDENES'!$AC972="","-",'ORDENES'!$AC972))</f>
        <v/>
      </c>
      <c r="H994" s="3">
        <f>IF('ORDENES'!$A972="","",IF('ORDENES'!$AO972="","-",'ORDENES'!$AO972))</f>
        <v/>
      </c>
      <c r="I994" s="3">
        <f>IF('ORDENES'!$A972="","",IF('ORDENES'!$D972="","-",'ORDENES'!$D972))</f>
        <v/>
      </c>
      <c r="J994" s="3">
        <f>IF('ORDENES'!$A972="","",IF('ORDENES'!$E972="","-",'ORDENES'!$E972))</f>
        <v/>
      </c>
      <c r="K994" s="12">
        <f>IF('ORDENES'!$A972="","",IF('ORDENES'!$N972="",0,'ORDENES'!$N972))</f>
        <v/>
      </c>
      <c r="L994" s="3">
        <f>IF('ORDENES'!$A972="","",IF('ORDENES'!$O972="","-",'ORDENES'!$O972))</f>
        <v/>
      </c>
      <c r="M994" s="3">
        <f>IF('ORDENES'!$A972="","",'ORDENES'!$AB972)</f>
        <v/>
      </c>
    </row>
    <row r="995">
      <c r="A995" s="3">
        <f>IF('ORDENES'!$A973="","",IF('ORDENES'!$P973="","-",'ORDENES'!$P973))</f>
        <v/>
      </c>
      <c r="B995" s="3">
        <f>IF('ORDENES'!$A973="","",IF('ORDENES'!$S973="","-",'ORDENES'!$S973))</f>
        <v/>
      </c>
      <c r="C995" s="3">
        <f>IF('ORDENES'!$A973="","",IF('ORDENES'!$AD973="","-",'ORDENES'!$AD973))</f>
        <v/>
      </c>
      <c r="D995" s="3">
        <f>IF('ORDENES'!$A973="","",IF('ORDENES'!$W973="","-",'ORDENES'!$W973))</f>
        <v/>
      </c>
      <c r="E995" s="3">
        <f>IF('ORDENES'!$A973="","",IF('ORDENES'!$V973="","-",'ORDENES'!$V973))</f>
        <v/>
      </c>
      <c r="F995" s="3">
        <f>IF('ORDENES'!$A973="","",IF('ORDENES'!$X973="","-",'ORDENES'!$X973))</f>
        <v/>
      </c>
      <c r="G995" s="3">
        <f>IF('ORDENES'!$A973="","",IF('ORDENES'!$AC973="","-",'ORDENES'!$AC973))</f>
        <v/>
      </c>
      <c r="H995" s="3">
        <f>IF('ORDENES'!$A973="","",IF('ORDENES'!$AO973="","-",'ORDENES'!$AO973))</f>
        <v/>
      </c>
      <c r="I995" s="3">
        <f>IF('ORDENES'!$A973="","",IF('ORDENES'!$D973="","-",'ORDENES'!$D973))</f>
        <v/>
      </c>
      <c r="J995" s="3">
        <f>IF('ORDENES'!$A973="","",IF('ORDENES'!$E973="","-",'ORDENES'!$E973))</f>
        <v/>
      </c>
      <c r="K995" s="12">
        <f>IF('ORDENES'!$A973="","",IF('ORDENES'!$N973="",0,'ORDENES'!$N973))</f>
        <v/>
      </c>
      <c r="L995" s="3">
        <f>IF('ORDENES'!$A973="","",IF('ORDENES'!$O973="","-",'ORDENES'!$O973))</f>
        <v/>
      </c>
      <c r="M995" s="3">
        <f>IF('ORDENES'!$A973="","",'ORDENES'!$AB973)</f>
        <v/>
      </c>
    </row>
    <row r="996">
      <c r="A996" s="3">
        <f>IF('ORDENES'!$A974="","",IF('ORDENES'!$P974="","-",'ORDENES'!$P974))</f>
        <v/>
      </c>
      <c r="B996" s="3">
        <f>IF('ORDENES'!$A974="","",IF('ORDENES'!$S974="","-",'ORDENES'!$S974))</f>
        <v/>
      </c>
      <c r="C996" s="3">
        <f>IF('ORDENES'!$A974="","",IF('ORDENES'!$AD974="","-",'ORDENES'!$AD974))</f>
        <v/>
      </c>
      <c r="D996" s="3">
        <f>IF('ORDENES'!$A974="","",IF('ORDENES'!$W974="","-",'ORDENES'!$W974))</f>
        <v/>
      </c>
      <c r="E996" s="3">
        <f>IF('ORDENES'!$A974="","",IF('ORDENES'!$V974="","-",'ORDENES'!$V974))</f>
        <v/>
      </c>
      <c r="F996" s="3">
        <f>IF('ORDENES'!$A974="","",IF('ORDENES'!$X974="","-",'ORDENES'!$X974))</f>
        <v/>
      </c>
      <c r="G996" s="3">
        <f>IF('ORDENES'!$A974="","",IF('ORDENES'!$AC974="","-",'ORDENES'!$AC974))</f>
        <v/>
      </c>
      <c r="H996" s="3">
        <f>IF('ORDENES'!$A974="","",IF('ORDENES'!$AO974="","-",'ORDENES'!$AO974))</f>
        <v/>
      </c>
      <c r="I996" s="3">
        <f>IF('ORDENES'!$A974="","",IF('ORDENES'!$D974="","-",'ORDENES'!$D974))</f>
        <v/>
      </c>
      <c r="J996" s="3">
        <f>IF('ORDENES'!$A974="","",IF('ORDENES'!$E974="","-",'ORDENES'!$E974))</f>
        <v/>
      </c>
      <c r="K996" s="12">
        <f>IF('ORDENES'!$A974="","",IF('ORDENES'!$N974="",0,'ORDENES'!$N974))</f>
        <v/>
      </c>
      <c r="L996" s="3">
        <f>IF('ORDENES'!$A974="","",IF('ORDENES'!$O974="","-",'ORDENES'!$O974))</f>
        <v/>
      </c>
      <c r="M996" s="3">
        <f>IF('ORDENES'!$A974="","",'ORDENES'!$AB974)</f>
        <v/>
      </c>
    </row>
    <row r="997">
      <c r="A997" s="3">
        <f>IF('ORDENES'!$A975="","",IF('ORDENES'!$P975="","-",'ORDENES'!$P975))</f>
        <v/>
      </c>
      <c r="B997" s="3">
        <f>IF('ORDENES'!$A975="","",IF('ORDENES'!$S975="","-",'ORDENES'!$S975))</f>
        <v/>
      </c>
      <c r="C997" s="3">
        <f>IF('ORDENES'!$A975="","",IF('ORDENES'!$AD975="","-",'ORDENES'!$AD975))</f>
        <v/>
      </c>
      <c r="D997" s="3">
        <f>IF('ORDENES'!$A975="","",IF('ORDENES'!$W975="","-",'ORDENES'!$W975))</f>
        <v/>
      </c>
      <c r="E997" s="3">
        <f>IF('ORDENES'!$A975="","",IF('ORDENES'!$V975="","-",'ORDENES'!$V975))</f>
        <v/>
      </c>
      <c r="F997" s="3">
        <f>IF('ORDENES'!$A975="","",IF('ORDENES'!$X975="","-",'ORDENES'!$X975))</f>
        <v/>
      </c>
      <c r="G997" s="3">
        <f>IF('ORDENES'!$A975="","",IF('ORDENES'!$AC975="","-",'ORDENES'!$AC975))</f>
        <v/>
      </c>
      <c r="H997" s="3">
        <f>IF('ORDENES'!$A975="","",IF('ORDENES'!$AO975="","-",'ORDENES'!$AO975))</f>
        <v/>
      </c>
      <c r="I997" s="3">
        <f>IF('ORDENES'!$A975="","",IF('ORDENES'!$D975="","-",'ORDENES'!$D975))</f>
        <v/>
      </c>
      <c r="J997" s="3">
        <f>IF('ORDENES'!$A975="","",IF('ORDENES'!$E975="","-",'ORDENES'!$E975))</f>
        <v/>
      </c>
      <c r="K997" s="12">
        <f>IF('ORDENES'!$A975="","",IF('ORDENES'!$N975="",0,'ORDENES'!$N975))</f>
        <v/>
      </c>
      <c r="L997" s="3">
        <f>IF('ORDENES'!$A975="","",IF('ORDENES'!$O975="","-",'ORDENES'!$O975))</f>
        <v/>
      </c>
      <c r="M997" s="3">
        <f>IF('ORDENES'!$A975="","",'ORDENES'!$AB975)</f>
        <v/>
      </c>
    </row>
    <row r="998">
      <c r="A998" s="3">
        <f>IF('ORDENES'!$A976="","",IF('ORDENES'!$P976="","-",'ORDENES'!$P976))</f>
        <v/>
      </c>
      <c r="B998" s="3">
        <f>IF('ORDENES'!$A976="","",IF('ORDENES'!$S976="","-",'ORDENES'!$S976))</f>
        <v/>
      </c>
      <c r="C998" s="3">
        <f>IF('ORDENES'!$A976="","",IF('ORDENES'!$AD976="","-",'ORDENES'!$AD976))</f>
        <v/>
      </c>
      <c r="D998" s="3">
        <f>IF('ORDENES'!$A976="","",IF('ORDENES'!$W976="","-",'ORDENES'!$W976))</f>
        <v/>
      </c>
      <c r="E998" s="3">
        <f>IF('ORDENES'!$A976="","",IF('ORDENES'!$V976="","-",'ORDENES'!$V976))</f>
        <v/>
      </c>
      <c r="F998" s="3">
        <f>IF('ORDENES'!$A976="","",IF('ORDENES'!$X976="","-",'ORDENES'!$X976))</f>
        <v/>
      </c>
      <c r="G998" s="3">
        <f>IF('ORDENES'!$A976="","",IF('ORDENES'!$AC976="","-",'ORDENES'!$AC976))</f>
        <v/>
      </c>
      <c r="H998" s="3">
        <f>IF('ORDENES'!$A976="","",IF('ORDENES'!$AO976="","-",'ORDENES'!$AO976))</f>
        <v/>
      </c>
      <c r="I998" s="3">
        <f>IF('ORDENES'!$A976="","",IF('ORDENES'!$D976="","-",'ORDENES'!$D976))</f>
        <v/>
      </c>
      <c r="J998" s="3">
        <f>IF('ORDENES'!$A976="","",IF('ORDENES'!$E976="","-",'ORDENES'!$E976))</f>
        <v/>
      </c>
      <c r="K998" s="12">
        <f>IF('ORDENES'!$A976="","",IF('ORDENES'!$N976="",0,'ORDENES'!$N976))</f>
        <v/>
      </c>
      <c r="L998" s="3">
        <f>IF('ORDENES'!$A976="","",IF('ORDENES'!$O976="","-",'ORDENES'!$O976))</f>
        <v/>
      </c>
      <c r="M998" s="3">
        <f>IF('ORDENES'!$A976="","",'ORDENES'!$AB976)</f>
        <v/>
      </c>
    </row>
    <row r="999">
      <c r="A999" s="3">
        <f>IF('ORDENES'!$A977="","",IF('ORDENES'!$P977="","-",'ORDENES'!$P977))</f>
        <v/>
      </c>
      <c r="B999" s="3">
        <f>IF('ORDENES'!$A977="","",IF('ORDENES'!$S977="","-",'ORDENES'!$S977))</f>
        <v/>
      </c>
      <c r="C999" s="3">
        <f>IF('ORDENES'!$A977="","",IF('ORDENES'!$AD977="","-",'ORDENES'!$AD977))</f>
        <v/>
      </c>
      <c r="D999" s="3">
        <f>IF('ORDENES'!$A977="","",IF('ORDENES'!$W977="","-",'ORDENES'!$W977))</f>
        <v/>
      </c>
      <c r="E999" s="3">
        <f>IF('ORDENES'!$A977="","",IF('ORDENES'!$V977="","-",'ORDENES'!$V977))</f>
        <v/>
      </c>
      <c r="F999" s="3">
        <f>IF('ORDENES'!$A977="","",IF('ORDENES'!$X977="","-",'ORDENES'!$X977))</f>
        <v/>
      </c>
      <c r="G999" s="3">
        <f>IF('ORDENES'!$A977="","",IF('ORDENES'!$AC977="","-",'ORDENES'!$AC977))</f>
        <v/>
      </c>
      <c r="H999" s="3">
        <f>IF('ORDENES'!$A977="","",IF('ORDENES'!$AO977="","-",'ORDENES'!$AO977))</f>
        <v/>
      </c>
      <c r="I999" s="3">
        <f>IF('ORDENES'!$A977="","",IF('ORDENES'!$D977="","-",'ORDENES'!$D977))</f>
        <v/>
      </c>
      <c r="J999" s="3">
        <f>IF('ORDENES'!$A977="","",IF('ORDENES'!$E977="","-",'ORDENES'!$E977))</f>
        <v/>
      </c>
      <c r="K999" s="12">
        <f>IF('ORDENES'!$A977="","",IF('ORDENES'!$N977="",0,'ORDENES'!$N977))</f>
        <v/>
      </c>
      <c r="L999" s="3">
        <f>IF('ORDENES'!$A977="","",IF('ORDENES'!$O977="","-",'ORDENES'!$O977))</f>
        <v/>
      </c>
      <c r="M999" s="3">
        <f>IF('ORDENES'!$A977="","",'ORDENES'!$AB977)</f>
        <v/>
      </c>
    </row>
    <row r="1000">
      <c r="A1000" s="3">
        <f>IF('ORDENES'!$A978="","",IF('ORDENES'!$P978="","-",'ORDENES'!$P978))</f>
        <v/>
      </c>
      <c r="B1000" s="3">
        <f>IF('ORDENES'!$A978="","",IF('ORDENES'!$S978="","-",'ORDENES'!$S978))</f>
        <v/>
      </c>
      <c r="C1000" s="3">
        <f>IF('ORDENES'!$A978="","",IF('ORDENES'!$AD978="","-",'ORDENES'!$AD978))</f>
        <v/>
      </c>
      <c r="D1000" s="3">
        <f>IF('ORDENES'!$A978="","",IF('ORDENES'!$W978="","-",'ORDENES'!$W978))</f>
        <v/>
      </c>
      <c r="E1000" s="3">
        <f>IF('ORDENES'!$A978="","",IF('ORDENES'!$V978="","-",'ORDENES'!$V978))</f>
        <v/>
      </c>
      <c r="F1000" s="3">
        <f>IF('ORDENES'!$A978="","",IF('ORDENES'!$X978="","-",'ORDENES'!$X978))</f>
        <v/>
      </c>
      <c r="G1000" s="3">
        <f>IF('ORDENES'!$A978="","",IF('ORDENES'!$AC978="","-",'ORDENES'!$AC978))</f>
        <v/>
      </c>
      <c r="H1000" s="3">
        <f>IF('ORDENES'!$A978="","",IF('ORDENES'!$AO978="","-",'ORDENES'!$AO978))</f>
        <v/>
      </c>
      <c r="I1000" s="3">
        <f>IF('ORDENES'!$A978="","",IF('ORDENES'!$D978="","-",'ORDENES'!$D978))</f>
        <v/>
      </c>
      <c r="J1000" s="3">
        <f>IF('ORDENES'!$A978="","",IF('ORDENES'!$E978="","-",'ORDENES'!$E978))</f>
        <v/>
      </c>
      <c r="K1000" s="12">
        <f>IF('ORDENES'!$A978="","",IF('ORDENES'!$N978="",0,'ORDENES'!$N978))</f>
        <v/>
      </c>
      <c r="L1000" s="3">
        <f>IF('ORDENES'!$A978="","",IF('ORDENES'!$O978="","-",'ORDENES'!$O978))</f>
        <v/>
      </c>
      <c r="M1000" s="3">
        <f>IF('ORDENES'!$A978="","",'ORDENES'!$AB978)</f>
        <v/>
      </c>
    </row>
    <row r="1001">
      <c r="A1001" s="3">
        <f>IF('ORDENES'!$A979="","",IF('ORDENES'!$P979="","-",'ORDENES'!$P979))</f>
        <v/>
      </c>
      <c r="B1001" s="3">
        <f>IF('ORDENES'!$A979="","",IF('ORDENES'!$S979="","-",'ORDENES'!$S979))</f>
        <v/>
      </c>
      <c r="C1001" s="3">
        <f>IF('ORDENES'!$A979="","",IF('ORDENES'!$AD979="","-",'ORDENES'!$AD979))</f>
        <v/>
      </c>
      <c r="D1001" s="3">
        <f>IF('ORDENES'!$A979="","",IF('ORDENES'!$W979="","-",'ORDENES'!$W979))</f>
        <v/>
      </c>
      <c r="E1001" s="3">
        <f>IF('ORDENES'!$A979="","",IF('ORDENES'!$V979="","-",'ORDENES'!$V979))</f>
        <v/>
      </c>
      <c r="F1001" s="3">
        <f>IF('ORDENES'!$A979="","",IF('ORDENES'!$X979="","-",'ORDENES'!$X979))</f>
        <v/>
      </c>
      <c r="G1001" s="3">
        <f>IF('ORDENES'!$A979="","",IF('ORDENES'!$AC979="","-",'ORDENES'!$AC979))</f>
        <v/>
      </c>
      <c r="H1001" s="3">
        <f>IF('ORDENES'!$A979="","",IF('ORDENES'!$AO979="","-",'ORDENES'!$AO979))</f>
        <v/>
      </c>
      <c r="I1001" s="3">
        <f>IF('ORDENES'!$A979="","",IF('ORDENES'!$D979="","-",'ORDENES'!$D979))</f>
        <v/>
      </c>
      <c r="J1001" s="3">
        <f>IF('ORDENES'!$A979="","",IF('ORDENES'!$E979="","-",'ORDENES'!$E979))</f>
        <v/>
      </c>
      <c r="K1001" s="12">
        <f>IF('ORDENES'!$A979="","",IF('ORDENES'!$N979="",0,'ORDENES'!$N979))</f>
        <v/>
      </c>
      <c r="L1001" s="3">
        <f>IF('ORDENES'!$A979="","",IF('ORDENES'!$O979="","-",'ORDENES'!$O979))</f>
        <v/>
      </c>
      <c r="M1001" s="3">
        <f>IF('ORDENES'!$A979="","",'ORDENES'!$AB979)</f>
        <v/>
      </c>
    </row>
    <row r="1002">
      <c r="A1002" s="3">
        <f>IF('ORDENES'!$A980="","",IF('ORDENES'!$P980="","-",'ORDENES'!$P980))</f>
        <v/>
      </c>
      <c r="B1002" s="3">
        <f>IF('ORDENES'!$A980="","",IF('ORDENES'!$S980="","-",'ORDENES'!$S980))</f>
        <v/>
      </c>
      <c r="C1002" s="3">
        <f>IF('ORDENES'!$A980="","",IF('ORDENES'!$AD980="","-",'ORDENES'!$AD980))</f>
        <v/>
      </c>
      <c r="D1002" s="3">
        <f>IF('ORDENES'!$A980="","",IF('ORDENES'!$W980="","-",'ORDENES'!$W980))</f>
        <v/>
      </c>
      <c r="E1002" s="3">
        <f>IF('ORDENES'!$A980="","",IF('ORDENES'!$V980="","-",'ORDENES'!$V980))</f>
        <v/>
      </c>
      <c r="F1002" s="3">
        <f>IF('ORDENES'!$A980="","",IF('ORDENES'!$X980="","-",'ORDENES'!$X980))</f>
        <v/>
      </c>
      <c r="G1002" s="3">
        <f>IF('ORDENES'!$A980="","",IF('ORDENES'!$AC980="","-",'ORDENES'!$AC980))</f>
        <v/>
      </c>
      <c r="H1002" s="3">
        <f>IF('ORDENES'!$A980="","",IF('ORDENES'!$AO980="","-",'ORDENES'!$AO980))</f>
        <v/>
      </c>
      <c r="I1002" s="3">
        <f>IF('ORDENES'!$A980="","",IF('ORDENES'!$D980="","-",'ORDENES'!$D980))</f>
        <v/>
      </c>
      <c r="J1002" s="3">
        <f>IF('ORDENES'!$A980="","",IF('ORDENES'!$E980="","-",'ORDENES'!$E980))</f>
        <v/>
      </c>
      <c r="K1002" s="12">
        <f>IF('ORDENES'!$A980="","",IF('ORDENES'!$N980="",0,'ORDENES'!$N980))</f>
        <v/>
      </c>
      <c r="L1002" s="3">
        <f>IF('ORDENES'!$A980="","",IF('ORDENES'!$O980="","-",'ORDENES'!$O980))</f>
        <v/>
      </c>
      <c r="M1002" s="3">
        <f>IF('ORDENES'!$A980="","",'ORDENES'!$AB980)</f>
        <v/>
      </c>
    </row>
    <row r="1003">
      <c r="A1003" s="3">
        <f>IF('ORDENES'!$A981="","",IF('ORDENES'!$P981="","-",'ORDENES'!$P981))</f>
        <v/>
      </c>
      <c r="B1003" s="3">
        <f>IF('ORDENES'!$A981="","",IF('ORDENES'!$S981="","-",'ORDENES'!$S981))</f>
        <v/>
      </c>
      <c r="C1003" s="3">
        <f>IF('ORDENES'!$A981="","",IF('ORDENES'!$AD981="","-",'ORDENES'!$AD981))</f>
        <v/>
      </c>
      <c r="D1003" s="3">
        <f>IF('ORDENES'!$A981="","",IF('ORDENES'!$W981="","-",'ORDENES'!$W981))</f>
        <v/>
      </c>
      <c r="E1003" s="3">
        <f>IF('ORDENES'!$A981="","",IF('ORDENES'!$V981="","-",'ORDENES'!$V981))</f>
        <v/>
      </c>
      <c r="F1003" s="3">
        <f>IF('ORDENES'!$A981="","",IF('ORDENES'!$X981="","-",'ORDENES'!$X981))</f>
        <v/>
      </c>
      <c r="G1003" s="3">
        <f>IF('ORDENES'!$A981="","",IF('ORDENES'!$AC981="","-",'ORDENES'!$AC981))</f>
        <v/>
      </c>
      <c r="H1003" s="3">
        <f>IF('ORDENES'!$A981="","",IF('ORDENES'!$AO981="","-",'ORDENES'!$AO981))</f>
        <v/>
      </c>
      <c r="I1003" s="3">
        <f>IF('ORDENES'!$A981="","",IF('ORDENES'!$D981="","-",'ORDENES'!$D981))</f>
        <v/>
      </c>
      <c r="J1003" s="3">
        <f>IF('ORDENES'!$A981="","",IF('ORDENES'!$E981="","-",'ORDENES'!$E981))</f>
        <v/>
      </c>
      <c r="K1003" s="12">
        <f>IF('ORDENES'!$A981="","",IF('ORDENES'!$N981="",0,'ORDENES'!$N981))</f>
        <v/>
      </c>
      <c r="L1003" s="3">
        <f>IF('ORDENES'!$A981="","",IF('ORDENES'!$O981="","-",'ORDENES'!$O981))</f>
        <v/>
      </c>
      <c r="M1003" s="3">
        <f>IF('ORDENES'!$A981="","",'ORDENES'!$AB981)</f>
        <v/>
      </c>
    </row>
    <row r="1004">
      <c r="A1004" s="3">
        <f>IF('ORDENES'!$A982="","",IF('ORDENES'!$P982="","-",'ORDENES'!$P982))</f>
        <v/>
      </c>
      <c r="B1004" s="3">
        <f>IF('ORDENES'!$A982="","",IF('ORDENES'!$S982="","-",'ORDENES'!$S982))</f>
        <v/>
      </c>
      <c r="C1004" s="3">
        <f>IF('ORDENES'!$A982="","",IF('ORDENES'!$AD982="","-",'ORDENES'!$AD982))</f>
        <v/>
      </c>
      <c r="D1004" s="3">
        <f>IF('ORDENES'!$A982="","",IF('ORDENES'!$W982="","-",'ORDENES'!$W982))</f>
        <v/>
      </c>
      <c r="E1004" s="3">
        <f>IF('ORDENES'!$A982="","",IF('ORDENES'!$V982="","-",'ORDENES'!$V982))</f>
        <v/>
      </c>
      <c r="F1004" s="3">
        <f>IF('ORDENES'!$A982="","",IF('ORDENES'!$X982="","-",'ORDENES'!$X982))</f>
        <v/>
      </c>
      <c r="G1004" s="3">
        <f>IF('ORDENES'!$A982="","",IF('ORDENES'!$AC982="","-",'ORDENES'!$AC982))</f>
        <v/>
      </c>
      <c r="H1004" s="3">
        <f>IF('ORDENES'!$A982="","",IF('ORDENES'!$AO982="","-",'ORDENES'!$AO982))</f>
        <v/>
      </c>
      <c r="I1004" s="3">
        <f>IF('ORDENES'!$A982="","",IF('ORDENES'!$D982="","-",'ORDENES'!$D982))</f>
        <v/>
      </c>
      <c r="J1004" s="3">
        <f>IF('ORDENES'!$A982="","",IF('ORDENES'!$E982="","-",'ORDENES'!$E982))</f>
        <v/>
      </c>
      <c r="K1004" s="12">
        <f>IF('ORDENES'!$A982="","",IF('ORDENES'!$N982="",0,'ORDENES'!$N982))</f>
        <v/>
      </c>
      <c r="L1004" s="3">
        <f>IF('ORDENES'!$A982="","",IF('ORDENES'!$O982="","-",'ORDENES'!$O982))</f>
        <v/>
      </c>
      <c r="M1004" s="3">
        <f>IF('ORDENES'!$A982="","",'ORDENES'!$AB982)</f>
        <v/>
      </c>
    </row>
    <row r="1005">
      <c r="A1005" s="3">
        <f>IF('ORDENES'!$A983="","",IF('ORDENES'!$P983="","-",'ORDENES'!$P983))</f>
        <v/>
      </c>
      <c r="B1005" s="3">
        <f>IF('ORDENES'!$A983="","",IF('ORDENES'!$S983="","-",'ORDENES'!$S983))</f>
        <v/>
      </c>
      <c r="C1005" s="3">
        <f>IF('ORDENES'!$A983="","",IF('ORDENES'!$AD983="","-",'ORDENES'!$AD983))</f>
        <v/>
      </c>
      <c r="D1005" s="3">
        <f>IF('ORDENES'!$A983="","",IF('ORDENES'!$W983="","-",'ORDENES'!$W983))</f>
        <v/>
      </c>
      <c r="E1005" s="3">
        <f>IF('ORDENES'!$A983="","",IF('ORDENES'!$V983="","-",'ORDENES'!$V983))</f>
        <v/>
      </c>
      <c r="F1005" s="3">
        <f>IF('ORDENES'!$A983="","",IF('ORDENES'!$X983="","-",'ORDENES'!$X983))</f>
        <v/>
      </c>
      <c r="G1005" s="3">
        <f>IF('ORDENES'!$A983="","",IF('ORDENES'!$AC983="","-",'ORDENES'!$AC983))</f>
        <v/>
      </c>
      <c r="H1005" s="3">
        <f>IF('ORDENES'!$A983="","",IF('ORDENES'!$AO983="","-",'ORDENES'!$AO983))</f>
        <v/>
      </c>
      <c r="I1005" s="3">
        <f>IF('ORDENES'!$A983="","",IF('ORDENES'!$D983="","-",'ORDENES'!$D983))</f>
        <v/>
      </c>
      <c r="J1005" s="3">
        <f>IF('ORDENES'!$A983="","",IF('ORDENES'!$E983="","-",'ORDENES'!$E983))</f>
        <v/>
      </c>
      <c r="K1005" s="12">
        <f>IF('ORDENES'!$A983="","",IF('ORDENES'!$N983="",0,'ORDENES'!$N983))</f>
        <v/>
      </c>
      <c r="L1005" s="3">
        <f>IF('ORDENES'!$A983="","",IF('ORDENES'!$O983="","-",'ORDENES'!$O983))</f>
        <v/>
      </c>
      <c r="M1005" s="3">
        <f>IF('ORDENES'!$A983="","",'ORDENES'!$AB983)</f>
        <v/>
      </c>
    </row>
    <row r="1006">
      <c r="A1006" s="3">
        <f>IF('ORDENES'!$A984="","",IF('ORDENES'!$P984="","-",'ORDENES'!$P984))</f>
        <v/>
      </c>
      <c r="B1006" s="3">
        <f>IF('ORDENES'!$A984="","",IF('ORDENES'!$S984="","-",'ORDENES'!$S984))</f>
        <v/>
      </c>
      <c r="C1006" s="3">
        <f>IF('ORDENES'!$A984="","",IF('ORDENES'!$AD984="","-",'ORDENES'!$AD984))</f>
        <v/>
      </c>
      <c r="D1006" s="3">
        <f>IF('ORDENES'!$A984="","",IF('ORDENES'!$W984="","-",'ORDENES'!$W984))</f>
        <v/>
      </c>
      <c r="E1006" s="3">
        <f>IF('ORDENES'!$A984="","",IF('ORDENES'!$V984="","-",'ORDENES'!$V984))</f>
        <v/>
      </c>
      <c r="F1006" s="3">
        <f>IF('ORDENES'!$A984="","",IF('ORDENES'!$X984="","-",'ORDENES'!$X984))</f>
        <v/>
      </c>
      <c r="G1006" s="3">
        <f>IF('ORDENES'!$A984="","",IF('ORDENES'!$AC984="","-",'ORDENES'!$AC984))</f>
        <v/>
      </c>
      <c r="H1006" s="3">
        <f>IF('ORDENES'!$A984="","",IF('ORDENES'!$AO984="","-",'ORDENES'!$AO984))</f>
        <v/>
      </c>
      <c r="I1006" s="3">
        <f>IF('ORDENES'!$A984="","",IF('ORDENES'!$D984="","-",'ORDENES'!$D984))</f>
        <v/>
      </c>
      <c r="J1006" s="3">
        <f>IF('ORDENES'!$A984="","",IF('ORDENES'!$E984="","-",'ORDENES'!$E984))</f>
        <v/>
      </c>
      <c r="K1006" s="12">
        <f>IF('ORDENES'!$A984="","",IF('ORDENES'!$N984="",0,'ORDENES'!$N984))</f>
        <v/>
      </c>
      <c r="L1006" s="3">
        <f>IF('ORDENES'!$A984="","",IF('ORDENES'!$O984="","-",'ORDENES'!$O984))</f>
        <v/>
      </c>
      <c r="M1006" s="3">
        <f>IF('ORDENES'!$A984="","",'ORDENES'!$AB984)</f>
        <v/>
      </c>
    </row>
    <row r="1007">
      <c r="A1007" s="3">
        <f>IF('ORDENES'!$A985="","",IF('ORDENES'!$P985="","-",'ORDENES'!$P985))</f>
        <v/>
      </c>
      <c r="B1007" s="3">
        <f>IF('ORDENES'!$A985="","",IF('ORDENES'!$S985="","-",'ORDENES'!$S985))</f>
        <v/>
      </c>
      <c r="C1007" s="3">
        <f>IF('ORDENES'!$A985="","",IF('ORDENES'!$AD985="","-",'ORDENES'!$AD985))</f>
        <v/>
      </c>
      <c r="D1007" s="3">
        <f>IF('ORDENES'!$A985="","",IF('ORDENES'!$W985="","-",'ORDENES'!$W985))</f>
        <v/>
      </c>
      <c r="E1007" s="3">
        <f>IF('ORDENES'!$A985="","",IF('ORDENES'!$V985="","-",'ORDENES'!$V985))</f>
        <v/>
      </c>
      <c r="F1007" s="3">
        <f>IF('ORDENES'!$A985="","",IF('ORDENES'!$X985="","-",'ORDENES'!$X985))</f>
        <v/>
      </c>
      <c r="G1007" s="3">
        <f>IF('ORDENES'!$A985="","",IF('ORDENES'!$AC985="","-",'ORDENES'!$AC985))</f>
        <v/>
      </c>
      <c r="H1007" s="3">
        <f>IF('ORDENES'!$A985="","",IF('ORDENES'!$AO985="","-",'ORDENES'!$AO985))</f>
        <v/>
      </c>
      <c r="I1007" s="3">
        <f>IF('ORDENES'!$A985="","",IF('ORDENES'!$D985="","-",'ORDENES'!$D985))</f>
        <v/>
      </c>
      <c r="J1007" s="3">
        <f>IF('ORDENES'!$A985="","",IF('ORDENES'!$E985="","-",'ORDENES'!$E985))</f>
        <v/>
      </c>
      <c r="K1007" s="12">
        <f>IF('ORDENES'!$A985="","",IF('ORDENES'!$N985="",0,'ORDENES'!$N985))</f>
        <v/>
      </c>
      <c r="L1007" s="3">
        <f>IF('ORDENES'!$A985="","",IF('ORDENES'!$O985="","-",'ORDENES'!$O985))</f>
        <v/>
      </c>
      <c r="M1007" s="3">
        <f>IF('ORDENES'!$A985="","",'ORDENES'!$AB985)</f>
        <v/>
      </c>
    </row>
    <row r="1008">
      <c r="A1008" s="3">
        <f>IF('ORDENES'!$A986="","",IF('ORDENES'!$P986="","-",'ORDENES'!$P986))</f>
        <v/>
      </c>
      <c r="B1008" s="3">
        <f>IF('ORDENES'!$A986="","",IF('ORDENES'!$S986="","-",'ORDENES'!$S986))</f>
        <v/>
      </c>
      <c r="C1008" s="3">
        <f>IF('ORDENES'!$A986="","",IF('ORDENES'!$AD986="","-",'ORDENES'!$AD986))</f>
        <v/>
      </c>
      <c r="D1008" s="3">
        <f>IF('ORDENES'!$A986="","",IF('ORDENES'!$W986="","-",'ORDENES'!$W986))</f>
        <v/>
      </c>
      <c r="E1008" s="3">
        <f>IF('ORDENES'!$A986="","",IF('ORDENES'!$V986="","-",'ORDENES'!$V986))</f>
        <v/>
      </c>
      <c r="F1008" s="3">
        <f>IF('ORDENES'!$A986="","",IF('ORDENES'!$X986="","-",'ORDENES'!$X986))</f>
        <v/>
      </c>
      <c r="G1008" s="3">
        <f>IF('ORDENES'!$A986="","",IF('ORDENES'!$AC986="","-",'ORDENES'!$AC986))</f>
        <v/>
      </c>
      <c r="H1008" s="3">
        <f>IF('ORDENES'!$A986="","",IF('ORDENES'!$AO986="","-",'ORDENES'!$AO986))</f>
        <v/>
      </c>
      <c r="I1008" s="3">
        <f>IF('ORDENES'!$A986="","",IF('ORDENES'!$D986="","-",'ORDENES'!$D986))</f>
        <v/>
      </c>
      <c r="J1008" s="3">
        <f>IF('ORDENES'!$A986="","",IF('ORDENES'!$E986="","-",'ORDENES'!$E986))</f>
        <v/>
      </c>
      <c r="K1008" s="12">
        <f>IF('ORDENES'!$A986="","",IF('ORDENES'!$N986="",0,'ORDENES'!$N986))</f>
        <v/>
      </c>
      <c r="L1008" s="3">
        <f>IF('ORDENES'!$A986="","",IF('ORDENES'!$O986="","-",'ORDENES'!$O986))</f>
        <v/>
      </c>
      <c r="M1008" s="3">
        <f>IF('ORDENES'!$A986="","",'ORDENES'!$AB986)</f>
        <v/>
      </c>
    </row>
    <row r="1009">
      <c r="A1009" s="3">
        <f>IF('ORDENES'!$A987="","",IF('ORDENES'!$P987="","-",'ORDENES'!$P987))</f>
        <v/>
      </c>
      <c r="B1009" s="3">
        <f>IF('ORDENES'!$A987="","",IF('ORDENES'!$S987="","-",'ORDENES'!$S987))</f>
        <v/>
      </c>
      <c r="C1009" s="3">
        <f>IF('ORDENES'!$A987="","",IF('ORDENES'!$AD987="","-",'ORDENES'!$AD987))</f>
        <v/>
      </c>
      <c r="D1009" s="3">
        <f>IF('ORDENES'!$A987="","",IF('ORDENES'!$W987="","-",'ORDENES'!$W987))</f>
        <v/>
      </c>
      <c r="E1009" s="3">
        <f>IF('ORDENES'!$A987="","",IF('ORDENES'!$V987="","-",'ORDENES'!$V987))</f>
        <v/>
      </c>
      <c r="F1009" s="3">
        <f>IF('ORDENES'!$A987="","",IF('ORDENES'!$X987="","-",'ORDENES'!$X987))</f>
        <v/>
      </c>
      <c r="G1009" s="3">
        <f>IF('ORDENES'!$A987="","",IF('ORDENES'!$AC987="","-",'ORDENES'!$AC987))</f>
        <v/>
      </c>
      <c r="H1009" s="3">
        <f>IF('ORDENES'!$A987="","",IF('ORDENES'!$AO987="","-",'ORDENES'!$AO987))</f>
        <v/>
      </c>
      <c r="I1009" s="3">
        <f>IF('ORDENES'!$A987="","",IF('ORDENES'!$D987="","-",'ORDENES'!$D987))</f>
        <v/>
      </c>
      <c r="J1009" s="3">
        <f>IF('ORDENES'!$A987="","",IF('ORDENES'!$E987="","-",'ORDENES'!$E987))</f>
        <v/>
      </c>
      <c r="K1009" s="12">
        <f>IF('ORDENES'!$A987="","",IF('ORDENES'!$N987="",0,'ORDENES'!$N987))</f>
        <v/>
      </c>
      <c r="L1009" s="3">
        <f>IF('ORDENES'!$A987="","",IF('ORDENES'!$O987="","-",'ORDENES'!$O987))</f>
        <v/>
      </c>
      <c r="M1009" s="3">
        <f>IF('ORDENES'!$A987="","",'ORDENES'!$AB987)</f>
        <v/>
      </c>
    </row>
    <row r="1010">
      <c r="A1010" s="3">
        <f>IF('ORDENES'!$A988="","",IF('ORDENES'!$P988="","-",'ORDENES'!$P988))</f>
        <v/>
      </c>
      <c r="B1010" s="3">
        <f>IF('ORDENES'!$A988="","",IF('ORDENES'!$S988="","-",'ORDENES'!$S988))</f>
        <v/>
      </c>
      <c r="C1010" s="3">
        <f>IF('ORDENES'!$A988="","",IF('ORDENES'!$AD988="","-",'ORDENES'!$AD988))</f>
        <v/>
      </c>
      <c r="D1010" s="3">
        <f>IF('ORDENES'!$A988="","",IF('ORDENES'!$W988="","-",'ORDENES'!$W988))</f>
        <v/>
      </c>
      <c r="E1010" s="3">
        <f>IF('ORDENES'!$A988="","",IF('ORDENES'!$V988="","-",'ORDENES'!$V988))</f>
        <v/>
      </c>
      <c r="F1010" s="3">
        <f>IF('ORDENES'!$A988="","",IF('ORDENES'!$X988="","-",'ORDENES'!$X988))</f>
        <v/>
      </c>
      <c r="G1010" s="3">
        <f>IF('ORDENES'!$A988="","",IF('ORDENES'!$AC988="","-",'ORDENES'!$AC988))</f>
        <v/>
      </c>
      <c r="H1010" s="3">
        <f>IF('ORDENES'!$A988="","",IF('ORDENES'!$AO988="","-",'ORDENES'!$AO988))</f>
        <v/>
      </c>
      <c r="I1010" s="3">
        <f>IF('ORDENES'!$A988="","",IF('ORDENES'!$D988="","-",'ORDENES'!$D988))</f>
        <v/>
      </c>
      <c r="J1010" s="3">
        <f>IF('ORDENES'!$A988="","",IF('ORDENES'!$E988="","-",'ORDENES'!$E988))</f>
        <v/>
      </c>
      <c r="K1010" s="12">
        <f>IF('ORDENES'!$A988="","",IF('ORDENES'!$N988="",0,'ORDENES'!$N988))</f>
        <v/>
      </c>
      <c r="L1010" s="3">
        <f>IF('ORDENES'!$A988="","",IF('ORDENES'!$O988="","-",'ORDENES'!$O988))</f>
        <v/>
      </c>
      <c r="M1010" s="3">
        <f>IF('ORDENES'!$A988="","",'ORDENES'!$AB988)</f>
        <v/>
      </c>
    </row>
    <row r="1011">
      <c r="A1011" s="3">
        <f>IF('ORDENES'!$A989="","",IF('ORDENES'!$P989="","-",'ORDENES'!$P989))</f>
        <v/>
      </c>
      <c r="B1011" s="3">
        <f>IF('ORDENES'!$A989="","",IF('ORDENES'!$S989="","-",'ORDENES'!$S989))</f>
        <v/>
      </c>
      <c r="C1011" s="3">
        <f>IF('ORDENES'!$A989="","",IF('ORDENES'!$AD989="","-",'ORDENES'!$AD989))</f>
        <v/>
      </c>
      <c r="D1011" s="3">
        <f>IF('ORDENES'!$A989="","",IF('ORDENES'!$W989="","-",'ORDENES'!$W989))</f>
        <v/>
      </c>
      <c r="E1011" s="3">
        <f>IF('ORDENES'!$A989="","",IF('ORDENES'!$V989="","-",'ORDENES'!$V989))</f>
        <v/>
      </c>
      <c r="F1011" s="3">
        <f>IF('ORDENES'!$A989="","",IF('ORDENES'!$X989="","-",'ORDENES'!$X989))</f>
        <v/>
      </c>
      <c r="G1011" s="3">
        <f>IF('ORDENES'!$A989="","",IF('ORDENES'!$AC989="","-",'ORDENES'!$AC989))</f>
        <v/>
      </c>
      <c r="H1011" s="3">
        <f>IF('ORDENES'!$A989="","",IF('ORDENES'!$AO989="","-",'ORDENES'!$AO989))</f>
        <v/>
      </c>
      <c r="I1011" s="3">
        <f>IF('ORDENES'!$A989="","",IF('ORDENES'!$D989="","-",'ORDENES'!$D989))</f>
        <v/>
      </c>
      <c r="J1011" s="3">
        <f>IF('ORDENES'!$A989="","",IF('ORDENES'!$E989="","-",'ORDENES'!$E989))</f>
        <v/>
      </c>
      <c r="K1011" s="12">
        <f>IF('ORDENES'!$A989="","",IF('ORDENES'!$N989="",0,'ORDENES'!$N989))</f>
        <v/>
      </c>
      <c r="L1011" s="3">
        <f>IF('ORDENES'!$A989="","",IF('ORDENES'!$O989="","-",'ORDENES'!$O989))</f>
        <v/>
      </c>
      <c r="M1011" s="3">
        <f>IF('ORDENES'!$A989="","",'ORDENES'!$AB989)</f>
        <v/>
      </c>
    </row>
    <row r="1012">
      <c r="A1012" s="3">
        <f>IF('ORDENES'!$A990="","",IF('ORDENES'!$P990="","-",'ORDENES'!$P990))</f>
        <v/>
      </c>
      <c r="B1012" s="3">
        <f>IF('ORDENES'!$A990="","",IF('ORDENES'!$S990="","-",'ORDENES'!$S990))</f>
        <v/>
      </c>
      <c r="C1012" s="3">
        <f>IF('ORDENES'!$A990="","",IF('ORDENES'!$AD990="","-",'ORDENES'!$AD990))</f>
        <v/>
      </c>
      <c r="D1012" s="3">
        <f>IF('ORDENES'!$A990="","",IF('ORDENES'!$W990="","-",'ORDENES'!$W990))</f>
        <v/>
      </c>
      <c r="E1012" s="3">
        <f>IF('ORDENES'!$A990="","",IF('ORDENES'!$V990="","-",'ORDENES'!$V990))</f>
        <v/>
      </c>
      <c r="F1012" s="3">
        <f>IF('ORDENES'!$A990="","",IF('ORDENES'!$X990="","-",'ORDENES'!$X990))</f>
        <v/>
      </c>
      <c r="G1012" s="3">
        <f>IF('ORDENES'!$A990="","",IF('ORDENES'!$AC990="","-",'ORDENES'!$AC990))</f>
        <v/>
      </c>
      <c r="H1012" s="3">
        <f>IF('ORDENES'!$A990="","",IF('ORDENES'!$AO990="","-",'ORDENES'!$AO990))</f>
        <v/>
      </c>
      <c r="I1012" s="3">
        <f>IF('ORDENES'!$A990="","",IF('ORDENES'!$D990="","-",'ORDENES'!$D990))</f>
        <v/>
      </c>
      <c r="J1012" s="3">
        <f>IF('ORDENES'!$A990="","",IF('ORDENES'!$E990="","-",'ORDENES'!$E990))</f>
        <v/>
      </c>
      <c r="K1012" s="12">
        <f>IF('ORDENES'!$A990="","",IF('ORDENES'!$N990="",0,'ORDENES'!$N990))</f>
        <v/>
      </c>
      <c r="L1012" s="3">
        <f>IF('ORDENES'!$A990="","",IF('ORDENES'!$O990="","-",'ORDENES'!$O990))</f>
        <v/>
      </c>
      <c r="M1012" s="3">
        <f>IF('ORDENES'!$A990="","",'ORDENES'!$AB990)</f>
        <v/>
      </c>
    </row>
    <row r="1013">
      <c r="A1013" s="3">
        <f>IF('ORDENES'!$A991="","",IF('ORDENES'!$P991="","-",'ORDENES'!$P991))</f>
        <v/>
      </c>
      <c r="B1013" s="3">
        <f>IF('ORDENES'!$A991="","",IF('ORDENES'!$S991="","-",'ORDENES'!$S991))</f>
        <v/>
      </c>
      <c r="C1013" s="3">
        <f>IF('ORDENES'!$A991="","",IF('ORDENES'!$AD991="","-",'ORDENES'!$AD991))</f>
        <v/>
      </c>
      <c r="D1013" s="3">
        <f>IF('ORDENES'!$A991="","",IF('ORDENES'!$W991="","-",'ORDENES'!$W991))</f>
        <v/>
      </c>
      <c r="E1013" s="3">
        <f>IF('ORDENES'!$A991="","",IF('ORDENES'!$V991="","-",'ORDENES'!$V991))</f>
        <v/>
      </c>
      <c r="F1013" s="3">
        <f>IF('ORDENES'!$A991="","",IF('ORDENES'!$X991="","-",'ORDENES'!$X991))</f>
        <v/>
      </c>
      <c r="G1013" s="3">
        <f>IF('ORDENES'!$A991="","",IF('ORDENES'!$AC991="","-",'ORDENES'!$AC991))</f>
        <v/>
      </c>
      <c r="H1013" s="3">
        <f>IF('ORDENES'!$A991="","",IF('ORDENES'!$AO991="","-",'ORDENES'!$AO991))</f>
        <v/>
      </c>
      <c r="I1013" s="3">
        <f>IF('ORDENES'!$A991="","",IF('ORDENES'!$D991="","-",'ORDENES'!$D991))</f>
        <v/>
      </c>
      <c r="J1013" s="3">
        <f>IF('ORDENES'!$A991="","",IF('ORDENES'!$E991="","-",'ORDENES'!$E991))</f>
        <v/>
      </c>
      <c r="K1013" s="12">
        <f>IF('ORDENES'!$A991="","",IF('ORDENES'!$N991="",0,'ORDENES'!$N991))</f>
        <v/>
      </c>
      <c r="L1013" s="3">
        <f>IF('ORDENES'!$A991="","",IF('ORDENES'!$O991="","-",'ORDENES'!$O991))</f>
        <v/>
      </c>
      <c r="M1013" s="3">
        <f>IF('ORDENES'!$A991="","",'ORDENES'!$AB991)</f>
        <v/>
      </c>
    </row>
    <row r="1014">
      <c r="A1014" s="3">
        <f>IF('ORDENES'!$A992="","",IF('ORDENES'!$P992="","-",'ORDENES'!$P992))</f>
        <v/>
      </c>
      <c r="B1014" s="3">
        <f>IF('ORDENES'!$A992="","",IF('ORDENES'!$S992="","-",'ORDENES'!$S992))</f>
        <v/>
      </c>
      <c r="C1014" s="3">
        <f>IF('ORDENES'!$A992="","",IF('ORDENES'!$AD992="","-",'ORDENES'!$AD992))</f>
        <v/>
      </c>
      <c r="D1014" s="3">
        <f>IF('ORDENES'!$A992="","",IF('ORDENES'!$W992="","-",'ORDENES'!$W992))</f>
        <v/>
      </c>
      <c r="E1014" s="3">
        <f>IF('ORDENES'!$A992="","",IF('ORDENES'!$V992="","-",'ORDENES'!$V992))</f>
        <v/>
      </c>
      <c r="F1014" s="3">
        <f>IF('ORDENES'!$A992="","",IF('ORDENES'!$X992="","-",'ORDENES'!$X992))</f>
        <v/>
      </c>
      <c r="G1014" s="3">
        <f>IF('ORDENES'!$A992="","",IF('ORDENES'!$AC992="","-",'ORDENES'!$AC992))</f>
        <v/>
      </c>
      <c r="H1014" s="3">
        <f>IF('ORDENES'!$A992="","",IF('ORDENES'!$AO992="","-",'ORDENES'!$AO992))</f>
        <v/>
      </c>
      <c r="I1014" s="3">
        <f>IF('ORDENES'!$A992="","",IF('ORDENES'!$D992="","-",'ORDENES'!$D992))</f>
        <v/>
      </c>
      <c r="J1014" s="3">
        <f>IF('ORDENES'!$A992="","",IF('ORDENES'!$E992="","-",'ORDENES'!$E992))</f>
        <v/>
      </c>
      <c r="K1014" s="12">
        <f>IF('ORDENES'!$A992="","",IF('ORDENES'!$N992="",0,'ORDENES'!$N992))</f>
        <v/>
      </c>
      <c r="L1014" s="3">
        <f>IF('ORDENES'!$A992="","",IF('ORDENES'!$O992="","-",'ORDENES'!$O992))</f>
        <v/>
      </c>
      <c r="M1014" s="3">
        <f>IF('ORDENES'!$A992="","",'ORDENES'!$AB992)</f>
        <v/>
      </c>
    </row>
    <row r="1015">
      <c r="A1015" s="3">
        <f>IF('ORDENES'!$A993="","",IF('ORDENES'!$P993="","-",'ORDENES'!$P993))</f>
        <v/>
      </c>
      <c r="B1015" s="3">
        <f>IF('ORDENES'!$A993="","",IF('ORDENES'!$S993="","-",'ORDENES'!$S993))</f>
        <v/>
      </c>
      <c r="C1015" s="3">
        <f>IF('ORDENES'!$A993="","",IF('ORDENES'!$AD993="","-",'ORDENES'!$AD993))</f>
        <v/>
      </c>
      <c r="D1015" s="3">
        <f>IF('ORDENES'!$A993="","",IF('ORDENES'!$W993="","-",'ORDENES'!$W993))</f>
        <v/>
      </c>
      <c r="E1015" s="3">
        <f>IF('ORDENES'!$A993="","",IF('ORDENES'!$V993="","-",'ORDENES'!$V993))</f>
        <v/>
      </c>
      <c r="F1015" s="3">
        <f>IF('ORDENES'!$A993="","",IF('ORDENES'!$X993="","-",'ORDENES'!$X993))</f>
        <v/>
      </c>
      <c r="G1015" s="3">
        <f>IF('ORDENES'!$A993="","",IF('ORDENES'!$AC993="","-",'ORDENES'!$AC993))</f>
        <v/>
      </c>
      <c r="H1015" s="3">
        <f>IF('ORDENES'!$A993="","",IF('ORDENES'!$AO993="","-",'ORDENES'!$AO993))</f>
        <v/>
      </c>
      <c r="I1015" s="3">
        <f>IF('ORDENES'!$A993="","",IF('ORDENES'!$D993="","-",'ORDENES'!$D993))</f>
        <v/>
      </c>
      <c r="J1015" s="3">
        <f>IF('ORDENES'!$A993="","",IF('ORDENES'!$E993="","-",'ORDENES'!$E993))</f>
        <v/>
      </c>
      <c r="K1015" s="12">
        <f>IF('ORDENES'!$A993="","",IF('ORDENES'!$N993="",0,'ORDENES'!$N993))</f>
        <v/>
      </c>
      <c r="L1015" s="3">
        <f>IF('ORDENES'!$A993="","",IF('ORDENES'!$O993="","-",'ORDENES'!$O993))</f>
        <v/>
      </c>
      <c r="M1015" s="3">
        <f>IF('ORDENES'!$A993="","",'ORDENES'!$AB993)</f>
        <v/>
      </c>
    </row>
    <row r="1016">
      <c r="A1016" s="3">
        <f>IF('ORDENES'!$A994="","",IF('ORDENES'!$P994="","-",'ORDENES'!$P994))</f>
        <v/>
      </c>
      <c r="B1016" s="3">
        <f>IF('ORDENES'!$A994="","",IF('ORDENES'!$S994="","-",'ORDENES'!$S994))</f>
        <v/>
      </c>
      <c r="C1016" s="3">
        <f>IF('ORDENES'!$A994="","",IF('ORDENES'!$AD994="","-",'ORDENES'!$AD994))</f>
        <v/>
      </c>
      <c r="D1016" s="3">
        <f>IF('ORDENES'!$A994="","",IF('ORDENES'!$W994="","-",'ORDENES'!$W994))</f>
        <v/>
      </c>
      <c r="E1016" s="3">
        <f>IF('ORDENES'!$A994="","",IF('ORDENES'!$V994="","-",'ORDENES'!$V994))</f>
        <v/>
      </c>
      <c r="F1016" s="3">
        <f>IF('ORDENES'!$A994="","",IF('ORDENES'!$X994="","-",'ORDENES'!$X994))</f>
        <v/>
      </c>
      <c r="G1016" s="3">
        <f>IF('ORDENES'!$A994="","",IF('ORDENES'!$AC994="","-",'ORDENES'!$AC994))</f>
        <v/>
      </c>
      <c r="H1016" s="3">
        <f>IF('ORDENES'!$A994="","",IF('ORDENES'!$AO994="","-",'ORDENES'!$AO994))</f>
        <v/>
      </c>
      <c r="I1016" s="3">
        <f>IF('ORDENES'!$A994="","",IF('ORDENES'!$D994="","-",'ORDENES'!$D994))</f>
        <v/>
      </c>
      <c r="J1016" s="3">
        <f>IF('ORDENES'!$A994="","",IF('ORDENES'!$E994="","-",'ORDENES'!$E994))</f>
        <v/>
      </c>
      <c r="K1016" s="12">
        <f>IF('ORDENES'!$A994="","",IF('ORDENES'!$N994="",0,'ORDENES'!$N994))</f>
        <v/>
      </c>
      <c r="L1016" s="3">
        <f>IF('ORDENES'!$A994="","",IF('ORDENES'!$O994="","-",'ORDENES'!$O994))</f>
        <v/>
      </c>
      <c r="M1016" s="3">
        <f>IF('ORDENES'!$A994="","",'ORDENES'!$AB994)</f>
        <v/>
      </c>
    </row>
    <row r="1017">
      <c r="A1017" s="3">
        <f>IF('ORDENES'!$A995="","",IF('ORDENES'!$P995="","-",'ORDENES'!$P995))</f>
        <v/>
      </c>
      <c r="B1017" s="3">
        <f>IF('ORDENES'!$A995="","",IF('ORDENES'!$S995="","-",'ORDENES'!$S995))</f>
        <v/>
      </c>
      <c r="C1017" s="3">
        <f>IF('ORDENES'!$A995="","",IF('ORDENES'!$AD995="","-",'ORDENES'!$AD995))</f>
        <v/>
      </c>
      <c r="D1017" s="3">
        <f>IF('ORDENES'!$A995="","",IF('ORDENES'!$W995="","-",'ORDENES'!$W995))</f>
        <v/>
      </c>
      <c r="E1017" s="3">
        <f>IF('ORDENES'!$A995="","",IF('ORDENES'!$V995="","-",'ORDENES'!$V995))</f>
        <v/>
      </c>
      <c r="F1017" s="3">
        <f>IF('ORDENES'!$A995="","",IF('ORDENES'!$X995="","-",'ORDENES'!$X995))</f>
        <v/>
      </c>
      <c r="G1017" s="3">
        <f>IF('ORDENES'!$A995="","",IF('ORDENES'!$AC995="","-",'ORDENES'!$AC995))</f>
        <v/>
      </c>
      <c r="H1017" s="3">
        <f>IF('ORDENES'!$A995="","",IF('ORDENES'!$AO995="","-",'ORDENES'!$AO995))</f>
        <v/>
      </c>
      <c r="I1017" s="3">
        <f>IF('ORDENES'!$A995="","",IF('ORDENES'!$D995="","-",'ORDENES'!$D995))</f>
        <v/>
      </c>
      <c r="J1017" s="3">
        <f>IF('ORDENES'!$A995="","",IF('ORDENES'!$E995="","-",'ORDENES'!$E995))</f>
        <v/>
      </c>
      <c r="K1017" s="12">
        <f>IF('ORDENES'!$A995="","",IF('ORDENES'!$N995="",0,'ORDENES'!$N995))</f>
        <v/>
      </c>
      <c r="L1017" s="3">
        <f>IF('ORDENES'!$A995="","",IF('ORDENES'!$O995="","-",'ORDENES'!$O995))</f>
        <v/>
      </c>
      <c r="M1017" s="3">
        <f>IF('ORDENES'!$A995="","",'ORDENES'!$AB995)</f>
        <v/>
      </c>
    </row>
    <row r="1018">
      <c r="A1018" s="3">
        <f>IF('ORDENES'!$A996="","",IF('ORDENES'!$P996="","-",'ORDENES'!$P996))</f>
        <v/>
      </c>
      <c r="B1018" s="3">
        <f>IF('ORDENES'!$A996="","",IF('ORDENES'!$S996="","-",'ORDENES'!$S996))</f>
        <v/>
      </c>
      <c r="C1018" s="3">
        <f>IF('ORDENES'!$A996="","",IF('ORDENES'!$AD996="","-",'ORDENES'!$AD996))</f>
        <v/>
      </c>
      <c r="D1018" s="3">
        <f>IF('ORDENES'!$A996="","",IF('ORDENES'!$W996="","-",'ORDENES'!$W996))</f>
        <v/>
      </c>
      <c r="E1018" s="3">
        <f>IF('ORDENES'!$A996="","",IF('ORDENES'!$V996="","-",'ORDENES'!$V996))</f>
        <v/>
      </c>
      <c r="F1018" s="3">
        <f>IF('ORDENES'!$A996="","",IF('ORDENES'!$X996="","-",'ORDENES'!$X996))</f>
        <v/>
      </c>
      <c r="G1018" s="3">
        <f>IF('ORDENES'!$A996="","",IF('ORDENES'!$AC996="","-",'ORDENES'!$AC996))</f>
        <v/>
      </c>
      <c r="H1018" s="3">
        <f>IF('ORDENES'!$A996="","",IF('ORDENES'!$AO996="","-",'ORDENES'!$AO996))</f>
        <v/>
      </c>
      <c r="I1018" s="3">
        <f>IF('ORDENES'!$A996="","",IF('ORDENES'!$D996="","-",'ORDENES'!$D996))</f>
        <v/>
      </c>
      <c r="J1018" s="3">
        <f>IF('ORDENES'!$A996="","",IF('ORDENES'!$E996="","-",'ORDENES'!$E996))</f>
        <v/>
      </c>
      <c r="K1018" s="12">
        <f>IF('ORDENES'!$A996="","",IF('ORDENES'!$N996="",0,'ORDENES'!$N996))</f>
        <v/>
      </c>
      <c r="L1018" s="3">
        <f>IF('ORDENES'!$A996="","",IF('ORDENES'!$O996="","-",'ORDENES'!$O996))</f>
        <v/>
      </c>
      <c r="M1018" s="3">
        <f>IF('ORDENES'!$A996="","",'ORDENES'!$AB996)</f>
        <v/>
      </c>
    </row>
    <row r="1019">
      <c r="A1019" s="3">
        <f>IF('ORDENES'!$A997="","",IF('ORDENES'!$P997="","-",'ORDENES'!$P997))</f>
        <v/>
      </c>
      <c r="B1019" s="3">
        <f>IF('ORDENES'!$A997="","",IF('ORDENES'!$S997="","-",'ORDENES'!$S997))</f>
        <v/>
      </c>
      <c r="C1019" s="3">
        <f>IF('ORDENES'!$A997="","",IF('ORDENES'!$AD997="","-",'ORDENES'!$AD997))</f>
        <v/>
      </c>
      <c r="D1019" s="3">
        <f>IF('ORDENES'!$A997="","",IF('ORDENES'!$W997="","-",'ORDENES'!$W997))</f>
        <v/>
      </c>
      <c r="E1019" s="3">
        <f>IF('ORDENES'!$A997="","",IF('ORDENES'!$V997="","-",'ORDENES'!$V997))</f>
        <v/>
      </c>
      <c r="F1019" s="3">
        <f>IF('ORDENES'!$A997="","",IF('ORDENES'!$X997="","-",'ORDENES'!$X997))</f>
        <v/>
      </c>
      <c r="G1019" s="3">
        <f>IF('ORDENES'!$A997="","",IF('ORDENES'!$AC997="","-",'ORDENES'!$AC997))</f>
        <v/>
      </c>
      <c r="H1019" s="3">
        <f>IF('ORDENES'!$A997="","",IF('ORDENES'!$AO997="","-",'ORDENES'!$AO997))</f>
        <v/>
      </c>
      <c r="I1019" s="3">
        <f>IF('ORDENES'!$A997="","",IF('ORDENES'!$D997="","-",'ORDENES'!$D997))</f>
        <v/>
      </c>
      <c r="J1019" s="3">
        <f>IF('ORDENES'!$A997="","",IF('ORDENES'!$E997="","-",'ORDENES'!$E997))</f>
        <v/>
      </c>
      <c r="K1019" s="12">
        <f>IF('ORDENES'!$A997="","",IF('ORDENES'!$N997="",0,'ORDENES'!$N997))</f>
        <v/>
      </c>
      <c r="L1019" s="3">
        <f>IF('ORDENES'!$A997="","",IF('ORDENES'!$O997="","-",'ORDENES'!$O997))</f>
        <v/>
      </c>
      <c r="M1019" s="3">
        <f>IF('ORDENES'!$A997="","",'ORDENES'!$AB997)</f>
        <v/>
      </c>
    </row>
    <row r="1020">
      <c r="A1020" s="3">
        <f>IF('ORDENES'!$A998="","",IF('ORDENES'!$P998="","-",'ORDENES'!$P998))</f>
        <v/>
      </c>
      <c r="B1020" s="3">
        <f>IF('ORDENES'!$A998="","",IF('ORDENES'!$S998="","-",'ORDENES'!$S998))</f>
        <v/>
      </c>
      <c r="C1020" s="3">
        <f>IF('ORDENES'!$A998="","",IF('ORDENES'!$AD998="","-",'ORDENES'!$AD998))</f>
        <v/>
      </c>
      <c r="D1020" s="3">
        <f>IF('ORDENES'!$A998="","",IF('ORDENES'!$W998="","-",'ORDENES'!$W998))</f>
        <v/>
      </c>
      <c r="E1020" s="3">
        <f>IF('ORDENES'!$A998="","",IF('ORDENES'!$V998="","-",'ORDENES'!$V998))</f>
        <v/>
      </c>
      <c r="F1020" s="3">
        <f>IF('ORDENES'!$A998="","",IF('ORDENES'!$X998="","-",'ORDENES'!$X998))</f>
        <v/>
      </c>
      <c r="G1020" s="3">
        <f>IF('ORDENES'!$A998="","",IF('ORDENES'!$AC998="","-",'ORDENES'!$AC998))</f>
        <v/>
      </c>
      <c r="H1020" s="3">
        <f>IF('ORDENES'!$A998="","",IF('ORDENES'!$AO998="","-",'ORDENES'!$AO998))</f>
        <v/>
      </c>
      <c r="I1020" s="3">
        <f>IF('ORDENES'!$A998="","",IF('ORDENES'!$D998="","-",'ORDENES'!$D998))</f>
        <v/>
      </c>
      <c r="J1020" s="3">
        <f>IF('ORDENES'!$A998="","",IF('ORDENES'!$E998="","-",'ORDENES'!$E998))</f>
        <v/>
      </c>
      <c r="K1020" s="12">
        <f>IF('ORDENES'!$A998="","",IF('ORDENES'!$N998="",0,'ORDENES'!$N998))</f>
        <v/>
      </c>
      <c r="L1020" s="3">
        <f>IF('ORDENES'!$A998="","",IF('ORDENES'!$O998="","-",'ORDENES'!$O998))</f>
        <v/>
      </c>
      <c r="M1020" s="3">
        <f>IF('ORDENES'!$A998="","",'ORDENES'!$AB998)</f>
        <v/>
      </c>
    </row>
    <row r="1021">
      <c r="A1021" s="3">
        <f>IF('ORDENES'!$A999="","",IF('ORDENES'!$P999="","-",'ORDENES'!$P999))</f>
        <v/>
      </c>
      <c r="B1021" s="3">
        <f>IF('ORDENES'!$A999="","",IF('ORDENES'!$S999="","-",'ORDENES'!$S999))</f>
        <v/>
      </c>
      <c r="C1021" s="3">
        <f>IF('ORDENES'!$A999="","",IF('ORDENES'!$AD999="","-",'ORDENES'!$AD999))</f>
        <v/>
      </c>
      <c r="D1021" s="3">
        <f>IF('ORDENES'!$A999="","",IF('ORDENES'!$W999="","-",'ORDENES'!$W999))</f>
        <v/>
      </c>
      <c r="E1021" s="3">
        <f>IF('ORDENES'!$A999="","",IF('ORDENES'!$V999="","-",'ORDENES'!$V999))</f>
        <v/>
      </c>
      <c r="F1021" s="3">
        <f>IF('ORDENES'!$A999="","",IF('ORDENES'!$X999="","-",'ORDENES'!$X999))</f>
        <v/>
      </c>
      <c r="G1021" s="3">
        <f>IF('ORDENES'!$A999="","",IF('ORDENES'!$AC999="","-",'ORDENES'!$AC999))</f>
        <v/>
      </c>
      <c r="H1021" s="3">
        <f>IF('ORDENES'!$A999="","",IF('ORDENES'!$AO999="","-",'ORDENES'!$AO999))</f>
        <v/>
      </c>
      <c r="I1021" s="3">
        <f>IF('ORDENES'!$A999="","",IF('ORDENES'!$D999="","-",'ORDENES'!$D999))</f>
        <v/>
      </c>
      <c r="J1021" s="3">
        <f>IF('ORDENES'!$A999="","",IF('ORDENES'!$E999="","-",'ORDENES'!$E999))</f>
        <v/>
      </c>
      <c r="K1021" s="12">
        <f>IF('ORDENES'!$A999="","",IF('ORDENES'!$N999="",0,'ORDENES'!$N999))</f>
        <v/>
      </c>
      <c r="L1021" s="3">
        <f>IF('ORDENES'!$A999="","",IF('ORDENES'!$O999="","-",'ORDENES'!$O999))</f>
        <v/>
      </c>
      <c r="M1021" s="3">
        <f>IF('ORDENES'!$A999="","",'ORDENES'!$AB999)</f>
        <v/>
      </c>
    </row>
    <row r="1022">
      <c r="A1022" s="3">
        <f>IF('ORDENES'!$A1000="","",IF('ORDENES'!$P1000="","-",'ORDENES'!$P1000))</f>
        <v/>
      </c>
      <c r="B1022" s="3">
        <f>IF('ORDENES'!$A1000="","",IF('ORDENES'!$S1000="","-",'ORDENES'!$S1000))</f>
        <v/>
      </c>
      <c r="C1022" s="3">
        <f>IF('ORDENES'!$A1000="","",IF('ORDENES'!$AD1000="","-",'ORDENES'!$AD1000))</f>
        <v/>
      </c>
      <c r="D1022" s="3">
        <f>IF('ORDENES'!$A1000="","",IF('ORDENES'!$W1000="","-",'ORDENES'!$W1000))</f>
        <v/>
      </c>
      <c r="E1022" s="3">
        <f>IF('ORDENES'!$A1000="","",IF('ORDENES'!$V1000="","-",'ORDENES'!$V1000))</f>
        <v/>
      </c>
      <c r="F1022" s="3">
        <f>IF('ORDENES'!$A1000="","",IF('ORDENES'!$X1000="","-",'ORDENES'!$X1000))</f>
        <v/>
      </c>
      <c r="G1022" s="3">
        <f>IF('ORDENES'!$A1000="","",IF('ORDENES'!$AC1000="","-",'ORDENES'!$AC1000))</f>
        <v/>
      </c>
      <c r="H1022" s="3">
        <f>IF('ORDENES'!$A1000="","",IF('ORDENES'!$AO1000="","-",'ORDENES'!$AO1000))</f>
        <v/>
      </c>
      <c r="I1022" s="3">
        <f>IF('ORDENES'!$A1000="","",IF('ORDENES'!$D1000="","-",'ORDENES'!$D1000))</f>
        <v/>
      </c>
      <c r="J1022" s="3">
        <f>IF('ORDENES'!$A1000="","",IF('ORDENES'!$E1000="","-",'ORDENES'!$E1000))</f>
        <v/>
      </c>
      <c r="K1022" s="12">
        <f>IF('ORDENES'!$A1000="","",IF('ORDENES'!$N1000="",0,'ORDENES'!$N1000))</f>
        <v/>
      </c>
      <c r="L1022" s="3">
        <f>IF('ORDENES'!$A1000="","",IF('ORDENES'!$O1000="","-",'ORDENES'!$O1000))</f>
        <v/>
      </c>
      <c r="M1022" s="3">
        <f>IF('ORDENES'!$A1000="","",'ORDENES'!$AB1000)</f>
        <v/>
      </c>
    </row>
    <row r="1023">
      <c r="A1023" s="3">
        <f>IF('ORDENES'!$A1001="","",IF('ORDENES'!$P1001="","-",'ORDENES'!$P1001))</f>
        <v/>
      </c>
      <c r="B1023" s="3">
        <f>IF('ORDENES'!$A1001="","",IF('ORDENES'!$S1001="","-",'ORDENES'!$S1001))</f>
        <v/>
      </c>
      <c r="C1023" s="3">
        <f>IF('ORDENES'!$A1001="","",IF('ORDENES'!$AD1001="","-",'ORDENES'!$AD1001))</f>
        <v/>
      </c>
      <c r="D1023" s="3">
        <f>IF('ORDENES'!$A1001="","",IF('ORDENES'!$W1001="","-",'ORDENES'!$W1001))</f>
        <v/>
      </c>
      <c r="E1023" s="3">
        <f>IF('ORDENES'!$A1001="","",IF('ORDENES'!$V1001="","-",'ORDENES'!$V1001))</f>
        <v/>
      </c>
      <c r="F1023" s="3">
        <f>IF('ORDENES'!$A1001="","",IF('ORDENES'!$X1001="","-",'ORDENES'!$X1001))</f>
        <v/>
      </c>
      <c r="G1023" s="3">
        <f>IF('ORDENES'!$A1001="","",IF('ORDENES'!$AC1001="","-",'ORDENES'!$AC1001))</f>
        <v/>
      </c>
      <c r="H1023" s="3">
        <f>IF('ORDENES'!$A1001="","",IF('ORDENES'!$AO1001="","-",'ORDENES'!$AO1001))</f>
        <v/>
      </c>
      <c r="I1023" s="3">
        <f>IF('ORDENES'!$A1001="","",IF('ORDENES'!$D1001="","-",'ORDENES'!$D1001))</f>
        <v/>
      </c>
      <c r="J1023" s="3">
        <f>IF('ORDENES'!$A1001="","",IF('ORDENES'!$E1001="","-",'ORDENES'!$E1001))</f>
        <v/>
      </c>
      <c r="K1023" s="12">
        <f>IF('ORDENES'!$A1001="","",IF('ORDENES'!$N1001="",0,'ORDENES'!$N1001))</f>
        <v/>
      </c>
      <c r="L1023" s="3">
        <f>IF('ORDENES'!$A1001="","",IF('ORDENES'!$O1001="","-",'ORDENES'!$O1001))</f>
        <v/>
      </c>
      <c r="M1023" s="3">
        <f>IF('ORDENES'!$A1001="","",'ORDENES'!$AB1001)</f>
        <v/>
      </c>
    </row>
    <row r="1024">
      <c r="A1024" s="3">
        <f>IF('ORDENES'!$A1002="","",IF('ORDENES'!$P1002="","-",'ORDENES'!$P1002))</f>
        <v/>
      </c>
      <c r="B1024" s="3">
        <f>IF('ORDENES'!$A1002="","",IF('ORDENES'!$S1002="","-",'ORDENES'!$S1002))</f>
        <v/>
      </c>
      <c r="C1024" s="3">
        <f>IF('ORDENES'!$A1002="","",IF('ORDENES'!$AD1002="","-",'ORDENES'!$AD1002))</f>
        <v/>
      </c>
      <c r="D1024" s="3">
        <f>IF('ORDENES'!$A1002="","",IF('ORDENES'!$W1002="","-",'ORDENES'!$W1002))</f>
        <v/>
      </c>
      <c r="E1024" s="3">
        <f>IF('ORDENES'!$A1002="","",IF('ORDENES'!$V1002="","-",'ORDENES'!$V1002))</f>
        <v/>
      </c>
      <c r="F1024" s="3">
        <f>IF('ORDENES'!$A1002="","",IF('ORDENES'!$X1002="","-",'ORDENES'!$X1002))</f>
        <v/>
      </c>
      <c r="G1024" s="3">
        <f>IF('ORDENES'!$A1002="","",IF('ORDENES'!$AC1002="","-",'ORDENES'!$AC1002))</f>
        <v/>
      </c>
      <c r="H1024" s="3">
        <f>IF('ORDENES'!$A1002="","",IF('ORDENES'!$AO1002="","-",'ORDENES'!$AO1002))</f>
        <v/>
      </c>
      <c r="I1024" s="3">
        <f>IF('ORDENES'!$A1002="","",IF('ORDENES'!$D1002="","-",'ORDENES'!$D1002))</f>
        <v/>
      </c>
      <c r="J1024" s="3">
        <f>IF('ORDENES'!$A1002="","",IF('ORDENES'!$E1002="","-",'ORDENES'!$E1002))</f>
        <v/>
      </c>
      <c r="K1024" s="12">
        <f>IF('ORDENES'!$A1002="","",IF('ORDENES'!$N1002="",0,'ORDENES'!$N1002))</f>
        <v/>
      </c>
      <c r="L1024" s="3">
        <f>IF('ORDENES'!$A1002="","",IF('ORDENES'!$O1002="","-",'ORDENES'!$O1002))</f>
        <v/>
      </c>
      <c r="M1024" s="3">
        <f>IF('ORDENES'!$A1002="","",'ORDENES'!$AB1002)</f>
        <v/>
      </c>
    </row>
    <row r="1025">
      <c r="A1025" s="3">
        <f>IF('ORDENES'!$A1003="","",IF('ORDENES'!$P1003="","-",'ORDENES'!$P1003))</f>
        <v/>
      </c>
      <c r="B1025" s="3">
        <f>IF('ORDENES'!$A1003="","",IF('ORDENES'!$S1003="","-",'ORDENES'!$S1003))</f>
        <v/>
      </c>
      <c r="C1025" s="3">
        <f>IF('ORDENES'!$A1003="","",IF('ORDENES'!$AD1003="","-",'ORDENES'!$AD1003))</f>
        <v/>
      </c>
      <c r="D1025" s="3">
        <f>IF('ORDENES'!$A1003="","",IF('ORDENES'!$W1003="","-",'ORDENES'!$W1003))</f>
        <v/>
      </c>
      <c r="E1025" s="3">
        <f>IF('ORDENES'!$A1003="","",IF('ORDENES'!$V1003="","-",'ORDENES'!$V1003))</f>
        <v/>
      </c>
      <c r="F1025" s="3">
        <f>IF('ORDENES'!$A1003="","",IF('ORDENES'!$X1003="","-",'ORDENES'!$X1003))</f>
        <v/>
      </c>
      <c r="G1025" s="3">
        <f>IF('ORDENES'!$A1003="","",IF('ORDENES'!$AC1003="","-",'ORDENES'!$AC1003))</f>
        <v/>
      </c>
      <c r="H1025" s="3">
        <f>IF('ORDENES'!$A1003="","",IF('ORDENES'!$AO1003="","-",'ORDENES'!$AO1003))</f>
        <v/>
      </c>
      <c r="I1025" s="3">
        <f>IF('ORDENES'!$A1003="","",IF('ORDENES'!$D1003="","-",'ORDENES'!$D1003))</f>
        <v/>
      </c>
      <c r="J1025" s="3">
        <f>IF('ORDENES'!$A1003="","",IF('ORDENES'!$E1003="","-",'ORDENES'!$E1003))</f>
        <v/>
      </c>
      <c r="K1025" s="12">
        <f>IF('ORDENES'!$A1003="","",IF('ORDENES'!$N1003="",0,'ORDENES'!$N1003))</f>
        <v/>
      </c>
      <c r="L1025" s="3">
        <f>IF('ORDENES'!$A1003="","",IF('ORDENES'!$O1003="","-",'ORDENES'!$O1003))</f>
        <v/>
      </c>
      <c r="M1025" s="3">
        <f>IF('ORDENES'!$A1003="","",'ORDENES'!$AB1003)</f>
        <v/>
      </c>
    </row>
    <row r="1026">
      <c r="A1026" s="3">
        <f>IF('ORDENES'!$A1004="","",IF('ORDENES'!$P1004="","-",'ORDENES'!$P1004))</f>
        <v/>
      </c>
      <c r="B1026" s="3">
        <f>IF('ORDENES'!$A1004="","",IF('ORDENES'!$S1004="","-",'ORDENES'!$S1004))</f>
        <v/>
      </c>
      <c r="C1026" s="3">
        <f>IF('ORDENES'!$A1004="","",IF('ORDENES'!$AD1004="","-",'ORDENES'!$AD1004))</f>
        <v/>
      </c>
      <c r="D1026" s="3">
        <f>IF('ORDENES'!$A1004="","",IF('ORDENES'!$W1004="","-",'ORDENES'!$W1004))</f>
        <v/>
      </c>
      <c r="E1026" s="3">
        <f>IF('ORDENES'!$A1004="","",IF('ORDENES'!$V1004="","-",'ORDENES'!$V1004))</f>
        <v/>
      </c>
      <c r="F1026" s="3">
        <f>IF('ORDENES'!$A1004="","",IF('ORDENES'!$X1004="","-",'ORDENES'!$X1004))</f>
        <v/>
      </c>
      <c r="G1026" s="3">
        <f>IF('ORDENES'!$A1004="","",IF('ORDENES'!$AC1004="","-",'ORDENES'!$AC1004))</f>
        <v/>
      </c>
      <c r="H1026" s="3">
        <f>IF('ORDENES'!$A1004="","",IF('ORDENES'!$AO1004="","-",'ORDENES'!$AO1004))</f>
        <v/>
      </c>
      <c r="I1026" s="3">
        <f>IF('ORDENES'!$A1004="","",IF('ORDENES'!$D1004="","-",'ORDENES'!$D1004))</f>
        <v/>
      </c>
      <c r="J1026" s="3">
        <f>IF('ORDENES'!$A1004="","",IF('ORDENES'!$E1004="","-",'ORDENES'!$E1004))</f>
        <v/>
      </c>
      <c r="K1026" s="12">
        <f>IF('ORDENES'!$A1004="","",IF('ORDENES'!$N1004="",0,'ORDENES'!$N1004))</f>
        <v/>
      </c>
      <c r="L1026" s="3">
        <f>IF('ORDENES'!$A1004="","",IF('ORDENES'!$O1004="","-",'ORDENES'!$O1004))</f>
        <v/>
      </c>
      <c r="M1026" s="3">
        <f>IF('ORDENES'!$A1004="","",'ORDENES'!$AB1004)</f>
        <v/>
      </c>
    </row>
    <row r="1027">
      <c r="A1027" s="3">
        <f>IF('ORDENES'!$A1005="","",IF('ORDENES'!$P1005="","-",'ORDENES'!$P1005))</f>
        <v/>
      </c>
      <c r="B1027" s="3">
        <f>IF('ORDENES'!$A1005="","",IF('ORDENES'!$S1005="","-",'ORDENES'!$S1005))</f>
        <v/>
      </c>
      <c r="C1027" s="3">
        <f>IF('ORDENES'!$A1005="","",IF('ORDENES'!$AD1005="","-",'ORDENES'!$AD1005))</f>
        <v/>
      </c>
      <c r="D1027" s="3">
        <f>IF('ORDENES'!$A1005="","",IF('ORDENES'!$W1005="","-",'ORDENES'!$W1005))</f>
        <v/>
      </c>
      <c r="E1027" s="3">
        <f>IF('ORDENES'!$A1005="","",IF('ORDENES'!$V1005="","-",'ORDENES'!$V1005))</f>
        <v/>
      </c>
      <c r="F1027" s="3">
        <f>IF('ORDENES'!$A1005="","",IF('ORDENES'!$X1005="","-",'ORDENES'!$X1005))</f>
        <v/>
      </c>
      <c r="G1027" s="3">
        <f>IF('ORDENES'!$A1005="","",IF('ORDENES'!$AC1005="","-",'ORDENES'!$AC1005))</f>
        <v/>
      </c>
      <c r="H1027" s="3">
        <f>IF('ORDENES'!$A1005="","",IF('ORDENES'!$AO1005="","-",'ORDENES'!$AO1005))</f>
        <v/>
      </c>
      <c r="I1027" s="3">
        <f>IF('ORDENES'!$A1005="","",IF('ORDENES'!$D1005="","-",'ORDENES'!$D1005))</f>
        <v/>
      </c>
      <c r="J1027" s="3">
        <f>IF('ORDENES'!$A1005="","",IF('ORDENES'!$E1005="","-",'ORDENES'!$E1005))</f>
        <v/>
      </c>
      <c r="K1027" s="12">
        <f>IF('ORDENES'!$A1005="","",IF('ORDENES'!$N1005="",0,'ORDENES'!$N1005))</f>
        <v/>
      </c>
      <c r="L1027" s="3">
        <f>IF('ORDENES'!$A1005="","",IF('ORDENES'!$O1005="","-",'ORDENES'!$O1005))</f>
        <v/>
      </c>
      <c r="M1027" s="3">
        <f>IF('ORDENES'!$A1005="","",'ORDENES'!$AB1005)</f>
        <v/>
      </c>
    </row>
    <row r="1028">
      <c r="A1028" s="3">
        <f>IF('ORDENES'!$A1006="","",IF('ORDENES'!$P1006="","-",'ORDENES'!$P1006))</f>
        <v/>
      </c>
      <c r="B1028" s="3">
        <f>IF('ORDENES'!$A1006="","",IF('ORDENES'!$S1006="","-",'ORDENES'!$S1006))</f>
        <v/>
      </c>
      <c r="C1028" s="3">
        <f>IF('ORDENES'!$A1006="","",IF('ORDENES'!$AD1006="","-",'ORDENES'!$AD1006))</f>
        <v/>
      </c>
      <c r="D1028" s="3">
        <f>IF('ORDENES'!$A1006="","",IF('ORDENES'!$W1006="","-",'ORDENES'!$W1006))</f>
        <v/>
      </c>
      <c r="E1028" s="3">
        <f>IF('ORDENES'!$A1006="","",IF('ORDENES'!$V1006="","-",'ORDENES'!$V1006))</f>
        <v/>
      </c>
      <c r="F1028" s="3">
        <f>IF('ORDENES'!$A1006="","",IF('ORDENES'!$X1006="","-",'ORDENES'!$X1006))</f>
        <v/>
      </c>
      <c r="G1028" s="3">
        <f>IF('ORDENES'!$A1006="","",IF('ORDENES'!$AC1006="","-",'ORDENES'!$AC1006))</f>
        <v/>
      </c>
      <c r="H1028" s="3">
        <f>IF('ORDENES'!$A1006="","",IF('ORDENES'!$AO1006="","-",'ORDENES'!$AO1006))</f>
        <v/>
      </c>
      <c r="I1028" s="3">
        <f>IF('ORDENES'!$A1006="","",IF('ORDENES'!$D1006="","-",'ORDENES'!$D1006))</f>
        <v/>
      </c>
      <c r="J1028" s="3">
        <f>IF('ORDENES'!$A1006="","",IF('ORDENES'!$E1006="","-",'ORDENES'!$E1006))</f>
        <v/>
      </c>
      <c r="K1028" s="12">
        <f>IF('ORDENES'!$A1006="","",IF('ORDENES'!$N1006="",0,'ORDENES'!$N1006))</f>
        <v/>
      </c>
      <c r="L1028" s="3">
        <f>IF('ORDENES'!$A1006="","",IF('ORDENES'!$O1006="","-",'ORDENES'!$O1006))</f>
        <v/>
      </c>
      <c r="M1028" s="3">
        <f>IF('ORDENES'!$A1006="","",'ORDENES'!$AB1006)</f>
        <v/>
      </c>
    </row>
    <row r="1029">
      <c r="A1029" s="3">
        <f>IF('ORDENES'!$A1007="","",IF('ORDENES'!$P1007="","-",'ORDENES'!$P1007))</f>
        <v/>
      </c>
      <c r="B1029" s="3">
        <f>IF('ORDENES'!$A1007="","",IF('ORDENES'!$S1007="","-",'ORDENES'!$S1007))</f>
        <v/>
      </c>
      <c r="C1029" s="3">
        <f>IF('ORDENES'!$A1007="","",IF('ORDENES'!$AD1007="","-",'ORDENES'!$AD1007))</f>
        <v/>
      </c>
      <c r="D1029" s="3">
        <f>IF('ORDENES'!$A1007="","",IF('ORDENES'!$W1007="","-",'ORDENES'!$W1007))</f>
        <v/>
      </c>
      <c r="E1029" s="3">
        <f>IF('ORDENES'!$A1007="","",IF('ORDENES'!$V1007="","-",'ORDENES'!$V1007))</f>
        <v/>
      </c>
      <c r="F1029" s="3">
        <f>IF('ORDENES'!$A1007="","",IF('ORDENES'!$X1007="","-",'ORDENES'!$X1007))</f>
        <v/>
      </c>
      <c r="G1029" s="3">
        <f>IF('ORDENES'!$A1007="","",IF('ORDENES'!$AC1007="","-",'ORDENES'!$AC1007))</f>
        <v/>
      </c>
      <c r="H1029" s="3">
        <f>IF('ORDENES'!$A1007="","",IF('ORDENES'!$AO1007="","-",'ORDENES'!$AO1007))</f>
        <v/>
      </c>
      <c r="I1029" s="3">
        <f>IF('ORDENES'!$A1007="","",IF('ORDENES'!$D1007="","-",'ORDENES'!$D1007))</f>
        <v/>
      </c>
      <c r="J1029" s="3">
        <f>IF('ORDENES'!$A1007="","",IF('ORDENES'!$E1007="","-",'ORDENES'!$E1007))</f>
        <v/>
      </c>
      <c r="K1029" s="12">
        <f>IF('ORDENES'!$A1007="","",IF('ORDENES'!$N1007="",0,'ORDENES'!$N1007))</f>
        <v/>
      </c>
      <c r="L1029" s="3">
        <f>IF('ORDENES'!$A1007="","",IF('ORDENES'!$O1007="","-",'ORDENES'!$O1007))</f>
        <v/>
      </c>
      <c r="M1029" s="3">
        <f>IF('ORDENES'!$A1007="","",'ORDENES'!$AB1007)</f>
        <v/>
      </c>
    </row>
    <row r="1030">
      <c r="A1030" s="3">
        <f>IF('ORDENES'!$A1008="","",IF('ORDENES'!$P1008="","-",'ORDENES'!$P1008))</f>
        <v/>
      </c>
      <c r="B1030" s="3">
        <f>IF('ORDENES'!$A1008="","",IF('ORDENES'!$S1008="","-",'ORDENES'!$S1008))</f>
        <v/>
      </c>
      <c r="C1030" s="3">
        <f>IF('ORDENES'!$A1008="","",IF('ORDENES'!$AD1008="","-",'ORDENES'!$AD1008))</f>
        <v/>
      </c>
      <c r="D1030" s="3">
        <f>IF('ORDENES'!$A1008="","",IF('ORDENES'!$W1008="","-",'ORDENES'!$W1008))</f>
        <v/>
      </c>
      <c r="E1030" s="3">
        <f>IF('ORDENES'!$A1008="","",IF('ORDENES'!$V1008="","-",'ORDENES'!$V1008))</f>
        <v/>
      </c>
      <c r="F1030" s="3">
        <f>IF('ORDENES'!$A1008="","",IF('ORDENES'!$X1008="","-",'ORDENES'!$X1008))</f>
        <v/>
      </c>
      <c r="G1030" s="3">
        <f>IF('ORDENES'!$A1008="","",IF('ORDENES'!$AC1008="","-",'ORDENES'!$AC1008))</f>
        <v/>
      </c>
      <c r="H1030" s="3">
        <f>IF('ORDENES'!$A1008="","",IF('ORDENES'!$AO1008="","-",'ORDENES'!$AO1008))</f>
        <v/>
      </c>
      <c r="I1030" s="3">
        <f>IF('ORDENES'!$A1008="","",IF('ORDENES'!$D1008="","-",'ORDENES'!$D1008))</f>
        <v/>
      </c>
      <c r="J1030" s="3">
        <f>IF('ORDENES'!$A1008="","",IF('ORDENES'!$E1008="","-",'ORDENES'!$E1008))</f>
        <v/>
      </c>
      <c r="K1030" s="12">
        <f>IF('ORDENES'!$A1008="","",IF('ORDENES'!$N1008="",0,'ORDENES'!$N1008))</f>
        <v/>
      </c>
      <c r="L1030" s="3">
        <f>IF('ORDENES'!$A1008="","",IF('ORDENES'!$O1008="","-",'ORDENES'!$O1008))</f>
        <v/>
      </c>
      <c r="M1030" s="3">
        <f>IF('ORDENES'!$A1008="","",'ORDENES'!$AB1008)</f>
        <v/>
      </c>
    </row>
    <row r="1031">
      <c r="A1031" s="3">
        <f>IF('ORDENES'!$A1009="","",IF('ORDENES'!$P1009="","-",'ORDENES'!$P1009))</f>
        <v/>
      </c>
      <c r="B1031" s="3">
        <f>IF('ORDENES'!$A1009="","",IF('ORDENES'!$S1009="","-",'ORDENES'!$S1009))</f>
        <v/>
      </c>
      <c r="C1031" s="3">
        <f>IF('ORDENES'!$A1009="","",IF('ORDENES'!$AD1009="","-",'ORDENES'!$AD1009))</f>
        <v/>
      </c>
      <c r="D1031" s="3">
        <f>IF('ORDENES'!$A1009="","",IF('ORDENES'!$W1009="","-",'ORDENES'!$W1009))</f>
        <v/>
      </c>
      <c r="E1031" s="3">
        <f>IF('ORDENES'!$A1009="","",IF('ORDENES'!$V1009="","-",'ORDENES'!$V1009))</f>
        <v/>
      </c>
      <c r="F1031" s="3">
        <f>IF('ORDENES'!$A1009="","",IF('ORDENES'!$X1009="","-",'ORDENES'!$X1009))</f>
        <v/>
      </c>
      <c r="G1031" s="3">
        <f>IF('ORDENES'!$A1009="","",IF('ORDENES'!$AC1009="","-",'ORDENES'!$AC1009))</f>
        <v/>
      </c>
      <c r="H1031" s="3">
        <f>IF('ORDENES'!$A1009="","",IF('ORDENES'!$AO1009="","-",'ORDENES'!$AO1009))</f>
        <v/>
      </c>
      <c r="I1031" s="3">
        <f>IF('ORDENES'!$A1009="","",IF('ORDENES'!$D1009="","-",'ORDENES'!$D1009))</f>
        <v/>
      </c>
      <c r="J1031" s="3">
        <f>IF('ORDENES'!$A1009="","",IF('ORDENES'!$E1009="","-",'ORDENES'!$E1009))</f>
        <v/>
      </c>
      <c r="K1031" s="12">
        <f>IF('ORDENES'!$A1009="","",IF('ORDENES'!$N1009="",0,'ORDENES'!$N1009))</f>
        <v/>
      </c>
      <c r="L1031" s="3">
        <f>IF('ORDENES'!$A1009="","",IF('ORDENES'!$O1009="","-",'ORDENES'!$O1009))</f>
        <v/>
      </c>
      <c r="M1031" s="3">
        <f>IF('ORDENES'!$A1009="","",'ORDENES'!$AB1009)</f>
        <v/>
      </c>
    </row>
    <row r="1032">
      <c r="A1032" s="3">
        <f>IF('ORDENES'!$A1010="","",IF('ORDENES'!$P1010="","-",'ORDENES'!$P1010))</f>
        <v/>
      </c>
      <c r="B1032" s="3">
        <f>IF('ORDENES'!$A1010="","",IF('ORDENES'!$S1010="","-",'ORDENES'!$S1010))</f>
        <v/>
      </c>
      <c r="C1032" s="3">
        <f>IF('ORDENES'!$A1010="","",IF('ORDENES'!$AD1010="","-",'ORDENES'!$AD1010))</f>
        <v/>
      </c>
      <c r="D1032" s="3">
        <f>IF('ORDENES'!$A1010="","",IF('ORDENES'!$W1010="","-",'ORDENES'!$W1010))</f>
        <v/>
      </c>
      <c r="E1032" s="3">
        <f>IF('ORDENES'!$A1010="","",IF('ORDENES'!$V1010="","-",'ORDENES'!$V1010))</f>
        <v/>
      </c>
      <c r="F1032" s="3">
        <f>IF('ORDENES'!$A1010="","",IF('ORDENES'!$X1010="","-",'ORDENES'!$X1010))</f>
        <v/>
      </c>
      <c r="G1032" s="3">
        <f>IF('ORDENES'!$A1010="","",IF('ORDENES'!$AC1010="","-",'ORDENES'!$AC1010))</f>
        <v/>
      </c>
      <c r="H1032" s="3">
        <f>IF('ORDENES'!$A1010="","",IF('ORDENES'!$AO1010="","-",'ORDENES'!$AO1010))</f>
        <v/>
      </c>
      <c r="I1032" s="3">
        <f>IF('ORDENES'!$A1010="","",IF('ORDENES'!$D1010="","-",'ORDENES'!$D1010))</f>
        <v/>
      </c>
      <c r="J1032" s="3">
        <f>IF('ORDENES'!$A1010="","",IF('ORDENES'!$E1010="","-",'ORDENES'!$E1010))</f>
        <v/>
      </c>
      <c r="K1032" s="12">
        <f>IF('ORDENES'!$A1010="","",IF('ORDENES'!$N1010="",0,'ORDENES'!$N1010))</f>
        <v/>
      </c>
      <c r="L1032" s="3">
        <f>IF('ORDENES'!$A1010="","",IF('ORDENES'!$O1010="","-",'ORDENES'!$O1010))</f>
        <v/>
      </c>
      <c r="M1032" s="3">
        <f>IF('ORDENES'!$A1010="","",'ORDENES'!$AB1010)</f>
        <v/>
      </c>
    </row>
    <row r="1033">
      <c r="A1033" s="3">
        <f>IF('ORDENES'!$A1011="","",IF('ORDENES'!$P1011="","-",'ORDENES'!$P1011))</f>
        <v/>
      </c>
      <c r="B1033" s="3">
        <f>IF('ORDENES'!$A1011="","",IF('ORDENES'!$S1011="","-",'ORDENES'!$S1011))</f>
        <v/>
      </c>
      <c r="C1033" s="3">
        <f>IF('ORDENES'!$A1011="","",IF('ORDENES'!$AD1011="","-",'ORDENES'!$AD1011))</f>
        <v/>
      </c>
      <c r="D1033" s="3">
        <f>IF('ORDENES'!$A1011="","",IF('ORDENES'!$W1011="","-",'ORDENES'!$W1011))</f>
        <v/>
      </c>
      <c r="E1033" s="3">
        <f>IF('ORDENES'!$A1011="","",IF('ORDENES'!$V1011="","-",'ORDENES'!$V1011))</f>
        <v/>
      </c>
      <c r="F1033" s="3">
        <f>IF('ORDENES'!$A1011="","",IF('ORDENES'!$X1011="","-",'ORDENES'!$X1011))</f>
        <v/>
      </c>
      <c r="G1033" s="3">
        <f>IF('ORDENES'!$A1011="","",IF('ORDENES'!$AC1011="","-",'ORDENES'!$AC1011))</f>
        <v/>
      </c>
      <c r="H1033" s="3">
        <f>IF('ORDENES'!$A1011="","",IF('ORDENES'!$AO1011="","-",'ORDENES'!$AO1011))</f>
        <v/>
      </c>
      <c r="I1033" s="3">
        <f>IF('ORDENES'!$A1011="","",IF('ORDENES'!$D1011="","-",'ORDENES'!$D1011))</f>
        <v/>
      </c>
      <c r="J1033" s="3">
        <f>IF('ORDENES'!$A1011="","",IF('ORDENES'!$E1011="","-",'ORDENES'!$E1011))</f>
        <v/>
      </c>
      <c r="K1033" s="12">
        <f>IF('ORDENES'!$A1011="","",IF('ORDENES'!$N1011="",0,'ORDENES'!$N1011))</f>
        <v/>
      </c>
      <c r="L1033" s="3">
        <f>IF('ORDENES'!$A1011="","",IF('ORDENES'!$O1011="","-",'ORDENES'!$O1011))</f>
        <v/>
      </c>
      <c r="M1033" s="3">
        <f>IF('ORDENES'!$A1011="","",'ORDENES'!$AB1011)</f>
        <v/>
      </c>
    </row>
    <row r="1034">
      <c r="A1034" s="3">
        <f>IF('ORDENES'!$A1012="","",IF('ORDENES'!$P1012="","-",'ORDENES'!$P1012))</f>
        <v/>
      </c>
      <c r="B1034" s="3">
        <f>IF('ORDENES'!$A1012="","",IF('ORDENES'!$S1012="","-",'ORDENES'!$S1012))</f>
        <v/>
      </c>
      <c r="C1034" s="3">
        <f>IF('ORDENES'!$A1012="","",IF('ORDENES'!$AD1012="","-",'ORDENES'!$AD1012))</f>
        <v/>
      </c>
      <c r="D1034" s="3">
        <f>IF('ORDENES'!$A1012="","",IF('ORDENES'!$W1012="","-",'ORDENES'!$W1012))</f>
        <v/>
      </c>
      <c r="E1034" s="3">
        <f>IF('ORDENES'!$A1012="","",IF('ORDENES'!$V1012="","-",'ORDENES'!$V1012))</f>
        <v/>
      </c>
      <c r="F1034" s="3">
        <f>IF('ORDENES'!$A1012="","",IF('ORDENES'!$X1012="","-",'ORDENES'!$X1012))</f>
        <v/>
      </c>
      <c r="G1034" s="3">
        <f>IF('ORDENES'!$A1012="","",IF('ORDENES'!$AC1012="","-",'ORDENES'!$AC1012))</f>
        <v/>
      </c>
      <c r="H1034" s="3">
        <f>IF('ORDENES'!$A1012="","",IF('ORDENES'!$AO1012="","-",'ORDENES'!$AO1012))</f>
        <v/>
      </c>
      <c r="I1034" s="3">
        <f>IF('ORDENES'!$A1012="","",IF('ORDENES'!$D1012="","-",'ORDENES'!$D1012))</f>
        <v/>
      </c>
      <c r="J1034" s="3">
        <f>IF('ORDENES'!$A1012="","",IF('ORDENES'!$E1012="","-",'ORDENES'!$E1012))</f>
        <v/>
      </c>
      <c r="K1034" s="12">
        <f>IF('ORDENES'!$A1012="","",IF('ORDENES'!$N1012="",0,'ORDENES'!$N1012))</f>
        <v/>
      </c>
      <c r="L1034" s="3">
        <f>IF('ORDENES'!$A1012="","",IF('ORDENES'!$O1012="","-",'ORDENES'!$O1012))</f>
        <v/>
      </c>
      <c r="M1034" s="3">
        <f>IF('ORDENES'!$A1012="","",'ORDENES'!$AB1012)</f>
        <v/>
      </c>
    </row>
    <row r="1035">
      <c r="A1035" s="3">
        <f>IF('ORDENES'!$A1013="","",IF('ORDENES'!$P1013="","-",'ORDENES'!$P1013))</f>
        <v/>
      </c>
      <c r="B1035" s="3">
        <f>IF('ORDENES'!$A1013="","",IF('ORDENES'!$S1013="","-",'ORDENES'!$S1013))</f>
        <v/>
      </c>
      <c r="C1035" s="3">
        <f>IF('ORDENES'!$A1013="","",IF('ORDENES'!$AD1013="","-",'ORDENES'!$AD1013))</f>
        <v/>
      </c>
      <c r="D1035" s="3">
        <f>IF('ORDENES'!$A1013="","",IF('ORDENES'!$W1013="","-",'ORDENES'!$W1013))</f>
        <v/>
      </c>
      <c r="E1035" s="3">
        <f>IF('ORDENES'!$A1013="","",IF('ORDENES'!$V1013="","-",'ORDENES'!$V1013))</f>
        <v/>
      </c>
      <c r="F1035" s="3">
        <f>IF('ORDENES'!$A1013="","",IF('ORDENES'!$X1013="","-",'ORDENES'!$X1013))</f>
        <v/>
      </c>
      <c r="G1035" s="3">
        <f>IF('ORDENES'!$A1013="","",IF('ORDENES'!$AC1013="","-",'ORDENES'!$AC1013))</f>
        <v/>
      </c>
      <c r="H1035" s="3">
        <f>IF('ORDENES'!$A1013="","",IF('ORDENES'!$AO1013="","-",'ORDENES'!$AO1013))</f>
        <v/>
      </c>
      <c r="I1035" s="3">
        <f>IF('ORDENES'!$A1013="","",IF('ORDENES'!$D1013="","-",'ORDENES'!$D1013))</f>
        <v/>
      </c>
      <c r="J1035" s="3">
        <f>IF('ORDENES'!$A1013="","",IF('ORDENES'!$E1013="","-",'ORDENES'!$E1013))</f>
        <v/>
      </c>
      <c r="K1035" s="12">
        <f>IF('ORDENES'!$A1013="","",IF('ORDENES'!$N1013="",0,'ORDENES'!$N1013))</f>
        <v/>
      </c>
      <c r="L1035" s="3">
        <f>IF('ORDENES'!$A1013="","",IF('ORDENES'!$O1013="","-",'ORDENES'!$O1013))</f>
        <v/>
      </c>
      <c r="M1035" s="3">
        <f>IF('ORDENES'!$A1013="","",'ORDENES'!$AB1013)</f>
        <v/>
      </c>
    </row>
    <row r="1036">
      <c r="A1036" s="3">
        <f>IF('ORDENES'!$A1014="","",IF('ORDENES'!$P1014="","-",'ORDENES'!$P1014))</f>
        <v/>
      </c>
      <c r="B1036" s="3">
        <f>IF('ORDENES'!$A1014="","",IF('ORDENES'!$S1014="","-",'ORDENES'!$S1014))</f>
        <v/>
      </c>
      <c r="C1036" s="3">
        <f>IF('ORDENES'!$A1014="","",IF('ORDENES'!$AD1014="","-",'ORDENES'!$AD1014))</f>
        <v/>
      </c>
      <c r="D1036" s="3">
        <f>IF('ORDENES'!$A1014="","",IF('ORDENES'!$W1014="","-",'ORDENES'!$W1014))</f>
        <v/>
      </c>
      <c r="E1036" s="3">
        <f>IF('ORDENES'!$A1014="","",IF('ORDENES'!$V1014="","-",'ORDENES'!$V1014))</f>
        <v/>
      </c>
      <c r="F1036" s="3">
        <f>IF('ORDENES'!$A1014="","",IF('ORDENES'!$X1014="","-",'ORDENES'!$X1014))</f>
        <v/>
      </c>
      <c r="G1036" s="3">
        <f>IF('ORDENES'!$A1014="","",IF('ORDENES'!$AC1014="","-",'ORDENES'!$AC1014))</f>
        <v/>
      </c>
      <c r="H1036" s="3">
        <f>IF('ORDENES'!$A1014="","",IF('ORDENES'!$AO1014="","-",'ORDENES'!$AO1014))</f>
        <v/>
      </c>
      <c r="I1036" s="3">
        <f>IF('ORDENES'!$A1014="","",IF('ORDENES'!$D1014="","-",'ORDENES'!$D1014))</f>
        <v/>
      </c>
      <c r="J1036" s="3">
        <f>IF('ORDENES'!$A1014="","",IF('ORDENES'!$E1014="","-",'ORDENES'!$E1014))</f>
        <v/>
      </c>
      <c r="K1036" s="12">
        <f>IF('ORDENES'!$A1014="","",IF('ORDENES'!$N1014="",0,'ORDENES'!$N1014))</f>
        <v/>
      </c>
      <c r="L1036" s="3">
        <f>IF('ORDENES'!$A1014="","",IF('ORDENES'!$O1014="","-",'ORDENES'!$O1014))</f>
        <v/>
      </c>
      <c r="M1036" s="3">
        <f>IF('ORDENES'!$A1014="","",'ORDENES'!$AB1014)</f>
        <v/>
      </c>
    </row>
    <row r="1037">
      <c r="A1037" s="3">
        <f>IF('ORDENES'!$A1015="","",IF('ORDENES'!$P1015="","-",'ORDENES'!$P1015))</f>
        <v/>
      </c>
      <c r="B1037" s="3">
        <f>IF('ORDENES'!$A1015="","",IF('ORDENES'!$S1015="","-",'ORDENES'!$S1015))</f>
        <v/>
      </c>
      <c r="C1037" s="3">
        <f>IF('ORDENES'!$A1015="","",IF('ORDENES'!$AD1015="","-",'ORDENES'!$AD1015))</f>
        <v/>
      </c>
      <c r="D1037" s="3">
        <f>IF('ORDENES'!$A1015="","",IF('ORDENES'!$W1015="","-",'ORDENES'!$W1015))</f>
        <v/>
      </c>
      <c r="E1037" s="3">
        <f>IF('ORDENES'!$A1015="","",IF('ORDENES'!$V1015="","-",'ORDENES'!$V1015))</f>
        <v/>
      </c>
      <c r="F1037" s="3">
        <f>IF('ORDENES'!$A1015="","",IF('ORDENES'!$X1015="","-",'ORDENES'!$X1015))</f>
        <v/>
      </c>
      <c r="G1037" s="3">
        <f>IF('ORDENES'!$A1015="","",IF('ORDENES'!$AC1015="","-",'ORDENES'!$AC1015))</f>
        <v/>
      </c>
      <c r="H1037" s="3">
        <f>IF('ORDENES'!$A1015="","",IF('ORDENES'!$AO1015="","-",'ORDENES'!$AO1015))</f>
        <v/>
      </c>
      <c r="I1037" s="3">
        <f>IF('ORDENES'!$A1015="","",IF('ORDENES'!$D1015="","-",'ORDENES'!$D1015))</f>
        <v/>
      </c>
      <c r="J1037" s="3">
        <f>IF('ORDENES'!$A1015="","",IF('ORDENES'!$E1015="","-",'ORDENES'!$E1015))</f>
        <v/>
      </c>
      <c r="K1037" s="12">
        <f>IF('ORDENES'!$A1015="","",IF('ORDENES'!$N1015="",0,'ORDENES'!$N1015))</f>
        <v/>
      </c>
      <c r="L1037" s="3">
        <f>IF('ORDENES'!$A1015="","",IF('ORDENES'!$O1015="","-",'ORDENES'!$O1015))</f>
        <v/>
      </c>
      <c r="M1037" s="3">
        <f>IF('ORDENES'!$A1015="","",'ORDENES'!$AB1015)</f>
        <v/>
      </c>
    </row>
    <row r="1038">
      <c r="A1038" s="3">
        <f>IF('ORDENES'!$A1016="","",IF('ORDENES'!$P1016="","-",'ORDENES'!$P1016))</f>
        <v/>
      </c>
      <c r="B1038" s="3">
        <f>IF('ORDENES'!$A1016="","",IF('ORDENES'!$S1016="","-",'ORDENES'!$S1016))</f>
        <v/>
      </c>
      <c r="C1038" s="3">
        <f>IF('ORDENES'!$A1016="","",IF('ORDENES'!$AD1016="","-",'ORDENES'!$AD1016))</f>
        <v/>
      </c>
      <c r="D1038" s="3">
        <f>IF('ORDENES'!$A1016="","",IF('ORDENES'!$W1016="","-",'ORDENES'!$W1016))</f>
        <v/>
      </c>
      <c r="E1038" s="3">
        <f>IF('ORDENES'!$A1016="","",IF('ORDENES'!$V1016="","-",'ORDENES'!$V1016))</f>
        <v/>
      </c>
      <c r="F1038" s="3">
        <f>IF('ORDENES'!$A1016="","",IF('ORDENES'!$X1016="","-",'ORDENES'!$X1016))</f>
        <v/>
      </c>
      <c r="G1038" s="3">
        <f>IF('ORDENES'!$A1016="","",IF('ORDENES'!$AC1016="","-",'ORDENES'!$AC1016))</f>
        <v/>
      </c>
      <c r="H1038" s="3">
        <f>IF('ORDENES'!$A1016="","",IF('ORDENES'!$AO1016="","-",'ORDENES'!$AO1016))</f>
        <v/>
      </c>
      <c r="I1038" s="3">
        <f>IF('ORDENES'!$A1016="","",IF('ORDENES'!$D1016="","-",'ORDENES'!$D1016))</f>
        <v/>
      </c>
      <c r="J1038" s="3">
        <f>IF('ORDENES'!$A1016="","",IF('ORDENES'!$E1016="","-",'ORDENES'!$E1016))</f>
        <v/>
      </c>
      <c r="K1038" s="12">
        <f>IF('ORDENES'!$A1016="","",IF('ORDENES'!$N1016="",0,'ORDENES'!$N1016))</f>
        <v/>
      </c>
      <c r="L1038" s="3">
        <f>IF('ORDENES'!$A1016="","",IF('ORDENES'!$O1016="","-",'ORDENES'!$O1016))</f>
        <v/>
      </c>
      <c r="M1038" s="3">
        <f>IF('ORDENES'!$A1016="","",'ORDENES'!$AB1016)</f>
        <v/>
      </c>
    </row>
    <row r="1039">
      <c r="A1039" s="3">
        <f>IF('ORDENES'!$A1017="","",IF('ORDENES'!$P1017="","-",'ORDENES'!$P1017))</f>
        <v/>
      </c>
      <c r="B1039" s="3">
        <f>IF('ORDENES'!$A1017="","",IF('ORDENES'!$S1017="","-",'ORDENES'!$S1017))</f>
        <v/>
      </c>
      <c r="C1039" s="3">
        <f>IF('ORDENES'!$A1017="","",IF('ORDENES'!$AD1017="","-",'ORDENES'!$AD1017))</f>
        <v/>
      </c>
      <c r="D1039" s="3">
        <f>IF('ORDENES'!$A1017="","",IF('ORDENES'!$W1017="","-",'ORDENES'!$W1017))</f>
        <v/>
      </c>
      <c r="E1039" s="3">
        <f>IF('ORDENES'!$A1017="","",IF('ORDENES'!$V1017="","-",'ORDENES'!$V1017))</f>
        <v/>
      </c>
      <c r="F1039" s="3">
        <f>IF('ORDENES'!$A1017="","",IF('ORDENES'!$X1017="","-",'ORDENES'!$X1017))</f>
        <v/>
      </c>
      <c r="G1039" s="3">
        <f>IF('ORDENES'!$A1017="","",IF('ORDENES'!$AC1017="","-",'ORDENES'!$AC1017))</f>
        <v/>
      </c>
      <c r="H1039" s="3">
        <f>IF('ORDENES'!$A1017="","",IF('ORDENES'!$AO1017="","-",'ORDENES'!$AO1017))</f>
        <v/>
      </c>
      <c r="I1039" s="3">
        <f>IF('ORDENES'!$A1017="","",IF('ORDENES'!$D1017="","-",'ORDENES'!$D1017))</f>
        <v/>
      </c>
      <c r="J1039" s="3">
        <f>IF('ORDENES'!$A1017="","",IF('ORDENES'!$E1017="","-",'ORDENES'!$E1017))</f>
        <v/>
      </c>
      <c r="K1039" s="12">
        <f>IF('ORDENES'!$A1017="","",IF('ORDENES'!$N1017="",0,'ORDENES'!$N1017))</f>
        <v/>
      </c>
      <c r="L1039" s="3">
        <f>IF('ORDENES'!$A1017="","",IF('ORDENES'!$O1017="","-",'ORDENES'!$O1017))</f>
        <v/>
      </c>
      <c r="M1039" s="3">
        <f>IF('ORDENES'!$A1017="","",'ORDENES'!$AB1017)</f>
        <v/>
      </c>
    </row>
    <row r="1040">
      <c r="A1040" s="3">
        <f>IF('ORDENES'!$A1018="","",IF('ORDENES'!$P1018="","-",'ORDENES'!$P1018))</f>
        <v/>
      </c>
      <c r="B1040" s="3">
        <f>IF('ORDENES'!$A1018="","",IF('ORDENES'!$S1018="","-",'ORDENES'!$S1018))</f>
        <v/>
      </c>
      <c r="C1040" s="3">
        <f>IF('ORDENES'!$A1018="","",IF('ORDENES'!$AD1018="","-",'ORDENES'!$AD1018))</f>
        <v/>
      </c>
      <c r="D1040" s="3">
        <f>IF('ORDENES'!$A1018="","",IF('ORDENES'!$W1018="","-",'ORDENES'!$W1018))</f>
        <v/>
      </c>
      <c r="E1040" s="3">
        <f>IF('ORDENES'!$A1018="","",IF('ORDENES'!$V1018="","-",'ORDENES'!$V1018))</f>
        <v/>
      </c>
      <c r="F1040" s="3">
        <f>IF('ORDENES'!$A1018="","",IF('ORDENES'!$X1018="","-",'ORDENES'!$X1018))</f>
        <v/>
      </c>
      <c r="G1040" s="3">
        <f>IF('ORDENES'!$A1018="","",IF('ORDENES'!$AC1018="","-",'ORDENES'!$AC1018))</f>
        <v/>
      </c>
      <c r="H1040" s="3">
        <f>IF('ORDENES'!$A1018="","",IF('ORDENES'!$AO1018="","-",'ORDENES'!$AO1018))</f>
        <v/>
      </c>
      <c r="I1040" s="3">
        <f>IF('ORDENES'!$A1018="","",IF('ORDENES'!$D1018="","-",'ORDENES'!$D1018))</f>
        <v/>
      </c>
      <c r="J1040" s="3">
        <f>IF('ORDENES'!$A1018="","",IF('ORDENES'!$E1018="","-",'ORDENES'!$E1018))</f>
        <v/>
      </c>
      <c r="K1040" s="12">
        <f>IF('ORDENES'!$A1018="","",IF('ORDENES'!$N1018="",0,'ORDENES'!$N1018))</f>
        <v/>
      </c>
      <c r="L1040" s="3">
        <f>IF('ORDENES'!$A1018="","",IF('ORDENES'!$O1018="","-",'ORDENES'!$O1018))</f>
        <v/>
      </c>
      <c r="M1040" s="3">
        <f>IF('ORDENES'!$A1018="","",'ORDENES'!$AB1018)</f>
        <v/>
      </c>
    </row>
    <row r="1041">
      <c r="A1041" s="3">
        <f>IF('ORDENES'!$A1019="","",IF('ORDENES'!$P1019="","-",'ORDENES'!$P1019))</f>
        <v/>
      </c>
      <c r="B1041" s="3">
        <f>IF('ORDENES'!$A1019="","",IF('ORDENES'!$S1019="","-",'ORDENES'!$S1019))</f>
        <v/>
      </c>
      <c r="C1041" s="3">
        <f>IF('ORDENES'!$A1019="","",IF('ORDENES'!$AD1019="","-",'ORDENES'!$AD1019))</f>
        <v/>
      </c>
      <c r="D1041" s="3">
        <f>IF('ORDENES'!$A1019="","",IF('ORDENES'!$W1019="","-",'ORDENES'!$W1019))</f>
        <v/>
      </c>
      <c r="E1041" s="3">
        <f>IF('ORDENES'!$A1019="","",IF('ORDENES'!$V1019="","-",'ORDENES'!$V1019))</f>
        <v/>
      </c>
      <c r="F1041" s="3">
        <f>IF('ORDENES'!$A1019="","",IF('ORDENES'!$X1019="","-",'ORDENES'!$X1019))</f>
        <v/>
      </c>
      <c r="G1041" s="3">
        <f>IF('ORDENES'!$A1019="","",IF('ORDENES'!$AC1019="","-",'ORDENES'!$AC1019))</f>
        <v/>
      </c>
      <c r="H1041" s="3">
        <f>IF('ORDENES'!$A1019="","",IF('ORDENES'!$AO1019="","-",'ORDENES'!$AO1019))</f>
        <v/>
      </c>
      <c r="I1041" s="3">
        <f>IF('ORDENES'!$A1019="","",IF('ORDENES'!$D1019="","-",'ORDENES'!$D1019))</f>
        <v/>
      </c>
      <c r="J1041" s="3">
        <f>IF('ORDENES'!$A1019="","",IF('ORDENES'!$E1019="","-",'ORDENES'!$E1019))</f>
        <v/>
      </c>
      <c r="K1041" s="12">
        <f>IF('ORDENES'!$A1019="","",IF('ORDENES'!$N1019="",0,'ORDENES'!$N1019))</f>
        <v/>
      </c>
      <c r="L1041" s="3">
        <f>IF('ORDENES'!$A1019="","",IF('ORDENES'!$O1019="","-",'ORDENES'!$O1019))</f>
        <v/>
      </c>
      <c r="M1041" s="3">
        <f>IF('ORDENES'!$A1019="","",'ORDENES'!$AB1019)</f>
        <v/>
      </c>
    </row>
    <row r="1042">
      <c r="A1042" s="3">
        <f>IF('ORDENES'!$A1020="","",IF('ORDENES'!$P1020="","-",'ORDENES'!$P1020))</f>
        <v/>
      </c>
      <c r="B1042" s="3">
        <f>IF('ORDENES'!$A1020="","",IF('ORDENES'!$S1020="","-",'ORDENES'!$S1020))</f>
        <v/>
      </c>
      <c r="C1042" s="3">
        <f>IF('ORDENES'!$A1020="","",IF('ORDENES'!$AD1020="","-",'ORDENES'!$AD1020))</f>
        <v/>
      </c>
      <c r="D1042" s="3">
        <f>IF('ORDENES'!$A1020="","",IF('ORDENES'!$W1020="","-",'ORDENES'!$W1020))</f>
        <v/>
      </c>
      <c r="E1042" s="3">
        <f>IF('ORDENES'!$A1020="","",IF('ORDENES'!$V1020="","-",'ORDENES'!$V1020))</f>
        <v/>
      </c>
      <c r="F1042" s="3">
        <f>IF('ORDENES'!$A1020="","",IF('ORDENES'!$X1020="","-",'ORDENES'!$X1020))</f>
        <v/>
      </c>
      <c r="G1042" s="3">
        <f>IF('ORDENES'!$A1020="","",IF('ORDENES'!$AC1020="","-",'ORDENES'!$AC1020))</f>
        <v/>
      </c>
      <c r="H1042" s="3">
        <f>IF('ORDENES'!$A1020="","",IF('ORDENES'!$AO1020="","-",'ORDENES'!$AO1020))</f>
        <v/>
      </c>
      <c r="I1042" s="3">
        <f>IF('ORDENES'!$A1020="","",IF('ORDENES'!$D1020="","-",'ORDENES'!$D1020))</f>
        <v/>
      </c>
      <c r="J1042" s="3">
        <f>IF('ORDENES'!$A1020="","",IF('ORDENES'!$E1020="","-",'ORDENES'!$E1020))</f>
        <v/>
      </c>
      <c r="K1042" s="12">
        <f>IF('ORDENES'!$A1020="","",IF('ORDENES'!$N1020="",0,'ORDENES'!$N1020))</f>
        <v/>
      </c>
      <c r="L1042" s="3">
        <f>IF('ORDENES'!$A1020="","",IF('ORDENES'!$O1020="","-",'ORDENES'!$O1020))</f>
        <v/>
      </c>
      <c r="M1042" s="3">
        <f>IF('ORDENES'!$A1020="","",'ORDENES'!$AB1020)</f>
        <v/>
      </c>
    </row>
    <row r="1043">
      <c r="A1043" s="3">
        <f>IF('ORDENES'!$A1021="","",IF('ORDENES'!$P1021="","-",'ORDENES'!$P1021))</f>
        <v/>
      </c>
      <c r="B1043" s="3">
        <f>IF('ORDENES'!$A1021="","",IF('ORDENES'!$S1021="","-",'ORDENES'!$S1021))</f>
        <v/>
      </c>
      <c r="C1043" s="3">
        <f>IF('ORDENES'!$A1021="","",IF('ORDENES'!$AD1021="","-",'ORDENES'!$AD1021))</f>
        <v/>
      </c>
      <c r="D1043" s="3">
        <f>IF('ORDENES'!$A1021="","",IF('ORDENES'!$W1021="","-",'ORDENES'!$W1021))</f>
        <v/>
      </c>
      <c r="E1043" s="3">
        <f>IF('ORDENES'!$A1021="","",IF('ORDENES'!$V1021="","-",'ORDENES'!$V1021))</f>
        <v/>
      </c>
      <c r="F1043" s="3">
        <f>IF('ORDENES'!$A1021="","",IF('ORDENES'!$X1021="","-",'ORDENES'!$X1021))</f>
        <v/>
      </c>
      <c r="G1043" s="3">
        <f>IF('ORDENES'!$A1021="","",IF('ORDENES'!$AC1021="","-",'ORDENES'!$AC1021))</f>
        <v/>
      </c>
      <c r="H1043" s="3">
        <f>IF('ORDENES'!$A1021="","",IF('ORDENES'!$AO1021="","-",'ORDENES'!$AO1021))</f>
        <v/>
      </c>
      <c r="I1043" s="3">
        <f>IF('ORDENES'!$A1021="","",IF('ORDENES'!$D1021="","-",'ORDENES'!$D1021))</f>
        <v/>
      </c>
      <c r="J1043" s="3">
        <f>IF('ORDENES'!$A1021="","",IF('ORDENES'!$E1021="","-",'ORDENES'!$E1021))</f>
        <v/>
      </c>
      <c r="K1043" s="12">
        <f>IF('ORDENES'!$A1021="","",IF('ORDENES'!$N1021="",0,'ORDENES'!$N1021))</f>
        <v/>
      </c>
      <c r="L1043" s="3">
        <f>IF('ORDENES'!$A1021="","",IF('ORDENES'!$O1021="","-",'ORDENES'!$O1021))</f>
        <v/>
      </c>
      <c r="M1043" s="3">
        <f>IF('ORDENES'!$A1021="","",'ORDENES'!$AB1021)</f>
        <v/>
      </c>
    </row>
    <row r="1044">
      <c r="A1044" s="3">
        <f>IF('ORDENES'!$A1022="","",IF('ORDENES'!$P1022="","-",'ORDENES'!$P1022))</f>
        <v/>
      </c>
      <c r="B1044" s="3">
        <f>IF('ORDENES'!$A1022="","",IF('ORDENES'!$S1022="","-",'ORDENES'!$S1022))</f>
        <v/>
      </c>
      <c r="C1044" s="3">
        <f>IF('ORDENES'!$A1022="","",IF('ORDENES'!$AD1022="","-",'ORDENES'!$AD1022))</f>
        <v/>
      </c>
      <c r="D1044" s="3">
        <f>IF('ORDENES'!$A1022="","",IF('ORDENES'!$W1022="","-",'ORDENES'!$W1022))</f>
        <v/>
      </c>
      <c r="E1044" s="3">
        <f>IF('ORDENES'!$A1022="","",IF('ORDENES'!$V1022="","-",'ORDENES'!$V1022))</f>
        <v/>
      </c>
      <c r="F1044" s="3">
        <f>IF('ORDENES'!$A1022="","",IF('ORDENES'!$X1022="","-",'ORDENES'!$X1022))</f>
        <v/>
      </c>
      <c r="G1044" s="3">
        <f>IF('ORDENES'!$A1022="","",IF('ORDENES'!$AC1022="","-",'ORDENES'!$AC1022))</f>
        <v/>
      </c>
      <c r="H1044" s="3">
        <f>IF('ORDENES'!$A1022="","",IF('ORDENES'!$AO1022="","-",'ORDENES'!$AO1022))</f>
        <v/>
      </c>
      <c r="I1044" s="3">
        <f>IF('ORDENES'!$A1022="","",IF('ORDENES'!$D1022="","-",'ORDENES'!$D1022))</f>
        <v/>
      </c>
      <c r="J1044" s="3">
        <f>IF('ORDENES'!$A1022="","",IF('ORDENES'!$E1022="","-",'ORDENES'!$E1022))</f>
        <v/>
      </c>
      <c r="K1044" s="12">
        <f>IF('ORDENES'!$A1022="","",IF('ORDENES'!$N1022="",0,'ORDENES'!$N1022))</f>
        <v/>
      </c>
      <c r="L1044" s="3">
        <f>IF('ORDENES'!$A1022="","",IF('ORDENES'!$O1022="","-",'ORDENES'!$O1022))</f>
        <v/>
      </c>
      <c r="M1044" s="3">
        <f>IF('ORDENES'!$A1022="","",'ORDENES'!$AB1022)</f>
        <v/>
      </c>
    </row>
    <row r="1045">
      <c r="A1045" s="3">
        <f>IF('ORDENES'!$A1023="","",IF('ORDENES'!$P1023="","-",'ORDENES'!$P1023))</f>
        <v/>
      </c>
      <c r="B1045" s="3">
        <f>IF('ORDENES'!$A1023="","",IF('ORDENES'!$S1023="","-",'ORDENES'!$S1023))</f>
        <v/>
      </c>
      <c r="C1045" s="3">
        <f>IF('ORDENES'!$A1023="","",IF('ORDENES'!$AD1023="","-",'ORDENES'!$AD1023))</f>
        <v/>
      </c>
      <c r="D1045" s="3">
        <f>IF('ORDENES'!$A1023="","",IF('ORDENES'!$W1023="","-",'ORDENES'!$W1023))</f>
        <v/>
      </c>
      <c r="E1045" s="3">
        <f>IF('ORDENES'!$A1023="","",IF('ORDENES'!$V1023="","-",'ORDENES'!$V1023))</f>
        <v/>
      </c>
      <c r="F1045" s="3">
        <f>IF('ORDENES'!$A1023="","",IF('ORDENES'!$X1023="","-",'ORDENES'!$X1023))</f>
        <v/>
      </c>
      <c r="G1045" s="3">
        <f>IF('ORDENES'!$A1023="","",IF('ORDENES'!$AC1023="","-",'ORDENES'!$AC1023))</f>
        <v/>
      </c>
      <c r="H1045" s="3">
        <f>IF('ORDENES'!$A1023="","",IF('ORDENES'!$AO1023="","-",'ORDENES'!$AO1023))</f>
        <v/>
      </c>
      <c r="I1045" s="3">
        <f>IF('ORDENES'!$A1023="","",IF('ORDENES'!$D1023="","-",'ORDENES'!$D1023))</f>
        <v/>
      </c>
      <c r="J1045" s="3">
        <f>IF('ORDENES'!$A1023="","",IF('ORDENES'!$E1023="","-",'ORDENES'!$E1023))</f>
        <v/>
      </c>
      <c r="K1045" s="12">
        <f>IF('ORDENES'!$A1023="","",IF('ORDENES'!$N1023="",0,'ORDENES'!$N1023))</f>
        <v/>
      </c>
      <c r="L1045" s="3">
        <f>IF('ORDENES'!$A1023="","",IF('ORDENES'!$O1023="","-",'ORDENES'!$O1023))</f>
        <v/>
      </c>
      <c r="M1045" s="3">
        <f>IF('ORDENES'!$A1023="","",'ORDENES'!$AB1023)</f>
        <v/>
      </c>
    </row>
    <row r="1046">
      <c r="A1046" s="3">
        <f>IF('ORDENES'!$A1024="","",IF('ORDENES'!$P1024="","-",'ORDENES'!$P1024))</f>
        <v/>
      </c>
      <c r="B1046" s="3">
        <f>IF('ORDENES'!$A1024="","",IF('ORDENES'!$S1024="","-",'ORDENES'!$S1024))</f>
        <v/>
      </c>
      <c r="C1046" s="3">
        <f>IF('ORDENES'!$A1024="","",IF('ORDENES'!$AD1024="","-",'ORDENES'!$AD1024))</f>
        <v/>
      </c>
      <c r="D1046" s="3">
        <f>IF('ORDENES'!$A1024="","",IF('ORDENES'!$W1024="","-",'ORDENES'!$W1024))</f>
        <v/>
      </c>
      <c r="E1046" s="3">
        <f>IF('ORDENES'!$A1024="","",IF('ORDENES'!$V1024="","-",'ORDENES'!$V1024))</f>
        <v/>
      </c>
      <c r="F1046" s="3">
        <f>IF('ORDENES'!$A1024="","",IF('ORDENES'!$X1024="","-",'ORDENES'!$X1024))</f>
        <v/>
      </c>
      <c r="G1046" s="3">
        <f>IF('ORDENES'!$A1024="","",IF('ORDENES'!$AC1024="","-",'ORDENES'!$AC1024))</f>
        <v/>
      </c>
      <c r="H1046" s="3">
        <f>IF('ORDENES'!$A1024="","",IF('ORDENES'!$AO1024="","-",'ORDENES'!$AO1024))</f>
        <v/>
      </c>
      <c r="I1046" s="3">
        <f>IF('ORDENES'!$A1024="","",IF('ORDENES'!$D1024="","-",'ORDENES'!$D1024))</f>
        <v/>
      </c>
      <c r="J1046" s="3">
        <f>IF('ORDENES'!$A1024="","",IF('ORDENES'!$E1024="","-",'ORDENES'!$E1024))</f>
        <v/>
      </c>
      <c r="K1046" s="12">
        <f>IF('ORDENES'!$A1024="","",IF('ORDENES'!$N1024="",0,'ORDENES'!$N1024))</f>
        <v/>
      </c>
      <c r="L1046" s="3">
        <f>IF('ORDENES'!$A1024="","",IF('ORDENES'!$O1024="","-",'ORDENES'!$O1024))</f>
        <v/>
      </c>
      <c r="M1046" s="3">
        <f>IF('ORDENES'!$A1024="","",'ORDENES'!$AB1024)</f>
        <v/>
      </c>
    </row>
    <row r="1047">
      <c r="A1047" s="3">
        <f>IF('ORDENES'!$A1025="","",IF('ORDENES'!$P1025="","-",'ORDENES'!$P1025))</f>
        <v/>
      </c>
      <c r="B1047" s="3">
        <f>IF('ORDENES'!$A1025="","",IF('ORDENES'!$S1025="","-",'ORDENES'!$S1025))</f>
        <v/>
      </c>
      <c r="C1047" s="3">
        <f>IF('ORDENES'!$A1025="","",IF('ORDENES'!$AD1025="","-",'ORDENES'!$AD1025))</f>
        <v/>
      </c>
      <c r="D1047" s="3">
        <f>IF('ORDENES'!$A1025="","",IF('ORDENES'!$W1025="","-",'ORDENES'!$W1025))</f>
        <v/>
      </c>
      <c r="E1047" s="3">
        <f>IF('ORDENES'!$A1025="","",IF('ORDENES'!$V1025="","-",'ORDENES'!$V1025))</f>
        <v/>
      </c>
      <c r="F1047" s="3">
        <f>IF('ORDENES'!$A1025="","",IF('ORDENES'!$X1025="","-",'ORDENES'!$X1025))</f>
        <v/>
      </c>
      <c r="G1047" s="3">
        <f>IF('ORDENES'!$A1025="","",IF('ORDENES'!$AC1025="","-",'ORDENES'!$AC1025))</f>
        <v/>
      </c>
      <c r="H1047" s="3">
        <f>IF('ORDENES'!$A1025="","",IF('ORDENES'!$AO1025="","-",'ORDENES'!$AO1025))</f>
        <v/>
      </c>
      <c r="I1047" s="3">
        <f>IF('ORDENES'!$A1025="","",IF('ORDENES'!$D1025="","-",'ORDENES'!$D1025))</f>
        <v/>
      </c>
      <c r="J1047" s="3">
        <f>IF('ORDENES'!$A1025="","",IF('ORDENES'!$E1025="","-",'ORDENES'!$E1025))</f>
        <v/>
      </c>
      <c r="K1047" s="12">
        <f>IF('ORDENES'!$A1025="","",IF('ORDENES'!$N1025="",0,'ORDENES'!$N1025))</f>
        <v/>
      </c>
      <c r="L1047" s="3">
        <f>IF('ORDENES'!$A1025="","",IF('ORDENES'!$O1025="","-",'ORDENES'!$O1025))</f>
        <v/>
      </c>
      <c r="M1047" s="3">
        <f>IF('ORDENES'!$A1025="","",'ORDENES'!$AB1025)</f>
        <v/>
      </c>
    </row>
    <row r="1048">
      <c r="A1048" s="3">
        <f>IF('ORDENES'!$A1026="","",IF('ORDENES'!$P1026="","-",'ORDENES'!$P1026))</f>
        <v/>
      </c>
      <c r="B1048" s="3">
        <f>IF('ORDENES'!$A1026="","",IF('ORDENES'!$S1026="","-",'ORDENES'!$S1026))</f>
        <v/>
      </c>
      <c r="C1048" s="3">
        <f>IF('ORDENES'!$A1026="","",IF('ORDENES'!$AD1026="","-",'ORDENES'!$AD1026))</f>
        <v/>
      </c>
      <c r="D1048" s="3">
        <f>IF('ORDENES'!$A1026="","",IF('ORDENES'!$W1026="","-",'ORDENES'!$W1026))</f>
        <v/>
      </c>
      <c r="E1048" s="3">
        <f>IF('ORDENES'!$A1026="","",IF('ORDENES'!$V1026="","-",'ORDENES'!$V1026))</f>
        <v/>
      </c>
      <c r="F1048" s="3">
        <f>IF('ORDENES'!$A1026="","",IF('ORDENES'!$X1026="","-",'ORDENES'!$X1026))</f>
        <v/>
      </c>
      <c r="G1048" s="3">
        <f>IF('ORDENES'!$A1026="","",IF('ORDENES'!$AC1026="","-",'ORDENES'!$AC1026))</f>
        <v/>
      </c>
      <c r="H1048" s="3">
        <f>IF('ORDENES'!$A1026="","",IF('ORDENES'!$AO1026="","-",'ORDENES'!$AO1026))</f>
        <v/>
      </c>
      <c r="I1048" s="3">
        <f>IF('ORDENES'!$A1026="","",IF('ORDENES'!$D1026="","-",'ORDENES'!$D1026))</f>
        <v/>
      </c>
      <c r="J1048" s="3">
        <f>IF('ORDENES'!$A1026="","",IF('ORDENES'!$E1026="","-",'ORDENES'!$E1026))</f>
        <v/>
      </c>
      <c r="K1048" s="12">
        <f>IF('ORDENES'!$A1026="","",IF('ORDENES'!$N1026="",0,'ORDENES'!$N1026))</f>
        <v/>
      </c>
      <c r="L1048" s="3">
        <f>IF('ORDENES'!$A1026="","",IF('ORDENES'!$O1026="","-",'ORDENES'!$O1026))</f>
        <v/>
      </c>
      <c r="M1048" s="3">
        <f>IF('ORDENES'!$A1026="","",'ORDENES'!$AB1026)</f>
        <v/>
      </c>
    </row>
    <row r="1049">
      <c r="A1049" s="3">
        <f>IF('ORDENES'!$A1027="","",IF('ORDENES'!$P1027="","-",'ORDENES'!$P1027))</f>
        <v/>
      </c>
      <c r="B1049" s="3">
        <f>IF('ORDENES'!$A1027="","",IF('ORDENES'!$S1027="","-",'ORDENES'!$S1027))</f>
        <v/>
      </c>
      <c r="C1049" s="3">
        <f>IF('ORDENES'!$A1027="","",IF('ORDENES'!$AD1027="","-",'ORDENES'!$AD1027))</f>
        <v/>
      </c>
      <c r="D1049" s="3">
        <f>IF('ORDENES'!$A1027="","",IF('ORDENES'!$W1027="","-",'ORDENES'!$W1027))</f>
        <v/>
      </c>
      <c r="E1049" s="3">
        <f>IF('ORDENES'!$A1027="","",IF('ORDENES'!$V1027="","-",'ORDENES'!$V1027))</f>
        <v/>
      </c>
      <c r="F1049" s="3">
        <f>IF('ORDENES'!$A1027="","",IF('ORDENES'!$X1027="","-",'ORDENES'!$X1027))</f>
        <v/>
      </c>
      <c r="G1049" s="3">
        <f>IF('ORDENES'!$A1027="","",IF('ORDENES'!$AC1027="","-",'ORDENES'!$AC1027))</f>
        <v/>
      </c>
      <c r="H1049" s="3">
        <f>IF('ORDENES'!$A1027="","",IF('ORDENES'!$AO1027="","-",'ORDENES'!$AO1027))</f>
        <v/>
      </c>
      <c r="I1049" s="3">
        <f>IF('ORDENES'!$A1027="","",IF('ORDENES'!$D1027="","-",'ORDENES'!$D1027))</f>
        <v/>
      </c>
      <c r="J1049" s="3">
        <f>IF('ORDENES'!$A1027="","",IF('ORDENES'!$E1027="","-",'ORDENES'!$E1027))</f>
        <v/>
      </c>
      <c r="K1049" s="12">
        <f>IF('ORDENES'!$A1027="","",IF('ORDENES'!$N1027="",0,'ORDENES'!$N1027))</f>
        <v/>
      </c>
      <c r="L1049" s="3">
        <f>IF('ORDENES'!$A1027="","",IF('ORDENES'!$O1027="","-",'ORDENES'!$O1027))</f>
        <v/>
      </c>
      <c r="M1049" s="3">
        <f>IF('ORDENES'!$A1027="","",'ORDENES'!$AB1027)</f>
        <v/>
      </c>
    </row>
    <row r="1050">
      <c r="A1050" s="3">
        <f>IF('ORDENES'!$A1028="","",IF('ORDENES'!$P1028="","-",'ORDENES'!$P1028))</f>
        <v/>
      </c>
      <c r="B1050" s="3">
        <f>IF('ORDENES'!$A1028="","",IF('ORDENES'!$S1028="","-",'ORDENES'!$S1028))</f>
        <v/>
      </c>
      <c r="C1050" s="3">
        <f>IF('ORDENES'!$A1028="","",IF('ORDENES'!$AD1028="","-",'ORDENES'!$AD1028))</f>
        <v/>
      </c>
      <c r="D1050" s="3">
        <f>IF('ORDENES'!$A1028="","",IF('ORDENES'!$W1028="","-",'ORDENES'!$W1028))</f>
        <v/>
      </c>
      <c r="E1050" s="3">
        <f>IF('ORDENES'!$A1028="","",IF('ORDENES'!$V1028="","-",'ORDENES'!$V1028))</f>
        <v/>
      </c>
      <c r="F1050" s="3">
        <f>IF('ORDENES'!$A1028="","",IF('ORDENES'!$X1028="","-",'ORDENES'!$X1028))</f>
        <v/>
      </c>
      <c r="G1050" s="3">
        <f>IF('ORDENES'!$A1028="","",IF('ORDENES'!$AC1028="","-",'ORDENES'!$AC1028))</f>
        <v/>
      </c>
      <c r="H1050" s="3">
        <f>IF('ORDENES'!$A1028="","",IF('ORDENES'!$AO1028="","-",'ORDENES'!$AO1028))</f>
        <v/>
      </c>
      <c r="I1050" s="3">
        <f>IF('ORDENES'!$A1028="","",IF('ORDENES'!$D1028="","-",'ORDENES'!$D1028))</f>
        <v/>
      </c>
      <c r="J1050" s="3">
        <f>IF('ORDENES'!$A1028="","",IF('ORDENES'!$E1028="","-",'ORDENES'!$E1028))</f>
        <v/>
      </c>
      <c r="K1050" s="12">
        <f>IF('ORDENES'!$A1028="","",IF('ORDENES'!$N1028="",0,'ORDENES'!$N1028))</f>
        <v/>
      </c>
      <c r="L1050" s="3">
        <f>IF('ORDENES'!$A1028="","",IF('ORDENES'!$O1028="","-",'ORDENES'!$O1028))</f>
        <v/>
      </c>
      <c r="M1050" s="3">
        <f>IF('ORDENES'!$A1028="","",'ORDENES'!$AB1028)</f>
        <v/>
      </c>
    </row>
    <row r="1051">
      <c r="A1051" s="3">
        <f>IF('ORDENES'!$A1029="","",IF('ORDENES'!$P1029="","-",'ORDENES'!$P1029))</f>
        <v/>
      </c>
      <c r="B1051" s="3">
        <f>IF('ORDENES'!$A1029="","",IF('ORDENES'!$S1029="","-",'ORDENES'!$S1029))</f>
        <v/>
      </c>
      <c r="C1051" s="3">
        <f>IF('ORDENES'!$A1029="","",IF('ORDENES'!$AD1029="","-",'ORDENES'!$AD1029))</f>
        <v/>
      </c>
      <c r="D1051" s="3">
        <f>IF('ORDENES'!$A1029="","",IF('ORDENES'!$W1029="","-",'ORDENES'!$W1029))</f>
        <v/>
      </c>
      <c r="E1051" s="3">
        <f>IF('ORDENES'!$A1029="","",IF('ORDENES'!$V1029="","-",'ORDENES'!$V1029))</f>
        <v/>
      </c>
      <c r="F1051" s="3">
        <f>IF('ORDENES'!$A1029="","",IF('ORDENES'!$X1029="","-",'ORDENES'!$X1029))</f>
        <v/>
      </c>
      <c r="G1051" s="3">
        <f>IF('ORDENES'!$A1029="","",IF('ORDENES'!$AC1029="","-",'ORDENES'!$AC1029))</f>
        <v/>
      </c>
      <c r="H1051" s="3">
        <f>IF('ORDENES'!$A1029="","",IF('ORDENES'!$AO1029="","-",'ORDENES'!$AO1029))</f>
        <v/>
      </c>
      <c r="I1051" s="3">
        <f>IF('ORDENES'!$A1029="","",IF('ORDENES'!$D1029="","-",'ORDENES'!$D1029))</f>
        <v/>
      </c>
      <c r="J1051" s="3">
        <f>IF('ORDENES'!$A1029="","",IF('ORDENES'!$E1029="","-",'ORDENES'!$E1029))</f>
        <v/>
      </c>
      <c r="K1051" s="12">
        <f>IF('ORDENES'!$A1029="","",IF('ORDENES'!$N1029="",0,'ORDENES'!$N1029))</f>
        <v/>
      </c>
      <c r="L1051" s="3">
        <f>IF('ORDENES'!$A1029="","",IF('ORDENES'!$O1029="","-",'ORDENES'!$O1029))</f>
        <v/>
      </c>
      <c r="M1051" s="3">
        <f>IF('ORDENES'!$A1029="","",'ORDENES'!$AB1029)</f>
        <v/>
      </c>
    </row>
    <row r="1052">
      <c r="A1052" s="3">
        <f>IF('ORDENES'!$A1030="","",IF('ORDENES'!$P1030="","-",'ORDENES'!$P1030))</f>
        <v/>
      </c>
      <c r="B1052" s="3">
        <f>IF('ORDENES'!$A1030="","",IF('ORDENES'!$S1030="","-",'ORDENES'!$S1030))</f>
        <v/>
      </c>
      <c r="C1052" s="3">
        <f>IF('ORDENES'!$A1030="","",IF('ORDENES'!$AD1030="","-",'ORDENES'!$AD1030))</f>
        <v/>
      </c>
      <c r="D1052" s="3">
        <f>IF('ORDENES'!$A1030="","",IF('ORDENES'!$W1030="","-",'ORDENES'!$W1030))</f>
        <v/>
      </c>
      <c r="E1052" s="3">
        <f>IF('ORDENES'!$A1030="","",IF('ORDENES'!$V1030="","-",'ORDENES'!$V1030))</f>
        <v/>
      </c>
      <c r="F1052" s="3">
        <f>IF('ORDENES'!$A1030="","",IF('ORDENES'!$X1030="","-",'ORDENES'!$X1030))</f>
        <v/>
      </c>
      <c r="G1052" s="3">
        <f>IF('ORDENES'!$A1030="","",IF('ORDENES'!$AC1030="","-",'ORDENES'!$AC1030))</f>
        <v/>
      </c>
      <c r="H1052" s="3">
        <f>IF('ORDENES'!$A1030="","",IF('ORDENES'!$AO1030="","-",'ORDENES'!$AO1030))</f>
        <v/>
      </c>
      <c r="I1052" s="3">
        <f>IF('ORDENES'!$A1030="","",IF('ORDENES'!$D1030="","-",'ORDENES'!$D1030))</f>
        <v/>
      </c>
      <c r="J1052" s="3">
        <f>IF('ORDENES'!$A1030="","",IF('ORDENES'!$E1030="","-",'ORDENES'!$E1030))</f>
        <v/>
      </c>
      <c r="K1052" s="12">
        <f>IF('ORDENES'!$A1030="","",IF('ORDENES'!$N1030="",0,'ORDENES'!$N1030))</f>
        <v/>
      </c>
      <c r="L1052" s="3">
        <f>IF('ORDENES'!$A1030="","",IF('ORDENES'!$O1030="","-",'ORDENES'!$O1030))</f>
        <v/>
      </c>
      <c r="M1052" s="3">
        <f>IF('ORDENES'!$A1030="","",'ORDENES'!$AB1030)</f>
        <v/>
      </c>
    </row>
    <row r="1053">
      <c r="A1053" s="3">
        <f>IF('ORDENES'!$A1031="","",IF('ORDENES'!$P1031="","-",'ORDENES'!$P1031))</f>
        <v/>
      </c>
      <c r="B1053" s="3">
        <f>IF('ORDENES'!$A1031="","",IF('ORDENES'!$S1031="","-",'ORDENES'!$S1031))</f>
        <v/>
      </c>
      <c r="C1053" s="3">
        <f>IF('ORDENES'!$A1031="","",IF('ORDENES'!$AD1031="","-",'ORDENES'!$AD1031))</f>
        <v/>
      </c>
      <c r="D1053" s="3">
        <f>IF('ORDENES'!$A1031="","",IF('ORDENES'!$W1031="","-",'ORDENES'!$W1031))</f>
        <v/>
      </c>
      <c r="E1053" s="3">
        <f>IF('ORDENES'!$A1031="","",IF('ORDENES'!$V1031="","-",'ORDENES'!$V1031))</f>
        <v/>
      </c>
      <c r="F1053" s="3">
        <f>IF('ORDENES'!$A1031="","",IF('ORDENES'!$X1031="","-",'ORDENES'!$X1031))</f>
        <v/>
      </c>
      <c r="G1053" s="3">
        <f>IF('ORDENES'!$A1031="","",IF('ORDENES'!$AC1031="","-",'ORDENES'!$AC1031))</f>
        <v/>
      </c>
      <c r="H1053" s="3">
        <f>IF('ORDENES'!$A1031="","",IF('ORDENES'!$AO1031="","-",'ORDENES'!$AO1031))</f>
        <v/>
      </c>
      <c r="I1053" s="3">
        <f>IF('ORDENES'!$A1031="","",IF('ORDENES'!$D1031="","-",'ORDENES'!$D1031))</f>
        <v/>
      </c>
      <c r="J1053" s="3">
        <f>IF('ORDENES'!$A1031="","",IF('ORDENES'!$E1031="","-",'ORDENES'!$E1031))</f>
        <v/>
      </c>
      <c r="K1053" s="12">
        <f>IF('ORDENES'!$A1031="","",IF('ORDENES'!$N1031="",0,'ORDENES'!$N1031))</f>
        <v/>
      </c>
      <c r="L1053" s="3">
        <f>IF('ORDENES'!$A1031="","",IF('ORDENES'!$O1031="","-",'ORDENES'!$O1031))</f>
        <v/>
      </c>
      <c r="M1053" s="3">
        <f>IF('ORDENES'!$A1031="","",'ORDENES'!$AB1031)</f>
        <v/>
      </c>
    </row>
    <row r="1054">
      <c r="A1054" s="3">
        <f>IF('ORDENES'!$A1032="","",IF('ORDENES'!$P1032="","-",'ORDENES'!$P1032))</f>
        <v/>
      </c>
      <c r="B1054" s="3">
        <f>IF('ORDENES'!$A1032="","",IF('ORDENES'!$S1032="","-",'ORDENES'!$S1032))</f>
        <v/>
      </c>
      <c r="C1054" s="3">
        <f>IF('ORDENES'!$A1032="","",IF('ORDENES'!$AD1032="","-",'ORDENES'!$AD1032))</f>
        <v/>
      </c>
      <c r="D1054" s="3">
        <f>IF('ORDENES'!$A1032="","",IF('ORDENES'!$W1032="","-",'ORDENES'!$W1032))</f>
        <v/>
      </c>
      <c r="E1054" s="3">
        <f>IF('ORDENES'!$A1032="","",IF('ORDENES'!$V1032="","-",'ORDENES'!$V1032))</f>
        <v/>
      </c>
      <c r="F1054" s="3">
        <f>IF('ORDENES'!$A1032="","",IF('ORDENES'!$X1032="","-",'ORDENES'!$X1032))</f>
        <v/>
      </c>
      <c r="G1054" s="3">
        <f>IF('ORDENES'!$A1032="","",IF('ORDENES'!$AC1032="","-",'ORDENES'!$AC1032))</f>
        <v/>
      </c>
      <c r="H1054" s="3">
        <f>IF('ORDENES'!$A1032="","",IF('ORDENES'!$AO1032="","-",'ORDENES'!$AO1032))</f>
        <v/>
      </c>
      <c r="I1054" s="3">
        <f>IF('ORDENES'!$A1032="","",IF('ORDENES'!$D1032="","-",'ORDENES'!$D1032))</f>
        <v/>
      </c>
      <c r="J1054" s="3">
        <f>IF('ORDENES'!$A1032="","",IF('ORDENES'!$E1032="","-",'ORDENES'!$E1032))</f>
        <v/>
      </c>
      <c r="K1054" s="12">
        <f>IF('ORDENES'!$A1032="","",IF('ORDENES'!$N1032="",0,'ORDENES'!$N1032))</f>
        <v/>
      </c>
      <c r="L1054" s="3">
        <f>IF('ORDENES'!$A1032="","",IF('ORDENES'!$O1032="","-",'ORDENES'!$O1032))</f>
        <v/>
      </c>
      <c r="M1054" s="3">
        <f>IF('ORDENES'!$A1032="","",'ORDENES'!$AB1032)</f>
        <v/>
      </c>
    </row>
    <row r="1055">
      <c r="A1055" s="3">
        <f>IF('ORDENES'!$A1033="","",IF('ORDENES'!$P1033="","-",'ORDENES'!$P1033))</f>
        <v/>
      </c>
      <c r="B1055" s="3">
        <f>IF('ORDENES'!$A1033="","",IF('ORDENES'!$S1033="","-",'ORDENES'!$S1033))</f>
        <v/>
      </c>
      <c r="C1055" s="3">
        <f>IF('ORDENES'!$A1033="","",IF('ORDENES'!$AD1033="","-",'ORDENES'!$AD1033))</f>
        <v/>
      </c>
      <c r="D1055" s="3">
        <f>IF('ORDENES'!$A1033="","",IF('ORDENES'!$W1033="","-",'ORDENES'!$W1033))</f>
        <v/>
      </c>
      <c r="E1055" s="3">
        <f>IF('ORDENES'!$A1033="","",IF('ORDENES'!$V1033="","-",'ORDENES'!$V1033))</f>
        <v/>
      </c>
      <c r="F1055" s="3">
        <f>IF('ORDENES'!$A1033="","",IF('ORDENES'!$X1033="","-",'ORDENES'!$X1033))</f>
        <v/>
      </c>
      <c r="G1055" s="3">
        <f>IF('ORDENES'!$A1033="","",IF('ORDENES'!$AC1033="","-",'ORDENES'!$AC1033))</f>
        <v/>
      </c>
      <c r="H1055" s="3">
        <f>IF('ORDENES'!$A1033="","",IF('ORDENES'!$AO1033="","-",'ORDENES'!$AO1033))</f>
        <v/>
      </c>
      <c r="I1055" s="3">
        <f>IF('ORDENES'!$A1033="","",IF('ORDENES'!$D1033="","-",'ORDENES'!$D1033))</f>
        <v/>
      </c>
      <c r="J1055" s="3">
        <f>IF('ORDENES'!$A1033="","",IF('ORDENES'!$E1033="","-",'ORDENES'!$E1033))</f>
        <v/>
      </c>
      <c r="K1055" s="12">
        <f>IF('ORDENES'!$A1033="","",IF('ORDENES'!$N1033="",0,'ORDENES'!$N1033))</f>
        <v/>
      </c>
      <c r="L1055" s="3">
        <f>IF('ORDENES'!$A1033="","",IF('ORDENES'!$O1033="","-",'ORDENES'!$O1033))</f>
        <v/>
      </c>
      <c r="M1055" s="3">
        <f>IF('ORDENES'!$A1033="","",'ORDENES'!$AB1033)</f>
        <v/>
      </c>
    </row>
    <row r="1056">
      <c r="A1056" s="3">
        <f>IF('ORDENES'!$A1034="","",IF('ORDENES'!$P1034="","-",'ORDENES'!$P1034))</f>
        <v/>
      </c>
      <c r="B1056" s="3">
        <f>IF('ORDENES'!$A1034="","",IF('ORDENES'!$S1034="","-",'ORDENES'!$S1034))</f>
        <v/>
      </c>
      <c r="C1056" s="3">
        <f>IF('ORDENES'!$A1034="","",IF('ORDENES'!$AD1034="","-",'ORDENES'!$AD1034))</f>
        <v/>
      </c>
      <c r="D1056" s="3">
        <f>IF('ORDENES'!$A1034="","",IF('ORDENES'!$W1034="","-",'ORDENES'!$W1034))</f>
        <v/>
      </c>
      <c r="E1056" s="3">
        <f>IF('ORDENES'!$A1034="","",IF('ORDENES'!$V1034="","-",'ORDENES'!$V1034))</f>
        <v/>
      </c>
      <c r="F1056" s="3">
        <f>IF('ORDENES'!$A1034="","",IF('ORDENES'!$X1034="","-",'ORDENES'!$X1034))</f>
        <v/>
      </c>
      <c r="G1056" s="3">
        <f>IF('ORDENES'!$A1034="","",IF('ORDENES'!$AC1034="","-",'ORDENES'!$AC1034))</f>
        <v/>
      </c>
      <c r="H1056" s="3">
        <f>IF('ORDENES'!$A1034="","",IF('ORDENES'!$AO1034="","-",'ORDENES'!$AO1034))</f>
        <v/>
      </c>
      <c r="I1056" s="3">
        <f>IF('ORDENES'!$A1034="","",IF('ORDENES'!$D1034="","-",'ORDENES'!$D1034))</f>
        <v/>
      </c>
      <c r="J1056" s="3">
        <f>IF('ORDENES'!$A1034="","",IF('ORDENES'!$E1034="","-",'ORDENES'!$E1034))</f>
        <v/>
      </c>
      <c r="K1056" s="12">
        <f>IF('ORDENES'!$A1034="","",IF('ORDENES'!$N1034="",0,'ORDENES'!$N1034))</f>
        <v/>
      </c>
      <c r="L1056" s="3">
        <f>IF('ORDENES'!$A1034="","",IF('ORDENES'!$O1034="","-",'ORDENES'!$O1034))</f>
        <v/>
      </c>
      <c r="M1056" s="3">
        <f>IF('ORDENES'!$A1034="","",'ORDENES'!$AB1034)</f>
        <v/>
      </c>
    </row>
    <row r="1057">
      <c r="A1057" s="3">
        <f>IF('ORDENES'!$A1035="","",IF('ORDENES'!$P1035="","-",'ORDENES'!$P1035))</f>
        <v/>
      </c>
      <c r="B1057" s="3">
        <f>IF('ORDENES'!$A1035="","",IF('ORDENES'!$S1035="","-",'ORDENES'!$S1035))</f>
        <v/>
      </c>
      <c r="C1057" s="3">
        <f>IF('ORDENES'!$A1035="","",IF('ORDENES'!$AD1035="","-",'ORDENES'!$AD1035))</f>
        <v/>
      </c>
      <c r="D1057" s="3">
        <f>IF('ORDENES'!$A1035="","",IF('ORDENES'!$W1035="","-",'ORDENES'!$W1035))</f>
        <v/>
      </c>
      <c r="E1057" s="3">
        <f>IF('ORDENES'!$A1035="","",IF('ORDENES'!$V1035="","-",'ORDENES'!$V1035))</f>
        <v/>
      </c>
      <c r="F1057" s="3">
        <f>IF('ORDENES'!$A1035="","",IF('ORDENES'!$X1035="","-",'ORDENES'!$X1035))</f>
        <v/>
      </c>
      <c r="G1057" s="3">
        <f>IF('ORDENES'!$A1035="","",IF('ORDENES'!$AC1035="","-",'ORDENES'!$AC1035))</f>
        <v/>
      </c>
      <c r="H1057" s="3">
        <f>IF('ORDENES'!$A1035="","",IF('ORDENES'!$AO1035="","-",'ORDENES'!$AO1035))</f>
        <v/>
      </c>
      <c r="I1057" s="3">
        <f>IF('ORDENES'!$A1035="","",IF('ORDENES'!$D1035="","-",'ORDENES'!$D1035))</f>
        <v/>
      </c>
      <c r="J1057" s="3">
        <f>IF('ORDENES'!$A1035="","",IF('ORDENES'!$E1035="","-",'ORDENES'!$E1035))</f>
        <v/>
      </c>
      <c r="K1057" s="12">
        <f>IF('ORDENES'!$A1035="","",IF('ORDENES'!$N1035="",0,'ORDENES'!$N1035))</f>
        <v/>
      </c>
      <c r="L1057" s="3">
        <f>IF('ORDENES'!$A1035="","",IF('ORDENES'!$O1035="","-",'ORDENES'!$O1035))</f>
        <v/>
      </c>
      <c r="M1057" s="3">
        <f>IF('ORDENES'!$A1035="","",'ORDENES'!$AB1035)</f>
        <v/>
      </c>
    </row>
    <row r="1058">
      <c r="A1058" s="3">
        <f>IF('ORDENES'!$A1036="","",IF('ORDENES'!$P1036="","-",'ORDENES'!$P1036))</f>
        <v/>
      </c>
      <c r="B1058" s="3">
        <f>IF('ORDENES'!$A1036="","",IF('ORDENES'!$S1036="","-",'ORDENES'!$S1036))</f>
        <v/>
      </c>
      <c r="C1058" s="3">
        <f>IF('ORDENES'!$A1036="","",IF('ORDENES'!$AD1036="","-",'ORDENES'!$AD1036))</f>
        <v/>
      </c>
      <c r="D1058" s="3">
        <f>IF('ORDENES'!$A1036="","",IF('ORDENES'!$W1036="","-",'ORDENES'!$W1036))</f>
        <v/>
      </c>
      <c r="E1058" s="3">
        <f>IF('ORDENES'!$A1036="","",IF('ORDENES'!$V1036="","-",'ORDENES'!$V1036))</f>
        <v/>
      </c>
      <c r="F1058" s="3">
        <f>IF('ORDENES'!$A1036="","",IF('ORDENES'!$X1036="","-",'ORDENES'!$X1036))</f>
        <v/>
      </c>
      <c r="G1058" s="3">
        <f>IF('ORDENES'!$A1036="","",IF('ORDENES'!$AC1036="","-",'ORDENES'!$AC1036))</f>
        <v/>
      </c>
      <c r="H1058" s="3">
        <f>IF('ORDENES'!$A1036="","",IF('ORDENES'!$AO1036="","-",'ORDENES'!$AO1036))</f>
        <v/>
      </c>
      <c r="I1058" s="3">
        <f>IF('ORDENES'!$A1036="","",IF('ORDENES'!$D1036="","-",'ORDENES'!$D1036))</f>
        <v/>
      </c>
      <c r="J1058" s="3">
        <f>IF('ORDENES'!$A1036="","",IF('ORDENES'!$E1036="","-",'ORDENES'!$E1036))</f>
        <v/>
      </c>
      <c r="K1058" s="12">
        <f>IF('ORDENES'!$A1036="","",IF('ORDENES'!$N1036="",0,'ORDENES'!$N1036))</f>
        <v/>
      </c>
      <c r="L1058" s="3">
        <f>IF('ORDENES'!$A1036="","",IF('ORDENES'!$O1036="","-",'ORDENES'!$O1036))</f>
        <v/>
      </c>
      <c r="M1058" s="3">
        <f>IF('ORDENES'!$A1036="","",'ORDENES'!$AB1036)</f>
        <v/>
      </c>
    </row>
    <row r="1059">
      <c r="A1059" s="3">
        <f>IF('ORDENES'!$A1037="","",IF('ORDENES'!$P1037="","-",'ORDENES'!$P1037))</f>
        <v/>
      </c>
      <c r="B1059" s="3">
        <f>IF('ORDENES'!$A1037="","",IF('ORDENES'!$S1037="","-",'ORDENES'!$S1037))</f>
        <v/>
      </c>
      <c r="C1059" s="3">
        <f>IF('ORDENES'!$A1037="","",IF('ORDENES'!$AD1037="","-",'ORDENES'!$AD1037))</f>
        <v/>
      </c>
      <c r="D1059" s="3">
        <f>IF('ORDENES'!$A1037="","",IF('ORDENES'!$W1037="","-",'ORDENES'!$W1037))</f>
        <v/>
      </c>
      <c r="E1059" s="3">
        <f>IF('ORDENES'!$A1037="","",IF('ORDENES'!$V1037="","-",'ORDENES'!$V1037))</f>
        <v/>
      </c>
      <c r="F1059" s="3">
        <f>IF('ORDENES'!$A1037="","",IF('ORDENES'!$X1037="","-",'ORDENES'!$X1037))</f>
        <v/>
      </c>
      <c r="G1059" s="3">
        <f>IF('ORDENES'!$A1037="","",IF('ORDENES'!$AC1037="","-",'ORDENES'!$AC1037))</f>
        <v/>
      </c>
      <c r="H1059" s="3">
        <f>IF('ORDENES'!$A1037="","",IF('ORDENES'!$AO1037="","-",'ORDENES'!$AO1037))</f>
        <v/>
      </c>
      <c r="I1059" s="3">
        <f>IF('ORDENES'!$A1037="","",IF('ORDENES'!$D1037="","-",'ORDENES'!$D1037))</f>
        <v/>
      </c>
      <c r="J1059" s="3">
        <f>IF('ORDENES'!$A1037="","",IF('ORDENES'!$E1037="","-",'ORDENES'!$E1037))</f>
        <v/>
      </c>
      <c r="K1059" s="12">
        <f>IF('ORDENES'!$A1037="","",IF('ORDENES'!$N1037="",0,'ORDENES'!$N1037))</f>
        <v/>
      </c>
      <c r="L1059" s="3">
        <f>IF('ORDENES'!$A1037="","",IF('ORDENES'!$O1037="","-",'ORDENES'!$O1037))</f>
        <v/>
      </c>
      <c r="M1059" s="3">
        <f>IF('ORDENES'!$A1037="","",'ORDENES'!$AB1037)</f>
        <v/>
      </c>
    </row>
    <row r="1060">
      <c r="A1060" s="3">
        <f>IF('ORDENES'!$A1038="","",IF('ORDENES'!$P1038="","-",'ORDENES'!$P1038))</f>
        <v/>
      </c>
      <c r="B1060" s="3">
        <f>IF('ORDENES'!$A1038="","",IF('ORDENES'!$S1038="","-",'ORDENES'!$S1038))</f>
        <v/>
      </c>
      <c r="C1060" s="3">
        <f>IF('ORDENES'!$A1038="","",IF('ORDENES'!$AD1038="","-",'ORDENES'!$AD1038))</f>
        <v/>
      </c>
      <c r="D1060" s="3">
        <f>IF('ORDENES'!$A1038="","",IF('ORDENES'!$W1038="","-",'ORDENES'!$W1038))</f>
        <v/>
      </c>
      <c r="E1060" s="3">
        <f>IF('ORDENES'!$A1038="","",IF('ORDENES'!$V1038="","-",'ORDENES'!$V1038))</f>
        <v/>
      </c>
      <c r="F1060" s="3">
        <f>IF('ORDENES'!$A1038="","",IF('ORDENES'!$X1038="","-",'ORDENES'!$X1038))</f>
        <v/>
      </c>
      <c r="G1060" s="3">
        <f>IF('ORDENES'!$A1038="","",IF('ORDENES'!$AC1038="","-",'ORDENES'!$AC1038))</f>
        <v/>
      </c>
      <c r="H1060" s="3">
        <f>IF('ORDENES'!$A1038="","",IF('ORDENES'!$AO1038="","-",'ORDENES'!$AO1038))</f>
        <v/>
      </c>
      <c r="I1060" s="3">
        <f>IF('ORDENES'!$A1038="","",IF('ORDENES'!$D1038="","-",'ORDENES'!$D1038))</f>
        <v/>
      </c>
      <c r="J1060" s="3">
        <f>IF('ORDENES'!$A1038="","",IF('ORDENES'!$E1038="","-",'ORDENES'!$E1038))</f>
        <v/>
      </c>
      <c r="K1060" s="12">
        <f>IF('ORDENES'!$A1038="","",IF('ORDENES'!$N1038="",0,'ORDENES'!$N1038))</f>
        <v/>
      </c>
      <c r="L1060" s="3">
        <f>IF('ORDENES'!$A1038="","",IF('ORDENES'!$O1038="","-",'ORDENES'!$O1038))</f>
        <v/>
      </c>
      <c r="M1060" s="3">
        <f>IF('ORDENES'!$A1038="","",'ORDENES'!$AB1038)</f>
        <v/>
      </c>
    </row>
    <row r="1061">
      <c r="A1061" s="3">
        <f>IF('ORDENES'!$A1039="","",IF('ORDENES'!$P1039="","-",'ORDENES'!$P1039))</f>
        <v/>
      </c>
      <c r="B1061" s="3">
        <f>IF('ORDENES'!$A1039="","",IF('ORDENES'!$S1039="","-",'ORDENES'!$S1039))</f>
        <v/>
      </c>
      <c r="C1061" s="3">
        <f>IF('ORDENES'!$A1039="","",IF('ORDENES'!$AD1039="","-",'ORDENES'!$AD1039))</f>
        <v/>
      </c>
      <c r="D1061" s="3">
        <f>IF('ORDENES'!$A1039="","",IF('ORDENES'!$W1039="","-",'ORDENES'!$W1039))</f>
        <v/>
      </c>
      <c r="E1061" s="3">
        <f>IF('ORDENES'!$A1039="","",IF('ORDENES'!$V1039="","-",'ORDENES'!$V1039))</f>
        <v/>
      </c>
      <c r="F1061" s="3">
        <f>IF('ORDENES'!$A1039="","",IF('ORDENES'!$X1039="","-",'ORDENES'!$X1039))</f>
        <v/>
      </c>
      <c r="G1061" s="3">
        <f>IF('ORDENES'!$A1039="","",IF('ORDENES'!$AC1039="","-",'ORDENES'!$AC1039))</f>
        <v/>
      </c>
      <c r="H1061" s="3">
        <f>IF('ORDENES'!$A1039="","",IF('ORDENES'!$AO1039="","-",'ORDENES'!$AO1039))</f>
        <v/>
      </c>
      <c r="I1061" s="3">
        <f>IF('ORDENES'!$A1039="","",IF('ORDENES'!$D1039="","-",'ORDENES'!$D1039))</f>
        <v/>
      </c>
      <c r="J1061" s="3">
        <f>IF('ORDENES'!$A1039="","",IF('ORDENES'!$E1039="","-",'ORDENES'!$E1039))</f>
        <v/>
      </c>
      <c r="K1061" s="12">
        <f>IF('ORDENES'!$A1039="","",IF('ORDENES'!$N1039="",0,'ORDENES'!$N1039))</f>
        <v/>
      </c>
      <c r="L1061" s="3">
        <f>IF('ORDENES'!$A1039="","",IF('ORDENES'!$O1039="","-",'ORDENES'!$O1039))</f>
        <v/>
      </c>
      <c r="M1061" s="3">
        <f>IF('ORDENES'!$A1039="","",'ORDENES'!$AB1039)</f>
        <v/>
      </c>
    </row>
    <row r="1062">
      <c r="A1062" s="3">
        <f>IF('ORDENES'!$A1040="","",IF('ORDENES'!$P1040="","-",'ORDENES'!$P1040))</f>
        <v/>
      </c>
      <c r="B1062" s="3">
        <f>IF('ORDENES'!$A1040="","",IF('ORDENES'!$S1040="","-",'ORDENES'!$S1040))</f>
        <v/>
      </c>
      <c r="C1062" s="3">
        <f>IF('ORDENES'!$A1040="","",IF('ORDENES'!$AD1040="","-",'ORDENES'!$AD1040))</f>
        <v/>
      </c>
      <c r="D1062" s="3">
        <f>IF('ORDENES'!$A1040="","",IF('ORDENES'!$W1040="","-",'ORDENES'!$W1040))</f>
        <v/>
      </c>
      <c r="E1062" s="3">
        <f>IF('ORDENES'!$A1040="","",IF('ORDENES'!$V1040="","-",'ORDENES'!$V1040))</f>
        <v/>
      </c>
      <c r="F1062" s="3">
        <f>IF('ORDENES'!$A1040="","",IF('ORDENES'!$X1040="","-",'ORDENES'!$X1040))</f>
        <v/>
      </c>
      <c r="G1062" s="3">
        <f>IF('ORDENES'!$A1040="","",IF('ORDENES'!$AC1040="","-",'ORDENES'!$AC1040))</f>
        <v/>
      </c>
      <c r="H1062" s="3">
        <f>IF('ORDENES'!$A1040="","",IF('ORDENES'!$AO1040="","-",'ORDENES'!$AO1040))</f>
        <v/>
      </c>
      <c r="I1062" s="3">
        <f>IF('ORDENES'!$A1040="","",IF('ORDENES'!$D1040="","-",'ORDENES'!$D1040))</f>
        <v/>
      </c>
      <c r="J1062" s="3">
        <f>IF('ORDENES'!$A1040="","",IF('ORDENES'!$E1040="","-",'ORDENES'!$E1040))</f>
        <v/>
      </c>
      <c r="K1062" s="12">
        <f>IF('ORDENES'!$A1040="","",IF('ORDENES'!$N1040="",0,'ORDENES'!$N1040))</f>
        <v/>
      </c>
      <c r="L1062" s="3">
        <f>IF('ORDENES'!$A1040="","",IF('ORDENES'!$O1040="","-",'ORDENES'!$O1040))</f>
        <v/>
      </c>
      <c r="M1062" s="3">
        <f>IF('ORDENES'!$A1040="","",'ORDENES'!$AB1040)</f>
        <v/>
      </c>
    </row>
    <row r="1063">
      <c r="A1063" s="3">
        <f>IF('ORDENES'!$A1041="","",IF('ORDENES'!$P1041="","-",'ORDENES'!$P1041))</f>
        <v/>
      </c>
      <c r="B1063" s="3">
        <f>IF('ORDENES'!$A1041="","",IF('ORDENES'!$S1041="","-",'ORDENES'!$S1041))</f>
        <v/>
      </c>
      <c r="C1063" s="3">
        <f>IF('ORDENES'!$A1041="","",IF('ORDENES'!$AD1041="","-",'ORDENES'!$AD1041))</f>
        <v/>
      </c>
      <c r="D1063" s="3">
        <f>IF('ORDENES'!$A1041="","",IF('ORDENES'!$W1041="","-",'ORDENES'!$W1041))</f>
        <v/>
      </c>
      <c r="E1063" s="3">
        <f>IF('ORDENES'!$A1041="","",IF('ORDENES'!$V1041="","-",'ORDENES'!$V1041))</f>
        <v/>
      </c>
      <c r="F1063" s="3">
        <f>IF('ORDENES'!$A1041="","",IF('ORDENES'!$X1041="","-",'ORDENES'!$X1041))</f>
        <v/>
      </c>
      <c r="G1063" s="3">
        <f>IF('ORDENES'!$A1041="","",IF('ORDENES'!$AC1041="","-",'ORDENES'!$AC1041))</f>
        <v/>
      </c>
      <c r="H1063" s="3">
        <f>IF('ORDENES'!$A1041="","",IF('ORDENES'!$AO1041="","-",'ORDENES'!$AO1041))</f>
        <v/>
      </c>
      <c r="I1063" s="3">
        <f>IF('ORDENES'!$A1041="","",IF('ORDENES'!$D1041="","-",'ORDENES'!$D1041))</f>
        <v/>
      </c>
      <c r="J1063" s="3">
        <f>IF('ORDENES'!$A1041="","",IF('ORDENES'!$E1041="","-",'ORDENES'!$E1041))</f>
        <v/>
      </c>
      <c r="K1063" s="12">
        <f>IF('ORDENES'!$A1041="","",IF('ORDENES'!$N1041="",0,'ORDENES'!$N1041))</f>
        <v/>
      </c>
      <c r="L1063" s="3">
        <f>IF('ORDENES'!$A1041="","",IF('ORDENES'!$O1041="","-",'ORDENES'!$O1041))</f>
        <v/>
      </c>
      <c r="M1063" s="3">
        <f>IF('ORDENES'!$A1041="","",'ORDENES'!$AB1041)</f>
        <v/>
      </c>
    </row>
    <row r="1064">
      <c r="A1064" s="3">
        <f>IF('ORDENES'!$A1042="","",IF('ORDENES'!$P1042="","-",'ORDENES'!$P1042))</f>
        <v/>
      </c>
      <c r="B1064" s="3">
        <f>IF('ORDENES'!$A1042="","",IF('ORDENES'!$S1042="","-",'ORDENES'!$S1042))</f>
        <v/>
      </c>
      <c r="C1064" s="3">
        <f>IF('ORDENES'!$A1042="","",IF('ORDENES'!$AD1042="","-",'ORDENES'!$AD1042))</f>
        <v/>
      </c>
      <c r="D1064" s="3">
        <f>IF('ORDENES'!$A1042="","",IF('ORDENES'!$W1042="","-",'ORDENES'!$W1042))</f>
        <v/>
      </c>
      <c r="E1064" s="3">
        <f>IF('ORDENES'!$A1042="","",IF('ORDENES'!$V1042="","-",'ORDENES'!$V1042))</f>
        <v/>
      </c>
      <c r="F1064" s="3">
        <f>IF('ORDENES'!$A1042="","",IF('ORDENES'!$X1042="","-",'ORDENES'!$X1042))</f>
        <v/>
      </c>
      <c r="G1064" s="3">
        <f>IF('ORDENES'!$A1042="","",IF('ORDENES'!$AC1042="","-",'ORDENES'!$AC1042))</f>
        <v/>
      </c>
      <c r="H1064" s="3">
        <f>IF('ORDENES'!$A1042="","",IF('ORDENES'!$AO1042="","-",'ORDENES'!$AO1042))</f>
        <v/>
      </c>
      <c r="I1064" s="3">
        <f>IF('ORDENES'!$A1042="","",IF('ORDENES'!$D1042="","-",'ORDENES'!$D1042))</f>
        <v/>
      </c>
      <c r="J1064" s="3">
        <f>IF('ORDENES'!$A1042="","",IF('ORDENES'!$E1042="","-",'ORDENES'!$E1042))</f>
        <v/>
      </c>
      <c r="K1064" s="12">
        <f>IF('ORDENES'!$A1042="","",IF('ORDENES'!$N1042="",0,'ORDENES'!$N1042))</f>
        <v/>
      </c>
      <c r="L1064" s="3">
        <f>IF('ORDENES'!$A1042="","",IF('ORDENES'!$O1042="","-",'ORDENES'!$O1042))</f>
        <v/>
      </c>
      <c r="M1064" s="3">
        <f>IF('ORDENES'!$A1042="","",'ORDENES'!$AB1042)</f>
        <v/>
      </c>
    </row>
    <row r="1065">
      <c r="A1065" s="3">
        <f>IF('ORDENES'!$A1043="","",IF('ORDENES'!$P1043="","-",'ORDENES'!$P1043))</f>
        <v/>
      </c>
      <c r="B1065" s="3">
        <f>IF('ORDENES'!$A1043="","",IF('ORDENES'!$S1043="","-",'ORDENES'!$S1043))</f>
        <v/>
      </c>
      <c r="C1065" s="3">
        <f>IF('ORDENES'!$A1043="","",IF('ORDENES'!$AD1043="","-",'ORDENES'!$AD1043))</f>
        <v/>
      </c>
      <c r="D1065" s="3">
        <f>IF('ORDENES'!$A1043="","",IF('ORDENES'!$W1043="","-",'ORDENES'!$W1043))</f>
        <v/>
      </c>
      <c r="E1065" s="3">
        <f>IF('ORDENES'!$A1043="","",IF('ORDENES'!$V1043="","-",'ORDENES'!$V1043))</f>
        <v/>
      </c>
      <c r="F1065" s="3">
        <f>IF('ORDENES'!$A1043="","",IF('ORDENES'!$X1043="","-",'ORDENES'!$X1043))</f>
        <v/>
      </c>
      <c r="G1065" s="3">
        <f>IF('ORDENES'!$A1043="","",IF('ORDENES'!$AC1043="","-",'ORDENES'!$AC1043))</f>
        <v/>
      </c>
      <c r="H1065" s="3">
        <f>IF('ORDENES'!$A1043="","",IF('ORDENES'!$AO1043="","-",'ORDENES'!$AO1043))</f>
        <v/>
      </c>
      <c r="I1065" s="3">
        <f>IF('ORDENES'!$A1043="","",IF('ORDENES'!$D1043="","-",'ORDENES'!$D1043))</f>
        <v/>
      </c>
      <c r="J1065" s="3">
        <f>IF('ORDENES'!$A1043="","",IF('ORDENES'!$E1043="","-",'ORDENES'!$E1043))</f>
        <v/>
      </c>
      <c r="K1065" s="12">
        <f>IF('ORDENES'!$A1043="","",IF('ORDENES'!$N1043="",0,'ORDENES'!$N1043))</f>
        <v/>
      </c>
      <c r="L1065" s="3">
        <f>IF('ORDENES'!$A1043="","",IF('ORDENES'!$O1043="","-",'ORDENES'!$O1043))</f>
        <v/>
      </c>
      <c r="M1065" s="3">
        <f>IF('ORDENES'!$A1043="","",'ORDENES'!$AB1043)</f>
        <v/>
      </c>
    </row>
    <row r="1066">
      <c r="A1066" s="3">
        <f>IF('ORDENES'!$A1044="","",IF('ORDENES'!$P1044="","-",'ORDENES'!$P1044))</f>
        <v/>
      </c>
      <c r="B1066" s="3">
        <f>IF('ORDENES'!$A1044="","",IF('ORDENES'!$S1044="","-",'ORDENES'!$S1044))</f>
        <v/>
      </c>
      <c r="C1066" s="3">
        <f>IF('ORDENES'!$A1044="","",IF('ORDENES'!$AD1044="","-",'ORDENES'!$AD1044))</f>
        <v/>
      </c>
      <c r="D1066" s="3">
        <f>IF('ORDENES'!$A1044="","",IF('ORDENES'!$W1044="","-",'ORDENES'!$W1044))</f>
        <v/>
      </c>
      <c r="E1066" s="3">
        <f>IF('ORDENES'!$A1044="","",IF('ORDENES'!$V1044="","-",'ORDENES'!$V1044))</f>
        <v/>
      </c>
      <c r="F1066" s="3">
        <f>IF('ORDENES'!$A1044="","",IF('ORDENES'!$X1044="","-",'ORDENES'!$X1044))</f>
        <v/>
      </c>
      <c r="G1066" s="3">
        <f>IF('ORDENES'!$A1044="","",IF('ORDENES'!$AC1044="","-",'ORDENES'!$AC1044))</f>
        <v/>
      </c>
      <c r="H1066" s="3">
        <f>IF('ORDENES'!$A1044="","",IF('ORDENES'!$AO1044="","-",'ORDENES'!$AO1044))</f>
        <v/>
      </c>
      <c r="I1066" s="3">
        <f>IF('ORDENES'!$A1044="","",IF('ORDENES'!$D1044="","-",'ORDENES'!$D1044))</f>
        <v/>
      </c>
      <c r="J1066" s="3">
        <f>IF('ORDENES'!$A1044="","",IF('ORDENES'!$E1044="","-",'ORDENES'!$E1044))</f>
        <v/>
      </c>
      <c r="K1066" s="12">
        <f>IF('ORDENES'!$A1044="","",IF('ORDENES'!$N1044="",0,'ORDENES'!$N1044))</f>
        <v/>
      </c>
      <c r="L1066" s="3">
        <f>IF('ORDENES'!$A1044="","",IF('ORDENES'!$O1044="","-",'ORDENES'!$O1044))</f>
        <v/>
      </c>
      <c r="M1066" s="3">
        <f>IF('ORDENES'!$A1044="","",'ORDENES'!$AB1044)</f>
        <v/>
      </c>
    </row>
    <row r="1067">
      <c r="A1067" s="3">
        <f>IF('ORDENES'!$A1045="","",IF('ORDENES'!$P1045="","-",'ORDENES'!$P1045))</f>
        <v/>
      </c>
      <c r="B1067" s="3">
        <f>IF('ORDENES'!$A1045="","",IF('ORDENES'!$S1045="","-",'ORDENES'!$S1045))</f>
        <v/>
      </c>
      <c r="C1067" s="3">
        <f>IF('ORDENES'!$A1045="","",IF('ORDENES'!$AD1045="","-",'ORDENES'!$AD1045))</f>
        <v/>
      </c>
      <c r="D1067" s="3">
        <f>IF('ORDENES'!$A1045="","",IF('ORDENES'!$W1045="","-",'ORDENES'!$W1045))</f>
        <v/>
      </c>
      <c r="E1067" s="3">
        <f>IF('ORDENES'!$A1045="","",IF('ORDENES'!$V1045="","-",'ORDENES'!$V1045))</f>
        <v/>
      </c>
      <c r="F1067" s="3">
        <f>IF('ORDENES'!$A1045="","",IF('ORDENES'!$X1045="","-",'ORDENES'!$X1045))</f>
        <v/>
      </c>
      <c r="G1067" s="3">
        <f>IF('ORDENES'!$A1045="","",IF('ORDENES'!$AC1045="","-",'ORDENES'!$AC1045))</f>
        <v/>
      </c>
      <c r="H1067" s="3">
        <f>IF('ORDENES'!$A1045="","",IF('ORDENES'!$AO1045="","-",'ORDENES'!$AO1045))</f>
        <v/>
      </c>
      <c r="I1067" s="3">
        <f>IF('ORDENES'!$A1045="","",IF('ORDENES'!$D1045="","-",'ORDENES'!$D1045))</f>
        <v/>
      </c>
      <c r="J1067" s="3">
        <f>IF('ORDENES'!$A1045="","",IF('ORDENES'!$E1045="","-",'ORDENES'!$E1045))</f>
        <v/>
      </c>
      <c r="K1067" s="12">
        <f>IF('ORDENES'!$A1045="","",IF('ORDENES'!$N1045="",0,'ORDENES'!$N1045))</f>
        <v/>
      </c>
      <c r="L1067" s="3">
        <f>IF('ORDENES'!$A1045="","",IF('ORDENES'!$O1045="","-",'ORDENES'!$O1045))</f>
        <v/>
      </c>
      <c r="M1067" s="3">
        <f>IF('ORDENES'!$A1045="","",'ORDENES'!$AB1045)</f>
        <v/>
      </c>
    </row>
    <row r="1068">
      <c r="A1068" s="3">
        <f>IF('ORDENES'!$A1046="","",IF('ORDENES'!$P1046="","-",'ORDENES'!$P1046))</f>
        <v/>
      </c>
      <c r="B1068" s="3">
        <f>IF('ORDENES'!$A1046="","",IF('ORDENES'!$S1046="","-",'ORDENES'!$S1046))</f>
        <v/>
      </c>
      <c r="C1068" s="3">
        <f>IF('ORDENES'!$A1046="","",IF('ORDENES'!$AD1046="","-",'ORDENES'!$AD1046))</f>
        <v/>
      </c>
      <c r="D1068" s="3">
        <f>IF('ORDENES'!$A1046="","",IF('ORDENES'!$W1046="","-",'ORDENES'!$W1046))</f>
        <v/>
      </c>
      <c r="E1068" s="3">
        <f>IF('ORDENES'!$A1046="","",IF('ORDENES'!$V1046="","-",'ORDENES'!$V1046))</f>
        <v/>
      </c>
      <c r="F1068" s="3">
        <f>IF('ORDENES'!$A1046="","",IF('ORDENES'!$X1046="","-",'ORDENES'!$X1046))</f>
        <v/>
      </c>
      <c r="G1068" s="3">
        <f>IF('ORDENES'!$A1046="","",IF('ORDENES'!$AC1046="","-",'ORDENES'!$AC1046))</f>
        <v/>
      </c>
      <c r="H1068" s="3">
        <f>IF('ORDENES'!$A1046="","",IF('ORDENES'!$AO1046="","-",'ORDENES'!$AO1046))</f>
        <v/>
      </c>
      <c r="I1068" s="3">
        <f>IF('ORDENES'!$A1046="","",IF('ORDENES'!$D1046="","-",'ORDENES'!$D1046))</f>
        <v/>
      </c>
      <c r="J1068" s="3">
        <f>IF('ORDENES'!$A1046="","",IF('ORDENES'!$E1046="","-",'ORDENES'!$E1046))</f>
        <v/>
      </c>
      <c r="K1068" s="12">
        <f>IF('ORDENES'!$A1046="","",IF('ORDENES'!$N1046="",0,'ORDENES'!$N1046))</f>
        <v/>
      </c>
      <c r="L1068" s="3">
        <f>IF('ORDENES'!$A1046="","",IF('ORDENES'!$O1046="","-",'ORDENES'!$O1046))</f>
        <v/>
      </c>
      <c r="M1068" s="3">
        <f>IF('ORDENES'!$A1046="","",'ORDENES'!$AB1046)</f>
        <v/>
      </c>
    </row>
    <row r="1069">
      <c r="A1069" s="3">
        <f>IF('ORDENES'!$A1047="","",IF('ORDENES'!$P1047="","-",'ORDENES'!$P1047))</f>
        <v/>
      </c>
      <c r="B1069" s="3">
        <f>IF('ORDENES'!$A1047="","",IF('ORDENES'!$S1047="","-",'ORDENES'!$S1047))</f>
        <v/>
      </c>
      <c r="C1069" s="3">
        <f>IF('ORDENES'!$A1047="","",IF('ORDENES'!$AD1047="","-",'ORDENES'!$AD1047))</f>
        <v/>
      </c>
      <c r="D1069" s="3">
        <f>IF('ORDENES'!$A1047="","",IF('ORDENES'!$W1047="","-",'ORDENES'!$W1047))</f>
        <v/>
      </c>
      <c r="E1069" s="3">
        <f>IF('ORDENES'!$A1047="","",IF('ORDENES'!$V1047="","-",'ORDENES'!$V1047))</f>
        <v/>
      </c>
      <c r="F1069" s="3">
        <f>IF('ORDENES'!$A1047="","",IF('ORDENES'!$X1047="","-",'ORDENES'!$X1047))</f>
        <v/>
      </c>
      <c r="G1069" s="3">
        <f>IF('ORDENES'!$A1047="","",IF('ORDENES'!$AC1047="","-",'ORDENES'!$AC1047))</f>
        <v/>
      </c>
      <c r="H1069" s="3">
        <f>IF('ORDENES'!$A1047="","",IF('ORDENES'!$AO1047="","-",'ORDENES'!$AO1047))</f>
        <v/>
      </c>
      <c r="I1069" s="3">
        <f>IF('ORDENES'!$A1047="","",IF('ORDENES'!$D1047="","-",'ORDENES'!$D1047))</f>
        <v/>
      </c>
      <c r="J1069" s="3">
        <f>IF('ORDENES'!$A1047="","",IF('ORDENES'!$E1047="","-",'ORDENES'!$E1047))</f>
        <v/>
      </c>
      <c r="K1069" s="12">
        <f>IF('ORDENES'!$A1047="","",IF('ORDENES'!$N1047="",0,'ORDENES'!$N1047))</f>
        <v/>
      </c>
      <c r="L1069" s="3">
        <f>IF('ORDENES'!$A1047="","",IF('ORDENES'!$O1047="","-",'ORDENES'!$O1047))</f>
        <v/>
      </c>
      <c r="M1069" s="3">
        <f>IF('ORDENES'!$A1047="","",'ORDENES'!$AB1047)</f>
        <v/>
      </c>
    </row>
    <row r="1070">
      <c r="A1070" s="3">
        <f>IF('ORDENES'!$A1048="","",IF('ORDENES'!$P1048="","-",'ORDENES'!$P1048))</f>
        <v/>
      </c>
      <c r="B1070" s="3">
        <f>IF('ORDENES'!$A1048="","",IF('ORDENES'!$S1048="","-",'ORDENES'!$S1048))</f>
        <v/>
      </c>
      <c r="C1070" s="3">
        <f>IF('ORDENES'!$A1048="","",IF('ORDENES'!$AD1048="","-",'ORDENES'!$AD1048))</f>
        <v/>
      </c>
      <c r="D1070" s="3">
        <f>IF('ORDENES'!$A1048="","",IF('ORDENES'!$W1048="","-",'ORDENES'!$W1048))</f>
        <v/>
      </c>
      <c r="E1070" s="3">
        <f>IF('ORDENES'!$A1048="","",IF('ORDENES'!$V1048="","-",'ORDENES'!$V1048))</f>
        <v/>
      </c>
      <c r="F1070" s="3">
        <f>IF('ORDENES'!$A1048="","",IF('ORDENES'!$X1048="","-",'ORDENES'!$X1048))</f>
        <v/>
      </c>
      <c r="G1070" s="3">
        <f>IF('ORDENES'!$A1048="","",IF('ORDENES'!$AC1048="","-",'ORDENES'!$AC1048))</f>
        <v/>
      </c>
      <c r="H1070" s="3">
        <f>IF('ORDENES'!$A1048="","",IF('ORDENES'!$AO1048="","-",'ORDENES'!$AO1048))</f>
        <v/>
      </c>
      <c r="I1070" s="3">
        <f>IF('ORDENES'!$A1048="","",IF('ORDENES'!$D1048="","-",'ORDENES'!$D1048))</f>
        <v/>
      </c>
      <c r="J1070" s="3">
        <f>IF('ORDENES'!$A1048="","",IF('ORDENES'!$E1048="","-",'ORDENES'!$E1048))</f>
        <v/>
      </c>
      <c r="K1070" s="12">
        <f>IF('ORDENES'!$A1048="","",IF('ORDENES'!$N1048="",0,'ORDENES'!$N1048))</f>
        <v/>
      </c>
      <c r="L1070" s="3">
        <f>IF('ORDENES'!$A1048="","",IF('ORDENES'!$O1048="","-",'ORDENES'!$O1048))</f>
        <v/>
      </c>
      <c r="M1070" s="3">
        <f>IF('ORDENES'!$A1048="","",'ORDENES'!$AB1048)</f>
        <v/>
      </c>
    </row>
    <row r="1071">
      <c r="A1071" s="3">
        <f>IF('ORDENES'!$A1049="","",IF('ORDENES'!$P1049="","-",'ORDENES'!$P1049))</f>
        <v/>
      </c>
      <c r="B1071" s="3">
        <f>IF('ORDENES'!$A1049="","",IF('ORDENES'!$S1049="","-",'ORDENES'!$S1049))</f>
        <v/>
      </c>
      <c r="C1071" s="3">
        <f>IF('ORDENES'!$A1049="","",IF('ORDENES'!$AD1049="","-",'ORDENES'!$AD1049))</f>
        <v/>
      </c>
      <c r="D1071" s="3">
        <f>IF('ORDENES'!$A1049="","",IF('ORDENES'!$W1049="","-",'ORDENES'!$W1049))</f>
        <v/>
      </c>
      <c r="E1071" s="3">
        <f>IF('ORDENES'!$A1049="","",IF('ORDENES'!$V1049="","-",'ORDENES'!$V1049))</f>
        <v/>
      </c>
      <c r="F1071" s="3">
        <f>IF('ORDENES'!$A1049="","",IF('ORDENES'!$X1049="","-",'ORDENES'!$X1049))</f>
        <v/>
      </c>
      <c r="G1071" s="3">
        <f>IF('ORDENES'!$A1049="","",IF('ORDENES'!$AC1049="","-",'ORDENES'!$AC1049))</f>
        <v/>
      </c>
      <c r="H1071" s="3">
        <f>IF('ORDENES'!$A1049="","",IF('ORDENES'!$AO1049="","-",'ORDENES'!$AO1049))</f>
        <v/>
      </c>
      <c r="I1071" s="3">
        <f>IF('ORDENES'!$A1049="","",IF('ORDENES'!$D1049="","-",'ORDENES'!$D1049))</f>
        <v/>
      </c>
      <c r="J1071" s="3">
        <f>IF('ORDENES'!$A1049="","",IF('ORDENES'!$E1049="","-",'ORDENES'!$E1049))</f>
        <v/>
      </c>
      <c r="K1071" s="12">
        <f>IF('ORDENES'!$A1049="","",IF('ORDENES'!$N1049="",0,'ORDENES'!$N1049))</f>
        <v/>
      </c>
      <c r="L1071" s="3">
        <f>IF('ORDENES'!$A1049="","",IF('ORDENES'!$O1049="","-",'ORDENES'!$O1049))</f>
        <v/>
      </c>
      <c r="M1071" s="3">
        <f>IF('ORDENES'!$A1049="","",'ORDENES'!$AB1049)</f>
        <v/>
      </c>
    </row>
    <row r="1072">
      <c r="A1072" s="3">
        <f>IF('ORDENES'!$A1050="","",IF('ORDENES'!$P1050="","-",'ORDENES'!$P1050))</f>
        <v/>
      </c>
      <c r="B1072" s="3">
        <f>IF('ORDENES'!$A1050="","",IF('ORDENES'!$S1050="","-",'ORDENES'!$S1050))</f>
        <v/>
      </c>
      <c r="C1072" s="3">
        <f>IF('ORDENES'!$A1050="","",IF('ORDENES'!$AD1050="","-",'ORDENES'!$AD1050))</f>
        <v/>
      </c>
      <c r="D1072" s="3">
        <f>IF('ORDENES'!$A1050="","",IF('ORDENES'!$W1050="","-",'ORDENES'!$W1050))</f>
        <v/>
      </c>
      <c r="E1072" s="3">
        <f>IF('ORDENES'!$A1050="","",IF('ORDENES'!$V1050="","-",'ORDENES'!$V1050))</f>
        <v/>
      </c>
      <c r="F1072" s="3">
        <f>IF('ORDENES'!$A1050="","",IF('ORDENES'!$X1050="","-",'ORDENES'!$X1050))</f>
        <v/>
      </c>
      <c r="G1072" s="3">
        <f>IF('ORDENES'!$A1050="","",IF('ORDENES'!$AC1050="","-",'ORDENES'!$AC1050))</f>
        <v/>
      </c>
      <c r="H1072" s="3">
        <f>IF('ORDENES'!$A1050="","",IF('ORDENES'!$AO1050="","-",'ORDENES'!$AO1050))</f>
        <v/>
      </c>
      <c r="I1072" s="3">
        <f>IF('ORDENES'!$A1050="","",IF('ORDENES'!$D1050="","-",'ORDENES'!$D1050))</f>
        <v/>
      </c>
      <c r="J1072" s="3">
        <f>IF('ORDENES'!$A1050="","",IF('ORDENES'!$E1050="","-",'ORDENES'!$E1050))</f>
        <v/>
      </c>
      <c r="K1072" s="12">
        <f>IF('ORDENES'!$A1050="","",IF('ORDENES'!$N1050="",0,'ORDENES'!$N1050))</f>
        <v/>
      </c>
      <c r="L1072" s="3">
        <f>IF('ORDENES'!$A1050="","",IF('ORDENES'!$O1050="","-",'ORDENES'!$O1050))</f>
        <v/>
      </c>
      <c r="M1072" s="3">
        <f>IF('ORDENES'!$A1050="","",'ORDENES'!$AB1050)</f>
        <v/>
      </c>
    </row>
    <row r="1073">
      <c r="A1073" s="3">
        <f>IF('ORDENES'!$A1051="","",IF('ORDENES'!$P1051="","-",'ORDENES'!$P1051))</f>
        <v/>
      </c>
      <c r="B1073" s="3">
        <f>IF('ORDENES'!$A1051="","",IF('ORDENES'!$S1051="","-",'ORDENES'!$S1051))</f>
        <v/>
      </c>
      <c r="C1073" s="3">
        <f>IF('ORDENES'!$A1051="","",IF('ORDENES'!$AD1051="","-",'ORDENES'!$AD1051))</f>
        <v/>
      </c>
      <c r="D1073" s="3">
        <f>IF('ORDENES'!$A1051="","",IF('ORDENES'!$W1051="","-",'ORDENES'!$W1051))</f>
        <v/>
      </c>
      <c r="E1073" s="3">
        <f>IF('ORDENES'!$A1051="","",IF('ORDENES'!$V1051="","-",'ORDENES'!$V1051))</f>
        <v/>
      </c>
      <c r="F1073" s="3">
        <f>IF('ORDENES'!$A1051="","",IF('ORDENES'!$X1051="","-",'ORDENES'!$X1051))</f>
        <v/>
      </c>
      <c r="G1073" s="3">
        <f>IF('ORDENES'!$A1051="","",IF('ORDENES'!$AC1051="","-",'ORDENES'!$AC1051))</f>
        <v/>
      </c>
      <c r="H1073" s="3">
        <f>IF('ORDENES'!$A1051="","",IF('ORDENES'!$AO1051="","-",'ORDENES'!$AO1051))</f>
        <v/>
      </c>
      <c r="I1073" s="3">
        <f>IF('ORDENES'!$A1051="","",IF('ORDENES'!$D1051="","-",'ORDENES'!$D1051))</f>
        <v/>
      </c>
      <c r="J1073" s="3">
        <f>IF('ORDENES'!$A1051="","",IF('ORDENES'!$E1051="","-",'ORDENES'!$E1051))</f>
        <v/>
      </c>
      <c r="K1073" s="12">
        <f>IF('ORDENES'!$A1051="","",IF('ORDENES'!$N1051="",0,'ORDENES'!$N1051))</f>
        <v/>
      </c>
      <c r="L1073" s="3">
        <f>IF('ORDENES'!$A1051="","",IF('ORDENES'!$O1051="","-",'ORDENES'!$O1051))</f>
        <v/>
      </c>
      <c r="M1073" s="3">
        <f>IF('ORDENES'!$A1051="","",'ORDENES'!$AB1051)</f>
        <v/>
      </c>
    </row>
    <row r="1074">
      <c r="A1074" s="3">
        <f>IF('ORDENES'!$A1052="","",IF('ORDENES'!$P1052="","-",'ORDENES'!$P1052))</f>
        <v/>
      </c>
      <c r="B1074" s="3">
        <f>IF('ORDENES'!$A1052="","",IF('ORDENES'!$S1052="","-",'ORDENES'!$S1052))</f>
        <v/>
      </c>
      <c r="C1074" s="3">
        <f>IF('ORDENES'!$A1052="","",IF('ORDENES'!$AD1052="","-",'ORDENES'!$AD1052))</f>
        <v/>
      </c>
      <c r="D1074" s="3">
        <f>IF('ORDENES'!$A1052="","",IF('ORDENES'!$W1052="","-",'ORDENES'!$W1052))</f>
        <v/>
      </c>
      <c r="E1074" s="3">
        <f>IF('ORDENES'!$A1052="","",IF('ORDENES'!$V1052="","-",'ORDENES'!$V1052))</f>
        <v/>
      </c>
      <c r="F1074" s="3">
        <f>IF('ORDENES'!$A1052="","",IF('ORDENES'!$X1052="","-",'ORDENES'!$X1052))</f>
        <v/>
      </c>
      <c r="G1074" s="3">
        <f>IF('ORDENES'!$A1052="","",IF('ORDENES'!$AC1052="","-",'ORDENES'!$AC1052))</f>
        <v/>
      </c>
      <c r="H1074" s="3">
        <f>IF('ORDENES'!$A1052="","",IF('ORDENES'!$AO1052="","-",'ORDENES'!$AO1052))</f>
        <v/>
      </c>
      <c r="I1074" s="3">
        <f>IF('ORDENES'!$A1052="","",IF('ORDENES'!$D1052="","-",'ORDENES'!$D1052))</f>
        <v/>
      </c>
      <c r="J1074" s="3">
        <f>IF('ORDENES'!$A1052="","",IF('ORDENES'!$E1052="","-",'ORDENES'!$E1052))</f>
        <v/>
      </c>
      <c r="K1074" s="12">
        <f>IF('ORDENES'!$A1052="","",IF('ORDENES'!$N1052="",0,'ORDENES'!$N1052))</f>
        <v/>
      </c>
      <c r="L1074" s="3">
        <f>IF('ORDENES'!$A1052="","",IF('ORDENES'!$O1052="","-",'ORDENES'!$O1052))</f>
        <v/>
      </c>
      <c r="M1074" s="3">
        <f>IF('ORDENES'!$A1052="","",'ORDENES'!$AB1052)</f>
        <v/>
      </c>
    </row>
    <row r="1075">
      <c r="A1075" s="3">
        <f>IF('ORDENES'!$A1053="","",IF('ORDENES'!$P1053="","-",'ORDENES'!$P1053))</f>
        <v/>
      </c>
      <c r="B1075" s="3">
        <f>IF('ORDENES'!$A1053="","",IF('ORDENES'!$S1053="","-",'ORDENES'!$S1053))</f>
        <v/>
      </c>
      <c r="C1075" s="3">
        <f>IF('ORDENES'!$A1053="","",IF('ORDENES'!$AD1053="","-",'ORDENES'!$AD1053))</f>
        <v/>
      </c>
      <c r="D1075" s="3">
        <f>IF('ORDENES'!$A1053="","",IF('ORDENES'!$W1053="","-",'ORDENES'!$W1053))</f>
        <v/>
      </c>
      <c r="E1075" s="3">
        <f>IF('ORDENES'!$A1053="","",IF('ORDENES'!$V1053="","-",'ORDENES'!$V1053))</f>
        <v/>
      </c>
      <c r="F1075" s="3">
        <f>IF('ORDENES'!$A1053="","",IF('ORDENES'!$X1053="","-",'ORDENES'!$X1053))</f>
        <v/>
      </c>
      <c r="G1075" s="3">
        <f>IF('ORDENES'!$A1053="","",IF('ORDENES'!$AC1053="","-",'ORDENES'!$AC1053))</f>
        <v/>
      </c>
      <c r="H1075" s="3">
        <f>IF('ORDENES'!$A1053="","",IF('ORDENES'!$AO1053="","-",'ORDENES'!$AO1053))</f>
        <v/>
      </c>
      <c r="I1075" s="3">
        <f>IF('ORDENES'!$A1053="","",IF('ORDENES'!$D1053="","-",'ORDENES'!$D1053))</f>
        <v/>
      </c>
      <c r="J1075" s="3">
        <f>IF('ORDENES'!$A1053="","",IF('ORDENES'!$E1053="","-",'ORDENES'!$E1053))</f>
        <v/>
      </c>
      <c r="K1075" s="12">
        <f>IF('ORDENES'!$A1053="","",IF('ORDENES'!$N1053="",0,'ORDENES'!$N1053))</f>
        <v/>
      </c>
      <c r="L1075" s="3">
        <f>IF('ORDENES'!$A1053="","",IF('ORDENES'!$O1053="","-",'ORDENES'!$O1053))</f>
        <v/>
      </c>
      <c r="M1075" s="3">
        <f>IF('ORDENES'!$A1053="","",'ORDENES'!$AB1053)</f>
        <v/>
      </c>
    </row>
    <row r="1076">
      <c r="A1076" s="3">
        <f>IF('ORDENES'!$A1054="","",IF('ORDENES'!$P1054="","-",'ORDENES'!$P1054))</f>
        <v/>
      </c>
      <c r="B1076" s="3">
        <f>IF('ORDENES'!$A1054="","",IF('ORDENES'!$S1054="","-",'ORDENES'!$S1054))</f>
        <v/>
      </c>
      <c r="C1076" s="3">
        <f>IF('ORDENES'!$A1054="","",IF('ORDENES'!$AD1054="","-",'ORDENES'!$AD1054))</f>
        <v/>
      </c>
      <c r="D1076" s="3">
        <f>IF('ORDENES'!$A1054="","",IF('ORDENES'!$W1054="","-",'ORDENES'!$W1054))</f>
        <v/>
      </c>
      <c r="E1076" s="3">
        <f>IF('ORDENES'!$A1054="","",IF('ORDENES'!$V1054="","-",'ORDENES'!$V1054))</f>
        <v/>
      </c>
      <c r="F1076" s="3">
        <f>IF('ORDENES'!$A1054="","",IF('ORDENES'!$X1054="","-",'ORDENES'!$X1054))</f>
        <v/>
      </c>
      <c r="G1076" s="3">
        <f>IF('ORDENES'!$A1054="","",IF('ORDENES'!$AC1054="","-",'ORDENES'!$AC1054))</f>
        <v/>
      </c>
      <c r="H1076" s="3">
        <f>IF('ORDENES'!$A1054="","",IF('ORDENES'!$AO1054="","-",'ORDENES'!$AO1054))</f>
        <v/>
      </c>
      <c r="I1076" s="3">
        <f>IF('ORDENES'!$A1054="","",IF('ORDENES'!$D1054="","-",'ORDENES'!$D1054))</f>
        <v/>
      </c>
      <c r="J1076" s="3">
        <f>IF('ORDENES'!$A1054="","",IF('ORDENES'!$E1054="","-",'ORDENES'!$E1054))</f>
        <v/>
      </c>
      <c r="K1076" s="12">
        <f>IF('ORDENES'!$A1054="","",IF('ORDENES'!$N1054="",0,'ORDENES'!$N1054))</f>
        <v/>
      </c>
      <c r="L1076" s="3">
        <f>IF('ORDENES'!$A1054="","",IF('ORDENES'!$O1054="","-",'ORDENES'!$O1054))</f>
        <v/>
      </c>
      <c r="M1076" s="3">
        <f>IF('ORDENES'!$A1054="","",'ORDENES'!$AB1054)</f>
        <v/>
      </c>
    </row>
    <row r="1077">
      <c r="A1077" s="3">
        <f>IF('ORDENES'!$A1055="","",IF('ORDENES'!$P1055="","-",'ORDENES'!$P1055))</f>
        <v/>
      </c>
      <c r="B1077" s="3">
        <f>IF('ORDENES'!$A1055="","",IF('ORDENES'!$S1055="","-",'ORDENES'!$S1055))</f>
        <v/>
      </c>
      <c r="C1077" s="3">
        <f>IF('ORDENES'!$A1055="","",IF('ORDENES'!$AD1055="","-",'ORDENES'!$AD1055))</f>
        <v/>
      </c>
      <c r="D1077" s="3">
        <f>IF('ORDENES'!$A1055="","",IF('ORDENES'!$W1055="","-",'ORDENES'!$W1055))</f>
        <v/>
      </c>
      <c r="E1077" s="3">
        <f>IF('ORDENES'!$A1055="","",IF('ORDENES'!$V1055="","-",'ORDENES'!$V1055))</f>
        <v/>
      </c>
      <c r="F1077" s="3">
        <f>IF('ORDENES'!$A1055="","",IF('ORDENES'!$X1055="","-",'ORDENES'!$X1055))</f>
        <v/>
      </c>
      <c r="G1077" s="3">
        <f>IF('ORDENES'!$A1055="","",IF('ORDENES'!$AC1055="","-",'ORDENES'!$AC1055))</f>
        <v/>
      </c>
      <c r="H1077" s="3">
        <f>IF('ORDENES'!$A1055="","",IF('ORDENES'!$AO1055="","-",'ORDENES'!$AO1055))</f>
        <v/>
      </c>
      <c r="I1077" s="3">
        <f>IF('ORDENES'!$A1055="","",IF('ORDENES'!$D1055="","-",'ORDENES'!$D1055))</f>
        <v/>
      </c>
      <c r="J1077" s="3">
        <f>IF('ORDENES'!$A1055="","",IF('ORDENES'!$E1055="","-",'ORDENES'!$E1055))</f>
        <v/>
      </c>
      <c r="K1077" s="12">
        <f>IF('ORDENES'!$A1055="","",IF('ORDENES'!$N1055="",0,'ORDENES'!$N1055))</f>
        <v/>
      </c>
      <c r="L1077" s="3">
        <f>IF('ORDENES'!$A1055="","",IF('ORDENES'!$O1055="","-",'ORDENES'!$O1055))</f>
        <v/>
      </c>
      <c r="M1077" s="3">
        <f>IF('ORDENES'!$A1055="","",'ORDENES'!$AB1055)</f>
        <v/>
      </c>
    </row>
    <row r="1078">
      <c r="A1078" s="3">
        <f>IF('ORDENES'!$A1056="","",IF('ORDENES'!$P1056="","-",'ORDENES'!$P1056))</f>
        <v/>
      </c>
      <c r="B1078" s="3">
        <f>IF('ORDENES'!$A1056="","",IF('ORDENES'!$S1056="","-",'ORDENES'!$S1056))</f>
        <v/>
      </c>
      <c r="C1078" s="3">
        <f>IF('ORDENES'!$A1056="","",IF('ORDENES'!$AD1056="","-",'ORDENES'!$AD1056))</f>
        <v/>
      </c>
      <c r="D1078" s="3">
        <f>IF('ORDENES'!$A1056="","",IF('ORDENES'!$W1056="","-",'ORDENES'!$W1056))</f>
        <v/>
      </c>
      <c r="E1078" s="3">
        <f>IF('ORDENES'!$A1056="","",IF('ORDENES'!$V1056="","-",'ORDENES'!$V1056))</f>
        <v/>
      </c>
      <c r="F1078" s="3">
        <f>IF('ORDENES'!$A1056="","",IF('ORDENES'!$X1056="","-",'ORDENES'!$X1056))</f>
        <v/>
      </c>
      <c r="G1078" s="3">
        <f>IF('ORDENES'!$A1056="","",IF('ORDENES'!$AC1056="","-",'ORDENES'!$AC1056))</f>
        <v/>
      </c>
      <c r="H1078" s="3">
        <f>IF('ORDENES'!$A1056="","",IF('ORDENES'!$AO1056="","-",'ORDENES'!$AO1056))</f>
        <v/>
      </c>
      <c r="I1078" s="3">
        <f>IF('ORDENES'!$A1056="","",IF('ORDENES'!$D1056="","-",'ORDENES'!$D1056))</f>
        <v/>
      </c>
      <c r="J1078" s="3">
        <f>IF('ORDENES'!$A1056="","",IF('ORDENES'!$E1056="","-",'ORDENES'!$E1056))</f>
        <v/>
      </c>
      <c r="K1078" s="12">
        <f>IF('ORDENES'!$A1056="","",IF('ORDENES'!$N1056="",0,'ORDENES'!$N1056))</f>
        <v/>
      </c>
      <c r="L1078" s="3">
        <f>IF('ORDENES'!$A1056="","",IF('ORDENES'!$O1056="","-",'ORDENES'!$O1056))</f>
        <v/>
      </c>
      <c r="M1078" s="3">
        <f>IF('ORDENES'!$A1056="","",'ORDENES'!$AB1056)</f>
        <v/>
      </c>
    </row>
    <row r="1079">
      <c r="A1079" s="3">
        <f>IF('ORDENES'!$A1057="","",IF('ORDENES'!$P1057="","-",'ORDENES'!$P1057))</f>
        <v/>
      </c>
      <c r="B1079" s="3">
        <f>IF('ORDENES'!$A1057="","",IF('ORDENES'!$S1057="","-",'ORDENES'!$S1057))</f>
        <v/>
      </c>
      <c r="C1079" s="3">
        <f>IF('ORDENES'!$A1057="","",IF('ORDENES'!$AD1057="","-",'ORDENES'!$AD1057))</f>
        <v/>
      </c>
      <c r="D1079" s="3">
        <f>IF('ORDENES'!$A1057="","",IF('ORDENES'!$W1057="","-",'ORDENES'!$W1057))</f>
        <v/>
      </c>
      <c r="E1079" s="3">
        <f>IF('ORDENES'!$A1057="","",IF('ORDENES'!$V1057="","-",'ORDENES'!$V1057))</f>
        <v/>
      </c>
      <c r="F1079" s="3">
        <f>IF('ORDENES'!$A1057="","",IF('ORDENES'!$X1057="","-",'ORDENES'!$X1057))</f>
        <v/>
      </c>
      <c r="G1079" s="3">
        <f>IF('ORDENES'!$A1057="","",IF('ORDENES'!$AC1057="","-",'ORDENES'!$AC1057))</f>
        <v/>
      </c>
      <c r="H1079" s="3">
        <f>IF('ORDENES'!$A1057="","",IF('ORDENES'!$AO1057="","-",'ORDENES'!$AO1057))</f>
        <v/>
      </c>
      <c r="I1079" s="3">
        <f>IF('ORDENES'!$A1057="","",IF('ORDENES'!$D1057="","-",'ORDENES'!$D1057))</f>
        <v/>
      </c>
      <c r="J1079" s="3">
        <f>IF('ORDENES'!$A1057="","",IF('ORDENES'!$E1057="","-",'ORDENES'!$E1057))</f>
        <v/>
      </c>
      <c r="K1079" s="12">
        <f>IF('ORDENES'!$A1057="","",IF('ORDENES'!$N1057="",0,'ORDENES'!$N1057))</f>
        <v/>
      </c>
      <c r="L1079" s="3">
        <f>IF('ORDENES'!$A1057="","",IF('ORDENES'!$O1057="","-",'ORDENES'!$O1057))</f>
        <v/>
      </c>
      <c r="M1079" s="3">
        <f>IF('ORDENES'!$A1057="","",'ORDENES'!$AB1057)</f>
        <v/>
      </c>
    </row>
    <row r="1080">
      <c r="A1080" s="3">
        <f>IF('ORDENES'!$A1058="","",IF('ORDENES'!$P1058="","-",'ORDENES'!$P1058))</f>
        <v/>
      </c>
      <c r="B1080" s="3">
        <f>IF('ORDENES'!$A1058="","",IF('ORDENES'!$S1058="","-",'ORDENES'!$S1058))</f>
        <v/>
      </c>
      <c r="C1080" s="3">
        <f>IF('ORDENES'!$A1058="","",IF('ORDENES'!$AD1058="","-",'ORDENES'!$AD1058))</f>
        <v/>
      </c>
      <c r="D1080" s="3">
        <f>IF('ORDENES'!$A1058="","",IF('ORDENES'!$W1058="","-",'ORDENES'!$W1058))</f>
        <v/>
      </c>
      <c r="E1080" s="3">
        <f>IF('ORDENES'!$A1058="","",IF('ORDENES'!$V1058="","-",'ORDENES'!$V1058))</f>
        <v/>
      </c>
      <c r="F1080" s="3">
        <f>IF('ORDENES'!$A1058="","",IF('ORDENES'!$X1058="","-",'ORDENES'!$X1058))</f>
        <v/>
      </c>
      <c r="G1080" s="3">
        <f>IF('ORDENES'!$A1058="","",IF('ORDENES'!$AC1058="","-",'ORDENES'!$AC1058))</f>
        <v/>
      </c>
      <c r="H1080" s="3">
        <f>IF('ORDENES'!$A1058="","",IF('ORDENES'!$AO1058="","-",'ORDENES'!$AO1058))</f>
        <v/>
      </c>
      <c r="I1080" s="3">
        <f>IF('ORDENES'!$A1058="","",IF('ORDENES'!$D1058="","-",'ORDENES'!$D1058))</f>
        <v/>
      </c>
      <c r="J1080" s="3">
        <f>IF('ORDENES'!$A1058="","",IF('ORDENES'!$E1058="","-",'ORDENES'!$E1058))</f>
        <v/>
      </c>
      <c r="K1080" s="12">
        <f>IF('ORDENES'!$A1058="","",IF('ORDENES'!$N1058="",0,'ORDENES'!$N1058))</f>
        <v/>
      </c>
      <c r="L1080" s="3">
        <f>IF('ORDENES'!$A1058="","",IF('ORDENES'!$O1058="","-",'ORDENES'!$O1058))</f>
        <v/>
      </c>
      <c r="M1080" s="3">
        <f>IF('ORDENES'!$A1058="","",'ORDENES'!$AB1058)</f>
        <v/>
      </c>
    </row>
    <row r="1081">
      <c r="A1081" s="3">
        <f>IF('ORDENES'!$A1059="","",IF('ORDENES'!$P1059="","-",'ORDENES'!$P1059))</f>
        <v/>
      </c>
      <c r="B1081" s="3">
        <f>IF('ORDENES'!$A1059="","",IF('ORDENES'!$S1059="","-",'ORDENES'!$S1059))</f>
        <v/>
      </c>
      <c r="C1081" s="3">
        <f>IF('ORDENES'!$A1059="","",IF('ORDENES'!$AD1059="","-",'ORDENES'!$AD1059))</f>
        <v/>
      </c>
      <c r="D1081" s="3">
        <f>IF('ORDENES'!$A1059="","",IF('ORDENES'!$W1059="","-",'ORDENES'!$W1059))</f>
        <v/>
      </c>
      <c r="E1081" s="3">
        <f>IF('ORDENES'!$A1059="","",IF('ORDENES'!$V1059="","-",'ORDENES'!$V1059))</f>
        <v/>
      </c>
      <c r="F1081" s="3">
        <f>IF('ORDENES'!$A1059="","",IF('ORDENES'!$X1059="","-",'ORDENES'!$X1059))</f>
        <v/>
      </c>
      <c r="G1081" s="3">
        <f>IF('ORDENES'!$A1059="","",IF('ORDENES'!$AC1059="","-",'ORDENES'!$AC1059))</f>
        <v/>
      </c>
      <c r="H1081" s="3">
        <f>IF('ORDENES'!$A1059="","",IF('ORDENES'!$AO1059="","-",'ORDENES'!$AO1059))</f>
        <v/>
      </c>
      <c r="I1081" s="3">
        <f>IF('ORDENES'!$A1059="","",IF('ORDENES'!$D1059="","-",'ORDENES'!$D1059))</f>
        <v/>
      </c>
      <c r="J1081" s="3">
        <f>IF('ORDENES'!$A1059="","",IF('ORDENES'!$E1059="","-",'ORDENES'!$E1059))</f>
        <v/>
      </c>
      <c r="K1081" s="12">
        <f>IF('ORDENES'!$A1059="","",IF('ORDENES'!$N1059="",0,'ORDENES'!$N1059))</f>
        <v/>
      </c>
      <c r="L1081" s="3">
        <f>IF('ORDENES'!$A1059="","",IF('ORDENES'!$O1059="","-",'ORDENES'!$O1059))</f>
        <v/>
      </c>
      <c r="M1081" s="3">
        <f>IF('ORDENES'!$A1059="","",'ORDENES'!$AB1059)</f>
        <v/>
      </c>
    </row>
    <row r="1082">
      <c r="A1082" s="3">
        <f>IF('ORDENES'!$A1060="","",IF('ORDENES'!$P1060="","-",'ORDENES'!$P1060))</f>
        <v/>
      </c>
      <c r="B1082" s="3">
        <f>IF('ORDENES'!$A1060="","",IF('ORDENES'!$S1060="","-",'ORDENES'!$S1060))</f>
        <v/>
      </c>
      <c r="C1082" s="3">
        <f>IF('ORDENES'!$A1060="","",IF('ORDENES'!$AD1060="","-",'ORDENES'!$AD1060))</f>
        <v/>
      </c>
      <c r="D1082" s="3">
        <f>IF('ORDENES'!$A1060="","",IF('ORDENES'!$W1060="","-",'ORDENES'!$W1060))</f>
        <v/>
      </c>
      <c r="E1082" s="3">
        <f>IF('ORDENES'!$A1060="","",IF('ORDENES'!$V1060="","-",'ORDENES'!$V1060))</f>
        <v/>
      </c>
      <c r="F1082" s="3">
        <f>IF('ORDENES'!$A1060="","",IF('ORDENES'!$X1060="","-",'ORDENES'!$X1060))</f>
        <v/>
      </c>
      <c r="G1082" s="3">
        <f>IF('ORDENES'!$A1060="","",IF('ORDENES'!$AC1060="","-",'ORDENES'!$AC1060))</f>
        <v/>
      </c>
      <c r="H1082" s="3">
        <f>IF('ORDENES'!$A1060="","",IF('ORDENES'!$AO1060="","-",'ORDENES'!$AO1060))</f>
        <v/>
      </c>
      <c r="I1082" s="3">
        <f>IF('ORDENES'!$A1060="","",IF('ORDENES'!$D1060="","-",'ORDENES'!$D1060))</f>
        <v/>
      </c>
      <c r="J1082" s="3">
        <f>IF('ORDENES'!$A1060="","",IF('ORDENES'!$E1060="","-",'ORDENES'!$E1060))</f>
        <v/>
      </c>
      <c r="K1082" s="12">
        <f>IF('ORDENES'!$A1060="","",IF('ORDENES'!$N1060="",0,'ORDENES'!$N1060))</f>
        <v/>
      </c>
      <c r="L1082" s="3">
        <f>IF('ORDENES'!$A1060="","",IF('ORDENES'!$O1060="","-",'ORDENES'!$O1060))</f>
        <v/>
      </c>
      <c r="M1082" s="3">
        <f>IF('ORDENES'!$A1060="","",'ORDENES'!$AB1060)</f>
        <v/>
      </c>
    </row>
    <row r="1083">
      <c r="A1083" s="3">
        <f>IF('ORDENES'!$A1061="","",IF('ORDENES'!$P1061="","-",'ORDENES'!$P1061))</f>
        <v/>
      </c>
      <c r="B1083" s="3">
        <f>IF('ORDENES'!$A1061="","",IF('ORDENES'!$S1061="","-",'ORDENES'!$S1061))</f>
        <v/>
      </c>
      <c r="C1083" s="3">
        <f>IF('ORDENES'!$A1061="","",IF('ORDENES'!$AD1061="","-",'ORDENES'!$AD1061))</f>
        <v/>
      </c>
      <c r="D1083" s="3">
        <f>IF('ORDENES'!$A1061="","",IF('ORDENES'!$W1061="","-",'ORDENES'!$W1061))</f>
        <v/>
      </c>
      <c r="E1083" s="3">
        <f>IF('ORDENES'!$A1061="","",IF('ORDENES'!$V1061="","-",'ORDENES'!$V1061))</f>
        <v/>
      </c>
      <c r="F1083" s="3">
        <f>IF('ORDENES'!$A1061="","",IF('ORDENES'!$X1061="","-",'ORDENES'!$X1061))</f>
        <v/>
      </c>
      <c r="G1083" s="3">
        <f>IF('ORDENES'!$A1061="","",IF('ORDENES'!$AC1061="","-",'ORDENES'!$AC1061))</f>
        <v/>
      </c>
      <c r="H1083" s="3">
        <f>IF('ORDENES'!$A1061="","",IF('ORDENES'!$AO1061="","-",'ORDENES'!$AO1061))</f>
        <v/>
      </c>
      <c r="I1083" s="3">
        <f>IF('ORDENES'!$A1061="","",IF('ORDENES'!$D1061="","-",'ORDENES'!$D1061))</f>
        <v/>
      </c>
      <c r="J1083" s="3">
        <f>IF('ORDENES'!$A1061="","",IF('ORDENES'!$E1061="","-",'ORDENES'!$E1061))</f>
        <v/>
      </c>
      <c r="K1083" s="12">
        <f>IF('ORDENES'!$A1061="","",IF('ORDENES'!$N1061="",0,'ORDENES'!$N1061))</f>
        <v/>
      </c>
      <c r="L1083" s="3">
        <f>IF('ORDENES'!$A1061="","",IF('ORDENES'!$O1061="","-",'ORDENES'!$O1061))</f>
        <v/>
      </c>
      <c r="M1083" s="3">
        <f>IF('ORDENES'!$A1061="","",'ORDENES'!$AB1061)</f>
        <v/>
      </c>
    </row>
    <row r="1084">
      <c r="A1084" s="3">
        <f>IF('ORDENES'!$A1062="","",IF('ORDENES'!$P1062="","-",'ORDENES'!$P1062))</f>
        <v/>
      </c>
      <c r="B1084" s="3">
        <f>IF('ORDENES'!$A1062="","",IF('ORDENES'!$S1062="","-",'ORDENES'!$S1062))</f>
        <v/>
      </c>
      <c r="C1084" s="3">
        <f>IF('ORDENES'!$A1062="","",IF('ORDENES'!$AD1062="","-",'ORDENES'!$AD1062))</f>
        <v/>
      </c>
      <c r="D1084" s="3">
        <f>IF('ORDENES'!$A1062="","",IF('ORDENES'!$W1062="","-",'ORDENES'!$W1062))</f>
        <v/>
      </c>
      <c r="E1084" s="3">
        <f>IF('ORDENES'!$A1062="","",IF('ORDENES'!$V1062="","-",'ORDENES'!$V1062))</f>
        <v/>
      </c>
      <c r="F1084" s="3">
        <f>IF('ORDENES'!$A1062="","",IF('ORDENES'!$X1062="","-",'ORDENES'!$X1062))</f>
        <v/>
      </c>
      <c r="G1084" s="3">
        <f>IF('ORDENES'!$A1062="","",IF('ORDENES'!$AC1062="","-",'ORDENES'!$AC1062))</f>
        <v/>
      </c>
      <c r="H1084" s="3">
        <f>IF('ORDENES'!$A1062="","",IF('ORDENES'!$AO1062="","-",'ORDENES'!$AO1062))</f>
        <v/>
      </c>
      <c r="I1084" s="3">
        <f>IF('ORDENES'!$A1062="","",IF('ORDENES'!$D1062="","-",'ORDENES'!$D1062))</f>
        <v/>
      </c>
      <c r="J1084" s="3">
        <f>IF('ORDENES'!$A1062="","",IF('ORDENES'!$E1062="","-",'ORDENES'!$E1062))</f>
        <v/>
      </c>
      <c r="K1084" s="12">
        <f>IF('ORDENES'!$A1062="","",IF('ORDENES'!$N1062="",0,'ORDENES'!$N1062))</f>
        <v/>
      </c>
      <c r="L1084" s="3">
        <f>IF('ORDENES'!$A1062="","",IF('ORDENES'!$O1062="","-",'ORDENES'!$O1062))</f>
        <v/>
      </c>
      <c r="M1084" s="3">
        <f>IF('ORDENES'!$A1062="","",'ORDENES'!$AB1062)</f>
        <v/>
      </c>
    </row>
    <row r="1085">
      <c r="A1085" s="3">
        <f>IF('ORDENES'!$A1063="","",IF('ORDENES'!$P1063="","-",'ORDENES'!$P1063))</f>
        <v/>
      </c>
      <c r="B1085" s="3">
        <f>IF('ORDENES'!$A1063="","",IF('ORDENES'!$S1063="","-",'ORDENES'!$S1063))</f>
        <v/>
      </c>
      <c r="C1085" s="3">
        <f>IF('ORDENES'!$A1063="","",IF('ORDENES'!$AD1063="","-",'ORDENES'!$AD1063))</f>
        <v/>
      </c>
      <c r="D1085" s="3">
        <f>IF('ORDENES'!$A1063="","",IF('ORDENES'!$W1063="","-",'ORDENES'!$W1063))</f>
        <v/>
      </c>
      <c r="E1085" s="3">
        <f>IF('ORDENES'!$A1063="","",IF('ORDENES'!$V1063="","-",'ORDENES'!$V1063))</f>
        <v/>
      </c>
      <c r="F1085" s="3">
        <f>IF('ORDENES'!$A1063="","",IF('ORDENES'!$X1063="","-",'ORDENES'!$X1063))</f>
        <v/>
      </c>
      <c r="G1085" s="3">
        <f>IF('ORDENES'!$A1063="","",IF('ORDENES'!$AC1063="","-",'ORDENES'!$AC1063))</f>
        <v/>
      </c>
      <c r="H1085" s="3">
        <f>IF('ORDENES'!$A1063="","",IF('ORDENES'!$AO1063="","-",'ORDENES'!$AO1063))</f>
        <v/>
      </c>
      <c r="I1085" s="3">
        <f>IF('ORDENES'!$A1063="","",IF('ORDENES'!$D1063="","-",'ORDENES'!$D1063))</f>
        <v/>
      </c>
      <c r="J1085" s="3">
        <f>IF('ORDENES'!$A1063="","",IF('ORDENES'!$E1063="","-",'ORDENES'!$E1063))</f>
        <v/>
      </c>
      <c r="K1085" s="12">
        <f>IF('ORDENES'!$A1063="","",IF('ORDENES'!$N1063="",0,'ORDENES'!$N1063))</f>
        <v/>
      </c>
      <c r="L1085" s="3">
        <f>IF('ORDENES'!$A1063="","",IF('ORDENES'!$O1063="","-",'ORDENES'!$O1063))</f>
        <v/>
      </c>
      <c r="M1085" s="3">
        <f>IF('ORDENES'!$A1063="","",'ORDENES'!$AB1063)</f>
        <v/>
      </c>
    </row>
    <row r="1086">
      <c r="A1086" s="3">
        <f>IF('ORDENES'!$A1064="","",IF('ORDENES'!$P1064="","-",'ORDENES'!$P1064))</f>
        <v/>
      </c>
      <c r="B1086" s="3">
        <f>IF('ORDENES'!$A1064="","",IF('ORDENES'!$S1064="","-",'ORDENES'!$S1064))</f>
        <v/>
      </c>
      <c r="C1086" s="3">
        <f>IF('ORDENES'!$A1064="","",IF('ORDENES'!$AD1064="","-",'ORDENES'!$AD1064))</f>
        <v/>
      </c>
      <c r="D1086" s="3">
        <f>IF('ORDENES'!$A1064="","",IF('ORDENES'!$W1064="","-",'ORDENES'!$W1064))</f>
        <v/>
      </c>
      <c r="E1086" s="3">
        <f>IF('ORDENES'!$A1064="","",IF('ORDENES'!$V1064="","-",'ORDENES'!$V1064))</f>
        <v/>
      </c>
      <c r="F1086" s="3">
        <f>IF('ORDENES'!$A1064="","",IF('ORDENES'!$X1064="","-",'ORDENES'!$X1064))</f>
        <v/>
      </c>
      <c r="G1086" s="3">
        <f>IF('ORDENES'!$A1064="","",IF('ORDENES'!$AC1064="","-",'ORDENES'!$AC1064))</f>
        <v/>
      </c>
      <c r="H1086" s="3">
        <f>IF('ORDENES'!$A1064="","",IF('ORDENES'!$AO1064="","-",'ORDENES'!$AO1064))</f>
        <v/>
      </c>
      <c r="I1086" s="3">
        <f>IF('ORDENES'!$A1064="","",IF('ORDENES'!$D1064="","-",'ORDENES'!$D1064))</f>
        <v/>
      </c>
      <c r="J1086" s="3">
        <f>IF('ORDENES'!$A1064="","",IF('ORDENES'!$E1064="","-",'ORDENES'!$E1064))</f>
        <v/>
      </c>
      <c r="K1086" s="12">
        <f>IF('ORDENES'!$A1064="","",IF('ORDENES'!$N1064="",0,'ORDENES'!$N1064))</f>
        <v/>
      </c>
      <c r="L1086" s="3">
        <f>IF('ORDENES'!$A1064="","",IF('ORDENES'!$O1064="","-",'ORDENES'!$O1064))</f>
        <v/>
      </c>
      <c r="M1086" s="3">
        <f>IF('ORDENES'!$A1064="","",'ORDENES'!$AB1064)</f>
        <v/>
      </c>
    </row>
    <row r="1087">
      <c r="A1087" s="3">
        <f>IF('ORDENES'!$A1065="","",IF('ORDENES'!$P1065="","-",'ORDENES'!$P1065))</f>
        <v/>
      </c>
      <c r="B1087" s="3">
        <f>IF('ORDENES'!$A1065="","",IF('ORDENES'!$S1065="","-",'ORDENES'!$S1065))</f>
        <v/>
      </c>
      <c r="C1087" s="3">
        <f>IF('ORDENES'!$A1065="","",IF('ORDENES'!$AD1065="","-",'ORDENES'!$AD1065))</f>
        <v/>
      </c>
      <c r="D1087" s="3">
        <f>IF('ORDENES'!$A1065="","",IF('ORDENES'!$W1065="","-",'ORDENES'!$W1065))</f>
        <v/>
      </c>
      <c r="E1087" s="3">
        <f>IF('ORDENES'!$A1065="","",IF('ORDENES'!$V1065="","-",'ORDENES'!$V1065))</f>
        <v/>
      </c>
      <c r="F1087" s="3">
        <f>IF('ORDENES'!$A1065="","",IF('ORDENES'!$X1065="","-",'ORDENES'!$X1065))</f>
        <v/>
      </c>
      <c r="G1087" s="3">
        <f>IF('ORDENES'!$A1065="","",IF('ORDENES'!$AC1065="","-",'ORDENES'!$AC1065))</f>
        <v/>
      </c>
      <c r="H1087" s="3">
        <f>IF('ORDENES'!$A1065="","",IF('ORDENES'!$AO1065="","-",'ORDENES'!$AO1065))</f>
        <v/>
      </c>
      <c r="I1087" s="3">
        <f>IF('ORDENES'!$A1065="","",IF('ORDENES'!$D1065="","-",'ORDENES'!$D1065))</f>
        <v/>
      </c>
      <c r="J1087" s="3">
        <f>IF('ORDENES'!$A1065="","",IF('ORDENES'!$E1065="","-",'ORDENES'!$E1065))</f>
        <v/>
      </c>
      <c r="K1087" s="12">
        <f>IF('ORDENES'!$A1065="","",IF('ORDENES'!$N1065="",0,'ORDENES'!$N1065))</f>
        <v/>
      </c>
      <c r="L1087" s="3">
        <f>IF('ORDENES'!$A1065="","",IF('ORDENES'!$O1065="","-",'ORDENES'!$O1065))</f>
        <v/>
      </c>
      <c r="M1087" s="3">
        <f>IF('ORDENES'!$A1065="","",'ORDENES'!$AB1065)</f>
        <v/>
      </c>
    </row>
    <row r="1088">
      <c r="A1088" s="3">
        <f>IF('ORDENES'!$A1066="","",IF('ORDENES'!$P1066="","-",'ORDENES'!$P1066))</f>
        <v/>
      </c>
      <c r="B1088" s="3">
        <f>IF('ORDENES'!$A1066="","",IF('ORDENES'!$S1066="","-",'ORDENES'!$S1066))</f>
        <v/>
      </c>
      <c r="C1088" s="3">
        <f>IF('ORDENES'!$A1066="","",IF('ORDENES'!$AD1066="","-",'ORDENES'!$AD1066))</f>
        <v/>
      </c>
      <c r="D1088" s="3">
        <f>IF('ORDENES'!$A1066="","",IF('ORDENES'!$W1066="","-",'ORDENES'!$W1066))</f>
        <v/>
      </c>
      <c r="E1088" s="3">
        <f>IF('ORDENES'!$A1066="","",IF('ORDENES'!$V1066="","-",'ORDENES'!$V1066))</f>
        <v/>
      </c>
      <c r="F1088" s="3">
        <f>IF('ORDENES'!$A1066="","",IF('ORDENES'!$X1066="","-",'ORDENES'!$X1066))</f>
        <v/>
      </c>
      <c r="G1088" s="3">
        <f>IF('ORDENES'!$A1066="","",IF('ORDENES'!$AC1066="","-",'ORDENES'!$AC1066))</f>
        <v/>
      </c>
      <c r="H1088" s="3">
        <f>IF('ORDENES'!$A1066="","",IF('ORDENES'!$AO1066="","-",'ORDENES'!$AO1066))</f>
        <v/>
      </c>
      <c r="I1088" s="3">
        <f>IF('ORDENES'!$A1066="","",IF('ORDENES'!$D1066="","-",'ORDENES'!$D1066))</f>
        <v/>
      </c>
      <c r="J1088" s="3">
        <f>IF('ORDENES'!$A1066="","",IF('ORDENES'!$E1066="","-",'ORDENES'!$E1066))</f>
        <v/>
      </c>
      <c r="K1088" s="12">
        <f>IF('ORDENES'!$A1066="","",IF('ORDENES'!$N1066="",0,'ORDENES'!$N1066))</f>
        <v/>
      </c>
      <c r="L1088" s="3">
        <f>IF('ORDENES'!$A1066="","",IF('ORDENES'!$O1066="","-",'ORDENES'!$O1066))</f>
        <v/>
      </c>
      <c r="M1088" s="3">
        <f>IF('ORDENES'!$A1066="","",'ORDENES'!$AB1066)</f>
        <v/>
      </c>
    </row>
    <row r="1089">
      <c r="A1089" s="3">
        <f>IF('ORDENES'!$A1067="","",IF('ORDENES'!$P1067="","-",'ORDENES'!$P1067))</f>
        <v/>
      </c>
      <c r="B1089" s="3">
        <f>IF('ORDENES'!$A1067="","",IF('ORDENES'!$S1067="","-",'ORDENES'!$S1067))</f>
        <v/>
      </c>
      <c r="C1089" s="3">
        <f>IF('ORDENES'!$A1067="","",IF('ORDENES'!$AD1067="","-",'ORDENES'!$AD1067))</f>
        <v/>
      </c>
      <c r="D1089" s="3">
        <f>IF('ORDENES'!$A1067="","",IF('ORDENES'!$W1067="","-",'ORDENES'!$W1067))</f>
        <v/>
      </c>
      <c r="E1089" s="3">
        <f>IF('ORDENES'!$A1067="","",IF('ORDENES'!$V1067="","-",'ORDENES'!$V1067))</f>
        <v/>
      </c>
      <c r="F1089" s="3">
        <f>IF('ORDENES'!$A1067="","",IF('ORDENES'!$X1067="","-",'ORDENES'!$X1067))</f>
        <v/>
      </c>
      <c r="G1089" s="3">
        <f>IF('ORDENES'!$A1067="","",IF('ORDENES'!$AC1067="","-",'ORDENES'!$AC1067))</f>
        <v/>
      </c>
      <c r="H1089" s="3">
        <f>IF('ORDENES'!$A1067="","",IF('ORDENES'!$AO1067="","-",'ORDENES'!$AO1067))</f>
        <v/>
      </c>
      <c r="I1089" s="3">
        <f>IF('ORDENES'!$A1067="","",IF('ORDENES'!$D1067="","-",'ORDENES'!$D1067))</f>
        <v/>
      </c>
      <c r="J1089" s="3">
        <f>IF('ORDENES'!$A1067="","",IF('ORDENES'!$E1067="","-",'ORDENES'!$E1067))</f>
        <v/>
      </c>
      <c r="K1089" s="12">
        <f>IF('ORDENES'!$A1067="","",IF('ORDENES'!$N1067="",0,'ORDENES'!$N1067))</f>
        <v/>
      </c>
      <c r="L1089" s="3">
        <f>IF('ORDENES'!$A1067="","",IF('ORDENES'!$O1067="","-",'ORDENES'!$O1067))</f>
        <v/>
      </c>
      <c r="M1089" s="3">
        <f>IF('ORDENES'!$A1067="","",'ORDENES'!$AB1067)</f>
        <v/>
      </c>
    </row>
    <row r="1090">
      <c r="A1090" s="3">
        <f>IF('ORDENES'!$A1068="","",IF('ORDENES'!$P1068="","-",'ORDENES'!$P1068))</f>
        <v/>
      </c>
      <c r="B1090" s="3">
        <f>IF('ORDENES'!$A1068="","",IF('ORDENES'!$S1068="","-",'ORDENES'!$S1068))</f>
        <v/>
      </c>
      <c r="C1090" s="3">
        <f>IF('ORDENES'!$A1068="","",IF('ORDENES'!$AD1068="","-",'ORDENES'!$AD1068))</f>
        <v/>
      </c>
      <c r="D1090" s="3">
        <f>IF('ORDENES'!$A1068="","",IF('ORDENES'!$W1068="","-",'ORDENES'!$W1068))</f>
        <v/>
      </c>
      <c r="E1090" s="3">
        <f>IF('ORDENES'!$A1068="","",IF('ORDENES'!$V1068="","-",'ORDENES'!$V1068))</f>
        <v/>
      </c>
      <c r="F1090" s="3">
        <f>IF('ORDENES'!$A1068="","",IF('ORDENES'!$X1068="","-",'ORDENES'!$X1068))</f>
        <v/>
      </c>
      <c r="G1090" s="3">
        <f>IF('ORDENES'!$A1068="","",IF('ORDENES'!$AC1068="","-",'ORDENES'!$AC1068))</f>
        <v/>
      </c>
      <c r="H1090" s="3">
        <f>IF('ORDENES'!$A1068="","",IF('ORDENES'!$AO1068="","-",'ORDENES'!$AO1068))</f>
        <v/>
      </c>
      <c r="I1090" s="3">
        <f>IF('ORDENES'!$A1068="","",IF('ORDENES'!$D1068="","-",'ORDENES'!$D1068))</f>
        <v/>
      </c>
      <c r="J1090" s="3">
        <f>IF('ORDENES'!$A1068="","",IF('ORDENES'!$E1068="","-",'ORDENES'!$E1068))</f>
        <v/>
      </c>
      <c r="K1090" s="12">
        <f>IF('ORDENES'!$A1068="","",IF('ORDENES'!$N1068="",0,'ORDENES'!$N1068))</f>
        <v/>
      </c>
      <c r="L1090" s="3">
        <f>IF('ORDENES'!$A1068="","",IF('ORDENES'!$O1068="","-",'ORDENES'!$O1068))</f>
        <v/>
      </c>
      <c r="M1090" s="3">
        <f>IF('ORDENES'!$A1068="","",'ORDENES'!$AB1068)</f>
        <v/>
      </c>
    </row>
    <row r="1091">
      <c r="A1091" s="3">
        <f>IF('ORDENES'!$A1069="","",IF('ORDENES'!$P1069="","-",'ORDENES'!$P1069))</f>
        <v/>
      </c>
      <c r="B1091" s="3">
        <f>IF('ORDENES'!$A1069="","",IF('ORDENES'!$S1069="","-",'ORDENES'!$S1069))</f>
        <v/>
      </c>
      <c r="C1091" s="3">
        <f>IF('ORDENES'!$A1069="","",IF('ORDENES'!$AD1069="","-",'ORDENES'!$AD1069))</f>
        <v/>
      </c>
      <c r="D1091" s="3">
        <f>IF('ORDENES'!$A1069="","",IF('ORDENES'!$W1069="","-",'ORDENES'!$W1069))</f>
        <v/>
      </c>
      <c r="E1091" s="3">
        <f>IF('ORDENES'!$A1069="","",IF('ORDENES'!$V1069="","-",'ORDENES'!$V1069))</f>
        <v/>
      </c>
      <c r="F1091" s="3">
        <f>IF('ORDENES'!$A1069="","",IF('ORDENES'!$X1069="","-",'ORDENES'!$X1069))</f>
        <v/>
      </c>
      <c r="G1091" s="3">
        <f>IF('ORDENES'!$A1069="","",IF('ORDENES'!$AC1069="","-",'ORDENES'!$AC1069))</f>
        <v/>
      </c>
      <c r="H1091" s="3">
        <f>IF('ORDENES'!$A1069="","",IF('ORDENES'!$AO1069="","-",'ORDENES'!$AO1069))</f>
        <v/>
      </c>
      <c r="I1091" s="3">
        <f>IF('ORDENES'!$A1069="","",IF('ORDENES'!$D1069="","-",'ORDENES'!$D1069))</f>
        <v/>
      </c>
      <c r="J1091" s="3">
        <f>IF('ORDENES'!$A1069="","",IF('ORDENES'!$E1069="","-",'ORDENES'!$E1069))</f>
        <v/>
      </c>
      <c r="K1091" s="12">
        <f>IF('ORDENES'!$A1069="","",IF('ORDENES'!$N1069="",0,'ORDENES'!$N1069))</f>
        <v/>
      </c>
      <c r="L1091" s="3">
        <f>IF('ORDENES'!$A1069="","",IF('ORDENES'!$O1069="","-",'ORDENES'!$O1069))</f>
        <v/>
      </c>
      <c r="M1091" s="3">
        <f>IF('ORDENES'!$A1069="","",'ORDENES'!$AB1069)</f>
        <v/>
      </c>
    </row>
    <row r="1092">
      <c r="A1092" s="3">
        <f>IF('ORDENES'!$A1070="","",IF('ORDENES'!$P1070="","-",'ORDENES'!$P1070))</f>
        <v/>
      </c>
      <c r="B1092" s="3">
        <f>IF('ORDENES'!$A1070="","",IF('ORDENES'!$S1070="","-",'ORDENES'!$S1070))</f>
        <v/>
      </c>
      <c r="C1092" s="3">
        <f>IF('ORDENES'!$A1070="","",IF('ORDENES'!$AD1070="","-",'ORDENES'!$AD1070))</f>
        <v/>
      </c>
      <c r="D1092" s="3">
        <f>IF('ORDENES'!$A1070="","",IF('ORDENES'!$W1070="","-",'ORDENES'!$W1070))</f>
        <v/>
      </c>
      <c r="E1092" s="3">
        <f>IF('ORDENES'!$A1070="","",IF('ORDENES'!$V1070="","-",'ORDENES'!$V1070))</f>
        <v/>
      </c>
      <c r="F1092" s="3">
        <f>IF('ORDENES'!$A1070="","",IF('ORDENES'!$X1070="","-",'ORDENES'!$X1070))</f>
        <v/>
      </c>
      <c r="G1092" s="3">
        <f>IF('ORDENES'!$A1070="","",IF('ORDENES'!$AC1070="","-",'ORDENES'!$AC1070))</f>
        <v/>
      </c>
      <c r="H1092" s="3">
        <f>IF('ORDENES'!$A1070="","",IF('ORDENES'!$AO1070="","-",'ORDENES'!$AO1070))</f>
        <v/>
      </c>
      <c r="I1092" s="3">
        <f>IF('ORDENES'!$A1070="","",IF('ORDENES'!$D1070="","-",'ORDENES'!$D1070))</f>
        <v/>
      </c>
      <c r="J1092" s="3">
        <f>IF('ORDENES'!$A1070="","",IF('ORDENES'!$E1070="","-",'ORDENES'!$E1070))</f>
        <v/>
      </c>
      <c r="K1092" s="12">
        <f>IF('ORDENES'!$A1070="","",IF('ORDENES'!$N1070="",0,'ORDENES'!$N1070))</f>
        <v/>
      </c>
      <c r="L1092" s="3">
        <f>IF('ORDENES'!$A1070="","",IF('ORDENES'!$O1070="","-",'ORDENES'!$O1070))</f>
        <v/>
      </c>
      <c r="M1092" s="3">
        <f>IF('ORDENES'!$A1070="","",'ORDENES'!$AB1070)</f>
        <v/>
      </c>
    </row>
    <row r="1093">
      <c r="A1093" s="3">
        <f>IF('ORDENES'!$A1071="","",IF('ORDENES'!$P1071="","-",'ORDENES'!$P1071))</f>
        <v/>
      </c>
      <c r="B1093" s="3">
        <f>IF('ORDENES'!$A1071="","",IF('ORDENES'!$S1071="","-",'ORDENES'!$S1071))</f>
        <v/>
      </c>
      <c r="C1093" s="3">
        <f>IF('ORDENES'!$A1071="","",IF('ORDENES'!$AD1071="","-",'ORDENES'!$AD1071))</f>
        <v/>
      </c>
      <c r="D1093" s="3">
        <f>IF('ORDENES'!$A1071="","",IF('ORDENES'!$W1071="","-",'ORDENES'!$W1071))</f>
        <v/>
      </c>
      <c r="E1093" s="3">
        <f>IF('ORDENES'!$A1071="","",IF('ORDENES'!$V1071="","-",'ORDENES'!$V1071))</f>
        <v/>
      </c>
      <c r="F1093" s="3">
        <f>IF('ORDENES'!$A1071="","",IF('ORDENES'!$X1071="","-",'ORDENES'!$X1071))</f>
        <v/>
      </c>
      <c r="G1093" s="3">
        <f>IF('ORDENES'!$A1071="","",IF('ORDENES'!$AC1071="","-",'ORDENES'!$AC1071))</f>
        <v/>
      </c>
      <c r="H1093" s="3">
        <f>IF('ORDENES'!$A1071="","",IF('ORDENES'!$AO1071="","-",'ORDENES'!$AO1071))</f>
        <v/>
      </c>
      <c r="I1093" s="3">
        <f>IF('ORDENES'!$A1071="","",IF('ORDENES'!$D1071="","-",'ORDENES'!$D1071))</f>
        <v/>
      </c>
      <c r="J1093" s="3">
        <f>IF('ORDENES'!$A1071="","",IF('ORDENES'!$E1071="","-",'ORDENES'!$E1071))</f>
        <v/>
      </c>
      <c r="K1093" s="12">
        <f>IF('ORDENES'!$A1071="","",IF('ORDENES'!$N1071="",0,'ORDENES'!$N1071))</f>
        <v/>
      </c>
      <c r="L1093" s="3">
        <f>IF('ORDENES'!$A1071="","",IF('ORDENES'!$O1071="","-",'ORDENES'!$O1071))</f>
        <v/>
      </c>
      <c r="M1093" s="3">
        <f>IF('ORDENES'!$A1071="","",'ORDENES'!$AB1071)</f>
        <v/>
      </c>
    </row>
    <row r="1094">
      <c r="A1094" s="3">
        <f>IF('ORDENES'!$A1072="","",IF('ORDENES'!$P1072="","-",'ORDENES'!$P1072))</f>
        <v/>
      </c>
      <c r="B1094" s="3">
        <f>IF('ORDENES'!$A1072="","",IF('ORDENES'!$S1072="","-",'ORDENES'!$S1072))</f>
        <v/>
      </c>
      <c r="C1094" s="3">
        <f>IF('ORDENES'!$A1072="","",IF('ORDENES'!$AD1072="","-",'ORDENES'!$AD1072))</f>
        <v/>
      </c>
      <c r="D1094" s="3">
        <f>IF('ORDENES'!$A1072="","",IF('ORDENES'!$W1072="","-",'ORDENES'!$W1072))</f>
        <v/>
      </c>
      <c r="E1094" s="3">
        <f>IF('ORDENES'!$A1072="","",IF('ORDENES'!$V1072="","-",'ORDENES'!$V1072))</f>
        <v/>
      </c>
      <c r="F1094" s="3">
        <f>IF('ORDENES'!$A1072="","",IF('ORDENES'!$X1072="","-",'ORDENES'!$X1072))</f>
        <v/>
      </c>
      <c r="G1094" s="3">
        <f>IF('ORDENES'!$A1072="","",IF('ORDENES'!$AC1072="","-",'ORDENES'!$AC1072))</f>
        <v/>
      </c>
      <c r="H1094" s="3">
        <f>IF('ORDENES'!$A1072="","",IF('ORDENES'!$AO1072="","-",'ORDENES'!$AO1072))</f>
        <v/>
      </c>
      <c r="I1094" s="3">
        <f>IF('ORDENES'!$A1072="","",IF('ORDENES'!$D1072="","-",'ORDENES'!$D1072))</f>
        <v/>
      </c>
      <c r="J1094" s="3">
        <f>IF('ORDENES'!$A1072="","",IF('ORDENES'!$E1072="","-",'ORDENES'!$E1072))</f>
        <v/>
      </c>
      <c r="K1094" s="12">
        <f>IF('ORDENES'!$A1072="","",IF('ORDENES'!$N1072="",0,'ORDENES'!$N1072))</f>
        <v/>
      </c>
      <c r="L1094" s="3">
        <f>IF('ORDENES'!$A1072="","",IF('ORDENES'!$O1072="","-",'ORDENES'!$O1072))</f>
        <v/>
      </c>
      <c r="M1094" s="3">
        <f>IF('ORDENES'!$A1072="","",'ORDENES'!$AB1072)</f>
        <v/>
      </c>
    </row>
    <row r="1095">
      <c r="A1095" s="3">
        <f>IF('ORDENES'!$A1073="","",IF('ORDENES'!$P1073="","-",'ORDENES'!$P1073))</f>
        <v/>
      </c>
      <c r="B1095" s="3">
        <f>IF('ORDENES'!$A1073="","",IF('ORDENES'!$S1073="","-",'ORDENES'!$S1073))</f>
        <v/>
      </c>
      <c r="C1095" s="3">
        <f>IF('ORDENES'!$A1073="","",IF('ORDENES'!$AD1073="","-",'ORDENES'!$AD1073))</f>
        <v/>
      </c>
      <c r="D1095" s="3">
        <f>IF('ORDENES'!$A1073="","",IF('ORDENES'!$W1073="","-",'ORDENES'!$W1073))</f>
        <v/>
      </c>
      <c r="E1095" s="3">
        <f>IF('ORDENES'!$A1073="","",IF('ORDENES'!$V1073="","-",'ORDENES'!$V1073))</f>
        <v/>
      </c>
      <c r="F1095" s="3">
        <f>IF('ORDENES'!$A1073="","",IF('ORDENES'!$X1073="","-",'ORDENES'!$X1073))</f>
        <v/>
      </c>
      <c r="G1095" s="3">
        <f>IF('ORDENES'!$A1073="","",IF('ORDENES'!$AC1073="","-",'ORDENES'!$AC1073))</f>
        <v/>
      </c>
      <c r="H1095" s="3">
        <f>IF('ORDENES'!$A1073="","",IF('ORDENES'!$AO1073="","-",'ORDENES'!$AO1073))</f>
        <v/>
      </c>
      <c r="I1095" s="3">
        <f>IF('ORDENES'!$A1073="","",IF('ORDENES'!$D1073="","-",'ORDENES'!$D1073))</f>
        <v/>
      </c>
      <c r="J1095" s="3">
        <f>IF('ORDENES'!$A1073="","",IF('ORDENES'!$E1073="","-",'ORDENES'!$E1073))</f>
        <v/>
      </c>
      <c r="K1095" s="12">
        <f>IF('ORDENES'!$A1073="","",IF('ORDENES'!$N1073="",0,'ORDENES'!$N1073))</f>
        <v/>
      </c>
      <c r="L1095" s="3">
        <f>IF('ORDENES'!$A1073="","",IF('ORDENES'!$O1073="","-",'ORDENES'!$O1073))</f>
        <v/>
      </c>
      <c r="M1095" s="3">
        <f>IF('ORDENES'!$A1073="","",'ORDENES'!$AB1073)</f>
        <v/>
      </c>
    </row>
    <row r="1096">
      <c r="A1096" s="3">
        <f>IF('ORDENES'!$A1074="","",IF('ORDENES'!$P1074="","-",'ORDENES'!$P1074))</f>
        <v/>
      </c>
      <c r="B1096" s="3">
        <f>IF('ORDENES'!$A1074="","",IF('ORDENES'!$S1074="","-",'ORDENES'!$S1074))</f>
        <v/>
      </c>
      <c r="C1096" s="3">
        <f>IF('ORDENES'!$A1074="","",IF('ORDENES'!$AD1074="","-",'ORDENES'!$AD1074))</f>
        <v/>
      </c>
      <c r="D1096" s="3">
        <f>IF('ORDENES'!$A1074="","",IF('ORDENES'!$W1074="","-",'ORDENES'!$W1074))</f>
        <v/>
      </c>
      <c r="E1096" s="3">
        <f>IF('ORDENES'!$A1074="","",IF('ORDENES'!$V1074="","-",'ORDENES'!$V1074))</f>
        <v/>
      </c>
      <c r="F1096" s="3">
        <f>IF('ORDENES'!$A1074="","",IF('ORDENES'!$X1074="","-",'ORDENES'!$X1074))</f>
        <v/>
      </c>
      <c r="G1096" s="3">
        <f>IF('ORDENES'!$A1074="","",IF('ORDENES'!$AC1074="","-",'ORDENES'!$AC1074))</f>
        <v/>
      </c>
      <c r="H1096" s="3">
        <f>IF('ORDENES'!$A1074="","",IF('ORDENES'!$AO1074="","-",'ORDENES'!$AO1074))</f>
        <v/>
      </c>
      <c r="I1096" s="3">
        <f>IF('ORDENES'!$A1074="","",IF('ORDENES'!$D1074="","-",'ORDENES'!$D1074))</f>
        <v/>
      </c>
      <c r="J1096" s="3">
        <f>IF('ORDENES'!$A1074="","",IF('ORDENES'!$E1074="","-",'ORDENES'!$E1074))</f>
        <v/>
      </c>
      <c r="K1096" s="12">
        <f>IF('ORDENES'!$A1074="","",IF('ORDENES'!$N1074="",0,'ORDENES'!$N1074))</f>
        <v/>
      </c>
      <c r="L1096" s="3">
        <f>IF('ORDENES'!$A1074="","",IF('ORDENES'!$O1074="","-",'ORDENES'!$O1074))</f>
        <v/>
      </c>
      <c r="M1096" s="3">
        <f>IF('ORDENES'!$A1074="","",'ORDENES'!$AB1074)</f>
        <v/>
      </c>
    </row>
    <row r="1097">
      <c r="A1097" s="3">
        <f>IF('ORDENES'!$A1075="","",IF('ORDENES'!$P1075="","-",'ORDENES'!$P1075))</f>
        <v/>
      </c>
      <c r="B1097" s="3">
        <f>IF('ORDENES'!$A1075="","",IF('ORDENES'!$S1075="","-",'ORDENES'!$S1075))</f>
        <v/>
      </c>
      <c r="C1097" s="3">
        <f>IF('ORDENES'!$A1075="","",IF('ORDENES'!$AD1075="","-",'ORDENES'!$AD1075))</f>
        <v/>
      </c>
      <c r="D1097" s="3">
        <f>IF('ORDENES'!$A1075="","",IF('ORDENES'!$W1075="","-",'ORDENES'!$W1075))</f>
        <v/>
      </c>
      <c r="E1097" s="3">
        <f>IF('ORDENES'!$A1075="","",IF('ORDENES'!$V1075="","-",'ORDENES'!$V1075))</f>
        <v/>
      </c>
      <c r="F1097" s="3">
        <f>IF('ORDENES'!$A1075="","",IF('ORDENES'!$X1075="","-",'ORDENES'!$X1075))</f>
        <v/>
      </c>
      <c r="G1097" s="3">
        <f>IF('ORDENES'!$A1075="","",IF('ORDENES'!$AC1075="","-",'ORDENES'!$AC1075))</f>
        <v/>
      </c>
      <c r="H1097" s="3">
        <f>IF('ORDENES'!$A1075="","",IF('ORDENES'!$AO1075="","-",'ORDENES'!$AO1075))</f>
        <v/>
      </c>
      <c r="I1097" s="3">
        <f>IF('ORDENES'!$A1075="","",IF('ORDENES'!$D1075="","-",'ORDENES'!$D1075))</f>
        <v/>
      </c>
      <c r="J1097" s="3">
        <f>IF('ORDENES'!$A1075="","",IF('ORDENES'!$E1075="","-",'ORDENES'!$E1075))</f>
        <v/>
      </c>
      <c r="K1097" s="12">
        <f>IF('ORDENES'!$A1075="","",IF('ORDENES'!$N1075="",0,'ORDENES'!$N1075))</f>
        <v/>
      </c>
      <c r="L1097" s="3">
        <f>IF('ORDENES'!$A1075="","",IF('ORDENES'!$O1075="","-",'ORDENES'!$O1075))</f>
        <v/>
      </c>
      <c r="M1097" s="3">
        <f>IF('ORDENES'!$A1075="","",'ORDENES'!$AB1075)</f>
        <v/>
      </c>
    </row>
    <row r="1098">
      <c r="A1098" s="3">
        <f>IF('ORDENES'!$A1076="","",IF('ORDENES'!$P1076="","-",'ORDENES'!$P1076))</f>
        <v/>
      </c>
      <c r="B1098" s="3">
        <f>IF('ORDENES'!$A1076="","",IF('ORDENES'!$S1076="","-",'ORDENES'!$S1076))</f>
        <v/>
      </c>
      <c r="C1098" s="3">
        <f>IF('ORDENES'!$A1076="","",IF('ORDENES'!$AD1076="","-",'ORDENES'!$AD1076))</f>
        <v/>
      </c>
      <c r="D1098" s="3">
        <f>IF('ORDENES'!$A1076="","",IF('ORDENES'!$W1076="","-",'ORDENES'!$W1076))</f>
        <v/>
      </c>
      <c r="E1098" s="3">
        <f>IF('ORDENES'!$A1076="","",IF('ORDENES'!$V1076="","-",'ORDENES'!$V1076))</f>
        <v/>
      </c>
      <c r="F1098" s="3">
        <f>IF('ORDENES'!$A1076="","",IF('ORDENES'!$X1076="","-",'ORDENES'!$X1076))</f>
        <v/>
      </c>
      <c r="G1098" s="3">
        <f>IF('ORDENES'!$A1076="","",IF('ORDENES'!$AC1076="","-",'ORDENES'!$AC1076))</f>
        <v/>
      </c>
      <c r="H1098" s="3">
        <f>IF('ORDENES'!$A1076="","",IF('ORDENES'!$AO1076="","-",'ORDENES'!$AO1076))</f>
        <v/>
      </c>
      <c r="I1098" s="3">
        <f>IF('ORDENES'!$A1076="","",IF('ORDENES'!$D1076="","-",'ORDENES'!$D1076))</f>
        <v/>
      </c>
      <c r="J1098" s="3">
        <f>IF('ORDENES'!$A1076="","",IF('ORDENES'!$E1076="","-",'ORDENES'!$E1076))</f>
        <v/>
      </c>
      <c r="K1098" s="12">
        <f>IF('ORDENES'!$A1076="","",IF('ORDENES'!$N1076="",0,'ORDENES'!$N1076))</f>
        <v/>
      </c>
      <c r="L1098" s="3">
        <f>IF('ORDENES'!$A1076="","",IF('ORDENES'!$O1076="","-",'ORDENES'!$O1076))</f>
        <v/>
      </c>
      <c r="M1098" s="3">
        <f>IF('ORDENES'!$A1076="","",'ORDENES'!$AB1076)</f>
        <v/>
      </c>
    </row>
    <row r="1099">
      <c r="A1099" s="3">
        <f>IF('ORDENES'!$A1077="","",IF('ORDENES'!$P1077="","-",'ORDENES'!$P1077))</f>
        <v/>
      </c>
      <c r="B1099" s="3">
        <f>IF('ORDENES'!$A1077="","",IF('ORDENES'!$S1077="","-",'ORDENES'!$S1077))</f>
        <v/>
      </c>
      <c r="C1099" s="3">
        <f>IF('ORDENES'!$A1077="","",IF('ORDENES'!$AD1077="","-",'ORDENES'!$AD1077))</f>
        <v/>
      </c>
      <c r="D1099" s="3">
        <f>IF('ORDENES'!$A1077="","",IF('ORDENES'!$W1077="","-",'ORDENES'!$W1077))</f>
        <v/>
      </c>
      <c r="E1099" s="3">
        <f>IF('ORDENES'!$A1077="","",IF('ORDENES'!$V1077="","-",'ORDENES'!$V1077))</f>
        <v/>
      </c>
      <c r="F1099" s="3">
        <f>IF('ORDENES'!$A1077="","",IF('ORDENES'!$X1077="","-",'ORDENES'!$X1077))</f>
        <v/>
      </c>
      <c r="G1099" s="3">
        <f>IF('ORDENES'!$A1077="","",IF('ORDENES'!$AC1077="","-",'ORDENES'!$AC1077))</f>
        <v/>
      </c>
      <c r="H1099" s="3">
        <f>IF('ORDENES'!$A1077="","",IF('ORDENES'!$AO1077="","-",'ORDENES'!$AO1077))</f>
        <v/>
      </c>
      <c r="I1099" s="3">
        <f>IF('ORDENES'!$A1077="","",IF('ORDENES'!$D1077="","-",'ORDENES'!$D1077))</f>
        <v/>
      </c>
      <c r="J1099" s="3">
        <f>IF('ORDENES'!$A1077="","",IF('ORDENES'!$E1077="","-",'ORDENES'!$E1077))</f>
        <v/>
      </c>
      <c r="K1099" s="12">
        <f>IF('ORDENES'!$A1077="","",IF('ORDENES'!$N1077="",0,'ORDENES'!$N1077))</f>
        <v/>
      </c>
      <c r="L1099" s="3">
        <f>IF('ORDENES'!$A1077="","",IF('ORDENES'!$O1077="","-",'ORDENES'!$O1077))</f>
        <v/>
      </c>
      <c r="M1099" s="3">
        <f>IF('ORDENES'!$A1077="","",'ORDENES'!$AB1077)</f>
        <v/>
      </c>
    </row>
    <row r="1100">
      <c r="A1100" s="3">
        <f>IF('ORDENES'!$A1078="","",IF('ORDENES'!$P1078="","-",'ORDENES'!$P1078))</f>
        <v/>
      </c>
      <c r="B1100" s="3">
        <f>IF('ORDENES'!$A1078="","",IF('ORDENES'!$S1078="","-",'ORDENES'!$S1078))</f>
        <v/>
      </c>
      <c r="C1100" s="3">
        <f>IF('ORDENES'!$A1078="","",IF('ORDENES'!$AD1078="","-",'ORDENES'!$AD1078))</f>
        <v/>
      </c>
      <c r="D1100" s="3">
        <f>IF('ORDENES'!$A1078="","",IF('ORDENES'!$W1078="","-",'ORDENES'!$W1078))</f>
        <v/>
      </c>
      <c r="E1100" s="3">
        <f>IF('ORDENES'!$A1078="","",IF('ORDENES'!$V1078="","-",'ORDENES'!$V1078))</f>
        <v/>
      </c>
      <c r="F1100" s="3">
        <f>IF('ORDENES'!$A1078="","",IF('ORDENES'!$X1078="","-",'ORDENES'!$X1078))</f>
        <v/>
      </c>
      <c r="G1100" s="3">
        <f>IF('ORDENES'!$A1078="","",IF('ORDENES'!$AC1078="","-",'ORDENES'!$AC1078))</f>
        <v/>
      </c>
      <c r="H1100" s="3">
        <f>IF('ORDENES'!$A1078="","",IF('ORDENES'!$AO1078="","-",'ORDENES'!$AO1078))</f>
        <v/>
      </c>
      <c r="I1100" s="3">
        <f>IF('ORDENES'!$A1078="","",IF('ORDENES'!$D1078="","-",'ORDENES'!$D1078))</f>
        <v/>
      </c>
      <c r="J1100" s="3">
        <f>IF('ORDENES'!$A1078="","",IF('ORDENES'!$E1078="","-",'ORDENES'!$E1078))</f>
        <v/>
      </c>
      <c r="K1100" s="12">
        <f>IF('ORDENES'!$A1078="","",IF('ORDENES'!$N1078="",0,'ORDENES'!$N1078))</f>
        <v/>
      </c>
      <c r="L1100" s="3">
        <f>IF('ORDENES'!$A1078="","",IF('ORDENES'!$O1078="","-",'ORDENES'!$O1078))</f>
        <v/>
      </c>
      <c r="M1100" s="3">
        <f>IF('ORDENES'!$A1078="","",'ORDENES'!$AB1078)</f>
        <v/>
      </c>
    </row>
    <row r="1101">
      <c r="A1101" s="3">
        <f>IF('ORDENES'!$A1079="","",IF('ORDENES'!$P1079="","-",'ORDENES'!$P1079))</f>
        <v/>
      </c>
      <c r="B1101" s="3">
        <f>IF('ORDENES'!$A1079="","",IF('ORDENES'!$S1079="","-",'ORDENES'!$S1079))</f>
        <v/>
      </c>
      <c r="C1101" s="3">
        <f>IF('ORDENES'!$A1079="","",IF('ORDENES'!$AD1079="","-",'ORDENES'!$AD1079))</f>
        <v/>
      </c>
      <c r="D1101" s="3">
        <f>IF('ORDENES'!$A1079="","",IF('ORDENES'!$W1079="","-",'ORDENES'!$W1079))</f>
        <v/>
      </c>
      <c r="E1101" s="3">
        <f>IF('ORDENES'!$A1079="","",IF('ORDENES'!$V1079="","-",'ORDENES'!$V1079))</f>
        <v/>
      </c>
      <c r="F1101" s="3">
        <f>IF('ORDENES'!$A1079="","",IF('ORDENES'!$X1079="","-",'ORDENES'!$X1079))</f>
        <v/>
      </c>
      <c r="G1101" s="3">
        <f>IF('ORDENES'!$A1079="","",IF('ORDENES'!$AC1079="","-",'ORDENES'!$AC1079))</f>
        <v/>
      </c>
      <c r="H1101" s="3">
        <f>IF('ORDENES'!$A1079="","",IF('ORDENES'!$AO1079="","-",'ORDENES'!$AO1079))</f>
        <v/>
      </c>
      <c r="I1101" s="3">
        <f>IF('ORDENES'!$A1079="","",IF('ORDENES'!$D1079="","-",'ORDENES'!$D1079))</f>
        <v/>
      </c>
      <c r="J1101" s="3">
        <f>IF('ORDENES'!$A1079="","",IF('ORDENES'!$E1079="","-",'ORDENES'!$E1079))</f>
        <v/>
      </c>
      <c r="K1101" s="12">
        <f>IF('ORDENES'!$A1079="","",IF('ORDENES'!$N1079="",0,'ORDENES'!$N1079))</f>
        <v/>
      </c>
      <c r="L1101" s="3">
        <f>IF('ORDENES'!$A1079="","",IF('ORDENES'!$O1079="","-",'ORDENES'!$O1079))</f>
        <v/>
      </c>
      <c r="M1101" s="3">
        <f>IF('ORDENES'!$A1079="","",'ORDENES'!$AB1079)</f>
        <v/>
      </c>
    </row>
    <row r="1102">
      <c r="A1102" s="3">
        <f>IF('ORDENES'!$A1080="","",IF('ORDENES'!$P1080="","-",'ORDENES'!$P1080))</f>
        <v/>
      </c>
      <c r="B1102" s="3">
        <f>IF('ORDENES'!$A1080="","",IF('ORDENES'!$S1080="","-",'ORDENES'!$S1080))</f>
        <v/>
      </c>
      <c r="C1102" s="3">
        <f>IF('ORDENES'!$A1080="","",IF('ORDENES'!$AD1080="","-",'ORDENES'!$AD1080))</f>
        <v/>
      </c>
      <c r="D1102" s="3">
        <f>IF('ORDENES'!$A1080="","",IF('ORDENES'!$W1080="","-",'ORDENES'!$W1080))</f>
        <v/>
      </c>
      <c r="E1102" s="3">
        <f>IF('ORDENES'!$A1080="","",IF('ORDENES'!$V1080="","-",'ORDENES'!$V1080))</f>
        <v/>
      </c>
      <c r="F1102" s="3">
        <f>IF('ORDENES'!$A1080="","",IF('ORDENES'!$X1080="","-",'ORDENES'!$X1080))</f>
        <v/>
      </c>
      <c r="G1102" s="3">
        <f>IF('ORDENES'!$A1080="","",IF('ORDENES'!$AC1080="","-",'ORDENES'!$AC1080))</f>
        <v/>
      </c>
      <c r="H1102" s="3">
        <f>IF('ORDENES'!$A1080="","",IF('ORDENES'!$AO1080="","-",'ORDENES'!$AO1080))</f>
        <v/>
      </c>
      <c r="I1102" s="3">
        <f>IF('ORDENES'!$A1080="","",IF('ORDENES'!$D1080="","-",'ORDENES'!$D1080))</f>
        <v/>
      </c>
      <c r="J1102" s="3">
        <f>IF('ORDENES'!$A1080="","",IF('ORDENES'!$E1080="","-",'ORDENES'!$E1080))</f>
        <v/>
      </c>
      <c r="K1102" s="12">
        <f>IF('ORDENES'!$A1080="","",IF('ORDENES'!$N1080="",0,'ORDENES'!$N1080))</f>
        <v/>
      </c>
      <c r="L1102" s="3">
        <f>IF('ORDENES'!$A1080="","",IF('ORDENES'!$O1080="","-",'ORDENES'!$O1080))</f>
        <v/>
      </c>
      <c r="M1102" s="3">
        <f>IF('ORDENES'!$A1080="","",'ORDENES'!$AB1080)</f>
        <v/>
      </c>
    </row>
    <row r="1103">
      <c r="A1103" s="3">
        <f>IF('ORDENES'!$A1081="","",IF('ORDENES'!$P1081="","-",'ORDENES'!$P1081))</f>
        <v/>
      </c>
      <c r="B1103" s="3">
        <f>IF('ORDENES'!$A1081="","",IF('ORDENES'!$S1081="","-",'ORDENES'!$S1081))</f>
        <v/>
      </c>
      <c r="C1103" s="3">
        <f>IF('ORDENES'!$A1081="","",IF('ORDENES'!$AD1081="","-",'ORDENES'!$AD1081))</f>
        <v/>
      </c>
      <c r="D1103" s="3">
        <f>IF('ORDENES'!$A1081="","",IF('ORDENES'!$W1081="","-",'ORDENES'!$W1081))</f>
        <v/>
      </c>
      <c r="E1103" s="3">
        <f>IF('ORDENES'!$A1081="","",IF('ORDENES'!$V1081="","-",'ORDENES'!$V1081))</f>
        <v/>
      </c>
      <c r="F1103" s="3">
        <f>IF('ORDENES'!$A1081="","",IF('ORDENES'!$X1081="","-",'ORDENES'!$X1081))</f>
        <v/>
      </c>
      <c r="G1103" s="3">
        <f>IF('ORDENES'!$A1081="","",IF('ORDENES'!$AC1081="","-",'ORDENES'!$AC1081))</f>
        <v/>
      </c>
      <c r="H1103" s="3">
        <f>IF('ORDENES'!$A1081="","",IF('ORDENES'!$AO1081="","-",'ORDENES'!$AO1081))</f>
        <v/>
      </c>
      <c r="I1103" s="3">
        <f>IF('ORDENES'!$A1081="","",IF('ORDENES'!$D1081="","-",'ORDENES'!$D1081))</f>
        <v/>
      </c>
      <c r="J1103" s="3">
        <f>IF('ORDENES'!$A1081="","",IF('ORDENES'!$E1081="","-",'ORDENES'!$E1081))</f>
        <v/>
      </c>
      <c r="K1103" s="12">
        <f>IF('ORDENES'!$A1081="","",IF('ORDENES'!$N1081="",0,'ORDENES'!$N1081))</f>
        <v/>
      </c>
      <c r="L1103" s="3">
        <f>IF('ORDENES'!$A1081="","",IF('ORDENES'!$O1081="","-",'ORDENES'!$O1081))</f>
        <v/>
      </c>
      <c r="M1103" s="3">
        <f>IF('ORDENES'!$A1081="","",'ORDENES'!$AB1081)</f>
        <v/>
      </c>
    </row>
    <row r="1104">
      <c r="A1104" s="3">
        <f>IF('ORDENES'!$A1082="","",IF('ORDENES'!$P1082="","-",'ORDENES'!$P1082))</f>
        <v/>
      </c>
      <c r="B1104" s="3">
        <f>IF('ORDENES'!$A1082="","",IF('ORDENES'!$S1082="","-",'ORDENES'!$S1082))</f>
        <v/>
      </c>
      <c r="C1104" s="3">
        <f>IF('ORDENES'!$A1082="","",IF('ORDENES'!$AD1082="","-",'ORDENES'!$AD1082))</f>
        <v/>
      </c>
      <c r="D1104" s="3">
        <f>IF('ORDENES'!$A1082="","",IF('ORDENES'!$W1082="","-",'ORDENES'!$W1082))</f>
        <v/>
      </c>
      <c r="E1104" s="3">
        <f>IF('ORDENES'!$A1082="","",IF('ORDENES'!$V1082="","-",'ORDENES'!$V1082))</f>
        <v/>
      </c>
      <c r="F1104" s="3">
        <f>IF('ORDENES'!$A1082="","",IF('ORDENES'!$X1082="","-",'ORDENES'!$X1082))</f>
        <v/>
      </c>
      <c r="G1104" s="3">
        <f>IF('ORDENES'!$A1082="","",IF('ORDENES'!$AC1082="","-",'ORDENES'!$AC1082))</f>
        <v/>
      </c>
      <c r="H1104" s="3">
        <f>IF('ORDENES'!$A1082="","",IF('ORDENES'!$AO1082="","-",'ORDENES'!$AO1082))</f>
        <v/>
      </c>
      <c r="I1104" s="3">
        <f>IF('ORDENES'!$A1082="","",IF('ORDENES'!$D1082="","-",'ORDENES'!$D1082))</f>
        <v/>
      </c>
      <c r="J1104" s="3">
        <f>IF('ORDENES'!$A1082="","",IF('ORDENES'!$E1082="","-",'ORDENES'!$E1082))</f>
        <v/>
      </c>
      <c r="K1104" s="12">
        <f>IF('ORDENES'!$A1082="","",IF('ORDENES'!$N1082="",0,'ORDENES'!$N1082))</f>
        <v/>
      </c>
      <c r="L1104" s="3">
        <f>IF('ORDENES'!$A1082="","",IF('ORDENES'!$O1082="","-",'ORDENES'!$O1082))</f>
        <v/>
      </c>
      <c r="M1104" s="3">
        <f>IF('ORDENES'!$A1082="","",'ORDENES'!$AB1082)</f>
        <v/>
      </c>
    </row>
    <row r="1105">
      <c r="A1105" s="3">
        <f>IF('ORDENES'!$A1083="","",IF('ORDENES'!$P1083="","-",'ORDENES'!$P1083))</f>
        <v/>
      </c>
      <c r="B1105" s="3">
        <f>IF('ORDENES'!$A1083="","",IF('ORDENES'!$S1083="","-",'ORDENES'!$S1083))</f>
        <v/>
      </c>
      <c r="C1105" s="3">
        <f>IF('ORDENES'!$A1083="","",IF('ORDENES'!$AD1083="","-",'ORDENES'!$AD1083))</f>
        <v/>
      </c>
      <c r="D1105" s="3">
        <f>IF('ORDENES'!$A1083="","",IF('ORDENES'!$W1083="","-",'ORDENES'!$W1083))</f>
        <v/>
      </c>
      <c r="E1105" s="3">
        <f>IF('ORDENES'!$A1083="","",IF('ORDENES'!$V1083="","-",'ORDENES'!$V1083))</f>
        <v/>
      </c>
      <c r="F1105" s="3">
        <f>IF('ORDENES'!$A1083="","",IF('ORDENES'!$X1083="","-",'ORDENES'!$X1083))</f>
        <v/>
      </c>
      <c r="G1105" s="3">
        <f>IF('ORDENES'!$A1083="","",IF('ORDENES'!$AC1083="","-",'ORDENES'!$AC1083))</f>
        <v/>
      </c>
      <c r="H1105" s="3">
        <f>IF('ORDENES'!$A1083="","",IF('ORDENES'!$AO1083="","-",'ORDENES'!$AO1083))</f>
        <v/>
      </c>
      <c r="I1105" s="3">
        <f>IF('ORDENES'!$A1083="","",IF('ORDENES'!$D1083="","-",'ORDENES'!$D1083))</f>
        <v/>
      </c>
      <c r="J1105" s="3">
        <f>IF('ORDENES'!$A1083="","",IF('ORDENES'!$E1083="","-",'ORDENES'!$E1083))</f>
        <v/>
      </c>
      <c r="K1105" s="12">
        <f>IF('ORDENES'!$A1083="","",IF('ORDENES'!$N1083="",0,'ORDENES'!$N1083))</f>
        <v/>
      </c>
      <c r="L1105" s="3">
        <f>IF('ORDENES'!$A1083="","",IF('ORDENES'!$O1083="","-",'ORDENES'!$O1083))</f>
        <v/>
      </c>
      <c r="M1105" s="3">
        <f>IF('ORDENES'!$A1083="","",'ORDENES'!$AB1083)</f>
        <v/>
      </c>
    </row>
    <row r="1106">
      <c r="A1106" s="3">
        <f>IF('ORDENES'!$A1084="","",IF('ORDENES'!$P1084="","-",'ORDENES'!$P1084))</f>
        <v/>
      </c>
      <c r="B1106" s="3">
        <f>IF('ORDENES'!$A1084="","",IF('ORDENES'!$S1084="","-",'ORDENES'!$S1084))</f>
        <v/>
      </c>
      <c r="C1106" s="3">
        <f>IF('ORDENES'!$A1084="","",IF('ORDENES'!$AD1084="","-",'ORDENES'!$AD1084))</f>
        <v/>
      </c>
      <c r="D1106" s="3">
        <f>IF('ORDENES'!$A1084="","",IF('ORDENES'!$W1084="","-",'ORDENES'!$W1084))</f>
        <v/>
      </c>
      <c r="E1106" s="3">
        <f>IF('ORDENES'!$A1084="","",IF('ORDENES'!$V1084="","-",'ORDENES'!$V1084))</f>
        <v/>
      </c>
      <c r="F1106" s="3">
        <f>IF('ORDENES'!$A1084="","",IF('ORDENES'!$X1084="","-",'ORDENES'!$X1084))</f>
        <v/>
      </c>
      <c r="G1106" s="3">
        <f>IF('ORDENES'!$A1084="","",IF('ORDENES'!$AC1084="","-",'ORDENES'!$AC1084))</f>
        <v/>
      </c>
      <c r="H1106" s="3">
        <f>IF('ORDENES'!$A1084="","",IF('ORDENES'!$AO1084="","-",'ORDENES'!$AO1084))</f>
        <v/>
      </c>
      <c r="I1106" s="3">
        <f>IF('ORDENES'!$A1084="","",IF('ORDENES'!$D1084="","-",'ORDENES'!$D1084))</f>
        <v/>
      </c>
      <c r="J1106" s="3">
        <f>IF('ORDENES'!$A1084="","",IF('ORDENES'!$E1084="","-",'ORDENES'!$E1084))</f>
        <v/>
      </c>
      <c r="K1106" s="12">
        <f>IF('ORDENES'!$A1084="","",IF('ORDENES'!$N1084="",0,'ORDENES'!$N1084))</f>
        <v/>
      </c>
      <c r="L1106" s="3">
        <f>IF('ORDENES'!$A1084="","",IF('ORDENES'!$O1084="","-",'ORDENES'!$O1084))</f>
        <v/>
      </c>
      <c r="M1106" s="3">
        <f>IF('ORDENES'!$A1084="","",'ORDENES'!$AB1084)</f>
        <v/>
      </c>
    </row>
    <row r="1107">
      <c r="A1107" s="3">
        <f>IF('ORDENES'!$A1085="","",IF('ORDENES'!$P1085="","-",'ORDENES'!$P1085))</f>
        <v/>
      </c>
      <c r="B1107" s="3">
        <f>IF('ORDENES'!$A1085="","",IF('ORDENES'!$S1085="","-",'ORDENES'!$S1085))</f>
        <v/>
      </c>
      <c r="C1107" s="3">
        <f>IF('ORDENES'!$A1085="","",IF('ORDENES'!$AD1085="","-",'ORDENES'!$AD1085))</f>
        <v/>
      </c>
      <c r="D1107" s="3">
        <f>IF('ORDENES'!$A1085="","",IF('ORDENES'!$W1085="","-",'ORDENES'!$W1085))</f>
        <v/>
      </c>
      <c r="E1107" s="3">
        <f>IF('ORDENES'!$A1085="","",IF('ORDENES'!$V1085="","-",'ORDENES'!$V1085))</f>
        <v/>
      </c>
      <c r="F1107" s="3">
        <f>IF('ORDENES'!$A1085="","",IF('ORDENES'!$X1085="","-",'ORDENES'!$X1085))</f>
        <v/>
      </c>
      <c r="G1107" s="3">
        <f>IF('ORDENES'!$A1085="","",IF('ORDENES'!$AC1085="","-",'ORDENES'!$AC1085))</f>
        <v/>
      </c>
      <c r="H1107" s="3">
        <f>IF('ORDENES'!$A1085="","",IF('ORDENES'!$AO1085="","-",'ORDENES'!$AO1085))</f>
        <v/>
      </c>
      <c r="I1107" s="3">
        <f>IF('ORDENES'!$A1085="","",IF('ORDENES'!$D1085="","-",'ORDENES'!$D1085))</f>
        <v/>
      </c>
      <c r="J1107" s="3">
        <f>IF('ORDENES'!$A1085="","",IF('ORDENES'!$E1085="","-",'ORDENES'!$E1085))</f>
        <v/>
      </c>
      <c r="K1107" s="12">
        <f>IF('ORDENES'!$A1085="","",IF('ORDENES'!$N1085="",0,'ORDENES'!$N1085))</f>
        <v/>
      </c>
      <c r="L1107" s="3">
        <f>IF('ORDENES'!$A1085="","",IF('ORDENES'!$O1085="","-",'ORDENES'!$O1085))</f>
        <v/>
      </c>
      <c r="M1107" s="3">
        <f>IF('ORDENES'!$A1085="","",'ORDENES'!$AB1085)</f>
        <v/>
      </c>
    </row>
    <row r="1108">
      <c r="A1108" s="3">
        <f>IF('ORDENES'!$A1086="","",IF('ORDENES'!$P1086="","-",'ORDENES'!$P1086))</f>
        <v/>
      </c>
      <c r="B1108" s="3">
        <f>IF('ORDENES'!$A1086="","",IF('ORDENES'!$S1086="","-",'ORDENES'!$S1086))</f>
        <v/>
      </c>
      <c r="C1108" s="3">
        <f>IF('ORDENES'!$A1086="","",IF('ORDENES'!$AD1086="","-",'ORDENES'!$AD1086))</f>
        <v/>
      </c>
      <c r="D1108" s="3">
        <f>IF('ORDENES'!$A1086="","",IF('ORDENES'!$W1086="","-",'ORDENES'!$W1086))</f>
        <v/>
      </c>
      <c r="E1108" s="3">
        <f>IF('ORDENES'!$A1086="","",IF('ORDENES'!$V1086="","-",'ORDENES'!$V1086))</f>
        <v/>
      </c>
      <c r="F1108" s="3">
        <f>IF('ORDENES'!$A1086="","",IF('ORDENES'!$X1086="","-",'ORDENES'!$X1086))</f>
        <v/>
      </c>
      <c r="G1108" s="3">
        <f>IF('ORDENES'!$A1086="","",IF('ORDENES'!$AC1086="","-",'ORDENES'!$AC1086))</f>
        <v/>
      </c>
      <c r="H1108" s="3">
        <f>IF('ORDENES'!$A1086="","",IF('ORDENES'!$AO1086="","-",'ORDENES'!$AO1086))</f>
        <v/>
      </c>
      <c r="I1108" s="3">
        <f>IF('ORDENES'!$A1086="","",IF('ORDENES'!$D1086="","-",'ORDENES'!$D1086))</f>
        <v/>
      </c>
      <c r="J1108" s="3">
        <f>IF('ORDENES'!$A1086="","",IF('ORDENES'!$E1086="","-",'ORDENES'!$E1086))</f>
        <v/>
      </c>
      <c r="K1108" s="12">
        <f>IF('ORDENES'!$A1086="","",IF('ORDENES'!$N1086="",0,'ORDENES'!$N1086))</f>
        <v/>
      </c>
      <c r="L1108" s="3">
        <f>IF('ORDENES'!$A1086="","",IF('ORDENES'!$O1086="","-",'ORDENES'!$O1086))</f>
        <v/>
      </c>
      <c r="M1108" s="3">
        <f>IF('ORDENES'!$A1086="","",'ORDENES'!$AB1086)</f>
        <v/>
      </c>
    </row>
    <row r="1109">
      <c r="A1109" s="3">
        <f>IF('ORDENES'!$A1087="","",IF('ORDENES'!$P1087="","-",'ORDENES'!$P1087))</f>
        <v/>
      </c>
      <c r="B1109" s="3">
        <f>IF('ORDENES'!$A1087="","",IF('ORDENES'!$S1087="","-",'ORDENES'!$S1087))</f>
        <v/>
      </c>
      <c r="C1109" s="3">
        <f>IF('ORDENES'!$A1087="","",IF('ORDENES'!$AD1087="","-",'ORDENES'!$AD1087))</f>
        <v/>
      </c>
      <c r="D1109" s="3">
        <f>IF('ORDENES'!$A1087="","",IF('ORDENES'!$W1087="","-",'ORDENES'!$W1087))</f>
        <v/>
      </c>
      <c r="E1109" s="3">
        <f>IF('ORDENES'!$A1087="","",IF('ORDENES'!$V1087="","-",'ORDENES'!$V1087))</f>
        <v/>
      </c>
      <c r="F1109" s="3">
        <f>IF('ORDENES'!$A1087="","",IF('ORDENES'!$X1087="","-",'ORDENES'!$X1087))</f>
        <v/>
      </c>
      <c r="G1109" s="3">
        <f>IF('ORDENES'!$A1087="","",IF('ORDENES'!$AC1087="","-",'ORDENES'!$AC1087))</f>
        <v/>
      </c>
      <c r="H1109" s="3">
        <f>IF('ORDENES'!$A1087="","",IF('ORDENES'!$AO1087="","-",'ORDENES'!$AO1087))</f>
        <v/>
      </c>
      <c r="I1109" s="3">
        <f>IF('ORDENES'!$A1087="","",IF('ORDENES'!$D1087="","-",'ORDENES'!$D1087))</f>
        <v/>
      </c>
      <c r="J1109" s="3">
        <f>IF('ORDENES'!$A1087="","",IF('ORDENES'!$E1087="","-",'ORDENES'!$E1087))</f>
        <v/>
      </c>
      <c r="K1109" s="12">
        <f>IF('ORDENES'!$A1087="","",IF('ORDENES'!$N1087="",0,'ORDENES'!$N1087))</f>
        <v/>
      </c>
      <c r="L1109" s="3">
        <f>IF('ORDENES'!$A1087="","",IF('ORDENES'!$O1087="","-",'ORDENES'!$O1087))</f>
        <v/>
      </c>
      <c r="M1109" s="3">
        <f>IF('ORDENES'!$A1087="","",'ORDENES'!$AB1087)</f>
        <v/>
      </c>
    </row>
    <row r="1110">
      <c r="A1110" s="3">
        <f>IF('ORDENES'!$A1088="","",IF('ORDENES'!$P1088="","-",'ORDENES'!$P1088))</f>
        <v/>
      </c>
      <c r="B1110" s="3">
        <f>IF('ORDENES'!$A1088="","",IF('ORDENES'!$S1088="","-",'ORDENES'!$S1088))</f>
        <v/>
      </c>
      <c r="C1110" s="3">
        <f>IF('ORDENES'!$A1088="","",IF('ORDENES'!$AD1088="","-",'ORDENES'!$AD1088))</f>
        <v/>
      </c>
      <c r="D1110" s="3">
        <f>IF('ORDENES'!$A1088="","",IF('ORDENES'!$W1088="","-",'ORDENES'!$W1088))</f>
        <v/>
      </c>
      <c r="E1110" s="3">
        <f>IF('ORDENES'!$A1088="","",IF('ORDENES'!$V1088="","-",'ORDENES'!$V1088))</f>
        <v/>
      </c>
      <c r="F1110" s="3">
        <f>IF('ORDENES'!$A1088="","",IF('ORDENES'!$X1088="","-",'ORDENES'!$X1088))</f>
        <v/>
      </c>
      <c r="G1110" s="3">
        <f>IF('ORDENES'!$A1088="","",IF('ORDENES'!$AC1088="","-",'ORDENES'!$AC1088))</f>
        <v/>
      </c>
      <c r="H1110" s="3">
        <f>IF('ORDENES'!$A1088="","",IF('ORDENES'!$AO1088="","-",'ORDENES'!$AO1088))</f>
        <v/>
      </c>
      <c r="I1110" s="3">
        <f>IF('ORDENES'!$A1088="","",IF('ORDENES'!$D1088="","-",'ORDENES'!$D1088))</f>
        <v/>
      </c>
      <c r="J1110" s="3">
        <f>IF('ORDENES'!$A1088="","",IF('ORDENES'!$E1088="","-",'ORDENES'!$E1088))</f>
        <v/>
      </c>
      <c r="K1110" s="12">
        <f>IF('ORDENES'!$A1088="","",IF('ORDENES'!$N1088="",0,'ORDENES'!$N1088))</f>
        <v/>
      </c>
      <c r="L1110" s="3">
        <f>IF('ORDENES'!$A1088="","",IF('ORDENES'!$O1088="","-",'ORDENES'!$O1088))</f>
        <v/>
      </c>
      <c r="M1110" s="3">
        <f>IF('ORDENES'!$A1088="","",'ORDENES'!$AB1088)</f>
        <v/>
      </c>
    </row>
    <row r="1111">
      <c r="A1111" s="3">
        <f>IF('ORDENES'!$A1089="","",IF('ORDENES'!$P1089="","-",'ORDENES'!$P1089))</f>
        <v/>
      </c>
      <c r="B1111" s="3">
        <f>IF('ORDENES'!$A1089="","",IF('ORDENES'!$S1089="","-",'ORDENES'!$S1089))</f>
        <v/>
      </c>
      <c r="C1111" s="3">
        <f>IF('ORDENES'!$A1089="","",IF('ORDENES'!$AD1089="","-",'ORDENES'!$AD1089))</f>
        <v/>
      </c>
      <c r="D1111" s="3">
        <f>IF('ORDENES'!$A1089="","",IF('ORDENES'!$W1089="","-",'ORDENES'!$W1089))</f>
        <v/>
      </c>
      <c r="E1111" s="3">
        <f>IF('ORDENES'!$A1089="","",IF('ORDENES'!$V1089="","-",'ORDENES'!$V1089))</f>
        <v/>
      </c>
      <c r="F1111" s="3">
        <f>IF('ORDENES'!$A1089="","",IF('ORDENES'!$X1089="","-",'ORDENES'!$X1089))</f>
        <v/>
      </c>
      <c r="G1111" s="3">
        <f>IF('ORDENES'!$A1089="","",IF('ORDENES'!$AC1089="","-",'ORDENES'!$AC1089))</f>
        <v/>
      </c>
      <c r="H1111" s="3">
        <f>IF('ORDENES'!$A1089="","",IF('ORDENES'!$AO1089="","-",'ORDENES'!$AO1089))</f>
        <v/>
      </c>
      <c r="I1111" s="3">
        <f>IF('ORDENES'!$A1089="","",IF('ORDENES'!$D1089="","-",'ORDENES'!$D1089))</f>
        <v/>
      </c>
      <c r="J1111" s="3">
        <f>IF('ORDENES'!$A1089="","",IF('ORDENES'!$E1089="","-",'ORDENES'!$E1089))</f>
        <v/>
      </c>
      <c r="K1111" s="12">
        <f>IF('ORDENES'!$A1089="","",IF('ORDENES'!$N1089="",0,'ORDENES'!$N1089))</f>
        <v/>
      </c>
      <c r="L1111" s="3">
        <f>IF('ORDENES'!$A1089="","",IF('ORDENES'!$O1089="","-",'ORDENES'!$O1089))</f>
        <v/>
      </c>
      <c r="M1111" s="3">
        <f>IF('ORDENES'!$A1089="","",'ORDENES'!$AB1089)</f>
        <v/>
      </c>
    </row>
    <row r="1112">
      <c r="A1112" s="3">
        <f>IF('ORDENES'!$A1090="","",IF('ORDENES'!$P1090="","-",'ORDENES'!$P1090))</f>
        <v/>
      </c>
      <c r="B1112" s="3">
        <f>IF('ORDENES'!$A1090="","",IF('ORDENES'!$S1090="","-",'ORDENES'!$S1090))</f>
        <v/>
      </c>
      <c r="C1112" s="3">
        <f>IF('ORDENES'!$A1090="","",IF('ORDENES'!$AD1090="","-",'ORDENES'!$AD1090))</f>
        <v/>
      </c>
      <c r="D1112" s="3">
        <f>IF('ORDENES'!$A1090="","",IF('ORDENES'!$W1090="","-",'ORDENES'!$W1090))</f>
        <v/>
      </c>
      <c r="E1112" s="3">
        <f>IF('ORDENES'!$A1090="","",IF('ORDENES'!$V1090="","-",'ORDENES'!$V1090))</f>
        <v/>
      </c>
      <c r="F1112" s="3">
        <f>IF('ORDENES'!$A1090="","",IF('ORDENES'!$X1090="","-",'ORDENES'!$X1090))</f>
        <v/>
      </c>
      <c r="G1112" s="3">
        <f>IF('ORDENES'!$A1090="","",IF('ORDENES'!$AC1090="","-",'ORDENES'!$AC1090))</f>
        <v/>
      </c>
      <c r="H1112" s="3">
        <f>IF('ORDENES'!$A1090="","",IF('ORDENES'!$AO1090="","-",'ORDENES'!$AO1090))</f>
        <v/>
      </c>
      <c r="I1112" s="3">
        <f>IF('ORDENES'!$A1090="","",IF('ORDENES'!$D1090="","-",'ORDENES'!$D1090))</f>
        <v/>
      </c>
      <c r="J1112" s="3">
        <f>IF('ORDENES'!$A1090="","",IF('ORDENES'!$E1090="","-",'ORDENES'!$E1090))</f>
        <v/>
      </c>
      <c r="K1112" s="12">
        <f>IF('ORDENES'!$A1090="","",IF('ORDENES'!$N1090="",0,'ORDENES'!$N1090))</f>
        <v/>
      </c>
      <c r="L1112" s="3">
        <f>IF('ORDENES'!$A1090="","",IF('ORDENES'!$O1090="","-",'ORDENES'!$O1090))</f>
        <v/>
      </c>
      <c r="M1112" s="3">
        <f>IF('ORDENES'!$A1090="","",'ORDENES'!$AB1090)</f>
        <v/>
      </c>
    </row>
    <row r="1113">
      <c r="A1113" s="3">
        <f>IF('ORDENES'!$A1091="","",IF('ORDENES'!$P1091="","-",'ORDENES'!$P1091))</f>
        <v/>
      </c>
      <c r="B1113" s="3">
        <f>IF('ORDENES'!$A1091="","",IF('ORDENES'!$S1091="","-",'ORDENES'!$S1091))</f>
        <v/>
      </c>
      <c r="C1113" s="3">
        <f>IF('ORDENES'!$A1091="","",IF('ORDENES'!$AD1091="","-",'ORDENES'!$AD1091))</f>
        <v/>
      </c>
      <c r="D1113" s="3">
        <f>IF('ORDENES'!$A1091="","",IF('ORDENES'!$W1091="","-",'ORDENES'!$W1091))</f>
        <v/>
      </c>
      <c r="E1113" s="3">
        <f>IF('ORDENES'!$A1091="","",IF('ORDENES'!$V1091="","-",'ORDENES'!$V1091))</f>
        <v/>
      </c>
      <c r="F1113" s="3">
        <f>IF('ORDENES'!$A1091="","",IF('ORDENES'!$X1091="","-",'ORDENES'!$X1091))</f>
        <v/>
      </c>
      <c r="G1113" s="3">
        <f>IF('ORDENES'!$A1091="","",IF('ORDENES'!$AC1091="","-",'ORDENES'!$AC1091))</f>
        <v/>
      </c>
      <c r="H1113" s="3">
        <f>IF('ORDENES'!$A1091="","",IF('ORDENES'!$AO1091="","-",'ORDENES'!$AO1091))</f>
        <v/>
      </c>
      <c r="I1113" s="3">
        <f>IF('ORDENES'!$A1091="","",IF('ORDENES'!$D1091="","-",'ORDENES'!$D1091))</f>
        <v/>
      </c>
      <c r="J1113" s="3">
        <f>IF('ORDENES'!$A1091="","",IF('ORDENES'!$E1091="","-",'ORDENES'!$E1091))</f>
        <v/>
      </c>
      <c r="K1113" s="12">
        <f>IF('ORDENES'!$A1091="","",IF('ORDENES'!$N1091="",0,'ORDENES'!$N1091))</f>
        <v/>
      </c>
      <c r="L1113" s="3">
        <f>IF('ORDENES'!$A1091="","",IF('ORDENES'!$O1091="","-",'ORDENES'!$O1091))</f>
        <v/>
      </c>
      <c r="M1113" s="3">
        <f>IF('ORDENES'!$A1091="","",'ORDENES'!$AB1091)</f>
        <v/>
      </c>
    </row>
    <row r="1114">
      <c r="A1114" s="3">
        <f>IF('ORDENES'!$A1092="","",IF('ORDENES'!$P1092="","-",'ORDENES'!$P1092))</f>
        <v/>
      </c>
      <c r="B1114" s="3">
        <f>IF('ORDENES'!$A1092="","",IF('ORDENES'!$S1092="","-",'ORDENES'!$S1092))</f>
        <v/>
      </c>
      <c r="C1114" s="3">
        <f>IF('ORDENES'!$A1092="","",IF('ORDENES'!$AD1092="","-",'ORDENES'!$AD1092))</f>
        <v/>
      </c>
      <c r="D1114" s="3">
        <f>IF('ORDENES'!$A1092="","",IF('ORDENES'!$W1092="","-",'ORDENES'!$W1092))</f>
        <v/>
      </c>
      <c r="E1114" s="3">
        <f>IF('ORDENES'!$A1092="","",IF('ORDENES'!$V1092="","-",'ORDENES'!$V1092))</f>
        <v/>
      </c>
      <c r="F1114" s="3">
        <f>IF('ORDENES'!$A1092="","",IF('ORDENES'!$X1092="","-",'ORDENES'!$X1092))</f>
        <v/>
      </c>
      <c r="G1114" s="3">
        <f>IF('ORDENES'!$A1092="","",IF('ORDENES'!$AC1092="","-",'ORDENES'!$AC1092))</f>
        <v/>
      </c>
      <c r="H1114" s="3">
        <f>IF('ORDENES'!$A1092="","",IF('ORDENES'!$AO1092="","-",'ORDENES'!$AO1092))</f>
        <v/>
      </c>
      <c r="I1114" s="3">
        <f>IF('ORDENES'!$A1092="","",IF('ORDENES'!$D1092="","-",'ORDENES'!$D1092))</f>
        <v/>
      </c>
      <c r="J1114" s="3">
        <f>IF('ORDENES'!$A1092="","",IF('ORDENES'!$E1092="","-",'ORDENES'!$E1092))</f>
        <v/>
      </c>
      <c r="K1114" s="12">
        <f>IF('ORDENES'!$A1092="","",IF('ORDENES'!$N1092="",0,'ORDENES'!$N1092))</f>
        <v/>
      </c>
      <c r="L1114" s="3">
        <f>IF('ORDENES'!$A1092="","",IF('ORDENES'!$O1092="","-",'ORDENES'!$O1092))</f>
        <v/>
      </c>
      <c r="M1114" s="3">
        <f>IF('ORDENES'!$A1092="","",'ORDENES'!$AB1092)</f>
        <v/>
      </c>
    </row>
    <row r="1115">
      <c r="A1115" s="3">
        <f>IF('ORDENES'!$A1093="","",IF('ORDENES'!$P1093="","-",'ORDENES'!$P1093))</f>
        <v/>
      </c>
      <c r="B1115" s="3">
        <f>IF('ORDENES'!$A1093="","",IF('ORDENES'!$S1093="","-",'ORDENES'!$S1093))</f>
        <v/>
      </c>
      <c r="C1115" s="3">
        <f>IF('ORDENES'!$A1093="","",IF('ORDENES'!$AD1093="","-",'ORDENES'!$AD1093))</f>
        <v/>
      </c>
      <c r="D1115" s="3">
        <f>IF('ORDENES'!$A1093="","",IF('ORDENES'!$W1093="","-",'ORDENES'!$W1093))</f>
        <v/>
      </c>
      <c r="E1115" s="3">
        <f>IF('ORDENES'!$A1093="","",IF('ORDENES'!$V1093="","-",'ORDENES'!$V1093))</f>
        <v/>
      </c>
      <c r="F1115" s="3">
        <f>IF('ORDENES'!$A1093="","",IF('ORDENES'!$X1093="","-",'ORDENES'!$X1093))</f>
        <v/>
      </c>
      <c r="G1115" s="3">
        <f>IF('ORDENES'!$A1093="","",IF('ORDENES'!$AC1093="","-",'ORDENES'!$AC1093))</f>
        <v/>
      </c>
      <c r="H1115" s="3">
        <f>IF('ORDENES'!$A1093="","",IF('ORDENES'!$AO1093="","-",'ORDENES'!$AO1093))</f>
        <v/>
      </c>
      <c r="I1115" s="3">
        <f>IF('ORDENES'!$A1093="","",IF('ORDENES'!$D1093="","-",'ORDENES'!$D1093))</f>
        <v/>
      </c>
      <c r="J1115" s="3">
        <f>IF('ORDENES'!$A1093="","",IF('ORDENES'!$E1093="","-",'ORDENES'!$E1093))</f>
        <v/>
      </c>
      <c r="K1115" s="12">
        <f>IF('ORDENES'!$A1093="","",IF('ORDENES'!$N1093="",0,'ORDENES'!$N1093))</f>
        <v/>
      </c>
      <c r="L1115" s="3">
        <f>IF('ORDENES'!$A1093="","",IF('ORDENES'!$O1093="","-",'ORDENES'!$O1093))</f>
        <v/>
      </c>
      <c r="M1115" s="3">
        <f>IF('ORDENES'!$A1093="","",'ORDENES'!$AB1093)</f>
        <v/>
      </c>
    </row>
    <row r="1116">
      <c r="A1116" s="3">
        <f>IF('ORDENES'!$A1094="","",IF('ORDENES'!$P1094="","-",'ORDENES'!$P1094))</f>
        <v/>
      </c>
      <c r="B1116" s="3">
        <f>IF('ORDENES'!$A1094="","",IF('ORDENES'!$S1094="","-",'ORDENES'!$S1094))</f>
        <v/>
      </c>
      <c r="C1116" s="3">
        <f>IF('ORDENES'!$A1094="","",IF('ORDENES'!$AD1094="","-",'ORDENES'!$AD1094))</f>
        <v/>
      </c>
      <c r="D1116" s="3">
        <f>IF('ORDENES'!$A1094="","",IF('ORDENES'!$W1094="","-",'ORDENES'!$W1094))</f>
        <v/>
      </c>
      <c r="E1116" s="3">
        <f>IF('ORDENES'!$A1094="","",IF('ORDENES'!$V1094="","-",'ORDENES'!$V1094))</f>
        <v/>
      </c>
      <c r="F1116" s="3">
        <f>IF('ORDENES'!$A1094="","",IF('ORDENES'!$X1094="","-",'ORDENES'!$X1094))</f>
        <v/>
      </c>
      <c r="G1116" s="3">
        <f>IF('ORDENES'!$A1094="","",IF('ORDENES'!$AC1094="","-",'ORDENES'!$AC1094))</f>
        <v/>
      </c>
      <c r="H1116" s="3">
        <f>IF('ORDENES'!$A1094="","",IF('ORDENES'!$AO1094="","-",'ORDENES'!$AO1094))</f>
        <v/>
      </c>
      <c r="I1116" s="3">
        <f>IF('ORDENES'!$A1094="","",IF('ORDENES'!$D1094="","-",'ORDENES'!$D1094))</f>
        <v/>
      </c>
      <c r="J1116" s="3">
        <f>IF('ORDENES'!$A1094="","",IF('ORDENES'!$E1094="","-",'ORDENES'!$E1094))</f>
        <v/>
      </c>
      <c r="K1116" s="12">
        <f>IF('ORDENES'!$A1094="","",IF('ORDENES'!$N1094="",0,'ORDENES'!$N1094))</f>
        <v/>
      </c>
      <c r="L1116" s="3">
        <f>IF('ORDENES'!$A1094="","",IF('ORDENES'!$O1094="","-",'ORDENES'!$O1094))</f>
        <v/>
      </c>
      <c r="M1116" s="3">
        <f>IF('ORDENES'!$A1094="","",'ORDENES'!$AB1094)</f>
        <v/>
      </c>
    </row>
    <row r="1117">
      <c r="A1117" s="3">
        <f>IF('ORDENES'!$A1095="","",IF('ORDENES'!$P1095="","-",'ORDENES'!$P1095))</f>
        <v/>
      </c>
      <c r="B1117" s="3">
        <f>IF('ORDENES'!$A1095="","",IF('ORDENES'!$S1095="","-",'ORDENES'!$S1095))</f>
        <v/>
      </c>
      <c r="C1117" s="3">
        <f>IF('ORDENES'!$A1095="","",IF('ORDENES'!$AD1095="","-",'ORDENES'!$AD1095))</f>
        <v/>
      </c>
      <c r="D1117" s="3">
        <f>IF('ORDENES'!$A1095="","",IF('ORDENES'!$W1095="","-",'ORDENES'!$W1095))</f>
        <v/>
      </c>
      <c r="E1117" s="3">
        <f>IF('ORDENES'!$A1095="","",IF('ORDENES'!$V1095="","-",'ORDENES'!$V1095))</f>
        <v/>
      </c>
      <c r="F1117" s="3">
        <f>IF('ORDENES'!$A1095="","",IF('ORDENES'!$X1095="","-",'ORDENES'!$X1095))</f>
        <v/>
      </c>
      <c r="G1117" s="3">
        <f>IF('ORDENES'!$A1095="","",IF('ORDENES'!$AC1095="","-",'ORDENES'!$AC1095))</f>
        <v/>
      </c>
      <c r="H1117" s="3">
        <f>IF('ORDENES'!$A1095="","",IF('ORDENES'!$AO1095="","-",'ORDENES'!$AO1095))</f>
        <v/>
      </c>
      <c r="I1117" s="3">
        <f>IF('ORDENES'!$A1095="","",IF('ORDENES'!$D1095="","-",'ORDENES'!$D1095))</f>
        <v/>
      </c>
      <c r="J1117" s="3">
        <f>IF('ORDENES'!$A1095="","",IF('ORDENES'!$E1095="","-",'ORDENES'!$E1095))</f>
        <v/>
      </c>
      <c r="K1117" s="12">
        <f>IF('ORDENES'!$A1095="","",IF('ORDENES'!$N1095="",0,'ORDENES'!$N1095))</f>
        <v/>
      </c>
      <c r="L1117" s="3">
        <f>IF('ORDENES'!$A1095="","",IF('ORDENES'!$O1095="","-",'ORDENES'!$O1095))</f>
        <v/>
      </c>
      <c r="M1117" s="3">
        <f>IF('ORDENES'!$A1095="","",'ORDENES'!$AB1095)</f>
        <v/>
      </c>
    </row>
    <row r="1118">
      <c r="A1118" s="3">
        <f>IF('ORDENES'!$A1096="","",IF('ORDENES'!$P1096="","-",'ORDENES'!$P1096))</f>
        <v/>
      </c>
      <c r="B1118" s="3">
        <f>IF('ORDENES'!$A1096="","",IF('ORDENES'!$S1096="","-",'ORDENES'!$S1096))</f>
        <v/>
      </c>
      <c r="C1118" s="3">
        <f>IF('ORDENES'!$A1096="","",IF('ORDENES'!$AD1096="","-",'ORDENES'!$AD1096))</f>
        <v/>
      </c>
      <c r="D1118" s="3">
        <f>IF('ORDENES'!$A1096="","",IF('ORDENES'!$W1096="","-",'ORDENES'!$W1096))</f>
        <v/>
      </c>
      <c r="E1118" s="3">
        <f>IF('ORDENES'!$A1096="","",IF('ORDENES'!$V1096="","-",'ORDENES'!$V1096))</f>
        <v/>
      </c>
      <c r="F1118" s="3">
        <f>IF('ORDENES'!$A1096="","",IF('ORDENES'!$X1096="","-",'ORDENES'!$X1096))</f>
        <v/>
      </c>
      <c r="G1118" s="3">
        <f>IF('ORDENES'!$A1096="","",IF('ORDENES'!$AC1096="","-",'ORDENES'!$AC1096))</f>
        <v/>
      </c>
      <c r="H1118" s="3">
        <f>IF('ORDENES'!$A1096="","",IF('ORDENES'!$AO1096="","-",'ORDENES'!$AO1096))</f>
        <v/>
      </c>
      <c r="I1118" s="3">
        <f>IF('ORDENES'!$A1096="","",IF('ORDENES'!$D1096="","-",'ORDENES'!$D1096))</f>
        <v/>
      </c>
      <c r="J1118" s="3">
        <f>IF('ORDENES'!$A1096="","",IF('ORDENES'!$E1096="","-",'ORDENES'!$E1096))</f>
        <v/>
      </c>
      <c r="K1118" s="12">
        <f>IF('ORDENES'!$A1096="","",IF('ORDENES'!$N1096="",0,'ORDENES'!$N1096))</f>
        <v/>
      </c>
      <c r="L1118" s="3">
        <f>IF('ORDENES'!$A1096="","",IF('ORDENES'!$O1096="","-",'ORDENES'!$O1096))</f>
        <v/>
      </c>
      <c r="M1118" s="3">
        <f>IF('ORDENES'!$A1096="","",'ORDENES'!$AB1096)</f>
        <v/>
      </c>
    </row>
    <row r="1119">
      <c r="A1119" s="3">
        <f>IF('ORDENES'!$A1097="","",IF('ORDENES'!$P1097="","-",'ORDENES'!$P1097))</f>
        <v/>
      </c>
      <c r="B1119" s="3">
        <f>IF('ORDENES'!$A1097="","",IF('ORDENES'!$S1097="","-",'ORDENES'!$S1097))</f>
        <v/>
      </c>
      <c r="C1119" s="3">
        <f>IF('ORDENES'!$A1097="","",IF('ORDENES'!$AD1097="","-",'ORDENES'!$AD1097))</f>
        <v/>
      </c>
      <c r="D1119" s="3">
        <f>IF('ORDENES'!$A1097="","",IF('ORDENES'!$W1097="","-",'ORDENES'!$W1097))</f>
        <v/>
      </c>
      <c r="E1119" s="3">
        <f>IF('ORDENES'!$A1097="","",IF('ORDENES'!$V1097="","-",'ORDENES'!$V1097))</f>
        <v/>
      </c>
      <c r="F1119" s="3">
        <f>IF('ORDENES'!$A1097="","",IF('ORDENES'!$X1097="","-",'ORDENES'!$X1097))</f>
        <v/>
      </c>
      <c r="G1119" s="3">
        <f>IF('ORDENES'!$A1097="","",IF('ORDENES'!$AC1097="","-",'ORDENES'!$AC1097))</f>
        <v/>
      </c>
      <c r="H1119" s="3">
        <f>IF('ORDENES'!$A1097="","",IF('ORDENES'!$AO1097="","-",'ORDENES'!$AO1097))</f>
        <v/>
      </c>
      <c r="I1119" s="3">
        <f>IF('ORDENES'!$A1097="","",IF('ORDENES'!$D1097="","-",'ORDENES'!$D1097))</f>
        <v/>
      </c>
      <c r="J1119" s="3">
        <f>IF('ORDENES'!$A1097="","",IF('ORDENES'!$E1097="","-",'ORDENES'!$E1097))</f>
        <v/>
      </c>
      <c r="K1119" s="12">
        <f>IF('ORDENES'!$A1097="","",IF('ORDENES'!$N1097="",0,'ORDENES'!$N1097))</f>
        <v/>
      </c>
      <c r="L1119" s="3">
        <f>IF('ORDENES'!$A1097="","",IF('ORDENES'!$O1097="","-",'ORDENES'!$O1097))</f>
        <v/>
      </c>
      <c r="M1119" s="3">
        <f>IF('ORDENES'!$A1097="","",'ORDENES'!$AB1097)</f>
        <v/>
      </c>
    </row>
    <row r="1120">
      <c r="A1120" s="3">
        <f>IF('ORDENES'!$A1098="","",IF('ORDENES'!$P1098="","-",'ORDENES'!$P1098))</f>
        <v/>
      </c>
      <c r="B1120" s="3">
        <f>IF('ORDENES'!$A1098="","",IF('ORDENES'!$S1098="","-",'ORDENES'!$S1098))</f>
        <v/>
      </c>
      <c r="C1120" s="3">
        <f>IF('ORDENES'!$A1098="","",IF('ORDENES'!$AD1098="","-",'ORDENES'!$AD1098))</f>
        <v/>
      </c>
      <c r="D1120" s="3">
        <f>IF('ORDENES'!$A1098="","",IF('ORDENES'!$W1098="","-",'ORDENES'!$W1098))</f>
        <v/>
      </c>
      <c r="E1120" s="3">
        <f>IF('ORDENES'!$A1098="","",IF('ORDENES'!$V1098="","-",'ORDENES'!$V1098))</f>
        <v/>
      </c>
      <c r="F1120" s="3">
        <f>IF('ORDENES'!$A1098="","",IF('ORDENES'!$X1098="","-",'ORDENES'!$X1098))</f>
        <v/>
      </c>
      <c r="G1120" s="3">
        <f>IF('ORDENES'!$A1098="","",IF('ORDENES'!$AC1098="","-",'ORDENES'!$AC1098))</f>
        <v/>
      </c>
      <c r="H1120" s="3">
        <f>IF('ORDENES'!$A1098="","",IF('ORDENES'!$AO1098="","-",'ORDENES'!$AO1098))</f>
        <v/>
      </c>
      <c r="I1120" s="3">
        <f>IF('ORDENES'!$A1098="","",IF('ORDENES'!$D1098="","-",'ORDENES'!$D1098))</f>
        <v/>
      </c>
      <c r="J1120" s="3">
        <f>IF('ORDENES'!$A1098="","",IF('ORDENES'!$E1098="","-",'ORDENES'!$E1098))</f>
        <v/>
      </c>
      <c r="K1120" s="12">
        <f>IF('ORDENES'!$A1098="","",IF('ORDENES'!$N1098="",0,'ORDENES'!$N1098))</f>
        <v/>
      </c>
      <c r="L1120" s="3">
        <f>IF('ORDENES'!$A1098="","",IF('ORDENES'!$O1098="","-",'ORDENES'!$O1098))</f>
        <v/>
      </c>
      <c r="M1120" s="3">
        <f>IF('ORDENES'!$A1098="","",'ORDENES'!$AB1098)</f>
        <v/>
      </c>
    </row>
    <row r="1121">
      <c r="A1121" s="3">
        <f>IF('ORDENES'!$A1099="","",IF('ORDENES'!$P1099="","-",'ORDENES'!$P1099))</f>
        <v/>
      </c>
      <c r="B1121" s="3">
        <f>IF('ORDENES'!$A1099="","",IF('ORDENES'!$S1099="","-",'ORDENES'!$S1099))</f>
        <v/>
      </c>
      <c r="C1121" s="3">
        <f>IF('ORDENES'!$A1099="","",IF('ORDENES'!$AD1099="","-",'ORDENES'!$AD1099))</f>
        <v/>
      </c>
      <c r="D1121" s="3">
        <f>IF('ORDENES'!$A1099="","",IF('ORDENES'!$W1099="","-",'ORDENES'!$W1099))</f>
        <v/>
      </c>
      <c r="E1121" s="3">
        <f>IF('ORDENES'!$A1099="","",IF('ORDENES'!$V1099="","-",'ORDENES'!$V1099))</f>
        <v/>
      </c>
      <c r="F1121" s="3">
        <f>IF('ORDENES'!$A1099="","",IF('ORDENES'!$X1099="","-",'ORDENES'!$X1099))</f>
        <v/>
      </c>
      <c r="G1121" s="3">
        <f>IF('ORDENES'!$A1099="","",IF('ORDENES'!$AC1099="","-",'ORDENES'!$AC1099))</f>
        <v/>
      </c>
      <c r="H1121" s="3">
        <f>IF('ORDENES'!$A1099="","",IF('ORDENES'!$AO1099="","-",'ORDENES'!$AO1099))</f>
        <v/>
      </c>
      <c r="I1121" s="3">
        <f>IF('ORDENES'!$A1099="","",IF('ORDENES'!$D1099="","-",'ORDENES'!$D1099))</f>
        <v/>
      </c>
      <c r="J1121" s="3">
        <f>IF('ORDENES'!$A1099="","",IF('ORDENES'!$E1099="","-",'ORDENES'!$E1099))</f>
        <v/>
      </c>
      <c r="K1121" s="12">
        <f>IF('ORDENES'!$A1099="","",IF('ORDENES'!$N1099="",0,'ORDENES'!$N1099))</f>
        <v/>
      </c>
      <c r="L1121" s="3">
        <f>IF('ORDENES'!$A1099="","",IF('ORDENES'!$O1099="","-",'ORDENES'!$O1099))</f>
        <v/>
      </c>
      <c r="M1121" s="3">
        <f>IF('ORDENES'!$A1099="","",'ORDENES'!$AB1099)</f>
        <v/>
      </c>
    </row>
    <row r="1122">
      <c r="A1122" s="3">
        <f>IF('ORDENES'!$A1100="","",IF('ORDENES'!$P1100="","-",'ORDENES'!$P1100))</f>
        <v/>
      </c>
      <c r="B1122" s="3">
        <f>IF('ORDENES'!$A1100="","",IF('ORDENES'!$S1100="","-",'ORDENES'!$S1100))</f>
        <v/>
      </c>
      <c r="C1122" s="3">
        <f>IF('ORDENES'!$A1100="","",IF('ORDENES'!$AD1100="","-",'ORDENES'!$AD1100))</f>
        <v/>
      </c>
      <c r="D1122" s="3">
        <f>IF('ORDENES'!$A1100="","",IF('ORDENES'!$W1100="","-",'ORDENES'!$W1100))</f>
        <v/>
      </c>
      <c r="E1122" s="3">
        <f>IF('ORDENES'!$A1100="","",IF('ORDENES'!$V1100="","-",'ORDENES'!$V1100))</f>
        <v/>
      </c>
      <c r="F1122" s="3">
        <f>IF('ORDENES'!$A1100="","",IF('ORDENES'!$X1100="","-",'ORDENES'!$X1100))</f>
        <v/>
      </c>
      <c r="G1122" s="3">
        <f>IF('ORDENES'!$A1100="","",IF('ORDENES'!$AC1100="","-",'ORDENES'!$AC1100))</f>
        <v/>
      </c>
      <c r="H1122" s="3">
        <f>IF('ORDENES'!$A1100="","",IF('ORDENES'!$AO1100="","-",'ORDENES'!$AO1100))</f>
        <v/>
      </c>
      <c r="I1122" s="3">
        <f>IF('ORDENES'!$A1100="","",IF('ORDENES'!$D1100="","-",'ORDENES'!$D1100))</f>
        <v/>
      </c>
      <c r="J1122" s="3">
        <f>IF('ORDENES'!$A1100="","",IF('ORDENES'!$E1100="","-",'ORDENES'!$E1100))</f>
        <v/>
      </c>
      <c r="K1122" s="12">
        <f>IF('ORDENES'!$A1100="","",IF('ORDENES'!$N1100="",0,'ORDENES'!$N1100))</f>
        <v/>
      </c>
      <c r="L1122" s="3">
        <f>IF('ORDENES'!$A1100="","",IF('ORDENES'!$O1100="","-",'ORDENES'!$O1100))</f>
        <v/>
      </c>
      <c r="M1122" s="3">
        <f>IF('ORDENES'!$A1100="","",'ORDENES'!$AB1100)</f>
        <v/>
      </c>
    </row>
    <row r="1123">
      <c r="A1123" s="3">
        <f>IF('ORDENES'!$A1101="","",IF('ORDENES'!$P1101="","-",'ORDENES'!$P1101))</f>
        <v/>
      </c>
      <c r="B1123" s="3">
        <f>IF('ORDENES'!$A1101="","",IF('ORDENES'!$S1101="","-",'ORDENES'!$S1101))</f>
        <v/>
      </c>
      <c r="C1123" s="3">
        <f>IF('ORDENES'!$A1101="","",IF('ORDENES'!$AD1101="","-",'ORDENES'!$AD1101))</f>
        <v/>
      </c>
      <c r="D1123" s="3">
        <f>IF('ORDENES'!$A1101="","",IF('ORDENES'!$W1101="","-",'ORDENES'!$W1101))</f>
        <v/>
      </c>
      <c r="E1123" s="3">
        <f>IF('ORDENES'!$A1101="","",IF('ORDENES'!$V1101="","-",'ORDENES'!$V1101))</f>
        <v/>
      </c>
      <c r="F1123" s="3">
        <f>IF('ORDENES'!$A1101="","",IF('ORDENES'!$X1101="","-",'ORDENES'!$X1101))</f>
        <v/>
      </c>
      <c r="G1123" s="3">
        <f>IF('ORDENES'!$A1101="","",IF('ORDENES'!$AC1101="","-",'ORDENES'!$AC1101))</f>
        <v/>
      </c>
      <c r="H1123" s="3">
        <f>IF('ORDENES'!$A1101="","",IF('ORDENES'!$AO1101="","-",'ORDENES'!$AO1101))</f>
        <v/>
      </c>
      <c r="I1123" s="3">
        <f>IF('ORDENES'!$A1101="","",IF('ORDENES'!$D1101="","-",'ORDENES'!$D1101))</f>
        <v/>
      </c>
      <c r="J1123" s="3">
        <f>IF('ORDENES'!$A1101="","",IF('ORDENES'!$E1101="","-",'ORDENES'!$E1101))</f>
        <v/>
      </c>
      <c r="K1123" s="12">
        <f>IF('ORDENES'!$A1101="","",IF('ORDENES'!$N1101="",0,'ORDENES'!$N1101))</f>
        <v/>
      </c>
      <c r="L1123" s="3">
        <f>IF('ORDENES'!$A1101="","",IF('ORDENES'!$O1101="","-",'ORDENES'!$O1101))</f>
        <v/>
      </c>
      <c r="M1123" s="3">
        <f>IF('ORDENES'!$A1101="","",'ORDENES'!$AB1101)</f>
        <v/>
      </c>
    </row>
    <row r="1124">
      <c r="A1124" s="3">
        <f>IF('ORDENES'!$A1102="","",IF('ORDENES'!$P1102="","-",'ORDENES'!$P1102))</f>
        <v/>
      </c>
      <c r="B1124" s="3">
        <f>IF('ORDENES'!$A1102="","",IF('ORDENES'!$S1102="","-",'ORDENES'!$S1102))</f>
        <v/>
      </c>
      <c r="C1124" s="3">
        <f>IF('ORDENES'!$A1102="","",IF('ORDENES'!$AD1102="","-",'ORDENES'!$AD1102))</f>
        <v/>
      </c>
      <c r="D1124" s="3">
        <f>IF('ORDENES'!$A1102="","",IF('ORDENES'!$W1102="","-",'ORDENES'!$W1102))</f>
        <v/>
      </c>
      <c r="E1124" s="3">
        <f>IF('ORDENES'!$A1102="","",IF('ORDENES'!$V1102="","-",'ORDENES'!$V1102))</f>
        <v/>
      </c>
      <c r="F1124" s="3">
        <f>IF('ORDENES'!$A1102="","",IF('ORDENES'!$X1102="","-",'ORDENES'!$X1102))</f>
        <v/>
      </c>
      <c r="G1124" s="3">
        <f>IF('ORDENES'!$A1102="","",IF('ORDENES'!$AC1102="","-",'ORDENES'!$AC1102))</f>
        <v/>
      </c>
      <c r="H1124" s="3">
        <f>IF('ORDENES'!$A1102="","",IF('ORDENES'!$AO1102="","-",'ORDENES'!$AO1102))</f>
        <v/>
      </c>
      <c r="I1124" s="3">
        <f>IF('ORDENES'!$A1102="","",IF('ORDENES'!$D1102="","-",'ORDENES'!$D1102))</f>
        <v/>
      </c>
      <c r="J1124" s="3">
        <f>IF('ORDENES'!$A1102="","",IF('ORDENES'!$E1102="","-",'ORDENES'!$E1102))</f>
        <v/>
      </c>
      <c r="K1124" s="12">
        <f>IF('ORDENES'!$A1102="","",IF('ORDENES'!$N1102="",0,'ORDENES'!$N1102))</f>
        <v/>
      </c>
      <c r="L1124" s="3">
        <f>IF('ORDENES'!$A1102="","",IF('ORDENES'!$O1102="","-",'ORDENES'!$O1102))</f>
        <v/>
      </c>
      <c r="M1124" s="3">
        <f>IF('ORDENES'!$A1102="","",'ORDENES'!$AB1102)</f>
        <v/>
      </c>
    </row>
    <row r="1125">
      <c r="A1125" s="3">
        <f>IF('ORDENES'!$A1103="","",IF('ORDENES'!$P1103="","-",'ORDENES'!$P1103))</f>
        <v/>
      </c>
      <c r="B1125" s="3">
        <f>IF('ORDENES'!$A1103="","",IF('ORDENES'!$S1103="","-",'ORDENES'!$S1103))</f>
        <v/>
      </c>
      <c r="C1125" s="3">
        <f>IF('ORDENES'!$A1103="","",IF('ORDENES'!$AD1103="","-",'ORDENES'!$AD1103))</f>
        <v/>
      </c>
      <c r="D1125" s="3">
        <f>IF('ORDENES'!$A1103="","",IF('ORDENES'!$W1103="","-",'ORDENES'!$W1103))</f>
        <v/>
      </c>
      <c r="E1125" s="3">
        <f>IF('ORDENES'!$A1103="","",IF('ORDENES'!$V1103="","-",'ORDENES'!$V1103))</f>
        <v/>
      </c>
      <c r="F1125" s="3">
        <f>IF('ORDENES'!$A1103="","",IF('ORDENES'!$X1103="","-",'ORDENES'!$X1103))</f>
        <v/>
      </c>
      <c r="G1125" s="3">
        <f>IF('ORDENES'!$A1103="","",IF('ORDENES'!$AC1103="","-",'ORDENES'!$AC1103))</f>
        <v/>
      </c>
      <c r="H1125" s="3">
        <f>IF('ORDENES'!$A1103="","",IF('ORDENES'!$AO1103="","-",'ORDENES'!$AO1103))</f>
        <v/>
      </c>
      <c r="I1125" s="3">
        <f>IF('ORDENES'!$A1103="","",IF('ORDENES'!$D1103="","-",'ORDENES'!$D1103))</f>
        <v/>
      </c>
      <c r="J1125" s="3">
        <f>IF('ORDENES'!$A1103="","",IF('ORDENES'!$E1103="","-",'ORDENES'!$E1103))</f>
        <v/>
      </c>
      <c r="K1125" s="12">
        <f>IF('ORDENES'!$A1103="","",IF('ORDENES'!$N1103="",0,'ORDENES'!$N1103))</f>
        <v/>
      </c>
      <c r="L1125" s="3">
        <f>IF('ORDENES'!$A1103="","",IF('ORDENES'!$O1103="","-",'ORDENES'!$O1103))</f>
        <v/>
      </c>
      <c r="M1125" s="3">
        <f>IF('ORDENES'!$A1103="","",'ORDENES'!$AB1103)</f>
        <v/>
      </c>
    </row>
    <row r="1126">
      <c r="A1126" s="3">
        <f>IF('ORDENES'!$A1104="","",IF('ORDENES'!$P1104="","-",'ORDENES'!$P1104))</f>
        <v/>
      </c>
      <c r="B1126" s="3">
        <f>IF('ORDENES'!$A1104="","",IF('ORDENES'!$S1104="","-",'ORDENES'!$S1104))</f>
        <v/>
      </c>
      <c r="C1126" s="3">
        <f>IF('ORDENES'!$A1104="","",IF('ORDENES'!$AD1104="","-",'ORDENES'!$AD1104))</f>
        <v/>
      </c>
      <c r="D1126" s="3">
        <f>IF('ORDENES'!$A1104="","",IF('ORDENES'!$W1104="","-",'ORDENES'!$W1104))</f>
        <v/>
      </c>
      <c r="E1126" s="3">
        <f>IF('ORDENES'!$A1104="","",IF('ORDENES'!$V1104="","-",'ORDENES'!$V1104))</f>
        <v/>
      </c>
      <c r="F1126" s="3">
        <f>IF('ORDENES'!$A1104="","",IF('ORDENES'!$X1104="","-",'ORDENES'!$X1104))</f>
        <v/>
      </c>
      <c r="G1126" s="3">
        <f>IF('ORDENES'!$A1104="","",IF('ORDENES'!$AC1104="","-",'ORDENES'!$AC1104))</f>
        <v/>
      </c>
      <c r="H1126" s="3">
        <f>IF('ORDENES'!$A1104="","",IF('ORDENES'!$AO1104="","-",'ORDENES'!$AO1104))</f>
        <v/>
      </c>
      <c r="I1126" s="3">
        <f>IF('ORDENES'!$A1104="","",IF('ORDENES'!$D1104="","-",'ORDENES'!$D1104))</f>
        <v/>
      </c>
      <c r="J1126" s="3">
        <f>IF('ORDENES'!$A1104="","",IF('ORDENES'!$E1104="","-",'ORDENES'!$E1104))</f>
        <v/>
      </c>
      <c r="K1126" s="12">
        <f>IF('ORDENES'!$A1104="","",IF('ORDENES'!$N1104="",0,'ORDENES'!$N1104))</f>
        <v/>
      </c>
      <c r="L1126" s="3">
        <f>IF('ORDENES'!$A1104="","",IF('ORDENES'!$O1104="","-",'ORDENES'!$O1104))</f>
        <v/>
      </c>
      <c r="M1126" s="3">
        <f>IF('ORDENES'!$A1104="","",'ORDENES'!$AB1104)</f>
        <v/>
      </c>
    </row>
    <row r="1127">
      <c r="A1127" s="3">
        <f>IF('ORDENES'!$A1105="","",IF('ORDENES'!$P1105="","-",'ORDENES'!$P1105))</f>
        <v/>
      </c>
      <c r="B1127" s="3">
        <f>IF('ORDENES'!$A1105="","",IF('ORDENES'!$S1105="","-",'ORDENES'!$S1105))</f>
        <v/>
      </c>
      <c r="C1127" s="3">
        <f>IF('ORDENES'!$A1105="","",IF('ORDENES'!$AD1105="","-",'ORDENES'!$AD1105))</f>
        <v/>
      </c>
      <c r="D1127" s="3">
        <f>IF('ORDENES'!$A1105="","",IF('ORDENES'!$W1105="","-",'ORDENES'!$W1105))</f>
        <v/>
      </c>
      <c r="E1127" s="3">
        <f>IF('ORDENES'!$A1105="","",IF('ORDENES'!$V1105="","-",'ORDENES'!$V1105))</f>
        <v/>
      </c>
      <c r="F1127" s="3">
        <f>IF('ORDENES'!$A1105="","",IF('ORDENES'!$X1105="","-",'ORDENES'!$X1105))</f>
        <v/>
      </c>
      <c r="G1127" s="3">
        <f>IF('ORDENES'!$A1105="","",IF('ORDENES'!$AC1105="","-",'ORDENES'!$AC1105))</f>
        <v/>
      </c>
      <c r="H1127" s="3">
        <f>IF('ORDENES'!$A1105="","",IF('ORDENES'!$AO1105="","-",'ORDENES'!$AO1105))</f>
        <v/>
      </c>
      <c r="I1127" s="3">
        <f>IF('ORDENES'!$A1105="","",IF('ORDENES'!$D1105="","-",'ORDENES'!$D1105))</f>
        <v/>
      </c>
      <c r="J1127" s="3">
        <f>IF('ORDENES'!$A1105="","",IF('ORDENES'!$E1105="","-",'ORDENES'!$E1105))</f>
        <v/>
      </c>
      <c r="K1127" s="12">
        <f>IF('ORDENES'!$A1105="","",IF('ORDENES'!$N1105="",0,'ORDENES'!$N1105))</f>
        <v/>
      </c>
      <c r="L1127" s="3">
        <f>IF('ORDENES'!$A1105="","",IF('ORDENES'!$O1105="","-",'ORDENES'!$O1105))</f>
        <v/>
      </c>
      <c r="M1127" s="3">
        <f>IF('ORDENES'!$A1105="","",'ORDENES'!$AB1105)</f>
        <v/>
      </c>
    </row>
    <row r="1128">
      <c r="A1128" s="3">
        <f>IF('ORDENES'!$A1106="","",IF('ORDENES'!$P1106="","-",'ORDENES'!$P1106))</f>
        <v/>
      </c>
      <c r="B1128" s="3">
        <f>IF('ORDENES'!$A1106="","",IF('ORDENES'!$S1106="","-",'ORDENES'!$S1106))</f>
        <v/>
      </c>
      <c r="C1128" s="3">
        <f>IF('ORDENES'!$A1106="","",IF('ORDENES'!$AD1106="","-",'ORDENES'!$AD1106))</f>
        <v/>
      </c>
      <c r="D1128" s="3">
        <f>IF('ORDENES'!$A1106="","",IF('ORDENES'!$W1106="","-",'ORDENES'!$W1106))</f>
        <v/>
      </c>
      <c r="E1128" s="3">
        <f>IF('ORDENES'!$A1106="","",IF('ORDENES'!$V1106="","-",'ORDENES'!$V1106))</f>
        <v/>
      </c>
      <c r="F1128" s="3">
        <f>IF('ORDENES'!$A1106="","",IF('ORDENES'!$X1106="","-",'ORDENES'!$X1106))</f>
        <v/>
      </c>
      <c r="G1128" s="3">
        <f>IF('ORDENES'!$A1106="","",IF('ORDENES'!$AC1106="","-",'ORDENES'!$AC1106))</f>
        <v/>
      </c>
      <c r="H1128" s="3">
        <f>IF('ORDENES'!$A1106="","",IF('ORDENES'!$AO1106="","-",'ORDENES'!$AO1106))</f>
        <v/>
      </c>
      <c r="I1128" s="3">
        <f>IF('ORDENES'!$A1106="","",IF('ORDENES'!$D1106="","-",'ORDENES'!$D1106))</f>
        <v/>
      </c>
      <c r="J1128" s="3">
        <f>IF('ORDENES'!$A1106="","",IF('ORDENES'!$E1106="","-",'ORDENES'!$E1106))</f>
        <v/>
      </c>
      <c r="K1128" s="12">
        <f>IF('ORDENES'!$A1106="","",IF('ORDENES'!$N1106="",0,'ORDENES'!$N1106))</f>
        <v/>
      </c>
      <c r="L1128" s="3">
        <f>IF('ORDENES'!$A1106="","",IF('ORDENES'!$O1106="","-",'ORDENES'!$O1106))</f>
        <v/>
      </c>
      <c r="M1128" s="3">
        <f>IF('ORDENES'!$A1106="","",'ORDENES'!$AB1106)</f>
        <v/>
      </c>
    </row>
    <row r="1129">
      <c r="A1129" s="3">
        <f>IF('ORDENES'!$A1107="","",IF('ORDENES'!$P1107="","-",'ORDENES'!$P1107))</f>
        <v/>
      </c>
      <c r="B1129" s="3">
        <f>IF('ORDENES'!$A1107="","",IF('ORDENES'!$S1107="","-",'ORDENES'!$S1107))</f>
        <v/>
      </c>
      <c r="C1129" s="3">
        <f>IF('ORDENES'!$A1107="","",IF('ORDENES'!$AD1107="","-",'ORDENES'!$AD1107))</f>
        <v/>
      </c>
      <c r="D1129" s="3">
        <f>IF('ORDENES'!$A1107="","",IF('ORDENES'!$W1107="","-",'ORDENES'!$W1107))</f>
        <v/>
      </c>
      <c r="E1129" s="3">
        <f>IF('ORDENES'!$A1107="","",IF('ORDENES'!$V1107="","-",'ORDENES'!$V1107))</f>
        <v/>
      </c>
      <c r="F1129" s="3">
        <f>IF('ORDENES'!$A1107="","",IF('ORDENES'!$X1107="","-",'ORDENES'!$X1107))</f>
        <v/>
      </c>
      <c r="G1129" s="3">
        <f>IF('ORDENES'!$A1107="","",IF('ORDENES'!$AC1107="","-",'ORDENES'!$AC1107))</f>
        <v/>
      </c>
      <c r="H1129" s="3">
        <f>IF('ORDENES'!$A1107="","",IF('ORDENES'!$AO1107="","-",'ORDENES'!$AO1107))</f>
        <v/>
      </c>
      <c r="I1129" s="3">
        <f>IF('ORDENES'!$A1107="","",IF('ORDENES'!$D1107="","-",'ORDENES'!$D1107))</f>
        <v/>
      </c>
      <c r="J1129" s="3">
        <f>IF('ORDENES'!$A1107="","",IF('ORDENES'!$E1107="","-",'ORDENES'!$E1107))</f>
        <v/>
      </c>
      <c r="K1129" s="12">
        <f>IF('ORDENES'!$A1107="","",IF('ORDENES'!$N1107="",0,'ORDENES'!$N1107))</f>
        <v/>
      </c>
      <c r="L1129" s="3">
        <f>IF('ORDENES'!$A1107="","",IF('ORDENES'!$O1107="","-",'ORDENES'!$O1107))</f>
        <v/>
      </c>
      <c r="M1129" s="3">
        <f>IF('ORDENES'!$A1107="","",'ORDENES'!$AB1107)</f>
        <v/>
      </c>
    </row>
    <row r="1130">
      <c r="A1130" s="3">
        <f>IF('ORDENES'!$A1108="","",IF('ORDENES'!$P1108="","-",'ORDENES'!$P1108))</f>
        <v/>
      </c>
      <c r="B1130" s="3">
        <f>IF('ORDENES'!$A1108="","",IF('ORDENES'!$S1108="","-",'ORDENES'!$S1108))</f>
        <v/>
      </c>
      <c r="C1130" s="3">
        <f>IF('ORDENES'!$A1108="","",IF('ORDENES'!$AD1108="","-",'ORDENES'!$AD1108))</f>
        <v/>
      </c>
      <c r="D1130" s="3">
        <f>IF('ORDENES'!$A1108="","",IF('ORDENES'!$W1108="","-",'ORDENES'!$W1108))</f>
        <v/>
      </c>
      <c r="E1130" s="3">
        <f>IF('ORDENES'!$A1108="","",IF('ORDENES'!$V1108="","-",'ORDENES'!$V1108))</f>
        <v/>
      </c>
      <c r="F1130" s="3">
        <f>IF('ORDENES'!$A1108="","",IF('ORDENES'!$X1108="","-",'ORDENES'!$X1108))</f>
        <v/>
      </c>
      <c r="G1130" s="3">
        <f>IF('ORDENES'!$A1108="","",IF('ORDENES'!$AC1108="","-",'ORDENES'!$AC1108))</f>
        <v/>
      </c>
      <c r="H1130" s="3">
        <f>IF('ORDENES'!$A1108="","",IF('ORDENES'!$AO1108="","-",'ORDENES'!$AO1108))</f>
        <v/>
      </c>
      <c r="I1130" s="3">
        <f>IF('ORDENES'!$A1108="","",IF('ORDENES'!$D1108="","-",'ORDENES'!$D1108))</f>
        <v/>
      </c>
      <c r="J1130" s="3">
        <f>IF('ORDENES'!$A1108="","",IF('ORDENES'!$E1108="","-",'ORDENES'!$E1108))</f>
        <v/>
      </c>
      <c r="K1130" s="12">
        <f>IF('ORDENES'!$A1108="","",IF('ORDENES'!$N1108="",0,'ORDENES'!$N1108))</f>
        <v/>
      </c>
      <c r="L1130" s="3">
        <f>IF('ORDENES'!$A1108="","",IF('ORDENES'!$O1108="","-",'ORDENES'!$O1108))</f>
        <v/>
      </c>
      <c r="M1130" s="3">
        <f>IF('ORDENES'!$A1108="","",'ORDENES'!$AB1108)</f>
        <v/>
      </c>
    </row>
    <row r="1131">
      <c r="A1131" s="3">
        <f>IF('ORDENES'!$A1109="","",IF('ORDENES'!$P1109="","-",'ORDENES'!$P1109))</f>
        <v/>
      </c>
      <c r="B1131" s="3">
        <f>IF('ORDENES'!$A1109="","",IF('ORDENES'!$S1109="","-",'ORDENES'!$S1109))</f>
        <v/>
      </c>
      <c r="C1131" s="3">
        <f>IF('ORDENES'!$A1109="","",IF('ORDENES'!$AD1109="","-",'ORDENES'!$AD1109))</f>
        <v/>
      </c>
      <c r="D1131" s="3">
        <f>IF('ORDENES'!$A1109="","",IF('ORDENES'!$W1109="","-",'ORDENES'!$W1109))</f>
        <v/>
      </c>
      <c r="E1131" s="3">
        <f>IF('ORDENES'!$A1109="","",IF('ORDENES'!$V1109="","-",'ORDENES'!$V1109))</f>
        <v/>
      </c>
      <c r="F1131" s="3">
        <f>IF('ORDENES'!$A1109="","",IF('ORDENES'!$X1109="","-",'ORDENES'!$X1109))</f>
        <v/>
      </c>
      <c r="G1131" s="3">
        <f>IF('ORDENES'!$A1109="","",IF('ORDENES'!$AC1109="","-",'ORDENES'!$AC1109))</f>
        <v/>
      </c>
      <c r="H1131" s="3">
        <f>IF('ORDENES'!$A1109="","",IF('ORDENES'!$AO1109="","-",'ORDENES'!$AO1109))</f>
        <v/>
      </c>
      <c r="I1131" s="3">
        <f>IF('ORDENES'!$A1109="","",IF('ORDENES'!$D1109="","-",'ORDENES'!$D1109))</f>
        <v/>
      </c>
      <c r="J1131" s="3">
        <f>IF('ORDENES'!$A1109="","",IF('ORDENES'!$E1109="","-",'ORDENES'!$E1109))</f>
        <v/>
      </c>
      <c r="K1131" s="12">
        <f>IF('ORDENES'!$A1109="","",IF('ORDENES'!$N1109="",0,'ORDENES'!$N1109))</f>
        <v/>
      </c>
      <c r="L1131" s="3">
        <f>IF('ORDENES'!$A1109="","",IF('ORDENES'!$O1109="","-",'ORDENES'!$O1109))</f>
        <v/>
      </c>
      <c r="M1131" s="3">
        <f>IF('ORDENES'!$A1109="","",'ORDENES'!$AB1109)</f>
        <v/>
      </c>
    </row>
    <row r="1132">
      <c r="A1132" s="3">
        <f>IF('ORDENES'!$A1110="","",IF('ORDENES'!$P1110="","-",'ORDENES'!$P1110))</f>
        <v/>
      </c>
      <c r="B1132" s="3">
        <f>IF('ORDENES'!$A1110="","",IF('ORDENES'!$S1110="","-",'ORDENES'!$S1110))</f>
        <v/>
      </c>
      <c r="C1132" s="3">
        <f>IF('ORDENES'!$A1110="","",IF('ORDENES'!$AD1110="","-",'ORDENES'!$AD1110))</f>
        <v/>
      </c>
      <c r="D1132" s="3">
        <f>IF('ORDENES'!$A1110="","",IF('ORDENES'!$W1110="","-",'ORDENES'!$W1110))</f>
        <v/>
      </c>
      <c r="E1132" s="3">
        <f>IF('ORDENES'!$A1110="","",IF('ORDENES'!$V1110="","-",'ORDENES'!$V1110))</f>
        <v/>
      </c>
      <c r="F1132" s="3">
        <f>IF('ORDENES'!$A1110="","",IF('ORDENES'!$X1110="","-",'ORDENES'!$X1110))</f>
        <v/>
      </c>
      <c r="G1132" s="3">
        <f>IF('ORDENES'!$A1110="","",IF('ORDENES'!$AC1110="","-",'ORDENES'!$AC1110))</f>
        <v/>
      </c>
      <c r="H1132" s="3">
        <f>IF('ORDENES'!$A1110="","",IF('ORDENES'!$AO1110="","-",'ORDENES'!$AO1110))</f>
        <v/>
      </c>
      <c r="I1132" s="3">
        <f>IF('ORDENES'!$A1110="","",IF('ORDENES'!$D1110="","-",'ORDENES'!$D1110))</f>
        <v/>
      </c>
      <c r="J1132" s="3">
        <f>IF('ORDENES'!$A1110="","",IF('ORDENES'!$E1110="","-",'ORDENES'!$E1110))</f>
        <v/>
      </c>
      <c r="K1132" s="12">
        <f>IF('ORDENES'!$A1110="","",IF('ORDENES'!$N1110="",0,'ORDENES'!$N1110))</f>
        <v/>
      </c>
      <c r="L1132" s="3">
        <f>IF('ORDENES'!$A1110="","",IF('ORDENES'!$O1110="","-",'ORDENES'!$O1110))</f>
        <v/>
      </c>
      <c r="M1132" s="3">
        <f>IF('ORDENES'!$A1110="","",'ORDENES'!$AB1110)</f>
        <v/>
      </c>
    </row>
    <row r="1133">
      <c r="A1133" s="3">
        <f>IF('ORDENES'!$A1111="","",IF('ORDENES'!$P1111="","-",'ORDENES'!$P1111))</f>
        <v/>
      </c>
      <c r="B1133" s="3">
        <f>IF('ORDENES'!$A1111="","",IF('ORDENES'!$S1111="","-",'ORDENES'!$S1111))</f>
        <v/>
      </c>
      <c r="C1133" s="3">
        <f>IF('ORDENES'!$A1111="","",IF('ORDENES'!$AD1111="","-",'ORDENES'!$AD1111))</f>
        <v/>
      </c>
      <c r="D1133" s="3">
        <f>IF('ORDENES'!$A1111="","",IF('ORDENES'!$W1111="","-",'ORDENES'!$W1111))</f>
        <v/>
      </c>
      <c r="E1133" s="3">
        <f>IF('ORDENES'!$A1111="","",IF('ORDENES'!$V1111="","-",'ORDENES'!$V1111))</f>
        <v/>
      </c>
      <c r="F1133" s="3">
        <f>IF('ORDENES'!$A1111="","",IF('ORDENES'!$X1111="","-",'ORDENES'!$X1111))</f>
        <v/>
      </c>
      <c r="G1133" s="3">
        <f>IF('ORDENES'!$A1111="","",IF('ORDENES'!$AC1111="","-",'ORDENES'!$AC1111))</f>
        <v/>
      </c>
      <c r="H1133" s="3">
        <f>IF('ORDENES'!$A1111="","",IF('ORDENES'!$AO1111="","-",'ORDENES'!$AO1111))</f>
        <v/>
      </c>
      <c r="I1133" s="3">
        <f>IF('ORDENES'!$A1111="","",IF('ORDENES'!$D1111="","-",'ORDENES'!$D1111))</f>
        <v/>
      </c>
      <c r="J1133" s="3">
        <f>IF('ORDENES'!$A1111="","",IF('ORDENES'!$E1111="","-",'ORDENES'!$E1111))</f>
        <v/>
      </c>
      <c r="K1133" s="12">
        <f>IF('ORDENES'!$A1111="","",IF('ORDENES'!$N1111="",0,'ORDENES'!$N1111))</f>
        <v/>
      </c>
      <c r="L1133" s="3">
        <f>IF('ORDENES'!$A1111="","",IF('ORDENES'!$O1111="","-",'ORDENES'!$O1111))</f>
        <v/>
      </c>
      <c r="M1133" s="3">
        <f>IF('ORDENES'!$A1111="","",'ORDENES'!$AB1111)</f>
        <v/>
      </c>
    </row>
    <row r="1134">
      <c r="A1134" s="3">
        <f>IF('ORDENES'!$A1112="","",IF('ORDENES'!$P1112="","-",'ORDENES'!$P1112))</f>
        <v/>
      </c>
      <c r="B1134" s="3">
        <f>IF('ORDENES'!$A1112="","",IF('ORDENES'!$S1112="","-",'ORDENES'!$S1112))</f>
        <v/>
      </c>
      <c r="C1134" s="3">
        <f>IF('ORDENES'!$A1112="","",IF('ORDENES'!$AD1112="","-",'ORDENES'!$AD1112))</f>
        <v/>
      </c>
      <c r="D1134" s="3">
        <f>IF('ORDENES'!$A1112="","",IF('ORDENES'!$W1112="","-",'ORDENES'!$W1112))</f>
        <v/>
      </c>
      <c r="E1134" s="3">
        <f>IF('ORDENES'!$A1112="","",IF('ORDENES'!$V1112="","-",'ORDENES'!$V1112))</f>
        <v/>
      </c>
      <c r="F1134" s="3">
        <f>IF('ORDENES'!$A1112="","",IF('ORDENES'!$X1112="","-",'ORDENES'!$X1112))</f>
        <v/>
      </c>
      <c r="G1134" s="3">
        <f>IF('ORDENES'!$A1112="","",IF('ORDENES'!$AC1112="","-",'ORDENES'!$AC1112))</f>
        <v/>
      </c>
      <c r="H1134" s="3">
        <f>IF('ORDENES'!$A1112="","",IF('ORDENES'!$AO1112="","-",'ORDENES'!$AO1112))</f>
        <v/>
      </c>
      <c r="I1134" s="3">
        <f>IF('ORDENES'!$A1112="","",IF('ORDENES'!$D1112="","-",'ORDENES'!$D1112))</f>
        <v/>
      </c>
      <c r="J1134" s="3">
        <f>IF('ORDENES'!$A1112="","",IF('ORDENES'!$E1112="","-",'ORDENES'!$E1112))</f>
        <v/>
      </c>
      <c r="K1134" s="12">
        <f>IF('ORDENES'!$A1112="","",IF('ORDENES'!$N1112="",0,'ORDENES'!$N1112))</f>
        <v/>
      </c>
      <c r="L1134" s="3">
        <f>IF('ORDENES'!$A1112="","",IF('ORDENES'!$O1112="","-",'ORDENES'!$O1112))</f>
        <v/>
      </c>
      <c r="M1134" s="3">
        <f>IF('ORDENES'!$A1112="","",'ORDENES'!$AB1112)</f>
        <v/>
      </c>
    </row>
    <row r="1135">
      <c r="A1135" s="3">
        <f>IF('ORDENES'!$A1113="","",IF('ORDENES'!$P1113="","-",'ORDENES'!$P1113))</f>
        <v/>
      </c>
      <c r="B1135" s="3">
        <f>IF('ORDENES'!$A1113="","",IF('ORDENES'!$S1113="","-",'ORDENES'!$S1113))</f>
        <v/>
      </c>
      <c r="C1135" s="3">
        <f>IF('ORDENES'!$A1113="","",IF('ORDENES'!$AD1113="","-",'ORDENES'!$AD1113))</f>
        <v/>
      </c>
      <c r="D1135" s="3">
        <f>IF('ORDENES'!$A1113="","",IF('ORDENES'!$W1113="","-",'ORDENES'!$W1113))</f>
        <v/>
      </c>
      <c r="E1135" s="3">
        <f>IF('ORDENES'!$A1113="","",IF('ORDENES'!$V1113="","-",'ORDENES'!$V1113))</f>
        <v/>
      </c>
      <c r="F1135" s="3">
        <f>IF('ORDENES'!$A1113="","",IF('ORDENES'!$X1113="","-",'ORDENES'!$X1113))</f>
        <v/>
      </c>
      <c r="G1135" s="3">
        <f>IF('ORDENES'!$A1113="","",IF('ORDENES'!$AC1113="","-",'ORDENES'!$AC1113))</f>
        <v/>
      </c>
      <c r="H1135" s="3">
        <f>IF('ORDENES'!$A1113="","",IF('ORDENES'!$AO1113="","-",'ORDENES'!$AO1113))</f>
        <v/>
      </c>
      <c r="I1135" s="3">
        <f>IF('ORDENES'!$A1113="","",IF('ORDENES'!$D1113="","-",'ORDENES'!$D1113))</f>
        <v/>
      </c>
      <c r="J1135" s="3">
        <f>IF('ORDENES'!$A1113="","",IF('ORDENES'!$E1113="","-",'ORDENES'!$E1113))</f>
        <v/>
      </c>
      <c r="K1135" s="12">
        <f>IF('ORDENES'!$A1113="","",IF('ORDENES'!$N1113="",0,'ORDENES'!$N1113))</f>
        <v/>
      </c>
      <c r="L1135" s="3">
        <f>IF('ORDENES'!$A1113="","",IF('ORDENES'!$O1113="","-",'ORDENES'!$O1113))</f>
        <v/>
      </c>
      <c r="M1135" s="3">
        <f>IF('ORDENES'!$A1113="","",'ORDENES'!$AB1113)</f>
        <v/>
      </c>
    </row>
    <row r="1136">
      <c r="A1136" s="3">
        <f>IF('ORDENES'!$A1114="","",IF('ORDENES'!$P1114="","-",'ORDENES'!$P1114))</f>
        <v/>
      </c>
      <c r="B1136" s="3">
        <f>IF('ORDENES'!$A1114="","",IF('ORDENES'!$S1114="","-",'ORDENES'!$S1114))</f>
        <v/>
      </c>
      <c r="C1136" s="3">
        <f>IF('ORDENES'!$A1114="","",IF('ORDENES'!$AD1114="","-",'ORDENES'!$AD1114))</f>
        <v/>
      </c>
      <c r="D1136" s="3">
        <f>IF('ORDENES'!$A1114="","",IF('ORDENES'!$W1114="","-",'ORDENES'!$W1114))</f>
        <v/>
      </c>
      <c r="E1136" s="3">
        <f>IF('ORDENES'!$A1114="","",IF('ORDENES'!$V1114="","-",'ORDENES'!$V1114))</f>
        <v/>
      </c>
      <c r="F1136" s="3">
        <f>IF('ORDENES'!$A1114="","",IF('ORDENES'!$X1114="","-",'ORDENES'!$X1114))</f>
        <v/>
      </c>
      <c r="G1136" s="3">
        <f>IF('ORDENES'!$A1114="","",IF('ORDENES'!$AC1114="","-",'ORDENES'!$AC1114))</f>
        <v/>
      </c>
      <c r="H1136" s="3">
        <f>IF('ORDENES'!$A1114="","",IF('ORDENES'!$AO1114="","-",'ORDENES'!$AO1114))</f>
        <v/>
      </c>
      <c r="I1136" s="3">
        <f>IF('ORDENES'!$A1114="","",IF('ORDENES'!$D1114="","-",'ORDENES'!$D1114))</f>
        <v/>
      </c>
      <c r="J1136" s="3">
        <f>IF('ORDENES'!$A1114="","",IF('ORDENES'!$E1114="","-",'ORDENES'!$E1114))</f>
        <v/>
      </c>
      <c r="K1136" s="12">
        <f>IF('ORDENES'!$A1114="","",IF('ORDENES'!$N1114="",0,'ORDENES'!$N1114))</f>
        <v/>
      </c>
      <c r="L1136" s="3">
        <f>IF('ORDENES'!$A1114="","",IF('ORDENES'!$O1114="","-",'ORDENES'!$O1114))</f>
        <v/>
      </c>
      <c r="M1136" s="3">
        <f>IF('ORDENES'!$A1114="","",'ORDENES'!$AB1114)</f>
        <v/>
      </c>
    </row>
    <row r="1137">
      <c r="A1137" s="3">
        <f>IF('ORDENES'!$A1115="","",IF('ORDENES'!$P1115="","-",'ORDENES'!$P1115))</f>
        <v/>
      </c>
      <c r="B1137" s="3">
        <f>IF('ORDENES'!$A1115="","",IF('ORDENES'!$S1115="","-",'ORDENES'!$S1115))</f>
        <v/>
      </c>
      <c r="C1137" s="3">
        <f>IF('ORDENES'!$A1115="","",IF('ORDENES'!$AD1115="","-",'ORDENES'!$AD1115))</f>
        <v/>
      </c>
      <c r="D1137" s="3">
        <f>IF('ORDENES'!$A1115="","",IF('ORDENES'!$W1115="","-",'ORDENES'!$W1115))</f>
        <v/>
      </c>
      <c r="E1137" s="3">
        <f>IF('ORDENES'!$A1115="","",IF('ORDENES'!$V1115="","-",'ORDENES'!$V1115))</f>
        <v/>
      </c>
      <c r="F1137" s="3">
        <f>IF('ORDENES'!$A1115="","",IF('ORDENES'!$X1115="","-",'ORDENES'!$X1115))</f>
        <v/>
      </c>
      <c r="G1137" s="3">
        <f>IF('ORDENES'!$A1115="","",IF('ORDENES'!$AC1115="","-",'ORDENES'!$AC1115))</f>
        <v/>
      </c>
      <c r="H1137" s="3">
        <f>IF('ORDENES'!$A1115="","",IF('ORDENES'!$AO1115="","-",'ORDENES'!$AO1115))</f>
        <v/>
      </c>
      <c r="I1137" s="3">
        <f>IF('ORDENES'!$A1115="","",IF('ORDENES'!$D1115="","-",'ORDENES'!$D1115))</f>
        <v/>
      </c>
      <c r="J1137" s="3">
        <f>IF('ORDENES'!$A1115="","",IF('ORDENES'!$E1115="","-",'ORDENES'!$E1115))</f>
        <v/>
      </c>
      <c r="K1137" s="12">
        <f>IF('ORDENES'!$A1115="","",IF('ORDENES'!$N1115="",0,'ORDENES'!$N1115))</f>
        <v/>
      </c>
      <c r="L1137" s="3">
        <f>IF('ORDENES'!$A1115="","",IF('ORDENES'!$O1115="","-",'ORDENES'!$O1115))</f>
        <v/>
      </c>
      <c r="M1137" s="3">
        <f>IF('ORDENES'!$A1115="","",'ORDENES'!$AB1115)</f>
        <v/>
      </c>
    </row>
    <row r="1138">
      <c r="A1138" s="3">
        <f>IF('ORDENES'!$A1116="","",IF('ORDENES'!$P1116="","-",'ORDENES'!$P1116))</f>
        <v/>
      </c>
      <c r="B1138" s="3">
        <f>IF('ORDENES'!$A1116="","",IF('ORDENES'!$S1116="","-",'ORDENES'!$S1116))</f>
        <v/>
      </c>
      <c r="C1138" s="3">
        <f>IF('ORDENES'!$A1116="","",IF('ORDENES'!$AD1116="","-",'ORDENES'!$AD1116))</f>
        <v/>
      </c>
      <c r="D1138" s="3">
        <f>IF('ORDENES'!$A1116="","",IF('ORDENES'!$W1116="","-",'ORDENES'!$W1116))</f>
        <v/>
      </c>
      <c r="E1138" s="3">
        <f>IF('ORDENES'!$A1116="","",IF('ORDENES'!$V1116="","-",'ORDENES'!$V1116))</f>
        <v/>
      </c>
      <c r="F1138" s="3">
        <f>IF('ORDENES'!$A1116="","",IF('ORDENES'!$X1116="","-",'ORDENES'!$X1116))</f>
        <v/>
      </c>
      <c r="G1138" s="3">
        <f>IF('ORDENES'!$A1116="","",IF('ORDENES'!$AC1116="","-",'ORDENES'!$AC1116))</f>
        <v/>
      </c>
      <c r="H1138" s="3">
        <f>IF('ORDENES'!$A1116="","",IF('ORDENES'!$AO1116="","-",'ORDENES'!$AO1116))</f>
        <v/>
      </c>
      <c r="I1138" s="3">
        <f>IF('ORDENES'!$A1116="","",IF('ORDENES'!$D1116="","-",'ORDENES'!$D1116))</f>
        <v/>
      </c>
      <c r="J1138" s="3">
        <f>IF('ORDENES'!$A1116="","",IF('ORDENES'!$E1116="","-",'ORDENES'!$E1116))</f>
        <v/>
      </c>
      <c r="K1138" s="12">
        <f>IF('ORDENES'!$A1116="","",IF('ORDENES'!$N1116="",0,'ORDENES'!$N1116))</f>
        <v/>
      </c>
      <c r="L1138" s="3">
        <f>IF('ORDENES'!$A1116="","",IF('ORDENES'!$O1116="","-",'ORDENES'!$O1116))</f>
        <v/>
      </c>
      <c r="M1138" s="3">
        <f>IF('ORDENES'!$A1116="","",'ORDENES'!$AB1116)</f>
        <v/>
      </c>
    </row>
    <row r="1139">
      <c r="A1139" s="3">
        <f>IF('ORDENES'!$A1117="","",IF('ORDENES'!$P1117="","-",'ORDENES'!$P1117))</f>
        <v/>
      </c>
      <c r="B1139" s="3">
        <f>IF('ORDENES'!$A1117="","",IF('ORDENES'!$S1117="","-",'ORDENES'!$S1117))</f>
        <v/>
      </c>
      <c r="C1139" s="3">
        <f>IF('ORDENES'!$A1117="","",IF('ORDENES'!$AD1117="","-",'ORDENES'!$AD1117))</f>
        <v/>
      </c>
      <c r="D1139" s="3">
        <f>IF('ORDENES'!$A1117="","",IF('ORDENES'!$W1117="","-",'ORDENES'!$W1117))</f>
        <v/>
      </c>
      <c r="E1139" s="3">
        <f>IF('ORDENES'!$A1117="","",IF('ORDENES'!$V1117="","-",'ORDENES'!$V1117))</f>
        <v/>
      </c>
      <c r="F1139" s="3">
        <f>IF('ORDENES'!$A1117="","",IF('ORDENES'!$X1117="","-",'ORDENES'!$X1117))</f>
        <v/>
      </c>
      <c r="G1139" s="3">
        <f>IF('ORDENES'!$A1117="","",IF('ORDENES'!$AC1117="","-",'ORDENES'!$AC1117))</f>
        <v/>
      </c>
      <c r="H1139" s="3">
        <f>IF('ORDENES'!$A1117="","",IF('ORDENES'!$AO1117="","-",'ORDENES'!$AO1117))</f>
        <v/>
      </c>
      <c r="I1139" s="3">
        <f>IF('ORDENES'!$A1117="","",IF('ORDENES'!$D1117="","-",'ORDENES'!$D1117))</f>
        <v/>
      </c>
      <c r="J1139" s="3">
        <f>IF('ORDENES'!$A1117="","",IF('ORDENES'!$E1117="","-",'ORDENES'!$E1117))</f>
        <v/>
      </c>
      <c r="K1139" s="12">
        <f>IF('ORDENES'!$A1117="","",IF('ORDENES'!$N1117="",0,'ORDENES'!$N1117))</f>
        <v/>
      </c>
      <c r="L1139" s="3">
        <f>IF('ORDENES'!$A1117="","",IF('ORDENES'!$O1117="","-",'ORDENES'!$O1117))</f>
        <v/>
      </c>
      <c r="M1139" s="3">
        <f>IF('ORDENES'!$A1117="","",'ORDENES'!$AB1117)</f>
        <v/>
      </c>
    </row>
    <row r="1140">
      <c r="A1140" s="3">
        <f>IF('ORDENES'!$A1118="","",IF('ORDENES'!$P1118="","-",'ORDENES'!$P1118))</f>
        <v/>
      </c>
      <c r="B1140" s="3">
        <f>IF('ORDENES'!$A1118="","",IF('ORDENES'!$S1118="","-",'ORDENES'!$S1118))</f>
        <v/>
      </c>
      <c r="C1140" s="3">
        <f>IF('ORDENES'!$A1118="","",IF('ORDENES'!$AD1118="","-",'ORDENES'!$AD1118))</f>
        <v/>
      </c>
      <c r="D1140" s="3">
        <f>IF('ORDENES'!$A1118="","",IF('ORDENES'!$W1118="","-",'ORDENES'!$W1118))</f>
        <v/>
      </c>
      <c r="E1140" s="3">
        <f>IF('ORDENES'!$A1118="","",IF('ORDENES'!$V1118="","-",'ORDENES'!$V1118))</f>
        <v/>
      </c>
      <c r="F1140" s="3">
        <f>IF('ORDENES'!$A1118="","",IF('ORDENES'!$X1118="","-",'ORDENES'!$X1118))</f>
        <v/>
      </c>
      <c r="G1140" s="3">
        <f>IF('ORDENES'!$A1118="","",IF('ORDENES'!$AC1118="","-",'ORDENES'!$AC1118))</f>
        <v/>
      </c>
      <c r="H1140" s="3">
        <f>IF('ORDENES'!$A1118="","",IF('ORDENES'!$AO1118="","-",'ORDENES'!$AO1118))</f>
        <v/>
      </c>
      <c r="I1140" s="3">
        <f>IF('ORDENES'!$A1118="","",IF('ORDENES'!$D1118="","-",'ORDENES'!$D1118))</f>
        <v/>
      </c>
      <c r="J1140" s="3">
        <f>IF('ORDENES'!$A1118="","",IF('ORDENES'!$E1118="","-",'ORDENES'!$E1118))</f>
        <v/>
      </c>
      <c r="K1140" s="12">
        <f>IF('ORDENES'!$A1118="","",IF('ORDENES'!$N1118="",0,'ORDENES'!$N1118))</f>
        <v/>
      </c>
      <c r="L1140" s="3">
        <f>IF('ORDENES'!$A1118="","",IF('ORDENES'!$O1118="","-",'ORDENES'!$O1118))</f>
        <v/>
      </c>
      <c r="M1140" s="3">
        <f>IF('ORDENES'!$A1118="","",'ORDENES'!$AB1118)</f>
        <v/>
      </c>
    </row>
    <row r="1141">
      <c r="A1141" s="3">
        <f>IF('ORDENES'!$A1119="","",IF('ORDENES'!$P1119="","-",'ORDENES'!$P1119))</f>
        <v/>
      </c>
      <c r="B1141" s="3">
        <f>IF('ORDENES'!$A1119="","",IF('ORDENES'!$S1119="","-",'ORDENES'!$S1119))</f>
        <v/>
      </c>
      <c r="C1141" s="3">
        <f>IF('ORDENES'!$A1119="","",IF('ORDENES'!$AD1119="","-",'ORDENES'!$AD1119))</f>
        <v/>
      </c>
      <c r="D1141" s="3">
        <f>IF('ORDENES'!$A1119="","",IF('ORDENES'!$W1119="","-",'ORDENES'!$W1119))</f>
        <v/>
      </c>
      <c r="E1141" s="3">
        <f>IF('ORDENES'!$A1119="","",IF('ORDENES'!$V1119="","-",'ORDENES'!$V1119))</f>
        <v/>
      </c>
      <c r="F1141" s="3">
        <f>IF('ORDENES'!$A1119="","",IF('ORDENES'!$X1119="","-",'ORDENES'!$X1119))</f>
        <v/>
      </c>
      <c r="G1141" s="3">
        <f>IF('ORDENES'!$A1119="","",IF('ORDENES'!$AC1119="","-",'ORDENES'!$AC1119))</f>
        <v/>
      </c>
      <c r="H1141" s="3">
        <f>IF('ORDENES'!$A1119="","",IF('ORDENES'!$AO1119="","-",'ORDENES'!$AO1119))</f>
        <v/>
      </c>
      <c r="I1141" s="3">
        <f>IF('ORDENES'!$A1119="","",IF('ORDENES'!$D1119="","-",'ORDENES'!$D1119))</f>
        <v/>
      </c>
      <c r="J1141" s="3">
        <f>IF('ORDENES'!$A1119="","",IF('ORDENES'!$E1119="","-",'ORDENES'!$E1119))</f>
        <v/>
      </c>
      <c r="K1141" s="12">
        <f>IF('ORDENES'!$A1119="","",IF('ORDENES'!$N1119="",0,'ORDENES'!$N1119))</f>
        <v/>
      </c>
      <c r="L1141" s="3">
        <f>IF('ORDENES'!$A1119="","",IF('ORDENES'!$O1119="","-",'ORDENES'!$O1119))</f>
        <v/>
      </c>
      <c r="M1141" s="3">
        <f>IF('ORDENES'!$A1119="","",'ORDENES'!$AB1119)</f>
        <v/>
      </c>
    </row>
    <row r="1142">
      <c r="A1142" s="3">
        <f>IF('ORDENES'!$A1120="","",IF('ORDENES'!$P1120="","-",'ORDENES'!$P1120))</f>
        <v/>
      </c>
      <c r="B1142" s="3">
        <f>IF('ORDENES'!$A1120="","",IF('ORDENES'!$S1120="","-",'ORDENES'!$S1120))</f>
        <v/>
      </c>
      <c r="C1142" s="3">
        <f>IF('ORDENES'!$A1120="","",IF('ORDENES'!$AD1120="","-",'ORDENES'!$AD1120))</f>
        <v/>
      </c>
      <c r="D1142" s="3">
        <f>IF('ORDENES'!$A1120="","",IF('ORDENES'!$W1120="","-",'ORDENES'!$W1120))</f>
        <v/>
      </c>
      <c r="E1142" s="3">
        <f>IF('ORDENES'!$A1120="","",IF('ORDENES'!$V1120="","-",'ORDENES'!$V1120))</f>
        <v/>
      </c>
      <c r="F1142" s="3">
        <f>IF('ORDENES'!$A1120="","",IF('ORDENES'!$X1120="","-",'ORDENES'!$X1120))</f>
        <v/>
      </c>
      <c r="G1142" s="3">
        <f>IF('ORDENES'!$A1120="","",IF('ORDENES'!$AC1120="","-",'ORDENES'!$AC1120))</f>
        <v/>
      </c>
      <c r="H1142" s="3">
        <f>IF('ORDENES'!$A1120="","",IF('ORDENES'!$AO1120="","-",'ORDENES'!$AO1120))</f>
        <v/>
      </c>
      <c r="I1142" s="3">
        <f>IF('ORDENES'!$A1120="","",IF('ORDENES'!$D1120="","-",'ORDENES'!$D1120))</f>
        <v/>
      </c>
      <c r="J1142" s="3">
        <f>IF('ORDENES'!$A1120="","",IF('ORDENES'!$E1120="","-",'ORDENES'!$E1120))</f>
        <v/>
      </c>
      <c r="K1142" s="12">
        <f>IF('ORDENES'!$A1120="","",IF('ORDENES'!$N1120="",0,'ORDENES'!$N1120))</f>
        <v/>
      </c>
      <c r="L1142" s="3">
        <f>IF('ORDENES'!$A1120="","",IF('ORDENES'!$O1120="","-",'ORDENES'!$O1120))</f>
        <v/>
      </c>
      <c r="M1142" s="3">
        <f>IF('ORDENES'!$A1120="","",'ORDENES'!$AB1120)</f>
        <v/>
      </c>
    </row>
    <row r="1143">
      <c r="A1143" s="3">
        <f>IF('ORDENES'!$A1121="","",IF('ORDENES'!$P1121="","-",'ORDENES'!$P1121))</f>
        <v/>
      </c>
      <c r="B1143" s="3">
        <f>IF('ORDENES'!$A1121="","",IF('ORDENES'!$S1121="","-",'ORDENES'!$S1121))</f>
        <v/>
      </c>
      <c r="C1143" s="3">
        <f>IF('ORDENES'!$A1121="","",IF('ORDENES'!$AD1121="","-",'ORDENES'!$AD1121))</f>
        <v/>
      </c>
      <c r="D1143" s="3">
        <f>IF('ORDENES'!$A1121="","",IF('ORDENES'!$W1121="","-",'ORDENES'!$W1121))</f>
        <v/>
      </c>
      <c r="E1143" s="3">
        <f>IF('ORDENES'!$A1121="","",IF('ORDENES'!$V1121="","-",'ORDENES'!$V1121))</f>
        <v/>
      </c>
      <c r="F1143" s="3">
        <f>IF('ORDENES'!$A1121="","",IF('ORDENES'!$X1121="","-",'ORDENES'!$X1121))</f>
        <v/>
      </c>
      <c r="G1143" s="3">
        <f>IF('ORDENES'!$A1121="","",IF('ORDENES'!$AC1121="","-",'ORDENES'!$AC1121))</f>
        <v/>
      </c>
      <c r="H1143" s="3">
        <f>IF('ORDENES'!$A1121="","",IF('ORDENES'!$AO1121="","-",'ORDENES'!$AO1121))</f>
        <v/>
      </c>
      <c r="I1143" s="3">
        <f>IF('ORDENES'!$A1121="","",IF('ORDENES'!$D1121="","-",'ORDENES'!$D1121))</f>
        <v/>
      </c>
      <c r="J1143" s="3">
        <f>IF('ORDENES'!$A1121="","",IF('ORDENES'!$E1121="","-",'ORDENES'!$E1121))</f>
        <v/>
      </c>
      <c r="K1143" s="12">
        <f>IF('ORDENES'!$A1121="","",IF('ORDENES'!$N1121="",0,'ORDENES'!$N1121))</f>
        <v/>
      </c>
      <c r="L1143" s="3">
        <f>IF('ORDENES'!$A1121="","",IF('ORDENES'!$O1121="","-",'ORDENES'!$O1121))</f>
        <v/>
      </c>
      <c r="M1143" s="3">
        <f>IF('ORDENES'!$A1121="","",'ORDENES'!$AB1121)</f>
        <v/>
      </c>
    </row>
    <row r="1144">
      <c r="A1144" s="3">
        <f>IF('ORDENES'!$A1122="","",IF('ORDENES'!$P1122="","-",'ORDENES'!$P1122))</f>
        <v/>
      </c>
      <c r="B1144" s="3">
        <f>IF('ORDENES'!$A1122="","",IF('ORDENES'!$S1122="","-",'ORDENES'!$S1122))</f>
        <v/>
      </c>
      <c r="C1144" s="3">
        <f>IF('ORDENES'!$A1122="","",IF('ORDENES'!$AD1122="","-",'ORDENES'!$AD1122))</f>
        <v/>
      </c>
      <c r="D1144" s="3">
        <f>IF('ORDENES'!$A1122="","",IF('ORDENES'!$W1122="","-",'ORDENES'!$W1122))</f>
        <v/>
      </c>
      <c r="E1144" s="3">
        <f>IF('ORDENES'!$A1122="","",IF('ORDENES'!$V1122="","-",'ORDENES'!$V1122))</f>
        <v/>
      </c>
      <c r="F1144" s="3">
        <f>IF('ORDENES'!$A1122="","",IF('ORDENES'!$X1122="","-",'ORDENES'!$X1122))</f>
        <v/>
      </c>
      <c r="G1144" s="3">
        <f>IF('ORDENES'!$A1122="","",IF('ORDENES'!$AC1122="","-",'ORDENES'!$AC1122))</f>
        <v/>
      </c>
      <c r="H1144" s="3">
        <f>IF('ORDENES'!$A1122="","",IF('ORDENES'!$AO1122="","-",'ORDENES'!$AO1122))</f>
        <v/>
      </c>
      <c r="I1144" s="3">
        <f>IF('ORDENES'!$A1122="","",IF('ORDENES'!$D1122="","-",'ORDENES'!$D1122))</f>
        <v/>
      </c>
      <c r="J1144" s="3">
        <f>IF('ORDENES'!$A1122="","",IF('ORDENES'!$E1122="","-",'ORDENES'!$E1122))</f>
        <v/>
      </c>
      <c r="K1144" s="12">
        <f>IF('ORDENES'!$A1122="","",IF('ORDENES'!$N1122="",0,'ORDENES'!$N1122))</f>
        <v/>
      </c>
      <c r="L1144" s="3">
        <f>IF('ORDENES'!$A1122="","",IF('ORDENES'!$O1122="","-",'ORDENES'!$O1122))</f>
        <v/>
      </c>
      <c r="M1144" s="3">
        <f>IF('ORDENES'!$A1122="","",'ORDENES'!$AB1122)</f>
        <v/>
      </c>
    </row>
    <row r="1145">
      <c r="A1145" s="3">
        <f>IF('ORDENES'!$A1123="","",IF('ORDENES'!$P1123="","-",'ORDENES'!$P1123))</f>
        <v/>
      </c>
      <c r="B1145" s="3">
        <f>IF('ORDENES'!$A1123="","",IF('ORDENES'!$S1123="","-",'ORDENES'!$S1123))</f>
        <v/>
      </c>
      <c r="C1145" s="3">
        <f>IF('ORDENES'!$A1123="","",IF('ORDENES'!$AD1123="","-",'ORDENES'!$AD1123))</f>
        <v/>
      </c>
      <c r="D1145" s="3">
        <f>IF('ORDENES'!$A1123="","",IF('ORDENES'!$W1123="","-",'ORDENES'!$W1123))</f>
        <v/>
      </c>
      <c r="E1145" s="3">
        <f>IF('ORDENES'!$A1123="","",IF('ORDENES'!$V1123="","-",'ORDENES'!$V1123))</f>
        <v/>
      </c>
      <c r="F1145" s="3">
        <f>IF('ORDENES'!$A1123="","",IF('ORDENES'!$X1123="","-",'ORDENES'!$X1123))</f>
        <v/>
      </c>
      <c r="G1145" s="3">
        <f>IF('ORDENES'!$A1123="","",IF('ORDENES'!$AC1123="","-",'ORDENES'!$AC1123))</f>
        <v/>
      </c>
      <c r="H1145" s="3">
        <f>IF('ORDENES'!$A1123="","",IF('ORDENES'!$AO1123="","-",'ORDENES'!$AO1123))</f>
        <v/>
      </c>
      <c r="I1145" s="3">
        <f>IF('ORDENES'!$A1123="","",IF('ORDENES'!$D1123="","-",'ORDENES'!$D1123))</f>
        <v/>
      </c>
      <c r="J1145" s="3">
        <f>IF('ORDENES'!$A1123="","",IF('ORDENES'!$E1123="","-",'ORDENES'!$E1123))</f>
        <v/>
      </c>
      <c r="K1145" s="12">
        <f>IF('ORDENES'!$A1123="","",IF('ORDENES'!$N1123="",0,'ORDENES'!$N1123))</f>
        <v/>
      </c>
      <c r="L1145" s="3">
        <f>IF('ORDENES'!$A1123="","",IF('ORDENES'!$O1123="","-",'ORDENES'!$O1123))</f>
        <v/>
      </c>
      <c r="M1145" s="3">
        <f>IF('ORDENES'!$A1123="","",'ORDENES'!$AB1123)</f>
        <v/>
      </c>
    </row>
    <row r="1146">
      <c r="A1146" s="3">
        <f>IF('ORDENES'!$A1124="","",IF('ORDENES'!$P1124="","-",'ORDENES'!$P1124))</f>
        <v/>
      </c>
      <c r="B1146" s="3">
        <f>IF('ORDENES'!$A1124="","",IF('ORDENES'!$S1124="","-",'ORDENES'!$S1124))</f>
        <v/>
      </c>
      <c r="C1146" s="3">
        <f>IF('ORDENES'!$A1124="","",IF('ORDENES'!$AD1124="","-",'ORDENES'!$AD1124))</f>
        <v/>
      </c>
      <c r="D1146" s="3">
        <f>IF('ORDENES'!$A1124="","",IF('ORDENES'!$W1124="","-",'ORDENES'!$W1124))</f>
        <v/>
      </c>
      <c r="E1146" s="3">
        <f>IF('ORDENES'!$A1124="","",IF('ORDENES'!$V1124="","-",'ORDENES'!$V1124))</f>
        <v/>
      </c>
      <c r="F1146" s="3">
        <f>IF('ORDENES'!$A1124="","",IF('ORDENES'!$X1124="","-",'ORDENES'!$X1124))</f>
        <v/>
      </c>
      <c r="G1146" s="3">
        <f>IF('ORDENES'!$A1124="","",IF('ORDENES'!$AC1124="","-",'ORDENES'!$AC1124))</f>
        <v/>
      </c>
      <c r="H1146" s="3">
        <f>IF('ORDENES'!$A1124="","",IF('ORDENES'!$AO1124="","-",'ORDENES'!$AO1124))</f>
        <v/>
      </c>
      <c r="I1146" s="3">
        <f>IF('ORDENES'!$A1124="","",IF('ORDENES'!$D1124="","-",'ORDENES'!$D1124))</f>
        <v/>
      </c>
      <c r="J1146" s="3">
        <f>IF('ORDENES'!$A1124="","",IF('ORDENES'!$E1124="","-",'ORDENES'!$E1124))</f>
        <v/>
      </c>
      <c r="K1146" s="12">
        <f>IF('ORDENES'!$A1124="","",IF('ORDENES'!$N1124="",0,'ORDENES'!$N1124))</f>
        <v/>
      </c>
      <c r="L1146" s="3">
        <f>IF('ORDENES'!$A1124="","",IF('ORDENES'!$O1124="","-",'ORDENES'!$O1124))</f>
        <v/>
      </c>
      <c r="M1146" s="3">
        <f>IF('ORDENES'!$A1124="","",'ORDENES'!$AB1124)</f>
        <v/>
      </c>
    </row>
    <row r="1147">
      <c r="A1147" s="3">
        <f>IF('ORDENES'!$A1125="","",IF('ORDENES'!$P1125="","-",'ORDENES'!$P1125))</f>
        <v/>
      </c>
      <c r="B1147" s="3">
        <f>IF('ORDENES'!$A1125="","",IF('ORDENES'!$S1125="","-",'ORDENES'!$S1125))</f>
        <v/>
      </c>
      <c r="C1147" s="3">
        <f>IF('ORDENES'!$A1125="","",IF('ORDENES'!$AD1125="","-",'ORDENES'!$AD1125))</f>
        <v/>
      </c>
      <c r="D1147" s="3">
        <f>IF('ORDENES'!$A1125="","",IF('ORDENES'!$W1125="","-",'ORDENES'!$W1125))</f>
        <v/>
      </c>
      <c r="E1147" s="3">
        <f>IF('ORDENES'!$A1125="","",IF('ORDENES'!$V1125="","-",'ORDENES'!$V1125))</f>
        <v/>
      </c>
      <c r="F1147" s="3">
        <f>IF('ORDENES'!$A1125="","",IF('ORDENES'!$X1125="","-",'ORDENES'!$X1125))</f>
        <v/>
      </c>
      <c r="G1147" s="3">
        <f>IF('ORDENES'!$A1125="","",IF('ORDENES'!$AC1125="","-",'ORDENES'!$AC1125))</f>
        <v/>
      </c>
      <c r="H1147" s="3">
        <f>IF('ORDENES'!$A1125="","",IF('ORDENES'!$AO1125="","-",'ORDENES'!$AO1125))</f>
        <v/>
      </c>
      <c r="I1147" s="3">
        <f>IF('ORDENES'!$A1125="","",IF('ORDENES'!$D1125="","-",'ORDENES'!$D1125))</f>
        <v/>
      </c>
      <c r="J1147" s="3">
        <f>IF('ORDENES'!$A1125="","",IF('ORDENES'!$E1125="","-",'ORDENES'!$E1125))</f>
        <v/>
      </c>
      <c r="K1147" s="12">
        <f>IF('ORDENES'!$A1125="","",IF('ORDENES'!$N1125="",0,'ORDENES'!$N1125))</f>
        <v/>
      </c>
      <c r="L1147" s="3">
        <f>IF('ORDENES'!$A1125="","",IF('ORDENES'!$O1125="","-",'ORDENES'!$O1125))</f>
        <v/>
      </c>
      <c r="M1147" s="3">
        <f>IF('ORDENES'!$A1125="","",'ORDENES'!$AB1125)</f>
        <v/>
      </c>
    </row>
    <row r="1148">
      <c r="A1148" s="3">
        <f>IF('ORDENES'!$A1126="","",IF('ORDENES'!$P1126="","-",'ORDENES'!$P1126))</f>
        <v/>
      </c>
      <c r="B1148" s="3">
        <f>IF('ORDENES'!$A1126="","",IF('ORDENES'!$S1126="","-",'ORDENES'!$S1126))</f>
        <v/>
      </c>
      <c r="C1148" s="3">
        <f>IF('ORDENES'!$A1126="","",IF('ORDENES'!$AD1126="","-",'ORDENES'!$AD1126))</f>
        <v/>
      </c>
      <c r="D1148" s="3">
        <f>IF('ORDENES'!$A1126="","",IF('ORDENES'!$W1126="","-",'ORDENES'!$W1126))</f>
        <v/>
      </c>
      <c r="E1148" s="3">
        <f>IF('ORDENES'!$A1126="","",IF('ORDENES'!$V1126="","-",'ORDENES'!$V1126))</f>
        <v/>
      </c>
      <c r="F1148" s="3">
        <f>IF('ORDENES'!$A1126="","",IF('ORDENES'!$X1126="","-",'ORDENES'!$X1126))</f>
        <v/>
      </c>
      <c r="G1148" s="3">
        <f>IF('ORDENES'!$A1126="","",IF('ORDENES'!$AC1126="","-",'ORDENES'!$AC1126))</f>
        <v/>
      </c>
      <c r="H1148" s="3">
        <f>IF('ORDENES'!$A1126="","",IF('ORDENES'!$AO1126="","-",'ORDENES'!$AO1126))</f>
        <v/>
      </c>
      <c r="I1148" s="3">
        <f>IF('ORDENES'!$A1126="","",IF('ORDENES'!$D1126="","-",'ORDENES'!$D1126))</f>
        <v/>
      </c>
      <c r="J1148" s="3">
        <f>IF('ORDENES'!$A1126="","",IF('ORDENES'!$E1126="","-",'ORDENES'!$E1126))</f>
        <v/>
      </c>
      <c r="K1148" s="12">
        <f>IF('ORDENES'!$A1126="","",IF('ORDENES'!$N1126="",0,'ORDENES'!$N1126))</f>
        <v/>
      </c>
      <c r="L1148" s="3">
        <f>IF('ORDENES'!$A1126="","",IF('ORDENES'!$O1126="","-",'ORDENES'!$O1126))</f>
        <v/>
      </c>
      <c r="M1148" s="3">
        <f>IF('ORDENES'!$A1126="","",'ORDENES'!$AB1126)</f>
        <v/>
      </c>
    </row>
    <row r="1149">
      <c r="A1149" s="3">
        <f>IF('ORDENES'!$A1127="","",IF('ORDENES'!$P1127="","-",'ORDENES'!$P1127))</f>
        <v/>
      </c>
      <c r="B1149" s="3">
        <f>IF('ORDENES'!$A1127="","",IF('ORDENES'!$S1127="","-",'ORDENES'!$S1127))</f>
        <v/>
      </c>
      <c r="C1149" s="3">
        <f>IF('ORDENES'!$A1127="","",IF('ORDENES'!$AD1127="","-",'ORDENES'!$AD1127))</f>
        <v/>
      </c>
      <c r="D1149" s="3">
        <f>IF('ORDENES'!$A1127="","",IF('ORDENES'!$W1127="","-",'ORDENES'!$W1127))</f>
        <v/>
      </c>
      <c r="E1149" s="3">
        <f>IF('ORDENES'!$A1127="","",IF('ORDENES'!$V1127="","-",'ORDENES'!$V1127))</f>
        <v/>
      </c>
      <c r="F1149" s="3">
        <f>IF('ORDENES'!$A1127="","",IF('ORDENES'!$X1127="","-",'ORDENES'!$X1127))</f>
        <v/>
      </c>
      <c r="G1149" s="3">
        <f>IF('ORDENES'!$A1127="","",IF('ORDENES'!$AC1127="","-",'ORDENES'!$AC1127))</f>
        <v/>
      </c>
      <c r="H1149" s="3">
        <f>IF('ORDENES'!$A1127="","",IF('ORDENES'!$AO1127="","-",'ORDENES'!$AO1127))</f>
        <v/>
      </c>
      <c r="I1149" s="3">
        <f>IF('ORDENES'!$A1127="","",IF('ORDENES'!$D1127="","-",'ORDENES'!$D1127))</f>
        <v/>
      </c>
      <c r="J1149" s="3">
        <f>IF('ORDENES'!$A1127="","",IF('ORDENES'!$E1127="","-",'ORDENES'!$E1127))</f>
        <v/>
      </c>
      <c r="K1149" s="12">
        <f>IF('ORDENES'!$A1127="","",IF('ORDENES'!$N1127="",0,'ORDENES'!$N1127))</f>
        <v/>
      </c>
      <c r="L1149" s="3">
        <f>IF('ORDENES'!$A1127="","",IF('ORDENES'!$O1127="","-",'ORDENES'!$O1127))</f>
        <v/>
      </c>
      <c r="M1149" s="3">
        <f>IF('ORDENES'!$A1127="","",'ORDENES'!$AB1127)</f>
        <v/>
      </c>
    </row>
    <row r="1150">
      <c r="A1150" s="3">
        <f>IF('ORDENES'!$A1128="","",IF('ORDENES'!$P1128="","-",'ORDENES'!$P1128))</f>
        <v/>
      </c>
      <c r="B1150" s="3">
        <f>IF('ORDENES'!$A1128="","",IF('ORDENES'!$S1128="","-",'ORDENES'!$S1128))</f>
        <v/>
      </c>
      <c r="C1150" s="3">
        <f>IF('ORDENES'!$A1128="","",IF('ORDENES'!$AD1128="","-",'ORDENES'!$AD1128))</f>
        <v/>
      </c>
      <c r="D1150" s="3">
        <f>IF('ORDENES'!$A1128="","",IF('ORDENES'!$W1128="","-",'ORDENES'!$W1128))</f>
        <v/>
      </c>
      <c r="E1150" s="3">
        <f>IF('ORDENES'!$A1128="","",IF('ORDENES'!$V1128="","-",'ORDENES'!$V1128))</f>
        <v/>
      </c>
      <c r="F1150" s="3">
        <f>IF('ORDENES'!$A1128="","",IF('ORDENES'!$X1128="","-",'ORDENES'!$X1128))</f>
        <v/>
      </c>
      <c r="G1150" s="3">
        <f>IF('ORDENES'!$A1128="","",IF('ORDENES'!$AC1128="","-",'ORDENES'!$AC1128))</f>
        <v/>
      </c>
      <c r="H1150" s="3">
        <f>IF('ORDENES'!$A1128="","",IF('ORDENES'!$AO1128="","-",'ORDENES'!$AO1128))</f>
        <v/>
      </c>
      <c r="I1150" s="3">
        <f>IF('ORDENES'!$A1128="","",IF('ORDENES'!$D1128="","-",'ORDENES'!$D1128))</f>
        <v/>
      </c>
      <c r="J1150" s="3">
        <f>IF('ORDENES'!$A1128="","",IF('ORDENES'!$E1128="","-",'ORDENES'!$E1128))</f>
        <v/>
      </c>
      <c r="K1150" s="12">
        <f>IF('ORDENES'!$A1128="","",IF('ORDENES'!$N1128="",0,'ORDENES'!$N1128))</f>
        <v/>
      </c>
      <c r="L1150" s="3">
        <f>IF('ORDENES'!$A1128="","",IF('ORDENES'!$O1128="","-",'ORDENES'!$O1128))</f>
        <v/>
      </c>
      <c r="M1150" s="3">
        <f>IF('ORDENES'!$A1128="","",'ORDENES'!$AB1128)</f>
        <v/>
      </c>
    </row>
    <row r="1151">
      <c r="A1151" s="3">
        <f>IF('ORDENES'!$A1129="","",IF('ORDENES'!$P1129="","-",'ORDENES'!$P1129))</f>
        <v/>
      </c>
      <c r="B1151" s="3">
        <f>IF('ORDENES'!$A1129="","",IF('ORDENES'!$S1129="","-",'ORDENES'!$S1129))</f>
        <v/>
      </c>
      <c r="C1151" s="3">
        <f>IF('ORDENES'!$A1129="","",IF('ORDENES'!$AD1129="","-",'ORDENES'!$AD1129))</f>
        <v/>
      </c>
      <c r="D1151" s="3">
        <f>IF('ORDENES'!$A1129="","",IF('ORDENES'!$W1129="","-",'ORDENES'!$W1129))</f>
        <v/>
      </c>
      <c r="E1151" s="3">
        <f>IF('ORDENES'!$A1129="","",IF('ORDENES'!$V1129="","-",'ORDENES'!$V1129))</f>
        <v/>
      </c>
      <c r="F1151" s="3">
        <f>IF('ORDENES'!$A1129="","",IF('ORDENES'!$X1129="","-",'ORDENES'!$X1129))</f>
        <v/>
      </c>
      <c r="G1151" s="3">
        <f>IF('ORDENES'!$A1129="","",IF('ORDENES'!$AC1129="","-",'ORDENES'!$AC1129))</f>
        <v/>
      </c>
      <c r="H1151" s="3">
        <f>IF('ORDENES'!$A1129="","",IF('ORDENES'!$AO1129="","-",'ORDENES'!$AO1129))</f>
        <v/>
      </c>
      <c r="I1151" s="3">
        <f>IF('ORDENES'!$A1129="","",IF('ORDENES'!$D1129="","-",'ORDENES'!$D1129))</f>
        <v/>
      </c>
      <c r="J1151" s="3">
        <f>IF('ORDENES'!$A1129="","",IF('ORDENES'!$E1129="","-",'ORDENES'!$E1129))</f>
        <v/>
      </c>
      <c r="K1151" s="12">
        <f>IF('ORDENES'!$A1129="","",IF('ORDENES'!$N1129="",0,'ORDENES'!$N1129))</f>
        <v/>
      </c>
      <c r="L1151" s="3">
        <f>IF('ORDENES'!$A1129="","",IF('ORDENES'!$O1129="","-",'ORDENES'!$O1129))</f>
        <v/>
      </c>
      <c r="M1151" s="3">
        <f>IF('ORDENES'!$A1129="","",'ORDENES'!$AB1129)</f>
        <v/>
      </c>
    </row>
    <row r="1152">
      <c r="A1152" s="3">
        <f>IF('ORDENES'!$A1130="","",IF('ORDENES'!$P1130="","-",'ORDENES'!$P1130))</f>
        <v/>
      </c>
      <c r="B1152" s="3">
        <f>IF('ORDENES'!$A1130="","",IF('ORDENES'!$S1130="","-",'ORDENES'!$S1130))</f>
        <v/>
      </c>
      <c r="C1152" s="3">
        <f>IF('ORDENES'!$A1130="","",IF('ORDENES'!$AD1130="","-",'ORDENES'!$AD1130))</f>
        <v/>
      </c>
      <c r="D1152" s="3">
        <f>IF('ORDENES'!$A1130="","",IF('ORDENES'!$W1130="","-",'ORDENES'!$W1130))</f>
        <v/>
      </c>
      <c r="E1152" s="3">
        <f>IF('ORDENES'!$A1130="","",IF('ORDENES'!$V1130="","-",'ORDENES'!$V1130))</f>
        <v/>
      </c>
      <c r="F1152" s="3">
        <f>IF('ORDENES'!$A1130="","",IF('ORDENES'!$X1130="","-",'ORDENES'!$X1130))</f>
        <v/>
      </c>
      <c r="G1152" s="3">
        <f>IF('ORDENES'!$A1130="","",IF('ORDENES'!$AC1130="","-",'ORDENES'!$AC1130))</f>
        <v/>
      </c>
      <c r="H1152" s="3">
        <f>IF('ORDENES'!$A1130="","",IF('ORDENES'!$AO1130="","-",'ORDENES'!$AO1130))</f>
        <v/>
      </c>
      <c r="I1152" s="3">
        <f>IF('ORDENES'!$A1130="","",IF('ORDENES'!$D1130="","-",'ORDENES'!$D1130))</f>
        <v/>
      </c>
      <c r="J1152" s="3">
        <f>IF('ORDENES'!$A1130="","",IF('ORDENES'!$E1130="","-",'ORDENES'!$E1130))</f>
        <v/>
      </c>
      <c r="K1152" s="12">
        <f>IF('ORDENES'!$A1130="","",IF('ORDENES'!$N1130="",0,'ORDENES'!$N1130))</f>
        <v/>
      </c>
      <c r="L1152" s="3">
        <f>IF('ORDENES'!$A1130="","",IF('ORDENES'!$O1130="","-",'ORDENES'!$O1130))</f>
        <v/>
      </c>
      <c r="M1152" s="3">
        <f>IF('ORDENES'!$A1130="","",'ORDENES'!$AB1130)</f>
        <v/>
      </c>
    </row>
    <row r="1153">
      <c r="A1153" s="3">
        <f>IF('ORDENES'!$A1131="","",IF('ORDENES'!$P1131="","-",'ORDENES'!$P1131))</f>
        <v/>
      </c>
      <c r="B1153" s="3">
        <f>IF('ORDENES'!$A1131="","",IF('ORDENES'!$S1131="","-",'ORDENES'!$S1131))</f>
        <v/>
      </c>
      <c r="C1153" s="3">
        <f>IF('ORDENES'!$A1131="","",IF('ORDENES'!$AD1131="","-",'ORDENES'!$AD1131))</f>
        <v/>
      </c>
      <c r="D1153" s="3">
        <f>IF('ORDENES'!$A1131="","",IF('ORDENES'!$W1131="","-",'ORDENES'!$W1131))</f>
        <v/>
      </c>
      <c r="E1153" s="3">
        <f>IF('ORDENES'!$A1131="","",IF('ORDENES'!$V1131="","-",'ORDENES'!$V1131))</f>
        <v/>
      </c>
      <c r="F1153" s="3">
        <f>IF('ORDENES'!$A1131="","",IF('ORDENES'!$X1131="","-",'ORDENES'!$X1131))</f>
        <v/>
      </c>
      <c r="G1153" s="3">
        <f>IF('ORDENES'!$A1131="","",IF('ORDENES'!$AC1131="","-",'ORDENES'!$AC1131))</f>
        <v/>
      </c>
      <c r="H1153" s="3">
        <f>IF('ORDENES'!$A1131="","",IF('ORDENES'!$AO1131="","-",'ORDENES'!$AO1131))</f>
        <v/>
      </c>
      <c r="I1153" s="3">
        <f>IF('ORDENES'!$A1131="","",IF('ORDENES'!$D1131="","-",'ORDENES'!$D1131))</f>
        <v/>
      </c>
      <c r="J1153" s="3">
        <f>IF('ORDENES'!$A1131="","",IF('ORDENES'!$E1131="","-",'ORDENES'!$E1131))</f>
        <v/>
      </c>
      <c r="K1153" s="12">
        <f>IF('ORDENES'!$A1131="","",IF('ORDENES'!$N1131="",0,'ORDENES'!$N1131))</f>
        <v/>
      </c>
      <c r="L1153" s="3">
        <f>IF('ORDENES'!$A1131="","",IF('ORDENES'!$O1131="","-",'ORDENES'!$O1131))</f>
        <v/>
      </c>
      <c r="M1153" s="3">
        <f>IF('ORDENES'!$A1131="","",'ORDENES'!$AB1131)</f>
        <v/>
      </c>
    </row>
    <row r="1154">
      <c r="A1154" s="3">
        <f>IF('ORDENES'!$A1132="","",IF('ORDENES'!$P1132="","-",'ORDENES'!$P1132))</f>
        <v/>
      </c>
      <c r="B1154" s="3">
        <f>IF('ORDENES'!$A1132="","",IF('ORDENES'!$S1132="","-",'ORDENES'!$S1132))</f>
        <v/>
      </c>
      <c r="C1154" s="3">
        <f>IF('ORDENES'!$A1132="","",IF('ORDENES'!$AD1132="","-",'ORDENES'!$AD1132))</f>
        <v/>
      </c>
      <c r="D1154" s="3">
        <f>IF('ORDENES'!$A1132="","",IF('ORDENES'!$W1132="","-",'ORDENES'!$W1132))</f>
        <v/>
      </c>
      <c r="E1154" s="3">
        <f>IF('ORDENES'!$A1132="","",IF('ORDENES'!$V1132="","-",'ORDENES'!$V1132))</f>
        <v/>
      </c>
      <c r="F1154" s="3">
        <f>IF('ORDENES'!$A1132="","",IF('ORDENES'!$X1132="","-",'ORDENES'!$X1132))</f>
        <v/>
      </c>
      <c r="G1154" s="3">
        <f>IF('ORDENES'!$A1132="","",IF('ORDENES'!$AC1132="","-",'ORDENES'!$AC1132))</f>
        <v/>
      </c>
      <c r="H1154" s="3">
        <f>IF('ORDENES'!$A1132="","",IF('ORDENES'!$AO1132="","-",'ORDENES'!$AO1132))</f>
        <v/>
      </c>
      <c r="I1154" s="3">
        <f>IF('ORDENES'!$A1132="","",IF('ORDENES'!$D1132="","-",'ORDENES'!$D1132))</f>
        <v/>
      </c>
      <c r="J1154" s="3">
        <f>IF('ORDENES'!$A1132="","",IF('ORDENES'!$E1132="","-",'ORDENES'!$E1132))</f>
        <v/>
      </c>
      <c r="K1154" s="12">
        <f>IF('ORDENES'!$A1132="","",IF('ORDENES'!$N1132="",0,'ORDENES'!$N1132))</f>
        <v/>
      </c>
      <c r="L1154" s="3">
        <f>IF('ORDENES'!$A1132="","",IF('ORDENES'!$O1132="","-",'ORDENES'!$O1132))</f>
        <v/>
      </c>
      <c r="M1154" s="3">
        <f>IF('ORDENES'!$A1132="","",'ORDENES'!$AB1132)</f>
        <v/>
      </c>
    </row>
    <row r="1155">
      <c r="A1155" s="3">
        <f>IF('ORDENES'!$A1133="","",IF('ORDENES'!$P1133="","-",'ORDENES'!$P1133))</f>
        <v/>
      </c>
      <c r="B1155" s="3">
        <f>IF('ORDENES'!$A1133="","",IF('ORDENES'!$S1133="","-",'ORDENES'!$S1133))</f>
        <v/>
      </c>
      <c r="C1155" s="3">
        <f>IF('ORDENES'!$A1133="","",IF('ORDENES'!$AD1133="","-",'ORDENES'!$AD1133))</f>
        <v/>
      </c>
      <c r="D1155" s="3">
        <f>IF('ORDENES'!$A1133="","",IF('ORDENES'!$W1133="","-",'ORDENES'!$W1133))</f>
        <v/>
      </c>
      <c r="E1155" s="3">
        <f>IF('ORDENES'!$A1133="","",IF('ORDENES'!$V1133="","-",'ORDENES'!$V1133))</f>
        <v/>
      </c>
      <c r="F1155" s="3">
        <f>IF('ORDENES'!$A1133="","",IF('ORDENES'!$X1133="","-",'ORDENES'!$X1133))</f>
        <v/>
      </c>
      <c r="G1155" s="3">
        <f>IF('ORDENES'!$A1133="","",IF('ORDENES'!$AC1133="","-",'ORDENES'!$AC1133))</f>
        <v/>
      </c>
      <c r="H1155" s="3">
        <f>IF('ORDENES'!$A1133="","",IF('ORDENES'!$AO1133="","-",'ORDENES'!$AO1133))</f>
        <v/>
      </c>
      <c r="I1155" s="3">
        <f>IF('ORDENES'!$A1133="","",IF('ORDENES'!$D1133="","-",'ORDENES'!$D1133))</f>
        <v/>
      </c>
      <c r="J1155" s="3">
        <f>IF('ORDENES'!$A1133="","",IF('ORDENES'!$E1133="","-",'ORDENES'!$E1133))</f>
        <v/>
      </c>
      <c r="K1155" s="12">
        <f>IF('ORDENES'!$A1133="","",IF('ORDENES'!$N1133="",0,'ORDENES'!$N1133))</f>
        <v/>
      </c>
      <c r="L1155" s="3">
        <f>IF('ORDENES'!$A1133="","",IF('ORDENES'!$O1133="","-",'ORDENES'!$O1133))</f>
        <v/>
      </c>
      <c r="M1155" s="3">
        <f>IF('ORDENES'!$A1133="","",'ORDENES'!$AB1133)</f>
        <v/>
      </c>
    </row>
    <row r="1156">
      <c r="A1156" s="3">
        <f>IF('ORDENES'!$A1134="","",IF('ORDENES'!$P1134="","-",'ORDENES'!$P1134))</f>
        <v/>
      </c>
      <c r="B1156" s="3">
        <f>IF('ORDENES'!$A1134="","",IF('ORDENES'!$S1134="","-",'ORDENES'!$S1134))</f>
        <v/>
      </c>
      <c r="C1156" s="3">
        <f>IF('ORDENES'!$A1134="","",IF('ORDENES'!$AD1134="","-",'ORDENES'!$AD1134))</f>
        <v/>
      </c>
      <c r="D1156" s="3">
        <f>IF('ORDENES'!$A1134="","",IF('ORDENES'!$W1134="","-",'ORDENES'!$W1134))</f>
        <v/>
      </c>
      <c r="E1156" s="3">
        <f>IF('ORDENES'!$A1134="","",IF('ORDENES'!$V1134="","-",'ORDENES'!$V1134))</f>
        <v/>
      </c>
      <c r="F1156" s="3">
        <f>IF('ORDENES'!$A1134="","",IF('ORDENES'!$X1134="","-",'ORDENES'!$X1134))</f>
        <v/>
      </c>
      <c r="G1156" s="3">
        <f>IF('ORDENES'!$A1134="","",IF('ORDENES'!$AC1134="","-",'ORDENES'!$AC1134))</f>
        <v/>
      </c>
      <c r="H1156" s="3">
        <f>IF('ORDENES'!$A1134="","",IF('ORDENES'!$AO1134="","-",'ORDENES'!$AO1134))</f>
        <v/>
      </c>
      <c r="I1156" s="3">
        <f>IF('ORDENES'!$A1134="","",IF('ORDENES'!$D1134="","-",'ORDENES'!$D1134))</f>
        <v/>
      </c>
      <c r="J1156" s="3">
        <f>IF('ORDENES'!$A1134="","",IF('ORDENES'!$E1134="","-",'ORDENES'!$E1134))</f>
        <v/>
      </c>
      <c r="K1156" s="12">
        <f>IF('ORDENES'!$A1134="","",IF('ORDENES'!$N1134="",0,'ORDENES'!$N1134))</f>
        <v/>
      </c>
      <c r="L1156" s="3">
        <f>IF('ORDENES'!$A1134="","",IF('ORDENES'!$O1134="","-",'ORDENES'!$O1134))</f>
        <v/>
      </c>
      <c r="M1156" s="3">
        <f>IF('ORDENES'!$A1134="","",'ORDENES'!$AB1134)</f>
        <v/>
      </c>
    </row>
    <row r="1157">
      <c r="A1157" s="3">
        <f>IF('ORDENES'!$A1135="","",IF('ORDENES'!$P1135="","-",'ORDENES'!$P1135))</f>
        <v/>
      </c>
      <c r="B1157" s="3">
        <f>IF('ORDENES'!$A1135="","",IF('ORDENES'!$S1135="","-",'ORDENES'!$S1135))</f>
        <v/>
      </c>
      <c r="C1157" s="3">
        <f>IF('ORDENES'!$A1135="","",IF('ORDENES'!$AD1135="","-",'ORDENES'!$AD1135))</f>
        <v/>
      </c>
      <c r="D1157" s="3">
        <f>IF('ORDENES'!$A1135="","",IF('ORDENES'!$W1135="","-",'ORDENES'!$W1135))</f>
        <v/>
      </c>
      <c r="E1157" s="3">
        <f>IF('ORDENES'!$A1135="","",IF('ORDENES'!$V1135="","-",'ORDENES'!$V1135))</f>
        <v/>
      </c>
      <c r="F1157" s="3">
        <f>IF('ORDENES'!$A1135="","",IF('ORDENES'!$X1135="","-",'ORDENES'!$X1135))</f>
        <v/>
      </c>
      <c r="G1157" s="3">
        <f>IF('ORDENES'!$A1135="","",IF('ORDENES'!$AC1135="","-",'ORDENES'!$AC1135))</f>
        <v/>
      </c>
      <c r="H1157" s="3">
        <f>IF('ORDENES'!$A1135="","",IF('ORDENES'!$AO1135="","-",'ORDENES'!$AO1135))</f>
        <v/>
      </c>
      <c r="I1157" s="3">
        <f>IF('ORDENES'!$A1135="","",IF('ORDENES'!$D1135="","-",'ORDENES'!$D1135))</f>
        <v/>
      </c>
      <c r="J1157" s="3">
        <f>IF('ORDENES'!$A1135="","",IF('ORDENES'!$E1135="","-",'ORDENES'!$E1135))</f>
        <v/>
      </c>
      <c r="K1157" s="12">
        <f>IF('ORDENES'!$A1135="","",IF('ORDENES'!$N1135="",0,'ORDENES'!$N1135))</f>
        <v/>
      </c>
      <c r="L1157" s="3">
        <f>IF('ORDENES'!$A1135="","",IF('ORDENES'!$O1135="","-",'ORDENES'!$O1135))</f>
        <v/>
      </c>
      <c r="M1157" s="3">
        <f>IF('ORDENES'!$A1135="","",'ORDENES'!$AB1135)</f>
        <v/>
      </c>
    </row>
    <row r="1158">
      <c r="A1158" s="3">
        <f>IF('ORDENES'!$A1136="","",IF('ORDENES'!$P1136="","-",'ORDENES'!$P1136))</f>
        <v/>
      </c>
      <c r="B1158" s="3">
        <f>IF('ORDENES'!$A1136="","",IF('ORDENES'!$S1136="","-",'ORDENES'!$S1136))</f>
        <v/>
      </c>
      <c r="C1158" s="3">
        <f>IF('ORDENES'!$A1136="","",IF('ORDENES'!$AD1136="","-",'ORDENES'!$AD1136))</f>
        <v/>
      </c>
      <c r="D1158" s="3">
        <f>IF('ORDENES'!$A1136="","",IF('ORDENES'!$W1136="","-",'ORDENES'!$W1136))</f>
        <v/>
      </c>
      <c r="E1158" s="3">
        <f>IF('ORDENES'!$A1136="","",IF('ORDENES'!$V1136="","-",'ORDENES'!$V1136))</f>
        <v/>
      </c>
      <c r="F1158" s="3">
        <f>IF('ORDENES'!$A1136="","",IF('ORDENES'!$X1136="","-",'ORDENES'!$X1136))</f>
        <v/>
      </c>
      <c r="G1158" s="3">
        <f>IF('ORDENES'!$A1136="","",IF('ORDENES'!$AC1136="","-",'ORDENES'!$AC1136))</f>
        <v/>
      </c>
      <c r="H1158" s="3">
        <f>IF('ORDENES'!$A1136="","",IF('ORDENES'!$AO1136="","-",'ORDENES'!$AO1136))</f>
        <v/>
      </c>
      <c r="I1158" s="3">
        <f>IF('ORDENES'!$A1136="","",IF('ORDENES'!$D1136="","-",'ORDENES'!$D1136))</f>
        <v/>
      </c>
      <c r="J1158" s="3">
        <f>IF('ORDENES'!$A1136="","",IF('ORDENES'!$E1136="","-",'ORDENES'!$E1136))</f>
        <v/>
      </c>
      <c r="K1158" s="12">
        <f>IF('ORDENES'!$A1136="","",IF('ORDENES'!$N1136="",0,'ORDENES'!$N1136))</f>
        <v/>
      </c>
      <c r="L1158" s="3">
        <f>IF('ORDENES'!$A1136="","",IF('ORDENES'!$O1136="","-",'ORDENES'!$O1136))</f>
        <v/>
      </c>
      <c r="M1158" s="3">
        <f>IF('ORDENES'!$A1136="","",'ORDENES'!$AB1136)</f>
        <v/>
      </c>
    </row>
    <row r="1159">
      <c r="A1159" s="3">
        <f>IF('ORDENES'!$A1137="","",IF('ORDENES'!$P1137="","-",'ORDENES'!$P1137))</f>
        <v/>
      </c>
      <c r="B1159" s="3">
        <f>IF('ORDENES'!$A1137="","",IF('ORDENES'!$S1137="","-",'ORDENES'!$S1137))</f>
        <v/>
      </c>
      <c r="C1159" s="3">
        <f>IF('ORDENES'!$A1137="","",IF('ORDENES'!$AD1137="","-",'ORDENES'!$AD1137))</f>
        <v/>
      </c>
      <c r="D1159" s="3">
        <f>IF('ORDENES'!$A1137="","",IF('ORDENES'!$W1137="","-",'ORDENES'!$W1137))</f>
        <v/>
      </c>
      <c r="E1159" s="3">
        <f>IF('ORDENES'!$A1137="","",IF('ORDENES'!$V1137="","-",'ORDENES'!$V1137))</f>
        <v/>
      </c>
      <c r="F1159" s="3">
        <f>IF('ORDENES'!$A1137="","",IF('ORDENES'!$X1137="","-",'ORDENES'!$X1137))</f>
        <v/>
      </c>
      <c r="G1159" s="3">
        <f>IF('ORDENES'!$A1137="","",IF('ORDENES'!$AC1137="","-",'ORDENES'!$AC1137))</f>
        <v/>
      </c>
      <c r="H1159" s="3">
        <f>IF('ORDENES'!$A1137="","",IF('ORDENES'!$AO1137="","-",'ORDENES'!$AO1137))</f>
        <v/>
      </c>
      <c r="I1159" s="3">
        <f>IF('ORDENES'!$A1137="","",IF('ORDENES'!$D1137="","-",'ORDENES'!$D1137))</f>
        <v/>
      </c>
      <c r="J1159" s="3">
        <f>IF('ORDENES'!$A1137="","",IF('ORDENES'!$E1137="","-",'ORDENES'!$E1137))</f>
        <v/>
      </c>
      <c r="K1159" s="12">
        <f>IF('ORDENES'!$A1137="","",IF('ORDENES'!$N1137="",0,'ORDENES'!$N1137))</f>
        <v/>
      </c>
      <c r="L1159" s="3">
        <f>IF('ORDENES'!$A1137="","",IF('ORDENES'!$O1137="","-",'ORDENES'!$O1137))</f>
        <v/>
      </c>
      <c r="M1159" s="3">
        <f>IF('ORDENES'!$A1137="","",'ORDENES'!$AB1137)</f>
        <v/>
      </c>
    </row>
    <row r="1160">
      <c r="A1160" s="3">
        <f>IF('ORDENES'!$A1138="","",IF('ORDENES'!$P1138="","-",'ORDENES'!$P1138))</f>
        <v/>
      </c>
      <c r="B1160" s="3">
        <f>IF('ORDENES'!$A1138="","",IF('ORDENES'!$S1138="","-",'ORDENES'!$S1138))</f>
        <v/>
      </c>
      <c r="C1160" s="3">
        <f>IF('ORDENES'!$A1138="","",IF('ORDENES'!$AD1138="","-",'ORDENES'!$AD1138))</f>
        <v/>
      </c>
      <c r="D1160" s="3">
        <f>IF('ORDENES'!$A1138="","",IF('ORDENES'!$W1138="","-",'ORDENES'!$W1138))</f>
        <v/>
      </c>
      <c r="E1160" s="3">
        <f>IF('ORDENES'!$A1138="","",IF('ORDENES'!$V1138="","-",'ORDENES'!$V1138))</f>
        <v/>
      </c>
      <c r="F1160" s="3">
        <f>IF('ORDENES'!$A1138="","",IF('ORDENES'!$X1138="","-",'ORDENES'!$X1138))</f>
        <v/>
      </c>
      <c r="G1160" s="3">
        <f>IF('ORDENES'!$A1138="","",IF('ORDENES'!$AC1138="","-",'ORDENES'!$AC1138))</f>
        <v/>
      </c>
      <c r="H1160" s="3">
        <f>IF('ORDENES'!$A1138="","",IF('ORDENES'!$AO1138="","-",'ORDENES'!$AO1138))</f>
        <v/>
      </c>
      <c r="I1160" s="3">
        <f>IF('ORDENES'!$A1138="","",IF('ORDENES'!$D1138="","-",'ORDENES'!$D1138))</f>
        <v/>
      </c>
      <c r="J1160" s="3">
        <f>IF('ORDENES'!$A1138="","",IF('ORDENES'!$E1138="","-",'ORDENES'!$E1138))</f>
        <v/>
      </c>
      <c r="K1160" s="12">
        <f>IF('ORDENES'!$A1138="","",IF('ORDENES'!$N1138="",0,'ORDENES'!$N1138))</f>
        <v/>
      </c>
      <c r="L1160" s="3">
        <f>IF('ORDENES'!$A1138="","",IF('ORDENES'!$O1138="","-",'ORDENES'!$O1138))</f>
        <v/>
      </c>
      <c r="M1160" s="3">
        <f>IF('ORDENES'!$A1138="","",'ORDENES'!$AB1138)</f>
        <v/>
      </c>
    </row>
    <row r="1161">
      <c r="A1161" s="3">
        <f>IF('ORDENES'!$A1139="","",IF('ORDENES'!$P1139="","-",'ORDENES'!$P1139))</f>
        <v/>
      </c>
      <c r="B1161" s="3">
        <f>IF('ORDENES'!$A1139="","",IF('ORDENES'!$S1139="","-",'ORDENES'!$S1139))</f>
        <v/>
      </c>
      <c r="C1161" s="3">
        <f>IF('ORDENES'!$A1139="","",IF('ORDENES'!$AD1139="","-",'ORDENES'!$AD1139))</f>
        <v/>
      </c>
      <c r="D1161" s="3">
        <f>IF('ORDENES'!$A1139="","",IF('ORDENES'!$W1139="","-",'ORDENES'!$W1139))</f>
        <v/>
      </c>
      <c r="E1161" s="3">
        <f>IF('ORDENES'!$A1139="","",IF('ORDENES'!$V1139="","-",'ORDENES'!$V1139))</f>
        <v/>
      </c>
      <c r="F1161" s="3">
        <f>IF('ORDENES'!$A1139="","",IF('ORDENES'!$X1139="","-",'ORDENES'!$X1139))</f>
        <v/>
      </c>
      <c r="G1161" s="3">
        <f>IF('ORDENES'!$A1139="","",IF('ORDENES'!$AC1139="","-",'ORDENES'!$AC1139))</f>
        <v/>
      </c>
      <c r="H1161" s="3">
        <f>IF('ORDENES'!$A1139="","",IF('ORDENES'!$AO1139="","-",'ORDENES'!$AO1139))</f>
        <v/>
      </c>
      <c r="I1161" s="3">
        <f>IF('ORDENES'!$A1139="","",IF('ORDENES'!$D1139="","-",'ORDENES'!$D1139))</f>
        <v/>
      </c>
      <c r="J1161" s="3">
        <f>IF('ORDENES'!$A1139="","",IF('ORDENES'!$E1139="","-",'ORDENES'!$E1139))</f>
        <v/>
      </c>
      <c r="K1161" s="12">
        <f>IF('ORDENES'!$A1139="","",IF('ORDENES'!$N1139="",0,'ORDENES'!$N1139))</f>
        <v/>
      </c>
      <c r="L1161" s="3">
        <f>IF('ORDENES'!$A1139="","",IF('ORDENES'!$O1139="","-",'ORDENES'!$O1139))</f>
        <v/>
      </c>
      <c r="M1161" s="3">
        <f>IF('ORDENES'!$A1139="","",'ORDENES'!$AB1139)</f>
        <v/>
      </c>
    </row>
    <row r="1162">
      <c r="A1162" s="3">
        <f>IF('ORDENES'!$A1140="","",IF('ORDENES'!$P1140="","-",'ORDENES'!$P1140))</f>
        <v/>
      </c>
      <c r="B1162" s="3">
        <f>IF('ORDENES'!$A1140="","",IF('ORDENES'!$S1140="","-",'ORDENES'!$S1140))</f>
        <v/>
      </c>
      <c r="C1162" s="3">
        <f>IF('ORDENES'!$A1140="","",IF('ORDENES'!$AD1140="","-",'ORDENES'!$AD1140))</f>
        <v/>
      </c>
      <c r="D1162" s="3">
        <f>IF('ORDENES'!$A1140="","",IF('ORDENES'!$W1140="","-",'ORDENES'!$W1140))</f>
        <v/>
      </c>
      <c r="E1162" s="3">
        <f>IF('ORDENES'!$A1140="","",IF('ORDENES'!$V1140="","-",'ORDENES'!$V1140))</f>
        <v/>
      </c>
      <c r="F1162" s="3">
        <f>IF('ORDENES'!$A1140="","",IF('ORDENES'!$X1140="","-",'ORDENES'!$X1140))</f>
        <v/>
      </c>
      <c r="G1162" s="3">
        <f>IF('ORDENES'!$A1140="","",IF('ORDENES'!$AC1140="","-",'ORDENES'!$AC1140))</f>
        <v/>
      </c>
      <c r="H1162" s="3">
        <f>IF('ORDENES'!$A1140="","",IF('ORDENES'!$AO1140="","-",'ORDENES'!$AO1140))</f>
        <v/>
      </c>
      <c r="I1162" s="3">
        <f>IF('ORDENES'!$A1140="","",IF('ORDENES'!$D1140="","-",'ORDENES'!$D1140))</f>
        <v/>
      </c>
      <c r="J1162" s="3">
        <f>IF('ORDENES'!$A1140="","",IF('ORDENES'!$E1140="","-",'ORDENES'!$E1140))</f>
        <v/>
      </c>
      <c r="K1162" s="12">
        <f>IF('ORDENES'!$A1140="","",IF('ORDENES'!$N1140="",0,'ORDENES'!$N1140))</f>
        <v/>
      </c>
      <c r="L1162" s="3">
        <f>IF('ORDENES'!$A1140="","",IF('ORDENES'!$O1140="","-",'ORDENES'!$O1140))</f>
        <v/>
      </c>
      <c r="M1162" s="3">
        <f>IF('ORDENES'!$A1140="","",'ORDENES'!$AB1140)</f>
        <v/>
      </c>
    </row>
    <row r="1163">
      <c r="A1163" s="3">
        <f>IF('ORDENES'!$A1141="","",IF('ORDENES'!$P1141="","-",'ORDENES'!$P1141))</f>
        <v/>
      </c>
      <c r="B1163" s="3">
        <f>IF('ORDENES'!$A1141="","",IF('ORDENES'!$S1141="","-",'ORDENES'!$S1141))</f>
        <v/>
      </c>
      <c r="C1163" s="3">
        <f>IF('ORDENES'!$A1141="","",IF('ORDENES'!$AD1141="","-",'ORDENES'!$AD1141))</f>
        <v/>
      </c>
      <c r="D1163" s="3">
        <f>IF('ORDENES'!$A1141="","",IF('ORDENES'!$W1141="","-",'ORDENES'!$W1141))</f>
        <v/>
      </c>
      <c r="E1163" s="3">
        <f>IF('ORDENES'!$A1141="","",IF('ORDENES'!$V1141="","-",'ORDENES'!$V1141))</f>
        <v/>
      </c>
      <c r="F1163" s="3">
        <f>IF('ORDENES'!$A1141="","",IF('ORDENES'!$X1141="","-",'ORDENES'!$X1141))</f>
        <v/>
      </c>
      <c r="G1163" s="3">
        <f>IF('ORDENES'!$A1141="","",IF('ORDENES'!$AC1141="","-",'ORDENES'!$AC1141))</f>
        <v/>
      </c>
      <c r="H1163" s="3">
        <f>IF('ORDENES'!$A1141="","",IF('ORDENES'!$AO1141="","-",'ORDENES'!$AO1141))</f>
        <v/>
      </c>
      <c r="I1163" s="3">
        <f>IF('ORDENES'!$A1141="","",IF('ORDENES'!$D1141="","-",'ORDENES'!$D1141))</f>
        <v/>
      </c>
      <c r="J1163" s="3">
        <f>IF('ORDENES'!$A1141="","",IF('ORDENES'!$E1141="","-",'ORDENES'!$E1141))</f>
        <v/>
      </c>
      <c r="K1163" s="12">
        <f>IF('ORDENES'!$A1141="","",IF('ORDENES'!$N1141="",0,'ORDENES'!$N1141))</f>
        <v/>
      </c>
      <c r="L1163" s="3">
        <f>IF('ORDENES'!$A1141="","",IF('ORDENES'!$O1141="","-",'ORDENES'!$O1141))</f>
        <v/>
      </c>
      <c r="M1163" s="3">
        <f>IF('ORDENES'!$A1141="","",'ORDENES'!$AB1141)</f>
        <v/>
      </c>
    </row>
    <row r="1164">
      <c r="A1164" s="3">
        <f>IF('ORDENES'!$A1142="","",IF('ORDENES'!$P1142="","-",'ORDENES'!$P1142))</f>
        <v/>
      </c>
      <c r="B1164" s="3">
        <f>IF('ORDENES'!$A1142="","",IF('ORDENES'!$S1142="","-",'ORDENES'!$S1142))</f>
        <v/>
      </c>
      <c r="C1164" s="3">
        <f>IF('ORDENES'!$A1142="","",IF('ORDENES'!$AD1142="","-",'ORDENES'!$AD1142))</f>
        <v/>
      </c>
      <c r="D1164" s="3">
        <f>IF('ORDENES'!$A1142="","",IF('ORDENES'!$W1142="","-",'ORDENES'!$W1142))</f>
        <v/>
      </c>
      <c r="E1164" s="3">
        <f>IF('ORDENES'!$A1142="","",IF('ORDENES'!$V1142="","-",'ORDENES'!$V1142))</f>
        <v/>
      </c>
      <c r="F1164" s="3">
        <f>IF('ORDENES'!$A1142="","",IF('ORDENES'!$X1142="","-",'ORDENES'!$X1142))</f>
        <v/>
      </c>
      <c r="G1164" s="3">
        <f>IF('ORDENES'!$A1142="","",IF('ORDENES'!$AC1142="","-",'ORDENES'!$AC1142))</f>
        <v/>
      </c>
      <c r="H1164" s="3">
        <f>IF('ORDENES'!$A1142="","",IF('ORDENES'!$AO1142="","-",'ORDENES'!$AO1142))</f>
        <v/>
      </c>
      <c r="I1164" s="3">
        <f>IF('ORDENES'!$A1142="","",IF('ORDENES'!$D1142="","-",'ORDENES'!$D1142))</f>
        <v/>
      </c>
      <c r="J1164" s="3">
        <f>IF('ORDENES'!$A1142="","",IF('ORDENES'!$E1142="","-",'ORDENES'!$E1142))</f>
        <v/>
      </c>
      <c r="K1164" s="12">
        <f>IF('ORDENES'!$A1142="","",IF('ORDENES'!$N1142="",0,'ORDENES'!$N1142))</f>
        <v/>
      </c>
      <c r="L1164" s="3">
        <f>IF('ORDENES'!$A1142="","",IF('ORDENES'!$O1142="","-",'ORDENES'!$O1142))</f>
        <v/>
      </c>
      <c r="M1164" s="3">
        <f>IF('ORDENES'!$A1142="","",'ORDENES'!$AB1142)</f>
        <v/>
      </c>
    </row>
    <row r="1165">
      <c r="A1165" s="3">
        <f>IF('ORDENES'!$A1143="","",IF('ORDENES'!$P1143="","-",'ORDENES'!$P1143))</f>
        <v/>
      </c>
      <c r="B1165" s="3">
        <f>IF('ORDENES'!$A1143="","",IF('ORDENES'!$S1143="","-",'ORDENES'!$S1143))</f>
        <v/>
      </c>
      <c r="C1165" s="3">
        <f>IF('ORDENES'!$A1143="","",IF('ORDENES'!$AD1143="","-",'ORDENES'!$AD1143))</f>
        <v/>
      </c>
      <c r="D1165" s="3">
        <f>IF('ORDENES'!$A1143="","",IF('ORDENES'!$W1143="","-",'ORDENES'!$W1143))</f>
        <v/>
      </c>
      <c r="E1165" s="3">
        <f>IF('ORDENES'!$A1143="","",IF('ORDENES'!$V1143="","-",'ORDENES'!$V1143))</f>
        <v/>
      </c>
      <c r="F1165" s="3">
        <f>IF('ORDENES'!$A1143="","",IF('ORDENES'!$X1143="","-",'ORDENES'!$X1143))</f>
        <v/>
      </c>
      <c r="G1165" s="3">
        <f>IF('ORDENES'!$A1143="","",IF('ORDENES'!$AC1143="","-",'ORDENES'!$AC1143))</f>
        <v/>
      </c>
      <c r="H1165" s="3">
        <f>IF('ORDENES'!$A1143="","",IF('ORDENES'!$AO1143="","-",'ORDENES'!$AO1143))</f>
        <v/>
      </c>
      <c r="I1165" s="3">
        <f>IF('ORDENES'!$A1143="","",IF('ORDENES'!$D1143="","-",'ORDENES'!$D1143))</f>
        <v/>
      </c>
      <c r="J1165" s="3">
        <f>IF('ORDENES'!$A1143="","",IF('ORDENES'!$E1143="","-",'ORDENES'!$E1143))</f>
        <v/>
      </c>
      <c r="K1165" s="12">
        <f>IF('ORDENES'!$A1143="","",IF('ORDENES'!$N1143="",0,'ORDENES'!$N1143))</f>
        <v/>
      </c>
      <c r="L1165" s="3">
        <f>IF('ORDENES'!$A1143="","",IF('ORDENES'!$O1143="","-",'ORDENES'!$O1143))</f>
        <v/>
      </c>
      <c r="M1165" s="3">
        <f>IF('ORDENES'!$A1143="","",'ORDENES'!$AB1143)</f>
        <v/>
      </c>
    </row>
    <row r="1166">
      <c r="A1166" s="3">
        <f>IF('ORDENES'!$A1144="","",IF('ORDENES'!$P1144="","-",'ORDENES'!$P1144))</f>
        <v/>
      </c>
      <c r="B1166" s="3">
        <f>IF('ORDENES'!$A1144="","",IF('ORDENES'!$S1144="","-",'ORDENES'!$S1144))</f>
        <v/>
      </c>
      <c r="C1166" s="3">
        <f>IF('ORDENES'!$A1144="","",IF('ORDENES'!$AD1144="","-",'ORDENES'!$AD1144))</f>
        <v/>
      </c>
      <c r="D1166" s="3">
        <f>IF('ORDENES'!$A1144="","",IF('ORDENES'!$W1144="","-",'ORDENES'!$W1144))</f>
        <v/>
      </c>
      <c r="E1166" s="3">
        <f>IF('ORDENES'!$A1144="","",IF('ORDENES'!$V1144="","-",'ORDENES'!$V1144))</f>
        <v/>
      </c>
      <c r="F1166" s="3">
        <f>IF('ORDENES'!$A1144="","",IF('ORDENES'!$X1144="","-",'ORDENES'!$X1144))</f>
        <v/>
      </c>
      <c r="G1166" s="3">
        <f>IF('ORDENES'!$A1144="","",IF('ORDENES'!$AC1144="","-",'ORDENES'!$AC1144))</f>
        <v/>
      </c>
      <c r="H1166" s="3">
        <f>IF('ORDENES'!$A1144="","",IF('ORDENES'!$AO1144="","-",'ORDENES'!$AO1144))</f>
        <v/>
      </c>
      <c r="I1166" s="3">
        <f>IF('ORDENES'!$A1144="","",IF('ORDENES'!$D1144="","-",'ORDENES'!$D1144))</f>
        <v/>
      </c>
      <c r="J1166" s="3">
        <f>IF('ORDENES'!$A1144="","",IF('ORDENES'!$E1144="","-",'ORDENES'!$E1144))</f>
        <v/>
      </c>
      <c r="K1166" s="12">
        <f>IF('ORDENES'!$A1144="","",IF('ORDENES'!$N1144="",0,'ORDENES'!$N1144))</f>
        <v/>
      </c>
      <c r="L1166" s="3">
        <f>IF('ORDENES'!$A1144="","",IF('ORDENES'!$O1144="","-",'ORDENES'!$O1144))</f>
        <v/>
      </c>
      <c r="M1166" s="3">
        <f>IF('ORDENES'!$A1144="","",'ORDENES'!$AB1144)</f>
        <v/>
      </c>
    </row>
    <row r="1167">
      <c r="A1167" s="3">
        <f>IF('ORDENES'!$A1145="","",IF('ORDENES'!$P1145="","-",'ORDENES'!$P1145))</f>
        <v/>
      </c>
      <c r="B1167" s="3">
        <f>IF('ORDENES'!$A1145="","",IF('ORDENES'!$S1145="","-",'ORDENES'!$S1145))</f>
        <v/>
      </c>
      <c r="C1167" s="3">
        <f>IF('ORDENES'!$A1145="","",IF('ORDENES'!$AD1145="","-",'ORDENES'!$AD1145))</f>
        <v/>
      </c>
      <c r="D1167" s="3">
        <f>IF('ORDENES'!$A1145="","",IF('ORDENES'!$W1145="","-",'ORDENES'!$W1145))</f>
        <v/>
      </c>
      <c r="E1167" s="3">
        <f>IF('ORDENES'!$A1145="","",IF('ORDENES'!$V1145="","-",'ORDENES'!$V1145))</f>
        <v/>
      </c>
      <c r="F1167" s="3">
        <f>IF('ORDENES'!$A1145="","",IF('ORDENES'!$X1145="","-",'ORDENES'!$X1145))</f>
        <v/>
      </c>
      <c r="G1167" s="3">
        <f>IF('ORDENES'!$A1145="","",IF('ORDENES'!$AC1145="","-",'ORDENES'!$AC1145))</f>
        <v/>
      </c>
      <c r="H1167" s="3">
        <f>IF('ORDENES'!$A1145="","",IF('ORDENES'!$AO1145="","-",'ORDENES'!$AO1145))</f>
        <v/>
      </c>
      <c r="I1167" s="3">
        <f>IF('ORDENES'!$A1145="","",IF('ORDENES'!$D1145="","-",'ORDENES'!$D1145))</f>
        <v/>
      </c>
      <c r="J1167" s="3">
        <f>IF('ORDENES'!$A1145="","",IF('ORDENES'!$E1145="","-",'ORDENES'!$E1145))</f>
        <v/>
      </c>
      <c r="K1167" s="12">
        <f>IF('ORDENES'!$A1145="","",IF('ORDENES'!$N1145="",0,'ORDENES'!$N1145))</f>
        <v/>
      </c>
      <c r="L1167" s="3">
        <f>IF('ORDENES'!$A1145="","",IF('ORDENES'!$O1145="","-",'ORDENES'!$O1145))</f>
        <v/>
      </c>
      <c r="M1167" s="3">
        <f>IF('ORDENES'!$A1145="","",'ORDENES'!$AB1145)</f>
        <v/>
      </c>
    </row>
    <row r="1168">
      <c r="A1168" s="3">
        <f>IF('ORDENES'!$A1146="","",IF('ORDENES'!$P1146="","-",'ORDENES'!$P1146))</f>
        <v/>
      </c>
      <c r="B1168" s="3">
        <f>IF('ORDENES'!$A1146="","",IF('ORDENES'!$S1146="","-",'ORDENES'!$S1146))</f>
        <v/>
      </c>
      <c r="C1168" s="3">
        <f>IF('ORDENES'!$A1146="","",IF('ORDENES'!$AD1146="","-",'ORDENES'!$AD1146))</f>
        <v/>
      </c>
      <c r="D1168" s="3">
        <f>IF('ORDENES'!$A1146="","",IF('ORDENES'!$W1146="","-",'ORDENES'!$W1146))</f>
        <v/>
      </c>
      <c r="E1168" s="3">
        <f>IF('ORDENES'!$A1146="","",IF('ORDENES'!$V1146="","-",'ORDENES'!$V1146))</f>
        <v/>
      </c>
      <c r="F1168" s="3">
        <f>IF('ORDENES'!$A1146="","",IF('ORDENES'!$X1146="","-",'ORDENES'!$X1146))</f>
        <v/>
      </c>
      <c r="G1168" s="3">
        <f>IF('ORDENES'!$A1146="","",IF('ORDENES'!$AC1146="","-",'ORDENES'!$AC1146))</f>
        <v/>
      </c>
      <c r="H1168" s="3">
        <f>IF('ORDENES'!$A1146="","",IF('ORDENES'!$AO1146="","-",'ORDENES'!$AO1146))</f>
        <v/>
      </c>
      <c r="I1168" s="3">
        <f>IF('ORDENES'!$A1146="","",IF('ORDENES'!$D1146="","-",'ORDENES'!$D1146))</f>
        <v/>
      </c>
      <c r="J1168" s="3">
        <f>IF('ORDENES'!$A1146="","",IF('ORDENES'!$E1146="","-",'ORDENES'!$E1146))</f>
        <v/>
      </c>
      <c r="K1168" s="12">
        <f>IF('ORDENES'!$A1146="","",IF('ORDENES'!$N1146="",0,'ORDENES'!$N1146))</f>
        <v/>
      </c>
      <c r="L1168" s="3">
        <f>IF('ORDENES'!$A1146="","",IF('ORDENES'!$O1146="","-",'ORDENES'!$O1146))</f>
        <v/>
      </c>
      <c r="M1168" s="3">
        <f>IF('ORDENES'!$A1146="","",'ORDENES'!$AB1146)</f>
        <v/>
      </c>
    </row>
    <row r="1169">
      <c r="A1169" s="3">
        <f>IF('ORDENES'!$A1147="","",IF('ORDENES'!$P1147="","-",'ORDENES'!$P1147))</f>
        <v/>
      </c>
      <c r="B1169" s="3">
        <f>IF('ORDENES'!$A1147="","",IF('ORDENES'!$S1147="","-",'ORDENES'!$S1147))</f>
        <v/>
      </c>
      <c r="C1169" s="3">
        <f>IF('ORDENES'!$A1147="","",IF('ORDENES'!$AD1147="","-",'ORDENES'!$AD1147))</f>
        <v/>
      </c>
      <c r="D1169" s="3">
        <f>IF('ORDENES'!$A1147="","",IF('ORDENES'!$W1147="","-",'ORDENES'!$W1147))</f>
        <v/>
      </c>
      <c r="E1169" s="3">
        <f>IF('ORDENES'!$A1147="","",IF('ORDENES'!$V1147="","-",'ORDENES'!$V1147))</f>
        <v/>
      </c>
      <c r="F1169" s="3">
        <f>IF('ORDENES'!$A1147="","",IF('ORDENES'!$X1147="","-",'ORDENES'!$X1147))</f>
        <v/>
      </c>
      <c r="G1169" s="3">
        <f>IF('ORDENES'!$A1147="","",IF('ORDENES'!$AC1147="","-",'ORDENES'!$AC1147))</f>
        <v/>
      </c>
      <c r="H1169" s="3">
        <f>IF('ORDENES'!$A1147="","",IF('ORDENES'!$AO1147="","-",'ORDENES'!$AO1147))</f>
        <v/>
      </c>
      <c r="I1169" s="3">
        <f>IF('ORDENES'!$A1147="","",IF('ORDENES'!$D1147="","-",'ORDENES'!$D1147))</f>
        <v/>
      </c>
      <c r="J1169" s="3">
        <f>IF('ORDENES'!$A1147="","",IF('ORDENES'!$E1147="","-",'ORDENES'!$E1147))</f>
        <v/>
      </c>
      <c r="K1169" s="12">
        <f>IF('ORDENES'!$A1147="","",IF('ORDENES'!$N1147="",0,'ORDENES'!$N1147))</f>
        <v/>
      </c>
      <c r="L1169" s="3">
        <f>IF('ORDENES'!$A1147="","",IF('ORDENES'!$O1147="","-",'ORDENES'!$O1147))</f>
        <v/>
      </c>
      <c r="M1169" s="3">
        <f>IF('ORDENES'!$A1147="","",'ORDENES'!$AB1147)</f>
        <v/>
      </c>
    </row>
    <row r="1170">
      <c r="A1170" s="3">
        <f>IF('ORDENES'!$A1148="","",IF('ORDENES'!$P1148="","-",'ORDENES'!$P1148))</f>
        <v/>
      </c>
      <c r="B1170" s="3">
        <f>IF('ORDENES'!$A1148="","",IF('ORDENES'!$S1148="","-",'ORDENES'!$S1148))</f>
        <v/>
      </c>
      <c r="C1170" s="3">
        <f>IF('ORDENES'!$A1148="","",IF('ORDENES'!$AD1148="","-",'ORDENES'!$AD1148))</f>
        <v/>
      </c>
      <c r="D1170" s="3">
        <f>IF('ORDENES'!$A1148="","",IF('ORDENES'!$W1148="","-",'ORDENES'!$W1148))</f>
        <v/>
      </c>
      <c r="E1170" s="3">
        <f>IF('ORDENES'!$A1148="","",IF('ORDENES'!$V1148="","-",'ORDENES'!$V1148))</f>
        <v/>
      </c>
      <c r="F1170" s="3">
        <f>IF('ORDENES'!$A1148="","",IF('ORDENES'!$X1148="","-",'ORDENES'!$X1148))</f>
        <v/>
      </c>
      <c r="G1170" s="3">
        <f>IF('ORDENES'!$A1148="","",IF('ORDENES'!$AC1148="","-",'ORDENES'!$AC1148))</f>
        <v/>
      </c>
      <c r="H1170" s="3">
        <f>IF('ORDENES'!$A1148="","",IF('ORDENES'!$AO1148="","-",'ORDENES'!$AO1148))</f>
        <v/>
      </c>
      <c r="I1170" s="3">
        <f>IF('ORDENES'!$A1148="","",IF('ORDENES'!$D1148="","-",'ORDENES'!$D1148))</f>
        <v/>
      </c>
      <c r="J1170" s="3">
        <f>IF('ORDENES'!$A1148="","",IF('ORDENES'!$E1148="","-",'ORDENES'!$E1148))</f>
        <v/>
      </c>
      <c r="K1170" s="12">
        <f>IF('ORDENES'!$A1148="","",IF('ORDENES'!$N1148="",0,'ORDENES'!$N1148))</f>
        <v/>
      </c>
      <c r="L1170" s="3">
        <f>IF('ORDENES'!$A1148="","",IF('ORDENES'!$O1148="","-",'ORDENES'!$O1148))</f>
        <v/>
      </c>
      <c r="M1170" s="3">
        <f>IF('ORDENES'!$A1148="","",'ORDENES'!$AB1148)</f>
        <v/>
      </c>
    </row>
    <row r="1171">
      <c r="A1171" s="3">
        <f>IF('ORDENES'!$A1149="","",IF('ORDENES'!$P1149="","-",'ORDENES'!$P1149))</f>
        <v/>
      </c>
      <c r="B1171" s="3">
        <f>IF('ORDENES'!$A1149="","",IF('ORDENES'!$S1149="","-",'ORDENES'!$S1149))</f>
        <v/>
      </c>
      <c r="C1171" s="3">
        <f>IF('ORDENES'!$A1149="","",IF('ORDENES'!$AD1149="","-",'ORDENES'!$AD1149))</f>
        <v/>
      </c>
      <c r="D1171" s="3">
        <f>IF('ORDENES'!$A1149="","",IF('ORDENES'!$W1149="","-",'ORDENES'!$W1149))</f>
        <v/>
      </c>
      <c r="E1171" s="3">
        <f>IF('ORDENES'!$A1149="","",IF('ORDENES'!$V1149="","-",'ORDENES'!$V1149))</f>
        <v/>
      </c>
      <c r="F1171" s="3">
        <f>IF('ORDENES'!$A1149="","",IF('ORDENES'!$X1149="","-",'ORDENES'!$X1149))</f>
        <v/>
      </c>
      <c r="G1171" s="3">
        <f>IF('ORDENES'!$A1149="","",IF('ORDENES'!$AC1149="","-",'ORDENES'!$AC1149))</f>
        <v/>
      </c>
      <c r="H1171" s="3">
        <f>IF('ORDENES'!$A1149="","",IF('ORDENES'!$AO1149="","-",'ORDENES'!$AO1149))</f>
        <v/>
      </c>
      <c r="I1171" s="3">
        <f>IF('ORDENES'!$A1149="","",IF('ORDENES'!$D1149="","-",'ORDENES'!$D1149))</f>
        <v/>
      </c>
      <c r="J1171" s="3">
        <f>IF('ORDENES'!$A1149="","",IF('ORDENES'!$E1149="","-",'ORDENES'!$E1149))</f>
        <v/>
      </c>
      <c r="K1171" s="12">
        <f>IF('ORDENES'!$A1149="","",IF('ORDENES'!$N1149="",0,'ORDENES'!$N1149))</f>
        <v/>
      </c>
      <c r="L1171" s="3">
        <f>IF('ORDENES'!$A1149="","",IF('ORDENES'!$O1149="","-",'ORDENES'!$O1149))</f>
        <v/>
      </c>
      <c r="M1171" s="3">
        <f>IF('ORDENES'!$A1149="","",'ORDENES'!$AB1149)</f>
        <v/>
      </c>
    </row>
    <row r="1172">
      <c r="A1172" s="3">
        <f>IF('ORDENES'!$A1150="","",IF('ORDENES'!$P1150="","-",'ORDENES'!$P1150))</f>
        <v/>
      </c>
      <c r="B1172" s="3">
        <f>IF('ORDENES'!$A1150="","",IF('ORDENES'!$S1150="","-",'ORDENES'!$S1150))</f>
        <v/>
      </c>
      <c r="C1172" s="3">
        <f>IF('ORDENES'!$A1150="","",IF('ORDENES'!$AD1150="","-",'ORDENES'!$AD1150))</f>
        <v/>
      </c>
      <c r="D1172" s="3">
        <f>IF('ORDENES'!$A1150="","",IF('ORDENES'!$W1150="","-",'ORDENES'!$W1150))</f>
        <v/>
      </c>
      <c r="E1172" s="3">
        <f>IF('ORDENES'!$A1150="","",IF('ORDENES'!$V1150="","-",'ORDENES'!$V1150))</f>
        <v/>
      </c>
      <c r="F1172" s="3">
        <f>IF('ORDENES'!$A1150="","",IF('ORDENES'!$X1150="","-",'ORDENES'!$X1150))</f>
        <v/>
      </c>
      <c r="G1172" s="3">
        <f>IF('ORDENES'!$A1150="","",IF('ORDENES'!$AC1150="","-",'ORDENES'!$AC1150))</f>
        <v/>
      </c>
      <c r="H1172" s="3">
        <f>IF('ORDENES'!$A1150="","",IF('ORDENES'!$AO1150="","-",'ORDENES'!$AO1150))</f>
        <v/>
      </c>
      <c r="I1172" s="3">
        <f>IF('ORDENES'!$A1150="","",IF('ORDENES'!$D1150="","-",'ORDENES'!$D1150))</f>
        <v/>
      </c>
      <c r="J1172" s="3">
        <f>IF('ORDENES'!$A1150="","",IF('ORDENES'!$E1150="","-",'ORDENES'!$E1150))</f>
        <v/>
      </c>
      <c r="K1172" s="12">
        <f>IF('ORDENES'!$A1150="","",IF('ORDENES'!$N1150="",0,'ORDENES'!$N1150))</f>
        <v/>
      </c>
      <c r="L1172" s="3">
        <f>IF('ORDENES'!$A1150="","",IF('ORDENES'!$O1150="","-",'ORDENES'!$O1150))</f>
        <v/>
      </c>
      <c r="M1172" s="3">
        <f>IF('ORDENES'!$A1150="","",'ORDENES'!$AB1150)</f>
        <v/>
      </c>
    </row>
    <row r="1173">
      <c r="A1173" s="3">
        <f>IF('ORDENES'!$A1151="","",IF('ORDENES'!$P1151="","-",'ORDENES'!$P1151))</f>
        <v/>
      </c>
      <c r="B1173" s="3">
        <f>IF('ORDENES'!$A1151="","",IF('ORDENES'!$S1151="","-",'ORDENES'!$S1151))</f>
        <v/>
      </c>
      <c r="C1173" s="3">
        <f>IF('ORDENES'!$A1151="","",IF('ORDENES'!$AD1151="","-",'ORDENES'!$AD1151))</f>
        <v/>
      </c>
      <c r="D1173" s="3">
        <f>IF('ORDENES'!$A1151="","",IF('ORDENES'!$W1151="","-",'ORDENES'!$W1151))</f>
        <v/>
      </c>
      <c r="E1173" s="3">
        <f>IF('ORDENES'!$A1151="","",IF('ORDENES'!$V1151="","-",'ORDENES'!$V1151))</f>
        <v/>
      </c>
      <c r="F1173" s="3">
        <f>IF('ORDENES'!$A1151="","",IF('ORDENES'!$X1151="","-",'ORDENES'!$X1151))</f>
        <v/>
      </c>
      <c r="G1173" s="3">
        <f>IF('ORDENES'!$A1151="","",IF('ORDENES'!$AC1151="","-",'ORDENES'!$AC1151))</f>
        <v/>
      </c>
      <c r="H1173" s="3">
        <f>IF('ORDENES'!$A1151="","",IF('ORDENES'!$AO1151="","-",'ORDENES'!$AO1151))</f>
        <v/>
      </c>
      <c r="I1173" s="3">
        <f>IF('ORDENES'!$A1151="","",IF('ORDENES'!$D1151="","-",'ORDENES'!$D1151))</f>
        <v/>
      </c>
      <c r="J1173" s="3">
        <f>IF('ORDENES'!$A1151="","",IF('ORDENES'!$E1151="","-",'ORDENES'!$E1151))</f>
        <v/>
      </c>
      <c r="K1173" s="12">
        <f>IF('ORDENES'!$A1151="","",IF('ORDENES'!$N1151="",0,'ORDENES'!$N1151))</f>
        <v/>
      </c>
      <c r="L1173" s="3">
        <f>IF('ORDENES'!$A1151="","",IF('ORDENES'!$O1151="","-",'ORDENES'!$O1151))</f>
        <v/>
      </c>
      <c r="M1173" s="3">
        <f>IF('ORDENES'!$A1151="","",'ORDENES'!$AB1151)</f>
        <v/>
      </c>
    </row>
    <row r="1174">
      <c r="A1174" s="3">
        <f>IF('ORDENES'!$A1152="","",IF('ORDENES'!$P1152="","-",'ORDENES'!$P1152))</f>
        <v/>
      </c>
      <c r="B1174" s="3">
        <f>IF('ORDENES'!$A1152="","",IF('ORDENES'!$S1152="","-",'ORDENES'!$S1152))</f>
        <v/>
      </c>
      <c r="C1174" s="3">
        <f>IF('ORDENES'!$A1152="","",IF('ORDENES'!$AD1152="","-",'ORDENES'!$AD1152))</f>
        <v/>
      </c>
      <c r="D1174" s="3">
        <f>IF('ORDENES'!$A1152="","",IF('ORDENES'!$W1152="","-",'ORDENES'!$W1152))</f>
        <v/>
      </c>
      <c r="E1174" s="3">
        <f>IF('ORDENES'!$A1152="","",IF('ORDENES'!$V1152="","-",'ORDENES'!$V1152))</f>
        <v/>
      </c>
      <c r="F1174" s="3">
        <f>IF('ORDENES'!$A1152="","",IF('ORDENES'!$X1152="","-",'ORDENES'!$X1152))</f>
        <v/>
      </c>
      <c r="G1174" s="3">
        <f>IF('ORDENES'!$A1152="","",IF('ORDENES'!$AC1152="","-",'ORDENES'!$AC1152))</f>
        <v/>
      </c>
      <c r="H1174" s="3">
        <f>IF('ORDENES'!$A1152="","",IF('ORDENES'!$AO1152="","-",'ORDENES'!$AO1152))</f>
        <v/>
      </c>
      <c r="I1174" s="3">
        <f>IF('ORDENES'!$A1152="","",IF('ORDENES'!$D1152="","-",'ORDENES'!$D1152))</f>
        <v/>
      </c>
      <c r="J1174" s="3">
        <f>IF('ORDENES'!$A1152="","",IF('ORDENES'!$E1152="","-",'ORDENES'!$E1152))</f>
        <v/>
      </c>
      <c r="K1174" s="12">
        <f>IF('ORDENES'!$A1152="","",IF('ORDENES'!$N1152="",0,'ORDENES'!$N1152))</f>
        <v/>
      </c>
      <c r="L1174" s="3">
        <f>IF('ORDENES'!$A1152="","",IF('ORDENES'!$O1152="","-",'ORDENES'!$O1152))</f>
        <v/>
      </c>
      <c r="M1174" s="3">
        <f>IF('ORDENES'!$A1152="","",'ORDENES'!$AB1152)</f>
        <v/>
      </c>
    </row>
    <row r="1175">
      <c r="A1175" s="3">
        <f>IF('ORDENES'!$A1153="","",IF('ORDENES'!$P1153="","-",'ORDENES'!$P1153))</f>
        <v/>
      </c>
      <c r="B1175" s="3">
        <f>IF('ORDENES'!$A1153="","",IF('ORDENES'!$S1153="","-",'ORDENES'!$S1153))</f>
        <v/>
      </c>
      <c r="C1175" s="3">
        <f>IF('ORDENES'!$A1153="","",IF('ORDENES'!$AD1153="","-",'ORDENES'!$AD1153))</f>
        <v/>
      </c>
      <c r="D1175" s="3">
        <f>IF('ORDENES'!$A1153="","",IF('ORDENES'!$W1153="","-",'ORDENES'!$W1153))</f>
        <v/>
      </c>
      <c r="E1175" s="3">
        <f>IF('ORDENES'!$A1153="","",IF('ORDENES'!$V1153="","-",'ORDENES'!$V1153))</f>
        <v/>
      </c>
      <c r="F1175" s="3">
        <f>IF('ORDENES'!$A1153="","",IF('ORDENES'!$X1153="","-",'ORDENES'!$X1153))</f>
        <v/>
      </c>
      <c r="G1175" s="3">
        <f>IF('ORDENES'!$A1153="","",IF('ORDENES'!$AC1153="","-",'ORDENES'!$AC1153))</f>
        <v/>
      </c>
      <c r="H1175" s="3">
        <f>IF('ORDENES'!$A1153="","",IF('ORDENES'!$AO1153="","-",'ORDENES'!$AO1153))</f>
        <v/>
      </c>
      <c r="I1175" s="3">
        <f>IF('ORDENES'!$A1153="","",IF('ORDENES'!$D1153="","-",'ORDENES'!$D1153))</f>
        <v/>
      </c>
      <c r="J1175" s="3">
        <f>IF('ORDENES'!$A1153="","",IF('ORDENES'!$E1153="","-",'ORDENES'!$E1153))</f>
        <v/>
      </c>
      <c r="K1175" s="12">
        <f>IF('ORDENES'!$A1153="","",IF('ORDENES'!$N1153="",0,'ORDENES'!$N1153))</f>
        <v/>
      </c>
      <c r="L1175" s="3">
        <f>IF('ORDENES'!$A1153="","",IF('ORDENES'!$O1153="","-",'ORDENES'!$O1153))</f>
        <v/>
      </c>
      <c r="M1175" s="3">
        <f>IF('ORDENES'!$A1153="","",'ORDENES'!$AB1153)</f>
        <v/>
      </c>
    </row>
    <row r="1176">
      <c r="A1176" s="3">
        <f>IF('ORDENES'!$A1154="","",IF('ORDENES'!$P1154="","-",'ORDENES'!$P1154))</f>
        <v/>
      </c>
      <c r="B1176" s="3">
        <f>IF('ORDENES'!$A1154="","",IF('ORDENES'!$S1154="","-",'ORDENES'!$S1154))</f>
        <v/>
      </c>
      <c r="C1176" s="3">
        <f>IF('ORDENES'!$A1154="","",IF('ORDENES'!$AD1154="","-",'ORDENES'!$AD1154))</f>
        <v/>
      </c>
      <c r="D1176" s="3">
        <f>IF('ORDENES'!$A1154="","",IF('ORDENES'!$W1154="","-",'ORDENES'!$W1154))</f>
        <v/>
      </c>
      <c r="E1176" s="3">
        <f>IF('ORDENES'!$A1154="","",IF('ORDENES'!$V1154="","-",'ORDENES'!$V1154))</f>
        <v/>
      </c>
      <c r="F1176" s="3">
        <f>IF('ORDENES'!$A1154="","",IF('ORDENES'!$X1154="","-",'ORDENES'!$X1154))</f>
        <v/>
      </c>
      <c r="G1176" s="3">
        <f>IF('ORDENES'!$A1154="","",IF('ORDENES'!$AC1154="","-",'ORDENES'!$AC1154))</f>
        <v/>
      </c>
      <c r="H1176" s="3">
        <f>IF('ORDENES'!$A1154="","",IF('ORDENES'!$AO1154="","-",'ORDENES'!$AO1154))</f>
        <v/>
      </c>
      <c r="I1176" s="3">
        <f>IF('ORDENES'!$A1154="","",IF('ORDENES'!$D1154="","-",'ORDENES'!$D1154))</f>
        <v/>
      </c>
      <c r="J1176" s="3">
        <f>IF('ORDENES'!$A1154="","",IF('ORDENES'!$E1154="","-",'ORDENES'!$E1154))</f>
        <v/>
      </c>
      <c r="K1176" s="12">
        <f>IF('ORDENES'!$A1154="","",IF('ORDENES'!$N1154="",0,'ORDENES'!$N1154))</f>
        <v/>
      </c>
      <c r="L1176" s="3">
        <f>IF('ORDENES'!$A1154="","",IF('ORDENES'!$O1154="","-",'ORDENES'!$O1154))</f>
        <v/>
      </c>
      <c r="M1176" s="3">
        <f>IF('ORDENES'!$A1154="","",'ORDENES'!$AB1154)</f>
        <v/>
      </c>
    </row>
    <row r="1177">
      <c r="A1177" s="3">
        <f>IF('ORDENES'!$A1155="","",IF('ORDENES'!$P1155="","-",'ORDENES'!$P1155))</f>
        <v/>
      </c>
      <c r="B1177" s="3">
        <f>IF('ORDENES'!$A1155="","",IF('ORDENES'!$S1155="","-",'ORDENES'!$S1155))</f>
        <v/>
      </c>
      <c r="C1177" s="3">
        <f>IF('ORDENES'!$A1155="","",IF('ORDENES'!$AD1155="","-",'ORDENES'!$AD1155))</f>
        <v/>
      </c>
      <c r="D1177" s="3">
        <f>IF('ORDENES'!$A1155="","",IF('ORDENES'!$W1155="","-",'ORDENES'!$W1155))</f>
        <v/>
      </c>
      <c r="E1177" s="3">
        <f>IF('ORDENES'!$A1155="","",IF('ORDENES'!$V1155="","-",'ORDENES'!$V1155))</f>
        <v/>
      </c>
      <c r="F1177" s="3">
        <f>IF('ORDENES'!$A1155="","",IF('ORDENES'!$X1155="","-",'ORDENES'!$X1155))</f>
        <v/>
      </c>
      <c r="G1177" s="3">
        <f>IF('ORDENES'!$A1155="","",IF('ORDENES'!$AC1155="","-",'ORDENES'!$AC1155))</f>
        <v/>
      </c>
      <c r="H1177" s="3">
        <f>IF('ORDENES'!$A1155="","",IF('ORDENES'!$AO1155="","-",'ORDENES'!$AO1155))</f>
        <v/>
      </c>
      <c r="I1177" s="3">
        <f>IF('ORDENES'!$A1155="","",IF('ORDENES'!$D1155="","-",'ORDENES'!$D1155))</f>
        <v/>
      </c>
      <c r="J1177" s="3">
        <f>IF('ORDENES'!$A1155="","",IF('ORDENES'!$E1155="","-",'ORDENES'!$E1155))</f>
        <v/>
      </c>
      <c r="K1177" s="12">
        <f>IF('ORDENES'!$A1155="","",IF('ORDENES'!$N1155="",0,'ORDENES'!$N1155))</f>
        <v/>
      </c>
      <c r="L1177" s="3">
        <f>IF('ORDENES'!$A1155="","",IF('ORDENES'!$O1155="","-",'ORDENES'!$O1155))</f>
        <v/>
      </c>
      <c r="M1177" s="3">
        <f>IF('ORDENES'!$A1155="","",'ORDENES'!$AB1155)</f>
        <v/>
      </c>
    </row>
    <row r="1178">
      <c r="A1178" s="3">
        <f>IF('ORDENES'!$A1156="","",IF('ORDENES'!$P1156="","-",'ORDENES'!$P1156))</f>
        <v/>
      </c>
      <c r="B1178" s="3">
        <f>IF('ORDENES'!$A1156="","",IF('ORDENES'!$S1156="","-",'ORDENES'!$S1156))</f>
        <v/>
      </c>
      <c r="C1178" s="3">
        <f>IF('ORDENES'!$A1156="","",IF('ORDENES'!$AD1156="","-",'ORDENES'!$AD1156))</f>
        <v/>
      </c>
      <c r="D1178" s="3">
        <f>IF('ORDENES'!$A1156="","",IF('ORDENES'!$W1156="","-",'ORDENES'!$W1156))</f>
        <v/>
      </c>
      <c r="E1178" s="3">
        <f>IF('ORDENES'!$A1156="","",IF('ORDENES'!$V1156="","-",'ORDENES'!$V1156))</f>
        <v/>
      </c>
      <c r="F1178" s="3">
        <f>IF('ORDENES'!$A1156="","",IF('ORDENES'!$X1156="","-",'ORDENES'!$X1156))</f>
        <v/>
      </c>
      <c r="G1178" s="3">
        <f>IF('ORDENES'!$A1156="","",IF('ORDENES'!$AC1156="","-",'ORDENES'!$AC1156))</f>
        <v/>
      </c>
      <c r="H1178" s="3">
        <f>IF('ORDENES'!$A1156="","",IF('ORDENES'!$AO1156="","-",'ORDENES'!$AO1156))</f>
        <v/>
      </c>
      <c r="I1178" s="3">
        <f>IF('ORDENES'!$A1156="","",IF('ORDENES'!$D1156="","-",'ORDENES'!$D1156))</f>
        <v/>
      </c>
      <c r="J1178" s="3">
        <f>IF('ORDENES'!$A1156="","",IF('ORDENES'!$E1156="","-",'ORDENES'!$E1156))</f>
        <v/>
      </c>
      <c r="K1178" s="12">
        <f>IF('ORDENES'!$A1156="","",IF('ORDENES'!$N1156="",0,'ORDENES'!$N1156))</f>
        <v/>
      </c>
      <c r="L1178" s="3">
        <f>IF('ORDENES'!$A1156="","",IF('ORDENES'!$O1156="","-",'ORDENES'!$O1156))</f>
        <v/>
      </c>
      <c r="M1178" s="3">
        <f>IF('ORDENES'!$A1156="","",'ORDENES'!$AB1156)</f>
        <v/>
      </c>
    </row>
    <row r="1179">
      <c r="A1179" s="3">
        <f>IF('ORDENES'!$A1157="","",IF('ORDENES'!$P1157="","-",'ORDENES'!$P1157))</f>
        <v/>
      </c>
      <c r="B1179" s="3">
        <f>IF('ORDENES'!$A1157="","",IF('ORDENES'!$S1157="","-",'ORDENES'!$S1157))</f>
        <v/>
      </c>
      <c r="C1179" s="3">
        <f>IF('ORDENES'!$A1157="","",IF('ORDENES'!$AD1157="","-",'ORDENES'!$AD1157))</f>
        <v/>
      </c>
      <c r="D1179" s="3">
        <f>IF('ORDENES'!$A1157="","",IF('ORDENES'!$W1157="","-",'ORDENES'!$W1157))</f>
        <v/>
      </c>
      <c r="E1179" s="3">
        <f>IF('ORDENES'!$A1157="","",IF('ORDENES'!$V1157="","-",'ORDENES'!$V1157))</f>
        <v/>
      </c>
      <c r="F1179" s="3">
        <f>IF('ORDENES'!$A1157="","",IF('ORDENES'!$X1157="","-",'ORDENES'!$X1157))</f>
        <v/>
      </c>
      <c r="G1179" s="3">
        <f>IF('ORDENES'!$A1157="","",IF('ORDENES'!$AC1157="","-",'ORDENES'!$AC1157))</f>
        <v/>
      </c>
      <c r="H1179" s="3">
        <f>IF('ORDENES'!$A1157="","",IF('ORDENES'!$AO1157="","-",'ORDENES'!$AO1157))</f>
        <v/>
      </c>
      <c r="I1179" s="3">
        <f>IF('ORDENES'!$A1157="","",IF('ORDENES'!$D1157="","-",'ORDENES'!$D1157))</f>
        <v/>
      </c>
      <c r="J1179" s="3">
        <f>IF('ORDENES'!$A1157="","",IF('ORDENES'!$E1157="","-",'ORDENES'!$E1157))</f>
        <v/>
      </c>
      <c r="K1179" s="12">
        <f>IF('ORDENES'!$A1157="","",IF('ORDENES'!$N1157="",0,'ORDENES'!$N1157))</f>
        <v/>
      </c>
      <c r="L1179" s="3">
        <f>IF('ORDENES'!$A1157="","",IF('ORDENES'!$O1157="","-",'ORDENES'!$O1157))</f>
        <v/>
      </c>
      <c r="M1179" s="3">
        <f>IF('ORDENES'!$A1157="","",'ORDENES'!$AB1157)</f>
        <v/>
      </c>
    </row>
    <row r="1180">
      <c r="A1180" s="3">
        <f>IF('ORDENES'!$A1158="","",IF('ORDENES'!$P1158="","-",'ORDENES'!$P1158))</f>
        <v/>
      </c>
      <c r="B1180" s="3">
        <f>IF('ORDENES'!$A1158="","",IF('ORDENES'!$S1158="","-",'ORDENES'!$S1158))</f>
        <v/>
      </c>
      <c r="C1180" s="3">
        <f>IF('ORDENES'!$A1158="","",IF('ORDENES'!$AD1158="","-",'ORDENES'!$AD1158))</f>
        <v/>
      </c>
      <c r="D1180" s="3">
        <f>IF('ORDENES'!$A1158="","",IF('ORDENES'!$W1158="","-",'ORDENES'!$W1158))</f>
        <v/>
      </c>
      <c r="E1180" s="3">
        <f>IF('ORDENES'!$A1158="","",IF('ORDENES'!$V1158="","-",'ORDENES'!$V1158))</f>
        <v/>
      </c>
      <c r="F1180" s="3">
        <f>IF('ORDENES'!$A1158="","",IF('ORDENES'!$X1158="","-",'ORDENES'!$X1158))</f>
        <v/>
      </c>
      <c r="G1180" s="3">
        <f>IF('ORDENES'!$A1158="","",IF('ORDENES'!$AC1158="","-",'ORDENES'!$AC1158))</f>
        <v/>
      </c>
      <c r="H1180" s="3">
        <f>IF('ORDENES'!$A1158="","",IF('ORDENES'!$AO1158="","-",'ORDENES'!$AO1158))</f>
        <v/>
      </c>
      <c r="I1180" s="3">
        <f>IF('ORDENES'!$A1158="","",IF('ORDENES'!$D1158="","-",'ORDENES'!$D1158))</f>
        <v/>
      </c>
      <c r="J1180" s="3">
        <f>IF('ORDENES'!$A1158="","",IF('ORDENES'!$E1158="","-",'ORDENES'!$E1158))</f>
        <v/>
      </c>
      <c r="K1180" s="12">
        <f>IF('ORDENES'!$A1158="","",IF('ORDENES'!$N1158="",0,'ORDENES'!$N1158))</f>
        <v/>
      </c>
      <c r="L1180" s="3">
        <f>IF('ORDENES'!$A1158="","",IF('ORDENES'!$O1158="","-",'ORDENES'!$O1158))</f>
        <v/>
      </c>
      <c r="M1180" s="3">
        <f>IF('ORDENES'!$A1158="","",'ORDENES'!$AB1158)</f>
        <v/>
      </c>
    </row>
    <row r="1181">
      <c r="A1181" s="3">
        <f>IF('ORDENES'!$A1159="","",IF('ORDENES'!$P1159="","-",'ORDENES'!$P1159))</f>
        <v/>
      </c>
      <c r="B1181" s="3">
        <f>IF('ORDENES'!$A1159="","",IF('ORDENES'!$S1159="","-",'ORDENES'!$S1159))</f>
        <v/>
      </c>
      <c r="C1181" s="3">
        <f>IF('ORDENES'!$A1159="","",IF('ORDENES'!$AD1159="","-",'ORDENES'!$AD1159))</f>
        <v/>
      </c>
      <c r="D1181" s="3">
        <f>IF('ORDENES'!$A1159="","",IF('ORDENES'!$W1159="","-",'ORDENES'!$W1159))</f>
        <v/>
      </c>
      <c r="E1181" s="3">
        <f>IF('ORDENES'!$A1159="","",IF('ORDENES'!$V1159="","-",'ORDENES'!$V1159))</f>
        <v/>
      </c>
      <c r="F1181" s="3">
        <f>IF('ORDENES'!$A1159="","",IF('ORDENES'!$X1159="","-",'ORDENES'!$X1159))</f>
        <v/>
      </c>
      <c r="G1181" s="3">
        <f>IF('ORDENES'!$A1159="","",IF('ORDENES'!$AC1159="","-",'ORDENES'!$AC1159))</f>
        <v/>
      </c>
      <c r="H1181" s="3">
        <f>IF('ORDENES'!$A1159="","",IF('ORDENES'!$AO1159="","-",'ORDENES'!$AO1159))</f>
        <v/>
      </c>
      <c r="I1181" s="3">
        <f>IF('ORDENES'!$A1159="","",IF('ORDENES'!$D1159="","-",'ORDENES'!$D1159))</f>
        <v/>
      </c>
      <c r="J1181" s="3">
        <f>IF('ORDENES'!$A1159="","",IF('ORDENES'!$E1159="","-",'ORDENES'!$E1159))</f>
        <v/>
      </c>
      <c r="K1181" s="12">
        <f>IF('ORDENES'!$A1159="","",IF('ORDENES'!$N1159="",0,'ORDENES'!$N1159))</f>
        <v/>
      </c>
      <c r="L1181" s="3">
        <f>IF('ORDENES'!$A1159="","",IF('ORDENES'!$O1159="","-",'ORDENES'!$O1159))</f>
        <v/>
      </c>
      <c r="M1181" s="3">
        <f>IF('ORDENES'!$A1159="","",'ORDENES'!$AB1159)</f>
        <v/>
      </c>
    </row>
    <row r="1182">
      <c r="A1182" s="3">
        <f>IF('ORDENES'!$A1160="","",IF('ORDENES'!$P1160="","-",'ORDENES'!$P1160))</f>
        <v/>
      </c>
      <c r="B1182" s="3">
        <f>IF('ORDENES'!$A1160="","",IF('ORDENES'!$S1160="","-",'ORDENES'!$S1160))</f>
        <v/>
      </c>
      <c r="C1182" s="3">
        <f>IF('ORDENES'!$A1160="","",IF('ORDENES'!$AD1160="","-",'ORDENES'!$AD1160))</f>
        <v/>
      </c>
      <c r="D1182" s="3">
        <f>IF('ORDENES'!$A1160="","",IF('ORDENES'!$W1160="","-",'ORDENES'!$W1160))</f>
        <v/>
      </c>
      <c r="E1182" s="3">
        <f>IF('ORDENES'!$A1160="","",IF('ORDENES'!$V1160="","-",'ORDENES'!$V1160))</f>
        <v/>
      </c>
      <c r="F1182" s="3">
        <f>IF('ORDENES'!$A1160="","",IF('ORDENES'!$X1160="","-",'ORDENES'!$X1160))</f>
        <v/>
      </c>
      <c r="G1182" s="3">
        <f>IF('ORDENES'!$A1160="","",IF('ORDENES'!$AC1160="","-",'ORDENES'!$AC1160))</f>
        <v/>
      </c>
      <c r="H1182" s="3">
        <f>IF('ORDENES'!$A1160="","",IF('ORDENES'!$AO1160="","-",'ORDENES'!$AO1160))</f>
        <v/>
      </c>
      <c r="I1182" s="3">
        <f>IF('ORDENES'!$A1160="","",IF('ORDENES'!$D1160="","-",'ORDENES'!$D1160))</f>
        <v/>
      </c>
      <c r="J1182" s="3">
        <f>IF('ORDENES'!$A1160="","",IF('ORDENES'!$E1160="","-",'ORDENES'!$E1160))</f>
        <v/>
      </c>
      <c r="K1182" s="12">
        <f>IF('ORDENES'!$A1160="","",IF('ORDENES'!$N1160="",0,'ORDENES'!$N1160))</f>
        <v/>
      </c>
      <c r="L1182" s="3">
        <f>IF('ORDENES'!$A1160="","",IF('ORDENES'!$O1160="","-",'ORDENES'!$O1160))</f>
        <v/>
      </c>
      <c r="M1182" s="3">
        <f>IF('ORDENES'!$A1160="","",'ORDENES'!$AB1160)</f>
        <v/>
      </c>
    </row>
    <row r="1183">
      <c r="A1183" s="3">
        <f>IF('ORDENES'!$A1161="","",IF('ORDENES'!$P1161="","-",'ORDENES'!$P1161))</f>
        <v/>
      </c>
      <c r="B1183" s="3">
        <f>IF('ORDENES'!$A1161="","",IF('ORDENES'!$S1161="","-",'ORDENES'!$S1161))</f>
        <v/>
      </c>
      <c r="C1183" s="3">
        <f>IF('ORDENES'!$A1161="","",IF('ORDENES'!$AD1161="","-",'ORDENES'!$AD1161))</f>
        <v/>
      </c>
      <c r="D1183" s="3">
        <f>IF('ORDENES'!$A1161="","",IF('ORDENES'!$W1161="","-",'ORDENES'!$W1161))</f>
        <v/>
      </c>
      <c r="E1183" s="3">
        <f>IF('ORDENES'!$A1161="","",IF('ORDENES'!$V1161="","-",'ORDENES'!$V1161))</f>
        <v/>
      </c>
      <c r="F1183" s="3">
        <f>IF('ORDENES'!$A1161="","",IF('ORDENES'!$X1161="","-",'ORDENES'!$X1161))</f>
        <v/>
      </c>
      <c r="G1183" s="3">
        <f>IF('ORDENES'!$A1161="","",IF('ORDENES'!$AC1161="","-",'ORDENES'!$AC1161))</f>
        <v/>
      </c>
      <c r="H1183" s="3">
        <f>IF('ORDENES'!$A1161="","",IF('ORDENES'!$AO1161="","-",'ORDENES'!$AO1161))</f>
        <v/>
      </c>
      <c r="I1183" s="3">
        <f>IF('ORDENES'!$A1161="","",IF('ORDENES'!$D1161="","-",'ORDENES'!$D1161))</f>
        <v/>
      </c>
      <c r="J1183" s="3">
        <f>IF('ORDENES'!$A1161="","",IF('ORDENES'!$E1161="","-",'ORDENES'!$E1161))</f>
        <v/>
      </c>
      <c r="K1183" s="12">
        <f>IF('ORDENES'!$A1161="","",IF('ORDENES'!$N1161="",0,'ORDENES'!$N1161))</f>
        <v/>
      </c>
      <c r="L1183" s="3">
        <f>IF('ORDENES'!$A1161="","",IF('ORDENES'!$O1161="","-",'ORDENES'!$O1161))</f>
        <v/>
      </c>
      <c r="M1183" s="3">
        <f>IF('ORDENES'!$A1161="","",'ORDENES'!$AB1161)</f>
        <v/>
      </c>
    </row>
    <row r="1184">
      <c r="A1184" s="3">
        <f>IF('ORDENES'!$A1162="","",IF('ORDENES'!$P1162="","-",'ORDENES'!$P1162))</f>
        <v/>
      </c>
      <c r="B1184" s="3">
        <f>IF('ORDENES'!$A1162="","",IF('ORDENES'!$S1162="","-",'ORDENES'!$S1162))</f>
        <v/>
      </c>
      <c r="C1184" s="3">
        <f>IF('ORDENES'!$A1162="","",IF('ORDENES'!$AD1162="","-",'ORDENES'!$AD1162))</f>
        <v/>
      </c>
      <c r="D1184" s="3">
        <f>IF('ORDENES'!$A1162="","",IF('ORDENES'!$W1162="","-",'ORDENES'!$W1162))</f>
        <v/>
      </c>
      <c r="E1184" s="3">
        <f>IF('ORDENES'!$A1162="","",IF('ORDENES'!$V1162="","-",'ORDENES'!$V1162))</f>
        <v/>
      </c>
      <c r="F1184" s="3">
        <f>IF('ORDENES'!$A1162="","",IF('ORDENES'!$X1162="","-",'ORDENES'!$X1162))</f>
        <v/>
      </c>
      <c r="G1184" s="3">
        <f>IF('ORDENES'!$A1162="","",IF('ORDENES'!$AC1162="","-",'ORDENES'!$AC1162))</f>
        <v/>
      </c>
      <c r="H1184" s="3">
        <f>IF('ORDENES'!$A1162="","",IF('ORDENES'!$AO1162="","-",'ORDENES'!$AO1162))</f>
        <v/>
      </c>
      <c r="I1184" s="3">
        <f>IF('ORDENES'!$A1162="","",IF('ORDENES'!$D1162="","-",'ORDENES'!$D1162))</f>
        <v/>
      </c>
      <c r="J1184" s="3">
        <f>IF('ORDENES'!$A1162="","",IF('ORDENES'!$E1162="","-",'ORDENES'!$E1162))</f>
        <v/>
      </c>
      <c r="K1184" s="12">
        <f>IF('ORDENES'!$A1162="","",IF('ORDENES'!$N1162="",0,'ORDENES'!$N1162))</f>
        <v/>
      </c>
      <c r="L1184" s="3">
        <f>IF('ORDENES'!$A1162="","",IF('ORDENES'!$O1162="","-",'ORDENES'!$O1162))</f>
        <v/>
      </c>
      <c r="M1184" s="3">
        <f>IF('ORDENES'!$A1162="","",'ORDENES'!$AB1162)</f>
        <v/>
      </c>
    </row>
    <row r="1185">
      <c r="A1185" s="3">
        <f>IF('ORDENES'!$A1163="","",IF('ORDENES'!$P1163="","-",'ORDENES'!$P1163))</f>
        <v/>
      </c>
      <c r="B1185" s="3">
        <f>IF('ORDENES'!$A1163="","",IF('ORDENES'!$S1163="","-",'ORDENES'!$S1163))</f>
        <v/>
      </c>
      <c r="C1185" s="3">
        <f>IF('ORDENES'!$A1163="","",IF('ORDENES'!$AD1163="","-",'ORDENES'!$AD1163))</f>
        <v/>
      </c>
      <c r="D1185" s="3">
        <f>IF('ORDENES'!$A1163="","",IF('ORDENES'!$W1163="","-",'ORDENES'!$W1163))</f>
        <v/>
      </c>
      <c r="E1185" s="3">
        <f>IF('ORDENES'!$A1163="","",IF('ORDENES'!$V1163="","-",'ORDENES'!$V1163))</f>
        <v/>
      </c>
      <c r="F1185" s="3">
        <f>IF('ORDENES'!$A1163="","",IF('ORDENES'!$X1163="","-",'ORDENES'!$X1163))</f>
        <v/>
      </c>
      <c r="G1185" s="3">
        <f>IF('ORDENES'!$A1163="","",IF('ORDENES'!$AC1163="","-",'ORDENES'!$AC1163))</f>
        <v/>
      </c>
      <c r="H1185" s="3">
        <f>IF('ORDENES'!$A1163="","",IF('ORDENES'!$AO1163="","-",'ORDENES'!$AO1163))</f>
        <v/>
      </c>
      <c r="I1185" s="3">
        <f>IF('ORDENES'!$A1163="","",IF('ORDENES'!$D1163="","-",'ORDENES'!$D1163))</f>
        <v/>
      </c>
      <c r="J1185" s="3">
        <f>IF('ORDENES'!$A1163="","",IF('ORDENES'!$E1163="","-",'ORDENES'!$E1163))</f>
        <v/>
      </c>
      <c r="K1185" s="12">
        <f>IF('ORDENES'!$A1163="","",IF('ORDENES'!$N1163="",0,'ORDENES'!$N1163))</f>
        <v/>
      </c>
      <c r="L1185" s="3">
        <f>IF('ORDENES'!$A1163="","",IF('ORDENES'!$O1163="","-",'ORDENES'!$O1163))</f>
        <v/>
      </c>
      <c r="M1185" s="3">
        <f>IF('ORDENES'!$A1163="","",'ORDENES'!$AB1163)</f>
        <v/>
      </c>
    </row>
    <row r="1186">
      <c r="A1186" s="3">
        <f>IF('ORDENES'!$A1164="","",IF('ORDENES'!$P1164="","-",'ORDENES'!$P1164))</f>
        <v/>
      </c>
      <c r="B1186" s="3">
        <f>IF('ORDENES'!$A1164="","",IF('ORDENES'!$S1164="","-",'ORDENES'!$S1164))</f>
        <v/>
      </c>
      <c r="C1186" s="3">
        <f>IF('ORDENES'!$A1164="","",IF('ORDENES'!$AD1164="","-",'ORDENES'!$AD1164))</f>
        <v/>
      </c>
      <c r="D1186" s="3">
        <f>IF('ORDENES'!$A1164="","",IF('ORDENES'!$W1164="","-",'ORDENES'!$W1164))</f>
        <v/>
      </c>
      <c r="E1186" s="3">
        <f>IF('ORDENES'!$A1164="","",IF('ORDENES'!$V1164="","-",'ORDENES'!$V1164))</f>
        <v/>
      </c>
      <c r="F1186" s="3">
        <f>IF('ORDENES'!$A1164="","",IF('ORDENES'!$X1164="","-",'ORDENES'!$X1164))</f>
        <v/>
      </c>
      <c r="G1186" s="3">
        <f>IF('ORDENES'!$A1164="","",IF('ORDENES'!$AC1164="","-",'ORDENES'!$AC1164))</f>
        <v/>
      </c>
      <c r="H1186" s="3">
        <f>IF('ORDENES'!$A1164="","",IF('ORDENES'!$AO1164="","-",'ORDENES'!$AO1164))</f>
        <v/>
      </c>
      <c r="I1186" s="3">
        <f>IF('ORDENES'!$A1164="","",IF('ORDENES'!$D1164="","-",'ORDENES'!$D1164))</f>
        <v/>
      </c>
      <c r="J1186" s="3">
        <f>IF('ORDENES'!$A1164="","",IF('ORDENES'!$E1164="","-",'ORDENES'!$E1164))</f>
        <v/>
      </c>
      <c r="K1186" s="12">
        <f>IF('ORDENES'!$A1164="","",IF('ORDENES'!$N1164="",0,'ORDENES'!$N1164))</f>
        <v/>
      </c>
      <c r="L1186" s="3">
        <f>IF('ORDENES'!$A1164="","",IF('ORDENES'!$O1164="","-",'ORDENES'!$O1164))</f>
        <v/>
      </c>
      <c r="M1186" s="3">
        <f>IF('ORDENES'!$A1164="","",'ORDENES'!$AB1164)</f>
        <v/>
      </c>
    </row>
    <row r="1187">
      <c r="A1187" s="3">
        <f>IF('ORDENES'!$A1165="","",IF('ORDENES'!$P1165="","-",'ORDENES'!$P1165))</f>
        <v/>
      </c>
      <c r="B1187" s="3">
        <f>IF('ORDENES'!$A1165="","",IF('ORDENES'!$S1165="","-",'ORDENES'!$S1165))</f>
        <v/>
      </c>
      <c r="C1187" s="3">
        <f>IF('ORDENES'!$A1165="","",IF('ORDENES'!$AD1165="","-",'ORDENES'!$AD1165))</f>
        <v/>
      </c>
      <c r="D1187" s="3">
        <f>IF('ORDENES'!$A1165="","",IF('ORDENES'!$W1165="","-",'ORDENES'!$W1165))</f>
        <v/>
      </c>
      <c r="E1187" s="3">
        <f>IF('ORDENES'!$A1165="","",IF('ORDENES'!$V1165="","-",'ORDENES'!$V1165))</f>
        <v/>
      </c>
      <c r="F1187" s="3">
        <f>IF('ORDENES'!$A1165="","",IF('ORDENES'!$X1165="","-",'ORDENES'!$X1165))</f>
        <v/>
      </c>
      <c r="G1187" s="3">
        <f>IF('ORDENES'!$A1165="","",IF('ORDENES'!$AC1165="","-",'ORDENES'!$AC1165))</f>
        <v/>
      </c>
      <c r="H1187" s="3">
        <f>IF('ORDENES'!$A1165="","",IF('ORDENES'!$AO1165="","-",'ORDENES'!$AO1165))</f>
        <v/>
      </c>
      <c r="I1187" s="3">
        <f>IF('ORDENES'!$A1165="","",IF('ORDENES'!$D1165="","-",'ORDENES'!$D1165))</f>
        <v/>
      </c>
      <c r="J1187" s="3">
        <f>IF('ORDENES'!$A1165="","",IF('ORDENES'!$E1165="","-",'ORDENES'!$E1165))</f>
        <v/>
      </c>
      <c r="K1187" s="12">
        <f>IF('ORDENES'!$A1165="","",IF('ORDENES'!$N1165="",0,'ORDENES'!$N1165))</f>
        <v/>
      </c>
      <c r="L1187" s="3">
        <f>IF('ORDENES'!$A1165="","",IF('ORDENES'!$O1165="","-",'ORDENES'!$O1165))</f>
        <v/>
      </c>
      <c r="M1187" s="3">
        <f>IF('ORDENES'!$A1165="","",'ORDENES'!$AB1165)</f>
        <v/>
      </c>
    </row>
    <row r="1188">
      <c r="A1188" s="3">
        <f>IF('ORDENES'!$A1166="","",IF('ORDENES'!$P1166="","-",'ORDENES'!$P1166))</f>
        <v/>
      </c>
      <c r="B1188" s="3">
        <f>IF('ORDENES'!$A1166="","",IF('ORDENES'!$S1166="","-",'ORDENES'!$S1166))</f>
        <v/>
      </c>
      <c r="C1188" s="3">
        <f>IF('ORDENES'!$A1166="","",IF('ORDENES'!$AD1166="","-",'ORDENES'!$AD1166))</f>
        <v/>
      </c>
      <c r="D1188" s="3">
        <f>IF('ORDENES'!$A1166="","",IF('ORDENES'!$W1166="","-",'ORDENES'!$W1166))</f>
        <v/>
      </c>
      <c r="E1188" s="3">
        <f>IF('ORDENES'!$A1166="","",IF('ORDENES'!$V1166="","-",'ORDENES'!$V1166))</f>
        <v/>
      </c>
      <c r="F1188" s="3">
        <f>IF('ORDENES'!$A1166="","",IF('ORDENES'!$X1166="","-",'ORDENES'!$X1166))</f>
        <v/>
      </c>
      <c r="G1188" s="3">
        <f>IF('ORDENES'!$A1166="","",IF('ORDENES'!$AC1166="","-",'ORDENES'!$AC1166))</f>
        <v/>
      </c>
      <c r="H1188" s="3">
        <f>IF('ORDENES'!$A1166="","",IF('ORDENES'!$AO1166="","-",'ORDENES'!$AO1166))</f>
        <v/>
      </c>
      <c r="I1188" s="3">
        <f>IF('ORDENES'!$A1166="","",IF('ORDENES'!$D1166="","-",'ORDENES'!$D1166))</f>
        <v/>
      </c>
      <c r="J1188" s="3">
        <f>IF('ORDENES'!$A1166="","",IF('ORDENES'!$E1166="","-",'ORDENES'!$E1166))</f>
        <v/>
      </c>
      <c r="K1188" s="12">
        <f>IF('ORDENES'!$A1166="","",IF('ORDENES'!$N1166="",0,'ORDENES'!$N1166))</f>
        <v/>
      </c>
      <c r="L1188" s="3">
        <f>IF('ORDENES'!$A1166="","",IF('ORDENES'!$O1166="","-",'ORDENES'!$O1166))</f>
        <v/>
      </c>
      <c r="M1188" s="3">
        <f>IF('ORDENES'!$A1166="","",'ORDENES'!$AB1166)</f>
        <v/>
      </c>
    </row>
    <row r="1189">
      <c r="A1189" s="3">
        <f>IF('ORDENES'!$A1167="","",IF('ORDENES'!$P1167="","-",'ORDENES'!$P1167))</f>
        <v/>
      </c>
      <c r="B1189" s="3">
        <f>IF('ORDENES'!$A1167="","",IF('ORDENES'!$S1167="","-",'ORDENES'!$S1167))</f>
        <v/>
      </c>
      <c r="C1189" s="3">
        <f>IF('ORDENES'!$A1167="","",IF('ORDENES'!$AD1167="","-",'ORDENES'!$AD1167))</f>
        <v/>
      </c>
      <c r="D1189" s="3">
        <f>IF('ORDENES'!$A1167="","",IF('ORDENES'!$W1167="","-",'ORDENES'!$W1167))</f>
        <v/>
      </c>
      <c r="E1189" s="3">
        <f>IF('ORDENES'!$A1167="","",IF('ORDENES'!$V1167="","-",'ORDENES'!$V1167))</f>
        <v/>
      </c>
      <c r="F1189" s="3">
        <f>IF('ORDENES'!$A1167="","",IF('ORDENES'!$X1167="","-",'ORDENES'!$X1167))</f>
        <v/>
      </c>
      <c r="G1189" s="3">
        <f>IF('ORDENES'!$A1167="","",IF('ORDENES'!$AC1167="","-",'ORDENES'!$AC1167))</f>
        <v/>
      </c>
      <c r="H1189" s="3">
        <f>IF('ORDENES'!$A1167="","",IF('ORDENES'!$AO1167="","-",'ORDENES'!$AO1167))</f>
        <v/>
      </c>
      <c r="I1189" s="3">
        <f>IF('ORDENES'!$A1167="","",IF('ORDENES'!$D1167="","-",'ORDENES'!$D1167))</f>
        <v/>
      </c>
      <c r="J1189" s="3">
        <f>IF('ORDENES'!$A1167="","",IF('ORDENES'!$E1167="","-",'ORDENES'!$E1167))</f>
        <v/>
      </c>
      <c r="K1189" s="12">
        <f>IF('ORDENES'!$A1167="","",IF('ORDENES'!$N1167="",0,'ORDENES'!$N1167))</f>
        <v/>
      </c>
      <c r="L1189" s="3">
        <f>IF('ORDENES'!$A1167="","",IF('ORDENES'!$O1167="","-",'ORDENES'!$O1167))</f>
        <v/>
      </c>
      <c r="M1189" s="3">
        <f>IF('ORDENES'!$A1167="","",'ORDENES'!$AB1167)</f>
        <v/>
      </c>
    </row>
    <row r="1190">
      <c r="A1190" s="3">
        <f>IF('ORDENES'!$A1168="","",IF('ORDENES'!$P1168="","-",'ORDENES'!$P1168))</f>
        <v/>
      </c>
      <c r="B1190" s="3">
        <f>IF('ORDENES'!$A1168="","",IF('ORDENES'!$S1168="","-",'ORDENES'!$S1168))</f>
        <v/>
      </c>
      <c r="C1190" s="3">
        <f>IF('ORDENES'!$A1168="","",IF('ORDENES'!$AD1168="","-",'ORDENES'!$AD1168))</f>
        <v/>
      </c>
      <c r="D1190" s="3">
        <f>IF('ORDENES'!$A1168="","",IF('ORDENES'!$W1168="","-",'ORDENES'!$W1168))</f>
        <v/>
      </c>
      <c r="E1190" s="3">
        <f>IF('ORDENES'!$A1168="","",IF('ORDENES'!$V1168="","-",'ORDENES'!$V1168))</f>
        <v/>
      </c>
      <c r="F1190" s="3">
        <f>IF('ORDENES'!$A1168="","",IF('ORDENES'!$X1168="","-",'ORDENES'!$X1168))</f>
        <v/>
      </c>
      <c r="G1190" s="3">
        <f>IF('ORDENES'!$A1168="","",IF('ORDENES'!$AC1168="","-",'ORDENES'!$AC1168))</f>
        <v/>
      </c>
      <c r="H1190" s="3">
        <f>IF('ORDENES'!$A1168="","",IF('ORDENES'!$AO1168="","-",'ORDENES'!$AO1168))</f>
        <v/>
      </c>
      <c r="I1190" s="3">
        <f>IF('ORDENES'!$A1168="","",IF('ORDENES'!$D1168="","-",'ORDENES'!$D1168))</f>
        <v/>
      </c>
      <c r="J1190" s="3">
        <f>IF('ORDENES'!$A1168="","",IF('ORDENES'!$E1168="","-",'ORDENES'!$E1168))</f>
        <v/>
      </c>
      <c r="K1190" s="12">
        <f>IF('ORDENES'!$A1168="","",IF('ORDENES'!$N1168="",0,'ORDENES'!$N1168))</f>
        <v/>
      </c>
      <c r="L1190" s="3">
        <f>IF('ORDENES'!$A1168="","",IF('ORDENES'!$O1168="","-",'ORDENES'!$O1168))</f>
        <v/>
      </c>
      <c r="M1190" s="3">
        <f>IF('ORDENES'!$A1168="","",'ORDENES'!$AB1168)</f>
        <v/>
      </c>
    </row>
    <row r="1191">
      <c r="A1191" s="3">
        <f>IF('ORDENES'!$A1169="","",IF('ORDENES'!$P1169="","-",'ORDENES'!$P1169))</f>
        <v/>
      </c>
      <c r="B1191" s="3">
        <f>IF('ORDENES'!$A1169="","",IF('ORDENES'!$S1169="","-",'ORDENES'!$S1169))</f>
        <v/>
      </c>
      <c r="C1191" s="3">
        <f>IF('ORDENES'!$A1169="","",IF('ORDENES'!$AD1169="","-",'ORDENES'!$AD1169))</f>
        <v/>
      </c>
      <c r="D1191" s="3">
        <f>IF('ORDENES'!$A1169="","",IF('ORDENES'!$W1169="","-",'ORDENES'!$W1169))</f>
        <v/>
      </c>
      <c r="E1191" s="3">
        <f>IF('ORDENES'!$A1169="","",IF('ORDENES'!$V1169="","-",'ORDENES'!$V1169))</f>
        <v/>
      </c>
      <c r="F1191" s="3">
        <f>IF('ORDENES'!$A1169="","",IF('ORDENES'!$X1169="","-",'ORDENES'!$X1169))</f>
        <v/>
      </c>
      <c r="G1191" s="3">
        <f>IF('ORDENES'!$A1169="","",IF('ORDENES'!$AC1169="","-",'ORDENES'!$AC1169))</f>
        <v/>
      </c>
      <c r="H1191" s="3">
        <f>IF('ORDENES'!$A1169="","",IF('ORDENES'!$AO1169="","-",'ORDENES'!$AO1169))</f>
        <v/>
      </c>
      <c r="I1191" s="3">
        <f>IF('ORDENES'!$A1169="","",IF('ORDENES'!$D1169="","-",'ORDENES'!$D1169))</f>
        <v/>
      </c>
      <c r="J1191" s="3">
        <f>IF('ORDENES'!$A1169="","",IF('ORDENES'!$E1169="","-",'ORDENES'!$E1169))</f>
        <v/>
      </c>
      <c r="K1191" s="12">
        <f>IF('ORDENES'!$A1169="","",IF('ORDENES'!$N1169="",0,'ORDENES'!$N1169))</f>
        <v/>
      </c>
      <c r="L1191" s="3">
        <f>IF('ORDENES'!$A1169="","",IF('ORDENES'!$O1169="","-",'ORDENES'!$O1169))</f>
        <v/>
      </c>
      <c r="M1191" s="3">
        <f>IF('ORDENES'!$A1169="","",'ORDENES'!$AB1169)</f>
        <v/>
      </c>
    </row>
    <row r="1192">
      <c r="A1192" s="3">
        <f>IF('ORDENES'!$A1170="","",IF('ORDENES'!$P1170="","-",'ORDENES'!$P1170))</f>
        <v/>
      </c>
      <c r="B1192" s="3">
        <f>IF('ORDENES'!$A1170="","",IF('ORDENES'!$S1170="","-",'ORDENES'!$S1170))</f>
        <v/>
      </c>
      <c r="C1192" s="3">
        <f>IF('ORDENES'!$A1170="","",IF('ORDENES'!$AD1170="","-",'ORDENES'!$AD1170))</f>
        <v/>
      </c>
      <c r="D1192" s="3">
        <f>IF('ORDENES'!$A1170="","",IF('ORDENES'!$W1170="","-",'ORDENES'!$W1170))</f>
        <v/>
      </c>
      <c r="E1192" s="3">
        <f>IF('ORDENES'!$A1170="","",IF('ORDENES'!$V1170="","-",'ORDENES'!$V1170))</f>
        <v/>
      </c>
      <c r="F1192" s="3">
        <f>IF('ORDENES'!$A1170="","",IF('ORDENES'!$X1170="","-",'ORDENES'!$X1170))</f>
        <v/>
      </c>
      <c r="G1192" s="3">
        <f>IF('ORDENES'!$A1170="","",IF('ORDENES'!$AC1170="","-",'ORDENES'!$AC1170))</f>
        <v/>
      </c>
      <c r="H1192" s="3">
        <f>IF('ORDENES'!$A1170="","",IF('ORDENES'!$AO1170="","-",'ORDENES'!$AO1170))</f>
        <v/>
      </c>
      <c r="I1192" s="3">
        <f>IF('ORDENES'!$A1170="","",IF('ORDENES'!$D1170="","-",'ORDENES'!$D1170))</f>
        <v/>
      </c>
      <c r="J1192" s="3">
        <f>IF('ORDENES'!$A1170="","",IF('ORDENES'!$E1170="","-",'ORDENES'!$E1170))</f>
        <v/>
      </c>
      <c r="K1192" s="12">
        <f>IF('ORDENES'!$A1170="","",IF('ORDENES'!$N1170="",0,'ORDENES'!$N1170))</f>
        <v/>
      </c>
      <c r="L1192" s="3">
        <f>IF('ORDENES'!$A1170="","",IF('ORDENES'!$O1170="","-",'ORDENES'!$O1170))</f>
        <v/>
      </c>
      <c r="M1192" s="3">
        <f>IF('ORDENES'!$A1170="","",'ORDENES'!$AB1170)</f>
        <v/>
      </c>
    </row>
    <row r="1193">
      <c r="A1193" s="3">
        <f>IF('ORDENES'!$A1171="","",IF('ORDENES'!$P1171="","-",'ORDENES'!$P1171))</f>
        <v/>
      </c>
      <c r="B1193" s="3">
        <f>IF('ORDENES'!$A1171="","",IF('ORDENES'!$S1171="","-",'ORDENES'!$S1171))</f>
        <v/>
      </c>
      <c r="C1193" s="3">
        <f>IF('ORDENES'!$A1171="","",IF('ORDENES'!$AD1171="","-",'ORDENES'!$AD1171))</f>
        <v/>
      </c>
      <c r="D1193" s="3">
        <f>IF('ORDENES'!$A1171="","",IF('ORDENES'!$W1171="","-",'ORDENES'!$W1171))</f>
        <v/>
      </c>
      <c r="E1193" s="3">
        <f>IF('ORDENES'!$A1171="","",IF('ORDENES'!$V1171="","-",'ORDENES'!$V1171))</f>
        <v/>
      </c>
      <c r="F1193" s="3">
        <f>IF('ORDENES'!$A1171="","",IF('ORDENES'!$X1171="","-",'ORDENES'!$X1171))</f>
        <v/>
      </c>
      <c r="G1193" s="3">
        <f>IF('ORDENES'!$A1171="","",IF('ORDENES'!$AC1171="","-",'ORDENES'!$AC1171))</f>
        <v/>
      </c>
      <c r="H1193" s="3">
        <f>IF('ORDENES'!$A1171="","",IF('ORDENES'!$AO1171="","-",'ORDENES'!$AO1171))</f>
        <v/>
      </c>
      <c r="I1193" s="3">
        <f>IF('ORDENES'!$A1171="","",IF('ORDENES'!$D1171="","-",'ORDENES'!$D1171))</f>
        <v/>
      </c>
      <c r="J1193" s="3">
        <f>IF('ORDENES'!$A1171="","",IF('ORDENES'!$E1171="","-",'ORDENES'!$E1171))</f>
        <v/>
      </c>
      <c r="K1193" s="12">
        <f>IF('ORDENES'!$A1171="","",IF('ORDENES'!$N1171="",0,'ORDENES'!$N1171))</f>
        <v/>
      </c>
      <c r="L1193" s="3">
        <f>IF('ORDENES'!$A1171="","",IF('ORDENES'!$O1171="","-",'ORDENES'!$O1171))</f>
        <v/>
      </c>
      <c r="M1193" s="3">
        <f>IF('ORDENES'!$A1171="","",'ORDENES'!$AB1171)</f>
        <v/>
      </c>
    </row>
    <row r="1194">
      <c r="A1194" s="3">
        <f>IF('ORDENES'!$A1172="","",IF('ORDENES'!$P1172="","-",'ORDENES'!$P1172))</f>
        <v/>
      </c>
      <c r="B1194" s="3">
        <f>IF('ORDENES'!$A1172="","",IF('ORDENES'!$S1172="","-",'ORDENES'!$S1172))</f>
        <v/>
      </c>
      <c r="C1194" s="3">
        <f>IF('ORDENES'!$A1172="","",IF('ORDENES'!$AD1172="","-",'ORDENES'!$AD1172))</f>
        <v/>
      </c>
      <c r="D1194" s="3">
        <f>IF('ORDENES'!$A1172="","",IF('ORDENES'!$W1172="","-",'ORDENES'!$W1172))</f>
        <v/>
      </c>
      <c r="E1194" s="3">
        <f>IF('ORDENES'!$A1172="","",IF('ORDENES'!$V1172="","-",'ORDENES'!$V1172))</f>
        <v/>
      </c>
      <c r="F1194" s="3">
        <f>IF('ORDENES'!$A1172="","",IF('ORDENES'!$X1172="","-",'ORDENES'!$X1172))</f>
        <v/>
      </c>
      <c r="G1194" s="3">
        <f>IF('ORDENES'!$A1172="","",IF('ORDENES'!$AC1172="","-",'ORDENES'!$AC1172))</f>
        <v/>
      </c>
      <c r="H1194" s="3">
        <f>IF('ORDENES'!$A1172="","",IF('ORDENES'!$AO1172="","-",'ORDENES'!$AO1172))</f>
        <v/>
      </c>
      <c r="I1194" s="3">
        <f>IF('ORDENES'!$A1172="","",IF('ORDENES'!$D1172="","-",'ORDENES'!$D1172))</f>
        <v/>
      </c>
      <c r="J1194" s="3">
        <f>IF('ORDENES'!$A1172="","",IF('ORDENES'!$E1172="","-",'ORDENES'!$E1172))</f>
        <v/>
      </c>
      <c r="K1194" s="12">
        <f>IF('ORDENES'!$A1172="","",IF('ORDENES'!$N1172="",0,'ORDENES'!$N1172))</f>
        <v/>
      </c>
      <c r="L1194" s="3">
        <f>IF('ORDENES'!$A1172="","",IF('ORDENES'!$O1172="","-",'ORDENES'!$O1172))</f>
        <v/>
      </c>
      <c r="M1194" s="3">
        <f>IF('ORDENES'!$A1172="","",'ORDENES'!$AB1172)</f>
        <v/>
      </c>
    </row>
    <row r="1195">
      <c r="A1195" s="3">
        <f>IF('ORDENES'!$A1173="","",IF('ORDENES'!$P1173="","-",'ORDENES'!$P1173))</f>
        <v/>
      </c>
      <c r="B1195" s="3">
        <f>IF('ORDENES'!$A1173="","",IF('ORDENES'!$S1173="","-",'ORDENES'!$S1173))</f>
        <v/>
      </c>
      <c r="C1195" s="3">
        <f>IF('ORDENES'!$A1173="","",IF('ORDENES'!$AD1173="","-",'ORDENES'!$AD1173))</f>
        <v/>
      </c>
      <c r="D1195" s="3">
        <f>IF('ORDENES'!$A1173="","",IF('ORDENES'!$W1173="","-",'ORDENES'!$W1173))</f>
        <v/>
      </c>
      <c r="E1195" s="3">
        <f>IF('ORDENES'!$A1173="","",IF('ORDENES'!$V1173="","-",'ORDENES'!$V1173))</f>
        <v/>
      </c>
      <c r="F1195" s="3">
        <f>IF('ORDENES'!$A1173="","",IF('ORDENES'!$X1173="","-",'ORDENES'!$X1173))</f>
        <v/>
      </c>
      <c r="G1195" s="3">
        <f>IF('ORDENES'!$A1173="","",IF('ORDENES'!$AC1173="","-",'ORDENES'!$AC1173))</f>
        <v/>
      </c>
      <c r="H1195" s="3">
        <f>IF('ORDENES'!$A1173="","",IF('ORDENES'!$AO1173="","-",'ORDENES'!$AO1173))</f>
        <v/>
      </c>
      <c r="I1195" s="3">
        <f>IF('ORDENES'!$A1173="","",IF('ORDENES'!$D1173="","-",'ORDENES'!$D1173))</f>
        <v/>
      </c>
      <c r="J1195" s="3">
        <f>IF('ORDENES'!$A1173="","",IF('ORDENES'!$E1173="","-",'ORDENES'!$E1173))</f>
        <v/>
      </c>
      <c r="K1195" s="12">
        <f>IF('ORDENES'!$A1173="","",IF('ORDENES'!$N1173="",0,'ORDENES'!$N1173))</f>
        <v/>
      </c>
      <c r="L1195" s="3">
        <f>IF('ORDENES'!$A1173="","",IF('ORDENES'!$O1173="","-",'ORDENES'!$O1173))</f>
        <v/>
      </c>
      <c r="M1195" s="3">
        <f>IF('ORDENES'!$A1173="","",'ORDENES'!$AB1173)</f>
        <v/>
      </c>
    </row>
    <row r="1196">
      <c r="A1196" s="3">
        <f>IF('ORDENES'!$A1174="","",IF('ORDENES'!$P1174="","-",'ORDENES'!$P1174))</f>
        <v/>
      </c>
      <c r="B1196" s="3">
        <f>IF('ORDENES'!$A1174="","",IF('ORDENES'!$S1174="","-",'ORDENES'!$S1174))</f>
        <v/>
      </c>
      <c r="C1196" s="3">
        <f>IF('ORDENES'!$A1174="","",IF('ORDENES'!$AD1174="","-",'ORDENES'!$AD1174))</f>
        <v/>
      </c>
      <c r="D1196" s="3">
        <f>IF('ORDENES'!$A1174="","",IF('ORDENES'!$W1174="","-",'ORDENES'!$W1174))</f>
        <v/>
      </c>
      <c r="E1196" s="3">
        <f>IF('ORDENES'!$A1174="","",IF('ORDENES'!$V1174="","-",'ORDENES'!$V1174))</f>
        <v/>
      </c>
      <c r="F1196" s="3">
        <f>IF('ORDENES'!$A1174="","",IF('ORDENES'!$X1174="","-",'ORDENES'!$X1174))</f>
        <v/>
      </c>
      <c r="G1196" s="3">
        <f>IF('ORDENES'!$A1174="","",IF('ORDENES'!$AC1174="","-",'ORDENES'!$AC1174))</f>
        <v/>
      </c>
      <c r="H1196" s="3">
        <f>IF('ORDENES'!$A1174="","",IF('ORDENES'!$AO1174="","-",'ORDENES'!$AO1174))</f>
        <v/>
      </c>
      <c r="I1196" s="3">
        <f>IF('ORDENES'!$A1174="","",IF('ORDENES'!$D1174="","-",'ORDENES'!$D1174))</f>
        <v/>
      </c>
      <c r="J1196" s="3">
        <f>IF('ORDENES'!$A1174="","",IF('ORDENES'!$E1174="","-",'ORDENES'!$E1174))</f>
        <v/>
      </c>
      <c r="K1196" s="12">
        <f>IF('ORDENES'!$A1174="","",IF('ORDENES'!$N1174="",0,'ORDENES'!$N1174))</f>
        <v/>
      </c>
      <c r="L1196" s="3">
        <f>IF('ORDENES'!$A1174="","",IF('ORDENES'!$O1174="","-",'ORDENES'!$O1174))</f>
        <v/>
      </c>
      <c r="M1196" s="3">
        <f>IF('ORDENES'!$A1174="","",'ORDENES'!$AB1174)</f>
        <v/>
      </c>
    </row>
    <row r="1197">
      <c r="A1197" s="3">
        <f>IF('ORDENES'!$A1175="","",IF('ORDENES'!$P1175="","-",'ORDENES'!$P1175))</f>
        <v/>
      </c>
      <c r="B1197" s="3">
        <f>IF('ORDENES'!$A1175="","",IF('ORDENES'!$S1175="","-",'ORDENES'!$S1175))</f>
        <v/>
      </c>
      <c r="C1197" s="3">
        <f>IF('ORDENES'!$A1175="","",IF('ORDENES'!$AD1175="","-",'ORDENES'!$AD1175))</f>
        <v/>
      </c>
      <c r="D1197" s="3">
        <f>IF('ORDENES'!$A1175="","",IF('ORDENES'!$W1175="","-",'ORDENES'!$W1175))</f>
        <v/>
      </c>
      <c r="E1197" s="3">
        <f>IF('ORDENES'!$A1175="","",IF('ORDENES'!$V1175="","-",'ORDENES'!$V1175))</f>
        <v/>
      </c>
      <c r="F1197" s="3">
        <f>IF('ORDENES'!$A1175="","",IF('ORDENES'!$X1175="","-",'ORDENES'!$X1175))</f>
        <v/>
      </c>
      <c r="G1197" s="3">
        <f>IF('ORDENES'!$A1175="","",IF('ORDENES'!$AC1175="","-",'ORDENES'!$AC1175))</f>
        <v/>
      </c>
      <c r="H1197" s="3">
        <f>IF('ORDENES'!$A1175="","",IF('ORDENES'!$AO1175="","-",'ORDENES'!$AO1175))</f>
        <v/>
      </c>
      <c r="I1197" s="3">
        <f>IF('ORDENES'!$A1175="","",IF('ORDENES'!$D1175="","-",'ORDENES'!$D1175))</f>
        <v/>
      </c>
      <c r="J1197" s="3">
        <f>IF('ORDENES'!$A1175="","",IF('ORDENES'!$E1175="","-",'ORDENES'!$E1175))</f>
        <v/>
      </c>
      <c r="K1197" s="12">
        <f>IF('ORDENES'!$A1175="","",IF('ORDENES'!$N1175="",0,'ORDENES'!$N1175))</f>
        <v/>
      </c>
      <c r="L1197" s="3">
        <f>IF('ORDENES'!$A1175="","",IF('ORDENES'!$O1175="","-",'ORDENES'!$O1175))</f>
        <v/>
      </c>
      <c r="M1197" s="3">
        <f>IF('ORDENES'!$A1175="","",'ORDENES'!$AB1175)</f>
        <v/>
      </c>
    </row>
    <row r="1198">
      <c r="A1198" s="3">
        <f>IF('ORDENES'!$A1176="","",IF('ORDENES'!$P1176="","-",'ORDENES'!$P1176))</f>
        <v/>
      </c>
      <c r="B1198" s="3">
        <f>IF('ORDENES'!$A1176="","",IF('ORDENES'!$S1176="","-",'ORDENES'!$S1176))</f>
        <v/>
      </c>
      <c r="C1198" s="3">
        <f>IF('ORDENES'!$A1176="","",IF('ORDENES'!$AD1176="","-",'ORDENES'!$AD1176))</f>
        <v/>
      </c>
      <c r="D1198" s="3">
        <f>IF('ORDENES'!$A1176="","",IF('ORDENES'!$W1176="","-",'ORDENES'!$W1176))</f>
        <v/>
      </c>
      <c r="E1198" s="3">
        <f>IF('ORDENES'!$A1176="","",IF('ORDENES'!$V1176="","-",'ORDENES'!$V1176))</f>
        <v/>
      </c>
      <c r="F1198" s="3">
        <f>IF('ORDENES'!$A1176="","",IF('ORDENES'!$X1176="","-",'ORDENES'!$X1176))</f>
        <v/>
      </c>
      <c r="G1198" s="3">
        <f>IF('ORDENES'!$A1176="","",IF('ORDENES'!$AC1176="","-",'ORDENES'!$AC1176))</f>
        <v/>
      </c>
      <c r="H1198" s="3">
        <f>IF('ORDENES'!$A1176="","",IF('ORDENES'!$AO1176="","-",'ORDENES'!$AO1176))</f>
        <v/>
      </c>
      <c r="I1198" s="3">
        <f>IF('ORDENES'!$A1176="","",IF('ORDENES'!$D1176="","-",'ORDENES'!$D1176))</f>
        <v/>
      </c>
      <c r="J1198" s="3">
        <f>IF('ORDENES'!$A1176="","",IF('ORDENES'!$E1176="","-",'ORDENES'!$E1176))</f>
        <v/>
      </c>
      <c r="K1198" s="12">
        <f>IF('ORDENES'!$A1176="","",IF('ORDENES'!$N1176="",0,'ORDENES'!$N1176))</f>
        <v/>
      </c>
      <c r="L1198" s="3">
        <f>IF('ORDENES'!$A1176="","",IF('ORDENES'!$O1176="","-",'ORDENES'!$O1176))</f>
        <v/>
      </c>
      <c r="M1198" s="3">
        <f>IF('ORDENES'!$A1176="","",'ORDENES'!$AB1176)</f>
        <v/>
      </c>
    </row>
    <row r="1199">
      <c r="A1199" s="3">
        <f>IF('ORDENES'!$A1177="","",IF('ORDENES'!$P1177="","-",'ORDENES'!$P1177))</f>
        <v/>
      </c>
      <c r="B1199" s="3">
        <f>IF('ORDENES'!$A1177="","",IF('ORDENES'!$S1177="","-",'ORDENES'!$S1177))</f>
        <v/>
      </c>
      <c r="C1199" s="3">
        <f>IF('ORDENES'!$A1177="","",IF('ORDENES'!$AD1177="","-",'ORDENES'!$AD1177))</f>
        <v/>
      </c>
      <c r="D1199" s="3">
        <f>IF('ORDENES'!$A1177="","",IF('ORDENES'!$W1177="","-",'ORDENES'!$W1177))</f>
        <v/>
      </c>
      <c r="E1199" s="3">
        <f>IF('ORDENES'!$A1177="","",IF('ORDENES'!$V1177="","-",'ORDENES'!$V1177))</f>
        <v/>
      </c>
      <c r="F1199" s="3">
        <f>IF('ORDENES'!$A1177="","",IF('ORDENES'!$X1177="","-",'ORDENES'!$X1177))</f>
        <v/>
      </c>
      <c r="G1199" s="3">
        <f>IF('ORDENES'!$A1177="","",IF('ORDENES'!$AC1177="","-",'ORDENES'!$AC1177))</f>
        <v/>
      </c>
      <c r="H1199" s="3">
        <f>IF('ORDENES'!$A1177="","",IF('ORDENES'!$AO1177="","-",'ORDENES'!$AO1177))</f>
        <v/>
      </c>
      <c r="I1199" s="3">
        <f>IF('ORDENES'!$A1177="","",IF('ORDENES'!$D1177="","-",'ORDENES'!$D1177))</f>
        <v/>
      </c>
      <c r="J1199" s="3">
        <f>IF('ORDENES'!$A1177="","",IF('ORDENES'!$E1177="","-",'ORDENES'!$E1177))</f>
        <v/>
      </c>
      <c r="K1199" s="12">
        <f>IF('ORDENES'!$A1177="","",IF('ORDENES'!$N1177="",0,'ORDENES'!$N1177))</f>
        <v/>
      </c>
      <c r="L1199" s="3">
        <f>IF('ORDENES'!$A1177="","",IF('ORDENES'!$O1177="","-",'ORDENES'!$O1177))</f>
        <v/>
      </c>
      <c r="M1199" s="3">
        <f>IF('ORDENES'!$A1177="","",'ORDENES'!$AB1177)</f>
        <v/>
      </c>
    </row>
    <row r="1200">
      <c r="A1200" s="3">
        <f>IF('ORDENES'!$A1178="","",IF('ORDENES'!$P1178="","-",'ORDENES'!$P1178))</f>
        <v/>
      </c>
      <c r="B1200" s="3">
        <f>IF('ORDENES'!$A1178="","",IF('ORDENES'!$S1178="","-",'ORDENES'!$S1178))</f>
        <v/>
      </c>
      <c r="C1200" s="3">
        <f>IF('ORDENES'!$A1178="","",IF('ORDENES'!$AD1178="","-",'ORDENES'!$AD1178))</f>
        <v/>
      </c>
      <c r="D1200" s="3">
        <f>IF('ORDENES'!$A1178="","",IF('ORDENES'!$W1178="","-",'ORDENES'!$W1178))</f>
        <v/>
      </c>
      <c r="E1200" s="3">
        <f>IF('ORDENES'!$A1178="","",IF('ORDENES'!$V1178="","-",'ORDENES'!$V1178))</f>
        <v/>
      </c>
      <c r="F1200" s="3">
        <f>IF('ORDENES'!$A1178="","",IF('ORDENES'!$X1178="","-",'ORDENES'!$X1178))</f>
        <v/>
      </c>
      <c r="G1200" s="3">
        <f>IF('ORDENES'!$A1178="","",IF('ORDENES'!$AC1178="","-",'ORDENES'!$AC1178))</f>
        <v/>
      </c>
      <c r="H1200" s="3">
        <f>IF('ORDENES'!$A1178="","",IF('ORDENES'!$AO1178="","-",'ORDENES'!$AO1178))</f>
        <v/>
      </c>
      <c r="I1200" s="3">
        <f>IF('ORDENES'!$A1178="","",IF('ORDENES'!$D1178="","-",'ORDENES'!$D1178))</f>
        <v/>
      </c>
      <c r="J1200" s="3">
        <f>IF('ORDENES'!$A1178="","",IF('ORDENES'!$E1178="","-",'ORDENES'!$E1178))</f>
        <v/>
      </c>
      <c r="K1200" s="12">
        <f>IF('ORDENES'!$A1178="","",IF('ORDENES'!$N1178="",0,'ORDENES'!$N1178))</f>
        <v/>
      </c>
      <c r="L1200" s="3">
        <f>IF('ORDENES'!$A1178="","",IF('ORDENES'!$O1178="","-",'ORDENES'!$O1178))</f>
        <v/>
      </c>
      <c r="M1200" s="3">
        <f>IF('ORDENES'!$A1178="","",'ORDENES'!$AB1178)</f>
        <v/>
      </c>
    </row>
    <row r="1201">
      <c r="A1201" s="3">
        <f>IF('ORDENES'!$A1179="","",IF('ORDENES'!$P1179="","-",'ORDENES'!$P1179))</f>
        <v/>
      </c>
      <c r="B1201" s="3">
        <f>IF('ORDENES'!$A1179="","",IF('ORDENES'!$S1179="","-",'ORDENES'!$S1179))</f>
        <v/>
      </c>
      <c r="C1201" s="3">
        <f>IF('ORDENES'!$A1179="","",IF('ORDENES'!$AD1179="","-",'ORDENES'!$AD1179))</f>
        <v/>
      </c>
      <c r="D1201" s="3">
        <f>IF('ORDENES'!$A1179="","",IF('ORDENES'!$W1179="","-",'ORDENES'!$W1179))</f>
        <v/>
      </c>
      <c r="E1201" s="3">
        <f>IF('ORDENES'!$A1179="","",IF('ORDENES'!$V1179="","-",'ORDENES'!$V1179))</f>
        <v/>
      </c>
      <c r="F1201" s="3">
        <f>IF('ORDENES'!$A1179="","",IF('ORDENES'!$X1179="","-",'ORDENES'!$X1179))</f>
        <v/>
      </c>
      <c r="G1201" s="3">
        <f>IF('ORDENES'!$A1179="","",IF('ORDENES'!$AC1179="","-",'ORDENES'!$AC1179))</f>
        <v/>
      </c>
      <c r="H1201" s="3">
        <f>IF('ORDENES'!$A1179="","",IF('ORDENES'!$AO1179="","-",'ORDENES'!$AO1179))</f>
        <v/>
      </c>
      <c r="I1201" s="3">
        <f>IF('ORDENES'!$A1179="","",IF('ORDENES'!$D1179="","-",'ORDENES'!$D1179))</f>
        <v/>
      </c>
      <c r="J1201" s="3">
        <f>IF('ORDENES'!$A1179="","",IF('ORDENES'!$E1179="","-",'ORDENES'!$E1179))</f>
        <v/>
      </c>
      <c r="K1201" s="12">
        <f>IF('ORDENES'!$A1179="","",IF('ORDENES'!$N1179="",0,'ORDENES'!$N1179))</f>
        <v/>
      </c>
      <c r="L1201" s="3">
        <f>IF('ORDENES'!$A1179="","",IF('ORDENES'!$O1179="","-",'ORDENES'!$O1179))</f>
        <v/>
      </c>
      <c r="M1201" s="3">
        <f>IF('ORDENES'!$A1179="","",'ORDENES'!$AB1179)</f>
        <v/>
      </c>
    </row>
    <row r="1202">
      <c r="A1202" s="3">
        <f>IF('ORDENES'!$A1180="","",IF('ORDENES'!$P1180="","-",'ORDENES'!$P1180))</f>
        <v/>
      </c>
      <c r="B1202" s="3">
        <f>IF('ORDENES'!$A1180="","",IF('ORDENES'!$S1180="","-",'ORDENES'!$S1180))</f>
        <v/>
      </c>
      <c r="C1202" s="3">
        <f>IF('ORDENES'!$A1180="","",IF('ORDENES'!$AD1180="","-",'ORDENES'!$AD1180))</f>
        <v/>
      </c>
      <c r="D1202" s="3">
        <f>IF('ORDENES'!$A1180="","",IF('ORDENES'!$W1180="","-",'ORDENES'!$W1180))</f>
        <v/>
      </c>
      <c r="E1202" s="3">
        <f>IF('ORDENES'!$A1180="","",IF('ORDENES'!$V1180="","-",'ORDENES'!$V1180))</f>
        <v/>
      </c>
      <c r="F1202" s="3">
        <f>IF('ORDENES'!$A1180="","",IF('ORDENES'!$X1180="","-",'ORDENES'!$X1180))</f>
        <v/>
      </c>
      <c r="G1202" s="3">
        <f>IF('ORDENES'!$A1180="","",IF('ORDENES'!$AC1180="","-",'ORDENES'!$AC1180))</f>
        <v/>
      </c>
      <c r="H1202" s="3">
        <f>IF('ORDENES'!$A1180="","",IF('ORDENES'!$AO1180="","-",'ORDENES'!$AO1180))</f>
        <v/>
      </c>
      <c r="I1202" s="3">
        <f>IF('ORDENES'!$A1180="","",IF('ORDENES'!$D1180="","-",'ORDENES'!$D1180))</f>
        <v/>
      </c>
      <c r="J1202" s="3">
        <f>IF('ORDENES'!$A1180="","",IF('ORDENES'!$E1180="","-",'ORDENES'!$E1180))</f>
        <v/>
      </c>
      <c r="K1202" s="12">
        <f>IF('ORDENES'!$A1180="","",IF('ORDENES'!$N1180="",0,'ORDENES'!$N1180))</f>
        <v/>
      </c>
      <c r="L1202" s="3">
        <f>IF('ORDENES'!$A1180="","",IF('ORDENES'!$O1180="","-",'ORDENES'!$O1180))</f>
        <v/>
      </c>
      <c r="M1202" s="3">
        <f>IF('ORDENES'!$A1180="","",'ORDENES'!$AB1180)</f>
        <v/>
      </c>
    </row>
    <row r="1203">
      <c r="A1203" s="3">
        <f>IF('ORDENES'!$A1181="","",IF('ORDENES'!$P1181="","-",'ORDENES'!$P1181))</f>
        <v/>
      </c>
      <c r="B1203" s="3">
        <f>IF('ORDENES'!$A1181="","",IF('ORDENES'!$S1181="","-",'ORDENES'!$S1181))</f>
        <v/>
      </c>
      <c r="C1203" s="3">
        <f>IF('ORDENES'!$A1181="","",IF('ORDENES'!$AD1181="","-",'ORDENES'!$AD1181))</f>
        <v/>
      </c>
      <c r="D1203" s="3">
        <f>IF('ORDENES'!$A1181="","",IF('ORDENES'!$W1181="","-",'ORDENES'!$W1181))</f>
        <v/>
      </c>
      <c r="E1203" s="3">
        <f>IF('ORDENES'!$A1181="","",IF('ORDENES'!$V1181="","-",'ORDENES'!$V1181))</f>
        <v/>
      </c>
      <c r="F1203" s="3">
        <f>IF('ORDENES'!$A1181="","",IF('ORDENES'!$X1181="","-",'ORDENES'!$X1181))</f>
        <v/>
      </c>
      <c r="G1203" s="3">
        <f>IF('ORDENES'!$A1181="","",IF('ORDENES'!$AC1181="","-",'ORDENES'!$AC1181))</f>
        <v/>
      </c>
      <c r="H1203" s="3">
        <f>IF('ORDENES'!$A1181="","",IF('ORDENES'!$AO1181="","-",'ORDENES'!$AO1181))</f>
        <v/>
      </c>
      <c r="I1203" s="3">
        <f>IF('ORDENES'!$A1181="","",IF('ORDENES'!$D1181="","-",'ORDENES'!$D1181))</f>
        <v/>
      </c>
      <c r="J1203" s="3">
        <f>IF('ORDENES'!$A1181="","",IF('ORDENES'!$E1181="","-",'ORDENES'!$E1181))</f>
        <v/>
      </c>
      <c r="K1203" s="12">
        <f>IF('ORDENES'!$A1181="","",IF('ORDENES'!$N1181="",0,'ORDENES'!$N1181))</f>
        <v/>
      </c>
      <c r="L1203" s="3">
        <f>IF('ORDENES'!$A1181="","",IF('ORDENES'!$O1181="","-",'ORDENES'!$O1181))</f>
        <v/>
      </c>
      <c r="M1203" s="3">
        <f>IF('ORDENES'!$A1181="","",'ORDENES'!$AB1181)</f>
        <v/>
      </c>
    </row>
    <row r="1204">
      <c r="A1204" s="3">
        <f>IF('ORDENES'!$A1182="","",IF('ORDENES'!$P1182="","-",'ORDENES'!$P1182))</f>
        <v/>
      </c>
      <c r="B1204" s="3">
        <f>IF('ORDENES'!$A1182="","",IF('ORDENES'!$S1182="","-",'ORDENES'!$S1182))</f>
        <v/>
      </c>
      <c r="C1204" s="3">
        <f>IF('ORDENES'!$A1182="","",IF('ORDENES'!$AD1182="","-",'ORDENES'!$AD1182))</f>
        <v/>
      </c>
      <c r="D1204" s="3">
        <f>IF('ORDENES'!$A1182="","",IF('ORDENES'!$W1182="","-",'ORDENES'!$W1182))</f>
        <v/>
      </c>
      <c r="E1204" s="3">
        <f>IF('ORDENES'!$A1182="","",IF('ORDENES'!$V1182="","-",'ORDENES'!$V1182))</f>
        <v/>
      </c>
      <c r="F1204" s="3">
        <f>IF('ORDENES'!$A1182="","",IF('ORDENES'!$X1182="","-",'ORDENES'!$X1182))</f>
        <v/>
      </c>
      <c r="G1204" s="3">
        <f>IF('ORDENES'!$A1182="","",IF('ORDENES'!$AC1182="","-",'ORDENES'!$AC1182))</f>
        <v/>
      </c>
      <c r="H1204" s="3">
        <f>IF('ORDENES'!$A1182="","",IF('ORDENES'!$AO1182="","-",'ORDENES'!$AO1182))</f>
        <v/>
      </c>
      <c r="I1204" s="3">
        <f>IF('ORDENES'!$A1182="","",IF('ORDENES'!$D1182="","-",'ORDENES'!$D1182))</f>
        <v/>
      </c>
      <c r="J1204" s="3">
        <f>IF('ORDENES'!$A1182="","",IF('ORDENES'!$E1182="","-",'ORDENES'!$E1182))</f>
        <v/>
      </c>
      <c r="K1204" s="12">
        <f>IF('ORDENES'!$A1182="","",IF('ORDENES'!$N1182="",0,'ORDENES'!$N1182))</f>
        <v/>
      </c>
      <c r="L1204" s="3">
        <f>IF('ORDENES'!$A1182="","",IF('ORDENES'!$O1182="","-",'ORDENES'!$O1182))</f>
        <v/>
      </c>
      <c r="M1204" s="3">
        <f>IF('ORDENES'!$A1182="","",'ORDENES'!$AB1182)</f>
        <v/>
      </c>
    </row>
    <row r="1205">
      <c r="A1205" s="3">
        <f>IF('ORDENES'!$A1183="","",IF('ORDENES'!$P1183="","-",'ORDENES'!$P1183))</f>
        <v/>
      </c>
      <c r="B1205" s="3">
        <f>IF('ORDENES'!$A1183="","",IF('ORDENES'!$S1183="","-",'ORDENES'!$S1183))</f>
        <v/>
      </c>
      <c r="C1205" s="3">
        <f>IF('ORDENES'!$A1183="","",IF('ORDENES'!$AD1183="","-",'ORDENES'!$AD1183))</f>
        <v/>
      </c>
      <c r="D1205" s="3">
        <f>IF('ORDENES'!$A1183="","",IF('ORDENES'!$W1183="","-",'ORDENES'!$W1183))</f>
        <v/>
      </c>
      <c r="E1205" s="3">
        <f>IF('ORDENES'!$A1183="","",IF('ORDENES'!$V1183="","-",'ORDENES'!$V1183))</f>
        <v/>
      </c>
      <c r="F1205" s="3">
        <f>IF('ORDENES'!$A1183="","",IF('ORDENES'!$X1183="","-",'ORDENES'!$X1183))</f>
        <v/>
      </c>
      <c r="G1205" s="3">
        <f>IF('ORDENES'!$A1183="","",IF('ORDENES'!$AC1183="","-",'ORDENES'!$AC1183))</f>
        <v/>
      </c>
      <c r="H1205" s="3">
        <f>IF('ORDENES'!$A1183="","",IF('ORDENES'!$AO1183="","-",'ORDENES'!$AO1183))</f>
        <v/>
      </c>
      <c r="I1205" s="3">
        <f>IF('ORDENES'!$A1183="","",IF('ORDENES'!$D1183="","-",'ORDENES'!$D1183))</f>
        <v/>
      </c>
      <c r="J1205" s="3">
        <f>IF('ORDENES'!$A1183="","",IF('ORDENES'!$E1183="","-",'ORDENES'!$E1183))</f>
        <v/>
      </c>
      <c r="K1205" s="12">
        <f>IF('ORDENES'!$A1183="","",IF('ORDENES'!$N1183="",0,'ORDENES'!$N1183))</f>
        <v/>
      </c>
      <c r="L1205" s="3">
        <f>IF('ORDENES'!$A1183="","",IF('ORDENES'!$O1183="","-",'ORDENES'!$O1183))</f>
        <v/>
      </c>
      <c r="M1205" s="3">
        <f>IF('ORDENES'!$A1183="","",'ORDENES'!$AB1183)</f>
        <v/>
      </c>
    </row>
    <row r="1206">
      <c r="A1206" s="3">
        <f>IF('ORDENES'!$A1184="","",IF('ORDENES'!$P1184="","-",'ORDENES'!$P1184))</f>
        <v/>
      </c>
      <c r="B1206" s="3">
        <f>IF('ORDENES'!$A1184="","",IF('ORDENES'!$S1184="","-",'ORDENES'!$S1184))</f>
        <v/>
      </c>
      <c r="C1206" s="3">
        <f>IF('ORDENES'!$A1184="","",IF('ORDENES'!$AD1184="","-",'ORDENES'!$AD1184))</f>
        <v/>
      </c>
      <c r="D1206" s="3">
        <f>IF('ORDENES'!$A1184="","",IF('ORDENES'!$W1184="","-",'ORDENES'!$W1184))</f>
        <v/>
      </c>
      <c r="E1206" s="3">
        <f>IF('ORDENES'!$A1184="","",IF('ORDENES'!$V1184="","-",'ORDENES'!$V1184))</f>
        <v/>
      </c>
      <c r="F1206" s="3">
        <f>IF('ORDENES'!$A1184="","",IF('ORDENES'!$X1184="","-",'ORDENES'!$X1184))</f>
        <v/>
      </c>
      <c r="G1206" s="3">
        <f>IF('ORDENES'!$A1184="","",IF('ORDENES'!$AC1184="","-",'ORDENES'!$AC1184))</f>
        <v/>
      </c>
      <c r="H1206" s="3">
        <f>IF('ORDENES'!$A1184="","",IF('ORDENES'!$AO1184="","-",'ORDENES'!$AO1184))</f>
        <v/>
      </c>
      <c r="I1206" s="3">
        <f>IF('ORDENES'!$A1184="","",IF('ORDENES'!$D1184="","-",'ORDENES'!$D1184))</f>
        <v/>
      </c>
      <c r="J1206" s="3">
        <f>IF('ORDENES'!$A1184="","",IF('ORDENES'!$E1184="","-",'ORDENES'!$E1184))</f>
        <v/>
      </c>
      <c r="K1206" s="12">
        <f>IF('ORDENES'!$A1184="","",IF('ORDENES'!$N1184="",0,'ORDENES'!$N1184))</f>
        <v/>
      </c>
      <c r="L1206" s="3">
        <f>IF('ORDENES'!$A1184="","",IF('ORDENES'!$O1184="","-",'ORDENES'!$O1184))</f>
        <v/>
      </c>
      <c r="M1206" s="3">
        <f>IF('ORDENES'!$A1184="","",'ORDENES'!$AB1184)</f>
        <v/>
      </c>
    </row>
    <row r="1207">
      <c r="A1207" s="3">
        <f>IF('ORDENES'!$A1185="","",IF('ORDENES'!$P1185="","-",'ORDENES'!$P1185))</f>
        <v/>
      </c>
      <c r="B1207" s="3">
        <f>IF('ORDENES'!$A1185="","",IF('ORDENES'!$S1185="","-",'ORDENES'!$S1185))</f>
        <v/>
      </c>
      <c r="C1207" s="3">
        <f>IF('ORDENES'!$A1185="","",IF('ORDENES'!$AD1185="","-",'ORDENES'!$AD1185))</f>
        <v/>
      </c>
      <c r="D1207" s="3">
        <f>IF('ORDENES'!$A1185="","",IF('ORDENES'!$W1185="","-",'ORDENES'!$W1185))</f>
        <v/>
      </c>
      <c r="E1207" s="3">
        <f>IF('ORDENES'!$A1185="","",IF('ORDENES'!$V1185="","-",'ORDENES'!$V1185))</f>
        <v/>
      </c>
      <c r="F1207" s="3">
        <f>IF('ORDENES'!$A1185="","",IF('ORDENES'!$X1185="","-",'ORDENES'!$X1185))</f>
        <v/>
      </c>
      <c r="G1207" s="3">
        <f>IF('ORDENES'!$A1185="","",IF('ORDENES'!$AC1185="","-",'ORDENES'!$AC1185))</f>
        <v/>
      </c>
      <c r="H1207" s="3">
        <f>IF('ORDENES'!$A1185="","",IF('ORDENES'!$AO1185="","-",'ORDENES'!$AO1185))</f>
        <v/>
      </c>
      <c r="I1207" s="3">
        <f>IF('ORDENES'!$A1185="","",IF('ORDENES'!$D1185="","-",'ORDENES'!$D1185))</f>
        <v/>
      </c>
      <c r="J1207" s="3">
        <f>IF('ORDENES'!$A1185="","",IF('ORDENES'!$E1185="","-",'ORDENES'!$E1185))</f>
        <v/>
      </c>
      <c r="K1207" s="12">
        <f>IF('ORDENES'!$A1185="","",IF('ORDENES'!$N1185="",0,'ORDENES'!$N1185))</f>
        <v/>
      </c>
      <c r="L1207" s="3">
        <f>IF('ORDENES'!$A1185="","",IF('ORDENES'!$O1185="","-",'ORDENES'!$O1185))</f>
        <v/>
      </c>
      <c r="M1207" s="3">
        <f>IF('ORDENES'!$A1185="","",'ORDENES'!$AB1185)</f>
        <v/>
      </c>
    </row>
    <row r="1208">
      <c r="A1208" s="3">
        <f>IF('ORDENES'!$A1186="","",IF('ORDENES'!$P1186="","-",'ORDENES'!$P1186))</f>
        <v/>
      </c>
      <c r="B1208" s="3">
        <f>IF('ORDENES'!$A1186="","",IF('ORDENES'!$S1186="","-",'ORDENES'!$S1186))</f>
        <v/>
      </c>
      <c r="C1208" s="3">
        <f>IF('ORDENES'!$A1186="","",IF('ORDENES'!$AD1186="","-",'ORDENES'!$AD1186))</f>
        <v/>
      </c>
      <c r="D1208" s="3">
        <f>IF('ORDENES'!$A1186="","",IF('ORDENES'!$W1186="","-",'ORDENES'!$W1186))</f>
        <v/>
      </c>
      <c r="E1208" s="3">
        <f>IF('ORDENES'!$A1186="","",IF('ORDENES'!$V1186="","-",'ORDENES'!$V1186))</f>
        <v/>
      </c>
      <c r="F1208" s="3">
        <f>IF('ORDENES'!$A1186="","",IF('ORDENES'!$X1186="","-",'ORDENES'!$X1186))</f>
        <v/>
      </c>
      <c r="G1208" s="3">
        <f>IF('ORDENES'!$A1186="","",IF('ORDENES'!$AC1186="","-",'ORDENES'!$AC1186))</f>
        <v/>
      </c>
      <c r="H1208" s="3">
        <f>IF('ORDENES'!$A1186="","",IF('ORDENES'!$AO1186="","-",'ORDENES'!$AO1186))</f>
        <v/>
      </c>
      <c r="I1208" s="3">
        <f>IF('ORDENES'!$A1186="","",IF('ORDENES'!$D1186="","-",'ORDENES'!$D1186))</f>
        <v/>
      </c>
      <c r="J1208" s="3">
        <f>IF('ORDENES'!$A1186="","",IF('ORDENES'!$E1186="","-",'ORDENES'!$E1186))</f>
        <v/>
      </c>
      <c r="K1208" s="12">
        <f>IF('ORDENES'!$A1186="","",IF('ORDENES'!$N1186="",0,'ORDENES'!$N1186))</f>
        <v/>
      </c>
      <c r="L1208" s="3">
        <f>IF('ORDENES'!$A1186="","",IF('ORDENES'!$O1186="","-",'ORDENES'!$O1186))</f>
        <v/>
      </c>
      <c r="M1208" s="3">
        <f>IF('ORDENES'!$A1186="","",'ORDENES'!$AB1186)</f>
        <v/>
      </c>
    </row>
    <row r="1209">
      <c r="A1209" s="3">
        <f>IF('ORDENES'!$A1187="","",IF('ORDENES'!$P1187="","-",'ORDENES'!$P1187))</f>
        <v/>
      </c>
      <c r="B1209" s="3">
        <f>IF('ORDENES'!$A1187="","",IF('ORDENES'!$S1187="","-",'ORDENES'!$S1187))</f>
        <v/>
      </c>
      <c r="C1209" s="3">
        <f>IF('ORDENES'!$A1187="","",IF('ORDENES'!$AD1187="","-",'ORDENES'!$AD1187))</f>
        <v/>
      </c>
      <c r="D1209" s="3">
        <f>IF('ORDENES'!$A1187="","",IF('ORDENES'!$W1187="","-",'ORDENES'!$W1187))</f>
        <v/>
      </c>
      <c r="E1209" s="3">
        <f>IF('ORDENES'!$A1187="","",IF('ORDENES'!$V1187="","-",'ORDENES'!$V1187))</f>
        <v/>
      </c>
      <c r="F1209" s="3">
        <f>IF('ORDENES'!$A1187="","",IF('ORDENES'!$X1187="","-",'ORDENES'!$X1187))</f>
        <v/>
      </c>
      <c r="G1209" s="3">
        <f>IF('ORDENES'!$A1187="","",IF('ORDENES'!$AC1187="","-",'ORDENES'!$AC1187))</f>
        <v/>
      </c>
      <c r="H1209" s="3">
        <f>IF('ORDENES'!$A1187="","",IF('ORDENES'!$AO1187="","-",'ORDENES'!$AO1187))</f>
        <v/>
      </c>
      <c r="I1209" s="3">
        <f>IF('ORDENES'!$A1187="","",IF('ORDENES'!$D1187="","-",'ORDENES'!$D1187))</f>
        <v/>
      </c>
      <c r="J1209" s="3">
        <f>IF('ORDENES'!$A1187="","",IF('ORDENES'!$E1187="","-",'ORDENES'!$E1187))</f>
        <v/>
      </c>
      <c r="K1209" s="12">
        <f>IF('ORDENES'!$A1187="","",IF('ORDENES'!$N1187="",0,'ORDENES'!$N1187))</f>
        <v/>
      </c>
      <c r="L1209" s="3">
        <f>IF('ORDENES'!$A1187="","",IF('ORDENES'!$O1187="","-",'ORDENES'!$O1187))</f>
        <v/>
      </c>
      <c r="M1209" s="3">
        <f>IF('ORDENES'!$A1187="","",'ORDENES'!$AB1187)</f>
        <v/>
      </c>
    </row>
    <row r="1210">
      <c r="A1210" s="3">
        <f>IF('ORDENES'!$A1188="","",IF('ORDENES'!$P1188="","-",'ORDENES'!$P1188))</f>
        <v/>
      </c>
      <c r="B1210" s="3">
        <f>IF('ORDENES'!$A1188="","",IF('ORDENES'!$S1188="","-",'ORDENES'!$S1188))</f>
        <v/>
      </c>
      <c r="C1210" s="3">
        <f>IF('ORDENES'!$A1188="","",IF('ORDENES'!$AD1188="","-",'ORDENES'!$AD1188))</f>
        <v/>
      </c>
      <c r="D1210" s="3">
        <f>IF('ORDENES'!$A1188="","",IF('ORDENES'!$W1188="","-",'ORDENES'!$W1188))</f>
        <v/>
      </c>
      <c r="E1210" s="3">
        <f>IF('ORDENES'!$A1188="","",IF('ORDENES'!$V1188="","-",'ORDENES'!$V1188))</f>
        <v/>
      </c>
      <c r="F1210" s="3">
        <f>IF('ORDENES'!$A1188="","",IF('ORDENES'!$X1188="","-",'ORDENES'!$X1188))</f>
        <v/>
      </c>
      <c r="G1210" s="3">
        <f>IF('ORDENES'!$A1188="","",IF('ORDENES'!$AC1188="","-",'ORDENES'!$AC1188))</f>
        <v/>
      </c>
      <c r="H1210" s="3">
        <f>IF('ORDENES'!$A1188="","",IF('ORDENES'!$AO1188="","-",'ORDENES'!$AO1188))</f>
        <v/>
      </c>
      <c r="I1210" s="3">
        <f>IF('ORDENES'!$A1188="","",IF('ORDENES'!$D1188="","-",'ORDENES'!$D1188))</f>
        <v/>
      </c>
      <c r="J1210" s="3">
        <f>IF('ORDENES'!$A1188="","",IF('ORDENES'!$E1188="","-",'ORDENES'!$E1188))</f>
        <v/>
      </c>
      <c r="K1210" s="12">
        <f>IF('ORDENES'!$A1188="","",IF('ORDENES'!$N1188="",0,'ORDENES'!$N1188))</f>
        <v/>
      </c>
      <c r="L1210" s="3">
        <f>IF('ORDENES'!$A1188="","",IF('ORDENES'!$O1188="","-",'ORDENES'!$O1188))</f>
        <v/>
      </c>
      <c r="M1210" s="3">
        <f>IF('ORDENES'!$A1188="","",'ORDENES'!$AB1188)</f>
        <v/>
      </c>
    </row>
    <row r="1211">
      <c r="A1211" s="3">
        <f>IF('ORDENES'!$A1189="","",IF('ORDENES'!$P1189="","-",'ORDENES'!$P1189))</f>
        <v/>
      </c>
      <c r="B1211" s="3">
        <f>IF('ORDENES'!$A1189="","",IF('ORDENES'!$S1189="","-",'ORDENES'!$S1189))</f>
        <v/>
      </c>
      <c r="C1211" s="3">
        <f>IF('ORDENES'!$A1189="","",IF('ORDENES'!$AD1189="","-",'ORDENES'!$AD1189))</f>
        <v/>
      </c>
      <c r="D1211" s="3">
        <f>IF('ORDENES'!$A1189="","",IF('ORDENES'!$W1189="","-",'ORDENES'!$W1189))</f>
        <v/>
      </c>
      <c r="E1211" s="3">
        <f>IF('ORDENES'!$A1189="","",IF('ORDENES'!$V1189="","-",'ORDENES'!$V1189))</f>
        <v/>
      </c>
      <c r="F1211" s="3">
        <f>IF('ORDENES'!$A1189="","",IF('ORDENES'!$X1189="","-",'ORDENES'!$X1189))</f>
        <v/>
      </c>
      <c r="G1211" s="3">
        <f>IF('ORDENES'!$A1189="","",IF('ORDENES'!$AC1189="","-",'ORDENES'!$AC1189))</f>
        <v/>
      </c>
      <c r="H1211" s="3">
        <f>IF('ORDENES'!$A1189="","",IF('ORDENES'!$AO1189="","-",'ORDENES'!$AO1189))</f>
        <v/>
      </c>
      <c r="I1211" s="3">
        <f>IF('ORDENES'!$A1189="","",IF('ORDENES'!$D1189="","-",'ORDENES'!$D1189))</f>
        <v/>
      </c>
      <c r="J1211" s="3">
        <f>IF('ORDENES'!$A1189="","",IF('ORDENES'!$E1189="","-",'ORDENES'!$E1189))</f>
        <v/>
      </c>
      <c r="K1211" s="12">
        <f>IF('ORDENES'!$A1189="","",IF('ORDENES'!$N1189="",0,'ORDENES'!$N1189))</f>
        <v/>
      </c>
      <c r="L1211" s="3">
        <f>IF('ORDENES'!$A1189="","",IF('ORDENES'!$O1189="","-",'ORDENES'!$O1189))</f>
        <v/>
      </c>
      <c r="M1211" s="3">
        <f>IF('ORDENES'!$A1189="","",'ORDENES'!$AB1189)</f>
        <v/>
      </c>
    </row>
    <row r="1212">
      <c r="A1212" s="3">
        <f>IF('ORDENES'!$A1190="","",IF('ORDENES'!$P1190="","-",'ORDENES'!$P1190))</f>
        <v/>
      </c>
      <c r="B1212" s="3">
        <f>IF('ORDENES'!$A1190="","",IF('ORDENES'!$S1190="","-",'ORDENES'!$S1190))</f>
        <v/>
      </c>
      <c r="C1212" s="3">
        <f>IF('ORDENES'!$A1190="","",IF('ORDENES'!$AD1190="","-",'ORDENES'!$AD1190))</f>
        <v/>
      </c>
      <c r="D1212" s="3">
        <f>IF('ORDENES'!$A1190="","",IF('ORDENES'!$W1190="","-",'ORDENES'!$W1190))</f>
        <v/>
      </c>
      <c r="E1212" s="3">
        <f>IF('ORDENES'!$A1190="","",IF('ORDENES'!$V1190="","-",'ORDENES'!$V1190))</f>
        <v/>
      </c>
      <c r="F1212" s="3">
        <f>IF('ORDENES'!$A1190="","",IF('ORDENES'!$X1190="","-",'ORDENES'!$X1190))</f>
        <v/>
      </c>
      <c r="G1212" s="3">
        <f>IF('ORDENES'!$A1190="","",IF('ORDENES'!$AC1190="","-",'ORDENES'!$AC1190))</f>
        <v/>
      </c>
      <c r="H1212" s="3">
        <f>IF('ORDENES'!$A1190="","",IF('ORDENES'!$AO1190="","-",'ORDENES'!$AO1190))</f>
        <v/>
      </c>
      <c r="I1212" s="3">
        <f>IF('ORDENES'!$A1190="","",IF('ORDENES'!$D1190="","-",'ORDENES'!$D1190))</f>
        <v/>
      </c>
      <c r="J1212" s="3">
        <f>IF('ORDENES'!$A1190="","",IF('ORDENES'!$E1190="","-",'ORDENES'!$E1190))</f>
        <v/>
      </c>
      <c r="K1212" s="12">
        <f>IF('ORDENES'!$A1190="","",IF('ORDENES'!$N1190="",0,'ORDENES'!$N1190))</f>
        <v/>
      </c>
      <c r="L1212" s="3">
        <f>IF('ORDENES'!$A1190="","",IF('ORDENES'!$O1190="","-",'ORDENES'!$O1190))</f>
        <v/>
      </c>
      <c r="M1212" s="3">
        <f>IF('ORDENES'!$A1190="","",'ORDENES'!$AB1190)</f>
        <v/>
      </c>
    </row>
    <row r="1213">
      <c r="A1213" s="3">
        <f>IF('ORDENES'!$A1191="","",IF('ORDENES'!$P1191="","-",'ORDENES'!$P1191))</f>
        <v/>
      </c>
      <c r="B1213" s="3">
        <f>IF('ORDENES'!$A1191="","",IF('ORDENES'!$S1191="","-",'ORDENES'!$S1191))</f>
        <v/>
      </c>
      <c r="C1213" s="3">
        <f>IF('ORDENES'!$A1191="","",IF('ORDENES'!$AD1191="","-",'ORDENES'!$AD1191))</f>
        <v/>
      </c>
      <c r="D1213" s="3">
        <f>IF('ORDENES'!$A1191="","",IF('ORDENES'!$W1191="","-",'ORDENES'!$W1191))</f>
        <v/>
      </c>
      <c r="E1213" s="3">
        <f>IF('ORDENES'!$A1191="","",IF('ORDENES'!$V1191="","-",'ORDENES'!$V1191))</f>
        <v/>
      </c>
      <c r="F1213" s="3">
        <f>IF('ORDENES'!$A1191="","",IF('ORDENES'!$X1191="","-",'ORDENES'!$X1191))</f>
        <v/>
      </c>
      <c r="G1213" s="3">
        <f>IF('ORDENES'!$A1191="","",IF('ORDENES'!$AC1191="","-",'ORDENES'!$AC1191))</f>
        <v/>
      </c>
      <c r="H1213" s="3">
        <f>IF('ORDENES'!$A1191="","",IF('ORDENES'!$AO1191="","-",'ORDENES'!$AO1191))</f>
        <v/>
      </c>
      <c r="I1213" s="3">
        <f>IF('ORDENES'!$A1191="","",IF('ORDENES'!$D1191="","-",'ORDENES'!$D1191))</f>
        <v/>
      </c>
      <c r="J1213" s="3">
        <f>IF('ORDENES'!$A1191="","",IF('ORDENES'!$E1191="","-",'ORDENES'!$E1191))</f>
        <v/>
      </c>
      <c r="K1213" s="12">
        <f>IF('ORDENES'!$A1191="","",IF('ORDENES'!$N1191="",0,'ORDENES'!$N1191))</f>
        <v/>
      </c>
      <c r="L1213" s="3">
        <f>IF('ORDENES'!$A1191="","",IF('ORDENES'!$O1191="","-",'ORDENES'!$O1191))</f>
        <v/>
      </c>
      <c r="M1213" s="3">
        <f>IF('ORDENES'!$A1191="","",'ORDENES'!$AB1191)</f>
        <v/>
      </c>
    </row>
    <row r="1214">
      <c r="A1214" s="3">
        <f>IF('ORDENES'!$A1192="","",IF('ORDENES'!$P1192="","-",'ORDENES'!$P1192))</f>
        <v/>
      </c>
      <c r="B1214" s="3">
        <f>IF('ORDENES'!$A1192="","",IF('ORDENES'!$S1192="","-",'ORDENES'!$S1192))</f>
        <v/>
      </c>
      <c r="C1214" s="3">
        <f>IF('ORDENES'!$A1192="","",IF('ORDENES'!$AD1192="","-",'ORDENES'!$AD1192))</f>
        <v/>
      </c>
      <c r="D1214" s="3">
        <f>IF('ORDENES'!$A1192="","",IF('ORDENES'!$W1192="","-",'ORDENES'!$W1192))</f>
        <v/>
      </c>
      <c r="E1214" s="3">
        <f>IF('ORDENES'!$A1192="","",IF('ORDENES'!$V1192="","-",'ORDENES'!$V1192))</f>
        <v/>
      </c>
      <c r="F1214" s="3">
        <f>IF('ORDENES'!$A1192="","",IF('ORDENES'!$X1192="","-",'ORDENES'!$X1192))</f>
        <v/>
      </c>
      <c r="G1214" s="3">
        <f>IF('ORDENES'!$A1192="","",IF('ORDENES'!$AC1192="","-",'ORDENES'!$AC1192))</f>
        <v/>
      </c>
      <c r="H1214" s="3">
        <f>IF('ORDENES'!$A1192="","",IF('ORDENES'!$AO1192="","-",'ORDENES'!$AO1192))</f>
        <v/>
      </c>
      <c r="I1214" s="3">
        <f>IF('ORDENES'!$A1192="","",IF('ORDENES'!$D1192="","-",'ORDENES'!$D1192))</f>
        <v/>
      </c>
      <c r="J1214" s="3">
        <f>IF('ORDENES'!$A1192="","",IF('ORDENES'!$E1192="","-",'ORDENES'!$E1192))</f>
        <v/>
      </c>
      <c r="K1214" s="12">
        <f>IF('ORDENES'!$A1192="","",IF('ORDENES'!$N1192="",0,'ORDENES'!$N1192))</f>
        <v/>
      </c>
      <c r="L1214" s="3">
        <f>IF('ORDENES'!$A1192="","",IF('ORDENES'!$O1192="","-",'ORDENES'!$O1192))</f>
        <v/>
      </c>
      <c r="M1214" s="3">
        <f>IF('ORDENES'!$A1192="","",'ORDENES'!$AB1192)</f>
        <v/>
      </c>
    </row>
    <row r="1215">
      <c r="A1215" s="3">
        <f>IF('ORDENES'!$A1193="","",IF('ORDENES'!$P1193="","-",'ORDENES'!$P1193))</f>
        <v/>
      </c>
      <c r="B1215" s="3">
        <f>IF('ORDENES'!$A1193="","",IF('ORDENES'!$S1193="","-",'ORDENES'!$S1193))</f>
        <v/>
      </c>
      <c r="C1215" s="3">
        <f>IF('ORDENES'!$A1193="","",IF('ORDENES'!$AD1193="","-",'ORDENES'!$AD1193))</f>
        <v/>
      </c>
      <c r="D1215" s="3">
        <f>IF('ORDENES'!$A1193="","",IF('ORDENES'!$W1193="","-",'ORDENES'!$W1193))</f>
        <v/>
      </c>
      <c r="E1215" s="3">
        <f>IF('ORDENES'!$A1193="","",IF('ORDENES'!$V1193="","-",'ORDENES'!$V1193))</f>
        <v/>
      </c>
      <c r="F1215" s="3">
        <f>IF('ORDENES'!$A1193="","",IF('ORDENES'!$X1193="","-",'ORDENES'!$X1193))</f>
        <v/>
      </c>
      <c r="G1215" s="3">
        <f>IF('ORDENES'!$A1193="","",IF('ORDENES'!$AC1193="","-",'ORDENES'!$AC1193))</f>
        <v/>
      </c>
      <c r="H1215" s="3">
        <f>IF('ORDENES'!$A1193="","",IF('ORDENES'!$AO1193="","-",'ORDENES'!$AO1193))</f>
        <v/>
      </c>
      <c r="I1215" s="3">
        <f>IF('ORDENES'!$A1193="","",IF('ORDENES'!$D1193="","-",'ORDENES'!$D1193))</f>
        <v/>
      </c>
      <c r="J1215" s="3">
        <f>IF('ORDENES'!$A1193="","",IF('ORDENES'!$E1193="","-",'ORDENES'!$E1193))</f>
        <v/>
      </c>
      <c r="K1215" s="12">
        <f>IF('ORDENES'!$A1193="","",IF('ORDENES'!$N1193="",0,'ORDENES'!$N1193))</f>
        <v/>
      </c>
      <c r="L1215" s="3">
        <f>IF('ORDENES'!$A1193="","",IF('ORDENES'!$O1193="","-",'ORDENES'!$O1193))</f>
        <v/>
      </c>
      <c r="M1215" s="3">
        <f>IF('ORDENES'!$A1193="","",'ORDENES'!$AB1193)</f>
        <v/>
      </c>
    </row>
    <row r="1216">
      <c r="A1216" s="3">
        <f>IF('ORDENES'!$A1194="","",IF('ORDENES'!$P1194="","-",'ORDENES'!$P1194))</f>
        <v/>
      </c>
      <c r="B1216" s="3">
        <f>IF('ORDENES'!$A1194="","",IF('ORDENES'!$S1194="","-",'ORDENES'!$S1194))</f>
        <v/>
      </c>
      <c r="C1216" s="3">
        <f>IF('ORDENES'!$A1194="","",IF('ORDENES'!$AD1194="","-",'ORDENES'!$AD1194))</f>
        <v/>
      </c>
      <c r="D1216" s="3">
        <f>IF('ORDENES'!$A1194="","",IF('ORDENES'!$W1194="","-",'ORDENES'!$W1194))</f>
        <v/>
      </c>
      <c r="E1216" s="3">
        <f>IF('ORDENES'!$A1194="","",IF('ORDENES'!$V1194="","-",'ORDENES'!$V1194))</f>
        <v/>
      </c>
      <c r="F1216" s="3">
        <f>IF('ORDENES'!$A1194="","",IF('ORDENES'!$X1194="","-",'ORDENES'!$X1194))</f>
        <v/>
      </c>
      <c r="G1216" s="3">
        <f>IF('ORDENES'!$A1194="","",IF('ORDENES'!$AC1194="","-",'ORDENES'!$AC1194))</f>
        <v/>
      </c>
      <c r="H1216" s="3">
        <f>IF('ORDENES'!$A1194="","",IF('ORDENES'!$AO1194="","-",'ORDENES'!$AO1194))</f>
        <v/>
      </c>
      <c r="I1216" s="3">
        <f>IF('ORDENES'!$A1194="","",IF('ORDENES'!$D1194="","-",'ORDENES'!$D1194))</f>
        <v/>
      </c>
      <c r="J1216" s="3">
        <f>IF('ORDENES'!$A1194="","",IF('ORDENES'!$E1194="","-",'ORDENES'!$E1194))</f>
        <v/>
      </c>
      <c r="K1216" s="12">
        <f>IF('ORDENES'!$A1194="","",IF('ORDENES'!$N1194="",0,'ORDENES'!$N1194))</f>
        <v/>
      </c>
      <c r="L1216" s="3">
        <f>IF('ORDENES'!$A1194="","",IF('ORDENES'!$O1194="","-",'ORDENES'!$O1194))</f>
        <v/>
      </c>
      <c r="M1216" s="3">
        <f>IF('ORDENES'!$A1194="","",'ORDENES'!$AB1194)</f>
        <v/>
      </c>
    </row>
    <row r="1217">
      <c r="A1217" s="3">
        <f>IF('ORDENES'!$A1195="","",IF('ORDENES'!$P1195="","-",'ORDENES'!$P1195))</f>
        <v/>
      </c>
      <c r="B1217" s="3">
        <f>IF('ORDENES'!$A1195="","",IF('ORDENES'!$S1195="","-",'ORDENES'!$S1195))</f>
        <v/>
      </c>
      <c r="C1217" s="3">
        <f>IF('ORDENES'!$A1195="","",IF('ORDENES'!$AD1195="","-",'ORDENES'!$AD1195))</f>
        <v/>
      </c>
      <c r="D1217" s="3">
        <f>IF('ORDENES'!$A1195="","",IF('ORDENES'!$W1195="","-",'ORDENES'!$W1195))</f>
        <v/>
      </c>
      <c r="E1217" s="3">
        <f>IF('ORDENES'!$A1195="","",IF('ORDENES'!$V1195="","-",'ORDENES'!$V1195))</f>
        <v/>
      </c>
      <c r="F1217" s="3">
        <f>IF('ORDENES'!$A1195="","",IF('ORDENES'!$X1195="","-",'ORDENES'!$X1195))</f>
        <v/>
      </c>
      <c r="G1217" s="3">
        <f>IF('ORDENES'!$A1195="","",IF('ORDENES'!$AC1195="","-",'ORDENES'!$AC1195))</f>
        <v/>
      </c>
      <c r="H1217" s="3">
        <f>IF('ORDENES'!$A1195="","",IF('ORDENES'!$AO1195="","-",'ORDENES'!$AO1195))</f>
        <v/>
      </c>
      <c r="I1217" s="3">
        <f>IF('ORDENES'!$A1195="","",IF('ORDENES'!$D1195="","-",'ORDENES'!$D1195))</f>
        <v/>
      </c>
      <c r="J1217" s="3">
        <f>IF('ORDENES'!$A1195="","",IF('ORDENES'!$E1195="","-",'ORDENES'!$E1195))</f>
        <v/>
      </c>
      <c r="K1217" s="12">
        <f>IF('ORDENES'!$A1195="","",IF('ORDENES'!$N1195="",0,'ORDENES'!$N1195))</f>
        <v/>
      </c>
      <c r="L1217" s="3">
        <f>IF('ORDENES'!$A1195="","",IF('ORDENES'!$O1195="","-",'ORDENES'!$O1195))</f>
        <v/>
      </c>
      <c r="M1217" s="3">
        <f>IF('ORDENES'!$A1195="","",'ORDENES'!$AB1195)</f>
        <v/>
      </c>
    </row>
    <row r="1218">
      <c r="A1218" s="3">
        <f>IF('ORDENES'!$A1196="","",IF('ORDENES'!$P1196="","-",'ORDENES'!$P1196))</f>
        <v/>
      </c>
      <c r="B1218" s="3">
        <f>IF('ORDENES'!$A1196="","",IF('ORDENES'!$S1196="","-",'ORDENES'!$S1196))</f>
        <v/>
      </c>
      <c r="C1218" s="3">
        <f>IF('ORDENES'!$A1196="","",IF('ORDENES'!$AD1196="","-",'ORDENES'!$AD1196))</f>
        <v/>
      </c>
      <c r="D1218" s="3">
        <f>IF('ORDENES'!$A1196="","",IF('ORDENES'!$W1196="","-",'ORDENES'!$W1196))</f>
        <v/>
      </c>
      <c r="E1218" s="3">
        <f>IF('ORDENES'!$A1196="","",IF('ORDENES'!$V1196="","-",'ORDENES'!$V1196))</f>
        <v/>
      </c>
      <c r="F1218" s="3">
        <f>IF('ORDENES'!$A1196="","",IF('ORDENES'!$X1196="","-",'ORDENES'!$X1196))</f>
        <v/>
      </c>
      <c r="G1218" s="3">
        <f>IF('ORDENES'!$A1196="","",IF('ORDENES'!$AC1196="","-",'ORDENES'!$AC1196))</f>
        <v/>
      </c>
      <c r="H1218" s="3">
        <f>IF('ORDENES'!$A1196="","",IF('ORDENES'!$AO1196="","-",'ORDENES'!$AO1196))</f>
        <v/>
      </c>
      <c r="I1218" s="3">
        <f>IF('ORDENES'!$A1196="","",IF('ORDENES'!$D1196="","-",'ORDENES'!$D1196))</f>
        <v/>
      </c>
      <c r="J1218" s="3">
        <f>IF('ORDENES'!$A1196="","",IF('ORDENES'!$E1196="","-",'ORDENES'!$E1196))</f>
        <v/>
      </c>
      <c r="K1218" s="12">
        <f>IF('ORDENES'!$A1196="","",IF('ORDENES'!$N1196="",0,'ORDENES'!$N1196))</f>
        <v/>
      </c>
      <c r="L1218" s="3">
        <f>IF('ORDENES'!$A1196="","",IF('ORDENES'!$O1196="","-",'ORDENES'!$O1196))</f>
        <v/>
      </c>
      <c r="M1218" s="3">
        <f>IF('ORDENES'!$A1196="","",'ORDENES'!$AB1196)</f>
        <v/>
      </c>
    </row>
    <row r="1219">
      <c r="A1219" s="3">
        <f>IF('ORDENES'!$A1197="","",IF('ORDENES'!$P1197="","-",'ORDENES'!$P1197))</f>
        <v/>
      </c>
      <c r="B1219" s="3">
        <f>IF('ORDENES'!$A1197="","",IF('ORDENES'!$S1197="","-",'ORDENES'!$S1197))</f>
        <v/>
      </c>
      <c r="C1219" s="3">
        <f>IF('ORDENES'!$A1197="","",IF('ORDENES'!$AD1197="","-",'ORDENES'!$AD1197))</f>
        <v/>
      </c>
      <c r="D1219" s="3">
        <f>IF('ORDENES'!$A1197="","",IF('ORDENES'!$W1197="","-",'ORDENES'!$W1197))</f>
        <v/>
      </c>
      <c r="E1219" s="3">
        <f>IF('ORDENES'!$A1197="","",IF('ORDENES'!$V1197="","-",'ORDENES'!$V1197))</f>
        <v/>
      </c>
      <c r="F1219" s="3">
        <f>IF('ORDENES'!$A1197="","",IF('ORDENES'!$X1197="","-",'ORDENES'!$X1197))</f>
        <v/>
      </c>
      <c r="G1219" s="3">
        <f>IF('ORDENES'!$A1197="","",IF('ORDENES'!$AC1197="","-",'ORDENES'!$AC1197))</f>
        <v/>
      </c>
      <c r="H1219" s="3">
        <f>IF('ORDENES'!$A1197="","",IF('ORDENES'!$AO1197="","-",'ORDENES'!$AO1197))</f>
        <v/>
      </c>
      <c r="I1219" s="3">
        <f>IF('ORDENES'!$A1197="","",IF('ORDENES'!$D1197="","-",'ORDENES'!$D1197))</f>
        <v/>
      </c>
      <c r="J1219" s="3">
        <f>IF('ORDENES'!$A1197="","",IF('ORDENES'!$E1197="","-",'ORDENES'!$E1197))</f>
        <v/>
      </c>
      <c r="K1219" s="12">
        <f>IF('ORDENES'!$A1197="","",IF('ORDENES'!$N1197="",0,'ORDENES'!$N1197))</f>
        <v/>
      </c>
      <c r="L1219" s="3">
        <f>IF('ORDENES'!$A1197="","",IF('ORDENES'!$O1197="","-",'ORDENES'!$O1197))</f>
        <v/>
      </c>
      <c r="M1219" s="3">
        <f>IF('ORDENES'!$A1197="","",'ORDENES'!$AB1197)</f>
        <v/>
      </c>
    </row>
    <row r="1220">
      <c r="A1220" s="3">
        <f>IF('ORDENES'!$A1198="","",IF('ORDENES'!$P1198="","-",'ORDENES'!$P1198))</f>
        <v/>
      </c>
      <c r="B1220" s="3">
        <f>IF('ORDENES'!$A1198="","",IF('ORDENES'!$S1198="","-",'ORDENES'!$S1198))</f>
        <v/>
      </c>
      <c r="C1220" s="3">
        <f>IF('ORDENES'!$A1198="","",IF('ORDENES'!$AD1198="","-",'ORDENES'!$AD1198))</f>
        <v/>
      </c>
      <c r="D1220" s="3">
        <f>IF('ORDENES'!$A1198="","",IF('ORDENES'!$W1198="","-",'ORDENES'!$W1198))</f>
        <v/>
      </c>
      <c r="E1220" s="3">
        <f>IF('ORDENES'!$A1198="","",IF('ORDENES'!$V1198="","-",'ORDENES'!$V1198))</f>
        <v/>
      </c>
      <c r="F1220" s="3">
        <f>IF('ORDENES'!$A1198="","",IF('ORDENES'!$X1198="","-",'ORDENES'!$X1198))</f>
        <v/>
      </c>
      <c r="G1220" s="3">
        <f>IF('ORDENES'!$A1198="","",IF('ORDENES'!$AC1198="","-",'ORDENES'!$AC1198))</f>
        <v/>
      </c>
      <c r="H1220" s="3">
        <f>IF('ORDENES'!$A1198="","",IF('ORDENES'!$AO1198="","-",'ORDENES'!$AO1198))</f>
        <v/>
      </c>
      <c r="I1220" s="3">
        <f>IF('ORDENES'!$A1198="","",IF('ORDENES'!$D1198="","-",'ORDENES'!$D1198))</f>
        <v/>
      </c>
      <c r="J1220" s="3">
        <f>IF('ORDENES'!$A1198="","",IF('ORDENES'!$E1198="","-",'ORDENES'!$E1198))</f>
        <v/>
      </c>
      <c r="K1220" s="12">
        <f>IF('ORDENES'!$A1198="","",IF('ORDENES'!$N1198="",0,'ORDENES'!$N1198))</f>
        <v/>
      </c>
      <c r="L1220" s="3">
        <f>IF('ORDENES'!$A1198="","",IF('ORDENES'!$O1198="","-",'ORDENES'!$O1198))</f>
        <v/>
      </c>
      <c r="M1220" s="3">
        <f>IF('ORDENES'!$A1198="","",'ORDENES'!$AB1198)</f>
        <v/>
      </c>
    </row>
    <row r="1221">
      <c r="A1221" s="3">
        <f>IF('ORDENES'!$A1199="","",IF('ORDENES'!$P1199="","-",'ORDENES'!$P1199))</f>
        <v/>
      </c>
      <c r="B1221" s="3">
        <f>IF('ORDENES'!$A1199="","",IF('ORDENES'!$S1199="","-",'ORDENES'!$S1199))</f>
        <v/>
      </c>
      <c r="C1221" s="3">
        <f>IF('ORDENES'!$A1199="","",IF('ORDENES'!$AD1199="","-",'ORDENES'!$AD1199))</f>
        <v/>
      </c>
      <c r="D1221" s="3">
        <f>IF('ORDENES'!$A1199="","",IF('ORDENES'!$W1199="","-",'ORDENES'!$W1199))</f>
        <v/>
      </c>
      <c r="E1221" s="3">
        <f>IF('ORDENES'!$A1199="","",IF('ORDENES'!$V1199="","-",'ORDENES'!$V1199))</f>
        <v/>
      </c>
      <c r="F1221" s="3">
        <f>IF('ORDENES'!$A1199="","",IF('ORDENES'!$X1199="","-",'ORDENES'!$X1199))</f>
        <v/>
      </c>
      <c r="G1221" s="3">
        <f>IF('ORDENES'!$A1199="","",IF('ORDENES'!$AC1199="","-",'ORDENES'!$AC1199))</f>
        <v/>
      </c>
      <c r="H1221" s="3">
        <f>IF('ORDENES'!$A1199="","",IF('ORDENES'!$AO1199="","-",'ORDENES'!$AO1199))</f>
        <v/>
      </c>
      <c r="I1221" s="3">
        <f>IF('ORDENES'!$A1199="","",IF('ORDENES'!$D1199="","-",'ORDENES'!$D1199))</f>
        <v/>
      </c>
      <c r="J1221" s="3">
        <f>IF('ORDENES'!$A1199="","",IF('ORDENES'!$E1199="","-",'ORDENES'!$E1199))</f>
        <v/>
      </c>
      <c r="K1221" s="12">
        <f>IF('ORDENES'!$A1199="","",IF('ORDENES'!$N1199="",0,'ORDENES'!$N1199))</f>
        <v/>
      </c>
      <c r="L1221" s="3">
        <f>IF('ORDENES'!$A1199="","",IF('ORDENES'!$O1199="","-",'ORDENES'!$O1199))</f>
        <v/>
      </c>
      <c r="M1221" s="3">
        <f>IF('ORDENES'!$A1199="","",'ORDENES'!$AB1199)</f>
        <v/>
      </c>
    </row>
    <row r="1222">
      <c r="A1222" s="3">
        <f>IF('ORDENES'!$A1200="","",IF('ORDENES'!$P1200="","-",'ORDENES'!$P1200))</f>
        <v/>
      </c>
      <c r="B1222" s="3">
        <f>IF('ORDENES'!$A1200="","",IF('ORDENES'!$S1200="","-",'ORDENES'!$S1200))</f>
        <v/>
      </c>
      <c r="C1222" s="3">
        <f>IF('ORDENES'!$A1200="","",IF('ORDENES'!$AD1200="","-",'ORDENES'!$AD1200))</f>
        <v/>
      </c>
      <c r="D1222" s="3">
        <f>IF('ORDENES'!$A1200="","",IF('ORDENES'!$W1200="","-",'ORDENES'!$W1200))</f>
        <v/>
      </c>
      <c r="E1222" s="3">
        <f>IF('ORDENES'!$A1200="","",IF('ORDENES'!$V1200="","-",'ORDENES'!$V1200))</f>
        <v/>
      </c>
      <c r="F1222" s="3">
        <f>IF('ORDENES'!$A1200="","",IF('ORDENES'!$X1200="","-",'ORDENES'!$X1200))</f>
        <v/>
      </c>
      <c r="G1222" s="3">
        <f>IF('ORDENES'!$A1200="","",IF('ORDENES'!$AC1200="","-",'ORDENES'!$AC1200))</f>
        <v/>
      </c>
      <c r="H1222" s="3">
        <f>IF('ORDENES'!$A1200="","",IF('ORDENES'!$AO1200="","-",'ORDENES'!$AO1200))</f>
        <v/>
      </c>
      <c r="I1222" s="3">
        <f>IF('ORDENES'!$A1200="","",IF('ORDENES'!$D1200="","-",'ORDENES'!$D1200))</f>
        <v/>
      </c>
      <c r="J1222" s="3">
        <f>IF('ORDENES'!$A1200="","",IF('ORDENES'!$E1200="","-",'ORDENES'!$E1200))</f>
        <v/>
      </c>
      <c r="K1222" s="12">
        <f>IF('ORDENES'!$A1200="","",IF('ORDENES'!$N1200="",0,'ORDENES'!$N1200))</f>
        <v/>
      </c>
      <c r="L1222" s="3">
        <f>IF('ORDENES'!$A1200="","",IF('ORDENES'!$O1200="","-",'ORDENES'!$O1200))</f>
        <v/>
      </c>
      <c r="M1222" s="3">
        <f>IF('ORDENES'!$A1200="","",'ORDENES'!$AB1200)</f>
        <v/>
      </c>
    </row>
    <row r="1223">
      <c r="A1223" s="3">
        <f>IF('ORDENES'!$A1201="","",IF('ORDENES'!$P1201="","-",'ORDENES'!$P1201))</f>
        <v/>
      </c>
      <c r="B1223" s="3">
        <f>IF('ORDENES'!$A1201="","",IF('ORDENES'!$S1201="","-",'ORDENES'!$S1201))</f>
        <v/>
      </c>
      <c r="C1223" s="3">
        <f>IF('ORDENES'!$A1201="","",IF('ORDENES'!$AD1201="","-",'ORDENES'!$AD1201))</f>
        <v/>
      </c>
      <c r="D1223" s="3">
        <f>IF('ORDENES'!$A1201="","",IF('ORDENES'!$W1201="","-",'ORDENES'!$W1201))</f>
        <v/>
      </c>
      <c r="E1223" s="3">
        <f>IF('ORDENES'!$A1201="","",IF('ORDENES'!$V1201="","-",'ORDENES'!$V1201))</f>
        <v/>
      </c>
      <c r="F1223" s="3">
        <f>IF('ORDENES'!$A1201="","",IF('ORDENES'!$X1201="","-",'ORDENES'!$X1201))</f>
        <v/>
      </c>
      <c r="G1223" s="3">
        <f>IF('ORDENES'!$A1201="","",IF('ORDENES'!$AC1201="","-",'ORDENES'!$AC1201))</f>
        <v/>
      </c>
      <c r="H1223" s="3">
        <f>IF('ORDENES'!$A1201="","",IF('ORDENES'!$AO1201="","-",'ORDENES'!$AO1201))</f>
        <v/>
      </c>
      <c r="I1223" s="3">
        <f>IF('ORDENES'!$A1201="","",IF('ORDENES'!$D1201="","-",'ORDENES'!$D1201))</f>
        <v/>
      </c>
      <c r="J1223" s="3">
        <f>IF('ORDENES'!$A1201="","",IF('ORDENES'!$E1201="","-",'ORDENES'!$E1201))</f>
        <v/>
      </c>
      <c r="K1223" s="12">
        <f>IF('ORDENES'!$A1201="","",IF('ORDENES'!$N1201="",0,'ORDENES'!$N1201))</f>
        <v/>
      </c>
      <c r="L1223" s="3">
        <f>IF('ORDENES'!$A1201="","",IF('ORDENES'!$O1201="","-",'ORDENES'!$O1201))</f>
        <v/>
      </c>
      <c r="M1223" s="3">
        <f>IF('ORDENES'!$A1201="","",'ORDENES'!$AB1201)</f>
        <v/>
      </c>
    </row>
    <row r="1224">
      <c r="A1224" s="3">
        <f>IF('ORDENES'!$A1202="","",IF('ORDENES'!$P1202="","-",'ORDENES'!$P1202))</f>
        <v/>
      </c>
      <c r="B1224" s="3">
        <f>IF('ORDENES'!$A1202="","",IF('ORDENES'!$S1202="","-",'ORDENES'!$S1202))</f>
        <v/>
      </c>
      <c r="C1224" s="3">
        <f>IF('ORDENES'!$A1202="","",IF('ORDENES'!$AD1202="","-",'ORDENES'!$AD1202))</f>
        <v/>
      </c>
      <c r="D1224" s="3">
        <f>IF('ORDENES'!$A1202="","",IF('ORDENES'!$W1202="","-",'ORDENES'!$W1202))</f>
        <v/>
      </c>
      <c r="E1224" s="3">
        <f>IF('ORDENES'!$A1202="","",IF('ORDENES'!$V1202="","-",'ORDENES'!$V1202))</f>
        <v/>
      </c>
      <c r="F1224" s="3">
        <f>IF('ORDENES'!$A1202="","",IF('ORDENES'!$X1202="","-",'ORDENES'!$X1202))</f>
        <v/>
      </c>
      <c r="G1224" s="3">
        <f>IF('ORDENES'!$A1202="","",IF('ORDENES'!$AC1202="","-",'ORDENES'!$AC1202))</f>
        <v/>
      </c>
      <c r="H1224" s="3">
        <f>IF('ORDENES'!$A1202="","",IF('ORDENES'!$AO1202="","-",'ORDENES'!$AO1202))</f>
        <v/>
      </c>
      <c r="I1224" s="3">
        <f>IF('ORDENES'!$A1202="","",IF('ORDENES'!$D1202="","-",'ORDENES'!$D1202))</f>
        <v/>
      </c>
      <c r="J1224" s="3">
        <f>IF('ORDENES'!$A1202="","",IF('ORDENES'!$E1202="","-",'ORDENES'!$E1202))</f>
        <v/>
      </c>
      <c r="K1224" s="12">
        <f>IF('ORDENES'!$A1202="","",IF('ORDENES'!$N1202="",0,'ORDENES'!$N1202))</f>
        <v/>
      </c>
      <c r="L1224" s="3">
        <f>IF('ORDENES'!$A1202="","",IF('ORDENES'!$O1202="","-",'ORDENES'!$O1202))</f>
        <v/>
      </c>
      <c r="M1224" s="3">
        <f>IF('ORDENES'!$A1202="","",'ORDENES'!$AB1202)</f>
        <v/>
      </c>
    </row>
    <row r="1225">
      <c r="A1225" s="3">
        <f>IF('ORDENES'!$A1203="","",IF('ORDENES'!$P1203="","-",'ORDENES'!$P1203))</f>
        <v/>
      </c>
      <c r="B1225" s="3">
        <f>IF('ORDENES'!$A1203="","",IF('ORDENES'!$S1203="","-",'ORDENES'!$S1203))</f>
        <v/>
      </c>
      <c r="C1225" s="3">
        <f>IF('ORDENES'!$A1203="","",IF('ORDENES'!$AD1203="","-",'ORDENES'!$AD1203))</f>
        <v/>
      </c>
      <c r="D1225" s="3">
        <f>IF('ORDENES'!$A1203="","",IF('ORDENES'!$W1203="","-",'ORDENES'!$W1203))</f>
        <v/>
      </c>
      <c r="E1225" s="3">
        <f>IF('ORDENES'!$A1203="","",IF('ORDENES'!$V1203="","-",'ORDENES'!$V1203))</f>
        <v/>
      </c>
      <c r="F1225" s="3">
        <f>IF('ORDENES'!$A1203="","",IF('ORDENES'!$X1203="","-",'ORDENES'!$X1203))</f>
        <v/>
      </c>
      <c r="G1225" s="3">
        <f>IF('ORDENES'!$A1203="","",IF('ORDENES'!$AC1203="","-",'ORDENES'!$AC1203))</f>
        <v/>
      </c>
      <c r="H1225" s="3">
        <f>IF('ORDENES'!$A1203="","",IF('ORDENES'!$AO1203="","-",'ORDENES'!$AO1203))</f>
        <v/>
      </c>
      <c r="I1225" s="3">
        <f>IF('ORDENES'!$A1203="","",IF('ORDENES'!$D1203="","-",'ORDENES'!$D1203))</f>
        <v/>
      </c>
      <c r="J1225" s="3">
        <f>IF('ORDENES'!$A1203="","",IF('ORDENES'!$E1203="","-",'ORDENES'!$E1203))</f>
        <v/>
      </c>
      <c r="K1225" s="12">
        <f>IF('ORDENES'!$A1203="","",IF('ORDENES'!$N1203="",0,'ORDENES'!$N1203))</f>
        <v/>
      </c>
      <c r="L1225" s="3">
        <f>IF('ORDENES'!$A1203="","",IF('ORDENES'!$O1203="","-",'ORDENES'!$O1203))</f>
        <v/>
      </c>
      <c r="M1225" s="3">
        <f>IF('ORDENES'!$A1203="","",'ORDENES'!$AB1203)</f>
        <v/>
      </c>
    </row>
  </sheetData>
  <autoFilter ref="A25:M1225"/>
  <dataValidations count="6">
    <dataValidation sqref="B3" showDropDown="0" showInputMessage="0" showErrorMessage="0" allowBlank="0" type="list">
      <formula1>"(todos),2026-S29,2026-S30,2026-S31,2026-S32"</formula1>
    </dataValidation>
    <dataValidation sqref="D3" showDropDown="0" showInputMessage="0" showErrorMessage="0" allowBlank="0" type="list">
      <formula1>"(todos),lunes,martes,miércoles,jueves,viernes,sábado,domingo"</formula1>
    </dataValidation>
    <dataValidation sqref="F3" showDropDown="0" showInputMessage="0" showErrorMessage="0" allowBlank="0" type="list">
      <formula1>"(todos),B1,T1,T2,T3"</formula1>
    </dataValidation>
    <dataValidation sqref="H3" showDropDown="0" showInputMessage="0" showErrorMessage="0" allowBlank="0" type="list">
      <formula1>"(todos),Coordinador A,Coordinador B,Coordinador C"</formula1>
    </dataValidation>
    <dataValidation sqref="J3" showDropDown="0" showInputMessage="0" showErrorMessage="0" allowBlank="0" type="list">
      <formula1>"(todos),PRODUCCION,EMPAQUE,SERVICIOS"</formula1>
    </dataValidation>
    <dataValidation sqref="L3" showDropDown="0" showInputMessage="0" showErrorMessage="0" allowBlank="0" type="list">
      <formula1>"(todos),MEC,ELE,AUT,OP,TERCERO"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7" customWidth="1" min="4" max="4"/>
    <col width="9" customWidth="1" min="5" max="5"/>
    <col width="11" customWidth="1" min="6" max="6"/>
    <col width="16" customWidth="1" min="7" max="7"/>
    <col width="7" customWidth="1" min="8" max="8"/>
  </cols>
  <sheetData>
    <row r="1">
      <c r="A1" s="1" t="inlineStr">
        <is>
          <t>ADHERENCIA (REGLA-7) — rojo &lt; 90 %, amarillo 90–95 %, verde &gt; 95 %</t>
        </is>
      </c>
    </row>
    <row r="3">
      <c r="A3" s="4" t="inlineStr">
        <is>
          <t>POR SEMANA (serie derivada de los datos, hasta 60)</t>
        </is>
      </c>
    </row>
    <row r="4">
      <c r="A4" s="5" t="inlineStr">
        <is>
          <t>valor</t>
        </is>
      </c>
      <c r="B4" s="5" t="inlineStr">
        <is>
          <t>total_ot</t>
        </is>
      </c>
      <c r="C4" s="5" t="inlineStr">
        <is>
          <t>cerradas</t>
        </is>
      </c>
      <c r="D4" s="5" t="inlineStr">
        <is>
          <t>adherencia_conteo</t>
        </is>
      </c>
      <c r="E4" s="5" t="inlineStr">
        <is>
          <t>hh_total</t>
        </is>
      </c>
      <c r="F4" s="5" t="inlineStr">
        <is>
          <t>hh_cerradas</t>
        </is>
      </c>
      <c r="G4" s="5" t="inlineStr">
        <is>
          <t>adherencia_horas</t>
        </is>
      </c>
      <c r="H4" s="5" t="inlineStr">
        <is>
          <t>meta</t>
        </is>
      </c>
    </row>
    <row r="5">
      <c r="A5" s="3">
        <f>'PERFIL_HH'!$O$4</f>
        <v/>
      </c>
      <c r="B5" s="3">
        <f>COUNTIFS(tblOrdenes[semana],$A5)</f>
        <v/>
      </c>
      <c r="C5" s="3">
        <f>COUNTIFS(tblOrdenes[semana],$A5,tblOrdenes[estado],"Cerrada")</f>
        <v/>
      </c>
      <c r="D5" s="15">
        <f>IF(B5=0,"",C5/B5)</f>
        <v/>
      </c>
      <c r="E5" s="14">
        <f>SUMIFS(tblOrdenes[horas_efectivas],tblOrdenes[semana],$A5)</f>
        <v/>
      </c>
      <c r="F5" s="14">
        <f>SUMIFS(tblOrdenes[horas_efectivas],tblOrdenes[semana],$A5,tblOrdenes[estado],"Cerrada")</f>
        <v/>
      </c>
      <c r="G5" s="15">
        <f>IF(E5=0,"",F5/E5)</f>
        <v/>
      </c>
      <c r="H5" s="17">
        <f>p_meta_adherencia</f>
        <v/>
      </c>
    </row>
    <row r="6" hidden="1">
      <c r="A6" s="3">
        <f>'PERFIL_HH'!$O$5</f>
        <v/>
      </c>
      <c r="B6" s="3">
        <f>COUNTIFS(tblOrdenes[semana],$A6)</f>
        <v/>
      </c>
      <c r="C6" s="3">
        <f>COUNTIFS(tblOrdenes[semana],$A6,tblOrdenes[estado],"Cerrada")</f>
        <v/>
      </c>
      <c r="D6" s="15">
        <f>IF(B6=0,"",C6/B6)</f>
        <v/>
      </c>
      <c r="E6" s="14">
        <f>SUMIFS(tblOrdenes[horas_efectivas],tblOrdenes[semana],$A6)</f>
        <v/>
      </c>
      <c r="F6" s="14">
        <f>SUMIFS(tblOrdenes[horas_efectivas],tblOrdenes[semana],$A6,tblOrdenes[estado],"Cerrada")</f>
        <v/>
      </c>
      <c r="G6" s="15">
        <f>IF(E6=0,"",F6/E6)</f>
        <v/>
      </c>
      <c r="H6" s="17">
        <f>p_meta_adherencia</f>
        <v/>
      </c>
    </row>
    <row r="7">
      <c r="A7" s="3">
        <f>'PERFIL_HH'!$O$6</f>
        <v/>
      </c>
      <c r="B7" s="3">
        <f>COUNTIFS(tblOrdenes[semana],$A7)</f>
        <v/>
      </c>
      <c r="C7" s="3">
        <f>COUNTIFS(tblOrdenes[semana],$A7,tblOrdenes[estado],"Cerrada")</f>
        <v/>
      </c>
      <c r="D7" s="15">
        <f>IF(B7=0,"",C7/B7)</f>
        <v/>
      </c>
      <c r="E7" s="14">
        <f>SUMIFS(tblOrdenes[horas_efectivas],tblOrdenes[semana],$A7)</f>
        <v/>
      </c>
      <c r="F7" s="14">
        <f>SUMIFS(tblOrdenes[horas_efectivas],tblOrdenes[semana],$A7,tblOrdenes[estado],"Cerrada")</f>
        <v/>
      </c>
      <c r="G7" s="15">
        <f>IF(E7=0,"",F7/E7)</f>
        <v/>
      </c>
      <c r="H7" s="17">
        <f>p_meta_adherencia</f>
        <v/>
      </c>
    </row>
    <row r="8">
      <c r="A8" s="3">
        <f>'PERFIL_HH'!$O$7</f>
        <v/>
      </c>
      <c r="B8" s="3">
        <f>COUNTIFS(tblOrdenes[semana],$A8)</f>
        <v/>
      </c>
      <c r="C8" s="3">
        <f>COUNTIFS(tblOrdenes[semana],$A8,tblOrdenes[estado],"Cerrada")</f>
        <v/>
      </c>
      <c r="D8" s="15">
        <f>IF(B8=0,"",C8/B8)</f>
        <v/>
      </c>
      <c r="E8" s="14">
        <f>SUMIFS(tblOrdenes[horas_efectivas],tblOrdenes[semana],$A8)</f>
        <v/>
      </c>
      <c r="F8" s="14">
        <f>SUMIFS(tblOrdenes[horas_efectivas],tblOrdenes[semana],$A8,tblOrdenes[estado],"Cerrada")</f>
        <v/>
      </c>
      <c r="G8" s="15">
        <f>IF(E8=0,"",F8/E8)</f>
        <v/>
      </c>
      <c r="H8" s="17">
        <f>p_meta_adherencia</f>
        <v/>
      </c>
    </row>
    <row r="9">
      <c r="A9" s="3">
        <f>'PERFIL_HH'!$O$8</f>
        <v/>
      </c>
      <c r="B9" s="3">
        <f>COUNTIFS(tblOrdenes[semana],$A9)</f>
        <v/>
      </c>
      <c r="C9" s="3">
        <f>COUNTIFS(tblOrdenes[semana],$A9,tblOrdenes[estado],"Cerrada")</f>
        <v/>
      </c>
      <c r="D9" s="15">
        <f>IF(B9=0,"",C9/B9)</f>
        <v/>
      </c>
      <c r="E9" s="14">
        <f>SUMIFS(tblOrdenes[horas_efectivas],tblOrdenes[semana],$A9)</f>
        <v/>
      </c>
      <c r="F9" s="14">
        <f>SUMIFS(tblOrdenes[horas_efectivas],tblOrdenes[semana],$A9,tblOrdenes[estado],"Cerrada")</f>
        <v/>
      </c>
      <c r="G9" s="15">
        <f>IF(E9=0,"",F9/E9)</f>
        <v/>
      </c>
      <c r="H9" s="17">
        <f>p_meta_adherencia</f>
        <v/>
      </c>
    </row>
    <row r="10">
      <c r="A10" s="3">
        <f>'PERFIL_HH'!$O$9</f>
        <v/>
      </c>
      <c r="B10" s="3">
        <f>COUNTIFS(tblOrdenes[semana],$A10)</f>
        <v/>
      </c>
      <c r="C10" s="3">
        <f>COUNTIFS(tblOrdenes[semana],$A10,tblOrdenes[estado],"Cerrada")</f>
        <v/>
      </c>
      <c r="D10" s="15">
        <f>IF(B10=0,"",C10/B10)</f>
        <v/>
      </c>
      <c r="E10" s="14">
        <f>SUMIFS(tblOrdenes[horas_efectivas],tblOrdenes[semana],$A10)</f>
        <v/>
      </c>
      <c r="F10" s="14">
        <f>SUMIFS(tblOrdenes[horas_efectivas],tblOrdenes[semana],$A10,tblOrdenes[estado],"Cerrada")</f>
        <v/>
      </c>
      <c r="G10" s="15">
        <f>IF(E10=0,"",F10/E10)</f>
        <v/>
      </c>
      <c r="H10" s="17">
        <f>p_meta_adherencia</f>
        <v/>
      </c>
    </row>
    <row r="11">
      <c r="A11" s="3">
        <f>'PERFIL_HH'!$O$10</f>
        <v/>
      </c>
      <c r="B11" s="3">
        <f>COUNTIFS(tblOrdenes[semana],$A11)</f>
        <v/>
      </c>
      <c r="C11" s="3">
        <f>COUNTIFS(tblOrdenes[semana],$A11,tblOrdenes[estado],"Cerrada")</f>
        <v/>
      </c>
      <c r="D11" s="15">
        <f>IF(B11=0,"",C11/B11)</f>
        <v/>
      </c>
      <c r="E11" s="14">
        <f>SUMIFS(tblOrdenes[horas_efectivas],tblOrdenes[semana],$A11)</f>
        <v/>
      </c>
      <c r="F11" s="14">
        <f>SUMIFS(tblOrdenes[horas_efectivas],tblOrdenes[semana],$A11,tblOrdenes[estado],"Cerrada")</f>
        <v/>
      </c>
      <c r="G11" s="15">
        <f>IF(E11=0,"",F11/E11)</f>
        <v/>
      </c>
      <c r="H11" s="17">
        <f>p_meta_adherencia</f>
        <v/>
      </c>
    </row>
    <row r="12">
      <c r="A12" s="3">
        <f>'PERFIL_HH'!$O$11</f>
        <v/>
      </c>
      <c r="B12" s="3">
        <f>COUNTIFS(tblOrdenes[semana],$A12)</f>
        <v/>
      </c>
      <c r="C12" s="3">
        <f>COUNTIFS(tblOrdenes[semana],$A12,tblOrdenes[estado],"Cerrada")</f>
        <v/>
      </c>
      <c r="D12" s="15">
        <f>IF(B12=0,"",C12/B12)</f>
        <v/>
      </c>
      <c r="E12" s="14">
        <f>SUMIFS(tblOrdenes[horas_efectivas],tblOrdenes[semana],$A12)</f>
        <v/>
      </c>
      <c r="F12" s="14">
        <f>SUMIFS(tblOrdenes[horas_efectivas],tblOrdenes[semana],$A12,tblOrdenes[estado],"Cerrada")</f>
        <v/>
      </c>
      <c r="G12" s="15">
        <f>IF(E12=0,"",F12/E12)</f>
        <v/>
      </c>
      <c r="H12" s="17">
        <f>p_meta_adherencia</f>
        <v/>
      </c>
    </row>
    <row r="13">
      <c r="A13" s="3">
        <f>'PERFIL_HH'!$O$12</f>
        <v/>
      </c>
      <c r="B13" s="3">
        <f>COUNTIFS(tblOrdenes[semana],$A13)</f>
        <v/>
      </c>
      <c r="C13" s="3">
        <f>COUNTIFS(tblOrdenes[semana],$A13,tblOrdenes[estado],"Cerrada")</f>
        <v/>
      </c>
      <c r="D13" s="15">
        <f>IF(B13=0,"",C13/B13)</f>
        <v/>
      </c>
      <c r="E13" s="14">
        <f>SUMIFS(tblOrdenes[horas_efectivas],tblOrdenes[semana],$A13)</f>
        <v/>
      </c>
      <c r="F13" s="14">
        <f>SUMIFS(tblOrdenes[horas_efectivas],tblOrdenes[semana],$A13,tblOrdenes[estado],"Cerrada")</f>
        <v/>
      </c>
      <c r="G13" s="15">
        <f>IF(E13=0,"",F13/E13)</f>
        <v/>
      </c>
      <c r="H13" s="17">
        <f>p_meta_adherencia</f>
        <v/>
      </c>
    </row>
    <row r="14">
      <c r="A14" s="3">
        <f>'PERFIL_HH'!$O$13</f>
        <v/>
      </c>
      <c r="B14" s="3">
        <f>COUNTIFS(tblOrdenes[semana],$A14)</f>
        <v/>
      </c>
      <c r="C14" s="3">
        <f>COUNTIFS(tblOrdenes[semana],$A14,tblOrdenes[estado],"Cerrada")</f>
        <v/>
      </c>
      <c r="D14" s="15">
        <f>IF(B14=0,"",C14/B14)</f>
        <v/>
      </c>
      <c r="E14" s="14">
        <f>SUMIFS(tblOrdenes[horas_efectivas],tblOrdenes[semana],$A14)</f>
        <v/>
      </c>
      <c r="F14" s="14">
        <f>SUMIFS(tblOrdenes[horas_efectivas],tblOrdenes[semana],$A14,tblOrdenes[estado],"Cerrada")</f>
        <v/>
      </c>
      <c r="G14" s="15">
        <f>IF(E14=0,"",F14/E14)</f>
        <v/>
      </c>
      <c r="H14" s="17">
        <f>p_meta_adherencia</f>
        <v/>
      </c>
    </row>
    <row r="15">
      <c r="A15" s="3">
        <f>'PERFIL_HH'!$O$14</f>
        <v/>
      </c>
      <c r="B15" s="3">
        <f>COUNTIFS(tblOrdenes[semana],$A15)</f>
        <v/>
      </c>
      <c r="C15" s="3">
        <f>COUNTIFS(tblOrdenes[semana],$A15,tblOrdenes[estado],"Cerrada")</f>
        <v/>
      </c>
      <c r="D15" s="15">
        <f>IF(B15=0,"",C15/B15)</f>
        <v/>
      </c>
      <c r="E15" s="14">
        <f>SUMIFS(tblOrdenes[horas_efectivas],tblOrdenes[semana],$A15)</f>
        <v/>
      </c>
      <c r="F15" s="14">
        <f>SUMIFS(tblOrdenes[horas_efectivas],tblOrdenes[semana],$A15,tblOrdenes[estado],"Cerrada")</f>
        <v/>
      </c>
      <c r="G15" s="15">
        <f>IF(E15=0,"",F15/E15)</f>
        <v/>
      </c>
      <c r="H15" s="17">
        <f>p_meta_adherencia</f>
        <v/>
      </c>
    </row>
    <row r="16">
      <c r="A16" s="3">
        <f>'PERFIL_HH'!$O$15</f>
        <v/>
      </c>
      <c r="B16" s="3">
        <f>COUNTIFS(tblOrdenes[semana],$A16)</f>
        <v/>
      </c>
      <c r="C16" s="3">
        <f>COUNTIFS(tblOrdenes[semana],$A16,tblOrdenes[estado],"Cerrada")</f>
        <v/>
      </c>
      <c r="D16" s="15">
        <f>IF(B16=0,"",C16/B16)</f>
        <v/>
      </c>
      <c r="E16" s="14">
        <f>SUMIFS(tblOrdenes[horas_efectivas],tblOrdenes[semana],$A16)</f>
        <v/>
      </c>
      <c r="F16" s="14">
        <f>SUMIFS(tblOrdenes[horas_efectivas],tblOrdenes[semana],$A16,tblOrdenes[estado],"Cerrada")</f>
        <v/>
      </c>
      <c r="G16" s="15">
        <f>IF(E16=0,"",F16/E16)</f>
        <v/>
      </c>
      <c r="H16" s="17">
        <f>p_meta_adherencia</f>
        <v/>
      </c>
    </row>
    <row r="17">
      <c r="A17" s="3">
        <f>'PERFIL_HH'!$O$16</f>
        <v/>
      </c>
      <c r="B17" s="3">
        <f>COUNTIFS(tblOrdenes[semana],$A17)</f>
        <v/>
      </c>
      <c r="C17" s="3">
        <f>COUNTIFS(tblOrdenes[semana],$A17,tblOrdenes[estado],"Cerrada")</f>
        <v/>
      </c>
      <c r="D17" s="15">
        <f>IF(B17=0,"",C17/B17)</f>
        <v/>
      </c>
      <c r="E17" s="14">
        <f>SUMIFS(tblOrdenes[horas_efectivas],tblOrdenes[semana],$A17)</f>
        <v/>
      </c>
      <c r="F17" s="14">
        <f>SUMIFS(tblOrdenes[horas_efectivas],tblOrdenes[semana],$A17,tblOrdenes[estado],"Cerrada")</f>
        <v/>
      </c>
      <c r="G17" s="15">
        <f>IF(E17=0,"",F17/E17)</f>
        <v/>
      </c>
      <c r="H17" s="17">
        <f>p_meta_adherencia</f>
        <v/>
      </c>
    </row>
    <row r="18">
      <c r="A18" s="3">
        <f>'PERFIL_HH'!$O$17</f>
        <v/>
      </c>
      <c r="B18" s="3">
        <f>COUNTIFS(tblOrdenes[semana],$A18)</f>
        <v/>
      </c>
      <c r="C18" s="3">
        <f>COUNTIFS(tblOrdenes[semana],$A18,tblOrdenes[estado],"Cerrada")</f>
        <v/>
      </c>
      <c r="D18" s="15">
        <f>IF(B18=0,"",C18/B18)</f>
        <v/>
      </c>
      <c r="E18" s="14">
        <f>SUMIFS(tblOrdenes[horas_efectivas],tblOrdenes[semana],$A18)</f>
        <v/>
      </c>
      <c r="F18" s="14">
        <f>SUMIFS(tblOrdenes[horas_efectivas],tblOrdenes[semana],$A18,tblOrdenes[estado],"Cerrada")</f>
        <v/>
      </c>
      <c r="G18" s="15">
        <f>IF(E18=0,"",F18/E18)</f>
        <v/>
      </c>
      <c r="H18" s="17">
        <f>p_meta_adherencia</f>
        <v/>
      </c>
    </row>
    <row r="19">
      <c r="A19" s="3">
        <f>'PERFIL_HH'!$O$18</f>
        <v/>
      </c>
      <c r="B19" s="3">
        <f>COUNTIFS(tblOrdenes[semana],$A19)</f>
        <v/>
      </c>
      <c r="C19" s="3">
        <f>COUNTIFS(tblOrdenes[semana],$A19,tblOrdenes[estado],"Cerrada")</f>
        <v/>
      </c>
      <c r="D19" s="15">
        <f>IF(B19=0,"",C19/B19)</f>
        <v/>
      </c>
      <c r="E19" s="14">
        <f>SUMIFS(tblOrdenes[horas_efectivas],tblOrdenes[semana],$A19)</f>
        <v/>
      </c>
      <c r="F19" s="14">
        <f>SUMIFS(tblOrdenes[horas_efectivas],tblOrdenes[semana],$A19,tblOrdenes[estado],"Cerrada")</f>
        <v/>
      </c>
      <c r="G19" s="15">
        <f>IF(E19=0,"",F19/E19)</f>
        <v/>
      </c>
      <c r="H19" s="17">
        <f>p_meta_adherencia</f>
        <v/>
      </c>
    </row>
    <row r="20">
      <c r="A20" s="3">
        <f>'PERFIL_HH'!$O$19</f>
        <v/>
      </c>
      <c r="B20" s="3">
        <f>COUNTIFS(tblOrdenes[semana],$A20)</f>
        <v/>
      </c>
      <c r="C20" s="3">
        <f>COUNTIFS(tblOrdenes[semana],$A20,tblOrdenes[estado],"Cerrada")</f>
        <v/>
      </c>
      <c r="D20" s="15">
        <f>IF(B20=0,"",C20/B20)</f>
        <v/>
      </c>
      <c r="E20" s="14">
        <f>SUMIFS(tblOrdenes[horas_efectivas],tblOrdenes[semana],$A20)</f>
        <v/>
      </c>
      <c r="F20" s="14">
        <f>SUMIFS(tblOrdenes[horas_efectivas],tblOrdenes[semana],$A20,tblOrdenes[estado],"Cerrada")</f>
        <v/>
      </c>
      <c r="G20" s="15">
        <f>IF(E20=0,"",F20/E20)</f>
        <v/>
      </c>
      <c r="H20" s="17">
        <f>p_meta_adherencia</f>
        <v/>
      </c>
    </row>
    <row r="21">
      <c r="A21" s="3">
        <f>'PERFIL_HH'!$O$20</f>
        <v/>
      </c>
      <c r="B21" s="3">
        <f>COUNTIFS(tblOrdenes[semana],$A21)</f>
        <v/>
      </c>
      <c r="C21" s="3">
        <f>COUNTIFS(tblOrdenes[semana],$A21,tblOrdenes[estado],"Cerrada")</f>
        <v/>
      </c>
      <c r="D21" s="15">
        <f>IF(B21=0,"",C21/B21)</f>
        <v/>
      </c>
      <c r="E21" s="14">
        <f>SUMIFS(tblOrdenes[horas_efectivas],tblOrdenes[semana],$A21)</f>
        <v/>
      </c>
      <c r="F21" s="14">
        <f>SUMIFS(tblOrdenes[horas_efectivas],tblOrdenes[semana],$A21,tblOrdenes[estado],"Cerrada")</f>
        <v/>
      </c>
      <c r="G21" s="15">
        <f>IF(E21=0,"",F21/E21)</f>
        <v/>
      </c>
      <c r="H21" s="17">
        <f>p_meta_adherencia</f>
        <v/>
      </c>
    </row>
    <row r="22">
      <c r="A22" s="3">
        <f>'PERFIL_HH'!$O$21</f>
        <v/>
      </c>
      <c r="B22" s="3">
        <f>COUNTIFS(tblOrdenes[semana],$A22)</f>
        <v/>
      </c>
      <c r="C22" s="3">
        <f>COUNTIFS(tblOrdenes[semana],$A22,tblOrdenes[estado],"Cerrada")</f>
        <v/>
      </c>
      <c r="D22" s="15">
        <f>IF(B22=0,"",C22/B22)</f>
        <v/>
      </c>
      <c r="E22" s="14">
        <f>SUMIFS(tblOrdenes[horas_efectivas],tblOrdenes[semana],$A22)</f>
        <v/>
      </c>
      <c r="F22" s="14">
        <f>SUMIFS(tblOrdenes[horas_efectivas],tblOrdenes[semana],$A22,tblOrdenes[estado],"Cerrada")</f>
        <v/>
      </c>
      <c r="G22" s="15">
        <f>IF(E22=0,"",F22/E22)</f>
        <v/>
      </c>
      <c r="H22" s="17">
        <f>p_meta_adherencia</f>
        <v/>
      </c>
    </row>
    <row r="23" hidden="1">
      <c r="A23" s="3">
        <f>'PERFIL_HH'!$O$22</f>
        <v/>
      </c>
      <c r="B23" s="3">
        <f>COUNTIFS(tblOrdenes[semana],$A23)</f>
        <v/>
      </c>
      <c r="C23" s="3">
        <f>COUNTIFS(tblOrdenes[semana],$A23,tblOrdenes[estado],"Cerrada")</f>
        <v/>
      </c>
      <c r="D23" s="15">
        <f>IF(B23=0,"",C23/B23)</f>
        <v/>
      </c>
      <c r="E23" s="14">
        <f>SUMIFS(tblOrdenes[horas_efectivas],tblOrdenes[semana],$A23)</f>
        <v/>
      </c>
      <c r="F23" s="14">
        <f>SUMIFS(tblOrdenes[horas_efectivas],tblOrdenes[semana],$A23,tblOrdenes[estado],"Cerrada")</f>
        <v/>
      </c>
      <c r="G23" s="15">
        <f>IF(E23=0,"",F23/E23)</f>
        <v/>
      </c>
      <c r="H23" s="17">
        <f>p_meta_adherencia</f>
        <v/>
      </c>
    </row>
    <row r="24" hidden="1">
      <c r="A24" s="3">
        <f>'PERFIL_HH'!$O$23</f>
        <v/>
      </c>
      <c r="B24" s="3">
        <f>COUNTIFS(tblOrdenes[semana],$A24)</f>
        <v/>
      </c>
      <c r="C24" s="3">
        <f>COUNTIFS(tblOrdenes[semana],$A24,tblOrdenes[estado],"Cerrada")</f>
        <v/>
      </c>
      <c r="D24" s="15">
        <f>IF(B24=0,"",C24/B24)</f>
        <v/>
      </c>
      <c r="E24" s="14">
        <f>SUMIFS(tblOrdenes[horas_efectivas],tblOrdenes[semana],$A24)</f>
        <v/>
      </c>
      <c r="F24" s="14">
        <f>SUMIFS(tblOrdenes[horas_efectivas],tblOrdenes[semana],$A24,tblOrdenes[estado],"Cerrada")</f>
        <v/>
      </c>
      <c r="G24" s="15">
        <f>IF(E24=0,"",F24/E24)</f>
        <v/>
      </c>
      <c r="H24" s="17">
        <f>p_meta_adherencia</f>
        <v/>
      </c>
    </row>
    <row r="25" hidden="1">
      <c r="A25" s="3">
        <f>'PERFIL_HH'!$O$24</f>
        <v/>
      </c>
      <c r="B25" s="3">
        <f>COUNTIFS(tblOrdenes[semana],$A25)</f>
        <v/>
      </c>
      <c r="C25" s="3">
        <f>COUNTIFS(tblOrdenes[semana],$A25,tblOrdenes[estado],"Cerrada")</f>
        <v/>
      </c>
      <c r="D25" s="15">
        <f>IF(B25=0,"",C25/B25)</f>
        <v/>
      </c>
      <c r="E25" s="14">
        <f>SUMIFS(tblOrdenes[horas_efectivas],tblOrdenes[semana],$A25)</f>
        <v/>
      </c>
      <c r="F25" s="14">
        <f>SUMIFS(tblOrdenes[horas_efectivas],tblOrdenes[semana],$A25,tblOrdenes[estado],"Cerrada")</f>
        <v/>
      </c>
      <c r="G25" s="15">
        <f>IF(E25=0,"",F25/E25)</f>
        <v/>
      </c>
      <c r="H25" s="17">
        <f>p_meta_adherencia</f>
        <v/>
      </c>
    </row>
    <row r="26">
      <c r="A26" s="3">
        <f>'PERFIL_HH'!$O$25</f>
        <v/>
      </c>
      <c r="B26" s="3">
        <f>COUNTIFS(tblOrdenes[semana],$A26)</f>
        <v/>
      </c>
      <c r="C26" s="3">
        <f>COUNTIFS(tblOrdenes[semana],$A26,tblOrdenes[estado],"Cerrada")</f>
        <v/>
      </c>
      <c r="D26" s="15">
        <f>IF(B26=0,"",C26/B26)</f>
        <v/>
      </c>
      <c r="E26" s="14">
        <f>SUMIFS(tblOrdenes[horas_efectivas],tblOrdenes[semana],$A26)</f>
        <v/>
      </c>
      <c r="F26" s="14">
        <f>SUMIFS(tblOrdenes[horas_efectivas],tblOrdenes[semana],$A26,tblOrdenes[estado],"Cerrada")</f>
        <v/>
      </c>
      <c r="G26" s="15">
        <f>IF(E26=0,"",F26/E26)</f>
        <v/>
      </c>
      <c r="H26" s="17">
        <f>p_meta_adherencia</f>
        <v/>
      </c>
    </row>
    <row r="27">
      <c r="A27" s="3">
        <f>'PERFIL_HH'!$O$26</f>
        <v/>
      </c>
      <c r="B27" s="3">
        <f>COUNTIFS(tblOrdenes[semana],$A27)</f>
        <v/>
      </c>
      <c r="C27" s="3">
        <f>COUNTIFS(tblOrdenes[semana],$A27,tblOrdenes[estado],"Cerrada")</f>
        <v/>
      </c>
      <c r="D27" s="15">
        <f>IF(B27=0,"",C27/B27)</f>
        <v/>
      </c>
      <c r="E27" s="14">
        <f>SUMIFS(tblOrdenes[horas_efectivas],tblOrdenes[semana],$A27)</f>
        <v/>
      </c>
      <c r="F27" s="14">
        <f>SUMIFS(tblOrdenes[horas_efectivas],tblOrdenes[semana],$A27,tblOrdenes[estado],"Cerrada")</f>
        <v/>
      </c>
      <c r="G27" s="15">
        <f>IF(E27=0,"",F27/E27)</f>
        <v/>
      </c>
      <c r="H27" s="17">
        <f>p_meta_adherencia</f>
        <v/>
      </c>
    </row>
    <row r="28">
      <c r="A28" s="3">
        <f>'PERFIL_HH'!$O$27</f>
        <v/>
      </c>
      <c r="B28" s="3">
        <f>COUNTIFS(tblOrdenes[semana],$A28)</f>
        <v/>
      </c>
      <c r="C28" s="3">
        <f>COUNTIFS(tblOrdenes[semana],$A28,tblOrdenes[estado],"Cerrada")</f>
        <v/>
      </c>
      <c r="D28" s="15">
        <f>IF(B28=0,"",C28/B28)</f>
        <v/>
      </c>
      <c r="E28" s="14">
        <f>SUMIFS(tblOrdenes[horas_efectivas],tblOrdenes[semana],$A28)</f>
        <v/>
      </c>
      <c r="F28" s="14">
        <f>SUMIFS(tblOrdenes[horas_efectivas],tblOrdenes[semana],$A28,tblOrdenes[estado],"Cerrada")</f>
        <v/>
      </c>
      <c r="G28" s="15">
        <f>IF(E28=0,"",F28/E28)</f>
        <v/>
      </c>
      <c r="H28" s="17">
        <f>p_meta_adherencia</f>
        <v/>
      </c>
    </row>
    <row r="29">
      <c r="A29" s="3">
        <f>'PERFIL_HH'!$O$28</f>
        <v/>
      </c>
      <c r="B29" s="3">
        <f>COUNTIFS(tblOrdenes[semana],$A29)</f>
        <v/>
      </c>
      <c r="C29" s="3">
        <f>COUNTIFS(tblOrdenes[semana],$A29,tblOrdenes[estado],"Cerrada")</f>
        <v/>
      </c>
      <c r="D29" s="15">
        <f>IF(B29=0,"",C29/B29)</f>
        <v/>
      </c>
      <c r="E29" s="14">
        <f>SUMIFS(tblOrdenes[horas_efectivas],tblOrdenes[semana],$A29)</f>
        <v/>
      </c>
      <c r="F29" s="14">
        <f>SUMIFS(tblOrdenes[horas_efectivas],tblOrdenes[semana],$A29,tblOrdenes[estado],"Cerrada")</f>
        <v/>
      </c>
      <c r="G29" s="15">
        <f>IF(E29=0,"",F29/E29)</f>
        <v/>
      </c>
      <c r="H29" s="17">
        <f>p_meta_adherencia</f>
        <v/>
      </c>
    </row>
    <row r="30" hidden="1">
      <c r="A30" s="3">
        <f>'PERFIL_HH'!$O$29</f>
        <v/>
      </c>
      <c r="B30" s="3">
        <f>COUNTIFS(tblOrdenes[semana],$A30)</f>
        <v/>
      </c>
      <c r="C30" s="3">
        <f>COUNTIFS(tblOrdenes[semana],$A30,tblOrdenes[estado],"Cerrada")</f>
        <v/>
      </c>
      <c r="D30" s="15">
        <f>IF(B30=0,"",C30/B30)</f>
        <v/>
      </c>
      <c r="E30" s="14">
        <f>SUMIFS(tblOrdenes[horas_efectivas],tblOrdenes[semana],$A30)</f>
        <v/>
      </c>
      <c r="F30" s="14">
        <f>SUMIFS(tblOrdenes[horas_efectivas],tblOrdenes[semana],$A30,tblOrdenes[estado],"Cerrada")</f>
        <v/>
      </c>
      <c r="G30" s="15">
        <f>IF(E30=0,"",F30/E30)</f>
        <v/>
      </c>
      <c r="H30" s="17">
        <f>p_meta_adherencia</f>
        <v/>
      </c>
    </row>
    <row r="31" hidden="1">
      <c r="A31" s="3">
        <f>'PERFIL_HH'!$O$30</f>
        <v/>
      </c>
      <c r="B31" s="3">
        <f>COUNTIFS(tblOrdenes[semana],$A31)</f>
        <v/>
      </c>
      <c r="C31" s="3">
        <f>COUNTIFS(tblOrdenes[semana],$A31,tblOrdenes[estado],"Cerrada")</f>
        <v/>
      </c>
      <c r="D31" s="15">
        <f>IF(B31=0,"",C31/B31)</f>
        <v/>
      </c>
      <c r="E31" s="14">
        <f>SUMIFS(tblOrdenes[horas_efectivas],tblOrdenes[semana],$A31)</f>
        <v/>
      </c>
      <c r="F31" s="14">
        <f>SUMIFS(tblOrdenes[horas_efectivas],tblOrdenes[semana],$A31,tblOrdenes[estado],"Cerrada")</f>
        <v/>
      </c>
      <c r="G31" s="15">
        <f>IF(E31=0,"",F31/E31)</f>
        <v/>
      </c>
      <c r="H31" s="17">
        <f>p_meta_adherencia</f>
        <v/>
      </c>
    </row>
    <row r="32">
      <c r="A32" s="3">
        <f>'PERFIL_HH'!$O$31</f>
        <v/>
      </c>
      <c r="B32" s="3">
        <f>COUNTIFS(tblOrdenes[semana],$A32)</f>
        <v/>
      </c>
      <c r="C32" s="3">
        <f>COUNTIFS(tblOrdenes[semana],$A32,tblOrdenes[estado],"Cerrada")</f>
        <v/>
      </c>
      <c r="D32" s="15">
        <f>IF(B32=0,"",C32/B32)</f>
        <v/>
      </c>
      <c r="E32" s="14">
        <f>SUMIFS(tblOrdenes[horas_efectivas],tblOrdenes[semana],$A32)</f>
        <v/>
      </c>
      <c r="F32" s="14">
        <f>SUMIFS(tblOrdenes[horas_efectivas],tblOrdenes[semana],$A32,tblOrdenes[estado],"Cerrada")</f>
        <v/>
      </c>
      <c r="G32" s="15">
        <f>IF(E32=0,"",F32/E32)</f>
        <v/>
      </c>
      <c r="H32" s="17">
        <f>p_meta_adherencia</f>
        <v/>
      </c>
    </row>
    <row r="33" hidden="1">
      <c r="A33" s="3">
        <f>'PERFIL_HH'!$O$32</f>
        <v/>
      </c>
      <c r="B33" s="3">
        <f>COUNTIFS(tblOrdenes[semana],$A33)</f>
        <v/>
      </c>
      <c r="C33" s="3">
        <f>COUNTIFS(tblOrdenes[semana],$A33,tblOrdenes[estado],"Cerrada")</f>
        <v/>
      </c>
      <c r="D33" s="15">
        <f>IF(B33=0,"",C33/B33)</f>
        <v/>
      </c>
      <c r="E33" s="14">
        <f>SUMIFS(tblOrdenes[horas_efectivas],tblOrdenes[semana],$A33)</f>
        <v/>
      </c>
      <c r="F33" s="14">
        <f>SUMIFS(tblOrdenes[horas_efectivas],tblOrdenes[semana],$A33,tblOrdenes[estado],"Cerrada")</f>
        <v/>
      </c>
      <c r="G33" s="15">
        <f>IF(E33=0,"",F33/E33)</f>
        <v/>
      </c>
      <c r="H33" s="17">
        <f>p_meta_adherencia</f>
        <v/>
      </c>
    </row>
    <row r="34" hidden="1">
      <c r="A34" s="3">
        <f>'PERFIL_HH'!$O$33</f>
        <v/>
      </c>
      <c r="B34" s="3">
        <f>COUNTIFS(tblOrdenes[semana],$A34)</f>
        <v/>
      </c>
      <c r="C34" s="3">
        <f>COUNTIFS(tblOrdenes[semana],$A34,tblOrdenes[estado],"Cerrada")</f>
        <v/>
      </c>
      <c r="D34" s="15">
        <f>IF(B34=0,"",C34/B34)</f>
        <v/>
      </c>
      <c r="E34" s="14">
        <f>SUMIFS(tblOrdenes[horas_efectivas],tblOrdenes[semana],$A34)</f>
        <v/>
      </c>
      <c r="F34" s="14">
        <f>SUMIFS(tblOrdenes[horas_efectivas],tblOrdenes[semana],$A34,tblOrdenes[estado],"Cerrada")</f>
        <v/>
      </c>
      <c r="G34" s="15">
        <f>IF(E34=0,"",F34/E34)</f>
        <v/>
      </c>
      <c r="H34" s="17">
        <f>p_meta_adherencia</f>
        <v/>
      </c>
    </row>
    <row r="35" hidden="1">
      <c r="A35" s="3">
        <f>'PERFIL_HH'!$O$34</f>
        <v/>
      </c>
      <c r="B35" s="3">
        <f>COUNTIFS(tblOrdenes[semana],$A35)</f>
        <v/>
      </c>
      <c r="C35" s="3">
        <f>COUNTIFS(tblOrdenes[semana],$A35,tblOrdenes[estado],"Cerrada")</f>
        <v/>
      </c>
      <c r="D35" s="15">
        <f>IF(B35=0,"",C35/B35)</f>
        <v/>
      </c>
      <c r="E35" s="14">
        <f>SUMIFS(tblOrdenes[horas_efectivas],tblOrdenes[semana],$A35)</f>
        <v/>
      </c>
      <c r="F35" s="14">
        <f>SUMIFS(tblOrdenes[horas_efectivas],tblOrdenes[semana],$A35,tblOrdenes[estado],"Cerrada")</f>
        <v/>
      </c>
      <c r="G35" s="15">
        <f>IF(E35=0,"",F35/E35)</f>
        <v/>
      </c>
      <c r="H35" s="17">
        <f>p_meta_adherencia</f>
        <v/>
      </c>
    </row>
    <row r="36" hidden="1">
      <c r="A36" s="3">
        <f>'PERFIL_HH'!$O$35</f>
        <v/>
      </c>
      <c r="B36" s="3">
        <f>COUNTIFS(tblOrdenes[semana],$A36)</f>
        <v/>
      </c>
      <c r="C36" s="3">
        <f>COUNTIFS(tblOrdenes[semana],$A36,tblOrdenes[estado],"Cerrada")</f>
        <v/>
      </c>
      <c r="D36" s="15">
        <f>IF(B36=0,"",C36/B36)</f>
        <v/>
      </c>
      <c r="E36" s="14">
        <f>SUMIFS(tblOrdenes[horas_efectivas],tblOrdenes[semana],$A36)</f>
        <v/>
      </c>
      <c r="F36" s="14">
        <f>SUMIFS(tblOrdenes[horas_efectivas],tblOrdenes[semana],$A36,tblOrdenes[estado],"Cerrada")</f>
        <v/>
      </c>
      <c r="G36" s="15">
        <f>IF(E36=0,"",F36/E36)</f>
        <v/>
      </c>
      <c r="H36" s="17">
        <f>p_meta_adherencia</f>
        <v/>
      </c>
    </row>
    <row r="37" hidden="1">
      <c r="A37" s="3">
        <f>'PERFIL_HH'!$O$36</f>
        <v/>
      </c>
      <c r="B37" s="3">
        <f>COUNTIFS(tblOrdenes[semana],$A37)</f>
        <v/>
      </c>
      <c r="C37" s="3">
        <f>COUNTIFS(tblOrdenes[semana],$A37,tblOrdenes[estado],"Cerrada")</f>
        <v/>
      </c>
      <c r="D37" s="15">
        <f>IF(B37=0,"",C37/B37)</f>
        <v/>
      </c>
      <c r="E37" s="14">
        <f>SUMIFS(tblOrdenes[horas_efectivas],tblOrdenes[semana],$A37)</f>
        <v/>
      </c>
      <c r="F37" s="14">
        <f>SUMIFS(tblOrdenes[horas_efectivas],tblOrdenes[semana],$A37,tblOrdenes[estado],"Cerrada")</f>
        <v/>
      </c>
      <c r="G37" s="15">
        <f>IF(E37=0,"",F37/E37)</f>
        <v/>
      </c>
      <c r="H37" s="17">
        <f>p_meta_adherencia</f>
        <v/>
      </c>
    </row>
    <row r="38" hidden="1">
      <c r="A38" s="3">
        <f>'PERFIL_HH'!$O$37</f>
        <v/>
      </c>
      <c r="B38" s="3">
        <f>COUNTIFS(tblOrdenes[semana],$A38)</f>
        <v/>
      </c>
      <c r="C38" s="3">
        <f>COUNTIFS(tblOrdenes[semana],$A38,tblOrdenes[estado],"Cerrada")</f>
        <v/>
      </c>
      <c r="D38" s="15">
        <f>IF(B38=0,"",C38/B38)</f>
        <v/>
      </c>
      <c r="E38" s="14">
        <f>SUMIFS(tblOrdenes[horas_efectivas],tblOrdenes[semana],$A38)</f>
        <v/>
      </c>
      <c r="F38" s="14">
        <f>SUMIFS(tblOrdenes[horas_efectivas],tblOrdenes[semana],$A38,tblOrdenes[estado],"Cerrada")</f>
        <v/>
      </c>
      <c r="G38" s="15">
        <f>IF(E38=0,"",F38/E38)</f>
        <v/>
      </c>
      <c r="H38" s="17">
        <f>p_meta_adherencia</f>
        <v/>
      </c>
    </row>
    <row r="39" hidden="1">
      <c r="A39" s="3">
        <f>'PERFIL_HH'!$O$38</f>
        <v/>
      </c>
      <c r="B39" s="3">
        <f>COUNTIFS(tblOrdenes[semana],$A39)</f>
        <v/>
      </c>
      <c r="C39" s="3">
        <f>COUNTIFS(tblOrdenes[semana],$A39,tblOrdenes[estado],"Cerrada")</f>
        <v/>
      </c>
      <c r="D39" s="15">
        <f>IF(B39=0,"",C39/B39)</f>
        <v/>
      </c>
      <c r="E39" s="14">
        <f>SUMIFS(tblOrdenes[horas_efectivas],tblOrdenes[semana],$A39)</f>
        <v/>
      </c>
      <c r="F39" s="14">
        <f>SUMIFS(tblOrdenes[horas_efectivas],tblOrdenes[semana],$A39,tblOrdenes[estado],"Cerrada")</f>
        <v/>
      </c>
      <c r="G39" s="15">
        <f>IF(E39=0,"",F39/E39)</f>
        <v/>
      </c>
      <c r="H39" s="17">
        <f>p_meta_adherencia</f>
        <v/>
      </c>
    </row>
    <row r="40" hidden="1">
      <c r="A40" s="3">
        <f>'PERFIL_HH'!$O$39</f>
        <v/>
      </c>
      <c r="B40" s="3">
        <f>COUNTIFS(tblOrdenes[semana],$A40)</f>
        <v/>
      </c>
      <c r="C40" s="3">
        <f>COUNTIFS(tblOrdenes[semana],$A40,tblOrdenes[estado],"Cerrada")</f>
        <v/>
      </c>
      <c r="D40" s="15">
        <f>IF(B40=0,"",C40/B40)</f>
        <v/>
      </c>
      <c r="E40" s="14">
        <f>SUMIFS(tblOrdenes[horas_efectivas],tblOrdenes[semana],$A40)</f>
        <v/>
      </c>
      <c r="F40" s="14">
        <f>SUMIFS(tblOrdenes[horas_efectivas],tblOrdenes[semana],$A40,tblOrdenes[estado],"Cerrada")</f>
        <v/>
      </c>
      <c r="G40" s="15">
        <f>IF(E40=0,"",F40/E40)</f>
        <v/>
      </c>
      <c r="H40" s="17">
        <f>p_meta_adherencia</f>
        <v/>
      </c>
    </row>
    <row r="41">
      <c r="A41" s="3">
        <f>'PERFIL_HH'!$O$40</f>
        <v/>
      </c>
      <c r="B41" s="3">
        <f>COUNTIFS(tblOrdenes[semana],$A41)</f>
        <v/>
      </c>
      <c r="C41" s="3">
        <f>COUNTIFS(tblOrdenes[semana],$A41,tblOrdenes[estado],"Cerrada")</f>
        <v/>
      </c>
      <c r="D41" s="15">
        <f>IF(B41=0,"",C41/B41)</f>
        <v/>
      </c>
      <c r="E41" s="14">
        <f>SUMIFS(tblOrdenes[horas_efectivas],tblOrdenes[semana],$A41)</f>
        <v/>
      </c>
      <c r="F41" s="14">
        <f>SUMIFS(tblOrdenes[horas_efectivas],tblOrdenes[semana],$A41,tblOrdenes[estado],"Cerrada")</f>
        <v/>
      </c>
      <c r="G41" s="15">
        <f>IF(E41=0,"",F41/E41)</f>
        <v/>
      </c>
      <c r="H41" s="17">
        <f>p_meta_adherencia</f>
        <v/>
      </c>
    </row>
    <row r="42" hidden="1">
      <c r="A42" s="3">
        <f>'PERFIL_HH'!$O$41</f>
        <v/>
      </c>
      <c r="B42" s="3">
        <f>COUNTIFS(tblOrdenes[semana],$A42)</f>
        <v/>
      </c>
      <c r="C42" s="3">
        <f>COUNTIFS(tblOrdenes[semana],$A42,tblOrdenes[estado],"Cerrada")</f>
        <v/>
      </c>
      <c r="D42" s="15">
        <f>IF(B42=0,"",C42/B42)</f>
        <v/>
      </c>
      <c r="E42" s="14">
        <f>SUMIFS(tblOrdenes[horas_efectivas],tblOrdenes[semana],$A42)</f>
        <v/>
      </c>
      <c r="F42" s="14">
        <f>SUMIFS(tblOrdenes[horas_efectivas],tblOrdenes[semana],$A42,tblOrdenes[estado],"Cerrada")</f>
        <v/>
      </c>
      <c r="G42" s="15">
        <f>IF(E42=0,"",F42/E42)</f>
        <v/>
      </c>
      <c r="H42" s="17">
        <f>p_meta_adherencia</f>
        <v/>
      </c>
    </row>
    <row r="43" hidden="1">
      <c r="A43" s="3">
        <f>'PERFIL_HH'!$O$42</f>
        <v/>
      </c>
      <c r="B43" s="3">
        <f>COUNTIFS(tblOrdenes[semana],$A43)</f>
        <v/>
      </c>
      <c r="C43" s="3">
        <f>COUNTIFS(tblOrdenes[semana],$A43,tblOrdenes[estado],"Cerrada")</f>
        <v/>
      </c>
      <c r="D43" s="15">
        <f>IF(B43=0,"",C43/B43)</f>
        <v/>
      </c>
      <c r="E43" s="14">
        <f>SUMIFS(tblOrdenes[horas_efectivas],tblOrdenes[semana],$A43)</f>
        <v/>
      </c>
      <c r="F43" s="14">
        <f>SUMIFS(tblOrdenes[horas_efectivas],tblOrdenes[semana],$A43,tblOrdenes[estado],"Cerrada")</f>
        <v/>
      </c>
      <c r="G43" s="15">
        <f>IF(E43=0,"",F43/E43)</f>
        <v/>
      </c>
      <c r="H43" s="17">
        <f>p_meta_adherencia</f>
        <v/>
      </c>
    </row>
    <row r="44" hidden="1">
      <c r="A44" s="3">
        <f>'PERFIL_HH'!$O$43</f>
        <v/>
      </c>
      <c r="B44" s="3">
        <f>COUNTIFS(tblOrdenes[semana],$A44)</f>
        <v/>
      </c>
      <c r="C44" s="3">
        <f>COUNTIFS(tblOrdenes[semana],$A44,tblOrdenes[estado],"Cerrada")</f>
        <v/>
      </c>
      <c r="D44" s="15">
        <f>IF(B44=0,"",C44/B44)</f>
        <v/>
      </c>
      <c r="E44" s="14">
        <f>SUMIFS(tblOrdenes[horas_efectivas],tblOrdenes[semana],$A44)</f>
        <v/>
      </c>
      <c r="F44" s="14">
        <f>SUMIFS(tblOrdenes[horas_efectivas],tblOrdenes[semana],$A44,tblOrdenes[estado],"Cerrada")</f>
        <v/>
      </c>
      <c r="G44" s="15">
        <f>IF(E44=0,"",F44/E44)</f>
        <v/>
      </c>
      <c r="H44" s="17">
        <f>p_meta_adherencia</f>
        <v/>
      </c>
    </row>
    <row r="45" hidden="1">
      <c r="A45" s="3">
        <f>'PERFIL_HH'!$O$44</f>
        <v/>
      </c>
      <c r="B45" s="3">
        <f>COUNTIFS(tblOrdenes[semana],$A45)</f>
        <v/>
      </c>
      <c r="C45" s="3">
        <f>COUNTIFS(tblOrdenes[semana],$A45,tblOrdenes[estado],"Cerrada")</f>
        <v/>
      </c>
      <c r="D45" s="15">
        <f>IF(B45=0,"",C45/B45)</f>
        <v/>
      </c>
      <c r="E45" s="14">
        <f>SUMIFS(tblOrdenes[horas_efectivas],tblOrdenes[semana],$A45)</f>
        <v/>
      </c>
      <c r="F45" s="14">
        <f>SUMIFS(tblOrdenes[horas_efectivas],tblOrdenes[semana],$A45,tblOrdenes[estado],"Cerrada")</f>
        <v/>
      </c>
      <c r="G45" s="15">
        <f>IF(E45=0,"",F45/E45)</f>
        <v/>
      </c>
      <c r="H45" s="17">
        <f>p_meta_adherencia</f>
        <v/>
      </c>
    </row>
    <row r="46" hidden="1">
      <c r="A46" s="3">
        <f>'PERFIL_HH'!$O$45</f>
        <v/>
      </c>
      <c r="B46" s="3">
        <f>COUNTIFS(tblOrdenes[semana],$A46)</f>
        <v/>
      </c>
      <c r="C46" s="3">
        <f>COUNTIFS(tblOrdenes[semana],$A46,tblOrdenes[estado],"Cerrada")</f>
        <v/>
      </c>
      <c r="D46" s="15">
        <f>IF(B46=0,"",C46/B46)</f>
        <v/>
      </c>
      <c r="E46" s="14">
        <f>SUMIFS(tblOrdenes[horas_efectivas],tblOrdenes[semana],$A46)</f>
        <v/>
      </c>
      <c r="F46" s="14">
        <f>SUMIFS(tblOrdenes[horas_efectivas],tblOrdenes[semana],$A46,tblOrdenes[estado],"Cerrada")</f>
        <v/>
      </c>
      <c r="G46" s="15">
        <f>IF(E46=0,"",F46/E46)</f>
        <v/>
      </c>
      <c r="H46" s="17">
        <f>p_meta_adherencia</f>
        <v/>
      </c>
    </row>
    <row r="47" hidden="1">
      <c r="A47" s="3">
        <f>'PERFIL_HH'!$O$46</f>
        <v/>
      </c>
      <c r="B47" s="3">
        <f>COUNTIFS(tblOrdenes[semana],$A47)</f>
        <v/>
      </c>
      <c r="C47" s="3">
        <f>COUNTIFS(tblOrdenes[semana],$A47,tblOrdenes[estado],"Cerrada")</f>
        <v/>
      </c>
      <c r="D47" s="15">
        <f>IF(B47=0,"",C47/B47)</f>
        <v/>
      </c>
      <c r="E47" s="14">
        <f>SUMIFS(tblOrdenes[horas_efectivas],tblOrdenes[semana],$A47)</f>
        <v/>
      </c>
      <c r="F47" s="14">
        <f>SUMIFS(tblOrdenes[horas_efectivas],tblOrdenes[semana],$A47,tblOrdenes[estado],"Cerrada")</f>
        <v/>
      </c>
      <c r="G47" s="15">
        <f>IF(E47=0,"",F47/E47)</f>
        <v/>
      </c>
      <c r="H47" s="17">
        <f>p_meta_adherencia</f>
        <v/>
      </c>
    </row>
    <row r="48" hidden="1">
      <c r="A48" s="3">
        <f>'PERFIL_HH'!$O$47</f>
        <v/>
      </c>
      <c r="B48" s="3">
        <f>COUNTIFS(tblOrdenes[semana],$A48)</f>
        <v/>
      </c>
      <c r="C48" s="3">
        <f>COUNTIFS(tblOrdenes[semana],$A48,tblOrdenes[estado],"Cerrada")</f>
        <v/>
      </c>
      <c r="D48" s="15">
        <f>IF(B48=0,"",C48/B48)</f>
        <v/>
      </c>
      <c r="E48" s="14">
        <f>SUMIFS(tblOrdenes[horas_efectivas],tblOrdenes[semana],$A48)</f>
        <v/>
      </c>
      <c r="F48" s="14">
        <f>SUMIFS(tblOrdenes[horas_efectivas],tblOrdenes[semana],$A48,tblOrdenes[estado],"Cerrada")</f>
        <v/>
      </c>
      <c r="G48" s="15">
        <f>IF(E48=0,"",F48/E48)</f>
        <v/>
      </c>
      <c r="H48" s="17">
        <f>p_meta_adherencia</f>
        <v/>
      </c>
    </row>
    <row r="49" hidden="1">
      <c r="A49" s="3">
        <f>'PERFIL_HH'!$O$48</f>
        <v/>
      </c>
      <c r="B49" s="3">
        <f>COUNTIFS(tblOrdenes[semana],$A49)</f>
        <v/>
      </c>
      <c r="C49" s="3">
        <f>COUNTIFS(tblOrdenes[semana],$A49,tblOrdenes[estado],"Cerrada")</f>
        <v/>
      </c>
      <c r="D49" s="15">
        <f>IF(B49=0,"",C49/B49)</f>
        <v/>
      </c>
      <c r="E49" s="14">
        <f>SUMIFS(tblOrdenes[horas_efectivas],tblOrdenes[semana],$A49)</f>
        <v/>
      </c>
      <c r="F49" s="14">
        <f>SUMIFS(tblOrdenes[horas_efectivas],tblOrdenes[semana],$A49,tblOrdenes[estado],"Cerrada")</f>
        <v/>
      </c>
      <c r="G49" s="15">
        <f>IF(E49=0,"",F49/E49)</f>
        <v/>
      </c>
      <c r="H49" s="17">
        <f>p_meta_adherencia</f>
        <v/>
      </c>
    </row>
    <row r="50">
      <c r="A50" s="3">
        <f>'PERFIL_HH'!$O$49</f>
        <v/>
      </c>
      <c r="B50" s="3">
        <f>COUNTIFS(tblOrdenes[semana],$A50)</f>
        <v/>
      </c>
      <c r="C50" s="3">
        <f>COUNTIFS(tblOrdenes[semana],$A50,tblOrdenes[estado],"Cerrada")</f>
        <v/>
      </c>
      <c r="D50" s="15">
        <f>IF(B50=0,"",C50/B50)</f>
        <v/>
      </c>
      <c r="E50" s="14">
        <f>SUMIFS(tblOrdenes[horas_efectivas],tblOrdenes[semana],$A50)</f>
        <v/>
      </c>
      <c r="F50" s="14">
        <f>SUMIFS(tblOrdenes[horas_efectivas],tblOrdenes[semana],$A50,tblOrdenes[estado],"Cerrada")</f>
        <v/>
      </c>
      <c r="G50" s="15">
        <f>IF(E50=0,"",F50/E50)</f>
        <v/>
      </c>
      <c r="H50" s="17">
        <f>p_meta_adherencia</f>
        <v/>
      </c>
    </row>
    <row r="51">
      <c r="A51" s="3">
        <f>'PERFIL_HH'!$O$50</f>
        <v/>
      </c>
      <c r="B51" s="3">
        <f>COUNTIFS(tblOrdenes[semana],$A51)</f>
        <v/>
      </c>
      <c r="C51" s="3">
        <f>COUNTIFS(tblOrdenes[semana],$A51,tblOrdenes[estado],"Cerrada")</f>
        <v/>
      </c>
      <c r="D51" s="15">
        <f>IF(B51=0,"",C51/B51)</f>
        <v/>
      </c>
      <c r="E51" s="14">
        <f>SUMIFS(tblOrdenes[horas_efectivas],tblOrdenes[semana],$A51)</f>
        <v/>
      </c>
      <c r="F51" s="14">
        <f>SUMIFS(tblOrdenes[horas_efectivas],tblOrdenes[semana],$A51,tblOrdenes[estado],"Cerrada")</f>
        <v/>
      </c>
      <c r="G51" s="15">
        <f>IF(E51=0,"",F51/E51)</f>
        <v/>
      </c>
      <c r="H51" s="17">
        <f>p_meta_adherencia</f>
        <v/>
      </c>
    </row>
    <row r="52" hidden="1">
      <c r="A52" s="3">
        <f>'PERFIL_HH'!$O$51</f>
        <v/>
      </c>
      <c r="B52" s="3">
        <f>COUNTIFS(tblOrdenes[semana],$A52)</f>
        <v/>
      </c>
      <c r="C52" s="3">
        <f>COUNTIFS(tblOrdenes[semana],$A52,tblOrdenes[estado],"Cerrada")</f>
        <v/>
      </c>
      <c r="D52" s="15">
        <f>IF(B52=0,"",C52/B52)</f>
        <v/>
      </c>
      <c r="E52" s="14">
        <f>SUMIFS(tblOrdenes[horas_efectivas],tblOrdenes[semana],$A52)</f>
        <v/>
      </c>
      <c r="F52" s="14">
        <f>SUMIFS(tblOrdenes[horas_efectivas],tblOrdenes[semana],$A52,tblOrdenes[estado],"Cerrada")</f>
        <v/>
      </c>
      <c r="G52" s="15">
        <f>IF(E52=0,"",F52/E52)</f>
        <v/>
      </c>
      <c r="H52" s="17">
        <f>p_meta_adherencia</f>
        <v/>
      </c>
    </row>
    <row r="53" hidden="1">
      <c r="A53" s="3">
        <f>'PERFIL_HH'!$O$52</f>
        <v/>
      </c>
      <c r="B53" s="3">
        <f>COUNTIFS(tblOrdenes[semana],$A53)</f>
        <v/>
      </c>
      <c r="C53" s="3">
        <f>COUNTIFS(tblOrdenes[semana],$A53,tblOrdenes[estado],"Cerrada")</f>
        <v/>
      </c>
      <c r="D53" s="15">
        <f>IF(B53=0,"",C53/B53)</f>
        <v/>
      </c>
      <c r="E53" s="14">
        <f>SUMIFS(tblOrdenes[horas_efectivas],tblOrdenes[semana],$A53)</f>
        <v/>
      </c>
      <c r="F53" s="14">
        <f>SUMIFS(tblOrdenes[horas_efectivas],tblOrdenes[semana],$A53,tblOrdenes[estado],"Cerrada")</f>
        <v/>
      </c>
      <c r="G53" s="15">
        <f>IF(E53=0,"",F53/E53)</f>
        <v/>
      </c>
      <c r="H53" s="17">
        <f>p_meta_adherencia</f>
        <v/>
      </c>
    </row>
    <row r="54" hidden="1">
      <c r="A54" s="3">
        <f>'PERFIL_HH'!$O$53</f>
        <v/>
      </c>
      <c r="B54" s="3">
        <f>COUNTIFS(tblOrdenes[semana],$A54)</f>
        <v/>
      </c>
      <c r="C54" s="3">
        <f>COUNTIFS(tblOrdenes[semana],$A54,tblOrdenes[estado],"Cerrada")</f>
        <v/>
      </c>
      <c r="D54" s="15">
        <f>IF(B54=0,"",C54/B54)</f>
        <v/>
      </c>
      <c r="E54" s="14">
        <f>SUMIFS(tblOrdenes[horas_efectivas],tblOrdenes[semana],$A54)</f>
        <v/>
      </c>
      <c r="F54" s="14">
        <f>SUMIFS(tblOrdenes[horas_efectivas],tblOrdenes[semana],$A54,tblOrdenes[estado],"Cerrada")</f>
        <v/>
      </c>
      <c r="G54" s="15">
        <f>IF(E54=0,"",F54/E54)</f>
        <v/>
      </c>
      <c r="H54" s="17">
        <f>p_meta_adherencia</f>
        <v/>
      </c>
    </row>
    <row r="55" hidden="1">
      <c r="A55" s="3">
        <f>'PERFIL_HH'!$O$54</f>
        <v/>
      </c>
      <c r="B55" s="3">
        <f>COUNTIFS(tblOrdenes[semana],$A55)</f>
        <v/>
      </c>
      <c r="C55" s="3">
        <f>COUNTIFS(tblOrdenes[semana],$A55,tblOrdenes[estado],"Cerrada")</f>
        <v/>
      </c>
      <c r="D55" s="15">
        <f>IF(B55=0,"",C55/B55)</f>
        <v/>
      </c>
      <c r="E55" s="14">
        <f>SUMIFS(tblOrdenes[horas_efectivas],tblOrdenes[semana],$A55)</f>
        <v/>
      </c>
      <c r="F55" s="14">
        <f>SUMIFS(tblOrdenes[horas_efectivas],tblOrdenes[semana],$A55,tblOrdenes[estado],"Cerrada")</f>
        <v/>
      </c>
      <c r="G55" s="15">
        <f>IF(E55=0,"",F55/E55)</f>
        <v/>
      </c>
      <c r="H55" s="17">
        <f>p_meta_adherencia</f>
        <v/>
      </c>
    </row>
    <row r="56" hidden="1">
      <c r="A56" s="3">
        <f>'PERFIL_HH'!$O$55</f>
        <v/>
      </c>
      <c r="B56" s="3">
        <f>COUNTIFS(tblOrdenes[semana],$A56)</f>
        <v/>
      </c>
      <c r="C56" s="3">
        <f>COUNTIFS(tblOrdenes[semana],$A56,tblOrdenes[estado],"Cerrada")</f>
        <v/>
      </c>
      <c r="D56" s="15">
        <f>IF(B56=0,"",C56/B56)</f>
        <v/>
      </c>
      <c r="E56" s="14">
        <f>SUMIFS(tblOrdenes[horas_efectivas],tblOrdenes[semana],$A56)</f>
        <v/>
      </c>
      <c r="F56" s="14">
        <f>SUMIFS(tblOrdenes[horas_efectivas],tblOrdenes[semana],$A56,tblOrdenes[estado],"Cerrada")</f>
        <v/>
      </c>
      <c r="G56" s="15">
        <f>IF(E56=0,"",F56/E56)</f>
        <v/>
      </c>
      <c r="H56" s="17">
        <f>p_meta_adherencia</f>
        <v/>
      </c>
    </row>
    <row r="57" hidden="1">
      <c r="A57" s="3">
        <f>'PERFIL_HH'!$O$56</f>
        <v/>
      </c>
      <c r="B57" s="3">
        <f>COUNTIFS(tblOrdenes[semana],$A57)</f>
        <v/>
      </c>
      <c r="C57" s="3">
        <f>COUNTIFS(tblOrdenes[semana],$A57,tblOrdenes[estado],"Cerrada")</f>
        <v/>
      </c>
      <c r="D57" s="15">
        <f>IF(B57=0,"",C57/B57)</f>
        <v/>
      </c>
      <c r="E57" s="14">
        <f>SUMIFS(tblOrdenes[horas_efectivas],tblOrdenes[semana],$A57)</f>
        <v/>
      </c>
      <c r="F57" s="14">
        <f>SUMIFS(tblOrdenes[horas_efectivas],tblOrdenes[semana],$A57,tblOrdenes[estado],"Cerrada")</f>
        <v/>
      </c>
      <c r="G57" s="15">
        <f>IF(E57=0,"",F57/E57)</f>
        <v/>
      </c>
      <c r="H57" s="17">
        <f>p_meta_adherencia</f>
        <v/>
      </c>
    </row>
    <row r="58" hidden="1">
      <c r="A58" s="3">
        <f>'PERFIL_HH'!$O$57</f>
        <v/>
      </c>
      <c r="B58" s="3">
        <f>COUNTIFS(tblOrdenes[semana],$A58)</f>
        <v/>
      </c>
      <c r="C58" s="3">
        <f>COUNTIFS(tblOrdenes[semana],$A58,tblOrdenes[estado],"Cerrada")</f>
        <v/>
      </c>
      <c r="D58" s="15">
        <f>IF(B58=0,"",C58/B58)</f>
        <v/>
      </c>
      <c r="E58" s="14">
        <f>SUMIFS(tblOrdenes[horas_efectivas],tblOrdenes[semana],$A58)</f>
        <v/>
      </c>
      <c r="F58" s="14">
        <f>SUMIFS(tblOrdenes[horas_efectivas],tblOrdenes[semana],$A58,tblOrdenes[estado],"Cerrada")</f>
        <v/>
      </c>
      <c r="G58" s="15">
        <f>IF(E58=0,"",F58/E58)</f>
        <v/>
      </c>
      <c r="H58" s="17">
        <f>p_meta_adherencia</f>
        <v/>
      </c>
    </row>
    <row r="59" hidden="1">
      <c r="A59" s="3">
        <f>'PERFIL_HH'!$O$58</f>
        <v/>
      </c>
      <c r="B59" s="3">
        <f>COUNTIFS(tblOrdenes[semana],$A59)</f>
        <v/>
      </c>
      <c r="C59" s="3">
        <f>COUNTIFS(tblOrdenes[semana],$A59,tblOrdenes[estado],"Cerrada")</f>
        <v/>
      </c>
      <c r="D59" s="15">
        <f>IF(B59=0,"",C59/B59)</f>
        <v/>
      </c>
      <c r="E59" s="14">
        <f>SUMIFS(tblOrdenes[horas_efectivas],tblOrdenes[semana],$A59)</f>
        <v/>
      </c>
      <c r="F59" s="14">
        <f>SUMIFS(tblOrdenes[horas_efectivas],tblOrdenes[semana],$A59,tblOrdenes[estado],"Cerrada")</f>
        <v/>
      </c>
      <c r="G59" s="15">
        <f>IF(E59=0,"",F59/E59)</f>
        <v/>
      </c>
      <c r="H59" s="17">
        <f>p_meta_adherencia</f>
        <v/>
      </c>
    </row>
    <row r="60" hidden="1">
      <c r="A60" s="3">
        <f>'PERFIL_HH'!$O$59</f>
        <v/>
      </c>
      <c r="B60" s="3">
        <f>COUNTIFS(tblOrdenes[semana],$A60)</f>
        <v/>
      </c>
      <c r="C60" s="3">
        <f>COUNTIFS(tblOrdenes[semana],$A60,tblOrdenes[estado],"Cerrada")</f>
        <v/>
      </c>
      <c r="D60" s="15">
        <f>IF(B60=0,"",C60/B60)</f>
        <v/>
      </c>
      <c r="E60" s="14">
        <f>SUMIFS(tblOrdenes[horas_efectivas],tblOrdenes[semana],$A60)</f>
        <v/>
      </c>
      <c r="F60" s="14">
        <f>SUMIFS(tblOrdenes[horas_efectivas],tblOrdenes[semana],$A60,tblOrdenes[estado],"Cerrada")</f>
        <v/>
      </c>
      <c r="G60" s="15">
        <f>IF(E60=0,"",F60/E60)</f>
        <v/>
      </c>
      <c r="H60" s="17">
        <f>p_meta_adherencia</f>
        <v/>
      </c>
    </row>
    <row r="61" hidden="1">
      <c r="A61" s="3">
        <f>'PERFIL_HH'!$O$60</f>
        <v/>
      </c>
      <c r="B61" s="3">
        <f>COUNTIFS(tblOrdenes[semana],$A61)</f>
        <v/>
      </c>
      <c r="C61" s="3">
        <f>COUNTIFS(tblOrdenes[semana],$A61,tblOrdenes[estado],"Cerrada")</f>
        <v/>
      </c>
      <c r="D61" s="15">
        <f>IF(B61=0,"",C61/B61)</f>
        <v/>
      </c>
      <c r="E61" s="14">
        <f>SUMIFS(tblOrdenes[horas_efectivas],tblOrdenes[semana],$A61)</f>
        <v/>
      </c>
      <c r="F61" s="14">
        <f>SUMIFS(tblOrdenes[horas_efectivas],tblOrdenes[semana],$A61,tblOrdenes[estado],"Cerrada")</f>
        <v/>
      </c>
      <c r="G61" s="15">
        <f>IF(E61=0,"",F61/E61)</f>
        <v/>
      </c>
      <c r="H61" s="17">
        <f>p_meta_adherencia</f>
        <v/>
      </c>
    </row>
    <row r="62" hidden="1">
      <c r="A62" s="3">
        <f>'PERFIL_HH'!$O$61</f>
        <v/>
      </c>
      <c r="B62" s="3">
        <f>COUNTIFS(tblOrdenes[semana],$A62)</f>
        <v/>
      </c>
      <c r="C62" s="3">
        <f>COUNTIFS(tblOrdenes[semana],$A62,tblOrdenes[estado],"Cerrada")</f>
        <v/>
      </c>
      <c r="D62" s="15">
        <f>IF(B62=0,"",C62/B62)</f>
        <v/>
      </c>
      <c r="E62" s="14">
        <f>SUMIFS(tblOrdenes[horas_efectivas],tblOrdenes[semana],$A62)</f>
        <v/>
      </c>
      <c r="F62" s="14">
        <f>SUMIFS(tblOrdenes[horas_efectivas],tblOrdenes[semana],$A62,tblOrdenes[estado],"Cerrada")</f>
        <v/>
      </c>
      <c r="G62" s="15">
        <f>IF(E62=0,"",F62/E62)</f>
        <v/>
      </c>
      <c r="H62" s="17">
        <f>p_meta_adherencia</f>
        <v/>
      </c>
    </row>
    <row r="63" hidden="1">
      <c r="A63" s="3">
        <f>'PERFIL_HH'!$O$62</f>
        <v/>
      </c>
      <c r="B63" s="3">
        <f>COUNTIFS(tblOrdenes[semana],$A63)</f>
        <v/>
      </c>
      <c r="C63" s="3">
        <f>COUNTIFS(tblOrdenes[semana],$A63,tblOrdenes[estado],"Cerrada")</f>
        <v/>
      </c>
      <c r="D63" s="15">
        <f>IF(B63=0,"",C63/B63)</f>
        <v/>
      </c>
      <c r="E63" s="14">
        <f>SUMIFS(tblOrdenes[horas_efectivas],tblOrdenes[semana],$A63)</f>
        <v/>
      </c>
      <c r="F63" s="14">
        <f>SUMIFS(tblOrdenes[horas_efectivas],tblOrdenes[semana],$A63,tblOrdenes[estado],"Cerrada")</f>
        <v/>
      </c>
      <c r="G63" s="15">
        <f>IF(E63=0,"",F63/E63)</f>
        <v/>
      </c>
      <c r="H63" s="17">
        <f>p_meta_adherencia</f>
        <v/>
      </c>
    </row>
    <row r="64" hidden="1">
      <c r="A64" s="3">
        <f>'PERFIL_HH'!$O$63</f>
        <v/>
      </c>
      <c r="B64" s="3">
        <f>COUNTIFS(tblOrdenes[semana],$A64)</f>
        <v/>
      </c>
      <c r="C64" s="3">
        <f>COUNTIFS(tblOrdenes[semana],$A64,tblOrdenes[estado],"Cerrada")</f>
        <v/>
      </c>
      <c r="D64" s="15">
        <f>IF(B64=0,"",C64/B64)</f>
        <v/>
      </c>
      <c r="E64" s="14">
        <f>SUMIFS(tblOrdenes[horas_efectivas],tblOrdenes[semana],$A64)</f>
        <v/>
      </c>
      <c r="F64" s="14">
        <f>SUMIFS(tblOrdenes[horas_efectivas],tblOrdenes[semana],$A64,tblOrdenes[estado],"Cerrada")</f>
        <v/>
      </c>
      <c r="G64" s="15">
        <f>IF(E64=0,"",F64/E64)</f>
        <v/>
      </c>
      <c r="H64" s="17">
        <f>p_meta_adherencia</f>
        <v/>
      </c>
    </row>
    <row r="66">
      <c r="A66" s="4" t="inlineStr">
        <is>
          <t>POR ÁREA</t>
        </is>
      </c>
    </row>
    <row r="67">
      <c r="A67" s="5" t="inlineStr">
        <is>
          <t>valor</t>
        </is>
      </c>
      <c r="B67" s="5" t="inlineStr">
        <is>
          <t>total_ot</t>
        </is>
      </c>
      <c r="C67" s="5" t="inlineStr">
        <is>
          <t>cerradas</t>
        </is>
      </c>
      <c r="D67" s="5" t="inlineStr">
        <is>
          <t>adherencia_conteo</t>
        </is>
      </c>
      <c r="E67" s="5" t="inlineStr">
        <is>
          <t>hh_total</t>
        </is>
      </c>
      <c r="F67" s="5" t="inlineStr">
        <is>
          <t>hh_cerradas</t>
        </is>
      </c>
      <c r="G67" s="5" t="inlineStr">
        <is>
          <t>adherencia_horas</t>
        </is>
      </c>
    </row>
    <row r="68">
      <c r="A68" s="3" t="inlineStr">
        <is>
          <t>PRODUCCION</t>
        </is>
      </c>
      <c r="B68" s="3">
        <f>COUNTIFS(tblOrdenes[area],$A68)</f>
        <v/>
      </c>
      <c r="C68" s="3">
        <f>COUNTIFS(tblOrdenes[area],$A68,tblOrdenes[estado],"Cerrada")</f>
        <v/>
      </c>
      <c r="D68" s="15">
        <f>IF(B68=0,"",C68/B68)</f>
        <v/>
      </c>
      <c r="E68" s="14">
        <f>SUMIFS(tblOrdenes[horas_efectivas],tblOrdenes[area],$A68)</f>
        <v/>
      </c>
      <c r="F68" s="14">
        <f>SUMIFS(tblOrdenes[horas_efectivas],tblOrdenes[area],$A68,tblOrdenes[estado],"Cerrada")</f>
        <v/>
      </c>
      <c r="G68" s="15">
        <f>IF(E68=0,"",F68/E68)</f>
        <v/>
      </c>
    </row>
    <row r="69">
      <c r="A69" s="3" t="inlineStr">
        <is>
          <t>EMPAQUE</t>
        </is>
      </c>
      <c r="B69" s="3">
        <f>COUNTIFS(tblOrdenes[area],$A69)</f>
        <v/>
      </c>
      <c r="C69" s="3">
        <f>COUNTIFS(tblOrdenes[area],$A69,tblOrdenes[estado],"Cerrada")</f>
        <v/>
      </c>
      <c r="D69" s="15">
        <f>IF(B69=0,"",C69/B69)</f>
        <v/>
      </c>
      <c r="E69" s="14">
        <f>SUMIFS(tblOrdenes[horas_efectivas],tblOrdenes[area],$A69)</f>
        <v/>
      </c>
      <c r="F69" s="14">
        <f>SUMIFS(tblOrdenes[horas_efectivas],tblOrdenes[area],$A69,tblOrdenes[estado],"Cerrada")</f>
        <v/>
      </c>
      <c r="G69" s="15">
        <f>IF(E69=0,"",F69/E69)</f>
        <v/>
      </c>
    </row>
    <row r="70">
      <c r="A70" s="3" t="inlineStr">
        <is>
          <t>SERVICIOS</t>
        </is>
      </c>
      <c r="B70" s="3">
        <f>COUNTIFS(tblOrdenes[area],$A70)</f>
        <v/>
      </c>
      <c r="C70" s="3">
        <f>COUNTIFS(tblOrdenes[area],$A70,tblOrdenes[estado],"Cerrada")</f>
        <v/>
      </c>
      <c r="D70" s="15">
        <f>IF(B70=0,"",C70/B70)</f>
        <v/>
      </c>
      <c r="E70" s="14">
        <f>SUMIFS(tblOrdenes[horas_efectivas],tblOrdenes[area],$A70)</f>
        <v/>
      </c>
      <c r="F70" s="14">
        <f>SUMIFS(tblOrdenes[horas_efectivas],tblOrdenes[area],$A70,tblOrdenes[estado],"Cerrada")</f>
        <v/>
      </c>
      <c r="G70" s="15">
        <f>IF(E70=0,"",F70/E70)</f>
        <v/>
      </c>
    </row>
    <row r="72">
      <c r="A72" s="4" t="inlineStr">
        <is>
          <t>POR ESPECIALIDAD</t>
        </is>
      </c>
    </row>
    <row r="73">
      <c r="A73" s="5" t="inlineStr">
        <is>
          <t>valor</t>
        </is>
      </c>
      <c r="B73" s="5" t="inlineStr">
        <is>
          <t>total_ot</t>
        </is>
      </c>
      <c r="C73" s="5" t="inlineStr">
        <is>
          <t>cerradas</t>
        </is>
      </c>
      <c r="D73" s="5" t="inlineStr">
        <is>
          <t>adherencia_conteo</t>
        </is>
      </c>
      <c r="E73" s="5" t="inlineStr">
        <is>
          <t>hh_total</t>
        </is>
      </c>
      <c r="F73" s="5" t="inlineStr">
        <is>
          <t>hh_cerradas</t>
        </is>
      </c>
      <c r="G73" s="5" t="inlineStr">
        <is>
          <t>adherencia_horas</t>
        </is>
      </c>
    </row>
    <row r="74">
      <c r="A74" s="3" t="inlineStr">
        <is>
          <t>MEC</t>
        </is>
      </c>
      <c r="B74" s="3">
        <f>COUNTIFS(tblOrdenes[especialidad],$A74)</f>
        <v/>
      </c>
      <c r="C74" s="3">
        <f>COUNTIFS(tblOrdenes[especialidad],$A74,tblOrdenes[estado],"Cerrada")</f>
        <v/>
      </c>
      <c r="D74" s="15">
        <f>IF(B74=0,"",C74/B74)</f>
        <v/>
      </c>
      <c r="E74" s="14">
        <f>SUMIFS(tblOrdenes[horas_efectivas],tblOrdenes[especialidad],$A74)</f>
        <v/>
      </c>
      <c r="F74" s="14">
        <f>SUMIFS(tblOrdenes[horas_efectivas],tblOrdenes[especialidad],$A74,tblOrdenes[estado],"Cerrada")</f>
        <v/>
      </c>
      <c r="G74" s="15">
        <f>IF(E74=0,"",F74/E74)</f>
        <v/>
      </c>
    </row>
    <row r="75">
      <c r="A75" s="3" t="inlineStr">
        <is>
          <t>ELE</t>
        </is>
      </c>
      <c r="B75" s="3">
        <f>COUNTIFS(tblOrdenes[especialidad],$A75)</f>
        <v/>
      </c>
      <c r="C75" s="3">
        <f>COUNTIFS(tblOrdenes[especialidad],$A75,tblOrdenes[estado],"Cerrada")</f>
        <v/>
      </c>
      <c r="D75" s="15">
        <f>IF(B75=0,"",C75/B75)</f>
        <v/>
      </c>
      <c r="E75" s="14">
        <f>SUMIFS(tblOrdenes[horas_efectivas],tblOrdenes[especialidad],$A75)</f>
        <v/>
      </c>
      <c r="F75" s="14">
        <f>SUMIFS(tblOrdenes[horas_efectivas],tblOrdenes[especialidad],$A75,tblOrdenes[estado],"Cerrada")</f>
        <v/>
      </c>
      <c r="G75" s="15">
        <f>IF(E75=0,"",F75/E75)</f>
        <v/>
      </c>
    </row>
    <row r="76">
      <c r="A76" s="3" t="inlineStr">
        <is>
          <t>AUT</t>
        </is>
      </c>
      <c r="B76" s="3">
        <f>COUNTIFS(tblOrdenes[especialidad],$A76)</f>
        <v/>
      </c>
      <c r="C76" s="3">
        <f>COUNTIFS(tblOrdenes[especialidad],$A76,tblOrdenes[estado],"Cerrada")</f>
        <v/>
      </c>
      <c r="D76" s="15">
        <f>IF(B76=0,"",C76/B76)</f>
        <v/>
      </c>
      <c r="E76" s="14">
        <f>SUMIFS(tblOrdenes[horas_efectivas],tblOrdenes[especialidad],$A76)</f>
        <v/>
      </c>
      <c r="F76" s="14">
        <f>SUMIFS(tblOrdenes[horas_efectivas],tblOrdenes[especialidad],$A76,tblOrdenes[estado],"Cerrada")</f>
        <v/>
      </c>
      <c r="G76" s="15">
        <f>IF(E76=0,"",F76/E76)</f>
        <v/>
      </c>
    </row>
    <row r="77">
      <c r="A77" s="3" t="inlineStr">
        <is>
          <t>OP</t>
        </is>
      </c>
      <c r="B77" s="3">
        <f>COUNTIFS(tblOrdenes[especialidad],$A77)</f>
        <v/>
      </c>
      <c r="C77" s="3">
        <f>COUNTIFS(tblOrdenes[especialidad],$A77,tblOrdenes[estado],"Cerrada")</f>
        <v/>
      </c>
      <c r="D77" s="15">
        <f>IF(B77=0,"",C77/B77)</f>
        <v/>
      </c>
      <c r="E77" s="14">
        <f>SUMIFS(tblOrdenes[horas_efectivas],tblOrdenes[especialidad],$A77)</f>
        <v/>
      </c>
      <c r="F77" s="14">
        <f>SUMIFS(tblOrdenes[horas_efectivas],tblOrdenes[especialidad],$A77,tblOrdenes[estado],"Cerrada")</f>
        <v/>
      </c>
      <c r="G77" s="15">
        <f>IF(E77=0,"",F77/E77)</f>
        <v/>
      </c>
    </row>
    <row r="78">
      <c r="A78" s="3" t="inlineStr">
        <is>
          <t>TERCERO</t>
        </is>
      </c>
      <c r="B78" s="3">
        <f>COUNTIFS(tblOrdenes[especialidad],$A78)</f>
        <v/>
      </c>
      <c r="C78" s="3">
        <f>COUNTIFS(tblOrdenes[especialidad],$A78,tblOrdenes[estado],"Cerrada")</f>
        <v/>
      </c>
      <c r="D78" s="15">
        <f>IF(B78=0,"",C78/B78)</f>
        <v/>
      </c>
      <c r="E78" s="14">
        <f>SUMIFS(tblOrdenes[horas_efectivas],tblOrdenes[especialidad],$A78)</f>
        <v/>
      </c>
      <c r="F78" s="14">
        <f>SUMIFS(tblOrdenes[horas_efectivas],tblOrdenes[especialidad],$A78,tblOrdenes[estado],"Cerrada")</f>
        <v/>
      </c>
      <c r="G78" s="15">
        <f>IF(E78=0,"",F78/E78)</f>
        <v/>
      </c>
    </row>
    <row r="80">
      <c r="A80" s="4" t="inlineStr">
        <is>
          <t>POR COORDINADOR</t>
        </is>
      </c>
    </row>
    <row r="81">
      <c r="A81" s="5" t="inlineStr">
        <is>
          <t>valor</t>
        </is>
      </c>
      <c r="B81" s="5" t="inlineStr">
        <is>
          <t>total_ot</t>
        </is>
      </c>
      <c r="C81" s="5" t="inlineStr">
        <is>
          <t>cerradas</t>
        </is>
      </c>
      <c r="D81" s="5" t="inlineStr">
        <is>
          <t>adherencia_conteo</t>
        </is>
      </c>
      <c r="E81" s="5" t="inlineStr">
        <is>
          <t>hh_total</t>
        </is>
      </c>
      <c r="F81" s="5" t="inlineStr">
        <is>
          <t>hh_cerradas</t>
        </is>
      </c>
      <c r="G81" s="5" t="inlineStr">
        <is>
          <t>adherencia_horas</t>
        </is>
      </c>
    </row>
    <row r="82">
      <c r="A82" s="3" t="inlineStr">
        <is>
          <t>Coordinador A</t>
        </is>
      </c>
      <c r="B82" s="3">
        <f>COUNTIFS(tblOrdenes[coordinador],$A82)</f>
        <v/>
      </c>
      <c r="C82" s="3">
        <f>COUNTIFS(tblOrdenes[coordinador],$A82,tblOrdenes[estado],"Cerrada")</f>
        <v/>
      </c>
      <c r="D82" s="15">
        <f>IF(B82=0,"",C82/B82)</f>
        <v/>
      </c>
      <c r="E82" s="14">
        <f>SUMIFS(tblOrdenes[horas_efectivas],tblOrdenes[coordinador],$A82)</f>
        <v/>
      </c>
      <c r="F82" s="14">
        <f>SUMIFS(tblOrdenes[horas_efectivas],tblOrdenes[coordinador],$A82,tblOrdenes[estado],"Cerrada")</f>
        <v/>
      </c>
      <c r="G82" s="15">
        <f>IF(E82=0,"",F82/E82)</f>
        <v/>
      </c>
    </row>
    <row r="83">
      <c r="A83" s="3" t="inlineStr">
        <is>
          <t>Coordinador B</t>
        </is>
      </c>
      <c r="B83" s="3">
        <f>COUNTIFS(tblOrdenes[coordinador],$A83)</f>
        <v/>
      </c>
      <c r="C83" s="3">
        <f>COUNTIFS(tblOrdenes[coordinador],$A83,tblOrdenes[estado],"Cerrada")</f>
        <v/>
      </c>
      <c r="D83" s="15">
        <f>IF(B83=0,"",C83/B83)</f>
        <v/>
      </c>
      <c r="E83" s="14">
        <f>SUMIFS(tblOrdenes[horas_efectivas],tblOrdenes[coordinador],$A83)</f>
        <v/>
      </c>
      <c r="F83" s="14">
        <f>SUMIFS(tblOrdenes[horas_efectivas],tblOrdenes[coordinador],$A83,tblOrdenes[estado],"Cerrada")</f>
        <v/>
      </c>
      <c r="G83" s="15">
        <f>IF(E83=0,"",F83/E83)</f>
        <v/>
      </c>
    </row>
    <row r="84">
      <c r="A84" s="3" t="inlineStr">
        <is>
          <t>Coordinador C</t>
        </is>
      </c>
      <c r="B84" s="3">
        <f>COUNTIFS(tblOrdenes[coordinador],$A84)</f>
        <v/>
      </c>
      <c r="C84" s="3">
        <f>COUNTIFS(tblOrdenes[coordinador],$A84,tblOrdenes[estado],"Cerrada")</f>
        <v/>
      </c>
      <c r="D84" s="15">
        <f>IF(B84=0,"",C84/B84)</f>
        <v/>
      </c>
      <c r="E84" s="14">
        <f>SUMIFS(tblOrdenes[horas_efectivas],tblOrdenes[coordinador],$A84)</f>
        <v/>
      </c>
      <c r="F84" s="14">
        <f>SUMIFS(tblOrdenes[horas_efectivas],tblOrdenes[coordinador],$A84,tblOrdenes[estado],"Cerrada")</f>
        <v/>
      </c>
      <c r="G84" s="15">
        <f>IF(E84=0,"",F84/E84)</f>
        <v/>
      </c>
    </row>
    <row r="86">
      <c r="A86" s="4" t="inlineStr">
        <is>
          <t>POR CLASIFICACIÓN</t>
        </is>
      </c>
    </row>
    <row r="87">
      <c r="A87" s="5" t="inlineStr">
        <is>
          <t>valor</t>
        </is>
      </c>
      <c r="B87" s="5" t="inlineStr">
        <is>
          <t>total_ot</t>
        </is>
      </c>
      <c r="C87" s="5" t="inlineStr">
        <is>
          <t>cerradas</t>
        </is>
      </c>
      <c r="D87" s="5" t="inlineStr">
        <is>
          <t>adherencia_conteo</t>
        </is>
      </c>
      <c r="E87" s="5" t="inlineStr">
        <is>
          <t>hh_total</t>
        </is>
      </c>
      <c r="F87" s="5" t="inlineStr">
        <is>
          <t>hh_cerradas</t>
        </is>
      </c>
      <c r="G87" s="5" t="inlineStr">
        <is>
          <t>adherencia_horas</t>
        </is>
      </c>
    </row>
    <row r="88">
      <c r="A88" s="3" t="inlineStr">
        <is>
          <t>preventiva</t>
        </is>
      </c>
      <c r="B88" s="3">
        <f>COUNTIFS(tblOrdenes[clasificacion],$A88)</f>
        <v/>
      </c>
      <c r="C88" s="3">
        <f>COUNTIFS(tblOrdenes[clasificacion],$A88,tblOrdenes[estado],"Cerrada")</f>
        <v/>
      </c>
      <c r="D88" s="15">
        <f>IF(B88=0,"",C88/B88)</f>
        <v/>
      </c>
      <c r="E88" s="14">
        <f>SUMIFS(tblOrdenes[horas_efectivas],tblOrdenes[clasificacion],$A88)</f>
        <v/>
      </c>
      <c r="F88" s="14">
        <f>SUMIFS(tblOrdenes[horas_efectivas],tblOrdenes[clasificacion],$A88,tblOrdenes[estado],"Cerrada")</f>
        <v/>
      </c>
      <c r="G88" s="15">
        <f>IF(E88=0,"",F88/E88)</f>
        <v/>
      </c>
    </row>
    <row r="89">
      <c r="A89" s="3" t="inlineStr">
        <is>
          <t>correctiva</t>
        </is>
      </c>
      <c r="B89" s="3">
        <f>COUNTIFS(tblOrdenes[clasificacion],$A89)</f>
        <v/>
      </c>
      <c r="C89" s="3">
        <f>COUNTIFS(tblOrdenes[clasificacion],$A89,tblOrdenes[estado],"Cerrada")</f>
        <v/>
      </c>
      <c r="D89" s="15">
        <f>IF(B89=0,"",C89/B89)</f>
        <v/>
      </c>
      <c r="E89" s="14">
        <f>SUMIFS(tblOrdenes[horas_efectivas],tblOrdenes[clasificacion],$A89)</f>
        <v/>
      </c>
      <c r="F89" s="14">
        <f>SUMIFS(tblOrdenes[horas_efectivas],tblOrdenes[clasificacion],$A89,tblOrdenes[estado],"Cerrada")</f>
        <v/>
      </c>
      <c r="G89" s="15">
        <f>IF(E89=0,"",F89/E89)</f>
        <v/>
      </c>
    </row>
    <row r="90">
      <c r="A90" s="3" t="inlineStr">
        <is>
          <t>sin_clasificar</t>
        </is>
      </c>
      <c r="B90" s="3">
        <f>COUNTIFS(tblOrdenes[clasificacion],$A90)</f>
        <v/>
      </c>
      <c r="C90" s="3">
        <f>COUNTIFS(tblOrdenes[clasificacion],$A90,tblOrdenes[estado],"Cerrada")</f>
        <v/>
      </c>
      <c r="D90" s="15">
        <f>IF(B90=0,"",C90/B90)</f>
        <v/>
      </c>
      <c r="E90" s="14">
        <f>SUMIFS(tblOrdenes[horas_efectivas],tblOrdenes[clasificacion],$A90)</f>
        <v/>
      </c>
      <c r="F90" s="14">
        <f>SUMIFS(tblOrdenes[horas_efectivas],tblOrdenes[clasificacion],$A90,tblOrdenes[estado],"Cerrada")</f>
        <v/>
      </c>
      <c r="G90" s="15">
        <f>IF(E90=0,"",F90/E90)</f>
        <v/>
      </c>
    </row>
    <row r="92">
      <c r="A92" s="4" t="inlineStr">
        <is>
          <t>POR TÉCNICO</t>
        </is>
      </c>
    </row>
    <row r="93">
      <c r="A93" s="5" t="inlineStr">
        <is>
          <t>valor</t>
        </is>
      </c>
      <c r="B93" s="5" t="inlineStr">
        <is>
          <t>total_ot</t>
        </is>
      </c>
      <c r="C93" s="5" t="inlineStr">
        <is>
          <t>cerradas</t>
        </is>
      </c>
      <c r="D93" s="5" t="inlineStr">
        <is>
          <t>adherencia_conteo</t>
        </is>
      </c>
      <c r="E93" s="5" t="inlineStr">
        <is>
          <t>hh_total</t>
        </is>
      </c>
      <c r="F93" s="5" t="inlineStr">
        <is>
          <t>hh_cerradas</t>
        </is>
      </c>
      <c r="G93" s="5" t="inlineStr">
        <is>
          <t>adherencia_horas</t>
        </is>
      </c>
    </row>
    <row r="94">
      <c r="A94" s="3" t="inlineStr">
        <is>
          <t>Técnico 01</t>
        </is>
      </c>
      <c r="B94" s="3">
        <f>COUNTIFS(tblOrdenes[tecnico_asignado],$A94)</f>
        <v/>
      </c>
      <c r="C94" s="3">
        <f>COUNTIFS(tblOrdenes[tecnico_asignado],$A94,tblOrdenes[estado],"Cerrada")</f>
        <v/>
      </c>
      <c r="D94" s="15">
        <f>IF(B94=0,"",C94/B94)</f>
        <v/>
      </c>
      <c r="E94" s="14">
        <f>SUMIFS(tblOrdenes[horas_efectivas],tblOrdenes[tecnico_asignado],$A94)</f>
        <v/>
      </c>
      <c r="F94" s="14">
        <f>SUMIFS(tblOrdenes[horas_efectivas],tblOrdenes[tecnico_asignado],$A94,tblOrdenes[estado],"Cerrada")</f>
        <v/>
      </c>
      <c r="G94" s="15">
        <f>IF(E94=0,"",F94/E94)</f>
        <v/>
      </c>
    </row>
    <row r="95">
      <c r="A95" s="3" t="inlineStr">
        <is>
          <t>Técnico 02</t>
        </is>
      </c>
      <c r="B95" s="3">
        <f>COUNTIFS(tblOrdenes[tecnico_asignado],$A95)</f>
        <v/>
      </c>
      <c r="C95" s="3">
        <f>COUNTIFS(tblOrdenes[tecnico_asignado],$A95,tblOrdenes[estado],"Cerrada")</f>
        <v/>
      </c>
      <c r="D95" s="15">
        <f>IF(B95=0,"",C95/B95)</f>
        <v/>
      </c>
      <c r="E95" s="14">
        <f>SUMIFS(tblOrdenes[horas_efectivas],tblOrdenes[tecnico_asignado],$A95)</f>
        <v/>
      </c>
      <c r="F95" s="14">
        <f>SUMIFS(tblOrdenes[horas_efectivas],tblOrdenes[tecnico_asignado],$A95,tblOrdenes[estado],"Cerrada")</f>
        <v/>
      </c>
      <c r="G95" s="15">
        <f>IF(E95=0,"",F95/E95)</f>
        <v/>
      </c>
    </row>
    <row r="96">
      <c r="A96" s="3" t="inlineStr">
        <is>
          <t>Técnico 03</t>
        </is>
      </c>
      <c r="B96" s="3">
        <f>COUNTIFS(tblOrdenes[tecnico_asignado],$A96)</f>
        <v/>
      </c>
      <c r="C96" s="3">
        <f>COUNTIFS(tblOrdenes[tecnico_asignado],$A96,tblOrdenes[estado],"Cerrada")</f>
        <v/>
      </c>
      <c r="D96" s="15">
        <f>IF(B96=0,"",C96/B96)</f>
        <v/>
      </c>
      <c r="E96" s="14">
        <f>SUMIFS(tblOrdenes[horas_efectivas],tblOrdenes[tecnico_asignado],$A96)</f>
        <v/>
      </c>
      <c r="F96" s="14">
        <f>SUMIFS(tblOrdenes[horas_efectivas],tblOrdenes[tecnico_asignado],$A96,tblOrdenes[estado],"Cerrada")</f>
        <v/>
      </c>
      <c r="G96" s="15">
        <f>IF(E96=0,"",F96/E96)</f>
        <v/>
      </c>
    </row>
    <row r="97">
      <c r="A97" s="3" t="inlineStr">
        <is>
          <t>Técnico 04</t>
        </is>
      </c>
      <c r="B97" s="3">
        <f>COUNTIFS(tblOrdenes[tecnico_asignado],$A97)</f>
        <v/>
      </c>
      <c r="C97" s="3">
        <f>COUNTIFS(tblOrdenes[tecnico_asignado],$A97,tblOrdenes[estado],"Cerrada")</f>
        <v/>
      </c>
      <c r="D97" s="15">
        <f>IF(B97=0,"",C97/B97)</f>
        <v/>
      </c>
      <c r="E97" s="14">
        <f>SUMIFS(tblOrdenes[horas_efectivas],tblOrdenes[tecnico_asignado],$A97)</f>
        <v/>
      </c>
      <c r="F97" s="14">
        <f>SUMIFS(tblOrdenes[horas_efectivas],tblOrdenes[tecnico_asignado],$A97,tblOrdenes[estado],"Cerrada")</f>
        <v/>
      </c>
      <c r="G97" s="15">
        <f>IF(E97=0,"",F97/E97)</f>
        <v/>
      </c>
    </row>
    <row r="98">
      <c r="A98" s="3" t="inlineStr">
        <is>
          <t>Técnico 05</t>
        </is>
      </c>
      <c r="B98" s="3">
        <f>COUNTIFS(tblOrdenes[tecnico_asignado],$A98)</f>
        <v/>
      </c>
      <c r="C98" s="3">
        <f>COUNTIFS(tblOrdenes[tecnico_asignado],$A98,tblOrdenes[estado],"Cerrada")</f>
        <v/>
      </c>
      <c r="D98" s="15">
        <f>IF(B98=0,"",C98/B98)</f>
        <v/>
      </c>
      <c r="E98" s="14">
        <f>SUMIFS(tblOrdenes[horas_efectivas],tblOrdenes[tecnico_asignado],$A98)</f>
        <v/>
      </c>
      <c r="F98" s="14">
        <f>SUMIFS(tblOrdenes[horas_efectivas],tblOrdenes[tecnico_asignado],$A98,tblOrdenes[estado],"Cerrada")</f>
        <v/>
      </c>
      <c r="G98" s="15">
        <f>IF(E98=0,"",F98/E98)</f>
        <v/>
      </c>
    </row>
    <row r="99">
      <c r="A99" s="3" t="inlineStr">
        <is>
          <t>Técnico 06</t>
        </is>
      </c>
      <c r="B99" s="3">
        <f>COUNTIFS(tblOrdenes[tecnico_asignado],$A99)</f>
        <v/>
      </c>
      <c r="C99" s="3">
        <f>COUNTIFS(tblOrdenes[tecnico_asignado],$A99,tblOrdenes[estado],"Cerrada")</f>
        <v/>
      </c>
      <c r="D99" s="15">
        <f>IF(B99=0,"",C99/B99)</f>
        <v/>
      </c>
      <c r="E99" s="14">
        <f>SUMIFS(tblOrdenes[horas_efectivas],tblOrdenes[tecnico_asignado],$A99)</f>
        <v/>
      </c>
      <c r="F99" s="14">
        <f>SUMIFS(tblOrdenes[horas_efectivas],tblOrdenes[tecnico_asignado],$A99,tblOrdenes[estado],"Cerrada")</f>
        <v/>
      </c>
      <c r="G99" s="15">
        <f>IF(E99=0,"",F99/E99)</f>
        <v/>
      </c>
    </row>
    <row r="100">
      <c r="A100" s="3" t="inlineStr">
        <is>
          <t>Técnico 07</t>
        </is>
      </c>
      <c r="B100" s="3">
        <f>COUNTIFS(tblOrdenes[tecnico_asignado],$A100)</f>
        <v/>
      </c>
      <c r="C100" s="3">
        <f>COUNTIFS(tblOrdenes[tecnico_asignado],$A100,tblOrdenes[estado],"Cerrada")</f>
        <v/>
      </c>
      <c r="D100" s="15">
        <f>IF(B100=0,"",C100/B100)</f>
        <v/>
      </c>
      <c r="E100" s="14">
        <f>SUMIFS(tblOrdenes[horas_efectivas],tblOrdenes[tecnico_asignado],$A100)</f>
        <v/>
      </c>
      <c r="F100" s="14">
        <f>SUMIFS(tblOrdenes[horas_efectivas],tblOrdenes[tecnico_asignado],$A100,tblOrdenes[estado],"Cerrada")</f>
        <v/>
      </c>
      <c r="G100" s="15">
        <f>IF(E100=0,"",F100/E100)</f>
        <v/>
      </c>
    </row>
    <row r="101">
      <c r="A101" s="3" t="inlineStr">
        <is>
          <t>Técnico 08</t>
        </is>
      </c>
      <c r="B101" s="3">
        <f>COUNTIFS(tblOrdenes[tecnico_asignado],$A101)</f>
        <v/>
      </c>
      <c r="C101" s="3">
        <f>COUNTIFS(tblOrdenes[tecnico_asignado],$A101,tblOrdenes[estado],"Cerrada")</f>
        <v/>
      </c>
      <c r="D101" s="15">
        <f>IF(B101=0,"",C101/B101)</f>
        <v/>
      </c>
      <c r="E101" s="14">
        <f>SUMIFS(tblOrdenes[horas_efectivas],tblOrdenes[tecnico_asignado],$A101)</f>
        <v/>
      </c>
      <c r="F101" s="14">
        <f>SUMIFS(tblOrdenes[horas_efectivas],tblOrdenes[tecnico_asignado],$A101,tblOrdenes[estado],"Cerrada")</f>
        <v/>
      </c>
      <c r="G101" s="15">
        <f>IF(E101=0,"",F101/E101)</f>
        <v/>
      </c>
    </row>
    <row r="102">
      <c r="A102" s="3" t="inlineStr">
        <is>
          <t>Técnico 09</t>
        </is>
      </c>
      <c r="B102" s="3">
        <f>COUNTIFS(tblOrdenes[tecnico_asignado],$A102)</f>
        <v/>
      </c>
      <c r="C102" s="3">
        <f>COUNTIFS(tblOrdenes[tecnico_asignado],$A102,tblOrdenes[estado],"Cerrada")</f>
        <v/>
      </c>
      <c r="D102" s="15">
        <f>IF(B102=0,"",C102/B102)</f>
        <v/>
      </c>
      <c r="E102" s="14">
        <f>SUMIFS(tblOrdenes[horas_efectivas],tblOrdenes[tecnico_asignado],$A102)</f>
        <v/>
      </c>
      <c r="F102" s="14">
        <f>SUMIFS(tblOrdenes[horas_efectivas],tblOrdenes[tecnico_asignado],$A102,tblOrdenes[estado],"Cerrada")</f>
        <v/>
      </c>
      <c r="G102" s="15">
        <f>IF(E102=0,"",F102/E102)</f>
        <v/>
      </c>
    </row>
    <row r="103">
      <c r="A103" s="3" t="inlineStr">
        <is>
          <t>Técnico 10</t>
        </is>
      </c>
      <c r="B103" s="3">
        <f>COUNTIFS(tblOrdenes[tecnico_asignado],$A103)</f>
        <v/>
      </c>
      <c r="C103" s="3">
        <f>COUNTIFS(tblOrdenes[tecnico_asignado],$A103,tblOrdenes[estado],"Cerrada")</f>
        <v/>
      </c>
      <c r="D103" s="15">
        <f>IF(B103=0,"",C103/B103)</f>
        <v/>
      </c>
      <c r="E103" s="14">
        <f>SUMIFS(tblOrdenes[horas_efectivas],tblOrdenes[tecnico_asignado],$A103)</f>
        <v/>
      </c>
      <c r="F103" s="14">
        <f>SUMIFS(tblOrdenes[horas_efectivas],tblOrdenes[tecnico_asignado],$A103,tblOrdenes[estado],"Cerrada")</f>
        <v/>
      </c>
      <c r="G103" s="15">
        <f>IF(E103=0,"",F103/E103)</f>
        <v/>
      </c>
    </row>
    <row r="104">
      <c r="A104" s="3" t="inlineStr">
        <is>
          <t>Técnico 11</t>
        </is>
      </c>
      <c r="B104" s="3">
        <f>COUNTIFS(tblOrdenes[tecnico_asignado],$A104)</f>
        <v/>
      </c>
      <c r="C104" s="3">
        <f>COUNTIFS(tblOrdenes[tecnico_asignado],$A104,tblOrdenes[estado],"Cerrada")</f>
        <v/>
      </c>
      <c r="D104" s="15">
        <f>IF(B104=0,"",C104/B104)</f>
        <v/>
      </c>
      <c r="E104" s="14">
        <f>SUMIFS(tblOrdenes[horas_efectivas],tblOrdenes[tecnico_asignado],$A104)</f>
        <v/>
      </c>
      <c r="F104" s="14">
        <f>SUMIFS(tblOrdenes[horas_efectivas],tblOrdenes[tecnico_asignado],$A104,tblOrdenes[estado],"Cerrada")</f>
        <v/>
      </c>
      <c r="G104" s="15">
        <f>IF(E104=0,"",F104/E104)</f>
        <v/>
      </c>
    </row>
    <row r="105">
      <c r="A105" s="3" t="inlineStr">
        <is>
          <t>Técnico 12</t>
        </is>
      </c>
      <c r="B105" s="3">
        <f>COUNTIFS(tblOrdenes[tecnico_asignado],$A105)</f>
        <v/>
      </c>
      <c r="C105" s="3">
        <f>COUNTIFS(tblOrdenes[tecnico_asignado],$A105,tblOrdenes[estado],"Cerrada")</f>
        <v/>
      </c>
      <c r="D105" s="15">
        <f>IF(B105=0,"",C105/B105)</f>
        <v/>
      </c>
      <c r="E105" s="14">
        <f>SUMIFS(tblOrdenes[horas_efectivas],tblOrdenes[tecnico_asignado],$A105)</f>
        <v/>
      </c>
      <c r="F105" s="14">
        <f>SUMIFS(tblOrdenes[horas_efectivas],tblOrdenes[tecnico_asignado],$A105,tblOrdenes[estado],"Cerrada")</f>
        <v/>
      </c>
      <c r="G105" s="15">
        <f>IF(E105=0,"",F105/E105)</f>
        <v/>
      </c>
    </row>
  </sheetData>
  <conditionalFormatting sqref="D5:D64">
    <cfRule type="cellIs" priority="1" operator="lessThan" dxfId="0">
      <formula>0.9</formula>
    </cfRule>
    <cfRule type="cellIs" priority="2" operator="between" dxfId="1">
      <formula>0.9</formula>
      <formula>0.95</formula>
    </cfRule>
    <cfRule type="cellIs" priority="3" operator="greaterThan" dxfId="2">
      <formula>0.95</formula>
    </cfRule>
  </conditionalFormatting>
  <conditionalFormatting sqref="G5:G64">
    <cfRule type="cellIs" priority="4" operator="lessThan" dxfId="0">
      <formula>0.9</formula>
    </cfRule>
    <cfRule type="cellIs" priority="5" operator="between" dxfId="1">
      <formula>0.9</formula>
      <formula>0.95</formula>
    </cfRule>
    <cfRule type="cellIs" priority="6" operator="greaterThan" dxfId="2">
      <formula>0.95</formula>
    </cfRule>
  </conditionalFormatting>
  <conditionalFormatting sqref="D68:D70">
    <cfRule type="cellIs" priority="7" operator="lessThan" dxfId="0">
      <formula>0.9</formula>
    </cfRule>
    <cfRule type="cellIs" priority="8" operator="between" dxfId="1">
      <formula>0.9</formula>
      <formula>0.95</formula>
    </cfRule>
    <cfRule type="cellIs" priority="9" operator="greaterThan" dxfId="2">
      <formula>0.95</formula>
    </cfRule>
  </conditionalFormatting>
  <conditionalFormatting sqref="G68:G70">
    <cfRule type="cellIs" priority="10" operator="lessThan" dxfId="0">
      <formula>0.9</formula>
    </cfRule>
    <cfRule type="cellIs" priority="11" operator="between" dxfId="1">
      <formula>0.9</formula>
      <formula>0.95</formula>
    </cfRule>
    <cfRule type="cellIs" priority="12" operator="greaterThan" dxfId="2">
      <formula>0.95</formula>
    </cfRule>
  </conditionalFormatting>
  <conditionalFormatting sqref="D74:D78">
    <cfRule type="cellIs" priority="13" operator="lessThan" dxfId="0">
      <formula>0.9</formula>
    </cfRule>
    <cfRule type="cellIs" priority="14" operator="between" dxfId="1">
      <formula>0.9</formula>
      <formula>0.95</formula>
    </cfRule>
    <cfRule type="cellIs" priority="15" operator="greaterThan" dxfId="2">
      <formula>0.95</formula>
    </cfRule>
  </conditionalFormatting>
  <conditionalFormatting sqref="G74:G78">
    <cfRule type="cellIs" priority="16" operator="lessThan" dxfId="0">
      <formula>0.9</formula>
    </cfRule>
    <cfRule type="cellIs" priority="17" operator="between" dxfId="1">
      <formula>0.9</formula>
      <formula>0.95</formula>
    </cfRule>
    <cfRule type="cellIs" priority="18" operator="greaterThan" dxfId="2">
      <formula>0.95</formula>
    </cfRule>
  </conditionalFormatting>
  <conditionalFormatting sqref="D82:D84">
    <cfRule type="cellIs" priority="19" operator="lessThan" dxfId="0">
      <formula>0.9</formula>
    </cfRule>
    <cfRule type="cellIs" priority="20" operator="between" dxfId="1">
      <formula>0.9</formula>
      <formula>0.95</formula>
    </cfRule>
    <cfRule type="cellIs" priority="21" operator="greaterThan" dxfId="2">
      <formula>0.95</formula>
    </cfRule>
  </conditionalFormatting>
  <conditionalFormatting sqref="G82:G84">
    <cfRule type="cellIs" priority="22" operator="lessThan" dxfId="0">
      <formula>0.9</formula>
    </cfRule>
    <cfRule type="cellIs" priority="23" operator="between" dxfId="1">
      <formula>0.9</formula>
      <formula>0.95</formula>
    </cfRule>
    <cfRule type="cellIs" priority="24" operator="greaterThan" dxfId="2">
      <formula>0.95</formula>
    </cfRule>
  </conditionalFormatting>
  <conditionalFormatting sqref="D88:D90">
    <cfRule type="cellIs" priority="25" operator="lessThan" dxfId="0">
      <formula>0.9</formula>
    </cfRule>
    <cfRule type="cellIs" priority="26" operator="between" dxfId="1">
      <formula>0.9</formula>
      <formula>0.95</formula>
    </cfRule>
    <cfRule type="cellIs" priority="27" operator="greaterThan" dxfId="2">
      <formula>0.95</formula>
    </cfRule>
  </conditionalFormatting>
  <conditionalFormatting sqref="G88:G90">
    <cfRule type="cellIs" priority="28" operator="lessThan" dxfId="0">
      <formula>0.9</formula>
    </cfRule>
    <cfRule type="cellIs" priority="29" operator="between" dxfId="1">
      <formula>0.9</formula>
      <formula>0.95</formula>
    </cfRule>
    <cfRule type="cellIs" priority="30" operator="greaterThan" dxfId="2">
      <formula>0.95</formula>
    </cfRule>
  </conditionalFormatting>
  <conditionalFormatting sqref="D94:D105">
    <cfRule type="cellIs" priority="31" operator="lessThan" dxfId="0">
      <formula>0.9</formula>
    </cfRule>
    <cfRule type="cellIs" priority="32" operator="between" dxfId="1">
      <formula>0.9</formula>
      <formula>0.95</formula>
    </cfRule>
    <cfRule type="cellIs" priority="33" operator="greaterThan" dxfId="2">
      <formula>0.95</formula>
    </cfRule>
  </conditionalFormatting>
  <conditionalFormatting sqref="G94:G105">
    <cfRule type="cellIs" priority="34" operator="lessThan" dxfId="0">
      <formula>0.9</formula>
    </cfRule>
    <cfRule type="cellIs" priority="35" operator="between" dxfId="1">
      <formula>0.9</formula>
      <formula>0.95</formula>
    </cfRule>
    <cfRule type="cellIs" priority="36" operator="greaterThan" dxfId="2">
      <formula>0.95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>
        <f>"COSTOS ("&amp;p_moneda&amp;") — REGLA-8: real (servicio + materiales) contra plan"</f>
        <v/>
      </c>
    </row>
    <row r="3">
      <c r="A3" s="4" t="inlineStr">
        <is>
          <t>PLAN por área (costo_plan)</t>
        </is>
      </c>
    </row>
    <row r="4">
      <c r="A4" s="2" t="inlineStr">
        <is>
          <t>anio</t>
        </is>
      </c>
      <c r="B4" s="2" t="n">
        <v>2026</v>
      </c>
      <c r="C4" s="2" t="n">
        <v>2026</v>
      </c>
      <c r="D4" s="2" t="n">
        <v>2026</v>
      </c>
      <c r="E4" s="2" t="n">
        <v>2026</v>
      </c>
      <c r="F4" s="2" t="n">
        <v>2026</v>
      </c>
      <c r="G4" s="2" t="n">
        <v>2026</v>
      </c>
      <c r="H4" s="2" t="n">
        <v>2026</v>
      </c>
      <c r="I4" s="2" t="n">
        <v>2026</v>
      </c>
      <c r="J4" s="2" t="n">
        <v>2026</v>
      </c>
      <c r="K4" s="2" t="n">
        <v>2027</v>
      </c>
    </row>
    <row r="5">
      <c r="A5" s="2" t="inlineStr">
        <is>
          <t>mes</t>
        </is>
      </c>
      <c r="B5" s="5" t="n">
        <v>2</v>
      </c>
      <c r="C5" s="5" t="n">
        <v>3</v>
      </c>
      <c r="D5" s="5" t="n">
        <v>4</v>
      </c>
      <c r="E5" s="5" t="n">
        <v>5</v>
      </c>
      <c r="F5" s="5" t="n">
        <v>6</v>
      </c>
      <c r="G5" s="5" t="n">
        <v>7</v>
      </c>
      <c r="H5" s="5" t="n">
        <v>8</v>
      </c>
      <c r="I5" s="5" t="n">
        <v>10</v>
      </c>
      <c r="J5" s="5" t="n">
        <v>12</v>
      </c>
      <c r="K5" s="5" t="n">
        <v>1</v>
      </c>
      <c r="L5" s="5" t="inlineStr">
        <is>
          <t>TOTAL</t>
        </is>
      </c>
    </row>
    <row r="6">
      <c r="A6" s="3" t="inlineStr">
        <is>
          <t>PRODUCCION</t>
        </is>
      </c>
      <c r="B6" s="10">
        <f>SUMIFS(tblOrdenes[costo_plan],tblOrdenes[area],$A6,tblOrdenes[anio],B$4,tblOrdenes[mes],B$5)</f>
        <v/>
      </c>
      <c r="C6" s="10">
        <f>SUMIFS(tblOrdenes[costo_plan],tblOrdenes[area],$A6,tblOrdenes[anio],C$4,tblOrdenes[mes],C$5)</f>
        <v/>
      </c>
      <c r="D6" s="10">
        <f>SUMIFS(tblOrdenes[costo_plan],tblOrdenes[area],$A6,tblOrdenes[anio],D$4,tblOrdenes[mes],D$5)</f>
        <v/>
      </c>
      <c r="E6" s="10">
        <f>SUMIFS(tblOrdenes[costo_plan],tblOrdenes[area],$A6,tblOrdenes[anio],E$4,tblOrdenes[mes],E$5)</f>
        <v/>
      </c>
      <c r="F6" s="10">
        <f>SUMIFS(tblOrdenes[costo_plan],tblOrdenes[area],$A6,tblOrdenes[anio],F$4,tblOrdenes[mes],F$5)</f>
        <v/>
      </c>
      <c r="G6" s="10">
        <f>SUMIFS(tblOrdenes[costo_plan],tblOrdenes[area],$A6,tblOrdenes[anio],G$4,tblOrdenes[mes],G$5)</f>
        <v/>
      </c>
      <c r="H6" s="10">
        <f>SUMIFS(tblOrdenes[costo_plan],tblOrdenes[area],$A6,tblOrdenes[anio],H$4,tblOrdenes[mes],H$5)</f>
        <v/>
      </c>
      <c r="I6" s="10">
        <f>SUMIFS(tblOrdenes[costo_plan],tblOrdenes[area],$A6,tblOrdenes[anio],I$4,tblOrdenes[mes],I$5)</f>
        <v/>
      </c>
      <c r="J6" s="10">
        <f>SUMIFS(tblOrdenes[costo_plan],tblOrdenes[area],$A6,tblOrdenes[anio],J$4,tblOrdenes[mes],J$5)</f>
        <v/>
      </c>
      <c r="K6" s="10">
        <f>SUMIFS(tblOrdenes[costo_plan],tblOrdenes[area],$A6,tblOrdenes[anio],K$4,tblOrdenes[mes],K$5)</f>
        <v/>
      </c>
      <c r="L6" s="10">
        <f>SUM(B6:K6)</f>
        <v/>
      </c>
    </row>
    <row r="7">
      <c r="A7" s="3" t="inlineStr">
        <is>
          <t>EMPAQUE</t>
        </is>
      </c>
      <c r="B7" s="10">
        <f>SUMIFS(tblOrdenes[costo_plan],tblOrdenes[area],$A7,tblOrdenes[anio],B$4,tblOrdenes[mes],B$5)</f>
        <v/>
      </c>
      <c r="C7" s="10">
        <f>SUMIFS(tblOrdenes[costo_plan],tblOrdenes[area],$A7,tblOrdenes[anio],C$4,tblOrdenes[mes],C$5)</f>
        <v/>
      </c>
      <c r="D7" s="10">
        <f>SUMIFS(tblOrdenes[costo_plan],tblOrdenes[area],$A7,tblOrdenes[anio],D$4,tblOrdenes[mes],D$5)</f>
        <v/>
      </c>
      <c r="E7" s="10">
        <f>SUMIFS(tblOrdenes[costo_plan],tblOrdenes[area],$A7,tblOrdenes[anio],E$4,tblOrdenes[mes],E$5)</f>
        <v/>
      </c>
      <c r="F7" s="10">
        <f>SUMIFS(tblOrdenes[costo_plan],tblOrdenes[area],$A7,tblOrdenes[anio],F$4,tblOrdenes[mes],F$5)</f>
        <v/>
      </c>
      <c r="G7" s="10">
        <f>SUMIFS(tblOrdenes[costo_plan],tblOrdenes[area],$A7,tblOrdenes[anio],G$4,tblOrdenes[mes],G$5)</f>
        <v/>
      </c>
      <c r="H7" s="10">
        <f>SUMIFS(tblOrdenes[costo_plan],tblOrdenes[area],$A7,tblOrdenes[anio],H$4,tblOrdenes[mes],H$5)</f>
        <v/>
      </c>
      <c r="I7" s="10">
        <f>SUMIFS(tblOrdenes[costo_plan],tblOrdenes[area],$A7,tblOrdenes[anio],I$4,tblOrdenes[mes],I$5)</f>
        <v/>
      </c>
      <c r="J7" s="10">
        <f>SUMIFS(tblOrdenes[costo_plan],tblOrdenes[area],$A7,tblOrdenes[anio],J$4,tblOrdenes[mes],J$5)</f>
        <v/>
      </c>
      <c r="K7" s="10">
        <f>SUMIFS(tblOrdenes[costo_plan],tblOrdenes[area],$A7,tblOrdenes[anio],K$4,tblOrdenes[mes],K$5)</f>
        <v/>
      </c>
      <c r="L7" s="10">
        <f>SUM(B7:K7)</f>
        <v/>
      </c>
    </row>
    <row r="8">
      <c r="A8" s="3" t="inlineStr">
        <is>
          <t>SERVICIOS</t>
        </is>
      </c>
      <c r="B8" s="10">
        <f>SUMIFS(tblOrdenes[costo_plan],tblOrdenes[area],$A8,tblOrdenes[anio],B$4,tblOrdenes[mes],B$5)</f>
        <v/>
      </c>
      <c r="C8" s="10">
        <f>SUMIFS(tblOrdenes[costo_plan],tblOrdenes[area],$A8,tblOrdenes[anio],C$4,tblOrdenes[mes],C$5)</f>
        <v/>
      </c>
      <c r="D8" s="10">
        <f>SUMIFS(tblOrdenes[costo_plan],tblOrdenes[area],$A8,tblOrdenes[anio],D$4,tblOrdenes[mes],D$5)</f>
        <v/>
      </c>
      <c r="E8" s="10">
        <f>SUMIFS(tblOrdenes[costo_plan],tblOrdenes[area],$A8,tblOrdenes[anio],E$4,tblOrdenes[mes],E$5)</f>
        <v/>
      </c>
      <c r="F8" s="10">
        <f>SUMIFS(tblOrdenes[costo_plan],tblOrdenes[area],$A8,tblOrdenes[anio],F$4,tblOrdenes[mes],F$5)</f>
        <v/>
      </c>
      <c r="G8" s="10">
        <f>SUMIFS(tblOrdenes[costo_plan],tblOrdenes[area],$A8,tblOrdenes[anio],G$4,tblOrdenes[mes],G$5)</f>
        <v/>
      </c>
      <c r="H8" s="10">
        <f>SUMIFS(tblOrdenes[costo_plan],tblOrdenes[area],$A8,tblOrdenes[anio],H$4,tblOrdenes[mes],H$5)</f>
        <v/>
      </c>
      <c r="I8" s="10">
        <f>SUMIFS(tblOrdenes[costo_plan],tblOrdenes[area],$A8,tblOrdenes[anio],I$4,tblOrdenes[mes],I$5)</f>
        <v/>
      </c>
      <c r="J8" s="10">
        <f>SUMIFS(tblOrdenes[costo_plan],tblOrdenes[area],$A8,tblOrdenes[anio],J$4,tblOrdenes[mes],J$5)</f>
        <v/>
      </c>
      <c r="K8" s="10">
        <f>SUMIFS(tblOrdenes[costo_plan],tblOrdenes[area],$A8,tblOrdenes[anio],K$4,tblOrdenes[mes],K$5)</f>
        <v/>
      </c>
      <c r="L8" s="10">
        <f>SUM(B8:K8)</f>
        <v/>
      </c>
    </row>
    <row r="9">
      <c r="A9" s="4" t="inlineStr">
        <is>
          <t>TOTAL</t>
        </is>
      </c>
      <c r="B9" s="10">
        <f>SUM(B6:B8)</f>
        <v/>
      </c>
      <c r="C9" s="10">
        <f>SUM(C6:C8)</f>
        <v/>
      </c>
      <c r="D9" s="10">
        <f>SUM(D6:D8)</f>
        <v/>
      </c>
      <c r="E9" s="10">
        <f>SUM(E6:E8)</f>
        <v/>
      </c>
      <c r="F9" s="10">
        <f>SUM(F6:F8)</f>
        <v/>
      </c>
      <c r="G9" s="10">
        <f>SUM(G6:G8)</f>
        <v/>
      </c>
      <c r="H9" s="10">
        <f>SUM(H6:H8)</f>
        <v/>
      </c>
      <c r="I9" s="10">
        <f>SUM(I6:I8)</f>
        <v/>
      </c>
      <c r="J9" s="10">
        <f>SUM(J6:J8)</f>
        <v/>
      </c>
      <c r="K9" s="10">
        <f>SUM(K6:K8)</f>
        <v/>
      </c>
      <c r="L9" s="10">
        <f>SUM(L6:L8)</f>
        <v/>
      </c>
    </row>
    <row r="11">
      <c r="A11" s="4" t="inlineStr">
        <is>
          <t>REAL por área (costo_total = servicio + materiales)</t>
        </is>
      </c>
    </row>
    <row r="12">
      <c r="A12" s="2" t="inlineStr">
        <is>
          <t>anio</t>
        </is>
      </c>
      <c r="B12" s="2" t="n">
        <v>2026</v>
      </c>
      <c r="C12" s="2" t="n">
        <v>2026</v>
      </c>
      <c r="D12" s="2" t="n">
        <v>2026</v>
      </c>
      <c r="E12" s="2" t="n">
        <v>2026</v>
      </c>
      <c r="F12" s="2" t="n">
        <v>2026</v>
      </c>
      <c r="G12" s="2" t="n">
        <v>2026</v>
      </c>
      <c r="H12" s="2" t="n">
        <v>2026</v>
      </c>
      <c r="I12" s="2" t="n">
        <v>2026</v>
      </c>
      <c r="J12" s="2" t="n">
        <v>2026</v>
      </c>
      <c r="K12" s="2" t="n">
        <v>2027</v>
      </c>
    </row>
    <row r="13">
      <c r="A13" s="2" t="inlineStr">
        <is>
          <t>mes</t>
        </is>
      </c>
      <c r="B13" s="5" t="n">
        <v>2</v>
      </c>
      <c r="C13" s="5" t="n">
        <v>3</v>
      </c>
      <c r="D13" s="5" t="n">
        <v>4</v>
      </c>
      <c r="E13" s="5" t="n">
        <v>5</v>
      </c>
      <c r="F13" s="5" t="n">
        <v>6</v>
      </c>
      <c r="G13" s="5" t="n">
        <v>7</v>
      </c>
      <c r="H13" s="5" t="n">
        <v>8</v>
      </c>
      <c r="I13" s="5" t="n">
        <v>10</v>
      </c>
      <c r="J13" s="5" t="n">
        <v>12</v>
      </c>
      <c r="K13" s="5" t="n">
        <v>1</v>
      </c>
      <c r="L13" s="5" t="inlineStr">
        <is>
          <t>TOTAL</t>
        </is>
      </c>
    </row>
    <row r="14">
      <c r="A14" s="3" t="inlineStr">
        <is>
          <t>PRODUCCION</t>
        </is>
      </c>
      <c r="B14" s="10">
        <f>SUMIFS(tblOrdenes[costo_total],tblOrdenes[area],$A14,tblOrdenes[anio],B$12,tblOrdenes[mes],B$13)</f>
        <v/>
      </c>
      <c r="C14" s="10">
        <f>SUMIFS(tblOrdenes[costo_total],tblOrdenes[area],$A14,tblOrdenes[anio],C$12,tblOrdenes[mes],C$13)</f>
        <v/>
      </c>
      <c r="D14" s="10">
        <f>SUMIFS(tblOrdenes[costo_total],tblOrdenes[area],$A14,tblOrdenes[anio],D$12,tblOrdenes[mes],D$13)</f>
        <v/>
      </c>
      <c r="E14" s="10">
        <f>SUMIFS(tblOrdenes[costo_total],tblOrdenes[area],$A14,tblOrdenes[anio],E$12,tblOrdenes[mes],E$13)</f>
        <v/>
      </c>
      <c r="F14" s="10">
        <f>SUMIFS(tblOrdenes[costo_total],tblOrdenes[area],$A14,tblOrdenes[anio],F$12,tblOrdenes[mes],F$13)</f>
        <v/>
      </c>
      <c r="G14" s="10">
        <f>SUMIFS(tblOrdenes[costo_total],tblOrdenes[area],$A14,tblOrdenes[anio],G$12,tblOrdenes[mes],G$13)</f>
        <v/>
      </c>
      <c r="H14" s="10">
        <f>SUMIFS(tblOrdenes[costo_total],tblOrdenes[area],$A14,tblOrdenes[anio],H$12,tblOrdenes[mes],H$13)</f>
        <v/>
      </c>
      <c r="I14" s="10">
        <f>SUMIFS(tblOrdenes[costo_total],tblOrdenes[area],$A14,tblOrdenes[anio],I$12,tblOrdenes[mes],I$13)</f>
        <v/>
      </c>
      <c r="J14" s="10">
        <f>SUMIFS(tblOrdenes[costo_total],tblOrdenes[area],$A14,tblOrdenes[anio],J$12,tblOrdenes[mes],J$13)</f>
        <v/>
      </c>
      <c r="K14" s="10">
        <f>SUMIFS(tblOrdenes[costo_total],tblOrdenes[area],$A14,tblOrdenes[anio],K$12,tblOrdenes[mes],K$13)</f>
        <v/>
      </c>
      <c r="L14" s="10">
        <f>SUM(B14:K14)</f>
        <v/>
      </c>
    </row>
    <row r="15">
      <c r="A15" s="3" t="inlineStr">
        <is>
          <t>EMPAQUE</t>
        </is>
      </c>
      <c r="B15" s="10">
        <f>SUMIFS(tblOrdenes[costo_total],tblOrdenes[area],$A15,tblOrdenes[anio],B$12,tblOrdenes[mes],B$13)</f>
        <v/>
      </c>
      <c r="C15" s="10">
        <f>SUMIFS(tblOrdenes[costo_total],tblOrdenes[area],$A15,tblOrdenes[anio],C$12,tblOrdenes[mes],C$13)</f>
        <v/>
      </c>
      <c r="D15" s="10">
        <f>SUMIFS(tblOrdenes[costo_total],tblOrdenes[area],$A15,tblOrdenes[anio],D$12,tblOrdenes[mes],D$13)</f>
        <v/>
      </c>
      <c r="E15" s="10">
        <f>SUMIFS(tblOrdenes[costo_total],tblOrdenes[area],$A15,tblOrdenes[anio],E$12,tblOrdenes[mes],E$13)</f>
        <v/>
      </c>
      <c r="F15" s="10">
        <f>SUMIFS(tblOrdenes[costo_total],tblOrdenes[area],$A15,tblOrdenes[anio],F$12,tblOrdenes[mes],F$13)</f>
        <v/>
      </c>
      <c r="G15" s="10">
        <f>SUMIFS(tblOrdenes[costo_total],tblOrdenes[area],$A15,tblOrdenes[anio],G$12,tblOrdenes[mes],G$13)</f>
        <v/>
      </c>
      <c r="H15" s="10">
        <f>SUMIFS(tblOrdenes[costo_total],tblOrdenes[area],$A15,tblOrdenes[anio],H$12,tblOrdenes[mes],H$13)</f>
        <v/>
      </c>
      <c r="I15" s="10">
        <f>SUMIFS(tblOrdenes[costo_total],tblOrdenes[area],$A15,tblOrdenes[anio],I$12,tblOrdenes[mes],I$13)</f>
        <v/>
      </c>
      <c r="J15" s="10">
        <f>SUMIFS(tblOrdenes[costo_total],tblOrdenes[area],$A15,tblOrdenes[anio],J$12,tblOrdenes[mes],J$13)</f>
        <v/>
      </c>
      <c r="K15" s="10">
        <f>SUMIFS(tblOrdenes[costo_total],tblOrdenes[area],$A15,tblOrdenes[anio],K$12,tblOrdenes[mes],K$13)</f>
        <v/>
      </c>
      <c r="L15" s="10">
        <f>SUM(B15:K15)</f>
        <v/>
      </c>
    </row>
    <row r="16">
      <c r="A16" s="3" t="inlineStr">
        <is>
          <t>SERVICIOS</t>
        </is>
      </c>
      <c r="B16" s="10">
        <f>SUMIFS(tblOrdenes[costo_total],tblOrdenes[area],$A16,tblOrdenes[anio],B$12,tblOrdenes[mes],B$13)</f>
        <v/>
      </c>
      <c r="C16" s="10">
        <f>SUMIFS(tblOrdenes[costo_total],tblOrdenes[area],$A16,tblOrdenes[anio],C$12,tblOrdenes[mes],C$13)</f>
        <v/>
      </c>
      <c r="D16" s="10">
        <f>SUMIFS(tblOrdenes[costo_total],tblOrdenes[area],$A16,tblOrdenes[anio],D$12,tblOrdenes[mes],D$13)</f>
        <v/>
      </c>
      <c r="E16" s="10">
        <f>SUMIFS(tblOrdenes[costo_total],tblOrdenes[area],$A16,tblOrdenes[anio],E$12,tblOrdenes[mes],E$13)</f>
        <v/>
      </c>
      <c r="F16" s="10">
        <f>SUMIFS(tblOrdenes[costo_total],tblOrdenes[area],$A16,tblOrdenes[anio],F$12,tblOrdenes[mes],F$13)</f>
        <v/>
      </c>
      <c r="G16" s="10">
        <f>SUMIFS(tblOrdenes[costo_total],tblOrdenes[area],$A16,tblOrdenes[anio],G$12,tblOrdenes[mes],G$13)</f>
        <v/>
      </c>
      <c r="H16" s="10">
        <f>SUMIFS(tblOrdenes[costo_total],tblOrdenes[area],$A16,tblOrdenes[anio],H$12,tblOrdenes[mes],H$13)</f>
        <v/>
      </c>
      <c r="I16" s="10">
        <f>SUMIFS(tblOrdenes[costo_total],tblOrdenes[area],$A16,tblOrdenes[anio],I$12,tblOrdenes[mes],I$13)</f>
        <v/>
      </c>
      <c r="J16" s="10">
        <f>SUMIFS(tblOrdenes[costo_total],tblOrdenes[area],$A16,tblOrdenes[anio],J$12,tblOrdenes[mes],J$13)</f>
        <v/>
      </c>
      <c r="K16" s="10">
        <f>SUMIFS(tblOrdenes[costo_total],tblOrdenes[area],$A16,tblOrdenes[anio],K$12,tblOrdenes[mes],K$13)</f>
        <v/>
      </c>
      <c r="L16" s="10">
        <f>SUM(B16:K16)</f>
        <v/>
      </c>
    </row>
    <row r="17">
      <c r="A17" s="4" t="inlineStr">
        <is>
          <t>TOTAL</t>
        </is>
      </c>
      <c r="B17" s="10">
        <f>SUM(B14:B16)</f>
        <v/>
      </c>
      <c r="C17" s="10">
        <f>SUM(C14:C16)</f>
        <v/>
      </c>
      <c r="D17" s="10">
        <f>SUM(D14:D16)</f>
        <v/>
      </c>
      <c r="E17" s="10">
        <f>SUM(E14:E16)</f>
        <v/>
      </c>
      <c r="F17" s="10">
        <f>SUM(F14:F16)</f>
        <v/>
      </c>
      <c r="G17" s="10">
        <f>SUM(G14:G16)</f>
        <v/>
      </c>
      <c r="H17" s="10">
        <f>SUM(H14:H16)</f>
        <v/>
      </c>
      <c r="I17" s="10">
        <f>SUM(I14:I16)</f>
        <v/>
      </c>
      <c r="J17" s="10">
        <f>SUM(J14:J16)</f>
        <v/>
      </c>
      <c r="K17" s="10">
        <f>SUM(K14:K16)</f>
        <v/>
      </c>
      <c r="L17" s="10">
        <f>SUM(L14:L16)</f>
        <v/>
      </c>
    </row>
    <row r="19">
      <c r="A19" s="4" t="inlineStr">
        <is>
          <t>DESVÍO por área (real − plan)</t>
        </is>
      </c>
    </row>
    <row r="20">
      <c r="A20" s="3" t="inlineStr">
        <is>
          <t>PRODUCCION</t>
        </is>
      </c>
      <c r="B20" s="10">
        <f>B14-B6</f>
        <v/>
      </c>
      <c r="C20" s="10">
        <f>C14-C6</f>
        <v/>
      </c>
      <c r="D20" s="10">
        <f>D14-D6</f>
        <v/>
      </c>
      <c r="E20" s="10">
        <f>E14-E6</f>
        <v/>
      </c>
      <c r="F20" s="10">
        <f>F14-F6</f>
        <v/>
      </c>
      <c r="G20" s="10">
        <f>G14-G6</f>
        <v/>
      </c>
      <c r="H20" s="10">
        <f>H14-H6</f>
        <v/>
      </c>
      <c r="I20" s="10">
        <f>I14-I6</f>
        <v/>
      </c>
      <c r="J20" s="10">
        <f>J14-J6</f>
        <v/>
      </c>
      <c r="K20" s="10">
        <f>K14-K6</f>
        <v/>
      </c>
      <c r="L20" s="10">
        <f>L14-L6</f>
        <v/>
      </c>
    </row>
    <row r="21">
      <c r="A21" s="3" t="inlineStr">
        <is>
          <t>EMPAQUE</t>
        </is>
      </c>
      <c r="B21" s="10">
        <f>B15-B7</f>
        <v/>
      </c>
      <c r="C21" s="10">
        <f>C15-C7</f>
        <v/>
      </c>
      <c r="D21" s="10">
        <f>D15-D7</f>
        <v/>
      </c>
      <c r="E21" s="10">
        <f>E15-E7</f>
        <v/>
      </c>
      <c r="F21" s="10">
        <f>F15-F7</f>
        <v/>
      </c>
      <c r="G21" s="10">
        <f>G15-G7</f>
        <v/>
      </c>
      <c r="H21" s="10">
        <f>H15-H7</f>
        <v/>
      </c>
      <c r="I21" s="10">
        <f>I15-I7</f>
        <v/>
      </c>
      <c r="J21" s="10">
        <f>J15-J7</f>
        <v/>
      </c>
      <c r="K21" s="10">
        <f>K15-K7</f>
        <v/>
      </c>
      <c r="L21" s="10">
        <f>L15-L7</f>
        <v/>
      </c>
    </row>
    <row r="22">
      <c r="A22" s="3" t="inlineStr">
        <is>
          <t>SERVICIOS</t>
        </is>
      </c>
      <c r="B22" s="10">
        <f>B16-B8</f>
        <v/>
      </c>
      <c r="C22" s="10">
        <f>C16-C8</f>
        <v/>
      </c>
      <c r="D22" s="10">
        <f>D16-D8</f>
        <v/>
      </c>
      <c r="E22" s="10">
        <f>E16-E8</f>
        <v/>
      </c>
      <c r="F22" s="10">
        <f>F16-F8</f>
        <v/>
      </c>
      <c r="G22" s="10">
        <f>G16-G8</f>
        <v/>
      </c>
      <c r="H22" s="10">
        <f>H16-H8</f>
        <v/>
      </c>
      <c r="I22" s="10">
        <f>I16-I8</f>
        <v/>
      </c>
      <c r="J22" s="10">
        <f>J16-J8</f>
        <v/>
      </c>
      <c r="K22" s="10">
        <f>K16-K8</f>
        <v/>
      </c>
      <c r="L22" s="10">
        <f>L16-L8</f>
        <v/>
      </c>
    </row>
    <row r="23">
      <c r="A23" s="4" t="inlineStr">
        <is>
          <t>TOTAL</t>
        </is>
      </c>
      <c r="B23" s="10">
        <f>B17-B9</f>
        <v/>
      </c>
      <c r="C23" s="10">
        <f>C17-C9</f>
        <v/>
      </c>
      <c r="D23" s="10">
        <f>D17-D9</f>
        <v/>
      </c>
      <c r="E23" s="10">
        <f>E17-E9</f>
        <v/>
      </c>
      <c r="F23" s="10">
        <f>F17-F9</f>
        <v/>
      </c>
      <c r="G23" s="10">
        <f>G17-G9</f>
        <v/>
      </c>
      <c r="H23" s="10">
        <f>H17-H9</f>
        <v/>
      </c>
      <c r="I23" s="10">
        <f>I17-I9</f>
        <v/>
      </c>
      <c r="J23" s="10">
        <f>J17-J9</f>
        <v/>
      </c>
      <c r="K23" s="10">
        <f>K17-K9</f>
        <v/>
      </c>
      <c r="L23" s="10">
        <f>L17-L9</f>
        <v/>
      </c>
    </row>
    <row r="25">
      <c r="A25" s="4" t="inlineStr">
        <is>
          <t>REAL por línea</t>
        </is>
      </c>
    </row>
    <row r="26">
      <c r="A26" s="2" t="inlineStr">
        <is>
          <t>anio</t>
        </is>
      </c>
      <c r="B26" s="2" t="n">
        <v>2026</v>
      </c>
      <c r="C26" s="2" t="n">
        <v>2026</v>
      </c>
      <c r="D26" s="2" t="n">
        <v>2026</v>
      </c>
      <c r="E26" s="2" t="n">
        <v>2026</v>
      </c>
      <c r="F26" s="2" t="n">
        <v>2026</v>
      </c>
      <c r="G26" s="2" t="n">
        <v>2026</v>
      </c>
      <c r="H26" s="2" t="n">
        <v>2026</v>
      </c>
      <c r="I26" s="2" t="n">
        <v>2026</v>
      </c>
      <c r="J26" s="2" t="n">
        <v>2026</v>
      </c>
      <c r="K26" s="2" t="n">
        <v>2027</v>
      </c>
    </row>
    <row r="27">
      <c r="A27" s="2" t="inlineStr">
        <is>
          <t>mes</t>
        </is>
      </c>
      <c r="B27" s="5" t="n">
        <v>2</v>
      </c>
      <c r="C27" s="5" t="n">
        <v>3</v>
      </c>
      <c r="D27" s="5" t="n">
        <v>4</v>
      </c>
      <c r="E27" s="5" t="n">
        <v>5</v>
      </c>
      <c r="F27" s="5" t="n">
        <v>6</v>
      </c>
      <c r="G27" s="5" t="n">
        <v>7</v>
      </c>
      <c r="H27" s="5" t="n">
        <v>8</v>
      </c>
      <c r="I27" s="5" t="n">
        <v>10</v>
      </c>
      <c r="J27" s="5" t="n">
        <v>12</v>
      </c>
      <c r="K27" s="5" t="n">
        <v>1</v>
      </c>
      <c r="L27" s="5" t="inlineStr">
        <is>
          <t>TOTAL</t>
        </is>
      </c>
    </row>
    <row r="28">
      <c r="A28" s="3" t="inlineStr">
        <is>
          <t>L1</t>
        </is>
      </c>
      <c r="B28" s="10">
        <f>SUMIFS(tblOrdenes[costo_total],tblOrdenes[linea],$A28,tblOrdenes[anio],B$26,tblOrdenes[mes],B$27)</f>
        <v/>
      </c>
      <c r="C28" s="10">
        <f>SUMIFS(tblOrdenes[costo_total],tblOrdenes[linea],$A28,tblOrdenes[anio],C$26,tblOrdenes[mes],C$27)</f>
        <v/>
      </c>
      <c r="D28" s="10">
        <f>SUMIFS(tblOrdenes[costo_total],tblOrdenes[linea],$A28,tblOrdenes[anio],D$26,tblOrdenes[mes],D$27)</f>
        <v/>
      </c>
      <c r="E28" s="10">
        <f>SUMIFS(tblOrdenes[costo_total],tblOrdenes[linea],$A28,tblOrdenes[anio],E$26,tblOrdenes[mes],E$27)</f>
        <v/>
      </c>
      <c r="F28" s="10">
        <f>SUMIFS(tblOrdenes[costo_total],tblOrdenes[linea],$A28,tblOrdenes[anio],F$26,tblOrdenes[mes],F$27)</f>
        <v/>
      </c>
      <c r="G28" s="10">
        <f>SUMIFS(tblOrdenes[costo_total],tblOrdenes[linea],$A28,tblOrdenes[anio],G$26,tblOrdenes[mes],G$27)</f>
        <v/>
      </c>
      <c r="H28" s="10">
        <f>SUMIFS(tblOrdenes[costo_total],tblOrdenes[linea],$A28,tblOrdenes[anio],H$26,tblOrdenes[mes],H$27)</f>
        <v/>
      </c>
      <c r="I28" s="10">
        <f>SUMIFS(tblOrdenes[costo_total],tblOrdenes[linea],$A28,tblOrdenes[anio],I$26,tblOrdenes[mes],I$27)</f>
        <v/>
      </c>
      <c r="J28" s="10">
        <f>SUMIFS(tblOrdenes[costo_total],tblOrdenes[linea],$A28,tblOrdenes[anio],J$26,tblOrdenes[mes],J$27)</f>
        <v/>
      </c>
      <c r="K28" s="10">
        <f>SUMIFS(tblOrdenes[costo_total],tblOrdenes[linea],$A28,tblOrdenes[anio],K$26,tblOrdenes[mes],K$27)</f>
        <v/>
      </c>
      <c r="L28" s="10">
        <f>SUM(B28:K28)</f>
        <v/>
      </c>
    </row>
    <row r="29">
      <c r="A29" s="3" t="inlineStr">
        <is>
          <t>L2</t>
        </is>
      </c>
      <c r="B29" s="10">
        <f>SUMIFS(tblOrdenes[costo_total],tblOrdenes[linea],$A29,tblOrdenes[anio],B$26,tblOrdenes[mes],B$27)</f>
        <v/>
      </c>
      <c r="C29" s="10">
        <f>SUMIFS(tblOrdenes[costo_total],tblOrdenes[linea],$A29,tblOrdenes[anio],C$26,tblOrdenes[mes],C$27)</f>
        <v/>
      </c>
      <c r="D29" s="10">
        <f>SUMIFS(tblOrdenes[costo_total],tblOrdenes[linea],$A29,tblOrdenes[anio],D$26,tblOrdenes[mes],D$27)</f>
        <v/>
      </c>
      <c r="E29" s="10">
        <f>SUMIFS(tblOrdenes[costo_total],tblOrdenes[linea],$A29,tblOrdenes[anio],E$26,tblOrdenes[mes],E$27)</f>
        <v/>
      </c>
      <c r="F29" s="10">
        <f>SUMIFS(tblOrdenes[costo_total],tblOrdenes[linea],$A29,tblOrdenes[anio],F$26,tblOrdenes[mes],F$27)</f>
        <v/>
      </c>
      <c r="G29" s="10">
        <f>SUMIFS(tblOrdenes[costo_total],tblOrdenes[linea],$A29,tblOrdenes[anio],G$26,tblOrdenes[mes],G$27)</f>
        <v/>
      </c>
      <c r="H29" s="10">
        <f>SUMIFS(tblOrdenes[costo_total],tblOrdenes[linea],$A29,tblOrdenes[anio],H$26,tblOrdenes[mes],H$27)</f>
        <v/>
      </c>
      <c r="I29" s="10">
        <f>SUMIFS(tblOrdenes[costo_total],tblOrdenes[linea],$A29,tblOrdenes[anio],I$26,tblOrdenes[mes],I$27)</f>
        <v/>
      </c>
      <c r="J29" s="10">
        <f>SUMIFS(tblOrdenes[costo_total],tblOrdenes[linea],$A29,tblOrdenes[anio],J$26,tblOrdenes[mes],J$27)</f>
        <v/>
      </c>
      <c r="K29" s="10">
        <f>SUMIFS(tblOrdenes[costo_total],tblOrdenes[linea],$A29,tblOrdenes[anio],K$26,tblOrdenes[mes],K$27)</f>
        <v/>
      </c>
      <c r="L29" s="10">
        <f>SUM(B29:K29)</f>
        <v/>
      </c>
    </row>
    <row r="30">
      <c r="A30" s="3" t="inlineStr">
        <is>
          <t>L3</t>
        </is>
      </c>
      <c r="B30" s="10">
        <f>SUMIFS(tblOrdenes[costo_total],tblOrdenes[linea],$A30,tblOrdenes[anio],B$26,tblOrdenes[mes],B$27)</f>
        <v/>
      </c>
      <c r="C30" s="10">
        <f>SUMIFS(tblOrdenes[costo_total],tblOrdenes[linea],$A30,tblOrdenes[anio],C$26,tblOrdenes[mes],C$27)</f>
        <v/>
      </c>
      <c r="D30" s="10">
        <f>SUMIFS(tblOrdenes[costo_total],tblOrdenes[linea],$A30,tblOrdenes[anio],D$26,tblOrdenes[mes],D$27)</f>
        <v/>
      </c>
      <c r="E30" s="10">
        <f>SUMIFS(tblOrdenes[costo_total],tblOrdenes[linea],$A30,tblOrdenes[anio],E$26,tblOrdenes[mes],E$27)</f>
        <v/>
      </c>
      <c r="F30" s="10">
        <f>SUMIFS(tblOrdenes[costo_total],tblOrdenes[linea],$A30,tblOrdenes[anio],F$26,tblOrdenes[mes],F$27)</f>
        <v/>
      </c>
      <c r="G30" s="10">
        <f>SUMIFS(tblOrdenes[costo_total],tblOrdenes[linea],$A30,tblOrdenes[anio],G$26,tblOrdenes[mes],G$27)</f>
        <v/>
      </c>
      <c r="H30" s="10">
        <f>SUMIFS(tblOrdenes[costo_total],tblOrdenes[linea],$A30,tblOrdenes[anio],H$26,tblOrdenes[mes],H$27)</f>
        <v/>
      </c>
      <c r="I30" s="10">
        <f>SUMIFS(tblOrdenes[costo_total],tblOrdenes[linea],$A30,tblOrdenes[anio],I$26,tblOrdenes[mes],I$27)</f>
        <v/>
      </c>
      <c r="J30" s="10">
        <f>SUMIFS(tblOrdenes[costo_total],tblOrdenes[linea],$A30,tblOrdenes[anio],J$26,tblOrdenes[mes],J$27)</f>
        <v/>
      </c>
      <c r="K30" s="10">
        <f>SUMIFS(tblOrdenes[costo_total],tblOrdenes[linea],$A30,tblOrdenes[anio],K$26,tblOrdenes[mes],K$27)</f>
        <v/>
      </c>
      <c r="L30" s="10">
        <f>SUM(B30:K30)</f>
        <v/>
      </c>
    </row>
    <row r="31">
      <c r="A31" s="3" t="inlineStr">
        <is>
          <t>L4</t>
        </is>
      </c>
      <c r="B31" s="10">
        <f>SUMIFS(tblOrdenes[costo_total],tblOrdenes[linea],$A31,tblOrdenes[anio],B$26,tblOrdenes[mes],B$27)</f>
        <v/>
      </c>
      <c r="C31" s="10">
        <f>SUMIFS(tblOrdenes[costo_total],tblOrdenes[linea],$A31,tblOrdenes[anio],C$26,tblOrdenes[mes],C$27)</f>
        <v/>
      </c>
      <c r="D31" s="10">
        <f>SUMIFS(tblOrdenes[costo_total],tblOrdenes[linea],$A31,tblOrdenes[anio],D$26,tblOrdenes[mes],D$27)</f>
        <v/>
      </c>
      <c r="E31" s="10">
        <f>SUMIFS(tblOrdenes[costo_total],tblOrdenes[linea],$A31,tblOrdenes[anio],E$26,tblOrdenes[mes],E$27)</f>
        <v/>
      </c>
      <c r="F31" s="10">
        <f>SUMIFS(tblOrdenes[costo_total],tblOrdenes[linea],$A31,tblOrdenes[anio],F$26,tblOrdenes[mes],F$27)</f>
        <v/>
      </c>
      <c r="G31" s="10">
        <f>SUMIFS(tblOrdenes[costo_total],tblOrdenes[linea],$A31,tblOrdenes[anio],G$26,tblOrdenes[mes],G$27)</f>
        <v/>
      </c>
      <c r="H31" s="10">
        <f>SUMIFS(tblOrdenes[costo_total],tblOrdenes[linea],$A31,tblOrdenes[anio],H$26,tblOrdenes[mes],H$27)</f>
        <v/>
      </c>
      <c r="I31" s="10">
        <f>SUMIFS(tblOrdenes[costo_total],tblOrdenes[linea],$A31,tblOrdenes[anio],I$26,tblOrdenes[mes],I$27)</f>
        <v/>
      </c>
      <c r="J31" s="10">
        <f>SUMIFS(tblOrdenes[costo_total],tblOrdenes[linea],$A31,tblOrdenes[anio],J$26,tblOrdenes[mes],J$27)</f>
        <v/>
      </c>
      <c r="K31" s="10">
        <f>SUMIFS(tblOrdenes[costo_total],tblOrdenes[linea],$A31,tblOrdenes[anio],K$26,tblOrdenes[mes],K$27)</f>
        <v/>
      </c>
      <c r="L31" s="10">
        <f>SUM(B31:K31)</f>
        <v/>
      </c>
    </row>
    <row r="32">
      <c r="A32" s="3" t="inlineStr">
        <is>
          <t>SG</t>
        </is>
      </c>
      <c r="B32" s="10">
        <f>SUMIFS(tblOrdenes[costo_total],tblOrdenes[linea],$A32,tblOrdenes[anio],B$26,tblOrdenes[mes],B$27)</f>
        <v/>
      </c>
      <c r="C32" s="10">
        <f>SUMIFS(tblOrdenes[costo_total],tblOrdenes[linea],$A32,tblOrdenes[anio],C$26,tblOrdenes[mes],C$27)</f>
        <v/>
      </c>
      <c r="D32" s="10">
        <f>SUMIFS(tblOrdenes[costo_total],tblOrdenes[linea],$A32,tblOrdenes[anio],D$26,tblOrdenes[mes],D$27)</f>
        <v/>
      </c>
      <c r="E32" s="10">
        <f>SUMIFS(tblOrdenes[costo_total],tblOrdenes[linea],$A32,tblOrdenes[anio],E$26,tblOrdenes[mes],E$27)</f>
        <v/>
      </c>
      <c r="F32" s="10">
        <f>SUMIFS(tblOrdenes[costo_total],tblOrdenes[linea],$A32,tblOrdenes[anio],F$26,tblOrdenes[mes],F$27)</f>
        <v/>
      </c>
      <c r="G32" s="10">
        <f>SUMIFS(tblOrdenes[costo_total],tblOrdenes[linea],$A32,tblOrdenes[anio],G$26,tblOrdenes[mes],G$27)</f>
        <v/>
      </c>
      <c r="H32" s="10">
        <f>SUMIFS(tblOrdenes[costo_total],tblOrdenes[linea],$A32,tblOrdenes[anio],H$26,tblOrdenes[mes],H$27)</f>
        <v/>
      </c>
      <c r="I32" s="10">
        <f>SUMIFS(tblOrdenes[costo_total],tblOrdenes[linea],$A32,tblOrdenes[anio],I$26,tblOrdenes[mes],I$27)</f>
        <v/>
      </c>
      <c r="J32" s="10">
        <f>SUMIFS(tblOrdenes[costo_total],tblOrdenes[linea],$A32,tblOrdenes[anio],J$26,tblOrdenes[mes],J$27)</f>
        <v/>
      </c>
      <c r="K32" s="10">
        <f>SUMIFS(tblOrdenes[costo_total],tblOrdenes[linea],$A32,tblOrdenes[anio],K$26,tblOrdenes[mes],K$27)</f>
        <v/>
      </c>
      <c r="L32" s="10">
        <f>SUM(B32:K32)</f>
        <v/>
      </c>
    </row>
    <row r="33">
      <c r="A33" s="3" t="inlineStr">
        <is>
          <t>TC</t>
        </is>
      </c>
      <c r="B33" s="10">
        <f>SUMIFS(tblOrdenes[costo_total],tblOrdenes[linea],$A33,tblOrdenes[anio],B$26,tblOrdenes[mes],B$27)</f>
        <v/>
      </c>
      <c r="C33" s="10">
        <f>SUMIFS(tblOrdenes[costo_total],tblOrdenes[linea],$A33,tblOrdenes[anio],C$26,tblOrdenes[mes],C$27)</f>
        <v/>
      </c>
      <c r="D33" s="10">
        <f>SUMIFS(tblOrdenes[costo_total],tblOrdenes[linea],$A33,tblOrdenes[anio],D$26,tblOrdenes[mes],D$27)</f>
        <v/>
      </c>
      <c r="E33" s="10">
        <f>SUMIFS(tblOrdenes[costo_total],tblOrdenes[linea],$A33,tblOrdenes[anio],E$26,tblOrdenes[mes],E$27)</f>
        <v/>
      </c>
      <c r="F33" s="10">
        <f>SUMIFS(tblOrdenes[costo_total],tblOrdenes[linea],$A33,tblOrdenes[anio],F$26,tblOrdenes[mes],F$27)</f>
        <v/>
      </c>
      <c r="G33" s="10">
        <f>SUMIFS(tblOrdenes[costo_total],tblOrdenes[linea],$A33,tblOrdenes[anio],G$26,tblOrdenes[mes],G$27)</f>
        <v/>
      </c>
      <c r="H33" s="10">
        <f>SUMIFS(tblOrdenes[costo_total],tblOrdenes[linea],$A33,tblOrdenes[anio],H$26,tblOrdenes[mes],H$27)</f>
        <v/>
      </c>
      <c r="I33" s="10">
        <f>SUMIFS(tblOrdenes[costo_total],tblOrdenes[linea],$A33,tblOrdenes[anio],I$26,tblOrdenes[mes],I$27)</f>
        <v/>
      </c>
      <c r="J33" s="10">
        <f>SUMIFS(tblOrdenes[costo_total],tblOrdenes[linea],$A33,tblOrdenes[anio],J$26,tblOrdenes[mes],J$27)</f>
        <v/>
      </c>
      <c r="K33" s="10">
        <f>SUMIFS(tblOrdenes[costo_total],tblOrdenes[linea],$A33,tblOrdenes[anio],K$26,tblOrdenes[mes],K$27)</f>
        <v/>
      </c>
      <c r="L33" s="10">
        <f>SUM(B33:K33)</f>
        <v/>
      </c>
    </row>
    <row r="34">
      <c r="A34" s="4" t="inlineStr">
        <is>
          <t>TOTAL</t>
        </is>
      </c>
      <c r="B34" s="10">
        <f>SUM(B28:B33)</f>
        <v/>
      </c>
      <c r="C34" s="10">
        <f>SUM(C28:C33)</f>
        <v/>
      </c>
      <c r="D34" s="10">
        <f>SUM(D28:D33)</f>
        <v/>
      </c>
      <c r="E34" s="10">
        <f>SUM(E28:E33)</f>
        <v/>
      </c>
      <c r="F34" s="10">
        <f>SUM(F28:F33)</f>
        <v/>
      </c>
      <c r="G34" s="10">
        <f>SUM(G28:G33)</f>
        <v/>
      </c>
      <c r="H34" s="10">
        <f>SUM(H28:H33)</f>
        <v/>
      </c>
      <c r="I34" s="10">
        <f>SUM(I28:I33)</f>
        <v/>
      </c>
      <c r="J34" s="10">
        <f>SUM(J28:J33)</f>
        <v/>
      </c>
      <c r="K34" s="10">
        <f>SUM(K28:K33)</f>
        <v/>
      </c>
      <c r="L34" s="10">
        <f>SUM(L28:L33)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0" customWidth="1" min="4" max="4"/>
    <col width="10" customWidth="1" min="5" max="5"/>
  </cols>
  <sheetData>
    <row r="1">
      <c r="A1" s="1" t="inlineStr">
        <is>
          <t>BACKLOG (REGLA-3) — envejecimiento de órdenes pendientes</t>
        </is>
      </c>
    </row>
    <row r="3">
      <c r="A3" s="5" t="inlineStr">
        <is>
          <t>tramo (días)</t>
        </is>
      </c>
      <c r="B3" s="5" t="inlineStr">
        <is>
          <t>ordenes</t>
        </is>
      </c>
      <c r="C3" s="5" t="inlineStr">
        <is>
          <t>hh_estimadas</t>
        </is>
      </c>
    </row>
    <row r="4">
      <c r="A4" s="3" t="inlineStr">
        <is>
          <t>0-30</t>
        </is>
      </c>
      <c r="B4" s="3">
        <f>COUNTIFS(tblOrdenes[estado],"Pendiente",tblOrdenes[backlog_dias],"&gt;=0",tblOrdenes[backlog_dias],"&lt;=30")</f>
        <v/>
      </c>
      <c r="C4" s="14">
        <f>SUMIFS(tblOrdenes[horas_efectivas],tblOrdenes[estado],"Pendiente",tblOrdenes[backlog_dias],"&gt;=0",tblOrdenes[backlog_dias],"&lt;=30")</f>
        <v/>
      </c>
    </row>
    <row r="5">
      <c r="A5" s="3" t="inlineStr">
        <is>
          <t>31-60</t>
        </is>
      </c>
      <c r="B5" s="3">
        <f>COUNTIFS(tblOrdenes[estado],"Pendiente",tblOrdenes[backlog_dias],"&gt;=31",tblOrdenes[backlog_dias],"&lt;=60")</f>
        <v/>
      </c>
      <c r="C5" s="14">
        <f>SUMIFS(tblOrdenes[horas_efectivas],tblOrdenes[estado],"Pendiente",tblOrdenes[backlog_dias],"&gt;=31",tblOrdenes[backlog_dias],"&lt;=60")</f>
        <v/>
      </c>
    </row>
    <row r="6">
      <c r="A6" s="3" t="inlineStr">
        <is>
          <t>61-90</t>
        </is>
      </c>
      <c r="B6" s="3">
        <f>COUNTIFS(tblOrdenes[estado],"Pendiente",tblOrdenes[backlog_dias],"&gt;=61",tblOrdenes[backlog_dias],"&lt;=90")</f>
        <v/>
      </c>
      <c r="C6" s="14">
        <f>SUMIFS(tblOrdenes[horas_efectivas],tblOrdenes[estado],"Pendiente",tblOrdenes[backlog_dias],"&gt;=61",tblOrdenes[backlog_dias],"&lt;=90")</f>
        <v/>
      </c>
    </row>
    <row r="7">
      <c r="A7" s="3" t="inlineStr">
        <is>
          <t>&gt;90</t>
        </is>
      </c>
      <c r="B7" s="3">
        <f>COUNTIFS(tblOrdenes[estado],"Pendiente",tblOrdenes[backlog_dias],"&gt;90")</f>
        <v/>
      </c>
      <c r="C7" s="14">
        <f>SUMIFS(tblOrdenes[horas_efectivas],tblOrdenes[estado],"Pendiente",tblOrdenes[backlog_dias],"&gt;90")</f>
        <v/>
      </c>
    </row>
    <row r="10">
      <c r="A10" s="4" t="inlineStr">
        <is>
          <t>POR ESPECIALIDAD</t>
        </is>
      </c>
    </row>
    <row r="11">
      <c r="A11" s="5" t="inlineStr">
        <is>
          <t>especialidad</t>
        </is>
      </c>
      <c r="B11" s="5" t="inlineStr">
        <is>
          <t>0-30</t>
        </is>
      </c>
      <c r="C11" s="5" t="inlineStr">
        <is>
          <t>31-60</t>
        </is>
      </c>
      <c r="D11" s="5" t="inlineStr">
        <is>
          <t>61-90</t>
        </is>
      </c>
      <c r="E11" s="5" t="inlineStr">
        <is>
          <t>&gt;90</t>
        </is>
      </c>
    </row>
    <row r="12">
      <c r="A12" s="3" t="inlineStr">
        <is>
          <t>MEC</t>
        </is>
      </c>
      <c r="B12" s="3">
        <f>COUNTIFS(tblOrdenes[estado],"Pendiente",tblOrdenes[backlog_dias],"&gt;=0",tblOrdenes[backlog_dias],"&lt;=30",tblOrdenes[especialidad],$A12)</f>
        <v/>
      </c>
      <c r="C12" s="3">
        <f>COUNTIFS(tblOrdenes[estado],"Pendiente",tblOrdenes[backlog_dias],"&gt;=31",tblOrdenes[backlog_dias],"&lt;=60",tblOrdenes[especialidad],$A12)</f>
        <v/>
      </c>
      <c r="D12" s="3">
        <f>COUNTIFS(tblOrdenes[estado],"Pendiente",tblOrdenes[backlog_dias],"&gt;=61",tblOrdenes[backlog_dias],"&lt;=90",tblOrdenes[especialidad],$A12)</f>
        <v/>
      </c>
      <c r="E12" s="3">
        <f>COUNTIFS(tblOrdenes[estado],"Pendiente",tblOrdenes[backlog_dias],"&gt;90",tblOrdenes[especialidad],$A12)</f>
        <v/>
      </c>
    </row>
    <row r="13">
      <c r="A13" s="3" t="inlineStr">
        <is>
          <t>ELE</t>
        </is>
      </c>
      <c r="B13" s="3">
        <f>COUNTIFS(tblOrdenes[estado],"Pendiente",tblOrdenes[backlog_dias],"&gt;=0",tblOrdenes[backlog_dias],"&lt;=30",tblOrdenes[especialidad],$A13)</f>
        <v/>
      </c>
      <c r="C13" s="3">
        <f>COUNTIFS(tblOrdenes[estado],"Pendiente",tblOrdenes[backlog_dias],"&gt;=31",tblOrdenes[backlog_dias],"&lt;=60",tblOrdenes[especialidad],$A13)</f>
        <v/>
      </c>
      <c r="D13" s="3">
        <f>COUNTIFS(tblOrdenes[estado],"Pendiente",tblOrdenes[backlog_dias],"&gt;=61",tblOrdenes[backlog_dias],"&lt;=90",tblOrdenes[especialidad],$A13)</f>
        <v/>
      </c>
      <c r="E13" s="3">
        <f>COUNTIFS(tblOrdenes[estado],"Pendiente",tblOrdenes[backlog_dias],"&gt;90",tblOrdenes[especialidad],$A13)</f>
        <v/>
      </c>
    </row>
    <row r="14">
      <c r="A14" s="3" t="inlineStr">
        <is>
          <t>AUT</t>
        </is>
      </c>
      <c r="B14" s="3">
        <f>COUNTIFS(tblOrdenes[estado],"Pendiente",tblOrdenes[backlog_dias],"&gt;=0",tblOrdenes[backlog_dias],"&lt;=30",tblOrdenes[especialidad],$A14)</f>
        <v/>
      </c>
      <c r="C14" s="3">
        <f>COUNTIFS(tblOrdenes[estado],"Pendiente",tblOrdenes[backlog_dias],"&gt;=31",tblOrdenes[backlog_dias],"&lt;=60",tblOrdenes[especialidad],$A14)</f>
        <v/>
      </c>
      <c r="D14" s="3">
        <f>COUNTIFS(tblOrdenes[estado],"Pendiente",tblOrdenes[backlog_dias],"&gt;=61",tblOrdenes[backlog_dias],"&lt;=90",tblOrdenes[especialidad],$A14)</f>
        <v/>
      </c>
      <c r="E14" s="3">
        <f>COUNTIFS(tblOrdenes[estado],"Pendiente",tblOrdenes[backlog_dias],"&gt;90",tblOrdenes[especialidad],$A14)</f>
        <v/>
      </c>
    </row>
    <row r="15">
      <c r="A15" s="3" t="inlineStr">
        <is>
          <t>OP</t>
        </is>
      </c>
      <c r="B15" s="3">
        <f>COUNTIFS(tblOrdenes[estado],"Pendiente",tblOrdenes[backlog_dias],"&gt;=0",tblOrdenes[backlog_dias],"&lt;=30",tblOrdenes[especialidad],$A15)</f>
        <v/>
      </c>
      <c r="C15" s="3">
        <f>COUNTIFS(tblOrdenes[estado],"Pendiente",tblOrdenes[backlog_dias],"&gt;=31",tblOrdenes[backlog_dias],"&lt;=60",tblOrdenes[especialidad],$A15)</f>
        <v/>
      </c>
      <c r="D15" s="3">
        <f>COUNTIFS(tblOrdenes[estado],"Pendiente",tblOrdenes[backlog_dias],"&gt;=61",tblOrdenes[backlog_dias],"&lt;=90",tblOrdenes[especialidad],$A15)</f>
        <v/>
      </c>
      <c r="E15" s="3">
        <f>COUNTIFS(tblOrdenes[estado],"Pendiente",tblOrdenes[backlog_dias],"&gt;90",tblOrdenes[especialidad],$A15)</f>
        <v/>
      </c>
    </row>
    <row r="16">
      <c r="A16" s="3" t="inlineStr">
        <is>
          <t>TERCERO</t>
        </is>
      </c>
      <c r="B16" s="3">
        <f>COUNTIFS(tblOrdenes[estado],"Pendiente",tblOrdenes[backlog_dias],"&gt;=0",tblOrdenes[backlog_dias],"&lt;=30",tblOrdenes[especialidad],$A16)</f>
        <v/>
      </c>
      <c r="C16" s="3">
        <f>COUNTIFS(tblOrdenes[estado],"Pendiente",tblOrdenes[backlog_dias],"&gt;=31",tblOrdenes[backlog_dias],"&lt;=60",tblOrdenes[especialidad],$A16)</f>
        <v/>
      </c>
      <c r="D16" s="3">
        <f>COUNTIFS(tblOrdenes[estado],"Pendiente",tblOrdenes[backlog_dias],"&gt;=61",tblOrdenes[backlog_dias],"&lt;=90",tblOrdenes[especialidad],$A16)</f>
        <v/>
      </c>
      <c r="E16" s="3">
        <f>COUNTIFS(tblOrdenes[estado],"Pendiente",tblOrdenes[backlog_dias],"&gt;90",tblOrdenes[especialidad],$A16)</f>
        <v/>
      </c>
    </row>
    <row r="18">
      <c r="A18" s="4" t="inlineStr">
        <is>
          <t>POR ÁREA</t>
        </is>
      </c>
    </row>
    <row r="19">
      <c r="A19" s="5" t="inlineStr">
        <is>
          <t>area</t>
        </is>
      </c>
      <c r="B19" s="5" t="inlineStr">
        <is>
          <t>0-30</t>
        </is>
      </c>
      <c r="C19" s="5" t="inlineStr">
        <is>
          <t>31-60</t>
        </is>
      </c>
      <c r="D19" s="5" t="inlineStr">
        <is>
          <t>61-90</t>
        </is>
      </c>
      <c r="E19" s="5" t="inlineStr">
        <is>
          <t>&gt;90</t>
        </is>
      </c>
    </row>
    <row r="20">
      <c r="A20" s="3" t="inlineStr">
        <is>
          <t>PRODUCCION</t>
        </is>
      </c>
      <c r="B20" s="3">
        <f>COUNTIFS(tblOrdenes[estado],"Pendiente",tblOrdenes[backlog_dias],"&gt;=0",tblOrdenes[backlog_dias],"&lt;=30",tblOrdenes[area],$A20)</f>
        <v/>
      </c>
      <c r="C20" s="3">
        <f>COUNTIFS(tblOrdenes[estado],"Pendiente",tblOrdenes[backlog_dias],"&gt;=31",tblOrdenes[backlog_dias],"&lt;=60",tblOrdenes[area],$A20)</f>
        <v/>
      </c>
      <c r="D20" s="3">
        <f>COUNTIFS(tblOrdenes[estado],"Pendiente",tblOrdenes[backlog_dias],"&gt;=61",tblOrdenes[backlog_dias],"&lt;=90",tblOrdenes[area],$A20)</f>
        <v/>
      </c>
      <c r="E20" s="3">
        <f>COUNTIFS(tblOrdenes[estado],"Pendiente",tblOrdenes[backlog_dias],"&gt;90",tblOrdenes[area],$A20)</f>
        <v/>
      </c>
    </row>
    <row r="21">
      <c r="A21" s="3" t="inlineStr">
        <is>
          <t>EMPAQUE</t>
        </is>
      </c>
      <c r="B21" s="3">
        <f>COUNTIFS(tblOrdenes[estado],"Pendiente",tblOrdenes[backlog_dias],"&gt;=0",tblOrdenes[backlog_dias],"&lt;=30",tblOrdenes[area],$A21)</f>
        <v/>
      </c>
      <c r="C21" s="3">
        <f>COUNTIFS(tblOrdenes[estado],"Pendiente",tblOrdenes[backlog_dias],"&gt;=31",tblOrdenes[backlog_dias],"&lt;=60",tblOrdenes[area],$A21)</f>
        <v/>
      </c>
      <c r="D21" s="3">
        <f>COUNTIFS(tblOrdenes[estado],"Pendiente",tblOrdenes[backlog_dias],"&gt;=61",tblOrdenes[backlog_dias],"&lt;=90",tblOrdenes[area],$A21)</f>
        <v/>
      </c>
      <c r="E21" s="3">
        <f>COUNTIFS(tblOrdenes[estado],"Pendiente",tblOrdenes[backlog_dias],"&gt;90",tblOrdenes[area],$A21)</f>
        <v/>
      </c>
    </row>
    <row r="22">
      <c r="A22" s="3" t="inlineStr">
        <is>
          <t>SERVICIOS</t>
        </is>
      </c>
      <c r="B22" s="3">
        <f>COUNTIFS(tblOrdenes[estado],"Pendiente",tblOrdenes[backlog_dias],"&gt;=0",tblOrdenes[backlog_dias],"&lt;=30",tblOrdenes[area],$A22)</f>
        <v/>
      </c>
      <c r="C22" s="3">
        <f>COUNTIFS(tblOrdenes[estado],"Pendiente",tblOrdenes[backlog_dias],"&gt;=31",tblOrdenes[backlog_dias],"&lt;=60",tblOrdenes[area],$A22)</f>
        <v/>
      </c>
      <c r="D22" s="3">
        <f>COUNTIFS(tblOrdenes[estado],"Pendiente",tblOrdenes[backlog_dias],"&gt;=61",tblOrdenes[backlog_dias],"&lt;=90",tblOrdenes[area],$A22)</f>
        <v/>
      </c>
      <c r="E22" s="3">
        <f>COUNTIFS(tblOrdenes[estado],"Pendiente",tblOrdenes[backlog_dias],"&gt;90",tblOrdenes[area],$A22)</f>
        <v/>
      </c>
    </row>
  </sheetData>
  <conditionalFormatting sqref="B7:C7">
    <cfRule type="cellIs" priority="1" operator="greaterThan" dxfId="0">
      <formula>0</formula>
    </cfRule>
  </conditionalFormatting>
  <conditionalFormatting sqref="E12:E16">
    <cfRule type="cellIs" priority="2" operator="greaterThan" dxfId="0">
      <formula>0</formula>
    </cfRule>
  </conditionalFormatting>
  <conditionalFormatting sqref="E20:E22">
    <cfRule type="cellIs" priority="3" operator="greaterThan" dxfId="0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>
        <f>"EQUIPOS CRÍTICOS — costo total de mantenimiento ("&amp;p_moneda&amp;") por equipo y mes"</f>
        <v/>
      </c>
    </row>
    <row r="3">
      <c r="A3" s="2" t="inlineStr">
        <is>
          <t>anio</t>
        </is>
      </c>
      <c r="B3" s="2" t="n">
        <v>2026</v>
      </c>
      <c r="C3" s="2" t="n">
        <v>2026</v>
      </c>
      <c r="D3" s="2" t="n">
        <v>2026</v>
      </c>
      <c r="E3" s="2" t="n">
        <v>2026</v>
      </c>
      <c r="F3" s="2" t="n">
        <v>2026</v>
      </c>
      <c r="G3" s="2" t="n">
        <v>2026</v>
      </c>
      <c r="H3" s="2" t="n">
        <v>2026</v>
      </c>
      <c r="I3" s="2" t="n">
        <v>2026</v>
      </c>
      <c r="J3" s="2" t="n">
        <v>2026</v>
      </c>
      <c r="K3" s="2" t="n">
        <v>2027</v>
      </c>
    </row>
    <row r="4">
      <c r="A4" s="5" t="inlineStr">
        <is>
          <t>equipo \ mes</t>
        </is>
      </c>
      <c r="B4" s="5" t="n">
        <v>2</v>
      </c>
      <c r="C4" s="5" t="n">
        <v>3</v>
      </c>
      <c r="D4" s="5" t="n">
        <v>4</v>
      </c>
      <c r="E4" s="5" t="n">
        <v>5</v>
      </c>
      <c r="F4" s="5" t="n">
        <v>6</v>
      </c>
      <c r="G4" s="5" t="n">
        <v>7</v>
      </c>
      <c r="H4" s="5" t="n">
        <v>8</v>
      </c>
      <c r="I4" s="5" t="n">
        <v>10</v>
      </c>
      <c r="J4" s="5" t="n">
        <v>12</v>
      </c>
      <c r="K4" s="5" t="n">
        <v>1</v>
      </c>
      <c r="L4" s="5" t="inlineStr">
        <is>
          <t>TOTAL</t>
        </is>
      </c>
    </row>
    <row r="5">
      <c r="A5" s="3" t="inlineStr">
        <is>
          <t>EQ-110</t>
        </is>
      </c>
      <c r="B5" s="10">
        <f>SUMIFS(tblOrdenes[costo_total],tblOrdenes[equipo],$A5,tblOrdenes[anio],B$3,tblOrdenes[mes],B$4)</f>
        <v/>
      </c>
      <c r="C5" s="10">
        <f>SUMIFS(tblOrdenes[costo_total],tblOrdenes[equipo],$A5,tblOrdenes[anio],C$3,tblOrdenes[mes],C$4)</f>
        <v/>
      </c>
      <c r="D5" s="10">
        <f>SUMIFS(tblOrdenes[costo_total],tblOrdenes[equipo],$A5,tblOrdenes[anio],D$3,tblOrdenes[mes],D$4)</f>
        <v/>
      </c>
      <c r="E5" s="10">
        <f>SUMIFS(tblOrdenes[costo_total],tblOrdenes[equipo],$A5,tblOrdenes[anio],E$3,tblOrdenes[mes],E$4)</f>
        <v/>
      </c>
      <c r="F5" s="10">
        <f>SUMIFS(tblOrdenes[costo_total],tblOrdenes[equipo],$A5,tblOrdenes[anio],F$3,tblOrdenes[mes],F$4)</f>
        <v/>
      </c>
      <c r="G5" s="10">
        <f>SUMIFS(tblOrdenes[costo_total],tblOrdenes[equipo],$A5,tblOrdenes[anio],G$3,tblOrdenes[mes],G$4)</f>
        <v/>
      </c>
      <c r="H5" s="10">
        <f>SUMIFS(tblOrdenes[costo_total],tblOrdenes[equipo],$A5,tblOrdenes[anio],H$3,tblOrdenes[mes],H$4)</f>
        <v/>
      </c>
      <c r="I5" s="10">
        <f>SUMIFS(tblOrdenes[costo_total],tblOrdenes[equipo],$A5,tblOrdenes[anio],I$3,tblOrdenes[mes],I$4)</f>
        <v/>
      </c>
      <c r="J5" s="10">
        <f>SUMIFS(tblOrdenes[costo_total],tblOrdenes[equipo],$A5,tblOrdenes[anio],J$3,tblOrdenes[mes],J$4)</f>
        <v/>
      </c>
      <c r="K5" s="10">
        <f>SUMIFS(tblOrdenes[costo_total],tblOrdenes[equipo],$A5,tblOrdenes[anio],K$3,tblOrdenes[mes],K$4)</f>
        <v/>
      </c>
      <c r="L5" s="10">
        <f>SUM(B5:K5)</f>
        <v/>
      </c>
    </row>
    <row r="6">
      <c r="A6" s="3" t="inlineStr">
        <is>
          <t>EQ-103</t>
        </is>
      </c>
      <c r="B6" s="10">
        <f>SUMIFS(tblOrdenes[costo_total],tblOrdenes[equipo],$A6,tblOrdenes[anio],B$3,tblOrdenes[mes],B$4)</f>
        <v/>
      </c>
      <c r="C6" s="10">
        <f>SUMIFS(tblOrdenes[costo_total],tblOrdenes[equipo],$A6,tblOrdenes[anio],C$3,tblOrdenes[mes],C$4)</f>
        <v/>
      </c>
      <c r="D6" s="10">
        <f>SUMIFS(tblOrdenes[costo_total],tblOrdenes[equipo],$A6,tblOrdenes[anio],D$3,tblOrdenes[mes],D$4)</f>
        <v/>
      </c>
      <c r="E6" s="10">
        <f>SUMIFS(tblOrdenes[costo_total],tblOrdenes[equipo],$A6,tblOrdenes[anio],E$3,tblOrdenes[mes],E$4)</f>
        <v/>
      </c>
      <c r="F6" s="10">
        <f>SUMIFS(tblOrdenes[costo_total],tblOrdenes[equipo],$A6,tblOrdenes[anio],F$3,tblOrdenes[mes],F$4)</f>
        <v/>
      </c>
      <c r="G6" s="10">
        <f>SUMIFS(tblOrdenes[costo_total],tblOrdenes[equipo],$A6,tblOrdenes[anio],G$3,tblOrdenes[mes],G$4)</f>
        <v/>
      </c>
      <c r="H6" s="10">
        <f>SUMIFS(tblOrdenes[costo_total],tblOrdenes[equipo],$A6,tblOrdenes[anio],H$3,tblOrdenes[mes],H$4)</f>
        <v/>
      </c>
      <c r="I6" s="10">
        <f>SUMIFS(tblOrdenes[costo_total],tblOrdenes[equipo],$A6,tblOrdenes[anio],I$3,tblOrdenes[mes],I$4)</f>
        <v/>
      </c>
      <c r="J6" s="10">
        <f>SUMIFS(tblOrdenes[costo_total],tblOrdenes[equipo],$A6,tblOrdenes[anio],J$3,tblOrdenes[mes],J$4)</f>
        <v/>
      </c>
      <c r="K6" s="10">
        <f>SUMIFS(tblOrdenes[costo_total],tblOrdenes[equipo],$A6,tblOrdenes[anio],K$3,tblOrdenes[mes],K$4)</f>
        <v/>
      </c>
      <c r="L6" s="10">
        <f>SUM(B6:K6)</f>
        <v/>
      </c>
    </row>
    <row r="7">
      <c r="A7" s="3" t="inlineStr">
        <is>
          <t>EQ-101</t>
        </is>
      </c>
      <c r="B7" s="10">
        <f>SUMIFS(tblOrdenes[costo_total],tblOrdenes[equipo],$A7,tblOrdenes[anio],B$3,tblOrdenes[mes],B$4)</f>
        <v/>
      </c>
      <c r="C7" s="10">
        <f>SUMIFS(tblOrdenes[costo_total],tblOrdenes[equipo],$A7,tblOrdenes[anio],C$3,tblOrdenes[mes],C$4)</f>
        <v/>
      </c>
      <c r="D7" s="10">
        <f>SUMIFS(tblOrdenes[costo_total],tblOrdenes[equipo],$A7,tblOrdenes[anio],D$3,tblOrdenes[mes],D$4)</f>
        <v/>
      </c>
      <c r="E7" s="10">
        <f>SUMIFS(tblOrdenes[costo_total],tblOrdenes[equipo],$A7,tblOrdenes[anio],E$3,tblOrdenes[mes],E$4)</f>
        <v/>
      </c>
      <c r="F7" s="10">
        <f>SUMIFS(tblOrdenes[costo_total],tblOrdenes[equipo],$A7,tblOrdenes[anio],F$3,tblOrdenes[mes],F$4)</f>
        <v/>
      </c>
      <c r="G7" s="10">
        <f>SUMIFS(tblOrdenes[costo_total],tblOrdenes[equipo],$A7,tblOrdenes[anio],G$3,tblOrdenes[mes],G$4)</f>
        <v/>
      </c>
      <c r="H7" s="10">
        <f>SUMIFS(tblOrdenes[costo_total],tblOrdenes[equipo],$A7,tblOrdenes[anio],H$3,tblOrdenes[mes],H$4)</f>
        <v/>
      </c>
      <c r="I7" s="10">
        <f>SUMIFS(tblOrdenes[costo_total],tblOrdenes[equipo],$A7,tblOrdenes[anio],I$3,tblOrdenes[mes],I$4)</f>
        <v/>
      </c>
      <c r="J7" s="10">
        <f>SUMIFS(tblOrdenes[costo_total],tblOrdenes[equipo],$A7,tblOrdenes[anio],J$3,tblOrdenes[mes],J$4)</f>
        <v/>
      </c>
      <c r="K7" s="10">
        <f>SUMIFS(tblOrdenes[costo_total],tblOrdenes[equipo],$A7,tblOrdenes[anio],K$3,tblOrdenes[mes],K$4)</f>
        <v/>
      </c>
      <c r="L7" s="10">
        <f>SUM(B7:K7)</f>
        <v/>
      </c>
    </row>
    <row r="8">
      <c r="A8" s="3" t="inlineStr">
        <is>
          <t>EQ-106</t>
        </is>
      </c>
      <c r="B8" s="10">
        <f>SUMIFS(tblOrdenes[costo_total],tblOrdenes[equipo],$A8,tblOrdenes[anio],B$3,tblOrdenes[mes],B$4)</f>
        <v/>
      </c>
      <c r="C8" s="10">
        <f>SUMIFS(tblOrdenes[costo_total],tblOrdenes[equipo],$A8,tblOrdenes[anio],C$3,tblOrdenes[mes],C$4)</f>
        <v/>
      </c>
      <c r="D8" s="10">
        <f>SUMIFS(tblOrdenes[costo_total],tblOrdenes[equipo],$A8,tblOrdenes[anio],D$3,tblOrdenes[mes],D$4)</f>
        <v/>
      </c>
      <c r="E8" s="10">
        <f>SUMIFS(tblOrdenes[costo_total],tblOrdenes[equipo],$A8,tblOrdenes[anio],E$3,tblOrdenes[mes],E$4)</f>
        <v/>
      </c>
      <c r="F8" s="10">
        <f>SUMIFS(tblOrdenes[costo_total],tblOrdenes[equipo],$A8,tblOrdenes[anio],F$3,tblOrdenes[mes],F$4)</f>
        <v/>
      </c>
      <c r="G8" s="10">
        <f>SUMIFS(tblOrdenes[costo_total],tblOrdenes[equipo],$A8,tblOrdenes[anio],G$3,tblOrdenes[mes],G$4)</f>
        <v/>
      </c>
      <c r="H8" s="10">
        <f>SUMIFS(tblOrdenes[costo_total],tblOrdenes[equipo],$A8,tblOrdenes[anio],H$3,tblOrdenes[mes],H$4)</f>
        <v/>
      </c>
      <c r="I8" s="10">
        <f>SUMIFS(tblOrdenes[costo_total],tblOrdenes[equipo],$A8,tblOrdenes[anio],I$3,tblOrdenes[mes],I$4)</f>
        <v/>
      </c>
      <c r="J8" s="10">
        <f>SUMIFS(tblOrdenes[costo_total],tblOrdenes[equipo],$A8,tblOrdenes[anio],J$3,tblOrdenes[mes],J$4)</f>
        <v/>
      </c>
      <c r="K8" s="10">
        <f>SUMIFS(tblOrdenes[costo_total],tblOrdenes[equipo],$A8,tblOrdenes[anio],K$3,tblOrdenes[mes],K$4)</f>
        <v/>
      </c>
      <c r="L8" s="10">
        <f>SUM(B8:K8)</f>
        <v/>
      </c>
    </row>
    <row r="9">
      <c r="A9" s="3" t="inlineStr">
        <is>
          <t>EQ-108</t>
        </is>
      </c>
      <c r="B9" s="10">
        <f>SUMIFS(tblOrdenes[costo_total],tblOrdenes[equipo],$A9,tblOrdenes[anio],B$3,tblOrdenes[mes],B$4)</f>
        <v/>
      </c>
      <c r="C9" s="10">
        <f>SUMIFS(tblOrdenes[costo_total],tblOrdenes[equipo],$A9,tblOrdenes[anio],C$3,tblOrdenes[mes],C$4)</f>
        <v/>
      </c>
      <c r="D9" s="10">
        <f>SUMIFS(tblOrdenes[costo_total],tblOrdenes[equipo],$A9,tblOrdenes[anio],D$3,tblOrdenes[mes],D$4)</f>
        <v/>
      </c>
      <c r="E9" s="10">
        <f>SUMIFS(tblOrdenes[costo_total],tblOrdenes[equipo],$A9,tblOrdenes[anio],E$3,tblOrdenes[mes],E$4)</f>
        <v/>
      </c>
      <c r="F9" s="10">
        <f>SUMIFS(tblOrdenes[costo_total],tblOrdenes[equipo],$A9,tblOrdenes[anio],F$3,tblOrdenes[mes],F$4)</f>
        <v/>
      </c>
      <c r="G9" s="10">
        <f>SUMIFS(tblOrdenes[costo_total],tblOrdenes[equipo],$A9,tblOrdenes[anio],G$3,tblOrdenes[mes],G$4)</f>
        <v/>
      </c>
      <c r="H9" s="10">
        <f>SUMIFS(tblOrdenes[costo_total],tblOrdenes[equipo],$A9,tblOrdenes[anio],H$3,tblOrdenes[mes],H$4)</f>
        <v/>
      </c>
      <c r="I9" s="10">
        <f>SUMIFS(tblOrdenes[costo_total],tblOrdenes[equipo],$A9,tblOrdenes[anio],I$3,tblOrdenes[mes],I$4)</f>
        <v/>
      </c>
      <c r="J9" s="10">
        <f>SUMIFS(tblOrdenes[costo_total],tblOrdenes[equipo],$A9,tblOrdenes[anio],J$3,tblOrdenes[mes],J$4)</f>
        <v/>
      </c>
      <c r="K9" s="10">
        <f>SUMIFS(tblOrdenes[costo_total],tblOrdenes[equipo],$A9,tblOrdenes[anio],K$3,tblOrdenes[mes],K$4)</f>
        <v/>
      </c>
      <c r="L9" s="10">
        <f>SUM(B9:K9)</f>
        <v/>
      </c>
    </row>
    <row r="10">
      <c r="A10" s="3" t="inlineStr">
        <is>
          <t>EQ-102</t>
        </is>
      </c>
      <c r="B10" s="10">
        <f>SUMIFS(tblOrdenes[costo_total],tblOrdenes[equipo],$A10,tblOrdenes[anio],B$3,tblOrdenes[mes],B$4)</f>
        <v/>
      </c>
      <c r="C10" s="10">
        <f>SUMIFS(tblOrdenes[costo_total],tblOrdenes[equipo],$A10,tblOrdenes[anio],C$3,tblOrdenes[mes],C$4)</f>
        <v/>
      </c>
      <c r="D10" s="10">
        <f>SUMIFS(tblOrdenes[costo_total],tblOrdenes[equipo],$A10,tblOrdenes[anio],D$3,tblOrdenes[mes],D$4)</f>
        <v/>
      </c>
      <c r="E10" s="10">
        <f>SUMIFS(tblOrdenes[costo_total],tblOrdenes[equipo],$A10,tblOrdenes[anio],E$3,tblOrdenes[mes],E$4)</f>
        <v/>
      </c>
      <c r="F10" s="10">
        <f>SUMIFS(tblOrdenes[costo_total],tblOrdenes[equipo],$A10,tblOrdenes[anio],F$3,tblOrdenes[mes],F$4)</f>
        <v/>
      </c>
      <c r="G10" s="10">
        <f>SUMIFS(tblOrdenes[costo_total],tblOrdenes[equipo],$A10,tblOrdenes[anio],G$3,tblOrdenes[mes],G$4)</f>
        <v/>
      </c>
      <c r="H10" s="10">
        <f>SUMIFS(tblOrdenes[costo_total],tblOrdenes[equipo],$A10,tblOrdenes[anio],H$3,tblOrdenes[mes],H$4)</f>
        <v/>
      </c>
      <c r="I10" s="10">
        <f>SUMIFS(tblOrdenes[costo_total],tblOrdenes[equipo],$A10,tblOrdenes[anio],I$3,tblOrdenes[mes],I$4)</f>
        <v/>
      </c>
      <c r="J10" s="10">
        <f>SUMIFS(tblOrdenes[costo_total],tblOrdenes[equipo],$A10,tblOrdenes[anio],J$3,tblOrdenes[mes],J$4)</f>
        <v/>
      </c>
      <c r="K10" s="10">
        <f>SUMIFS(tblOrdenes[costo_total],tblOrdenes[equipo],$A10,tblOrdenes[anio],K$3,tblOrdenes[mes],K$4)</f>
        <v/>
      </c>
      <c r="L10" s="10">
        <f>SUM(B10:K10)</f>
        <v/>
      </c>
    </row>
    <row r="11">
      <c r="A11" s="3" t="inlineStr">
        <is>
          <t>EQ-105</t>
        </is>
      </c>
      <c r="B11" s="10">
        <f>SUMIFS(tblOrdenes[costo_total],tblOrdenes[equipo],$A11,tblOrdenes[anio],B$3,tblOrdenes[mes],B$4)</f>
        <v/>
      </c>
      <c r="C11" s="10">
        <f>SUMIFS(tblOrdenes[costo_total],tblOrdenes[equipo],$A11,tblOrdenes[anio],C$3,tblOrdenes[mes],C$4)</f>
        <v/>
      </c>
      <c r="D11" s="10">
        <f>SUMIFS(tblOrdenes[costo_total],tblOrdenes[equipo],$A11,tblOrdenes[anio],D$3,tblOrdenes[mes],D$4)</f>
        <v/>
      </c>
      <c r="E11" s="10">
        <f>SUMIFS(tblOrdenes[costo_total],tblOrdenes[equipo],$A11,tblOrdenes[anio],E$3,tblOrdenes[mes],E$4)</f>
        <v/>
      </c>
      <c r="F11" s="10">
        <f>SUMIFS(tblOrdenes[costo_total],tblOrdenes[equipo],$A11,tblOrdenes[anio],F$3,tblOrdenes[mes],F$4)</f>
        <v/>
      </c>
      <c r="G11" s="10">
        <f>SUMIFS(tblOrdenes[costo_total],tblOrdenes[equipo],$A11,tblOrdenes[anio],G$3,tblOrdenes[mes],G$4)</f>
        <v/>
      </c>
      <c r="H11" s="10">
        <f>SUMIFS(tblOrdenes[costo_total],tblOrdenes[equipo],$A11,tblOrdenes[anio],H$3,tblOrdenes[mes],H$4)</f>
        <v/>
      </c>
      <c r="I11" s="10">
        <f>SUMIFS(tblOrdenes[costo_total],tblOrdenes[equipo],$A11,tblOrdenes[anio],I$3,tblOrdenes[mes],I$4)</f>
        <v/>
      </c>
      <c r="J11" s="10">
        <f>SUMIFS(tblOrdenes[costo_total],tblOrdenes[equipo],$A11,tblOrdenes[anio],J$3,tblOrdenes[mes],J$4)</f>
        <v/>
      </c>
      <c r="K11" s="10">
        <f>SUMIFS(tblOrdenes[costo_total],tblOrdenes[equipo],$A11,tblOrdenes[anio],K$3,tblOrdenes[mes],K$4)</f>
        <v/>
      </c>
      <c r="L11" s="10">
        <f>SUM(B11:K11)</f>
        <v/>
      </c>
    </row>
    <row r="12">
      <c r="A12" s="3" t="inlineStr">
        <is>
          <t>EQ-104</t>
        </is>
      </c>
      <c r="B12" s="10">
        <f>SUMIFS(tblOrdenes[costo_total],tblOrdenes[equipo],$A12,tblOrdenes[anio],B$3,tblOrdenes[mes],B$4)</f>
        <v/>
      </c>
      <c r="C12" s="10">
        <f>SUMIFS(tblOrdenes[costo_total],tblOrdenes[equipo],$A12,tblOrdenes[anio],C$3,tblOrdenes[mes],C$4)</f>
        <v/>
      </c>
      <c r="D12" s="10">
        <f>SUMIFS(tblOrdenes[costo_total],tblOrdenes[equipo],$A12,tblOrdenes[anio],D$3,tblOrdenes[mes],D$4)</f>
        <v/>
      </c>
      <c r="E12" s="10">
        <f>SUMIFS(tblOrdenes[costo_total],tblOrdenes[equipo],$A12,tblOrdenes[anio],E$3,tblOrdenes[mes],E$4)</f>
        <v/>
      </c>
      <c r="F12" s="10">
        <f>SUMIFS(tblOrdenes[costo_total],tblOrdenes[equipo],$A12,tblOrdenes[anio],F$3,tblOrdenes[mes],F$4)</f>
        <v/>
      </c>
      <c r="G12" s="10">
        <f>SUMIFS(tblOrdenes[costo_total],tblOrdenes[equipo],$A12,tblOrdenes[anio],G$3,tblOrdenes[mes],G$4)</f>
        <v/>
      </c>
      <c r="H12" s="10">
        <f>SUMIFS(tblOrdenes[costo_total],tblOrdenes[equipo],$A12,tblOrdenes[anio],H$3,tblOrdenes[mes],H$4)</f>
        <v/>
      </c>
      <c r="I12" s="10">
        <f>SUMIFS(tblOrdenes[costo_total],tblOrdenes[equipo],$A12,tblOrdenes[anio],I$3,tblOrdenes[mes],I$4)</f>
        <v/>
      </c>
      <c r="J12" s="10">
        <f>SUMIFS(tblOrdenes[costo_total],tblOrdenes[equipo],$A12,tblOrdenes[anio],J$3,tblOrdenes[mes],J$4)</f>
        <v/>
      </c>
      <c r="K12" s="10">
        <f>SUMIFS(tblOrdenes[costo_total],tblOrdenes[equipo],$A12,tblOrdenes[anio],K$3,tblOrdenes[mes],K$4)</f>
        <v/>
      </c>
      <c r="L12" s="10">
        <f>SUM(B12:K12)</f>
        <v/>
      </c>
    </row>
    <row r="13">
      <c r="A13" s="3" t="inlineStr">
        <is>
          <t>EQ-109</t>
        </is>
      </c>
      <c r="B13" s="10">
        <f>SUMIFS(tblOrdenes[costo_total],tblOrdenes[equipo],$A13,tblOrdenes[anio],B$3,tblOrdenes[mes],B$4)</f>
        <v/>
      </c>
      <c r="C13" s="10">
        <f>SUMIFS(tblOrdenes[costo_total],tblOrdenes[equipo],$A13,tblOrdenes[anio],C$3,tblOrdenes[mes],C$4)</f>
        <v/>
      </c>
      <c r="D13" s="10">
        <f>SUMIFS(tblOrdenes[costo_total],tblOrdenes[equipo],$A13,tblOrdenes[anio],D$3,tblOrdenes[mes],D$4)</f>
        <v/>
      </c>
      <c r="E13" s="10">
        <f>SUMIFS(tblOrdenes[costo_total],tblOrdenes[equipo],$A13,tblOrdenes[anio],E$3,tblOrdenes[mes],E$4)</f>
        <v/>
      </c>
      <c r="F13" s="10">
        <f>SUMIFS(tblOrdenes[costo_total],tblOrdenes[equipo],$A13,tblOrdenes[anio],F$3,tblOrdenes[mes],F$4)</f>
        <v/>
      </c>
      <c r="G13" s="10">
        <f>SUMIFS(tblOrdenes[costo_total],tblOrdenes[equipo],$A13,tblOrdenes[anio],G$3,tblOrdenes[mes],G$4)</f>
        <v/>
      </c>
      <c r="H13" s="10">
        <f>SUMIFS(tblOrdenes[costo_total],tblOrdenes[equipo],$A13,tblOrdenes[anio],H$3,tblOrdenes[mes],H$4)</f>
        <v/>
      </c>
      <c r="I13" s="10">
        <f>SUMIFS(tblOrdenes[costo_total],tblOrdenes[equipo],$A13,tblOrdenes[anio],I$3,tblOrdenes[mes],I$4)</f>
        <v/>
      </c>
      <c r="J13" s="10">
        <f>SUMIFS(tblOrdenes[costo_total],tblOrdenes[equipo],$A13,tblOrdenes[anio],J$3,tblOrdenes[mes],J$4)</f>
        <v/>
      </c>
      <c r="K13" s="10">
        <f>SUMIFS(tblOrdenes[costo_total],tblOrdenes[equipo],$A13,tblOrdenes[anio],K$3,tblOrdenes[mes],K$4)</f>
        <v/>
      </c>
      <c r="L13" s="10">
        <f>SUM(B13:K13)</f>
        <v/>
      </c>
    </row>
    <row r="14">
      <c r="A14" s="3" t="inlineStr">
        <is>
          <t>EQ-107</t>
        </is>
      </c>
      <c r="B14" s="10">
        <f>SUMIFS(tblOrdenes[costo_total],tblOrdenes[equipo],$A14,tblOrdenes[anio],B$3,tblOrdenes[mes],B$4)</f>
        <v/>
      </c>
      <c r="C14" s="10">
        <f>SUMIFS(tblOrdenes[costo_total],tblOrdenes[equipo],$A14,tblOrdenes[anio],C$3,tblOrdenes[mes],C$4)</f>
        <v/>
      </c>
      <c r="D14" s="10">
        <f>SUMIFS(tblOrdenes[costo_total],tblOrdenes[equipo],$A14,tblOrdenes[anio],D$3,tblOrdenes[mes],D$4)</f>
        <v/>
      </c>
      <c r="E14" s="10">
        <f>SUMIFS(tblOrdenes[costo_total],tblOrdenes[equipo],$A14,tblOrdenes[anio],E$3,tblOrdenes[mes],E$4)</f>
        <v/>
      </c>
      <c r="F14" s="10">
        <f>SUMIFS(tblOrdenes[costo_total],tblOrdenes[equipo],$A14,tblOrdenes[anio],F$3,tblOrdenes[mes],F$4)</f>
        <v/>
      </c>
      <c r="G14" s="10">
        <f>SUMIFS(tblOrdenes[costo_total],tblOrdenes[equipo],$A14,tblOrdenes[anio],G$3,tblOrdenes[mes],G$4)</f>
        <v/>
      </c>
      <c r="H14" s="10">
        <f>SUMIFS(tblOrdenes[costo_total],tblOrdenes[equipo],$A14,tblOrdenes[anio],H$3,tblOrdenes[mes],H$4)</f>
        <v/>
      </c>
      <c r="I14" s="10">
        <f>SUMIFS(tblOrdenes[costo_total],tblOrdenes[equipo],$A14,tblOrdenes[anio],I$3,tblOrdenes[mes],I$4)</f>
        <v/>
      </c>
      <c r="J14" s="10">
        <f>SUMIFS(tblOrdenes[costo_total],tblOrdenes[equipo],$A14,tblOrdenes[anio],J$3,tblOrdenes[mes],J$4)</f>
        <v/>
      </c>
      <c r="K14" s="10">
        <f>SUMIFS(tblOrdenes[costo_total],tblOrdenes[equipo],$A14,tblOrdenes[anio],K$3,tblOrdenes[mes],K$4)</f>
        <v/>
      </c>
      <c r="L14" s="10">
        <f>SUM(B14:K14)</f>
        <v/>
      </c>
    </row>
    <row r="15">
      <c r="A15" s="3" t="inlineStr">
        <is>
          <t>EQ-112</t>
        </is>
      </c>
      <c r="B15" s="10">
        <f>SUMIFS(tblOrdenes[costo_total],tblOrdenes[equipo],$A15,tblOrdenes[anio],B$3,tblOrdenes[mes],B$4)</f>
        <v/>
      </c>
      <c r="C15" s="10">
        <f>SUMIFS(tblOrdenes[costo_total],tblOrdenes[equipo],$A15,tblOrdenes[anio],C$3,tblOrdenes[mes],C$4)</f>
        <v/>
      </c>
      <c r="D15" s="10">
        <f>SUMIFS(tblOrdenes[costo_total],tblOrdenes[equipo],$A15,tblOrdenes[anio],D$3,tblOrdenes[mes],D$4)</f>
        <v/>
      </c>
      <c r="E15" s="10">
        <f>SUMIFS(tblOrdenes[costo_total],tblOrdenes[equipo],$A15,tblOrdenes[anio],E$3,tblOrdenes[mes],E$4)</f>
        <v/>
      </c>
      <c r="F15" s="10">
        <f>SUMIFS(tblOrdenes[costo_total],tblOrdenes[equipo],$A15,tblOrdenes[anio],F$3,tblOrdenes[mes],F$4)</f>
        <v/>
      </c>
      <c r="G15" s="10">
        <f>SUMIFS(tblOrdenes[costo_total],tblOrdenes[equipo],$A15,tblOrdenes[anio],G$3,tblOrdenes[mes],G$4)</f>
        <v/>
      </c>
      <c r="H15" s="10">
        <f>SUMIFS(tblOrdenes[costo_total],tblOrdenes[equipo],$A15,tblOrdenes[anio],H$3,tblOrdenes[mes],H$4)</f>
        <v/>
      </c>
      <c r="I15" s="10">
        <f>SUMIFS(tblOrdenes[costo_total],tblOrdenes[equipo],$A15,tblOrdenes[anio],I$3,tblOrdenes[mes],I$4)</f>
        <v/>
      </c>
      <c r="J15" s="10">
        <f>SUMIFS(tblOrdenes[costo_total],tblOrdenes[equipo],$A15,tblOrdenes[anio],J$3,tblOrdenes[mes],J$4)</f>
        <v/>
      </c>
      <c r="K15" s="10">
        <f>SUMIFS(tblOrdenes[costo_total],tblOrdenes[equipo],$A15,tblOrdenes[anio],K$3,tblOrdenes[mes],K$4)</f>
        <v/>
      </c>
      <c r="L15" s="10">
        <f>SUM(B15:K15)</f>
        <v/>
      </c>
    </row>
    <row r="16">
      <c r="A16" s="3" t="inlineStr">
        <is>
          <t>EQ-111</t>
        </is>
      </c>
      <c r="B16" s="10">
        <f>SUMIFS(tblOrdenes[costo_total],tblOrdenes[equipo],$A16,tblOrdenes[anio],B$3,tblOrdenes[mes],B$4)</f>
        <v/>
      </c>
      <c r="C16" s="10">
        <f>SUMIFS(tblOrdenes[costo_total],tblOrdenes[equipo],$A16,tblOrdenes[anio],C$3,tblOrdenes[mes],C$4)</f>
        <v/>
      </c>
      <c r="D16" s="10">
        <f>SUMIFS(tblOrdenes[costo_total],tblOrdenes[equipo],$A16,tblOrdenes[anio],D$3,tblOrdenes[mes],D$4)</f>
        <v/>
      </c>
      <c r="E16" s="10">
        <f>SUMIFS(tblOrdenes[costo_total],tblOrdenes[equipo],$A16,tblOrdenes[anio],E$3,tblOrdenes[mes],E$4)</f>
        <v/>
      </c>
      <c r="F16" s="10">
        <f>SUMIFS(tblOrdenes[costo_total],tblOrdenes[equipo],$A16,tblOrdenes[anio],F$3,tblOrdenes[mes],F$4)</f>
        <v/>
      </c>
      <c r="G16" s="10">
        <f>SUMIFS(tblOrdenes[costo_total],tblOrdenes[equipo],$A16,tblOrdenes[anio],G$3,tblOrdenes[mes],G$4)</f>
        <v/>
      </c>
      <c r="H16" s="10">
        <f>SUMIFS(tblOrdenes[costo_total],tblOrdenes[equipo],$A16,tblOrdenes[anio],H$3,tblOrdenes[mes],H$4)</f>
        <v/>
      </c>
      <c r="I16" s="10">
        <f>SUMIFS(tblOrdenes[costo_total],tblOrdenes[equipo],$A16,tblOrdenes[anio],I$3,tblOrdenes[mes],I$4)</f>
        <v/>
      </c>
      <c r="J16" s="10">
        <f>SUMIFS(tblOrdenes[costo_total],tblOrdenes[equipo],$A16,tblOrdenes[anio],J$3,tblOrdenes[mes],J$4)</f>
        <v/>
      </c>
      <c r="K16" s="10">
        <f>SUMIFS(tblOrdenes[costo_total],tblOrdenes[equipo],$A16,tblOrdenes[anio],K$3,tblOrdenes[mes],K$4)</f>
        <v/>
      </c>
      <c r="L16" s="10">
        <f>SUM(B16:K16)</f>
        <v/>
      </c>
    </row>
    <row r="18">
      <c r="A18" s="2" t="inlineStr">
        <is>
          <t>Ordenado de mayor a menor gasto total (con los datos de ejemplo).</t>
        </is>
      </c>
    </row>
  </sheetData>
  <conditionalFormatting sqref="B5:K16">
    <cfRule type="colorScale" priority="1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62" customWidth="1" min="3" max="3"/>
  </cols>
  <sheetData>
    <row r="1">
      <c r="A1" s="1" t="inlineStr">
        <is>
          <t>VALIDACIÓN DE IMPORTACIÓN (REGLA-10) — reporta, nunca bloquea</t>
        </is>
      </c>
    </row>
    <row r="3">
      <c r="A3" s="5" t="inlineStr">
        <is>
          <t>chequeo</t>
        </is>
      </c>
      <c r="B3" s="5" t="inlineStr">
        <is>
          <t>resultado</t>
        </is>
      </c>
      <c r="C3" s="5" t="inlineStr">
        <is>
          <t>detalle</t>
        </is>
      </c>
    </row>
    <row r="4">
      <c r="A4" s="3" t="inlineStr">
        <is>
          <t>Órdenes duplicadas por id_operacion</t>
        </is>
      </c>
      <c r="B4" s="3">
        <f>SUMPRODUCT(--(tblOrdenes[id_operacion]&lt;&gt;""),--(COUNTIF(tblOrdenes[id_operacion],tblOrdenes[id_operacion])&gt;1))</f>
        <v/>
      </c>
      <c r="C4" s="2" t="inlineStr">
        <is>
          <t>Filas de ORDENES cuyo id_operacion aparece más de una vez.</t>
        </is>
      </c>
    </row>
    <row r="5">
      <c r="A5" s="3" t="inlineStr">
        <is>
          <t>Órdenes sin fecha de inicio</t>
        </is>
      </c>
      <c r="B5" s="3">
        <f>SUMPRODUCT(--(tblOrdenes[orden]&lt;&gt;""),--(tblOrdenes[fecha_inicio]=""))</f>
        <v/>
      </c>
      <c r="C5" s="2" t="inlineStr">
        <is>
          <t>Sin fecha no hay semana, backlog ni plan.</t>
        </is>
      </c>
    </row>
    <row r="6">
      <c r="A6" s="3" t="inlineStr">
        <is>
          <t>Órdenes sin horas estimadas</t>
        </is>
      </c>
      <c r="B6" s="3">
        <f>SUMPRODUCT(--(tblOrdenes[orden]&lt;&gt;""),--(tblOrdenes[horas_estimadas]=""))</f>
        <v/>
      </c>
      <c r="C6" s="2" t="inlineStr">
        <is>
          <t>No cargan el perfil de HH (REGLA-6).</t>
        </is>
      </c>
    </row>
    <row r="7">
      <c r="A7" s="3" t="inlineStr">
        <is>
          <t>Centros de costo fuera de catálogo</t>
        </is>
      </c>
      <c r="B7" s="3">
        <f>SUMPRODUCT(--(tblOrdenes[centro_costo]&lt;&gt;""),--ISNA(MATCH(tblOrdenes[centro_costo],tblCECO[codigo],0)))</f>
        <v/>
      </c>
      <c r="C7" s="2" t="inlineStr">
        <is>
          <t>Revisar CAT_CENTROS_COSTO.</t>
        </is>
      </c>
    </row>
    <row r="8">
      <c r="A8" s="3" t="inlineStr">
        <is>
          <t>Puestos de trabajo fuera de catálogo</t>
        </is>
      </c>
      <c r="B8" s="3">
        <f>SUMPRODUCT(--(tblOrdenes[puesto_trabajo]&lt;&gt;""),--ISNA(MATCH(tblOrdenes[puesto_trabajo],tblPuestos[codigo],0)))</f>
        <v/>
      </c>
      <c r="C8" s="2" t="inlineStr">
        <is>
          <t>Revisar CAT_PUESTOS.</t>
        </is>
      </c>
    </row>
    <row r="9">
      <c r="A9" s="3" t="inlineStr">
        <is>
          <t>Actividades fuera de catálogo</t>
        </is>
      </c>
      <c r="B9" s="3">
        <f>SUMPRODUCT(--(tblOrdenes[cod_actividad]&lt;&gt;""),--ISNA(MATCH(tblOrdenes[cod_actividad],tblActividades[codigo],0)))</f>
        <v/>
      </c>
      <c r="C9" s="2" t="inlineStr">
        <is>
          <t>Revisar CAT_ACTIVIDADES.</t>
        </is>
      </c>
    </row>
    <row r="10">
      <c r="A10" s="3" t="inlineStr">
        <is>
          <t>Tipos de OT fuera de catálogo (sin_clasificar)</t>
        </is>
      </c>
      <c r="B10" s="3">
        <f>SUMPRODUCT(--(tblOrdenes[tipo_ot]&lt;&gt;""),--ISNA(MATCH(tblOrdenes[tipo_ot],tblTiposOT[codigo],0)))</f>
        <v/>
      </c>
      <c r="C10" s="2" t="inlineStr">
        <is>
          <t>REGLA-1 las marca sin_clasificar; agregar el código a CAT_TIPOS_OT.</t>
        </is>
      </c>
    </row>
    <row r="11">
      <c r="A11" s="3" t="inlineStr">
        <is>
          <t>Registros de EJECUCION sin par en ORDENES</t>
        </is>
      </c>
      <c r="B11" s="3">
        <f>SUMPRODUCT(--(tblEjecucion[id_operacion]&lt;&gt;""),--ISNA(MATCH(tblEjecucion[id_operacion],tblOrdenes[id_operacion],0)))</f>
        <v/>
      </c>
      <c r="C11" s="2" t="inlineStr">
        <is>
          <t>Estados/costos que no encuentran su orden.</t>
        </is>
      </c>
    </row>
    <row r="12">
      <c r="A12" s="3" t="inlineStr">
        <is>
          <t>Órdenes sin par en EJECUCION</t>
        </is>
      </c>
      <c r="B12" s="3">
        <f>SUMPRODUCT(--(tblOrdenes[id_operacion]&lt;&gt;""),--ISNA(MATCH(tblOrdenes[id_operacion],tblEjecucion[id_operacion],0)))</f>
        <v/>
      </c>
      <c r="C12" s="2" t="inlineStr">
        <is>
          <t>Quedan como "Pendiente" (comportamiento esperado).</t>
        </is>
      </c>
    </row>
    <row r="13">
      <c r="A13" s="3" t="inlineStr">
        <is>
          <t>Órdenes con ajuste manual de horas</t>
        </is>
      </c>
      <c r="B13" s="3">
        <f>COUNTIF(tblOrdenes[horas_ajustadas],"&lt;&gt;")</f>
        <v/>
      </c>
      <c r="C13" s="2" t="inlineStr">
        <is>
          <t>horas_ajustadas informada: el cálculo usa horas_efectivas.</t>
        </is>
      </c>
    </row>
    <row r="14">
      <c r="A14" s="3" t="inlineStr">
        <is>
          <t>Desviación total de horas (ajustadas − estándar ERP)</t>
        </is>
      </c>
      <c r="B14" s="3">
        <f>SUMIFS(tblOrdenes[horas_efectivas],tblOrdenes[horas_ajustadas],"&lt;&gt;")-SUMIFS(tblOrdenes[horas_estimadas],tblOrdenes[horas_ajustadas],"&lt;&gt;")</f>
        <v/>
      </c>
      <c r="C14" s="2" t="inlineStr">
        <is>
          <t>Suma de (horas_efectivas − horas_estimadas) en las órdenes ajustadas.</t>
        </is>
      </c>
    </row>
    <row r="16">
      <c r="A16" s="2" t="inlineStr">
        <is>
          <t>La validación no bloquea: todo se importa y aquí se reporta (REGLA-10).</t>
        </is>
      </c>
    </row>
  </sheetData>
  <conditionalFormatting sqref="B4:B14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0808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Catálogo de centros de costo — se carga por empresa — editable</t>
        </is>
      </c>
    </row>
    <row r="3">
      <c r="A3" s="5" t="inlineStr">
        <is>
          <t>codigo</t>
        </is>
      </c>
      <c r="B3" s="5" t="inlineStr">
        <is>
          <t>descripcion</t>
        </is>
      </c>
      <c r="C3" s="5" t="inlineStr">
        <is>
          <t>planta</t>
        </is>
      </c>
      <c r="D3" s="5" t="inlineStr">
        <is>
          <t>area</t>
        </is>
      </c>
      <c r="E3" s="5" t="inlineStr">
        <is>
          <t>linea</t>
        </is>
      </c>
      <c r="F3" s="5" t="inlineStr">
        <is>
          <t>coordinador</t>
        </is>
      </c>
    </row>
    <row r="4">
      <c r="A4" s="6" t="inlineStr">
        <is>
          <t>CC-110</t>
        </is>
      </c>
      <c r="B4" s="6" t="inlineStr">
        <is>
          <t>Línea de producción 1</t>
        </is>
      </c>
      <c r="C4" s="6" t="inlineStr">
        <is>
          <t>PLANTA-1</t>
        </is>
      </c>
      <c r="D4" s="6" t="inlineStr">
        <is>
          <t>PRODUCCION</t>
        </is>
      </c>
      <c r="E4" s="6" t="inlineStr">
        <is>
          <t>L1</t>
        </is>
      </c>
      <c r="F4" s="6" t="inlineStr">
        <is>
          <t>Coordinador A</t>
        </is>
      </c>
    </row>
    <row r="5">
      <c r="A5" s="6" t="inlineStr">
        <is>
          <t>CC-120</t>
        </is>
      </c>
      <c r="B5" s="6" t="inlineStr">
        <is>
          <t>Línea de producción 2</t>
        </is>
      </c>
      <c r="C5" s="6" t="inlineStr">
        <is>
          <t>PLANTA-1</t>
        </is>
      </c>
      <c r="D5" s="6" t="inlineStr">
        <is>
          <t>PRODUCCION</t>
        </is>
      </c>
      <c r="E5" s="6" t="inlineStr">
        <is>
          <t>L2</t>
        </is>
      </c>
      <c r="F5" s="6" t="inlineStr">
        <is>
          <t>Coordinador A</t>
        </is>
      </c>
    </row>
    <row r="6">
      <c r="A6" s="6" t="inlineStr">
        <is>
          <t>CC-210</t>
        </is>
      </c>
      <c r="B6" s="6" t="inlineStr">
        <is>
          <t>Línea de empaque 3</t>
        </is>
      </c>
      <c r="C6" s="6" t="inlineStr">
        <is>
          <t>PLANTA-1</t>
        </is>
      </c>
      <c r="D6" s="6" t="inlineStr">
        <is>
          <t>EMPAQUE</t>
        </is>
      </c>
      <c r="E6" s="6" t="inlineStr">
        <is>
          <t>L3</t>
        </is>
      </c>
      <c r="F6" s="6" t="inlineStr">
        <is>
          <t>Coordinador B</t>
        </is>
      </c>
    </row>
    <row r="7">
      <c r="A7" s="6" t="inlineStr">
        <is>
          <t>CC-220</t>
        </is>
      </c>
      <c r="B7" s="6" t="inlineStr">
        <is>
          <t>Línea de empaque 4</t>
        </is>
      </c>
      <c r="C7" s="6" t="inlineStr">
        <is>
          <t>PLANTA-1</t>
        </is>
      </c>
      <c r="D7" s="6" t="inlineStr">
        <is>
          <t>EMPAQUE</t>
        </is>
      </c>
      <c r="E7" s="6" t="inlineStr">
        <is>
          <t>L4</t>
        </is>
      </c>
      <c r="F7" s="6" t="inlineStr">
        <is>
          <t>Coordinador B</t>
        </is>
      </c>
    </row>
    <row r="8">
      <c r="A8" s="6" t="inlineStr">
        <is>
          <t>CC-310</t>
        </is>
      </c>
      <c r="B8" s="6" t="inlineStr">
        <is>
          <t>Servicios generales</t>
        </is>
      </c>
      <c r="C8" s="6" t="inlineStr">
        <is>
          <t>PLANTA-1</t>
        </is>
      </c>
      <c r="D8" s="6" t="inlineStr">
        <is>
          <t>SERVICIOS</t>
        </is>
      </c>
      <c r="E8" s="6" t="inlineStr">
        <is>
          <t>SG</t>
        </is>
      </c>
      <c r="F8" s="6" t="inlineStr">
        <is>
          <t>Coordinador C</t>
        </is>
      </c>
    </row>
    <row r="9">
      <c r="A9" s="6" t="inlineStr">
        <is>
          <t>CC-320</t>
        </is>
      </c>
      <c r="B9" s="6" t="inlineStr">
        <is>
          <t>Taller central</t>
        </is>
      </c>
      <c r="C9" s="6" t="inlineStr">
        <is>
          <t>PLANTA-1</t>
        </is>
      </c>
      <c r="D9" s="6" t="inlineStr">
        <is>
          <t>SERVICIOS</t>
        </is>
      </c>
      <c r="E9" s="6" t="inlineStr">
        <is>
          <t>TC</t>
        </is>
      </c>
      <c r="F9" s="6" t="inlineStr">
        <is>
          <t>Coordinador 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4" t="inlineStr">
        <is>
          <t>Catálogo de puestos de trabajo → especialidad — editable</t>
        </is>
      </c>
    </row>
    <row r="3">
      <c r="A3" s="5" t="inlineStr">
        <is>
          <t>codigo</t>
        </is>
      </c>
      <c r="B3" s="5" t="inlineStr">
        <is>
          <t>especialidad</t>
        </is>
      </c>
      <c r="C3" s="5" t="inlineStr">
        <is>
          <t>descripcion</t>
        </is>
      </c>
    </row>
    <row r="4">
      <c r="A4" s="6" t="inlineStr">
        <is>
          <t>PU-MEC</t>
        </is>
      </c>
      <c r="B4" s="6" t="inlineStr">
        <is>
          <t>MEC</t>
        </is>
      </c>
      <c r="C4" s="6" t="inlineStr">
        <is>
          <t>Puesto mecánico</t>
        </is>
      </c>
    </row>
    <row r="5">
      <c r="A5" s="6" t="inlineStr">
        <is>
          <t>PU-ELE</t>
        </is>
      </c>
      <c r="B5" s="6" t="inlineStr">
        <is>
          <t>ELE</t>
        </is>
      </c>
      <c r="C5" s="6" t="inlineStr">
        <is>
          <t>Puesto eléctrico</t>
        </is>
      </c>
    </row>
    <row r="6">
      <c r="A6" s="6" t="inlineStr">
        <is>
          <t>PU-AUT</t>
        </is>
      </c>
      <c r="B6" s="6" t="inlineStr">
        <is>
          <t>AUT</t>
        </is>
      </c>
      <c r="C6" s="6" t="inlineStr">
        <is>
          <t>Puesto automatización</t>
        </is>
      </c>
    </row>
    <row r="7">
      <c r="A7" s="6" t="inlineStr">
        <is>
          <t>PU-OP</t>
        </is>
      </c>
      <c r="B7" s="6" t="inlineStr">
        <is>
          <t>OP</t>
        </is>
      </c>
      <c r="C7" s="6" t="inlineStr">
        <is>
          <t>Puesto operaciones</t>
        </is>
      </c>
    </row>
    <row r="8">
      <c r="A8" s="6" t="inlineStr">
        <is>
          <t>PU-TER</t>
        </is>
      </c>
      <c r="B8" s="6" t="inlineStr">
        <is>
          <t>TERCERO</t>
        </is>
      </c>
      <c r="C8" s="6" t="inlineStr">
        <is>
          <t>Contratista externo</t>
        </is>
      </c>
    </row>
  </sheetData>
  <dataValidations count="1">
    <dataValidation sqref="B4:B8" showDropDown="0" showInputMessage="0" showErrorMessage="0" allowBlank="0" type="list">
      <formula1>"ELE,MEC,AUT,OP,TERCERO"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4" t="inlineStr">
        <is>
          <t>Catálogo de actividades — editable</t>
        </is>
      </c>
    </row>
    <row r="3">
      <c r="A3" s="5" t="inlineStr">
        <is>
          <t>codigo</t>
        </is>
      </c>
      <c r="B3" s="5" t="inlineStr">
        <is>
          <t>descripcion</t>
        </is>
      </c>
      <c r="C3" s="5" t="inlineStr">
        <is>
          <t>tipo</t>
        </is>
      </c>
    </row>
    <row r="4">
      <c r="A4" s="6" t="inlineStr">
        <is>
          <t>ACT-01</t>
        </is>
      </c>
      <c r="B4" s="6" t="inlineStr">
        <is>
          <t>Inspección de rutina</t>
        </is>
      </c>
      <c r="C4" s="6" t="inlineStr">
        <is>
          <t>preventivo</t>
        </is>
      </c>
    </row>
    <row r="5">
      <c r="A5" s="6" t="inlineStr">
        <is>
          <t>ACT-02</t>
        </is>
      </c>
      <c r="B5" s="6" t="inlineStr">
        <is>
          <t>Lubricación programada</t>
        </is>
      </c>
      <c r="C5" s="6" t="inlineStr">
        <is>
          <t>preventivo</t>
        </is>
      </c>
    </row>
    <row r="6">
      <c r="A6" s="6" t="inlineStr">
        <is>
          <t>ACT-03</t>
        </is>
      </c>
      <c r="B6" s="6" t="inlineStr">
        <is>
          <t>Reparación de falla</t>
        </is>
      </c>
      <c r="C6" s="6" t="inlineStr">
        <is>
          <t>correctivo</t>
        </is>
      </c>
    </row>
    <row r="7">
      <c r="A7" s="6" t="inlineStr">
        <is>
          <t>ACT-04</t>
        </is>
      </c>
      <c r="B7" s="6" t="inlineStr">
        <is>
          <t>Análisis predictivo</t>
        </is>
      </c>
      <c r="C7" s="6" t="inlineStr">
        <is>
          <t>predictivo</t>
        </is>
      </c>
    </row>
    <row r="8">
      <c r="A8" s="6" t="inlineStr">
        <is>
          <t>ACT-05</t>
        </is>
      </c>
      <c r="B8" s="6" t="inlineStr">
        <is>
          <t>Certificación legal</t>
        </is>
      </c>
      <c r="C8" s="6" t="inlineStr">
        <is>
          <t>legal</t>
        </is>
      </c>
    </row>
  </sheetData>
  <dataValidations count="1">
    <dataValidation sqref="C4:C8" showDropDown="0" showInputMessage="0" showErrorMessage="0" allowBlank="0" type="list">
      <formula1>"correctivo,preventivo,predictivo,legal"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808080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4" t="inlineStr">
        <is>
          <t>Traducción de tipos de OT del ERP → preventiva/correctiva (REGLA-1) — editable</t>
        </is>
      </c>
    </row>
    <row r="3">
      <c r="A3" s="5" t="inlineStr">
        <is>
          <t>codigo</t>
        </is>
      </c>
      <c r="B3" s="5" t="inlineStr">
        <is>
          <t>descripcion</t>
        </is>
      </c>
      <c r="C3" s="5" t="inlineStr">
        <is>
          <t>clasificacion</t>
        </is>
      </c>
    </row>
    <row r="4">
      <c r="A4" s="6" t="inlineStr">
        <is>
          <t>TIPO-P1</t>
        </is>
      </c>
      <c r="B4" s="6" t="inlineStr">
        <is>
          <t>Orden preventiva programada</t>
        </is>
      </c>
      <c r="C4" s="6" t="inlineStr">
        <is>
          <t>preventiva</t>
        </is>
      </c>
    </row>
    <row r="5">
      <c r="A5" s="6" t="inlineStr">
        <is>
          <t>TIPO-P2</t>
        </is>
      </c>
      <c r="B5" s="6" t="inlineStr">
        <is>
          <t>Orden preventiva legal/predictiva</t>
        </is>
      </c>
      <c r="C5" s="6" t="inlineStr">
        <is>
          <t>preventiva</t>
        </is>
      </c>
    </row>
    <row r="6">
      <c r="A6" s="6" t="inlineStr">
        <is>
          <t>TIPO-C1</t>
        </is>
      </c>
      <c r="B6" s="6" t="inlineStr">
        <is>
          <t>Orden correctiva planificada</t>
        </is>
      </c>
      <c r="C6" s="6" t="inlineStr">
        <is>
          <t>correctiva</t>
        </is>
      </c>
    </row>
    <row r="7">
      <c r="A7" s="6" t="inlineStr">
        <is>
          <t>TIPO-C2</t>
        </is>
      </c>
      <c r="B7" s="6" t="inlineStr">
        <is>
          <t>Orden correctiva de emergencia</t>
        </is>
      </c>
      <c r="C7" s="6" t="inlineStr">
        <is>
          <t>correctiva</t>
        </is>
      </c>
    </row>
  </sheetData>
  <dataValidations count="1">
    <dataValidation sqref="C4:C7" showDropDown="0" showInputMessage="0" showErrorMessage="0" allowBlank="0" type="list">
      <formula1>"preventiva,correctiva"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80808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4" t="inlineStr">
        <is>
          <t>Traducción de estados del ERP → Cerrada/Pendiente — editable</t>
        </is>
      </c>
    </row>
    <row r="3">
      <c r="A3" s="5" t="inlineStr">
        <is>
          <t>estado_sistema</t>
        </is>
      </c>
      <c r="B3" s="5" t="inlineStr">
        <is>
          <t>estado_normalizado</t>
        </is>
      </c>
    </row>
    <row r="4">
      <c r="A4" s="6" t="inlineStr">
        <is>
          <t>CERR</t>
        </is>
      </c>
      <c r="B4" s="6" t="inlineStr">
        <is>
          <t>Cerrada</t>
        </is>
      </c>
    </row>
    <row r="5">
      <c r="A5" s="6" t="inlineStr">
        <is>
          <t>LIB</t>
        </is>
      </c>
      <c r="B5" s="6" t="inlineStr">
        <is>
          <t>Pendiente</t>
        </is>
      </c>
    </row>
    <row r="6">
      <c r="A6" s="6" t="inlineStr">
        <is>
          <t>EJEC</t>
        </is>
      </c>
      <c r="B6" s="6" t="inlineStr">
        <is>
          <t>Pendiente</t>
        </is>
      </c>
    </row>
    <row r="7">
      <c r="A7" s="6" t="inlineStr">
        <is>
          <t>ABIE</t>
        </is>
      </c>
      <c r="B7" s="6" t="inlineStr">
        <is>
          <t>Pendiente</t>
        </is>
      </c>
    </row>
  </sheetData>
  <dataValidations count="1">
    <dataValidation sqref="B4:B7" showDropDown="0" showInputMessage="0" showErrorMessage="0" allowBlank="0" type="list">
      <formula1>"Cerrada,Pendiente"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ED7D31"/>
    <outlinePr summaryBelow="1" summaryRight="1"/>
    <pageSetUpPr/>
  </sheetPr>
  <dimension ref="A1:K1207"/>
  <sheetViews>
    <sheetView workbookViewId="0">
      <selection activeCell="A1" sqref="A1"/>
    </sheetView>
  </sheetViews>
  <sheetFormatPr baseColWidth="8" defaultRowHeight="15"/>
  <cols>
    <col width="60" customWidth="1" min="11" max="11"/>
  </cols>
  <sheetData>
    <row r="1">
      <c r="A1" s="1" t="inlineStr">
        <is>
          <t>EXPORTAR — texto del plan listo para copiar en un correo (sin macros)</t>
        </is>
      </c>
    </row>
    <row r="3">
      <c r="A3" s="4" t="inlineStr">
        <is>
          <t>semana:</t>
        </is>
      </c>
      <c r="B3" s="16" t="inlineStr">
        <is>
          <t>2026-S30</t>
        </is>
      </c>
      <c r="C3" s="4" t="inlineStr">
        <is>
          <t>turno:</t>
        </is>
      </c>
      <c r="D3" s="16" t="inlineStr">
        <is>
          <t>(todos)</t>
        </is>
      </c>
      <c r="E3" s="4" t="inlineStr">
        <is>
          <t>coordinador:</t>
        </is>
      </c>
      <c r="F3" s="16" t="inlineStr">
        <is>
          <t>(todos)</t>
        </is>
      </c>
    </row>
    <row r="5">
      <c r="A5" s="4" t="inlineStr">
        <is>
          <t>texto (seleccione la celda A6, copie y pegue):</t>
        </is>
      </c>
    </row>
    <row r="6">
      <c r="A6" s="18">
        <f>"PLAN "&amp;$B$3&amp;" | turno: "&amp;$D$3&amp;" | coordinador: "&amp;$F$3&amp;CHAR(10)&amp;_xlfn.TEXTJOIN(CHAR(10),TRUE,$K$8:$K$1207)</f>
        <v/>
      </c>
    </row>
    <row r="7">
      <c r="K7" s="2" t="inlineStr">
        <is>
          <t>columna auxiliar del armado del texto — no editar</t>
        </is>
      </c>
    </row>
    <row r="8">
      <c r="K8" s="3">
        <f>IF(AND(IF($B$3="(todos)",TRUE,'ORDENES'!$P4=$B$3),IF($D$3="(todos)",TRUE,'ORDENES'!$AD4=$D$3),IF($F$3="(todos)",TRUE,'ORDENES'!$W4=$F$3),'ORDENES'!$AB4=TRUE),'ORDENES'!$AO4&amp;" | "&amp;'ORDENES'!$S4&amp;" | "&amp;IF('ORDENES'!$AC4="","(sin técnico)",'ORDENES'!$AC4)&amp;" | "&amp;'ORDENES'!$D4&amp;" ("&amp;'ORDENES'!$N4&amp;" h)","")</f>
        <v/>
      </c>
    </row>
    <row r="9">
      <c r="K9" s="3">
        <f>IF(AND(IF($B$3="(todos)",TRUE,'ORDENES'!$P5=$B$3),IF($D$3="(todos)",TRUE,'ORDENES'!$AD5=$D$3),IF($F$3="(todos)",TRUE,'ORDENES'!$W5=$F$3),'ORDENES'!$AB5=TRUE),'ORDENES'!$AO5&amp;" | "&amp;'ORDENES'!$S5&amp;" | "&amp;IF('ORDENES'!$AC5="","(sin técnico)",'ORDENES'!$AC5)&amp;" | "&amp;'ORDENES'!$D5&amp;" ("&amp;'ORDENES'!$N5&amp;" h)","")</f>
        <v/>
      </c>
    </row>
    <row r="10">
      <c r="K10" s="3">
        <f>IF(AND(IF($B$3="(todos)",TRUE,'ORDENES'!$P6=$B$3),IF($D$3="(todos)",TRUE,'ORDENES'!$AD6=$D$3),IF($F$3="(todos)",TRUE,'ORDENES'!$W6=$F$3),'ORDENES'!$AB6=TRUE),'ORDENES'!$AO6&amp;" | "&amp;'ORDENES'!$S6&amp;" | "&amp;IF('ORDENES'!$AC6="","(sin técnico)",'ORDENES'!$AC6)&amp;" | "&amp;'ORDENES'!$D6&amp;" ("&amp;'ORDENES'!$N6&amp;" h)","")</f>
        <v/>
      </c>
    </row>
    <row r="11">
      <c r="K11" s="3">
        <f>IF(AND(IF($B$3="(todos)",TRUE,'ORDENES'!$P7=$B$3),IF($D$3="(todos)",TRUE,'ORDENES'!$AD7=$D$3),IF($F$3="(todos)",TRUE,'ORDENES'!$W7=$F$3),'ORDENES'!$AB7=TRUE),'ORDENES'!$AO7&amp;" | "&amp;'ORDENES'!$S7&amp;" | "&amp;IF('ORDENES'!$AC7="","(sin técnico)",'ORDENES'!$AC7)&amp;" | "&amp;'ORDENES'!$D7&amp;" ("&amp;'ORDENES'!$N7&amp;" h)","")</f>
        <v/>
      </c>
    </row>
    <row r="12">
      <c r="K12" s="3">
        <f>IF(AND(IF($B$3="(todos)",TRUE,'ORDENES'!$P8=$B$3),IF($D$3="(todos)",TRUE,'ORDENES'!$AD8=$D$3),IF($F$3="(todos)",TRUE,'ORDENES'!$W8=$F$3),'ORDENES'!$AB8=TRUE),'ORDENES'!$AO8&amp;" | "&amp;'ORDENES'!$S8&amp;" | "&amp;IF('ORDENES'!$AC8="","(sin técnico)",'ORDENES'!$AC8)&amp;" | "&amp;'ORDENES'!$D8&amp;" ("&amp;'ORDENES'!$N8&amp;" h)","")</f>
        <v/>
      </c>
    </row>
    <row r="13">
      <c r="K13" s="3">
        <f>IF(AND(IF($B$3="(todos)",TRUE,'ORDENES'!$P9=$B$3),IF($D$3="(todos)",TRUE,'ORDENES'!$AD9=$D$3),IF($F$3="(todos)",TRUE,'ORDENES'!$W9=$F$3),'ORDENES'!$AB9=TRUE),'ORDENES'!$AO9&amp;" | "&amp;'ORDENES'!$S9&amp;" | "&amp;IF('ORDENES'!$AC9="","(sin técnico)",'ORDENES'!$AC9)&amp;" | "&amp;'ORDENES'!$D9&amp;" ("&amp;'ORDENES'!$N9&amp;" h)","")</f>
        <v/>
      </c>
    </row>
    <row r="14">
      <c r="K14" s="3">
        <f>IF(AND(IF($B$3="(todos)",TRUE,'ORDENES'!$P10=$B$3),IF($D$3="(todos)",TRUE,'ORDENES'!$AD10=$D$3),IF($F$3="(todos)",TRUE,'ORDENES'!$W10=$F$3),'ORDENES'!$AB10=TRUE),'ORDENES'!$AO10&amp;" | "&amp;'ORDENES'!$S10&amp;" | "&amp;IF('ORDENES'!$AC10="","(sin técnico)",'ORDENES'!$AC10)&amp;" | "&amp;'ORDENES'!$D10&amp;" ("&amp;'ORDENES'!$N10&amp;" h)","")</f>
        <v/>
      </c>
    </row>
    <row r="15">
      <c r="K15" s="3">
        <f>IF(AND(IF($B$3="(todos)",TRUE,'ORDENES'!$P11=$B$3),IF($D$3="(todos)",TRUE,'ORDENES'!$AD11=$D$3),IF($F$3="(todos)",TRUE,'ORDENES'!$W11=$F$3),'ORDENES'!$AB11=TRUE),'ORDENES'!$AO11&amp;" | "&amp;'ORDENES'!$S11&amp;" | "&amp;IF('ORDENES'!$AC11="","(sin técnico)",'ORDENES'!$AC11)&amp;" | "&amp;'ORDENES'!$D11&amp;" ("&amp;'ORDENES'!$N11&amp;" h)","")</f>
        <v/>
      </c>
    </row>
    <row r="16">
      <c r="K16" s="3">
        <f>IF(AND(IF($B$3="(todos)",TRUE,'ORDENES'!$P12=$B$3),IF($D$3="(todos)",TRUE,'ORDENES'!$AD12=$D$3),IF($F$3="(todos)",TRUE,'ORDENES'!$W12=$F$3),'ORDENES'!$AB12=TRUE),'ORDENES'!$AO12&amp;" | "&amp;'ORDENES'!$S12&amp;" | "&amp;IF('ORDENES'!$AC12="","(sin técnico)",'ORDENES'!$AC12)&amp;" | "&amp;'ORDENES'!$D12&amp;" ("&amp;'ORDENES'!$N12&amp;" h)","")</f>
        <v/>
      </c>
    </row>
    <row r="17">
      <c r="K17" s="3">
        <f>IF(AND(IF($B$3="(todos)",TRUE,'ORDENES'!$P13=$B$3),IF($D$3="(todos)",TRUE,'ORDENES'!$AD13=$D$3),IF($F$3="(todos)",TRUE,'ORDENES'!$W13=$F$3),'ORDENES'!$AB13=TRUE),'ORDENES'!$AO13&amp;" | "&amp;'ORDENES'!$S13&amp;" | "&amp;IF('ORDENES'!$AC13="","(sin técnico)",'ORDENES'!$AC13)&amp;" | "&amp;'ORDENES'!$D13&amp;" ("&amp;'ORDENES'!$N13&amp;" h)","")</f>
        <v/>
      </c>
    </row>
    <row r="18">
      <c r="K18" s="3">
        <f>IF(AND(IF($B$3="(todos)",TRUE,'ORDENES'!$P14=$B$3),IF($D$3="(todos)",TRUE,'ORDENES'!$AD14=$D$3),IF($F$3="(todos)",TRUE,'ORDENES'!$W14=$F$3),'ORDENES'!$AB14=TRUE),'ORDENES'!$AO14&amp;" | "&amp;'ORDENES'!$S14&amp;" | "&amp;IF('ORDENES'!$AC14="","(sin técnico)",'ORDENES'!$AC14)&amp;" | "&amp;'ORDENES'!$D14&amp;" ("&amp;'ORDENES'!$N14&amp;" h)","")</f>
        <v/>
      </c>
    </row>
    <row r="19">
      <c r="K19" s="3">
        <f>IF(AND(IF($B$3="(todos)",TRUE,'ORDENES'!$P15=$B$3),IF($D$3="(todos)",TRUE,'ORDENES'!$AD15=$D$3),IF($F$3="(todos)",TRUE,'ORDENES'!$W15=$F$3),'ORDENES'!$AB15=TRUE),'ORDENES'!$AO15&amp;" | "&amp;'ORDENES'!$S15&amp;" | "&amp;IF('ORDENES'!$AC15="","(sin técnico)",'ORDENES'!$AC15)&amp;" | "&amp;'ORDENES'!$D15&amp;" ("&amp;'ORDENES'!$N15&amp;" h)","")</f>
        <v/>
      </c>
    </row>
    <row r="20">
      <c r="K20" s="3">
        <f>IF(AND(IF($B$3="(todos)",TRUE,'ORDENES'!$P16=$B$3),IF($D$3="(todos)",TRUE,'ORDENES'!$AD16=$D$3),IF($F$3="(todos)",TRUE,'ORDENES'!$W16=$F$3),'ORDENES'!$AB16=TRUE),'ORDENES'!$AO16&amp;" | "&amp;'ORDENES'!$S16&amp;" | "&amp;IF('ORDENES'!$AC16="","(sin técnico)",'ORDENES'!$AC16)&amp;" | "&amp;'ORDENES'!$D16&amp;" ("&amp;'ORDENES'!$N16&amp;" h)","")</f>
        <v/>
      </c>
    </row>
    <row r="21">
      <c r="K21" s="3">
        <f>IF(AND(IF($B$3="(todos)",TRUE,'ORDENES'!$P17=$B$3),IF($D$3="(todos)",TRUE,'ORDENES'!$AD17=$D$3),IF($F$3="(todos)",TRUE,'ORDENES'!$W17=$F$3),'ORDENES'!$AB17=TRUE),'ORDENES'!$AO17&amp;" | "&amp;'ORDENES'!$S17&amp;" | "&amp;IF('ORDENES'!$AC17="","(sin técnico)",'ORDENES'!$AC17)&amp;" | "&amp;'ORDENES'!$D17&amp;" ("&amp;'ORDENES'!$N17&amp;" h)","")</f>
        <v/>
      </c>
    </row>
    <row r="22">
      <c r="K22" s="3">
        <f>IF(AND(IF($B$3="(todos)",TRUE,'ORDENES'!$P18=$B$3),IF($D$3="(todos)",TRUE,'ORDENES'!$AD18=$D$3),IF($F$3="(todos)",TRUE,'ORDENES'!$W18=$F$3),'ORDENES'!$AB18=TRUE),'ORDENES'!$AO18&amp;" | "&amp;'ORDENES'!$S18&amp;" | "&amp;IF('ORDENES'!$AC18="","(sin técnico)",'ORDENES'!$AC18)&amp;" | "&amp;'ORDENES'!$D18&amp;" ("&amp;'ORDENES'!$N18&amp;" h)","")</f>
        <v/>
      </c>
    </row>
    <row r="23">
      <c r="K23" s="3">
        <f>IF(AND(IF($B$3="(todos)",TRUE,'ORDENES'!$P19=$B$3),IF($D$3="(todos)",TRUE,'ORDENES'!$AD19=$D$3),IF($F$3="(todos)",TRUE,'ORDENES'!$W19=$F$3),'ORDENES'!$AB19=TRUE),'ORDENES'!$AO19&amp;" | "&amp;'ORDENES'!$S19&amp;" | "&amp;IF('ORDENES'!$AC19="","(sin técnico)",'ORDENES'!$AC19)&amp;" | "&amp;'ORDENES'!$D19&amp;" ("&amp;'ORDENES'!$N19&amp;" h)","")</f>
        <v/>
      </c>
    </row>
    <row r="24">
      <c r="K24" s="3">
        <f>IF(AND(IF($B$3="(todos)",TRUE,'ORDENES'!$P20=$B$3),IF($D$3="(todos)",TRUE,'ORDENES'!$AD20=$D$3),IF($F$3="(todos)",TRUE,'ORDENES'!$W20=$F$3),'ORDENES'!$AB20=TRUE),'ORDENES'!$AO20&amp;" | "&amp;'ORDENES'!$S20&amp;" | "&amp;IF('ORDENES'!$AC20="","(sin técnico)",'ORDENES'!$AC20)&amp;" | "&amp;'ORDENES'!$D20&amp;" ("&amp;'ORDENES'!$N20&amp;" h)","")</f>
        <v/>
      </c>
    </row>
    <row r="25">
      <c r="K25" s="3">
        <f>IF(AND(IF($B$3="(todos)",TRUE,'ORDENES'!$P21=$B$3),IF($D$3="(todos)",TRUE,'ORDENES'!$AD21=$D$3),IF($F$3="(todos)",TRUE,'ORDENES'!$W21=$F$3),'ORDENES'!$AB21=TRUE),'ORDENES'!$AO21&amp;" | "&amp;'ORDENES'!$S21&amp;" | "&amp;IF('ORDENES'!$AC21="","(sin técnico)",'ORDENES'!$AC21)&amp;" | "&amp;'ORDENES'!$D21&amp;" ("&amp;'ORDENES'!$N21&amp;" h)","")</f>
        <v/>
      </c>
    </row>
    <row r="26">
      <c r="K26" s="3">
        <f>IF(AND(IF($B$3="(todos)",TRUE,'ORDENES'!$P22=$B$3),IF($D$3="(todos)",TRUE,'ORDENES'!$AD22=$D$3),IF($F$3="(todos)",TRUE,'ORDENES'!$W22=$F$3),'ORDENES'!$AB22=TRUE),'ORDENES'!$AO22&amp;" | "&amp;'ORDENES'!$S22&amp;" | "&amp;IF('ORDENES'!$AC22="","(sin técnico)",'ORDENES'!$AC22)&amp;" | "&amp;'ORDENES'!$D22&amp;" ("&amp;'ORDENES'!$N22&amp;" h)","")</f>
        <v/>
      </c>
    </row>
    <row r="27">
      <c r="K27" s="3">
        <f>IF(AND(IF($B$3="(todos)",TRUE,'ORDENES'!$P23=$B$3),IF($D$3="(todos)",TRUE,'ORDENES'!$AD23=$D$3),IF($F$3="(todos)",TRUE,'ORDENES'!$W23=$F$3),'ORDENES'!$AB23=TRUE),'ORDENES'!$AO23&amp;" | "&amp;'ORDENES'!$S23&amp;" | "&amp;IF('ORDENES'!$AC23="","(sin técnico)",'ORDENES'!$AC23)&amp;" | "&amp;'ORDENES'!$D23&amp;" ("&amp;'ORDENES'!$N23&amp;" h)","")</f>
        <v/>
      </c>
    </row>
    <row r="28">
      <c r="K28" s="3">
        <f>IF(AND(IF($B$3="(todos)",TRUE,'ORDENES'!$P24=$B$3),IF($D$3="(todos)",TRUE,'ORDENES'!$AD24=$D$3),IF($F$3="(todos)",TRUE,'ORDENES'!$W24=$F$3),'ORDENES'!$AB24=TRUE),'ORDENES'!$AO24&amp;" | "&amp;'ORDENES'!$S24&amp;" | "&amp;IF('ORDENES'!$AC24="","(sin técnico)",'ORDENES'!$AC24)&amp;" | "&amp;'ORDENES'!$D24&amp;" ("&amp;'ORDENES'!$N24&amp;" h)","")</f>
        <v/>
      </c>
    </row>
    <row r="29">
      <c r="K29" s="3">
        <f>IF(AND(IF($B$3="(todos)",TRUE,'ORDENES'!$P25=$B$3),IF($D$3="(todos)",TRUE,'ORDENES'!$AD25=$D$3),IF($F$3="(todos)",TRUE,'ORDENES'!$W25=$F$3),'ORDENES'!$AB25=TRUE),'ORDENES'!$AO25&amp;" | "&amp;'ORDENES'!$S25&amp;" | "&amp;IF('ORDENES'!$AC25="","(sin técnico)",'ORDENES'!$AC25)&amp;" | "&amp;'ORDENES'!$D25&amp;" ("&amp;'ORDENES'!$N25&amp;" h)","")</f>
        <v/>
      </c>
    </row>
    <row r="30">
      <c r="K30" s="3">
        <f>IF(AND(IF($B$3="(todos)",TRUE,'ORDENES'!$P26=$B$3),IF($D$3="(todos)",TRUE,'ORDENES'!$AD26=$D$3),IF($F$3="(todos)",TRUE,'ORDENES'!$W26=$F$3),'ORDENES'!$AB26=TRUE),'ORDENES'!$AO26&amp;" | "&amp;'ORDENES'!$S26&amp;" | "&amp;IF('ORDENES'!$AC26="","(sin técnico)",'ORDENES'!$AC26)&amp;" | "&amp;'ORDENES'!$D26&amp;" ("&amp;'ORDENES'!$N26&amp;" h)","")</f>
        <v/>
      </c>
    </row>
    <row r="31">
      <c r="K31" s="3">
        <f>IF(AND(IF($B$3="(todos)",TRUE,'ORDENES'!$P27=$B$3),IF($D$3="(todos)",TRUE,'ORDENES'!$AD27=$D$3),IF($F$3="(todos)",TRUE,'ORDENES'!$W27=$F$3),'ORDENES'!$AB27=TRUE),'ORDENES'!$AO27&amp;" | "&amp;'ORDENES'!$S27&amp;" | "&amp;IF('ORDENES'!$AC27="","(sin técnico)",'ORDENES'!$AC27)&amp;" | "&amp;'ORDENES'!$D27&amp;" ("&amp;'ORDENES'!$N27&amp;" h)","")</f>
        <v/>
      </c>
    </row>
    <row r="32">
      <c r="K32" s="3">
        <f>IF(AND(IF($B$3="(todos)",TRUE,'ORDENES'!$P28=$B$3),IF($D$3="(todos)",TRUE,'ORDENES'!$AD28=$D$3),IF($F$3="(todos)",TRUE,'ORDENES'!$W28=$F$3),'ORDENES'!$AB28=TRUE),'ORDENES'!$AO28&amp;" | "&amp;'ORDENES'!$S28&amp;" | "&amp;IF('ORDENES'!$AC28="","(sin técnico)",'ORDENES'!$AC28)&amp;" | "&amp;'ORDENES'!$D28&amp;" ("&amp;'ORDENES'!$N28&amp;" h)","")</f>
        <v/>
      </c>
    </row>
    <row r="33">
      <c r="K33" s="3">
        <f>IF(AND(IF($B$3="(todos)",TRUE,'ORDENES'!$P29=$B$3),IF($D$3="(todos)",TRUE,'ORDENES'!$AD29=$D$3),IF($F$3="(todos)",TRUE,'ORDENES'!$W29=$F$3),'ORDENES'!$AB29=TRUE),'ORDENES'!$AO29&amp;" | "&amp;'ORDENES'!$S29&amp;" | "&amp;IF('ORDENES'!$AC29="","(sin técnico)",'ORDENES'!$AC29)&amp;" | "&amp;'ORDENES'!$D29&amp;" ("&amp;'ORDENES'!$N29&amp;" h)","")</f>
        <v/>
      </c>
    </row>
    <row r="34">
      <c r="K34" s="3">
        <f>IF(AND(IF($B$3="(todos)",TRUE,'ORDENES'!$P30=$B$3),IF($D$3="(todos)",TRUE,'ORDENES'!$AD30=$D$3),IF($F$3="(todos)",TRUE,'ORDENES'!$W30=$F$3),'ORDENES'!$AB30=TRUE),'ORDENES'!$AO30&amp;" | "&amp;'ORDENES'!$S30&amp;" | "&amp;IF('ORDENES'!$AC30="","(sin técnico)",'ORDENES'!$AC30)&amp;" | "&amp;'ORDENES'!$D30&amp;" ("&amp;'ORDENES'!$N30&amp;" h)","")</f>
        <v/>
      </c>
    </row>
    <row r="35">
      <c r="K35" s="3">
        <f>IF(AND(IF($B$3="(todos)",TRUE,'ORDENES'!$P31=$B$3),IF($D$3="(todos)",TRUE,'ORDENES'!$AD31=$D$3),IF($F$3="(todos)",TRUE,'ORDENES'!$W31=$F$3),'ORDENES'!$AB31=TRUE),'ORDENES'!$AO31&amp;" | "&amp;'ORDENES'!$S31&amp;" | "&amp;IF('ORDENES'!$AC31="","(sin técnico)",'ORDENES'!$AC31)&amp;" | "&amp;'ORDENES'!$D31&amp;" ("&amp;'ORDENES'!$N31&amp;" h)","")</f>
        <v/>
      </c>
    </row>
    <row r="36">
      <c r="K36" s="3">
        <f>IF(AND(IF($B$3="(todos)",TRUE,'ORDENES'!$P32=$B$3),IF($D$3="(todos)",TRUE,'ORDENES'!$AD32=$D$3),IF($F$3="(todos)",TRUE,'ORDENES'!$W32=$F$3),'ORDENES'!$AB32=TRUE),'ORDENES'!$AO32&amp;" | "&amp;'ORDENES'!$S32&amp;" | "&amp;IF('ORDENES'!$AC32="","(sin técnico)",'ORDENES'!$AC32)&amp;" | "&amp;'ORDENES'!$D32&amp;" ("&amp;'ORDENES'!$N32&amp;" h)","")</f>
        <v/>
      </c>
    </row>
    <row r="37">
      <c r="K37" s="3">
        <f>IF(AND(IF($B$3="(todos)",TRUE,'ORDENES'!$P33=$B$3),IF($D$3="(todos)",TRUE,'ORDENES'!$AD33=$D$3),IF($F$3="(todos)",TRUE,'ORDENES'!$W33=$F$3),'ORDENES'!$AB33=TRUE),'ORDENES'!$AO33&amp;" | "&amp;'ORDENES'!$S33&amp;" | "&amp;IF('ORDENES'!$AC33="","(sin técnico)",'ORDENES'!$AC33)&amp;" | "&amp;'ORDENES'!$D33&amp;" ("&amp;'ORDENES'!$N33&amp;" h)","")</f>
        <v/>
      </c>
    </row>
    <row r="38">
      <c r="K38" s="3">
        <f>IF(AND(IF($B$3="(todos)",TRUE,'ORDENES'!$P34=$B$3),IF($D$3="(todos)",TRUE,'ORDENES'!$AD34=$D$3),IF($F$3="(todos)",TRUE,'ORDENES'!$W34=$F$3),'ORDENES'!$AB34=TRUE),'ORDENES'!$AO34&amp;" | "&amp;'ORDENES'!$S34&amp;" | "&amp;IF('ORDENES'!$AC34="","(sin técnico)",'ORDENES'!$AC34)&amp;" | "&amp;'ORDENES'!$D34&amp;" ("&amp;'ORDENES'!$N34&amp;" h)","")</f>
        <v/>
      </c>
    </row>
    <row r="39">
      <c r="K39" s="3">
        <f>IF(AND(IF($B$3="(todos)",TRUE,'ORDENES'!$P35=$B$3),IF($D$3="(todos)",TRUE,'ORDENES'!$AD35=$D$3),IF($F$3="(todos)",TRUE,'ORDENES'!$W35=$F$3),'ORDENES'!$AB35=TRUE),'ORDENES'!$AO35&amp;" | "&amp;'ORDENES'!$S35&amp;" | "&amp;IF('ORDENES'!$AC35="","(sin técnico)",'ORDENES'!$AC35)&amp;" | "&amp;'ORDENES'!$D35&amp;" ("&amp;'ORDENES'!$N35&amp;" h)","")</f>
        <v/>
      </c>
    </row>
    <row r="40">
      <c r="K40" s="3">
        <f>IF(AND(IF($B$3="(todos)",TRUE,'ORDENES'!$P36=$B$3),IF($D$3="(todos)",TRUE,'ORDENES'!$AD36=$D$3),IF($F$3="(todos)",TRUE,'ORDENES'!$W36=$F$3),'ORDENES'!$AB36=TRUE),'ORDENES'!$AO36&amp;" | "&amp;'ORDENES'!$S36&amp;" | "&amp;IF('ORDENES'!$AC36="","(sin técnico)",'ORDENES'!$AC36)&amp;" | "&amp;'ORDENES'!$D36&amp;" ("&amp;'ORDENES'!$N36&amp;" h)","")</f>
        <v/>
      </c>
    </row>
    <row r="41">
      <c r="K41" s="3">
        <f>IF(AND(IF($B$3="(todos)",TRUE,'ORDENES'!$P37=$B$3),IF($D$3="(todos)",TRUE,'ORDENES'!$AD37=$D$3),IF($F$3="(todos)",TRUE,'ORDENES'!$W37=$F$3),'ORDENES'!$AB37=TRUE),'ORDENES'!$AO37&amp;" | "&amp;'ORDENES'!$S37&amp;" | "&amp;IF('ORDENES'!$AC37="","(sin técnico)",'ORDENES'!$AC37)&amp;" | "&amp;'ORDENES'!$D37&amp;" ("&amp;'ORDENES'!$N37&amp;" h)","")</f>
        <v/>
      </c>
    </row>
    <row r="42">
      <c r="K42" s="3">
        <f>IF(AND(IF($B$3="(todos)",TRUE,'ORDENES'!$P38=$B$3),IF($D$3="(todos)",TRUE,'ORDENES'!$AD38=$D$3),IF($F$3="(todos)",TRUE,'ORDENES'!$W38=$F$3),'ORDENES'!$AB38=TRUE),'ORDENES'!$AO38&amp;" | "&amp;'ORDENES'!$S38&amp;" | "&amp;IF('ORDENES'!$AC38="","(sin técnico)",'ORDENES'!$AC38)&amp;" | "&amp;'ORDENES'!$D38&amp;" ("&amp;'ORDENES'!$N38&amp;" h)","")</f>
        <v/>
      </c>
    </row>
    <row r="43">
      <c r="K43" s="3">
        <f>IF(AND(IF($B$3="(todos)",TRUE,'ORDENES'!$P39=$B$3),IF($D$3="(todos)",TRUE,'ORDENES'!$AD39=$D$3),IF($F$3="(todos)",TRUE,'ORDENES'!$W39=$F$3),'ORDENES'!$AB39=TRUE),'ORDENES'!$AO39&amp;" | "&amp;'ORDENES'!$S39&amp;" | "&amp;IF('ORDENES'!$AC39="","(sin técnico)",'ORDENES'!$AC39)&amp;" | "&amp;'ORDENES'!$D39&amp;" ("&amp;'ORDENES'!$N39&amp;" h)","")</f>
        <v/>
      </c>
    </row>
    <row r="44">
      <c r="K44" s="3">
        <f>IF(AND(IF($B$3="(todos)",TRUE,'ORDENES'!$P40=$B$3),IF($D$3="(todos)",TRUE,'ORDENES'!$AD40=$D$3),IF($F$3="(todos)",TRUE,'ORDENES'!$W40=$F$3),'ORDENES'!$AB40=TRUE),'ORDENES'!$AO40&amp;" | "&amp;'ORDENES'!$S40&amp;" | "&amp;IF('ORDENES'!$AC40="","(sin técnico)",'ORDENES'!$AC40)&amp;" | "&amp;'ORDENES'!$D40&amp;" ("&amp;'ORDENES'!$N40&amp;" h)","")</f>
        <v/>
      </c>
    </row>
    <row r="45">
      <c r="K45" s="3">
        <f>IF(AND(IF($B$3="(todos)",TRUE,'ORDENES'!$P41=$B$3),IF($D$3="(todos)",TRUE,'ORDENES'!$AD41=$D$3),IF($F$3="(todos)",TRUE,'ORDENES'!$W41=$F$3),'ORDENES'!$AB41=TRUE),'ORDENES'!$AO41&amp;" | "&amp;'ORDENES'!$S41&amp;" | "&amp;IF('ORDENES'!$AC41="","(sin técnico)",'ORDENES'!$AC41)&amp;" | "&amp;'ORDENES'!$D41&amp;" ("&amp;'ORDENES'!$N41&amp;" h)","")</f>
        <v/>
      </c>
    </row>
    <row r="46">
      <c r="K46" s="3">
        <f>IF(AND(IF($B$3="(todos)",TRUE,'ORDENES'!$P42=$B$3),IF($D$3="(todos)",TRUE,'ORDENES'!$AD42=$D$3),IF($F$3="(todos)",TRUE,'ORDENES'!$W42=$F$3),'ORDENES'!$AB42=TRUE),'ORDENES'!$AO42&amp;" | "&amp;'ORDENES'!$S42&amp;" | "&amp;IF('ORDENES'!$AC42="","(sin técnico)",'ORDENES'!$AC42)&amp;" | "&amp;'ORDENES'!$D42&amp;" ("&amp;'ORDENES'!$N42&amp;" h)","")</f>
        <v/>
      </c>
    </row>
    <row r="47">
      <c r="K47" s="3">
        <f>IF(AND(IF($B$3="(todos)",TRUE,'ORDENES'!$P43=$B$3),IF($D$3="(todos)",TRUE,'ORDENES'!$AD43=$D$3),IF($F$3="(todos)",TRUE,'ORDENES'!$W43=$F$3),'ORDENES'!$AB43=TRUE),'ORDENES'!$AO43&amp;" | "&amp;'ORDENES'!$S43&amp;" | "&amp;IF('ORDENES'!$AC43="","(sin técnico)",'ORDENES'!$AC43)&amp;" | "&amp;'ORDENES'!$D43&amp;" ("&amp;'ORDENES'!$N43&amp;" h)","")</f>
        <v/>
      </c>
    </row>
    <row r="48">
      <c r="K48" s="3">
        <f>IF(AND(IF($B$3="(todos)",TRUE,'ORDENES'!$P44=$B$3),IF($D$3="(todos)",TRUE,'ORDENES'!$AD44=$D$3),IF($F$3="(todos)",TRUE,'ORDENES'!$W44=$F$3),'ORDENES'!$AB44=TRUE),'ORDENES'!$AO44&amp;" | "&amp;'ORDENES'!$S44&amp;" | "&amp;IF('ORDENES'!$AC44="","(sin técnico)",'ORDENES'!$AC44)&amp;" | "&amp;'ORDENES'!$D44&amp;" ("&amp;'ORDENES'!$N44&amp;" h)","")</f>
        <v/>
      </c>
    </row>
    <row r="49">
      <c r="K49" s="3">
        <f>IF(AND(IF($B$3="(todos)",TRUE,'ORDENES'!$P45=$B$3),IF($D$3="(todos)",TRUE,'ORDENES'!$AD45=$D$3),IF($F$3="(todos)",TRUE,'ORDENES'!$W45=$F$3),'ORDENES'!$AB45=TRUE),'ORDENES'!$AO45&amp;" | "&amp;'ORDENES'!$S45&amp;" | "&amp;IF('ORDENES'!$AC45="","(sin técnico)",'ORDENES'!$AC45)&amp;" | "&amp;'ORDENES'!$D45&amp;" ("&amp;'ORDENES'!$N45&amp;" h)","")</f>
        <v/>
      </c>
    </row>
    <row r="50">
      <c r="K50" s="3">
        <f>IF(AND(IF($B$3="(todos)",TRUE,'ORDENES'!$P46=$B$3),IF($D$3="(todos)",TRUE,'ORDENES'!$AD46=$D$3),IF($F$3="(todos)",TRUE,'ORDENES'!$W46=$F$3),'ORDENES'!$AB46=TRUE),'ORDENES'!$AO46&amp;" | "&amp;'ORDENES'!$S46&amp;" | "&amp;IF('ORDENES'!$AC46="","(sin técnico)",'ORDENES'!$AC46)&amp;" | "&amp;'ORDENES'!$D46&amp;" ("&amp;'ORDENES'!$N46&amp;" h)","")</f>
        <v/>
      </c>
    </row>
    <row r="51">
      <c r="K51" s="3">
        <f>IF(AND(IF($B$3="(todos)",TRUE,'ORDENES'!$P47=$B$3),IF($D$3="(todos)",TRUE,'ORDENES'!$AD47=$D$3),IF($F$3="(todos)",TRUE,'ORDENES'!$W47=$F$3),'ORDENES'!$AB47=TRUE),'ORDENES'!$AO47&amp;" | "&amp;'ORDENES'!$S47&amp;" | "&amp;IF('ORDENES'!$AC47="","(sin técnico)",'ORDENES'!$AC47)&amp;" | "&amp;'ORDENES'!$D47&amp;" ("&amp;'ORDENES'!$N47&amp;" h)","")</f>
        <v/>
      </c>
    </row>
    <row r="52">
      <c r="K52" s="3">
        <f>IF(AND(IF($B$3="(todos)",TRUE,'ORDENES'!$P48=$B$3),IF($D$3="(todos)",TRUE,'ORDENES'!$AD48=$D$3),IF($F$3="(todos)",TRUE,'ORDENES'!$W48=$F$3),'ORDENES'!$AB48=TRUE),'ORDENES'!$AO48&amp;" | "&amp;'ORDENES'!$S48&amp;" | "&amp;IF('ORDENES'!$AC48="","(sin técnico)",'ORDENES'!$AC48)&amp;" | "&amp;'ORDENES'!$D48&amp;" ("&amp;'ORDENES'!$N48&amp;" h)","")</f>
        <v/>
      </c>
    </row>
    <row r="53">
      <c r="K53" s="3">
        <f>IF(AND(IF($B$3="(todos)",TRUE,'ORDENES'!$P49=$B$3),IF($D$3="(todos)",TRUE,'ORDENES'!$AD49=$D$3),IF($F$3="(todos)",TRUE,'ORDENES'!$W49=$F$3),'ORDENES'!$AB49=TRUE),'ORDENES'!$AO49&amp;" | "&amp;'ORDENES'!$S49&amp;" | "&amp;IF('ORDENES'!$AC49="","(sin técnico)",'ORDENES'!$AC49)&amp;" | "&amp;'ORDENES'!$D49&amp;" ("&amp;'ORDENES'!$N49&amp;" h)","")</f>
        <v/>
      </c>
    </row>
    <row r="54">
      <c r="K54" s="3">
        <f>IF(AND(IF($B$3="(todos)",TRUE,'ORDENES'!$P50=$B$3),IF($D$3="(todos)",TRUE,'ORDENES'!$AD50=$D$3),IF($F$3="(todos)",TRUE,'ORDENES'!$W50=$F$3),'ORDENES'!$AB50=TRUE),'ORDENES'!$AO50&amp;" | "&amp;'ORDENES'!$S50&amp;" | "&amp;IF('ORDENES'!$AC50="","(sin técnico)",'ORDENES'!$AC50)&amp;" | "&amp;'ORDENES'!$D50&amp;" ("&amp;'ORDENES'!$N50&amp;" h)","")</f>
        <v/>
      </c>
    </row>
    <row r="55">
      <c r="K55" s="3">
        <f>IF(AND(IF($B$3="(todos)",TRUE,'ORDENES'!$P51=$B$3),IF($D$3="(todos)",TRUE,'ORDENES'!$AD51=$D$3),IF($F$3="(todos)",TRUE,'ORDENES'!$W51=$F$3),'ORDENES'!$AB51=TRUE),'ORDENES'!$AO51&amp;" | "&amp;'ORDENES'!$S51&amp;" | "&amp;IF('ORDENES'!$AC51="","(sin técnico)",'ORDENES'!$AC51)&amp;" | "&amp;'ORDENES'!$D51&amp;" ("&amp;'ORDENES'!$N51&amp;" h)","")</f>
        <v/>
      </c>
    </row>
    <row r="56">
      <c r="K56" s="3">
        <f>IF(AND(IF($B$3="(todos)",TRUE,'ORDENES'!$P52=$B$3),IF($D$3="(todos)",TRUE,'ORDENES'!$AD52=$D$3),IF($F$3="(todos)",TRUE,'ORDENES'!$W52=$F$3),'ORDENES'!$AB52=TRUE),'ORDENES'!$AO52&amp;" | "&amp;'ORDENES'!$S52&amp;" | "&amp;IF('ORDENES'!$AC52="","(sin técnico)",'ORDENES'!$AC52)&amp;" | "&amp;'ORDENES'!$D52&amp;" ("&amp;'ORDENES'!$N52&amp;" h)","")</f>
        <v/>
      </c>
    </row>
    <row r="57">
      <c r="K57" s="3">
        <f>IF(AND(IF($B$3="(todos)",TRUE,'ORDENES'!$P53=$B$3),IF($D$3="(todos)",TRUE,'ORDENES'!$AD53=$D$3),IF($F$3="(todos)",TRUE,'ORDENES'!$W53=$F$3),'ORDENES'!$AB53=TRUE),'ORDENES'!$AO53&amp;" | "&amp;'ORDENES'!$S53&amp;" | "&amp;IF('ORDENES'!$AC53="","(sin técnico)",'ORDENES'!$AC53)&amp;" | "&amp;'ORDENES'!$D53&amp;" ("&amp;'ORDENES'!$N53&amp;" h)","")</f>
        <v/>
      </c>
    </row>
    <row r="58">
      <c r="K58" s="3">
        <f>IF(AND(IF($B$3="(todos)",TRUE,'ORDENES'!$P54=$B$3),IF($D$3="(todos)",TRUE,'ORDENES'!$AD54=$D$3),IF($F$3="(todos)",TRUE,'ORDENES'!$W54=$F$3),'ORDENES'!$AB54=TRUE),'ORDENES'!$AO54&amp;" | "&amp;'ORDENES'!$S54&amp;" | "&amp;IF('ORDENES'!$AC54="","(sin técnico)",'ORDENES'!$AC54)&amp;" | "&amp;'ORDENES'!$D54&amp;" ("&amp;'ORDENES'!$N54&amp;" h)","")</f>
        <v/>
      </c>
    </row>
    <row r="59">
      <c r="K59" s="3">
        <f>IF(AND(IF($B$3="(todos)",TRUE,'ORDENES'!$P55=$B$3),IF($D$3="(todos)",TRUE,'ORDENES'!$AD55=$D$3),IF($F$3="(todos)",TRUE,'ORDENES'!$W55=$F$3),'ORDENES'!$AB55=TRUE),'ORDENES'!$AO55&amp;" | "&amp;'ORDENES'!$S55&amp;" | "&amp;IF('ORDENES'!$AC55="","(sin técnico)",'ORDENES'!$AC55)&amp;" | "&amp;'ORDENES'!$D55&amp;" ("&amp;'ORDENES'!$N55&amp;" h)","")</f>
        <v/>
      </c>
    </row>
    <row r="60">
      <c r="K60" s="3">
        <f>IF(AND(IF($B$3="(todos)",TRUE,'ORDENES'!$P56=$B$3),IF($D$3="(todos)",TRUE,'ORDENES'!$AD56=$D$3),IF($F$3="(todos)",TRUE,'ORDENES'!$W56=$F$3),'ORDENES'!$AB56=TRUE),'ORDENES'!$AO56&amp;" | "&amp;'ORDENES'!$S56&amp;" | "&amp;IF('ORDENES'!$AC56="","(sin técnico)",'ORDENES'!$AC56)&amp;" | "&amp;'ORDENES'!$D56&amp;" ("&amp;'ORDENES'!$N56&amp;" h)","")</f>
        <v/>
      </c>
    </row>
    <row r="61">
      <c r="K61" s="3">
        <f>IF(AND(IF($B$3="(todos)",TRUE,'ORDENES'!$P57=$B$3),IF($D$3="(todos)",TRUE,'ORDENES'!$AD57=$D$3),IF($F$3="(todos)",TRUE,'ORDENES'!$W57=$F$3),'ORDENES'!$AB57=TRUE),'ORDENES'!$AO57&amp;" | "&amp;'ORDENES'!$S57&amp;" | "&amp;IF('ORDENES'!$AC57="","(sin técnico)",'ORDENES'!$AC57)&amp;" | "&amp;'ORDENES'!$D57&amp;" ("&amp;'ORDENES'!$N57&amp;" h)","")</f>
        <v/>
      </c>
    </row>
    <row r="62">
      <c r="K62" s="3">
        <f>IF(AND(IF($B$3="(todos)",TRUE,'ORDENES'!$P58=$B$3),IF($D$3="(todos)",TRUE,'ORDENES'!$AD58=$D$3),IF($F$3="(todos)",TRUE,'ORDENES'!$W58=$F$3),'ORDENES'!$AB58=TRUE),'ORDENES'!$AO58&amp;" | "&amp;'ORDENES'!$S58&amp;" | "&amp;IF('ORDENES'!$AC58="","(sin técnico)",'ORDENES'!$AC58)&amp;" | "&amp;'ORDENES'!$D58&amp;" ("&amp;'ORDENES'!$N58&amp;" h)","")</f>
        <v/>
      </c>
    </row>
    <row r="63">
      <c r="K63" s="3">
        <f>IF(AND(IF($B$3="(todos)",TRUE,'ORDENES'!$P59=$B$3),IF($D$3="(todos)",TRUE,'ORDENES'!$AD59=$D$3),IF($F$3="(todos)",TRUE,'ORDENES'!$W59=$F$3),'ORDENES'!$AB59=TRUE),'ORDENES'!$AO59&amp;" | "&amp;'ORDENES'!$S59&amp;" | "&amp;IF('ORDENES'!$AC59="","(sin técnico)",'ORDENES'!$AC59)&amp;" | "&amp;'ORDENES'!$D59&amp;" ("&amp;'ORDENES'!$N59&amp;" h)","")</f>
        <v/>
      </c>
    </row>
    <row r="64">
      <c r="K64" s="3">
        <f>IF(AND(IF($B$3="(todos)",TRUE,'ORDENES'!$P60=$B$3),IF($D$3="(todos)",TRUE,'ORDENES'!$AD60=$D$3),IF($F$3="(todos)",TRUE,'ORDENES'!$W60=$F$3),'ORDENES'!$AB60=TRUE),'ORDENES'!$AO60&amp;" | "&amp;'ORDENES'!$S60&amp;" | "&amp;IF('ORDENES'!$AC60="","(sin técnico)",'ORDENES'!$AC60)&amp;" | "&amp;'ORDENES'!$D60&amp;" ("&amp;'ORDENES'!$N60&amp;" h)","")</f>
        <v/>
      </c>
    </row>
    <row r="65">
      <c r="K65" s="3">
        <f>IF(AND(IF($B$3="(todos)",TRUE,'ORDENES'!$P61=$B$3),IF($D$3="(todos)",TRUE,'ORDENES'!$AD61=$D$3),IF($F$3="(todos)",TRUE,'ORDENES'!$W61=$F$3),'ORDENES'!$AB61=TRUE),'ORDENES'!$AO61&amp;" | "&amp;'ORDENES'!$S61&amp;" | "&amp;IF('ORDENES'!$AC61="","(sin técnico)",'ORDENES'!$AC61)&amp;" | "&amp;'ORDENES'!$D61&amp;" ("&amp;'ORDENES'!$N61&amp;" h)","")</f>
        <v/>
      </c>
    </row>
    <row r="66">
      <c r="K66" s="3">
        <f>IF(AND(IF($B$3="(todos)",TRUE,'ORDENES'!$P62=$B$3),IF($D$3="(todos)",TRUE,'ORDENES'!$AD62=$D$3),IF($F$3="(todos)",TRUE,'ORDENES'!$W62=$F$3),'ORDENES'!$AB62=TRUE),'ORDENES'!$AO62&amp;" | "&amp;'ORDENES'!$S62&amp;" | "&amp;IF('ORDENES'!$AC62="","(sin técnico)",'ORDENES'!$AC62)&amp;" | "&amp;'ORDENES'!$D62&amp;" ("&amp;'ORDENES'!$N62&amp;" h)","")</f>
        <v/>
      </c>
    </row>
    <row r="67">
      <c r="K67" s="3">
        <f>IF(AND(IF($B$3="(todos)",TRUE,'ORDENES'!$P63=$B$3),IF($D$3="(todos)",TRUE,'ORDENES'!$AD63=$D$3),IF($F$3="(todos)",TRUE,'ORDENES'!$W63=$F$3),'ORDENES'!$AB63=TRUE),'ORDENES'!$AO63&amp;" | "&amp;'ORDENES'!$S63&amp;" | "&amp;IF('ORDENES'!$AC63="","(sin técnico)",'ORDENES'!$AC63)&amp;" | "&amp;'ORDENES'!$D63&amp;" ("&amp;'ORDENES'!$N63&amp;" h)","")</f>
        <v/>
      </c>
    </row>
    <row r="68">
      <c r="K68" s="3">
        <f>IF(AND(IF($B$3="(todos)",TRUE,'ORDENES'!$P64=$B$3),IF($D$3="(todos)",TRUE,'ORDENES'!$AD64=$D$3),IF($F$3="(todos)",TRUE,'ORDENES'!$W64=$F$3),'ORDENES'!$AB64=TRUE),'ORDENES'!$AO64&amp;" | "&amp;'ORDENES'!$S64&amp;" | "&amp;IF('ORDENES'!$AC64="","(sin técnico)",'ORDENES'!$AC64)&amp;" | "&amp;'ORDENES'!$D64&amp;" ("&amp;'ORDENES'!$N64&amp;" h)","")</f>
        <v/>
      </c>
    </row>
    <row r="69">
      <c r="K69" s="3">
        <f>IF(AND(IF($B$3="(todos)",TRUE,'ORDENES'!$P65=$B$3),IF($D$3="(todos)",TRUE,'ORDENES'!$AD65=$D$3),IF($F$3="(todos)",TRUE,'ORDENES'!$W65=$F$3),'ORDENES'!$AB65=TRUE),'ORDENES'!$AO65&amp;" | "&amp;'ORDENES'!$S65&amp;" | "&amp;IF('ORDENES'!$AC65="","(sin técnico)",'ORDENES'!$AC65)&amp;" | "&amp;'ORDENES'!$D65&amp;" ("&amp;'ORDENES'!$N65&amp;" h)","")</f>
        <v/>
      </c>
    </row>
    <row r="70">
      <c r="K70" s="3">
        <f>IF(AND(IF($B$3="(todos)",TRUE,'ORDENES'!$P66=$B$3),IF($D$3="(todos)",TRUE,'ORDENES'!$AD66=$D$3),IF($F$3="(todos)",TRUE,'ORDENES'!$W66=$F$3),'ORDENES'!$AB66=TRUE),'ORDENES'!$AO66&amp;" | "&amp;'ORDENES'!$S66&amp;" | "&amp;IF('ORDENES'!$AC66="","(sin técnico)",'ORDENES'!$AC66)&amp;" | "&amp;'ORDENES'!$D66&amp;" ("&amp;'ORDENES'!$N66&amp;" h)","")</f>
        <v/>
      </c>
    </row>
    <row r="71">
      <c r="K71" s="3">
        <f>IF(AND(IF($B$3="(todos)",TRUE,'ORDENES'!$P67=$B$3),IF($D$3="(todos)",TRUE,'ORDENES'!$AD67=$D$3),IF($F$3="(todos)",TRUE,'ORDENES'!$W67=$F$3),'ORDENES'!$AB67=TRUE),'ORDENES'!$AO67&amp;" | "&amp;'ORDENES'!$S67&amp;" | "&amp;IF('ORDENES'!$AC67="","(sin técnico)",'ORDENES'!$AC67)&amp;" | "&amp;'ORDENES'!$D67&amp;" ("&amp;'ORDENES'!$N67&amp;" h)","")</f>
        <v/>
      </c>
    </row>
    <row r="72">
      <c r="K72" s="3">
        <f>IF(AND(IF($B$3="(todos)",TRUE,'ORDENES'!$P68=$B$3),IF($D$3="(todos)",TRUE,'ORDENES'!$AD68=$D$3),IF($F$3="(todos)",TRUE,'ORDENES'!$W68=$F$3),'ORDENES'!$AB68=TRUE),'ORDENES'!$AO68&amp;" | "&amp;'ORDENES'!$S68&amp;" | "&amp;IF('ORDENES'!$AC68="","(sin técnico)",'ORDENES'!$AC68)&amp;" | "&amp;'ORDENES'!$D68&amp;" ("&amp;'ORDENES'!$N68&amp;" h)","")</f>
        <v/>
      </c>
    </row>
    <row r="73">
      <c r="K73" s="3">
        <f>IF(AND(IF($B$3="(todos)",TRUE,'ORDENES'!$P69=$B$3),IF($D$3="(todos)",TRUE,'ORDENES'!$AD69=$D$3),IF($F$3="(todos)",TRUE,'ORDENES'!$W69=$F$3),'ORDENES'!$AB69=TRUE),'ORDENES'!$AO69&amp;" | "&amp;'ORDENES'!$S69&amp;" | "&amp;IF('ORDENES'!$AC69="","(sin técnico)",'ORDENES'!$AC69)&amp;" | "&amp;'ORDENES'!$D69&amp;" ("&amp;'ORDENES'!$N69&amp;" h)","")</f>
        <v/>
      </c>
    </row>
    <row r="74">
      <c r="K74" s="3">
        <f>IF(AND(IF($B$3="(todos)",TRUE,'ORDENES'!$P70=$B$3),IF($D$3="(todos)",TRUE,'ORDENES'!$AD70=$D$3),IF($F$3="(todos)",TRUE,'ORDENES'!$W70=$F$3),'ORDENES'!$AB70=TRUE),'ORDENES'!$AO70&amp;" | "&amp;'ORDENES'!$S70&amp;" | "&amp;IF('ORDENES'!$AC70="","(sin técnico)",'ORDENES'!$AC70)&amp;" | "&amp;'ORDENES'!$D70&amp;" ("&amp;'ORDENES'!$N70&amp;" h)","")</f>
        <v/>
      </c>
    </row>
    <row r="75">
      <c r="K75" s="3">
        <f>IF(AND(IF($B$3="(todos)",TRUE,'ORDENES'!$P71=$B$3),IF($D$3="(todos)",TRUE,'ORDENES'!$AD71=$D$3),IF($F$3="(todos)",TRUE,'ORDENES'!$W71=$F$3),'ORDENES'!$AB71=TRUE),'ORDENES'!$AO71&amp;" | "&amp;'ORDENES'!$S71&amp;" | "&amp;IF('ORDENES'!$AC71="","(sin técnico)",'ORDENES'!$AC71)&amp;" | "&amp;'ORDENES'!$D71&amp;" ("&amp;'ORDENES'!$N71&amp;" h)","")</f>
        <v/>
      </c>
    </row>
    <row r="76">
      <c r="K76" s="3">
        <f>IF(AND(IF($B$3="(todos)",TRUE,'ORDENES'!$P72=$B$3),IF($D$3="(todos)",TRUE,'ORDENES'!$AD72=$D$3),IF($F$3="(todos)",TRUE,'ORDENES'!$W72=$F$3),'ORDENES'!$AB72=TRUE),'ORDENES'!$AO72&amp;" | "&amp;'ORDENES'!$S72&amp;" | "&amp;IF('ORDENES'!$AC72="","(sin técnico)",'ORDENES'!$AC72)&amp;" | "&amp;'ORDENES'!$D72&amp;" ("&amp;'ORDENES'!$N72&amp;" h)","")</f>
        <v/>
      </c>
    </row>
    <row r="77">
      <c r="K77" s="3">
        <f>IF(AND(IF($B$3="(todos)",TRUE,'ORDENES'!$P73=$B$3),IF($D$3="(todos)",TRUE,'ORDENES'!$AD73=$D$3),IF($F$3="(todos)",TRUE,'ORDENES'!$W73=$F$3),'ORDENES'!$AB73=TRUE),'ORDENES'!$AO73&amp;" | "&amp;'ORDENES'!$S73&amp;" | "&amp;IF('ORDENES'!$AC73="","(sin técnico)",'ORDENES'!$AC73)&amp;" | "&amp;'ORDENES'!$D73&amp;" ("&amp;'ORDENES'!$N73&amp;" h)","")</f>
        <v/>
      </c>
    </row>
    <row r="78">
      <c r="K78" s="3">
        <f>IF(AND(IF($B$3="(todos)",TRUE,'ORDENES'!$P74=$B$3),IF($D$3="(todos)",TRUE,'ORDENES'!$AD74=$D$3),IF($F$3="(todos)",TRUE,'ORDENES'!$W74=$F$3),'ORDENES'!$AB74=TRUE),'ORDENES'!$AO74&amp;" | "&amp;'ORDENES'!$S74&amp;" | "&amp;IF('ORDENES'!$AC74="","(sin técnico)",'ORDENES'!$AC74)&amp;" | "&amp;'ORDENES'!$D74&amp;" ("&amp;'ORDENES'!$N74&amp;" h)","")</f>
        <v/>
      </c>
    </row>
    <row r="79">
      <c r="K79" s="3">
        <f>IF(AND(IF($B$3="(todos)",TRUE,'ORDENES'!$P75=$B$3),IF($D$3="(todos)",TRUE,'ORDENES'!$AD75=$D$3),IF($F$3="(todos)",TRUE,'ORDENES'!$W75=$F$3),'ORDENES'!$AB75=TRUE),'ORDENES'!$AO75&amp;" | "&amp;'ORDENES'!$S75&amp;" | "&amp;IF('ORDENES'!$AC75="","(sin técnico)",'ORDENES'!$AC75)&amp;" | "&amp;'ORDENES'!$D75&amp;" ("&amp;'ORDENES'!$N75&amp;" h)","")</f>
        <v/>
      </c>
    </row>
    <row r="80">
      <c r="K80" s="3">
        <f>IF(AND(IF($B$3="(todos)",TRUE,'ORDENES'!$P76=$B$3),IF($D$3="(todos)",TRUE,'ORDENES'!$AD76=$D$3),IF($F$3="(todos)",TRUE,'ORDENES'!$W76=$F$3),'ORDENES'!$AB76=TRUE),'ORDENES'!$AO76&amp;" | "&amp;'ORDENES'!$S76&amp;" | "&amp;IF('ORDENES'!$AC76="","(sin técnico)",'ORDENES'!$AC76)&amp;" | "&amp;'ORDENES'!$D76&amp;" ("&amp;'ORDENES'!$N76&amp;" h)","")</f>
        <v/>
      </c>
    </row>
    <row r="81">
      <c r="K81" s="3">
        <f>IF(AND(IF($B$3="(todos)",TRUE,'ORDENES'!$P77=$B$3),IF($D$3="(todos)",TRUE,'ORDENES'!$AD77=$D$3),IF($F$3="(todos)",TRUE,'ORDENES'!$W77=$F$3),'ORDENES'!$AB77=TRUE),'ORDENES'!$AO77&amp;" | "&amp;'ORDENES'!$S77&amp;" | "&amp;IF('ORDENES'!$AC77="","(sin técnico)",'ORDENES'!$AC77)&amp;" | "&amp;'ORDENES'!$D77&amp;" ("&amp;'ORDENES'!$N77&amp;" h)","")</f>
        <v/>
      </c>
    </row>
    <row r="82">
      <c r="K82" s="3">
        <f>IF(AND(IF($B$3="(todos)",TRUE,'ORDENES'!$P78=$B$3),IF($D$3="(todos)",TRUE,'ORDENES'!$AD78=$D$3),IF($F$3="(todos)",TRUE,'ORDENES'!$W78=$F$3),'ORDENES'!$AB78=TRUE),'ORDENES'!$AO78&amp;" | "&amp;'ORDENES'!$S78&amp;" | "&amp;IF('ORDENES'!$AC78="","(sin técnico)",'ORDENES'!$AC78)&amp;" | "&amp;'ORDENES'!$D78&amp;" ("&amp;'ORDENES'!$N78&amp;" h)","")</f>
        <v/>
      </c>
    </row>
    <row r="83">
      <c r="K83" s="3">
        <f>IF(AND(IF($B$3="(todos)",TRUE,'ORDENES'!$P79=$B$3),IF($D$3="(todos)",TRUE,'ORDENES'!$AD79=$D$3),IF($F$3="(todos)",TRUE,'ORDENES'!$W79=$F$3),'ORDENES'!$AB79=TRUE),'ORDENES'!$AO79&amp;" | "&amp;'ORDENES'!$S79&amp;" | "&amp;IF('ORDENES'!$AC79="","(sin técnico)",'ORDENES'!$AC79)&amp;" | "&amp;'ORDENES'!$D79&amp;" ("&amp;'ORDENES'!$N79&amp;" h)","")</f>
        <v/>
      </c>
    </row>
    <row r="84">
      <c r="K84" s="3">
        <f>IF(AND(IF($B$3="(todos)",TRUE,'ORDENES'!$P80=$B$3),IF($D$3="(todos)",TRUE,'ORDENES'!$AD80=$D$3),IF($F$3="(todos)",TRUE,'ORDENES'!$W80=$F$3),'ORDENES'!$AB80=TRUE),'ORDENES'!$AO80&amp;" | "&amp;'ORDENES'!$S80&amp;" | "&amp;IF('ORDENES'!$AC80="","(sin técnico)",'ORDENES'!$AC80)&amp;" | "&amp;'ORDENES'!$D80&amp;" ("&amp;'ORDENES'!$N80&amp;" h)","")</f>
        <v/>
      </c>
    </row>
    <row r="85">
      <c r="K85" s="3">
        <f>IF(AND(IF($B$3="(todos)",TRUE,'ORDENES'!$P81=$B$3),IF($D$3="(todos)",TRUE,'ORDENES'!$AD81=$D$3),IF($F$3="(todos)",TRUE,'ORDENES'!$W81=$F$3),'ORDENES'!$AB81=TRUE),'ORDENES'!$AO81&amp;" | "&amp;'ORDENES'!$S81&amp;" | "&amp;IF('ORDENES'!$AC81="","(sin técnico)",'ORDENES'!$AC81)&amp;" | "&amp;'ORDENES'!$D81&amp;" ("&amp;'ORDENES'!$N81&amp;" h)","")</f>
        <v/>
      </c>
    </row>
    <row r="86">
      <c r="K86" s="3">
        <f>IF(AND(IF($B$3="(todos)",TRUE,'ORDENES'!$P82=$B$3),IF($D$3="(todos)",TRUE,'ORDENES'!$AD82=$D$3),IF($F$3="(todos)",TRUE,'ORDENES'!$W82=$F$3),'ORDENES'!$AB82=TRUE),'ORDENES'!$AO82&amp;" | "&amp;'ORDENES'!$S82&amp;" | "&amp;IF('ORDENES'!$AC82="","(sin técnico)",'ORDENES'!$AC82)&amp;" | "&amp;'ORDENES'!$D82&amp;" ("&amp;'ORDENES'!$N82&amp;" h)","")</f>
        <v/>
      </c>
    </row>
    <row r="87">
      <c r="K87" s="3">
        <f>IF(AND(IF($B$3="(todos)",TRUE,'ORDENES'!$P83=$B$3),IF($D$3="(todos)",TRUE,'ORDENES'!$AD83=$D$3),IF($F$3="(todos)",TRUE,'ORDENES'!$W83=$F$3),'ORDENES'!$AB83=TRUE),'ORDENES'!$AO83&amp;" | "&amp;'ORDENES'!$S83&amp;" | "&amp;IF('ORDENES'!$AC83="","(sin técnico)",'ORDENES'!$AC83)&amp;" | "&amp;'ORDENES'!$D83&amp;" ("&amp;'ORDENES'!$N83&amp;" h)","")</f>
        <v/>
      </c>
    </row>
    <row r="88">
      <c r="K88" s="3">
        <f>IF(AND(IF($B$3="(todos)",TRUE,'ORDENES'!$P84=$B$3),IF($D$3="(todos)",TRUE,'ORDENES'!$AD84=$D$3),IF($F$3="(todos)",TRUE,'ORDENES'!$W84=$F$3),'ORDENES'!$AB84=TRUE),'ORDENES'!$AO84&amp;" | "&amp;'ORDENES'!$S84&amp;" | "&amp;IF('ORDENES'!$AC84="","(sin técnico)",'ORDENES'!$AC84)&amp;" | "&amp;'ORDENES'!$D84&amp;" ("&amp;'ORDENES'!$N84&amp;" h)","")</f>
        <v/>
      </c>
    </row>
    <row r="89">
      <c r="K89" s="3">
        <f>IF(AND(IF($B$3="(todos)",TRUE,'ORDENES'!$P85=$B$3),IF($D$3="(todos)",TRUE,'ORDENES'!$AD85=$D$3),IF($F$3="(todos)",TRUE,'ORDENES'!$W85=$F$3),'ORDENES'!$AB85=TRUE),'ORDENES'!$AO85&amp;" | "&amp;'ORDENES'!$S85&amp;" | "&amp;IF('ORDENES'!$AC85="","(sin técnico)",'ORDENES'!$AC85)&amp;" | "&amp;'ORDENES'!$D85&amp;" ("&amp;'ORDENES'!$N85&amp;" h)","")</f>
        <v/>
      </c>
    </row>
    <row r="90">
      <c r="K90" s="3">
        <f>IF(AND(IF($B$3="(todos)",TRUE,'ORDENES'!$P86=$B$3),IF($D$3="(todos)",TRUE,'ORDENES'!$AD86=$D$3),IF($F$3="(todos)",TRUE,'ORDENES'!$W86=$F$3),'ORDENES'!$AB86=TRUE),'ORDENES'!$AO86&amp;" | "&amp;'ORDENES'!$S86&amp;" | "&amp;IF('ORDENES'!$AC86="","(sin técnico)",'ORDENES'!$AC86)&amp;" | "&amp;'ORDENES'!$D86&amp;" ("&amp;'ORDENES'!$N86&amp;" h)","")</f>
        <v/>
      </c>
    </row>
    <row r="91">
      <c r="K91" s="3">
        <f>IF(AND(IF($B$3="(todos)",TRUE,'ORDENES'!$P87=$B$3),IF($D$3="(todos)",TRUE,'ORDENES'!$AD87=$D$3),IF($F$3="(todos)",TRUE,'ORDENES'!$W87=$F$3),'ORDENES'!$AB87=TRUE),'ORDENES'!$AO87&amp;" | "&amp;'ORDENES'!$S87&amp;" | "&amp;IF('ORDENES'!$AC87="","(sin técnico)",'ORDENES'!$AC87)&amp;" | "&amp;'ORDENES'!$D87&amp;" ("&amp;'ORDENES'!$N87&amp;" h)","")</f>
        <v/>
      </c>
    </row>
    <row r="92">
      <c r="K92" s="3">
        <f>IF(AND(IF($B$3="(todos)",TRUE,'ORDENES'!$P88=$B$3),IF($D$3="(todos)",TRUE,'ORDENES'!$AD88=$D$3),IF($F$3="(todos)",TRUE,'ORDENES'!$W88=$F$3),'ORDENES'!$AB88=TRUE),'ORDENES'!$AO88&amp;" | "&amp;'ORDENES'!$S88&amp;" | "&amp;IF('ORDENES'!$AC88="","(sin técnico)",'ORDENES'!$AC88)&amp;" | "&amp;'ORDENES'!$D88&amp;" ("&amp;'ORDENES'!$N88&amp;" h)","")</f>
        <v/>
      </c>
    </row>
    <row r="93">
      <c r="K93" s="3">
        <f>IF(AND(IF($B$3="(todos)",TRUE,'ORDENES'!$P89=$B$3),IF($D$3="(todos)",TRUE,'ORDENES'!$AD89=$D$3),IF($F$3="(todos)",TRUE,'ORDENES'!$W89=$F$3),'ORDENES'!$AB89=TRUE),'ORDENES'!$AO89&amp;" | "&amp;'ORDENES'!$S89&amp;" | "&amp;IF('ORDENES'!$AC89="","(sin técnico)",'ORDENES'!$AC89)&amp;" | "&amp;'ORDENES'!$D89&amp;" ("&amp;'ORDENES'!$N89&amp;" h)","")</f>
        <v/>
      </c>
    </row>
    <row r="94">
      <c r="K94" s="3">
        <f>IF(AND(IF($B$3="(todos)",TRUE,'ORDENES'!$P90=$B$3),IF($D$3="(todos)",TRUE,'ORDENES'!$AD90=$D$3),IF($F$3="(todos)",TRUE,'ORDENES'!$W90=$F$3),'ORDENES'!$AB90=TRUE),'ORDENES'!$AO90&amp;" | "&amp;'ORDENES'!$S90&amp;" | "&amp;IF('ORDENES'!$AC90="","(sin técnico)",'ORDENES'!$AC90)&amp;" | "&amp;'ORDENES'!$D90&amp;" ("&amp;'ORDENES'!$N90&amp;" h)","")</f>
        <v/>
      </c>
    </row>
    <row r="95">
      <c r="K95" s="3">
        <f>IF(AND(IF($B$3="(todos)",TRUE,'ORDENES'!$P91=$B$3),IF($D$3="(todos)",TRUE,'ORDENES'!$AD91=$D$3),IF($F$3="(todos)",TRUE,'ORDENES'!$W91=$F$3),'ORDENES'!$AB91=TRUE),'ORDENES'!$AO91&amp;" | "&amp;'ORDENES'!$S91&amp;" | "&amp;IF('ORDENES'!$AC91="","(sin técnico)",'ORDENES'!$AC91)&amp;" | "&amp;'ORDENES'!$D91&amp;" ("&amp;'ORDENES'!$N91&amp;" h)","")</f>
        <v/>
      </c>
    </row>
    <row r="96">
      <c r="K96" s="3">
        <f>IF(AND(IF($B$3="(todos)",TRUE,'ORDENES'!$P92=$B$3),IF($D$3="(todos)",TRUE,'ORDENES'!$AD92=$D$3),IF($F$3="(todos)",TRUE,'ORDENES'!$W92=$F$3),'ORDENES'!$AB92=TRUE),'ORDENES'!$AO92&amp;" | "&amp;'ORDENES'!$S92&amp;" | "&amp;IF('ORDENES'!$AC92="","(sin técnico)",'ORDENES'!$AC92)&amp;" | "&amp;'ORDENES'!$D92&amp;" ("&amp;'ORDENES'!$N92&amp;" h)","")</f>
        <v/>
      </c>
    </row>
    <row r="97">
      <c r="K97" s="3">
        <f>IF(AND(IF($B$3="(todos)",TRUE,'ORDENES'!$P93=$B$3),IF($D$3="(todos)",TRUE,'ORDENES'!$AD93=$D$3),IF($F$3="(todos)",TRUE,'ORDENES'!$W93=$F$3),'ORDENES'!$AB93=TRUE),'ORDENES'!$AO93&amp;" | "&amp;'ORDENES'!$S93&amp;" | "&amp;IF('ORDENES'!$AC93="","(sin técnico)",'ORDENES'!$AC93)&amp;" | "&amp;'ORDENES'!$D93&amp;" ("&amp;'ORDENES'!$N93&amp;" h)","")</f>
        <v/>
      </c>
    </row>
    <row r="98">
      <c r="K98" s="3">
        <f>IF(AND(IF($B$3="(todos)",TRUE,'ORDENES'!$P94=$B$3),IF($D$3="(todos)",TRUE,'ORDENES'!$AD94=$D$3),IF($F$3="(todos)",TRUE,'ORDENES'!$W94=$F$3),'ORDENES'!$AB94=TRUE),'ORDENES'!$AO94&amp;" | "&amp;'ORDENES'!$S94&amp;" | "&amp;IF('ORDENES'!$AC94="","(sin técnico)",'ORDENES'!$AC94)&amp;" | "&amp;'ORDENES'!$D94&amp;" ("&amp;'ORDENES'!$N94&amp;" h)","")</f>
        <v/>
      </c>
    </row>
    <row r="99">
      <c r="K99" s="3">
        <f>IF(AND(IF($B$3="(todos)",TRUE,'ORDENES'!$P95=$B$3),IF($D$3="(todos)",TRUE,'ORDENES'!$AD95=$D$3),IF($F$3="(todos)",TRUE,'ORDENES'!$W95=$F$3),'ORDENES'!$AB95=TRUE),'ORDENES'!$AO95&amp;" | "&amp;'ORDENES'!$S95&amp;" | "&amp;IF('ORDENES'!$AC95="","(sin técnico)",'ORDENES'!$AC95)&amp;" | "&amp;'ORDENES'!$D95&amp;" ("&amp;'ORDENES'!$N95&amp;" h)","")</f>
        <v/>
      </c>
    </row>
    <row r="100">
      <c r="K100" s="3">
        <f>IF(AND(IF($B$3="(todos)",TRUE,'ORDENES'!$P96=$B$3),IF($D$3="(todos)",TRUE,'ORDENES'!$AD96=$D$3),IF($F$3="(todos)",TRUE,'ORDENES'!$W96=$F$3),'ORDENES'!$AB96=TRUE),'ORDENES'!$AO96&amp;" | "&amp;'ORDENES'!$S96&amp;" | "&amp;IF('ORDENES'!$AC96="","(sin técnico)",'ORDENES'!$AC96)&amp;" | "&amp;'ORDENES'!$D96&amp;" ("&amp;'ORDENES'!$N96&amp;" h)","")</f>
        <v/>
      </c>
    </row>
    <row r="101">
      <c r="K101" s="3">
        <f>IF(AND(IF($B$3="(todos)",TRUE,'ORDENES'!$P97=$B$3),IF($D$3="(todos)",TRUE,'ORDENES'!$AD97=$D$3),IF($F$3="(todos)",TRUE,'ORDENES'!$W97=$F$3),'ORDENES'!$AB97=TRUE),'ORDENES'!$AO97&amp;" | "&amp;'ORDENES'!$S97&amp;" | "&amp;IF('ORDENES'!$AC97="","(sin técnico)",'ORDENES'!$AC97)&amp;" | "&amp;'ORDENES'!$D97&amp;" ("&amp;'ORDENES'!$N97&amp;" h)","")</f>
        <v/>
      </c>
    </row>
    <row r="102">
      <c r="K102" s="3">
        <f>IF(AND(IF($B$3="(todos)",TRUE,'ORDENES'!$P98=$B$3),IF($D$3="(todos)",TRUE,'ORDENES'!$AD98=$D$3),IF($F$3="(todos)",TRUE,'ORDENES'!$W98=$F$3),'ORDENES'!$AB98=TRUE),'ORDENES'!$AO98&amp;" | "&amp;'ORDENES'!$S98&amp;" | "&amp;IF('ORDENES'!$AC98="","(sin técnico)",'ORDENES'!$AC98)&amp;" | "&amp;'ORDENES'!$D98&amp;" ("&amp;'ORDENES'!$N98&amp;" h)","")</f>
        <v/>
      </c>
    </row>
    <row r="103">
      <c r="K103" s="3">
        <f>IF(AND(IF($B$3="(todos)",TRUE,'ORDENES'!$P99=$B$3),IF($D$3="(todos)",TRUE,'ORDENES'!$AD99=$D$3),IF($F$3="(todos)",TRUE,'ORDENES'!$W99=$F$3),'ORDENES'!$AB99=TRUE),'ORDENES'!$AO99&amp;" | "&amp;'ORDENES'!$S99&amp;" | "&amp;IF('ORDENES'!$AC99="","(sin técnico)",'ORDENES'!$AC99)&amp;" | "&amp;'ORDENES'!$D99&amp;" ("&amp;'ORDENES'!$N99&amp;" h)","")</f>
        <v/>
      </c>
    </row>
    <row r="104">
      <c r="K104" s="3">
        <f>IF(AND(IF($B$3="(todos)",TRUE,'ORDENES'!$P100=$B$3),IF($D$3="(todos)",TRUE,'ORDENES'!$AD100=$D$3),IF($F$3="(todos)",TRUE,'ORDENES'!$W100=$F$3),'ORDENES'!$AB100=TRUE),'ORDENES'!$AO100&amp;" | "&amp;'ORDENES'!$S100&amp;" | "&amp;IF('ORDENES'!$AC100="","(sin técnico)",'ORDENES'!$AC100)&amp;" | "&amp;'ORDENES'!$D100&amp;" ("&amp;'ORDENES'!$N100&amp;" h)","")</f>
        <v/>
      </c>
    </row>
    <row r="105">
      <c r="K105" s="3">
        <f>IF(AND(IF($B$3="(todos)",TRUE,'ORDENES'!$P101=$B$3),IF($D$3="(todos)",TRUE,'ORDENES'!$AD101=$D$3),IF($F$3="(todos)",TRUE,'ORDENES'!$W101=$F$3),'ORDENES'!$AB101=TRUE),'ORDENES'!$AO101&amp;" | "&amp;'ORDENES'!$S101&amp;" | "&amp;IF('ORDENES'!$AC101="","(sin técnico)",'ORDENES'!$AC101)&amp;" | "&amp;'ORDENES'!$D101&amp;" ("&amp;'ORDENES'!$N101&amp;" h)","")</f>
        <v/>
      </c>
    </row>
    <row r="106">
      <c r="K106" s="3">
        <f>IF(AND(IF($B$3="(todos)",TRUE,'ORDENES'!$P102=$B$3),IF($D$3="(todos)",TRUE,'ORDENES'!$AD102=$D$3),IF($F$3="(todos)",TRUE,'ORDENES'!$W102=$F$3),'ORDENES'!$AB102=TRUE),'ORDENES'!$AO102&amp;" | "&amp;'ORDENES'!$S102&amp;" | "&amp;IF('ORDENES'!$AC102="","(sin técnico)",'ORDENES'!$AC102)&amp;" | "&amp;'ORDENES'!$D102&amp;" ("&amp;'ORDENES'!$N102&amp;" h)","")</f>
        <v/>
      </c>
    </row>
    <row r="107">
      <c r="K107" s="3">
        <f>IF(AND(IF($B$3="(todos)",TRUE,'ORDENES'!$P103=$B$3),IF($D$3="(todos)",TRUE,'ORDENES'!$AD103=$D$3),IF($F$3="(todos)",TRUE,'ORDENES'!$W103=$F$3),'ORDENES'!$AB103=TRUE),'ORDENES'!$AO103&amp;" | "&amp;'ORDENES'!$S103&amp;" | "&amp;IF('ORDENES'!$AC103="","(sin técnico)",'ORDENES'!$AC103)&amp;" | "&amp;'ORDENES'!$D103&amp;" ("&amp;'ORDENES'!$N103&amp;" h)","")</f>
        <v/>
      </c>
    </row>
    <row r="108">
      <c r="K108" s="3">
        <f>IF(AND(IF($B$3="(todos)",TRUE,'ORDENES'!$P104=$B$3),IF($D$3="(todos)",TRUE,'ORDENES'!$AD104=$D$3),IF($F$3="(todos)",TRUE,'ORDENES'!$W104=$F$3),'ORDENES'!$AB104=TRUE),'ORDENES'!$AO104&amp;" | "&amp;'ORDENES'!$S104&amp;" | "&amp;IF('ORDENES'!$AC104="","(sin técnico)",'ORDENES'!$AC104)&amp;" | "&amp;'ORDENES'!$D104&amp;" ("&amp;'ORDENES'!$N104&amp;" h)","")</f>
        <v/>
      </c>
    </row>
    <row r="109">
      <c r="K109" s="3">
        <f>IF(AND(IF($B$3="(todos)",TRUE,'ORDENES'!$P105=$B$3),IF($D$3="(todos)",TRUE,'ORDENES'!$AD105=$D$3),IF($F$3="(todos)",TRUE,'ORDENES'!$W105=$F$3),'ORDENES'!$AB105=TRUE),'ORDENES'!$AO105&amp;" | "&amp;'ORDENES'!$S105&amp;" | "&amp;IF('ORDENES'!$AC105="","(sin técnico)",'ORDENES'!$AC105)&amp;" | "&amp;'ORDENES'!$D105&amp;" ("&amp;'ORDENES'!$N105&amp;" h)","")</f>
        <v/>
      </c>
    </row>
    <row r="110">
      <c r="K110" s="3">
        <f>IF(AND(IF($B$3="(todos)",TRUE,'ORDENES'!$P106=$B$3),IF($D$3="(todos)",TRUE,'ORDENES'!$AD106=$D$3),IF($F$3="(todos)",TRUE,'ORDENES'!$W106=$F$3),'ORDENES'!$AB106=TRUE),'ORDENES'!$AO106&amp;" | "&amp;'ORDENES'!$S106&amp;" | "&amp;IF('ORDENES'!$AC106="","(sin técnico)",'ORDENES'!$AC106)&amp;" | "&amp;'ORDENES'!$D106&amp;" ("&amp;'ORDENES'!$N106&amp;" h)","")</f>
        <v/>
      </c>
    </row>
    <row r="111">
      <c r="K111" s="3">
        <f>IF(AND(IF($B$3="(todos)",TRUE,'ORDENES'!$P107=$B$3),IF($D$3="(todos)",TRUE,'ORDENES'!$AD107=$D$3),IF($F$3="(todos)",TRUE,'ORDENES'!$W107=$F$3),'ORDENES'!$AB107=TRUE),'ORDENES'!$AO107&amp;" | "&amp;'ORDENES'!$S107&amp;" | "&amp;IF('ORDENES'!$AC107="","(sin técnico)",'ORDENES'!$AC107)&amp;" | "&amp;'ORDENES'!$D107&amp;" ("&amp;'ORDENES'!$N107&amp;" h)","")</f>
        <v/>
      </c>
    </row>
    <row r="112">
      <c r="K112" s="3">
        <f>IF(AND(IF($B$3="(todos)",TRUE,'ORDENES'!$P108=$B$3),IF($D$3="(todos)",TRUE,'ORDENES'!$AD108=$D$3),IF($F$3="(todos)",TRUE,'ORDENES'!$W108=$F$3),'ORDENES'!$AB108=TRUE),'ORDENES'!$AO108&amp;" | "&amp;'ORDENES'!$S108&amp;" | "&amp;IF('ORDENES'!$AC108="","(sin técnico)",'ORDENES'!$AC108)&amp;" | "&amp;'ORDENES'!$D108&amp;" ("&amp;'ORDENES'!$N108&amp;" h)","")</f>
        <v/>
      </c>
    </row>
    <row r="113">
      <c r="K113" s="3">
        <f>IF(AND(IF($B$3="(todos)",TRUE,'ORDENES'!$P109=$B$3),IF($D$3="(todos)",TRUE,'ORDENES'!$AD109=$D$3),IF($F$3="(todos)",TRUE,'ORDENES'!$W109=$F$3),'ORDENES'!$AB109=TRUE),'ORDENES'!$AO109&amp;" | "&amp;'ORDENES'!$S109&amp;" | "&amp;IF('ORDENES'!$AC109="","(sin técnico)",'ORDENES'!$AC109)&amp;" | "&amp;'ORDENES'!$D109&amp;" ("&amp;'ORDENES'!$N109&amp;" h)","")</f>
        <v/>
      </c>
    </row>
    <row r="114">
      <c r="K114" s="3">
        <f>IF(AND(IF($B$3="(todos)",TRUE,'ORDENES'!$P110=$B$3),IF($D$3="(todos)",TRUE,'ORDENES'!$AD110=$D$3),IF($F$3="(todos)",TRUE,'ORDENES'!$W110=$F$3),'ORDENES'!$AB110=TRUE),'ORDENES'!$AO110&amp;" | "&amp;'ORDENES'!$S110&amp;" | "&amp;IF('ORDENES'!$AC110="","(sin técnico)",'ORDENES'!$AC110)&amp;" | "&amp;'ORDENES'!$D110&amp;" ("&amp;'ORDENES'!$N110&amp;" h)","")</f>
        <v/>
      </c>
    </row>
    <row r="115">
      <c r="K115" s="3">
        <f>IF(AND(IF($B$3="(todos)",TRUE,'ORDENES'!$P111=$B$3),IF($D$3="(todos)",TRUE,'ORDENES'!$AD111=$D$3),IF($F$3="(todos)",TRUE,'ORDENES'!$W111=$F$3),'ORDENES'!$AB111=TRUE),'ORDENES'!$AO111&amp;" | "&amp;'ORDENES'!$S111&amp;" | "&amp;IF('ORDENES'!$AC111="","(sin técnico)",'ORDENES'!$AC111)&amp;" | "&amp;'ORDENES'!$D111&amp;" ("&amp;'ORDENES'!$N111&amp;" h)","")</f>
        <v/>
      </c>
    </row>
    <row r="116">
      <c r="K116" s="3">
        <f>IF(AND(IF($B$3="(todos)",TRUE,'ORDENES'!$P112=$B$3),IF($D$3="(todos)",TRUE,'ORDENES'!$AD112=$D$3),IF($F$3="(todos)",TRUE,'ORDENES'!$W112=$F$3),'ORDENES'!$AB112=TRUE),'ORDENES'!$AO112&amp;" | "&amp;'ORDENES'!$S112&amp;" | "&amp;IF('ORDENES'!$AC112="","(sin técnico)",'ORDENES'!$AC112)&amp;" | "&amp;'ORDENES'!$D112&amp;" ("&amp;'ORDENES'!$N112&amp;" h)","")</f>
        <v/>
      </c>
    </row>
    <row r="117">
      <c r="K117" s="3">
        <f>IF(AND(IF($B$3="(todos)",TRUE,'ORDENES'!$P113=$B$3),IF($D$3="(todos)",TRUE,'ORDENES'!$AD113=$D$3),IF($F$3="(todos)",TRUE,'ORDENES'!$W113=$F$3),'ORDENES'!$AB113=TRUE),'ORDENES'!$AO113&amp;" | "&amp;'ORDENES'!$S113&amp;" | "&amp;IF('ORDENES'!$AC113="","(sin técnico)",'ORDENES'!$AC113)&amp;" | "&amp;'ORDENES'!$D113&amp;" ("&amp;'ORDENES'!$N113&amp;" h)","")</f>
        <v/>
      </c>
    </row>
    <row r="118">
      <c r="K118" s="3">
        <f>IF(AND(IF($B$3="(todos)",TRUE,'ORDENES'!$P114=$B$3),IF($D$3="(todos)",TRUE,'ORDENES'!$AD114=$D$3),IF($F$3="(todos)",TRUE,'ORDENES'!$W114=$F$3),'ORDENES'!$AB114=TRUE),'ORDENES'!$AO114&amp;" | "&amp;'ORDENES'!$S114&amp;" | "&amp;IF('ORDENES'!$AC114="","(sin técnico)",'ORDENES'!$AC114)&amp;" | "&amp;'ORDENES'!$D114&amp;" ("&amp;'ORDENES'!$N114&amp;" h)","")</f>
        <v/>
      </c>
    </row>
    <row r="119">
      <c r="K119" s="3">
        <f>IF(AND(IF($B$3="(todos)",TRUE,'ORDENES'!$P115=$B$3),IF($D$3="(todos)",TRUE,'ORDENES'!$AD115=$D$3),IF($F$3="(todos)",TRUE,'ORDENES'!$W115=$F$3),'ORDENES'!$AB115=TRUE),'ORDENES'!$AO115&amp;" | "&amp;'ORDENES'!$S115&amp;" | "&amp;IF('ORDENES'!$AC115="","(sin técnico)",'ORDENES'!$AC115)&amp;" | "&amp;'ORDENES'!$D115&amp;" ("&amp;'ORDENES'!$N115&amp;" h)","")</f>
        <v/>
      </c>
    </row>
    <row r="120">
      <c r="K120" s="3">
        <f>IF(AND(IF($B$3="(todos)",TRUE,'ORDENES'!$P116=$B$3),IF($D$3="(todos)",TRUE,'ORDENES'!$AD116=$D$3),IF($F$3="(todos)",TRUE,'ORDENES'!$W116=$F$3),'ORDENES'!$AB116=TRUE),'ORDENES'!$AO116&amp;" | "&amp;'ORDENES'!$S116&amp;" | "&amp;IF('ORDENES'!$AC116="","(sin técnico)",'ORDENES'!$AC116)&amp;" | "&amp;'ORDENES'!$D116&amp;" ("&amp;'ORDENES'!$N116&amp;" h)","")</f>
        <v/>
      </c>
    </row>
    <row r="121">
      <c r="K121" s="3">
        <f>IF(AND(IF($B$3="(todos)",TRUE,'ORDENES'!$P117=$B$3),IF($D$3="(todos)",TRUE,'ORDENES'!$AD117=$D$3),IF($F$3="(todos)",TRUE,'ORDENES'!$W117=$F$3),'ORDENES'!$AB117=TRUE),'ORDENES'!$AO117&amp;" | "&amp;'ORDENES'!$S117&amp;" | "&amp;IF('ORDENES'!$AC117="","(sin técnico)",'ORDENES'!$AC117)&amp;" | "&amp;'ORDENES'!$D117&amp;" ("&amp;'ORDENES'!$N117&amp;" h)","")</f>
        <v/>
      </c>
    </row>
    <row r="122">
      <c r="K122" s="3">
        <f>IF(AND(IF($B$3="(todos)",TRUE,'ORDENES'!$P118=$B$3),IF($D$3="(todos)",TRUE,'ORDENES'!$AD118=$D$3),IF($F$3="(todos)",TRUE,'ORDENES'!$W118=$F$3),'ORDENES'!$AB118=TRUE),'ORDENES'!$AO118&amp;" | "&amp;'ORDENES'!$S118&amp;" | "&amp;IF('ORDENES'!$AC118="","(sin técnico)",'ORDENES'!$AC118)&amp;" | "&amp;'ORDENES'!$D118&amp;" ("&amp;'ORDENES'!$N118&amp;" h)","")</f>
        <v/>
      </c>
    </row>
    <row r="123">
      <c r="K123" s="3">
        <f>IF(AND(IF($B$3="(todos)",TRUE,'ORDENES'!$P119=$B$3),IF($D$3="(todos)",TRUE,'ORDENES'!$AD119=$D$3),IF($F$3="(todos)",TRUE,'ORDENES'!$W119=$F$3),'ORDENES'!$AB119=TRUE),'ORDENES'!$AO119&amp;" | "&amp;'ORDENES'!$S119&amp;" | "&amp;IF('ORDENES'!$AC119="","(sin técnico)",'ORDENES'!$AC119)&amp;" | "&amp;'ORDENES'!$D119&amp;" ("&amp;'ORDENES'!$N119&amp;" h)","")</f>
        <v/>
      </c>
    </row>
    <row r="124">
      <c r="K124" s="3">
        <f>IF(AND(IF($B$3="(todos)",TRUE,'ORDENES'!$P120=$B$3),IF($D$3="(todos)",TRUE,'ORDENES'!$AD120=$D$3),IF($F$3="(todos)",TRUE,'ORDENES'!$W120=$F$3),'ORDENES'!$AB120=TRUE),'ORDENES'!$AO120&amp;" | "&amp;'ORDENES'!$S120&amp;" | "&amp;IF('ORDENES'!$AC120="","(sin técnico)",'ORDENES'!$AC120)&amp;" | "&amp;'ORDENES'!$D120&amp;" ("&amp;'ORDENES'!$N120&amp;" h)","")</f>
        <v/>
      </c>
    </row>
    <row r="125">
      <c r="K125" s="3">
        <f>IF(AND(IF($B$3="(todos)",TRUE,'ORDENES'!$P121=$B$3),IF($D$3="(todos)",TRUE,'ORDENES'!$AD121=$D$3),IF($F$3="(todos)",TRUE,'ORDENES'!$W121=$F$3),'ORDENES'!$AB121=TRUE),'ORDENES'!$AO121&amp;" | "&amp;'ORDENES'!$S121&amp;" | "&amp;IF('ORDENES'!$AC121="","(sin técnico)",'ORDENES'!$AC121)&amp;" | "&amp;'ORDENES'!$D121&amp;" ("&amp;'ORDENES'!$N121&amp;" h)","")</f>
        <v/>
      </c>
    </row>
    <row r="126">
      <c r="K126" s="3">
        <f>IF(AND(IF($B$3="(todos)",TRUE,'ORDENES'!$P122=$B$3),IF($D$3="(todos)",TRUE,'ORDENES'!$AD122=$D$3),IF($F$3="(todos)",TRUE,'ORDENES'!$W122=$F$3),'ORDENES'!$AB122=TRUE),'ORDENES'!$AO122&amp;" | "&amp;'ORDENES'!$S122&amp;" | "&amp;IF('ORDENES'!$AC122="","(sin técnico)",'ORDENES'!$AC122)&amp;" | "&amp;'ORDENES'!$D122&amp;" ("&amp;'ORDENES'!$N122&amp;" h)","")</f>
        <v/>
      </c>
    </row>
    <row r="127">
      <c r="K127" s="3">
        <f>IF(AND(IF($B$3="(todos)",TRUE,'ORDENES'!$P123=$B$3),IF($D$3="(todos)",TRUE,'ORDENES'!$AD123=$D$3),IF($F$3="(todos)",TRUE,'ORDENES'!$W123=$F$3),'ORDENES'!$AB123=TRUE),'ORDENES'!$AO123&amp;" | "&amp;'ORDENES'!$S123&amp;" | "&amp;IF('ORDENES'!$AC123="","(sin técnico)",'ORDENES'!$AC123)&amp;" | "&amp;'ORDENES'!$D123&amp;" ("&amp;'ORDENES'!$N123&amp;" h)","")</f>
        <v/>
      </c>
    </row>
    <row r="128">
      <c r="K128" s="3">
        <f>IF(AND(IF($B$3="(todos)",TRUE,'ORDENES'!$P124=$B$3),IF($D$3="(todos)",TRUE,'ORDENES'!$AD124=$D$3),IF($F$3="(todos)",TRUE,'ORDENES'!$W124=$F$3),'ORDENES'!$AB124=TRUE),'ORDENES'!$AO124&amp;" | "&amp;'ORDENES'!$S124&amp;" | "&amp;IF('ORDENES'!$AC124="","(sin técnico)",'ORDENES'!$AC124)&amp;" | "&amp;'ORDENES'!$D124&amp;" ("&amp;'ORDENES'!$N124&amp;" h)","")</f>
        <v/>
      </c>
    </row>
    <row r="129">
      <c r="K129" s="3">
        <f>IF(AND(IF($B$3="(todos)",TRUE,'ORDENES'!$P125=$B$3),IF($D$3="(todos)",TRUE,'ORDENES'!$AD125=$D$3),IF($F$3="(todos)",TRUE,'ORDENES'!$W125=$F$3),'ORDENES'!$AB125=TRUE),'ORDENES'!$AO125&amp;" | "&amp;'ORDENES'!$S125&amp;" | "&amp;IF('ORDENES'!$AC125="","(sin técnico)",'ORDENES'!$AC125)&amp;" | "&amp;'ORDENES'!$D125&amp;" ("&amp;'ORDENES'!$N125&amp;" h)","")</f>
        <v/>
      </c>
    </row>
    <row r="130">
      <c r="K130" s="3">
        <f>IF(AND(IF($B$3="(todos)",TRUE,'ORDENES'!$P126=$B$3),IF($D$3="(todos)",TRUE,'ORDENES'!$AD126=$D$3),IF($F$3="(todos)",TRUE,'ORDENES'!$W126=$F$3),'ORDENES'!$AB126=TRUE),'ORDENES'!$AO126&amp;" | "&amp;'ORDENES'!$S126&amp;" | "&amp;IF('ORDENES'!$AC126="","(sin técnico)",'ORDENES'!$AC126)&amp;" | "&amp;'ORDENES'!$D126&amp;" ("&amp;'ORDENES'!$N126&amp;" h)","")</f>
        <v/>
      </c>
    </row>
    <row r="131">
      <c r="K131" s="3">
        <f>IF(AND(IF($B$3="(todos)",TRUE,'ORDENES'!$P127=$B$3),IF($D$3="(todos)",TRUE,'ORDENES'!$AD127=$D$3),IF($F$3="(todos)",TRUE,'ORDENES'!$W127=$F$3),'ORDENES'!$AB127=TRUE),'ORDENES'!$AO127&amp;" | "&amp;'ORDENES'!$S127&amp;" | "&amp;IF('ORDENES'!$AC127="","(sin técnico)",'ORDENES'!$AC127)&amp;" | "&amp;'ORDENES'!$D127&amp;" ("&amp;'ORDENES'!$N127&amp;" h)","")</f>
        <v/>
      </c>
    </row>
    <row r="132">
      <c r="K132" s="3">
        <f>IF(AND(IF($B$3="(todos)",TRUE,'ORDENES'!$P128=$B$3),IF($D$3="(todos)",TRUE,'ORDENES'!$AD128=$D$3),IF($F$3="(todos)",TRUE,'ORDENES'!$W128=$F$3),'ORDENES'!$AB128=TRUE),'ORDENES'!$AO128&amp;" | "&amp;'ORDENES'!$S128&amp;" | "&amp;IF('ORDENES'!$AC128="","(sin técnico)",'ORDENES'!$AC128)&amp;" | "&amp;'ORDENES'!$D128&amp;" ("&amp;'ORDENES'!$N128&amp;" h)","")</f>
        <v/>
      </c>
    </row>
    <row r="133">
      <c r="K133" s="3">
        <f>IF(AND(IF($B$3="(todos)",TRUE,'ORDENES'!$P129=$B$3),IF($D$3="(todos)",TRUE,'ORDENES'!$AD129=$D$3),IF($F$3="(todos)",TRUE,'ORDENES'!$W129=$F$3),'ORDENES'!$AB129=TRUE),'ORDENES'!$AO129&amp;" | "&amp;'ORDENES'!$S129&amp;" | "&amp;IF('ORDENES'!$AC129="","(sin técnico)",'ORDENES'!$AC129)&amp;" | "&amp;'ORDENES'!$D129&amp;" ("&amp;'ORDENES'!$N129&amp;" h)","")</f>
        <v/>
      </c>
    </row>
    <row r="134">
      <c r="K134" s="3">
        <f>IF(AND(IF($B$3="(todos)",TRUE,'ORDENES'!$P130=$B$3),IF($D$3="(todos)",TRUE,'ORDENES'!$AD130=$D$3),IF($F$3="(todos)",TRUE,'ORDENES'!$W130=$F$3),'ORDENES'!$AB130=TRUE),'ORDENES'!$AO130&amp;" | "&amp;'ORDENES'!$S130&amp;" | "&amp;IF('ORDENES'!$AC130="","(sin técnico)",'ORDENES'!$AC130)&amp;" | "&amp;'ORDENES'!$D130&amp;" ("&amp;'ORDENES'!$N130&amp;" h)","")</f>
        <v/>
      </c>
    </row>
    <row r="135">
      <c r="K135" s="3">
        <f>IF(AND(IF($B$3="(todos)",TRUE,'ORDENES'!$P131=$B$3),IF($D$3="(todos)",TRUE,'ORDENES'!$AD131=$D$3),IF($F$3="(todos)",TRUE,'ORDENES'!$W131=$F$3),'ORDENES'!$AB131=TRUE),'ORDENES'!$AO131&amp;" | "&amp;'ORDENES'!$S131&amp;" | "&amp;IF('ORDENES'!$AC131="","(sin técnico)",'ORDENES'!$AC131)&amp;" | "&amp;'ORDENES'!$D131&amp;" ("&amp;'ORDENES'!$N131&amp;" h)","")</f>
        <v/>
      </c>
    </row>
    <row r="136">
      <c r="K136" s="3">
        <f>IF(AND(IF($B$3="(todos)",TRUE,'ORDENES'!$P132=$B$3),IF($D$3="(todos)",TRUE,'ORDENES'!$AD132=$D$3),IF($F$3="(todos)",TRUE,'ORDENES'!$W132=$F$3),'ORDENES'!$AB132=TRUE),'ORDENES'!$AO132&amp;" | "&amp;'ORDENES'!$S132&amp;" | "&amp;IF('ORDENES'!$AC132="","(sin técnico)",'ORDENES'!$AC132)&amp;" | "&amp;'ORDENES'!$D132&amp;" ("&amp;'ORDENES'!$N132&amp;" h)","")</f>
        <v/>
      </c>
    </row>
    <row r="137">
      <c r="K137" s="3">
        <f>IF(AND(IF($B$3="(todos)",TRUE,'ORDENES'!$P133=$B$3),IF($D$3="(todos)",TRUE,'ORDENES'!$AD133=$D$3),IF($F$3="(todos)",TRUE,'ORDENES'!$W133=$F$3),'ORDENES'!$AB133=TRUE),'ORDENES'!$AO133&amp;" | "&amp;'ORDENES'!$S133&amp;" | "&amp;IF('ORDENES'!$AC133="","(sin técnico)",'ORDENES'!$AC133)&amp;" | "&amp;'ORDENES'!$D133&amp;" ("&amp;'ORDENES'!$N133&amp;" h)","")</f>
        <v/>
      </c>
    </row>
    <row r="138">
      <c r="K138" s="3">
        <f>IF(AND(IF($B$3="(todos)",TRUE,'ORDENES'!$P134=$B$3),IF($D$3="(todos)",TRUE,'ORDENES'!$AD134=$D$3),IF($F$3="(todos)",TRUE,'ORDENES'!$W134=$F$3),'ORDENES'!$AB134=TRUE),'ORDENES'!$AO134&amp;" | "&amp;'ORDENES'!$S134&amp;" | "&amp;IF('ORDENES'!$AC134="","(sin técnico)",'ORDENES'!$AC134)&amp;" | "&amp;'ORDENES'!$D134&amp;" ("&amp;'ORDENES'!$N134&amp;" h)","")</f>
        <v/>
      </c>
    </row>
    <row r="139">
      <c r="K139" s="3">
        <f>IF(AND(IF($B$3="(todos)",TRUE,'ORDENES'!$P135=$B$3),IF($D$3="(todos)",TRUE,'ORDENES'!$AD135=$D$3),IF($F$3="(todos)",TRUE,'ORDENES'!$W135=$F$3),'ORDENES'!$AB135=TRUE),'ORDENES'!$AO135&amp;" | "&amp;'ORDENES'!$S135&amp;" | "&amp;IF('ORDENES'!$AC135="","(sin técnico)",'ORDENES'!$AC135)&amp;" | "&amp;'ORDENES'!$D135&amp;" ("&amp;'ORDENES'!$N135&amp;" h)","")</f>
        <v/>
      </c>
    </row>
    <row r="140">
      <c r="K140" s="3">
        <f>IF(AND(IF($B$3="(todos)",TRUE,'ORDENES'!$P136=$B$3),IF($D$3="(todos)",TRUE,'ORDENES'!$AD136=$D$3),IF($F$3="(todos)",TRUE,'ORDENES'!$W136=$F$3),'ORDENES'!$AB136=TRUE),'ORDENES'!$AO136&amp;" | "&amp;'ORDENES'!$S136&amp;" | "&amp;IF('ORDENES'!$AC136="","(sin técnico)",'ORDENES'!$AC136)&amp;" | "&amp;'ORDENES'!$D136&amp;" ("&amp;'ORDENES'!$N136&amp;" h)","")</f>
        <v/>
      </c>
    </row>
    <row r="141">
      <c r="K141" s="3">
        <f>IF(AND(IF($B$3="(todos)",TRUE,'ORDENES'!$P137=$B$3),IF($D$3="(todos)",TRUE,'ORDENES'!$AD137=$D$3),IF($F$3="(todos)",TRUE,'ORDENES'!$W137=$F$3),'ORDENES'!$AB137=TRUE),'ORDENES'!$AO137&amp;" | "&amp;'ORDENES'!$S137&amp;" | "&amp;IF('ORDENES'!$AC137="","(sin técnico)",'ORDENES'!$AC137)&amp;" | "&amp;'ORDENES'!$D137&amp;" ("&amp;'ORDENES'!$N137&amp;" h)","")</f>
        <v/>
      </c>
    </row>
    <row r="142">
      <c r="K142" s="3">
        <f>IF(AND(IF($B$3="(todos)",TRUE,'ORDENES'!$P138=$B$3),IF($D$3="(todos)",TRUE,'ORDENES'!$AD138=$D$3),IF($F$3="(todos)",TRUE,'ORDENES'!$W138=$F$3),'ORDENES'!$AB138=TRUE),'ORDENES'!$AO138&amp;" | "&amp;'ORDENES'!$S138&amp;" | "&amp;IF('ORDENES'!$AC138="","(sin técnico)",'ORDENES'!$AC138)&amp;" | "&amp;'ORDENES'!$D138&amp;" ("&amp;'ORDENES'!$N138&amp;" h)","")</f>
        <v/>
      </c>
    </row>
    <row r="143">
      <c r="K143" s="3">
        <f>IF(AND(IF($B$3="(todos)",TRUE,'ORDENES'!$P139=$B$3),IF($D$3="(todos)",TRUE,'ORDENES'!$AD139=$D$3),IF($F$3="(todos)",TRUE,'ORDENES'!$W139=$F$3),'ORDENES'!$AB139=TRUE),'ORDENES'!$AO139&amp;" | "&amp;'ORDENES'!$S139&amp;" | "&amp;IF('ORDENES'!$AC139="","(sin técnico)",'ORDENES'!$AC139)&amp;" | "&amp;'ORDENES'!$D139&amp;" ("&amp;'ORDENES'!$N139&amp;" h)","")</f>
        <v/>
      </c>
    </row>
    <row r="144">
      <c r="K144" s="3">
        <f>IF(AND(IF($B$3="(todos)",TRUE,'ORDENES'!$P140=$B$3),IF($D$3="(todos)",TRUE,'ORDENES'!$AD140=$D$3),IF($F$3="(todos)",TRUE,'ORDENES'!$W140=$F$3),'ORDENES'!$AB140=TRUE),'ORDENES'!$AO140&amp;" | "&amp;'ORDENES'!$S140&amp;" | "&amp;IF('ORDENES'!$AC140="","(sin técnico)",'ORDENES'!$AC140)&amp;" | "&amp;'ORDENES'!$D140&amp;" ("&amp;'ORDENES'!$N140&amp;" h)","")</f>
        <v/>
      </c>
    </row>
    <row r="145">
      <c r="K145" s="3">
        <f>IF(AND(IF($B$3="(todos)",TRUE,'ORDENES'!$P141=$B$3),IF($D$3="(todos)",TRUE,'ORDENES'!$AD141=$D$3),IF($F$3="(todos)",TRUE,'ORDENES'!$W141=$F$3),'ORDENES'!$AB141=TRUE),'ORDENES'!$AO141&amp;" | "&amp;'ORDENES'!$S141&amp;" | "&amp;IF('ORDENES'!$AC141="","(sin técnico)",'ORDENES'!$AC141)&amp;" | "&amp;'ORDENES'!$D141&amp;" ("&amp;'ORDENES'!$N141&amp;" h)","")</f>
        <v/>
      </c>
    </row>
    <row r="146">
      <c r="K146" s="3">
        <f>IF(AND(IF($B$3="(todos)",TRUE,'ORDENES'!$P142=$B$3),IF($D$3="(todos)",TRUE,'ORDENES'!$AD142=$D$3),IF($F$3="(todos)",TRUE,'ORDENES'!$W142=$F$3),'ORDENES'!$AB142=TRUE),'ORDENES'!$AO142&amp;" | "&amp;'ORDENES'!$S142&amp;" | "&amp;IF('ORDENES'!$AC142="","(sin técnico)",'ORDENES'!$AC142)&amp;" | "&amp;'ORDENES'!$D142&amp;" ("&amp;'ORDENES'!$N142&amp;" h)","")</f>
        <v/>
      </c>
    </row>
    <row r="147">
      <c r="K147" s="3">
        <f>IF(AND(IF($B$3="(todos)",TRUE,'ORDENES'!$P143=$B$3),IF($D$3="(todos)",TRUE,'ORDENES'!$AD143=$D$3),IF($F$3="(todos)",TRUE,'ORDENES'!$W143=$F$3),'ORDENES'!$AB143=TRUE),'ORDENES'!$AO143&amp;" | "&amp;'ORDENES'!$S143&amp;" | "&amp;IF('ORDENES'!$AC143="","(sin técnico)",'ORDENES'!$AC143)&amp;" | "&amp;'ORDENES'!$D143&amp;" ("&amp;'ORDENES'!$N143&amp;" h)","")</f>
        <v/>
      </c>
    </row>
    <row r="148">
      <c r="K148" s="3">
        <f>IF(AND(IF($B$3="(todos)",TRUE,'ORDENES'!$P144=$B$3),IF($D$3="(todos)",TRUE,'ORDENES'!$AD144=$D$3),IF($F$3="(todos)",TRUE,'ORDENES'!$W144=$F$3),'ORDENES'!$AB144=TRUE),'ORDENES'!$AO144&amp;" | "&amp;'ORDENES'!$S144&amp;" | "&amp;IF('ORDENES'!$AC144="","(sin técnico)",'ORDENES'!$AC144)&amp;" | "&amp;'ORDENES'!$D144&amp;" ("&amp;'ORDENES'!$N144&amp;" h)","")</f>
        <v/>
      </c>
    </row>
    <row r="149">
      <c r="K149" s="3">
        <f>IF(AND(IF($B$3="(todos)",TRUE,'ORDENES'!$P145=$B$3),IF($D$3="(todos)",TRUE,'ORDENES'!$AD145=$D$3),IF($F$3="(todos)",TRUE,'ORDENES'!$W145=$F$3),'ORDENES'!$AB145=TRUE),'ORDENES'!$AO145&amp;" | "&amp;'ORDENES'!$S145&amp;" | "&amp;IF('ORDENES'!$AC145="","(sin técnico)",'ORDENES'!$AC145)&amp;" | "&amp;'ORDENES'!$D145&amp;" ("&amp;'ORDENES'!$N145&amp;" h)","")</f>
        <v/>
      </c>
    </row>
    <row r="150">
      <c r="K150" s="3">
        <f>IF(AND(IF($B$3="(todos)",TRUE,'ORDENES'!$P146=$B$3),IF($D$3="(todos)",TRUE,'ORDENES'!$AD146=$D$3),IF($F$3="(todos)",TRUE,'ORDENES'!$W146=$F$3),'ORDENES'!$AB146=TRUE),'ORDENES'!$AO146&amp;" | "&amp;'ORDENES'!$S146&amp;" | "&amp;IF('ORDENES'!$AC146="","(sin técnico)",'ORDENES'!$AC146)&amp;" | "&amp;'ORDENES'!$D146&amp;" ("&amp;'ORDENES'!$N146&amp;" h)","")</f>
        <v/>
      </c>
    </row>
    <row r="151">
      <c r="K151" s="3">
        <f>IF(AND(IF($B$3="(todos)",TRUE,'ORDENES'!$P147=$B$3),IF($D$3="(todos)",TRUE,'ORDENES'!$AD147=$D$3),IF($F$3="(todos)",TRUE,'ORDENES'!$W147=$F$3),'ORDENES'!$AB147=TRUE),'ORDENES'!$AO147&amp;" | "&amp;'ORDENES'!$S147&amp;" | "&amp;IF('ORDENES'!$AC147="","(sin técnico)",'ORDENES'!$AC147)&amp;" | "&amp;'ORDENES'!$D147&amp;" ("&amp;'ORDENES'!$N147&amp;" h)","")</f>
        <v/>
      </c>
    </row>
    <row r="152">
      <c r="K152" s="3">
        <f>IF(AND(IF($B$3="(todos)",TRUE,'ORDENES'!$P148=$B$3),IF($D$3="(todos)",TRUE,'ORDENES'!$AD148=$D$3),IF($F$3="(todos)",TRUE,'ORDENES'!$W148=$F$3),'ORDENES'!$AB148=TRUE),'ORDENES'!$AO148&amp;" | "&amp;'ORDENES'!$S148&amp;" | "&amp;IF('ORDENES'!$AC148="","(sin técnico)",'ORDENES'!$AC148)&amp;" | "&amp;'ORDENES'!$D148&amp;" ("&amp;'ORDENES'!$N148&amp;" h)","")</f>
        <v/>
      </c>
    </row>
    <row r="153">
      <c r="K153" s="3">
        <f>IF(AND(IF($B$3="(todos)",TRUE,'ORDENES'!$P149=$B$3),IF($D$3="(todos)",TRUE,'ORDENES'!$AD149=$D$3),IF($F$3="(todos)",TRUE,'ORDENES'!$W149=$F$3),'ORDENES'!$AB149=TRUE),'ORDENES'!$AO149&amp;" | "&amp;'ORDENES'!$S149&amp;" | "&amp;IF('ORDENES'!$AC149="","(sin técnico)",'ORDENES'!$AC149)&amp;" | "&amp;'ORDENES'!$D149&amp;" ("&amp;'ORDENES'!$N149&amp;" h)","")</f>
        <v/>
      </c>
    </row>
    <row r="154">
      <c r="K154" s="3">
        <f>IF(AND(IF($B$3="(todos)",TRUE,'ORDENES'!$P150=$B$3),IF($D$3="(todos)",TRUE,'ORDENES'!$AD150=$D$3),IF($F$3="(todos)",TRUE,'ORDENES'!$W150=$F$3),'ORDENES'!$AB150=TRUE),'ORDENES'!$AO150&amp;" | "&amp;'ORDENES'!$S150&amp;" | "&amp;IF('ORDENES'!$AC150="","(sin técnico)",'ORDENES'!$AC150)&amp;" | "&amp;'ORDENES'!$D150&amp;" ("&amp;'ORDENES'!$N150&amp;" h)","")</f>
        <v/>
      </c>
    </row>
    <row r="155">
      <c r="K155" s="3">
        <f>IF(AND(IF($B$3="(todos)",TRUE,'ORDENES'!$P151=$B$3),IF($D$3="(todos)",TRUE,'ORDENES'!$AD151=$D$3),IF($F$3="(todos)",TRUE,'ORDENES'!$W151=$F$3),'ORDENES'!$AB151=TRUE),'ORDENES'!$AO151&amp;" | "&amp;'ORDENES'!$S151&amp;" | "&amp;IF('ORDENES'!$AC151="","(sin técnico)",'ORDENES'!$AC151)&amp;" | "&amp;'ORDENES'!$D151&amp;" ("&amp;'ORDENES'!$N151&amp;" h)","")</f>
        <v/>
      </c>
    </row>
    <row r="156">
      <c r="K156" s="3">
        <f>IF(AND(IF($B$3="(todos)",TRUE,'ORDENES'!$P152=$B$3),IF($D$3="(todos)",TRUE,'ORDENES'!$AD152=$D$3),IF($F$3="(todos)",TRUE,'ORDENES'!$W152=$F$3),'ORDENES'!$AB152=TRUE),'ORDENES'!$AO152&amp;" | "&amp;'ORDENES'!$S152&amp;" | "&amp;IF('ORDENES'!$AC152="","(sin técnico)",'ORDENES'!$AC152)&amp;" | "&amp;'ORDENES'!$D152&amp;" ("&amp;'ORDENES'!$N152&amp;" h)","")</f>
        <v/>
      </c>
    </row>
    <row r="157">
      <c r="K157" s="3">
        <f>IF(AND(IF($B$3="(todos)",TRUE,'ORDENES'!$P153=$B$3),IF($D$3="(todos)",TRUE,'ORDENES'!$AD153=$D$3),IF($F$3="(todos)",TRUE,'ORDENES'!$W153=$F$3),'ORDENES'!$AB153=TRUE),'ORDENES'!$AO153&amp;" | "&amp;'ORDENES'!$S153&amp;" | "&amp;IF('ORDENES'!$AC153="","(sin técnico)",'ORDENES'!$AC153)&amp;" | "&amp;'ORDENES'!$D153&amp;" ("&amp;'ORDENES'!$N153&amp;" h)","")</f>
        <v/>
      </c>
    </row>
    <row r="158">
      <c r="K158" s="3">
        <f>IF(AND(IF($B$3="(todos)",TRUE,'ORDENES'!$P154=$B$3),IF($D$3="(todos)",TRUE,'ORDENES'!$AD154=$D$3),IF($F$3="(todos)",TRUE,'ORDENES'!$W154=$F$3),'ORDENES'!$AB154=TRUE),'ORDENES'!$AO154&amp;" | "&amp;'ORDENES'!$S154&amp;" | "&amp;IF('ORDENES'!$AC154="","(sin técnico)",'ORDENES'!$AC154)&amp;" | "&amp;'ORDENES'!$D154&amp;" ("&amp;'ORDENES'!$N154&amp;" h)","")</f>
        <v/>
      </c>
    </row>
    <row r="159">
      <c r="K159" s="3">
        <f>IF(AND(IF($B$3="(todos)",TRUE,'ORDENES'!$P155=$B$3),IF($D$3="(todos)",TRUE,'ORDENES'!$AD155=$D$3),IF($F$3="(todos)",TRUE,'ORDENES'!$W155=$F$3),'ORDENES'!$AB155=TRUE),'ORDENES'!$AO155&amp;" | "&amp;'ORDENES'!$S155&amp;" | "&amp;IF('ORDENES'!$AC155="","(sin técnico)",'ORDENES'!$AC155)&amp;" | "&amp;'ORDENES'!$D155&amp;" ("&amp;'ORDENES'!$N155&amp;" h)","")</f>
        <v/>
      </c>
    </row>
    <row r="160">
      <c r="K160" s="3">
        <f>IF(AND(IF($B$3="(todos)",TRUE,'ORDENES'!$P156=$B$3),IF($D$3="(todos)",TRUE,'ORDENES'!$AD156=$D$3),IF($F$3="(todos)",TRUE,'ORDENES'!$W156=$F$3),'ORDENES'!$AB156=TRUE),'ORDENES'!$AO156&amp;" | "&amp;'ORDENES'!$S156&amp;" | "&amp;IF('ORDENES'!$AC156="","(sin técnico)",'ORDENES'!$AC156)&amp;" | "&amp;'ORDENES'!$D156&amp;" ("&amp;'ORDENES'!$N156&amp;" h)","")</f>
        <v/>
      </c>
    </row>
    <row r="161">
      <c r="K161" s="3">
        <f>IF(AND(IF($B$3="(todos)",TRUE,'ORDENES'!$P157=$B$3),IF($D$3="(todos)",TRUE,'ORDENES'!$AD157=$D$3),IF($F$3="(todos)",TRUE,'ORDENES'!$W157=$F$3),'ORDENES'!$AB157=TRUE),'ORDENES'!$AO157&amp;" | "&amp;'ORDENES'!$S157&amp;" | "&amp;IF('ORDENES'!$AC157="","(sin técnico)",'ORDENES'!$AC157)&amp;" | "&amp;'ORDENES'!$D157&amp;" ("&amp;'ORDENES'!$N157&amp;" h)","")</f>
        <v/>
      </c>
    </row>
    <row r="162">
      <c r="K162" s="3">
        <f>IF(AND(IF($B$3="(todos)",TRUE,'ORDENES'!$P158=$B$3),IF($D$3="(todos)",TRUE,'ORDENES'!$AD158=$D$3),IF($F$3="(todos)",TRUE,'ORDENES'!$W158=$F$3),'ORDENES'!$AB158=TRUE),'ORDENES'!$AO158&amp;" | "&amp;'ORDENES'!$S158&amp;" | "&amp;IF('ORDENES'!$AC158="","(sin técnico)",'ORDENES'!$AC158)&amp;" | "&amp;'ORDENES'!$D158&amp;" ("&amp;'ORDENES'!$N158&amp;" h)","")</f>
        <v/>
      </c>
    </row>
    <row r="163">
      <c r="K163" s="3">
        <f>IF(AND(IF($B$3="(todos)",TRUE,'ORDENES'!$P159=$B$3),IF($D$3="(todos)",TRUE,'ORDENES'!$AD159=$D$3),IF($F$3="(todos)",TRUE,'ORDENES'!$W159=$F$3),'ORDENES'!$AB159=TRUE),'ORDENES'!$AO159&amp;" | "&amp;'ORDENES'!$S159&amp;" | "&amp;IF('ORDENES'!$AC159="","(sin técnico)",'ORDENES'!$AC159)&amp;" | "&amp;'ORDENES'!$D159&amp;" ("&amp;'ORDENES'!$N159&amp;" h)","")</f>
        <v/>
      </c>
    </row>
    <row r="164">
      <c r="K164" s="3">
        <f>IF(AND(IF($B$3="(todos)",TRUE,'ORDENES'!$P160=$B$3),IF($D$3="(todos)",TRUE,'ORDENES'!$AD160=$D$3),IF($F$3="(todos)",TRUE,'ORDENES'!$W160=$F$3),'ORDENES'!$AB160=TRUE),'ORDENES'!$AO160&amp;" | "&amp;'ORDENES'!$S160&amp;" | "&amp;IF('ORDENES'!$AC160="","(sin técnico)",'ORDENES'!$AC160)&amp;" | "&amp;'ORDENES'!$D160&amp;" ("&amp;'ORDENES'!$N160&amp;" h)","")</f>
        <v/>
      </c>
    </row>
    <row r="165">
      <c r="K165" s="3">
        <f>IF(AND(IF($B$3="(todos)",TRUE,'ORDENES'!$P161=$B$3),IF($D$3="(todos)",TRUE,'ORDENES'!$AD161=$D$3),IF($F$3="(todos)",TRUE,'ORDENES'!$W161=$F$3),'ORDENES'!$AB161=TRUE),'ORDENES'!$AO161&amp;" | "&amp;'ORDENES'!$S161&amp;" | "&amp;IF('ORDENES'!$AC161="","(sin técnico)",'ORDENES'!$AC161)&amp;" | "&amp;'ORDENES'!$D161&amp;" ("&amp;'ORDENES'!$N161&amp;" h)","")</f>
        <v/>
      </c>
    </row>
    <row r="166">
      <c r="K166" s="3">
        <f>IF(AND(IF($B$3="(todos)",TRUE,'ORDENES'!$P162=$B$3),IF($D$3="(todos)",TRUE,'ORDENES'!$AD162=$D$3),IF($F$3="(todos)",TRUE,'ORDENES'!$W162=$F$3),'ORDENES'!$AB162=TRUE),'ORDENES'!$AO162&amp;" | "&amp;'ORDENES'!$S162&amp;" | "&amp;IF('ORDENES'!$AC162="","(sin técnico)",'ORDENES'!$AC162)&amp;" | "&amp;'ORDENES'!$D162&amp;" ("&amp;'ORDENES'!$N162&amp;" h)","")</f>
        <v/>
      </c>
    </row>
    <row r="167">
      <c r="K167" s="3">
        <f>IF(AND(IF($B$3="(todos)",TRUE,'ORDENES'!$P163=$B$3),IF($D$3="(todos)",TRUE,'ORDENES'!$AD163=$D$3),IF($F$3="(todos)",TRUE,'ORDENES'!$W163=$F$3),'ORDENES'!$AB163=TRUE),'ORDENES'!$AO163&amp;" | "&amp;'ORDENES'!$S163&amp;" | "&amp;IF('ORDENES'!$AC163="","(sin técnico)",'ORDENES'!$AC163)&amp;" | "&amp;'ORDENES'!$D163&amp;" ("&amp;'ORDENES'!$N163&amp;" h)","")</f>
        <v/>
      </c>
    </row>
    <row r="168">
      <c r="K168" s="3">
        <f>IF(AND(IF($B$3="(todos)",TRUE,'ORDENES'!$P164=$B$3),IF($D$3="(todos)",TRUE,'ORDENES'!$AD164=$D$3),IF($F$3="(todos)",TRUE,'ORDENES'!$W164=$F$3),'ORDENES'!$AB164=TRUE),'ORDENES'!$AO164&amp;" | "&amp;'ORDENES'!$S164&amp;" | "&amp;IF('ORDENES'!$AC164="","(sin técnico)",'ORDENES'!$AC164)&amp;" | "&amp;'ORDENES'!$D164&amp;" ("&amp;'ORDENES'!$N164&amp;" h)","")</f>
        <v/>
      </c>
    </row>
    <row r="169">
      <c r="K169" s="3">
        <f>IF(AND(IF($B$3="(todos)",TRUE,'ORDENES'!$P165=$B$3),IF($D$3="(todos)",TRUE,'ORDENES'!$AD165=$D$3),IF($F$3="(todos)",TRUE,'ORDENES'!$W165=$F$3),'ORDENES'!$AB165=TRUE),'ORDENES'!$AO165&amp;" | "&amp;'ORDENES'!$S165&amp;" | "&amp;IF('ORDENES'!$AC165="","(sin técnico)",'ORDENES'!$AC165)&amp;" | "&amp;'ORDENES'!$D165&amp;" ("&amp;'ORDENES'!$N165&amp;" h)","")</f>
        <v/>
      </c>
    </row>
    <row r="170">
      <c r="K170" s="3">
        <f>IF(AND(IF($B$3="(todos)",TRUE,'ORDENES'!$P166=$B$3),IF($D$3="(todos)",TRUE,'ORDENES'!$AD166=$D$3),IF($F$3="(todos)",TRUE,'ORDENES'!$W166=$F$3),'ORDENES'!$AB166=TRUE),'ORDENES'!$AO166&amp;" | "&amp;'ORDENES'!$S166&amp;" | "&amp;IF('ORDENES'!$AC166="","(sin técnico)",'ORDENES'!$AC166)&amp;" | "&amp;'ORDENES'!$D166&amp;" ("&amp;'ORDENES'!$N166&amp;" h)","")</f>
        <v/>
      </c>
    </row>
    <row r="171">
      <c r="K171" s="3">
        <f>IF(AND(IF($B$3="(todos)",TRUE,'ORDENES'!$P167=$B$3),IF($D$3="(todos)",TRUE,'ORDENES'!$AD167=$D$3),IF($F$3="(todos)",TRUE,'ORDENES'!$W167=$F$3),'ORDENES'!$AB167=TRUE),'ORDENES'!$AO167&amp;" | "&amp;'ORDENES'!$S167&amp;" | "&amp;IF('ORDENES'!$AC167="","(sin técnico)",'ORDENES'!$AC167)&amp;" | "&amp;'ORDENES'!$D167&amp;" ("&amp;'ORDENES'!$N167&amp;" h)","")</f>
        <v/>
      </c>
    </row>
    <row r="172">
      <c r="K172" s="3">
        <f>IF(AND(IF($B$3="(todos)",TRUE,'ORDENES'!$P168=$B$3),IF($D$3="(todos)",TRUE,'ORDENES'!$AD168=$D$3),IF($F$3="(todos)",TRUE,'ORDENES'!$W168=$F$3),'ORDENES'!$AB168=TRUE),'ORDENES'!$AO168&amp;" | "&amp;'ORDENES'!$S168&amp;" | "&amp;IF('ORDENES'!$AC168="","(sin técnico)",'ORDENES'!$AC168)&amp;" | "&amp;'ORDENES'!$D168&amp;" ("&amp;'ORDENES'!$N168&amp;" h)","")</f>
        <v/>
      </c>
    </row>
    <row r="173">
      <c r="K173" s="3">
        <f>IF(AND(IF($B$3="(todos)",TRUE,'ORDENES'!$P169=$B$3),IF($D$3="(todos)",TRUE,'ORDENES'!$AD169=$D$3),IF($F$3="(todos)",TRUE,'ORDENES'!$W169=$F$3),'ORDENES'!$AB169=TRUE),'ORDENES'!$AO169&amp;" | "&amp;'ORDENES'!$S169&amp;" | "&amp;IF('ORDENES'!$AC169="","(sin técnico)",'ORDENES'!$AC169)&amp;" | "&amp;'ORDENES'!$D169&amp;" ("&amp;'ORDENES'!$N169&amp;" h)","")</f>
        <v/>
      </c>
    </row>
    <row r="174">
      <c r="K174" s="3">
        <f>IF(AND(IF($B$3="(todos)",TRUE,'ORDENES'!$P170=$B$3),IF($D$3="(todos)",TRUE,'ORDENES'!$AD170=$D$3),IF($F$3="(todos)",TRUE,'ORDENES'!$W170=$F$3),'ORDENES'!$AB170=TRUE),'ORDENES'!$AO170&amp;" | "&amp;'ORDENES'!$S170&amp;" | "&amp;IF('ORDENES'!$AC170="","(sin técnico)",'ORDENES'!$AC170)&amp;" | "&amp;'ORDENES'!$D170&amp;" ("&amp;'ORDENES'!$N170&amp;" h)","")</f>
        <v/>
      </c>
    </row>
    <row r="175">
      <c r="K175" s="3">
        <f>IF(AND(IF($B$3="(todos)",TRUE,'ORDENES'!$P171=$B$3),IF($D$3="(todos)",TRUE,'ORDENES'!$AD171=$D$3),IF($F$3="(todos)",TRUE,'ORDENES'!$W171=$F$3),'ORDENES'!$AB171=TRUE),'ORDENES'!$AO171&amp;" | "&amp;'ORDENES'!$S171&amp;" | "&amp;IF('ORDENES'!$AC171="","(sin técnico)",'ORDENES'!$AC171)&amp;" | "&amp;'ORDENES'!$D171&amp;" ("&amp;'ORDENES'!$N171&amp;" h)","")</f>
        <v/>
      </c>
    </row>
    <row r="176">
      <c r="K176" s="3">
        <f>IF(AND(IF($B$3="(todos)",TRUE,'ORDENES'!$P172=$B$3),IF($D$3="(todos)",TRUE,'ORDENES'!$AD172=$D$3),IF($F$3="(todos)",TRUE,'ORDENES'!$W172=$F$3),'ORDENES'!$AB172=TRUE),'ORDENES'!$AO172&amp;" | "&amp;'ORDENES'!$S172&amp;" | "&amp;IF('ORDENES'!$AC172="","(sin técnico)",'ORDENES'!$AC172)&amp;" | "&amp;'ORDENES'!$D172&amp;" ("&amp;'ORDENES'!$N172&amp;" h)","")</f>
        <v/>
      </c>
    </row>
    <row r="177">
      <c r="K177" s="3">
        <f>IF(AND(IF($B$3="(todos)",TRUE,'ORDENES'!$P173=$B$3),IF($D$3="(todos)",TRUE,'ORDENES'!$AD173=$D$3),IF($F$3="(todos)",TRUE,'ORDENES'!$W173=$F$3),'ORDENES'!$AB173=TRUE),'ORDENES'!$AO173&amp;" | "&amp;'ORDENES'!$S173&amp;" | "&amp;IF('ORDENES'!$AC173="","(sin técnico)",'ORDENES'!$AC173)&amp;" | "&amp;'ORDENES'!$D173&amp;" ("&amp;'ORDENES'!$N173&amp;" h)","")</f>
        <v/>
      </c>
    </row>
    <row r="178">
      <c r="K178" s="3">
        <f>IF(AND(IF($B$3="(todos)",TRUE,'ORDENES'!$P174=$B$3),IF($D$3="(todos)",TRUE,'ORDENES'!$AD174=$D$3),IF($F$3="(todos)",TRUE,'ORDENES'!$W174=$F$3),'ORDENES'!$AB174=TRUE),'ORDENES'!$AO174&amp;" | "&amp;'ORDENES'!$S174&amp;" | "&amp;IF('ORDENES'!$AC174="","(sin técnico)",'ORDENES'!$AC174)&amp;" | "&amp;'ORDENES'!$D174&amp;" ("&amp;'ORDENES'!$N174&amp;" h)","")</f>
        <v/>
      </c>
    </row>
    <row r="179">
      <c r="K179" s="3">
        <f>IF(AND(IF($B$3="(todos)",TRUE,'ORDENES'!$P175=$B$3),IF($D$3="(todos)",TRUE,'ORDENES'!$AD175=$D$3),IF($F$3="(todos)",TRUE,'ORDENES'!$W175=$F$3),'ORDENES'!$AB175=TRUE),'ORDENES'!$AO175&amp;" | "&amp;'ORDENES'!$S175&amp;" | "&amp;IF('ORDENES'!$AC175="","(sin técnico)",'ORDENES'!$AC175)&amp;" | "&amp;'ORDENES'!$D175&amp;" ("&amp;'ORDENES'!$N175&amp;" h)","")</f>
        <v/>
      </c>
    </row>
    <row r="180">
      <c r="K180" s="3">
        <f>IF(AND(IF($B$3="(todos)",TRUE,'ORDENES'!$P176=$B$3),IF($D$3="(todos)",TRUE,'ORDENES'!$AD176=$D$3),IF($F$3="(todos)",TRUE,'ORDENES'!$W176=$F$3),'ORDENES'!$AB176=TRUE),'ORDENES'!$AO176&amp;" | "&amp;'ORDENES'!$S176&amp;" | "&amp;IF('ORDENES'!$AC176="","(sin técnico)",'ORDENES'!$AC176)&amp;" | "&amp;'ORDENES'!$D176&amp;" ("&amp;'ORDENES'!$N176&amp;" h)","")</f>
        <v/>
      </c>
    </row>
    <row r="181">
      <c r="K181" s="3">
        <f>IF(AND(IF($B$3="(todos)",TRUE,'ORDENES'!$P177=$B$3),IF($D$3="(todos)",TRUE,'ORDENES'!$AD177=$D$3),IF($F$3="(todos)",TRUE,'ORDENES'!$W177=$F$3),'ORDENES'!$AB177=TRUE),'ORDENES'!$AO177&amp;" | "&amp;'ORDENES'!$S177&amp;" | "&amp;IF('ORDENES'!$AC177="","(sin técnico)",'ORDENES'!$AC177)&amp;" | "&amp;'ORDENES'!$D177&amp;" ("&amp;'ORDENES'!$N177&amp;" h)","")</f>
        <v/>
      </c>
    </row>
    <row r="182">
      <c r="K182" s="3">
        <f>IF(AND(IF($B$3="(todos)",TRUE,'ORDENES'!$P178=$B$3),IF($D$3="(todos)",TRUE,'ORDENES'!$AD178=$D$3),IF($F$3="(todos)",TRUE,'ORDENES'!$W178=$F$3),'ORDENES'!$AB178=TRUE),'ORDENES'!$AO178&amp;" | "&amp;'ORDENES'!$S178&amp;" | "&amp;IF('ORDENES'!$AC178="","(sin técnico)",'ORDENES'!$AC178)&amp;" | "&amp;'ORDENES'!$D178&amp;" ("&amp;'ORDENES'!$N178&amp;" h)","")</f>
        <v/>
      </c>
    </row>
    <row r="183">
      <c r="K183" s="3">
        <f>IF(AND(IF($B$3="(todos)",TRUE,'ORDENES'!$P179=$B$3),IF($D$3="(todos)",TRUE,'ORDENES'!$AD179=$D$3),IF($F$3="(todos)",TRUE,'ORDENES'!$W179=$F$3),'ORDENES'!$AB179=TRUE),'ORDENES'!$AO179&amp;" | "&amp;'ORDENES'!$S179&amp;" | "&amp;IF('ORDENES'!$AC179="","(sin técnico)",'ORDENES'!$AC179)&amp;" | "&amp;'ORDENES'!$D179&amp;" ("&amp;'ORDENES'!$N179&amp;" h)","")</f>
        <v/>
      </c>
    </row>
    <row r="184">
      <c r="K184" s="3">
        <f>IF(AND(IF($B$3="(todos)",TRUE,'ORDENES'!$P180=$B$3),IF($D$3="(todos)",TRUE,'ORDENES'!$AD180=$D$3),IF($F$3="(todos)",TRUE,'ORDENES'!$W180=$F$3),'ORDENES'!$AB180=TRUE),'ORDENES'!$AO180&amp;" | "&amp;'ORDENES'!$S180&amp;" | "&amp;IF('ORDENES'!$AC180="","(sin técnico)",'ORDENES'!$AC180)&amp;" | "&amp;'ORDENES'!$D180&amp;" ("&amp;'ORDENES'!$N180&amp;" h)","")</f>
        <v/>
      </c>
    </row>
    <row r="185">
      <c r="K185" s="3">
        <f>IF(AND(IF($B$3="(todos)",TRUE,'ORDENES'!$P181=$B$3),IF($D$3="(todos)",TRUE,'ORDENES'!$AD181=$D$3),IF($F$3="(todos)",TRUE,'ORDENES'!$W181=$F$3),'ORDENES'!$AB181=TRUE),'ORDENES'!$AO181&amp;" | "&amp;'ORDENES'!$S181&amp;" | "&amp;IF('ORDENES'!$AC181="","(sin técnico)",'ORDENES'!$AC181)&amp;" | "&amp;'ORDENES'!$D181&amp;" ("&amp;'ORDENES'!$N181&amp;" h)","")</f>
        <v/>
      </c>
    </row>
    <row r="186">
      <c r="K186" s="3">
        <f>IF(AND(IF($B$3="(todos)",TRUE,'ORDENES'!$P182=$B$3),IF($D$3="(todos)",TRUE,'ORDENES'!$AD182=$D$3),IF($F$3="(todos)",TRUE,'ORDENES'!$W182=$F$3),'ORDENES'!$AB182=TRUE),'ORDENES'!$AO182&amp;" | "&amp;'ORDENES'!$S182&amp;" | "&amp;IF('ORDENES'!$AC182="","(sin técnico)",'ORDENES'!$AC182)&amp;" | "&amp;'ORDENES'!$D182&amp;" ("&amp;'ORDENES'!$N182&amp;" h)","")</f>
        <v/>
      </c>
    </row>
    <row r="187">
      <c r="K187" s="3">
        <f>IF(AND(IF($B$3="(todos)",TRUE,'ORDENES'!$P183=$B$3),IF($D$3="(todos)",TRUE,'ORDENES'!$AD183=$D$3),IF($F$3="(todos)",TRUE,'ORDENES'!$W183=$F$3),'ORDENES'!$AB183=TRUE),'ORDENES'!$AO183&amp;" | "&amp;'ORDENES'!$S183&amp;" | "&amp;IF('ORDENES'!$AC183="","(sin técnico)",'ORDENES'!$AC183)&amp;" | "&amp;'ORDENES'!$D183&amp;" ("&amp;'ORDENES'!$N183&amp;" h)","")</f>
        <v/>
      </c>
    </row>
    <row r="188">
      <c r="K188" s="3">
        <f>IF(AND(IF($B$3="(todos)",TRUE,'ORDENES'!$P184=$B$3),IF($D$3="(todos)",TRUE,'ORDENES'!$AD184=$D$3),IF($F$3="(todos)",TRUE,'ORDENES'!$W184=$F$3),'ORDENES'!$AB184=TRUE),'ORDENES'!$AO184&amp;" | "&amp;'ORDENES'!$S184&amp;" | "&amp;IF('ORDENES'!$AC184="","(sin técnico)",'ORDENES'!$AC184)&amp;" | "&amp;'ORDENES'!$D184&amp;" ("&amp;'ORDENES'!$N184&amp;" h)","")</f>
        <v/>
      </c>
    </row>
    <row r="189">
      <c r="K189" s="3">
        <f>IF(AND(IF($B$3="(todos)",TRUE,'ORDENES'!$P185=$B$3),IF($D$3="(todos)",TRUE,'ORDENES'!$AD185=$D$3),IF($F$3="(todos)",TRUE,'ORDENES'!$W185=$F$3),'ORDENES'!$AB185=TRUE),'ORDENES'!$AO185&amp;" | "&amp;'ORDENES'!$S185&amp;" | "&amp;IF('ORDENES'!$AC185="","(sin técnico)",'ORDENES'!$AC185)&amp;" | "&amp;'ORDENES'!$D185&amp;" ("&amp;'ORDENES'!$N185&amp;" h)","")</f>
        <v/>
      </c>
    </row>
    <row r="190">
      <c r="K190" s="3">
        <f>IF(AND(IF($B$3="(todos)",TRUE,'ORDENES'!$P186=$B$3),IF($D$3="(todos)",TRUE,'ORDENES'!$AD186=$D$3),IF($F$3="(todos)",TRUE,'ORDENES'!$W186=$F$3),'ORDENES'!$AB186=TRUE),'ORDENES'!$AO186&amp;" | "&amp;'ORDENES'!$S186&amp;" | "&amp;IF('ORDENES'!$AC186="","(sin técnico)",'ORDENES'!$AC186)&amp;" | "&amp;'ORDENES'!$D186&amp;" ("&amp;'ORDENES'!$N186&amp;" h)","")</f>
        <v/>
      </c>
    </row>
    <row r="191">
      <c r="K191" s="3">
        <f>IF(AND(IF($B$3="(todos)",TRUE,'ORDENES'!$P187=$B$3),IF($D$3="(todos)",TRUE,'ORDENES'!$AD187=$D$3),IF($F$3="(todos)",TRUE,'ORDENES'!$W187=$F$3),'ORDENES'!$AB187=TRUE),'ORDENES'!$AO187&amp;" | "&amp;'ORDENES'!$S187&amp;" | "&amp;IF('ORDENES'!$AC187="","(sin técnico)",'ORDENES'!$AC187)&amp;" | "&amp;'ORDENES'!$D187&amp;" ("&amp;'ORDENES'!$N187&amp;" h)","")</f>
        <v/>
      </c>
    </row>
    <row r="192">
      <c r="K192" s="3">
        <f>IF(AND(IF($B$3="(todos)",TRUE,'ORDENES'!$P188=$B$3),IF($D$3="(todos)",TRUE,'ORDENES'!$AD188=$D$3),IF($F$3="(todos)",TRUE,'ORDENES'!$W188=$F$3),'ORDENES'!$AB188=TRUE),'ORDENES'!$AO188&amp;" | "&amp;'ORDENES'!$S188&amp;" | "&amp;IF('ORDENES'!$AC188="","(sin técnico)",'ORDENES'!$AC188)&amp;" | "&amp;'ORDENES'!$D188&amp;" ("&amp;'ORDENES'!$N188&amp;" h)","")</f>
        <v/>
      </c>
    </row>
    <row r="193">
      <c r="K193" s="3">
        <f>IF(AND(IF($B$3="(todos)",TRUE,'ORDENES'!$P189=$B$3),IF($D$3="(todos)",TRUE,'ORDENES'!$AD189=$D$3),IF($F$3="(todos)",TRUE,'ORDENES'!$W189=$F$3),'ORDENES'!$AB189=TRUE),'ORDENES'!$AO189&amp;" | "&amp;'ORDENES'!$S189&amp;" | "&amp;IF('ORDENES'!$AC189="","(sin técnico)",'ORDENES'!$AC189)&amp;" | "&amp;'ORDENES'!$D189&amp;" ("&amp;'ORDENES'!$N189&amp;" h)","")</f>
        <v/>
      </c>
    </row>
    <row r="194">
      <c r="K194" s="3">
        <f>IF(AND(IF($B$3="(todos)",TRUE,'ORDENES'!$P190=$B$3),IF($D$3="(todos)",TRUE,'ORDENES'!$AD190=$D$3),IF($F$3="(todos)",TRUE,'ORDENES'!$W190=$F$3),'ORDENES'!$AB190=TRUE),'ORDENES'!$AO190&amp;" | "&amp;'ORDENES'!$S190&amp;" | "&amp;IF('ORDENES'!$AC190="","(sin técnico)",'ORDENES'!$AC190)&amp;" | "&amp;'ORDENES'!$D190&amp;" ("&amp;'ORDENES'!$N190&amp;" h)","")</f>
        <v/>
      </c>
    </row>
    <row r="195">
      <c r="K195" s="3">
        <f>IF(AND(IF($B$3="(todos)",TRUE,'ORDENES'!$P191=$B$3),IF($D$3="(todos)",TRUE,'ORDENES'!$AD191=$D$3),IF($F$3="(todos)",TRUE,'ORDENES'!$W191=$F$3),'ORDENES'!$AB191=TRUE),'ORDENES'!$AO191&amp;" | "&amp;'ORDENES'!$S191&amp;" | "&amp;IF('ORDENES'!$AC191="","(sin técnico)",'ORDENES'!$AC191)&amp;" | "&amp;'ORDENES'!$D191&amp;" ("&amp;'ORDENES'!$N191&amp;" h)","")</f>
        <v/>
      </c>
    </row>
    <row r="196">
      <c r="K196" s="3">
        <f>IF(AND(IF($B$3="(todos)",TRUE,'ORDENES'!$P192=$B$3),IF($D$3="(todos)",TRUE,'ORDENES'!$AD192=$D$3),IF($F$3="(todos)",TRUE,'ORDENES'!$W192=$F$3),'ORDENES'!$AB192=TRUE),'ORDENES'!$AO192&amp;" | "&amp;'ORDENES'!$S192&amp;" | "&amp;IF('ORDENES'!$AC192="","(sin técnico)",'ORDENES'!$AC192)&amp;" | "&amp;'ORDENES'!$D192&amp;" ("&amp;'ORDENES'!$N192&amp;" h)","")</f>
        <v/>
      </c>
    </row>
    <row r="197">
      <c r="K197" s="3">
        <f>IF(AND(IF($B$3="(todos)",TRUE,'ORDENES'!$P193=$B$3),IF($D$3="(todos)",TRUE,'ORDENES'!$AD193=$D$3),IF($F$3="(todos)",TRUE,'ORDENES'!$W193=$F$3),'ORDENES'!$AB193=TRUE),'ORDENES'!$AO193&amp;" | "&amp;'ORDENES'!$S193&amp;" | "&amp;IF('ORDENES'!$AC193="","(sin técnico)",'ORDENES'!$AC193)&amp;" | "&amp;'ORDENES'!$D193&amp;" ("&amp;'ORDENES'!$N193&amp;" h)","")</f>
        <v/>
      </c>
    </row>
    <row r="198">
      <c r="K198" s="3">
        <f>IF(AND(IF($B$3="(todos)",TRUE,'ORDENES'!$P194=$B$3),IF($D$3="(todos)",TRUE,'ORDENES'!$AD194=$D$3),IF($F$3="(todos)",TRUE,'ORDENES'!$W194=$F$3),'ORDENES'!$AB194=TRUE),'ORDENES'!$AO194&amp;" | "&amp;'ORDENES'!$S194&amp;" | "&amp;IF('ORDENES'!$AC194="","(sin técnico)",'ORDENES'!$AC194)&amp;" | "&amp;'ORDENES'!$D194&amp;" ("&amp;'ORDENES'!$N194&amp;" h)","")</f>
        <v/>
      </c>
    </row>
    <row r="199">
      <c r="K199" s="3">
        <f>IF(AND(IF($B$3="(todos)",TRUE,'ORDENES'!$P195=$B$3),IF($D$3="(todos)",TRUE,'ORDENES'!$AD195=$D$3),IF($F$3="(todos)",TRUE,'ORDENES'!$W195=$F$3),'ORDENES'!$AB195=TRUE),'ORDENES'!$AO195&amp;" | "&amp;'ORDENES'!$S195&amp;" | "&amp;IF('ORDENES'!$AC195="","(sin técnico)",'ORDENES'!$AC195)&amp;" | "&amp;'ORDENES'!$D195&amp;" ("&amp;'ORDENES'!$N195&amp;" h)","")</f>
        <v/>
      </c>
    </row>
    <row r="200">
      <c r="K200" s="3">
        <f>IF(AND(IF($B$3="(todos)",TRUE,'ORDENES'!$P196=$B$3),IF($D$3="(todos)",TRUE,'ORDENES'!$AD196=$D$3),IF($F$3="(todos)",TRUE,'ORDENES'!$W196=$F$3),'ORDENES'!$AB196=TRUE),'ORDENES'!$AO196&amp;" | "&amp;'ORDENES'!$S196&amp;" | "&amp;IF('ORDENES'!$AC196="","(sin técnico)",'ORDENES'!$AC196)&amp;" | "&amp;'ORDENES'!$D196&amp;" ("&amp;'ORDENES'!$N196&amp;" h)","")</f>
        <v/>
      </c>
    </row>
    <row r="201">
      <c r="K201" s="3">
        <f>IF(AND(IF($B$3="(todos)",TRUE,'ORDENES'!$P197=$B$3),IF($D$3="(todos)",TRUE,'ORDENES'!$AD197=$D$3),IF($F$3="(todos)",TRUE,'ORDENES'!$W197=$F$3),'ORDENES'!$AB197=TRUE),'ORDENES'!$AO197&amp;" | "&amp;'ORDENES'!$S197&amp;" | "&amp;IF('ORDENES'!$AC197="","(sin técnico)",'ORDENES'!$AC197)&amp;" | "&amp;'ORDENES'!$D197&amp;" ("&amp;'ORDENES'!$N197&amp;" h)","")</f>
        <v/>
      </c>
    </row>
    <row r="202">
      <c r="K202" s="3">
        <f>IF(AND(IF($B$3="(todos)",TRUE,'ORDENES'!$P198=$B$3),IF($D$3="(todos)",TRUE,'ORDENES'!$AD198=$D$3),IF($F$3="(todos)",TRUE,'ORDENES'!$W198=$F$3),'ORDENES'!$AB198=TRUE),'ORDENES'!$AO198&amp;" | "&amp;'ORDENES'!$S198&amp;" | "&amp;IF('ORDENES'!$AC198="","(sin técnico)",'ORDENES'!$AC198)&amp;" | "&amp;'ORDENES'!$D198&amp;" ("&amp;'ORDENES'!$N198&amp;" h)","")</f>
        <v/>
      </c>
    </row>
    <row r="203">
      <c r="K203" s="3">
        <f>IF(AND(IF($B$3="(todos)",TRUE,'ORDENES'!$P199=$B$3),IF($D$3="(todos)",TRUE,'ORDENES'!$AD199=$D$3),IF($F$3="(todos)",TRUE,'ORDENES'!$W199=$F$3),'ORDENES'!$AB199=TRUE),'ORDENES'!$AO199&amp;" | "&amp;'ORDENES'!$S199&amp;" | "&amp;IF('ORDENES'!$AC199="","(sin técnico)",'ORDENES'!$AC199)&amp;" | "&amp;'ORDENES'!$D199&amp;" ("&amp;'ORDENES'!$N199&amp;" h)","")</f>
        <v/>
      </c>
    </row>
    <row r="204">
      <c r="K204" s="3">
        <f>IF(AND(IF($B$3="(todos)",TRUE,'ORDENES'!$P200=$B$3),IF($D$3="(todos)",TRUE,'ORDENES'!$AD200=$D$3),IF($F$3="(todos)",TRUE,'ORDENES'!$W200=$F$3),'ORDENES'!$AB200=TRUE),'ORDENES'!$AO200&amp;" | "&amp;'ORDENES'!$S200&amp;" | "&amp;IF('ORDENES'!$AC200="","(sin técnico)",'ORDENES'!$AC200)&amp;" | "&amp;'ORDENES'!$D200&amp;" ("&amp;'ORDENES'!$N200&amp;" h)","")</f>
        <v/>
      </c>
    </row>
    <row r="205">
      <c r="K205" s="3">
        <f>IF(AND(IF($B$3="(todos)",TRUE,'ORDENES'!$P201=$B$3),IF($D$3="(todos)",TRUE,'ORDENES'!$AD201=$D$3),IF($F$3="(todos)",TRUE,'ORDENES'!$W201=$F$3),'ORDENES'!$AB201=TRUE),'ORDENES'!$AO201&amp;" | "&amp;'ORDENES'!$S201&amp;" | "&amp;IF('ORDENES'!$AC201="","(sin técnico)",'ORDENES'!$AC201)&amp;" | "&amp;'ORDENES'!$D201&amp;" ("&amp;'ORDENES'!$N201&amp;" h)","")</f>
        <v/>
      </c>
    </row>
    <row r="206">
      <c r="K206" s="3">
        <f>IF(AND(IF($B$3="(todos)",TRUE,'ORDENES'!$P202=$B$3),IF($D$3="(todos)",TRUE,'ORDENES'!$AD202=$D$3),IF($F$3="(todos)",TRUE,'ORDENES'!$W202=$F$3),'ORDENES'!$AB202=TRUE),'ORDENES'!$AO202&amp;" | "&amp;'ORDENES'!$S202&amp;" | "&amp;IF('ORDENES'!$AC202="","(sin técnico)",'ORDENES'!$AC202)&amp;" | "&amp;'ORDENES'!$D202&amp;" ("&amp;'ORDENES'!$N202&amp;" h)","")</f>
        <v/>
      </c>
    </row>
    <row r="207">
      <c r="K207" s="3">
        <f>IF(AND(IF($B$3="(todos)",TRUE,'ORDENES'!$P203=$B$3),IF($D$3="(todos)",TRUE,'ORDENES'!$AD203=$D$3),IF($F$3="(todos)",TRUE,'ORDENES'!$W203=$F$3),'ORDENES'!$AB203=TRUE),'ORDENES'!$AO203&amp;" | "&amp;'ORDENES'!$S203&amp;" | "&amp;IF('ORDENES'!$AC203="","(sin técnico)",'ORDENES'!$AC203)&amp;" | "&amp;'ORDENES'!$D203&amp;" ("&amp;'ORDENES'!$N203&amp;" h)","")</f>
        <v/>
      </c>
    </row>
    <row r="208">
      <c r="K208" s="3">
        <f>IF(AND(IF($B$3="(todos)",TRUE,'ORDENES'!$P204=$B$3),IF($D$3="(todos)",TRUE,'ORDENES'!$AD204=$D$3),IF($F$3="(todos)",TRUE,'ORDENES'!$W204=$F$3),'ORDENES'!$AB204=TRUE),'ORDENES'!$AO204&amp;" | "&amp;'ORDENES'!$S204&amp;" | "&amp;IF('ORDENES'!$AC204="","(sin técnico)",'ORDENES'!$AC204)&amp;" | "&amp;'ORDENES'!$D204&amp;" ("&amp;'ORDENES'!$N204&amp;" h)","")</f>
        <v/>
      </c>
    </row>
    <row r="209">
      <c r="K209" s="3">
        <f>IF(AND(IF($B$3="(todos)",TRUE,'ORDENES'!$P205=$B$3),IF($D$3="(todos)",TRUE,'ORDENES'!$AD205=$D$3),IF($F$3="(todos)",TRUE,'ORDENES'!$W205=$F$3),'ORDENES'!$AB205=TRUE),'ORDENES'!$AO205&amp;" | "&amp;'ORDENES'!$S205&amp;" | "&amp;IF('ORDENES'!$AC205="","(sin técnico)",'ORDENES'!$AC205)&amp;" | "&amp;'ORDENES'!$D205&amp;" ("&amp;'ORDENES'!$N205&amp;" h)","")</f>
        <v/>
      </c>
    </row>
    <row r="210">
      <c r="K210" s="3">
        <f>IF(AND(IF($B$3="(todos)",TRUE,'ORDENES'!$P206=$B$3),IF($D$3="(todos)",TRUE,'ORDENES'!$AD206=$D$3),IF($F$3="(todos)",TRUE,'ORDENES'!$W206=$F$3),'ORDENES'!$AB206=TRUE),'ORDENES'!$AO206&amp;" | "&amp;'ORDENES'!$S206&amp;" | "&amp;IF('ORDENES'!$AC206="","(sin técnico)",'ORDENES'!$AC206)&amp;" | "&amp;'ORDENES'!$D206&amp;" ("&amp;'ORDENES'!$N206&amp;" h)","")</f>
        <v/>
      </c>
    </row>
    <row r="211">
      <c r="K211" s="3">
        <f>IF(AND(IF($B$3="(todos)",TRUE,'ORDENES'!$P207=$B$3),IF($D$3="(todos)",TRUE,'ORDENES'!$AD207=$D$3),IF($F$3="(todos)",TRUE,'ORDENES'!$W207=$F$3),'ORDENES'!$AB207=TRUE),'ORDENES'!$AO207&amp;" | "&amp;'ORDENES'!$S207&amp;" | "&amp;IF('ORDENES'!$AC207="","(sin técnico)",'ORDENES'!$AC207)&amp;" | "&amp;'ORDENES'!$D207&amp;" ("&amp;'ORDENES'!$N207&amp;" h)","")</f>
        <v/>
      </c>
    </row>
    <row r="212">
      <c r="K212" s="3">
        <f>IF(AND(IF($B$3="(todos)",TRUE,'ORDENES'!$P208=$B$3),IF($D$3="(todos)",TRUE,'ORDENES'!$AD208=$D$3),IF($F$3="(todos)",TRUE,'ORDENES'!$W208=$F$3),'ORDENES'!$AB208=TRUE),'ORDENES'!$AO208&amp;" | "&amp;'ORDENES'!$S208&amp;" | "&amp;IF('ORDENES'!$AC208="","(sin técnico)",'ORDENES'!$AC208)&amp;" | "&amp;'ORDENES'!$D208&amp;" ("&amp;'ORDENES'!$N208&amp;" h)","")</f>
        <v/>
      </c>
    </row>
    <row r="213">
      <c r="K213" s="3">
        <f>IF(AND(IF($B$3="(todos)",TRUE,'ORDENES'!$P209=$B$3),IF($D$3="(todos)",TRUE,'ORDENES'!$AD209=$D$3),IF($F$3="(todos)",TRUE,'ORDENES'!$W209=$F$3),'ORDENES'!$AB209=TRUE),'ORDENES'!$AO209&amp;" | "&amp;'ORDENES'!$S209&amp;" | "&amp;IF('ORDENES'!$AC209="","(sin técnico)",'ORDENES'!$AC209)&amp;" | "&amp;'ORDENES'!$D209&amp;" ("&amp;'ORDENES'!$N209&amp;" h)","")</f>
        <v/>
      </c>
    </row>
    <row r="214">
      <c r="K214" s="3">
        <f>IF(AND(IF($B$3="(todos)",TRUE,'ORDENES'!$P210=$B$3),IF($D$3="(todos)",TRUE,'ORDENES'!$AD210=$D$3),IF($F$3="(todos)",TRUE,'ORDENES'!$W210=$F$3),'ORDENES'!$AB210=TRUE),'ORDENES'!$AO210&amp;" | "&amp;'ORDENES'!$S210&amp;" | "&amp;IF('ORDENES'!$AC210="","(sin técnico)",'ORDENES'!$AC210)&amp;" | "&amp;'ORDENES'!$D210&amp;" ("&amp;'ORDENES'!$N210&amp;" h)","")</f>
        <v/>
      </c>
    </row>
    <row r="215">
      <c r="K215" s="3">
        <f>IF(AND(IF($B$3="(todos)",TRUE,'ORDENES'!$P211=$B$3),IF($D$3="(todos)",TRUE,'ORDENES'!$AD211=$D$3),IF($F$3="(todos)",TRUE,'ORDENES'!$W211=$F$3),'ORDENES'!$AB211=TRUE),'ORDENES'!$AO211&amp;" | "&amp;'ORDENES'!$S211&amp;" | "&amp;IF('ORDENES'!$AC211="","(sin técnico)",'ORDENES'!$AC211)&amp;" | "&amp;'ORDENES'!$D211&amp;" ("&amp;'ORDENES'!$N211&amp;" h)","")</f>
        <v/>
      </c>
    </row>
    <row r="216">
      <c r="K216" s="3">
        <f>IF(AND(IF($B$3="(todos)",TRUE,'ORDENES'!$P212=$B$3),IF($D$3="(todos)",TRUE,'ORDENES'!$AD212=$D$3),IF($F$3="(todos)",TRUE,'ORDENES'!$W212=$F$3),'ORDENES'!$AB212=TRUE),'ORDENES'!$AO212&amp;" | "&amp;'ORDENES'!$S212&amp;" | "&amp;IF('ORDENES'!$AC212="","(sin técnico)",'ORDENES'!$AC212)&amp;" | "&amp;'ORDENES'!$D212&amp;" ("&amp;'ORDENES'!$N212&amp;" h)","")</f>
        <v/>
      </c>
    </row>
    <row r="217">
      <c r="K217" s="3">
        <f>IF(AND(IF($B$3="(todos)",TRUE,'ORDENES'!$P213=$B$3),IF($D$3="(todos)",TRUE,'ORDENES'!$AD213=$D$3),IF($F$3="(todos)",TRUE,'ORDENES'!$W213=$F$3),'ORDENES'!$AB213=TRUE),'ORDENES'!$AO213&amp;" | "&amp;'ORDENES'!$S213&amp;" | "&amp;IF('ORDENES'!$AC213="","(sin técnico)",'ORDENES'!$AC213)&amp;" | "&amp;'ORDENES'!$D213&amp;" ("&amp;'ORDENES'!$N213&amp;" h)","")</f>
        <v/>
      </c>
    </row>
    <row r="218">
      <c r="K218" s="3">
        <f>IF(AND(IF($B$3="(todos)",TRUE,'ORDENES'!$P214=$B$3),IF($D$3="(todos)",TRUE,'ORDENES'!$AD214=$D$3),IF($F$3="(todos)",TRUE,'ORDENES'!$W214=$F$3),'ORDENES'!$AB214=TRUE),'ORDENES'!$AO214&amp;" | "&amp;'ORDENES'!$S214&amp;" | "&amp;IF('ORDENES'!$AC214="","(sin técnico)",'ORDENES'!$AC214)&amp;" | "&amp;'ORDENES'!$D214&amp;" ("&amp;'ORDENES'!$N214&amp;" h)","")</f>
        <v/>
      </c>
    </row>
    <row r="219">
      <c r="K219" s="3">
        <f>IF(AND(IF($B$3="(todos)",TRUE,'ORDENES'!$P215=$B$3),IF($D$3="(todos)",TRUE,'ORDENES'!$AD215=$D$3),IF($F$3="(todos)",TRUE,'ORDENES'!$W215=$F$3),'ORDENES'!$AB215=TRUE),'ORDENES'!$AO215&amp;" | "&amp;'ORDENES'!$S215&amp;" | "&amp;IF('ORDENES'!$AC215="","(sin técnico)",'ORDENES'!$AC215)&amp;" | "&amp;'ORDENES'!$D215&amp;" ("&amp;'ORDENES'!$N215&amp;" h)","")</f>
        <v/>
      </c>
    </row>
    <row r="220">
      <c r="K220" s="3">
        <f>IF(AND(IF($B$3="(todos)",TRUE,'ORDENES'!$P216=$B$3),IF($D$3="(todos)",TRUE,'ORDENES'!$AD216=$D$3),IF($F$3="(todos)",TRUE,'ORDENES'!$W216=$F$3),'ORDENES'!$AB216=TRUE),'ORDENES'!$AO216&amp;" | "&amp;'ORDENES'!$S216&amp;" | "&amp;IF('ORDENES'!$AC216="","(sin técnico)",'ORDENES'!$AC216)&amp;" | "&amp;'ORDENES'!$D216&amp;" ("&amp;'ORDENES'!$N216&amp;" h)","")</f>
        <v/>
      </c>
    </row>
    <row r="221">
      <c r="K221" s="3">
        <f>IF(AND(IF($B$3="(todos)",TRUE,'ORDENES'!$P217=$B$3),IF($D$3="(todos)",TRUE,'ORDENES'!$AD217=$D$3),IF($F$3="(todos)",TRUE,'ORDENES'!$W217=$F$3),'ORDENES'!$AB217=TRUE),'ORDENES'!$AO217&amp;" | "&amp;'ORDENES'!$S217&amp;" | "&amp;IF('ORDENES'!$AC217="","(sin técnico)",'ORDENES'!$AC217)&amp;" | "&amp;'ORDENES'!$D217&amp;" ("&amp;'ORDENES'!$N217&amp;" h)","")</f>
        <v/>
      </c>
    </row>
    <row r="222">
      <c r="K222" s="3">
        <f>IF(AND(IF($B$3="(todos)",TRUE,'ORDENES'!$P218=$B$3),IF($D$3="(todos)",TRUE,'ORDENES'!$AD218=$D$3),IF($F$3="(todos)",TRUE,'ORDENES'!$W218=$F$3),'ORDENES'!$AB218=TRUE),'ORDENES'!$AO218&amp;" | "&amp;'ORDENES'!$S218&amp;" | "&amp;IF('ORDENES'!$AC218="","(sin técnico)",'ORDENES'!$AC218)&amp;" | "&amp;'ORDENES'!$D218&amp;" ("&amp;'ORDENES'!$N218&amp;" h)","")</f>
        <v/>
      </c>
    </row>
    <row r="223">
      <c r="K223" s="3">
        <f>IF(AND(IF($B$3="(todos)",TRUE,'ORDENES'!$P219=$B$3),IF($D$3="(todos)",TRUE,'ORDENES'!$AD219=$D$3),IF($F$3="(todos)",TRUE,'ORDENES'!$W219=$F$3),'ORDENES'!$AB219=TRUE),'ORDENES'!$AO219&amp;" | "&amp;'ORDENES'!$S219&amp;" | "&amp;IF('ORDENES'!$AC219="","(sin técnico)",'ORDENES'!$AC219)&amp;" | "&amp;'ORDENES'!$D219&amp;" ("&amp;'ORDENES'!$N219&amp;" h)","")</f>
        <v/>
      </c>
    </row>
    <row r="224">
      <c r="K224" s="3">
        <f>IF(AND(IF($B$3="(todos)",TRUE,'ORDENES'!$P220=$B$3),IF($D$3="(todos)",TRUE,'ORDENES'!$AD220=$D$3),IF($F$3="(todos)",TRUE,'ORDENES'!$W220=$F$3),'ORDENES'!$AB220=TRUE),'ORDENES'!$AO220&amp;" | "&amp;'ORDENES'!$S220&amp;" | "&amp;IF('ORDENES'!$AC220="","(sin técnico)",'ORDENES'!$AC220)&amp;" | "&amp;'ORDENES'!$D220&amp;" ("&amp;'ORDENES'!$N220&amp;" h)","")</f>
        <v/>
      </c>
    </row>
    <row r="225">
      <c r="K225" s="3">
        <f>IF(AND(IF($B$3="(todos)",TRUE,'ORDENES'!$P221=$B$3),IF($D$3="(todos)",TRUE,'ORDENES'!$AD221=$D$3),IF($F$3="(todos)",TRUE,'ORDENES'!$W221=$F$3),'ORDENES'!$AB221=TRUE),'ORDENES'!$AO221&amp;" | "&amp;'ORDENES'!$S221&amp;" | "&amp;IF('ORDENES'!$AC221="","(sin técnico)",'ORDENES'!$AC221)&amp;" | "&amp;'ORDENES'!$D221&amp;" ("&amp;'ORDENES'!$N221&amp;" h)","")</f>
        <v/>
      </c>
    </row>
    <row r="226">
      <c r="K226" s="3">
        <f>IF(AND(IF($B$3="(todos)",TRUE,'ORDENES'!$P222=$B$3),IF($D$3="(todos)",TRUE,'ORDENES'!$AD222=$D$3),IF($F$3="(todos)",TRUE,'ORDENES'!$W222=$F$3),'ORDENES'!$AB222=TRUE),'ORDENES'!$AO222&amp;" | "&amp;'ORDENES'!$S222&amp;" | "&amp;IF('ORDENES'!$AC222="","(sin técnico)",'ORDENES'!$AC222)&amp;" | "&amp;'ORDENES'!$D222&amp;" ("&amp;'ORDENES'!$N222&amp;" h)","")</f>
        <v/>
      </c>
    </row>
    <row r="227">
      <c r="K227" s="3">
        <f>IF(AND(IF($B$3="(todos)",TRUE,'ORDENES'!$P223=$B$3),IF($D$3="(todos)",TRUE,'ORDENES'!$AD223=$D$3),IF($F$3="(todos)",TRUE,'ORDENES'!$W223=$F$3),'ORDENES'!$AB223=TRUE),'ORDENES'!$AO223&amp;" | "&amp;'ORDENES'!$S223&amp;" | "&amp;IF('ORDENES'!$AC223="","(sin técnico)",'ORDENES'!$AC223)&amp;" | "&amp;'ORDENES'!$D223&amp;" ("&amp;'ORDENES'!$N223&amp;" h)","")</f>
        <v/>
      </c>
    </row>
    <row r="228">
      <c r="K228" s="3">
        <f>IF(AND(IF($B$3="(todos)",TRUE,'ORDENES'!$P224=$B$3),IF($D$3="(todos)",TRUE,'ORDENES'!$AD224=$D$3),IF($F$3="(todos)",TRUE,'ORDENES'!$W224=$F$3),'ORDENES'!$AB224=TRUE),'ORDENES'!$AO224&amp;" | "&amp;'ORDENES'!$S224&amp;" | "&amp;IF('ORDENES'!$AC224="","(sin técnico)",'ORDENES'!$AC224)&amp;" | "&amp;'ORDENES'!$D224&amp;" ("&amp;'ORDENES'!$N224&amp;" h)","")</f>
        <v/>
      </c>
    </row>
    <row r="229">
      <c r="K229" s="3">
        <f>IF(AND(IF($B$3="(todos)",TRUE,'ORDENES'!$P225=$B$3),IF($D$3="(todos)",TRUE,'ORDENES'!$AD225=$D$3),IF($F$3="(todos)",TRUE,'ORDENES'!$W225=$F$3),'ORDENES'!$AB225=TRUE),'ORDENES'!$AO225&amp;" | "&amp;'ORDENES'!$S225&amp;" | "&amp;IF('ORDENES'!$AC225="","(sin técnico)",'ORDENES'!$AC225)&amp;" | "&amp;'ORDENES'!$D225&amp;" ("&amp;'ORDENES'!$N225&amp;" h)","")</f>
        <v/>
      </c>
    </row>
    <row r="230">
      <c r="K230" s="3">
        <f>IF(AND(IF($B$3="(todos)",TRUE,'ORDENES'!$P226=$B$3),IF($D$3="(todos)",TRUE,'ORDENES'!$AD226=$D$3),IF($F$3="(todos)",TRUE,'ORDENES'!$W226=$F$3),'ORDENES'!$AB226=TRUE),'ORDENES'!$AO226&amp;" | "&amp;'ORDENES'!$S226&amp;" | "&amp;IF('ORDENES'!$AC226="","(sin técnico)",'ORDENES'!$AC226)&amp;" | "&amp;'ORDENES'!$D226&amp;" ("&amp;'ORDENES'!$N226&amp;" h)","")</f>
        <v/>
      </c>
    </row>
    <row r="231">
      <c r="K231" s="3">
        <f>IF(AND(IF($B$3="(todos)",TRUE,'ORDENES'!$P227=$B$3),IF($D$3="(todos)",TRUE,'ORDENES'!$AD227=$D$3),IF($F$3="(todos)",TRUE,'ORDENES'!$W227=$F$3),'ORDENES'!$AB227=TRUE),'ORDENES'!$AO227&amp;" | "&amp;'ORDENES'!$S227&amp;" | "&amp;IF('ORDENES'!$AC227="","(sin técnico)",'ORDENES'!$AC227)&amp;" | "&amp;'ORDENES'!$D227&amp;" ("&amp;'ORDENES'!$N227&amp;" h)","")</f>
        <v/>
      </c>
    </row>
    <row r="232">
      <c r="K232" s="3">
        <f>IF(AND(IF($B$3="(todos)",TRUE,'ORDENES'!$P228=$B$3),IF($D$3="(todos)",TRUE,'ORDENES'!$AD228=$D$3),IF($F$3="(todos)",TRUE,'ORDENES'!$W228=$F$3),'ORDENES'!$AB228=TRUE),'ORDENES'!$AO228&amp;" | "&amp;'ORDENES'!$S228&amp;" | "&amp;IF('ORDENES'!$AC228="","(sin técnico)",'ORDENES'!$AC228)&amp;" | "&amp;'ORDENES'!$D228&amp;" ("&amp;'ORDENES'!$N228&amp;" h)","")</f>
        <v/>
      </c>
    </row>
    <row r="233">
      <c r="K233" s="3">
        <f>IF(AND(IF($B$3="(todos)",TRUE,'ORDENES'!$P229=$B$3),IF($D$3="(todos)",TRUE,'ORDENES'!$AD229=$D$3),IF($F$3="(todos)",TRUE,'ORDENES'!$W229=$F$3),'ORDENES'!$AB229=TRUE),'ORDENES'!$AO229&amp;" | "&amp;'ORDENES'!$S229&amp;" | "&amp;IF('ORDENES'!$AC229="","(sin técnico)",'ORDENES'!$AC229)&amp;" | "&amp;'ORDENES'!$D229&amp;" ("&amp;'ORDENES'!$N229&amp;" h)","")</f>
        <v/>
      </c>
    </row>
    <row r="234">
      <c r="K234" s="3">
        <f>IF(AND(IF($B$3="(todos)",TRUE,'ORDENES'!$P230=$B$3),IF($D$3="(todos)",TRUE,'ORDENES'!$AD230=$D$3),IF($F$3="(todos)",TRUE,'ORDENES'!$W230=$F$3),'ORDENES'!$AB230=TRUE),'ORDENES'!$AO230&amp;" | "&amp;'ORDENES'!$S230&amp;" | "&amp;IF('ORDENES'!$AC230="","(sin técnico)",'ORDENES'!$AC230)&amp;" | "&amp;'ORDENES'!$D230&amp;" ("&amp;'ORDENES'!$N230&amp;" h)","")</f>
        <v/>
      </c>
    </row>
    <row r="235">
      <c r="K235" s="3">
        <f>IF(AND(IF($B$3="(todos)",TRUE,'ORDENES'!$P231=$B$3),IF($D$3="(todos)",TRUE,'ORDENES'!$AD231=$D$3),IF($F$3="(todos)",TRUE,'ORDENES'!$W231=$F$3),'ORDENES'!$AB231=TRUE),'ORDENES'!$AO231&amp;" | "&amp;'ORDENES'!$S231&amp;" | "&amp;IF('ORDENES'!$AC231="","(sin técnico)",'ORDENES'!$AC231)&amp;" | "&amp;'ORDENES'!$D231&amp;" ("&amp;'ORDENES'!$N231&amp;" h)","")</f>
        <v/>
      </c>
    </row>
    <row r="236">
      <c r="K236" s="3">
        <f>IF(AND(IF($B$3="(todos)",TRUE,'ORDENES'!$P232=$B$3),IF($D$3="(todos)",TRUE,'ORDENES'!$AD232=$D$3),IF($F$3="(todos)",TRUE,'ORDENES'!$W232=$F$3),'ORDENES'!$AB232=TRUE),'ORDENES'!$AO232&amp;" | "&amp;'ORDENES'!$S232&amp;" | "&amp;IF('ORDENES'!$AC232="","(sin técnico)",'ORDENES'!$AC232)&amp;" | "&amp;'ORDENES'!$D232&amp;" ("&amp;'ORDENES'!$N232&amp;" h)","")</f>
        <v/>
      </c>
    </row>
    <row r="237">
      <c r="K237" s="3">
        <f>IF(AND(IF($B$3="(todos)",TRUE,'ORDENES'!$P233=$B$3),IF($D$3="(todos)",TRUE,'ORDENES'!$AD233=$D$3),IF($F$3="(todos)",TRUE,'ORDENES'!$W233=$F$3),'ORDENES'!$AB233=TRUE),'ORDENES'!$AO233&amp;" | "&amp;'ORDENES'!$S233&amp;" | "&amp;IF('ORDENES'!$AC233="","(sin técnico)",'ORDENES'!$AC233)&amp;" | "&amp;'ORDENES'!$D233&amp;" ("&amp;'ORDENES'!$N233&amp;" h)","")</f>
        <v/>
      </c>
    </row>
    <row r="238">
      <c r="K238" s="3">
        <f>IF(AND(IF($B$3="(todos)",TRUE,'ORDENES'!$P234=$B$3),IF($D$3="(todos)",TRUE,'ORDENES'!$AD234=$D$3),IF($F$3="(todos)",TRUE,'ORDENES'!$W234=$F$3),'ORDENES'!$AB234=TRUE),'ORDENES'!$AO234&amp;" | "&amp;'ORDENES'!$S234&amp;" | "&amp;IF('ORDENES'!$AC234="","(sin técnico)",'ORDENES'!$AC234)&amp;" | "&amp;'ORDENES'!$D234&amp;" ("&amp;'ORDENES'!$N234&amp;" h)","")</f>
        <v/>
      </c>
    </row>
    <row r="239">
      <c r="K239" s="3">
        <f>IF(AND(IF($B$3="(todos)",TRUE,'ORDENES'!$P235=$B$3),IF($D$3="(todos)",TRUE,'ORDENES'!$AD235=$D$3),IF($F$3="(todos)",TRUE,'ORDENES'!$W235=$F$3),'ORDENES'!$AB235=TRUE),'ORDENES'!$AO235&amp;" | "&amp;'ORDENES'!$S235&amp;" | "&amp;IF('ORDENES'!$AC235="","(sin técnico)",'ORDENES'!$AC235)&amp;" | "&amp;'ORDENES'!$D235&amp;" ("&amp;'ORDENES'!$N235&amp;" h)","")</f>
        <v/>
      </c>
    </row>
    <row r="240">
      <c r="K240" s="3">
        <f>IF(AND(IF($B$3="(todos)",TRUE,'ORDENES'!$P236=$B$3),IF($D$3="(todos)",TRUE,'ORDENES'!$AD236=$D$3),IF($F$3="(todos)",TRUE,'ORDENES'!$W236=$F$3),'ORDENES'!$AB236=TRUE),'ORDENES'!$AO236&amp;" | "&amp;'ORDENES'!$S236&amp;" | "&amp;IF('ORDENES'!$AC236="","(sin técnico)",'ORDENES'!$AC236)&amp;" | "&amp;'ORDENES'!$D236&amp;" ("&amp;'ORDENES'!$N236&amp;" h)","")</f>
        <v/>
      </c>
    </row>
    <row r="241">
      <c r="K241" s="3">
        <f>IF(AND(IF($B$3="(todos)",TRUE,'ORDENES'!$P237=$B$3),IF($D$3="(todos)",TRUE,'ORDENES'!$AD237=$D$3),IF($F$3="(todos)",TRUE,'ORDENES'!$W237=$F$3),'ORDENES'!$AB237=TRUE),'ORDENES'!$AO237&amp;" | "&amp;'ORDENES'!$S237&amp;" | "&amp;IF('ORDENES'!$AC237="","(sin técnico)",'ORDENES'!$AC237)&amp;" | "&amp;'ORDENES'!$D237&amp;" ("&amp;'ORDENES'!$N237&amp;" h)","")</f>
        <v/>
      </c>
    </row>
    <row r="242">
      <c r="K242" s="3">
        <f>IF(AND(IF($B$3="(todos)",TRUE,'ORDENES'!$P238=$B$3),IF($D$3="(todos)",TRUE,'ORDENES'!$AD238=$D$3),IF($F$3="(todos)",TRUE,'ORDENES'!$W238=$F$3),'ORDENES'!$AB238=TRUE),'ORDENES'!$AO238&amp;" | "&amp;'ORDENES'!$S238&amp;" | "&amp;IF('ORDENES'!$AC238="","(sin técnico)",'ORDENES'!$AC238)&amp;" | "&amp;'ORDENES'!$D238&amp;" ("&amp;'ORDENES'!$N238&amp;" h)","")</f>
        <v/>
      </c>
    </row>
    <row r="243">
      <c r="K243" s="3">
        <f>IF(AND(IF($B$3="(todos)",TRUE,'ORDENES'!$P239=$B$3),IF($D$3="(todos)",TRUE,'ORDENES'!$AD239=$D$3),IF($F$3="(todos)",TRUE,'ORDENES'!$W239=$F$3),'ORDENES'!$AB239=TRUE),'ORDENES'!$AO239&amp;" | "&amp;'ORDENES'!$S239&amp;" | "&amp;IF('ORDENES'!$AC239="","(sin técnico)",'ORDENES'!$AC239)&amp;" | "&amp;'ORDENES'!$D239&amp;" ("&amp;'ORDENES'!$N239&amp;" h)","")</f>
        <v/>
      </c>
    </row>
    <row r="244">
      <c r="K244" s="3">
        <f>IF(AND(IF($B$3="(todos)",TRUE,'ORDENES'!$P240=$B$3),IF($D$3="(todos)",TRUE,'ORDENES'!$AD240=$D$3),IF($F$3="(todos)",TRUE,'ORDENES'!$W240=$F$3),'ORDENES'!$AB240=TRUE),'ORDENES'!$AO240&amp;" | "&amp;'ORDENES'!$S240&amp;" | "&amp;IF('ORDENES'!$AC240="","(sin técnico)",'ORDENES'!$AC240)&amp;" | "&amp;'ORDENES'!$D240&amp;" ("&amp;'ORDENES'!$N240&amp;" h)","")</f>
        <v/>
      </c>
    </row>
    <row r="245">
      <c r="K245" s="3">
        <f>IF(AND(IF($B$3="(todos)",TRUE,'ORDENES'!$P241=$B$3),IF($D$3="(todos)",TRUE,'ORDENES'!$AD241=$D$3),IF($F$3="(todos)",TRUE,'ORDENES'!$W241=$F$3),'ORDENES'!$AB241=TRUE),'ORDENES'!$AO241&amp;" | "&amp;'ORDENES'!$S241&amp;" | "&amp;IF('ORDENES'!$AC241="","(sin técnico)",'ORDENES'!$AC241)&amp;" | "&amp;'ORDENES'!$D241&amp;" ("&amp;'ORDENES'!$N241&amp;" h)","")</f>
        <v/>
      </c>
    </row>
    <row r="246">
      <c r="K246" s="3">
        <f>IF(AND(IF($B$3="(todos)",TRUE,'ORDENES'!$P242=$B$3),IF($D$3="(todos)",TRUE,'ORDENES'!$AD242=$D$3),IF($F$3="(todos)",TRUE,'ORDENES'!$W242=$F$3),'ORDENES'!$AB242=TRUE),'ORDENES'!$AO242&amp;" | "&amp;'ORDENES'!$S242&amp;" | "&amp;IF('ORDENES'!$AC242="","(sin técnico)",'ORDENES'!$AC242)&amp;" | "&amp;'ORDENES'!$D242&amp;" ("&amp;'ORDENES'!$N242&amp;" h)","")</f>
        <v/>
      </c>
    </row>
    <row r="247">
      <c r="K247" s="3">
        <f>IF(AND(IF($B$3="(todos)",TRUE,'ORDENES'!$P243=$B$3),IF($D$3="(todos)",TRUE,'ORDENES'!$AD243=$D$3),IF($F$3="(todos)",TRUE,'ORDENES'!$W243=$F$3),'ORDENES'!$AB243=TRUE),'ORDENES'!$AO243&amp;" | "&amp;'ORDENES'!$S243&amp;" | "&amp;IF('ORDENES'!$AC243="","(sin técnico)",'ORDENES'!$AC243)&amp;" | "&amp;'ORDENES'!$D243&amp;" ("&amp;'ORDENES'!$N243&amp;" h)","")</f>
        <v/>
      </c>
    </row>
    <row r="248">
      <c r="K248" s="3">
        <f>IF(AND(IF($B$3="(todos)",TRUE,'ORDENES'!$P244=$B$3),IF($D$3="(todos)",TRUE,'ORDENES'!$AD244=$D$3),IF($F$3="(todos)",TRUE,'ORDENES'!$W244=$F$3),'ORDENES'!$AB244=TRUE),'ORDENES'!$AO244&amp;" | "&amp;'ORDENES'!$S244&amp;" | "&amp;IF('ORDENES'!$AC244="","(sin técnico)",'ORDENES'!$AC244)&amp;" | "&amp;'ORDENES'!$D244&amp;" ("&amp;'ORDENES'!$N244&amp;" h)","")</f>
        <v/>
      </c>
    </row>
    <row r="249">
      <c r="K249" s="3">
        <f>IF(AND(IF($B$3="(todos)",TRUE,'ORDENES'!$P245=$B$3),IF($D$3="(todos)",TRUE,'ORDENES'!$AD245=$D$3),IF($F$3="(todos)",TRUE,'ORDENES'!$W245=$F$3),'ORDENES'!$AB245=TRUE),'ORDENES'!$AO245&amp;" | "&amp;'ORDENES'!$S245&amp;" | "&amp;IF('ORDENES'!$AC245="","(sin técnico)",'ORDENES'!$AC245)&amp;" | "&amp;'ORDENES'!$D245&amp;" ("&amp;'ORDENES'!$N245&amp;" h)","")</f>
        <v/>
      </c>
    </row>
    <row r="250">
      <c r="K250" s="3">
        <f>IF(AND(IF($B$3="(todos)",TRUE,'ORDENES'!$P246=$B$3),IF($D$3="(todos)",TRUE,'ORDENES'!$AD246=$D$3),IF($F$3="(todos)",TRUE,'ORDENES'!$W246=$F$3),'ORDENES'!$AB246=TRUE),'ORDENES'!$AO246&amp;" | "&amp;'ORDENES'!$S246&amp;" | "&amp;IF('ORDENES'!$AC246="","(sin técnico)",'ORDENES'!$AC246)&amp;" | "&amp;'ORDENES'!$D246&amp;" ("&amp;'ORDENES'!$N246&amp;" h)","")</f>
        <v/>
      </c>
    </row>
    <row r="251">
      <c r="K251" s="3">
        <f>IF(AND(IF($B$3="(todos)",TRUE,'ORDENES'!$P247=$B$3),IF($D$3="(todos)",TRUE,'ORDENES'!$AD247=$D$3),IF($F$3="(todos)",TRUE,'ORDENES'!$W247=$F$3),'ORDENES'!$AB247=TRUE),'ORDENES'!$AO247&amp;" | "&amp;'ORDENES'!$S247&amp;" | "&amp;IF('ORDENES'!$AC247="","(sin técnico)",'ORDENES'!$AC247)&amp;" | "&amp;'ORDENES'!$D247&amp;" ("&amp;'ORDENES'!$N247&amp;" h)","")</f>
        <v/>
      </c>
    </row>
    <row r="252">
      <c r="K252" s="3">
        <f>IF(AND(IF($B$3="(todos)",TRUE,'ORDENES'!$P248=$B$3),IF($D$3="(todos)",TRUE,'ORDENES'!$AD248=$D$3),IF($F$3="(todos)",TRUE,'ORDENES'!$W248=$F$3),'ORDENES'!$AB248=TRUE),'ORDENES'!$AO248&amp;" | "&amp;'ORDENES'!$S248&amp;" | "&amp;IF('ORDENES'!$AC248="","(sin técnico)",'ORDENES'!$AC248)&amp;" | "&amp;'ORDENES'!$D248&amp;" ("&amp;'ORDENES'!$N248&amp;" h)","")</f>
        <v/>
      </c>
    </row>
    <row r="253">
      <c r="K253" s="3">
        <f>IF(AND(IF($B$3="(todos)",TRUE,'ORDENES'!$P249=$B$3),IF($D$3="(todos)",TRUE,'ORDENES'!$AD249=$D$3),IF($F$3="(todos)",TRUE,'ORDENES'!$W249=$F$3),'ORDENES'!$AB249=TRUE),'ORDENES'!$AO249&amp;" | "&amp;'ORDENES'!$S249&amp;" | "&amp;IF('ORDENES'!$AC249="","(sin técnico)",'ORDENES'!$AC249)&amp;" | "&amp;'ORDENES'!$D249&amp;" ("&amp;'ORDENES'!$N249&amp;" h)","")</f>
        <v/>
      </c>
    </row>
    <row r="254">
      <c r="K254" s="3">
        <f>IF(AND(IF($B$3="(todos)",TRUE,'ORDENES'!$P250=$B$3),IF($D$3="(todos)",TRUE,'ORDENES'!$AD250=$D$3),IF($F$3="(todos)",TRUE,'ORDENES'!$W250=$F$3),'ORDENES'!$AB250=TRUE),'ORDENES'!$AO250&amp;" | "&amp;'ORDENES'!$S250&amp;" | "&amp;IF('ORDENES'!$AC250="","(sin técnico)",'ORDENES'!$AC250)&amp;" | "&amp;'ORDENES'!$D250&amp;" ("&amp;'ORDENES'!$N250&amp;" h)","")</f>
        <v/>
      </c>
    </row>
    <row r="255">
      <c r="K255" s="3">
        <f>IF(AND(IF($B$3="(todos)",TRUE,'ORDENES'!$P251=$B$3),IF($D$3="(todos)",TRUE,'ORDENES'!$AD251=$D$3),IF($F$3="(todos)",TRUE,'ORDENES'!$W251=$F$3),'ORDENES'!$AB251=TRUE),'ORDENES'!$AO251&amp;" | "&amp;'ORDENES'!$S251&amp;" | "&amp;IF('ORDENES'!$AC251="","(sin técnico)",'ORDENES'!$AC251)&amp;" | "&amp;'ORDENES'!$D251&amp;" ("&amp;'ORDENES'!$N251&amp;" h)","")</f>
        <v/>
      </c>
    </row>
    <row r="256">
      <c r="K256" s="3">
        <f>IF(AND(IF($B$3="(todos)",TRUE,'ORDENES'!$P252=$B$3),IF($D$3="(todos)",TRUE,'ORDENES'!$AD252=$D$3),IF($F$3="(todos)",TRUE,'ORDENES'!$W252=$F$3),'ORDENES'!$AB252=TRUE),'ORDENES'!$AO252&amp;" | "&amp;'ORDENES'!$S252&amp;" | "&amp;IF('ORDENES'!$AC252="","(sin técnico)",'ORDENES'!$AC252)&amp;" | "&amp;'ORDENES'!$D252&amp;" ("&amp;'ORDENES'!$N252&amp;" h)","")</f>
        <v/>
      </c>
    </row>
    <row r="257">
      <c r="K257" s="3">
        <f>IF(AND(IF($B$3="(todos)",TRUE,'ORDENES'!$P253=$B$3),IF($D$3="(todos)",TRUE,'ORDENES'!$AD253=$D$3),IF($F$3="(todos)",TRUE,'ORDENES'!$W253=$F$3),'ORDENES'!$AB253=TRUE),'ORDENES'!$AO253&amp;" | "&amp;'ORDENES'!$S253&amp;" | "&amp;IF('ORDENES'!$AC253="","(sin técnico)",'ORDENES'!$AC253)&amp;" | "&amp;'ORDENES'!$D253&amp;" ("&amp;'ORDENES'!$N253&amp;" h)","")</f>
        <v/>
      </c>
    </row>
    <row r="258">
      <c r="K258" s="3">
        <f>IF(AND(IF($B$3="(todos)",TRUE,'ORDENES'!$P254=$B$3),IF($D$3="(todos)",TRUE,'ORDENES'!$AD254=$D$3),IF($F$3="(todos)",TRUE,'ORDENES'!$W254=$F$3),'ORDENES'!$AB254=TRUE),'ORDENES'!$AO254&amp;" | "&amp;'ORDENES'!$S254&amp;" | "&amp;IF('ORDENES'!$AC254="","(sin técnico)",'ORDENES'!$AC254)&amp;" | "&amp;'ORDENES'!$D254&amp;" ("&amp;'ORDENES'!$N254&amp;" h)","")</f>
        <v/>
      </c>
    </row>
    <row r="259">
      <c r="K259" s="3">
        <f>IF(AND(IF($B$3="(todos)",TRUE,'ORDENES'!$P255=$B$3),IF($D$3="(todos)",TRUE,'ORDENES'!$AD255=$D$3),IF($F$3="(todos)",TRUE,'ORDENES'!$W255=$F$3),'ORDENES'!$AB255=TRUE),'ORDENES'!$AO255&amp;" | "&amp;'ORDENES'!$S255&amp;" | "&amp;IF('ORDENES'!$AC255="","(sin técnico)",'ORDENES'!$AC255)&amp;" | "&amp;'ORDENES'!$D255&amp;" ("&amp;'ORDENES'!$N255&amp;" h)","")</f>
        <v/>
      </c>
    </row>
    <row r="260">
      <c r="K260" s="3">
        <f>IF(AND(IF($B$3="(todos)",TRUE,'ORDENES'!$P256=$B$3),IF($D$3="(todos)",TRUE,'ORDENES'!$AD256=$D$3),IF($F$3="(todos)",TRUE,'ORDENES'!$W256=$F$3),'ORDENES'!$AB256=TRUE),'ORDENES'!$AO256&amp;" | "&amp;'ORDENES'!$S256&amp;" | "&amp;IF('ORDENES'!$AC256="","(sin técnico)",'ORDENES'!$AC256)&amp;" | "&amp;'ORDENES'!$D256&amp;" ("&amp;'ORDENES'!$N256&amp;" h)","")</f>
        <v/>
      </c>
    </row>
    <row r="261">
      <c r="K261" s="3">
        <f>IF(AND(IF($B$3="(todos)",TRUE,'ORDENES'!$P257=$B$3),IF($D$3="(todos)",TRUE,'ORDENES'!$AD257=$D$3),IF($F$3="(todos)",TRUE,'ORDENES'!$W257=$F$3),'ORDENES'!$AB257=TRUE),'ORDENES'!$AO257&amp;" | "&amp;'ORDENES'!$S257&amp;" | "&amp;IF('ORDENES'!$AC257="","(sin técnico)",'ORDENES'!$AC257)&amp;" | "&amp;'ORDENES'!$D257&amp;" ("&amp;'ORDENES'!$N257&amp;" h)","")</f>
        <v/>
      </c>
    </row>
    <row r="262">
      <c r="K262" s="3">
        <f>IF(AND(IF($B$3="(todos)",TRUE,'ORDENES'!$P258=$B$3),IF($D$3="(todos)",TRUE,'ORDENES'!$AD258=$D$3),IF($F$3="(todos)",TRUE,'ORDENES'!$W258=$F$3),'ORDENES'!$AB258=TRUE),'ORDENES'!$AO258&amp;" | "&amp;'ORDENES'!$S258&amp;" | "&amp;IF('ORDENES'!$AC258="","(sin técnico)",'ORDENES'!$AC258)&amp;" | "&amp;'ORDENES'!$D258&amp;" ("&amp;'ORDENES'!$N258&amp;" h)","")</f>
        <v/>
      </c>
    </row>
    <row r="263">
      <c r="K263" s="3">
        <f>IF(AND(IF($B$3="(todos)",TRUE,'ORDENES'!$P259=$B$3),IF($D$3="(todos)",TRUE,'ORDENES'!$AD259=$D$3),IF($F$3="(todos)",TRUE,'ORDENES'!$W259=$F$3),'ORDENES'!$AB259=TRUE),'ORDENES'!$AO259&amp;" | "&amp;'ORDENES'!$S259&amp;" | "&amp;IF('ORDENES'!$AC259="","(sin técnico)",'ORDENES'!$AC259)&amp;" | "&amp;'ORDENES'!$D259&amp;" ("&amp;'ORDENES'!$N259&amp;" h)","")</f>
        <v/>
      </c>
    </row>
    <row r="264">
      <c r="K264" s="3">
        <f>IF(AND(IF($B$3="(todos)",TRUE,'ORDENES'!$P260=$B$3),IF($D$3="(todos)",TRUE,'ORDENES'!$AD260=$D$3),IF($F$3="(todos)",TRUE,'ORDENES'!$W260=$F$3),'ORDENES'!$AB260=TRUE),'ORDENES'!$AO260&amp;" | "&amp;'ORDENES'!$S260&amp;" | "&amp;IF('ORDENES'!$AC260="","(sin técnico)",'ORDENES'!$AC260)&amp;" | "&amp;'ORDENES'!$D260&amp;" ("&amp;'ORDENES'!$N260&amp;" h)","")</f>
        <v/>
      </c>
    </row>
    <row r="265">
      <c r="K265" s="3">
        <f>IF(AND(IF($B$3="(todos)",TRUE,'ORDENES'!$P261=$B$3),IF($D$3="(todos)",TRUE,'ORDENES'!$AD261=$D$3),IF($F$3="(todos)",TRUE,'ORDENES'!$W261=$F$3),'ORDENES'!$AB261=TRUE),'ORDENES'!$AO261&amp;" | "&amp;'ORDENES'!$S261&amp;" | "&amp;IF('ORDENES'!$AC261="","(sin técnico)",'ORDENES'!$AC261)&amp;" | "&amp;'ORDENES'!$D261&amp;" ("&amp;'ORDENES'!$N261&amp;" h)","")</f>
        <v/>
      </c>
    </row>
    <row r="266">
      <c r="K266" s="3">
        <f>IF(AND(IF($B$3="(todos)",TRUE,'ORDENES'!$P262=$B$3),IF($D$3="(todos)",TRUE,'ORDENES'!$AD262=$D$3),IF($F$3="(todos)",TRUE,'ORDENES'!$W262=$F$3),'ORDENES'!$AB262=TRUE),'ORDENES'!$AO262&amp;" | "&amp;'ORDENES'!$S262&amp;" | "&amp;IF('ORDENES'!$AC262="","(sin técnico)",'ORDENES'!$AC262)&amp;" | "&amp;'ORDENES'!$D262&amp;" ("&amp;'ORDENES'!$N262&amp;" h)","")</f>
        <v/>
      </c>
    </row>
    <row r="267">
      <c r="K267" s="3">
        <f>IF(AND(IF($B$3="(todos)",TRUE,'ORDENES'!$P263=$B$3),IF($D$3="(todos)",TRUE,'ORDENES'!$AD263=$D$3),IF($F$3="(todos)",TRUE,'ORDENES'!$W263=$F$3),'ORDENES'!$AB263=TRUE),'ORDENES'!$AO263&amp;" | "&amp;'ORDENES'!$S263&amp;" | "&amp;IF('ORDENES'!$AC263="","(sin técnico)",'ORDENES'!$AC263)&amp;" | "&amp;'ORDENES'!$D263&amp;" ("&amp;'ORDENES'!$N263&amp;" h)","")</f>
        <v/>
      </c>
    </row>
    <row r="268">
      <c r="K268" s="3">
        <f>IF(AND(IF($B$3="(todos)",TRUE,'ORDENES'!$P264=$B$3),IF($D$3="(todos)",TRUE,'ORDENES'!$AD264=$D$3),IF($F$3="(todos)",TRUE,'ORDENES'!$W264=$F$3),'ORDENES'!$AB264=TRUE),'ORDENES'!$AO264&amp;" | "&amp;'ORDENES'!$S264&amp;" | "&amp;IF('ORDENES'!$AC264="","(sin técnico)",'ORDENES'!$AC264)&amp;" | "&amp;'ORDENES'!$D264&amp;" ("&amp;'ORDENES'!$N264&amp;" h)","")</f>
        <v/>
      </c>
    </row>
    <row r="269">
      <c r="K269" s="3">
        <f>IF(AND(IF($B$3="(todos)",TRUE,'ORDENES'!$P265=$B$3),IF($D$3="(todos)",TRUE,'ORDENES'!$AD265=$D$3),IF($F$3="(todos)",TRUE,'ORDENES'!$W265=$F$3),'ORDENES'!$AB265=TRUE),'ORDENES'!$AO265&amp;" | "&amp;'ORDENES'!$S265&amp;" | "&amp;IF('ORDENES'!$AC265="","(sin técnico)",'ORDENES'!$AC265)&amp;" | "&amp;'ORDENES'!$D265&amp;" ("&amp;'ORDENES'!$N265&amp;" h)","")</f>
        <v/>
      </c>
    </row>
    <row r="270">
      <c r="K270" s="3">
        <f>IF(AND(IF($B$3="(todos)",TRUE,'ORDENES'!$P266=$B$3),IF($D$3="(todos)",TRUE,'ORDENES'!$AD266=$D$3),IF($F$3="(todos)",TRUE,'ORDENES'!$W266=$F$3),'ORDENES'!$AB266=TRUE),'ORDENES'!$AO266&amp;" | "&amp;'ORDENES'!$S266&amp;" | "&amp;IF('ORDENES'!$AC266="","(sin técnico)",'ORDENES'!$AC266)&amp;" | "&amp;'ORDENES'!$D266&amp;" ("&amp;'ORDENES'!$N266&amp;" h)","")</f>
        <v/>
      </c>
    </row>
    <row r="271">
      <c r="K271" s="3">
        <f>IF(AND(IF($B$3="(todos)",TRUE,'ORDENES'!$P267=$B$3),IF($D$3="(todos)",TRUE,'ORDENES'!$AD267=$D$3),IF($F$3="(todos)",TRUE,'ORDENES'!$W267=$F$3),'ORDENES'!$AB267=TRUE),'ORDENES'!$AO267&amp;" | "&amp;'ORDENES'!$S267&amp;" | "&amp;IF('ORDENES'!$AC267="","(sin técnico)",'ORDENES'!$AC267)&amp;" | "&amp;'ORDENES'!$D267&amp;" ("&amp;'ORDENES'!$N267&amp;" h)","")</f>
        <v/>
      </c>
    </row>
    <row r="272">
      <c r="K272" s="3">
        <f>IF(AND(IF($B$3="(todos)",TRUE,'ORDENES'!$P268=$B$3),IF($D$3="(todos)",TRUE,'ORDENES'!$AD268=$D$3),IF($F$3="(todos)",TRUE,'ORDENES'!$W268=$F$3),'ORDENES'!$AB268=TRUE),'ORDENES'!$AO268&amp;" | "&amp;'ORDENES'!$S268&amp;" | "&amp;IF('ORDENES'!$AC268="","(sin técnico)",'ORDENES'!$AC268)&amp;" | "&amp;'ORDENES'!$D268&amp;" ("&amp;'ORDENES'!$N268&amp;" h)","")</f>
        <v/>
      </c>
    </row>
    <row r="273">
      <c r="K273" s="3">
        <f>IF(AND(IF($B$3="(todos)",TRUE,'ORDENES'!$P269=$B$3),IF($D$3="(todos)",TRUE,'ORDENES'!$AD269=$D$3),IF($F$3="(todos)",TRUE,'ORDENES'!$W269=$F$3),'ORDENES'!$AB269=TRUE),'ORDENES'!$AO269&amp;" | "&amp;'ORDENES'!$S269&amp;" | "&amp;IF('ORDENES'!$AC269="","(sin técnico)",'ORDENES'!$AC269)&amp;" | "&amp;'ORDENES'!$D269&amp;" ("&amp;'ORDENES'!$N269&amp;" h)","")</f>
        <v/>
      </c>
    </row>
    <row r="274">
      <c r="K274" s="3">
        <f>IF(AND(IF($B$3="(todos)",TRUE,'ORDENES'!$P270=$B$3),IF($D$3="(todos)",TRUE,'ORDENES'!$AD270=$D$3),IF($F$3="(todos)",TRUE,'ORDENES'!$W270=$F$3),'ORDENES'!$AB270=TRUE),'ORDENES'!$AO270&amp;" | "&amp;'ORDENES'!$S270&amp;" | "&amp;IF('ORDENES'!$AC270="","(sin técnico)",'ORDENES'!$AC270)&amp;" | "&amp;'ORDENES'!$D270&amp;" ("&amp;'ORDENES'!$N270&amp;" h)","")</f>
        <v/>
      </c>
    </row>
    <row r="275">
      <c r="K275" s="3">
        <f>IF(AND(IF($B$3="(todos)",TRUE,'ORDENES'!$P271=$B$3),IF($D$3="(todos)",TRUE,'ORDENES'!$AD271=$D$3),IF($F$3="(todos)",TRUE,'ORDENES'!$W271=$F$3),'ORDENES'!$AB271=TRUE),'ORDENES'!$AO271&amp;" | "&amp;'ORDENES'!$S271&amp;" | "&amp;IF('ORDENES'!$AC271="","(sin técnico)",'ORDENES'!$AC271)&amp;" | "&amp;'ORDENES'!$D271&amp;" ("&amp;'ORDENES'!$N271&amp;" h)","")</f>
        <v/>
      </c>
    </row>
    <row r="276">
      <c r="K276" s="3">
        <f>IF(AND(IF($B$3="(todos)",TRUE,'ORDENES'!$P272=$B$3),IF($D$3="(todos)",TRUE,'ORDENES'!$AD272=$D$3),IF($F$3="(todos)",TRUE,'ORDENES'!$W272=$F$3),'ORDENES'!$AB272=TRUE),'ORDENES'!$AO272&amp;" | "&amp;'ORDENES'!$S272&amp;" | "&amp;IF('ORDENES'!$AC272="","(sin técnico)",'ORDENES'!$AC272)&amp;" | "&amp;'ORDENES'!$D272&amp;" ("&amp;'ORDENES'!$N272&amp;" h)","")</f>
        <v/>
      </c>
    </row>
    <row r="277">
      <c r="K277" s="3">
        <f>IF(AND(IF($B$3="(todos)",TRUE,'ORDENES'!$P273=$B$3),IF($D$3="(todos)",TRUE,'ORDENES'!$AD273=$D$3),IF($F$3="(todos)",TRUE,'ORDENES'!$W273=$F$3),'ORDENES'!$AB273=TRUE),'ORDENES'!$AO273&amp;" | "&amp;'ORDENES'!$S273&amp;" | "&amp;IF('ORDENES'!$AC273="","(sin técnico)",'ORDENES'!$AC273)&amp;" | "&amp;'ORDENES'!$D273&amp;" ("&amp;'ORDENES'!$N273&amp;" h)","")</f>
        <v/>
      </c>
    </row>
    <row r="278">
      <c r="K278" s="3">
        <f>IF(AND(IF($B$3="(todos)",TRUE,'ORDENES'!$P274=$B$3),IF($D$3="(todos)",TRUE,'ORDENES'!$AD274=$D$3),IF($F$3="(todos)",TRUE,'ORDENES'!$W274=$F$3),'ORDENES'!$AB274=TRUE),'ORDENES'!$AO274&amp;" | "&amp;'ORDENES'!$S274&amp;" | "&amp;IF('ORDENES'!$AC274="","(sin técnico)",'ORDENES'!$AC274)&amp;" | "&amp;'ORDENES'!$D274&amp;" ("&amp;'ORDENES'!$N274&amp;" h)","")</f>
        <v/>
      </c>
    </row>
    <row r="279">
      <c r="K279" s="3">
        <f>IF(AND(IF($B$3="(todos)",TRUE,'ORDENES'!$P275=$B$3),IF($D$3="(todos)",TRUE,'ORDENES'!$AD275=$D$3),IF($F$3="(todos)",TRUE,'ORDENES'!$W275=$F$3),'ORDENES'!$AB275=TRUE),'ORDENES'!$AO275&amp;" | "&amp;'ORDENES'!$S275&amp;" | "&amp;IF('ORDENES'!$AC275="","(sin técnico)",'ORDENES'!$AC275)&amp;" | "&amp;'ORDENES'!$D275&amp;" ("&amp;'ORDENES'!$N275&amp;" h)","")</f>
        <v/>
      </c>
    </row>
    <row r="280">
      <c r="K280" s="3">
        <f>IF(AND(IF($B$3="(todos)",TRUE,'ORDENES'!$P276=$B$3),IF($D$3="(todos)",TRUE,'ORDENES'!$AD276=$D$3),IF($F$3="(todos)",TRUE,'ORDENES'!$W276=$F$3),'ORDENES'!$AB276=TRUE),'ORDENES'!$AO276&amp;" | "&amp;'ORDENES'!$S276&amp;" | "&amp;IF('ORDENES'!$AC276="","(sin técnico)",'ORDENES'!$AC276)&amp;" | "&amp;'ORDENES'!$D276&amp;" ("&amp;'ORDENES'!$N276&amp;" h)","")</f>
        <v/>
      </c>
    </row>
    <row r="281">
      <c r="K281" s="3">
        <f>IF(AND(IF($B$3="(todos)",TRUE,'ORDENES'!$P277=$B$3),IF($D$3="(todos)",TRUE,'ORDENES'!$AD277=$D$3),IF($F$3="(todos)",TRUE,'ORDENES'!$W277=$F$3),'ORDENES'!$AB277=TRUE),'ORDENES'!$AO277&amp;" | "&amp;'ORDENES'!$S277&amp;" | "&amp;IF('ORDENES'!$AC277="","(sin técnico)",'ORDENES'!$AC277)&amp;" | "&amp;'ORDENES'!$D277&amp;" ("&amp;'ORDENES'!$N277&amp;" h)","")</f>
        <v/>
      </c>
    </row>
    <row r="282">
      <c r="K282" s="3">
        <f>IF(AND(IF($B$3="(todos)",TRUE,'ORDENES'!$P278=$B$3),IF($D$3="(todos)",TRUE,'ORDENES'!$AD278=$D$3),IF($F$3="(todos)",TRUE,'ORDENES'!$W278=$F$3),'ORDENES'!$AB278=TRUE),'ORDENES'!$AO278&amp;" | "&amp;'ORDENES'!$S278&amp;" | "&amp;IF('ORDENES'!$AC278="","(sin técnico)",'ORDENES'!$AC278)&amp;" | "&amp;'ORDENES'!$D278&amp;" ("&amp;'ORDENES'!$N278&amp;" h)","")</f>
        <v/>
      </c>
    </row>
    <row r="283">
      <c r="K283" s="3">
        <f>IF(AND(IF($B$3="(todos)",TRUE,'ORDENES'!$P279=$B$3),IF($D$3="(todos)",TRUE,'ORDENES'!$AD279=$D$3),IF($F$3="(todos)",TRUE,'ORDENES'!$W279=$F$3),'ORDENES'!$AB279=TRUE),'ORDENES'!$AO279&amp;" | "&amp;'ORDENES'!$S279&amp;" | "&amp;IF('ORDENES'!$AC279="","(sin técnico)",'ORDENES'!$AC279)&amp;" | "&amp;'ORDENES'!$D279&amp;" ("&amp;'ORDENES'!$N279&amp;" h)","")</f>
        <v/>
      </c>
    </row>
    <row r="284">
      <c r="K284" s="3">
        <f>IF(AND(IF($B$3="(todos)",TRUE,'ORDENES'!$P280=$B$3),IF($D$3="(todos)",TRUE,'ORDENES'!$AD280=$D$3),IF($F$3="(todos)",TRUE,'ORDENES'!$W280=$F$3),'ORDENES'!$AB280=TRUE),'ORDENES'!$AO280&amp;" | "&amp;'ORDENES'!$S280&amp;" | "&amp;IF('ORDENES'!$AC280="","(sin técnico)",'ORDENES'!$AC280)&amp;" | "&amp;'ORDENES'!$D280&amp;" ("&amp;'ORDENES'!$N280&amp;" h)","")</f>
        <v/>
      </c>
    </row>
    <row r="285">
      <c r="K285" s="3">
        <f>IF(AND(IF($B$3="(todos)",TRUE,'ORDENES'!$P281=$B$3),IF($D$3="(todos)",TRUE,'ORDENES'!$AD281=$D$3),IF($F$3="(todos)",TRUE,'ORDENES'!$W281=$F$3),'ORDENES'!$AB281=TRUE),'ORDENES'!$AO281&amp;" | "&amp;'ORDENES'!$S281&amp;" | "&amp;IF('ORDENES'!$AC281="","(sin técnico)",'ORDENES'!$AC281)&amp;" | "&amp;'ORDENES'!$D281&amp;" ("&amp;'ORDENES'!$N281&amp;" h)","")</f>
        <v/>
      </c>
    </row>
    <row r="286">
      <c r="K286" s="3">
        <f>IF(AND(IF($B$3="(todos)",TRUE,'ORDENES'!$P282=$B$3),IF($D$3="(todos)",TRUE,'ORDENES'!$AD282=$D$3),IF($F$3="(todos)",TRUE,'ORDENES'!$W282=$F$3),'ORDENES'!$AB282=TRUE),'ORDENES'!$AO282&amp;" | "&amp;'ORDENES'!$S282&amp;" | "&amp;IF('ORDENES'!$AC282="","(sin técnico)",'ORDENES'!$AC282)&amp;" | "&amp;'ORDENES'!$D282&amp;" ("&amp;'ORDENES'!$N282&amp;" h)","")</f>
        <v/>
      </c>
    </row>
    <row r="287">
      <c r="K287" s="3">
        <f>IF(AND(IF($B$3="(todos)",TRUE,'ORDENES'!$P283=$B$3),IF($D$3="(todos)",TRUE,'ORDENES'!$AD283=$D$3),IF($F$3="(todos)",TRUE,'ORDENES'!$W283=$F$3),'ORDENES'!$AB283=TRUE),'ORDENES'!$AO283&amp;" | "&amp;'ORDENES'!$S283&amp;" | "&amp;IF('ORDENES'!$AC283="","(sin técnico)",'ORDENES'!$AC283)&amp;" | "&amp;'ORDENES'!$D283&amp;" ("&amp;'ORDENES'!$N283&amp;" h)","")</f>
        <v/>
      </c>
    </row>
    <row r="288">
      <c r="K288" s="3">
        <f>IF(AND(IF($B$3="(todos)",TRUE,'ORDENES'!$P284=$B$3),IF($D$3="(todos)",TRUE,'ORDENES'!$AD284=$D$3),IF($F$3="(todos)",TRUE,'ORDENES'!$W284=$F$3),'ORDENES'!$AB284=TRUE),'ORDENES'!$AO284&amp;" | "&amp;'ORDENES'!$S284&amp;" | "&amp;IF('ORDENES'!$AC284="","(sin técnico)",'ORDENES'!$AC284)&amp;" | "&amp;'ORDENES'!$D284&amp;" ("&amp;'ORDENES'!$N284&amp;" h)","")</f>
        <v/>
      </c>
    </row>
    <row r="289">
      <c r="K289" s="3">
        <f>IF(AND(IF($B$3="(todos)",TRUE,'ORDENES'!$P285=$B$3),IF($D$3="(todos)",TRUE,'ORDENES'!$AD285=$D$3),IF($F$3="(todos)",TRUE,'ORDENES'!$W285=$F$3),'ORDENES'!$AB285=TRUE),'ORDENES'!$AO285&amp;" | "&amp;'ORDENES'!$S285&amp;" | "&amp;IF('ORDENES'!$AC285="","(sin técnico)",'ORDENES'!$AC285)&amp;" | "&amp;'ORDENES'!$D285&amp;" ("&amp;'ORDENES'!$N285&amp;" h)","")</f>
        <v/>
      </c>
    </row>
    <row r="290">
      <c r="K290" s="3">
        <f>IF(AND(IF($B$3="(todos)",TRUE,'ORDENES'!$P286=$B$3),IF($D$3="(todos)",TRUE,'ORDENES'!$AD286=$D$3),IF($F$3="(todos)",TRUE,'ORDENES'!$W286=$F$3),'ORDENES'!$AB286=TRUE),'ORDENES'!$AO286&amp;" | "&amp;'ORDENES'!$S286&amp;" | "&amp;IF('ORDENES'!$AC286="","(sin técnico)",'ORDENES'!$AC286)&amp;" | "&amp;'ORDENES'!$D286&amp;" ("&amp;'ORDENES'!$N286&amp;" h)","")</f>
        <v/>
      </c>
    </row>
    <row r="291">
      <c r="K291" s="3">
        <f>IF(AND(IF($B$3="(todos)",TRUE,'ORDENES'!$P287=$B$3),IF($D$3="(todos)",TRUE,'ORDENES'!$AD287=$D$3),IF($F$3="(todos)",TRUE,'ORDENES'!$W287=$F$3),'ORDENES'!$AB287=TRUE),'ORDENES'!$AO287&amp;" | "&amp;'ORDENES'!$S287&amp;" | "&amp;IF('ORDENES'!$AC287="","(sin técnico)",'ORDENES'!$AC287)&amp;" | "&amp;'ORDENES'!$D287&amp;" ("&amp;'ORDENES'!$N287&amp;" h)","")</f>
        <v/>
      </c>
    </row>
    <row r="292">
      <c r="K292" s="3">
        <f>IF(AND(IF($B$3="(todos)",TRUE,'ORDENES'!$P288=$B$3),IF($D$3="(todos)",TRUE,'ORDENES'!$AD288=$D$3),IF($F$3="(todos)",TRUE,'ORDENES'!$W288=$F$3),'ORDENES'!$AB288=TRUE),'ORDENES'!$AO288&amp;" | "&amp;'ORDENES'!$S288&amp;" | "&amp;IF('ORDENES'!$AC288="","(sin técnico)",'ORDENES'!$AC288)&amp;" | "&amp;'ORDENES'!$D288&amp;" ("&amp;'ORDENES'!$N288&amp;" h)","")</f>
        <v/>
      </c>
    </row>
    <row r="293">
      <c r="K293" s="3">
        <f>IF(AND(IF($B$3="(todos)",TRUE,'ORDENES'!$P289=$B$3),IF($D$3="(todos)",TRUE,'ORDENES'!$AD289=$D$3),IF($F$3="(todos)",TRUE,'ORDENES'!$W289=$F$3),'ORDENES'!$AB289=TRUE),'ORDENES'!$AO289&amp;" | "&amp;'ORDENES'!$S289&amp;" | "&amp;IF('ORDENES'!$AC289="","(sin técnico)",'ORDENES'!$AC289)&amp;" | "&amp;'ORDENES'!$D289&amp;" ("&amp;'ORDENES'!$N289&amp;" h)","")</f>
        <v/>
      </c>
    </row>
    <row r="294">
      <c r="K294" s="3">
        <f>IF(AND(IF($B$3="(todos)",TRUE,'ORDENES'!$P290=$B$3),IF($D$3="(todos)",TRUE,'ORDENES'!$AD290=$D$3),IF($F$3="(todos)",TRUE,'ORDENES'!$W290=$F$3),'ORDENES'!$AB290=TRUE),'ORDENES'!$AO290&amp;" | "&amp;'ORDENES'!$S290&amp;" | "&amp;IF('ORDENES'!$AC290="","(sin técnico)",'ORDENES'!$AC290)&amp;" | "&amp;'ORDENES'!$D290&amp;" ("&amp;'ORDENES'!$N290&amp;" h)","")</f>
        <v/>
      </c>
    </row>
    <row r="295">
      <c r="K295" s="3">
        <f>IF(AND(IF($B$3="(todos)",TRUE,'ORDENES'!$P291=$B$3),IF($D$3="(todos)",TRUE,'ORDENES'!$AD291=$D$3),IF($F$3="(todos)",TRUE,'ORDENES'!$W291=$F$3),'ORDENES'!$AB291=TRUE),'ORDENES'!$AO291&amp;" | "&amp;'ORDENES'!$S291&amp;" | "&amp;IF('ORDENES'!$AC291="","(sin técnico)",'ORDENES'!$AC291)&amp;" | "&amp;'ORDENES'!$D291&amp;" ("&amp;'ORDENES'!$N291&amp;" h)","")</f>
        <v/>
      </c>
    </row>
    <row r="296">
      <c r="K296" s="3">
        <f>IF(AND(IF($B$3="(todos)",TRUE,'ORDENES'!$P292=$B$3),IF($D$3="(todos)",TRUE,'ORDENES'!$AD292=$D$3),IF($F$3="(todos)",TRUE,'ORDENES'!$W292=$F$3),'ORDENES'!$AB292=TRUE),'ORDENES'!$AO292&amp;" | "&amp;'ORDENES'!$S292&amp;" | "&amp;IF('ORDENES'!$AC292="","(sin técnico)",'ORDENES'!$AC292)&amp;" | "&amp;'ORDENES'!$D292&amp;" ("&amp;'ORDENES'!$N292&amp;" h)","")</f>
        <v/>
      </c>
    </row>
    <row r="297">
      <c r="K297" s="3">
        <f>IF(AND(IF($B$3="(todos)",TRUE,'ORDENES'!$P293=$B$3),IF($D$3="(todos)",TRUE,'ORDENES'!$AD293=$D$3),IF($F$3="(todos)",TRUE,'ORDENES'!$W293=$F$3),'ORDENES'!$AB293=TRUE),'ORDENES'!$AO293&amp;" | "&amp;'ORDENES'!$S293&amp;" | "&amp;IF('ORDENES'!$AC293="","(sin técnico)",'ORDENES'!$AC293)&amp;" | "&amp;'ORDENES'!$D293&amp;" ("&amp;'ORDENES'!$N293&amp;" h)","")</f>
        <v/>
      </c>
    </row>
    <row r="298">
      <c r="K298" s="3">
        <f>IF(AND(IF($B$3="(todos)",TRUE,'ORDENES'!$P294=$B$3),IF($D$3="(todos)",TRUE,'ORDENES'!$AD294=$D$3),IF($F$3="(todos)",TRUE,'ORDENES'!$W294=$F$3),'ORDENES'!$AB294=TRUE),'ORDENES'!$AO294&amp;" | "&amp;'ORDENES'!$S294&amp;" | "&amp;IF('ORDENES'!$AC294="","(sin técnico)",'ORDENES'!$AC294)&amp;" | "&amp;'ORDENES'!$D294&amp;" ("&amp;'ORDENES'!$N294&amp;" h)","")</f>
        <v/>
      </c>
    </row>
    <row r="299">
      <c r="K299" s="3">
        <f>IF(AND(IF($B$3="(todos)",TRUE,'ORDENES'!$P295=$B$3),IF($D$3="(todos)",TRUE,'ORDENES'!$AD295=$D$3),IF($F$3="(todos)",TRUE,'ORDENES'!$W295=$F$3),'ORDENES'!$AB295=TRUE),'ORDENES'!$AO295&amp;" | "&amp;'ORDENES'!$S295&amp;" | "&amp;IF('ORDENES'!$AC295="","(sin técnico)",'ORDENES'!$AC295)&amp;" | "&amp;'ORDENES'!$D295&amp;" ("&amp;'ORDENES'!$N295&amp;" h)","")</f>
        <v/>
      </c>
    </row>
    <row r="300">
      <c r="K300" s="3">
        <f>IF(AND(IF($B$3="(todos)",TRUE,'ORDENES'!$P296=$B$3),IF($D$3="(todos)",TRUE,'ORDENES'!$AD296=$D$3),IF($F$3="(todos)",TRUE,'ORDENES'!$W296=$F$3),'ORDENES'!$AB296=TRUE),'ORDENES'!$AO296&amp;" | "&amp;'ORDENES'!$S296&amp;" | "&amp;IF('ORDENES'!$AC296="","(sin técnico)",'ORDENES'!$AC296)&amp;" | "&amp;'ORDENES'!$D296&amp;" ("&amp;'ORDENES'!$N296&amp;" h)","")</f>
        <v/>
      </c>
    </row>
    <row r="301">
      <c r="K301" s="3">
        <f>IF(AND(IF($B$3="(todos)",TRUE,'ORDENES'!$P297=$B$3),IF($D$3="(todos)",TRUE,'ORDENES'!$AD297=$D$3),IF($F$3="(todos)",TRUE,'ORDENES'!$W297=$F$3),'ORDENES'!$AB297=TRUE),'ORDENES'!$AO297&amp;" | "&amp;'ORDENES'!$S297&amp;" | "&amp;IF('ORDENES'!$AC297="","(sin técnico)",'ORDENES'!$AC297)&amp;" | "&amp;'ORDENES'!$D297&amp;" ("&amp;'ORDENES'!$N297&amp;" h)","")</f>
        <v/>
      </c>
    </row>
    <row r="302">
      <c r="K302" s="3">
        <f>IF(AND(IF($B$3="(todos)",TRUE,'ORDENES'!$P298=$B$3),IF($D$3="(todos)",TRUE,'ORDENES'!$AD298=$D$3),IF($F$3="(todos)",TRUE,'ORDENES'!$W298=$F$3),'ORDENES'!$AB298=TRUE),'ORDENES'!$AO298&amp;" | "&amp;'ORDENES'!$S298&amp;" | "&amp;IF('ORDENES'!$AC298="","(sin técnico)",'ORDENES'!$AC298)&amp;" | "&amp;'ORDENES'!$D298&amp;" ("&amp;'ORDENES'!$N298&amp;" h)","")</f>
        <v/>
      </c>
    </row>
    <row r="303">
      <c r="K303" s="3">
        <f>IF(AND(IF($B$3="(todos)",TRUE,'ORDENES'!$P299=$B$3),IF($D$3="(todos)",TRUE,'ORDENES'!$AD299=$D$3),IF($F$3="(todos)",TRUE,'ORDENES'!$W299=$F$3),'ORDENES'!$AB299=TRUE),'ORDENES'!$AO299&amp;" | "&amp;'ORDENES'!$S299&amp;" | "&amp;IF('ORDENES'!$AC299="","(sin técnico)",'ORDENES'!$AC299)&amp;" | "&amp;'ORDENES'!$D299&amp;" ("&amp;'ORDENES'!$N299&amp;" h)","")</f>
        <v/>
      </c>
    </row>
    <row r="304">
      <c r="K304" s="3">
        <f>IF(AND(IF($B$3="(todos)",TRUE,'ORDENES'!$P300=$B$3),IF($D$3="(todos)",TRUE,'ORDENES'!$AD300=$D$3),IF($F$3="(todos)",TRUE,'ORDENES'!$W300=$F$3),'ORDENES'!$AB300=TRUE),'ORDENES'!$AO300&amp;" | "&amp;'ORDENES'!$S300&amp;" | "&amp;IF('ORDENES'!$AC300="","(sin técnico)",'ORDENES'!$AC300)&amp;" | "&amp;'ORDENES'!$D300&amp;" ("&amp;'ORDENES'!$N300&amp;" h)","")</f>
        <v/>
      </c>
    </row>
    <row r="305">
      <c r="K305" s="3">
        <f>IF(AND(IF($B$3="(todos)",TRUE,'ORDENES'!$P301=$B$3),IF($D$3="(todos)",TRUE,'ORDENES'!$AD301=$D$3),IF($F$3="(todos)",TRUE,'ORDENES'!$W301=$F$3),'ORDENES'!$AB301=TRUE),'ORDENES'!$AO301&amp;" | "&amp;'ORDENES'!$S301&amp;" | "&amp;IF('ORDENES'!$AC301="","(sin técnico)",'ORDENES'!$AC301)&amp;" | "&amp;'ORDENES'!$D301&amp;" ("&amp;'ORDENES'!$N301&amp;" h)","")</f>
        <v/>
      </c>
    </row>
    <row r="306">
      <c r="K306" s="3">
        <f>IF(AND(IF($B$3="(todos)",TRUE,'ORDENES'!$P302=$B$3),IF($D$3="(todos)",TRUE,'ORDENES'!$AD302=$D$3),IF($F$3="(todos)",TRUE,'ORDENES'!$W302=$F$3),'ORDENES'!$AB302=TRUE),'ORDENES'!$AO302&amp;" | "&amp;'ORDENES'!$S302&amp;" | "&amp;IF('ORDENES'!$AC302="","(sin técnico)",'ORDENES'!$AC302)&amp;" | "&amp;'ORDENES'!$D302&amp;" ("&amp;'ORDENES'!$N302&amp;" h)","")</f>
        <v/>
      </c>
    </row>
    <row r="307">
      <c r="K307" s="3">
        <f>IF(AND(IF($B$3="(todos)",TRUE,'ORDENES'!$P303=$B$3),IF($D$3="(todos)",TRUE,'ORDENES'!$AD303=$D$3),IF($F$3="(todos)",TRUE,'ORDENES'!$W303=$F$3),'ORDENES'!$AB303=TRUE),'ORDENES'!$AO303&amp;" | "&amp;'ORDENES'!$S303&amp;" | "&amp;IF('ORDENES'!$AC303="","(sin técnico)",'ORDENES'!$AC303)&amp;" | "&amp;'ORDENES'!$D303&amp;" ("&amp;'ORDENES'!$N303&amp;" h)","")</f>
        <v/>
      </c>
    </row>
    <row r="308">
      <c r="K308" s="3">
        <f>IF(AND(IF($B$3="(todos)",TRUE,'ORDENES'!$P304=$B$3),IF($D$3="(todos)",TRUE,'ORDENES'!$AD304=$D$3),IF($F$3="(todos)",TRUE,'ORDENES'!$W304=$F$3),'ORDENES'!$AB304=TRUE),'ORDENES'!$AO304&amp;" | "&amp;'ORDENES'!$S304&amp;" | "&amp;IF('ORDENES'!$AC304="","(sin técnico)",'ORDENES'!$AC304)&amp;" | "&amp;'ORDENES'!$D304&amp;" ("&amp;'ORDENES'!$N304&amp;" h)","")</f>
        <v/>
      </c>
    </row>
    <row r="309">
      <c r="K309" s="3">
        <f>IF(AND(IF($B$3="(todos)",TRUE,'ORDENES'!$P305=$B$3),IF($D$3="(todos)",TRUE,'ORDENES'!$AD305=$D$3),IF($F$3="(todos)",TRUE,'ORDENES'!$W305=$F$3),'ORDENES'!$AB305=TRUE),'ORDENES'!$AO305&amp;" | "&amp;'ORDENES'!$S305&amp;" | "&amp;IF('ORDENES'!$AC305="","(sin técnico)",'ORDENES'!$AC305)&amp;" | "&amp;'ORDENES'!$D305&amp;" ("&amp;'ORDENES'!$N305&amp;" h)","")</f>
        <v/>
      </c>
    </row>
    <row r="310">
      <c r="K310" s="3">
        <f>IF(AND(IF($B$3="(todos)",TRUE,'ORDENES'!$P306=$B$3),IF($D$3="(todos)",TRUE,'ORDENES'!$AD306=$D$3),IF($F$3="(todos)",TRUE,'ORDENES'!$W306=$F$3),'ORDENES'!$AB306=TRUE),'ORDENES'!$AO306&amp;" | "&amp;'ORDENES'!$S306&amp;" | "&amp;IF('ORDENES'!$AC306="","(sin técnico)",'ORDENES'!$AC306)&amp;" | "&amp;'ORDENES'!$D306&amp;" ("&amp;'ORDENES'!$N306&amp;" h)","")</f>
        <v/>
      </c>
    </row>
    <row r="311">
      <c r="K311" s="3">
        <f>IF(AND(IF($B$3="(todos)",TRUE,'ORDENES'!$P307=$B$3),IF($D$3="(todos)",TRUE,'ORDENES'!$AD307=$D$3),IF($F$3="(todos)",TRUE,'ORDENES'!$W307=$F$3),'ORDENES'!$AB307=TRUE),'ORDENES'!$AO307&amp;" | "&amp;'ORDENES'!$S307&amp;" | "&amp;IF('ORDENES'!$AC307="","(sin técnico)",'ORDENES'!$AC307)&amp;" | "&amp;'ORDENES'!$D307&amp;" ("&amp;'ORDENES'!$N307&amp;" h)","")</f>
        <v/>
      </c>
    </row>
    <row r="312">
      <c r="K312" s="3">
        <f>IF(AND(IF($B$3="(todos)",TRUE,'ORDENES'!$P308=$B$3),IF($D$3="(todos)",TRUE,'ORDENES'!$AD308=$D$3),IF($F$3="(todos)",TRUE,'ORDENES'!$W308=$F$3),'ORDENES'!$AB308=TRUE),'ORDENES'!$AO308&amp;" | "&amp;'ORDENES'!$S308&amp;" | "&amp;IF('ORDENES'!$AC308="","(sin técnico)",'ORDENES'!$AC308)&amp;" | "&amp;'ORDENES'!$D308&amp;" ("&amp;'ORDENES'!$N308&amp;" h)","")</f>
        <v/>
      </c>
    </row>
    <row r="313">
      <c r="K313" s="3">
        <f>IF(AND(IF($B$3="(todos)",TRUE,'ORDENES'!$P309=$B$3),IF($D$3="(todos)",TRUE,'ORDENES'!$AD309=$D$3),IF($F$3="(todos)",TRUE,'ORDENES'!$W309=$F$3),'ORDENES'!$AB309=TRUE),'ORDENES'!$AO309&amp;" | "&amp;'ORDENES'!$S309&amp;" | "&amp;IF('ORDENES'!$AC309="","(sin técnico)",'ORDENES'!$AC309)&amp;" | "&amp;'ORDENES'!$D309&amp;" ("&amp;'ORDENES'!$N309&amp;" h)","")</f>
        <v/>
      </c>
    </row>
    <row r="314">
      <c r="K314" s="3">
        <f>IF(AND(IF($B$3="(todos)",TRUE,'ORDENES'!$P310=$B$3),IF($D$3="(todos)",TRUE,'ORDENES'!$AD310=$D$3),IF($F$3="(todos)",TRUE,'ORDENES'!$W310=$F$3),'ORDENES'!$AB310=TRUE),'ORDENES'!$AO310&amp;" | "&amp;'ORDENES'!$S310&amp;" | "&amp;IF('ORDENES'!$AC310="","(sin técnico)",'ORDENES'!$AC310)&amp;" | "&amp;'ORDENES'!$D310&amp;" ("&amp;'ORDENES'!$N310&amp;" h)","")</f>
        <v/>
      </c>
    </row>
    <row r="315">
      <c r="K315" s="3">
        <f>IF(AND(IF($B$3="(todos)",TRUE,'ORDENES'!$P311=$B$3),IF($D$3="(todos)",TRUE,'ORDENES'!$AD311=$D$3),IF($F$3="(todos)",TRUE,'ORDENES'!$W311=$F$3),'ORDENES'!$AB311=TRUE),'ORDENES'!$AO311&amp;" | "&amp;'ORDENES'!$S311&amp;" | "&amp;IF('ORDENES'!$AC311="","(sin técnico)",'ORDENES'!$AC311)&amp;" | "&amp;'ORDENES'!$D311&amp;" ("&amp;'ORDENES'!$N311&amp;" h)","")</f>
        <v/>
      </c>
    </row>
    <row r="316">
      <c r="K316" s="3">
        <f>IF(AND(IF($B$3="(todos)",TRUE,'ORDENES'!$P312=$B$3),IF($D$3="(todos)",TRUE,'ORDENES'!$AD312=$D$3),IF($F$3="(todos)",TRUE,'ORDENES'!$W312=$F$3),'ORDENES'!$AB312=TRUE),'ORDENES'!$AO312&amp;" | "&amp;'ORDENES'!$S312&amp;" | "&amp;IF('ORDENES'!$AC312="","(sin técnico)",'ORDENES'!$AC312)&amp;" | "&amp;'ORDENES'!$D312&amp;" ("&amp;'ORDENES'!$N312&amp;" h)","")</f>
        <v/>
      </c>
    </row>
    <row r="317">
      <c r="K317" s="3">
        <f>IF(AND(IF($B$3="(todos)",TRUE,'ORDENES'!$P313=$B$3),IF($D$3="(todos)",TRUE,'ORDENES'!$AD313=$D$3),IF($F$3="(todos)",TRUE,'ORDENES'!$W313=$F$3),'ORDENES'!$AB313=TRUE),'ORDENES'!$AO313&amp;" | "&amp;'ORDENES'!$S313&amp;" | "&amp;IF('ORDENES'!$AC313="","(sin técnico)",'ORDENES'!$AC313)&amp;" | "&amp;'ORDENES'!$D313&amp;" ("&amp;'ORDENES'!$N313&amp;" h)","")</f>
        <v/>
      </c>
    </row>
    <row r="318">
      <c r="K318" s="3">
        <f>IF(AND(IF($B$3="(todos)",TRUE,'ORDENES'!$P314=$B$3),IF($D$3="(todos)",TRUE,'ORDENES'!$AD314=$D$3),IF($F$3="(todos)",TRUE,'ORDENES'!$W314=$F$3),'ORDENES'!$AB314=TRUE),'ORDENES'!$AO314&amp;" | "&amp;'ORDENES'!$S314&amp;" | "&amp;IF('ORDENES'!$AC314="","(sin técnico)",'ORDENES'!$AC314)&amp;" | "&amp;'ORDENES'!$D314&amp;" ("&amp;'ORDENES'!$N314&amp;" h)","")</f>
        <v/>
      </c>
    </row>
    <row r="319">
      <c r="K319" s="3">
        <f>IF(AND(IF($B$3="(todos)",TRUE,'ORDENES'!$P315=$B$3),IF($D$3="(todos)",TRUE,'ORDENES'!$AD315=$D$3),IF($F$3="(todos)",TRUE,'ORDENES'!$W315=$F$3),'ORDENES'!$AB315=TRUE),'ORDENES'!$AO315&amp;" | "&amp;'ORDENES'!$S315&amp;" | "&amp;IF('ORDENES'!$AC315="","(sin técnico)",'ORDENES'!$AC315)&amp;" | "&amp;'ORDENES'!$D315&amp;" ("&amp;'ORDENES'!$N315&amp;" h)","")</f>
        <v/>
      </c>
    </row>
    <row r="320">
      <c r="K320" s="3">
        <f>IF(AND(IF($B$3="(todos)",TRUE,'ORDENES'!$P316=$B$3),IF($D$3="(todos)",TRUE,'ORDENES'!$AD316=$D$3),IF($F$3="(todos)",TRUE,'ORDENES'!$W316=$F$3),'ORDENES'!$AB316=TRUE),'ORDENES'!$AO316&amp;" | "&amp;'ORDENES'!$S316&amp;" | "&amp;IF('ORDENES'!$AC316="","(sin técnico)",'ORDENES'!$AC316)&amp;" | "&amp;'ORDENES'!$D316&amp;" ("&amp;'ORDENES'!$N316&amp;" h)","")</f>
        <v/>
      </c>
    </row>
    <row r="321">
      <c r="K321" s="3">
        <f>IF(AND(IF($B$3="(todos)",TRUE,'ORDENES'!$P317=$B$3),IF($D$3="(todos)",TRUE,'ORDENES'!$AD317=$D$3),IF($F$3="(todos)",TRUE,'ORDENES'!$W317=$F$3),'ORDENES'!$AB317=TRUE),'ORDENES'!$AO317&amp;" | "&amp;'ORDENES'!$S317&amp;" | "&amp;IF('ORDENES'!$AC317="","(sin técnico)",'ORDENES'!$AC317)&amp;" | "&amp;'ORDENES'!$D317&amp;" ("&amp;'ORDENES'!$N317&amp;" h)","")</f>
        <v/>
      </c>
    </row>
    <row r="322">
      <c r="K322" s="3">
        <f>IF(AND(IF($B$3="(todos)",TRUE,'ORDENES'!$P318=$B$3),IF($D$3="(todos)",TRUE,'ORDENES'!$AD318=$D$3),IF($F$3="(todos)",TRUE,'ORDENES'!$W318=$F$3),'ORDENES'!$AB318=TRUE),'ORDENES'!$AO318&amp;" | "&amp;'ORDENES'!$S318&amp;" | "&amp;IF('ORDENES'!$AC318="","(sin técnico)",'ORDENES'!$AC318)&amp;" | "&amp;'ORDENES'!$D318&amp;" ("&amp;'ORDENES'!$N318&amp;" h)","")</f>
        <v/>
      </c>
    </row>
    <row r="323">
      <c r="K323" s="3">
        <f>IF(AND(IF($B$3="(todos)",TRUE,'ORDENES'!$P319=$B$3),IF($D$3="(todos)",TRUE,'ORDENES'!$AD319=$D$3),IF($F$3="(todos)",TRUE,'ORDENES'!$W319=$F$3),'ORDENES'!$AB319=TRUE),'ORDENES'!$AO319&amp;" | "&amp;'ORDENES'!$S319&amp;" | "&amp;IF('ORDENES'!$AC319="","(sin técnico)",'ORDENES'!$AC319)&amp;" | "&amp;'ORDENES'!$D319&amp;" ("&amp;'ORDENES'!$N319&amp;" h)","")</f>
        <v/>
      </c>
    </row>
    <row r="324">
      <c r="K324" s="3">
        <f>IF(AND(IF($B$3="(todos)",TRUE,'ORDENES'!$P320=$B$3),IF($D$3="(todos)",TRUE,'ORDENES'!$AD320=$D$3),IF($F$3="(todos)",TRUE,'ORDENES'!$W320=$F$3),'ORDENES'!$AB320=TRUE),'ORDENES'!$AO320&amp;" | "&amp;'ORDENES'!$S320&amp;" | "&amp;IF('ORDENES'!$AC320="","(sin técnico)",'ORDENES'!$AC320)&amp;" | "&amp;'ORDENES'!$D320&amp;" ("&amp;'ORDENES'!$N320&amp;" h)","")</f>
        <v/>
      </c>
    </row>
    <row r="325">
      <c r="K325" s="3">
        <f>IF(AND(IF($B$3="(todos)",TRUE,'ORDENES'!$P321=$B$3),IF($D$3="(todos)",TRUE,'ORDENES'!$AD321=$D$3),IF($F$3="(todos)",TRUE,'ORDENES'!$W321=$F$3),'ORDENES'!$AB321=TRUE),'ORDENES'!$AO321&amp;" | "&amp;'ORDENES'!$S321&amp;" | "&amp;IF('ORDENES'!$AC321="","(sin técnico)",'ORDENES'!$AC321)&amp;" | "&amp;'ORDENES'!$D321&amp;" ("&amp;'ORDENES'!$N321&amp;" h)","")</f>
        <v/>
      </c>
    </row>
    <row r="326">
      <c r="K326" s="3">
        <f>IF(AND(IF($B$3="(todos)",TRUE,'ORDENES'!$P322=$B$3),IF($D$3="(todos)",TRUE,'ORDENES'!$AD322=$D$3),IF($F$3="(todos)",TRUE,'ORDENES'!$W322=$F$3),'ORDENES'!$AB322=TRUE),'ORDENES'!$AO322&amp;" | "&amp;'ORDENES'!$S322&amp;" | "&amp;IF('ORDENES'!$AC322="","(sin técnico)",'ORDENES'!$AC322)&amp;" | "&amp;'ORDENES'!$D322&amp;" ("&amp;'ORDENES'!$N322&amp;" h)","")</f>
        <v/>
      </c>
    </row>
    <row r="327">
      <c r="K327" s="3">
        <f>IF(AND(IF($B$3="(todos)",TRUE,'ORDENES'!$P323=$B$3),IF($D$3="(todos)",TRUE,'ORDENES'!$AD323=$D$3),IF($F$3="(todos)",TRUE,'ORDENES'!$W323=$F$3),'ORDENES'!$AB323=TRUE),'ORDENES'!$AO323&amp;" | "&amp;'ORDENES'!$S323&amp;" | "&amp;IF('ORDENES'!$AC323="","(sin técnico)",'ORDENES'!$AC323)&amp;" | "&amp;'ORDENES'!$D323&amp;" ("&amp;'ORDENES'!$N323&amp;" h)","")</f>
        <v/>
      </c>
    </row>
    <row r="328">
      <c r="K328" s="3">
        <f>IF(AND(IF($B$3="(todos)",TRUE,'ORDENES'!$P324=$B$3),IF($D$3="(todos)",TRUE,'ORDENES'!$AD324=$D$3),IF($F$3="(todos)",TRUE,'ORDENES'!$W324=$F$3),'ORDENES'!$AB324=TRUE),'ORDENES'!$AO324&amp;" | "&amp;'ORDENES'!$S324&amp;" | "&amp;IF('ORDENES'!$AC324="","(sin técnico)",'ORDENES'!$AC324)&amp;" | "&amp;'ORDENES'!$D324&amp;" ("&amp;'ORDENES'!$N324&amp;" h)","")</f>
        <v/>
      </c>
    </row>
    <row r="329">
      <c r="K329" s="3">
        <f>IF(AND(IF($B$3="(todos)",TRUE,'ORDENES'!$P325=$B$3),IF($D$3="(todos)",TRUE,'ORDENES'!$AD325=$D$3),IF($F$3="(todos)",TRUE,'ORDENES'!$W325=$F$3),'ORDENES'!$AB325=TRUE),'ORDENES'!$AO325&amp;" | "&amp;'ORDENES'!$S325&amp;" | "&amp;IF('ORDENES'!$AC325="","(sin técnico)",'ORDENES'!$AC325)&amp;" | "&amp;'ORDENES'!$D325&amp;" ("&amp;'ORDENES'!$N325&amp;" h)","")</f>
        <v/>
      </c>
    </row>
    <row r="330">
      <c r="K330" s="3">
        <f>IF(AND(IF($B$3="(todos)",TRUE,'ORDENES'!$P326=$B$3),IF($D$3="(todos)",TRUE,'ORDENES'!$AD326=$D$3),IF($F$3="(todos)",TRUE,'ORDENES'!$W326=$F$3),'ORDENES'!$AB326=TRUE),'ORDENES'!$AO326&amp;" | "&amp;'ORDENES'!$S326&amp;" | "&amp;IF('ORDENES'!$AC326="","(sin técnico)",'ORDENES'!$AC326)&amp;" | "&amp;'ORDENES'!$D326&amp;" ("&amp;'ORDENES'!$N326&amp;" h)","")</f>
        <v/>
      </c>
    </row>
    <row r="331">
      <c r="K331" s="3">
        <f>IF(AND(IF($B$3="(todos)",TRUE,'ORDENES'!$P327=$B$3),IF($D$3="(todos)",TRUE,'ORDENES'!$AD327=$D$3),IF($F$3="(todos)",TRUE,'ORDENES'!$W327=$F$3),'ORDENES'!$AB327=TRUE),'ORDENES'!$AO327&amp;" | "&amp;'ORDENES'!$S327&amp;" | "&amp;IF('ORDENES'!$AC327="","(sin técnico)",'ORDENES'!$AC327)&amp;" | "&amp;'ORDENES'!$D327&amp;" ("&amp;'ORDENES'!$N327&amp;" h)","")</f>
        <v/>
      </c>
    </row>
    <row r="332">
      <c r="K332" s="3">
        <f>IF(AND(IF($B$3="(todos)",TRUE,'ORDENES'!$P328=$B$3),IF($D$3="(todos)",TRUE,'ORDENES'!$AD328=$D$3),IF($F$3="(todos)",TRUE,'ORDENES'!$W328=$F$3),'ORDENES'!$AB328=TRUE),'ORDENES'!$AO328&amp;" | "&amp;'ORDENES'!$S328&amp;" | "&amp;IF('ORDENES'!$AC328="","(sin técnico)",'ORDENES'!$AC328)&amp;" | "&amp;'ORDENES'!$D328&amp;" ("&amp;'ORDENES'!$N328&amp;" h)","")</f>
        <v/>
      </c>
    </row>
    <row r="333">
      <c r="K333" s="3">
        <f>IF(AND(IF($B$3="(todos)",TRUE,'ORDENES'!$P329=$B$3),IF($D$3="(todos)",TRUE,'ORDENES'!$AD329=$D$3),IF($F$3="(todos)",TRUE,'ORDENES'!$W329=$F$3),'ORDENES'!$AB329=TRUE),'ORDENES'!$AO329&amp;" | "&amp;'ORDENES'!$S329&amp;" | "&amp;IF('ORDENES'!$AC329="","(sin técnico)",'ORDENES'!$AC329)&amp;" | "&amp;'ORDENES'!$D329&amp;" ("&amp;'ORDENES'!$N329&amp;" h)","")</f>
        <v/>
      </c>
    </row>
    <row r="334">
      <c r="K334" s="3">
        <f>IF(AND(IF($B$3="(todos)",TRUE,'ORDENES'!$P330=$B$3),IF($D$3="(todos)",TRUE,'ORDENES'!$AD330=$D$3),IF($F$3="(todos)",TRUE,'ORDENES'!$W330=$F$3),'ORDENES'!$AB330=TRUE),'ORDENES'!$AO330&amp;" | "&amp;'ORDENES'!$S330&amp;" | "&amp;IF('ORDENES'!$AC330="","(sin técnico)",'ORDENES'!$AC330)&amp;" | "&amp;'ORDENES'!$D330&amp;" ("&amp;'ORDENES'!$N330&amp;" h)","")</f>
        <v/>
      </c>
    </row>
    <row r="335">
      <c r="K335" s="3">
        <f>IF(AND(IF($B$3="(todos)",TRUE,'ORDENES'!$P331=$B$3),IF($D$3="(todos)",TRUE,'ORDENES'!$AD331=$D$3),IF($F$3="(todos)",TRUE,'ORDENES'!$W331=$F$3),'ORDENES'!$AB331=TRUE),'ORDENES'!$AO331&amp;" | "&amp;'ORDENES'!$S331&amp;" | "&amp;IF('ORDENES'!$AC331="","(sin técnico)",'ORDENES'!$AC331)&amp;" | "&amp;'ORDENES'!$D331&amp;" ("&amp;'ORDENES'!$N331&amp;" h)","")</f>
        <v/>
      </c>
    </row>
    <row r="336">
      <c r="K336" s="3">
        <f>IF(AND(IF($B$3="(todos)",TRUE,'ORDENES'!$P332=$B$3),IF($D$3="(todos)",TRUE,'ORDENES'!$AD332=$D$3),IF($F$3="(todos)",TRUE,'ORDENES'!$W332=$F$3),'ORDENES'!$AB332=TRUE),'ORDENES'!$AO332&amp;" | "&amp;'ORDENES'!$S332&amp;" | "&amp;IF('ORDENES'!$AC332="","(sin técnico)",'ORDENES'!$AC332)&amp;" | "&amp;'ORDENES'!$D332&amp;" ("&amp;'ORDENES'!$N332&amp;" h)","")</f>
        <v/>
      </c>
    </row>
    <row r="337">
      <c r="K337" s="3">
        <f>IF(AND(IF($B$3="(todos)",TRUE,'ORDENES'!$P333=$B$3),IF($D$3="(todos)",TRUE,'ORDENES'!$AD333=$D$3),IF($F$3="(todos)",TRUE,'ORDENES'!$W333=$F$3),'ORDENES'!$AB333=TRUE),'ORDENES'!$AO333&amp;" | "&amp;'ORDENES'!$S333&amp;" | "&amp;IF('ORDENES'!$AC333="","(sin técnico)",'ORDENES'!$AC333)&amp;" | "&amp;'ORDENES'!$D333&amp;" ("&amp;'ORDENES'!$N333&amp;" h)","")</f>
        <v/>
      </c>
    </row>
    <row r="338">
      <c r="K338" s="3">
        <f>IF(AND(IF($B$3="(todos)",TRUE,'ORDENES'!$P334=$B$3),IF($D$3="(todos)",TRUE,'ORDENES'!$AD334=$D$3),IF($F$3="(todos)",TRUE,'ORDENES'!$W334=$F$3),'ORDENES'!$AB334=TRUE),'ORDENES'!$AO334&amp;" | "&amp;'ORDENES'!$S334&amp;" | "&amp;IF('ORDENES'!$AC334="","(sin técnico)",'ORDENES'!$AC334)&amp;" | "&amp;'ORDENES'!$D334&amp;" ("&amp;'ORDENES'!$N334&amp;" h)","")</f>
        <v/>
      </c>
    </row>
    <row r="339">
      <c r="K339" s="3">
        <f>IF(AND(IF($B$3="(todos)",TRUE,'ORDENES'!$P335=$B$3),IF($D$3="(todos)",TRUE,'ORDENES'!$AD335=$D$3),IF($F$3="(todos)",TRUE,'ORDENES'!$W335=$F$3),'ORDENES'!$AB335=TRUE),'ORDENES'!$AO335&amp;" | "&amp;'ORDENES'!$S335&amp;" | "&amp;IF('ORDENES'!$AC335="","(sin técnico)",'ORDENES'!$AC335)&amp;" | "&amp;'ORDENES'!$D335&amp;" ("&amp;'ORDENES'!$N335&amp;" h)","")</f>
        <v/>
      </c>
    </row>
    <row r="340">
      <c r="K340" s="3">
        <f>IF(AND(IF($B$3="(todos)",TRUE,'ORDENES'!$P336=$B$3),IF($D$3="(todos)",TRUE,'ORDENES'!$AD336=$D$3),IF($F$3="(todos)",TRUE,'ORDENES'!$W336=$F$3),'ORDENES'!$AB336=TRUE),'ORDENES'!$AO336&amp;" | "&amp;'ORDENES'!$S336&amp;" | "&amp;IF('ORDENES'!$AC336="","(sin técnico)",'ORDENES'!$AC336)&amp;" | "&amp;'ORDENES'!$D336&amp;" ("&amp;'ORDENES'!$N336&amp;" h)","")</f>
        <v/>
      </c>
    </row>
    <row r="341">
      <c r="K341" s="3">
        <f>IF(AND(IF($B$3="(todos)",TRUE,'ORDENES'!$P337=$B$3),IF($D$3="(todos)",TRUE,'ORDENES'!$AD337=$D$3),IF($F$3="(todos)",TRUE,'ORDENES'!$W337=$F$3),'ORDENES'!$AB337=TRUE),'ORDENES'!$AO337&amp;" | "&amp;'ORDENES'!$S337&amp;" | "&amp;IF('ORDENES'!$AC337="","(sin técnico)",'ORDENES'!$AC337)&amp;" | "&amp;'ORDENES'!$D337&amp;" ("&amp;'ORDENES'!$N337&amp;" h)","")</f>
        <v/>
      </c>
    </row>
    <row r="342">
      <c r="K342" s="3">
        <f>IF(AND(IF($B$3="(todos)",TRUE,'ORDENES'!$P338=$B$3),IF($D$3="(todos)",TRUE,'ORDENES'!$AD338=$D$3),IF($F$3="(todos)",TRUE,'ORDENES'!$W338=$F$3),'ORDENES'!$AB338=TRUE),'ORDENES'!$AO338&amp;" | "&amp;'ORDENES'!$S338&amp;" | "&amp;IF('ORDENES'!$AC338="","(sin técnico)",'ORDENES'!$AC338)&amp;" | "&amp;'ORDENES'!$D338&amp;" ("&amp;'ORDENES'!$N338&amp;" h)","")</f>
        <v/>
      </c>
    </row>
    <row r="343">
      <c r="K343" s="3">
        <f>IF(AND(IF($B$3="(todos)",TRUE,'ORDENES'!$P339=$B$3),IF($D$3="(todos)",TRUE,'ORDENES'!$AD339=$D$3),IF($F$3="(todos)",TRUE,'ORDENES'!$W339=$F$3),'ORDENES'!$AB339=TRUE),'ORDENES'!$AO339&amp;" | "&amp;'ORDENES'!$S339&amp;" | "&amp;IF('ORDENES'!$AC339="","(sin técnico)",'ORDENES'!$AC339)&amp;" | "&amp;'ORDENES'!$D339&amp;" ("&amp;'ORDENES'!$N339&amp;" h)","")</f>
        <v/>
      </c>
    </row>
    <row r="344">
      <c r="K344" s="3">
        <f>IF(AND(IF($B$3="(todos)",TRUE,'ORDENES'!$P340=$B$3),IF($D$3="(todos)",TRUE,'ORDENES'!$AD340=$D$3),IF($F$3="(todos)",TRUE,'ORDENES'!$W340=$F$3),'ORDENES'!$AB340=TRUE),'ORDENES'!$AO340&amp;" | "&amp;'ORDENES'!$S340&amp;" | "&amp;IF('ORDENES'!$AC340="","(sin técnico)",'ORDENES'!$AC340)&amp;" | "&amp;'ORDENES'!$D340&amp;" ("&amp;'ORDENES'!$N340&amp;" h)","")</f>
        <v/>
      </c>
    </row>
    <row r="345">
      <c r="K345" s="3">
        <f>IF(AND(IF($B$3="(todos)",TRUE,'ORDENES'!$P341=$B$3),IF($D$3="(todos)",TRUE,'ORDENES'!$AD341=$D$3),IF($F$3="(todos)",TRUE,'ORDENES'!$W341=$F$3),'ORDENES'!$AB341=TRUE),'ORDENES'!$AO341&amp;" | "&amp;'ORDENES'!$S341&amp;" | "&amp;IF('ORDENES'!$AC341="","(sin técnico)",'ORDENES'!$AC341)&amp;" | "&amp;'ORDENES'!$D341&amp;" ("&amp;'ORDENES'!$N341&amp;" h)","")</f>
        <v/>
      </c>
    </row>
    <row r="346">
      <c r="K346" s="3">
        <f>IF(AND(IF($B$3="(todos)",TRUE,'ORDENES'!$P342=$B$3),IF($D$3="(todos)",TRUE,'ORDENES'!$AD342=$D$3),IF($F$3="(todos)",TRUE,'ORDENES'!$W342=$F$3),'ORDENES'!$AB342=TRUE),'ORDENES'!$AO342&amp;" | "&amp;'ORDENES'!$S342&amp;" | "&amp;IF('ORDENES'!$AC342="","(sin técnico)",'ORDENES'!$AC342)&amp;" | "&amp;'ORDENES'!$D342&amp;" ("&amp;'ORDENES'!$N342&amp;" h)","")</f>
        <v/>
      </c>
    </row>
    <row r="347">
      <c r="K347" s="3">
        <f>IF(AND(IF($B$3="(todos)",TRUE,'ORDENES'!$P343=$B$3),IF($D$3="(todos)",TRUE,'ORDENES'!$AD343=$D$3),IF($F$3="(todos)",TRUE,'ORDENES'!$W343=$F$3),'ORDENES'!$AB343=TRUE),'ORDENES'!$AO343&amp;" | "&amp;'ORDENES'!$S343&amp;" | "&amp;IF('ORDENES'!$AC343="","(sin técnico)",'ORDENES'!$AC343)&amp;" | "&amp;'ORDENES'!$D343&amp;" ("&amp;'ORDENES'!$N343&amp;" h)","")</f>
        <v/>
      </c>
    </row>
    <row r="348">
      <c r="K348" s="3">
        <f>IF(AND(IF($B$3="(todos)",TRUE,'ORDENES'!$P344=$B$3),IF($D$3="(todos)",TRUE,'ORDENES'!$AD344=$D$3),IF($F$3="(todos)",TRUE,'ORDENES'!$W344=$F$3),'ORDENES'!$AB344=TRUE),'ORDENES'!$AO344&amp;" | "&amp;'ORDENES'!$S344&amp;" | "&amp;IF('ORDENES'!$AC344="","(sin técnico)",'ORDENES'!$AC344)&amp;" | "&amp;'ORDENES'!$D344&amp;" ("&amp;'ORDENES'!$N344&amp;" h)","")</f>
        <v/>
      </c>
    </row>
    <row r="349">
      <c r="K349" s="3">
        <f>IF(AND(IF($B$3="(todos)",TRUE,'ORDENES'!$P345=$B$3),IF($D$3="(todos)",TRUE,'ORDENES'!$AD345=$D$3),IF($F$3="(todos)",TRUE,'ORDENES'!$W345=$F$3),'ORDENES'!$AB345=TRUE),'ORDENES'!$AO345&amp;" | "&amp;'ORDENES'!$S345&amp;" | "&amp;IF('ORDENES'!$AC345="","(sin técnico)",'ORDENES'!$AC345)&amp;" | "&amp;'ORDENES'!$D345&amp;" ("&amp;'ORDENES'!$N345&amp;" h)","")</f>
        <v/>
      </c>
    </row>
    <row r="350">
      <c r="K350" s="3">
        <f>IF(AND(IF($B$3="(todos)",TRUE,'ORDENES'!$P346=$B$3),IF($D$3="(todos)",TRUE,'ORDENES'!$AD346=$D$3),IF($F$3="(todos)",TRUE,'ORDENES'!$W346=$F$3),'ORDENES'!$AB346=TRUE),'ORDENES'!$AO346&amp;" | "&amp;'ORDENES'!$S346&amp;" | "&amp;IF('ORDENES'!$AC346="","(sin técnico)",'ORDENES'!$AC346)&amp;" | "&amp;'ORDENES'!$D346&amp;" ("&amp;'ORDENES'!$N346&amp;" h)","")</f>
        <v/>
      </c>
    </row>
    <row r="351">
      <c r="K351" s="3">
        <f>IF(AND(IF($B$3="(todos)",TRUE,'ORDENES'!$P347=$B$3),IF($D$3="(todos)",TRUE,'ORDENES'!$AD347=$D$3),IF($F$3="(todos)",TRUE,'ORDENES'!$W347=$F$3),'ORDENES'!$AB347=TRUE),'ORDENES'!$AO347&amp;" | "&amp;'ORDENES'!$S347&amp;" | "&amp;IF('ORDENES'!$AC347="","(sin técnico)",'ORDENES'!$AC347)&amp;" | "&amp;'ORDENES'!$D347&amp;" ("&amp;'ORDENES'!$N347&amp;" h)","")</f>
        <v/>
      </c>
    </row>
    <row r="352">
      <c r="K352" s="3">
        <f>IF(AND(IF($B$3="(todos)",TRUE,'ORDENES'!$P348=$B$3),IF($D$3="(todos)",TRUE,'ORDENES'!$AD348=$D$3),IF($F$3="(todos)",TRUE,'ORDENES'!$W348=$F$3),'ORDENES'!$AB348=TRUE),'ORDENES'!$AO348&amp;" | "&amp;'ORDENES'!$S348&amp;" | "&amp;IF('ORDENES'!$AC348="","(sin técnico)",'ORDENES'!$AC348)&amp;" | "&amp;'ORDENES'!$D348&amp;" ("&amp;'ORDENES'!$N348&amp;" h)","")</f>
        <v/>
      </c>
    </row>
    <row r="353">
      <c r="K353" s="3">
        <f>IF(AND(IF($B$3="(todos)",TRUE,'ORDENES'!$P349=$B$3),IF($D$3="(todos)",TRUE,'ORDENES'!$AD349=$D$3),IF($F$3="(todos)",TRUE,'ORDENES'!$W349=$F$3),'ORDENES'!$AB349=TRUE),'ORDENES'!$AO349&amp;" | "&amp;'ORDENES'!$S349&amp;" | "&amp;IF('ORDENES'!$AC349="","(sin técnico)",'ORDENES'!$AC349)&amp;" | "&amp;'ORDENES'!$D349&amp;" ("&amp;'ORDENES'!$N349&amp;" h)","")</f>
        <v/>
      </c>
    </row>
    <row r="354">
      <c r="K354" s="3">
        <f>IF(AND(IF($B$3="(todos)",TRUE,'ORDENES'!$P350=$B$3),IF($D$3="(todos)",TRUE,'ORDENES'!$AD350=$D$3),IF($F$3="(todos)",TRUE,'ORDENES'!$W350=$F$3),'ORDENES'!$AB350=TRUE),'ORDENES'!$AO350&amp;" | "&amp;'ORDENES'!$S350&amp;" | "&amp;IF('ORDENES'!$AC350="","(sin técnico)",'ORDENES'!$AC350)&amp;" | "&amp;'ORDENES'!$D350&amp;" ("&amp;'ORDENES'!$N350&amp;" h)","")</f>
        <v/>
      </c>
    </row>
    <row r="355">
      <c r="K355" s="3">
        <f>IF(AND(IF($B$3="(todos)",TRUE,'ORDENES'!$P351=$B$3),IF($D$3="(todos)",TRUE,'ORDENES'!$AD351=$D$3),IF($F$3="(todos)",TRUE,'ORDENES'!$W351=$F$3),'ORDENES'!$AB351=TRUE),'ORDENES'!$AO351&amp;" | "&amp;'ORDENES'!$S351&amp;" | "&amp;IF('ORDENES'!$AC351="","(sin técnico)",'ORDENES'!$AC351)&amp;" | "&amp;'ORDENES'!$D351&amp;" ("&amp;'ORDENES'!$N351&amp;" h)","")</f>
        <v/>
      </c>
    </row>
    <row r="356">
      <c r="K356" s="3">
        <f>IF(AND(IF($B$3="(todos)",TRUE,'ORDENES'!$P352=$B$3),IF($D$3="(todos)",TRUE,'ORDENES'!$AD352=$D$3),IF($F$3="(todos)",TRUE,'ORDENES'!$W352=$F$3),'ORDENES'!$AB352=TRUE),'ORDENES'!$AO352&amp;" | "&amp;'ORDENES'!$S352&amp;" | "&amp;IF('ORDENES'!$AC352="","(sin técnico)",'ORDENES'!$AC352)&amp;" | "&amp;'ORDENES'!$D352&amp;" ("&amp;'ORDENES'!$N352&amp;" h)","")</f>
        <v/>
      </c>
    </row>
    <row r="357">
      <c r="K357" s="3">
        <f>IF(AND(IF($B$3="(todos)",TRUE,'ORDENES'!$P353=$B$3),IF($D$3="(todos)",TRUE,'ORDENES'!$AD353=$D$3),IF($F$3="(todos)",TRUE,'ORDENES'!$W353=$F$3),'ORDENES'!$AB353=TRUE),'ORDENES'!$AO353&amp;" | "&amp;'ORDENES'!$S353&amp;" | "&amp;IF('ORDENES'!$AC353="","(sin técnico)",'ORDENES'!$AC353)&amp;" | "&amp;'ORDENES'!$D353&amp;" ("&amp;'ORDENES'!$N353&amp;" h)","")</f>
        <v/>
      </c>
    </row>
    <row r="358">
      <c r="K358" s="3">
        <f>IF(AND(IF($B$3="(todos)",TRUE,'ORDENES'!$P354=$B$3),IF($D$3="(todos)",TRUE,'ORDENES'!$AD354=$D$3),IF($F$3="(todos)",TRUE,'ORDENES'!$W354=$F$3),'ORDENES'!$AB354=TRUE),'ORDENES'!$AO354&amp;" | "&amp;'ORDENES'!$S354&amp;" | "&amp;IF('ORDENES'!$AC354="","(sin técnico)",'ORDENES'!$AC354)&amp;" | "&amp;'ORDENES'!$D354&amp;" ("&amp;'ORDENES'!$N354&amp;" h)","")</f>
        <v/>
      </c>
    </row>
    <row r="359">
      <c r="K359" s="3">
        <f>IF(AND(IF($B$3="(todos)",TRUE,'ORDENES'!$P355=$B$3),IF($D$3="(todos)",TRUE,'ORDENES'!$AD355=$D$3),IF($F$3="(todos)",TRUE,'ORDENES'!$W355=$F$3),'ORDENES'!$AB355=TRUE),'ORDENES'!$AO355&amp;" | "&amp;'ORDENES'!$S355&amp;" | "&amp;IF('ORDENES'!$AC355="","(sin técnico)",'ORDENES'!$AC355)&amp;" | "&amp;'ORDENES'!$D355&amp;" ("&amp;'ORDENES'!$N355&amp;" h)","")</f>
        <v/>
      </c>
    </row>
    <row r="360">
      <c r="K360" s="3">
        <f>IF(AND(IF($B$3="(todos)",TRUE,'ORDENES'!$P356=$B$3),IF($D$3="(todos)",TRUE,'ORDENES'!$AD356=$D$3),IF($F$3="(todos)",TRUE,'ORDENES'!$W356=$F$3),'ORDENES'!$AB356=TRUE),'ORDENES'!$AO356&amp;" | "&amp;'ORDENES'!$S356&amp;" | "&amp;IF('ORDENES'!$AC356="","(sin técnico)",'ORDENES'!$AC356)&amp;" | "&amp;'ORDENES'!$D356&amp;" ("&amp;'ORDENES'!$N356&amp;" h)","")</f>
        <v/>
      </c>
    </row>
    <row r="361">
      <c r="K361" s="3">
        <f>IF(AND(IF($B$3="(todos)",TRUE,'ORDENES'!$P357=$B$3),IF($D$3="(todos)",TRUE,'ORDENES'!$AD357=$D$3),IF($F$3="(todos)",TRUE,'ORDENES'!$W357=$F$3),'ORDENES'!$AB357=TRUE),'ORDENES'!$AO357&amp;" | "&amp;'ORDENES'!$S357&amp;" | "&amp;IF('ORDENES'!$AC357="","(sin técnico)",'ORDENES'!$AC357)&amp;" | "&amp;'ORDENES'!$D357&amp;" ("&amp;'ORDENES'!$N357&amp;" h)","")</f>
        <v/>
      </c>
    </row>
    <row r="362">
      <c r="K362" s="3">
        <f>IF(AND(IF($B$3="(todos)",TRUE,'ORDENES'!$P358=$B$3),IF($D$3="(todos)",TRUE,'ORDENES'!$AD358=$D$3),IF($F$3="(todos)",TRUE,'ORDENES'!$W358=$F$3),'ORDENES'!$AB358=TRUE),'ORDENES'!$AO358&amp;" | "&amp;'ORDENES'!$S358&amp;" | "&amp;IF('ORDENES'!$AC358="","(sin técnico)",'ORDENES'!$AC358)&amp;" | "&amp;'ORDENES'!$D358&amp;" ("&amp;'ORDENES'!$N358&amp;" h)","")</f>
        <v/>
      </c>
    </row>
    <row r="363">
      <c r="K363" s="3">
        <f>IF(AND(IF($B$3="(todos)",TRUE,'ORDENES'!$P359=$B$3),IF($D$3="(todos)",TRUE,'ORDENES'!$AD359=$D$3),IF($F$3="(todos)",TRUE,'ORDENES'!$W359=$F$3),'ORDENES'!$AB359=TRUE),'ORDENES'!$AO359&amp;" | "&amp;'ORDENES'!$S359&amp;" | "&amp;IF('ORDENES'!$AC359="","(sin técnico)",'ORDENES'!$AC359)&amp;" | "&amp;'ORDENES'!$D359&amp;" ("&amp;'ORDENES'!$N359&amp;" h)","")</f>
        <v/>
      </c>
    </row>
    <row r="364">
      <c r="K364" s="3">
        <f>IF(AND(IF($B$3="(todos)",TRUE,'ORDENES'!$P360=$B$3),IF($D$3="(todos)",TRUE,'ORDENES'!$AD360=$D$3),IF($F$3="(todos)",TRUE,'ORDENES'!$W360=$F$3),'ORDENES'!$AB360=TRUE),'ORDENES'!$AO360&amp;" | "&amp;'ORDENES'!$S360&amp;" | "&amp;IF('ORDENES'!$AC360="","(sin técnico)",'ORDENES'!$AC360)&amp;" | "&amp;'ORDENES'!$D360&amp;" ("&amp;'ORDENES'!$N360&amp;" h)","")</f>
        <v/>
      </c>
    </row>
    <row r="365">
      <c r="K365" s="3">
        <f>IF(AND(IF($B$3="(todos)",TRUE,'ORDENES'!$P361=$B$3),IF($D$3="(todos)",TRUE,'ORDENES'!$AD361=$D$3),IF($F$3="(todos)",TRUE,'ORDENES'!$W361=$F$3),'ORDENES'!$AB361=TRUE),'ORDENES'!$AO361&amp;" | "&amp;'ORDENES'!$S361&amp;" | "&amp;IF('ORDENES'!$AC361="","(sin técnico)",'ORDENES'!$AC361)&amp;" | "&amp;'ORDENES'!$D361&amp;" ("&amp;'ORDENES'!$N361&amp;" h)","")</f>
        <v/>
      </c>
    </row>
    <row r="366">
      <c r="K366" s="3">
        <f>IF(AND(IF($B$3="(todos)",TRUE,'ORDENES'!$P362=$B$3),IF($D$3="(todos)",TRUE,'ORDENES'!$AD362=$D$3),IF($F$3="(todos)",TRUE,'ORDENES'!$W362=$F$3),'ORDENES'!$AB362=TRUE),'ORDENES'!$AO362&amp;" | "&amp;'ORDENES'!$S362&amp;" | "&amp;IF('ORDENES'!$AC362="","(sin técnico)",'ORDENES'!$AC362)&amp;" | "&amp;'ORDENES'!$D362&amp;" ("&amp;'ORDENES'!$N362&amp;" h)","")</f>
        <v/>
      </c>
    </row>
    <row r="367">
      <c r="K367" s="3">
        <f>IF(AND(IF($B$3="(todos)",TRUE,'ORDENES'!$P363=$B$3),IF($D$3="(todos)",TRUE,'ORDENES'!$AD363=$D$3),IF($F$3="(todos)",TRUE,'ORDENES'!$W363=$F$3),'ORDENES'!$AB363=TRUE),'ORDENES'!$AO363&amp;" | "&amp;'ORDENES'!$S363&amp;" | "&amp;IF('ORDENES'!$AC363="","(sin técnico)",'ORDENES'!$AC363)&amp;" | "&amp;'ORDENES'!$D363&amp;" ("&amp;'ORDENES'!$N363&amp;" h)","")</f>
        <v/>
      </c>
    </row>
    <row r="368">
      <c r="K368" s="3">
        <f>IF(AND(IF($B$3="(todos)",TRUE,'ORDENES'!$P364=$B$3),IF($D$3="(todos)",TRUE,'ORDENES'!$AD364=$D$3),IF($F$3="(todos)",TRUE,'ORDENES'!$W364=$F$3),'ORDENES'!$AB364=TRUE),'ORDENES'!$AO364&amp;" | "&amp;'ORDENES'!$S364&amp;" | "&amp;IF('ORDENES'!$AC364="","(sin técnico)",'ORDENES'!$AC364)&amp;" | "&amp;'ORDENES'!$D364&amp;" ("&amp;'ORDENES'!$N364&amp;" h)","")</f>
        <v/>
      </c>
    </row>
    <row r="369">
      <c r="K369" s="3">
        <f>IF(AND(IF($B$3="(todos)",TRUE,'ORDENES'!$P365=$B$3),IF($D$3="(todos)",TRUE,'ORDENES'!$AD365=$D$3),IF($F$3="(todos)",TRUE,'ORDENES'!$W365=$F$3),'ORDENES'!$AB365=TRUE),'ORDENES'!$AO365&amp;" | "&amp;'ORDENES'!$S365&amp;" | "&amp;IF('ORDENES'!$AC365="","(sin técnico)",'ORDENES'!$AC365)&amp;" | "&amp;'ORDENES'!$D365&amp;" ("&amp;'ORDENES'!$N365&amp;" h)","")</f>
        <v/>
      </c>
    </row>
    <row r="370">
      <c r="K370" s="3">
        <f>IF(AND(IF($B$3="(todos)",TRUE,'ORDENES'!$P366=$B$3),IF($D$3="(todos)",TRUE,'ORDENES'!$AD366=$D$3),IF($F$3="(todos)",TRUE,'ORDENES'!$W366=$F$3),'ORDENES'!$AB366=TRUE),'ORDENES'!$AO366&amp;" | "&amp;'ORDENES'!$S366&amp;" | "&amp;IF('ORDENES'!$AC366="","(sin técnico)",'ORDENES'!$AC366)&amp;" | "&amp;'ORDENES'!$D366&amp;" ("&amp;'ORDENES'!$N366&amp;" h)","")</f>
        <v/>
      </c>
    </row>
    <row r="371">
      <c r="K371" s="3">
        <f>IF(AND(IF($B$3="(todos)",TRUE,'ORDENES'!$P367=$B$3),IF($D$3="(todos)",TRUE,'ORDENES'!$AD367=$D$3),IF($F$3="(todos)",TRUE,'ORDENES'!$W367=$F$3),'ORDENES'!$AB367=TRUE),'ORDENES'!$AO367&amp;" | "&amp;'ORDENES'!$S367&amp;" | "&amp;IF('ORDENES'!$AC367="","(sin técnico)",'ORDENES'!$AC367)&amp;" | "&amp;'ORDENES'!$D367&amp;" ("&amp;'ORDENES'!$N367&amp;" h)","")</f>
        <v/>
      </c>
    </row>
    <row r="372">
      <c r="K372" s="3">
        <f>IF(AND(IF($B$3="(todos)",TRUE,'ORDENES'!$P368=$B$3),IF($D$3="(todos)",TRUE,'ORDENES'!$AD368=$D$3),IF($F$3="(todos)",TRUE,'ORDENES'!$W368=$F$3),'ORDENES'!$AB368=TRUE),'ORDENES'!$AO368&amp;" | "&amp;'ORDENES'!$S368&amp;" | "&amp;IF('ORDENES'!$AC368="","(sin técnico)",'ORDENES'!$AC368)&amp;" | "&amp;'ORDENES'!$D368&amp;" ("&amp;'ORDENES'!$N368&amp;" h)","")</f>
        <v/>
      </c>
    </row>
    <row r="373">
      <c r="K373" s="3">
        <f>IF(AND(IF($B$3="(todos)",TRUE,'ORDENES'!$P369=$B$3),IF($D$3="(todos)",TRUE,'ORDENES'!$AD369=$D$3),IF($F$3="(todos)",TRUE,'ORDENES'!$W369=$F$3),'ORDENES'!$AB369=TRUE),'ORDENES'!$AO369&amp;" | "&amp;'ORDENES'!$S369&amp;" | "&amp;IF('ORDENES'!$AC369="","(sin técnico)",'ORDENES'!$AC369)&amp;" | "&amp;'ORDENES'!$D369&amp;" ("&amp;'ORDENES'!$N369&amp;" h)","")</f>
        <v/>
      </c>
    </row>
    <row r="374">
      <c r="K374" s="3">
        <f>IF(AND(IF($B$3="(todos)",TRUE,'ORDENES'!$P370=$B$3),IF($D$3="(todos)",TRUE,'ORDENES'!$AD370=$D$3),IF($F$3="(todos)",TRUE,'ORDENES'!$W370=$F$3),'ORDENES'!$AB370=TRUE),'ORDENES'!$AO370&amp;" | "&amp;'ORDENES'!$S370&amp;" | "&amp;IF('ORDENES'!$AC370="","(sin técnico)",'ORDENES'!$AC370)&amp;" | "&amp;'ORDENES'!$D370&amp;" ("&amp;'ORDENES'!$N370&amp;" h)","")</f>
        <v/>
      </c>
    </row>
    <row r="375">
      <c r="K375" s="3">
        <f>IF(AND(IF($B$3="(todos)",TRUE,'ORDENES'!$P371=$B$3),IF($D$3="(todos)",TRUE,'ORDENES'!$AD371=$D$3),IF($F$3="(todos)",TRUE,'ORDENES'!$W371=$F$3),'ORDENES'!$AB371=TRUE),'ORDENES'!$AO371&amp;" | "&amp;'ORDENES'!$S371&amp;" | "&amp;IF('ORDENES'!$AC371="","(sin técnico)",'ORDENES'!$AC371)&amp;" | "&amp;'ORDENES'!$D371&amp;" ("&amp;'ORDENES'!$N371&amp;" h)","")</f>
        <v/>
      </c>
    </row>
    <row r="376">
      <c r="K376" s="3">
        <f>IF(AND(IF($B$3="(todos)",TRUE,'ORDENES'!$P372=$B$3),IF($D$3="(todos)",TRUE,'ORDENES'!$AD372=$D$3),IF($F$3="(todos)",TRUE,'ORDENES'!$W372=$F$3),'ORDENES'!$AB372=TRUE),'ORDENES'!$AO372&amp;" | "&amp;'ORDENES'!$S372&amp;" | "&amp;IF('ORDENES'!$AC372="","(sin técnico)",'ORDENES'!$AC372)&amp;" | "&amp;'ORDENES'!$D372&amp;" ("&amp;'ORDENES'!$N372&amp;" h)","")</f>
        <v/>
      </c>
    </row>
    <row r="377">
      <c r="K377" s="3">
        <f>IF(AND(IF($B$3="(todos)",TRUE,'ORDENES'!$P373=$B$3),IF($D$3="(todos)",TRUE,'ORDENES'!$AD373=$D$3),IF($F$3="(todos)",TRUE,'ORDENES'!$W373=$F$3),'ORDENES'!$AB373=TRUE),'ORDENES'!$AO373&amp;" | "&amp;'ORDENES'!$S373&amp;" | "&amp;IF('ORDENES'!$AC373="","(sin técnico)",'ORDENES'!$AC373)&amp;" | "&amp;'ORDENES'!$D373&amp;" ("&amp;'ORDENES'!$N373&amp;" h)","")</f>
        <v/>
      </c>
    </row>
    <row r="378">
      <c r="K378" s="3">
        <f>IF(AND(IF($B$3="(todos)",TRUE,'ORDENES'!$P374=$B$3),IF($D$3="(todos)",TRUE,'ORDENES'!$AD374=$D$3),IF($F$3="(todos)",TRUE,'ORDENES'!$W374=$F$3),'ORDENES'!$AB374=TRUE),'ORDENES'!$AO374&amp;" | "&amp;'ORDENES'!$S374&amp;" | "&amp;IF('ORDENES'!$AC374="","(sin técnico)",'ORDENES'!$AC374)&amp;" | "&amp;'ORDENES'!$D374&amp;" ("&amp;'ORDENES'!$N374&amp;" h)","")</f>
        <v/>
      </c>
    </row>
    <row r="379">
      <c r="K379" s="3">
        <f>IF(AND(IF($B$3="(todos)",TRUE,'ORDENES'!$P375=$B$3),IF($D$3="(todos)",TRUE,'ORDENES'!$AD375=$D$3),IF($F$3="(todos)",TRUE,'ORDENES'!$W375=$F$3),'ORDENES'!$AB375=TRUE),'ORDENES'!$AO375&amp;" | "&amp;'ORDENES'!$S375&amp;" | "&amp;IF('ORDENES'!$AC375="","(sin técnico)",'ORDENES'!$AC375)&amp;" | "&amp;'ORDENES'!$D375&amp;" ("&amp;'ORDENES'!$N375&amp;" h)","")</f>
        <v/>
      </c>
    </row>
    <row r="380">
      <c r="K380" s="3">
        <f>IF(AND(IF($B$3="(todos)",TRUE,'ORDENES'!$P376=$B$3),IF($D$3="(todos)",TRUE,'ORDENES'!$AD376=$D$3),IF($F$3="(todos)",TRUE,'ORDENES'!$W376=$F$3),'ORDENES'!$AB376=TRUE),'ORDENES'!$AO376&amp;" | "&amp;'ORDENES'!$S376&amp;" | "&amp;IF('ORDENES'!$AC376="","(sin técnico)",'ORDENES'!$AC376)&amp;" | "&amp;'ORDENES'!$D376&amp;" ("&amp;'ORDENES'!$N376&amp;" h)","")</f>
        <v/>
      </c>
    </row>
    <row r="381">
      <c r="K381" s="3">
        <f>IF(AND(IF($B$3="(todos)",TRUE,'ORDENES'!$P377=$B$3),IF($D$3="(todos)",TRUE,'ORDENES'!$AD377=$D$3),IF($F$3="(todos)",TRUE,'ORDENES'!$W377=$F$3),'ORDENES'!$AB377=TRUE),'ORDENES'!$AO377&amp;" | "&amp;'ORDENES'!$S377&amp;" | "&amp;IF('ORDENES'!$AC377="","(sin técnico)",'ORDENES'!$AC377)&amp;" | "&amp;'ORDENES'!$D377&amp;" ("&amp;'ORDENES'!$N377&amp;" h)","")</f>
        <v/>
      </c>
    </row>
    <row r="382">
      <c r="K382" s="3">
        <f>IF(AND(IF($B$3="(todos)",TRUE,'ORDENES'!$P378=$B$3),IF($D$3="(todos)",TRUE,'ORDENES'!$AD378=$D$3),IF($F$3="(todos)",TRUE,'ORDENES'!$W378=$F$3),'ORDENES'!$AB378=TRUE),'ORDENES'!$AO378&amp;" | "&amp;'ORDENES'!$S378&amp;" | "&amp;IF('ORDENES'!$AC378="","(sin técnico)",'ORDENES'!$AC378)&amp;" | "&amp;'ORDENES'!$D378&amp;" ("&amp;'ORDENES'!$N378&amp;" h)","")</f>
        <v/>
      </c>
    </row>
    <row r="383">
      <c r="K383" s="3">
        <f>IF(AND(IF($B$3="(todos)",TRUE,'ORDENES'!$P379=$B$3),IF($D$3="(todos)",TRUE,'ORDENES'!$AD379=$D$3),IF($F$3="(todos)",TRUE,'ORDENES'!$W379=$F$3),'ORDENES'!$AB379=TRUE),'ORDENES'!$AO379&amp;" | "&amp;'ORDENES'!$S379&amp;" | "&amp;IF('ORDENES'!$AC379="","(sin técnico)",'ORDENES'!$AC379)&amp;" | "&amp;'ORDENES'!$D379&amp;" ("&amp;'ORDENES'!$N379&amp;" h)","")</f>
        <v/>
      </c>
    </row>
    <row r="384">
      <c r="K384" s="3">
        <f>IF(AND(IF($B$3="(todos)",TRUE,'ORDENES'!$P380=$B$3),IF($D$3="(todos)",TRUE,'ORDENES'!$AD380=$D$3),IF($F$3="(todos)",TRUE,'ORDENES'!$W380=$F$3),'ORDENES'!$AB380=TRUE),'ORDENES'!$AO380&amp;" | "&amp;'ORDENES'!$S380&amp;" | "&amp;IF('ORDENES'!$AC380="","(sin técnico)",'ORDENES'!$AC380)&amp;" | "&amp;'ORDENES'!$D380&amp;" ("&amp;'ORDENES'!$N380&amp;" h)","")</f>
        <v/>
      </c>
    </row>
    <row r="385">
      <c r="K385" s="3">
        <f>IF(AND(IF($B$3="(todos)",TRUE,'ORDENES'!$P381=$B$3),IF($D$3="(todos)",TRUE,'ORDENES'!$AD381=$D$3),IF($F$3="(todos)",TRUE,'ORDENES'!$W381=$F$3),'ORDENES'!$AB381=TRUE),'ORDENES'!$AO381&amp;" | "&amp;'ORDENES'!$S381&amp;" | "&amp;IF('ORDENES'!$AC381="","(sin técnico)",'ORDENES'!$AC381)&amp;" | "&amp;'ORDENES'!$D381&amp;" ("&amp;'ORDENES'!$N381&amp;" h)","")</f>
        <v/>
      </c>
    </row>
    <row r="386">
      <c r="K386" s="3">
        <f>IF(AND(IF($B$3="(todos)",TRUE,'ORDENES'!$P382=$B$3),IF($D$3="(todos)",TRUE,'ORDENES'!$AD382=$D$3),IF($F$3="(todos)",TRUE,'ORDENES'!$W382=$F$3),'ORDENES'!$AB382=TRUE),'ORDENES'!$AO382&amp;" | "&amp;'ORDENES'!$S382&amp;" | "&amp;IF('ORDENES'!$AC382="","(sin técnico)",'ORDENES'!$AC382)&amp;" | "&amp;'ORDENES'!$D382&amp;" ("&amp;'ORDENES'!$N382&amp;" h)","")</f>
        <v/>
      </c>
    </row>
    <row r="387">
      <c r="K387" s="3">
        <f>IF(AND(IF($B$3="(todos)",TRUE,'ORDENES'!$P383=$B$3),IF($D$3="(todos)",TRUE,'ORDENES'!$AD383=$D$3),IF($F$3="(todos)",TRUE,'ORDENES'!$W383=$F$3),'ORDENES'!$AB383=TRUE),'ORDENES'!$AO383&amp;" | "&amp;'ORDENES'!$S383&amp;" | "&amp;IF('ORDENES'!$AC383="","(sin técnico)",'ORDENES'!$AC383)&amp;" | "&amp;'ORDENES'!$D383&amp;" ("&amp;'ORDENES'!$N383&amp;" h)","")</f>
        <v/>
      </c>
    </row>
    <row r="388">
      <c r="K388" s="3">
        <f>IF(AND(IF($B$3="(todos)",TRUE,'ORDENES'!$P384=$B$3),IF($D$3="(todos)",TRUE,'ORDENES'!$AD384=$D$3),IF($F$3="(todos)",TRUE,'ORDENES'!$W384=$F$3),'ORDENES'!$AB384=TRUE),'ORDENES'!$AO384&amp;" | "&amp;'ORDENES'!$S384&amp;" | "&amp;IF('ORDENES'!$AC384="","(sin técnico)",'ORDENES'!$AC384)&amp;" | "&amp;'ORDENES'!$D384&amp;" ("&amp;'ORDENES'!$N384&amp;" h)","")</f>
        <v/>
      </c>
    </row>
    <row r="389">
      <c r="K389" s="3">
        <f>IF(AND(IF($B$3="(todos)",TRUE,'ORDENES'!$P385=$B$3),IF($D$3="(todos)",TRUE,'ORDENES'!$AD385=$D$3),IF($F$3="(todos)",TRUE,'ORDENES'!$W385=$F$3),'ORDENES'!$AB385=TRUE),'ORDENES'!$AO385&amp;" | "&amp;'ORDENES'!$S385&amp;" | "&amp;IF('ORDENES'!$AC385="","(sin técnico)",'ORDENES'!$AC385)&amp;" | "&amp;'ORDENES'!$D385&amp;" ("&amp;'ORDENES'!$N385&amp;" h)","")</f>
        <v/>
      </c>
    </row>
    <row r="390">
      <c r="K390" s="3">
        <f>IF(AND(IF($B$3="(todos)",TRUE,'ORDENES'!$P386=$B$3),IF($D$3="(todos)",TRUE,'ORDENES'!$AD386=$D$3),IF($F$3="(todos)",TRUE,'ORDENES'!$W386=$F$3),'ORDENES'!$AB386=TRUE),'ORDENES'!$AO386&amp;" | "&amp;'ORDENES'!$S386&amp;" | "&amp;IF('ORDENES'!$AC386="","(sin técnico)",'ORDENES'!$AC386)&amp;" | "&amp;'ORDENES'!$D386&amp;" ("&amp;'ORDENES'!$N386&amp;" h)","")</f>
        <v/>
      </c>
    </row>
    <row r="391">
      <c r="K391" s="3">
        <f>IF(AND(IF($B$3="(todos)",TRUE,'ORDENES'!$P387=$B$3),IF($D$3="(todos)",TRUE,'ORDENES'!$AD387=$D$3),IF($F$3="(todos)",TRUE,'ORDENES'!$W387=$F$3),'ORDENES'!$AB387=TRUE),'ORDENES'!$AO387&amp;" | "&amp;'ORDENES'!$S387&amp;" | "&amp;IF('ORDENES'!$AC387="","(sin técnico)",'ORDENES'!$AC387)&amp;" | "&amp;'ORDENES'!$D387&amp;" ("&amp;'ORDENES'!$N387&amp;" h)","")</f>
        <v/>
      </c>
    </row>
    <row r="392">
      <c r="K392" s="3">
        <f>IF(AND(IF($B$3="(todos)",TRUE,'ORDENES'!$P388=$B$3),IF($D$3="(todos)",TRUE,'ORDENES'!$AD388=$D$3),IF($F$3="(todos)",TRUE,'ORDENES'!$W388=$F$3),'ORDENES'!$AB388=TRUE),'ORDENES'!$AO388&amp;" | "&amp;'ORDENES'!$S388&amp;" | "&amp;IF('ORDENES'!$AC388="","(sin técnico)",'ORDENES'!$AC388)&amp;" | "&amp;'ORDENES'!$D388&amp;" ("&amp;'ORDENES'!$N388&amp;" h)","")</f>
        <v/>
      </c>
    </row>
    <row r="393">
      <c r="K393" s="3">
        <f>IF(AND(IF($B$3="(todos)",TRUE,'ORDENES'!$P389=$B$3),IF($D$3="(todos)",TRUE,'ORDENES'!$AD389=$D$3),IF($F$3="(todos)",TRUE,'ORDENES'!$W389=$F$3),'ORDENES'!$AB389=TRUE),'ORDENES'!$AO389&amp;" | "&amp;'ORDENES'!$S389&amp;" | "&amp;IF('ORDENES'!$AC389="","(sin técnico)",'ORDENES'!$AC389)&amp;" | "&amp;'ORDENES'!$D389&amp;" ("&amp;'ORDENES'!$N389&amp;" h)","")</f>
        <v/>
      </c>
    </row>
    <row r="394">
      <c r="K394" s="3">
        <f>IF(AND(IF($B$3="(todos)",TRUE,'ORDENES'!$P390=$B$3),IF($D$3="(todos)",TRUE,'ORDENES'!$AD390=$D$3),IF($F$3="(todos)",TRUE,'ORDENES'!$W390=$F$3),'ORDENES'!$AB390=TRUE),'ORDENES'!$AO390&amp;" | "&amp;'ORDENES'!$S390&amp;" | "&amp;IF('ORDENES'!$AC390="","(sin técnico)",'ORDENES'!$AC390)&amp;" | "&amp;'ORDENES'!$D390&amp;" ("&amp;'ORDENES'!$N390&amp;" h)","")</f>
        <v/>
      </c>
    </row>
    <row r="395">
      <c r="K395" s="3">
        <f>IF(AND(IF($B$3="(todos)",TRUE,'ORDENES'!$P391=$B$3),IF($D$3="(todos)",TRUE,'ORDENES'!$AD391=$D$3),IF($F$3="(todos)",TRUE,'ORDENES'!$W391=$F$3),'ORDENES'!$AB391=TRUE),'ORDENES'!$AO391&amp;" | "&amp;'ORDENES'!$S391&amp;" | "&amp;IF('ORDENES'!$AC391="","(sin técnico)",'ORDENES'!$AC391)&amp;" | "&amp;'ORDENES'!$D391&amp;" ("&amp;'ORDENES'!$N391&amp;" h)","")</f>
        <v/>
      </c>
    </row>
    <row r="396">
      <c r="K396" s="3">
        <f>IF(AND(IF($B$3="(todos)",TRUE,'ORDENES'!$P392=$B$3),IF($D$3="(todos)",TRUE,'ORDENES'!$AD392=$D$3),IF($F$3="(todos)",TRUE,'ORDENES'!$W392=$F$3),'ORDENES'!$AB392=TRUE),'ORDENES'!$AO392&amp;" | "&amp;'ORDENES'!$S392&amp;" | "&amp;IF('ORDENES'!$AC392="","(sin técnico)",'ORDENES'!$AC392)&amp;" | "&amp;'ORDENES'!$D392&amp;" ("&amp;'ORDENES'!$N392&amp;" h)","")</f>
        <v/>
      </c>
    </row>
    <row r="397">
      <c r="K397" s="3">
        <f>IF(AND(IF($B$3="(todos)",TRUE,'ORDENES'!$P393=$B$3),IF($D$3="(todos)",TRUE,'ORDENES'!$AD393=$D$3),IF($F$3="(todos)",TRUE,'ORDENES'!$W393=$F$3),'ORDENES'!$AB393=TRUE),'ORDENES'!$AO393&amp;" | "&amp;'ORDENES'!$S393&amp;" | "&amp;IF('ORDENES'!$AC393="","(sin técnico)",'ORDENES'!$AC393)&amp;" | "&amp;'ORDENES'!$D393&amp;" ("&amp;'ORDENES'!$N393&amp;" h)","")</f>
        <v/>
      </c>
    </row>
    <row r="398">
      <c r="K398" s="3">
        <f>IF(AND(IF($B$3="(todos)",TRUE,'ORDENES'!$P394=$B$3),IF($D$3="(todos)",TRUE,'ORDENES'!$AD394=$D$3),IF($F$3="(todos)",TRUE,'ORDENES'!$W394=$F$3),'ORDENES'!$AB394=TRUE),'ORDENES'!$AO394&amp;" | "&amp;'ORDENES'!$S394&amp;" | "&amp;IF('ORDENES'!$AC394="","(sin técnico)",'ORDENES'!$AC394)&amp;" | "&amp;'ORDENES'!$D394&amp;" ("&amp;'ORDENES'!$N394&amp;" h)","")</f>
        <v/>
      </c>
    </row>
    <row r="399">
      <c r="K399" s="3">
        <f>IF(AND(IF($B$3="(todos)",TRUE,'ORDENES'!$P395=$B$3),IF($D$3="(todos)",TRUE,'ORDENES'!$AD395=$D$3),IF($F$3="(todos)",TRUE,'ORDENES'!$W395=$F$3),'ORDENES'!$AB395=TRUE),'ORDENES'!$AO395&amp;" | "&amp;'ORDENES'!$S395&amp;" | "&amp;IF('ORDENES'!$AC395="","(sin técnico)",'ORDENES'!$AC395)&amp;" | "&amp;'ORDENES'!$D395&amp;" ("&amp;'ORDENES'!$N395&amp;" h)","")</f>
        <v/>
      </c>
    </row>
    <row r="400">
      <c r="K400" s="3">
        <f>IF(AND(IF($B$3="(todos)",TRUE,'ORDENES'!$P396=$B$3),IF($D$3="(todos)",TRUE,'ORDENES'!$AD396=$D$3),IF($F$3="(todos)",TRUE,'ORDENES'!$W396=$F$3),'ORDENES'!$AB396=TRUE),'ORDENES'!$AO396&amp;" | "&amp;'ORDENES'!$S396&amp;" | "&amp;IF('ORDENES'!$AC396="","(sin técnico)",'ORDENES'!$AC396)&amp;" | "&amp;'ORDENES'!$D396&amp;" ("&amp;'ORDENES'!$N396&amp;" h)","")</f>
        <v/>
      </c>
    </row>
    <row r="401">
      <c r="K401" s="3">
        <f>IF(AND(IF($B$3="(todos)",TRUE,'ORDENES'!$P397=$B$3),IF($D$3="(todos)",TRUE,'ORDENES'!$AD397=$D$3),IF($F$3="(todos)",TRUE,'ORDENES'!$W397=$F$3),'ORDENES'!$AB397=TRUE),'ORDENES'!$AO397&amp;" | "&amp;'ORDENES'!$S397&amp;" | "&amp;IF('ORDENES'!$AC397="","(sin técnico)",'ORDENES'!$AC397)&amp;" | "&amp;'ORDENES'!$D397&amp;" ("&amp;'ORDENES'!$N397&amp;" h)","")</f>
        <v/>
      </c>
    </row>
    <row r="402">
      <c r="K402" s="3">
        <f>IF(AND(IF($B$3="(todos)",TRUE,'ORDENES'!$P398=$B$3),IF($D$3="(todos)",TRUE,'ORDENES'!$AD398=$D$3),IF($F$3="(todos)",TRUE,'ORDENES'!$W398=$F$3),'ORDENES'!$AB398=TRUE),'ORDENES'!$AO398&amp;" | "&amp;'ORDENES'!$S398&amp;" | "&amp;IF('ORDENES'!$AC398="","(sin técnico)",'ORDENES'!$AC398)&amp;" | "&amp;'ORDENES'!$D398&amp;" ("&amp;'ORDENES'!$N398&amp;" h)","")</f>
        <v/>
      </c>
    </row>
    <row r="403">
      <c r="K403" s="3">
        <f>IF(AND(IF($B$3="(todos)",TRUE,'ORDENES'!$P399=$B$3),IF($D$3="(todos)",TRUE,'ORDENES'!$AD399=$D$3),IF($F$3="(todos)",TRUE,'ORDENES'!$W399=$F$3),'ORDENES'!$AB399=TRUE),'ORDENES'!$AO399&amp;" | "&amp;'ORDENES'!$S399&amp;" | "&amp;IF('ORDENES'!$AC399="","(sin técnico)",'ORDENES'!$AC399)&amp;" | "&amp;'ORDENES'!$D399&amp;" ("&amp;'ORDENES'!$N399&amp;" h)","")</f>
        <v/>
      </c>
    </row>
    <row r="404">
      <c r="K404" s="3">
        <f>IF(AND(IF($B$3="(todos)",TRUE,'ORDENES'!$P400=$B$3),IF($D$3="(todos)",TRUE,'ORDENES'!$AD400=$D$3),IF($F$3="(todos)",TRUE,'ORDENES'!$W400=$F$3),'ORDENES'!$AB400=TRUE),'ORDENES'!$AO400&amp;" | "&amp;'ORDENES'!$S400&amp;" | "&amp;IF('ORDENES'!$AC400="","(sin técnico)",'ORDENES'!$AC400)&amp;" | "&amp;'ORDENES'!$D400&amp;" ("&amp;'ORDENES'!$N400&amp;" h)","")</f>
        <v/>
      </c>
    </row>
    <row r="405">
      <c r="K405" s="3">
        <f>IF(AND(IF($B$3="(todos)",TRUE,'ORDENES'!$P401=$B$3),IF($D$3="(todos)",TRUE,'ORDENES'!$AD401=$D$3),IF($F$3="(todos)",TRUE,'ORDENES'!$W401=$F$3),'ORDENES'!$AB401=TRUE),'ORDENES'!$AO401&amp;" | "&amp;'ORDENES'!$S401&amp;" | "&amp;IF('ORDENES'!$AC401="","(sin técnico)",'ORDENES'!$AC401)&amp;" | "&amp;'ORDENES'!$D401&amp;" ("&amp;'ORDENES'!$N401&amp;" h)","")</f>
        <v/>
      </c>
    </row>
    <row r="406">
      <c r="K406" s="3">
        <f>IF(AND(IF($B$3="(todos)",TRUE,'ORDENES'!$P402=$B$3),IF($D$3="(todos)",TRUE,'ORDENES'!$AD402=$D$3),IF($F$3="(todos)",TRUE,'ORDENES'!$W402=$F$3),'ORDENES'!$AB402=TRUE),'ORDENES'!$AO402&amp;" | "&amp;'ORDENES'!$S402&amp;" | "&amp;IF('ORDENES'!$AC402="","(sin técnico)",'ORDENES'!$AC402)&amp;" | "&amp;'ORDENES'!$D402&amp;" ("&amp;'ORDENES'!$N402&amp;" h)","")</f>
        <v/>
      </c>
    </row>
    <row r="407">
      <c r="K407" s="3">
        <f>IF(AND(IF($B$3="(todos)",TRUE,'ORDENES'!$P403=$B$3),IF($D$3="(todos)",TRUE,'ORDENES'!$AD403=$D$3),IF($F$3="(todos)",TRUE,'ORDENES'!$W403=$F$3),'ORDENES'!$AB403=TRUE),'ORDENES'!$AO403&amp;" | "&amp;'ORDENES'!$S403&amp;" | "&amp;IF('ORDENES'!$AC403="","(sin técnico)",'ORDENES'!$AC403)&amp;" | "&amp;'ORDENES'!$D403&amp;" ("&amp;'ORDENES'!$N403&amp;" h)","")</f>
        <v/>
      </c>
    </row>
    <row r="408">
      <c r="K408" s="3">
        <f>IF(AND(IF($B$3="(todos)",TRUE,'ORDENES'!$P404=$B$3),IF($D$3="(todos)",TRUE,'ORDENES'!$AD404=$D$3),IF($F$3="(todos)",TRUE,'ORDENES'!$W404=$F$3),'ORDENES'!$AB404=TRUE),'ORDENES'!$AO404&amp;" | "&amp;'ORDENES'!$S404&amp;" | "&amp;IF('ORDENES'!$AC404="","(sin técnico)",'ORDENES'!$AC404)&amp;" | "&amp;'ORDENES'!$D404&amp;" ("&amp;'ORDENES'!$N404&amp;" h)","")</f>
        <v/>
      </c>
    </row>
    <row r="409">
      <c r="K409" s="3">
        <f>IF(AND(IF($B$3="(todos)",TRUE,'ORDENES'!$P405=$B$3),IF($D$3="(todos)",TRUE,'ORDENES'!$AD405=$D$3),IF($F$3="(todos)",TRUE,'ORDENES'!$W405=$F$3),'ORDENES'!$AB405=TRUE),'ORDENES'!$AO405&amp;" | "&amp;'ORDENES'!$S405&amp;" | "&amp;IF('ORDENES'!$AC405="","(sin técnico)",'ORDENES'!$AC405)&amp;" | "&amp;'ORDENES'!$D405&amp;" ("&amp;'ORDENES'!$N405&amp;" h)","")</f>
        <v/>
      </c>
    </row>
    <row r="410">
      <c r="K410" s="3">
        <f>IF(AND(IF($B$3="(todos)",TRUE,'ORDENES'!$P406=$B$3),IF($D$3="(todos)",TRUE,'ORDENES'!$AD406=$D$3),IF($F$3="(todos)",TRUE,'ORDENES'!$W406=$F$3),'ORDENES'!$AB406=TRUE),'ORDENES'!$AO406&amp;" | "&amp;'ORDENES'!$S406&amp;" | "&amp;IF('ORDENES'!$AC406="","(sin técnico)",'ORDENES'!$AC406)&amp;" | "&amp;'ORDENES'!$D406&amp;" ("&amp;'ORDENES'!$N406&amp;" h)","")</f>
        <v/>
      </c>
    </row>
    <row r="411">
      <c r="K411" s="3">
        <f>IF(AND(IF($B$3="(todos)",TRUE,'ORDENES'!$P407=$B$3),IF($D$3="(todos)",TRUE,'ORDENES'!$AD407=$D$3),IF($F$3="(todos)",TRUE,'ORDENES'!$W407=$F$3),'ORDENES'!$AB407=TRUE),'ORDENES'!$AO407&amp;" | "&amp;'ORDENES'!$S407&amp;" | "&amp;IF('ORDENES'!$AC407="","(sin técnico)",'ORDENES'!$AC407)&amp;" | "&amp;'ORDENES'!$D407&amp;" ("&amp;'ORDENES'!$N407&amp;" h)","")</f>
        <v/>
      </c>
    </row>
    <row r="412">
      <c r="K412" s="3">
        <f>IF(AND(IF($B$3="(todos)",TRUE,'ORDENES'!$P408=$B$3),IF($D$3="(todos)",TRUE,'ORDENES'!$AD408=$D$3),IF($F$3="(todos)",TRUE,'ORDENES'!$W408=$F$3),'ORDENES'!$AB408=TRUE),'ORDENES'!$AO408&amp;" | "&amp;'ORDENES'!$S408&amp;" | "&amp;IF('ORDENES'!$AC408="","(sin técnico)",'ORDENES'!$AC408)&amp;" | "&amp;'ORDENES'!$D408&amp;" ("&amp;'ORDENES'!$N408&amp;" h)","")</f>
        <v/>
      </c>
    </row>
    <row r="413">
      <c r="K413" s="3">
        <f>IF(AND(IF($B$3="(todos)",TRUE,'ORDENES'!$P409=$B$3),IF($D$3="(todos)",TRUE,'ORDENES'!$AD409=$D$3),IF($F$3="(todos)",TRUE,'ORDENES'!$W409=$F$3),'ORDENES'!$AB409=TRUE),'ORDENES'!$AO409&amp;" | "&amp;'ORDENES'!$S409&amp;" | "&amp;IF('ORDENES'!$AC409="","(sin técnico)",'ORDENES'!$AC409)&amp;" | "&amp;'ORDENES'!$D409&amp;" ("&amp;'ORDENES'!$N409&amp;" h)","")</f>
        <v/>
      </c>
    </row>
    <row r="414">
      <c r="K414" s="3">
        <f>IF(AND(IF($B$3="(todos)",TRUE,'ORDENES'!$P410=$B$3),IF($D$3="(todos)",TRUE,'ORDENES'!$AD410=$D$3),IF($F$3="(todos)",TRUE,'ORDENES'!$W410=$F$3),'ORDENES'!$AB410=TRUE),'ORDENES'!$AO410&amp;" | "&amp;'ORDENES'!$S410&amp;" | "&amp;IF('ORDENES'!$AC410="","(sin técnico)",'ORDENES'!$AC410)&amp;" | "&amp;'ORDENES'!$D410&amp;" ("&amp;'ORDENES'!$N410&amp;" h)","")</f>
        <v/>
      </c>
    </row>
    <row r="415">
      <c r="K415" s="3">
        <f>IF(AND(IF($B$3="(todos)",TRUE,'ORDENES'!$P411=$B$3),IF($D$3="(todos)",TRUE,'ORDENES'!$AD411=$D$3),IF($F$3="(todos)",TRUE,'ORDENES'!$W411=$F$3),'ORDENES'!$AB411=TRUE),'ORDENES'!$AO411&amp;" | "&amp;'ORDENES'!$S411&amp;" | "&amp;IF('ORDENES'!$AC411="","(sin técnico)",'ORDENES'!$AC411)&amp;" | "&amp;'ORDENES'!$D411&amp;" ("&amp;'ORDENES'!$N411&amp;" h)","")</f>
        <v/>
      </c>
    </row>
    <row r="416">
      <c r="K416" s="3">
        <f>IF(AND(IF($B$3="(todos)",TRUE,'ORDENES'!$P412=$B$3),IF($D$3="(todos)",TRUE,'ORDENES'!$AD412=$D$3),IF($F$3="(todos)",TRUE,'ORDENES'!$W412=$F$3),'ORDENES'!$AB412=TRUE),'ORDENES'!$AO412&amp;" | "&amp;'ORDENES'!$S412&amp;" | "&amp;IF('ORDENES'!$AC412="","(sin técnico)",'ORDENES'!$AC412)&amp;" | "&amp;'ORDENES'!$D412&amp;" ("&amp;'ORDENES'!$N412&amp;" h)","")</f>
        <v/>
      </c>
    </row>
    <row r="417">
      <c r="K417" s="3">
        <f>IF(AND(IF($B$3="(todos)",TRUE,'ORDENES'!$P413=$B$3),IF($D$3="(todos)",TRUE,'ORDENES'!$AD413=$D$3),IF($F$3="(todos)",TRUE,'ORDENES'!$W413=$F$3),'ORDENES'!$AB413=TRUE),'ORDENES'!$AO413&amp;" | "&amp;'ORDENES'!$S413&amp;" | "&amp;IF('ORDENES'!$AC413="","(sin técnico)",'ORDENES'!$AC413)&amp;" | "&amp;'ORDENES'!$D413&amp;" ("&amp;'ORDENES'!$N413&amp;" h)","")</f>
        <v/>
      </c>
    </row>
    <row r="418">
      <c r="K418" s="3">
        <f>IF(AND(IF($B$3="(todos)",TRUE,'ORDENES'!$P414=$B$3),IF($D$3="(todos)",TRUE,'ORDENES'!$AD414=$D$3),IF($F$3="(todos)",TRUE,'ORDENES'!$W414=$F$3),'ORDENES'!$AB414=TRUE),'ORDENES'!$AO414&amp;" | "&amp;'ORDENES'!$S414&amp;" | "&amp;IF('ORDENES'!$AC414="","(sin técnico)",'ORDENES'!$AC414)&amp;" | "&amp;'ORDENES'!$D414&amp;" ("&amp;'ORDENES'!$N414&amp;" h)","")</f>
        <v/>
      </c>
    </row>
    <row r="419">
      <c r="K419" s="3">
        <f>IF(AND(IF($B$3="(todos)",TRUE,'ORDENES'!$P415=$B$3),IF($D$3="(todos)",TRUE,'ORDENES'!$AD415=$D$3),IF($F$3="(todos)",TRUE,'ORDENES'!$W415=$F$3),'ORDENES'!$AB415=TRUE),'ORDENES'!$AO415&amp;" | "&amp;'ORDENES'!$S415&amp;" | "&amp;IF('ORDENES'!$AC415="","(sin técnico)",'ORDENES'!$AC415)&amp;" | "&amp;'ORDENES'!$D415&amp;" ("&amp;'ORDENES'!$N415&amp;" h)","")</f>
        <v/>
      </c>
    </row>
    <row r="420">
      <c r="K420" s="3">
        <f>IF(AND(IF($B$3="(todos)",TRUE,'ORDENES'!$P416=$B$3),IF($D$3="(todos)",TRUE,'ORDENES'!$AD416=$D$3),IF($F$3="(todos)",TRUE,'ORDENES'!$W416=$F$3),'ORDENES'!$AB416=TRUE),'ORDENES'!$AO416&amp;" | "&amp;'ORDENES'!$S416&amp;" | "&amp;IF('ORDENES'!$AC416="","(sin técnico)",'ORDENES'!$AC416)&amp;" | "&amp;'ORDENES'!$D416&amp;" ("&amp;'ORDENES'!$N416&amp;" h)","")</f>
        <v/>
      </c>
    </row>
    <row r="421">
      <c r="K421" s="3">
        <f>IF(AND(IF($B$3="(todos)",TRUE,'ORDENES'!$P417=$B$3),IF($D$3="(todos)",TRUE,'ORDENES'!$AD417=$D$3),IF($F$3="(todos)",TRUE,'ORDENES'!$W417=$F$3),'ORDENES'!$AB417=TRUE),'ORDENES'!$AO417&amp;" | "&amp;'ORDENES'!$S417&amp;" | "&amp;IF('ORDENES'!$AC417="","(sin técnico)",'ORDENES'!$AC417)&amp;" | "&amp;'ORDENES'!$D417&amp;" ("&amp;'ORDENES'!$N417&amp;" h)","")</f>
        <v/>
      </c>
    </row>
    <row r="422">
      <c r="K422" s="3">
        <f>IF(AND(IF($B$3="(todos)",TRUE,'ORDENES'!$P418=$B$3),IF($D$3="(todos)",TRUE,'ORDENES'!$AD418=$D$3),IF($F$3="(todos)",TRUE,'ORDENES'!$W418=$F$3),'ORDENES'!$AB418=TRUE),'ORDENES'!$AO418&amp;" | "&amp;'ORDENES'!$S418&amp;" | "&amp;IF('ORDENES'!$AC418="","(sin técnico)",'ORDENES'!$AC418)&amp;" | "&amp;'ORDENES'!$D418&amp;" ("&amp;'ORDENES'!$N418&amp;" h)","")</f>
        <v/>
      </c>
    </row>
    <row r="423">
      <c r="K423" s="3">
        <f>IF(AND(IF($B$3="(todos)",TRUE,'ORDENES'!$P419=$B$3),IF($D$3="(todos)",TRUE,'ORDENES'!$AD419=$D$3),IF($F$3="(todos)",TRUE,'ORDENES'!$W419=$F$3),'ORDENES'!$AB419=TRUE),'ORDENES'!$AO419&amp;" | "&amp;'ORDENES'!$S419&amp;" | "&amp;IF('ORDENES'!$AC419="","(sin técnico)",'ORDENES'!$AC419)&amp;" | "&amp;'ORDENES'!$D419&amp;" ("&amp;'ORDENES'!$N419&amp;" h)","")</f>
        <v/>
      </c>
    </row>
    <row r="424">
      <c r="K424" s="3">
        <f>IF(AND(IF($B$3="(todos)",TRUE,'ORDENES'!$P420=$B$3),IF($D$3="(todos)",TRUE,'ORDENES'!$AD420=$D$3),IF($F$3="(todos)",TRUE,'ORDENES'!$W420=$F$3),'ORDENES'!$AB420=TRUE),'ORDENES'!$AO420&amp;" | "&amp;'ORDENES'!$S420&amp;" | "&amp;IF('ORDENES'!$AC420="","(sin técnico)",'ORDENES'!$AC420)&amp;" | "&amp;'ORDENES'!$D420&amp;" ("&amp;'ORDENES'!$N420&amp;" h)","")</f>
        <v/>
      </c>
    </row>
    <row r="425">
      <c r="K425" s="3">
        <f>IF(AND(IF($B$3="(todos)",TRUE,'ORDENES'!$P421=$B$3),IF($D$3="(todos)",TRUE,'ORDENES'!$AD421=$D$3),IF($F$3="(todos)",TRUE,'ORDENES'!$W421=$F$3),'ORDENES'!$AB421=TRUE),'ORDENES'!$AO421&amp;" | "&amp;'ORDENES'!$S421&amp;" | "&amp;IF('ORDENES'!$AC421="","(sin técnico)",'ORDENES'!$AC421)&amp;" | "&amp;'ORDENES'!$D421&amp;" ("&amp;'ORDENES'!$N421&amp;" h)","")</f>
        <v/>
      </c>
    </row>
    <row r="426">
      <c r="K426" s="3">
        <f>IF(AND(IF($B$3="(todos)",TRUE,'ORDENES'!$P422=$B$3),IF($D$3="(todos)",TRUE,'ORDENES'!$AD422=$D$3),IF($F$3="(todos)",TRUE,'ORDENES'!$W422=$F$3),'ORDENES'!$AB422=TRUE),'ORDENES'!$AO422&amp;" | "&amp;'ORDENES'!$S422&amp;" | "&amp;IF('ORDENES'!$AC422="","(sin técnico)",'ORDENES'!$AC422)&amp;" | "&amp;'ORDENES'!$D422&amp;" ("&amp;'ORDENES'!$N422&amp;" h)","")</f>
        <v/>
      </c>
    </row>
    <row r="427">
      <c r="K427" s="3">
        <f>IF(AND(IF($B$3="(todos)",TRUE,'ORDENES'!$P423=$B$3),IF($D$3="(todos)",TRUE,'ORDENES'!$AD423=$D$3),IF($F$3="(todos)",TRUE,'ORDENES'!$W423=$F$3),'ORDENES'!$AB423=TRUE),'ORDENES'!$AO423&amp;" | "&amp;'ORDENES'!$S423&amp;" | "&amp;IF('ORDENES'!$AC423="","(sin técnico)",'ORDENES'!$AC423)&amp;" | "&amp;'ORDENES'!$D423&amp;" ("&amp;'ORDENES'!$N423&amp;" h)","")</f>
        <v/>
      </c>
    </row>
    <row r="428">
      <c r="K428" s="3">
        <f>IF(AND(IF($B$3="(todos)",TRUE,'ORDENES'!$P424=$B$3),IF($D$3="(todos)",TRUE,'ORDENES'!$AD424=$D$3),IF($F$3="(todos)",TRUE,'ORDENES'!$W424=$F$3),'ORDENES'!$AB424=TRUE),'ORDENES'!$AO424&amp;" | "&amp;'ORDENES'!$S424&amp;" | "&amp;IF('ORDENES'!$AC424="","(sin técnico)",'ORDENES'!$AC424)&amp;" | "&amp;'ORDENES'!$D424&amp;" ("&amp;'ORDENES'!$N424&amp;" h)","")</f>
        <v/>
      </c>
    </row>
    <row r="429">
      <c r="K429" s="3">
        <f>IF(AND(IF($B$3="(todos)",TRUE,'ORDENES'!$P425=$B$3),IF($D$3="(todos)",TRUE,'ORDENES'!$AD425=$D$3),IF($F$3="(todos)",TRUE,'ORDENES'!$W425=$F$3),'ORDENES'!$AB425=TRUE),'ORDENES'!$AO425&amp;" | "&amp;'ORDENES'!$S425&amp;" | "&amp;IF('ORDENES'!$AC425="","(sin técnico)",'ORDENES'!$AC425)&amp;" | "&amp;'ORDENES'!$D425&amp;" ("&amp;'ORDENES'!$N425&amp;" h)","")</f>
        <v/>
      </c>
    </row>
    <row r="430">
      <c r="K430" s="3">
        <f>IF(AND(IF($B$3="(todos)",TRUE,'ORDENES'!$P426=$B$3),IF($D$3="(todos)",TRUE,'ORDENES'!$AD426=$D$3),IF($F$3="(todos)",TRUE,'ORDENES'!$W426=$F$3),'ORDENES'!$AB426=TRUE),'ORDENES'!$AO426&amp;" | "&amp;'ORDENES'!$S426&amp;" | "&amp;IF('ORDENES'!$AC426="","(sin técnico)",'ORDENES'!$AC426)&amp;" | "&amp;'ORDENES'!$D426&amp;" ("&amp;'ORDENES'!$N426&amp;" h)","")</f>
        <v/>
      </c>
    </row>
    <row r="431">
      <c r="K431" s="3">
        <f>IF(AND(IF($B$3="(todos)",TRUE,'ORDENES'!$P427=$B$3),IF($D$3="(todos)",TRUE,'ORDENES'!$AD427=$D$3),IF($F$3="(todos)",TRUE,'ORDENES'!$W427=$F$3),'ORDENES'!$AB427=TRUE),'ORDENES'!$AO427&amp;" | "&amp;'ORDENES'!$S427&amp;" | "&amp;IF('ORDENES'!$AC427="","(sin técnico)",'ORDENES'!$AC427)&amp;" | "&amp;'ORDENES'!$D427&amp;" ("&amp;'ORDENES'!$N427&amp;" h)","")</f>
        <v/>
      </c>
    </row>
    <row r="432">
      <c r="K432" s="3">
        <f>IF(AND(IF($B$3="(todos)",TRUE,'ORDENES'!$P428=$B$3),IF($D$3="(todos)",TRUE,'ORDENES'!$AD428=$D$3),IF($F$3="(todos)",TRUE,'ORDENES'!$W428=$F$3),'ORDENES'!$AB428=TRUE),'ORDENES'!$AO428&amp;" | "&amp;'ORDENES'!$S428&amp;" | "&amp;IF('ORDENES'!$AC428="","(sin técnico)",'ORDENES'!$AC428)&amp;" | "&amp;'ORDENES'!$D428&amp;" ("&amp;'ORDENES'!$N428&amp;" h)","")</f>
        <v/>
      </c>
    </row>
    <row r="433">
      <c r="K433" s="3">
        <f>IF(AND(IF($B$3="(todos)",TRUE,'ORDENES'!$P429=$B$3),IF($D$3="(todos)",TRUE,'ORDENES'!$AD429=$D$3),IF($F$3="(todos)",TRUE,'ORDENES'!$W429=$F$3),'ORDENES'!$AB429=TRUE),'ORDENES'!$AO429&amp;" | "&amp;'ORDENES'!$S429&amp;" | "&amp;IF('ORDENES'!$AC429="","(sin técnico)",'ORDENES'!$AC429)&amp;" | "&amp;'ORDENES'!$D429&amp;" ("&amp;'ORDENES'!$N429&amp;" h)","")</f>
        <v/>
      </c>
    </row>
    <row r="434">
      <c r="K434" s="3">
        <f>IF(AND(IF($B$3="(todos)",TRUE,'ORDENES'!$P430=$B$3),IF($D$3="(todos)",TRUE,'ORDENES'!$AD430=$D$3),IF($F$3="(todos)",TRUE,'ORDENES'!$W430=$F$3),'ORDENES'!$AB430=TRUE),'ORDENES'!$AO430&amp;" | "&amp;'ORDENES'!$S430&amp;" | "&amp;IF('ORDENES'!$AC430="","(sin técnico)",'ORDENES'!$AC430)&amp;" | "&amp;'ORDENES'!$D430&amp;" ("&amp;'ORDENES'!$N430&amp;" h)","")</f>
        <v/>
      </c>
    </row>
    <row r="435">
      <c r="K435" s="3">
        <f>IF(AND(IF($B$3="(todos)",TRUE,'ORDENES'!$P431=$B$3),IF($D$3="(todos)",TRUE,'ORDENES'!$AD431=$D$3),IF($F$3="(todos)",TRUE,'ORDENES'!$W431=$F$3),'ORDENES'!$AB431=TRUE),'ORDENES'!$AO431&amp;" | "&amp;'ORDENES'!$S431&amp;" | "&amp;IF('ORDENES'!$AC431="","(sin técnico)",'ORDENES'!$AC431)&amp;" | "&amp;'ORDENES'!$D431&amp;" ("&amp;'ORDENES'!$N431&amp;" h)","")</f>
        <v/>
      </c>
    </row>
    <row r="436">
      <c r="K436" s="3">
        <f>IF(AND(IF($B$3="(todos)",TRUE,'ORDENES'!$P432=$B$3),IF($D$3="(todos)",TRUE,'ORDENES'!$AD432=$D$3),IF($F$3="(todos)",TRUE,'ORDENES'!$W432=$F$3),'ORDENES'!$AB432=TRUE),'ORDENES'!$AO432&amp;" | "&amp;'ORDENES'!$S432&amp;" | "&amp;IF('ORDENES'!$AC432="","(sin técnico)",'ORDENES'!$AC432)&amp;" | "&amp;'ORDENES'!$D432&amp;" ("&amp;'ORDENES'!$N432&amp;" h)","")</f>
        <v/>
      </c>
    </row>
    <row r="437">
      <c r="K437" s="3">
        <f>IF(AND(IF($B$3="(todos)",TRUE,'ORDENES'!$P433=$B$3),IF($D$3="(todos)",TRUE,'ORDENES'!$AD433=$D$3),IF($F$3="(todos)",TRUE,'ORDENES'!$W433=$F$3),'ORDENES'!$AB433=TRUE),'ORDENES'!$AO433&amp;" | "&amp;'ORDENES'!$S433&amp;" | "&amp;IF('ORDENES'!$AC433="","(sin técnico)",'ORDENES'!$AC433)&amp;" | "&amp;'ORDENES'!$D433&amp;" ("&amp;'ORDENES'!$N433&amp;" h)","")</f>
        <v/>
      </c>
    </row>
    <row r="438">
      <c r="K438" s="3">
        <f>IF(AND(IF($B$3="(todos)",TRUE,'ORDENES'!$P434=$B$3),IF($D$3="(todos)",TRUE,'ORDENES'!$AD434=$D$3),IF($F$3="(todos)",TRUE,'ORDENES'!$W434=$F$3),'ORDENES'!$AB434=TRUE),'ORDENES'!$AO434&amp;" | "&amp;'ORDENES'!$S434&amp;" | "&amp;IF('ORDENES'!$AC434="","(sin técnico)",'ORDENES'!$AC434)&amp;" | "&amp;'ORDENES'!$D434&amp;" ("&amp;'ORDENES'!$N434&amp;" h)","")</f>
        <v/>
      </c>
    </row>
    <row r="439">
      <c r="K439" s="3">
        <f>IF(AND(IF($B$3="(todos)",TRUE,'ORDENES'!$P435=$B$3),IF($D$3="(todos)",TRUE,'ORDENES'!$AD435=$D$3),IF($F$3="(todos)",TRUE,'ORDENES'!$W435=$F$3),'ORDENES'!$AB435=TRUE),'ORDENES'!$AO435&amp;" | "&amp;'ORDENES'!$S435&amp;" | "&amp;IF('ORDENES'!$AC435="","(sin técnico)",'ORDENES'!$AC435)&amp;" | "&amp;'ORDENES'!$D435&amp;" ("&amp;'ORDENES'!$N435&amp;" h)","")</f>
        <v/>
      </c>
    </row>
    <row r="440">
      <c r="K440" s="3">
        <f>IF(AND(IF($B$3="(todos)",TRUE,'ORDENES'!$P436=$B$3),IF($D$3="(todos)",TRUE,'ORDENES'!$AD436=$D$3),IF($F$3="(todos)",TRUE,'ORDENES'!$W436=$F$3),'ORDENES'!$AB436=TRUE),'ORDENES'!$AO436&amp;" | "&amp;'ORDENES'!$S436&amp;" | "&amp;IF('ORDENES'!$AC436="","(sin técnico)",'ORDENES'!$AC436)&amp;" | "&amp;'ORDENES'!$D436&amp;" ("&amp;'ORDENES'!$N436&amp;" h)","")</f>
        <v/>
      </c>
    </row>
    <row r="441">
      <c r="K441" s="3">
        <f>IF(AND(IF($B$3="(todos)",TRUE,'ORDENES'!$P437=$B$3),IF($D$3="(todos)",TRUE,'ORDENES'!$AD437=$D$3),IF($F$3="(todos)",TRUE,'ORDENES'!$W437=$F$3),'ORDENES'!$AB437=TRUE),'ORDENES'!$AO437&amp;" | "&amp;'ORDENES'!$S437&amp;" | "&amp;IF('ORDENES'!$AC437="","(sin técnico)",'ORDENES'!$AC437)&amp;" | "&amp;'ORDENES'!$D437&amp;" ("&amp;'ORDENES'!$N437&amp;" h)","")</f>
        <v/>
      </c>
    </row>
    <row r="442">
      <c r="K442" s="3">
        <f>IF(AND(IF($B$3="(todos)",TRUE,'ORDENES'!$P438=$B$3),IF($D$3="(todos)",TRUE,'ORDENES'!$AD438=$D$3),IF($F$3="(todos)",TRUE,'ORDENES'!$W438=$F$3),'ORDENES'!$AB438=TRUE),'ORDENES'!$AO438&amp;" | "&amp;'ORDENES'!$S438&amp;" | "&amp;IF('ORDENES'!$AC438="","(sin técnico)",'ORDENES'!$AC438)&amp;" | "&amp;'ORDENES'!$D438&amp;" ("&amp;'ORDENES'!$N438&amp;" h)","")</f>
        <v/>
      </c>
    </row>
    <row r="443">
      <c r="K443" s="3">
        <f>IF(AND(IF($B$3="(todos)",TRUE,'ORDENES'!$P439=$B$3),IF($D$3="(todos)",TRUE,'ORDENES'!$AD439=$D$3),IF($F$3="(todos)",TRUE,'ORDENES'!$W439=$F$3),'ORDENES'!$AB439=TRUE),'ORDENES'!$AO439&amp;" | "&amp;'ORDENES'!$S439&amp;" | "&amp;IF('ORDENES'!$AC439="","(sin técnico)",'ORDENES'!$AC439)&amp;" | "&amp;'ORDENES'!$D439&amp;" ("&amp;'ORDENES'!$N439&amp;" h)","")</f>
        <v/>
      </c>
    </row>
    <row r="444">
      <c r="K444" s="3">
        <f>IF(AND(IF($B$3="(todos)",TRUE,'ORDENES'!$P440=$B$3),IF($D$3="(todos)",TRUE,'ORDENES'!$AD440=$D$3),IF($F$3="(todos)",TRUE,'ORDENES'!$W440=$F$3),'ORDENES'!$AB440=TRUE),'ORDENES'!$AO440&amp;" | "&amp;'ORDENES'!$S440&amp;" | "&amp;IF('ORDENES'!$AC440="","(sin técnico)",'ORDENES'!$AC440)&amp;" | "&amp;'ORDENES'!$D440&amp;" ("&amp;'ORDENES'!$N440&amp;" h)","")</f>
        <v/>
      </c>
    </row>
    <row r="445">
      <c r="K445" s="3">
        <f>IF(AND(IF($B$3="(todos)",TRUE,'ORDENES'!$P441=$B$3),IF($D$3="(todos)",TRUE,'ORDENES'!$AD441=$D$3),IF($F$3="(todos)",TRUE,'ORDENES'!$W441=$F$3),'ORDENES'!$AB441=TRUE),'ORDENES'!$AO441&amp;" | "&amp;'ORDENES'!$S441&amp;" | "&amp;IF('ORDENES'!$AC441="","(sin técnico)",'ORDENES'!$AC441)&amp;" | "&amp;'ORDENES'!$D441&amp;" ("&amp;'ORDENES'!$N441&amp;" h)","")</f>
        <v/>
      </c>
    </row>
    <row r="446">
      <c r="K446" s="3">
        <f>IF(AND(IF($B$3="(todos)",TRUE,'ORDENES'!$P442=$B$3),IF($D$3="(todos)",TRUE,'ORDENES'!$AD442=$D$3),IF($F$3="(todos)",TRUE,'ORDENES'!$W442=$F$3),'ORDENES'!$AB442=TRUE),'ORDENES'!$AO442&amp;" | "&amp;'ORDENES'!$S442&amp;" | "&amp;IF('ORDENES'!$AC442="","(sin técnico)",'ORDENES'!$AC442)&amp;" | "&amp;'ORDENES'!$D442&amp;" ("&amp;'ORDENES'!$N442&amp;" h)","")</f>
        <v/>
      </c>
    </row>
    <row r="447">
      <c r="K447" s="3">
        <f>IF(AND(IF($B$3="(todos)",TRUE,'ORDENES'!$P443=$B$3),IF($D$3="(todos)",TRUE,'ORDENES'!$AD443=$D$3),IF($F$3="(todos)",TRUE,'ORDENES'!$W443=$F$3),'ORDENES'!$AB443=TRUE),'ORDENES'!$AO443&amp;" | "&amp;'ORDENES'!$S443&amp;" | "&amp;IF('ORDENES'!$AC443="","(sin técnico)",'ORDENES'!$AC443)&amp;" | "&amp;'ORDENES'!$D443&amp;" ("&amp;'ORDENES'!$N443&amp;" h)","")</f>
        <v/>
      </c>
    </row>
    <row r="448">
      <c r="K448" s="3">
        <f>IF(AND(IF($B$3="(todos)",TRUE,'ORDENES'!$P444=$B$3),IF($D$3="(todos)",TRUE,'ORDENES'!$AD444=$D$3),IF($F$3="(todos)",TRUE,'ORDENES'!$W444=$F$3),'ORDENES'!$AB444=TRUE),'ORDENES'!$AO444&amp;" | "&amp;'ORDENES'!$S444&amp;" | "&amp;IF('ORDENES'!$AC444="","(sin técnico)",'ORDENES'!$AC444)&amp;" | "&amp;'ORDENES'!$D444&amp;" ("&amp;'ORDENES'!$N444&amp;" h)","")</f>
        <v/>
      </c>
    </row>
    <row r="449">
      <c r="K449" s="3">
        <f>IF(AND(IF($B$3="(todos)",TRUE,'ORDENES'!$P445=$B$3),IF($D$3="(todos)",TRUE,'ORDENES'!$AD445=$D$3),IF($F$3="(todos)",TRUE,'ORDENES'!$W445=$F$3),'ORDENES'!$AB445=TRUE),'ORDENES'!$AO445&amp;" | "&amp;'ORDENES'!$S445&amp;" | "&amp;IF('ORDENES'!$AC445="","(sin técnico)",'ORDENES'!$AC445)&amp;" | "&amp;'ORDENES'!$D445&amp;" ("&amp;'ORDENES'!$N445&amp;" h)","")</f>
        <v/>
      </c>
    </row>
    <row r="450">
      <c r="K450" s="3">
        <f>IF(AND(IF($B$3="(todos)",TRUE,'ORDENES'!$P446=$B$3),IF($D$3="(todos)",TRUE,'ORDENES'!$AD446=$D$3),IF($F$3="(todos)",TRUE,'ORDENES'!$W446=$F$3),'ORDENES'!$AB446=TRUE),'ORDENES'!$AO446&amp;" | "&amp;'ORDENES'!$S446&amp;" | "&amp;IF('ORDENES'!$AC446="","(sin técnico)",'ORDENES'!$AC446)&amp;" | "&amp;'ORDENES'!$D446&amp;" ("&amp;'ORDENES'!$N446&amp;" h)","")</f>
        <v/>
      </c>
    </row>
    <row r="451">
      <c r="K451" s="3">
        <f>IF(AND(IF($B$3="(todos)",TRUE,'ORDENES'!$P447=$B$3),IF($D$3="(todos)",TRUE,'ORDENES'!$AD447=$D$3),IF($F$3="(todos)",TRUE,'ORDENES'!$W447=$F$3),'ORDENES'!$AB447=TRUE),'ORDENES'!$AO447&amp;" | "&amp;'ORDENES'!$S447&amp;" | "&amp;IF('ORDENES'!$AC447="","(sin técnico)",'ORDENES'!$AC447)&amp;" | "&amp;'ORDENES'!$D447&amp;" ("&amp;'ORDENES'!$N447&amp;" h)","")</f>
        <v/>
      </c>
    </row>
    <row r="452">
      <c r="K452" s="3">
        <f>IF(AND(IF($B$3="(todos)",TRUE,'ORDENES'!$P448=$B$3),IF($D$3="(todos)",TRUE,'ORDENES'!$AD448=$D$3),IF($F$3="(todos)",TRUE,'ORDENES'!$W448=$F$3),'ORDENES'!$AB448=TRUE),'ORDENES'!$AO448&amp;" | "&amp;'ORDENES'!$S448&amp;" | "&amp;IF('ORDENES'!$AC448="","(sin técnico)",'ORDENES'!$AC448)&amp;" | "&amp;'ORDENES'!$D448&amp;" ("&amp;'ORDENES'!$N448&amp;" h)","")</f>
        <v/>
      </c>
    </row>
    <row r="453">
      <c r="K453" s="3">
        <f>IF(AND(IF($B$3="(todos)",TRUE,'ORDENES'!$P449=$B$3),IF($D$3="(todos)",TRUE,'ORDENES'!$AD449=$D$3),IF($F$3="(todos)",TRUE,'ORDENES'!$W449=$F$3),'ORDENES'!$AB449=TRUE),'ORDENES'!$AO449&amp;" | "&amp;'ORDENES'!$S449&amp;" | "&amp;IF('ORDENES'!$AC449="","(sin técnico)",'ORDENES'!$AC449)&amp;" | "&amp;'ORDENES'!$D449&amp;" ("&amp;'ORDENES'!$N449&amp;" h)","")</f>
        <v/>
      </c>
    </row>
    <row r="454">
      <c r="K454" s="3">
        <f>IF(AND(IF($B$3="(todos)",TRUE,'ORDENES'!$P450=$B$3),IF($D$3="(todos)",TRUE,'ORDENES'!$AD450=$D$3),IF($F$3="(todos)",TRUE,'ORDENES'!$W450=$F$3),'ORDENES'!$AB450=TRUE),'ORDENES'!$AO450&amp;" | "&amp;'ORDENES'!$S450&amp;" | "&amp;IF('ORDENES'!$AC450="","(sin técnico)",'ORDENES'!$AC450)&amp;" | "&amp;'ORDENES'!$D450&amp;" ("&amp;'ORDENES'!$N450&amp;" h)","")</f>
        <v/>
      </c>
    </row>
    <row r="455">
      <c r="K455" s="3">
        <f>IF(AND(IF($B$3="(todos)",TRUE,'ORDENES'!$P451=$B$3),IF($D$3="(todos)",TRUE,'ORDENES'!$AD451=$D$3),IF($F$3="(todos)",TRUE,'ORDENES'!$W451=$F$3),'ORDENES'!$AB451=TRUE),'ORDENES'!$AO451&amp;" | "&amp;'ORDENES'!$S451&amp;" | "&amp;IF('ORDENES'!$AC451="","(sin técnico)",'ORDENES'!$AC451)&amp;" | "&amp;'ORDENES'!$D451&amp;" ("&amp;'ORDENES'!$N451&amp;" h)","")</f>
        <v/>
      </c>
    </row>
    <row r="456">
      <c r="K456" s="3">
        <f>IF(AND(IF($B$3="(todos)",TRUE,'ORDENES'!$P452=$B$3),IF($D$3="(todos)",TRUE,'ORDENES'!$AD452=$D$3),IF($F$3="(todos)",TRUE,'ORDENES'!$W452=$F$3),'ORDENES'!$AB452=TRUE),'ORDENES'!$AO452&amp;" | "&amp;'ORDENES'!$S452&amp;" | "&amp;IF('ORDENES'!$AC452="","(sin técnico)",'ORDENES'!$AC452)&amp;" | "&amp;'ORDENES'!$D452&amp;" ("&amp;'ORDENES'!$N452&amp;" h)","")</f>
        <v/>
      </c>
    </row>
    <row r="457">
      <c r="K457" s="3">
        <f>IF(AND(IF($B$3="(todos)",TRUE,'ORDENES'!$P453=$B$3),IF($D$3="(todos)",TRUE,'ORDENES'!$AD453=$D$3),IF($F$3="(todos)",TRUE,'ORDENES'!$W453=$F$3),'ORDENES'!$AB453=TRUE),'ORDENES'!$AO453&amp;" | "&amp;'ORDENES'!$S453&amp;" | "&amp;IF('ORDENES'!$AC453="","(sin técnico)",'ORDENES'!$AC453)&amp;" | "&amp;'ORDENES'!$D453&amp;" ("&amp;'ORDENES'!$N453&amp;" h)","")</f>
        <v/>
      </c>
    </row>
    <row r="458">
      <c r="K458" s="3">
        <f>IF(AND(IF($B$3="(todos)",TRUE,'ORDENES'!$P454=$B$3),IF($D$3="(todos)",TRUE,'ORDENES'!$AD454=$D$3),IF($F$3="(todos)",TRUE,'ORDENES'!$W454=$F$3),'ORDENES'!$AB454=TRUE),'ORDENES'!$AO454&amp;" | "&amp;'ORDENES'!$S454&amp;" | "&amp;IF('ORDENES'!$AC454="","(sin técnico)",'ORDENES'!$AC454)&amp;" | "&amp;'ORDENES'!$D454&amp;" ("&amp;'ORDENES'!$N454&amp;" h)","")</f>
        <v/>
      </c>
    </row>
    <row r="459">
      <c r="K459" s="3">
        <f>IF(AND(IF($B$3="(todos)",TRUE,'ORDENES'!$P455=$B$3),IF($D$3="(todos)",TRUE,'ORDENES'!$AD455=$D$3),IF($F$3="(todos)",TRUE,'ORDENES'!$W455=$F$3),'ORDENES'!$AB455=TRUE),'ORDENES'!$AO455&amp;" | "&amp;'ORDENES'!$S455&amp;" | "&amp;IF('ORDENES'!$AC455="","(sin técnico)",'ORDENES'!$AC455)&amp;" | "&amp;'ORDENES'!$D455&amp;" ("&amp;'ORDENES'!$N455&amp;" h)","")</f>
        <v/>
      </c>
    </row>
    <row r="460">
      <c r="K460" s="3">
        <f>IF(AND(IF($B$3="(todos)",TRUE,'ORDENES'!$P456=$B$3),IF($D$3="(todos)",TRUE,'ORDENES'!$AD456=$D$3),IF($F$3="(todos)",TRUE,'ORDENES'!$W456=$F$3),'ORDENES'!$AB456=TRUE),'ORDENES'!$AO456&amp;" | "&amp;'ORDENES'!$S456&amp;" | "&amp;IF('ORDENES'!$AC456="","(sin técnico)",'ORDENES'!$AC456)&amp;" | "&amp;'ORDENES'!$D456&amp;" ("&amp;'ORDENES'!$N456&amp;" h)","")</f>
        <v/>
      </c>
    </row>
    <row r="461">
      <c r="K461" s="3">
        <f>IF(AND(IF($B$3="(todos)",TRUE,'ORDENES'!$P457=$B$3),IF($D$3="(todos)",TRUE,'ORDENES'!$AD457=$D$3),IF($F$3="(todos)",TRUE,'ORDENES'!$W457=$F$3),'ORDENES'!$AB457=TRUE),'ORDENES'!$AO457&amp;" | "&amp;'ORDENES'!$S457&amp;" | "&amp;IF('ORDENES'!$AC457="","(sin técnico)",'ORDENES'!$AC457)&amp;" | "&amp;'ORDENES'!$D457&amp;" ("&amp;'ORDENES'!$N457&amp;" h)","")</f>
        <v/>
      </c>
    </row>
    <row r="462">
      <c r="K462" s="3">
        <f>IF(AND(IF($B$3="(todos)",TRUE,'ORDENES'!$P458=$B$3),IF($D$3="(todos)",TRUE,'ORDENES'!$AD458=$D$3),IF($F$3="(todos)",TRUE,'ORDENES'!$W458=$F$3),'ORDENES'!$AB458=TRUE),'ORDENES'!$AO458&amp;" | "&amp;'ORDENES'!$S458&amp;" | "&amp;IF('ORDENES'!$AC458="","(sin técnico)",'ORDENES'!$AC458)&amp;" | "&amp;'ORDENES'!$D458&amp;" ("&amp;'ORDENES'!$N458&amp;" h)","")</f>
        <v/>
      </c>
    </row>
    <row r="463">
      <c r="K463" s="3">
        <f>IF(AND(IF($B$3="(todos)",TRUE,'ORDENES'!$P459=$B$3),IF($D$3="(todos)",TRUE,'ORDENES'!$AD459=$D$3),IF($F$3="(todos)",TRUE,'ORDENES'!$W459=$F$3),'ORDENES'!$AB459=TRUE),'ORDENES'!$AO459&amp;" | "&amp;'ORDENES'!$S459&amp;" | "&amp;IF('ORDENES'!$AC459="","(sin técnico)",'ORDENES'!$AC459)&amp;" | "&amp;'ORDENES'!$D459&amp;" ("&amp;'ORDENES'!$N459&amp;" h)","")</f>
        <v/>
      </c>
    </row>
    <row r="464">
      <c r="K464" s="3">
        <f>IF(AND(IF($B$3="(todos)",TRUE,'ORDENES'!$P460=$B$3),IF($D$3="(todos)",TRUE,'ORDENES'!$AD460=$D$3),IF($F$3="(todos)",TRUE,'ORDENES'!$W460=$F$3),'ORDENES'!$AB460=TRUE),'ORDENES'!$AO460&amp;" | "&amp;'ORDENES'!$S460&amp;" | "&amp;IF('ORDENES'!$AC460="","(sin técnico)",'ORDENES'!$AC460)&amp;" | "&amp;'ORDENES'!$D460&amp;" ("&amp;'ORDENES'!$N460&amp;" h)","")</f>
        <v/>
      </c>
    </row>
    <row r="465">
      <c r="K465" s="3">
        <f>IF(AND(IF($B$3="(todos)",TRUE,'ORDENES'!$P461=$B$3),IF($D$3="(todos)",TRUE,'ORDENES'!$AD461=$D$3),IF($F$3="(todos)",TRUE,'ORDENES'!$W461=$F$3),'ORDENES'!$AB461=TRUE),'ORDENES'!$AO461&amp;" | "&amp;'ORDENES'!$S461&amp;" | "&amp;IF('ORDENES'!$AC461="","(sin técnico)",'ORDENES'!$AC461)&amp;" | "&amp;'ORDENES'!$D461&amp;" ("&amp;'ORDENES'!$N461&amp;" h)","")</f>
        <v/>
      </c>
    </row>
    <row r="466">
      <c r="K466" s="3">
        <f>IF(AND(IF($B$3="(todos)",TRUE,'ORDENES'!$P462=$B$3),IF($D$3="(todos)",TRUE,'ORDENES'!$AD462=$D$3),IF($F$3="(todos)",TRUE,'ORDENES'!$W462=$F$3),'ORDENES'!$AB462=TRUE),'ORDENES'!$AO462&amp;" | "&amp;'ORDENES'!$S462&amp;" | "&amp;IF('ORDENES'!$AC462="","(sin técnico)",'ORDENES'!$AC462)&amp;" | "&amp;'ORDENES'!$D462&amp;" ("&amp;'ORDENES'!$N462&amp;" h)","")</f>
        <v/>
      </c>
    </row>
    <row r="467">
      <c r="K467" s="3">
        <f>IF(AND(IF($B$3="(todos)",TRUE,'ORDENES'!$P463=$B$3),IF($D$3="(todos)",TRUE,'ORDENES'!$AD463=$D$3),IF($F$3="(todos)",TRUE,'ORDENES'!$W463=$F$3),'ORDENES'!$AB463=TRUE),'ORDENES'!$AO463&amp;" | "&amp;'ORDENES'!$S463&amp;" | "&amp;IF('ORDENES'!$AC463="","(sin técnico)",'ORDENES'!$AC463)&amp;" | "&amp;'ORDENES'!$D463&amp;" ("&amp;'ORDENES'!$N463&amp;" h)","")</f>
        <v/>
      </c>
    </row>
    <row r="468">
      <c r="K468" s="3">
        <f>IF(AND(IF($B$3="(todos)",TRUE,'ORDENES'!$P464=$B$3),IF($D$3="(todos)",TRUE,'ORDENES'!$AD464=$D$3),IF($F$3="(todos)",TRUE,'ORDENES'!$W464=$F$3),'ORDENES'!$AB464=TRUE),'ORDENES'!$AO464&amp;" | "&amp;'ORDENES'!$S464&amp;" | "&amp;IF('ORDENES'!$AC464="","(sin técnico)",'ORDENES'!$AC464)&amp;" | "&amp;'ORDENES'!$D464&amp;" ("&amp;'ORDENES'!$N464&amp;" h)","")</f>
        <v/>
      </c>
    </row>
    <row r="469">
      <c r="K469" s="3">
        <f>IF(AND(IF($B$3="(todos)",TRUE,'ORDENES'!$P465=$B$3),IF($D$3="(todos)",TRUE,'ORDENES'!$AD465=$D$3),IF($F$3="(todos)",TRUE,'ORDENES'!$W465=$F$3),'ORDENES'!$AB465=TRUE),'ORDENES'!$AO465&amp;" | "&amp;'ORDENES'!$S465&amp;" | "&amp;IF('ORDENES'!$AC465="","(sin técnico)",'ORDENES'!$AC465)&amp;" | "&amp;'ORDENES'!$D465&amp;" ("&amp;'ORDENES'!$N465&amp;" h)","")</f>
        <v/>
      </c>
    </row>
    <row r="470">
      <c r="K470" s="3">
        <f>IF(AND(IF($B$3="(todos)",TRUE,'ORDENES'!$P466=$B$3),IF($D$3="(todos)",TRUE,'ORDENES'!$AD466=$D$3),IF($F$3="(todos)",TRUE,'ORDENES'!$W466=$F$3),'ORDENES'!$AB466=TRUE),'ORDENES'!$AO466&amp;" | "&amp;'ORDENES'!$S466&amp;" | "&amp;IF('ORDENES'!$AC466="","(sin técnico)",'ORDENES'!$AC466)&amp;" | "&amp;'ORDENES'!$D466&amp;" ("&amp;'ORDENES'!$N466&amp;" h)","")</f>
        <v/>
      </c>
    </row>
    <row r="471">
      <c r="K471" s="3">
        <f>IF(AND(IF($B$3="(todos)",TRUE,'ORDENES'!$P467=$B$3),IF($D$3="(todos)",TRUE,'ORDENES'!$AD467=$D$3),IF($F$3="(todos)",TRUE,'ORDENES'!$W467=$F$3),'ORDENES'!$AB467=TRUE),'ORDENES'!$AO467&amp;" | "&amp;'ORDENES'!$S467&amp;" | "&amp;IF('ORDENES'!$AC467="","(sin técnico)",'ORDENES'!$AC467)&amp;" | "&amp;'ORDENES'!$D467&amp;" ("&amp;'ORDENES'!$N467&amp;" h)","")</f>
        <v/>
      </c>
    </row>
    <row r="472">
      <c r="K472" s="3">
        <f>IF(AND(IF($B$3="(todos)",TRUE,'ORDENES'!$P468=$B$3),IF($D$3="(todos)",TRUE,'ORDENES'!$AD468=$D$3),IF($F$3="(todos)",TRUE,'ORDENES'!$W468=$F$3),'ORDENES'!$AB468=TRUE),'ORDENES'!$AO468&amp;" | "&amp;'ORDENES'!$S468&amp;" | "&amp;IF('ORDENES'!$AC468="","(sin técnico)",'ORDENES'!$AC468)&amp;" | "&amp;'ORDENES'!$D468&amp;" ("&amp;'ORDENES'!$N468&amp;" h)","")</f>
        <v/>
      </c>
    </row>
    <row r="473">
      <c r="K473" s="3">
        <f>IF(AND(IF($B$3="(todos)",TRUE,'ORDENES'!$P469=$B$3),IF($D$3="(todos)",TRUE,'ORDENES'!$AD469=$D$3),IF($F$3="(todos)",TRUE,'ORDENES'!$W469=$F$3),'ORDENES'!$AB469=TRUE),'ORDENES'!$AO469&amp;" | "&amp;'ORDENES'!$S469&amp;" | "&amp;IF('ORDENES'!$AC469="","(sin técnico)",'ORDENES'!$AC469)&amp;" | "&amp;'ORDENES'!$D469&amp;" ("&amp;'ORDENES'!$N469&amp;" h)","")</f>
        <v/>
      </c>
    </row>
    <row r="474">
      <c r="K474" s="3">
        <f>IF(AND(IF($B$3="(todos)",TRUE,'ORDENES'!$P470=$B$3),IF($D$3="(todos)",TRUE,'ORDENES'!$AD470=$D$3),IF($F$3="(todos)",TRUE,'ORDENES'!$W470=$F$3),'ORDENES'!$AB470=TRUE),'ORDENES'!$AO470&amp;" | "&amp;'ORDENES'!$S470&amp;" | "&amp;IF('ORDENES'!$AC470="","(sin técnico)",'ORDENES'!$AC470)&amp;" | "&amp;'ORDENES'!$D470&amp;" ("&amp;'ORDENES'!$N470&amp;" h)","")</f>
        <v/>
      </c>
    </row>
    <row r="475">
      <c r="K475" s="3">
        <f>IF(AND(IF($B$3="(todos)",TRUE,'ORDENES'!$P471=$B$3),IF($D$3="(todos)",TRUE,'ORDENES'!$AD471=$D$3),IF($F$3="(todos)",TRUE,'ORDENES'!$W471=$F$3),'ORDENES'!$AB471=TRUE),'ORDENES'!$AO471&amp;" | "&amp;'ORDENES'!$S471&amp;" | "&amp;IF('ORDENES'!$AC471="","(sin técnico)",'ORDENES'!$AC471)&amp;" | "&amp;'ORDENES'!$D471&amp;" ("&amp;'ORDENES'!$N471&amp;" h)","")</f>
        <v/>
      </c>
    </row>
    <row r="476">
      <c r="K476" s="3">
        <f>IF(AND(IF($B$3="(todos)",TRUE,'ORDENES'!$P472=$B$3),IF($D$3="(todos)",TRUE,'ORDENES'!$AD472=$D$3),IF($F$3="(todos)",TRUE,'ORDENES'!$W472=$F$3),'ORDENES'!$AB472=TRUE),'ORDENES'!$AO472&amp;" | "&amp;'ORDENES'!$S472&amp;" | "&amp;IF('ORDENES'!$AC472="","(sin técnico)",'ORDENES'!$AC472)&amp;" | "&amp;'ORDENES'!$D472&amp;" ("&amp;'ORDENES'!$N472&amp;" h)","")</f>
        <v/>
      </c>
    </row>
    <row r="477">
      <c r="K477" s="3">
        <f>IF(AND(IF($B$3="(todos)",TRUE,'ORDENES'!$P473=$B$3),IF($D$3="(todos)",TRUE,'ORDENES'!$AD473=$D$3),IF($F$3="(todos)",TRUE,'ORDENES'!$W473=$F$3),'ORDENES'!$AB473=TRUE),'ORDENES'!$AO473&amp;" | "&amp;'ORDENES'!$S473&amp;" | "&amp;IF('ORDENES'!$AC473="","(sin técnico)",'ORDENES'!$AC473)&amp;" | "&amp;'ORDENES'!$D473&amp;" ("&amp;'ORDENES'!$N473&amp;" h)","")</f>
        <v/>
      </c>
    </row>
    <row r="478">
      <c r="K478" s="3">
        <f>IF(AND(IF($B$3="(todos)",TRUE,'ORDENES'!$P474=$B$3),IF($D$3="(todos)",TRUE,'ORDENES'!$AD474=$D$3),IF($F$3="(todos)",TRUE,'ORDENES'!$W474=$F$3),'ORDENES'!$AB474=TRUE),'ORDENES'!$AO474&amp;" | "&amp;'ORDENES'!$S474&amp;" | "&amp;IF('ORDENES'!$AC474="","(sin técnico)",'ORDENES'!$AC474)&amp;" | "&amp;'ORDENES'!$D474&amp;" ("&amp;'ORDENES'!$N474&amp;" h)","")</f>
        <v/>
      </c>
    </row>
    <row r="479">
      <c r="K479" s="3">
        <f>IF(AND(IF($B$3="(todos)",TRUE,'ORDENES'!$P475=$B$3),IF($D$3="(todos)",TRUE,'ORDENES'!$AD475=$D$3),IF($F$3="(todos)",TRUE,'ORDENES'!$W475=$F$3),'ORDENES'!$AB475=TRUE),'ORDENES'!$AO475&amp;" | "&amp;'ORDENES'!$S475&amp;" | "&amp;IF('ORDENES'!$AC475="","(sin técnico)",'ORDENES'!$AC475)&amp;" | "&amp;'ORDENES'!$D475&amp;" ("&amp;'ORDENES'!$N475&amp;" h)","")</f>
        <v/>
      </c>
    </row>
    <row r="480">
      <c r="K480" s="3">
        <f>IF(AND(IF($B$3="(todos)",TRUE,'ORDENES'!$P476=$B$3),IF($D$3="(todos)",TRUE,'ORDENES'!$AD476=$D$3),IF($F$3="(todos)",TRUE,'ORDENES'!$W476=$F$3),'ORDENES'!$AB476=TRUE),'ORDENES'!$AO476&amp;" | "&amp;'ORDENES'!$S476&amp;" | "&amp;IF('ORDENES'!$AC476="","(sin técnico)",'ORDENES'!$AC476)&amp;" | "&amp;'ORDENES'!$D476&amp;" ("&amp;'ORDENES'!$N476&amp;" h)","")</f>
        <v/>
      </c>
    </row>
    <row r="481">
      <c r="K481" s="3">
        <f>IF(AND(IF($B$3="(todos)",TRUE,'ORDENES'!$P477=$B$3),IF($D$3="(todos)",TRUE,'ORDENES'!$AD477=$D$3),IF($F$3="(todos)",TRUE,'ORDENES'!$W477=$F$3),'ORDENES'!$AB477=TRUE),'ORDENES'!$AO477&amp;" | "&amp;'ORDENES'!$S477&amp;" | "&amp;IF('ORDENES'!$AC477="","(sin técnico)",'ORDENES'!$AC477)&amp;" | "&amp;'ORDENES'!$D477&amp;" ("&amp;'ORDENES'!$N477&amp;" h)","")</f>
        <v/>
      </c>
    </row>
    <row r="482">
      <c r="K482" s="3">
        <f>IF(AND(IF($B$3="(todos)",TRUE,'ORDENES'!$P478=$B$3),IF($D$3="(todos)",TRUE,'ORDENES'!$AD478=$D$3),IF($F$3="(todos)",TRUE,'ORDENES'!$W478=$F$3),'ORDENES'!$AB478=TRUE),'ORDENES'!$AO478&amp;" | "&amp;'ORDENES'!$S478&amp;" | "&amp;IF('ORDENES'!$AC478="","(sin técnico)",'ORDENES'!$AC478)&amp;" | "&amp;'ORDENES'!$D478&amp;" ("&amp;'ORDENES'!$N478&amp;" h)","")</f>
        <v/>
      </c>
    </row>
    <row r="483">
      <c r="K483" s="3">
        <f>IF(AND(IF($B$3="(todos)",TRUE,'ORDENES'!$P479=$B$3),IF($D$3="(todos)",TRUE,'ORDENES'!$AD479=$D$3),IF($F$3="(todos)",TRUE,'ORDENES'!$W479=$F$3),'ORDENES'!$AB479=TRUE),'ORDENES'!$AO479&amp;" | "&amp;'ORDENES'!$S479&amp;" | "&amp;IF('ORDENES'!$AC479="","(sin técnico)",'ORDENES'!$AC479)&amp;" | "&amp;'ORDENES'!$D479&amp;" ("&amp;'ORDENES'!$N479&amp;" h)","")</f>
        <v/>
      </c>
    </row>
    <row r="484">
      <c r="K484" s="3">
        <f>IF(AND(IF($B$3="(todos)",TRUE,'ORDENES'!$P480=$B$3),IF($D$3="(todos)",TRUE,'ORDENES'!$AD480=$D$3),IF($F$3="(todos)",TRUE,'ORDENES'!$W480=$F$3),'ORDENES'!$AB480=TRUE),'ORDENES'!$AO480&amp;" | "&amp;'ORDENES'!$S480&amp;" | "&amp;IF('ORDENES'!$AC480="","(sin técnico)",'ORDENES'!$AC480)&amp;" | "&amp;'ORDENES'!$D480&amp;" ("&amp;'ORDENES'!$N480&amp;" h)","")</f>
        <v/>
      </c>
    </row>
    <row r="485">
      <c r="K485" s="3">
        <f>IF(AND(IF($B$3="(todos)",TRUE,'ORDENES'!$P481=$B$3),IF($D$3="(todos)",TRUE,'ORDENES'!$AD481=$D$3),IF($F$3="(todos)",TRUE,'ORDENES'!$W481=$F$3),'ORDENES'!$AB481=TRUE),'ORDENES'!$AO481&amp;" | "&amp;'ORDENES'!$S481&amp;" | "&amp;IF('ORDENES'!$AC481="","(sin técnico)",'ORDENES'!$AC481)&amp;" | "&amp;'ORDENES'!$D481&amp;" ("&amp;'ORDENES'!$N481&amp;" h)","")</f>
        <v/>
      </c>
    </row>
    <row r="486">
      <c r="K486" s="3">
        <f>IF(AND(IF($B$3="(todos)",TRUE,'ORDENES'!$P482=$B$3),IF($D$3="(todos)",TRUE,'ORDENES'!$AD482=$D$3),IF($F$3="(todos)",TRUE,'ORDENES'!$W482=$F$3),'ORDENES'!$AB482=TRUE),'ORDENES'!$AO482&amp;" | "&amp;'ORDENES'!$S482&amp;" | "&amp;IF('ORDENES'!$AC482="","(sin técnico)",'ORDENES'!$AC482)&amp;" | "&amp;'ORDENES'!$D482&amp;" ("&amp;'ORDENES'!$N482&amp;" h)","")</f>
        <v/>
      </c>
    </row>
    <row r="487">
      <c r="K487" s="3">
        <f>IF(AND(IF($B$3="(todos)",TRUE,'ORDENES'!$P483=$B$3),IF($D$3="(todos)",TRUE,'ORDENES'!$AD483=$D$3),IF($F$3="(todos)",TRUE,'ORDENES'!$W483=$F$3),'ORDENES'!$AB483=TRUE),'ORDENES'!$AO483&amp;" | "&amp;'ORDENES'!$S483&amp;" | "&amp;IF('ORDENES'!$AC483="","(sin técnico)",'ORDENES'!$AC483)&amp;" | "&amp;'ORDENES'!$D483&amp;" ("&amp;'ORDENES'!$N483&amp;" h)","")</f>
        <v/>
      </c>
    </row>
    <row r="488">
      <c r="K488" s="3">
        <f>IF(AND(IF($B$3="(todos)",TRUE,'ORDENES'!$P484=$B$3),IF($D$3="(todos)",TRUE,'ORDENES'!$AD484=$D$3),IF($F$3="(todos)",TRUE,'ORDENES'!$W484=$F$3),'ORDENES'!$AB484=TRUE),'ORDENES'!$AO484&amp;" | "&amp;'ORDENES'!$S484&amp;" | "&amp;IF('ORDENES'!$AC484="","(sin técnico)",'ORDENES'!$AC484)&amp;" | "&amp;'ORDENES'!$D484&amp;" ("&amp;'ORDENES'!$N484&amp;" h)","")</f>
        <v/>
      </c>
    </row>
    <row r="489">
      <c r="K489" s="3">
        <f>IF(AND(IF($B$3="(todos)",TRUE,'ORDENES'!$P485=$B$3),IF($D$3="(todos)",TRUE,'ORDENES'!$AD485=$D$3),IF($F$3="(todos)",TRUE,'ORDENES'!$W485=$F$3),'ORDENES'!$AB485=TRUE),'ORDENES'!$AO485&amp;" | "&amp;'ORDENES'!$S485&amp;" | "&amp;IF('ORDENES'!$AC485="","(sin técnico)",'ORDENES'!$AC485)&amp;" | "&amp;'ORDENES'!$D485&amp;" ("&amp;'ORDENES'!$N485&amp;" h)","")</f>
        <v/>
      </c>
    </row>
    <row r="490">
      <c r="K490" s="3">
        <f>IF(AND(IF($B$3="(todos)",TRUE,'ORDENES'!$P486=$B$3),IF($D$3="(todos)",TRUE,'ORDENES'!$AD486=$D$3),IF($F$3="(todos)",TRUE,'ORDENES'!$W486=$F$3),'ORDENES'!$AB486=TRUE),'ORDENES'!$AO486&amp;" | "&amp;'ORDENES'!$S486&amp;" | "&amp;IF('ORDENES'!$AC486="","(sin técnico)",'ORDENES'!$AC486)&amp;" | "&amp;'ORDENES'!$D486&amp;" ("&amp;'ORDENES'!$N486&amp;" h)","")</f>
        <v/>
      </c>
    </row>
    <row r="491">
      <c r="K491" s="3">
        <f>IF(AND(IF($B$3="(todos)",TRUE,'ORDENES'!$P487=$B$3),IF($D$3="(todos)",TRUE,'ORDENES'!$AD487=$D$3),IF($F$3="(todos)",TRUE,'ORDENES'!$W487=$F$3),'ORDENES'!$AB487=TRUE),'ORDENES'!$AO487&amp;" | "&amp;'ORDENES'!$S487&amp;" | "&amp;IF('ORDENES'!$AC487="","(sin técnico)",'ORDENES'!$AC487)&amp;" | "&amp;'ORDENES'!$D487&amp;" ("&amp;'ORDENES'!$N487&amp;" h)","")</f>
        <v/>
      </c>
    </row>
    <row r="492">
      <c r="K492" s="3">
        <f>IF(AND(IF($B$3="(todos)",TRUE,'ORDENES'!$P488=$B$3),IF($D$3="(todos)",TRUE,'ORDENES'!$AD488=$D$3),IF($F$3="(todos)",TRUE,'ORDENES'!$W488=$F$3),'ORDENES'!$AB488=TRUE),'ORDENES'!$AO488&amp;" | "&amp;'ORDENES'!$S488&amp;" | "&amp;IF('ORDENES'!$AC488="","(sin técnico)",'ORDENES'!$AC488)&amp;" | "&amp;'ORDENES'!$D488&amp;" ("&amp;'ORDENES'!$N488&amp;" h)","")</f>
        <v/>
      </c>
    </row>
    <row r="493">
      <c r="K493" s="3">
        <f>IF(AND(IF($B$3="(todos)",TRUE,'ORDENES'!$P489=$B$3),IF($D$3="(todos)",TRUE,'ORDENES'!$AD489=$D$3),IF($F$3="(todos)",TRUE,'ORDENES'!$W489=$F$3),'ORDENES'!$AB489=TRUE),'ORDENES'!$AO489&amp;" | "&amp;'ORDENES'!$S489&amp;" | "&amp;IF('ORDENES'!$AC489="","(sin técnico)",'ORDENES'!$AC489)&amp;" | "&amp;'ORDENES'!$D489&amp;" ("&amp;'ORDENES'!$N489&amp;" h)","")</f>
        <v/>
      </c>
    </row>
    <row r="494">
      <c r="K494" s="3">
        <f>IF(AND(IF($B$3="(todos)",TRUE,'ORDENES'!$P490=$B$3),IF($D$3="(todos)",TRUE,'ORDENES'!$AD490=$D$3),IF($F$3="(todos)",TRUE,'ORDENES'!$W490=$F$3),'ORDENES'!$AB490=TRUE),'ORDENES'!$AO490&amp;" | "&amp;'ORDENES'!$S490&amp;" | "&amp;IF('ORDENES'!$AC490="","(sin técnico)",'ORDENES'!$AC490)&amp;" | "&amp;'ORDENES'!$D490&amp;" ("&amp;'ORDENES'!$N490&amp;" h)","")</f>
        <v/>
      </c>
    </row>
    <row r="495">
      <c r="K495" s="3">
        <f>IF(AND(IF($B$3="(todos)",TRUE,'ORDENES'!$P491=$B$3),IF($D$3="(todos)",TRUE,'ORDENES'!$AD491=$D$3),IF($F$3="(todos)",TRUE,'ORDENES'!$W491=$F$3),'ORDENES'!$AB491=TRUE),'ORDENES'!$AO491&amp;" | "&amp;'ORDENES'!$S491&amp;" | "&amp;IF('ORDENES'!$AC491="","(sin técnico)",'ORDENES'!$AC491)&amp;" | "&amp;'ORDENES'!$D491&amp;" ("&amp;'ORDENES'!$N491&amp;" h)","")</f>
        <v/>
      </c>
    </row>
    <row r="496">
      <c r="K496" s="3">
        <f>IF(AND(IF($B$3="(todos)",TRUE,'ORDENES'!$P492=$B$3),IF($D$3="(todos)",TRUE,'ORDENES'!$AD492=$D$3),IF($F$3="(todos)",TRUE,'ORDENES'!$W492=$F$3),'ORDENES'!$AB492=TRUE),'ORDENES'!$AO492&amp;" | "&amp;'ORDENES'!$S492&amp;" | "&amp;IF('ORDENES'!$AC492="","(sin técnico)",'ORDENES'!$AC492)&amp;" | "&amp;'ORDENES'!$D492&amp;" ("&amp;'ORDENES'!$N492&amp;" h)","")</f>
        <v/>
      </c>
    </row>
    <row r="497">
      <c r="K497" s="3">
        <f>IF(AND(IF($B$3="(todos)",TRUE,'ORDENES'!$P493=$B$3),IF($D$3="(todos)",TRUE,'ORDENES'!$AD493=$D$3),IF($F$3="(todos)",TRUE,'ORDENES'!$W493=$F$3),'ORDENES'!$AB493=TRUE),'ORDENES'!$AO493&amp;" | "&amp;'ORDENES'!$S493&amp;" | "&amp;IF('ORDENES'!$AC493="","(sin técnico)",'ORDENES'!$AC493)&amp;" | "&amp;'ORDENES'!$D493&amp;" ("&amp;'ORDENES'!$N493&amp;" h)","")</f>
        <v/>
      </c>
    </row>
    <row r="498">
      <c r="K498" s="3">
        <f>IF(AND(IF($B$3="(todos)",TRUE,'ORDENES'!$P494=$B$3),IF($D$3="(todos)",TRUE,'ORDENES'!$AD494=$D$3),IF($F$3="(todos)",TRUE,'ORDENES'!$W494=$F$3),'ORDENES'!$AB494=TRUE),'ORDENES'!$AO494&amp;" | "&amp;'ORDENES'!$S494&amp;" | "&amp;IF('ORDENES'!$AC494="","(sin técnico)",'ORDENES'!$AC494)&amp;" | "&amp;'ORDENES'!$D494&amp;" ("&amp;'ORDENES'!$N494&amp;" h)","")</f>
        <v/>
      </c>
    </row>
    <row r="499">
      <c r="K499" s="3">
        <f>IF(AND(IF($B$3="(todos)",TRUE,'ORDENES'!$P495=$B$3),IF($D$3="(todos)",TRUE,'ORDENES'!$AD495=$D$3),IF($F$3="(todos)",TRUE,'ORDENES'!$W495=$F$3),'ORDENES'!$AB495=TRUE),'ORDENES'!$AO495&amp;" | "&amp;'ORDENES'!$S495&amp;" | "&amp;IF('ORDENES'!$AC495="","(sin técnico)",'ORDENES'!$AC495)&amp;" | "&amp;'ORDENES'!$D495&amp;" ("&amp;'ORDENES'!$N495&amp;" h)","")</f>
        <v/>
      </c>
    </row>
    <row r="500">
      <c r="K500" s="3">
        <f>IF(AND(IF($B$3="(todos)",TRUE,'ORDENES'!$P496=$B$3),IF($D$3="(todos)",TRUE,'ORDENES'!$AD496=$D$3),IF($F$3="(todos)",TRUE,'ORDENES'!$W496=$F$3),'ORDENES'!$AB496=TRUE),'ORDENES'!$AO496&amp;" | "&amp;'ORDENES'!$S496&amp;" | "&amp;IF('ORDENES'!$AC496="","(sin técnico)",'ORDENES'!$AC496)&amp;" | "&amp;'ORDENES'!$D496&amp;" ("&amp;'ORDENES'!$N496&amp;" h)","")</f>
        <v/>
      </c>
    </row>
    <row r="501">
      <c r="K501" s="3">
        <f>IF(AND(IF($B$3="(todos)",TRUE,'ORDENES'!$P497=$B$3),IF($D$3="(todos)",TRUE,'ORDENES'!$AD497=$D$3),IF($F$3="(todos)",TRUE,'ORDENES'!$W497=$F$3),'ORDENES'!$AB497=TRUE),'ORDENES'!$AO497&amp;" | "&amp;'ORDENES'!$S497&amp;" | "&amp;IF('ORDENES'!$AC497="","(sin técnico)",'ORDENES'!$AC497)&amp;" | "&amp;'ORDENES'!$D497&amp;" ("&amp;'ORDENES'!$N497&amp;" h)","")</f>
        <v/>
      </c>
    </row>
    <row r="502">
      <c r="K502" s="3">
        <f>IF(AND(IF($B$3="(todos)",TRUE,'ORDENES'!$P498=$B$3),IF($D$3="(todos)",TRUE,'ORDENES'!$AD498=$D$3),IF($F$3="(todos)",TRUE,'ORDENES'!$W498=$F$3),'ORDENES'!$AB498=TRUE),'ORDENES'!$AO498&amp;" | "&amp;'ORDENES'!$S498&amp;" | "&amp;IF('ORDENES'!$AC498="","(sin técnico)",'ORDENES'!$AC498)&amp;" | "&amp;'ORDENES'!$D498&amp;" ("&amp;'ORDENES'!$N498&amp;" h)","")</f>
        <v/>
      </c>
    </row>
    <row r="503">
      <c r="K503" s="3">
        <f>IF(AND(IF($B$3="(todos)",TRUE,'ORDENES'!$P499=$B$3),IF($D$3="(todos)",TRUE,'ORDENES'!$AD499=$D$3),IF($F$3="(todos)",TRUE,'ORDENES'!$W499=$F$3),'ORDENES'!$AB499=TRUE),'ORDENES'!$AO499&amp;" | "&amp;'ORDENES'!$S499&amp;" | "&amp;IF('ORDENES'!$AC499="","(sin técnico)",'ORDENES'!$AC499)&amp;" | "&amp;'ORDENES'!$D499&amp;" ("&amp;'ORDENES'!$N499&amp;" h)","")</f>
        <v/>
      </c>
    </row>
    <row r="504">
      <c r="K504" s="3">
        <f>IF(AND(IF($B$3="(todos)",TRUE,'ORDENES'!$P500=$B$3),IF($D$3="(todos)",TRUE,'ORDENES'!$AD500=$D$3),IF($F$3="(todos)",TRUE,'ORDENES'!$W500=$F$3),'ORDENES'!$AB500=TRUE),'ORDENES'!$AO500&amp;" | "&amp;'ORDENES'!$S500&amp;" | "&amp;IF('ORDENES'!$AC500="","(sin técnico)",'ORDENES'!$AC500)&amp;" | "&amp;'ORDENES'!$D500&amp;" ("&amp;'ORDENES'!$N500&amp;" h)","")</f>
        <v/>
      </c>
    </row>
    <row r="505">
      <c r="K505" s="3">
        <f>IF(AND(IF($B$3="(todos)",TRUE,'ORDENES'!$P501=$B$3),IF($D$3="(todos)",TRUE,'ORDENES'!$AD501=$D$3),IF($F$3="(todos)",TRUE,'ORDENES'!$W501=$F$3),'ORDENES'!$AB501=TRUE),'ORDENES'!$AO501&amp;" | "&amp;'ORDENES'!$S501&amp;" | "&amp;IF('ORDENES'!$AC501="","(sin técnico)",'ORDENES'!$AC501)&amp;" | "&amp;'ORDENES'!$D501&amp;" ("&amp;'ORDENES'!$N501&amp;" h)","")</f>
        <v/>
      </c>
    </row>
    <row r="506">
      <c r="K506" s="3">
        <f>IF(AND(IF($B$3="(todos)",TRUE,'ORDENES'!$P502=$B$3),IF($D$3="(todos)",TRUE,'ORDENES'!$AD502=$D$3),IF($F$3="(todos)",TRUE,'ORDENES'!$W502=$F$3),'ORDENES'!$AB502=TRUE),'ORDENES'!$AO502&amp;" | "&amp;'ORDENES'!$S502&amp;" | "&amp;IF('ORDENES'!$AC502="","(sin técnico)",'ORDENES'!$AC502)&amp;" | "&amp;'ORDENES'!$D502&amp;" ("&amp;'ORDENES'!$N502&amp;" h)","")</f>
        <v/>
      </c>
    </row>
    <row r="507">
      <c r="K507" s="3">
        <f>IF(AND(IF($B$3="(todos)",TRUE,'ORDENES'!$P503=$B$3),IF($D$3="(todos)",TRUE,'ORDENES'!$AD503=$D$3),IF($F$3="(todos)",TRUE,'ORDENES'!$W503=$F$3),'ORDENES'!$AB503=TRUE),'ORDENES'!$AO503&amp;" | "&amp;'ORDENES'!$S503&amp;" | "&amp;IF('ORDENES'!$AC503="","(sin técnico)",'ORDENES'!$AC503)&amp;" | "&amp;'ORDENES'!$D503&amp;" ("&amp;'ORDENES'!$N503&amp;" h)","")</f>
        <v/>
      </c>
    </row>
    <row r="508">
      <c r="K508" s="3">
        <f>IF(AND(IF($B$3="(todos)",TRUE,'ORDENES'!$P504=$B$3),IF($D$3="(todos)",TRUE,'ORDENES'!$AD504=$D$3),IF($F$3="(todos)",TRUE,'ORDENES'!$W504=$F$3),'ORDENES'!$AB504=TRUE),'ORDENES'!$AO504&amp;" | "&amp;'ORDENES'!$S504&amp;" | "&amp;IF('ORDENES'!$AC504="","(sin técnico)",'ORDENES'!$AC504)&amp;" | "&amp;'ORDENES'!$D504&amp;" ("&amp;'ORDENES'!$N504&amp;" h)","")</f>
        <v/>
      </c>
    </row>
    <row r="509">
      <c r="K509" s="3">
        <f>IF(AND(IF($B$3="(todos)",TRUE,'ORDENES'!$P505=$B$3),IF($D$3="(todos)",TRUE,'ORDENES'!$AD505=$D$3),IF($F$3="(todos)",TRUE,'ORDENES'!$W505=$F$3),'ORDENES'!$AB505=TRUE),'ORDENES'!$AO505&amp;" | "&amp;'ORDENES'!$S505&amp;" | "&amp;IF('ORDENES'!$AC505="","(sin técnico)",'ORDENES'!$AC505)&amp;" | "&amp;'ORDENES'!$D505&amp;" ("&amp;'ORDENES'!$N505&amp;" h)","")</f>
        <v/>
      </c>
    </row>
    <row r="510">
      <c r="K510" s="3">
        <f>IF(AND(IF($B$3="(todos)",TRUE,'ORDENES'!$P506=$B$3),IF($D$3="(todos)",TRUE,'ORDENES'!$AD506=$D$3),IF($F$3="(todos)",TRUE,'ORDENES'!$W506=$F$3),'ORDENES'!$AB506=TRUE),'ORDENES'!$AO506&amp;" | "&amp;'ORDENES'!$S506&amp;" | "&amp;IF('ORDENES'!$AC506="","(sin técnico)",'ORDENES'!$AC506)&amp;" | "&amp;'ORDENES'!$D506&amp;" ("&amp;'ORDENES'!$N506&amp;" h)","")</f>
        <v/>
      </c>
    </row>
    <row r="511">
      <c r="K511" s="3">
        <f>IF(AND(IF($B$3="(todos)",TRUE,'ORDENES'!$P507=$B$3),IF($D$3="(todos)",TRUE,'ORDENES'!$AD507=$D$3),IF($F$3="(todos)",TRUE,'ORDENES'!$W507=$F$3),'ORDENES'!$AB507=TRUE),'ORDENES'!$AO507&amp;" | "&amp;'ORDENES'!$S507&amp;" | "&amp;IF('ORDENES'!$AC507="","(sin técnico)",'ORDENES'!$AC507)&amp;" | "&amp;'ORDENES'!$D507&amp;" ("&amp;'ORDENES'!$N507&amp;" h)","")</f>
        <v/>
      </c>
    </row>
    <row r="512">
      <c r="K512" s="3">
        <f>IF(AND(IF($B$3="(todos)",TRUE,'ORDENES'!$P508=$B$3),IF($D$3="(todos)",TRUE,'ORDENES'!$AD508=$D$3),IF($F$3="(todos)",TRUE,'ORDENES'!$W508=$F$3),'ORDENES'!$AB508=TRUE),'ORDENES'!$AO508&amp;" | "&amp;'ORDENES'!$S508&amp;" | "&amp;IF('ORDENES'!$AC508="","(sin técnico)",'ORDENES'!$AC508)&amp;" | "&amp;'ORDENES'!$D508&amp;" ("&amp;'ORDENES'!$N508&amp;" h)","")</f>
        <v/>
      </c>
    </row>
    <row r="513">
      <c r="K513" s="3">
        <f>IF(AND(IF($B$3="(todos)",TRUE,'ORDENES'!$P509=$B$3),IF($D$3="(todos)",TRUE,'ORDENES'!$AD509=$D$3),IF($F$3="(todos)",TRUE,'ORDENES'!$W509=$F$3),'ORDENES'!$AB509=TRUE),'ORDENES'!$AO509&amp;" | "&amp;'ORDENES'!$S509&amp;" | "&amp;IF('ORDENES'!$AC509="","(sin técnico)",'ORDENES'!$AC509)&amp;" | "&amp;'ORDENES'!$D509&amp;" ("&amp;'ORDENES'!$N509&amp;" h)","")</f>
        <v/>
      </c>
    </row>
    <row r="514">
      <c r="K514" s="3">
        <f>IF(AND(IF($B$3="(todos)",TRUE,'ORDENES'!$P510=$B$3),IF($D$3="(todos)",TRUE,'ORDENES'!$AD510=$D$3),IF($F$3="(todos)",TRUE,'ORDENES'!$W510=$F$3),'ORDENES'!$AB510=TRUE),'ORDENES'!$AO510&amp;" | "&amp;'ORDENES'!$S510&amp;" | "&amp;IF('ORDENES'!$AC510="","(sin técnico)",'ORDENES'!$AC510)&amp;" | "&amp;'ORDENES'!$D510&amp;" ("&amp;'ORDENES'!$N510&amp;" h)","")</f>
        <v/>
      </c>
    </row>
    <row r="515">
      <c r="K515" s="3">
        <f>IF(AND(IF($B$3="(todos)",TRUE,'ORDENES'!$P511=$B$3),IF($D$3="(todos)",TRUE,'ORDENES'!$AD511=$D$3),IF($F$3="(todos)",TRUE,'ORDENES'!$W511=$F$3),'ORDENES'!$AB511=TRUE),'ORDENES'!$AO511&amp;" | "&amp;'ORDENES'!$S511&amp;" | "&amp;IF('ORDENES'!$AC511="","(sin técnico)",'ORDENES'!$AC511)&amp;" | "&amp;'ORDENES'!$D511&amp;" ("&amp;'ORDENES'!$N511&amp;" h)","")</f>
        <v/>
      </c>
    </row>
    <row r="516">
      <c r="K516" s="3">
        <f>IF(AND(IF($B$3="(todos)",TRUE,'ORDENES'!$P512=$B$3),IF($D$3="(todos)",TRUE,'ORDENES'!$AD512=$D$3),IF($F$3="(todos)",TRUE,'ORDENES'!$W512=$F$3),'ORDENES'!$AB512=TRUE),'ORDENES'!$AO512&amp;" | "&amp;'ORDENES'!$S512&amp;" | "&amp;IF('ORDENES'!$AC512="","(sin técnico)",'ORDENES'!$AC512)&amp;" | "&amp;'ORDENES'!$D512&amp;" ("&amp;'ORDENES'!$N512&amp;" h)","")</f>
        <v/>
      </c>
    </row>
    <row r="517">
      <c r="K517" s="3">
        <f>IF(AND(IF($B$3="(todos)",TRUE,'ORDENES'!$P513=$B$3),IF($D$3="(todos)",TRUE,'ORDENES'!$AD513=$D$3),IF($F$3="(todos)",TRUE,'ORDENES'!$W513=$F$3),'ORDENES'!$AB513=TRUE),'ORDENES'!$AO513&amp;" | "&amp;'ORDENES'!$S513&amp;" | "&amp;IF('ORDENES'!$AC513="","(sin técnico)",'ORDENES'!$AC513)&amp;" | "&amp;'ORDENES'!$D513&amp;" ("&amp;'ORDENES'!$N513&amp;" h)","")</f>
        <v/>
      </c>
    </row>
    <row r="518">
      <c r="K518" s="3">
        <f>IF(AND(IF($B$3="(todos)",TRUE,'ORDENES'!$P514=$B$3),IF($D$3="(todos)",TRUE,'ORDENES'!$AD514=$D$3),IF($F$3="(todos)",TRUE,'ORDENES'!$W514=$F$3),'ORDENES'!$AB514=TRUE),'ORDENES'!$AO514&amp;" | "&amp;'ORDENES'!$S514&amp;" | "&amp;IF('ORDENES'!$AC514="","(sin técnico)",'ORDENES'!$AC514)&amp;" | "&amp;'ORDENES'!$D514&amp;" ("&amp;'ORDENES'!$N514&amp;" h)","")</f>
        <v/>
      </c>
    </row>
    <row r="519">
      <c r="K519" s="3">
        <f>IF(AND(IF($B$3="(todos)",TRUE,'ORDENES'!$P515=$B$3),IF($D$3="(todos)",TRUE,'ORDENES'!$AD515=$D$3),IF($F$3="(todos)",TRUE,'ORDENES'!$W515=$F$3),'ORDENES'!$AB515=TRUE),'ORDENES'!$AO515&amp;" | "&amp;'ORDENES'!$S515&amp;" | "&amp;IF('ORDENES'!$AC515="","(sin técnico)",'ORDENES'!$AC515)&amp;" | "&amp;'ORDENES'!$D515&amp;" ("&amp;'ORDENES'!$N515&amp;" h)","")</f>
        <v/>
      </c>
    </row>
    <row r="520">
      <c r="K520" s="3">
        <f>IF(AND(IF($B$3="(todos)",TRUE,'ORDENES'!$P516=$B$3),IF($D$3="(todos)",TRUE,'ORDENES'!$AD516=$D$3),IF($F$3="(todos)",TRUE,'ORDENES'!$W516=$F$3),'ORDENES'!$AB516=TRUE),'ORDENES'!$AO516&amp;" | "&amp;'ORDENES'!$S516&amp;" | "&amp;IF('ORDENES'!$AC516="","(sin técnico)",'ORDENES'!$AC516)&amp;" | "&amp;'ORDENES'!$D516&amp;" ("&amp;'ORDENES'!$N516&amp;" h)","")</f>
        <v/>
      </c>
    </row>
    <row r="521">
      <c r="K521" s="3">
        <f>IF(AND(IF($B$3="(todos)",TRUE,'ORDENES'!$P517=$B$3),IF($D$3="(todos)",TRUE,'ORDENES'!$AD517=$D$3),IF($F$3="(todos)",TRUE,'ORDENES'!$W517=$F$3),'ORDENES'!$AB517=TRUE),'ORDENES'!$AO517&amp;" | "&amp;'ORDENES'!$S517&amp;" | "&amp;IF('ORDENES'!$AC517="","(sin técnico)",'ORDENES'!$AC517)&amp;" | "&amp;'ORDENES'!$D517&amp;" ("&amp;'ORDENES'!$N517&amp;" h)","")</f>
        <v/>
      </c>
    </row>
    <row r="522">
      <c r="K522" s="3">
        <f>IF(AND(IF($B$3="(todos)",TRUE,'ORDENES'!$P518=$B$3),IF($D$3="(todos)",TRUE,'ORDENES'!$AD518=$D$3),IF($F$3="(todos)",TRUE,'ORDENES'!$W518=$F$3),'ORDENES'!$AB518=TRUE),'ORDENES'!$AO518&amp;" | "&amp;'ORDENES'!$S518&amp;" | "&amp;IF('ORDENES'!$AC518="","(sin técnico)",'ORDENES'!$AC518)&amp;" | "&amp;'ORDENES'!$D518&amp;" ("&amp;'ORDENES'!$N518&amp;" h)","")</f>
        <v/>
      </c>
    </row>
    <row r="523">
      <c r="K523" s="3">
        <f>IF(AND(IF($B$3="(todos)",TRUE,'ORDENES'!$P519=$B$3),IF($D$3="(todos)",TRUE,'ORDENES'!$AD519=$D$3),IF($F$3="(todos)",TRUE,'ORDENES'!$W519=$F$3),'ORDENES'!$AB519=TRUE),'ORDENES'!$AO519&amp;" | "&amp;'ORDENES'!$S519&amp;" | "&amp;IF('ORDENES'!$AC519="","(sin técnico)",'ORDENES'!$AC519)&amp;" | "&amp;'ORDENES'!$D519&amp;" ("&amp;'ORDENES'!$N519&amp;" h)","")</f>
        <v/>
      </c>
    </row>
    <row r="524">
      <c r="K524" s="3">
        <f>IF(AND(IF($B$3="(todos)",TRUE,'ORDENES'!$P520=$B$3),IF($D$3="(todos)",TRUE,'ORDENES'!$AD520=$D$3),IF($F$3="(todos)",TRUE,'ORDENES'!$W520=$F$3),'ORDENES'!$AB520=TRUE),'ORDENES'!$AO520&amp;" | "&amp;'ORDENES'!$S520&amp;" | "&amp;IF('ORDENES'!$AC520="","(sin técnico)",'ORDENES'!$AC520)&amp;" | "&amp;'ORDENES'!$D520&amp;" ("&amp;'ORDENES'!$N520&amp;" h)","")</f>
        <v/>
      </c>
    </row>
    <row r="525">
      <c r="K525" s="3">
        <f>IF(AND(IF($B$3="(todos)",TRUE,'ORDENES'!$P521=$B$3),IF($D$3="(todos)",TRUE,'ORDENES'!$AD521=$D$3),IF($F$3="(todos)",TRUE,'ORDENES'!$W521=$F$3),'ORDENES'!$AB521=TRUE),'ORDENES'!$AO521&amp;" | "&amp;'ORDENES'!$S521&amp;" | "&amp;IF('ORDENES'!$AC521="","(sin técnico)",'ORDENES'!$AC521)&amp;" | "&amp;'ORDENES'!$D521&amp;" ("&amp;'ORDENES'!$N521&amp;" h)","")</f>
        <v/>
      </c>
    </row>
    <row r="526">
      <c r="K526" s="3">
        <f>IF(AND(IF($B$3="(todos)",TRUE,'ORDENES'!$P522=$B$3),IF($D$3="(todos)",TRUE,'ORDENES'!$AD522=$D$3),IF($F$3="(todos)",TRUE,'ORDENES'!$W522=$F$3),'ORDENES'!$AB522=TRUE),'ORDENES'!$AO522&amp;" | "&amp;'ORDENES'!$S522&amp;" | "&amp;IF('ORDENES'!$AC522="","(sin técnico)",'ORDENES'!$AC522)&amp;" | "&amp;'ORDENES'!$D522&amp;" ("&amp;'ORDENES'!$N522&amp;" h)","")</f>
        <v/>
      </c>
    </row>
    <row r="527">
      <c r="K527" s="3">
        <f>IF(AND(IF($B$3="(todos)",TRUE,'ORDENES'!$P523=$B$3),IF($D$3="(todos)",TRUE,'ORDENES'!$AD523=$D$3),IF($F$3="(todos)",TRUE,'ORDENES'!$W523=$F$3),'ORDENES'!$AB523=TRUE),'ORDENES'!$AO523&amp;" | "&amp;'ORDENES'!$S523&amp;" | "&amp;IF('ORDENES'!$AC523="","(sin técnico)",'ORDENES'!$AC523)&amp;" | "&amp;'ORDENES'!$D523&amp;" ("&amp;'ORDENES'!$N523&amp;" h)","")</f>
        <v/>
      </c>
    </row>
    <row r="528">
      <c r="K528" s="3">
        <f>IF(AND(IF($B$3="(todos)",TRUE,'ORDENES'!$P524=$B$3),IF($D$3="(todos)",TRUE,'ORDENES'!$AD524=$D$3),IF($F$3="(todos)",TRUE,'ORDENES'!$W524=$F$3),'ORDENES'!$AB524=TRUE),'ORDENES'!$AO524&amp;" | "&amp;'ORDENES'!$S524&amp;" | "&amp;IF('ORDENES'!$AC524="","(sin técnico)",'ORDENES'!$AC524)&amp;" | "&amp;'ORDENES'!$D524&amp;" ("&amp;'ORDENES'!$N524&amp;" h)","")</f>
        <v/>
      </c>
    </row>
    <row r="529">
      <c r="K529" s="3">
        <f>IF(AND(IF($B$3="(todos)",TRUE,'ORDENES'!$P525=$B$3),IF($D$3="(todos)",TRUE,'ORDENES'!$AD525=$D$3),IF($F$3="(todos)",TRUE,'ORDENES'!$W525=$F$3),'ORDENES'!$AB525=TRUE),'ORDENES'!$AO525&amp;" | "&amp;'ORDENES'!$S525&amp;" | "&amp;IF('ORDENES'!$AC525="","(sin técnico)",'ORDENES'!$AC525)&amp;" | "&amp;'ORDENES'!$D525&amp;" ("&amp;'ORDENES'!$N525&amp;" h)","")</f>
        <v/>
      </c>
    </row>
    <row r="530">
      <c r="K530" s="3">
        <f>IF(AND(IF($B$3="(todos)",TRUE,'ORDENES'!$P526=$B$3),IF($D$3="(todos)",TRUE,'ORDENES'!$AD526=$D$3),IF($F$3="(todos)",TRUE,'ORDENES'!$W526=$F$3),'ORDENES'!$AB526=TRUE),'ORDENES'!$AO526&amp;" | "&amp;'ORDENES'!$S526&amp;" | "&amp;IF('ORDENES'!$AC526="","(sin técnico)",'ORDENES'!$AC526)&amp;" | "&amp;'ORDENES'!$D526&amp;" ("&amp;'ORDENES'!$N526&amp;" h)","")</f>
        <v/>
      </c>
    </row>
    <row r="531">
      <c r="K531" s="3">
        <f>IF(AND(IF($B$3="(todos)",TRUE,'ORDENES'!$P527=$B$3),IF($D$3="(todos)",TRUE,'ORDENES'!$AD527=$D$3),IF($F$3="(todos)",TRUE,'ORDENES'!$W527=$F$3),'ORDENES'!$AB527=TRUE),'ORDENES'!$AO527&amp;" | "&amp;'ORDENES'!$S527&amp;" | "&amp;IF('ORDENES'!$AC527="","(sin técnico)",'ORDENES'!$AC527)&amp;" | "&amp;'ORDENES'!$D527&amp;" ("&amp;'ORDENES'!$N527&amp;" h)","")</f>
        <v/>
      </c>
    </row>
    <row r="532">
      <c r="K532" s="3">
        <f>IF(AND(IF($B$3="(todos)",TRUE,'ORDENES'!$P528=$B$3),IF($D$3="(todos)",TRUE,'ORDENES'!$AD528=$D$3),IF($F$3="(todos)",TRUE,'ORDENES'!$W528=$F$3),'ORDENES'!$AB528=TRUE),'ORDENES'!$AO528&amp;" | "&amp;'ORDENES'!$S528&amp;" | "&amp;IF('ORDENES'!$AC528="","(sin técnico)",'ORDENES'!$AC528)&amp;" | "&amp;'ORDENES'!$D528&amp;" ("&amp;'ORDENES'!$N528&amp;" h)","")</f>
        <v/>
      </c>
    </row>
    <row r="533">
      <c r="K533" s="3">
        <f>IF(AND(IF($B$3="(todos)",TRUE,'ORDENES'!$P529=$B$3),IF($D$3="(todos)",TRUE,'ORDENES'!$AD529=$D$3),IF($F$3="(todos)",TRUE,'ORDENES'!$W529=$F$3),'ORDENES'!$AB529=TRUE),'ORDENES'!$AO529&amp;" | "&amp;'ORDENES'!$S529&amp;" | "&amp;IF('ORDENES'!$AC529="","(sin técnico)",'ORDENES'!$AC529)&amp;" | "&amp;'ORDENES'!$D529&amp;" ("&amp;'ORDENES'!$N529&amp;" h)","")</f>
        <v/>
      </c>
    </row>
    <row r="534">
      <c r="K534" s="3">
        <f>IF(AND(IF($B$3="(todos)",TRUE,'ORDENES'!$P530=$B$3),IF($D$3="(todos)",TRUE,'ORDENES'!$AD530=$D$3),IF($F$3="(todos)",TRUE,'ORDENES'!$W530=$F$3),'ORDENES'!$AB530=TRUE),'ORDENES'!$AO530&amp;" | "&amp;'ORDENES'!$S530&amp;" | "&amp;IF('ORDENES'!$AC530="","(sin técnico)",'ORDENES'!$AC530)&amp;" | "&amp;'ORDENES'!$D530&amp;" ("&amp;'ORDENES'!$N530&amp;" h)","")</f>
        <v/>
      </c>
    </row>
    <row r="535">
      <c r="K535" s="3">
        <f>IF(AND(IF($B$3="(todos)",TRUE,'ORDENES'!$P531=$B$3),IF($D$3="(todos)",TRUE,'ORDENES'!$AD531=$D$3),IF($F$3="(todos)",TRUE,'ORDENES'!$W531=$F$3),'ORDENES'!$AB531=TRUE),'ORDENES'!$AO531&amp;" | "&amp;'ORDENES'!$S531&amp;" | "&amp;IF('ORDENES'!$AC531="","(sin técnico)",'ORDENES'!$AC531)&amp;" | "&amp;'ORDENES'!$D531&amp;" ("&amp;'ORDENES'!$N531&amp;" h)","")</f>
        <v/>
      </c>
    </row>
    <row r="536">
      <c r="K536" s="3">
        <f>IF(AND(IF($B$3="(todos)",TRUE,'ORDENES'!$P532=$B$3),IF($D$3="(todos)",TRUE,'ORDENES'!$AD532=$D$3),IF($F$3="(todos)",TRUE,'ORDENES'!$W532=$F$3),'ORDENES'!$AB532=TRUE),'ORDENES'!$AO532&amp;" | "&amp;'ORDENES'!$S532&amp;" | "&amp;IF('ORDENES'!$AC532="","(sin técnico)",'ORDENES'!$AC532)&amp;" | "&amp;'ORDENES'!$D532&amp;" ("&amp;'ORDENES'!$N532&amp;" h)","")</f>
        <v/>
      </c>
    </row>
    <row r="537">
      <c r="K537" s="3">
        <f>IF(AND(IF($B$3="(todos)",TRUE,'ORDENES'!$P533=$B$3),IF($D$3="(todos)",TRUE,'ORDENES'!$AD533=$D$3),IF($F$3="(todos)",TRUE,'ORDENES'!$W533=$F$3),'ORDENES'!$AB533=TRUE),'ORDENES'!$AO533&amp;" | "&amp;'ORDENES'!$S533&amp;" | "&amp;IF('ORDENES'!$AC533="","(sin técnico)",'ORDENES'!$AC533)&amp;" | "&amp;'ORDENES'!$D533&amp;" ("&amp;'ORDENES'!$N533&amp;" h)","")</f>
        <v/>
      </c>
    </row>
    <row r="538">
      <c r="K538" s="3">
        <f>IF(AND(IF($B$3="(todos)",TRUE,'ORDENES'!$P534=$B$3),IF($D$3="(todos)",TRUE,'ORDENES'!$AD534=$D$3),IF($F$3="(todos)",TRUE,'ORDENES'!$W534=$F$3),'ORDENES'!$AB534=TRUE),'ORDENES'!$AO534&amp;" | "&amp;'ORDENES'!$S534&amp;" | "&amp;IF('ORDENES'!$AC534="","(sin técnico)",'ORDENES'!$AC534)&amp;" | "&amp;'ORDENES'!$D534&amp;" ("&amp;'ORDENES'!$N534&amp;" h)","")</f>
        <v/>
      </c>
    </row>
    <row r="539">
      <c r="K539" s="3">
        <f>IF(AND(IF($B$3="(todos)",TRUE,'ORDENES'!$P535=$B$3),IF($D$3="(todos)",TRUE,'ORDENES'!$AD535=$D$3),IF($F$3="(todos)",TRUE,'ORDENES'!$W535=$F$3),'ORDENES'!$AB535=TRUE),'ORDENES'!$AO535&amp;" | "&amp;'ORDENES'!$S535&amp;" | "&amp;IF('ORDENES'!$AC535="","(sin técnico)",'ORDENES'!$AC535)&amp;" | "&amp;'ORDENES'!$D535&amp;" ("&amp;'ORDENES'!$N535&amp;" h)","")</f>
        <v/>
      </c>
    </row>
    <row r="540">
      <c r="K540" s="3">
        <f>IF(AND(IF($B$3="(todos)",TRUE,'ORDENES'!$P536=$B$3),IF($D$3="(todos)",TRUE,'ORDENES'!$AD536=$D$3),IF($F$3="(todos)",TRUE,'ORDENES'!$W536=$F$3),'ORDENES'!$AB536=TRUE),'ORDENES'!$AO536&amp;" | "&amp;'ORDENES'!$S536&amp;" | "&amp;IF('ORDENES'!$AC536="","(sin técnico)",'ORDENES'!$AC536)&amp;" | "&amp;'ORDENES'!$D536&amp;" ("&amp;'ORDENES'!$N536&amp;" h)","")</f>
        <v/>
      </c>
    </row>
    <row r="541">
      <c r="K541" s="3">
        <f>IF(AND(IF($B$3="(todos)",TRUE,'ORDENES'!$P537=$B$3),IF($D$3="(todos)",TRUE,'ORDENES'!$AD537=$D$3),IF($F$3="(todos)",TRUE,'ORDENES'!$W537=$F$3),'ORDENES'!$AB537=TRUE),'ORDENES'!$AO537&amp;" | "&amp;'ORDENES'!$S537&amp;" | "&amp;IF('ORDENES'!$AC537="","(sin técnico)",'ORDENES'!$AC537)&amp;" | "&amp;'ORDENES'!$D537&amp;" ("&amp;'ORDENES'!$N537&amp;" h)","")</f>
        <v/>
      </c>
    </row>
    <row r="542">
      <c r="K542" s="3">
        <f>IF(AND(IF($B$3="(todos)",TRUE,'ORDENES'!$P538=$B$3),IF($D$3="(todos)",TRUE,'ORDENES'!$AD538=$D$3),IF($F$3="(todos)",TRUE,'ORDENES'!$W538=$F$3),'ORDENES'!$AB538=TRUE),'ORDENES'!$AO538&amp;" | "&amp;'ORDENES'!$S538&amp;" | "&amp;IF('ORDENES'!$AC538="","(sin técnico)",'ORDENES'!$AC538)&amp;" | "&amp;'ORDENES'!$D538&amp;" ("&amp;'ORDENES'!$N538&amp;" h)","")</f>
        <v/>
      </c>
    </row>
    <row r="543">
      <c r="K543" s="3">
        <f>IF(AND(IF($B$3="(todos)",TRUE,'ORDENES'!$P539=$B$3),IF($D$3="(todos)",TRUE,'ORDENES'!$AD539=$D$3),IF($F$3="(todos)",TRUE,'ORDENES'!$W539=$F$3),'ORDENES'!$AB539=TRUE),'ORDENES'!$AO539&amp;" | "&amp;'ORDENES'!$S539&amp;" | "&amp;IF('ORDENES'!$AC539="","(sin técnico)",'ORDENES'!$AC539)&amp;" | "&amp;'ORDENES'!$D539&amp;" ("&amp;'ORDENES'!$N539&amp;" h)","")</f>
        <v/>
      </c>
    </row>
    <row r="544">
      <c r="K544" s="3">
        <f>IF(AND(IF($B$3="(todos)",TRUE,'ORDENES'!$P540=$B$3),IF($D$3="(todos)",TRUE,'ORDENES'!$AD540=$D$3),IF($F$3="(todos)",TRUE,'ORDENES'!$W540=$F$3),'ORDENES'!$AB540=TRUE),'ORDENES'!$AO540&amp;" | "&amp;'ORDENES'!$S540&amp;" | "&amp;IF('ORDENES'!$AC540="","(sin técnico)",'ORDENES'!$AC540)&amp;" | "&amp;'ORDENES'!$D540&amp;" ("&amp;'ORDENES'!$N540&amp;" h)","")</f>
        <v/>
      </c>
    </row>
    <row r="545">
      <c r="K545" s="3">
        <f>IF(AND(IF($B$3="(todos)",TRUE,'ORDENES'!$P541=$B$3),IF($D$3="(todos)",TRUE,'ORDENES'!$AD541=$D$3),IF($F$3="(todos)",TRUE,'ORDENES'!$W541=$F$3),'ORDENES'!$AB541=TRUE),'ORDENES'!$AO541&amp;" | "&amp;'ORDENES'!$S541&amp;" | "&amp;IF('ORDENES'!$AC541="","(sin técnico)",'ORDENES'!$AC541)&amp;" | "&amp;'ORDENES'!$D541&amp;" ("&amp;'ORDENES'!$N541&amp;" h)","")</f>
        <v/>
      </c>
    </row>
    <row r="546">
      <c r="K546" s="3">
        <f>IF(AND(IF($B$3="(todos)",TRUE,'ORDENES'!$P542=$B$3),IF($D$3="(todos)",TRUE,'ORDENES'!$AD542=$D$3),IF($F$3="(todos)",TRUE,'ORDENES'!$W542=$F$3),'ORDENES'!$AB542=TRUE),'ORDENES'!$AO542&amp;" | "&amp;'ORDENES'!$S542&amp;" | "&amp;IF('ORDENES'!$AC542="","(sin técnico)",'ORDENES'!$AC542)&amp;" | "&amp;'ORDENES'!$D542&amp;" ("&amp;'ORDENES'!$N542&amp;" h)","")</f>
        <v/>
      </c>
    </row>
    <row r="547">
      <c r="K547" s="3">
        <f>IF(AND(IF($B$3="(todos)",TRUE,'ORDENES'!$P543=$B$3),IF($D$3="(todos)",TRUE,'ORDENES'!$AD543=$D$3),IF($F$3="(todos)",TRUE,'ORDENES'!$W543=$F$3),'ORDENES'!$AB543=TRUE),'ORDENES'!$AO543&amp;" | "&amp;'ORDENES'!$S543&amp;" | "&amp;IF('ORDENES'!$AC543="","(sin técnico)",'ORDENES'!$AC543)&amp;" | "&amp;'ORDENES'!$D543&amp;" ("&amp;'ORDENES'!$N543&amp;" h)","")</f>
        <v/>
      </c>
    </row>
    <row r="548">
      <c r="K548" s="3">
        <f>IF(AND(IF($B$3="(todos)",TRUE,'ORDENES'!$P544=$B$3),IF($D$3="(todos)",TRUE,'ORDENES'!$AD544=$D$3),IF($F$3="(todos)",TRUE,'ORDENES'!$W544=$F$3),'ORDENES'!$AB544=TRUE),'ORDENES'!$AO544&amp;" | "&amp;'ORDENES'!$S544&amp;" | "&amp;IF('ORDENES'!$AC544="","(sin técnico)",'ORDENES'!$AC544)&amp;" | "&amp;'ORDENES'!$D544&amp;" ("&amp;'ORDENES'!$N544&amp;" h)","")</f>
        <v/>
      </c>
    </row>
    <row r="549">
      <c r="K549" s="3">
        <f>IF(AND(IF($B$3="(todos)",TRUE,'ORDENES'!$P545=$B$3),IF($D$3="(todos)",TRUE,'ORDENES'!$AD545=$D$3),IF($F$3="(todos)",TRUE,'ORDENES'!$W545=$F$3),'ORDENES'!$AB545=TRUE),'ORDENES'!$AO545&amp;" | "&amp;'ORDENES'!$S545&amp;" | "&amp;IF('ORDENES'!$AC545="","(sin técnico)",'ORDENES'!$AC545)&amp;" | "&amp;'ORDENES'!$D545&amp;" ("&amp;'ORDENES'!$N545&amp;" h)","")</f>
        <v/>
      </c>
    </row>
    <row r="550">
      <c r="K550" s="3">
        <f>IF(AND(IF($B$3="(todos)",TRUE,'ORDENES'!$P546=$B$3),IF($D$3="(todos)",TRUE,'ORDENES'!$AD546=$D$3),IF($F$3="(todos)",TRUE,'ORDENES'!$W546=$F$3),'ORDENES'!$AB546=TRUE),'ORDENES'!$AO546&amp;" | "&amp;'ORDENES'!$S546&amp;" | "&amp;IF('ORDENES'!$AC546="","(sin técnico)",'ORDENES'!$AC546)&amp;" | "&amp;'ORDENES'!$D546&amp;" ("&amp;'ORDENES'!$N546&amp;" h)","")</f>
        <v/>
      </c>
    </row>
    <row r="551">
      <c r="K551" s="3">
        <f>IF(AND(IF($B$3="(todos)",TRUE,'ORDENES'!$P547=$B$3),IF($D$3="(todos)",TRUE,'ORDENES'!$AD547=$D$3),IF($F$3="(todos)",TRUE,'ORDENES'!$W547=$F$3),'ORDENES'!$AB547=TRUE),'ORDENES'!$AO547&amp;" | "&amp;'ORDENES'!$S547&amp;" | "&amp;IF('ORDENES'!$AC547="","(sin técnico)",'ORDENES'!$AC547)&amp;" | "&amp;'ORDENES'!$D547&amp;" ("&amp;'ORDENES'!$N547&amp;" h)","")</f>
        <v/>
      </c>
    </row>
    <row r="552">
      <c r="K552" s="3">
        <f>IF(AND(IF($B$3="(todos)",TRUE,'ORDENES'!$P548=$B$3),IF($D$3="(todos)",TRUE,'ORDENES'!$AD548=$D$3),IF($F$3="(todos)",TRUE,'ORDENES'!$W548=$F$3),'ORDENES'!$AB548=TRUE),'ORDENES'!$AO548&amp;" | "&amp;'ORDENES'!$S548&amp;" | "&amp;IF('ORDENES'!$AC548="","(sin técnico)",'ORDENES'!$AC548)&amp;" | "&amp;'ORDENES'!$D548&amp;" ("&amp;'ORDENES'!$N548&amp;" h)","")</f>
        <v/>
      </c>
    </row>
    <row r="553">
      <c r="K553" s="3">
        <f>IF(AND(IF($B$3="(todos)",TRUE,'ORDENES'!$P549=$B$3),IF($D$3="(todos)",TRUE,'ORDENES'!$AD549=$D$3),IF($F$3="(todos)",TRUE,'ORDENES'!$W549=$F$3),'ORDENES'!$AB549=TRUE),'ORDENES'!$AO549&amp;" | "&amp;'ORDENES'!$S549&amp;" | "&amp;IF('ORDENES'!$AC549="","(sin técnico)",'ORDENES'!$AC549)&amp;" | "&amp;'ORDENES'!$D549&amp;" ("&amp;'ORDENES'!$N549&amp;" h)","")</f>
        <v/>
      </c>
    </row>
    <row r="554">
      <c r="K554" s="3">
        <f>IF(AND(IF($B$3="(todos)",TRUE,'ORDENES'!$P550=$B$3),IF($D$3="(todos)",TRUE,'ORDENES'!$AD550=$D$3),IF($F$3="(todos)",TRUE,'ORDENES'!$W550=$F$3),'ORDENES'!$AB550=TRUE),'ORDENES'!$AO550&amp;" | "&amp;'ORDENES'!$S550&amp;" | "&amp;IF('ORDENES'!$AC550="","(sin técnico)",'ORDENES'!$AC550)&amp;" | "&amp;'ORDENES'!$D550&amp;" ("&amp;'ORDENES'!$N550&amp;" h)","")</f>
        <v/>
      </c>
    </row>
    <row r="555">
      <c r="K555" s="3">
        <f>IF(AND(IF($B$3="(todos)",TRUE,'ORDENES'!$P551=$B$3),IF($D$3="(todos)",TRUE,'ORDENES'!$AD551=$D$3),IF($F$3="(todos)",TRUE,'ORDENES'!$W551=$F$3),'ORDENES'!$AB551=TRUE),'ORDENES'!$AO551&amp;" | "&amp;'ORDENES'!$S551&amp;" | "&amp;IF('ORDENES'!$AC551="","(sin técnico)",'ORDENES'!$AC551)&amp;" | "&amp;'ORDENES'!$D551&amp;" ("&amp;'ORDENES'!$N551&amp;" h)","")</f>
        <v/>
      </c>
    </row>
    <row r="556">
      <c r="K556" s="3">
        <f>IF(AND(IF($B$3="(todos)",TRUE,'ORDENES'!$P552=$B$3),IF($D$3="(todos)",TRUE,'ORDENES'!$AD552=$D$3),IF($F$3="(todos)",TRUE,'ORDENES'!$W552=$F$3),'ORDENES'!$AB552=TRUE),'ORDENES'!$AO552&amp;" | "&amp;'ORDENES'!$S552&amp;" | "&amp;IF('ORDENES'!$AC552="","(sin técnico)",'ORDENES'!$AC552)&amp;" | "&amp;'ORDENES'!$D552&amp;" ("&amp;'ORDENES'!$N552&amp;" h)","")</f>
        <v/>
      </c>
    </row>
    <row r="557">
      <c r="K557" s="3">
        <f>IF(AND(IF($B$3="(todos)",TRUE,'ORDENES'!$P553=$B$3),IF($D$3="(todos)",TRUE,'ORDENES'!$AD553=$D$3),IF($F$3="(todos)",TRUE,'ORDENES'!$W553=$F$3),'ORDENES'!$AB553=TRUE),'ORDENES'!$AO553&amp;" | "&amp;'ORDENES'!$S553&amp;" | "&amp;IF('ORDENES'!$AC553="","(sin técnico)",'ORDENES'!$AC553)&amp;" | "&amp;'ORDENES'!$D553&amp;" ("&amp;'ORDENES'!$N553&amp;" h)","")</f>
        <v/>
      </c>
    </row>
    <row r="558">
      <c r="K558" s="3">
        <f>IF(AND(IF($B$3="(todos)",TRUE,'ORDENES'!$P554=$B$3),IF($D$3="(todos)",TRUE,'ORDENES'!$AD554=$D$3),IF($F$3="(todos)",TRUE,'ORDENES'!$W554=$F$3),'ORDENES'!$AB554=TRUE),'ORDENES'!$AO554&amp;" | "&amp;'ORDENES'!$S554&amp;" | "&amp;IF('ORDENES'!$AC554="","(sin técnico)",'ORDENES'!$AC554)&amp;" | "&amp;'ORDENES'!$D554&amp;" ("&amp;'ORDENES'!$N554&amp;" h)","")</f>
        <v/>
      </c>
    </row>
    <row r="559">
      <c r="K559" s="3">
        <f>IF(AND(IF($B$3="(todos)",TRUE,'ORDENES'!$P555=$B$3),IF($D$3="(todos)",TRUE,'ORDENES'!$AD555=$D$3),IF($F$3="(todos)",TRUE,'ORDENES'!$W555=$F$3),'ORDENES'!$AB555=TRUE),'ORDENES'!$AO555&amp;" | "&amp;'ORDENES'!$S555&amp;" | "&amp;IF('ORDENES'!$AC555="","(sin técnico)",'ORDENES'!$AC555)&amp;" | "&amp;'ORDENES'!$D555&amp;" ("&amp;'ORDENES'!$N555&amp;" h)","")</f>
        <v/>
      </c>
    </row>
    <row r="560">
      <c r="K560" s="3">
        <f>IF(AND(IF($B$3="(todos)",TRUE,'ORDENES'!$P556=$B$3),IF($D$3="(todos)",TRUE,'ORDENES'!$AD556=$D$3),IF($F$3="(todos)",TRUE,'ORDENES'!$W556=$F$3),'ORDENES'!$AB556=TRUE),'ORDENES'!$AO556&amp;" | "&amp;'ORDENES'!$S556&amp;" | "&amp;IF('ORDENES'!$AC556="","(sin técnico)",'ORDENES'!$AC556)&amp;" | "&amp;'ORDENES'!$D556&amp;" ("&amp;'ORDENES'!$N556&amp;" h)","")</f>
        <v/>
      </c>
    </row>
    <row r="561">
      <c r="K561" s="3">
        <f>IF(AND(IF($B$3="(todos)",TRUE,'ORDENES'!$P557=$B$3),IF($D$3="(todos)",TRUE,'ORDENES'!$AD557=$D$3),IF($F$3="(todos)",TRUE,'ORDENES'!$W557=$F$3),'ORDENES'!$AB557=TRUE),'ORDENES'!$AO557&amp;" | "&amp;'ORDENES'!$S557&amp;" | "&amp;IF('ORDENES'!$AC557="","(sin técnico)",'ORDENES'!$AC557)&amp;" | "&amp;'ORDENES'!$D557&amp;" ("&amp;'ORDENES'!$N557&amp;" h)","")</f>
        <v/>
      </c>
    </row>
    <row r="562">
      <c r="K562" s="3">
        <f>IF(AND(IF($B$3="(todos)",TRUE,'ORDENES'!$P558=$B$3),IF($D$3="(todos)",TRUE,'ORDENES'!$AD558=$D$3),IF($F$3="(todos)",TRUE,'ORDENES'!$W558=$F$3),'ORDENES'!$AB558=TRUE),'ORDENES'!$AO558&amp;" | "&amp;'ORDENES'!$S558&amp;" | "&amp;IF('ORDENES'!$AC558="","(sin técnico)",'ORDENES'!$AC558)&amp;" | "&amp;'ORDENES'!$D558&amp;" ("&amp;'ORDENES'!$N558&amp;" h)","")</f>
        <v/>
      </c>
    </row>
    <row r="563">
      <c r="K563" s="3">
        <f>IF(AND(IF($B$3="(todos)",TRUE,'ORDENES'!$P559=$B$3),IF($D$3="(todos)",TRUE,'ORDENES'!$AD559=$D$3),IF($F$3="(todos)",TRUE,'ORDENES'!$W559=$F$3),'ORDENES'!$AB559=TRUE),'ORDENES'!$AO559&amp;" | "&amp;'ORDENES'!$S559&amp;" | "&amp;IF('ORDENES'!$AC559="","(sin técnico)",'ORDENES'!$AC559)&amp;" | "&amp;'ORDENES'!$D559&amp;" ("&amp;'ORDENES'!$N559&amp;" h)","")</f>
        <v/>
      </c>
    </row>
    <row r="564">
      <c r="K564" s="3">
        <f>IF(AND(IF($B$3="(todos)",TRUE,'ORDENES'!$P560=$B$3),IF($D$3="(todos)",TRUE,'ORDENES'!$AD560=$D$3),IF($F$3="(todos)",TRUE,'ORDENES'!$W560=$F$3),'ORDENES'!$AB560=TRUE),'ORDENES'!$AO560&amp;" | "&amp;'ORDENES'!$S560&amp;" | "&amp;IF('ORDENES'!$AC560="","(sin técnico)",'ORDENES'!$AC560)&amp;" | "&amp;'ORDENES'!$D560&amp;" ("&amp;'ORDENES'!$N560&amp;" h)","")</f>
        <v/>
      </c>
    </row>
    <row r="565">
      <c r="K565" s="3">
        <f>IF(AND(IF($B$3="(todos)",TRUE,'ORDENES'!$P561=$B$3),IF($D$3="(todos)",TRUE,'ORDENES'!$AD561=$D$3),IF($F$3="(todos)",TRUE,'ORDENES'!$W561=$F$3),'ORDENES'!$AB561=TRUE),'ORDENES'!$AO561&amp;" | "&amp;'ORDENES'!$S561&amp;" | "&amp;IF('ORDENES'!$AC561="","(sin técnico)",'ORDENES'!$AC561)&amp;" | "&amp;'ORDENES'!$D561&amp;" ("&amp;'ORDENES'!$N561&amp;" h)","")</f>
        <v/>
      </c>
    </row>
    <row r="566">
      <c r="K566" s="3">
        <f>IF(AND(IF($B$3="(todos)",TRUE,'ORDENES'!$P562=$B$3),IF($D$3="(todos)",TRUE,'ORDENES'!$AD562=$D$3),IF($F$3="(todos)",TRUE,'ORDENES'!$W562=$F$3),'ORDENES'!$AB562=TRUE),'ORDENES'!$AO562&amp;" | "&amp;'ORDENES'!$S562&amp;" | "&amp;IF('ORDENES'!$AC562="","(sin técnico)",'ORDENES'!$AC562)&amp;" | "&amp;'ORDENES'!$D562&amp;" ("&amp;'ORDENES'!$N562&amp;" h)","")</f>
        <v/>
      </c>
    </row>
    <row r="567">
      <c r="K567" s="3">
        <f>IF(AND(IF($B$3="(todos)",TRUE,'ORDENES'!$P563=$B$3),IF($D$3="(todos)",TRUE,'ORDENES'!$AD563=$D$3),IF($F$3="(todos)",TRUE,'ORDENES'!$W563=$F$3),'ORDENES'!$AB563=TRUE),'ORDENES'!$AO563&amp;" | "&amp;'ORDENES'!$S563&amp;" | "&amp;IF('ORDENES'!$AC563="","(sin técnico)",'ORDENES'!$AC563)&amp;" | "&amp;'ORDENES'!$D563&amp;" ("&amp;'ORDENES'!$N563&amp;" h)","")</f>
        <v/>
      </c>
    </row>
    <row r="568">
      <c r="K568" s="3">
        <f>IF(AND(IF($B$3="(todos)",TRUE,'ORDENES'!$P564=$B$3),IF($D$3="(todos)",TRUE,'ORDENES'!$AD564=$D$3),IF($F$3="(todos)",TRUE,'ORDENES'!$W564=$F$3),'ORDENES'!$AB564=TRUE),'ORDENES'!$AO564&amp;" | "&amp;'ORDENES'!$S564&amp;" | "&amp;IF('ORDENES'!$AC564="","(sin técnico)",'ORDENES'!$AC564)&amp;" | "&amp;'ORDENES'!$D564&amp;" ("&amp;'ORDENES'!$N564&amp;" h)","")</f>
        <v/>
      </c>
    </row>
    <row r="569">
      <c r="K569" s="3">
        <f>IF(AND(IF($B$3="(todos)",TRUE,'ORDENES'!$P565=$B$3),IF($D$3="(todos)",TRUE,'ORDENES'!$AD565=$D$3),IF($F$3="(todos)",TRUE,'ORDENES'!$W565=$F$3),'ORDENES'!$AB565=TRUE),'ORDENES'!$AO565&amp;" | "&amp;'ORDENES'!$S565&amp;" | "&amp;IF('ORDENES'!$AC565="","(sin técnico)",'ORDENES'!$AC565)&amp;" | "&amp;'ORDENES'!$D565&amp;" ("&amp;'ORDENES'!$N565&amp;" h)","")</f>
        <v/>
      </c>
    </row>
    <row r="570">
      <c r="K570" s="3">
        <f>IF(AND(IF($B$3="(todos)",TRUE,'ORDENES'!$P566=$B$3),IF($D$3="(todos)",TRUE,'ORDENES'!$AD566=$D$3),IF($F$3="(todos)",TRUE,'ORDENES'!$W566=$F$3),'ORDENES'!$AB566=TRUE),'ORDENES'!$AO566&amp;" | "&amp;'ORDENES'!$S566&amp;" | "&amp;IF('ORDENES'!$AC566="","(sin técnico)",'ORDENES'!$AC566)&amp;" | "&amp;'ORDENES'!$D566&amp;" ("&amp;'ORDENES'!$N566&amp;" h)","")</f>
        <v/>
      </c>
    </row>
    <row r="571">
      <c r="K571" s="3">
        <f>IF(AND(IF($B$3="(todos)",TRUE,'ORDENES'!$P567=$B$3),IF($D$3="(todos)",TRUE,'ORDENES'!$AD567=$D$3),IF($F$3="(todos)",TRUE,'ORDENES'!$W567=$F$3),'ORDENES'!$AB567=TRUE),'ORDENES'!$AO567&amp;" | "&amp;'ORDENES'!$S567&amp;" | "&amp;IF('ORDENES'!$AC567="","(sin técnico)",'ORDENES'!$AC567)&amp;" | "&amp;'ORDENES'!$D567&amp;" ("&amp;'ORDENES'!$N567&amp;" h)","")</f>
        <v/>
      </c>
    </row>
    <row r="572">
      <c r="K572" s="3">
        <f>IF(AND(IF($B$3="(todos)",TRUE,'ORDENES'!$P568=$B$3),IF($D$3="(todos)",TRUE,'ORDENES'!$AD568=$D$3),IF($F$3="(todos)",TRUE,'ORDENES'!$W568=$F$3),'ORDENES'!$AB568=TRUE),'ORDENES'!$AO568&amp;" | "&amp;'ORDENES'!$S568&amp;" | "&amp;IF('ORDENES'!$AC568="","(sin técnico)",'ORDENES'!$AC568)&amp;" | "&amp;'ORDENES'!$D568&amp;" ("&amp;'ORDENES'!$N568&amp;" h)","")</f>
        <v/>
      </c>
    </row>
    <row r="573">
      <c r="K573" s="3">
        <f>IF(AND(IF($B$3="(todos)",TRUE,'ORDENES'!$P569=$B$3),IF($D$3="(todos)",TRUE,'ORDENES'!$AD569=$D$3),IF($F$3="(todos)",TRUE,'ORDENES'!$W569=$F$3),'ORDENES'!$AB569=TRUE),'ORDENES'!$AO569&amp;" | "&amp;'ORDENES'!$S569&amp;" | "&amp;IF('ORDENES'!$AC569="","(sin técnico)",'ORDENES'!$AC569)&amp;" | "&amp;'ORDENES'!$D569&amp;" ("&amp;'ORDENES'!$N569&amp;" h)","")</f>
        <v/>
      </c>
    </row>
    <row r="574">
      <c r="K574" s="3">
        <f>IF(AND(IF($B$3="(todos)",TRUE,'ORDENES'!$P570=$B$3),IF($D$3="(todos)",TRUE,'ORDENES'!$AD570=$D$3),IF($F$3="(todos)",TRUE,'ORDENES'!$W570=$F$3),'ORDENES'!$AB570=TRUE),'ORDENES'!$AO570&amp;" | "&amp;'ORDENES'!$S570&amp;" | "&amp;IF('ORDENES'!$AC570="","(sin técnico)",'ORDENES'!$AC570)&amp;" | "&amp;'ORDENES'!$D570&amp;" ("&amp;'ORDENES'!$N570&amp;" h)","")</f>
        <v/>
      </c>
    </row>
    <row r="575">
      <c r="K575" s="3">
        <f>IF(AND(IF($B$3="(todos)",TRUE,'ORDENES'!$P571=$B$3),IF($D$3="(todos)",TRUE,'ORDENES'!$AD571=$D$3),IF($F$3="(todos)",TRUE,'ORDENES'!$W571=$F$3),'ORDENES'!$AB571=TRUE),'ORDENES'!$AO571&amp;" | "&amp;'ORDENES'!$S571&amp;" | "&amp;IF('ORDENES'!$AC571="","(sin técnico)",'ORDENES'!$AC571)&amp;" | "&amp;'ORDENES'!$D571&amp;" ("&amp;'ORDENES'!$N571&amp;" h)","")</f>
        <v/>
      </c>
    </row>
    <row r="576">
      <c r="K576" s="3">
        <f>IF(AND(IF($B$3="(todos)",TRUE,'ORDENES'!$P572=$B$3),IF($D$3="(todos)",TRUE,'ORDENES'!$AD572=$D$3),IF($F$3="(todos)",TRUE,'ORDENES'!$W572=$F$3),'ORDENES'!$AB572=TRUE),'ORDENES'!$AO572&amp;" | "&amp;'ORDENES'!$S572&amp;" | "&amp;IF('ORDENES'!$AC572="","(sin técnico)",'ORDENES'!$AC572)&amp;" | "&amp;'ORDENES'!$D572&amp;" ("&amp;'ORDENES'!$N572&amp;" h)","")</f>
        <v/>
      </c>
    </row>
    <row r="577">
      <c r="K577" s="3">
        <f>IF(AND(IF($B$3="(todos)",TRUE,'ORDENES'!$P573=$B$3),IF($D$3="(todos)",TRUE,'ORDENES'!$AD573=$D$3),IF($F$3="(todos)",TRUE,'ORDENES'!$W573=$F$3),'ORDENES'!$AB573=TRUE),'ORDENES'!$AO573&amp;" | "&amp;'ORDENES'!$S573&amp;" | "&amp;IF('ORDENES'!$AC573="","(sin técnico)",'ORDENES'!$AC573)&amp;" | "&amp;'ORDENES'!$D573&amp;" ("&amp;'ORDENES'!$N573&amp;" h)","")</f>
        <v/>
      </c>
    </row>
    <row r="578">
      <c r="K578" s="3">
        <f>IF(AND(IF($B$3="(todos)",TRUE,'ORDENES'!$P574=$B$3),IF($D$3="(todos)",TRUE,'ORDENES'!$AD574=$D$3),IF($F$3="(todos)",TRUE,'ORDENES'!$W574=$F$3),'ORDENES'!$AB574=TRUE),'ORDENES'!$AO574&amp;" | "&amp;'ORDENES'!$S574&amp;" | "&amp;IF('ORDENES'!$AC574="","(sin técnico)",'ORDENES'!$AC574)&amp;" | "&amp;'ORDENES'!$D574&amp;" ("&amp;'ORDENES'!$N574&amp;" h)","")</f>
        <v/>
      </c>
    </row>
    <row r="579">
      <c r="K579" s="3">
        <f>IF(AND(IF($B$3="(todos)",TRUE,'ORDENES'!$P575=$B$3),IF($D$3="(todos)",TRUE,'ORDENES'!$AD575=$D$3),IF($F$3="(todos)",TRUE,'ORDENES'!$W575=$F$3),'ORDENES'!$AB575=TRUE),'ORDENES'!$AO575&amp;" | "&amp;'ORDENES'!$S575&amp;" | "&amp;IF('ORDENES'!$AC575="","(sin técnico)",'ORDENES'!$AC575)&amp;" | "&amp;'ORDENES'!$D575&amp;" ("&amp;'ORDENES'!$N575&amp;" h)","")</f>
        <v/>
      </c>
    </row>
    <row r="580">
      <c r="K580" s="3">
        <f>IF(AND(IF($B$3="(todos)",TRUE,'ORDENES'!$P576=$B$3),IF($D$3="(todos)",TRUE,'ORDENES'!$AD576=$D$3),IF($F$3="(todos)",TRUE,'ORDENES'!$W576=$F$3),'ORDENES'!$AB576=TRUE),'ORDENES'!$AO576&amp;" | "&amp;'ORDENES'!$S576&amp;" | "&amp;IF('ORDENES'!$AC576="","(sin técnico)",'ORDENES'!$AC576)&amp;" | "&amp;'ORDENES'!$D576&amp;" ("&amp;'ORDENES'!$N576&amp;" h)","")</f>
        <v/>
      </c>
    </row>
    <row r="581">
      <c r="K581" s="3">
        <f>IF(AND(IF($B$3="(todos)",TRUE,'ORDENES'!$P577=$B$3),IF($D$3="(todos)",TRUE,'ORDENES'!$AD577=$D$3),IF($F$3="(todos)",TRUE,'ORDENES'!$W577=$F$3),'ORDENES'!$AB577=TRUE),'ORDENES'!$AO577&amp;" | "&amp;'ORDENES'!$S577&amp;" | "&amp;IF('ORDENES'!$AC577="","(sin técnico)",'ORDENES'!$AC577)&amp;" | "&amp;'ORDENES'!$D577&amp;" ("&amp;'ORDENES'!$N577&amp;" h)","")</f>
        <v/>
      </c>
    </row>
    <row r="582">
      <c r="K582" s="3">
        <f>IF(AND(IF($B$3="(todos)",TRUE,'ORDENES'!$P578=$B$3),IF($D$3="(todos)",TRUE,'ORDENES'!$AD578=$D$3),IF($F$3="(todos)",TRUE,'ORDENES'!$W578=$F$3),'ORDENES'!$AB578=TRUE),'ORDENES'!$AO578&amp;" | "&amp;'ORDENES'!$S578&amp;" | "&amp;IF('ORDENES'!$AC578="","(sin técnico)",'ORDENES'!$AC578)&amp;" | "&amp;'ORDENES'!$D578&amp;" ("&amp;'ORDENES'!$N578&amp;" h)","")</f>
        <v/>
      </c>
    </row>
    <row r="583">
      <c r="K583" s="3">
        <f>IF(AND(IF($B$3="(todos)",TRUE,'ORDENES'!$P579=$B$3),IF($D$3="(todos)",TRUE,'ORDENES'!$AD579=$D$3),IF($F$3="(todos)",TRUE,'ORDENES'!$W579=$F$3),'ORDENES'!$AB579=TRUE),'ORDENES'!$AO579&amp;" | "&amp;'ORDENES'!$S579&amp;" | "&amp;IF('ORDENES'!$AC579="","(sin técnico)",'ORDENES'!$AC579)&amp;" | "&amp;'ORDENES'!$D579&amp;" ("&amp;'ORDENES'!$N579&amp;" h)","")</f>
        <v/>
      </c>
    </row>
    <row r="584">
      <c r="K584" s="3">
        <f>IF(AND(IF($B$3="(todos)",TRUE,'ORDENES'!$P580=$B$3),IF($D$3="(todos)",TRUE,'ORDENES'!$AD580=$D$3),IF($F$3="(todos)",TRUE,'ORDENES'!$W580=$F$3),'ORDENES'!$AB580=TRUE),'ORDENES'!$AO580&amp;" | "&amp;'ORDENES'!$S580&amp;" | "&amp;IF('ORDENES'!$AC580="","(sin técnico)",'ORDENES'!$AC580)&amp;" | "&amp;'ORDENES'!$D580&amp;" ("&amp;'ORDENES'!$N580&amp;" h)","")</f>
        <v/>
      </c>
    </row>
    <row r="585">
      <c r="K585" s="3">
        <f>IF(AND(IF($B$3="(todos)",TRUE,'ORDENES'!$P581=$B$3),IF($D$3="(todos)",TRUE,'ORDENES'!$AD581=$D$3),IF($F$3="(todos)",TRUE,'ORDENES'!$W581=$F$3),'ORDENES'!$AB581=TRUE),'ORDENES'!$AO581&amp;" | "&amp;'ORDENES'!$S581&amp;" | "&amp;IF('ORDENES'!$AC581="","(sin técnico)",'ORDENES'!$AC581)&amp;" | "&amp;'ORDENES'!$D581&amp;" ("&amp;'ORDENES'!$N581&amp;" h)","")</f>
        <v/>
      </c>
    </row>
    <row r="586">
      <c r="K586" s="3">
        <f>IF(AND(IF($B$3="(todos)",TRUE,'ORDENES'!$P582=$B$3),IF($D$3="(todos)",TRUE,'ORDENES'!$AD582=$D$3),IF($F$3="(todos)",TRUE,'ORDENES'!$W582=$F$3),'ORDENES'!$AB582=TRUE),'ORDENES'!$AO582&amp;" | "&amp;'ORDENES'!$S582&amp;" | "&amp;IF('ORDENES'!$AC582="","(sin técnico)",'ORDENES'!$AC582)&amp;" | "&amp;'ORDENES'!$D582&amp;" ("&amp;'ORDENES'!$N582&amp;" h)","")</f>
        <v/>
      </c>
    </row>
    <row r="587">
      <c r="K587" s="3">
        <f>IF(AND(IF($B$3="(todos)",TRUE,'ORDENES'!$P583=$B$3),IF($D$3="(todos)",TRUE,'ORDENES'!$AD583=$D$3),IF($F$3="(todos)",TRUE,'ORDENES'!$W583=$F$3),'ORDENES'!$AB583=TRUE),'ORDENES'!$AO583&amp;" | "&amp;'ORDENES'!$S583&amp;" | "&amp;IF('ORDENES'!$AC583="","(sin técnico)",'ORDENES'!$AC583)&amp;" | "&amp;'ORDENES'!$D583&amp;" ("&amp;'ORDENES'!$N583&amp;" h)","")</f>
        <v/>
      </c>
    </row>
    <row r="588">
      <c r="K588" s="3">
        <f>IF(AND(IF($B$3="(todos)",TRUE,'ORDENES'!$P584=$B$3),IF($D$3="(todos)",TRUE,'ORDENES'!$AD584=$D$3),IF($F$3="(todos)",TRUE,'ORDENES'!$W584=$F$3),'ORDENES'!$AB584=TRUE),'ORDENES'!$AO584&amp;" | "&amp;'ORDENES'!$S584&amp;" | "&amp;IF('ORDENES'!$AC584="","(sin técnico)",'ORDENES'!$AC584)&amp;" | "&amp;'ORDENES'!$D584&amp;" ("&amp;'ORDENES'!$N584&amp;" h)","")</f>
        <v/>
      </c>
    </row>
    <row r="589">
      <c r="K589" s="3">
        <f>IF(AND(IF($B$3="(todos)",TRUE,'ORDENES'!$P585=$B$3),IF($D$3="(todos)",TRUE,'ORDENES'!$AD585=$D$3),IF($F$3="(todos)",TRUE,'ORDENES'!$W585=$F$3),'ORDENES'!$AB585=TRUE),'ORDENES'!$AO585&amp;" | "&amp;'ORDENES'!$S585&amp;" | "&amp;IF('ORDENES'!$AC585="","(sin técnico)",'ORDENES'!$AC585)&amp;" | "&amp;'ORDENES'!$D585&amp;" ("&amp;'ORDENES'!$N585&amp;" h)","")</f>
        <v/>
      </c>
    </row>
    <row r="590">
      <c r="K590" s="3">
        <f>IF(AND(IF($B$3="(todos)",TRUE,'ORDENES'!$P586=$B$3),IF($D$3="(todos)",TRUE,'ORDENES'!$AD586=$D$3),IF($F$3="(todos)",TRUE,'ORDENES'!$W586=$F$3),'ORDENES'!$AB586=TRUE),'ORDENES'!$AO586&amp;" | "&amp;'ORDENES'!$S586&amp;" | "&amp;IF('ORDENES'!$AC586="","(sin técnico)",'ORDENES'!$AC586)&amp;" | "&amp;'ORDENES'!$D586&amp;" ("&amp;'ORDENES'!$N586&amp;" h)","")</f>
        <v/>
      </c>
    </row>
    <row r="591">
      <c r="K591" s="3">
        <f>IF(AND(IF($B$3="(todos)",TRUE,'ORDENES'!$P587=$B$3),IF($D$3="(todos)",TRUE,'ORDENES'!$AD587=$D$3),IF($F$3="(todos)",TRUE,'ORDENES'!$W587=$F$3),'ORDENES'!$AB587=TRUE),'ORDENES'!$AO587&amp;" | "&amp;'ORDENES'!$S587&amp;" | "&amp;IF('ORDENES'!$AC587="","(sin técnico)",'ORDENES'!$AC587)&amp;" | "&amp;'ORDENES'!$D587&amp;" ("&amp;'ORDENES'!$N587&amp;" h)","")</f>
        <v/>
      </c>
    </row>
    <row r="592">
      <c r="K592" s="3">
        <f>IF(AND(IF($B$3="(todos)",TRUE,'ORDENES'!$P588=$B$3),IF($D$3="(todos)",TRUE,'ORDENES'!$AD588=$D$3),IF($F$3="(todos)",TRUE,'ORDENES'!$W588=$F$3),'ORDENES'!$AB588=TRUE),'ORDENES'!$AO588&amp;" | "&amp;'ORDENES'!$S588&amp;" | "&amp;IF('ORDENES'!$AC588="","(sin técnico)",'ORDENES'!$AC588)&amp;" | "&amp;'ORDENES'!$D588&amp;" ("&amp;'ORDENES'!$N588&amp;" h)","")</f>
        <v/>
      </c>
    </row>
    <row r="593">
      <c r="K593" s="3">
        <f>IF(AND(IF($B$3="(todos)",TRUE,'ORDENES'!$P589=$B$3),IF($D$3="(todos)",TRUE,'ORDENES'!$AD589=$D$3),IF($F$3="(todos)",TRUE,'ORDENES'!$W589=$F$3),'ORDENES'!$AB589=TRUE),'ORDENES'!$AO589&amp;" | "&amp;'ORDENES'!$S589&amp;" | "&amp;IF('ORDENES'!$AC589="","(sin técnico)",'ORDENES'!$AC589)&amp;" | "&amp;'ORDENES'!$D589&amp;" ("&amp;'ORDENES'!$N589&amp;" h)","")</f>
        <v/>
      </c>
    </row>
    <row r="594">
      <c r="K594" s="3">
        <f>IF(AND(IF($B$3="(todos)",TRUE,'ORDENES'!$P590=$B$3),IF($D$3="(todos)",TRUE,'ORDENES'!$AD590=$D$3),IF($F$3="(todos)",TRUE,'ORDENES'!$W590=$F$3),'ORDENES'!$AB590=TRUE),'ORDENES'!$AO590&amp;" | "&amp;'ORDENES'!$S590&amp;" | "&amp;IF('ORDENES'!$AC590="","(sin técnico)",'ORDENES'!$AC590)&amp;" | "&amp;'ORDENES'!$D590&amp;" ("&amp;'ORDENES'!$N590&amp;" h)","")</f>
        <v/>
      </c>
    </row>
    <row r="595">
      <c r="K595" s="3">
        <f>IF(AND(IF($B$3="(todos)",TRUE,'ORDENES'!$P591=$B$3),IF($D$3="(todos)",TRUE,'ORDENES'!$AD591=$D$3),IF($F$3="(todos)",TRUE,'ORDENES'!$W591=$F$3),'ORDENES'!$AB591=TRUE),'ORDENES'!$AO591&amp;" | "&amp;'ORDENES'!$S591&amp;" | "&amp;IF('ORDENES'!$AC591="","(sin técnico)",'ORDENES'!$AC591)&amp;" | "&amp;'ORDENES'!$D591&amp;" ("&amp;'ORDENES'!$N591&amp;" h)","")</f>
        <v/>
      </c>
    </row>
    <row r="596">
      <c r="K596" s="3">
        <f>IF(AND(IF($B$3="(todos)",TRUE,'ORDENES'!$P592=$B$3),IF($D$3="(todos)",TRUE,'ORDENES'!$AD592=$D$3),IF($F$3="(todos)",TRUE,'ORDENES'!$W592=$F$3),'ORDENES'!$AB592=TRUE),'ORDENES'!$AO592&amp;" | "&amp;'ORDENES'!$S592&amp;" | "&amp;IF('ORDENES'!$AC592="","(sin técnico)",'ORDENES'!$AC592)&amp;" | "&amp;'ORDENES'!$D592&amp;" ("&amp;'ORDENES'!$N592&amp;" h)","")</f>
        <v/>
      </c>
    </row>
    <row r="597">
      <c r="K597" s="3">
        <f>IF(AND(IF($B$3="(todos)",TRUE,'ORDENES'!$P593=$B$3),IF($D$3="(todos)",TRUE,'ORDENES'!$AD593=$D$3),IF($F$3="(todos)",TRUE,'ORDENES'!$W593=$F$3),'ORDENES'!$AB593=TRUE),'ORDENES'!$AO593&amp;" | "&amp;'ORDENES'!$S593&amp;" | "&amp;IF('ORDENES'!$AC593="","(sin técnico)",'ORDENES'!$AC593)&amp;" | "&amp;'ORDENES'!$D593&amp;" ("&amp;'ORDENES'!$N593&amp;" h)","")</f>
        <v/>
      </c>
    </row>
    <row r="598">
      <c r="K598" s="3">
        <f>IF(AND(IF($B$3="(todos)",TRUE,'ORDENES'!$P594=$B$3),IF($D$3="(todos)",TRUE,'ORDENES'!$AD594=$D$3),IF($F$3="(todos)",TRUE,'ORDENES'!$W594=$F$3),'ORDENES'!$AB594=TRUE),'ORDENES'!$AO594&amp;" | "&amp;'ORDENES'!$S594&amp;" | "&amp;IF('ORDENES'!$AC594="","(sin técnico)",'ORDENES'!$AC594)&amp;" | "&amp;'ORDENES'!$D594&amp;" ("&amp;'ORDENES'!$N594&amp;" h)","")</f>
        <v/>
      </c>
    </row>
    <row r="599">
      <c r="K599" s="3">
        <f>IF(AND(IF($B$3="(todos)",TRUE,'ORDENES'!$P595=$B$3),IF($D$3="(todos)",TRUE,'ORDENES'!$AD595=$D$3),IF($F$3="(todos)",TRUE,'ORDENES'!$W595=$F$3),'ORDENES'!$AB595=TRUE),'ORDENES'!$AO595&amp;" | "&amp;'ORDENES'!$S595&amp;" | "&amp;IF('ORDENES'!$AC595="","(sin técnico)",'ORDENES'!$AC595)&amp;" | "&amp;'ORDENES'!$D595&amp;" ("&amp;'ORDENES'!$N595&amp;" h)","")</f>
        <v/>
      </c>
    </row>
    <row r="600">
      <c r="K600" s="3">
        <f>IF(AND(IF($B$3="(todos)",TRUE,'ORDENES'!$P596=$B$3),IF($D$3="(todos)",TRUE,'ORDENES'!$AD596=$D$3),IF($F$3="(todos)",TRUE,'ORDENES'!$W596=$F$3),'ORDENES'!$AB596=TRUE),'ORDENES'!$AO596&amp;" | "&amp;'ORDENES'!$S596&amp;" | "&amp;IF('ORDENES'!$AC596="","(sin técnico)",'ORDENES'!$AC596)&amp;" | "&amp;'ORDENES'!$D596&amp;" ("&amp;'ORDENES'!$N596&amp;" h)","")</f>
        <v/>
      </c>
    </row>
    <row r="601">
      <c r="K601" s="3">
        <f>IF(AND(IF($B$3="(todos)",TRUE,'ORDENES'!$P597=$B$3),IF($D$3="(todos)",TRUE,'ORDENES'!$AD597=$D$3),IF($F$3="(todos)",TRUE,'ORDENES'!$W597=$F$3),'ORDENES'!$AB597=TRUE),'ORDENES'!$AO597&amp;" | "&amp;'ORDENES'!$S597&amp;" | "&amp;IF('ORDENES'!$AC597="","(sin técnico)",'ORDENES'!$AC597)&amp;" | "&amp;'ORDENES'!$D597&amp;" ("&amp;'ORDENES'!$N597&amp;" h)","")</f>
        <v/>
      </c>
    </row>
    <row r="602">
      <c r="K602" s="3">
        <f>IF(AND(IF($B$3="(todos)",TRUE,'ORDENES'!$P598=$B$3),IF($D$3="(todos)",TRUE,'ORDENES'!$AD598=$D$3),IF($F$3="(todos)",TRUE,'ORDENES'!$W598=$F$3),'ORDENES'!$AB598=TRUE),'ORDENES'!$AO598&amp;" | "&amp;'ORDENES'!$S598&amp;" | "&amp;IF('ORDENES'!$AC598="","(sin técnico)",'ORDENES'!$AC598)&amp;" | "&amp;'ORDENES'!$D598&amp;" ("&amp;'ORDENES'!$N598&amp;" h)","")</f>
        <v/>
      </c>
    </row>
    <row r="603">
      <c r="K603" s="3">
        <f>IF(AND(IF($B$3="(todos)",TRUE,'ORDENES'!$P599=$B$3),IF($D$3="(todos)",TRUE,'ORDENES'!$AD599=$D$3),IF($F$3="(todos)",TRUE,'ORDENES'!$W599=$F$3),'ORDENES'!$AB599=TRUE),'ORDENES'!$AO599&amp;" | "&amp;'ORDENES'!$S599&amp;" | "&amp;IF('ORDENES'!$AC599="","(sin técnico)",'ORDENES'!$AC599)&amp;" | "&amp;'ORDENES'!$D599&amp;" ("&amp;'ORDENES'!$N599&amp;" h)","")</f>
        <v/>
      </c>
    </row>
    <row r="604">
      <c r="K604" s="3">
        <f>IF(AND(IF($B$3="(todos)",TRUE,'ORDENES'!$P600=$B$3),IF($D$3="(todos)",TRUE,'ORDENES'!$AD600=$D$3),IF($F$3="(todos)",TRUE,'ORDENES'!$W600=$F$3),'ORDENES'!$AB600=TRUE),'ORDENES'!$AO600&amp;" | "&amp;'ORDENES'!$S600&amp;" | "&amp;IF('ORDENES'!$AC600="","(sin técnico)",'ORDENES'!$AC600)&amp;" | "&amp;'ORDENES'!$D600&amp;" ("&amp;'ORDENES'!$N600&amp;" h)","")</f>
        <v/>
      </c>
    </row>
    <row r="605">
      <c r="K605" s="3">
        <f>IF(AND(IF($B$3="(todos)",TRUE,'ORDENES'!$P601=$B$3),IF($D$3="(todos)",TRUE,'ORDENES'!$AD601=$D$3),IF($F$3="(todos)",TRUE,'ORDENES'!$W601=$F$3),'ORDENES'!$AB601=TRUE),'ORDENES'!$AO601&amp;" | "&amp;'ORDENES'!$S601&amp;" | "&amp;IF('ORDENES'!$AC601="","(sin técnico)",'ORDENES'!$AC601)&amp;" | "&amp;'ORDENES'!$D601&amp;" ("&amp;'ORDENES'!$N601&amp;" h)","")</f>
        <v/>
      </c>
    </row>
    <row r="606">
      <c r="K606" s="3">
        <f>IF(AND(IF($B$3="(todos)",TRUE,'ORDENES'!$P602=$B$3),IF($D$3="(todos)",TRUE,'ORDENES'!$AD602=$D$3),IF($F$3="(todos)",TRUE,'ORDENES'!$W602=$F$3),'ORDENES'!$AB602=TRUE),'ORDENES'!$AO602&amp;" | "&amp;'ORDENES'!$S602&amp;" | "&amp;IF('ORDENES'!$AC602="","(sin técnico)",'ORDENES'!$AC602)&amp;" | "&amp;'ORDENES'!$D602&amp;" ("&amp;'ORDENES'!$N602&amp;" h)","")</f>
        <v/>
      </c>
    </row>
    <row r="607">
      <c r="K607" s="3">
        <f>IF(AND(IF($B$3="(todos)",TRUE,'ORDENES'!$P603=$B$3),IF($D$3="(todos)",TRUE,'ORDENES'!$AD603=$D$3),IF($F$3="(todos)",TRUE,'ORDENES'!$W603=$F$3),'ORDENES'!$AB603=TRUE),'ORDENES'!$AO603&amp;" | "&amp;'ORDENES'!$S603&amp;" | "&amp;IF('ORDENES'!$AC603="","(sin técnico)",'ORDENES'!$AC603)&amp;" | "&amp;'ORDENES'!$D603&amp;" ("&amp;'ORDENES'!$N603&amp;" h)","")</f>
        <v/>
      </c>
    </row>
    <row r="608">
      <c r="K608" s="3">
        <f>IF(AND(IF($B$3="(todos)",TRUE,'ORDENES'!$P604=$B$3),IF($D$3="(todos)",TRUE,'ORDENES'!$AD604=$D$3),IF($F$3="(todos)",TRUE,'ORDENES'!$W604=$F$3),'ORDENES'!$AB604=TRUE),'ORDENES'!$AO604&amp;" | "&amp;'ORDENES'!$S604&amp;" | "&amp;IF('ORDENES'!$AC604="","(sin técnico)",'ORDENES'!$AC604)&amp;" | "&amp;'ORDENES'!$D604&amp;" ("&amp;'ORDENES'!$N604&amp;" h)","")</f>
        <v/>
      </c>
    </row>
    <row r="609">
      <c r="K609" s="3">
        <f>IF(AND(IF($B$3="(todos)",TRUE,'ORDENES'!$P605=$B$3),IF($D$3="(todos)",TRUE,'ORDENES'!$AD605=$D$3),IF($F$3="(todos)",TRUE,'ORDENES'!$W605=$F$3),'ORDENES'!$AB605=TRUE),'ORDENES'!$AO605&amp;" | "&amp;'ORDENES'!$S605&amp;" | "&amp;IF('ORDENES'!$AC605="","(sin técnico)",'ORDENES'!$AC605)&amp;" | "&amp;'ORDENES'!$D605&amp;" ("&amp;'ORDENES'!$N605&amp;" h)","")</f>
        <v/>
      </c>
    </row>
    <row r="610">
      <c r="K610" s="3">
        <f>IF(AND(IF($B$3="(todos)",TRUE,'ORDENES'!$P606=$B$3),IF($D$3="(todos)",TRUE,'ORDENES'!$AD606=$D$3),IF($F$3="(todos)",TRUE,'ORDENES'!$W606=$F$3),'ORDENES'!$AB606=TRUE),'ORDENES'!$AO606&amp;" | "&amp;'ORDENES'!$S606&amp;" | "&amp;IF('ORDENES'!$AC606="","(sin técnico)",'ORDENES'!$AC606)&amp;" | "&amp;'ORDENES'!$D606&amp;" ("&amp;'ORDENES'!$N606&amp;" h)","")</f>
        <v/>
      </c>
    </row>
    <row r="611">
      <c r="K611" s="3">
        <f>IF(AND(IF($B$3="(todos)",TRUE,'ORDENES'!$P607=$B$3),IF($D$3="(todos)",TRUE,'ORDENES'!$AD607=$D$3),IF($F$3="(todos)",TRUE,'ORDENES'!$W607=$F$3),'ORDENES'!$AB607=TRUE),'ORDENES'!$AO607&amp;" | "&amp;'ORDENES'!$S607&amp;" | "&amp;IF('ORDENES'!$AC607="","(sin técnico)",'ORDENES'!$AC607)&amp;" | "&amp;'ORDENES'!$D607&amp;" ("&amp;'ORDENES'!$N607&amp;" h)","")</f>
        <v/>
      </c>
    </row>
    <row r="612">
      <c r="K612" s="3">
        <f>IF(AND(IF($B$3="(todos)",TRUE,'ORDENES'!$P608=$B$3),IF($D$3="(todos)",TRUE,'ORDENES'!$AD608=$D$3),IF($F$3="(todos)",TRUE,'ORDENES'!$W608=$F$3),'ORDENES'!$AB608=TRUE),'ORDENES'!$AO608&amp;" | "&amp;'ORDENES'!$S608&amp;" | "&amp;IF('ORDENES'!$AC608="","(sin técnico)",'ORDENES'!$AC608)&amp;" | "&amp;'ORDENES'!$D608&amp;" ("&amp;'ORDENES'!$N608&amp;" h)","")</f>
        <v/>
      </c>
    </row>
    <row r="613">
      <c r="K613" s="3">
        <f>IF(AND(IF($B$3="(todos)",TRUE,'ORDENES'!$P609=$B$3),IF($D$3="(todos)",TRUE,'ORDENES'!$AD609=$D$3),IF($F$3="(todos)",TRUE,'ORDENES'!$W609=$F$3),'ORDENES'!$AB609=TRUE),'ORDENES'!$AO609&amp;" | "&amp;'ORDENES'!$S609&amp;" | "&amp;IF('ORDENES'!$AC609="","(sin técnico)",'ORDENES'!$AC609)&amp;" | "&amp;'ORDENES'!$D609&amp;" ("&amp;'ORDENES'!$N609&amp;" h)","")</f>
        <v/>
      </c>
    </row>
    <row r="614">
      <c r="K614" s="3">
        <f>IF(AND(IF($B$3="(todos)",TRUE,'ORDENES'!$P610=$B$3),IF($D$3="(todos)",TRUE,'ORDENES'!$AD610=$D$3),IF($F$3="(todos)",TRUE,'ORDENES'!$W610=$F$3),'ORDENES'!$AB610=TRUE),'ORDENES'!$AO610&amp;" | "&amp;'ORDENES'!$S610&amp;" | "&amp;IF('ORDENES'!$AC610="","(sin técnico)",'ORDENES'!$AC610)&amp;" | "&amp;'ORDENES'!$D610&amp;" ("&amp;'ORDENES'!$N610&amp;" h)","")</f>
        <v/>
      </c>
    </row>
    <row r="615">
      <c r="K615" s="3">
        <f>IF(AND(IF($B$3="(todos)",TRUE,'ORDENES'!$P611=$B$3),IF($D$3="(todos)",TRUE,'ORDENES'!$AD611=$D$3),IF($F$3="(todos)",TRUE,'ORDENES'!$W611=$F$3),'ORDENES'!$AB611=TRUE),'ORDENES'!$AO611&amp;" | "&amp;'ORDENES'!$S611&amp;" | "&amp;IF('ORDENES'!$AC611="","(sin técnico)",'ORDENES'!$AC611)&amp;" | "&amp;'ORDENES'!$D611&amp;" ("&amp;'ORDENES'!$N611&amp;" h)","")</f>
        <v/>
      </c>
    </row>
    <row r="616">
      <c r="K616" s="3">
        <f>IF(AND(IF($B$3="(todos)",TRUE,'ORDENES'!$P612=$B$3),IF($D$3="(todos)",TRUE,'ORDENES'!$AD612=$D$3),IF($F$3="(todos)",TRUE,'ORDENES'!$W612=$F$3),'ORDENES'!$AB612=TRUE),'ORDENES'!$AO612&amp;" | "&amp;'ORDENES'!$S612&amp;" | "&amp;IF('ORDENES'!$AC612="","(sin técnico)",'ORDENES'!$AC612)&amp;" | "&amp;'ORDENES'!$D612&amp;" ("&amp;'ORDENES'!$N612&amp;" h)","")</f>
        <v/>
      </c>
    </row>
    <row r="617">
      <c r="K617" s="3">
        <f>IF(AND(IF($B$3="(todos)",TRUE,'ORDENES'!$P613=$B$3),IF($D$3="(todos)",TRUE,'ORDENES'!$AD613=$D$3),IF($F$3="(todos)",TRUE,'ORDENES'!$W613=$F$3),'ORDENES'!$AB613=TRUE),'ORDENES'!$AO613&amp;" | "&amp;'ORDENES'!$S613&amp;" | "&amp;IF('ORDENES'!$AC613="","(sin técnico)",'ORDENES'!$AC613)&amp;" | "&amp;'ORDENES'!$D613&amp;" ("&amp;'ORDENES'!$N613&amp;" h)","")</f>
        <v/>
      </c>
    </row>
    <row r="618">
      <c r="K618" s="3">
        <f>IF(AND(IF($B$3="(todos)",TRUE,'ORDENES'!$P614=$B$3),IF($D$3="(todos)",TRUE,'ORDENES'!$AD614=$D$3),IF($F$3="(todos)",TRUE,'ORDENES'!$W614=$F$3),'ORDENES'!$AB614=TRUE),'ORDENES'!$AO614&amp;" | "&amp;'ORDENES'!$S614&amp;" | "&amp;IF('ORDENES'!$AC614="","(sin técnico)",'ORDENES'!$AC614)&amp;" | "&amp;'ORDENES'!$D614&amp;" ("&amp;'ORDENES'!$N614&amp;" h)","")</f>
        <v/>
      </c>
    </row>
    <row r="619">
      <c r="K619" s="3">
        <f>IF(AND(IF($B$3="(todos)",TRUE,'ORDENES'!$P615=$B$3),IF($D$3="(todos)",TRUE,'ORDENES'!$AD615=$D$3),IF($F$3="(todos)",TRUE,'ORDENES'!$W615=$F$3),'ORDENES'!$AB615=TRUE),'ORDENES'!$AO615&amp;" | "&amp;'ORDENES'!$S615&amp;" | "&amp;IF('ORDENES'!$AC615="","(sin técnico)",'ORDENES'!$AC615)&amp;" | "&amp;'ORDENES'!$D615&amp;" ("&amp;'ORDENES'!$N615&amp;" h)","")</f>
        <v/>
      </c>
    </row>
    <row r="620">
      <c r="K620" s="3">
        <f>IF(AND(IF($B$3="(todos)",TRUE,'ORDENES'!$P616=$B$3),IF($D$3="(todos)",TRUE,'ORDENES'!$AD616=$D$3),IF($F$3="(todos)",TRUE,'ORDENES'!$W616=$F$3),'ORDENES'!$AB616=TRUE),'ORDENES'!$AO616&amp;" | "&amp;'ORDENES'!$S616&amp;" | "&amp;IF('ORDENES'!$AC616="","(sin técnico)",'ORDENES'!$AC616)&amp;" | "&amp;'ORDENES'!$D616&amp;" ("&amp;'ORDENES'!$N616&amp;" h)","")</f>
        <v/>
      </c>
    </row>
    <row r="621">
      <c r="K621" s="3">
        <f>IF(AND(IF($B$3="(todos)",TRUE,'ORDENES'!$P617=$B$3),IF($D$3="(todos)",TRUE,'ORDENES'!$AD617=$D$3),IF($F$3="(todos)",TRUE,'ORDENES'!$W617=$F$3),'ORDENES'!$AB617=TRUE),'ORDENES'!$AO617&amp;" | "&amp;'ORDENES'!$S617&amp;" | "&amp;IF('ORDENES'!$AC617="","(sin técnico)",'ORDENES'!$AC617)&amp;" | "&amp;'ORDENES'!$D617&amp;" ("&amp;'ORDENES'!$N617&amp;" h)","")</f>
        <v/>
      </c>
    </row>
    <row r="622">
      <c r="K622" s="3">
        <f>IF(AND(IF($B$3="(todos)",TRUE,'ORDENES'!$P618=$B$3),IF($D$3="(todos)",TRUE,'ORDENES'!$AD618=$D$3),IF($F$3="(todos)",TRUE,'ORDENES'!$W618=$F$3),'ORDENES'!$AB618=TRUE),'ORDENES'!$AO618&amp;" | "&amp;'ORDENES'!$S618&amp;" | "&amp;IF('ORDENES'!$AC618="","(sin técnico)",'ORDENES'!$AC618)&amp;" | "&amp;'ORDENES'!$D618&amp;" ("&amp;'ORDENES'!$N618&amp;" h)","")</f>
        <v/>
      </c>
    </row>
    <row r="623">
      <c r="K623" s="3">
        <f>IF(AND(IF($B$3="(todos)",TRUE,'ORDENES'!$P619=$B$3),IF($D$3="(todos)",TRUE,'ORDENES'!$AD619=$D$3),IF($F$3="(todos)",TRUE,'ORDENES'!$W619=$F$3),'ORDENES'!$AB619=TRUE),'ORDENES'!$AO619&amp;" | "&amp;'ORDENES'!$S619&amp;" | "&amp;IF('ORDENES'!$AC619="","(sin técnico)",'ORDENES'!$AC619)&amp;" | "&amp;'ORDENES'!$D619&amp;" ("&amp;'ORDENES'!$N619&amp;" h)","")</f>
        <v/>
      </c>
    </row>
    <row r="624">
      <c r="K624" s="3">
        <f>IF(AND(IF($B$3="(todos)",TRUE,'ORDENES'!$P620=$B$3),IF($D$3="(todos)",TRUE,'ORDENES'!$AD620=$D$3),IF($F$3="(todos)",TRUE,'ORDENES'!$W620=$F$3),'ORDENES'!$AB620=TRUE),'ORDENES'!$AO620&amp;" | "&amp;'ORDENES'!$S620&amp;" | "&amp;IF('ORDENES'!$AC620="","(sin técnico)",'ORDENES'!$AC620)&amp;" | "&amp;'ORDENES'!$D620&amp;" ("&amp;'ORDENES'!$N620&amp;" h)","")</f>
        <v/>
      </c>
    </row>
    <row r="625">
      <c r="K625" s="3">
        <f>IF(AND(IF($B$3="(todos)",TRUE,'ORDENES'!$P621=$B$3),IF($D$3="(todos)",TRUE,'ORDENES'!$AD621=$D$3),IF($F$3="(todos)",TRUE,'ORDENES'!$W621=$F$3),'ORDENES'!$AB621=TRUE),'ORDENES'!$AO621&amp;" | "&amp;'ORDENES'!$S621&amp;" | "&amp;IF('ORDENES'!$AC621="","(sin técnico)",'ORDENES'!$AC621)&amp;" | "&amp;'ORDENES'!$D621&amp;" ("&amp;'ORDENES'!$N621&amp;" h)","")</f>
        <v/>
      </c>
    </row>
    <row r="626">
      <c r="K626" s="3">
        <f>IF(AND(IF($B$3="(todos)",TRUE,'ORDENES'!$P622=$B$3),IF($D$3="(todos)",TRUE,'ORDENES'!$AD622=$D$3),IF($F$3="(todos)",TRUE,'ORDENES'!$W622=$F$3),'ORDENES'!$AB622=TRUE),'ORDENES'!$AO622&amp;" | "&amp;'ORDENES'!$S622&amp;" | "&amp;IF('ORDENES'!$AC622="","(sin técnico)",'ORDENES'!$AC622)&amp;" | "&amp;'ORDENES'!$D622&amp;" ("&amp;'ORDENES'!$N622&amp;" h)","")</f>
        <v/>
      </c>
    </row>
    <row r="627">
      <c r="K627" s="3">
        <f>IF(AND(IF($B$3="(todos)",TRUE,'ORDENES'!$P623=$B$3),IF($D$3="(todos)",TRUE,'ORDENES'!$AD623=$D$3),IF($F$3="(todos)",TRUE,'ORDENES'!$W623=$F$3),'ORDENES'!$AB623=TRUE),'ORDENES'!$AO623&amp;" | "&amp;'ORDENES'!$S623&amp;" | "&amp;IF('ORDENES'!$AC623="","(sin técnico)",'ORDENES'!$AC623)&amp;" | "&amp;'ORDENES'!$D623&amp;" ("&amp;'ORDENES'!$N623&amp;" h)","")</f>
        <v/>
      </c>
    </row>
    <row r="628">
      <c r="K628" s="3">
        <f>IF(AND(IF($B$3="(todos)",TRUE,'ORDENES'!$P624=$B$3),IF($D$3="(todos)",TRUE,'ORDENES'!$AD624=$D$3),IF($F$3="(todos)",TRUE,'ORDENES'!$W624=$F$3),'ORDENES'!$AB624=TRUE),'ORDENES'!$AO624&amp;" | "&amp;'ORDENES'!$S624&amp;" | "&amp;IF('ORDENES'!$AC624="","(sin técnico)",'ORDENES'!$AC624)&amp;" | "&amp;'ORDENES'!$D624&amp;" ("&amp;'ORDENES'!$N624&amp;" h)","")</f>
        <v/>
      </c>
    </row>
    <row r="629">
      <c r="K629" s="3">
        <f>IF(AND(IF($B$3="(todos)",TRUE,'ORDENES'!$P625=$B$3),IF($D$3="(todos)",TRUE,'ORDENES'!$AD625=$D$3),IF($F$3="(todos)",TRUE,'ORDENES'!$W625=$F$3),'ORDENES'!$AB625=TRUE),'ORDENES'!$AO625&amp;" | "&amp;'ORDENES'!$S625&amp;" | "&amp;IF('ORDENES'!$AC625="","(sin técnico)",'ORDENES'!$AC625)&amp;" | "&amp;'ORDENES'!$D625&amp;" ("&amp;'ORDENES'!$N625&amp;" h)","")</f>
        <v/>
      </c>
    </row>
    <row r="630">
      <c r="K630" s="3">
        <f>IF(AND(IF($B$3="(todos)",TRUE,'ORDENES'!$P626=$B$3),IF($D$3="(todos)",TRUE,'ORDENES'!$AD626=$D$3),IF($F$3="(todos)",TRUE,'ORDENES'!$W626=$F$3),'ORDENES'!$AB626=TRUE),'ORDENES'!$AO626&amp;" | "&amp;'ORDENES'!$S626&amp;" | "&amp;IF('ORDENES'!$AC626="","(sin técnico)",'ORDENES'!$AC626)&amp;" | "&amp;'ORDENES'!$D626&amp;" ("&amp;'ORDENES'!$N626&amp;" h)","")</f>
        <v/>
      </c>
    </row>
    <row r="631">
      <c r="K631" s="3">
        <f>IF(AND(IF($B$3="(todos)",TRUE,'ORDENES'!$P627=$B$3),IF($D$3="(todos)",TRUE,'ORDENES'!$AD627=$D$3),IF($F$3="(todos)",TRUE,'ORDENES'!$W627=$F$3),'ORDENES'!$AB627=TRUE),'ORDENES'!$AO627&amp;" | "&amp;'ORDENES'!$S627&amp;" | "&amp;IF('ORDENES'!$AC627="","(sin técnico)",'ORDENES'!$AC627)&amp;" | "&amp;'ORDENES'!$D627&amp;" ("&amp;'ORDENES'!$N627&amp;" h)","")</f>
        <v/>
      </c>
    </row>
    <row r="632">
      <c r="K632" s="3">
        <f>IF(AND(IF($B$3="(todos)",TRUE,'ORDENES'!$P628=$B$3),IF($D$3="(todos)",TRUE,'ORDENES'!$AD628=$D$3),IF($F$3="(todos)",TRUE,'ORDENES'!$W628=$F$3),'ORDENES'!$AB628=TRUE),'ORDENES'!$AO628&amp;" | "&amp;'ORDENES'!$S628&amp;" | "&amp;IF('ORDENES'!$AC628="","(sin técnico)",'ORDENES'!$AC628)&amp;" | "&amp;'ORDENES'!$D628&amp;" ("&amp;'ORDENES'!$N628&amp;" h)","")</f>
        <v/>
      </c>
    </row>
    <row r="633">
      <c r="K633" s="3">
        <f>IF(AND(IF($B$3="(todos)",TRUE,'ORDENES'!$P629=$B$3),IF($D$3="(todos)",TRUE,'ORDENES'!$AD629=$D$3),IF($F$3="(todos)",TRUE,'ORDENES'!$W629=$F$3),'ORDENES'!$AB629=TRUE),'ORDENES'!$AO629&amp;" | "&amp;'ORDENES'!$S629&amp;" | "&amp;IF('ORDENES'!$AC629="","(sin técnico)",'ORDENES'!$AC629)&amp;" | "&amp;'ORDENES'!$D629&amp;" ("&amp;'ORDENES'!$N629&amp;" h)","")</f>
        <v/>
      </c>
    </row>
    <row r="634">
      <c r="K634" s="3">
        <f>IF(AND(IF($B$3="(todos)",TRUE,'ORDENES'!$P630=$B$3),IF($D$3="(todos)",TRUE,'ORDENES'!$AD630=$D$3),IF($F$3="(todos)",TRUE,'ORDENES'!$W630=$F$3),'ORDENES'!$AB630=TRUE),'ORDENES'!$AO630&amp;" | "&amp;'ORDENES'!$S630&amp;" | "&amp;IF('ORDENES'!$AC630="","(sin técnico)",'ORDENES'!$AC630)&amp;" | "&amp;'ORDENES'!$D630&amp;" ("&amp;'ORDENES'!$N630&amp;" h)","")</f>
        <v/>
      </c>
    </row>
    <row r="635">
      <c r="K635" s="3">
        <f>IF(AND(IF($B$3="(todos)",TRUE,'ORDENES'!$P631=$B$3),IF($D$3="(todos)",TRUE,'ORDENES'!$AD631=$D$3),IF($F$3="(todos)",TRUE,'ORDENES'!$W631=$F$3),'ORDENES'!$AB631=TRUE),'ORDENES'!$AO631&amp;" | "&amp;'ORDENES'!$S631&amp;" | "&amp;IF('ORDENES'!$AC631="","(sin técnico)",'ORDENES'!$AC631)&amp;" | "&amp;'ORDENES'!$D631&amp;" ("&amp;'ORDENES'!$N631&amp;" h)","")</f>
        <v/>
      </c>
    </row>
    <row r="636">
      <c r="K636" s="3">
        <f>IF(AND(IF($B$3="(todos)",TRUE,'ORDENES'!$P632=$B$3),IF($D$3="(todos)",TRUE,'ORDENES'!$AD632=$D$3),IF($F$3="(todos)",TRUE,'ORDENES'!$W632=$F$3),'ORDENES'!$AB632=TRUE),'ORDENES'!$AO632&amp;" | "&amp;'ORDENES'!$S632&amp;" | "&amp;IF('ORDENES'!$AC632="","(sin técnico)",'ORDENES'!$AC632)&amp;" | "&amp;'ORDENES'!$D632&amp;" ("&amp;'ORDENES'!$N632&amp;" h)","")</f>
        <v/>
      </c>
    </row>
    <row r="637">
      <c r="K637" s="3">
        <f>IF(AND(IF($B$3="(todos)",TRUE,'ORDENES'!$P633=$B$3),IF($D$3="(todos)",TRUE,'ORDENES'!$AD633=$D$3),IF($F$3="(todos)",TRUE,'ORDENES'!$W633=$F$3),'ORDENES'!$AB633=TRUE),'ORDENES'!$AO633&amp;" | "&amp;'ORDENES'!$S633&amp;" | "&amp;IF('ORDENES'!$AC633="","(sin técnico)",'ORDENES'!$AC633)&amp;" | "&amp;'ORDENES'!$D633&amp;" ("&amp;'ORDENES'!$N633&amp;" h)","")</f>
        <v/>
      </c>
    </row>
    <row r="638">
      <c r="K638" s="3">
        <f>IF(AND(IF($B$3="(todos)",TRUE,'ORDENES'!$P634=$B$3),IF($D$3="(todos)",TRUE,'ORDENES'!$AD634=$D$3),IF($F$3="(todos)",TRUE,'ORDENES'!$W634=$F$3),'ORDENES'!$AB634=TRUE),'ORDENES'!$AO634&amp;" | "&amp;'ORDENES'!$S634&amp;" | "&amp;IF('ORDENES'!$AC634="","(sin técnico)",'ORDENES'!$AC634)&amp;" | "&amp;'ORDENES'!$D634&amp;" ("&amp;'ORDENES'!$N634&amp;" h)","")</f>
        <v/>
      </c>
    </row>
    <row r="639">
      <c r="K639" s="3">
        <f>IF(AND(IF($B$3="(todos)",TRUE,'ORDENES'!$P635=$B$3),IF($D$3="(todos)",TRUE,'ORDENES'!$AD635=$D$3),IF($F$3="(todos)",TRUE,'ORDENES'!$W635=$F$3),'ORDENES'!$AB635=TRUE),'ORDENES'!$AO635&amp;" | "&amp;'ORDENES'!$S635&amp;" | "&amp;IF('ORDENES'!$AC635="","(sin técnico)",'ORDENES'!$AC635)&amp;" | "&amp;'ORDENES'!$D635&amp;" ("&amp;'ORDENES'!$N635&amp;" h)","")</f>
        <v/>
      </c>
    </row>
    <row r="640">
      <c r="K640" s="3">
        <f>IF(AND(IF($B$3="(todos)",TRUE,'ORDENES'!$P636=$B$3),IF($D$3="(todos)",TRUE,'ORDENES'!$AD636=$D$3),IF($F$3="(todos)",TRUE,'ORDENES'!$W636=$F$3),'ORDENES'!$AB636=TRUE),'ORDENES'!$AO636&amp;" | "&amp;'ORDENES'!$S636&amp;" | "&amp;IF('ORDENES'!$AC636="","(sin técnico)",'ORDENES'!$AC636)&amp;" | "&amp;'ORDENES'!$D636&amp;" ("&amp;'ORDENES'!$N636&amp;" h)","")</f>
        <v/>
      </c>
    </row>
    <row r="641">
      <c r="K641" s="3">
        <f>IF(AND(IF($B$3="(todos)",TRUE,'ORDENES'!$P637=$B$3),IF($D$3="(todos)",TRUE,'ORDENES'!$AD637=$D$3),IF($F$3="(todos)",TRUE,'ORDENES'!$W637=$F$3),'ORDENES'!$AB637=TRUE),'ORDENES'!$AO637&amp;" | "&amp;'ORDENES'!$S637&amp;" | "&amp;IF('ORDENES'!$AC637="","(sin técnico)",'ORDENES'!$AC637)&amp;" | "&amp;'ORDENES'!$D637&amp;" ("&amp;'ORDENES'!$N637&amp;" h)","")</f>
        <v/>
      </c>
    </row>
    <row r="642">
      <c r="K642" s="3">
        <f>IF(AND(IF($B$3="(todos)",TRUE,'ORDENES'!$P638=$B$3),IF($D$3="(todos)",TRUE,'ORDENES'!$AD638=$D$3),IF($F$3="(todos)",TRUE,'ORDENES'!$W638=$F$3),'ORDENES'!$AB638=TRUE),'ORDENES'!$AO638&amp;" | "&amp;'ORDENES'!$S638&amp;" | "&amp;IF('ORDENES'!$AC638="","(sin técnico)",'ORDENES'!$AC638)&amp;" | "&amp;'ORDENES'!$D638&amp;" ("&amp;'ORDENES'!$N638&amp;" h)","")</f>
        <v/>
      </c>
    </row>
    <row r="643">
      <c r="K643" s="3">
        <f>IF(AND(IF($B$3="(todos)",TRUE,'ORDENES'!$P639=$B$3),IF($D$3="(todos)",TRUE,'ORDENES'!$AD639=$D$3),IF($F$3="(todos)",TRUE,'ORDENES'!$W639=$F$3),'ORDENES'!$AB639=TRUE),'ORDENES'!$AO639&amp;" | "&amp;'ORDENES'!$S639&amp;" | "&amp;IF('ORDENES'!$AC639="","(sin técnico)",'ORDENES'!$AC639)&amp;" | "&amp;'ORDENES'!$D639&amp;" ("&amp;'ORDENES'!$N639&amp;" h)","")</f>
        <v/>
      </c>
    </row>
    <row r="644">
      <c r="K644" s="3">
        <f>IF(AND(IF($B$3="(todos)",TRUE,'ORDENES'!$P640=$B$3),IF($D$3="(todos)",TRUE,'ORDENES'!$AD640=$D$3),IF($F$3="(todos)",TRUE,'ORDENES'!$W640=$F$3),'ORDENES'!$AB640=TRUE),'ORDENES'!$AO640&amp;" | "&amp;'ORDENES'!$S640&amp;" | "&amp;IF('ORDENES'!$AC640="","(sin técnico)",'ORDENES'!$AC640)&amp;" | "&amp;'ORDENES'!$D640&amp;" ("&amp;'ORDENES'!$N640&amp;" h)","")</f>
        <v/>
      </c>
    </row>
    <row r="645">
      <c r="K645" s="3">
        <f>IF(AND(IF($B$3="(todos)",TRUE,'ORDENES'!$P641=$B$3),IF($D$3="(todos)",TRUE,'ORDENES'!$AD641=$D$3),IF($F$3="(todos)",TRUE,'ORDENES'!$W641=$F$3),'ORDENES'!$AB641=TRUE),'ORDENES'!$AO641&amp;" | "&amp;'ORDENES'!$S641&amp;" | "&amp;IF('ORDENES'!$AC641="","(sin técnico)",'ORDENES'!$AC641)&amp;" | "&amp;'ORDENES'!$D641&amp;" ("&amp;'ORDENES'!$N641&amp;" h)","")</f>
        <v/>
      </c>
    </row>
    <row r="646">
      <c r="K646" s="3">
        <f>IF(AND(IF($B$3="(todos)",TRUE,'ORDENES'!$P642=$B$3),IF($D$3="(todos)",TRUE,'ORDENES'!$AD642=$D$3),IF($F$3="(todos)",TRUE,'ORDENES'!$W642=$F$3),'ORDENES'!$AB642=TRUE),'ORDENES'!$AO642&amp;" | "&amp;'ORDENES'!$S642&amp;" | "&amp;IF('ORDENES'!$AC642="","(sin técnico)",'ORDENES'!$AC642)&amp;" | "&amp;'ORDENES'!$D642&amp;" ("&amp;'ORDENES'!$N642&amp;" h)","")</f>
        <v/>
      </c>
    </row>
    <row r="647">
      <c r="K647" s="3">
        <f>IF(AND(IF($B$3="(todos)",TRUE,'ORDENES'!$P643=$B$3),IF($D$3="(todos)",TRUE,'ORDENES'!$AD643=$D$3),IF($F$3="(todos)",TRUE,'ORDENES'!$W643=$F$3),'ORDENES'!$AB643=TRUE),'ORDENES'!$AO643&amp;" | "&amp;'ORDENES'!$S643&amp;" | "&amp;IF('ORDENES'!$AC643="","(sin técnico)",'ORDENES'!$AC643)&amp;" | "&amp;'ORDENES'!$D643&amp;" ("&amp;'ORDENES'!$N643&amp;" h)","")</f>
        <v/>
      </c>
    </row>
    <row r="648">
      <c r="K648" s="3">
        <f>IF(AND(IF($B$3="(todos)",TRUE,'ORDENES'!$P644=$B$3),IF($D$3="(todos)",TRUE,'ORDENES'!$AD644=$D$3),IF($F$3="(todos)",TRUE,'ORDENES'!$W644=$F$3),'ORDENES'!$AB644=TRUE),'ORDENES'!$AO644&amp;" | "&amp;'ORDENES'!$S644&amp;" | "&amp;IF('ORDENES'!$AC644="","(sin técnico)",'ORDENES'!$AC644)&amp;" | "&amp;'ORDENES'!$D644&amp;" ("&amp;'ORDENES'!$N644&amp;" h)","")</f>
        <v/>
      </c>
    </row>
    <row r="649">
      <c r="K649" s="3">
        <f>IF(AND(IF($B$3="(todos)",TRUE,'ORDENES'!$P645=$B$3),IF($D$3="(todos)",TRUE,'ORDENES'!$AD645=$D$3),IF($F$3="(todos)",TRUE,'ORDENES'!$W645=$F$3),'ORDENES'!$AB645=TRUE),'ORDENES'!$AO645&amp;" | "&amp;'ORDENES'!$S645&amp;" | "&amp;IF('ORDENES'!$AC645="","(sin técnico)",'ORDENES'!$AC645)&amp;" | "&amp;'ORDENES'!$D645&amp;" ("&amp;'ORDENES'!$N645&amp;" h)","")</f>
        <v/>
      </c>
    </row>
    <row r="650">
      <c r="K650" s="3">
        <f>IF(AND(IF($B$3="(todos)",TRUE,'ORDENES'!$P646=$B$3),IF($D$3="(todos)",TRUE,'ORDENES'!$AD646=$D$3),IF($F$3="(todos)",TRUE,'ORDENES'!$W646=$F$3),'ORDENES'!$AB646=TRUE),'ORDENES'!$AO646&amp;" | "&amp;'ORDENES'!$S646&amp;" | "&amp;IF('ORDENES'!$AC646="","(sin técnico)",'ORDENES'!$AC646)&amp;" | "&amp;'ORDENES'!$D646&amp;" ("&amp;'ORDENES'!$N646&amp;" h)","")</f>
        <v/>
      </c>
    </row>
    <row r="651">
      <c r="K651" s="3">
        <f>IF(AND(IF($B$3="(todos)",TRUE,'ORDENES'!$P647=$B$3),IF($D$3="(todos)",TRUE,'ORDENES'!$AD647=$D$3),IF($F$3="(todos)",TRUE,'ORDENES'!$W647=$F$3),'ORDENES'!$AB647=TRUE),'ORDENES'!$AO647&amp;" | "&amp;'ORDENES'!$S647&amp;" | "&amp;IF('ORDENES'!$AC647="","(sin técnico)",'ORDENES'!$AC647)&amp;" | "&amp;'ORDENES'!$D647&amp;" ("&amp;'ORDENES'!$N647&amp;" h)","")</f>
        <v/>
      </c>
    </row>
    <row r="652">
      <c r="K652" s="3">
        <f>IF(AND(IF($B$3="(todos)",TRUE,'ORDENES'!$P648=$B$3),IF($D$3="(todos)",TRUE,'ORDENES'!$AD648=$D$3),IF($F$3="(todos)",TRUE,'ORDENES'!$W648=$F$3),'ORDENES'!$AB648=TRUE),'ORDENES'!$AO648&amp;" | "&amp;'ORDENES'!$S648&amp;" | "&amp;IF('ORDENES'!$AC648="","(sin técnico)",'ORDENES'!$AC648)&amp;" | "&amp;'ORDENES'!$D648&amp;" ("&amp;'ORDENES'!$N648&amp;" h)","")</f>
        <v/>
      </c>
    </row>
    <row r="653">
      <c r="K653" s="3">
        <f>IF(AND(IF($B$3="(todos)",TRUE,'ORDENES'!$P649=$B$3),IF($D$3="(todos)",TRUE,'ORDENES'!$AD649=$D$3),IF($F$3="(todos)",TRUE,'ORDENES'!$W649=$F$3),'ORDENES'!$AB649=TRUE),'ORDENES'!$AO649&amp;" | "&amp;'ORDENES'!$S649&amp;" | "&amp;IF('ORDENES'!$AC649="","(sin técnico)",'ORDENES'!$AC649)&amp;" | "&amp;'ORDENES'!$D649&amp;" ("&amp;'ORDENES'!$N649&amp;" h)","")</f>
        <v/>
      </c>
    </row>
    <row r="654">
      <c r="K654" s="3">
        <f>IF(AND(IF($B$3="(todos)",TRUE,'ORDENES'!$P650=$B$3),IF($D$3="(todos)",TRUE,'ORDENES'!$AD650=$D$3),IF($F$3="(todos)",TRUE,'ORDENES'!$W650=$F$3),'ORDENES'!$AB650=TRUE),'ORDENES'!$AO650&amp;" | "&amp;'ORDENES'!$S650&amp;" | "&amp;IF('ORDENES'!$AC650="","(sin técnico)",'ORDENES'!$AC650)&amp;" | "&amp;'ORDENES'!$D650&amp;" ("&amp;'ORDENES'!$N650&amp;" h)","")</f>
        <v/>
      </c>
    </row>
    <row r="655">
      <c r="K655" s="3">
        <f>IF(AND(IF($B$3="(todos)",TRUE,'ORDENES'!$P651=$B$3),IF($D$3="(todos)",TRUE,'ORDENES'!$AD651=$D$3),IF($F$3="(todos)",TRUE,'ORDENES'!$W651=$F$3),'ORDENES'!$AB651=TRUE),'ORDENES'!$AO651&amp;" | "&amp;'ORDENES'!$S651&amp;" | "&amp;IF('ORDENES'!$AC651="","(sin técnico)",'ORDENES'!$AC651)&amp;" | "&amp;'ORDENES'!$D651&amp;" ("&amp;'ORDENES'!$N651&amp;" h)","")</f>
        <v/>
      </c>
    </row>
    <row r="656">
      <c r="K656" s="3">
        <f>IF(AND(IF($B$3="(todos)",TRUE,'ORDENES'!$P652=$B$3),IF($D$3="(todos)",TRUE,'ORDENES'!$AD652=$D$3),IF($F$3="(todos)",TRUE,'ORDENES'!$W652=$F$3),'ORDENES'!$AB652=TRUE),'ORDENES'!$AO652&amp;" | "&amp;'ORDENES'!$S652&amp;" | "&amp;IF('ORDENES'!$AC652="","(sin técnico)",'ORDENES'!$AC652)&amp;" | "&amp;'ORDENES'!$D652&amp;" ("&amp;'ORDENES'!$N652&amp;" h)","")</f>
        <v/>
      </c>
    </row>
    <row r="657">
      <c r="K657" s="3">
        <f>IF(AND(IF($B$3="(todos)",TRUE,'ORDENES'!$P653=$B$3),IF($D$3="(todos)",TRUE,'ORDENES'!$AD653=$D$3),IF($F$3="(todos)",TRUE,'ORDENES'!$W653=$F$3),'ORDENES'!$AB653=TRUE),'ORDENES'!$AO653&amp;" | "&amp;'ORDENES'!$S653&amp;" | "&amp;IF('ORDENES'!$AC653="","(sin técnico)",'ORDENES'!$AC653)&amp;" | "&amp;'ORDENES'!$D653&amp;" ("&amp;'ORDENES'!$N653&amp;" h)","")</f>
        <v/>
      </c>
    </row>
    <row r="658">
      <c r="K658" s="3">
        <f>IF(AND(IF($B$3="(todos)",TRUE,'ORDENES'!$P654=$B$3),IF($D$3="(todos)",TRUE,'ORDENES'!$AD654=$D$3),IF($F$3="(todos)",TRUE,'ORDENES'!$W654=$F$3),'ORDENES'!$AB654=TRUE),'ORDENES'!$AO654&amp;" | "&amp;'ORDENES'!$S654&amp;" | "&amp;IF('ORDENES'!$AC654="","(sin técnico)",'ORDENES'!$AC654)&amp;" | "&amp;'ORDENES'!$D654&amp;" ("&amp;'ORDENES'!$N654&amp;" h)","")</f>
        <v/>
      </c>
    </row>
    <row r="659">
      <c r="K659" s="3">
        <f>IF(AND(IF($B$3="(todos)",TRUE,'ORDENES'!$P655=$B$3),IF($D$3="(todos)",TRUE,'ORDENES'!$AD655=$D$3),IF($F$3="(todos)",TRUE,'ORDENES'!$W655=$F$3),'ORDENES'!$AB655=TRUE),'ORDENES'!$AO655&amp;" | "&amp;'ORDENES'!$S655&amp;" | "&amp;IF('ORDENES'!$AC655="","(sin técnico)",'ORDENES'!$AC655)&amp;" | "&amp;'ORDENES'!$D655&amp;" ("&amp;'ORDENES'!$N655&amp;" h)","")</f>
        <v/>
      </c>
    </row>
    <row r="660">
      <c r="K660" s="3">
        <f>IF(AND(IF($B$3="(todos)",TRUE,'ORDENES'!$P656=$B$3),IF($D$3="(todos)",TRUE,'ORDENES'!$AD656=$D$3),IF($F$3="(todos)",TRUE,'ORDENES'!$W656=$F$3),'ORDENES'!$AB656=TRUE),'ORDENES'!$AO656&amp;" | "&amp;'ORDENES'!$S656&amp;" | "&amp;IF('ORDENES'!$AC656="","(sin técnico)",'ORDENES'!$AC656)&amp;" | "&amp;'ORDENES'!$D656&amp;" ("&amp;'ORDENES'!$N656&amp;" h)","")</f>
        <v/>
      </c>
    </row>
    <row r="661">
      <c r="K661" s="3">
        <f>IF(AND(IF($B$3="(todos)",TRUE,'ORDENES'!$P657=$B$3),IF($D$3="(todos)",TRUE,'ORDENES'!$AD657=$D$3),IF($F$3="(todos)",TRUE,'ORDENES'!$W657=$F$3),'ORDENES'!$AB657=TRUE),'ORDENES'!$AO657&amp;" | "&amp;'ORDENES'!$S657&amp;" | "&amp;IF('ORDENES'!$AC657="","(sin técnico)",'ORDENES'!$AC657)&amp;" | "&amp;'ORDENES'!$D657&amp;" ("&amp;'ORDENES'!$N657&amp;" h)","")</f>
        <v/>
      </c>
    </row>
    <row r="662">
      <c r="K662" s="3">
        <f>IF(AND(IF($B$3="(todos)",TRUE,'ORDENES'!$P658=$B$3),IF($D$3="(todos)",TRUE,'ORDENES'!$AD658=$D$3),IF($F$3="(todos)",TRUE,'ORDENES'!$W658=$F$3),'ORDENES'!$AB658=TRUE),'ORDENES'!$AO658&amp;" | "&amp;'ORDENES'!$S658&amp;" | "&amp;IF('ORDENES'!$AC658="","(sin técnico)",'ORDENES'!$AC658)&amp;" | "&amp;'ORDENES'!$D658&amp;" ("&amp;'ORDENES'!$N658&amp;" h)","")</f>
        <v/>
      </c>
    </row>
    <row r="663">
      <c r="K663" s="3">
        <f>IF(AND(IF($B$3="(todos)",TRUE,'ORDENES'!$P659=$B$3),IF($D$3="(todos)",TRUE,'ORDENES'!$AD659=$D$3),IF($F$3="(todos)",TRUE,'ORDENES'!$W659=$F$3),'ORDENES'!$AB659=TRUE),'ORDENES'!$AO659&amp;" | "&amp;'ORDENES'!$S659&amp;" | "&amp;IF('ORDENES'!$AC659="","(sin técnico)",'ORDENES'!$AC659)&amp;" | "&amp;'ORDENES'!$D659&amp;" ("&amp;'ORDENES'!$N659&amp;" h)","")</f>
        <v/>
      </c>
    </row>
    <row r="664">
      <c r="K664" s="3">
        <f>IF(AND(IF($B$3="(todos)",TRUE,'ORDENES'!$P660=$B$3),IF($D$3="(todos)",TRUE,'ORDENES'!$AD660=$D$3),IF($F$3="(todos)",TRUE,'ORDENES'!$W660=$F$3),'ORDENES'!$AB660=TRUE),'ORDENES'!$AO660&amp;" | "&amp;'ORDENES'!$S660&amp;" | "&amp;IF('ORDENES'!$AC660="","(sin técnico)",'ORDENES'!$AC660)&amp;" | "&amp;'ORDENES'!$D660&amp;" ("&amp;'ORDENES'!$N660&amp;" h)","")</f>
        <v/>
      </c>
    </row>
    <row r="665">
      <c r="K665" s="3">
        <f>IF(AND(IF($B$3="(todos)",TRUE,'ORDENES'!$P661=$B$3),IF($D$3="(todos)",TRUE,'ORDENES'!$AD661=$D$3),IF($F$3="(todos)",TRUE,'ORDENES'!$W661=$F$3),'ORDENES'!$AB661=TRUE),'ORDENES'!$AO661&amp;" | "&amp;'ORDENES'!$S661&amp;" | "&amp;IF('ORDENES'!$AC661="","(sin técnico)",'ORDENES'!$AC661)&amp;" | "&amp;'ORDENES'!$D661&amp;" ("&amp;'ORDENES'!$N661&amp;" h)","")</f>
        <v/>
      </c>
    </row>
    <row r="666">
      <c r="K666" s="3">
        <f>IF(AND(IF($B$3="(todos)",TRUE,'ORDENES'!$P662=$B$3),IF($D$3="(todos)",TRUE,'ORDENES'!$AD662=$D$3),IF($F$3="(todos)",TRUE,'ORDENES'!$W662=$F$3),'ORDENES'!$AB662=TRUE),'ORDENES'!$AO662&amp;" | "&amp;'ORDENES'!$S662&amp;" | "&amp;IF('ORDENES'!$AC662="","(sin técnico)",'ORDENES'!$AC662)&amp;" | "&amp;'ORDENES'!$D662&amp;" ("&amp;'ORDENES'!$N662&amp;" h)","")</f>
        <v/>
      </c>
    </row>
    <row r="667">
      <c r="K667" s="3">
        <f>IF(AND(IF($B$3="(todos)",TRUE,'ORDENES'!$P663=$B$3),IF($D$3="(todos)",TRUE,'ORDENES'!$AD663=$D$3),IF($F$3="(todos)",TRUE,'ORDENES'!$W663=$F$3),'ORDENES'!$AB663=TRUE),'ORDENES'!$AO663&amp;" | "&amp;'ORDENES'!$S663&amp;" | "&amp;IF('ORDENES'!$AC663="","(sin técnico)",'ORDENES'!$AC663)&amp;" | "&amp;'ORDENES'!$D663&amp;" ("&amp;'ORDENES'!$N663&amp;" h)","")</f>
        <v/>
      </c>
    </row>
    <row r="668">
      <c r="K668" s="3">
        <f>IF(AND(IF($B$3="(todos)",TRUE,'ORDENES'!$P664=$B$3),IF($D$3="(todos)",TRUE,'ORDENES'!$AD664=$D$3),IF($F$3="(todos)",TRUE,'ORDENES'!$W664=$F$3),'ORDENES'!$AB664=TRUE),'ORDENES'!$AO664&amp;" | "&amp;'ORDENES'!$S664&amp;" | "&amp;IF('ORDENES'!$AC664="","(sin técnico)",'ORDENES'!$AC664)&amp;" | "&amp;'ORDENES'!$D664&amp;" ("&amp;'ORDENES'!$N664&amp;" h)","")</f>
        <v/>
      </c>
    </row>
    <row r="669">
      <c r="K669" s="3">
        <f>IF(AND(IF($B$3="(todos)",TRUE,'ORDENES'!$P665=$B$3),IF($D$3="(todos)",TRUE,'ORDENES'!$AD665=$D$3),IF($F$3="(todos)",TRUE,'ORDENES'!$W665=$F$3),'ORDENES'!$AB665=TRUE),'ORDENES'!$AO665&amp;" | "&amp;'ORDENES'!$S665&amp;" | "&amp;IF('ORDENES'!$AC665="","(sin técnico)",'ORDENES'!$AC665)&amp;" | "&amp;'ORDENES'!$D665&amp;" ("&amp;'ORDENES'!$N665&amp;" h)","")</f>
        <v/>
      </c>
    </row>
    <row r="670">
      <c r="K670" s="3">
        <f>IF(AND(IF($B$3="(todos)",TRUE,'ORDENES'!$P666=$B$3),IF($D$3="(todos)",TRUE,'ORDENES'!$AD666=$D$3),IF($F$3="(todos)",TRUE,'ORDENES'!$W666=$F$3),'ORDENES'!$AB666=TRUE),'ORDENES'!$AO666&amp;" | "&amp;'ORDENES'!$S666&amp;" | "&amp;IF('ORDENES'!$AC666="","(sin técnico)",'ORDENES'!$AC666)&amp;" | "&amp;'ORDENES'!$D666&amp;" ("&amp;'ORDENES'!$N666&amp;" h)","")</f>
        <v/>
      </c>
    </row>
    <row r="671">
      <c r="K671" s="3">
        <f>IF(AND(IF($B$3="(todos)",TRUE,'ORDENES'!$P667=$B$3),IF($D$3="(todos)",TRUE,'ORDENES'!$AD667=$D$3),IF($F$3="(todos)",TRUE,'ORDENES'!$W667=$F$3),'ORDENES'!$AB667=TRUE),'ORDENES'!$AO667&amp;" | "&amp;'ORDENES'!$S667&amp;" | "&amp;IF('ORDENES'!$AC667="","(sin técnico)",'ORDENES'!$AC667)&amp;" | "&amp;'ORDENES'!$D667&amp;" ("&amp;'ORDENES'!$N667&amp;" h)","")</f>
        <v/>
      </c>
    </row>
    <row r="672">
      <c r="K672" s="3">
        <f>IF(AND(IF($B$3="(todos)",TRUE,'ORDENES'!$P668=$B$3),IF($D$3="(todos)",TRUE,'ORDENES'!$AD668=$D$3),IF($F$3="(todos)",TRUE,'ORDENES'!$W668=$F$3),'ORDENES'!$AB668=TRUE),'ORDENES'!$AO668&amp;" | "&amp;'ORDENES'!$S668&amp;" | "&amp;IF('ORDENES'!$AC668="","(sin técnico)",'ORDENES'!$AC668)&amp;" | "&amp;'ORDENES'!$D668&amp;" ("&amp;'ORDENES'!$N668&amp;" h)","")</f>
        <v/>
      </c>
    </row>
    <row r="673">
      <c r="K673" s="3">
        <f>IF(AND(IF($B$3="(todos)",TRUE,'ORDENES'!$P669=$B$3),IF($D$3="(todos)",TRUE,'ORDENES'!$AD669=$D$3),IF($F$3="(todos)",TRUE,'ORDENES'!$W669=$F$3),'ORDENES'!$AB669=TRUE),'ORDENES'!$AO669&amp;" | "&amp;'ORDENES'!$S669&amp;" | "&amp;IF('ORDENES'!$AC669="","(sin técnico)",'ORDENES'!$AC669)&amp;" | "&amp;'ORDENES'!$D669&amp;" ("&amp;'ORDENES'!$N669&amp;" h)","")</f>
        <v/>
      </c>
    </row>
    <row r="674">
      <c r="K674" s="3">
        <f>IF(AND(IF($B$3="(todos)",TRUE,'ORDENES'!$P670=$B$3),IF($D$3="(todos)",TRUE,'ORDENES'!$AD670=$D$3),IF($F$3="(todos)",TRUE,'ORDENES'!$W670=$F$3),'ORDENES'!$AB670=TRUE),'ORDENES'!$AO670&amp;" | "&amp;'ORDENES'!$S670&amp;" | "&amp;IF('ORDENES'!$AC670="","(sin técnico)",'ORDENES'!$AC670)&amp;" | "&amp;'ORDENES'!$D670&amp;" ("&amp;'ORDENES'!$N670&amp;" h)","")</f>
        <v/>
      </c>
    </row>
    <row r="675">
      <c r="K675" s="3">
        <f>IF(AND(IF($B$3="(todos)",TRUE,'ORDENES'!$P671=$B$3),IF($D$3="(todos)",TRUE,'ORDENES'!$AD671=$D$3),IF($F$3="(todos)",TRUE,'ORDENES'!$W671=$F$3),'ORDENES'!$AB671=TRUE),'ORDENES'!$AO671&amp;" | "&amp;'ORDENES'!$S671&amp;" | "&amp;IF('ORDENES'!$AC671="","(sin técnico)",'ORDENES'!$AC671)&amp;" | "&amp;'ORDENES'!$D671&amp;" ("&amp;'ORDENES'!$N671&amp;" h)","")</f>
        <v/>
      </c>
    </row>
    <row r="676">
      <c r="K676" s="3">
        <f>IF(AND(IF($B$3="(todos)",TRUE,'ORDENES'!$P672=$B$3),IF($D$3="(todos)",TRUE,'ORDENES'!$AD672=$D$3),IF($F$3="(todos)",TRUE,'ORDENES'!$W672=$F$3),'ORDENES'!$AB672=TRUE),'ORDENES'!$AO672&amp;" | "&amp;'ORDENES'!$S672&amp;" | "&amp;IF('ORDENES'!$AC672="","(sin técnico)",'ORDENES'!$AC672)&amp;" | "&amp;'ORDENES'!$D672&amp;" ("&amp;'ORDENES'!$N672&amp;" h)","")</f>
        <v/>
      </c>
    </row>
    <row r="677">
      <c r="K677" s="3">
        <f>IF(AND(IF($B$3="(todos)",TRUE,'ORDENES'!$P673=$B$3),IF($D$3="(todos)",TRUE,'ORDENES'!$AD673=$D$3),IF($F$3="(todos)",TRUE,'ORDENES'!$W673=$F$3),'ORDENES'!$AB673=TRUE),'ORDENES'!$AO673&amp;" | "&amp;'ORDENES'!$S673&amp;" | "&amp;IF('ORDENES'!$AC673="","(sin técnico)",'ORDENES'!$AC673)&amp;" | "&amp;'ORDENES'!$D673&amp;" ("&amp;'ORDENES'!$N673&amp;" h)","")</f>
        <v/>
      </c>
    </row>
    <row r="678">
      <c r="K678" s="3">
        <f>IF(AND(IF($B$3="(todos)",TRUE,'ORDENES'!$P674=$B$3),IF($D$3="(todos)",TRUE,'ORDENES'!$AD674=$D$3),IF($F$3="(todos)",TRUE,'ORDENES'!$W674=$F$3),'ORDENES'!$AB674=TRUE),'ORDENES'!$AO674&amp;" | "&amp;'ORDENES'!$S674&amp;" | "&amp;IF('ORDENES'!$AC674="","(sin técnico)",'ORDENES'!$AC674)&amp;" | "&amp;'ORDENES'!$D674&amp;" ("&amp;'ORDENES'!$N674&amp;" h)","")</f>
        <v/>
      </c>
    </row>
    <row r="679">
      <c r="K679" s="3">
        <f>IF(AND(IF($B$3="(todos)",TRUE,'ORDENES'!$P675=$B$3),IF($D$3="(todos)",TRUE,'ORDENES'!$AD675=$D$3),IF($F$3="(todos)",TRUE,'ORDENES'!$W675=$F$3),'ORDENES'!$AB675=TRUE),'ORDENES'!$AO675&amp;" | "&amp;'ORDENES'!$S675&amp;" | "&amp;IF('ORDENES'!$AC675="","(sin técnico)",'ORDENES'!$AC675)&amp;" | "&amp;'ORDENES'!$D675&amp;" ("&amp;'ORDENES'!$N675&amp;" h)","")</f>
        <v/>
      </c>
    </row>
    <row r="680">
      <c r="K680" s="3">
        <f>IF(AND(IF($B$3="(todos)",TRUE,'ORDENES'!$P676=$B$3),IF($D$3="(todos)",TRUE,'ORDENES'!$AD676=$D$3),IF($F$3="(todos)",TRUE,'ORDENES'!$W676=$F$3),'ORDENES'!$AB676=TRUE),'ORDENES'!$AO676&amp;" | "&amp;'ORDENES'!$S676&amp;" | "&amp;IF('ORDENES'!$AC676="","(sin técnico)",'ORDENES'!$AC676)&amp;" | "&amp;'ORDENES'!$D676&amp;" ("&amp;'ORDENES'!$N676&amp;" h)","")</f>
        <v/>
      </c>
    </row>
    <row r="681">
      <c r="K681" s="3">
        <f>IF(AND(IF($B$3="(todos)",TRUE,'ORDENES'!$P677=$B$3),IF($D$3="(todos)",TRUE,'ORDENES'!$AD677=$D$3),IF($F$3="(todos)",TRUE,'ORDENES'!$W677=$F$3),'ORDENES'!$AB677=TRUE),'ORDENES'!$AO677&amp;" | "&amp;'ORDENES'!$S677&amp;" | "&amp;IF('ORDENES'!$AC677="","(sin técnico)",'ORDENES'!$AC677)&amp;" | "&amp;'ORDENES'!$D677&amp;" ("&amp;'ORDENES'!$N677&amp;" h)","")</f>
        <v/>
      </c>
    </row>
    <row r="682">
      <c r="K682" s="3">
        <f>IF(AND(IF($B$3="(todos)",TRUE,'ORDENES'!$P678=$B$3),IF($D$3="(todos)",TRUE,'ORDENES'!$AD678=$D$3),IF($F$3="(todos)",TRUE,'ORDENES'!$W678=$F$3),'ORDENES'!$AB678=TRUE),'ORDENES'!$AO678&amp;" | "&amp;'ORDENES'!$S678&amp;" | "&amp;IF('ORDENES'!$AC678="","(sin técnico)",'ORDENES'!$AC678)&amp;" | "&amp;'ORDENES'!$D678&amp;" ("&amp;'ORDENES'!$N678&amp;" h)","")</f>
        <v/>
      </c>
    </row>
    <row r="683">
      <c r="K683" s="3">
        <f>IF(AND(IF($B$3="(todos)",TRUE,'ORDENES'!$P679=$B$3),IF($D$3="(todos)",TRUE,'ORDENES'!$AD679=$D$3),IF($F$3="(todos)",TRUE,'ORDENES'!$W679=$F$3),'ORDENES'!$AB679=TRUE),'ORDENES'!$AO679&amp;" | "&amp;'ORDENES'!$S679&amp;" | "&amp;IF('ORDENES'!$AC679="","(sin técnico)",'ORDENES'!$AC679)&amp;" | "&amp;'ORDENES'!$D679&amp;" ("&amp;'ORDENES'!$N679&amp;" h)","")</f>
        <v/>
      </c>
    </row>
    <row r="684">
      <c r="K684" s="3">
        <f>IF(AND(IF($B$3="(todos)",TRUE,'ORDENES'!$P680=$B$3),IF($D$3="(todos)",TRUE,'ORDENES'!$AD680=$D$3),IF($F$3="(todos)",TRUE,'ORDENES'!$W680=$F$3),'ORDENES'!$AB680=TRUE),'ORDENES'!$AO680&amp;" | "&amp;'ORDENES'!$S680&amp;" | "&amp;IF('ORDENES'!$AC680="","(sin técnico)",'ORDENES'!$AC680)&amp;" | "&amp;'ORDENES'!$D680&amp;" ("&amp;'ORDENES'!$N680&amp;" h)","")</f>
        <v/>
      </c>
    </row>
    <row r="685">
      <c r="K685" s="3">
        <f>IF(AND(IF($B$3="(todos)",TRUE,'ORDENES'!$P681=$B$3),IF($D$3="(todos)",TRUE,'ORDENES'!$AD681=$D$3),IF($F$3="(todos)",TRUE,'ORDENES'!$W681=$F$3),'ORDENES'!$AB681=TRUE),'ORDENES'!$AO681&amp;" | "&amp;'ORDENES'!$S681&amp;" | "&amp;IF('ORDENES'!$AC681="","(sin técnico)",'ORDENES'!$AC681)&amp;" | "&amp;'ORDENES'!$D681&amp;" ("&amp;'ORDENES'!$N681&amp;" h)","")</f>
        <v/>
      </c>
    </row>
    <row r="686">
      <c r="K686" s="3">
        <f>IF(AND(IF($B$3="(todos)",TRUE,'ORDENES'!$P682=$B$3),IF($D$3="(todos)",TRUE,'ORDENES'!$AD682=$D$3),IF($F$3="(todos)",TRUE,'ORDENES'!$W682=$F$3),'ORDENES'!$AB682=TRUE),'ORDENES'!$AO682&amp;" | "&amp;'ORDENES'!$S682&amp;" | "&amp;IF('ORDENES'!$AC682="","(sin técnico)",'ORDENES'!$AC682)&amp;" | "&amp;'ORDENES'!$D682&amp;" ("&amp;'ORDENES'!$N682&amp;" h)","")</f>
        <v/>
      </c>
    </row>
    <row r="687">
      <c r="K687" s="3">
        <f>IF(AND(IF($B$3="(todos)",TRUE,'ORDENES'!$P683=$B$3),IF($D$3="(todos)",TRUE,'ORDENES'!$AD683=$D$3),IF($F$3="(todos)",TRUE,'ORDENES'!$W683=$F$3),'ORDENES'!$AB683=TRUE),'ORDENES'!$AO683&amp;" | "&amp;'ORDENES'!$S683&amp;" | "&amp;IF('ORDENES'!$AC683="","(sin técnico)",'ORDENES'!$AC683)&amp;" | "&amp;'ORDENES'!$D683&amp;" ("&amp;'ORDENES'!$N683&amp;" h)","")</f>
        <v/>
      </c>
    </row>
    <row r="688">
      <c r="K688" s="3">
        <f>IF(AND(IF($B$3="(todos)",TRUE,'ORDENES'!$P684=$B$3),IF($D$3="(todos)",TRUE,'ORDENES'!$AD684=$D$3),IF($F$3="(todos)",TRUE,'ORDENES'!$W684=$F$3),'ORDENES'!$AB684=TRUE),'ORDENES'!$AO684&amp;" | "&amp;'ORDENES'!$S684&amp;" | "&amp;IF('ORDENES'!$AC684="","(sin técnico)",'ORDENES'!$AC684)&amp;" | "&amp;'ORDENES'!$D684&amp;" ("&amp;'ORDENES'!$N684&amp;" h)","")</f>
        <v/>
      </c>
    </row>
    <row r="689">
      <c r="K689" s="3">
        <f>IF(AND(IF($B$3="(todos)",TRUE,'ORDENES'!$P685=$B$3),IF($D$3="(todos)",TRUE,'ORDENES'!$AD685=$D$3),IF($F$3="(todos)",TRUE,'ORDENES'!$W685=$F$3),'ORDENES'!$AB685=TRUE),'ORDENES'!$AO685&amp;" | "&amp;'ORDENES'!$S685&amp;" | "&amp;IF('ORDENES'!$AC685="","(sin técnico)",'ORDENES'!$AC685)&amp;" | "&amp;'ORDENES'!$D685&amp;" ("&amp;'ORDENES'!$N685&amp;" h)","")</f>
        <v/>
      </c>
    </row>
    <row r="690">
      <c r="K690" s="3">
        <f>IF(AND(IF($B$3="(todos)",TRUE,'ORDENES'!$P686=$B$3),IF($D$3="(todos)",TRUE,'ORDENES'!$AD686=$D$3),IF($F$3="(todos)",TRUE,'ORDENES'!$W686=$F$3),'ORDENES'!$AB686=TRUE),'ORDENES'!$AO686&amp;" | "&amp;'ORDENES'!$S686&amp;" | "&amp;IF('ORDENES'!$AC686="","(sin técnico)",'ORDENES'!$AC686)&amp;" | "&amp;'ORDENES'!$D686&amp;" ("&amp;'ORDENES'!$N686&amp;" h)","")</f>
        <v/>
      </c>
    </row>
    <row r="691">
      <c r="K691" s="3">
        <f>IF(AND(IF($B$3="(todos)",TRUE,'ORDENES'!$P687=$B$3),IF($D$3="(todos)",TRUE,'ORDENES'!$AD687=$D$3),IF($F$3="(todos)",TRUE,'ORDENES'!$W687=$F$3),'ORDENES'!$AB687=TRUE),'ORDENES'!$AO687&amp;" | "&amp;'ORDENES'!$S687&amp;" | "&amp;IF('ORDENES'!$AC687="","(sin técnico)",'ORDENES'!$AC687)&amp;" | "&amp;'ORDENES'!$D687&amp;" ("&amp;'ORDENES'!$N687&amp;" h)","")</f>
        <v/>
      </c>
    </row>
    <row r="692">
      <c r="K692" s="3">
        <f>IF(AND(IF($B$3="(todos)",TRUE,'ORDENES'!$P688=$B$3),IF($D$3="(todos)",TRUE,'ORDENES'!$AD688=$D$3),IF($F$3="(todos)",TRUE,'ORDENES'!$W688=$F$3),'ORDENES'!$AB688=TRUE),'ORDENES'!$AO688&amp;" | "&amp;'ORDENES'!$S688&amp;" | "&amp;IF('ORDENES'!$AC688="","(sin técnico)",'ORDENES'!$AC688)&amp;" | "&amp;'ORDENES'!$D688&amp;" ("&amp;'ORDENES'!$N688&amp;" h)","")</f>
        <v/>
      </c>
    </row>
    <row r="693">
      <c r="K693" s="3">
        <f>IF(AND(IF($B$3="(todos)",TRUE,'ORDENES'!$P689=$B$3),IF($D$3="(todos)",TRUE,'ORDENES'!$AD689=$D$3),IF($F$3="(todos)",TRUE,'ORDENES'!$W689=$F$3),'ORDENES'!$AB689=TRUE),'ORDENES'!$AO689&amp;" | "&amp;'ORDENES'!$S689&amp;" | "&amp;IF('ORDENES'!$AC689="","(sin técnico)",'ORDENES'!$AC689)&amp;" | "&amp;'ORDENES'!$D689&amp;" ("&amp;'ORDENES'!$N689&amp;" h)","")</f>
        <v/>
      </c>
    </row>
    <row r="694">
      <c r="K694" s="3">
        <f>IF(AND(IF($B$3="(todos)",TRUE,'ORDENES'!$P690=$B$3),IF($D$3="(todos)",TRUE,'ORDENES'!$AD690=$D$3),IF($F$3="(todos)",TRUE,'ORDENES'!$W690=$F$3),'ORDENES'!$AB690=TRUE),'ORDENES'!$AO690&amp;" | "&amp;'ORDENES'!$S690&amp;" | "&amp;IF('ORDENES'!$AC690="","(sin técnico)",'ORDENES'!$AC690)&amp;" | "&amp;'ORDENES'!$D690&amp;" ("&amp;'ORDENES'!$N690&amp;" h)","")</f>
        <v/>
      </c>
    </row>
    <row r="695">
      <c r="K695" s="3">
        <f>IF(AND(IF($B$3="(todos)",TRUE,'ORDENES'!$P691=$B$3),IF($D$3="(todos)",TRUE,'ORDENES'!$AD691=$D$3),IF($F$3="(todos)",TRUE,'ORDENES'!$W691=$F$3),'ORDENES'!$AB691=TRUE),'ORDENES'!$AO691&amp;" | "&amp;'ORDENES'!$S691&amp;" | "&amp;IF('ORDENES'!$AC691="","(sin técnico)",'ORDENES'!$AC691)&amp;" | "&amp;'ORDENES'!$D691&amp;" ("&amp;'ORDENES'!$N691&amp;" h)","")</f>
        <v/>
      </c>
    </row>
    <row r="696">
      <c r="K696" s="3">
        <f>IF(AND(IF($B$3="(todos)",TRUE,'ORDENES'!$P692=$B$3),IF($D$3="(todos)",TRUE,'ORDENES'!$AD692=$D$3),IF($F$3="(todos)",TRUE,'ORDENES'!$W692=$F$3),'ORDENES'!$AB692=TRUE),'ORDENES'!$AO692&amp;" | "&amp;'ORDENES'!$S692&amp;" | "&amp;IF('ORDENES'!$AC692="","(sin técnico)",'ORDENES'!$AC692)&amp;" | "&amp;'ORDENES'!$D692&amp;" ("&amp;'ORDENES'!$N692&amp;" h)","")</f>
        <v/>
      </c>
    </row>
    <row r="697">
      <c r="K697" s="3">
        <f>IF(AND(IF($B$3="(todos)",TRUE,'ORDENES'!$P693=$B$3),IF($D$3="(todos)",TRUE,'ORDENES'!$AD693=$D$3),IF($F$3="(todos)",TRUE,'ORDENES'!$W693=$F$3),'ORDENES'!$AB693=TRUE),'ORDENES'!$AO693&amp;" | "&amp;'ORDENES'!$S693&amp;" | "&amp;IF('ORDENES'!$AC693="","(sin técnico)",'ORDENES'!$AC693)&amp;" | "&amp;'ORDENES'!$D693&amp;" ("&amp;'ORDENES'!$N693&amp;" h)","")</f>
        <v/>
      </c>
    </row>
    <row r="698">
      <c r="K698" s="3">
        <f>IF(AND(IF($B$3="(todos)",TRUE,'ORDENES'!$P694=$B$3),IF($D$3="(todos)",TRUE,'ORDENES'!$AD694=$D$3),IF($F$3="(todos)",TRUE,'ORDENES'!$W694=$F$3),'ORDENES'!$AB694=TRUE),'ORDENES'!$AO694&amp;" | "&amp;'ORDENES'!$S694&amp;" | "&amp;IF('ORDENES'!$AC694="","(sin técnico)",'ORDENES'!$AC694)&amp;" | "&amp;'ORDENES'!$D694&amp;" ("&amp;'ORDENES'!$N694&amp;" h)","")</f>
        <v/>
      </c>
    </row>
    <row r="699">
      <c r="K699" s="3">
        <f>IF(AND(IF($B$3="(todos)",TRUE,'ORDENES'!$P695=$B$3),IF($D$3="(todos)",TRUE,'ORDENES'!$AD695=$D$3),IF($F$3="(todos)",TRUE,'ORDENES'!$W695=$F$3),'ORDENES'!$AB695=TRUE),'ORDENES'!$AO695&amp;" | "&amp;'ORDENES'!$S695&amp;" | "&amp;IF('ORDENES'!$AC695="","(sin técnico)",'ORDENES'!$AC695)&amp;" | "&amp;'ORDENES'!$D695&amp;" ("&amp;'ORDENES'!$N695&amp;" h)","")</f>
        <v/>
      </c>
    </row>
    <row r="700">
      <c r="K700" s="3">
        <f>IF(AND(IF($B$3="(todos)",TRUE,'ORDENES'!$P696=$B$3),IF($D$3="(todos)",TRUE,'ORDENES'!$AD696=$D$3),IF($F$3="(todos)",TRUE,'ORDENES'!$W696=$F$3),'ORDENES'!$AB696=TRUE),'ORDENES'!$AO696&amp;" | "&amp;'ORDENES'!$S696&amp;" | "&amp;IF('ORDENES'!$AC696="","(sin técnico)",'ORDENES'!$AC696)&amp;" | "&amp;'ORDENES'!$D696&amp;" ("&amp;'ORDENES'!$N696&amp;" h)","")</f>
        <v/>
      </c>
    </row>
    <row r="701">
      <c r="K701" s="3">
        <f>IF(AND(IF($B$3="(todos)",TRUE,'ORDENES'!$P697=$B$3),IF($D$3="(todos)",TRUE,'ORDENES'!$AD697=$D$3),IF($F$3="(todos)",TRUE,'ORDENES'!$W697=$F$3),'ORDENES'!$AB697=TRUE),'ORDENES'!$AO697&amp;" | "&amp;'ORDENES'!$S697&amp;" | "&amp;IF('ORDENES'!$AC697="","(sin técnico)",'ORDENES'!$AC697)&amp;" | "&amp;'ORDENES'!$D697&amp;" ("&amp;'ORDENES'!$N697&amp;" h)","")</f>
        <v/>
      </c>
    </row>
    <row r="702">
      <c r="K702" s="3">
        <f>IF(AND(IF($B$3="(todos)",TRUE,'ORDENES'!$P698=$B$3),IF($D$3="(todos)",TRUE,'ORDENES'!$AD698=$D$3),IF($F$3="(todos)",TRUE,'ORDENES'!$W698=$F$3),'ORDENES'!$AB698=TRUE),'ORDENES'!$AO698&amp;" | "&amp;'ORDENES'!$S698&amp;" | "&amp;IF('ORDENES'!$AC698="","(sin técnico)",'ORDENES'!$AC698)&amp;" | "&amp;'ORDENES'!$D698&amp;" ("&amp;'ORDENES'!$N698&amp;" h)","")</f>
        <v/>
      </c>
    </row>
    <row r="703">
      <c r="K703" s="3">
        <f>IF(AND(IF($B$3="(todos)",TRUE,'ORDENES'!$P699=$B$3),IF($D$3="(todos)",TRUE,'ORDENES'!$AD699=$D$3),IF($F$3="(todos)",TRUE,'ORDENES'!$W699=$F$3),'ORDENES'!$AB699=TRUE),'ORDENES'!$AO699&amp;" | "&amp;'ORDENES'!$S699&amp;" | "&amp;IF('ORDENES'!$AC699="","(sin técnico)",'ORDENES'!$AC699)&amp;" | "&amp;'ORDENES'!$D699&amp;" ("&amp;'ORDENES'!$N699&amp;" h)","")</f>
        <v/>
      </c>
    </row>
    <row r="704">
      <c r="K704" s="3">
        <f>IF(AND(IF($B$3="(todos)",TRUE,'ORDENES'!$P700=$B$3),IF($D$3="(todos)",TRUE,'ORDENES'!$AD700=$D$3),IF($F$3="(todos)",TRUE,'ORDENES'!$W700=$F$3),'ORDENES'!$AB700=TRUE),'ORDENES'!$AO700&amp;" | "&amp;'ORDENES'!$S700&amp;" | "&amp;IF('ORDENES'!$AC700="","(sin técnico)",'ORDENES'!$AC700)&amp;" | "&amp;'ORDENES'!$D700&amp;" ("&amp;'ORDENES'!$N700&amp;" h)","")</f>
        <v/>
      </c>
    </row>
    <row r="705">
      <c r="K705" s="3">
        <f>IF(AND(IF($B$3="(todos)",TRUE,'ORDENES'!$P701=$B$3),IF($D$3="(todos)",TRUE,'ORDENES'!$AD701=$D$3),IF($F$3="(todos)",TRUE,'ORDENES'!$W701=$F$3),'ORDENES'!$AB701=TRUE),'ORDENES'!$AO701&amp;" | "&amp;'ORDENES'!$S701&amp;" | "&amp;IF('ORDENES'!$AC701="","(sin técnico)",'ORDENES'!$AC701)&amp;" | "&amp;'ORDENES'!$D701&amp;" ("&amp;'ORDENES'!$N701&amp;" h)","")</f>
        <v/>
      </c>
    </row>
    <row r="706">
      <c r="K706" s="3">
        <f>IF(AND(IF($B$3="(todos)",TRUE,'ORDENES'!$P702=$B$3),IF($D$3="(todos)",TRUE,'ORDENES'!$AD702=$D$3),IF($F$3="(todos)",TRUE,'ORDENES'!$W702=$F$3),'ORDENES'!$AB702=TRUE),'ORDENES'!$AO702&amp;" | "&amp;'ORDENES'!$S702&amp;" | "&amp;IF('ORDENES'!$AC702="","(sin técnico)",'ORDENES'!$AC702)&amp;" | "&amp;'ORDENES'!$D702&amp;" ("&amp;'ORDENES'!$N702&amp;" h)","")</f>
        <v/>
      </c>
    </row>
    <row r="707">
      <c r="K707" s="3">
        <f>IF(AND(IF($B$3="(todos)",TRUE,'ORDENES'!$P703=$B$3),IF($D$3="(todos)",TRUE,'ORDENES'!$AD703=$D$3),IF($F$3="(todos)",TRUE,'ORDENES'!$W703=$F$3),'ORDENES'!$AB703=TRUE),'ORDENES'!$AO703&amp;" | "&amp;'ORDENES'!$S703&amp;" | "&amp;IF('ORDENES'!$AC703="","(sin técnico)",'ORDENES'!$AC703)&amp;" | "&amp;'ORDENES'!$D703&amp;" ("&amp;'ORDENES'!$N703&amp;" h)","")</f>
        <v/>
      </c>
    </row>
    <row r="708">
      <c r="K708" s="3">
        <f>IF(AND(IF($B$3="(todos)",TRUE,'ORDENES'!$P704=$B$3),IF($D$3="(todos)",TRUE,'ORDENES'!$AD704=$D$3),IF($F$3="(todos)",TRUE,'ORDENES'!$W704=$F$3),'ORDENES'!$AB704=TRUE),'ORDENES'!$AO704&amp;" | "&amp;'ORDENES'!$S704&amp;" | "&amp;IF('ORDENES'!$AC704="","(sin técnico)",'ORDENES'!$AC704)&amp;" | "&amp;'ORDENES'!$D704&amp;" ("&amp;'ORDENES'!$N704&amp;" h)","")</f>
        <v/>
      </c>
    </row>
    <row r="709">
      <c r="K709" s="3">
        <f>IF(AND(IF($B$3="(todos)",TRUE,'ORDENES'!$P705=$B$3),IF($D$3="(todos)",TRUE,'ORDENES'!$AD705=$D$3),IF($F$3="(todos)",TRUE,'ORDENES'!$W705=$F$3),'ORDENES'!$AB705=TRUE),'ORDENES'!$AO705&amp;" | "&amp;'ORDENES'!$S705&amp;" | "&amp;IF('ORDENES'!$AC705="","(sin técnico)",'ORDENES'!$AC705)&amp;" | "&amp;'ORDENES'!$D705&amp;" ("&amp;'ORDENES'!$N705&amp;" h)","")</f>
        <v/>
      </c>
    </row>
    <row r="710">
      <c r="K710" s="3">
        <f>IF(AND(IF($B$3="(todos)",TRUE,'ORDENES'!$P706=$B$3),IF($D$3="(todos)",TRUE,'ORDENES'!$AD706=$D$3),IF($F$3="(todos)",TRUE,'ORDENES'!$W706=$F$3),'ORDENES'!$AB706=TRUE),'ORDENES'!$AO706&amp;" | "&amp;'ORDENES'!$S706&amp;" | "&amp;IF('ORDENES'!$AC706="","(sin técnico)",'ORDENES'!$AC706)&amp;" | "&amp;'ORDENES'!$D706&amp;" ("&amp;'ORDENES'!$N706&amp;" h)","")</f>
        <v/>
      </c>
    </row>
    <row r="711">
      <c r="K711" s="3">
        <f>IF(AND(IF($B$3="(todos)",TRUE,'ORDENES'!$P707=$B$3),IF($D$3="(todos)",TRUE,'ORDENES'!$AD707=$D$3),IF($F$3="(todos)",TRUE,'ORDENES'!$W707=$F$3),'ORDENES'!$AB707=TRUE),'ORDENES'!$AO707&amp;" | "&amp;'ORDENES'!$S707&amp;" | "&amp;IF('ORDENES'!$AC707="","(sin técnico)",'ORDENES'!$AC707)&amp;" | "&amp;'ORDENES'!$D707&amp;" ("&amp;'ORDENES'!$N707&amp;" h)","")</f>
        <v/>
      </c>
    </row>
    <row r="712">
      <c r="K712" s="3">
        <f>IF(AND(IF($B$3="(todos)",TRUE,'ORDENES'!$P708=$B$3),IF($D$3="(todos)",TRUE,'ORDENES'!$AD708=$D$3),IF($F$3="(todos)",TRUE,'ORDENES'!$W708=$F$3),'ORDENES'!$AB708=TRUE),'ORDENES'!$AO708&amp;" | "&amp;'ORDENES'!$S708&amp;" | "&amp;IF('ORDENES'!$AC708="","(sin técnico)",'ORDENES'!$AC708)&amp;" | "&amp;'ORDENES'!$D708&amp;" ("&amp;'ORDENES'!$N708&amp;" h)","")</f>
        <v/>
      </c>
    </row>
    <row r="713">
      <c r="K713" s="3">
        <f>IF(AND(IF($B$3="(todos)",TRUE,'ORDENES'!$P709=$B$3),IF($D$3="(todos)",TRUE,'ORDENES'!$AD709=$D$3),IF($F$3="(todos)",TRUE,'ORDENES'!$W709=$F$3),'ORDENES'!$AB709=TRUE),'ORDENES'!$AO709&amp;" | "&amp;'ORDENES'!$S709&amp;" | "&amp;IF('ORDENES'!$AC709="","(sin técnico)",'ORDENES'!$AC709)&amp;" | "&amp;'ORDENES'!$D709&amp;" ("&amp;'ORDENES'!$N709&amp;" h)","")</f>
        <v/>
      </c>
    </row>
    <row r="714">
      <c r="K714" s="3">
        <f>IF(AND(IF($B$3="(todos)",TRUE,'ORDENES'!$P710=$B$3),IF($D$3="(todos)",TRUE,'ORDENES'!$AD710=$D$3),IF($F$3="(todos)",TRUE,'ORDENES'!$W710=$F$3),'ORDENES'!$AB710=TRUE),'ORDENES'!$AO710&amp;" | "&amp;'ORDENES'!$S710&amp;" | "&amp;IF('ORDENES'!$AC710="","(sin técnico)",'ORDENES'!$AC710)&amp;" | "&amp;'ORDENES'!$D710&amp;" ("&amp;'ORDENES'!$N710&amp;" h)","")</f>
        <v/>
      </c>
    </row>
    <row r="715">
      <c r="K715" s="3">
        <f>IF(AND(IF($B$3="(todos)",TRUE,'ORDENES'!$P711=$B$3),IF($D$3="(todos)",TRUE,'ORDENES'!$AD711=$D$3),IF($F$3="(todos)",TRUE,'ORDENES'!$W711=$F$3),'ORDENES'!$AB711=TRUE),'ORDENES'!$AO711&amp;" | "&amp;'ORDENES'!$S711&amp;" | "&amp;IF('ORDENES'!$AC711="","(sin técnico)",'ORDENES'!$AC711)&amp;" | "&amp;'ORDENES'!$D711&amp;" ("&amp;'ORDENES'!$N711&amp;" h)","")</f>
        <v/>
      </c>
    </row>
    <row r="716">
      <c r="K716" s="3">
        <f>IF(AND(IF($B$3="(todos)",TRUE,'ORDENES'!$P712=$B$3),IF($D$3="(todos)",TRUE,'ORDENES'!$AD712=$D$3),IF($F$3="(todos)",TRUE,'ORDENES'!$W712=$F$3),'ORDENES'!$AB712=TRUE),'ORDENES'!$AO712&amp;" | "&amp;'ORDENES'!$S712&amp;" | "&amp;IF('ORDENES'!$AC712="","(sin técnico)",'ORDENES'!$AC712)&amp;" | "&amp;'ORDENES'!$D712&amp;" ("&amp;'ORDENES'!$N712&amp;" h)","")</f>
        <v/>
      </c>
    </row>
    <row r="717">
      <c r="K717" s="3">
        <f>IF(AND(IF($B$3="(todos)",TRUE,'ORDENES'!$P713=$B$3),IF($D$3="(todos)",TRUE,'ORDENES'!$AD713=$D$3),IF($F$3="(todos)",TRUE,'ORDENES'!$W713=$F$3),'ORDENES'!$AB713=TRUE),'ORDENES'!$AO713&amp;" | "&amp;'ORDENES'!$S713&amp;" | "&amp;IF('ORDENES'!$AC713="","(sin técnico)",'ORDENES'!$AC713)&amp;" | "&amp;'ORDENES'!$D713&amp;" ("&amp;'ORDENES'!$N713&amp;" h)","")</f>
        <v/>
      </c>
    </row>
    <row r="718">
      <c r="K718" s="3">
        <f>IF(AND(IF($B$3="(todos)",TRUE,'ORDENES'!$P714=$B$3),IF($D$3="(todos)",TRUE,'ORDENES'!$AD714=$D$3),IF($F$3="(todos)",TRUE,'ORDENES'!$W714=$F$3),'ORDENES'!$AB714=TRUE),'ORDENES'!$AO714&amp;" | "&amp;'ORDENES'!$S714&amp;" | "&amp;IF('ORDENES'!$AC714="","(sin técnico)",'ORDENES'!$AC714)&amp;" | "&amp;'ORDENES'!$D714&amp;" ("&amp;'ORDENES'!$N714&amp;" h)","")</f>
        <v/>
      </c>
    </row>
    <row r="719">
      <c r="K719" s="3">
        <f>IF(AND(IF($B$3="(todos)",TRUE,'ORDENES'!$P715=$B$3),IF($D$3="(todos)",TRUE,'ORDENES'!$AD715=$D$3),IF($F$3="(todos)",TRUE,'ORDENES'!$W715=$F$3),'ORDENES'!$AB715=TRUE),'ORDENES'!$AO715&amp;" | "&amp;'ORDENES'!$S715&amp;" | "&amp;IF('ORDENES'!$AC715="","(sin técnico)",'ORDENES'!$AC715)&amp;" | "&amp;'ORDENES'!$D715&amp;" ("&amp;'ORDENES'!$N715&amp;" h)","")</f>
        <v/>
      </c>
    </row>
    <row r="720">
      <c r="K720" s="3">
        <f>IF(AND(IF($B$3="(todos)",TRUE,'ORDENES'!$P716=$B$3),IF($D$3="(todos)",TRUE,'ORDENES'!$AD716=$D$3),IF($F$3="(todos)",TRUE,'ORDENES'!$W716=$F$3),'ORDENES'!$AB716=TRUE),'ORDENES'!$AO716&amp;" | "&amp;'ORDENES'!$S716&amp;" | "&amp;IF('ORDENES'!$AC716="","(sin técnico)",'ORDENES'!$AC716)&amp;" | "&amp;'ORDENES'!$D716&amp;" ("&amp;'ORDENES'!$N716&amp;" h)","")</f>
        <v/>
      </c>
    </row>
    <row r="721">
      <c r="K721" s="3">
        <f>IF(AND(IF($B$3="(todos)",TRUE,'ORDENES'!$P717=$B$3),IF($D$3="(todos)",TRUE,'ORDENES'!$AD717=$D$3),IF($F$3="(todos)",TRUE,'ORDENES'!$W717=$F$3),'ORDENES'!$AB717=TRUE),'ORDENES'!$AO717&amp;" | "&amp;'ORDENES'!$S717&amp;" | "&amp;IF('ORDENES'!$AC717="","(sin técnico)",'ORDENES'!$AC717)&amp;" | "&amp;'ORDENES'!$D717&amp;" ("&amp;'ORDENES'!$N717&amp;" h)","")</f>
        <v/>
      </c>
    </row>
    <row r="722">
      <c r="K722" s="3">
        <f>IF(AND(IF($B$3="(todos)",TRUE,'ORDENES'!$P718=$B$3),IF($D$3="(todos)",TRUE,'ORDENES'!$AD718=$D$3),IF($F$3="(todos)",TRUE,'ORDENES'!$W718=$F$3),'ORDENES'!$AB718=TRUE),'ORDENES'!$AO718&amp;" | "&amp;'ORDENES'!$S718&amp;" | "&amp;IF('ORDENES'!$AC718="","(sin técnico)",'ORDENES'!$AC718)&amp;" | "&amp;'ORDENES'!$D718&amp;" ("&amp;'ORDENES'!$N718&amp;" h)","")</f>
        <v/>
      </c>
    </row>
    <row r="723">
      <c r="K723" s="3">
        <f>IF(AND(IF($B$3="(todos)",TRUE,'ORDENES'!$P719=$B$3),IF($D$3="(todos)",TRUE,'ORDENES'!$AD719=$D$3),IF($F$3="(todos)",TRUE,'ORDENES'!$W719=$F$3),'ORDENES'!$AB719=TRUE),'ORDENES'!$AO719&amp;" | "&amp;'ORDENES'!$S719&amp;" | "&amp;IF('ORDENES'!$AC719="","(sin técnico)",'ORDENES'!$AC719)&amp;" | "&amp;'ORDENES'!$D719&amp;" ("&amp;'ORDENES'!$N719&amp;" h)","")</f>
        <v/>
      </c>
    </row>
    <row r="724">
      <c r="K724" s="3">
        <f>IF(AND(IF($B$3="(todos)",TRUE,'ORDENES'!$P720=$B$3),IF($D$3="(todos)",TRUE,'ORDENES'!$AD720=$D$3),IF($F$3="(todos)",TRUE,'ORDENES'!$W720=$F$3),'ORDENES'!$AB720=TRUE),'ORDENES'!$AO720&amp;" | "&amp;'ORDENES'!$S720&amp;" | "&amp;IF('ORDENES'!$AC720="","(sin técnico)",'ORDENES'!$AC720)&amp;" | "&amp;'ORDENES'!$D720&amp;" ("&amp;'ORDENES'!$N720&amp;" h)","")</f>
        <v/>
      </c>
    </row>
    <row r="725">
      <c r="K725" s="3">
        <f>IF(AND(IF($B$3="(todos)",TRUE,'ORDENES'!$P721=$B$3),IF($D$3="(todos)",TRUE,'ORDENES'!$AD721=$D$3),IF($F$3="(todos)",TRUE,'ORDENES'!$W721=$F$3),'ORDENES'!$AB721=TRUE),'ORDENES'!$AO721&amp;" | "&amp;'ORDENES'!$S721&amp;" | "&amp;IF('ORDENES'!$AC721="","(sin técnico)",'ORDENES'!$AC721)&amp;" | "&amp;'ORDENES'!$D721&amp;" ("&amp;'ORDENES'!$N721&amp;" h)","")</f>
        <v/>
      </c>
    </row>
    <row r="726">
      <c r="K726" s="3">
        <f>IF(AND(IF($B$3="(todos)",TRUE,'ORDENES'!$P722=$B$3),IF($D$3="(todos)",TRUE,'ORDENES'!$AD722=$D$3),IF($F$3="(todos)",TRUE,'ORDENES'!$W722=$F$3),'ORDENES'!$AB722=TRUE),'ORDENES'!$AO722&amp;" | "&amp;'ORDENES'!$S722&amp;" | "&amp;IF('ORDENES'!$AC722="","(sin técnico)",'ORDENES'!$AC722)&amp;" | "&amp;'ORDENES'!$D722&amp;" ("&amp;'ORDENES'!$N722&amp;" h)","")</f>
        <v/>
      </c>
    </row>
    <row r="727">
      <c r="K727" s="3">
        <f>IF(AND(IF($B$3="(todos)",TRUE,'ORDENES'!$P723=$B$3),IF($D$3="(todos)",TRUE,'ORDENES'!$AD723=$D$3),IF($F$3="(todos)",TRUE,'ORDENES'!$W723=$F$3),'ORDENES'!$AB723=TRUE),'ORDENES'!$AO723&amp;" | "&amp;'ORDENES'!$S723&amp;" | "&amp;IF('ORDENES'!$AC723="","(sin técnico)",'ORDENES'!$AC723)&amp;" | "&amp;'ORDENES'!$D723&amp;" ("&amp;'ORDENES'!$N723&amp;" h)","")</f>
        <v/>
      </c>
    </row>
    <row r="728">
      <c r="K728" s="3">
        <f>IF(AND(IF($B$3="(todos)",TRUE,'ORDENES'!$P724=$B$3),IF($D$3="(todos)",TRUE,'ORDENES'!$AD724=$D$3),IF($F$3="(todos)",TRUE,'ORDENES'!$W724=$F$3),'ORDENES'!$AB724=TRUE),'ORDENES'!$AO724&amp;" | "&amp;'ORDENES'!$S724&amp;" | "&amp;IF('ORDENES'!$AC724="","(sin técnico)",'ORDENES'!$AC724)&amp;" | "&amp;'ORDENES'!$D724&amp;" ("&amp;'ORDENES'!$N724&amp;" h)","")</f>
        <v/>
      </c>
    </row>
    <row r="729">
      <c r="K729" s="3">
        <f>IF(AND(IF($B$3="(todos)",TRUE,'ORDENES'!$P725=$B$3),IF($D$3="(todos)",TRUE,'ORDENES'!$AD725=$D$3),IF($F$3="(todos)",TRUE,'ORDENES'!$W725=$F$3),'ORDENES'!$AB725=TRUE),'ORDENES'!$AO725&amp;" | "&amp;'ORDENES'!$S725&amp;" | "&amp;IF('ORDENES'!$AC725="","(sin técnico)",'ORDENES'!$AC725)&amp;" | "&amp;'ORDENES'!$D725&amp;" ("&amp;'ORDENES'!$N725&amp;" h)","")</f>
        <v/>
      </c>
    </row>
    <row r="730">
      <c r="K730" s="3">
        <f>IF(AND(IF($B$3="(todos)",TRUE,'ORDENES'!$P726=$B$3),IF($D$3="(todos)",TRUE,'ORDENES'!$AD726=$D$3),IF($F$3="(todos)",TRUE,'ORDENES'!$W726=$F$3),'ORDENES'!$AB726=TRUE),'ORDENES'!$AO726&amp;" | "&amp;'ORDENES'!$S726&amp;" | "&amp;IF('ORDENES'!$AC726="","(sin técnico)",'ORDENES'!$AC726)&amp;" | "&amp;'ORDENES'!$D726&amp;" ("&amp;'ORDENES'!$N726&amp;" h)","")</f>
        <v/>
      </c>
    </row>
    <row r="731">
      <c r="K731" s="3">
        <f>IF(AND(IF($B$3="(todos)",TRUE,'ORDENES'!$P727=$B$3),IF($D$3="(todos)",TRUE,'ORDENES'!$AD727=$D$3),IF($F$3="(todos)",TRUE,'ORDENES'!$W727=$F$3),'ORDENES'!$AB727=TRUE),'ORDENES'!$AO727&amp;" | "&amp;'ORDENES'!$S727&amp;" | "&amp;IF('ORDENES'!$AC727="","(sin técnico)",'ORDENES'!$AC727)&amp;" | "&amp;'ORDENES'!$D727&amp;" ("&amp;'ORDENES'!$N727&amp;" h)","")</f>
        <v/>
      </c>
    </row>
    <row r="732">
      <c r="K732" s="3">
        <f>IF(AND(IF($B$3="(todos)",TRUE,'ORDENES'!$P728=$B$3),IF($D$3="(todos)",TRUE,'ORDENES'!$AD728=$D$3),IF($F$3="(todos)",TRUE,'ORDENES'!$W728=$F$3),'ORDENES'!$AB728=TRUE),'ORDENES'!$AO728&amp;" | "&amp;'ORDENES'!$S728&amp;" | "&amp;IF('ORDENES'!$AC728="","(sin técnico)",'ORDENES'!$AC728)&amp;" | "&amp;'ORDENES'!$D728&amp;" ("&amp;'ORDENES'!$N728&amp;" h)","")</f>
        <v/>
      </c>
    </row>
    <row r="733">
      <c r="K733" s="3">
        <f>IF(AND(IF($B$3="(todos)",TRUE,'ORDENES'!$P729=$B$3),IF($D$3="(todos)",TRUE,'ORDENES'!$AD729=$D$3),IF($F$3="(todos)",TRUE,'ORDENES'!$W729=$F$3),'ORDENES'!$AB729=TRUE),'ORDENES'!$AO729&amp;" | "&amp;'ORDENES'!$S729&amp;" | "&amp;IF('ORDENES'!$AC729="","(sin técnico)",'ORDENES'!$AC729)&amp;" | "&amp;'ORDENES'!$D729&amp;" ("&amp;'ORDENES'!$N729&amp;" h)","")</f>
        <v/>
      </c>
    </row>
    <row r="734">
      <c r="K734" s="3">
        <f>IF(AND(IF($B$3="(todos)",TRUE,'ORDENES'!$P730=$B$3),IF($D$3="(todos)",TRUE,'ORDENES'!$AD730=$D$3),IF($F$3="(todos)",TRUE,'ORDENES'!$W730=$F$3),'ORDENES'!$AB730=TRUE),'ORDENES'!$AO730&amp;" | "&amp;'ORDENES'!$S730&amp;" | "&amp;IF('ORDENES'!$AC730="","(sin técnico)",'ORDENES'!$AC730)&amp;" | "&amp;'ORDENES'!$D730&amp;" ("&amp;'ORDENES'!$N730&amp;" h)","")</f>
        <v/>
      </c>
    </row>
    <row r="735">
      <c r="K735" s="3">
        <f>IF(AND(IF($B$3="(todos)",TRUE,'ORDENES'!$P731=$B$3),IF($D$3="(todos)",TRUE,'ORDENES'!$AD731=$D$3),IF($F$3="(todos)",TRUE,'ORDENES'!$W731=$F$3),'ORDENES'!$AB731=TRUE),'ORDENES'!$AO731&amp;" | "&amp;'ORDENES'!$S731&amp;" | "&amp;IF('ORDENES'!$AC731="","(sin técnico)",'ORDENES'!$AC731)&amp;" | "&amp;'ORDENES'!$D731&amp;" ("&amp;'ORDENES'!$N731&amp;" h)","")</f>
        <v/>
      </c>
    </row>
    <row r="736">
      <c r="K736" s="3">
        <f>IF(AND(IF($B$3="(todos)",TRUE,'ORDENES'!$P732=$B$3),IF($D$3="(todos)",TRUE,'ORDENES'!$AD732=$D$3),IF($F$3="(todos)",TRUE,'ORDENES'!$W732=$F$3),'ORDENES'!$AB732=TRUE),'ORDENES'!$AO732&amp;" | "&amp;'ORDENES'!$S732&amp;" | "&amp;IF('ORDENES'!$AC732="","(sin técnico)",'ORDENES'!$AC732)&amp;" | "&amp;'ORDENES'!$D732&amp;" ("&amp;'ORDENES'!$N732&amp;" h)","")</f>
        <v/>
      </c>
    </row>
    <row r="737">
      <c r="K737" s="3">
        <f>IF(AND(IF($B$3="(todos)",TRUE,'ORDENES'!$P733=$B$3),IF($D$3="(todos)",TRUE,'ORDENES'!$AD733=$D$3),IF($F$3="(todos)",TRUE,'ORDENES'!$W733=$F$3),'ORDENES'!$AB733=TRUE),'ORDENES'!$AO733&amp;" | "&amp;'ORDENES'!$S733&amp;" | "&amp;IF('ORDENES'!$AC733="","(sin técnico)",'ORDENES'!$AC733)&amp;" | "&amp;'ORDENES'!$D733&amp;" ("&amp;'ORDENES'!$N733&amp;" h)","")</f>
        <v/>
      </c>
    </row>
    <row r="738">
      <c r="K738" s="3">
        <f>IF(AND(IF($B$3="(todos)",TRUE,'ORDENES'!$P734=$B$3),IF($D$3="(todos)",TRUE,'ORDENES'!$AD734=$D$3),IF($F$3="(todos)",TRUE,'ORDENES'!$W734=$F$3),'ORDENES'!$AB734=TRUE),'ORDENES'!$AO734&amp;" | "&amp;'ORDENES'!$S734&amp;" | "&amp;IF('ORDENES'!$AC734="","(sin técnico)",'ORDENES'!$AC734)&amp;" | "&amp;'ORDENES'!$D734&amp;" ("&amp;'ORDENES'!$N734&amp;" h)","")</f>
        <v/>
      </c>
    </row>
    <row r="739">
      <c r="K739" s="3">
        <f>IF(AND(IF($B$3="(todos)",TRUE,'ORDENES'!$P735=$B$3),IF($D$3="(todos)",TRUE,'ORDENES'!$AD735=$D$3),IF($F$3="(todos)",TRUE,'ORDENES'!$W735=$F$3),'ORDENES'!$AB735=TRUE),'ORDENES'!$AO735&amp;" | "&amp;'ORDENES'!$S735&amp;" | "&amp;IF('ORDENES'!$AC735="","(sin técnico)",'ORDENES'!$AC735)&amp;" | "&amp;'ORDENES'!$D735&amp;" ("&amp;'ORDENES'!$N735&amp;" h)","")</f>
        <v/>
      </c>
    </row>
    <row r="740">
      <c r="K740" s="3">
        <f>IF(AND(IF($B$3="(todos)",TRUE,'ORDENES'!$P736=$B$3),IF($D$3="(todos)",TRUE,'ORDENES'!$AD736=$D$3),IF($F$3="(todos)",TRUE,'ORDENES'!$W736=$F$3),'ORDENES'!$AB736=TRUE),'ORDENES'!$AO736&amp;" | "&amp;'ORDENES'!$S736&amp;" | "&amp;IF('ORDENES'!$AC736="","(sin técnico)",'ORDENES'!$AC736)&amp;" | "&amp;'ORDENES'!$D736&amp;" ("&amp;'ORDENES'!$N736&amp;" h)","")</f>
        <v/>
      </c>
    </row>
    <row r="741">
      <c r="K741" s="3">
        <f>IF(AND(IF($B$3="(todos)",TRUE,'ORDENES'!$P737=$B$3),IF($D$3="(todos)",TRUE,'ORDENES'!$AD737=$D$3),IF($F$3="(todos)",TRUE,'ORDENES'!$W737=$F$3),'ORDENES'!$AB737=TRUE),'ORDENES'!$AO737&amp;" | "&amp;'ORDENES'!$S737&amp;" | "&amp;IF('ORDENES'!$AC737="","(sin técnico)",'ORDENES'!$AC737)&amp;" | "&amp;'ORDENES'!$D737&amp;" ("&amp;'ORDENES'!$N737&amp;" h)","")</f>
        <v/>
      </c>
    </row>
    <row r="742">
      <c r="K742" s="3">
        <f>IF(AND(IF($B$3="(todos)",TRUE,'ORDENES'!$P738=$B$3),IF($D$3="(todos)",TRUE,'ORDENES'!$AD738=$D$3),IF($F$3="(todos)",TRUE,'ORDENES'!$W738=$F$3),'ORDENES'!$AB738=TRUE),'ORDENES'!$AO738&amp;" | "&amp;'ORDENES'!$S738&amp;" | "&amp;IF('ORDENES'!$AC738="","(sin técnico)",'ORDENES'!$AC738)&amp;" | "&amp;'ORDENES'!$D738&amp;" ("&amp;'ORDENES'!$N738&amp;" h)","")</f>
        <v/>
      </c>
    </row>
    <row r="743">
      <c r="K743" s="3">
        <f>IF(AND(IF($B$3="(todos)",TRUE,'ORDENES'!$P739=$B$3),IF($D$3="(todos)",TRUE,'ORDENES'!$AD739=$D$3),IF($F$3="(todos)",TRUE,'ORDENES'!$W739=$F$3),'ORDENES'!$AB739=TRUE),'ORDENES'!$AO739&amp;" | "&amp;'ORDENES'!$S739&amp;" | "&amp;IF('ORDENES'!$AC739="","(sin técnico)",'ORDENES'!$AC739)&amp;" | "&amp;'ORDENES'!$D739&amp;" ("&amp;'ORDENES'!$N739&amp;" h)","")</f>
        <v/>
      </c>
    </row>
    <row r="744">
      <c r="K744" s="3">
        <f>IF(AND(IF($B$3="(todos)",TRUE,'ORDENES'!$P740=$B$3),IF($D$3="(todos)",TRUE,'ORDENES'!$AD740=$D$3),IF($F$3="(todos)",TRUE,'ORDENES'!$W740=$F$3),'ORDENES'!$AB740=TRUE),'ORDENES'!$AO740&amp;" | "&amp;'ORDENES'!$S740&amp;" | "&amp;IF('ORDENES'!$AC740="","(sin técnico)",'ORDENES'!$AC740)&amp;" | "&amp;'ORDENES'!$D740&amp;" ("&amp;'ORDENES'!$N740&amp;" h)","")</f>
        <v/>
      </c>
    </row>
    <row r="745">
      <c r="K745" s="3">
        <f>IF(AND(IF($B$3="(todos)",TRUE,'ORDENES'!$P741=$B$3),IF($D$3="(todos)",TRUE,'ORDENES'!$AD741=$D$3),IF($F$3="(todos)",TRUE,'ORDENES'!$W741=$F$3),'ORDENES'!$AB741=TRUE),'ORDENES'!$AO741&amp;" | "&amp;'ORDENES'!$S741&amp;" | "&amp;IF('ORDENES'!$AC741="","(sin técnico)",'ORDENES'!$AC741)&amp;" | "&amp;'ORDENES'!$D741&amp;" ("&amp;'ORDENES'!$N741&amp;" h)","")</f>
        <v/>
      </c>
    </row>
    <row r="746">
      <c r="K746" s="3">
        <f>IF(AND(IF($B$3="(todos)",TRUE,'ORDENES'!$P742=$B$3),IF($D$3="(todos)",TRUE,'ORDENES'!$AD742=$D$3),IF($F$3="(todos)",TRUE,'ORDENES'!$W742=$F$3),'ORDENES'!$AB742=TRUE),'ORDENES'!$AO742&amp;" | "&amp;'ORDENES'!$S742&amp;" | "&amp;IF('ORDENES'!$AC742="","(sin técnico)",'ORDENES'!$AC742)&amp;" | "&amp;'ORDENES'!$D742&amp;" ("&amp;'ORDENES'!$N742&amp;" h)","")</f>
        <v/>
      </c>
    </row>
    <row r="747">
      <c r="K747" s="3">
        <f>IF(AND(IF($B$3="(todos)",TRUE,'ORDENES'!$P743=$B$3),IF($D$3="(todos)",TRUE,'ORDENES'!$AD743=$D$3),IF($F$3="(todos)",TRUE,'ORDENES'!$W743=$F$3),'ORDENES'!$AB743=TRUE),'ORDENES'!$AO743&amp;" | "&amp;'ORDENES'!$S743&amp;" | "&amp;IF('ORDENES'!$AC743="","(sin técnico)",'ORDENES'!$AC743)&amp;" | "&amp;'ORDENES'!$D743&amp;" ("&amp;'ORDENES'!$N743&amp;" h)","")</f>
        <v/>
      </c>
    </row>
    <row r="748">
      <c r="K748" s="3">
        <f>IF(AND(IF($B$3="(todos)",TRUE,'ORDENES'!$P744=$B$3),IF($D$3="(todos)",TRUE,'ORDENES'!$AD744=$D$3),IF($F$3="(todos)",TRUE,'ORDENES'!$W744=$F$3),'ORDENES'!$AB744=TRUE),'ORDENES'!$AO744&amp;" | "&amp;'ORDENES'!$S744&amp;" | "&amp;IF('ORDENES'!$AC744="","(sin técnico)",'ORDENES'!$AC744)&amp;" | "&amp;'ORDENES'!$D744&amp;" ("&amp;'ORDENES'!$N744&amp;" h)","")</f>
        <v/>
      </c>
    </row>
    <row r="749">
      <c r="K749" s="3">
        <f>IF(AND(IF($B$3="(todos)",TRUE,'ORDENES'!$P745=$B$3),IF($D$3="(todos)",TRUE,'ORDENES'!$AD745=$D$3),IF($F$3="(todos)",TRUE,'ORDENES'!$W745=$F$3),'ORDENES'!$AB745=TRUE),'ORDENES'!$AO745&amp;" | "&amp;'ORDENES'!$S745&amp;" | "&amp;IF('ORDENES'!$AC745="","(sin técnico)",'ORDENES'!$AC745)&amp;" | "&amp;'ORDENES'!$D745&amp;" ("&amp;'ORDENES'!$N745&amp;" h)","")</f>
        <v/>
      </c>
    </row>
    <row r="750">
      <c r="K750" s="3">
        <f>IF(AND(IF($B$3="(todos)",TRUE,'ORDENES'!$P746=$B$3),IF($D$3="(todos)",TRUE,'ORDENES'!$AD746=$D$3),IF($F$3="(todos)",TRUE,'ORDENES'!$W746=$F$3),'ORDENES'!$AB746=TRUE),'ORDENES'!$AO746&amp;" | "&amp;'ORDENES'!$S746&amp;" | "&amp;IF('ORDENES'!$AC746="","(sin técnico)",'ORDENES'!$AC746)&amp;" | "&amp;'ORDENES'!$D746&amp;" ("&amp;'ORDENES'!$N746&amp;" h)","")</f>
        <v/>
      </c>
    </row>
    <row r="751">
      <c r="K751" s="3">
        <f>IF(AND(IF($B$3="(todos)",TRUE,'ORDENES'!$P747=$B$3),IF($D$3="(todos)",TRUE,'ORDENES'!$AD747=$D$3),IF($F$3="(todos)",TRUE,'ORDENES'!$W747=$F$3),'ORDENES'!$AB747=TRUE),'ORDENES'!$AO747&amp;" | "&amp;'ORDENES'!$S747&amp;" | "&amp;IF('ORDENES'!$AC747="","(sin técnico)",'ORDENES'!$AC747)&amp;" | "&amp;'ORDENES'!$D747&amp;" ("&amp;'ORDENES'!$N747&amp;" h)","")</f>
        <v/>
      </c>
    </row>
    <row r="752">
      <c r="K752" s="3">
        <f>IF(AND(IF($B$3="(todos)",TRUE,'ORDENES'!$P748=$B$3),IF($D$3="(todos)",TRUE,'ORDENES'!$AD748=$D$3),IF($F$3="(todos)",TRUE,'ORDENES'!$W748=$F$3),'ORDENES'!$AB748=TRUE),'ORDENES'!$AO748&amp;" | "&amp;'ORDENES'!$S748&amp;" | "&amp;IF('ORDENES'!$AC748="","(sin técnico)",'ORDENES'!$AC748)&amp;" | "&amp;'ORDENES'!$D748&amp;" ("&amp;'ORDENES'!$N748&amp;" h)","")</f>
        <v/>
      </c>
    </row>
    <row r="753">
      <c r="K753" s="3">
        <f>IF(AND(IF($B$3="(todos)",TRUE,'ORDENES'!$P749=$B$3),IF($D$3="(todos)",TRUE,'ORDENES'!$AD749=$D$3),IF($F$3="(todos)",TRUE,'ORDENES'!$W749=$F$3),'ORDENES'!$AB749=TRUE),'ORDENES'!$AO749&amp;" | "&amp;'ORDENES'!$S749&amp;" | "&amp;IF('ORDENES'!$AC749="","(sin técnico)",'ORDENES'!$AC749)&amp;" | "&amp;'ORDENES'!$D749&amp;" ("&amp;'ORDENES'!$N749&amp;" h)","")</f>
        <v/>
      </c>
    </row>
    <row r="754">
      <c r="K754" s="3">
        <f>IF(AND(IF($B$3="(todos)",TRUE,'ORDENES'!$P750=$B$3),IF($D$3="(todos)",TRUE,'ORDENES'!$AD750=$D$3),IF($F$3="(todos)",TRUE,'ORDENES'!$W750=$F$3),'ORDENES'!$AB750=TRUE),'ORDENES'!$AO750&amp;" | "&amp;'ORDENES'!$S750&amp;" | "&amp;IF('ORDENES'!$AC750="","(sin técnico)",'ORDENES'!$AC750)&amp;" | "&amp;'ORDENES'!$D750&amp;" ("&amp;'ORDENES'!$N750&amp;" h)","")</f>
        <v/>
      </c>
    </row>
    <row r="755">
      <c r="K755" s="3">
        <f>IF(AND(IF($B$3="(todos)",TRUE,'ORDENES'!$P751=$B$3),IF($D$3="(todos)",TRUE,'ORDENES'!$AD751=$D$3),IF($F$3="(todos)",TRUE,'ORDENES'!$W751=$F$3),'ORDENES'!$AB751=TRUE),'ORDENES'!$AO751&amp;" | "&amp;'ORDENES'!$S751&amp;" | "&amp;IF('ORDENES'!$AC751="","(sin técnico)",'ORDENES'!$AC751)&amp;" | "&amp;'ORDENES'!$D751&amp;" ("&amp;'ORDENES'!$N751&amp;" h)","")</f>
        <v/>
      </c>
    </row>
    <row r="756">
      <c r="K756" s="3">
        <f>IF(AND(IF($B$3="(todos)",TRUE,'ORDENES'!$P752=$B$3),IF($D$3="(todos)",TRUE,'ORDENES'!$AD752=$D$3),IF($F$3="(todos)",TRUE,'ORDENES'!$W752=$F$3),'ORDENES'!$AB752=TRUE),'ORDENES'!$AO752&amp;" | "&amp;'ORDENES'!$S752&amp;" | "&amp;IF('ORDENES'!$AC752="","(sin técnico)",'ORDENES'!$AC752)&amp;" | "&amp;'ORDENES'!$D752&amp;" ("&amp;'ORDENES'!$N752&amp;" h)","")</f>
        <v/>
      </c>
    </row>
    <row r="757">
      <c r="K757" s="3">
        <f>IF(AND(IF($B$3="(todos)",TRUE,'ORDENES'!$P753=$B$3),IF($D$3="(todos)",TRUE,'ORDENES'!$AD753=$D$3),IF($F$3="(todos)",TRUE,'ORDENES'!$W753=$F$3),'ORDENES'!$AB753=TRUE),'ORDENES'!$AO753&amp;" | "&amp;'ORDENES'!$S753&amp;" | "&amp;IF('ORDENES'!$AC753="","(sin técnico)",'ORDENES'!$AC753)&amp;" | "&amp;'ORDENES'!$D753&amp;" ("&amp;'ORDENES'!$N753&amp;" h)","")</f>
        <v/>
      </c>
    </row>
    <row r="758">
      <c r="K758" s="3">
        <f>IF(AND(IF($B$3="(todos)",TRUE,'ORDENES'!$P754=$B$3),IF($D$3="(todos)",TRUE,'ORDENES'!$AD754=$D$3),IF($F$3="(todos)",TRUE,'ORDENES'!$W754=$F$3),'ORDENES'!$AB754=TRUE),'ORDENES'!$AO754&amp;" | "&amp;'ORDENES'!$S754&amp;" | "&amp;IF('ORDENES'!$AC754="","(sin técnico)",'ORDENES'!$AC754)&amp;" | "&amp;'ORDENES'!$D754&amp;" ("&amp;'ORDENES'!$N754&amp;" h)","")</f>
        <v/>
      </c>
    </row>
    <row r="759">
      <c r="K759" s="3">
        <f>IF(AND(IF($B$3="(todos)",TRUE,'ORDENES'!$P755=$B$3),IF($D$3="(todos)",TRUE,'ORDENES'!$AD755=$D$3),IF($F$3="(todos)",TRUE,'ORDENES'!$W755=$F$3),'ORDENES'!$AB755=TRUE),'ORDENES'!$AO755&amp;" | "&amp;'ORDENES'!$S755&amp;" | "&amp;IF('ORDENES'!$AC755="","(sin técnico)",'ORDENES'!$AC755)&amp;" | "&amp;'ORDENES'!$D755&amp;" ("&amp;'ORDENES'!$N755&amp;" h)","")</f>
        <v/>
      </c>
    </row>
    <row r="760">
      <c r="K760" s="3">
        <f>IF(AND(IF($B$3="(todos)",TRUE,'ORDENES'!$P756=$B$3),IF($D$3="(todos)",TRUE,'ORDENES'!$AD756=$D$3),IF($F$3="(todos)",TRUE,'ORDENES'!$W756=$F$3),'ORDENES'!$AB756=TRUE),'ORDENES'!$AO756&amp;" | "&amp;'ORDENES'!$S756&amp;" | "&amp;IF('ORDENES'!$AC756="","(sin técnico)",'ORDENES'!$AC756)&amp;" | "&amp;'ORDENES'!$D756&amp;" ("&amp;'ORDENES'!$N756&amp;" h)","")</f>
        <v/>
      </c>
    </row>
    <row r="761">
      <c r="K761" s="3">
        <f>IF(AND(IF($B$3="(todos)",TRUE,'ORDENES'!$P757=$B$3),IF($D$3="(todos)",TRUE,'ORDENES'!$AD757=$D$3),IF($F$3="(todos)",TRUE,'ORDENES'!$W757=$F$3),'ORDENES'!$AB757=TRUE),'ORDENES'!$AO757&amp;" | "&amp;'ORDENES'!$S757&amp;" | "&amp;IF('ORDENES'!$AC757="","(sin técnico)",'ORDENES'!$AC757)&amp;" | "&amp;'ORDENES'!$D757&amp;" ("&amp;'ORDENES'!$N757&amp;" h)","")</f>
        <v/>
      </c>
    </row>
    <row r="762">
      <c r="K762" s="3">
        <f>IF(AND(IF($B$3="(todos)",TRUE,'ORDENES'!$P758=$B$3),IF($D$3="(todos)",TRUE,'ORDENES'!$AD758=$D$3),IF($F$3="(todos)",TRUE,'ORDENES'!$W758=$F$3),'ORDENES'!$AB758=TRUE),'ORDENES'!$AO758&amp;" | "&amp;'ORDENES'!$S758&amp;" | "&amp;IF('ORDENES'!$AC758="","(sin técnico)",'ORDENES'!$AC758)&amp;" | "&amp;'ORDENES'!$D758&amp;" ("&amp;'ORDENES'!$N758&amp;" h)","")</f>
        <v/>
      </c>
    </row>
    <row r="763">
      <c r="K763" s="3">
        <f>IF(AND(IF($B$3="(todos)",TRUE,'ORDENES'!$P759=$B$3),IF($D$3="(todos)",TRUE,'ORDENES'!$AD759=$D$3),IF($F$3="(todos)",TRUE,'ORDENES'!$W759=$F$3),'ORDENES'!$AB759=TRUE),'ORDENES'!$AO759&amp;" | "&amp;'ORDENES'!$S759&amp;" | "&amp;IF('ORDENES'!$AC759="","(sin técnico)",'ORDENES'!$AC759)&amp;" | "&amp;'ORDENES'!$D759&amp;" ("&amp;'ORDENES'!$N759&amp;" h)","")</f>
        <v/>
      </c>
    </row>
    <row r="764">
      <c r="K764" s="3">
        <f>IF(AND(IF($B$3="(todos)",TRUE,'ORDENES'!$P760=$B$3),IF($D$3="(todos)",TRUE,'ORDENES'!$AD760=$D$3),IF($F$3="(todos)",TRUE,'ORDENES'!$W760=$F$3),'ORDENES'!$AB760=TRUE),'ORDENES'!$AO760&amp;" | "&amp;'ORDENES'!$S760&amp;" | "&amp;IF('ORDENES'!$AC760="","(sin técnico)",'ORDENES'!$AC760)&amp;" | "&amp;'ORDENES'!$D760&amp;" ("&amp;'ORDENES'!$N760&amp;" h)","")</f>
        <v/>
      </c>
    </row>
    <row r="765">
      <c r="K765" s="3">
        <f>IF(AND(IF($B$3="(todos)",TRUE,'ORDENES'!$P761=$B$3),IF($D$3="(todos)",TRUE,'ORDENES'!$AD761=$D$3),IF($F$3="(todos)",TRUE,'ORDENES'!$W761=$F$3),'ORDENES'!$AB761=TRUE),'ORDENES'!$AO761&amp;" | "&amp;'ORDENES'!$S761&amp;" | "&amp;IF('ORDENES'!$AC761="","(sin técnico)",'ORDENES'!$AC761)&amp;" | "&amp;'ORDENES'!$D761&amp;" ("&amp;'ORDENES'!$N761&amp;" h)","")</f>
        <v/>
      </c>
    </row>
    <row r="766">
      <c r="K766" s="3">
        <f>IF(AND(IF($B$3="(todos)",TRUE,'ORDENES'!$P762=$B$3),IF($D$3="(todos)",TRUE,'ORDENES'!$AD762=$D$3),IF($F$3="(todos)",TRUE,'ORDENES'!$W762=$F$3),'ORDENES'!$AB762=TRUE),'ORDENES'!$AO762&amp;" | "&amp;'ORDENES'!$S762&amp;" | "&amp;IF('ORDENES'!$AC762="","(sin técnico)",'ORDENES'!$AC762)&amp;" | "&amp;'ORDENES'!$D762&amp;" ("&amp;'ORDENES'!$N762&amp;" h)","")</f>
        <v/>
      </c>
    </row>
    <row r="767">
      <c r="K767" s="3">
        <f>IF(AND(IF($B$3="(todos)",TRUE,'ORDENES'!$P763=$B$3),IF($D$3="(todos)",TRUE,'ORDENES'!$AD763=$D$3),IF($F$3="(todos)",TRUE,'ORDENES'!$W763=$F$3),'ORDENES'!$AB763=TRUE),'ORDENES'!$AO763&amp;" | "&amp;'ORDENES'!$S763&amp;" | "&amp;IF('ORDENES'!$AC763="","(sin técnico)",'ORDENES'!$AC763)&amp;" | "&amp;'ORDENES'!$D763&amp;" ("&amp;'ORDENES'!$N763&amp;" h)","")</f>
        <v/>
      </c>
    </row>
    <row r="768">
      <c r="K768" s="3">
        <f>IF(AND(IF($B$3="(todos)",TRUE,'ORDENES'!$P764=$B$3),IF($D$3="(todos)",TRUE,'ORDENES'!$AD764=$D$3),IF($F$3="(todos)",TRUE,'ORDENES'!$W764=$F$3),'ORDENES'!$AB764=TRUE),'ORDENES'!$AO764&amp;" | "&amp;'ORDENES'!$S764&amp;" | "&amp;IF('ORDENES'!$AC764="","(sin técnico)",'ORDENES'!$AC764)&amp;" | "&amp;'ORDENES'!$D764&amp;" ("&amp;'ORDENES'!$N764&amp;" h)","")</f>
        <v/>
      </c>
    </row>
    <row r="769">
      <c r="K769" s="3">
        <f>IF(AND(IF($B$3="(todos)",TRUE,'ORDENES'!$P765=$B$3),IF($D$3="(todos)",TRUE,'ORDENES'!$AD765=$D$3),IF($F$3="(todos)",TRUE,'ORDENES'!$W765=$F$3),'ORDENES'!$AB765=TRUE),'ORDENES'!$AO765&amp;" | "&amp;'ORDENES'!$S765&amp;" | "&amp;IF('ORDENES'!$AC765="","(sin técnico)",'ORDENES'!$AC765)&amp;" | "&amp;'ORDENES'!$D765&amp;" ("&amp;'ORDENES'!$N765&amp;" h)","")</f>
        <v/>
      </c>
    </row>
    <row r="770">
      <c r="K770" s="3">
        <f>IF(AND(IF($B$3="(todos)",TRUE,'ORDENES'!$P766=$B$3),IF($D$3="(todos)",TRUE,'ORDENES'!$AD766=$D$3),IF($F$3="(todos)",TRUE,'ORDENES'!$W766=$F$3),'ORDENES'!$AB766=TRUE),'ORDENES'!$AO766&amp;" | "&amp;'ORDENES'!$S766&amp;" | "&amp;IF('ORDENES'!$AC766="","(sin técnico)",'ORDENES'!$AC766)&amp;" | "&amp;'ORDENES'!$D766&amp;" ("&amp;'ORDENES'!$N766&amp;" h)","")</f>
        <v/>
      </c>
    </row>
    <row r="771">
      <c r="K771" s="3">
        <f>IF(AND(IF($B$3="(todos)",TRUE,'ORDENES'!$P767=$B$3),IF($D$3="(todos)",TRUE,'ORDENES'!$AD767=$D$3),IF($F$3="(todos)",TRUE,'ORDENES'!$W767=$F$3),'ORDENES'!$AB767=TRUE),'ORDENES'!$AO767&amp;" | "&amp;'ORDENES'!$S767&amp;" | "&amp;IF('ORDENES'!$AC767="","(sin técnico)",'ORDENES'!$AC767)&amp;" | "&amp;'ORDENES'!$D767&amp;" ("&amp;'ORDENES'!$N767&amp;" h)","")</f>
        <v/>
      </c>
    </row>
    <row r="772">
      <c r="K772" s="3">
        <f>IF(AND(IF($B$3="(todos)",TRUE,'ORDENES'!$P768=$B$3),IF($D$3="(todos)",TRUE,'ORDENES'!$AD768=$D$3),IF($F$3="(todos)",TRUE,'ORDENES'!$W768=$F$3),'ORDENES'!$AB768=TRUE),'ORDENES'!$AO768&amp;" | "&amp;'ORDENES'!$S768&amp;" | "&amp;IF('ORDENES'!$AC768="","(sin técnico)",'ORDENES'!$AC768)&amp;" | "&amp;'ORDENES'!$D768&amp;" ("&amp;'ORDENES'!$N768&amp;" h)","")</f>
        <v/>
      </c>
    </row>
    <row r="773">
      <c r="K773" s="3">
        <f>IF(AND(IF($B$3="(todos)",TRUE,'ORDENES'!$P769=$B$3),IF($D$3="(todos)",TRUE,'ORDENES'!$AD769=$D$3),IF($F$3="(todos)",TRUE,'ORDENES'!$W769=$F$3),'ORDENES'!$AB769=TRUE),'ORDENES'!$AO769&amp;" | "&amp;'ORDENES'!$S769&amp;" | "&amp;IF('ORDENES'!$AC769="","(sin técnico)",'ORDENES'!$AC769)&amp;" | "&amp;'ORDENES'!$D769&amp;" ("&amp;'ORDENES'!$N769&amp;" h)","")</f>
        <v/>
      </c>
    </row>
    <row r="774">
      <c r="K774" s="3">
        <f>IF(AND(IF($B$3="(todos)",TRUE,'ORDENES'!$P770=$B$3),IF($D$3="(todos)",TRUE,'ORDENES'!$AD770=$D$3),IF($F$3="(todos)",TRUE,'ORDENES'!$W770=$F$3),'ORDENES'!$AB770=TRUE),'ORDENES'!$AO770&amp;" | "&amp;'ORDENES'!$S770&amp;" | "&amp;IF('ORDENES'!$AC770="","(sin técnico)",'ORDENES'!$AC770)&amp;" | "&amp;'ORDENES'!$D770&amp;" ("&amp;'ORDENES'!$N770&amp;" h)","")</f>
        <v/>
      </c>
    </row>
    <row r="775">
      <c r="K775" s="3">
        <f>IF(AND(IF($B$3="(todos)",TRUE,'ORDENES'!$P771=$B$3),IF($D$3="(todos)",TRUE,'ORDENES'!$AD771=$D$3),IF($F$3="(todos)",TRUE,'ORDENES'!$W771=$F$3),'ORDENES'!$AB771=TRUE),'ORDENES'!$AO771&amp;" | "&amp;'ORDENES'!$S771&amp;" | "&amp;IF('ORDENES'!$AC771="","(sin técnico)",'ORDENES'!$AC771)&amp;" | "&amp;'ORDENES'!$D771&amp;" ("&amp;'ORDENES'!$N771&amp;" h)","")</f>
        <v/>
      </c>
    </row>
    <row r="776">
      <c r="K776" s="3">
        <f>IF(AND(IF($B$3="(todos)",TRUE,'ORDENES'!$P772=$B$3),IF($D$3="(todos)",TRUE,'ORDENES'!$AD772=$D$3),IF($F$3="(todos)",TRUE,'ORDENES'!$W772=$F$3),'ORDENES'!$AB772=TRUE),'ORDENES'!$AO772&amp;" | "&amp;'ORDENES'!$S772&amp;" | "&amp;IF('ORDENES'!$AC772="","(sin técnico)",'ORDENES'!$AC772)&amp;" | "&amp;'ORDENES'!$D772&amp;" ("&amp;'ORDENES'!$N772&amp;" h)","")</f>
        <v/>
      </c>
    </row>
    <row r="777">
      <c r="K777" s="3">
        <f>IF(AND(IF($B$3="(todos)",TRUE,'ORDENES'!$P773=$B$3),IF($D$3="(todos)",TRUE,'ORDENES'!$AD773=$D$3),IF($F$3="(todos)",TRUE,'ORDENES'!$W773=$F$3),'ORDENES'!$AB773=TRUE),'ORDENES'!$AO773&amp;" | "&amp;'ORDENES'!$S773&amp;" | "&amp;IF('ORDENES'!$AC773="","(sin técnico)",'ORDENES'!$AC773)&amp;" | "&amp;'ORDENES'!$D773&amp;" ("&amp;'ORDENES'!$N773&amp;" h)","")</f>
        <v/>
      </c>
    </row>
    <row r="778">
      <c r="K778" s="3">
        <f>IF(AND(IF($B$3="(todos)",TRUE,'ORDENES'!$P774=$B$3),IF($D$3="(todos)",TRUE,'ORDENES'!$AD774=$D$3),IF($F$3="(todos)",TRUE,'ORDENES'!$W774=$F$3),'ORDENES'!$AB774=TRUE),'ORDENES'!$AO774&amp;" | "&amp;'ORDENES'!$S774&amp;" | "&amp;IF('ORDENES'!$AC774="","(sin técnico)",'ORDENES'!$AC774)&amp;" | "&amp;'ORDENES'!$D774&amp;" ("&amp;'ORDENES'!$N774&amp;" h)","")</f>
        <v/>
      </c>
    </row>
    <row r="779">
      <c r="K779" s="3">
        <f>IF(AND(IF($B$3="(todos)",TRUE,'ORDENES'!$P775=$B$3),IF($D$3="(todos)",TRUE,'ORDENES'!$AD775=$D$3),IF($F$3="(todos)",TRUE,'ORDENES'!$W775=$F$3),'ORDENES'!$AB775=TRUE),'ORDENES'!$AO775&amp;" | "&amp;'ORDENES'!$S775&amp;" | "&amp;IF('ORDENES'!$AC775="","(sin técnico)",'ORDENES'!$AC775)&amp;" | "&amp;'ORDENES'!$D775&amp;" ("&amp;'ORDENES'!$N775&amp;" h)","")</f>
        <v/>
      </c>
    </row>
    <row r="780">
      <c r="K780" s="3">
        <f>IF(AND(IF($B$3="(todos)",TRUE,'ORDENES'!$P776=$B$3),IF($D$3="(todos)",TRUE,'ORDENES'!$AD776=$D$3),IF($F$3="(todos)",TRUE,'ORDENES'!$W776=$F$3),'ORDENES'!$AB776=TRUE),'ORDENES'!$AO776&amp;" | "&amp;'ORDENES'!$S776&amp;" | "&amp;IF('ORDENES'!$AC776="","(sin técnico)",'ORDENES'!$AC776)&amp;" | "&amp;'ORDENES'!$D776&amp;" ("&amp;'ORDENES'!$N776&amp;" h)","")</f>
        <v/>
      </c>
    </row>
    <row r="781">
      <c r="K781" s="3">
        <f>IF(AND(IF($B$3="(todos)",TRUE,'ORDENES'!$P777=$B$3),IF($D$3="(todos)",TRUE,'ORDENES'!$AD777=$D$3),IF($F$3="(todos)",TRUE,'ORDENES'!$W777=$F$3),'ORDENES'!$AB777=TRUE),'ORDENES'!$AO777&amp;" | "&amp;'ORDENES'!$S777&amp;" | "&amp;IF('ORDENES'!$AC777="","(sin técnico)",'ORDENES'!$AC777)&amp;" | "&amp;'ORDENES'!$D777&amp;" ("&amp;'ORDENES'!$N777&amp;" h)","")</f>
        <v/>
      </c>
    </row>
    <row r="782">
      <c r="K782" s="3">
        <f>IF(AND(IF($B$3="(todos)",TRUE,'ORDENES'!$P778=$B$3),IF($D$3="(todos)",TRUE,'ORDENES'!$AD778=$D$3),IF($F$3="(todos)",TRUE,'ORDENES'!$W778=$F$3),'ORDENES'!$AB778=TRUE),'ORDENES'!$AO778&amp;" | "&amp;'ORDENES'!$S778&amp;" | "&amp;IF('ORDENES'!$AC778="","(sin técnico)",'ORDENES'!$AC778)&amp;" | "&amp;'ORDENES'!$D778&amp;" ("&amp;'ORDENES'!$N778&amp;" h)","")</f>
        <v/>
      </c>
    </row>
    <row r="783">
      <c r="K783" s="3">
        <f>IF(AND(IF($B$3="(todos)",TRUE,'ORDENES'!$P779=$B$3),IF($D$3="(todos)",TRUE,'ORDENES'!$AD779=$D$3),IF($F$3="(todos)",TRUE,'ORDENES'!$W779=$F$3),'ORDENES'!$AB779=TRUE),'ORDENES'!$AO779&amp;" | "&amp;'ORDENES'!$S779&amp;" | "&amp;IF('ORDENES'!$AC779="","(sin técnico)",'ORDENES'!$AC779)&amp;" | "&amp;'ORDENES'!$D779&amp;" ("&amp;'ORDENES'!$N779&amp;" h)","")</f>
        <v/>
      </c>
    </row>
    <row r="784">
      <c r="K784" s="3">
        <f>IF(AND(IF($B$3="(todos)",TRUE,'ORDENES'!$P780=$B$3),IF($D$3="(todos)",TRUE,'ORDENES'!$AD780=$D$3),IF($F$3="(todos)",TRUE,'ORDENES'!$W780=$F$3),'ORDENES'!$AB780=TRUE),'ORDENES'!$AO780&amp;" | "&amp;'ORDENES'!$S780&amp;" | "&amp;IF('ORDENES'!$AC780="","(sin técnico)",'ORDENES'!$AC780)&amp;" | "&amp;'ORDENES'!$D780&amp;" ("&amp;'ORDENES'!$N780&amp;" h)","")</f>
        <v/>
      </c>
    </row>
    <row r="785">
      <c r="K785" s="3">
        <f>IF(AND(IF($B$3="(todos)",TRUE,'ORDENES'!$P781=$B$3),IF($D$3="(todos)",TRUE,'ORDENES'!$AD781=$D$3),IF($F$3="(todos)",TRUE,'ORDENES'!$W781=$F$3),'ORDENES'!$AB781=TRUE),'ORDENES'!$AO781&amp;" | "&amp;'ORDENES'!$S781&amp;" | "&amp;IF('ORDENES'!$AC781="","(sin técnico)",'ORDENES'!$AC781)&amp;" | "&amp;'ORDENES'!$D781&amp;" ("&amp;'ORDENES'!$N781&amp;" h)","")</f>
        <v/>
      </c>
    </row>
    <row r="786">
      <c r="K786" s="3">
        <f>IF(AND(IF($B$3="(todos)",TRUE,'ORDENES'!$P782=$B$3),IF($D$3="(todos)",TRUE,'ORDENES'!$AD782=$D$3),IF($F$3="(todos)",TRUE,'ORDENES'!$W782=$F$3),'ORDENES'!$AB782=TRUE),'ORDENES'!$AO782&amp;" | "&amp;'ORDENES'!$S782&amp;" | "&amp;IF('ORDENES'!$AC782="","(sin técnico)",'ORDENES'!$AC782)&amp;" | "&amp;'ORDENES'!$D782&amp;" ("&amp;'ORDENES'!$N782&amp;" h)","")</f>
        <v/>
      </c>
    </row>
    <row r="787">
      <c r="K787" s="3">
        <f>IF(AND(IF($B$3="(todos)",TRUE,'ORDENES'!$P783=$B$3),IF($D$3="(todos)",TRUE,'ORDENES'!$AD783=$D$3),IF($F$3="(todos)",TRUE,'ORDENES'!$W783=$F$3),'ORDENES'!$AB783=TRUE),'ORDENES'!$AO783&amp;" | "&amp;'ORDENES'!$S783&amp;" | "&amp;IF('ORDENES'!$AC783="","(sin técnico)",'ORDENES'!$AC783)&amp;" | "&amp;'ORDENES'!$D783&amp;" ("&amp;'ORDENES'!$N783&amp;" h)","")</f>
        <v/>
      </c>
    </row>
    <row r="788">
      <c r="K788" s="3">
        <f>IF(AND(IF($B$3="(todos)",TRUE,'ORDENES'!$P784=$B$3),IF($D$3="(todos)",TRUE,'ORDENES'!$AD784=$D$3),IF($F$3="(todos)",TRUE,'ORDENES'!$W784=$F$3),'ORDENES'!$AB784=TRUE),'ORDENES'!$AO784&amp;" | "&amp;'ORDENES'!$S784&amp;" | "&amp;IF('ORDENES'!$AC784="","(sin técnico)",'ORDENES'!$AC784)&amp;" | "&amp;'ORDENES'!$D784&amp;" ("&amp;'ORDENES'!$N784&amp;" h)","")</f>
        <v/>
      </c>
    </row>
    <row r="789">
      <c r="K789" s="3">
        <f>IF(AND(IF($B$3="(todos)",TRUE,'ORDENES'!$P785=$B$3),IF($D$3="(todos)",TRUE,'ORDENES'!$AD785=$D$3),IF($F$3="(todos)",TRUE,'ORDENES'!$W785=$F$3),'ORDENES'!$AB785=TRUE),'ORDENES'!$AO785&amp;" | "&amp;'ORDENES'!$S785&amp;" | "&amp;IF('ORDENES'!$AC785="","(sin técnico)",'ORDENES'!$AC785)&amp;" | "&amp;'ORDENES'!$D785&amp;" ("&amp;'ORDENES'!$N785&amp;" h)","")</f>
        <v/>
      </c>
    </row>
    <row r="790">
      <c r="K790" s="3">
        <f>IF(AND(IF($B$3="(todos)",TRUE,'ORDENES'!$P786=$B$3),IF($D$3="(todos)",TRUE,'ORDENES'!$AD786=$D$3),IF($F$3="(todos)",TRUE,'ORDENES'!$W786=$F$3),'ORDENES'!$AB786=TRUE),'ORDENES'!$AO786&amp;" | "&amp;'ORDENES'!$S786&amp;" | "&amp;IF('ORDENES'!$AC786="","(sin técnico)",'ORDENES'!$AC786)&amp;" | "&amp;'ORDENES'!$D786&amp;" ("&amp;'ORDENES'!$N786&amp;" h)","")</f>
        <v/>
      </c>
    </row>
    <row r="791">
      <c r="K791" s="3">
        <f>IF(AND(IF($B$3="(todos)",TRUE,'ORDENES'!$P787=$B$3),IF($D$3="(todos)",TRUE,'ORDENES'!$AD787=$D$3),IF($F$3="(todos)",TRUE,'ORDENES'!$W787=$F$3),'ORDENES'!$AB787=TRUE),'ORDENES'!$AO787&amp;" | "&amp;'ORDENES'!$S787&amp;" | "&amp;IF('ORDENES'!$AC787="","(sin técnico)",'ORDENES'!$AC787)&amp;" | "&amp;'ORDENES'!$D787&amp;" ("&amp;'ORDENES'!$N787&amp;" h)","")</f>
        <v/>
      </c>
    </row>
    <row r="792">
      <c r="K792" s="3">
        <f>IF(AND(IF($B$3="(todos)",TRUE,'ORDENES'!$P788=$B$3),IF($D$3="(todos)",TRUE,'ORDENES'!$AD788=$D$3),IF($F$3="(todos)",TRUE,'ORDENES'!$W788=$F$3),'ORDENES'!$AB788=TRUE),'ORDENES'!$AO788&amp;" | "&amp;'ORDENES'!$S788&amp;" | "&amp;IF('ORDENES'!$AC788="","(sin técnico)",'ORDENES'!$AC788)&amp;" | "&amp;'ORDENES'!$D788&amp;" ("&amp;'ORDENES'!$N788&amp;" h)","")</f>
        <v/>
      </c>
    </row>
    <row r="793">
      <c r="K793" s="3">
        <f>IF(AND(IF($B$3="(todos)",TRUE,'ORDENES'!$P789=$B$3),IF($D$3="(todos)",TRUE,'ORDENES'!$AD789=$D$3),IF($F$3="(todos)",TRUE,'ORDENES'!$W789=$F$3),'ORDENES'!$AB789=TRUE),'ORDENES'!$AO789&amp;" | "&amp;'ORDENES'!$S789&amp;" | "&amp;IF('ORDENES'!$AC789="","(sin técnico)",'ORDENES'!$AC789)&amp;" | "&amp;'ORDENES'!$D789&amp;" ("&amp;'ORDENES'!$N789&amp;" h)","")</f>
        <v/>
      </c>
    </row>
    <row r="794">
      <c r="K794" s="3">
        <f>IF(AND(IF($B$3="(todos)",TRUE,'ORDENES'!$P790=$B$3),IF($D$3="(todos)",TRUE,'ORDENES'!$AD790=$D$3),IF($F$3="(todos)",TRUE,'ORDENES'!$W790=$F$3),'ORDENES'!$AB790=TRUE),'ORDENES'!$AO790&amp;" | "&amp;'ORDENES'!$S790&amp;" | "&amp;IF('ORDENES'!$AC790="","(sin técnico)",'ORDENES'!$AC790)&amp;" | "&amp;'ORDENES'!$D790&amp;" ("&amp;'ORDENES'!$N790&amp;" h)","")</f>
        <v/>
      </c>
    </row>
    <row r="795">
      <c r="K795" s="3">
        <f>IF(AND(IF($B$3="(todos)",TRUE,'ORDENES'!$P791=$B$3),IF($D$3="(todos)",TRUE,'ORDENES'!$AD791=$D$3),IF($F$3="(todos)",TRUE,'ORDENES'!$W791=$F$3),'ORDENES'!$AB791=TRUE),'ORDENES'!$AO791&amp;" | "&amp;'ORDENES'!$S791&amp;" | "&amp;IF('ORDENES'!$AC791="","(sin técnico)",'ORDENES'!$AC791)&amp;" | "&amp;'ORDENES'!$D791&amp;" ("&amp;'ORDENES'!$N791&amp;" h)","")</f>
        <v/>
      </c>
    </row>
    <row r="796">
      <c r="K796" s="3">
        <f>IF(AND(IF($B$3="(todos)",TRUE,'ORDENES'!$P792=$B$3),IF($D$3="(todos)",TRUE,'ORDENES'!$AD792=$D$3),IF($F$3="(todos)",TRUE,'ORDENES'!$W792=$F$3),'ORDENES'!$AB792=TRUE),'ORDENES'!$AO792&amp;" | "&amp;'ORDENES'!$S792&amp;" | "&amp;IF('ORDENES'!$AC792="","(sin técnico)",'ORDENES'!$AC792)&amp;" | "&amp;'ORDENES'!$D792&amp;" ("&amp;'ORDENES'!$N792&amp;" h)","")</f>
        <v/>
      </c>
    </row>
    <row r="797">
      <c r="K797" s="3">
        <f>IF(AND(IF($B$3="(todos)",TRUE,'ORDENES'!$P793=$B$3),IF($D$3="(todos)",TRUE,'ORDENES'!$AD793=$D$3),IF($F$3="(todos)",TRUE,'ORDENES'!$W793=$F$3),'ORDENES'!$AB793=TRUE),'ORDENES'!$AO793&amp;" | "&amp;'ORDENES'!$S793&amp;" | "&amp;IF('ORDENES'!$AC793="","(sin técnico)",'ORDENES'!$AC793)&amp;" | "&amp;'ORDENES'!$D793&amp;" ("&amp;'ORDENES'!$N793&amp;" h)","")</f>
        <v/>
      </c>
    </row>
    <row r="798">
      <c r="K798" s="3">
        <f>IF(AND(IF($B$3="(todos)",TRUE,'ORDENES'!$P794=$B$3),IF($D$3="(todos)",TRUE,'ORDENES'!$AD794=$D$3),IF($F$3="(todos)",TRUE,'ORDENES'!$W794=$F$3),'ORDENES'!$AB794=TRUE),'ORDENES'!$AO794&amp;" | "&amp;'ORDENES'!$S794&amp;" | "&amp;IF('ORDENES'!$AC794="","(sin técnico)",'ORDENES'!$AC794)&amp;" | "&amp;'ORDENES'!$D794&amp;" ("&amp;'ORDENES'!$N794&amp;" h)","")</f>
        <v/>
      </c>
    </row>
    <row r="799">
      <c r="K799" s="3">
        <f>IF(AND(IF($B$3="(todos)",TRUE,'ORDENES'!$P795=$B$3),IF($D$3="(todos)",TRUE,'ORDENES'!$AD795=$D$3),IF($F$3="(todos)",TRUE,'ORDENES'!$W795=$F$3),'ORDENES'!$AB795=TRUE),'ORDENES'!$AO795&amp;" | "&amp;'ORDENES'!$S795&amp;" | "&amp;IF('ORDENES'!$AC795="","(sin técnico)",'ORDENES'!$AC795)&amp;" | "&amp;'ORDENES'!$D795&amp;" ("&amp;'ORDENES'!$N795&amp;" h)","")</f>
        <v/>
      </c>
    </row>
    <row r="800">
      <c r="K800" s="3">
        <f>IF(AND(IF($B$3="(todos)",TRUE,'ORDENES'!$P796=$B$3),IF($D$3="(todos)",TRUE,'ORDENES'!$AD796=$D$3),IF($F$3="(todos)",TRUE,'ORDENES'!$W796=$F$3),'ORDENES'!$AB796=TRUE),'ORDENES'!$AO796&amp;" | "&amp;'ORDENES'!$S796&amp;" | "&amp;IF('ORDENES'!$AC796="","(sin técnico)",'ORDENES'!$AC796)&amp;" | "&amp;'ORDENES'!$D796&amp;" ("&amp;'ORDENES'!$N796&amp;" h)","")</f>
        <v/>
      </c>
    </row>
    <row r="801">
      <c r="K801" s="3">
        <f>IF(AND(IF($B$3="(todos)",TRUE,'ORDENES'!$P797=$B$3),IF($D$3="(todos)",TRUE,'ORDENES'!$AD797=$D$3),IF($F$3="(todos)",TRUE,'ORDENES'!$W797=$F$3),'ORDENES'!$AB797=TRUE),'ORDENES'!$AO797&amp;" | "&amp;'ORDENES'!$S797&amp;" | "&amp;IF('ORDENES'!$AC797="","(sin técnico)",'ORDENES'!$AC797)&amp;" | "&amp;'ORDENES'!$D797&amp;" ("&amp;'ORDENES'!$N797&amp;" h)","")</f>
        <v/>
      </c>
    </row>
    <row r="802">
      <c r="K802" s="3">
        <f>IF(AND(IF($B$3="(todos)",TRUE,'ORDENES'!$P798=$B$3),IF($D$3="(todos)",TRUE,'ORDENES'!$AD798=$D$3),IF($F$3="(todos)",TRUE,'ORDENES'!$W798=$F$3),'ORDENES'!$AB798=TRUE),'ORDENES'!$AO798&amp;" | "&amp;'ORDENES'!$S798&amp;" | "&amp;IF('ORDENES'!$AC798="","(sin técnico)",'ORDENES'!$AC798)&amp;" | "&amp;'ORDENES'!$D798&amp;" ("&amp;'ORDENES'!$N798&amp;" h)","")</f>
        <v/>
      </c>
    </row>
    <row r="803">
      <c r="K803" s="3">
        <f>IF(AND(IF($B$3="(todos)",TRUE,'ORDENES'!$P799=$B$3),IF($D$3="(todos)",TRUE,'ORDENES'!$AD799=$D$3),IF($F$3="(todos)",TRUE,'ORDENES'!$W799=$F$3),'ORDENES'!$AB799=TRUE),'ORDENES'!$AO799&amp;" | "&amp;'ORDENES'!$S799&amp;" | "&amp;IF('ORDENES'!$AC799="","(sin técnico)",'ORDENES'!$AC799)&amp;" | "&amp;'ORDENES'!$D799&amp;" ("&amp;'ORDENES'!$N799&amp;" h)","")</f>
        <v/>
      </c>
    </row>
    <row r="804">
      <c r="K804" s="3">
        <f>IF(AND(IF($B$3="(todos)",TRUE,'ORDENES'!$P800=$B$3),IF($D$3="(todos)",TRUE,'ORDENES'!$AD800=$D$3),IF($F$3="(todos)",TRUE,'ORDENES'!$W800=$F$3),'ORDENES'!$AB800=TRUE),'ORDENES'!$AO800&amp;" | "&amp;'ORDENES'!$S800&amp;" | "&amp;IF('ORDENES'!$AC800="","(sin técnico)",'ORDENES'!$AC800)&amp;" | "&amp;'ORDENES'!$D800&amp;" ("&amp;'ORDENES'!$N800&amp;" h)","")</f>
        <v/>
      </c>
    </row>
    <row r="805">
      <c r="K805" s="3">
        <f>IF(AND(IF($B$3="(todos)",TRUE,'ORDENES'!$P801=$B$3),IF($D$3="(todos)",TRUE,'ORDENES'!$AD801=$D$3),IF($F$3="(todos)",TRUE,'ORDENES'!$W801=$F$3),'ORDENES'!$AB801=TRUE),'ORDENES'!$AO801&amp;" | "&amp;'ORDENES'!$S801&amp;" | "&amp;IF('ORDENES'!$AC801="","(sin técnico)",'ORDENES'!$AC801)&amp;" | "&amp;'ORDENES'!$D801&amp;" ("&amp;'ORDENES'!$N801&amp;" h)","")</f>
        <v/>
      </c>
    </row>
    <row r="806">
      <c r="K806" s="3">
        <f>IF(AND(IF($B$3="(todos)",TRUE,'ORDENES'!$P802=$B$3),IF($D$3="(todos)",TRUE,'ORDENES'!$AD802=$D$3),IF($F$3="(todos)",TRUE,'ORDENES'!$W802=$F$3),'ORDENES'!$AB802=TRUE),'ORDENES'!$AO802&amp;" | "&amp;'ORDENES'!$S802&amp;" | "&amp;IF('ORDENES'!$AC802="","(sin técnico)",'ORDENES'!$AC802)&amp;" | "&amp;'ORDENES'!$D802&amp;" ("&amp;'ORDENES'!$N802&amp;" h)","")</f>
        <v/>
      </c>
    </row>
    <row r="807">
      <c r="K807" s="3">
        <f>IF(AND(IF($B$3="(todos)",TRUE,'ORDENES'!$P803=$B$3),IF($D$3="(todos)",TRUE,'ORDENES'!$AD803=$D$3),IF($F$3="(todos)",TRUE,'ORDENES'!$W803=$F$3),'ORDENES'!$AB803=TRUE),'ORDENES'!$AO803&amp;" | "&amp;'ORDENES'!$S803&amp;" | "&amp;IF('ORDENES'!$AC803="","(sin técnico)",'ORDENES'!$AC803)&amp;" | "&amp;'ORDENES'!$D803&amp;" ("&amp;'ORDENES'!$N803&amp;" h)","")</f>
        <v/>
      </c>
    </row>
    <row r="808">
      <c r="K808" s="3">
        <f>IF(AND(IF($B$3="(todos)",TRUE,'ORDENES'!$P804=$B$3),IF($D$3="(todos)",TRUE,'ORDENES'!$AD804=$D$3),IF($F$3="(todos)",TRUE,'ORDENES'!$W804=$F$3),'ORDENES'!$AB804=TRUE),'ORDENES'!$AO804&amp;" | "&amp;'ORDENES'!$S804&amp;" | "&amp;IF('ORDENES'!$AC804="","(sin técnico)",'ORDENES'!$AC804)&amp;" | "&amp;'ORDENES'!$D804&amp;" ("&amp;'ORDENES'!$N804&amp;" h)","")</f>
        <v/>
      </c>
    </row>
    <row r="809">
      <c r="K809" s="3">
        <f>IF(AND(IF($B$3="(todos)",TRUE,'ORDENES'!$P805=$B$3),IF($D$3="(todos)",TRUE,'ORDENES'!$AD805=$D$3),IF($F$3="(todos)",TRUE,'ORDENES'!$W805=$F$3),'ORDENES'!$AB805=TRUE),'ORDENES'!$AO805&amp;" | "&amp;'ORDENES'!$S805&amp;" | "&amp;IF('ORDENES'!$AC805="","(sin técnico)",'ORDENES'!$AC805)&amp;" | "&amp;'ORDENES'!$D805&amp;" ("&amp;'ORDENES'!$N805&amp;" h)","")</f>
        <v/>
      </c>
    </row>
    <row r="810">
      <c r="K810" s="3">
        <f>IF(AND(IF($B$3="(todos)",TRUE,'ORDENES'!$P806=$B$3),IF($D$3="(todos)",TRUE,'ORDENES'!$AD806=$D$3),IF($F$3="(todos)",TRUE,'ORDENES'!$W806=$F$3),'ORDENES'!$AB806=TRUE),'ORDENES'!$AO806&amp;" | "&amp;'ORDENES'!$S806&amp;" | "&amp;IF('ORDENES'!$AC806="","(sin técnico)",'ORDENES'!$AC806)&amp;" | "&amp;'ORDENES'!$D806&amp;" ("&amp;'ORDENES'!$N806&amp;" h)","")</f>
        <v/>
      </c>
    </row>
    <row r="811">
      <c r="K811" s="3">
        <f>IF(AND(IF($B$3="(todos)",TRUE,'ORDENES'!$P807=$B$3),IF($D$3="(todos)",TRUE,'ORDENES'!$AD807=$D$3),IF($F$3="(todos)",TRUE,'ORDENES'!$W807=$F$3),'ORDENES'!$AB807=TRUE),'ORDENES'!$AO807&amp;" | "&amp;'ORDENES'!$S807&amp;" | "&amp;IF('ORDENES'!$AC807="","(sin técnico)",'ORDENES'!$AC807)&amp;" | "&amp;'ORDENES'!$D807&amp;" ("&amp;'ORDENES'!$N807&amp;" h)","")</f>
        <v/>
      </c>
    </row>
    <row r="812">
      <c r="K812" s="3">
        <f>IF(AND(IF($B$3="(todos)",TRUE,'ORDENES'!$P808=$B$3),IF($D$3="(todos)",TRUE,'ORDENES'!$AD808=$D$3),IF($F$3="(todos)",TRUE,'ORDENES'!$W808=$F$3),'ORDENES'!$AB808=TRUE),'ORDENES'!$AO808&amp;" | "&amp;'ORDENES'!$S808&amp;" | "&amp;IF('ORDENES'!$AC808="","(sin técnico)",'ORDENES'!$AC808)&amp;" | "&amp;'ORDENES'!$D808&amp;" ("&amp;'ORDENES'!$N808&amp;" h)","")</f>
        <v/>
      </c>
    </row>
    <row r="813">
      <c r="K813" s="3">
        <f>IF(AND(IF($B$3="(todos)",TRUE,'ORDENES'!$P809=$B$3),IF($D$3="(todos)",TRUE,'ORDENES'!$AD809=$D$3),IF($F$3="(todos)",TRUE,'ORDENES'!$W809=$F$3),'ORDENES'!$AB809=TRUE),'ORDENES'!$AO809&amp;" | "&amp;'ORDENES'!$S809&amp;" | "&amp;IF('ORDENES'!$AC809="","(sin técnico)",'ORDENES'!$AC809)&amp;" | "&amp;'ORDENES'!$D809&amp;" ("&amp;'ORDENES'!$N809&amp;" h)","")</f>
        <v/>
      </c>
    </row>
    <row r="814">
      <c r="K814" s="3">
        <f>IF(AND(IF($B$3="(todos)",TRUE,'ORDENES'!$P810=$B$3),IF($D$3="(todos)",TRUE,'ORDENES'!$AD810=$D$3),IF($F$3="(todos)",TRUE,'ORDENES'!$W810=$F$3),'ORDENES'!$AB810=TRUE),'ORDENES'!$AO810&amp;" | "&amp;'ORDENES'!$S810&amp;" | "&amp;IF('ORDENES'!$AC810="","(sin técnico)",'ORDENES'!$AC810)&amp;" | "&amp;'ORDENES'!$D810&amp;" ("&amp;'ORDENES'!$N810&amp;" h)","")</f>
        <v/>
      </c>
    </row>
    <row r="815">
      <c r="K815" s="3">
        <f>IF(AND(IF($B$3="(todos)",TRUE,'ORDENES'!$P811=$B$3),IF($D$3="(todos)",TRUE,'ORDENES'!$AD811=$D$3),IF($F$3="(todos)",TRUE,'ORDENES'!$W811=$F$3),'ORDENES'!$AB811=TRUE),'ORDENES'!$AO811&amp;" | "&amp;'ORDENES'!$S811&amp;" | "&amp;IF('ORDENES'!$AC811="","(sin técnico)",'ORDENES'!$AC811)&amp;" | "&amp;'ORDENES'!$D811&amp;" ("&amp;'ORDENES'!$N811&amp;" h)","")</f>
        <v/>
      </c>
    </row>
    <row r="816">
      <c r="K816" s="3">
        <f>IF(AND(IF($B$3="(todos)",TRUE,'ORDENES'!$P812=$B$3),IF($D$3="(todos)",TRUE,'ORDENES'!$AD812=$D$3),IF($F$3="(todos)",TRUE,'ORDENES'!$W812=$F$3),'ORDENES'!$AB812=TRUE),'ORDENES'!$AO812&amp;" | "&amp;'ORDENES'!$S812&amp;" | "&amp;IF('ORDENES'!$AC812="","(sin técnico)",'ORDENES'!$AC812)&amp;" | "&amp;'ORDENES'!$D812&amp;" ("&amp;'ORDENES'!$N812&amp;" h)","")</f>
        <v/>
      </c>
    </row>
    <row r="817">
      <c r="K817" s="3">
        <f>IF(AND(IF($B$3="(todos)",TRUE,'ORDENES'!$P813=$B$3),IF($D$3="(todos)",TRUE,'ORDENES'!$AD813=$D$3),IF($F$3="(todos)",TRUE,'ORDENES'!$W813=$F$3),'ORDENES'!$AB813=TRUE),'ORDENES'!$AO813&amp;" | "&amp;'ORDENES'!$S813&amp;" | "&amp;IF('ORDENES'!$AC813="","(sin técnico)",'ORDENES'!$AC813)&amp;" | "&amp;'ORDENES'!$D813&amp;" ("&amp;'ORDENES'!$N813&amp;" h)","")</f>
        <v/>
      </c>
    </row>
    <row r="818">
      <c r="K818" s="3">
        <f>IF(AND(IF($B$3="(todos)",TRUE,'ORDENES'!$P814=$B$3),IF($D$3="(todos)",TRUE,'ORDENES'!$AD814=$D$3),IF($F$3="(todos)",TRUE,'ORDENES'!$W814=$F$3),'ORDENES'!$AB814=TRUE),'ORDENES'!$AO814&amp;" | "&amp;'ORDENES'!$S814&amp;" | "&amp;IF('ORDENES'!$AC814="","(sin técnico)",'ORDENES'!$AC814)&amp;" | "&amp;'ORDENES'!$D814&amp;" ("&amp;'ORDENES'!$N814&amp;" h)","")</f>
        <v/>
      </c>
    </row>
    <row r="819">
      <c r="K819" s="3">
        <f>IF(AND(IF($B$3="(todos)",TRUE,'ORDENES'!$P815=$B$3),IF($D$3="(todos)",TRUE,'ORDENES'!$AD815=$D$3),IF($F$3="(todos)",TRUE,'ORDENES'!$W815=$F$3),'ORDENES'!$AB815=TRUE),'ORDENES'!$AO815&amp;" | "&amp;'ORDENES'!$S815&amp;" | "&amp;IF('ORDENES'!$AC815="","(sin técnico)",'ORDENES'!$AC815)&amp;" | "&amp;'ORDENES'!$D815&amp;" ("&amp;'ORDENES'!$N815&amp;" h)","")</f>
        <v/>
      </c>
    </row>
    <row r="820">
      <c r="K820" s="3">
        <f>IF(AND(IF($B$3="(todos)",TRUE,'ORDENES'!$P816=$B$3),IF($D$3="(todos)",TRUE,'ORDENES'!$AD816=$D$3),IF($F$3="(todos)",TRUE,'ORDENES'!$W816=$F$3),'ORDENES'!$AB816=TRUE),'ORDENES'!$AO816&amp;" | "&amp;'ORDENES'!$S816&amp;" | "&amp;IF('ORDENES'!$AC816="","(sin técnico)",'ORDENES'!$AC816)&amp;" | "&amp;'ORDENES'!$D816&amp;" ("&amp;'ORDENES'!$N816&amp;" h)","")</f>
        <v/>
      </c>
    </row>
    <row r="821">
      <c r="K821" s="3">
        <f>IF(AND(IF($B$3="(todos)",TRUE,'ORDENES'!$P817=$B$3),IF($D$3="(todos)",TRUE,'ORDENES'!$AD817=$D$3),IF($F$3="(todos)",TRUE,'ORDENES'!$W817=$F$3),'ORDENES'!$AB817=TRUE),'ORDENES'!$AO817&amp;" | "&amp;'ORDENES'!$S817&amp;" | "&amp;IF('ORDENES'!$AC817="","(sin técnico)",'ORDENES'!$AC817)&amp;" | "&amp;'ORDENES'!$D817&amp;" ("&amp;'ORDENES'!$N817&amp;" h)","")</f>
        <v/>
      </c>
    </row>
    <row r="822">
      <c r="K822" s="3">
        <f>IF(AND(IF($B$3="(todos)",TRUE,'ORDENES'!$P818=$B$3),IF($D$3="(todos)",TRUE,'ORDENES'!$AD818=$D$3),IF($F$3="(todos)",TRUE,'ORDENES'!$W818=$F$3),'ORDENES'!$AB818=TRUE),'ORDENES'!$AO818&amp;" | "&amp;'ORDENES'!$S818&amp;" | "&amp;IF('ORDENES'!$AC818="","(sin técnico)",'ORDENES'!$AC818)&amp;" | "&amp;'ORDENES'!$D818&amp;" ("&amp;'ORDENES'!$N818&amp;" h)","")</f>
        <v/>
      </c>
    </row>
    <row r="823">
      <c r="K823" s="3">
        <f>IF(AND(IF($B$3="(todos)",TRUE,'ORDENES'!$P819=$B$3),IF($D$3="(todos)",TRUE,'ORDENES'!$AD819=$D$3),IF($F$3="(todos)",TRUE,'ORDENES'!$W819=$F$3),'ORDENES'!$AB819=TRUE),'ORDENES'!$AO819&amp;" | "&amp;'ORDENES'!$S819&amp;" | "&amp;IF('ORDENES'!$AC819="","(sin técnico)",'ORDENES'!$AC819)&amp;" | "&amp;'ORDENES'!$D819&amp;" ("&amp;'ORDENES'!$N819&amp;" h)","")</f>
        <v/>
      </c>
    </row>
    <row r="824">
      <c r="K824" s="3">
        <f>IF(AND(IF($B$3="(todos)",TRUE,'ORDENES'!$P820=$B$3),IF($D$3="(todos)",TRUE,'ORDENES'!$AD820=$D$3),IF($F$3="(todos)",TRUE,'ORDENES'!$W820=$F$3),'ORDENES'!$AB820=TRUE),'ORDENES'!$AO820&amp;" | "&amp;'ORDENES'!$S820&amp;" | "&amp;IF('ORDENES'!$AC820="","(sin técnico)",'ORDENES'!$AC820)&amp;" | "&amp;'ORDENES'!$D820&amp;" ("&amp;'ORDENES'!$N820&amp;" h)","")</f>
        <v/>
      </c>
    </row>
    <row r="825">
      <c r="K825" s="3">
        <f>IF(AND(IF($B$3="(todos)",TRUE,'ORDENES'!$P821=$B$3),IF($D$3="(todos)",TRUE,'ORDENES'!$AD821=$D$3),IF($F$3="(todos)",TRUE,'ORDENES'!$W821=$F$3),'ORDENES'!$AB821=TRUE),'ORDENES'!$AO821&amp;" | "&amp;'ORDENES'!$S821&amp;" | "&amp;IF('ORDENES'!$AC821="","(sin técnico)",'ORDENES'!$AC821)&amp;" | "&amp;'ORDENES'!$D821&amp;" ("&amp;'ORDENES'!$N821&amp;" h)","")</f>
        <v/>
      </c>
    </row>
    <row r="826">
      <c r="K826" s="3">
        <f>IF(AND(IF($B$3="(todos)",TRUE,'ORDENES'!$P822=$B$3),IF($D$3="(todos)",TRUE,'ORDENES'!$AD822=$D$3),IF($F$3="(todos)",TRUE,'ORDENES'!$W822=$F$3),'ORDENES'!$AB822=TRUE),'ORDENES'!$AO822&amp;" | "&amp;'ORDENES'!$S822&amp;" | "&amp;IF('ORDENES'!$AC822="","(sin técnico)",'ORDENES'!$AC822)&amp;" | "&amp;'ORDENES'!$D822&amp;" ("&amp;'ORDENES'!$N822&amp;" h)","")</f>
        <v/>
      </c>
    </row>
    <row r="827">
      <c r="K827" s="3">
        <f>IF(AND(IF($B$3="(todos)",TRUE,'ORDENES'!$P823=$B$3),IF($D$3="(todos)",TRUE,'ORDENES'!$AD823=$D$3),IF($F$3="(todos)",TRUE,'ORDENES'!$W823=$F$3),'ORDENES'!$AB823=TRUE),'ORDENES'!$AO823&amp;" | "&amp;'ORDENES'!$S823&amp;" | "&amp;IF('ORDENES'!$AC823="","(sin técnico)",'ORDENES'!$AC823)&amp;" | "&amp;'ORDENES'!$D823&amp;" ("&amp;'ORDENES'!$N823&amp;" h)","")</f>
        <v/>
      </c>
    </row>
    <row r="828">
      <c r="K828" s="3">
        <f>IF(AND(IF($B$3="(todos)",TRUE,'ORDENES'!$P824=$B$3),IF($D$3="(todos)",TRUE,'ORDENES'!$AD824=$D$3),IF($F$3="(todos)",TRUE,'ORDENES'!$W824=$F$3),'ORDENES'!$AB824=TRUE),'ORDENES'!$AO824&amp;" | "&amp;'ORDENES'!$S824&amp;" | "&amp;IF('ORDENES'!$AC824="","(sin técnico)",'ORDENES'!$AC824)&amp;" | "&amp;'ORDENES'!$D824&amp;" ("&amp;'ORDENES'!$N824&amp;" h)","")</f>
        <v/>
      </c>
    </row>
    <row r="829">
      <c r="K829" s="3">
        <f>IF(AND(IF($B$3="(todos)",TRUE,'ORDENES'!$P825=$B$3),IF($D$3="(todos)",TRUE,'ORDENES'!$AD825=$D$3),IF($F$3="(todos)",TRUE,'ORDENES'!$W825=$F$3),'ORDENES'!$AB825=TRUE),'ORDENES'!$AO825&amp;" | "&amp;'ORDENES'!$S825&amp;" | "&amp;IF('ORDENES'!$AC825="","(sin técnico)",'ORDENES'!$AC825)&amp;" | "&amp;'ORDENES'!$D825&amp;" ("&amp;'ORDENES'!$N825&amp;" h)","")</f>
        <v/>
      </c>
    </row>
    <row r="830">
      <c r="K830" s="3">
        <f>IF(AND(IF($B$3="(todos)",TRUE,'ORDENES'!$P826=$B$3),IF($D$3="(todos)",TRUE,'ORDENES'!$AD826=$D$3),IF($F$3="(todos)",TRUE,'ORDENES'!$W826=$F$3),'ORDENES'!$AB826=TRUE),'ORDENES'!$AO826&amp;" | "&amp;'ORDENES'!$S826&amp;" | "&amp;IF('ORDENES'!$AC826="","(sin técnico)",'ORDENES'!$AC826)&amp;" | "&amp;'ORDENES'!$D826&amp;" ("&amp;'ORDENES'!$N826&amp;" h)","")</f>
        <v/>
      </c>
    </row>
    <row r="831">
      <c r="K831" s="3">
        <f>IF(AND(IF($B$3="(todos)",TRUE,'ORDENES'!$P827=$B$3),IF($D$3="(todos)",TRUE,'ORDENES'!$AD827=$D$3),IF($F$3="(todos)",TRUE,'ORDENES'!$W827=$F$3),'ORDENES'!$AB827=TRUE),'ORDENES'!$AO827&amp;" | "&amp;'ORDENES'!$S827&amp;" | "&amp;IF('ORDENES'!$AC827="","(sin técnico)",'ORDENES'!$AC827)&amp;" | "&amp;'ORDENES'!$D827&amp;" ("&amp;'ORDENES'!$N827&amp;" h)","")</f>
        <v/>
      </c>
    </row>
    <row r="832">
      <c r="K832" s="3">
        <f>IF(AND(IF($B$3="(todos)",TRUE,'ORDENES'!$P828=$B$3),IF($D$3="(todos)",TRUE,'ORDENES'!$AD828=$D$3),IF($F$3="(todos)",TRUE,'ORDENES'!$W828=$F$3),'ORDENES'!$AB828=TRUE),'ORDENES'!$AO828&amp;" | "&amp;'ORDENES'!$S828&amp;" | "&amp;IF('ORDENES'!$AC828="","(sin técnico)",'ORDENES'!$AC828)&amp;" | "&amp;'ORDENES'!$D828&amp;" ("&amp;'ORDENES'!$N828&amp;" h)","")</f>
        <v/>
      </c>
    </row>
    <row r="833">
      <c r="K833" s="3">
        <f>IF(AND(IF($B$3="(todos)",TRUE,'ORDENES'!$P829=$B$3),IF($D$3="(todos)",TRUE,'ORDENES'!$AD829=$D$3),IF($F$3="(todos)",TRUE,'ORDENES'!$W829=$F$3),'ORDENES'!$AB829=TRUE),'ORDENES'!$AO829&amp;" | "&amp;'ORDENES'!$S829&amp;" | "&amp;IF('ORDENES'!$AC829="","(sin técnico)",'ORDENES'!$AC829)&amp;" | "&amp;'ORDENES'!$D829&amp;" ("&amp;'ORDENES'!$N829&amp;" h)","")</f>
        <v/>
      </c>
    </row>
    <row r="834">
      <c r="K834" s="3">
        <f>IF(AND(IF($B$3="(todos)",TRUE,'ORDENES'!$P830=$B$3),IF($D$3="(todos)",TRUE,'ORDENES'!$AD830=$D$3),IF($F$3="(todos)",TRUE,'ORDENES'!$W830=$F$3),'ORDENES'!$AB830=TRUE),'ORDENES'!$AO830&amp;" | "&amp;'ORDENES'!$S830&amp;" | "&amp;IF('ORDENES'!$AC830="","(sin técnico)",'ORDENES'!$AC830)&amp;" | "&amp;'ORDENES'!$D830&amp;" ("&amp;'ORDENES'!$N830&amp;" h)","")</f>
        <v/>
      </c>
    </row>
    <row r="835">
      <c r="K835" s="3">
        <f>IF(AND(IF($B$3="(todos)",TRUE,'ORDENES'!$P831=$B$3),IF($D$3="(todos)",TRUE,'ORDENES'!$AD831=$D$3),IF($F$3="(todos)",TRUE,'ORDENES'!$W831=$F$3),'ORDENES'!$AB831=TRUE),'ORDENES'!$AO831&amp;" | "&amp;'ORDENES'!$S831&amp;" | "&amp;IF('ORDENES'!$AC831="","(sin técnico)",'ORDENES'!$AC831)&amp;" | "&amp;'ORDENES'!$D831&amp;" ("&amp;'ORDENES'!$N831&amp;" h)","")</f>
        <v/>
      </c>
    </row>
    <row r="836">
      <c r="K836" s="3">
        <f>IF(AND(IF($B$3="(todos)",TRUE,'ORDENES'!$P832=$B$3),IF($D$3="(todos)",TRUE,'ORDENES'!$AD832=$D$3),IF($F$3="(todos)",TRUE,'ORDENES'!$W832=$F$3),'ORDENES'!$AB832=TRUE),'ORDENES'!$AO832&amp;" | "&amp;'ORDENES'!$S832&amp;" | "&amp;IF('ORDENES'!$AC832="","(sin técnico)",'ORDENES'!$AC832)&amp;" | "&amp;'ORDENES'!$D832&amp;" ("&amp;'ORDENES'!$N832&amp;" h)","")</f>
        <v/>
      </c>
    </row>
    <row r="837">
      <c r="K837" s="3">
        <f>IF(AND(IF($B$3="(todos)",TRUE,'ORDENES'!$P833=$B$3),IF($D$3="(todos)",TRUE,'ORDENES'!$AD833=$D$3),IF($F$3="(todos)",TRUE,'ORDENES'!$W833=$F$3),'ORDENES'!$AB833=TRUE),'ORDENES'!$AO833&amp;" | "&amp;'ORDENES'!$S833&amp;" | "&amp;IF('ORDENES'!$AC833="","(sin técnico)",'ORDENES'!$AC833)&amp;" | "&amp;'ORDENES'!$D833&amp;" ("&amp;'ORDENES'!$N833&amp;" h)","")</f>
        <v/>
      </c>
    </row>
    <row r="838">
      <c r="K838" s="3">
        <f>IF(AND(IF($B$3="(todos)",TRUE,'ORDENES'!$P834=$B$3),IF($D$3="(todos)",TRUE,'ORDENES'!$AD834=$D$3),IF($F$3="(todos)",TRUE,'ORDENES'!$W834=$F$3),'ORDENES'!$AB834=TRUE),'ORDENES'!$AO834&amp;" | "&amp;'ORDENES'!$S834&amp;" | "&amp;IF('ORDENES'!$AC834="","(sin técnico)",'ORDENES'!$AC834)&amp;" | "&amp;'ORDENES'!$D834&amp;" ("&amp;'ORDENES'!$N834&amp;" h)","")</f>
        <v/>
      </c>
    </row>
    <row r="839">
      <c r="K839" s="3">
        <f>IF(AND(IF($B$3="(todos)",TRUE,'ORDENES'!$P835=$B$3),IF($D$3="(todos)",TRUE,'ORDENES'!$AD835=$D$3),IF($F$3="(todos)",TRUE,'ORDENES'!$W835=$F$3),'ORDENES'!$AB835=TRUE),'ORDENES'!$AO835&amp;" | "&amp;'ORDENES'!$S835&amp;" | "&amp;IF('ORDENES'!$AC835="","(sin técnico)",'ORDENES'!$AC835)&amp;" | "&amp;'ORDENES'!$D835&amp;" ("&amp;'ORDENES'!$N835&amp;" h)","")</f>
        <v/>
      </c>
    </row>
    <row r="840">
      <c r="K840" s="3">
        <f>IF(AND(IF($B$3="(todos)",TRUE,'ORDENES'!$P836=$B$3),IF($D$3="(todos)",TRUE,'ORDENES'!$AD836=$D$3),IF($F$3="(todos)",TRUE,'ORDENES'!$W836=$F$3),'ORDENES'!$AB836=TRUE),'ORDENES'!$AO836&amp;" | "&amp;'ORDENES'!$S836&amp;" | "&amp;IF('ORDENES'!$AC836="","(sin técnico)",'ORDENES'!$AC836)&amp;" | "&amp;'ORDENES'!$D836&amp;" ("&amp;'ORDENES'!$N836&amp;" h)","")</f>
        <v/>
      </c>
    </row>
    <row r="841">
      <c r="K841" s="3">
        <f>IF(AND(IF($B$3="(todos)",TRUE,'ORDENES'!$P837=$B$3),IF($D$3="(todos)",TRUE,'ORDENES'!$AD837=$D$3),IF($F$3="(todos)",TRUE,'ORDENES'!$W837=$F$3),'ORDENES'!$AB837=TRUE),'ORDENES'!$AO837&amp;" | "&amp;'ORDENES'!$S837&amp;" | "&amp;IF('ORDENES'!$AC837="","(sin técnico)",'ORDENES'!$AC837)&amp;" | "&amp;'ORDENES'!$D837&amp;" ("&amp;'ORDENES'!$N837&amp;" h)","")</f>
        <v/>
      </c>
    </row>
    <row r="842">
      <c r="K842" s="3">
        <f>IF(AND(IF($B$3="(todos)",TRUE,'ORDENES'!$P838=$B$3),IF($D$3="(todos)",TRUE,'ORDENES'!$AD838=$D$3),IF($F$3="(todos)",TRUE,'ORDENES'!$W838=$F$3),'ORDENES'!$AB838=TRUE),'ORDENES'!$AO838&amp;" | "&amp;'ORDENES'!$S838&amp;" | "&amp;IF('ORDENES'!$AC838="","(sin técnico)",'ORDENES'!$AC838)&amp;" | "&amp;'ORDENES'!$D838&amp;" ("&amp;'ORDENES'!$N838&amp;" h)","")</f>
        <v/>
      </c>
    </row>
    <row r="843">
      <c r="K843" s="3">
        <f>IF(AND(IF($B$3="(todos)",TRUE,'ORDENES'!$P839=$B$3),IF($D$3="(todos)",TRUE,'ORDENES'!$AD839=$D$3),IF($F$3="(todos)",TRUE,'ORDENES'!$W839=$F$3),'ORDENES'!$AB839=TRUE),'ORDENES'!$AO839&amp;" | "&amp;'ORDENES'!$S839&amp;" | "&amp;IF('ORDENES'!$AC839="","(sin técnico)",'ORDENES'!$AC839)&amp;" | "&amp;'ORDENES'!$D839&amp;" ("&amp;'ORDENES'!$N839&amp;" h)","")</f>
        <v/>
      </c>
    </row>
    <row r="844">
      <c r="K844" s="3">
        <f>IF(AND(IF($B$3="(todos)",TRUE,'ORDENES'!$P840=$B$3),IF($D$3="(todos)",TRUE,'ORDENES'!$AD840=$D$3),IF($F$3="(todos)",TRUE,'ORDENES'!$W840=$F$3),'ORDENES'!$AB840=TRUE),'ORDENES'!$AO840&amp;" | "&amp;'ORDENES'!$S840&amp;" | "&amp;IF('ORDENES'!$AC840="","(sin técnico)",'ORDENES'!$AC840)&amp;" | "&amp;'ORDENES'!$D840&amp;" ("&amp;'ORDENES'!$N840&amp;" h)","")</f>
        <v/>
      </c>
    </row>
    <row r="845">
      <c r="K845" s="3">
        <f>IF(AND(IF($B$3="(todos)",TRUE,'ORDENES'!$P841=$B$3),IF($D$3="(todos)",TRUE,'ORDENES'!$AD841=$D$3),IF($F$3="(todos)",TRUE,'ORDENES'!$W841=$F$3),'ORDENES'!$AB841=TRUE),'ORDENES'!$AO841&amp;" | "&amp;'ORDENES'!$S841&amp;" | "&amp;IF('ORDENES'!$AC841="","(sin técnico)",'ORDENES'!$AC841)&amp;" | "&amp;'ORDENES'!$D841&amp;" ("&amp;'ORDENES'!$N841&amp;" h)","")</f>
        <v/>
      </c>
    </row>
    <row r="846">
      <c r="K846" s="3">
        <f>IF(AND(IF($B$3="(todos)",TRUE,'ORDENES'!$P842=$B$3),IF($D$3="(todos)",TRUE,'ORDENES'!$AD842=$D$3),IF($F$3="(todos)",TRUE,'ORDENES'!$W842=$F$3),'ORDENES'!$AB842=TRUE),'ORDENES'!$AO842&amp;" | "&amp;'ORDENES'!$S842&amp;" | "&amp;IF('ORDENES'!$AC842="","(sin técnico)",'ORDENES'!$AC842)&amp;" | "&amp;'ORDENES'!$D842&amp;" ("&amp;'ORDENES'!$N842&amp;" h)","")</f>
        <v/>
      </c>
    </row>
    <row r="847">
      <c r="K847" s="3">
        <f>IF(AND(IF($B$3="(todos)",TRUE,'ORDENES'!$P843=$B$3),IF($D$3="(todos)",TRUE,'ORDENES'!$AD843=$D$3),IF($F$3="(todos)",TRUE,'ORDENES'!$W843=$F$3),'ORDENES'!$AB843=TRUE),'ORDENES'!$AO843&amp;" | "&amp;'ORDENES'!$S843&amp;" | "&amp;IF('ORDENES'!$AC843="","(sin técnico)",'ORDENES'!$AC843)&amp;" | "&amp;'ORDENES'!$D843&amp;" ("&amp;'ORDENES'!$N843&amp;" h)","")</f>
        <v/>
      </c>
    </row>
    <row r="848">
      <c r="K848" s="3">
        <f>IF(AND(IF($B$3="(todos)",TRUE,'ORDENES'!$P844=$B$3),IF($D$3="(todos)",TRUE,'ORDENES'!$AD844=$D$3),IF($F$3="(todos)",TRUE,'ORDENES'!$W844=$F$3),'ORDENES'!$AB844=TRUE),'ORDENES'!$AO844&amp;" | "&amp;'ORDENES'!$S844&amp;" | "&amp;IF('ORDENES'!$AC844="","(sin técnico)",'ORDENES'!$AC844)&amp;" | "&amp;'ORDENES'!$D844&amp;" ("&amp;'ORDENES'!$N844&amp;" h)","")</f>
        <v/>
      </c>
    </row>
    <row r="849">
      <c r="K849" s="3">
        <f>IF(AND(IF($B$3="(todos)",TRUE,'ORDENES'!$P845=$B$3),IF($D$3="(todos)",TRUE,'ORDENES'!$AD845=$D$3),IF($F$3="(todos)",TRUE,'ORDENES'!$W845=$F$3),'ORDENES'!$AB845=TRUE),'ORDENES'!$AO845&amp;" | "&amp;'ORDENES'!$S845&amp;" | "&amp;IF('ORDENES'!$AC845="","(sin técnico)",'ORDENES'!$AC845)&amp;" | "&amp;'ORDENES'!$D845&amp;" ("&amp;'ORDENES'!$N845&amp;" h)","")</f>
        <v/>
      </c>
    </row>
    <row r="850">
      <c r="K850" s="3">
        <f>IF(AND(IF($B$3="(todos)",TRUE,'ORDENES'!$P846=$B$3),IF($D$3="(todos)",TRUE,'ORDENES'!$AD846=$D$3),IF($F$3="(todos)",TRUE,'ORDENES'!$W846=$F$3),'ORDENES'!$AB846=TRUE),'ORDENES'!$AO846&amp;" | "&amp;'ORDENES'!$S846&amp;" | "&amp;IF('ORDENES'!$AC846="","(sin técnico)",'ORDENES'!$AC846)&amp;" | "&amp;'ORDENES'!$D846&amp;" ("&amp;'ORDENES'!$N846&amp;" h)","")</f>
        <v/>
      </c>
    </row>
    <row r="851">
      <c r="K851" s="3">
        <f>IF(AND(IF($B$3="(todos)",TRUE,'ORDENES'!$P847=$B$3),IF($D$3="(todos)",TRUE,'ORDENES'!$AD847=$D$3),IF($F$3="(todos)",TRUE,'ORDENES'!$W847=$F$3),'ORDENES'!$AB847=TRUE),'ORDENES'!$AO847&amp;" | "&amp;'ORDENES'!$S847&amp;" | "&amp;IF('ORDENES'!$AC847="","(sin técnico)",'ORDENES'!$AC847)&amp;" | "&amp;'ORDENES'!$D847&amp;" ("&amp;'ORDENES'!$N847&amp;" h)","")</f>
        <v/>
      </c>
    </row>
    <row r="852">
      <c r="K852" s="3">
        <f>IF(AND(IF($B$3="(todos)",TRUE,'ORDENES'!$P848=$B$3),IF($D$3="(todos)",TRUE,'ORDENES'!$AD848=$D$3),IF($F$3="(todos)",TRUE,'ORDENES'!$W848=$F$3),'ORDENES'!$AB848=TRUE),'ORDENES'!$AO848&amp;" | "&amp;'ORDENES'!$S848&amp;" | "&amp;IF('ORDENES'!$AC848="","(sin técnico)",'ORDENES'!$AC848)&amp;" | "&amp;'ORDENES'!$D848&amp;" ("&amp;'ORDENES'!$N848&amp;" h)","")</f>
        <v/>
      </c>
    </row>
    <row r="853">
      <c r="K853" s="3">
        <f>IF(AND(IF($B$3="(todos)",TRUE,'ORDENES'!$P849=$B$3),IF($D$3="(todos)",TRUE,'ORDENES'!$AD849=$D$3),IF($F$3="(todos)",TRUE,'ORDENES'!$W849=$F$3),'ORDENES'!$AB849=TRUE),'ORDENES'!$AO849&amp;" | "&amp;'ORDENES'!$S849&amp;" | "&amp;IF('ORDENES'!$AC849="","(sin técnico)",'ORDENES'!$AC849)&amp;" | "&amp;'ORDENES'!$D849&amp;" ("&amp;'ORDENES'!$N849&amp;" h)","")</f>
        <v/>
      </c>
    </row>
    <row r="854">
      <c r="K854" s="3">
        <f>IF(AND(IF($B$3="(todos)",TRUE,'ORDENES'!$P850=$B$3),IF($D$3="(todos)",TRUE,'ORDENES'!$AD850=$D$3),IF($F$3="(todos)",TRUE,'ORDENES'!$W850=$F$3),'ORDENES'!$AB850=TRUE),'ORDENES'!$AO850&amp;" | "&amp;'ORDENES'!$S850&amp;" | "&amp;IF('ORDENES'!$AC850="","(sin técnico)",'ORDENES'!$AC850)&amp;" | "&amp;'ORDENES'!$D850&amp;" ("&amp;'ORDENES'!$N850&amp;" h)","")</f>
        <v/>
      </c>
    </row>
    <row r="855">
      <c r="K855" s="3">
        <f>IF(AND(IF($B$3="(todos)",TRUE,'ORDENES'!$P851=$B$3),IF($D$3="(todos)",TRUE,'ORDENES'!$AD851=$D$3),IF($F$3="(todos)",TRUE,'ORDENES'!$W851=$F$3),'ORDENES'!$AB851=TRUE),'ORDENES'!$AO851&amp;" | "&amp;'ORDENES'!$S851&amp;" | "&amp;IF('ORDENES'!$AC851="","(sin técnico)",'ORDENES'!$AC851)&amp;" | "&amp;'ORDENES'!$D851&amp;" ("&amp;'ORDENES'!$N851&amp;" h)","")</f>
        <v/>
      </c>
    </row>
    <row r="856">
      <c r="K856" s="3">
        <f>IF(AND(IF($B$3="(todos)",TRUE,'ORDENES'!$P852=$B$3),IF($D$3="(todos)",TRUE,'ORDENES'!$AD852=$D$3),IF($F$3="(todos)",TRUE,'ORDENES'!$W852=$F$3),'ORDENES'!$AB852=TRUE),'ORDENES'!$AO852&amp;" | "&amp;'ORDENES'!$S852&amp;" | "&amp;IF('ORDENES'!$AC852="","(sin técnico)",'ORDENES'!$AC852)&amp;" | "&amp;'ORDENES'!$D852&amp;" ("&amp;'ORDENES'!$N852&amp;" h)","")</f>
        <v/>
      </c>
    </row>
    <row r="857">
      <c r="K857" s="3">
        <f>IF(AND(IF($B$3="(todos)",TRUE,'ORDENES'!$P853=$B$3),IF($D$3="(todos)",TRUE,'ORDENES'!$AD853=$D$3),IF($F$3="(todos)",TRUE,'ORDENES'!$W853=$F$3),'ORDENES'!$AB853=TRUE),'ORDENES'!$AO853&amp;" | "&amp;'ORDENES'!$S853&amp;" | "&amp;IF('ORDENES'!$AC853="","(sin técnico)",'ORDENES'!$AC853)&amp;" | "&amp;'ORDENES'!$D853&amp;" ("&amp;'ORDENES'!$N853&amp;" h)","")</f>
        <v/>
      </c>
    </row>
    <row r="858">
      <c r="K858" s="3">
        <f>IF(AND(IF($B$3="(todos)",TRUE,'ORDENES'!$P854=$B$3),IF($D$3="(todos)",TRUE,'ORDENES'!$AD854=$D$3),IF($F$3="(todos)",TRUE,'ORDENES'!$W854=$F$3),'ORDENES'!$AB854=TRUE),'ORDENES'!$AO854&amp;" | "&amp;'ORDENES'!$S854&amp;" | "&amp;IF('ORDENES'!$AC854="","(sin técnico)",'ORDENES'!$AC854)&amp;" | "&amp;'ORDENES'!$D854&amp;" ("&amp;'ORDENES'!$N854&amp;" h)","")</f>
        <v/>
      </c>
    </row>
    <row r="859">
      <c r="K859" s="3">
        <f>IF(AND(IF($B$3="(todos)",TRUE,'ORDENES'!$P855=$B$3),IF($D$3="(todos)",TRUE,'ORDENES'!$AD855=$D$3),IF($F$3="(todos)",TRUE,'ORDENES'!$W855=$F$3),'ORDENES'!$AB855=TRUE),'ORDENES'!$AO855&amp;" | "&amp;'ORDENES'!$S855&amp;" | "&amp;IF('ORDENES'!$AC855="","(sin técnico)",'ORDENES'!$AC855)&amp;" | "&amp;'ORDENES'!$D855&amp;" ("&amp;'ORDENES'!$N855&amp;" h)","")</f>
        <v/>
      </c>
    </row>
    <row r="860">
      <c r="K860" s="3">
        <f>IF(AND(IF($B$3="(todos)",TRUE,'ORDENES'!$P856=$B$3),IF($D$3="(todos)",TRUE,'ORDENES'!$AD856=$D$3),IF($F$3="(todos)",TRUE,'ORDENES'!$W856=$F$3),'ORDENES'!$AB856=TRUE),'ORDENES'!$AO856&amp;" | "&amp;'ORDENES'!$S856&amp;" | "&amp;IF('ORDENES'!$AC856="","(sin técnico)",'ORDENES'!$AC856)&amp;" | "&amp;'ORDENES'!$D856&amp;" ("&amp;'ORDENES'!$N856&amp;" h)","")</f>
        <v/>
      </c>
    </row>
    <row r="861">
      <c r="K861" s="3">
        <f>IF(AND(IF($B$3="(todos)",TRUE,'ORDENES'!$P857=$B$3),IF($D$3="(todos)",TRUE,'ORDENES'!$AD857=$D$3),IF($F$3="(todos)",TRUE,'ORDENES'!$W857=$F$3),'ORDENES'!$AB857=TRUE),'ORDENES'!$AO857&amp;" | "&amp;'ORDENES'!$S857&amp;" | "&amp;IF('ORDENES'!$AC857="","(sin técnico)",'ORDENES'!$AC857)&amp;" | "&amp;'ORDENES'!$D857&amp;" ("&amp;'ORDENES'!$N857&amp;" h)","")</f>
        <v/>
      </c>
    </row>
    <row r="862">
      <c r="K862" s="3">
        <f>IF(AND(IF($B$3="(todos)",TRUE,'ORDENES'!$P858=$B$3),IF($D$3="(todos)",TRUE,'ORDENES'!$AD858=$D$3),IF($F$3="(todos)",TRUE,'ORDENES'!$W858=$F$3),'ORDENES'!$AB858=TRUE),'ORDENES'!$AO858&amp;" | "&amp;'ORDENES'!$S858&amp;" | "&amp;IF('ORDENES'!$AC858="","(sin técnico)",'ORDENES'!$AC858)&amp;" | "&amp;'ORDENES'!$D858&amp;" ("&amp;'ORDENES'!$N858&amp;" h)","")</f>
        <v/>
      </c>
    </row>
    <row r="863">
      <c r="K863" s="3">
        <f>IF(AND(IF($B$3="(todos)",TRUE,'ORDENES'!$P859=$B$3),IF($D$3="(todos)",TRUE,'ORDENES'!$AD859=$D$3),IF($F$3="(todos)",TRUE,'ORDENES'!$W859=$F$3),'ORDENES'!$AB859=TRUE),'ORDENES'!$AO859&amp;" | "&amp;'ORDENES'!$S859&amp;" | "&amp;IF('ORDENES'!$AC859="","(sin técnico)",'ORDENES'!$AC859)&amp;" | "&amp;'ORDENES'!$D859&amp;" ("&amp;'ORDENES'!$N859&amp;" h)","")</f>
        <v/>
      </c>
    </row>
    <row r="864">
      <c r="K864" s="3">
        <f>IF(AND(IF($B$3="(todos)",TRUE,'ORDENES'!$P860=$B$3),IF($D$3="(todos)",TRUE,'ORDENES'!$AD860=$D$3),IF($F$3="(todos)",TRUE,'ORDENES'!$W860=$F$3),'ORDENES'!$AB860=TRUE),'ORDENES'!$AO860&amp;" | "&amp;'ORDENES'!$S860&amp;" | "&amp;IF('ORDENES'!$AC860="","(sin técnico)",'ORDENES'!$AC860)&amp;" | "&amp;'ORDENES'!$D860&amp;" ("&amp;'ORDENES'!$N860&amp;" h)","")</f>
        <v/>
      </c>
    </row>
    <row r="865">
      <c r="K865" s="3">
        <f>IF(AND(IF($B$3="(todos)",TRUE,'ORDENES'!$P861=$B$3),IF($D$3="(todos)",TRUE,'ORDENES'!$AD861=$D$3),IF($F$3="(todos)",TRUE,'ORDENES'!$W861=$F$3),'ORDENES'!$AB861=TRUE),'ORDENES'!$AO861&amp;" | "&amp;'ORDENES'!$S861&amp;" | "&amp;IF('ORDENES'!$AC861="","(sin técnico)",'ORDENES'!$AC861)&amp;" | "&amp;'ORDENES'!$D861&amp;" ("&amp;'ORDENES'!$N861&amp;" h)","")</f>
        <v/>
      </c>
    </row>
    <row r="866">
      <c r="K866" s="3">
        <f>IF(AND(IF($B$3="(todos)",TRUE,'ORDENES'!$P862=$B$3),IF($D$3="(todos)",TRUE,'ORDENES'!$AD862=$D$3),IF($F$3="(todos)",TRUE,'ORDENES'!$W862=$F$3),'ORDENES'!$AB862=TRUE),'ORDENES'!$AO862&amp;" | "&amp;'ORDENES'!$S862&amp;" | "&amp;IF('ORDENES'!$AC862="","(sin técnico)",'ORDENES'!$AC862)&amp;" | "&amp;'ORDENES'!$D862&amp;" ("&amp;'ORDENES'!$N862&amp;" h)","")</f>
        <v/>
      </c>
    </row>
    <row r="867">
      <c r="K867" s="3">
        <f>IF(AND(IF($B$3="(todos)",TRUE,'ORDENES'!$P863=$B$3),IF($D$3="(todos)",TRUE,'ORDENES'!$AD863=$D$3),IF($F$3="(todos)",TRUE,'ORDENES'!$W863=$F$3),'ORDENES'!$AB863=TRUE),'ORDENES'!$AO863&amp;" | "&amp;'ORDENES'!$S863&amp;" | "&amp;IF('ORDENES'!$AC863="","(sin técnico)",'ORDENES'!$AC863)&amp;" | "&amp;'ORDENES'!$D863&amp;" ("&amp;'ORDENES'!$N863&amp;" h)","")</f>
        <v/>
      </c>
    </row>
    <row r="868">
      <c r="K868" s="3">
        <f>IF(AND(IF($B$3="(todos)",TRUE,'ORDENES'!$P864=$B$3),IF($D$3="(todos)",TRUE,'ORDENES'!$AD864=$D$3),IF($F$3="(todos)",TRUE,'ORDENES'!$W864=$F$3),'ORDENES'!$AB864=TRUE),'ORDENES'!$AO864&amp;" | "&amp;'ORDENES'!$S864&amp;" | "&amp;IF('ORDENES'!$AC864="","(sin técnico)",'ORDENES'!$AC864)&amp;" | "&amp;'ORDENES'!$D864&amp;" ("&amp;'ORDENES'!$N864&amp;" h)","")</f>
        <v/>
      </c>
    </row>
    <row r="869">
      <c r="K869" s="3">
        <f>IF(AND(IF($B$3="(todos)",TRUE,'ORDENES'!$P865=$B$3),IF($D$3="(todos)",TRUE,'ORDENES'!$AD865=$D$3),IF($F$3="(todos)",TRUE,'ORDENES'!$W865=$F$3),'ORDENES'!$AB865=TRUE),'ORDENES'!$AO865&amp;" | "&amp;'ORDENES'!$S865&amp;" | "&amp;IF('ORDENES'!$AC865="","(sin técnico)",'ORDENES'!$AC865)&amp;" | "&amp;'ORDENES'!$D865&amp;" ("&amp;'ORDENES'!$N865&amp;" h)","")</f>
        <v/>
      </c>
    </row>
    <row r="870">
      <c r="K870" s="3">
        <f>IF(AND(IF($B$3="(todos)",TRUE,'ORDENES'!$P866=$B$3),IF($D$3="(todos)",TRUE,'ORDENES'!$AD866=$D$3),IF($F$3="(todos)",TRUE,'ORDENES'!$W866=$F$3),'ORDENES'!$AB866=TRUE),'ORDENES'!$AO866&amp;" | "&amp;'ORDENES'!$S866&amp;" | "&amp;IF('ORDENES'!$AC866="","(sin técnico)",'ORDENES'!$AC866)&amp;" | "&amp;'ORDENES'!$D866&amp;" ("&amp;'ORDENES'!$N866&amp;" h)","")</f>
        <v/>
      </c>
    </row>
    <row r="871">
      <c r="K871" s="3">
        <f>IF(AND(IF($B$3="(todos)",TRUE,'ORDENES'!$P867=$B$3),IF($D$3="(todos)",TRUE,'ORDENES'!$AD867=$D$3),IF($F$3="(todos)",TRUE,'ORDENES'!$W867=$F$3),'ORDENES'!$AB867=TRUE),'ORDENES'!$AO867&amp;" | "&amp;'ORDENES'!$S867&amp;" | "&amp;IF('ORDENES'!$AC867="","(sin técnico)",'ORDENES'!$AC867)&amp;" | "&amp;'ORDENES'!$D867&amp;" ("&amp;'ORDENES'!$N867&amp;" h)","")</f>
        <v/>
      </c>
    </row>
    <row r="872">
      <c r="K872" s="3">
        <f>IF(AND(IF($B$3="(todos)",TRUE,'ORDENES'!$P868=$B$3),IF($D$3="(todos)",TRUE,'ORDENES'!$AD868=$D$3),IF($F$3="(todos)",TRUE,'ORDENES'!$W868=$F$3),'ORDENES'!$AB868=TRUE),'ORDENES'!$AO868&amp;" | "&amp;'ORDENES'!$S868&amp;" | "&amp;IF('ORDENES'!$AC868="","(sin técnico)",'ORDENES'!$AC868)&amp;" | "&amp;'ORDENES'!$D868&amp;" ("&amp;'ORDENES'!$N868&amp;" h)","")</f>
        <v/>
      </c>
    </row>
    <row r="873">
      <c r="K873" s="3">
        <f>IF(AND(IF($B$3="(todos)",TRUE,'ORDENES'!$P869=$B$3),IF($D$3="(todos)",TRUE,'ORDENES'!$AD869=$D$3),IF($F$3="(todos)",TRUE,'ORDENES'!$W869=$F$3),'ORDENES'!$AB869=TRUE),'ORDENES'!$AO869&amp;" | "&amp;'ORDENES'!$S869&amp;" | "&amp;IF('ORDENES'!$AC869="","(sin técnico)",'ORDENES'!$AC869)&amp;" | "&amp;'ORDENES'!$D869&amp;" ("&amp;'ORDENES'!$N869&amp;" h)","")</f>
        <v/>
      </c>
    </row>
    <row r="874">
      <c r="K874" s="3">
        <f>IF(AND(IF($B$3="(todos)",TRUE,'ORDENES'!$P870=$B$3),IF($D$3="(todos)",TRUE,'ORDENES'!$AD870=$D$3),IF($F$3="(todos)",TRUE,'ORDENES'!$W870=$F$3),'ORDENES'!$AB870=TRUE),'ORDENES'!$AO870&amp;" | "&amp;'ORDENES'!$S870&amp;" | "&amp;IF('ORDENES'!$AC870="","(sin técnico)",'ORDENES'!$AC870)&amp;" | "&amp;'ORDENES'!$D870&amp;" ("&amp;'ORDENES'!$N870&amp;" h)","")</f>
        <v/>
      </c>
    </row>
    <row r="875">
      <c r="K875" s="3">
        <f>IF(AND(IF($B$3="(todos)",TRUE,'ORDENES'!$P871=$B$3),IF($D$3="(todos)",TRUE,'ORDENES'!$AD871=$D$3),IF($F$3="(todos)",TRUE,'ORDENES'!$W871=$F$3),'ORDENES'!$AB871=TRUE),'ORDENES'!$AO871&amp;" | "&amp;'ORDENES'!$S871&amp;" | "&amp;IF('ORDENES'!$AC871="","(sin técnico)",'ORDENES'!$AC871)&amp;" | "&amp;'ORDENES'!$D871&amp;" ("&amp;'ORDENES'!$N871&amp;" h)","")</f>
        <v/>
      </c>
    </row>
    <row r="876">
      <c r="K876" s="3">
        <f>IF(AND(IF($B$3="(todos)",TRUE,'ORDENES'!$P872=$B$3),IF($D$3="(todos)",TRUE,'ORDENES'!$AD872=$D$3),IF($F$3="(todos)",TRUE,'ORDENES'!$W872=$F$3),'ORDENES'!$AB872=TRUE),'ORDENES'!$AO872&amp;" | "&amp;'ORDENES'!$S872&amp;" | "&amp;IF('ORDENES'!$AC872="","(sin técnico)",'ORDENES'!$AC872)&amp;" | "&amp;'ORDENES'!$D872&amp;" ("&amp;'ORDENES'!$N872&amp;" h)","")</f>
        <v/>
      </c>
    </row>
    <row r="877">
      <c r="K877" s="3">
        <f>IF(AND(IF($B$3="(todos)",TRUE,'ORDENES'!$P873=$B$3),IF($D$3="(todos)",TRUE,'ORDENES'!$AD873=$D$3),IF($F$3="(todos)",TRUE,'ORDENES'!$W873=$F$3),'ORDENES'!$AB873=TRUE),'ORDENES'!$AO873&amp;" | "&amp;'ORDENES'!$S873&amp;" | "&amp;IF('ORDENES'!$AC873="","(sin técnico)",'ORDENES'!$AC873)&amp;" | "&amp;'ORDENES'!$D873&amp;" ("&amp;'ORDENES'!$N873&amp;" h)","")</f>
        <v/>
      </c>
    </row>
    <row r="878">
      <c r="K878" s="3">
        <f>IF(AND(IF($B$3="(todos)",TRUE,'ORDENES'!$P874=$B$3),IF($D$3="(todos)",TRUE,'ORDENES'!$AD874=$D$3),IF($F$3="(todos)",TRUE,'ORDENES'!$W874=$F$3),'ORDENES'!$AB874=TRUE),'ORDENES'!$AO874&amp;" | "&amp;'ORDENES'!$S874&amp;" | "&amp;IF('ORDENES'!$AC874="","(sin técnico)",'ORDENES'!$AC874)&amp;" | "&amp;'ORDENES'!$D874&amp;" ("&amp;'ORDENES'!$N874&amp;" h)","")</f>
        <v/>
      </c>
    </row>
    <row r="879">
      <c r="K879" s="3">
        <f>IF(AND(IF($B$3="(todos)",TRUE,'ORDENES'!$P875=$B$3),IF($D$3="(todos)",TRUE,'ORDENES'!$AD875=$D$3),IF($F$3="(todos)",TRUE,'ORDENES'!$W875=$F$3),'ORDENES'!$AB875=TRUE),'ORDENES'!$AO875&amp;" | "&amp;'ORDENES'!$S875&amp;" | "&amp;IF('ORDENES'!$AC875="","(sin técnico)",'ORDENES'!$AC875)&amp;" | "&amp;'ORDENES'!$D875&amp;" ("&amp;'ORDENES'!$N875&amp;" h)","")</f>
        <v/>
      </c>
    </row>
    <row r="880">
      <c r="K880" s="3">
        <f>IF(AND(IF($B$3="(todos)",TRUE,'ORDENES'!$P876=$B$3),IF($D$3="(todos)",TRUE,'ORDENES'!$AD876=$D$3),IF($F$3="(todos)",TRUE,'ORDENES'!$W876=$F$3),'ORDENES'!$AB876=TRUE),'ORDENES'!$AO876&amp;" | "&amp;'ORDENES'!$S876&amp;" | "&amp;IF('ORDENES'!$AC876="","(sin técnico)",'ORDENES'!$AC876)&amp;" | "&amp;'ORDENES'!$D876&amp;" ("&amp;'ORDENES'!$N876&amp;" h)","")</f>
        <v/>
      </c>
    </row>
    <row r="881">
      <c r="K881" s="3">
        <f>IF(AND(IF($B$3="(todos)",TRUE,'ORDENES'!$P877=$B$3),IF($D$3="(todos)",TRUE,'ORDENES'!$AD877=$D$3),IF($F$3="(todos)",TRUE,'ORDENES'!$W877=$F$3),'ORDENES'!$AB877=TRUE),'ORDENES'!$AO877&amp;" | "&amp;'ORDENES'!$S877&amp;" | "&amp;IF('ORDENES'!$AC877="","(sin técnico)",'ORDENES'!$AC877)&amp;" | "&amp;'ORDENES'!$D877&amp;" ("&amp;'ORDENES'!$N877&amp;" h)","")</f>
        <v/>
      </c>
    </row>
    <row r="882">
      <c r="K882" s="3">
        <f>IF(AND(IF($B$3="(todos)",TRUE,'ORDENES'!$P878=$B$3),IF($D$3="(todos)",TRUE,'ORDENES'!$AD878=$D$3),IF($F$3="(todos)",TRUE,'ORDENES'!$W878=$F$3),'ORDENES'!$AB878=TRUE),'ORDENES'!$AO878&amp;" | "&amp;'ORDENES'!$S878&amp;" | "&amp;IF('ORDENES'!$AC878="","(sin técnico)",'ORDENES'!$AC878)&amp;" | "&amp;'ORDENES'!$D878&amp;" ("&amp;'ORDENES'!$N878&amp;" h)","")</f>
        <v/>
      </c>
    </row>
    <row r="883">
      <c r="K883" s="3">
        <f>IF(AND(IF($B$3="(todos)",TRUE,'ORDENES'!$P879=$B$3),IF($D$3="(todos)",TRUE,'ORDENES'!$AD879=$D$3),IF($F$3="(todos)",TRUE,'ORDENES'!$W879=$F$3),'ORDENES'!$AB879=TRUE),'ORDENES'!$AO879&amp;" | "&amp;'ORDENES'!$S879&amp;" | "&amp;IF('ORDENES'!$AC879="","(sin técnico)",'ORDENES'!$AC879)&amp;" | "&amp;'ORDENES'!$D879&amp;" ("&amp;'ORDENES'!$N879&amp;" h)","")</f>
        <v/>
      </c>
    </row>
    <row r="884">
      <c r="K884" s="3">
        <f>IF(AND(IF($B$3="(todos)",TRUE,'ORDENES'!$P880=$B$3),IF($D$3="(todos)",TRUE,'ORDENES'!$AD880=$D$3),IF($F$3="(todos)",TRUE,'ORDENES'!$W880=$F$3),'ORDENES'!$AB880=TRUE),'ORDENES'!$AO880&amp;" | "&amp;'ORDENES'!$S880&amp;" | "&amp;IF('ORDENES'!$AC880="","(sin técnico)",'ORDENES'!$AC880)&amp;" | "&amp;'ORDENES'!$D880&amp;" ("&amp;'ORDENES'!$N880&amp;" h)","")</f>
        <v/>
      </c>
    </row>
    <row r="885">
      <c r="K885" s="3">
        <f>IF(AND(IF($B$3="(todos)",TRUE,'ORDENES'!$P881=$B$3),IF($D$3="(todos)",TRUE,'ORDENES'!$AD881=$D$3),IF($F$3="(todos)",TRUE,'ORDENES'!$W881=$F$3),'ORDENES'!$AB881=TRUE),'ORDENES'!$AO881&amp;" | "&amp;'ORDENES'!$S881&amp;" | "&amp;IF('ORDENES'!$AC881="","(sin técnico)",'ORDENES'!$AC881)&amp;" | "&amp;'ORDENES'!$D881&amp;" ("&amp;'ORDENES'!$N881&amp;" h)","")</f>
        <v/>
      </c>
    </row>
    <row r="886">
      <c r="K886" s="3">
        <f>IF(AND(IF($B$3="(todos)",TRUE,'ORDENES'!$P882=$B$3),IF($D$3="(todos)",TRUE,'ORDENES'!$AD882=$D$3),IF($F$3="(todos)",TRUE,'ORDENES'!$W882=$F$3),'ORDENES'!$AB882=TRUE),'ORDENES'!$AO882&amp;" | "&amp;'ORDENES'!$S882&amp;" | "&amp;IF('ORDENES'!$AC882="","(sin técnico)",'ORDENES'!$AC882)&amp;" | "&amp;'ORDENES'!$D882&amp;" ("&amp;'ORDENES'!$N882&amp;" h)","")</f>
        <v/>
      </c>
    </row>
    <row r="887">
      <c r="K887" s="3">
        <f>IF(AND(IF($B$3="(todos)",TRUE,'ORDENES'!$P883=$B$3),IF($D$3="(todos)",TRUE,'ORDENES'!$AD883=$D$3),IF($F$3="(todos)",TRUE,'ORDENES'!$W883=$F$3),'ORDENES'!$AB883=TRUE),'ORDENES'!$AO883&amp;" | "&amp;'ORDENES'!$S883&amp;" | "&amp;IF('ORDENES'!$AC883="","(sin técnico)",'ORDENES'!$AC883)&amp;" | "&amp;'ORDENES'!$D883&amp;" ("&amp;'ORDENES'!$N883&amp;" h)","")</f>
        <v/>
      </c>
    </row>
    <row r="888">
      <c r="K888" s="3">
        <f>IF(AND(IF($B$3="(todos)",TRUE,'ORDENES'!$P884=$B$3),IF($D$3="(todos)",TRUE,'ORDENES'!$AD884=$D$3),IF($F$3="(todos)",TRUE,'ORDENES'!$W884=$F$3),'ORDENES'!$AB884=TRUE),'ORDENES'!$AO884&amp;" | "&amp;'ORDENES'!$S884&amp;" | "&amp;IF('ORDENES'!$AC884="","(sin técnico)",'ORDENES'!$AC884)&amp;" | "&amp;'ORDENES'!$D884&amp;" ("&amp;'ORDENES'!$N884&amp;" h)","")</f>
        <v/>
      </c>
    </row>
    <row r="889">
      <c r="K889" s="3">
        <f>IF(AND(IF($B$3="(todos)",TRUE,'ORDENES'!$P885=$B$3),IF($D$3="(todos)",TRUE,'ORDENES'!$AD885=$D$3),IF($F$3="(todos)",TRUE,'ORDENES'!$W885=$F$3),'ORDENES'!$AB885=TRUE),'ORDENES'!$AO885&amp;" | "&amp;'ORDENES'!$S885&amp;" | "&amp;IF('ORDENES'!$AC885="","(sin técnico)",'ORDENES'!$AC885)&amp;" | "&amp;'ORDENES'!$D885&amp;" ("&amp;'ORDENES'!$N885&amp;" h)","")</f>
        <v/>
      </c>
    </row>
    <row r="890">
      <c r="K890" s="3">
        <f>IF(AND(IF($B$3="(todos)",TRUE,'ORDENES'!$P886=$B$3),IF($D$3="(todos)",TRUE,'ORDENES'!$AD886=$D$3),IF($F$3="(todos)",TRUE,'ORDENES'!$W886=$F$3),'ORDENES'!$AB886=TRUE),'ORDENES'!$AO886&amp;" | "&amp;'ORDENES'!$S886&amp;" | "&amp;IF('ORDENES'!$AC886="","(sin técnico)",'ORDENES'!$AC886)&amp;" | "&amp;'ORDENES'!$D886&amp;" ("&amp;'ORDENES'!$N886&amp;" h)","")</f>
        <v/>
      </c>
    </row>
    <row r="891">
      <c r="K891" s="3">
        <f>IF(AND(IF($B$3="(todos)",TRUE,'ORDENES'!$P887=$B$3),IF($D$3="(todos)",TRUE,'ORDENES'!$AD887=$D$3),IF($F$3="(todos)",TRUE,'ORDENES'!$W887=$F$3),'ORDENES'!$AB887=TRUE),'ORDENES'!$AO887&amp;" | "&amp;'ORDENES'!$S887&amp;" | "&amp;IF('ORDENES'!$AC887="","(sin técnico)",'ORDENES'!$AC887)&amp;" | "&amp;'ORDENES'!$D887&amp;" ("&amp;'ORDENES'!$N887&amp;" h)","")</f>
        <v/>
      </c>
    </row>
    <row r="892">
      <c r="K892" s="3">
        <f>IF(AND(IF($B$3="(todos)",TRUE,'ORDENES'!$P888=$B$3),IF($D$3="(todos)",TRUE,'ORDENES'!$AD888=$D$3),IF($F$3="(todos)",TRUE,'ORDENES'!$W888=$F$3),'ORDENES'!$AB888=TRUE),'ORDENES'!$AO888&amp;" | "&amp;'ORDENES'!$S888&amp;" | "&amp;IF('ORDENES'!$AC888="","(sin técnico)",'ORDENES'!$AC888)&amp;" | "&amp;'ORDENES'!$D888&amp;" ("&amp;'ORDENES'!$N888&amp;" h)","")</f>
        <v/>
      </c>
    </row>
    <row r="893">
      <c r="K893" s="3">
        <f>IF(AND(IF($B$3="(todos)",TRUE,'ORDENES'!$P889=$B$3),IF($D$3="(todos)",TRUE,'ORDENES'!$AD889=$D$3),IF($F$3="(todos)",TRUE,'ORDENES'!$W889=$F$3),'ORDENES'!$AB889=TRUE),'ORDENES'!$AO889&amp;" | "&amp;'ORDENES'!$S889&amp;" | "&amp;IF('ORDENES'!$AC889="","(sin técnico)",'ORDENES'!$AC889)&amp;" | "&amp;'ORDENES'!$D889&amp;" ("&amp;'ORDENES'!$N889&amp;" h)","")</f>
        <v/>
      </c>
    </row>
    <row r="894">
      <c r="K894" s="3">
        <f>IF(AND(IF($B$3="(todos)",TRUE,'ORDENES'!$P890=$B$3),IF($D$3="(todos)",TRUE,'ORDENES'!$AD890=$D$3),IF($F$3="(todos)",TRUE,'ORDENES'!$W890=$F$3),'ORDENES'!$AB890=TRUE),'ORDENES'!$AO890&amp;" | "&amp;'ORDENES'!$S890&amp;" | "&amp;IF('ORDENES'!$AC890="","(sin técnico)",'ORDENES'!$AC890)&amp;" | "&amp;'ORDENES'!$D890&amp;" ("&amp;'ORDENES'!$N890&amp;" h)","")</f>
        <v/>
      </c>
    </row>
    <row r="895">
      <c r="K895" s="3">
        <f>IF(AND(IF($B$3="(todos)",TRUE,'ORDENES'!$P891=$B$3),IF($D$3="(todos)",TRUE,'ORDENES'!$AD891=$D$3),IF($F$3="(todos)",TRUE,'ORDENES'!$W891=$F$3),'ORDENES'!$AB891=TRUE),'ORDENES'!$AO891&amp;" | "&amp;'ORDENES'!$S891&amp;" | "&amp;IF('ORDENES'!$AC891="","(sin técnico)",'ORDENES'!$AC891)&amp;" | "&amp;'ORDENES'!$D891&amp;" ("&amp;'ORDENES'!$N891&amp;" h)","")</f>
        <v/>
      </c>
    </row>
    <row r="896">
      <c r="K896" s="3">
        <f>IF(AND(IF($B$3="(todos)",TRUE,'ORDENES'!$P892=$B$3),IF($D$3="(todos)",TRUE,'ORDENES'!$AD892=$D$3),IF($F$3="(todos)",TRUE,'ORDENES'!$W892=$F$3),'ORDENES'!$AB892=TRUE),'ORDENES'!$AO892&amp;" | "&amp;'ORDENES'!$S892&amp;" | "&amp;IF('ORDENES'!$AC892="","(sin técnico)",'ORDENES'!$AC892)&amp;" | "&amp;'ORDENES'!$D892&amp;" ("&amp;'ORDENES'!$N892&amp;" h)","")</f>
        <v/>
      </c>
    </row>
    <row r="897">
      <c r="K897" s="3">
        <f>IF(AND(IF($B$3="(todos)",TRUE,'ORDENES'!$P893=$B$3),IF($D$3="(todos)",TRUE,'ORDENES'!$AD893=$D$3),IF($F$3="(todos)",TRUE,'ORDENES'!$W893=$F$3),'ORDENES'!$AB893=TRUE),'ORDENES'!$AO893&amp;" | "&amp;'ORDENES'!$S893&amp;" | "&amp;IF('ORDENES'!$AC893="","(sin técnico)",'ORDENES'!$AC893)&amp;" | "&amp;'ORDENES'!$D893&amp;" ("&amp;'ORDENES'!$N893&amp;" h)","")</f>
        <v/>
      </c>
    </row>
    <row r="898">
      <c r="K898" s="3">
        <f>IF(AND(IF($B$3="(todos)",TRUE,'ORDENES'!$P894=$B$3),IF($D$3="(todos)",TRUE,'ORDENES'!$AD894=$D$3),IF($F$3="(todos)",TRUE,'ORDENES'!$W894=$F$3),'ORDENES'!$AB894=TRUE),'ORDENES'!$AO894&amp;" | "&amp;'ORDENES'!$S894&amp;" | "&amp;IF('ORDENES'!$AC894="","(sin técnico)",'ORDENES'!$AC894)&amp;" | "&amp;'ORDENES'!$D894&amp;" ("&amp;'ORDENES'!$N894&amp;" h)","")</f>
        <v/>
      </c>
    </row>
    <row r="899">
      <c r="K899" s="3">
        <f>IF(AND(IF($B$3="(todos)",TRUE,'ORDENES'!$P895=$B$3),IF($D$3="(todos)",TRUE,'ORDENES'!$AD895=$D$3),IF($F$3="(todos)",TRUE,'ORDENES'!$W895=$F$3),'ORDENES'!$AB895=TRUE),'ORDENES'!$AO895&amp;" | "&amp;'ORDENES'!$S895&amp;" | "&amp;IF('ORDENES'!$AC895="","(sin técnico)",'ORDENES'!$AC895)&amp;" | "&amp;'ORDENES'!$D895&amp;" ("&amp;'ORDENES'!$N895&amp;" h)","")</f>
        <v/>
      </c>
    </row>
    <row r="900">
      <c r="K900" s="3">
        <f>IF(AND(IF($B$3="(todos)",TRUE,'ORDENES'!$P896=$B$3),IF($D$3="(todos)",TRUE,'ORDENES'!$AD896=$D$3),IF($F$3="(todos)",TRUE,'ORDENES'!$W896=$F$3),'ORDENES'!$AB896=TRUE),'ORDENES'!$AO896&amp;" | "&amp;'ORDENES'!$S896&amp;" | "&amp;IF('ORDENES'!$AC896="","(sin técnico)",'ORDENES'!$AC896)&amp;" | "&amp;'ORDENES'!$D896&amp;" ("&amp;'ORDENES'!$N896&amp;" h)","")</f>
        <v/>
      </c>
    </row>
    <row r="901">
      <c r="K901" s="3">
        <f>IF(AND(IF($B$3="(todos)",TRUE,'ORDENES'!$P897=$B$3),IF($D$3="(todos)",TRUE,'ORDENES'!$AD897=$D$3),IF($F$3="(todos)",TRUE,'ORDENES'!$W897=$F$3),'ORDENES'!$AB897=TRUE),'ORDENES'!$AO897&amp;" | "&amp;'ORDENES'!$S897&amp;" | "&amp;IF('ORDENES'!$AC897="","(sin técnico)",'ORDENES'!$AC897)&amp;" | "&amp;'ORDENES'!$D897&amp;" ("&amp;'ORDENES'!$N897&amp;" h)","")</f>
        <v/>
      </c>
    </row>
    <row r="902">
      <c r="K902" s="3">
        <f>IF(AND(IF($B$3="(todos)",TRUE,'ORDENES'!$P898=$B$3),IF($D$3="(todos)",TRUE,'ORDENES'!$AD898=$D$3),IF($F$3="(todos)",TRUE,'ORDENES'!$W898=$F$3),'ORDENES'!$AB898=TRUE),'ORDENES'!$AO898&amp;" | "&amp;'ORDENES'!$S898&amp;" | "&amp;IF('ORDENES'!$AC898="","(sin técnico)",'ORDENES'!$AC898)&amp;" | "&amp;'ORDENES'!$D898&amp;" ("&amp;'ORDENES'!$N898&amp;" h)","")</f>
        <v/>
      </c>
    </row>
    <row r="903">
      <c r="K903" s="3">
        <f>IF(AND(IF($B$3="(todos)",TRUE,'ORDENES'!$P899=$B$3),IF($D$3="(todos)",TRUE,'ORDENES'!$AD899=$D$3),IF($F$3="(todos)",TRUE,'ORDENES'!$W899=$F$3),'ORDENES'!$AB899=TRUE),'ORDENES'!$AO899&amp;" | "&amp;'ORDENES'!$S899&amp;" | "&amp;IF('ORDENES'!$AC899="","(sin técnico)",'ORDENES'!$AC899)&amp;" | "&amp;'ORDENES'!$D899&amp;" ("&amp;'ORDENES'!$N899&amp;" h)","")</f>
        <v/>
      </c>
    </row>
    <row r="904">
      <c r="K904" s="3">
        <f>IF(AND(IF($B$3="(todos)",TRUE,'ORDENES'!$P900=$B$3),IF($D$3="(todos)",TRUE,'ORDENES'!$AD900=$D$3),IF($F$3="(todos)",TRUE,'ORDENES'!$W900=$F$3),'ORDENES'!$AB900=TRUE),'ORDENES'!$AO900&amp;" | "&amp;'ORDENES'!$S900&amp;" | "&amp;IF('ORDENES'!$AC900="","(sin técnico)",'ORDENES'!$AC900)&amp;" | "&amp;'ORDENES'!$D900&amp;" ("&amp;'ORDENES'!$N900&amp;" h)","")</f>
        <v/>
      </c>
    </row>
    <row r="905">
      <c r="K905" s="3">
        <f>IF(AND(IF($B$3="(todos)",TRUE,'ORDENES'!$P901=$B$3),IF($D$3="(todos)",TRUE,'ORDENES'!$AD901=$D$3),IF($F$3="(todos)",TRUE,'ORDENES'!$W901=$F$3),'ORDENES'!$AB901=TRUE),'ORDENES'!$AO901&amp;" | "&amp;'ORDENES'!$S901&amp;" | "&amp;IF('ORDENES'!$AC901="","(sin técnico)",'ORDENES'!$AC901)&amp;" | "&amp;'ORDENES'!$D901&amp;" ("&amp;'ORDENES'!$N901&amp;" h)","")</f>
        <v/>
      </c>
    </row>
    <row r="906">
      <c r="K906" s="3">
        <f>IF(AND(IF($B$3="(todos)",TRUE,'ORDENES'!$P902=$B$3),IF($D$3="(todos)",TRUE,'ORDENES'!$AD902=$D$3),IF($F$3="(todos)",TRUE,'ORDENES'!$W902=$F$3),'ORDENES'!$AB902=TRUE),'ORDENES'!$AO902&amp;" | "&amp;'ORDENES'!$S902&amp;" | "&amp;IF('ORDENES'!$AC902="","(sin técnico)",'ORDENES'!$AC902)&amp;" | "&amp;'ORDENES'!$D902&amp;" ("&amp;'ORDENES'!$N902&amp;" h)","")</f>
        <v/>
      </c>
    </row>
    <row r="907">
      <c r="K907" s="3">
        <f>IF(AND(IF($B$3="(todos)",TRUE,'ORDENES'!$P903=$B$3),IF($D$3="(todos)",TRUE,'ORDENES'!$AD903=$D$3),IF($F$3="(todos)",TRUE,'ORDENES'!$W903=$F$3),'ORDENES'!$AB903=TRUE),'ORDENES'!$AO903&amp;" | "&amp;'ORDENES'!$S903&amp;" | "&amp;IF('ORDENES'!$AC903="","(sin técnico)",'ORDENES'!$AC903)&amp;" | "&amp;'ORDENES'!$D903&amp;" ("&amp;'ORDENES'!$N903&amp;" h)","")</f>
        <v/>
      </c>
    </row>
    <row r="908">
      <c r="K908" s="3">
        <f>IF(AND(IF($B$3="(todos)",TRUE,'ORDENES'!$P904=$B$3),IF($D$3="(todos)",TRUE,'ORDENES'!$AD904=$D$3),IF($F$3="(todos)",TRUE,'ORDENES'!$W904=$F$3),'ORDENES'!$AB904=TRUE),'ORDENES'!$AO904&amp;" | "&amp;'ORDENES'!$S904&amp;" | "&amp;IF('ORDENES'!$AC904="","(sin técnico)",'ORDENES'!$AC904)&amp;" | "&amp;'ORDENES'!$D904&amp;" ("&amp;'ORDENES'!$N904&amp;" h)","")</f>
        <v/>
      </c>
    </row>
    <row r="909">
      <c r="K909" s="3">
        <f>IF(AND(IF($B$3="(todos)",TRUE,'ORDENES'!$P905=$B$3),IF($D$3="(todos)",TRUE,'ORDENES'!$AD905=$D$3),IF($F$3="(todos)",TRUE,'ORDENES'!$W905=$F$3),'ORDENES'!$AB905=TRUE),'ORDENES'!$AO905&amp;" | "&amp;'ORDENES'!$S905&amp;" | "&amp;IF('ORDENES'!$AC905="","(sin técnico)",'ORDENES'!$AC905)&amp;" | "&amp;'ORDENES'!$D905&amp;" ("&amp;'ORDENES'!$N905&amp;" h)","")</f>
        <v/>
      </c>
    </row>
    <row r="910">
      <c r="K910" s="3">
        <f>IF(AND(IF($B$3="(todos)",TRUE,'ORDENES'!$P906=$B$3),IF($D$3="(todos)",TRUE,'ORDENES'!$AD906=$D$3),IF($F$3="(todos)",TRUE,'ORDENES'!$W906=$F$3),'ORDENES'!$AB906=TRUE),'ORDENES'!$AO906&amp;" | "&amp;'ORDENES'!$S906&amp;" | "&amp;IF('ORDENES'!$AC906="","(sin técnico)",'ORDENES'!$AC906)&amp;" | "&amp;'ORDENES'!$D906&amp;" ("&amp;'ORDENES'!$N906&amp;" h)","")</f>
        <v/>
      </c>
    </row>
    <row r="911">
      <c r="K911" s="3">
        <f>IF(AND(IF($B$3="(todos)",TRUE,'ORDENES'!$P907=$B$3),IF($D$3="(todos)",TRUE,'ORDENES'!$AD907=$D$3),IF($F$3="(todos)",TRUE,'ORDENES'!$W907=$F$3),'ORDENES'!$AB907=TRUE),'ORDENES'!$AO907&amp;" | "&amp;'ORDENES'!$S907&amp;" | "&amp;IF('ORDENES'!$AC907="","(sin técnico)",'ORDENES'!$AC907)&amp;" | "&amp;'ORDENES'!$D907&amp;" ("&amp;'ORDENES'!$N907&amp;" h)","")</f>
        <v/>
      </c>
    </row>
    <row r="912">
      <c r="K912" s="3">
        <f>IF(AND(IF($B$3="(todos)",TRUE,'ORDENES'!$P908=$B$3),IF($D$3="(todos)",TRUE,'ORDENES'!$AD908=$D$3),IF($F$3="(todos)",TRUE,'ORDENES'!$W908=$F$3),'ORDENES'!$AB908=TRUE),'ORDENES'!$AO908&amp;" | "&amp;'ORDENES'!$S908&amp;" | "&amp;IF('ORDENES'!$AC908="","(sin técnico)",'ORDENES'!$AC908)&amp;" | "&amp;'ORDENES'!$D908&amp;" ("&amp;'ORDENES'!$N908&amp;" h)","")</f>
        <v/>
      </c>
    </row>
    <row r="913">
      <c r="K913" s="3">
        <f>IF(AND(IF($B$3="(todos)",TRUE,'ORDENES'!$P909=$B$3),IF($D$3="(todos)",TRUE,'ORDENES'!$AD909=$D$3),IF($F$3="(todos)",TRUE,'ORDENES'!$W909=$F$3),'ORDENES'!$AB909=TRUE),'ORDENES'!$AO909&amp;" | "&amp;'ORDENES'!$S909&amp;" | "&amp;IF('ORDENES'!$AC909="","(sin técnico)",'ORDENES'!$AC909)&amp;" | "&amp;'ORDENES'!$D909&amp;" ("&amp;'ORDENES'!$N909&amp;" h)","")</f>
        <v/>
      </c>
    </row>
    <row r="914">
      <c r="K914" s="3">
        <f>IF(AND(IF($B$3="(todos)",TRUE,'ORDENES'!$P910=$B$3),IF($D$3="(todos)",TRUE,'ORDENES'!$AD910=$D$3),IF($F$3="(todos)",TRUE,'ORDENES'!$W910=$F$3),'ORDENES'!$AB910=TRUE),'ORDENES'!$AO910&amp;" | "&amp;'ORDENES'!$S910&amp;" | "&amp;IF('ORDENES'!$AC910="","(sin técnico)",'ORDENES'!$AC910)&amp;" | "&amp;'ORDENES'!$D910&amp;" ("&amp;'ORDENES'!$N910&amp;" h)","")</f>
        <v/>
      </c>
    </row>
    <row r="915">
      <c r="K915" s="3">
        <f>IF(AND(IF($B$3="(todos)",TRUE,'ORDENES'!$P911=$B$3),IF($D$3="(todos)",TRUE,'ORDENES'!$AD911=$D$3),IF($F$3="(todos)",TRUE,'ORDENES'!$W911=$F$3),'ORDENES'!$AB911=TRUE),'ORDENES'!$AO911&amp;" | "&amp;'ORDENES'!$S911&amp;" | "&amp;IF('ORDENES'!$AC911="","(sin técnico)",'ORDENES'!$AC911)&amp;" | "&amp;'ORDENES'!$D911&amp;" ("&amp;'ORDENES'!$N911&amp;" h)","")</f>
        <v/>
      </c>
    </row>
    <row r="916">
      <c r="K916" s="3">
        <f>IF(AND(IF($B$3="(todos)",TRUE,'ORDENES'!$P912=$B$3),IF($D$3="(todos)",TRUE,'ORDENES'!$AD912=$D$3),IF($F$3="(todos)",TRUE,'ORDENES'!$W912=$F$3),'ORDENES'!$AB912=TRUE),'ORDENES'!$AO912&amp;" | "&amp;'ORDENES'!$S912&amp;" | "&amp;IF('ORDENES'!$AC912="","(sin técnico)",'ORDENES'!$AC912)&amp;" | "&amp;'ORDENES'!$D912&amp;" ("&amp;'ORDENES'!$N912&amp;" h)","")</f>
        <v/>
      </c>
    </row>
    <row r="917">
      <c r="K917" s="3">
        <f>IF(AND(IF($B$3="(todos)",TRUE,'ORDENES'!$P913=$B$3),IF($D$3="(todos)",TRUE,'ORDENES'!$AD913=$D$3),IF($F$3="(todos)",TRUE,'ORDENES'!$W913=$F$3),'ORDENES'!$AB913=TRUE),'ORDENES'!$AO913&amp;" | "&amp;'ORDENES'!$S913&amp;" | "&amp;IF('ORDENES'!$AC913="","(sin técnico)",'ORDENES'!$AC913)&amp;" | "&amp;'ORDENES'!$D913&amp;" ("&amp;'ORDENES'!$N913&amp;" h)","")</f>
        <v/>
      </c>
    </row>
    <row r="918">
      <c r="K918" s="3">
        <f>IF(AND(IF($B$3="(todos)",TRUE,'ORDENES'!$P914=$B$3),IF($D$3="(todos)",TRUE,'ORDENES'!$AD914=$D$3),IF($F$3="(todos)",TRUE,'ORDENES'!$W914=$F$3),'ORDENES'!$AB914=TRUE),'ORDENES'!$AO914&amp;" | "&amp;'ORDENES'!$S914&amp;" | "&amp;IF('ORDENES'!$AC914="","(sin técnico)",'ORDENES'!$AC914)&amp;" | "&amp;'ORDENES'!$D914&amp;" ("&amp;'ORDENES'!$N914&amp;" h)","")</f>
        <v/>
      </c>
    </row>
    <row r="919">
      <c r="K919" s="3">
        <f>IF(AND(IF($B$3="(todos)",TRUE,'ORDENES'!$P915=$B$3),IF($D$3="(todos)",TRUE,'ORDENES'!$AD915=$D$3),IF($F$3="(todos)",TRUE,'ORDENES'!$W915=$F$3),'ORDENES'!$AB915=TRUE),'ORDENES'!$AO915&amp;" | "&amp;'ORDENES'!$S915&amp;" | "&amp;IF('ORDENES'!$AC915="","(sin técnico)",'ORDENES'!$AC915)&amp;" | "&amp;'ORDENES'!$D915&amp;" ("&amp;'ORDENES'!$N915&amp;" h)","")</f>
        <v/>
      </c>
    </row>
    <row r="920">
      <c r="K920" s="3">
        <f>IF(AND(IF($B$3="(todos)",TRUE,'ORDENES'!$P916=$B$3),IF($D$3="(todos)",TRUE,'ORDENES'!$AD916=$D$3),IF($F$3="(todos)",TRUE,'ORDENES'!$W916=$F$3),'ORDENES'!$AB916=TRUE),'ORDENES'!$AO916&amp;" | "&amp;'ORDENES'!$S916&amp;" | "&amp;IF('ORDENES'!$AC916="","(sin técnico)",'ORDENES'!$AC916)&amp;" | "&amp;'ORDENES'!$D916&amp;" ("&amp;'ORDENES'!$N916&amp;" h)","")</f>
        <v/>
      </c>
    </row>
    <row r="921">
      <c r="K921" s="3">
        <f>IF(AND(IF($B$3="(todos)",TRUE,'ORDENES'!$P917=$B$3),IF($D$3="(todos)",TRUE,'ORDENES'!$AD917=$D$3),IF($F$3="(todos)",TRUE,'ORDENES'!$W917=$F$3),'ORDENES'!$AB917=TRUE),'ORDENES'!$AO917&amp;" | "&amp;'ORDENES'!$S917&amp;" | "&amp;IF('ORDENES'!$AC917="","(sin técnico)",'ORDENES'!$AC917)&amp;" | "&amp;'ORDENES'!$D917&amp;" ("&amp;'ORDENES'!$N917&amp;" h)","")</f>
        <v/>
      </c>
    </row>
    <row r="922">
      <c r="K922" s="3">
        <f>IF(AND(IF($B$3="(todos)",TRUE,'ORDENES'!$P918=$B$3),IF($D$3="(todos)",TRUE,'ORDENES'!$AD918=$D$3),IF($F$3="(todos)",TRUE,'ORDENES'!$W918=$F$3),'ORDENES'!$AB918=TRUE),'ORDENES'!$AO918&amp;" | "&amp;'ORDENES'!$S918&amp;" | "&amp;IF('ORDENES'!$AC918="","(sin técnico)",'ORDENES'!$AC918)&amp;" | "&amp;'ORDENES'!$D918&amp;" ("&amp;'ORDENES'!$N918&amp;" h)","")</f>
        <v/>
      </c>
    </row>
    <row r="923">
      <c r="K923" s="3">
        <f>IF(AND(IF($B$3="(todos)",TRUE,'ORDENES'!$P919=$B$3),IF($D$3="(todos)",TRUE,'ORDENES'!$AD919=$D$3),IF($F$3="(todos)",TRUE,'ORDENES'!$W919=$F$3),'ORDENES'!$AB919=TRUE),'ORDENES'!$AO919&amp;" | "&amp;'ORDENES'!$S919&amp;" | "&amp;IF('ORDENES'!$AC919="","(sin técnico)",'ORDENES'!$AC919)&amp;" | "&amp;'ORDENES'!$D919&amp;" ("&amp;'ORDENES'!$N919&amp;" h)","")</f>
        <v/>
      </c>
    </row>
    <row r="924">
      <c r="K924" s="3">
        <f>IF(AND(IF($B$3="(todos)",TRUE,'ORDENES'!$P920=$B$3),IF($D$3="(todos)",TRUE,'ORDENES'!$AD920=$D$3),IF($F$3="(todos)",TRUE,'ORDENES'!$W920=$F$3),'ORDENES'!$AB920=TRUE),'ORDENES'!$AO920&amp;" | "&amp;'ORDENES'!$S920&amp;" | "&amp;IF('ORDENES'!$AC920="","(sin técnico)",'ORDENES'!$AC920)&amp;" | "&amp;'ORDENES'!$D920&amp;" ("&amp;'ORDENES'!$N920&amp;" h)","")</f>
        <v/>
      </c>
    </row>
    <row r="925">
      <c r="K925" s="3">
        <f>IF(AND(IF($B$3="(todos)",TRUE,'ORDENES'!$P921=$B$3),IF($D$3="(todos)",TRUE,'ORDENES'!$AD921=$D$3),IF($F$3="(todos)",TRUE,'ORDENES'!$W921=$F$3),'ORDENES'!$AB921=TRUE),'ORDENES'!$AO921&amp;" | "&amp;'ORDENES'!$S921&amp;" | "&amp;IF('ORDENES'!$AC921="","(sin técnico)",'ORDENES'!$AC921)&amp;" | "&amp;'ORDENES'!$D921&amp;" ("&amp;'ORDENES'!$N921&amp;" h)","")</f>
        <v/>
      </c>
    </row>
    <row r="926">
      <c r="K926" s="3">
        <f>IF(AND(IF($B$3="(todos)",TRUE,'ORDENES'!$P922=$B$3),IF($D$3="(todos)",TRUE,'ORDENES'!$AD922=$D$3),IF($F$3="(todos)",TRUE,'ORDENES'!$W922=$F$3),'ORDENES'!$AB922=TRUE),'ORDENES'!$AO922&amp;" | "&amp;'ORDENES'!$S922&amp;" | "&amp;IF('ORDENES'!$AC922="","(sin técnico)",'ORDENES'!$AC922)&amp;" | "&amp;'ORDENES'!$D922&amp;" ("&amp;'ORDENES'!$N922&amp;" h)","")</f>
        <v/>
      </c>
    </row>
    <row r="927">
      <c r="K927" s="3">
        <f>IF(AND(IF($B$3="(todos)",TRUE,'ORDENES'!$P923=$B$3),IF($D$3="(todos)",TRUE,'ORDENES'!$AD923=$D$3),IF($F$3="(todos)",TRUE,'ORDENES'!$W923=$F$3),'ORDENES'!$AB923=TRUE),'ORDENES'!$AO923&amp;" | "&amp;'ORDENES'!$S923&amp;" | "&amp;IF('ORDENES'!$AC923="","(sin técnico)",'ORDENES'!$AC923)&amp;" | "&amp;'ORDENES'!$D923&amp;" ("&amp;'ORDENES'!$N923&amp;" h)","")</f>
        <v/>
      </c>
    </row>
    <row r="928">
      <c r="K928" s="3">
        <f>IF(AND(IF($B$3="(todos)",TRUE,'ORDENES'!$P924=$B$3),IF($D$3="(todos)",TRUE,'ORDENES'!$AD924=$D$3),IF($F$3="(todos)",TRUE,'ORDENES'!$W924=$F$3),'ORDENES'!$AB924=TRUE),'ORDENES'!$AO924&amp;" | "&amp;'ORDENES'!$S924&amp;" | "&amp;IF('ORDENES'!$AC924="","(sin técnico)",'ORDENES'!$AC924)&amp;" | "&amp;'ORDENES'!$D924&amp;" ("&amp;'ORDENES'!$N924&amp;" h)","")</f>
        <v/>
      </c>
    </row>
    <row r="929">
      <c r="K929" s="3">
        <f>IF(AND(IF($B$3="(todos)",TRUE,'ORDENES'!$P925=$B$3),IF($D$3="(todos)",TRUE,'ORDENES'!$AD925=$D$3),IF($F$3="(todos)",TRUE,'ORDENES'!$W925=$F$3),'ORDENES'!$AB925=TRUE),'ORDENES'!$AO925&amp;" | "&amp;'ORDENES'!$S925&amp;" | "&amp;IF('ORDENES'!$AC925="","(sin técnico)",'ORDENES'!$AC925)&amp;" | "&amp;'ORDENES'!$D925&amp;" ("&amp;'ORDENES'!$N925&amp;" h)","")</f>
        <v/>
      </c>
    </row>
    <row r="930">
      <c r="K930" s="3">
        <f>IF(AND(IF($B$3="(todos)",TRUE,'ORDENES'!$P926=$B$3),IF($D$3="(todos)",TRUE,'ORDENES'!$AD926=$D$3),IF($F$3="(todos)",TRUE,'ORDENES'!$W926=$F$3),'ORDENES'!$AB926=TRUE),'ORDENES'!$AO926&amp;" | "&amp;'ORDENES'!$S926&amp;" | "&amp;IF('ORDENES'!$AC926="","(sin técnico)",'ORDENES'!$AC926)&amp;" | "&amp;'ORDENES'!$D926&amp;" ("&amp;'ORDENES'!$N926&amp;" h)","")</f>
        <v/>
      </c>
    </row>
    <row r="931">
      <c r="K931" s="3">
        <f>IF(AND(IF($B$3="(todos)",TRUE,'ORDENES'!$P927=$B$3),IF($D$3="(todos)",TRUE,'ORDENES'!$AD927=$D$3),IF($F$3="(todos)",TRUE,'ORDENES'!$W927=$F$3),'ORDENES'!$AB927=TRUE),'ORDENES'!$AO927&amp;" | "&amp;'ORDENES'!$S927&amp;" | "&amp;IF('ORDENES'!$AC927="","(sin técnico)",'ORDENES'!$AC927)&amp;" | "&amp;'ORDENES'!$D927&amp;" ("&amp;'ORDENES'!$N927&amp;" h)","")</f>
        <v/>
      </c>
    </row>
    <row r="932">
      <c r="K932" s="3">
        <f>IF(AND(IF($B$3="(todos)",TRUE,'ORDENES'!$P928=$B$3),IF($D$3="(todos)",TRUE,'ORDENES'!$AD928=$D$3),IF($F$3="(todos)",TRUE,'ORDENES'!$W928=$F$3),'ORDENES'!$AB928=TRUE),'ORDENES'!$AO928&amp;" | "&amp;'ORDENES'!$S928&amp;" | "&amp;IF('ORDENES'!$AC928="","(sin técnico)",'ORDENES'!$AC928)&amp;" | "&amp;'ORDENES'!$D928&amp;" ("&amp;'ORDENES'!$N928&amp;" h)","")</f>
        <v/>
      </c>
    </row>
    <row r="933">
      <c r="K933" s="3">
        <f>IF(AND(IF($B$3="(todos)",TRUE,'ORDENES'!$P929=$B$3),IF($D$3="(todos)",TRUE,'ORDENES'!$AD929=$D$3),IF($F$3="(todos)",TRUE,'ORDENES'!$W929=$F$3),'ORDENES'!$AB929=TRUE),'ORDENES'!$AO929&amp;" | "&amp;'ORDENES'!$S929&amp;" | "&amp;IF('ORDENES'!$AC929="","(sin técnico)",'ORDENES'!$AC929)&amp;" | "&amp;'ORDENES'!$D929&amp;" ("&amp;'ORDENES'!$N929&amp;" h)","")</f>
        <v/>
      </c>
    </row>
    <row r="934">
      <c r="K934" s="3">
        <f>IF(AND(IF($B$3="(todos)",TRUE,'ORDENES'!$P930=$B$3),IF($D$3="(todos)",TRUE,'ORDENES'!$AD930=$D$3),IF($F$3="(todos)",TRUE,'ORDENES'!$W930=$F$3),'ORDENES'!$AB930=TRUE),'ORDENES'!$AO930&amp;" | "&amp;'ORDENES'!$S930&amp;" | "&amp;IF('ORDENES'!$AC930="","(sin técnico)",'ORDENES'!$AC930)&amp;" | "&amp;'ORDENES'!$D930&amp;" ("&amp;'ORDENES'!$N930&amp;" h)","")</f>
        <v/>
      </c>
    </row>
    <row r="935">
      <c r="K935" s="3">
        <f>IF(AND(IF($B$3="(todos)",TRUE,'ORDENES'!$P931=$B$3),IF($D$3="(todos)",TRUE,'ORDENES'!$AD931=$D$3),IF($F$3="(todos)",TRUE,'ORDENES'!$W931=$F$3),'ORDENES'!$AB931=TRUE),'ORDENES'!$AO931&amp;" | "&amp;'ORDENES'!$S931&amp;" | "&amp;IF('ORDENES'!$AC931="","(sin técnico)",'ORDENES'!$AC931)&amp;" | "&amp;'ORDENES'!$D931&amp;" ("&amp;'ORDENES'!$N931&amp;" h)","")</f>
        <v/>
      </c>
    </row>
    <row r="936">
      <c r="K936" s="3">
        <f>IF(AND(IF($B$3="(todos)",TRUE,'ORDENES'!$P932=$B$3),IF($D$3="(todos)",TRUE,'ORDENES'!$AD932=$D$3),IF($F$3="(todos)",TRUE,'ORDENES'!$W932=$F$3),'ORDENES'!$AB932=TRUE),'ORDENES'!$AO932&amp;" | "&amp;'ORDENES'!$S932&amp;" | "&amp;IF('ORDENES'!$AC932="","(sin técnico)",'ORDENES'!$AC932)&amp;" | "&amp;'ORDENES'!$D932&amp;" ("&amp;'ORDENES'!$N932&amp;" h)","")</f>
        <v/>
      </c>
    </row>
    <row r="937">
      <c r="K937" s="3">
        <f>IF(AND(IF($B$3="(todos)",TRUE,'ORDENES'!$P933=$B$3),IF($D$3="(todos)",TRUE,'ORDENES'!$AD933=$D$3),IF($F$3="(todos)",TRUE,'ORDENES'!$W933=$F$3),'ORDENES'!$AB933=TRUE),'ORDENES'!$AO933&amp;" | "&amp;'ORDENES'!$S933&amp;" | "&amp;IF('ORDENES'!$AC933="","(sin técnico)",'ORDENES'!$AC933)&amp;" | "&amp;'ORDENES'!$D933&amp;" ("&amp;'ORDENES'!$N933&amp;" h)","")</f>
        <v/>
      </c>
    </row>
    <row r="938">
      <c r="K938" s="3">
        <f>IF(AND(IF($B$3="(todos)",TRUE,'ORDENES'!$P934=$B$3),IF($D$3="(todos)",TRUE,'ORDENES'!$AD934=$D$3),IF($F$3="(todos)",TRUE,'ORDENES'!$W934=$F$3),'ORDENES'!$AB934=TRUE),'ORDENES'!$AO934&amp;" | "&amp;'ORDENES'!$S934&amp;" | "&amp;IF('ORDENES'!$AC934="","(sin técnico)",'ORDENES'!$AC934)&amp;" | "&amp;'ORDENES'!$D934&amp;" ("&amp;'ORDENES'!$N934&amp;" h)","")</f>
        <v/>
      </c>
    </row>
    <row r="939">
      <c r="K939" s="3">
        <f>IF(AND(IF($B$3="(todos)",TRUE,'ORDENES'!$P935=$B$3),IF($D$3="(todos)",TRUE,'ORDENES'!$AD935=$D$3),IF($F$3="(todos)",TRUE,'ORDENES'!$W935=$F$3),'ORDENES'!$AB935=TRUE),'ORDENES'!$AO935&amp;" | "&amp;'ORDENES'!$S935&amp;" | "&amp;IF('ORDENES'!$AC935="","(sin técnico)",'ORDENES'!$AC935)&amp;" | "&amp;'ORDENES'!$D935&amp;" ("&amp;'ORDENES'!$N935&amp;" h)","")</f>
        <v/>
      </c>
    </row>
    <row r="940">
      <c r="K940" s="3">
        <f>IF(AND(IF($B$3="(todos)",TRUE,'ORDENES'!$P936=$B$3),IF($D$3="(todos)",TRUE,'ORDENES'!$AD936=$D$3),IF($F$3="(todos)",TRUE,'ORDENES'!$W936=$F$3),'ORDENES'!$AB936=TRUE),'ORDENES'!$AO936&amp;" | "&amp;'ORDENES'!$S936&amp;" | "&amp;IF('ORDENES'!$AC936="","(sin técnico)",'ORDENES'!$AC936)&amp;" | "&amp;'ORDENES'!$D936&amp;" ("&amp;'ORDENES'!$N936&amp;" h)","")</f>
        <v/>
      </c>
    </row>
    <row r="941">
      <c r="K941" s="3">
        <f>IF(AND(IF($B$3="(todos)",TRUE,'ORDENES'!$P937=$B$3),IF($D$3="(todos)",TRUE,'ORDENES'!$AD937=$D$3),IF($F$3="(todos)",TRUE,'ORDENES'!$W937=$F$3),'ORDENES'!$AB937=TRUE),'ORDENES'!$AO937&amp;" | "&amp;'ORDENES'!$S937&amp;" | "&amp;IF('ORDENES'!$AC937="","(sin técnico)",'ORDENES'!$AC937)&amp;" | "&amp;'ORDENES'!$D937&amp;" ("&amp;'ORDENES'!$N937&amp;" h)","")</f>
        <v/>
      </c>
    </row>
    <row r="942">
      <c r="K942" s="3">
        <f>IF(AND(IF($B$3="(todos)",TRUE,'ORDENES'!$P938=$B$3),IF($D$3="(todos)",TRUE,'ORDENES'!$AD938=$D$3),IF($F$3="(todos)",TRUE,'ORDENES'!$W938=$F$3),'ORDENES'!$AB938=TRUE),'ORDENES'!$AO938&amp;" | "&amp;'ORDENES'!$S938&amp;" | "&amp;IF('ORDENES'!$AC938="","(sin técnico)",'ORDENES'!$AC938)&amp;" | "&amp;'ORDENES'!$D938&amp;" ("&amp;'ORDENES'!$N938&amp;" h)","")</f>
        <v/>
      </c>
    </row>
    <row r="943">
      <c r="K943" s="3">
        <f>IF(AND(IF($B$3="(todos)",TRUE,'ORDENES'!$P939=$B$3),IF($D$3="(todos)",TRUE,'ORDENES'!$AD939=$D$3),IF($F$3="(todos)",TRUE,'ORDENES'!$W939=$F$3),'ORDENES'!$AB939=TRUE),'ORDENES'!$AO939&amp;" | "&amp;'ORDENES'!$S939&amp;" | "&amp;IF('ORDENES'!$AC939="","(sin técnico)",'ORDENES'!$AC939)&amp;" | "&amp;'ORDENES'!$D939&amp;" ("&amp;'ORDENES'!$N939&amp;" h)","")</f>
        <v/>
      </c>
    </row>
    <row r="944">
      <c r="K944" s="3">
        <f>IF(AND(IF($B$3="(todos)",TRUE,'ORDENES'!$P940=$B$3),IF($D$3="(todos)",TRUE,'ORDENES'!$AD940=$D$3),IF($F$3="(todos)",TRUE,'ORDENES'!$W940=$F$3),'ORDENES'!$AB940=TRUE),'ORDENES'!$AO940&amp;" | "&amp;'ORDENES'!$S940&amp;" | "&amp;IF('ORDENES'!$AC940="","(sin técnico)",'ORDENES'!$AC940)&amp;" | "&amp;'ORDENES'!$D940&amp;" ("&amp;'ORDENES'!$N940&amp;" h)","")</f>
        <v/>
      </c>
    </row>
    <row r="945">
      <c r="K945" s="3">
        <f>IF(AND(IF($B$3="(todos)",TRUE,'ORDENES'!$P941=$B$3),IF($D$3="(todos)",TRUE,'ORDENES'!$AD941=$D$3),IF($F$3="(todos)",TRUE,'ORDENES'!$W941=$F$3),'ORDENES'!$AB941=TRUE),'ORDENES'!$AO941&amp;" | "&amp;'ORDENES'!$S941&amp;" | "&amp;IF('ORDENES'!$AC941="","(sin técnico)",'ORDENES'!$AC941)&amp;" | "&amp;'ORDENES'!$D941&amp;" ("&amp;'ORDENES'!$N941&amp;" h)","")</f>
        <v/>
      </c>
    </row>
    <row r="946">
      <c r="K946" s="3">
        <f>IF(AND(IF($B$3="(todos)",TRUE,'ORDENES'!$P942=$B$3),IF($D$3="(todos)",TRUE,'ORDENES'!$AD942=$D$3),IF($F$3="(todos)",TRUE,'ORDENES'!$W942=$F$3),'ORDENES'!$AB942=TRUE),'ORDENES'!$AO942&amp;" | "&amp;'ORDENES'!$S942&amp;" | "&amp;IF('ORDENES'!$AC942="","(sin técnico)",'ORDENES'!$AC942)&amp;" | "&amp;'ORDENES'!$D942&amp;" ("&amp;'ORDENES'!$N942&amp;" h)","")</f>
        <v/>
      </c>
    </row>
    <row r="947">
      <c r="K947" s="3">
        <f>IF(AND(IF($B$3="(todos)",TRUE,'ORDENES'!$P943=$B$3),IF($D$3="(todos)",TRUE,'ORDENES'!$AD943=$D$3),IF($F$3="(todos)",TRUE,'ORDENES'!$W943=$F$3),'ORDENES'!$AB943=TRUE),'ORDENES'!$AO943&amp;" | "&amp;'ORDENES'!$S943&amp;" | "&amp;IF('ORDENES'!$AC943="","(sin técnico)",'ORDENES'!$AC943)&amp;" | "&amp;'ORDENES'!$D943&amp;" ("&amp;'ORDENES'!$N943&amp;" h)","")</f>
        <v/>
      </c>
    </row>
    <row r="948">
      <c r="K948" s="3">
        <f>IF(AND(IF($B$3="(todos)",TRUE,'ORDENES'!$P944=$B$3),IF($D$3="(todos)",TRUE,'ORDENES'!$AD944=$D$3),IF($F$3="(todos)",TRUE,'ORDENES'!$W944=$F$3),'ORDENES'!$AB944=TRUE),'ORDENES'!$AO944&amp;" | "&amp;'ORDENES'!$S944&amp;" | "&amp;IF('ORDENES'!$AC944="","(sin técnico)",'ORDENES'!$AC944)&amp;" | "&amp;'ORDENES'!$D944&amp;" ("&amp;'ORDENES'!$N944&amp;" h)","")</f>
        <v/>
      </c>
    </row>
    <row r="949">
      <c r="K949" s="3">
        <f>IF(AND(IF($B$3="(todos)",TRUE,'ORDENES'!$P945=$B$3),IF($D$3="(todos)",TRUE,'ORDENES'!$AD945=$D$3),IF($F$3="(todos)",TRUE,'ORDENES'!$W945=$F$3),'ORDENES'!$AB945=TRUE),'ORDENES'!$AO945&amp;" | "&amp;'ORDENES'!$S945&amp;" | "&amp;IF('ORDENES'!$AC945="","(sin técnico)",'ORDENES'!$AC945)&amp;" | "&amp;'ORDENES'!$D945&amp;" ("&amp;'ORDENES'!$N945&amp;" h)","")</f>
        <v/>
      </c>
    </row>
    <row r="950">
      <c r="K950" s="3">
        <f>IF(AND(IF($B$3="(todos)",TRUE,'ORDENES'!$P946=$B$3),IF($D$3="(todos)",TRUE,'ORDENES'!$AD946=$D$3),IF($F$3="(todos)",TRUE,'ORDENES'!$W946=$F$3),'ORDENES'!$AB946=TRUE),'ORDENES'!$AO946&amp;" | "&amp;'ORDENES'!$S946&amp;" | "&amp;IF('ORDENES'!$AC946="","(sin técnico)",'ORDENES'!$AC946)&amp;" | "&amp;'ORDENES'!$D946&amp;" ("&amp;'ORDENES'!$N946&amp;" h)","")</f>
        <v/>
      </c>
    </row>
    <row r="951">
      <c r="K951" s="3">
        <f>IF(AND(IF($B$3="(todos)",TRUE,'ORDENES'!$P947=$B$3),IF($D$3="(todos)",TRUE,'ORDENES'!$AD947=$D$3),IF($F$3="(todos)",TRUE,'ORDENES'!$W947=$F$3),'ORDENES'!$AB947=TRUE),'ORDENES'!$AO947&amp;" | "&amp;'ORDENES'!$S947&amp;" | "&amp;IF('ORDENES'!$AC947="","(sin técnico)",'ORDENES'!$AC947)&amp;" | "&amp;'ORDENES'!$D947&amp;" ("&amp;'ORDENES'!$N947&amp;" h)","")</f>
        <v/>
      </c>
    </row>
    <row r="952">
      <c r="K952" s="3">
        <f>IF(AND(IF($B$3="(todos)",TRUE,'ORDENES'!$P948=$B$3),IF($D$3="(todos)",TRUE,'ORDENES'!$AD948=$D$3),IF($F$3="(todos)",TRUE,'ORDENES'!$W948=$F$3),'ORDENES'!$AB948=TRUE),'ORDENES'!$AO948&amp;" | "&amp;'ORDENES'!$S948&amp;" | "&amp;IF('ORDENES'!$AC948="","(sin técnico)",'ORDENES'!$AC948)&amp;" | "&amp;'ORDENES'!$D948&amp;" ("&amp;'ORDENES'!$N948&amp;" h)","")</f>
        <v/>
      </c>
    </row>
    <row r="953">
      <c r="K953" s="3">
        <f>IF(AND(IF($B$3="(todos)",TRUE,'ORDENES'!$P949=$B$3),IF($D$3="(todos)",TRUE,'ORDENES'!$AD949=$D$3),IF($F$3="(todos)",TRUE,'ORDENES'!$W949=$F$3),'ORDENES'!$AB949=TRUE),'ORDENES'!$AO949&amp;" | "&amp;'ORDENES'!$S949&amp;" | "&amp;IF('ORDENES'!$AC949="","(sin técnico)",'ORDENES'!$AC949)&amp;" | "&amp;'ORDENES'!$D949&amp;" ("&amp;'ORDENES'!$N949&amp;" h)","")</f>
        <v/>
      </c>
    </row>
    <row r="954">
      <c r="K954" s="3">
        <f>IF(AND(IF($B$3="(todos)",TRUE,'ORDENES'!$P950=$B$3),IF($D$3="(todos)",TRUE,'ORDENES'!$AD950=$D$3),IF($F$3="(todos)",TRUE,'ORDENES'!$W950=$F$3),'ORDENES'!$AB950=TRUE),'ORDENES'!$AO950&amp;" | "&amp;'ORDENES'!$S950&amp;" | "&amp;IF('ORDENES'!$AC950="","(sin técnico)",'ORDENES'!$AC950)&amp;" | "&amp;'ORDENES'!$D950&amp;" ("&amp;'ORDENES'!$N950&amp;" h)","")</f>
        <v/>
      </c>
    </row>
    <row r="955">
      <c r="K955" s="3">
        <f>IF(AND(IF($B$3="(todos)",TRUE,'ORDENES'!$P951=$B$3),IF($D$3="(todos)",TRUE,'ORDENES'!$AD951=$D$3),IF($F$3="(todos)",TRUE,'ORDENES'!$W951=$F$3),'ORDENES'!$AB951=TRUE),'ORDENES'!$AO951&amp;" | "&amp;'ORDENES'!$S951&amp;" | "&amp;IF('ORDENES'!$AC951="","(sin técnico)",'ORDENES'!$AC951)&amp;" | "&amp;'ORDENES'!$D951&amp;" ("&amp;'ORDENES'!$N951&amp;" h)","")</f>
        <v/>
      </c>
    </row>
    <row r="956">
      <c r="K956" s="3">
        <f>IF(AND(IF($B$3="(todos)",TRUE,'ORDENES'!$P952=$B$3),IF($D$3="(todos)",TRUE,'ORDENES'!$AD952=$D$3),IF($F$3="(todos)",TRUE,'ORDENES'!$W952=$F$3),'ORDENES'!$AB952=TRUE),'ORDENES'!$AO952&amp;" | "&amp;'ORDENES'!$S952&amp;" | "&amp;IF('ORDENES'!$AC952="","(sin técnico)",'ORDENES'!$AC952)&amp;" | "&amp;'ORDENES'!$D952&amp;" ("&amp;'ORDENES'!$N952&amp;" h)","")</f>
        <v/>
      </c>
    </row>
    <row r="957">
      <c r="K957" s="3">
        <f>IF(AND(IF($B$3="(todos)",TRUE,'ORDENES'!$P953=$B$3),IF($D$3="(todos)",TRUE,'ORDENES'!$AD953=$D$3),IF($F$3="(todos)",TRUE,'ORDENES'!$W953=$F$3),'ORDENES'!$AB953=TRUE),'ORDENES'!$AO953&amp;" | "&amp;'ORDENES'!$S953&amp;" | "&amp;IF('ORDENES'!$AC953="","(sin técnico)",'ORDENES'!$AC953)&amp;" | "&amp;'ORDENES'!$D953&amp;" ("&amp;'ORDENES'!$N953&amp;" h)","")</f>
        <v/>
      </c>
    </row>
    <row r="958">
      <c r="K958" s="3">
        <f>IF(AND(IF($B$3="(todos)",TRUE,'ORDENES'!$P954=$B$3),IF($D$3="(todos)",TRUE,'ORDENES'!$AD954=$D$3),IF($F$3="(todos)",TRUE,'ORDENES'!$W954=$F$3),'ORDENES'!$AB954=TRUE),'ORDENES'!$AO954&amp;" | "&amp;'ORDENES'!$S954&amp;" | "&amp;IF('ORDENES'!$AC954="","(sin técnico)",'ORDENES'!$AC954)&amp;" | "&amp;'ORDENES'!$D954&amp;" ("&amp;'ORDENES'!$N954&amp;" h)","")</f>
        <v/>
      </c>
    </row>
    <row r="959">
      <c r="K959" s="3">
        <f>IF(AND(IF($B$3="(todos)",TRUE,'ORDENES'!$P955=$B$3),IF($D$3="(todos)",TRUE,'ORDENES'!$AD955=$D$3),IF($F$3="(todos)",TRUE,'ORDENES'!$W955=$F$3),'ORDENES'!$AB955=TRUE),'ORDENES'!$AO955&amp;" | "&amp;'ORDENES'!$S955&amp;" | "&amp;IF('ORDENES'!$AC955="","(sin técnico)",'ORDENES'!$AC955)&amp;" | "&amp;'ORDENES'!$D955&amp;" ("&amp;'ORDENES'!$N955&amp;" h)","")</f>
        <v/>
      </c>
    </row>
    <row r="960">
      <c r="K960" s="3">
        <f>IF(AND(IF($B$3="(todos)",TRUE,'ORDENES'!$P956=$B$3),IF($D$3="(todos)",TRUE,'ORDENES'!$AD956=$D$3),IF($F$3="(todos)",TRUE,'ORDENES'!$W956=$F$3),'ORDENES'!$AB956=TRUE),'ORDENES'!$AO956&amp;" | "&amp;'ORDENES'!$S956&amp;" | "&amp;IF('ORDENES'!$AC956="","(sin técnico)",'ORDENES'!$AC956)&amp;" | "&amp;'ORDENES'!$D956&amp;" ("&amp;'ORDENES'!$N956&amp;" h)","")</f>
        <v/>
      </c>
    </row>
    <row r="961">
      <c r="K961" s="3">
        <f>IF(AND(IF($B$3="(todos)",TRUE,'ORDENES'!$P957=$B$3),IF($D$3="(todos)",TRUE,'ORDENES'!$AD957=$D$3),IF($F$3="(todos)",TRUE,'ORDENES'!$W957=$F$3),'ORDENES'!$AB957=TRUE),'ORDENES'!$AO957&amp;" | "&amp;'ORDENES'!$S957&amp;" | "&amp;IF('ORDENES'!$AC957="","(sin técnico)",'ORDENES'!$AC957)&amp;" | "&amp;'ORDENES'!$D957&amp;" ("&amp;'ORDENES'!$N957&amp;" h)","")</f>
        <v/>
      </c>
    </row>
    <row r="962">
      <c r="K962" s="3">
        <f>IF(AND(IF($B$3="(todos)",TRUE,'ORDENES'!$P958=$B$3),IF($D$3="(todos)",TRUE,'ORDENES'!$AD958=$D$3),IF($F$3="(todos)",TRUE,'ORDENES'!$W958=$F$3),'ORDENES'!$AB958=TRUE),'ORDENES'!$AO958&amp;" | "&amp;'ORDENES'!$S958&amp;" | "&amp;IF('ORDENES'!$AC958="","(sin técnico)",'ORDENES'!$AC958)&amp;" | "&amp;'ORDENES'!$D958&amp;" ("&amp;'ORDENES'!$N958&amp;" h)","")</f>
        <v/>
      </c>
    </row>
    <row r="963">
      <c r="K963" s="3">
        <f>IF(AND(IF($B$3="(todos)",TRUE,'ORDENES'!$P959=$B$3),IF($D$3="(todos)",TRUE,'ORDENES'!$AD959=$D$3),IF($F$3="(todos)",TRUE,'ORDENES'!$W959=$F$3),'ORDENES'!$AB959=TRUE),'ORDENES'!$AO959&amp;" | "&amp;'ORDENES'!$S959&amp;" | "&amp;IF('ORDENES'!$AC959="","(sin técnico)",'ORDENES'!$AC959)&amp;" | "&amp;'ORDENES'!$D959&amp;" ("&amp;'ORDENES'!$N959&amp;" h)","")</f>
        <v/>
      </c>
    </row>
    <row r="964">
      <c r="K964" s="3">
        <f>IF(AND(IF($B$3="(todos)",TRUE,'ORDENES'!$P960=$B$3),IF($D$3="(todos)",TRUE,'ORDENES'!$AD960=$D$3),IF($F$3="(todos)",TRUE,'ORDENES'!$W960=$F$3),'ORDENES'!$AB960=TRUE),'ORDENES'!$AO960&amp;" | "&amp;'ORDENES'!$S960&amp;" | "&amp;IF('ORDENES'!$AC960="","(sin técnico)",'ORDENES'!$AC960)&amp;" | "&amp;'ORDENES'!$D960&amp;" ("&amp;'ORDENES'!$N960&amp;" h)","")</f>
        <v/>
      </c>
    </row>
    <row r="965">
      <c r="K965" s="3">
        <f>IF(AND(IF($B$3="(todos)",TRUE,'ORDENES'!$P961=$B$3),IF($D$3="(todos)",TRUE,'ORDENES'!$AD961=$D$3),IF($F$3="(todos)",TRUE,'ORDENES'!$W961=$F$3),'ORDENES'!$AB961=TRUE),'ORDENES'!$AO961&amp;" | "&amp;'ORDENES'!$S961&amp;" | "&amp;IF('ORDENES'!$AC961="","(sin técnico)",'ORDENES'!$AC961)&amp;" | "&amp;'ORDENES'!$D961&amp;" ("&amp;'ORDENES'!$N961&amp;" h)","")</f>
        <v/>
      </c>
    </row>
    <row r="966">
      <c r="K966" s="3">
        <f>IF(AND(IF($B$3="(todos)",TRUE,'ORDENES'!$P962=$B$3),IF($D$3="(todos)",TRUE,'ORDENES'!$AD962=$D$3),IF($F$3="(todos)",TRUE,'ORDENES'!$W962=$F$3),'ORDENES'!$AB962=TRUE),'ORDENES'!$AO962&amp;" | "&amp;'ORDENES'!$S962&amp;" | "&amp;IF('ORDENES'!$AC962="","(sin técnico)",'ORDENES'!$AC962)&amp;" | "&amp;'ORDENES'!$D962&amp;" ("&amp;'ORDENES'!$N962&amp;" h)","")</f>
        <v/>
      </c>
    </row>
    <row r="967">
      <c r="K967" s="3">
        <f>IF(AND(IF($B$3="(todos)",TRUE,'ORDENES'!$P963=$B$3),IF($D$3="(todos)",TRUE,'ORDENES'!$AD963=$D$3),IF($F$3="(todos)",TRUE,'ORDENES'!$W963=$F$3),'ORDENES'!$AB963=TRUE),'ORDENES'!$AO963&amp;" | "&amp;'ORDENES'!$S963&amp;" | "&amp;IF('ORDENES'!$AC963="","(sin técnico)",'ORDENES'!$AC963)&amp;" | "&amp;'ORDENES'!$D963&amp;" ("&amp;'ORDENES'!$N963&amp;" h)","")</f>
        <v/>
      </c>
    </row>
    <row r="968">
      <c r="K968" s="3">
        <f>IF(AND(IF($B$3="(todos)",TRUE,'ORDENES'!$P964=$B$3),IF($D$3="(todos)",TRUE,'ORDENES'!$AD964=$D$3),IF($F$3="(todos)",TRUE,'ORDENES'!$W964=$F$3),'ORDENES'!$AB964=TRUE),'ORDENES'!$AO964&amp;" | "&amp;'ORDENES'!$S964&amp;" | "&amp;IF('ORDENES'!$AC964="","(sin técnico)",'ORDENES'!$AC964)&amp;" | "&amp;'ORDENES'!$D964&amp;" ("&amp;'ORDENES'!$N964&amp;" h)","")</f>
        <v/>
      </c>
    </row>
    <row r="969">
      <c r="K969" s="3">
        <f>IF(AND(IF($B$3="(todos)",TRUE,'ORDENES'!$P965=$B$3),IF($D$3="(todos)",TRUE,'ORDENES'!$AD965=$D$3),IF($F$3="(todos)",TRUE,'ORDENES'!$W965=$F$3),'ORDENES'!$AB965=TRUE),'ORDENES'!$AO965&amp;" | "&amp;'ORDENES'!$S965&amp;" | "&amp;IF('ORDENES'!$AC965="","(sin técnico)",'ORDENES'!$AC965)&amp;" | "&amp;'ORDENES'!$D965&amp;" ("&amp;'ORDENES'!$N965&amp;" h)","")</f>
        <v/>
      </c>
    </row>
    <row r="970">
      <c r="K970" s="3">
        <f>IF(AND(IF($B$3="(todos)",TRUE,'ORDENES'!$P966=$B$3),IF($D$3="(todos)",TRUE,'ORDENES'!$AD966=$D$3),IF($F$3="(todos)",TRUE,'ORDENES'!$W966=$F$3),'ORDENES'!$AB966=TRUE),'ORDENES'!$AO966&amp;" | "&amp;'ORDENES'!$S966&amp;" | "&amp;IF('ORDENES'!$AC966="","(sin técnico)",'ORDENES'!$AC966)&amp;" | "&amp;'ORDENES'!$D966&amp;" ("&amp;'ORDENES'!$N966&amp;" h)","")</f>
        <v/>
      </c>
    </row>
    <row r="971">
      <c r="K971" s="3">
        <f>IF(AND(IF($B$3="(todos)",TRUE,'ORDENES'!$P967=$B$3),IF($D$3="(todos)",TRUE,'ORDENES'!$AD967=$D$3),IF($F$3="(todos)",TRUE,'ORDENES'!$W967=$F$3),'ORDENES'!$AB967=TRUE),'ORDENES'!$AO967&amp;" | "&amp;'ORDENES'!$S967&amp;" | "&amp;IF('ORDENES'!$AC967="","(sin técnico)",'ORDENES'!$AC967)&amp;" | "&amp;'ORDENES'!$D967&amp;" ("&amp;'ORDENES'!$N967&amp;" h)","")</f>
        <v/>
      </c>
    </row>
    <row r="972">
      <c r="K972" s="3">
        <f>IF(AND(IF($B$3="(todos)",TRUE,'ORDENES'!$P968=$B$3),IF($D$3="(todos)",TRUE,'ORDENES'!$AD968=$D$3),IF($F$3="(todos)",TRUE,'ORDENES'!$W968=$F$3),'ORDENES'!$AB968=TRUE),'ORDENES'!$AO968&amp;" | "&amp;'ORDENES'!$S968&amp;" | "&amp;IF('ORDENES'!$AC968="","(sin técnico)",'ORDENES'!$AC968)&amp;" | "&amp;'ORDENES'!$D968&amp;" ("&amp;'ORDENES'!$N968&amp;" h)","")</f>
        <v/>
      </c>
    </row>
    <row r="973">
      <c r="K973" s="3">
        <f>IF(AND(IF($B$3="(todos)",TRUE,'ORDENES'!$P969=$B$3),IF($D$3="(todos)",TRUE,'ORDENES'!$AD969=$D$3),IF($F$3="(todos)",TRUE,'ORDENES'!$W969=$F$3),'ORDENES'!$AB969=TRUE),'ORDENES'!$AO969&amp;" | "&amp;'ORDENES'!$S969&amp;" | "&amp;IF('ORDENES'!$AC969="","(sin técnico)",'ORDENES'!$AC969)&amp;" | "&amp;'ORDENES'!$D969&amp;" ("&amp;'ORDENES'!$N969&amp;" h)","")</f>
        <v/>
      </c>
    </row>
    <row r="974">
      <c r="K974" s="3">
        <f>IF(AND(IF($B$3="(todos)",TRUE,'ORDENES'!$P970=$B$3),IF($D$3="(todos)",TRUE,'ORDENES'!$AD970=$D$3),IF($F$3="(todos)",TRUE,'ORDENES'!$W970=$F$3),'ORDENES'!$AB970=TRUE),'ORDENES'!$AO970&amp;" | "&amp;'ORDENES'!$S970&amp;" | "&amp;IF('ORDENES'!$AC970="","(sin técnico)",'ORDENES'!$AC970)&amp;" | "&amp;'ORDENES'!$D970&amp;" ("&amp;'ORDENES'!$N970&amp;" h)","")</f>
        <v/>
      </c>
    </row>
    <row r="975">
      <c r="K975" s="3">
        <f>IF(AND(IF($B$3="(todos)",TRUE,'ORDENES'!$P971=$B$3),IF($D$3="(todos)",TRUE,'ORDENES'!$AD971=$D$3),IF($F$3="(todos)",TRUE,'ORDENES'!$W971=$F$3),'ORDENES'!$AB971=TRUE),'ORDENES'!$AO971&amp;" | "&amp;'ORDENES'!$S971&amp;" | "&amp;IF('ORDENES'!$AC971="","(sin técnico)",'ORDENES'!$AC971)&amp;" | "&amp;'ORDENES'!$D971&amp;" ("&amp;'ORDENES'!$N971&amp;" h)","")</f>
        <v/>
      </c>
    </row>
    <row r="976">
      <c r="K976" s="3">
        <f>IF(AND(IF($B$3="(todos)",TRUE,'ORDENES'!$P972=$B$3),IF($D$3="(todos)",TRUE,'ORDENES'!$AD972=$D$3),IF($F$3="(todos)",TRUE,'ORDENES'!$W972=$F$3),'ORDENES'!$AB972=TRUE),'ORDENES'!$AO972&amp;" | "&amp;'ORDENES'!$S972&amp;" | "&amp;IF('ORDENES'!$AC972="","(sin técnico)",'ORDENES'!$AC972)&amp;" | "&amp;'ORDENES'!$D972&amp;" ("&amp;'ORDENES'!$N972&amp;" h)","")</f>
        <v/>
      </c>
    </row>
    <row r="977">
      <c r="K977" s="3">
        <f>IF(AND(IF($B$3="(todos)",TRUE,'ORDENES'!$P973=$B$3),IF($D$3="(todos)",TRUE,'ORDENES'!$AD973=$D$3),IF($F$3="(todos)",TRUE,'ORDENES'!$W973=$F$3),'ORDENES'!$AB973=TRUE),'ORDENES'!$AO973&amp;" | "&amp;'ORDENES'!$S973&amp;" | "&amp;IF('ORDENES'!$AC973="","(sin técnico)",'ORDENES'!$AC973)&amp;" | "&amp;'ORDENES'!$D973&amp;" ("&amp;'ORDENES'!$N973&amp;" h)","")</f>
        <v/>
      </c>
    </row>
    <row r="978">
      <c r="K978" s="3">
        <f>IF(AND(IF($B$3="(todos)",TRUE,'ORDENES'!$P974=$B$3),IF($D$3="(todos)",TRUE,'ORDENES'!$AD974=$D$3),IF($F$3="(todos)",TRUE,'ORDENES'!$W974=$F$3),'ORDENES'!$AB974=TRUE),'ORDENES'!$AO974&amp;" | "&amp;'ORDENES'!$S974&amp;" | "&amp;IF('ORDENES'!$AC974="","(sin técnico)",'ORDENES'!$AC974)&amp;" | "&amp;'ORDENES'!$D974&amp;" ("&amp;'ORDENES'!$N974&amp;" h)","")</f>
        <v/>
      </c>
    </row>
    <row r="979">
      <c r="K979" s="3">
        <f>IF(AND(IF($B$3="(todos)",TRUE,'ORDENES'!$P975=$B$3),IF($D$3="(todos)",TRUE,'ORDENES'!$AD975=$D$3),IF($F$3="(todos)",TRUE,'ORDENES'!$W975=$F$3),'ORDENES'!$AB975=TRUE),'ORDENES'!$AO975&amp;" | "&amp;'ORDENES'!$S975&amp;" | "&amp;IF('ORDENES'!$AC975="","(sin técnico)",'ORDENES'!$AC975)&amp;" | "&amp;'ORDENES'!$D975&amp;" ("&amp;'ORDENES'!$N975&amp;" h)","")</f>
        <v/>
      </c>
    </row>
    <row r="980">
      <c r="K980" s="3">
        <f>IF(AND(IF($B$3="(todos)",TRUE,'ORDENES'!$P976=$B$3),IF($D$3="(todos)",TRUE,'ORDENES'!$AD976=$D$3),IF($F$3="(todos)",TRUE,'ORDENES'!$W976=$F$3),'ORDENES'!$AB976=TRUE),'ORDENES'!$AO976&amp;" | "&amp;'ORDENES'!$S976&amp;" | "&amp;IF('ORDENES'!$AC976="","(sin técnico)",'ORDENES'!$AC976)&amp;" | "&amp;'ORDENES'!$D976&amp;" ("&amp;'ORDENES'!$N976&amp;" h)","")</f>
        <v/>
      </c>
    </row>
    <row r="981">
      <c r="K981" s="3">
        <f>IF(AND(IF($B$3="(todos)",TRUE,'ORDENES'!$P977=$B$3),IF($D$3="(todos)",TRUE,'ORDENES'!$AD977=$D$3),IF($F$3="(todos)",TRUE,'ORDENES'!$W977=$F$3),'ORDENES'!$AB977=TRUE),'ORDENES'!$AO977&amp;" | "&amp;'ORDENES'!$S977&amp;" | "&amp;IF('ORDENES'!$AC977="","(sin técnico)",'ORDENES'!$AC977)&amp;" | "&amp;'ORDENES'!$D977&amp;" ("&amp;'ORDENES'!$N977&amp;" h)","")</f>
        <v/>
      </c>
    </row>
    <row r="982">
      <c r="K982" s="3">
        <f>IF(AND(IF($B$3="(todos)",TRUE,'ORDENES'!$P978=$B$3),IF($D$3="(todos)",TRUE,'ORDENES'!$AD978=$D$3),IF($F$3="(todos)",TRUE,'ORDENES'!$W978=$F$3),'ORDENES'!$AB978=TRUE),'ORDENES'!$AO978&amp;" | "&amp;'ORDENES'!$S978&amp;" | "&amp;IF('ORDENES'!$AC978="","(sin técnico)",'ORDENES'!$AC978)&amp;" | "&amp;'ORDENES'!$D978&amp;" ("&amp;'ORDENES'!$N978&amp;" h)","")</f>
        <v/>
      </c>
    </row>
    <row r="983">
      <c r="K983" s="3">
        <f>IF(AND(IF($B$3="(todos)",TRUE,'ORDENES'!$P979=$B$3),IF($D$3="(todos)",TRUE,'ORDENES'!$AD979=$D$3),IF($F$3="(todos)",TRUE,'ORDENES'!$W979=$F$3),'ORDENES'!$AB979=TRUE),'ORDENES'!$AO979&amp;" | "&amp;'ORDENES'!$S979&amp;" | "&amp;IF('ORDENES'!$AC979="","(sin técnico)",'ORDENES'!$AC979)&amp;" | "&amp;'ORDENES'!$D979&amp;" ("&amp;'ORDENES'!$N979&amp;" h)","")</f>
        <v/>
      </c>
    </row>
    <row r="984">
      <c r="K984" s="3">
        <f>IF(AND(IF($B$3="(todos)",TRUE,'ORDENES'!$P980=$B$3),IF($D$3="(todos)",TRUE,'ORDENES'!$AD980=$D$3),IF($F$3="(todos)",TRUE,'ORDENES'!$W980=$F$3),'ORDENES'!$AB980=TRUE),'ORDENES'!$AO980&amp;" | "&amp;'ORDENES'!$S980&amp;" | "&amp;IF('ORDENES'!$AC980="","(sin técnico)",'ORDENES'!$AC980)&amp;" | "&amp;'ORDENES'!$D980&amp;" ("&amp;'ORDENES'!$N980&amp;" h)","")</f>
        <v/>
      </c>
    </row>
    <row r="985">
      <c r="K985" s="3">
        <f>IF(AND(IF($B$3="(todos)",TRUE,'ORDENES'!$P981=$B$3),IF($D$3="(todos)",TRUE,'ORDENES'!$AD981=$D$3),IF($F$3="(todos)",TRUE,'ORDENES'!$W981=$F$3),'ORDENES'!$AB981=TRUE),'ORDENES'!$AO981&amp;" | "&amp;'ORDENES'!$S981&amp;" | "&amp;IF('ORDENES'!$AC981="","(sin técnico)",'ORDENES'!$AC981)&amp;" | "&amp;'ORDENES'!$D981&amp;" ("&amp;'ORDENES'!$N981&amp;" h)","")</f>
        <v/>
      </c>
    </row>
    <row r="986">
      <c r="K986" s="3">
        <f>IF(AND(IF($B$3="(todos)",TRUE,'ORDENES'!$P982=$B$3),IF($D$3="(todos)",TRUE,'ORDENES'!$AD982=$D$3),IF($F$3="(todos)",TRUE,'ORDENES'!$W982=$F$3),'ORDENES'!$AB982=TRUE),'ORDENES'!$AO982&amp;" | "&amp;'ORDENES'!$S982&amp;" | "&amp;IF('ORDENES'!$AC982="","(sin técnico)",'ORDENES'!$AC982)&amp;" | "&amp;'ORDENES'!$D982&amp;" ("&amp;'ORDENES'!$N982&amp;" h)","")</f>
        <v/>
      </c>
    </row>
    <row r="987">
      <c r="K987" s="3">
        <f>IF(AND(IF($B$3="(todos)",TRUE,'ORDENES'!$P983=$B$3),IF($D$3="(todos)",TRUE,'ORDENES'!$AD983=$D$3),IF($F$3="(todos)",TRUE,'ORDENES'!$W983=$F$3),'ORDENES'!$AB983=TRUE),'ORDENES'!$AO983&amp;" | "&amp;'ORDENES'!$S983&amp;" | "&amp;IF('ORDENES'!$AC983="","(sin técnico)",'ORDENES'!$AC983)&amp;" | "&amp;'ORDENES'!$D983&amp;" ("&amp;'ORDENES'!$N983&amp;" h)","")</f>
        <v/>
      </c>
    </row>
    <row r="988">
      <c r="K988" s="3">
        <f>IF(AND(IF($B$3="(todos)",TRUE,'ORDENES'!$P984=$B$3),IF($D$3="(todos)",TRUE,'ORDENES'!$AD984=$D$3),IF($F$3="(todos)",TRUE,'ORDENES'!$W984=$F$3),'ORDENES'!$AB984=TRUE),'ORDENES'!$AO984&amp;" | "&amp;'ORDENES'!$S984&amp;" | "&amp;IF('ORDENES'!$AC984="","(sin técnico)",'ORDENES'!$AC984)&amp;" | "&amp;'ORDENES'!$D984&amp;" ("&amp;'ORDENES'!$N984&amp;" h)","")</f>
        <v/>
      </c>
    </row>
    <row r="989">
      <c r="K989" s="3">
        <f>IF(AND(IF($B$3="(todos)",TRUE,'ORDENES'!$P985=$B$3),IF($D$3="(todos)",TRUE,'ORDENES'!$AD985=$D$3),IF($F$3="(todos)",TRUE,'ORDENES'!$W985=$F$3),'ORDENES'!$AB985=TRUE),'ORDENES'!$AO985&amp;" | "&amp;'ORDENES'!$S985&amp;" | "&amp;IF('ORDENES'!$AC985="","(sin técnico)",'ORDENES'!$AC985)&amp;" | "&amp;'ORDENES'!$D985&amp;" ("&amp;'ORDENES'!$N985&amp;" h)","")</f>
        <v/>
      </c>
    </row>
    <row r="990">
      <c r="K990" s="3">
        <f>IF(AND(IF($B$3="(todos)",TRUE,'ORDENES'!$P986=$B$3),IF($D$3="(todos)",TRUE,'ORDENES'!$AD986=$D$3),IF($F$3="(todos)",TRUE,'ORDENES'!$W986=$F$3),'ORDENES'!$AB986=TRUE),'ORDENES'!$AO986&amp;" | "&amp;'ORDENES'!$S986&amp;" | "&amp;IF('ORDENES'!$AC986="","(sin técnico)",'ORDENES'!$AC986)&amp;" | "&amp;'ORDENES'!$D986&amp;" ("&amp;'ORDENES'!$N986&amp;" h)","")</f>
        <v/>
      </c>
    </row>
    <row r="991">
      <c r="K991" s="3">
        <f>IF(AND(IF($B$3="(todos)",TRUE,'ORDENES'!$P987=$B$3),IF($D$3="(todos)",TRUE,'ORDENES'!$AD987=$D$3),IF($F$3="(todos)",TRUE,'ORDENES'!$W987=$F$3),'ORDENES'!$AB987=TRUE),'ORDENES'!$AO987&amp;" | "&amp;'ORDENES'!$S987&amp;" | "&amp;IF('ORDENES'!$AC987="","(sin técnico)",'ORDENES'!$AC987)&amp;" | "&amp;'ORDENES'!$D987&amp;" ("&amp;'ORDENES'!$N987&amp;" h)","")</f>
        <v/>
      </c>
    </row>
    <row r="992">
      <c r="K992" s="3">
        <f>IF(AND(IF($B$3="(todos)",TRUE,'ORDENES'!$P988=$B$3),IF($D$3="(todos)",TRUE,'ORDENES'!$AD988=$D$3),IF($F$3="(todos)",TRUE,'ORDENES'!$W988=$F$3),'ORDENES'!$AB988=TRUE),'ORDENES'!$AO988&amp;" | "&amp;'ORDENES'!$S988&amp;" | "&amp;IF('ORDENES'!$AC988="","(sin técnico)",'ORDENES'!$AC988)&amp;" | "&amp;'ORDENES'!$D988&amp;" ("&amp;'ORDENES'!$N988&amp;" h)","")</f>
        <v/>
      </c>
    </row>
    <row r="993">
      <c r="K993" s="3">
        <f>IF(AND(IF($B$3="(todos)",TRUE,'ORDENES'!$P989=$B$3),IF($D$3="(todos)",TRUE,'ORDENES'!$AD989=$D$3),IF($F$3="(todos)",TRUE,'ORDENES'!$W989=$F$3),'ORDENES'!$AB989=TRUE),'ORDENES'!$AO989&amp;" | "&amp;'ORDENES'!$S989&amp;" | "&amp;IF('ORDENES'!$AC989="","(sin técnico)",'ORDENES'!$AC989)&amp;" | "&amp;'ORDENES'!$D989&amp;" ("&amp;'ORDENES'!$N989&amp;" h)","")</f>
        <v/>
      </c>
    </row>
    <row r="994">
      <c r="K994" s="3">
        <f>IF(AND(IF($B$3="(todos)",TRUE,'ORDENES'!$P990=$B$3),IF($D$3="(todos)",TRUE,'ORDENES'!$AD990=$D$3),IF($F$3="(todos)",TRUE,'ORDENES'!$W990=$F$3),'ORDENES'!$AB990=TRUE),'ORDENES'!$AO990&amp;" | "&amp;'ORDENES'!$S990&amp;" | "&amp;IF('ORDENES'!$AC990="","(sin técnico)",'ORDENES'!$AC990)&amp;" | "&amp;'ORDENES'!$D990&amp;" ("&amp;'ORDENES'!$N990&amp;" h)","")</f>
        <v/>
      </c>
    </row>
    <row r="995">
      <c r="K995" s="3">
        <f>IF(AND(IF($B$3="(todos)",TRUE,'ORDENES'!$P991=$B$3),IF($D$3="(todos)",TRUE,'ORDENES'!$AD991=$D$3),IF($F$3="(todos)",TRUE,'ORDENES'!$W991=$F$3),'ORDENES'!$AB991=TRUE),'ORDENES'!$AO991&amp;" | "&amp;'ORDENES'!$S991&amp;" | "&amp;IF('ORDENES'!$AC991="","(sin técnico)",'ORDENES'!$AC991)&amp;" | "&amp;'ORDENES'!$D991&amp;" ("&amp;'ORDENES'!$N991&amp;" h)","")</f>
        <v/>
      </c>
    </row>
    <row r="996">
      <c r="K996" s="3">
        <f>IF(AND(IF($B$3="(todos)",TRUE,'ORDENES'!$P992=$B$3),IF($D$3="(todos)",TRUE,'ORDENES'!$AD992=$D$3),IF($F$3="(todos)",TRUE,'ORDENES'!$W992=$F$3),'ORDENES'!$AB992=TRUE),'ORDENES'!$AO992&amp;" | "&amp;'ORDENES'!$S992&amp;" | "&amp;IF('ORDENES'!$AC992="","(sin técnico)",'ORDENES'!$AC992)&amp;" | "&amp;'ORDENES'!$D992&amp;" ("&amp;'ORDENES'!$N992&amp;" h)","")</f>
        <v/>
      </c>
    </row>
    <row r="997">
      <c r="K997" s="3">
        <f>IF(AND(IF($B$3="(todos)",TRUE,'ORDENES'!$P993=$B$3),IF($D$3="(todos)",TRUE,'ORDENES'!$AD993=$D$3),IF($F$3="(todos)",TRUE,'ORDENES'!$W993=$F$3),'ORDENES'!$AB993=TRUE),'ORDENES'!$AO993&amp;" | "&amp;'ORDENES'!$S993&amp;" | "&amp;IF('ORDENES'!$AC993="","(sin técnico)",'ORDENES'!$AC993)&amp;" | "&amp;'ORDENES'!$D993&amp;" ("&amp;'ORDENES'!$N993&amp;" h)","")</f>
        <v/>
      </c>
    </row>
    <row r="998">
      <c r="K998" s="3">
        <f>IF(AND(IF($B$3="(todos)",TRUE,'ORDENES'!$P994=$B$3),IF($D$3="(todos)",TRUE,'ORDENES'!$AD994=$D$3),IF($F$3="(todos)",TRUE,'ORDENES'!$W994=$F$3),'ORDENES'!$AB994=TRUE),'ORDENES'!$AO994&amp;" | "&amp;'ORDENES'!$S994&amp;" | "&amp;IF('ORDENES'!$AC994="","(sin técnico)",'ORDENES'!$AC994)&amp;" | "&amp;'ORDENES'!$D994&amp;" ("&amp;'ORDENES'!$N994&amp;" h)","")</f>
        <v/>
      </c>
    </row>
    <row r="999">
      <c r="K999" s="3">
        <f>IF(AND(IF($B$3="(todos)",TRUE,'ORDENES'!$P995=$B$3),IF($D$3="(todos)",TRUE,'ORDENES'!$AD995=$D$3),IF($F$3="(todos)",TRUE,'ORDENES'!$W995=$F$3),'ORDENES'!$AB995=TRUE),'ORDENES'!$AO995&amp;" | "&amp;'ORDENES'!$S995&amp;" | "&amp;IF('ORDENES'!$AC995="","(sin técnico)",'ORDENES'!$AC995)&amp;" | "&amp;'ORDENES'!$D995&amp;" ("&amp;'ORDENES'!$N995&amp;" h)","")</f>
        <v/>
      </c>
    </row>
    <row r="1000">
      <c r="K1000" s="3">
        <f>IF(AND(IF($B$3="(todos)",TRUE,'ORDENES'!$P996=$B$3),IF($D$3="(todos)",TRUE,'ORDENES'!$AD996=$D$3),IF($F$3="(todos)",TRUE,'ORDENES'!$W996=$F$3),'ORDENES'!$AB996=TRUE),'ORDENES'!$AO996&amp;" | "&amp;'ORDENES'!$S996&amp;" | "&amp;IF('ORDENES'!$AC996="","(sin técnico)",'ORDENES'!$AC996)&amp;" | "&amp;'ORDENES'!$D996&amp;" ("&amp;'ORDENES'!$N996&amp;" h)","")</f>
        <v/>
      </c>
    </row>
    <row r="1001">
      <c r="K1001" s="3">
        <f>IF(AND(IF($B$3="(todos)",TRUE,'ORDENES'!$P997=$B$3),IF($D$3="(todos)",TRUE,'ORDENES'!$AD997=$D$3),IF($F$3="(todos)",TRUE,'ORDENES'!$W997=$F$3),'ORDENES'!$AB997=TRUE),'ORDENES'!$AO997&amp;" | "&amp;'ORDENES'!$S997&amp;" | "&amp;IF('ORDENES'!$AC997="","(sin técnico)",'ORDENES'!$AC997)&amp;" | "&amp;'ORDENES'!$D997&amp;" ("&amp;'ORDENES'!$N997&amp;" h)","")</f>
        <v/>
      </c>
    </row>
    <row r="1002">
      <c r="K1002" s="3">
        <f>IF(AND(IF($B$3="(todos)",TRUE,'ORDENES'!$P998=$B$3),IF($D$3="(todos)",TRUE,'ORDENES'!$AD998=$D$3),IF($F$3="(todos)",TRUE,'ORDENES'!$W998=$F$3),'ORDENES'!$AB998=TRUE),'ORDENES'!$AO998&amp;" | "&amp;'ORDENES'!$S998&amp;" | "&amp;IF('ORDENES'!$AC998="","(sin técnico)",'ORDENES'!$AC998)&amp;" | "&amp;'ORDENES'!$D998&amp;" ("&amp;'ORDENES'!$N998&amp;" h)","")</f>
        <v/>
      </c>
    </row>
    <row r="1003">
      <c r="K1003" s="3">
        <f>IF(AND(IF($B$3="(todos)",TRUE,'ORDENES'!$P999=$B$3),IF($D$3="(todos)",TRUE,'ORDENES'!$AD999=$D$3),IF($F$3="(todos)",TRUE,'ORDENES'!$W999=$F$3),'ORDENES'!$AB999=TRUE),'ORDENES'!$AO999&amp;" | "&amp;'ORDENES'!$S999&amp;" | "&amp;IF('ORDENES'!$AC999="","(sin técnico)",'ORDENES'!$AC999)&amp;" | "&amp;'ORDENES'!$D999&amp;" ("&amp;'ORDENES'!$N999&amp;" h)","")</f>
        <v/>
      </c>
    </row>
    <row r="1004">
      <c r="K1004" s="3">
        <f>IF(AND(IF($B$3="(todos)",TRUE,'ORDENES'!$P1000=$B$3),IF($D$3="(todos)",TRUE,'ORDENES'!$AD1000=$D$3),IF($F$3="(todos)",TRUE,'ORDENES'!$W1000=$F$3),'ORDENES'!$AB1000=TRUE),'ORDENES'!$AO1000&amp;" | "&amp;'ORDENES'!$S1000&amp;" | "&amp;IF('ORDENES'!$AC1000="","(sin técnico)",'ORDENES'!$AC1000)&amp;" | "&amp;'ORDENES'!$D1000&amp;" ("&amp;'ORDENES'!$N1000&amp;" h)","")</f>
        <v/>
      </c>
    </row>
    <row r="1005">
      <c r="K1005" s="3">
        <f>IF(AND(IF($B$3="(todos)",TRUE,'ORDENES'!$P1001=$B$3),IF($D$3="(todos)",TRUE,'ORDENES'!$AD1001=$D$3),IF($F$3="(todos)",TRUE,'ORDENES'!$W1001=$F$3),'ORDENES'!$AB1001=TRUE),'ORDENES'!$AO1001&amp;" | "&amp;'ORDENES'!$S1001&amp;" | "&amp;IF('ORDENES'!$AC1001="","(sin técnico)",'ORDENES'!$AC1001)&amp;" | "&amp;'ORDENES'!$D1001&amp;" ("&amp;'ORDENES'!$N1001&amp;" h)","")</f>
        <v/>
      </c>
    </row>
    <row r="1006">
      <c r="K1006" s="3">
        <f>IF(AND(IF($B$3="(todos)",TRUE,'ORDENES'!$P1002=$B$3),IF($D$3="(todos)",TRUE,'ORDENES'!$AD1002=$D$3),IF($F$3="(todos)",TRUE,'ORDENES'!$W1002=$F$3),'ORDENES'!$AB1002=TRUE),'ORDENES'!$AO1002&amp;" | "&amp;'ORDENES'!$S1002&amp;" | "&amp;IF('ORDENES'!$AC1002="","(sin técnico)",'ORDENES'!$AC1002)&amp;" | "&amp;'ORDENES'!$D1002&amp;" ("&amp;'ORDENES'!$N1002&amp;" h)","")</f>
        <v/>
      </c>
    </row>
    <row r="1007">
      <c r="K1007" s="3">
        <f>IF(AND(IF($B$3="(todos)",TRUE,'ORDENES'!$P1003=$B$3),IF($D$3="(todos)",TRUE,'ORDENES'!$AD1003=$D$3),IF($F$3="(todos)",TRUE,'ORDENES'!$W1003=$F$3),'ORDENES'!$AB1003=TRUE),'ORDENES'!$AO1003&amp;" | "&amp;'ORDENES'!$S1003&amp;" | "&amp;IF('ORDENES'!$AC1003="","(sin técnico)",'ORDENES'!$AC1003)&amp;" | "&amp;'ORDENES'!$D1003&amp;" ("&amp;'ORDENES'!$N1003&amp;" h)","")</f>
        <v/>
      </c>
    </row>
    <row r="1008">
      <c r="K1008" s="3">
        <f>IF(AND(IF($B$3="(todos)",TRUE,'ORDENES'!$P1004=$B$3),IF($D$3="(todos)",TRUE,'ORDENES'!$AD1004=$D$3),IF($F$3="(todos)",TRUE,'ORDENES'!$W1004=$F$3),'ORDENES'!$AB1004=TRUE),'ORDENES'!$AO1004&amp;" | "&amp;'ORDENES'!$S1004&amp;" | "&amp;IF('ORDENES'!$AC1004="","(sin técnico)",'ORDENES'!$AC1004)&amp;" | "&amp;'ORDENES'!$D1004&amp;" ("&amp;'ORDENES'!$N1004&amp;" h)","")</f>
        <v/>
      </c>
    </row>
    <row r="1009">
      <c r="K1009" s="3">
        <f>IF(AND(IF($B$3="(todos)",TRUE,'ORDENES'!$P1005=$B$3),IF($D$3="(todos)",TRUE,'ORDENES'!$AD1005=$D$3),IF($F$3="(todos)",TRUE,'ORDENES'!$W1005=$F$3),'ORDENES'!$AB1005=TRUE),'ORDENES'!$AO1005&amp;" | "&amp;'ORDENES'!$S1005&amp;" | "&amp;IF('ORDENES'!$AC1005="","(sin técnico)",'ORDENES'!$AC1005)&amp;" | "&amp;'ORDENES'!$D1005&amp;" ("&amp;'ORDENES'!$N1005&amp;" h)","")</f>
        <v/>
      </c>
    </row>
    <row r="1010">
      <c r="K1010" s="3">
        <f>IF(AND(IF($B$3="(todos)",TRUE,'ORDENES'!$P1006=$B$3),IF($D$3="(todos)",TRUE,'ORDENES'!$AD1006=$D$3),IF($F$3="(todos)",TRUE,'ORDENES'!$W1006=$F$3),'ORDENES'!$AB1006=TRUE),'ORDENES'!$AO1006&amp;" | "&amp;'ORDENES'!$S1006&amp;" | "&amp;IF('ORDENES'!$AC1006="","(sin técnico)",'ORDENES'!$AC1006)&amp;" | "&amp;'ORDENES'!$D1006&amp;" ("&amp;'ORDENES'!$N1006&amp;" h)","")</f>
        <v/>
      </c>
    </row>
    <row r="1011">
      <c r="K1011" s="3">
        <f>IF(AND(IF($B$3="(todos)",TRUE,'ORDENES'!$P1007=$B$3),IF($D$3="(todos)",TRUE,'ORDENES'!$AD1007=$D$3),IF($F$3="(todos)",TRUE,'ORDENES'!$W1007=$F$3),'ORDENES'!$AB1007=TRUE),'ORDENES'!$AO1007&amp;" | "&amp;'ORDENES'!$S1007&amp;" | "&amp;IF('ORDENES'!$AC1007="","(sin técnico)",'ORDENES'!$AC1007)&amp;" | "&amp;'ORDENES'!$D1007&amp;" ("&amp;'ORDENES'!$N1007&amp;" h)","")</f>
        <v/>
      </c>
    </row>
    <row r="1012">
      <c r="K1012" s="3">
        <f>IF(AND(IF($B$3="(todos)",TRUE,'ORDENES'!$P1008=$B$3),IF($D$3="(todos)",TRUE,'ORDENES'!$AD1008=$D$3),IF($F$3="(todos)",TRUE,'ORDENES'!$W1008=$F$3),'ORDENES'!$AB1008=TRUE),'ORDENES'!$AO1008&amp;" | "&amp;'ORDENES'!$S1008&amp;" | "&amp;IF('ORDENES'!$AC1008="","(sin técnico)",'ORDENES'!$AC1008)&amp;" | "&amp;'ORDENES'!$D1008&amp;" ("&amp;'ORDENES'!$N1008&amp;" h)","")</f>
        <v/>
      </c>
    </row>
    <row r="1013">
      <c r="K1013" s="3">
        <f>IF(AND(IF($B$3="(todos)",TRUE,'ORDENES'!$P1009=$B$3),IF($D$3="(todos)",TRUE,'ORDENES'!$AD1009=$D$3),IF($F$3="(todos)",TRUE,'ORDENES'!$W1009=$F$3),'ORDENES'!$AB1009=TRUE),'ORDENES'!$AO1009&amp;" | "&amp;'ORDENES'!$S1009&amp;" | "&amp;IF('ORDENES'!$AC1009="","(sin técnico)",'ORDENES'!$AC1009)&amp;" | "&amp;'ORDENES'!$D1009&amp;" ("&amp;'ORDENES'!$N1009&amp;" h)","")</f>
        <v/>
      </c>
    </row>
    <row r="1014">
      <c r="K1014" s="3">
        <f>IF(AND(IF($B$3="(todos)",TRUE,'ORDENES'!$P1010=$B$3),IF($D$3="(todos)",TRUE,'ORDENES'!$AD1010=$D$3),IF($F$3="(todos)",TRUE,'ORDENES'!$W1010=$F$3),'ORDENES'!$AB1010=TRUE),'ORDENES'!$AO1010&amp;" | "&amp;'ORDENES'!$S1010&amp;" | "&amp;IF('ORDENES'!$AC1010="","(sin técnico)",'ORDENES'!$AC1010)&amp;" | "&amp;'ORDENES'!$D1010&amp;" ("&amp;'ORDENES'!$N1010&amp;" h)","")</f>
        <v/>
      </c>
    </row>
    <row r="1015">
      <c r="K1015" s="3">
        <f>IF(AND(IF($B$3="(todos)",TRUE,'ORDENES'!$P1011=$B$3),IF($D$3="(todos)",TRUE,'ORDENES'!$AD1011=$D$3),IF($F$3="(todos)",TRUE,'ORDENES'!$W1011=$F$3),'ORDENES'!$AB1011=TRUE),'ORDENES'!$AO1011&amp;" | "&amp;'ORDENES'!$S1011&amp;" | "&amp;IF('ORDENES'!$AC1011="","(sin técnico)",'ORDENES'!$AC1011)&amp;" | "&amp;'ORDENES'!$D1011&amp;" ("&amp;'ORDENES'!$N1011&amp;" h)","")</f>
        <v/>
      </c>
    </row>
    <row r="1016">
      <c r="K1016" s="3">
        <f>IF(AND(IF($B$3="(todos)",TRUE,'ORDENES'!$P1012=$B$3),IF($D$3="(todos)",TRUE,'ORDENES'!$AD1012=$D$3),IF($F$3="(todos)",TRUE,'ORDENES'!$W1012=$F$3),'ORDENES'!$AB1012=TRUE),'ORDENES'!$AO1012&amp;" | "&amp;'ORDENES'!$S1012&amp;" | "&amp;IF('ORDENES'!$AC1012="","(sin técnico)",'ORDENES'!$AC1012)&amp;" | "&amp;'ORDENES'!$D1012&amp;" ("&amp;'ORDENES'!$N1012&amp;" h)","")</f>
        <v/>
      </c>
    </row>
    <row r="1017">
      <c r="K1017" s="3">
        <f>IF(AND(IF($B$3="(todos)",TRUE,'ORDENES'!$P1013=$B$3),IF($D$3="(todos)",TRUE,'ORDENES'!$AD1013=$D$3),IF($F$3="(todos)",TRUE,'ORDENES'!$W1013=$F$3),'ORDENES'!$AB1013=TRUE),'ORDENES'!$AO1013&amp;" | "&amp;'ORDENES'!$S1013&amp;" | "&amp;IF('ORDENES'!$AC1013="","(sin técnico)",'ORDENES'!$AC1013)&amp;" | "&amp;'ORDENES'!$D1013&amp;" ("&amp;'ORDENES'!$N1013&amp;" h)","")</f>
        <v/>
      </c>
    </row>
    <row r="1018">
      <c r="K1018" s="3">
        <f>IF(AND(IF($B$3="(todos)",TRUE,'ORDENES'!$P1014=$B$3),IF($D$3="(todos)",TRUE,'ORDENES'!$AD1014=$D$3),IF($F$3="(todos)",TRUE,'ORDENES'!$W1014=$F$3),'ORDENES'!$AB1014=TRUE),'ORDENES'!$AO1014&amp;" | "&amp;'ORDENES'!$S1014&amp;" | "&amp;IF('ORDENES'!$AC1014="","(sin técnico)",'ORDENES'!$AC1014)&amp;" | "&amp;'ORDENES'!$D1014&amp;" ("&amp;'ORDENES'!$N1014&amp;" h)","")</f>
        <v/>
      </c>
    </row>
    <row r="1019">
      <c r="K1019" s="3">
        <f>IF(AND(IF($B$3="(todos)",TRUE,'ORDENES'!$P1015=$B$3),IF($D$3="(todos)",TRUE,'ORDENES'!$AD1015=$D$3),IF($F$3="(todos)",TRUE,'ORDENES'!$W1015=$F$3),'ORDENES'!$AB1015=TRUE),'ORDENES'!$AO1015&amp;" | "&amp;'ORDENES'!$S1015&amp;" | "&amp;IF('ORDENES'!$AC1015="","(sin técnico)",'ORDENES'!$AC1015)&amp;" | "&amp;'ORDENES'!$D1015&amp;" ("&amp;'ORDENES'!$N1015&amp;" h)","")</f>
        <v/>
      </c>
    </row>
    <row r="1020">
      <c r="K1020" s="3">
        <f>IF(AND(IF($B$3="(todos)",TRUE,'ORDENES'!$P1016=$B$3),IF($D$3="(todos)",TRUE,'ORDENES'!$AD1016=$D$3),IF($F$3="(todos)",TRUE,'ORDENES'!$W1016=$F$3),'ORDENES'!$AB1016=TRUE),'ORDENES'!$AO1016&amp;" | "&amp;'ORDENES'!$S1016&amp;" | "&amp;IF('ORDENES'!$AC1016="","(sin técnico)",'ORDENES'!$AC1016)&amp;" | "&amp;'ORDENES'!$D1016&amp;" ("&amp;'ORDENES'!$N1016&amp;" h)","")</f>
        <v/>
      </c>
    </row>
    <row r="1021">
      <c r="K1021" s="3">
        <f>IF(AND(IF($B$3="(todos)",TRUE,'ORDENES'!$P1017=$B$3),IF($D$3="(todos)",TRUE,'ORDENES'!$AD1017=$D$3),IF($F$3="(todos)",TRUE,'ORDENES'!$W1017=$F$3),'ORDENES'!$AB1017=TRUE),'ORDENES'!$AO1017&amp;" | "&amp;'ORDENES'!$S1017&amp;" | "&amp;IF('ORDENES'!$AC1017="","(sin técnico)",'ORDENES'!$AC1017)&amp;" | "&amp;'ORDENES'!$D1017&amp;" ("&amp;'ORDENES'!$N1017&amp;" h)","")</f>
        <v/>
      </c>
    </row>
    <row r="1022">
      <c r="K1022" s="3">
        <f>IF(AND(IF($B$3="(todos)",TRUE,'ORDENES'!$P1018=$B$3),IF($D$3="(todos)",TRUE,'ORDENES'!$AD1018=$D$3),IF($F$3="(todos)",TRUE,'ORDENES'!$W1018=$F$3),'ORDENES'!$AB1018=TRUE),'ORDENES'!$AO1018&amp;" | "&amp;'ORDENES'!$S1018&amp;" | "&amp;IF('ORDENES'!$AC1018="","(sin técnico)",'ORDENES'!$AC1018)&amp;" | "&amp;'ORDENES'!$D1018&amp;" ("&amp;'ORDENES'!$N1018&amp;" h)","")</f>
        <v/>
      </c>
    </row>
    <row r="1023">
      <c r="K1023" s="3">
        <f>IF(AND(IF($B$3="(todos)",TRUE,'ORDENES'!$P1019=$B$3),IF($D$3="(todos)",TRUE,'ORDENES'!$AD1019=$D$3),IF($F$3="(todos)",TRUE,'ORDENES'!$W1019=$F$3),'ORDENES'!$AB1019=TRUE),'ORDENES'!$AO1019&amp;" | "&amp;'ORDENES'!$S1019&amp;" | "&amp;IF('ORDENES'!$AC1019="","(sin técnico)",'ORDENES'!$AC1019)&amp;" | "&amp;'ORDENES'!$D1019&amp;" ("&amp;'ORDENES'!$N1019&amp;" h)","")</f>
        <v/>
      </c>
    </row>
    <row r="1024">
      <c r="K1024" s="3">
        <f>IF(AND(IF($B$3="(todos)",TRUE,'ORDENES'!$P1020=$B$3),IF($D$3="(todos)",TRUE,'ORDENES'!$AD1020=$D$3),IF($F$3="(todos)",TRUE,'ORDENES'!$W1020=$F$3),'ORDENES'!$AB1020=TRUE),'ORDENES'!$AO1020&amp;" | "&amp;'ORDENES'!$S1020&amp;" | "&amp;IF('ORDENES'!$AC1020="","(sin técnico)",'ORDENES'!$AC1020)&amp;" | "&amp;'ORDENES'!$D1020&amp;" ("&amp;'ORDENES'!$N1020&amp;" h)","")</f>
        <v/>
      </c>
    </row>
    <row r="1025">
      <c r="K1025" s="3">
        <f>IF(AND(IF($B$3="(todos)",TRUE,'ORDENES'!$P1021=$B$3),IF($D$3="(todos)",TRUE,'ORDENES'!$AD1021=$D$3),IF($F$3="(todos)",TRUE,'ORDENES'!$W1021=$F$3),'ORDENES'!$AB1021=TRUE),'ORDENES'!$AO1021&amp;" | "&amp;'ORDENES'!$S1021&amp;" | "&amp;IF('ORDENES'!$AC1021="","(sin técnico)",'ORDENES'!$AC1021)&amp;" | "&amp;'ORDENES'!$D1021&amp;" ("&amp;'ORDENES'!$N1021&amp;" h)","")</f>
        <v/>
      </c>
    </row>
    <row r="1026">
      <c r="K1026" s="3">
        <f>IF(AND(IF($B$3="(todos)",TRUE,'ORDENES'!$P1022=$B$3),IF($D$3="(todos)",TRUE,'ORDENES'!$AD1022=$D$3),IF($F$3="(todos)",TRUE,'ORDENES'!$W1022=$F$3),'ORDENES'!$AB1022=TRUE),'ORDENES'!$AO1022&amp;" | "&amp;'ORDENES'!$S1022&amp;" | "&amp;IF('ORDENES'!$AC1022="","(sin técnico)",'ORDENES'!$AC1022)&amp;" | "&amp;'ORDENES'!$D1022&amp;" ("&amp;'ORDENES'!$N1022&amp;" h)","")</f>
        <v/>
      </c>
    </row>
    <row r="1027">
      <c r="K1027" s="3">
        <f>IF(AND(IF($B$3="(todos)",TRUE,'ORDENES'!$P1023=$B$3),IF($D$3="(todos)",TRUE,'ORDENES'!$AD1023=$D$3),IF($F$3="(todos)",TRUE,'ORDENES'!$W1023=$F$3),'ORDENES'!$AB1023=TRUE),'ORDENES'!$AO1023&amp;" | "&amp;'ORDENES'!$S1023&amp;" | "&amp;IF('ORDENES'!$AC1023="","(sin técnico)",'ORDENES'!$AC1023)&amp;" | "&amp;'ORDENES'!$D1023&amp;" ("&amp;'ORDENES'!$N1023&amp;" h)","")</f>
        <v/>
      </c>
    </row>
    <row r="1028">
      <c r="K1028" s="3">
        <f>IF(AND(IF($B$3="(todos)",TRUE,'ORDENES'!$P1024=$B$3),IF($D$3="(todos)",TRUE,'ORDENES'!$AD1024=$D$3),IF($F$3="(todos)",TRUE,'ORDENES'!$W1024=$F$3),'ORDENES'!$AB1024=TRUE),'ORDENES'!$AO1024&amp;" | "&amp;'ORDENES'!$S1024&amp;" | "&amp;IF('ORDENES'!$AC1024="","(sin técnico)",'ORDENES'!$AC1024)&amp;" | "&amp;'ORDENES'!$D1024&amp;" ("&amp;'ORDENES'!$N1024&amp;" h)","")</f>
        <v/>
      </c>
    </row>
    <row r="1029">
      <c r="K1029" s="3">
        <f>IF(AND(IF($B$3="(todos)",TRUE,'ORDENES'!$P1025=$B$3),IF($D$3="(todos)",TRUE,'ORDENES'!$AD1025=$D$3),IF($F$3="(todos)",TRUE,'ORDENES'!$W1025=$F$3),'ORDENES'!$AB1025=TRUE),'ORDENES'!$AO1025&amp;" | "&amp;'ORDENES'!$S1025&amp;" | "&amp;IF('ORDENES'!$AC1025="","(sin técnico)",'ORDENES'!$AC1025)&amp;" | "&amp;'ORDENES'!$D1025&amp;" ("&amp;'ORDENES'!$N1025&amp;" h)","")</f>
        <v/>
      </c>
    </row>
    <row r="1030">
      <c r="K1030" s="3">
        <f>IF(AND(IF($B$3="(todos)",TRUE,'ORDENES'!$P1026=$B$3),IF($D$3="(todos)",TRUE,'ORDENES'!$AD1026=$D$3),IF($F$3="(todos)",TRUE,'ORDENES'!$W1026=$F$3),'ORDENES'!$AB1026=TRUE),'ORDENES'!$AO1026&amp;" | "&amp;'ORDENES'!$S1026&amp;" | "&amp;IF('ORDENES'!$AC1026="","(sin técnico)",'ORDENES'!$AC1026)&amp;" | "&amp;'ORDENES'!$D1026&amp;" ("&amp;'ORDENES'!$N1026&amp;" h)","")</f>
        <v/>
      </c>
    </row>
    <row r="1031">
      <c r="K1031" s="3">
        <f>IF(AND(IF($B$3="(todos)",TRUE,'ORDENES'!$P1027=$B$3),IF($D$3="(todos)",TRUE,'ORDENES'!$AD1027=$D$3),IF($F$3="(todos)",TRUE,'ORDENES'!$W1027=$F$3),'ORDENES'!$AB1027=TRUE),'ORDENES'!$AO1027&amp;" | "&amp;'ORDENES'!$S1027&amp;" | "&amp;IF('ORDENES'!$AC1027="","(sin técnico)",'ORDENES'!$AC1027)&amp;" | "&amp;'ORDENES'!$D1027&amp;" ("&amp;'ORDENES'!$N1027&amp;" h)","")</f>
        <v/>
      </c>
    </row>
    <row r="1032">
      <c r="K1032" s="3">
        <f>IF(AND(IF($B$3="(todos)",TRUE,'ORDENES'!$P1028=$B$3),IF($D$3="(todos)",TRUE,'ORDENES'!$AD1028=$D$3),IF($F$3="(todos)",TRUE,'ORDENES'!$W1028=$F$3),'ORDENES'!$AB1028=TRUE),'ORDENES'!$AO1028&amp;" | "&amp;'ORDENES'!$S1028&amp;" | "&amp;IF('ORDENES'!$AC1028="","(sin técnico)",'ORDENES'!$AC1028)&amp;" | "&amp;'ORDENES'!$D1028&amp;" ("&amp;'ORDENES'!$N1028&amp;" h)","")</f>
        <v/>
      </c>
    </row>
    <row r="1033">
      <c r="K1033" s="3">
        <f>IF(AND(IF($B$3="(todos)",TRUE,'ORDENES'!$P1029=$B$3),IF($D$3="(todos)",TRUE,'ORDENES'!$AD1029=$D$3),IF($F$3="(todos)",TRUE,'ORDENES'!$W1029=$F$3),'ORDENES'!$AB1029=TRUE),'ORDENES'!$AO1029&amp;" | "&amp;'ORDENES'!$S1029&amp;" | "&amp;IF('ORDENES'!$AC1029="","(sin técnico)",'ORDENES'!$AC1029)&amp;" | "&amp;'ORDENES'!$D1029&amp;" ("&amp;'ORDENES'!$N1029&amp;" h)","")</f>
        <v/>
      </c>
    </row>
    <row r="1034">
      <c r="K1034" s="3">
        <f>IF(AND(IF($B$3="(todos)",TRUE,'ORDENES'!$P1030=$B$3),IF($D$3="(todos)",TRUE,'ORDENES'!$AD1030=$D$3),IF($F$3="(todos)",TRUE,'ORDENES'!$W1030=$F$3),'ORDENES'!$AB1030=TRUE),'ORDENES'!$AO1030&amp;" | "&amp;'ORDENES'!$S1030&amp;" | "&amp;IF('ORDENES'!$AC1030="","(sin técnico)",'ORDENES'!$AC1030)&amp;" | "&amp;'ORDENES'!$D1030&amp;" ("&amp;'ORDENES'!$N1030&amp;" h)","")</f>
        <v/>
      </c>
    </row>
    <row r="1035">
      <c r="K1035" s="3">
        <f>IF(AND(IF($B$3="(todos)",TRUE,'ORDENES'!$P1031=$B$3),IF($D$3="(todos)",TRUE,'ORDENES'!$AD1031=$D$3),IF($F$3="(todos)",TRUE,'ORDENES'!$W1031=$F$3),'ORDENES'!$AB1031=TRUE),'ORDENES'!$AO1031&amp;" | "&amp;'ORDENES'!$S1031&amp;" | "&amp;IF('ORDENES'!$AC1031="","(sin técnico)",'ORDENES'!$AC1031)&amp;" | "&amp;'ORDENES'!$D1031&amp;" ("&amp;'ORDENES'!$N1031&amp;" h)","")</f>
        <v/>
      </c>
    </row>
    <row r="1036">
      <c r="K1036" s="3">
        <f>IF(AND(IF($B$3="(todos)",TRUE,'ORDENES'!$P1032=$B$3),IF($D$3="(todos)",TRUE,'ORDENES'!$AD1032=$D$3),IF($F$3="(todos)",TRUE,'ORDENES'!$W1032=$F$3),'ORDENES'!$AB1032=TRUE),'ORDENES'!$AO1032&amp;" | "&amp;'ORDENES'!$S1032&amp;" | "&amp;IF('ORDENES'!$AC1032="","(sin técnico)",'ORDENES'!$AC1032)&amp;" | "&amp;'ORDENES'!$D1032&amp;" ("&amp;'ORDENES'!$N1032&amp;" h)","")</f>
        <v/>
      </c>
    </row>
    <row r="1037">
      <c r="K1037" s="3">
        <f>IF(AND(IF($B$3="(todos)",TRUE,'ORDENES'!$P1033=$B$3),IF($D$3="(todos)",TRUE,'ORDENES'!$AD1033=$D$3),IF($F$3="(todos)",TRUE,'ORDENES'!$W1033=$F$3),'ORDENES'!$AB1033=TRUE),'ORDENES'!$AO1033&amp;" | "&amp;'ORDENES'!$S1033&amp;" | "&amp;IF('ORDENES'!$AC1033="","(sin técnico)",'ORDENES'!$AC1033)&amp;" | "&amp;'ORDENES'!$D1033&amp;" ("&amp;'ORDENES'!$N1033&amp;" h)","")</f>
        <v/>
      </c>
    </row>
    <row r="1038">
      <c r="K1038" s="3">
        <f>IF(AND(IF($B$3="(todos)",TRUE,'ORDENES'!$P1034=$B$3),IF($D$3="(todos)",TRUE,'ORDENES'!$AD1034=$D$3),IF($F$3="(todos)",TRUE,'ORDENES'!$W1034=$F$3),'ORDENES'!$AB1034=TRUE),'ORDENES'!$AO1034&amp;" | "&amp;'ORDENES'!$S1034&amp;" | "&amp;IF('ORDENES'!$AC1034="","(sin técnico)",'ORDENES'!$AC1034)&amp;" | "&amp;'ORDENES'!$D1034&amp;" ("&amp;'ORDENES'!$N1034&amp;" h)","")</f>
        <v/>
      </c>
    </row>
    <row r="1039">
      <c r="K1039" s="3">
        <f>IF(AND(IF($B$3="(todos)",TRUE,'ORDENES'!$P1035=$B$3),IF($D$3="(todos)",TRUE,'ORDENES'!$AD1035=$D$3),IF($F$3="(todos)",TRUE,'ORDENES'!$W1035=$F$3),'ORDENES'!$AB1035=TRUE),'ORDENES'!$AO1035&amp;" | "&amp;'ORDENES'!$S1035&amp;" | "&amp;IF('ORDENES'!$AC1035="","(sin técnico)",'ORDENES'!$AC1035)&amp;" | "&amp;'ORDENES'!$D1035&amp;" ("&amp;'ORDENES'!$N1035&amp;" h)","")</f>
        <v/>
      </c>
    </row>
    <row r="1040">
      <c r="K1040" s="3">
        <f>IF(AND(IF($B$3="(todos)",TRUE,'ORDENES'!$P1036=$B$3),IF($D$3="(todos)",TRUE,'ORDENES'!$AD1036=$D$3),IF($F$3="(todos)",TRUE,'ORDENES'!$W1036=$F$3),'ORDENES'!$AB1036=TRUE),'ORDENES'!$AO1036&amp;" | "&amp;'ORDENES'!$S1036&amp;" | "&amp;IF('ORDENES'!$AC1036="","(sin técnico)",'ORDENES'!$AC1036)&amp;" | "&amp;'ORDENES'!$D1036&amp;" ("&amp;'ORDENES'!$N1036&amp;" h)","")</f>
        <v/>
      </c>
    </row>
    <row r="1041">
      <c r="K1041" s="3">
        <f>IF(AND(IF($B$3="(todos)",TRUE,'ORDENES'!$P1037=$B$3),IF($D$3="(todos)",TRUE,'ORDENES'!$AD1037=$D$3),IF($F$3="(todos)",TRUE,'ORDENES'!$W1037=$F$3),'ORDENES'!$AB1037=TRUE),'ORDENES'!$AO1037&amp;" | "&amp;'ORDENES'!$S1037&amp;" | "&amp;IF('ORDENES'!$AC1037="","(sin técnico)",'ORDENES'!$AC1037)&amp;" | "&amp;'ORDENES'!$D1037&amp;" ("&amp;'ORDENES'!$N1037&amp;" h)","")</f>
        <v/>
      </c>
    </row>
    <row r="1042">
      <c r="K1042" s="3">
        <f>IF(AND(IF($B$3="(todos)",TRUE,'ORDENES'!$P1038=$B$3),IF($D$3="(todos)",TRUE,'ORDENES'!$AD1038=$D$3),IF($F$3="(todos)",TRUE,'ORDENES'!$W1038=$F$3),'ORDENES'!$AB1038=TRUE),'ORDENES'!$AO1038&amp;" | "&amp;'ORDENES'!$S1038&amp;" | "&amp;IF('ORDENES'!$AC1038="","(sin técnico)",'ORDENES'!$AC1038)&amp;" | "&amp;'ORDENES'!$D1038&amp;" ("&amp;'ORDENES'!$N1038&amp;" h)","")</f>
        <v/>
      </c>
    </row>
    <row r="1043">
      <c r="K1043" s="3">
        <f>IF(AND(IF($B$3="(todos)",TRUE,'ORDENES'!$P1039=$B$3),IF($D$3="(todos)",TRUE,'ORDENES'!$AD1039=$D$3),IF($F$3="(todos)",TRUE,'ORDENES'!$W1039=$F$3),'ORDENES'!$AB1039=TRUE),'ORDENES'!$AO1039&amp;" | "&amp;'ORDENES'!$S1039&amp;" | "&amp;IF('ORDENES'!$AC1039="","(sin técnico)",'ORDENES'!$AC1039)&amp;" | "&amp;'ORDENES'!$D1039&amp;" ("&amp;'ORDENES'!$N1039&amp;" h)","")</f>
        <v/>
      </c>
    </row>
    <row r="1044">
      <c r="K1044" s="3">
        <f>IF(AND(IF($B$3="(todos)",TRUE,'ORDENES'!$P1040=$B$3),IF($D$3="(todos)",TRUE,'ORDENES'!$AD1040=$D$3),IF($F$3="(todos)",TRUE,'ORDENES'!$W1040=$F$3),'ORDENES'!$AB1040=TRUE),'ORDENES'!$AO1040&amp;" | "&amp;'ORDENES'!$S1040&amp;" | "&amp;IF('ORDENES'!$AC1040="","(sin técnico)",'ORDENES'!$AC1040)&amp;" | "&amp;'ORDENES'!$D1040&amp;" ("&amp;'ORDENES'!$N1040&amp;" h)","")</f>
        <v/>
      </c>
    </row>
    <row r="1045">
      <c r="K1045" s="3">
        <f>IF(AND(IF($B$3="(todos)",TRUE,'ORDENES'!$P1041=$B$3),IF($D$3="(todos)",TRUE,'ORDENES'!$AD1041=$D$3),IF($F$3="(todos)",TRUE,'ORDENES'!$W1041=$F$3),'ORDENES'!$AB1041=TRUE),'ORDENES'!$AO1041&amp;" | "&amp;'ORDENES'!$S1041&amp;" | "&amp;IF('ORDENES'!$AC1041="","(sin técnico)",'ORDENES'!$AC1041)&amp;" | "&amp;'ORDENES'!$D1041&amp;" ("&amp;'ORDENES'!$N1041&amp;" h)","")</f>
        <v/>
      </c>
    </row>
    <row r="1046">
      <c r="K1046" s="3">
        <f>IF(AND(IF($B$3="(todos)",TRUE,'ORDENES'!$P1042=$B$3),IF($D$3="(todos)",TRUE,'ORDENES'!$AD1042=$D$3),IF($F$3="(todos)",TRUE,'ORDENES'!$W1042=$F$3),'ORDENES'!$AB1042=TRUE),'ORDENES'!$AO1042&amp;" | "&amp;'ORDENES'!$S1042&amp;" | "&amp;IF('ORDENES'!$AC1042="","(sin técnico)",'ORDENES'!$AC1042)&amp;" | "&amp;'ORDENES'!$D1042&amp;" ("&amp;'ORDENES'!$N1042&amp;" h)","")</f>
        <v/>
      </c>
    </row>
    <row r="1047">
      <c r="K1047" s="3">
        <f>IF(AND(IF($B$3="(todos)",TRUE,'ORDENES'!$P1043=$B$3),IF($D$3="(todos)",TRUE,'ORDENES'!$AD1043=$D$3),IF($F$3="(todos)",TRUE,'ORDENES'!$W1043=$F$3),'ORDENES'!$AB1043=TRUE),'ORDENES'!$AO1043&amp;" | "&amp;'ORDENES'!$S1043&amp;" | "&amp;IF('ORDENES'!$AC1043="","(sin técnico)",'ORDENES'!$AC1043)&amp;" | "&amp;'ORDENES'!$D1043&amp;" ("&amp;'ORDENES'!$N1043&amp;" h)","")</f>
        <v/>
      </c>
    </row>
    <row r="1048">
      <c r="K1048" s="3">
        <f>IF(AND(IF($B$3="(todos)",TRUE,'ORDENES'!$P1044=$B$3),IF($D$3="(todos)",TRUE,'ORDENES'!$AD1044=$D$3),IF($F$3="(todos)",TRUE,'ORDENES'!$W1044=$F$3),'ORDENES'!$AB1044=TRUE),'ORDENES'!$AO1044&amp;" | "&amp;'ORDENES'!$S1044&amp;" | "&amp;IF('ORDENES'!$AC1044="","(sin técnico)",'ORDENES'!$AC1044)&amp;" | "&amp;'ORDENES'!$D1044&amp;" ("&amp;'ORDENES'!$N1044&amp;" h)","")</f>
        <v/>
      </c>
    </row>
    <row r="1049">
      <c r="K1049" s="3">
        <f>IF(AND(IF($B$3="(todos)",TRUE,'ORDENES'!$P1045=$B$3),IF($D$3="(todos)",TRUE,'ORDENES'!$AD1045=$D$3),IF($F$3="(todos)",TRUE,'ORDENES'!$W1045=$F$3),'ORDENES'!$AB1045=TRUE),'ORDENES'!$AO1045&amp;" | "&amp;'ORDENES'!$S1045&amp;" | "&amp;IF('ORDENES'!$AC1045="","(sin técnico)",'ORDENES'!$AC1045)&amp;" | "&amp;'ORDENES'!$D1045&amp;" ("&amp;'ORDENES'!$N1045&amp;" h)","")</f>
        <v/>
      </c>
    </row>
    <row r="1050">
      <c r="K1050" s="3">
        <f>IF(AND(IF($B$3="(todos)",TRUE,'ORDENES'!$P1046=$B$3),IF($D$3="(todos)",TRUE,'ORDENES'!$AD1046=$D$3),IF($F$3="(todos)",TRUE,'ORDENES'!$W1046=$F$3),'ORDENES'!$AB1046=TRUE),'ORDENES'!$AO1046&amp;" | "&amp;'ORDENES'!$S1046&amp;" | "&amp;IF('ORDENES'!$AC1046="","(sin técnico)",'ORDENES'!$AC1046)&amp;" | "&amp;'ORDENES'!$D1046&amp;" ("&amp;'ORDENES'!$N1046&amp;" h)","")</f>
        <v/>
      </c>
    </row>
    <row r="1051">
      <c r="K1051" s="3">
        <f>IF(AND(IF($B$3="(todos)",TRUE,'ORDENES'!$P1047=$B$3),IF($D$3="(todos)",TRUE,'ORDENES'!$AD1047=$D$3),IF($F$3="(todos)",TRUE,'ORDENES'!$W1047=$F$3),'ORDENES'!$AB1047=TRUE),'ORDENES'!$AO1047&amp;" | "&amp;'ORDENES'!$S1047&amp;" | "&amp;IF('ORDENES'!$AC1047="","(sin técnico)",'ORDENES'!$AC1047)&amp;" | "&amp;'ORDENES'!$D1047&amp;" ("&amp;'ORDENES'!$N1047&amp;" h)","")</f>
        <v/>
      </c>
    </row>
    <row r="1052">
      <c r="K1052" s="3">
        <f>IF(AND(IF($B$3="(todos)",TRUE,'ORDENES'!$P1048=$B$3),IF($D$3="(todos)",TRUE,'ORDENES'!$AD1048=$D$3),IF($F$3="(todos)",TRUE,'ORDENES'!$W1048=$F$3),'ORDENES'!$AB1048=TRUE),'ORDENES'!$AO1048&amp;" | "&amp;'ORDENES'!$S1048&amp;" | "&amp;IF('ORDENES'!$AC1048="","(sin técnico)",'ORDENES'!$AC1048)&amp;" | "&amp;'ORDENES'!$D1048&amp;" ("&amp;'ORDENES'!$N1048&amp;" h)","")</f>
        <v/>
      </c>
    </row>
    <row r="1053">
      <c r="K1053" s="3">
        <f>IF(AND(IF($B$3="(todos)",TRUE,'ORDENES'!$P1049=$B$3),IF($D$3="(todos)",TRUE,'ORDENES'!$AD1049=$D$3),IF($F$3="(todos)",TRUE,'ORDENES'!$W1049=$F$3),'ORDENES'!$AB1049=TRUE),'ORDENES'!$AO1049&amp;" | "&amp;'ORDENES'!$S1049&amp;" | "&amp;IF('ORDENES'!$AC1049="","(sin técnico)",'ORDENES'!$AC1049)&amp;" | "&amp;'ORDENES'!$D1049&amp;" ("&amp;'ORDENES'!$N1049&amp;" h)","")</f>
        <v/>
      </c>
    </row>
    <row r="1054">
      <c r="K1054" s="3">
        <f>IF(AND(IF($B$3="(todos)",TRUE,'ORDENES'!$P1050=$B$3),IF($D$3="(todos)",TRUE,'ORDENES'!$AD1050=$D$3),IF($F$3="(todos)",TRUE,'ORDENES'!$W1050=$F$3),'ORDENES'!$AB1050=TRUE),'ORDENES'!$AO1050&amp;" | "&amp;'ORDENES'!$S1050&amp;" | "&amp;IF('ORDENES'!$AC1050="","(sin técnico)",'ORDENES'!$AC1050)&amp;" | "&amp;'ORDENES'!$D1050&amp;" ("&amp;'ORDENES'!$N1050&amp;" h)","")</f>
        <v/>
      </c>
    </row>
    <row r="1055">
      <c r="K1055" s="3">
        <f>IF(AND(IF($B$3="(todos)",TRUE,'ORDENES'!$P1051=$B$3),IF($D$3="(todos)",TRUE,'ORDENES'!$AD1051=$D$3),IF($F$3="(todos)",TRUE,'ORDENES'!$W1051=$F$3),'ORDENES'!$AB1051=TRUE),'ORDENES'!$AO1051&amp;" | "&amp;'ORDENES'!$S1051&amp;" | "&amp;IF('ORDENES'!$AC1051="","(sin técnico)",'ORDENES'!$AC1051)&amp;" | "&amp;'ORDENES'!$D1051&amp;" ("&amp;'ORDENES'!$N1051&amp;" h)","")</f>
        <v/>
      </c>
    </row>
    <row r="1056">
      <c r="K1056" s="3">
        <f>IF(AND(IF($B$3="(todos)",TRUE,'ORDENES'!$P1052=$B$3),IF($D$3="(todos)",TRUE,'ORDENES'!$AD1052=$D$3),IF($F$3="(todos)",TRUE,'ORDENES'!$W1052=$F$3),'ORDENES'!$AB1052=TRUE),'ORDENES'!$AO1052&amp;" | "&amp;'ORDENES'!$S1052&amp;" | "&amp;IF('ORDENES'!$AC1052="","(sin técnico)",'ORDENES'!$AC1052)&amp;" | "&amp;'ORDENES'!$D1052&amp;" ("&amp;'ORDENES'!$N1052&amp;" h)","")</f>
        <v/>
      </c>
    </row>
    <row r="1057">
      <c r="K1057" s="3">
        <f>IF(AND(IF($B$3="(todos)",TRUE,'ORDENES'!$P1053=$B$3),IF($D$3="(todos)",TRUE,'ORDENES'!$AD1053=$D$3),IF($F$3="(todos)",TRUE,'ORDENES'!$W1053=$F$3),'ORDENES'!$AB1053=TRUE),'ORDENES'!$AO1053&amp;" | "&amp;'ORDENES'!$S1053&amp;" | "&amp;IF('ORDENES'!$AC1053="","(sin técnico)",'ORDENES'!$AC1053)&amp;" | "&amp;'ORDENES'!$D1053&amp;" ("&amp;'ORDENES'!$N1053&amp;" h)","")</f>
        <v/>
      </c>
    </row>
    <row r="1058">
      <c r="K1058" s="3">
        <f>IF(AND(IF($B$3="(todos)",TRUE,'ORDENES'!$P1054=$B$3),IF($D$3="(todos)",TRUE,'ORDENES'!$AD1054=$D$3),IF($F$3="(todos)",TRUE,'ORDENES'!$W1054=$F$3),'ORDENES'!$AB1054=TRUE),'ORDENES'!$AO1054&amp;" | "&amp;'ORDENES'!$S1054&amp;" | "&amp;IF('ORDENES'!$AC1054="","(sin técnico)",'ORDENES'!$AC1054)&amp;" | "&amp;'ORDENES'!$D1054&amp;" ("&amp;'ORDENES'!$N1054&amp;" h)","")</f>
        <v/>
      </c>
    </row>
    <row r="1059">
      <c r="K1059" s="3">
        <f>IF(AND(IF($B$3="(todos)",TRUE,'ORDENES'!$P1055=$B$3),IF($D$3="(todos)",TRUE,'ORDENES'!$AD1055=$D$3),IF($F$3="(todos)",TRUE,'ORDENES'!$W1055=$F$3),'ORDENES'!$AB1055=TRUE),'ORDENES'!$AO1055&amp;" | "&amp;'ORDENES'!$S1055&amp;" | "&amp;IF('ORDENES'!$AC1055="","(sin técnico)",'ORDENES'!$AC1055)&amp;" | "&amp;'ORDENES'!$D1055&amp;" ("&amp;'ORDENES'!$N1055&amp;" h)","")</f>
        <v/>
      </c>
    </row>
    <row r="1060">
      <c r="K1060" s="3">
        <f>IF(AND(IF($B$3="(todos)",TRUE,'ORDENES'!$P1056=$B$3),IF($D$3="(todos)",TRUE,'ORDENES'!$AD1056=$D$3),IF($F$3="(todos)",TRUE,'ORDENES'!$W1056=$F$3),'ORDENES'!$AB1056=TRUE),'ORDENES'!$AO1056&amp;" | "&amp;'ORDENES'!$S1056&amp;" | "&amp;IF('ORDENES'!$AC1056="","(sin técnico)",'ORDENES'!$AC1056)&amp;" | "&amp;'ORDENES'!$D1056&amp;" ("&amp;'ORDENES'!$N1056&amp;" h)","")</f>
        <v/>
      </c>
    </row>
    <row r="1061">
      <c r="K1061" s="3">
        <f>IF(AND(IF($B$3="(todos)",TRUE,'ORDENES'!$P1057=$B$3),IF($D$3="(todos)",TRUE,'ORDENES'!$AD1057=$D$3),IF($F$3="(todos)",TRUE,'ORDENES'!$W1057=$F$3),'ORDENES'!$AB1057=TRUE),'ORDENES'!$AO1057&amp;" | "&amp;'ORDENES'!$S1057&amp;" | "&amp;IF('ORDENES'!$AC1057="","(sin técnico)",'ORDENES'!$AC1057)&amp;" | "&amp;'ORDENES'!$D1057&amp;" ("&amp;'ORDENES'!$N1057&amp;" h)","")</f>
        <v/>
      </c>
    </row>
    <row r="1062">
      <c r="K1062" s="3">
        <f>IF(AND(IF($B$3="(todos)",TRUE,'ORDENES'!$P1058=$B$3),IF($D$3="(todos)",TRUE,'ORDENES'!$AD1058=$D$3),IF($F$3="(todos)",TRUE,'ORDENES'!$W1058=$F$3),'ORDENES'!$AB1058=TRUE),'ORDENES'!$AO1058&amp;" | "&amp;'ORDENES'!$S1058&amp;" | "&amp;IF('ORDENES'!$AC1058="","(sin técnico)",'ORDENES'!$AC1058)&amp;" | "&amp;'ORDENES'!$D1058&amp;" ("&amp;'ORDENES'!$N1058&amp;" h)","")</f>
        <v/>
      </c>
    </row>
    <row r="1063">
      <c r="K1063" s="3">
        <f>IF(AND(IF($B$3="(todos)",TRUE,'ORDENES'!$P1059=$B$3),IF($D$3="(todos)",TRUE,'ORDENES'!$AD1059=$D$3),IF($F$3="(todos)",TRUE,'ORDENES'!$W1059=$F$3),'ORDENES'!$AB1059=TRUE),'ORDENES'!$AO1059&amp;" | "&amp;'ORDENES'!$S1059&amp;" | "&amp;IF('ORDENES'!$AC1059="","(sin técnico)",'ORDENES'!$AC1059)&amp;" | "&amp;'ORDENES'!$D1059&amp;" ("&amp;'ORDENES'!$N1059&amp;" h)","")</f>
        <v/>
      </c>
    </row>
    <row r="1064">
      <c r="K1064" s="3">
        <f>IF(AND(IF($B$3="(todos)",TRUE,'ORDENES'!$P1060=$B$3),IF($D$3="(todos)",TRUE,'ORDENES'!$AD1060=$D$3),IF($F$3="(todos)",TRUE,'ORDENES'!$W1060=$F$3),'ORDENES'!$AB1060=TRUE),'ORDENES'!$AO1060&amp;" | "&amp;'ORDENES'!$S1060&amp;" | "&amp;IF('ORDENES'!$AC1060="","(sin técnico)",'ORDENES'!$AC1060)&amp;" | "&amp;'ORDENES'!$D1060&amp;" ("&amp;'ORDENES'!$N1060&amp;" h)","")</f>
        <v/>
      </c>
    </row>
    <row r="1065">
      <c r="K1065" s="3">
        <f>IF(AND(IF($B$3="(todos)",TRUE,'ORDENES'!$P1061=$B$3),IF($D$3="(todos)",TRUE,'ORDENES'!$AD1061=$D$3),IF($F$3="(todos)",TRUE,'ORDENES'!$W1061=$F$3),'ORDENES'!$AB1061=TRUE),'ORDENES'!$AO1061&amp;" | "&amp;'ORDENES'!$S1061&amp;" | "&amp;IF('ORDENES'!$AC1061="","(sin técnico)",'ORDENES'!$AC1061)&amp;" | "&amp;'ORDENES'!$D1061&amp;" ("&amp;'ORDENES'!$N1061&amp;" h)","")</f>
        <v/>
      </c>
    </row>
    <row r="1066">
      <c r="K1066" s="3">
        <f>IF(AND(IF($B$3="(todos)",TRUE,'ORDENES'!$P1062=$B$3),IF($D$3="(todos)",TRUE,'ORDENES'!$AD1062=$D$3),IF($F$3="(todos)",TRUE,'ORDENES'!$W1062=$F$3),'ORDENES'!$AB1062=TRUE),'ORDENES'!$AO1062&amp;" | "&amp;'ORDENES'!$S1062&amp;" | "&amp;IF('ORDENES'!$AC1062="","(sin técnico)",'ORDENES'!$AC1062)&amp;" | "&amp;'ORDENES'!$D1062&amp;" ("&amp;'ORDENES'!$N1062&amp;" h)","")</f>
        <v/>
      </c>
    </row>
    <row r="1067">
      <c r="K1067" s="3">
        <f>IF(AND(IF($B$3="(todos)",TRUE,'ORDENES'!$P1063=$B$3),IF($D$3="(todos)",TRUE,'ORDENES'!$AD1063=$D$3),IF($F$3="(todos)",TRUE,'ORDENES'!$W1063=$F$3),'ORDENES'!$AB1063=TRUE),'ORDENES'!$AO1063&amp;" | "&amp;'ORDENES'!$S1063&amp;" | "&amp;IF('ORDENES'!$AC1063="","(sin técnico)",'ORDENES'!$AC1063)&amp;" | "&amp;'ORDENES'!$D1063&amp;" ("&amp;'ORDENES'!$N1063&amp;" h)","")</f>
        <v/>
      </c>
    </row>
    <row r="1068">
      <c r="K1068" s="3">
        <f>IF(AND(IF($B$3="(todos)",TRUE,'ORDENES'!$P1064=$B$3),IF($D$3="(todos)",TRUE,'ORDENES'!$AD1064=$D$3),IF($F$3="(todos)",TRUE,'ORDENES'!$W1064=$F$3),'ORDENES'!$AB1064=TRUE),'ORDENES'!$AO1064&amp;" | "&amp;'ORDENES'!$S1064&amp;" | "&amp;IF('ORDENES'!$AC1064="","(sin técnico)",'ORDENES'!$AC1064)&amp;" | "&amp;'ORDENES'!$D1064&amp;" ("&amp;'ORDENES'!$N1064&amp;" h)","")</f>
        <v/>
      </c>
    </row>
    <row r="1069">
      <c r="K1069" s="3">
        <f>IF(AND(IF($B$3="(todos)",TRUE,'ORDENES'!$P1065=$B$3),IF($D$3="(todos)",TRUE,'ORDENES'!$AD1065=$D$3),IF($F$3="(todos)",TRUE,'ORDENES'!$W1065=$F$3),'ORDENES'!$AB1065=TRUE),'ORDENES'!$AO1065&amp;" | "&amp;'ORDENES'!$S1065&amp;" | "&amp;IF('ORDENES'!$AC1065="","(sin técnico)",'ORDENES'!$AC1065)&amp;" | "&amp;'ORDENES'!$D1065&amp;" ("&amp;'ORDENES'!$N1065&amp;" h)","")</f>
        <v/>
      </c>
    </row>
    <row r="1070">
      <c r="K1070" s="3">
        <f>IF(AND(IF($B$3="(todos)",TRUE,'ORDENES'!$P1066=$B$3),IF($D$3="(todos)",TRUE,'ORDENES'!$AD1066=$D$3),IF($F$3="(todos)",TRUE,'ORDENES'!$W1066=$F$3),'ORDENES'!$AB1066=TRUE),'ORDENES'!$AO1066&amp;" | "&amp;'ORDENES'!$S1066&amp;" | "&amp;IF('ORDENES'!$AC1066="","(sin técnico)",'ORDENES'!$AC1066)&amp;" | "&amp;'ORDENES'!$D1066&amp;" ("&amp;'ORDENES'!$N1066&amp;" h)","")</f>
        <v/>
      </c>
    </row>
    <row r="1071">
      <c r="K1071" s="3">
        <f>IF(AND(IF($B$3="(todos)",TRUE,'ORDENES'!$P1067=$B$3),IF($D$3="(todos)",TRUE,'ORDENES'!$AD1067=$D$3),IF($F$3="(todos)",TRUE,'ORDENES'!$W1067=$F$3),'ORDENES'!$AB1067=TRUE),'ORDENES'!$AO1067&amp;" | "&amp;'ORDENES'!$S1067&amp;" | "&amp;IF('ORDENES'!$AC1067="","(sin técnico)",'ORDENES'!$AC1067)&amp;" | "&amp;'ORDENES'!$D1067&amp;" ("&amp;'ORDENES'!$N1067&amp;" h)","")</f>
        <v/>
      </c>
    </row>
    <row r="1072">
      <c r="K1072" s="3">
        <f>IF(AND(IF($B$3="(todos)",TRUE,'ORDENES'!$P1068=$B$3),IF($D$3="(todos)",TRUE,'ORDENES'!$AD1068=$D$3),IF($F$3="(todos)",TRUE,'ORDENES'!$W1068=$F$3),'ORDENES'!$AB1068=TRUE),'ORDENES'!$AO1068&amp;" | "&amp;'ORDENES'!$S1068&amp;" | "&amp;IF('ORDENES'!$AC1068="","(sin técnico)",'ORDENES'!$AC1068)&amp;" | "&amp;'ORDENES'!$D1068&amp;" ("&amp;'ORDENES'!$N1068&amp;" h)","")</f>
        <v/>
      </c>
    </row>
    <row r="1073">
      <c r="K1073" s="3">
        <f>IF(AND(IF($B$3="(todos)",TRUE,'ORDENES'!$P1069=$B$3),IF($D$3="(todos)",TRUE,'ORDENES'!$AD1069=$D$3),IF($F$3="(todos)",TRUE,'ORDENES'!$W1069=$F$3),'ORDENES'!$AB1069=TRUE),'ORDENES'!$AO1069&amp;" | "&amp;'ORDENES'!$S1069&amp;" | "&amp;IF('ORDENES'!$AC1069="","(sin técnico)",'ORDENES'!$AC1069)&amp;" | "&amp;'ORDENES'!$D1069&amp;" ("&amp;'ORDENES'!$N1069&amp;" h)","")</f>
        <v/>
      </c>
    </row>
    <row r="1074">
      <c r="K1074" s="3">
        <f>IF(AND(IF($B$3="(todos)",TRUE,'ORDENES'!$P1070=$B$3),IF($D$3="(todos)",TRUE,'ORDENES'!$AD1070=$D$3),IF($F$3="(todos)",TRUE,'ORDENES'!$W1070=$F$3),'ORDENES'!$AB1070=TRUE),'ORDENES'!$AO1070&amp;" | "&amp;'ORDENES'!$S1070&amp;" | "&amp;IF('ORDENES'!$AC1070="","(sin técnico)",'ORDENES'!$AC1070)&amp;" | "&amp;'ORDENES'!$D1070&amp;" ("&amp;'ORDENES'!$N1070&amp;" h)","")</f>
        <v/>
      </c>
    </row>
    <row r="1075">
      <c r="K1075" s="3">
        <f>IF(AND(IF($B$3="(todos)",TRUE,'ORDENES'!$P1071=$B$3),IF($D$3="(todos)",TRUE,'ORDENES'!$AD1071=$D$3),IF($F$3="(todos)",TRUE,'ORDENES'!$W1071=$F$3),'ORDENES'!$AB1071=TRUE),'ORDENES'!$AO1071&amp;" | "&amp;'ORDENES'!$S1071&amp;" | "&amp;IF('ORDENES'!$AC1071="","(sin técnico)",'ORDENES'!$AC1071)&amp;" | "&amp;'ORDENES'!$D1071&amp;" ("&amp;'ORDENES'!$N1071&amp;" h)","")</f>
        <v/>
      </c>
    </row>
    <row r="1076">
      <c r="K1076" s="3">
        <f>IF(AND(IF($B$3="(todos)",TRUE,'ORDENES'!$P1072=$B$3),IF($D$3="(todos)",TRUE,'ORDENES'!$AD1072=$D$3),IF($F$3="(todos)",TRUE,'ORDENES'!$W1072=$F$3),'ORDENES'!$AB1072=TRUE),'ORDENES'!$AO1072&amp;" | "&amp;'ORDENES'!$S1072&amp;" | "&amp;IF('ORDENES'!$AC1072="","(sin técnico)",'ORDENES'!$AC1072)&amp;" | "&amp;'ORDENES'!$D1072&amp;" ("&amp;'ORDENES'!$N1072&amp;" h)","")</f>
        <v/>
      </c>
    </row>
    <row r="1077">
      <c r="K1077" s="3">
        <f>IF(AND(IF($B$3="(todos)",TRUE,'ORDENES'!$P1073=$B$3),IF($D$3="(todos)",TRUE,'ORDENES'!$AD1073=$D$3),IF($F$3="(todos)",TRUE,'ORDENES'!$W1073=$F$3),'ORDENES'!$AB1073=TRUE),'ORDENES'!$AO1073&amp;" | "&amp;'ORDENES'!$S1073&amp;" | "&amp;IF('ORDENES'!$AC1073="","(sin técnico)",'ORDENES'!$AC1073)&amp;" | "&amp;'ORDENES'!$D1073&amp;" ("&amp;'ORDENES'!$N1073&amp;" h)","")</f>
        <v/>
      </c>
    </row>
    <row r="1078">
      <c r="K1078" s="3">
        <f>IF(AND(IF($B$3="(todos)",TRUE,'ORDENES'!$P1074=$B$3),IF($D$3="(todos)",TRUE,'ORDENES'!$AD1074=$D$3),IF($F$3="(todos)",TRUE,'ORDENES'!$W1074=$F$3),'ORDENES'!$AB1074=TRUE),'ORDENES'!$AO1074&amp;" | "&amp;'ORDENES'!$S1074&amp;" | "&amp;IF('ORDENES'!$AC1074="","(sin técnico)",'ORDENES'!$AC1074)&amp;" | "&amp;'ORDENES'!$D1074&amp;" ("&amp;'ORDENES'!$N1074&amp;" h)","")</f>
        <v/>
      </c>
    </row>
    <row r="1079">
      <c r="K1079" s="3">
        <f>IF(AND(IF($B$3="(todos)",TRUE,'ORDENES'!$P1075=$B$3),IF($D$3="(todos)",TRUE,'ORDENES'!$AD1075=$D$3),IF($F$3="(todos)",TRUE,'ORDENES'!$W1075=$F$3),'ORDENES'!$AB1075=TRUE),'ORDENES'!$AO1075&amp;" | "&amp;'ORDENES'!$S1075&amp;" | "&amp;IF('ORDENES'!$AC1075="","(sin técnico)",'ORDENES'!$AC1075)&amp;" | "&amp;'ORDENES'!$D1075&amp;" ("&amp;'ORDENES'!$N1075&amp;" h)","")</f>
        <v/>
      </c>
    </row>
    <row r="1080">
      <c r="K1080" s="3">
        <f>IF(AND(IF($B$3="(todos)",TRUE,'ORDENES'!$P1076=$B$3),IF($D$3="(todos)",TRUE,'ORDENES'!$AD1076=$D$3),IF($F$3="(todos)",TRUE,'ORDENES'!$W1076=$F$3),'ORDENES'!$AB1076=TRUE),'ORDENES'!$AO1076&amp;" | "&amp;'ORDENES'!$S1076&amp;" | "&amp;IF('ORDENES'!$AC1076="","(sin técnico)",'ORDENES'!$AC1076)&amp;" | "&amp;'ORDENES'!$D1076&amp;" ("&amp;'ORDENES'!$N1076&amp;" h)","")</f>
        <v/>
      </c>
    </row>
    <row r="1081">
      <c r="K1081" s="3">
        <f>IF(AND(IF($B$3="(todos)",TRUE,'ORDENES'!$P1077=$B$3),IF($D$3="(todos)",TRUE,'ORDENES'!$AD1077=$D$3),IF($F$3="(todos)",TRUE,'ORDENES'!$W1077=$F$3),'ORDENES'!$AB1077=TRUE),'ORDENES'!$AO1077&amp;" | "&amp;'ORDENES'!$S1077&amp;" | "&amp;IF('ORDENES'!$AC1077="","(sin técnico)",'ORDENES'!$AC1077)&amp;" | "&amp;'ORDENES'!$D1077&amp;" ("&amp;'ORDENES'!$N1077&amp;" h)","")</f>
        <v/>
      </c>
    </row>
    <row r="1082">
      <c r="K1082" s="3">
        <f>IF(AND(IF($B$3="(todos)",TRUE,'ORDENES'!$P1078=$B$3),IF($D$3="(todos)",TRUE,'ORDENES'!$AD1078=$D$3),IF($F$3="(todos)",TRUE,'ORDENES'!$W1078=$F$3),'ORDENES'!$AB1078=TRUE),'ORDENES'!$AO1078&amp;" | "&amp;'ORDENES'!$S1078&amp;" | "&amp;IF('ORDENES'!$AC1078="","(sin técnico)",'ORDENES'!$AC1078)&amp;" | "&amp;'ORDENES'!$D1078&amp;" ("&amp;'ORDENES'!$N1078&amp;" h)","")</f>
        <v/>
      </c>
    </row>
    <row r="1083">
      <c r="K1083" s="3">
        <f>IF(AND(IF($B$3="(todos)",TRUE,'ORDENES'!$P1079=$B$3),IF($D$3="(todos)",TRUE,'ORDENES'!$AD1079=$D$3),IF($F$3="(todos)",TRUE,'ORDENES'!$W1079=$F$3),'ORDENES'!$AB1079=TRUE),'ORDENES'!$AO1079&amp;" | "&amp;'ORDENES'!$S1079&amp;" | "&amp;IF('ORDENES'!$AC1079="","(sin técnico)",'ORDENES'!$AC1079)&amp;" | "&amp;'ORDENES'!$D1079&amp;" ("&amp;'ORDENES'!$N1079&amp;" h)","")</f>
        <v/>
      </c>
    </row>
    <row r="1084">
      <c r="K1084" s="3">
        <f>IF(AND(IF($B$3="(todos)",TRUE,'ORDENES'!$P1080=$B$3),IF($D$3="(todos)",TRUE,'ORDENES'!$AD1080=$D$3),IF($F$3="(todos)",TRUE,'ORDENES'!$W1080=$F$3),'ORDENES'!$AB1080=TRUE),'ORDENES'!$AO1080&amp;" | "&amp;'ORDENES'!$S1080&amp;" | "&amp;IF('ORDENES'!$AC1080="","(sin técnico)",'ORDENES'!$AC1080)&amp;" | "&amp;'ORDENES'!$D1080&amp;" ("&amp;'ORDENES'!$N1080&amp;" h)","")</f>
        <v/>
      </c>
    </row>
    <row r="1085">
      <c r="K1085" s="3">
        <f>IF(AND(IF($B$3="(todos)",TRUE,'ORDENES'!$P1081=$B$3),IF($D$3="(todos)",TRUE,'ORDENES'!$AD1081=$D$3),IF($F$3="(todos)",TRUE,'ORDENES'!$W1081=$F$3),'ORDENES'!$AB1081=TRUE),'ORDENES'!$AO1081&amp;" | "&amp;'ORDENES'!$S1081&amp;" | "&amp;IF('ORDENES'!$AC1081="","(sin técnico)",'ORDENES'!$AC1081)&amp;" | "&amp;'ORDENES'!$D1081&amp;" ("&amp;'ORDENES'!$N1081&amp;" h)","")</f>
        <v/>
      </c>
    </row>
    <row r="1086">
      <c r="K1086" s="3">
        <f>IF(AND(IF($B$3="(todos)",TRUE,'ORDENES'!$P1082=$B$3),IF($D$3="(todos)",TRUE,'ORDENES'!$AD1082=$D$3),IF($F$3="(todos)",TRUE,'ORDENES'!$W1082=$F$3),'ORDENES'!$AB1082=TRUE),'ORDENES'!$AO1082&amp;" | "&amp;'ORDENES'!$S1082&amp;" | "&amp;IF('ORDENES'!$AC1082="","(sin técnico)",'ORDENES'!$AC1082)&amp;" | "&amp;'ORDENES'!$D1082&amp;" ("&amp;'ORDENES'!$N1082&amp;" h)","")</f>
        <v/>
      </c>
    </row>
    <row r="1087">
      <c r="K1087" s="3">
        <f>IF(AND(IF($B$3="(todos)",TRUE,'ORDENES'!$P1083=$B$3),IF($D$3="(todos)",TRUE,'ORDENES'!$AD1083=$D$3),IF($F$3="(todos)",TRUE,'ORDENES'!$W1083=$F$3),'ORDENES'!$AB1083=TRUE),'ORDENES'!$AO1083&amp;" | "&amp;'ORDENES'!$S1083&amp;" | "&amp;IF('ORDENES'!$AC1083="","(sin técnico)",'ORDENES'!$AC1083)&amp;" | "&amp;'ORDENES'!$D1083&amp;" ("&amp;'ORDENES'!$N1083&amp;" h)","")</f>
        <v/>
      </c>
    </row>
    <row r="1088">
      <c r="K1088" s="3">
        <f>IF(AND(IF($B$3="(todos)",TRUE,'ORDENES'!$P1084=$B$3),IF($D$3="(todos)",TRUE,'ORDENES'!$AD1084=$D$3),IF($F$3="(todos)",TRUE,'ORDENES'!$W1084=$F$3),'ORDENES'!$AB1084=TRUE),'ORDENES'!$AO1084&amp;" | "&amp;'ORDENES'!$S1084&amp;" | "&amp;IF('ORDENES'!$AC1084="","(sin técnico)",'ORDENES'!$AC1084)&amp;" | "&amp;'ORDENES'!$D1084&amp;" ("&amp;'ORDENES'!$N1084&amp;" h)","")</f>
        <v/>
      </c>
    </row>
    <row r="1089">
      <c r="K1089" s="3">
        <f>IF(AND(IF($B$3="(todos)",TRUE,'ORDENES'!$P1085=$B$3),IF($D$3="(todos)",TRUE,'ORDENES'!$AD1085=$D$3),IF($F$3="(todos)",TRUE,'ORDENES'!$W1085=$F$3),'ORDENES'!$AB1085=TRUE),'ORDENES'!$AO1085&amp;" | "&amp;'ORDENES'!$S1085&amp;" | "&amp;IF('ORDENES'!$AC1085="","(sin técnico)",'ORDENES'!$AC1085)&amp;" | "&amp;'ORDENES'!$D1085&amp;" ("&amp;'ORDENES'!$N1085&amp;" h)","")</f>
        <v/>
      </c>
    </row>
    <row r="1090">
      <c r="K1090" s="3">
        <f>IF(AND(IF($B$3="(todos)",TRUE,'ORDENES'!$P1086=$B$3),IF($D$3="(todos)",TRUE,'ORDENES'!$AD1086=$D$3),IF($F$3="(todos)",TRUE,'ORDENES'!$W1086=$F$3),'ORDENES'!$AB1086=TRUE),'ORDENES'!$AO1086&amp;" | "&amp;'ORDENES'!$S1086&amp;" | "&amp;IF('ORDENES'!$AC1086="","(sin técnico)",'ORDENES'!$AC1086)&amp;" | "&amp;'ORDENES'!$D1086&amp;" ("&amp;'ORDENES'!$N1086&amp;" h)","")</f>
        <v/>
      </c>
    </row>
    <row r="1091">
      <c r="K1091" s="3">
        <f>IF(AND(IF($B$3="(todos)",TRUE,'ORDENES'!$P1087=$B$3),IF($D$3="(todos)",TRUE,'ORDENES'!$AD1087=$D$3),IF($F$3="(todos)",TRUE,'ORDENES'!$W1087=$F$3),'ORDENES'!$AB1087=TRUE),'ORDENES'!$AO1087&amp;" | "&amp;'ORDENES'!$S1087&amp;" | "&amp;IF('ORDENES'!$AC1087="","(sin técnico)",'ORDENES'!$AC1087)&amp;" | "&amp;'ORDENES'!$D1087&amp;" ("&amp;'ORDENES'!$N1087&amp;" h)","")</f>
        <v/>
      </c>
    </row>
    <row r="1092">
      <c r="K1092" s="3">
        <f>IF(AND(IF($B$3="(todos)",TRUE,'ORDENES'!$P1088=$B$3),IF($D$3="(todos)",TRUE,'ORDENES'!$AD1088=$D$3),IF($F$3="(todos)",TRUE,'ORDENES'!$W1088=$F$3),'ORDENES'!$AB1088=TRUE),'ORDENES'!$AO1088&amp;" | "&amp;'ORDENES'!$S1088&amp;" | "&amp;IF('ORDENES'!$AC1088="","(sin técnico)",'ORDENES'!$AC1088)&amp;" | "&amp;'ORDENES'!$D1088&amp;" ("&amp;'ORDENES'!$N1088&amp;" h)","")</f>
        <v/>
      </c>
    </row>
    <row r="1093">
      <c r="K1093" s="3">
        <f>IF(AND(IF($B$3="(todos)",TRUE,'ORDENES'!$P1089=$B$3),IF($D$3="(todos)",TRUE,'ORDENES'!$AD1089=$D$3),IF($F$3="(todos)",TRUE,'ORDENES'!$W1089=$F$3),'ORDENES'!$AB1089=TRUE),'ORDENES'!$AO1089&amp;" | "&amp;'ORDENES'!$S1089&amp;" | "&amp;IF('ORDENES'!$AC1089="","(sin técnico)",'ORDENES'!$AC1089)&amp;" | "&amp;'ORDENES'!$D1089&amp;" ("&amp;'ORDENES'!$N1089&amp;" h)","")</f>
        <v/>
      </c>
    </row>
    <row r="1094">
      <c r="K1094" s="3">
        <f>IF(AND(IF($B$3="(todos)",TRUE,'ORDENES'!$P1090=$B$3),IF($D$3="(todos)",TRUE,'ORDENES'!$AD1090=$D$3),IF($F$3="(todos)",TRUE,'ORDENES'!$W1090=$F$3),'ORDENES'!$AB1090=TRUE),'ORDENES'!$AO1090&amp;" | "&amp;'ORDENES'!$S1090&amp;" | "&amp;IF('ORDENES'!$AC1090="","(sin técnico)",'ORDENES'!$AC1090)&amp;" | "&amp;'ORDENES'!$D1090&amp;" ("&amp;'ORDENES'!$N1090&amp;" h)","")</f>
        <v/>
      </c>
    </row>
    <row r="1095">
      <c r="K1095" s="3">
        <f>IF(AND(IF($B$3="(todos)",TRUE,'ORDENES'!$P1091=$B$3),IF($D$3="(todos)",TRUE,'ORDENES'!$AD1091=$D$3),IF($F$3="(todos)",TRUE,'ORDENES'!$W1091=$F$3),'ORDENES'!$AB1091=TRUE),'ORDENES'!$AO1091&amp;" | "&amp;'ORDENES'!$S1091&amp;" | "&amp;IF('ORDENES'!$AC1091="","(sin técnico)",'ORDENES'!$AC1091)&amp;" | "&amp;'ORDENES'!$D1091&amp;" ("&amp;'ORDENES'!$N1091&amp;" h)","")</f>
        <v/>
      </c>
    </row>
    <row r="1096">
      <c r="K1096" s="3">
        <f>IF(AND(IF($B$3="(todos)",TRUE,'ORDENES'!$P1092=$B$3),IF($D$3="(todos)",TRUE,'ORDENES'!$AD1092=$D$3),IF($F$3="(todos)",TRUE,'ORDENES'!$W1092=$F$3),'ORDENES'!$AB1092=TRUE),'ORDENES'!$AO1092&amp;" | "&amp;'ORDENES'!$S1092&amp;" | "&amp;IF('ORDENES'!$AC1092="","(sin técnico)",'ORDENES'!$AC1092)&amp;" | "&amp;'ORDENES'!$D1092&amp;" ("&amp;'ORDENES'!$N1092&amp;" h)","")</f>
        <v/>
      </c>
    </row>
    <row r="1097">
      <c r="K1097" s="3">
        <f>IF(AND(IF($B$3="(todos)",TRUE,'ORDENES'!$P1093=$B$3),IF($D$3="(todos)",TRUE,'ORDENES'!$AD1093=$D$3),IF($F$3="(todos)",TRUE,'ORDENES'!$W1093=$F$3),'ORDENES'!$AB1093=TRUE),'ORDENES'!$AO1093&amp;" | "&amp;'ORDENES'!$S1093&amp;" | "&amp;IF('ORDENES'!$AC1093="","(sin técnico)",'ORDENES'!$AC1093)&amp;" | "&amp;'ORDENES'!$D1093&amp;" ("&amp;'ORDENES'!$N1093&amp;" h)","")</f>
        <v/>
      </c>
    </row>
    <row r="1098">
      <c r="K1098" s="3">
        <f>IF(AND(IF($B$3="(todos)",TRUE,'ORDENES'!$P1094=$B$3),IF($D$3="(todos)",TRUE,'ORDENES'!$AD1094=$D$3),IF($F$3="(todos)",TRUE,'ORDENES'!$W1094=$F$3),'ORDENES'!$AB1094=TRUE),'ORDENES'!$AO1094&amp;" | "&amp;'ORDENES'!$S1094&amp;" | "&amp;IF('ORDENES'!$AC1094="","(sin técnico)",'ORDENES'!$AC1094)&amp;" | "&amp;'ORDENES'!$D1094&amp;" ("&amp;'ORDENES'!$N1094&amp;" h)","")</f>
        <v/>
      </c>
    </row>
    <row r="1099">
      <c r="K1099" s="3">
        <f>IF(AND(IF($B$3="(todos)",TRUE,'ORDENES'!$P1095=$B$3),IF($D$3="(todos)",TRUE,'ORDENES'!$AD1095=$D$3),IF($F$3="(todos)",TRUE,'ORDENES'!$W1095=$F$3),'ORDENES'!$AB1095=TRUE),'ORDENES'!$AO1095&amp;" | "&amp;'ORDENES'!$S1095&amp;" | "&amp;IF('ORDENES'!$AC1095="","(sin técnico)",'ORDENES'!$AC1095)&amp;" | "&amp;'ORDENES'!$D1095&amp;" ("&amp;'ORDENES'!$N1095&amp;" h)","")</f>
        <v/>
      </c>
    </row>
    <row r="1100">
      <c r="K1100" s="3">
        <f>IF(AND(IF($B$3="(todos)",TRUE,'ORDENES'!$P1096=$B$3),IF($D$3="(todos)",TRUE,'ORDENES'!$AD1096=$D$3),IF($F$3="(todos)",TRUE,'ORDENES'!$W1096=$F$3),'ORDENES'!$AB1096=TRUE),'ORDENES'!$AO1096&amp;" | "&amp;'ORDENES'!$S1096&amp;" | "&amp;IF('ORDENES'!$AC1096="","(sin técnico)",'ORDENES'!$AC1096)&amp;" | "&amp;'ORDENES'!$D1096&amp;" ("&amp;'ORDENES'!$N1096&amp;" h)","")</f>
        <v/>
      </c>
    </row>
    <row r="1101">
      <c r="K1101" s="3">
        <f>IF(AND(IF($B$3="(todos)",TRUE,'ORDENES'!$P1097=$B$3),IF($D$3="(todos)",TRUE,'ORDENES'!$AD1097=$D$3),IF($F$3="(todos)",TRUE,'ORDENES'!$W1097=$F$3),'ORDENES'!$AB1097=TRUE),'ORDENES'!$AO1097&amp;" | "&amp;'ORDENES'!$S1097&amp;" | "&amp;IF('ORDENES'!$AC1097="","(sin técnico)",'ORDENES'!$AC1097)&amp;" | "&amp;'ORDENES'!$D1097&amp;" ("&amp;'ORDENES'!$N1097&amp;" h)","")</f>
        <v/>
      </c>
    </row>
    <row r="1102">
      <c r="K1102" s="3">
        <f>IF(AND(IF($B$3="(todos)",TRUE,'ORDENES'!$P1098=$B$3),IF($D$3="(todos)",TRUE,'ORDENES'!$AD1098=$D$3),IF($F$3="(todos)",TRUE,'ORDENES'!$W1098=$F$3),'ORDENES'!$AB1098=TRUE),'ORDENES'!$AO1098&amp;" | "&amp;'ORDENES'!$S1098&amp;" | "&amp;IF('ORDENES'!$AC1098="","(sin técnico)",'ORDENES'!$AC1098)&amp;" | "&amp;'ORDENES'!$D1098&amp;" ("&amp;'ORDENES'!$N1098&amp;" h)","")</f>
        <v/>
      </c>
    </row>
    <row r="1103">
      <c r="K1103" s="3">
        <f>IF(AND(IF($B$3="(todos)",TRUE,'ORDENES'!$P1099=$B$3),IF($D$3="(todos)",TRUE,'ORDENES'!$AD1099=$D$3),IF($F$3="(todos)",TRUE,'ORDENES'!$W1099=$F$3),'ORDENES'!$AB1099=TRUE),'ORDENES'!$AO1099&amp;" | "&amp;'ORDENES'!$S1099&amp;" | "&amp;IF('ORDENES'!$AC1099="","(sin técnico)",'ORDENES'!$AC1099)&amp;" | "&amp;'ORDENES'!$D1099&amp;" ("&amp;'ORDENES'!$N1099&amp;" h)","")</f>
        <v/>
      </c>
    </row>
    <row r="1104">
      <c r="K1104" s="3">
        <f>IF(AND(IF($B$3="(todos)",TRUE,'ORDENES'!$P1100=$B$3),IF($D$3="(todos)",TRUE,'ORDENES'!$AD1100=$D$3),IF($F$3="(todos)",TRUE,'ORDENES'!$W1100=$F$3),'ORDENES'!$AB1100=TRUE),'ORDENES'!$AO1100&amp;" | "&amp;'ORDENES'!$S1100&amp;" | "&amp;IF('ORDENES'!$AC1100="","(sin técnico)",'ORDENES'!$AC1100)&amp;" | "&amp;'ORDENES'!$D1100&amp;" ("&amp;'ORDENES'!$N1100&amp;" h)","")</f>
        <v/>
      </c>
    </row>
    <row r="1105">
      <c r="K1105" s="3">
        <f>IF(AND(IF($B$3="(todos)",TRUE,'ORDENES'!$P1101=$B$3),IF($D$3="(todos)",TRUE,'ORDENES'!$AD1101=$D$3),IF($F$3="(todos)",TRUE,'ORDENES'!$W1101=$F$3),'ORDENES'!$AB1101=TRUE),'ORDENES'!$AO1101&amp;" | "&amp;'ORDENES'!$S1101&amp;" | "&amp;IF('ORDENES'!$AC1101="","(sin técnico)",'ORDENES'!$AC1101)&amp;" | "&amp;'ORDENES'!$D1101&amp;" ("&amp;'ORDENES'!$N1101&amp;" h)","")</f>
        <v/>
      </c>
    </row>
    <row r="1106">
      <c r="K1106" s="3">
        <f>IF(AND(IF($B$3="(todos)",TRUE,'ORDENES'!$P1102=$B$3),IF($D$3="(todos)",TRUE,'ORDENES'!$AD1102=$D$3),IF($F$3="(todos)",TRUE,'ORDENES'!$W1102=$F$3),'ORDENES'!$AB1102=TRUE),'ORDENES'!$AO1102&amp;" | "&amp;'ORDENES'!$S1102&amp;" | "&amp;IF('ORDENES'!$AC1102="","(sin técnico)",'ORDENES'!$AC1102)&amp;" | "&amp;'ORDENES'!$D1102&amp;" ("&amp;'ORDENES'!$N1102&amp;" h)","")</f>
        <v/>
      </c>
    </row>
    <row r="1107">
      <c r="K1107" s="3">
        <f>IF(AND(IF($B$3="(todos)",TRUE,'ORDENES'!$P1103=$B$3),IF($D$3="(todos)",TRUE,'ORDENES'!$AD1103=$D$3),IF($F$3="(todos)",TRUE,'ORDENES'!$W1103=$F$3),'ORDENES'!$AB1103=TRUE),'ORDENES'!$AO1103&amp;" | "&amp;'ORDENES'!$S1103&amp;" | "&amp;IF('ORDENES'!$AC1103="","(sin técnico)",'ORDENES'!$AC1103)&amp;" | "&amp;'ORDENES'!$D1103&amp;" ("&amp;'ORDENES'!$N1103&amp;" h)","")</f>
        <v/>
      </c>
    </row>
    <row r="1108">
      <c r="K1108" s="3">
        <f>IF(AND(IF($B$3="(todos)",TRUE,'ORDENES'!$P1104=$B$3),IF($D$3="(todos)",TRUE,'ORDENES'!$AD1104=$D$3),IF($F$3="(todos)",TRUE,'ORDENES'!$W1104=$F$3),'ORDENES'!$AB1104=TRUE),'ORDENES'!$AO1104&amp;" | "&amp;'ORDENES'!$S1104&amp;" | "&amp;IF('ORDENES'!$AC1104="","(sin técnico)",'ORDENES'!$AC1104)&amp;" | "&amp;'ORDENES'!$D1104&amp;" ("&amp;'ORDENES'!$N1104&amp;" h)","")</f>
        <v/>
      </c>
    </row>
    <row r="1109">
      <c r="K1109" s="3">
        <f>IF(AND(IF($B$3="(todos)",TRUE,'ORDENES'!$P1105=$B$3),IF($D$3="(todos)",TRUE,'ORDENES'!$AD1105=$D$3),IF($F$3="(todos)",TRUE,'ORDENES'!$W1105=$F$3),'ORDENES'!$AB1105=TRUE),'ORDENES'!$AO1105&amp;" | "&amp;'ORDENES'!$S1105&amp;" | "&amp;IF('ORDENES'!$AC1105="","(sin técnico)",'ORDENES'!$AC1105)&amp;" | "&amp;'ORDENES'!$D1105&amp;" ("&amp;'ORDENES'!$N1105&amp;" h)","")</f>
        <v/>
      </c>
    </row>
    <row r="1110">
      <c r="K1110" s="3">
        <f>IF(AND(IF($B$3="(todos)",TRUE,'ORDENES'!$P1106=$B$3),IF($D$3="(todos)",TRUE,'ORDENES'!$AD1106=$D$3),IF($F$3="(todos)",TRUE,'ORDENES'!$W1106=$F$3),'ORDENES'!$AB1106=TRUE),'ORDENES'!$AO1106&amp;" | "&amp;'ORDENES'!$S1106&amp;" | "&amp;IF('ORDENES'!$AC1106="","(sin técnico)",'ORDENES'!$AC1106)&amp;" | "&amp;'ORDENES'!$D1106&amp;" ("&amp;'ORDENES'!$N1106&amp;" h)","")</f>
        <v/>
      </c>
    </row>
    <row r="1111">
      <c r="K1111" s="3">
        <f>IF(AND(IF($B$3="(todos)",TRUE,'ORDENES'!$P1107=$B$3),IF($D$3="(todos)",TRUE,'ORDENES'!$AD1107=$D$3),IF($F$3="(todos)",TRUE,'ORDENES'!$W1107=$F$3),'ORDENES'!$AB1107=TRUE),'ORDENES'!$AO1107&amp;" | "&amp;'ORDENES'!$S1107&amp;" | "&amp;IF('ORDENES'!$AC1107="","(sin técnico)",'ORDENES'!$AC1107)&amp;" | "&amp;'ORDENES'!$D1107&amp;" ("&amp;'ORDENES'!$N1107&amp;" h)","")</f>
        <v/>
      </c>
    </row>
    <row r="1112">
      <c r="K1112" s="3">
        <f>IF(AND(IF($B$3="(todos)",TRUE,'ORDENES'!$P1108=$B$3),IF($D$3="(todos)",TRUE,'ORDENES'!$AD1108=$D$3),IF($F$3="(todos)",TRUE,'ORDENES'!$W1108=$F$3),'ORDENES'!$AB1108=TRUE),'ORDENES'!$AO1108&amp;" | "&amp;'ORDENES'!$S1108&amp;" | "&amp;IF('ORDENES'!$AC1108="","(sin técnico)",'ORDENES'!$AC1108)&amp;" | "&amp;'ORDENES'!$D1108&amp;" ("&amp;'ORDENES'!$N1108&amp;" h)","")</f>
        <v/>
      </c>
    </row>
    <row r="1113">
      <c r="K1113" s="3">
        <f>IF(AND(IF($B$3="(todos)",TRUE,'ORDENES'!$P1109=$B$3),IF($D$3="(todos)",TRUE,'ORDENES'!$AD1109=$D$3),IF($F$3="(todos)",TRUE,'ORDENES'!$W1109=$F$3),'ORDENES'!$AB1109=TRUE),'ORDENES'!$AO1109&amp;" | "&amp;'ORDENES'!$S1109&amp;" | "&amp;IF('ORDENES'!$AC1109="","(sin técnico)",'ORDENES'!$AC1109)&amp;" | "&amp;'ORDENES'!$D1109&amp;" ("&amp;'ORDENES'!$N1109&amp;" h)","")</f>
        <v/>
      </c>
    </row>
    <row r="1114">
      <c r="K1114" s="3">
        <f>IF(AND(IF($B$3="(todos)",TRUE,'ORDENES'!$P1110=$B$3),IF($D$3="(todos)",TRUE,'ORDENES'!$AD1110=$D$3),IF($F$3="(todos)",TRUE,'ORDENES'!$W1110=$F$3),'ORDENES'!$AB1110=TRUE),'ORDENES'!$AO1110&amp;" | "&amp;'ORDENES'!$S1110&amp;" | "&amp;IF('ORDENES'!$AC1110="","(sin técnico)",'ORDENES'!$AC1110)&amp;" | "&amp;'ORDENES'!$D1110&amp;" ("&amp;'ORDENES'!$N1110&amp;" h)","")</f>
        <v/>
      </c>
    </row>
    <row r="1115">
      <c r="K1115" s="3">
        <f>IF(AND(IF($B$3="(todos)",TRUE,'ORDENES'!$P1111=$B$3),IF($D$3="(todos)",TRUE,'ORDENES'!$AD1111=$D$3),IF($F$3="(todos)",TRUE,'ORDENES'!$W1111=$F$3),'ORDENES'!$AB1111=TRUE),'ORDENES'!$AO1111&amp;" | "&amp;'ORDENES'!$S1111&amp;" | "&amp;IF('ORDENES'!$AC1111="","(sin técnico)",'ORDENES'!$AC1111)&amp;" | "&amp;'ORDENES'!$D1111&amp;" ("&amp;'ORDENES'!$N1111&amp;" h)","")</f>
        <v/>
      </c>
    </row>
    <row r="1116">
      <c r="K1116" s="3">
        <f>IF(AND(IF($B$3="(todos)",TRUE,'ORDENES'!$P1112=$B$3),IF($D$3="(todos)",TRUE,'ORDENES'!$AD1112=$D$3),IF($F$3="(todos)",TRUE,'ORDENES'!$W1112=$F$3),'ORDENES'!$AB1112=TRUE),'ORDENES'!$AO1112&amp;" | "&amp;'ORDENES'!$S1112&amp;" | "&amp;IF('ORDENES'!$AC1112="","(sin técnico)",'ORDENES'!$AC1112)&amp;" | "&amp;'ORDENES'!$D1112&amp;" ("&amp;'ORDENES'!$N1112&amp;" h)","")</f>
        <v/>
      </c>
    </row>
    <row r="1117">
      <c r="K1117" s="3">
        <f>IF(AND(IF($B$3="(todos)",TRUE,'ORDENES'!$P1113=$B$3),IF($D$3="(todos)",TRUE,'ORDENES'!$AD1113=$D$3),IF($F$3="(todos)",TRUE,'ORDENES'!$W1113=$F$3),'ORDENES'!$AB1113=TRUE),'ORDENES'!$AO1113&amp;" | "&amp;'ORDENES'!$S1113&amp;" | "&amp;IF('ORDENES'!$AC1113="","(sin técnico)",'ORDENES'!$AC1113)&amp;" | "&amp;'ORDENES'!$D1113&amp;" ("&amp;'ORDENES'!$N1113&amp;" h)","")</f>
        <v/>
      </c>
    </row>
    <row r="1118">
      <c r="K1118" s="3">
        <f>IF(AND(IF($B$3="(todos)",TRUE,'ORDENES'!$P1114=$B$3),IF($D$3="(todos)",TRUE,'ORDENES'!$AD1114=$D$3),IF($F$3="(todos)",TRUE,'ORDENES'!$W1114=$F$3),'ORDENES'!$AB1114=TRUE),'ORDENES'!$AO1114&amp;" | "&amp;'ORDENES'!$S1114&amp;" | "&amp;IF('ORDENES'!$AC1114="","(sin técnico)",'ORDENES'!$AC1114)&amp;" | "&amp;'ORDENES'!$D1114&amp;" ("&amp;'ORDENES'!$N1114&amp;" h)","")</f>
        <v/>
      </c>
    </row>
    <row r="1119">
      <c r="K1119" s="3">
        <f>IF(AND(IF($B$3="(todos)",TRUE,'ORDENES'!$P1115=$B$3),IF($D$3="(todos)",TRUE,'ORDENES'!$AD1115=$D$3),IF($F$3="(todos)",TRUE,'ORDENES'!$W1115=$F$3),'ORDENES'!$AB1115=TRUE),'ORDENES'!$AO1115&amp;" | "&amp;'ORDENES'!$S1115&amp;" | "&amp;IF('ORDENES'!$AC1115="","(sin técnico)",'ORDENES'!$AC1115)&amp;" | "&amp;'ORDENES'!$D1115&amp;" ("&amp;'ORDENES'!$N1115&amp;" h)","")</f>
        <v/>
      </c>
    </row>
    <row r="1120">
      <c r="K1120" s="3">
        <f>IF(AND(IF($B$3="(todos)",TRUE,'ORDENES'!$P1116=$B$3),IF($D$3="(todos)",TRUE,'ORDENES'!$AD1116=$D$3),IF($F$3="(todos)",TRUE,'ORDENES'!$W1116=$F$3),'ORDENES'!$AB1116=TRUE),'ORDENES'!$AO1116&amp;" | "&amp;'ORDENES'!$S1116&amp;" | "&amp;IF('ORDENES'!$AC1116="","(sin técnico)",'ORDENES'!$AC1116)&amp;" | "&amp;'ORDENES'!$D1116&amp;" ("&amp;'ORDENES'!$N1116&amp;" h)","")</f>
        <v/>
      </c>
    </row>
    <row r="1121">
      <c r="K1121" s="3">
        <f>IF(AND(IF($B$3="(todos)",TRUE,'ORDENES'!$P1117=$B$3),IF($D$3="(todos)",TRUE,'ORDENES'!$AD1117=$D$3),IF($F$3="(todos)",TRUE,'ORDENES'!$W1117=$F$3),'ORDENES'!$AB1117=TRUE),'ORDENES'!$AO1117&amp;" | "&amp;'ORDENES'!$S1117&amp;" | "&amp;IF('ORDENES'!$AC1117="","(sin técnico)",'ORDENES'!$AC1117)&amp;" | "&amp;'ORDENES'!$D1117&amp;" ("&amp;'ORDENES'!$N1117&amp;" h)","")</f>
        <v/>
      </c>
    </row>
    <row r="1122">
      <c r="K1122" s="3">
        <f>IF(AND(IF($B$3="(todos)",TRUE,'ORDENES'!$P1118=$B$3),IF($D$3="(todos)",TRUE,'ORDENES'!$AD1118=$D$3),IF($F$3="(todos)",TRUE,'ORDENES'!$W1118=$F$3),'ORDENES'!$AB1118=TRUE),'ORDENES'!$AO1118&amp;" | "&amp;'ORDENES'!$S1118&amp;" | "&amp;IF('ORDENES'!$AC1118="","(sin técnico)",'ORDENES'!$AC1118)&amp;" | "&amp;'ORDENES'!$D1118&amp;" ("&amp;'ORDENES'!$N1118&amp;" h)","")</f>
        <v/>
      </c>
    </row>
    <row r="1123">
      <c r="K1123" s="3">
        <f>IF(AND(IF($B$3="(todos)",TRUE,'ORDENES'!$P1119=$B$3),IF($D$3="(todos)",TRUE,'ORDENES'!$AD1119=$D$3),IF($F$3="(todos)",TRUE,'ORDENES'!$W1119=$F$3),'ORDENES'!$AB1119=TRUE),'ORDENES'!$AO1119&amp;" | "&amp;'ORDENES'!$S1119&amp;" | "&amp;IF('ORDENES'!$AC1119="","(sin técnico)",'ORDENES'!$AC1119)&amp;" | "&amp;'ORDENES'!$D1119&amp;" ("&amp;'ORDENES'!$N1119&amp;" h)","")</f>
        <v/>
      </c>
    </row>
    <row r="1124">
      <c r="K1124" s="3">
        <f>IF(AND(IF($B$3="(todos)",TRUE,'ORDENES'!$P1120=$B$3),IF($D$3="(todos)",TRUE,'ORDENES'!$AD1120=$D$3),IF($F$3="(todos)",TRUE,'ORDENES'!$W1120=$F$3),'ORDENES'!$AB1120=TRUE),'ORDENES'!$AO1120&amp;" | "&amp;'ORDENES'!$S1120&amp;" | "&amp;IF('ORDENES'!$AC1120="","(sin técnico)",'ORDENES'!$AC1120)&amp;" | "&amp;'ORDENES'!$D1120&amp;" ("&amp;'ORDENES'!$N1120&amp;" h)","")</f>
        <v/>
      </c>
    </row>
    <row r="1125">
      <c r="K1125" s="3">
        <f>IF(AND(IF($B$3="(todos)",TRUE,'ORDENES'!$P1121=$B$3),IF($D$3="(todos)",TRUE,'ORDENES'!$AD1121=$D$3),IF($F$3="(todos)",TRUE,'ORDENES'!$W1121=$F$3),'ORDENES'!$AB1121=TRUE),'ORDENES'!$AO1121&amp;" | "&amp;'ORDENES'!$S1121&amp;" | "&amp;IF('ORDENES'!$AC1121="","(sin técnico)",'ORDENES'!$AC1121)&amp;" | "&amp;'ORDENES'!$D1121&amp;" ("&amp;'ORDENES'!$N1121&amp;" h)","")</f>
        <v/>
      </c>
    </row>
    <row r="1126">
      <c r="K1126" s="3">
        <f>IF(AND(IF($B$3="(todos)",TRUE,'ORDENES'!$P1122=$B$3),IF($D$3="(todos)",TRUE,'ORDENES'!$AD1122=$D$3),IF($F$3="(todos)",TRUE,'ORDENES'!$W1122=$F$3),'ORDENES'!$AB1122=TRUE),'ORDENES'!$AO1122&amp;" | "&amp;'ORDENES'!$S1122&amp;" | "&amp;IF('ORDENES'!$AC1122="","(sin técnico)",'ORDENES'!$AC1122)&amp;" | "&amp;'ORDENES'!$D1122&amp;" ("&amp;'ORDENES'!$N1122&amp;" h)","")</f>
        <v/>
      </c>
    </row>
    <row r="1127">
      <c r="K1127" s="3">
        <f>IF(AND(IF($B$3="(todos)",TRUE,'ORDENES'!$P1123=$B$3),IF($D$3="(todos)",TRUE,'ORDENES'!$AD1123=$D$3),IF($F$3="(todos)",TRUE,'ORDENES'!$W1123=$F$3),'ORDENES'!$AB1123=TRUE),'ORDENES'!$AO1123&amp;" | "&amp;'ORDENES'!$S1123&amp;" | "&amp;IF('ORDENES'!$AC1123="","(sin técnico)",'ORDENES'!$AC1123)&amp;" | "&amp;'ORDENES'!$D1123&amp;" ("&amp;'ORDENES'!$N1123&amp;" h)","")</f>
        <v/>
      </c>
    </row>
    <row r="1128">
      <c r="K1128" s="3">
        <f>IF(AND(IF($B$3="(todos)",TRUE,'ORDENES'!$P1124=$B$3),IF($D$3="(todos)",TRUE,'ORDENES'!$AD1124=$D$3),IF($F$3="(todos)",TRUE,'ORDENES'!$W1124=$F$3),'ORDENES'!$AB1124=TRUE),'ORDENES'!$AO1124&amp;" | "&amp;'ORDENES'!$S1124&amp;" | "&amp;IF('ORDENES'!$AC1124="","(sin técnico)",'ORDENES'!$AC1124)&amp;" | "&amp;'ORDENES'!$D1124&amp;" ("&amp;'ORDENES'!$N1124&amp;" h)","")</f>
        <v/>
      </c>
    </row>
    <row r="1129">
      <c r="K1129" s="3">
        <f>IF(AND(IF($B$3="(todos)",TRUE,'ORDENES'!$P1125=$B$3),IF($D$3="(todos)",TRUE,'ORDENES'!$AD1125=$D$3),IF($F$3="(todos)",TRUE,'ORDENES'!$W1125=$F$3),'ORDENES'!$AB1125=TRUE),'ORDENES'!$AO1125&amp;" | "&amp;'ORDENES'!$S1125&amp;" | "&amp;IF('ORDENES'!$AC1125="","(sin técnico)",'ORDENES'!$AC1125)&amp;" | "&amp;'ORDENES'!$D1125&amp;" ("&amp;'ORDENES'!$N1125&amp;" h)","")</f>
        <v/>
      </c>
    </row>
    <row r="1130">
      <c r="K1130" s="3">
        <f>IF(AND(IF($B$3="(todos)",TRUE,'ORDENES'!$P1126=$B$3),IF($D$3="(todos)",TRUE,'ORDENES'!$AD1126=$D$3),IF($F$3="(todos)",TRUE,'ORDENES'!$W1126=$F$3),'ORDENES'!$AB1126=TRUE),'ORDENES'!$AO1126&amp;" | "&amp;'ORDENES'!$S1126&amp;" | "&amp;IF('ORDENES'!$AC1126="","(sin técnico)",'ORDENES'!$AC1126)&amp;" | "&amp;'ORDENES'!$D1126&amp;" ("&amp;'ORDENES'!$N1126&amp;" h)","")</f>
        <v/>
      </c>
    </row>
    <row r="1131">
      <c r="K1131" s="3">
        <f>IF(AND(IF($B$3="(todos)",TRUE,'ORDENES'!$P1127=$B$3),IF($D$3="(todos)",TRUE,'ORDENES'!$AD1127=$D$3),IF($F$3="(todos)",TRUE,'ORDENES'!$W1127=$F$3),'ORDENES'!$AB1127=TRUE),'ORDENES'!$AO1127&amp;" | "&amp;'ORDENES'!$S1127&amp;" | "&amp;IF('ORDENES'!$AC1127="","(sin técnico)",'ORDENES'!$AC1127)&amp;" | "&amp;'ORDENES'!$D1127&amp;" ("&amp;'ORDENES'!$N1127&amp;" h)","")</f>
        <v/>
      </c>
    </row>
    <row r="1132">
      <c r="K1132" s="3">
        <f>IF(AND(IF($B$3="(todos)",TRUE,'ORDENES'!$P1128=$B$3),IF($D$3="(todos)",TRUE,'ORDENES'!$AD1128=$D$3),IF($F$3="(todos)",TRUE,'ORDENES'!$W1128=$F$3),'ORDENES'!$AB1128=TRUE),'ORDENES'!$AO1128&amp;" | "&amp;'ORDENES'!$S1128&amp;" | "&amp;IF('ORDENES'!$AC1128="","(sin técnico)",'ORDENES'!$AC1128)&amp;" | "&amp;'ORDENES'!$D1128&amp;" ("&amp;'ORDENES'!$N1128&amp;" h)","")</f>
        <v/>
      </c>
    </row>
    <row r="1133">
      <c r="K1133" s="3">
        <f>IF(AND(IF($B$3="(todos)",TRUE,'ORDENES'!$P1129=$B$3),IF($D$3="(todos)",TRUE,'ORDENES'!$AD1129=$D$3),IF($F$3="(todos)",TRUE,'ORDENES'!$W1129=$F$3),'ORDENES'!$AB1129=TRUE),'ORDENES'!$AO1129&amp;" | "&amp;'ORDENES'!$S1129&amp;" | "&amp;IF('ORDENES'!$AC1129="","(sin técnico)",'ORDENES'!$AC1129)&amp;" | "&amp;'ORDENES'!$D1129&amp;" ("&amp;'ORDENES'!$N1129&amp;" h)","")</f>
        <v/>
      </c>
    </row>
    <row r="1134">
      <c r="K1134" s="3">
        <f>IF(AND(IF($B$3="(todos)",TRUE,'ORDENES'!$P1130=$B$3),IF($D$3="(todos)",TRUE,'ORDENES'!$AD1130=$D$3),IF($F$3="(todos)",TRUE,'ORDENES'!$W1130=$F$3),'ORDENES'!$AB1130=TRUE),'ORDENES'!$AO1130&amp;" | "&amp;'ORDENES'!$S1130&amp;" | "&amp;IF('ORDENES'!$AC1130="","(sin técnico)",'ORDENES'!$AC1130)&amp;" | "&amp;'ORDENES'!$D1130&amp;" ("&amp;'ORDENES'!$N1130&amp;" h)","")</f>
        <v/>
      </c>
    </row>
    <row r="1135">
      <c r="K1135" s="3">
        <f>IF(AND(IF($B$3="(todos)",TRUE,'ORDENES'!$P1131=$B$3),IF($D$3="(todos)",TRUE,'ORDENES'!$AD1131=$D$3),IF($F$3="(todos)",TRUE,'ORDENES'!$W1131=$F$3),'ORDENES'!$AB1131=TRUE),'ORDENES'!$AO1131&amp;" | "&amp;'ORDENES'!$S1131&amp;" | "&amp;IF('ORDENES'!$AC1131="","(sin técnico)",'ORDENES'!$AC1131)&amp;" | "&amp;'ORDENES'!$D1131&amp;" ("&amp;'ORDENES'!$N1131&amp;" h)","")</f>
        <v/>
      </c>
    </row>
    <row r="1136">
      <c r="K1136" s="3">
        <f>IF(AND(IF($B$3="(todos)",TRUE,'ORDENES'!$P1132=$B$3),IF($D$3="(todos)",TRUE,'ORDENES'!$AD1132=$D$3),IF($F$3="(todos)",TRUE,'ORDENES'!$W1132=$F$3),'ORDENES'!$AB1132=TRUE),'ORDENES'!$AO1132&amp;" | "&amp;'ORDENES'!$S1132&amp;" | "&amp;IF('ORDENES'!$AC1132="","(sin técnico)",'ORDENES'!$AC1132)&amp;" | "&amp;'ORDENES'!$D1132&amp;" ("&amp;'ORDENES'!$N1132&amp;" h)","")</f>
        <v/>
      </c>
    </row>
    <row r="1137">
      <c r="K1137" s="3">
        <f>IF(AND(IF($B$3="(todos)",TRUE,'ORDENES'!$P1133=$B$3),IF($D$3="(todos)",TRUE,'ORDENES'!$AD1133=$D$3),IF($F$3="(todos)",TRUE,'ORDENES'!$W1133=$F$3),'ORDENES'!$AB1133=TRUE),'ORDENES'!$AO1133&amp;" | "&amp;'ORDENES'!$S1133&amp;" | "&amp;IF('ORDENES'!$AC1133="","(sin técnico)",'ORDENES'!$AC1133)&amp;" | "&amp;'ORDENES'!$D1133&amp;" ("&amp;'ORDENES'!$N1133&amp;" h)","")</f>
        <v/>
      </c>
    </row>
    <row r="1138">
      <c r="K1138" s="3">
        <f>IF(AND(IF($B$3="(todos)",TRUE,'ORDENES'!$P1134=$B$3),IF($D$3="(todos)",TRUE,'ORDENES'!$AD1134=$D$3),IF($F$3="(todos)",TRUE,'ORDENES'!$W1134=$F$3),'ORDENES'!$AB1134=TRUE),'ORDENES'!$AO1134&amp;" | "&amp;'ORDENES'!$S1134&amp;" | "&amp;IF('ORDENES'!$AC1134="","(sin técnico)",'ORDENES'!$AC1134)&amp;" | "&amp;'ORDENES'!$D1134&amp;" ("&amp;'ORDENES'!$N1134&amp;" h)","")</f>
        <v/>
      </c>
    </row>
    <row r="1139">
      <c r="K1139" s="3">
        <f>IF(AND(IF($B$3="(todos)",TRUE,'ORDENES'!$P1135=$B$3),IF($D$3="(todos)",TRUE,'ORDENES'!$AD1135=$D$3),IF($F$3="(todos)",TRUE,'ORDENES'!$W1135=$F$3),'ORDENES'!$AB1135=TRUE),'ORDENES'!$AO1135&amp;" | "&amp;'ORDENES'!$S1135&amp;" | "&amp;IF('ORDENES'!$AC1135="","(sin técnico)",'ORDENES'!$AC1135)&amp;" | "&amp;'ORDENES'!$D1135&amp;" ("&amp;'ORDENES'!$N1135&amp;" h)","")</f>
        <v/>
      </c>
    </row>
    <row r="1140">
      <c r="K1140" s="3">
        <f>IF(AND(IF($B$3="(todos)",TRUE,'ORDENES'!$P1136=$B$3),IF($D$3="(todos)",TRUE,'ORDENES'!$AD1136=$D$3),IF($F$3="(todos)",TRUE,'ORDENES'!$W1136=$F$3),'ORDENES'!$AB1136=TRUE),'ORDENES'!$AO1136&amp;" | "&amp;'ORDENES'!$S1136&amp;" | "&amp;IF('ORDENES'!$AC1136="","(sin técnico)",'ORDENES'!$AC1136)&amp;" | "&amp;'ORDENES'!$D1136&amp;" ("&amp;'ORDENES'!$N1136&amp;" h)","")</f>
        <v/>
      </c>
    </row>
    <row r="1141">
      <c r="K1141" s="3">
        <f>IF(AND(IF($B$3="(todos)",TRUE,'ORDENES'!$P1137=$B$3),IF($D$3="(todos)",TRUE,'ORDENES'!$AD1137=$D$3),IF($F$3="(todos)",TRUE,'ORDENES'!$W1137=$F$3),'ORDENES'!$AB1137=TRUE),'ORDENES'!$AO1137&amp;" | "&amp;'ORDENES'!$S1137&amp;" | "&amp;IF('ORDENES'!$AC1137="","(sin técnico)",'ORDENES'!$AC1137)&amp;" | "&amp;'ORDENES'!$D1137&amp;" ("&amp;'ORDENES'!$N1137&amp;" h)","")</f>
        <v/>
      </c>
    </row>
    <row r="1142">
      <c r="K1142" s="3">
        <f>IF(AND(IF($B$3="(todos)",TRUE,'ORDENES'!$P1138=$B$3),IF($D$3="(todos)",TRUE,'ORDENES'!$AD1138=$D$3),IF($F$3="(todos)",TRUE,'ORDENES'!$W1138=$F$3),'ORDENES'!$AB1138=TRUE),'ORDENES'!$AO1138&amp;" | "&amp;'ORDENES'!$S1138&amp;" | "&amp;IF('ORDENES'!$AC1138="","(sin técnico)",'ORDENES'!$AC1138)&amp;" | "&amp;'ORDENES'!$D1138&amp;" ("&amp;'ORDENES'!$N1138&amp;" h)","")</f>
        <v/>
      </c>
    </row>
    <row r="1143">
      <c r="K1143" s="3">
        <f>IF(AND(IF($B$3="(todos)",TRUE,'ORDENES'!$P1139=$B$3),IF($D$3="(todos)",TRUE,'ORDENES'!$AD1139=$D$3),IF($F$3="(todos)",TRUE,'ORDENES'!$W1139=$F$3),'ORDENES'!$AB1139=TRUE),'ORDENES'!$AO1139&amp;" | "&amp;'ORDENES'!$S1139&amp;" | "&amp;IF('ORDENES'!$AC1139="","(sin técnico)",'ORDENES'!$AC1139)&amp;" | "&amp;'ORDENES'!$D1139&amp;" ("&amp;'ORDENES'!$N1139&amp;" h)","")</f>
        <v/>
      </c>
    </row>
    <row r="1144">
      <c r="K1144" s="3">
        <f>IF(AND(IF($B$3="(todos)",TRUE,'ORDENES'!$P1140=$B$3),IF($D$3="(todos)",TRUE,'ORDENES'!$AD1140=$D$3),IF($F$3="(todos)",TRUE,'ORDENES'!$W1140=$F$3),'ORDENES'!$AB1140=TRUE),'ORDENES'!$AO1140&amp;" | "&amp;'ORDENES'!$S1140&amp;" | "&amp;IF('ORDENES'!$AC1140="","(sin técnico)",'ORDENES'!$AC1140)&amp;" | "&amp;'ORDENES'!$D1140&amp;" ("&amp;'ORDENES'!$N1140&amp;" h)","")</f>
        <v/>
      </c>
    </row>
    <row r="1145">
      <c r="K1145" s="3">
        <f>IF(AND(IF($B$3="(todos)",TRUE,'ORDENES'!$P1141=$B$3),IF($D$3="(todos)",TRUE,'ORDENES'!$AD1141=$D$3),IF($F$3="(todos)",TRUE,'ORDENES'!$W1141=$F$3),'ORDENES'!$AB1141=TRUE),'ORDENES'!$AO1141&amp;" | "&amp;'ORDENES'!$S1141&amp;" | "&amp;IF('ORDENES'!$AC1141="","(sin técnico)",'ORDENES'!$AC1141)&amp;" | "&amp;'ORDENES'!$D1141&amp;" ("&amp;'ORDENES'!$N1141&amp;" h)","")</f>
        <v/>
      </c>
    </row>
    <row r="1146">
      <c r="K1146" s="3">
        <f>IF(AND(IF($B$3="(todos)",TRUE,'ORDENES'!$P1142=$B$3),IF($D$3="(todos)",TRUE,'ORDENES'!$AD1142=$D$3),IF($F$3="(todos)",TRUE,'ORDENES'!$W1142=$F$3),'ORDENES'!$AB1142=TRUE),'ORDENES'!$AO1142&amp;" | "&amp;'ORDENES'!$S1142&amp;" | "&amp;IF('ORDENES'!$AC1142="","(sin técnico)",'ORDENES'!$AC1142)&amp;" | "&amp;'ORDENES'!$D1142&amp;" ("&amp;'ORDENES'!$N1142&amp;" h)","")</f>
        <v/>
      </c>
    </row>
    <row r="1147">
      <c r="K1147" s="3">
        <f>IF(AND(IF($B$3="(todos)",TRUE,'ORDENES'!$P1143=$B$3),IF($D$3="(todos)",TRUE,'ORDENES'!$AD1143=$D$3),IF($F$3="(todos)",TRUE,'ORDENES'!$W1143=$F$3),'ORDENES'!$AB1143=TRUE),'ORDENES'!$AO1143&amp;" | "&amp;'ORDENES'!$S1143&amp;" | "&amp;IF('ORDENES'!$AC1143="","(sin técnico)",'ORDENES'!$AC1143)&amp;" | "&amp;'ORDENES'!$D1143&amp;" ("&amp;'ORDENES'!$N1143&amp;" h)","")</f>
        <v/>
      </c>
    </row>
    <row r="1148">
      <c r="K1148" s="3">
        <f>IF(AND(IF($B$3="(todos)",TRUE,'ORDENES'!$P1144=$B$3),IF($D$3="(todos)",TRUE,'ORDENES'!$AD1144=$D$3),IF($F$3="(todos)",TRUE,'ORDENES'!$W1144=$F$3),'ORDENES'!$AB1144=TRUE),'ORDENES'!$AO1144&amp;" | "&amp;'ORDENES'!$S1144&amp;" | "&amp;IF('ORDENES'!$AC1144="","(sin técnico)",'ORDENES'!$AC1144)&amp;" | "&amp;'ORDENES'!$D1144&amp;" ("&amp;'ORDENES'!$N1144&amp;" h)","")</f>
        <v/>
      </c>
    </row>
    <row r="1149">
      <c r="K1149" s="3">
        <f>IF(AND(IF($B$3="(todos)",TRUE,'ORDENES'!$P1145=$B$3),IF($D$3="(todos)",TRUE,'ORDENES'!$AD1145=$D$3),IF($F$3="(todos)",TRUE,'ORDENES'!$W1145=$F$3),'ORDENES'!$AB1145=TRUE),'ORDENES'!$AO1145&amp;" | "&amp;'ORDENES'!$S1145&amp;" | "&amp;IF('ORDENES'!$AC1145="","(sin técnico)",'ORDENES'!$AC1145)&amp;" | "&amp;'ORDENES'!$D1145&amp;" ("&amp;'ORDENES'!$N1145&amp;" h)","")</f>
        <v/>
      </c>
    </row>
    <row r="1150">
      <c r="K1150" s="3">
        <f>IF(AND(IF($B$3="(todos)",TRUE,'ORDENES'!$P1146=$B$3),IF($D$3="(todos)",TRUE,'ORDENES'!$AD1146=$D$3),IF($F$3="(todos)",TRUE,'ORDENES'!$W1146=$F$3),'ORDENES'!$AB1146=TRUE),'ORDENES'!$AO1146&amp;" | "&amp;'ORDENES'!$S1146&amp;" | "&amp;IF('ORDENES'!$AC1146="","(sin técnico)",'ORDENES'!$AC1146)&amp;" | "&amp;'ORDENES'!$D1146&amp;" ("&amp;'ORDENES'!$N1146&amp;" h)","")</f>
        <v/>
      </c>
    </row>
    <row r="1151">
      <c r="K1151" s="3">
        <f>IF(AND(IF($B$3="(todos)",TRUE,'ORDENES'!$P1147=$B$3),IF($D$3="(todos)",TRUE,'ORDENES'!$AD1147=$D$3),IF($F$3="(todos)",TRUE,'ORDENES'!$W1147=$F$3),'ORDENES'!$AB1147=TRUE),'ORDENES'!$AO1147&amp;" | "&amp;'ORDENES'!$S1147&amp;" | "&amp;IF('ORDENES'!$AC1147="","(sin técnico)",'ORDENES'!$AC1147)&amp;" | "&amp;'ORDENES'!$D1147&amp;" ("&amp;'ORDENES'!$N1147&amp;" h)","")</f>
        <v/>
      </c>
    </row>
    <row r="1152">
      <c r="K1152" s="3">
        <f>IF(AND(IF($B$3="(todos)",TRUE,'ORDENES'!$P1148=$B$3),IF($D$3="(todos)",TRUE,'ORDENES'!$AD1148=$D$3),IF($F$3="(todos)",TRUE,'ORDENES'!$W1148=$F$3),'ORDENES'!$AB1148=TRUE),'ORDENES'!$AO1148&amp;" | "&amp;'ORDENES'!$S1148&amp;" | "&amp;IF('ORDENES'!$AC1148="","(sin técnico)",'ORDENES'!$AC1148)&amp;" | "&amp;'ORDENES'!$D1148&amp;" ("&amp;'ORDENES'!$N1148&amp;" h)","")</f>
        <v/>
      </c>
    </row>
    <row r="1153">
      <c r="K1153" s="3">
        <f>IF(AND(IF($B$3="(todos)",TRUE,'ORDENES'!$P1149=$B$3),IF($D$3="(todos)",TRUE,'ORDENES'!$AD1149=$D$3),IF($F$3="(todos)",TRUE,'ORDENES'!$W1149=$F$3),'ORDENES'!$AB1149=TRUE),'ORDENES'!$AO1149&amp;" | "&amp;'ORDENES'!$S1149&amp;" | "&amp;IF('ORDENES'!$AC1149="","(sin técnico)",'ORDENES'!$AC1149)&amp;" | "&amp;'ORDENES'!$D1149&amp;" ("&amp;'ORDENES'!$N1149&amp;" h)","")</f>
        <v/>
      </c>
    </row>
    <row r="1154">
      <c r="K1154" s="3">
        <f>IF(AND(IF($B$3="(todos)",TRUE,'ORDENES'!$P1150=$B$3),IF($D$3="(todos)",TRUE,'ORDENES'!$AD1150=$D$3),IF($F$3="(todos)",TRUE,'ORDENES'!$W1150=$F$3),'ORDENES'!$AB1150=TRUE),'ORDENES'!$AO1150&amp;" | "&amp;'ORDENES'!$S1150&amp;" | "&amp;IF('ORDENES'!$AC1150="","(sin técnico)",'ORDENES'!$AC1150)&amp;" | "&amp;'ORDENES'!$D1150&amp;" ("&amp;'ORDENES'!$N1150&amp;" h)","")</f>
        <v/>
      </c>
    </row>
    <row r="1155">
      <c r="K1155" s="3">
        <f>IF(AND(IF($B$3="(todos)",TRUE,'ORDENES'!$P1151=$B$3),IF($D$3="(todos)",TRUE,'ORDENES'!$AD1151=$D$3),IF($F$3="(todos)",TRUE,'ORDENES'!$W1151=$F$3),'ORDENES'!$AB1151=TRUE),'ORDENES'!$AO1151&amp;" | "&amp;'ORDENES'!$S1151&amp;" | "&amp;IF('ORDENES'!$AC1151="","(sin técnico)",'ORDENES'!$AC1151)&amp;" | "&amp;'ORDENES'!$D1151&amp;" ("&amp;'ORDENES'!$N1151&amp;" h)","")</f>
        <v/>
      </c>
    </row>
    <row r="1156">
      <c r="K1156" s="3">
        <f>IF(AND(IF($B$3="(todos)",TRUE,'ORDENES'!$P1152=$B$3),IF($D$3="(todos)",TRUE,'ORDENES'!$AD1152=$D$3),IF($F$3="(todos)",TRUE,'ORDENES'!$W1152=$F$3),'ORDENES'!$AB1152=TRUE),'ORDENES'!$AO1152&amp;" | "&amp;'ORDENES'!$S1152&amp;" | "&amp;IF('ORDENES'!$AC1152="","(sin técnico)",'ORDENES'!$AC1152)&amp;" | "&amp;'ORDENES'!$D1152&amp;" ("&amp;'ORDENES'!$N1152&amp;" h)","")</f>
        <v/>
      </c>
    </row>
    <row r="1157">
      <c r="K1157" s="3">
        <f>IF(AND(IF($B$3="(todos)",TRUE,'ORDENES'!$P1153=$B$3),IF($D$3="(todos)",TRUE,'ORDENES'!$AD1153=$D$3),IF($F$3="(todos)",TRUE,'ORDENES'!$W1153=$F$3),'ORDENES'!$AB1153=TRUE),'ORDENES'!$AO1153&amp;" | "&amp;'ORDENES'!$S1153&amp;" | "&amp;IF('ORDENES'!$AC1153="","(sin técnico)",'ORDENES'!$AC1153)&amp;" | "&amp;'ORDENES'!$D1153&amp;" ("&amp;'ORDENES'!$N1153&amp;" h)","")</f>
        <v/>
      </c>
    </row>
    <row r="1158">
      <c r="K1158" s="3">
        <f>IF(AND(IF($B$3="(todos)",TRUE,'ORDENES'!$P1154=$B$3),IF($D$3="(todos)",TRUE,'ORDENES'!$AD1154=$D$3),IF($F$3="(todos)",TRUE,'ORDENES'!$W1154=$F$3),'ORDENES'!$AB1154=TRUE),'ORDENES'!$AO1154&amp;" | "&amp;'ORDENES'!$S1154&amp;" | "&amp;IF('ORDENES'!$AC1154="","(sin técnico)",'ORDENES'!$AC1154)&amp;" | "&amp;'ORDENES'!$D1154&amp;" ("&amp;'ORDENES'!$N1154&amp;" h)","")</f>
        <v/>
      </c>
    </row>
    <row r="1159">
      <c r="K1159" s="3">
        <f>IF(AND(IF($B$3="(todos)",TRUE,'ORDENES'!$P1155=$B$3),IF($D$3="(todos)",TRUE,'ORDENES'!$AD1155=$D$3),IF($F$3="(todos)",TRUE,'ORDENES'!$W1155=$F$3),'ORDENES'!$AB1155=TRUE),'ORDENES'!$AO1155&amp;" | "&amp;'ORDENES'!$S1155&amp;" | "&amp;IF('ORDENES'!$AC1155="","(sin técnico)",'ORDENES'!$AC1155)&amp;" | "&amp;'ORDENES'!$D1155&amp;" ("&amp;'ORDENES'!$N1155&amp;" h)","")</f>
        <v/>
      </c>
    </row>
    <row r="1160">
      <c r="K1160" s="3">
        <f>IF(AND(IF($B$3="(todos)",TRUE,'ORDENES'!$P1156=$B$3),IF($D$3="(todos)",TRUE,'ORDENES'!$AD1156=$D$3),IF($F$3="(todos)",TRUE,'ORDENES'!$W1156=$F$3),'ORDENES'!$AB1156=TRUE),'ORDENES'!$AO1156&amp;" | "&amp;'ORDENES'!$S1156&amp;" | "&amp;IF('ORDENES'!$AC1156="","(sin técnico)",'ORDENES'!$AC1156)&amp;" | "&amp;'ORDENES'!$D1156&amp;" ("&amp;'ORDENES'!$N1156&amp;" h)","")</f>
        <v/>
      </c>
    </row>
    <row r="1161">
      <c r="K1161" s="3">
        <f>IF(AND(IF($B$3="(todos)",TRUE,'ORDENES'!$P1157=$B$3),IF($D$3="(todos)",TRUE,'ORDENES'!$AD1157=$D$3),IF($F$3="(todos)",TRUE,'ORDENES'!$W1157=$F$3),'ORDENES'!$AB1157=TRUE),'ORDENES'!$AO1157&amp;" | "&amp;'ORDENES'!$S1157&amp;" | "&amp;IF('ORDENES'!$AC1157="","(sin técnico)",'ORDENES'!$AC1157)&amp;" | "&amp;'ORDENES'!$D1157&amp;" ("&amp;'ORDENES'!$N1157&amp;" h)","")</f>
        <v/>
      </c>
    </row>
    <row r="1162">
      <c r="K1162" s="3">
        <f>IF(AND(IF($B$3="(todos)",TRUE,'ORDENES'!$P1158=$B$3),IF($D$3="(todos)",TRUE,'ORDENES'!$AD1158=$D$3),IF($F$3="(todos)",TRUE,'ORDENES'!$W1158=$F$3),'ORDENES'!$AB1158=TRUE),'ORDENES'!$AO1158&amp;" | "&amp;'ORDENES'!$S1158&amp;" | "&amp;IF('ORDENES'!$AC1158="","(sin técnico)",'ORDENES'!$AC1158)&amp;" | "&amp;'ORDENES'!$D1158&amp;" ("&amp;'ORDENES'!$N1158&amp;" h)","")</f>
        <v/>
      </c>
    </row>
    <row r="1163">
      <c r="K1163" s="3">
        <f>IF(AND(IF($B$3="(todos)",TRUE,'ORDENES'!$P1159=$B$3),IF($D$3="(todos)",TRUE,'ORDENES'!$AD1159=$D$3),IF($F$3="(todos)",TRUE,'ORDENES'!$W1159=$F$3),'ORDENES'!$AB1159=TRUE),'ORDENES'!$AO1159&amp;" | "&amp;'ORDENES'!$S1159&amp;" | "&amp;IF('ORDENES'!$AC1159="","(sin técnico)",'ORDENES'!$AC1159)&amp;" | "&amp;'ORDENES'!$D1159&amp;" ("&amp;'ORDENES'!$N1159&amp;" h)","")</f>
        <v/>
      </c>
    </row>
    <row r="1164">
      <c r="K1164" s="3">
        <f>IF(AND(IF($B$3="(todos)",TRUE,'ORDENES'!$P1160=$B$3),IF($D$3="(todos)",TRUE,'ORDENES'!$AD1160=$D$3),IF($F$3="(todos)",TRUE,'ORDENES'!$W1160=$F$3),'ORDENES'!$AB1160=TRUE),'ORDENES'!$AO1160&amp;" | "&amp;'ORDENES'!$S1160&amp;" | "&amp;IF('ORDENES'!$AC1160="","(sin técnico)",'ORDENES'!$AC1160)&amp;" | "&amp;'ORDENES'!$D1160&amp;" ("&amp;'ORDENES'!$N1160&amp;" h)","")</f>
        <v/>
      </c>
    </row>
    <row r="1165">
      <c r="K1165" s="3">
        <f>IF(AND(IF($B$3="(todos)",TRUE,'ORDENES'!$P1161=$B$3),IF($D$3="(todos)",TRUE,'ORDENES'!$AD1161=$D$3),IF($F$3="(todos)",TRUE,'ORDENES'!$W1161=$F$3),'ORDENES'!$AB1161=TRUE),'ORDENES'!$AO1161&amp;" | "&amp;'ORDENES'!$S1161&amp;" | "&amp;IF('ORDENES'!$AC1161="","(sin técnico)",'ORDENES'!$AC1161)&amp;" | "&amp;'ORDENES'!$D1161&amp;" ("&amp;'ORDENES'!$N1161&amp;" h)","")</f>
        <v/>
      </c>
    </row>
    <row r="1166">
      <c r="K1166" s="3">
        <f>IF(AND(IF($B$3="(todos)",TRUE,'ORDENES'!$P1162=$B$3),IF($D$3="(todos)",TRUE,'ORDENES'!$AD1162=$D$3),IF($F$3="(todos)",TRUE,'ORDENES'!$W1162=$F$3),'ORDENES'!$AB1162=TRUE),'ORDENES'!$AO1162&amp;" | "&amp;'ORDENES'!$S1162&amp;" | "&amp;IF('ORDENES'!$AC1162="","(sin técnico)",'ORDENES'!$AC1162)&amp;" | "&amp;'ORDENES'!$D1162&amp;" ("&amp;'ORDENES'!$N1162&amp;" h)","")</f>
        <v/>
      </c>
    </row>
    <row r="1167">
      <c r="K1167" s="3">
        <f>IF(AND(IF($B$3="(todos)",TRUE,'ORDENES'!$P1163=$B$3),IF($D$3="(todos)",TRUE,'ORDENES'!$AD1163=$D$3),IF($F$3="(todos)",TRUE,'ORDENES'!$W1163=$F$3),'ORDENES'!$AB1163=TRUE),'ORDENES'!$AO1163&amp;" | "&amp;'ORDENES'!$S1163&amp;" | "&amp;IF('ORDENES'!$AC1163="","(sin técnico)",'ORDENES'!$AC1163)&amp;" | "&amp;'ORDENES'!$D1163&amp;" ("&amp;'ORDENES'!$N1163&amp;" h)","")</f>
        <v/>
      </c>
    </row>
    <row r="1168">
      <c r="K1168" s="3">
        <f>IF(AND(IF($B$3="(todos)",TRUE,'ORDENES'!$P1164=$B$3),IF($D$3="(todos)",TRUE,'ORDENES'!$AD1164=$D$3),IF($F$3="(todos)",TRUE,'ORDENES'!$W1164=$F$3),'ORDENES'!$AB1164=TRUE),'ORDENES'!$AO1164&amp;" | "&amp;'ORDENES'!$S1164&amp;" | "&amp;IF('ORDENES'!$AC1164="","(sin técnico)",'ORDENES'!$AC1164)&amp;" | "&amp;'ORDENES'!$D1164&amp;" ("&amp;'ORDENES'!$N1164&amp;" h)","")</f>
        <v/>
      </c>
    </row>
    <row r="1169">
      <c r="K1169" s="3">
        <f>IF(AND(IF($B$3="(todos)",TRUE,'ORDENES'!$P1165=$B$3),IF($D$3="(todos)",TRUE,'ORDENES'!$AD1165=$D$3),IF($F$3="(todos)",TRUE,'ORDENES'!$W1165=$F$3),'ORDENES'!$AB1165=TRUE),'ORDENES'!$AO1165&amp;" | "&amp;'ORDENES'!$S1165&amp;" | "&amp;IF('ORDENES'!$AC1165="","(sin técnico)",'ORDENES'!$AC1165)&amp;" | "&amp;'ORDENES'!$D1165&amp;" ("&amp;'ORDENES'!$N1165&amp;" h)","")</f>
        <v/>
      </c>
    </row>
    <row r="1170">
      <c r="K1170" s="3">
        <f>IF(AND(IF($B$3="(todos)",TRUE,'ORDENES'!$P1166=$B$3),IF($D$3="(todos)",TRUE,'ORDENES'!$AD1166=$D$3),IF($F$3="(todos)",TRUE,'ORDENES'!$W1166=$F$3),'ORDENES'!$AB1166=TRUE),'ORDENES'!$AO1166&amp;" | "&amp;'ORDENES'!$S1166&amp;" | "&amp;IF('ORDENES'!$AC1166="","(sin técnico)",'ORDENES'!$AC1166)&amp;" | "&amp;'ORDENES'!$D1166&amp;" ("&amp;'ORDENES'!$N1166&amp;" h)","")</f>
        <v/>
      </c>
    </row>
    <row r="1171">
      <c r="K1171" s="3">
        <f>IF(AND(IF($B$3="(todos)",TRUE,'ORDENES'!$P1167=$B$3),IF($D$3="(todos)",TRUE,'ORDENES'!$AD1167=$D$3),IF($F$3="(todos)",TRUE,'ORDENES'!$W1167=$F$3),'ORDENES'!$AB1167=TRUE),'ORDENES'!$AO1167&amp;" | "&amp;'ORDENES'!$S1167&amp;" | "&amp;IF('ORDENES'!$AC1167="","(sin técnico)",'ORDENES'!$AC1167)&amp;" | "&amp;'ORDENES'!$D1167&amp;" ("&amp;'ORDENES'!$N1167&amp;" h)","")</f>
        <v/>
      </c>
    </row>
    <row r="1172">
      <c r="K1172" s="3">
        <f>IF(AND(IF($B$3="(todos)",TRUE,'ORDENES'!$P1168=$B$3),IF($D$3="(todos)",TRUE,'ORDENES'!$AD1168=$D$3),IF($F$3="(todos)",TRUE,'ORDENES'!$W1168=$F$3),'ORDENES'!$AB1168=TRUE),'ORDENES'!$AO1168&amp;" | "&amp;'ORDENES'!$S1168&amp;" | "&amp;IF('ORDENES'!$AC1168="","(sin técnico)",'ORDENES'!$AC1168)&amp;" | "&amp;'ORDENES'!$D1168&amp;" ("&amp;'ORDENES'!$N1168&amp;" h)","")</f>
        <v/>
      </c>
    </row>
    <row r="1173">
      <c r="K1173" s="3">
        <f>IF(AND(IF($B$3="(todos)",TRUE,'ORDENES'!$P1169=$B$3),IF($D$3="(todos)",TRUE,'ORDENES'!$AD1169=$D$3),IF($F$3="(todos)",TRUE,'ORDENES'!$W1169=$F$3),'ORDENES'!$AB1169=TRUE),'ORDENES'!$AO1169&amp;" | "&amp;'ORDENES'!$S1169&amp;" | "&amp;IF('ORDENES'!$AC1169="","(sin técnico)",'ORDENES'!$AC1169)&amp;" | "&amp;'ORDENES'!$D1169&amp;" ("&amp;'ORDENES'!$N1169&amp;" h)","")</f>
        <v/>
      </c>
    </row>
    <row r="1174">
      <c r="K1174" s="3">
        <f>IF(AND(IF($B$3="(todos)",TRUE,'ORDENES'!$P1170=$B$3),IF($D$3="(todos)",TRUE,'ORDENES'!$AD1170=$D$3),IF($F$3="(todos)",TRUE,'ORDENES'!$W1170=$F$3),'ORDENES'!$AB1170=TRUE),'ORDENES'!$AO1170&amp;" | "&amp;'ORDENES'!$S1170&amp;" | "&amp;IF('ORDENES'!$AC1170="","(sin técnico)",'ORDENES'!$AC1170)&amp;" | "&amp;'ORDENES'!$D1170&amp;" ("&amp;'ORDENES'!$N1170&amp;" h)","")</f>
        <v/>
      </c>
    </row>
    <row r="1175">
      <c r="K1175" s="3">
        <f>IF(AND(IF($B$3="(todos)",TRUE,'ORDENES'!$P1171=$B$3),IF($D$3="(todos)",TRUE,'ORDENES'!$AD1171=$D$3),IF($F$3="(todos)",TRUE,'ORDENES'!$W1171=$F$3),'ORDENES'!$AB1171=TRUE),'ORDENES'!$AO1171&amp;" | "&amp;'ORDENES'!$S1171&amp;" | "&amp;IF('ORDENES'!$AC1171="","(sin técnico)",'ORDENES'!$AC1171)&amp;" | "&amp;'ORDENES'!$D1171&amp;" ("&amp;'ORDENES'!$N1171&amp;" h)","")</f>
        <v/>
      </c>
    </row>
    <row r="1176">
      <c r="K1176" s="3">
        <f>IF(AND(IF($B$3="(todos)",TRUE,'ORDENES'!$P1172=$B$3),IF($D$3="(todos)",TRUE,'ORDENES'!$AD1172=$D$3),IF($F$3="(todos)",TRUE,'ORDENES'!$W1172=$F$3),'ORDENES'!$AB1172=TRUE),'ORDENES'!$AO1172&amp;" | "&amp;'ORDENES'!$S1172&amp;" | "&amp;IF('ORDENES'!$AC1172="","(sin técnico)",'ORDENES'!$AC1172)&amp;" | "&amp;'ORDENES'!$D1172&amp;" ("&amp;'ORDENES'!$N1172&amp;" h)","")</f>
        <v/>
      </c>
    </row>
    <row r="1177">
      <c r="K1177" s="3">
        <f>IF(AND(IF($B$3="(todos)",TRUE,'ORDENES'!$P1173=$B$3),IF($D$3="(todos)",TRUE,'ORDENES'!$AD1173=$D$3),IF($F$3="(todos)",TRUE,'ORDENES'!$W1173=$F$3),'ORDENES'!$AB1173=TRUE),'ORDENES'!$AO1173&amp;" | "&amp;'ORDENES'!$S1173&amp;" | "&amp;IF('ORDENES'!$AC1173="","(sin técnico)",'ORDENES'!$AC1173)&amp;" | "&amp;'ORDENES'!$D1173&amp;" ("&amp;'ORDENES'!$N1173&amp;" h)","")</f>
        <v/>
      </c>
    </row>
    <row r="1178">
      <c r="K1178" s="3">
        <f>IF(AND(IF($B$3="(todos)",TRUE,'ORDENES'!$P1174=$B$3),IF($D$3="(todos)",TRUE,'ORDENES'!$AD1174=$D$3),IF($F$3="(todos)",TRUE,'ORDENES'!$W1174=$F$3),'ORDENES'!$AB1174=TRUE),'ORDENES'!$AO1174&amp;" | "&amp;'ORDENES'!$S1174&amp;" | "&amp;IF('ORDENES'!$AC1174="","(sin técnico)",'ORDENES'!$AC1174)&amp;" | "&amp;'ORDENES'!$D1174&amp;" ("&amp;'ORDENES'!$N1174&amp;" h)","")</f>
        <v/>
      </c>
    </row>
    <row r="1179">
      <c r="K1179" s="3">
        <f>IF(AND(IF($B$3="(todos)",TRUE,'ORDENES'!$P1175=$B$3),IF($D$3="(todos)",TRUE,'ORDENES'!$AD1175=$D$3),IF($F$3="(todos)",TRUE,'ORDENES'!$W1175=$F$3),'ORDENES'!$AB1175=TRUE),'ORDENES'!$AO1175&amp;" | "&amp;'ORDENES'!$S1175&amp;" | "&amp;IF('ORDENES'!$AC1175="","(sin técnico)",'ORDENES'!$AC1175)&amp;" | "&amp;'ORDENES'!$D1175&amp;" ("&amp;'ORDENES'!$N1175&amp;" h)","")</f>
        <v/>
      </c>
    </row>
    <row r="1180">
      <c r="K1180" s="3">
        <f>IF(AND(IF($B$3="(todos)",TRUE,'ORDENES'!$P1176=$B$3),IF($D$3="(todos)",TRUE,'ORDENES'!$AD1176=$D$3),IF($F$3="(todos)",TRUE,'ORDENES'!$W1176=$F$3),'ORDENES'!$AB1176=TRUE),'ORDENES'!$AO1176&amp;" | "&amp;'ORDENES'!$S1176&amp;" | "&amp;IF('ORDENES'!$AC1176="","(sin técnico)",'ORDENES'!$AC1176)&amp;" | "&amp;'ORDENES'!$D1176&amp;" ("&amp;'ORDENES'!$N1176&amp;" h)","")</f>
        <v/>
      </c>
    </row>
    <row r="1181">
      <c r="K1181" s="3">
        <f>IF(AND(IF($B$3="(todos)",TRUE,'ORDENES'!$P1177=$B$3),IF($D$3="(todos)",TRUE,'ORDENES'!$AD1177=$D$3),IF($F$3="(todos)",TRUE,'ORDENES'!$W1177=$F$3),'ORDENES'!$AB1177=TRUE),'ORDENES'!$AO1177&amp;" | "&amp;'ORDENES'!$S1177&amp;" | "&amp;IF('ORDENES'!$AC1177="","(sin técnico)",'ORDENES'!$AC1177)&amp;" | "&amp;'ORDENES'!$D1177&amp;" ("&amp;'ORDENES'!$N1177&amp;" h)","")</f>
        <v/>
      </c>
    </row>
    <row r="1182">
      <c r="K1182" s="3">
        <f>IF(AND(IF($B$3="(todos)",TRUE,'ORDENES'!$P1178=$B$3),IF($D$3="(todos)",TRUE,'ORDENES'!$AD1178=$D$3),IF($F$3="(todos)",TRUE,'ORDENES'!$W1178=$F$3),'ORDENES'!$AB1178=TRUE),'ORDENES'!$AO1178&amp;" | "&amp;'ORDENES'!$S1178&amp;" | "&amp;IF('ORDENES'!$AC1178="","(sin técnico)",'ORDENES'!$AC1178)&amp;" | "&amp;'ORDENES'!$D1178&amp;" ("&amp;'ORDENES'!$N1178&amp;" h)","")</f>
        <v/>
      </c>
    </row>
    <row r="1183">
      <c r="K1183" s="3">
        <f>IF(AND(IF($B$3="(todos)",TRUE,'ORDENES'!$P1179=$B$3),IF($D$3="(todos)",TRUE,'ORDENES'!$AD1179=$D$3),IF($F$3="(todos)",TRUE,'ORDENES'!$W1179=$F$3),'ORDENES'!$AB1179=TRUE),'ORDENES'!$AO1179&amp;" | "&amp;'ORDENES'!$S1179&amp;" | "&amp;IF('ORDENES'!$AC1179="","(sin técnico)",'ORDENES'!$AC1179)&amp;" | "&amp;'ORDENES'!$D1179&amp;" ("&amp;'ORDENES'!$N1179&amp;" h)","")</f>
        <v/>
      </c>
    </row>
    <row r="1184">
      <c r="K1184" s="3">
        <f>IF(AND(IF($B$3="(todos)",TRUE,'ORDENES'!$P1180=$B$3),IF($D$3="(todos)",TRUE,'ORDENES'!$AD1180=$D$3),IF($F$3="(todos)",TRUE,'ORDENES'!$W1180=$F$3),'ORDENES'!$AB1180=TRUE),'ORDENES'!$AO1180&amp;" | "&amp;'ORDENES'!$S1180&amp;" | "&amp;IF('ORDENES'!$AC1180="","(sin técnico)",'ORDENES'!$AC1180)&amp;" | "&amp;'ORDENES'!$D1180&amp;" ("&amp;'ORDENES'!$N1180&amp;" h)","")</f>
        <v/>
      </c>
    </row>
    <row r="1185">
      <c r="K1185" s="3">
        <f>IF(AND(IF($B$3="(todos)",TRUE,'ORDENES'!$P1181=$B$3),IF($D$3="(todos)",TRUE,'ORDENES'!$AD1181=$D$3),IF($F$3="(todos)",TRUE,'ORDENES'!$W1181=$F$3),'ORDENES'!$AB1181=TRUE),'ORDENES'!$AO1181&amp;" | "&amp;'ORDENES'!$S1181&amp;" | "&amp;IF('ORDENES'!$AC1181="","(sin técnico)",'ORDENES'!$AC1181)&amp;" | "&amp;'ORDENES'!$D1181&amp;" ("&amp;'ORDENES'!$N1181&amp;" h)","")</f>
        <v/>
      </c>
    </row>
    <row r="1186">
      <c r="K1186" s="3">
        <f>IF(AND(IF($B$3="(todos)",TRUE,'ORDENES'!$P1182=$B$3),IF($D$3="(todos)",TRUE,'ORDENES'!$AD1182=$D$3),IF($F$3="(todos)",TRUE,'ORDENES'!$W1182=$F$3),'ORDENES'!$AB1182=TRUE),'ORDENES'!$AO1182&amp;" | "&amp;'ORDENES'!$S1182&amp;" | "&amp;IF('ORDENES'!$AC1182="","(sin técnico)",'ORDENES'!$AC1182)&amp;" | "&amp;'ORDENES'!$D1182&amp;" ("&amp;'ORDENES'!$N1182&amp;" h)","")</f>
        <v/>
      </c>
    </row>
    <row r="1187">
      <c r="K1187" s="3">
        <f>IF(AND(IF($B$3="(todos)",TRUE,'ORDENES'!$P1183=$B$3),IF($D$3="(todos)",TRUE,'ORDENES'!$AD1183=$D$3),IF($F$3="(todos)",TRUE,'ORDENES'!$W1183=$F$3),'ORDENES'!$AB1183=TRUE),'ORDENES'!$AO1183&amp;" | "&amp;'ORDENES'!$S1183&amp;" | "&amp;IF('ORDENES'!$AC1183="","(sin técnico)",'ORDENES'!$AC1183)&amp;" | "&amp;'ORDENES'!$D1183&amp;" ("&amp;'ORDENES'!$N1183&amp;" h)","")</f>
        <v/>
      </c>
    </row>
    <row r="1188">
      <c r="K1188" s="3">
        <f>IF(AND(IF($B$3="(todos)",TRUE,'ORDENES'!$P1184=$B$3),IF($D$3="(todos)",TRUE,'ORDENES'!$AD1184=$D$3),IF($F$3="(todos)",TRUE,'ORDENES'!$W1184=$F$3),'ORDENES'!$AB1184=TRUE),'ORDENES'!$AO1184&amp;" | "&amp;'ORDENES'!$S1184&amp;" | "&amp;IF('ORDENES'!$AC1184="","(sin técnico)",'ORDENES'!$AC1184)&amp;" | "&amp;'ORDENES'!$D1184&amp;" ("&amp;'ORDENES'!$N1184&amp;" h)","")</f>
        <v/>
      </c>
    </row>
    <row r="1189">
      <c r="K1189" s="3">
        <f>IF(AND(IF($B$3="(todos)",TRUE,'ORDENES'!$P1185=$B$3),IF($D$3="(todos)",TRUE,'ORDENES'!$AD1185=$D$3),IF($F$3="(todos)",TRUE,'ORDENES'!$W1185=$F$3),'ORDENES'!$AB1185=TRUE),'ORDENES'!$AO1185&amp;" | "&amp;'ORDENES'!$S1185&amp;" | "&amp;IF('ORDENES'!$AC1185="","(sin técnico)",'ORDENES'!$AC1185)&amp;" | "&amp;'ORDENES'!$D1185&amp;" ("&amp;'ORDENES'!$N1185&amp;" h)","")</f>
        <v/>
      </c>
    </row>
    <row r="1190">
      <c r="K1190" s="3">
        <f>IF(AND(IF($B$3="(todos)",TRUE,'ORDENES'!$P1186=$B$3),IF($D$3="(todos)",TRUE,'ORDENES'!$AD1186=$D$3),IF($F$3="(todos)",TRUE,'ORDENES'!$W1186=$F$3),'ORDENES'!$AB1186=TRUE),'ORDENES'!$AO1186&amp;" | "&amp;'ORDENES'!$S1186&amp;" | "&amp;IF('ORDENES'!$AC1186="","(sin técnico)",'ORDENES'!$AC1186)&amp;" | "&amp;'ORDENES'!$D1186&amp;" ("&amp;'ORDENES'!$N1186&amp;" h)","")</f>
        <v/>
      </c>
    </row>
    <row r="1191">
      <c r="K1191" s="3">
        <f>IF(AND(IF($B$3="(todos)",TRUE,'ORDENES'!$P1187=$B$3),IF($D$3="(todos)",TRUE,'ORDENES'!$AD1187=$D$3),IF($F$3="(todos)",TRUE,'ORDENES'!$W1187=$F$3),'ORDENES'!$AB1187=TRUE),'ORDENES'!$AO1187&amp;" | "&amp;'ORDENES'!$S1187&amp;" | "&amp;IF('ORDENES'!$AC1187="","(sin técnico)",'ORDENES'!$AC1187)&amp;" | "&amp;'ORDENES'!$D1187&amp;" ("&amp;'ORDENES'!$N1187&amp;" h)","")</f>
        <v/>
      </c>
    </row>
    <row r="1192">
      <c r="K1192" s="3">
        <f>IF(AND(IF($B$3="(todos)",TRUE,'ORDENES'!$P1188=$B$3),IF($D$3="(todos)",TRUE,'ORDENES'!$AD1188=$D$3),IF($F$3="(todos)",TRUE,'ORDENES'!$W1188=$F$3),'ORDENES'!$AB1188=TRUE),'ORDENES'!$AO1188&amp;" | "&amp;'ORDENES'!$S1188&amp;" | "&amp;IF('ORDENES'!$AC1188="","(sin técnico)",'ORDENES'!$AC1188)&amp;" | "&amp;'ORDENES'!$D1188&amp;" ("&amp;'ORDENES'!$N1188&amp;" h)","")</f>
        <v/>
      </c>
    </row>
    <row r="1193">
      <c r="K1193" s="3">
        <f>IF(AND(IF($B$3="(todos)",TRUE,'ORDENES'!$P1189=$B$3),IF($D$3="(todos)",TRUE,'ORDENES'!$AD1189=$D$3),IF($F$3="(todos)",TRUE,'ORDENES'!$W1189=$F$3),'ORDENES'!$AB1189=TRUE),'ORDENES'!$AO1189&amp;" | "&amp;'ORDENES'!$S1189&amp;" | "&amp;IF('ORDENES'!$AC1189="","(sin técnico)",'ORDENES'!$AC1189)&amp;" | "&amp;'ORDENES'!$D1189&amp;" ("&amp;'ORDENES'!$N1189&amp;" h)","")</f>
        <v/>
      </c>
    </row>
    <row r="1194">
      <c r="K1194" s="3">
        <f>IF(AND(IF($B$3="(todos)",TRUE,'ORDENES'!$P1190=$B$3),IF($D$3="(todos)",TRUE,'ORDENES'!$AD1190=$D$3),IF($F$3="(todos)",TRUE,'ORDENES'!$W1190=$F$3),'ORDENES'!$AB1190=TRUE),'ORDENES'!$AO1190&amp;" | "&amp;'ORDENES'!$S1190&amp;" | "&amp;IF('ORDENES'!$AC1190="","(sin técnico)",'ORDENES'!$AC1190)&amp;" | "&amp;'ORDENES'!$D1190&amp;" ("&amp;'ORDENES'!$N1190&amp;" h)","")</f>
        <v/>
      </c>
    </row>
    <row r="1195">
      <c r="K1195" s="3">
        <f>IF(AND(IF($B$3="(todos)",TRUE,'ORDENES'!$P1191=$B$3),IF($D$3="(todos)",TRUE,'ORDENES'!$AD1191=$D$3),IF($F$3="(todos)",TRUE,'ORDENES'!$W1191=$F$3),'ORDENES'!$AB1191=TRUE),'ORDENES'!$AO1191&amp;" | "&amp;'ORDENES'!$S1191&amp;" | "&amp;IF('ORDENES'!$AC1191="","(sin técnico)",'ORDENES'!$AC1191)&amp;" | "&amp;'ORDENES'!$D1191&amp;" ("&amp;'ORDENES'!$N1191&amp;" h)","")</f>
        <v/>
      </c>
    </row>
    <row r="1196">
      <c r="K1196" s="3">
        <f>IF(AND(IF($B$3="(todos)",TRUE,'ORDENES'!$P1192=$B$3),IF($D$3="(todos)",TRUE,'ORDENES'!$AD1192=$D$3),IF($F$3="(todos)",TRUE,'ORDENES'!$W1192=$F$3),'ORDENES'!$AB1192=TRUE),'ORDENES'!$AO1192&amp;" | "&amp;'ORDENES'!$S1192&amp;" | "&amp;IF('ORDENES'!$AC1192="","(sin técnico)",'ORDENES'!$AC1192)&amp;" | "&amp;'ORDENES'!$D1192&amp;" ("&amp;'ORDENES'!$N1192&amp;" h)","")</f>
        <v/>
      </c>
    </row>
    <row r="1197">
      <c r="K1197" s="3">
        <f>IF(AND(IF($B$3="(todos)",TRUE,'ORDENES'!$P1193=$B$3),IF($D$3="(todos)",TRUE,'ORDENES'!$AD1193=$D$3),IF($F$3="(todos)",TRUE,'ORDENES'!$W1193=$F$3),'ORDENES'!$AB1193=TRUE),'ORDENES'!$AO1193&amp;" | "&amp;'ORDENES'!$S1193&amp;" | "&amp;IF('ORDENES'!$AC1193="","(sin técnico)",'ORDENES'!$AC1193)&amp;" | "&amp;'ORDENES'!$D1193&amp;" ("&amp;'ORDENES'!$N1193&amp;" h)","")</f>
        <v/>
      </c>
    </row>
    <row r="1198">
      <c r="K1198" s="3">
        <f>IF(AND(IF($B$3="(todos)",TRUE,'ORDENES'!$P1194=$B$3),IF($D$3="(todos)",TRUE,'ORDENES'!$AD1194=$D$3),IF($F$3="(todos)",TRUE,'ORDENES'!$W1194=$F$3),'ORDENES'!$AB1194=TRUE),'ORDENES'!$AO1194&amp;" | "&amp;'ORDENES'!$S1194&amp;" | "&amp;IF('ORDENES'!$AC1194="","(sin técnico)",'ORDENES'!$AC1194)&amp;" | "&amp;'ORDENES'!$D1194&amp;" ("&amp;'ORDENES'!$N1194&amp;" h)","")</f>
        <v/>
      </c>
    </row>
    <row r="1199">
      <c r="K1199" s="3">
        <f>IF(AND(IF($B$3="(todos)",TRUE,'ORDENES'!$P1195=$B$3),IF($D$3="(todos)",TRUE,'ORDENES'!$AD1195=$D$3),IF($F$3="(todos)",TRUE,'ORDENES'!$W1195=$F$3),'ORDENES'!$AB1195=TRUE),'ORDENES'!$AO1195&amp;" | "&amp;'ORDENES'!$S1195&amp;" | "&amp;IF('ORDENES'!$AC1195="","(sin técnico)",'ORDENES'!$AC1195)&amp;" | "&amp;'ORDENES'!$D1195&amp;" ("&amp;'ORDENES'!$N1195&amp;" h)","")</f>
        <v/>
      </c>
    </row>
    <row r="1200">
      <c r="K1200" s="3">
        <f>IF(AND(IF($B$3="(todos)",TRUE,'ORDENES'!$P1196=$B$3),IF($D$3="(todos)",TRUE,'ORDENES'!$AD1196=$D$3),IF($F$3="(todos)",TRUE,'ORDENES'!$W1196=$F$3),'ORDENES'!$AB1196=TRUE),'ORDENES'!$AO1196&amp;" | "&amp;'ORDENES'!$S1196&amp;" | "&amp;IF('ORDENES'!$AC1196="","(sin técnico)",'ORDENES'!$AC1196)&amp;" | "&amp;'ORDENES'!$D1196&amp;" ("&amp;'ORDENES'!$N1196&amp;" h)","")</f>
        <v/>
      </c>
    </row>
    <row r="1201">
      <c r="K1201" s="3">
        <f>IF(AND(IF($B$3="(todos)",TRUE,'ORDENES'!$P1197=$B$3),IF($D$3="(todos)",TRUE,'ORDENES'!$AD1197=$D$3),IF($F$3="(todos)",TRUE,'ORDENES'!$W1197=$F$3),'ORDENES'!$AB1197=TRUE),'ORDENES'!$AO1197&amp;" | "&amp;'ORDENES'!$S1197&amp;" | "&amp;IF('ORDENES'!$AC1197="","(sin técnico)",'ORDENES'!$AC1197)&amp;" | "&amp;'ORDENES'!$D1197&amp;" ("&amp;'ORDENES'!$N1197&amp;" h)","")</f>
        <v/>
      </c>
    </row>
    <row r="1202">
      <c r="K1202" s="3">
        <f>IF(AND(IF($B$3="(todos)",TRUE,'ORDENES'!$P1198=$B$3),IF($D$3="(todos)",TRUE,'ORDENES'!$AD1198=$D$3),IF($F$3="(todos)",TRUE,'ORDENES'!$W1198=$F$3),'ORDENES'!$AB1198=TRUE),'ORDENES'!$AO1198&amp;" | "&amp;'ORDENES'!$S1198&amp;" | "&amp;IF('ORDENES'!$AC1198="","(sin técnico)",'ORDENES'!$AC1198)&amp;" | "&amp;'ORDENES'!$D1198&amp;" ("&amp;'ORDENES'!$N1198&amp;" h)","")</f>
        <v/>
      </c>
    </row>
    <row r="1203">
      <c r="K1203" s="3">
        <f>IF(AND(IF($B$3="(todos)",TRUE,'ORDENES'!$P1199=$B$3),IF($D$3="(todos)",TRUE,'ORDENES'!$AD1199=$D$3),IF($F$3="(todos)",TRUE,'ORDENES'!$W1199=$F$3),'ORDENES'!$AB1199=TRUE),'ORDENES'!$AO1199&amp;" | "&amp;'ORDENES'!$S1199&amp;" | "&amp;IF('ORDENES'!$AC1199="","(sin técnico)",'ORDENES'!$AC1199)&amp;" | "&amp;'ORDENES'!$D1199&amp;" ("&amp;'ORDENES'!$N1199&amp;" h)","")</f>
        <v/>
      </c>
    </row>
    <row r="1204">
      <c r="K1204" s="3">
        <f>IF(AND(IF($B$3="(todos)",TRUE,'ORDENES'!$P1200=$B$3),IF($D$3="(todos)",TRUE,'ORDENES'!$AD1200=$D$3),IF($F$3="(todos)",TRUE,'ORDENES'!$W1200=$F$3),'ORDENES'!$AB1200=TRUE),'ORDENES'!$AO1200&amp;" | "&amp;'ORDENES'!$S1200&amp;" | "&amp;IF('ORDENES'!$AC1200="","(sin técnico)",'ORDENES'!$AC1200)&amp;" | "&amp;'ORDENES'!$D1200&amp;" ("&amp;'ORDENES'!$N1200&amp;" h)","")</f>
        <v/>
      </c>
    </row>
    <row r="1205">
      <c r="K1205" s="3">
        <f>IF(AND(IF($B$3="(todos)",TRUE,'ORDENES'!$P1201=$B$3),IF($D$3="(todos)",TRUE,'ORDENES'!$AD1201=$D$3),IF($F$3="(todos)",TRUE,'ORDENES'!$W1201=$F$3),'ORDENES'!$AB1201=TRUE),'ORDENES'!$AO1201&amp;" | "&amp;'ORDENES'!$S1201&amp;" | "&amp;IF('ORDENES'!$AC1201="","(sin técnico)",'ORDENES'!$AC1201)&amp;" | "&amp;'ORDENES'!$D1201&amp;" ("&amp;'ORDENES'!$N1201&amp;" h)","")</f>
        <v/>
      </c>
    </row>
    <row r="1206">
      <c r="K1206" s="3">
        <f>IF(AND(IF($B$3="(todos)",TRUE,'ORDENES'!$P1202=$B$3),IF($D$3="(todos)",TRUE,'ORDENES'!$AD1202=$D$3),IF($F$3="(todos)",TRUE,'ORDENES'!$W1202=$F$3),'ORDENES'!$AB1202=TRUE),'ORDENES'!$AO1202&amp;" | "&amp;'ORDENES'!$S1202&amp;" | "&amp;IF('ORDENES'!$AC1202="","(sin técnico)",'ORDENES'!$AC1202)&amp;" | "&amp;'ORDENES'!$D1202&amp;" ("&amp;'ORDENES'!$N1202&amp;" h)","")</f>
        <v/>
      </c>
    </row>
    <row r="1207">
      <c r="K1207" s="3">
        <f>IF(AND(IF($B$3="(todos)",TRUE,'ORDENES'!$P1203=$B$3),IF($D$3="(todos)",TRUE,'ORDENES'!$AD1203=$D$3),IF($F$3="(todos)",TRUE,'ORDENES'!$W1203=$F$3),'ORDENES'!$AB1203=TRUE),'ORDENES'!$AO1203&amp;" | "&amp;'ORDENES'!$S1203&amp;" | "&amp;IF('ORDENES'!$AC1203="","(sin técnico)",'ORDENES'!$AC1203)&amp;" | "&amp;'ORDENES'!$D1203&amp;" ("&amp;'ORDENES'!$N1203&amp;" h)","")</f>
        <v/>
      </c>
    </row>
  </sheetData>
  <mergeCells count="1">
    <mergeCell ref="A6:H40"/>
  </mergeCells>
  <dataValidations count="3">
    <dataValidation sqref="B3" showDropDown="0" showInputMessage="0" showErrorMessage="0" allowBlank="0" type="list">
      <formula1>"(todos),2026-S29,2026-S30,2026-S31,2026-S32"</formula1>
    </dataValidation>
    <dataValidation sqref="D3" showDropDown="0" showInputMessage="0" showErrorMessage="0" allowBlank="0" type="list">
      <formula1>"(todos),B1,T1,T2,T3"</formula1>
    </dataValidation>
    <dataValidation sqref="F3" showDropDown="0" showInputMessage="0" showErrorMessage="0" allowBlank="0" type="list">
      <formula1>"(todos),Coordinador A,Coordinador B,Coordinador C"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08080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64" customWidth="1" min="2" max="2"/>
    <col width="64" customWidth="1" min="3" max="3"/>
    <col width="22" customWidth="1" min="4" max="4"/>
  </cols>
  <sheetData>
    <row r="1">
      <c r="A1" s="1" t="inlineStr">
        <is>
          <t>_COMPATIBILIDAD — equivalentes INDEX/MATCH para Excel 2016 o anterior</t>
        </is>
      </c>
    </row>
    <row r="2">
      <c r="A2" s="19" t="inlineStr">
        <is>
          <t>Las columnas calculadas de ORDENES usan XLOOKUP (Excel 2021/365). Si su Excel no lo tiene, reemplace cada fórmula por su equivalente de la columna C. El ejemplo vivo de la columna D calcula la primera fila de ORDENES con INDEX/MATCH.</t>
        </is>
      </c>
    </row>
    <row r="4">
      <c r="A4" s="5" t="inlineStr">
        <is>
          <t>campo</t>
        </is>
      </c>
      <c r="B4" s="5" t="inlineStr">
        <is>
          <t>fórmula con XLOOKUP (como en tblOrdenes)</t>
        </is>
      </c>
      <c r="C4" s="5" t="inlineStr">
        <is>
          <t>equivalente INDEX/MATCH</t>
        </is>
      </c>
      <c r="D4" s="5" t="inlineStr">
        <is>
          <t>ejemplo vivo (fila 1 de ORDENES)</t>
        </is>
      </c>
    </row>
    <row r="5">
      <c r="A5" s="3" t="inlineStr">
        <is>
          <t>estado</t>
        </is>
      </c>
      <c r="B5" s="19" t="inlineStr">
        <is>
          <t>IF(tblOrdenes[[#This Row],[orden]]="","",XLOOKUP(XLOOKUP(tblOrdenes[[#This Row],[id_operacion]],tblEjecucion[id_operacion],tblEjecucion[estado_sistema],""),tblEstados[estado_sistema],tblEstados[estado_normalizado],"Pendiente"))</t>
        </is>
      </c>
      <c r="C5" s="19" t="inlineStr">
        <is>
          <t>IFERROR(INDEX(tblEstados[estado_normalizado],MATCH(IFERROR(INDEX(tblEjecucion[estado_sistema],MATCH('ORDENES'!$AO$4,tblEjecucion[id_operacion],0)),""),tblEstados[estado_sistema],0)),"Pendiente")</t>
        </is>
      </c>
      <c r="D5" s="3">
        <f>IFERROR(INDEX(tblEstados[estado_normalizado],MATCH(IFERROR(INDEX(tblEjecucion[estado_sistema],MATCH('ORDENES'!$AO$4,tblEjecucion[id_operacion],0)),""),tblEstados[estado_sistema],0)),"Pendiente")</f>
        <v/>
      </c>
    </row>
    <row r="6">
      <c r="A6" s="3" t="inlineStr">
        <is>
          <t>clasificacion</t>
        </is>
      </c>
      <c r="B6" s="19" t="inlineStr">
        <is>
          <t>IF(tblOrdenes[[#This Row],[tipo_ot]]="","",XLOOKUP(tblOrdenes[[#This Row],[tipo_ot]],tblTiposOT[codigo],tblTiposOT[clasificacion],"sin_clasificar"))</t>
        </is>
      </c>
      <c r="C6" s="19" t="inlineStr">
        <is>
          <t>IFERROR(INDEX(tblTiposOT[clasificacion],MATCH('ORDENES'!$I$4,tblTiposOT[codigo],0)),"sin_clasificar")</t>
        </is>
      </c>
      <c r="D6" s="3">
        <f>IFERROR(INDEX(tblTiposOT[clasificacion],MATCH('ORDENES'!$I$4,tblTiposOT[codigo],0)),"sin_clasificar")</f>
        <v/>
      </c>
    </row>
    <row r="7">
      <c r="A7" s="3" t="inlineStr">
        <is>
          <t>linea</t>
        </is>
      </c>
      <c r="B7" s="19" t="inlineStr">
        <is>
          <t>IF(tblOrdenes[[#This Row],[centro_costo]]="","",XLOOKUP(tblOrdenes[[#This Row],[centro_costo]],tblCECO[codigo],tblCECO[linea],"(sin catálogo)"))</t>
        </is>
      </c>
      <c r="C7" s="19" t="inlineStr">
        <is>
          <t>IFERROR(INDEX(tblCECO[linea],MATCH('ORDENES'!$F$4,tblCECO[codigo],0)),"(sin catálogo)")</t>
        </is>
      </c>
      <c r="D7" s="3">
        <f>IFERROR(INDEX(tblCECO[linea],MATCH('ORDENES'!$F$4,tblCECO[codigo],0)),"(sin catálogo)")</f>
        <v/>
      </c>
    </row>
    <row r="8">
      <c r="A8" s="3" t="inlineStr">
        <is>
          <t>area</t>
        </is>
      </c>
      <c r="B8" s="19" t="inlineStr">
        <is>
          <t>IF(tblOrdenes[[#This Row],[centro_costo]]="","",XLOOKUP(tblOrdenes[[#This Row],[centro_costo]],tblCECO[codigo],tblCECO[area],"(sin catálogo)"))</t>
        </is>
      </c>
      <c r="C8" s="19" t="inlineStr">
        <is>
          <t>IFERROR(INDEX(tblCECO[area],MATCH('ORDENES'!$F$4,tblCECO[codigo],0)),"(sin catálogo)")</t>
        </is>
      </c>
      <c r="D8" s="3">
        <f>IFERROR(INDEX(tblCECO[area],MATCH('ORDENES'!$F$4,tblCECO[codigo],0)),"(sin catálogo)")</f>
        <v/>
      </c>
    </row>
    <row r="9">
      <c r="A9" s="3" t="inlineStr">
        <is>
          <t>coordinador</t>
        </is>
      </c>
      <c r="B9" s="19" t="inlineStr">
        <is>
          <t>IF(tblOrdenes[[#This Row],[centro_costo]]="","",XLOOKUP(tblOrdenes[[#This Row],[centro_costo]],tblCECO[codigo],tblCECO[coordinador],"(sin catálogo)"))</t>
        </is>
      </c>
      <c r="C9" s="19" t="inlineStr">
        <is>
          <t>IFERROR(INDEX(tblCECO[coordinador],MATCH('ORDENES'!$F$4,tblCECO[codigo],0)),"(sin catálogo)")</t>
        </is>
      </c>
      <c r="D9" s="3">
        <f>IFERROR(INDEX(tblCECO[coordinador],MATCH('ORDENES'!$F$4,tblCECO[codigo],0)),"(sin catálogo)")</f>
        <v/>
      </c>
    </row>
    <row r="10">
      <c r="A10" s="3" t="inlineStr">
        <is>
          <t>especialidad</t>
        </is>
      </c>
      <c r="B10" s="19" t="inlineStr">
        <is>
          <t>IF(tblOrdenes[[#This Row],[puesto_trabajo]]="","",XLOOKUP(tblOrdenes[[#This Row],[puesto_trabajo]],tblPuestos[codigo],tblPuestos[especialidad],"(sin catálogo)"))</t>
        </is>
      </c>
      <c r="C10" s="19" t="inlineStr">
        <is>
          <t>IFERROR(INDEX(tblPuestos[especialidad],MATCH('ORDENES'!$G$4,tblPuestos[codigo],0)),"(sin catálogo)")</t>
        </is>
      </c>
      <c r="D10" s="3">
        <f>IFERROR(INDEX(tblPuestos[especialidad],MATCH('ORDENES'!$G$4,tblPuestos[codigo],0)),"(sin catálogo)")</f>
        <v/>
      </c>
    </row>
    <row r="11">
      <c r="A11" s="3" t="inlineStr">
        <is>
          <t>actividad</t>
        </is>
      </c>
      <c r="B11" s="19" t="inlineStr">
        <is>
          <t>IF(tblOrdenes[[#This Row],[cod_actividad]]="","",XLOOKUP(tblOrdenes[[#This Row],[cod_actividad]],tblActividades[codigo],tblActividades[descripcion],"(sin catálogo)"))</t>
        </is>
      </c>
      <c r="C11" s="19" t="inlineStr">
        <is>
          <t>IFERROR(INDEX(tblActividades[descripcion],MATCH('ORDENES'!$H$4,tblActividades[codigo],0)),"(sin catálogo)")</t>
        </is>
      </c>
      <c r="D11" s="3">
        <f>IFERROR(INDEX(tblActividades[descripcion],MATCH('ORDENES'!$H$4,tblActividades[codigo],0)),"(sin catálogo)")</f>
        <v/>
      </c>
    </row>
    <row r="12">
      <c r="A12" s="3" t="inlineStr">
        <is>
          <t>turno_asignado</t>
        </is>
      </c>
      <c r="B12" s="19" t="inlineStr">
        <is>
          <t>IF(tblOrdenes[[#This Row],[tecnico_asignado]]="","",XLOOKUP(tblOrdenes[[#This Row],[semana]]&amp;"|"&amp;tblOrdenes[[#This Row],[dia_semana]]&amp;"|"&amp;tblOrdenes[[#This Row],[tecnico_asignado]],tblAsignaciones[clave],tblAsignaciones[turno],""))</t>
        </is>
      </c>
      <c r="C12" s="19" t="inlineStr">
        <is>
          <t>IF('ORDENES'!$AC$4="","",IFERROR(INDEX(tblAsignaciones[turno],MATCH('ORDENES'!$P$4&amp;"|"&amp;'ORDENES'!$S$4&amp;"|"&amp;'ORDENES'!$AC$4,tblAsignaciones[clave],0)),""))</t>
        </is>
      </c>
      <c r="D12" s="3">
        <f>IF('ORDENES'!$AC$4="","",IFERROR(INDEX(tblAsignaciones[turno],MATCH('ORDENES'!$P$4&amp;"|"&amp;'ORDENES'!$S$4&amp;"|"&amp;'ORDENES'!$AC$4,tblAsignaciones[clave],0)),""))</f>
        <v/>
      </c>
    </row>
    <row r="13">
      <c r="A13" s="3" t="inlineStr">
        <is>
          <t>costo_servicio</t>
        </is>
      </c>
      <c r="B13" s="19" t="inlineStr">
        <is>
          <t>IF(tblOrdenes[[#This Row],[orden]]="","",XLOOKUP(tblOrdenes[[#This Row],[id_operacion]],tblEjecucion[id_operacion],tblEjecucion[precio],0))</t>
        </is>
      </c>
      <c r="C13" s="19" t="inlineStr">
        <is>
          <t>IFERROR(INDEX(tblEjecucion[precio],MATCH('ORDENES'!$AO$4,tblEjecucion[id_operacion],0)),0)</t>
        </is>
      </c>
      <c r="D13" s="3">
        <f>IFERROR(INDEX(tblEjecucion[precio],MATCH('ORDENES'!$AO$4,tblEjecucion[id_operacion],0)),0)</f>
        <v/>
      </c>
    </row>
    <row r="14">
      <c r="A14" s="3" t="inlineStr">
        <is>
          <t>costo_materiales</t>
        </is>
      </c>
      <c r="B14" s="19" t="inlineStr">
        <is>
          <t>IF(tblOrdenes[[#This Row],[orden]]="","",MAX(0,XLOOKUP(tblOrdenes[[#This Row],[id_operacion]],tblEjecucion[id_operacion],tblEjecucion[costo_plan_total],0)-tblOrdenes[[#This Row],[costo_servicio]]))</t>
        </is>
      </c>
      <c r="C14" s="19" t="inlineStr">
        <is>
          <t>MAX(0,IFERROR(INDEX(tblEjecucion[costo_plan_total],MATCH('ORDENES'!$AO$4,tblEjecucion[id_operacion],0)),0)-'ORDENES'!$AG$4)</t>
        </is>
      </c>
      <c r="D14" s="3">
        <f>MAX(0,IFERROR(INDEX(tblEjecucion[costo_plan_total],MATCH('ORDENES'!$AO$4,tblEjecucion[id_operacion],0)),0)-'ORDENES'!$AG$4)</f>
        <v/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2026-07-20T14:36:04Z</dcterms:created>
  <dcterms:modified xsi:type="dcterms:W3CDTF">2026-07-20T14:36:05Z</dcterms:modified>
</cp:coreProperties>
</file>